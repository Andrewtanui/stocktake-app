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WebImage.xml" ContentType="application/vnd.ms-excel.rdrichvaluewebimage+xml"/>
  <Override PartName="/xl/richData/rdrichvalue.xml" ContentType="application/vnd.ms-excel.rdrichvalue+xml"/>
  <Override PartName="/xl/richData/rdrichvaluestructure.xml" ContentType="application/vnd.ms-excel.rdrichvaluestructure+xml"/>
  <Override PartName="/xl/richData/rdarray.xml" ContentType="application/vnd.ms-excel.rdarray+xml"/>
  <Override PartName="/xl/richData/richStyles.xml" ContentType="application/vnd.ms-excel.richstyles+xml"/>
  <Override PartName="/xl/richData/rdsupportingpropertybagstructure.xml" ContentType="application/vnd.ms-excel.rdsupportingpropertybagstructure+xml"/>
  <Override PartName="/xl/richData/rdsupportingpropertybag.xml" ContentType="application/vnd.ms-excel.rdsupportingpropertybag+xml"/>
  <Override PartName="/xl/richData/rdRichValueTypes.xml" ContentType="application/vnd.ms-excel.rdrichvaluetypes+xml"/>
  <Override PartName="/xl/comments1.xml" ContentType="application/vnd.openxmlformats-officedocument.spreadsheetml.comments+xml"/>
  <Override PartName="/xl/threadedComments/threadedComment1.xml" ContentType="application/vnd.ms-excel.threadedcomments+xml"/>
  <Override PartName="/xl/namedSheetViews/namedSheetView1.xml" ContentType="application/vnd.ms-excel.namedsheetview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7"/>
  <workbookPr updateLinks="always"/>
  <mc:AlternateContent xmlns:mc="http://schemas.openxmlformats.org/markup-compatibility/2006">
    <mc:Choice Requires="x15">
      <x15ac:absPath xmlns:x15ac="http://schemas.microsoft.com/office/spreadsheetml/2010/11/ac" url="https://nkg2017.sharepoint.com/sites/NKGEAHUB/NKGEA Logistics Dev/Dev Files/Coffee Contracts/"/>
    </mc:Choice>
  </mc:AlternateContent>
  <xr:revisionPtr revIDLastSave="314" documentId="8_{307B9F46-30BA-4A12-BB59-A8B9CC741503}" xr6:coauthVersionLast="47" xr6:coauthVersionMax="47" xr10:uidLastSave="{2D1EBB53-C84F-4E70-81CD-EFC1FD33E1CC}"/>
  <bookViews>
    <workbookView xWindow="-120" yWindow="-120" windowWidth="29040" windowHeight="15720" tabRatio="500" activeTab="1" xr2:uid="{00000000-000D-0000-FFFF-FFFF00000000}"/>
  </bookViews>
  <sheets>
    <sheet name="Variables" sheetId="1" r:id="rId1"/>
    <sheet name="KENYA" sheetId="2" r:id="rId2"/>
    <sheet name="Sheet4" sheetId="7" r:id="rId3"/>
    <sheet name="Sheet1" sheetId="5" r:id="rId4"/>
    <sheet name="Sheet3" sheetId="6" r:id="rId5"/>
    <sheet name="Sheet2" sheetId="4" state="hidden" r:id="rId6"/>
  </sheets>
  <definedNames>
    <definedName name="_xlnm._FilterDatabase" localSheetId="1" hidden="1">KENYA!$A$1:$BL$1</definedName>
    <definedName name="_xlnm._FilterDatabase" localSheetId="4" hidden="1">Sheet3!$A$1:$F$1624</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AF577" i="2" l="1"/>
  <c r="AF562" i="2"/>
  <c r="AF472" i="2"/>
  <c r="AF396" i="2"/>
  <c r="AF397" i="2"/>
  <c r="AF398" i="2"/>
  <c r="AF399" i="2"/>
  <c r="AF400" i="2"/>
  <c r="AF388" i="2"/>
  <c r="AF389" i="2"/>
  <c r="AF390" i="2"/>
  <c r="AF391" i="2"/>
  <c r="AF392" i="2"/>
  <c r="AF382" i="2"/>
  <c r="AF383" i="2"/>
  <c r="AF384" i="2"/>
  <c r="AF385" i="2"/>
  <c r="AF386" i="2"/>
  <c r="AF373" i="2"/>
  <c r="AF374" i="2"/>
  <c r="AF375" i="2"/>
  <c r="AF376" i="2"/>
  <c r="AF377" i="2"/>
  <c r="AF378" i="2"/>
  <c r="AF379" i="2"/>
  <c r="AF380" i="2"/>
  <c r="AF368" i="2"/>
  <c r="AF369" i="2"/>
  <c r="AF370" i="2"/>
  <c r="AF371" i="2"/>
  <c r="AF284" i="2"/>
  <c r="AF285" i="2"/>
  <c r="AF286" i="2"/>
  <c r="AF287" i="2"/>
  <c r="AF288" i="2"/>
  <c r="AF289" i="2"/>
  <c r="AF290" i="2"/>
  <c r="AF291" i="2"/>
  <c r="AF292" i="2"/>
  <c r="AF293" i="2"/>
  <c r="AF294" i="2"/>
  <c r="AF295" i="2"/>
  <c r="AF296" i="2"/>
  <c r="AF297" i="2"/>
  <c r="AF298" i="2"/>
  <c r="AF299" i="2"/>
  <c r="AF300" i="2"/>
  <c r="AF301" i="2"/>
  <c r="AF302" i="2"/>
  <c r="AF303" i="2"/>
  <c r="AF304" i="2"/>
  <c r="AF305" i="2"/>
  <c r="AF306" i="2"/>
  <c r="AF307" i="2"/>
  <c r="AF308" i="2"/>
  <c r="AF309" i="2"/>
  <c r="AF310" i="2"/>
  <c r="AF311" i="2"/>
  <c r="AF312" i="2"/>
  <c r="AF313" i="2"/>
  <c r="AF314" i="2"/>
  <c r="AF315" i="2"/>
  <c r="AF316" i="2"/>
  <c r="AF317" i="2"/>
  <c r="AF318" i="2"/>
  <c r="AF319" i="2"/>
  <c r="AF320" i="2"/>
  <c r="AF321" i="2"/>
  <c r="AF322" i="2"/>
  <c r="AF323" i="2"/>
  <c r="AF324" i="2"/>
  <c r="AF325" i="2"/>
  <c r="AF326" i="2"/>
  <c r="AF327" i="2"/>
  <c r="AF328" i="2"/>
  <c r="AF329" i="2"/>
  <c r="AF330" i="2"/>
  <c r="AF331" i="2"/>
  <c r="AF332" i="2"/>
  <c r="AF333" i="2"/>
  <c r="AF334" i="2"/>
  <c r="AF335" i="2"/>
  <c r="AF336" i="2"/>
  <c r="AF338" i="2"/>
  <c r="AF339" i="2"/>
  <c r="AF340" i="2"/>
  <c r="AF341" i="2"/>
  <c r="AF342" i="2"/>
  <c r="AF343" i="2"/>
  <c r="AF344" i="2"/>
  <c r="AF345" i="2"/>
  <c r="AF346" i="2"/>
  <c r="AF347" i="2"/>
  <c r="AF348" i="2"/>
  <c r="AF349" i="2"/>
  <c r="AF350" i="2"/>
  <c r="AF351" i="2"/>
  <c r="AF352" i="2"/>
  <c r="AF353" i="2"/>
  <c r="AF354" i="2"/>
  <c r="AF355" i="2"/>
  <c r="AF356" i="2"/>
  <c r="AF357" i="2"/>
  <c r="AF358" i="2"/>
  <c r="AF359" i="2"/>
  <c r="AF362" i="2"/>
  <c r="AF363" i="2"/>
  <c r="AF364" i="2"/>
  <c r="AF365" i="2"/>
  <c r="AF239" i="2"/>
  <c r="AF240" i="2"/>
  <c r="AF241" i="2"/>
  <c r="AF242" i="2"/>
  <c r="AF243" i="2"/>
  <c r="AF244" i="2"/>
  <c r="AF245" i="2"/>
  <c r="AF246" i="2"/>
  <c r="AF247" i="2"/>
  <c r="AF248" i="2"/>
  <c r="AF249" i="2"/>
  <c r="AF250" i="2"/>
  <c r="AF251" i="2"/>
  <c r="AF252" i="2"/>
  <c r="AF253" i="2"/>
  <c r="AF254" i="2"/>
  <c r="AF255" i="2"/>
  <c r="AF256" i="2"/>
  <c r="AF257" i="2"/>
  <c r="AF258" i="2"/>
  <c r="AF259" i="2"/>
  <c r="AF260" i="2"/>
  <c r="AF261" i="2"/>
  <c r="AF262" i="2"/>
  <c r="AF263" i="2"/>
  <c r="AF264" i="2"/>
  <c r="AF265" i="2"/>
  <c r="AF266" i="2"/>
  <c r="AF267" i="2"/>
  <c r="AF268" i="2"/>
  <c r="AF269" i="2"/>
  <c r="AF270" i="2"/>
  <c r="AF271" i="2"/>
  <c r="AF272" i="2"/>
  <c r="AF273" i="2"/>
  <c r="AF274" i="2"/>
  <c r="AF275" i="2"/>
  <c r="AF276" i="2"/>
  <c r="AF277" i="2"/>
  <c r="AF278" i="2"/>
  <c r="AF279" i="2"/>
  <c r="AF280" i="2"/>
  <c r="AF236" i="2"/>
  <c r="AF225" i="2"/>
  <c r="AF226" i="2"/>
  <c r="AF227" i="2"/>
  <c r="AF228" i="2"/>
  <c r="AF229" i="2"/>
  <c r="AF230" i="2"/>
  <c r="AF231" i="2"/>
  <c r="AF222" i="2"/>
  <c r="AF213" i="2"/>
  <c r="AF214" i="2"/>
  <c r="AF215" i="2"/>
  <c r="AF216" i="2"/>
  <c r="AF217" i="2"/>
  <c r="AF218" i="2"/>
  <c r="AF219" i="2"/>
  <c r="AF220" i="2"/>
  <c r="AF186" i="2"/>
  <c r="AF187" i="2"/>
  <c r="AF188" i="2"/>
  <c r="AF189" i="2"/>
  <c r="AF190" i="2"/>
  <c r="AF191" i="2"/>
  <c r="AF192" i="2"/>
  <c r="AF193" i="2"/>
  <c r="AF194" i="2"/>
  <c r="AF195" i="2"/>
  <c r="AF196" i="2"/>
  <c r="AF197" i="2"/>
  <c r="AF198" i="2"/>
  <c r="AF199" i="2"/>
  <c r="AF200" i="2"/>
  <c r="AF201" i="2"/>
  <c r="AF202" i="2"/>
  <c r="AF203" i="2"/>
  <c r="AF204" i="2"/>
  <c r="AF205" i="2"/>
  <c r="AF206" i="2"/>
  <c r="AF207" i="2"/>
  <c r="AF208" i="2"/>
  <c r="AF209" i="2"/>
  <c r="AF165" i="2"/>
  <c r="AF166" i="2"/>
  <c r="AF167" i="2"/>
  <c r="AF168" i="2"/>
  <c r="AF169" i="2"/>
  <c r="AF170" i="2"/>
  <c r="AF171" i="2"/>
  <c r="AF172" i="2"/>
  <c r="AF173" i="2"/>
  <c r="AF174" i="2"/>
  <c r="AF175" i="2"/>
  <c r="AF176" i="2"/>
  <c r="AF177" i="2"/>
  <c r="AF178" i="2"/>
  <c r="AF179" i="2"/>
  <c r="AF180" i="2"/>
  <c r="AF181" i="2"/>
  <c r="AF182" i="2"/>
  <c r="AF183" i="2"/>
  <c r="AF184" i="2"/>
  <c r="AF134" i="2"/>
  <c r="AF135" i="2"/>
  <c r="AF136" i="2"/>
  <c r="AF137" i="2"/>
  <c r="AF138" i="2"/>
  <c r="AF139" i="2"/>
  <c r="AF140" i="2"/>
  <c r="AF141" i="2"/>
  <c r="AF142" i="2"/>
  <c r="AF143" i="2"/>
  <c r="AF144" i="2"/>
  <c r="AF145" i="2"/>
  <c r="AF146" i="2"/>
  <c r="AF147" i="2"/>
  <c r="AF148" i="2"/>
  <c r="AF149" i="2"/>
  <c r="AF150" i="2"/>
  <c r="AF151" i="2"/>
  <c r="AF152" i="2"/>
  <c r="AF153" i="2"/>
  <c r="AF154" i="2"/>
  <c r="AF155" i="2"/>
  <c r="AF156" i="2"/>
  <c r="AF157" i="2"/>
  <c r="AF158" i="2"/>
  <c r="AF159" i="2"/>
  <c r="AF160" i="2"/>
  <c r="AF161" i="2"/>
  <c r="AF162" i="2"/>
  <c r="AF163" i="2"/>
  <c r="AF125" i="2"/>
  <c r="AF126" i="2"/>
  <c r="AF115" i="2"/>
  <c r="AF116" i="2"/>
  <c r="AF99" i="2"/>
  <c r="AF100" i="2"/>
  <c r="AF101" i="2"/>
  <c r="AF102" i="2"/>
  <c r="AF103" i="2"/>
  <c r="AF104" i="2"/>
  <c r="AF105" i="2"/>
  <c r="AF106" i="2"/>
  <c r="AF107" i="2"/>
  <c r="AF108" i="2"/>
  <c r="AF109" i="2"/>
  <c r="AF110" i="2"/>
  <c r="AF111" i="2"/>
  <c r="AF112" i="2"/>
  <c r="AF95" i="2"/>
  <c r="AF96" i="2"/>
  <c r="AF91" i="2"/>
  <c r="AF92" i="2"/>
  <c r="AF84" i="2"/>
  <c r="AF82" i="2"/>
  <c r="AF73" i="2"/>
  <c r="AF74" i="2"/>
  <c r="AF75" i="2"/>
  <c r="AF76" i="2"/>
  <c r="AF77" i="2"/>
  <c r="AF78" i="2"/>
  <c r="AF79" i="2"/>
  <c r="AF66" i="2"/>
  <c r="AF63" i="2"/>
  <c r="AF64" i="2"/>
  <c r="AF50" i="2"/>
  <c r="AF51" i="2"/>
  <c r="AF52" i="2"/>
  <c r="AF53" i="2"/>
  <c r="AF54" i="2"/>
  <c r="AF55" i="2"/>
  <c r="AF41" i="2"/>
  <c r="AF39" i="2"/>
  <c r="AF33" i="2"/>
  <c r="AF23" i="2"/>
  <c r="AF24" i="2"/>
  <c r="AF25" i="2"/>
  <c r="AF26" i="2"/>
  <c r="AF27" i="2"/>
  <c r="AF16" i="2"/>
  <c r="AF15" i="2"/>
  <c r="Y1254" i="2"/>
  <c r="Y1251" i="2"/>
  <c r="Y1250" i="2"/>
  <c r="Y1249" i="2"/>
  <c r="Y1247" i="2"/>
  <c r="Y1246" i="2"/>
  <c r="AG1245" i="2"/>
  <c r="AG1246" i="2"/>
  <c r="AG1247" i="2"/>
  <c r="AG1248" i="2"/>
  <c r="AG1249" i="2"/>
  <c r="AG1250" i="2"/>
  <c r="AG1251" i="2"/>
  <c r="AX889" i="2"/>
  <c r="AC1245" i="2"/>
  <c r="AC1246" i="2"/>
  <c r="AC1247" i="2"/>
  <c r="AC1248" i="2"/>
  <c r="AC1249" i="2"/>
  <c r="BE889" i="2" l="1"/>
  <c r="AY889" i="2"/>
  <c r="BD889" i="2"/>
  <c r="AX1190" i="2"/>
  <c r="AX1188" i="2"/>
  <c r="AX1187" i="2"/>
  <c r="AX1147" i="2"/>
  <c r="AK1147" i="2" s="1"/>
  <c r="AX1133" i="2"/>
  <c r="AK1133" i="2" s="1"/>
  <c r="AX1132" i="2"/>
  <c r="AK1132" i="2" s="1"/>
  <c r="AX1131" i="2"/>
  <c r="AX1130" i="2"/>
  <c r="AX1129" i="2"/>
  <c r="AK1129" i="2" s="1"/>
  <c r="AX1120" i="2"/>
  <c r="AK1120" i="2" s="1"/>
  <c r="AX1119" i="2"/>
  <c r="AK1119" i="2" s="1"/>
  <c r="AX1118" i="2"/>
  <c r="AX1117" i="2"/>
  <c r="AK1117" i="2" s="1"/>
  <c r="AX1116" i="2"/>
  <c r="AX1115" i="2"/>
  <c r="AK1115" i="2" s="1"/>
  <c r="AX1114" i="2"/>
  <c r="AK1114" i="2" s="1"/>
  <c r="AX1109" i="2"/>
  <c r="AK1109" i="2" s="1"/>
  <c r="AX1108" i="2"/>
  <c r="AX1107" i="2"/>
  <c r="AK1107" i="2" s="1"/>
  <c r="AX1105" i="2"/>
  <c r="AX1104" i="2"/>
  <c r="AK1104" i="2" s="1"/>
  <c r="AX1103" i="2"/>
  <c r="AK1103" i="2" s="1"/>
  <c r="AX1102" i="2"/>
  <c r="AK1102" i="2" s="1"/>
  <c r="AX1101" i="2"/>
  <c r="AX1100" i="2"/>
  <c r="AX1099" i="2"/>
  <c r="AX1098" i="2"/>
  <c r="AK1098" i="2" s="1"/>
  <c r="AX1097" i="2"/>
  <c r="AK1097" i="2" s="1"/>
  <c r="AX1096" i="2"/>
  <c r="AK1096" i="2" s="1"/>
  <c r="AX1094" i="2"/>
  <c r="AX1093" i="2"/>
  <c r="AX1092" i="2"/>
  <c r="AK1092" i="2" s="1"/>
  <c r="AX1091" i="2"/>
  <c r="AK1091" i="2" s="1"/>
  <c r="AX1081" i="2"/>
  <c r="AK1081" i="2" s="1"/>
  <c r="AX1080" i="2"/>
  <c r="AX1074" i="2"/>
  <c r="AX1073" i="2"/>
  <c r="AK1073" i="2" s="1"/>
  <c r="AX1067" i="2"/>
  <c r="AK1067" i="2" s="1"/>
  <c r="AX1066" i="2"/>
  <c r="AK1066" i="2" s="1"/>
  <c r="AX1065" i="2"/>
  <c r="AK1065" i="2" s="1"/>
  <c r="AX1064" i="2"/>
  <c r="AK1064" i="2" s="1"/>
  <c r="AX1063" i="2"/>
  <c r="AK1063" i="2" s="1"/>
  <c r="AX1062" i="2"/>
  <c r="AX1061" i="2"/>
  <c r="AX1060" i="2"/>
  <c r="AK1060" i="2" s="1"/>
  <c r="AX1059" i="2"/>
  <c r="AK1059" i="2" s="1"/>
  <c r="AX1058" i="2"/>
  <c r="AK1058" i="2" s="1"/>
  <c r="AX1057" i="2"/>
  <c r="AX1055" i="2"/>
  <c r="AX1054" i="2"/>
  <c r="AX1053" i="2"/>
  <c r="AK1053" i="2" s="1"/>
  <c r="AX1052" i="2"/>
  <c r="AK1052" i="2" s="1"/>
  <c r="AX1051" i="2"/>
  <c r="AK1051" i="2" s="1"/>
  <c r="AX1050" i="2"/>
  <c r="AK1050" i="2" s="1"/>
  <c r="AX1049" i="2"/>
  <c r="AK1049" i="2" s="1"/>
  <c r="AX1048" i="2"/>
  <c r="AK1048" i="2" s="1"/>
  <c r="AX1047" i="2"/>
  <c r="AK1047" i="2" s="1"/>
  <c r="AX1046" i="2"/>
  <c r="AK1046" i="2" s="1"/>
  <c r="AX1045" i="2"/>
  <c r="AK1045" i="2" s="1"/>
  <c r="AX1044" i="2"/>
  <c r="AX1043" i="2"/>
  <c r="AK1043" i="2" s="1"/>
  <c r="AX1042" i="2"/>
  <c r="AK1042" i="2" s="1"/>
  <c r="AX1041" i="2"/>
  <c r="AK1041" i="2" s="1"/>
  <c r="AX1037" i="2"/>
  <c r="AK1037" i="2" s="1"/>
  <c r="AX1036" i="2"/>
  <c r="AX1035" i="2"/>
  <c r="AX1034" i="2"/>
  <c r="AX1033" i="2"/>
  <c r="AX1032" i="2"/>
  <c r="AX1031" i="2"/>
  <c r="AK1031" i="2" s="1"/>
  <c r="AX1030" i="2"/>
  <c r="AX1029" i="2"/>
  <c r="AK1029" i="2" s="1"/>
  <c r="AX1028" i="2"/>
  <c r="AK1028" i="2" s="1"/>
  <c r="AX1019" i="2"/>
  <c r="AX1018" i="2"/>
  <c r="AK1018" i="2" s="1"/>
  <c r="AX1017" i="2"/>
  <c r="AK1017" i="2" s="1"/>
  <c r="AX1016" i="2"/>
  <c r="AK1016" i="2" s="1"/>
  <c r="AX1015" i="2"/>
  <c r="AK1015" i="2" s="1"/>
  <c r="AX1014" i="2"/>
  <c r="AK1014" i="2" s="1"/>
  <c r="AX1013" i="2"/>
  <c r="AK1013" i="2" s="1"/>
  <c r="AX1012" i="2"/>
  <c r="AX1011" i="2"/>
  <c r="AK1011" i="2" s="1"/>
  <c r="AX1009" i="2"/>
  <c r="AX1008" i="2"/>
  <c r="AX1004" i="2"/>
  <c r="AK1004" i="2" s="1"/>
  <c r="AX991" i="2"/>
  <c r="AK991" i="2" s="1"/>
  <c r="AX990" i="2"/>
  <c r="AX963" i="2"/>
  <c r="AK963" i="2" s="1"/>
  <c r="AX962" i="2"/>
  <c r="AX961" i="2"/>
  <c r="AX960" i="2"/>
  <c r="AK960" i="2" s="1"/>
  <c r="AX959" i="2"/>
  <c r="AX958" i="2"/>
  <c r="AK958" i="2" s="1"/>
  <c r="AX957" i="2"/>
  <c r="AX953" i="2"/>
  <c r="AK953" i="2" s="1"/>
  <c r="AX952" i="2"/>
  <c r="AK952" i="2" s="1"/>
  <c r="AX951" i="2"/>
  <c r="AX950" i="2"/>
  <c r="AX948" i="2"/>
  <c r="AX947" i="2"/>
  <c r="AK947" i="2" s="1"/>
  <c r="AX946" i="2"/>
  <c r="AX945" i="2"/>
  <c r="AX944" i="2"/>
  <c r="AX943" i="2"/>
  <c r="AX942" i="2"/>
  <c r="AX941" i="2"/>
  <c r="AK941" i="2" s="1"/>
  <c r="AX940" i="2"/>
  <c r="AK940" i="2" s="1"/>
  <c r="AX939" i="2"/>
  <c r="AK939" i="2" s="1"/>
  <c r="AX938" i="2"/>
  <c r="AK938" i="2" s="1"/>
  <c r="AX937" i="2"/>
  <c r="AK937" i="2" s="1"/>
  <c r="AX934" i="2"/>
  <c r="AK934" i="2" s="1"/>
  <c r="AX933" i="2"/>
  <c r="AX932" i="2"/>
  <c r="AK932" i="2" s="1"/>
  <c r="AX926" i="2"/>
  <c r="AK926" i="2" s="1"/>
  <c r="AX925" i="2"/>
  <c r="AX924" i="2"/>
  <c r="AX923" i="2"/>
  <c r="AK923" i="2" s="1"/>
  <c r="AX922" i="2"/>
  <c r="AX921" i="2"/>
  <c r="AX920" i="2"/>
  <c r="AX919" i="2"/>
  <c r="AX918" i="2"/>
  <c r="AX917" i="2"/>
  <c r="AX916" i="2"/>
  <c r="AX915" i="2"/>
  <c r="AX914" i="2"/>
  <c r="AK914" i="2" s="1"/>
  <c r="AX913" i="2"/>
  <c r="AK913" i="2" s="1"/>
  <c r="AX910" i="2"/>
  <c r="AK910" i="2" s="1"/>
  <c r="AX909" i="2"/>
  <c r="AX902" i="2"/>
  <c r="AK902" i="2" s="1"/>
  <c r="AX901" i="2"/>
  <c r="AX900" i="2"/>
  <c r="AX897" i="2"/>
  <c r="AK897" i="2" s="1"/>
  <c r="AX896" i="2"/>
  <c r="AK896" i="2" s="1"/>
  <c r="AX895" i="2"/>
  <c r="AX894" i="2"/>
  <c r="AK894" i="2" s="1"/>
  <c r="AX893" i="2"/>
  <c r="AX892" i="2"/>
  <c r="AX888" i="2"/>
  <c r="AK888" i="2" s="1"/>
  <c r="AX887" i="2"/>
  <c r="AX871" i="2"/>
  <c r="AK871" i="2" s="1"/>
  <c r="AX870" i="2"/>
  <c r="AX869" i="2"/>
  <c r="AX868" i="2"/>
  <c r="AX867" i="2"/>
  <c r="AK867" i="2" s="1"/>
  <c r="AX866" i="2"/>
  <c r="AX865" i="2"/>
  <c r="AX864" i="2"/>
  <c r="AK864" i="2" s="1"/>
  <c r="AX863" i="2"/>
  <c r="AX862" i="2"/>
  <c r="AK862" i="2" s="1"/>
  <c r="AX861" i="2"/>
  <c r="AK861" i="2" s="1"/>
  <c r="AX858" i="2"/>
  <c r="AK858" i="2" s="1"/>
  <c r="AX857" i="2"/>
  <c r="AK857" i="2" s="1"/>
  <c r="AX856" i="2"/>
  <c r="AK856" i="2" s="1"/>
  <c r="AX855" i="2"/>
  <c r="AK855" i="2" s="1"/>
  <c r="AX854" i="2"/>
  <c r="AK854" i="2" s="1"/>
  <c r="AX853" i="2"/>
  <c r="AK853" i="2" s="1"/>
  <c r="AX852" i="2"/>
  <c r="AK852" i="2" s="1"/>
  <c r="AX851" i="2"/>
  <c r="AX850" i="2"/>
  <c r="AX849" i="2"/>
  <c r="AK849" i="2" s="1"/>
  <c r="AX848" i="2"/>
  <c r="AX847" i="2"/>
  <c r="AX846" i="2"/>
  <c r="AX845" i="2"/>
  <c r="AK845" i="2" s="1"/>
  <c r="AX844" i="2"/>
  <c r="AK844" i="2" s="1"/>
  <c r="AX843" i="2"/>
  <c r="AK843" i="2" s="1"/>
  <c r="AX842" i="2"/>
  <c r="AX841" i="2"/>
  <c r="AK841" i="2" s="1"/>
  <c r="AX840" i="2"/>
  <c r="AK840" i="2" s="1"/>
  <c r="AX839" i="2"/>
  <c r="AK839" i="2" s="1"/>
  <c r="AX838" i="2"/>
  <c r="AX837" i="2"/>
  <c r="AX836" i="2"/>
  <c r="AX835" i="2"/>
  <c r="AK835" i="2" s="1"/>
  <c r="AX834" i="2"/>
  <c r="AK834" i="2" s="1"/>
  <c r="AX833" i="2"/>
  <c r="AX824" i="2"/>
  <c r="AX823" i="2"/>
  <c r="AX822" i="2"/>
  <c r="AX813" i="2"/>
  <c r="AX812" i="2"/>
  <c r="AX811" i="2"/>
  <c r="AX810" i="2"/>
  <c r="AK810" i="2" s="1"/>
  <c r="AX809" i="2"/>
  <c r="AK809" i="2" s="1"/>
  <c r="AX808" i="2"/>
  <c r="AK808" i="2" s="1"/>
  <c r="AX807" i="2"/>
  <c r="AK807" i="2" s="1"/>
  <c r="AX806" i="2"/>
  <c r="AK806" i="2" s="1"/>
  <c r="AX805" i="2"/>
  <c r="AK805" i="2" s="1"/>
  <c r="AX801" i="2"/>
  <c r="AK801" i="2" s="1"/>
  <c r="AX796" i="2"/>
  <c r="AK796" i="2" s="1"/>
  <c r="AX795" i="2"/>
  <c r="AX794" i="2"/>
  <c r="AX793" i="2"/>
  <c r="AX792" i="2"/>
  <c r="AX791" i="2"/>
  <c r="AX790" i="2"/>
  <c r="AK790" i="2" s="1"/>
  <c r="AX786" i="2"/>
  <c r="AX768" i="2"/>
  <c r="AK768" i="2" s="1"/>
  <c r="AX767" i="2"/>
  <c r="AX766" i="2"/>
  <c r="AX765" i="2"/>
  <c r="AX764" i="2"/>
  <c r="AX763" i="2"/>
  <c r="AX760" i="2"/>
  <c r="AX759" i="2"/>
  <c r="AX758" i="2"/>
  <c r="AX757" i="2"/>
  <c r="AX756" i="2"/>
  <c r="AX755" i="2"/>
  <c r="AX754" i="2"/>
  <c r="AX753" i="2"/>
  <c r="AX752" i="2"/>
  <c r="AX751" i="2"/>
  <c r="AX750" i="2"/>
  <c r="AK750" i="2" s="1"/>
  <c r="AX749" i="2"/>
  <c r="AK749" i="2" s="1"/>
  <c r="AX748" i="2"/>
  <c r="AK748" i="2" s="1"/>
  <c r="AX747" i="2"/>
  <c r="AX746" i="2"/>
  <c r="AX745" i="2"/>
  <c r="AX744" i="2"/>
  <c r="AX743" i="2"/>
  <c r="AK743" i="2" s="1"/>
  <c r="AX742" i="2"/>
  <c r="AX741" i="2"/>
  <c r="AX740" i="2"/>
  <c r="AX739" i="2"/>
  <c r="AX738" i="2"/>
  <c r="AX737" i="2"/>
  <c r="AX736" i="2"/>
  <c r="AK736" i="2" s="1"/>
  <c r="AX735" i="2"/>
  <c r="AX734" i="2"/>
  <c r="AX733" i="2"/>
  <c r="AX732" i="2"/>
  <c r="AK732" i="2" s="1"/>
  <c r="AX731" i="2"/>
  <c r="AX730" i="2"/>
  <c r="AK730" i="2" s="1"/>
  <c r="AX729" i="2"/>
  <c r="AX728" i="2"/>
  <c r="AX727" i="2"/>
  <c r="AK727" i="2" s="1"/>
  <c r="AX726" i="2"/>
  <c r="AX725" i="2"/>
  <c r="AX722" i="2"/>
  <c r="AX721" i="2"/>
  <c r="AX720" i="2"/>
  <c r="AX719" i="2"/>
  <c r="AK719" i="2" s="1"/>
  <c r="AX717" i="2"/>
  <c r="AK717" i="2" s="1"/>
  <c r="AX716" i="2"/>
  <c r="AK716" i="2" s="1"/>
  <c r="AX715" i="2"/>
  <c r="AX714" i="2"/>
  <c r="AX713" i="2"/>
  <c r="AX712" i="2"/>
  <c r="AX711" i="2"/>
  <c r="AK711" i="2" s="1"/>
  <c r="AX710" i="2"/>
  <c r="AX709" i="2"/>
  <c r="AX708" i="2"/>
  <c r="AK708" i="2" s="1"/>
  <c r="AX707" i="2"/>
  <c r="AK707" i="2" s="1"/>
  <c r="AX706" i="2"/>
  <c r="AX705" i="2"/>
  <c r="AX704" i="2"/>
  <c r="AX703" i="2"/>
  <c r="AX702" i="2"/>
  <c r="AX701" i="2"/>
  <c r="AX700" i="2"/>
  <c r="AX694" i="2"/>
  <c r="AX693" i="2"/>
  <c r="AK693" i="2" s="1"/>
  <c r="AX692" i="2"/>
  <c r="AX691" i="2"/>
  <c r="AX690" i="2"/>
  <c r="AK690" i="2" s="1"/>
  <c r="AX689" i="2"/>
  <c r="AK689" i="2" s="1"/>
  <c r="AX688" i="2"/>
  <c r="AX687" i="2"/>
  <c r="AX686" i="2"/>
  <c r="AX685" i="2"/>
  <c r="AX684" i="2"/>
  <c r="AK684" i="2" s="1"/>
  <c r="AX683" i="2"/>
  <c r="AX682" i="2"/>
  <c r="AX681" i="2"/>
  <c r="AX680" i="2"/>
  <c r="AX666" i="2"/>
  <c r="AX665" i="2"/>
  <c r="AK665" i="2" s="1"/>
  <c r="AX664" i="2"/>
  <c r="AK664" i="2" s="1"/>
  <c r="AX663" i="2"/>
  <c r="AX661" i="2"/>
  <c r="AK661" i="2" s="1"/>
  <c r="AX660" i="2"/>
  <c r="AK660" i="2" s="1"/>
  <c r="AX659" i="2"/>
  <c r="AX658" i="2"/>
  <c r="AX657" i="2"/>
  <c r="AK657" i="2" s="1"/>
  <c r="AX656" i="2"/>
  <c r="AK656" i="2" s="1"/>
  <c r="AX654" i="2"/>
  <c r="AX643" i="2"/>
  <c r="AX639" i="2"/>
  <c r="AK639" i="2" s="1"/>
  <c r="AX638" i="2"/>
  <c r="AX637" i="2"/>
  <c r="AX636" i="2"/>
  <c r="AK636" i="2" s="1"/>
  <c r="AX635" i="2"/>
  <c r="AK635" i="2" s="1"/>
  <c r="AX634" i="2"/>
  <c r="AK634" i="2" s="1"/>
  <c r="AX633" i="2"/>
  <c r="AK633" i="2" s="1"/>
  <c r="AX632" i="2"/>
  <c r="AK632" i="2" s="1"/>
  <c r="AX630" i="2"/>
  <c r="AK630" i="2" s="1"/>
  <c r="AX629" i="2"/>
  <c r="AK629" i="2" s="1"/>
  <c r="AX627" i="2"/>
  <c r="AX626" i="2"/>
  <c r="AK626" i="2" s="1"/>
  <c r="AX625" i="2"/>
  <c r="AX624" i="2"/>
  <c r="AX623" i="2"/>
  <c r="AX622" i="2"/>
  <c r="AX621" i="2"/>
  <c r="AX620" i="2"/>
  <c r="AX618" i="2"/>
  <c r="AX617" i="2"/>
  <c r="AX607" i="2"/>
  <c r="AX606" i="2"/>
  <c r="AK606" i="2" s="1"/>
  <c r="AX605" i="2"/>
  <c r="AK605" i="2" s="1"/>
  <c r="AX601" i="2"/>
  <c r="AK601" i="2" s="1"/>
  <c r="AX600" i="2"/>
  <c r="AX598" i="2"/>
  <c r="AX597" i="2"/>
  <c r="AX596" i="2"/>
  <c r="AK596" i="2" s="1"/>
  <c r="AX595" i="2"/>
  <c r="AK595" i="2" s="1"/>
  <c r="AX594" i="2"/>
  <c r="AX593" i="2"/>
  <c r="AX592" i="2"/>
  <c r="AK592" i="2" s="1"/>
  <c r="AX591" i="2"/>
  <c r="AX590" i="2"/>
  <c r="AX589" i="2"/>
  <c r="AK589" i="2" s="1"/>
  <c r="AX588" i="2"/>
  <c r="AK588" i="2" s="1"/>
  <c r="AX573" i="2"/>
  <c r="AX559" i="2"/>
  <c r="AX558" i="2"/>
  <c r="AX557" i="2"/>
  <c r="AX556" i="2"/>
  <c r="AK556" i="2" s="1"/>
  <c r="AX555" i="2"/>
  <c r="AK555" i="2" s="1"/>
  <c r="AX554" i="2"/>
  <c r="AK554" i="2" s="1"/>
  <c r="AX553" i="2"/>
  <c r="AK553" i="2" s="1"/>
  <c r="AX552" i="2"/>
  <c r="AX540" i="2"/>
  <c r="AK540" i="2" s="1"/>
  <c r="AX539" i="2"/>
  <c r="AX485" i="2"/>
  <c r="AX484" i="2"/>
  <c r="AX483" i="2"/>
  <c r="AX482" i="2"/>
  <c r="AX481" i="2"/>
  <c r="AX480" i="2"/>
  <c r="AX479" i="2"/>
  <c r="AX478" i="2"/>
  <c r="AX477" i="2"/>
  <c r="AK477" i="2" s="1"/>
  <c r="AX449" i="2"/>
  <c r="AX448" i="2"/>
  <c r="AX447" i="2"/>
  <c r="AK447" i="2" s="1"/>
  <c r="AX438" i="2"/>
  <c r="AK438" i="2" s="1"/>
  <c r="AX437" i="2"/>
  <c r="AX436" i="2"/>
  <c r="AK436" i="2" s="1"/>
  <c r="AX432" i="2"/>
  <c r="AX431" i="2"/>
  <c r="AX430" i="2"/>
  <c r="AX427" i="2"/>
  <c r="AX426" i="2"/>
  <c r="AX425" i="2"/>
  <c r="AK425" i="2" s="1"/>
  <c r="AX424" i="2"/>
  <c r="AK424" i="2" s="1"/>
  <c r="AX423" i="2"/>
  <c r="AK423" i="2" s="1"/>
  <c r="AX422" i="2"/>
  <c r="AX418" i="2"/>
  <c r="AX417" i="2"/>
  <c r="AK417" i="2" s="1"/>
  <c r="AX416" i="2"/>
  <c r="AK416" i="2" s="1"/>
  <c r="AX415" i="2"/>
  <c r="AX410" i="2"/>
  <c r="AX409" i="2"/>
  <c r="AK409" i="2" s="1"/>
  <c r="AX403" i="2"/>
  <c r="AK403" i="2" s="1"/>
  <c r="AX400" i="2"/>
  <c r="AX390" i="2"/>
  <c r="AK390" i="2" s="1"/>
  <c r="AX389" i="2"/>
  <c r="AX388" i="2"/>
  <c r="AX387" i="2"/>
  <c r="AK387" i="2" s="1"/>
  <c r="AX378" i="2"/>
  <c r="AK378" i="2" s="1"/>
  <c r="AX377" i="2"/>
  <c r="AX376" i="2"/>
  <c r="AK376" i="2" s="1"/>
  <c r="AX374" i="2"/>
  <c r="AX373" i="2"/>
  <c r="AX368" i="2"/>
  <c r="AX361" i="2"/>
  <c r="AK361" i="2" s="1"/>
  <c r="AX360" i="2"/>
  <c r="AK360" i="2" s="1"/>
  <c r="AX358" i="2"/>
  <c r="AX357" i="2"/>
  <c r="AX356" i="2"/>
  <c r="AX355" i="2"/>
  <c r="AX354" i="2"/>
  <c r="AX353" i="2"/>
  <c r="AX352" i="2"/>
  <c r="AK352" i="2" s="1"/>
  <c r="AX351" i="2"/>
  <c r="AK351" i="2" s="1"/>
  <c r="AX350" i="2"/>
  <c r="AK350" i="2" s="1"/>
  <c r="AX349" i="2"/>
  <c r="AK349" i="2" s="1"/>
  <c r="AX348" i="2"/>
  <c r="AX347" i="2"/>
  <c r="AX346" i="2"/>
  <c r="AX345" i="2"/>
  <c r="AK345" i="2" s="1"/>
  <c r="AX344" i="2"/>
  <c r="AX343" i="2"/>
  <c r="AK343" i="2" s="1"/>
  <c r="AX339" i="2"/>
  <c r="AX338" i="2"/>
  <c r="AX336" i="2"/>
  <c r="AK336" i="2" s="1"/>
  <c r="AX335" i="2"/>
  <c r="AK335" i="2" s="1"/>
  <c r="AX334" i="2"/>
  <c r="AX333" i="2"/>
  <c r="AX332" i="2"/>
  <c r="AX331" i="2"/>
  <c r="AX330" i="2"/>
  <c r="AK330" i="2" s="1"/>
  <c r="AX329" i="2"/>
  <c r="AX328" i="2"/>
  <c r="AX327" i="2"/>
  <c r="AK327" i="2" s="1"/>
  <c r="AX326" i="2"/>
  <c r="AX325" i="2"/>
  <c r="AX324" i="2"/>
  <c r="AK324" i="2" s="1"/>
  <c r="AX323" i="2"/>
  <c r="AK323" i="2" s="1"/>
  <c r="AX322" i="2"/>
  <c r="AX321" i="2"/>
  <c r="AX320" i="2"/>
  <c r="AK320" i="2" s="1"/>
  <c r="AX319" i="2"/>
  <c r="AX318" i="2"/>
  <c r="AK318" i="2" s="1"/>
  <c r="AX317" i="2"/>
  <c r="AX316" i="2"/>
  <c r="AX315" i="2"/>
  <c r="AK315" i="2" s="1"/>
  <c r="AX314" i="2"/>
  <c r="AK314" i="2" s="1"/>
  <c r="AX313" i="2"/>
  <c r="AX312" i="2"/>
  <c r="AX311" i="2"/>
  <c r="AK311" i="2" s="1"/>
  <c r="AX310" i="2"/>
  <c r="AK310" i="2" s="1"/>
  <c r="AX309" i="2"/>
  <c r="AK309" i="2" s="1"/>
  <c r="AX308" i="2"/>
  <c r="AX307" i="2"/>
  <c r="AX306" i="2"/>
  <c r="AK306" i="2" s="1"/>
  <c r="AX305" i="2"/>
  <c r="AX304" i="2"/>
  <c r="AX303" i="2"/>
  <c r="AX302" i="2"/>
  <c r="AX301" i="2"/>
  <c r="AX300" i="2"/>
  <c r="AX299" i="2"/>
  <c r="AK299" i="2" s="1"/>
  <c r="AX298" i="2"/>
  <c r="AX297" i="2"/>
  <c r="AK297" i="2" s="1"/>
  <c r="AX296" i="2"/>
  <c r="AK296" i="2" s="1"/>
  <c r="AX295" i="2"/>
  <c r="AX294" i="2"/>
  <c r="AK294" i="2" s="1"/>
  <c r="AX293" i="2"/>
  <c r="AX292" i="2"/>
  <c r="AX291" i="2"/>
  <c r="AX290" i="2"/>
  <c r="AK290" i="2" s="1"/>
  <c r="AX289" i="2"/>
  <c r="AX288" i="2"/>
  <c r="AX287" i="2"/>
  <c r="AK287" i="2" s="1"/>
  <c r="AX286" i="2"/>
  <c r="AX285" i="2"/>
  <c r="AX284" i="2"/>
  <c r="AX280" i="2"/>
  <c r="AX279" i="2"/>
  <c r="AK279" i="2" s="1"/>
  <c r="AX278" i="2"/>
  <c r="AX277" i="2"/>
  <c r="AK277" i="2" s="1"/>
  <c r="AX272" i="2"/>
  <c r="AK272" i="2" s="1"/>
  <c r="AX271" i="2"/>
  <c r="AK271" i="2" s="1"/>
  <c r="AX270" i="2"/>
  <c r="AX269" i="2"/>
  <c r="AX268" i="2"/>
  <c r="AK268" i="2" s="1"/>
  <c r="AX267" i="2"/>
  <c r="AK267" i="2" s="1"/>
  <c r="AX266" i="2"/>
  <c r="AK266" i="2" s="1"/>
  <c r="AX265" i="2"/>
  <c r="AX264" i="2"/>
  <c r="AX263" i="2"/>
  <c r="AK263" i="2" s="1"/>
  <c r="AX262" i="2"/>
  <c r="AX261" i="2"/>
  <c r="AX260" i="2"/>
  <c r="AX259" i="2"/>
  <c r="AX258" i="2"/>
  <c r="AX257" i="2"/>
  <c r="AX256" i="2"/>
  <c r="AK256" i="2" s="1"/>
  <c r="AX255" i="2"/>
  <c r="AX254" i="2"/>
  <c r="AK254" i="2" s="1"/>
  <c r="AX253" i="2"/>
  <c r="AK253" i="2" s="1"/>
  <c r="AX252" i="2"/>
  <c r="AX251" i="2"/>
  <c r="AK251" i="2" s="1"/>
  <c r="AX250" i="2"/>
  <c r="AX249" i="2"/>
  <c r="AK249" i="2" s="1"/>
  <c r="AX248" i="2"/>
  <c r="AX247" i="2"/>
  <c r="AX246" i="2"/>
  <c r="AX245" i="2"/>
  <c r="AK245" i="2" s="1"/>
  <c r="AX244" i="2"/>
  <c r="AX243" i="2"/>
  <c r="AX242" i="2"/>
  <c r="AX241" i="2"/>
  <c r="AX240" i="2"/>
  <c r="AX239" i="2"/>
  <c r="AK239" i="2" s="1"/>
  <c r="AX231" i="2"/>
  <c r="AX230" i="2"/>
  <c r="AK230" i="2" s="1"/>
  <c r="AX229" i="2"/>
  <c r="AK229" i="2" s="1"/>
  <c r="AX228" i="2"/>
  <c r="AK228" i="2" s="1"/>
  <c r="AX227" i="2"/>
  <c r="AX226" i="2"/>
  <c r="AX222" i="2"/>
  <c r="AK222" i="2" s="1"/>
  <c r="AX220" i="2"/>
  <c r="AX219" i="2"/>
  <c r="AX218" i="2"/>
  <c r="AX217" i="2"/>
  <c r="AX216" i="2"/>
  <c r="AX215" i="2"/>
  <c r="AK215" i="2" s="1"/>
  <c r="AX214" i="2"/>
  <c r="AX213" i="2"/>
  <c r="AK213" i="2" s="1"/>
  <c r="AX209" i="2"/>
  <c r="AX208" i="2"/>
  <c r="AK208" i="2" s="1"/>
  <c r="AX207" i="2"/>
  <c r="AX206" i="2"/>
  <c r="AK206" i="2" s="1"/>
  <c r="AX205" i="2"/>
  <c r="AX204" i="2"/>
  <c r="AK204" i="2" s="1"/>
  <c r="AX203" i="2"/>
  <c r="AK203" i="2" s="1"/>
  <c r="AX202" i="2"/>
  <c r="AX201" i="2"/>
  <c r="AX200" i="2"/>
  <c r="AX199" i="2"/>
  <c r="AX198" i="2"/>
  <c r="AX197" i="2"/>
  <c r="AX196" i="2"/>
  <c r="AX195" i="2"/>
  <c r="AX194" i="2"/>
  <c r="AK194" i="2" s="1"/>
  <c r="AX193" i="2"/>
  <c r="AX192" i="2"/>
  <c r="AX191" i="2"/>
  <c r="AK191" i="2" s="1"/>
  <c r="AX190" i="2"/>
  <c r="AK190" i="2" s="1"/>
  <c r="AX189" i="2"/>
  <c r="AX188" i="2"/>
  <c r="AX187" i="2"/>
  <c r="AK187" i="2" s="1"/>
  <c r="AX186" i="2"/>
  <c r="AX184" i="2"/>
  <c r="AX183" i="2"/>
  <c r="AX182" i="2"/>
  <c r="AX181" i="2"/>
  <c r="AK181" i="2" s="1"/>
  <c r="AX180" i="2"/>
  <c r="AX179" i="2"/>
  <c r="AX178" i="2"/>
  <c r="AX177" i="2"/>
  <c r="AX176" i="2"/>
  <c r="AK176" i="2" s="1"/>
  <c r="AX175" i="2"/>
  <c r="AK175" i="2" s="1"/>
  <c r="AX174" i="2"/>
  <c r="AK174" i="2" s="1"/>
  <c r="AX173" i="2"/>
  <c r="AX172" i="2"/>
  <c r="AX171" i="2"/>
  <c r="AX170" i="2"/>
  <c r="AX169" i="2"/>
  <c r="AK169" i="2" s="1"/>
  <c r="AX168" i="2"/>
  <c r="AX167" i="2"/>
  <c r="AX166" i="2"/>
  <c r="AX165" i="2"/>
  <c r="AX150" i="2"/>
  <c r="AX149" i="2"/>
  <c r="AX148" i="2"/>
  <c r="AK148" i="2" s="1"/>
  <c r="AX147" i="2"/>
  <c r="AX146" i="2"/>
  <c r="AX145" i="2"/>
  <c r="AX144" i="2"/>
  <c r="AX143" i="2"/>
  <c r="AK143" i="2" s="1"/>
  <c r="AX142" i="2"/>
  <c r="AK142" i="2" s="1"/>
  <c r="AX141" i="2"/>
  <c r="AX140" i="2"/>
  <c r="AC140" i="2" s="1"/>
  <c r="AX139" i="2"/>
  <c r="AX138" i="2"/>
  <c r="AX137" i="2"/>
  <c r="AX136" i="2"/>
  <c r="AX135" i="2"/>
  <c r="AX134" i="2"/>
  <c r="AX112" i="2"/>
  <c r="AX111" i="2"/>
  <c r="AX110" i="2"/>
  <c r="AK110" i="2" s="1"/>
  <c r="AX109" i="2"/>
  <c r="AX108" i="2"/>
  <c r="AX107" i="2"/>
  <c r="AX106" i="2"/>
  <c r="AX105" i="2"/>
  <c r="AX104" i="2"/>
  <c r="AK104" i="2" s="1"/>
  <c r="AX103" i="2"/>
  <c r="AK103" i="2" s="1"/>
  <c r="AX102" i="2"/>
  <c r="AX101" i="2"/>
  <c r="AX100" i="2"/>
  <c r="AX99" i="2"/>
  <c r="AX92" i="2"/>
  <c r="AX91" i="2"/>
  <c r="AX79" i="2"/>
  <c r="AX78" i="2"/>
  <c r="AK78" i="2" s="1"/>
  <c r="AX77" i="2"/>
  <c r="AX76" i="2"/>
  <c r="AX75" i="2"/>
  <c r="AX74" i="2"/>
  <c r="AK74" i="2" s="1"/>
  <c r="AX73" i="2"/>
  <c r="AK73" i="2" s="1"/>
  <c r="AX55" i="2"/>
  <c r="AK55" i="2" s="1"/>
  <c r="AX54" i="2"/>
  <c r="AX53" i="2"/>
  <c r="AK53" i="2" s="1"/>
  <c r="AX52" i="2"/>
  <c r="AK52" i="2" s="1"/>
  <c r="AX51" i="2"/>
  <c r="AX50" i="2"/>
  <c r="AX1244" i="2"/>
  <c r="AX1243" i="2"/>
  <c r="AK1243" i="2" s="1"/>
  <c r="AX1232" i="2"/>
  <c r="AK1232" i="2" s="1"/>
  <c r="AX1197" i="2"/>
  <c r="AX1184" i="2"/>
  <c r="AX1144" i="2"/>
  <c r="AK1144" i="2" s="1"/>
  <c r="AX883" i="2"/>
  <c r="AK883" i="2" s="1"/>
  <c r="AX1235" i="2"/>
  <c r="AX1227" i="2"/>
  <c r="AK1227" i="2" s="1"/>
  <c r="AX1222" i="2"/>
  <c r="AK1222" i="2" s="1"/>
  <c r="AX1216" i="2"/>
  <c r="AK1216" i="2" s="1"/>
  <c r="AX1209" i="2"/>
  <c r="AK1209" i="2" s="1"/>
  <c r="AX1196" i="2"/>
  <c r="AK1196" i="2" s="1"/>
  <c r="AX1183" i="2"/>
  <c r="AK1183" i="2" s="1"/>
  <c r="AX1178" i="2"/>
  <c r="AK1178" i="2" s="1"/>
  <c r="AX891" i="2"/>
  <c r="AX1146" i="2"/>
  <c r="AX882" i="2"/>
  <c r="AK882" i="2" s="1"/>
  <c r="AX1242" i="2"/>
  <c r="AX1240" i="2"/>
  <c r="AX1239" i="2"/>
  <c r="AK1239" i="2" s="1"/>
  <c r="AX1238" i="2"/>
  <c r="AK1238" i="2" s="1"/>
  <c r="AX1237" i="2"/>
  <c r="AK1237" i="2" s="1"/>
  <c r="AX1231" i="2"/>
  <c r="AK1231" i="2" s="1"/>
  <c r="AX1230" i="2"/>
  <c r="AK1230" i="2" s="1"/>
  <c r="AX1229" i="2"/>
  <c r="AX1226" i="2"/>
  <c r="AX1221" i="2"/>
  <c r="AK1221" i="2" s="1"/>
  <c r="AX1215" i="2"/>
  <c r="AX1214" i="2"/>
  <c r="AX1213" i="2"/>
  <c r="AX1195" i="2"/>
  <c r="AX1182" i="2"/>
  <c r="AX1158" i="2"/>
  <c r="AX798" i="2"/>
  <c r="AX1224" i="2"/>
  <c r="AX1223" i="2"/>
  <c r="AX1236" i="2"/>
  <c r="AK1236" i="2" s="1"/>
  <c r="AX1234" i="2"/>
  <c r="AK1234" i="2" s="1"/>
  <c r="AX1233" i="2"/>
  <c r="AK1233" i="2" s="1"/>
  <c r="AX1228" i="2"/>
  <c r="AK1228" i="2" s="1"/>
  <c r="AX1225" i="2"/>
  <c r="AK1225" i="2" s="1"/>
  <c r="AX1220" i="2"/>
  <c r="AK1220" i="2" s="1"/>
  <c r="AX1219" i="2"/>
  <c r="AK1219" i="2" s="1"/>
  <c r="AX1218" i="2"/>
  <c r="AK1218" i="2" s="1"/>
  <c r="AX1217" i="2"/>
  <c r="AK1217" i="2" s="1"/>
  <c r="AX1208" i="2"/>
  <c r="AK1208" i="2" s="1"/>
  <c r="AX1207" i="2"/>
  <c r="AK1207" i="2" s="1"/>
  <c r="AX1206" i="2"/>
  <c r="AK1206" i="2" s="1"/>
  <c r="AX1205" i="2"/>
  <c r="AK1205" i="2" s="1"/>
  <c r="AX1199" i="2"/>
  <c r="AK1199" i="2" s="1"/>
  <c r="AX1194" i="2"/>
  <c r="AK1194" i="2" s="1"/>
  <c r="AX1192" i="2"/>
  <c r="AK1192" i="2" s="1"/>
  <c r="AX1189" i="2"/>
  <c r="AK1189" i="2" s="1"/>
  <c r="AX1177" i="2"/>
  <c r="AK1177" i="2" s="1"/>
  <c r="AX1176" i="2"/>
  <c r="AK1176" i="2" s="1"/>
  <c r="AX1172" i="2"/>
  <c r="AK1172" i="2" s="1"/>
  <c r="AX1156" i="2"/>
  <c r="AK1156" i="2" s="1"/>
  <c r="AX1143" i="2"/>
  <c r="AK1143" i="2" s="1"/>
  <c r="AX1095" i="2"/>
  <c r="AK1095" i="2" s="1"/>
  <c r="AX1024" i="2"/>
  <c r="AK1024" i="2" s="1"/>
  <c r="AX1023" i="2"/>
  <c r="AK1023" i="2" s="1"/>
  <c r="AX890" i="2"/>
  <c r="AK890" i="2" s="1"/>
  <c r="AK889" i="2"/>
  <c r="AX881" i="2"/>
  <c r="AK881" i="2" s="1"/>
  <c r="AX587" i="2"/>
  <c r="AX1142" i="2"/>
  <c r="AK1142" i="2" s="1"/>
  <c r="AX1134" i="2"/>
  <c r="AK1134" i="2" s="1"/>
  <c r="AX880" i="2"/>
  <c r="AK880" i="2" s="1"/>
  <c r="AX1212" i="2"/>
  <c r="AK1212" i="2" s="1"/>
  <c r="AX1211" i="2"/>
  <c r="AX1204" i="2"/>
  <c r="AK1204" i="2" s="1"/>
  <c r="AX1193" i="2"/>
  <c r="AX1191" i="2"/>
  <c r="AX1186" i="2"/>
  <c r="AK1186" i="2" s="1"/>
  <c r="AX1185" i="2"/>
  <c r="AK1185" i="2" s="1"/>
  <c r="AX1181" i="2"/>
  <c r="AK1181" i="2" s="1"/>
  <c r="AX1175" i="2"/>
  <c r="AX1173" i="2"/>
  <c r="AX1170" i="2"/>
  <c r="AX1168" i="2"/>
  <c r="AX1167" i="2"/>
  <c r="AX1162" i="2"/>
  <c r="AK1162" i="2" s="1"/>
  <c r="AX1157" i="2"/>
  <c r="AX1154" i="2"/>
  <c r="AX1153" i="2"/>
  <c r="AX1022" i="2"/>
  <c r="AX829" i="2"/>
  <c r="AX797" i="2"/>
  <c r="AX604" i="2"/>
  <c r="AX603" i="2"/>
  <c r="AX602" i="2"/>
  <c r="AX1198" i="2"/>
  <c r="AX1169" i="2"/>
  <c r="AX1141" i="2"/>
  <c r="AX879" i="2"/>
  <c r="AX1210" i="2"/>
  <c r="AK1210" i="2" s="1"/>
  <c r="AX1203" i="2"/>
  <c r="AK1203" i="2" s="1"/>
  <c r="AX1179" i="2"/>
  <c r="AK1179" i="2" s="1"/>
  <c r="AX1166" i="2"/>
  <c r="AK1166" i="2" s="1"/>
  <c r="AX1161" i="2"/>
  <c r="AX1122" i="2"/>
  <c r="AK1122" i="2" s="1"/>
  <c r="AX1086" i="2"/>
  <c r="AX1025" i="2"/>
  <c r="AK1025" i="2" s="1"/>
  <c r="AX1021" i="2"/>
  <c r="AK1021" i="2" s="1"/>
  <c r="AX1020" i="2"/>
  <c r="AK1020" i="2" s="1"/>
  <c r="AX1007" i="2"/>
  <c r="AK1007" i="2" s="1"/>
  <c r="AX992" i="2"/>
  <c r="AX908" i="2"/>
  <c r="AK908" i="2" s="1"/>
  <c r="AX907" i="2"/>
  <c r="AK907" i="2" s="1"/>
  <c r="AX877" i="2"/>
  <c r="AK877" i="2" s="1"/>
  <c r="AX828" i="2"/>
  <c r="AX827" i="2"/>
  <c r="AX1202" i="2"/>
  <c r="AX1201" i="2"/>
  <c r="AX878" i="2"/>
  <c r="AX1200" i="2"/>
  <c r="AX1180" i="2"/>
  <c r="AK1180" i="2" s="1"/>
  <c r="AX1155" i="2"/>
  <c r="AX1151" i="2"/>
  <c r="AK1151" i="2" s="1"/>
  <c r="AX1140" i="2"/>
  <c r="AK1140" i="2" s="1"/>
  <c r="AX1137" i="2"/>
  <c r="AK1137" i="2" s="1"/>
  <c r="AX1124" i="2"/>
  <c r="AK1124" i="2" s="1"/>
  <c r="AX1121" i="2"/>
  <c r="AK1121" i="2" s="1"/>
  <c r="AX1111" i="2"/>
  <c r="AK1111" i="2" s="1"/>
  <c r="AX1085" i="2"/>
  <c r="AK1085" i="2" s="1"/>
  <c r="AX1079" i="2"/>
  <c r="AK1079" i="2" s="1"/>
  <c r="AX1077" i="2"/>
  <c r="AX1069" i="2"/>
  <c r="AX1068" i="2"/>
  <c r="AX1006" i="2"/>
  <c r="AX1003" i="2"/>
  <c r="AK1003" i="2" s="1"/>
  <c r="AX1002" i="2"/>
  <c r="AK1002" i="2" s="1"/>
  <c r="AX1001" i="2"/>
  <c r="AK1001" i="2" s="1"/>
  <c r="AX1000" i="2"/>
  <c r="AX999" i="2"/>
  <c r="AK999" i="2" s="1"/>
  <c r="AX997" i="2"/>
  <c r="AK997" i="2" s="1"/>
  <c r="AX996" i="2"/>
  <c r="AX995" i="2"/>
  <c r="AK995" i="2" s="1"/>
  <c r="AX994" i="2"/>
  <c r="AX989" i="2"/>
  <c r="AX988" i="2"/>
  <c r="AX981" i="2"/>
  <c r="AX980" i="2"/>
  <c r="AX979" i="2"/>
  <c r="AK979" i="2" s="1"/>
  <c r="AX977" i="2"/>
  <c r="AK977" i="2" s="1"/>
  <c r="AX976" i="2"/>
  <c r="AX972" i="2"/>
  <c r="AX969" i="2"/>
  <c r="AK969" i="2" s="1"/>
  <c r="AX966" i="2"/>
  <c r="AK966" i="2" s="1"/>
  <c r="AX965" i="2"/>
  <c r="AK965" i="2" s="1"/>
  <c r="AX912" i="2"/>
  <c r="AK912" i="2" s="1"/>
  <c r="AX906" i="2"/>
  <c r="AK906" i="2" s="1"/>
  <c r="AX905" i="2"/>
  <c r="AK905" i="2" s="1"/>
  <c r="AX899" i="2"/>
  <c r="AK899" i="2" s="1"/>
  <c r="AX898" i="2"/>
  <c r="AK898" i="2" s="1"/>
  <c r="AX886" i="2"/>
  <c r="AK886" i="2" s="1"/>
  <c r="AX872" i="2"/>
  <c r="AK872" i="2" s="1"/>
  <c r="AX826" i="2"/>
  <c r="AK826" i="2" s="1"/>
  <c r="AX825" i="2"/>
  <c r="AX1171" i="2"/>
  <c r="AK1171" i="2" s="1"/>
  <c r="AX1174" i="2"/>
  <c r="AX1165" i="2"/>
  <c r="AX1164" i="2"/>
  <c r="AX1163" i="2"/>
  <c r="AX1160" i="2"/>
  <c r="AK1160" i="2" s="1"/>
  <c r="AX1159" i="2"/>
  <c r="AX1152" i="2"/>
  <c r="AX1150" i="2"/>
  <c r="AK1150" i="2" s="1"/>
  <c r="AX1149" i="2"/>
  <c r="AK1149" i="2" s="1"/>
  <c r="AX1148" i="2"/>
  <c r="AX1139" i="2"/>
  <c r="AK1139" i="2" s="1"/>
  <c r="AX1136" i="2"/>
  <c r="AK1136" i="2" s="1"/>
  <c r="AX1128" i="2"/>
  <c r="AX1127" i="2"/>
  <c r="AK1127" i="2" s="1"/>
  <c r="AX1126" i="2"/>
  <c r="AX1125" i="2"/>
  <c r="AX1123" i="2"/>
  <c r="AX1113" i="2"/>
  <c r="AK1113" i="2" s="1"/>
  <c r="AX1112" i="2"/>
  <c r="AX1110" i="2"/>
  <c r="AK1110" i="2" s="1"/>
  <c r="AX1106" i="2"/>
  <c r="AK1106" i="2" s="1"/>
  <c r="AX1088" i="2"/>
  <c r="AX1087" i="2"/>
  <c r="AK1087" i="2" s="1"/>
  <c r="AX1083" i="2"/>
  <c r="AX1082" i="2"/>
  <c r="AK1082" i="2" s="1"/>
  <c r="AX1078" i="2"/>
  <c r="AK1078" i="2" s="1"/>
  <c r="AX1076" i="2"/>
  <c r="AK1076" i="2" s="1"/>
  <c r="AX1072" i="2"/>
  <c r="AX1071" i="2"/>
  <c r="AX1070" i="2"/>
  <c r="AX1039" i="2"/>
  <c r="AK1039" i="2" s="1"/>
  <c r="AX1038" i="2"/>
  <c r="AK1038" i="2" s="1"/>
  <c r="AX1010" i="2"/>
  <c r="AX1005" i="2"/>
  <c r="AK1005" i="2" s="1"/>
  <c r="AX998" i="2"/>
  <c r="AK998" i="2" s="1"/>
  <c r="AX993" i="2"/>
  <c r="AK993" i="2" s="1"/>
  <c r="AX978" i="2"/>
  <c r="AK978" i="2" s="1"/>
  <c r="AX975" i="2"/>
  <c r="AK975" i="2" s="1"/>
  <c r="AX971" i="2"/>
  <c r="AX968" i="2"/>
  <c r="AK968" i="2" s="1"/>
  <c r="AX964" i="2"/>
  <c r="AX956" i="2"/>
  <c r="AK956" i="2" s="1"/>
  <c r="AX955" i="2"/>
  <c r="AK955" i="2" s="1"/>
  <c r="AX911" i="2"/>
  <c r="AX876" i="2"/>
  <c r="AK876" i="2" s="1"/>
  <c r="AX875" i="2"/>
  <c r="AK875" i="2" s="1"/>
  <c r="AX860" i="2"/>
  <c r="AX831" i="2"/>
  <c r="AX830" i="2"/>
  <c r="AK830" i="2" s="1"/>
  <c r="AX820" i="2"/>
  <c r="AX819" i="2"/>
  <c r="AK819" i="2" s="1"/>
  <c r="AX802" i="2"/>
  <c r="AX679" i="2"/>
  <c r="AX678" i="2"/>
  <c r="AK678" i="2" s="1"/>
  <c r="AX677" i="2"/>
  <c r="AX676" i="2"/>
  <c r="AK676" i="2" s="1"/>
  <c r="AX586" i="2"/>
  <c r="AK586" i="2" s="1"/>
  <c r="AX931" i="2"/>
  <c r="AK931" i="2" s="1"/>
  <c r="AX930" i="2"/>
  <c r="AK930" i="2" s="1"/>
  <c r="AX929" i="2"/>
  <c r="AX928" i="2"/>
  <c r="AX904" i="2"/>
  <c r="AX987" i="2"/>
  <c r="AX974" i="2"/>
  <c r="AX1145" i="2"/>
  <c r="AX1138" i="2"/>
  <c r="AX1135" i="2"/>
  <c r="AK1135" i="2" s="1"/>
  <c r="AX1090" i="2"/>
  <c r="AK1090" i="2" s="1"/>
  <c r="AX1089" i="2"/>
  <c r="AK1089" i="2" s="1"/>
  <c r="AX1084" i="2"/>
  <c r="AK1084" i="2" s="1"/>
  <c r="AX1075" i="2"/>
  <c r="AK1075" i="2" s="1"/>
  <c r="AX1056" i="2"/>
  <c r="AK1056" i="2" s="1"/>
  <c r="AX1027" i="2"/>
  <c r="AX1026" i="2"/>
  <c r="AX986" i="2"/>
  <c r="AX985" i="2"/>
  <c r="AX984" i="2"/>
  <c r="AX983" i="2"/>
  <c r="AK983" i="2" s="1"/>
  <c r="AX973" i="2"/>
  <c r="AX970" i="2"/>
  <c r="AK970" i="2" s="1"/>
  <c r="AX967" i="2"/>
  <c r="AK967" i="2" s="1"/>
  <c r="AX954" i="2"/>
  <c r="AK954" i="2" s="1"/>
  <c r="AX949" i="2"/>
  <c r="AX903" i="2"/>
  <c r="AK903" i="2" s="1"/>
  <c r="AX873" i="2"/>
  <c r="AK873" i="2" s="1"/>
  <c r="AX815" i="2"/>
  <c r="AX814" i="2"/>
  <c r="AX804" i="2"/>
  <c r="AX803" i="2"/>
  <c r="AK803" i="2" s="1"/>
  <c r="AX788" i="2"/>
  <c r="AX785" i="2"/>
  <c r="AX784" i="2"/>
  <c r="AX781" i="2"/>
  <c r="AK781" i="2" s="1"/>
  <c r="AX780" i="2"/>
  <c r="AK780" i="2" s="1"/>
  <c r="AX779" i="2"/>
  <c r="AX778" i="2"/>
  <c r="AK778" i="2" s="1"/>
  <c r="AX777" i="2"/>
  <c r="AK777" i="2" s="1"/>
  <c r="AX776" i="2"/>
  <c r="AK776" i="2" s="1"/>
  <c r="AX775" i="2"/>
  <c r="AK775" i="2" s="1"/>
  <c r="AX774" i="2"/>
  <c r="AX773" i="2"/>
  <c r="AK773" i="2" s="1"/>
  <c r="AX772" i="2"/>
  <c r="AK772" i="2" s="1"/>
  <c r="AX724" i="2"/>
  <c r="AK724" i="2" s="1"/>
  <c r="AX652" i="2"/>
  <c r="AX651" i="2"/>
  <c r="AX650" i="2"/>
  <c r="AK650" i="2" s="1"/>
  <c r="AX649" i="2"/>
  <c r="AX642" i="2"/>
  <c r="AX631" i="2"/>
  <c r="AK631" i="2" s="1"/>
  <c r="AX569" i="2"/>
  <c r="AX568" i="2"/>
  <c r="AK568" i="2" s="1"/>
  <c r="AX800" i="2"/>
  <c r="AX1241" i="2"/>
  <c r="AX1040" i="2"/>
  <c r="AK1040" i="2" s="1"/>
  <c r="AX982" i="2"/>
  <c r="AX936" i="2"/>
  <c r="AX935" i="2"/>
  <c r="AK935" i="2" s="1"/>
  <c r="AX927" i="2"/>
  <c r="AK927" i="2" s="1"/>
  <c r="AX874" i="2"/>
  <c r="AX859" i="2"/>
  <c r="AK859" i="2" s="1"/>
  <c r="AX832" i="2"/>
  <c r="AX821" i="2"/>
  <c r="AX818" i="2"/>
  <c r="AX817" i="2"/>
  <c r="AX816" i="2"/>
  <c r="AK816" i="2" s="1"/>
  <c r="AX789" i="2"/>
  <c r="AX787" i="2"/>
  <c r="AX783" i="2"/>
  <c r="AK783" i="2" s="1"/>
  <c r="AX782" i="2"/>
  <c r="AK782" i="2" s="1"/>
  <c r="AX771" i="2"/>
  <c r="AK771" i="2" s="1"/>
  <c r="AX770" i="2"/>
  <c r="AK770" i="2" s="1"/>
  <c r="AX769" i="2"/>
  <c r="AK769" i="2" s="1"/>
  <c r="AX762" i="2"/>
  <c r="AK762" i="2" s="1"/>
  <c r="AX761" i="2"/>
  <c r="AK761" i="2" s="1"/>
  <c r="AX723" i="2"/>
  <c r="AK723" i="2" s="1"/>
  <c r="AX699" i="2"/>
  <c r="AK699" i="2" s="1"/>
  <c r="AX698" i="2"/>
  <c r="AX697" i="2"/>
  <c r="AX696" i="2"/>
  <c r="AX695" i="2"/>
  <c r="AX675" i="2"/>
  <c r="AX674" i="2"/>
  <c r="AK674" i="2" s="1"/>
  <c r="AX673" i="2"/>
  <c r="AX672" i="2"/>
  <c r="AX668" i="2"/>
  <c r="AX667" i="2"/>
  <c r="AK667" i="2" s="1"/>
  <c r="AX648" i="2"/>
  <c r="AK648" i="2" s="1"/>
  <c r="AX647" i="2"/>
  <c r="AX646" i="2"/>
  <c r="AK646" i="2" s="1"/>
  <c r="AX645" i="2"/>
  <c r="AK645" i="2" s="1"/>
  <c r="AX644" i="2"/>
  <c r="AX641" i="2"/>
  <c r="AK641" i="2" s="1"/>
  <c r="AX615" i="2"/>
  <c r="AK615" i="2" s="1"/>
  <c r="AX585" i="2"/>
  <c r="AK585" i="2" s="1"/>
  <c r="AX583" i="2"/>
  <c r="AK583" i="2" s="1"/>
  <c r="AX582" i="2"/>
  <c r="AX581" i="2"/>
  <c r="AX580" i="2"/>
  <c r="AX572" i="2"/>
  <c r="AX567" i="2"/>
  <c r="AX561" i="2"/>
  <c r="AX551" i="2"/>
  <c r="AX550" i="2"/>
  <c r="AK550" i="2" s="1"/>
  <c r="AX549" i="2"/>
  <c r="AK549" i="2" s="1"/>
  <c r="AX548" i="2"/>
  <c r="AK548" i="2" s="1"/>
  <c r="AX538" i="2"/>
  <c r="AK538" i="2" s="1"/>
  <c r="AX537" i="2"/>
  <c r="AK537" i="2" s="1"/>
  <c r="AX531" i="2"/>
  <c r="AK531" i="2" s="1"/>
  <c r="AX527" i="2"/>
  <c r="AX526" i="2"/>
  <c r="AX525" i="2"/>
  <c r="AX524" i="2"/>
  <c r="AX885" i="2"/>
  <c r="AX884" i="2"/>
  <c r="AK884" i="2" s="1"/>
  <c r="AX799" i="2"/>
  <c r="AK799" i="2" s="1"/>
  <c r="AX510" i="2"/>
  <c r="AK510" i="2" s="1"/>
  <c r="AX718" i="2"/>
  <c r="AX671" i="2"/>
  <c r="AX670" i="2"/>
  <c r="AX669" i="2"/>
  <c r="AK669" i="2" s="1"/>
  <c r="AX662" i="2"/>
  <c r="AK662" i="2" s="1"/>
  <c r="AX655" i="2"/>
  <c r="AX653" i="2"/>
  <c r="AK653" i="2" s="1"/>
  <c r="AX640" i="2"/>
  <c r="AK640" i="2" s="1"/>
  <c r="AX628" i="2"/>
  <c r="AX619" i="2"/>
  <c r="AX616" i="2"/>
  <c r="AX614" i="2"/>
  <c r="AX613" i="2"/>
  <c r="AK613" i="2" s="1"/>
  <c r="AX612" i="2"/>
  <c r="AK612" i="2" s="1"/>
  <c r="AX611" i="2"/>
  <c r="AK611" i="2" s="1"/>
  <c r="AX610" i="2"/>
  <c r="AX609" i="2"/>
  <c r="AK609" i="2" s="1"/>
  <c r="AX608" i="2"/>
  <c r="AK608" i="2" s="1"/>
  <c r="AX599" i="2"/>
  <c r="AK599" i="2" s="1"/>
  <c r="AX584" i="2"/>
  <c r="AK584" i="2" s="1"/>
  <c r="AX579" i="2"/>
  <c r="AK579" i="2" s="1"/>
  <c r="AX578" i="2"/>
  <c r="AK578" i="2" s="1"/>
  <c r="AX576" i="2"/>
  <c r="AK576" i="2" s="1"/>
  <c r="AX575" i="2"/>
  <c r="AX574" i="2"/>
  <c r="AX566" i="2"/>
  <c r="AX565" i="2"/>
  <c r="AX564" i="2"/>
  <c r="AX563" i="2"/>
  <c r="AK563" i="2" s="1"/>
  <c r="AX560" i="2"/>
  <c r="AK560" i="2" s="1"/>
  <c r="AX547" i="2"/>
  <c r="AX546" i="2"/>
  <c r="AK546" i="2" s="1"/>
  <c r="AX545" i="2"/>
  <c r="AX544" i="2"/>
  <c r="AX543" i="2"/>
  <c r="AK543" i="2" s="1"/>
  <c r="AX542" i="2"/>
  <c r="AK542" i="2" s="1"/>
  <c r="AX541" i="2"/>
  <c r="AK541" i="2" s="1"/>
  <c r="AX536" i="2"/>
  <c r="AX534" i="2"/>
  <c r="AX533" i="2"/>
  <c r="AK533" i="2" s="1"/>
  <c r="AX530" i="2"/>
  <c r="AK530" i="2" s="1"/>
  <c r="AX523" i="2"/>
  <c r="AX522" i="2"/>
  <c r="AX521" i="2"/>
  <c r="AK521" i="2" s="1"/>
  <c r="AX520" i="2"/>
  <c r="AX517" i="2"/>
  <c r="AX516" i="2"/>
  <c r="AK516" i="2" s="1"/>
  <c r="AX515" i="2"/>
  <c r="AK515" i="2" s="1"/>
  <c r="AX512" i="2"/>
  <c r="AK512" i="2" s="1"/>
  <c r="AX509" i="2"/>
  <c r="AK509" i="2" s="1"/>
  <c r="AX508" i="2"/>
  <c r="AK508" i="2" s="1"/>
  <c r="AX506" i="2"/>
  <c r="AK506" i="2" s="1"/>
  <c r="AX505" i="2"/>
  <c r="AK505" i="2" s="1"/>
  <c r="AX504" i="2"/>
  <c r="AX502" i="2"/>
  <c r="AK502" i="2" s="1"/>
  <c r="AX501" i="2"/>
  <c r="AK501" i="2" s="1"/>
  <c r="AX500" i="2"/>
  <c r="AX497" i="2"/>
  <c r="AX441" i="2"/>
  <c r="AK441" i="2" s="1"/>
  <c r="AX577" i="2"/>
  <c r="AX571" i="2"/>
  <c r="AK571" i="2" s="1"/>
  <c r="AX570" i="2"/>
  <c r="AX562" i="2"/>
  <c r="AX535" i="2"/>
  <c r="AX532" i="2"/>
  <c r="AX529" i="2"/>
  <c r="AX528" i="2"/>
  <c r="AK528" i="2" s="1"/>
  <c r="AX519" i="2"/>
  <c r="AK519" i="2" s="1"/>
  <c r="AX518" i="2"/>
  <c r="AK518" i="2" s="1"/>
  <c r="AX514" i="2"/>
  <c r="AK514" i="2" s="1"/>
  <c r="AX513" i="2"/>
  <c r="AK513" i="2" s="1"/>
  <c r="AX511" i="2"/>
  <c r="AK511" i="2" s="1"/>
  <c r="AX507" i="2"/>
  <c r="AX503" i="2"/>
  <c r="AX499" i="2"/>
  <c r="AK499" i="2" s="1"/>
  <c r="AX496" i="2"/>
  <c r="AX495" i="2"/>
  <c r="AK495" i="2" s="1"/>
  <c r="AX492" i="2"/>
  <c r="AK492" i="2" s="1"/>
  <c r="AX498" i="2"/>
  <c r="AX491" i="2"/>
  <c r="AX489" i="2"/>
  <c r="AX476" i="2"/>
  <c r="AK476" i="2" s="1"/>
  <c r="AX475" i="2"/>
  <c r="AK475" i="2" s="1"/>
  <c r="AX162" i="2"/>
  <c r="AK162" i="2" s="1"/>
  <c r="AX161" i="2"/>
  <c r="AX494" i="2"/>
  <c r="AX493" i="2"/>
  <c r="AX490" i="2"/>
  <c r="AK490" i="2" s="1"/>
  <c r="AX488" i="2"/>
  <c r="AX487" i="2"/>
  <c r="AX486" i="2"/>
  <c r="AX474" i="2"/>
  <c r="AK474" i="2" s="1"/>
  <c r="AX472" i="2"/>
  <c r="AK472" i="2" s="1"/>
  <c r="AX469" i="2"/>
  <c r="AX453" i="2"/>
  <c r="AK453" i="2" s="1"/>
  <c r="AX446" i="2"/>
  <c r="AK446" i="2" s="1"/>
  <c r="AX160" i="2"/>
  <c r="AX471" i="2"/>
  <c r="AK471" i="2" s="1"/>
  <c r="AX473" i="2"/>
  <c r="AK473" i="2" s="1"/>
  <c r="AX470" i="2"/>
  <c r="AK470" i="2" s="1"/>
  <c r="AX468" i="2"/>
  <c r="AK468" i="2" s="1"/>
  <c r="AX467" i="2"/>
  <c r="AX466" i="2"/>
  <c r="AK466" i="2" s="1"/>
  <c r="AX465" i="2"/>
  <c r="AK465" i="2" s="1"/>
  <c r="AX464" i="2"/>
  <c r="AX463" i="2"/>
  <c r="AX462" i="2"/>
  <c r="AX461" i="2"/>
  <c r="AX452" i="2"/>
  <c r="AK452" i="2" s="1"/>
  <c r="AX445" i="2"/>
  <c r="AX444" i="2"/>
  <c r="AK444" i="2" s="1"/>
  <c r="AX442" i="2"/>
  <c r="AX399" i="2"/>
  <c r="AX159" i="2"/>
  <c r="AX158" i="2"/>
  <c r="AX460" i="2"/>
  <c r="AK460" i="2" s="1"/>
  <c r="AX459" i="2"/>
  <c r="AK459" i="2" s="1"/>
  <c r="AX458" i="2"/>
  <c r="AK458" i="2" s="1"/>
  <c r="AX457" i="2"/>
  <c r="AX456" i="2"/>
  <c r="AK456" i="2" s="1"/>
  <c r="AX455" i="2"/>
  <c r="AX454" i="2"/>
  <c r="AX450" i="2"/>
  <c r="AX405" i="2"/>
  <c r="AX398" i="2"/>
  <c r="AX371" i="2"/>
  <c r="AX370" i="2"/>
  <c r="AX157" i="2"/>
  <c r="AK157" i="2" s="1"/>
  <c r="AX156" i="2"/>
  <c r="AX26" i="2"/>
  <c r="AK26" i="2" s="1"/>
  <c r="AX451" i="2"/>
  <c r="AK451" i="2" s="1"/>
  <c r="AX433" i="2"/>
  <c r="AK433" i="2" s="1"/>
  <c r="AX414" i="2"/>
  <c r="AK414" i="2" s="1"/>
  <c r="AX404" i="2"/>
  <c r="AX397" i="2"/>
  <c r="AK397" i="2" s="1"/>
  <c r="AX369" i="2"/>
  <c r="AK369" i="2" s="1"/>
  <c r="AX364" i="2"/>
  <c r="AX337" i="2"/>
  <c r="AX225" i="2"/>
  <c r="AX155" i="2"/>
  <c r="AK155" i="2" s="1"/>
  <c r="AX154" i="2"/>
  <c r="AK154" i="2" s="1"/>
  <c r="AX66" i="2"/>
  <c r="AK66" i="2" s="1"/>
  <c r="AX443" i="2"/>
  <c r="AX440" i="2"/>
  <c r="AX439" i="2"/>
  <c r="AX435" i="2"/>
  <c r="AX413" i="2"/>
  <c r="AX392" i="2"/>
  <c r="AX386" i="2"/>
  <c r="AK386" i="2" s="1"/>
  <c r="AX385" i="2"/>
  <c r="AK385" i="2" s="1"/>
  <c r="AX384" i="2"/>
  <c r="AK384" i="2" s="1"/>
  <c r="AX383" i="2"/>
  <c r="AK383" i="2" s="1"/>
  <c r="AX382" i="2"/>
  <c r="AK382" i="2" s="1"/>
  <c r="AX380" i="2"/>
  <c r="AK380" i="2" s="1"/>
  <c r="AX379" i="2"/>
  <c r="AX363" i="2"/>
  <c r="AK363" i="2" s="1"/>
  <c r="AX359" i="2"/>
  <c r="AK359" i="2" s="1"/>
  <c r="AX341" i="2"/>
  <c r="AK341" i="2" s="1"/>
  <c r="AX276" i="2"/>
  <c r="AX275" i="2"/>
  <c r="AX153" i="2"/>
  <c r="AK153" i="2" s="1"/>
  <c r="AX152" i="2"/>
  <c r="AK152" i="2" s="1"/>
  <c r="AX25" i="2"/>
  <c r="AK25" i="2" s="1"/>
  <c r="AX434" i="2"/>
  <c r="AK434" i="2" s="1"/>
  <c r="AX429" i="2"/>
  <c r="AX428" i="2"/>
  <c r="AX421" i="2"/>
  <c r="AK421" i="2" s="1"/>
  <c r="AX420" i="2"/>
  <c r="AX419" i="2"/>
  <c r="AK419" i="2" s="1"/>
  <c r="AX412" i="2"/>
  <c r="AX407" i="2"/>
  <c r="AX401" i="2"/>
  <c r="AX393" i="2"/>
  <c r="AX391" i="2"/>
  <c r="AK391" i="2" s="1"/>
  <c r="AX381" i="2"/>
  <c r="AK381" i="2" s="1"/>
  <c r="AX340" i="2"/>
  <c r="AK340" i="2" s="1"/>
  <c r="AX274" i="2"/>
  <c r="AK274" i="2" s="1"/>
  <c r="AX273" i="2"/>
  <c r="AX163" i="2"/>
  <c r="AX151" i="2"/>
  <c r="AX126" i="2"/>
  <c r="AK126" i="2" s="1"/>
  <c r="AX125" i="2"/>
  <c r="AK125" i="2" s="1"/>
  <c r="AX116" i="2"/>
  <c r="AK116" i="2" s="1"/>
  <c r="AX96" i="2"/>
  <c r="AK96" i="2" s="1"/>
  <c r="AX95" i="2"/>
  <c r="AX64" i="2"/>
  <c r="AX41" i="2"/>
  <c r="AX27" i="2"/>
  <c r="AK27" i="2" s="1"/>
  <c r="AX24" i="2"/>
  <c r="AK24" i="2" s="1"/>
  <c r="AX23" i="2"/>
  <c r="AK23" i="2" s="1"/>
  <c r="AX408" i="2"/>
  <c r="AX402" i="2"/>
  <c r="AX411" i="2"/>
  <c r="AK411" i="2" s="1"/>
  <c r="AX406" i="2"/>
  <c r="AX396" i="2"/>
  <c r="AX394" i="2"/>
  <c r="AK394" i="2" s="1"/>
  <c r="AX372" i="2"/>
  <c r="AK372" i="2" s="1"/>
  <c r="AX367" i="2"/>
  <c r="AK367" i="2" s="1"/>
  <c r="AX366" i="2"/>
  <c r="AX365" i="2"/>
  <c r="AK365" i="2" s="1"/>
  <c r="AX362" i="2"/>
  <c r="AK362" i="2" s="1"/>
  <c r="AX342" i="2"/>
  <c r="AK342" i="2" s="1"/>
  <c r="AX283" i="2"/>
  <c r="AX282" i="2"/>
  <c r="AX238" i="2"/>
  <c r="AX236" i="2"/>
  <c r="AK236" i="2" s="1"/>
  <c r="AX233" i="2"/>
  <c r="AK233" i="2" s="1"/>
  <c r="AX221" i="2"/>
  <c r="AX212" i="2"/>
  <c r="AX131" i="2"/>
  <c r="AK131" i="2" s="1"/>
  <c r="AX124" i="2"/>
  <c r="AX123" i="2"/>
  <c r="AX122" i="2"/>
  <c r="AX115" i="2"/>
  <c r="AX94" i="2"/>
  <c r="AK94" i="2" s="1"/>
  <c r="AX82" i="2"/>
  <c r="AK82" i="2" s="1"/>
  <c r="AX72" i="2"/>
  <c r="AX71" i="2"/>
  <c r="AK71" i="2" s="1"/>
  <c r="AX68" i="2"/>
  <c r="AX63" i="2"/>
  <c r="AX36" i="2"/>
  <c r="AK36" i="2" s="1"/>
  <c r="AX22" i="2"/>
  <c r="AX375" i="2"/>
  <c r="AK375" i="2" s="1"/>
  <c r="AX281" i="2"/>
  <c r="AK281" i="2" s="1"/>
  <c r="AX395" i="2"/>
  <c r="AX237" i="2"/>
  <c r="AX235" i="2"/>
  <c r="AK235" i="2" s="1"/>
  <c r="AX234" i="2"/>
  <c r="AK234" i="2" s="1"/>
  <c r="AX232" i="2"/>
  <c r="AX224" i="2"/>
  <c r="AK224" i="2" s="1"/>
  <c r="AX223" i="2"/>
  <c r="AK223" i="2" s="1"/>
  <c r="AX211" i="2"/>
  <c r="AK211" i="2" s="1"/>
  <c r="AX210" i="2"/>
  <c r="AX185" i="2"/>
  <c r="AX164" i="2"/>
  <c r="AX129" i="2"/>
  <c r="AX121" i="2"/>
  <c r="AX120" i="2"/>
  <c r="AX119" i="2"/>
  <c r="AK119" i="2" s="1"/>
  <c r="AX118" i="2"/>
  <c r="AK118" i="2" s="1"/>
  <c r="AX117" i="2"/>
  <c r="AX114" i="2"/>
  <c r="AX113" i="2"/>
  <c r="AK113" i="2" s="1"/>
  <c r="AX98" i="2"/>
  <c r="AX93" i="2"/>
  <c r="AK93" i="2" s="1"/>
  <c r="AX90" i="2"/>
  <c r="AX89" i="2"/>
  <c r="AK89" i="2" s="1"/>
  <c r="AX88" i="2"/>
  <c r="AX86" i="2"/>
  <c r="AX81" i="2"/>
  <c r="AX70" i="2"/>
  <c r="AX69" i="2"/>
  <c r="AX67" i="2"/>
  <c r="AK67" i="2" s="1"/>
  <c r="AX65" i="2"/>
  <c r="AK65" i="2" s="1"/>
  <c r="AX62" i="2"/>
  <c r="AK62" i="2" s="1"/>
  <c r="AX49" i="2"/>
  <c r="AX48" i="2"/>
  <c r="AX47" i="2"/>
  <c r="AK47" i="2" s="1"/>
  <c r="AX40" i="2"/>
  <c r="AX38" i="2"/>
  <c r="AK38" i="2" s="1"/>
  <c r="AX37" i="2"/>
  <c r="AX21" i="2"/>
  <c r="AX10" i="2"/>
  <c r="AK10" i="2" s="1"/>
  <c r="AX9" i="2"/>
  <c r="AK9" i="2" s="1"/>
  <c r="AX8" i="2"/>
  <c r="AX4" i="2"/>
  <c r="AK4" i="2" s="1"/>
  <c r="AX133" i="2"/>
  <c r="AK133" i="2" s="1"/>
  <c r="AX132" i="2"/>
  <c r="AX130" i="2"/>
  <c r="AX128" i="2"/>
  <c r="AX127" i="2"/>
  <c r="AX87" i="2"/>
  <c r="AX80" i="2"/>
  <c r="AK80" i="2" s="1"/>
  <c r="AX61" i="2"/>
  <c r="AK61" i="2" s="1"/>
  <c r="AX60" i="2"/>
  <c r="AK60" i="2" s="1"/>
  <c r="AX59" i="2"/>
  <c r="AK59" i="2" s="1"/>
  <c r="AX46" i="2"/>
  <c r="AK46" i="2" s="1"/>
  <c r="AX45" i="2"/>
  <c r="AK45" i="2" s="1"/>
  <c r="AX44" i="2"/>
  <c r="AK44" i="2" s="1"/>
  <c r="AX35" i="2"/>
  <c r="AK35" i="2" s="1"/>
  <c r="AX20" i="2"/>
  <c r="AX18" i="2"/>
  <c r="AK18" i="2" s="1"/>
  <c r="AX17" i="2"/>
  <c r="AX14" i="2"/>
  <c r="AX13" i="2"/>
  <c r="AX7" i="2"/>
  <c r="AX97" i="2"/>
  <c r="AX85" i="2"/>
  <c r="AK85" i="2" s="1"/>
  <c r="AX84" i="2"/>
  <c r="AX83" i="2"/>
  <c r="AK83" i="2" s="1"/>
  <c r="AX58" i="2"/>
  <c r="AK58" i="2" s="1"/>
  <c r="AX57" i="2"/>
  <c r="AK57" i="2" s="1"/>
  <c r="AX56" i="2"/>
  <c r="AX43" i="2"/>
  <c r="AX42" i="2"/>
  <c r="AK42" i="2" s="1"/>
  <c r="AX39" i="2"/>
  <c r="AX34" i="2"/>
  <c r="AX33" i="2"/>
  <c r="AX32" i="2"/>
  <c r="AX31" i="2"/>
  <c r="AX30" i="2"/>
  <c r="AX29" i="2"/>
  <c r="AK29" i="2" s="1"/>
  <c r="AX28" i="2"/>
  <c r="AK28" i="2" s="1"/>
  <c r="AX19" i="2"/>
  <c r="AK19" i="2" s="1"/>
  <c r="AX16" i="2"/>
  <c r="AX15" i="2"/>
  <c r="AK15" i="2" s="1"/>
  <c r="AX12" i="2"/>
  <c r="AX11" i="2"/>
  <c r="AK11" i="2" s="1"/>
  <c r="AX6" i="2"/>
  <c r="AX5" i="2"/>
  <c r="AK5" i="2" s="1"/>
  <c r="AX3" i="2"/>
  <c r="AK3" i="2" s="1"/>
  <c r="AX2" i="2"/>
  <c r="C8" i="1"/>
  <c r="B8" i="1"/>
  <c r="C7" i="1"/>
  <c r="B7" i="1"/>
  <c r="C5" i="1"/>
  <c r="B5" i="1"/>
  <c r="AK149" i="2" l="1"/>
  <c r="AC149" i="2"/>
  <c r="AK141" i="2"/>
  <c r="AC141" i="2"/>
  <c r="AG1190" i="2"/>
  <c r="W1190" i="2"/>
  <c r="AG1188" i="2"/>
  <c r="W1188" i="2"/>
  <c r="AK1187" i="2"/>
  <c r="W1187" i="2"/>
  <c r="AG1187" i="2"/>
  <c r="AY2" i="2"/>
  <c r="AK2" i="2"/>
  <c r="BE2" i="2"/>
  <c r="AH2" i="2"/>
  <c r="BD587" i="2"/>
  <c r="AK587" i="2"/>
  <c r="AH587" i="2"/>
  <c r="AK1190" i="2"/>
  <c r="AK1188" i="2"/>
  <c r="AK1131" i="2"/>
  <c r="AK1130" i="2"/>
  <c r="AK1118" i="2"/>
  <c r="AK1116" i="2"/>
  <c r="AK1108" i="2"/>
  <c r="AK1105" i="2"/>
  <c r="AK1101" i="2"/>
  <c r="AK1100" i="2"/>
  <c r="AK1099" i="2"/>
  <c r="AK1094" i="2"/>
  <c r="AK1093" i="2"/>
  <c r="AK1080" i="2"/>
  <c r="AK1074" i="2"/>
  <c r="AK1062" i="2"/>
  <c r="AK1061" i="2"/>
  <c r="AK1057" i="2"/>
  <c r="AK1055" i="2"/>
  <c r="AK1054" i="2"/>
  <c r="AK1044" i="2"/>
  <c r="AG1036" i="2"/>
  <c r="AK1036" i="2"/>
  <c r="AK1035" i="2"/>
  <c r="AK1034" i="2"/>
  <c r="AK1033" i="2"/>
  <c r="AY1032" i="2"/>
  <c r="AK1032" i="2"/>
  <c r="AY1030" i="2"/>
  <c r="AK1030" i="2"/>
  <c r="AY1019" i="2"/>
  <c r="AK1019" i="2"/>
  <c r="AG1012" i="2"/>
  <c r="AK1012" i="2"/>
  <c r="AK1009" i="2"/>
  <c r="AK1008" i="2"/>
  <c r="AG990" i="2"/>
  <c r="AK990" i="2"/>
  <c r="AY962" i="2"/>
  <c r="AK962" i="2"/>
  <c r="AG961" i="2"/>
  <c r="AK961" i="2"/>
  <c r="AK959" i="2"/>
  <c r="AG957" i="2"/>
  <c r="AK957" i="2"/>
  <c r="AK951" i="2"/>
  <c r="AK950" i="2"/>
  <c r="AK948" i="2"/>
  <c r="AK946" i="2"/>
  <c r="AK945" i="2"/>
  <c r="AY944" i="2"/>
  <c r="AK944" i="2"/>
  <c r="AY943" i="2"/>
  <c r="AK943" i="2"/>
  <c r="AY942" i="2"/>
  <c r="AK942" i="2"/>
  <c r="AG933" i="2"/>
  <c r="AK933" i="2"/>
  <c r="AK925" i="2"/>
  <c r="AK924" i="2"/>
  <c r="AG922" i="2"/>
  <c r="AK922" i="2"/>
  <c r="AY921" i="2"/>
  <c r="AK921" i="2"/>
  <c r="AY920" i="2"/>
  <c r="AK920" i="2"/>
  <c r="AY919" i="2"/>
  <c r="AK919" i="2"/>
  <c r="AY918" i="2"/>
  <c r="AK918" i="2"/>
  <c r="AY917" i="2"/>
  <c r="AK917" i="2"/>
  <c r="AG916" i="2"/>
  <c r="AK916" i="2"/>
  <c r="AY915" i="2"/>
  <c r="AK915" i="2"/>
  <c r="AY909" i="2"/>
  <c r="AK909" i="2"/>
  <c r="AG901" i="2"/>
  <c r="AK901" i="2"/>
  <c r="AK900" i="2"/>
  <c r="AY895" i="2"/>
  <c r="AK895" i="2"/>
  <c r="AY893" i="2"/>
  <c r="AK893" i="2"/>
  <c r="AY892" i="2"/>
  <c r="AK892" i="2"/>
  <c r="AY887" i="2"/>
  <c r="AK887" i="2"/>
  <c r="AK870" i="2"/>
  <c r="AK869" i="2"/>
  <c r="AY868" i="2"/>
  <c r="AK868" i="2"/>
  <c r="AG866" i="2"/>
  <c r="AK866" i="2"/>
  <c r="AG865" i="2"/>
  <c r="AK865" i="2"/>
  <c r="AY863" i="2"/>
  <c r="AK863" i="2"/>
  <c r="AG851" i="2"/>
  <c r="AK851" i="2"/>
  <c r="AY850" i="2"/>
  <c r="AK850" i="2"/>
  <c r="AY848" i="2"/>
  <c r="AK848" i="2"/>
  <c r="AK847" i="2"/>
  <c r="AY846" i="2"/>
  <c r="AK846" i="2"/>
  <c r="AY842" i="2"/>
  <c r="AK842" i="2"/>
  <c r="AY838" i="2"/>
  <c r="AK838" i="2"/>
  <c r="AK837" i="2"/>
  <c r="AY836" i="2"/>
  <c r="AK836" i="2"/>
  <c r="AG833" i="2"/>
  <c r="AK833" i="2"/>
  <c r="AK824" i="2"/>
  <c r="AK823" i="2"/>
  <c r="AG822" i="2"/>
  <c r="AK822" i="2"/>
  <c r="AG813" i="2"/>
  <c r="AK813" i="2"/>
  <c r="AY812" i="2"/>
  <c r="AK812" i="2"/>
  <c r="AY811" i="2"/>
  <c r="AK811" i="2"/>
  <c r="AY795" i="2"/>
  <c r="AK795" i="2"/>
  <c r="AK794" i="2"/>
  <c r="AY793" i="2"/>
  <c r="AK793" i="2"/>
  <c r="AY792" i="2"/>
  <c r="AK792" i="2"/>
  <c r="AG791" i="2"/>
  <c r="AK791" i="2"/>
  <c r="AY786" i="2"/>
  <c r="AK786" i="2"/>
  <c r="AY767" i="2"/>
  <c r="AK767" i="2"/>
  <c r="AY766" i="2"/>
  <c r="AK766" i="2"/>
  <c r="AY765" i="2"/>
  <c r="AK765" i="2"/>
  <c r="AK764" i="2"/>
  <c r="AK763" i="2"/>
  <c r="AK760" i="2"/>
  <c r="AY759" i="2"/>
  <c r="AK759" i="2"/>
  <c r="AY758" i="2"/>
  <c r="AK758" i="2"/>
  <c r="AY757" i="2"/>
  <c r="AK757" i="2"/>
  <c r="AK756" i="2"/>
  <c r="AK755" i="2"/>
  <c r="AK754" i="2"/>
  <c r="AY753" i="2"/>
  <c r="AK753" i="2"/>
  <c r="AY752" i="2"/>
  <c r="AK752" i="2"/>
  <c r="AK751" i="2"/>
  <c r="AY747" i="2"/>
  <c r="AK747" i="2"/>
  <c r="AY746" i="2"/>
  <c r="AK746" i="2"/>
  <c r="AY745" i="2"/>
  <c r="AK745" i="2"/>
  <c r="AY744" i="2"/>
  <c r="AK744" i="2"/>
  <c r="AY742" i="2"/>
  <c r="AK742" i="2"/>
  <c r="AY741" i="2"/>
  <c r="AK741" i="2"/>
  <c r="AY740" i="2"/>
  <c r="AK740" i="2"/>
  <c r="AK739" i="2"/>
  <c r="AK738" i="2"/>
  <c r="AY737" i="2"/>
  <c r="AK737" i="2"/>
  <c r="AY735" i="2"/>
  <c r="AK735" i="2"/>
  <c r="AY734" i="2"/>
  <c r="AK734" i="2"/>
  <c r="AY733" i="2"/>
  <c r="AK733" i="2"/>
  <c r="AY731" i="2"/>
  <c r="AK731" i="2"/>
  <c r="AY729" i="2"/>
  <c r="AK729" i="2"/>
  <c r="AY728" i="2"/>
  <c r="AK728" i="2"/>
  <c r="AY726" i="2"/>
  <c r="AK726" i="2"/>
  <c r="AK725" i="2"/>
  <c r="AK722" i="2"/>
  <c r="AY721" i="2"/>
  <c r="AK721" i="2"/>
  <c r="AY720" i="2"/>
  <c r="AK720" i="2"/>
  <c r="AY715" i="2"/>
  <c r="AK715" i="2"/>
  <c r="AY714" i="2"/>
  <c r="AK714" i="2"/>
  <c r="AY713" i="2"/>
  <c r="AK713" i="2"/>
  <c r="AK712" i="2"/>
  <c r="AY710" i="2"/>
  <c r="AK710" i="2"/>
  <c r="AY709" i="2"/>
  <c r="AK709" i="2"/>
  <c r="AG706" i="2"/>
  <c r="AK706" i="2"/>
  <c r="AY705" i="2"/>
  <c r="AK705" i="2"/>
  <c r="AK704" i="2"/>
  <c r="AK703" i="2"/>
  <c r="AY702" i="2"/>
  <c r="AK702" i="2"/>
  <c r="AY701" i="2"/>
  <c r="AK701" i="2"/>
  <c r="AY700" i="2"/>
  <c r="AK700" i="2"/>
  <c r="AK694" i="2"/>
  <c r="AK692" i="2"/>
  <c r="AY691" i="2"/>
  <c r="AK691" i="2"/>
  <c r="AY688" i="2"/>
  <c r="AK688" i="2"/>
  <c r="AK687" i="2"/>
  <c r="AK686" i="2"/>
  <c r="AY685" i="2"/>
  <c r="AK685" i="2"/>
  <c r="AY683" i="2"/>
  <c r="AK683" i="2"/>
  <c r="AK682" i="2"/>
  <c r="AK681" i="2"/>
  <c r="AK680" i="2"/>
  <c r="AY666" i="2"/>
  <c r="AK666" i="2"/>
  <c r="AY663" i="2"/>
  <c r="AK663" i="2"/>
  <c r="AY659" i="2"/>
  <c r="AK659" i="2"/>
  <c r="AY658" i="2"/>
  <c r="AK658" i="2"/>
  <c r="AK654" i="2"/>
  <c r="AK643" i="2"/>
  <c r="AY638" i="2"/>
  <c r="AK638" i="2"/>
  <c r="AY637" i="2"/>
  <c r="AK637" i="2"/>
  <c r="AY627" i="2"/>
  <c r="AK627" i="2"/>
  <c r="AY625" i="2"/>
  <c r="AK625" i="2"/>
  <c r="AY624" i="2"/>
  <c r="AK624" i="2"/>
  <c r="AY623" i="2"/>
  <c r="AK623" i="2"/>
  <c r="AY622" i="2"/>
  <c r="AK622" i="2"/>
  <c r="AY621" i="2"/>
  <c r="AK621" i="2"/>
  <c r="AK620" i="2"/>
  <c r="AG618" i="2"/>
  <c r="AK618" i="2"/>
  <c r="AG617" i="2"/>
  <c r="AK617" i="2"/>
  <c r="AY607" i="2"/>
  <c r="AK607" i="2"/>
  <c r="AY600" i="2"/>
  <c r="AK600" i="2"/>
  <c r="AY598" i="2"/>
  <c r="AK598" i="2"/>
  <c r="AY597" i="2"/>
  <c r="AK597" i="2"/>
  <c r="AK594" i="2"/>
  <c r="AY593" i="2"/>
  <c r="AK593" i="2"/>
  <c r="AK591" i="2"/>
  <c r="AK590" i="2"/>
  <c r="AY573" i="2"/>
  <c r="AK573" i="2"/>
  <c r="AY559" i="2"/>
  <c r="AK559" i="2"/>
  <c r="AY558" i="2"/>
  <c r="AK558" i="2"/>
  <c r="AY557" i="2"/>
  <c r="AK557" i="2"/>
  <c r="AY552" i="2"/>
  <c r="AK552" i="2"/>
  <c r="AY539" i="2"/>
  <c r="AK539" i="2"/>
  <c r="AK485" i="2"/>
  <c r="AY484" i="2"/>
  <c r="AK484" i="2"/>
  <c r="AY483" i="2"/>
  <c r="AK483" i="2"/>
  <c r="AY482" i="2"/>
  <c r="AK482" i="2"/>
  <c r="AY481" i="2"/>
  <c r="AK481" i="2"/>
  <c r="AY480" i="2"/>
  <c r="AK480" i="2"/>
  <c r="AK479" i="2"/>
  <c r="AY478" i="2"/>
  <c r="AK478" i="2"/>
  <c r="AY449" i="2"/>
  <c r="AK449" i="2"/>
  <c r="AK448" i="2"/>
  <c r="AY437" i="2"/>
  <c r="AK437" i="2"/>
  <c r="AY432" i="2"/>
  <c r="AK432" i="2"/>
  <c r="AK431" i="2"/>
  <c r="AK430" i="2"/>
  <c r="AY427" i="2"/>
  <c r="AK427" i="2"/>
  <c r="AY426" i="2"/>
  <c r="AK426" i="2"/>
  <c r="AY422" i="2"/>
  <c r="AK422" i="2"/>
  <c r="AY418" i="2"/>
  <c r="AK418" i="2"/>
  <c r="AK415" i="2"/>
  <c r="AY410" i="2"/>
  <c r="AK410" i="2"/>
  <c r="AY400" i="2"/>
  <c r="AK400" i="2"/>
  <c r="AK389" i="2"/>
  <c r="AK388" i="2"/>
  <c r="AY377" i="2"/>
  <c r="AK377" i="2"/>
  <c r="AY374" i="2"/>
  <c r="AK374" i="2"/>
  <c r="AY373" i="2"/>
  <c r="AK373" i="2"/>
  <c r="AY368" i="2"/>
  <c r="AK368" i="2"/>
  <c r="AY358" i="2"/>
  <c r="AK358" i="2"/>
  <c r="AY357" i="2"/>
  <c r="AK357" i="2"/>
  <c r="AK356" i="2"/>
  <c r="AK355" i="2"/>
  <c r="AK354" i="2"/>
  <c r="AY353" i="2"/>
  <c r="AK353" i="2"/>
  <c r="AK348" i="2"/>
  <c r="AY347" i="2"/>
  <c r="AK347" i="2"/>
  <c r="AY346" i="2"/>
  <c r="AK346" i="2"/>
  <c r="AK344" i="2"/>
  <c r="AY339" i="2"/>
  <c r="AK339" i="2"/>
  <c r="AK338" i="2"/>
  <c r="AY334" i="2"/>
  <c r="AK334" i="2"/>
  <c r="AK333" i="2"/>
  <c r="AK332" i="2"/>
  <c r="AY331" i="2"/>
  <c r="AK331" i="2"/>
  <c r="AY329" i="2"/>
  <c r="AK329" i="2"/>
  <c r="AK328" i="2"/>
  <c r="AK326" i="2"/>
  <c r="AY325" i="2"/>
  <c r="AK325" i="2"/>
  <c r="AY322" i="2"/>
  <c r="AK322" i="2"/>
  <c r="AY321" i="2"/>
  <c r="AK321" i="2"/>
  <c r="AY319" i="2"/>
  <c r="AK319" i="2"/>
  <c r="AY317" i="2"/>
  <c r="AK317" i="2"/>
  <c r="AK316" i="2"/>
  <c r="AY313" i="2"/>
  <c r="AK313" i="2"/>
  <c r="AY312" i="2"/>
  <c r="AK312" i="2"/>
  <c r="AY308" i="2"/>
  <c r="AK308" i="2"/>
  <c r="AY307" i="2"/>
  <c r="AK307" i="2"/>
  <c r="AK305" i="2"/>
  <c r="AK304" i="2"/>
  <c r="AK303" i="2"/>
  <c r="AK302" i="2"/>
  <c r="AY301" i="2"/>
  <c r="AK301" i="2"/>
  <c r="AY300" i="2"/>
  <c r="AK300" i="2"/>
  <c r="AY298" i="2"/>
  <c r="AK298" i="2"/>
  <c r="AY295" i="2"/>
  <c r="AK295" i="2"/>
  <c r="AY293" i="2"/>
  <c r="AK293" i="2"/>
  <c r="AK292" i="2"/>
  <c r="AY291" i="2"/>
  <c r="AK291" i="2"/>
  <c r="AY289" i="2"/>
  <c r="AK289" i="2"/>
  <c r="AY288" i="2"/>
  <c r="AK288" i="2"/>
  <c r="AY286" i="2"/>
  <c r="AK286" i="2"/>
  <c r="AY285" i="2"/>
  <c r="AK285" i="2"/>
  <c r="AK284" i="2"/>
  <c r="AY280" i="2"/>
  <c r="AK280" i="2"/>
  <c r="AY278" i="2"/>
  <c r="AK278" i="2"/>
  <c r="AY270" i="2"/>
  <c r="AK270" i="2"/>
  <c r="AY269" i="2"/>
  <c r="AK269" i="2"/>
  <c r="AK265" i="2"/>
  <c r="AY264" i="2"/>
  <c r="AK264" i="2"/>
  <c r="AK262" i="2"/>
  <c r="AK261" i="2"/>
  <c r="AY260" i="2"/>
  <c r="AK260" i="2"/>
  <c r="AY259" i="2"/>
  <c r="AK259" i="2"/>
  <c r="AK258" i="2"/>
  <c r="AY257" i="2"/>
  <c r="AK257" i="2"/>
  <c r="AY255" i="2"/>
  <c r="AK255" i="2"/>
  <c r="AY252" i="2"/>
  <c r="AK252" i="2"/>
  <c r="AY250" i="2"/>
  <c r="AK250" i="2"/>
  <c r="AK248" i="2"/>
  <c r="AK247" i="2"/>
  <c r="AY246" i="2"/>
  <c r="AK246" i="2"/>
  <c r="AY244" i="2"/>
  <c r="AK244" i="2"/>
  <c r="AY243" i="2"/>
  <c r="AK243" i="2"/>
  <c r="AY242" i="2"/>
  <c r="AK242" i="2"/>
  <c r="AK241" i="2"/>
  <c r="AY240" i="2"/>
  <c r="AK240" i="2"/>
  <c r="AY231" i="2"/>
  <c r="AK231" i="2"/>
  <c r="AY227" i="2"/>
  <c r="AK227" i="2"/>
  <c r="AY226" i="2"/>
  <c r="AK226" i="2"/>
  <c r="AK220" i="2"/>
  <c r="AK219" i="2"/>
  <c r="AK218" i="2"/>
  <c r="AK217" i="2"/>
  <c r="AY216" i="2"/>
  <c r="AK216" i="2"/>
  <c r="AK214" i="2"/>
  <c r="AY209" i="2"/>
  <c r="AK209" i="2"/>
  <c r="AY207" i="2"/>
  <c r="AK207" i="2"/>
  <c r="AY205" i="2"/>
  <c r="AK205" i="2"/>
  <c r="AY202" i="2"/>
  <c r="AK202" i="2"/>
  <c r="AY201" i="2"/>
  <c r="AK201" i="2"/>
  <c r="AK200" i="2"/>
  <c r="AK199" i="2"/>
  <c r="AY198" i="2"/>
  <c r="AK198" i="2"/>
  <c r="AK197" i="2"/>
  <c r="AY196" i="2"/>
  <c r="AK196" i="2"/>
  <c r="AY195" i="2"/>
  <c r="AK195" i="2"/>
  <c r="AY193" i="2"/>
  <c r="AK193" i="2"/>
  <c r="AY192" i="2"/>
  <c r="AK192" i="2"/>
  <c r="AY189" i="2"/>
  <c r="AK189" i="2"/>
  <c r="AY188" i="2"/>
  <c r="AK188" i="2"/>
  <c r="AK186" i="2"/>
  <c r="AK184" i="2"/>
  <c r="AY183" i="2"/>
  <c r="AK183" i="2"/>
  <c r="AY182" i="2"/>
  <c r="AK182" i="2"/>
  <c r="AY180" i="2"/>
  <c r="AK180" i="2"/>
  <c r="AY179" i="2"/>
  <c r="AK179" i="2"/>
  <c r="AY178" i="2"/>
  <c r="AK178" i="2"/>
  <c r="AY177" i="2"/>
  <c r="AK177" i="2"/>
  <c r="AK173" i="2"/>
  <c r="AK172" i="2"/>
  <c r="AY171" i="2"/>
  <c r="AK171" i="2"/>
  <c r="AY170" i="2"/>
  <c r="AK170" i="2"/>
  <c r="AY168" i="2"/>
  <c r="AK168" i="2"/>
  <c r="AK167" i="2"/>
  <c r="AK166" i="2"/>
  <c r="AY165" i="2"/>
  <c r="AK165" i="2"/>
  <c r="AY150" i="2"/>
  <c r="AK150" i="2"/>
  <c r="AY147" i="2"/>
  <c r="AK147" i="2"/>
  <c r="AY146" i="2"/>
  <c r="AK146" i="2"/>
  <c r="AY145" i="2"/>
  <c r="AK145" i="2"/>
  <c r="AY144" i="2"/>
  <c r="AK144" i="2"/>
  <c r="AK140" i="2"/>
  <c r="AY139" i="2"/>
  <c r="AK139" i="2"/>
  <c r="AY138" i="2"/>
  <c r="AK138" i="2"/>
  <c r="AY137" i="2"/>
  <c r="AK137" i="2"/>
  <c r="AK136" i="2"/>
  <c r="AK135" i="2"/>
  <c r="AK134" i="2"/>
  <c r="AY112" i="2"/>
  <c r="AK112" i="2"/>
  <c r="AK111" i="2"/>
  <c r="AY109" i="2"/>
  <c r="AK109" i="2"/>
  <c r="AY108" i="2"/>
  <c r="AK108" i="2"/>
  <c r="AY107" i="2"/>
  <c r="AK107" i="2"/>
  <c r="AY106" i="2"/>
  <c r="AK106" i="2"/>
  <c r="AY105" i="2"/>
  <c r="AK105" i="2"/>
  <c r="AY102" i="2"/>
  <c r="AK102" i="2"/>
  <c r="AY101" i="2"/>
  <c r="AK101" i="2"/>
  <c r="Y100" i="2"/>
  <c r="AK100" i="2"/>
  <c r="AY99" i="2"/>
  <c r="AK99" i="2"/>
  <c r="AK92" i="2"/>
  <c r="AY91" i="2"/>
  <c r="AK91" i="2"/>
  <c r="AY79" i="2"/>
  <c r="AK79" i="2"/>
  <c r="AY77" i="2"/>
  <c r="AK77" i="2"/>
  <c r="AY76" i="2"/>
  <c r="AK76" i="2"/>
  <c r="AK75" i="2"/>
  <c r="AY54" i="2"/>
  <c r="AK54" i="2"/>
  <c r="AY51" i="2"/>
  <c r="AK51" i="2"/>
  <c r="AY50" i="2"/>
  <c r="AK50" i="2"/>
  <c r="AY1244" i="2"/>
  <c r="AY1197" i="2"/>
  <c r="AK1197" i="2"/>
  <c r="AY1184" i="2"/>
  <c r="AK1184" i="2"/>
  <c r="AY1235" i="2"/>
  <c r="AK1235" i="2"/>
  <c r="AK891" i="2"/>
  <c r="AG1146" i="2"/>
  <c r="AK1146" i="2"/>
  <c r="AG1242" i="2"/>
  <c r="AK1242" i="2"/>
  <c r="AK1240" i="2"/>
  <c r="AY1229" i="2"/>
  <c r="AK1229" i="2"/>
  <c r="AG1226" i="2"/>
  <c r="AK1226" i="2"/>
  <c r="AG1215" i="2"/>
  <c r="AK1215" i="2"/>
  <c r="AG1214" i="2"/>
  <c r="AK1214" i="2"/>
  <c r="AY1213" i="2"/>
  <c r="AK1213" i="2"/>
  <c r="AY1195" i="2"/>
  <c r="AK1195" i="2"/>
  <c r="AK1182" i="2"/>
  <c r="AY1158" i="2"/>
  <c r="AK1158" i="2"/>
  <c r="AG798" i="2"/>
  <c r="AK798" i="2"/>
  <c r="AY1224" i="2"/>
  <c r="AK1224" i="2"/>
  <c r="AG1223" i="2"/>
  <c r="AK1223" i="2"/>
  <c r="AG1211" i="2"/>
  <c r="AK1211" i="2"/>
  <c r="AG1193" i="2"/>
  <c r="AK1193" i="2"/>
  <c r="AY1191" i="2"/>
  <c r="AK1191" i="2"/>
  <c r="AY1175" i="2"/>
  <c r="AK1175" i="2"/>
  <c r="AY1173" i="2"/>
  <c r="AK1173" i="2"/>
  <c r="AY1170" i="2"/>
  <c r="AK1170" i="2"/>
  <c r="AK1168" i="2"/>
  <c r="AG1167" i="2"/>
  <c r="AK1167" i="2"/>
  <c r="AG1157" i="2"/>
  <c r="AK1157" i="2"/>
  <c r="AG1154" i="2"/>
  <c r="AK1154" i="2"/>
  <c r="AG1153" i="2"/>
  <c r="AK1153" i="2"/>
  <c r="AY1022" i="2"/>
  <c r="AK1022" i="2"/>
  <c r="AY829" i="2"/>
  <c r="AK829" i="2"/>
  <c r="AG797" i="2"/>
  <c r="AK797" i="2"/>
  <c r="AY604" i="2"/>
  <c r="AK604" i="2"/>
  <c r="AY603" i="2"/>
  <c r="AK603" i="2"/>
  <c r="AY602" i="2"/>
  <c r="AK602" i="2"/>
  <c r="AG1198" i="2"/>
  <c r="AK1198" i="2"/>
  <c r="W1169" i="2"/>
  <c r="BG1169" i="2" s="1"/>
  <c r="AK1169" i="2"/>
  <c r="AY1141" i="2"/>
  <c r="AK1141" i="2"/>
  <c r="AY879" i="2"/>
  <c r="AK879" i="2"/>
  <c r="AY1161" i="2"/>
  <c r="AK1161" i="2"/>
  <c r="AY1086" i="2"/>
  <c r="AK1086" i="2"/>
  <c r="AG992" i="2"/>
  <c r="AK992" i="2"/>
  <c r="AK828" i="2"/>
  <c r="AK827" i="2"/>
  <c r="AG1202" i="2"/>
  <c r="AK1202" i="2"/>
  <c r="AG1201" i="2"/>
  <c r="AK1201" i="2"/>
  <c r="AG878" i="2"/>
  <c r="AK878" i="2"/>
  <c r="AY1200" i="2"/>
  <c r="AK1200" i="2"/>
  <c r="AG1155" i="2"/>
  <c r="AK1155" i="2"/>
  <c r="AG1077" i="2"/>
  <c r="AK1077" i="2"/>
  <c r="AK1069" i="2"/>
  <c r="AG1068" i="2"/>
  <c r="AK1068" i="2"/>
  <c r="AK1006" i="2"/>
  <c r="AG1000" i="2"/>
  <c r="AK1000" i="2"/>
  <c r="AY996" i="2"/>
  <c r="AK996" i="2"/>
  <c r="AG994" i="2"/>
  <c r="AK994" i="2"/>
  <c r="AK989" i="2"/>
  <c r="AK988" i="2"/>
  <c r="AY981" i="2"/>
  <c r="AK981" i="2"/>
  <c r="AG980" i="2"/>
  <c r="AK980" i="2"/>
  <c r="AK976" i="2"/>
  <c r="AY972" i="2"/>
  <c r="AK972" i="2"/>
  <c r="AK825" i="2"/>
  <c r="AY1174" i="2"/>
  <c r="AK1174" i="2"/>
  <c r="AG1165" i="2"/>
  <c r="AK1165" i="2"/>
  <c r="AY1164" i="2"/>
  <c r="AK1164" i="2"/>
  <c r="AK1163" i="2"/>
  <c r="AG1159" i="2"/>
  <c r="AK1159" i="2"/>
  <c r="AY1152" i="2"/>
  <c r="AK1152" i="2"/>
  <c r="AG1148" i="2"/>
  <c r="AK1148" i="2"/>
  <c r="AG1128" i="2"/>
  <c r="AK1128" i="2"/>
  <c r="AG1126" i="2"/>
  <c r="AK1126" i="2"/>
  <c r="AK1125" i="2"/>
  <c r="AG1123" i="2"/>
  <c r="AK1123" i="2"/>
  <c r="AY1112" i="2"/>
  <c r="AK1112" i="2"/>
  <c r="AK1088" i="2"/>
  <c r="AG1083" i="2"/>
  <c r="AK1083" i="2"/>
  <c r="AY1072" i="2"/>
  <c r="AK1072" i="2"/>
  <c r="AY1071" i="2"/>
  <c r="AK1071" i="2"/>
  <c r="AY1070" i="2"/>
  <c r="AK1070" i="2"/>
  <c r="AG1010" i="2"/>
  <c r="AK1010" i="2"/>
  <c r="AG971" i="2"/>
  <c r="AK971" i="2"/>
  <c r="AK964" i="2"/>
  <c r="AG911" i="2"/>
  <c r="AK911" i="2"/>
  <c r="AG860" i="2"/>
  <c r="AK860" i="2"/>
  <c r="AK831" i="2"/>
  <c r="AG820" i="2"/>
  <c r="AK820" i="2"/>
  <c r="AY802" i="2"/>
  <c r="AK802" i="2"/>
  <c r="AY679" i="2"/>
  <c r="AK679" i="2"/>
  <c r="AY677" i="2"/>
  <c r="AK677" i="2"/>
  <c r="AK929" i="2"/>
  <c r="AY928" i="2"/>
  <c r="AK928" i="2"/>
  <c r="AG904" i="2"/>
  <c r="AK904" i="2"/>
  <c r="AC987" i="2"/>
  <c r="AK987" i="2"/>
  <c r="AG974" i="2"/>
  <c r="AK974" i="2"/>
  <c r="AY1145" i="2"/>
  <c r="AK1145" i="2"/>
  <c r="AY1138" i="2"/>
  <c r="AK1138" i="2"/>
  <c r="AG1027" i="2"/>
  <c r="AK1027" i="2"/>
  <c r="AG1026" i="2"/>
  <c r="AK1026" i="2"/>
  <c r="AY986" i="2"/>
  <c r="AK986" i="2"/>
  <c r="AK985" i="2"/>
  <c r="AY984" i="2"/>
  <c r="AK984" i="2"/>
  <c r="AG973" i="2"/>
  <c r="AK973" i="2"/>
  <c r="AG949" i="2"/>
  <c r="AK949" i="2"/>
  <c r="AG815" i="2"/>
  <c r="AK815" i="2"/>
  <c r="AG814" i="2"/>
  <c r="AK814" i="2"/>
  <c r="AG804" i="2"/>
  <c r="AK804" i="2"/>
  <c r="AY788" i="2"/>
  <c r="AK788" i="2"/>
  <c r="AY785" i="2"/>
  <c r="AK785" i="2"/>
  <c r="AK784" i="2"/>
  <c r="AG779" i="2"/>
  <c r="AK779" i="2"/>
  <c r="AY774" i="2"/>
  <c r="AK774" i="2"/>
  <c r="AG652" i="2"/>
  <c r="AK652" i="2"/>
  <c r="AY651" i="2"/>
  <c r="AK651" i="2"/>
  <c r="AY649" i="2"/>
  <c r="AK649" i="2"/>
  <c r="AK642" i="2"/>
  <c r="AG569" i="2"/>
  <c r="AK569" i="2"/>
  <c r="AG800" i="2"/>
  <c r="AK800" i="2"/>
  <c r="AY1241" i="2"/>
  <c r="AK1241" i="2"/>
  <c r="AG982" i="2"/>
  <c r="AK982" i="2"/>
  <c r="AY936" i="2"/>
  <c r="AK936" i="2"/>
  <c r="AY874" i="2"/>
  <c r="AK874" i="2"/>
  <c r="AK832" i="2"/>
  <c r="AG821" i="2"/>
  <c r="AK821" i="2"/>
  <c r="AY818" i="2"/>
  <c r="AK818" i="2"/>
  <c r="AY817" i="2"/>
  <c r="AK817" i="2"/>
  <c r="AK789" i="2"/>
  <c r="AG787" i="2"/>
  <c r="AK787" i="2"/>
  <c r="AY698" i="2"/>
  <c r="AK698" i="2"/>
  <c r="AY697" i="2"/>
  <c r="AK697" i="2"/>
  <c r="AK696" i="2"/>
  <c r="AG695" i="2"/>
  <c r="AK695" i="2"/>
  <c r="AG675" i="2"/>
  <c r="AK675" i="2"/>
  <c r="AG673" i="2"/>
  <c r="AK673" i="2"/>
  <c r="AY672" i="2"/>
  <c r="AK672" i="2"/>
  <c r="AG668" i="2"/>
  <c r="AK668" i="2"/>
  <c r="AY647" i="2"/>
  <c r="AK647" i="2"/>
  <c r="AG644" i="2"/>
  <c r="AK644" i="2"/>
  <c r="AK582" i="2"/>
  <c r="AG581" i="2"/>
  <c r="AK581" i="2"/>
  <c r="AG580" i="2"/>
  <c r="AK580" i="2"/>
  <c r="AG572" i="2"/>
  <c r="AK572" i="2"/>
  <c r="AY567" i="2"/>
  <c r="AK567" i="2"/>
  <c r="AY561" i="2"/>
  <c r="AK561" i="2"/>
  <c r="AY551" i="2"/>
  <c r="AK551" i="2"/>
  <c r="AK527" i="2"/>
  <c r="AY526" i="2"/>
  <c r="AK526" i="2"/>
  <c r="AC525" i="2"/>
  <c r="AK525" i="2"/>
  <c r="AG524" i="2"/>
  <c r="AK524" i="2"/>
  <c r="AG885" i="2"/>
  <c r="AK885" i="2"/>
  <c r="AY718" i="2"/>
  <c r="AK718" i="2"/>
  <c r="AY671" i="2"/>
  <c r="AK671" i="2"/>
  <c r="AY670" i="2"/>
  <c r="AK670" i="2"/>
  <c r="AK655" i="2"/>
  <c r="AG628" i="2"/>
  <c r="AK628" i="2"/>
  <c r="AG619" i="2"/>
  <c r="AK619" i="2"/>
  <c r="AY616" i="2"/>
  <c r="AK616" i="2"/>
  <c r="AY614" i="2"/>
  <c r="AK614" i="2"/>
  <c r="AG610" i="2"/>
  <c r="AK610" i="2"/>
  <c r="AG575" i="2"/>
  <c r="AK575" i="2"/>
  <c r="AY574" i="2"/>
  <c r="AK574" i="2"/>
  <c r="AY566" i="2"/>
  <c r="AK566" i="2"/>
  <c r="AG565" i="2"/>
  <c r="AK565" i="2"/>
  <c r="AK564" i="2"/>
  <c r="AG547" i="2"/>
  <c r="AK547" i="2"/>
  <c r="AY545" i="2"/>
  <c r="AK545" i="2"/>
  <c r="W544" i="2"/>
  <c r="BG544" i="2" s="1"/>
  <c r="AK544" i="2"/>
  <c r="AY536" i="2"/>
  <c r="AK536" i="2"/>
  <c r="AY534" i="2"/>
  <c r="AK534" i="2"/>
  <c r="AG523" i="2"/>
  <c r="AK523" i="2"/>
  <c r="AY522" i="2"/>
  <c r="AK522" i="2"/>
  <c r="AY520" i="2"/>
  <c r="AK520" i="2"/>
  <c r="AG517" i="2"/>
  <c r="AK517" i="2"/>
  <c r="AG504" i="2"/>
  <c r="AK504" i="2"/>
  <c r="AY500" i="2"/>
  <c r="AK500" i="2"/>
  <c r="AG497" i="2"/>
  <c r="AK497" i="2"/>
  <c r="AK577" i="2"/>
  <c r="AG570" i="2"/>
  <c r="AK570" i="2"/>
  <c r="AY562" i="2"/>
  <c r="AK562" i="2"/>
  <c r="AK535" i="2"/>
  <c r="AK532" i="2"/>
  <c r="AG529" i="2"/>
  <c r="AK529" i="2"/>
  <c r="AG507" i="2"/>
  <c r="AK507" i="2"/>
  <c r="AY503" i="2"/>
  <c r="AK503" i="2"/>
  <c r="AK496" i="2"/>
  <c r="AY498" i="2"/>
  <c r="AK498" i="2"/>
  <c r="AY491" i="2"/>
  <c r="AK491" i="2"/>
  <c r="AY489" i="2"/>
  <c r="AK489" i="2"/>
  <c r="AY161" i="2"/>
  <c r="AK161" i="2"/>
  <c r="AG494" i="2"/>
  <c r="AK494" i="2"/>
  <c r="AY493" i="2"/>
  <c r="AK493" i="2"/>
  <c r="AK488" i="2"/>
  <c r="AG487" i="2"/>
  <c r="AK487" i="2"/>
  <c r="Y486" i="2"/>
  <c r="AK486" i="2"/>
  <c r="AK469" i="2"/>
  <c r="AG160" i="2"/>
  <c r="AK160" i="2"/>
  <c r="AG467" i="2"/>
  <c r="AK467" i="2"/>
  <c r="AY464" i="2"/>
  <c r="AK464" i="2"/>
  <c r="AG463" i="2"/>
  <c r="AK463" i="2"/>
  <c r="AK462" i="2"/>
  <c r="AY461" i="2"/>
  <c r="AK461" i="2"/>
  <c r="AY445" i="2"/>
  <c r="AK445" i="2"/>
  <c r="AG442" i="2"/>
  <c r="AK442" i="2"/>
  <c r="AG399" i="2"/>
  <c r="AK399" i="2"/>
  <c r="AG159" i="2"/>
  <c r="AK159" i="2"/>
  <c r="AY158" i="2"/>
  <c r="AK158" i="2"/>
  <c r="AG457" i="2"/>
  <c r="AK457" i="2"/>
  <c r="AY455" i="2"/>
  <c r="AK455" i="2"/>
  <c r="AG454" i="2"/>
  <c r="AK454" i="2"/>
  <c r="AY450" i="2"/>
  <c r="AK450" i="2"/>
  <c r="AK405" i="2"/>
  <c r="AG398" i="2"/>
  <c r="AK398" i="2"/>
  <c r="AG371" i="2"/>
  <c r="AK371" i="2"/>
  <c r="AY370" i="2"/>
  <c r="AK370" i="2"/>
  <c r="AY156" i="2"/>
  <c r="AK156" i="2"/>
  <c r="AY404" i="2"/>
  <c r="AK404" i="2"/>
  <c r="AK364" i="2"/>
  <c r="W337" i="2"/>
  <c r="AK337" i="2"/>
  <c r="AY225" i="2"/>
  <c r="AK225" i="2"/>
  <c r="AY443" i="2"/>
  <c r="AK443" i="2"/>
  <c r="AY440" i="2"/>
  <c r="AK440" i="2"/>
  <c r="AY439" i="2"/>
  <c r="AK439" i="2"/>
  <c r="AY435" i="2"/>
  <c r="AK435" i="2"/>
  <c r="AG413" i="2"/>
  <c r="AK413" i="2"/>
  <c r="AK392" i="2"/>
  <c r="AG379" i="2"/>
  <c r="AK379" i="2"/>
  <c r="AG276" i="2"/>
  <c r="AK276" i="2"/>
  <c r="AK275" i="2"/>
  <c r="AG429" i="2"/>
  <c r="AK429" i="2"/>
  <c r="AY428" i="2"/>
  <c r="AK428" i="2"/>
  <c r="AG420" i="2"/>
  <c r="AK420" i="2"/>
  <c r="AY412" i="2"/>
  <c r="AK412" i="2"/>
  <c r="AY407" i="2"/>
  <c r="AK407" i="2"/>
  <c r="AK401" i="2"/>
  <c r="AY393" i="2"/>
  <c r="AK393" i="2"/>
  <c r="W273" i="2"/>
  <c r="BG273" i="2" s="1"/>
  <c r="AK273" i="2"/>
  <c r="AY163" i="2"/>
  <c r="AK163" i="2"/>
  <c r="AY151" i="2"/>
  <c r="AK151" i="2"/>
  <c r="W95" i="2"/>
  <c r="BG95" i="2" s="1"/>
  <c r="AK95" i="2"/>
  <c r="AY64" i="2"/>
  <c r="AK64" i="2"/>
  <c r="AG41" i="2"/>
  <c r="AK41" i="2"/>
  <c r="AY408" i="2"/>
  <c r="AK408" i="2"/>
  <c r="AY402" i="2"/>
  <c r="AK402" i="2"/>
  <c r="AG406" i="2"/>
  <c r="AK406" i="2"/>
  <c r="AY396" i="2"/>
  <c r="AK396" i="2"/>
  <c r="AY366" i="2"/>
  <c r="AK366" i="2"/>
  <c r="AK283" i="2"/>
  <c r="AK282" i="2"/>
  <c r="AG238" i="2"/>
  <c r="AK238" i="2"/>
  <c r="AK221" i="2"/>
  <c r="AK212" i="2"/>
  <c r="AG124" i="2"/>
  <c r="AK124" i="2"/>
  <c r="AY123" i="2"/>
  <c r="AK123" i="2"/>
  <c r="AG122" i="2"/>
  <c r="AK122" i="2"/>
  <c r="AY115" i="2"/>
  <c r="AK115" i="2"/>
  <c r="AY72" i="2"/>
  <c r="AK72" i="2"/>
  <c r="AG68" i="2"/>
  <c r="AK68" i="2"/>
  <c r="AK63" i="2"/>
  <c r="AY22" i="2"/>
  <c r="AK22" i="2"/>
  <c r="AG395" i="2"/>
  <c r="AK395" i="2"/>
  <c r="AG237" i="2"/>
  <c r="AK237" i="2"/>
  <c r="AY232" i="2"/>
  <c r="AK232" i="2"/>
  <c r="AK210" i="2"/>
  <c r="AY185" i="2"/>
  <c r="AK185" i="2"/>
  <c r="AG164" i="2"/>
  <c r="AK164" i="2"/>
  <c r="AG129" i="2"/>
  <c r="AK129" i="2"/>
  <c r="AG121" i="2"/>
  <c r="AK121" i="2"/>
  <c r="AG120" i="2"/>
  <c r="AK120" i="2"/>
  <c r="AY117" i="2"/>
  <c r="AK117" i="2"/>
  <c r="AY114" i="2"/>
  <c r="AK114" i="2"/>
  <c r="AG98" i="2"/>
  <c r="AK98" i="2"/>
  <c r="AY90" i="2"/>
  <c r="AK90" i="2"/>
  <c r="AG88" i="2"/>
  <c r="AK88" i="2"/>
  <c r="AG86" i="2"/>
  <c r="AK86" i="2"/>
  <c r="Y81" i="2"/>
  <c r="AK81" i="2"/>
  <c r="AK70" i="2"/>
  <c r="AY69" i="2"/>
  <c r="AK69" i="2"/>
  <c r="AG49" i="2"/>
  <c r="AK49" i="2"/>
  <c r="AK48" i="2"/>
  <c r="AG40" i="2"/>
  <c r="AK40" i="2"/>
  <c r="AG37" i="2"/>
  <c r="AK37" i="2"/>
  <c r="AG21" i="2"/>
  <c r="AK21" i="2"/>
  <c r="AG8" i="2"/>
  <c r="AK8" i="2"/>
  <c r="AK132" i="2"/>
  <c r="AG130" i="2"/>
  <c r="AK130" i="2"/>
  <c r="AG128" i="2"/>
  <c r="AK128" i="2"/>
  <c r="AY127" i="2"/>
  <c r="AK127" i="2"/>
  <c r="AY87" i="2"/>
  <c r="AK87" i="2"/>
  <c r="AK20" i="2"/>
  <c r="AG17" i="2"/>
  <c r="AK17" i="2"/>
  <c r="AY14" i="2"/>
  <c r="AK14" i="2"/>
  <c r="AY13" i="2"/>
  <c r="AK13" i="2"/>
  <c r="AG7" i="2"/>
  <c r="AK7" i="2"/>
  <c r="AG97" i="2"/>
  <c r="AK97" i="2"/>
  <c r="AY84" i="2"/>
  <c r="AK84" i="2"/>
  <c r="AG56" i="2"/>
  <c r="AK56" i="2"/>
  <c r="AK43" i="2"/>
  <c r="AY39" i="2"/>
  <c r="AK39" i="2"/>
  <c r="AY34" i="2"/>
  <c r="AK34" i="2"/>
  <c r="AY33" i="2"/>
  <c r="AK33" i="2"/>
  <c r="AG32" i="2"/>
  <c r="AK32" i="2"/>
  <c r="AG31" i="2"/>
  <c r="AK31" i="2"/>
  <c r="AG30" i="2"/>
  <c r="AK30" i="2"/>
  <c r="AY16" i="2"/>
  <c r="AK16" i="2"/>
  <c r="AG12" i="2"/>
  <c r="AK12" i="2"/>
  <c r="AG6" i="2"/>
  <c r="AK6" i="2"/>
  <c r="AY1156" i="2"/>
  <c r="AY1177" i="2"/>
  <c r="AY1236" i="2"/>
  <c r="AY1142" i="2"/>
  <c r="AY1205" i="2"/>
  <c r="AY881" i="2"/>
  <c r="AG1206" i="2"/>
  <c r="AG889" i="2"/>
  <c r="AG1207" i="2"/>
  <c r="AG1194" i="2"/>
  <c r="AG880" i="2"/>
  <c r="AG890" i="2"/>
  <c r="AG1024" i="2"/>
  <c r="AG1192" i="2"/>
  <c r="AY636" i="2"/>
  <c r="AG636" i="2"/>
  <c r="AY582" i="2"/>
  <c r="AY1206" i="2"/>
  <c r="AY521" i="2"/>
  <c r="AY823" i="2"/>
  <c r="AY1146" i="2"/>
  <c r="AG900" i="2"/>
  <c r="AG924" i="2"/>
  <c r="AG925" i="2"/>
  <c r="AG1034" i="2"/>
  <c r="AG1182" i="2"/>
  <c r="AG1069" i="2"/>
  <c r="AG827" i="2"/>
  <c r="AG564" i="2"/>
  <c r="AG1125" i="2"/>
  <c r="AG405" i="2"/>
  <c r="AY924" i="2"/>
  <c r="AY754" i="2"/>
  <c r="AG441" i="2"/>
  <c r="AY901" i="2"/>
  <c r="AY738" i="2"/>
  <c r="AY1182" i="2"/>
  <c r="AY682" i="2"/>
  <c r="AY825" i="2"/>
  <c r="AY496" i="2"/>
  <c r="AY363" i="2"/>
  <c r="AG881" i="2"/>
  <c r="AG587" i="2"/>
  <c r="AY979" i="2"/>
  <c r="AG1171" i="2"/>
  <c r="AY620" i="2"/>
  <c r="AY929" i="2"/>
  <c r="AG784" i="2"/>
  <c r="AY784" i="2"/>
  <c r="AG817" i="2"/>
  <c r="AY695" i="2"/>
  <c r="AY564" i="2"/>
  <c r="AY199" i="2"/>
  <c r="AY577" i="2"/>
  <c r="AY284" i="2"/>
  <c r="AY405" i="2"/>
  <c r="AY379" i="2"/>
  <c r="AG407" i="2"/>
  <c r="AY827" i="2"/>
  <c r="AY129" i="2"/>
  <c r="AG69" i="2"/>
  <c r="AY980" i="2"/>
  <c r="AY1034" i="2"/>
  <c r="AY261" i="2"/>
  <c r="AG828" i="2"/>
  <c r="AY262" i="2"/>
  <c r="AG825" i="2"/>
  <c r="AY696" i="2"/>
  <c r="AY100" i="2"/>
  <c r="AG1170" i="2"/>
  <c r="AY704" i="2"/>
  <c r="AY30" i="2"/>
  <c r="AG614" i="2"/>
  <c r="AY166" i="2"/>
  <c r="AG577" i="2"/>
  <c r="AG461" i="2"/>
  <c r="AG1168" i="2"/>
  <c r="AG363" i="2"/>
  <c r="AY590" i="2"/>
  <c r="AG792" i="2"/>
  <c r="AG444" i="2"/>
  <c r="AY618" i="2"/>
  <c r="AY401" i="2"/>
  <c r="AY985" i="2"/>
  <c r="AY41" i="2"/>
  <c r="AG985" i="2"/>
  <c r="AY1008" i="2"/>
  <c r="AY388" i="2"/>
  <c r="AG332" i="2"/>
  <c r="AY642" i="2"/>
  <c r="AY31" i="2"/>
  <c r="AG642" i="2"/>
  <c r="AY332" i="2"/>
  <c r="AY583" i="2"/>
  <c r="AY925" i="2"/>
  <c r="AY891" i="2"/>
  <c r="AG696" i="2"/>
  <c r="AG616" i="2"/>
  <c r="AY70" i="2"/>
  <c r="AY565" i="2"/>
  <c r="AG793" i="2"/>
  <c r="AG1203" i="2"/>
  <c r="AG72" i="2"/>
  <c r="AY1126" i="2"/>
  <c r="AG824" i="2"/>
  <c r="AG462" i="2"/>
  <c r="AG930" i="2"/>
  <c r="AG1195" i="2"/>
  <c r="AG986" i="2"/>
  <c r="AG450" i="2"/>
  <c r="AY706" i="2"/>
  <c r="AG891" i="2"/>
  <c r="AY866" i="2"/>
  <c r="AG848" i="2"/>
  <c r="AY955" i="2"/>
  <c r="AG1213" i="2"/>
  <c r="AY219" i="2"/>
  <c r="AY930" i="2"/>
  <c r="AY200" i="2"/>
  <c r="AY755" i="2"/>
  <c r="AY462" i="2"/>
  <c r="AG785" i="2"/>
  <c r="AY1085" i="2"/>
  <c r="AY988" i="2"/>
  <c r="AG981" i="2"/>
  <c r="AY591" i="2"/>
  <c r="AY499" i="2"/>
  <c r="AG849" i="2"/>
  <c r="AY486" i="2"/>
  <c r="AG225" i="2"/>
  <c r="AY739" i="2"/>
  <c r="AY389" i="2"/>
  <c r="AY1012" i="2"/>
  <c r="AY951" i="2"/>
  <c r="AG81" i="2"/>
  <c r="AG1217" i="2"/>
  <c r="AY615" i="2"/>
  <c r="AY1036" i="2"/>
  <c r="AY849" i="2"/>
  <c r="AG1208" i="2"/>
  <c r="AY1035" i="2"/>
  <c r="AG1072" i="2"/>
  <c r="AY354" i="2"/>
  <c r="AG926" i="2"/>
  <c r="AY964" i="2"/>
  <c r="AY756" i="2"/>
  <c r="AG932" i="2"/>
  <c r="AY530" i="2"/>
  <c r="AY932" i="2"/>
  <c r="AG951" i="2"/>
  <c r="AY1169" i="2"/>
  <c r="AG877" i="2"/>
  <c r="AY1217" i="2"/>
  <c r="AG643" i="2"/>
  <c r="AG1161" i="2"/>
  <c r="AY186" i="2"/>
  <c r="AG1035" i="2"/>
  <c r="AY431" i="2"/>
  <c r="AY380" i="2"/>
  <c r="AG503" i="2"/>
  <c r="AY419" i="2"/>
  <c r="AY220" i="2"/>
  <c r="AY1023" i="2"/>
  <c r="AG1169" i="2"/>
  <c r="AG950" i="2"/>
  <c r="AY586" i="2"/>
  <c r="AY926" i="2"/>
  <c r="AG419" i="2"/>
  <c r="AY722" i="2"/>
  <c r="AY485" i="2"/>
  <c r="AY303" i="2"/>
  <c r="AY184" i="2"/>
  <c r="AG834" i="2"/>
  <c r="AY867" i="2"/>
  <c r="AY833" i="2"/>
  <c r="AY355" i="2"/>
  <c r="AY794" i="2"/>
  <c r="AY950" i="2"/>
  <c r="AY302" i="2"/>
  <c r="AG522" i="2"/>
  <c r="AG132" i="2"/>
  <c r="AY283" i="2"/>
  <c r="AY1157" i="2"/>
  <c r="AY441" i="2"/>
  <c r="AY282" i="2"/>
  <c r="AY63" i="2"/>
  <c r="AG453" i="2"/>
  <c r="AY1171" i="2"/>
  <c r="AY675" i="2"/>
  <c r="AY474" i="2"/>
  <c r="AG563" i="2"/>
  <c r="AG401" i="2"/>
  <c r="AG867" i="2"/>
  <c r="AG1163" i="2"/>
  <c r="AG611" i="2"/>
  <c r="AY680" i="2"/>
  <c r="AY673" i="2"/>
  <c r="AY258" i="2"/>
  <c r="AY1167" i="2"/>
  <c r="AY1125" i="2"/>
  <c r="AY454" i="2"/>
  <c r="AY132" i="2"/>
  <c r="AG63" i="2"/>
  <c r="AY1162" i="2"/>
  <c r="AY97" i="2"/>
  <c r="AY751" i="2"/>
  <c r="AY233" i="2"/>
  <c r="AY68" i="2"/>
  <c r="AG649" i="2"/>
  <c r="AY824" i="2"/>
  <c r="AG1158" i="2"/>
  <c r="AY1077" i="2"/>
  <c r="AY572" i="2"/>
  <c r="AY36" i="2"/>
  <c r="AG631" i="2"/>
  <c r="AG499" i="2"/>
  <c r="AY948" i="2"/>
  <c r="AY430" i="2"/>
  <c r="AY1207" i="2"/>
  <c r="AY525" i="2"/>
  <c r="AY164" i="2"/>
  <c r="AG1174" i="2"/>
  <c r="AG568" i="2"/>
  <c r="AY581" i="2"/>
  <c r="AG1164" i="2"/>
  <c r="AG818" i="2"/>
  <c r="AG486" i="2"/>
  <c r="AG737" i="2"/>
  <c r="AY803" i="2"/>
  <c r="AY527" i="2"/>
  <c r="AG1070" i="2"/>
  <c r="AG583" i="2"/>
  <c r="AY1123" i="2"/>
  <c r="AG613" i="2"/>
  <c r="AG70" i="2"/>
  <c r="AY828" i="2"/>
  <c r="AY364" i="2"/>
  <c r="AY210" i="2"/>
  <c r="AG988" i="2"/>
  <c r="AG574" i="2"/>
  <c r="AG133" i="2"/>
  <c r="AY1202" i="2"/>
  <c r="AG18" i="2"/>
  <c r="AY167" i="2"/>
  <c r="AG562" i="2"/>
  <c r="AG582" i="2"/>
  <c r="AY703" i="2"/>
  <c r="AY136" i="2"/>
  <c r="AG1025" i="2"/>
  <c r="AY878" i="2"/>
  <c r="AY381" i="2"/>
  <c r="AY613" i="2"/>
  <c r="AY130" i="2"/>
  <c r="AG929" i="2"/>
  <c r="AG496" i="2"/>
  <c r="AY816" i="2"/>
  <c r="AY610" i="2"/>
  <c r="AY444" i="2"/>
  <c r="AY95" i="2"/>
  <c r="AY17" i="2"/>
  <c r="AG1006" i="2"/>
  <c r="AG488" i="2"/>
  <c r="AG282" i="2"/>
  <c r="AY316" i="2"/>
  <c r="AY218" i="2"/>
  <c r="AY135" i="2"/>
  <c r="AG1224" i="2"/>
  <c r="AY810" i="2"/>
  <c r="AY1194" i="2"/>
  <c r="AY48" i="2"/>
  <c r="AY587" i="2"/>
  <c r="AY1069" i="2"/>
  <c r="AY442" i="2"/>
  <c r="AY1033" i="2"/>
  <c r="AY900" i="2"/>
  <c r="AG823" i="2"/>
  <c r="AG1008" i="2"/>
  <c r="AY221" i="2"/>
  <c r="AG535" i="2"/>
  <c r="AY413" i="2"/>
  <c r="AG1142" i="2"/>
  <c r="AG275" i="2"/>
  <c r="AY134" i="2"/>
  <c r="AY568" i="2"/>
  <c r="AG1134" i="2"/>
  <c r="AY1180" i="2"/>
  <c r="AY212" i="2"/>
  <c r="AG987" i="2"/>
  <c r="AG127" i="2"/>
  <c r="AG498" i="2"/>
  <c r="AY949" i="2"/>
  <c r="AG532" i="2"/>
  <c r="AY1240" i="2"/>
  <c r="AY860" i="2"/>
  <c r="AY611" i="2"/>
  <c r="AG381" i="2"/>
  <c r="AY197" i="2"/>
  <c r="AG959" i="2"/>
  <c r="AG393" i="2"/>
  <c r="AG48" i="2"/>
  <c r="AY1004" i="2"/>
  <c r="AG960" i="2"/>
  <c r="AG819" i="2"/>
  <c r="AY800" i="2"/>
  <c r="AY399" i="2"/>
  <c r="AY12" i="2"/>
  <c r="AG283" i="2"/>
  <c r="AG1004" i="2"/>
  <c r="AG802" i="2"/>
  <c r="AY1088" i="2"/>
  <c r="AY961" i="2"/>
  <c r="AY797" i="2"/>
  <c r="AY391" i="2"/>
  <c r="AY831" i="2"/>
  <c r="AY982" i="2"/>
  <c r="AG571" i="2"/>
  <c r="AG212" i="2"/>
  <c r="AY946" i="2"/>
  <c r="AY864" i="2"/>
  <c r="AY172" i="2"/>
  <c r="AY1192" i="2"/>
  <c r="AY532" i="2"/>
  <c r="AY681" i="2"/>
  <c r="AY540" i="2"/>
  <c r="AG44" i="2"/>
  <c r="AY44" i="2"/>
  <c r="AG3" i="2"/>
  <c r="AG89" i="2"/>
  <c r="AY42" i="2"/>
  <c r="AY94" i="2"/>
  <c r="AG223" i="2"/>
  <c r="AY223" i="2"/>
  <c r="AY9" i="2"/>
  <c r="AG9" i="2"/>
  <c r="AY96" i="2"/>
  <c r="AG96" i="2"/>
  <c r="AG511" i="2"/>
  <c r="AY103" i="2"/>
  <c r="AG116" i="2"/>
  <c r="AG466" i="2"/>
  <c r="AY466" i="2"/>
  <c r="AY513" i="2"/>
  <c r="AG513" i="2"/>
  <c r="AG576" i="2"/>
  <c r="AY576" i="2"/>
  <c r="AG537" i="2"/>
  <c r="AY537" i="2"/>
  <c r="AG723" i="2"/>
  <c r="AY723" i="2"/>
  <c r="AG1139" i="2"/>
  <c r="AY898" i="2"/>
  <c r="AG898" i="2"/>
  <c r="AG1121" i="2"/>
  <c r="AY1121" i="2"/>
  <c r="AG1221" i="2"/>
  <c r="AY104" i="2"/>
  <c r="AY266" i="2"/>
  <c r="AG852" i="2"/>
  <c r="AY852" i="2"/>
  <c r="AG934" i="2"/>
  <c r="AY934" i="2"/>
  <c r="AY305" i="2"/>
  <c r="AY645" i="2"/>
  <c r="AG761" i="2"/>
  <c r="AY678" i="2"/>
  <c r="AY899" i="2"/>
  <c r="AG899" i="2"/>
  <c r="AY1220" i="2"/>
  <c r="AG1216" i="2"/>
  <c r="AY1216" i="2"/>
  <c r="AY55" i="2"/>
  <c r="AY228" i="2"/>
  <c r="AY267" i="2"/>
  <c r="AY438" i="2"/>
  <c r="AY626" i="2"/>
  <c r="AG805" i="2"/>
  <c r="AY805" i="2"/>
  <c r="AG853" i="2"/>
  <c r="AY914" i="2"/>
  <c r="AG1042" i="2"/>
  <c r="AY989" i="2"/>
  <c r="AG94" i="2"/>
  <c r="AG414" i="2"/>
  <c r="AY468" i="2"/>
  <c r="AG468" i="2"/>
  <c r="AY518" i="2"/>
  <c r="AG541" i="2"/>
  <c r="AG662" i="2"/>
  <c r="AY646" i="2"/>
  <c r="AY935" i="2"/>
  <c r="AG935" i="2"/>
  <c r="AG873" i="2"/>
  <c r="AY1089" i="2"/>
  <c r="AG1089" i="2"/>
  <c r="AG1225" i="2"/>
  <c r="AY1225" i="2"/>
  <c r="AY73" i="2"/>
  <c r="AG554" i="2"/>
  <c r="AY554" i="2"/>
  <c r="AY806" i="2"/>
  <c r="AG854" i="2"/>
  <c r="AY854" i="2"/>
  <c r="AY938" i="2"/>
  <c r="AG938" i="2"/>
  <c r="AY1043" i="2"/>
  <c r="AY1095" i="2"/>
  <c r="AY465" i="2"/>
  <c r="AY3" i="2"/>
  <c r="AY57" i="2"/>
  <c r="AY59" i="2"/>
  <c r="AG59" i="2"/>
  <c r="AG234" i="2"/>
  <c r="AY234" i="2"/>
  <c r="AY394" i="2"/>
  <c r="AY460" i="2"/>
  <c r="AG162" i="2"/>
  <c r="AG506" i="2"/>
  <c r="AY584" i="2"/>
  <c r="AG584" i="2"/>
  <c r="AG936" i="2"/>
  <c r="AY1150" i="2"/>
  <c r="AY1140" i="2"/>
  <c r="AG1172" i="2"/>
  <c r="AY1172" i="2"/>
  <c r="AY1230" i="2"/>
  <c r="AG1230" i="2"/>
  <c r="AY74" i="2"/>
  <c r="AY174" i="2"/>
  <c r="AY253" i="2"/>
  <c r="AY555" i="2"/>
  <c r="AY711" i="2"/>
  <c r="AY807" i="2"/>
  <c r="AG855" i="2"/>
  <c r="AY855" i="2"/>
  <c r="AY939" i="2"/>
  <c r="AY1017" i="2"/>
  <c r="AY686" i="2"/>
  <c r="AG60" i="2"/>
  <c r="AY60" i="2"/>
  <c r="AY113" i="2"/>
  <c r="AG113" i="2"/>
  <c r="AY124" i="2"/>
  <c r="AG163" i="2"/>
  <c r="Y25" i="2"/>
  <c r="AY25" i="2"/>
  <c r="AY475" i="2"/>
  <c r="AG475" i="2"/>
  <c r="AG508" i="2"/>
  <c r="AG599" i="2"/>
  <c r="AY599" i="2"/>
  <c r="AG670" i="2"/>
  <c r="AY550" i="2"/>
  <c r="AG550" i="2"/>
  <c r="AG770" i="2"/>
  <c r="AY770" i="2"/>
  <c r="AG775" i="2"/>
  <c r="AY775" i="2"/>
  <c r="AG999" i="2"/>
  <c r="AY999" i="2"/>
  <c r="AG1151" i="2"/>
  <c r="AG829" i="2"/>
  <c r="AY1176" i="2"/>
  <c r="AG1176" i="2"/>
  <c r="AY1233" i="2"/>
  <c r="AC1231" i="2"/>
  <c r="AG1231" i="2"/>
  <c r="AY1231" i="2"/>
  <c r="AG1235" i="2"/>
  <c r="AY556" i="2"/>
  <c r="AG556" i="2"/>
  <c r="AY630" i="2"/>
  <c r="AY808" i="2"/>
  <c r="AY856" i="2"/>
  <c r="AG856" i="2"/>
  <c r="AG917" i="2"/>
  <c r="Y1018" i="2"/>
  <c r="AY1018" i="2"/>
  <c r="AY508" i="2"/>
  <c r="AY392" i="2"/>
  <c r="AG509" i="2"/>
  <c r="AY509" i="2"/>
  <c r="AY271" i="2"/>
  <c r="AY732" i="2"/>
  <c r="AY809" i="2"/>
  <c r="AG918" i="2"/>
  <c r="AG1019" i="2"/>
  <c r="AY873" i="2"/>
  <c r="AG25" i="2"/>
  <c r="AG58" i="2"/>
  <c r="AY960" i="2"/>
  <c r="AY1215" i="2"/>
  <c r="AY814" i="2"/>
  <c r="AY10" i="2"/>
  <c r="AG42" i="2"/>
  <c r="AY959" i="2"/>
  <c r="AY82" i="2"/>
  <c r="AY870" i="2"/>
  <c r="AY421" i="2"/>
  <c r="AG534" i="2"/>
  <c r="AG1185" i="2"/>
  <c r="AY1185" i="2"/>
  <c r="AG367" i="2"/>
  <c r="AY367" i="2"/>
  <c r="AG1143" i="2"/>
  <c r="AY126" i="2"/>
  <c r="AG762" i="2"/>
  <c r="AY762" i="2"/>
  <c r="AG1222" i="2"/>
  <c r="AY1222" i="2"/>
  <c r="AG451" i="2"/>
  <c r="AY451" i="2"/>
  <c r="AG471" i="2"/>
  <c r="AY471" i="2"/>
  <c r="AY1139" i="2"/>
  <c r="AY641" i="2"/>
  <c r="AG1233" i="2"/>
  <c r="AG995" i="2"/>
  <c r="AY1042" i="2"/>
  <c r="AY764" i="2"/>
  <c r="AY913" i="2"/>
  <c r="AG35" i="2"/>
  <c r="AY35" i="2"/>
  <c r="AY211" i="2"/>
  <c r="AG211" i="2"/>
  <c r="AY420" i="2"/>
  <c r="AY369" i="2"/>
  <c r="AG369" i="2"/>
  <c r="AY456" i="2"/>
  <c r="AG456" i="2"/>
  <c r="AG490" i="2"/>
  <c r="AY490" i="2"/>
  <c r="AG533" i="2"/>
  <c r="AY575" i="2"/>
  <c r="Y531" i="2"/>
  <c r="AG531" i="2"/>
  <c r="AY531" i="2"/>
  <c r="AG699" i="2"/>
  <c r="AY699" i="2"/>
  <c r="AY859" i="2"/>
  <c r="AG859" i="2"/>
  <c r="AY652" i="2"/>
  <c r="AG1056" i="2"/>
  <c r="AY676" i="2"/>
  <c r="AG676" i="2"/>
  <c r="AY1076" i="2"/>
  <c r="AY1136" i="2"/>
  <c r="AY886" i="2"/>
  <c r="AG1111" i="2"/>
  <c r="AY1111" i="2"/>
  <c r="AY1198" i="2"/>
  <c r="AG1181" i="2"/>
  <c r="AY1181" i="2"/>
  <c r="AY1218" i="2"/>
  <c r="AG1218" i="2"/>
  <c r="AG1196" i="2"/>
  <c r="AY1196" i="2"/>
  <c r="AY53" i="2"/>
  <c r="AY140" i="2"/>
  <c r="AY187" i="2"/>
  <c r="AY203" i="2"/>
  <c r="AY249" i="2"/>
  <c r="AY320" i="2"/>
  <c r="AY403" i="2"/>
  <c r="AY656" i="2"/>
  <c r="AY796" i="2"/>
  <c r="AY835" i="2"/>
  <c r="AY910" i="2"/>
  <c r="AY952" i="2"/>
  <c r="AG1013" i="2"/>
  <c r="AY1013" i="2"/>
  <c r="AY1037" i="2"/>
  <c r="AG1037" i="2"/>
  <c r="AG10" i="2"/>
  <c r="AG384" i="2"/>
  <c r="AY384" i="2"/>
  <c r="AY397" i="2"/>
  <c r="AG397" i="2"/>
  <c r="AY457" i="2"/>
  <c r="AG493" i="2"/>
  <c r="AG502" i="2"/>
  <c r="AY502" i="2"/>
  <c r="AG653" i="2"/>
  <c r="AY644" i="2"/>
  <c r="AG874" i="2"/>
  <c r="Y724" i="2"/>
  <c r="AY724" i="2"/>
  <c r="AG1075" i="2"/>
  <c r="AY1075" i="2"/>
  <c r="AY1219" i="2"/>
  <c r="AG1219" i="2"/>
  <c r="AY1209" i="2"/>
  <c r="AG1209" i="2"/>
  <c r="AY204" i="2"/>
  <c r="AY409" i="2"/>
  <c r="AY595" i="2"/>
  <c r="AY657" i="2"/>
  <c r="Y708" i="2"/>
  <c r="AY708" i="2"/>
  <c r="AY743" i="2"/>
  <c r="AG801" i="2"/>
  <c r="AY801" i="2"/>
  <c r="AG953" i="2"/>
  <c r="AY953" i="2"/>
  <c r="AG1014" i="2"/>
  <c r="AY1014" i="2"/>
  <c r="AG1041" i="2"/>
  <c r="AY1041" i="2"/>
  <c r="AY994" i="2"/>
  <c r="AY1056" i="2"/>
  <c r="AY533" i="2"/>
  <c r="AY116" i="2"/>
  <c r="AG45" i="2"/>
  <c r="AY975" i="2"/>
  <c r="AG1124" i="2"/>
  <c r="Y1007" i="2"/>
  <c r="AG1007" i="2"/>
  <c r="AG1186" i="2"/>
  <c r="AY142" i="2"/>
  <c r="AY290" i="2"/>
  <c r="AY596" i="2"/>
  <c r="AG937" i="2"/>
  <c r="AY937" i="2"/>
  <c r="AY1015" i="2"/>
  <c r="AG1015" i="2"/>
  <c r="AY89" i="2"/>
  <c r="AG677" i="2"/>
  <c r="AY837" i="2"/>
  <c r="AY594" i="2"/>
  <c r="AY304" i="2"/>
  <c r="W93" i="2"/>
  <c r="BG93" i="2" s="1"/>
  <c r="AG93" i="2"/>
  <c r="AG372" i="2"/>
  <c r="AY372" i="2"/>
  <c r="AG386" i="2"/>
  <c r="AY459" i="2"/>
  <c r="AG161" i="2"/>
  <c r="AG505" i="2"/>
  <c r="AY579" i="2"/>
  <c r="AY548" i="2"/>
  <c r="AG548" i="2"/>
  <c r="AG978" i="2"/>
  <c r="AY978" i="2"/>
  <c r="W905" i="2"/>
  <c r="AY905" i="2"/>
  <c r="AG905" i="2"/>
  <c r="AG996" i="2"/>
  <c r="AG1020" i="2"/>
  <c r="AG1156" i="2"/>
  <c r="AY190" i="2"/>
  <c r="AY229" i="2"/>
  <c r="AY343" i="2"/>
  <c r="AG360" i="2"/>
  <c r="AY447" i="2"/>
  <c r="AY958" i="2"/>
  <c r="AG1016" i="2"/>
  <c r="AY1016" i="2"/>
  <c r="AY88" i="2"/>
  <c r="AG1095" i="2"/>
  <c r="AG82" i="2"/>
  <c r="AY360" i="2"/>
  <c r="AG151" i="2"/>
  <c r="AY433" i="2"/>
  <c r="AG433" i="2"/>
  <c r="Y470" i="2"/>
  <c r="AG542" i="2"/>
  <c r="AY542" i="2"/>
  <c r="AY549" i="2"/>
  <c r="AY769" i="2"/>
  <c r="AG903" i="2"/>
  <c r="AG1090" i="2"/>
  <c r="AY1090" i="2"/>
  <c r="AG993" i="2"/>
  <c r="AY993" i="2"/>
  <c r="AG1087" i="2"/>
  <c r="AY1087" i="2"/>
  <c r="AY906" i="2"/>
  <c r="AG906" i="2"/>
  <c r="AG997" i="2"/>
  <c r="AY997" i="2"/>
  <c r="AY1021" i="2"/>
  <c r="AY1228" i="2"/>
  <c r="AY1227" i="2"/>
  <c r="AG1227" i="2"/>
  <c r="AY191" i="2"/>
  <c r="AY230" i="2"/>
  <c r="AC324" i="2"/>
  <c r="AY324" i="2"/>
  <c r="AG361" i="2"/>
  <c r="AY361" i="2"/>
  <c r="AY629" i="2"/>
  <c r="AY730" i="2"/>
  <c r="AY1024" i="2"/>
  <c r="AG1021" i="2"/>
  <c r="AY40" i="2"/>
  <c r="AG235" i="2"/>
  <c r="AY235" i="2"/>
  <c r="AG473" i="2"/>
  <c r="AY473" i="2"/>
  <c r="AY528" i="2"/>
  <c r="AG528" i="2"/>
  <c r="AG543" i="2"/>
  <c r="AY543" i="2"/>
  <c r="AG1135" i="2"/>
  <c r="AY1135" i="2"/>
  <c r="AC819" i="2"/>
  <c r="AY819" i="2"/>
  <c r="AY998" i="2"/>
  <c r="AG998" i="2"/>
  <c r="AY912" i="2"/>
  <c r="AG912" i="2"/>
  <c r="AG1204" i="2"/>
  <c r="AY1204" i="2"/>
  <c r="AY175" i="2"/>
  <c r="AY208" i="2"/>
  <c r="AY254" i="2"/>
  <c r="AY309" i="2"/>
  <c r="AY345" i="2"/>
  <c r="AY417" i="2"/>
  <c r="AG840" i="2"/>
  <c r="AY840" i="2"/>
  <c r="AY888" i="2"/>
  <c r="AY940" i="2"/>
  <c r="AG940" i="2"/>
  <c r="AY1020" i="2"/>
  <c r="AY903" i="2"/>
  <c r="AY653" i="2"/>
  <c r="AY47" i="2"/>
  <c r="AY131" i="2"/>
  <c r="W776" i="2"/>
  <c r="AG776" i="2"/>
  <c r="AG965" i="2"/>
  <c r="AG1237" i="2"/>
  <c r="AY310" i="2"/>
  <c r="AY601" i="2"/>
  <c r="AY748" i="2"/>
  <c r="AY841" i="2"/>
  <c r="AY1221" i="2"/>
  <c r="AY992" i="2"/>
  <c r="AY971" i="2"/>
  <c r="AY640" i="2"/>
  <c r="AY968" i="2"/>
  <c r="AG1152" i="2"/>
  <c r="AG232" i="2"/>
  <c r="AG871" i="2"/>
  <c r="AY804" i="2"/>
  <c r="AG1136" i="2"/>
  <c r="AG39" i="2"/>
  <c r="AY871" i="2"/>
  <c r="AY727" i="2"/>
  <c r="AG726" i="2"/>
  <c r="AY1159" i="2"/>
  <c r="AY519" i="2"/>
  <c r="AG667" i="2"/>
  <c r="AY869" i="2"/>
  <c r="AY448" i="2"/>
  <c r="AG913" i="2"/>
  <c r="AY511" i="2"/>
  <c r="AG1234" i="2"/>
  <c r="AG1088" i="2"/>
  <c r="AG648" i="2"/>
  <c r="AG2" i="2"/>
  <c r="AG914" i="2"/>
  <c r="AY58" i="2"/>
  <c r="AG1228" i="2"/>
  <c r="AG774" i="2"/>
  <c r="AG641" i="2"/>
  <c r="AY763" i="2"/>
  <c r="AY541" i="2"/>
  <c r="AY162" i="2"/>
  <c r="AY414" i="2"/>
  <c r="AG602" i="2"/>
  <c r="AG989" i="2"/>
  <c r="AG724" i="2"/>
  <c r="AG158" i="2"/>
  <c r="AY760" i="2"/>
  <c r="AY75" i="2"/>
  <c r="AY411" i="2"/>
  <c r="AG411" i="2"/>
  <c r="AG153" i="2"/>
  <c r="AY153" i="2"/>
  <c r="AG512" i="2"/>
  <c r="AY512" i="2"/>
  <c r="AG782" i="2"/>
  <c r="AY967" i="2"/>
  <c r="AG1160" i="2"/>
  <c r="AY1212" i="2"/>
  <c r="AY1144" i="2"/>
  <c r="AG1144" i="2"/>
  <c r="AY213" i="2"/>
  <c r="AY272" i="2"/>
  <c r="AY693" i="2"/>
  <c r="AY749" i="2"/>
  <c r="AG858" i="2"/>
  <c r="AY858" i="2"/>
  <c r="AG919" i="2"/>
  <c r="AY19" i="2"/>
  <c r="AG19" i="2"/>
  <c r="AY49" i="2"/>
  <c r="AG281" i="2"/>
  <c r="AY281" i="2"/>
  <c r="AG440" i="2"/>
  <c r="AY510" i="2"/>
  <c r="AG510" i="2"/>
  <c r="AY970" i="2"/>
  <c r="AY1038" i="2"/>
  <c r="AG1038" i="2"/>
  <c r="AY1239" i="2"/>
  <c r="AY606" i="2"/>
  <c r="AY768" i="2"/>
  <c r="AG843" i="2"/>
  <c r="AY861" i="2"/>
  <c r="AG861" i="2"/>
  <c r="AG920" i="2"/>
  <c r="AG1029" i="2"/>
  <c r="AY1223" i="2"/>
  <c r="AG1212" i="2"/>
  <c r="AY1113" i="2"/>
  <c r="AG1113" i="2"/>
  <c r="AG972" i="2"/>
  <c r="AY1003" i="2"/>
  <c r="AG1003" i="2"/>
  <c r="AY215" i="2"/>
  <c r="AG329" i="2"/>
  <c r="AY349" i="2"/>
  <c r="AY424" i="2"/>
  <c r="AY635" i="2"/>
  <c r="AY716" i="2"/>
  <c r="AG812" i="2"/>
  <c r="AG921" i="2"/>
  <c r="AY990" i="2"/>
  <c r="AY1179" i="2"/>
  <c r="AG1179" i="2"/>
  <c r="AY314" i="2"/>
  <c r="AY350" i="2"/>
  <c r="AY790" i="2"/>
  <c r="AG790" i="2"/>
  <c r="AY813" i="2"/>
  <c r="AY896" i="2"/>
  <c r="AY991" i="2"/>
  <c r="AY987" i="2"/>
  <c r="AG1200" i="2"/>
  <c r="AG370" i="2"/>
  <c r="AG117" i="2"/>
  <c r="AY843" i="2"/>
  <c r="AY154" i="2"/>
  <c r="AG452" i="2"/>
  <c r="AY452" i="2"/>
  <c r="AG495" i="2"/>
  <c r="AY495" i="2"/>
  <c r="AY563" i="2"/>
  <c r="AG928" i="2"/>
  <c r="AY315" i="2"/>
  <c r="AY387" i="2"/>
  <c r="AY719" i="2"/>
  <c r="AY897" i="2"/>
  <c r="AG923" i="2"/>
  <c r="AY923" i="2"/>
  <c r="AY974" i="2"/>
  <c r="AY782" i="2"/>
  <c r="AY571" i="2"/>
  <c r="AY160" i="2"/>
  <c r="AY882" i="2"/>
  <c r="AY1134" i="2"/>
  <c r="AY1002" i="2"/>
  <c r="AY570" i="2"/>
  <c r="AY398" i="2"/>
  <c r="AY275" i="2"/>
  <c r="AG882" i="2"/>
  <c r="AG831" i="2"/>
  <c r="AG16" i="2"/>
  <c r="AG439" i="2"/>
  <c r="AG545" i="2"/>
  <c r="AG609" i="2"/>
  <c r="AY668" i="2"/>
  <c r="AY777" i="2"/>
  <c r="AG777" i="2"/>
  <c r="AY830" i="2"/>
  <c r="AG966" i="2"/>
  <c r="AG1122" i="2"/>
  <c r="AY1122" i="2"/>
  <c r="AG1189" i="2"/>
  <c r="AY1189" i="2"/>
  <c r="AY1238" i="2"/>
  <c r="AG1238" i="2"/>
  <c r="AY605" i="2"/>
  <c r="AG842" i="2"/>
  <c r="AG1028" i="2"/>
  <c r="AY966" i="2"/>
  <c r="AY609" i="2"/>
  <c r="AY85" i="2"/>
  <c r="AG85" i="2"/>
  <c r="AY118" i="2"/>
  <c r="AG118" i="2"/>
  <c r="AY446" i="2"/>
  <c r="AG446" i="2"/>
  <c r="AG515" i="2"/>
  <c r="AY515" i="2"/>
  <c r="AG672" i="2"/>
  <c r="AG783" i="2"/>
  <c r="AG778" i="2"/>
  <c r="AG969" i="2"/>
  <c r="AY969" i="2"/>
  <c r="AY78" i="2"/>
  <c r="AY148" i="2"/>
  <c r="AY277" i="2"/>
  <c r="AY296" i="2"/>
  <c r="AY423" i="2"/>
  <c r="AY634" i="2"/>
  <c r="AY750" i="2"/>
  <c r="AG811" i="2"/>
  <c r="AG567" i="2"/>
  <c r="AY28" i="2"/>
  <c r="AG28" i="2"/>
  <c r="AG62" i="2"/>
  <c r="AY62" i="2"/>
  <c r="AY119" i="2"/>
  <c r="AG119" i="2"/>
  <c r="AG375" i="2"/>
  <c r="AY375" i="2"/>
  <c r="AY516" i="2"/>
  <c r="AG516" i="2"/>
  <c r="AY973" i="2"/>
  <c r="AH1166" i="2"/>
  <c r="AG1166" i="2"/>
  <c r="AG1197" i="2"/>
  <c r="AY149" i="2"/>
  <c r="AY297" i="2"/>
  <c r="AY844" i="2"/>
  <c r="AG844" i="2"/>
  <c r="AG862" i="2"/>
  <c r="AY862" i="2"/>
  <c r="AG1030" i="2"/>
  <c r="AG492" i="2"/>
  <c r="AG1199" i="2"/>
  <c r="AG1232" i="2"/>
  <c r="AG378" i="2"/>
  <c r="AY588" i="2"/>
  <c r="AY717" i="2"/>
  <c r="AY736" i="2"/>
  <c r="AG863" i="2"/>
  <c r="AY779" i="2"/>
  <c r="AY783" i="2"/>
  <c r="AY547" i="2"/>
  <c r="AY453" i="2"/>
  <c r="AG967" i="2"/>
  <c r="AY378" i="2"/>
  <c r="AG67" i="2"/>
  <c r="AY67" i="2"/>
  <c r="AG36" i="2"/>
  <c r="AG359" i="2"/>
  <c r="AY359" i="2"/>
  <c r="AY472" i="2"/>
  <c r="AY631" i="2"/>
  <c r="AG781" i="2"/>
  <c r="AY781" i="2"/>
  <c r="AG876" i="2"/>
  <c r="AY876" i="2"/>
  <c r="AY1068" i="2"/>
  <c r="AY589" i="2"/>
  <c r="AY822" i="2"/>
  <c r="AG1032" i="2"/>
  <c r="AY1010" i="2"/>
  <c r="AY778" i="2"/>
  <c r="AY546" i="2"/>
  <c r="AY276" i="2"/>
  <c r="AG1180" i="2"/>
  <c r="AY945" i="2"/>
  <c r="AY791" i="2"/>
  <c r="AY1166" i="2"/>
  <c r="AY1163" i="2"/>
  <c r="AY238" i="2"/>
  <c r="AG1240" i="2"/>
  <c r="AG830" i="2"/>
  <c r="AG233" i="2"/>
  <c r="AY1029" i="2"/>
  <c r="AY217" i="2"/>
  <c r="AG942" i="2"/>
  <c r="AG443" i="2"/>
  <c r="Y799" i="2"/>
  <c r="AY799" i="2"/>
  <c r="AG799" i="2"/>
  <c r="AY787" i="2"/>
  <c r="AG970" i="2"/>
  <c r="AY328" i="2"/>
  <c r="AY1160" i="2"/>
  <c r="AY535" i="2"/>
  <c r="AY236" i="2"/>
  <c r="AG1239" i="2"/>
  <c r="AG221" i="2"/>
  <c r="AG84" i="2"/>
  <c r="AY1028" i="2"/>
  <c r="AY479" i="2"/>
  <c r="AY406" i="2"/>
  <c r="AG380" i="2"/>
  <c r="AG46" i="2"/>
  <c r="AY1027" i="2"/>
  <c r="AY580" i="2"/>
  <c r="AY386" i="2"/>
  <c r="AG1085" i="2"/>
  <c r="AG530" i="2"/>
  <c r="AG126" i="2"/>
  <c r="AG123" i="2"/>
  <c r="AG806" i="2"/>
  <c r="AY46" i="2"/>
  <c r="AG586" i="2"/>
  <c r="AG832" i="2"/>
  <c r="AG210" i="2"/>
  <c r="AY1006" i="2"/>
  <c r="AY1128" i="2"/>
  <c r="AY662" i="2"/>
  <c r="AY488" i="2"/>
  <c r="AY20" i="2"/>
  <c r="AG527" i="2"/>
  <c r="AG807" i="2"/>
  <c r="AY832" i="2"/>
  <c r="AG651" i="2"/>
  <c r="AG95" i="2"/>
  <c r="AG20" i="2"/>
  <c r="AY1214" i="2"/>
  <c r="AY1201" i="2"/>
  <c r="AY506" i="2"/>
  <c r="AY507" i="2"/>
  <c r="AY98" i="2"/>
  <c r="AG615" i="2"/>
  <c r="AG364" i="2"/>
  <c r="AY834" i="2"/>
  <c r="AY725" i="2"/>
  <c r="AY248" i="2"/>
  <c r="AG654" i="2"/>
  <c r="AY789" i="2"/>
  <c r="AY505" i="2"/>
  <c r="AY93" i="2"/>
  <c r="AY8" i="2"/>
  <c r="AG769" i="2"/>
  <c r="AG669" i="2"/>
  <c r="AG394" i="2"/>
  <c r="AY292" i="2"/>
  <c r="AY265" i="2"/>
  <c r="AY214" i="2"/>
  <c r="AY173" i="2"/>
  <c r="AY141" i="2"/>
  <c r="AG1184" i="2"/>
  <c r="AG727" i="2"/>
  <c r="AG952" i="2"/>
  <c r="AY37" i="2"/>
  <c r="AY6" i="2"/>
  <c r="AG835" i="2"/>
  <c r="AY1083" i="2"/>
  <c r="AY470" i="2"/>
  <c r="AY56" i="2"/>
  <c r="AG455" i="2"/>
  <c r="AG57" i="2"/>
  <c r="AY81" i="2"/>
  <c r="AG470" i="2"/>
  <c r="AG435" i="2"/>
  <c r="AY654" i="2"/>
  <c r="AG207" i="2"/>
  <c r="AY692" i="2"/>
  <c r="AY415" i="2"/>
  <c r="AY356" i="2"/>
  <c r="AY326" i="2"/>
  <c r="AG841" i="2"/>
  <c r="W56" i="2"/>
  <c r="BG56" i="2" s="1"/>
  <c r="AY38" i="2"/>
  <c r="AG382" i="2"/>
  <c r="AC610" i="2"/>
  <c r="W668" i="2"/>
  <c r="W777" i="2"/>
  <c r="BG777" i="2" s="1"/>
  <c r="AY983" i="2"/>
  <c r="W978" i="2"/>
  <c r="W1217" i="2"/>
  <c r="BG1217" i="2" s="1"/>
  <c r="W1238" i="2"/>
  <c r="BG1238" i="2" s="1"/>
  <c r="Y1238" i="2"/>
  <c r="Y1222" i="2"/>
  <c r="AG51" i="2"/>
  <c r="Y51" i="2"/>
  <c r="Y91" i="2"/>
  <c r="W91" i="2"/>
  <c r="BG91" i="2" s="1"/>
  <c r="W101" i="2"/>
  <c r="BG101" i="2" s="1"/>
  <c r="W102" i="2"/>
  <c r="BG102" i="2" s="1"/>
  <c r="AC109" i="2"/>
  <c r="AH109" i="2"/>
  <c r="W147" i="2"/>
  <c r="BG147" i="2" s="1"/>
  <c r="W168" i="2"/>
  <c r="BG168" i="2" s="1"/>
  <c r="AH180" i="2"/>
  <c r="W198" i="2"/>
  <c r="BG198" i="2" s="1"/>
  <c r="W205" i="2"/>
  <c r="BG205" i="2" s="1"/>
  <c r="Y255" i="2"/>
  <c r="W255" i="2"/>
  <c r="BG255" i="2" s="1"/>
  <c r="W259" i="2"/>
  <c r="BG259" i="2" s="1"/>
  <c r="W260" i="2"/>
  <c r="BG260" i="2" s="1"/>
  <c r="W291" i="2"/>
  <c r="BG291" i="2" s="1"/>
  <c r="W298" i="2"/>
  <c r="BG298" i="2" s="1"/>
  <c r="W327" i="2"/>
  <c r="BG327" i="2" s="1"/>
  <c r="W334" i="2"/>
  <c r="BG334" i="2" s="1"/>
  <c r="Y373" i="2"/>
  <c r="Y410" i="2"/>
  <c r="W410" i="2"/>
  <c r="BG410" i="2" s="1"/>
  <c r="W418" i="2"/>
  <c r="BG418" i="2" s="1"/>
  <c r="W422" i="2"/>
  <c r="BG422" i="2" s="1"/>
  <c r="W539" i="2"/>
  <c r="BG539" i="2" s="1"/>
  <c r="W557" i="2"/>
  <c r="BG557" i="2" s="1"/>
  <c r="AH627" i="2"/>
  <c r="W627" i="2"/>
  <c r="BG627" i="2" s="1"/>
  <c r="W636" i="2"/>
  <c r="BG636" i="2" s="1"/>
  <c r="Y688" i="2"/>
  <c r="Y705" i="2"/>
  <c r="W705" i="2"/>
  <c r="W709" i="2"/>
  <c r="BG709" i="2" s="1"/>
  <c r="W710" i="2"/>
  <c r="BG710" i="2" s="1"/>
  <c r="W737" i="2"/>
  <c r="W744" i="2"/>
  <c r="BG744" i="2" s="1"/>
  <c r="W795" i="2"/>
  <c r="BG795" i="2" s="1"/>
  <c r="W809" i="2"/>
  <c r="AH848" i="2"/>
  <c r="Y849" i="2"/>
  <c r="Y863" i="2"/>
  <c r="W863" i="2"/>
  <c r="W867" i="2"/>
  <c r="BG867" i="2" s="1"/>
  <c r="AG868" i="2"/>
  <c r="W868" i="2"/>
  <c r="BG868" i="2" s="1"/>
  <c r="W919" i="2"/>
  <c r="W926" i="2"/>
  <c r="BH926" i="2" s="1"/>
  <c r="W1004" i="2"/>
  <c r="BG1004" i="2" s="1"/>
  <c r="W1015" i="2"/>
  <c r="Y1050" i="2"/>
  <c r="Y1063" i="2"/>
  <c r="W1063" i="2"/>
  <c r="BG1063" i="2" s="1"/>
  <c r="W1067" i="2"/>
  <c r="BG1067" i="2" s="1"/>
  <c r="W1073" i="2"/>
  <c r="BG1073" i="2" s="1"/>
  <c r="W1117" i="2"/>
  <c r="BG1117" i="2" s="1"/>
  <c r="W1132" i="2"/>
  <c r="BG1132" i="2" s="1"/>
  <c r="AG342" i="2"/>
  <c r="AG514" i="2"/>
  <c r="AY5" i="2"/>
  <c r="BJ29" i="2"/>
  <c r="BE29" i="2"/>
  <c r="BD29" i="2"/>
  <c r="AH29" i="2"/>
  <c r="Y29" i="2"/>
  <c r="AC29" i="2"/>
  <c r="W29" i="2"/>
  <c r="AY29" i="2"/>
  <c r="BJ83" i="2"/>
  <c r="BE83" i="2"/>
  <c r="BD83" i="2"/>
  <c r="AH83" i="2"/>
  <c r="Y83" i="2"/>
  <c r="AC83" i="2"/>
  <c r="W83" i="2"/>
  <c r="AY83" i="2"/>
  <c r="BJ45" i="2"/>
  <c r="BE45" i="2"/>
  <c r="BD45" i="2"/>
  <c r="AH45" i="2"/>
  <c r="Y45" i="2"/>
  <c r="AC45" i="2"/>
  <c r="W45" i="2"/>
  <c r="AY45" i="2"/>
  <c r="BJ4" i="2"/>
  <c r="BD4" i="2"/>
  <c r="BE4" i="2"/>
  <c r="AH4" i="2"/>
  <c r="Y4" i="2"/>
  <c r="AC4" i="2"/>
  <c r="W4" i="2"/>
  <c r="AY4" i="2"/>
  <c r="AG4" i="2"/>
  <c r="AY65" i="2"/>
  <c r="BJ65" i="2"/>
  <c r="BE65" i="2"/>
  <c r="BD65" i="2"/>
  <c r="AH65" i="2"/>
  <c r="Y65" i="2"/>
  <c r="AC65" i="2"/>
  <c r="W65" i="2"/>
  <c r="AG65" i="2"/>
  <c r="BJ114" i="2"/>
  <c r="BE114" i="2"/>
  <c r="BD114" i="2"/>
  <c r="AH114" i="2"/>
  <c r="Y114" i="2"/>
  <c r="AC114" i="2"/>
  <c r="W114" i="2"/>
  <c r="AG114" i="2"/>
  <c r="BJ224" i="2"/>
  <c r="BD224" i="2"/>
  <c r="BE224" i="2"/>
  <c r="AH224" i="2"/>
  <c r="Y224" i="2"/>
  <c r="AC224" i="2"/>
  <c r="W224" i="2"/>
  <c r="AG224" i="2"/>
  <c r="BJ71" i="2"/>
  <c r="BE71" i="2"/>
  <c r="BD71" i="2"/>
  <c r="AH71" i="2"/>
  <c r="Y71" i="2"/>
  <c r="AC71" i="2"/>
  <c r="W71" i="2"/>
  <c r="AG71" i="2"/>
  <c r="BJ236" i="2"/>
  <c r="BE236" i="2"/>
  <c r="BD236" i="2"/>
  <c r="AH236" i="2"/>
  <c r="Y236" i="2"/>
  <c r="AC236" i="2"/>
  <c r="W236" i="2"/>
  <c r="AG236" i="2"/>
  <c r="BJ406" i="2"/>
  <c r="BE406" i="2"/>
  <c r="BD406" i="2"/>
  <c r="AH406" i="2"/>
  <c r="Y406" i="2"/>
  <c r="AC406" i="2"/>
  <c r="W406" i="2"/>
  <c r="BJ125" i="2"/>
  <c r="BE125" i="2"/>
  <c r="AH125" i="2"/>
  <c r="Y125" i="2"/>
  <c r="BD125" i="2"/>
  <c r="AC125" i="2"/>
  <c r="W125" i="2"/>
  <c r="AG125" i="2"/>
  <c r="AY125" i="2"/>
  <c r="BJ412" i="2"/>
  <c r="BD412" i="2"/>
  <c r="BE412" i="2"/>
  <c r="AH412" i="2"/>
  <c r="Y412" i="2"/>
  <c r="AC412" i="2"/>
  <c r="W412" i="2"/>
  <c r="AG412" i="2"/>
  <c r="BJ341" i="2"/>
  <c r="BD341" i="2"/>
  <c r="BE341" i="2"/>
  <c r="AH341" i="2"/>
  <c r="Y341" i="2"/>
  <c r="AC341" i="2"/>
  <c r="W341" i="2"/>
  <c r="BJ435" i="2"/>
  <c r="BD435" i="2"/>
  <c r="BE435" i="2"/>
  <c r="AH435" i="2"/>
  <c r="Y435" i="2"/>
  <c r="AC435" i="2"/>
  <c r="W435" i="2"/>
  <c r="BJ404" i="2"/>
  <c r="BD404" i="2"/>
  <c r="BE404" i="2"/>
  <c r="AH404" i="2"/>
  <c r="Y404" i="2"/>
  <c r="AC404" i="2"/>
  <c r="W404" i="2"/>
  <c r="AG404" i="2"/>
  <c r="BJ454" i="2"/>
  <c r="BD454" i="2"/>
  <c r="BE454" i="2"/>
  <c r="AH454" i="2"/>
  <c r="Y454" i="2"/>
  <c r="AC454" i="2"/>
  <c r="W454" i="2"/>
  <c r="BJ445" i="2"/>
  <c r="BD445" i="2"/>
  <c r="BE445" i="2"/>
  <c r="AH445" i="2"/>
  <c r="Y445" i="2"/>
  <c r="AC445" i="2"/>
  <c r="W445" i="2"/>
  <c r="BJ471" i="2"/>
  <c r="BD471" i="2"/>
  <c r="BE471" i="2"/>
  <c r="AH471" i="2"/>
  <c r="Y471" i="2"/>
  <c r="AC471" i="2"/>
  <c r="W471" i="2"/>
  <c r="BJ494" i="2"/>
  <c r="BD494" i="2"/>
  <c r="BE494" i="2"/>
  <c r="AH494" i="2"/>
  <c r="Y494" i="2"/>
  <c r="AC494" i="2"/>
  <c r="W494" i="2"/>
  <c r="BJ503" i="2"/>
  <c r="BD503" i="2"/>
  <c r="BE503" i="2"/>
  <c r="AH503" i="2"/>
  <c r="Y503" i="2"/>
  <c r="AC503" i="2"/>
  <c r="W503" i="2"/>
  <c r="BJ570" i="2"/>
  <c r="BD570" i="2"/>
  <c r="BE570" i="2"/>
  <c r="AH570" i="2"/>
  <c r="Y570" i="2"/>
  <c r="AC570" i="2"/>
  <c r="W570" i="2"/>
  <c r="BJ509" i="2"/>
  <c r="BD509" i="2"/>
  <c r="AH509" i="2"/>
  <c r="BE509" i="2"/>
  <c r="Y509" i="2"/>
  <c r="AC509" i="2"/>
  <c r="W509" i="2"/>
  <c r="AG536" i="2"/>
  <c r="BJ536" i="2"/>
  <c r="BK536" i="2" s="1"/>
  <c r="BD536" i="2"/>
  <c r="BE536" i="2"/>
  <c r="AH536" i="2"/>
  <c r="Y536" i="2"/>
  <c r="AC536" i="2"/>
  <c r="W536" i="2"/>
  <c r="BJ566" i="2"/>
  <c r="BD566" i="2"/>
  <c r="BE566" i="2"/>
  <c r="AH566" i="2"/>
  <c r="Y566" i="2"/>
  <c r="AC566" i="2"/>
  <c r="W566" i="2"/>
  <c r="AG566" i="2"/>
  <c r="BJ612" i="2"/>
  <c r="BD612" i="2"/>
  <c r="BE612" i="2"/>
  <c r="AH612" i="2"/>
  <c r="Y612" i="2"/>
  <c r="AC612" i="2"/>
  <c r="W612" i="2"/>
  <c r="AG612" i="2"/>
  <c r="BJ671" i="2"/>
  <c r="BD671" i="2"/>
  <c r="BE671" i="2"/>
  <c r="AH671" i="2"/>
  <c r="Y671" i="2"/>
  <c r="AC671" i="2"/>
  <c r="W671" i="2"/>
  <c r="AG671" i="2"/>
  <c r="AY538" i="2"/>
  <c r="BJ538" i="2"/>
  <c r="BD538" i="2"/>
  <c r="BE538" i="2"/>
  <c r="AH538" i="2"/>
  <c r="Y538" i="2"/>
  <c r="AC538" i="2"/>
  <c r="W538" i="2"/>
  <c r="BJ585" i="2"/>
  <c r="BD585" i="2"/>
  <c r="BE585" i="2"/>
  <c r="AH585" i="2"/>
  <c r="Y585" i="2"/>
  <c r="AC585" i="2"/>
  <c r="W585" i="2"/>
  <c r="AY585" i="2"/>
  <c r="AG585" i="2"/>
  <c r="BJ674" i="2"/>
  <c r="BD674" i="2"/>
  <c r="BE674" i="2"/>
  <c r="AH674" i="2"/>
  <c r="Y674" i="2"/>
  <c r="AC674" i="2"/>
  <c r="W674" i="2"/>
  <c r="BG674" i="2" s="1"/>
  <c r="AY674" i="2"/>
  <c r="AG674" i="2"/>
  <c r="BJ771" i="2"/>
  <c r="BD771" i="2"/>
  <c r="BE771" i="2"/>
  <c r="AH771" i="2"/>
  <c r="Y771" i="2"/>
  <c r="AC771" i="2"/>
  <c r="W771" i="2"/>
  <c r="AY771" i="2"/>
  <c r="AG771" i="2"/>
  <c r="BJ927" i="2"/>
  <c r="BD927" i="2"/>
  <c r="BE927" i="2"/>
  <c r="AH927" i="2"/>
  <c r="Y927" i="2"/>
  <c r="AC927" i="2"/>
  <c r="W927" i="2"/>
  <c r="AY927" i="2"/>
  <c r="AG927" i="2"/>
  <c r="BJ650" i="2"/>
  <c r="BD650" i="2"/>
  <c r="BE650" i="2"/>
  <c r="AH650" i="2"/>
  <c r="Y650" i="2"/>
  <c r="AC650" i="2"/>
  <c r="W650" i="2"/>
  <c r="AY650" i="2"/>
  <c r="AG650" i="2"/>
  <c r="BJ780" i="2"/>
  <c r="BD780" i="2"/>
  <c r="BE780" i="2"/>
  <c r="AH780" i="2"/>
  <c r="Y780" i="2"/>
  <c r="AC780" i="2"/>
  <c r="W780" i="2"/>
  <c r="AY780" i="2"/>
  <c r="AG780" i="2"/>
  <c r="BJ954" i="2"/>
  <c r="BD954" i="2"/>
  <c r="BE954" i="2"/>
  <c r="AH954" i="2"/>
  <c r="Y954" i="2"/>
  <c r="AC954" i="2"/>
  <c r="W954" i="2"/>
  <c r="AY954" i="2"/>
  <c r="AG954" i="2"/>
  <c r="BJ1084" i="2"/>
  <c r="BD1084" i="2"/>
  <c r="BE1084" i="2"/>
  <c r="AH1084" i="2"/>
  <c r="Y1084" i="2"/>
  <c r="AC1084" i="2"/>
  <c r="W1084" i="2"/>
  <c r="AY1084" i="2"/>
  <c r="AG1084" i="2"/>
  <c r="BJ931" i="2"/>
  <c r="BD931" i="2"/>
  <c r="BE931" i="2"/>
  <c r="AH931" i="2"/>
  <c r="Y931" i="2"/>
  <c r="AC931" i="2"/>
  <c r="W931" i="2"/>
  <c r="AY931" i="2"/>
  <c r="AG931" i="2"/>
  <c r="BJ875" i="2"/>
  <c r="BD875" i="2"/>
  <c r="BE875" i="2"/>
  <c r="AH875" i="2"/>
  <c r="Y875" i="2"/>
  <c r="AC875" i="2"/>
  <c r="W875" i="2"/>
  <c r="AY875" i="2"/>
  <c r="AG875" i="2"/>
  <c r="BJ1005" i="2"/>
  <c r="BD1005" i="2"/>
  <c r="BE1005" i="2"/>
  <c r="AH1005" i="2"/>
  <c r="Y1005" i="2"/>
  <c r="AC1005" i="2"/>
  <c r="W1005" i="2"/>
  <c r="AY1005" i="2"/>
  <c r="AG1005" i="2"/>
  <c r="BJ1082" i="2"/>
  <c r="BD1082" i="2"/>
  <c r="BE1082" i="2"/>
  <c r="AH1082" i="2"/>
  <c r="Y1082" i="2"/>
  <c r="AC1082" i="2"/>
  <c r="W1082" i="2"/>
  <c r="AG1082" i="2"/>
  <c r="AY1082" i="2"/>
  <c r="BJ1127" i="2"/>
  <c r="BD1127" i="2"/>
  <c r="BE1127" i="2"/>
  <c r="AH1127" i="2"/>
  <c r="Y1127" i="2"/>
  <c r="AC1127" i="2"/>
  <c r="W1127" i="2"/>
  <c r="AY1127" i="2"/>
  <c r="BJ1165" i="2"/>
  <c r="BD1165" i="2"/>
  <c r="BE1165" i="2"/>
  <c r="AH1165" i="2"/>
  <c r="Y1165" i="2"/>
  <c r="AC1165" i="2"/>
  <c r="W1165" i="2"/>
  <c r="AY1165" i="2"/>
  <c r="BJ965" i="2"/>
  <c r="BD965" i="2"/>
  <c r="BE965" i="2"/>
  <c r="AH965" i="2"/>
  <c r="Y965" i="2"/>
  <c r="AC965" i="2"/>
  <c r="W965" i="2"/>
  <c r="AY965" i="2"/>
  <c r="BJ995" i="2"/>
  <c r="BD995" i="2"/>
  <c r="BE995" i="2"/>
  <c r="AH995" i="2"/>
  <c r="Y995" i="2"/>
  <c r="AC995" i="2"/>
  <c r="W995" i="2"/>
  <c r="AY995" i="2"/>
  <c r="BJ1079" i="2"/>
  <c r="BD1079" i="2"/>
  <c r="BE1079" i="2"/>
  <c r="AH1079" i="2"/>
  <c r="Y1079" i="2"/>
  <c r="AC1079" i="2"/>
  <c r="W1079" i="2"/>
  <c r="AY1079" i="2"/>
  <c r="BJ1201" i="2"/>
  <c r="BD1201" i="2"/>
  <c r="BE1201" i="2"/>
  <c r="AH1201" i="2"/>
  <c r="Y1201" i="2"/>
  <c r="W1201" i="2"/>
  <c r="AC1201" i="2"/>
  <c r="BJ1086" i="2"/>
  <c r="BD1086" i="2"/>
  <c r="BE1086" i="2"/>
  <c r="AH1086" i="2"/>
  <c r="Y1086" i="2"/>
  <c r="W1086" i="2"/>
  <c r="AC1086" i="2"/>
  <c r="AG1086" i="2"/>
  <c r="BJ603" i="2"/>
  <c r="BD603" i="2"/>
  <c r="BE603" i="2"/>
  <c r="AH603" i="2"/>
  <c r="Y603" i="2"/>
  <c r="AC603" i="2"/>
  <c r="W603" i="2"/>
  <c r="AG603" i="2"/>
  <c r="BJ1173" i="2"/>
  <c r="BD1173" i="2"/>
  <c r="BE1173" i="2"/>
  <c r="AH1173" i="2"/>
  <c r="Y1173" i="2"/>
  <c r="AC1173" i="2"/>
  <c r="W1173" i="2"/>
  <c r="AG1173" i="2"/>
  <c r="BJ1142" i="2"/>
  <c r="BD1142" i="2"/>
  <c r="AH1142" i="2"/>
  <c r="Y1142" i="2"/>
  <c r="BE1142" i="2"/>
  <c r="W1142" i="2"/>
  <c r="AC1142" i="2"/>
  <c r="BJ1177" i="2"/>
  <c r="BD1177" i="2"/>
  <c r="BE1177" i="2"/>
  <c r="AH1177" i="2"/>
  <c r="Y1177" i="2"/>
  <c r="AC1177" i="2"/>
  <c r="W1177" i="2"/>
  <c r="BJ1220" i="2"/>
  <c r="BD1220" i="2"/>
  <c r="BE1220" i="2"/>
  <c r="AH1220" i="2"/>
  <c r="AC1220" i="2"/>
  <c r="Y1220" i="2"/>
  <c r="W1220" i="2"/>
  <c r="BG1220" i="2" s="1"/>
  <c r="BJ1213" i="2"/>
  <c r="BD1213" i="2"/>
  <c r="BE1213" i="2"/>
  <c r="AH1213" i="2"/>
  <c r="AC1213" i="2"/>
  <c r="Y1213" i="2"/>
  <c r="W1213" i="2"/>
  <c r="BJ1242" i="2"/>
  <c r="BD1242" i="2"/>
  <c r="BE1242" i="2"/>
  <c r="AH1242" i="2"/>
  <c r="AC1242" i="2"/>
  <c r="Y1242" i="2"/>
  <c r="W1242" i="2"/>
  <c r="AY1242" i="2"/>
  <c r="BJ883" i="2"/>
  <c r="BK883" i="2" s="1"/>
  <c r="BD883" i="2"/>
  <c r="BE883" i="2"/>
  <c r="AH883" i="2"/>
  <c r="Y883" i="2"/>
  <c r="AC883" i="2"/>
  <c r="W883" i="2"/>
  <c r="AY883" i="2"/>
  <c r="BJ76" i="2"/>
  <c r="BD76" i="2"/>
  <c r="BE76" i="2"/>
  <c r="AH76" i="2"/>
  <c r="AG76" i="2"/>
  <c r="Y76" i="2"/>
  <c r="W76" i="2"/>
  <c r="AC76" i="2"/>
  <c r="BJ105" i="2"/>
  <c r="BD105" i="2"/>
  <c r="BE105" i="2"/>
  <c r="AG105" i="2"/>
  <c r="AH105" i="2"/>
  <c r="Y105" i="2"/>
  <c r="AC105" i="2"/>
  <c r="W105" i="2"/>
  <c r="BJ138" i="2"/>
  <c r="BD138" i="2"/>
  <c r="AG138" i="2"/>
  <c r="BE138" i="2"/>
  <c r="AH138" i="2"/>
  <c r="Y138" i="2"/>
  <c r="W138" i="2"/>
  <c r="AC138" i="2"/>
  <c r="BJ150" i="2"/>
  <c r="BE150" i="2"/>
  <c r="BD150" i="2"/>
  <c r="AG150" i="2"/>
  <c r="AH150" i="2"/>
  <c r="Y150" i="2"/>
  <c r="AC150" i="2"/>
  <c r="W150" i="2"/>
  <c r="BJ176" i="2"/>
  <c r="BE176" i="2"/>
  <c r="BD176" i="2"/>
  <c r="AG176" i="2"/>
  <c r="AH176" i="2"/>
  <c r="AC176" i="2"/>
  <c r="Y176" i="2"/>
  <c r="W176" i="2"/>
  <c r="BG176" i="2" s="1"/>
  <c r="BJ189" i="2"/>
  <c r="BE189" i="2"/>
  <c r="BD189" i="2"/>
  <c r="AG189" i="2"/>
  <c r="AH189" i="2"/>
  <c r="Y189" i="2"/>
  <c r="W189" i="2"/>
  <c r="AC189" i="2"/>
  <c r="BJ201" i="2"/>
  <c r="BE201" i="2"/>
  <c r="BD201" i="2"/>
  <c r="AG201" i="2"/>
  <c r="AH201" i="2"/>
  <c r="AC201" i="2"/>
  <c r="Y201" i="2"/>
  <c r="W201" i="2"/>
  <c r="BJ216" i="2"/>
  <c r="BD216" i="2"/>
  <c r="BE216" i="2"/>
  <c r="AG216" i="2"/>
  <c r="AH216" i="2"/>
  <c r="Y216" i="2"/>
  <c r="AC216" i="2"/>
  <c r="W216" i="2"/>
  <c r="BJ239" i="2"/>
  <c r="BE239" i="2"/>
  <c r="BD239" i="2"/>
  <c r="AG239" i="2"/>
  <c r="AH239" i="2"/>
  <c r="Y239" i="2"/>
  <c r="AC239" i="2"/>
  <c r="W239" i="2"/>
  <c r="BJ251" i="2"/>
  <c r="BE251" i="2"/>
  <c r="BD251" i="2"/>
  <c r="AG251" i="2"/>
  <c r="AH251" i="2"/>
  <c r="Y251" i="2"/>
  <c r="AC251" i="2"/>
  <c r="W251" i="2"/>
  <c r="AY251" i="2"/>
  <c r="BJ263" i="2"/>
  <c r="BE263" i="2"/>
  <c r="BD263" i="2"/>
  <c r="AG263" i="2"/>
  <c r="AH263" i="2"/>
  <c r="AC263" i="2"/>
  <c r="Y263" i="2"/>
  <c r="W263" i="2"/>
  <c r="AY263" i="2"/>
  <c r="BJ279" i="2"/>
  <c r="BD279" i="2"/>
  <c r="BE279" i="2"/>
  <c r="AG279" i="2"/>
  <c r="AC279" i="2"/>
  <c r="AH279" i="2"/>
  <c r="Y279" i="2"/>
  <c r="W279" i="2"/>
  <c r="AY279" i="2"/>
  <c r="BJ294" i="2"/>
  <c r="BE294" i="2"/>
  <c r="BD294" i="2"/>
  <c r="AG294" i="2"/>
  <c r="AC294" i="2"/>
  <c r="AH294" i="2"/>
  <c r="Y294" i="2"/>
  <c r="W294" i="2"/>
  <c r="AY294" i="2"/>
  <c r="BJ306" i="2"/>
  <c r="BE306" i="2"/>
  <c r="BD306" i="2"/>
  <c r="AG306" i="2"/>
  <c r="AC306" i="2"/>
  <c r="AH306" i="2"/>
  <c r="Y306" i="2"/>
  <c r="W306" i="2"/>
  <c r="AY306" i="2"/>
  <c r="BJ318" i="2"/>
  <c r="BD318" i="2"/>
  <c r="BE318" i="2"/>
  <c r="AG318" i="2"/>
  <c r="AC318" i="2"/>
  <c r="AH318" i="2"/>
  <c r="Y318" i="2"/>
  <c r="W318" i="2"/>
  <c r="AY318" i="2"/>
  <c r="BJ330" i="2"/>
  <c r="BD330" i="2"/>
  <c r="BE330" i="2"/>
  <c r="AC330" i="2"/>
  <c r="AG330" i="2"/>
  <c r="AH330" i="2"/>
  <c r="Y330" i="2"/>
  <c r="W330" i="2"/>
  <c r="AY330" i="2"/>
  <c r="BJ346" i="2"/>
  <c r="BE346" i="2"/>
  <c r="BD346" i="2"/>
  <c r="AC346" i="2"/>
  <c r="AH346" i="2"/>
  <c r="AG346" i="2"/>
  <c r="Y346" i="2"/>
  <c r="W346" i="2"/>
  <c r="BJ358" i="2"/>
  <c r="BE358" i="2"/>
  <c r="BD358" i="2"/>
  <c r="AC358" i="2"/>
  <c r="AH358" i="2"/>
  <c r="Y358" i="2"/>
  <c r="AG358" i="2"/>
  <c r="W358" i="2"/>
  <c r="BG358" i="2" s="1"/>
  <c r="BJ390" i="2"/>
  <c r="BE390" i="2"/>
  <c r="BD390" i="2"/>
  <c r="AC390" i="2"/>
  <c r="AH390" i="2"/>
  <c r="Y390" i="2"/>
  <c r="W390" i="2"/>
  <c r="AG390" i="2"/>
  <c r="AY390" i="2"/>
  <c r="AY425" i="2"/>
  <c r="BJ425" i="2"/>
  <c r="BE425" i="2"/>
  <c r="BD425" i="2"/>
  <c r="AC425" i="2"/>
  <c r="AH425" i="2"/>
  <c r="AG425" i="2"/>
  <c r="Y425" i="2"/>
  <c r="W425" i="2"/>
  <c r="BG425" i="2" s="1"/>
  <c r="BJ477" i="2"/>
  <c r="BE477" i="2"/>
  <c r="BD477" i="2"/>
  <c r="AC477" i="2"/>
  <c r="AH477" i="2"/>
  <c r="Y477" i="2"/>
  <c r="AG477" i="2"/>
  <c r="W477" i="2"/>
  <c r="AY477" i="2"/>
  <c r="BJ553" i="2"/>
  <c r="BD553" i="2"/>
  <c r="BE553" i="2"/>
  <c r="AH553" i="2"/>
  <c r="AC553" i="2"/>
  <c r="Y553" i="2"/>
  <c r="AG553" i="2"/>
  <c r="W553" i="2"/>
  <c r="AY553" i="2"/>
  <c r="BJ592" i="2"/>
  <c r="BE592" i="2"/>
  <c r="BD592" i="2"/>
  <c r="AC592" i="2"/>
  <c r="AH592" i="2"/>
  <c r="AG592" i="2"/>
  <c r="Y592" i="2"/>
  <c r="W592" i="2"/>
  <c r="AY592" i="2"/>
  <c r="BJ617" i="2"/>
  <c r="BE617" i="2"/>
  <c r="BD617" i="2"/>
  <c r="AC617" i="2"/>
  <c r="AH617" i="2"/>
  <c r="Y617" i="2"/>
  <c r="W617" i="2"/>
  <c r="AY617" i="2"/>
  <c r="BJ632" i="2"/>
  <c r="BE632" i="2"/>
  <c r="BD632" i="2"/>
  <c r="AC632" i="2"/>
  <c r="AG632" i="2"/>
  <c r="Y632" i="2"/>
  <c r="W632" i="2"/>
  <c r="AH632" i="2"/>
  <c r="AY632" i="2"/>
  <c r="BJ658" i="2"/>
  <c r="BE658" i="2"/>
  <c r="BD658" i="2"/>
  <c r="AG658" i="2"/>
  <c r="AC658" i="2"/>
  <c r="AH658" i="2"/>
  <c r="Y658" i="2"/>
  <c r="W658" i="2"/>
  <c r="BJ684" i="2"/>
  <c r="BE684" i="2"/>
  <c r="BD684" i="2"/>
  <c r="AG684" i="2"/>
  <c r="AC684" i="2"/>
  <c r="AH684" i="2"/>
  <c r="Y684" i="2"/>
  <c r="W684" i="2"/>
  <c r="AY684" i="2"/>
  <c r="BJ701" i="2"/>
  <c r="BE701" i="2"/>
  <c r="BD701" i="2"/>
  <c r="AH701" i="2"/>
  <c r="AG701" i="2"/>
  <c r="AC701" i="2"/>
  <c r="Y701" i="2"/>
  <c r="W701" i="2"/>
  <c r="BJ713" i="2"/>
  <c r="BD713" i="2"/>
  <c r="AG713" i="2"/>
  <c r="AC713" i="2"/>
  <c r="AH713" i="2"/>
  <c r="BE713" i="2"/>
  <c r="Y713" i="2"/>
  <c r="W713" i="2"/>
  <c r="BJ728" i="2"/>
  <c r="BE728" i="2"/>
  <c r="BD728" i="2"/>
  <c r="AC728" i="2"/>
  <c r="AG728" i="2"/>
  <c r="AH728" i="2"/>
  <c r="Y728" i="2"/>
  <c r="W728" i="2"/>
  <c r="BJ740" i="2"/>
  <c r="BE740" i="2"/>
  <c r="BD740" i="2"/>
  <c r="AC740" i="2"/>
  <c r="Y740" i="2"/>
  <c r="AG740" i="2"/>
  <c r="W740" i="2"/>
  <c r="AH740" i="2"/>
  <c r="BJ752" i="2"/>
  <c r="BE752" i="2"/>
  <c r="BD752" i="2"/>
  <c r="AC752" i="2"/>
  <c r="AH752" i="2"/>
  <c r="Y752" i="2"/>
  <c r="AG752" i="2"/>
  <c r="W752" i="2"/>
  <c r="BJ766" i="2"/>
  <c r="BE766" i="2"/>
  <c r="BD766" i="2"/>
  <c r="AC766" i="2"/>
  <c r="AH766" i="2"/>
  <c r="AG766" i="2"/>
  <c r="Y766" i="2"/>
  <c r="W766" i="2"/>
  <c r="BJ805" i="2"/>
  <c r="BE805" i="2"/>
  <c r="BD805" i="2"/>
  <c r="AH805" i="2"/>
  <c r="AC805" i="2"/>
  <c r="Y805" i="2"/>
  <c r="W805" i="2"/>
  <c r="BJ833" i="2"/>
  <c r="BD833" i="2"/>
  <c r="BE833" i="2"/>
  <c r="AC833" i="2"/>
  <c r="Y833" i="2"/>
  <c r="AH833" i="2"/>
  <c r="W833" i="2"/>
  <c r="BJ845" i="2"/>
  <c r="BE845" i="2"/>
  <c r="BD845" i="2"/>
  <c r="AC845" i="2"/>
  <c r="AH845" i="2"/>
  <c r="Y845" i="2"/>
  <c r="W845" i="2"/>
  <c r="AY845" i="2"/>
  <c r="BJ857" i="2"/>
  <c r="BD857" i="2"/>
  <c r="BE857" i="2"/>
  <c r="AH857" i="2"/>
  <c r="AC857" i="2"/>
  <c r="Y857" i="2"/>
  <c r="W857" i="2"/>
  <c r="AY857" i="2"/>
  <c r="AG857" i="2"/>
  <c r="BJ902" i="2"/>
  <c r="BE902" i="2"/>
  <c r="BD902" i="2"/>
  <c r="AC902" i="2"/>
  <c r="AH902" i="2"/>
  <c r="Y902" i="2"/>
  <c r="W902" i="2"/>
  <c r="AY902" i="2"/>
  <c r="AG902" i="2"/>
  <c r="BJ922" i="2"/>
  <c r="BE922" i="2"/>
  <c r="BD922" i="2"/>
  <c r="AH922" i="2"/>
  <c r="AC922" i="2"/>
  <c r="Y922" i="2"/>
  <c r="W922" i="2"/>
  <c r="AY922" i="2"/>
  <c r="BJ941" i="2"/>
  <c r="BD941" i="2"/>
  <c r="BE941" i="2"/>
  <c r="AC941" i="2"/>
  <c r="Y941" i="2"/>
  <c r="AH941" i="2"/>
  <c r="W941" i="2"/>
  <c r="AG941" i="2"/>
  <c r="AY941" i="2"/>
  <c r="BJ957" i="2"/>
  <c r="BD957" i="2"/>
  <c r="BE957" i="2"/>
  <c r="AC957" i="2"/>
  <c r="AH957" i="2"/>
  <c r="Y957" i="2"/>
  <c r="W957" i="2"/>
  <c r="AY957" i="2"/>
  <c r="BJ1011" i="2"/>
  <c r="BE1011" i="2"/>
  <c r="BD1011" i="2"/>
  <c r="AH1011" i="2"/>
  <c r="AC1011" i="2"/>
  <c r="Y1011" i="2"/>
  <c r="W1011" i="2"/>
  <c r="AY1011" i="2"/>
  <c r="AG1011" i="2"/>
  <c r="AG1031" i="2"/>
  <c r="BJ1031" i="2"/>
  <c r="BE1031" i="2"/>
  <c r="BD1031" i="2"/>
  <c r="AC1031" i="2"/>
  <c r="Y1031" i="2"/>
  <c r="AH1031" i="2"/>
  <c r="W1031" i="2"/>
  <c r="BJ1046" i="2"/>
  <c r="BE1046" i="2"/>
  <c r="BD1046" i="2"/>
  <c r="AY1046" i="2"/>
  <c r="AC1046" i="2"/>
  <c r="AH1046" i="2"/>
  <c r="Y1046" i="2"/>
  <c r="AG1046" i="2"/>
  <c r="W1046" i="2"/>
  <c r="BJ1059" i="2"/>
  <c r="BE1059" i="2"/>
  <c r="BD1059" i="2"/>
  <c r="AY1059" i="2"/>
  <c r="AH1059" i="2"/>
  <c r="AC1059" i="2"/>
  <c r="Y1059" i="2"/>
  <c r="AG1059" i="2"/>
  <c r="W1059" i="2"/>
  <c r="BJ1081" i="2"/>
  <c r="BD1081" i="2"/>
  <c r="BE1081" i="2"/>
  <c r="AY1081" i="2"/>
  <c r="AC1081" i="2"/>
  <c r="AH1081" i="2"/>
  <c r="Y1081" i="2"/>
  <c r="W1081" i="2"/>
  <c r="AG1081" i="2"/>
  <c r="BJ1103" i="2"/>
  <c r="BE1103" i="2"/>
  <c r="BD1103" i="2"/>
  <c r="AY1103" i="2"/>
  <c r="AC1103" i="2"/>
  <c r="AH1103" i="2"/>
  <c r="Y1103" i="2"/>
  <c r="AG1103" i="2"/>
  <c r="W1103" i="2"/>
  <c r="BJ1120" i="2"/>
  <c r="BE1120" i="2"/>
  <c r="BD1120" i="2"/>
  <c r="AY1120" i="2"/>
  <c r="AH1120" i="2"/>
  <c r="AC1120" i="2"/>
  <c r="Y1120" i="2"/>
  <c r="AG1120" i="2"/>
  <c r="W1120" i="2"/>
  <c r="AY120" i="2"/>
  <c r="AG458" i="2"/>
  <c r="AY382" i="2"/>
  <c r="AY237" i="2"/>
  <c r="AG1079" i="2"/>
  <c r="AY176" i="2"/>
  <c r="AG5" i="2"/>
  <c r="BJ5" i="2"/>
  <c r="BE5" i="2"/>
  <c r="BD5" i="2"/>
  <c r="AC5" i="2"/>
  <c r="Y5" i="2"/>
  <c r="W5" i="2"/>
  <c r="AH5" i="2"/>
  <c r="BJ61" i="2"/>
  <c r="BE61" i="2"/>
  <c r="BD61" i="2"/>
  <c r="AC61" i="2"/>
  <c r="Y61" i="2"/>
  <c r="AH61" i="2"/>
  <c r="W61" i="2"/>
  <c r="BJ120" i="2"/>
  <c r="BE120" i="2"/>
  <c r="BD120" i="2"/>
  <c r="AC120" i="2"/>
  <c r="Y120" i="2"/>
  <c r="AH120" i="2"/>
  <c r="W120" i="2"/>
  <c r="BJ342" i="2"/>
  <c r="BE342" i="2"/>
  <c r="BD342" i="2"/>
  <c r="AC342" i="2"/>
  <c r="Y342" i="2"/>
  <c r="AH342" i="2"/>
  <c r="W342" i="2"/>
  <c r="BG342" i="2" s="1"/>
  <c r="AG428" i="2"/>
  <c r="BJ428" i="2"/>
  <c r="BE428" i="2"/>
  <c r="BD428" i="2"/>
  <c r="AC428" i="2"/>
  <c r="AH428" i="2"/>
  <c r="Y428" i="2"/>
  <c r="W428" i="2"/>
  <c r="BJ26" i="2"/>
  <c r="BE26" i="2"/>
  <c r="BD26" i="2"/>
  <c r="AC26" i="2"/>
  <c r="Y26" i="2"/>
  <c r="W26" i="2"/>
  <c r="AH26" i="2"/>
  <c r="AG26" i="2"/>
  <c r="AY26" i="2"/>
  <c r="BJ469" i="2"/>
  <c r="BE469" i="2"/>
  <c r="BD469" i="2"/>
  <c r="AC469" i="2"/>
  <c r="Y469" i="2"/>
  <c r="W469" i="2"/>
  <c r="AH469" i="2"/>
  <c r="AY469" i="2"/>
  <c r="BJ497" i="2"/>
  <c r="BE497" i="2"/>
  <c r="BD497" i="2"/>
  <c r="AC497" i="2"/>
  <c r="AH497" i="2"/>
  <c r="Y497" i="2"/>
  <c r="W497" i="2"/>
  <c r="AY497" i="2"/>
  <c r="BJ578" i="2"/>
  <c r="BE578" i="2"/>
  <c r="BD578" i="2"/>
  <c r="AC578" i="2"/>
  <c r="Y578" i="2"/>
  <c r="W578" i="2"/>
  <c r="AH578" i="2"/>
  <c r="AY578" i="2"/>
  <c r="BJ884" i="2"/>
  <c r="BE884" i="2"/>
  <c r="BD884" i="2"/>
  <c r="AC884" i="2"/>
  <c r="AH884" i="2"/>
  <c r="Y884" i="2"/>
  <c r="W884" i="2"/>
  <c r="AG884" i="2"/>
  <c r="BJ789" i="2"/>
  <c r="BE789" i="2"/>
  <c r="AC789" i="2"/>
  <c r="BD789" i="2"/>
  <c r="Y789" i="2"/>
  <c r="AH789" i="2"/>
  <c r="W789" i="2"/>
  <c r="BG789" i="2" s="1"/>
  <c r="AG789" i="2"/>
  <c r="BJ788" i="2"/>
  <c r="BE788" i="2"/>
  <c r="BD788" i="2"/>
  <c r="AC788" i="2"/>
  <c r="Y788" i="2"/>
  <c r="AH788" i="2"/>
  <c r="W788" i="2"/>
  <c r="AG788" i="2"/>
  <c r="BJ956" i="2"/>
  <c r="BE956" i="2"/>
  <c r="BD956" i="2"/>
  <c r="AC956" i="2"/>
  <c r="AH956" i="2"/>
  <c r="Y956" i="2"/>
  <c r="W956" i="2"/>
  <c r="AG956" i="2"/>
  <c r="AY956" i="2"/>
  <c r="BJ826" i="2"/>
  <c r="BE826" i="2"/>
  <c r="BD826" i="2"/>
  <c r="AC826" i="2"/>
  <c r="AH826" i="2"/>
  <c r="Y826" i="2"/>
  <c r="W826" i="2"/>
  <c r="AY826" i="2"/>
  <c r="BJ1179" i="2"/>
  <c r="BE1179" i="2"/>
  <c r="BD1179" i="2"/>
  <c r="AC1179" i="2"/>
  <c r="Y1179" i="2"/>
  <c r="AH1179" i="2"/>
  <c r="W1179" i="2"/>
  <c r="BJ1199" i="2"/>
  <c r="BE1199" i="2"/>
  <c r="BD1199" i="2"/>
  <c r="AH1199" i="2"/>
  <c r="AC1199" i="2"/>
  <c r="Y1199" i="2"/>
  <c r="W1199" i="2"/>
  <c r="AY1199" i="2"/>
  <c r="AY342" i="2"/>
  <c r="AG826" i="2"/>
  <c r="AG544" i="2"/>
  <c r="AG29" i="2"/>
  <c r="BJ6" i="2"/>
  <c r="BE6" i="2"/>
  <c r="BD6" i="2"/>
  <c r="AC6" i="2"/>
  <c r="AH6" i="2"/>
  <c r="Y6" i="2"/>
  <c r="W6" i="2"/>
  <c r="AG34" i="2"/>
  <c r="BJ34" i="2"/>
  <c r="BE34" i="2"/>
  <c r="BD34" i="2"/>
  <c r="AC34" i="2"/>
  <c r="AH34" i="2"/>
  <c r="W34" i="2"/>
  <c r="Y34" i="2"/>
  <c r="BJ13" i="2"/>
  <c r="BE13" i="2"/>
  <c r="BD13" i="2"/>
  <c r="AC13" i="2"/>
  <c r="AH13" i="2"/>
  <c r="Y13" i="2"/>
  <c r="W13" i="2"/>
  <c r="AG13" i="2"/>
  <c r="BJ80" i="2"/>
  <c r="BE80" i="2"/>
  <c r="BD80" i="2"/>
  <c r="AC80" i="2"/>
  <c r="AH80" i="2"/>
  <c r="W80" i="2"/>
  <c r="Y80" i="2"/>
  <c r="AG80" i="2"/>
  <c r="BJ37" i="2"/>
  <c r="BE37" i="2"/>
  <c r="BD37" i="2"/>
  <c r="AC37" i="2"/>
  <c r="AH37" i="2"/>
  <c r="Y37" i="2"/>
  <c r="W37" i="2"/>
  <c r="BJ86" i="2"/>
  <c r="BE86" i="2"/>
  <c r="BD86" i="2"/>
  <c r="AC86" i="2"/>
  <c r="AH86" i="2"/>
  <c r="W86" i="2"/>
  <c r="Y86" i="2"/>
  <c r="AY86" i="2"/>
  <c r="BJ121" i="2"/>
  <c r="BE121" i="2"/>
  <c r="BD121" i="2"/>
  <c r="AC121" i="2"/>
  <c r="AH121" i="2"/>
  <c r="Y121" i="2"/>
  <c r="W121" i="2"/>
  <c r="AY121" i="2"/>
  <c r="BJ395" i="2"/>
  <c r="BE395" i="2"/>
  <c r="BD395" i="2"/>
  <c r="AC395" i="2"/>
  <c r="AH395" i="2"/>
  <c r="Y395" i="2"/>
  <c r="W395" i="2"/>
  <c r="AY395" i="2"/>
  <c r="BJ122" i="2"/>
  <c r="BE122" i="2"/>
  <c r="BD122" i="2"/>
  <c r="AC122" i="2"/>
  <c r="AH122" i="2"/>
  <c r="Y122" i="2"/>
  <c r="W122" i="2"/>
  <c r="BG122" i="2" s="1"/>
  <c r="AY122" i="2"/>
  <c r="AY362" i="2"/>
  <c r="BJ362" i="2"/>
  <c r="BE362" i="2"/>
  <c r="BD362" i="2"/>
  <c r="AC362" i="2"/>
  <c r="AH362" i="2"/>
  <c r="Y362" i="2"/>
  <c r="W362" i="2"/>
  <c r="BJ24" i="2"/>
  <c r="BE24" i="2"/>
  <c r="BD24" i="2"/>
  <c r="AC24" i="2"/>
  <c r="AH24" i="2"/>
  <c r="Y24" i="2"/>
  <c r="W24" i="2"/>
  <c r="AG24" i="2"/>
  <c r="AY24" i="2"/>
  <c r="BJ274" i="2"/>
  <c r="BE274" i="2"/>
  <c r="BD274" i="2"/>
  <c r="AC274" i="2"/>
  <c r="AH274" i="2"/>
  <c r="Y274" i="2"/>
  <c r="W274" i="2"/>
  <c r="AG274" i="2"/>
  <c r="BJ429" i="2"/>
  <c r="BE429" i="2"/>
  <c r="BD429" i="2"/>
  <c r="AC429" i="2"/>
  <c r="AH429" i="2"/>
  <c r="Y429" i="2"/>
  <c r="W429" i="2"/>
  <c r="AY429" i="2"/>
  <c r="BJ382" i="2"/>
  <c r="BE382" i="2"/>
  <c r="BD382" i="2"/>
  <c r="AC382" i="2"/>
  <c r="AH382" i="2"/>
  <c r="Y382" i="2"/>
  <c r="W382" i="2"/>
  <c r="AG154" i="2"/>
  <c r="BJ154" i="2"/>
  <c r="BE154" i="2"/>
  <c r="BD154" i="2"/>
  <c r="AC154" i="2"/>
  <c r="AH154" i="2"/>
  <c r="Y154" i="2"/>
  <c r="W154" i="2"/>
  <c r="AG156" i="2"/>
  <c r="BJ156" i="2"/>
  <c r="BE156" i="2"/>
  <c r="BD156" i="2"/>
  <c r="AC156" i="2"/>
  <c r="AH156" i="2"/>
  <c r="Y156" i="2"/>
  <c r="W156" i="2"/>
  <c r="BJ459" i="2"/>
  <c r="BE459" i="2"/>
  <c r="BD459" i="2"/>
  <c r="AC459" i="2"/>
  <c r="AH459" i="2"/>
  <c r="Y459" i="2"/>
  <c r="W459" i="2"/>
  <c r="AG459" i="2"/>
  <c r="BJ464" i="2"/>
  <c r="BE464" i="2"/>
  <c r="BD464" i="2"/>
  <c r="AC464" i="2"/>
  <c r="AH464" i="2"/>
  <c r="Y464" i="2"/>
  <c r="W464" i="2"/>
  <c r="AG464" i="2"/>
  <c r="BJ472" i="2"/>
  <c r="BE472" i="2"/>
  <c r="BD472" i="2"/>
  <c r="AC472" i="2"/>
  <c r="AH472" i="2"/>
  <c r="Y472" i="2"/>
  <c r="W472" i="2"/>
  <c r="AG472" i="2"/>
  <c r="BJ489" i="2"/>
  <c r="BE489" i="2"/>
  <c r="BD489" i="2"/>
  <c r="AC489" i="2"/>
  <c r="AH489" i="2"/>
  <c r="Y489" i="2"/>
  <c r="W489" i="2"/>
  <c r="AG489" i="2"/>
  <c r="BJ518" i="2"/>
  <c r="BE518" i="2"/>
  <c r="BD518" i="2"/>
  <c r="AC518" i="2"/>
  <c r="AH518" i="2"/>
  <c r="Y518" i="2"/>
  <c r="W518" i="2"/>
  <c r="AG518" i="2"/>
  <c r="BJ500" i="2"/>
  <c r="BE500" i="2"/>
  <c r="BD500" i="2"/>
  <c r="AC500" i="2"/>
  <c r="AH500" i="2"/>
  <c r="Y500" i="2"/>
  <c r="W500" i="2"/>
  <c r="AG500" i="2"/>
  <c r="BJ520" i="2"/>
  <c r="BK520" i="2" s="1"/>
  <c r="BE520" i="2"/>
  <c r="BD520" i="2"/>
  <c r="AC520" i="2"/>
  <c r="AH520" i="2"/>
  <c r="Y520" i="2"/>
  <c r="W520" i="2"/>
  <c r="BG520" i="2" s="1"/>
  <c r="AG520" i="2"/>
  <c r="BJ545" i="2"/>
  <c r="BE545" i="2"/>
  <c r="BD545" i="2"/>
  <c r="AC545" i="2"/>
  <c r="AH545" i="2"/>
  <c r="Y545" i="2"/>
  <c r="W545" i="2"/>
  <c r="BJ579" i="2"/>
  <c r="BE579" i="2"/>
  <c r="BD579" i="2"/>
  <c r="AC579" i="2"/>
  <c r="AH579" i="2"/>
  <c r="Y579" i="2"/>
  <c r="W579" i="2"/>
  <c r="BJ628" i="2"/>
  <c r="BE628" i="2"/>
  <c r="BD628" i="2"/>
  <c r="AC628" i="2"/>
  <c r="AH628" i="2"/>
  <c r="Y628" i="2"/>
  <c r="W628" i="2"/>
  <c r="AY628" i="2"/>
  <c r="BJ885" i="2"/>
  <c r="BE885" i="2"/>
  <c r="BD885" i="2"/>
  <c r="AC885" i="2"/>
  <c r="AH885" i="2"/>
  <c r="Y885" i="2"/>
  <c r="W885" i="2"/>
  <c r="BJ561" i="2"/>
  <c r="BE561" i="2"/>
  <c r="BD561" i="2"/>
  <c r="AC561" i="2"/>
  <c r="AH561" i="2"/>
  <c r="Y561" i="2"/>
  <c r="W561" i="2"/>
  <c r="AG561" i="2"/>
  <c r="BJ646" i="2"/>
  <c r="BE646" i="2"/>
  <c r="BD646" i="2"/>
  <c r="AC646" i="2"/>
  <c r="AH646" i="2"/>
  <c r="Y646" i="2"/>
  <c r="W646" i="2"/>
  <c r="AG646" i="2"/>
  <c r="BJ698" i="2"/>
  <c r="BK698" i="2" s="1"/>
  <c r="BE698" i="2"/>
  <c r="BD698" i="2"/>
  <c r="AC698" i="2"/>
  <c r="AH698" i="2"/>
  <c r="Y698" i="2"/>
  <c r="W698" i="2"/>
  <c r="AG698" i="2"/>
  <c r="BJ816" i="2"/>
  <c r="BE816" i="2"/>
  <c r="BD816" i="2"/>
  <c r="AC816" i="2"/>
  <c r="AH816" i="2"/>
  <c r="Y816" i="2"/>
  <c r="W816" i="2"/>
  <c r="AG816" i="2"/>
  <c r="BJ1241" i="2"/>
  <c r="BE1241" i="2"/>
  <c r="BD1241" i="2"/>
  <c r="AC1241" i="2"/>
  <c r="AH1241" i="2"/>
  <c r="Y1241" i="2"/>
  <c r="W1241" i="2"/>
  <c r="AG1241" i="2"/>
  <c r="BJ773" i="2"/>
  <c r="BE773" i="2"/>
  <c r="BD773" i="2"/>
  <c r="AC773" i="2"/>
  <c r="AH773" i="2"/>
  <c r="Y773" i="2"/>
  <c r="W773" i="2"/>
  <c r="AG773" i="2"/>
  <c r="BJ803" i="2"/>
  <c r="BK803" i="2" s="1"/>
  <c r="BE803" i="2"/>
  <c r="BD803" i="2"/>
  <c r="AC803" i="2"/>
  <c r="AH803" i="2"/>
  <c r="Y803" i="2"/>
  <c r="W803" i="2"/>
  <c r="AG803" i="2"/>
  <c r="BJ984" i="2"/>
  <c r="BE984" i="2"/>
  <c r="BD984" i="2"/>
  <c r="AC984" i="2"/>
  <c r="AH984" i="2"/>
  <c r="Y984" i="2"/>
  <c r="W984" i="2"/>
  <c r="AG984" i="2"/>
  <c r="BJ1145" i="2"/>
  <c r="BE1145" i="2"/>
  <c r="BD1145" i="2"/>
  <c r="AC1145" i="2"/>
  <c r="AH1145" i="2"/>
  <c r="Y1145" i="2"/>
  <c r="W1145" i="2"/>
  <c r="AG1145" i="2"/>
  <c r="BJ679" i="2"/>
  <c r="BE679" i="2"/>
  <c r="BD679" i="2"/>
  <c r="AC679" i="2"/>
  <c r="AH679" i="2"/>
  <c r="Y679" i="2"/>
  <c r="W679" i="2"/>
  <c r="BG679" i="2" s="1"/>
  <c r="AG679" i="2"/>
  <c r="BJ964" i="2"/>
  <c r="BE964" i="2"/>
  <c r="BD964" i="2"/>
  <c r="AC964" i="2"/>
  <c r="AH964" i="2"/>
  <c r="Y964" i="2"/>
  <c r="W964" i="2"/>
  <c r="AG964" i="2"/>
  <c r="AG1110" i="2"/>
  <c r="BJ1110" i="2"/>
  <c r="BE1110" i="2"/>
  <c r="BD1110" i="2"/>
  <c r="AC1110" i="2"/>
  <c r="AH1110" i="2"/>
  <c r="Y1110" i="2"/>
  <c r="W1110" i="2"/>
  <c r="AY1110" i="2"/>
  <c r="BJ1149" i="2"/>
  <c r="BE1149" i="2"/>
  <c r="BD1149" i="2"/>
  <c r="AC1149" i="2"/>
  <c r="AH1149" i="2"/>
  <c r="Y1149" i="2"/>
  <c r="W1149" i="2"/>
  <c r="AY1149" i="2"/>
  <c r="AG1149" i="2"/>
  <c r="BJ872" i="2"/>
  <c r="BE872" i="2"/>
  <c r="BD872" i="2"/>
  <c r="AC872" i="2"/>
  <c r="AH872" i="2"/>
  <c r="Y872" i="2"/>
  <c r="W872" i="2"/>
  <c r="AY872" i="2"/>
  <c r="AG872" i="2"/>
  <c r="BJ977" i="2"/>
  <c r="BE977" i="2"/>
  <c r="BD977" i="2"/>
  <c r="AC977" i="2"/>
  <c r="AH977" i="2"/>
  <c r="Y977" i="2"/>
  <c r="W977" i="2"/>
  <c r="AY977" i="2"/>
  <c r="AG977" i="2"/>
  <c r="BJ1001" i="2"/>
  <c r="BE1001" i="2"/>
  <c r="BD1001" i="2"/>
  <c r="AC1001" i="2"/>
  <c r="AH1001" i="2"/>
  <c r="Y1001" i="2"/>
  <c r="W1001" i="2"/>
  <c r="AY1001" i="2"/>
  <c r="AG1001" i="2"/>
  <c r="BJ1137" i="2"/>
  <c r="BE1137" i="2"/>
  <c r="BD1137" i="2"/>
  <c r="AH1137" i="2"/>
  <c r="AC1137" i="2"/>
  <c r="Y1137" i="2"/>
  <c r="W1137" i="2"/>
  <c r="AY1137" i="2"/>
  <c r="AG1137" i="2"/>
  <c r="BJ907" i="2"/>
  <c r="BE907" i="2"/>
  <c r="BD907" i="2"/>
  <c r="AC907" i="2"/>
  <c r="AH907" i="2"/>
  <c r="Y907" i="2"/>
  <c r="W907" i="2"/>
  <c r="AY907" i="2"/>
  <c r="AG907" i="2"/>
  <c r="BJ1203" i="2"/>
  <c r="BE1203" i="2"/>
  <c r="BD1203" i="2"/>
  <c r="AC1203" i="2"/>
  <c r="AH1203" i="2"/>
  <c r="Y1203" i="2"/>
  <c r="W1203" i="2"/>
  <c r="AY1203" i="2"/>
  <c r="BJ1153" i="2"/>
  <c r="BE1153" i="2"/>
  <c r="BD1153" i="2"/>
  <c r="AH1153" i="2"/>
  <c r="Y1153" i="2"/>
  <c r="AC1153" i="2"/>
  <c r="W1153" i="2"/>
  <c r="AY1153" i="2"/>
  <c r="BJ1191" i="2"/>
  <c r="BE1191" i="2"/>
  <c r="BD1191" i="2"/>
  <c r="AC1191" i="2"/>
  <c r="AH1191" i="2"/>
  <c r="Y1191" i="2"/>
  <c r="W1191" i="2"/>
  <c r="AG1191" i="2"/>
  <c r="BJ1023" i="2"/>
  <c r="BE1023" i="2"/>
  <c r="BD1023" i="2"/>
  <c r="AH1023" i="2"/>
  <c r="Y1023" i="2"/>
  <c r="W1023" i="2"/>
  <c r="AC1023" i="2"/>
  <c r="AG1023" i="2"/>
  <c r="BJ1205" i="2"/>
  <c r="BE1205" i="2"/>
  <c r="BD1205" i="2"/>
  <c r="AH1205" i="2"/>
  <c r="Y1205" i="2"/>
  <c r="AC1205" i="2"/>
  <c r="W1205" i="2"/>
  <c r="AG1205" i="2"/>
  <c r="BJ1236" i="2"/>
  <c r="BE1236" i="2"/>
  <c r="BD1236" i="2"/>
  <c r="AC1236" i="2"/>
  <c r="AH1236" i="2"/>
  <c r="Y1236" i="2"/>
  <c r="W1236" i="2"/>
  <c r="AG1236" i="2"/>
  <c r="BJ1229" i="2"/>
  <c r="BE1229" i="2"/>
  <c r="BD1229" i="2"/>
  <c r="AH1229" i="2"/>
  <c r="AC1229" i="2"/>
  <c r="Y1229" i="2"/>
  <c r="W1229" i="2"/>
  <c r="AG1229" i="2"/>
  <c r="BJ1183" i="2"/>
  <c r="BK1183" i="2" s="1"/>
  <c r="BE1183" i="2"/>
  <c r="BD1183" i="2"/>
  <c r="AH1183" i="2"/>
  <c r="Y1183" i="2"/>
  <c r="AC1183" i="2"/>
  <c r="W1183" i="2"/>
  <c r="AY1183" i="2"/>
  <c r="AG1183" i="2"/>
  <c r="BJ1243" i="2"/>
  <c r="BK1243" i="2" s="1"/>
  <c r="BE1243" i="2"/>
  <c r="BD1243" i="2"/>
  <c r="AH1243" i="2"/>
  <c r="Y1243" i="2"/>
  <c r="W1243" i="2"/>
  <c r="AG1243" i="2"/>
  <c r="AY1243" i="2"/>
  <c r="BJ7" i="2"/>
  <c r="BE7" i="2"/>
  <c r="BD7" i="2"/>
  <c r="AC7" i="2"/>
  <c r="AH7" i="2"/>
  <c r="Y7" i="2"/>
  <c r="W7" i="2"/>
  <c r="BJ81" i="2"/>
  <c r="BE81" i="2"/>
  <c r="BD81" i="2"/>
  <c r="AC81" i="2"/>
  <c r="AH81" i="2"/>
  <c r="W81" i="2"/>
  <c r="BJ115" i="2"/>
  <c r="BE115" i="2"/>
  <c r="BD115" i="2"/>
  <c r="AC115" i="2"/>
  <c r="AH115" i="2"/>
  <c r="Y115" i="2"/>
  <c r="W115" i="2"/>
  <c r="AY273" i="2"/>
  <c r="BJ273" i="2"/>
  <c r="BE273" i="2"/>
  <c r="BD273" i="2"/>
  <c r="AC273" i="2"/>
  <c r="AH273" i="2"/>
  <c r="Y273" i="2"/>
  <c r="AG273" i="2"/>
  <c r="BJ66" i="2"/>
  <c r="BE66" i="2"/>
  <c r="BD66" i="2"/>
  <c r="AC66" i="2"/>
  <c r="AH66" i="2"/>
  <c r="Y66" i="2"/>
  <c r="W66" i="2"/>
  <c r="AG66" i="2"/>
  <c r="BJ463" i="2"/>
  <c r="BE463" i="2"/>
  <c r="BD463" i="2"/>
  <c r="AC463" i="2"/>
  <c r="AH463" i="2"/>
  <c r="Y463" i="2"/>
  <c r="W463" i="2"/>
  <c r="AY463" i="2"/>
  <c r="BJ514" i="2"/>
  <c r="BE514" i="2"/>
  <c r="BD514" i="2"/>
  <c r="AC514" i="2"/>
  <c r="AH514" i="2"/>
  <c r="Y514" i="2"/>
  <c r="W514" i="2"/>
  <c r="BH514" i="2" s="1"/>
  <c r="AY514" i="2"/>
  <c r="BJ544" i="2"/>
  <c r="BE544" i="2"/>
  <c r="BD544" i="2"/>
  <c r="AC544" i="2"/>
  <c r="AH544" i="2"/>
  <c r="Y544" i="2"/>
  <c r="AY544" i="2"/>
  <c r="BJ551" i="2"/>
  <c r="BE551" i="2"/>
  <c r="BD551" i="2"/>
  <c r="AC551" i="2"/>
  <c r="Y551" i="2"/>
  <c r="W551" i="2"/>
  <c r="AH551" i="2"/>
  <c r="AG551" i="2"/>
  <c r="BJ1040" i="2"/>
  <c r="BE1040" i="2"/>
  <c r="BD1040" i="2"/>
  <c r="AC1040" i="2"/>
  <c r="AH1040" i="2"/>
  <c r="Y1040" i="2"/>
  <c r="W1040" i="2"/>
  <c r="AG1040" i="2"/>
  <c r="BJ1138" i="2"/>
  <c r="BE1138" i="2"/>
  <c r="BD1138" i="2"/>
  <c r="AC1138" i="2"/>
  <c r="AH1138" i="2"/>
  <c r="Y1138" i="2"/>
  <c r="W1138" i="2"/>
  <c r="AG1138" i="2"/>
  <c r="BJ1148" i="2"/>
  <c r="BE1148" i="2"/>
  <c r="BD1148" i="2"/>
  <c r="AC1148" i="2"/>
  <c r="AH1148" i="2"/>
  <c r="Y1148" i="2"/>
  <c r="W1148" i="2"/>
  <c r="AY1148" i="2"/>
  <c r="BJ1124" i="2"/>
  <c r="BK1124" i="2" s="1"/>
  <c r="BE1124" i="2"/>
  <c r="BD1124" i="2"/>
  <c r="AH1124" i="2"/>
  <c r="AC1124" i="2"/>
  <c r="W1124" i="2"/>
  <c r="Y1124" i="2"/>
  <c r="AY1124" i="2"/>
  <c r="BJ890" i="2"/>
  <c r="BE890" i="2"/>
  <c r="BD890" i="2"/>
  <c r="AH890" i="2"/>
  <c r="Y890" i="2"/>
  <c r="AC890" i="2"/>
  <c r="W890" i="2"/>
  <c r="AY890" i="2"/>
  <c r="BJ1178" i="2"/>
  <c r="BK1178" i="2" s="1"/>
  <c r="BE1178" i="2"/>
  <c r="BD1178" i="2"/>
  <c r="AH1178" i="2"/>
  <c r="AC1178" i="2"/>
  <c r="Y1178" i="2"/>
  <c r="W1178" i="2"/>
  <c r="AY1178" i="2"/>
  <c r="AY66" i="2"/>
  <c r="BJ11" i="2"/>
  <c r="BE11" i="2"/>
  <c r="BD11" i="2"/>
  <c r="AH11" i="2"/>
  <c r="AC11" i="2"/>
  <c r="Y11" i="2"/>
  <c r="W11" i="2"/>
  <c r="AG11" i="2"/>
  <c r="AY11" i="2"/>
  <c r="BJ14" i="2"/>
  <c r="BE14" i="2"/>
  <c r="BD14" i="2"/>
  <c r="AH14" i="2"/>
  <c r="AC14" i="2"/>
  <c r="W14" i="2"/>
  <c r="Y14" i="2"/>
  <c r="AG14" i="2"/>
  <c r="BJ88" i="2"/>
  <c r="BE88" i="2"/>
  <c r="BD88" i="2"/>
  <c r="AH88" i="2"/>
  <c r="AC88" i="2"/>
  <c r="Y88" i="2"/>
  <c r="W88" i="2"/>
  <c r="BJ281" i="2"/>
  <c r="BE281" i="2"/>
  <c r="BD281" i="2"/>
  <c r="AH281" i="2"/>
  <c r="AC281" i="2"/>
  <c r="W281" i="2"/>
  <c r="Y281" i="2"/>
  <c r="BJ365" i="2"/>
  <c r="BE365" i="2"/>
  <c r="BD365" i="2"/>
  <c r="AH365" i="2"/>
  <c r="AC365" i="2"/>
  <c r="W365" i="2"/>
  <c r="Y365" i="2"/>
  <c r="AY365" i="2"/>
  <c r="AY434" i="2"/>
  <c r="BJ434" i="2"/>
  <c r="BE434" i="2"/>
  <c r="BD434" i="2"/>
  <c r="AH434" i="2"/>
  <c r="AC434" i="2"/>
  <c r="W434" i="2"/>
  <c r="Y434" i="2"/>
  <c r="AG434" i="2"/>
  <c r="BJ155" i="2"/>
  <c r="BE155" i="2"/>
  <c r="BD155" i="2"/>
  <c r="AH155" i="2"/>
  <c r="AC155" i="2"/>
  <c r="Y155" i="2"/>
  <c r="W155" i="2"/>
  <c r="AY155" i="2"/>
  <c r="BJ460" i="2"/>
  <c r="BE460" i="2"/>
  <c r="BD460" i="2"/>
  <c r="AH460" i="2"/>
  <c r="AC460" i="2"/>
  <c r="W460" i="2"/>
  <c r="Y460" i="2"/>
  <c r="AG460" i="2"/>
  <c r="BJ474" i="2"/>
  <c r="BE474" i="2"/>
  <c r="BD474" i="2"/>
  <c r="AH474" i="2"/>
  <c r="AC474" i="2"/>
  <c r="W474" i="2"/>
  <c r="Y474" i="2"/>
  <c r="AG474" i="2"/>
  <c r="BJ501" i="2"/>
  <c r="BE501" i="2"/>
  <c r="BD501" i="2"/>
  <c r="AH501" i="2"/>
  <c r="AC501" i="2"/>
  <c r="W501" i="2"/>
  <c r="Y501" i="2"/>
  <c r="AG501" i="2"/>
  <c r="BJ521" i="2"/>
  <c r="BE521" i="2"/>
  <c r="BD521" i="2"/>
  <c r="AH521" i="2"/>
  <c r="AC521" i="2"/>
  <c r="W521" i="2"/>
  <c r="Y521" i="2"/>
  <c r="AG521" i="2"/>
  <c r="BJ584" i="2"/>
  <c r="BE584" i="2"/>
  <c r="BD584" i="2"/>
  <c r="AH584" i="2"/>
  <c r="AC584" i="2"/>
  <c r="W584" i="2"/>
  <c r="Y584" i="2"/>
  <c r="BJ567" i="2"/>
  <c r="BE567" i="2"/>
  <c r="BD567" i="2"/>
  <c r="AH567" i="2"/>
  <c r="AC567" i="2"/>
  <c r="Y567" i="2"/>
  <c r="W567" i="2"/>
  <c r="BJ699" i="2"/>
  <c r="BE699" i="2"/>
  <c r="BD699" i="2"/>
  <c r="AH699" i="2"/>
  <c r="AC699" i="2"/>
  <c r="W699" i="2"/>
  <c r="Y699" i="2"/>
  <c r="BJ817" i="2"/>
  <c r="BE817" i="2"/>
  <c r="BD817" i="2"/>
  <c r="AH817" i="2"/>
  <c r="AC817" i="2"/>
  <c r="W817" i="2"/>
  <c r="BG817" i="2" s="1"/>
  <c r="Y817" i="2"/>
  <c r="BJ774" i="2"/>
  <c r="BE774" i="2"/>
  <c r="BD774" i="2"/>
  <c r="AH774" i="2"/>
  <c r="AC774" i="2"/>
  <c r="Y774" i="2"/>
  <c r="W774" i="2"/>
  <c r="BJ804" i="2"/>
  <c r="BK804" i="2" s="1"/>
  <c r="BE804" i="2"/>
  <c r="BD804" i="2"/>
  <c r="AH804" i="2"/>
  <c r="AC804" i="2"/>
  <c r="Y804" i="2"/>
  <c r="W804" i="2"/>
  <c r="BJ985" i="2"/>
  <c r="BE985" i="2"/>
  <c r="BD985" i="2"/>
  <c r="AH985" i="2"/>
  <c r="Y985" i="2"/>
  <c r="AC985" i="2"/>
  <c r="W985" i="2"/>
  <c r="BJ974" i="2"/>
  <c r="BE974" i="2"/>
  <c r="BD974" i="2"/>
  <c r="AH974" i="2"/>
  <c r="Y974" i="2"/>
  <c r="AC974" i="2"/>
  <c r="W974" i="2"/>
  <c r="BJ802" i="2"/>
  <c r="BE802" i="2"/>
  <c r="BD802" i="2"/>
  <c r="AH802" i="2"/>
  <c r="Y802" i="2"/>
  <c r="AC802" i="2"/>
  <c r="W802" i="2"/>
  <c r="BJ968" i="2"/>
  <c r="BK968" i="2" s="1"/>
  <c r="BE968" i="2"/>
  <c r="BD968" i="2"/>
  <c r="AH968" i="2"/>
  <c r="Y968" i="2"/>
  <c r="AC968" i="2"/>
  <c r="W968" i="2"/>
  <c r="AG968" i="2"/>
  <c r="BJ1112" i="2"/>
  <c r="BE1112" i="2"/>
  <c r="BD1112" i="2"/>
  <c r="AH1112" i="2"/>
  <c r="Y1112" i="2"/>
  <c r="AC1112" i="2"/>
  <c r="W1112" i="2"/>
  <c r="AG1112" i="2"/>
  <c r="BJ1150" i="2"/>
  <c r="BE1150" i="2"/>
  <c r="BD1150" i="2"/>
  <c r="AH1150" i="2"/>
  <c r="Y1150" i="2"/>
  <c r="AC1150" i="2"/>
  <c r="W1150" i="2"/>
  <c r="AG1150" i="2"/>
  <c r="BJ886" i="2"/>
  <c r="BK886" i="2" s="1"/>
  <c r="BE886" i="2"/>
  <c r="BD886" i="2"/>
  <c r="AH886" i="2"/>
  <c r="Y886" i="2"/>
  <c r="AC886" i="2"/>
  <c r="W886" i="2"/>
  <c r="AG886" i="2"/>
  <c r="BJ979" i="2"/>
  <c r="BE979" i="2"/>
  <c r="BD979" i="2"/>
  <c r="AH979" i="2"/>
  <c r="Y979" i="2"/>
  <c r="AC979" i="2"/>
  <c r="W979" i="2"/>
  <c r="AG979" i="2"/>
  <c r="BJ1002" i="2"/>
  <c r="BE1002" i="2"/>
  <c r="BD1002" i="2"/>
  <c r="AH1002" i="2"/>
  <c r="Y1002" i="2"/>
  <c r="AC1002" i="2"/>
  <c r="W1002" i="2"/>
  <c r="AG1002" i="2"/>
  <c r="BJ1140" i="2"/>
  <c r="BE1140" i="2"/>
  <c r="BD1140" i="2"/>
  <c r="AH1140" i="2"/>
  <c r="AC1140" i="2"/>
  <c r="Y1140" i="2"/>
  <c r="W1140" i="2"/>
  <c r="AG1140" i="2"/>
  <c r="AG908" i="2"/>
  <c r="BJ908" i="2"/>
  <c r="BE908" i="2"/>
  <c r="BD908" i="2"/>
  <c r="AH908" i="2"/>
  <c r="AC908" i="2"/>
  <c r="Y908" i="2"/>
  <c r="W908" i="2"/>
  <c r="AY908" i="2"/>
  <c r="BJ1210" i="2"/>
  <c r="BE1210" i="2"/>
  <c r="BD1210" i="2"/>
  <c r="AH1210" i="2"/>
  <c r="AC1210" i="2"/>
  <c r="Y1210" i="2"/>
  <c r="W1210" i="2"/>
  <c r="AY1210" i="2"/>
  <c r="AG1210" i="2"/>
  <c r="BJ1154" i="2"/>
  <c r="BE1154" i="2"/>
  <c r="BD1154" i="2"/>
  <c r="AH1154" i="2"/>
  <c r="AC1154" i="2"/>
  <c r="Y1154" i="2"/>
  <c r="W1154" i="2"/>
  <c r="AY1154" i="2"/>
  <c r="BJ1193" i="2"/>
  <c r="BE1193" i="2"/>
  <c r="BD1193" i="2"/>
  <c r="AH1193" i="2"/>
  <c r="Y1193" i="2"/>
  <c r="AC1193" i="2"/>
  <c r="W1193" i="2"/>
  <c r="AY1193" i="2"/>
  <c r="BJ1024" i="2"/>
  <c r="BE1024" i="2"/>
  <c r="BD1024" i="2"/>
  <c r="AH1024" i="2"/>
  <c r="AC1024" i="2"/>
  <c r="Y1024" i="2"/>
  <c r="W1024" i="2"/>
  <c r="BJ1206" i="2"/>
  <c r="BE1206" i="2"/>
  <c r="BD1206" i="2"/>
  <c r="AH1206" i="2"/>
  <c r="Y1206" i="2"/>
  <c r="AC1206" i="2"/>
  <c r="W1206" i="2"/>
  <c r="BJ1223" i="2"/>
  <c r="BE1223" i="2"/>
  <c r="BD1223" i="2"/>
  <c r="AH1223" i="2"/>
  <c r="Y1223" i="2"/>
  <c r="W1223" i="2"/>
  <c r="AC1223" i="2"/>
  <c r="BJ1230" i="2"/>
  <c r="BE1230" i="2"/>
  <c r="BD1230" i="2"/>
  <c r="AH1230" i="2"/>
  <c r="AC1230" i="2"/>
  <c r="Y1230" i="2"/>
  <c r="W1230" i="2"/>
  <c r="BJ1196" i="2"/>
  <c r="BK1196" i="2" s="1"/>
  <c r="BE1196" i="2"/>
  <c r="BD1196" i="2"/>
  <c r="AH1196" i="2"/>
  <c r="Y1196" i="2"/>
  <c r="AC1196" i="2"/>
  <c r="W1196" i="2"/>
  <c r="BJ1244" i="2"/>
  <c r="BK1244" i="2" s="1"/>
  <c r="BE1244" i="2"/>
  <c r="BD1244" i="2"/>
  <c r="AH1244" i="2"/>
  <c r="Y1244" i="2"/>
  <c r="W1244" i="2"/>
  <c r="AG1244" i="2"/>
  <c r="AC1244" i="2"/>
  <c r="BJ53" i="2"/>
  <c r="BE53" i="2"/>
  <c r="BD53" i="2"/>
  <c r="AH53" i="2"/>
  <c r="AG53" i="2"/>
  <c r="Y53" i="2"/>
  <c r="W53" i="2"/>
  <c r="AC53" i="2"/>
  <c r="BJ99" i="2"/>
  <c r="BE99" i="2"/>
  <c r="BD99" i="2"/>
  <c r="AH99" i="2"/>
  <c r="AC99" i="2"/>
  <c r="Y99" i="2"/>
  <c r="W99" i="2"/>
  <c r="BG99" i="2" s="1"/>
  <c r="AG99" i="2"/>
  <c r="BJ111" i="2"/>
  <c r="BE111" i="2"/>
  <c r="BD111" i="2"/>
  <c r="AH111" i="2"/>
  <c r="AC111" i="2"/>
  <c r="Y111" i="2"/>
  <c r="AG111" i="2"/>
  <c r="W111" i="2"/>
  <c r="BJ144" i="2"/>
  <c r="BE144" i="2"/>
  <c r="BD144" i="2"/>
  <c r="AH144" i="2"/>
  <c r="AC144" i="2"/>
  <c r="Y144" i="2"/>
  <c r="AG144" i="2"/>
  <c r="W144" i="2"/>
  <c r="BJ170" i="2"/>
  <c r="BE170" i="2"/>
  <c r="BD170" i="2"/>
  <c r="AH170" i="2"/>
  <c r="AG170" i="2"/>
  <c r="Y170" i="2"/>
  <c r="AC170" i="2"/>
  <c r="W170" i="2"/>
  <c r="BJ182" i="2"/>
  <c r="BE182" i="2"/>
  <c r="BD182" i="2"/>
  <c r="AH182" i="2"/>
  <c r="Y182" i="2"/>
  <c r="AC182" i="2"/>
  <c r="W182" i="2"/>
  <c r="AG182" i="2"/>
  <c r="BJ195" i="2"/>
  <c r="BE195" i="2"/>
  <c r="BD195" i="2"/>
  <c r="AH195" i="2"/>
  <c r="Y195" i="2"/>
  <c r="AC195" i="2"/>
  <c r="AG195" i="2"/>
  <c r="W195" i="2"/>
  <c r="BG195" i="2" s="1"/>
  <c r="BJ207" i="2"/>
  <c r="BD207" i="2"/>
  <c r="BE207" i="2"/>
  <c r="AH207" i="2"/>
  <c r="Y207" i="2"/>
  <c r="AC207" i="2"/>
  <c r="W207" i="2"/>
  <c r="BJ226" i="2"/>
  <c r="BE226" i="2"/>
  <c r="BD226" i="2"/>
  <c r="AH226" i="2"/>
  <c r="AC226" i="2"/>
  <c r="Y226" i="2"/>
  <c r="AG226" i="2"/>
  <c r="W226" i="2"/>
  <c r="BJ245" i="2"/>
  <c r="BE245" i="2"/>
  <c r="BD245" i="2"/>
  <c r="AH245" i="2"/>
  <c r="Y245" i="2"/>
  <c r="AC245" i="2"/>
  <c r="W245" i="2"/>
  <c r="AG245" i="2"/>
  <c r="AY245" i="2"/>
  <c r="BJ257" i="2"/>
  <c r="BE257" i="2"/>
  <c r="BD257" i="2"/>
  <c r="AH257" i="2"/>
  <c r="AG257" i="2"/>
  <c r="Y257" i="2"/>
  <c r="AC257" i="2"/>
  <c r="W257" i="2"/>
  <c r="BJ269" i="2"/>
  <c r="BD269" i="2"/>
  <c r="BE269" i="2"/>
  <c r="AH269" i="2"/>
  <c r="Y269" i="2"/>
  <c r="AG269" i="2"/>
  <c r="AC269" i="2"/>
  <c r="W269" i="2"/>
  <c r="BJ288" i="2"/>
  <c r="BE288" i="2"/>
  <c r="BD288" i="2"/>
  <c r="AH288" i="2"/>
  <c r="Y288" i="2"/>
  <c r="AG288" i="2"/>
  <c r="W288" i="2"/>
  <c r="AC288" i="2"/>
  <c r="BJ300" i="2"/>
  <c r="BE300" i="2"/>
  <c r="BD300" i="2"/>
  <c r="AH300" i="2"/>
  <c r="AG300" i="2"/>
  <c r="AC300" i="2"/>
  <c r="Y300" i="2"/>
  <c r="W300" i="2"/>
  <c r="BJ312" i="2"/>
  <c r="BE312" i="2"/>
  <c r="BD312" i="2"/>
  <c r="AH312" i="2"/>
  <c r="Y312" i="2"/>
  <c r="AG312" i="2"/>
  <c r="AC312" i="2"/>
  <c r="W312" i="2"/>
  <c r="BJ324" i="2"/>
  <c r="BE324" i="2"/>
  <c r="BD324" i="2"/>
  <c r="AH324" i="2"/>
  <c r="Y324" i="2"/>
  <c r="W324" i="2"/>
  <c r="AG324" i="2"/>
  <c r="BJ336" i="2"/>
  <c r="BE336" i="2"/>
  <c r="BD336" i="2"/>
  <c r="AH336" i="2"/>
  <c r="AG336" i="2"/>
  <c r="AC336" i="2"/>
  <c r="Y336" i="2"/>
  <c r="W336" i="2"/>
  <c r="AY336" i="2"/>
  <c r="BJ352" i="2"/>
  <c r="BD352" i="2"/>
  <c r="BE352" i="2"/>
  <c r="AH352" i="2"/>
  <c r="AG352" i="2"/>
  <c r="Y352" i="2"/>
  <c r="AC352" i="2"/>
  <c r="W352" i="2"/>
  <c r="AY352" i="2"/>
  <c r="AY376" i="2"/>
  <c r="BJ376" i="2"/>
  <c r="BE376" i="2"/>
  <c r="BD376" i="2"/>
  <c r="AH376" i="2"/>
  <c r="AG376" i="2"/>
  <c r="Y376" i="2"/>
  <c r="AC376" i="2"/>
  <c r="W376" i="2"/>
  <c r="BJ416" i="2"/>
  <c r="BE416" i="2"/>
  <c r="BD416" i="2"/>
  <c r="AG416" i="2"/>
  <c r="AH416" i="2"/>
  <c r="AC416" i="2"/>
  <c r="Y416" i="2"/>
  <c r="W416" i="2"/>
  <c r="AY416" i="2"/>
  <c r="BJ436" i="2"/>
  <c r="BE436" i="2"/>
  <c r="BD436" i="2"/>
  <c r="AG436" i="2"/>
  <c r="AH436" i="2"/>
  <c r="Y436" i="2"/>
  <c r="AC436" i="2"/>
  <c r="W436" i="2"/>
  <c r="BJ483" i="2"/>
  <c r="BE483" i="2"/>
  <c r="BD483" i="2"/>
  <c r="AG483" i="2"/>
  <c r="AH483" i="2"/>
  <c r="Y483" i="2"/>
  <c r="W483" i="2"/>
  <c r="AC483" i="2"/>
  <c r="BJ559" i="2"/>
  <c r="BE559" i="2"/>
  <c r="BD559" i="2"/>
  <c r="AG559" i="2"/>
  <c r="AH559" i="2"/>
  <c r="AC559" i="2"/>
  <c r="Y559" i="2"/>
  <c r="W559" i="2"/>
  <c r="BG559" i="2" s="1"/>
  <c r="BJ598" i="2"/>
  <c r="BE598" i="2"/>
  <c r="BD598" i="2"/>
  <c r="AG598" i="2"/>
  <c r="AH598" i="2"/>
  <c r="Y598" i="2"/>
  <c r="AC598" i="2"/>
  <c r="W598" i="2"/>
  <c r="BJ624" i="2"/>
  <c r="BE624" i="2"/>
  <c r="BD624" i="2"/>
  <c r="AG624" i="2"/>
  <c r="AH624" i="2"/>
  <c r="Y624" i="2"/>
  <c r="W624" i="2"/>
  <c r="AC624" i="2"/>
  <c r="BJ638" i="2"/>
  <c r="BE638" i="2"/>
  <c r="BD638" i="2"/>
  <c r="AH638" i="2"/>
  <c r="AG638" i="2"/>
  <c r="AC638" i="2"/>
  <c r="Y638" i="2"/>
  <c r="W638" i="2"/>
  <c r="BJ665" i="2"/>
  <c r="BD665" i="2"/>
  <c r="BE665" i="2"/>
  <c r="AH665" i="2"/>
  <c r="AG665" i="2"/>
  <c r="Y665" i="2"/>
  <c r="AC665" i="2"/>
  <c r="W665" i="2"/>
  <c r="AY665" i="2"/>
  <c r="BJ690" i="2"/>
  <c r="BE690" i="2"/>
  <c r="BD690" i="2"/>
  <c r="AH690" i="2"/>
  <c r="Y690" i="2"/>
  <c r="AC690" i="2"/>
  <c r="W690" i="2"/>
  <c r="AG690" i="2"/>
  <c r="AY690" i="2"/>
  <c r="BJ707" i="2"/>
  <c r="BE707" i="2"/>
  <c r="BD707" i="2"/>
  <c r="AC707" i="2"/>
  <c r="Y707" i="2"/>
  <c r="AH707" i="2"/>
  <c r="W707" i="2"/>
  <c r="AG707" i="2"/>
  <c r="AY707" i="2"/>
  <c r="BJ720" i="2"/>
  <c r="BE720" i="2"/>
  <c r="BD720" i="2"/>
  <c r="AH720" i="2"/>
  <c r="AG720" i="2"/>
  <c r="Y720" i="2"/>
  <c r="AC720" i="2"/>
  <c r="W720" i="2"/>
  <c r="BJ734" i="2"/>
  <c r="BE734" i="2"/>
  <c r="BD734" i="2"/>
  <c r="AG734" i="2"/>
  <c r="AH734" i="2"/>
  <c r="Y734" i="2"/>
  <c r="W734" i="2"/>
  <c r="AC734" i="2"/>
  <c r="BJ746" i="2"/>
  <c r="BD746" i="2"/>
  <c r="BE746" i="2"/>
  <c r="AH746" i="2"/>
  <c r="AG746" i="2"/>
  <c r="AC746" i="2"/>
  <c r="Y746" i="2"/>
  <c r="W746" i="2"/>
  <c r="BG746" i="2" s="1"/>
  <c r="BJ758" i="2"/>
  <c r="BE758" i="2"/>
  <c r="BD758" i="2"/>
  <c r="AH758" i="2"/>
  <c r="AG758" i="2"/>
  <c r="Y758" i="2"/>
  <c r="AC758" i="2"/>
  <c r="W758" i="2"/>
  <c r="BJ792" i="2"/>
  <c r="BE792" i="2"/>
  <c r="AH792" i="2"/>
  <c r="BD792" i="2"/>
  <c r="Y792" i="2"/>
  <c r="W792" i="2"/>
  <c r="AC792" i="2"/>
  <c r="BJ811" i="2"/>
  <c r="BE811" i="2"/>
  <c r="BD811" i="2"/>
  <c r="AH811" i="2"/>
  <c r="AC811" i="2"/>
  <c r="Y811" i="2"/>
  <c r="W811" i="2"/>
  <c r="AY839" i="2"/>
  <c r="BJ839" i="2"/>
  <c r="BE839" i="2"/>
  <c r="BD839" i="2"/>
  <c r="AH839" i="2"/>
  <c r="Y839" i="2"/>
  <c r="AC839" i="2"/>
  <c r="W839" i="2"/>
  <c r="AG839" i="2"/>
  <c r="BJ851" i="2"/>
  <c r="BE851" i="2"/>
  <c r="BD851" i="2"/>
  <c r="AH851" i="2"/>
  <c r="Y851" i="2"/>
  <c r="AC851" i="2"/>
  <c r="W851" i="2"/>
  <c r="AY851" i="2"/>
  <c r="BJ865" i="2"/>
  <c r="BD865" i="2"/>
  <c r="BE865" i="2"/>
  <c r="AH865" i="2"/>
  <c r="AC865" i="2"/>
  <c r="Y865" i="2"/>
  <c r="W865" i="2"/>
  <c r="AY865" i="2"/>
  <c r="BJ894" i="2"/>
  <c r="BE894" i="2"/>
  <c r="AH894" i="2"/>
  <c r="BD894" i="2"/>
  <c r="AG894" i="2"/>
  <c r="Y894" i="2"/>
  <c r="AC894" i="2"/>
  <c r="W894" i="2"/>
  <c r="AY894" i="2"/>
  <c r="BJ916" i="2"/>
  <c r="BE916" i="2"/>
  <c r="BD916" i="2"/>
  <c r="AH916" i="2"/>
  <c r="Y916" i="2"/>
  <c r="W916" i="2"/>
  <c r="AC916" i="2"/>
  <c r="AY916" i="2"/>
  <c r="BJ933" i="2"/>
  <c r="BE933" i="2"/>
  <c r="BD933" i="2"/>
  <c r="AH933" i="2"/>
  <c r="AC933" i="2"/>
  <c r="Y933" i="2"/>
  <c r="W933" i="2"/>
  <c r="AY933" i="2"/>
  <c r="BJ947" i="2"/>
  <c r="BE947" i="2"/>
  <c r="BD947" i="2"/>
  <c r="AH947" i="2"/>
  <c r="AG947" i="2"/>
  <c r="Y947" i="2"/>
  <c r="AC947" i="2"/>
  <c r="W947" i="2"/>
  <c r="BG947" i="2" s="1"/>
  <c r="AY947" i="2"/>
  <c r="AG963" i="2"/>
  <c r="BJ963" i="2"/>
  <c r="BE963" i="2"/>
  <c r="BD963" i="2"/>
  <c r="AH963" i="2"/>
  <c r="Y963" i="2"/>
  <c r="W963" i="2"/>
  <c r="BG963" i="2" s="1"/>
  <c r="AC963" i="2"/>
  <c r="AY963" i="2"/>
  <c r="BJ1017" i="2"/>
  <c r="BE1017" i="2"/>
  <c r="BD1017" i="2"/>
  <c r="AH1017" i="2"/>
  <c r="AC1017" i="2"/>
  <c r="Y1017" i="2"/>
  <c r="W1017" i="2"/>
  <c r="AG1017" i="2"/>
  <c r="BJ1037" i="2"/>
  <c r="BE1037" i="2"/>
  <c r="BD1037" i="2"/>
  <c r="AH1037" i="2"/>
  <c r="Y1037" i="2"/>
  <c r="AC1037" i="2"/>
  <c r="W1037" i="2"/>
  <c r="BJ1052" i="2"/>
  <c r="BE1052" i="2"/>
  <c r="BD1052" i="2"/>
  <c r="AH1052" i="2"/>
  <c r="AG1052" i="2"/>
  <c r="Y1052" i="2"/>
  <c r="AC1052" i="2"/>
  <c r="AY1052" i="2"/>
  <c r="W1052" i="2"/>
  <c r="BJ1065" i="2"/>
  <c r="BE1065" i="2"/>
  <c r="BD1065" i="2"/>
  <c r="AH1065" i="2"/>
  <c r="AG1065" i="2"/>
  <c r="AY1065" i="2"/>
  <c r="AC1065" i="2"/>
  <c r="Y1065" i="2"/>
  <c r="W1065" i="2"/>
  <c r="BJ1097" i="2"/>
  <c r="BE1097" i="2"/>
  <c r="AH1097" i="2"/>
  <c r="BD1097" i="2"/>
  <c r="AG1097" i="2"/>
  <c r="AY1097" i="2"/>
  <c r="Y1097" i="2"/>
  <c r="AC1097" i="2"/>
  <c r="W1097" i="2"/>
  <c r="BJ1114" i="2"/>
  <c r="BE1114" i="2"/>
  <c r="BD1114" i="2"/>
  <c r="AH1114" i="2"/>
  <c r="AG1114" i="2"/>
  <c r="AY1114" i="2"/>
  <c r="Y1114" i="2"/>
  <c r="W1114" i="2"/>
  <c r="AC1114" i="2"/>
  <c r="BJ1147" i="2"/>
  <c r="BE1147" i="2"/>
  <c r="BD1147" i="2"/>
  <c r="AH1147" i="2"/>
  <c r="AG1147" i="2"/>
  <c r="AY1147" i="2"/>
  <c r="AC1147" i="2"/>
  <c r="Y1147" i="2"/>
  <c r="W1147" i="2"/>
  <c r="AG33" i="2"/>
  <c r="BJ33" i="2"/>
  <c r="BE33" i="2"/>
  <c r="BD33" i="2"/>
  <c r="AC33" i="2"/>
  <c r="AH33" i="2"/>
  <c r="W33" i="2"/>
  <c r="BG33" i="2" s="1"/>
  <c r="Y33" i="2"/>
  <c r="BJ21" i="2"/>
  <c r="BE21" i="2"/>
  <c r="BD21" i="2"/>
  <c r="AC21" i="2"/>
  <c r="AH21" i="2"/>
  <c r="Y21" i="2"/>
  <c r="W21" i="2"/>
  <c r="AY21" i="2"/>
  <c r="BJ237" i="2"/>
  <c r="BE237" i="2"/>
  <c r="BD237" i="2"/>
  <c r="AC237" i="2"/>
  <c r="Y237" i="2"/>
  <c r="AH237" i="2"/>
  <c r="W237" i="2"/>
  <c r="AY23" i="2"/>
  <c r="BJ23" i="2"/>
  <c r="BE23" i="2"/>
  <c r="AC23" i="2"/>
  <c r="Y23" i="2"/>
  <c r="BD23" i="2"/>
  <c r="AH23" i="2"/>
  <c r="W23" i="2"/>
  <c r="AG23" i="2"/>
  <c r="BJ380" i="2"/>
  <c r="BE380" i="2"/>
  <c r="BD380" i="2"/>
  <c r="AC380" i="2"/>
  <c r="AH380" i="2"/>
  <c r="Y380" i="2"/>
  <c r="W380" i="2"/>
  <c r="BJ458" i="2"/>
  <c r="BE458" i="2"/>
  <c r="AC458" i="2"/>
  <c r="BD458" i="2"/>
  <c r="Y458" i="2"/>
  <c r="AH458" i="2"/>
  <c r="W458" i="2"/>
  <c r="AY458" i="2"/>
  <c r="BJ476" i="2"/>
  <c r="BE476" i="2"/>
  <c r="BD476" i="2"/>
  <c r="AC476" i="2"/>
  <c r="Y476" i="2"/>
  <c r="AH476" i="2"/>
  <c r="W476" i="2"/>
  <c r="AY476" i="2"/>
  <c r="BJ517" i="2"/>
  <c r="BE517" i="2"/>
  <c r="AC517" i="2"/>
  <c r="BD517" i="2"/>
  <c r="AH517" i="2"/>
  <c r="Y517" i="2"/>
  <c r="W517" i="2"/>
  <c r="AY517" i="2"/>
  <c r="AY619" i="2"/>
  <c r="BJ619" i="2"/>
  <c r="BE619" i="2"/>
  <c r="BD619" i="2"/>
  <c r="AC619" i="2"/>
  <c r="Y619" i="2"/>
  <c r="AH619" i="2"/>
  <c r="W619" i="2"/>
  <c r="BJ697" i="2"/>
  <c r="BK697" i="2" s="1"/>
  <c r="BE697" i="2"/>
  <c r="BD697" i="2"/>
  <c r="AC697" i="2"/>
  <c r="AH697" i="2"/>
  <c r="Y697" i="2"/>
  <c r="AG697" i="2"/>
  <c r="W697" i="2"/>
  <c r="BJ772" i="2"/>
  <c r="BE772" i="2"/>
  <c r="BD772" i="2"/>
  <c r="AC772" i="2"/>
  <c r="AH772" i="2"/>
  <c r="Y772" i="2"/>
  <c r="AG772" i="2"/>
  <c r="W772" i="2"/>
  <c r="BJ678" i="2"/>
  <c r="BE678" i="2"/>
  <c r="BD678" i="2"/>
  <c r="AC678" i="2"/>
  <c r="Y678" i="2"/>
  <c r="AH678" i="2"/>
  <c r="W678" i="2"/>
  <c r="AG678" i="2"/>
  <c r="BJ976" i="2"/>
  <c r="BE976" i="2"/>
  <c r="BD976" i="2"/>
  <c r="AC976" i="2"/>
  <c r="Y976" i="2"/>
  <c r="W976" i="2"/>
  <c r="AH976" i="2"/>
  <c r="AY976" i="2"/>
  <c r="BJ877" i="2"/>
  <c r="BE877" i="2"/>
  <c r="BD877" i="2"/>
  <c r="AC877" i="2"/>
  <c r="Y877" i="2"/>
  <c r="W877" i="2"/>
  <c r="AH877" i="2"/>
  <c r="AY877" i="2"/>
  <c r="BJ1186" i="2"/>
  <c r="BE1186" i="2"/>
  <c r="BD1186" i="2"/>
  <c r="AH1186" i="2"/>
  <c r="AC1186" i="2"/>
  <c r="Y1186" i="2"/>
  <c r="W1186" i="2"/>
  <c r="BJ1234" i="2"/>
  <c r="BE1234" i="2"/>
  <c r="AC1234" i="2"/>
  <c r="W1234" i="2"/>
  <c r="BD1234" i="2"/>
  <c r="Y1234" i="2"/>
  <c r="AH1234" i="2"/>
  <c r="AY1234" i="2"/>
  <c r="BJ1232" i="2"/>
  <c r="BK1232" i="2" s="1"/>
  <c r="BE1232" i="2"/>
  <c r="BD1232" i="2"/>
  <c r="AC1232" i="2"/>
  <c r="Y1232" i="2"/>
  <c r="W1232" i="2"/>
  <c r="AH1232" i="2"/>
  <c r="AY1232" i="2"/>
  <c r="AY7" i="2"/>
  <c r="AG1178" i="2"/>
  <c r="AG469" i="2"/>
  <c r="BJ39" i="2"/>
  <c r="BE39" i="2"/>
  <c r="BD39" i="2"/>
  <c r="AH39" i="2"/>
  <c r="AC39" i="2"/>
  <c r="Y39" i="2"/>
  <c r="W39" i="2"/>
  <c r="AG87" i="2"/>
  <c r="BJ87" i="2"/>
  <c r="BE87" i="2"/>
  <c r="BD87" i="2"/>
  <c r="AH87" i="2"/>
  <c r="AC87" i="2"/>
  <c r="W87" i="2"/>
  <c r="Y87" i="2"/>
  <c r="AG38" i="2"/>
  <c r="BJ38" i="2"/>
  <c r="BE38" i="2"/>
  <c r="BD38" i="2"/>
  <c r="AH38" i="2"/>
  <c r="AC38" i="2"/>
  <c r="Y38" i="2"/>
  <c r="W38" i="2"/>
  <c r="BJ129" i="2"/>
  <c r="BE129" i="2"/>
  <c r="BD129" i="2"/>
  <c r="AH129" i="2"/>
  <c r="AC129" i="2"/>
  <c r="W129" i="2"/>
  <c r="Y129" i="2"/>
  <c r="BJ123" i="2"/>
  <c r="BE123" i="2"/>
  <c r="BD123" i="2"/>
  <c r="AH123" i="2"/>
  <c r="AC123" i="2"/>
  <c r="Y123" i="2"/>
  <c r="W123" i="2"/>
  <c r="BJ27" i="2"/>
  <c r="BE27" i="2"/>
  <c r="BD27" i="2"/>
  <c r="AH27" i="2"/>
  <c r="AC27" i="2"/>
  <c r="W27" i="2"/>
  <c r="Y27" i="2"/>
  <c r="AG27" i="2"/>
  <c r="BJ340" i="2"/>
  <c r="BE340" i="2"/>
  <c r="BD340" i="2"/>
  <c r="AH340" i="2"/>
  <c r="AC340" i="2"/>
  <c r="Y340" i="2"/>
  <c r="W340" i="2"/>
  <c r="AY340" i="2"/>
  <c r="AG340" i="2"/>
  <c r="BJ383" i="2"/>
  <c r="BE383" i="2"/>
  <c r="BD383" i="2"/>
  <c r="AH383" i="2"/>
  <c r="AC383" i="2"/>
  <c r="W383" i="2"/>
  <c r="AG383" i="2"/>
  <c r="AY383" i="2"/>
  <c r="Y383" i="2"/>
  <c r="BJ157" i="2"/>
  <c r="BE157" i="2"/>
  <c r="BD157" i="2"/>
  <c r="AH157" i="2"/>
  <c r="AC157" i="2"/>
  <c r="W157" i="2"/>
  <c r="Y157" i="2"/>
  <c r="AG157" i="2"/>
  <c r="BJ465" i="2"/>
  <c r="BE465" i="2"/>
  <c r="BD465" i="2"/>
  <c r="AH465" i="2"/>
  <c r="AC465" i="2"/>
  <c r="Y465" i="2"/>
  <c r="W465" i="2"/>
  <c r="AG465" i="2"/>
  <c r="BJ491" i="2"/>
  <c r="BE491" i="2"/>
  <c r="BD491" i="2"/>
  <c r="AH491" i="2"/>
  <c r="AC491" i="2"/>
  <c r="W491" i="2"/>
  <c r="Y491" i="2"/>
  <c r="AG491" i="2"/>
  <c r="BJ519" i="2"/>
  <c r="BE519" i="2"/>
  <c r="BD519" i="2"/>
  <c r="AH519" i="2"/>
  <c r="AC519" i="2"/>
  <c r="Y519" i="2"/>
  <c r="W519" i="2"/>
  <c r="AG519" i="2"/>
  <c r="AG546" i="2"/>
  <c r="BJ546" i="2"/>
  <c r="BE546" i="2"/>
  <c r="BD546" i="2"/>
  <c r="AH546" i="2"/>
  <c r="AC546" i="2"/>
  <c r="Y546" i="2"/>
  <c r="W546" i="2"/>
  <c r="BJ640" i="2"/>
  <c r="BE640" i="2"/>
  <c r="BD640" i="2"/>
  <c r="AH640" i="2"/>
  <c r="AC640" i="2"/>
  <c r="W640" i="2"/>
  <c r="Y640" i="2"/>
  <c r="BJ524" i="2"/>
  <c r="BE524" i="2"/>
  <c r="BD524" i="2"/>
  <c r="AH524" i="2"/>
  <c r="AC524" i="2"/>
  <c r="Y524" i="2"/>
  <c r="W524" i="2"/>
  <c r="AY524" i="2"/>
  <c r="BJ647" i="2"/>
  <c r="BE647" i="2"/>
  <c r="BD647" i="2"/>
  <c r="AH647" i="2"/>
  <c r="AC647" i="2"/>
  <c r="Y647" i="2"/>
  <c r="W647" i="2"/>
  <c r="BJ800" i="2"/>
  <c r="BE800" i="2"/>
  <c r="BD800" i="2"/>
  <c r="AH800" i="2"/>
  <c r="AC800" i="2"/>
  <c r="Y800" i="2"/>
  <c r="W800" i="2"/>
  <c r="AY1186" i="2"/>
  <c r="AY773" i="2"/>
  <c r="AY885" i="2"/>
  <c r="AY501" i="2"/>
  <c r="AY157" i="2"/>
  <c r="AY27" i="2"/>
  <c r="AY224" i="2"/>
  <c r="AY80" i="2"/>
  <c r="AG1177" i="2"/>
  <c r="AG976" i="2"/>
  <c r="AG1127" i="2"/>
  <c r="AG579" i="2"/>
  <c r="AG155" i="2"/>
  <c r="AG115" i="2"/>
  <c r="AG61" i="2"/>
  <c r="AY436" i="2"/>
  <c r="AY239" i="2"/>
  <c r="AY111" i="2"/>
  <c r="AG883" i="2"/>
  <c r="AG845" i="2"/>
  <c r="BJ645" i="2"/>
  <c r="BE645" i="2"/>
  <c r="BD645" i="2"/>
  <c r="AC645" i="2"/>
  <c r="Y645" i="2"/>
  <c r="AH645" i="2"/>
  <c r="W645" i="2"/>
  <c r="AG645" i="2"/>
  <c r="BJ983" i="2"/>
  <c r="BE983" i="2"/>
  <c r="BD983" i="2"/>
  <c r="AC983" i="2"/>
  <c r="Y983" i="2"/>
  <c r="AH983" i="2"/>
  <c r="W983" i="2"/>
  <c r="AG983" i="2"/>
  <c r="BJ1106" i="2"/>
  <c r="BE1106" i="2"/>
  <c r="BD1106" i="2"/>
  <c r="AC1106" i="2"/>
  <c r="AH1106" i="2"/>
  <c r="W1106" i="2"/>
  <c r="Y1106" i="2"/>
  <c r="AY1106" i="2"/>
  <c r="AG1106" i="2"/>
  <c r="BJ1000" i="2"/>
  <c r="BE1000" i="2"/>
  <c r="BD1000" i="2"/>
  <c r="AC1000" i="2"/>
  <c r="AH1000" i="2"/>
  <c r="Y1000" i="2"/>
  <c r="W1000" i="2"/>
  <c r="AY1000" i="2"/>
  <c r="BJ1022" i="2"/>
  <c r="BE1022" i="2"/>
  <c r="BD1022" i="2"/>
  <c r="AH1022" i="2"/>
  <c r="AC1022" i="2"/>
  <c r="Y1022" i="2"/>
  <c r="AG1022" i="2"/>
  <c r="W1022" i="2"/>
  <c r="BJ1226" i="2"/>
  <c r="BE1226" i="2"/>
  <c r="BD1226" i="2"/>
  <c r="Y1226" i="2"/>
  <c r="AH1226" i="2"/>
  <c r="AC1226" i="2"/>
  <c r="W1226" i="2"/>
  <c r="AY1226" i="2"/>
  <c r="AY1040" i="2"/>
  <c r="AY772" i="2"/>
  <c r="AY884" i="2"/>
  <c r="AY612" i="2"/>
  <c r="AY494" i="2"/>
  <c r="AY341" i="2"/>
  <c r="AY71" i="2"/>
  <c r="AY61" i="2"/>
  <c r="AG1220" i="2"/>
  <c r="AG647" i="2"/>
  <c r="AG538" i="2"/>
  <c r="AG640" i="2"/>
  <c r="AG578" i="2"/>
  <c r="AG476" i="2"/>
  <c r="AG445" i="2"/>
  <c r="AG341" i="2"/>
  <c r="AG365" i="2"/>
  <c r="AY15" i="2"/>
  <c r="BJ15" i="2"/>
  <c r="BE15" i="2"/>
  <c r="BD15" i="2"/>
  <c r="AH15" i="2"/>
  <c r="AC15" i="2"/>
  <c r="W15" i="2"/>
  <c r="Y15" i="2"/>
  <c r="AG15" i="2"/>
  <c r="BJ43" i="2"/>
  <c r="BE43" i="2"/>
  <c r="BD43" i="2"/>
  <c r="AH43" i="2"/>
  <c r="AC43" i="2"/>
  <c r="Y43" i="2"/>
  <c r="W43" i="2"/>
  <c r="AG43" i="2"/>
  <c r="AY43" i="2"/>
  <c r="BJ18" i="2"/>
  <c r="BE18" i="2"/>
  <c r="BD18" i="2"/>
  <c r="AH18" i="2"/>
  <c r="AC18" i="2"/>
  <c r="Y18" i="2"/>
  <c r="W18" i="2"/>
  <c r="AY18" i="2"/>
  <c r="BJ128" i="2"/>
  <c r="BE128" i="2"/>
  <c r="BD128" i="2"/>
  <c r="AH128" i="2"/>
  <c r="AC128" i="2"/>
  <c r="Y128" i="2"/>
  <c r="W128" i="2"/>
  <c r="AY128" i="2"/>
  <c r="BJ47" i="2"/>
  <c r="BE47" i="2"/>
  <c r="AH47" i="2"/>
  <c r="BD47" i="2"/>
  <c r="AC47" i="2"/>
  <c r="W47" i="2"/>
  <c r="Y47" i="2"/>
  <c r="AG47" i="2"/>
  <c r="BJ90" i="2"/>
  <c r="BE90" i="2"/>
  <c r="BD90" i="2"/>
  <c r="AH90" i="2"/>
  <c r="AC90" i="2"/>
  <c r="Y90" i="2"/>
  <c r="W90" i="2"/>
  <c r="AG90" i="2"/>
  <c r="BJ185" i="2"/>
  <c r="BE185" i="2"/>
  <c r="BD185" i="2"/>
  <c r="AH185" i="2"/>
  <c r="AC185" i="2"/>
  <c r="Y185" i="2"/>
  <c r="W185" i="2"/>
  <c r="AG185" i="2"/>
  <c r="BJ22" i="2"/>
  <c r="BE22" i="2"/>
  <c r="BD22" i="2"/>
  <c r="AH22" i="2"/>
  <c r="AC22" i="2"/>
  <c r="Y22" i="2"/>
  <c r="W22" i="2"/>
  <c r="AG22" i="2"/>
  <c r="BJ131" i="2"/>
  <c r="BE131" i="2"/>
  <c r="BD131" i="2"/>
  <c r="AH131" i="2"/>
  <c r="AC131" i="2"/>
  <c r="Y131" i="2"/>
  <c r="W131" i="2"/>
  <c r="AG131" i="2"/>
  <c r="BJ367" i="2"/>
  <c r="BE367" i="2"/>
  <c r="BD367" i="2"/>
  <c r="AH367" i="2"/>
  <c r="AC367" i="2"/>
  <c r="W367" i="2"/>
  <c r="Y367" i="2"/>
  <c r="BJ64" i="2"/>
  <c r="BE64" i="2"/>
  <c r="BD64" i="2"/>
  <c r="AH64" i="2"/>
  <c r="AC64" i="2"/>
  <c r="Y64" i="2"/>
  <c r="W64" i="2"/>
  <c r="AG64" i="2"/>
  <c r="BJ391" i="2"/>
  <c r="BE391" i="2"/>
  <c r="BD391" i="2"/>
  <c r="AH391" i="2"/>
  <c r="AC391" i="2"/>
  <c r="Y391" i="2"/>
  <c r="W391" i="2"/>
  <c r="AG391" i="2"/>
  <c r="BJ152" i="2"/>
  <c r="BE152" i="2"/>
  <c r="BD152" i="2"/>
  <c r="AH152" i="2"/>
  <c r="AC152" i="2"/>
  <c r="W152" i="2"/>
  <c r="Y152" i="2"/>
  <c r="AG152" i="2"/>
  <c r="AY152" i="2"/>
  <c r="BJ385" i="2"/>
  <c r="BE385" i="2"/>
  <c r="BD385" i="2"/>
  <c r="AH385" i="2"/>
  <c r="AC385" i="2"/>
  <c r="Y385" i="2"/>
  <c r="W385" i="2"/>
  <c r="AG385" i="2"/>
  <c r="AY385" i="2"/>
  <c r="AY337" i="2"/>
  <c r="BJ337" i="2"/>
  <c r="BE337" i="2"/>
  <c r="BD337" i="2"/>
  <c r="AH337" i="2"/>
  <c r="AC337" i="2"/>
  <c r="Y337" i="2"/>
  <c r="AG337" i="2"/>
  <c r="BJ371" i="2"/>
  <c r="BE371" i="2"/>
  <c r="BD371" i="2"/>
  <c r="AH371" i="2"/>
  <c r="AC371" i="2"/>
  <c r="Y371" i="2"/>
  <c r="W371" i="2"/>
  <c r="AY371" i="2"/>
  <c r="BJ159" i="2"/>
  <c r="BE159" i="2"/>
  <c r="BD159" i="2"/>
  <c r="AH159" i="2"/>
  <c r="AC159" i="2"/>
  <c r="Y159" i="2"/>
  <c r="W159" i="2"/>
  <c r="AY159" i="2"/>
  <c r="BJ467" i="2"/>
  <c r="BE467" i="2"/>
  <c r="BD467" i="2"/>
  <c r="AH467" i="2"/>
  <c r="AC467" i="2"/>
  <c r="Y467" i="2"/>
  <c r="W467" i="2"/>
  <c r="AY467" i="2"/>
  <c r="BJ487" i="2"/>
  <c r="BE487" i="2"/>
  <c r="BD487" i="2"/>
  <c r="AH487" i="2"/>
  <c r="AC487" i="2"/>
  <c r="W487" i="2"/>
  <c r="Y487" i="2"/>
  <c r="AY487" i="2"/>
  <c r="BJ492" i="2"/>
  <c r="BE492" i="2"/>
  <c r="BD492" i="2"/>
  <c r="AH492" i="2"/>
  <c r="AC492" i="2"/>
  <c r="Y492" i="2"/>
  <c r="W492" i="2"/>
  <c r="AY492" i="2"/>
  <c r="BJ529" i="2"/>
  <c r="BE529" i="2"/>
  <c r="BD529" i="2"/>
  <c r="AH529" i="2"/>
  <c r="AC529" i="2"/>
  <c r="Y529" i="2"/>
  <c r="W529" i="2"/>
  <c r="AY529" i="2"/>
  <c r="BJ504" i="2"/>
  <c r="BE504" i="2"/>
  <c r="BD504" i="2"/>
  <c r="AH504" i="2"/>
  <c r="AC504" i="2"/>
  <c r="W504" i="2"/>
  <c r="Y504" i="2"/>
  <c r="AY504" i="2"/>
  <c r="BJ523" i="2"/>
  <c r="BE523" i="2"/>
  <c r="BD523" i="2"/>
  <c r="AH523" i="2"/>
  <c r="AC523" i="2"/>
  <c r="Y523" i="2"/>
  <c r="W523" i="2"/>
  <c r="AY523" i="2"/>
  <c r="BJ560" i="2"/>
  <c r="BE560" i="2"/>
  <c r="BD560" i="2"/>
  <c r="AH560" i="2"/>
  <c r="AC560" i="2"/>
  <c r="Y560" i="2"/>
  <c r="AY560" i="2"/>
  <c r="AG560" i="2"/>
  <c r="W560" i="2"/>
  <c r="BJ608" i="2"/>
  <c r="BE608" i="2"/>
  <c r="BD608" i="2"/>
  <c r="AH608" i="2"/>
  <c r="AC608" i="2"/>
  <c r="Y608" i="2"/>
  <c r="W608" i="2"/>
  <c r="BG608" i="2" s="1"/>
  <c r="AY608" i="2"/>
  <c r="AG608" i="2"/>
  <c r="BJ655" i="2"/>
  <c r="BE655" i="2"/>
  <c r="BD655" i="2"/>
  <c r="AH655" i="2"/>
  <c r="AC655" i="2"/>
  <c r="Y655" i="2"/>
  <c r="W655" i="2"/>
  <c r="AY655" i="2"/>
  <c r="AG655" i="2"/>
  <c r="BJ526" i="2"/>
  <c r="BE526" i="2"/>
  <c r="BD526" i="2"/>
  <c r="AH526" i="2"/>
  <c r="AC526" i="2"/>
  <c r="Y526" i="2"/>
  <c r="W526" i="2"/>
  <c r="BJ580" i="2"/>
  <c r="BK580" i="2" s="1"/>
  <c r="BE580" i="2"/>
  <c r="BD580" i="2"/>
  <c r="AH580" i="2"/>
  <c r="AC580" i="2"/>
  <c r="W580" i="2"/>
  <c r="Y580" i="2"/>
  <c r="BJ667" i="2"/>
  <c r="BK667" i="2" s="1"/>
  <c r="BE667" i="2"/>
  <c r="BD667" i="2"/>
  <c r="AH667" i="2"/>
  <c r="AC667" i="2"/>
  <c r="Y667" i="2"/>
  <c r="W667" i="2"/>
  <c r="AY667" i="2"/>
  <c r="BJ761" i="2"/>
  <c r="BE761" i="2"/>
  <c r="BD761" i="2"/>
  <c r="AH761" i="2"/>
  <c r="AC761" i="2"/>
  <c r="Y761" i="2"/>
  <c r="W761" i="2"/>
  <c r="AY761" i="2"/>
  <c r="BJ821" i="2"/>
  <c r="BE821" i="2"/>
  <c r="BD821" i="2"/>
  <c r="AH821" i="2"/>
  <c r="AC821" i="2"/>
  <c r="Y821" i="2"/>
  <c r="W821" i="2"/>
  <c r="AY821" i="2"/>
  <c r="BJ569" i="2"/>
  <c r="BE569" i="2"/>
  <c r="BD569" i="2"/>
  <c r="AH569" i="2"/>
  <c r="AC569" i="2"/>
  <c r="Y569" i="2"/>
  <c r="W569" i="2"/>
  <c r="AY569" i="2"/>
  <c r="BJ776" i="2"/>
  <c r="BE776" i="2"/>
  <c r="BD776" i="2"/>
  <c r="AH776" i="2"/>
  <c r="AC776" i="2"/>
  <c r="Y776" i="2"/>
  <c r="AY776" i="2"/>
  <c r="BJ815" i="2"/>
  <c r="BE815" i="2"/>
  <c r="BD815" i="2"/>
  <c r="AH815" i="2"/>
  <c r="AC815" i="2"/>
  <c r="Y815" i="2"/>
  <c r="W815" i="2"/>
  <c r="AY815" i="2"/>
  <c r="BJ1026" i="2"/>
  <c r="BE1026" i="2"/>
  <c r="BD1026" i="2"/>
  <c r="AH1026" i="2"/>
  <c r="AC1026" i="2"/>
  <c r="Y1026" i="2"/>
  <c r="W1026" i="2"/>
  <c r="AY1026" i="2"/>
  <c r="BJ904" i="2"/>
  <c r="BE904" i="2"/>
  <c r="BD904" i="2"/>
  <c r="AH904" i="2"/>
  <c r="AC904" i="2"/>
  <c r="Y904" i="2"/>
  <c r="W904" i="2"/>
  <c r="AY904" i="2"/>
  <c r="BJ820" i="2"/>
  <c r="BE820" i="2"/>
  <c r="BD820" i="2"/>
  <c r="AH820" i="2"/>
  <c r="AC820" i="2"/>
  <c r="Y820" i="2"/>
  <c r="W820" i="2"/>
  <c r="AY820" i="2"/>
  <c r="BJ975" i="2"/>
  <c r="BE975" i="2"/>
  <c r="BD975" i="2"/>
  <c r="AH975" i="2"/>
  <c r="AC975" i="2"/>
  <c r="Y975" i="2"/>
  <c r="W975" i="2"/>
  <c r="AG975" i="2"/>
  <c r="BJ1071" i="2"/>
  <c r="BE1071" i="2"/>
  <c r="BD1071" i="2"/>
  <c r="AH1071" i="2"/>
  <c r="AC1071" i="2"/>
  <c r="Y1071" i="2"/>
  <c r="W1071" i="2"/>
  <c r="AG1071" i="2"/>
  <c r="BJ1159" i="2"/>
  <c r="BE1159" i="2"/>
  <c r="BD1159" i="2"/>
  <c r="AH1159" i="2"/>
  <c r="AC1159" i="2"/>
  <c r="Y1159" i="2"/>
  <c r="W1159" i="2"/>
  <c r="BJ899" i="2"/>
  <c r="BE899" i="2"/>
  <c r="BD899" i="2"/>
  <c r="AH899" i="2"/>
  <c r="AC899" i="2"/>
  <c r="Y899" i="2"/>
  <c r="W899" i="2"/>
  <c r="BJ981" i="2"/>
  <c r="BE981" i="2"/>
  <c r="BD981" i="2"/>
  <c r="AH981" i="2"/>
  <c r="AC981" i="2"/>
  <c r="Y981" i="2"/>
  <c r="W981" i="2"/>
  <c r="BG981" i="2" s="1"/>
  <c r="BJ1006" i="2"/>
  <c r="BE1006" i="2"/>
  <c r="BD1006" i="2"/>
  <c r="AH1006" i="2"/>
  <c r="AC1006" i="2"/>
  <c r="Y1006" i="2"/>
  <c r="W1006" i="2"/>
  <c r="BJ1155" i="2"/>
  <c r="BE1155" i="2"/>
  <c r="BD1155" i="2"/>
  <c r="AH1155" i="2"/>
  <c r="Y1155" i="2"/>
  <c r="W1155" i="2"/>
  <c r="AC1155" i="2"/>
  <c r="AY1155" i="2"/>
  <c r="BJ1007" i="2"/>
  <c r="BE1007" i="2"/>
  <c r="BD1007" i="2"/>
  <c r="AH1007" i="2"/>
  <c r="AC1007" i="2"/>
  <c r="W1007" i="2"/>
  <c r="BH1007" i="2" s="1"/>
  <c r="AY1007" i="2"/>
  <c r="BJ1141" i="2"/>
  <c r="BE1141" i="2"/>
  <c r="BD1141" i="2"/>
  <c r="AH1141" i="2"/>
  <c r="AC1141" i="2"/>
  <c r="W1141" i="2"/>
  <c r="Y1141" i="2"/>
  <c r="AG1141" i="2"/>
  <c r="BJ1162" i="2"/>
  <c r="BE1162" i="2"/>
  <c r="BD1162" i="2"/>
  <c r="AH1162" i="2"/>
  <c r="AC1162" i="2"/>
  <c r="Y1162" i="2"/>
  <c r="W1162" i="2"/>
  <c r="AG1162" i="2"/>
  <c r="BJ1211" i="2"/>
  <c r="BE1211" i="2"/>
  <c r="BD1211" i="2"/>
  <c r="AH1211" i="2"/>
  <c r="AC1211" i="2"/>
  <c r="Y1211" i="2"/>
  <c r="W1211" i="2"/>
  <c r="AY1211" i="2"/>
  <c r="BJ1143" i="2"/>
  <c r="BE1143" i="2"/>
  <c r="BD1143" i="2"/>
  <c r="AH1143" i="2"/>
  <c r="AC1143" i="2"/>
  <c r="Y1143" i="2"/>
  <c r="W1143" i="2"/>
  <c r="BG1143" i="2" s="1"/>
  <c r="AY1143" i="2"/>
  <c r="BJ1208" i="2"/>
  <c r="BE1208" i="2"/>
  <c r="BD1208" i="2"/>
  <c r="AH1208" i="2"/>
  <c r="AC1208" i="2"/>
  <c r="Y1208" i="2"/>
  <c r="AY1208" i="2"/>
  <c r="W1208" i="2"/>
  <c r="BJ798" i="2"/>
  <c r="BE798" i="2"/>
  <c r="BD798" i="2"/>
  <c r="AH798" i="2"/>
  <c r="AC798" i="2"/>
  <c r="W798" i="2"/>
  <c r="Y798" i="2"/>
  <c r="AY798" i="2"/>
  <c r="BJ1237" i="2"/>
  <c r="BE1237" i="2"/>
  <c r="BD1237" i="2"/>
  <c r="AH1237" i="2"/>
  <c r="Y1237" i="2"/>
  <c r="AC1237" i="2"/>
  <c r="W1237" i="2"/>
  <c r="AY1237" i="2"/>
  <c r="BJ1216" i="2"/>
  <c r="BK1216" i="2" s="1"/>
  <c r="BE1216" i="2"/>
  <c r="BD1216" i="2"/>
  <c r="AH1216" i="2"/>
  <c r="AC1216" i="2"/>
  <c r="W1216" i="2"/>
  <c r="Y1216" i="2"/>
  <c r="BJ30" i="2"/>
  <c r="BE30" i="2"/>
  <c r="BD30" i="2"/>
  <c r="AH30" i="2"/>
  <c r="W30" i="2"/>
  <c r="AC30" i="2"/>
  <c r="Y30" i="2"/>
  <c r="BJ84" i="2"/>
  <c r="BE84" i="2"/>
  <c r="BD84" i="2"/>
  <c r="AH84" i="2"/>
  <c r="AC84" i="2"/>
  <c r="W84" i="2"/>
  <c r="Y84" i="2"/>
  <c r="BJ46" i="2"/>
  <c r="BE46" i="2"/>
  <c r="AH46" i="2"/>
  <c r="BD46" i="2"/>
  <c r="Y46" i="2"/>
  <c r="W46" i="2"/>
  <c r="AC46" i="2"/>
  <c r="BJ8" i="2"/>
  <c r="BD8" i="2"/>
  <c r="BE8" i="2"/>
  <c r="AH8" i="2"/>
  <c r="W8" i="2"/>
  <c r="AC8" i="2"/>
  <c r="Y8" i="2"/>
  <c r="BJ67" i="2"/>
  <c r="BE67" i="2"/>
  <c r="BD67" i="2"/>
  <c r="AH67" i="2"/>
  <c r="AC67" i="2"/>
  <c r="W67" i="2"/>
  <c r="Y67" i="2"/>
  <c r="BJ117" i="2"/>
  <c r="BE117" i="2"/>
  <c r="BD117" i="2"/>
  <c r="AH117" i="2"/>
  <c r="W117" i="2"/>
  <c r="AC117" i="2"/>
  <c r="Y117" i="2"/>
  <c r="BJ232" i="2"/>
  <c r="BE232" i="2"/>
  <c r="AH232" i="2"/>
  <c r="Y232" i="2"/>
  <c r="BD232" i="2"/>
  <c r="W232" i="2"/>
  <c r="AC232" i="2"/>
  <c r="BJ72" i="2"/>
  <c r="BD72" i="2"/>
  <c r="BE72" i="2"/>
  <c r="AH72" i="2"/>
  <c r="Y72" i="2"/>
  <c r="AC72" i="2"/>
  <c r="W72" i="2"/>
  <c r="BJ238" i="2"/>
  <c r="BD238" i="2"/>
  <c r="BE238" i="2"/>
  <c r="AH238" i="2"/>
  <c r="Y238" i="2"/>
  <c r="W238" i="2"/>
  <c r="AC238" i="2"/>
  <c r="BJ411" i="2"/>
  <c r="BD411" i="2"/>
  <c r="BE411" i="2"/>
  <c r="AH411" i="2"/>
  <c r="Y411" i="2"/>
  <c r="W411" i="2"/>
  <c r="AC411" i="2"/>
  <c r="BJ126" i="2"/>
  <c r="BD126" i="2"/>
  <c r="BE126" i="2"/>
  <c r="AH126" i="2"/>
  <c r="Y126" i="2"/>
  <c r="AC126" i="2"/>
  <c r="W126" i="2"/>
  <c r="BJ419" i="2"/>
  <c r="BD419" i="2"/>
  <c r="BE419" i="2"/>
  <c r="AH419" i="2"/>
  <c r="Y419" i="2"/>
  <c r="W419" i="2"/>
  <c r="AC419" i="2"/>
  <c r="BJ359" i="2"/>
  <c r="BD359" i="2"/>
  <c r="BE359" i="2"/>
  <c r="AH359" i="2"/>
  <c r="Y359" i="2"/>
  <c r="W359" i="2"/>
  <c r="AC359" i="2"/>
  <c r="BJ439" i="2"/>
  <c r="BD439" i="2"/>
  <c r="BE439" i="2"/>
  <c r="AH439" i="2"/>
  <c r="Y439" i="2"/>
  <c r="AC439" i="2"/>
  <c r="W439" i="2"/>
  <c r="BJ414" i="2"/>
  <c r="BD414" i="2"/>
  <c r="BE414" i="2"/>
  <c r="AH414" i="2"/>
  <c r="Y414" i="2"/>
  <c r="W414" i="2"/>
  <c r="AC414" i="2"/>
  <c r="BJ455" i="2"/>
  <c r="BD455" i="2"/>
  <c r="BE455" i="2"/>
  <c r="AH455" i="2"/>
  <c r="Y455" i="2"/>
  <c r="W455" i="2"/>
  <c r="AC455" i="2"/>
  <c r="BJ452" i="2"/>
  <c r="BD452" i="2"/>
  <c r="BE452" i="2"/>
  <c r="AH452" i="2"/>
  <c r="Y452" i="2"/>
  <c r="AC452" i="2"/>
  <c r="W452" i="2"/>
  <c r="BJ160" i="2"/>
  <c r="BD160" i="2"/>
  <c r="BE160" i="2"/>
  <c r="AH160" i="2"/>
  <c r="Y160" i="2"/>
  <c r="W160" i="2"/>
  <c r="AC160" i="2"/>
  <c r="BJ161" i="2"/>
  <c r="BD161" i="2"/>
  <c r="BE161" i="2"/>
  <c r="AH161" i="2"/>
  <c r="Y161" i="2"/>
  <c r="W161" i="2"/>
  <c r="AC161" i="2"/>
  <c r="BJ507" i="2"/>
  <c r="BD507" i="2"/>
  <c r="BE507" i="2"/>
  <c r="AH507" i="2"/>
  <c r="Y507" i="2"/>
  <c r="AC507" i="2"/>
  <c r="W507" i="2"/>
  <c r="BJ571" i="2"/>
  <c r="BD571" i="2"/>
  <c r="BE571" i="2"/>
  <c r="AH571" i="2"/>
  <c r="Y571" i="2"/>
  <c r="W571" i="2"/>
  <c r="AC571" i="2"/>
  <c r="BJ512" i="2"/>
  <c r="BD512" i="2"/>
  <c r="BE512" i="2"/>
  <c r="AH512" i="2"/>
  <c r="Y512" i="2"/>
  <c r="W512" i="2"/>
  <c r="AC512" i="2"/>
  <c r="BJ541" i="2"/>
  <c r="BD541" i="2"/>
  <c r="BE541" i="2"/>
  <c r="AH541" i="2"/>
  <c r="Y541" i="2"/>
  <c r="AC541" i="2"/>
  <c r="W541" i="2"/>
  <c r="BJ574" i="2"/>
  <c r="BD574" i="2"/>
  <c r="BE574" i="2"/>
  <c r="AH574" i="2"/>
  <c r="Y574" i="2"/>
  <c r="W574" i="2"/>
  <c r="AC574" i="2"/>
  <c r="BJ613" i="2"/>
  <c r="BD613" i="2"/>
  <c r="BE613" i="2"/>
  <c r="AH613" i="2"/>
  <c r="Y613" i="2"/>
  <c r="W613" i="2"/>
  <c r="BG613" i="2" s="1"/>
  <c r="AC613" i="2"/>
  <c r="AG718" i="2"/>
  <c r="BJ718" i="2"/>
  <c r="BD718" i="2"/>
  <c r="BE718" i="2"/>
  <c r="AH718" i="2"/>
  <c r="Y718" i="2"/>
  <c r="AC718" i="2"/>
  <c r="W718" i="2"/>
  <c r="BJ548" i="2"/>
  <c r="BD548" i="2"/>
  <c r="BE548" i="2"/>
  <c r="AH548" i="2"/>
  <c r="Y548" i="2"/>
  <c r="W548" i="2"/>
  <c r="AC548" i="2"/>
  <c r="BJ615" i="2"/>
  <c r="BK615" i="2" s="1"/>
  <c r="BD615" i="2"/>
  <c r="BE615" i="2"/>
  <c r="AH615" i="2"/>
  <c r="Y615" i="2"/>
  <c r="W615" i="2"/>
  <c r="AC615" i="2"/>
  <c r="BJ675" i="2"/>
  <c r="BD675" i="2"/>
  <c r="BE675" i="2"/>
  <c r="AH675" i="2"/>
  <c r="Y675" i="2"/>
  <c r="AC675" i="2"/>
  <c r="W675" i="2"/>
  <c r="BJ782" i="2"/>
  <c r="BD782" i="2"/>
  <c r="BE782" i="2"/>
  <c r="AH782" i="2"/>
  <c r="Y782" i="2"/>
  <c r="W782" i="2"/>
  <c r="AC782" i="2"/>
  <c r="BJ935" i="2"/>
  <c r="BD935" i="2"/>
  <c r="BE935" i="2"/>
  <c r="AH935" i="2"/>
  <c r="Y935" i="2"/>
  <c r="W935" i="2"/>
  <c r="AC935" i="2"/>
  <c r="BJ651" i="2"/>
  <c r="BD651" i="2"/>
  <c r="BE651" i="2"/>
  <c r="AH651" i="2"/>
  <c r="Y651" i="2"/>
  <c r="AC651" i="2"/>
  <c r="W651" i="2"/>
  <c r="BG651" i="2" s="1"/>
  <c r="BJ781" i="2"/>
  <c r="BD781" i="2"/>
  <c r="BE781" i="2"/>
  <c r="AH781" i="2"/>
  <c r="Y781" i="2"/>
  <c r="W781" i="2"/>
  <c r="AC781" i="2"/>
  <c r="BJ967" i="2"/>
  <c r="BK967" i="2" s="1"/>
  <c r="BD967" i="2"/>
  <c r="BE967" i="2"/>
  <c r="AH967" i="2"/>
  <c r="Y967" i="2"/>
  <c r="W967" i="2"/>
  <c r="AC967" i="2"/>
  <c r="BJ1089" i="2"/>
  <c r="BD1089" i="2"/>
  <c r="BE1089" i="2"/>
  <c r="AH1089" i="2"/>
  <c r="Y1089" i="2"/>
  <c r="AC1089" i="2"/>
  <c r="W1089" i="2"/>
  <c r="BJ586" i="2"/>
  <c r="BK586" i="2" s="1"/>
  <c r="BD586" i="2"/>
  <c r="BE586" i="2"/>
  <c r="AH586" i="2"/>
  <c r="Y586" i="2"/>
  <c r="W586" i="2"/>
  <c r="AC586" i="2"/>
  <c r="BJ876" i="2"/>
  <c r="BD876" i="2"/>
  <c r="BE876" i="2"/>
  <c r="AH876" i="2"/>
  <c r="Y876" i="2"/>
  <c r="W876" i="2"/>
  <c r="AC876" i="2"/>
  <c r="BJ1010" i="2"/>
  <c r="BD1010" i="2"/>
  <c r="BE1010" i="2"/>
  <c r="AH1010" i="2"/>
  <c r="Y1010" i="2"/>
  <c r="AC1010" i="2"/>
  <c r="W1010" i="2"/>
  <c r="BJ1083" i="2"/>
  <c r="BD1083" i="2"/>
  <c r="BE1083" i="2"/>
  <c r="AH1083" i="2"/>
  <c r="Y1083" i="2"/>
  <c r="W1083" i="2"/>
  <c r="BG1083" i="2" s="1"/>
  <c r="AC1083" i="2"/>
  <c r="BJ1128" i="2"/>
  <c r="BD1128" i="2"/>
  <c r="BE1128" i="2"/>
  <c r="AH1128" i="2"/>
  <c r="Y1128" i="2"/>
  <c r="W1128" i="2"/>
  <c r="AC1128" i="2"/>
  <c r="BJ1174" i="2"/>
  <c r="BD1174" i="2"/>
  <c r="BE1174" i="2"/>
  <c r="AH1174" i="2"/>
  <c r="Y1174" i="2"/>
  <c r="AC1174" i="2"/>
  <c r="W1174" i="2"/>
  <c r="BJ966" i="2"/>
  <c r="BD966" i="2"/>
  <c r="BE966" i="2"/>
  <c r="AH966" i="2"/>
  <c r="Y966" i="2"/>
  <c r="W966" i="2"/>
  <c r="AC966" i="2"/>
  <c r="BJ996" i="2"/>
  <c r="BD996" i="2"/>
  <c r="BE996" i="2"/>
  <c r="AH996" i="2"/>
  <c r="Y996" i="2"/>
  <c r="W996" i="2"/>
  <c r="AC996" i="2"/>
  <c r="BJ1085" i="2"/>
  <c r="BD1085" i="2"/>
  <c r="BE1085" i="2"/>
  <c r="AC1085" i="2"/>
  <c r="AH1085" i="2"/>
  <c r="Y1085" i="2"/>
  <c r="W1085" i="2"/>
  <c r="BJ1202" i="2"/>
  <c r="BD1202" i="2"/>
  <c r="BE1202" i="2"/>
  <c r="AC1202" i="2"/>
  <c r="AH1202" i="2"/>
  <c r="Y1202" i="2"/>
  <c r="W1202" i="2"/>
  <c r="BJ1122" i="2"/>
  <c r="BD1122" i="2"/>
  <c r="BE1122" i="2"/>
  <c r="AC1122" i="2"/>
  <c r="AH1122" i="2"/>
  <c r="Y1122" i="2"/>
  <c r="W1122" i="2"/>
  <c r="AG604" i="2"/>
  <c r="BJ604" i="2"/>
  <c r="BD604" i="2"/>
  <c r="BE604" i="2"/>
  <c r="AC604" i="2"/>
  <c r="AH604" i="2"/>
  <c r="Y604" i="2"/>
  <c r="W604" i="2"/>
  <c r="AG1175" i="2"/>
  <c r="BJ1175" i="2"/>
  <c r="BD1175" i="2"/>
  <c r="BE1175" i="2"/>
  <c r="AC1175" i="2"/>
  <c r="AH1175" i="2"/>
  <c r="Y1175" i="2"/>
  <c r="W1175" i="2"/>
  <c r="BJ587" i="2"/>
  <c r="BE587" i="2"/>
  <c r="AC587" i="2"/>
  <c r="Y587" i="2"/>
  <c r="W587" i="2"/>
  <c r="BJ1189" i="2"/>
  <c r="BD1189" i="2"/>
  <c r="BE1189" i="2"/>
  <c r="AC1189" i="2"/>
  <c r="AH1189" i="2"/>
  <c r="Y1189" i="2"/>
  <c r="W1189" i="2"/>
  <c r="BJ1225" i="2"/>
  <c r="BD1225" i="2"/>
  <c r="BE1225" i="2"/>
  <c r="AC1225" i="2"/>
  <c r="AH1225" i="2"/>
  <c r="Y1225" i="2"/>
  <c r="W1225" i="2"/>
  <c r="BJ1214" i="2"/>
  <c r="BD1214" i="2"/>
  <c r="BE1214" i="2"/>
  <c r="AC1214" i="2"/>
  <c r="AH1214" i="2"/>
  <c r="Y1214" i="2"/>
  <c r="W1214" i="2"/>
  <c r="BG1214" i="2" s="1"/>
  <c r="BJ882" i="2"/>
  <c r="BD882" i="2"/>
  <c r="BE882" i="2"/>
  <c r="AC882" i="2"/>
  <c r="AH882" i="2"/>
  <c r="Y882" i="2"/>
  <c r="W882" i="2"/>
  <c r="BJ1144" i="2"/>
  <c r="BK1144" i="2" s="1"/>
  <c r="BD1144" i="2"/>
  <c r="BE1144" i="2"/>
  <c r="AC1144" i="2"/>
  <c r="AH1144" i="2"/>
  <c r="Y1144" i="2"/>
  <c r="W1144" i="2"/>
  <c r="BJ77" i="2"/>
  <c r="BD77" i="2"/>
  <c r="BE77" i="2"/>
  <c r="AC77" i="2"/>
  <c r="AH77" i="2"/>
  <c r="AG77" i="2"/>
  <c r="Y77" i="2"/>
  <c r="W77" i="2"/>
  <c r="BJ106" i="2"/>
  <c r="BD106" i="2"/>
  <c r="BE106" i="2"/>
  <c r="AC106" i="2"/>
  <c r="AH106" i="2"/>
  <c r="AG106" i="2"/>
  <c r="Y106" i="2"/>
  <c r="W106" i="2"/>
  <c r="BJ139" i="2"/>
  <c r="BD139" i="2"/>
  <c r="BE139" i="2"/>
  <c r="AC139" i="2"/>
  <c r="AH139" i="2"/>
  <c r="AG139" i="2"/>
  <c r="Y139" i="2"/>
  <c r="W139" i="2"/>
  <c r="BJ165" i="2"/>
  <c r="BD165" i="2"/>
  <c r="BE165" i="2"/>
  <c r="AC165" i="2"/>
  <c r="AH165" i="2"/>
  <c r="AG165" i="2"/>
  <c r="Y165" i="2"/>
  <c r="W165" i="2"/>
  <c r="BJ177" i="2"/>
  <c r="BE177" i="2"/>
  <c r="BD177" i="2"/>
  <c r="AC177" i="2"/>
  <c r="AH177" i="2"/>
  <c r="AG177" i="2"/>
  <c r="Y177" i="2"/>
  <c r="W177" i="2"/>
  <c r="BJ190" i="2"/>
  <c r="BE190" i="2"/>
  <c r="BD190" i="2"/>
  <c r="AC190" i="2"/>
  <c r="AH190" i="2"/>
  <c r="AG190" i="2"/>
  <c r="Y190" i="2"/>
  <c r="W190" i="2"/>
  <c r="BJ202" i="2"/>
  <c r="BE202" i="2"/>
  <c r="BD202" i="2"/>
  <c r="AC202" i="2"/>
  <c r="AH202" i="2"/>
  <c r="AG202" i="2"/>
  <c r="Y202" i="2"/>
  <c r="W202" i="2"/>
  <c r="BJ217" i="2"/>
  <c r="BD217" i="2"/>
  <c r="BE217" i="2"/>
  <c r="AG217" i="2"/>
  <c r="AC217" i="2"/>
  <c r="AH217" i="2"/>
  <c r="Y217" i="2"/>
  <c r="W217" i="2"/>
  <c r="BJ240" i="2"/>
  <c r="BE240" i="2"/>
  <c r="BD240" i="2"/>
  <c r="AG240" i="2"/>
  <c r="AC240" i="2"/>
  <c r="AH240" i="2"/>
  <c r="Y240" i="2"/>
  <c r="W240" i="2"/>
  <c r="BJ252" i="2"/>
  <c r="BE252" i="2"/>
  <c r="BD252" i="2"/>
  <c r="AG252" i="2"/>
  <c r="AC252" i="2"/>
  <c r="AH252" i="2"/>
  <c r="Y252" i="2"/>
  <c r="W252" i="2"/>
  <c r="BJ264" i="2"/>
  <c r="BE264" i="2"/>
  <c r="BD264" i="2"/>
  <c r="AG264" i="2"/>
  <c r="AC264" i="2"/>
  <c r="AH264" i="2"/>
  <c r="Y264" i="2"/>
  <c r="W264" i="2"/>
  <c r="BJ280" i="2"/>
  <c r="BD280" i="2"/>
  <c r="BE280" i="2"/>
  <c r="AG280" i="2"/>
  <c r="AC280" i="2"/>
  <c r="AH280" i="2"/>
  <c r="Y280" i="2"/>
  <c r="W280" i="2"/>
  <c r="BJ295" i="2"/>
  <c r="BE295" i="2"/>
  <c r="BD295" i="2"/>
  <c r="AG295" i="2"/>
  <c r="AC295" i="2"/>
  <c r="AH295" i="2"/>
  <c r="Y295" i="2"/>
  <c r="W295" i="2"/>
  <c r="BJ307" i="2"/>
  <c r="BE307" i="2"/>
  <c r="BD307" i="2"/>
  <c r="AG307" i="2"/>
  <c r="AC307" i="2"/>
  <c r="AH307" i="2"/>
  <c r="Y307" i="2"/>
  <c r="W307" i="2"/>
  <c r="BJ319" i="2"/>
  <c r="BD319" i="2"/>
  <c r="BE319" i="2"/>
  <c r="AG319" i="2"/>
  <c r="AC319" i="2"/>
  <c r="AH319" i="2"/>
  <c r="Y319" i="2"/>
  <c r="W319" i="2"/>
  <c r="BJ331" i="2"/>
  <c r="BE331" i="2"/>
  <c r="BD331" i="2"/>
  <c r="AC331" i="2"/>
  <c r="AG331" i="2"/>
  <c r="AH331" i="2"/>
  <c r="Y331" i="2"/>
  <c r="W331" i="2"/>
  <c r="BJ347" i="2"/>
  <c r="BE347" i="2"/>
  <c r="BD347" i="2"/>
  <c r="AC347" i="2"/>
  <c r="AG347" i="2"/>
  <c r="AH347" i="2"/>
  <c r="Y347" i="2"/>
  <c r="W347" i="2"/>
  <c r="BJ360" i="2"/>
  <c r="BE360" i="2"/>
  <c r="BD360" i="2"/>
  <c r="AC360" i="2"/>
  <c r="AH360" i="2"/>
  <c r="Y360" i="2"/>
  <c r="W360" i="2"/>
  <c r="BJ400" i="2"/>
  <c r="BE400" i="2"/>
  <c r="BD400" i="2"/>
  <c r="AC400" i="2"/>
  <c r="AH400" i="2"/>
  <c r="Y400" i="2"/>
  <c r="AG400" i="2"/>
  <c r="W400" i="2"/>
  <c r="BJ426" i="2"/>
  <c r="BD426" i="2"/>
  <c r="BE426" i="2"/>
  <c r="AC426" i="2"/>
  <c r="AH426" i="2"/>
  <c r="AG426" i="2"/>
  <c r="Y426" i="2"/>
  <c r="W426" i="2"/>
  <c r="BJ478" i="2"/>
  <c r="BD478" i="2"/>
  <c r="BE478" i="2"/>
  <c r="AC478" i="2"/>
  <c r="AH478" i="2"/>
  <c r="Y478" i="2"/>
  <c r="AG478" i="2"/>
  <c r="W478" i="2"/>
  <c r="BJ554" i="2"/>
  <c r="BE554" i="2"/>
  <c r="BD554" i="2"/>
  <c r="AC554" i="2"/>
  <c r="AH554" i="2"/>
  <c r="Y554" i="2"/>
  <c r="W554" i="2"/>
  <c r="BJ593" i="2"/>
  <c r="BE593" i="2"/>
  <c r="BD593" i="2"/>
  <c r="AC593" i="2"/>
  <c r="AH593" i="2"/>
  <c r="Y593" i="2"/>
  <c r="AG593" i="2"/>
  <c r="W593" i="2"/>
  <c r="BJ618" i="2"/>
  <c r="BE618" i="2"/>
  <c r="BD618" i="2"/>
  <c r="AC618" i="2"/>
  <c r="Y618" i="2"/>
  <c r="AH618" i="2"/>
  <c r="W618" i="2"/>
  <c r="AY633" i="2"/>
  <c r="BJ633" i="2"/>
  <c r="BE633" i="2"/>
  <c r="BD633" i="2"/>
  <c r="AC633" i="2"/>
  <c r="AG633" i="2"/>
  <c r="Y633" i="2"/>
  <c r="AH633" i="2"/>
  <c r="W633" i="2"/>
  <c r="BJ659" i="2"/>
  <c r="BE659" i="2"/>
  <c r="BD659" i="2"/>
  <c r="AC659" i="2"/>
  <c r="AG659" i="2"/>
  <c r="Y659" i="2"/>
  <c r="AH659" i="2"/>
  <c r="W659" i="2"/>
  <c r="BJ685" i="2"/>
  <c r="BE685" i="2"/>
  <c r="BD685" i="2"/>
  <c r="AC685" i="2"/>
  <c r="AH685" i="2"/>
  <c r="AG685" i="2"/>
  <c r="Y685" i="2"/>
  <c r="W685" i="2"/>
  <c r="BJ702" i="2"/>
  <c r="BE702" i="2"/>
  <c r="BD702" i="2"/>
  <c r="AC702" i="2"/>
  <c r="AH702" i="2"/>
  <c r="AG702" i="2"/>
  <c r="Y702" i="2"/>
  <c r="W702" i="2"/>
  <c r="BJ714" i="2"/>
  <c r="BE714" i="2"/>
  <c r="BD714" i="2"/>
  <c r="AC714" i="2"/>
  <c r="AH714" i="2"/>
  <c r="AG714" i="2"/>
  <c r="Y714" i="2"/>
  <c r="W714" i="2"/>
  <c r="BJ729" i="2"/>
  <c r="BE729" i="2"/>
  <c r="BD729" i="2"/>
  <c r="AC729" i="2"/>
  <c r="AG729" i="2"/>
  <c r="AH729" i="2"/>
  <c r="Y729" i="2"/>
  <c r="W729" i="2"/>
  <c r="BJ741" i="2"/>
  <c r="BE741" i="2"/>
  <c r="BD741" i="2"/>
  <c r="AC741" i="2"/>
  <c r="AG741" i="2"/>
  <c r="Y741" i="2"/>
  <c r="AH741" i="2"/>
  <c r="W741" i="2"/>
  <c r="BJ753" i="2"/>
  <c r="BE753" i="2"/>
  <c r="BD753" i="2"/>
  <c r="AC753" i="2"/>
  <c r="AG753" i="2"/>
  <c r="Y753" i="2"/>
  <c r="W753" i="2"/>
  <c r="AH753" i="2"/>
  <c r="BJ767" i="2"/>
  <c r="BE767" i="2"/>
  <c r="BD767" i="2"/>
  <c r="AC767" i="2"/>
  <c r="AG767" i="2"/>
  <c r="AH767" i="2"/>
  <c r="Y767" i="2"/>
  <c r="W767" i="2"/>
  <c r="BJ806" i="2"/>
  <c r="BE806" i="2"/>
  <c r="BD806" i="2"/>
  <c r="AH806" i="2"/>
  <c r="AC806" i="2"/>
  <c r="Y806" i="2"/>
  <c r="W806" i="2"/>
  <c r="BJ834" i="2"/>
  <c r="BE834" i="2"/>
  <c r="BD834" i="2"/>
  <c r="AC834" i="2"/>
  <c r="AH834" i="2"/>
  <c r="Y834" i="2"/>
  <c r="W834" i="2"/>
  <c r="BJ846" i="2"/>
  <c r="BE846" i="2"/>
  <c r="BD846" i="2"/>
  <c r="AC846" i="2"/>
  <c r="AH846" i="2"/>
  <c r="Y846" i="2"/>
  <c r="W846" i="2"/>
  <c r="BJ858" i="2"/>
  <c r="BE858" i="2"/>
  <c r="BD858" i="2"/>
  <c r="AH858" i="2"/>
  <c r="AC858" i="2"/>
  <c r="Y858" i="2"/>
  <c r="W858" i="2"/>
  <c r="BJ871" i="2"/>
  <c r="BE871" i="2"/>
  <c r="BD871" i="2"/>
  <c r="AC871" i="2"/>
  <c r="AH871" i="2"/>
  <c r="Y871" i="2"/>
  <c r="W871" i="2"/>
  <c r="BJ909" i="2"/>
  <c r="BE909" i="2"/>
  <c r="BD909" i="2"/>
  <c r="AC909" i="2"/>
  <c r="AH909" i="2"/>
  <c r="Y909" i="2"/>
  <c r="W909" i="2"/>
  <c r="AG909" i="2"/>
  <c r="BJ923" i="2"/>
  <c r="BE923" i="2"/>
  <c r="BD923" i="2"/>
  <c r="AH923" i="2"/>
  <c r="AC923" i="2"/>
  <c r="Y923" i="2"/>
  <c r="W923" i="2"/>
  <c r="BJ942" i="2"/>
  <c r="BE942" i="2"/>
  <c r="BD942" i="2"/>
  <c r="AC942" i="2"/>
  <c r="AH942" i="2"/>
  <c r="Y942" i="2"/>
  <c r="W942" i="2"/>
  <c r="AG958" i="2"/>
  <c r="BJ958" i="2"/>
  <c r="BE958" i="2"/>
  <c r="BD958" i="2"/>
  <c r="AC958" i="2"/>
  <c r="AH958" i="2"/>
  <c r="Y958" i="2"/>
  <c r="W958" i="2"/>
  <c r="BJ1012" i="2"/>
  <c r="BE1012" i="2"/>
  <c r="BD1012" i="2"/>
  <c r="AH1012" i="2"/>
  <c r="AC1012" i="2"/>
  <c r="Y1012" i="2"/>
  <c r="W1012" i="2"/>
  <c r="BJ1032" i="2"/>
  <c r="BE1032" i="2"/>
  <c r="BD1032" i="2"/>
  <c r="AC1032" i="2"/>
  <c r="AH1032" i="2"/>
  <c r="Y1032" i="2"/>
  <c r="W1032" i="2"/>
  <c r="BJ1047" i="2"/>
  <c r="BE1047" i="2"/>
  <c r="BD1047" i="2"/>
  <c r="AY1047" i="2"/>
  <c r="AC1047" i="2"/>
  <c r="AH1047" i="2"/>
  <c r="Y1047" i="2"/>
  <c r="AG1047" i="2"/>
  <c r="W1047" i="2"/>
  <c r="BJ1060" i="2"/>
  <c r="BE1060" i="2"/>
  <c r="BD1060" i="2"/>
  <c r="AY1060" i="2"/>
  <c r="AH1060" i="2"/>
  <c r="AC1060" i="2"/>
  <c r="Y1060" i="2"/>
  <c r="W1060" i="2"/>
  <c r="AG1060" i="2"/>
  <c r="BJ1091" i="2"/>
  <c r="BE1091" i="2"/>
  <c r="BD1091" i="2"/>
  <c r="AY1091" i="2"/>
  <c r="AC1091" i="2"/>
  <c r="AH1091" i="2"/>
  <c r="Y1091" i="2"/>
  <c r="W1091" i="2"/>
  <c r="AG1091" i="2"/>
  <c r="BJ1104" i="2"/>
  <c r="BE1104" i="2"/>
  <c r="BD1104" i="2"/>
  <c r="AY1104" i="2"/>
  <c r="AC1104" i="2"/>
  <c r="AH1104" i="2"/>
  <c r="Y1104" i="2"/>
  <c r="AG1104" i="2"/>
  <c r="W1104" i="2"/>
  <c r="BJ1129" i="2"/>
  <c r="BE1129" i="2"/>
  <c r="BD1129" i="2"/>
  <c r="AY1129" i="2"/>
  <c r="AH1129" i="2"/>
  <c r="AC1129" i="2"/>
  <c r="Y1129" i="2"/>
  <c r="W1129" i="2"/>
  <c r="AG1129" i="2"/>
  <c r="BJ2" i="2"/>
  <c r="BD2" i="2"/>
  <c r="Y2" i="2"/>
  <c r="AC2" i="2"/>
  <c r="W2" i="2"/>
  <c r="BJ31" i="2"/>
  <c r="BE31" i="2"/>
  <c r="BD31" i="2"/>
  <c r="AH31" i="2"/>
  <c r="Y31" i="2"/>
  <c r="AC31" i="2"/>
  <c r="W31" i="2"/>
  <c r="BJ85" i="2"/>
  <c r="BE85" i="2"/>
  <c r="AH85" i="2"/>
  <c r="Y85" i="2"/>
  <c r="BD85" i="2"/>
  <c r="AC85" i="2"/>
  <c r="W85" i="2"/>
  <c r="BJ59" i="2"/>
  <c r="BE59" i="2"/>
  <c r="BD59" i="2"/>
  <c r="AH59" i="2"/>
  <c r="Y59" i="2"/>
  <c r="AC59" i="2"/>
  <c r="W59" i="2"/>
  <c r="BJ9" i="2"/>
  <c r="BE9" i="2"/>
  <c r="BD9" i="2"/>
  <c r="AH9" i="2"/>
  <c r="Y9" i="2"/>
  <c r="AC9" i="2"/>
  <c r="W9" i="2"/>
  <c r="BJ69" i="2"/>
  <c r="BE69" i="2"/>
  <c r="BD69" i="2"/>
  <c r="AH69" i="2"/>
  <c r="Y69" i="2"/>
  <c r="AC69" i="2"/>
  <c r="W69" i="2"/>
  <c r="BJ118" i="2"/>
  <c r="BE118" i="2"/>
  <c r="AH118" i="2"/>
  <c r="Y118" i="2"/>
  <c r="AC118" i="2"/>
  <c r="BD118" i="2"/>
  <c r="W118" i="2"/>
  <c r="BJ234" i="2"/>
  <c r="BE234" i="2"/>
  <c r="BD234" i="2"/>
  <c r="AH234" i="2"/>
  <c r="Y234" i="2"/>
  <c r="AC234" i="2"/>
  <c r="W234" i="2"/>
  <c r="BJ82" i="2"/>
  <c r="BE82" i="2"/>
  <c r="BD82" i="2"/>
  <c r="AH82" i="2"/>
  <c r="Y82" i="2"/>
  <c r="AC82" i="2"/>
  <c r="W82" i="2"/>
  <c r="BJ282" i="2"/>
  <c r="BE282" i="2"/>
  <c r="BD282" i="2"/>
  <c r="AH282" i="2"/>
  <c r="Y282" i="2"/>
  <c r="AC282" i="2"/>
  <c r="W282" i="2"/>
  <c r="AG402" i="2"/>
  <c r="BJ402" i="2"/>
  <c r="BE402" i="2"/>
  <c r="BD402" i="2"/>
  <c r="AH402" i="2"/>
  <c r="Y402" i="2"/>
  <c r="AC402" i="2"/>
  <c r="W402" i="2"/>
  <c r="BJ151" i="2"/>
  <c r="BE151" i="2"/>
  <c r="BD151" i="2"/>
  <c r="AH151" i="2"/>
  <c r="Y151" i="2"/>
  <c r="AC151" i="2"/>
  <c r="W151" i="2"/>
  <c r="BJ420" i="2"/>
  <c r="BE420" i="2"/>
  <c r="BD420" i="2"/>
  <c r="AH420" i="2"/>
  <c r="Y420" i="2"/>
  <c r="AC420" i="2"/>
  <c r="W420" i="2"/>
  <c r="BJ363" i="2"/>
  <c r="BE363" i="2"/>
  <c r="BD363" i="2"/>
  <c r="AH363" i="2"/>
  <c r="Y363" i="2"/>
  <c r="AC363" i="2"/>
  <c r="W363" i="2"/>
  <c r="BJ440" i="2"/>
  <c r="BE440" i="2"/>
  <c r="BD440" i="2"/>
  <c r="AH440" i="2"/>
  <c r="Y440" i="2"/>
  <c r="AC440" i="2"/>
  <c r="W440" i="2"/>
  <c r="BJ433" i="2"/>
  <c r="BE433" i="2"/>
  <c r="BD433" i="2"/>
  <c r="AH433" i="2"/>
  <c r="Y433" i="2"/>
  <c r="AC433" i="2"/>
  <c r="W433" i="2"/>
  <c r="BJ456" i="2"/>
  <c r="BE456" i="2"/>
  <c r="BD456" i="2"/>
  <c r="AH456" i="2"/>
  <c r="Y456" i="2"/>
  <c r="AC456" i="2"/>
  <c r="W456" i="2"/>
  <c r="BJ461" i="2"/>
  <c r="BE461" i="2"/>
  <c r="BD461" i="2"/>
  <c r="AH461" i="2"/>
  <c r="Y461" i="2"/>
  <c r="AC461" i="2"/>
  <c r="W461" i="2"/>
  <c r="BJ446" i="2"/>
  <c r="BE446" i="2"/>
  <c r="BD446" i="2"/>
  <c r="AH446" i="2"/>
  <c r="Y446" i="2"/>
  <c r="AC446" i="2"/>
  <c r="W446" i="2"/>
  <c r="BJ162" i="2"/>
  <c r="BE162" i="2"/>
  <c r="BD162" i="2"/>
  <c r="AH162" i="2"/>
  <c r="Y162" i="2"/>
  <c r="AC162" i="2"/>
  <c r="W162" i="2"/>
  <c r="BJ511" i="2"/>
  <c r="BE511" i="2"/>
  <c r="BD511" i="2"/>
  <c r="AH511" i="2"/>
  <c r="Y511" i="2"/>
  <c r="AC511" i="2"/>
  <c r="W511" i="2"/>
  <c r="BJ577" i="2"/>
  <c r="BE577" i="2"/>
  <c r="BD577" i="2"/>
  <c r="AH577" i="2"/>
  <c r="Y577" i="2"/>
  <c r="AC577" i="2"/>
  <c r="W577" i="2"/>
  <c r="BJ515" i="2"/>
  <c r="BE515" i="2"/>
  <c r="BD515" i="2"/>
  <c r="AH515" i="2"/>
  <c r="Y515" i="2"/>
  <c r="AC515" i="2"/>
  <c r="W515" i="2"/>
  <c r="BJ542" i="2"/>
  <c r="BE542" i="2"/>
  <c r="BD542" i="2"/>
  <c r="AH542" i="2"/>
  <c r="Y542" i="2"/>
  <c r="AC542" i="2"/>
  <c r="W542" i="2"/>
  <c r="BJ575" i="2"/>
  <c r="BE575" i="2"/>
  <c r="BD575" i="2"/>
  <c r="AH575" i="2"/>
  <c r="Y575" i="2"/>
  <c r="AC575" i="2"/>
  <c r="W575" i="2"/>
  <c r="BJ614" i="2"/>
  <c r="BE614" i="2"/>
  <c r="BD614" i="2"/>
  <c r="AH614" i="2"/>
  <c r="Y614" i="2"/>
  <c r="AC614" i="2"/>
  <c r="W614" i="2"/>
  <c r="BJ510" i="2"/>
  <c r="BE510" i="2"/>
  <c r="BD510" i="2"/>
  <c r="AH510" i="2"/>
  <c r="Y510" i="2"/>
  <c r="AC510" i="2"/>
  <c r="W510" i="2"/>
  <c r="BG510" i="2" s="1"/>
  <c r="AG549" i="2"/>
  <c r="BJ549" i="2"/>
  <c r="BE549" i="2"/>
  <c r="BD549" i="2"/>
  <c r="AH549" i="2"/>
  <c r="Y549" i="2"/>
  <c r="AC549" i="2"/>
  <c r="W549" i="2"/>
  <c r="BJ641" i="2"/>
  <c r="BE641" i="2"/>
  <c r="BD641" i="2"/>
  <c r="AH641" i="2"/>
  <c r="Y641" i="2"/>
  <c r="AC641" i="2"/>
  <c r="W641" i="2"/>
  <c r="BJ695" i="2"/>
  <c r="BK695" i="2" s="1"/>
  <c r="BE695" i="2"/>
  <c r="BD695" i="2"/>
  <c r="AH695" i="2"/>
  <c r="Y695" i="2"/>
  <c r="AC695" i="2"/>
  <c r="W695" i="2"/>
  <c r="BJ783" i="2"/>
  <c r="BE783" i="2"/>
  <c r="BD783" i="2"/>
  <c r="AH783" i="2"/>
  <c r="Y783" i="2"/>
  <c r="AC783" i="2"/>
  <c r="W783" i="2"/>
  <c r="BJ936" i="2"/>
  <c r="BE936" i="2"/>
  <c r="BD936" i="2"/>
  <c r="AH936" i="2"/>
  <c r="Y936" i="2"/>
  <c r="AC936" i="2"/>
  <c r="W936" i="2"/>
  <c r="BJ652" i="2"/>
  <c r="BE652" i="2"/>
  <c r="BD652" i="2"/>
  <c r="AH652" i="2"/>
  <c r="Y652" i="2"/>
  <c r="AC652" i="2"/>
  <c r="W652" i="2"/>
  <c r="BJ784" i="2"/>
  <c r="BE784" i="2"/>
  <c r="BD784" i="2"/>
  <c r="AH784" i="2"/>
  <c r="Y784" i="2"/>
  <c r="AC784" i="2"/>
  <c r="W784" i="2"/>
  <c r="BJ970" i="2"/>
  <c r="BK970" i="2" s="1"/>
  <c r="BE970" i="2"/>
  <c r="BD970" i="2"/>
  <c r="AH970" i="2"/>
  <c r="Y970" i="2"/>
  <c r="AC970" i="2"/>
  <c r="W970" i="2"/>
  <c r="BJ1090" i="2"/>
  <c r="BE1090" i="2"/>
  <c r="BD1090" i="2"/>
  <c r="AH1090" i="2"/>
  <c r="Y1090" i="2"/>
  <c r="AC1090" i="2"/>
  <c r="W1090" i="2"/>
  <c r="BJ676" i="2"/>
  <c r="BE676" i="2"/>
  <c r="BD676" i="2"/>
  <c r="AH676" i="2"/>
  <c r="Y676" i="2"/>
  <c r="AC676" i="2"/>
  <c r="W676" i="2"/>
  <c r="AY911" i="2"/>
  <c r="BJ911" i="2"/>
  <c r="BE911" i="2"/>
  <c r="BD911" i="2"/>
  <c r="AH911" i="2"/>
  <c r="Y911" i="2"/>
  <c r="AC911" i="2"/>
  <c r="W911" i="2"/>
  <c r="BJ1038" i="2"/>
  <c r="BE1038" i="2"/>
  <c r="BD1038" i="2"/>
  <c r="AH1038" i="2"/>
  <c r="Y1038" i="2"/>
  <c r="AC1038" i="2"/>
  <c r="W1038" i="2"/>
  <c r="BJ1087" i="2"/>
  <c r="BE1087" i="2"/>
  <c r="BD1087" i="2"/>
  <c r="AH1087" i="2"/>
  <c r="Y1087" i="2"/>
  <c r="AC1087" i="2"/>
  <c r="W1087" i="2"/>
  <c r="BJ1136" i="2"/>
  <c r="BE1136" i="2"/>
  <c r="BD1136" i="2"/>
  <c r="AH1136" i="2"/>
  <c r="Y1136" i="2"/>
  <c r="AC1136" i="2"/>
  <c r="W1136" i="2"/>
  <c r="BJ1171" i="2"/>
  <c r="BE1171" i="2"/>
  <c r="BD1171" i="2"/>
  <c r="AH1171" i="2"/>
  <c r="Y1171" i="2"/>
  <c r="AC1171" i="2"/>
  <c r="W1171" i="2"/>
  <c r="BJ969" i="2"/>
  <c r="BE969" i="2"/>
  <c r="BD969" i="2"/>
  <c r="AH969" i="2"/>
  <c r="Y969" i="2"/>
  <c r="AC969" i="2"/>
  <c r="W969" i="2"/>
  <c r="BJ997" i="2"/>
  <c r="BE997" i="2"/>
  <c r="BD997" i="2"/>
  <c r="AH997" i="2"/>
  <c r="Y997" i="2"/>
  <c r="AC997" i="2"/>
  <c r="W997" i="2"/>
  <c r="BJ1111" i="2"/>
  <c r="BE1111" i="2"/>
  <c r="BD1111" i="2"/>
  <c r="AH1111" i="2"/>
  <c r="Y1111" i="2"/>
  <c r="AC1111" i="2"/>
  <c r="W1111" i="2"/>
  <c r="BJ827" i="2"/>
  <c r="BE827" i="2"/>
  <c r="BD827" i="2"/>
  <c r="AH827" i="2"/>
  <c r="Y827" i="2"/>
  <c r="AC827" i="2"/>
  <c r="W827" i="2"/>
  <c r="BG827" i="2" s="1"/>
  <c r="BJ1161" i="2"/>
  <c r="BE1161" i="2"/>
  <c r="BD1161" i="2"/>
  <c r="AH1161" i="2"/>
  <c r="Y1161" i="2"/>
  <c r="W1161" i="2"/>
  <c r="AC1161" i="2"/>
  <c r="BJ797" i="2"/>
  <c r="BE797" i="2"/>
  <c r="BD797" i="2"/>
  <c r="AH797" i="2"/>
  <c r="Y797" i="2"/>
  <c r="W797" i="2"/>
  <c r="BG797" i="2" s="1"/>
  <c r="AC797" i="2"/>
  <c r="BJ1181" i="2"/>
  <c r="BE1181" i="2"/>
  <c r="BD1181" i="2"/>
  <c r="AH1181" i="2"/>
  <c r="Y1181" i="2"/>
  <c r="AC1181" i="2"/>
  <c r="W1181" i="2"/>
  <c r="BG1181" i="2" s="1"/>
  <c r="BJ881" i="2"/>
  <c r="BE881" i="2"/>
  <c r="BD881" i="2"/>
  <c r="AH881" i="2"/>
  <c r="Y881" i="2"/>
  <c r="AC881" i="2"/>
  <c r="W881" i="2"/>
  <c r="BJ1192" i="2"/>
  <c r="BE1192" i="2"/>
  <c r="BD1192" i="2"/>
  <c r="AH1192" i="2"/>
  <c r="Y1192" i="2"/>
  <c r="W1192" i="2"/>
  <c r="BG1192" i="2" s="1"/>
  <c r="AC1192" i="2"/>
  <c r="BJ1228" i="2"/>
  <c r="BE1228" i="2"/>
  <c r="BD1228" i="2"/>
  <c r="AH1228" i="2"/>
  <c r="Y1228" i="2"/>
  <c r="AC1228" i="2"/>
  <c r="W1228" i="2"/>
  <c r="BJ1215" i="2"/>
  <c r="BE1215" i="2"/>
  <c r="BD1215" i="2"/>
  <c r="AH1215" i="2"/>
  <c r="AC1215" i="2"/>
  <c r="Y1215" i="2"/>
  <c r="W1215" i="2"/>
  <c r="BJ1146" i="2"/>
  <c r="BK1146" i="2" s="1"/>
  <c r="BE1146" i="2"/>
  <c r="BD1146" i="2"/>
  <c r="AH1146" i="2"/>
  <c r="Y1146" i="2"/>
  <c r="AC1146" i="2"/>
  <c r="W1146" i="2"/>
  <c r="BJ1184" i="2"/>
  <c r="BK1184" i="2" s="1"/>
  <c r="BE1184" i="2"/>
  <c r="BD1184" i="2"/>
  <c r="AH1184" i="2"/>
  <c r="Y1184" i="2"/>
  <c r="AC1184" i="2"/>
  <c r="W1184" i="2"/>
  <c r="W563" i="2"/>
  <c r="BG563" i="2" s="1"/>
  <c r="BJ3" i="2"/>
  <c r="BE3" i="2"/>
  <c r="BD3" i="2"/>
  <c r="AC3" i="2"/>
  <c r="AH3" i="2"/>
  <c r="W3" i="2"/>
  <c r="Y3" i="2"/>
  <c r="AY32" i="2"/>
  <c r="BJ32" i="2"/>
  <c r="BE32" i="2"/>
  <c r="BD32" i="2"/>
  <c r="AC32" i="2"/>
  <c r="W32" i="2"/>
  <c r="AH32" i="2"/>
  <c r="Y32" i="2"/>
  <c r="BJ97" i="2"/>
  <c r="BE97" i="2"/>
  <c r="BD97" i="2"/>
  <c r="AC97" i="2"/>
  <c r="AH97" i="2"/>
  <c r="W97" i="2"/>
  <c r="Y97" i="2"/>
  <c r="BJ60" i="2"/>
  <c r="BE60" i="2"/>
  <c r="BD60" i="2"/>
  <c r="AC60" i="2"/>
  <c r="AH60" i="2"/>
  <c r="W60" i="2"/>
  <c r="Y60" i="2"/>
  <c r="BJ10" i="2"/>
  <c r="BE10" i="2"/>
  <c r="BD10" i="2"/>
  <c r="AC10" i="2"/>
  <c r="W10" i="2"/>
  <c r="AH10" i="2"/>
  <c r="Y10" i="2"/>
  <c r="BJ70" i="2"/>
  <c r="BE70" i="2"/>
  <c r="BD70" i="2"/>
  <c r="AC70" i="2"/>
  <c r="AH70" i="2"/>
  <c r="W70" i="2"/>
  <c r="BJ119" i="2"/>
  <c r="BE119" i="2"/>
  <c r="BD119" i="2"/>
  <c r="AC119" i="2"/>
  <c r="AH119" i="2"/>
  <c r="W119" i="2"/>
  <c r="Y119" i="2"/>
  <c r="BJ235" i="2"/>
  <c r="BE235" i="2"/>
  <c r="BD235" i="2"/>
  <c r="AC235" i="2"/>
  <c r="W235" i="2"/>
  <c r="BG235" i="2" s="1"/>
  <c r="Y235" i="2"/>
  <c r="AH235" i="2"/>
  <c r="BJ94" i="2"/>
  <c r="BE94" i="2"/>
  <c r="BD94" i="2"/>
  <c r="AC94" i="2"/>
  <c r="AH94" i="2"/>
  <c r="W94" i="2"/>
  <c r="Y94" i="2"/>
  <c r="BJ283" i="2"/>
  <c r="BE283" i="2"/>
  <c r="BD283" i="2"/>
  <c r="AC283" i="2"/>
  <c r="AH283" i="2"/>
  <c r="W283" i="2"/>
  <c r="Y283" i="2"/>
  <c r="AG408" i="2"/>
  <c r="BJ408" i="2"/>
  <c r="BE408" i="2"/>
  <c r="BD408" i="2"/>
  <c r="AC408" i="2"/>
  <c r="W408" i="2"/>
  <c r="Y408" i="2"/>
  <c r="AH408" i="2"/>
  <c r="BJ163" i="2"/>
  <c r="BE163" i="2"/>
  <c r="BD163" i="2"/>
  <c r="AC163" i="2"/>
  <c r="AH163" i="2"/>
  <c r="W163" i="2"/>
  <c r="Y163" i="2"/>
  <c r="AG421" i="2"/>
  <c r="BJ421" i="2"/>
  <c r="BE421" i="2"/>
  <c r="AC421" i="2"/>
  <c r="AH421" i="2"/>
  <c r="BD421" i="2"/>
  <c r="W421" i="2"/>
  <c r="Y421" i="2"/>
  <c r="BJ379" i="2"/>
  <c r="BE379" i="2"/>
  <c r="BD379" i="2"/>
  <c r="AC379" i="2"/>
  <c r="W379" i="2"/>
  <c r="AH379" i="2"/>
  <c r="Y379" i="2"/>
  <c r="BJ443" i="2"/>
  <c r="BE443" i="2"/>
  <c r="BD443" i="2"/>
  <c r="AC443" i="2"/>
  <c r="AH443" i="2"/>
  <c r="W443" i="2"/>
  <c r="Y443" i="2"/>
  <c r="BJ451" i="2"/>
  <c r="BE451" i="2"/>
  <c r="BD451" i="2"/>
  <c r="AC451" i="2"/>
  <c r="AH451" i="2"/>
  <c r="W451" i="2"/>
  <c r="Y451" i="2"/>
  <c r="BJ457" i="2"/>
  <c r="BE457" i="2"/>
  <c r="AC457" i="2"/>
  <c r="BD457" i="2"/>
  <c r="W457" i="2"/>
  <c r="Y457" i="2"/>
  <c r="AH457" i="2"/>
  <c r="BJ462" i="2"/>
  <c r="BE462" i="2"/>
  <c r="BD462" i="2"/>
  <c r="AC462" i="2"/>
  <c r="AH462" i="2"/>
  <c r="W462" i="2"/>
  <c r="Y462" i="2"/>
  <c r="BJ453" i="2"/>
  <c r="BE453" i="2"/>
  <c r="BD453" i="2"/>
  <c r="AC453" i="2"/>
  <c r="AH453" i="2"/>
  <c r="W453" i="2"/>
  <c r="Y453" i="2"/>
  <c r="BJ475" i="2"/>
  <c r="BE475" i="2"/>
  <c r="BD475" i="2"/>
  <c r="AC475" i="2"/>
  <c r="W475" i="2"/>
  <c r="Y475" i="2"/>
  <c r="AH475" i="2"/>
  <c r="BJ513" i="2"/>
  <c r="BE513" i="2"/>
  <c r="BD513" i="2"/>
  <c r="AC513" i="2"/>
  <c r="AH513" i="2"/>
  <c r="W513" i="2"/>
  <c r="Y513" i="2"/>
  <c r="BJ441" i="2"/>
  <c r="BE441" i="2"/>
  <c r="BD441" i="2"/>
  <c r="AC441" i="2"/>
  <c r="AH441" i="2"/>
  <c r="W441" i="2"/>
  <c r="Y441" i="2"/>
  <c r="BJ516" i="2"/>
  <c r="BE516" i="2"/>
  <c r="BD516" i="2"/>
  <c r="AC516" i="2"/>
  <c r="W516" i="2"/>
  <c r="AH516" i="2"/>
  <c r="Y516" i="2"/>
  <c r="BJ543" i="2"/>
  <c r="BE543" i="2"/>
  <c r="AC543" i="2"/>
  <c r="AH543" i="2"/>
  <c r="BD543" i="2"/>
  <c r="W543" i="2"/>
  <c r="Y543" i="2"/>
  <c r="BJ576" i="2"/>
  <c r="BE576" i="2"/>
  <c r="BD576" i="2"/>
  <c r="AC576" i="2"/>
  <c r="AH576" i="2"/>
  <c r="W576" i="2"/>
  <c r="Y576" i="2"/>
  <c r="BJ616" i="2"/>
  <c r="BE616" i="2"/>
  <c r="BD616" i="2"/>
  <c r="AC616" i="2"/>
  <c r="W616" i="2"/>
  <c r="Y616" i="2"/>
  <c r="AH616" i="2"/>
  <c r="BJ799" i="2"/>
  <c r="BE799" i="2"/>
  <c r="BD799" i="2"/>
  <c r="AC799" i="2"/>
  <c r="AH799" i="2"/>
  <c r="W799" i="2"/>
  <c r="BJ550" i="2"/>
  <c r="BE550" i="2"/>
  <c r="BD550" i="2"/>
  <c r="AC550" i="2"/>
  <c r="AH550" i="2"/>
  <c r="W550" i="2"/>
  <c r="Y550" i="2"/>
  <c r="BJ644" i="2"/>
  <c r="BE644" i="2"/>
  <c r="BD644" i="2"/>
  <c r="AC644" i="2"/>
  <c r="W644" i="2"/>
  <c r="Y644" i="2"/>
  <c r="AH644" i="2"/>
  <c r="BJ696" i="2"/>
  <c r="BK696" i="2" s="1"/>
  <c r="BE696" i="2"/>
  <c r="BD696" i="2"/>
  <c r="AC696" i="2"/>
  <c r="AH696" i="2"/>
  <c r="W696" i="2"/>
  <c r="Y696" i="2"/>
  <c r="BJ787" i="2"/>
  <c r="BE787" i="2"/>
  <c r="BD787" i="2"/>
  <c r="AC787" i="2"/>
  <c r="AH787" i="2"/>
  <c r="W787" i="2"/>
  <c r="Y787" i="2"/>
  <c r="BJ982" i="2"/>
  <c r="BE982" i="2"/>
  <c r="BD982" i="2"/>
  <c r="AC982" i="2"/>
  <c r="W982" i="2"/>
  <c r="AH982" i="2"/>
  <c r="Y982" i="2"/>
  <c r="BJ724" i="2"/>
  <c r="BE724" i="2"/>
  <c r="BD724" i="2"/>
  <c r="AC724" i="2"/>
  <c r="AH724" i="2"/>
  <c r="W724" i="2"/>
  <c r="BJ785" i="2"/>
  <c r="BE785" i="2"/>
  <c r="BD785" i="2"/>
  <c r="AC785" i="2"/>
  <c r="AH785" i="2"/>
  <c r="W785" i="2"/>
  <c r="Y785" i="2"/>
  <c r="BJ973" i="2"/>
  <c r="BE973" i="2"/>
  <c r="BD973" i="2"/>
  <c r="AC973" i="2"/>
  <c r="W973" i="2"/>
  <c r="Y973" i="2"/>
  <c r="AH973" i="2"/>
  <c r="BJ1135" i="2"/>
  <c r="BE1135" i="2"/>
  <c r="BD1135" i="2"/>
  <c r="AC1135" i="2"/>
  <c r="AH1135" i="2"/>
  <c r="Y1135" i="2"/>
  <c r="W1135" i="2"/>
  <c r="BG1135" i="2" s="1"/>
  <c r="BJ677" i="2"/>
  <c r="BE677" i="2"/>
  <c r="BD677" i="2"/>
  <c r="AC677" i="2"/>
  <c r="AH677" i="2"/>
  <c r="Y677" i="2"/>
  <c r="W677" i="2"/>
  <c r="AG955" i="2"/>
  <c r="BJ955" i="2"/>
  <c r="BE955" i="2"/>
  <c r="BD955" i="2"/>
  <c r="AC955" i="2"/>
  <c r="Y955" i="2"/>
  <c r="W955" i="2"/>
  <c r="AH955" i="2"/>
  <c r="AG1039" i="2"/>
  <c r="BJ1039" i="2"/>
  <c r="BE1039" i="2"/>
  <c r="BD1039" i="2"/>
  <c r="AC1039" i="2"/>
  <c r="AH1039" i="2"/>
  <c r="Y1039" i="2"/>
  <c r="W1039" i="2"/>
  <c r="BJ1088" i="2"/>
  <c r="BE1088" i="2"/>
  <c r="BD1088" i="2"/>
  <c r="AC1088" i="2"/>
  <c r="AH1088" i="2"/>
  <c r="Y1088" i="2"/>
  <c r="W1088" i="2"/>
  <c r="BJ1139" i="2"/>
  <c r="BE1139" i="2"/>
  <c r="BD1139" i="2"/>
  <c r="AC1139" i="2"/>
  <c r="Y1139" i="2"/>
  <c r="W1139" i="2"/>
  <c r="AH1139" i="2"/>
  <c r="BJ825" i="2"/>
  <c r="BE825" i="2"/>
  <c r="BD825" i="2"/>
  <c r="AC825" i="2"/>
  <c r="AH825" i="2"/>
  <c r="Y825" i="2"/>
  <c r="W825" i="2"/>
  <c r="BJ972" i="2"/>
  <c r="BE972" i="2"/>
  <c r="BD972" i="2"/>
  <c r="AC972" i="2"/>
  <c r="AH972" i="2"/>
  <c r="Y972" i="2"/>
  <c r="W972" i="2"/>
  <c r="BJ999" i="2"/>
  <c r="BE999" i="2"/>
  <c r="BD999" i="2"/>
  <c r="AC999" i="2"/>
  <c r="Y999" i="2"/>
  <c r="W999" i="2"/>
  <c r="AH999" i="2"/>
  <c r="BJ1121" i="2"/>
  <c r="BE1121" i="2"/>
  <c r="AH1121" i="2"/>
  <c r="AC1121" i="2"/>
  <c r="Y1121" i="2"/>
  <c r="W1121" i="2"/>
  <c r="BJ828" i="2"/>
  <c r="BE828" i="2"/>
  <c r="BD828" i="2"/>
  <c r="AH828" i="2"/>
  <c r="Y828" i="2"/>
  <c r="W828" i="2"/>
  <c r="AC828" i="2"/>
  <c r="BJ1166" i="2"/>
  <c r="BE1166" i="2"/>
  <c r="BD1166" i="2"/>
  <c r="AC1166" i="2"/>
  <c r="Y1166" i="2"/>
  <c r="W1166" i="2"/>
  <c r="BJ829" i="2"/>
  <c r="BE829" i="2"/>
  <c r="BD829" i="2"/>
  <c r="AH829" i="2"/>
  <c r="Y829" i="2"/>
  <c r="W829" i="2"/>
  <c r="AC829" i="2"/>
  <c r="BJ1185" i="2"/>
  <c r="BE1185" i="2"/>
  <c r="BD1185" i="2"/>
  <c r="AH1185" i="2"/>
  <c r="Y1185" i="2"/>
  <c r="W1185" i="2"/>
  <c r="AC1185" i="2"/>
  <c r="BJ889" i="2"/>
  <c r="AC889" i="2"/>
  <c r="Y889" i="2"/>
  <c r="W889" i="2"/>
  <c r="BF889" i="2" s="1"/>
  <c r="AH889" i="2"/>
  <c r="BJ1194" i="2"/>
  <c r="BE1194" i="2"/>
  <c r="BD1194" i="2"/>
  <c r="AH1194" i="2"/>
  <c r="AC1194" i="2"/>
  <c r="Y1194" i="2"/>
  <c r="W1194" i="2"/>
  <c r="BJ1233" i="2"/>
  <c r="BE1233" i="2"/>
  <c r="AH1233" i="2"/>
  <c r="Y1233" i="2"/>
  <c r="W1233" i="2"/>
  <c r="AC1233" i="2"/>
  <c r="BD1233" i="2"/>
  <c r="BJ1221" i="2"/>
  <c r="BE1221" i="2"/>
  <c r="BD1221" i="2"/>
  <c r="AC1221" i="2"/>
  <c r="Y1221" i="2"/>
  <c r="W1221" i="2"/>
  <c r="AH1221" i="2"/>
  <c r="BJ891" i="2"/>
  <c r="BK891" i="2" s="1"/>
  <c r="BE891" i="2"/>
  <c r="BD891" i="2"/>
  <c r="AC891" i="2"/>
  <c r="AH891" i="2"/>
  <c r="Y891" i="2"/>
  <c r="W891" i="2"/>
  <c r="BJ1197" i="2"/>
  <c r="BK1197" i="2" s="1"/>
  <c r="BE1197" i="2"/>
  <c r="BD1197" i="2"/>
  <c r="AC1197" i="2"/>
  <c r="AH1197" i="2"/>
  <c r="Y1197" i="2"/>
  <c r="W1197" i="2"/>
  <c r="BJ52" i="2"/>
  <c r="BE52" i="2"/>
  <c r="BD52" i="2"/>
  <c r="AH52" i="2"/>
  <c r="Y52" i="2"/>
  <c r="AC52" i="2"/>
  <c r="W52" i="2"/>
  <c r="AG52" i="2"/>
  <c r="BJ92" i="2"/>
  <c r="BE92" i="2"/>
  <c r="BD92" i="2"/>
  <c r="AH92" i="2"/>
  <c r="AG92" i="2"/>
  <c r="Y92" i="2"/>
  <c r="AC92" i="2"/>
  <c r="W92" i="2"/>
  <c r="BJ110" i="2"/>
  <c r="BE110" i="2"/>
  <c r="BD110" i="2"/>
  <c r="AH110" i="2"/>
  <c r="AC110" i="2"/>
  <c r="Y110" i="2"/>
  <c r="AG110" i="2"/>
  <c r="W110" i="2"/>
  <c r="BJ143" i="2"/>
  <c r="BE143" i="2"/>
  <c r="BD143" i="2"/>
  <c r="AC143" i="2"/>
  <c r="AH143" i="2"/>
  <c r="Y143" i="2"/>
  <c r="AG143" i="2"/>
  <c r="W143" i="2"/>
  <c r="BJ169" i="2"/>
  <c r="BE169" i="2"/>
  <c r="BD169" i="2"/>
  <c r="AH169" i="2"/>
  <c r="AG169" i="2"/>
  <c r="Y169" i="2"/>
  <c r="AC169" i="2"/>
  <c r="W169" i="2"/>
  <c r="BJ181" i="2"/>
  <c r="BE181" i="2"/>
  <c r="BD181" i="2"/>
  <c r="AC181" i="2"/>
  <c r="AH181" i="2"/>
  <c r="Y181" i="2"/>
  <c r="AG181" i="2"/>
  <c r="W181" i="2"/>
  <c r="BJ194" i="2"/>
  <c r="BE194" i="2"/>
  <c r="BD194" i="2"/>
  <c r="AH194" i="2"/>
  <c r="AC194" i="2"/>
  <c r="Y194" i="2"/>
  <c r="AG194" i="2"/>
  <c r="W194" i="2"/>
  <c r="BJ206" i="2"/>
  <c r="BE206" i="2"/>
  <c r="BD206" i="2"/>
  <c r="AH206" i="2"/>
  <c r="AG206" i="2"/>
  <c r="Y206" i="2"/>
  <c r="W206" i="2"/>
  <c r="AC206" i="2"/>
  <c r="BJ222" i="2"/>
  <c r="BE222" i="2"/>
  <c r="BD222" i="2"/>
  <c r="AG222" i="2"/>
  <c r="AC222" i="2"/>
  <c r="AH222" i="2"/>
  <c r="Y222" i="2"/>
  <c r="W222" i="2"/>
  <c r="BJ244" i="2"/>
  <c r="BE244" i="2"/>
  <c r="BD244" i="2"/>
  <c r="AG244" i="2"/>
  <c r="AC244" i="2"/>
  <c r="AH244" i="2"/>
  <c r="Y244" i="2"/>
  <c r="W244" i="2"/>
  <c r="BJ256" i="2"/>
  <c r="BE256" i="2"/>
  <c r="BD256" i="2"/>
  <c r="AG256" i="2"/>
  <c r="AC256" i="2"/>
  <c r="AH256" i="2"/>
  <c r="Y256" i="2"/>
  <c r="W256" i="2"/>
  <c r="BJ268" i="2"/>
  <c r="BE268" i="2"/>
  <c r="BD268" i="2"/>
  <c r="AG268" i="2"/>
  <c r="AC268" i="2"/>
  <c r="AH268" i="2"/>
  <c r="Y268" i="2"/>
  <c r="W268" i="2"/>
  <c r="BJ287" i="2"/>
  <c r="BE287" i="2"/>
  <c r="BD287" i="2"/>
  <c r="AG287" i="2"/>
  <c r="AC287" i="2"/>
  <c r="AH287" i="2"/>
  <c r="Y287" i="2"/>
  <c r="W287" i="2"/>
  <c r="BJ299" i="2"/>
  <c r="BE299" i="2"/>
  <c r="BD299" i="2"/>
  <c r="AG299" i="2"/>
  <c r="AC299" i="2"/>
  <c r="AH299" i="2"/>
  <c r="Y299" i="2"/>
  <c r="W299" i="2"/>
  <c r="BJ311" i="2"/>
  <c r="BE311" i="2"/>
  <c r="BD311" i="2"/>
  <c r="AG311" i="2"/>
  <c r="AC311" i="2"/>
  <c r="AH311" i="2"/>
  <c r="Y311" i="2"/>
  <c r="W311" i="2"/>
  <c r="BJ323" i="2"/>
  <c r="BE323" i="2"/>
  <c r="BD323" i="2"/>
  <c r="AG323" i="2"/>
  <c r="AC323" i="2"/>
  <c r="AH323" i="2"/>
  <c r="Y323" i="2"/>
  <c r="W323" i="2"/>
  <c r="BJ335" i="2"/>
  <c r="BE335" i="2"/>
  <c r="BD335" i="2"/>
  <c r="AC335" i="2"/>
  <c r="AG335" i="2"/>
  <c r="AH335" i="2"/>
  <c r="Y335" i="2"/>
  <c r="W335" i="2"/>
  <c r="AY351" i="2"/>
  <c r="BJ351" i="2"/>
  <c r="BE351" i="2"/>
  <c r="BD351" i="2"/>
  <c r="AC351" i="2"/>
  <c r="AG351" i="2"/>
  <c r="AH351" i="2"/>
  <c r="Y351" i="2"/>
  <c r="W351" i="2"/>
  <c r="BJ374" i="2"/>
  <c r="BE374" i="2"/>
  <c r="BD374" i="2"/>
  <c r="AG374" i="2"/>
  <c r="AC374" i="2"/>
  <c r="AH374" i="2"/>
  <c r="Y374" i="2"/>
  <c r="W374" i="2"/>
  <c r="BJ415" i="2"/>
  <c r="BE415" i="2"/>
  <c r="BD415" i="2"/>
  <c r="AG415" i="2"/>
  <c r="AC415" i="2"/>
  <c r="AH415" i="2"/>
  <c r="Y415" i="2"/>
  <c r="W415" i="2"/>
  <c r="BJ432" i="2"/>
  <c r="BE432" i="2"/>
  <c r="BD432" i="2"/>
  <c r="AG432" i="2"/>
  <c r="AC432" i="2"/>
  <c r="AH432" i="2"/>
  <c r="Y432" i="2"/>
  <c r="W432" i="2"/>
  <c r="BJ482" i="2"/>
  <c r="BE482" i="2"/>
  <c r="BD482" i="2"/>
  <c r="AG482" i="2"/>
  <c r="AC482" i="2"/>
  <c r="AH482" i="2"/>
  <c r="Y482" i="2"/>
  <c r="W482" i="2"/>
  <c r="BJ558" i="2"/>
  <c r="BE558" i="2"/>
  <c r="BD558" i="2"/>
  <c r="AC558" i="2"/>
  <c r="AH558" i="2"/>
  <c r="Y558" i="2"/>
  <c r="AG558" i="2"/>
  <c r="W558" i="2"/>
  <c r="BJ597" i="2"/>
  <c r="BE597" i="2"/>
  <c r="BD597" i="2"/>
  <c r="AC597" i="2"/>
  <c r="AH597" i="2"/>
  <c r="AG597" i="2"/>
  <c r="Y597" i="2"/>
  <c r="W597" i="2"/>
  <c r="BJ623" i="2"/>
  <c r="BE623" i="2"/>
  <c r="BD623" i="2"/>
  <c r="AC623" i="2"/>
  <c r="AH623" i="2"/>
  <c r="AG623" i="2"/>
  <c r="Y623" i="2"/>
  <c r="W623" i="2"/>
  <c r="BG623" i="2" s="1"/>
  <c r="BJ637" i="2"/>
  <c r="BD637" i="2"/>
  <c r="BE637" i="2"/>
  <c r="AH637" i="2"/>
  <c r="AC637" i="2"/>
  <c r="AG637" i="2"/>
  <c r="Y637" i="2"/>
  <c r="W637" i="2"/>
  <c r="BJ664" i="2"/>
  <c r="BE664" i="2"/>
  <c r="BD664" i="2"/>
  <c r="AC664" i="2"/>
  <c r="AH664" i="2"/>
  <c r="AG664" i="2"/>
  <c r="Y664" i="2"/>
  <c r="W664" i="2"/>
  <c r="BJ689" i="2"/>
  <c r="BE689" i="2"/>
  <c r="BD689" i="2"/>
  <c r="AC689" i="2"/>
  <c r="AH689" i="2"/>
  <c r="Y689" i="2"/>
  <c r="AG689" i="2"/>
  <c r="W689" i="2"/>
  <c r="BJ706" i="2"/>
  <c r="BE706" i="2"/>
  <c r="BD706" i="2"/>
  <c r="AC706" i="2"/>
  <c r="Y706" i="2"/>
  <c r="AH706" i="2"/>
  <c r="W706" i="2"/>
  <c r="BJ719" i="2"/>
  <c r="BE719" i="2"/>
  <c r="BD719" i="2"/>
  <c r="AC719" i="2"/>
  <c r="AH719" i="2"/>
  <c r="AG719" i="2"/>
  <c r="Y719" i="2"/>
  <c r="W719" i="2"/>
  <c r="BG719" i="2" s="1"/>
  <c r="BJ733" i="2"/>
  <c r="BE733" i="2"/>
  <c r="BD733" i="2"/>
  <c r="AC733" i="2"/>
  <c r="AG733" i="2"/>
  <c r="AH733" i="2"/>
  <c r="Y733" i="2"/>
  <c r="W733" i="2"/>
  <c r="BJ745" i="2"/>
  <c r="BD745" i="2"/>
  <c r="AH745" i="2"/>
  <c r="BE745" i="2"/>
  <c r="AC745" i="2"/>
  <c r="AG745" i="2"/>
  <c r="Y745" i="2"/>
  <c r="W745" i="2"/>
  <c r="BJ757" i="2"/>
  <c r="BE757" i="2"/>
  <c r="BD757" i="2"/>
  <c r="AC757" i="2"/>
  <c r="AG757" i="2"/>
  <c r="Y757" i="2"/>
  <c r="AH757" i="2"/>
  <c r="W757" i="2"/>
  <c r="BJ791" i="2"/>
  <c r="BD791" i="2"/>
  <c r="BE791" i="2"/>
  <c r="AC791" i="2"/>
  <c r="AH791" i="2"/>
  <c r="Y791" i="2"/>
  <c r="W791" i="2"/>
  <c r="BJ810" i="2"/>
  <c r="BE810" i="2"/>
  <c r="BD810" i="2"/>
  <c r="AC810" i="2"/>
  <c r="AH810" i="2"/>
  <c r="Y810" i="2"/>
  <c r="W810" i="2"/>
  <c r="BJ838" i="2"/>
  <c r="BE838" i="2"/>
  <c r="BD838" i="2"/>
  <c r="AH838" i="2"/>
  <c r="AC838" i="2"/>
  <c r="Y838" i="2"/>
  <c r="W838" i="2"/>
  <c r="BJ850" i="2"/>
  <c r="BE850" i="2"/>
  <c r="BD850" i="2"/>
  <c r="AC850" i="2"/>
  <c r="AH850" i="2"/>
  <c r="Y850" i="2"/>
  <c r="W850" i="2"/>
  <c r="BJ864" i="2"/>
  <c r="BE864" i="2"/>
  <c r="BD864" i="2"/>
  <c r="AC864" i="2"/>
  <c r="AH864" i="2"/>
  <c r="Y864" i="2"/>
  <c r="W864" i="2"/>
  <c r="BG864" i="2" s="1"/>
  <c r="BJ893" i="2"/>
  <c r="BE893" i="2"/>
  <c r="BD893" i="2"/>
  <c r="AG893" i="2"/>
  <c r="AH893" i="2"/>
  <c r="AC893" i="2"/>
  <c r="Y893" i="2"/>
  <c r="W893" i="2"/>
  <c r="BJ915" i="2"/>
  <c r="BE915" i="2"/>
  <c r="BD915" i="2"/>
  <c r="AC915" i="2"/>
  <c r="AG915" i="2"/>
  <c r="AH915" i="2"/>
  <c r="Y915" i="2"/>
  <c r="W915" i="2"/>
  <c r="BJ932" i="2"/>
  <c r="BE932" i="2"/>
  <c r="BD932" i="2"/>
  <c r="AC932" i="2"/>
  <c r="AH932" i="2"/>
  <c r="Y932" i="2"/>
  <c r="W932" i="2"/>
  <c r="BG932" i="2" s="1"/>
  <c r="BJ946" i="2"/>
  <c r="BE946" i="2"/>
  <c r="BD946" i="2"/>
  <c r="AH946" i="2"/>
  <c r="AG946" i="2"/>
  <c r="AC946" i="2"/>
  <c r="Y946" i="2"/>
  <c r="W946" i="2"/>
  <c r="BJ962" i="2"/>
  <c r="BE962" i="2"/>
  <c r="BD962" i="2"/>
  <c r="AC962" i="2"/>
  <c r="AH962" i="2"/>
  <c r="Y962" i="2"/>
  <c r="W962" i="2"/>
  <c r="BG962" i="2" s="1"/>
  <c r="BJ1016" i="2"/>
  <c r="BE1016" i="2"/>
  <c r="BD1016" i="2"/>
  <c r="AC1016" i="2"/>
  <c r="AH1016" i="2"/>
  <c r="Y1016" i="2"/>
  <c r="W1016" i="2"/>
  <c r="BJ1036" i="2"/>
  <c r="BE1036" i="2"/>
  <c r="BD1036" i="2"/>
  <c r="AH1036" i="2"/>
  <c r="AC1036" i="2"/>
  <c r="Y1036" i="2"/>
  <c r="W1036" i="2"/>
  <c r="BJ1051" i="2"/>
  <c r="BE1051" i="2"/>
  <c r="AY1051" i="2"/>
  <c r="BD1051" i="2"/>
  <c r="AG1051" i="2"/>
  <c r="AC1051" i="2"/>
  <c r="AH1051" i="2"/>
  <c r="Y1051" i="2"/>
  <c r="W1051" i="2"/>
  <c r="BJ1064" i="2"/>
  <c r="BE1064" i="2"/>
  <c r="BD1064" i="2"/>
  <c r="AY1064" i="2"/>
  <c r="AG1064" i="2"/>
  <c r="AC1064" i="2"/>
  <c r="AH1064" i="2"/>
  <c r="Y1064" i="2"/>
  <c r="W1064" i="2"/>
  <c r="BJ1096" i="2"/>
  <c r="BE1096" i="2"/>
  <c r="BD1096" i="2"/>
  <c r="AY1096" i="2"/>
  <c r="AH1096" i="2"/>
  <c r="AG1096" i="2"/>
  <c r="AC1096" i="2"/>
  <c r="Y1096" i="2"/>
  <c r="W1096" i="2"/>
  <c r="BJ1109" i="2"/>
  <c r="BE1109" i="2"/>
  <c r="BD1109" i="2"/>
  <c r="AY1109" i="2"/>
  <c r="AG1109" i="2"/>
  <c r="AC1109" i="2"/>
  <c r="AH1109" i="2"/>
  <c r="Y1109" i="2"/>
  <c r="W1109" i="2"/>
  <c r="BJ1133" i="2"/>
  <c r="BE1133" i="2"/>
  <c r="BD1133" i="2"/>
  <c r="AY1133" i="2"/>
  <c r="AG1133" i="2"/>
  <c r="AC1133" i="2"/>
  <c r="AH1133" i="2"/>
  <c r="Y1133" i="2"/>
  <c r="W1133" i="2"/>
  <c r="AY222" i="2"/>
  <c r="AY206" i="2"/>
  <c r="AY194" i="2"/>
  <c r="AY181" i="2"/>
  <c r="AY169" i="2"/>
  <c r="AY143" i="2"/>
  <c r="AY110" i="2"/>
  <c r="AY92" i="2"/>
  <c r="AY52" i="2"/>
  <c r="AG850" i="2"/>
  <c r="AG864" i="2"/>
  <c r="BJ12" i="2"/>
  <c r="BE12" i="2"/>
  <c r="BD12" i="2"/>
  <c r="AH12" i="2"/>
  <c r="Y12" i="2"/>
  <c r="W12" i="2"/>
  <c r="BG12" i="2" s="1"/>
  <c r="AC12" i="2"/>
  <c r="BJ42" i="2"/>
  <c r="BD42" i="2"/>
  <c r="BE42" i="2"/>
  <c r="AC42" i="2"/>
  <c r="Y42" i="2"/>
  <c r="AH42" i="2"/>
  <c r="W42" i="2"/>
  <c r="BJ17" i="2"/>
  <c r="BD17" i="2"/>
  <c r="BE17" i="2"/>
  <c r="AH17" i="2"/>
  <c r="W17" i="2"/>
  <c r="Y17" i="2"/>
  <c r="AC17" i="2"/>
  <c r="BJ127" i="2"/>
  <c r="BE127" i="2"/>
  <c r="BD127" i="2"/>
  <c r="AH127" i="2"/>
  <c r="W127" i="2"/>
  <c r="Y127" i="2"/>
  <c r="AC127" i="2"/>
  <c r="BJ40" i="2"/>
  <c r="BD40" i="2"/>
  <c r="BE40" i="2"/>
  <c r="AH40" i="2"/>
  <c r="Y40" i="2"/>
  <c r="AC40" i="2"/>
  <c r="W40" i="2"/>
  <c r="BG40" i="2" s="1"/>
  <c r="BJ89" i="2"/>
  <c r="BD89" i="2"/>
  <c r="BE89" i="2"/>
  <c r="AH89" i="2"/>
  <c r="Y89" i="2"/>
  <c r="W89" i="2"/>
  <c r="AC89" i="2"/>
  <c r="BJ164" i="2"/>
  <c r="BE164" i="2"/>
  <c r="BD164" i="2"/>
  <c r="AH164" i="2"/>
  <c r="W164" i="2"/>
  <c r="Y164" i="2"/>
  <c r="AC164" i="2"/>
  <c r="BJ375" i="2"/>
  <c r="BD375" i="2"/>
  <c r="BE375" i="2"/>
  <c r="AC375" i="2"/>
  <c r="AH375" i="2"/>
  <c r="W375" i="2"/>
  <c r="Y375" i="2"/>
  <c r="BJ124" i="2"/>
  <c r="BD124" i="2"/>
  <c r="BE124" i="2"/>
  <c r="AH124" i="2"/>
  <c r="Y124" i="2"/>
  <c r="W124" i="2"/>
  <c r="AG366" i="2"/>
  <c r="BJ366" i="2"/>
  <c r="BE366" i="2"/>
  <c r="BD366" i="2"/>
  <c r="AH366" i="2"/>
  <c r="W366" i="2"/>
  <c r="Y366" i="2"/>
  <c r="BJ41" i="2"/>
  <c r="BD41" i="2"/>
  <c r="BE41" i="2"/>
  <c r="AC41" i="2"/>
  <c r="AH41" i="2"/>
  <c r="W41" i="2"/>
  <c r="Y41" i="2"/>
  <c r="BJ381" i="2"/>
  <c r="BD381" i="2"/>
  <c r="BE381" i="2"/>
  <c r="AH381" i="2"/>
  <c r="Y381" i="2"/>
  <c r="W381" i="2"/>
  <c r="AC381" i="2"/>
  <c r="BJ25" i="2"/>
  <c r="BE25" i="2"/>
  <c r="BD25" i="2"/>
  <c r="AH25" i="2"/>
  <c r="W25" i="2"/>
  <c r="AC25" i="2"/>
  <c r="BJ384" i="2"/>
  <c r="BD384" i="2"/>
  <c r="BE384" i="2"/>
  <c r="AH384" i="2"/>
  <c r="AC384" i="2"/>
  <c r="W384" i="2"/>
  <c r="Y384" i="2"/>
  <c r="BJ225" i="2"/>
  <c r="BD225" i="2"/>
  <c r="BE225" i="2"/>
  <c r="AH225" i="2"/>
  <c r="Y225" i="2"/>
  <c r="W225" i="2"/>
  <c r="AC225" i="2"/>
  <c r="BJ370" i="2"/>
  <c r="BE370" i="2"/>
  <c r="BD370" i="2"/>
  <c r="AH370" i="2"/>
  <c r="W370" i="2"/>
  <c r="Y370" i="2"/>
  <c r="AC370" i="2"/>
  <c r="BJ158" i="2"/>
  <c r="BD158" i="2"/>
  <c r="BE158" i="2"/>
  <c r="AC158" i="2"/>
  <c r="AH158" i="2"/>
  <c r="W158" i="2"/>
  <c r="Y158" i="2"/>
  <c r="BJ466" i="2"/>
  <c r="BD466" i="2"/>
  <c r="BE466" i="2"/>
  <c r="AH466" i="2"/>
  <c r="Y466" i="2"/>
  <c r="W466" i="2"/>
  <c r="AC466" i="2"/>
  <c r="BJ486" i="2"/>
  <c r="BE486" i="2"/>
  <c r="BD486" i="2"/>
  <c r="AH486" i="2"/>
  <c r="W486" i="2"/>
  <c r="AC486" i="2"/>
  <c r="BJ498" i="2"/>
  <c r="BD498" i="2"/>
  <c r="BE498" i="2"/>
  <c r="AC498" i="2"/>
  <c r="AH498" i="2"/>
  <c r="W498" i="2"/>
  <c r="Y498" i="2"/>
  <c r="BJ528" i="2"/>
  <c r="BD528" i="2"/>
  <c r="BE528" i="2"/>
  <c r="AH528" i="2"/>
  <c r="Y528" i="2"/>
  <c r="W528" i="2"/>
  <c r="AC528" i="2"/>
  <c r="BJ502" i="2"/>
  <c r="BE502" i="2"/>
  <c r="BD502" i="2"/>
  <c r="AH502" i="2"/>
  <c r="W502" i="2"/>
  <c r="AC502" i="2"/>
  <c r="Y502" i="2"/>
  <c r="BJ522" i="2"/>
  <c r="BK522" i="2" s="1"/>
  <c r="BD522" i="2"/>
  <c r="BE522" i="2"/>
  <c r="AH522" i="2"/>
  <c r="AC522" i="2"/>
  <c r="W522" i="2"/>
  <c r="Y522" i="2"/>
  <c r="BJ547" i="2"/>
  <c r="BD547" i="2"/>
  <c r="BE547" i="2"/>
  <c r="AH547" i="2"/>
  <c r="Y547" i="2"/>
  <c r="W547" i="2"/>
  <c r="AC547" i="2"/>
  <c r="BJ599" i="2"/>
  <c r="BE599" i="2"/>
  <c r="BD599" i="2"/>
  <c r="AH599" i="2"/>
  <c r="W599" i="2"/>
  <c r="Y599" i="2"/>
  <c r="AC599" i="2"/>
  <c r="BJ653" i="2"/>
  <c r="BD653" i="2"/>
  <c r="BE653" i="2"/>
  <c r="AC653" i="2"/>
  <c r="AH653" i="2"/>
  <c r="W653" i="2"/>
  <c r="Y653" i="2"/>
  <c r="AG525" i="2"/>
  <c r="BJ525" i="2"/>
  <c r="BD525" i="2"/>
  <c r="BE525" i="2"/>
  <c r="AH525" i="2"/>
  <c r="Y525" i="2"/>
  <c r="W525" i="2"/>
  <c r="BJ572" i="2"/>
  <c r="BK572" i="2" s="1"/>
  <c r="BE572" i="2"/>
  <c r="BD572" i="2"/>
  <c r="AH572" i="2"/>
  <c r="W572" i="2"/>
  <c r="AC572" i="2"/>
  <c r="Y572" i="2"/>
  <c r="AY648" i="2"/>
  <c r="BJ648" i="2"/>
  <c r="BD648" i="2"/>
  <c r="BE648" i="2"/>
  <c r="Y648" i="2"/>
  <c r="AC648" i="2"/>
  <c r="AH648" i="2"/>
  <c r="W648" i="2"/>
  <c r="BJ723" i="2"/>
  <c r="BD723" i="2"/>
  <c r="BE723" i="2"/>
  <c r="AH723" i="2"/>
  <c r="W723" i="2"/>
  <c r="Y723" i="2"/>
  <c r="AC723" i="2"/>
  <c r="BJ818" i="2"/>
  <c r="BE818" i="2"/>
  <c r="BD818" i="2"/>
  <c r="AH818" i="2"/>
  <c r="W818" i="2"/>
  <c r="Y818" i="2"/>
  <c r="AC818" i="2"/>
  <c r="BJ568" i="2"/>
  <c r="BD568" i="2"/>
  <c r="BE568" i="2"/>
  <c r="AH568" i="2"/>
  <c r="AC568" i="2"/>
  <c r="Y568" i="2"/>
  <c r="W568" i="2"/>
  <c r="BJ775" i="2"/>
  <c r="BD775" i="2"/>
  <c r="BE775" i="2"/>
  <c r="AH775" i="2"/>
  <c r="Y775" i="2"/>
  <c r="W775" i="2"/>
  <c r="AC775" i="2"/>
  <c r="BJ814" i="2"/>
  <c r="BE814" i="2"/>
  <c r="BD814" i="2"/>
  <c r="AH814" i="2"/>
  <c r="Y814" i="2"/>
  <c r="W814" i="2"/>
  <c r="AC814" i="2"/>
  <c r="BJ986" i="2"/>
  <c r="BD986" i="2"/>
  <c r="BE986" i="2"/>
  <c r="AC986" i="2"/>
  <c r="AH986" i="2"/>
  <c r="W986" i="2"/>
  <c r="Y986" i="2"/>
  <c r="BJ987" i="2"/>
  <c r="BD987" i="2"/>
  <c r="BE987" i="2"/>
  <c r="AH987" i="2"/>
  <c r="Y987" i="2"/>
  <c r="W987" i="2"/>
  <c r="BJ819" i="2"/>
  <c r="BE819" i="2"/>
  <c r="BD819" i="2"/>
  <c r="AH819" i="2"/>
  <c r="W819" i="2"/>
  <c r="Y819" i="2"/>
  <c r="BJ971" i="2"/>
  <c r="BK971" i="2" s="1"/>
  <c r="BD971" i="2"/>
  <c r="BE971" i="2"/>
  <c r="AC971" i="2"/>
  <c r="AH971" i="2"/>
  <c r="Y971" i="2"/>
  <c r="W971" i="2"/>
  <c r="BJ1070" i="2"/>
  <c r="BD1070" i="2"/>
  <c r="BE1070" i="2"/>
  <c r="AH1070" i="2"/>
  <c r="W1070" i="2"/>
  <c r="AC1070" i="2"/>
  <c r="Y1070" i="2"/>
  <c r="BJ1113" i="2"/>
  <c r="BE1113" i="2"/>
  <c r="BD1113" i="2"/>
  <c r="AH1113" i="2"/>
  <c r="W1113" i="2"/>
  <c r="AC1113" i="2"/>
  <c r="Y1113" i="2"/>
  <c r="BJ1152" i="2"/>
  <c r="BD1152" i="2"/>
  <c r="BE1152" i="2"/>
  <c r="AH1152" i="2"/>
  <c r="Y1152" i="2"/>
  <c r="AC1152" i="2"/>
  <c r="W1152" i="2"/>
  <c r="BJ898" i="2"/>
  <c r="BD898" i="2"/>
  <c r="BE898" i="2"/>
  <c r="AH898" i="2"/>
  <c r="Y898" i="2"/>
  <c r="W898" i="2"/>
  <c r="AC898" i="2"/>
  <c r="BJ980" i="2"/>
  <c r="BE980" i="2"/>
  <c r="BD980" i="2"/>
  <c r="AH980" i="2"/>
  <c r="Y980" i="2"/>
  <c r="W980" i="2"/>
  <c r="AC980" i="2"/>
  <c r="BJ1003" i="2"/>
  <c r="BD1003" i="2"/>
  <c r="BE1003" i="2"/>
  <c r="AC1003" i="2"/>
  <c r="AH1003" i="2"/>
  <c r="W1003" i="2"/>
  <c r="Y1003" i="2"/>
  <c r="AY1151" i="2"/>
  <c r="BJ1151" i="2"/>
  <c r="BD1151" i="2"/>
  <c r="BE1151" i="2"/>
  <c r="AH1151" i="2"/>
  <c r="AC1151" i="2"/>
  <c r="W1151" i="2"/>
  <c r="Y1151" i="2"/>
  <c r="BJ992" i="2"/>
  <c r="BE992" i="2"/>
  <c r="BD992" i="2"/>
  <c r="AC992" i="2"/>
  <c r="AH992" i="2"/>
  <c r="Y992" i="2"/>
  <c r="W992" i="2"/>
  <c r="AG879" i="2"/>
  <c r="BJ879" i="2"/>
  <c r="BD879" i="2"/>
  <c r="BE879" i="2"/>
  <c r="AC879" i="2"/>
  <c r="AH879" i="2"/>
  <c r="W879" i="2"/>
  <c r="Y879" i="2"/>
  <c r="BJ1157" i="2"/>
  <c r="BD1157" i="2"/>
  <c r="BE1157" i="2"/>
  <c r="AH1157" i="2"/>
  <c r="AC1157" i="2"/>
  <c r="Y1157" i="2"/>
  <c r="W1157" i="2"/>
  <c r="BJ1204" i="2"/>
  <c r="BE1204" i="2"/>
  <c r="BD1204" i="2"/>
  <c r="AC1204" i="2"/>
  <c r="AH1204" i="2"/>
  <c r="W1204" i="2"/>
  <c r="Y1204" i="2"/>
  <c r="BJ1095" i="2"/>
  <c r="BD1095" i="2"/>
  <c r="BE1095" i="2"/>
  <c r="AH1095" i="2"/>
  <c r="AC1095" i="2"/>
  <c r="Y1095" i="2"/>
  <c r="W1095" i="2"/>
  <c r="BJ1207" i="2"/>
  <c r="BD1207" i="2"/>
  <c r="BE1207" i="2"/>
  <c r="AH1207" i="2"/>
  <c r="AC1207" i="2"/>
  <c r="W1207" i="2"/>
  <c r="Y1207" i="2"/>
  <c r="BJ1224" i="2"/>
  <c r="BE1224" i="2"/>
  <c r="BD1224" i="2"/>
  <c r="AH1224" i="2"/>
  <c r="W1224" i="2"/>
  <c r="AC1224" i="2"/>
  <c r="Y1224" i="2"/>
  <c r="BJ1231" i="2"/>
  <c r="BD1231" i="2"/>
  <c r="BE1231" i="2"/>
  <c r="Y1231" i="2"/>
  <c r="AH1231" i="2"/>
  <c r="W1231" i="2"/>
  <c r="BJ1209" i="2"/>
  <c r="BK1209" i="2" s="1"/>
  <c r="BD1209" i="2"/>
  <c r="BE1209" i="2"/>
  <c r="AH1209" i="2"/>
  <c r="AC1209" i="2"/>
  <c r="Y1209" i="2"/>
  <c r="W1209" i="2"/>
  <c r="BJ54" i="2"/>
  <c r="BD54" i="2"/>
  <c r="BE54" i="2"/>
  <c r="AG54" i="2"/>
  <c r="AC54" i="2"/>
  <c r="AH54" i="2"/>
  <c r="W54" i="2"/>
  <c r="Y54" i="2"/>
  <c r="BJ100" i="2"/>
  <c r="BD100" i="2"/>
  <c r="BE100" i="2"/>
  <c r="AH100" i="2"/>
  <c r="AG100" i="2"/>
  <c r="AC100" i="2"/>
  <c r="W100" i="2"/>
  <c r="BJ112" i="2"/>
  <c r="BE112" i="2"/>
  <c r="BD112" i="2"/>
  <c r="AH112" i="2"/>
  <c r="AG112" i="2"/>
  <c r="Y112" i="2"/>
  <c r="W112" i="2"/>
  <c r="AC112" i="2"/>
  <c r="BJ145" i="2"/>
  <c r="BE145" i="2"/>
  <c r="BD145" i="2"/>
  <c r="AC145" i="2"/>
  <c r="AG145" i="2"/>
  <c r="AH145" i="2"/>
  <c r="W145" i="2"/>
  <c r="Y145" i="2"/>
  <c r="BJ171" i="2"/>
  <c r="BE171" i="2"/>
  <c r="BD171" i="2"/>
  <c r="AH171" i="2"/>
  <c r="AG171" i="2"/>
  <c r="AC171" i="2"/>
  <c r="W171" i="2"/>
  <c r="Y171" i="2"/>
  <c r="BJ183" i="2"/>
  <c r="BE183" i="2"/>
  <c r="BD183" i="2"/>
  <c r="AH183" i="2"/>
  <c r="AG183" i="2"/>
  <c r="Y183" i="2"/>
  <c r="W183" i="2"/>
  <c r="AC183" i="2"/>
  <c r="BJ196" i="2"/>
  <c r="BE196" i="2"/>
  <c r="BD196" i="2"/>
  <c r="AC196" i="2"/>
  <c r="AG196" i="2"/>
  <c r="AH196" i="2"/>
  <c r="W196" i="2"/>
  <c r="Y196" i="2"/>
  <c r="BJ208" i="2"/>
  <c r="BE208" i="2"/>
  <c r="BD208" i="2"/>
  <c r="AH208" i="2"/>
  <c r="AG208" i="2"/>
  <c r="AC208" i="2"/>
  <c r="W208" i="2"/>
  <c r="Y208" i="2"/>
  <c r="BJ227" i="2"/>
  <c r="BE227" i="2"/>
  <c r="BD227" i="2"/>
  <c r="AC227" i="2"/>
  <c r="AH227" i="2"/>
  <c r="Y227" i="2"/>
  <c r="W227" i="2"/>
  <c r="AG227" i="2"/>
  <c r="BJ246" i="2"/>
  <c r="BE246" i="2"/>
  <c r="BD246" i="2"/>
  <c r="AC246" i="2"/>
  <c r="AH246" i="2"/>
  <c r="W246" i="2"/>
  <c r="Y246" i="2"/>
  <c r="AG246" i="2"/>
  <c r="BJ258" i="2"/>
  <c r="BE258" i="2"/>
  <c r="BD258" i="2"/>
  <c r="AH258" i="2"/>
  <c r="AG258" i="2"/>
  <c r="AC258" i="2"/>
  <c r="W258" i="2"/>
  <c r="Y258" i="2"/>
  <c r="BJ270" i="2"/>
  <c r="BE270" i="2"/>
  <c r="BD270" i="2"/>
  <c r="AH270" i="2"/>
  <c r="Y270" i="2"/>
  <c r="AG270" i="2"/>
  <c r="W270" i="2"/>
  <c r="AC270" i="2"/>
  <c r="BJ289" i="2"/>
  <c r="BE289" i="2"/>
  <c r="BD289" i="2"/>
  <c r="AG289" i="2"/>
  <c r="AH289" i="2"/>
  <c r="W289" i="2"/>
  <c r="AC289" i="2"/>
  <c r="Y289" i="2"/>
  <c r="BJ301" i="2"/>
  <c r="BE301" i="2"/>
  <c r="BD301" i="2"/>
  <c r="AH301" i="2"/>
  <c r="AG301" i="2"/>
  <c r="AC301" i="2"/>
  <c r="W301" i="2"/>
  <c r="Y301" i="2"/>
  <c r="BJ313" i="2"/>
  <c r="BE313" i="2"/>
  <c r="BD313" i="2"/>
  <c r="AH313" i="2"/>
  <c r="Y313" i="2"/>
  <c r="W313" i="2"/>
  <c r="AG313" i="2"/>
  <c r="AC313" i="2"/>
  <c r="BJ325" i="2"/>
  <c r="BE325" i="2"/>
  <c r="BD325" i="2"/>
  <c r="AH325" i="2"/>
  <c r="W325" i="2"/>
  <c r="AG325" i="2"/>
  <c r="Y325" i="2"/>
  <c r="AC325" i="2"/>
  <c r="AY338" i="2"/>
  <c r="BJ338" i="2"/>
  <c r="BE338" i="2"/>
  <c r="BD338" i="2"/>
  <c r="AG338" i="2"/>
  <c r="AH338" i="2"/>
  <c r="AC338" i="2"/>
  <c r="W338" i="2"/>
  <c r="BJ353" i="2"/>
  <c r="BE353" i="2"/>
  <c r="BD353" i="2"/>
  <c r="AG353" i="2"/>
  <c r="AH353" i="2"/>
  <c r="Y353" i="2"/>
  <c r="AC353" i="2"/>
  <c r="W353" i="2"/>
  <c r="BJ377" i="2"/>
  <c r="BE377" i="2"/>
  <c r="BD377" i="2"/>
  <c r="AG377" i="2"/>
  <c r="AH377" i="2"/>
  <c r="AC377" i="2"/>
  <c r="W377" i="2"/>
  <c r="Y377" i="2"/>
  <c r="BJ417" i="2"/>
  <c r="BE417" i="2"/>
  <c r="BD417" i="2"/>
  <c r="AG417" i="2"/>
  <c r="AH417" i="2"/>
  <c r="AC417" i="2"/>
  <c r="W417" i="2"/>
  <c r="Y417" i="2"/>
  <c r="BJ437" i="2"/>
  <c r="BE437" i="2"/>
  <c r="BD437" i="2"/>
  <c r="AG437" i="2"/>
  <c r="AH437" i="2"/>
  <c r="Y437" i="2"/>
  <c r="W437" i="2"/>
  <c r="BJ484" i="2"/>
  <c r="BE484" i="2"/>
  <c r="BD484" i="2"/>
  <c r="AG484" i="2"/>
  <c r="AH484" i="2"/>
  <c r="W484" i="2"/>
  <c r="AC484" i="2"/>
  <c r="Y484" i="2"/>
  <c r="BJ573" i="2"/>
  <c r="BE573" i="2"/>
  <c r="BD573" i="2"/>
  <c r="AG573" i="2"/>
  <c r="AH573" i="2"/>
  <c r="AC573" i="2"/>
  <c r="W573" i="2"/>
  <c r="Y573" i="2"/>
  <c r="BJ600" i="2"/>
  <c r="BE600" i="2"/>
  <c r="BD600" i="2"/>
  <c r="AG600" i="2"/>
  <c r="AH600" i="2"/>
  <c r="Y600" i="2"/>
  <c r="W600" i="2"/>
  <c r="AC600" i="2"/>
  <c r="BJ625" i="2"/>
  <c r="BE625" i="2"/>
  <c r="BD625" i="2"/>
  <c r="AH625" i="2"/>
  <c r="AG625" i="2"/>
  <c r="W625" i="2"/>
  <c r="Y625" i="2"/>
  <c r="AC625" i="2"/>
  <c r="AY639" i="2"/>
  <c r="BJ639" i="2"/>
  <c r="BE639" i="2"/>
  <c r="BD639" i="2"/>
  <c r="AH639" i="2"/>
  <c r="AC639" i="2"/>
  <c r="AG639" i="2"/>
  <c r="W639" i="2"/>
  <c r="Y639" i="2"/>
  <c r="BJ666" i="2"/>
  <c r="BE666" i="2"/>
  <c r="BD666" i="2"/>
  <c r="AH666" i="2"/>
  <c r="AG666" i="2"/>
  <c r="Y666" i="2"/>
  <c r="AC666" i="2"/>
  <c r="W666" i="2"/>
  <c r="BJ691" i="2"/>
  <c r="BE691" i="2"/>
  <c r="BD691" i="2"/>
  <c r="AH691" i="2"/>
  <c r="AG691" i="2"/>
  <c r="AC691" i="2"/>
  <c r="W691" i="2"/>
  <c r="Y691" i="2"/>
  <c r="BJ708" i="2"/>
  <c r="BD708" i="2"/>
  <c r="BE708" i="2"/>
  <c r="AC708" i="2"/>
  <c r="AH708" i="2"/>
  <c r="AG708" i="2"/>
  <c r="W708" i="2"/>
  <c r="BJ721" i="2"/>
  <c r="BE721" i="2"/>
  <c r="BD721" i="2"/>
  <c r="AG721" i="2"/>
  <c r="AH721" i="2"/>
  <c r="Y721" i="2"/>
  <c r="W721" i="2"/>
  <c r="AC721" i="2"/>
  <c r="BJ735" i="2"/>
  <c r="BE735" i="2"/>
  <c r="BD735" i="2"/>
  <c r="AH735" i="2"/>
  <c r="AG735" i="2"/>
  <c r="W735" i="2"/>
  <c r="AC735" i="2"/>
  <c r="Y735" i="2"/>
  <c r="BJ747" i="2"/>
  <c r="BE747" i="2"/>
  <c r="BD747" i="2"/>
  <c r="AG747" i="2"/>
  <c r="AH747" i="2"/>
  <c r="AC747" i="2"/>
  <c r="W747" i="2"/>
  <c r="Y747" i="2"/>
  <c r="BJ759" i="2"/>
  <c r="BD759" i="2"/>
  <c r="BE759" i="2"/>
  <c r="AH759" i="2"/>
  <c r="AG759" i="2"/>
  <c r="Y759" i="2"/>
  <c r="W759" i="2"/>
  <c r="AC759" i="2"/>
  <c r="BJ793" i="2"/>
  <c r="BE793" i="2"/>
  <c r="BD793" i="2"/>
  <c r="AH793" i="2"/>
  <c r="W793" i="2"/>
  <c r="Y793" i="2"/>
  <c r="AC793" i="2"/>
  <c r="BJ812" i="2"/>
  <c r="BE812" i="2"/>
  <c r="BD812" i="2"/>
  <c r="AH812" i="2"/>
  <c r="AC812" i="2"/>
  <c r="W812" i="2"/>
  <c r="Y812" i="2"/>
  <c r="BJ840" i="2"/>
  <c r="BE840" i="2"/>
  <c r="BD840" i="2"/>
  <c r="AH840" i="2"/>
  <c r="Y840" i="2"/>
  <c r="AC840" i="2"/>
  <c r="W840" i="2"/>
  <c r="BJ852" i="2"/>
  <c r="BE852" i="2"/>
  <c r="BD852" i="2"/>
  <c r="AH852" i="2"/>
  <c r="AC852" i="2"/>
  <c r="W852" i="2"/>
  <c r="Y852" i="2"/>
  <c r="BJ866" i="2"/>
  <c r="BD866" i="2"/>
  <c r="BE866" i="2"/>
  <c r="AH866" i="2"/>
  <c r="AC866" i="2"/>
  <c r="W866" i="2"/>
  <c r="Y866" i="2"/>
  <c r="BJ895" i="2"/>
  <c r="BE895" i="2"/>
  <c r="AH895" i="2"/>
  <c r="BD895" i="2"/>
  <c r="AG895" i="2"/>
  <c r="Y895" i="2"/>
  <c r="W895" i="2"/>
  <c r="AC895" i="2"/>
  <c r="BJ917" i="2"/>
  <c r="BE917" i="2"/>
  <c r="BD917" i="2"/>
  <c r="AH917" i="2"/>
  <c r="W917" i="2"/>
  <c r="AC917" i="2"/>
  <c r="Y917" i="2"/>
  <c r="BJ934" i="2"/>
  <c r="BE934" i="2"/>
  <c r="BD934" i="2"/>
  <c r="AH934" i="2"/>
  <c r="AC934" i="2"/>
  <c r="W934" i="2"/>
  <c r="Y934" i="2"/>
  <c r="BJ948" i="2"/>
  <c r="BE948" i="2"/>
  <c r="AH948" i="2"/>
  <c r="BD948" i="2"/>
  <c r="AG948" i="2"/>
  <c r="Y948" i="2"/>
  <c r="W948" i="2"/>
  <c r="AC948" i="2"/>
  <c r="BJ990" i="2"/>
  <c r="BE990" i="2"/>
  <c r="BD990" i="2"/>
  <c r="AH990" i="2"/>
  <c r="W990" i="2"/>
  <c r="Y990" i="2"/>
  <c r="AC990" i="2"/>
  <c r="AG1018" i="2"/>
  <c r="BJ1018" i="2"/>
  <c r="BE1018" i="2"/>
  <c r="BD1018" i="2"/>
  <c r="AH1018" i="2"/>
  <c r="AC1018" i="2"/>
  <c r="W1018" i="2"/>
  <c r="BJ1041" i="2"/>
  <c r="BE1041" i="2"/>
  <c r="BD1041" i="2"/>
  <c r="AH1041" i="2"/>
  <c r="Y1041" i="2"/>
  <c r="AC1041" i="2"/>
  <c r="W1041" i="2"/>
  <c r="BJ1053" i="2"/>
  <c r="BE1053" i="2"/>
  <c r="BD1053" i="2"/>
  <c r="AG1053" i="2"/>
  <c r="AY1053" i="2"/>
  <c r="AH1053" i="2"/>
  <c r="AC1053" i="2"/>
  <c r="W1053" i="2"/>
  <c r="Y1053" i="2"/>
  <c r="BJ1066" i="2"/>
  <c r="BE1066" i="2"/>
  <c r="BD1066" i="2"/>
  <c r="AG1066" i="2"/>
  <c r="AH1066" i="2"/>
  <c r="AY1066" i="2"/>
  <c r="AC1066" i="2"/>
  <c r="W1066" i="2"/>
  <c r="Y1066" i="2"/>
  <c r="BJ1098" i="2"/>
  <c r="BE1098" i="2"/>
  <c r="AH1098" i="2"/>
  <c r="AG1098" i="2"/>
  <c r="AY1098" i="2"/>
  <c r="BD1098" i="2"/>
  <c r="Y1098" i="2"/>
  <c r="W1098" i="2"/>
  <c r="BJ1115" i="2"/>
  <c r="BE1115" i="2"/>
  <c r="BD1115" i="2"/>
  <c r="AG1115" i="2"/>
  <c r="AY1115" i="2"/>
  <c r="AH1115" i="2"/>
  <c r="W1115" i="2"/>
  <c r="AC1115" i="2"/>
  <c r="Y1115" i="2"/>
  <c r="BJ1187" i="2"/>
  <c r="BE1187" i="2"/>
  <c r="BD1187" i="2"/>
  <c r="AH1187" i="2"/>
  <c r="AY1187" i="2"/>
  <c r="AC1187" i="2"/>
  <c r="Y1187" i="2"/>
  <c r="AY323" i="2"/>
  <c r="AY311" i="2"/>
  <c r="AY299" i="2"/>
  <c r="AY287" i="2"/>
  <c r="AY268" i="2"/>
  <c r="AY256" i="2"/>
  <c r="AG838" i="2"/>
  <c r="AG962" i="2"/>
  <c r="BJ16" i="2"/>
  <c r="BE16" i="2"/>
  <c r="AH16" i="2"/>
  <c r="BD16" i="2"/>
  <c r="AC16" i="2"/>
  <c r="Y16" i="2"/>
  <c r="W16" i="2"/>
  <c r="BJ56" i="2"/>
  <c r="BE56" i="2"/>
  <c r="BD56" i="2"/>
  <c r="AH56" i="2"/>
  <c r="AC56" i="2"/>
  <c r="Y56" i="2"/>
  <c r="BJ20" i="2"/>
  <c r="BE20" i="2"/>
  <c r="BD20" i="2"/>
  <c r="AH20" i="2"/>
  <c r="AC20" i="2"/>
  <c r="Y20" i="2"/>
  <c r="W20" i="2"/>
  <c r="BJ130" i="2"/>
  <c r="BE130" i="2"/>
  <c r="BD130" i="2"/>
  <c r="AH130" i="2"/>
  <c r="AC130" i="2"/>
  <c r="W130" i="2"/>
  <c r="Y130" i="2"/>
  <c r="BJ48" i="2"/>
  <c r="BE48" i="2"/>
  <c r="BD48" i="2"/>
  <c r="AH48" i="2"/>
  <c r="AC48" i="2"/>
  <c r="Y48" i="2"/>
  <c r="W48" i="2"/>
  <c r="BJ93" i="2"/>
  <c r="BE93" i="2"/>
  <c r="BD93" i="2"/>
  <c r="AH93" i="2"/>
  <c r="AC93" i="2"/>
  <c r="Y93" i="2"/>
  <c r="BJ210" i="2"/>
  <c r="BE210" i="2"/>
  <c r="BD210" i="2"/>
  <c r="AH210" i="2"/>
  <c r="AC210" i="2"/>
  <c r="Y210" i="2"/>
  <c r="W210" i="2"/>
  <c r="BJ36" i="2"/>
  <c r="BE36" i="2"/>
  <c r="BD36" i="2"/>
  <c r="AH36" i="2"/>
  <c r="AC36" i="2"/>
  <c r="Y36" i="2"/>
  <c r="W36" i="2"/>
  <c r="BG36" i="2" s="1"/>
  <c r="BJ212" i="2"/>
  <c r="BE212" i="2"/>
  <c r="BD212" i="2"/>
  <c r="AH212" i="2"/>
  <c r="AC212" i="2"/>
  <c r="Y212" i="2"/>
  <c r="W212" i="2"/>
  <c r="BG212" i="2" s="1"/>
  <c r="BJ372" i="2"/>
  <c r="BE372" i="2"/>
  <c r="BD372" i="2"/>
  <c r="AH372" i="2"/>
  <c r="AC372" i="2"/>
  <c r="Y372" i="2"/>
  <c r="W372" i="2"/>
  <c r="BJ95" i="2"/>
  <c r="BE95" i="2"/>
  <c r="AH95" i="2"/>
  <c r="AC95" i="2"/>
  <c r="BD95" i="2"/>
  <c r="Y95" i="2"/>
  <c r="BJ393" i="2"/>
  <c r="BE393" i="2"/>
  <c r="BD393" i="2"/>
  <c r="AH393" i="2"/>
  <c r="AC393" i="2"/>
  <c r="Y393" i="2"/>
  <c r="W393" i="2"/>
  <c r="BJ153" i="2"/>
  <c r="BE153" i="2"/>
  <c r="BD153" i="2"/>
  <c r="AH153" i="2"/>
  <c r="AC153" i="2"/>
  <c r="Y153" i="2"/>
  <c r="W153" i="2"/>
  <c r="BJ386" i="2"/>
  <c r="BE386" i="2"/>
  <c r="BD386" i="2"/>
  <c r="AH386" i="2"/>
  <c r="AC386" i="2"/>
  <c r="Y386" i="2"/>
  <c r="W386" i="2"/>
  <c r="BJ364" i="2"/>
  <c r="BE364" i="2"/>
  <c r="BD364" i="2"/>
  <c r="AH364" i="2"/>
  <c r="AC364" i="2"/>
  <c r="Y364" i="2"/>
  <c r="BJ398" i="2"/>
  <c r="BE398" i="2"/>
  <c r="BD398" i="2"/>
  <c r="AH398" i="2"/>
  <c r="AC398" i="2"/>
  <c r="Y398" i="2"/>
  <c r="W398" i="2"/>
  <c r="BJ399" i="2"/>
  <c r="BE399" i="2"/>
  <c r="BD399" i="2"/>
  <c r="AH399" i="2"/>
  <c r="AC399" i="2"/>
  <c r="Y399" i="2"/>
  <c r="W399" i="2"/>
  <c r="BJ468" i="2"/>
  <c r="BE468" i="2"/>
  <c r="BD468" i="2"/>
  <c r="AH468" i="2"/>
  <c r="AC468" i="2"/>
  <c r="Y468" i="2"/>
  <c r="W468" i="2"/>
  <c r="BJ488" i="2"/>
  <c r="BE488" i="2"/>
  <c r="BD488" i="2"/>
  <c r="AH488" i="2"/>
  <c r="AC488" i="2"/>
  <c r="Y488" i="2"/>
  <c r="W488" i="2"/>
  <c r="BJ495" i="2"/>
  <c r="BE495" i="2"/>
  <c r="BD495" i="2"/>
  <c r="AH495" i="2"/>
  <c r="AC495" i="2"/>
  <c r="Y495" i="2"/>
  <c r="BJ532" i="2"/>
  <c r="BE532" i="2"/>
  <c r="BD532" i="2"/>
  <c r="AH532" i="2"/>
  <c r="AC532" i="2"/>
  <c r="Y532" i="2"/>
  <c r="W532" i="2"/>
  <c r="BG532" i="2" s="1"/>
  <c r="BJ505" i="2"/>
  <c r="BK505" i="2" s="1"/>
  <c r="BE505" i="2"/>
  <c r="BD505" i="2"/>
  <c r="AH505" i="2"/>
  <c r="AC505" i="2"/>
  <c r="Y505" i="2"/>
  <c r="W505" i="2"/>
  <c r="BJ530" i="2"/>
  <c r="BE530" i="2"/>
  <c r="AH530" i="2"/>
  <c r="AC530" i="2"/>
  <c r="Y530" i="2"/>
  <c r="W530" i="2"/>
  <c r="BJ563" i="2"/>
  <c r="BE563" i="2"/>
  <c r="BD563" i="2"/>
  <c r="AH563" i="2"/>
  <c r="AC563" i="2"/>
  <c r="Y563" i="2"/>
  <c r="BJ609" i="2"/>
  <c r="BE609" i="2"/>
  <c r="BD609" i="2"/>
  <c r="AH609" i="2"/>
  <c r="AC609" i="2"/>
  <c r="Y609" i="2"/>
  <c r="W609" i="2"/>
  <c r="BH609" i="2" s="1"/>
  <c r="BJ662" i="2"/>
  <c r="BE662" i="2"/>
  <c r="BD662" i="2"/>
  <c r="AH662" i="2"/>
  <c r="AC662" i="2"/>
  <c r="Y662" i="2"/>
  <c r="W662" i="2"/>
  <c r="BG662" i="2" s="1"/>
  <c r="BJ527" i="2"/>
  <c r="BE527" i="2"/>
  <c r="BD527" i="2"/>
  <c r="AH527" i="2"/>
  <c r="AC527" i="2"/>
  <c r="Y527" i="2"/>
  <c r="W527" i="2"/>
  <c r="BJ581" i="2"/>
  <c r="BE581" i="2"/>
  <c r="BD581" i="2"/>
  <c r="AH581" i="2"/>
  <c r="AC581" i="2"/>
  <c r="W581" i="2"/>
  <c r="Y581" i="2"/>
  <c r="BJ668" i="2"/>
  <c r="BE668" i="2"/>
  <c r="BD668" i="2"/>
  <c r="AH668" i="2"/>
  <c r="AC668" i="2"/>
  <c r="Y668" i="2"/>
  <c r="BJ762" i="2"/>
  <c r="BE762" i="2"/>
  <c r="AH762" i="2"/>
  <c r="AC762" i="2"/>
  <c r="Y762" i="2"/>
  <c r="BD762" i="2"/>
  <c r="W762" i="2"/>
  <c r="BJ832" i="2"/>
  <c r="BE832" i="2"/>
  <c r="AH832" i="2"/>
  <c r="BD832" i="2"/>
  <c r="AC832" i="2"/>
  <c r="Y832" i="2"/>
  <c r="W832" i="2"/>
  <c r="BJ631" i="2"/>
  <c r="BE631" i="2"/>
  <c r="BD631" i="2"/>
  <c r="AH631" i="2"/>
  <c r="AC631" i="2"/>
  <c r="Y631" i="2"/>
  <c r="W631" i="2"/>
  <c r="BJ777" i="2"/>
  <c r="BE777" i="2"/>
  <c r="BD777" i="2"/>
  <c r="AH777" i="2"/>
  <c r="AC777" i="2"/>
  <c r="BJ873" i="2"/>
  <c r="BE873" i="2"/>
  <c r="BD873" i="2"/>
  <c r="AH873" i="2"/>
  <c r="AC873" i="2"/>
  <c r="W873" i="2"/>
  <c r="Y873" i="2"/>
  <c r="BJ1027" i="2"/>
  <c r="BE1027" i="2"/>
  <c r="AH1027" i="2"/>
  <c r="BD1027" i="2"/>
  <c r="AC1027" i="2"/>
  <c r="Y1027" i="2"/>
  <c r="W1027" i="2"/>
  <c r="BJ928" i="2"/>
  <c r="BE928" i="2"/>
  <c r="BD928" i="2"/>
  <c r="AH928" i="2"/>
  <c r="AC928" i="2"/>
  <c r="Y928" i="2"/>
  <c r="W928" i="2"/>
  <c r="BJ830" i="2"/>
  <c r="BE830" i="2"/>
  <c r="BD830" i="2"/>
  <c r="AH830" i="2"/>
  <c r="AC830" i="2"/>
  <c r="W830" i="2"/>
  <c r="Y830" i="2"/>
  <c r="BJ978" i="2"/>
  <c r="BE978" i="2"/>
  <c r="AH978" i="2"/>
  <c r="BD978" i="2"/>
  <c r="AC978" i="2"/>
  <c r="Y978" i="2"/>
  <c r="BJ1072" i="2"/>
  <c r="BE1072" i="2"/>
  <c r="BD1072" i="2"/>
  <c r="AH1072" i="2"/>
  <c r="AC1072" i="2"/>
  <c r="Y1072" i="2"/>
  <c r="W1072" i="2"/>
  <c r="BG1072" i="2" s="1"/>
  <c r="BJ1123" i="2"/>
  <c r="BE1123" i="2"/>
  <c r="BD1123" i="2"/>
  <c r="AH1123" i="2"/>
  <c r="AC1123" i="2"/>
  <c r="Y1123" i="2"/>
  <c r="W1123" i="2"/>
  <c r="BJ1160" i="2"/>
  <c r="BE1160" i="2"/>
  <c r="BD1160" i="2"/>
  <c r="AH1160" i="2"/>
  <c r="AC1160" i="2"/>
  <c r="Y1160" i="2"/>
  <c r="W1160" i="2"/>
  <c r="BJ905" i="2"/>
  <c r="BE905" i="2"/>
  <c r="AH905" i="2"/>
  <c r="BD905" i="2"/>
  <c r="AC905" i="2"/>
  <c r="Y905" i="2"/>
  <c r="BJ988" i="2"/>
  <c r="BE988" i="2"/>
  <c r="AH988" i="2"/>
  <c r="BD988" i="2"/>
  <c r="AC988" i="2"/>
  <c r="Y988" i="2"/>
  <c r="W988" i="2"/>
  <c r="BJ1068" i="2"/>
  <c r="BE1068" i="2"/>
  <c r="BD1068" i="2"/>
  <c r="AH1068" i="2"/>
  <c r="AC1068" i="2"/>
  <c r="Y1068" i="2"/>
  <c r="W1068" i="2"/>
  <c r="BJ1180" i="2"/>
  <c r="BE1180" i="2"/>
  <c r="BD1180" i="2"/>
  <c r="AH1180" i="2"/>
  <c r="AC1180" i="2"/>
  <c r="Y1180" i="2"/>
  <c r="W1180" i="2"/>
  <c r="BJ1020" i="2"/>
  <c r="BE1020" i="2"/>
  <c r="BD1020" i="2"/>
  <c r="AH1020" i="2"/>
  <c r="Y1020" i="2"/>
  <c r="W1020" i="2"/>
  <c r="AC1020" i="2"/>
  <c r="BJ1169" i="2"/>
  <c r="BE1169" i="2"/>
  <c r="AH1169" i="2"/>
  <c r="BD1169" i="2"/>
  <c r="AC1169" i="2"/>
  <c r="Y1169" i="2"/>
  <c r="BJ1167" i="2"/>
  <c r="BE1167" i="2"/>
  <c r="BD1167" i="2"/>
  <c r="AH1167" i="2"/>
  <c r="AC1167" i="2"/>
  <c r="Y1167" i="2"/>
  <c r="W1167" i="2"/>
  <c r="BJ1212" i="2"/>
  <c r="BE1212" i="2"/>
  <c r="BD1212" i="2"/>
  <c r="AH1212" i="2"/>
  <c r="AC1212" i="2"/>
  <c r="W1212" i="2"/>
  <c r="BG1212" i="2" s="1"/>
  <c r="Y1212" i="2"/>
  <c r="BJ1156" i="2"/>
  <c r="BE1156" i="2"/>
  <c r="AH1156" i="2"/>
  <c r="BD1156" i="2"/>
  <c r="AC1156" i="2"/>
  <c r="Y1156" i="2"/>
  <c r="W1156" i="2"/>
  <c r="W364" i="2"/>
  <c r="Y338" i="2"/>
  <c r="AC124" i="2"/>
  <c r="AC437" i="2"/>
  <c r="AY664" i="2"/>
  <c r="BJ19" i="2"/>
  <c r="BE19" i="2"/>
  <c r="AH19" i="2"/>
  <c r="BD19" i="2"/>
  <c r="Y19" i="2"/>
  <c r="W19" i="2"/>
  <c r="AC19" i="2"/>
  <c r="BJ57" i="2"/>
  <c r="BE57" i="2"/>
  <c r="AH57" i="2"/>
  <c r="BD57" i="2"/>
  <c r="Y57" i="2"/>
  <c r="AC57" i="2"/>
  <c r="W57" i="2"/>
  <c r="BJ35" i="2"/>
  <c r="BE35" i="2"/>
  <c r="BD35" i="2"/>
  <c r="AH35" i="2"/>
  <c r="Y35" i="2"/>
  <c r="AC35" i="2"/>
  <c r="W35" i="2"/>
  <c r="BJ132" i="2"/>
  <c r="BE132" i="2"/>
  <c r="BD132" i="2"/>
  <c r="AH132" i="2"/>
  <c r="W132" i="2"/>
  <c r="AC132" i="2"/>
  <c r="Y132" i="2"/>
  <c r="BJ49" i="2"/>
  <c r="BE49" i="2"/>
  <c r="BD49" i="2"/>
  <c r="AH49" i="2"/>
  <c r="AC49" i="2"/>
  <c r="Y49" i="2"/>
  <c r="W49" i="2"/>
  <c r="BJ98" i="2"/>
  <c r="BE98" i="2"/>
  <c r="AH98" i="2"/>
  <c r="BD98" i="2"/>
  <c r="Y98" i="2"/>
  <c r="AC98" i="2"/>
  <c r="W98" i="2"/>
  <c r="BJ211" i="2"/>
  <c r="BE211" i="2"/>
  <c r="BD211" i="2"/>
  <c r="AH211" i="2"/>
  <c r="Y211" i="2"/>
  <c r="W211" i="2"/>
  <c r="AC211" i="2"/>
  <c r="BJ63" i="2"/>
  <c r="BE63" i="2"/>
  <c r="BD63" i="2"/>
  <c r="AH63" i="2"/>
  <c r="AC63" i="2"/>
  <c r="W63" i="2"/>
  <c r="Y63" i="2"/>
  <c r="BJ221" i="2"/>
  <c r="BE221" i="2"/>
  <c r="AH221" i="2"/>
  <c r="BD221" i="2"/>
  <c r="AC221" i="2"/>
  <c r="W221" i="2"/>
  <c r="Y221" i="2"/>
  <c r="BJ394" i="2"/>
  <c r="BE394" i="2"/>
  <c r="BD394" i="2"/>
  <c r="AH394" i="2"/>
  <c r="Y394" i="2"/>
  <c r="W394" i="2"/>
  <c r="BJ96" i="2"/>
  <c r="BE96" i="2"/>
  <c r="BD96" i="2"/>
  <c r="AH96" i="2"/>
  <c r="AC96" i="2"/>
  <c r="Y96" i="2"/>
  <c r="W96" i="2"/>
  <c r="BJ401" i="2"/>
  <c r="BE401" i="2"/>
  <c r="BD401" i="2"/>
  <c r="AH401" i="2"/>
  <c r="AC401" i="2"/>
  <c r="W401" i="2"/>
  <c r="Y401" i="2"/>
  <c r="BJ275" i="2"/>
  <c r="BE275" i="2"/>
  <c r="BD275" i="2"/>
  <c r="AH275" i="2"/>
  <c r="Y275" i="2"/>
  <c r="W275" i="2"/>
  <c r="AC275" i="2"/>
  <c r="AG392" i="2"/>
  <c r="BJ392" i="2"/>
  <c r="BE392" i="2"/>
  <c r="BD392" i="2"/>
  <c r="AH392" i="2"/>
  <c r="AC392" i="2"/>
  <c r="W392" i="2"/>
  <c r="BG392" i="2" s="1"/>
  <c r="Y392" i="2"/>
  <c r="BJ369" i="2"/>
  <c r="BE369" i="2"/>
  <c r="BD369" i="2"/>
  <c r="AH369" i="2"/>
  <c r="AC369" i="2"/>
  <c r="Y369" i="2"/>
  <c r="W369" i="2"/>
  <c r="BJ405" i="2"/>
  <c r="BE405" i="2"/>
  <c r="BD405" i="2"/>
  <c r="AH405" i="2"/>
  <c r="Y405" i="2"/>
  <c r="W405" i="2"/>
  <c r="AC405" i="2"/>
  <c r="BJ442" i="2"/>
  <c r="BE442" i="2"/>
  <c r="BD442" i="2"/>
  <c r="AH442" i="2"/>
  <c r="AC442" i="2"/>
  <c r="W442" i="2"/>
  <c r="Y442" i="2"/>
  <c r="BJ470" i="2"/>
  <c r="BE470" i="2"/>
  <c r="BD470" i="2"/>
  <c r="AH470" i="2"/>
  <c r="AC470" i="2"/>
  <c r="W470" i="2"/>
  <c r="BJ490" i="2"/>
  <c r="BE490" i="2"/>
  <c r="BD490" i="2"/>
  <c r="AH490" i="2"/>
  <c r="Y490" i="2"/>
  <c r="W490" i="2"/>
  <c r="AC490" i="2"/>
  <c r="BJ496" i="2"/>
  <c r="BE496" i="2"/>
  <c r="BD496" i="2"/>
  <c r="AH496" i="2"/>
  <c r="AC496" i="2"/>
  <c r="Y496" i="2"/>
  <c r="W496" i="2"/>
  <c r="BJ535" i="2"/>
  <c r="BE535" i="2"/>
  <c r="BD535" i="2"/>
  <c r="AH535" i="2"/>
  <c r="AC535" i="2"/>
  <c r="W535" i="2"/>
  <c r="Y535" i="2"/>
  <c r="BJ506" i="2"/>
  <c r="BE506" i="2"/>
  <c r="BD506" i="2"/>
  <c r="AH506" i="2"/>
  <c r="Y506" i="2"/>
  <c r="W506" i="2"/>
  <c r="AC506" i="2"/>
  <c r="BJ533" i="2"/>
  <c r="BE533" i="2"/>
  <c r="BD533" i="2"/>
  <c r="AH533" i="2"/>
  <c r="AC533" i="2"/>
  <c r="W533" i="2"/>
  <c r="Y533" i="2"/>
  <c r="BJ564" i="2"/>
  <c r="BE564" i="2"/>
  <c r="BD564" i="2"/>
  <c r="AH564" i="2"/>
  <c r="AC564" i="2"/>
  <c r="Y564" i="2"/>
  <c r="W564" i="2"/>
  <c r="BJ610" i="2"/>
  <c r="BE610" i="2"/>
  <c r="AH610" i="2"/>
  <c r="BD610" i="2"/>
  <c r="Y610" i="2"/>
  <c r="W610" i="2"/>
  <c r="AY669" i="2"/>
  <c r="BJ669" i="2"/>
  <c r="BE669" i="2"/>
  <c r="BD669" i="2"/>
  <c r="AH669" i="2"/>
  <c r="AC669" i="2"/>
  <c r="W669" i="2"/>
  <c r="Y669" i="2"/>
  <c r="BJ531" i="2"/>
  <c r="BE531" i="2"/>
  <c r="BD531" i="2"/>
  <c r="AH531" i="2"/>
  <c r="AC531" i="2"/>
  <c r="W531" i="2"/>
  <c r="BJ582" i="2"/>
  <c r="BE582" i="2"/>
  <c r="BD582" i="2"/>
  <c r="AH582" i="2"/>
  <c r="Y582" i="2"/>
  <c r="W582" i="2"/>
  <c r="AC582" i="2"/>
  <c r="BJ672" i="2"/>
  <c r="BE672" i="2"/>
  <c r="BD672" i="2"/>
  <c r="AH672" i="2"/>
  <c r="AC672" i="2"/>
  <c r="Y672" i="2"/>
  <c r="W672" i="2"/>
  <c r="BJ769" i="2"/>
  <c r="BK769" i="2" s="1"/>
  <c r="BE769" i="2"/>
  <c r="AH769" i="2"/>
  <c r="Y769" i="2"/>
  <c r="BD769" i="2"/>
  <c r="AC769" i="2"/>
  <c r="W769" i="2"/>
  <c r="BJ859" i="2"/>
  <c r="BE859" i="2"/>
  <c r="BD859" i="2"/>
  <c r="AH859" i="2"/>
  <c r="W859" i="2"/>
  <c r="BG859" i="2" s="1"/>
  <c r="AC859" i="2"/>
  <c r="Y859" i="2"/>
  <c r="BJ642" i="2"/>
  <c r="BE642" i="2"/>
  <c r="BD642" i="2"/>
  <c r="AH642" i="2"/>
  <c r="Y642" i="2"/>
  <c r="AC642" i="2"/>
  <c r="W642" i="2"/>
  <c r="BJ778" i="2"/>
  <c r="BK778" i="2" s="1"/>
  <c r="BE778" i="2"/>
  <c r="AH778" i="2"/>
  <c r="BD778" i="2"/>
  <c r="AC778" i="2"/>
  <c r="Y778" i="2"/>
  <c r="W778" i="2"/>
  <c r="BG778" i="2" s="1"/>
  <c r="BJ903" i="2"/>
  <c r="BE903" i="2"/>
  <c r="BD903" i="2"/>
  <c r="AH903" i="2"/>
  <c r="Y903" i="2"/>
  <c r="W903" i="2"/>
  <c r="AC903" i="2"/>
  <c r="BJ1056" i="2"/>
  <c r="BE1056" i="2"/>
  <c r="BD1056" i="2"/>
  <c r="AH1056" i="2"/>
  <c r="AC1056" i="2"/>
  <c r="Y1056" i="2"/>
  <c r="W1056" i="2"/>
  <c r="BJ929" i="2"/>
  <c r="BE929" i="2"/>
  <c r="BD929" i="2"/>
  <c r="AH929" i="2"/>
  <c r="AC929" i="2"/>
  <c r="W929" i="2"/>
  <c r="Y929" i="2"/>
  <c r="BJ831" i="2"/>
  <c r="BE831" i="2"/>
  <c r="AH831" i="2"/>
  <c r="BD831" i="2"/>
  <c r="W831" i="2"/>
  <c r="AC831" i="2"/>
  <c r="Y831" i="2"/>
  <c r="BJ993" i="2"/>
  <c r="BE993" i="2"/>
  <c r="AH993" i="2"/>
  <c r="BD993" i="2"/>
  <c r="Y993" i="2"/>
  <c r="AC993" i="2"/>
  <c r="W993" i="2"/>
  <c r="AG1076" i="2"/>
  <c r="BJ1076" i="2"/>
  <c r="BE1076" i="2"/>
  <c r="BD1076" i="2"/>
  <c r="AH1076" i="2"/>
  <c r="Y1076" i="2"/>
  <c r="AC1076" i="2"/>
  <c r="W1076" i="2"/>
  <c r="BJ1125" i="2"/>
  <c r="BK1125" i="2" s="1"/>
  <c r="BE1125" i="2"/>
  <c r="BD1125" i="2"/>
  <c r="AH1125" i="2"/>
  <c r="Y1125" i="2"/>
  <c r="W1125" i="2"/>
  <c r="AC1125" i="2"/>
  <c r="BJ1163" i="2"/>
  <c r="BE1163" i="2"/>
  <c r="BD1163" i="2"/>
  <c r="AH1163" i="2"/>
  <c r="AC1163" i="2"/>
  <c r="Y1163" i="2"/>
  <c r="W1163" i="2"/>
  <c r="BJ906" i="2"/>
  <c r="BE906" i="2"/>
  <c r="AH906" i="2"/>
  <c r="BD906" i="2"/>
  <c r="AC906" i="2"/>
  <c r="Y906" i="2"/>
  <c r="W906" i="2"/>
  <c r="BJ989" i="2"/>
  <c r="BE989" i="2"/>
  <c r="BD989" i="2"/>
  <c r="AH989" i="2"/>
  <c r="Y989" i="2"/>
  <c r="W989" i="2"/>
  <c r="AC989" i="2"/>
  <c r="BJ1069" i="2"/>
  <c r="BE1069" i="2"/>
  <c r="BD1069" i="2"/>
  <c r="AH1069" i="2"/>
  <c r="AC1069" i="2"/>
  <c r="W1069" i="2"/>
  <c r="Y1069" i="2"/>
  <c r="BJ1200" i="2"/>
  <c r="BE1200" i="2"/>
  <c r="AH1200" i="2"/>
  <c r="AC1200" i="2"/>
  <c r="BD1200" i="2"/>
  <c r="Y1200" i="2"/>
  <c r="W1200" i="2"/>
  <c r="BJ1021" i="2"/>
  <c r="BE1021" i="2"/>
  <c r="BD1021" i="2"/>
  <c r="AH1021" i="2"/>
  <c r="AC1021" i="2"/>
  <c r="Y1021" i="2"/>
  <c r="W1021" i="2"/>
  <c r="BJ1198" i="2"/>
  <c r="BE1198" i="2"/>
  <c r="BD1198" i="2"/>
  <c r="AH1198" i="2"/>
  <c r="AC1198" i="2"/>
  <c r="Y1198" i="2"/>
  <c r="W1198" i="2"/>
  <c r="AY1168" i="2"/>
  <c r="BJ1168" i="2"/>
  <c r="BE1168" i="2"/>
  <c r="BD1168" i="2"/>
  <c r="AH1168" i="2"/>
  <c r="AC1168" i="2"/>
  <c r="Y1168" i="2"/>
  <c r="W1168" i="2"/>
  <c r="AY880" i="2"/>
  <c r="BJ880" i="2"/>
  <c r="BE880" i="2"/>
  <c r="AH880" i="2"/>
  <c r="BD880" i="2"/>
  <c r="AC880" i="2"/>
  <c r="W880" i="2"/>
  <c r="Y880" i="2"/>
  <c r="BJ1172" i="2"/>
  <c r="BE1172" i="2"/>
  <c r="AH1172" i="2"/>
  <c r="BD1172" i="2"/>
  <c r="AC1172" i="2"/>
  <c r="Y1172" i="2"/>
  <c r="W1172" i="2"/>
  <c r="BJ1218" i="2"/>
  <c r="BE1218" i="2"/>
  <c r="BD1218" i="2"/>
  <c r="AH1218" i="2"/>
  <c r="AC1218" i="2"/>
  <c r="Y1218" i="2"/>
  <c r="W1218" i="2"/>
  <c r="BJ1182" i="2"/>
  <c r="BE1182" i="2"/>
  <c r="BD1182" i="2"/>
  <c r="AH1182" i="2"/>
  <c r="AC1182" i="2"/>
  <c r="Y1182" i="2"/>
  <c r="W1182" i="2"/>
  <c r="BJ1239" i="2"/>
  <c r="BE1239" i="2"/>
  <c r="BD1239" i="2"/>
  <c r="AH1239" i="2"/>
  <c r="AC1239" i="2"/>
  <c r="Y1239" i="2"/>
  <c r="W1239" i="2"/>
  <c r="BJ1227" i="2"/>
  <c r="BK1227" i="2" s="1"/>
  <c r="BE1227" i="2"/>
  <c r="AH1227" i="2"/>
  <c r="BD1227" i="2"/>
  <c r="AC1227" i="2"/>
  <c r="Y1227" i="2"/>
  <c r="W1227" i="2"/>
  <c r="W495" i="2"/>
  <c r="Y777" i="2"/>
  <c r="AC366" i="2"/>
  <c r="AC1098" i="2"/>
  <c r="BD530" i="2"/>
  <c r="AY689" i="2"/>
  <c r="AY335" i="2"/>
  <c r="AG810" i="2"/>
  <c r="BJ28" i="2"/>
  <c r="BE28" i="2"/>
  <c r="BD28" i="2"/>
  <c r="AH28" i="2"/>
  <c r="Y28" i="2"/>
  <c r="W28" i="2"/>
  <c r="AC28" i="2"/>
  <c r="BJ58" i="2"/>
  <c r="BE58" i="2"/>
  <c r="AH58" i="2"/>
  <c r="BD58" i="2"/>
  <c r="Y58" i="2"/>
  <c r="AC58" i="2"/>
  <c r="W58" i="2"/>
  <c r="BJ44" i="2"/>
  <c r="BD44" i="2"/>
  <c r="AH44" i="2"/>
  <c r="Y44" i="2"/>
  <c r="BE44" i="2"/>
  <c r="W44" i="2"/>
  <c r="AC44" i="2"/>
  <c r="AY133" i="2"/>
  <c r="BJ133" i="2"/>
  <c r="BE133" i="2"/>
  <c r="BD133" i="2"/>
  <c r="AH133" i="2"/>
  <c r="Y133" i="2"/>
  <c r="W133" i="2"/>
  <c r="AC133" i="2"/>
  <c r="BJ62" i="2"/>
  <c r="BE62" i="2"/>
  <c r="BD62" i="2"/>
  <c r="AH62" i="2"/>
  <c r="Y62" i="2"/>
  <c r="AC62" i="2"/>
  <c r="W62" i="2"/>
  <c r="BJ113" i="2"/>
  <c r="BE113" i="2"/>
  <c r="AH113" i="2"/>
  <c r="Y113" i="2"/>
  <c r="BD113" i="2"/>
  <c r="W113" i="2"/>
  <c r="AC113" i="2"/>
  <c r="BJ223" i="2"/>
  <c r="BE223" i="2"/>
  <c r="BD223" i="2"/>
  <c r="AH223" i="2"/>
  <c r="Y223" i="2"/>
  <c r="W223" i="2"/>
  <c r="AC223" i="2"/>
  <c r="BJ68" i="2"/>
  <c r="BE68" i="2"/>
  <c r="BD68" i="2"/>
  <c r="AH68" i="2"/>
  <c r="Y68" i="2"/>
  <c r="AC68" i="2"/>
  <c r="W68" i="2"/>
  <c r="BJ233" i="2"/>
  <c r="BE233" i="2"/>
  <c r="BD233" i="2"/>
  <c r="AH233" i="2"/>
  <c r="Y233" i="2"/>
  <c r="W233" i="2"/>
  <c r="AC233" i="2"/>
  <c r="AG396" i="2"/>
  <c r="BJ396" i="2"/>
  <c r="BE396" i="2"/>
  <c r="BD396" i="2"/>
  <c r="AH396" i="2"/>
  <c r="Y396" i="2"/>
  <c r="W396" i="2"/>
  <c r="AC396" i="2"/>
  <c r="BJ116" i="2"/>
  <c r="BE116" i="2"/>
  <c r="BD116" i="2"/>
  <c r="AH116" i="2"/>
  <c r="Y116" i="2"/>
  <c r="AC116" i="2"/>
  <c r="W116" i="2"/>
  <c r="BJ407" i="2"/>
  <c r="BD407" i="2"/>
  <c r="BE407" i="2"/>
  <c r="AH407" i="2"/>
  <c r="Y407" i="2"/>
  <c r="W407" i="2"/>
  <c r="AC407" i="2"/>
  <c r="BJ276" i="2"/>
  <c r="BE276" i="2"/>
  <c r="BD276" i="2"/>
  <c r="AH276" i="2"/>
  <c r="Y276" i="2"/>
  <c r="W276" i="2"/>
  <c r="AC276" i="2"/>
  <c r="BJ413" i="2"/>
  <c r="BE413" i="2"/>
  <c r="BD413" i="2"/>
  <c r="AH413" i="2"/>
  <c r="Y413" i="2"/>
  <c r="AC413" i="2"/>
  <c r="W413" i="2"/>
  <c r="BJ397" i="2"/>
  <c r="BE397" i="2"/>
  <c r="BD397" i="2"/>
  <c r="AH397" i="2"/>
  <c r="Y397" i="2"/>
  <c r="W397" i="2"/>
  <c r="AC397" i="2"/>
  <c r="BJ450" i="2"/>
  <c r="BE450" i="2"/>
  <c r="BD450" i="2"/>
  <c r="AH450" i="2"/>
  <c r="Y450" i="2"/>
  <c r="W450" i="2"/>
  <c r="AC450" i="2"/>
  <c r="BJ444" i="2"/>
  <c r="BE444" i="2"/>
  <c r="AH444" i="2"/>
  <c r="BD444" i="2"/>
  <c r="Y444" i="2"/>
  <c r="AC444" i="2"/>
  <c r="W444" i="2"/>
  <c r="BJ473" i="2"/>
  <c r="BD473" i="2"/>
  <c r="BE473" i="2"/>
  <c r="AH473" i="2"/>
  <c r="Y473" i="2"/>
  <c r="W473" i="2"/>
  <c r="AC473" i="2"/>
  <c r="BJ493" i="2"/>
  <c r="BE493" i="2"/>
  <c r="BD493" i="2"/>
  <c r="AH493" i="2"/>
  <c r="Y493" i="2"/>
  <c r="W493" i="2"/>
  <c r="AC493" i="2"/>
  <c r="BJ499" i="2"/>
  <c r="BE499" i="2"/>
  <c r="BD499" i="2"/>
  <c r="AH499" i="2"/>
  <c r="Y499" i="2"/>
  <c r="AC499" i="2"/>
  <c r="W499" i="2"/>
  <c r="BJ562" i="2"/>
  <c r="BD562" i="2"/>
  <c r="AH562" i="2"/>
  <c r="BE562" i="2"/>
  <c r="Y562" i="2"/>
  <c r="W562" i="2"/>
  <c r="BG562" i="2" s="1"/>
  <c r="AC562" i="2"/>
  <c r="BJ508" i="2"/>
  <c r="BE508" i="2"/>
  <c r="BD508" i="2"/>
  <c r="AH508" i="2"/>
  <c r="Y508" i="2"/>
  <c r="W508" i="2"/>
  <c r="AC508" i="2"/>
  <c r="BJ534" i="2"/>
  <c r="BE534" i="2"/>
  <c r="BD534" i="2"/>
  <c r="AH534" i="2"/>
  <c r="Y534" i="2"/>
  <c r="AC534" i="2"/>
  <c r="W534" i="2"/>
  <c r="BJ565" i="2"/>
  <c r="BD565" i="2"/>
  <c r="AH565" i="2"/>
  <c r="BE565" i="2"/>
  <c r="Y565" i="2"/>
  <c r="W565" i="2"/>
  <c r="AC565" i="2"/>
  <c r="BJ611" i="2"/>
  <c r="BE611" i="2"/>
  <c r="BD611" i="2"/>
  <c r="AH611" i="2"/>
  <c r="Y611" i="2"/>
  <c r="W611" i="2"/>
  <c r="AC611" i="2"/>
  <c r="BJ670" i="2"/>
  <c r="BE670" i="2"/>
  <c r="BD670" i="2"/>
  <c r="AH670" i="2"/>
  <c r="Y670" i="2"/>
  <c r="AC670" i="2"/>
  <c r="W670" i="2"/>
  <c r="BJ537" i="2"/>
  <c r="BD537" i="2"/>
  <c r="BE537" i="2"/>
  <c r="AH537" i="2"/>
  <c r="Y537" i="2"/>
  <c r="W537" i="2"/>
  <c r="AC537" i="2"/>
  <c r="BJ583" i="2"/>
  <c r="BE583" i="2"/>
  <c r="BD583" i="2"/>
  <c r="AH583" i="2"/>
  <c r="Y583" i="2"/>
  <c r="W583" i="2"/>
  <c r="AC583" i="2"/>
  <c r="BJ673" i="2"/>
  <c r="BE673" i="2"/>
  <c r="BD673" i="2"/>
  <c r="AH673" i="2"/>
  <c r="Y673" i="2"/>
  <c r="AC673" i="2"/>
  <c r="W673" i="2"/>
  <c r="BJ770" i="2"/>
  <c r="BD770" i="2"/>
  <c r="AH770" i="2"/>
  <c r="BE770" i="2"/>
  <c r="Y770" i="2"/>
  <c r="W770" i="2"/>
  <c r="BH770" i="2" s="1"/>
  <c r="AC770" i="2"/>
  <c r="BJ874" i="2"/>
  <c r="BE874" i="2"/>
  <c r="BD874" i="2"/>
  <c r="AH874" i="2"/>
  <c r="Y874" i="2"/>
  <c r="W874" i="2"/>
  <c r="AC874" i="2"/>
  <c r="BJ649" i="2"/>
  <c r="BE649" i="2"/>
  <c r="AH649" i="2"/>
  <c r="Y649" i="2"/>
  <c r="AC649" i="2"/>
  <c r="W649" i="2"/>
  <c r="BD649" i="2"/>
  <c r="BJ779" i="2"/>
  <c r="BK779" i="2" s="1"/>
  <c r="BD779" i="2"/>
  <c r="BE779" i="2"/>
  <c r="AH779" i="2"/>
  <c r="Y779" i="2"/>
  <c r="W779" i="2"/>
  <c r="AC779" i="2"/>
  <c r="BJ949" i="2"/>
  <c r="BE949" i="2"/>
  <c r="BD949" i="2"/>
  <c r="AH949" i="2"/>
  <c r="Y949" i="2"/>
  <c r="W949" i="2"/>
  <c r="AC949" i="2"/>
  <c r="BJ1075" i="2"/>
  <c r="BE1075" i="2"/>
  <c r="BD1075" i="2"/>
  <c r="AH1075" i="2"/>
  <c r="Y1075" i="2"/>
  <c r="AC1075" i="2"/>
  <c r="W1075" i="2"/>
  <c r="BJ930" i="2"/>
  <c r="BE930" i="2"/>
  <c r="BD930" i="2"/>
  <c r="AH930" i="2"/>
  <c r="Y930" i="2"/>
  <c r="W930" i="2"/>
  <c r="AC930" i="2"/>
  <c r="BJ860" i="2"/>
  <c r="BE860" i="2"/>
  <c r="AH860" i="2"/>
  <c r="BD860" i="2"/>
  <c r="Y860" i="2"/>
  <c r="W860" i="2"/>
  <c r="AC860" i="2"/>
  <c r="BJ998" i="2"/>
  <c r="BE998" i="2"/>
  <c r="BD998" i="2"/>
  <c r="AH998" i="2"/>
  <c r="Y998" i="2"/>
  <c r="AC998" i="2"/>
  <c r="W998" i="2"/>
  <c r="AY1078" i="2"/>
  <c r="BJ1078" i="2"/>
  <c r="BD1078" i="2"/>
  <c r="BE1078" i="2"/>
  <c r="AH1078" i="2"/>
  <c r="Y1078" i="2"/>
  <c r="W1078" i="2"/>
  <c r="AC1078" i="2"/>
  <c r="BJ1126" i="2"/>
  <c r="BE1126" i="2"/>
  <c r="BD1126" i="2"/>
  <c r="AH1126" i="2"/>
  <c r="Y1126" i="2"/>
  <c r="W1126" i="2"/>
  <c r="AC1126" i="2"/>
  <c r="BJ1164" i="2"/>
  <c r="BE1164" i="2"/>
  <c r="BD1164" i="2"/>
  <c r="AH1164" i="2"/>
  <c r="Y1164" i="2"/>
  <c r="AC1164" i="2"/>
  <c r="W1164" i="2"/>
  <c r="BJ912" i="2"/>
  <c r="BD912" i="2"/>
  <c r="BE912" i="2"/>
  <c r="AH912" i="2"/>
  <c r="Y912" i="2"/>
  <c r="W912" i="2"/>
  <c r="AC912" i="2"/>
  <c r="BJ994" i="2"/>
  <c r="BE994" i="2"/>
  <c r="BD994" i="2"/>
  <c r="AH994" i="2"/>
  <c r="Y994" i="2"/>
  <c r="W994" i="2"/>
  <c r="AC994" i="2"/>
  <c r="BJ1077" i="2"/>
  <c r="BE1077" i="2"/>
  <c r="AH1077" i="2"/>
  <c r="Y1077" i="2"/>
  <c r="BD1077" i="2"/>
  <c r="AC1077" i="2"/>
  <c r="W1077" i="2"/>
  <c r="BJ878" i="2"/>
  <c r="BE878" i="2"/>
  <c r="BD878" i="2"/>
  <c r="AH878" i="2"/>
  <c r="Y878" i="2"/>
  <c r="W878" i="2"/>
  <c r="AC878" i="2"/>
  <c r="AY1025" i="2"/>
  <c r="BJ1025" i="2"/>
  <c r="BE1025" i="2"/>
  <c r="BD1025" i="2"/>
  <c r="AH1025" i="2"/>
  <c r="Y1025" i="2"/>
  <c r="AC1025" i="2"/>
  <c r="W1025" i="2"/>
  <c r="BJ602" i="2"/>
  <c r="BE602" i="2"/>
  <c r="BD602" i="2"/>
  <c r="AH602" i="2"/>
  <c r="Y602" i="2"/>
  <c r="AC602" i="2"/>
  <c r="W602" i="2"/>
  <c r="BJ1170" i="2"/>
  <c r="BD1170" i="2"/>
  <c r="AH1170" i="2"/>
  <c r="Y1170" i="2"/>
  <c r="BE1170" i="2"/>
  <c r="W1170" i="2"/>
  <c r="AC1170" i="2"/>
  <c r="BJ1134" i="2"/>
  <c r="BE1134" i="2"/>
  <c r="BD1134" i="2"/>
  <c r="AH1134" i="2"/>
  <c r="Y1134" i="2"/>
  <c r="AC1134" i="2"/>
  <c r="W1134" i="2"/>
  <c r="BJ1176" i="2"/>
  <c r="BE1176" i="2"/>
  <c r="BD1176" i="2"/>
  <c r="AH1176" i="2"/>
  <c r="AC1176" i="2"/>
  <c r="Y1176" i="2"/>
  <c r="W1176" i="2"/>
  <c r="BJ1219" i="2"/>
  <c r="BD1219" i="2"/>
  <c r="AH1219" i="2"/>
  <c r="AC1219" i="2"/>
  <c r="Y1219" i="2"/>
  <c r="BE1219" i="2"/>
  <c r="W1219" i="2"/>
  <c r="Y70" i="2"/>
  <c r="AC394" i="2"/>
  <c r="BD1121" i="2"/>
  <c r="BJ55" i="2"/>
  <c r="BE55" i="2"/>
  <c r="BD55" i="2"/>
  <c r="AH55" i="2"/>
  <c r="AC55" i="2"/>
  <c r="AG55" i="2"/>
  <c r="Y55" i="2"/>
  <c r="W55" i="2"/>
  <c r="BJ101" i="2"/>
  <c r="BE101" i="2"/>
  <c r="BD101" i="2"/>
  <c r="AH101" i="2"/>
  <c r="AG101" i="2"/>
  <c r="AC101" i="2"/>
  <c r="Y101" i="2"/>
  <c r="BJ134" i="2"/>
  <c r="BE134" i="2"/>
  <c r="BD134" i="2"/>
  <c r="AH134" i="2"/>
  <c r="AG134" i="2"/>
  <c r="Y134" i="2"/>
  <c r="W134" i="2"/>
  <c r="BG134" i="2" s="1"/>
  <c r="AC134" i="2"/>
  <c r="BJ146" i="2"/>
  <c r="BE146" i="2"/>
  <c r="BD146" i="2"/>
  <c r="AH146" i="2"/>
  <c r="AG146" i="2"/>
  <c r="AC146" i="2"/>
  <c r="Y146" i="2"/>
  <c r="W146" i="2"/>
  <c r="BJ172" i="2"/>
  <c r="BE172" i="2"/>
  <c r="BD172" i="2"/>
  <c r="AH172" i="2"/>
  <c r="AG172" i="2"/>
  <c r="AC172" i="2"/>
  <c r="Y172" i="2"/>
  <c r="BJ184" i="2"/>
  <c r="BE184" i="2"/>
  <c r="BD184" i="2"/>
  <c r="AH184" i="2"/>
  <c r="AG184" i="2"/>
  <c r="AC184" i="2"/>
  <c r="Y184" i="2"/>
  <c r="W184" i="2"/>
  <c r="BJ197" i="2"/>
  <c r="BE197" i="2"/>
  <c r="BD197" i="2"/>
  <c r="AH197" i="2"/>
  <c r="AG197" i="2"/>
  <c r="AC197" i="2"/>
  <c r="Y197" i="2"/>
  <c r="W197" i="2"/>
  <c r="BJ209" i="2"/>
  <c r="BE209" i="2"/>
  <c r="BD209" i="2"/>
  <c r="AH209" i="2"/>
  <c r="AG209" i="2"/>
  <c r="AC209" i="2"/>
  <c r="Y209" i="2"/>
  <c r="BJ228" i="2"/>
  <c r="BE228" i="2"/>
  <c r="BD228" i="2"/>
  <c r="AH228" i="2"/>
  <c r="AC228" i="2"/>
  <c r="AG228" i="2"/>
  <c r="Y228" i="2"/>
  <c r="W228" i="2"/>
  <c r="AY247" i="2"/>
  <c r="BJ247" i="2"/>
  <c r="BE247" i="2"/>
  <c r="BD247" i="2"/>
  <c r="AH247" i="2"/>
  <c r="AG247" i="2"/>
  <c r="AC247" i="2"/>
  <c r="Y247" i="2"/>
  <c r="W247" i="2"/>
  <c r="BG247" i="2" s="1"/>
  <c r="BJ259" i="2"/>
  <c r="BE259" i="2"/>
  <c r="BD259" i="2"/>
  <c r="AH259" i="2"/>
  <c r="AG259" i="2"/>
  <c r="AC259" i="2"/>
  <c r="Y259" i="2"/>
  <c r="BJ271" i="2"/>
  <c r="BE271" i="2"/>
  <c r="BD271" i="2"/>
  <c r="AH271" i="2"/>
  <c r="AG271" i="2"/>
  <c r="AC271" i="2"/>
  <c r="Y271" i="2"/>
  <c r="W271" i="2"/>
  <c r="BJ290" i="2"/>
  <c r="BE290" i="2"/>
  <c r="BD290" i="2"/>
  <c r="AH290" i="2"/>
  <c r="AG290" i="2"/>
  <c r="AC290" i="2"/>
  <c r="Y290" i="2"/>
  <c r="W290" i="2"/>
  <c r="BJ302" i="2"/>
  <c r="BE302" i="2"/>
  <c r="BD302" i="2"/>
  <c r="AH302" i="2"/>
  <c r="AG302" i="2"/>
  <c r="AC302" i="2"/>
  <c r="Y302" i="2"/>
  <c r="BJ314" i="2"/>
  <c r="BE314" i="2"/>
  <c r="BD314" i="2"/>
  <c r="AH314" i="2"/>
  <c r="AG314" i="2"/>
  <c r="AC314" i="2"/>
  <c r="Y314" i="2"/>
  <c r="W314" i="2"/>
  <c r="BJ326" i="2"/>
  <c r="BE326" i="2"/>
  <c r="BD326" i="2"/>
  <c r="AH326" i="2"/>
  <c r="AG326" i="2"/>
  <c r="AC326" i="2"/>
  <c r="Y326" i="2"/>
  <c r="W326" i="2"/>
  <c r="BJ339" i="2"/>
  <c r="BE339" i="2"/>
  <c r="BD339" i="2"/>
  <c r="AH339" i="2"/>
  <c r="AC339" i="2"/>
  <c r="AG339" i="2"/>
  <c r="Y339" i="2"/>
  <c r="BJ354" i="2"/>
  <c r="BE354" i="2"/>
  <c r="BD354" i="2"/>
  <c r="AH354" i="2"/>
  <c r="AC354" i="2"/>
  <c r="AG354" i="2"/>
  <c r="Y354" i="2"/>
  <c r="W354" i="2"/>
  <c r="BJ378" i="2"/>
  <c r="BE378" i="2"/>
  <c r="BD378" i="2"/>
  <c r="AH378" i="2"/>
  <c r="AC378" i="2"/>
  <c r="Y378" i="2"/>
  <c r="W378" i="2"/>
  <c r="BJ418" i="2"/>
  <c r="BE418" i="2"/>
  <c r="BD418" i="2"/>
  <c r="AH418" i="2"/>
  <c r="AG418" i="2"/>
  <c r="AC418" i="2"/>
  <c r="Y418" i="2"/>
  <c r="BJ438" i="2"/>
  <c r="BE438" i="2"/>
  <c r="BD438" i="2"/>
  <c r="AH438" i="2"/>
  <c r="AG438" i="2"/>
  <c r="AC438" i="2"/>
  <c r="Y438" i="2"/>
  <c r="W438" i="2"/>
  <c r="BJ485" i="2"/>
  <c r="BE485" i="2"/>
  <c r="BD485" i="2"/>
  <c r="AH485" i="2"/>
  <c r="AG485" i="2"/>
  <c r="AC485" i="2"/>
  <c r="Y485" i="2"/>
  <c r="W485" i="2"/>
  <c r="BJ588" i="2"/>
  <c r="BE588" i="2"/>
  <c r="BD588" i="2"/>
  <c r="AG588" i="2"/>
  <c r="AH588" i="2"/>
  <c r="AC588" i="2"/>
  <c r="Y588" i="2"/>
  <c r="BJ601" i="2"/>
  <c r="BE601" i="2"/>
  <c r="BD601" i="2"/>
  <c r="AG601" i="2"/>
  <c r="AC601" i="2"/>
  <c r="Y601" i="2"/>
  <c r="W601" i="2"/>
  <c r="AH601" i="2"/>
  <c r="BJ626" i="2"/>
  <c r="BE626" i="2"/>
  <c r="BD626" i="2"/>
  <c r="AG626" i="2"/>
  <c r="AH626" i="2"/>
  <c r="AC626" i="2"/>
  <c r="Y626" i="2"/>
  <c r="W626" i="2"/>
  <c r="AY643" i="2"/>
  <c r="BJ643" i="2"/>
  <c r="BE643" i="2"/>
  <c r="BD643" i="2"/>
  <c r="AH643" i="2"/>
  <c r="AC643" i="2"/>
  <c r="Y643" i="2"/>
  <c r="BJ680" i="2"/>
  <c r="BE680" i="2"/>
  <c r="BD680" i="2"/>
  <c r="AH680" i="2"/>
  <c r="AG680" i="2"/>
  <c r="AC680" i="2"/>
  <c r="Y680" i="2"/>
  <c r="W680" i="2"/>
  <c r="BJ692" i="2"/>
  <c r="BE692" i="2"/>
  <c r="BD692" i="2"/>
  <c r="AH692" i="2"/>
  <c r="AG692" i="2"/>
  <c r="AC692" i="2"/>
  <c r="Y692" i="2"/>
  <c r="W692" i="2"/>
  <c r="BG692" i="2" s="1"/>
  <c r="BJ709" i="2"/>
  <c r="BE709" i="2"/>
  <c r="BD709" i="2"/>
  <c r="AH709" i="2"/>
  <c r="AG709" i="2"/>
  <c r="AC709" i="2"/>
  <c r="Y709" i="2"/>
  <c r="BJ722" i="2"/>
  <c r="BE722" i="2"/>
  <c r="BD722" i="2"/>
  <c r="AG722" i="2"/>
  <c r="AH722" i="2"/>
  <c r="AC722" i="2"/>
  <c r="Y722" i="2"/>
  <c r="W722" i="2"/>
  <c r="BJ736" i="2"/>
  <c r="BE736" i="2"/>
  <c r="BD736" i="2"/>
  <c r="AH736" i="2"/>
  <c r="AC736" i="2"/>
  <c r="AG736" i="2"/>
  <c r="Y736" i="2"/>
  <c r="W736" i="2"/>
  <c r="BJ748" i="2"/>
  <c r="BE748" i="2"/>
  <c r="BD748" i="2"/>
  <c r="AH748" i="2"/>
  <c r="AC748" i="2"/>
  <c r="AG748" i="2"/>
  <c r="Y748" i="2"/>
  <c r="BJ760" i="2"/>
  <c r="BE760" i="2"/>
  <c r="BD760" i="2"/>
  <c r="AH760" i="2"/>
  <c r="AG760" i="2"/>
  <c r="AC760" i="2"/>
  <c r="Y760" i="2"/>
  <c r="W760" i="2"/>
  <c r="BJ794" i="2"/>
  <c r="BE794" i="2"/>
  <c r="BD794" i="2"/>
  <c r="AG794" i="2"/>
  <c r="AH794" i="2"/>
  <c r="AC794" i="2"/>
  <c r="Y794" i="2"/>
  <c r="W794" i="2"/>
  <c r="BJ813" i="2"/>
  <c r="BD813" i="2"/>
  <c r="BE813" i="2"/>
  <c r="AC813" i="2"/>
  <c r="AH813" i="2"/>
  <c r="Y813" i="2"/>
  <c r="BJ841" i="2"/>
  <c r="BE841" i="2"/>
  <c r="BD841" i="2"/>
  <c r="AH841" i="2"/>
  <c r="AC841" i="2"/>
  <c r="Y841" i="2"/>
  <c r="W841" i="2"/>
  <c r="BJ853" i="2"/>
  <c r="BE853" i="2"/>
  <c r="BD853" i="2"/>
  <c r="AC853" i="2"/>
  <c r="AH853" i="2"/>
  <c r="Y853" i="2"/>
  <c r="W853" i="2"/>
  <c r="BJ867" i="2"/>
  <c r="BE867" i="2"/>
  <c r="BD867" i="2"/>
  <c r="AC867" i="2"/>
  <c r="AH867" i="2"/>
  <c r="Y867" i="2"/>
  <c r="BJ896" i="2"/>
  <c r="BD896" i="2"/>
  <c r="BE896" i="2"/>
  <c r="AG896" i="2"/>
  <c r="AH896" i="2"/>
  <c r="AC896" i="2"/>
  <c r="Y896" i="2"/>
  <c r="W896" i="2"/>
  <c r="BJ918" i="2"/>
  <c r="BE918" i="2"/>
  <c r="BD918" i="2"/>
  <c r="AC918" i="2"/>
  <c r="AH918" i="2"/>
  <c r="Y918" i="2"/>
  <c r="W918" i="2"/>
  <c r="BJ937" i="2"/>
  <c r="BE937" i="2"/>
  <c r="BD937" i="2"/>
  <c r="AC937" i="2"/>
  <c r="AH937" i="2"/>
  <c r="Y937" i="2"/>
  <c r="BJ950" i="2"/>
  <c r="BE950" i="2"/>
  <c r="BD950" i="2"/>
  <c r="AH950" i="2"/>
  <c r="AC950" i="2"/>
  <c r="Y950" i="2"/>
  <c r="W950" i="2"/>
  <c r="AG991" i="2"/>
  <c r="BJ991" i="2"/>
  <c r="BE991" i="2"/>
  <c r="BD991" i="2"/>
  <c r="AH991" i="2"/>
  <c r="AC991" i="2"/>
  <c r="Y991" i="2"/>
  <c r="W991" i="2"/>
  <c r="BJ1019" i="2"/>
  <c r="BE1019" i="2"/>
  <c r="BD1019" i="2"/>
  <c r="AC1019" i="2"/>
  <c r="AH1019" i="2"/>
  <c r="Y1019" i="2"/>
  <c r="BJ1042" i="2"/>
  <c r="BD1042" i="2"/>
  <c r="AH1042" i="2"/>
  <c r="BE1042" i="2"/>
  <c r="AC1042" i="2"/>
  <c r="Y1042" i="2"/>
  <c r="W1042" i="2"/>
  <c r="BJ1054" i="2"/>
  <c r="BE1054" i="2"/>
  <c r="BD1054" i="2"/>
  <c r="AY1054" i="2"/>
  <c r="AG1054" i="2"/>
  <c r="AC1054" i="2"/>
  <c r="AH1054" i="2"/>
  <c r="Y1054" i="2"/>
  <c r="W1054" i="2"/>
  <c r="BJ1067" i="2"/>
  <c r="BE1067" i="2"/>
  <c r="AY1067" i="2"/>
  <c r="AG1067" i="2"/>
  <c r="AC1067" i="2"/>
  <c r="AH1067" i="2"/>
  <c r="BD1067" i="2"/>
  <c r="Y1067" i="2"/>
  <c r="BJ1099" i="2"/>
  <c r="BE1099" i="2"/>
  <c r="BD1099" i="2"/>
  <c r="AY1099" i="2"/>
  <c r="AH1099" i="2"/>
  <c r="AG1099" i="2"/>
  <c r="AC1099" i="2"/>
  <c r="Y1099" i="2"/>
  <c r="W1099" i="2"/>
  <c r="BJ1116" i="2"/>
  <c r="BE1116" i="2"/>
  <c r="BD1116" i="2"/>
  <c r="AY1116" i="2"/>
  <c r="AG1116" i="2"/>
  <c r="AC1116" i="2"/>
  <c r="AH1116" i="2"/>
  <c r="Y1116" i="2"/>
  <c r="W1116" i="2"/>
  <c r="BJ1188" i="2"/>
  <c r="BE1188" i="2"/>
  <c r="BD1188" i="2"/>
  <c r="AY1188" i="2"/>
  <c r="AC1188" i="2"/>
  <c r="Y1188" i="2"/>
  <c r="AH1188" i="2"/>
  <c r="BJ1217" i="2"/>
  <c r="BE1217" i="2"/>
  <c r="BD1217" i="2"/>
  <c r="AH1217" i="2"/>
  <c r="AC1217" i="2"/>
  <c r="Y1217" i="2"/>
  <c r="BJ1158" i="2"/>
  <c r="BE1158" i="2"/>
  <c r="BD1158" i="2"/>
  <c r="AH1158" i="2"/>
  <c r="Y1158" i="2"/>
  <c r="AC1158" i="2"/>
  <c r="W1158" i="2"/>
  <c r="BJ1238" i="2"/>
  <c r="BE1238" i="2"/>
  <c r="BD1238" i="2"/>
  <c r="AH1238" i="2"/>
  <c r="AC1238" i="2"/>
  <c r="BJ1222" i="2"/>
  <c r="BK1222" i="2" s="1"/>
  <c r="BE1222" i="2"/>
  <c r="AH1222" i="2"/>
  <c r="AC1222" i="2"/>
  <c r="BD1222" i="2"/>
  <c r="BJ73" i="2"/>
  <c r="BE73" i="2"/>
  <c r="BD73" i="2"/>
  <c r="AH73" i="2"/>
  <c r="AG73" i="2"/>
  <c r="AC73" i="2"/>
  <c r="Y73" i="2"/>
  <c r="BJ102" i="2"/>
  <c r="BE102" i="2"/>
  <c r="BD102" i="2"/>
  <c r="AH102" i="2"/>
  <c r="AC102" i="2"/>
  <c r="AG102" i="2"/>
  <c r="Y102" i="2"/>
  <c r="BJ135" i="2"/>
  <c r="BE135" i="2"/>
  <c r="BD135" i="2"/>
  <c r="AH135" i="2"/>
  <c r="AC135" i="2"/>
  <c r="Y135" i="2"/>
  <c r="AG135" i="2"/>
  <c r="W135" i="2"/>
  <c r="BJ147" i="2"/>
  <c r="BE147" i="2"/>
  <c r="BD147" i="2"/>
  <c r="AH147" i="2"/>
  <c r="AC147" i="2"/>
  <c r="Y147" i="2"/>
  <c r="AG147" i="2"/>
  <c r="BJ173" i="2"/>
  <c r="BE173" i="2"/>
  <c r="BD173" i="2"/>
  <c r="AH173" i="2"/>
  <c r="AC173" i="2"/>
  <c r="AG173" i="2"/>
  <c r="Y173" i="2"/>
  <c r="BJ186" i="2"/>
  <c r="BE186" i="2"/>
  <c r="BD186" i="2"/>
  <c r="AH186" i="2"/>
  <c r="AC186" i="2"/>
  <c r="Y186" i="2"/>
  <c r="AG186" i="2"/>
  <c r="W186" i="2"/>
  <c r="BJ198" i="2"/>
  <c r="BE198" i="2"/>
  <c r="BD198" i="2"/>
  <c r="AH198" i="2"/>
  <c r="AC198" i="2"/>
  <c r="Y198" i="2"/>
  <c r="AG198" i="2"/>
  <c r="BJ213" i="2"/>
  <c r="BE213" i="2"/>
  <c r="BD213" i="2"/>
  <c r="AH213" i="2"/>
  <c r="AG213" i="2"/>
  <c r="AC213" i="2"/>
  <c r="Y213" i="2"/>
  <c r="BJ229" i="2"/>
  <c r="BE229" i="2"/>
  <c r="BD229" i="2"/>
  <c r="AH229" i="2"/>
  <c r="AG229" i="2"/>
  <c r="AC229" i="2"/>
  <c r="Y229" i="2"/>
  <c r="W229" i="2"/>
  <c r="BJ248" i="2"/>
  <c r="BE248" i="2"/>
  <c r="BD248" i="2"/>
  <c r="AH248" i="2"/>
  <c r="AG248" i="2"/>
  <c r="AC248" i="2"/>
  <c r="Y248" i="2"/>
  <c r="BJ260" i="2"/>
  <c r="BE260" i="2"/>
  <c r="BD260" i="2"/>
  <c r="AH260" i="2"/>
  <c r="AG260" i="2"/>
  <c r="AC260" i="2"/>
  <c r="Y260" i="2"/>
  <c r="BJ272" i="2"/>
  <c r="BE272" i="2"/>
  <c r="BD272" i="2"/>
  <c r="AH272" i="2"/>
  <c r="AG272" i="2"/>
  <c r="AC272" i="2"/>
  <c r="Y272" i="2"/>
  <c r="W272" i="2"/>
  <c r="BG272" i="2" s="1"/>
  <c r="BJ291" i="2"/>
  <c r="BE291" i="2"/>
  <c r="BD291" i="2"/>
  <c r="AH291" i="2"/>
  <c r="AG291" i="2"/>
  <c r="AC291" i="2"/>
  <c r="Y291" i="2"/>
  <c r="BJ303" i="2"/>
  <c r="BE303" i="2"/>
  <c r="BD303" i="2"/>
  <c r="AH303" i="2"/>
  <c r="AG303" i="2"/>
  <c r="AC303" i="2"/>
  <c r="Y303" i="2"/>
  <c r="BJ315" i="2"/>
  <c r="BE315" i="2"/>
  <c r="BD315" i="2"/>
  <c r="AH315" i="2"/>
  <c r="AG315" i="2"/>
  <c r="AC315" i="2"/>
  <c r="Y315" i="2"/>
  <c r="W315" i="2"/>
  <c r="AY327" i="2"/>
  <c r="BJ327" i="2"/>
  <c r="BE327" i="2"/>
  <c r="BD327" i="2"/>
  <c r="AH327" i="2"/>
  <c r="AG327" i="2"/>
  <c r="AC327" i="2"/>
  <c r="Y327" i="2"/>
  <c r="BJ343" i="2"/>
  <c r="BE343" i="2"/>
  <c r="BD343" i="2"/>
  <c r="AH343" i="2"/>
  <c r="AC343" i="2"/>
  <c r="AG343" i="2"/>
  <c r="Y343" i="2"/>
  <c r="BJ355" i="2"/>
  <c r="BE355" i="2"/>
  <c r="BD355" i="2"/>
  <c r="AH355" i="2"/>
  <c r="AC355" i="2"/>
  <c r="Y355" i="2"/>
  <c r="W355" i="2"/>
  <c r="AG355" i="2"/>
  <c r="BJ387" i="2"/>
  <c r="BE387" i="2"/>
  <c r="BD387" i="2"/>
  <c r="AH387" i="2"/>
  <c r="AC387" i="2"/>
  <c r="AG387" i="2"/>
  <c r="Y387" i="2"/>
  <c r="BJ422" i="2"/>
  <c r="BE422" i="2"/>
  <c r="BD422" i="2"/>
  <c r="AH422" i="2"/>
  <c r="AC422" i="2"/>
  <c r="AG422" i="2"/>
  <c r="Y422" i="2"/>
  <c r="BJ447" i="2"/>
  <c r="BE447" i="2"/>
  <c r="BD447" i="2"/>
  <c r="AH447" i="2"/>
  <c r="AC447" i="2"/>
  <c r="AG447" i="2"/>
  <c r="Y447" i="2"/>
  <c r="W447" i="2"/>
  <c r="BJ539" i="2"/>
  <c r="BE539" i="2"/>
  <c r="BD539" i="2"/>
  <c r="AH539" i="2"/>
  <c r="AC539" i="2"/>
  <c r="AG539" i="2"/>
  <c r="Y539" i="2"/>
  <c r="BJ589" i="2"/>
  <c r="BE589" i="2"/>
  <c r="BD589" i="2"/>
  <c r="AC589" i="2"/>
  <c r="AG589" i="2"/>
  <c r="AH589" i="2"/>
  <c r="Y589" i="2"/>
  <c r="BJ605" i="2"/>
  <c r="BE605" i="2"/>
  <c r="BD605" i="2"/>
  <c r="AC605" i="2"/>
  <c r="AG605" i="2"/>
  <c r="Y605" i="2"/>
  <c r="AH605" i="2"/>
  <c r="W605" i="2"/>
  <c r="BG605" i="2" s="1"/>
  <c r="BJ627" i="2"/>
  <c r="BE627" i="2"/>
  <c r="BD627" i="2"/>
  <c r="AG627" i="2"/>
  <c r="AC627" i="2"/>
  <c r="Y627" i="2"/>
  <c r="BJ654" i="2"/>
  <c r="BE654" i="2"/>
  <c r="BD654" i="2"/>
  <c r="AC654" i="2"/>
  <c r="AH654" i="2"/>
  <c r="Y654" i="2"/>
  <c r="BJ681" i="2"/>
  <c r="BE681" i="2"/>
  <c r="BD681" i="2"/>
  <c r="AC681" i="2"/>
  <c r="AH681" i="2"/>
  <c r="AG681" i="2"/>
  <c r="Y681" i="2"/>
  <c r="W681" i="2"/>
  <c r="BJ693" i="2"/>
  <c r="BE693" i="2"/>
  <c r="BD693" i="2"/>
  <c r="AH693" i="2"/>
  <c r="AC693" i="2"/>
  <c r="Y693" i="2"/>
  <c r="AG693" i="2"/>
  <c r="BJ710" i="2"/>
  <c r="BE710" i="2"/>
  <c r="BD710" i="2"/>
  <c r="AC710" i="2"/>
  <c r="Y710" i="2"/>
  <c r="AH710" i="2"/>
  <c r="AG710" i="2"/>
  <c r="BJ725" i="2"/>
  <c r="BE725" i="2"/>
  <c r="BD725" i="2"/>
  <c r="AC725" i="2"/>
  <c r="AG725" i="2"/>
  <c r="AH725" i="2"/>
  <c r="Y725" i="2"/>
  <c r="W725" i="2"/>
  <c r="BJ737" i="2"/>
  <c r="BE737" i="2"/>
  <c r="BD737" i="2"/>
  <c r="AC737" i="2"/>
  <c r="Y737" i="2"/>
  <c r="AH737" i="2"/>
  <c r="BJ749" i="2"/>
  <c r="BE749" i="2"/>
  <c r="BD749" i="2"/>
  <c r="AC749" i="2"/>
  <c r="AH749" i="2"/>
  <c r="Y749" i="2"/>
  <c r="AG749" i="2"/>
  <c r="BJ763" i="2"/>
  <c r="BE763" i="2"/>
  <c r="BD763" i="2"/>
  <c r="AC763" i="2"/>
  <c r="AH763" i="2"/>
  <c r="AG763" i="2"/>
  <c r="Y763" i="2"/>
  <c r="W763" i="2"/>
  <c r="BJ795" i="2"/>
  <c r="BE795" i="2"/>
  <c r="BD795" i="2"/>
  <c r="AH795" i="2"/>
  <c r="AC795" i="2"/>
  <c r="AG795" i="2"/>
  <c r="Y795" i="2"/>
  <c r="BJ822" i="2"/>
  <c r="BE822" i="2"/>
  <c r="BD822" i="2"/>
  <c r="AC822" i="2"/>
  <c r="Y822" i="2"/>
  <c r="BJ842" i="2"/>
  <c r="BE842" i="2"/>
  <c r="BD842" i="2"/>
  <c r="AC842" i="2"/>
  <c r="AH842" i="2"/>
  <c r="Y842" i="2"/>
  <c r="W842" i="2"/>
  <c r="BJ854" i="2"/>
  <c r="BE854" i="2"/>
  <c r="BD854" i="2"/>
  <c r="AH854" i="2"/>
  <c r="AC854" i="2"/>
  <c r="Y854" i="2"/>
  <c r="BJ868" i="2"/>
  <c r="BE868" i="2"/>
  <c r="BD868" i="2"/>
  <c r="AC868" i="2"/>
  <c r="AH868" i="2"/>
  <c r="Y868" i="2"/>
  <c r="BJ897" i="2"/>
  <c r="BE897" i="2"/>
  <c r="BD897" i="2"/>
  <c r="AC897" i="2"/>
  <c r="AG897" i="2"/>
  <c r="AH897" i="2"/>
  <c r="Y897" i="2"/>
  <c r="W897" i="2"/>
  <c r="BJ919" i="2"/>
  <c r="BE919" i="2"/>
  <c r="BD919" i="2"/>
  <c r="AH919" i="2"/>
  <c r="AC919" i="2"/>
  <c r="Y919" i="2"/>
  <c r="BJ938" i="2"/>
  <c r="BE938" i="2"/>
  <c r="BD938" i="2"/>
  <c r="AC938" i="2"/>
  <c r="Y938" i="2"/>
  <c r="AH938" i="2"/>
  <c r="BJ951" i="2"/>
  <c r="BE951" i="2"/>
  <c r="BD951" i="2"/>
  <c r="AC951" i="2"/>
  <c r="AH951" i="2"/>
  <c r="Y951" i="2"/>
  <c r="W951" i="2"/>
  <c r="BJ1004" i="2"/>
  <c r="BE1004" i="2"/>
  <c r="BD1004" i="2"/>
  <c r="AH1004" i="2"/>
  <c r="AC1004" i="2"/>
  <c r="Y1004" i="2"/>
  <c r="BJ1028" i="2"/>
  <c r="BE1028" i="2"/>
  <c r="BD1028" i="2"/>
  <c r="AC1028" i="2"/>
  <c r="Y1028" i="2"/>
  <c r="AH1028" i="2"/>
  <c r="BJ1043" i="2"/>
  <c r="BD1043" i="2"/>
  <c r="BE1043" i="2"/>
  <c r="AC1043" i="2"/>
  <c r="AH1043" i="2"/>
  <c r="AG1043" i="2"/>
  <c r="Y1043" i="2"/>
  <c r="W1043" i="2"/>
  <c r="BJ1055" i="2"/>
  <c r="BE1055" i="2"/>
  <c r="BD1055" i="2"/>
  <c r="AY1055" i="2"/>
  <c r="AH1055" i="2"/>
  <c r="AC1055" i="2"/>
  <c r="AG1055" i="2"/>
  <c r="Y1055" i="2"/>
  <c r="BJ1073" i="2"/>
  <c r="BE1073" i="2"/>
  <c r="AY1073" i="2"/>
  <c r="BD1073" i="2"/>
  <c r="AC1073" i="2"/>
  <c r="AG1073" i="2"/>
  <c r="AH1073" i="2"/>
  <c r="Y1073" i="2"/>
  <c r="BJ1100" i="2"/>
  <c r="BE1100" i="2"/>
  <c r="BD1100" i="2"/>
  <c r="AY1100" i="2"/>
  <c r="AC1100" i="2"/>
  <c r="AH1100" i="2"/>
  <c r="AG1100" i="2"/>
  <c r="Y1100" i="2"/>
  <c r="W1100" i="2"/>
  <c r="BJ1117" i="2"/>
  <c r="BE1117" i="2"/>
  <c r="BD1117" i="2"/>
  <c r="AY1117" i="2"/>
  <c r="AH1117" i="2"/>
  <c r="AC1117" i="2"/>
  <c r="AG1117" i="2"/>
  <c r="Y1117" i="2"/>
  <c r="BJ1190" i="2"/>
  <c r="BE1190" i="2"/>
  <c r="BD1190" i="2"/>
  <c r="AY1190" i="2"/>
  <c r="AC1190" i="2"/>
  <c r="Y1190" i="2"/>
  <c r="AH1190" i="2"/>
  <c r="Y243" i="2"/>
  <c r="BJ74" i="2"/>
  <c r="BE74" i="2"/>
  <c r="AH74" i="2"/>
  <c r="BD74" i="2"/>
  <c r="AG74" i="2"/>
  <c r="Y74" i="2"/>
  <c r="AC74" i="2"/>
  <c r="W74" i="2"/>
  <c r="BJ103" i="2"/>
  <c r="BE103" i="2"/>
  <c r="BD103" i="2"/>
  <c r="AH103" i="2"/>
  <c r="AG103" i="2"/>
  <c r="AC103" i="2"/>
  <c r="Y103" i="2"/>
  <c r="W103" i="2"/>
  <c r="BJ136" i="2"/>
  <c r="BE136" i="2"/>
  <c r="AH136" i="2"/>
  <c r="AG136" i="2"/>
  <c r="BD136" i="2"/>
  <c r="AC136" i="2"/>
  <c r="Y136" i="2"/>
  <c r="W136" i="2"/>
  <c r="BJ148" i="2"/>
  <c r="BE148" i="2"/>
  <c r="AH148" i="2"/>
  <c r="AG148" i="2"/>
  <c r="BD148" i="2"/>
  <c r="AC148" i="2"/>
  <c r="Y148" i="2"/>
  <c r="W148" i="2"/>
  <c r="BJ174" i="2"/>
  <c r="BE174" i="2"/>
  <c r="BD174" i="2"/>
  <c r="AH174" i="2"/>
  <c r="AG174" i="2"/>
  <c r="AC174" i="2"/>
  <c r="Y174" i="2"/>
  <c r="W174" i="2"/>
  <c r="BJ187" i="2"/>
  <c r="BE187" i="2"/>
  <c r="AH187" i="2"/>
  <c r="AG187" i="2"/>
  <c r="BD187" i="2"/>
  <c r="AC187" i="2"/>
  <c r="Y187" i="2"/>
  <c r="W187" i="2"/>
  <c r="BJ199" i="2"/>
  <c r="BE199" i="2"/>
  <c r="AH199" i="2"/>
  <c r="AG199" i="2"/>
  <c r="BD199" i="2"/>
  <c r="AC199" i="2"/>
  <c r="Y199" i="2"/>
  <c r="W199" i="2"/>
  <c r="BG199" i="2" s="1"/>
  <c r="BJ214" i="2"/>
  <c r="BE214" i="2"/>
  <c r="BD214" i="2"/>
  <c r="AH214" i="2"/>
  <c r="AG214" i="2"/>
  <c r="Y214" i="2"/>
  <c r="AC214" i="2"/>
  <c r="W214" i="2"/>
  <c r="BJ230" i="2"/>
  <c r="BE230" i="2"/>
  <c r="AH230" i="2"/>
  <c r="BD230" i="2"/>
  <c r="AG230" i="2"/>
  <c r="AC230" i="2"/>
  <c r="Y230" i="2"/>
  <c r="W230" i="2"/>
  <c r="BJ249" i="2"/>
  <c r="BE249" i="2"/>
  <c r="AH249" i="2"/>
  <c r="BD249" i="2"/>
  <c r="AC249" i="2"/>
  <c r="AG249" i="2"/>
  <c r="Y249" i="2"/>
  <c r="W249" i="2"/>
  <c r="BG249" i="2" s="1"/>
  <c r="BJ261" i="2"/>
  <c r="BD261" i="2"/>
  <c r="AH261" i="2"/>
  <c r="BE261" i="2"/>
  <c r="AG261" i="2"/>
  <c r="AC261" i="2"/>
  <c r="Y261" i="2"/>
  <c r="W261" i="2"/>
  <c r="BJ277" i="2"/>
  <c r="BE277" i="2"/>
  <c r="AH277" i="2"/>
  <c r="BD277" i="2"/>
  <c r="AG277" i="2"/>
  <c r="AC277" i="2"/>
  <c r="Y277" i="2"/>
  <c r="W277" i="2"/>
  <c r="BJ292" i="2"/>
  <c r="BE292" i="2"/>
  <c r="AH292" i="2"/>
  <c r="BD292" i="2"/>
  <c r="AG292" i="2"/>
  <c r="AC292" i="2"/>
  <c r="Y292" i="2"/>
  <c r="W292" i="2"/>
  <c r="BJ304" i="2"/>
  <c r="BE304" i="2"/>
  <c r="BD304" i="2"/>
  <c r="AH304" i="2"/>
  <c r="AG304" i="2"/>
  <c r="AC304" i="2"/>
  <c r="Y304" i="2"/>
  <c r="W304" i="2"/>
  <c r="BJ316" i="2"/>
  <c r="BE316" i="2"/>
  <c r="AH316" i="2"/>
  <c r="AG316" i="2"/>
  <c r="AC316" i="2"/>
  <c r="BD316" i="2"/>
  <c r="Y316" i="2"/>
  <c r="W316" i="2"/>
  <c r="BJ328" i="2"/>
  <c r="BE328" i="2"/>
  <c r="AH328" i="2"/>
  <c r="BD328" i="2"/>
  <c r="AC328" i="2"/>
  <c r="AG328" i="2"/>
  <c r="Y328" i="2"/>
  <c r="W328" i="2"/>
  <c r="AY344" i="2"/>
  <c r="BJ344" i="2"/>
  <c r="BE344" i="2"/>
  <c r="BD344" i="2"/>
  <c r="AH344" i="2"/>
  <c r="AC344" i="2"/>
  <c r="AG344" i="2"/>
  <c r="Y344" i="2"/>
  <c r="W344" i="2"/>
  <c r="BJ356" i="2"/>
  <c r="BE356" i="2"/>
  <c r="AH356" i="2"/>
  <c r="BD356" i="2"/>
  <c r="AC356" i="2"/>
  <c r="AG356" i="2"/>
  <c r="Y356" i="2"/>
  <c r="W356" i="2"/>
  <c r="BJ388" i="2"/>
  <c r="BE388" i="2"/>
  <c r="AH388" i="2"/>
  <c r="BD388" i="2"/>
  <c r="AG388" i="2"/>
  <c r="AC388" i="2"/>
  <c r="Y388" i="2"/>
  <c r="W388" i="2"/>
  <c r="BJ423" i="2"/>
  <c r="BE423" i="2"/>
  <c r="BD423" i="2"/>
  <c r="AH423" i="2"/>
  <c r="AG423" i="2"/>
  <c r="AC423" i="2"/>
  <c r="Y423" i="2"/>
  <c r="W423" i="2"/>
  <c r="BJ448" i="2"/>
  <c r="BE448" i="2"/>
  <c r="AH448" i="2"/>
  <c r="AG448" i="2"/>
  <c r="BD448" i="2"/>
  <c r="AC448" i="2"/>
  <c r="Y448" i="2"/>
  <c r="W448" i="2"/>
  <c r="BJ540" i="2"/>
  <c r="BE540" i="2"/>
  <c r="AH540" i="2"/>
  <c r="AG540" i="2"/>
  <c r="BD540" i="2"/>
  <c r="AC540" i="2"/>
  <c r="Y540" i="2"/>
  <c r="W540" i="2"/>
  <c r="BJ590" i="2"/>
  <c r="BE590" i="2"/>
  <c r="AH590" i="2"/>
  <c r="BD590" i="2"/>
  <c r="AG590" i="2"/>
  <c r="AC590" i="2"/>
  <c r="Y590" i="2"/>
  <c r="W590" i="2"/>
  <c r="BJ606" i="2"/>
  <c r="BE606" i="2"/>
  <c r="AH606" i="2"/>
  <c r="AG606" i="2"/>
  <c r="AC606" i="2"/>
  <c r="Y606" i="2"/>
  <c r="BD606" i="2"/>
  <c r="W606" i="2"/>
  <c r="BJ629" i="2"/>
  <c r="BE629" i="2"/>
  <c r="AH629" i="2"/>
  <c r="AG629" i="2"/>
  <c r="BD629" i="2"/>
  <c r="AC629" i="2"/>
  <c r="Y629" i="2"/>
  <c r="W629" i="2"/>
  <c r="BJ656" i="2"/>
  <c r="BE656" i="2"/>
  <c r="AH656" i="2"/>
  <c r="BD656" i="2"/>
  <c r="AG656" i="2"/>
  <c r="AC656" i="2"/>
  <c r="Y656" i="2"/>
  <c r="W656" i="2"/>
  <c r="BJ682" i="2"/>
  <c r="BE682" i="2"/>
  <c r="AH682" i="2"/>
  <c r="AG682" i="2"/>
  <c r="AC682" i="2"/>
  <c r="Y682" i="2"/>
  <c r="BD682" i="2"/>
  <c r="W682" i="2"/>
  <c r="AY694" i="2"/>
  <c r="BJ694" i="2"/>
  <c r="BE694" i="2"/>
  <c r="AH694" i="2"/>
  <c r="BD694" i="2"/>
  <c r="AG694" i="2"/>
  <c r="AC694" i="2"/>
  <c r="Y694" i="2"/>
  <c r="W694" i="2"/>
  <c r="BJ711" i="2"/>
  <c r="BE711" i="2"/>
  <c r="AH711" i="2"/>
  <c r="BD711" i="2"/>
  <c r="AG711" i="2"/>
  <c r="AC711" i="2"/>
  <c r="Y711" i="2"/>
  <c r="W711" i="2"/>
  <c r="BJ726" i="2"/>
  <c r="BE726" i="2"/>
  <c r="AH726" i="2"/>
  <c r="BD726" i="2"/>
  <c r="AC726" i="2"/>
  <c r="Y726" i="2"/>
  <c r="W726" i="2"/>
  <c r="BJ738" i="2"/>
  <c r="BE738" i="2"/>
  <c r="AH738" i="2"/>
  <c r="BD738" i="2"/>
  <c r="AG738" i="2"/>
  <c r="AC738" i="2"/>
  <c r="Y738" i="2"/>
  <c r="W738" i="2"/>
  <c r="BJ750" i="2"/>
  <c r="BE750" i="2"/>
  <c r="AH750" i="2"/>
  <c r="BD750" i="2"/>
  <c r="AC750" i="2"/>
  <c r="AG750" i="2"/>
  <c r="Y750" i="2"/>
  <c r="W750" i="2"/>
  <c r="BJ764" i="2"/>
  <c r="BE764" i="2"/>
  <c r="BD764" i="2"/>
  <c r="AH764" i="2"/>
  <c r="AG764" i="2"/>
  <c r="AC764" i="2"/>
  <c r="Y764" i="2"/>
  <c r="W764" i="2"/>
  <c r="BJ796" i="2"/>
  <c r="BE796" i="2"/>
  <c r="BD796" i="2"/>
  <c r="AH796" i="2"/>
  <c r="AG796" i="2"/>
  <c r="AC796" i="2"/>
  <c r="Y796" i="2"/>
  <c r="W796" i="2"/>
  <c r="BJ823" i="2"/>
  <c r="BE823" i="2"/>
  <c r="AH823" i="2"/>
  <c r="BD823" i="2"/>
  <c r="AC823" i="2"/>
  <c r="Y823" i="2"/>
  <c r="W823" i="2"/>
  <c r="BJ843" i="2"/>
  <c r="BE843" i="2"/>
  <c r="BD843" i="2"/>
  <c r="AH843" i="2"/>
  <c r="AC843" i="2"/>
  <c r="Y843" i="2"/>
  <c r="W843" i="2"/>
  <c r="BJ855" i="2"/>
  <c r="BE855" i="2"/>
  <c r="BD855" i="2"/>
  <c r="AH855" i="2"/>
  <c r="AC855" i="2"/>
  <c r="Y855" i="2"/>
  <c r="W855" i="2"/>
  <c r="BJ869" i="2"/>
  <c r="BE869" i="2"/>
  <c r="BD869" i="2"/>
  <c r="AH869" i="2"/>
  <c r="AC869" i="2"/>
  <c r="AG869" i="2"/>
  <c r="Y869" i="2"/>
  <c r="W869" i="2"/>
  <c r="BJ900" i="2"/>
  <c r="BE900" i="2"/>
  <c r="BD900" i="2"/>
  <c r="AH900" i="2"/>
  <c r="AC900" i="2"/>
  <c r="Y900" i="2"/>
  <c r="W900" i="2"/>
  <c r="BJ920" i="2"/>
  <c r="BE920" i="2"/>
  <c r="AH920" i="2"/>
  <c r="BD920" i="2"/>
  <c r="AC920" i="2"/>
  <c r="Y920" i="2"/>
  <c r="W920" i="2"/>
  <c r="AG939" i="2"/>
  <c r="BJ939" i="2"/>
  <c r="BD939" i="2"/>
  <c r="BE939" i="2"/>
  <c r="AH939" i="2"/>
  <c r="AC939" i="2"/>
  <c r="Y939" i="2"/>
  <c r="W939" i="2"/>
  <c r="BJ952" i="2"/>
  <c r="BD952" i="2"/>
  <c r="AH952" i="2"/>
  <c r="BE952" i="2"/>
  <c r="AC952" i="2"/>
  <c r="Y952" i="2"/>
  <c r="W952" i="2"/>
  <c r="BJ1008" i="2"/>
  <c r="BE1008" i="2"/>
  <c r="AH1008" i="2"/>
  <c r="BD1008" i="2"/>
  <c r="AC1008" i="2"/>
  <c r="Y1008" i="2"/>
  <c r="W1008" i="2"/>
  <c r="BJ1029" i="2"/>
  <c r="BE1029" i="2"/>
  <c r="BD1029" i="2"/>
  <c r="AH1029" i="2"/>
  <c r="AC1029" i="2"/>
  <c r="Y1029" i="2"/>
  <c r="W1029" i="2"/>
  <c r="BJ1044" i="2"/>
  <c r="BE1044" i="2"/>
  <c r="BD1044" i="2"/>
  <c r="AH1044" i="2"/>
  <c r="AG1044" i="2"/>
  <c r="AY1044" i="2"/>
  <c r="AC1044" i="2"/>
  <c r="Y1044" i="2"/>
  <c r="W1044" i="2"/>
  <c r="BJ1057" i="2"/>
  <c r="BE1057" i="2"/>
  <c r="BD1057" i="2"/>
  <c r="AH1057" i="2"/>
  <c r="AY1057" i="2"/>
  <c r="AG1057" i="2"/>
  <c r="AC1057" i="2"/>
  <c r="Y1057" i="2"/>
  <c r="W1057" i="2"/>
  <c r="BG1057" i="2" s="1"/>
  <c r="BJ1074" i="2"/>
  <c r="BE1074" i="2"/>
  <c r="BD1074" i="2"/>
  <c r="AH1074" i="2"/>
  <c r="AY1074" i="2"/>
  <c r="AG1074" i="2"/>
  <c r="AC1074" i="2"/>
  <c r="Y1074" i="2"/>
  <c r="W1074" i="2"/>
  <c r="BJ1101" i="2"/>
  <c r="BE1101" i="2"/>
  <c r="BD1101" i="2"/>
  <c r="AH1101" i="2"/>
  <c r="AG1101" i="2"/>
  <c r="AY1101" i="2"/>
  <c r="AC1101" i="2"/>
  <c r="Y1101" i="2"/>
  <c r="W1101" i="2"/>
  <c r="BJ1118" i="2"/>
  <c r="BE1118" i="2"/>
  <c r="BD1118" i="2"/>
  <c r="AH1118" i="2"/>
  <c r="AY1118" i="2"/>
  <c r="AG1118" i="2"/>
  <c r="AC1118" i="2"/>
  <c r="Y1118" i="2"/>
  <c r="W1118" i="2"/>
  <c r="W172" i="2"/>
  <c r="W302" i="2"/>
  <c r="W588" i="2"/>
  <c r="BG588" i="2" s="1"/>
  <c r="W748" i="2"/>
  <c r="W937" i="2"/>
  <c r="AH822" i="2"/>
  <c r="BJ1195" i="2"/>
  <c r="BE1195" i="2"/>
  <c r="AH1195" i="2"/>
  <c r="AC1195" i="2"/>
  <c r="Y1195" i="2"/>
  <c r="BD1195" i="2"/>
  <c r="W1195" i="2"/>
  <c r="BJ1240" i="2"/>
  <c r="BE1240" i="2"/>
  <c r="BD1240" i="2"/>
  <c r="AH1240" i="2"/>
  <c r="AC1240" i="2"/>
  <c r="Y1240" i="2"/>
  <c r="W1240" i="2"/>
  <c r="BJ1235" i="2"/>
  <c r="BK1235" i="2" s="1"/>
  <c r="BE1235" i="2"/>
  <c r="BD1235" i="2"/>
  <c r="AH1235" i="2"/>
  <c r="Y1235" i="2"/>
  <c r="AC1235" i="2"/>
  <c r="W1235" i="2"/>
  <c r="BG1235" i="2" s="1"/>
  <c r="BJ75" i="2"/>
  <c r="BD75" i="2"/>
  <c r="BE75" i="2"/>
  <c r="AG75" i="2"/>
  <c r="AC75" i="2"/>
  <c r="AH75" i="2"/>
  <c r="Y75" i="2"/>
  <c r="W75" i="2"/>
  <c r="BJ104" i="2"/>
  <c r="BD104" i="2"/>
  <c r="AG104" i="2"/>
  <c r="AC104" i="2"/>
  <c r="AH104" i="2"/>
  <c r="Y104" i="2"/>
  <c r="BE104" i="2"/>
  <c r="W104" i="2"/>
  <c r="BJ137" i="2"/>
  <c r="BE137" i="2"/>
  <c r="BD137" i="2"/>
  <c r="AG137" i="2"/>
  <c r="AC137" i="2"/>
  <c r="AH137" i="2"/>
  <c r="Y137" i="2"/>
  <c r="W137" i="2"/>
  <c r="BJ149" i="2"/>
  <c r="BE149" i="2"/>
  <c r="BD149" i="2"/>
  <c r="AG149" i="2"/>
  <c r="AH149" i="2"/>
  <c r="Y149" i="2"/>
  <c r="W149" i="2"/>
  <c r="BJ175" i="2"/>
  <c r="BD175" i="2"/>
  <c r="BE175" i="2"/>
  <c r="AG175" i="2"/>
  <c r="AC175" i="2"/>
  <c r="AH175" i="2"/>
  <c r="Y175" i="2"/>
  <c r="W175" i="2"/>
  <c r="BJ188" i="2"/>
  <c r="BE188" i="2"/>
  <c r="BD188" i="2"/>
  <c r="AG188" i="2"/>
  <c r="AC188" i="2"/>
  <c r="AH188" i="2"/>
  <c r="Y188" i="2"/>
  <c r="W188" i="2"/>
  <c r="BJ200" i="2"/>
  <c r="BD200" i="2"/>
  <c r="BE200" i="2"/>
  <c r="AG200" i="2"/>
  <c r="AC200" i="2"/>
  <c r="AH200" i="2"/>
  <c r="Y200" i="2"/>
  <c r="W200" i="2"/>
  <c r="BJ215" i="2"/>
  <c r="BE215" i="2"/>
  <c r="BD215" i="2"/>
  <c r="AG215" i="2"/>
  <c r="AC215" i="2"/>
  <c r="AH215" i="2"/>
  <c r="Y215" i="2"/>
  <c r="W215" i="2"/>
  <c r="BJ231" i="2"/>
  <c r="BD231" i="2"/>
  <c r="BE231" i="2"/>
  <c r="AG231" i="2"/>
  <c r="AC231" i="2"/>
  <c r="AH231" i="2"/>
  <c r="Y231" i="2"/>
  <c r="W231" i="2"/>
  <c r="BG231" i="2" s="1"/>
  <c r="BJ250" i="2"/>
  <c r="BE250" i="2"/>
  <c r="BD250" i="2"/>
  <c r="AG250" i="2"/>
  <c r="AC250" i="2"/>
  <c r="AH250" i="2"/>
  <c r="Y250" i="2"/>
  <c r="W250" i="2"/>
  <c r="BJ262" i="2"/>
  <c r="BD262" i="2"/>
  <c r="BE262" i="2"/>
  <c r="AG262" i="2"/>
  <c r="AC262" i="2"/>
  <c r="AH262" i="2"/>
  <c r="Y262" i="2"/>
  <c r="W262" i="2"/>
  <c r="BJ278" i="2"/>
  <c r="BE278" i="2"/>
  <c r="BD278" i="2"/>
  <c r="AG278" i="2"/>
  <c r="AC278" i="2"/>
  <c r="AH278" i="2"/>
  <c r="Y278" i="2"/>
  <c r="W278" i="2"/>
  <c r="BJ293" i="2"/>
  <c r="BD293" i="2"/>
  <c r="BE293" i="2"/>
  <c r="AG293" i="2"/>
  <c r="AC293" i="2"/>
  <c r="AH293" i="2"/>
  <c r="Y293" i="2"/>
  <c r="W293" i="2"/>
  <c r="BJ305" i="2"/>
  <c r="BE305" i="2"/>
  <c r="BD305" i="2"/>
  <c r="AG305" i="2"/>
  <c r="AC305" i="2"/>
  <c r="AH305" i="2"/>
  <c r="Y305" i="2"/>
  <c r="W305" i="2"/>
  <c r="BJ317" i="2"/>
  <c r="BE317" i="2"/>
  <c r="BD317" i="2"/>
  <c r="AG317" i="2"/>
  <c r="AC317" i="2"/>
  <c r="AH317" i="2"/>
  <c r="Y317" i="2"/>
  <c r="W317" i="2"/>
  <c r="BJ329" i="2"/>
  <c r="BE329" i="2"/>
  <c r="BD329" i="2"/>
  <c r="AC329" i="2"/>
  <c r="AH329" i="2"/>
  <c r="Y329" i="2"/>
  <c r="W329" i="2"/>
  <c r="BJ345" i="2"/>
  <c r="BD345" i="2"/>
  <c r="BE345" i="2"/>
  <c r="AC345" i="2"/>
  <c r="AG345" i="2"/>
  <c r="AH345" i="2"/>
  <c r="Y345" i="2"/>
  <c r="W345" i="2"/>
  <c r="BJ357" i="2"/>
  <c r="BE357" i="2"/>
  <c r="BD357" i="2"/>
  <c r="AC357" i="2"/>
  <c r="AG357" i="2"/>
  <c r="AH357" i="2"/>
  <c r="Y357" i="2"/>
  <c r="W357" i="2"/>
  <c r="BJ389" i="2"/>
  <c r="BE389" i="2"/>
  <c r="BD389" i="2"/>
  <c r="AC389" i="2"/>
  <c r="AH389" i="2"/>
  <c r="Y389" i="2"/>
  <c r="W389" i="2"/>
  <c r="AG389" i="2"/>
  <c r="BJ424" i="2"/>
  <c r="BE424" i="2"/>
  <c r="BD424" i="2"/>
  <c r="AC424" i="2"/>
  <c r="AH424" i="2"/>
  <c r="AG424" i="2"/>
  <c r="Y424" i="2"/>
  <c r="W424" i="2"/>
  <c r="BJ449" i="2"/>
  <c r="BE449" i="2"/>
  <c r="BD449" i="2"/>
  <c r="AC449" i="2"/>
  <c r="AH449" i="2"/>
  <c r="Y449" i="2"/>
  <c r="AG449" i="2"/>
  <c r="W449" i="2"/>
  <c r="BJ552" i="2"/>
  <c r="BD552" i="2"/>
  <c r="BE552" i="2"/>
  <c r="AH552" i="2"/>
  <c r="AC552" i="2"/>
  <c r="Y552" i="2"/>
  <c r="AG552" i="2"/>
  <c r="W552" i="2"/>
  <c r="BJ591" i="2"/>
  <c r="BD591" i="2"/>
  <c r="BE591" i="2"/>
  <c r="AH591" i="2"/>
  <c r="AC591" i="2"/>
  <c r="AG591" i="2"/>
  <c r="Y591" i="2"/>
  <c r="W591" i="2"/>
  <c r="BJ607" i="2"/>
  <c r="BE607" i="2"/>
  <c r="BD607" i="2"/>
  <c r="AH607" i="2"/>
  <c r="AC607" i="2"/>
  <c r="AG607" i="2"/>
  <c r="Y607" i="2"/>
  <c r="W607" i="2"/>
  <c r="BJ630" i="2"/>
  <c r="BE630" i="2"/>
  <c r="BD630" i="2"/>
  <c r="AH630" i="2"/>
  <c r="AC630" i="2"/>
  <c r="AG630" i="2"/>
  <c r="Y630" i="2"/>
  <c r="W630" i="2"/>
  <c r="BJ657" i="2"/>
  <c r="BE657" i="2"/>
  <c r="BD657" i="2"/>
  <c r="AH657" i="2"/>
  <c r="AG657" i="2"/>
  <c r="AC657" i="2"/>
  <c r="Y657" i="2"/>
  <c r="W657" i="2"/>
  <c r="BJ683" i="2"/>
  <c r="BE683" i="2"/>
  <c r="BD683" i="2"/>
  <c r="AH683" i="2"/>
  <c r="AG683" i="2"/>
  <c r="AC683" i="2"/>
  <c r="Y683" i="2"/>
  <c r="W683" i="2"/>
  <c r="BG683" i="2" s="1"/>
  <c r="BJ700" i="2"/>
  <c r="BE700" i="2"/>
  <c r="BD700" i="2"/>
  <c r="AH700" i="2"/>
  <c r="AG700" i="2"/>
  <c r="AC700" i="2"/>
  <c r="Y700" i="2"/>
  <c r="W700" i="2"/>
  <c r="AY712" i="2"/>
  <c r="BJ712" i="2"/>
  <c r="BE712" i="2"/>
  <c r="BD712" i="2"/>
  <c r="AH712" i="2"/>
  <c r="AG712" i="2"/>
  <c r="AC712" i="2"/>
  <c r="Y712" i="2"/>
  <c r="W712" i="2"/>
  <c r="BJ727" i="2"/>
  <c r="BE727" i="2"/>
  <c r="BD727" i="2"/>
  <c r="AH727" i="2"/>
  <c r="AC727" i="2"/>
  <c r="Y727" i="2"/>
  <c r="W727" i="2"/>
  <c r="BJ739" i="2"/>
  <c r="BE739" i="2"/>
  <c r="BD739" i="2"/>
  <c r="AH739" i="2"/>
  <c r="AC739" i="2"/>
  <c r="AG739" i="2"/>
  <c r="Y739" i="2"/>
  <c r="W739" i="2"/>
  <c r="BJ751" i="2"/>
  <c r="BE751" i="2"/>
  <c r="BD751" i="2"/>
  <c r="AH751" i="2"/>
  <c r="AC751" i="2"/>
  <c r="AG751" i="2"/>
  <c r="Y751" i="2"/>
  <c r="W751" i="2"/>
  <c r="BJ765" i="2"/>
  <c r="BE765" i="2"/>
  <c r="AH765" i="2"/>
  <c r="AC765" i="2"/>
  <c r="AG765" i="2"/>
  <c r="BD765" i="2"/>
  <c r="Y765" i="2"/>
  <c r="W765" i="2"/>
  <c r="BJ801" i="2"/>
  <c r="BE801" i="2"/>
  <c r="BD801" i="2"/>
  <c r="AH801" i="2"/>
  <c r="AC801" i="2"/>
  <c r="Y801" i="2"/>
  <c r="W801" i="2"/>
  <c r="BJ824" i="2"/>
  <c r="BD824" i="2"/>
  <c r="BE824" i="2"/>
  <c r="AH824" i="2"/>
  <c r="AC824" i="2"/>
  <c r="Y824" i="2"/>
  <c r="W824" i="2"/>
  <c r="BJ844" i="2"/>
  <c r="BE844" i="2"/>
  <c r="BD844" i="2"/>
  <c r="AH844" i="2"/>
  <c r="AC844" i="2"/>
  <c r="Y844" i="2"/>
  <c r="W844" i="2"/>
  <c r="BJ856" i="2"/>
  <c r="BD856" i="2"/>
  <c r="BE856" i="2"/>
  <c r="AH856" i="2"/>
  <c r="AC856" i="2"/>
  <c r="Y856" i="2"/>
  <c r="W856" i="2"/>
  <c r="BJ870" i="2"/>
  <c r="BE870" i="2"/>
  <c r="BD870" i="2"/>
  <c r="AH870" i="2"/>
  <c r="AC870" i="2"/>
  <c r="AG870" i="2"/>
  <c r="Y870" i="2"/>
  <c r="W870" i="2"/>
  <c r="BJ901" i="2"/>
  <c r="BE901" i="2"/>
  <c r="BD901" i="2"/>
  <c r="AH901" i="2"/>
  <c r="AC901" i="2"/>
  <c r="Y901" i="2"/>
  <c r="W901" i="2"/>
  <c r="BJ921" i="2"/>
  <c r="BE921" i="2"/>
  <c r="BD921" i="2"/>
  <c r="AH921" i="2"/>
  <c r="AC921" i="2"/>
  <c r="Y921" i="2"/>
  <c r="W921" i="2"/>
  <c r="BJ940" i="2"/>
  <c r="BD940" i="2"/>
  <c r="BE940" i="2"/>
  <c r="AH940" i="2"/>
  <c r="AC940" i="2"/>
  <c r="Y940" i="2"/>
  <c r="W940" i="2"/>
  <c r="BJ953" i="2"/>
  <c r="BE953" i="2"/>
  <c r="BD953" i="2"/>
  <c r="AH953" i="2"/>
  <c r="AC953" i="2"/>
  <c r="Y953" i="2"/>
  <c r="W953" i="2"/>
  <c r="AG1009" i="2"/>
  <c r="BJ1009" i="2"/>
  <c r="BE1009" i="2"/>
  <c r="BD1009" i="2"/>
  <c r="AH1009" i="2"/>
  <c r="AC1009" i="2"/>
  <c r="Y1009" i="2"/>
  <c r="W1009" i="2"/>
  <c r="BJ1030" i="2"/>
  <c r="BE1030" i="2"/>
  <c r="BD1030" i="2"/>
  <c r="AH1030" i="2"/>
  <c r="AC1030" i="2"/>
  <c r="Y1030" i="2"/>
  <c r="W1030" i="2"/>
  <c r="BJ1045" i="2"/>
  <c r="BE1045" i="2"/>
  <c r="BD1045" i="2"/>
  <c r="AH1045" i="2"/>
  <c r="AC1045" i="2"/>
  <c r="AY1045" i="2"/>
  <c r="AG1045" i="2"/>
  <c r="Y1045" i="2"/>
  <c r="W1045" i="2"/>
  <c r="BJ1058" i="2"/>
  <c r="BE1058" i="2"/>
  <c r="BD1058" i="2"/>
  <c r="AH1058" i="2"/>
  <c r="AY1058" i="2"/>
  <c r="AC1058" i="2"/>
  <c r="AG1058" i="2"/>
  <c r="Y1058" i="2"/>
  <c r="W1058" i="2"/>
  <c r="BJ1080" i="2"/>
  <c r="BE1080" i="2"/>
  <c r="BD1080" i="2"/>
  <c r="AH1080" i="2"/>
  <c r="AC1080" i="2"/>
  <c r="AY1080" i="2"/>
  <c r="AG1080" i="2"/>
  <c r="Y1080" i="2"/>
  <c r="W1080" i="2"/>
  <c r="BJ1102" i="2"/>
  <c r="BE1102" i="2"/>
  <c r="BD1102" i="2"/>
  <c r="AH1102" i="2"/>
  <c r="AC1102" i="2"/>
  <c r="AY1102" i="2"/>
  <c r="AG1102" i="2"/>
  <c r="Y1102" i="2"/>
  <c r="W1102" i="2"/>
  <c r="BJ1119" i="2"/>
  <c r="BE1119" i="2"/>
  <c r="BD1119" i="2"/>
  <c r="AH1119" i="2"/>
  <c r="AY1119" i="2"/>
  <c r="AC1119" i="2"/>
  <c r="AG1119" i="2"/>
  <c r="Y1119" i="2"/>
  <c r="W1119" i="2"/>
  <c r="W1222" i="2"/>
  <c r="W173" i="2"/>
  <c r="W303" i="2"/>
  <c r="W589" i="2"/>
  <c r="W749" i="2"/>
  <c r="W938" i="2"/>
  <c r="BJ78" i="2"/>
  <c r="BE78" i="2"/>
  <c r="BD78" i="2"/>
  <c r="AH78" i="2"/>
  <c r="AG78" i="2"/>
  <c r="AC78" i="2"/>
  <c r="Y78" i="2"/>
  <c r="W78" i="2"/>
  <c r="BJ107" i="2"/>
  <c r="BE107" i="2"/>
  <c r="BD107" i="2"/>
  <c r="AH107" i="2"/>
  <c r="AG107" i="2"/>
  <c r="AC107" i="2"/>
  <c r="Y107" i="2"/>
  <c r="W107" i="2"/>
  <c r="BJ140" i="2"/>
  <c r="BE140" i="2"/>
  <c r="BD140" i="2"/>
  <c r="AH140" i="2"/>
  <c r="AG140" i="2"/>
  <c r="Y140" i="2"/>
  <c r="W140" i="2"/>
  <c r="BJ166" i="2"/>
  <c r="BD166" i="2"/>
  <c r="BE166" i="2"/>
  <c r="AH166" i="2"/>
  <c r="AG166" i="2"/>
  <c r="AC166" i="2"/>
  <c r="Y166" i="2"/>
  <c r="W166" i="2"/>
  <c r="BJ178" i="2"/>
  <c r="BE178" i="2"/>
  <c r="BD178" i="2"/>
  <c r="AH178" i="2"/>
  <c r="AG178" i="2"/>
  <c r="AC178" i="2"/>
  <c r="Y178" i="2"/>
  <c r="W178" i="2"/>
  <c r="BJ191" i="2"/>
  <c r="BE191" i="2"/>
  <c r="BD191" i="2"/>
  <c r="AH191" i="2"/>
  <c r="AG191" i="2"/>
  <c r="AC191" i="2"/>
  <c r="Y191" i="2"/>
  <c r="W191" i="2"/>
  <c r="BJ203" i="2"/>
  <c r="BE203" i="2"/>
  <c r="BD203" i="2"/>
  <c r="AH203" i="2"/>
  <c r="AG203" i="2"/>
  <c r="AC203" i="2"/>
  <c r="Y203" i="2"/>
  <c r="W203" i="2"/>
  <c r="BJ218" i="2"/>
  <c r="BE218" i="2"/>
  <c r="BD218" i="2"/>
  <c r="AH218" i="2"/>
  <c r="AG218" i="2"/>
  <c r="AC218" i="2"/>
  <c r="Y218" i="2"/>
  <c r="W218" i="2"/>
  <c r="AY241" i="2"/>
  <c r="BJ241" i="2"/>
  <c r="BE241" i="2"/>
  <c r="BD241" i="2"/>
  <c r="AH241" i="2"/>
  <c r="AG241" i="2"/>
  <c r="AC241" i="2"/>
  <c r="Y241" i="2"/>
  <c r="W241" i="2"/>
  <c r="BJ253" i="2"/>
  <c r="BE253" i="2"/>
  <c r="BD253" i="2"/>
  <c r="AH253" i="2"/>
  <c r="AG253" i="2"/>
  <c r="AC253" i="2"/>
  <c r="Y253" i="2"/>
  <c r="W253" i="2"/>
  <c r="BJ265" i="2"/>
  <c r="BE265" i="2"/>
  <c r="BD265" i="2"/>
  <c r="AH265" i="2"/>
  <c r="AG265" i="2"/>
  <c r="AC265" i="2"/>
  <c r="Y265" i="2"/>
  <c r="W265" i="2"/>
  <c r="BJ284" i="2"/>
  <c r="BE284" i="2"/>
  <c r="BD284" i="2"/>
  <c r="AH284" i="2"/>
  <c r="AG284" i="2"/>
  <c r="AC284" i="2"/>
  <c r="Y284" i="2"/>
  <c r="W284" i="2"/>
  <c r="BJ296" i="2"/>
  <c r="BE296" i="2"/>
  <c r="BD296" i="2"/>
  <c r="AH296" i="2"/>
  <c r="AG296" i="2"/>
  <c r="AC296" i="2"/>
  <c r="Y296" i="2"/>
  <c r="W296" i="2"/>
  <c r="BJ308" i="2"/>
  <c r="BE308" i="2"/>
  <c r="BD308" i="2"/>
  <c r="AH308" i="2"/>
  <c r="AG308" i="2"/>
  <c r="AC308" i="2"/>
  <c r="Y308" i="2"/>
  <c r="W308" i="2"/>
  <c r="BJ320" i="2"/>
  <c r="BE320" i="2"/>
  <c r="BD320" i="2"/>
  <c r="AH320" i="2"/>
  <c r="AG320" i="2"/>
  <c r="AC320" i="2"/>
  <c r="Y320" i="2"/>
  <c r="W320" i="2"/>
  <c r="BJ332" i="2"/>
  <c r="BE332" i="2"/>
  <c r="BD332" i="2"/>
  <c r="AH332" i="2"/>
  <c r="AC332" i="2"/>
  <c r="Y332" i="2"/>
  <c r="W332" i="2"/>
  <c r="AY348" i="2"/>
  <c r="BJ348" i="2"/>
  <c r="BE348" i="2"/>
  <c r="BD348" i="2"/>
  <c r="AG348" i="2"/>
  <c r="AH348" i="2"/>
  <c r="AC348" i="2"/>
  <c r="Y348" i="2"/>
  <c r="W348" i="2"/>
  <c r="BJ361" i="2"/>
  <c r="BE361" i="2"/>
  <c r="BD361" i="2"/>
  <c r="AH361" i="2"/>
  <c r="AC361" i="2"/>
  <c r="Y361" i="2"/>
  <c r="W361" i="2"/>
  <c r="BJ403" i="2"/>
  <c r="BE403" i="2"/>
  <c r="BD403" i="2"/>
  <c r="AG403" i="2"/>
  <c r="AH403" i="2"/>
  <c r="AC403" i="2"/>
  <c r="Y403" i="2"/>
  <c r="W403" i="2"/>
  <c r="BJ427" i="2"/>
  <c r="BE427" i="2"/>
  <c r="BD427" i="2"/>
  <c r="AG427" i="2"/>
  <c r="AH427" i="2"/>
  <c r="AC427" i="2"/>
  <c r="Y427" i="2"/>
  <c r="W427" i="2"/>
  <c r="BJ479" i="2"/>
  <c r="BE479" i="2"/>
  <c r="BD479" i="2"/>
  <c r="AG479" i="2"/>
  <c r="AH479" i="2"/>
  <c r="AC479" i="2"/>
  <c r="Y479" i="2"/>
  <c r="W479" i="2"/>
  <c r="BJ555" i="2"/>
  <c r="BE555" i="2"/>
  <c r="BD555" i="2"/>
  <c r="AH555" i="2"/>
  <c r="AC555" i="2"/>
  <c r="Y555" i="2"/>
  <c r="AG555" i="2"/>
  <c r="W555" i="2"/>
  <c r="BJ594" i="2"/>
  <c r="BE594" i="2"/>
  <c r="BD594" i="2"/>
  <c r="AH594" i="2"/>
  <c r="AC594" i="2"/>
  <c r="Y594" i="2"/>
  <c r="AG594" i="2"/>
  <c r="W594" i="2"/>
  <c r="BJ620" i="2"/>
  <c r="BE620" i="2"/>
  <c r="BD620" i="2"/>
  <c r="AH620" i="2"/>
  <c r="AG620" i="2"/>
  <c r="AC620" i="2"/>
  <c r="Y620" i="2"/>
  <c r="W620" i="2"/>
  <c r="BJ634" i="2"/>
  <c r="BE634" i="2"/>
  <c r="BD634" i="2"/>
  <c r="AH634" i="2"/>
  <c r="AG634" i="2"/>
  <c r="AC634" i="2"/>
  <c r="Y634" i="2"/>
  <c r="W634" i="2"/>
  <c r="AY660" i="2"/>
  <c r="BJ660" i="2"/>
  <c r="BE660" i="2"/>
  <c r="BD660" i="2"/>
  <c r="AG660" i="2"/>
  <c r="AC660" i="2"/>
  <c r="Y660" i="2"/>
  <c r="AH660" i="2"/>
  <c r="W660" i="2"/>
  <c r="BJ686" i="2"/>
  <c r="BE686" i="2"/>
  <c r="BD686" i="2"/>
  <c r="AH686" i="2"/>
  <c r="AG686" i="2"/>
  <c r="AC686" i="2"/>
  <c r="Y686" i="2"/>
  <c r="W686" i="2"/>
  <c r="BJ703" i="2"/>
  <c r="BE703" i="2"/>
  <c r="BD703" i="2"/>
  <c r="AH703" i="2"/>
  <c r="AG703" i="2"/>
  <c r="AC703" i="2"/>
  <c r="Y703" i="2"/>
  <c r="W703" i="2"/>
  <c r="BJ715" i="2"/>
  <c r="BD715" i="2"/>
  <c r="BE715" i="2"/>
  <c r="AH715" i="2"/>
  <c r="AG715" i="2"/>
  <c r="AC715" i="2"/>
  <c r="Y715" i="2"/>
  <c r="W715" i="2"/>
  <c r="BJ730" i="2"/>
  <c r="BE730" i="2"/>
  <c r="BD730" i="2"/>
  <c r="AG730" i="2"/>
  <c r="AH730" i="2"/>
  <c r="AC730" i="2"/>
  <c r="Y730" i="2"/>
  <c r="W730" i="2"/>
  <c r="BJ742" i="2"/>
  <c r="BE742" i="2"/>
  <c r="BD742" i="2"/>
  <c r="AG742" i="2"/>
  <c r="AH742" i="2"/>
  <c r="AC742" i="2"/>
  <c r="Y742" i="2"/>
  <c r="W742" i="2"/>
  <c r="BJ754" i="2"/>
  <c r="BE754" i="2"/>
  <c r="BD754" i="2"/>
  <c r="AG754" i="2"/>
  <c r="AC754" i="2"/>
  <c r="Y754" i="2"/>
  <c r="W754" i="2"/>
  <c r="AH754" i="2"/>
  <c r="BJ768" i="2"/>
  <c r="BE768" i="2"/>
  <c r="BD768" i="2"/>
  <c r="AG768" i="2"/>
  <c r="AH768" i="2"/>
  <c r="AC768" i="2"/>
  <c r="Y768" i="2"/>
  <c r="W768" i="2"/>
  <c r="BJ807" i="2"/>
  <c r="BE807" i="2"/>
  <c r="BD807" i="2"/>
  <c r="AH807" i="2"/>
  <c r="AC807" i="2"/>
  <c r="Y807" i="2"/>
  <c r="W807" i="2"/>
  <c r="BJ835" i="2"/>
  <c r="BD835" i="2"/>
  <c r="BE835" i="2"/>
  <c r="AH835" i="2"/>
  <c r="AC835" i="2"/>
  <c r="Y835" i="2"/>
  <c r="W835" i="2"/>
  <c r="AG847" i="2"/>
  <c r="BJ847" i="2"/>
  <c r="BE847" i="2"/>
  <c r="BD847" i="2"/>
  <c r="AH847" i="2"/>
  <c r="AC847" i="2"/>
  <c r="Y847" i="2"/>
  <c r="W847" i="2"/>
  <c r="BG847" i="2" s="1"/>
  <c r="BJ861" i="2"/>
  <c r="BE861" i="2"/>
  <c r="AH861" i="2"/>
  <c r="AC861" i="2"/>
  <c r="BD861" i="2"/>
  <c r="Y861" i="2"/>
  <c r="W861" i="2"/>
  <c r="BJ887" i="2"/>
  <c r="BE887" i="2"/>
  <c r="BD887" i="2"/>
  <c r="AH887" i="2"/>
  <c r="AC887" i="2"/>
  <c r="Y887" i="2"/>
  <c r="AG887" i="2"/>
  <c r="W887" i="2"/>
  <c r="BJ910" i="2"/>
  <c r="BE910" i="2"/>
  <c r="BD910" i="2"/>
  <c r="AH910" i="2"/>
  <c r="AC910" i="2"/>
  <c r="Y910" i="2"/>
  <c r="W910" i="2"/>
  <c r="AG910" i="2"/>
  <c r="BJ924" i="2"/>
  <c r="BE924" i="2"/>
  <c r="BD924" i="2"/>
  <c r="AH924" i="2"/>
  <c r="AC924" i="2"/>
  <c r="Y924" i="2"/>
  <c r="W924" i="2"/>
  <c r="BJ943" i="2"/>
  <c r="BE943" i="2"/>
  <c r="BD943" i="2"/>
  <c r="AH943" i="2"/>
  <c r="AG943" i="2"/>
  <c r="AC943" i="2"/>
  <c r="Y943" i="2"/>
  <c r="W943" i="2"/>
  <c r="BJ959" i="2"/>
  <c r="BD959" i="2"/>
  <c r="BE959" i="2"/>
  <c r="AH959" i="2"/>
  <c r="AC959" i="2"/>
  <c r="Y959" i="2"/>
  <c r="W959" i="2"/>
  <c r="BJ1013" i="2"/>
  <c r="BE1013" i="2"/>
  <c r="AH1013" i="2"/>
  <c r="BD1013" i="2"/>
  <c r="AC1013" i="2"/>
  <c r="Y1013" i="2"/>
  <c r="W1013" i="2"/>
  <c r="AG1033" i="2"/>
  <c r="BJ1033" i="2"/>
  <c r="BE1033" i="2"/>
  <c r="BD1033" i="2"/>
  <c r="AH1033" i="2"/>
  <c r="AC1033" i="2"/>
  <c r="Y1033" i="2"/>
  <c r="W1033" i="2"/>
  <c r="BJ1048" i="2"/>
  <c r="BE1048" i="2"/>
  <c r="BD1048" i="2"/>
  <c r="AY1048" i="2"/>
  <c r="AH1048" i="2"/>
  <c r="AC1048" i="2"/>
  <c r="Y1048" i="2"/>
  <c r="AG1048" i="2"/>
  <c r="W1048" i="2"/>
  <c r="BJ1061" i="2"/>
  <c r="BE1061" i="2"/>
  <c r="AY1061" i="2"/>
  <c r="AH1061" i="2"/>
  <c r="AC1061" i="2"/>
  <c r="Y1061" i="2"/>
  <c r="AG1061" i="2"/>
  <c r="BD1061" i="2"/>
  <c r="W1061" i="2"/>
  <c r="BJ1092" i="2"/>
  <c r="BE1092" i="2"/>
  <c r="BD1092" i="2"/>
  <c r="AY1092" i="2"/>
  <c r="AH1092" i="2"/>
  <c r="AC1092" i="2"/>
  <c r="Y1092" i="2"/>
  <c r="AG1092" i="2"/>
  <c r="W1092" i="2"/>
  <c r="BJ1105" i="2"/>
  <c r="BD1105" i="2"/>
  <c r="BE1105" i="2"/>
  <c r="AY1105" i="2"/>
  <c r="AH1105" i="2"/>
  <c r="AC1105" i="2"/>
  <c r="Y1105" i="2"/>
  <c r="AG1105" i="2"/>
  <c r="W1105" i="2"/>
  <c r="BJ1130" i="2"/>
  <c r="BE1130" i="2"/>
  <c r="AY1130" i="2"/>
  <c r="BD1130" i="2"/>
  <c r="AH1130" i="2"/>
  <c r="AC1130" i="2"/>
  <c r="Y1130" i="2"/>
  <c r="AG1130" i="2"/>
  <c r="W1130" i="2"/>
  <c r="W209" i="2"/>
  <c r="W339" i="2"/>
  <c r="W643" i="2"/>
  <c r="W813" i="2"/>
  <c r="W1019" i="2"/>
  <c r="BJ50" i="2"/>
  <c r="BE50" i="2"/>
  <c r="BD50" i="2"/>
  <c r="AG50" i="2"/>
  <c r="AC50" i="2"/>
  <c r="Y50" i="2"/>
  <c r="W50" i="2"/>
  <c r="AH50" i="2"/>
  <c r="BJ79" i="2"/>
  <c r="BE79" i="2"/>
  <c r="BD79" i="2"/>
  <c r="AG79" i="2"/>
  <c r="AC79" i="2"/>
  <c r="AH79" i="2"/>
  <c r="Y79" i="2"/>
  <c r="W79" i="2"/>
  <c r="BJ108" i="2"/>
  <c r="BE108" i="2"/>
  <c r="BD108" i="2"/>
  <c r="AG108" i="2"/>
  <c r="AC108" i="2"/>
  <c r="AH108" i="2"/>
  <c r="Y108" i="2"/>
  <c r="W108" i="2"/>
  <c r="BJ141" i="2"/>
  <c r="BE141" i="2"/>
  <c r="AG141" i="2"/>
  <c r="BD141" i="2"/>
  <c r="Y141" i="2"/>
  <c r="W141" i="2"/>
  <c r="AH141" i="2"/>
  <c r="BJ167" i="2"/>
  <c r="BE167" i="2"/>
  <c r="BD167" i="2"/>
  <c r="AG167" i="2"/>
  <c r="AC167" i="2"/>
  <c r="AH167" i="2"/>
  <c r="Y167" i="2"/>
  <c r="W167" i="2"/>
  <c r="BJ179" i="2"/>
  <c r="BE179" i="2"/>
  <c r="BD179" i="2"/>
  <c r="AG179" i="2"/>
  <c r="AC179" i="2"/>
  <c r="AH179" i="2"/>
  <c r="Y179" i="2"/>
  <c r="W179" i="2"/>
  <c r="BJ192" i="2"/>
  <c r="BE192" i="2"/>
  <c r="AG192" i="2"/>
  <c r="AC192" i="2"/>
  <c r="BD192" i="2"/>
  <c r="Y192" i="2"/>
  <c r="W192" i="2"/>
  <c r="BJ204" i="2"/>
  <c r="BE204" i="2"/>
  <c r="BD204" i="2"/>
  <c r="AG204" i="2"/>
  <c r="AC204" i="2"/>
  <c r="AH204" i="2"/>
  <c r="Y204" i="2"/>
  <c r="W204" i="2"/>
  <c r="BJ219" i="2"/>
  <c r="BE219" i="2"/>
  <c r="BD219" i="2"/>
  <c r="AG219" i="2"/>
  <c r="AC219" i="2"/>
  <c r="AH219" i="2"/>
  <c r="Y219" i="2"/>
  <c r="W219" i="2"/>
  <c r="BJ242" i="2"/>
  <c r="BE242" i="2"/>
  <c r="BD242" i="2"/>
  <c r="AG242" i="2"/>
  <c r="AC242" i="2"/>
  <c r="Y242" i="2"/>
  <c r="W242" i="2"/>
  <c r="AH242" i="2"/>
  <c r="BJ254" i="2"/>
  <c r="BE254" i="2"/>
  <c r="BD254" i="2"/>
  <c r="AG254" i="2"/>
  <c r="AC254" i="2"/>
  <c r="AH254" i="2"/>
  <c r="Y254" i="2"/>
  <c r="W254" i="2"/>
  <c r="BJ266" i="2"/>
  <c r="BE266" i="2"/>
  <c r="BD266" i="2"/>
  <c r="AG266" i="2"/>
  <c r="AC266" i="2"/>
  <c r="AH266" i="2"/>
  <c r="Y266" i="2"/>
  <c r="W266" i="2"/>
  <c r="BJ285" i="2"/>
  <c r="BE285" i="2"/>
  <c r="BD285" i="2"/>
  <c r="AG285" i="2"/>
  <c r="AC285" i="2"/>
  <c r="Y285" i="2"/>
  <c r="W285" i="2"/>
  <c r="AH285" i="2"/>
  <c r="BJ297" i="2"/>
  <c r="BE297" i="2"/>
  <c r="BD297" i="2"/>
  <c r="AG297" i="2"/>
  <c r="AC297" i="2"/>
  <c r="AH297" i="2"/>
  <c r="Y297" i="2"/>
  <c r="W297" i="2"/>
  <c r="BJ309" i="2"/>
  <c r="BE309" i="2"/>
  <c r="BD309" i="2"/>
  <c r="AG309" i="2"/>
  <c r="AC309" i="2"/>
  <c r="AH309" i="2"/>
  <c r="Y309" i="2"/>
  <c r="W309" i="2"/>
  <c r="BJ321" i="2"/>
  <c r="BE321" i="2"/>
  <c r="AG321" i="2"/>
  <c r="AC321" i="2"/>
  <c r="Y321" i="2"/>
  <c r="W321" i="2"/>
  <c r="BG321" i="2" s="1"/>
  <c r="AH321" i="2"/>
  <c r="BD321" i="2"/>
  <c r="AY333" i="2"/>
  <c r="BJ333" i="2"/>
  <c r="BE333" i="2"/>
  <c r="AG333" i="2"/>
  <c r="BD333" i="2"/>
  <c r="AC333" i="2"/>
  <c r="AH333" i="2"/>
  <c r="Y333" i="2"/>
  <c r="W333" i="2"/>
  <c r="BJ349" i="2"/>
  <c r="BE349" i="2"/>
  <c r="BD349" i="2"/>
  <c r="AG349" i="2"/>
  <c r="AC349" i="2"/>
  <c r="AH349" i="2"/>
  <c r="Y349" i="2"/>
  <c r="W349" i="2"/>
  <c r="BJ368" i="2"/>
  <c r="BE368" i="2"/>
  <c r="BD368" i="2"/>
  <c r="AG368" i="2"/>
  <c r="AC368" i="2"/>
  <c r="Y368" i="2"/>
  <c r="W368" i="2"/>
  <c r="AH368" i="2"/>
  <c r="BJ409" i="2"/>
  <c r="BE409" i="2"/>
  <c r="BD409" i="2"/>
  <c r="AC409" i="2"/>
  <c r="AH409" i="2"/>
  <c r="Y409" i="2"/>
  <c r="W409" i="2"/>
  <c r="AG409" i="2"/>
  <c r="BJ430" i="2"/>
  <c r="BE430" i="2"/>
  <c r="BD430" i="2"/>
  <c r="AC430" i="2"/>
  <c r="AG430" i="2"/>
  <c r="AH430" i="2"/>
  <c r="Y430" i="2"/>
  <c r="W430" i="2"/>
  <c r="BJ480" i="2"/>
  <c r="BE480" i="2"/>
  <c r="BD480" i="2"/>
  <c r="AC480" i="2"/>
  <c r="AG480" i="2"/>
  <c r="Y480" i="2"/>
  <c r="W480" i="2"/>
  <c r="AH480" i="2"/>
  <c r="BJ556" i="2"/>
  <c r="BE556" i="2"/>
  <c r="BD556" i="2"/>
  <c r="AH556" i="2"/>
  <c r="AC556" i="2"/>
  <c r="Y556" i="2"/>
  <c r="W556" i="2"/>
  <c r="BJ595" i="2"/>
  <c r="BE595" i="2"/>
  <c r="BD595" i="2"/>
  <c r="AC595" i="2"/>
  <c r="AH595" i="2"/>
  <c r="AG595" i="2"/>
  <c r="Y595" i="2"/>
  <c r="W595" i="2"/>
  <c r="BJ621" i="2"/>
  <c r="BE621" i="2"/>
  <c r="AH621" i="2"/>
  <c r="AC621" i="2"/>
  <c r="AG621" i="2"/>
  <c r="Y621" i="2"/>
  <c r="W621" i="2"/>
  <c r="BD621" i="2"/>
  <c r="BJ635" i="2"/>
  <c r="BE635" i="2"/>
  <c r="BD635" i="2"/>
  <c r="AC635" i="2"/>
  <c r="Y635" i="2"/>
  <c r="W635" i="2"/>
  <c r="AH635" i="2"/>
  <c r="AG635" i="2"/>
  <c r="AY661" i="2"/>
  <c r="BJ661" i="2"/>
  <c r="BE661" i="2"/>
  <c r="BD661" i="2"/>
  <c r="AG661" i="2"/>
  <c r="AC661" i="2"/>
  <c r="AH661" i="2"/>
  <c r="Y661" i="2"/>
  <c r="W661" i="2"/>
  <c r="AY687" i="2"/>
  <c r="BJ687" i="2"/>
  <c r="BE687" i="2"/>
  <c r="BD687" i="2"/>
  <c r="AG687" i="2"/>
  <c r="AC687" i="2"/>
  <c r="AH687" i="2"/>
  <c r="Y687" i="2"/>
  <c r="W687" i="2"/>
  <c r="BJ704" i="2"/>
  <c r="BE704" i="2"/>
  <c r="BD704" i="2"/>
  <c r="AH704" i="2"/>
  <c r="AG704" i="2"/>
  <c r="AC704" i="2"/>
  <c r="Y704" i="2"/>
  <c r="W704" i="2"/>
  <c r="BJ716" i="2"/>
  <c r="BE716" i="2"/>
  <c r="BD716" i="2"/>
  <c r="AG716" i="2"/>
  <c r="AC716" i="2"/>
  <c r="AH716" i="2"/>
  <c r="Y716" i="2"/>
  <c r="W716" i="2"/>
  <c r="BJ731" i="2"/>
  <c r="BE731" i="2"/>
  <c r="AH731" i="2"/>
  <c r="BD731" i="2"/>
  <c r="AC731" i="2"/>
  <c r="AG731" i="2"/>
  <c r="Y731" i="2"/>
  <c r="W731" i="2"/>
  <c r="BJ743" i="2"/>
  <c r="BE743" i="2"/>
  <c r="AG743" i="2"/>
  <c r="BD743" i="2"/>
  <c r="AC743" i="2"/>
  <c r="AH743" i="2"/>
  <c r="Y743" i="2"/>
  <c r="W743" i="2"/>
  <c r="BJ755" i="2"/>
  <c r="BE755" i="2"/>
  <c r="BD755" i="2"/>
  <c r="AG755" i="2"/>
  <c r="AC755" i="2"/>
  <c r="AH755" i="2"/>
  <c r="Y755" i="2"/>
  <c r="W755" i="2"/>
  <c r="BJ786" i="2"/>
  <c r="BE786" i="2"/>
  <c r="BD786" i="2"/>
  <c r="AG786" i="2"/>
  <c r="AC786" i="2"/>
  <c r="AH786" i="2"/>
  <c r="Y786" i="2"/>
  <c r="W786" i="2"/>
  <c r="AG808" i="2"/>
  <c r="BJ808" i="2"/>
  <c r="BE808" i="2"/>
  <c r="BD808" i="2"/>
  <c r="AC808" i="2"/>
  <c r="AH808" i="2"/>
  <c r="Y808" i="2"/>
  <c r="W808" i="2"/>
  <c r="BJ836" i="2"/>
  <c r="BE836" i="2"/>
  <c r="BD836" i="2"/>
  <c r="AG836" i="2"/>
  <c r="AC836" i="2"/>
  <c r="AH836" i="2"/>
  <c r="Y836" i="2"/>
  <c r="W836" i="2"/>
  <c r="BJ848" i="2"/>
  <c r="BD848" i="2"/>
  <c r="BE848" i="2"/>
  <c r="AC848" i="2"/>
  <c r="Y848" i="2"/>
  <c r="W848" i="2"/>
  <c r="BJ862" i="2"/>
  <c r="BD862" i="2"/>
  <c r="BE862" i="2"/>
  <c r="AC862" i="2"/>
  <c r="AH862" i="2"/>
  <c r="Y862" i="2"/>
  <c r="W862" i="2"/>
  <c r="BJ888" i="2"/>
  <c r="BD888" i="2"/>
  <c r="BE888" i="2"/>
  <c r="AG888" i="2"/>
  <c r="AC888" i="2"/>
  <c r="AH888" i="2"/>
  <c r="Y888" i="2"/>
  <c r="W888" i="2"/>
  <c r="BJ913" i="2"/>
  <c r="BD913" i="2"/>
  <c r="BE913" i="2"/>
  <c r="AC913" i="2"/>
  <c r="AH913" i="2"/>
  <c r="Y913" i="2"/>
  <c r="W913" i="2"/>
  <c r="BJ925" i="2"/>
  <c r="BE925" i="2"/>
  <c r="BD925" i="2"/>
  <c r="AC925" i="2"/>
  <c r="AH925" i="2"/>
  <c r="Y925" i="2"/>
  <c r="W925" i="2"/>
  <c r="BJ944" i="2"/>
  <c r="BE944" i="2"/>
  <c r="BD944" i="2"/>
  <c r="AC944" i="2"/>
  <c r="Y944" i="2"/>
  <c r="AH944" i="2"/>
  <c r="W944" i="2"/>
  <c r="AG944" i="2"/>
  <c r="BJ960" i="2"/>
  <c r="BD960" i="2"/>
  <c r="BE960" i="2"/>
  <c r="AC960" i="2"/>
  <c r="AH960" i="2"/>
  <c r="Y960" i="2"/>
  <c r="W960" i="2"/>
  <c r="BJ1014" i="2"/>
  <c r="BD1014" i="2"/>
  <c r="BE1014" i="2"/>
  <c r="AC1014" i="2"/>
  <c r="AH1014" i="2"/>
  <c r="Y1014" i="2"/>
  <c r="W1014" i="2"/>
  <c r="BJ1034" i="2"/>
  <c r="BD1034" i="2"/>
  <c r="BE1034" i="2"/>
  <c r="AC1034" i="2"/>
  <c r="AH1034" i="2"/>
  <c r="Y1034" i="2"/>
  <c r="W1034" i="2"/>
  <c r="BG1034" i="2" s="1"/>
  <c r="BJ1049" i="2"/>
  <c r="BE1049" i="2"/>
  <c r="BD1049" i="2"/>
  <c r="AY1049" i="2"/>
  <c r="AG1049" i="2"/>
  <c r="AC1049" i="2"/>
  <c r="Y1049" i="2"/>
  <c r="W1049" i="2"/>
  <c r="AH1049" i="2"/>
  <c r="BJ1062" i="2"/>
  <c r="BE1062" i="2"/>
  <c r="BD1062" i="2"/>
  <c r="AY1062" i="2"/>
  <c r="AG1062" i="2"/>
  <c r="AC1062" i="2"/>
  <c r="AH1062" i="2"/>
  <c r="Y1062" i="2"/>
  <c r="W1062" i="2"/>
  <c r="BJ1093" i="2"/>
  <c r="BE1093" i="2"/>
  <c r="BD1093" i="2"/>
  <c r="AY1093" i="2"/>
  <c r="AG1093" i="2"/>
  <c r="AC1093" i="2"/>
  <c r="AH1093" i="2"/>
  <c r="Y1093" i="2"/>
  <c r="W1093" i="2"/>
  <c r="BJ1107" i="2"/>
  <c r="BE1107" i="2"/>
  <c r="BD1107" i="2"/>
  <c r="AY1107" i="2"/>
  <c r="AG1107" i="2"/>
  <c r="AC1107" i="2"/>
  <c r="AH1107" i="2"/>
  <c r="Y1107" i="2"/>
  <c r="W1107" i="2"/>
  <c r="BJ1131" i="2"/>
  <c r="BE1131" i="2"/>
  <c r="BD1131" i="2"/>
  <c r="AY1131" i="2"/>
  <c r="AG1131" i="2"/>
  <c r="AC1131" i="2"/>
  <c r="AH1131" i="2"/>
  <c r="Y1131" i="2"/>
  <c r="W1131" i="2"/>
  <c r="W213" i="2"/>
  <c r="BG213" i="2" s="1"/>
  <c r="W343" i="2"/>
  <c r="W654" i="2"/>
  <c r="W822" i="2"/>
  <c r="W1028" i="2"/>
  <c r="BH1028" i="2" s="1"/>
  <c r="BJ51" i="2"/>
  <c r="BE51" i="2"/>
  <c r="BD51" i="2"/>
  <c r="AC51" i="2"/>
  <c r="AH51" i="2"/>
  <c r="W51" i="2"/>
  <c r="BJ91" i="2"/>
  <c r="BE91" i="2"/>
  <c r="BD91" i="2"/>
  <c r="AH91" i="2"/>
  <c r="AG91" i="2"/>
  <c r="AC91" i="2"/>
  <c r="BJ109" i="2"/>
  <c r="BE109" i="2"/>
  <c r="BD109" i="2"/>
  <c r="AG109" i="2"/>
  <c r="Y109" i="2"/>
  <c r="W109" i="2"/>
  <c r="BJ142" i="2"/>
  <c r="BE142" i="2"/>
  <c r="BD142" i="2"/>
  <c r="AG142" i="2"/>
  <c r="AC142" i="2"/>
  <c r="AH142" i="2"/>
  <c r="Y142" i="2"/>
  <c r="W142" i="2"/>
  <c r="BJ168" i="2"/>
  <c r="BE168" i="2"/>
  <c r="BD168" i="2"/>
  <c r="AG168" i="2"/>
  <c r="AH168" i="2"/>
  <c r="AC168" i="2"/>
  <c r="Y168" i="2"/>
  <c r="BJ180" i="2"/>
  <c r="BD180" i="2"/>
  <c r="BE180" i="2"/>
  <c r="AG180" i="2"/>
  <c r="AC180" i="2"/>
  <c r="Y180" i="2"/>
  <c r="W180" i="2"/>
  <c r="BJ193" i="2"/>
  <c r="BE193" i="2"/>
  <c r="BD193" i="2"/>
  <c r="AG193" i="2"/>
  <c r="AC193" i="2"/>
  <c r="AH193" i="2"/>
  <c r="Y193" i="2"/>
  <c r="W193" i="2"/>
  <c r="BJ205" i="2"/>
  <c r="BE205" i="2"/>
  <c r="BD205" i="2"/>
  <c r="AG205" i="2"/>
  <c r="AH205" i="2"/>
  <c r="AC205" i="2"/>
  <c r="Y205" i="2"/>
  <c r="BJ220" i="2"/>
  <c r="BE220" i="2"/>
  <c r="BD220" i="2"/>
  <c r="AG220" i="2"/>
  <c r="AH220" i="2"/>
  <c r="Y220" i="2"/>
  <c r="AC220" i="2"/>
  <c r="W220" i="2"/>
  <c r="BJ243" i="2"/>
  <c r="BD243" i="2"/>
  <c r="AG243" i="2"/>
  <c r="AC243" i="2"/>
  <c r="BE243" i="2"/>
  <c r="AH243" i="2"/>
  <c r="W243" i="2"/>
  <c r="BJ255" i="2"/>
  <c r="BE255" i="2"/>
  <c r="BD255" i="2"/>
  <c r="AG255" i="2"/>
  <c r="AC255" i="2"/>
  <c r="AH255" i="2"/>
  <c r="BJ267" i="2"/>
  <c r="BE267" i="2"/>
  <c r="BD267" i="2"/>
  <c r="AG267" i="2"/>
  <c r="AC267" i="2"/>
  <c r="Y267" i="2"/>
  <c r="AH267" i="2"/>
  <c r="W267" i="2"/>
  <c r="BJ286" i="2"/>
  <c r="BE286" i="2"/>
  <c r="BD286" i="2"/>
  <c r="AG286" i="2"/>
  <c r="AC286" i="2"/>
  <c r="AH286" i="2"/>
  <c r="Y286" i="2"/>
  <c r="W286" i="2"/>
  <c r="BJ298" i="2"/>
  <c r="BD298" i="2"/>
  <c r="BE298" i="2"/>
  <c r="AG298" i="2"/>
  <c r="AC298" i="2"/>
  <c r="AH298" i="2"/>
  <c r="Y298" i="2"/>
  <c r="BJ310" i="2"/>
  <c r="BE310" i="2"/>
  <c r="BD310" i="2"/>
  <c r="AG310" i="2"/>
  <c r="AC310" i="2"/>
  <c r="Y310" i="2"/>
  <c r="AH310" i="2"/>
  <c r="W310" i="2"/>
  <c r="BJ322" i="2"/>
  <c r="BE322" i="2"/>
  <c r="BD322" i="2"/>
  <c r="AG322" i="2"/>
  <c r="AC322" i="2"/>
  <c r="AH322" i="2"/>
  <c r="Y322" i="2"/>
  <c r="W322" i="2"/>
  <c r="BJ334" i="2"/>
  <c r="BE334" i="2"/>
  <c r="BD334" i="2"/>
  <c r="AC334" i="2"/>
  <c r="AG334" i="2"/>
  <c r="AH334" i="2"/>
  <c r="Y334" i="2"/>
  <c r="BJ350" i="2"/>
  <c r="BE350" i="2"/>
  <c r="BD350" i="2"/>
  <c r="AC350" i="2"/>
  <c r="AG350" i="2"/>
  <c r="AH350" i="2"/>
  <c r="Y350" i="2"/>
  <c r="W350" i="2"/>
  <c r="BJ373" i="2"/>
  <c r="BE373" i="2"/>
  <c r="BD373" i="2"/>
  <c r="AG373" i="2"/>
  <c r="AC373" i="2"/>
  <c r="AH373" i="2"/>
  <c r="W373" i="2"/>
  <c r="BJ410" i="2"/>
  <c r="BE410" i="2"/>
  <c r="BD410" i="2"/>
  <c r="AG410" i="2"/>
  <c r="AC410" i="2"/>
  <c r="AH410" i="2"/>
  <c r="BJ431" i="2"/>
  <c r="BE431" i="2"/>
  <c r="BD431" i="2"/>
  <c r="AG431" i="2"/>
  <c r="AC431" i="2"/>
  <c r="Y431" i="2"/>
  <c r="W431" i="2"/>
  <c r="AH431" i="2"/>
  <c r="BJ481" i="2"/>
  <c r="BE481" i="2"/>
  <c r="BD481" i="2"/>
  <c r="AG481" i="2"/>
  <c r="AC481" i="2"/>
  <c r="AH481" i="2"/>
  <c r="Y481" i="2"/>
  <c r="W481" i="2"/>
  <c r="BJ557" i="2"/>
  <c r="BE557" i="2"/>
  <c r="BD557" i="2"/>
  <c r="AG557" i="2"/>
  <c r="AH557" i="2"/>
  <c r="AC557" i="2"/>
  <c r="Y557" i="2"/>
  <c r="BJ596" i="2"/>
  <c r="BD596" i="2"/>
  <c r="AG596" i="2"/>
  <c r="AC596" i="2"/>
  <c r="AH596" i="2"/>
  <c r="BE596" i="2"/>
  <c r="Y596" i="2"/>
  <c r="W596" i="2"/>
  <c r="BJ622" i="2"/>
  <c r="BE622" i="2"/>
  <c r="BD622" i="2"/>
  <c r="AH622" i="2"/>
  <c r="AC622" i="2"/>
  <c r="AG622" i="2"/>
  <c r="Y622" i="2"/>
  <c r="W622" i="2"/>
  <c r="BJ636" i="2"/>
  <c r="BD636" i="2"/>
  <c r="AH636" i="2"/>
  <c r="AC636" i="2"/>
  <c r="BE636" i="2"/>
  <c r="Y636" i="2"/>
  <c r="BJ663" i="2"/>
  <c r="BE663" i="2"/>
  <c r="BD663" i="2"/>
  <c r="AH663" i="2"/>
  <c r="AG663" i="2"/>
  <c r="AC663" i="2"/>
  <c r="Y663" i="2"/>
  <c r="W663" i="2"/>
  <c r="BJ688" i="2"/>
  <c r="BE688" i="2"/>
  <c r="BD688" i="2"/>
  <c r="AG688" i="2"/>
  <c r="AC688" i="2"/>
  <c r="AH688" i="2"/>
  <c r="W688" i="2"/>
  <c r="BJ705" i="2"/>
  <c r="BE705" i="2"/>
  <c r="BD705" i="2"/>
  <c r="AH705" i="2"/>
  <c r="AG705" i="2"/>
  <c r="AC705" i="2"/>
  <c r="BJ717" i="2"/>
  <c r="BE717" i="2"/>
  <c r="BD717" i="2"/>
  <c r="AG717" i="2"/>
  <c r="AC717" i="2"/>
  <c r="AH717" i="2"/>
  <c r="Y717" i="2"/>
  <c r="W717" i="2"/>
  <c r="BJ732" i="2"/>
  <c r="BE732" i="2"/>
  <c r="BD732" i="2"/>
  <c r="AH732" i="2"/>
  <c r="AC732" i="2"/>
  <c r="AG732" i="2"/>
  <c r="Y732" i="2"/>
  <c r="W732" i="2"/>
  <c r="BJ744" i="2"/>
  <c r="BE744" i="2"/>
  <c r="BD744" i="2"/>
  <c r="AH744" i="2"/>
  <c r="AC744" i="2"/>
  <c r="AG744" i="2"/>
  <c r="Y744" i="2"/>
  <c r="BJ756" i="2"/>
  <c r="BE756" i="2"/>
  <c r="BD756" i="2"/>
  <c r="AH756" i="2"/>
  <c r="AC756" i="2"/>
  <c r="AG756" i="2"/>
  <c r="Y756" i="2"/>
  <c r="W756" i="2"/>
  <c r="BJ790" i="2"/>
  <c r="BE790" i="2"/>
  <c r="BD790" i="2"/>
  <c r="AC790" i="2"/>
  <c r="AH790" i="2"/>
  <c r="Y790" i="2"/>
  <c r="W790" i="2"/>
  <c r="AG809" i="2"/>
  <c r="BJ809" i="2"/>
  <c r="BE809" i="2"/>
  <c r="AC809" i="2"/>
  <c r="AH809" i="2"/>
  <c r="BD809" i="2"/>
  <c r="Y809" i="2"/>
  <c r="BJ837" i="2"/>
  <c r="BE837" i="2"/>
  <c r="BD837" i="2"/>
  <c r="AH837" i="2"/>
  <c r="AC837" i="2"/>
  <c r="AG837" i="2"/>
  <c r="Y837" i="2"/>
  <c r="W837" i="2"/>
  <c r="BJ849" i="2"/>
  <c r="BE849" i="2"/>
  <c r="BD849" i="2"/>
  <c r="AC849" i="2"/>
  <c r="AH849" i="2"/>
  <c r="W849" i="2"/>
  <c r="BG849" i="2" s="1"/>
  <c r="BJ863" i="2"/>
  <c r="BE863" i="2"/>
  <c r="BD863" i="2"/>
  <c r="AC863" i="2"/>
  <c r="AH863" i="2"/>
  <c r="BJ892" i="2"/>
  <c r="BE892" i="2"/>
  <c r="BD892" i="2"/>
  <c r="AG892" i="2"/>
  <c r="AH892" i="2"/>
  <c r="AC892" i="2"/>
  <c r="Y892" i="2"/>
  <c r="W892" i="2"/>
  <c r="BJ914" i="2"/>
  <c r="BE914" i="2"/>
  <c r="BD914" i="2"/>
  <c r="AC914" i="2"/>
  <c r="AH914" i="2"/>
  <c r="Y914" i="2"/>
  <c r="W914" i="2"/>
  <c r="BJ926" i="2"/>
  <c r="BE926" i="2"/>
  <c r="BD926" i="2"/>
  <c r="AC926" i="2"/>
  <c r="AH926" i="2"/>
  <c r="Y926" i="2"/>
  <c r="BJ945" i="2"/>
  <c r="BE945" i="2"/>
  <c r="BD945" i="2"/>
  <c r="AH945" i="2"/>
  <c r="AG945" i="2"/>
  <c r="AC945" i="2"/>
  <c r="Y945" i="2"/>
  <c r="W945" i="2"/>
  <c r="BJ961" i="2"/>
  <c r="BE961" i="2"/>
  <c r="AC961" i="2"/>
  <c r="BD961" i="2"/>
  <c r="AH961" i="2"/>
  <c r="Y961" i="2"/>
  <c r="W961" i="2"/>
  <c r="BJ1015" i="2"/>
  <c r="BE1015" i="2"/>
  <c r="BD1015" i="2"/>
  <c r="AC1015" i="2"/>
  <c r="AH1015" i="2"/>
  <c r="Y1015" i="2"/>
  <c r="BJ1035" i="2"/>
  <c r="BE1035" i="2"/>
  <c r="BD1035" i="2"/>
  <c r="AH1035" i="2"/>
  <c r="AC1035" i="2"/>
  <c r="Y1035" i="2"/>
  <c r="W1035" i="2"/>
  <c r="BJ1050" i="2"/>
  <c r="BE1050" i="2"/>
  <c r="AY1050" i="2"/>
  <c r="BD1050" i="2"/>
  <c r="AC1050" i="2"/>
  <c r="AG1050" i="2"/>
  <c r="AH1050" i="2"/>
  <c r="W1050" i="2"/>
  <c r="BJ1063" i="2"/>
  <c r="BE1063" i="2"/>
  <c r="BD1063" i="2"/>
  <c r="AY1063" i="2"/>
  <c r="AC1063" i="2"/>
  <c r="AH1063" i="2"/>
  <c r="AG1063" i="2"/>
  <c r="BJ1094" i="2"/>
  <c r="BE1094" i="2"/>
  <c r="BD1094" i="2"/>
  <c r="AY1094" i="2"/>
  <c r="AH1094" i="2"/>
  <c r="AC1094" i="2"/>
  <c r="Y1094" i="2"/>
  <c r="AG1094" i="2"/>
  <c r="W1094" i="2"/>
  <c r="BJ1108" i="2"/>
  <c r="BE1108" i="2"/>
  <c r="AY1108" i="2"/>
  <c r="BD1108" i="2"/>
  <c r="AC1108" i="2"/>
  <c r="AG1108" i="2"/>
  <c r="AH1108" i="2"/>
  <c r="Y1108" i="2"/>
  <c r="W1108" i="2"/>
  <c r="BJ1132" i="2"/>
  <c r="BE1132" i="2"/>
  <c r="AY1132" i="2"/>
  <c r="BD1132" i="2"/>
  <c r="AC1132" i="2"/>
  <c r="AH1132" i="2"/>
  <c r="AG1132" i="2"/>
  <c r="Y1132" i="2"/>
  <c r="W73" i="2"/>
  <c r="W248" i="2"/>
  <c r="W387" i="2"/>
  <c r="W693" i="2"/>
  <c r="W854" i="2"/>
  <c r="W1055" i="2"/>
  <c r="AH192" i="2"/>
  <c r="AY1031" i="2"/>
  <c r="AY1009" i="2"/>
  <c r="AY853" i="2"/>
  <c r="AY847" i="2"/>
  <c r="AG846" i="2"/>
  <c r="AG1078" i="2"/>
  <c r="AY1039" i="2"/>
  <c r="AG526" i="2"/>
  <c r="AY274" i="2"/>
  <c r="AG362" i="2"/>
  <c r="AG83" i="2"/>
  <c r="BK1241" i="2" l="1"/>
  <c r="BK1200" i="2"/>
  <c r="BK1158" i="2"/>
  <c r="BK1242" i="2"/>
  <c r="BK1214" i="2"/>
  <c r="BK1223" i="2"/>
  <c r="BK1226" i="2"/>
  <c r="BK1215" i="2"/>
  <c r="BK1221" i="2"/>
  <c r="BK1182" i="2"/>
  <c r="BK1195" i="2"/>
  <c r="BK798" i="2"/>
  <c r="BK90" i="2"/>
  <c r="BK378" i="2"/>
  <c r="BK332" i="2"/>
  <c r="BK532" i="2"/>
  <c r="BK411" i="2"/>
  <c r="BK361" i="2"/>
  <c r="BK360" i="2"/>
  <c r="BK554" i="2"/>
  <c r="BK556" i="2"/>
  <c r="BK1174" i="2"/>
  <c r="BK964" i="2"/>
  <c r="BK860" i="2"/>
  <c r="BK956" i="2"/>
  <c r="BK955" i="2"/>
  <c r="BK1129" i="2"/>
  <c r="BK1059" i="2"/>
  <c r="BK1060" i="2"/>
  <c r="BK1058" i="2"/>
  <c r="BK1130" i="2"/>
  <c r="BK1057" i="2"/>
  <c r="BK1212" i="2"/>
  <c r="BK1211" i="2"/>
  <c r="BK1204" i="2"/>
  <c r="BK1193" i="2"/>
  <c r="BK1191" i="2"/>
  <c r="BK1186" i="2"/>
  <c r="BK1185" i="2"/>
  <c r="BK1181" i="2"/>
  <c r="BK1173" i="2"/>
  <c r="BK1170" i="2"/>
  <c r="BK1162" i="2"/>
  <c r="BK879" i="2"/>
  <c r="BK829" i="2"/>
  <c r="BK797" i="2"/>
  <c r="BK603" i="2"/>
  <c r="BK992" i="2"/>
  <c r="BK878" i="2"/>
  <c r="BK877" i="2"/>
  <c r="BK828" i="2"/>
  <c r="BK827" i="2"/>
  <c r="BK1077" i="2"/>
  <c r="BK1111" i="2"/>
  <c r="BK1069" i="2"/>
  <c r="BK1068" i="2"/>
  <c r="BK1201" i="2"/>
  <c r="BK1202" i="2"/>
  <c r="BK1052" i="2"/>
  <c r="BK1050" i="2"/>
  <c r="BK1046" i="2"/>
  <c r="BK1049" i="2"/>
  <c r="BK1094" i="2"/>
  <c r="BK1091" i="2"/>
  <c r="BK1045" i="2"/>
  <c r="BK1047" i="2"/>
  <c r="BK1048" i="2"/>
  <c r="BK1051" i="2"/>
  <c r="BK1053" i="2"/>
  <c r="BK1054" i="2"/>
  <c r="BK1055" i="2"/>
  <c r="BK1092" i="2"/>
  <c r="BK1093" i="2"/>
  <c r="BK1044" i="2"/>
  <c r="BK650" i="2"/>
  <c r="BK649" i="2"/>
  <c r="BK648" i="2"/>
  <c r="BK789" i="2"/>
  <c r="BK561" i="2"/>
  <c r="BK531" i="2"/>
  <c r="BK560" i="2"/>
  <c r="BK546" i="2"/>
  <c r="BK545" i="2"/>
  <c r="BK547" i="2"/>
  <c r="BK544" i="2"/>
  <c r="BK727" i="2"/>
  <c r="BK726" i="2"/>
  <c r="BK655" i="2"/>
  <c r="BK640" i="2"/>
  <c r="BK578" i="2"/>
  <c r="BK565" i="2"/>
  <c r="BK643" i="2"/>
  <c r="BK619" i="2"/>
  <c r="BK616" i="2"/>
  <c r="BK1203" i="2"/>
  <c r="BK1171" i="2"/>
  <c r="BK1083" i="2"/>
  <c r="BK1043" i="2"/>
  <c r="BK977" i="2"/>
  <c r="BK979" i="2"/>
  <c r="BK978" i="2"/>
  <c r="BK976" i="2"/>
  <c r="BK983" i="2"/>
  <c r="BK975" i="2"/>
  <c r="BK737" i="2"/>
  <c r="BK618" i="2"/>
  <c r="BK617" i="2"/>
  <c r="BK472" i="2"/>
  <c r="BK329" i="2"/>
  <c r="BK207" i="2"/>
  <c r="BK99" i="2"/>
  <c r="BI207" i="2"/>
  <c r="BH207" i="2"/>
  <c r="BG207" i="2"/>
  <c r="BF207" i="2"/>
  <c r="BI554" i="2"/>
  <c r="BH554" i="2"/>
  <c r="BG554" i="2"/>
  <c r="BF554" i="2"/>
  <c r="BI726" i="2"/>
  <c r="BH726" i="2"/>
  <c r="BG726" i="2"/>
  <c r="BF726" i="2"/>
  <c r="BI727" i="2"/>
  <c r="BH727" i="2"/>
  <c r="BG727" i="2"/>
  <c r="BF727" i="2"/>
  <c r="BH556" i="2"/>
  <c r="BI556" i="2"/>
  <c r="BG556" i="2"/>
  <c r="BF556" i="2"/>
  <c r="BH2" i="2"/>
  <c r="BK1169" i="2"/>
  <c r="BF1169" i="2"/>
  <c r="BI1169" i="2"/>
  <c r="BK273" i="2"/>
  <c r="BF273" i="2"/>
  <c r="BI273" i="2"/>
  <c r="BF544" i="2"/>
  <c r="BI544" i="2"/>
  <c r="BK95" i="2"/>
  <c r="BF95" i="2"/>
  <c r="BI95" i="2"/>
  <c r="BH273" i="2"/>
  <c r="BK882" i="2"/>
  <c r="BH1169" i="2"/>
  <c r="BH544" i="2"/>
  <c r="BH95" i="2"/>
  <c r="BK337" i="2"/>
  <c r="BF337" i="2"/>
  <c r="BI337" i="2"/>
  <c r="BH337" i="2"/>
  <c r="BG337" i="2"/>
  <c r="BK1219" i="2"/>
  <c r="BK1176" i="2"/>
  <c r="BK1177" i="2"/>
  <c r="BK1220" i="2"/>
  <c r="BK1024" i="2"/>
  <c r="BK1134" i="2"/>
  <c r="BK1023" i="2"/>
  <c r="BK1236" i="2"/>
  <c r="BK1234" i="2"/>
  <c r="BK1143" i="2"/>
  <c r="BK1208" i="2"/>
  <c r="BK1189" i="2"/>
  <c r="BK889" i="2"/>
  <c r="BK1095" i="2"/>
  <c r="BK1207" i="2"/>
  <c r="BK1156" i="2"/>
  <c r="BK1172" i="2"/>
  <c r="BK1142" i="2"/>
  <c r="BK587" i="2"/>
  <c r="BH737" i="2"/>
  <c r="BH988" i="2"/>
  <c r="BH642" i="2"/>
  <c r="BI430" i="2"/>
  <c r="BH1049" i="2"/>
  <c r="BI254" i="2"/>
  <c r="BK291" i="2"/>
  <c r="BI291" i="2"/>
  <c r="BH291" i="2"/>
  <c r="BF291" i="2"/>
  <c r="BF102" i="2"/>
  <c r="BI411" i="2"/>
  <c r="BI777" i="2"/>
  <c r="BI614" i="2"/>
  <c r="BF1202" i="2"/>
  <c r="BI574" i="2"/>
  <c r="BK168" i="2"/>
  <c r="BK530" i="2"/>
  <c r="BK334" i="2"/>
  <c r="BH1033" i="2"/>
  <c r="BH696" i="2"/>
  <c r="BH710" i="2"/>
  <c r="BK260" i="2"/>
  <c r="BF710" i="2"/>
  <c r="BI339" i="2"/>
  <c r="BI929" i="2"/>
  <c r="BH636" i="2"/>
  <c r="BH709" i="2"/>
  <c r="BH121" i="2"/>
  <c r="BH324" i="2"/>
  <c r="BI362" i="2"/>
  <c r="BH494" i="2"/>
  <c r="BH34" i="2"/>
  <c r="BH777" i="2"/>
  <c r="BH276" i="2"/>
  <c r="BH863" i="2"/>
  <c r="BH148" i="2"/>
  <c r="BK776" i="2"/>
  <c r="BH42" i="2"/>
  <c r="BH858" i="2"/>
  <c r="BF809" i="2"/>
  <c r="BH1117" i="2"/>
  <c r="BH515" i="2"/>
  <c r="BH1015" i="2"/>
  <c r="BI1117" i="2"/>
  <c r="BH563" i="2"/>
  <c r="BK422" i="2"/>
  <c r="BH635" i="2"/>
  <c r="BH1107" i="2"/>
  <c r="BI848" i="2"/>
  <c r="BI204" i="2"/>
  <c r="BI108" i="2"/>
  <c r="BH1030" i="2"/>
  <c r="BF1117" i="2"/>
  <c r="BI19" i="2"/>
  <c r="BI709" i="2"/>
  <c r="BI654" i="2"/>
  <c r="BF101" i="2"/>
  <c r="BF709" i="2"/>
  <c r="BK563" i="2"/>
  <c r="BH905" i="2"/>
  <c r="BH769" i="2"/>
  <c r="BI133" i="2"/>
  <c r="BK372" i="2"/>
  <c r="BH428" i="2"/>
  <c r="BI295" i="2"/>
  <c r="BF1073" i="2"/>
  <c r="BK101" i="2"/>
  <c r="BI794" i="2"/>
  <c r="BI102" i="2"/>
  <c r="BK1078" i="2"/>
  <c r="BF705" i="2"/>
  <c r="BK1073" i="2"/>
  <c r="BH102" i="2"/>
  <c r="BI413" i="2"/>
  <c r="BI1067" i="2"/>
  <c r="BK777" i="2"/>
  <c r="BI121" i="2"/>
  <c r="BI578" i="2"/>
  <c r="BF941" i="2"/>
  <c r="BF617" i="2"/>
  <c r="BH668" i="2"/>
  <c r="BH1222" i="2"/>
  <c r="BG705" i="2"/>
  <c r="BK677" i="2"/>
  <c r="BF787" i="2"/>
  <c r="BI863" i="2"/>
  <c r="BH402" i="2"/>
  <c r="BF863" i="2"/>
  <c r="BG863" i="2"/>
  <c r="BH539" i="2"/>
  <c r="BF618" i="2"/>
  <c r="BF418" i="2"/>
  <c r="BH919" i="2"/>
  <c r="BK1063" i="2"/>
  <c r="BK705" i="2"/>
  <c r="BG926" i="2"/>
  <c r="BF732" i="2"/>
  <c r="BK1123" i="2"/>
  <c r="BI948" i="2"/>
  <c r="BF54" i="2"/>
  <c r="BI124" i="2"/>
  <c r="BI181" i="2"/>
  <c r="BI973" i="2"/>
  <c r="BI152" i="2"/>
  <c r="BH1230" i="2"/>
  <c r="BH551" i="2"/>
  <c r="BH1112" i="2"/>
  <c r="BF926" i="2"/>
  <c r="BI704" i="2"/>
  <c r="BI289" i="2"/>
  <c r="BI1051" i="2"/>
  <c r="BH319" i="2"/>
  <c r="BI804" i="2"/>
  <c r="BK418" i="2"/>
  <c r="BK557" i="2"/>
  <c r="BF777" i="2"/>
  <c r="BF693" i="2"/>
  <c r="BF168" i="2"/>
  <c r="BH888" i="2"/>
  <c r="BI765" i="2"/>
  <c r="BH503" i="2"/>
  <c r="BK744" i="2"/>
  <c r="BH1132" i="2"/>
  <c r="BH298" i="2"/>
  <c r="BH822" i="2"/>
  <c r="BH809" i="2"/>
  <c r="BI796" i="2"/>
  <c r="BF682" i="2"/>
  <c r="BK1117" i="2"/>
  <c r="BK539" i="2"/>
  <c r="BF1238" i="2"/>
  <c r="BF407" i="2"/>
  <c r="BH93" i="2"/>
  <c r="BI1098" i="2"/>
  <c r="BI125" i="2"/>
  <c r="BI209" i="2"/>
  <c r="BH1238" i="2"/>
  <c r="BI669" i="2"/>
  <c r="BF905" i="2"/>
  <c r="BH1231" i="2"/>
  <c r="BH811" i="2"/>
  <c r="BH671" i="2"/>
  <c r="BK926" i="2"/>
  <c r="BI1238" i="2"/>
  <c r="BI905" i="2"/>
  <c r="BF93" i="2"/>
  <c r="BH168" i="2"/>
  <c r="BF1029" i="2"/>
  <c r="BI919" i="2"/>
  <c r="BK102" i="2"/>
  <c r="BI539" i="2"/>
  <c r="BF298" i="2"/>
  <c r="BF539" i="2"/>
  <c r="BH578" i="2"/>
  <c r="BI56" i="2"/>
  <c r="BF919" i="2"/>
  <c r="BI737" i="2"/>
  <c r="BK1238" i="2"/>
  <c r="BH101" i="2"/>
  <c r="BF56" i="2"/>
  <c r="BI384" i="2"/>
  <c r="BH893" i="2"/>
  <c r="BK244" i="2"/>
  <c r="BF119" i="2"/>
  <c r="BF511" i="2"/>
  <c r="BI904" i="2"/>
  <c r="BF744" i="2"/>
  <c r="BI1129" i="2"/>
  <c r="BH1047" i="2"/>
  <c r="BI589" i="2"/>
  <c r="BH844" i="2"/>
  <c r="BH302" i="2"/>
  <c r="BG919" i="2"/>
  <c r="BF737" i="2"/>
  <c r="BF171" i="2"/>
  <c r="BI1213" i="2"/>
  <c r="BH56" i="2"/>
  <c r="BH776" i="2"/>
  <c r="BI1132" i="2"/>
  <c r="BI93" i="2"/>
  <c r="BH860" i="2"/>
  <c r="BH466" i="2"/>
  <c r="BH969" i="2"/>
  <c r="BG905" i="2"/>
  <c r="BK93" i="2"/>
  <c r="BH908" i="2"/>
  <c r="BK410" i="2"/>
  <c r="BH1048" i="2"/>
  <c r="BK172" i="2"/>
  <c r="BG737" i="2"/>
  <c r="BI1158" i="2"/>
  <c r="BF1218" i="2"/>
  <c r="BF563" i="2"/>
  <c r="BH946" i="2"/>
  <c r="BI550" i="2"/>
  <c r="BF882" i="2"/>
  <c r="BK592" i="2"/>
  <c r="BH978" i="2"/>
  <c r="BI298" i="2"/>
  <c r="BK298" i="2"/>
  <c r="BH32" i="2"/>
  <c r="BF557" i="2"/>
  <c r="BI1102" i="2"/>
  <c r="BI926" i="2"/>
  <c r="BI168" i="2"/>
  <c r="BF409" i="2"/>
  <c r="BF813" i="2"/>
  <c r="BH191" i="2"/>
  <c r="BI751" i="2"/>
  <c r="BH293" i="2"/>
  <c r="BH175" i="2"/>
  <c r="BK919" i="2"/>
  <c r="BI101" i="2"/>
  <c r="BK56" i="2"/>
  <c r="BF986" i="2"/>
  <c r="BH362" i="2"/>
  <c r="BI6" i="2"/>
  <c r="BH1031" i="2"/>
  <c r="BH1201" i="2"/>
  <c r="BG809" i="2"/>
  <c r="BK809" i="2"/>
  <c r="BF868" i="2"/>
  <c r="BK1067" i="2"/>
  <c r="BH795" i="2"/>
  <c r="BK627" i="2"/>
  <c r="BG668" i="2"/>
  <c r="BH745" i="2"/>
  <c r="BH59" i="2"/>
  <c r="BF643" i="2"/>
  <c r="BH627" i="2"/>
  <c r="BI1217" i="2"/>
  <c r="BH814" i="2"/>
  <c r="BH842" i="2"/>
  <c r="BI327" i="2"/>
  <c r="BH147" i="2"/>
  <c r="BI198" i="2"/>
  <c r="BH1217" i="2"/>
  <c r="BH440" i="2"/>
  <c r="BK147" i="2"/>
  <c r="BI945" i="2"/>
  <c r="BK91" i="2"/>
  <c r="BH1004" i="2"/>
  <c r="BI205" i="2"/>
  <c r="BK1004" i="2"/>
  <c r="BK868" i="2"/>
  <c r="BI795" i="2"/>
  <c r="BK198" i="2"/>
  <c r="BH867" i="2"/>
  <c r="BI259" i="2"/>
  <c r="BK905" i="2"/>
  <c r="BF978" i="2"/>
  <c r="BH455" i="2"/>
  <c r="BH371" i="2"/>
  <c r="BI469" i="2"/>
  <c r="BK477" i="2"/>
  <c r="BK710" i="2"/>
  <c r="BI91" i="2"/>
  <c r="BI868" i="2"/>
  <c r="BF147" i="2"/>
  <c r="BF668" i="2"/>
  <c r="BI854" i="2"/>
  <c r="BH205" i="2"/>
  <c r="BF1132" i="2"/>
  <c r="BF205" i="2"/>
  <c r="BF795" i="2"/>
  <c r="BK867" i="2"/>
  <c r="BH314" i="2"/>
  <c r="BF259" i="2"/>
  <c r="BG978" i="2"/>
  <c r="BK668" i="2"/>
  <c r="BK709" i="2"/>
  <c r="BH327" i="2"/>
  <c r="BK863" i="2"/>
  <c r="BF91" i="2"/>
  <c r="BF215" i="2"/>
  <c r="BF1004" i="2"/>
  <c r="BH868" i="2"/>
  <c r="BF327" i="2"/>
  <c r="BI668" i="2"/>
  <c r="BI1119" i="2"/>
  <c r="BK327" i="2"/>
  <c r="BH1063" i="2"/>
  <c r="BF1015" i="2"/>
  <c r="BH255" i="2"/>
  <c r="BG1015" i="2"/>
  <c r="BH334" i="2"/>
  <c r="BI755" i="2"/>
  <c r="BH422" i="2"/>
  <c r="BK35" i="2"/>
  <c r="BI776" i="2"/>
  <c r="BK1132" i="2"/>
  <c r="BI1063" i="2"/>
  <c r="BI809" i="2"/>
  <c r="BI410" i="2"/>
  <c r="BI334" i="2"/>
  <c r="BF255" i="2"/>
  <c r="BI422" i="2"/>
  <c r="BH260" i="2"/>
  <c r="BI903" i="2"/>
  <c r="BH1053" i="2"/>
  <c r="BI437" i="2"/>
  <c r="BF776" i="2"/>
  <c r="BH645" i="2"/>
  <c r="BH429" i="2"/>
  <c r="BF1234" i="2"/>
  <c r="BH99" i="2"/>
  <c r="BK752" i="2"/>
  <c r="BH251" i="2"/>
  <c r="BH509" i="2"/>
  <c r="BK636" i="2"/>
  <c r="BH1067" i="2"/>
  <c r="BH408" i="2"/>
  <c r="BI627" i="2"/>
  <c r="BF1067" i="2"/>
  <c r="BF627" i="2"/>
  <c r="BH198" i="2"/>
  <c r="BK1217" i="2"/>
  <c r="BF1116" i="2"/>
  <c r="BI896" i="2"/>
  <c r="BI867" i="2"/>
  <c r="BF198" i="2"/>
  <c r="BF867" i="2"/>
  <c r="BI978" i="2"/>
  <c r="BI1015" i="2"/>
  <c r="BI262" i="2"/>
  <c r="BH1044" i="2"/>
  <c r="BH259" i="2"/>
  <c r="BF636" i="2"/>
  <c r="BI255" i="2"/>
  <c r="BF1063" i="2"/>
  <c r="BH744" i="2"/>
  <c r="BH705" i="2"/>
  <c r="BI557" i="2"/>
  <c r="BH410" i="2"/>
  <c r="BF334" i="2"/>
  <c r="BK205" i="2"/>
  <c r="BI1073" i="2"/>
  <c r="BI260" i="2"/>
  <c r="BI401" i="2"/>
  <c r="BF31" i="2"/>
  <c r="BF571" i="2"/>
  <c r="BK67" i="2"/>
  <c r="BG776" i="2"/>
  <c r="BH123" i="2"/>
  <c r="BH1232" i="2"/>
  <c r="BF81" i="2"/>
  <c r="BH122" i="2"/>
  <c r="BH30" i="2"/>
  <c r="BI147" i="2"/>
  <c r="BF1217" i="2"/>
  <c r="BH91" i="2"/>
  <c r="BI1004" i="2"/>
  <c r="BK1015" i="2"/>
  <c r="BK795" i="2"/>
  <c r="BF422" i="2"/>
  <c r="BH418" i="2"/>
  <c r="BK259" i="2"/>
  <c r="BI744" i="2"/>
  <c r="BI705" i="2"/>
  <c r="BI636" i="2"/>
  <c r="BH557" i="2"/>
  <c r="BF410" i="2"/>
  <c r="BK255" i="2"/>
  <c r="BH1073" i="2"/>
  <c r="BI710" i="2"/>
  <c r="BF260" i="2"/>
  <c r="BI418" i="2"/>
  <c r="BK508" i="2"/>
  <c r="BF225" i="2"/>
  <c r="BH139" i="2"/>
  <c r="BI966" i="2"/>
  <c r="BK504" i="2"/>
  <c r="BH1079" i="2"/>
  <c r="BF647" i="2"/>
  <c r="BH1143" i="2"/>
  <c r="BH804" i="2"/>
  <c r="BI806" i="2"/>
  <c r="BH144" i="2"/>
  <c r="BI53" i="2"/>
  <c r="BH817" i="2"/>
  <c r="BH1178" i="2"/>
  <c r="BF845" i="2"/>
  <c r="BH330" i="2"/>
  <c r="BF24" i="2"/>
  <c r="BI1120" i="2"/>
  <c r="BI1046" i="2"/>
  <c r="BH596" i="2"/>
  <c r="BF142" i="2"/>
  <c r="BH687" i="2"/>
  <c r="BH107" i="2"/>
  <c r="BH552" i="2"/>
  <c r="BH75" i="2"/>
  <c r="BF136" i="2"/>
  <c r="BK57" i="2"/>
  <c r="BI1233" i="2"/>
  <c r="BF834" i="2"/>
  <c r="BI560" i="2"/>
  <c r="BI154" i="2"/>
  <c r="BI428" i="2"/>
  <c r="BI138" i="2"/>
  <c r="BI853" i="2"/>
  <c r="BH15" i="2"/>
  <c r="BH193" i="2"/>
  <c r="BF621" i="2"/>
  <c r="BH660" i="2"/>
  <c r="BF764" i="2"/>
  <c r="BI275" i="2"/>
  <c r="BI385" i="2"/>
  <c r="BH434" i="2"/>
  <c r="BF1100" i="2"/>
  <c r="BI361" i="2"/>
  <c r="BI278" i="2"/>
  <c r="BI149" i="2"/>
  <c r="BF1043" i="2"/>
  <c r="BI505" i="2"/>
  <c r="BK507" i="2"/>
  <c r="BI1052" i="2"/>
  <c r="BH792" i="2"/>
  <c r="BH1138" i="2"/>
  <c r="BI872" i="2"/>
  <c r="BH125" i="2"/>
  <c r="BK1118" i="2"/>
  <c r="BI1094" i="2"/>
  <c r="BI1108" i="2"/>
  <c r="BI961" i="2"/>
  <c r="BH33" i="2"/>
  <c r="BH266" i="2"/>
  <c r="BH192" i="2"/>
  <c r="BF837" i="2"/>
  <c r="BH322" i="2"/>
  <c r="BK1190" i="2"/>
  <c r="BF590" i="2"/>
  <c r="BK722" i="2"/>
  <c r="BI1109" i="2"/>
  <c r="BI162" i="2"/>
  <c r="BH851" i="2"/>
  <c r="BH699" i="2"/>
  <c r="BF497" i="2"/>
  <c r="BH435" i="2"/>
  <c r="BI310" i="2"/>
  <c r="BK73" i="2"/>
  <c r="BI1093" i="2"/>
  <c r="BH887" i="2"/>
  <c r="BI921" i="2"/>
  <c r="BI748" i="2"/>
  <c r="BF874" i="2"/>
  <c r="BI563" i="2"/>
  <c r="BK1157" i="2"/>
  <c r="BI94" i="2"/>
  <c r="BI1090" i="2"/>
  <c r="BI800" i="2"/>
  <c r="BF182" i="2"/>
  <c r="BH1024" i="2"/>
  <c r="BH679" i="2"/>
  <c r="BH1177" i="2"/>
  <c r="BH603" i="2"/>
  <c r="BK1213" i="2"/>
  <c r="BK1231" i="2"/>
  <c r="BI1055" i="2"/>
  <c r="BG1055" i="2"/>
  <c r="BK387" i="2"/>
  <c r="BH387" i="2"/>
  <c r="BH248" i="2"/>
  <c r="BG248" i="2"/>
  <c r="BK1108" i="2"/>
  <c r="BH1050" i="2"/>
  <c r="BG1050" i="2"/>
  <c r="BK1035" i="2"/>
  <c r="BH1035" i="2"/>
  <c r="BG1035" i="2"/>
  <c r="BF1035" i="2"/>
  <c r="BK961" i="2"/>
  <c r="BK945" i="2"/>
  <c r="BI914" i="2"/>
  <c r="BH914" i="2"/>
  <c r="BF914" i="2"/>
  <c r="BK914" i="2"/>
  <c r="BH892" i="2"/>
  <c r="BG892" i="2"/>
  <c r="BF892" i="2"/>
  <c r="BK892" i="2"/>
  <c r="BK849" i="2"/>
  <c r="BK837" i="2"/>
  <c r="BG790" i="2"/>
  <c r="BI790" i="2"/>
  <c r="BF790" i="2"/>
  <c r="BK790" i="2"/>
  <c r="BI756" i="2"/>
  <c r="BG756" i="2"/>
  <c r="BH756" i="2"/>
  <c r="BF756" i="2"/>
  <c r="BK756" i="2"/>
  <c r="BK732" i="2"/>
  <c r="BI717" i="2"/>
  <c r="BG717" i="2"/>
  <c r="BH717" i="2"/>
  <c r="BK717" i="2"/>
  <c r="BI688" i="2"/>
  <c r="BG688" i="2"/>
  <c r="BF688" i="2"/>
  <c r="BH688" i="2"/>
  <c r="BK688" i="2"/>
  <c r="BF663" i="2"/>
  <c r="BI663" i="2"/>
  <c r="BH663" i="2"/>
  <c r="BG663" i="2"/>
  <c r="BK663" i="2"/>
  <c r="BH622" i="2"/>
  <c r="BG622" i="2"/>
  <c r="BI622" i="2"/>
  <c r="BF622" i="2"/>
  <c r="BK622" i="2"/>
  <c r="BK596" i="2"/>
  <c r="BI481" i="2"/>
  <c r="BF481" i="2"/>
  <c r="BH481" i="2"/>
  <c r="BK481" i="2"/>
  <c r="BG431" i="2"/>
  <c r="BF431" i="2"/>
  <c r="BI431" i="2"/>
  <c r="BH431" i="2"/>
  <c r="BK431" i="2"/>
  <c r="BF373" i="2"/>
  <c r="BI373" i="2"/>
  <c r="BH373" i="2"/>
  <c r="BG373" i="2"/>
  <c r="BK373" i="2"/>
  <c r="BI350" i="2"/>
  <c r="BG350" i="2"/>
  <c r="BH350" i="2"/>
  <c r="BK350" i="2"/>
  <c r="BK322" i="2"/>
  <c r="BK310" i="2"/>
  <c r="BH286" i="2"/>
  <c r="BF286" i="2"/>
  <c r="BK286" i="2"/>
  <c r="BF267" i="2"/>
  <c r="BH267" i="2"/>
  <c r="BG267" i="2"/>
  <c r="BK267" i="2"/>
  <c r="BI243" i="2"/>
  <c r="BH243" i="2"/>
  <c r="BG243" i="2"/>
  <c r="BK243" i="2"/>
  <c r="BI220" i="2"/>
  <c r="BF220" i="2"/>
  <c r="BK220" i="2"/>
  <c r="BK193" i="2"/>
  <c r="BI180" i="2"/>
  <c r="BG180" i="2"/>
  <c r="BF180" i="2"/>
  <c r="BH180" i="2"/>
  <c r="BK180" i="2"/>
  <c r="BK142" i="2"/>
  <c r="BH109" i="2"/>
  <c r="BG109" i="2"/>
  <c r="BF109" i="2"/>
  <c r="BK109" i="2"/>
  <c r="BF51" i="2"/>
  <c r="BG51" i="2"/>
  <c r="BI51" i="2"/>
  <c r="BH51" i="2"/>
  <c r="BK51" i="2"/>
  <c r="BI1131" i="2"/>
  <c r="BG1131" i="2"/>
  <c r="BH1131" i="2"/>
  <c r="BF1131" i="2"/>
  <c r="BK1131" i="2"/>
  <c r="BK1107" i="2"/>
  <c r="BK1062" i="2"/>
  <c r="BG1062" i="2"/>
  <c r="BH1062" i="2"/>
  <c r="BF1062" i="2"/>
  <c r="BK1034" i="2"/>
  <c r="BF1014" i="2"/>
  <c r="BH1014" i="2"/>
  <c r="BK1014" i="2"/>
  <c r="BI960" i="2"/>
  <c r="BF960" i="2"/>
  <c r="BG960" i="2"/>
  <c r="BK960" i="2"/>
  <c r="BF944" i="2"/>
  <c r="BH944" i="2"/>
  <c r="BG944" i="2"/>
  <c r="BI944" i="2"/>
  <c r="BK944" i="2"/>
  <c r="BH925" i="2"/>
  <c r="BI925" i="2"/>
  <c r="BF925" i="2"/>
  <c r="BG925" i="2"/>
  <c r="BK925" i="2"/>
  <c r="BH913" i="2"/>
  <c r="BG913" i="2"/>
  <c r="BF913" i="2"/>
  <c r="BI913" i="2"/>
  <c r="BK913" i="2"/>
  <c r="BK888" i="2"/>
  <c r="BH862" i="2"/>
  <c r="BI862" i="2"/>
  <c r="BG862" i="2"/>
  <c r="BF862" i="2"/>
  <c r="BK862" i="2"/>
  <c r="BK848" i="2"/>
  <c r="BH836" i="2"/>
  <c r="BI836" i="2"/>
  <c r="BF836" i="2"/>
  <c r="BK836" i="2"/>
  <c r="BG808" i="2"/>
  <c r="BI808" i="2"/>
  <c r="BH808" i="2"/>
  <c r="BF808" i="2"/>
  <c r="BK808" i="2"/>
  <c r="BI786" i="2"/>
  <c r="BG786" i="2"/>
  <c r="BF786" i="2"/>
  <c r="BH786" i="2"/>
  <c r="BK786" i="2"/>
  <c r="BK755" i="2"/>
  <c r="BI743" i="2"/>
  <c r="BG743" i="2"/>
  <c r="BK743" i="2"/>
  <c r="BI731" i="2"/>
  <c r="BG731" i="2"/>
  <c r="BH731" i="2"/>
  <c r="BK731" i="2"/>
  <c r="BI716" i="2"/>
  <c r="BH716" i="2"/>
  <c r="BG716" i="2"/>
  <c r="BF716" i="2"/>
  <c r="BK716" i="2"/>
  <c r="BK704" i="2"/>
  <c r="BK687" i="2"/>
  <c r="BG661" i="2"/>
  <c r="BI661" i="2"/>
  <c r="BH661" i="2"/>
  <c r="BF661" i="2"/>
  <c r="BK661" i="2"/>
  <c r="BK635" i="2"/>
  <c r="BG595" i="2"/>
  <c r="BI595" i="2"/>
  <c r="BH595" i="2"/>
  <c r="BK595" i="2"/>
  <c r="BK480" i="2"/>
  <c r="BH480" i="2"/>
  <c r="BG480" i="2"/>
  <c r="BI480" i="2"/>
  <c r="BF480" i="2"/>
  <c r="BK430" i="2"/>
  <c r="BH368" i="2"/>
  <c r="BI368" i="2"/>
  <c r="BG368" i="2"/>
  <c r="BK368" i="2"/>
  <c r="BI349" i="2"/>
  <c r="BG349" i="2"/>
  <c r="BF349" i="2"/>
  <c r="BH349" i="2"/>
  <c r="BK349" i="2"/>
  <c r="BI333" i="2"/>
  <c r="BG333" i="2"/>
  <c r="BF333" i="2"/>
  <c r="BH333" i="2"/>
  <c r="BK333" i="2"/>
  <c r="BK321" i="2"/>
  <c r="BH309" i="2"/>
  <c r="BI309" i="2"/>
  <c r="BF309" i="2"/>
  <c r="BK309" i="2"/>
  <c r="BK297" i="2"/>
  <c r="BH297" i="2"/>
  <c r="BG297" i="2"/>
  <c r="BF297" i="2"/>
  <c r="BI297" i="2"/>
  <c r="BI285" i="2"/>
  <c r="BG285" i="2"/>
  <c r="BH285" i="2"/>
  <c r="BF285" i="2"/>
  <c r="BK285" i="2"/>
  <c r="BK266" i="2"/>
  <c r="BK254" i="2"/>
  <c r="BI242" i="2"/>
  <c r="BH242" i="2"/>
  <c r="BK242" i="2"/>
  <c r="BI219" i="2"/>
  <c r="BH219" i="2"/>
  <c r="BG219" i="2"/>
  <c r="BF219" i="2"/>
  <c r="BK219" i="2"/>
  <c r="BK204" i="2"/>
  <c r="BI192" i="2"/>
  <c r="BK192" i="2"/>
  <c r="BI179" i="2"/>
  <c r="BG179" i="2"/>
  <c r="BF179" i="2"/>
  <c r="BK179" i="2"/>
  <c r="BI167" i="2"/>
  <c r="BG167" i="2"/>
  <c r="BK167" i="2"/>
  <c r="BF141" i="2"/>
  <c r="BG141" i="2"/>
  <c r="BI141" i="2"/>
  <c r="BH141" i="2"/>
  <c r="BK141" i="2"/>
  <c r="BG79" i="2"/>
  <c r="BH79" i="2"/>
  <c r="BI79" i="2"/>
  <c r="BK79" i="2"/>
  <c r="BK50" i="2"/>
  <c r="BI50" i="2"/>
  <c r="BG50" i="2"/>
  <c r="BI1019" i="2"/>
  <c r="BH1019" i="2"/>
  <c r="BG1019" i="2"/>
  <c r="BF1019" i="2"/>
  <c r="BI1130" i="2"/>
  <c r="BG1130" i="2"/>
  <c r="BF1130" i="2"/>
  <c r="BF1105" i="2"/>
  <c r="BH1105" i="2"/>
  <c r="BG1105" i="2"/>
  <c r="BK1105" i="2"/>
  <c r="BI1092" i="2"/>
  <c r="BH1092" i="2"/>
  <c r="BI1061" i="2"/>
  <c r="BH1061" i="2"/>
  <c r="BF1061" i="2"/>
  <c r="BG1061" i="2"/>
  <c r="BK1061" i="2"/>
  <c r="BK1033" i="2"/>
  <c r="BF1013" i="2"/>
  <c r="BI1013" i="2"/>
  <c r="BG1013" i="2"/>
  <c r="BK1013" i="2"/>
  <c r="BI959" i="2"/>
  <c r="BF959" i="2"/>
  <c r="BG959" i="2"/>
  <c r="BK959" i="2"/>
  <c r="BI943" i="2"/>
  <c r="BH943" i="2"/>
  <c r="BK943" i="2"/>
  <c r="BF924" i="2"/>
  <c r="BH924" i="2"/>
  <c r="BG924" i="2"/>
  <c r="BI924" i="2"/>
  <c r="BK924" i="2"/>
  <c r="BH910" i="2"/>
  <c r="BG910" i="2"/>
  <c r="BF910" i="2"/>
  <c r="BI910" i="2"/>
  <c r="BK910" i="2"/>
  <c r="BK887" i="2"/>
  <c r="BG861" i="2"/>
  <c r="BI861" i="2"/>
  <c r="BH861" i="2"/>
  <c r="BF861" i="2"/>
  <c r="BK861" i="2"/>
  <c r="BK847" i="2"/>
  <c r="BI835" i="2"/>
  <c r="BG835" i="2"/>
  <c r="BF835" i="2"/>
  <c r="BK835" i="2"/>
  <c r="BK807" i="2"/>
  <c r="BI807" i="2"/>
  <c r="BF807" i="2"/>
  <c r="BH768" i="2"/>
  <c r="BG768" i="2"/>
  <c r="BK768" i="2"/>
  <c r="BI754" i="2"/>
  <c r="BG754" i="2"/>
  <c r="BK754" i="2"/>
  <c r="BH742" i="2"/>
  <c r="BF730" i="2"/>
  <c r="BI730" i="2"/>
  <c r="BH730" i="2"/>
  <c r="BG730" i="2"/>
  <c r="BK730" i="2"/>
  <c r="BG715" i="2"/>
  <c r="BI715" i="2"/>
  <c r="BF715" i="2"/>
  <c r="BK715" i="2"/>
  <c r="BI703" i="2"/>
  <c r="BG703" i="2"/>
  <c r="BF703" i="2"/>
  <c r="BH703" i="2"/>
  <c r="BK703" i="2"/>
  <c r="BG686" i="2"/>
  <c r="BF686" i="2"/>
  <c r="BH686" i="2"/>
  <c r="BI686" i="2"/>
  <c r="BK686" i="2"/>
  <c r="BK660" i="2"/>
  <c r="BH634" i="2"/>
  <c r="BI634" i="2"/>
  <c r="BG634" i="2"/>
  <c r="BK634" i="2"/>
  <c r="BI620" i="2"/>
  <c r="BG620" i="2"/>
  <c r="BF620" i="2"/>
  <c r="BH620" i="2"/>
  <c r="BK620" i="2"/>
  <c r="BG594" i="2"/>
  <c r="BF594" i="2"/>
  <c r="BH594" i="2"/>
  <c r="BI594" i="2"/>
  <c r="BK594" i="2"/>
  <c r="BG555" i="2"/>
  <c r="BH555" i="2"/>
  <c r="BI555" i="2"/>
  <c r="BK555" i="2"/>
  <c r="BH479" i="2"/>
  <c r="BI479" i="2"/>
  <c r="BF479" i="2"/>
  <c r="BK479" i="2"/>
  <c r="BI427" i="2"/>
  <c r="BG427" i="2"/>
  <c r="BF427" i="2"/>
  <c r="BH427" i="2"/>
  <c r="BK427" i="2"/>
  <c r="BG403" i="2"/>
  <c r="BF403" i="2"/>
  <c r="BH403" i="2"/>
  <c r="BI403" i="2"/>
  <c r="BK403" i="2"/>
  <c r="BF348" i="2"/>
  <c r="BI348" i="2"/>
  <c r="BH348" i="2"/>
  <c r="BG348" i="2"/>
  <c r="BK348" i="2"/>
  <c r="BH332" i="2"/>
  <c r="BI332" i="2"/>
  <c r="BF332" i="2"/>
  <c r="BI320" i="2"/>
  <c r="BG320" i="2"/>
  <c r="BF320" i="2"/>
  <c r="BH320" i="2"/>
  <c r="BK320" i="2"/>
  <c r="BG308" i="2"/>
  <c r="BF308" i="2"/>
  <c r="BH308" i="2"/>
  <c r="BI308" i="2"/>
  <c r="BK308" i="2"/>
  <c r="BG296" i="2"/>
  <c r="BI296" i="2"/>
  <c r="BH296" i="2"/>
  <c r="BK296" i="2"/>
  <c r="BH284" i="2"/>
  <c r="BI284" i="2"/>
  <c r="BG284" i="2"/>
  <c r="BK284" i="2"/>
  <c r="BK265" i="2"/>
  <c r="BI265" i="2"/>
  <c r="BG265" i="2"/>
  <c r="BF265" i="2"/>
  <c r="BH265" i="2"/>
  <c r="BG253" i="2"/>
  <c r="BF253" i="2"/>
  <c r="BH253" i="2"/>
  <c r="BI253" i="2"/>
  <c r="BK253" i="2"/>
  <c r="BF241" i="2"/>
  <c r="BI241" i="2"/>
  <c r="BH241" i="2"/>
  <c r="BK241" i="2"/>
  <c r="BI218" i="2"/>
  <c r="BH218" i="2"/>
  <c r="BK218" i="2"/>
  <c r="BI203" i="2"/>
  <c r="BH203" i="2"/>
  <c r="BG203" i="2"/>
  <c r="BF203" i="2"/>
  <c r="BK203" i="2"/>
  <c r="BK191" i="2"/>
  <c r="BF178" i="2"/>
  <c r="BI178" i="2"/>
  <c r="BH178" i="2"/>
  <c r="BG178" i="2"/>
  <c r="BK178" i="2"/>
  <c r="BI166" i="2"/>
  <c r="BH166" i="2"/>
  <c r="BK166" i="2"/>
  <c r="BI140" i="2"/>
  <c r="BH140" i="2"/>
  <c r="BG140" i="2"/>
  <c r="BF140" i="2"/>
  <c r="BK140" i="2"/>
  <c r="BK107" i="2"/>
  <c r="BF78" i="2"/>
  <c r="BI78" i="2"/>
  <c r="BH78" i="2"/>
  <c r="BG78" i="2"/>
  <c r="BK78" i="2"/>
  <c r="BK938" i="2"/>
  <c r="BI938" i="2"/>
  <c r="BF938" i="2"/>
  <c r="BI749" i="2"/>
  <c r="BG749" i="2"/>
  <c r="BI303" i="2"/>
  <c r="BH303" i="2"/>
  <c r="BG303" i="2"/>
  <c r="BK173" i="2"/>
  <c r="BH173" i="2"/>
  <c r="BG173" i="2"/>
  <c r="BK1119" i="2"/>
  <c r="BF1102" i="2"/>
  <c r="BK1102" i="2"/>
  <c r="BI1080" i="2"/>
  <c r="BG1080" i="2"/>
  <c r="BF1080" i="2"/>
  <c r="BK1080" i="2"/>
  <c r="BI1058" i="2"/>
  <c r="BF1058" i="2"/>
  <c r="BI1045" i="2"/>
  <c r="BF1045" i="2"/>
  <c r="BI1030" i="2"/>
  <c r="BK1030" i="2"/>
  <c r="BG1009" i="2"/>
  <c r="BI1009" i="2"/>
  <c r="BH1009" i="2"/>
  <c r="BF1009" i="2"/>
  <c r="BK1009" i="2"/>
  <c r="BI953" i="2"/>
  <c r="BG953" i="2"/>
  <c r="BF953" i="2"/>
  <c r="BK953" i="2"/>
  <c r="BK940" i="2"/>
  <c r="BI940" i="2"/>
  <c r="BF940" i="2"/>
  <c r="BK921" i="2"/>
  <c r="BF901" i="2"/>
  <c r="BH901" i="2"/>
  <c r="BG901" i="2"/>
  <c r="BI901" i="2"/>
  <c r="BK901" i="2"/>
  <c r="BI870" i="2"/>
  <c r="BG870" i="2"/>
  <c r="BF870" i="2"/>
  <c r="BH870" i="2"/>
  <c r="BK870" i="2"/>
  <c r="BI856" i="2"/>
  <c r="BF856" i="2"/>
  <c r="BH824" i="2"/>
  <c r="BI824" i="2"/>
  <c r="BK824" i="2"/>
  <c r="BG801" i="2"/>
  <c r="BI801" i="2"/>
  <c r="BH801" i="2"/>
  <c r="BF801" i="2"/>
  <c r="BK801" i="2"/>
  <c r="BK765" i="2"/>
  <c r="BK751" i="2"/>
  <c r="BI739" i="2"/>
  <c r="BG739" i="2"/>
  <c r="BF739" i="2"/>
  <c r="BK739" i="2"/>
  <c r="BF712" i="2"/>
  <c r="BG712" i="2"/>
  <c r="BH712" i="2"/>
  <c r="BK712" i="2"/>
  <c r="BI700" i="2"/>
  <c r="BG700" i="2"/>
  <c r="BK700" i="2"/>
  <c r="BH683" i="2"/>
  <c r="BI683" i="2"/>
  <c r="BF683" i="2"/>
  <c r="BK683" i="2"/>
  <c r="BG657" i="2"/>
  <c r="BI657" i="2"/>
  <c r="BI630" i="2"/>
  <c r="BH630" i="2"/>
  <c r="BG630" i="2"/>
  <c r="BF630" i="2"/>
  <c r="BK630" i="2"/>
  <c r="BI607" i="2"/>
  <c r="BG607" i="2"/>
  <c r="BK607" i="2"/>
  <c r="BI591" i="2"/>
  <c r="BG591" i="2"/>
  <c r="BH591" i="2"/>
  <c r="BF591" i="2"/>
  <c r="BK591" i="2"/>
  <c r="BK552" i="2"/>
  <c r="BI449" i="2"/>
  <c r="BH449" i="2"/>
  <c r="BG449" i="2"/>
  <c r="BF449" i="2"/>
  <c r="BK449" i="2"/>
  <c r="BI424" i="2"/>
  <c r="BG424" i="2"/>
  <c r="BK424" i="2"/>
  <c r="BI389" i="2"/>
  <c r="BH389" i="2"/>
  <c r="BG389" i="2"/>
  <c r="BF389" i="2"/>
  <c r="BK389" i="2"/>
  <c r="BH357" i="2"/>
  <c r="BI357" i="2"/>
  <c r="BK357" i="2"/>
  <c r="BI345" i="2"/>
  <c r="BH345" i="2"/>
  <c r="BG345" i="2"/>
  <c r="BF345" i="2"/>
  <c r="BK345" i="2"/>
  <c r="BI329" i="2"/>
  <c r="BF329" i="2"/>
  <c r="BI317" i="2"/>
  <c r="BF317" i="2"/>
  <c r="BK317" i="2"/>
  <c r="BI305" i="2"/>
  <c r="BG305" i="2"/>
  <c r="BF305" i="2"/>
  <c r="BK305" i="2"/>
  <c r="BK293" i="2"/>
  <c r="BK262" i="2"/>
  <c r="BI250" i="2"/>
  <c r="BG250" i="2"/>
  <c r="BF250" i="2"/>
  <c r="BK250" i="2"/>
  <c r="BK231" i="2"/>
  <c r="BI200" i="2"/>
  <c r="BF200" i="2"/>
  <c r="BK200" i="2"/>
  <c r="BI188" i="2"/>
  <c r="BG188" i="2"/>
  <c r="BF188" i="2"/>
  <c r="BK188" i="2"/>
  <c r="BK175" i="2"/>
  <c r="BK149" i="2"/>
  <c r="BI137" i="2"/>
  <c r="BH137" i="2"/>
  <c r="BK137" i="2"/>
  <c r="BI104" i="2"/>
  <c r="BG104" i="2"/>
  <c r="BF104" i="2"/>
  <c r="BH104" i="2"/>
  <c r="BK104" i="2"/>
  <c r="BK75" i="2"/>
  <c r="BF1240" i="2"/>
  <c r="BG1240" i="2"/>
  <c r="BH1240" i="2"/>
  <c r="BK1240" i="2"/>
  <c r="BH1195" i="2"/>
  <c r="BG1195" i="2"/>
  <c r="BF1195" i="2"/>
  <c r="BI1195" i="2"/>
  <c r="BI1188" i="2"/>
  <c r="BF1188" i="2"/>
  <c r="BH937" i="2"/>
  <c r="BG937" i="2"/>
  <c r="BF937" i="2"/>
  <c r="BH1101" i="2"/>
  <c r="BG1101" i="2"/>
  <c r="BF1101" i="2"/>
  <c r="BI1101" i="2"/>
  <c r="BK1101" i="2"/>
  <c r="BI1074" i="2"/>
  <c r="BG1074" i="2"/>
  <c r="BF1074" i="2"/>
  <c r="BK1074" i="2"/>
  <c r="BI1044" i="2"/>
  <c r="BF1044" i="2"/>
  <c r="BI1008" i="2"/>
  <c r="BH1008" i="2"/>
  <c r="BG1008" i="2"/>
  <c r="BH952" i="2"/>
  <c r="BI952" i="2"/>
  <c r="BK952" i="2"/>
  <c r="BG939" i="2"/>
  <c r="BI939" i="2"/>
  <c r="BH939" i="2"/>
  <c r="BK939" i="2"/>
  <c r="BK920" i="2"/>
  <c r="BI920" i="2"/>
  <c r="BH920" i="2"/>
  <c r="BG920" i="2"/>
  <c r="BF920" i="2"/>
  <c r="BI900" i="2"/>
  <c r="BF900" i="2"/>
  <c r="BI869" i="2"/>
  <c r="BH869" i="2"/>
  <c r="BG869" i="2"/>
  <c r="BF869" i="2"/>
  <c r="BK869" i="2"/>
  <c r="BF855" i="2"/>
  <c r="BH855" i="2"/>
  <c r="BG855" i="2"/>
  <c r="BK855" i="2"/>
  <c r="BI843" i="2"/>
  <c r="BH843" i="2"/>
  <c r="BK843" i="2"/>
  <c r="BH823" i="2"/>
  <c r="BF823" i="2"/>
  <c r="BG823" i="2"/>
  <c r="BI823" i="2"/>
  <c r="BK823" i="2"/>
  <c r="BH796" i="2"/>
  <c r="BF796" i="2"/>
  <c r="BK796" i="2"/>
  <c r="BH764" i="2"/>
  <c r="BK764" i="2"/>
  <c r="BI750" i="2"/>
  <c r="BH750" i="2"/>
  <c r="BK750" i="2"/>
  <c r="BI738" i="2"/>
  <c r="BH738" i="2"/>
  <c r="BG738" i="2"/>
  <c r="BF738" i="2"/>
  <c r="BK738" i="2"/>
  <c r="BH711" i="2"/>
  <c r="BI711" i="2"/>
  <c r="BF711" i="2"/>
  <c r="BG711" i="2"/>
  <c r="BK711" i="2"/>
  <c r="BI694" i="2"/>
  <c r="BF694" i="2"/>
  <c r="BK694" i="2"/>
  <c r="BK682" i="2"/>
  <c r="BI656" i="2"/>
  <c r="BK656" i="2"/>
  <c r="BH656" i="2"/>
  <c r="BG656" i="2"/>
  <c r="BF656" i="2"/>
  <c r="BI629" i="2"/>
  <c r="BG629" i="2"/>
  <c r="BG606" i="2"/>
  <c r="BF606" i="2"/>
  <c r="BH606" i="2"/>
  <c r="BK606" i="2"/>
  <c r="BK590" i="2"/>
  <c r="BI540" i="2"/>
  <c r="BH540" i="2"/>
  <c r="BK540" i="2"/>
  <c r="BI448" i="2"/>
  <c r="BG448" i="2"/>
  <c r="BF448" i="2"/>
  <c r="BG423" i="2"/>
  <c r="BI423" i="2"/>
  <c r="BH423" i="2"/>
  <c r="BF423" i="2"/>
  <c r="BK423" i="2"/>
  <c r="BI388" i="2"/>
  <c r="BH388" i="2"/>
  <c r="BG388" i="2"/>
  <c r="BF388" i="2"/>
  <c r="BK388" i="2"/>
  <c r="BG356" i="2"/>
  <c r="BH356" i="2"/>
  <c r="BK356" i="2"/>
  <c r="BI344" i="2"/>
  <c r="BH344" i="2"/>
  <c r="BG344" i="2"/>
  <c r="BF344" i="2"/>
  <c r="BK344" i="2"/>
  <c r="BF328" i="2"/>
  <c r="BH328" i="2"/>
  <c r="BG328" i="2"/>
  <c r="BK328" i="2"/>
  <c r="BI316" i="2"/>
  <c r="BG316" i="2"/>
  <c r="BK316" i="2"/>
  <c r="BI304" i="2"/>
  <c r="BG304" i="2"/>
  <c r="BF304" i="2"/>
  <c r="BK304" i="2"/>
  <c r="BF292" i="2"/>
  <c r="BH292" i="2"/>
  <c r="BG292" i="2"/>
  <c r="BK292" i="2"/>
  <c r="BF277" i="2"/>
  <c r="BI277" i="2"/>
  <c r="BK277" i="2"/>
  <c r="BI261" i="2"/>
  <c r="BG261" i="2"/>
  <c r="BF261" i="2"/>
  <c r="BH261" i="2"/>
  <c r="BK261" i="2"/>
  <c r="BI230" i="2"/>
  <c r="BH230" i="2"/>
  <c r="BF230" i="2"/>
  <c r="BK230" i="2"/>
  <c r="BI214" i="2"/>
  <c r="BG214" i="2"/>
  <c r="BF214" i="2"/>
  <c r="BH214" i="2"/>
  <c r="BK214" i="2"/>
  <c r="BH187" i="2"/>
  <c r="BI187" i="2"/>
  <c r="BK187" i="2"/>
  <c r="BK174" i="2"/>
  <c r="BH174" i="2"/>
  <c r="BG174" i="2"/>
  <c r="BF174" i="2"/>
  <c r="BK136" i="2"/>
  <c r="BI103" i="2"/>
  <c r="BF103" i="2"/>
  <c r="BK103" i="2"/>
  <c r="BI74" i="2"/>
  <c r="BH74" i="2"/>
  <c r="BF74" i="2"/>
  <c r="BK74" i="2"/>
  <c r="BK1100" i="2"/>
  <c r="BH1055" i="2"/>
  <c r="BF1055" i="2"/>
  <c r="BK1028" i="2"/>
  <c r="BI951" i="2"/>
  <c r="BG951" i="2"/>
  <c r="BF951" i="2"/>
  <c r="BK951" i="2"/>
  <c r="BG897" i="2"/>
  <c r="BF897" i="2"/>
  <c r="BI897" i="2"/>
  <c r="BK897" i="2"/>
  <c r="BI842" i="2"/>
  <c r="BK842" i="2"/>
  <c r="BK822" i="2"/>
  <c r="BI763" i="2"/>
  <c r="BF763" i="2"/>
  <c r="BK763" i="2"/>
  <c r="BK749" i="2"/>
  <c r="BF725" i="2"/>
  <c r="BH725" i="2"/>
  <c r="BG725" i="2"/>
  <c r="BK725" i="2"/>
  <c r="BK693" i="2"/>
  <c r="BI681" i="2"/>
  <c r="BG681" i="2"/>
  <c r="BF681" i="2"/>
  <c r="BK681" i="2"/>
  <c r="BK654" i="2"/>
  <c r="BK605" i="2"/>
  <c r="BK589" i="2"/>
  <c r="BI447" i="2"/>
  <c r="BG447" i="2"/>
  <c r="BF447" i="2"/>
  <c r="BH447" i="2"/>
  <c r="BK447" i="2"/>
  <c r="BI355" i="2"/>
  <c r="BH355" i="2"/>
  <c r="BG355" i="2"/>
  <c r="BF355" i="2"/>
  <c r="BI343" i="2"/>
  <c r="BF343" i="2"/>
  <c r="BK343" i="2"/>
  <c r="BI315" i="2"/>
  <c r="BH315" i="2"/>
  <c r="BF315" i="2"/>
  <c r="BK315" i="2"/>
  <c r="BK303" i="2"/>
  <c r="BK272" i="2"/>
  <c r="BK248" i="2"/>
  <c r="BI229" i="2"/>
  <c r="BH229" i="2"/>
  <c r="BG229" i="2"/>
  <c r="BF229" i="2"/>
  <c r="BK229" i="2"/>
  <c r="BK213" i="2"/>
  <c r="BF186" i="2"/>
  <c r="BG186" i="2"/>
  <c r="BK186" i="2"/>
  <c r="BI173" i="2"/>
  <c r="BF173" i="2"/>
  <c r="BI135" i="2"/>
  <c r="BH135" i="2"/>
  <c r="BG135" i="2"/>
  <c r="BF135" i="2"/>
  <c r="BK135" i="2"/>
  <c r="BK1116" i="2"/>
  <c r="BH1099" i="2"/>
  <c r="BI1099" i="2"/>
  <c r="BG1099" i="2"/>
  <c r="BF1099" i="2"/>
  <c r="BK1099" i="2"/>
  <c r="BF1054" i="2"/>
  <c r="BI1054" i="2"/>
  <c r="BH1054" i="2"/>
  <c r="BI1042" i="2"/>
  <c r="BH1042" i="2"/>
  <c r="BG1042" i="2"/>
  <c r="BF1042" i="2"/>
  <c r="BK1042" i="2"/>
  <c r="BK1019" i="2"/>
  <c r="BI991" i="2"/>
  <c r="BF991" i="2"/>
  <c r="BK991" i="2"/>
  <c r="BG950" i="2"/>
  <c r="BH950" i="2"/>
  <c r="BI950" i="2"/>
  <c r="BK950" i="2"/>
  <c r="BI937" i="2"/>
  <c r="BK937" i="2"/>
  <c r="BI918" i="2"/>
  <c r="BH918" i="2"/>
  <c r="BG918" i="2"/>
  <c r="BF918" i="2"/>
  <c r="BK918" i="2"/>
  <c r="BK896" i="2"/>
  <c r="BK853" i="2"/>
  <c r="BF841" i="2"/>
  <c r="BG841" i="2"/>
  <c r="BK841" i="2"/>
  <c r="BK813" i="2"/>
  <c r="BK794" i="2"/>
  <c r="BH760" i="2"/>
  <c r="BI760" i="2"/>
  <c r="BG760" i="2"/>
  <c r="BF760" i="2"/>
  <c r="BK748" i="2"/>
  <c r="BI736" i="2"/>
  <c r="BG736" i="2"/>
  <c r="BK736" i="2"/>
  <c r="BF692" i="2"/>
  <c r="BK692" i="2"/>
  <c r="BH680" i="2"/>
  <c r="BI680" i="2"/>
  <c r="BF680" i="2"/>
  <c r="BK680" i="2"/>
  <c r="BI626" i="2"/>
  <c r="BF626" i="2"/>
  <c r="BK626" i="2"/>
  <c r="BG601" i="2"/>
  <c r="BF601" i="2"/>
  <c r="BH601" i="2"/>
  <c r="BI601" i="2"/>
  <c r="BK601" i="2"/>
  <c r="BH588" i="2"/>
  <c r="BI588" i="2"/>
  <c r="BK588" i="2"/>
  <c r="BH485" i="2"/>
  <c r="BI485" i="2"/>
  <c r="BG485" i="2"/>
  <c r="BF485" i="2"/>
  <c r="BK485" i="2"/>
  <c r="BG438" i="2"/>
  <c r="BI438" i="2"/>
  <c r="BF438" i="2"/>
  <c r="BH438" i="2"/>
  <c r="BK438" i="2"/>
  <c r="BH378" i="2"/>
  <c r="BG378" i="2"/>
  <c r="BI378" i="2"/>
  <c r="BF378" i="2"/>
  <c r="BF354" i="2"/>
  <c r="BH354" i="2"/>
  <c r="BI326" i="2"/>
  <c r="BH326" i="2"/>
  <c r="BG326" i="2"/>
  <c r="BK326" i="2"/>
  <c r="BF314" i="2"/>
  <c r="BG290" i="2"/>
  <c r="BH290" i="2"/>
  <c r="BK290" i="2"/>
  <c r="BI271" i="2"/>
  <c r="BG271" i="2"/>
  <c r="BK271" i="2"/>
  <c r="BF247" i="2"/>
  <c r="BK247" i="2"/>
  <c r="BK228" i="2"/>
  <c r="BF228" i="2"/>
  <c r="BK209" i="2"/>
  <c r="BI197" i="2"/>
  <c r="BG197" i="2"/>
  <c r="BH197" i="2"/>
  <c r="BF197" i="2"/>
  <c r="BK197" i="2"/>
  <c r="BF184" i="2"/>
  <c r="BI184" i="2"/>
  <c r="BK184" i="2"/>
  <c r="BH146" i="2"/>
  <c r="BI146" i="2"/>
  <c r="BG146" i="2"/>
  <c r="BF146" i="2"/>
  <c r="BK146" i="2"/>
  <c r="BI134" i="2"/>
  <c r="BF134" i="2"/>
  <c r="BK134" i="2"/>
  <c r="BF55" i="2"/>
  <c r="BH55" i="2"/>
  <c r="BK55" i="2"/>
  <c r="BH1219" i="2"/>
  <c r="BI1219" i="2"/>
  <c r="BF1176" i="2"/>
  <c r="BH1176" i="2"/>
  <c r="BG1134" i="2"/>
  <c r="BH1134" i="2"/>
  <c r="BI1134" i="2"/>
  <c r="BF1134" i="2"/>
  <c r="BI1170" i="2"/>
  <c r="BH1170" i="2"/>
  <c r="BG1170" i="2"/>
  <c r="BF1170" i="2"/>
  <c r="BG602" i="2"/>
  <c r="BH602" i="2"/>
  <c r="BI602" i="2"/>
  <c r="BF602" i="2"/>
  <c r="BK602" i="2"/>
  <c r="BG1025" i="2"/>
  <c r="BH1025" i="2"/>
  <c r="BF1025" i="2"/>
  <c r="BK1025" i="2"/>
  <c r="BI878" i="2"/>
  <c r="BH878" i="2"/>
  <c r="BF878" i="2"/>
  <c r="BH1077" i="2"/>
  <c r="BI1077" i="2"/>
  <c r="BG994" i="2"/>
  <c r="BH994" i="2"/>
  <c r="BF994" i="2"/>
  <c r="BK994" i="2"/>
  <c r="BH912" i="2"/>
  <c r="BG912" i="2"/>
  <c r="BF912" i="2"/>
  <c r="BK912" i="2"/>
  <c r="BG1164" i="2"/>
  <c r="BH1164" i="2"/>
  <c r="BF1164" i="2"/>
  <c r="BK1164" i="2"/>
  <c r="BI1126" i="2"/>
  <c r="BH1126" i="2"/>
  <c r="BG1126" i="2"/>
  <c r="BF1126" i="2"/>
  <c r="BK1126" i="2"/>
  <c r="BG998" i="2"/>
  <c r="BH998" i="2"/>
  <c r="BK998" i="2"/>
  <c r="BF930" i="2"/>
  <c r="BI930" i="2"/>
  <c r="BK930" i="2"/>
  <c r="BI1075" i="2"/>
  <c r="BG1075" i="2"/>
  <c r="BH1075" i="2"/>
  <c r="BF1075" i="2"/>
  <c r="BK1075" i="2"/>
  <c r="BH949" i="2"/>
  <c r="BG949" i="2"/>
  <c r="BI949" i="2"/>
  <c r="BF949" i="2"/>
  <c r="BK949" i="2"/>
  <c r="BI779" i="2"/>
  <c r="BG779" i="2"/>
  <c r="BH779" i="2"/>
  <c r="BH649" i="2"/>
  <c r="BG649" i="2"/>
  <c r="BF649" i="2"/>
  <c r="BH673" i="2"/>
  <c r="BG673" i="2"/>
  <c r="BI673" i="2"/>
  <c r="BK673" i="2"/>
  <c r="BG583" i="2"/>
  <c r="BI583" i="2"/>
  <c r="BH583" i="2"/>
  <c r="BI537" i="2"/>
  <c r="BH537" i="2"/>
  <c r="BG537" i="2"/>
  <c r="BK537" i="2"/>
  <c r="BG670" i="2"/>
  <c r="BI670" i="2"/>
  <c r="BF670" i="2"/>
  <c r="BK670" i="2"/>
  <c r="BF611" i="2"/>
  <c r="BI611" i="2"/>
  <c r="BH611" i="2"/>
  <c r="BG611" i="2"/>
  <c r="BK611" i="2"/>
  <c r="BH565" i="2"/>
  <c r="BG565" i="2"/>
  <c r="BF565" i="2"/>
  <c r="BI565" i="2"/>
  <c r="BH534" i="2"/>
  <c r="BG534" i="2"/>
  <c r="BI534" i="2"/>
  <c r="BF534" i="2"/>
  <c r="BK534" i="2"/>
  <c r="BK562" i="2"/>
  <c r="BG499" i="2"/>
  <c r="BI499" i="2"/>
  <c r="BI493" i="2"/>
  <c r="BH493" i="2"/>
  <c r="BG493" i="2"/>
  <c r="BK493" i="2"/>
  <c r="BH473" i="2"/>
  <c r="BG473" i="2"/>
  <c r="BF473" i="2"/>
  <c r="BI473" i="2"/>
  <c r="BK473" i="2"/>
  <c r="BI444" i="2"/>
  <c r="BG444" i="2"/>
  <c r="BH444" i="2"/>
  <c r="BK444" i="2"/>
  <c r="BG450" i="2"/>
  <c r="BH450" i="2"/>
  <c r="BI450" i="2"/>
  <c r="BF450" i="2"/>
  <c r="BK450" i="2"/>
  <c r="BH397" i="2"/>
  <c r="BG397" i="2"/>
  <c r="BF397" i="2"/>
  <c r="BI397" i="2"/>
  <c r="BK397" i="2"/>
  <c r="BK276" i="2"/>
  <c r="BG116" i="2"/>
  <c r="BI116" i="2"/>
  <c r="BK116" i="2"/>
  <c r="BF396" i="2"/>
  <c r="BI396" i="2"/>
  <c r="BH396" i="2"/>
  <c r="BK396" i="2"/>
  <c r="BI233" i="2"/>
  <c r="BH233" i="2"/>
  <c r="BG233" i="2"/>
  <c r="BF233" i="2"/>
  <c r="BK233" i="2"/>
  <c r="BG68" i="2"/>
  <c r="BH68" i="2"/>
  <c r="BF68" i="2"/>
  <c r="BK68" i="2"/>
  <c r="BG223" i="2"/>
  <c r="BI223" i="2"/>
  <c r="BH223" i="2"/>
  <c r="BF223" i="2"/>
  <c r="BK223" i="2"/>
  <c r="BH113" i="2"/>
  <c r="BG113" i="2"/>
  <c r="BI113" i="2"/>
  <c r="BF113" i="2"/>
  <c r="BK113" i="2"/>
  <c r="BH62" i="2"/>
  <c r="BG62" i="2"/>
  <c r="BK62" i="2"/>
  <c r="BH44" i="2"/>
  <c r="BI44" i="2"/>
  <c r="BG44" i="2"/>
  <c r="BF44" i="2"/>
  <c r="BK44" i="2"/>
  <c r="BG58" i="2"/>
  <c r="BI58" i="2"/>
  <c r="BI28" i="2"/>
  <c r="BH28" i="2"/>
  <c r="BK28" i="2"/>
  <c r="BH495" i="2"/>
  <c r="BI495" i="2"/>
  <c r="BG495" i="2"/>
  <c r="BF495" i="2"/>
  <c r="BG1227" i="2"/>
  <c r="BH1227" i="2"/>
  <c r="BI1227" i="2"/>
  <c r="BF1227" i="2"/>
  <c r="BI1239" i="2"/>
  <c r="BF1239" i="2"/>
  <c r="BK1239" i="2"/>
  <c r="BG1182" i="2"/>
  <c r="BH1182" i="2"/>
  <c r="BI1182" i="2"/>
  <c r="BF1182" i="2"/>
  <c r="BG1172" i="2"/>
  <c r="BI1172" i="2"/>
  <c r="BH1172" i="2"/>
  <c r="BF1172" i="2"/>
  <c r="BI880" i="2"/>
  <c r="BH880" i="2"/>
  <c r="BG880" i="2"/>
  <c r="BK880" i="2"/>
  <c r="BF1168" i="2"/>
  <c r="BI1168" i="2"/>
  <c r="BG1168" i="2"/>
  <c r="BK1168" i="2"/>
  <c r="BG1198" i="2"/>
  <c r="BH1198" i="2"/>
  <c r="BK1198" i="2"/>
  <c r="BK1021" i="2"/>
  <c r="BI1021" i="2"/>
  <c r="BG1021" i="2"/>
  <c r="BF1021" i="2"/>
  <c r="BH1200" i="2"/>
  <c r="BI1200" i="2"/>
  <c r="BG1200" i="2"/>
  <c r="BF1200" i="2"/>
  <c r="BG1069" i="2"/>
  <c r="BH1069" i="2"/>
  <c r="BF1069" i="2"/>
  <c r="BF989" i="2"/>
  <c r="BH989" i="2"/>
  <c r="BK989" i="2"/>
  <c r="BH906" i="2"/>
  <c r="BF906" i="2"/>
  <c r="BK906" i="2"/>
  <c r="BI1163" i="2"/>
  <c r="BH1163" i="2"/>
  <c r="BK1163" i="2"/>
  <c r="BI1125" i="2"/>
  <c r="BH1125" i="2"/>
  <c r="BG1125" i="2"/>
  <c r="BF1125" i="2"/>
  <c r="BG1076" i="2"/>
  <c r="BF1076" i="2"/>
  <c r="BI1076" i="2"/>
  <c r="BK1076" i="2"/>
  <c r="BH993" i="2"/>
  <c r="BF993" i="2"/>
  <c r="BK929" i="2"/>
  <c r="BK1056" i="2"/>
  <c r="BI1056" i="2"/>
  <c r="BG1056" i="2"/>
  <c r="BH1056" i="2"/>
  <c r="BF1056" i="2"/>
  <c r="BK642" i="2"/>
  <c r="BK859" i="2"/>
  <c r="BI672" i="2"/>
  <c r="BH672" i="2"/>
  <c r="BG672" i="2"/>
  <c r="BF672" i="2"/>
  <c r="BK672" i="2"/>
  <c r="BH582" i="2"/>
  <c r="BG582" i="2"/>
  <c r="BI582" i="2"/>
  <c r="BK582" i="2"/>
  <c r="BH531" i="2"/>
  <c r="BI531" i="2"/>
  <c r="BK669" i="2"/>
  <c r="BK564" i="2"/>
  <c r="BG533" i="2"/>
  <c r="BH533" i="2"/>
  <c r="BF533" i="2"/>
  <c r="BI533" i="2"/>
  <c r="BK533" i="2"/>
  <c r="BI506" i="2"/>
  <c r="BH506" i="2"/>
  <c r="BF506" i="2"/>
  <c r="BG506" i="2"/>
  <c r="BK506" i="2"/>
  <c r="BH535" i="2"/>
  <c r="BI535" i="2"/>
  <c r="BF535" i="2"/>
  <c r="BG535" i="2"/>
  <c r="BI496" i="2"/>
  <c r="BH496" i="2"/>
  <c r="BG496" i="2"/>
  <c r="BF496" i="2"/>
  <c r="BK496" i="2"/>
  <c r="BF490" i="2"/>
  <c r="BH490" i="2"/>
  <c r="BK490" i="2"/>
  <c r="BK470" i="2"/>
  <c r="BK442" i="2"/>
  <c r="BI405" i="2"/>
  <c r="BH405" i="2"/>
  <c r="BF405" i="2"/>
  <c r="BG405" i="2"/>
  <c r="BK405" i="2"/>
  <c r="BI369" i="2"/>
  <c r="BH369" i="2"/>
  <c r="BG369" i="2"/>
  <c r="BF369" i="2"/>
  <c r="BK369" i="2"/>
  <c r="BK392" i="2"/>
  <c r="BK275" i="2"/>
  <c r="BK401" i="2"/>
  <c r="BI96" i="2"/>
  <c r="BH96" i="2"/>
  <c r="BG96" i="2"/>
  <c r="BF96" i="2"/>
  <c r="BK96" i="2"/>
  <c r="BH394" i="2"/>
  <c r="BI394" i="2"/>
  <c r="BG394" i="2"/>
  <c r="BF394" i="2"/>
  <c r="BK394" i="2"/>
  <c r="BG221" i="2"/>
  <c r="BF221" i="2"/>
  <c r="BK221" i="2"/>
  <c r="BK98" i="2"/>
  <c r="BI49" i="2"/>
  <c r="BH49" i="2"/>
  <c r="BF49" i="2"/>
  <c r="BG49" i="2"/>
  <c r="BK49" i="2"/>
  <c r="BK132" i="2"/>
  <c r="BI132" i="2"/>
  <c r="BH132" i="2"/>
  <c r="BG132" i="2"/>
  <c r="BF132" i="2"/>
  <c r="BK19" i="2"/>
  <c r="BF364" i="2"/>
  <c r="BG364" i="2"/>
  <c r="BH364" i="2"/>
  <c r="BG1156" i="2"/>
  <c r="BH1156" i="2"/>
  <c r="BI1156" i="2"/>
  <c r="BH1167" i="2"/>
  <c r="BF1167" i="2"/>
  <c r="BK1167" i="2"/>
  <c r="BI1020" i="2"/>
  <c r="BG1020" i="2"/>
  <c r="BH1020" i="2"/>
  <c r="BF1020" i="2"/>
  <c r="BK1020" i="2"/>
  <c r="BK1180" i="2"/>
  <c r="BG1180" i="2"/>
  <c r="BH1180" i="2"/>
  <c r="BH1068" i="2"/>
  <c r="BI1068" i="2"/>
  <c r="BG1068" i="2"/>
  <c r="BF1068" i="2"/>
  <c r="BK988" i="2"/>
  <c r="BH1160" i="2"/>
  <c r="BI1160" i="2"/>
  <c r="BG1160" i="2"/>
  <c r="BK1160" i="2"/>
  <c r="BK1072" i="2"/>
  <c r="BH830" i="2"/>
  <c r="BI830" i="2"/>
  <c r="BG830" i="2"/>
  <c r="BF830" i="2"/>
  <c r="BK830" i="2"/>
  <c r="BI928" i="2"/>
  <c r="BH928" i="2"/>
  <c r="BG928" i="2"/>
  <c r="BF928" i="2"/>
  <c r="BK928" i="2"/>
  <c r="BG1027" i="2"/>
  <c r="BH1027" i="2"/>
  <c r="BI1027" i="2"/>
  <c r="BK1027" i="2"/>
  <c r="BK873" i="2"/>
  <c r="BI631" i="2"/>
  <c r="BH631" i="2"/>
  <c r="BG631" i="2"/>
  <c r="BK631" i="2"/>
  <c r="BH832" i="2"/>
  <c r="BF832" i="2"/>
  <c r="BK832" i="2"/>
  <c r="BI762" i="2"/>
  <c r="BH762" i="2"/>
  <c r="BK762" i="2"/>
  <c r="BH581" i="2"/>
  <c r="BG581" i="2"/>
  <c r="BF581" i="2"/>
  <c r="BI581" i="2"/>
  <c r="BK581" i="2"/>
  <c r="BI527" i="2"/>
  <c r="BH527" i="2"/>
  <c r="BG527" i="2"/>
  <c r="BF527" i="2"/>
  <c r="BK527" i="2"/>
  <c r="BK662" i="2"/>
  <c r="BK609" i="2"/>
  <c r="BI488" i="2"/>
  <c r="BH488" i="2"/>
  <c r="BG488" i="2"/>
  <c r="BF488" i="2"/>
  <c r="BK488" i="2"/>
  <c r="BG468" i="2"/>
  <c r="BI468" i="2"/>
  <c r="BH468" i="2"/>
  <c r="BF468" i="2"/>
  <c r="BK468" i="2"/>
  <c r="BK399" i="2"/>
  <c r="BK398" i="2"/>
  <c r="BI364" i="2"/>
  <c r="BK364" i="2"/>
  <c r="BI386" i="2"/>
  <c r="BH386" i="2"/>
  <c r="BK386" i="2"/>
  <c r="BF153" i="2"/>
  <c r="BH153" i="2"/>
  <c r="BG153" i="2"/>
  <c r="BK153" i="2"/>
  <c r="BI393" i="2"/>
  <c r="BG393" i="2"/>
  <c r="BH393" i="2"/>
  <c r="BF393" i="2"/>
  <c r="BK393" i="2"/>
  <c r="BK212" i="2"/>
  <c r="BK36" i="2"/>
  <c r="BI210" i="2"/>
  <c r="BH210" i="2"/>
  <c r="BG210" i="2"/>
  <c r="BF210" i="2"/>
  <c r="BK210" i="2"/>
  <c r="BK48" i="2"/>
  <c r="BI48" i="2"/>
  <c r="BG48" i="2"/>
  <c r="BH48" i="2"/>
  <c r="BF48" i="2"/>
  <c r="BK130" i="2"/>
  <c r="BH130" i="2"/>
  <c r="BK20" i="2"/>
  <c r="BI20" i="2"/>
  <c r="BH16" i="2"/>
  <c r="BF16" i="2"/>
  <c r="BK16" i="2"/>
  <c r="BI1187" i="2"/>
  <c r="BG1187" i="2"/>
  <c r="BK1187" i="2"/>
  <c r="BK1115" i="2"/>
  <c r="BG1115" i="2"/>
  <c r="BK1098" i="2"/>
  <c r="BH1066" i="2"/>
  <c r="BG1066" i="2"/>
  <c r="BI1066" i="2"/>
  <c r="BF1066" i="2"/>
  <c r="BK1066" i="2"/>
  <c r="BG1041" i="2"/>
  <c r="BI1041" i="2"/>
  <c r="BH1041" i="2"/>
  <c r="BF1041" i="2"/>
  <c r="BK1041" i="2"/>
  <c r="BH1018" i="2"/>
  <c r="BI1018" i="2"/>
  <c r="BG1018" i="2"/>
  <c r="BK1018" i="2"/>
  <c r="BK990" i="2"/>
  <c r="BF990" i="2"/>
  <c r="BK948" i="2"/>
  <c r="BG934" i="2"/>
  <c r="BF934" i="2"/>
  <c r="BH934" i="2"/>
  <c r="BI934" i="2"/>
  <c r="BK934" i="2"/>
  <c r="BG917" i="2"/>
  <c r="BF917" i="2"/>
  <c r="BH895" i="2"/>
  <c r="BF895" i="2"/>
  <c r="BK895" i="2"/>
  <c r="BH866" i="2"/>
  <c r="BF866" i="2"/>
  <c r="BG866" i="2"/>
  <c r="BI866" i="2"/>
  <c r="BK866" i="2"/>
  <c r="BH852" i="2"/>
  <c r="BG852" i="2"/>
  <c r="BF852" i="2"/>
  <c r="BI852" i="2"/>
  <c r="BK852" i="2"/>
  <c r="BK840" i="2"/>
  <c r="BH812" i="2"/>
  <c r="BG812" i="2"/>
  <c r="BI812" i="2"/>
  <c r="BK812" i="2"/>
  <c r="BI793" i="2"/>
  <c r="BH793" i="2"/>
  <c r="BG793" i="2"/>
  <c r="BF793" i="2"/>
  <c r="BK793" i="2"/>
  <c r="BG759" i="2"/>
  <c r="BH759" i="2"/>
  <c r="BI759" i="2"/>
  <c r="BK759" i="2"/>
  <c r="BI747" i="2"/>
  <c r="BG747" i="2"/>
  <c r="BH747" i="2"/>
  <c r="BF747" i="2"/>
  <c r="BK747" i="2"/>
  <c r="BK735" i="2"/>
  <c r="BH721" i="2"/>
  <c r="BI721" i="2"/>
  <c r="BF721" i="2"/>
  <c r="BG721" i="2"/>
  <c r="BK721" i="2"/>
  <c r="BI708" i="2"/>
  <c r="BH708" i="2"/>
  <c r="BG708" i="2"/>
  <c r="BF708" i="2"/>
  <c r="BK708" i="2"/>
  <c r="BG691" i="2"/>
  <c r="BI691" i="2"/>
  <c r="BH691" i="2"/>
  <c r="BK691" i="2"/>
  <c r="BF666" i="2"/>
  <c r="BH666" i="2"/>
  <c r="BI639" i="2"/>
  <c r="BG639" i="2"/>
  <c r="BK639" i="2"/>
  <c r="BI625" i="2"/>
  <c r="BG625" i="2"/>
  <c r="BH625" i="2"/>
  <c r="BF625" i="2"/>
  <c r="BK625" i="2"/>
  <c r="BK600" i="2"/>
  <c r="BF600" i="2"/>
  <c r="BH573" i="2"/>
  <c r="BF573" i="2"/>
  <c r="BK573" i="2"/>
  <c r="BI484" i="2"/>
  <c r="BG484" i="2"/>
  <c r="BH484" i="2"/>
  <c r="BF484" i="2"/>
  <c r="BK484" i="2"/>
  <c r="BK437" i="2"/>
  <c r="BI417" i="2"/>
  <c r="BG417" i="2"/>
  <c r="BK417" i="2"/>
  <c r="BH377" i="2"/>
  <c r="BG377" i="2"/>
  <c r="BI377" i="2"/>
  <c r="BF377" i="2"/>
  <c r="BK377" i="2"/>
  <c r="BF353" i="2"/>
  <c r="BI353" i="2"/>
  <c r="BH353" i="2"/>
  <c r="BG353" i="2"/>
  <c r="BK353" i="2"/>
  <c r="BG338" i="2"/>
  <c r="BF338" i="2"/>
  <c r="BK338" i="2"/>
  <c r="BH325" i="2"/>
  <c r="BG325" i="2"/>
  <c r="BK325" i="2"/>
  <c r="BK313" i="2"/>
  <c r="BI313" i="2"/>
  <c r="BH301" i="2"/>
  <c r="BF301" i="2"/>
  <c r="BG301" i="2"/>
  <c r="BI301" i="2"/>
  <c r="BK301" i="2"/>
  <c r="BK270" i="2"/>
  <c r="BH270" i="2"/>
  <c r="BG270" i="2"/>
  <c r="BF270" i="2"/>
  <c r="BI270" i="2"/>
  <c r="BI258" i="2"/>
  <c r="BG258" i="2"/>
  <c r="BK258" i="2"/>
  <c r="BI246" i="2"/>
  <c r="BG246" i="2"/>
  <c r="BK246" i="2"/>
  <c r="BH227" i="2"/>
  <c r="BG227" i="2"/>
  <c r="BI227" i="2"/>
  <c r="BF227" i="2"/>
  <c r="BK227" i="2"/>
  <c r="BG208" i="2"/>
  <c r="BI208" i="2"/>
  <c r="BH208" i="2"/>
  <c r="BK208" i="2"/>
  <c r="BI196" i="2"/>
  <c r="BG196" i="2"/>
  <c r="BH196" i="2"/>
  <c r="BF196" i="2"/>
  <c r="BK196" i="2"/>
  <c r="BI183" i="2"/>
  <c r="BG183" i="2"/>
  <c r="BK183" i="2"/>
  <c r="BK171" i="2"/>
  <c r="BH145" i="2"/>
  <c r="BI145" i="2"/>
  <c r="BG145" i="2"/>
  <c r="BF145" i="2"/>
  <c r="BK145" i="2"/>
  <c r="BG112" i="2"/>
  <c r="BI112" i="2"/>
  <c r="BH112" i="2"/>
  <c r="BK112" i="2"/>
  <c r="BG100" i="2"/>
  <c r="BI100" i="2"/>
  <c r="BH100" i="2"/>
  <c r="BF100" i="2"/>
  <c r="BK100" i="2"/>
  <c r="BF1224" i="2"/>
  <c r="BI1224" i="2"/>
  <c r="BG1224" i="2"/>
  <c r="BK1224" i="2"/>
  <c r="BI1207" i="2"/>
  <c r="BH1207" i="2"/>
  <c r="BG1207" i="2"/>
  <c r="BF1207" i="2"/>
  <c r="BI1095" i="2"/>
  <c r="BH1095" i="2"/>
  <c r="BF1095" i="2"/>
  <c r="BI879" i="2"/>
  <c r="BH879" i="2"/>
  <c r="BG879" i="2"/>
  <c r="BH992" i="2"/>
  <c r="BI992" i="2"/>
  <c r="BF992" i="2"/>
  <c r="BF1151" i="2"/>
  <c r="BH1151" i="2"/>
  <c r="BK1151" i="2"/>
  <c r="BI1003" i="2"/>
  <c r="BH1003" i="2"/>
  <c r="BG1003" i="2"/>
  <c r="BF1003" i="2"/>
  <c r="BK1003" i="2"/>
  <c r="BI980" i="2"/>
  <c r="BG980" i="2"/>
  <c r="BK980" i="2"/>
  <c r="BI1152" i="2"/>
  <c r="BG1152" i="2"/>
  <c r="BH1152" i="2"/>
  <c r="BF1152" i="2"/>
  <c r="BK1152" i="2"/>
  <c r="BI1113" i="2"/>
  <c r="BH1113" i="2"/>
  <c r="BG1113" i="2"/>
  <c r="BF1113" i="2"/>
  <c r="BK1113" i="2"/>
  <c r="BH819" i="2"/>
  <c r="BG819" i="2"/>
  <c r="BF819" i="2"/>
  <c r="BI819" i="2"/>
  <c r="BK819" i="2"/>
  <c r="BI987" i="2"/>
  <c r="BH987" i="2"/>
  <c r="BG987" i="2"/>
  <c r="BF987" i="2"/>
  <c r="BK987" i="2"/>
  <c r="BK986" i="2"/>
  <c r="BK814" i="2"/>
  <c r="BI775" i="2"/>
  <c r="BH775" i="2"/>
  <c r="BG775" i="2"/>
  <c r="BF775" i="2"/>
  <c r="BK775" i="2"/>
  <c r="BI568" i="2"/>
  <c r="BH568" i="2"/>
  <c r="BG568" i="2"/>
  <c r="BF568" i="2"/>
  <c r="BK568" i="2"/>
  <c r="BH818" i="2"/>
  <c r="BG818" i="2"/>
  <c r="BK818" i="2"/>
  <c r="BI648" i="2"/>
  <c r="BG648" i="2"/>
  <c r="BI572" i="2"/>
  <c r="BH572" i="2"/>
  <c r="BG572" i="2"/>
  <c r="BF572" i="2"/>
  <c r="BI599" i="2"/>
  <c r="BH599" i="2"/>
  <c r="BG599" i="2"/>
  <c r="BF599" i="2"/>
  <c r="BK599" i="2"/>
  <c r="BI547" i="2"/>
  <c r="BH547" i="2"/>
  <c r="BF547" i="2"/>
  <c r="BI522" i="2"/>
  <c r="BG522" i="2"/>
  <c r="BK502" i="2"/>
  <c r="BG528" i="2"/>
  <c r="BI528" i="2"/>
  <c r="BH528" i="2"/>
  <c r="BF528" i="2"/>
  <c r="BK528" i="2"/>
  <c r="BI498" i="2"/>
  <c r="BH498" i="2"/>
  <c r="BG498" i="2"/>
  <c r="BF498" i="2"/>
  <c r="BK498" i="2"/>
  <c r="BG486" i="2"/>
  <c r="BF486" i="2"/>
  <c r="BK486" i="2"/>
  <c r="BK466" i="2"/>
  <c r="BH158" i="2"/>
  <c r="BG158" i="2"/>
  <c r="BF158" i="2"/>
  <c r="BI158" i="2"/>
  <c r="BK158" i="2"/>
  <c r="BI370" i="2"/>
  <c r="BG370" i="2"/>
  <c r="BH370" i="2"/>
  <c r="BK225" i="2"/>
  <c r="BK384" i="2"/>
  <c r="BG41" i="2"/>
  <c r="BI41" i="2"/>
  <c r="BH41" i="2"/>
  <c r="BF41" i="2"/>
  <c r="BK41" i="2"/>
  <c r="BI366" i="2"/>
  <c r="BH366" i="2"/>
  <c r="BG366" i="2"/>
  <c r="BF366" i="2"/>
  <c r="BK366" i="2"/>
  <c r="BK40" i="2"/>
  <c r="BI127" i="2"/>
  <c r="BG127" i="2"/>
  <c r="BH127" i="2"/>
  <c r="BF127" i="2"/>
  <c r="BK127" i="2"/>
  <c r="BI17" i="2"/>
  <c r="BH17" i="2"/>
  <c r="BG17" i="2"/>
  <c r="BF17" i="2"/>
  <c r="BK17" i="2"/>
  <c r="BF42" i="2"/>
  <c r="BK42" i="2"/>
  <c r="BI12" i="2"/>
  <c r="BK12" i="2"/>
  <c r="BG1133" i="2"/>
  <c r="BI1133" i="2"/>
  <c r="BH1133" i="2"/>
  <c r="BK1133" i="2"/>
  <c r="BH1109" i="2"/>
  <c r="BG1064" i="2"/>
  <c r="BI1064" i="2"/>
  <c r="BH1064" i="2"/>
  <c r="BH1036" i="2"/>
  <c r="BF1036" i="2"/>
  <c r="BK1036" i="2"/>
  <c r="BI1016" i="2"/>
  <c r="BH1016" i="2"/>
  <c r="BG1016" i="2"/>
  <c r="BK1016" i="2"/>
  <c r="BF962" i="2"/>
  <c r="BK946" i="2"/>
  <c r="BK932" i="2"/>
  <c r="BI915" i="2"/>
  <c r="BH915" i="2"/>
  <c r="BG915" i="2"/>
  <c r="BF915" i="2"/>
  <c r="BK915" i="2"/>
  <c r="BK893" i="2"/>
  <c r="BK864" i="2"/>
  <c r="BI850" i="2"/>
  <c r="BH850" i="2"/>
  <c r="BG850" i="2"/>
  <c r="BF850" i="2"/>
  <c r="BK850" i="2"/>
  <c r="BF838" i="2"/>
  <c r="BK838" i="2"/>
  <c r="BI810" i="2"/>
  <c r="BH810" i="2"/>
  <c r="BK810" i="2"/>
  <c r="BF791" i="2"/>
  <c r="BH791" i="2"/>
  <c r="BK791" i="2"/>
  <c r="BI757" i="2"/>
  <c r="BG757" i="2"/>
  <c r="BF757" i="2"/>
  <c r="BK757" i="2"/>
  <c r="BK745" i="2"/>
  <c r="BG733" i="2"/>
  <c r="BI733" i="2"/>
  <c r="BH733" i="2"/>
  <c r="BK733" i="2"/>
  <c r="BH719" i="2"/>
  <c r="BI719" i="2"/>
  <c r="BF719" i="2"/>
  <c r="BK719" i="2"/>
  <c r="BH706" i="2"/>
  <c r="BI706" i="2"/>
  <c r="BG706" i="2"/>
  <c r="BH689" i="2"/>
  <c r="BG689" i="2"/>
  <c r="BF689" i="2"/>
  <c r="BI689" i="2"/>
  <c r="BK689" i="2"/>
  <c r="BI664" i="2"/>
  <c r="BF664" i="2"/>
  <c r="BK664" i="2"/>
  <c r="BH623" i="2"/>
  <c r="BI623" i="2"/>
  <c r="BF623" i="2"/>
  <c r="BK623" i="2"/>
  <c r="BG597" i="2"/>
  <c r="BH597" i="2"/>
  <c r="BF597" i="2"/>
  <c r="BK597" i="2"/>
  <c r="BI558" i="2"/>
  <c r="BG558" i="2"/>
  <c r="BF558" i="2"/>
  <c r="BH558" i="2"/>
  <c r="BK558" i="2"/>
  <c r="BH482" i="2"/>
  <c r="BI482" i="2"/>
  <c r="BK482" i="2"/>
  <c r="BI432" i="2"/>
  <c r="BI415" i="2"/>
  <c r="BH415" i="2"/>
  <c r="BF415" i="2"/>
  <c r="BK415" i="2"/>
  <c r="BF374" i="2"/>
  <c r="BI374" i="2"/>
  <c r="BG374" i="2"/>
  <c r="BH374" i="2"/>
  <c r="BK374" i="2"/>
  <c r="BI351" i="2"/>
  <c r="BG351" i="2"/>
  <c r="BH351" i="2"/>
  <c r="BF351" i="2"/>
  <c r="BK351" i="2"/>
  <c r="BI335" i="2"/>
  <c r="BH335" i="2"/>
  <c r="BK335" i="2"/>
  <c r="BG323" i="2"/>
  <c r="BI323" i="2"/>
  <c r="BH323" i="2"/>
  <c r="BK323" i="2"/>
  <c r="BK299" i="2"/>
  <c r="BI287" i="2"/>
  <c r="BG287" i="2"/>
  <c r="BF287" i="2"/>
  <c r="BH287" i="2"/>
  <c r="BK287" i="2"/>
  <c r="BI268" i="2"/>
  <c r="BH268" i="2"/>
  <c r="BK268" i="2"/>
  <c r="BI256" i="2"/>
  <c r="BG222" i="2"/>
  <c r="BH222" i="2"/>
  <c r="BK222" i="2"/>
  <c r="BI206" i="2"/>
  <c r="BG206" i="2"/>
  <c r="BF206" i="2"/>
  <c r="BH206" i="2"/>
  <c r="BK206" i="2"/>
  <c r="BI194" i="2"/>
  <c r="BH194" i="2"/>
  <c r="BK194" i="2"/>
  <c r="BH181" i="2"/>
  <c r="BK181" i="2"/>
  <c r="BG110" i="2"/>
  <c r="BF110" i="2"/>
  <c r="BH110" i="2"/>
  <c r="BI110" i="2"/>
  <c r="BK110" i="2"/>
  <c r="BF92" i="2"/>
  <c r="BI92" i="2"/>
  <c r="BH92" i="2"/>
  <c r="BG92" i="2"/>
  <c r="BK92" i="2"/>
  <c r="BI52" i="2"/>
  <c r="BG52" i="2"/>
  <c r="BH52" i="2"/>
  <c r="BF52" i="2"/>
  <c r="BK52" i="2"/>
  <c r="BI1197" i="2"/>
  <c r="BH1197" i="2"/>
  <c r="BI891" i="2"/>
  <c r="BH891" i="2"/>
  <c r="BG891" i="2"/>
  <c r="BF891" i="2"/>
  <c r="BI1221" i="2"/>
  <c r="BH1221" i="2"/>
  <c r="BG1221" i="2"/>
  <c r="BF1221" i="2"/>
  <c r="BH1233" i="2"/>
  <c r="BG1233" i="2"/>
  <c r="BF1233" i="2"/>
  <c r="BK1233" i="2"/>
  <c r="BH1194" i="2"/>
  <c r="BG1194" i="2"/>
  <c r="BF1194" i="2"/>
  <c r="BI1194" i="2"/>
  <c r="BK1194" i="2"/>
  <c r="BI889" i="2"/>
  <c r="BG889" i="2"/>
  <c r="BI1185" i="2"/>
  <c r="BG1185" i="2"/>
  <c r="BH829" i="2"/>
  <c r="BG829" i="2"/>
  <c r="BI1166" i="2"/>
  <c r="BG1166" i="2"/>
  <c r="BK1166" i="2"/>
  <c r="BH828" i="2"/>
  <c r="BI828" i="2"/>
  <c r="BK1121" i="2"/>
  <c r="BG999" i="2"/>
  <c r="BI999" i="2"/>
  <c r="BH999" i="2"/>
  <c r="BF999" i="2"/>
  <c r="BK999" i="2"/>
  <c r="BI972" i="2"/>
  <c r="BH972" i="2"/>
  <c r="BG972" i="2"/>
  <c r="BF972" i="2"/>
  <c r="BK972" i="2"/>
  <c r="BI825" i="2"/>
  <c r="BG825" i="2"/>
  <c r="BH825" i="2"/>
  <c r="BF825" i="2"/>
  <c r="BK825" i="2"/>
  <c r="BF1139" i="2"/>
  <c r="BI1139" i="2"/>
  <c r="BH1139" i="2"/>
  <c r="BG1139" i="2"/>
  <c r="BK1139" i="2"/>
  <c r="BF1088" i="2"/>
  <c r="BH1088" i="2"/>
  <c r="BG1088" i="2"/>
  <c r="BK1088" i="2"/>
  <c r="BG1039" i="2"/>
  <c r="BH1039" i="2"/>
  <c r="BF1039" i="2"/>
  <c r="BI1039" i="2"/>
  <c r="BK1039" i="2"/>
  <c r="BI955" i="2"/>
  <c r="BF955" i="2"/>
  <c r="BK1135" i="2"/>
  <c r="BK973" i="2"/>
  <c r="BI785" i="2"/>
  <c r="BG785" i="2"/>
  <c r="BK785" i="2"/>
  <c r="BI724" i="2"/>
  <c r="BG724" i="2"/>
  <c r="BK724" i="2"/>
  <c r="BK787" i="2"/>
  <c r="BG644" i="2"/>
  <c r="BI644" i="2"/>
  <c r="BH644" i="2"/>
  <c r="BK644" i="2"/>
  <c r="BH799" i="2"/>
  <c r="BG799" i="2"/>
  <c r="BK799" i="2"/>
  <c r="BI616" i="2"/>
  <c r="BH616" i="2"/>
  <c r="BF616" i="2"/>
  <c r="BG616" i="2"/>
  <c r="BI576" i="2"/>
  <c r="BH576" i="2"/>
  <c r="BG576" i="2"/>
  <c r="BF576" i="2"/>
  <c r="BK576" i="2"/>
  <c r="BH543" i="2"/>
  <c r="BG543" i="2"/>
  <c r="BF543" i="2"/>
  <c r="BI543" i="2"/>
  <c r="BK543" i="2"/>
  <c r="BK516" i="2"/>
  <c r="BG516" i="2"/>
  <c r="BF516" i="2"/>
  <c r="BH441" i="2"/>
  <c r="BG441" i="2"/>
  <c r="BH513" i="2"/>
  <c r="BF513" i="2"/>
  <c r="BK513" i="2"/>
  <c r="BK475" i="2"/>
  <c r="BI475" i="2"/>
  <c r="BF475" i="2"/>
  <c r="BF453" i="2"/>
  <c r="BI453" i="2"/>
  <c r="BG453" i="2"/>
  <c r="BI462" i="2"/>
  <c r="BH462" i="2"/>
  <c r="BF462" i="2"/>
  <c r="BH457" i="2"/>
  <c r="BF457" i="2"/>
  <c r="BG457" i="2"/>
  <c r="BI457" i="2"/>
  <c r="BK457" i="2"/>
  <c r="BG451" i="2"/>
  <c r="BF451" i="2"/>
  <c r="BK451" i="2"/>
  <c r="BH443" i="2"/>
  <c r="BG443" i="2"/>
  <c r="BF443" i="2"/>
  <c r="BI443" i="2"/>
  <c r="BK443" i="2"/>
  <c r="BH379" i="2"/>
  <c r="BG379" i="2"/>
  <c r="BF379" i="2"/>
  <c r="BK379" i="2"/>
  <c r="BH421" i="2"/>
  <c r="BG421" i="2"/>
  <c r="BK421" i="2"/>
  <c r="BG163" i="2"/>
  <c r="BI163" i="2"/>
  <c r="BH163" i="2"/>
  <c r="BF163" i="2"/>
  <c r="BI408" i="2"/>
  <c r="BG408" i="2"/>
  <c r="BF408" i="2"/>
  <c r="BK408" i="2"/>
  <c r="BH283" i="2"/>
  <c r="BG283" i="2"/>
  <c r="BF283" i="2"/>
  <c r="BI283" i="2"/>
  <c r="BK283" i="2"/>
  <c r="BK235" i="2"/>
  <c r="BG70" i="2"/>
  <c r="BI70" i="2"/>
  <c r="BI10" i="2"/>
  <c r="BH10" i="2"/>
  <c r="BG10" i="2"/>
  <c r="BF10" i="2"/>
  <c r="BK10" i="2"/>
  <c r="BG60" i="2"/>
  <c r="BF60" i="2"/>
  <c r="BK60" i="2"/>
  <c r="BH97" i="2"/>
  <c r="BI97" i="2"/>
  <c r="BF97" i="2"/>
  <c r="BK97" i="2"/>
  <c r="BI32" i="2"/>
  <c r="BG32" i="2"/>
  <c r="BF32" i="2"/>
  <c r="BK32" i="2"/>
  <c r="BF3" i="2"/>
  <c r="BI3" i="2"/>
  <c r="BG3" i="2"/>
  <c r="BI1184" i="2"/>
  <c r="BH1184" i="2"/>
  <c r="BF1184" i="2"/>
  <c r="BH1146" i="2"/>
  <c r="BG1146" i="2"/>
  <c r="BI1146" i="2"/>
  <c r="BF1146" i="2"/>
  <c r="BI1215" i="2"/>
  <c r="BH1215" i="2"/>
  <c r="BG1215" i="2"/>
  <c r="BF1215" i="2"/>
  <c r="BH1228" i="2"/>
  <c r="BI1228" i="2"/>
  <c r="BG1228" i="2"/>
  <c r="BF1228" i="2"/>
  <c r="BK1228" i="2"/>
  <c r="BH881" i="2"/>
  <c r="BF881" i="2"/>
  <c r="BG881" i="2"/>
  <c r="BK881" i="2"/>
  <c r="BG1161" i="2"/>
  <c r="BH1161" i="2"/>
  <c r="BK1161" i="2"/>
  <c r="BH1111" i="2"/>
  <c r="BG1111" i="2"/>
  <c r="BG997" i="2"/>
  <c r="BF997" i="2"/>
  <c r="BF969" i="2"/>
  <c r="BH1171" i="2"/>
  <c r="BG1171" i="2"/>
  <c r="BI1171" i="2"/>
  <c r="BH1136" i="2"/>
  <c r="BF1136" i="2"/>
  <c r="BK1136" i="2"/>
  <c r="BG1087" i="2"/>
  <c r="BI1087" i="2"/>
  <c r="BH1087" i="2"/>
  <c r="BF1087" i="2"/>
  <c r="BK1087" i="2"/>
  <c r="BG1038" i="2"/>
  <c r="BH1038" i="2"/>
  <c r="BF1038" i="2"/>
  <c r="BI1038" i="2"/>
  <c r="BK1038" i="2"/>
  <c r="BH911" i="2"/>
  <c r="BG911" i="2"/>
  <c r="BF911" i="2"/>
  <c r="BH676" i="2"/>
  <c r="BI676" i="2"/>
  <c r="BG676" i="2"/>
  <c r="BK676" i="2"/>
  <c r="BK1090" i="2"/>
  <c r="BG970" i="2"/>
  <c r="BH970" i="2"/>
  <c r="BF970" i="2"/>
  <c r="BH784" i="2"/>
  <c r="BG784" i="2"/>
  <c r="BF784" i="2"/>
  <c r="BI784" i="2"/>
  <c r="BK784" i="2"/>
  <c r="BH652" i="2"/>
  <c r="BF652" i="2"/>
  <c r="BH936" i="2"/>
  <c r="BI936" i="2"/>
  <c r="BG936" i="2"/>
  <c r="BK936" i="2"/>
  <c r="BG783" i="2"/>
  <c r="BI783" i="2"/>
  <c r="BK783" i="2"/>
  <c r="BG695" i="2"/>
  <c r="BI695" i="2"/>
  <c r="BF695" i="2"/>
  <c r="BF641" i="2"/>
  <c r="BG641" i="2"/>
  <c r="BI549" i="2"/>
  <c r="BG549" i="2"/>
  <c r="BK614" i="2"/>
  <c r="BK575" i="2"/>
  <c r="BH575" i="2"/>
  <c r="BG575" i="2"/>
  <c r="BI575" i="2"/>
  <c r="BI542" i="2"/>
  <c r="BH542" i="2"/>
  <c r="BG542" i="2"/>
  <c r="BF542" i="2"/>
  <c r="BK542" i="2"/>
  <c r="BK515" i="2"/>
  <c r="BH577" i="2"/>
  <c r="BF577" i="2"/>
  <c r="BI577" i="2"/>
  <c r="BK577" i="2"/>
  <c r="BK511" i="2"/>
  <c r="BK162" i="2"/>
  <c r="BI446" i="2"/>
  <c r="BH446" i="2"/>
  <c r="BK446" i="2"/>
  <c r="BH461" i="2"/>
  <c r="BI461" i="2"/>
  <c r="BF461" i="2"/>
  <c r="BK461" i="2"/>
  <c r="BH456" i="2"/>
  <c r="BI456" i="2"/>
  <c r="BF456" i="2"/>
  <c r="BG456" i="2"/>
  <c r="BK456" i="2"/>
  <c r="BG433" i="2"/>
  <c r="BI433" i="2"/>
  <c r="BH433" i="2"/>
  <c r="BF433" i="2"/>
  <c r="BK433" i="2"/>
  <c r="BK440" i="2"/>
  <c r="BG363" i="2"/>
  <c r="BH363" i="2"/>
  <c r="BF363" i="2"/>
  <c r="BK363" i="2"/>
  <c r="BI420" i="2"/>
  <c r="BH420" i="2"/>
  <c r="BG420" i="2"/>
  <c r="BF420" i="2"/>
  <c r="BH151" i="2"/>
  <c r="BK151" i="2"/>
  <c r="BF151" i="2"/>
  <c r="BI151" i="2"/>
  <c r="BF402" i="2"/>
  <c r="BG402" i="2"/>
  <c r="BK402" i="2"/>
  <c r="BH282" i="2"/>
  <c r="BG282" i="2"/>
  <c r="BI282" i="2"/>
  <c r="BF282" i="2"/>
  <c r="BK282" i="2"/>
  <c r="BI82" i="2"/>
  <c r="BH82" i="2"/>
  <c r="BH234" i="2"/>
  <c r="BI234" i="2"/>
  <c r="BG234" i="2"/>
  <c r="BK234" i="2"/>
  <c r="BG118" i="2"/>
  <c r="BI118" i="2"/>
  <c r="BK118" i="2"/>
  <c r="BF69" i="2"/>
  <c r="BI69" i="2"/>
  <c r="BG69" i="2"/>
  <c r="BK69" i="2"/>
  <c r="BI9" i="2"/>
  <c r="BH9" i="2"/>
  <c r="BF9" i="2"/>
  <c r="BG9" i="2"/>
  <c r="BK9" i="2"/>
  <c r="BG85" i="2"/>
  <c r="BH85" i="2"/>
  <c r="BF85" i="2"/>
  <c r="BI85" i="2"/>
  <c r="BK85" i="2"/>
  <c r="BK31" i="2"/>
  <c r="BG2" i="2"/>
  <c r="BI2" i="2"/>
  <c r="BF2" i="2"/>
  <c r="BI1104" i="2"/>
  <c r="BG1104" i="2"/>
  <c r="BF1104" i="2"/>
  <c r="BK1104" i="2"/>
  <c r="BG1091" i="2"/>
  <c r="BI1091" i="2"/>
  <c r="BG1060" i="2"/>
  <c r="BF1060" i="2"/>
  <c r="BH1060" i="2"/>
  <c r="BI1060" i="2"/>
  <c r="BI1032" i="2"/>
  <c r="BH1032" i="2"/>
  <c r="BG1032" i="2"/>
  <c r="BF1032" i="2"/>
  <c r="BK1032" i="2"/>
  <c r="BI1012" i="2"/>
  <c r="BH1012" i="2"/>
  <c r="BF1012" i="2"/>
  <c r="BG1012" i="2"/>
  <c r="BK1012" i="2"/>
  <c r="BH958" i="2"/>
  <c r="BF958" i="2"/>
  <c r="BG958" i="2"/>
  <c r="BK958" i="2"/>
  <c r="BH942" i="2"/>
  <c r="BI942" i="2"/>
  <c r="BK942" i="2"/>
  <c r="BH923" i="2"/>
  <c r="BG923" i="2"/>
  <c r="BK923" i="2"/>
  <c r="BH909" i="2"/>
  <c r="BG909" i="2"/>
  <c r="BI909" i="2"/>
  <c r="BF909" i="2"/>
  <c r="BK909" i="2"/>
  <c r="BI871" i="2"/>
  <c r="BF871" i="2"/>
  <c r="BK871" i="2"/>
  <c r="BI858" i="2"/>
  <c r="BK858" i="2"/>
  <c r="BG846" i="2"/>
  <c r="BI846" i="2"/>
  <c r="BF846" i="2"/>
  <c r="BK846" i="2"/>
  <c r="BH846" i="2"/>
  <c r="BI767" i="2"/>
  <c r="BG767" i="2"/>
  <c r="BF767" i="2"/>
  <c r="BH767" i="2"/>
  <c r="BK767" i="2"/>
  <c r="BH753" i="2"/>
  <c r="BI753" i="2"/>
  <c r="BG753" i="2"/>
  <c r="BF753" i="2"/>
  <c r="BK753" i="2"/>
  <c r="BI741" i="2"/>
  <c r="BG741" i="2"/>
  <c r="BH741" i="2"/>
  <c r="BF741" i="2"/>
  <c r="BK741" i="2"/>
  <c r="BH729" i="2"/>
  <c r="BG729" i="2"/>
  <c r="BK729" i="2"/>
  <c r="BF714" i="2"/>
  <c r="BH714" i="2"/>
  <c r="BK714" i="2"/>
  <c r="BK702" i="2"/>
  <c r="BH702" i="2"/>
  <c r="BF702" i="2"/>
  <c r="BH685" i="2"/>
  <c r="BI685" i="2"/>
  <c r="BG685" i="2"/>
  <c r="BF685" i="2"/>
  <c r="BK685" i="2"/>
  <c r="BG659" i="2"/>
  <c r="BH659" i="2"/>
  <c r="BI659" i="2"/>
  <c r="BK659" i="2"/>
  <c r="BK633" i="2"/>
  <c r="BF633" i="2"/>
  <c r="BF593" i="2"/>
  <c r="BH593" i="2"/>
  <c r="BG593" i="2"/>
  <c r="BK593" i="2"/>
  <c r="BG478" i="2"/>
  <c r="BI478" i="2"/>
  <c r="BH478" i="2"/>
  <c r="BF478" i="2"/>
  <c r="BK478" i="2"/>
  <c r="BG426" i="2"/>
  <c r="BH426" i="2"/>
  <c r="BF426" i="2"/>
  <c r="BI426" i="2"/>
  <c r="BK426" i="2"/>
  <c r="BG400" i="2"/>
  <c r="BH400" i="2"/>
  <c r="BF400" i="2"/>
  <c r="BK400" i="2"/>
  <c r="BH360" i="2"/>
  <c r="BI360" i="2"/>
  <c r="BG360" i="2"/>
  <c r="BG347" i="2"/>
  <c r="BF347" i="2"/>
  <c r="BK347" i="2"/>
  <c r="BH331" i="2"/>
  <c r="BG331" i="2"/>
  <c r="BF331" i="2"/>
  <c r="BI331" i="2"/>
  <c r="BK319" i="2"/>
  <c r="BH307" i="2"/>
  <c r="BG307" i="2"/>
  <c r="BF307" i="2"/>
  <c r="BK280" i="2"/>
  <c r="BG280" i="2"/>
  <c r="BH264" i="2"/>
  <c r="BI264" i="2"/>
  <c r="BG264" i="2"/>
  <c r="BF264" i="2"/>
  <c r="BK264" i="2"/>
  <c r="BI252" i="2"/>
  <c r="BG252" i="2"/>
  <c r="BF252" i="2"/>
  <c r="BH252" i="2"/>
  <c r="BK252" i="2"/>
  <c r="BG240" i="2"/>
  <c r="BI240" i="2"/>
  <c r="BG217" i="2"/>
  <c r="BH217" i="2"/>
  <c r="BI202" i="2"/>
  <c r="BH202" i="2"/>
  <c r="BG202" i="2"/>
  <c r="BF202" i="2"/>
  <c r="BK202" i="2"/>
  <c r="BI190" i="2"/>
  <c r="BG190" i="2"/>
  <c r="BK190" i="2"/>
  <c r="BG177" i="2"/>
  <c r="BI177" i="2"/>
  <c r="BF177" i="2"/>
  <c r="BK177" i="2"/>
  <c r="BI165" i="2"/>
  <c r="BG165" i="2"/>
  <c r="BF165" i="2"/>
  <c r="BH165" i="2"/>
  <c r="BK165" i="2"/>
  <c r="BH106" i="2"/>
  <c r="BI106" i="2"/>
  <c r="BG106" i="2"/>
  <c r="BF106" i="2"/>
  <c r="BK106" i="2"/>
  <c r="BG77" i="2"/>
  <c r="BH77" i="2"/>
  <c r="BG1144" i="2"/>
  <c r="BH1144" i="2"/>
  <c r="BI1144" i="2"/>
  <c r="BF1214" i="2"/>
  <c r="BH1225" i="2"/>
  <c r="BG1225" i="2"/>
  <c r="BF1225" i="2"/>
  <c r="BK1225" i="2"/>
  <c r="BI1189" i="2"/>
  <c r="BG1189" i="2"/>
  <c r="BG587" i="2"/>
  <c r="BI587" i="2"/>
  <c r="BH587" i="2"/>
  <c r="BF587" i="2"/>
  <c r="BG1175" i="2"/>
  <c r="BF1175" i="2"/>
  <c r="BI1175" i="2"/>
  <c r="BK1175" i="2"/>
  <c r="BG604" i="2"/>
  <c r="BF604" i="2"/>
  <c r="BK604" i="2"/>
  <c r="BH1085" i="2"/>
  <c r="BG1085" i="2"/>
  <c r="BF1085" i="2"/>
  <c r="BI1085" i="2"/>
  <c r="BK1085" i="2"/>
  <c r="BI996" i="2"/>
  <c r="BH996" i="2"/>
  <c r="BG996" i="2"/>
  <c r="BF996" i="2"/>
  <c r="BK996" i="2"/>
  <c r="BK966" i="2"/>
  <c r="BH1174" i="2"/>
  <c r="BI1174" i="2"/>
  <c r="BG1174" i="2"/>
  <c r="BI1128" i="2"/>
  <c r="BH1128" i="2"/>
  <c r="BG1128" i="2"/>
  <c r="BF1128" i="2"/>
  <c r="BK1128" i="2"/>
  <c r="BI1010" i="2"/>
  <c r="BG1010" i="2"/>
  <c r="BH1010" i="2"/>
  <c r="BF1010" i="2"/>
  <c r="BK1010" i="2"/>
  <c r="BI876" i="2"/>
  <c r="BG876" i="2"/>
  <c r="BK876" i="2"/>
  <c r="BI586" i="2"/>
  <c r="BG586" i="2"/>
  <c r="BH586" i="2"/>
  <c r="BF586" i="2"/>
  <c r="BG1089" i="2"/>
  <c r="BI1089" i="2"/>
  <c r="BH1089" i="2"/>
  <c r="BF1089" i="2"/>
  <c r="BI781" i="2"/>
  <c r="BG781" i="2"/>
  <c r="BF781" i="2"/>
  <c r="BK781" i="2"/>
  <c r="BH935" i="2"/>
  <c r="BF935" i="2"/>
  <c r="BI782" i="2"/>
  <c r="BH782" i="2"/>
  <c r="BG782" i="2"/>
  <c r="BF782" i="2"/>
  <c r="BK782" i="2"/>
  <c r="BI548" i="2"/>
  <c r="BH548" i="2"/>
  <c r="BG548" i="2"/>
  <c r="BF548" i="2"/>
  <c r="BK548" i="2"/>
  <c r="BG718" i="2"/>
  <c r="BI718" i="2"/>
  <c r="BF718" i="2"/>
  <c r="BK574" i="2"/>
  <c r="BH541" i="2"/>
  <c r="BG541" i="2"/>
  <c r="BI512" i="2"/>
  <c r="BH512" i="2"/>
  <c r="BG512" i="2"/>
  <c r="BF512" i="2"/>
  <c r="BK512" i="2"/>
  <c r="BI571" i="2"/>
  <c r="BK571" i="2"/>
  <c r="BG161" i="2"/>
  <c r="BI161" i="2"/>
  <c r="BH161" i="2"/>
  <c r="BF161" i="2"/>
  <c r="BK161" i="2"/>
  <c r="BH160" i="2"/>
  <c r="BI160" i="2"/>
  <c r="BF160" i="2"/>
  <c r="BH452" i="2"/>
  <c r="BG452" i="2"/>
  <c r="BF452" i="2"/>
  <c r="BI452" i="2"/>
  <c r="BK452" i="2"/>
  <c r="BK455" i="2"/>
  <c r="BI414" i="2"/>
  <c r="BG414" i="2"/>
  <c r="BK414" i="2"/>
  <c r="BF439" i="2"/>
  <c r="BI439" i="2"/>
  <c r="BH439" i="2"/>
  <c r="BG439" i="2"/>
  <c r="BK439" i="2"/>
  <c r="BH359" i="2"/>
  <c r="BG359" i="2"/>
  <c r="BF359" i="2"/>
  <c r="BI359" i="2"/>
  <c r="BK359" i="2"/>
  <c r="BH419" i="2"/>
  <c r="BG419" i="2"/>
  <c r="BK419" i="2"/>
  <c r="BI126" i="2"/>
  <c r="BH126" i="2"/>
  <c r="BG126" i="2"/>
  <c r="BF126" i="2"/>
  <c r="BK126" i="2"/>
  <c r="BK238" i="2"/>
  <c r="BK72" i="2"/>
  <c r="BH72" i="2"/>
  <c r="BG72" i="2"/>
  <c r="BH117" i="2"/>
  <c r="BG117" i="2"/>
  <c r="BI117" i="2"/>
  <c r="BF117" i="2"/>
  <c r="BK117" i="2"/>
  <c r="BF67" i="2"/>
  <c r="BH8" i="2"/>
  <c r="BI8" i="2"/>
  <c r="BG8" i="2"/>
  <c r="BF8" i="2"/>
  <c r="BK8" i="2"/>
  <c r="BI46" i="2"/>
  <c r="BK46" i="2"/>
  <c r="BG46" i="2"/>
  <c r="BI84" i="2"/>
  <c r="BH84" i="2"/>
  <c r="BG84" i="2"/>
  <c r="BK84" i="2"/>
  <c r="BK30" i="2"/>
  <c r="BH1216" i="2"/>
  <c r="BI1237" i="2"/>
  <c r="BG1237" i="2"/>
  <c r="BK1237" i="2"/>
  <c r="BI798" i="2"/>
  <c r="BG1208" i="2"/>
  <c r="BI1208" i="2"/>
  <c r="BH1208" i="2"/>
  <c r="BF1208" i="2"/>
  <c r="BI1143" i="2"/>
  <c r="BF1143" i="2"/>
  <c r="BH1141" i="2"/>
  <c r="BG1141" i="2"/>
  <c r="BI1141" i="2"/>
  <c r="BF1141" i="2"/>
  <c r="BK1141" i="2"/>
  <c r="BK1007" i="2"/>
  <c r="BI1155" i="2"/>
  <c r="BH1155" i="2"/>
  <c r="BG1155" i="2"/>
  <c r="BK1155" i="2"/>
  <c r="BK1006" i="2"/>
  <c r="BI899" i="2"/>
  <c r="BG899" i="2"/>
  <c r="BF899" i="2"/>
  <c r="BK899" i="2"/>
  <c r="BK1159" i="2"/>
  <c r="BG1159" i="2"/>
  <c r="BI1071" i="2"/>
  <c r="BG1071" i="2"/>
  <c r="BK1071" i="2"/>
  <c r="BH975" i="2"/>
  <c r="BG975" i="2"/>
  <c r="BG1026" i="2"/>
  <c r="BH1026" i="2"/>
  <c r="BI1026" i="2"/>
  <c r="BF1026" i="2"/>
  <c r="BK1026" i="2"/>
  <c r="BH815" i="2"/>
  <c r="BI815" i="2"/>
  <c r="BG815" i="2"/>
  <c r="BF815" i="2"/>
  <c r="BK815" i="2"/>
  <c r="BK821" i="2"/>
  <c r="BG761" i="2"/>
  <c r="BH761" i="2"/>
  <c r="BI761" i="2"/>
  <c r="BF761" i="2"/>
  <c r="BK761" i="2"/>
  <c r="BH667" i="2"/>
  <c r="BI667" i="2"/>
  <c r="BG667" i="2"/>
  <c r="BF667" i="2"/>
  <c r="BI580" i="2"/>
  <c r="BH580" i="2"/>
  <c r="BF580" i="2"/>
  <c r="BF526" i="2"/>
  <c r="BI526" i="2"/>
  <c r="BG526" i="2"/>
  <c r="BK526" i="2"/>
  <c r="BH526" i="2"/>
  <c r="BH655" i="2"/>
  <c r="BF655" i="2"/>
  <c r="BK608" i="2"/>
  <c r="BG523" i="2"/>
  <c r="BH523" i="2"/>
  <c r="BI523" i="2"/>
  <c r="BF523" i="2"/>
  <c r="BK523" i="2"/>
  <c r="BK529" i="2"/>
  <c r="BI529" i="2"/>
  <c r="BF529" i="2"/>
  <c r="BK492" i="2"/>
  <c r="BH487" i="2"/>
  <c r="BG487" i="2"/>
  <c r="BF487" i="2"/>
  <c r="BI487" i="2"/>
  <c r="BK487" i="2"/>
  <c r="BH467" i="2"/>
  <c r="BF467" i="2"/>
  <c r="BK467" i="2"/>
  <c r="BH159" i="2"/>
  <c r="BI159" i="2"/>
  <c r="BG159" i="2"/>
  <c r="BF159" i="2"/>
  <c r="BK159" i="2"/>
  <c r="BI371" i="2"/>
  <c r="BG371" i="2"/>
  <c r="BF371" i="2"/>
  <c r="BK371" i="2"/>
  <c r="BK385" i="2"/>
  <c r="BG391" i="2"/>
  <c r="BH391" i="2"/>
  <c r="BF391" i="2"/>
  <c r="BI391" i="2"/>
  <c r="BK391" i="2"/>
  <c r="BH64" i="2"/>
  <c r="BF64" i="2"/>
  <c r="BK64" i="2"/>
  <c r="BG131" i="2"/>
  <c r="BH131" i="2"/>
  <c r="BF131" i="2"/>
  <c r="BI131" i="2"/>
  <c r="BK131" i="2"/>
  <c r="BH22" i="2"/>
  <c r="BI22" i="2"/>
  <c r="BG22" i="2"/>
  <c r="BF22" i="2"/>
  <c r="BK22" i="2"/>
  <c r="BH90" i="2"/>
  <c r="BG90" i="2"/>
  <c r="BH47" i="2"/>
  <c r="BG47" i="2"/>
  <c r="BF47" i="2"/>
  <c r="BI47" i="2"/>
  <c r="BK47" i="2"/>
  <c r="BI128" i="2"/>
  <c r="BH128" i="2"/>
  <c r="BG128" i="2"/>
  <c r="BF128" i="2"/>
  <c r="BK128" i="2"/>
  <c r="BG18" i="2"/>
  <c r="BH18" i="2"/>
  <c r="BI18" i="2"/>
  <c r="BK18" i="2"/>
  <c r="BG43" i="2"/>
  <c r="BH43" i="2"/>
  <c r="BI43" i="2"/>
  <c r="BF43" i="2"/>
  <c r="BK43" i="2"/>
  <c r="BI1226" i="2"/>
  <c r="BH1226" i="2"/>
  <c r="BF1226" i="2"/>
  <c r="BI1022" i="2"/>
  <c r="BG1022" i="2"/>
  <c r="BF1022" i="2"/>
  <c r="BK1022" i="2"/>
  <c r="BI1000" i="2"/>
  <c r="BH1000" i="2"/>
  <c r="BG1000" i="2"/>
  <c r="BF1000" i="2"/>
  <c r="BK1000" i="2"/>
  <c r="BG1106" i="2"/>
  <c r="BI1106" i="2"/>
  <c r="BI983" i="2"/>
  <c r="BG983" i="2"/>
  <c r="BF983" i="2"/>
  <c r="BI645" i="2"/>
  <c r="BG645" i="2"/>
  <c r="BF645" i="2"/>
  <c r="BK645" i="2"/>
  <c r="BK647" i="2"/>
  <c r="BG524" i="2"/>
  <c r="BI524" i="2"/>
  <c r="BI546" i="2"/>
  <c r="BH546" i="2"/>
  <c r="BF546" i="2"/>
  <c r="BI519" i="2"/>
  <c r="BH519" i="2"/>
  <c r="BG519" i="2"/>
  <c r="BF519" i="2"/>
  <c r="BK519" i="2"/>
  <c r="BI491" i="2"/>
  <c r="BF491" i="2"/>
  <c r="BK491" i="2"/>
  <c r="BH465" i="2"/>
  <c r="BI465" i="2"/>
  <c r="BG465" i="2"/>
  <c r="BK465" i="2"/>
  <c r="BI157" i="2"/>
  <c r="BF157" i="2"/>
  <c r="BK157" i="2"/>
  <c r="BI383" i="2"/>
  <c r="BG383" i="2"/>
  <c r="BK383" i="2"/>
  <c r="BH340" i="2"/>
  <c r="BI340" i="2"/>
  <c r="BG340" i="2"/>
  <c r="BF340" i="2"/>
  <c r="BK340" i="2"/>
  <c r="BG27" i="2"/>
  <c r="BH27" i="2"/>
  <c r="BF27" i="2"/>
  <c r="BI27" i="2"/>
  <c r="BK27" i="2"/>
  <c r="BI123" i="2"/>
  <c r="BF123" i="2"/>
  <c r="BK123" i="2"/>
  <c r="BI129" i="2"/>
  <c r="BG129" i="2"/>
  <c r="BK129" i="2"/>
  <c r="BI38" i="2"/>
  <c r="BG38" i="2"/>
  <c r="BG87" i="2"/>
  <c r="BI87" i="2"/>
  <c r="BH87" i="2"/>
  <c r="BK87" i="2"/>
  <c r="BK39" i="2"/>
  <c r="BG39" i="2"/>
  <c r="BH39" i="2"/>
  <c r="BG1232" i="2"/>
  <c r="BF1232" i="2"/>
  <c r="BI1186" i="2"/>
  <c r="BG1186" i="2"/>
  <c r="BG877" i="2"/>
  <c r="BI877" i="2"/>
  <c r="BH877" i="2"/>
  <c r="BF877" i="2"/>
  <c r="BG976" i="2"/>
  <c r="BF976" i="2"/>
  <c r="BH976" i="2"/>
  <c r="BI976" i="2"/>
  <c r="BF678" i="2"/>
  <c r="BI678" i="2"/>
  <c r="BG678" i="2"/>
  <c r="BH678" i="2"/>
  <c r="BK678" i="2"/>
  <c r="BH772" i="2"/>
  <c r="BI772" i="2"/>
  <c r="BF772" i="2"/>
  <c r="BK772" i="2"/>
  <c r="BH697" i="2"/>
  <c r="BI697" i="2"/>
  <c r="BG697" i="2"/>
  <c r="BH619" i="2"/>
  <c r="BI619" i="2"/>
  <c r="BF619" i="2"/>
  <c r="BH517" i="2"/>
  <c r="BI517" i="2"/>
  <c r="BG517" i="2"/>
  <c r="BF517" i="2"/>
  <c r="BK517" i="2"/>
  <c r="BH476" i="2"/>
  <c r="BI476" i="2"/>
  <c r="BG476" i="2"/>
  <c r="BF476" i="2"/>
  <c r="BK476" i="2"/>
  <c r="BI458" i="2"/>
  <c r="BH458" i="2"/>
  <c r="BG458" i="2"/>
  <c r="BK458" i="2"/>
  <c r="BG380" i="2"/>
  <c r="BH380" i="2"/>
  <c r="BF380" i="2"/>
  <c r="BK380" i="2"/>
  <c r="BH237" i="2"/>
  <c r="BK237" i="2"/>
  <c r="BG21" i="2"/>
  <c r="BH21" i="2"/>
  <c r="BF21" i="2"/>
  <c r="BK21" i="2"/>
  <c r="BI33" i="2"/>
  <c r="BF33" i="2"/>
  <c r="BK33" i="2"/>
  <c r="BF1147" i="2"/>
  <c r="BI1147" i="2"/>
  <c r="BH1147" i="2"/>
  <c r="BG1147" i="2"/>
  <c r="BK1147" i="2"/>
  <c r="BI1114" i="2"/>
  <c r="BG1114" i="2"/>
  <c r="BH1114" i="2"/>
  <c r="BF1114" i="2"/>
  <c r="BK1114" i="2"/>
  <c r="BF1097" i="2"/>
  <c r="BH1097" i="2"/>
  <c r="BI1065" i="2"/>
  <c r="BG1065" i="2"/>
  <c r="BF1065" i="2"/>
  <c r="BK1065" i="2"/>
  <c r="BH1037" i="2"/>
  <c r="BI1037" i="2"/>
  <c r="BG1037" i="2"/>
  <c r="BF1037" i="2"/>
  <c r="BK1037" i="2"/>
  <c r="BI1017" i="2"/>
  <c r="BH1017" i="2"/>
  <c r="BG1017" i="2"/>
  <c r="BF1017" i="2"/>
  <c r="BK1017" i="2"/>
  <c r="BK963" i="2"/>
  <c r="BK947" i="2"/>
  <c r="BG933" i="2"/>
  <c r="BI933" i="2"/>
  <c r="BF933" i="2"/>
  <c r="BK933" i="2"/>
  <c r="BH916" i="2"/>
  <c r="BG916" i="2"/>
  <c r="BI916" i="2"/>
  <c r="BF916" i="2"/>
  <c r="BK916" i="2"/>
  <c r="BI894" i="2"/>
  <c r="BG894" i="2"/>
  <c r="BH894" i="2"/>
  <c r="BK894" i="2"/>
  <c r="BI865" i="2"/>
  <c r="BH865" i="2"/>
  <c r="BG865" i="2"/>
  <c r="BF865" i="2"/>
  <c r="BK865" i="2"/>
  <c r="BI851" i="2"/>
  <c r="BG851" i="2"/>
  <c r="BF851" i="2"/>
  <c r="BK851" i="2"/>
  <c r="BH839" i="2"/>
  <c r="BK839" i="2"/>
  <c r="BK792" i="2"/>
  <c r="BF758" i="2"/>
  <c r="BI758" i="2"/>
  <c r="BH758" i="2"/>
  <c r="BG758" i="2"/>
  <c r="BK758" i="2"/>
  <c r="BK746" i="2"/>
  <c r="BH734" i="2"/>
  <c r="BI734" i="2"/>
  <c r="BF734" i="2"/>
  <c r="BK734" i="2"/>
  <c r="BF720" i="2"/>
  <c r="BH720" i="2"/>
  <c r="BG720" i="2"/>
  <c r="BI720" i="2"/>
  <c r="BK720" i="2"/>
  <c r="BK690" i="2"/>
  <c r="BH690" i="2"/>
  <c r="BG690" i="2"/>
  <c r="BI690" i="2"/>
  <c r="BI665" i="2"/>
  <c r="BH665" i="2"/>
  <c r="BG665" i="2"/>
  <c r="BK665" i="2"/>
  <c r="BH638" i="2"/>
  <c r="BI638" i="2"/>
  <c r="BG638" i="2"/>
  <c r="BK638" i="2"/>
  <c r="BI624" i="2"/>
  <c r="BG624" i="2"/>
  <c r="BH624" i="2"/>
  <c r="BF624" i="2"/>
  <c r="BK624" i="2"/>
  <c r="BG598" i="2"/>
  <c r="BI598" i="2"/>
  <c r="BH598" i="2"/>
  <c r="BF598" i="2"/>
  <c r="BK598" i="2"/>
  <c r="BH483" i="2"/>
  <c r="BI483" i="2"/>
  <c r="BF483" i="2"/>
  <c r="BK483" i="2"/>
  <c r="BG436" i="2"/>
  <c r="BH436" i="2"/>
  <c r="BI436" i="2"/>
  <c r="BF436" i="2"/>
  <c r="BK436" i="2"/>
  <c r="BF416" i="2"/>
  <c r="BG416" i="2"/>
  <c r="BH416" i="2"/>
  <c r="BK416" i="2"/>
  <c r="BH376" i="2"/>
  <c r="BI376" i="2"/>
  <c r="BG376" i="2"/>
  <c r="BK376" i="2"/>
  <c r="BI352" i="2"/>
  <c r="BH352" i="2"/>
  <c r="BG352" i="2"/>
  <c r="BK352" i="2"/>
  <c r="BF336" i="2"/>
  <c r="BH336" i="2"/>
  <c r="BG336" i="2"/>
  <c r="BI336" i="2"/>
  <c r="BK336" i="2"/>
  <c r="BI324" i="2"/>
  <c r="BK324" i="2"/>
  <c r="BF312" i="2"/>
  <c r="BI312" i="2"/>
  <c r="BG312" i="2"/>
  <c r="BH312" i="2"/>
  <c r="BK312" i="2"/>
  <c r="BG288" i="2"/>
  <c r="BI288" i="2"/>
  <c r="BH288" i="2"/>
  <c r="BK288" i="2"/>
  <c r="BF269" i="2"/>
  <c r="BH269" i="2"/>
  <c r="BI269" i="2"/>
  <c r="BG269" i="2"/>
  <c r="BK269" i="2"/>
  <c r="BI257" i="2"/>
  <c r="BG257" i="2"/>
  <c r="BF257" i="2"/>
  <c r="BK257" i="2"/>
  <c r="BG245" i="2"/>
  <c r="BI245" i="2"/>
  <c r="BF245" i="2"/>
  <c r="BH245" i="2"/>
  <c r="BK245" i="2"/>
  <c r="BI226" i="2"/>
  <c r="BH226" i="2"/>
  <c r="BK226" i="2"/>
  <c r="BH195" i="2"/>
  <c r="BK195" i="2"/>
  <c r="BK182" i="2"/>
  <c r="BI170" i="2"/>
  <c r="BH170" i="2"/>
  <c r="BG170" i="2"/>
  <c r="BK170" i="2"/>
  <c r="BK144" i="2"/>
  <c r="BF111" i="2"/>
  <c r="BH111" i="2"/>
  <c r="BG111" i="2"/>
  <c r="BK111" i="2"/>
  <c r="BI99" i="2"/>
  <c r="BF99" i="2"/>
  <c r="BH53" i="2"/>
  <c r="BK53" i="2"/>
  <c r="BH1244" i="2"/>
  <c r="BI1244" i="2"/>
  <c r="BH1196" i="2"/>
  <c r="BI1196" i="2"/>
  <c r="BF1196" i="2"/>
  <c r="BI1230" i="2"/>
  <c r="BG1230" i="2"/>
  <c r="BF1230" i="2"/>
  <c r="BK1230" i="2"/>
  <c r="BH1223" i="2"/>
  <c r="BI1223" i="2"/>
  <c r="BH1206" i="2"/>
  <c r="BI1206" i="2"/>
  <c r="BG1206" i="2"/>
  <c r="BK1206" i="2"/>
  <c r="BI1024" i="2"/>
  <c r="BG1024" i="2"/>
  <c r="BF1024" i="2"/>
  <c r="BI1193" i="2"/>
  <c r="BH1193" i="2"/>
  <c r="BI1210" i="2"/>
  <c r="BF1210" i="2"/>
  <c r="BK1210" i="2"/>
  <c r="BG908" i="2"/>
  <c r="BF908" i="2"/>
  <c r="BI908" i="2"/>
  <c r="BK908" i="2"/>
  <c r="BH1140" i="2"/>
  <c r="BG1140" i="2"/>
  <c r="BI1140" i="2"/>
  <c r="BF1140" i="2"/>
  <c r="BK1140" i="2"/>
  <c r="BH1002" i="2"/>
  <c r="BI1002" i="2"/>
  <c r="BG1002" i="2"/>
  <c r="BF1002" i="2"/>
  <c r="BK1002" i="2"/>
  <c r="BH979" i="2"/>
  <c r="BI979" i="2"/>
  <c r="BF979" i="2"/>
  <c r="BH886" i="2"/>
  <c r="BG886" i="2"/>
  <c r="BF886" i="2"/>
  <c r="BI886" i="2"/>
  <c r="BI1150" i="2"/>
  <c r="BF1150" i="2"/>
  <c r="BK1150" i="2"/>
  <c r="BI1112" i="2"/>
  <c r="BF1112" i="2"/>
  <c r="BG1112" i="2"/>
  <c r="BK1112" i="2"/>
  <c r="BG968" i="2"/>
  <c r="BH968" i="2"/>
  <c r="BI968" i="2"/>
  <c r="BH802" i="2"/>
  <c r="BI802" i="2"/>
  <c r="BG802" i="2"/>
  <c r="BK802" i="2"/>
  <c r="BI974" i="2"/>
  <c r="BG974" i="2"/>
  <c r="BF974" i="2"/>
  <c r="BK974" i="2"/>
  <c r="BI817" i="2"/>
  <c r="BF817" i="2"/>
  <c r="BK817" i="2"/>
  <c r="BK699" i="2"/>
  <c r="BI521" i="2"/>
  <c r="BH521" i="2"/>
  <c r="BG521" i="2"/>
  <c r="BF521" i="2"/>
  <c r="BK521" i="2"/>
  <c r="BI501" i="2"/>
  <c r="BH501" i="2"/>
  <c r="BF501" i="2"/>
  <c r="BK501" i="2"/>
  <c r="BG474" i="2"/>
  <c r="BH474" i="2"/>
  <c r="BF474" i="2"/>
  <c r="BI474" i="2"/>
  <c r="BK474" i="2"/>
  <c r="BI460" i="2"/>
  <c r="BH460" i="2"/>
  <c r="BG460" i="2"/>
  <c r="BF460" i="2"/>
  <c r="BK460" i="2"/>
  <c r="BG155" i="2"/>
  <c r="BH155" i="2"/>
  <c r="BF155" i="2"/>
  <c r="BI155" i="2"/>
  <c r="BK155" i="2"/>
  <c r="BG434" i="2"/>
  <c r="BF434" i="2"/>
  <c r="BI434" i="2"/>
  <c r="BK434" i="2"/>
  <c r="BH365" i="2"/>
  <c r="BK365" i="2"/>
  <c r="BH281" i="2"/>
  <c r="BG281" i="2"/>
  <c r="BF281" i="2"/>
  <c r="BK281" i="2"/>
  <c r="BH88" i="2"/>
  <c r="BH14" i="2"/>
  <c r="BI14" i="2"/>
  <c r="BG14" i="2"/>
  <c r="BK14" i="2"/>
  <c r="BH11" i="2"/>
  <c r="BF11" i="2"/>
  <c r="BK11" i="2"/>
  <c r="BG1178" i="2"/>
  <c r="BF1178" i="2"/>
  <c r="BI1178" i="2"/>
  <c r="BH890" i="2"/>
  <c r="BG890" i="2"/>
  <c r="BF890" i="2"/>
  <c r="BI890" i="2"/>
  <c r="BK890" i="2"/>
  <c r="BI1124" i="2"/>
  <c r="BG1124" i="2"/>
  <c r="BF1148" i="2"/>
  <c r="BH1148" i="2"/>
  <c r="BG1148" i="2"/>
  <c r="BK1148" i="2"/>
  <c r="BI1138" i="2"/>
  <c r="BF1138" i="2"/>
  <c r="BG1138" i="2"/>
  <c r="BK1138" i="2"/>
  <c r="BH1040" i="2"/>
  <c r="BI1040" i="2"/>
  <c r="BF1040" i="2"/>
  <c r="BK1040" i="2"/>
  <c r="BI551" i="2"/>
  <c r="BG551" i="2"/>
  <c r="BF551" i="2"/>
  <c r="BK551" i="2"/>
  <c r="BK463" i="2"/>
  <c r="BI463" i="2"/>
  <c r="BF463" i="2"/>
  <c r="BH66" i="2"/>
  <c r="BI66" i="2"/>
  <c r="BG66" i="2"/>
  <c r="BF66" i="2"/>
  <c r="BK66" i="2"/>
  <c r="BI115" i="2"/>
  <c r="BF115" i="2"/>
  <c r="BG115" i="2"/>
  <c r="BK115" i="2"/>
  <c r="BK81" i="2"/>
  <c r="BH7" i="2"/>
  <c r="BI7" i="2"/>
  <c r="BF7" i="2"/>
  <c r="BK7" i="2"/>
  <c r="BI1183" i="2"/>
  <c r="BG1183" i="2"/>
  <c r="BI1229" i="2"/>
  <c r="BG1229" i="2"/>
  <c r="BF1229" i="2"/>
  <c r="BK1229" i="2"/>
  <c r="BG1236" i="2"/>
  <c r="BI1236" i="2"/>
  <c r="BH1236" i="2"/>
  <c r="BF1236" i="2"/>
  <c r="BH1205" i="2"/>
  <c r="BF1205" i="2"/>
  <c r="BK1205" i="2"/>
  <c r="BH1023" i="2"/>
  <c r="BG1023" i="2"/>
  <c r="BI1023" i="2"/>
  <c r="BF1023" i="2"/>
  <c r="BI1191" i="2"/>
  <c r="BH1191" i="2"/>
  <c r="BF1153" i="2"/>
  <c r="BG1153" i="2"/>
  <c r="BH1153" i="2"/>
  <c r="BK1153" i="2"/>
  <c r="BH1203" i="2"/>
  <c r="BG1203" i="2"/>
  <c r="BF1203" i="2"/>
  <c r="BI1203" i="2"/>
  <c r="BG907" i="2"/>
  <c r="BI907" i="2"/>
  <c r="BH907" i="2"/>
  <c r="BF907" i="2"/>
  <c r="BK907" i="2"/>
  <c r="BI1137" i="2"/>
  <c r="BH1137" i="2"/>
  <c r="BG1137" i="2"/>
  <c r="BF1137" i="2"/>
  <c r="BK1137" i="2"/>
  <c r="BK1001" i="2"/>
  <c r="BG1001" i="2"/>
  <c r="BF977" i="2"/>
  <c r="BG977" i="2"/>
  <c r="BH977" i="2"/>
  <c r="BK872" i="2"/>
  <c r="BH1149" i="2"/>
  <c r="BI1149" i="2"/>
  <c r="BG1149" i="2"/>
  <c r="BK1149" i="2"/>
  <c r="BI1110" i="2"/>
  <c r="BG1110" i="2"/>
  <c r="BH1110" i="2"/>
  <c r="BF1110" i="2"/>
  <c r="BK1110" i="2"/>
  <c r="BH964" i="2"/>
  <c r="BI679" i="2"/>
  <c r="BF679" i="2"/>
  <c r="BK679" i="2"/>
  <c r="BG1145" i="2"/>
  <c r="BH1145" i="2"/>
  <c r="BF1145" i="2"/>
  <c r="BI1145" i="2"/>
  <c r="BK1145" i="2"/>
  <c r="BF984" i="2"/>
  <c r="BI984" i="2"/>
  <c r="BK984" i="2"/>
  <c r="BH803" i="2"/>
  <c r="BI803" i="2"/>
  <c r="BG803" i="2"/>
  <c r="BF803" i="2"/>
  <c r="BH773" i="2"/>
  <c r="BI773" i="2"/>
  <c r="BG773" i="2"/>
  <c r="BK773" i="2"/>
  <c r="BG1241" i="2"/>
  <c r="BI1241" i="2"/>
  <c r="BH1241" i="2"/>
  <c r="BF1241" i="2"/>
  <c r="BG816" i="2"/>
  <c r="BI816" i="2"/>
  <c r="BH816" i="2"/>
  <c r="BF816" i="2"/>
  <c r="BK816" i="2"/>
  <c r="BG698" i="2"/>
  <c r="BI698" i="2"/>
  <c r="BH698" i="2"/>
  <c r="BF698" i="2"/>
  <c r="BG646" i="2"/>
  <c r="BH646" i="2"/>
  <c r="BF646" i="2"/>
  <c r="BI646" i="2"/>
  <c r="BK646" i="2"/>
  <c r="BG561" i="2"/>
  <c r="BI561" i="2"/>
  <c r="BH561" i="2"/>
  <c r="BF561" i="2"/>
  <c r="BH885" i="2"/>
  <c r="BI885" i="2"/>
  <c r="BG885" i="2"/>
  <c r="BF885" i="2"/>
  <c r="BK885" i="2"/>
  <c r="BI628" i="2"/>
  <c r="BG628" i="2"/>
  <c r="BF628" i="2"/>
  <c r="BK628" i="2"/>
  <c r="BH579" i="2"/>
  <c r="BG579" i="2"/>
  <c r="BI579" i="2"/>
  <c r="BF579" i="2"/>
  <c r="BK579" i="2"/>
  <c r="BI545" i="2"/>
  <c r="BH545" i="2"/>
  <c r="BI500" i="2"/>
  <c r="BH500" i="2"/>
  <c r="BK500" i="2"/>
  <c r="BI518" i="2"/>
  <c r="BH518" i="2"/>
  <c r="BK518" i="2"/>
  <c r="BG489" i="2"/>
  <c r="BI489" i="2"/>
  <c r="BH489" i="2"/>
  <c r="BK489" i="2"/>
  <c r="BH472" i="2"/>
  <c r="BI472" i="2"/>
  <c r="BG472" i="2"/>
  <c r="BF472" i="2"/>
  <c r="BH464" i="2"/>
  <c r="BI464" i="2"/>
  <c r="BG464" i="2"/>
  <c r="BF464" i="2"/>
  <c r="BK464" i="2"/>
  <c r="BH459" i="2"/>
  <c r="BI459" i="2"/>
  <c r="BG459" i="2"/>
  <c r="BK459" i="2"/>
  <c r="BI156" i="2"/>
  <c r="BH156" i="2"/>
  <c r="BF156" i="2"/>
  <c r="BK156" i="2"/>
  <c r="BK154" i="2"/>
  <c r="BI382" i="2"/>
  <c r="BG382" i="2"/>
  <c r="BI429" i="2"/>
  <c r="BG429" i="2"/>
  <c r="BF429" i="2"/>
  <c r="BK429" i="2"/>
  <c r="BH274" i="2"/>
  <c r="BG274" i="2"/>
  <c r="BI274" i="2"/>
  <c r="BF274" i="2"/>
  <c r="BK274" i="2"/>
  <c r="BK362" i="2"/>
  <c r="BI122" i="2"/>
  <c r="BF122" i="2"/>
  <c r="BK122" i="2"/>
  <c r="BH395" i="2"/>
  <c r="BI395" i="2"/>
  <c r="BG395" i="2"/>
  <c r="BF395" i="2"/>
  <c r="BK395" i="2"/>
  <c r="BK121" i="2"/>
  <c r="BG86" i="2"/>
  <c r="BH86" i="2"/>
  <c r="BF86" i="2"/>
  <c r="BI86" i="2"/>
  <c r="BH37" i="2"/>
  <c r="BI37" i="2"/>
  <c r="BG37" i="2"/>
  <c r="BF37" i="2"/>
  <c r="BK37" i="2"/>
  <c r="BK80" i="2"/>
  <c r="BI80" i="2"/>
  <c r="BH13" i="2"/>
  <c r="BI13" i="2"/>
  <c r="BG13" i="2"/>
  <c r="BF13" i="2"/>
  <c r="BK13" i="2"/>
  <c r="BF34" i="2"/>
  <c r="BG34" i="2"/>
  <c r="BK34" i="2"/>
  <c r="BK6" i="2"/>
  <c r="BI1199" i="2"/>
  <c r="BG1199" i="2"/>
  <c r="BK1199" i="2"/>
  <c r="BI1179" i="2"/>
  <c r="BF1179" i="2"/>
  <c r="BK1179" i="2"/>
  <c r="BI826" i="2"/>
  <c r="BF826" i="2"/>
  <c r="BK826" i="2"/>
  <c r="BI956" i="2"/>
  <c r="BH956" i="2"/>
  <c r="BI788" i="2"/>
  <c r="BG788" i="2"/>
  <c r="BK884" i="2"/>
  <c r="BF884" i="2"/>
  <c r="BK469" i="2"/>
  <c r="BK26" i="2"/>
  <c r="BI26" i="2"/>
  <c r="BK428" i="2"/>
  <c r="BI120" i="2"/>
  <c r="BF120" i="2"/>
  <c r="BG120" i="2"/>
  <c r="BK120" i="2"/>
  <c r="BI61" i="2"/>
  <c r="BG61" i="2"/>
  <c r="BK61" i="2"/>
  <c r="BI5" i="2"/>
  <c r="BH5" i="2"/>
  <c r="BK5" i="2"/>
  <c r="BK1120" i="2"/>
  <c r="BI1103" i="2"/>
  <c r="BF1103" i="2"/>
  <c r="BK1103" i="2"/>
  <c r="BI1081" i="2"/>
  <c r="BH1081" i="2"/>
  <c r="BK1081" i="2"/>
  <c r="BI1059" i="2"/>
  <c r="BF1059" i="2"/>
  <c r="BI1031" i="2"/>
  <c r="BF1031" i="2"/>
  <c r="BK1031" i="2"/>
  <c r="BH1011" i="2"/>
  <c r="BI1011" i="2"/>
  <c r="BF1011" i="2"/>
  <c r="BK1011" i="2"/>
  <c r="BI957" i="2"/>
  <c r="BG957" i="2"/>
  <c r="BF957" i="2"/>
  <c r="BK957" i="2"/>
  <c r="BK922" i="2"/>
  <c r="BG922" i="2"/>
  <c r="BI902" i="2"/>
  <c r="BF902" i="2"/>
  <c r="BI857" i="2"/>
  <c r="BH857" i="2"/>
  <c r="BF857" i="2"/>
  <c r="BK857" i="2"/>
  <c r="BK833" i="2"/>
  <c r="BG833" i="2"/>
  <c r="BI805" i="2"/>
  <c r="BG805" i="2"/>
  <c r="BI766" i="2"/>
  <c r="BH766" i="2"/>
  <c r="BF766" i="2"/>
  <c r="BK766" i="2"/>
  <c r="BH740" i="2"/>
  <c r="BG740" i="2"/>
  <c r="BF740" i="2"/>
  <c r="BI740" i="2"/>
  <c r="BK740" i="2"/>
  <c r="BI728" i="2"/>
  <c r="BG728" i="2"/>
  <c r="BH728" i="2"/>
  <c r="BK728" i="2"/>
  <c r="BI713" i="2"/>
  <c r="BG713" i="2"/>
  <c r="BF713" i="2"/>
  <c r="BK713" i="2"/>
  <c r="BH701" i="2"/>
  <c r="BI701" i="2"/>
  <c r="BF701" i="2"/>
  <c r="BK701" i="2"/>
  <c r="BI684" i="2"/>
  <c r="BG684" i="2"/>
  <c r="BK684" i="2"/>
  <c r="BI658" i="2"/>
  <c r="BG658" i="2"/>
  <c r="BF658" i="2"/>
  <c r="BK658" i="2"/>
  <c r="BI632" i="2"/>
  <c r="BH632" i="2"/>
  <c r="BK632" i="2"/>
  <c r="BI553" i="2"/>
  <c r="BG553" i="2"/>
  <c r="BF553" i="2"/>
  <c r="BH553" i="2"/>
  <c r="BK553" i="2"/>
  <c r="BH390" i="2"/>
  <c r="BI390" i="2"/>
  <c r="BG390" i="2"/>
  <c r="BF390" i="2"/>
  <c r="BK390" i="2"/>
  <c r="BK358" i="2"/>
  <c r="BI346" i="2"/>
  <c r="BG346" i="2"/>
  <c r="BH346" i="2"/>
  <c r="BK346" i="2"/>
  <c r="BI330" i="2"/>
  <c r="BK330" i="2"/>
  <c r="BI318" i="2"/>
  <c r="BG318" i="2"/>
  <c r="BH318" i="2"/>
  <c r="BK318" i="2"/>
  <c r="BH306" i="2"/>
  <c r="BI306" i="2"/>
  <c r="BK306" i="2"/>
  <c r="BH294" i="2"/>
  <c r="BF294" i="2"/>
  <c r="BG294" i="2"/>
  <c r="BI294" i="2"/>
  <c r="BK294" i="2"/>
  <c r="BH279" i="2"/>
  <c r="BK279" i="2"/>
  <c r="BF263" i="2"/>
  <c r="BI263" i="2"/>
  <c r="BG263" i="2"/>
  <c r="BH263" i="2"/>
  <c r="BK263" i="2"/>
  <c r="BK251" i="2"/>
  <c r="BI239" i="2"/>
  <c r="BH239" i="2"/>
  <c r="BG239" i="2"/>
  <c r="BK239" i="2"/>
  <c r="BI216" i="2"/>
  <c r="BG216" i="2"/>
  <c r="BK216" i="2"/>
  <c r="BI201" i="2"/>
  <c r="BF201" i="2"/>
  <c r="BG201" i="2"/>
  <c r="BK201" i="2"/>
  <c r="BH189" i="2"/>
  <c r="BI189" i="2"/>
  <c r="BG189" i="2"/>
  <c r="BF189" i="2"/>
  <c r="BK189" i="2"/>
  <c r="BI150" i="2"/>
  <c r="BH150" i="2"/>
  <c r="BG150" i="2"/>
  <c r="BK150" i="2"/>
  <c r="BI105" i="2"/>
  <c r="BH105" i="2"/>
  <c r="BK105" i="2"/>
  <c r="BI76" i="2"/>
  <c r="BH76" i="2"/>
  <c r="BF76" i="2"/>
  <c r="BK76" i="2"/>
  <c r="BI883" i="2"/>
  <c r="BG883" i="2"/>
  <c r="BF883" i="2"/>
  <c r="BI1242" i="2"/>
  <c r="BF1242" i="2"/>
  <c r="BG1177" i="2"/>
  <c r="BI1177" i="2"/>
  <c r="BF1177" i="2"/>
  <c r="BI1142" i="2"/>
  <c r="BH1142" i="2"/>
  <c r="BG1142" i="2"/>
  <c r="BF1142" i="2"/>
  <c r="BG1173" i="2"/>
  <c r="BI1173" i="2"/>
  <c r="BH1173" i="2"/>
  <c r="BF1173" i="2"/>
  <c r="BF603" i="2"/>
  <c r="BI603" i="2"/>
  <c r="BG603" i="2"/>
  <c r="BI1086" i="2"/>
  <c r="BG1086" i="2"/>
  <c r="BK1086" i="2"/>
  <c r="BG1201" i="2"/>
  <c r="BI1201" i="2"/>
  <c r="BF1201" i="2"/>
  <c r="BF1079" i="2"/>
  <c r="BI1079" i="2"/>
  <c r="BG1079" i="2"/>
  <c r="BK1079" i="2"/>
  <c r="BH995" i="2"/>
  <c r="BI995" i="2"/>
  <c r="BG995" i="2"/>
  <c r="BF995" i="2"/>
  <c r="BK995" i="2"/>
  <c r="BH965" i="2"/>
  <c r="BG965" i="2"/>
  <c r="BI965" i="2"/>
  <c r="BK965" i="2"/>
  <c r="BI1165" i="2"/>
  <c r="BK1165" i="2"/>
  <c r="BG1165" i="2"/>
  <c r="BF1165" i="2"/>
  <c r="BI1127" i="2"/>
  <c r="BG1127" i="2"/>
  <c r="BK1127" i="2"/>
  <c r="BH1082" i="2"/>
  <c r="BG1082" i="2"/>
  <c r="BI1082" i="2"/>
  <c r="BK1082" i="2"/>
  <c r="BI1005" i="2"/>
  <c r="BH1005" i="2"/>
  <c r="BK1005" i="2"/>
  <c r="BI875" i="2"/>
  <c r="BG875" i="2"/>
  <c r="BI931" i="2"/>
  <c r="BG931" i="2"/>
  <c r="BF931" i="2"/>
  <c r="BK931" i="2"/>
  <c r="BI1084" i="2"/>
  <c r="BF1084" i="2"/>
  <c r="BK1084" i="2"/>
  <c r="BH954" i="2"/>
  <c r="BG954" i="2"/>
  <c r="BI954" i="2"/>
  <c r="BK954" i="2"/>
  <c r="BI780" i="2"/>
  <c r="BG780" i="2"/>
  <c r="BK780" i="2"/>
  <c r="BI650" i="2"/>
  <c r="BG650" i="2"/>
  <c r="BI927" i="2"/>
  <c r="BG927" i="2"/>
  <c r="BF927" i="2"/>
  <c r="BK927" i="2"/>
  <c r="BH771" i="2"/>
  <c r="BG771" i="2"/>
  <c r="BF771" i="2"/>
  <c r="BI771" i="2"/>
  <c r="BK771" i="2"/>
  <c r="BI585" i="2"/>
  <c r="BH585" i="2"/>
  <c r="BF585" i="2"/>
  <c r="BG585" i="2"/>
  <c r="BK585" i="2"/>
  <c r="BI538" i="2"/>
  <c r="BH538" i="2"/>
  <c r="BK538" i="2"/>
  <c r="BF671" i="2"/>
  <c r="BG671" i="2"/>
  <c r="BK671" i="2"/>
  <c r="BI612" i="2"/>
  <c r="BF612" i="2"/>
  <c r="BK612" i="2"/>
  <c r="BH566" i="2"/>
  <c r="BG566" i="2"/>
  <c r="BI566" i="2"/>
  <c r="BK566" i="2"/>
  <c r="BI536" i="2"/>
  <c r="BG536" i="2"/>
  <c r="BF536" i="2"/>
  <c r="BI509" i="2"/>
  <c r="BG509" i="2"/>
  <c r="BF509" i="2"/>
  <c r="BK509" i="2"/>
  <c r="BG570" i="2"/>
  <c r="BH570" i="2"/>
  <c r="BI570" i="2"/>
  <c r="BK570" i="2"/>
  <c r="BG503" i="2"/>
  <c r="BI503" i="2"/>
  <c r="BF503" i="2"/>
  <c r="BK503" i="2"/>
  <c r="BI494" i="2"/>
  <c r="BG494" i="2"/>
  <c r="BF494" i="2"/>
  <c r="BK494" i="2"/>
  <c r="BH471" i="2"/>
  <c r="BG471" i="2"/>
  <c r="BI471" i="2"/>
  <c r="BK471" i="2"/>
  <c r="BI445" i="2"/>
  <c r="BG445" i="2"/>
  <c r="BF445" i="2"/>
  <c r="BK445" i="2"/>
  <c r="BI454" i="2"/>
  <c r="BG454" i="2"/>
  <c r="BF454" i="2"/>
  <c r="BK454" i="2"/>
  <c r="BH404" i="2"/>
  <c r="BG404" i="2"/>
  <c r="BI404" i="2"/>
  <c r="BK404" i="2"/>
  <c r="BG435" i="2"/>
  <c r="BI435" i="2"/>
  <c r="BF435" i="2"/>
  <c r="BK435" i="2"/>
  <c r="BI341" i="2"/>
  <c r="BG341" i="2"/>
  <c r="BF341" i="2"/>
  <c r="BK341" i="2"/>
  <c r="BI412" i="2"/>
  <c r="BH412" i="2"/>
  <c r="BG412" i="2"/>
  <c r="BF412" i="2"/>
  <c r="BK412" i="2"/>
  <c r="BK125" i="2"/>
  <c r="BI406" i="2"/>
  <c r="BG406" i="2"/>
  <c r="BF406" i="2"/>
  <c r="BK406" i="2"/>
  <c r="BI236" i="2"/>
  <c r="BH236" i="2"/>
  <c r="BF236" i="2"/>
  <c r="BK236" i="2"/>
  <c r="BF71" i="2"/>
  <c r="BH71" i="2"/>
  <c r="BG71" i="2"/>
  <c r="BK71" i="2"/>
  <c r="BI224" i="2"/>
  <c r="BH224" i="2"/>
  <c r="BG224" i="2"/>
  <c r="BF224" i="2"/>
  <c r="BK224" i="2"/>
  <c r="BI114" i="2"/>
  <c r="BH114" i="2"/>
  <c r="BF114" i="2"/>
  <c r="BK114" i="2"/>
  <c r="BI65" i="2"/>
  <c r="BG65" i="2"/>
  <c r="BF65" i="2"/>
  <c r="BK65" i="2"/>
  <c r="BH4" i="2"/>
  <c r="BG4" i="2"/>
  <c r="BF4" i="2"/>
  <c r="BI4" i="2"/>
  <c r="BK4" i="2"/>
  <c r="BH45" i="2"/>
  <c r="BI45" i="2"/>
  <c r="BG45" i="2"/>
  <c r="BK45" i="2"/>
  <c r="BG83" i="2"/>
  <c r="BI83" i="2"/>
  <c r="BH83" i="2"/>
  <c r="BF83" i="2"/>
  <c r="BK83" i="2"/>
  <c r="BI29" i="2"/>
  <c r="BH29" i="2"/>
  <c r="BK29" i="2"/>
  <c r="BF945" i="2"/>
  <c r="BI837" i="2"/>
  <c r="BH732" i="2"/>
  <c r="BI596" i="2"/>
  <c r="BI322" i="2"/>
  <c r="BG142" i="2"/>
  <c r="BI1107" i="2"/>
  <c r="BI1049" i="2"/>
  <c r="BH1034" i="2"/>
  <c r="BG1014" i="2"/>
  <c r="BH848" i="2"/>
  <c r="BH755" i="2"/>
  <c r="BF743" i="2"/>
  <c r="BH704" i="2"/>
  <c r="BF687" i="2"/>
  <c r="BG621" i="2"/>
  <c r="BG409" i="2"/>
  <c r="BH321" i="2"/>
  <c r="BI266" i="2"/>
  <c r="BF254" i="2"/>
  <c r="BI1048" i="2"/>
  <c r="BG1033" i="2"/>
  <c r="BH847" i="2"/>
  <c r="BI660" i="2"/>
  <c r="BK856" i="2"/>
  <c r="BI844" i="2"/>
  <c r="BF765" i="2"/>
  <c r="BH657" i="2"/>
  <c r="BI552" i="2"/>
  <c r="BG293" i="2"/>
  <c r="BI231" i="2"/>
  <c r="BI175" i="2"/>
  <c r="BF149" i="2"/>
  <c r="BI75" i="2"/>
  <c r="BH1235" i="2"/>
  <c r="BG1029" i="2"/>
  <c r="BK900" i="2"/>
  <c r="BI682" i="2"/>
  <c r="BH590" i="2"/>
  <c r="BH249" i="2"/>
  <c r="BH199" i="2"/>
  <c r="BI148" i="2"/>
  <c r="BI1100" i="2"/>
  <c r="BI1028" i="2"/>
  <c r="BK854" i="2"/>
  <c r="BI822" i="2"/>
  <c r="BH272" i="2"/>
  <c r="BI213" i="2"/>
  <c r="BI1222" i="2"/>
  <c r="BK1188" i="2"/>
  <c r="BG1116" i="2"/>
  <c r="BG1054" i="2"/>
  <c r="BH853" i="2"/>
  <c r="BH841" i="2"/>
  <c r="BG813" i="2"/>
  <c r="BH736" i="2"/>
  <c r="BG680" i="2"/>
  <c r="BG643" i="2"/>
  <c r="BG354" i="2"/>
  <c r="BF339" i="2"/>
  <c r="BK314" i="2"/>
  <c r="BI302" i="2"/>
  <c r="BF290" i="2"/>
  <c r="BH184" i="2"/>
  <c r="BG55" i="2"/>
  <c r="BG1219" i="2"/>
  <c r="BG1176" i="2"/>
  <c r="BG1077" i="2"/>
  <c r="BI860" i="2"/>
  <c r="BH930" i="2"/>
  <c r="BK770" i="2"/>
  <c r="BF583" i="2"/>
  <c r="BF537" i="2"/>
  <c r="BH499" i="2"/>
  <c r="BF493" i="2"/>
  <c r="BK413" i="2"/>
  <c r="BI407" i="2"/>
  <c r="BF116" i="2"/>
  <c r="BG396" i="2"/>
  <c r="BF62" i="2"/>
  <c r="BK133" i="2"/>
  <c r="BH58" i="2"/>
  <c r="BG28" i="2"/>
  <c r="BK1218" i="2"/>
  <c r="BF1198" i="2"/>
  <c r="BG929" i="2"/>
  <c r="BH929" i="2"/>
  <c r="BG531" i="2"/>
  <c r="BK610" i="2"/>
  <c r="BK63" i="2"/>
  <c r="BH35" i="2"/>
  <c r="BI57" i="2"/>
  <c r="BH1212" i="2"/>
  <c r="BF1212" i="2"/>
  <c r="BH1123" i="2"/>
  <c r="BI530" i="2"/>
  <c r="BH505" i="2"/>
  <c r="BH532" i="2"/>
  <c r="BF386" i="2"/>
  <c r="BG386" i="2"/>
  <c r="BI372" i="2"/>
  <c r="BH372" i="2"/>
  <c r="BF372" i="2"/>
  <c r="BG1053" i="2"/>
  <c r="BI917" i="2"/>
  <c r="BH917" i="2"/>
  <c r="BG895" i="2"/>
  <c r="BI895" i="2"/>
  <c r="BK666" i="2"/>
  <c r="BH289" i="2"/>
  <c r="BF289" i="2"/>
  <c r="BI54" i="2"/>
  <c r="BG54" i="2"/>
  <c r="BH54" i="2"/>
  <c r="BI818" i="2"/>
  <c r="BG1096" i="2"/>
  <c r="BH1096" i="2"/>
  <c r="BF1096" i="2"/>
  <c r="BI982" i="2"/>
  <c r="BH982" i="2"/>
  <c r="BG982" i="2"/>
  <c r="BF982" i="2"/>
  <c r="BG1108" i="2"/>
  <c r="BI193" i="2"/>
  <c r="BK621" i="2"/>
  <c r="BG687" i="2"/>
  <c r="BI621" i="2"/>
  <c r="BI847" i="2"/>
  <c r="BK742" i="2"/>
  <c r="BK844" i="2"/>
  <c r="BG149" i="2"/>
  <c r="BI590" i="2"/>
  <c r="BF605" i="2"/>
  <c r="BF387" i="2"/>
  <c r="BI272" i="2"/>
  <c r="BH1116" i="2"/>
  <c r="BH813" i="2"/>
  <c r="BF722" i="2"/>
  <c r="BH643" i="2"/>
  <c r="BG339" i="2"/>
  <c r="BK302" i="2"/>
  <c r="BF172" i="2"/>
  <c r="BF98" i="2"/>
  <c r="BI98" i="2"/>
  <c r="BG505" i="2"/>
  <c r="BI532" i="2"/>
  <c r="BI990" i="2"/>
  <c r="BF948" i="2"/>
  <c r="BG313" i="2"/>
  <c r="BH898" i="2"/>
  <c r="BF898" i="2"/>
  <c r="BH971" i="2"/>
  <c r="BF971" i="2"/>
  <c r="BI723" i="2"/>
  <c r="BG723" i="2"/>
  <c r="BF723" i="2"/>
  <c r="BH525" i="2"/>
  <c r="BI525" i="2"/>
  <c r="BG525" i="2"/>
  <c r="BH89" i="2"/>
  <c r="BF89" i="2"/>
  <c r="BK89" i="2"/>
  <c r="BH637" i="2"/>
  <c r="BG637" i="2"/>
  <c r="BF637" i="2"/>
  <c r="BF143" i="2"/>
  <c r="BI143" i="2"/>
  <c r="BH143" i="2"/>
  <c r="BG143" i="2"/>
  <c r="BH23" i="2"/>
  <c r="BG945" i="2"/>
  <c r="BH837" i="2"/>
  <c r="BG310" i="2"/>
  <c r="BI267" i="2"/>
  <c r="BG193" i="2"/>
  <c r="BI142" i="2"/>
  <c r="BI109" i="2"/>
  <c r="BG1093" i="2"/>
  <c r="BI1014" i="2"/>
  <c r="BH960" i="2"/>
  <c r="BG836" i="2"/>
  <c r="BH743" i="2"/>
  <c r="BI687" i="2"/>
  <c r="BH621" i="2"/>
  <c r="BF595" i="2"/>
  <c r="BI409" i="2"/>
  <c r="BF368" i="2"/>
  <c r="BG309" i="2"/>
  <c r="BH254" i="2"/>
  <c r="BG242" i="2"/>
  <c r="BH179" i="2"/>
  <c r="BF50" i="2"/>
  <c r="BI1105" i="2"/>
  <c r="BF1092" i="2"/>
  <c r="BH1013" i="2"/>
  <c r="BH959" i="2"/>
  <c r="BF943" i="2"/>
  <c r="BH835" i="2"/>
  <c r="BG807" i="2"/>
  <c r="BH715" i="2"/>
  <c r="BF634" i="2"/>
  <c r="BG479" i="2"/>
  <c r="BG332" i="2"/>
  <c r="BF284" i="2"/>
  <c r="BF218" i="2"/>
  <c r="BF166" i="2"/>
  <c r="BH1080" i="2"/>
  <c r="BH953" i="2"/>
  <c r="BG940" i="2"/>
  <c r="BF921" i="2"/>
  <c r="BG765" i="2"/>
  <c r="BI712" i="2"/>
  <c r="BK657" i="2"/>
  <c r="BF424" i="2"/>
  <c r="BG329" i="2"/>
  <c r="BI293" i="2"/>
  <c r="BH278" i="2"/>
  <c r="BG215" i="2"/>
  <c r="BH149" i="2"/>
  <c r="BI1240" i="2"/>
  <c r="BF1118" i="2"/>
  <c r="BH1074" i="2"/>
  <c r="BI1029" i="2"/>
  <c r="BF1008" i="2"/>
  <c r="BF952" i="2"/>
  <c r="BI855" i="2"/>
  <c r="BF843" i="2"/>
  <c r="BI764" i="2"/>
  <c r="BF750" i="2"/>
  <c r="BF540" i="2"/>
  <c r="BI328" i="2"/>
  <c r="BF316" i="2"/>
  <c r="BI292" i="2"/>
  <c r="BG187" i="2"/>
  <c r="BK148" i="2"/>
  <c r="BH136" i="2"/>
  <c r="BF1190" i="2"/>
  <c r="BH951" i="2"/>
  <c r="BG938" i="2"/>
  <c r="BI725" i="2"/>
  <c r="BH605" i="2"/>
  <c r="BI1116" i="2"/>
  <c r="BH991" i="2"/>
  <c r="BI841" i="2"/>
  <c r="BF794" i="2"/>
  <c r="BG722" i="2"/>
  <c r="BI643" i="2"/>
  <c r="BI354" i="2"/>
  <c r="BH339" i="2"/>
  <c r="BI290" i="2"/>
  <c r="BG228" i="2"/>
  <c r="BG172" i="2"/>
  <c r="BI55" i="2"/>
  <c r="BK499" i="2"/>
  <c r="BK407" i="2"/>
  <c r="BK58" i="2"/>
  <c r="BI1198" i="2"/>
  <c r="BH831" i="2"/>
  <c r="BF831" i="2"/>
  <c r="BF564" i="2"/>
  <c r="BG564" i="2"/>
  <c r="BH564" i="2"/>
  <c r="BH653" i="2"/>
  <c r="BF653" i="2"/>
  <c r="BI169" i="2"/>
  <c r="BG169" i="2"/>
  <c r="BH169" i="2"/>
  <c r="BF169" i="2"/>
  <c r="BG732" i="2"/>
  <c r="BF310" i="2"/>
  <c r="BF193" i="2"/>
  <c r="BH142" i="2"/>
  <c r="BF1093" i="2"/>
  <c r="BI1034" i="2"/>
  <c r="BH409" i="2"/>
  <c r="BI321" i="2"/>
  <c r="BG254" i="2"/>
  <c r="BK108" i="2"/>
  <c r="BI1033" i="2"/>
  <c r="BF278" i="2"/>
  <c r="BH231" i="2"/>
  <c r="BI1235" i="2"/>
  <c r="BH1029" i="2"/>
  <c r="BI249" i="2"/>
  <c r="BI199" i="2"/>
  <c r="BG136" i="2"/>
  <c r="BH945" i="2"/>
  <c r="BH790" i="2"/>
  <c r="BI732" i="2"/>
  <c r="BF1108" i="2"/>
  <c r="BF1050" i="2"/>
  <c r="BG914" i="2"/>
  <c r="BF717" i="2"/>
  <c r="BG481" i="2"/>
  <c r="BF350" i="2"/>
  <c r="BH310" i="2"/>
  <c r="BF243" i="2"/>
  <c r="BH343" i="2"/>
  <c r="BH1093" i="2"/>
  <c r="BF731" i="2"/>
  <c r="BF242" i="2"/>
  <c r="BF167" i="2"/>
  <c r="BH50" i="2"/>
  <c r="BG1092" i="2"/>
  <c r="BG943" i="2"/>
  <c r="BH807" i="2"/>
  <c r="BF768" i="2"/>
  <c r="BG218" i="2"/>
  <c r="BG166" i="2"/>
  <c r="BF1119" i="2"/>
  <c r="BH940" i="2"/>
  <c r="BG921" i="2"/>
  <c r="BH765" i="2"/>
  <c r="BF751" i="2"/>
  <c r="BF700" i="2"/>
  <c r="BF607" i="2"/>
  <c r="BH329" i="2"/>
  <c r="BG278" i="2"/>
  <c r="BF262" i="2"/>
  <c r="BH215" i="2"/>
  <c r="BF137" i="2"/>
  <c r="BG1118" i="2"/>
  <c r="BG952" i="2"/>
  <c r="BG843" i="2"/>
  <c r="BG750" i="2"/>
  <c r="BG540" i="2"/>
  <c r="BF356" i="2"/>
  <c r="BG277" i="2"/>
  <c r="BK249" i="2"/>
  <c r="BG230" i="2"/>
  <c r="BK199" i="2"/>
  <c r="BI136" i="2"/>
  <c r="BG1190" i="2"/>
  <c r="BH938" i="2"/>
  <c r="BI605" i="2"/>
  <c r="BF589" i="2"/>
  <c r="BG387" i="2"/>
  <c r="BG315" i="2"/>
  <c r="BF248" i="2"/>
  <c r="BG991" i="2"/>
  <c r="BG794" i="2"/>
  <c r="BH722" i="2"/>
  <c r="BK354" i="2"/>
  <c r="BF326" i="2"/>
  <c r="BF271" i="2"/>
  <c r="BI228" i="2"/>
  <c r="BF209" i="2"/>
  <c r="BH172" i="2"/>
  <c r="BI1176" i="2"/>
  <c r="BI994" i="2"/>
  <c r="BI912" i="2"/>
  <c r="BK583" i="2"/>
  <c r="BH670" i="2"/>
  <c r="BH1021" i="2"/>
  <c r="BF769" i="2"/>
  <c r="BG769" i="2"/>
  <c r="BK535" i="2"/>
  <c r="BF1180" i="2"/>
  <c r="BF1072" i="2"/>
  <c r="BH1072" i="2"/>
  <c r="BF1027" i="2"/>
  <c r="BK495" i="2"/>
  <c r="BI399" i="2"/>
  <c r="BG399" i="2"/>
  <c r="BF399" i="2"/>
  <c r="BI398" i="2"/>
  <c r="BG398" i="2"/>
  <c r="BF398" i="2"/>
  <c r="BF130" i="2"/>
  <c r="BF20" i="2"/>
  <c r="BG948" i="2"/>
  <c r="BI840" i="2"/>
  <c r="BG840" i="2"/>
  <c r="BF840" i="2"/>
  <c r="BG171" i="2"/>
  <c r="BI171" i="2"/>
  <c r="BG381" i="2"/>
  <c r="BI381" i="2"/>
  <c r="BI375" i="2"/>
  <c r="BH375" i="2"/>
  <c r="BG375" i="2"/>
  <c r="BG164" i="2"/>
  <c r="BH164" i="2"/>
  <c r="BF164" i="2"/>
  <c r="BK1064" i="2"/>
  <c r="BK311" i="2"/>
  <c r="BK409" i="2"/>
  <c r="BH1118" i="2"/>
  <c r="BK1029" i="2"/>
  <c r="BH1190" i="2"/>
  <c r="BG693" i="2"/>
  <c r="BG589" i="2"/>
  <c r="BH794" i="2"/>
  <c r="BI722" i="2"/>
  <c r="BK339" i="2"/>
  <c r="BH228" i="2"/>
  <c r="BG209" i="2"/>
  <c r="BI172" i="2"/>
  <c r="BF508" i="2"/>
  <c r="BI508" i="2"/>
  <c r="BH470" i="2"/>
  <c r="BF470" i="2"/>
  <c r="BF442" i="2"/>
  <c r="BH442" i="2"/>
  <c r="BG211" i="2"/>
  <c r="BF211" i="2"/>
  <c r="BI35" i="2"/>
  <c r="BG35" i="2"/>
  <c r="BH57" i="2"/>
  <c r="BG57" i="2"/>
  <c r="BF1053" i="2"/>
  <c r="BI1053" i="2"/>
  <c r="BH948" i="2"/>
  <c r="BF1157" i="2"/>
  <c r="BH1157" i="2"/>
  <c r="BK982" i="2"/>
  <c r="BH167" i="2"/>
  <c r="BI768" i="2"/>
  <c r="BG1119" i="2"/>
  <c r="BG1058" i="2"/>
  <c r="BH921" i="2"/>
  <c r="BG751" i="2"/>
  <c r="BH700" i="2"/>
  <c r="BH607" i="2"/>
  <c r="BH424" i="2"/>
  <c r="BG317" i="2"/>
  <c r="BG262" i="2"/>
  <c r="BG200" i="2"/>
  <c r="BG137" i="2"/>
  <c r="BI1118" i="2"/>
  <c r="BF1057" i="2"/>
  <c r="BK1008" i="2"/>
  <c r="BG694" i="2"/>
  <c r="BF629" i="2"/>
  <c r="BI356" i="2"/>
  <c r="BH316" i="2"/>
  <c r="BH277" i="2"/>
  <c r="BF187" i="2"/>
  <c r="BG103" i="2"/>
  <c r="BI1190" i="2"/>
  <c r="BG763" i="2"/>
  <c r="BH693" i="2"/>
  <c r="BH589" i="2"/>
  <c r="BI387" i="2"/>
  <c r="BF303" i="2"/>
  <c r="BI248" i="2"/>
  <c r="BH186" i="2"/>
  <c r="BF73" i="2"/>
  <c r="BG626" i="2"/>
  <c r="BH271" i="2"/>
  <c r="BH209" i="2"/>
  <c r="BH669" i="2"/>
  <c r="BF669" i="2"/>
  <c r="BI610" i="2"/>
  <c r="BF610" i="2"/>
  <c r="BF401" i="2"/>
  <c r="BG401" i="2"/>
  <c r="BI63" i="2"/>
  <c r="BG63" i="2"/>
  <c r="BF63" i="2"/>
  <c r="BG1123" i="2"/>
  <c r="BI1123" i="2"/>
  <c r="BG530" i="2"/>
  <c r="BF530" i="2"/>
  <c r="BH437" i="2"/>
  <c r="BF437" i="2"/>
  <c r="BG437" i="2"/>
  <c r="BI1231" i="2"/>
  <c r="BG1231" i="2"/>
  <c r="BF1231" i="2"/>
  <c r="BI1070" i="2"/>
  <c r="BH1070" i="2"/>
  <c r="BG1070" i="2"/>
  <c r="BF1070" i="2"/>
  <c r="BH723" i="2"/>
  <c r="BK962" i="2"/>
  <c r="BK432" i="2"/>
  <c r="BK256" i="2"/>
  <c r="BH1108" i="2"/>
  <c r="BF849" i="2"/>
  <c r="BI1050" i="2"/>
  <c r="BF754" i="2"/>
  <c r="BH1119" i="2"/>
  <c r="BH1058" i="2"/>
  <c r="BH751" i="2"/>
  <c r="BH317" i="2"/>
  <c r="BK278" i="2"/>
  <c r="BH262" i="2"/>
  <c r="BK215" i="2"/>
  <c r="BH200" i="2"/>
  <c r="BH1057" i="2"/>
  <c r="BH694" i="2"/>
  <c r="BH629" i="2"/>
  <c r="BH103" i="2"/>
  <c r="BF749" i="2"/>
  <c r="BI693" i="2"/>
  <c r="BI186" i="2"/>
  <c r="BG73" i="2"/>
  <c r="BH626" i="2"/>
  <c r="BF1078" i="2"/>
  <c r="BG874" i="2"/>
  <c r="BH1239" i="2"/>
  <c r="BG993" i="2"/>
  <c r="BG831" i="2"/>
  <c r="BF929" i="2"/>
  <c r="BH859" i="2"/>
  <c r="BF859" i="2"/>
  <c r="BI392" i="2"/>
  <c r="BH392" i="2"/>
  <c r="BF392" i="2"/>
  <c r="BH275" i="2"/>
  <c r="BF275" i="2"/>
  <c r="BI221" i="2"/>
  <c r="BH221" i="2"/>
  <c r="BH19" i="2"/>
  <c r="BG19" i="2"/>
  <c r="BI1212" i="2"/>
  <c r="BI1180" i="2"/>
  <c r="BH873" i="2"/>
  <c r="BG873" i="2"/>
  <c r="BF873" i="2"/>
  <c r="BG372" i="2"/>
  <c r="BF1098" i="2"/>
  <c r="BK917" i="2"/>
  <c r="BF417" i="2"/>
  <c r="BH417" i="2"/>
  <c r="BG289" i="2"/>
  <c r="BF246" i="2"/>
  <c r="BH246" i="2"/>
  <c r="BI1204" i="2"/>
  <c r="BG1204" i="2"/>
  <c r="BF1204" i="2"/>
  <c r="BG898" i="2"/>
  <c r="BK723" i="2"/>
  <c r="BF525" i="2"/>
  <c r="BG502" i="2"/>
  <c r="BF502" i="2"/>
  <c r="BI25" i="2"/>
  <c r="BG25" i="2"/>
  <c r="BF25" i="2"/>
  <c r="BG89" i="2"/>
  <c r="BH1051" i="2"/>
  <c r="BG1051" i="2"/>
  <c r="BF1051" i="2"/>
  <c r="BI745" i="2"/>
  <c r="BG745" i="2"/>
  <c r="BF745" i="2"/>
  <c r="BI215" i="2"/>
  <c r="BF844" i="2"/>
  <c r="BH763" i="2"/>
  <c r="BF748" i="2"/>
  <c r="BG1078" i="2"/>
  <c r="BH874" i="2"/>
  <c r="BF770" i="2"/>
  <c r="BF133" i="2"/>
  <c r="BG1239" i="2"/>
  <c r="BG906" i="2"/>
  <c r="BI906" i="2"/>
  <c r="BF1163" i="2"/>
  <c r="BG1163" i="2"/>
  <c r="BI993" i="2"/>
  <c r="BI831" i="2"/>
  <c r="BF903" i="2"/>
  <c r="BI490" i="2"/>
  <c r="BG490" i="2"/>
  <c r="BH36" i="2"/>
  <c r="BF36" i="2"/>
  <c r="BI36" i="2"/>
  <c r="BF1187" i="2"/>
  <c r="BH1187" i="2"/>
  <c r="BF313" i="2"/>
  <c r="BH313" i="2"/>
  <c r="BI1209" i="2"/>
  <c r="BH1209" i="2"/>
  <c r="BF1209" i="2"/>
  <c r="BG1209" i="2"/>
  <c r="BI898" i="2"/>
  <c r="BG971" i="2"/>
  <c r="BI986" i="2"/>
  <c r="BH986" i="2"/>
  <c r="BG986" i="2"/>
  <c r="BI814" i="2"/>
  <c r="BG814" i="2"/>
  <c r="BF814" i="2"/>
  <c r="BG653" i="2"/>
  <c r="BI164" i="2"/>
  <c r="BI89" i="2"/>
  <c r="BI946" i="2"/>
  <c r="BG946" i="2"/>
  <c r="BF946" i="2"/>
  <c r="BI311" i="2"/>
  <c r="BH311" i="2"/>
  <c r="BG311" i="2"/>
  <c r="BF311" i="2"/>
  <c r="BF299" i="2"/>
  <c r="BI299" i="2"/>
  <c r="BH299" i="2"/>
  <c r="BG299" i="2"/>
  <c r="BF961" i="2"/>
  <c r="BI892" i="2"/>
  <c r="BG220" i="2"/>
  <c r="BF108" i="2"/>
  <c r="BF887" i="2"/>
  <c r="BF191" i="2"/>
  <c r="BF107" i="2"/>
  <c r="BF657" i="2"/>
  <c r="BF939" i="2"/>
  <c r="BG900" i="2"/>
  <c r="BK629" i="2"/>
  <c r="BH448" i="2"/>
  <c r="BK448" i="2"/>
  <c r="BI174" i="2"/>
  <c r="BF148" i="2"/>
  <c r="BG854" i="2"/>
  <c r="BH749" i="2"/>
  <c r="BF654" i="2"/>
  <c r="BI73" i="2"/>
  <c r="BF1222" i="2"/>
  <c r="BF1158" i="2"/>
  <c r="BG1188" i="2"/>
  <c r="BF950" i="2"/>
  <c r="BF896" i="2"/>
  <c r="BG748" i="2"/>
  <c r="BH692" i="2"/>
  <c r="BG314" i="2"/>
  <c r="BI1025" i="2"/>
  <c r="BI1164" i="2"/>
  <c r="BH1078" i="2"/>
  <c r="BI874" i="2"/>
  <c r="BG770" i="2"/>
  <c r="BF413" i="2"/>
  <c r="BG133" i="2"/>
  <c r="BG1218" i="2"/>
  <c r="BG903" i="2"/>
  <c r="BF778" i="2"/>
  <c r="BG98" i="2"/>
  <c r="BH20" i="2"/>
  <c r="BG20" i="2"/>
  <c r="BG990" i="2"/>
  <c r="BH990" i="2"/>
  <c r="BH338" i="2"/>
  <c r="BI971" i="2"/>
  <c r="BK525" i="2"/>
  <c r="BI653" i="2"/>
  <c r="BI486" i="2"/>
  <c r="BI466" i="2"/>
  <c r="BG466" i="2"/>
  <c r="BF466" i="2"/>
  <c r="BF381" i="2"/>
  <c r="BF124" i="2"/>
  <c r="BF375" i="2"/>
  <c r="BG1109" i="2"/>
  <c r="BF932" i="2"/>
  <c r="BI932" i="2"/>
  <c r="BH932" i="2"/>
  <c r="BH432" i="2"/>
  <c r="BG432" i="2"/>
  <c r="BF432" i="2"/>
  <c r="BF256" i="2"/>
  <c r="BH256" i="2"/>
  <c r="BG256" i="2"/>
  <c r="BI1121" i="2"/>
  <c r="BH1121" i="2"/>
  <c r="BG1121" i="2"/>
  <c r="BF1121" i="2"/>
  <c r="BF854" i="2"/>
  <c r="BH73" i="2"/>
  <c r="BF1094" i="2"/>
  <c r="BI1035" i="2"/>
  <c r="BH849" i="2"/>
  <c r="BG286" i="2"/>
  <c r="BI1062" i="2"/>
  <c r="BF888" i="2"/>
  <c r="BF704" i="2"/>
  <c r="BF635" i="2"/>
  <c r="BF430" i="2"/>
  <c r="BF204" i="2"/>
  <c r="BH754" i="2"/>
  <c r="BF742" i="2"/>
  <c r="BG361" i="2"/>
  <c r="BG856" i="2"/>
  <c r="BG1094" i="2"/>
  <c r="BG961" i="2"/>
  <c r="BI849" i="2"/>
  <c r="BG596" i="2"/>
  <c r="BF322" i="2"/>
  <c r="BI286" i="2"/>
  <c r="BH220" i="2"/>
  <c r="BG1107" i="2"/>
  <c r="BG1049" i="2"/>
  <c r="BG888" i="2"/>
  <c r="BF848" i="2"/>
  <c r="BF755" i="2"/>
  <c r="BG635" i="2"/>
  <c r="BG430" i="2"/>
  <c r="BF266" i="2"/>
  <c r="BG204" i="2"/>
  <c r="BF192" i="2"/>
  <c r="BG108" i="2"/>
  <c r="BH1130" i="2"/>
  <c r="BF1048" i="2"/>
  <c r="BG887" i="2"/>
  <c r="BI742" i="2"/>
  <c r="BF660" i="2"/>
  <c r="BF361" i="2"/>
  <c r="BG191" i="2"/>
  <c r="BG107" i="2"/>
  <c r="BG1102" i="2"/>
  <c r="BG1045" i="2"/>
  <c r="BF1030" i="2"/>
  <c r="BH856" i="2"/>
  <c r="BG844" i="2"/>
  <c r="BF824" i="2"/>
  <c r="BH739" i="2"/>
  <c r="BF552" i="2"/>
  <c r="BF357" i="2"/>
  <c r="BH305" i="2"/>
  <c r="BH250" i="2"/>
  <c r="BH188" i="2"/>
  <c r="BF175" i="2"/>
  <c r="BF75" i="2"/>
  <c r="BG1044" i="2"/>
  <c r="BH900" i="2"/>
  <c r="BG796" i="2"/>
  <c r="BG682" i="2"/>
  <c r="BI606" i="2"/>
  <c r="BG590" i="2"/>
  <c r="BH304" i="2"/>
  <c r="BG74" i="2"/>
  <c r="BG1043" i="2"/>
  <c r="BF1028" i="2"/>
  <c r="BH897" i="2"/>
  <c r="BH854" i="2"/>
  <c r="BF842" i="2"/>
  <c r="BF822" i="2"/>
  <c r="BH681" i="2"/>
  <c r="BG654" i="2"/>
  <c r="BG343" i="2"/>
  <c r="BF213" i="2"/>
  <c r="BG1222" i="2"/>
  <c r="BH1158" i="2"/>
  <c r="BH1188" i="2"/>
  <c r="BG896" i="2"/>
  <c r="BK760" i="2"/>
  <c r="BF736" i="2"/>
  <c r="BI692" i="2"/>
  <c r="BF588" i="2"/>
  <c r="BI314" i="2"/>
  <c r="BF302" i="2"/>
  <c r="BG878" i="2"/>
  <c r="BI1078" i="2"/>
  <c r="BF998" i="2"/>
  <c r="BI770" i="2"/>
  <c r="BF673" i="2"/>
  <c r="BG508" i="2"/>
  <c r="BF562" i="2"/>
  <c r="BF444" i="2"/>
  <c r="BG413" i="2"/>
  <c r="BF276" i="2"/>
  <c r="BI68" i="2"/>
  <c r="BI62" i="2"/>
  <c r="BH133" i="2"/>
  <c r="BH1218" i="2"/>
  <c r="BI1069" i="2"/>
  <c r="BH1076" i="2"/>
  <c r="BK993" i="2"/>
  <c r="BK831" i="2"/>
  <c r="BH903" i="2"/>
  <c r="BH778" i="2"/>
  <c r="BG642" i="2"/>
  <c r="BG610" i="2"/>
  <c r="BI564" i="2"/>
  <c r="BH211" i="2"/>
  <c r="BH98" i="2"/>
  <c r="BG1167" i="2"/>
  <c r="BI1167" i="2"/>
  <c r="BF762" i="2"/>
  <c r="BG762" i="2"/>
  <c r="BH398" i="2"/>
  <c r="BI153" i="2"/>
  <c r="BI212" i="2"/>
  <c r="BH212" i="2"/>
  <c r="BF212" i="2"/>
  <c r="BG16" i="2"/>
  <c r="BI16" i="2"/>
  <c r="BH840" i="2"/>
  <c r="BI735" i="2"/>
  <c r="BH735" i="2"/>
  <c r="BG735" i="2"/>
  <c r="BF735" i="2"/>
  <c r="BG666" i="2"/>
  <c r="BI338" i="2"/>
  <c r="BK289" i="2"/>
  <c r="BK54" i="2"/>
  <c r="BG1151" i="2"/>
  <c r="BI1151" i="2"/>
  <c r="BK898" i="2"/>
  <c r="BK1070" i="2"/>
  <c r="BK370" i="2"/>
  <c r="BF370" i="2"/>
  <c r="BI225" i="2"/>
  <c r="BH225" i="2"/>
  <c r="BG225" i="2"/>
  <c r="BH381" i="2"/>
  <c r="BG124" i="2"/>
  <c r="BK164" i="2"/>
  <c r="BI1096" i="2"/>
  <c r="BG1036" i="2"/>
  <c r="BI1036" i="2"/>
  <c r="BF1016" i="2"/>
  <c r="BI962" i="2"/>
  <c r="BH962" i="2"/>
  <c r="BI893" i="2"/>
  <c r="BG893" i="2"/>
  <c r="BF893" i="2"/>
  <c r="BI838" i="2"/>
  <c r="BH838" i="2"/>
  <c r="BG838" i="2"/>
  <c r="BI637" i="2"/>
  <c r="BI244" i="2"/>
  <c r="BG244" i="2"/>
  <c r="BH244" i="2"/>
  <c r="BF244" i="2"/>
  <c r="BH1094" i="2"/>
  <c r="BH961" i="2"/>
  <c r="BG837" i="2"/>
  <c r="BF596" i="2"/>
  <c r="BG322" i="2"/>
  <c r="BF1107" i="2"/>
  <c r="BF1049" i="2"/>
  <c r="BF1034" i="2"/>
  <c r="BI888" i="2"/>
  <c r="BG848" i="2"/>
  <c r="BG755" i="2"/>
  <c r="BG704" i="2"/>
  <c r="BI635" i="2"/>
  <c r="BH430" i="2"/>
  <c r="BF321" i="2"/>
  <c r="BG266" i="2"/>
  <c r="BH204" i="2"/>
  <c r="BG192" i="2"/>
  <c r="BH108" i="2"/>
  <c r="BF79" i="2"/>
  <c r="BG1048" i="2"/>
  <c r="BF1033" i="2"/>
  <c r="BI887" i="2"/>
  <c r="BF847" i="2"/>
  <c r="BG742" i="2"/>
  <c r="BG660" i="2"/>
  <c r="BF555" i="2"/>
  <c r="BH361" i="2"/>
  <c r="BF296" i="2"/>
  <c r="BG241" i="2"/>
  <c r="BI191" i="2"/>
  <c r="BI107" i="2"/>
  <c r="BH1102" i="2"/>
  <c r="BH1045" i="2"/>
  <c r="BG1030" i="2"/>
  <c r="BG824" i="2"/>
  <c r="BG552" i="2"/>
  <c r="BG357" i="2"/>
  <c r="BF293" i="2"/>
  <c r="BF231" i="2"/>
  <c r="BG175" i="2"/>
  <c r="BG75" i="2"/>
  <c r="BF1235" i="2"/>
  <c r="BH748" i="2"/>
  <c r="BH682" i="2"/>
  <c r="BF249" i="2"/>
  <c r="BF199" i="2"/>
  <c r="BG148" i="2"/>
  <c r="BG1100" i="2"/>
  <c r="BH1043" i="2"/>
  <c r="BG1028" i="2"/>
  <c r="BG842" i="2"/>
  <c r="BG822" i="2"/>
  <c r="BF272" i="2"/>
  <c r="BG1158" i="2"/>
  <c r="BF1077" i="2"/>
  <c r="BF860" i="2"/>
  <c r="BK874" i="2"/>
  <c r="BH508" i="2"/>
  <c r="BH562" i="2"/>
  <c r="BF499" i="2"/>
  <c r="BH413" i="2"/>
  <c r="BG276" i="2"/>
  <c r="BG407" i="2"/>
  <c r="BI1218" i="2"/>
  <c r="BI989" i="2"/>
  <c r="BG989" i="2"/>
  <c r="BI778" i="2"/>
  <c r="BF642" i="2"/>
  <c r="BF531" i="2"/>
  <c r="BG470" i="2"/>
  <c r="BG442" i="2"/>
  <c r="BK211" i="2"/>
  <c r="BI662" i="2"/>
  <c r="BH662" i="2"/>
  <c r="BF662" i="2"/>
  <c r="BI609" i="2"/>
  <c r="BG609" i="2"/>
  <c r="BF609" i="2"/>
  <c r="BF505" i="2"/>
  <c r="BI130" i="2"/>
  <c r="BG130" i="2"/>
  <c r="BI1115" i="2"/>
  <c r="BH1115" i="2"/>
  <c r="BF1115" i="2"/>
  <c r="BG1098" i="2"/>
  <c r="BH1098" i="2"/>
  <c r="BI600" i="2"/>
  <c r="BH600" i="2"/>
  <c r="BG600" i="2"/>
  <c r="BG1157" i="2"/>
  <c r="BF648" i="2"/>
  <c r="BH648" i="2"/>
  <c r="BK653" i="2"/>
  <c r="BH502" i="2"/>
  <c r="BH25" i="2"/>
  <c r="BH124" i="2"/>
  <c r="BK375" i="2"/>
  <c r="BI42" i="2"/>
  <c r="BK1109" i="2"/>
  <c r="BF1109" i="2"/>
  <c r="BF864" i="2"/>
  <c r="BI864" i="2"/>
  <c r="BH864" i="2"/>
  <c r="BK637" i="2"/>
  <c r="BK169" i="2"/>
  <c r="BK143" i="2"/>
  <c r="BI1057" i="2"/>
  <c r="BH654" i="2"/>
  <c r="BK355" i="2"/>
  <c r="BH213" i="2"/>
  <c r="BH896" i="2"/>
  <c r="BF853" i="2"/>
  <c r="BG302" i="2"/>
  <c r="BG764" i="2"/>
  <c r="BH1100" i="2"/>
  <c r="BI1043" i="2"/>
  <c r="BG853" i="2"/>
  <c r="BI813" i="2"/>
  <c r="BH247" i="2"/>
  <c r="BI247" i="2"/>
  <c r="BG184" i="2"/>
  <c r="BH134" i="2"/>
  <c r="BF1219" i="2"/>
  <c r="BI998" i="2"/>
  <c r="BG860" i="2"/>
  <c r="BG930" i="2"/>
  <c r="BF779" i="2"/>
  <c r="BI649" i="2"/>
  <c r="BI562" i="2"/>
  <c r="BI276" i="2"/>
  <c r="BH407" i="2"/>
  <c r="BH116" i="2"/>
  <c r="BF58" i="2"/>
  <c r="BF28" i="2"/>
  <c r="BH1168" i="2"/>
  <c r="BK903" i="2"/>
  <c r="BI642" i="2"/>
  <c r="BI859" i="2"/>
  <c r="BI769" i="2"/>
  <c r="BF582" i="2"/>
  <c r="BG669" i="2"/>
  <c r="BH610" i="2"/>
  <c r="BI470" i="2"/>
  <c r="BI442" i="2"/>
  <c r="BG275" i="2"/>
  <c r="BH401" i="2"/>
  <c r="BH63" i="2"/>
  <c r="BI211" i="2"/>
  <c r="BF35" i="2"/>
  <c r="BF57" i="2"/>
  <c r="BF19" i="2"/>
  <c r="BI988" i="2"/>
  <c r="BG988" i="2"/>
  <c r="BF988" i="2"/>
  <c r="BF1123" i="2"/>
  <c r="BI1072" i="2"/>
  <c r="BI873" i="2"/>
  <c r="BG832" i="2"/>
  <c r="BI832" i="2"/>
  <c r="BH530" i="2"/>
  <c r="BF532" i="2"/>
  <c r="BH399" i="2"/>
  <c r="BF1018" i="2"/>
  <c r="BI666" i="2"/>
  <c r="BG573" i="2"/>
  <c r="BI573" i="2"/>
  <c r="BH171" i="2"/>
  <c r="BH1204" i="2"/>
  <c r="BI1157" i="2"/>
  <c r="BF879" i="2"/>
  <c r="BG547" i="2"/>
  <c r="BI502" i="2"/>
  <c r="BK25" i="2"/>
  <c r="BK381" i="2"/>
  <c r="BK124" i="2"/>
  <c r="BF40" i="2"/>
  <c r="BI40" i="2"/>
  <c r="BH40" i="2"/>
  <c r="BK1096" i="2"/>
  <c r="BF1064" i="2"/>
  <c r="BK295" i="2"/>
  <c r="BI1122" i="2"/>
  <c r="BF1122" i="2"/>
  <c r="BG967" i="2"/>
  <c r="BF967" i="2"/>
  <c r="BH232" i="2"/>
  <c r="BG232" i="2"/>
  <c r="BI1211" i="2"/>
  <c r="BF1211" i="2"/>
  <c r="BF1162" i="2"/>
  <c r="BI1162" i="2"/>
  <c r="BG820" i="2"/>
  <c r="BF820" i="2"/>
  <c r="BH367" i="2"/>
  <c r="BG367" i="2"/>
  <c r="BF367" i="2"/>
  <c r="BH640" i="2"/>
  <c r="BG640" i="2"/>
  <c r="BH584" i="2"/>
  <c r="BG584" i="2"/>
  <c r="BF812" i="2"/>
  <c r="BH1224" i="2"/>
  <c r="BG791" i="2"/>
  <c r="BF733" i="2"/>
  <c r="BI597" i="2"/>
  <c r="BF323" i="2"/>
  <c r="BI222" i="2"/>
  <c r="BF181" i="2"/>
  <c r="BK550" i="2"/>
  <c r="BH516" i="2"/>
  <c r="BF441" i="2"/>
  <c r="BK453" i="2"/>
  <c r="BH451" i="2"/>
  <c r="BI235" i="2"/>
  <c r="BF235" i="2"/>
  <c r="BK3" i="2"/>
  <c r="BH997" i="2"/>
  <c r="BG969" i="2"/>
  <c r="BH641" i="2"/>
  <c r="BH549" i="2"/>
  <c r="BF510" i="2"/>
  <c r="BG614" i="2"/>
  <c r="BI511" i="2"/>
  <c r="BF440" i="2"/>
  <c r="BG59" i="2"/>
  <c r="BG1047" i="2"/>
  <c r="BG871" i="2"/>
  <c r="BI347" i="2"/>
  <c r="BI280" i="2"/>
  <c r="BK240" i="2"/>
  <c r="BI217" i="2"/>
  <c r="BF139" i="2"/>
  <c r="BG882" i="2"/>
  <c r="BK718" i="2"/>
  <c r="BK613" i="2"/>
  <c r="BI541" i="2"/>
  <c r="BG507" i="2"/>
  <c r="BH411" i="2"/>
  <c r="BF411" i="2"/>
  <c r="BH238" i="2"/>
  <c r="BF238" i="2"/>
  <c r="BG30" i="2"/>
  <c r="BF30" i="2"/>
  <c r="BK981" i="2"/>
  <c r="BI1159" i="2"/>
  <c r="BH569" i="2"/>
  <c r="BF569" i="2"/>
  <c r="BF608" i="2"/>
  <c r="BH608" i="2"/>
  <c r="BI492" i="2"/>
  <c r="BH492" i="2"/>
  <c r="BG1097" i="2"/>
  <c r="BI707" i="2"/>
  <c r="BG707" i="2"/>
  <c r="BK559" i="2"/>
  <c r="BG1154" i="2"/>
  <c r="BF1154" i="2"/>
  <c r="BK1154" i="2"/>
  <c r="BH1154" i="2"/>
  <c r="BG567" i="2"/>
  <c r="BF567" i="2"/>
  <c r="BK567" i="2"/>
  <c r="BH567" i="2"/>
  <c r="BI791" i="2"/>
  <c r="BK706" i="2"/>
  <c r="BG181" i="2"/>
  <c r="BF973" i="2"/>
  <c r="BI787" i="2"/>
  <c r="BI516" i="2"/>
  <c r="BK462" i="2"/>
  <c r="BI451" i="2"/>
  <c r="BI997" i="2"/>
  <c r="BK969" i="2"/>
  <c r="BI641" i="2"/>
  <c r="BK549" i="2"/>
  <c r="BH510" i="2"/>
  <c r="BF614" i="2"/>
  <c r="BF162" i="2"/>
  <c r="BG440" i="2"/>
  <c r="BF59" i="2"/>
  <c r="BH1104" i="2"/>
  <c r="BF1091" i="2"/>
  <c r="BI1047" i="2"/>
  <c r="BG139" i="2"/>
  <c r="BH882" i="2"/>
  <c r="BI507" i="2"/>
  <c r="BG1216" i="2"/>
  <c r="BF1006" i="2"/>
  <c r="BI1006" i="2"/>
  <c r="BI185" i="2"/>
  <c r="BG185" i="2"/>
  <c r="BF185" i="2"/>
  <c r="BI300" i="2"/>
  <c r="BH300" i="2"/>
  <c r="BF300" i="2"/>
  <c r="BI985" i="2"/>
  <c r="BG985" i="2"/>
  <c r="BF985" i="2"/>
  <c r="BI774" i="2"/>
  <c r="BF774" i="2"/>
  <c r="BK774" i="2"/>
  <c r="BG774" i="2"/>
  <c r="BK441" i="2"/>
  <c r="BK997" i="2"/>
  <c r="BK641" i="2"/>
  <c r="BI510" i="2"/>
  <c r="BH614" i="2"/>
  <c r="BI440" i="2"/>
  <c r="BI59" i="2"/>
  <c r="BH871" i="2"/>
  <c r="BG834" i="2"/>
  <c r="BG806" i="2"/>
  <c r="BI702" i="2"/>
  <c r="BG702" i="2"/>
  <c r="BF319" i="2"/>
  <c r="BK217" i="2"/>
  <c r="BI139" i="2"/>
  <c r="BI882" i="2"/>
  <c r="BI675" i="2"/>
  <c r="BG675" i="2"/>
  <c r="BF675" i="2"/>
  <c r="BH615" i="2"/>
  <c r="BF615" i="2"/>
  <c r="BK541" i="2"/>
  <c r="BH899" i="2"/>
  <c r="BF821" i="2"/>
  <c r="BI821" i="2"/>
  <c r="BG504" i="2"/>
  <c r="BK15" i="2"/>
  <c r="BF1106" i="2"/>
  <c r="BF129" i="2"/>
  <c r="BH129" i="2"/>
  <c r="BK38" i="2"/>
  <c r="BH38" i="2"/>
  <c r="BF38" i="2"/>
  <c r="BI1097" i="2"/>
  <c r="BF963" i="2"/>
  <c r="BH963" i="2"/>
  <c r="BI963" i="2"/>
  <c r="BI947" i="2"/>
  <c r="BH947" i="2"/>
  <c r="BF947" i="2"/>
  <c r="BI699" i="2"/>
  <c r="BG699" i="2"/>
  <c r="BF699" i="2"/>
  <c r="BH81" i="2"/>
  <c r="BF1185" i="2"/>
  <c r="BG955" i="2"/>
  <c r="BF677" i="2"/>
  <c r="BI799" i="2"/>
  <c r="BF70" i="2"/>
  <c r="BI797" i="2"/>
  <c r="BI1161" i="2"/>
  <c r="BF1090" i="2"/>
  <c r="BK510" i="2"/>
  <c r="BK59" i="2"/>
  <c r="BG31" i="2"/>
  <c r="BH1091" i="2"/>
  <c r="BF806" i="2"/>
  <c r="BK331" i="2"/>
  <c r="BK139" i="2"/>
  <c r="BH966" i="2"/>
  <c r="BF966" i="2"/>
  <c r="BG160" i="2"/>
  <c r="BI1007" i="2"/>
  <c r="BG1007" i="2"/>
  <c r="BI504" i="2"/>
  <c r="BI467" i="2"/>
  <c r="BG467" i="2"/>
  <c r="BH385" i="2"/>
  <c r="BG385" i="2"/>
  <c r="BK152" i="2"/>
  <c r="BH1106" i="2"/>
  <c r="BH800" i="2"/>
  <c r="BG647" i="2"/>
  <c r="BK1097" i="2"/>
  <c r="BI559" i="2"/>
  <c r="BH559" i="2"/>
  <c r="BF559" i="2"/>
  <c r="BH889" i="2"/>
  <c r="BH955" i="2"/>
  <c r="BG677" i="2"/>
  <c r="BG94" i="2"/>
  <c r="BG119" i="2"/>
  <c r="BF1192" i="2"/>
  <c r="BG1090" i="2"/>
  <c r="BG515" i="2"/>
  <c r="BH31" i="2"/>
  <c r="BF1129" i="2"/>
  <c r="BH834" i="2"/>
  <c r="BH280" i="2"/>
  <c r="BF280" i="2"/>
  <c r="BH967" i="2"/>
  <c r="BF232" i="2"/>
  <c r="BH981" i="2"/>
  <c r="BI981" i="2"/>
  <c r="BF1159" i="2"/>
  <c r="BH1159" i="2"/>
  <c r="BK367" i="2"/>
  <c r="BH647" i="2"/>
  <c r="BF640" i="2"/>
  <c r="BG491" i="2"/>
  <c r="BH491" i="2"/>
  <c r="BH1186" i="2"/>
  <c r="BF1186" i="2"/>
  <c r="BF584" i="2"/>
  <c r="BK88" i="2"/>
  <c r="BF880" i="2"/>
  <c r="BF1156" i="2"/>
  <c r="BF639" i="2"/>
  <c r="BF325" i="2"/>
  <c r="BF258" i="2"/>
  <c r="BF183" i="2"/>
  <c r="BG1095" i="2"/>
  <c r="BF980" i="2"/>
  <c r="BF818" i="2"/>
  <c r="BF522" i="2"/>
  <c r="BH486" i="2"/>
  <c r="BG42" i="2"/>
  <c r="BH757" i="2"/>
  <c r="BG415" i="2"/>
  <c r="BH1185" i="2"/>
  <c r="BF829" i="2"/>
  <c r="BF1166" i="2"/>
  <c r="BH677" i="2"/>
  <c r="BF1135" i="2"/>
  <c r="BG973" i="2"/>
  <c r="BF785" i="2"/>
  <c r="BF724" i="2"/>
  <c r="BK163" i="2"/>
  <c r="BF94" i="2"/>
  <c r="BH235" i="2"/>
  <c r="BH119" i="2"/>
  <c r="BH70" i="2"/>
  <c r="BH1192" i="2"/>
  <c r="BF1181" i="2"/>
  <c r="BG1136" i="2"/>
  <c r="BI1136" i="2"/>
  <c r="BK911" i="2"/>
  <c r="BH1090" i="2"/>
  <c r="BI363" i="2"/>
  <c r="BK420" i="2"/>
  <c r="BI31" i="2"/>
  <c r="BF942" i="2"/>
  <c r="BI834" i="2"/>
  <c r="BH806" i="2"/>
  <c r="BG618" i="2"/>
  <c r="BH1122" i="2"/>
  <c r="BG1202" i="2"/>
  <c r="BI1083" i="2"/>
  <c r="BF1083" i="2"/>
  <c r="BI967" i="2"/>
  <c r="BF651" i="2"/>
  <c r="BH574" i="2"/>
  <c r="BF574" i="2"/>
  <c r="BK160" i="2"/>
  <c r="BG411" i="2"/>
  <c r="BG238" i="2"/>
  <c r="BI232" i="2"/>
  <c r="BI30" i="2"/>
  <c r="BG1211" i="2"/>
  <c r="BI820" i="2"/>
  <c r="BI367" i="2"/>
  <c r="BK1106" i="2"/>
  <c r="BK800" i="2"/>
  <c r="BI647" i="2"/>
  <c r="BI640" i="2"/>
  <c r="BF39" i="2"/>
  <c r="BI39" i="2"/>
  <c r="BG839" i="2"/>
  <c r="BI839" i="2"/>
  <c r="BF839" i="2"/>
  <c r="BK811" i="2"/>
  <c r="BI811" i="2"/>
  <c r="BF811" i="2"/>
  <c r="BG811" i="2"/>
  <c r="BI195" i="2"/>
  <c r="BI584" i="2"/>
  <c r="BF384" i="2"/>
  <c r="BH12" i="2"/>
  <c r="BF482" i="2"/>
  <c r="BF828" i="2"/>
  <c r="BI1088" i="2"/>
  <c r="BH1135" i="2"/>
  <c r="BI441" i="2"/>
  <c r="BI513" i="2"/>
  <c r="BH475" i="2"/>
  <c r="BG475" i="2"/>
  <c r="BH94" i="2"/>
  <c r="BI119" i="2"/>
  <c r="BI1192" i="2"/>
  <c r="BH1181" i="2"/>
  <c r="BF515" i="2"/>
  <c r="BG1129" i="2"/>
  <c r="BK834" i="2"/>
  <c r="BK806" i="2"/>
  <c r="BH633" i="2"/>
  <c r="BH618" i="2"/>
  <c r="BI319" i="2"/>
  <c r="BG319" i="2"/>
  <c r="BI1225" i="2"/>
  <c r="BG1122" i="2"/>
  <c r="BH1202" i="2"/>
  <c r="BH651" i="2"/>
  <c r="BI613" i="2"/>
  <c r="BH613" i="2"/>
  <c r="BF613" i="2"/>
  <c r="BH507" i="2"/>
  <c r="BF507" i="2"/>
  <c r="BK232" i="2"/>
  <c r="BF1216" i="2"/>
  <c r="BI1216" i="2"/>
  <c r="BH1211" i="2"/>
  <c r="BG1162" i="2"/>
  <c r="BH820" i="2"/>
  <c r="BK524" i="2"/>
  <c r="BG157" i="2"/>
  <c r="BH157" i="2"/>
  <c r="BI1232" i="2"/>
  <c r="BI792" i="2"/>
  <c r="BF792" i="2"/>
  <c r="BG792" i="2"/>
  <c r="BI746" i="2"/>
  <c r="BH746" i="2"/>
  <c r="BF746" i="2"/>
  <c r="BH257" i="2"/>
  <c r="BI1154" i="2"/>
  <c r="BI567" i="2"/>
  <c r="BK584" i="2"/>
  <c r="BF1160" i="2"/>
  <c r="BF631" i="2"/>
  <c r="BF759" i="2"/>
  <c r="BF691" i="2"/>
  <c r="BH639" i="2"/>
  <c r="BI325" i="2"/>
  <c r="BH258" i="2"/>
  <c r="BF208" i="2"/>
  <c r="BH183" i="2"/>
  <c r="BF112" i="2"/>
  <c r="BG992" i="2"/>
  <c r="BH980" i="2"/>
  <c r="BH522" i="2"/>
  <c r="BG384" i="2"/>
  <c r="BF12" i="2"/>
  <c r="BF1133" i="2"/>
  <c r="BF810" i="2"/>
  <c r="BG664" i="2"/>
  <c r="BG482" i="2"/>
  <c r="BF335" i="2"/>
  <c r="BF268" i="2"/>
  <c r="BF194" i="2"/>
  <c r="BF1197" i="2"/>
  <c r="BI829" i="2"/>
  <c r="BH1166" i="2"/>
  <c r="BG828" i="2"/>
  <c r="BI677" i="2"/>
  <c r="BI1135" i="2"/>
  <c r="BH973" i="2"/>
  <c r="BH785" i="2"/>
  <c r="BH724" i="2"/>
  <c r="BG787" i="2"/>
  <c r="BF696" i="2"/>
  <c r="BF644" i="2"/>
  <c r="BG550" i="2"/>
  <c r="BI421" i="2"/>
  <c r="BK94" i="2"/>
  <c r="BK119" i="2"/>
  <c r="BK70" i="2"/>
  <c r="BI60" i="2"/>
  <c r="BG97" i="2"/>
  <c r="BK1192" i="2"/>
  <c r="BI1181" i="2"/>
  <c r="BF827" i="2"/>
  <c r="BI970" i="2"/>
  <c r="BG652" i="2"/>
  <c r="BF783" i="2"/>
  <c r="BF575" i="2"/>
  <c r="BI515" i="2"/>
  <c r="BG511" i="2"/>
  <c r="BG162" i="2"/>
  <c r="BG446" i="2"/>
  <c r="BG82" i="2"/>
  <c r="BF118" i="2"/>
  <c r="BK2" i="2"/>
  <c r="BH1129" i="2"/>
  <c r="BG942" i="2"/>
  <c r="BF923" i="2"/>
  <c r="BG858" i="2"/>
  <c r="BF858" i="2"/>
  <c r="BF659" i="2"/>
  <c r="BI618" i="2"/>
  <c r="BF295" i="2"/>
  <c r="BK77" i="2"/>
  <c r="BI1214" i="2"/>
  <c r="BH1214" i="2"/>
  <c r="BH1189" i="2"/>
  <c r="BF1189" i="2"/>
  <c r="BI1202" i="2"/>
  <c r="BK1089" i="2"/>
  <c r="BI651" i="2"/>
  <c r="BG935" i="2"/>
  <c r="BG615" i="2"/>
  <c r="BH571" i="2"/>
  <c r="BG571" i="2"/>
  <c r="BI238" i="2"/>
  <c r="BH1237" i="2"/>
  <c r="BF1237" i="2"/>
  <c r="BH1162" i="2"/>
  <c r="BH1071" i="2"/>
  <c r="BF1071" i="2"/>
  <c r="BK820" i="2"/>
  <c r="BK904" i="2"/>
  <c r="BG569" i="2"/>
  <c r="BI655" i="2"/>
  <c r="BG655" i="2"/>
  <c r="BI608" i="2"/>
  <c r="BF492" i="2"/>
  <c r="BH185" i="2"/>
  <c r="BF707" i="2"/>
  <c r="BI182" i="2"/>
  <c r="BH182" i="2"/>
  <c r="BG182" i="2"/>
  <c r="BH985" i="2"/>
  <c r="BH774" i="2"/>
  <c r="BH384" i="2"/>
  <c r="BG810" i="2"/>
  <c r="BF706" i="2"/>
  <c r="BH664" i="2"/>
  <c r="BG335" i="2"/>
  <c r="BG268" i="2"/>
  <c r="BF222" i="2"/>
  <c r="BG194" i="2"/>
  <c r="BG1197" i="2"/>
  <c r="BH787" i="2"/>
  <c r="BG696" i="2"/>
  <c r="BF550" i="2"/>
  <c r="BF799" i="2"/>
  <c r="BI379" i="2"/>
  <c r="BH60" i="2"/>
  <c r="BF797" i="2"/>
  <c r="BH827" i="2"/>
  <c r="BF1111" i="2"/>
  <c r="BI911" i="2"/>
  <c r="BI652" i="2"/>
  <c r="BH783" i="2"/>
  <c r="BH511" i="2"/>
  <c r="BH162" i="2"/>
  <c r="BF446" i="2"/>
  <c r="BF82" i="2"/>
  <c r="BH118" i="2"/>
  <c r="BG714" i="2"/>
  <c r="BI307" i="2"/>
  <c r="BK307" i="2"/>
  <c r="BG295" i="2"/>
  <c r="BH190" i="2"/>
  <c r="BF190" i="2"/>
  <c r="BK1122" i="2"/>
  <c r="BG966" i="2"/>
  <c r="BK651" i="2"/>
  <c r="BI935" i="2"/>
  <c r="BH675" i="2"/>
  <c r="BI615" i="2"/>
  <c r="BF1007" i="2"/>
  <c r="BG1006" i="2"/>
  <c r="BI569" i="2"/>
  <c r="BG821" i="2"/>
  <c r="BG492" i="2"/>
  <c r="BI64" i="2"/>
  <c r="BG64" i="2"/>
  <c r="BK185" i="2"/>
  <c r="BI15" i="2"/>
  <c r="BG15" i="2"/>
  <c r="BF15" i="2"/>
  <c r="BK23" i="2"/>
  <c r="BI23" i="2"/>
  <c r="BF23" i="2"/>
  <c r="BG23" i="2"/>
  <c r="BI237" i="2"/>
  <c r="BF237" i="2"/>
  <c r="BG237" i="2"/>
  <c r="BF1052" i="2"/>
  <c r="BG1052" i="2"/>
  <c r="BH1052" i="2"/>
  <c r="BH707" i="2"/>
  <c r="BK985" i="2"/>
  <c r="BI1243" i="2"/>
  <c r="BH1243" i="2"/>
  <c r="BG1243" i="2"/>
  <c r="BF1243" i="2"/>
  <c r="BH550" i="2"/>
  <c r="BI633" i="2"/>
  <c r="BG633" i="2"/>
  <c r="BH295" i="2"/>
  <c r="BF240" i="2"/>
  <c r="BI77" i="2"/>
  <c r="BF77" i="2"/>
  <c r="BH1175" i="2"/>
  <c r="BH876" i="2"/>
  <c r="BF876" i="2"/>
  <c r="BK935" i="2"/>
  <c r="BK675" i="2"/>
  <c r="BH414" i="2"/>
  <c r="BF414" i="2"/>
  <c r="BH46" i="2"/>
  <c r="BF46" i="2"/>
  <c r="BF84" i="2"/>
  <c r="BH1006" i="2"/>
  <c r="BF975" i="2"/>
  <c r="BI975" i="2"/>
  <c r="BH821" i="2"/>
  <c r="BH504" i="2"/>
  <c r="BF504" i="2"/>
  <c r="BH152" i="2"/>
  <c r="BG152" i="2"/>
  <c r="BF152" i="2"/>
  <c r="BH983" i="2"/>
  <c r="BG800" i="2"/>
  <c r="BF800" i="2"/>
  <c r="BI1234" i="2"/>
  <c r="BH1234" i="2"/>
  <c r="BG1234" i="2"/>
  <c r="BG300" i="2"/>
  <c r="BI144" i="2"/>
  <c r="BI365" i="2"/>
  <c r="BG365" i="2"/>
  <c r="BF365" i="2"/>
  <c r="BI88" i="2"/>
  <c r="BG88" i="2"/>
  <c r="BF88" i="2"/>
  <c r="BI696" i="2"/>
  <c r="BH453" i="2"/>
  <c r="BG462" i="2"/>
  <c r="BH3" i="2"/>
  <c r="BG1184" i="2"/>
  <c r="BI881" i="2"/>
  <c r="BH797" i="2"/>
  <c r="BI827" i="2"/>
  <c r="BI1111" i="2"/>
  <c r="BI969" i="2"/>
  <c r="BK652" i="2"/>
  <c r="BH695" i="2"/>
  <c r="BF549" i="2"/>
  <c r="BG461" i="2"/>
  <c r="BI402" i="2"/>
  <c r="BK82" i="2"/>
  <c r="BH69" i="2"/>
  <c r="BF1047" i="2"/>
  <c r="BI958" i="2"/>
  <c r="BI923" i="2"/>
  <c r="BF729" i="2"/>
  <c r="BI729" i="2"/>
  <c r="BI714" i="2"/>
  <c r="BI593" i="2"/>
  <c r="BI400" i="2"/>
  <c r="BH347" i="2"/>
  <c r="BH240" i="2"/>
  <c r="BF217" i="2"/>
  <c r="BH177" i="2"/>
  <c r="BI604" i="2"/>
  <c r="BH604" i="2"/>
  <c r="BH1083" i="2"/>
  <c r="BH718" i="2"/>
  <c r="BG574" i="2"/>
  <c r="BF541" i="2"/>
  <c r="BI455" i="2"/>
  <c r="BG455" i="2"/>
  <c r="BF455" i="2"/>
  <c r="BI419" i="2"/>
  <c r="BF419" i="2"/>
  <c r="BF72" i="2"/>
  <c r="BI72" i="2"/>
  <c r="BI67" i="2"/>
  <c r="BH67" i="2"/>
  <c r="BG67" i="2"/>
  <c r="BH798" i="2"/>
  <c r="BG798" i="2"/>
  <c r="BF798" i="2"/>
  <c r="BF981" i="2"/>
  <c r="BH904" i="2"/>
  <c r="BG904" i="2"/>
  <c r="BF904" i="2"/>
  <c r="BK569" i="2"/>
  <c r="BH560" i="2"/>
  <c r="BG560" i="2"/>
  <c r="BF560" i="2"/>
  <c r="BH529" i="2"/>
  <c r="BG529" i="2"/>
  <c r="BF385" i="2"/>
  <c r="BI90" i="2"/>
  <c r="BF90" i="2"/>
  <c r="BH1022" i="2"/>
  <c r="BH524" i="2"/>
  <c r="BF524" i="2"/>
  <c r="BK707" i="2"/>
  <c r="BK300" i="2"/>
  <c r="BH469" i="2"/>
  <c r="BI416" i="2"/>
  <c r="BI514" i="2"/>
  <c r="BG1205" i="2"/>
  <c r="BG964" i="2"/>
  <c r="BH520" i="2"/>
  <c r="BK382" i="2"/>
  <c r="BG24" i="2"/>
  <c r="BK788" i="2"/>
  <c r="BH789" i="2"/>
  <c r="BH497" i="2"/>
  <c r="BI342" i="2"/>
  <c r="BF1046" i="2"/>
  <c r="BG941" i="2"/>
  <c r="BH845" i="2"/>
  <c r="BK805" i="2"/>
  <c r="BH617" i="2"/>
  <c r="BH425" i="2"/>
  <c r="BH358" i="2"/>
  <c r="BI279" i="2"/>
  <c r="BI251" i="2"/>
  <c r="BH176" i="2"/>
  <c r="BH1220" i="2"/>
  <c r="BK875" i="2"/>
  <c r="BH674" i="2"/>
  <c r="BK514" i="2"/>
  <c r="BI1205" i="2"/>
  <c r="BI964" i="2"/>
  <c r="BI520" i="2"/>
  <c r="BI24" i="2"/>
  <c r="BI789" i="2"/>
  <c r="BI497" i="2"/>
  <c r="BG469" i="2"/>
  <c r="BH342" i="2"/>
  <c r="BH941" i="2"/>
  <c r="BK902" i="2"/>
  <c r="BG845" i="2"/>
  <c r="BG617" i="2"/>
  <c r="BI425" i="2"/>
  <c r="BI176" i="2"/>
  <c r="BK138" i="2"/>
  <c r="BI674" i="2"/>
  <c r="BG772" i="2"/>
  <c r="BI380" i="2"/>
  <c r="BI21" i="2"/>
  <c r="BF638" i="2"/>
  <c r="BF376" i="2"/>
  <c r="BF170" i="2"/>
  <c r="BI111" i="2"/>
  <c r="BH974" i="2"/>
  <c r="BI281" i="2"/>
  <c r="BG11" i="2"/>
  <c r="BI1148" i="2"/>
  <c r="BG463" i="2"/>
  <c r="BH115" i="2"/>
  <c r="BH1229" i="2"/>
  <c r="BG984" i="2"/>
  <c r="BH628" i="2"/>
  <c r="BF500" i="2"/>
  <c r="BG156" i="2"/>
  <c r="BF362" i="2"/>
  <c r="BI34" i="2"/>
  <c r="BF1199" i="2"/>
  <c r="BF956" i="2"/>
  <c r="BF469" i="2"/>
  <c r="BH120" i="2"/>
  <c r="BF1120" i="2"/>
  <c r="BF1081" i="2"/>
  <c r="BG1011" i="2"/>
  <c r="BI941" i="2"/>
  <c r="BI845" i="2"/>
  <c r="BG766" i="2"/>
  <c r="BG701" i="2"/>
  <c r="BH658" i="2"/>
  <c r="BI617" i="2"/>
  <c r="BI358" i="2"/>
  <c r="BH201" i="2"/>
  <c r="BF105" i="2"/>
  <c r="BH883" i="2"/>
  <c r="BI1220" i="2"/>
  <c r="BH1165" i="2"/>
  <c r="BF1005" i="2"/>
  <c r="BH931" i="2"/>
  <c r="BF780" i="2"/>
  <c r="BH927" i="2"/>
  <c r="BI671" i="2"/>
  <c r="BH536" i="2"/>
  <c r="BH445" i="2"/>
  <c r="BF125" i="2"/>
  <c r="BI71" i="2"/>
  <c r="BH65" i="2"/>
  <c r="BF690" i="2"/>
  <c r="BF195" i="2"/>
  <c r="BI11" i="2"/>
  <c r="BH463" i="2"/>
  <c r="BG81" i="2"/>
  <c r="BI1153" i="2"/>
  <c r="BI977" i="2"/>
  <c r="BF872" i="2"/>
  <c r="BH984" i="2"/>
  <c r="BG500" i="2"/>
  <c r="BF154" i="2"/>
  <c r="BK24" i="2"/>
  <c r="BG362" i="2"/>
  <c r="BK86" i="2"/>
  <c r="BF6" i="2"/>
  <c r="BH1199" i="2"/>
  <c r="BG956" i="2"/>
  <c r="BH884" i="2"/>
  <c r="BK497" i="2"/>
  <c r="BK342" i="2"/>
  <c r="BG1120" i="2"/>
  <c r="BG1081" i="2"/>
  <c r="BG1046" i="2"/>
  <c r="BF922" i="2"/>
  <c r="BF833" i="2"/>
  <c r="BF752" i="2"/>
  <c r="BF728" i="2"/>
  <c r="BK425" i="2"/>
  <c r="BF346" i="2"/>
  <c r="BF318" i="2"/>
  <c r="BF239" i="2"/>
  <c r="BK176" i="2"/>
  <c r="BF150" i="2"/>
  <c r="BG105" i="2"/>
  <c r="BG1005" i="2"/>
  <c r="BH780" i="2"/>
  <c r="BK674" i="2"/>
  <c r="BG125" i="2"/>
  <c r="BH1120" i="2"/>
  <c r="BH1046" i="2"/>
  <c r="BK941" i="2"/>
  <c r="BK845" i="2"/>
  <c r="BF1244" i="2"/>
  <c r="BG1223" i="2"/>
  <c r="BG1193" i="2"/>
  <c r="BG1210" i="2"/>
  <c r="BG1150" i="2"/>
  <c r="BI81" i="2"/>
  <c r="BH872" i="2"/>
  <c r="BG154" i="2"/>
  <c r="BF121" i="2"/>
  <c r="BF80" i="2"/>
  <c r="BH6" i="2"/>
  <c r="BG1179" i="2"/>
  <c r="BG884" i="2"/>
  <c r="BG26" i="2"/>
  <c r="BF61" i="2"/>
  <c r="BH922" i="2"/>
  <c r="BH833" i="2"/>
  <c r="BF592" i="2"/>
  <c r="BF477" i="2"/>
  <c r="BG1242" i="2"/>
  <c r="BF1127" i="2"/>
  <c r="BG1084" i="2"/>
  <c r="BH612" i="2"/>
  <c r="BF697" i="2"/>
  <c r="BH1065" i="2"/>
  <c r="BF324" i="2"/>
  <c r="BG226" i="2"/>
  <c r="BF144" i="2"/>
  <c r="BG1244" i="2"/>
  <c r="BF1223" i="2"/>
  <c r="BH1210" i="2"/>
  <c r="BH1150" i="2"/>
  <c r="BF968" i="2"/>
  <c r="BF804" i="2"/>
  <c r="BF1191" i="2"/>
  <c r="BF1001" i="2"/>
  <c r="BG872" i="2"/>
  <c r="BF545" i="2"/>
  <c r="BF518" i="2"/>
  <c r="BH154" i="2"/>
  <c r="BH80" i="2"/>
  <c r="BG6" i="2"/>
  <c r="BH1179" i="2"/>
  <c r="BI884" i="2"/>
  <c r="BG578" i="2"/>
  <c r="BF26" i="2"/>
  <c r="BG428" i="2"/>
  <c r="BH61" i="2"/>
  <c r="BG5" i="2"/>
  <c r="BI922" i="2"/>
  <c r="BI833" i="2"/>
  <c r="BG752" i="2"/>
  <c r="BF632" i="2"/>
  <c r="BG592" i="2"/>
  <c r="BG477" i="2"/>
  <c r="BH1242" i="2"/>
  <c r="BH1086" i="2"/>
  <c r="BH1127" i="2"/>
  <c r="BH1084" i="2"/>
  <c r="BF538" i="2"/>
  <c r="BG612" i="2"/>
  <c r="BH454" i="2"/>
  <c r="BH341" i="2"/>
  <c r="BH406" i="2"/>
  <c r="BF29" i="2"/>
  <c r="BF383" i="2"/>
  <c r="BF87" i="2"/>
  <c r="BG324" i="2"/>
  <c r="BF226" i="2"/>
  <c r="BG144" i="2"/>
  <c r="BF53" i="2"/>
  <c r="BF1193" i="2"/>
  <c r="BG804" i="2"/>
  <c r="BF14" i="2"/>
  <c r="BF1124" i="2"/>
  <c r="BG7" i="2"/>
  <c r="BF1183" i="2"/>
  <c r="BH1001" i="2"/>
  <c r="BG545" i="2"/>
  <c r="BG518" i="2"/>
  <c r="BF382" i="2"/>
  <c r="BG121" i="2"/>
  <c r="BG80" i="2"/>
  <c r="BF788" i="2"/>
  <c r="BF578" i="2"/>
  <c r="BH26" i="2"/>
  <c r="BF428" i="2"/>
  <c r="BF5" i="2"/>
  <c r="BG1031" i="2"/>
  <c r="BH957" i="2"/>
  <c r="BG857" i="2"/>
  <c r="BF805" i="2"/>
  <c r="BH752" i="2"/>
  <c r="BF684" i="2"/>
  <c r="BG632" i="2"/>
  <c r="BH592" i="2"/>
  <c r="BH477" i="2"/>
  <c r="BF216" i="2"/>
  <c r="BG76" i="2"/>
  <c r="BF1213" i="2"/>
  <c r="BF1086" i="2"/>
  <c r="BF875" i="2"/>
  <c r="BF650" i="2"/>
  <c r="BG538" i="2"/>
  <c r="BG29" i="2"/>
  <c r="BI752" i="2"/>
  <c r="BI592" i="2"/>
  <c r="BI477" i="2"/>
  <c r="BF138" i="2"/>
  <c r="BG1213" i="2"/>
  <c r="BG513" i="2"/>
  <c r="BF421" i="2"/>
  <c r="BF1161" i="2"/>
  <c r="BF1171" i="2"/>
  <c r="BF676" i="2"/>
  <c r="BF936" i="2"/>
  <c r="BG577" i="2"/>
  <c r="BG151" i="2"/>
  <c r="BF234" i="2"/>
  <c r="BF360" i="2"/>
  <c r="BF1144" i="2"/>
  <c r="BF1174" i="2"/>
  <c r="BH781" i="2"/>
  <c r="BF1155" i="2"/>
  <c r="BG580" i="2"/>
  <c r="BF18" i="2"/>
  <c r="BG1226" i="2"/>
  <c r="BG546" i="2"/>
  <c r="BF465" i="2"/>
  <c r="BH383" i="2"/>
  <c r="BG123" i="2"/>
  <c r="BG619" i="2"/>
  <c r="BF458" i="2"/>
  <c r="BH933" i="2"/>
  <c r="BF894" i="2"/>
  <c r="BG734" i="2"/>
  <c r="BF665" i="2"/>
  <c r="BG483" i="2"/>
  <c r="BF352" i="2"/>
  <c r="BF288" i="2"/>
  <c r="BG53" i="2"/>
  <c r="BG1196" i="2"/>
  <c r="BF1206" i="2"/>
  <c r="BG979" i="2"/>
  <c r="BF802" i="2"/>
  <c r="BG501" i="2"/>
  <c r="BH1124" i="2"/>
  <c r="BG1040" i="2"/>
  <c r="BF514" i="2"/>
  <c r="BH1183" i="2"/>
  <c r="BG1191" i="2"/>
  <c r="BF1149" i="2"/>
  <c r="BF773" i="2"/>
  <c r="BF520" i="2"/>
  <c r="BF489" i="2"/>
  <c r="BF459" i="2"/>
  <c r="BH382" i="2"/>
  <c r="BH24" i="2"/>
  <c r="BH826" i="2"/>
  <c r="BH788" i="2"/>
  <c r="BG1103" i="2"/>
  <c r="BG1059" i="2"/>
  <c r="BG902" i="2"/>
  <c r="BH805" i="2"/>
  <c r="BH713" i="2"/>
  <c r="BH684" i="2"/>
  <c r="BG330" i="2"/>
  <c r="BF306" i="2"/>
  <c r="BF279" i="2"/>
  <c r="BF251" i="2"/>
  <c r="BH216" i="2"/>
  <c r="BG138" i="2"/>
  <c r="BH1213" i="2"/>
  <c r="BF965" i="2"/>
  <c r="BF1082" i="2"/>
  <c r="BH875" i="2"/>
  <c r="BF954" i="2"/>
  <c r="BH650" i="2"/>
  <c r="BF674" i="2"/>
  <c r="BF566" i="2"/>
  <c r="BF570" i="2"/>
  <c r="BF471" i="2"/>
  <c r="BF404" i="2"/>
  <c r="BG236" i="2"/>
  <c r="BG114" i="2"/>
  <c r="BF45" i="2"/>
  <c r="BG514" i="2"/>
  <c r="BI1001" i="2"/>
  <c r="BF964" i="2"/>
  <c r="BG826" i="2"/>
  <c r="BF789" i="2"/>
  <c r="BG497" i="2"/>
  <c r="BF342" i="2"/>
  <c r="BH1103" i="2"/>
  <c r="BH1059" i="2"/>
  <c r="BH902" i="2"/>
  <c r="BF425" i="2"/>
  <c r="BF358" i="2"/>
  <c r="BF330" i="2"/>
  <c r="BG306" i="2"/>
  <c r="BG279" i="2"/>
  <c r="BG251" i="2"/>
  <c r="BF176" i="2"/>
  <c r="BH138" i="2"/>
  <c r="BF1220"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Unknown Author</author>
    <author>tc={3A8CFBB7-39C5-40E9-B9A3-09B6DB357C43}</author>
  </authors>
  <commentList>
    <comment ref="B1" authorId="0" shapeId="0" xr:uid="{00000000-0006-0000-0100-000001000000}">
      <text>
        <r>
          <rPr>
            <sz val="10"/>
            <rFont val="Arial"/>
            <family val="2"/>
          </rPr>
          <t>Kenya currently only trades Arabica, so this column's dropdown here only offers 'Arabica'. Since Type is always Arabica here, Kenya's rate lookup effectively runs on Subtype (Commercial / Micro-Lots) – see the Variables tab.</t>
        </r>
      </text>
    </comment>
    <comment ref="H1" authorId="0" shapeId="0" xr:uid="{00000000-0006-0000-0100-000002000000}">
      <text>
        <r>
          <rPr>
            <sz val="10"/>
            <rFont val="Arial"/>
            <family val="2"/>
          </rPr>
          <t>Three options: 'Open' (still active), 'Closed' (completed successfully), 'Cancelled' (never went through). Only 'Cancelled' affects the calculations – set it and every calculated column (USD Value of Shipment, Cost, all the days-lost columns, etc.) shows blank instead of a number for that row, so a cancelled contract never contributes to a total. 'Open' and 'Closed' both calculate normally – a closed contract's figures are real and should still count.</t>
        </r>
      </text>
    </comment>
    <comment ref="X1" authorId="0" shapeId="0" xr:uid="{00000000-0006-0000-0100-000003000000}">
      <text>
        <r>
          <rPr>
            <sz val="10"/>
            <rFont val="Arial"/>
            <family val="2"/>
          </rPr>
          <t>FORMULA – do not type over. Looks up the Avg NY value from the Variables tab for this row's rate axis (Subtype for Kenya, Type for Tanzania/Uganda).</t>
        </r>
      </text>
    </comment>
    <comment ref="AA1" authorId="1" shapeId="0" xr:uid="{3A8CFBB7-39C5-40E9-B9A3-09B6DB357C43}">
      <text>
        <t>[Threaded comment]
Your version of Excel allows you to read this threaded comment; however, any edits to it will get removed if the file is opened in a newer version of Excel. Learn more: https://go.microsoft.com/fwlink/?linkid=870924
Comment:
    Rename to Replacement PSS Info?</t>
      </text>
    </comment>
    <comment ref="AC1" authorId="0" shapeId="0" xr:uid="{00000000-0006-0000-0100-000004000000}">
      <text>
        <r>
          <rPr>
            <sz val="10"/>
            <rFont val="Arial"/>
            <family val="2"/>
          </rPr>
          <t>FORMULA – do not type over. Shipment End date minus the standard contract-to-ship lead time (Variables).</t>
        </r>
      </text>
    </comment>
    <comment ref="AD1" authorId="0" shapeId="0" xr:uid="{00000000-0006-0000-0100-000005000000}">
      <text>
        <r>
          <rPr>
            <sz val="10"/>
            <rFont val="Arial"/>
            <family val="2"/>
          </rPr>
          <t>FORMULA – do not type over.</t>
        </r>
      </text>
    </comment>
    <comment ref="AG1" authorId="0" shapeId="0" xr:uid="{00000000-0006-0000-0100-000006000000}">
      <text>
        <r>
          <rPr>
            <sz val="10"/>
            <rFont val="Arial"/>
            <family val="2"/>
          </rPr>
          <t>FORMULA – do not type over.</t>
        </r>
      </text>
    </comment>
    <comment ref="AU1" authorId="0" shapeId="0" xr:uid="{00000000-0006-0000-0100-000008000000}">
      <text>
        <r>
          <rPr>
            <sz val="10"/>
            <rFont val="Arial"/>
            <family val="2"/>
          </rPr>
          <t>FORMULA – do not type over.</t>
        </r>
      </text>
    </comment>
    <comment ref="AW1" authorId="0" shapeId="0" xr:uid="{00000000-0006-0000-0100-000009000000}">
      <text>
        <r>
          <rPr>
            <sz val="10"/>
            <rFont val="Arial"/>
            <family val="2"/>
          </rPr>
          <t>FORMULA – do not type over.</t>
        </r>
      </text>
    </comment>
    <comment ref="AX1" authorId="0" shapeId="0" xr:uid="{00000000-0006-0000-0100-00000A000000}">
      <text>
        <r>
          <rPr>
            <sz val="10"/>
            <rFont val="Arial"/>
            <family val="2"/>
          </rPr>
          <t>FORMULA – do not type over.</t>
        </r>
      </text>
    </comment>
    <comment ref="AY1" authorId="0" shapeId="0" xr:uid="{00000000-0006-0000-0100-00000B000000}">
      <text>
        <r>
          <rPr>
            <sz val="10"/>
            <rFont val="Arial"/>
            <family val="2"/>
          </rPr>
          <t>FORMULA – do not type over.</t>
        </r>
      </text>
    </comment>
    <comment ref="BA1" authorId="0" shapeId="0" xr:uid="{00000000-0006-0000-0100-00000D000000}">
      <text>
        <r>
          <rPr>
            <sz val="10"/>
            <rFont val="Arial"/>
            <family val="2"/>
          </rPr>
          <t>FORMULA – do not type over.</t>
        </r>
      </text>
    </comment>
    <comment ref="BD1" authorId="0" shapeId="0" xr:uid="{00000000-0006-0000-0100-00000E000000}">
      <text>
        <r>
          <rPr>
            <sz val="10"/>
            <rFont val="Arial"/>
            <family val="2"/>
          </rPr>
          <t>FORMULA – do not type over.</t>
        </r>
      </text>
    </comment>
    <comment ref="BE1" authorId="0" shapeId="0" xr:uid="{00000000-0006-0000-0100-00000F000000}">
      <text>
        <r>
          <rPr>
            <sz val="10"/>
            <rFont val="Arial"/>
            <family val="2"/>
          </rPr>
          <t>FORMULA – do not type over. The original workbooks multiplied the storage-cost term by a blank, out-of-range cell (always 0) – this version points that term at the real storage rate instead (see README).</t>
        </r>
      </text>
    </comment>
    <comment ref="BF1" authorId="0" shapeId="0" xr:uid="{00000000-0006-0000-0100-000010000000}">
      <text>
        <r>
          <rPr>
            <sz val="10"/>
            <rFont val="Arial"/>
            <family val="2"/>
          </rPr>
          <t>Historically only populated on the Tanzania Arabica sheet. Leave blank if not used by this origin.</t>
        </r>
      </text>
    </comment>
    <comment ref="BG1" authorId="0" shapeId="0" xr:uid="{00000000-0006-0000-0100-000011000000}">
      <text>
        <r>
          <rPr>
            <sz val="10"/>
            <rFont val="Arial"/>
            <family val="2"/>
          </rPr>
          <t>Historically only populated on the Tanzania Robusta sheet. Leave blank if not used by this origin.</t>
        </r>
      </text>
    </comment>
    <comment ref="BH1" authorId="0" shapeId="0" xr:uid="{00000000-0006-0000-0100-000012000000}">
      <text>
        <r>
          <rPr>
            <sz val="10"/>
            <rFont val="Arial"/>
            <family val="2"/>
          </rPr>
          <t>Historically only populated on the Tanzania Robusta sheet. Leave blank if not used by this origin.</t>
        </r>
      </text>
    </comment>
    <comment ref="BI1" authorId="0" shapeId="0" xr:uid="{00000000-0006-0000-0100-000013000000}">
      <text>
        <r>
          <rPr>
            <sz val="10"/>
            <rFont val="Arial"/>
            <family val="2"/>
          </rPr>
          <t>Historically only populated on the Tanzania Robusta sheet. Leave blank if not used by this origin.</t>
        </r>
      </text>
    </comment>
    <comment ref="BJ1" authorId="0" shapeId="0" xr:uid="{00000000-0006-0000-0100-000014000000}">
      <text>
        <r>
          <rPr>
            <sz val="10"/>
            <rFont val="Arial"/>
            <family val="2"/>
          </rPr>
          <t>Historically only populated on the Tanzania Robusta sheet. Leave blank if not used by this origin.</t>
        </r>
      </text>
    </comment>
    <comment ref="BK1" authorId="0" shapeId="0" xr:uid="{00000000-0006-0000-0100-000015000000}">
      <text>
        <r>
          <rPr>
            <sz val="10"/>
            <rFont val="Arial"/>
            <family val="2"/>
          </rPr>
          <t>Historically only populated on the Tanzania Robusta sheet. Leave blank if not used by this origin.</t>
        </r>
      </text>
    </comment>
  </commentList>
</comments>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<sst xmlns="http://schemas.openxmlformats.org/spreadsheetml/2006/main" count="24472" uniqueCount="3310">
  <si>
    <t>Arabica - Commercial</t>
  </si>
  <si>
    <t>Arabica - Micro-Lots</t>
  </si>
  <si>
    <t>Robusta</t>
  </si>
  <si>
    <t>Parameter</t>
  </si>
  <si>
    <t>Arabica (Commercial)</t>
  </si>
  <si>
    <t>Arabica (Micro-Lots)</t>
  </si>
  <si>
    <t>Unit</t>
  </si>
  <si>
    <t>Avg value of Coffee</t>
  </si>
  <si>
    <t>N/A</t>
  </si>
  <si>
    <t>USD/MT</t>
  </si>
  <si>
    <t>Avg NY value</t>
  </si>
  <si>
    <t>USD cents/lb</t>
  </si>
  <si>
    <t>Cost of financing per annum</t>
  </si>
  <si>
    <t>% p.a.</t>
  </si>
  <si>
    <t>Cost of storage (USD/MT/Day)</t>
  </si>
  <si>
    <t>USD/MT/day</t>
  </si>
  <si>
    <t>Cost of Insurance per annum</t>
  </si>
  <si>
    <t>Value</t>
  </si>
  <si>
    <t>Department</t>
  </si>
  <si>
    <t>Days before expected shipment date to stuff</t>
  </si>
  <si>
    <t>days</t>
  </si>
  <si>
    <t>Days before shipment for sample approval</t>
  </si>
  <si>
    <t>Days to move coffee to warehouse</t>
  </si>
  <si>
    <t>Days  bulk coffee</t>
  </si>
  <si>
    <t>Days to stuff coffee</t>
  </si>
  <si>
    <t>Days to sail after stuffing</t>
  </si>
  <si>
    <t>Days to dispatch docs after sailing</t>
  </si>
  <si>
    <t>Packaging Type</t>
  </si>
  <si>
    <t>Bags per Container</t>
  </si>
  <si>
    <t>Jute bags</t>
  </si>
  <si>
    <t>bags</t>
  </si>
  <si>
    <t>Blowing</t>
  </si>
  <si>
    <t>Big bags</t>
  </si>
  <si>
    <t>Bags per container – minimum</t>
  </si>
  <si>
    <t>Bags per container – maximum</t>
  </si>
  <si>
    <t>Sample Type</t>
  </si>
  <si>
    <t>PSS Required? (Yes / No)</t>
  </si>
  <si>
    <t>SAS</t>
  </si>
  <si>
    <t>Yes</t>
  </si>
  <si>
    <t>APS</t>
  </si>
  <si>
    <t>No</t>
  </si>
  <si>
    <t>No PSS Needed</t>
  </si>
  <si>
    <t>No SAS</t>
  </si>
  <si>
    <t>NANS</t>
  </si>
  <si>
    <t>Type (Arabica / Robusta)</t>
  </si>
  <si>
    <t>Subtype (Commercial / Micro-Lots)</t>
  </si>
  <si>
    <t>Contract Date</t>
  </si>
  <si>
    <t>Shipment Start Date</t>
  </si>
  <si>
    <t>Shipment End Date</t>
  </si>
  <si>
    <t>Sale Contract Ref</t>
  </si>
  <si>
    <t>Purchase Contract Ref</t>
  </si>
  <si>
    <t>Client Ref</t>
  </si>
  <si>
    <t>Buyer</t>
  </si>
  <si>
    <t>SI No.</t>
  </si>
  <si>
    <t>Bags</t>
  </si>
  <si>
    <t>Containers (Keyed In)</t>
  </si>
  <si>
    <t>Quality Description</t>
  </si>
  <si>
    <t>Quality Basket / Grade</t>
  </si>
  <si>
    <t>Quality Code</t>
  </si>
  <si>
    <t>Certification</t>
  </si>
  <si>
    <t>Destination Port</t>
  </si>
  <si>
    <t>Destination Country</t>
  </si>
  <si>
    <t>Continent</t>
  </si>
  <si>
    <t>Differential</t>
  </si>
  <si>
    <t>USD Value of Shipment</t>
  </si>
  <si>
    <t>PSS Required (Yes / No)</t>
  </si>
  <si>
    <t>PSS Dispatch Date</t>
  </si>
  <si>
    <t>PSS Dispatch Info</t>
  </si>
  <si>
    <t>PSS Approval Date</t>
  </si>
  <si>
    <t>Sample Approval Status</t>
  </si>
  <si>
    <t>Shipping Instructions Receipt Date</t>
  </si>
  <si>
    <t>Bulk Ref</t>
  </si>
  <si>
    <t>Bulk Instruction Date</t>
  </si>
  <si>
    <t>Expected Shipment Period</t>
  </si>
  <si>
    <t>Trade &amp; QC Days Lost</t>
  </si>
  <si>
    <t>Expected Stuffing Date</t>
  </si>
  <si>
    <t>Actual Stuffing Date</t>
  </si>
  <si>
    <t>Operational Days Lost</t>
  </si>
  <si>
    <t>C&amp;F Agent</t>
  </si>
  <si>
    <t>Shipping Line</t>
  </si>
  <si>
    <t>Vessel</t>
  </si>
  <si>
    <t>Gate In POL</t>
  </si>
  <si>
    <t>ETD POL</t>
  </si>
  <si>
    <t>ETA POD</t>
  </si>
  <si>
    <t>B/L No</t>
  </si>
  <si>
    <t>Actual Sailing Date</t>
  </si>
  <si>
    <t>Edox Ref No.</t>
  </si>
  <si>
    <t>Shipping Advice Sent Date</t>
  </si>
  <si>
    <t>Courier Tracking No</t>
  </si>
  <si>
    <t>Docs Dispatch Date</t>
  </si>
  <si>
    <t>Contract Status (Open / Cancelled / Closed)</t>
  </si>
  <si>
    <t>Reason for Open Contracts Status</t>
  </si>
  <si>
    <t>Delay Category</t>
  </si>
  <si>
    <t>Main Delay Root Cause</t>
  </si>
  <si>
    <t>Comments</t>
  </si>
  <si>
    <t>In Transit &amp; Port Dwell Days</t>
  </si>
  <si>
    <t xml:space="preserve"> Days Gain/Loss from Docs Dispatch </t>
  </si>
  <si>
    <t>USD Loss/Gain from Docs</t>
  </si>
  <si>
    <t>P&amp;L Impact on Sample Approval</t>
  </si>
  <si>
    <t>USD Saved/Lost on Processing</t>
  </si>
  <si>
    <t>USD Saved/Lost on Shipping</t>
  </si>
  <si>
    <t>Days Late / Early</t>
  </si>
  <si>
    <t>Cost</t>
  </si>
  <si>
    <t>Kenya</t>
  </si>
  <si>
    <t>Arabica</t>
  </si>
  <si>
    <t>Commercial</t>
  </si>
  <si>
    <t xml:space="preserve"> P38155 </t>
  </si>
  <si>
    <t>Serengeti</t>
  </si>
  <si>
    <t>AB FAQ Scr 15+.SAS on replacement basis.</t>
  </si>
  <si>
    <t>ABC FAQ</t>
  </si>
  <si>
    <t xml:space="preserve">60kg Jute Bags </t>
  </si>
  <si>
    <t>New Orleans</t>
  </si>
  <si>
    <t>USA</t>
  </si>
  <si>
    <t>North America</t>
  </si>
  <si>
    <t>Iceberg</t>
  </si>
  <si>
    <t>Maersk FCL/FCL</t>
  </si>
  <si>
    <t>Maersk Cape Town</t>
  </si>
  <si>
    <t xml:space="preserve">01-92282  </t>
  </si>
  <si>
    <t>BR</t>
  </si>
  <si>
    <t xml:space="preserve">JDE AB FAQ EUDR Aligned </t>
  </si>
  <si>
    <t>AB FAQ</t>
  </si>
  <si>
    <t>EUDR</t>
  </si>
  <si>
    <t>Bulk Bag</t>
  </si>
  <si>
    <t>Fos Sur Mer</t>
  </si>
  <si>
    <t>France</t>
  </si>
  <si>
    <t>Europe</t>
  </si>
  <si>
    <t>Marathopolis</t>
  </si>
  <si>
    <t xml:space="preserve"> 01-92283   </t>
  </si>
  <si>
    <t xml:space="preserve">  01-92285   </t>
  </si>
  <si>
    <t>5140A</t>
  </si>
  <si>
    <t xml:space="preserve">JDE Grinders EUDR Aligned  </t>
  </si>
  <si>
    <t>Grinder plus</t>
  </si>
  <si>
    <t>Gavle</t>
  </si>
  <si>
    <t>Sweden</t>
  </si>
  <si>
    <t>CMA-CGM FCL/FCL</t>
  </si>
  <si>
    <t>CMA-CGM Gulf Express</t>
  </si>
  <si>
    <t>MOB0148600</t>
  </si>
  <si>
    <t>5140B</t>
  </si>
  <si>
    <t>Rotterdam</t>
  </si>
  <si>
    <t>Netherlands</t>
  </si>
  <si>
    <t xml:space="preserve"> 01-92286 </t>
  </si>
  <si>
    <t>WEC FCL/FCL</t>
  </si>
  <si>
    <t>MSC Love V</t>
  </si>
  <si>
    <t>WECC2588RTM1041</t>
  </si>
  <si>
    <t xml:space="preserve"> 01-92287   </t>
  </si>
  <si>
    <t>5195A</t>
  </si>
  <si>
    <t>MSC Nuria</t>
  </si>
  <si>
    <t>WECC2588FOS1022</t>
  </si>
  <si>
    <t>5195C</t>
  </si>
  <si>
    <t>5195B</t>
  </si>
  <si>
    <t xml:space="preserve">  01-92289   </t>
  </si>
  <si>
    <t>5141B</t>
  </si>
  <si>
    <t xml:space="preserve">JDE SAFI A EUDR ALIGNED </t>
  </si>
  <si>
    <t>ABC MINUS</t>
  </si>
  <si>
    <t>Hamburg</t>
  </si>
  <si>
    <t>Germany</t>
  </si>
  <si>
    <t>CMA CGM Gulf Express</t>
  </si>
  <si>
    <t>MOB0148506</t>
  </si>
  <si>
    <t>5141A</t>
  </si>
  <si>
    <t xml:space="preserve"> 01-92290 </t>
  </si>
  <si>
    <t>5159A</t>
  </si>
  <si>
    <t>MSC Lome v</t>
  </si>
  <si>
    <t>WECC2588FOS1007</t>
  </si>
  <si>
    <t>5159B</t>
  </si>
  <si>
    <t xml:space="preserve">  01-92293   </t>
  </si>
  <si>
    <t>5142A</t>
  </si>
  <si>
    <t xml:space="preserve">JDE SAFI B EUDR ALIGNED </t>
  </si>
  <si>
    <t>Bremen</t>
  </si>
  <si>
    <t>MSC FCL/FCL</t>
  </si>
  <si>
    <t>MSC Diego</t>
  </si>
  <si>
    <t>MEDUM2708953</t>
  </si>
  <si>
    <t>5142B</t>
  </si>
  <si>
    <t xml:space="preserve"> 01-92294 </t>
  </si>
  <si>
    <t>5156A</t>
  </si>
  <si>
    <t>Cosco Sao Paulo</t>
  </si>
  <si>
    <t>5156B</t>
  </si>
  <si>
    <t>225-G-264</t>
  </si>
  <si>
    <t>Dong Suh</t>
  </si>
  <si>
    <t>ABC FAQ, PSS to be drawn by SGS &amp; sampling offer to be inclusive in the offer</t>
  </si>
  <si>
    <t>ABC Minus</t>
  </si>
  <si>
    <t>Busan</t>
  </si>
  <si>
    <t>South Korea</t>
  </si>
  <si>
    <t>Asia</t>
  </si>
  <si>
    <t>Evergreen FCL/FCL</t>
  </si>
  <si>
    <t>Lady Jane</t>
  </si>
  <si>
    <t>321500000746</t>
  </si>
  <si>
    <t>6280 6294 23</t>
  </si>
  <si>
    <t>225-G-265</t>
  </si>
  <si>
    <t>ONE FCL/FCL</t>
  </si>
  <si>
    <t>Kota Selamat</t>
  </si>
  <si>
    <t>ONEYMBAF00212400</t>
  </si>
  <si>
    <t>30 8583 5222</t>
  </si>
  <si>
    <t>225-G-266</t>
  </si>
  <si>
    <t>ONEYMBAF00365600</t>
  </si>
  <si>
    <t>225-G-267</t>
  </si>
  <si>
    <t>Calandra</t>
  </si>
  <si>
    <t>ONEYMBAF00481500</t>
  </si>
  <si>
    <t>94 2132 4802</t>
  </si>
  <si>
    <t>225-G-262</t>
  </si>
  <si>
    <t>AB FAQ, PSS to be drawn by SGS &amp; sampling offer to be inclusive in the offer</t>
  </si>
  <si>
    <t>Kota Sahabat</t>
  </si>
  <si>
    <t>ONEYMBAF00628800</t>
  </si>
  <si>
    <t>67 5733 1151</t>
  </si>
  <si>
    <t>225-G-268</t>
  </si>
  <si>
    <t>Ever Vow</t>
  </si>
  <si>
    <t>321500001858</t>
  </si>
  <si>
    <t>225-G-270</t>
  </si>
  <si>
    <t>Kota Sejarah</t>
  </si>
  <si>
    <t>ONEYMBAF00842600</t>
  </si>
  <si>
    <t>24 1668 4745</t>
  </si>
  <si>
    <t>225-G-263</t>
  </si>
  <si>
    <t>One Atlas</t>
  </si>
  <si>
    <t>ONEYMBAF01244300</t>
  </si>
  <si>
    <t>2832 306 326</t>
  </si>
  <si>
    <t>225-G-269</t>
  </si>
  <si>
    <t>ONEYMBAF00683900</t>
  </si>
  <si>
    <t>01-92386</t>
  </si>
  <si>
    <t>Safi A JDE Type EUDR Aligned</t>
  </si>
  <si>
    <t>Bergen</t>
  </si>
  <si>
    <t>Norway</t>
  </si>
  <si>
    <t>Maesk Cabo Verde</t>
  </si>
  <si>
    <t>01-92389</t>
  </si>
  <si>
    <t>5144A</t>
  </si>
  <si>
    <t>Safi B JDE Type EUDR Aligned</t>
  </si>
  <si>
    <t>Maersk</t>
  </si>
  <si>
    <t>5144B</t>
  </si>
  <si>
    <t>01-92392</t>
  </si>
  <si>
    <t>AB FAQ JDE Type EUDR Aligned</t>
  </si>
  <si>
    <t>Nordpanther</t>
  </si>
  <si>
    <t>MOB0148499</t>
  </si>
  <si>
    <t>Tchibo</t>
  </si>
  <si>
    <t>AB EUDR Aligned, Crop 2024/2025</t>
  </si>
  <si>
    <t>WECC2588HAM1025</t>
  </si>
  <si>
    <t>MSC Conakry</t>
  </si>
  <si>
    <t>WECC2588HAM1026</t>
  </si>
  <si>
    <t xml:space="preserve"> I7-60105   </t>
  </si>
  <si>
    <t>Bero Singapore</t>
  </si>
  <si>
    <t>AA FAQ. Packed in 60KG Grainpro.</t>
  </si>
  <si>
    <t>AA Minus</t>
  </si>
  <si>
    <t>60Kg Grain Pro Bags</t>
  </si>
  <si>
    <t>Kota Ganding</t>
  </si>
  <si>
    <t>ONEYMBAF00370900</t>
  </si>
  <si>
    <t>41 4826 6570</t>
  </si>
  <si>
    <t xml:space="preserve"> I7-60104   </t>
  </si>
  <si>
    <t>ONEYMBAF00179900</t>
  </si>
  <si>
    <t>9566 5705 06</t>
  </si>
  <si>
    <t xml:space="preserve"> I7-60106   </t>
  </si>
  <si>
    <t>AB FAQ. Packed in 60KG Grainpro.</t>
  </si>
  <si>
    <t>ONEYMBAF00192400</t>
  </si>
  <si>
    <t>12 7415 9552</t>
  </si>
  <si>
    <t xml:space="preserve">I7-60111  </t>
  </si>
  <si>
    <t>AA FAQ. Packed in 60KG Ecotact.</t>
  </si>
  <si>
    <t>60Kg Ecotact Bags</t>
  </si>
  <si>
    <t>Korea</t>
  </si>
  <si>
    <t>Kota Sempena</t>
  </si>
  <si>
    <t>ONEYMBAE02262300</t>
  </si>
  <si>
    <t>3273 734 564</t>
  </si>
  <si>
    <t xml:space="preserve"> I7-60112   </t>
  </si>
  <si>
    <t>ONEYMBAF00180800</t>
  </si>
  <si>
    <t xml:space="preserve"> YP-41169   </t>
  </si>
  <si>
    <t>Bero Italia</t>
  </si>
  <si>
    <t>AA FAQ</t>
  </si>
  <si>
    <t>Genova</t>
  </si>
  <si>
    <t>Italy</t>
  </si>
  <si>
    <t>CMA CGM Fuzhou</t>
  </si>
  <si>
    <t>GEN1868378</t>
  </si>
  <si>
    <t>01-92728</t>
  </si>
  <si>
    <t>5153A</t>
  </si>
  <si>
    <t>SC 15+ SBUX Quality, WAF01, C.A.F.E Practices, crop year 2024/25. (200*1000-Packed in Big Bags)</t>
  </si>
  <si>
    <t>AA/AB Certified</t>
  </si>
  <si>
    <t>C.A.F.E Practices</t>
  </si>
  <si>
    <t>1MT Big Bags</t>
  </si>
  <si>
    <t>Charleston</t>
  </si>
  <si>
    <t>Yokohama Star</t>
  </si>
  <si>
    <t>MOB0149068</t>
  </si>
  <si>
    <t>5153B</t>
  </si>
  <si>
    <t>Baltimore</t>
  </si>
  <si>
    <t>01-92729</t>
  </si>
  <si>
    <t>5155C</t>
  </si>
  <si>
    <t>SC 15+ SBUX Quality, WAF01, C.A.F.E Practices, crop year 2024/25. (100*1000-Packed in Big Bags)</t>
  </si>
  <si>
    <t>Tacoma</t>
  </si>
  <si>
    <t>Spil Caya</t>
  </si>
  <si>
    <t>5155A</t>
  </si>
  <si>
    <t>Oakland</t>
  </si>
  <si>
    <t>5155B</t>
  </si>
  <si>
    <t xml:space="preserve">01-92802 </t>
  </si>
  <si>
    <t>5179A</t>
  </si>
  <si>
    <t>SC 15+ SBUX Quality, WAF01, C.A.F.E Practices, crop year 2024/25. (180*1000-Packed in Big Bags)</t>
  </si>
  <si>
    <t>Shanghai</t>
  </si>
  <si>
    <t>China</t>
  </si>
  <si>
    <t>BSG Barbados</t>
  </si>
  <si>
    <t>5179B</t>
  </si>
  <si>
    <t>Micro-Lots</t>
  </si>
  <si>
    <t>KE-25-0043</t>
  </si>
  <si>
    <t>Nordic Approach</t>
  </si>
  <si>
    <t>5150A</t>
  </si>
  <si>
    <t>AB Rung'eto Karimikui #006 APS 4230 (74*30Kgs )</t>
  </si>
  <si>
    <t>AB Top</t>
  </si>
  <si>
    <t>30Kg Jute Bags</t>
  </si>
  <si>
    <t>Antwerp</t>
  </si>
  <si>
    <t>Be</t>
  </si>
  <si>
    <t>KE-25-0040</t>
  </si>
  <si>
    <t>5150B</t>
  </si>
  <si>
    <t>AA Rung'eto Karimikui #004 APS 4227(80*30Kgs)</t>
  </si>
  <si>
    <t>AA Top</t>
  </si>
  <si>
    <t>Belgium</t>
  </si>
  <si>
    <t>KE-25-0044</t>
  </si>
  <si>
    <t>5150C</t>
  </si>
  <si>
    <t>AA Rung'eto Kii #015 APS 4231 (86*30Kgs)</t>
  </si>
  <si>
    <t>KE-25-0033</t>
  </si>
  <si>
    <t>5150D</t>
  </si>
  <si>
    <t>AA Baragwi Karumandi #009 APS 4219 (80*30Kgs)</t>
  </si>
  <si>
    <t>KE-25-0045</t>
  </si>
  <si>
    <t>5150E</t>
  </si>
  <si>
    <t>AB Rung'eto Kii #015 APS 4232 (90*30Kgs)</t>
  </si>
  <si>
    <t>KE-25-0034</t>
  </si>
  <si>
    <t>5150F</t>
  </si>
  <si>
    <t>AB Baragwi Karumandi #009 APS 4220 (90*30Kgs)</t>
  </si>
  <si>
    <t>01-92844 </t>
  </si>
  <si>
    <t xml:space="preserve">ABC NKG Verified EUDR </t>
  </si>
  <si>
    <t>EUDR/NKG vERIFIED</t>
  </si>
  <si>
    <t>Gothenberg</t>
  </si>
  <si>
    <t>MSC Gina</t>
  </si>
  <si>
    <t>WECC2588GOT1003</t>
  </si>
  <si>
    <t>P47822</t>
  </si>
  <si>
    <t>Rothfos Corporation</t>
  </si>
  <si>
    <t>5154A-E</t>
  </si>
  <si>
    <t>AB(TP Quality). Packed in exchange grade Jute bags.</t>
  </si>
  <si>
    <t>Norfolk</t>
  </si>
  <si>
    <t>Australia</t>
  </si>
  <si>
    <t>Oceania</t>
  </si>
  <si>
    <t>Grinder sc13 up. APS</t>
  </si>
  <si>
    <t>Grinder PLus</t>
  </si>
  <si>
    <t>WECC2588HAM1024</t>
  </si>
  <si>
    <t>MSC Lome V</t>
  </si>
  <si>
    <t>WECC2588HAM1049</t>
  </si>
  <si>
    <t>P47837</t>
  </si>
  <si>
    <t>5167A</t>
  </si>
  <si>
    <t>AB TH Spec</t>
  </si>
  <si>
    <t>Montreal</t>
  </si>
  <si>
    <t>Canada</t>
  </si>
  <si>
    <t>MSC Mattina</t>
  </si>
  <si>
    <t>MEDUM2729496</t>
  </si>
  <si>
    <t>5167B</t>
  </si>
  <si>
    <t>P47838</t>
  </si>
  <si>
    <t>MEDUM2736541</t>
  </si>
  <si>
    <t>P47839</t>
  </si>
  <si>
    <t xml:space="preserve">MSC Mediterranian </t>
  </si>
  <si>
    <t>MEDUM2750765</t>
  </si>
  <si>
    <t>P47840</t>
  </si>
  <si>
    <t>Kenfreight</t>
  </si>
  <si>
    <t xml:space="preserve">MSC LOME </t>
  </si>
  <si>
    <t>MEDUM2758768</t>
  </si>
  <si>
    <t>225-G-390</t>
  </si>
  <si>
    <t>Nyeri AA. PSS to be drawn by SGS &amp; sampling offer to be inclusive in the offer. Packed in grainpro.</t>
  </si>
  <si>
    <t>AA faq</t>
  </si>
  <si>
    <t>MBAF00329600</t>
  </si>
  <si>
    <t>41 4827 0291</t>
  </si>
  <si>
    <t>225-G-393</t>
  </si>
  <si>
    <t>Kota Singa</t>
  </si>
  <si>
    <t>ONEYMBAF01136300</t>
  </si>
  <si>
    <t>4827 8334 63</t>
  </si>
  <si>
    <t>Grinders</t>
  </si>
  <si>
    <t>WECC2588FOS1019</t>
  </si>
  <si>
    <t xml:space="preserve"> 01-92996 </t>
  </si>
  <si>
    <t xml:space="preserve">MSC Prelude </t>
  </si>
  <si>
    <t>MEDUM2752951</t>
  </si>
  <si>
    <t xml:space="preserve">01-92993 </t>
  </si>
  <si>
    <t>5197A</t>
  </si>
  <si>
    <t xml:space="preserve">Safi A   </t>
  </si>
  <si>
    <t>Maersk Cairo</t>
  </si>
  <si>
    <t>5197B</t>
  </si>
  <si>
    <t>Barcelona</t>
  </si>
  <si>
    <t>Spain</t>
  </si>
  <si>
    <t xml:space="preserve"> 01-92994 </t>
  </si>
  <si>
    <t>5228B</t>
  </si>
  <si>
    <t>MSC Prelude</t>
  </si>
  <si>
    <t>MEDUM2747936</t>
  </si>
  <si>
    <t>5228A</t>
  </si>
  <si>
    <t>Thessaloniki</t>
  </si>
  <si>
    <t>Greece</t>
  </si>
  <si>
    <t>KE-25-0038</t>
  </si>
  <si>
    <t>5152A</t>
  </si>
  <si>
    <t>AA Kamwenja#70. As Per Sample 4225. (80 Bags Packed in 30Kg Vacuum Pack.)</t>
  </si>
  <si>
    <t>Vacuum Pack Boxes</t>
  </si>
  <si>
    <t>KE-25-0024</t>
  </si>
  <si>
    <t>5152B</t>
  </si>
  <si>
    <t>AA Kamwenja#006.As Per Sample 4245. (60 Bags Packed in 30Kg Vacuum Pack.)</t>
  </si>
  <si>
    <t>KE-25-0018</t>
  </si>
  <si>
    <t>5152F</t>
  </si>
  <si>
    <t>AA Kamwenja#045.As Per Sample 4236.(120 Bags Packed in 30Kg Vacuum Pack.)</t>
  </si>
  <si>
    <t>KE-25-0023</t>
  </si>
  <si>
    <t>5152C</t>
  </si>
  <si>
    <t>AB Kamwenja #047.As Per Sample 4243.(30 Bags Packed in 30Kg Vacuum Pack.)</t>
  </si>
  <si>
    <t>KE-25-0021</t>
  </si>
  <si>
    <t>5152D</t>
  </si>
  <si>
    <t>AB Kamwenja #046.As Per Sample 4240.(80 Bags Packed in 30Kg Vacuum Pack.)</t>
  </si>
  <si>
    <t>KE-25-0020</t>
  </si>
  <si>
    <t>5152E</t>
  </si>
  <si>
    <t xml:space="preserve"> AA Kamwenja#046.As Per Sample 4239.(80 Bags Packed in 30Kg Vacuum Pack.)</t>
  </si>
  <si>
    <t>KE-25-0019</t>
  </si>
  <si>
    <t>5152G</t>
  </si>
  <si>
    <t>AB Kamwenja#045.As Per sample 4237.(60 Bags Packed in 30Kg Vacuum Pack.)</t>
  </si>
  <si>
    <t>YP-41305</t>
  </si>
  <si>
    <t>Type Billy</t>
  </si>
  <si>
    <t>ML</t>
  </si>
  <si>
    <t>Trieste</t>
  </si>
  <si>
    <t>YP-41306</t>
  </si>
  <si>
    <t>Lucky Blessing</t>
  </si>
  <si>
    <t>MEDUM2740410</t>
  </si>
  <si>
    <t>YP-41307</t>
  </si>
  <si>
    <t>5244A</t>
  </si>
  <si>
    <t>MSS Prelude</t>
  </si>
  <si>
    <t>MEDUM2750773</t>
  </si>
  <si>
    <t>CO-63117</t>
  </si>
  <si>
    <t>Coprocafe</t>
  </si>
  <si>
    <t>5163A</t>
  </si>
  <si>
    <t>AB</t>
  </si>
  <si>
    <t>AB/PB FAQ</t>
  </si>
  <si>
    <t>WECC2588BCN1011</t>
  </si>
  <si>
    <t>4780 1877 75</t>
  </si>
  <si>
    <t>CO-63116</t>
  </si>
  <si>
    <t>5163B</t>
  </si>
  <si>
    <t>Biashara</t>
  </si>
  <si>
    <t>CO-63115</t>
  </si>
  <si>
    <t>5163C</t>
  </si>
  <si>
    <t>AA Faq</t>
  </si>
  <si>
    <t>SC.15 SBUX Quality KEN01 CC.A.F.E Practice, Crop 2024/2025.Packed in Ecotact/Grainpro.</t>
  </si>
  <si>
    <t>AA/AB/PB Plus certified</t>
  </si>
  <si>
    <t>Chennai</t>
  </si>
  <si>
    <t>India</t>
  </si>
  <si>
    <t>MEDUM2733340</t>
  </si>
  <si>
    <t>422 946 3136</t>
  </si>
  <si>
    <t>SAFI A</t>
  </si>
  <si>
    <t>WECC2588RTM1060</t>
  </si>
  <si>
    <t>5178A</t>
  </si>
  <si>
    <t>SBUX Endebess Estate AA C.A.F.E practices verified-crop 2024/2025. Quality(KEN83)  APS 4277 cupped 11th Dec'24. Packed in grainpro</t>
  </si>
  <si>
    <t>Yokohama</t>
  </si>
  <si>
    <t>Japan</t>
  </si>
  <si>
    <t>5178B</t>
  </si>
  <si>
    <t>01-93054</t>
  </si>
  <si>
    <t>SBUX Endebess Estate AA C.A.F.E practices verified-crop 2024/2025. Quality (KEN83). 1 Bag of 40kg Packed in grainpro. FCA JKIA Nairobi, KE. No PSS required but must wait for PSS approval of PO 60028052 &amp; SCTC Traffic confirmation before shipment</t>
  </si>
  <si>
    <t>Seattle</t>
  </si>
  <si>
    <t>Approved</t>
  </si>
  <si>
    <t>DSV</t>
  </si>
  <si>
    <t>Airfreight</t>
  </si>
  <si>
    <t>13-48222</t>
  </si>
  <si>
    <t>IAC HH</t>
  </si>
  <si>
    <t>5187C</t>
  </si>
  <si>
    <t>AA Top THIRIKU-10SM0006, APS 4410. Packed in 60Kg Grainpro.</t>
  </si>
  <si>
    <t>13-48223</t>
  </si>
  <si>
    <t>5187D</t>
  </si>
  <si>
    <t>AB Top THIRIKU-10SM0006, APS 4411. Packed in 60Kg Grainpro.</t>
  </si>
  <si>
    <t>P35170/1</t>
  </si>
  <si>
    <t>Strauss</t>
  </si>
  <si>
    <t>Type Mara. APS 6028.bulk</t>
  </si>
  <si>
    <t>MH</t>
  </si>
  <si>
    <t>Gdansk</t>
  </si>
  <si>
    <t>Poland</t>
  </si>
  <si>
    <t>P35171/1</t>
  </si>
  <si>
    <t>P35172/1</t>
  </si>
  <si>
    <t>01-93066</t>
  </si>
  <si>
    <t>MH, Prompt</t>
  </si>
  <si>
    <t>Gdynia</t>
  </si>
  <si>
    <t>MEDUM2724216</t>
  </si>
  <si>
    <t>MEDUM2725908</t>
  </si>
  <si>
    <t>KE-25-0064</t>
  </si>
  <si>
    <t>Cancelled</t>
  </si>
  <si>
    <t>KE-25-0065</t>
  </si>
  <si>
    <t>5169B</t>
  </si>
  <si>
    <t>AB Baragwi Kariru - 08SM0017 - washed(96 boxes packed in 30kg vacuum)</t>
  </si>
  <si>
    <t>KE-25-0066</t>
  </si>
  <si>
    <t>5170A</t>
  </si>
  <si>
    <t>AA Weithaga 09im0016 - washed(44 boxes packed in 30kg vacuum)</t>
  </si>
  <si>
    <t>KE-25-0067</t>
  </si>
  <si>
    <t>5170B</t>
  </si>
  <si>
    <t>AA Kianderi 09im0020 - washed(20 boxes packed in 30kg vacuum)</t>
  </si>
  <si>
    <t>KE-25-0069</t>
  </si>
  <si>
    <t>5169C</t>
  </si>
  <si>
    <t>AA Thiririka Kiganjo - 09KF0004 - washed(90 boxes packed in 30kg vacuum)</t>
  </si>
  <si>
    <t>KE-25-0072</t>
  </si>
  <si>
    <t>5169D</t>
  </si>
  <si>
    <t>AB Inoi Ndimi - 09KN0031 - washed(104 boxes packed in 30kg vacuum)</t>
  </si>
  <si>
    <t>KE-25-0078</t>
  </si>
  <si>
    <t>5169E</t>
  </si>
  <si>
    <t>AA Inoi Ndimi - 09KN0031 - washed(90 boxes packed in 30kg vacuum)</t>
  </si>
  <si>
    <t>KE-25-0085</t>
  </si>
  <si>
    <t>5170C</t>
  </si>
  <si>
    <t>AB Baragwi Thimu - 10SM0034(90 boxes packed in 30kg vacuum)</t>
  </si>
  <si>
    <t>KE-25-0094</t>
  </si>
  <si>
    <t>5170D</t>
  </si>
  <si>
    <t>AB Inoi Ndimi - 11KN0055(90 boxes packed in 30kg vacuum)</t>
  </si>
  <si>
    <t>KE-25-0084</t>
  </si>
  <si>
    <t>5170E</t>
  </si>
  <si>
    <t>AA Baragwi Thimu - 10SM0034.(84 boxes packed in 30kg vacuum)</t>
  </si>
  <si>
    <t>KE-25-0088</t>
  </si>
  <si>
    <t>5170F</t>
  </si>
  <si>
    <t>AA Baragwi Guama - 10SM0039(90 boxes packed in 30kg vacuum)</t>
  </si>
  <si>
    <t>KE-25-0093</t>
  </si>
  <si>
    <t>5170G</t>
  </si>
  <si>
    <t>AA Inoi Ndimi - 11KN0055(82 boxes packed in 30kg vacuum)</t>
  </si>
  <si>
    <t>Ataka</t>
  </si>
  <si>
    <t>5172A</t>
  </si>
  <si>
    <t>AA Top Baragwi FCS Kariru-08SM0017. APS 4282. Packed in 60Kg Grainpro.</t>
  </si>
  <si>
    <t>5172B</t>
  </si>
  <si>
    <t>AB Top Baragwi FCS Kariru-08SM0017. APS 4283. Packed in 60Kg Grainpro.</t>
  </si>
  <si>
    <t>IAC Australia</t>
  </si>
  <si>
    <t>5190A</t>
  </si>
  <si>
    <t>AB Kirinyaga, Packed in Grainpro. *Remaining 48 bags space to be filled with microlots to be selected Jan/Feb</t>
  </si>
  <si>
    <t>Sydney</t>
  </si>
  <si>
    <t>GSL Melina</t>
  </si>
  <si>
    <t>P34173</t>
  </si>
  <si>
    <t>ABC Kifaru</t>
  </si>
  <si>
    <t>Ashdod</t>
  </si>
  <si>
    <t>Israel</t>
  </si>
  <si>
    <t>P34174</t>
  </si>
  <si>
    <t>P34175</t>
  </si>
  <si>
    <t>Wiking</t>
  </si>
  <si>
    <t>01-93112</t>
  </si>
  <si>
    <t>5176A</t>
  </si>
  <si>
    <t>CKEN597817</t>
  </si>
  <si>
    <t>5176B</t>
  </si>
  <si>
    <t>5176D</t>
  </si>
  <si>
    <t>5176C</t>
  </si>
  <si>
    <t>Savannah</t>
  </si>
  <si>
    <t>5176E</t>
  </si>
  <si>
    <t>01-93113</t>
  </si>
  <si>
    <t>5213A</t>
  </si>
  <si>
    <t>Ren Jian8</t>
  </si>
  <si>
    <t>MOB0150662</t>
  </si>
  <si>
    <t>5213B</t>
  </si>
  <si>
    <t>5213C</t>
  </si>
  <si>
    <t>01-93114</t>
  </si>
  <si>
    <t>5272A</t>
  </si>
  <si>
    <t>Amsterdam</t>
  </si>
  <si>
    <t>5272B</t>
  </si>
  <si>
    <t>P47916.2</t>
  </si>
  <si>
    <t>5174B</t>
  </si>
  <si>
    <t>ABC Faq</t>
  </si>
  <si>
    <t>MEDUM2728753</t>
  </si>
  <si>
    <t>P47916.1</t>
  </si>
  <si>
    <t>5174A</t>
  </si>
  <si>
    <t>13-48246</t>
  </si>
  <si>
    <t>AB Faq</t>
  </si>
  <si>
    <t>AA FAQ. Packed in 60Kg Grainpro.</t>
  </si>
  <si>
    <t>ONEYMBAF00178800</t>
  </si>
  <si>
    <t>AB FAQ. Packed in 60Kg Grainpro.</t>
  </si>
  <si>
    <t>ONEYMBAF00364500</t>
  </si>
  <si>
    <t>57 2040 7556</t>
  </si>
  <si>
    <t>P613453-1</t>
  </si>
  <si>
    <t>Covoya USA</t>
  </si>
  <si>
    <t>5171A</t>
  </si>
  <si>
    <t>AB FAQ.As Per Sample 4152.Packed in Grainpro.</t>
  </si>
  <si>
    <t>New York</t>
  </si>
  <si>
    <t>SC Montreaus</t>
  </si>
  <si>
    <t>NBI0120391</t>
  </si>
  <si>
    <t>P613454-1</t>
  </si>
  <si>
    <t>5171B</t>
  </si>
  <si>
    <t>13-48310</t>
  </si>
  <si>
    <t>5205A</t>
  </si>
  <si>
    <t>AA TOP RUNG'ETO KII-06KN0024. APS 4188. Packed in 60Kg Ecotact.</t>
  </si>
  <si>
    <t>13-48311</t>
  </si>
  <si>
    <t>5297A</t>
  </si>
  <si>
    <t>AA TOP RUNG'ETO KIANGOI-13KN0014.APS 4189.Packed in 60Kg Ecotact.</t>
  </si>
  <si>
    <t>13-48312</t>
  </si>
  <si>
    <t>5205B</t>
  </si>
  <si>
    <t>AA TOP RUNG'ETO KARIMIKUI-12KN0034.APS 4191.Packed in 60Kg Ecotact.</t>
  </si>
  <si>
    <t>13-48313</t>
  </si>
  <si>
    <t>5297B</t>
  </si>
  <si>
    <t>AA TOP BARAGWI KIANJIRU-10SM0041. APS 4165.Packed in 60Kg Ecotact.</t>
  </si>
  <si>
    <t>13-48314</t>
  </si>
  <si>
    <t>5297C</t>
  </si>
  <si>
    <t>AA TOP KANGIRI KANGURUMAI-09SM0009.APS 4170.Packed in 60Kg Ecotact.</t>
  </si>
  <si>
    <t>13-48315</t>
  </si>
  <si>
    <t>5205C</t>
  </si>
  <si>
    <t>PB TOP BARAGWI.APS 4167.Packed in 60Kg Ecotact.</t>
  </si>
  <si>
    <t>AB/PB Top</t>
  </si>
  <si>
    <t>13-48316</t>
  </si>
  <si>
    <t>5187A</t>
  </si>
  <si>
    <t>AA TOP RUNGETO BLEND.SAS. (230 Boxes of 30Kg Vacuum Pack)</t>
  </si>
  <si>
    <t>27/02/2025</t>
  </si>
  <si>
    <t>13-48322</t>
  </si>
  <si>
    <t>5187B</t>
  </si>
  <si>
    <t>AB BILASHAKA.Packed in 60Kg Ecotact</t>
  </si>
  <si>
    <t>AB/PB Plus</t>
  </si>
  <si>
    <t>HC-2103A</t>
  </si>
  <si>
    <t>Heinrich Christen</t>
  </si>
  <si>
    <t>5234A</t>
  </si>
  <si>
    <t>AA FAQ. SAS on replacement basis. Packed in Grainpro.</t>
  </si>
  <si>
    <t>Toronto</t>
  </si>
  <si>
    <t>5234B</t>
  </si>
  <si>
    <t>AB FAQ. SAS on replacement basis. Packed in Grainpro.</t>
  </si>
  <si>
    <t>IAC UK</t>
  </si>
  <si>
    <t>5189A</t>
  </si>
  <si>
    <t>AB BARAGWI MUSHAGARA-13SM0011. As Per Sample 4607.Packed in 60Kg Grainpro</t>
  </si>
  <si>
    <t>London, Gateway</t>
  </si>
  <si>
    <t>UK</t>
  </si>
  <si>
    <t>5189B</t>
  </si>
  <si>
    <t>AA RUNGETO KIANGOI-06KN0031.As Per Sample 4594.Packed in 60Kg Grainpro</t>
  </si>
  <si>
    <t>5189C</t>
  </si>
  <si>
    <t xml:space="preserve">AA THIRIRIKA GITHEMBE 09KF0005.As Per Sample 4590.Packed in 60Kg Grainpro </t>
  </si>
  <si>
    <t>5189D</t>
  </si>
  <si>
    <t>AB BARAGWI KARIRU-10SM0037.As Per Sample 4598.Packed in 60Kg Ecotact.</t>
  </si>
  <si>
    <t>5189E</t>
  </si>
  <si>
    <t>AA THIRIRIKA KIGANJO-09KF0004.As Per Sample 4186.(20Boxes of 30Kg Vacuum Pack)</t>
  </si>
  <si>
    <t>5189F</t>
  </si>
  <si>
    <t>PB Kisii. Packed in 60Kg Grainpro.</t>
  </si>
  <si>
    <t>AB/PB Minus</t>
  </si>
  <si>
    <t>5169F</t>
  </si>
  <si>
    <t>AB THIKAGIKI THITHI.12IM0077 (80 Boxes of 30Kg Vacuum Pack)</t>
  </si>
  <si>
    <t>P19354 1.0</t>
  </si>
  <si>
    <t>IAC USA</t>
  </si>
  <si>
    <t xml:space="preserve">AB.(Packed in 60Kg Ecotact bags.) </t>
  </si>
  <si>
    <t>Hapag Lloyd FCL/FCL</t>
  </si>
  <si>
    <t>Ren Jian 8</t>
  </si>
  <si>
    <t>HLCUMB1250500800</t>
  </si>
  <si>
    <t>P19355-6</t>
  </si>
  <si>
    <t>5288A</t>
  </si>
  <si>
    <t>Derby D</t>
  </si>
  <si>
    <t>NBI020844</t>
  </si>
  <si>
    <t>5288B</t>
  </si>
  <si>
    <t>P19357</t>
  </si>
  <si>
    <t>5305A</t>
  </si>
  <si>
    <t>NBI0120984</t>
  </si>
  <si>
    <t>P19358</t>
  </si>
  <si>
    <t>5305B</t>
  </si>
  <si>
    <t>P19359-60</t>
  </si>
  <si>
    <t>5308A</t>
  </si>
  <si>
    <t>CMA CGM Tarragona</t>
  </si>
  <si>
    <t>NBI0121492</t>
  </si>
  <si>
    <t>5308B</t>
  </si>
  <si>
    <t>P19361 1.0</t>
  </si>
  <si>
    <t>5323A</t>
  </si>
  <si>
    <t>CMA-CGM MoMBASA</t>
  </si>
  <si>
    <t>NBI0121498A</t>
  </si>
  <si>
    <t>P19362 1.0</t>
  </si>
  <si>
    <t>5323B</t>
  </si>
  <si>
    <t>P19363-4</t>
  </si>
  <si>
    <t>5335A-B</t>
  </si>
  <si>
    <t>Lobivia</t>
  </si>
  <si>
    <t>NBI0121502/6</t>
  </si>
  <si>
    <t>P19365</t>
  </si>
  <si>
    <t>5348A</t>
  </si>
  <si>
    <t>CMA-CGM Cleveland</t>
  </si>
  <si>
    <t>NBI0121522</t>
  </si>
  <si>
    <t>P19366</t>
  </si>
  <si>
    <t>5348B</t>
  </si>
  <si>
    <t>U1-50749</t>
  </si>
  <si>
    <t>5247A</t>
  </si>
  <si>
    <t>AB Kirinyaga. Packed in 60Kg Grainpro.</t>
  </si>
  <si>
    <t>01-93271/00</t>
  </si>
  <si>
    <t>TP Quality. Coffee to be packed in exchange grade bags.</t>
  </si>
  <si>
    <t>WECC2588HAM1072</t>
  </si>
  <si>
    <t>5189G</t>
  </si>
  <si>
    <t>AA BARAGWI GUAMA 09SM0006.APS 4179.Packed in 60Kg Grainpro.</t>
  </si>
  <si>
    <t>5189H</t>
  </si>
  <si>
    <t>AA Thiririka Kiganjo-09KF0004.APS 4186.Packed in 60Kg Grainpro.</t>
  </si>
  <si>
    <t>5189I</t>
  </si>
  <si>
    <t xml:space="preserve"> AA BARAGWI NYANJA 06SM0037.APS 4187.Packed in 60Kg Grainpro.</t>
  </si>
  <si>
    <t>5189J</t>
  </si>
  <si>
    <t>AA THIRIRIKA GITHEMBE 09KF0005.APS 4190.(15 Boxes of 30Kg Vacuum Pack)</t>
  </si>
  <si>
    <t>5189K</t>
  </si>
  <si>
    <t>PB RUNGETO.APS 4592.Packed in 60Kg Grainpro.</t>
  </si>
  <si>
    <t>5204A</t>
  </si>
  <si>
    <t>KENYA AA INOI FCS NDIMI-09KN0031.APS 4325.Packed in 60Kg Grainpro.</t>
  </si>
  <si>
    <t>5204B</t>
  </si>
  <si>
    <t>KENYA AB INOI FCS NDIMI-09KN0031.APS 4326.Packed in 60Kg Grainpro.</t>
  </si>
  <si>
    <t>5204C</t>
  </si>
  <si>
    <t>KENYA AA INOI FCS KAGUYU-09KN0034.APS 4333.Packed in 60Kg Grainpro.</t>
  </si>
  <si>
    <t>5204D</t>
  </si>
  <si>
    <t>KENYA AB INOI FCS KAGUYU-09KN0033.APS 4328.30 Bags Packed in 30Kg Grainpro.</t>
  </si>
  <si>
    <t>30Kg Grain Pro Bags</t>
  </si>
  <si>
    <t>5204E</t>
  </si>
  <si>
    <t>KENYA AA KANGIRI FCS GATUMBI-09SM0010.APS 4347. Packed in 60Kg Grainpro.</t>
  </si>
  <si>
    <t>5204F</t>
  </si>
  <si>
    <t>KENYA AA KANGIRI FCS KANGURUMAI-09SM0009.APS 4349.30 Bags Packed in 30Kg Grainpro.</t>
  </si>
  <si>
    <t>5204G</t>
  </si>
  <si>
    <t>KENYA AA BARAGWI FCS GUAMA-09SM0006. APS 4351.Packed in 60Kg Grainpro.</t>
  </si>
  <si>
    <t>5204H</t>
  </si>
  <si>
    <t>KENYA AA BARAGWI FCS RWAMBITI-09SM0003.APS 4353. 32 Bags Packed in 30Kg Grainpro</t>
  </si>
  <si>
    <t>5204I</t>
  </si>
  <si>
    <t>KENYA AA NEW GIKARU KAHURO-08SM0030APS 4363. 30 Bags Packed in 30Kg Grainpro.</t>
  </si>
  <si>
    <t>5204J</t>
  </si>
  <si>
    <t>KENYA AB INOI FCS-10KN100.APS 4340. Packed in 60Kg Grainipro.</t>
  </si>
  <si>
    <t>5204K</t>
  </si>
  <si>
    <t>KENYA AA KANGIRI FCS GATUMBI-09SM0010.APS 4347.20 Boxes Packed in 30Kg Vacuum Pack.</t>
  </si>
  <si>
    <t>5204L</t>
  </si>
  <si>
    <t>KENYA AA BARAGWI FCS RWAMBITI-09SM0003APS 4353.20 Boxes Packed in 30Kg Vacuum Pack.</t>
  </si>
  <si>
    <t>5204M</t>
  </si>
  <si>
    <t>KENYA AB KANGIRI FCS KANGURUMAI-09SM0009APS 4353.4 Boxes Packed in 30Kg Vacuum Pack.</t>
  </si>
  <si>
    <t>5204N</t>
  </si>
  <si>
    <t>KENYA AA NEW GIKARU KAHURO-08SM0030.APS 4363.Packed in 30Kg Vacuum Pack.</t>
  </si>
  <si>
    <t>5204O</t>
  </si>
  <si>
    <t>KENYA AB NEW GIKARU KAHURO-08SM0030APS 4347.Packed in 30Kg Vacuum Pack.</t>
  </si>
  <si>
    <t xml:space="preserve"> 01-93042 </t>
  </si>
  <si>
    <t xml:space="preserve">SC 15+ SBUX Quality, WAF01, C.A.F.E Practices, crop year 2024/25. (60*1000-Packed in Big Bags)subject to approval of sample on replacement basis.
repeat and arrival sample      </t>
  </si>
  <si>
    <t>SCI Mumbai</t>
  </si>
  <si>
    <t>CKEN602607</t>
  </si>
  <si>
    <t>5189L</t>
  </si>
  <si>
    <t>AB INOI KIANDERI-12KN0072.  As Per Sample 4600.10 Boxes Packed in 30Kg Vacuum pack</t>
  </si>
  <si>
    <t>5188A</t>
  </si>
  <si>
    <t>AB TOP GAKUYUINI-14IM0058, APS 4662. Packed in 60Kg Grainpro.</t>
  </si>
  <si>
    <t>5188B</t>
  </si>
  <si>
    <t>AA TOP GIKANDA KANGOCHO-13GF0002.APS 4663.Packed in 60Kg Grainpro.</t>
  </si>
  <si>
    <t>5188C</t>
  </si>
  <si>
    <t xml:space="preserve"> AA TOP GIKIRIMA-14IM0030,APS 4669.Packed in 60Kg Grainpro.</t>
  </si>
  <si>
    <t>5188D</t>
  </si>
  <si>
    <t>AA TOP GUAMA-10SM0006, APS 4660.Packed in 60Kg Grainpro.</t>
  </si>
  <si>
    <t>5188E</t>
  </si>
  <si>
    <t>AA KIANJIRU-08SM0023, APS 4667.Packed in 60Kg Grainpro.</t>
  </si>
  <si>
    <t>5188F</t>
  </si>
  <si>
    <t>AB TOP MIHUTI-13IM0005. APS 4661.Packed in 60Kg Grainpro.</t>
  </si>
  <si>
    <t>5188G</t>
  </si>
  <si>
    <t>AA TOP NDAROINI-13TY0005, APS 4665.Packed in 60Kg Grainpro.</t>
  </si>
  <si>
    <t>5188H</t>
  </si>
  <si>
    <t>PB TOP NDAROINI-13TY0005,APS 4664. Packed in 60Kg Grainpro.</t>
  </si>
  <si>
    <t>5188I</t>
  </si>
  <si>
    <t>AA TOP RUNG'ETO KII-12KN0023.APS 4672.Packed in 60Kg Grainpro.</t>
  </si>
  <si>
    <t>5188J</t>
  </si>
  <si>
    <t>AB TOP RUNG'ETO KII-12KN0005,APS 4671.Packed in 60Kg Grainpro.</t>
  </si>
  <si>
    <t>5188K</t>
  </si>
  <si>
    <t>AB TOP RUNG'ETO KII-13KN0010, APS 4673.Packed in 60Kg Grainpro.</t>
  </si>
  <si>
    <t>5188L</t>
  </si>
  <si>
    <t>AB TOP,APS.(1 bag of 65Kgs)</t>
  </si>
  <si>
    <t>5198A</t>
  </si>
  <si>
    <t>AA Kamacharia Wahundura#129 ,12IM0129.APS.(50 Boxes of 30Kg Vacuum Pack).</t>
  </si>
  <si>
    <t>5198B</t>
  </si>
  <si>
    <t>AA Thiririka Githembera#028,11KF0028.APS.(52 Boxes of 30Kg Vacuum Pack).</t>
  </si>
  <si>
    <t>5198C</t>
  </si>
  <si>
    <t>AA Kamacharia Kagumoini#093,12IM0093.APS.(70 Boxes of 30Kg Vacuum Pack).</t>
  </si>
  <si>
    <t>5198D</t>
  </si>
  <si>
    <t>AA New Weithagakianderi#035,11IM0035.APS.(40 Boxes of 30Kg Vacuum Pack).</t>
  </si>
  <si>
    <t>5198E</t>
  </si>
  <si>
    <t>AA Gikanda Ndaroini#005,13TY0005.APS.(50 Boxes of 30Kg Vacuum Pack).</t>
  </si>
  <si>
    <t>5198F</t>
  </si>
  <si>
    <t>AB Thikagiki Thithi #077,12IM0077.APS.(70 Boxes of 30Kg Vacuum Pack).</t>
  </si>
  <si>
    <t>5198G</t>
  </si>
  <si>
    <t>AB New Weithagakianderi #035,11IM0035.APS.(62 Boxes of 30Kg Vacuum Pack).</t>
  </si>
  <si>
    <t>5198H</t>
  </si>
  <si>
    <t>AA Tekangu Ngunguru#101,12IM0101,APS.(52 Boxes of 30Kg Vacuum Pack).</t>
  </si>
  <si>
    <t>5189N</t>
  </si>
  <si>
    <t>AA Baragwi Mushagara,APS.Packed in grainpro.</t>
  </si>
  <si>
    <t>5189M</t>
  </si>
  <si>
    <t>AA Inoi Kianderi ,APS. Packed in Grainpro.</t>
  </si>
  <si>
    <t>AA/AB Plus, RA-IP</t>
  </si>
  <si>
    <t>RA-IP</t>
  </si>
  <si>
    <t>WECC2588HAM1096</t>
  </si>
  <si>
    <t>AA/AB Plus.</t>
  </si>
  <si>
    <t>WECC2588HAM1095</t>
  </si>
  <si>
    <t xml:space="preserve">Hao Bo 01 </t>
  </si>
  <si>
    <t>WECC2588HAM1128</t>
  </si>
  <si>
    <t>5190B</t>
  </si>
  <si>
    <t>AB RUNG'ETO KARIMIKUI-06KN0008, APS 4501.Packed in 60Kg Grainpro</t>
  </si>
  <si>
    <t>5190C</t>
  </si>
  <si>
    <t>AB KIENI-14IM0002,APS 4683.Packed in 60Kg Grainpro</t>
  </si>
  <si>
    <t>5190D</t>
  </si>
  <si>
    <t>KENYA AB RUNG'ETO KARIMIKUI-06KN0008,APS 4501.Packed in 60Kg Grainpro</t>
  </si>
  <si>
    <t>5204P</t>
  </si>
  <si>
    <t>AA Rungeto Karimikui-12KN0034,APS 4751.Packed in 60Kg Grainpro.</t>
  </si>
  <si>
    <t>5204Q</t>
  </si>
  <si>
    <t xml:space="preserve"> AB RUNGETO KII-12KN0019,APS 4752.(30 Bags packed in 30Kg Grainpro.)</t>
  </si>
  <si>
    <t>5204R</t>
  </si>
  <si>
    <t>AB RUNGETO KIANGOI-12KN0027.APS 4753.Packed in 60Kg Grainpro.</t>
  </si>
  <si>
    <t>5204S</t>
  </si>
  <si>
    <t>AA Rungeto Kii-15KN0074, APS 4756.Packed in 60KgGrainpro.</t>
  </si>
  <si>
    <t>5204T</t>
  </si>
  <si>
    <t xml:space="preserve">AA/Rift Valley,APS 3022 .Packed in 60Kg Grainpro </t>
  </si>
  <si>
    <t>AB Plus.</t>
  </si>
  <si>
    <t>WECC2588HAM1127</t>
  </si>
  <si>
    <t>5198J</t>
  </si>
  <si>
    <t>AA Murue Kianyangi003,12EC0003. As Per Sample.(54 Boxes of 30Kg Vacuum Pack).</t>
  </si>
  <si>
    <t>AA TOP</t>
  </si>
  <si>
    <t>EA-89727</t>
  </si>
  <si>
    <t>Bric Russia</t>
  </si>
  <si>
    <t>AA PLUS. Packed in 60Kg Grainpro.</t>
  </si>
  <si>
    <t>AA Plus</t>
  </si>
  <si>
    <t>Riga</t>
  </si>
  <si>
    <t>Latvia</t>
  </si>
  <si>
    <t>APPROVED</t>
  </si>
  <si>
    <t>42 2421 3453</t>
  </si>
  <si>
    <t>EA-89728</t>
  </si>
  <si>
    <t xml:space="preserve">AB PLUS.  Packed in 60Kg Grainpro </t>
  </si>
  <si>
    <t>EA-89729</t>
  </si>
  <si>
    <t xml:space="preserve">AB FAQ. Packed in 60Kg Grainpro </t>
  </si>
  <si>
    <t>Lucky blessing</t>
  </si>
  <si>
    <t>WECC2588RIX1002</t>
  </si>
  <si>
    <t>5138 505 271</t>
  </si>
  <si>
    <t xml:space="preserve">Atlas </t>
  </si>
  <si>
    <t>5245A</t>
  </si>
  <si>
    <t>KENYA AB RUNG'ETO KII-12KN0015.Packed in 60Kg Grainpro.PSS Needed.</t>
  </si>
  <si>
    <t>5245B</t>
  </si>
  <si>
    <t>KENYA AA THIRIKWA GAKUYUINI-12IM0095.Packed in 60Kg Grainpro.PSS Needed.</t>
  </si>
  <si>
    <t>5245C</t>
  </si>
  <si>
    <t>KENYA PB KII.Packed in 60Kg Grainpro.PSS Needed.</t>
  </si>
  <si>
    <t>5245D</t>
  </si>
  <si>
    <t>KENYA AA THIRIKU-16SM0075.Packed in 60Kg Grainpro.PSS Needed.</t>
  </si>
  <si>
    <t>5245E</t>
  </si>
  <si>
    <t>KENYA AA  GICHIKA-10KF0088.Packed in 60Kg Grainpro.PSS Needed.</t>
  </si>
  <si>
    <t>5245F</t>
  </si>
  <si>
    <t>ENDEBESS NATURAL.Packed in 60Kg Grainpro.PSS Needed.</t>
  </si>
  <si>
    <t>01-93423</t>
  </si>
  <si>
    <t xml:space="preserve"> ABC TP</t>
  </si>
  <si>
    <t>ABC TP</t>
  </si>
  <si>
    <t xml:space="preserve"> 01-93447 </t>
  </si>
  <si>
    <t>AB FAQ JDE Quality.</t>
  </si>
  <si>
    <t>MSC Langsar</t>
  </si>
  <si>
    <t>MEDUM2742754</t>
  </si>
  <si>
    <t>93448/00</t>
  </si>
  <si>
    <t>5200A</t>
  </si>
  <si>
    <t xml:space="preserve">AB Kitale </t>
  </si>
  <si>
    <t>93448/01</t>
  </si>
  <si>
    <t>5200B</t>
  </si>
  <si>
    <t>P35220/1</t>
  </si>
  <si>
    <t xml:space="preserve">Type Mara </t>
  </si>
  <si>
    <t xml:space="preserve"> 01-93453 </t>
  </si>
  <si>
    <t>AB Plus RA-IP (Paulig quality) *BULK.</t>
  </si>
  <si>
    <t>Helsinki</t>
  </si>
  <si>
    <t>Finland</t>
  </si>
  <si>
    <t xml:space="preserve"> 01-93454 </t>
  </si>
  <si>
    <t>AB Plus RA-IP (Paulig quality) * BULK</t>
  </si>
  <si>
    <t xml:space="preserve">Spil Caya </t>
  </si>
  <si>
    <t>5203A</t>
  </si>
  <si>
    <t>AB KABARE KARANI 11KN0010,APS. 50 boxes of 30Kg Vacuum Pack.</t>
  </si>
  <si>
    <t>5203B</t>
  </si>
  <si>
    <t>AB THIRIKWA GAKUYUINI 12IM0082,APS. 50 boxes of 30Kg Vacuum Pack.</t>
  </si>
  <si>
    <t>5203C</t>
  </si>
  <si>
    <t>AB MUGAGA KAGUMOINI 16IM0115,APS.50 boxes of 30Kg Vacuum Pack</t>
  </si>
  <si>
    <t>5203D</t>
  </si>
  <si>
    <t>AB KOMOTHAI KAGWANJA 11KN0002,APS.50 boxes of 30Kg Vacuum Pack</t>
  </si>
  <si>
    <t>5203E</t>
  </si>
  <si>
    <t>AB RUNGETO KII 12KN0015,APS.50 boxes of 30Kg Vacuum Pack</t>
  </si>
  <si>
    <t>5203F</t>
  </si>
  <si>
    <t>PB KIRINYAGA,APS.Packed in 60Kg Grainpro</t>
  </si>
  <si>
    <t>5203G</t>
  </si>
  <si>
    <t>PB Nyeri,APS.Packed in 60Kg Grainpro</t>
  </si>
  <si>
    <t>5203H</t>
  </si>
  <si>
    <t>AA JOKIMU ESTATE 12KF0132,APS.30 boxes of 30Kg Vacuum Pack</t>
  </si>
  <si>
    <t>5203I</t>
  </si>
  <si>
    <t>AA THIRIRIKA KIGANJO 12KF0220,APS.30 boxes of 30Kg Vacuum Pack</t>
  </si>
  <si>
    <t>5203J</t>
  </si>
  <si>
    <t>AA BARAGWI KIANYAGA 10SM0032,APS. 30 boxes of 30Kg Vacuum Pack</t>
  </si>
  <si>
    <t>5203K</t>
  </si>
  <si>
    <t>AA KABARE KARANI 11KN0010,APS. 30 boxes of 30Kg Vacuum Pack</t>
  </si>
  <si>
    <t>5203L</t>
  </si>
  <si>
    <t>AA RUNGETO KARIMIKUI 12KN0034,APS.30 boxes of 30Kg Vacuum Pack</t>
  </si>
  <si>
    <t>5203M</t>
  </si>
  <si>
    <t>NH NATURAL 1 (kilombe) 17LE0007,APS.Packed in 60Kg Grainpro</t>
  </si>
  <si>
    <t>5203N</t>
  </si>
  <si>
    <t>NH NATURAL 2 (kilombe) 17LE0011,APS.Packed in 60Kg Grainpro</t>
  </si>
  <si>
    <t>5203O</t>
  </si>
  <si>
    <t>NH NATURAL 3 (kilombe) 17LE00013,APS.Packed in 60Kg Grainpro</t>
  </si>
  <si>
    <t>5190E</t>
  </si>
  <si>
    <t>KENYA AB KIENI-14IM0002,APS 4683.4 boxes of 30Kg Vacuum Pack</t>
  </si>
  <si>
    <t>5190F</t>
  </si>
  <si>
    <t>AA RUNG'ETO KARIMIKUI-06KN0006,APS 4674.12 boxes of 30Kg Vacuum Pack</t>
  </si>
  <si>
    <t>5190G</t>
  </si>
  <si>
    <t xml:space="preserve"> AA KAHUNYO-10IM0039,APS 4678. 16 boxes of 30Kg Vacuum Pack</t>
  </si>
  <si>
    <t>5190H</t>
  </si>
  <si>
    <t>AA RUNG'ETO KII-06KN0024,APS 4675.4 boxes of 30Kg Vacuum Pack</t>
  </si>
  <si>
    <t>5190I</t>
  </si>
  <si>
    <t>MARA NATURAL,APS 4527. Packed in 60Kg Grainpro</t>
  </si>
  <si>
    <t>OBSCURA</t>
  </si>
  <si>
    <t>5220A</t>
  </si>
  <si>
    <t>AA RUNG'ETO KII-06KN0024,APS 4642.73 boxes of 30Kg Vacuum Pack</t>
  </si>
  <si>
    <t>AGL</t>
  </si>
  <si>
    <t>Email</t>
  </si>
  <si>
    <t>5220B</t>
  </si>
  <si>
    <t>AA RUNG'ETO KARIMIKUI-06KN0008,APS 4643.40 boxes of 30Kg Vacuum Pack</t>
  </si>
  <si>
    <t>5220C</t>
  </si>
  <si>
    <t xml:space="preserve">AB MUGAGA KIENI-09IM0002,APS 4644.56 boxes of 30Kg Vacuum Pack        </t>
  </si>
  <si>
    <t>5220D</t>
  </si>
  <si>
    <t xml:space="preserve">AA INOI KAGUYU-11KN0052,APS 4646. 80 boxes of 30Kg Vacuum Pack </t>
  </si>
  <si>
    <t>5220E</t>
  </si>
  <si>
    <t xml:space="preserve">AA KIANJEGE-11KN0016,APS 4647. 40 boxes of 30Kg Vacuum Pack </t>
  </si>
  <si>
    <t>5220F</t>
  </si>
  <si>
    <t>AA BARAGWI GUAMA-09SM0006,APS 4651. 140 boxes of 30Kg Vacuum Pack</t>
  </si>
  <si>
    <t>5220G</t>
  </si>
  <si>
    <t xml:space="preserve">AA KIANJIRU-08SM0023,APS 4653.35 boxes of 30Kg Vacuum Pack </t>
  </si>
  <si>
    <t>5220H</t>
  </si>
  <si>
    <t>AA BARAGWI NYANJA-06SM0037,APS 4654. 56 boxes of 30Kg Vacuum Pack</t>
  </si>
  <si>
    <t>5220I</t>
  </si>
  <si>
    <t>AB RUNG'ETO KII-12KN0015,APS 4657.100 boxes of 30Kg Vacuum Pack</t>
  </si>
  <si>
    <t>5220J</t>
  </si>
  <si>
    <t>ENDEBESS NATURAL,APS 4795. 46 boxes of 30Kg Vacuum Pack</t>
  </si>
  <si>
    <t>13-48413</t>
  </si>
  <si>
    <t>5205D</t>
  </si>
  <si>
    <t>AA TOP NYERI HILL,16SM0082. Packed in 60Kg Grainpro.</t>
  </si>
  <si>
    <t>13-48414</t>
  </si>
  <si>
    <t>5205E</t>
  </si>
  <si>
    <t>13-48415</t>
  </si>
  <si>
    <t>5205F</t>
  </si>
  <si>
    <t>AB TOP NYERI HILL,16SM0082. Packed in 60Kg Grainpro.</t>
  </si>
  <si>
    <t>13-48416</t>
  </si>
  <si>
    <t>5205G</t>
  </si>
  <si>
    <t>Type Mara, BULK.</t>
  </si>
  <si>
    <t>P35236/1</t>
  </si>
  <si>
    <t>Constanta</t>
  </si>
  <si>
    <t>Romania</t>
  </si>
  <si>
    <t>P35237/1</t>
  </si>
  <si>
    <t>BSG Berbados</t>
  </si>
  <si>
    <t>P35238/1</t>
  </si>
  <si>
    <t>NBI0120852</t>
  </si>
  <si>
    <t>310 949 4894</t>
  </si>
  <si>
    <t>5203P</t>
  </si>
  <si>
    <t xml:space="preserve">AB THIRIKWA GAKUYUINI, 12IM0082. APS. Packed in 60Kg GrainPro </t>
  </si>
  <si>
    <t>5203Q</t>
  </si>
  <si>
    <t xml:space="preserve">AB RUNGETO KII, 12KN0015. APS. Packed in 60Kg GrainPro </t>
  </si>
  <si>
    <t>5203R</t>
  </si>
  <si>
    <t xml:space="preserve">AA RUNGETO KARIMIKUI,12KN0034.APS.Packed in 60Kg GrainPro </t>
  </si>
  <si>
    <t>Atlas</t>
  </si>
  <si>
    <t>5245G</t>
  </si>
  <si>
    <t>AA Gichuna. Packed in 60Kg GrainPro.</t>
  </si>
  <si>
    <t>01-93583</t>
  </si>
  <si>
    <t>Mara RA-IP . Bulk.</t>
  </si>
  <si>
    <t>01-93584</t>
  </si>
  <si>
    <t>Xin Yang Shan</t>
  </si>
  <si>
    <t>Jobin</t>
  </si>
  <si>
    <t>AA  FAQ</t>
  </si>
  <si>
    <t>Lehavre</t>
  </si>
  <si>
    <t xml:space="preserve">Maersk Cape Town </t>
  </si>
  <si>
    <t>8410 1442 12</t>
  </si>
  <si>
    <t>5222A</t>
  </si>
  <si>
    <t>AA MWIRUA MITONDO,  09KN0011   , As Per Sample  ( 14 boxes  Packed in 30Kg Vacuum Pack )</t>
  </si>
  <si>
    <t>5222B</t>
  </si>
  <si>
    <t xml:space="preserve"> AB MUTHEKA FCS KIANDU,  17SM0002,  As Per Sample , (18 boxes Packed in 30Kg Vacuum Pack )</t>
  </si>
  <si>
    <t>AB/PB  Top</t>
  </si>
  <si>
    <t>5222C</t>
  </si>
  <si>
    <t xml:space="preserve"> AA RUGI FCS GUMBA  , 08SM00015 ,  As Per Sample , (18 boxes  Packed in 30Kg Vacuum Pack )</t>
  </si>
  <si>
    <t>5222D</t>
  </si>
  <si>
    <t>PB NYERI HILLS,  11SM0057 ,  As Per Sample ( 20 boxes  Packed in 30Kg Vacuum Pack )</t>
  </si>
  <si>
    <t>5222E</t>
  </si>
  <si>
    <t xml:space="preserve"> AA BARAGWI KARUMANDI ,  12SM0028 , As Per Sample ( 16 boxes  Packed in 30Kg Vacuum Pack )</t>
  </si>
  <si>
    <t>5222F</t>
  </si>
  <si>
    <t>AA BARAGWI THIMU, 11SM0038  ,  As Per Sample ( 16 boxes  Packed in 30Kg Vacuum Pack )</t>
  </si>
  <si>
    <t>5222G</t>
  </si>
  <si>
    <t xml:space="preserve"> AB RUNGETO KARIMIKUI, 12KN0037 , As Per Sample ( 14 boxes Packed in 30Kg Vacuum Pack )</t>
  </si>
  <si>
    <t>5222H</t>
  </si>
  <si>
    <t>AA RUNGETO KII 12KN0017, As Per Sample ( 16 boxes Packed in 30Kg Vacuum Pack)</t>
  </si>
  <si>
    <t>5222I</t>
  </si>
  <si>
    <t xml:space="preserve"> KABARE PB 11KN0010/KARANI/XAD02F03,  As Per Sample ( 40 boxes  Packed in 30Kg Vacuum Pack)</t>
  </si>
  <si>
    <t>5222J</t>
  </si>
  <si>
    <t>AA MARA NATURAL, As Per Sample(  14 boxes   Packed in 30Kg Vacuum Pack )</t>
  </si>
  <si>
    <t>5222K</t>
  </si>
  <si>
    <t xml:space="preserve"> C INOI 09KN0035,  As Per Sample ( 20 bags of 60Kg GrainPro ) </t>
  </si>
  <si>
    <t>5222L</t>
  </si>
  <si>
    <t xml:space="preserve">  AA MUTHEKA FCS KIANDU ,  17SM0002 ,  As Per Sample ( 23 bags of 60Kg GrainPro ) </t>
  </si>
  <si>
    <t>5222M</t>
  </si>
  <si>
    <t xml:space="preserve">  AB NDUNDU 12KF0219,  As Per Sample (  15 bags of 60 kg  GrainPro)</t>
  </si>
  <si>
    <t>5222N</t>
  </si>
  <si>
    <t xml:space="preserve"> AA RUGI FCS GUMBA,  12SM0114 , As Per Sample  ( 5 bags of 60 kg GrainPro )</t>
  </si>
  <si>
    <t>5222O</t>
  </si>
  <si>
    <t xml:space="preserve"> AB INOI FCS KIANDIERI 12SM0018,  As Per Sample (  5 bags of 60 kg GrainPro ) </t>
  </si>
  <si>
    <t>5222P</t>
  </si>
  <si>
    <t xml:space="preserve">  AB MUTHEKA FCS KIANDU 17SM0002,   As Per Sample   ( 5 bags of 60 kg</t>
  </si>
  <si>
    <t>5222Q</t>
  </si>
  <si>
    <t xml:space="preserve"> AA BARAGWI KARUMANDI-12SM0028 , As Per Sample (  5 bags of 60 kg GrainPro )</t>
  </si>
  <si>
    <t>5222R</t>
  </si>
  <si>
    <t xml:space="preserve"> AA RUNGETO KARIMIKUI-12KN0037 , As Per Sample ( 10 boxes of 30 kg Vacuum Pack)</t>
  </si>
  <si>
    <t>5222S</t>
  </si>
  <si>
    <t xml:space="preserve">  AB BARAGWI KARUMANDI-12SM0028 ,  As Per Sample ( 5 bags of 60 kg GrainPro )</t>
  </si>
  <si>
    <t>5222T</t>
  </si>
  <si>
    <t xml:space="preserve">  AB MUGAGA KAGUMOINI 16IM0115 , As Per Sample ( 10 bags of 30 kg Vacuum Pack)</t>
  </si>
  <si>
    <t>5222U</t>
  </si>
  <si>
    <t xml:space="preserve"> AB RUNGETO KII 12KN0019,  As Per Sample  ( 5 boxes of 60 kg  GrainPro )</t>
  </si>
  <si>
    <t>5222V</t>
  </si>
  <si>
    <t>MARA NATURAL, As Per Sample ( 5 bags of 60 kg GrainPro )</t>
  </si>
  <si>
    <t>5222W</t>
  </si>
  <si>
    <t xml:space="preserve"> PB BARAGWI KARUMANDI-12SM0028,   As Per Sample (  5 boxes of 30 kg Vacuum Pack ) </t>
  </si>
  <si>
    <t>5222X</t>
  </si>
  <si>
    <t>AA RUNGETO KARIMIKUI-12KN0037,   As Per Sample ( 10 bags of 60 kg GrainPro )</t>
  </si>
  <si>
    <t>5222Y</t>
  </si>
  <si>
    <t xml:space="preserve"> PB RUNGETO 17EC0008,  As Per Sample ( 15 bags of 60 kg GrainPro )</t>
  </si>
  <si>
    <t>5222Z</t>
  </si>
  <si>
    <t xml:space="preserve"> AA RUNGETO 06KN0015,  As Per Sample 4295  ( 45 bags of 60 kg GrainPro )</t>
  </si>
  <si>
    <t>KE-25-0132</t>
  </si>
  <si>
    <t>5221A</t>
  </si>
  <si>
    <t>AA Baragwi Thimu,  10SM0034  ,  As Per Sample 4123 ( 32 boxes  Packed in 30Kg vacuum Pack )</t>
  </si>
  <si>
    <t>Tokyo</t>
  </si>
  <si>
    <t>KE-25-0214</t>
  </si>
  <si>
    <t>5221B</t>
  </si>
  <si>
    <t xml:space="preserve">AA Tekangu Ngunguru ,  12IM0101 , As Per Sample ( 34 boxes  Packed in 30Kg vacuum Pack)   </t>
  </si>
  <si>
    <t>KE-25-0176</t>
  </si>
  <si>
    <t>5221C</t>
  </si>
  <si>
    <t xml:space="preserve"> AB Thiririka Githembe,   11KF00028 , APS 4908 ( 50 boxes                  
 Packed in 30Kg vacuum Pack  )    </t>
  </si>
  <si>
    <t>KE-25-0177</t>
  </si>
  <si>
    <t>5221D</t>
  </si>
  <si>
    <t>AA. Thiririka Githembe, 09KF0009 , As Per Sample 4909  (30 boxes             
 Packed in 30Kg vacuum Pack)</t>
  </si>
  <si>
    <t>5221E</t>
  </si>
  <si>
    <t xml:space="preserve"> AA Thiririka Githembe , 09KF0009 ,  As Per Sample 4909 ( 10 boxes  Packed in 30Kg vacuum Pack )</t>
  </si>
  <si>
    <t>KE-25-0180</t>
  </si>
  <si>
    <t>5221F</t>
  </si>
  <si>
    <t>AA Kiawanduma, 12KF1002   ,  As Per Sample 4914  ( 32 boxes  Packed in 30Kg vacuum Pack )</t>
  </si>
  <si>
    <t>5221G</t>
  </si>
  <si>
    <t>AA Kiawanduma, 12KF1002   ,  As Per Sample 4914  ( 10 boxes  Packed in 30Kg vacuum Pack )</t>
  </si>
  <si>
    <t>KE-25-0181</t>
  </si>
  <si>
    <t>5221H</t>
  </si>
  <si>
    <t>AB Kiawanduma, 12KF1002   ,  As Per Sample 4915 ( 40 boxes  Packed in 30Kg vacuum Pack )</t>
  </si>
  <si>
    <t>KE-25-0182</t>
  </si>
  <si>
    <t>5221I</t>
  </si>
  <si>
    <t>AA Tekangu Karogoto,  12GF0002 ,  As Per Sample 4920 ( 50 boxes  Packed in 30Kg vacuum Pack )</t>
  </si>
  <si>
    <t>5221J</t>
  </si>
  <si>
    <t>AA Tekangu Karogoto,  12GF0002 ,  As Per Sample 4920 ( 10 boxes Packed in 30Kg vacuum Pack )</t>
  </si>
  <si>
    <t>KE-25-0173</t>
  </si>
  <si>
    <t>5221K</t>
  </si>
  <si>
    <t>AB  Mutheka Muthuaini , 12SM0017  ,  As Per Sample 4905 ( 35 boxes Packed in 30Kg vacuum Pack )</t>
  </si>
  <si>
    <t>5218A</t>
  </si>
  <si>
    <t>Endebess natural  ,  As Per Sample 5074 ( 120 boxes Packed in 30Kg vacuum Pack )</t>
  </si>
  <si>
    <t>5219A</t>
  </si>
  <si>
    <t>AA Rung'eto Karimikui#034,  As Per Sample 4901 ( 120 Boxes Packed in 30Kg vacuum Pack )</t>
  </si>
  <si>
    <t>5219B</t>
  </si>
  <si>
    <t>AB  Karogoto #010,  17IM0010   ,  As Per Sample 5027 (60 Boxes  Packed in 30Kg vacuum Pack )</t>
  </si>
  <si>
    <t>5219C</t>
  </si>
  <si>
    <t>AB   Gacherori #095,  18IM0095    ,  As Per Sample 5026 (60 Boxes  Packed in 30Kg vacuum Pack )</t>
  </si>
  <si>
    <t>5219D</t>
  </si>
  <si>
    <t xml:space="preserve"> AA Iyego #010,  As Per Sample 5040 ( 40 boxes of 30Kg vacuum Pack)</t>
  </si>
  <si>
    <t>5219E</t>
  </si>
  <si>
    <t xml:space="preserve"> AA Ichamara #095,   15SM0095  ,  As Per Sample 5035   ( 60 boxes of 30 kg vacuum Pack  )</t>
  </si>
  <si>
    <t>5219F</t>
  </si>
  <si>
    <t>AB  Kabingara #057,  15KN0057 , As Per Sample 5043 (  60 boxes of 30 kg  vacuum Pack )</t>
  </si>
  <si>
    <t>5219G</t>
  </si>
  <si>
    <t>AB Kagumoini #083 , 17IM0083 , As Per Sample 5031 ( 60 boxes of 30 kg  vacuum Pack )</t>
  </si>
  <si>
    <t>5218B</t>
  </si>
  <si>
    <t>AB Rung'eto Kii,  13KN0010,  As Per Sample  ( 40 boxes of 30 kg vacuum Pack )</t>
  </si>
  <si>
    <t>5218C</t>
  </si>
  <si>
    <t>AA Rung'eto Kiangoi , 06KN0009  , As Per Sample ( 50 boxes of 30 kg vacuum Pack )</t>
  </si>
  <si>
    <t>5218D</t>
  </si>
  <si>
    <t>AB  Gikirima #163,  As Per Sample 5023 ( 60 boxes of 30 kg  vacuum Pack  )</t>
  </si>
  <si>
    <t>5259B</t>
  </si>
  <si>
    <t>AA IYEGO-10SM0025 .APS 5083 .Packed in 60Kg GrainPro.</t>
  </si>
  <si>
    <t>5259c</t>
  </si>
  <si>
    <t>AA NGERWE-13IM0045, APS 5084.Packed in 60Kg GrainPro.</t>
  </si>
  <si>
    <t>Royal coffee</t>
  </si>
  <si>
    <t>5260A</t>
  </si>
  <si>
    <t>AB,  KATHAKWA/XBD01F01.14IM0031.APS 6056. 130 boxes of 30Kg Vacuum Pack.APS 6056</t>
  </si>
  <si>
    <t>5260B</t>
  </si>
  <si>
    <t>AA, KIRIMAHIGA/XAB72F03.11KF0012.APS 6318.60 boxes of 30Kg Vacuum Packaps 6318.</t>
  </si>
  <si>
    <t>Rwanda Ingagi.Scr 15 UP.</t>
  </si>
  <si>
    <t>Scr 15 up</t>
  </si>
  <si>
    <t>WECC2537LEH1003</t>
  </si>
  <si>
    <t>4631 130 663</t>
  </si>
  <si>
    <t>Royal</t>
  </si>
  <si>
    <t>5260C</t>
  </si>
  <si>
    <t>AA KII-12KN0019.APS 5146. 42 Boxes Packed in 30Kg Vacuum Pack.As Per Sample 5146.</t>
  </si>
  <si>
    <t>5247B</t>
  </si>
  <si>
    <t>AA GAKUYUINI 15SM0107,APS 5063.Packed in 60kg GrainPro PSS needed.</t>
  </si>
  <si>
    <t>Irenes Southern</t>
  </si>
  <si>
    <t>P35266/1</t>
  </si>
  <si>
    <t>YP-41489/00</t>
  </si>
  <si>
    <t>Napoli</t>
  </si>
  <si>
    <t>MSC Cairo IV</t>
  </si>
  <si>
    <t>MEDUM2761317</t>
  </si>
  <si>
    <t xml:space="preserve"> ATAKA </t>
  </si>
  <si>
    <t>5242A</t>
  </si>
  <si>
    <t>AB MURUE KIANYANGI 12EC0003,APS 4823. Packed in 60Kg Grainpro</t>
  </si>
  <si>
    <t>AB/PB TOP</t>
  </si>
  <si>
    <t>5242B</t>
  </si>
  <si>
    <t>AB MURUE NGURUERI 12EC0010.APS 4824.Packed in 60Kg Grainpro</t>
  </si>
  <si>
    <t>5242C</t>
  </si>
  <si>
    <t xml:space="preserve"> AB GIKARU ICHAMARA 15SM0095.APS 4817.10 Bags Packed in 30Kg Grainpro</t>
  </si>
  <si>
    <t>5242D</t>
  </si>
  <si>
    <t>AB BARICHU KARATINA 15IM0059,APS 4821.10 Bags Packed in 30Kg Grainpro</t>
  </si>
  <si>
    <t>5242E</t>
  </si>
  <si>
    <t>Endebess Natural,APS 5097.20 Bags Packed in 30Kg Grainpro</t>
  </si>
  <si>
    <t>5242F</t>
  </si>
  <si>
    <t>AA GIKARU ICHAMARA 15SM0095,APS 4816.Packed in 60Kg Grainpro.</t>
  </si>
  <si>
    <t>5242G</t>
  </si>
  <si>
    <t>AB RUNGETO KARIMIKUI 12KN0031,APS 4949.2 BagsPacked in 30Kg GrainPro</t>
  </si>
  <si>
    <t>5242H</t>
  </si>
  <si>
    <t>AB RUNGETO KARIMIKUI 12KN0031,APS 4949.2 Bags Packed in 30Kg GrainPro</t>
  </si>
  <si>
    <t>5242I</t>
  </si>
  <si>
    <t>AB BARAGWI GACHAMI 16SM0071,APS 4944.6 Bags Packed in 30Kg GrainPro</t>
  </si>
  <si>
    <t>5242J</t>
  </si>
  <si>
    <t>AA GIKARU ICHAMARA 15SM0095. APS 4816. 10 Bags Packed in 30Kg GrainPro</t>
  </si>
  <si>
    <t>5242K</t>
  </si>
  <si>
    <t>AA THAMBANA KIUNGU 16SM0013 APS 5055.10 Bags Packed in 30Kg GrainPro</t>
  </si>
  <si>
    <t>5242L</t>
  </si>
  <si>
    <t>AA TEKANGU KANGOCHO 13GF0002 APS 5121.10 Bags Packed in 30Kg GrainPro</t>
  </si>
  <si>
    <t>5242M</t>
  </si>
  <si>
    <t>AA BARAGWI THIMU 05SM0009.APS 5096.60 Bags Packed in 30Kg GrainPro</t>
  </si>
  <si>
    <t>5242N</t>
  </si>
  <si>
    <t>AA THAMBANA KIUNGU 16SM0013.APS 5055.10 Bags Packed in 30Kg GrainPro</t>
  </si>
  <si>
    <t>5242O</t>
  </si>
  <si>
    <t>AA TEKANGU KANGOCHO 13GF0002, APS 5121.60 Bags Packed in 30Kg GrainPro</t>
  </si>
  <si>
    <t>5242P</t>
  </si>
  <si>
    <t>AB BARAGWI GACHAMI 16SM0071,APS 4944.8 Bags Packed in 30Kg GrainPro</t>
  </si>
  <si>
    <t>Grinders RA-IP</t>
  </si>
  <si>
    <t>Grinder certified</t>
  </si>
  <si>
    <t>NBI0120851</t>
  </si>
  <si>
    <t>Diamond</t>
  </si>
  <si>
    <t>AA Ndundu,APS.</t>
  </si>
  <si>
    <t>Nairobi</t>
  </si>
  <si>
    <t>Africa</t>
  </si>
  <si>
    <t>AA Kiganjo,APS.</t>
  </si>
  <si>
    <t>DEK Berlin</t>
  </si>
  <si>
    <t>Grinders , BULK</t>
  </si>
  <si>
    <t>Grinder Plus</t>
  </si>
  <si>
    <t>Cairo Pyramid</t>
  </si>
  <si>
    <t>WECC2588HAM1163</t>
  </si>
  <si>
    <t>Grinders,  BULK</t>
  </si>
  <si>
    <t>MEDUM2777008</t>
  </si>
  <si>
    <t>YP-41529</t>
  </si>
  <si>
    <t>Type Billy,</t>
  </si>
  <si>
    <t>MEDUM2780242</t>
  </si>
  <si>
    <t>4800013358 </t>
  </si>
  <si>
    <t>WECC2588HAM1161</t>
  </si>
  <si>
    <t>01-93667</t>
  </si>
  <si>
    <t>5238A</t>
  </si>
  <si>
    <t>JDE Type Safi A</t>
  </si>
  <si>
    <t>Msc Cairo</t>
  </si>
  <si>
    <t>MEDUM2745039</t>
  </si>
  <si>
    <t>5238B</t>
  </si>
  <si>
    <t>5259D</t>
  </si>
  <si>
    <t>Endebess Natural. APS 5049 (30bags Packed in 30kg Vacuum Pack).</t>
  </si>
  <si>
    <t>P35282</t>
  </si>
  <si>
    <t xml:space="preserve">Grinders   </t>
  </si>
  <si>
    <t>P35283-1</t>
  </si>
  <si>
    <t>EA-89808</t>
  </si>
  <si>
    <t>AB FAQ, No PSS needed. Packed in GrainPro.</t>
  </si>
  <si>
    <t>NO PSS</t>
  </si>
  <si>
    <t>67 8523 1224</t>
  </si>
  <si>
    <t>5242Q</t>
  </si>
  <si>
    <t xml:space="preserve"> AA Karimikui-12KN0030,  APS 4952 ,( 10 bags of 30 kg GrainPro,) For TOMACAFE </t>
  </si>
  <si>
    <t>5242R</t>
  </si>
  <si>
    <t xml:space="preserve">AA Karimikui-12KN0031, APS 4953,  (10 bags of 30 kg GrainPro,)  For TOMACAFE  </t>
  </si>
  <si>
    <t>J. Wolff</t>
  </si>
  <si>
    <t>Biashara RA-IP</t>
  </si>
  <si>
    <t>WECC2588HEL1009</t>
  </si>
  <si>
    <t>229 6533 864</t>
  </si>
  <si>
    <t>5245H</t>
  </si>
  <si>
    <t xml:space="preserve"> AA Kii-13KN0010,   APS 5208 ,( 15 bags of 60 kg Grainpro )</t>
  </si>
  <si>
    <t>IB21A</t>
  </si>
  <si>
    <t>GSC International</t>
  </si>
  <si>
    <t>5261A</t>
  </si>
  <si>
    <t>AA Top, SAS-Replacement basis.Packed in Grainpro.</t>
  </si>
  <si>
    <t>IB21B</t>
  </si>
  <si>
    <t>5261B</t>
  </si>
  <si>
    <t>AB Top, SAS-Replacement basis.Packed in Grainpro.</t>
  </si>
  <si>
    <t>5283A</t>
  </si>
  <si>
    <t>JDE Grinders</t>
  </si>
  <si>
    <t>HLCUMB1250605655</t>
  </si>
  <si>
    <t>5283B</t>
  </si>
  <si>
    <t>JDE AB FAQ</t>
  </si>
  <si>
    <t>MEDUM2765508</t>
  </si>
  <si>
    <t>5282A</t>
  </si>
  <si>
    <t>JDE SAFI A</t>
  </si>
  <si>
    <t>HLCUMB1250501919</t>
  </si>
  <si>
    <t>5282B</t>
  </si>
  <si>
    <t>Gaevle</t>
  </si>
  <si>
    <t>5282C</t>
  </si>
  <si>
    <t>5282D</t>
  </si>
  <si>
    <t>5259E</t>
  </si>
  <si>
    <t>AA Mutheka- Muthuaini 17KF0147, APS, (7 Bags packed in 30Kg Grainpro)</t>
  </si>
  <si>
    <t>Bennetts</t>
  </si>
  <si>
    <t>5294A</t>
  </si>
  <si>
    <t xml:space="preserve"> AA Kibirigwi Kiangai-16KN0026,  APS 4876   ( 64 bags of 30 kg  Grainpro )</t>
  </si>
  <si>
    <t>Melbourne</t>
  </si>
  <si>
    <t>5294B</t>
  </si>
  <si>
    <t xml:space="preserve"> AB Kibirigwi Kiangai-16KN0026,  APS 4877   ( 64 bags of 30 kg  Grainpro )</t>
  </si>
  <si>
    <t>5294C</t>
  </si>
  <si>
    <t>AA Rung'eto Kii-17KN0026,  APS 4879 ( 32 bags of 30 kg Grainpro )</t>
  </si>
  <si>
    <t>Biashara RA-IP.</t>
  </si>
  <si>
    <t>WECC2588ANR1123</t>
  </si>
  <si>
    <t>SBUX Quality WAF01 Sc.15+ C.A.F.E Practices, crop 2024/25.Packed in 60Kg Grainpro.</t>
  </si>
  <si>
    <t>AA/AB/PB Plus Certified</t>
  </si>
  <si>
    <t>MEDUM2771480</t>
  </si>
  <si>
    <t>27 6856 1810</t>
  </si>
  <si>
    <t>YA-63055</t>
  </si>
  <si>
    <t>Lavazza</t>
  </si>
  <si>
    <t>Messina FCL/FCL</t>
  </si>
  <si>
    <t>Jolly Giada</t>
  </si>
  <si>
    <t>MB525979</t>
  </si>
  <si>
    <t>Stocklot,As Per Sample 5993</t>
  </si>
  <si>
    <t>Low Grade</t>
  </si>
  <si>
    <t>MEDUM2748397</t>
  </si>
  <si>
    <t>01-93677</t>
  </si>
  <si>
    <t>Mbuni MH,APS 4924.PROMPT.</t>
  </si>
  <si>
    <t>Genoa</t>
  </si>
  <si>
    <t>MEDUM2755921</t>
  </si>
  <si>
    <t>YP-41568</t>
  </si>
  <si>
    <t>Xin Huang Pu</t>
  </si>
  <si>
    <t>YP-41569</t>
  </si>
  <si>
    <t>MEDUM2792601</t>
  </si>
  <si>
    <t>YP-41570</t>
  </si>
  <si>
    <t>MEDUM2798251</t>
  </si>
  <si>
    <t>5242S</t>
  </si>
  <si>
    <t>AA GACHAMI-16SM0071,APS 4942. Packed in 60Kg Grainpro</t>
  </si>
  <si>
    <t>Grinders Toto,APS 4926</t>
  </si>
  <si>
    <t>5247C</t>
  </si>
  <si>
    <t>Natural, APS 5960Packed in 60Kg Grainpro</t>
  </si>
  <si>
    <t>P35305/01</t>
  </si>
  <si>
    <t>Type Mara</t>
  </si>
  <si>
    <t>P35306-1</t>
  </si>
  <si>
    <t>AB Top RA-IP. APS 5219/5220</t>
  </si>
  <si>
    <t>Oslo</t>
  </si>
  <si>
    <t>WECC2588OSL1003</t>
  </si>
  <si>
    <t>P0000253 1.0</t>
  </si>
  <si>
    <t>AB, Packed in 60kg ecotact</t>
  </si>
  <si>
    <t>HLCUMB1250500810</t>
  </si>
  <si>
    <t>AA/AB Plus. APS 6012</t>
  </si>
  <si>
    <t>WECC2588HAM1132</t>
  </si>
  <si>
    <t>5260D</t>
  </si>
  <si>
    <t>AA Mutheka- Muthuaini 17KF0147, APS 5189, (18 Bags packed in 30Kg Grainpro)</t>
  </si>
  <si>
    <t>5260E</t>
  </si>
  <si>
    <t>Natural, APS 5960.  (390boxes packed in 30kg vacuum pack)</t>
  </si>
  <si>
    <t>AB, Ex warehouse NJ</t>
  </si>
  <si>
    <t>ABC Certified</t>
  </si>
  <si>
    <t>5259A</t>
  </si>
  <si>
    <t>AA Jambo Jambo. SAS-NANS.( Packed in 60kg Grainpro).Above screen 17 &amp; 1kg PSS to be provided</t>
  </si>
  <si>
    <t>WECC2588HAM1162</t>
  </si>
  <si>
    <t>YP-41615</t>
  </si>
  <si>
    <t>Kenya Kubwa</t>
  </si>
  <si>
    <t>MEDUM2771159</t>
  </si>
  <si>
    <t>YP-41616</t>
  </si>
  <si>
    <t>MEDUM2778121</t>
  </si>
  <si>
    <t>5256A</t>
  </si>
  <si>
    <t xml:space="preserve"> AB Iyego-10SM0025 , As Per Sample 4906 (5 Packed in 30kg Vacuum Pack).FCA JKIA Nairobi, KE</t>
  </si>
  <si>
    <t>5256B</t>
  </si>
  <si>
    <t xml:space="preserve"> AA Rung'eto Kii-12KN0015, As per sample 4916(76 packed in 30kg Vacuum pack).FCA JKIA Nairobi, KE</t>
  </si>
  <si>
    <t>5256C</t>
  </si>
  <si>
    <t xml:space="preserve"> AA Tekangu Ngunguru 12IM0101, As per sample 4889 (34 packed in 30kg Vacuum pack).FCA JKIA Nairobi, KE</t>
  </si>
  <si>
    <t>Ishimitsu</t>
  </si>
  <si>
    <t>Mara Natural, As Per Sample 5075 ( 200 bags of 30 kg GrainPro )-PROMPT</t>
  </si>
  <si>
    <t>P0000451.2</t>
  </si>
  <si>
    <t>5269A</t>
  </si>
  <si>
    <t>AA Nguvu.Packed in 60kg Grainpro bags</t>
  </si>
  <si>
    <t>NBI0120823</t>
  </si>
  <si>
    <t>Mara Minus RA-IP</t>
  </si>
  <si>
    <t>MEDUM2763800</t>
  </si>
  <si>
    <t>5279A</t>
  </si>
  <si>
    <t>AA Rift Valley. Packed in 60kg Grainpro Bags</t>
  </si>
  <si>
    <t>Gydnia</t>
  </si>
  <si>
    <t>MSC Lome</t>
  </si>
  <si>
    <t>MEDUM2764725</t>
  </si>
  <si>
    <t>93861/00</t>
  </si>
  <si>
    <t xml:space="preserve">BR </t>
  </si>
  <si>
    <t>5279B</t>
  </si>
  <si>
    <t>Endebess Natural.  (20bags Packed in 30kg Grainpro).</t>
  </si>
  <si>
    <t>93862/00</t>
  </si>
  <si>
    <t>5279C</t>
  </si>
  <si>
    <t>5218E</t>
  </si>
  <si>
    <t>AA KII-15KN0076 ,APS 5985. (82 Boxes Packed in 30Kg Vacuum Pack.)</t>
  </si>
  <si>
    <t>P0000451-3</t>
  </si>
  <si>
    <t>5269B</t>
  </si>
  <si>
    <t>AB Rungeto 13KN0010. APS 9 (20 Boxes Packed in 30Kg Vacuum Pack.)</t>
  </si>
  <si>
    <t>P0000451-4</t>
  </si>
  <si>
    <t>5269C</t>
  </si>
  <si>
    <t>AA Kiangoi 06KN0009, APS 25 (30 Boxes Packed in 30Kg Vacuum Pack.)</t>
  </si>
  <si>
    <t>P0000451-1</t>
  </si>
  <si>
    <t>5269D</t>
  </si>
  <si>
    <t>Endebess Natural, APS 4954. Packed in 60Kg Grainpro. 350g PSS Required.</t>
  </si>
  <si>
    <t>25.227A</t>
  </si>
  <si>
    <t>5268A</t>
  </si>
  <si>
    <t>Black beans, APS 6013</t>
  </si>
  <si>
    <t>UG1 HP Mixed</t>
  </si>
  <si>
    <t>MEDUM2758289</t>
  </si>
  <si>
    <t>15 8943 7371</t>
  </si>
  <si>
    <t>25.227B</t>
  </si>
  <si>
    <t>5268B</t>
  </si>
  <si>
    <t>Houston</t>
  </si>
  <si>
    <t>P0000452-1</t>
  </si>
  <si>
    <t>5287B</t>
  </si>
  <si>
    <t>Endebess Natural. Packed in 60kg GP APS 4954</t>
  </si>
  <si>
    <t>P0000452-3</t>
  </si>
  <si>
    <t>5287A</t>
  </si>
  <si>
    <t>AA Nguvu, Packed in 60kg Grainpro Bags</t>
  </si>
  <si>
    <t>P0000452-2</t>
  </si>
  <si>
    <t>5287C</t>
  </si>
  <si>
    <t xml:space="preserve">AA Nguvu, Packed in 60kg Grainpro Bags </t>
  </si>
  <si>
    <t>YP-41720</t>
  </si>
  <si>
    <t>93922/00</t>
  </si>
  <si>
    <t>MEDUM2763784</t>
  </si>
  <si>
    <t>Rwanda Washed Ingagi</t>
  </si>
  <si>
    <t>WECC2537ANR1038</t>
  </si>
  <si>
    <t>5295D</t>
  </si>
  <si>
    <t>AA FAQ. Packed in Grainpro</t>
  </si>
  <si>
    <t>5295E</t>
  </si>
  <si>
    <t>AB FAQ. Packed in Grainpro.</t>
  </si>
  <si>
    <t xml:space="preserve">Bomu la matunda Endebess Natural. </t>
  </si>
  <si>
    <t>Jeddah</t>
  </si>
  <si>
    <t>Saudi Arabia</t>
  </si>
  <si>
    <t>Low grades, APS 6047</t>
  </si>
  <si>
    <t>WECC2588HAM1196</t>
  </si>
  <si>
    <t>Kenya blacks, APS 6046</t>
  </si>
  <si>
    <t>WECC2588HAM1201</t>
  </si>
  <si>
    <t>P0000691</t>
  </si>
  <si>
    <t>Royal Coffee</t>
  </si>
  <si>
    <t>AB FAQ, Packed in 60kg ecotact</t>
  </si>
  <si>
    <t>XIN HUANG PU / 550E</t>
  </si>
  <si>
    <t>9451 287 646</t>
  </si>
  <si>
    <t>CO-63413</t>
  </si>
  <si>
    <t>Kenya Stock-lot Copro type. 20 bags packed in big(1MT) bags</t>
  </si>
  <si>
    <t>Valencia</t>
  </si>
  <si>
    <t>WECC2588VLC1021</t>
  </si>
  <si>
    <t>Mara minus RA-IP APS</t>
  </si>
  <si>
    <t>MEDUM2769674</t>
  </si>
  <si>
    <t>37414-5</t>
  </si>
  <si>
    <t>5327A-B</t>
  </si>
  <si>
    <t>Irene Southern</t>
  </si>
  <si>
    <t>P0000828 1.0</t>
  </si>
  <si>
    <t>AB Peets quality. Packed in 60kg Ecotact</t>
  </si>
  <si>
    <t>P0000829</t>
  </si>
  <si>
    <t>MSC Felixstowe</t>
  </si>
  <si>
    <t>MEDUM2812078</t>
  </si>
  <si>
    <t>13-48936</t>
  </si>
  <si>
    <t>5297D</t>
  </si>
  <si>
    <t>AA Baragwi Thimu, APS 6051, Packed Vacuum</t>
  </si>
  <si>
    <t>13-48937</t>
  </si>
  <si>
    <t>5297E</t>
  </si>
  <si>
    <t>PB Kirinyaga, APS 6055, Packed in Grainpro</t>
  </si>
  <si>
    <t>13-48818</t>
  </si>
  <si>
    <t>5297F</t>
  </si>
  <si>
    <t>AA Jambo Jambo. NANS.( Packed in 60kg Grainpro).Jambo Jambo Logo on the bags.</t>
  </si>
  <si>
    <t xml:space="preserve"> AA Plus</t>
  </si>
  <si>
    <t>YP-41892</t>
  </si>
  <si>
    <t>Rwanda Gwira, coffee will be checked for EUDR alignment,please provide Geodata prior to the shipment.</t>
  </si>
  <si>
    <t>Cussler</t>
  </si>
  <si>
    <t>Mbuni, PROMPT</t>
  </si>
  <si>
    <t>WECC2588LEH1015</t>
  </si>
  <si>
    <t>3660 4377 34</t>
  </si>
  <si>
    <t>Mbuni, EUDR Aligned</t>
  </si>
  <si>
    <t>MEDUM2798533</t>
  </si>
  <si>
    <t>1622 814 701</t>
  </si>
  <si>
    <t>KE06-IB16A</t>
  </si>
  <si>
    <t>AA FAQ Kirinyaga. Packed in 60Kg Grainpro</t>
  </si>
  <si>
    <t>ONEYMBAF01465800</t>
  </si>
  <si>
    <t>AA</t>
  </si>
  <si>
    <t>MEDUM2788500</t>
  </si>
  <si>
    <t>94373-00</t>
  </si>
  <si>
    <t xml:space="preserve">JDE AB FAQ RA-IP </t>
  </si>
  <si>
    <t>5312B</t>
  </si>
  <si>
    <t xml:space="preserve">JDE AB FAQ </t>
  </si>
  <si>
    <t>MSC ALVA</t>
  </si>
  <si>
    <t>MEDUM2782073</t>
  </si>
  <si>
    <t>94373-01</t>
  </si>
  <si>
    <t>5312A</t>
  </si>
  <si>
    <t>25.370</t>
  </si>
  <si>
    <t>Kenya Stock lot</t>
  </si>
  <si>
    <t>low Grade</t>
  </si>
  <si>
    <t>WECC2588ANR1189</t>
  </si>
  <si>
    <t>1134 192 146</t>
  </si>
  <si>
    <t>CO-63533</t>
  </si>
  <si>
    <t>Kenya Stocklot Copro type, No approval no sale</t>
  </si>
  <si>
    <t>1870 842 794</t>
  </si>
  <si>
    <t>13-49112/00</t>
  </si>
  <si>
    <t>AA Jambo Jambo. Packed in Grainpro. EUDR Aligned.</t>
  </si>
  <si>
    <t>WECC2588HAM1284</t>
  </si>
  <si>
    <t>U1-51009</t>
  </si>
  <si>
    <t>YP-42148</t>
  </si>
  <si>
    <t>AB FAQ, To be marked Kenya AB Mount Kenya Selection</t>
  </si>
  <si>
    <t>MEDUM2798244</t>
  </si>
  <si>
    <t>01-94654 </t>
  </si>
  <si>
    <t>SC.15 SBUX Quality KEN01 C.A.F.E Practice, Crop 2024/2025.Packed in Ecotact/Grainpro. As per sample 6211 cupped on 30/07/2025</t>
  </si>
  <si>
    <t>MSC Banjul IV</t>
  </si>
  <si>
    <t>MEDUM2800990</t>
  </si>
  <si>
    <t>7013 053 692</t>
  </si>
  <si>
    <t>14-49170 </t>
  </si>
  <si>
    <t>IAC London</t>
  </si>
  <si>
    <t>5328A</t>
  </si>
  <si>
    <t>AB Honey Bush. Packed in Grainpro.</t>
  </si>
  <si>
    <t>AB Minus</t>
  </si>
  <si>
    <t>WECC2588LGP1027</t>
  </si>
  <si>
    <t>14-49171</t>
  </si>
  <si>
    <t>5328B</t>
  </si>
  <si>
    <t>AA Samburu. Packed in Grainpro.</t>
  </si>
  <si>
    <t>14-49172</t>
  </si>
  <si>
    <t>5328C</t>
  </si>
  <si>
    <t>PB Kisii. Packed in Grainpro.</t>
  </si>
  <si>
    <t>PB FAQ</t>
  </si>
  <si>
    <t>I1-28065</t>
  </si>
  <si>
    <t>ONEYMBAF01453500</t>
  </si>
  <si>
    <t>13-49249</t>
  </si>
  <si>
    <t>AA Jambo Jambo.EUDR Aligned.( Packed in 60kg Grainpro).Jambo Jambo Logo on the bags.</t>
  </si>
  <si>
    <t>AB PLUS</t>
  </si>
  <si>
    <t>WECC2588HAM1304</t>
  </si>
  <si>
    <t>ABC Crop 24/25 APS 6078</t>
  </si>
  <si>
    <t>WECC2588HAM1281</t>
  </si>
  <si>
    <t>ABC Crop 24/25 APS 6078.  EUDR documentation to be provided if required at a premium of 2 c/lb.</t>
  </si>
  <si>
    <t>WECC2588HAM1285</t>
  </si>
  <si>
    <t>13-49268</t>
  </si>
  <si>
    <t>01-94874</t>
  </si>
  <si>
    <t>Burundi FW SCr 15 PROMPT</t>
  </si>
  <si>
    <t>Burundi Natural</t>
  </si>
  <si>
    <t>WECC2588HAM1269</t>
  </si>
  <si>
    <t>ABC Crop 25/26.  EUDR documentation to be provided if required at a premium of 3 c/lb.</t>
  </si>
  <si>
    <t>WECC2588HAM1296</t>
  </si>
  <si>
    <t>5341A</t>
  </si>
  <si>
    <t>SC 15+ SBUX Quality, WAF01, C.A.F.E Practices, crop year 2025/26. (100*1000-Packed in Big Bags).PO 60029136</t>
  </si>
  <si>
    <t>5341B</t>
  </si>
  <si>
    <t>KE-25-0293</t>
  </si>
  <si>
    <t>5332A</t>
  </si>
  <si>
    <t>AB NEW NGARIAMA KAMWANGI-44KN0019. APS 6063.PROMPT( 60 Bags packed in 30kg Vacuum Pack.)</t>
  </si>
  <si>
    <t>AB Plus</t>
  </si>
  <si>
    <t>KE-25-0300</t>
  </si>
  <si>
    <t>5332B</t>
  </si>
  <si>
    <t>AA RUNG'ETO KARIMIKUI-44IM0008. APS 6070.PROMPT(18 Bags packed in 30kg Vacuum Pack.)</t>
  </si>
  <si>
    <t>KE-25-0301</t>
  </si>
  <si>
    <t>5332C</t>
  </si>
  <si>
    <t>AB RUNG'ETO KARIMIKUI-44IM0008.APS 6071.PROMPT( 60 Bags packed in 30kg Vacuum Pack.)</t>
  </si>
  <si>
    <t>KE-25-0303</t>
  </si>
  <si>
    <t>5332D</t>
  </si>
  <si>
    <t>AA RUNG'ETO KII-14IM0015.APS 6074.PROMPT( 34 Bags packed in 30kg Vacuum Pack.)</t>
  </si>
  <si>
    <t>KE-25-0302</t>
  </si>
  <si>
    <t>5332E</t>
  </si>
  <si>
    <t>AB RUNG'ETO KII-14IM0011. APS 6073. PROMPT (26 Bags packed in 30kg Vacuum Pack.)</t>
  </si>
  <si>
    <t>KE-25-0305</t>
  </si>
  <si>
    <t>5332F</t>
  </si>
  <si>
    <t>AA INOI KINDIERI-44KN0035. APS 6076. PROMPT (24 Bags packed in 30kg Vacuum Pack.)</t>
  </si>
  <si>
    <t>KE-25-0322</t>
  </si>
  <si>
    <t>5332G</t>
  </si>
  <si>
    <t>AA THIRIKWA GAKUYUINI-46IM0032.APS 6101. PROMPT (20 Bags packed in 30kg Vacuum Pack.)</t>
  </si>
  <si>
    <t>KE-25-0324</t>
  </si>
  <si>
    <t>5332H</t>
  </si>
  <si>
    <t>PB THIRIKWA GAKUYUINI-46IM0032. APS 6103. PROMPT (12 Bags packed in 30kg Vacuum Pack.)</t>
  </si>
  <si>
    <t>KE-25-0323</t>
  </si>
  <si>
    <t>5332I</t>
  </si>
  <si>
    <t>AB THIRIKWA GAKUYUINI-46IM0032. APS 6102. PROMPT(60 Bags packed in 30kg Vacuum Pack.)</t>
  </si>
  <si>
    <t>KE09-IB11A</t>
  </si>
  <si>
    <t>AA FAQ. Packed in 60kg Grainpro.</t>
  </si>
  <si>
    <t>Kota Segar</t>
  </si>
  <si>
    <t>ONEYMBAF01541300</t>
  </si>
  <si>
    <t>51 0557 1586</t>
  </si>
  <si>
    <t>JDE AB Plus Kitale</t>
  </si>
  <si>
    <t>ABC EUDR. Crop 25/26.</t>
  </si>
  <si>
    <t>WECC2588HAM1331</t>
  </si>
  <si>
    <t>P100324</t>
  </si>
  <si>
    <t xml:space="preserve">US prep Neutral Blender 80/81. SAS NANS PSS  </t>
  </si>
  <si>
    <t>MOB0154560</t>
  </si>
  <si>
    <t>P100325</t>
  </si>
  <si>
    <t xml:space="preserve">US prep Neutral Blender 80/81.NKG Verified.SAS NANS PSS .   </t>
  </si>
  <si>
    <t>MOB0154566</t>
  </si>
  <si>
    <t>ABC. Crop 25/26</t>
  </si>
  <si>
    <t>WECC2588HAM1329</t>
  </si>
  <si>
    <t>P200242</t>
  </si>
  <si>
    <t>AB.*Packed in ecotact.</t>
  </si>
  <si>
    <t>Nordia</t>
  </si>
  <si>
    <t>HLCUMB1251101272</t>
  </si>
  <si>
    <t>AB Plus EUDR. (20MT Packed in 1 tonne bags)</t>
  </si>
  <si>
    <t>MAERSK CAIRO / 604N</t>
  </si>
  <si>
    <t>Safi A</t>
  </si>
  <si>
    <t>St. Petersburg</t>
  </si>
  <si>
    <t>Russia</t>
  </si>
  <si>
    <t>MEDUM2820055</t>
  </si>
  <si>
    <t>Grinders.*Eudr Aligned</t>
  </si>
  <si>
    <t>Holsatia</t>
  </si>
  <si>
    <t>5362A</t>
  </si>
  <si>
    <t>A</t>
  </si>
  <si>
    <t>LUCKY BLESSING 0010N</t>
  </si>
  <si>
    <t>MEDUM2830674</t>
  </si>
  <si>
    <t>5362B</t>
  </si>
  <si>
    <t>5362C</t>
  </si>
  <si>
    <t>AB FAQ*Eudr Aligned</t>
  </si>
  <si>
    <t>5363A</t>
  </si>
  <si>
    <t>MEDUM2830682</t>
  </si>
  <si>
    <t>5363B</t>
  </si>
  <si>
    <t>26 Dec 2025 </t>
  </si>
  <si>
    <t>P200283</t>
  </si>
  <si>
    <t>5356A</t>
  </si>
  <si>
    <t>NewYork</t>
  </si>
  <si>
    <t>CMA CGM VILA DO CONDE ( 02SNTN1MA)</t>
  </si>
  <si>
    <t>NBI0121526</t>
  </si>
  <si>
    <t>Mara RA-IP EUDR Aligned</t>
  </si>
  <si>
    <t>RA-IP/EUDR</t>
  </si>
  <si>
    <t>MEDUM2825617</t>
  </si>
  <si>
    <t>WIKING / 550N</t>
  </si>
  <si>
    <t>MH Plus</t>
  </si>
  <si>
    <t>Gwangyang</t>
  </si>
  <si>
    <t>KMTC TIANJIN 2510E</t>
  </si>
  <si>
    <t>321600000322</t>
  </si>
  <si>
    <t>69 7613 7803</t>
  </si>
  <si>
    <t>Kenya FAQ</t>
  </si>
  <si>
    <t>MSC AQUARIUS VII OM613R</t>
  </si>
  <si>
    <t>MEDUM2854526</t>
  </si>
  <si>
    <t>SC 15+ SBUX Quality, WAF01, C.A.F.E Practices, crop year 2025/26. (40*1000-Packed in Big Bags).</t>
  </si>
  <si>
    <t>CMA CGM Vila Do Conde</t>
  </si>
  <si>
    <t>MOB0155242</t>
  </si>
  <si>
    <t>EVER VERA 017E  </t>
  </si>
  <si>
    <t>321500004512</t>
  </si>
  <si>
    <t>1670 187 573</t>
  </si>
  <si>
    <t>CO-63741</t>
  </si>
  <si>
    <t>AA FAQ EUDR Aligned</t>
  </si>
  <si>
    <t>WECC2588BCN1094</t>
  </si>
  <si>
    <t>5381A</t>
  </si>
  <si>
    <t>ONE</t>
  </si>
  <si>
    <t>ONEYMBAG0011570</t>
  </si>
  <si>
    <t>48 7537 7662</t>
  </si>
  <si>
    <t>5381B</t>
  </si>
  <si>
    <t>PB FAQ. Packed in 60kg Grainpro.</t>
  </si>
  <si>
    <t>G25-KE11-IB13A</t>
  </si>
  <si>
    <t>LADY JANE 041E</t>
  </si>
  <si>
    <t>321600000306</t>
  </si>
  <si>
    <t>5367A</t>
  </si>
  <si>
    <t>CMA-CGM Africa Two</t>
  </si>
  <si>
    <t>MOB0155651</t>
  </si>
  <si>
    <t>5367B</t>
  </si>
  <si>
    <t>5368A</t>
  </si>
  <si>
    <t>SC 15+ SBUX Quality, WAF01, C.A.F.E Practices, crop year 2025/26. (80*1000-Packed in Big Bags).</t>
  </si>
  <si>
    <t>MAERSK CAPE TOWN / 605N</t>
  </si>
  <si>
    <t>31 Jan 2026 </t>
  </si>
  <si>
    <t>5368B</t>
  </si>
  <si>
    <t>5396A</t>
  </si>
  <si>
    <t>MAERSK CAPE TOWN / 609N</t>
  </si>
  <si>
    <t>28 Feb 2026 </t>
  </si>
  <si>
    <t>5396B</t>
  </si>
  <si>
    <t>5421A</t>
  </si>
  <si>
    <t>HOLSATIA / 612E</t>
  </si>
  <si>
    <t>5421B</t>
  </si>
  <si>
    <t>CKEN662797</t>
  </si>
  <si>
    <t>5421C</t>
  </si>
  <si>
    <t>5421D</t>
  </si>
  <si>
    <t>CCS 6732</t>
  </si>
  <si>
    <t>Blaser trading</t>
  </si>
  <si>
    <t>Jebel Ali</t>
  </si>
  <si>
    <t>UAE</t>
  </si>
  <si>
    <t>Ever Brace</t>
  </si>
  <si>
    <t>ONEYMBAF01834800</t>
  </si>
  <si>
    <t>1840 946 855</t>
  </si>
  <si>
    <t>CCS 6734</t>
  </si>
  <si>
    <t>AA FAQ.EUDR Aligned. Packed in 60kg Grainpro.</t>
  </si>
  <si>
    <t>Tallinn</t>
  </si>
  <si>
    <t>Estonia</t>
  </si>
  <si>
    <t>330 641 3596</t>
  </si>
  <si>
    <t>P200468</t>
  </si>
  <si>
    <t>5356B</t>
  </si>
  <si>
    <t>AA Nguvu. Packed in  60kg Grainpro</t>
  </si>
  <si>
    <t>Kenya Stocklot EUDR Aligned. (20 Packed in big bags on pallets)</t>
  </si>
  <si>
    <t>22/01/2026</t>
  </si>
  <si>
    <t>WEC</t>
  </si>
  <si>
    <t>Lucky Blessing 0012N</t>
  </si>
  <si>
    <t>WECC2688VLC1004</t>
  </si>
  <si>
    <t>AB Gakuyuini OT 14IM0058, EX Warehouse annex, . Packed in 60kg Grainpro</t>
  </si>
  <si>
    <t>Ex Warehouse</t>
  </si>
  <si>
    <t>5388A</t>
  </si>
  <si>
    <t>WECC2688BREM1004</t>
  </si>
  <si>
    <t>5388B</t>
  </si>
  <si>
    <t>P40098</t>
  </si>
  <si>
    <t>Kenya Tembo. Packed in Grainpro</t>
  </si>
  <si>
    <t> Natural Arabica Green Coffee Kenya Endebess Esate Starbucks Quality (KEN90) , C.A.F.E Practices verified – crop 25/26.EUDR Aligned. NA Replace on PSS. NA No Replacement on arrival.</t>
  </si>
  <si>
    <t>MARATHOPOLIS / 611N</t>
  </si>
  <si>
    <t>5405A</t>
  </si>
  <si>
    <t>5447A</t>
  </si>
  <si>
    <t xml:space="preserve">  AA Gakuyu-Ini-04iM0028,  As Per Sample 6167  (32 bags packed in 30kg vacuum pack)</t>
  </si>
  <si>
    <t>XIN YANG SHAN / 617E</t>
  </si>
  <si>
    <t>5447B</t>
  </si>
  <si>
    <t xml:space="preserve"> AA Gathaithi-03iM0021,As Per Sample 6165  (32bags packed in  30kg vacuum pack)</t>
  </si>
  <si>
    <t>5378A</t>
  </si>
  <si>
    <t>CMA CGM DOLPHIN ( 0K11YE1MA)</t>
  </si>
  <si>
    <t>MOB0155934</t>
  </si>
  <si>
    <t>5378B</t>
  </si>
  <si>
    <t>5397A</t>
  </si>
  <si>
    <t>SC 15+ SBUX Quality, WAF01, C.A.F.E Practices, crop year 2025/26. (220*1000-Packed in Big Bags).</t>
  </si>
  <si>
    <t>MYNY ( 0K126E1MA)</t>
  </si>
  <si>
    <t>MOB0156263</t>
  </si>
  <si>
    <t>5397B</t>
  </si>
  <si>
    <t>5397C</t>
  </si>
  <si>
    <t>5397D</t>
  </si>
  <si>
    <t>5397E</t>
  </si>
  <si>
    <t>5434A</t>
  </si>
  <si>
    <t>Oakland,CA</t>
  </si>
  <si>
    <t>SPIL CAYA / 614E</t>
  </si>
  <si>
    <t>5434B</t>
  </si>
  <si>
    <t>5434C</t>
  </si>
  <si>
    <t>5434D</t>
  </si>
  <si>
    <t xml:space="preserve">KE-26-0010 </t>
  </si>
  <si>
    <t>5359A</t>
  </si>
  <si>
    <t>AB THIRIRIKA-05iM1004  , EUDR Aligned , As Per Sample 6155 . ( 74 boxes of 30Kg  Vacuum Pack). THIRIRIKA EUDR-factory.</t>
  </si>
  <si>
    <t>KE-26-0012</t>
  </si>
  <si>
    <t>5359B</t>
  </si>
  <si>
    <t>AA Gathaithi-03iM0021   , EUDR Aligned , As Per Sample 6157. (36 boxes of 30Kg  Vacuum Pack). GATHAITHI EUDR-factory.</t>
  </si>
  <si>
    <t>KE-26-0014</t>
  </si>
  <si>
    <t xml:space="preserve">AA Thirikwa Gakuyu-Ini-04iM0028    , EUDR Aligned , As Per Sample 6159. (36 boxes of 30Kg  Vacuum Pack). </t>
  </si>
  <si>
    <t xml:space="preserve">KE-26-0016 </t>
  </si>
  <si>
    <t>5359D</t>
  </si>
  <si>
    <t xml:space="preserve">AA Thiririka-05iM1004     , EUDR Aligned , As Per Sample 6161. (78 boxes of 30Kg  Vacuum Pack). THIRIRIKA EUDR-factory </t>
  </si>
  <si>
    <t xml:space="preserve"> KE-26-0018 </t>
  </si>
  <si>
    <t xml:space="preserve">AB MUGAGA Gatina-06iM0001     , EUDR Aligned , As Per Sample 6177. (42 boxes of 30Kg  Vacuum Pack). </t>
  </si>
  <si>
    <t xml:space="preserve">KE-26-0023 </t>
  </si>
  <si>
    <t>5359F</t>
  </si>
  <si>
    <t xml:space="preserve"> AB MWIRUA Getuya-05KN0006     , EUDR Aligned , As Per Sample 6182. (74 boxes of 30Kg  Vacuum Pack).</t>
  </si>
  <si>
    <t xml:space="preserve">KE-26-0024 </t>
  </si>
  <si>
    <t>5359G</t>
  </si>
  <si>
    <t xml:space="preserve">AA Kibirigwi-04KN0023   , EUDR Aligned , As Per Sample 6183. (80 boxes of 30Kg  Vacuum Pack). THUNGURI EUDR-factory </t>
  </si>
  <si>
    <t xml:space="preserve">KE-26-0025 </t>
  </si>
  <si>
    <t>5359H</t>
  </si>
  <si>
    <t xml:space="preserve">AA Mwirua-05KN0002   , EUDR Aligned , As Per Sample 6184. (114 boxes of 30Kg  Vacuum Pack). MITONDO EUDR-factory </t>
  </si>
  <si>
    <t>U1-51121</t>
  </si>
  <si>
    <t>AB Kirinyaga. Packed in Grainpro.</t>
  </si>
  <si>
    <t>XIN YANG SHAN 610E</t>
  </si>
  <si>
    <t>5405B</t>
  </si>
  <si>
    <t> Natural Arabica Green Coffee Kenya Endebess Esate Starbucks Quality (KEN90) , C.A.F.E Practices verified – crop 25/26.EUDR Aligned. NA Replace on PSS. NA No Replacement on arrival. 1 Bag of 40kg Packed in grainpro.. DDP Starbucks Pilot</t>
  </si>
  <si>
    <t>Airlifted</t>
  </si>
  <si>
    <t>Kenya AB,Peets. Packed in grainpro. PROMPT</t>
  </si>
  <si>
    <t>321600000349</t>
  </si>
  <si>
    <t>4240 7711 50</t>
  </si>
  <si>
    <t>Kenya ABC</t>
  </si>
  <si>
    <t>Lucky Blessing [0011N]</t>
  </si>
  <si>
    <t>27-02-26</t>
  </si>
  <si>
    <t>U1-51141</t>
  </si>
  <si>
    <t>MSC MANHATTAN V OM608R</t>
  </si>
  <si>
    <t>MEDUM2847504</t>
  </si>
  <si>
    <t>BSG BARABADOS 609E</t>
  </si>
  <si>
    <t>SC 15+ SBUX Quality, WAF01, C.A.F.E Practices, crop year 2025/26. (200*1000-Packed in Big Bags).</t>
  </si>
  <si>
    <t>XIN YANG SHAN / 610E</t>
  </si>
  <si>
    <t>SC 15+ SBUX Quality, WAF01, C.A.F.E Practices, crop year 2025/26. (100*1000-Packed in Big Bags).</t>
  </si>
  <si>
    <t>ARGOLIKOS / 623N</t>
  </si>
  <si>
    <t>TP Quality.  (option to upgrade to RA by paying a 15 c/lb premium)</t>
  </si>
  <si>
    <t>WECC2588HAM1366</t>
  </si>
  <si>
    <t xml:space="preserve">Mara RA-IP </t>
  </si>
  <si>
    <t>WECC2588HAM1367</t>
  </si>
  <si>
    <t>In microlot</t>
  </si>
  <si>
    <t>Mara Natural. Packed in Grainpro.</t>
  </si>
  <si>
    <t>22 Apr 2026 </t>
  </si>
  <si>
    <t>5447C</t>
  </si>
  <si>
    <t>Kenya Stocklot. APS 6144.</t>
  </si>
  <si>
    <t>Kenya black beans. APS 6193</t>
  </si>
  <si>
    <t>U1-51144</t>
  </si>
  <si>
    <t>Fremantle</t>
  </si>
  <si>
    <t>PIL FCL/FCL</t>
  </si>
  <si>
    <t>Kota Sejarah 601E</t>
  </si>
  <si>
    <t>MBA600020400</t>
  </si>
  <si>
    <t>P614781-1</t>
  </si>
  <si>
    <t>AA FAQ. Packed in Grainpro.PROMPT</t>
  </si>
  <si>
    <t>ESL Dubai</t>
  </si>
  <si>
    <t>HLCUMB1260101976</t>
  </si>
  <si>
    <t>Rwanda Gwira. EUDR Aligned</t>
  </si>
  <si>
    <t xml:space="preserve">MSC Tampico Voy </t>
  </si>
  <si>
    <t>MEDUTZ366567</t>
  </si>
  <si>
    <t>email</t>
  </si>
  <si>
    <t>MSC MATTINA HI607R</t>
  </si>
  <si>
    <t>MEDUTZ371419</t>
  </si>
  <si>
    <t>5398A</t>
  </si>
  <si>
    <t>WIKING / 610N</t>
  </si>
  <si>
    <t>08 Mar 2026 </t>
  </si>
  <si>
    <t>5398B</t>
  </si>
  <si>
    <t>5398C</t>
  </si>
  <si>
    <t>5398D</t>
  </si>
  <si>
    <t>321600000357</t>
  </si>
  <si>
    <t>Kenya AB,Peets. Packed in grainpro</t>
  </si>
  <si>
    <t>X-PRESS ANTARES 26015E</t>
  </si>
  <si>
    <t>SEASPAN NEW DELHI 026E </t>
  </si>
  <si>
    <t>JUN-13-2026</t>
  </si>
  <si>
    <t xml:space="preserve">LADY JANE 045E at MOMBASA </t>
  </si>
  <si>
    <t>BRIC RUSSIA</t>
  </si>
  <si>
    <t>5385A</t>
  </si>
  <si>
    <t>AA Baragwi Kariru. 06KN0017.APS 6749. Packed in 60KG Grainpro.</t>
  </si>
  <si>
    <t>WEC Line</t>
  </si>
  <si>
    <t xml:space="preserve">Lucky Blessing Voy 0011N </t>
  </si>
  <si>
    <t>WECC2588RIX1001</t>
  </si>
  <si>
    <t>72 1567 5460</t>
  </si>
  <si>
    <t>5385B</t>
  </si>
  <si>
    <t>AA Baragwi Kagongo. 06KN0012.APS 6744. Packed in 60KG Grainpro.</t>
  </si>
  <si>
    <t>5385C</t>
  </si>
  <si>
    <t>AA Baragwi Kianjiru. 07SM0014.APS 6083. Packed in 60KG Grainpro.</t>
  </si>
  <si>
    <t>5385D</t>
  </si>
  <si>
    <t>AA Mwirua Mitondo. 07KN0020.APS 6799. Packed in 60KG Grainpro.</t>
  </si>
  <si>
    <t>5385E</t>
  </si>
  <si>
    <t>AA Kaganda Kaganda. 07im0044.APS 6114. Packed in 60KG Grainpro.</t>
  </si>
  <si>
    <t>5385F</t>
  </si>
  <si>
    <t>AA Iyego Gitura. 07KF0093.APS 6109. Packed in 60KG Grainpro.</t>
  </si>
  <si>
    <t>5385G</t>
  </si>
  <si>
    <t>AA New Ngariama Kamwangi. 08KN0031.APS 6700. Packed in 60KG Grainpro.</t>
  </si>
  <si>
    <t>5385H</t>
  </si>
  <si>
    <t>AB Baragwi Kariru. 06KN0017.APS 6658. Packed in 60KG Grainpro.</t>
  </si>
  <si>
    <t>5385I</t>
  </si>
  <si>
    <t>AB Mugaga Kieni. 07im0002.APS 5960. Packed in 60KG Grainpro.</t>
  </si>
  <si>
    <t>5385J</t>
  </si>
  <si>
    <t>AB Kabare Konyu. 07im0028.APS 5976. Packed in 60KG Grainpro.</t>
  </si>
  <si>
    <t>5385K</t>
  </si>
  <si>
    <t>AB Kaganda Kaganda. 07im0044.APS 5988. Packed in 60KG Grainpro.</t>
  </si>
  <si>
    <t>BD739</t>
  </si>
  <si>
    <t>Paragon Trading</t>
  </si>
  <si>
    <t>CMA CGM Manta Ray 0K122E1MA</t>
  </si>
  <si>
    <t>NBI0121822</t>
  </si>
  <si>
    <t>5418A</t>
  </si>
  <si>
    <t>KENYA AB THIRIKU THIRIKU-06IM1007. APS 6233. Packed in 60KG Grainpro</t>
  </si>
  <si>
    <t xml:space="preserve">GFS RANNA Voy 0062NE </t>
  </si>
  <si>
    <t>MEDUM2862271</t>
  </si>
  <si>
    <t>5418B</t>
  </si>
  <si>
    <t>KENYA AA THIRIKU THIRIKU-06IM1007. APS 6234. Packed in 60KG Grainpro</t>
  </si>
  <si>
    <t>AB TOP RA-IP EUDR Aligned. Packed in Grainpro.Bulk.</t>
  </si>
  <si>
    <t>Grain Pro Bag Bulk</t>
  </si>
  <si>
    <t>OM628RMSC Brianna V</t>
  </si>
  <si>
    <t>MSC ROBERTA V OM630R</t>
  </si>
  <si>
    <t>MEDUM2920699</t>
  </si>
  <si>
    <t>MSC PRELUDE V OM634R</t>
  </si>
  <si>
    <t>MEDUM2923073</t>
  </si>
  <si>
    <t>5418C</t>
  </si>
  <si>
    <t>KENYA AB MUTIRA MUTITU-06KN0021. APS 6240. Packed in 60KG Grainpro</t>
  </si>
  <si>
    <t>5418D</t>
  </si>
  <si>
    <t>KENYA AB BARAGWI GUAMA-06KN0019. APS 6241. Packed in 60KG Grainpro</t>
  </si>
  <si>
    <t>5418E</t>
  </si>
  <si>
    <t>KENYA AA NGIRIAMBU KEGWA-08KN0004. APS 6245. Packed in 60KG Grainpro</t>
  </si>
  <si>
    <t>MAERSK CAIRO / 608N</t>
  </si>
  <si>
    <t>5389A</t>
  </si>
  <si>
    <t>JDE Safi A</t>
  </si>
  <si>
    <t>Lucky Blessing [0012N]</t>
  </si>
  <si>
    <t>WECC2688RTM1021</t>
  </si>
  <si>
    <t>5389B</t>
  </si>
  <si>
    <t>5389C</t>
  </si>
  <si>
    <t>5389D</t>
  </si>
  <si>
    <t>5390A</t>
  </si>
  <si>
    <t>JDE Grinders.</t>
  </si>
  <si>
    <t xml:space="preserve">Wiking voy 606N </t>
  </si>
  <si>
    <t>WECC2688FOS1017</t>
  </si>
  <si>
    <t>5390B</t>
  </si>
  <si>
    <t>WECC2688RTM1020</t>
  </si>
  <si>
    <t>5447D</t>
  </si>
  <si>
    <t>AB FAQ Kirinyaga. Packed in grainpro. To be shipped with selected microlots.</t>
  </si>
  <si>
    <t>MEDUM2846860</t>
  </si>
  <si>
    <t>5386A</t>
  </si>
  <si>
    <t>5386B</t>
  </si>
  <si>
    <t xml:space="preserve">Navios Summer 552E </t>
  </si>
  <si>
    <t>ONEYMBAG00164400</t>
  </si>
  <si>
    <t>5386C</t>
  </si>
  <si>
    <t>AB THIRIRIKA-07iM0004 , GITHEMBE factory. As per sample 6196.(32 Boxes packed in 30kg Vacuum pack)</t>
  </si>
  <si>
    <t xml:space="preserve">MARATHOPOLIS Voy 607N </t>
  </si>
  <si>
    <t>5386D</t>
  </si>
  <si>
    <t>AB RUNGETO-08KN0018, KIANGOI factory. As per sample 6351.(88 Boxes packed in 30kg Vacuum pack)</t>
  </si>
  <si>
    <t>5386E</t>
  </si>
  <si>
    <t>AA THIRIKWA-07KN0016, GAKUYU-INI factory. As per sample 6361.(50 Boxes packed in 30kg Vacuum pack)</t>
  </si>
  <si>
    <t>5386F</t>
  </si>
  <si>
    <t>AB THIRIKWA-07KN0016, GAKUYU-INI factory. As per sample 6359.(40 Boxes packed in 30kg Vacuum pack)</t>
  </si>
  <si>
    <t>5386G</t>
  </si>
  <si>
    <t>PB THIRIKWA-07KN0016, GAKUYU-INI factory. As per sample 6358.(20 Boxes packed in 30kg Vacuum pack)</t>
  </si>
  <si>
    <t>PB Top</t>
  </si>
  <si>
    <t>5386H</t>
  </si>
  <si>
    <t>AB KAGANDA-07IM0044, KAGANDA factory. As per sample 6341.(44 Boxes packed in 30kg Vacuum pack)</t>
  </si>
  <si>
    <t>5386I</t>
  </si>
  <si>
    <t>AA THIRIRIKA-08IM0002, NDUNDU factory. As per sample 6350.(80 Boxes packed in 30kg Vacuum pack)</t>
  </si>
  <si>
    <t>5386J</t>
  </si>
  <si>
    <t>AA GIKANDA-05TY0006, NDAROINI factory. As per sample 6208.(12 Boxes packed in 30kg Vacuum pack)</t>
  </si>
  <si>
    <t>C780-3300</t>
  </si>
  <si>
    <t>Mitsui</t>
  </si>
  <si>
    <t>AA FAQ. 90% above SC18 &amp; 12 defects  ( packed in Grainpro plus Korean label)</t>
  </si>
  <si>
    <t>MSC BEIRA IV HI606R</t>
  </si>
  <si>
    <t>MEDUM2850391</t>
  </si>
  <si>
    <t>Pebble Coffee</t>
  </si>
  <si>
    <t>5423A</t>
  </si>
  <si>
    <t>AA FAQ. (275 packed in  30Kg Grainpro). APS 6223</t>
  </si>
  <si>
    <t>Keelung</t>
  </si>
  <si>
    <t>Taiwan</t>
  </si>
  <si>
    <t xml:space="preserve">LADY JANE Voy 042E </t>
  </si>
  <si>
    <t>25 5595 6152</t>
  </si>
  <si>
    <t>5423B</t>
  </si>
  <si>
    <t>AA FAQ. (175 packed in  30Kg Grainpro)APS 6224</t>
  </si>
  <si>
    <t>JOLLY BIANCO OM617R</t>
  </si>
  <si>
    <t>MEDUM2871504</t>
  </si>
  <si>
    <t>Obscura</t>
  </si>
  <si>
    <t>5422A</t>
  </si>
  <si>
    <t>KENYA AB BARAGWI  NYANJA-06KN0018. APS 6262. (70 boxes packed in 30kg Vacuum pack)</t>
  </si>
  <si>
    <t xml:space="preserve">Xin Huang Pu voy 613E sailed </t>
  </si>
  <si>
    <t>5422B</t>
  </si>
  <si>
    <t>KENYA AB MUGAGA KIENI-06IM0004. APS 6264. (34 boxes packed in 30kg Vacuum pack)</t>
  </si>
  <si>
    <t>5422C</t>
  </si>
  <si>
    <t>KENYA AA BARAGWI GUAMA-07SM0019. APS 6265. (198 boxes packed in 30kg Vacuum pack)</t>
  </si>
  <si>
    <t>5422D</t>
  </si>
  <si>
    <t>KENYA AA GATHACHA FCS- 07IM0006. APS 6267. (100 boxes packed in 30kg Vacuum pack)</t>
  </si>
  <si>
    <t>5422E</t>
  </si>
  <si>
    <t>KENYA AA MUGAGA GATINA-06IM0001. APS 6269. (88 boxes packed in 30kg Vacuum pack)</t>
  </si>
  <si>
    <t>5422F</t>
  </si>
  <si>
    <t>KENYA AB TEKANGU KAROGOTO-07IM0023. APS 6271. (48 boxes packed in 30kg Vacuum pack)</t>
  </si>
  <si>
    <t>5422G</t>
  </si>
  <si>
    <t>KENYA AA BARAGWI KIANJIRU-07SM0014. APS 6272. (67 boxes packed in 30kg Vacuum pack)</t>
  </si>
  <si>
    <t>5422H</t>
  </si>
  <si>
    <t>KENYA AB INOIKAGUYU-06KN0039. APS 6273. (67 boxes packed in 30kg Vacuum pack)</t>
  </si>
  <si>
    <t>AA Jambo Jambo. SAS.( Packed in 60kg Grainpro).Above screen 17.</t>
  </si>
  <si>
    <t xml:space="preserve">GFS RANNA 0061N </t>
  </si>
  <si>
    <t xml:space="preserve"> MEDUM2846472</t>
  </si>
  <si>
    <t>Rwanda Gwira EUDR Aligned</t>
  </si>
  <si>
    <t>MSC MALIN II IA617R</t>
  </si>
  <si>
    <t>MEDUTZ373712</t>
  </si>
  <si>
    <t>Sc 15 up</t>
  </si>
  <si>
    <t>MEDUTZ373704</t>
  </si>
  <si>
    <t>AA/AB Kamwenja FCA Riga (158 Packed in 30kg boxes)</t>
  </si>
  <si>
    <t>5419A</t>
  </si>
  <si>
    <t>MAERSK CAIRO / 612N</t>
  </si>
  <si>
    <t>5419B</t>
  </si>
  <si>
    <t>SC 15+ SBUX Quality, WAF01, C.A.F.E Practices, crop year 2025/26.BULK.</t>
  </si>
  <si>
    <t>5429A</t>
  </si>
  <si>
    <t>MAERSK CAPE TOWN / 613N</t>
  </si>
  <si>
    <t>5429B</t>
  </si>
  <si>
    <t xml:space="preserve">Tacoma </t>
  </si>
  <si>
    <t>CMA CGM</t>
  </si>
  <si>
    <t xml:space="preserve">CMA CGM MOMBASA ( 02SPHN1MA) </t>
  </si>
  <si>
    <t>MOB0157433 | CKEN676960</t>
  </si>
  <si>
    <t>Hapag Llyod FCL/FCL</t>
  </si>
  <si>
    <t>Wadi Duka 2621N</t>
  </si>
  <si>
    <t>HLCUMB1260504586</t>
  </si>
  <si>
    <t>HLCUMB1260504575</t>
  </si>
  <si>
    <t>4554017744</t>
  </si>
  <si>
    <t>AA/AB Plus</t>
  </si>
  <si>
    <t>GFS Ranna [0061N]</t>
  </si>
  <si>
    <t>5457A</t>
  </si>
  <si>
    <t>AB Bilashaka. Packed in  60kg Grainpro.</t>
  </si>
  <si>
    <t xml:space="preserve">GFS RANNA Voy 0063N </t>
  </si>
  <si>
    <t>MEDUM2875158</t>
  </si>
  <si>
    <t>Tata consumers</t>
  </si>
  <si>
    <t>Type Tata 101A Spec. C&amp;F Tuticorin</t>
  </si>
  <si>
    <t>Tuticorin</t>
  </si>
  <si>
    <t>MSC</t>
  </si>
  <si>
    <t>MSC Long Beach VI OM609R</t>
  </si>
  <si>
    <t>MEDUM2851993</t>
  </si>
  <si>
    <t>5418F</t>
  </si>
  <si>
    <t>KENYA AB BARAGWI KAGONGO-09SM0015. APS 6380. Packed in 60 Kg Grainpro.</t>
  </si>
  <si>
    <t>5418G</t>
  </si>
  <si>
    <t>KENYA AA KIAMA GACHUIRO-09IM0101.APS 6386. Packed in 60 Kg Grainpro.</t>
  </si>
  <si>
    <t>5418H</t>
  </si>
  <si>
    <t>KENYA AA BARICHU GATOMBOYA-08IM0073.APS 6387. Packed in 60 Kg Grainpro.</t>
  </si>
  <si>
    <t>5418I</t>
  </si>
  <si>
    <t>KENYA AA KOMOTHAI RIAKAHARA-08KM0020. APS 6388. Packed in 60 Kg Grainpro.</t>
  </si>
  <si>
    <t>5418J</t>
  </si>
  <si>
    <t>KENYA AA GIKANDA NDAROINI-08TY0005. APS 6389. Packed in 60 Kg Grainpro.</t>
  </si>
  <si>
    <t>5418K</t>
  </si>
  <si>
    <t>KENYA AA GAKUNDU GAKUI-09SM0035. APS 6378. Packed in 60 Kg Grainpro.</t>
  </si>
  <si>
    <t>5417A</t>
  </si>
  <si>
    <t>AB FAQ (Traceable) Prompt. Packed in 60Kg Grainpro</t>
  </si>
  <si>
    <t>APL SCOTLAND ( 0K12AE1MA)</t>
  </si>
  <si>
    <t>NBI0121926</t>
  </si>
  <si>
    <t>5417B</t>
  </si>
  <si>
    <t>AA Rungeto Kii-13IM0034.APS 34. Packed in 60KG Grainpro</t>
  </si>
  <si>
    <t>5417C</t>
  </si>
  <si>
    <t>5417D</t>
  </si>
  <si>
    <t>PB Rungeto Karimikui-13KN0036. APS 20. Packed in 60Kg Grainpro</t>
  </si>
  <si>
    <t>5417E</t>
  </si>
  <si>
    <t>AA Mutira Mugaya-07KN0014. APS 37. Packed in 60KG Grainpro.</t>
  </si>
  <si>
    <t>Cafea Fortuna</t>
  </si>
  <si>
    <t>AA Top. APS 6407 (20 packed in 1 tonne bags)</t>
  </si>
  <si>
    <t xml:space="preserve">APS </t>
  </si>
  <si>
    <t>7393 5906 06</t>
  </si>
  <si>
    <t>0012NLucky Blessing</t>
  </si>
  <si>
    <t>WECC2688HAM1054</t>
  </si>
  <si>
    <t>5446A</t>
  </si>
  <si>
    <t>PB Kisi. EUDR aligned. Packed in 60kg Grainpro.</t>
  </si>
  <si>
    <t>MSC Aquarius VII [OM613R]</t>
  </si>
  <si>
    <t>WECC2688LGP1023</t>
  </si>
  <si>
    <t>5446B</t>
  </si>
  <si>
    <t>AB Honey Bush. EUDR Aligned. Packed in 60kg Grainpro</t>
  </si>
  <si>
    <t>5446C</t>
  </si>
  <si>
    <t>AA samburu. EUDR Aligned. Packed in 60kg Grainpro.</t>
  </si>
  <si>
    <t>5424A</t>
  </si>
  <si>
    <t>AA Top.Packed in Grainpro.</t>
  </si>
  <si>
    <t xml:space="preserve">ONE </t>
  </si>
  <si>
    <t>KOTA SAHABAT 605E (WJKT)</t>
  </si>
  <si>
    <t>ONEYMBAG00446700</t>
  </si>
  <si>
    <t>5424B</t>
  </si>
  <si>
    <t>AA FAQ.Packed in Grainpro.</t>
  </si>
  <si>
    <t>5424C</t>
  </si>
  <si>
    <t>AB FAQ.Packed in Grainpro.</t>
  </si>
  <si>
    <t>5435A</t>
  </si>
  <si>
    <t>PIL</t>
  </si>
  <si>
    <t>REN JIAN 623E</t>
  </si>
  <si>
    <t>MBA600078500</t>
  </si>
  <si>
    <t>5485A</t>
  </si>
  <si>
    <t>MSC DYMPHNA VI HI623R</t>
  </si>
  <si>
    <t>MEDUM2891320</t>
  </si>
  <si>
    <t>5485B</t>
  </si>
  <si>
    <t>SC 15+ SBUX Quality, WAF01, C.A.F.E Practices, crop year 2025/26. (*bulk).</t>
  </si>
  <si>
    <t xml:space="preserve">Savannah </t>
  </si>
  <si>
    <t>MONALISA 2624N</t>
  </si>
  <si>
    <t>HLCUMB1260605203</t>
  </si>
  <si>
    <t>5446D</t>
  </si>
  <si>
    <t>AA Thiririka Githembe 08IM0060 in (14 packed in 30kg Vacuum Pack Boxes). APS 6455</t>
  </si>
  <si>
    <t>5447E</t>
  </si>
  <si>
    <t xml:space="preserve"> AA THIRIKWA GAKUYU-INI-14KN0014 . (Packed in Grainpro)</t>
  </si>
  <si>
    <t>5447F</t>
  </si>
  <si>
    <t>AB INOI NDIMI-12KN0034 (Packed in Grainpro)</t>
  </si>
  <si>
    <t>5447G</t>
  </si>
  <si>
    <t>AA RUNG'ETO KII-12KN0040(Packed in Grainpro)</t>
  </si>
  <si>
    <t>5447H</t>
  </si>
  <si>
    <t xml:space="preserve"> AA INOI FCS THAITA-13KN0021  (Packed in Grainpro)</t>
  </si>
  <si>
    <t>5447I</t>
  </si>
  <si>
    <t xml:space="preserve"> AB GITITU KAIMBU-07KM0026 (Packed in Grainpro)</t>
  </si>
  <si>
    <t>5447J</t>
  </si>
  <si>
    <t xml:space="preserve">  AB KOMOTHAI RIAKAHARA-08KM0020   (Packed in Grainpro)</t>
  </si>
  <si>
    <t>5447K</t>
  </si>
  <si>
    <t xml:space="preserve">  AB RWAMA KIMATU-12iM0045 (Packed in Grainpro)</t>
  </si>
  <si>
    <t>5447L</t>
  </si>
  <si>
    <t xml:space="preserve">  AA BARAGWI MUCHAGARA-10KN0018 (Packed in Grainpro)   </t>
  </si>
  <si>
    <t>5447M</t>
  </si>
  <si>
    <t xml:space="preserve">  AA BARAGWI NYANJA-11SM0028 (Packed in Grainpro)</t>
  </si>
  <si>
    <t>5447N</t>
  </si>
  <si>
    <t xml:space="preserve">  AA INOI FCS THAITA-13KN0021 (32 Packed in 30Kg Vacuum Pack.)</t>
  </si>
  <si>
    <t>5447O</t>
  </si>
  <si>
    <t xml:space="preserve">  AA RUNG'ETO KII-12KN0040  (4 Packed in 30Kg Vacuum Pack.) </t>
  </si>
  <si>
    <t>5386K</t>
  </si>
  <si>
    <t xml:space="preserve"> AA TEKENGU TEGU-09IM0024  (60 Packed in 30Kg Vacuum Pack.) </t>
  </si>
  <si>
    <t>5386L</t>
  </si>
  <si>
    <t xml:space="preserve"> AA KAGANDA-07IM0044   (58 Packed in 30Kg Vacuum Pack.) </t>
  </si>
  <si>
    <t>5386M</t>
  </si>
  <si>
    <t xml:space="preserve"> AA KOMOTHAI KANAKE-09KM0015  (16 Packed in 30Kg Vacuum Pack.)   </t>
  </si>
  <si>
    <t>5430A</t>
  </si>
  <si>
    <t>SC 15+ SBUX Quality, WAF02, C.A.F.E Practices, crop year 2025/26. (Packed in Big Bags).</t>
  </si>
  <si>
    <t>REN JIAN 26 / 615N</t>
  </si>
  <si>
    <t>11 Apr 2026 </t>
  </si>
  <si>
    <t>5430B</t>
  </si>
  <si>
    <t>5430C</t>
  </si>
  <si>
    <t>5433B</t>
  </si>
  <si>
    <t>COSCO SAO PAULO / 615E</t>
  </si>
  <si>
    <t>07 Apr 2026 </t>
  </si>
  <si>
    <t xml:space="preserve"> </t>
  </si>
  <si>
    <t>5433A</t>
  </si>
  <si>
    <t>5415A</t>
  </si>
  <si>
    <t xml:space="preserve"> AA RUNGETO KIANGOI-13IM0032. APS  32. (40Packed in 30Kg Vacuum pack )</t>
  </si>
  <si>
    <t>WECC2688RIX1005</t>
  </si>
  <si>
    <t>5415B</t>
  </si>
  <si>
    <t xml:space="preserve"> PB IYEGO GATUBU-09KF0027 . APS  12. ( 22 Packed in 30Kg Vacuum pack )</t>
  </si>
  <si>
    <t>5415C</t>
  </si>
  <si>
    <t xml:space="preserve"> AB BARAGWI KIANJIRU-09SM0008 . APS  14. (40  Packed in 30Kg Vacuum pack )</t>
  </si>
  <si>
    <t>5415D</t>
  </si>
  <si>
    <t xml:space="preserve">  AB MUTHEKA MUTHUAINI-09KF0078-13IM0032. APS 18. (40  Packed in 30Kg Vacuum pack )</t>
  </si>
  <si>
    <t>5415E</t>
  </si>
  <si>
    <t xml:space="preserve">  AB RUNGETI KII-13IM0034      . APS  20. (40  Packed in 30Kg Vacuum pack )</t>
  </si>
  <si>
    <t>5415F</t>
  </si>
  <si>
    <t xml:space="preserve"> AB RUNGETO KARIMIKUI-13IM0037. APS  21. (34  Packed in 30Kg Vacuum pack )</t>
  </si>
  <si>
    <t>5415G</t>
  </si>
  <si>
    <t xml:space="preserve"> AA KAGANDA-09IM0011   . APS  25. ( 34 Packed in 30Kg Vacuum pack )</t>
  </si>
  <si>
    <t>5415H</t>
  </si>
  <si>
    <t xml:space="preserve">  AA GIKANDA NDAROINI-08TY0005 . APS  26. (40  Packed in 30Kg Vacuum pack )</t>
  </si>
  <si>
    <t>5415I</t>
  </si>
  <si>
    <t xml:space="preserve"> AA THIRIRIKA GITHEMBE-08IM0060. APS  27. (14  Packed in 30Kg Vacuum pack )</t>
  </si>
  <si>
    <t>5415J</t>
  </si>
  <si>
    <t xml:space="preserve">  AA MUGAGA KAGUMOINI-09IM0068  . APS  30. (40  Packed in 30Kg Vacuum pack )</t>
  </si>
  <si>
    <t>5415K</t>
  </si>
  <si>
    <t xml:space="preserve"> AA BARAGWI KIANJIRU-06KN0016  . APS  31. ( 30 Packed in 30Kg Vacuum pack )</t>
  </si>
  <si>
    <t>5427A</t>
  </si>
  <si>
    <t>INOI C BLEND . APS . ( Packed in Grainpro )</t>
  </si>
  <si>
    <t xml:space="preserve">MSC AQUARIUS VII Voy OM613R </t>
  </si>
  <si>
    <t>WECC2688RIX1007</t>
  </si>
  <si>
    <t>5415L</t>
  </si>
  <si>
    <t xml:space="preserve"> MARA NATURAL -05MM0007. APS. ( 40 Packed in 30Kg Vacuum pack )</t>
  </si>
  <si>
    <t>5415M</t>
  </si>
  <si>
    <t xml:space="preserve"> MARA NATURAL -05MM0007. APS . (Packed in Grainpro)</t>
  </si>
  <si>
    <t>5439A</t>
  </si>
  <si>
    <t>AA FAQ. Packed in  60kg Grainpro.</t>
  </si>
  <si>
    <t>5439B</t>
  </si>
  <si>
    <t>AA Plus. Packed in  60kg Grainpro.</t>
  </si>
  <si>
    <t>5439C</t>
  </si>
  <si>
    <t>AA Top Kabare Kiang'ombe. Packed in  60kg Grainpro.</t>
  </si>
  <si>
    <t>5439D</t>
  </si>
  <si>
    <t>PB Top Iyego Gatubu. Packed in  60kg Grainpro.</t>
  </si>
  <si>
    <t>Singe Origin</t>
  </si>
  <si>
    <t>AB Type Wendy. APS 6324.CIF Sydney, Packed in 60Kg Grainpro</t>
  </si>
  <si>
    <t>AB//PB Plus</t>
  </si>
  <si>
    <t>MEDUM2849781</t>
  </si>
  <si>
    <t>5446E</t>
  </si>
  <si>
    <t>AB THIRIKWA GAKUYUINI-07KN0016.Sample ref 6453. Packed in 60Kg Grainpro.</t>
  </si>
  <si>
    <t>5446F</t>
  </si>
  <si>
    <t>AB RUNG'ETO KARIMIKUI-13IM0033.Sample ref 6446.Packed in 60Kg Grainpro.</t>
  </si>
  <si>
    <t>5446G</t>
  </si>
  <si>
    <t>AA GACHATHA-07IM0006.Sample ref 6452.Packed in 60Kg Grainpro.</t>
  </si>
  <si>
    <t>AA PLUS</t>
  </si>
  <si>
    <t>5446H</t>
  </si>
  <si>
    <t>AA BARAGWI KARIRU-09SM0024 Sample ref 6450. Packed in 60Kg Grainpro.</t>
  </si>
  <si>
    <t xml:space="preserve">Kenya Kubwa   </t>
  </si>
  <si>
    <t xml:space="preserve">Kenya Kubwa , big bags  </t>
  </si>
  <si>
    <t>Naples</t>
  </si>
  <si>
    <t>HAO BO 01 0025N</t>
  </si>
  <si>
    <t>MEDUM2881727</t>
  </si>
  <si>
    <t>KE-26-0135</t>
  </si>
  <si>
    <t>5413A</t>
  </si>
  <si>
    <t>PB BARAGWI BLEND. Packed in 60KG Grainpro.</t>
  </si>
  <si>
    <t>AB/PB PLUS</t>
  </si>
  <si>
    <t>WECC2688ANR1039</t>
  </si>
  <si>
    <t>KE-26-0142</t>
  </si>
  <si>
    <t>AB BARAGWI MUCHAGARA-09SM0020. (100 Packed in 30Kg vacuum pack)</t>
  </si>
  <si>
    <t xml:space="preserve">LUCKY BLESSING Voy 0012N </t>
  </si>
  <si>
    <t>KE-26-0145</t>
  </si>
  <si>
    <t>AB GIKIRIMA-10IM0098. (100 Packed in 30Kg Vacuum pack)</t>
  </si>
  <si>
    <t>KE-26-0153</t>
  </si>
  <si>
    <t>5413B</t>
  </si>
  <si>
    <t>AA INOI NDIMI-12KN0034. (100 Packed 30Kg vacuum pack)</t>
  </si>
  <si>
    <t>KE-26-0150</t>
  </si>
  <si>
    <t>5413C</t>
  </si>
  <si>
    <t>AB INOI KERUGOYA-12KN0026. (60 Packed in 30Kg Vacuum pack)</t>
  </si>
  <si>
    <t>KE-26-0139</t>
  </si>
  <si>
    <t>5412A</t>
  </si>
  <si>
    <t xml:space="preserve"> AA BARAGWI KARUMANDI-11SM0023. (80 Packed in 30Kg Vacuum pack)</t>
  </si>
  <si>
    <t>WECC688ANR1037</t>
  </si>
  <si>
    <t>KE-26-0151</t>
  </si>
  <si>
    <t>5412B</t>
  </si>
  <si>
    <t>AB INOI KIANDIERI -10KN0043(80 Packed in 30Kg Vacuum pack)</t>
  </si>
  <si>
    <t>KE-26-0152</t>
  </si>
  <si>
    <t>5412C</t>
  </si>
  <si>
    <t>AA INOI KIANDIERI-10KN0043 (80 Packed in 30Kg Vacuum pack)</t>
  </si>
  <si>
    <t>KE-26-0149</t>
  </si>
  <si>
    <t>5412D</t>
  </si>
  <si>
    <t>AA INOI KERUGOYA -12KN0026(80 Packed in 30Kg Vacuum pack)</t>
  </si>
  <si>
    <t>KE-26-0163</t>
  </si>
  <si>
    <t>5412E</t>
  </si>
  <si>
    <t>RUNG'ETO KIANGOI-13KN0056 (40 Packed in 30Kg Vacuum pack)</t>
  </si>
  <si>
    <t>KE -26-0147</t>
  </si>
  <si>
    <t>5412F</t>
  </si>
  <si>
    <t>AA INOI KAGUYU-15KN0035 (50 Packed in 30Kg Vacuum pack)</t>
  </si>
  <si>
    <t>KE-26-0138</t>
  </si>
  <si>
    <t>5412G</t>
  </si>
  <si>
    <t>AB BARAGWI KARIRU-10KN0020 (50 Packed in 30Kg Vacuum pack)</t>
  </si>
  <si>
    <t>KE-26-0165</t>
  </si>
  <si>
    <t>5416A</t>
  </si>
  <si>
    <t>AB KIBUGU GICHERORI. APS 2. (50 Packed in 30Kg Vacuum pack)*FOR WELDER CATHERINE.</t>
  </si>
  <si>
    <t>GFS Ranna 0062N</t>
  </si>
  <si>
    <t>WECC2688RIX1006</t>
  </si>
  <si>
    <t>5416B</t>
  </si>
  <si>
    <t>AB INOI KAGUYU.APS 4. (50 Packed in 30Kg Vacuum pack) *FOR WELDER CATHERINE.</t>
  </si>
  <si>
    <t>5416C</t>
  </si>
  <si>
    <t>AB KABARE KARANI.APS 5. (50 Packed in 30Kg Vacuum pack) *FOR WELDER CATHERINE.</t>
  </si>
  <si>
    <t>5416D</t>
  </si>
  <si>
    <t>AB INOI KAGUYU.APS 6. (50 Packed in 30Kg Vacuum pack) *FOR WELDER CATHERINE.</t>
  </si>
  <si>
    <t>5416E</t>
  </si>
  <si>
    <t>AA BARAGWI KIANJIRU.APS 11. (50 Packed in 30Kg Vacuum pack) *FOR WELDER CATHERINE.</t>
  </si>
  <si>
    <t>5416F</t>
  </si>
  <si>
    <t>AA KABARE KIANGOMBE.APS 12. (50 Packed in 30Kg Vacuum pack) *FOR WELDER CATHERINE.</t>
  </si>
  <si>
    <t>5416G</t>
  </si>
  <si>
    <t>AA CENTRAL NGANDORI MWIRIA.APS 14. (50 Packed in 30Kg Vacuum pack) *FOR WELDER CATHERINE.</t>
  </si>
  <si>
    <t>5416H</t>
  </si>
  <si>
    <t>AA BARICHU GATOMBOYA.APS 15. ( 50 Packed in 30Kg Vacuum pack) *FOR WELDER CATHERINE.</t>
  </si>
  <si>
    <t>5414A</t>
  </si>
  <si>
    <t>AA THIRIKWA GAKUYUINI.APS 17. (Packed in Grainpro) *FOR WELDER CATHERINE.</t>
  </si>
  <si>
    <t>WECC2688RIX1004</t>
  </si>
  <si>
    <t>5416I</t>
  </si>
  <si>
    <t>AA KABARE KARANI.APS 19. (50 Packed in 30Kg Vacuum pack) *FOR WELDER CATHERINE.</t>
  </si>
  <si>
    <t>5414B</t>
  </si>
  <si>
    <t>KABARE PB BLEND.APS 21. (Packed in Grainpro) *FOR WELDER CATHERINE.</t>
  </si>
  <si>
    <t>5416J</t>
  </si>
  <si>
    <t>BARAGWI PB BLEND.APS 22. (50 Packed in 30Kg Vacuum pack) *FOR WELDER CATHERINE.</t>
  </si>
  <si>
    <t>5414C</t>
  </si>
  <si>
    <t>INOI PB BLEND.APS 23. (Packed in Grainpro) *FOR WELDER CATHERINE.</t>
  </si>
  <si>
    <t>5414D</t>
  </si>
  <si>
    <t>C STARLIGHT.APS 24. (Packed in Grainpro) *FOR WELDER CATHERINE.</t>
  </si>
  <si>
    <t>5414E</t>
  </si>
  <si>
    <t>AB KABARE KARANI..APS  5. (Packed in Grainpro) *FOR WELDER CATHERINE.</t>
  </si>
  <si>
    <t>5415N</t>
  </si>
  <si>
    <t>AA MUGAGA KAGUMOINI-09IM0068. APS 30. Packed in 60Kg Grainpro.</t>
  </si>
  <si>
    <t>5415O</t>
  </si>
  <si>
    <t>AB RUNGETO KARIMIKUI-13IM0037. APS 21. (16 Packed in 30kg Vacuum Pack)</t>
  </si>
  <si>
    <t>5415P</t>
  </si>
  <si>
    <t>AB RUNGETI KII-13IM0034. APS 20. Packed in 60Kg Grainpro.</t>
  </si>
  <si>
    <t>5427B</t>
  </si>
  <si>
    <t>09I</t>
  </si>
  <si>
    <t>5427C</t>
  </si>
  <si>
    <t>AB MUTHEKA MUTHUAINI-09KF0078. APS 18. Packed in 60Kg Grainpro.</t>
  </si>
  <si>
    <t>5427D</t>
  </si>
  <si>
    <t>AB RUNGETO KIANGOI-13IM0032. APS 19. Packed in 60Kg Grainpro.</t>
  </si>
  <si>
    <t>5427E</t>
  </si>
  <si>
    <t>AB RUNGETO KARIMIKUI-13IM0037. APS 21. Packed in 60Kg Grainpro.</t>
  </si>
  <si>
    <t>5427F</t>
  </si>
  <si>
    <t>AA KAGANDA-09IM0011. APS 25. Packed in 60Kg Grainpro.</t>
  </si>
  <si>
    <t>AA plus</t>
  </si>
  <si>
    <t>AA/AB plus</t>
  </si>
  <si>
    <t>OM613RMSC Aquarius VII</t>
  </si>
  <si>
    <t>AA/AB plus RA-IP</t>
  </si>
  <si>
    <t>WECC2688HAM1056</t>
  </si>
  <si>
    <t>5418L</t>
  </si>
  <si>
    <t>KENYA AA INOI NDIMI-10KN0044.APS 6419. (20 Packed in 30Kg Vacuum) * FOR COFFEEMAX GREEN</t>
  </si>
  <si>
    <t>5418M</t>
  </si>
  <si>
    <t>KENYA AA INOI KAGUYU-10KN0045.APS 6421. (10 Packed in 30Kg Vacuum) * FOR COFFEEMAX GREEN</t>
  </si>
  <si>
    <t>5418N</t>
  </si>
  <si>
    <t>KENYA AB INOI KAGUYU-10KN0045.APS 6422. (20 Packed in 30Kg Vacuum) * FOR COFFEEMAX GREEN</t>
  </si>
  <si>
    <t>5418O</t>
  </si>
  <si>
    <t>KENYA AB BARAGWI MUSHAGARA-11SM0029.APS 6430. (10 Packed in 30Kg Vacuum) * FOR COFFEEMAX GREEN</t>
  </si>
  <si>
    <t>5427G</t>
  </si>
  <si>
    <t>AA RUNG'ETO KARIMIKUI-13IM0037. APS 16.(Packed in Grainpro) *FOR OBSCURA</t>
  </si>
  <si>
    <t>5446I</t>
  </si>
  <si>
    <t>KENYA    AA RUNG'ETO KARIMIKUI-13IM0033 . APS 6447. Packed in 60Kg Grainpro.</t>
  </si>
  <si>
    <t>5431A</t>
  </si>
  <si>
    <t>CMA CGM FORT ST GEORGES ( 02SOXN1MA)</t>
  </si>
  <si>
    <t>MOB0157303 |CKEN667628</t>
  </si>
  <si>
    <t>5431B</t>
  </si>
  <si>
    <t>5473A</t>
  </si>
  <si>
    <t>MOB0157491</t>
  </si>
  <si>
    <t>5473B</t>
  </si>
  <si>
    <t>MSC TAURUS VII HI622R</t>
  </si>
  <si>
    <t>MEDUM2891312</t>
  </si>
  <si>
    <t>5461A</t>
  </si>
  <si>
    <t>Tanjung Pelepas</t>
  </si>
  <si>
    <t>Malaysia</t>
  </si>
  <si>
    <t>COSCO SAO PAULO / 622E</t>
  </si>
  <si>
    <t>5461B</t>
  </si>
  <si>
    <t>5460A</t>
  </si>
  <si>
    <t>BSG BARBADOS 623</t>
  </si>
  <si>
    <t>29 May 2026 </t>
  </si>
  <si>
    <t>5460B</t>
  </si>
  <si>
    <t>REN JIAN 17 / 621N</t>
  </si>
  <si>
    <t>01 Jun 2026 </t>
  </si>
  <si>
    <t>5460C</t>
  </si>
  <si>
    <t>5460D</t>
  </si>
  <si>
    <t>5440A</t>
  </si>
  <si>
    <t>MEDUM2863980</t>
  </si>
  <si>
    <t>5440B</t>
  </si>
  <si>
    <t>AA Jambo Jambo. Packed in Grainpro.</t>
  </si>
  <si>
    <t>5493A</t>
  </si>
  <si>
    <t>MSC TIA V OM621R</t>
  </si>
  <si>
    <t>074IMB0015689 </t>
  </si>
  <si>
    <t>5493B</t>
  </si>
  <si>
    <t>5446J</t>
  </si>
  <si>
    <t>KENYA AA THIRIRIKA GITHEMBE-11IM0074. APS 6456. Packed in Grainpro.</t>
  </si>
  <si>
    <t>Twiga</t>
  </si>
  <si>
    <t>Kenya Good Cup</t>
  </si>
  <si>
    <t>GFS RANNA 0063N</t>
  </si>
  <si>
    <t>MEDUM2872916</t>
  </si>
  <si>
    <t>Baragwi AA/AB (RAF82) Starbucks Quality, C.A.F.E Practices verified – crop 2025/2026. Packed in Grainpro.</t>
  </si>
  <si>
    <t>CMA CGM HONG KONG ( 0K12UE1MA)</t>
  </si>
  <si>
    <t>MOB0157613</t>
  </si>
  <si>
    <t>AB Folgers type</t>
  </si>
  <si>
    <t>5458A</t>
  </si>
  <si>
    <t>KENYA AB RUNG'ETO KII/XAD14F01-15IM0144. APS 6579. (Packed in Grainpro)</t>
  </si>
  <si>
    <t>MSC VIDHI OM614R</t>
  </si>
  <si>
    <t>MEDUM2870423</t>
  </si>
  <si>
    <t>5457B</t>
  </si>
  <si>
    <t>KENYA AB RUNG'ETO KARIMIKUI/XAD14F02-13IM0037. APS 6583. 80 packed in 30KG Vacuum pack)</t>
  </si>
  <si>
    <t>5457C</t>
  </si>
  <si>
    <t>KENYA AB RUNG'ETO KII/XAD14F01-13IM0034. APS 6584. (Packed in Grainpro.)</t>
  </si>
  <si>
    <t>5457D</t>
  </si>
  <si>
    <t>KENYA AA RUNG'ETO KIANGOI/XAD14F03-13IM0032. APS 6586.( Packed in 60Kg Grainpro.)</t>
  </si>
  <si>
    <t>5435B</t>
  </si>
  <si>
    <t>KENYA AA TOP KANGIRI NEW IRATI. APS 6401. (Packed in Grainpro)</t>
  </si>
  <si>
    <t>5435C</t>
  </si>
  <si>
    <t>KENYA AA TOP KABARE KIANG'OMBE. APS 6402. (Packed in Grainpro)</t>
  </si>
  <si>
    <t>5435D</t>
  </si>
  <si>
    <t>KENYA PB TOP IYEGO GATUBU. APS 6405. (Packed in Grainpro)</t>
  </si>
  <si>
    <t>Stocklot. Packed in big bags</t>
  </si>
  <si>
    <t>OM631R MSC Rochelle</t>
  </si>
  <si>
    <t>WECC2688VLC1018</t>
  </si>
  <si>
    <t>Newyork</t>
  </si>
  <si>
    <t>MEDUM2865027</t>
  </si>
  <si>
    <t xml:space="preserve">AA FAQ. Packed in Grainpro </t>
  </si>
  <si>
    <t>MSC GUERNSEY V HI612R</t>
  </si>
  <si>
    <t>MEDUM2866470</t>
  </si>
  <si>
    <t>5457E</t>
  </si>
  <si>
    <t>KENYA AB RUNG'ETO KARIMIKUI. Aps 6567. (118 Packed in 30Kg Boxes).  *FOR COFFEE CIRCLE</t>
  </si>
  <si>
    <t>AB FAQ Kirinyaga. Packed in grainpro. INC Fumigation</t>
  </si>
  <si>
    <t xml:space="preserve">PIL </t>
  </si>
  <si>
    <t>OOCL PANAMA 334S</t>
  </si>
  <si>
    <t>MBA600084900</t>
  </si>
  <si>
    <t>5459A</t>
  </si>
  <si>
    <t xml:space="preserve">Baragwi AA/AB (RAF82) Starbucks Quality, C.A.F.E Practices verified – crop 2025/2026. </t>
  </si>
  <si>
    <t>BSG BARBADOS / 623E</t>
  </si>
  <si>
    <t>08 Jun 2026 </t>
  </si>
  <si>
    <t>5459B</t>
  </si>
  <si>
    <t xml:space="preserve">Germany </t>
  </si>
  <si>
    <t>Bero Polska</t>
  </si>
  <si>
    <t>5456A</t>
  </si>
  <si>
    <t>KENYA AB KANGIRI  GATUMBI-09SM0050. APS 6493. (Packed in 60KG Grainpro)</t>
  </si>
  <si>
    <t xml:space="preserve">Jolly Bianco OM617R </t>
  </si>
  <si>
    <t>WECC2688GDY1016</t>
  </si>
  <si>
    <t>5456B</t>
  </si>
  <si>
    <t>KENYA AA BARAGWI  KARUMANDI-09SM0018. APS 6496( 60 Packed in 30KG Vacuum pack)</t>
  </si>
  <si>
    <t>5456C</t>
  </si>
  <si>
    <t>KENYA AB BARAGWI  KARUMANDI-09SM0018. APS 6497(Packed in 60KG Grainpro)</t>
  </si>
  <si>
    <t>5456D</t>
  </si>
  <si>
    <t>KENYA AA IYEGO GATUBU-11KF0036. APS 6499(Packed in 60KG Grainpro)</t>
  </si>
  <si>
    <t>5456E</t>
  </si>
  <si>
    <t>KENYA AB INOI FCS NDIMI-10KN0044. APS 6501( 70 Packed in 30KG Vacuum pack)</t>
  </si>
  <si>
    <t>5456F</t>
  </si>
  <si>
    <t>KENYA AA INOI FCS NDIMI-10KN0044. APS 6503(Packed in 60KG Grainpro)</t>
  </si>
  <si>
    <t>5456G</t>
  </si>
  <si>
    <t>KENYA AA INOI KAGUYU-10KN0045. APS 6421(Packed in 60KG Grainpro)</t>
  </si>
  <si>
    <t>5456H</t>
  </si>
  <si>
    <t>KENYA AA INOI THAITA-10KN0055. APS 6423( 78 Packed in 30KG Vacuum pack)</t>
  </si>
  <si>
    <t>5456I</t>
  </si>
  <si>
    <t>KENYA AA BARAGWI MUSHAGARA-11SM0029. APS 6429(50 Packed in 30KG Vacuum pack)</t>
  </si>
  <si>
    <t>5480A</t>
  </si>
  <si>
    <t>SALERNO EXPRESS 613E (SXOT)</t>
  </si>
  <si>
    <t>ONEYMBAG00798301</t>
  </si>
  <si>
    <t>5480B</t>
  </si>
  <si>
    <t>5451A</t>
  </si>
  <si>
    <t>Royal USA</t>
  </si>
  <si>
    <t>AA FAQ. Packed in Grainpro.</t>
  </si>
  <si>
    <t>MEDUM2866918</t>
  </si>
  <si>
    <t>5452A</t>
  </si>
  <si>
    <t>AB FAQ. Packed in Grainpro</t>
  </si>
  <si>
    <t>MEDUM2866900</t>
  </si>
  <si>
    <t>AB FAQ Kirinyaga. Packed in Grainpro.</t>
  </si>
  <si>
    <t>MEDUM2895321</t>
  </si>
  <si>
    <t>OM622RMSC Roberta V</t>
  </si>
  <si>
    <t>Twiga. RA-IP SAS</t>
  </si>
  <si>
    <t>MEDUM2872924</t>
  </si>
  <si>
    <t>5514A</t>
  </si>
  <si>
    <t>KENYA AA TEKANGU TEGU-09IM0024. APS 6460. Packed in Grainpro.</t>
  </si>
  <si>
    <t xml:space="preserve">HYUNDAI BUSAN </t>
  </si>
  <si>
    <t>NBI0122358</t>
  </si>
  <si>
    <t>5514B</t>
  </si>
  <si>
    <t>KENYA AA RUTHAKA NDUMA-10SM0028. APS 6464. Packed in Grainpro.</t>
  </si>
  <si>
    <t>5514C</t>
  </si>
  <si>
    <t>KENYA AA BARICHU GATURIRI-10IM0052. APS 6468. Packed in Grainpro.</t>
  </si>
  <si>
    <t>Paulig AB Plus RA-IP. RFA fee to be paid by seller.</t>
  </si>
  <si>
    <t>REN JIAN 26 / 628N</t>
  </si>
  <si>
    <t>Paulig AB FAQ RA-IP. RFA fee to be paid by seller.</t>
  </si>
  <si>
    <t>MSC ROBERTA V OM622R</t>
  </si>
  <si>
    <t>MEDUM2894563</t>
  </si>
  <si>
    <t>ARGOLIKOS / 635N</t>
  </si>
  <si>
    <t>REN JIAN 17 / 634N</t>
  </si>
  <si>
    <t xml:space="preserve">Busan </t>
  </si>
  <si>
    <t>REN JIAN 10 621E (RJ1T)</t>
  </si>
  <si>
    <t>ONEYMBAG01206900</t>
  </si>
  <si>
    <t>OM621RMSC Tia V</t>
  </si>
  <si>
    <t>0062NGFS Ranna</t>
  </si>
  <si>
    <t>WECC2688HAM1067</t>
  </si>
  <si>
    <t>5515A</t>
  </si>
  <si>
    <t>KENYA AB THIRIRIKA NDUNDU-08IM0058. APS 6538 (94 Packed in 30Kg Vacuum pack)</t>
  </si>
  <si>
    <t>NBI0122359</t>
  </si>
  <si>
    <t>5515B</t>
  </si>
  <si>
    <t>KENYA AB BARAGWI KARUMANDI-09SM0018. APS 6539. (94 Packed in 30Kg Vacuum pack)</t>
  </si>
  <si>
    <t>5515C</t>
  </si>
  <si>
    <t>KENYA PB RUNGETO BLEND. APS 6542. (167 Packed in 30Kg Vacuum pack)</t>
  </si>
  <si>
    <t>5423C</t>
  </si>
  <si>
    <t>KENYA AB WINDRUSH-08GT0002. APS 6433. (50 Packed in 30Kg Grainpro). PROMPT</t>
  </si>
  <si>
    <t>5423D</t>
  </si>
  <si>
    <t>KENYA AB WINDRUSH-09GT0001. APS 6435. (50 Packed in 30Kg Grainpro). PROMPT</t>
  </si>
  <si>
    <t>5455A</t>
  </si>
  <si>
    <t>AB  MURUE. APS 6413. (240 packed in 30Kg Vacuum pack)</t>
  </si>
  <si>
    <t>WECC2688LGP1028</t>
  </si>
  <si>
    <t>COVOYA USA</t>
  </si>
  <si>
    <t>5448A</t>
  </si>
  <si>
    <t>KENYA AA GIKANDA NDAROINI/XAC09F02-08TY0005. APS 6600. Packed in Grainpro.</t>
  </si>
  <si>
    <t>LOBIVIA 02SORN1MA</t>
  </si>
  <si>
    <t>NBI0122097</t>
  </si>
  <si>
    <t>5448B</t>
  </si>
  <si>
    <t>KENYA PB GIKANDA NDAROINI/XAC09F02-08TY0010. APS 6602. Packed in Grainpro.</t>
  </si>
  <si>
    <t>5448C</t>
  </si>
  <si>
    <t>KENYA AA KOMOTHAI GATHIRUINI/XAA03F02-06KM0029. APS 6603. Packed in Grainpro.</t>
  </si>
  <si>
    <t>5448D</t>
  </si>
  <si>
    <t>KENYA AB BARAGWI MUCHAGARA/XAD03F01-09SM0020. APS 6605. Packed in Grainpro.</t>
  </si>
  <si>
    <t>5448E</t>
  </si>
  <si>
    <t>KENYA AA THIRIKWA GAKUYU-INI/XAD16F01-07KN0016. APS 6606. Packed in Grainpro.</t>
  </si>
  <si>
    <t>5448F</t>
  </si>
  <si>
    <t>KENYA AB THIRIKWA GAKUYU-INI/XAD16F01-07KN0016. APS 6607. Packed in Grainpro.</t>
  </si>
  <si>
    <t>5448G</t>
  </si>
  <si>
    <t>KENYA AA INOI FCS KIANDIERI-12KN0027. APS 6608. Packed in Grainpro.</t>
  </si>
  <si>
    <t>5448H</t>
  </si>
  <si>
    <t>KENYA AB INOI FCSKIANDIERI-12KN0027. APS 6609. Packed in Grainpro</t>
  </si>
  <si>
    <t>5449A</t>
  </si>
  <si>
    <t>KENYA AA TEKANGUTEGU-09IM0024. APS 6506. Packed in Grainpro. *FOR IAC NEW JERSEY.</t>
  </si>
  <si>
    <t xml:space="preserve">MSC KALAMATA VOY </t>
  </si>
  <si>
    <t>MEDUM2871025</t>
  </si>
  <si>
    <t>5450A</t>
  </si>
  <si>
    <t>KENYA AB BARAGWI KARUMANDI-09SM0018. APS 6508. Packed in Grainpro. *FOR IAC NEW JERSEY.</t>
  </si>
  <si>
    <t>CMA CGM FORT ST GEORGES</t>
  </si>
  <si>
    <t>NBI0122143</t>
  </si>
  <si>
    <t>5450B</t>
  </si>
  <si>
    <t>KENYA AB BARAGWI KAGONGO-09SM0015. APS 6509. Packed in Grainpro. *FOR IAC NEW JERSEY.</t>
  </si>
  <si>
    <t>5450C</t>
  </si>
  <si>
    <t>KENYA AB  THIRIRIKA KIGANJO-08IM0004. APS 6513. Packed in Grainpro.*FOR IAC NEW JERSEY.</t>
  </si>
  <si>
    <t>5450D</t>
  </si>
  <si>
    <t>Kenya PB Ndogo. Packed in Grainpro. *FOR IAC NEW JERSEY.</t>
  </si>
  <si>
    <t>5450E</t>
  </si>
  <si>
    <t>Kenya AA Nguvu. Packed in Grainpro. *FOR IAC NEW JERSEY.</t>
  </si>
  <si>
    <t>5450F</t>
  </si>
  <si>
    <t>KENYA AA TEKANGUTEGU-09IM0024. APS 6506. Packed in Grainpro. *FOR IAC SAN DIEGO</t>
  </si>
  <si>
    <t>5449B</t>
  </si>
  <si>
    <t>KENYA AA KAGANDA KAGANDA-09IM0011. APS 6510. Packed in Grainpro. *FOR IAC SAN DIEGO</t>
  </si>
  <si>
    <t>5449C</t>
  </si>
  <si>
    <t>KENYA AB  THIRIRIKA KIGANJO-08IM0004. APS 6513. Packed in Grainpro. *FOR IAC SAN DIEGO</t>
  </si>
  <si>
    <t>5449D</t>
  </si>
  <si>
    <t>KENYA AB BARAGWI KAGONGO-09SM0015. APS 6509. Packed in Grainpro. *FOR IAC SAN DIEGO</t>
  </si>
  <si>
    <t>5449E</t>
  </si>
  <si>
    <t>Kenya PB Ndogo. Packed in Grainpro. *FOR IAC SAN DIEGO</t>
  </si>
  <si>
    <t>5449F</t>
  </si>
  <si>
    <t>Kenya AA Nguvu. Packed in Grainpro. *FOR IAC SAN DIEGO</t>
  </si>
  <si>
    <t>Type Kubwa, bulk</t>
  </si>
  <si>
    <t>CMA CGM FORT ST GEORGES ( 02SOLN1MA)</t>
  </si>
  <si>
    <t>MOB0157338</t>
  </si>
  <si>
    <t>Type Kubwa, Bulk</t>
  </si>
  <si>
    <t>MSC BRIANNA V OM622R</t>
  </si>
  <si>
    <t>MEDUM2888052</t>
  </si>
  <si>
    <t>5494A</t>
  </si>
  <si>
    <t>KENYA AA THIRIKWA GAKUYU-INI-12KN0019. APS 6515. ( 16 PACKED IN 30Kg Grainpro)</t>
  </si>
  <si>
    <t xml:space="preserve">KOTA SEMPENA Voy 617E </t>
  </si>
  <si>
    <t>ONEYMBAG01093600</t>
  </si>
  <si>
    <t>5494B</t>
  </si>
  <si>
    <t>KENYA AA THIRIKWA GAKUYU-INI-12KN0016. APS 6516. (16 Packed in 30Kg Grainpro)</t>
  </si>
  <si>
    <t>5494C</t>
  </si>
  <si>
    <t>KENYA AA INOI FCS THAITA-13KN0021. APS 6517. (16 Packed in 30Kg Grainpro)</t>
  </si>
  <si>
    <t>5494D</t>
  </si>
  <si>
    <t>KENYA AA RUNGETO KIANGOI-13KN0056. APS 6519. (32 Packed in 30Kg Grainpro)</t>
  </si>
  <si>
    <t>5494E</t>
  </si>
  <si>
    <t>KENYA AA FAQ. Packed in 60Kg Grainpro.</t>
  </si>
  <si>
    <t>5494F</t>
  </si>
  <si>
    <t>KENYA AB FAQ.Packed in 60Kg Grainpro.</t>
  </si>
  <si>
    <t>5494G</t>
  </si>
  <si>
    <t>KENYA PB FAQ. Packed in 60Kg Grainpro.</t>
  </si>
  <si>
    <t>5413D</t>
  </si>
  <si>
    <t>AB BARICHU KARINDUNDU-10IM0053.  APS 56. (55 Packed in 30kg Vacuum pack)</t>
  </si>
  <si>
    <t>5413E</t>
  </si>
  <si>
    <t>AA MUGAGA KAGUMOINI-09IM0068. APS 73. (40 packed in  30Kg Vacuum pack)</t>
  </si>
  <si>
    <t>5446K</t>
  </si>
  <si>
    <t>AA MUGAGA KAGUMOINI-09IM006874. APS 18. Packed in Grainpro. *FOR ORIGIN COFFEE.</t>
  </si>
  <si>
    <t>5490A</t>
  </si>
  <si>
    <t xml:space="preserve">AA Komothai Kanake. APS. (16 packed in 30KG Grainpro)-To ship from 51359 to 51365 together </t>
  </si>
  <si>
    <t>SPIL CAYA 621E</t>
  </si>
  <si>
    <t>AA FAQ.</t>
  </si>
  <si>
    <t>OM626RMSC Tia V</t>
  </si>
  <si>
    <t>OM619RMSC Jeanne IV</t>
  </si>
  <si>
    <t>AA/AB Plus RA-IP SAS</t>
  </si>
  <si>
    <t>OM614RMSC Vidhi</t>
  </si>
  <si>
    <t>5464A</t>
  </si>
  <si>
    <t>AB Folgers type (Millstone Spec" 90% Scr15up.  Full FAQ in Cup and Color.  Max 12 defects per 350gr.)</t>
  </si>
  <si>
    <t>MEDUM2868922</t>
  </si>
  <si>
    <t>5464B</t>
  </si>
  <si>
    <t>NewOrleans</t>
  </si>
  <si>
    <t>REN JIAN 26 / 632N</t>
  </si>
  <si>
    <t>REN JIAN 26 / 636N</t>
  </si>
  <si>
    <t>COSCO ASHDOD / 639E</t>
  </si>
  <si>
    <t>HOLSATIA / 640E</t>
  </si>
  <si>
    <t>MSC GRENADA III JO643R</t>
  </si>
  <si>
    <t xml:space="preserve">074IMB0018175 </t>
  </si>
  <si>
    <t>13-10-26</t>
  </si>
  <si>
    <t>5445A</t>
  </si>
  <si>
    <t>Kenya Peaberry (Important - please separate the qualities inside the container with a bulkhead/cardboard, etc,  so the warehouse does not charge us for segregation)</t>
  </si>
  <si>
    <t>MEDUM2867239</t>
  </si>
  <si>
    <t>5445B</t>
  </si>
  <si>
    <t>AB Folgers type (Important - please separate the qualities inside the container with a bulkhead/cardboard, etc,  so the warehouse does not charge us for segregation)</t>
  </si>
  <si>
    <t>COSCO SAO PAULO / 630E</t>
  </si>
  <si>
    <t>21 Jul 2026 </t>
  </si>
  <si>
    <t xml:space="preserve"> PB KIBUGU KATHAKWA-12IM0070. APS 8. Packed in Grainpro.</t>
  </si>
  <si>
    <t>5452B</t>
  </si>
  <si>
    <t>MSC GUERNSEY V - HI612R</t>
  </si>
  <si>
    <t>Rothfos</t>
  </si>
  <si>
    <t>AB Millstone Spec.(40MT packed in 1T Bigbags)</t>
  </si>
  <si>
    <t>MARIANETTA OM63</t>
  </si>
  <si>
    <t>MEDUM2927660</t>
  </si>
  <si>
    <t>HOLSATIA / 640E)</t>
  </si>
  <si>
    <t>REN JIAN 20 638E</t>
  </si>
  <si>
    <t>5427L</t>
  </si>
  <si>
    <t>PB IYEGO MARIMIRA  14KF0047 APS.Packed in 60Kg Grainpro</t>
  </si>
  <si>
    <t>5427I</t>
  </si>
  <si>
    <t>PB KARITHATHI KIUNYU 16KN0076 APS.Packed in 60Kg Grainpro</t>
  </si>
  <si>
    <t>5427J</t>
  </si>
  <si>
    <t>PB KARITHATHI KABINGARA 16KN0078 APS.Packed in 60Kg Grainpro</t>
  </si>
  <si>
    <t>5427K</t>
  </si>
  <si>
    <t>AA MUTHEKA KIANDU 16IM0009 APS.Packed in 60Kg Grainpro</t>
  </si>
  <si>
    <t>5427H</t>
  </si>
  <si>
    <t>AB BARAGWI NYANJA 11SM0028 APS.Packed in 60Kg Grainpro</t>
  </si>
  <si>
    <t>5427M</t>
  </si>
  <si>
    <t>AA RUNGETO KII 15IM0152. APS.Packed in 60Kg Grainpro</t>
  </si>
  <si>
    <t>5574A</t>
  </si>
  <si>
    <t>AA FAQ. Packed in 60KG Grainpro.Marked as AA FAQ Kiambu</t>
  </si>
  <si>
    <t>KOTA MEGAH 624E (KMGT)</t>
  </si>
  <si>
    <t>ONEYMBAG01436700</t>
  </si>
  <si>
    <t>5574B</t>
  </si>
  <si>
    <t>PB FAQ. Packed in 60KG Grainpro.Marked as PB Kiambu</t>
  </si>
  <si>
    <t>5458B</t>
  </si>
  <si>
    <t>PB KATHAKWA-12IM0070 APS 6830.Packed in 60kg Grainpro</t>
  </si>
  <si>
    <t>5457F</t>
  </si>
  <si>
    <t>PB GAKUNDU-09SM0033 APS 6725. Packed in 60kg Grainpro</t>
  </si>
  <si>
    <t>5457G</t>
  </si>
  <si>
    <t>Endebess Natural APS 6726.(20 Boxes of 30Kg Vacuum Pack).</t>
  </si>
  <si>
    <t>ESL DUBAI 2617N</t>
  </si>
  <si>
    <t>HLCUMB1260404109</t>
  </si>
  <si>
    <t>EF OLIVIA 2625N</t>
  </si>
  <si>
    <t>HLCUMB1260604624</t>
  </si>
  <si>
    <t>CA</t>
  </si>
  <si>
    <t>CMA CGM FORT ST GEORGES ( 02SPLN1MA)</t>
  </si>
  <si>
    <t>NBI0122632</t>
  </si>
  <si>
    <t>AB TH Spec. Packed in Grainpro.</t>
  </si>
  <si>
    <t xml:space="preserve">	CMA CGM SEMARANG ( 02SRMN1MA)</t>
  </si>
  <si>
    <t>NBI0122751</t>
  </si>
  <si>
    <t>5422I</t>
  </si>
  <si>
    <t>AB BARAGWI KAGONGO-13SM0030. APS 6581.(60 Boxees of 30Kg Vacuum Pack).</t>
  </si>
  <si>
    <t>5422J</t>
  </si>
  <si>
    <t>AA RUNG'ETO KIANGOI-13IM0032. APS 6586. (74 Boxees of 30Kg Vacuum Pack.</t>
  </si>
  <si>
    <t>ABC RA-IP SAS</t>
  </si>
  <si>
    <t>MSC GLORY R OM623R</t>
  </si>
  <si>
    <t>MEDUM2897152  </t>
  </si>
  <si>
    <t>MSC BRIANNA V OM628R</t>
  </si>
  <si>
    <t>MEDUM2905757</t>
  </si>
  <si>
    <t>5458C</t>
  </si>
  <si>
    <t>PB MARIMIRA-14KF0047,APS 6723.Packed in 60Kg Grainpro.</t>
  </si>
  <si>
    <t>5458D</t>
  </si>
  <si>
    <t>PB KATHIMA-16EC0003, APS 6724.Packed in 60Kg Grainpro</t>
  </si>
  <si>
    <t>5412H</t>
  </si>
  <si>
    <t>AA RUNG'ETO KII-12KN0040. APS 37. (40 Boxes of 30Kg Vacuum Pack)</t>
  </si>
  <si>
    <t>5462A</t>
  </si>
  <si>
    <t>KENYA AB BARAGWI FCS KARUMANDI-09SM0009. APS 6634. (30 Packed in 30Kg Grainpro)</t>
  </si>
  <si>
    <t>Singapore</t>
  </si>
  <si>
    <t>SALENO EXPRESS 622E</t>
  </si>
  <si>
    <t>HLCUMB1260604490</t>
  </si>
  <si>
    <t>5462B</t>
  </si>
  <si>
    <t>KENYA AB BARAGWI FCS GACAMI-11SM0035. APS 6636.  (30 Packed in 30Kg Grainpro)</t>
  </si>
  <si>
    <t xml:space="preserve">BERO Singapore </t>
  </si>
  <si>
    <t>5462C</t>
  </si>
  <si>
    <t>KENYA AB BARAGWI FCS GUAMA-11SM0021. APS 6638. (30 Packed in 30Kg Grainpro)</t>
  </si>
  <si>
    <t>5490B</t>
  </si>
  <si>
    <t>22 </t>
  </si>
  <si>
    <t>KENYA AA KOMOTHAI GATHIRUINI.APS 6779. Packed in 60KG Grainpro.</t>
  </si>
  <si>
    <t>5490C</t>
  </si>
  <si>
    <t>32 </t>
  </si>
  <si>
    <t>KENYA AA GIKARU MUTWEWATHI. APS 6771. Packed in 60Kg Grainpro.</t>
  </si>
  <si>
    <t>5490D</t>
  </si>
  <si>
    <t>24 </t>
  </si>
  <si>
    <t>KENYA AA MUGAGA KAGUMOINI. APS 6773. Packed in 60Kg Grainpro.</t>
  </si>
  <si>
    <t>5490E</t>
  </si>
  <si>
    <t>11 </t>
  </si>
  <si>
    <t>KENYA AB KOMOTHAI KANAKE. APS 6767. Packed in 60Kg Grainpro.</t>
  </si>
  <si>
    <t>5490F</t>
  </si>
  <si>
    <t>KENYA AA KOMOTHAI GATHIRUINI.APS 6779. (16 Packed in 30KG Vacuum pack)</t>
  </si>
  <si>
    <t>5490G</t>
  </si>
  <si>
    <t>KENYA AA MUGAGA KAGUMOINI. APS 6773.(16 Packed in 30KG Vacuum pack)</t>
  </si>
  <si>
    <t>5515D</t>
  </si>
  <si>
    <t>KENYA AB THIRIRIKA NDUNDU-08IM0058. APS 6538 (50 Packed in 30Kg Vacuum pack)</t>
  </si>
  <si>
    <t>5515E</t>
  </si>
  <si>
    <t>KENYA PB RUNGETO BLEND. APS 6542. (20 Packed in 30Kg Vacuum pack)</t>
  </si>
  <si>
    <t>AB Top. Packed in Grainpro.</t>
  </si>
  <si>
    <t>MEDUM2868906</t>
  </si>
  <si>
    <t>5555A</t>
  </si>
  <si>
    <t>AA Nguvu. Packed in 60Kg Grainpro.</t>
  </si>
  <si>
    <t>New york</t>
  </si>
  <si>
    <t>MSC IKARIA VI OM625R</t>
  </si>
  <si>
    <t>MEDUM2898804</t>
  </si>
  <si>
    <t>5556B</t>
  </si>
  <si>
    <t>PB Ndogo. Packed in 60Kg Grainpro</t>
  </si>
  <si>
    <t>5556A</t>
  </si>
  <si>
    <t>MEDUM2898796</t>
  </si>
  <si>
    <t>5448I</t>
  </si>
  <si>
    <t>KENYA PB TEKANGU KANGOCHO. APS 6747  Packed  in Grainpro.</t>
  </si>
  <si>
    <t>5448J</t>
  </si>
  <si>
    <t>KENYA AB FAQ. APS 6754 Packed  in Grainpro.</t>
  </si>
  <si>
    <t>5457H</t>
  </si>
  <si>
    <t>AB MUTHEKA MUTHUAINI-09KF0078 .(7 packed in 30kG Grainpro.)</t>
  </si>
  <si>
    <t>5466A</t>
  </si>
  <si>
    <t>CMA CGM DOLPHIN ( 0K12GE1MA)</t>
  </si>
  <si>
    <t>NBI0122125</t>
  </si>
  <si>
    <t>5466B</t>
  </si>
  <si>
    <t>5454A</t>
  </si>
  <si>
    <t>AB TOP MURUE BLEND. (60 packed in 30Kg Vacuum pack) *3Kg PSS needed</t>
  </si>
  <si>
    <t>Jolly Blanco OM617R</t>
  </si>
  <si>
    <t>WECC2688ANR1077</t>
  </si>
  <si>
    <t>5515F</t>
  </si>
  <si>
    <t>KENYA AA TEKANGU TEGU/XAC60F01-10IM0032. APS 6671. (30 packed in 30Kg Vacuum pack)</t>
  </si>
  <si>
    <t>5515G</t>
  </si>
  <si>
    <t>KENYA AA MUGAGA KAGUMOINI-11IM0040. APS 6677. (20 Packed in 30Kg Vacuum pack)</t>
  </si>
  <si>
    <t>5515H</t>
  </si>
  <si>
    <t>KENYA Endebess Natural. APS 6678. (20 Packed  in 30Kg GVacuum pack)</t>
  </si>
  <si>
    <t>5515I</t>
  </si>
  <si>
    <t>KENYA AA TEKANGU TEGU-10IM0032. APS 6671. (30 packed in 30Kg Vacuum pack)</t>
  </si>
  <si>
    <t>5514D</t>
  </si>
  <si>
    <t>KENYA AA BARAGWI FCS GACAMI-13SM0032. APS. (18 packed in  30Kg Grainpro)</t>
  </si>
  <si>
    <t>5453A</t>
  </si>
  <si>
    <t>KENYA AB KITHUNGURURU-14SM0001. APS 6679. (80 packed in 30Kg Grainpro)</t>
  </si>
  <si>
    <t>WECC2688GDY1018</t>
  </si>
  <si>
    <t>5453B</t>
  </si>
  <si>
    <t>KENYA AB THIRIRIKA NDUNDU-11IM0075 .APS 6681. (packed in 60Kg Grainpro)</t>
  </si>
  <si>
    <t>5453C</t>
  </si>
  <si>
    <t>KENYA AA THANANA KATHIMA-13SM0058 .APS 6682. (66 packed in 30Kg Grainpro)</t>
  </si>
  <si>
    <t>5453D</t>
  </si>
  <si>
    <t>KENYA AA BARAGWI FCS GACAMI-13SM0032 .APS 6687. (packed in 60Kg Grainpro)</t>
  </si>
  <si>
    <t>5453E</t>
  </si>
  <si>
    <t>KENYA ENDEBESS NATURAL. .APS 6696. (60 packed in 30Kg Grainpro)</t>
  </si>
  <si>
    <t>5453F</t>
  </si>
  <si>
    <t>Kenya Starlight  .APS . (packed in 60Kg Grainpro)</t>
  </si>
  <si>
    <t>5453G</t>
  </si>
  <si>
    <t>Kenya AA Rift Valley  .APS . (packed in 60Kg Grainpro)</t>
  </si>
  <si>
    <t>5454B</t>
  </si>
  <si>
    <t>AB BARAGWI GACHAMI. 10KN0026. APS 23. (80 PACKED IN 30Kg Grainpro)</t>
  </si>
  <si>
    <t>5454C</t>
  </si>
  <si>
    <t>AB INOI KAGUYU-12KN0028. APS 39. (54 PACKED IN 30Kg Grainpro)</t>
  </si>
  <si>
    <t>5454D</t>
  </si>
  <si>
    <t>AB INOI KARIA-	12KN0031. APS 10. (52 PACKED IN 30Kg Grainpro)</t>
  </si>
  <si>
    <t>5454E</t>
  </si>
  <si>
    <t>AB MURUE KAVUTIRI-09EC0004. APS 65. (60 PACKED IN 30Kg Grainpro)</t>
  </si>
  <si>
    <t>P35992</t>
  </si>
  <si>
    <t>Kenya Mara. Additional approval condition: Certificate for lots selected for shipment confirming OTA level below 5 μg/kgs to be provided together with pre shipment samples ( testing by CR 3 Bremen on Seller's account). 1 certificate representing max 2 containers/ 43,2 mt.</t>
  </si>
  <si>
    <t xml:space="preserve">MSC TIA V OM621R </t>
  </si>
  <si>
    <t>MEDUM2884978</t>
  </si>
  <si>
    <t>P35993-1</t>
  </si>
  <si>
    <t>ARGOLIKOS 623N</t>
  </si>
  <si>
    <t>REN JIAN 17 626N</t>
  </si>
  <si>
    <t>5495A</t>
  </si>
  <si>
    <t>KENYA PB RUNGETO KII-12KN0040 . APS 6701. (Packed in 60Kg Grainpro)</t>
  </si>
  <si>
    <t xml:space="preserve">Seattle </t>
  </si>
  <si>
    <t xml:space="preserve">CMA-CGM HONG KONG Voy 0K12UE1MA </t>
  </si>
  <si>
    <t>NBI022311</t>
  </si>
  <si>
    <t>5495B</t>
  </si>
  <si>
    <t>KENYA AA MUTHEKA KIANDU 16IM0009. APS . (Packed in 60Kg Grainpro)</t>
  </si>
  <si>
    <t>5495C</t>
  </si>
  <si>
    <t>KENYA AA RUTUMA NGANDU-15IM0021. APS 6717. (Packed in 60Kg Grainpro)</t>
  </si>
  <si>
    <t>5495D</t>
  </si>
  <si>
    <t>KENYA AA RUNG'ETO KIANGOI-13KN0056. APS 6543. (Packed in 60Kg Grainpro)</t>
  </si>
  <si>
    <t>5495E</t>
  </si>
  <si>
    <t>KENYA AB RUNG'ETO KIANGOI-13KN0056. APS 6545. (Packed in 60Kg Grainpro)</t>
  </si>
  <si>
    <t>5495F</t>
  </si>
  <si>
    <t>KENYA AA BARAGWI GUAMA-15SM0014. APS 6707. (Packed in 60Kg Grainpro)</t>
  </si>
  <si>
    <t>5495G</t>
  </si>
  <si>
    <t>KENYA ENDEBESS NATURAL. APS 6708. (Packed in 60Kg Grainpro)</t>
  </si>
  <si>
    <t>P35996-1</t>
  </si>
  <si>
    <t>GULF BARAKAH</t>
  </si>
  <si>
    <t>MEDUM2896428</t>
  </si>
  <si>
    <t>X-PRESS ANTARES 26017E</t>
  </si>
  <si>
    <t>AA. (640 Packed in  30kg Grainpro)</t>
  </si>
  <si>
    <t>PROTOSTAR 102E</t>
  </si>
  <si>
    <t>MAY-14-2026</t>
  </si>
  <si>
    <t>AA FAQ. (1280 Packed in  30kg Grainpro)</t>
  </si>
  <si>
    <t xml:space="preserve">JUN-29-2026	</t>
  </si>
  <si>
    <t>AA FAQ. (640 Packed in  30kg Grainpro)</t>
  </si>
  <si>
    <t>SEASPAN NEW DELHI 027E</t>
  </si>
  <si>
    <t>AB. Packed in 60Kg Grainpro</t>
  </si>
  <si>
    <t>ANDROUSA 366E </t>
  </si>
  <si>
    <t>JUN-02-2026</t>
  </si>
  <si>
    <t>AB FAQ. Packed in 60Kg Grainpro</t>
  </si>
  <si>
    <t>5458E</t>
  </si>
  <si>
    <t>MSC KALAMATA VII HI618R</t>
  </si>
  <si>
    <t>MEDUM2879408</t>
  </si>
  <si>
    <t>5554A</t>
  </si>
  <si>
    <t>SALERNO EXPRESS 622E (SXOT)</t>
  </si>
  <si>
    <t>ONEYMBAG01310500</t>
  </si>
  <si>
    <t>5554B</t>
  </si>
  <si>
    <t>1.0 RA-IP SAS. EUDR Aligned.</t>
  </si>
  <si>
    <t>Helsingborg</t>
  </si>
  <si>
    <t>MEDUM2897327</t>
  </si>
  <si>
    <t>5490H</t>
  </si>
  <si>
    <t>AB FAQ. Packed in Grainpro.To be shipped with microlots.</t>
  </si>
  <si>
    <t>MEDUM2887054</t>
  </si>
  <si>
    <t>AB TH Quality</t>
  </si>
  <si>
    <t>KOTA MEGAH 615E</t>
  </si>
  <si>
    <t>HLCUMB1260404110</t>
  </si>
  <si>
    <t>HLCUMB1260604635</t>
  </si>
  <si>
    <t xml:space="preserve">	CMA CGM FORT ST GEORGES ( 02SPLN1MA)</t>
  </si>
  <si>
    <t>NBI0122631</t>
  </si>
  <si>
    <t>5454F</t>
  </si>
  <si>
    <t>KENYA AA BARAGWI FCS THIMU-14SM0015. APS 6795. (22 packed in 30Kg Vacum pack)</t>
  </si>
  <si>
    <t>5454G</t>
  </si>
  <si>
    <t>KENYA AA MUTHEKA KIANDU 16iM0009. APS 6806. (50 packed in 30Kg Vacuum pack)</t>
  </si>
  <si>
    <t>AB TH Quality. Packed in Grainpro.</t>
  </si>
  <si>
    <t>CMA CGM SEMARANG ( 02SRMN1MA)</t>
  </si>
  <si>
    <t>NBI0122752</t>
  </si>
  <si>
    <t>JDE AB FAQ-GUSII PROJECT</t>
  </si>
  <si>
    <t>MEDUM2881040</t>
  </si>
  <si>
    <t>MEDUM2900840</t>
  </si>
  <si>
    <t>5557B</t>
  </si>
  <si>
    <t>JDE Grinders-GUSII PROJECT</t>
  </si>
  <si>
    <t>OM625RMSC Ikaria VI</t>
  </si>
  <si>
    <t>5557A</t>
  </si>
  <si>
    <t>MEDUM2881057</t>
  </si>
  <si>
    <t>5564B</t>
  </si>
  <si>
    <t>5564A</t>
  </si>
  <si>
    <t>5564C</t>
  </si>
  <si>
    <t>5564D</t>
  </si>
  <si>
    <t xml:space="preserve">Orient International </t>
  </si>
  <si>
    <t>Washed ABC.*packed in Grainpro. Quality specifications: Defects: 23 secondary/350g, Screen profile:90% above screen 14, Moisture content: 9.5-12.0%</t>
  </si>
  <si>
    <t>REN JIAN 10 621E</t>
  </si>
  <si>
    <t>MBA600093100</t>
  </si>
  <si>
    <t>5454H</t>
  </si>
  <si>
    <t>KENYA AB KIBUGU GIKIRIMA-15IM0165, APS 6802. (60 packed in 30Kg Vacuum pack)</t>
  </si>
  <si>
    <t>Coastal commodities LLC</t>
  </si>
  <si>
    <t>Grinders, Scr 13 up / 200defects</t>
  </si>
  <si>
    <t>MEDUM2895354</t>
  </si>
  <si>
    <t>MEDUM2896089</t>
  </si>
  <si>
    <t>MEDUM2906847</t>
  </si>
  <si>
    <t>5514E</t>
  </si>
  <si>
    <t>KENYA AA RUNGETO KARIMIKUI-15SM0014. APS 6756.(4 Packed in 30Kg Grainpro)</t>
  </si>
  <si>
    <t>5514F</t>
  </si>
  <si>
    <t>KENYA AB RUNGETO KARIMIKUI-17iM0069 APS 6763.(24 Packed in 30Kg Grainpro)</t>
  </si>
  <si>
    <t>Stocklot. (20 Packed in big bags)</t>
  </si>
  <si>
    <t xml:space="preserve">Valencia </t>
  </si>
  <si>
    <t>REN JIAN 10</t>
  </si>
  <si>
    <t>HLCUMB1260604602</t>
  </si>
  <si>
    <t>5515J</t>
  </si>
  <si>
    <t xml:space="preserve">KENYA AA TEKANGU TEGU-10IM0032. APS 6671. (34 packed in 30Kg Vacuum pack) </t>
  </si>
  <si>
    <t>5515K</t>
  </si>
  <si>
    <t xml:space="preserve">KENYA AA MUGAGA KAGUMOINI-11IM0040. APS 6677. (40 Packed in 30Kg Vacuum pack) </t>
  </si>
  <si>
    <t>5491A</t>
  </si>
  <si>
    <t>AA Thiririka Githembe Blend 1. APS 6639. ( 40 packed in 30Kg Vacuum pack) *FOR FUGLEN</t>
  </si>
  <si>
    <t>XIN HUANG PU 620E</t>
  </si>
  <si>
    <t>5491B</t>
  </si>
  <si>
    <t>AA Thiririka Githembe Blend 2. APS 6640. ( 40 packed in 30Kg Vacuum pack) *FOR FUGLEN</t>
  </si>
  <si>
    <t>5491C</t>
  </si>
  <si>
    <t>AA Mutheka Kiandu-16iM0009APS 6806. ( 40 packed in 30Kg Vacuum pack) *FOR FUGLEN</t>
  </si>
  <si>
    <t>5491D</t>
  </si>
  <si>
    <t>AA Baragwi Guama-12SM0049APS 6810. ( 40 packed in 30Kg Vacuum pack) *FOR FUGLEN</t>
  </si>
  <si>
    <t>5491E</t>
  </si>
  <si>
    <t>AA Baragwi Guama-09SM0019. APS 6811. ( 40 packed in 30Kg Vacuum pack) *FOR FUGLEN</t>
  </si>
  <si>
    <t>5491F</t>
  </si>
  <si>
    <t>AA Thiririka Githembe Blend 1. APS 6639. ( 15 packed in 30Kg Vacuum pack) *FOR WEEKENDER</t>
  </si>
  <si>
    <t>5491G</t>
  </si>
  <si>
    <t>AB Gitwe Karinga-15im0146. APS 6639. ( 15 packed in 30Kg Vacuum pack) *FOR WEEKENDER</t>
  </si>
  <si>
    <t xml:space="preserve">  AB FAQ RA-IP SAS(PAULIG)</t>
  </si>
  <si>
    <t>EN JIAN 17 / 634N</t>
  </si>
  <si>
    <t xml:space="preserve">  AB FAQ RA-IP SAS(PAULIG)*Eudr Aligned</t>
  </si>
  <si>
    <t>GULF BARAKAH / 637N</t>
  </si>
  <si>
    <t>Argolikos</t>
  </si>
  <si>
    <t>AB FAQ Kirinyaga. Packed in Grainpro, INC Fumigation</t>
  </si>
  <si>
    <t>CXL66 / 634E</t>
  </si>
  <si>
    <t>MEDUM2897970</t>
  </si>
  <si>
    <t>5504A</t>
  </si>
  <si>
    <t>KENYA AB RUNGETO KII-17IM0065. APS 19. (50 Packed in 30kg Vacuum pack)</t>
  </si>
  <si>
    <t>MSC Tia V OM621R</t>
  </si>
  <si>
    <t>WECC2688ANR1096</t>
  </si>
  <si>
    <t>729 3554 144</t>
  </si>
  <si>
    <t>5504B</t>
  </si>
  <si>
    <t>KENYA PB RUNGETO KARIMIKUI-17iM0069 APS 21 (22 Packed in 30kg Vacuum pack)</t>
  </si>
  <si>
    <t>5454I</t>
  </si>
  <si>
    <t>KENYA AA RUNGETO KII-17iM0065 APS. 24 (60 Packed in 30Kg Vacuum Pack)</t>
  </si>
  <si>
    <t>5504C</t>
  </si>
  <si>
    <t>KENYA AA THAMBANA KATHIMA-13SM0058 APS 25 (66 Packed in 30Kg Vacuum Pack)</t>
  </si>
  <si>
    <t>5504D</t>
  </si>
  <si>
    <t>KENYA AA KABARE MUKENGERIA -14KN0018 APS 26 (20 Packed in 30Kg Vacuum Pack)</t>
  </si>
  <si>
    <t>5504E</t>
  </si>
  <si>
    <t>KENYA AB KIBUGU NGERWE-15iM0170 APS 6803 (64 Packed in 30Kg Vacuum Pack)</t>
  </si>
  <si>
    <t>5504F</t>
  </si>
  <si>
    <t>KENYA AA GAKUYU NDIMAINI-18SM0036 APS 6878 (51  Packed in30Kg Vacuum Pack)</t>
  </si>
  <si>
    <t>5504G</t>
  </si>
  <si>
    <t>KENYA AA MUTHEKA MUTHUAINI-18KF0129 APS 6879 (31 Packed in 30Kg Vacuum Pack)</t>
  </si>
  <si>
    <t>5504H</t>
  </si>
  <si>
    <t>KENYA AB TEKANGU KAROGOTO-18IM0055 APS 6874 (78 Packed in 30Kg Vacuum Pack)</t>
  </si>
  <si>
    <t>5504I</t>
  </si>
  <si>
    <t>KENYA AA NEW KIRITI KAYU-16KF0003 APS 6882 (58 Packed in 30Kg Vacuum Pack)</t>
  </si>
  <si>
    <t>C Grade. (640 packed in  30Kg Grainpro)</t>
  </si>
  <si>
    <t>Taoyuan</t>
  </si>
  <si>
    <t>ONEYMBAG01164500</t>
  </si>
  <si>
    <t>5523A</t>
  </si>
  <si>
    <t>AA. (160 packed in  30Kg Grainpro) *40ft container.</t>
  </si>
  <si>
    <t>Taipei</t>
  </si>
  <si>
    <t>NAVIOS SUMMER 619E (MMUT)</t>
  </si>
  <si>
    <t>MBAG01130500</t>
  </si>
  <si>
    <t>ABC RA-IP SAS. No PSS required.</t>
  </si>
  <si>
    <t>MEDUM2869227</t>
  </si>
  <si>
    <t>5515L</t>
  </si>
  <si>
    <t>KENYA AA BARAGWI FCS THIMU-12SM0040 .APS 6849. (50 Packed in 30Kg Vacuum pack)</t>
  </si>
  <si>
    <t>5515M</t>
  </si>
  <si>
    <t>KENYA AA RUNGETO KII-17iM0065 APS 6761. (50 Packed in 30Kg Vacuum pack)</t>
  </si>
  <si>
    <t>5492A</t>
  </si>
  <si>
    <t>KENYA AA TEKANGU TEGU-09IM0024. APS 75. (40 packed in 30Kg Vacuum pack)</t>
  </si>
  <si>
    <t>EF OLIVIA 2619N</t>
  </si>
  <si>
    <t>HLCUMB1260500256</t>
  </si>
  <si>
    <t>5492B</t>
  </si>
  <si>
    <t>KENYA AA MWIRUA GATHAMBI-09KN0025. APS 82. (30 packed in 30Kg Vacuum pack)</t>
  </si>
  <si>
    <t>5492C</t>
  </si>
  <si>
    <t>KENYA AA RUNG'ETO KII-12KN0040. APS 37. (20 packed in 30Kg Vacuum pack)</t>
  </si>
  <si>
    <t>5492D</t>
  </si>
  <si>
    <t>KENYA AA INOI KERUGOYA-12KN0026. APS 40. (10 packed in 30Kg Vacuum pack)</t>
  </si>
  <si>
    <t>5492E</t>
  </si>
  <si>
    <t>KENYA AA INOI KIANDIERI-10KN0043. APS 50. (11 packed in 30Kg Vacuum pack)</t>
  </si>
  <si>
    <t>5492F</t>
  </si>
  <si>
    <t>KENYA AA BARAGWI KARUMANDI-11SM0023. APS 49. (11 packed in 30Kg Vacuum pack)</t>
  </si>
  <si>
    <t>5492G</t>
  </si>
  <si>
    <t>KENYA AA RUNG'ETO KIANGOI-13KN0056. APS 45. (11 packed in 30Kg Vacuum pack)</t>
  </si>
  <si>
    <t>5492H</t>
  </si>
  <si>
    <t>KENYA AB THIRIRIKA BLEND. APS 93. (4 packed in 30Kg Vacuum pack)</t>
  </si>
  <si>
    <t>5492I</t>
  </si>
  <si>
    <t>KENYA AB BARAGWI MUCHAGARA-09SM0020. APS 61. (Packed in 60Kg Grainpro)</t>
  </si>
  <si>
    <t>5492J</t>
  </si>
  <si>
    <t>KENYA AB BARAGWI MUCHAGARA-09SM0020. APS 61. (21 packed in 30Kg Vacuum pack)</t>
  </si>
  <si>
    <t>5492K</t>
  </si>
  <si>
    <t>KENYA AA RUNGETO KARIMIKUI-17IM0069. APS6841. (20 packed in 30Kg Vacuum pack)</t>
  </si>
  <si>
    <t>5492L</t>
  </si>
  <si>
    <t>KENYA AA RUNGETO KARIMIKUI-17iM0063. APS 6844. (35 packed in 30Kg Vacuum pack)</t>
  </si>
  <si>
    <t>Sojitz</t>
  </si>
  <si>
    <t>KOTA SAHABAT KSAH0614E</t>
  </si>
  <si>
    <t>MBA600063600</t>
  </si>
  <si>
    <t>5535A</t>
  </si>
  <si>
    <t>KENYA AB RUNGETO KIANGOI/XAD14F03-13IM0032. APS 13. Packed in 60Kg Grainpro. *FOR NKG KOREA</t>
  </si>
  <si>
    <t>1525 155 402</t>
  </si>
  <si>
    <t>5535B</t>
  </si>
  <si>
    <t>KENYA AB RUNGETO KII-17IM0065. APS 19. Packed in 60Kg Grainpro. *FOR NKG KOREA</t>
  </si>
  <si>
    <t>5535C</t>
  </si>
  <si>
    <t>KENYA AA INOI KAGUYU-15KN0035. APS 17. Packed in 60Kg Grainpro. *FOR NKG KOREA</t>
  </si>
  <si>
    <t>5535D</t>
  </si>
  <si>
    <t>KENYA AA INOI  KEROGOYA-12KN0026. APS 18. Packed in 60Kg Grainpro. *FOR NKG KOREA</t>
  </si>
  <si>
    <t>5511A</t>
  </si>
  <si>
    <t>KILOMBE NATURAL 20LE0005. APS . (Packed in  60Kg Grainpro). *FOR WELDER CATHERINE.</t>
  </si>
  <si>
    <t>WECC2688RIX1010</t>
  </si>
  <si>
    <t>72 935 56760</t>
  </si>
  <si>
    <t>5511B</t>
  </si>
  <si>
    <t>OLBANATA NATURALBLEND. APS 6286. (Packed in  60Kg Grainpro). *FOR WELDER CATHERINE.</t>
  </si>
  <si>
    <t>5511C</t>
  </si>
  <si>
    <t>OLBANATA NATURAL-20HC0137. APS 6287 . (Packed in  60Kg Grainpro). *FOR WELDER CATHERINE.</t>
  </si>
  <si>
    <t>5511D</t>
  </si>
  <si>
    <t>OLBANATA NATURAL-20HC0042. APS 6288. (Packed in  60Kg Grainpro). *FOR WELDER CATHERINE.</t>
  </si>
  <si>
    <t>5511E</t>
  </si>
  <si>
    <t>KILOMBE NATURAL-20LE0008. APS 6289. (Packed in  60Kg Grainpro). *FOR WELDER CATHERINE.</t>
  </si>
  <si>
    <t>5495H</t>
  </si>
  <si>
    <t>AB GICHUNA Mr. Mburu 09iM0088. APS 6526. Packed in 60KG Grainpro.</t>
  </si>
  <si>
    <t>5514G</t>
  </si>
  <si>
    <t>KENYA AA MUGAGA KIENI-10IM0043. APS 6467. Packed in 60Kg Grainpro.</t>
  </si>
  <si>
    <t>Washed ABC. Packed in Grainpro.Quality specifications: Defects: 23 secondary/350g, Screen profile:90% above screen 14, Moisture content: 9.5-12.0%</t>
  </si>
  <si>
    <t xml:space="preserve">REN JIAN 10 – 621E </t>
  </si>
  <si>
    <t>Rwanda Ingagi</t>
  </si>
  <si>
    <t>Rwa.FW Scr 15 up</t>
  </si>
  <si>
    <t>CONTSHIP ANA II V. IA627R</t>
  </si>
  <si>
    <t>MEDUTZ380485</t>
  </si>
  <si>
    <t>MSC MAGNITUDE VII HI619R</t>
  </si>
  <si>
    <t>074IMB0015906</t>
  </si>
  <si>
    <t xml:space="preserve">Mitsui </t>
  </si>
  <si>
    <t>5523B</t>
  </si>
  <si>
    <t>AA FAQ. (290 packed in  30Kg Grainpro)</t>
  </si>
  <si>
    <t>Grinders RA-IP SAS</t>
  </si>
  <si>
    <t xml:space="preserve">Rotterdam </t>
  </si>
  <si>
    <t>MEDUM2896717</t>
  </si>
  <si>
    <t>5491H</t>
  </si>
  <si>
    <t>KENYA AA BARAGWI FCS THIMU-14SM0015. APS 6795. (36 packed in 30Kg Vacuum pack)</t>
  </si>
  <si>
    <t>5491I</t>
  </si>
  <si>
    <t>KENYA AB INOI KAGUYU-12KN0028. APS 39. (26 packed in 30Kg Vacuum pack)</t>
  </si>
  <si>
    <t>Kenya Lenana</t>
  </si>
  <si>
    <t>APP</t>
  </si>
  <si>
    <t>CMA CGM ADVENTURE ( 0K13AE1MA)</t>
  </si>
  <si>
    <t>NBI0122665</t>
  </si>
  <si>
    <t>NBI0122664</t>
  </si>
  <si>
    <t xml:space="preserve">	CMA CGM CLEVELAND ( 0K13GE1MA)</t>
  </si>
  <si>
    <t>NBI0122741</t>
  </si>
  <si>
    <t>Kenya Stocklot</t>
  </si>
  <si>
    <t>MEDUM2897459</t>
  </si>
  <si>
    <t>1795 631 773</t>
  </si>
  <si>
    <t>MSC TIA V OM626R</t>
  </si>
  <si>
    <t>MEDUM2903182</t>
  </si>
  <si>
    <t>5511F</t>
  </si>
  <si>
    <t xml:space="preserve"> AA BARICHU GATOMBOYA-17IM0051. APS. Packed in 60Kg Grainpro. </t>
  </si>
  <si>
    <t>5511G</t>
  </si>
  <si>
    <t xml:space="preserve"> ENDEBESS ESTATE NATURAL-18EM0003. APS. Packed in 60Kg Grainpro.</t>
  </si>
  <si>
    <t>Lenana RA certified. C&amp;F Bremen.*20MT per container. Packed in tonne bags. Coffee to be shipped in April. SAS one replace and then cancel .</t>
  </si>
  <si>
    <t>OM622RMSC Brianna V</t>
  </si>
  <si>
    <t>J.Wolff</t>
  </si>
  <si>
    <t xml:space="preserve"> Stocklot.  As Per Sample 6887 </t>
  </si>
  <si>
    <t>MEDUM2881453</t>
  </si>
  <si>
    <t>MSC TUXPAN V HI625R</t>
  </si>
  <si>
    <t>MEDUM2903174</t>
  </si>
  <si>
    <t>MSC TAVVISHI VI HI632R</t>
  </si>
  <si>
    <t>MEDUM2923107</t>
  </si>
  <si>
    <t xml:space="preserve">Royal   </t>
  </si>
  <si>
    <t>074IMB0015908</t>
  </si>
  <si>
    <t>Grinder Minus</t>
  </si>
  <si>
    <t>HLCUMB1260505406</t>
  </si>
  <si>
    <t>AA FAQ. PROMPT . Packed in 60Kg Grainpro.</t>
  </si>
  <si>
    <t>CMA CGM CLEVELAND ( 0K12YE1MA)</t>
  </si>
  <si>
    <t>NBI0122392</t>
  </si>
  <si>
    <t>AB FAQ. PROMPT . Packed in 60Kg Grainpro.</t>
  </si>
  <si>
    <t>MEDUM2887807</t>
  </si>
  <si>
    <t>5492M</t>
  </si>
  <si>
    <t>KENYA AB INOI KIANDIERI-12KN0027. APS 6895. (40 packed in 30Kg Vacuum pack) *For catalogue coffee, to be consolidated with Apex.</t>
  </si>
  <si>
    <t>5492N</t>
  </si>
  <si>
    <t>KENYA AA THIRIKWA GAKUYUI-INI-13IM0056. APS 6899. (40 packed in 30Kg Vacuum pack) *For catalogue coffee, to be consolidated with Apex.</t>
  </si>
  <si>
    <t>5492O</t>
  </si>
  <si>
    <t>KENYA AB  RUNGETO KIANGOI-13IM0032. APS 6900. (40 packed in 30Kg Vacuum pack) *For catalogue coffee, to be consolidated with Apex.</t>
  </si>
  <si>
    <t>5492P</t>
  </si>
  <si>
    <t>KENYA AA BARAGWI MUSHAGARA-11SM0039. APS 6903. (40 packed in 30Kg Vacuum pack) *For catalogue coffee, to be consolidated with Apex.</t>
  </si>
  <si>
    <t>SALERNO EXPRESS 630E</t>
  </si>
  <si>
    <t>HLCUMB1260804558</t>
  </si>
  <si>
    <t>5462D</t>
  </si>
  <si>
    <t>KENYA AA MUTIRA MUGAYA-07KN0014. APS   6642. 20 packed in 30Kg Grainpro.)</t>
  </si>
  <si>
    <t>5462E</t>
  </si>
  <si>
    <t>KENYA AA MUGAGA KIENI-09IM0028. APS 6644. 40 packed in 30Kg Grainpro.)</t>
  </si>
  <si>
    <t>5462F</t>
  </si>
  <si>
    <t>KENYA AA KANGIRI NEW IRATI -09IM0095 . APS 6646. 30 packed in 30Kg Grainpro.)</t>
  </si>
  <si>
    <t>5462G</t>
  </si>
  <si>
    <t>KENYA AA RUTHAKA NDUMA-10SM0028 . APS 6648. 30 packed in 30Kg Grainpro.)</t>
  </si>
  <si>
    <t>5462H</t>
  </si>
  <si>
    <t>KENYA AB KABARE MUKURE-14KN0012 . APS 16. 30  packed in 30Kg Grainpro.)</t>
  </si>
  <si>
    <t>5462I</t>
  </si>
  <si>
    <t>PB IYEGO GATUBU . APS 27. 20 packed in 30Kg Grainpro.)</t>
  </si>
  <si>
    <t>5462J</t>
  </si>
  <si>
    <t>AA TOP KABARE KIANG'OMBE . APS 30. 20 packed in 30Kg Grainpro.)</t>
  </si>
  <si>
    <t>5462K</t>
  </si>
  <si>
    <t>KENYA AA KIANDERI INOI 10KN0043 . APS 16. 20 packed in 30Kg Grainpro.)</t>
  </si>
  <si>
    <t>5462L</t>
  </si>
  <si>
    <t>KENYA AA KAGUYU INOI 15KN0035 . APS 17. 40 packed in 30Kg Grainpro.)</t>
  </si>
  <si>
    <t>5462M</t>
  </si>
  <si>
    <t>KENYA AA KEROGOYA INOI  12KN0026 . APS 18. 30 packed in 30Kg Grainpro.)</t>
  </si>
  <si>
    <t>5462N</t>
  </si>
  <si>
    <t>Kenya Grinder Minus . Packed in 60Kg Grainpro.</t>
  </si>
  <si>
    <t>Simgapore</t>
  </si>
  <si>
    <t>Langdon Merchants</t>
  </si>
  <si>
    <t>5521A</t>
  </si>
  <si>
    <t>KENYA AA RUNGETO KARIMIKUI-15iM0150. APS 6785. (17 packed in 30kg  Grainpro)</t>
  </si>
  <si>
    <t>KOTA SEMPENA 617E (ENAT)</t>
  </si>
  <si>
    <t>ONEYMBAG01017900</t>
  </si>
  <si>
    <t>5521B</t>
  </si>
  <si>
    <t>KENYA AA BARAGWI NYANJA/XAD03F05-17SM0052.  APS 6789. (17 packed in 30kg  Grainpro)</t>
  </si>
  <si>
    <t>5521C</t>
  </si>
  <si>
    <t>KENYA AA MUTHEKA KIANDU/XAC56F04-16IM0009.  APS 6790. (17 packed in 30kg  Grainpro)</t>
  </si>
  <si>
    <t>5521D</t>
  </si>
  <si>
    <t>KENYA AA FAQ. APS 6791 . Packed in 60Kg Grainpro.</t>
  </si>
  <si>
    <t>MBAG01017900</t>
  </si>
  <si>
    <t>Lenana</t>
  </si>
  <si>
    <t>NBI0122767</t>
  </si>
  <si>
    <t>GSC Internatonal</t>
  </si>
  <si>
    <t>AA FAQ. (Packed in Grainpro)</t>
  </si>
  <si>
    <t>ONEYMBAG01260900</t>
  </si>
  <si>
    <t>AA Kirinyaga. Packed in Grainpro)</t>
  </si>
  <si>
    <t>ONEYMBAG01259300</t>
  </si>
  <si>
    <t>5504J</t>
  </si>
  <si>
    <t>KENYA ENDEBESS NATURAL 18EM0003. APS 6963. (40 packed in 30kg Vacuum pack)</t>
  </si>
  <si>
    <t>5513A</t>
  </si>
  <si>
    <t>KENYA AB MWIRUA KARIAINI-19KN0012. APS 6946. (80 packed in 30Kg Vacuum pack)</t>
  </si>
  <si>
    <t>WECC2688ANR1113</t>
  </si>
  <si>
    <t>71 7216 0494</t>
  </si>
  <si>
    <t>5513B</t>
  </si>
  <si>
    <t>KENYA AB TEKANGU KAROGOTO-16iM0165 .APS 6948. (80 packed in 30Kg Vacuum pack)</t>
  </si>
  <si>
    <t>5513C</t>
  </si>
  <si>
    <t>KENYA AB THIRIKU-18iM0056 .APS 6949. (84 packed in 30Kg Vacuum pack)</t>
  </si>
  <si>
    <t>5513D</t>
  </si>
  <si>
    <t>KENYA PB KIMARATIA GACHIKA-16iM0162 .APS 6951. (20 packed in 30Kg Vacuum pack)</t>
  </si>
  <si>
    <t>5513E</t>
  </si>
  <si>
    <t>KENYA AA BARICHU GATOMBOYA-17iM0051 .APS 6955. (80 packed in 30Kg Vacuum pack)</t>
  </si>
  <si>
    <t>5513F</t>
  </si>
  <si>
    <t>KENYA AB INOI KAGUYU-17KN0034 .APS 6960. (60 packed in 30Kg Vacuum pack)</t>
  </si>
  <si>
    <t>WECC2688RTM1097</t>
  </si>
  <si>
    <t>Fos-Sur-Mer</t>
  </si>
  <si>
    <t>MEDUM2909486</t>
  </si>
  <si>
    <t>Kenya Kubwa, packed in big bags</t>
  </si>
  <si>
    <t>0065NGFS Ranna</t>
  </si>
  <si>
    <t>AB FAQ Kirinyaga. Packed in Grainpro. INC fumigation</t>
  </si>
  <si>
    <t>5535E</t>
  </si>
  <si>
    <t>5569A</t>
  </si>
  <si>
    <t>AA Samburu, EUDR Aligned. Packed in 60Kg Grainpro.</t>
  </si>
  <si>
    <t>London Gateway</t>
  </si>
  <si>
    <t>GFS RANNA 0065N</t>
  </si>
  <si>
    <t>MEDUM2903158</t>
  </si>
  <si>
    <t>5569B</t>
  </si>
  <si>
    <t>AB Honey Bush, EUDR Aligned. Packed in 60Kg Grainpro.</t>
  </si>
  <si>
    <t>5569C</t>
  </si>
  <si>
    <t>PB Kisii, EUDR Aligned. Packed in 60Kg Grainpro.</t>
  </si>
  <si>
    <t>5535F</t>
  </si>
  <si>
    <t>KENYA AA BARAGWI GUAMA-15SM0014. APS 6926. Packed in  60Kg Grainpro.</t>
  </si>
  <si>
    <t>5535G</t>
  </si>
  <si>
    <t>KENYA AA INOI KERUGOYA-12KN0026 APS 6926. Packed in  60Kg Grainpro.</t>
  </si>
  <si>
    <t>5510A</t>
  </si>
  <si>
    <t>KENYA AA THIRIKWA GAKUYUI-INI-13IM0056. APS 6986. (64 Packed in 30KG Vacuum pack)</t>
  </si>
  <si>
    <t>5510B</t>
  </si>
  <si>
    <t>KENYA AA INOI FCS KAGUYU-12KN0028. APS 6986. (64 Packed in 30KG Vacuum pack)</t>
  </si>
  <si>
    <t>5510C</t>
  </si>
  <si>
    <t>KENYA AA RWAMA KIMATU-12IM0045. APS 6986. (64 Packed in 30KG Vacuum pack)</t>
  </si>
  <si>
    <t>AB.</t>
  </si>
  <si>
    <t>CMA CGM NINGBO 0K13QE1MA</t>
  </si>
  <si>
    <t>NBI0122843</t>
  </si>
  <si>
    <t>Indus coffee</t>
  </si>
  <si>
    <t xml:space="preserve">Kenya coffee Beans.APS 6864.CIF Chennai basis with Methyl bromide fumigation from origin and with Gunny bags packing </t>
  </si>
  <si>
    <t>Ennore</t>
  </si>
  <si>
    <t>no sample needed</t>
  </si>
  <si>
    <t>MEDUM2895495</t>
  </si>
  <si>
    <t>MSC STELLA HI628R</t>
  </si>
  <si>
    <t>MEDUM2910393</t>
  </si>
  <si>
    <t xml:space="preserve">Kenya coffee Beans.APS 6866.CIF Chennai basis with Methyl bromide fumigation from origin and with Gunny bags packing </t>
  </si>
  <si>
    <t>MEDUM2895545</t>
  </si>
  <si>
    <t>MEDUM2913025</t>
  </si>
  <si>
    <t>AB Millstone</t>
  </si>
  <si>
    <t>MSC ROCHELLE OM631R</t>
  </si>
  <si>
    <t>MEDUM2921416</t>
  </si>
  <si>
    <t>MARIANETTA OM637R</t>
  </si>
  <si>
    <t>MEDUM2927652</t>
  </si>
  <si>
    <t>MSC LILOU III IB639R</t>
  </si>
  <si>
    <t>MEDUM2933510</t>
  </si>
  <si>
    <t>TP Quality RA-IP SAS.*IMMEDIATE SHIPMENT</t>
  </si>
  <si>
    <t>MEDUM2897145</t>
  </si>
  <si>
    <t xml:space="preserve">AB. </t>
  </si>
  <si>
    <t>CMA CGM CLEVELAND</t>
  </si>
  <si>
    <t>NBI0123083</t>
  </si>
  <si>
    <t>5510D</t>
  </si>
  <si>
    <t>KENYA AA BARAGWI THIMU-12SM0056. APS 6993. (176 packed in 30Kg Vacuum pack). ''0 Primary defects and up to 5 GBE Secondary defects''.</t>
  </si>
  <si>
    <t>5542B</t>
  </si>
  <si>
    <t>Kenya black beans</t>
  </si>
  <si>
    <t xml:space="preserve">UG1 HP mixed </t>
  </si>
  <si>
    <t xml:space="preserve">New York </t>
  </si>
  <si>
    <t>MEDUM2897442</t>
  </si>
  <si>
    <t>5542A</t>
  </si>
  <si>
    <t>Texas , Houston</t>
  </si>
  <si>
    <t>Kenya black beans.RA-IP SAS</t>
  </si>
  <si>
    <t>MEDUM2894621</t>
  </si>
  <si>
    <t>Kenya black beans. RA-IP SAS</t>
  </si>
  <si>
    <t>REN JIAN 17 / 630N</t>
  </si>
  <si>
    <t>Blaser Trading</t>
  </si>
  <si>
    <t>AA plus *IMMEDIATE SHIPMENT</t>
  </si>
  <si>
    <t>ONEYMBAG01212600</t>
  </si>
  <si>
    <t>5619A</t>
  </si>
  <si>
    <t>MEDUM2923883</t>
  </si>
  <si>
    <t>5619B</t>
  </si>
  <si>
    <t>AA Jambo Jambo. Packed in 60KG Grainpro.</t>
  </si>
  <si>
    <t>Kenya Kubwa.</t>
  </si>
  <si>
    <t>MEDUM2904958</t>
  </si>
  <si>
    <t>Safi A *Bulk</t>
  </si>
  <si>
    <t>GFS RANNA 0067N</t>
  </si>
  <si>
    <t>MEDUM2926621</t>
  </si>
  <si>
    <t>AB Kirinyaga (Packed in Big Bags)</t>
  </si>
  <si>
    <t>CMA CGM PALMYRE ( 0K13KE1MA)</t>
  </si>
  <si>
    <t>NBI0122792</t>
  </si>
  <si>
    <t>CMA CGM NERVAL ( 0K140E1MA)</t>
  </si>
  <si>
    <t>MOB0160720</t>
  </si>
  <si>
    <t>5552A</t>
  </si>
  <si>
    <t>AB Plus  RA-IP SAS Ref 7005*Immediate</t>
  </si>
  <si>
    <t xml:space="preserve">Genova </t>
  </si>
  <si>
    <t>MEDUM2897947</t>
  </si>
  <si>
    <t>5552B</t>
  </si>
  <si>
    <t>Kenya Kubwa *Immediate</t>
  </si>
  <si>
    <t xml:space="preserve">Kenya Kubwa </t>
  </si>
  <si>
    <t>22/05/2026</t>
  </si>
  <si>
    <t>MEDUM2909494</t>
  </si>
  <si>
    <t>MSC Tia V OM626R</t>
  </si>
  <si>
    <t>WECC2688BRE1024</t>
  </si>
  <si>
    <t>Type Lenana</t>
  </si>
  <si>
    <t>GFS Ranna 0065N</t>
  </si>
  <si>
    <t>WECC2688BRE1021</t>
  </si>
  <si>
    <t>MEDUM2894001</t>
  </si>
  <si>
    <t>List &amp; Beisler</t>
  </si>
  <si>
    <t>AB FAQ *To be shipped with 3787666</t>
  </si>
  <si>
    <t>GULF BARAKAH / 633N</t>
  </si>
  <si>
    <t>5614A</t>
  </si>
  <si>
    <t>AB FAQ *TO BE shipped with 3787670</t>
  </si>
  <si>
    <t>Newark</t>
  </si>
  <si>
    <t>AB FAQ RA-IP SAS</t>
  </si>
  <si>
    <t>MEDUM2924964</t>
  </si>
  <si>
    <t>AB FAQ (Marked as tamu). Packed in Grainpro.</t>
  </si>
  <si>
    <t xml:space="preserve">REN JIAN 20 629E (R2JT)
</t>
  </si>
  <si>
    <t>ONEYMBAG01876800</t>
  </si>
  <si>
    <t>Rich Corp</t>
  </si>
  <si>
    <t>AA FAQ. Packed in Grainpro.GACC required.</t>
  </si>
  <si>
    <t>MSC TAMPA V HI638R</t>
  </si>
  <si>
    <t>MEDUM2940499</t>
  </si>
  <si>
    <t>AB Nguvu</t>
  </si>
  <si>
    <t>NBI0122817</t>
  </si>
  <si>
    <t>Volcafe</t>
  </si>
  <si>
    <t>MH, APS 7032</t>
  </si>
  <si>
    <t>Kenya AB TH Quality. Packed in Grainpro.</t>
  </si>
  <si>
    <t>CMA CGM PALMYRE 0K13KE1MA</t>
  </si>
  <si>
    <t>NBI0122770</t>
  </si>
  <si>
    <t>CMA CGM ADVENTURE ( 0K13SE1MA)</t>
  </si>
  <si>
    <t>NBI0122844</t>
  </si>
  <si>
    <t>Mbunis *Eudr + OTA Test</t>
  </si>
  <si>
    <t>Le havre</t>
  </si>
  <si>
    <t>OM629RMarianetta</t>
  </si>
  <si>
    <t>AB Plus. APS 7001 Packed in Grainpro</t>
  </si>
  <si>
    <t>MEDUM2903141</t>
  </si>
  <si>
    <t>OM630R MSC Roberta V</t>
  </si>
  <si>
    <t>WECC2688LEH1052</t>
  </si>
  <si>
    <t>28-9-26</t>
  </si>
  <si>
    <t>23/10/2026</t>
  </si>
  <si>
    <t>5630A</t>
  </si>
  <si>
    <t>AB FAQ.Packed in 60Kg Grainpro</t>
  </si>
  <si>
    <t>MEDUM2926357</t>
  </si>
  <si>
    <t>5630B</t>
  </si>
  <si>
    <t>AA JAMBO JAMBO. Packed in 60KG Grainpro.</t>
  </si>
  <si>
    <t>IAC london</t>
  </si>
  <si>
    <t>5569D</t>
  </si>
  <si>
    <t>AA GACHIKA-16IM0162 APS. Packed in 60Kg Grainpro. To be consolidated with 3787550-3787512.</t>
  </si>
  <si>
    <t>5569E</t>
  </si>
  <si>
    <t>AB KIANDIERI-19KN0058 APS.Packed in 60Kg Grainpro.To be consolidated with 3787550-3787512.</t>
  </si>
  <si>
    <t>AB Kirinyaga. Packed in 60Kg Grainpro</t>
  </si>
  <si>
    <t>COSCO SAO PAULO / 637E</t>
  </si>
  <si>
    <t>5569F</t>
  </si>
  <si>
    <t>AA GATOMBOYA-17IM0051 APS.Packed in 60Kg Grainpro.To be consolidated with 3787550-3787512.</t>
  </si>
  <si>
    <t>AB FAQ *PACKED IN GRAINPRO.</t>
  </si>
  <si>
    <t>REN JIAN 20 629E (R2JT)</t>
  </si>
  <si>
    <t>ONEYMBAG01859900</t>
  </si>
  <si>
    <t>Salerno Express 630E</t>
  </si>
  <si>
    <t>HLCUMB1260900734</t>
  </si>
  <si>
    <t>Washed ABC..Quality specifications: Defects: 23 secondary/350g, Screen profile:90% above screen 14, Moisture content: 9.5-12.0%. Packed in Grainpro.</t>
  </si>
  <si>
    <t xml:space="preserve">SALERNO EXPRESS 630E </t>
  </si>
  <si>
    <t>MBA600156000</t>
  </si>
  <si>
    <t>KOTA SAHABAT 632</t>
  </si>
  <si>
    <t>MBA600159900</t>
  </si>
  <si>
    <t>Washed ABC..Quality specifications: Defects: 23 secondary/350g, Screen profile:90% above screen 14, Moisture content: 9.5-12.0%.Packed in Grainpro.</t>
  </si>
  <si>
    <t>1st Dispatch</t>
  </si>
  <si>
    <t>Grinder APS 7030.Packed in big bags.</t>
  </si>
  <si>
    <t>Yerevan</t>
  </si>
  <si>
    <t>Armenia</t>
  </si>
  <si>
    <t>MEDUM2921069</t>
  </si>
  <si>
    <t>MSC VERACRUZ V HI634R</t>
  </si>
  <si>
    <t>MEDUM2927124</t>
  </si>
  <si>
    <t>AB FAQ (Traceable). Packed in Grainpro.</t>
  </si>
  <si>
    <t>Diamond Coffee</t>
  </si>
  <si>
    <t>Kenya MH, APS 7034. PROMPT Shipment.</t>
  </si>
  <si>
    <t xml:space="preserve">Nairobi </t>
  </si>
  <si>
    <t>AB FAQ, Packed in Grainpro.</t>
  </si>
  <si>
    <t>ONEYMBAG01916300</t>
  </si>
  <si>
    <t>5636A</t>
  </si>
  <si>
    <t>Mara Under Water Natural. APS 06/26/003. Packed in 60Kg Grainpro.</t>
  </si>
  <si>
    <t>AB TOP</t>
  </si>
  <si>
    <t>Cosco Ashdod</t>
  </si>
  <si>
    <t>5636B</t>
  </si>
  <si>
    <t>Mara Anaerobic Natural. APS 06/26/004. Packed in 60Kg Grainpro.</t>
  </si>
  <si>
    <t>AB FAQ Paulig Quality RA-IP SAS*Eudr Aligned</t>
  </si>
  <si>
    <t>Virgo</t>
  </si>
  <si>
    <t>AB FAQ Paulig Quality RA-IP SAS</t>
  </si>
  <si>
    <t>09-28-2026</t>
  </si>
  <si>
    <t>11/18/2026</t>
  </si>
  <si>
    <t>5589B</t>
  </si>
  <si>
    <t>PB FAQ *TO BE SHIPPED WITH CC-3787592 APS</t>
  </si>
  <si>
    <t>SC.15 SBUX Quality KEN01 C.A.F.E Practice, Crop 2025/2026.Packed in Ecotact/Grainpro.  SCTC ref 40260009 / Tata contract #’s TBA</t>
  </si>
  <si>
    <t>AA/AB/PB CERTIFIED</t>
  </si>
  <si>
    <t>VIRGO / 638E</t>
  </si>
  <si>
    <t>5614B</t>
  </si>
  <si>
    <t>PB FAQ *TO BE shipped with 3787593. As per seen &amp; approved sample.Packed in Grainpro</t>
  </si>
  <si>
    <t>5645A</t>
  </si>
  <si>
    <t>AB FAQ *Eudr Aligned</t>
  </si>
  <si>
    <t>5645B</t>
  </si>
  <si>
    <t>5645C</t>
  </si>
  <si>
    <t>AA FAQ, Packed in 60Kg Grainpro.Marked as AA FAQ KIAMBU.</t>
  </si>
  <si>
    <t>KOTA SAHABAT 632E (WJKT)</t>
  </si>
  <si>
    <t>ONEYMBAG02131700</t>
  </si>
  <si>
    <t>5636C</t>
  </si>
  <si>
    <t>AB FAQ Kirinyaga, Packed in Grainpro (To be shipped with CC-3787656 &amp; CC-3787657)</t>
  </si>
  <si>
    <t>AA FAQ, Packed in 60Kg Grainpro.</t>
  </si>
  <si>
    <t>NBI0122915</t>
  </si>
  <si>
    <t>Jambo Jambo, Eudr Option. Packed in Grainpro</t>
  </si>
  <si>
    <t>KOTA SAHABAT 632E</t>
  </si>
  <si>
    <t>HLCUMB1260902868</t>
  </si>
  <si>
    <t>IAC  Australia</t>
  </si>
  <si>
    <t>AB FAQ. Packed in Grainpro.INC Fumigation</t>
  </si>
  <si>
    <t>MAERSK CAP JERVIS 641E</t>
  </si>
  <si>
    <t xml:space="preserve">PB FAQ, Packed in Grainpro. </t>
  </si>
  <si>
    <t>Brisbane</t>
  </si>
  <si>
    <t>AA FAQ.Packed in 60KG Grainpro</t>
  </si>
  <si>
    <t>AB FAQ.Packed in 60KG Grainpro</t>
  </si>
  <si>
    <t>AB Kraft quality. PROMPT Shipment,</t>
  </si>
  <si>
    <t>Jacksonville</t>
  </si>
  <si>
    <t>WADI DUKA</t>
  </si>
  <si>
    <t>Type Punda RA-IP EUDR.</t>
  </si>
  <si>
    <t>Gothenburg</t>
  </si>
  <si>
    <t>Type Punda. Packed in Grainpro.</t>
  </si>
  <si>
    <t>MSC LORENA HI639R</t>
  </si>
  <si>
    <t>074IMB0017784</t>
  </si>
  <si>
    <t>JDE GRINDER .*Eudr Aligned.</t>
  </si>
  <si>
    <t>Sc. 15+ SBUX Quality, KEN01 C.A.F.E. Practices, Crop year 2025/26. Packed in 60Kg Grainpro.SCTC ref 40270001.CFR Chennai.</t>
  </si>
  <si>
    <t>JDE GRINDERS *Eudr Aligned</t>
  </si>
  <si>
    <t>JDE GRINDERS *Eudr Option</t>
  </si>
  <si>
    <t>5656A</t>
  </si>
  <si>
    <t>MARA UNDER WATER NATURAL. Packed in 60Kg Grainpro.NO PSS Needed</t>
  </si>
  <si>
    <t>NO PSS Needed</t>
  </si>
  <si>
    <t>KOTA SEMPENA 634E (ENAT)</t>
  </si>
  <si>
    <t>ONEYMBAG02164600</t>
  </si>
  <si>
    <t>5656B</t>
  </si>
  <si>
    <t>MARA ANAEROBIC NATURAL.Packed in 60Kg Grainpro.NO PSS Needed</t>
  </si>
  <si>
    <t>28976 / 4519672</t>
  </si>
  <si>
    <t>AA FAQ,Packed in 60Kg Grainpro.For Korea</t>
  </si>
  <si>
    <t>ICC</t>
  </si>
  <si>
    <t>MH MBUNI</t>
  </si>
  <si>
    <t>NBI0123051</t>
  </si>
  <si>
    <t>AA Plus NKG Bloom.Eudr Aligned. Packed in Grainpro.</t>
  </si>
  <si>
    <t>EUDR/NKG Bloom</t>
  </si>
  <si>
    <t>MSC LONG BEACH VI OM641R</t>
  </si>
  <si>
    <t>AA Samburu.Eudr Aligned. Packed in Grainpro.</t>
  </si>
  <si>
    <t>AB Honey bush.Eudr Aligned. Packed in Grainpro.</t>
  </si>
  <si>
    <t>PB Kisii Eudr Aligned. Packed in Grainpro.</t>
  </si>
  <si>
    <t>Twiga  RA-IP SAS*Split to RFA From CC-3787412.Instore Hamburg.</t>
  </si>
  <si>
    <t>NO sample needed</t>
  </si>
  <si>
    <t xml:space="preserve"> AA FAQ, Packed in 60kg grainpro</t>
  </si>
  <si>
    <t>AB Kirinyaga(20MT IN Big bags)</t>
  </si>
  <si>
    <t>SC 15+ SBUX Quality, WAF01, C.A.F.E Practices, crop year 2025/26. (100MT-Packed in Big Bags).</t>
  </si>
  <si>
    <t xml:space="preserve">AA Nguvu. Packed in  60kg Grainpro  </t>
  </si>
  <si>
    <t>Sc. 15+ SBUX Quality, KEN01 C.A.F.E. Practices, Crop year 2026/27. Packed in 60Kg Grainpro.SCTC ref 40270002.CFR Chennai.</t>
  </si>
  <si>
    <t xml:space="preserve">AA FAQ *Eudr Aligned. Bag marks "Specially Prepared for Maison Jobin." </t>
  </si>
  <si>
    <t>Le Havre</t>
  </si>
  <si>
    <t>AB Mukuyuini.As per Sample Ref-7122. Packed in 60kg Grain pro.</t>
  </si>
  <si>
    <t>SC 15+ SBUX Quality, WAF01, C.A.F.E Practices, crop year 2026/27. (20MT-Packed in Big Bags).</t>
  </si>
  <si>
    <t>kenya</t>
  </si>
  <si>
    <t>AA FAQ *Eudr Aligned.Packed  in Big bags.</t>
  </si>
  <si>
    <t>AB FAQ.Packed in 60kg Grainpro.Clean jute bags.</t>
  </si>
  <si>
    <t>AB FAQ.Eudr.</t>
  </si>
  <si>
    <t>Main Reason For Delay</t>
  </si>
  <si>
    <t xml:space="preserve">Delay Category </t>
  </si>
  <si>
    <t>Root Cause</t>
  </si>
  <si>
    <t>Dept</t>
  </si>
  <si>
    <t>Internal Delay</t>
  </si>
  <si>
    <t>Vessel Schedule Changes</t>
  </si>
  <si>
    <t>Logistics</t>
  </si>
  <si>
    <t>Customer Delay</t>
  </si>
  <si>
    <t>Coffee Supply Constraints</t>
  </si>
  <si>
    <t>Trade</t>
  </si>
  <si>
    <t>Carrier Delay</t>
  </si>
  <si>
    <t>Delayed Bulking Instructions</t>
  </si>
  <si>
    <t>Quality</t>
  </si>
  <si>
    <t>Regulatory Delay</t>
  </si>
  <si>
    <t>Processing Capacity Constraints</t>
  </si>
  <si>
    <t>Warehouse</t>
  </si>
  <si>
    <t>Delayed PSS Dispatch</t>
  </si>
  <si>
    <t>Late Submission of Certifications</t>
  </si>
  <si>
    <t>Sustainability</t>
  </si>
  <si>
    <t>Late PSS Approval</t>
  </si>
  <si>
    <t>Customer</t>
  </si>
  <si>
    <t>Graded Bags</t>
  </si>
  <si>
    <t>Late SI Issuance</t>
  </si>
  <si>
    <t>BRIC Ref</t>
  </si>
  <si>
    <t>Date</t>
  </si>
  <si>
    <t>FAQ</t>
  </si>
  <si>
    <t>AB Kitale</t>
  </si>
  <si>
    <t>Endebess Estate SBUX Quality(KEN90), C.P Verified. Crop 2025/2026. EUDR Aligned. NA Replace on PSS. NA No Replacement on arrival.</t>
  </si>
  <si>
    <t xml:space="preserve">  AA Gakuyuini-04iM0028,  As Per Sample 6167  (32 bags packed in 30kg vacuum pack)</t>
  </si>
  <si>
    <t xml:space="preserve"> AA Gathaiti-03iM0021,As Per Sample 6165  (32bags packed in  30kg vacuum pack)</t>
  </si>
  <si>
    <t xml:space="preserve"> AB MWIRUA-05KN0006     , EUDR Aligned , As Per Sample 6182. (74 boxes of 30Kg  Vacuum Pack). GETUYA EUDR-factory </t>
  </si>
  <si>
    <t>Endebess Estate SBUX Quality(KEN90), C.P Verified. Crop 2025/2026. EUDR Aligned. NA Replace on PSS. NA No Replacement on arrival. 1 Bag of 40kg Packed in grainpro.. DDP Starbucks Pilot Plant, Seattle US (Incoterms 2020)</t>
  </si>
  <si>
    <t>AA Mwirua Katondo. 07KN0020.APS 6799. Packed in 60KG Grainpro.</t>
  </si>
  <si>
    <t>AB Plus RA-IP EUDR Aligned. Packed in Grainpro.Bulk.</t>
  </si>
  <si>
    <t>AA FAQ. (200 packed in  30Kg Grainpro). APS 6223</t>
  </si>
  <si>
    <t>AA FAQ. (200 packed in  30Kg Grainpro)APS 6224</t>
  </si>
  <si>
    <t>AA/AB Kamwenja FCA Riga (160 Packed in 30kg boxes)</t>
  </si>
  <si>
    <t>AA Thirikwa Githembe 08IM0060 in (14 packed in 30kg Vacuum Pack Boxes). APS 6455</t>
  </si>
  <si>
    <t>AA GACHATA-07IM0006.Sample ref 6452.Packed in 60Kg Grainpro.</t>
  </si>
  <si>
    <t>AA INOI NDIMI-12KN0034. (1000 Packed 30Kg vacuum pack)</t>
  </si>
  <si>
    <t>AA INOI KIANDIERI -10KN0043(80 Packed in 30Kg Vacuum pack)</t>
  </si>
  <si>
    <t>AA INO KERUGOYA -12KN0026(80 Packed in 30Kg Vacuum pack)</t>
  </si>
  <si>
    <t>AA RUTHAKA KAMUCHUNI-10SM0030 (40 Packed in 30Kg Vacuum pack)</t>
  </si>
  <si>
    <t>AB KIMARATIA FCS-09IM1007. APS 16. Packed in 60Kg Grainpro.</t>
  </si>
  <si>
    <t>SC 15+ SBUX Quality, WAF02, C.A.F.E Practices, crop year 2025/26. (600MT Packed in Big Bags).</t>
  </si>
  <si>
    <t>KENYA AA INOI KAGUYU-10KN0045.APS 6421. (20 Packed in 30Kg Vacuum) * FOR COFFEEMAX GREEN</t>
  </si>
  <si>
    <t>KENYA AB INOI KAGUYU-10KN0045.APS 6422. (10 Packed in 30Kg Vacuum) * FOR COFFEEMAX GREEN</t>
  </si>
  <si>
    <t>RUNG'ETO KARIMIKUI-13IM0037. APS 16.(Packed in Grainpro) *FOR OBSCURA</t>
  </si>
  <si>
    <t>KENYA AB THIRIRIKA NDUNDU-08IM0058. APS 6538 (94 Packed in 30Kg Grainpro)</t>
  </si>
  <si>
    <t>KENYA AB BARAGWI KARUMANDI-09SM0018. APS 6539. (94 Packed in 30Kg Grainpro)</t>
  </si>
  <si>
    <t>KENYA PB RUNGETO BLEND. APS 6542. (167 Packed in 30Kg Grainpro)</t>
  </si>
  <si>
    <t>AB  MURUE. APS 6413. Packed in 60Kg Grainpro.</t>
  </si>
  <si>
    <t>KENYA AA THIRIKWA GAKUYU-INI-12KN0019. APS 6515. ( 16 PACKED IN 35Kg Grainpro)</t>
  </si>
  <si>
    <t>KENYA AA THIRIKWA GAKUYU-INI-12KN0016. APS 6516. (16 Packed in 35Kg Grainpro)</t>
  </si>
  <si>
    <t>KENYA AA INOI FCS THAITA-13KN0021. APS 6517. (16 Packed in 35Kg Grainpro)</t>
  </si>
  <si>
    <t>KENYA AA RUNGETO KIANGOI-13KN0056. APS 6519. (32 Packed in 35Kg Grainpro)</t>
  </si>
  <si>
    <t xml:space="preserve"> C INOI  BLEND. APS 15.Packed in Grainpro. *FOR ORIGIN COFFEE.</t>
  </si>
  <si>
    <t>AA Komothai Kanake. APS. (16 packed in 30KG Grainpro)</t>
  </si>
  <si>
    <t>PB FAQ. Packed in 60KG Grainpro.Marked as AA FAQ Kiambu</t>
  </si>
  <si>
    <t>AB BARAGWI KAGONGO-13SM0030. APS 6581.(60 Boxes of 30Kg Vacuum Pack).</t>
  </si>
  <si>
    <t>AA RUNG'ETO KIANGOI-13IM0032. APS 6586. (74 Boxes of 30Kg Vacuum Pack).</t>
  </si>
  <si>
    <t>KENYA AB BARAGWI FCS KARUMANDI-09SM0009. APS 6634. (30 Packed in 30Kg Vacuum pack)</t>
  </si>
  <si>
    <t>KENYA AB BARAGWI FCS GACAMI-11SM0035. APS 6636.  (30 Packed in 30Kg Vacuum pack)</t>
  </si>
  <si>
    <t>KENYA AB BARAGWI FCS GUAMA-11SM0021. APS 6638. (30 Packed in 30Kg Vacuum pack)</t>
  </si>
  <si>
    <t>KENYA AB THIRIRIKA NDUNDU-08IM0058. APS 6538 (50 Packed in 30Kg Grainpro)</t>
  </si>
  <si>
    <t>KENYA PB RUNGETO BLEND. APS 6542. (20 Packed in 30Kg Grainpro)</t>
  </si>
  <si>
    <t>KENYA Endebess Natural. APS 6678. (20 Packed  in 30Kg Vacuum pack)</t>
  </si>
  <si>
    <t>AB INOI KAGUYU-12KN0028. APS 39. (80 PACKED IN 30Kg Grainpro)</t>
  </si>
  <si>
    <t>cancelled</t>
  </si>
  <si>
    <t>KENYA AA BARAGWI FCS THIMU-14SM0015. APS 6795. (58 packed in 30Kg Vacum pack)</t>
  </si>
  <si>
    <t>Washed ABC.Quality specifications: Defects: 23 secondary/350g, Screen profile:90% above screen 14, Moisture content: 9.5-12.0%. Packed in Grainpro.</t>
  </si>
  <si>
    <t>KENYA PB RUNGETO KARIMIKUI-17iM0069 APS 21 (22 Packed in 30kg Vaccum pack)</t>
  </si>
  <si>
    <t>KENYA AA RUNGETO KII-17iM0065 APS. 24 (60 Packed in Vaccum Pack)</t>
  </si>
  <si>
    <t>KENYA AA THAMBANA KATHIMA-13SM0058 APS 25 (66 Packed in Vaccum Pack)</t>
  </si>
  <si>
    <t>KENYA AA KABARE MUKENGERIA -14KN0018 APS 26 (20 Packed in Vaccum pack)</t>
  </si>
  <si>
    <t>KENYA AB KIBUGU NGERWE-15iM0170 APS 6803 (64 Packed in Vaccum Pack)</t>
  </si>
  <si>
    <t>KENYA AA GAKUYU NDIMAINI-18SM0036 APS 6878 (51  Packed in Vaccum Pack)</t>
  </si>
  <si>
    <t>KENYA AA MUTHEKA MUTHUAINI-18KF0129 APS 6879 (31 Packed in Vaccum Pack)</t>
  </si>
  <si>
    <t>KENYA AB TEKANGU KAROGOTO-18IM0055 APS 6874 (78 Packed in Vaccum Pack)</t>
  </si>
  <si>
    <t>KENYA AA NEW KIRITI KAYU-16KF0003 APS 6882 (58 Packed in Vaccum Pack)</t>
  </si>
  <si>
    <t xml:space="preserve">Bero Italia </t>
  </si>
  <si>
    <t>ETHIOPIA Lekempti 5</t>
  </si>
  <si>
    <t>ETHIOPIA Lekempti 5. INC Grainpro and Fumigation</t>
  </si>
  <si>
    <t>ETHIOPIA Lekempti 4. INC Grainpro and Fumigation</t>
  </si>
  <si>
    <t>Kenya black beans. Option to convert to RFA certified at a premium of $ 330/ MT</t>
  </si>
  <si>
    <t>AB Plus  RA-IP SAS Ref 7005</t>
  </si>
  <si>
    <t>AB FAQ Tamu. Packed in Grainpro.</t>
  </si>
  <si>
    <t>Lenana C&amp;F NY</t>
  </si>
  <si>
    <t>Hunan Africa</t>
  </si>
  <si>
    <t>Kenya AB TH Quality</t>
  </si>
  <si>
    <t>AA GACHIKA-16IM0162 APS. Packed in 60Kg Grainpro</t>
  </si>
  <si>
    <t>AB KIANDIERI-19KN0058 APS.Packed in 60Kg Grainpro</t>
  </si>
  <si>
    <t>AA GATOMBOYA-17IM0051 APS.Packed in 60Kg Grainpro</t>
  </si>
  <si>
    <t>Lenana, No approval No sale</t>
  </si>
  <si>
    <t>PB FAQ. * To be shipped with CC-3787592</t>
  </si>
  <si>
    <t>104332-2</t>
  </si>
  <si>
    <t>PB FAQ. * To be shipped with CC-3787593. As per seen &amp; approved sample.Packed in Grainpro.</t>
  </si>
  <si>
    <t>01-98020</t>
  </si>
  <si>
    <t>01-98021</t>
  </si>
  <si>
    <t>I1-28830</t>
  </si>
  <si>
    <t>U1-51674</t>
  </si>
  <si>
    <t>13-50937</t>
  </si>
  <si>
    <t>U1-51694</t>
  </si>
  <si>
    <t>P102039</t>
  </si>
  <si>
    <t xml:space="preserve">I1-28886               </t>
  </si>
  <si>
    <t xml:space="preserve">01-98235               </t>
  </si>
  <si>
    <t>Twiga  RA-IP SAS*Split to RFA From CC-3787412.In Store Hamburg Schwarze</t>
  </si>
  <si>
    <t>01-98456//PO 60031533</t>
  </si>
  <si>
    <t>SC 15+ SBUX Quality, WAF01, C.A.F.E Practices, crop year 2026/27. (100MT-Packed in Big Bags).</t>
  </si>
  <si>
    <t xml:space="preserve">AA Nguvu.Packed in 60Kg Grainpro bags </t>
  </si>
  <si>
    <t>BR HH</t>
  </si>
  <si>
    <t>AB FAQ. Eudr Option exercise 60d prior shipment period.</t>
  </si>
  <si>
    <t>AB FAQ-Gusii project. Eudr Option exercise 60d prior shipment period.</t>
  </si>
  <si>
    <t xml:space="preserve">Safi A. Eudr Option exercise 60d prior shipment period.  </t>
  </si>
  <si>
    <t xml:space="preserve">Grinder. Eudr Option exercise 60d prior shipment period.     </t>
  </si>
  <si>
    <t xml:space="preserve">Grinder-JDE Gusii project. Eudr Option exercise 60d prior shipment period.     </t>
  </si>
  <si>
    <t>AB FAQ.Packed in 60kg Grainpro.</t>
  </si>
  <si>
    <t>01-92385</t>
  </si>
  <si>
    <t>U1-50657</t>
  </si>
  <si>
    <t>AB Kirinyaga. Packed in 60Kg Ecotact</t>
  </si>
  <si>
    <t>Kirinyaga AB FAQ SCA 84+. Packed in Big Bags.</t>
  </si>
  <si>
    <t>Burundi Natural. As Per Sample.</t>
  </si>
  <si>
    <t>01-92729 </t>
  </si>
  <si>
    <t>01-92802</t>
  </si>
  <si>
    <t>SC 15+ SBUX Quality, WAF01, C.A.F.E Practices, crop year 2024/25. (240*1000-Packed in Big Bags)</t>
  </si>
  <si>
    <t>SBUX Endebess Estate AA C.A.F.E practices verified-crop 2024/2025. Quality (KEN83) APS 4277 cupped 11th Dec'24. Packed in grainpro</t>
  </si>
  <si>
    <t>AA THIRIKU THIRIKU-10SM0006, APS 4410. Packed in 60Kg Grainpro.</t>
  </si>
  <si>
    <t>AB THIRIKU THIRIKU-10SM0006, APS 4411. Packed in 60Kg Grainpro.</t>
  </si>
  <si>
    <t>AB FAQ.As Per Sample 4152. Packed in Grainpro.</t>
  </si>
  <si>
    <t>Heinrich Christen Gmbh</t>
  </si>
  <si>
    <t>KENYA AB INOI FCS KAGUYU-09KN0033.APS 4328. Packed in 30Kg Grainpro.</t>
  </si>
  <si>
    <t>KENYA AA KANGIRI FCS GATUMBI-09SM0010.APS 4347. Packed in 30Kg Grainpro.</t>
  </si>
  <si>
    <t>KENYA AA KANGIRI FCS KANGURUMAI-09SM0009.APS 4349.Packed in 30Kg Grainpro.</t>
  </si>
  <si>
    <t>KENYA AA BARAGWI FCS RWAMBITI-09SM0003.APS 4353. Packed in 30Kg Grainpro</t>
  </si>
  <si>
    <t>KENYA AA NEW GIKARU KAHURO-08SM0030APS 4363. Packed in 30Kg Grainpro.</t>
  </si>
  <si>
    <t>KENYA AB INOI FCS -10KN1000.APS 4340. Packed in 60Kg Grainpro.</t>
  </si>
  <si>
    <t>KENYA AA KANGIRI FCS GATUMBI-09SM0010.APS 4347.Packed in 30Kg Vacuum Pack.</t>
  </si>
  <si>
    <t>KENYA AA BARAGWI FCS RWAMBITI-09SM0003APS 4353.Packed in 30Kg Vacuum Pack.</t>
  </si>
  <si>
    <t>KENYA AB KANGIRI FCS KANGURUMAI-09SM0009APS 4353.Packed in 30Kg Vacuum Pack.</t>
  </si>
  <si>
    <t>AA Baragwi Thimu 034  #034, 10SM0034,APS.(32 Boxes of 30Kg Vacuum Pack).</t>
  </si>
  <si>
    <t>AA Inoi Kianderi.APS. Packed in Grainpro.</t>
  </si>
  <si>
    <t>KENYA AB RUNG'ETO KII-12KN0015.Packed in 60Kg Grainpro.</t>
  </si>
  <si>
    <t>KENYA AA THIRIKWA GAKUYUINI-12IM0095.Packed in 60Kg Grainpro.</t>
  </si>
  <si>
    <t>KENYA PB KII.Packed in 60Kg Grainpro.</t>
  </si>
  <si>
    <t>KENYA AA THIRIKU-16SM0075.Packed in 60Kg Grainpro.</t>
  </si>
  <si>
    <t>KENYA AA  GICHIKA-10KF0088.Packed in 60Kg Grainpro.</t>
  </si>
  <si>
    <t>ENDEBESS NATURAL.Packed in 60Kg Grainpro.</t>
  </si>
  <si>
    <t>AB Plus RA-IP (Paulig quality)</t>
  </si>
  <si>
    <t>AA Gichuna. Packed in 60Kg GrainPro.PSS needed.</t>
  </si>
  <si>
    <t>AA RUNGETO 06KN0015,  As Per Sample 4295  ( 45 bags of 60 kg GrainPro )</t>
  </si>
  <si>
    <t>KE-25-0163</t>
  </si>
  <si>
    <t>KE-25-0170</t>
  </si>
  <si>
    <t>KE-25-0193</t>
  </si>
  <si>
    <t>KE-25-0192</t>
  </si>
  <si>
    <t>KE-25-0205</t>
  </si>
  <si>
    <t>KE-25-0201</t>
  </si>
  <si>
    <t>KE-25-0208</t>
  </si>
  <si>
    <t>KE-25-0197</t>
  </si>
  <si>
    <t>KE-25-0211</t>
  </si>
  <si>
    <t>KE-25-0212</t>
  </si>
  <si>
    <t>KE-25-0213</t>
  </si>
  <si>
    <t>KE-25-0189</t>
  </si>
  <si>
    <t>AA IYEGO-10SM0025 .APS 5083 .Packed in 60Kg GrainPro.PSS Needed.</t>
  </si>
  <si>
    <t>AA NGERWE-13IM0045, APS 5084.Packed in 60Kg GrainPro.PSS Needed.</t>
  </si>
  <si>
    <t>AB,  KATHAKWA/XBD01F01.14IM0031.APS 6056. 130 boxes of 30Kg Vacuum Pack.PSS Needed.</t>
  </si>
  <si>
    <t>AA, KIRIMAHIGA/XAB72F03.11KF0012.APS 6318.60 boxes of 30Kg Vacuum PackPSS Needed.</t>
  </si>
  <si>
    <t>AA KII-12KN0019.APS 5146. 42 Boxes Packed in 30Kg Vacuum Pack.</t>
  </si>
  <si>
    <t xml:space="preserve">AA GAKUYUINI 15SM0107,APS 5063.Packed in 60kg GrainPro </t>
  </si>
  <si>
    <t xml:space="preserve">Grinders </t>
  </si>
  <si>
    <t>Type Billy,BULK.</t>
  </si>
  <si>
    <t>AB FAQ, No PSS needed</t>
  </si>
  <si>
    <t xml:space="preserve"> KE03-IB21A </t>
  </si>
  <si>
    <t xml:space="preserve"> KE03-IB21B </t>
  </si>
  <si>
    <t xml:space="preserve">Biashara RA-IP. </t>
  </si>
  <si>
    <t>Natural, APS 5960</t>
  </si>
  <si>
    <t>AB Top RA-IP. APS 5219/5220.IN BULK</t>
  </si>
  <si>
    <t xml:space="preserve">Mara Minus RA-IP </t>
  </si>
  <si>
    <t>Endebess Natural, APS 4954. Packed in 60Kg Grainpro. PSS Required.</t>
  </si>
  <si>
    <t>25.04.25</t>
  </si>
  <si>
    <t>Bennets</t>
  </si>
  <si>
    <t>Kenya Blacks, APS 6046</t>
  </si>
  <si>
    <t>Copro café</t>
  </si>
  <si>
    <t>Mara Minus, APS</t>
  </si>
  <si>
    <t>AA Baragwi Thimu, APS 6051, Packed in Vacuum Pack</t>
  </si>
  <si>
    <t>AA FAQ Kirinyaga. Packed in 60Kg Grainpro.</t>
  </si>
  <si>
    <t>JDE AB FAG RA-IP Crop 25/26</t>
  </si>
  <si>
    <t>JDE AB FAQ Crop 25/26</t>
  </si>
  <si>
    <t>Rwanda AB Plus Ingagi scr 15.  EUDR Aligned. Pcked in 60kg Ecotact.</t>
  </si>
  <si>
    <t>G25-KE09-IB11A</t>
  </si>
  <si>
    <t>AA KIAMA-06iM0061, GACHUIRO factory. As per sample 6205.(50 Boxes packed in 30kg Vacuum pack)</t>
  </si>
  <si>
    <t>AB KIAMA-06iM0061, GACHUIRO factory. As per sample 6199.(50 Boxes packed in 30kg Vacuum pack)</t>
  </si>
  <si>
    <t>AB THIRIRIKA-06iM0061, GITHEMBE factory. As per sample 6196.(32 Boxes packed in 30kg Vacuum pack)</t>
  </si>
  <si>
    <t> </t>
  </si>
  <si>
    <t>5359C</t>
  </si>
  <si>
    <t>5359E</t>
  </si>
  <si>
    <t>HLCUMB1251200625</t>
  </si>
  <si>
    <t>407 0446 564</t>
  </si>
  <si>
    <t>Wec FCL/FCL</t>
  </si>
  <si>
    <t>CMA/CGM FCL/FCL</t>
  </si>
  <si>
    <t>Hapag FCL/FCL</t>
  </si>
  <si>
    <t>Hapag FCL/FCL 40' Reefer Container</t>
  </si>
  <si>
    <t>MSC Mediterranean</t>
  </si>
  <si>
    <t xml:space="preserve">Ubena </t>
  </si>
  <si>
    <t>Kota Gandang</t>
  </si>
  <si>
    <t>ONE Atlas</t>
  </si>
  <si>
    <t>MSC Wind II</t>
  </si>
  <si>
    <t>MEDUM2715388</t>
  </si>
  <si>
    <t>MEDUM2716477</t>
  </si>
  <si>
    <t>MEDUM2722533</t>
  </si>
  <si>
    <t>MEDUM2722525</t>
  </si>
  <si>
    <t>WECC2588HAM1215</t>
  </si>
  <si>
    <t>MEDUM2745963</t>
  </si>
  <si>
    <t>MEDU2742689</t>
  </si>
  <si>
    <t>MEDUM2757836</t>
  </si>
  <si>
    <t>MEDUM2761044</t>
  </si>
  <si>
    <t>NBI0120633</t>
  </si>
  <si>
    <t>HLCUMB1250500675</t>
  </si>
  <si>
    <t>HLCUMB1250402131</t>
  </si>
  <si>
    <t>ONEYMBAF00555700</t>
  </si>
  <si>
    <t>0000453NBO</t>
  </si>
  <si>
    <t>ONEYMBAF00569500</t>
  </si>
  <si>
    <t>MEDUM2764428</t>
  </si>
  <si>
    <t>MEDUM2769773</t>
  </si>
  <si>
    <t>2832 4308 56</t>
  </si>
  <si>
    <t>78 2417 9344</t>
  </si>
  <si>
    <t>16 9768 0180</t>
  </si>
  <si>
    <t>5739 910 842</t>
  </si>
  <si>
    <t>70 2316 5564</t>
  </si>
  <si>
    <t>31 6715 2785</t>
  </si>
  <si>
    <t>19 5728 3996</t>
  </si>
  <si>
    <t>4086 065 734</t>
  </si>
  <si>
    <t>WECC2688BRE1037</t>
  </si>
  <si>
    <t>WECC2688LEH1060</t>
  </si>
  <si>
    <t>Pending Booking</t>
  </si>
  <si>
    <t>WECC2688HAM1236</t>
  </si>
  <si>
    <t>ONEYMBAG02098500</t>
  </si>
  <si>
    <t>NBI0122997</t>
  </si>
  <si>
    <t>WECC2688GOT1063</t>
  </si>
  <si>
    <t>MEDUM2940580</t>
  </si>
  <si>
    <t>WECC2688GVX1001</t>
  </si>
  <si>
    <t>074IMB0018090</t>
  </si>
  <si>
    <t>Al Faydah 0001N</t>
  </si>
  <si>
    <t>MSC Roberta V OM639R</t>
  </si>
  <si>
    <t>MSC Long Beach VI OM641R</t>
  </si>
  <si>
    <t xml:space="preserve">REN JIAN 26 / 640N </t>
  </si>
  <si>
    <t>074IMB0017785 </t>
  </si>
  <si>
    <t>Delayed sailing</t>
  </si>
  <si>
    <t>Food Grade Container Shortages</t>
  </si>
  <si>
    <t>Late PSS Approval Results |Coffee supply constraints</t>
  </si>
  <si>
    <t>Coffee supply constraints</t>
  </si>
  <si>
    <t>Freight Charges from Sline | C&amp;F Confirmation |Space Contraints</t>
  </si>
  <si>
    <t>Freight Charges from Sline</t>
  </si>
  <si>
    <t>Starbucks Stuffing Priority  |Vessel Schedule Changes</t>
  </si>
  <si>
    <t>Starbucks Stuffing Priority  |Food Grade Container Shortages</t>
  </si>
  <si>
    <t>PSS Results Delay|Replacement Sample Sent | Food Grade Container Shortages</t>
  </si>
  <si>
    <t>PSS Results Delay</t>
  </si>
  <si>
    <t>Coffee supply constraints |Delayed PSS Results</t>
  </si>
  <si>
    <t xml:space="preserve">Replacement PSS </t>
  </si>
  <si>
    <t xml:space="preserve">Starbucks Stuffing Priority </t>
  </si>
  <si>
    <t xml:space="preserve">Coffee supply constraints | Vessel Schedule </t>
  </si>
  <si>
    <t>PSS Results Delay|Replacement Sample Sent</t>
  </si>
  <si>
    <t>Late PSS Approval Results |Vessel Schedule Changes</t>
  </si>
  <si>
    <t>Late Shipping Instructions from client|Inspections on ground|Replacement PSS sent</t>
  </si>
  <si>
    <t xml:space="preserve"> Contract Date |Late PSS Approval Results </t>
  </si>
  <si>
    <t>Origin County</t>
  </si>
  <si>
    <t>27/10/2026</t>
  </si>
  <si>
    <t>U1-51766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</si>
</sst>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_(* #,##0.00_);_(* \(#,##0.00\);_(* &quot;-&quot;??_);_(@_)"/>
    <numFmt numFmtId="165" formatCode="#,##0.0000"/>
    <numFmt numFmtId="166" formatCode="0.0000%"/>
    <numFmt numFmtId="167" formatCode="\$#,##0;&quot;($&quot;#,##0\);\-"/>
    <numFmt numFmtId="168" formatCode="[$-409]d\-mmm\-yy;@"/>
  </numFmts>
  <fonts count="23">
    <font>
      <sz val="11"/>
      <color theme="1"/>
      <name val="Calibri"/>
      <family val="2"/>
      <charset val="1"/>
    </font>
    <font>
      <i/>
      <sz val="9"/>
      <color rgb="FF595959"/>
      <name val="Arial"/>
      <family val="2"/>
    </font>
    <font>
      <b/>
      <sz val="10"/>
      <name val="Arial"/>
      <family val="2"/>
    </font>
    <font>
      <sz val="10"/>
      <name val="Arial"/>
      <family val="2"/>
    </font>
    <font>
      <b/>
      <sz val="10"/>
      <color rgb="FFFFFFFF"/>
      <name val="Arial"/>
      <family val="2"/>
    </font>
    <font>
      <sz val="10"/>
      <color rgb="FF1F4E78"/>
      <name val="Arial"/>
      <family val="2"/>
    </font>
    <font>
      <i/>
      <sz val="9"/>
      <color rgb="FFA6A6A6"/>
      <name val="Arial"/>
      <family val="2"/>
    </font>
    <font>
      <sz val="10"/>
      <color rgb="FF0000FF"/>
      <name val="Arial"/>
      <family val="2"/>
    </font>
    <font>
      <sz val="11"/>
      <color rgb="FF000000"/>
      <name val="Calibri"/>
      <family val="2"/>
      <charset val="1"/>
    </font>
    <font>
      <sz val="11"/>
      <color rgb="FF000000"/>
      <name val="Aptos Narrow"/>
      <family val="2"/>
      <charset val="1"/>
    </font>
    <font>
      <sz val="9"/>
      <color rgb="FF444444"/>
      <name val="Roboto"/>
      <family val="2"/>
      <charset val="1"/>
    </font>
    <font>
      <sz val="11"/>
      <name val="Calibri"/>
      <family val="2"/>
      <charset val="1"/>
    </font>
    <font>
      <b/>
      <sz val="11"/>
      <color theme="0"/>
      <name val="Calibri"/>
      <family val="2"/>
      <scheme val="minor"/>
    </font>
    <font>
      <sz val="11"/>
      <color theme="1"/>
      <name val="Calibri"/>
      <family val="2"/>
      <charset val="1"/>
    </font>
    <font>
      <sz val="11"/>
      <color rgb="FF006100"/>
      <name val="Calibri"/>
      <family val="2"/>
      <scheme val="minor"/>
    </font>
    <font>
      <b/>
      <sz val="10"/>
      <color theme="1"/>
      <name val="Arial"/>
      <family val="2"/>
    </font>
    <font>
      <b/>
      <sz val="11"/>
      <color theme="1"/>
      <name val="Calibri"/>
      <family val="2"/>
      <charset val="1"/>
    </font>
    <font>
      <sz val="11"/>
      <color theme="1"/>
      <name val="Segoe UI"/>
      <family val="2"/>
    </font>
    <font>
      <sz val="11"/>
      <color rgb="FF242424"/>
      <name val="Aptos Narrow"/>
      <charset val="1"/>
    </font>
    <font>
      <sz val="11"/>
      <color rgb="FF006100"/>
      <name val="Calibri"/>
      <scheme val="minor"/>
    </font>
    <font>
      <b/>
      <sz val="10"/>
      <color rgb="FFFFFFFF"/>
      <name val="Arial"/>
    </font>
    <font>
      <sz val="11"/>
      <name val="Aptos Display"/>
    </font>
    <font>
      <b/>
      <sz val="11"/>
      <color theme="0"/>
      <name val="Calibri"/>
      <scheme val="minor"/>
    </font>
  </fonts>
  <fills count="11">
    <fill>
      <patternFill patternType="none"/>
    </fill>
    <fill>
      <patternFill patternType="gray125"/>
    </fill>
    <fill>
      <patternFill patternType="solid">
        <fgColor rgb="FFFFF2CC"/>
        <bgColor rgb="FFE2EFDA"/>
      </patternFill>
    </fill>
    <fill>
      <patternFill patternType="solid">
        <fgColor rgb="FF1F4E78"/>
        <bgColor rgb="FF003366"/>
      </patternFill>
    </fill>
    <fill>
      <patternFill patternType="solid">
        <fgColor rgb="FFDDEBF7"/>
        <bgColor rgb="FFE2EFDA"/>
      </patternFill>
    </fill>
    <fill>
      <patternFill patternType="solid">
        <fgColor rgb="FFC6E0B4"/>
        <bgColor rgb="FFE2EFDA"/>
      </patternFill>
    </fill>
    <fill>
      <patternFill patternType="solid">
        <fgColor rgb="FFE2EFDA"/>
        <bgColor rgb="FFDDEBF7"/>
      </patternFill>
    </fill>
    <fill>
      <patternFill patternType="solid">
        <fgColor rgb="FFFFFF00"/>
        <bgColor indexed="64"/>
      </patternFill>
    </fill>
    <fill>
      <patternFill patternType="solid">
        <fgColor rgb="FF002060"/>
        <bgColor indexed="64"/>
      </patternFill>
    </fill>
    <fill>
      <patternFill patternType="solid">
        <fgColor rgb="FFC6EFCE"/>
      </patternFill>
    </fill>
    <fill>
      <patternFill patternType="solid">
        <fgColor rgb="FFFFFFCC"/>
      </patternFill>
    </fill>
  </fills>
  <borders count="8">
    <border>
      <left/>
      <right/>
      <top/>
      <bottom/>
      <diagonal/>
    </border>
    <border>
      <left style="thin">
        <color rgb="FFBFBFBF"/>
      </left>
      <right style="thin">
        <color rgb="FFBFBFBF"/>
      </right>
      <top style="thin">
        <color rgb="FFBFBFBF"/>
      </top>
      <bottom style="thin">
        <color rgb="FFBFBFBF"/>
      </bottom>
      <diagonal/>
    </border>
    <border>
      <left/>
      <right style="thin">
        <color rgb="FFBFBFBF"/>
      </right>
      <top style="thin">
        <color rgb="FFBFBFBF"/>
      </top>
      <bottom style="thin">
        <color rgb="FFBFBFBF"/>
      </bottom>
      <diagonal/>
    </border>
    <border>
      <left style="thin">
        <color rgb="FFBFBFBF"/>
      </left>
      <right style="thin">
        <color rgb="FFBFBFBF"/>
      </right>
      <top/>
      <bottom style="thin">
        <color rgb="FFBFBFBF"/>
      </bottom>
      <diagonal/>
    </border>
    <border>
      <left/>
      <right style="thin">
        <color rgb="FFBFBFBF"/>
      </right>
      <top/>
      <bottom style="thin">
        <color rgb="FFBFBFBF"/>
      </bottom>
      <diagonal/>
    </border>
    <border>
      <left style="thin">
        <color rgb="FFBFBFBF"/>
      </left>
      <right/>
      <top style="thin">
        <color rgb="FFBFBFBF"/>
      </top>
      <bottom style="thin">
        <color rgb="FFBFBFBF"/>
      </bottom>
      <diagonal/>
    </border>
    <border>
      <left/>
      <right/>
      <top style="thin">
        <color rgb="FFBFBFBF"/>
      </top>
      <bottom style="thin">
        <color rgb="FFBFBFBF"/>
      </bottom>
      <diagonal/>
    </border>
    <border>
      <left style="thin">
        <color rgb="FFB2B2B2"/>
      </left>
      <right style="thin">
        <color rgb="FFB2B2B2"/>
      </right>
      <top style="thin">
        <color rgb="FFB2B2B2"/>
      </top>
      <bottom style="thin">
        <color rgb="FFB2B2B2"/>
      </bottom>
      <diagonal/>
    </border>
  </borders>
  <cellStyleXfs count="4">
    <xf numFmtId="0" fontId="0" fillId="0" borderId="0"/>
    <xf numFmtId="0" fontId="14" fillId="9" borderId="0" applyNumberFormat="0" applyBorder="0" applyAlignment="0" applyProtection="0"/>
    <xf numFmtId="0" fontId="13" fillId="10" borderId="7" applyNumberFormat="0" applyFont="0" applyAlignment="0" applyProtection="0"/>
    <xf numFmtId="0" fontId="3" fillId="0" borderId="0"/>
  </cellStyleXfs>
  <cellXfs count="76">
    <xf numFmtId="0" fontId="0" fillId="0" borderId="0" xfId="0"/>
    <xf numFmtId="0" fontId="4" fillId="3" borderId="1" xfId="0" applyFont="1" applyFill="1" applyBorder="1" applyAlignment="1">
      <alignment horizontal="center" vertical="center" wrapText="1"/>
    </xf>
    <xf numFmtId="0" fontId="1" fillId="0" borderId="0" xfId="0" applyFont="1"/>
    <xf numFmtId="0" fontId="2" fillId="2" borderId="1" xfId="0" applyFont="1" applyFill="1" applyBorder="1" applyAlignment="1">
      <alignment horizontal="center"/>
    </xf>
    <xf numFmtId="0" fontId="3" fillId="0" borderId="0" xfId="0" applyFont="1"/>
    <xf numFmtId="0" fontId="3" fillId="0" borderId="1" xfId="0" applyFont="1" applyBorder="1"/>
    <xf numFmtId="165" fontId="5" fillId="4" borderId="1" xfId="0" applyNumberFormat="1" applyFont="1" applyFill="1" applyBorder="1"/>
    <xf numFmtId="0" fontId="6" fillId="0" borderId="1" xfId="0" applyFont="1" applyBorder="1" applyAlignment="1">
      <alignment horizontal="center"/>
    </xf>
    <xf numFmtId="165" fontId="3" fillId="0" borderId="1" xfId="0" applyNumberFormat="1" applyFont="1" applyBorder="1"/>
    <xf numFmtId="166" fontId="5" fillId="4" borderId="1" xfId="0" applyNumberFormat="1" applyFont="1" applyFill="1" applyBorder="1"/>
    <xf numFmtId="166" fontId="3" fillId="0" borderId="1" xfId="0" applyNumberFormat="1" applyFont="1" applyBorder="1"/>
    <xf numFmtId="0" fontId="7" fillId="5" borderId="1" xfId="0" applyFont="1" applyFill="1" applyBorder="1"/>
    <xf numFmtId="0" fontId="4" fillId="3" borderId="1" xfId="0" applyFont="1" applyFill="1" applyBorder="1" applyAlignment="1">
      <alignment horizontal="left" vertical="center" wrapText="1"/>
    </xf>
    <xf numFmtId="0" fontId="0" fillId="0" borderId="0" xfId="0" applyAlignment="1">
      <alignment horizontal="left"/>
    </xf>
    <xf numFmtId="3" fontId="5" fillId="4" borderId="1" xfId="0" applyNumberFormat="1" applyFont="1" applyFill="1" applyBorder="1" applyAlignment="1">
      <alignment horizontal="left"/>
    </xf>
    <xf numFmtId="167" fontId="3" fillId="5" borderId="1" xfId="0" applyNumberFormat="1" applyFont="1" applyFill="1" applyBorder="1" applyAlignment="1">
      <alignment horizontal="left" vertical="center"/>
    </xf>
    <xf numFmtId="0" fontId="4" fillId="3" borderId="1" xfId="0" applyFont="1" applyFill="1" applyBorder="1" applyAlignment="1">
      <alignment wrapText="1"/>
    </xf>
    <xf numFmtId="0" fontId="4" fillId="3" borderId="2" xfId="0" applyFont="1" applyFill="1" applyBorder="1" applyAlignment="1">
      <alignment wrapText="1"/>
    </xf>
    <xf numFmtId="0" fontId="3" fillId="6" borderId="3" xfId="0" applyFont="1" applyFill="1" applyBorder="1"/>
    <xf numFmtId="0" fontId="3" fillId="6" borderId="4" xfId="0" applyFont="1" applyFill="1" applyBorder="1"/>
    <xf numFmtId="0" fontId="3" fillId="0" borderId="3" xfId="0" applyFont="1" applyBorder="1"/>
    <xf numFmtId="0" fontId="3" fillId="0" borderId="4" xfId="0" applyFont="1" applyBorder="1"/>
    <xf numFmtId="0" fontId="8" fillId="0" borderId="0" xfId="0" applyFont="1"/>
    <xf numFmtId="3" fontId="0" fillId="0" borderId="0" xfId="0" applyNumberFormat="1" applyAlignment="1">
      <alignment horizontal="left"/>
    </xf>
    <xf numFmtId="0" fontId="0" fillId="0" borderId="1" xfId="0" applyBorder="1" applyAlignment="1">
      <alignment horizontal="left"/>
    </xf>
    <xf numFmtId="167" fontId="3" fillId="5" borderId="0" xfId="0" applyNumberFormat="1" applyFont="1" applyFill="1" applyAlignment="1">
      <alignment horizontal="left" vertical="center"/>
    </xf>
    <xf numFmtId="0" fontId="0" fillId="7" borderId="0" xfId="0" applyFill="1" applyAlignment="1">
      <alignment horizontal="left"/>
    </xf>
    <xf numFmtId="3" fontId="0" fillId="7" borderId="0" xfId="0" applyNumberFormat="1" applyFill="1" applyAlignment="1">
      <alignment horizontal="left"/>
    </xf>
    <xf numFmtId="167" fontId="3" fillId="7" borderId="1" xfId="0" applyNumberFormat="1" applyFont="1" applyFill="1" applyBorder="1" applyAlignment="1">
      <alignment horizontal="left" vertical="center"/>
    </xf>
    <xf numFmtId="0" fontId="9" fillId="0" borderId="0" xfId="0" applyFont="1"/>
    <xf numFmtId="0" fontId="10" fillId="0" borderId="0" xfId="0" applyFont="1"/>
    <xf numFmtId="168" fontId="0" fillId="0" borderId="0" xfId="0" applyNumberFormat="1" applyAlignment="1">
      <alignment horizontal="left"/>
    </xf>
    <xf numFmtId="168" fontId="4" fillId="3" borderId="1" xfId="0" applyNumberFormat="1" applyFont="1" applyFill="1" applyBorder="1" applyAlignment="1">
      <alignment horizontal="left" vertical="center" wrapText="1"/>
    </xf>
    <xf numFmtId="0" fontId="11" fillId="0" borderId="0" xfId="0" applyFont="1" applyAlignment="1">
      <alignment horizontal="left"/>
    </xf>
    <xf numFmtId="168" fontId="0" fillId="7" borderId="0" xfId="0" applyNumberFormat="1" applyFill="1" applyAlignment="1">
      <alignment horizontal="left"/>
    </xf>
    <xf numFmtId="168" fontId="5" fillId="4" borderId="1" xfId="0" applyNumberFormat="1" applyFont="1" applyFill="1" applyBorder="1" applyAlignment="1">
      <alignment horizontal="left"/>
    </xf>
    <xf numFmtId="168" fontId="0" fillId="0" borderId="1" xfId="0" applyNumberFormat="1" applyBorder="1" applyAlignment="1">
      <alignment horizontal="left"/>
    </xf>
    <xf numFmtId="168" fontId="5" fillId="4" borderId="0" xfId="0" applyNumberFormat="1" applyFont="1" applyFill="1" applyAlignment="1">
      <alignment horizontal="left"/>
    </xf>
    <xf numFmtId="168" fontId="5" fillId="7" borderId="0" xfId="0" applyNumberFormat="1" applyFont="1" applyFill="1" applyAlignment="1">
      <alignment horizontal="left"/>
    </xf>
    <xf numFmtId="168" fontId="11" fillId="0" borderId="0" xfId="0" applyNumberFormat="1" applyFont="1" applyAlignment="1">
      <alignment horizontal="left"/>
    </xf>
    <xf numFmtId="168" fontId="11" fillId="7" borderId="0" xfId="0" applyNumberFormat="1" applyFont="1" applyFill="1" applyAlignment="1">
      <alignment horizontal="left"/>
    </xf>
    <xf numFmtId="168" fontId="11" fillId="0" borderId="0" xfId="0" applyNumberFormat="1" applyFont="1" applyAlignment="1">
      <alignment horizontal="left" vertical="top"/>
    </xf>
    <xf numFmtId="164" fontId="4" fillId="3" borderId="1" xfId="0" applyNumberFormat="1" applyFont="1" applyFill="1" applyBorder="1" applyAlignment="1">
      <alignment horizontal="left" vertical="center" wrapText="1"/>
    </xf>
    <xf numFmtId="164" fontId="11" fillId="0" borderId="0" xfId="0" applyNumberFormat="1" applyFont="1" applyAlignment="1">
      <alignment horizontal="left"/>
    </xf>
    <xf numFmtId="164" fontId="0" fillId="0" borderId="0" xfId="0" applyNumberFormat="1" applyAlignment="1">
      <alignment horizontal="left"/>
    </xf>
    <xf numFmtId="0" fontId="12" fillId="8" borderId="0" xfId="0" applyFont="1" applyFill="1"/>
    <xf numFmtId="168" fontId="14" fillId="9" borderId="1" xfId="1" applyNumberFormat="1" applyBorder="1" applyAlignment="1">
      <alignment horizontal="left" vertical="center" wrapText="1"/>
    </xf>
    <xf numFmtId="168" fontId="14" fillId="9" borderId="0" xfId="1" applyNumberFormat="1" applyAlignment="1">
      <alignment horizontal="left"/>
    </xf>
    <xf numFmtId="0" fontId="0" fillId="10" borderId="7" xfId="2" applyFont="1" applyAlignment="1">
      <alignment horizontal="left"/>
    </xf>
    <xf numFmtId="0" fontId="15" fillId="10" borderId="7" xfId="2" applyFont="1" applyAlignment="1">
      <alignment horizontal="left" vertical="center" wrapText="1"/>
    </xf>
    <xf numFmtId="1" fontId="0" fillId="0" borderId="0" xfId="0" applyNumberFormat="1" applyAlignment="1">
      <alignment horizontal="left"/>
    </xf>
    <xf numFmtId="164" fontId="0" fillId="7" borderId="0" xfId="0" applyNumberFormat="1" applyFill="1" applyAlignment="1">
      <alignment horizontal="left"/>
    </xf>
    <xf numFmtId="0" fontId="16" fillId="0" borderId="0" xfId="0" applyFont="1"/>
    <xf numFmtId="3" fontId="0" fillId="0" borderId="0" xfId="0" applyNumberFormat="1"/>
    <xf numFmtId="0" fontId="17" fillId="0" borderId="0" xfId="0" applyFont="1"/>
    <xf numFmtId="0" fontId="0" fillId="0" borderId="0" xfId="0" applyAlignment="1">
      <alignment horizontal="center"/>
    </xf>
    <xf numFmtId="0" fontId="0" fillId="7" borderId="0" xfId="0" applyFill="1" applyAlignment="1">
      <alignment horizontal="center"/>
    </xf>
    <xf numFmtId="168" fontId="4" fillId="3" borderId="1" xfId="0" applyNumberFormat="1" applyFont="1" applyFill="1" applyBorder="1" applyAlignment="1">
      <alignment horizontal="center" vertical="center" wrapText="1"/>
    </xf>
    <xf numFmtId="168" fontId="0" fillId="0" borderId="0" xfId="0" applyNumberFormat="1" applyAlignment="1">
      <alignment horizontal="center"/>
    </xf>
    <xf numFmtId="0" fontId="18" fillId="0" borderId="0" xfId="0" applyFont="1"/>
    <xf numFmtId="0" fontId="4" fillId="3" borderId="1" xfId="0" applyFont="1" applyFill="1" applyBorder="1" applyAlignment="1">
      <alignment horizontal="center" vertical="center" wrapText="1"/>
    </xf>
    <xf numFmtId="4" fontId="3" fillId="0" borderId="1" xfId="0" applyNumberFormat="1" applyFont="1" applyBorder="1"/>
    <xf numFmtId="3" fontId="7" fillId="5" borderId="1" xfId="0" applyNumberFormat="1" applyFont="1" applyFill="1" applyBorder="1" applyAlignment="1">
      <alignment horizontal="right"/>
    </xf>
    <xf numFmtId="0" fontId="7" fillId="5" borderId="5" xfId="0" applyFont="1" applyFill="1" applyBorder="1" applyAlignment="1">
      <alignment horizontal="center"/>
    </xf>
    <xf numFmtId="0" fontId="7" fillId="5" borderId="6" xfId="0" applyFont="1" applyFill="1" applyBorder="1" applyAlignment="1">
      <alignment horizontal="center"/>
    </xf>
    <xf numFmtId="0" fontId="7" fillId="5" borderId="2" xfId="0" applyFont="1" applyFill="1" applyBorder="1" applyAlignment="1">
      <alignment horizontal="center"/>
    </xf>
    <xf numFmtId="0" fontId="7" fillId="5" borderId="1" xfId="0" applyFont="1" applyFill="1" applyBorder="1" applyAlignment="1">
      <alignment horizontal="center"/>
    </xf>
    <xf numFmtId="0" fontId="4" fillId="3" borderId="5" xfId="0" applyFont="1" applyFill="1" applyBorder="1" applyAlignment="1">
      <alignment horizontal="center" vertical="center" wrapText="1"/>
    </xf>
    <xf numFmtId="0" fontId="4" fillId="3" borderId="6" xfId="0" applyFont="1" applyFill="1" applyBorder="1" applyAlignment="1">
      <alignment horizontal="center" vertical="center" wrapText="1"/>
    </xf>
    <xf numFmtId="0" fontId="4" fillId="3" borderId="2" xfId="0" applyFont="1" applyFill="1" applyBorder="1" applyAlignment="1">
      <alignment horizontal="center" vertical="center" wrapText="1"/>
    </xf>
    <xf numFmtId="168" fontId="19" fillId="9" borderId="1" xfId="1" applyNumberFormat="1" applyFont="1" applyBorder="1" applyAlignment="1">
      <alignment horizontal="left" vertical="center" wrapText="1"/>
    </xf>
    <xf numFmtId="168" fontId="19" fillId="9" borderId="0" xfId="1" applyNumberFormat="1" applyFont="1" applyAlignment="1">
      <alignment horizontal="left"/>
    </xf>
    <xf numFmtId="0" fontId="20" fillId="3" borderId="1" xfId="0" applyFont="1" applyFill="1" applyBorder="1" applyAlignment="1">
      <alignment horizontal="left" vertical="center" wrapText="1"/>
    </xf>
    <xf numFmtId="49" fontId="21" fillId="0" borderId="0" xfId="0" applyNumberFormat="1" applyFont="1"/>
    <xf numFmtId="0" fontId="22" fillId="8" borderId="0" xfId="0" applyFont="1" applyFill="1"/>
    <xf numFmtId="168" fontId="20" fillId="3" borderId="1" xfId="0" applyNumberFormat="1" applyFont="1" applyFill="1" applyBorder="1" applyAlignment="1">
      <alignment horizontal="left" vertical="center" wrapText="1"/>
    </xf>
  </cellXfs>
  <cellStyles count="4">
    <cellStyle name="Good" xfId="1" builtinId="26"/>
    <cellStyle name="Normal" xfId="0" builtinId="0"/>
    <cellStyle name="Normal 103" xfId="3" xr:uid="{C4BE746D-4571-463F-8B9B-FF5EA8EA9807}"/>
    <cellStyle name="Note" xfId="2" builtinId="1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9C0006"/>
      <rgbColor rgb="FF008000"/>
      <rgbColor rgb="FF000080"/>
      <rgbColor rgb="FF808000"/>
      <rgbColor rgb="FF800080"/>
      <rgbColor rgb="FF008080"/>
      <rgbColor rgb="FFBFBFBF"/>
      <rgbColor rgb="FF808080"/>
      <rgbColor rgb="FF9999FF"/>
      <rgbColor rgb="FF993366"/>
      <rgbColor rgb="FFFFF2CC"/>
      <rgbColor rgb="FFDDEBF7"/>
      <rgbColor rgb="FF660066"/>
      <rgbColor rgb="FFFF8080"/>
      <rgbColor rgb="FF0066CC"/>
      <rgbColor rgb="FFC6E0B4"/>
      <rgbColor rgb="FF000080"/>
      <rgbColor rgb="FFFF00FF"/>
      <rgbColor rgb="FFFFFF00"/>
      <rgbColor rgb="FF00FFFF"/>
      <rgbColor rgb="FF800080"/>
      <rgbColor rgb="FF800000"/>
      <rgbColor rgb="FF008080"/>
      <rgbColor rgb="FF0000FF"/>
      <rgbColor rgb="FF00CCFF"/>
      <rgbColor rgb="FFCCFFFF"/>
      <rgbColor rgb="FFE2EFDA"/>
      <rgbColor rgb="FFFFFF99"/>
      <rgbColor rgb="FF99CCFF"/>
      <rgbColor rgb="FFFF99CC"/>
      <rgbColor rgb="FFCC99FF"/>
      <rgbColor rgb="FFFFC7CE"/>
      <rgbColor rgb="FF3366FF"/>
      <rgbColor rgb="FF33CCCC"/>
      <rgbColor rgb="FF99CC00"/>
      <rgbColor rgb="FFFFCC00"/>
      <rgbColor rgb="FFFF9900"/>
      <rgbColor rgb="FFFF6600"/>
      <rgbColor rgb="FF595959"/>
      <rgbColor rgb="FFA6A6A6"/>
      <rgbColor rgb="FF003366"/>
      <rgbColor rgb="FF339966"/>
      <rgbColor rgb="FF003300"/>
      <rgbColor rgb="FF333300"/>
      <rgbColor rgb="FF993300"/>
      <rgbColor rgb="FF993366"/>
      <rgbColor rgb="FF1F4E78"/>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microsoft.com/office/2017/06/relationships/rdRichValueStructure" Target="richData/rdrichvaluestructure.xml"/><Relationship Id="rId18" Type="http://schemas.microsoft.com/office/2017/06/relationships/rdRichValueTypes" Target="richData/rdRichValueTypes.xml"/><Relationship Id="rId3" Type="http://schemas.openxmlformats.org/officeDocument/2006/relationships/worksheet" Target="worksheets/sheet3.xml"/><Relationship Id="rId21" Type="http://schemas.openxmlformats.org/officeDocument/2006/relationships/customXml" Target="../customXml/item1.xml"/><Relationship Id="rId7" Type="http://schemas.openxmlformats.org/officeDocument/2006/relationships/theme" Target="theme/theme1.xml"/><Relationship Id="rId12" Type="http://schemas.microsoft.com/office/2017/06/relationships/rdRichValue" Target="richData/rdrichvalue.xml"/><Relationship Id="rId17" Type="http://schemas.microsoft.com/office/2017/06/relationships/rdSupportingPropertyBag" Target="richData/rdsupportingpropertybag.xml"/><Relationship Id="rId2" Type="http://schemas.openxmlformats.org/officeDocument/2006/relationships/worksheet" Target="worksheets/sheet2.xml"/><Relationship Id="rId16" Type="http://schemas.microsoft.com/office/2017/06/relationships/rdSupportingPropertyBagStructure" Target="richData/rdsupportingpropertybagstructure.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20/07/relationships/rdRichValueWebImage" Target="richData/rdRichValueWebImage.xml"/><Relationship Id="rId5" Type="http://schemas.openxmlformats.org/officeDocument/2006/relationships/worksheet" Target="worksheets/sheet5.xml"/><Relationship Id="rId15" Type="http://schemas.microsoft.com/office/2017/06/relationships/richStyles" Target="richData/richStyles.xml"/><Relationship Id="rId23" Type="http://schemas.openxmlformats.org/officeDocument/2006/relationships/customXml" Target="../customXml/item3.xml"/><Relationship Id="rId10" Type="http://schemas.openxmlformats.org/officeDocument/2006/relationships/sheetMetadata" Target="metadata.xml"/><Relationship Id="rId19"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sharedStrings" Target="sharedStrings.xml"/><Relationship Id="rId14" Type="http://schemas.microsoft.com/office/2017/06/relationships/rdArray" Target="richData/rdarray.xml"/><Relationship Id="rId22" Type="http://schemas.openxmlformats.org/officeDocument/2006/relationships/customXml" Target="../customXml/item2.xml"/></Relationships>
</file>

<file path=xl/namedSheetViews/namedSheetView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file>

<file path=xl/persons/person.xml><?xml version="1.0" encoding="utf-8"?>
<personList xmlns="http://schemas.microsoft.com/office/spreadsheetml/2018/threadedcomments" xmlns:x="http://schemas.openxmlformats.org/spreadsheetml/2006/main">
  <person displayName="IberoKe - Logistics Lead - Whitney Mwangi" id="{B0F55711-AE47-4B49-AC69-07861EE37ADC}" userId="S::Whitney.Mwangi@nkg.coffee::57defb87-eb0f-4ae5-ad7b-4a9fa79593e1" providerId="AD"/>
</personList>
</file>

<file path=xl/richData/_rels/rdRichValueWebImage.xml.rels><?xml version="1.0" encoding="UTF-8" standalone="yes"?>
<Relationships xmlns="http://schemas.openxmlformats.org/package/2006/relationships"><Relationship Id="rId2" Type="http://schemas.openxmlformats.org/officeDocument/2006/relationships/hyperlink" Target="https://www.bing.com/images/search?form=xlimg&amp;q=Latvia" TargetMode="External"/><Relationship Id="rId1" Type="http://schemas.openxmlformats.org/officeDocument/2006/relationships/hyperlink" Target="https://www.bing.com/th?id=OSK.4hhbCabSlTXS39-cGWOl1f-b8se1fiaFlqps9okwU3w&amp;qlt=95" TargetMode="External"/></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types>
    <type name="_linkedentity2">
      <keyFlags>
        <key name="%EntityServiceId">
          <flag name="ShowInCardView" value="0"/>
          <flag name="ShowInDotNotation" value="0"/>
          <flag name="ShowInAutoComplete" value="0"/>
        </key>
        <key name="%EntityCulture">
          <flag name="ShowInCardView" value="0"/>
          <flag name="ShowInDotNotation" value="0"/>
          <flag name="ShowInAutoComplete" value="0"/>
        </key>
        <key name="%EntityId">
          <flag name="ShowInCardView" value="0"/>
          <flag name="ShowInDotNotation" value="0"/>
          <flag name="ShowInAutoComplete" value="0"/>
        </key>
        <key name="%cvi">
          <flag name="ShowInCardView" value="0"/>
          <flag name="ShowInDotNotation" value="0"/>
          <flag name="ShowInAutoComplete" value="0"/>
          <flag name="ExcludeFromCalcComparison" value="1"/>
        </key>
      </keyFlags>
    </type>
    <type name="_linkedentity2core">
      <keyFlags>
        <key name="%EntityServiceId">
          <flag name="ShowInCardView" value="0"/>
          <flag name="ShowInDotNotation" value="0"/>
          <flag name="ShowInAutoComplete" value="0"/>
        </key>
        <key name="%EntityCulture">
          <flag name="ShowInCardView" value="0"/>
          <flag name="ShowInDotNotation" value="0"/>
          <flag name="ShowInAutoComplete" value="0"/>
        </key>
        <key name="%EntityId">
          <flag name="ShowInCardView" value="0"/>
          <flag name="ShowInDotNotation" value="0"/>
          <flag name="ShowInAutoComplete" value="0"/>
        </key>
        <key name="%IsRefreshable">
          <flag name="ShowInCardView" value="0"/>
          <flag name="ShowInDotNotation" value="0"/>
          <flag name="ShowInAutoComplete" value="0"/>
          <flag name="ExcludeFromCalcComparison" value="1"/>
        </key>
        <key name="%ProviderInfo">
          <flag name="ShowInCardView" value="0"/>
          <flag name="ShowInDotNotation" value="0"/>
          <flag name="ShowInAutoComplete" value="0"/>
        </key>
        <key name="%DataProviderExternalLinkLogo">
          <flag name="ShowInCardView" value="0"/>
          <flag name="ShowInDotNotation" value="0"/>
          <flag name="ShowInAutoComplete" value="0"/>
        </key>
        <key name="%DataProviderExternalLink">
          <flag name="ShowInCardView" value="0"/>
          <flag name="ShowInDotNotation" value="0"/>
          <flag name="ShowInAutoComplete" value="0"/>
        </key>
        <key name="%DataRetrievedTime">
          <flag name="ShowInCardView" value="0"/>
          <flag name="ShowInDotNotation" value="0"/>
          <flag name="ShowInAutoComplete" value="0"/>
          <flag name="ExcludeFromCalcComparison" value="1"/>
        </key>
        <key name="%EntityDomainIdString">
          <flag name="ShowInCardView" value="0"/>
          <flag name="ShowInDotNotation" value="0"/>
          <flag name="ShowInAutoComplete" value="0"/>
        </key>
        <key name="%InfoToolTipLabelNames">
          <flag name="ShowInCardView" value="0"/>
          <flag name="ShowInDotNotation" value="0"/>
          <flag name="ShowInAutoComplete" value="0"/>
        </key>
        <key name="%InfoToolTipLabelValues">
          <flag name="ShowInCardView" value="0"/>
          <flag name="ShowInDotNotation" value="0"/>
          <flag name="ShowInAutoComplete" value="0"/>
        </key>
        <key name="%InfoToolTipLabelValuesType">
          <flag name="ShowInCardView" value="0"/>
          <flag name="ShowInDotNotation" value="0"/>
          <flag name="ShowInAutoComplete" value="0"/>
        </key>
        <key name="%DataProviderString">
          <flag name="ShowInCardView" value="0"/>
          <flag name="ShowInDotNotation" value="0"/>
          <flag name="ShowInAutoComplete" value="0"/>
        </key>
        <key name="%ClassificationId">
          <flag name="ShowInCardView" value="0"/>
          <flag name="ShowInDotNotation" value="0"/>
          <flag name="ShowInAutoComplete" value="0"/>
        </key>
        <key name="%OutdatedReason">
          <flag name="ShowInCardView" value="0"/>
          <flag name="ShowInDotNotation" value="0"/>
          <flag name="ShowInAutoComplete" value="0"/>
          <flag name="ExcludeFromCalcComparison" value="1"/>
        </key>
      </keyFlags>
    </type>
    <type name="_webimage">
      <keyFlags>
        <key name="WebImageIdentifier">
          <flag name="ShowInCardView" value="0"/>
        </key>
      </keyFlags>
    </type>
  </types>
</rvTypesInfo>
</file>

<file path=xl/richData/rdRichValueWebImage.xml><?xml version="1.0" encoding="utf-8"?>
<webImagesSrd xmlns="http://schemas.microsoft.com/office/spreadsheetml/2020/richdatawebimage" xmlns:r="http://schemas.openxmlformats.org/officeDocument/2006/relationships">
  <webImageSrd>
    <address r:id="rId1"/>
    <moreImagesAddress r:id="rId2"/>
  </webImageSrd>
</webImagesSrd>
</file>

<file path=xl/richData/rdarray.xml><?xml version="1.0" encoding="utf-8"?>
<arrayData xmlns="http://schemas.microsoft.com/office/spreadsheetml/2017/richdata2" count="4">
  <a r="2">
    <v t="r">20</v>
    <v t="r">21</v>
  </a>
  <a r="1">
    <v t="s">Latvian language</v>
  </a>
  <a r="35">
    <v t="r">39</v>
    <v t="r">40</v>
    <v t="r">41</v>
    <v t="r">42</v>
    <v t="r">43</v>
    <v t="r">44</v>
    <v t="r">45</v>
    <v t="r">46</v>
    <v t="r">47</v>
    <v t="r">48</v>
    <v t="r">49</v>
    <v t="r">50</v>
    <v t="r">51</v>
    <v t="r">52</v>
    <v t="r">53</v>
    <v t="r">54</v>
    <v t="r">55</v>
    <v t="r">56</v>
    <v t="r">57</v>
    <v t="r">58</v>
    <v t="r">59</v>
    <v t="r">60</v>
    <v t="r">61</v>
    <v t="r">62</v>
    <v t="r">63</v>
    <v t="r">64</v>
    <v t="r">65</v>
    <v t="r">66</v>
    <v t="r">67</v>
    <v t="r">68</v>
    <v t="r">69</v>
    <v t="r">70</v>
    <v t="r">71</v>
    <v t="r">72</v>
    <v t="r">73</v>
  </a>
  <a r="3">
    <v t="s">Eastern European Time</v>
    <v t="s">Daylight saving time</v>
    <v t="s">Eastern European Summer Time</v>
  </a>
</arrayData>
</file>

<file path=xl/richData/rdrichvalue.xml><?xml version="1.0" encoding="utf-8"?>
<rvData xmlns="http://schemas.microsoft.com/office/spreadsheetml/2017/richdata" count="81">
  <rv s="0">
    <v>536870912</v>
    <v>Latvia</v>
    <v>76511c15-b60b-948f-e9c7-f9bd9d9c4ece</v>
    <v>en-US</v>
    <v>Map</v>
  </rv>
  <rv s="1">
    <fb>0.31055001608234201</fb>
    <v>23</v>
  </rv>
  <rv s="1">
    <fb>64593.760000000002</fb>
    <v>24</v>
  </rv>
  <rv s="1">
    <fb>6000</fb>
    <v>24</v>
  </rv>
  <rv s="1">
    <fb>10</fb>
    <v>25</v>
  </rv>
  <rv s="1">
    <fb>371</fb>
    <v>26</v>
  </rv>
  <rv s="0">
    <v>536870912</v>
    <v>Riga Vidhan Sabha constituency</v>
    <v>6d2250b0-2361-0082-ca56-2833dafd434c</v>
    <v>en-US</v>
    <v>Map</v>
  </rv>
  <rv s="1">
    <fb>7003.97</fb>
    <v>24</v>
  </rv>
  <rv s="1">
    <fb>116.85698464327299</fb>
    <v>27</v>
  </rv>
  <rv s="1">
    <fb>2.8114092007562198E-2</fb>
    <v>23</v>
  </rv>
  <rv s="1">
    <fb>3507.4045206547198</fb>
    <v>24</v>
  </rv>
  <rv s="1">
    <fb>1.6</fb>
    <v>25</v>
  </rv>
  <rv s="1">
    <fb>0.53978769738561394</fb>
    <v>23</v>
  </rv>
  <rv s="1">
    <fb>56.717427573372497</fb>
    <v>28</v>
  </rv>
  <rv s="1">
    <fb>1.1599999999999999</fb>
    <v>29</v>
  </rv>
  <rv s="1">
    <fb>34117202555.066601</fb>
    <v>30</v>
  </rv>
  <rv s="1">
    <fb>0.99367839999999996</fb>
    <v>23</v>
  </rv>
  <rv s="1">
    <fb>0.88057429999999992</fb>
    <v>23</v>
  </rv>
  <rv s="2">
    <v>0</v>
    <v>21</v>
    <v>2</v>
    <v>7</v>
    <v>0</v>
    <v>Image of Latvia</v>
  </rv>
  <rv s="1">
    <fb>3.3</fb>
    <v>28</v>
  </rv>
  <rv s="0">
    <v>805306368</v>
    <v>Edgars Rinkēvičs (President)</v>
    <v>ebfa1c68-a065-5fec-f8e2-6cecc7007ba2</v>
    <v>en-US</v>
    <v>Generic</v>
  </rv>
  <rv s="0">
    <v>805306368</v>
    <v>Andris Kulbergs (Prime minister)</v>
    <v>18fdb59e-eea5-de5e-66bd-2ad9d24f417f</v>
    <v>en-US</v>
    <v>Generic</v>
  </rv>
  <rv s="3">
    <v>0</v>
  </rv>
  <rv s="4">
    <v>https://www.bing.com/search?q=latvia&amp;form=skydnc</v>
    <v>Learn more on Bing</v>
  </rv>
  <rv s="1">
    <fb>74.678048780487799</fb>
    <v>28</v>
  </rv>
  <rv s="1">
    <fb>19</fb>
    <v>28</v>
  </rv>
  <rv s="1">
    <fb>2.8</fb>
    <v>29</v>
  </rv>
  <rv s="3">
    <v>1</v>
  </rv>
  <rv s="1">
    <fb>0.41623710610000003</fb>
    <v>23</v>
  </rv>
  <rv s="1">
    <fb>3.1905000000000001</fb>
    <v>25</v>
  </rv>
  <rv s="1">
    <fb>1888439</fb>
    <v>24</v>
  </rv>
  <rv s="1">
    <fb>0.22800000000000001</fb>
    <v>23</v>
  </rv>
  <rv s="1">
    <fb>0.26899999999999996</fb>
    <v>23</v>
  </rv>
  <rv s="1">
    <fb>0.42399999999999999</fb>
    <v>23</v>
  </rv>
  <rv s="1">
    <fb>2.3E-2</fb>
    <v>23</v>
  </rv>
  <rv s="1">
    <fb>6.7000000000000004E-2</fb>
    <v>23</v>
  </rv>
  <rv s="1">
    <fb>0.11699999999999999</fb>
    <v>23</v>
  </rv>
  <rv s="1">
    <fb>0.16399999999999998</fb>
    <v>23</v>
  </rv>
  <rv s="1">
    <fb>0.61410999298095703</fb>
    <v>23</v>
  </rv>
  <rv s="0">
    <v>536870912</v>
    <v>Daugavpils</v>
    <v>4e5a5f86-90d5-62bf-5706-7846070ac222</v>
    <v>en-US</v>
    <v>Map</v>
  </rv>
  <rv s="0">
    <v>536870912</v>
    <v>Jūrmala</v>
    <v>b53197a1-c6da-44d4-6c8b-b9fc5b3319d2</v>
    <v>en-US</v>
    <v>Map</v>
  </rv>
  <rv s="0">
    <v>536870912</v>
    <v>Liepāja</v>
    <v>dfd39be7-dd1e-dd81-ac22-7e76fd127d61</v>
    <v>en-US</v>
    <v>Map</v>
  </rv>
  <rv s="0">
    <v>536870912</v>
    <v>Rēzekne</v>
    <v>8d930e7b-793d-f10f-fab9-eb4f8dc90d0a</v>
    <v>en-US</v>
    <v>Map</v>
  </rv>
  <rv s="0">
    <v>536870912</v>
    <v>Riga</v>
    <v>28ba38b3-e530-65db-5053-2ad0f32507de</v>
    <v>en-US</v>
    <v>Map</v>
  </rv>
  <rv s="0">
    <v>536870912</v>
    <v>Ventspils</v>
    <v>0528f2b2-5eb9-8bbc-6bbd-5de31f2222b6</v>
    <v>en-US</v>
    <v>Map</v>
  </rv>
  <rv s="0">
    <v>536870912</v>
    <v>Alūksne Municipality</v>
    <v>f3457abd-4feb-a1cf-785e-f40f0829f1ba</v>
    <v>en-US</v>
    <v>Map</v>
  </rv>
  <rv s="0">
    <v>536870912</v>
    <v>Gulbene Municipality</v>
    <v>84bcd265-d604-17c7-fef6-d42c1d4d7cbb</v>
    <v>en-US</v>
    <v>Map</v>
  </rv>
  <rv s="0">
    <v>536870912</v>
    <v>Līvāni Municipality</v>
    <v>b212a4e1-83e7-4094-9a29-5ec611033e55</v>
    <v>en-US</v>
    <v>Map</v>
  </rv>
  <rv s="0">
    <v>536870912</v>
    <v>Olaine Municipality</v>
    <v>f59d02c5-1ef0-44ab-b209-23b73010c646</v>
    <v>en-US</v>
    <v>Map</v>
  </rv>
  <rv s="0">
    <v>536870912</v>
    <v>Salaspils Municipality</v>
    <v>7c112789-52a0-4b20-8051-57f2f93d8016</v>
    <v>en-US</v>
    <v>Map</v>
  </rv>
  <rv s="0">
    <v>536870912</v>
    <v>Valka Municipality</v>
    <v>cde06364-3fe3-412c-9832-cb0d2b4f51b4</v>
    <v>en-US</v>
    <v>Map</v>
  </rv>
  <rv s="0">
    <v>536870912</v>
    <v>Ventspils Municipality</v>
    <v>e6848574-695c-f74c-82b2-a32baa4c7f8e</v>
    <v>en-US</v>
    <v>Map</v>
  </rv>
  <rv s="0">
    <v>536870912</v>
    <v>Jelgava</v>
    <v>b04f0327-437a-1fc1-17dc-740d1d38dba9</v>
    <v>en-US</v>
    <v>Map</v>
  </rv>
  <rv s="0">
    <v>536870912</v>
    <v>Ādaži Municipality</v>
    <v>082fb7c1-121a-cff9-6d59-209bd9692d41</v>
    <v>en-US</v>
    <v>Map</v>
  </rv>
  <rv s="0">
    <v>536870912</v>
    <v>Aizkraukle Municipality</v>
    <v>95025a04-c409-5a38-ce34-511ff7028d37</v>
    <v>en-US</v>
    <v>Map</v>
  </rv>
  <rv s="0">
    <v>536870912</v>
    <v>Balvi Municipality</v>
    <v>ab3146a5-f450-3e2c-e47e-5f3a1624257e</v>
    <v>en-US</v>
    <v>Map</v>
  </rv>
  <rv s="0">
    <v>536870912</v>
    <v>Cēsis Municipality</v>
    <v>c57e45c5-5fd8-c60f-0ea6-230aebfe91b5</v>
    <v>en-US</v>
    <v>Map</v>
  </rv>
  <rv s="0">
    <v>536870912</v>
    <v>Dobele Municipality</v>
    <v>2f3e6893-e833-cc74-07dc-36c9113d86e4</v>
    <v>en-US</v>
    <v>Map</v>
  </rv>
  <rv s="0">
    <v>536870912</v>
    <v>Jēkabpils Municipality</v>
    <v>e97e0fa9-8a7d-44ab-8d2f-43202a9d0c2e</v>
    <v>en-US</v>
    <v>Map</v>
  </rv>
  <rv s="0">
    <v>536870912</v>
    <v>Jelgava Municipality</v>
    <v>fe0e93f0-1d52-979d-cc11-59f15a5291fb</v>
    <v>en-US</v>
    <v>Map</v>
  </rv>
  <rv s="0">
    <v>536870912</v>
    <v>Krāslava Municipality</v>
    <v>4cc90cd3-e186-1c7d-d523-ea2467b922e5</v>
    <v>en-US</v>
    <v>Map</v>
  </rv>
  <rv s="0">
    <v>536870912</v>
    <v>Kuldīga Municipality</v>
    <v>8c1ed23e-d3e5-ff9c-9ef6-b6e4785adb33</v>
    <v>en-US</v>
    <v>Map</v>
  </rv>
  <rv s="0">
    <v>536870912</v>
    <v>Ķekava Municipality</v>
    <v>111437c1-6ac8-40cc-e456-aa1de452cce6</v>
    <v>en-US</v>
    <v>Map</v>
  </rv>
  <rv s="0">
    <v>536870912</v>
    <v>Limbaži Municipality</v>
    <v>69df87e9-2431-89f3-c3d6-436e011fd5ff</v>
    <v>en-US</v>
    <v>Map</v>
  </rv>
  <rv s="0">
    <v>536870912</v>
    <v>Ludza Municipality</v>
    <v>a898bad2-677f-1056-d7d0-bf98884c7b05</v>
    <v>en-US</v>
    <v>Map</v>
  </rv>
  <rv s="0">
    <v>536870912</v>
    <v>Madona Municipality</v>
    <v>bf017ae3-3323-45c7-88b5-0639958a8192</v>
    <v>en-US</v>
    <v>Map</v>
  </rv>
  <rv s="0">
    <v>536870912</v>
    <v>Ogre Municipality</v>
    <v>24ff0d4d-4547-805f-28cc-2063223786c6</v>
    <v>en-US</v>
    <v>Map</v>
  </rv>
  <rv s="0">
    <v>536870912</v>
    <v>Preiļi Municipality</v>
    <v>f5144f2e-4f63-49fb-86a6-93a956345130</v>
    <v>en-US</v>
    <v>Map</v>
  </rv>
  <rv s="0">
    <v>536870912</v>
    <v>Rēzekne Municipality</v>
    <v>e52c883c-bce7-45e4-82c9-46eff1fb92b3</v>
    <v>en-US</v>
    <v>Map</v>
  </rv>
  <rv s="0">
    <v>536870912</v>
    <v>Saulkrasti Municipality</v>
    <v>ed87a439-24a5-4351-9dab-c05afd5ba637</v>
    <v>en-US</v>
    <v>Map</v>
  </rv>
  <rv s="0">
    <v>536870912</v>
    <v>Sigulda Municipality</v>
    <v>b0b6c801-d347-4a34-737b-c8ae17fd663b</v>
    <v>en-US</v>
    <v>Map</v>
  </rv>
  <rv s="0">
    <v>536870912</v>
    <v>Smiltene Municipality</v>
    <v>cf0dc05b-c4ea-7014-3892-05c1857d2a0c</v>
    <v>en-US</v>
    <v>Map</v>
  </rv>
  <rv s="0">
    <v>536870912</v>
    <v>Talsi Municipality</v>
    <v>d1f9c9fc-5e50-9b80-0697-93ecda5021ce</v>
    <v>en-US</v>
    <v>Map</v>
  </rv>
  <rv s="0">
    <v>536870912</v>
    <v>Tukums Municipality</v>
    <v>a127da9a-a8bf-04e4-4ef1-eb93344c453f</v>
    <v>en-US</v>
    <v>Map</v>
  </rv>
  <rv s="3">
    <v>2</v>
  </rv>
  <rv s="1">
    <fb>0.22888486346394601</fb>
    <v>23</v>
  </rv>
  <rv s="3">
    <v>3</v>
  </rv>
  <rv s="1">
    <fb>0.38100000000000001</fb>
    <v>23</v>
  </rv>
  <rv s="1">
    <fb>6.5199999809265108E-2</fb>
    <v>31</v>
  </rv>
  <rv s="1">
    <fb>1304943</fb>
    <v>24</v>
  </rv>
  <rv s="5">
    <v>#VALUE!</v>
    <v>en-US</v>
    <v>76511c15-b60b-948f-e9c7-f9bd9d9c4ece</v>
    <v>536870912</v>
    <v>1</v>
    <v>16</v>
    <v>17</v>
    <v>Latvia</v>
    <v>19</v>
    <v>20</v>
    <v>Map</v>
    <v>21</v>
    <v>22</v>
    <v>LV</v>
    <v>1</v>
    <v>2</v>
    <v>3</v>
    <v>4</v>
    <v>5</v>
    <v>6</v>
    <v>7</v>
    <v>8</v>
    <v>9</v>
    <v>EUR</v>
    <v>Latvia, officially the Republic of Latvia, is a country in the Baltic region of northern Europe. It is one of the three Baltic states, along with Estonia to the north and Lithuania to the south. It borders Russia to the east and Belarus to the ...</v>
    <v>10</v>
    <v>11</v>
    <v>12</v>
    <v>13</v>
    <v>14</v>
    <v>15</v>
    <v>16</v>
    <v>17</v>
    <v>18</v>
    <v>19</v>
    <v>6</v>
    <v>22</v>
    <v>23</v>
    <v>24</v>
    <v>25</v>
    <v>26</v>
    <v>Latvia</v>
    <v>Dievs, svētī Latviju!</v>
    <v>27</v>
    <v>Latvijas Republika</v>
    <v>28</v>
    <v>29</v>
    <v>30</v>
    <v>31</v>
    <v>32</v>
    <v>33</v>
    <v>34</v>
    <v>35</v>
    <v>36</v>
    <v>37</v>
    <v>38</v>
    <v>74</v>
    <v>75</v>
    <v>76</v>
    <v>77</v>
    <v>78</v>
    <v>Latvia</v>
    <v>79</v>
    <v>mdp/vdpid/140</v>
  </rv>
</rvData>
</file>

<file path=xl/richData/rdrichvaluestructure.xml><?xml version="1.0" encoding="utf-8"?>
<rvStructures xmlns="http://schemas.microsoft.com/office/spreadsheetml/2017/richdata" count="6">
  <s t="_linkedentity2">
    <k n="%EntityServiceId" t="i"/>
    <k n="_DisplayString" t="s"/>
    <k n="%EntityId" t="s"/>
    <k n="%EntityCulture" t="s"/>
    <k n="_Icon" t="s"/>
  </s>
  <s t="_formattednumber">
    <k n="_Format" t="spb"/>
  </s>
  <s t="_webimage">
    <k n="WebImageIdentifier" t="i"/>
    <k n="_Provider" t="spb"/>
    <k n="Attribution" t="spb"/>
    <k n="CalcOrigin" t="i"/>
    <k n="ComputedImage" t="b"/>
    <k n="Text" t="s"/>
  </s>
  <s t="_array">
    <k n="array" t="a"/>
  </s>
  <s t="_hyperlink">
    <k n="Address" t="s"/>
    <k n="Text" t="s"/>
  </s>
  <s t="_linkedentity2core">
    <k n="_CRID" t="e"/>
    <k n="%EntityCulture" t="s"/>
    <k n="%EntityId" t="s"/>
    <k n="%EntityServiceId" t="i"/>
    <k n="%IsRefreshable" t="b"/>
    <k n="_Attribution" t="spb"/>
    <k n="_Display" t="spb"/>
    <k n="_DisplayString" t="s"/>
    <k n="_Flags" t="spb"/>
    <k n="_Format" t="spb"/>
    <k n="_Icon" t="s"/>
    <k n="_Provider" t="spb"/>
    <k n="_SubLabel" t="spb"/>
    <k n="Abbreviation" t="s"/>
    <k n="Agricultural land (%)" t="r"/>
    <k n="Area" t="r"/>
    <k n="Armed forces size" t="r"/>
    <k n="Birth rate" t="r"/>
    <k n="Calling code" t="r"/>
    <k n="Capital/Major City" t="r"/>
    <k n="Carbon dioxide emissions" t="r"/>
    <k n="CPI" t="r"/>
    <k n="CPI Change (%)" t="r"/>
    <k n="Currency code" t="s"/>
    <k n="Description" t="s"/>
    <k n="Electric power consumption" t="r"/>
    <k n="Fertility rate" t="r"/>
    <k n="Forested area (%)" t="r"/>
    <k n="Fossil fuel energy consumption" t="r"/>
    <k n="Gasoline price" t="r"/>
    <k n="GDP" t="r"/>
    <k n="Gross primary education enrollment (%)" t="r"/>
    <k n="Gross tertiary education enrollment (%)" t="r"/>
    <k n="Image" t="r"/>
    <k n="Infant mortality" t="r"/>
    <k n="Largest city" t="r"/>
    <k n="Leader(s)" t="r"/>
    <k n="LearnMoreOnLink" t="r"/>
    <k n="Life expectancy" t="r"/>
    <k n="Maternal mortality ratio" t="r"/>
    <k n="Minimum wage" t="r"/>
    <k n="Name" t="s"/>
    <k n="National anthem" t="s"/>
    <k n="Official language" t="r"/>
    <k n="Official name" t="s"/>
    <k n="Out of pocket health expenditure (%)" t="r"/>
    <k n="Physicians per thousand" t="r"/>
    <k n="Population" t="r"/>
    <k n="Population: Income share fourth 20%" t="r"/>
    <k n="Population: Income share highest 10%" t="r"/>
    <k n="Population: Income share highest 20%" t="r"/>
    <k n="Population: Income share lowest 10%" t="r"/>
    <k n="Population: Income share lowest 20%" t="r"/>
    <k n="Population: Income share second 20%" t="r"/>
    <k n="Population: Income share third 20%" t="r"/>
    <k n="Population: Labor force participation (%)" t="r"/>
    <k n="Subdivisions" t="r"/>
    <k n="Tax revenue (%)" t="r"/>
    <k n="Time zone(s)" t="r"/>
    <k n="Total tax rate" t="r"/>
    <k n="Unemployment rate" t="r"/>
    <k n="UniqueName" t="s"/>
    <k n="Urban population" t="r"/>
    <k n="VDPID/VSID" t="s"/>
  </s>
</rvStructures>
</file>

<file path=xl/richData/rdsupportingpropertybag.xml><?xml version="1.0" encoding="utf-8"?>
<supportingPropertyBags xmlns="http://schemas.microsoft.com/office/spreadsheetml/2017/richdata2">
  <spbArrays count="1">
    <a count="63">
      <v t="s">%EntityServiceId</v>
      <v t="s">%IsRefreshable</v>
      <v t="s">%EntityCulture</v>
      <v t="s">%EntityId</v>
      <v t="s">_Icon</v>
      <v t="s">_Provider</v>
      <v t="s">_Attribution</v>
      <v t="s">_Display</v>
      <v t="s">Name</v>
      <v t="s">_Format</v>
      <v t="s">Capital/Major City</v>
      <v t="s">Leader(s)</v>
      <v t="s">_SubLabel</v>
      <v t="s">Population</v>
      <v t="s">Area</v>
      <v t="s">Abbreviation</v>
      <v t="s">GDP</v>
      <v t="s">Currency code</v>
      <v t="s">Largest city</v>
      <v t="s">National anthem</v>
      <v t="s">Official language</v>
      <v t="s">Official name</v>
      <v t="s">Subdivisions</v>
      <v t="s">Life expectancy</v>
      <v t="s">Birth rate</v>
      <v t="s">Fertility rate</v>
      <v t="s">Infant mortality</v>
      <v t="s">Maternal mortality ratio</v>
      <v t="s">Urban population</v>
      <v t="s">Agricultural land (%)</v>
      <v t="s">Forested area (%)</v>
      <v t="s">Carbon dioxide emissions</v>
      <v t="s">Fossil fuel energy consumption</v>
      <v t="s">Gasoline price</v>
      <v t="s">Electric power consumption</v>
      <v t="s">CPI</v>
      <v t="s">CPI Change (%)</v>
      <v t="s">Population: Income share highest 10%</v>
      <v t="s">Population: Income share highest 20%</v>
      <v t="s">Population: Income share second 20%</v>
      <v t="s">Population: Income share third 20%</v>
      <v t="s">Population: Income share fourth 20%</v>
      <v t="s">Population: Income share lowest 20%</v>
      <v t="s">Population: Income share lowest 10%</v>
      <v t="s">Population: Labor force participation (%)</v>
      <v t="s">Minimum wage</v>
      <v t="s">Tax revenue (%)</v>
      <v t="s">Total tax rate</v>
      <v t="s">Unemployment rate</v>
      <v t="s">Gross primary education enrollment (%)</v>
      <v t="s">Gross tertiary education enrollment (%)</v>
      <v t="s">Out of pocket health expenditure (%)</v>
      <v t="s">Physicians per thousand</v>
      <v t="s">Armed forces size</v>
      <v t="s">Time zone(s)</v>
      <v t="s">Calling code</v>
      <v t="s">_Flags</v>
      <v t="s">VDPID/VSID</v>
      <v t="s">UniqueName</v>
      <v t="s">_DisplayString</v>
      <v t="s">LearnMoreOnLink</v>
      <v t="s">Image</v>
      <v t="s">Description</v>
    </a>
  </spbArrays>
  <spbData count="32">
    <spb s="0">
      <v xml:space="preserve">data.worldbank.org	</v>
      <v xml:space="preserve">	</v>
      <v xml:space="preserve">http://data.worldbank.org/indicator/FP.CPI.TOTL	</v>
      <v xml:space="preserve">	</v>
    </spb>
    <spb s="0">
      <v xml:space="preserve">Wikipedia	Cia	travel.state.gov	</v>
      <v xml:space="preserve">CC-BY-SA			</v>
      <v xml:space="preserve">http://en.wikipedia.org/wiki/Latvia	https://www.cia.gov/library/publications/the-world-factbook/geos/lg.html?Transportation	https://travel.state.gov/content/travel/en/international-travel/International-Travel-Country-Information-Pages/Latvia.html	</v>
      <v xml:space="preserve">http://creativecommons.org/licenses/by-sa/3.0/			</v>
    </spb>
    <spb s="0">
      <v xml:space="preserve">Wikipedia	</v>
      <v xml:space="preserve">CC BY-SA 3.0	</v>
      <v xml:space="preserve">https://en.wikipedia.org/wiki/Latvia	</v>
      <v xml:space="preserve">https://creativecommons.org/licenses/by-sa/3.0	</v>
    </spb>
    <spb s="0">
      <v xml:space="preserve">data.worldbank.org	</v>
      <v xml:space="preserve">	</v>
      <v xml:space="preserve">http://data.worldbank.org/indicator/SP.DYN.CBRT.IN	</v>
      <v xml:space="preserve">	</v>
    </spb>
    <spb s="0">
      <v xml:space="preserve">Wikipedia	</v>
      <v xml:space="preserve">CC-BY-SA	</v>
      <v xml:space="preserve">http://en.wikipedia.org/wiki/Latvia	</v>
      <v xml:space="preserve">http://creativecommons.org/licenses/by-sa/3.0/	</v>
    </spb>
    <spb s="0">
      <v xml:space="preserve">Cia	</v>
      <v xml:space="preserve">	</v>
      <v xml:space="preserve">https://www.cia.gov/library/publications/the-world-factbook/geos/lg.html?Transportation	</v>
      <v xml:space="preserve">	</v>
    </spb>
    <spb s="0">
      <v xml:space="preserve">data.worldbank.org	</v>
      <v xml:space="preserve">	</v>
      <v xml:space="preserve">http://data.worldbank.org/indicator/SP.DYN.TFRT.IN	</v>
      <v xml:space="preserve">	</v>
    </spb>
    <spb s="0">
      <v xml:space="preserve">data.worldbank.org	</v>
      <v xml:space="preserve">	</v>
      <v xml:space="preserve">http://data.worldbank.org/indicator/SP.DYN.LE00.IN	</v>
      <v xml:space="preserve">	</v>
    </spb>
    <spb s="0">
      <v xml:space="preserve">data.worldbank.org	</v>
      <v xml:space="preserve">	</v>
      <v xml:space="preserve">http://data.worldbank.org/indicator/SP.DYN.IMRT.IN	</v>
      <v xml:space="preserve">	</v>
    </spb>
    <spb s="0">
      <v xml:space="preserve">data.worldbank.org	</v>
      <v xml:space="preserve">	</v>
      <v xml:space="preserve">http://data.worldbank.org/indicator/SP.URB.TOTL	</v>
      <v xml:space="preserve">	</v>
    </spb>
    <spb s="0">
      <v xml:space="preserve">data.worldbank.org	</v>
      <v xml:space="preserve">	</v>
      <v xml:space="preserve">http://data.worldbank.org/indicator/MS.MIL.TOTL.P1	</v>
      <v xml:space="preserve">	</v>
    </spb>
    <spb s="0">
      <v xml:space="preserve">data.worldbank.org	</v>
      <v xml:space="preserve">	</v>
      <v xml:space="preserve">http://data.worldbank.org/indicator/SH.MED.PHYS.ZS	</v>
      <v xml:space="preserve">	</v>
    </spb>
    <spb s="0">
      <v xml:space="preserve">data.worldbank.org	</v>
      <v xml:space="preserve">	</v>
      <v xml:space="preserve">http://data.worldbank.org/indicator/EN.ATM.CO2E.KT	</v>
      <v xml:space="preserve">	</v>
    </spb>
    <spb s="0">
      <v xml:space="preserve">data.worldbank.org	</v>
      <v xml:space="preserve">	</v>
      <v xml:space="preserve">http://data.worldbank.org/indicator/SH.STA.MMRT	</v>
      <v xml:space="preserve">	</v>
    </spb>
    <spb s="0">
      <v xml:space="preserve">data.worldbank.org	</v>
      <v xml:space="preserve">	</v>
      <v xml:space="preserve">http://data.worldbank.org/indicator/EG.USE.ELEC.KH.PC	</v>
      <v xml:space="preserve">	</v>
    </spb>
    <spb s="0">
      <v xml:space="preserve">data.worldbank.org	</v>
      <v xml:space="preserve">	</v>
      <v xml:space="preserve">http://data.worldbank.org/indicator/SL.TLF.CACT.ZS	</v>
      <v xml:space="preserve">	</v>
    </spb>
    <spb s="1">
      <v>0</v>
      <v>1</v>
      <v>2</v>
      <v>2</v>
      <v>3</v>
      <v>2</v>
      <v>2</v>
      <v>2</v>
      <v>4</v>
      <v>2</v>
      <v>2</v>
      <v>4</v>
      <v>2</v>
      <v>2</v>
      <v>5</v>
      <v>6</v>
      <v>1</v>
      <v>5</v>
      <v>7</v>
      <v>2</v>
      <v>5</v>
      <v>8</v>
      <v>9</v>
      <v>10</v>
      <v>5</v>
      <v>5</v>
      <v>2</v>
      <v>5</v>
      <v>11</v>
      <v>12</v>
      <v>13</v>
      <v>14</v>
      <v>5</v>
      <v>5</v>
      <v>5</v>
      <v>5</v>
      <v>5</v>
      <v>5</v>
      <v>5</v>
      <v>5</v>
      <v>5</v>
      <v>5</v>
      <v>5</v>
      <v>15</v>
    </spb>
    <spb s="2">
      <v>0</v>
      <v>Name</v>
      <v>LearnMoreOnLink</v>
    </spb>
    <spb s="3">
      <v>0</v>
      <v>0</v>
      <v>0</v>
    </spb>
    <spb s="4">
      <v>18</v>
      <v>18</v>
      <v>18</v>
    </spb>
    <spb s="5">
      <v>1</v>
      <v>2</v>
    </spb>
    <spb s="6">
      <v>https://www.bing.com</v>
      <v>https://www.bing.com/th?id=Ga%5Cbing_yt.png&amp;w=100&amp;h=40&amp;c=0&amp;pid=0.1</v>
      <v>Powered by Bing</v>
    </spb>
    <spb s="7">
      <v>2019</v>
      <v>2019</v>
      <v>square km</v>
      <v>per thousand (2018)</v>
      <v>2025</v>
      <v>2019</v>
      <v>2018</v>
      <v>per liter (2016)</v>
      <v>2019</v>
      <v>years (2018)</v>
      <v>2018</v>
      <v>per thousand (2018)</v>
      <v>2019</v>
      <v>2017</v>
      <v>2016</v>
      <v>2019</v>
      <v>2016</v>
      <v>2017</v>
      <v>kilotons per year (2016)</v>
      <v>deaths per 100,000 (2017)</v>
      <v>kWh (2014)</v>
      <v>2014</v>
      <v>2017</v>
      <v>2017</v>
      <v>2017</v>
      <v>2017</v>
      <v>2017</v>
      <v>2015</v>
      <v>2017</v>
      <v>2017</v>
      <v>2017</v>
      <v>2017</v>
      <v>2019</v>
    </spb>
    <spb s="8">
      <v>3</v>
    </spb>
    <spb s="8">
      <v>4</v>
    </spb>
    <spb s="8">
      <v>5</v>
    </spb>
    <spb s="8">
      <v>6</v>
    </spb>
    <spb s="8">
      <v>7</v>
    </spb>
    <spb s="8">
      <v>8</v>
    </spb>
    <spb s="8">
      <v>9</v>
    </spb>
    <spb s="8">
      <v>10</v>
    </spb>
    <spb s="8">
      <v>11</v>
    </spb>
  </spbData>
</supportingPropertyBags>
</file>

<file path=xl/richData/rdsupportingpropertybagstructure.xml><?xml version="1.0" encoding="utf-8"?>
<spbStructures xmlns="http://schemas.microsoft.com/office/spreadsheetml/2017/richdata2" count="9">
  <s>
    <k n="SourceText" t="s"/>
    <k n="LicenseText" t="s"/>
    <k n="SourceAddress" t="s"/>
    <k n="LicenseAddress" t="s"/>
  </s>
  <s>
    <k n="CPI" t="spb"/>
    <k n="GDP" t="spb"/>
    <k n="Area" t="spb"/>
    <k n="Name" t="spb"/>
    <k n="Birth rate" t="spb"/>
    <k n="Population" t="spb"/>
    <k n="UniqueName" t="spb"/>
    <k n="Description" t="spb"/>
    <k n="Abbreviation" t="spb"/>
    <k n="Calling code" t="spb"/>
    <k n="Largest city" t="spb"/>
    <k n="Minimum wage" t="spb"/>
    <k n="Currency code" t="spb"/>
    <k n="Official name" t="spb"/>
    <k n="CPI Change (%)" t="spb"/>
    <k n="Fertility rate" t="spb"/>
    <k n="Gasoline price" t="spb"/>
    <k n="Total tax rate" t="spb"/>
    <k n="Life expectancy" t="spb"/>
    <k n="National anthem" t="spb"/>
    <k n="Tax revenue (%)" t="spb"/>
    <k n="Infant mortality" t="spb"/>
    <k n="Urban population" t="spb"/>
    <k n="Armed forces size" t="spb"/>
    <k n="Forested area (%)" t="spb"/>
    <k n="Unemployment rate" t="spb"/>
    <k n="Capital/Major City" t="spb"/>
    <k n="Agricultural land (%)" t="spb"/>
    <k n="Physicians per thousand" t="spb"/>
    <k n="Carbon dioxide emissions" t="spb"/>
    <k n="Maternal mortality ratio" t="spb"/>
    <k n="Electric power consumption" t="spb"/>
    <k n="Fossil fuel energy consumption" t="spb"/>
    <k n="Population: Income share third 20%" t="spb"/>
    <k n="Population: Income share fourth 20%" t="spb"/>
    <k n="Population: Income share lowest 10%" t="spb"/>
    <k n="Population: Income share lowest 20%" t="spb"/>
    <k n="Population: Income share second 20%" t="spb"/>
    <k n="Out of pocket health expenditure (%)" t="spb"/>
    <k n="Population: Income share highest 10%" t="spb"/>
    <k n="Population: Income share highest 20%" t="spb"/>
    <k n="Gross primary education enrollment (%)" t="spb"/>
    <k n="Gross tertiary education enrollment (%)" t="spb"/>
    <k n="Population: Labor force participation (%)" t="spb"/>
  </s>
  <s>
    <k n="^Order" t="spba"/>
    <k n="TitleProperty" t="s"/>
    <k n="SubTitleProperty" t="s"/>
  </s>
  <s>
    <k n="ShowInCardView" t="b"/>
    <k n="ShowInDotNotation" t="b"/>
    <k n="ShowInAutoComplete" t="b"/>
  </s>
  <s>
    <k n="UniqueName" t="spb"/>
    <k n="VDPID/VSID" t="spb"/>
    <k n="LearnMoreOnLink" t="spb"/>
  </s>
  <s>
    <k n="Name" t="i"/>
    <k n="Image" t="i"/>
  </s>
  <s>
    <k n="link" t="s"/>
    <k n="logo" t="s"/>
    <k n="name" t="s"/>
  </s>
  <s>
    <k n="CPI" t="s"/>
    <k n="GDP" t="s"/>
    <k n="Area" t="s"/>
    <k n="Birth rate" t="s"/>
    <k n="Population" t="s"/>
    <k n="CPI Change (%)" t="s"/>
    <k n="Fertility rate" t="s"/>
    <k n="Gasoline price" t="s"/>
    <k n="Total tax rate" t="s"/>
    <k n="Life expectancy" t="s"/>
    <k n="Tax revenue (%)" t="s"/>
    <k n="Infant mortality" t="s"/>
    <k n="Urban population" t="s"/>
    <k n="Armed forces size" t="s"/>
    <k n="Forested area (%)" t="s"/>
    <k n="Unemployment rate" t="s"/>
    <k n="Agricultural land (%)" t="s"/>
    <k n="Physicians per thousand" t="s"/>
    <k n="Carbon dioxide emissions" t="s"/>
    <k n="Maternal mortality ratio" t="s"/>
    <k n="Electric power consumption" t="s"/>
    <k n="Fossil fuel energy consumption" t="s"/>
    <k n="Population: Income share third 20%" t="s"/>
    <k n="Population: Income share fourth 20%" t="s"/>
    <k n="Population: Income share lowest 10%" t="s"/>
    <k n="Population: Income share lowest 20%" t="s"/>
    <k n="Population: Income share second 20%" t="s"/>
    <k n="Out of pocket health expenditure (%)" t="s"/>
    <k n="Population: Income share highest 10%" t="s"/>
    <k n="Population: Income share highest 20%" t="s"/>
    <k n="Gross primary education enrollment (%)" t="s"/>
    <k n="Gross tertiary education enrollment (%)" t="s"/>
    <k n="Population: Labor force participation (%)" t="s"/>
  </s>
  <s>
    <k n="_Self" t="i"/>
  </s>
</spbStructures>
</file>

<file path=xl/richData/richStyles.xml><?xml version="1.0" encoding="utf-8"?>
<richStyleSheet xmlns="http://schemas.microsoft.com/office/spreadsheetml/2017/richdata2" xmlns:mc="http://schemas.openxmlformats.org/markup-compatibility/2006" xmlns:x="http://schemas.openxmlformats.org/spreadsheetml/2006/main" mc:Ignorable="x">
  <dxfs count="6">
    <x:dxf>
      <x:numFmt numFmtId="3" formatCode="#,##0"/>
    </x:dxf>
    <x:dxf>
      <x:numFmt numFmtId="0" formatCode="General"/>
    </x:dxf>
    <x:dxf>
      <x:numFmt numFmtId="2" formatCode="0.00"/>
    </x:dxf>
    <x:dxf>
      <x:numFmt numFmtId="14" formatCode="0.00%"/>
    </x:dxf>
    <x:dxf>
      <x:numFmt numFmtId="4" formatCode="#,##0.00"/>
    </x:dxf>
    <x:dxf>
      <x:numFmt numFmtId="1" formatCode="0"/>
    </x:dxf>
  </dxfs>
  <richProperties>
    <rPr n="IsTitleField" t="b"/>
    <rPr n="IsHeroField" t="b"/>
    <rPr n="NumberFormat" t="s"/>
  </richProperties>
  <richStyles>
    <rSty>
      <rpv i="0">1</rpv>
    </rSty>
    <rSty>
      <rpv i="1">1</rpv>
    </rSty>
    <rSty dxfid="3">
      <rpv i="2">0.0%</rpv>
    </rSty>
    <rSty dxfid="0">
      <rpv i="2">#,##0</rpv>
    </rSty>
    <rSty dxfid="2">
      <rpv i="2">0.00</rpv>
    </rSty>
    <rSty dxfid="5">
      <rpv i="2">0</rpv>
    </rSty>
    <rSty dxfid="4">
      <rpv i="2">#,##0.00</rpv>
    </rSty>
    <rSty dxfid="1">
      <rpv i="2">0.0</rpv>
    </rSty>
    <rSty dxfid="1">
      <rpv i="2">_([$$-en-US]* #,##0.00_);_([$$-en-US]* (#,##0.00);_([$$-en-US]* "-"??_);_(@_)</rpv>
    </rSty>
    <rSty dxfid="1">
      <rpv i="2">_([$$-en-US]* #,##0_);_([$$-en-US]* (#,##0);_([$$-en-US]* "-"_);_(@_)</rpv>
    </rSty>
    <rSty dxfid="3"/>
  </richStyles>
</richStyleSheet>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AA1" dT="2026-10-21T08:35:12.37" personId="{B0F55711-AE47-4B49-AC69-07861EE37ADC}" id="{3A8CFBB7-39C5-40E9-B9A3-09B6DB357C43}">
    <text>Rename to Replacement PSS Info?</text>
  </threadedComment>
</ThreadedComment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5" Type="http://schemas.microsoft.com/office/2019/04/relationships/namedSheetView" Target="../namedSheetViews/namedSheetView1.xml"/><Relationship Id="rId4" Type="http://schemas.microsoft.com/office/2017/10/relationships/threadedComment" Target="../threadedComments/threadedComment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79"/>
  <sheetViews>
    <sheetView showGridLines="0" zoomScale="61" zoomScaleNormal="100" workbookViewId="0">
      <selection activeCell="B6" sqref="B6"/>
    </sheetView>
  </sheetViews>
  <sheetFormatPr defaultColWidth="8.7109375" defaultRowHeight="15"/>
  <cols>
    <col min="1" max="1" width="52" customWidth="1"/>
    <col min="2" max="4" width="20" customWidth="1"/>
    <col min="5" max="5" width="16" customWidth="1"/>
    <col min="6" max="7" width="8.42578125" customWidth="1"/>
  </cols>
  <sheetData>
    <row r="1" spans="1:8" ht="15" customHeight="1">
      <c r="A1" s="2"/>
      <c r="B1" s="3" t="s">
        <v>0</v>
      </c>
      <c r="C1" s="3" t="s">
        <v>1</v>
      </c>
      <c r="D1" s="3" t="s">
        <v>2</v>
      </c>
      <c r="F1" s="4"/>
      <c r="G1" s="4"/>
      <c r="H1" s="4"/>
    </row>
    <row r="2" spans="1:8">
      <c r="F2" s="4"/>
      <c r="G2" s="4"/>
      <c r="H2" s="4"/>
    </row>
    <row r="3" spans="1:8" ht="31.5" customHeight="1">
      <c r="A3" s="1" t="s">
        <v>3</v>
      </c>
      <c r="B3" s="1" t="s">
        <v>4</v>
      </c>
      <c r="C3" s="1" t="s">
        <v>5</v>
      </c>
      <c r="D3" s="1" t="s">
        <v>2</v>
      </c>
      <c r="E3" s="1" t="s">
        <v>6</v>
      </c>
      <c r="F3" s="4"/>
      <c r="G3" s="4"/>
      <c r="H3" s="4"/>
    </row>
    <row r="4" spans="1:8">
      <c r="A4" s="4"/>
      <c r="B4" s="4"/>
      <c r="C4" s="4"/>
      <c r="D4" s="4"/>
      <c r="E4" s="4"/>
      <c r="F4" s="4"/>
      <c r="G4" s="4"/>
      <c r="H4" s="4"/>
    </row>
    <row r="5" spans="1:8" ht="30" customHeight="1">
      <c r="A5" s="5" t="s">
        <v>7</v>
      </c>
      <c r="B5" s="6">
        <f>443*1000/60</f>
        <v>7383.333333333333</v>
      </c>
      <c r="C5" s="6">
        <f>505*16.67</f>
        <v>8418.35</v>
      </c>
      <c r="D5" s="7" t="s">
        <v>8</v>
      </c>
      <c r="E5" s="5" t="s">
        <v>9</v>
      </c>
      <c r="F5" s="4"/>
      <c r="G5" s="4"/>
      <c r="H5" s="4"/>
    </row>
    <row r="6" spans="1:8" ht="30" customHeight="1">
      <c r="A6" s="5" t="s">
        <v>10</v>
      </c>
      <c r="B6" s="8">
        <v>290.8</v>
      </c>
      <c r="C6" s="8">
        <v>290.8</v>
      </c>
      <c r="D6" s="7" t="s">
        <v>8</v>
      </c>
      <c r="E6" s="5" t="s">
        <v>11</v>
      </c>
      <c r="F6" s="4"/>
      <c r="G6" s="4"/>
      <c r="H6" s="4"/>
    </row>
    <row r="7" spans="1:8" ht="30" customHeight="1">
      <c r="A7" s="5" t="s">
        <v>12</v>
      </c>
      <c r="B7" s="9">
        <f>(3.08+3.36822)/100</f>
        <v>6.4482200000000003E-2</v>
      </c>
      <c r="C7" s="9">
        <f>(3.08+3.36822)/100</f>
        <v>6.4482200000000003E-2</v>
      </c>
      <c r="D7" s="7" t="s">
        <v>8</v>
      </c>
      <c r="E7" s="5" t="s">
        <v>13</v>
      </c>
      <c r="F7" s="4"/>
      <c r="G7" s="4"/>
      <c r="H7" s="4"/>
    </row>
    <row r="8" spans="1:8" ht="30" customHeight="1">
      <c r="A8" s="5" t="s">
        <v>14</v>
      </c>
      <c r="B8" s="6">
        <f>0.05*16.67</f>
        <v>0.83350000000000013</v>
      </c>
      <c r="C8" s="6">
        <f>0.05*16.67</f>
        <v>0.83350000000000013</v>
      </c>
      <c r="D8" s="7" t="s">
        <v>8</v>
      </c>
      <c r="E8" s="5" t="s">
        <v>15</v>
      </c>
      <c r="F8" s="4"/>
      <c r="G8" s="4"/>
      <c r="H8" s="4"/>
    </row>
    <row r="9" spans="1:8" ht="30" customHeight="1">
      <c r="A9" s="5" t="s">
        <v>16</v>
      </c>
      <c r="B9" s="10">
        <v>8.3129999999999999E-4</v>
      </c>
      <c r="C9" s="10">
        <v>8.3129999999999999E-4</v>
      </c>
      <c r="D9" s="7" t="s">
        <v>8</v>
      </c>
      <c r="E9" s="5" t="s">
        <v>13</v>
      </c>
      <c r="F9" s="4"/>
      <c r="G9" s="4"/>
      <c r="H9" s="4"/>
    </row>
    <row r="10" spans="1:8">
      <c r="F10" s="4"/>
      <c r="G10" s="4"/>
      <c r="H10" s="4"/>
    </row>
    <row r="11" spans="1:8" ht="15" customHeight="1">
      <c r="A11" s="1" t="s">
        <v>3</v>
      </c>
      <c r="B11" s="60" t="s">
        <v>17</v>
      </c>
      <c r="C11" s="60"/>
      <c r="D11" s="60"/>
      <c r="E11" s="1" t="s">
        <v>6</v>
      </c>
      <c r="F11" s="4" t="s">
        <v>18</v>
      </c>
      <c r="G11" s="4"/>
      <c r="H11" s="4"/>
    </row>
    <row r="12" spans="1:8">
      <c r="A12" s="4"/>
      <c r="B12" s="4"/>
      <c r="C12" s="4"/>
      <c r="D12" s="4"/>
      <c r="E12" s="4"/>
      <c r="F12" s="4"/>
      <c r="G12" s="4"/>
      <c r="H12" s="4"/>
    </row>
    <row r="13" spans="1:8" ht="27.75" customHeight="1">
      <c r="A13" s="5" t="s">
        <v>19</v>
      </c>
      <c r="B13" s="61">
        <v>15</v>
      </c>
      <c r="C13" s="61"/>
      <c r="D13" s="61"/>
      <c r="E13" s="5" t="s">
        <v>20</v>
      </c>
      <c r="F13" s="4"/>
      <c r="G13" s="4"/>
      <c r="H13" s="4"/>
    </row>
    <row r="14" spans="1:8" ht="27.75" customHeight="1">
      <c r="A14" s="5" t="s">
        <v>21</v>
      </c>
      <c r="B14" s="61">
        <v>30</v>
      </c>
      <c r="C14" s="61"/>
      <c r="D14" s="61"/>
      <c r="E14" s="5" t="s">
        <v>20</v>
      </c>
      <c r="F14" s="4"/>
      <c r="G14" s="4"/>
      <c r="H14" s="4"/>
    </row>
    <row r="15" spans="1:8" ht="27.75" customHeight="1">
      <c r="A15" s="5" t="s">
        <v>22</v>
      </c>
      <c r="B15" s="61">
        <v>7</v>
      </c>
      <c r="C15" s="61"/>
      <c r="D15" s="61"/>
      <c r="E15" s="5" t="s">
        <v>20</v>
      </c>
      <c r="F15" s="4"/>
      <c r="G15" s="4"/>
      <c r="H15" s="4"/>
    </row>
    <row r="16" spans="1:8" ht="27.75" customHeight="1">
      <c r="A16" s="5" t="s">
        <v>23</v>
      </c>
      <c r="B16" s="61">
        <v>5</v>
      </c>
      <c r="C16" s="61"/>
      <c r="D16" s="61"/>
      <c r="E16" s="5" t="s">
        <v>20</v>
      </c>
      <c r="F16" s="4"/>
      <c r="G16" s="4"/>
      <c r="H16" s="4"/>
    </row>
    <row r="17" spans="1:8" ht="15" customHeight="1">
      <c r="A17" s="5" t="s">
        <v>24</v>
      </c>
      <c r="B17" s="61">
        <v>3</v>
      </c>
      <c r="C17" s="61"/>
      <c r="D17" s="61"/>
      <c r="E17" s="5" t="s">
        <v>20</v>
      </c>
      <c r="F17" s="4"/>
      <c r="G17" s="4"/>
      <c r="H17" s="4"/>
    </row>
    <row r="18" spans="1:8" ht="15" customHeight="1">
      <c r="A18" s="5" t="s">
        <v>25</v>
      </c>
      <c r="B18" s="61">
        <v>15</v>
      </c>
      <c r="C18" s="61"/>
      <c r="D18" s="61"/>
      <c r="E18" s="5" t="s">
        <v>20</v>
      </c>
      <c r="F18" s="4">
        <v>1</v>
      </c>
      <c r="G18" s="4"/>
      <c r="H18" s="4"/>
    </row>
    <row r="19" spans="1:8" ht="15" customHeight="1">
      <c r="A19" s="5" t="s">
        <v>26</v>
      </c>
      <c r="B19" s="61">
        <v>5</v>
      </c>
      <c r="C19" s="61"/>
      <c r="D19" s="61"/>
      <c r="E19" s="5" t="s">
        <v>20</v>
      </c>
      <c r="F19" s="4"/>
      <c r="G19" s="4"/>
      <c r="H19" s="4"/>
    </row>
    <row r="20" spans="1:8">
      <c r="A20" s="4"/>
      <c r="B20" s="4"/>
      <c r="C20" s="4"/>
      <c r="D20" s="4"/>
      <c r="E20" s="4"/>
      <c r="F20" s="4"/>
      <c r="G20" s="4"/>
      <c r="H20" s="4"/>
    </row>
    <row r="21" spans="1:8" ht="15" customHeight="1">
      <c r="A21" s="1" t="s">
        <v>27</v>
      </c>
      <c r="B21" s="60" t="s">
        <v>28</v>
      </c>
      <c r="C21" s="60"/>
      <c r="D21" s="60"/>
      <c r="E21" s="1" t="s">
        <v>6</v>
      </c>
      <c r="F21" s="4"/>
      <c r="G21" s="4"/>
      <c r="H21" s="4"/>
    </row>
    <row r="22" spans="1:8">
      <c r="A22" s="11" t="s">
        <v>29</v>
      </c>
      <c r="B22" s="62">
        <v>320</v>
      </c>
      <c r="C22" s="62"/>
      <c r="D22" s="62"/>
      <c r="E22" s="5" t="s">
        <v>30</v>
      </c>
      <c r="F22" s="4"/>
      <c r="G22" s="4"/>
      <c r="H22" s="4"/>
    </row>
    <row r="23" spans="1:8">
      <c r="A23" s="11" t="s">
        <v>31</v>
      </c>
      <c r="B23" s="62">
        <v>360</v>
      </c>
      <c r="C23" s="62"/>
      <c r="D23" s="62"/>
      <c r="E23" s="5" t="s">
        <v>30</v>
      </c>
      <c r="F23" s="4"/>
      <c r="G23" s="4"/>
      <c r="H23" s="4"/>
    </row>
    <row r="24" spans="1:8">
      <c r="A24" s="11" t="s">
        <v>32</v>
      </c>
      <c r="B24" s="62">
        <v>333</v>
      </c>
      <c r="C24" s="62"/>
      <c r="D24" s="62"/>
      <c r="E24" s="5" t="s">
        <v>30</v>
      </c>
      <c r="F24" s="4"/>
      <c r="G24" s="4"/>
      <c r="H24" s="4"/>
    </row>
    <row r="25" spans="1:8">
      <c r="A25" s="11"/>
      <c r="B25" s="62"/>
      <c r="C25" s="62"/>
      <c r="D25" s="62"/>
      <c r="E25" s="5"/>
      <c r="F25" s="4"/>
      <c r="G25" s="4"/>
      <c r="H25" s="4"/>
    </row>
    <row r="26" spans="1:8">
      <c r="A26" s="11"/>
      <c r="B26" s="62"/>
      <c r="C26" s="62"/>
      <c r="D26" s="62"/>
      <c r="E26" s="5"/>
      <c r="F26" s="4"/>
      <c r="G26" s="4"/>
      <c r="H26" s="4"/>
    </row>
    <row r="27" spans="1:8">
      <c r="A27" s="11"/>
      <c r="B27" s="62"/>
      <c r="C27" s="62"/>
      <c r="D27" s="62"/>
      <c r="E27" s="5"/>
      <c r="F27" s="4"/>
      <c r="G27" s="4"/>
      <c r="H27" s="4"/>
    </row>
    <row r="28" spans="1:8">
      <c r="A28" s="11"/>
      <c r="B28" s="62"/>
      <c r="C28" s="62"/>
      <c r="D28" s="62"/>
      <c r="E28" s="5"/>
      <c r="F28" s="4"/>
      <c r="G28" s="4"/>
      <c r="H28" s="4"/>
    </row>
    <row r="29" spans="1:8">
      <c r="A29" s="11"/>
      <c r="B29" s="62"/>
      <c r="C29" s="62"/>
      <c r="D29" s="62"/>
      <c r="E29" s="5"/>
      <c r="F29" s="4"/>
      <c r="G29" s="4"/>
      <c r="H29" s="4"/>
    </row>
    <row r="30" spans="1:8">
      <c r="A30" s="11"/>
      <c r="B30" s="62"/>
      <c r="C30" s="62"/>
      <c r="D30" s="62"/>
      <c r="E30" s="5"/>
      <c r="F30" s="4"/>
      <c r="G30" s="4"/>
      <c r="H30" s="4"/>
    </row>
    <row r="31" spans="1:8">
      <c r="A31" s="11"/>
      <c r="B31" s="62"/>
      <c r="C31" s="62"/>
      <c r="D31" s="62"/>
      <c r="E31" s="5"/>
      <c r="F31" s="4"/>
      <c r="G31" s="4"/>
      <c r="H31" s="4"/>
    </row>
    <row r="32" spans="1:8">
      <c r="A32" s="4"/>
      <c r="B32" s="4"/>
      <c r="C32" s="4"/>
      <c r="D32" s="4"/>
      <c r="E32" s="4"/>
      <c r="F32" s="4"/>
      <c r="G32" s="4"/>
      <c r="H32" s="4"/>
    </row>
    <row r="33" spans="1:8" ht="15" customHeight="1">
      <c r="A33" s="1" t="s">
        <v>3</v>
      </c>
      <c r="B33" s="60" t="s">
        <v>17</v>
      </c>
      <c r="C33" s="60"/>
      <c r="D33" s="60"/>
      <c r="E33" s="1" t="s">
        <v>6</v>
      </c>
      <c r="F33" s="4"/>
      <c r="G33" s="4"/>
      <c r="H33" s="4"/>
    </row>
    <row r="34" spans="1:8">
      <c r="A34" s="5" t="s">
        <v>33</v>
      </c>
      <c r="B34" s="62">
        <v>320</v>
      </c>
      <c r="C34" s="62"/>
      <c r="D34" s="62"/>
      <c r="E34" s="5" t="s">
        <v>30</v>
      </c>
      <c r="F34" s="4"/>
      <c r="G34" s="4"/>
      <c r="H34" s="4"/>
    </row>
    <row r="35" spans="1:8">
      <c r="A35" s="5" t="s">
        <v>34</v>
      </c>
      <c r="B35" s="62">
        <v>360</v>
      </c>
      <c r="C35" s="62"/>
      <c r="D35" s="62"/>
      <c r="E35" s="5" t="s">
        <v>30</v>
      </c>
      <c r="F35" s="4"/>
      <c r="G35" s="4"/>
      <c r="H35" s="4"/>
    </row>
    <row r="36" spans="1:8">
      <c r="A36" s="4"/>
      <c r="B36" s="4"/>
      <c r="C36" s="4"/>
      <c r="D36" s="4"/>
      <c r="E36" s="4"/>
      <c r="F36" s="4"/>
      <c r="G36" s="4"/>
      <c r="H36" s="4"/>
    </row>
    <row r="37" spans="1:8" ht="15" customHeight="1">
      <c r="A37" s="1" t="s">
        <v>35</v>
      </c>
      <c r="B37" s="60" t="s">
        <v>36</v>
      </c>
      <c r="C37" s="60"/>
      <c r="D37" s="60"/>
      <c r="E37" s="1"/>
      <c r="F37" s="4"/>
      <c r="G37" s="4"/>
      <c r="H37" s="4"/>
    </row>
    <row r="38" spans="1:8">
      <c r="A38" s="11" t="s">
        <v>37</v>
      </c>
      <c r="B38" s="63" t="s">
        <v>38</v>
      </c>
      <c r="C38" s="64"/>
      <c r="D38" s="65"/>
      <c r="E38" s="5"/>
      <c r="F38" s="4"/>
      <c r="G38" s="4"/>
      <c r="H38" s="4"/>
    </row>
    <row r="39" spans="1:8">
      <c r="A39" s="11" t="s">
        <v>39</v>
      </c>
      <c r="B39" s="63" t="s">
        <v>40</v>
      </c>
      <c r="C39" s="64"/>
      <c r="D39" s="65"/>
      <c r="E39" s="5"/>
      <c r="F39" s="4"/>
      <c r="G39" s="4"/>
      <c r="H39" s="4"/>
    </row>
    <row r="40" spans="1:8">
      <c r="A40" s="11" t="s">
        <v>41</v>
      </c>
      <c r="B40" s="63" t="s">
        <v>40</v>
      </c>
      <c r="C40" s="64"/>
      <c r="D40" s="65"/>
      <c r="E40" s="5"/>
      <c r="F40" s="4"/>
      <c r="G40" s="4"/>
      <c r="H40" s="4"/>
    </row>
    <row r="41" spans="1:8">
      <c r="A41" s="11" t="s">
        <v>42</v>
      </c>
      <c r="B41" s="63" t="s">
        <v>40</v>
      </c>
      <c r="C41" s="64"/>
      <c r="D41" s="65"/>
      <c r="E41" s="5"/>
      <c r="F41" s="4"/>
      <c r="G41" s="4"/>
      <c r="H41" s="4"/>
    </row>
    <row r="42" spans="1:8">
      <c r="A42" s="11" t="s">
        <v>43</v>
      </c>
      <c r="B42" s="63" t="s">
        <v>38</v>
      </c>
      <c r="C42" s="64"/>
      <c r="D42" s="65"/>
      <c r="E42" s="5"/>
      <c r="F42" s="4"/>
      <c r="G42" s="4"/>
      <c r="H42" s="4"/>
    </row>
    <row r="43" spans="1:8">
      <c r="A43" s="11"/>
      <c r="B43" s="66"/>
      <c r="C43" s="66"/>
      <c r="D43" s="66"/>
      <c r="E43" s="5"/>
      <c r="F43" s="4"/>
      <c r="G43" s="4"/>
      <c r="H43" s="4"/>
    </row>
    <row r="44" spans="1:8">
      <c r="A44" s="11"/>
      <c r="B44" s="66"/>
      <c r="C44" s="66"/>
      <c r="D44" s="66"/>
      <c r="E44" s="5"/>
      <c r="F44" s="4"/>
      <c r="G44" s="4"/>
      <c r="H44" s="4"/>
    </row>
    <row r="45" spans="1:8">
      <c r="A45" s="11"/>
      <c r="B45" s="66"/>
      <c r="C45" s="66"/>
      <c r="D45" s="66"/>
      <c r="E45" s="5"/>
      <c r="F45" s="4"/>
      <c r="G45" s="4"/>
      <c r="H45" s="4"/>
    </row>
    <row r="46" spans="1:8">
      <c r="A46" s="11"/>
      <c r="B46" s="66"/>
      <c r="C46" s="66"/>
      <c r="D46" s="66"/>
      <c r="E46" s="5"/>
      <c r="F46" s="4"/>
      <c r="G46" s="4"/>
      <c r="H46" s="4"/>
    </row>
    <row r="47" spans="1:8">
      <c r="A47" s="11"/>
      <c r="B47" s="66"/>
      <c r="C47" s="66"/>
      <c r="D47" s="66"/>
      <c r="E47" s="5"/>
      <c r="F47" s="4"/>
      <c r="G47" s="4"/>
      <c r="H47" s="4"/>
    </row>
    <row r="48" spans="1:8">
      <c r="A48" s="4"/>
      <c r="B48" s="4"/>
      <c r="C48" s="4"/>
      <c r="D48" s="4"/>
      <c r="E48" s="4"/>
      <c r="F48" s="4"/>
      <c r="G48" s="4"/>
      <c r="H48" s="4"/>
    </row>
    <row r="49" spans="1:8">
      <c r="A49" s="4"/>
      <c r="B49" s="4"/>
      <c r="C49" s="4"/>
      <c r="D49" s="4"/>
      <c r="E49" s="4"/>
      <c r="F49" s="4"/>
      <c r="G49" s="4"/>
      <c r="H49" s="4"/>
    </row>
    <row r="50" spans="1:8">
      <c r="A50" s="4"/>
      <c r="B50" s="4"/>
      <c r="C50" s="4"/>
      <c r="D50" s="4"/>
      <c r="E50" s="4"/>
      <c r="F50" s="4"/>
      <c r="G50" s="4"/>
      <c r="H50" s="4"/>
    </row>
    <row r="51" spans="1:8">
      <c r="A51" s="4"/>
      <c r="B51" s="4"/>
      <c r="C51" s="4"/>
      <c r="D51" s="4"/>
      <c r="E51" s="4"/>
      <c r="F51" s="4"/>
      <c r="G51" s="4"/>
      <c r="H51" s="4"/>
    </row>
    <row r="52" spans="1:8">
      <c r="A52" s="4"/>
      <c r="B52" s="4"/>
      <c r="C52" s="4"/>
      <c r="D52" s="4"/>
      <c r="E52" s="4"/>
      <c r="F52" s="4"/>
      <c r="G52" s="4"/>
      <c r="H52" s="4"/>
    </row>
    <row r="53" spans="1:8">
      <c r="A53" s="4"/>
      <c r="B53" s="4"/>
      <c r="C53" s="4"/>
      <c r="D53" s="4"/>
      <c r="E53" s="4"/>
      <c r="F53" s="4"/>
      <c r="G53" s="4"/>
      <c r="H53" s="4"/>
    </row>
    <row r="54" spans="1:8">
      <c r="A54" s="4"/>
      <c r="B54" s="4"/>
      <c r="C54" s="4"/>
      <c r="D54" s="4"/>
      <c r="E54" s="4"/>
      <c r="F54" s="4"/>
      <c r="G54" s="4"/>
      <c r="H54" s="4"/>
    </row>
    <row r="55" spans="1:8">
      <c r="A55" s="4"/>
      <c r="B55" s="4"/>
      <c r="C55" s="4"/>
      <c r="D55" s="4"/>
      <c r="E55" s="4"/>
      <c r="F55" s="4"/>
      <c r="G55" s="4"/>
      <c r="H55" s="4"/>
    </row>
    <row r="56" spans="1:8">
      <c r="A56" s="4"/>
      <c r="B56" s="4"/>
      <c r="C56" s="4"/>
      <c r="D56" s="4"/>
      <c r="E56" s="4"/>
      <c r="F56" s="4"/>
      <c r="G56" s="4"/>
      <c r="H56" s="4"/>
    </row>
    <row r="57" spans="1:8">
      <c r="A57" s="4"/>
      <c r="B57" s="4"/>
      <c r="C57" s="4"/>
      <c r="D57" s="4"/>
      <c r="E57" s="4"/>
      <c r="F57" s="4"/>
      <c r="G57" s="4"/>
      <c r="H57" s="4"/>
    </row>
    <row r="58" spans="1:8">
      <c r="A58" s="4"/>
      <c r="B58" s="4"/>
      <c r="C58" s="4"/>
      <c r="D58" s="4"/>
      <c r="E58" s="4"/>
      <c r="F58" s="4"/>
      <c r="G58" s="4"/>
      <c r="H58" s="4"/>
    </row>
    <row r="59" spans="1:8">
      <c r="A59" s="4"/>
      <c r="B59" s="4"/>
      <c r="C59" s="4"/>
      <c r="D59" s="4"/>
      <c r="E59" s="4"/>
      <c r="F59" s="4"/>
      <c r="G59" s="4"/>
      <c r="H59" s="4"/>
    </row>
    <row r="60" spans="1:8">
      <c r="A60" s="4"/>
      <c r="B60" s="4"/>
      <c r="C60" s="4"/>
      <c r="D60" s="4"/>
      <c r="E60" s="4"/>
      <c r="F60" s="4"/>
      <c r="G60" s="4"/>
      <c r="H60" s="4"/>
    </row>
    <row r="61" spans="1:8">
      <c r="A61" s="4"/>
      <c r="B61" s="4"/>
      <c r="C61" s="4"/>
      <c r="D61" s="4"/>
      <c r="E61" s="4"/>
      <c r="F61" s="4"/>
      <c r="G61" s="4"/>
      <c r="H61" s="4"/>
    </row>
    <row r="62" spans="1:8">
      <c r="A62" s="4"/>
      <c r="B62" s="4"/>
      <c r="C62" s="4"/>
      <c r="D62" s="4"/>
      <c r="E62" s="4"/>
      <c r="F62" s="4"/>
      <c r="G62" s="4"/>
      <c r="H62" s="4"/>
    </row>
    <row r="63" spans="1:8">
      <c r="A63" s="4"/>
      <c r="B63" s="4"/>
      <c r="C63" s="4"/>
      <c r="D63" s="4"/>
      <c r="E63" s="4"/>
      <c r="F63" s="4"/>
      <c r="G63" s="4"/>
      <c r="H63" s="4"/>
    </row>
    <row r="64" spans="1:8">
      <c r="A64" s="4"/>
      <c r="B64" s="4"/>
      <c r="C64" s="4"/>
      <c r="D64" s="4"/>
      <c r="E64" s="4"/>
      <c r="F64" s="4"/>
      <c r="G64" s="4"/>
      <c r="H64" s="4"/>
    </row>
    <row r="65" spans="1:8">
      <c r="A65" s="4"/>
      <c r="B65" s="4"/>
      <c r="C65" s="4"/>
      <c r="D65" s="4"/>
      <c r="E65" s="4"/>
      <c r="F65" s="4"/>
      <c r="G65" s="4"/>
      <c r="H65" s="4"/>
    </row>
    <row r="66" spans="1:8">
      <c r="A66" s="4"/>
      <c r="B66" s="4"/>
      <c r="C66" s="4"/>
      <c r="D66" s="4"/>
      <c r="E66" s="4"/>
      <c r="F66" s="4"/>
      <c r="G66" s="4"/>
      <c r="H66" s="4"/>
    </row>
    <row r="67" spans="1:8">
      <c r="A67" s="4"/>
      <c r="B67" s="4"/>
      <c r="C67" s="4"/>
      <c r="D67" s="4"/>
      <c r="E67" s="4"/>
      <c r="F67" s="4"/>
      <c r="G67" s="4"/>
      <c r="H67" s="4"/>
    </row>
    <row r="68" spans="1:8">
      <c r="A68" s="4"/>
      <c r="B68" s="4"/>
      <c r="C68" s="4"/>
      <c r="D68" s="4"/>
      <c r="E68" s="4"/>
      <c r="F68" s="4"/>
      <c r="G68" s="4"/>
      <c r="H68" s="4"/>
    </row>
    <row r="69" spans="1:8">
      <c r="A69" s="4"/>
      <c r="B69" s="4"/>
      <c r="C69" s="4"/>
      <c r="D69" s="4"/>
      <c r="E69" s="4"/>
      <c r="F69" s="4"/>
      <c r="G69" s="4"/>
      <c r="H69" s="4"/>
    </row>
    <row r="70" spans="1:8">
      <c r="A70" s="4"/>
      <c r="B70" s="4"/>
      <c r="C70" s="4"/>
      <c r="D70" s="4"/>
      <c r="E70" s="4"/>
      <c r="F70" s="4"/>
      <c r="G70" s="4"/>
      <c r="H70" s="4"/>
    </row>
    <row r="71" spans="1:8">
      <c r="A71" s="4"/>
      <c r="B71" s="4"/>
      <c r="C71" s="4"/>
      <c r="D71" s="4"/>
      <c r="E71" s="4"/>
      <c r="F71" s="4"/>
      <c r="G71" s="4"/>
      <c r="H71" s="4"/>
    </row>
    <row r="72" spans="1:8">
      <c r="A72" s="4"/>
      <c r="B72" s="4"/>
      <c r="C72" s="4"/>
      <c r="D72" s="4"/>
      <c r="E72" s="4"/>
      <c r="F72" s="4"/>
      <c r="G72" s="4"/>
      <c r="H72" s="4"/>
    </row>
    <row r="73" spans="1:8">
      <c r="A73" s="4"/>
      <c r="B73" s="4"/>
      <c r="C73" s="4"/>
      <c r="D73" s="4"/>
      <c r="E73" s="4"/>
      <c r="F73" s="4"/>
      <c r="G73" s="4"/>
      <c r="H73" s="4"/>
    </row>
    <row r="74" spans="1:8">
      <c r="A74" s="4"/>
      <c r="B74" s="4"/>
      <c r="C74" s="4"/>
      <c r="D74" s="4"/>
      <c r="E74" s="4"/>
      <c r="F74" s="4"/>
      <c r="G74" s="4"/>
      <c r="H74" s="4"/>
    </row>
    <row r="75" spans="1:8">
      <c r="A75" s="4"/>
      <c r="B75" s="4"/>
      <c r="C75" s="4"/>
      <c r="D75" s="4"/>
      <c r="E75" s="4"/>
      <c r="F75" s="4"/>
      <c r="G75" s="4"/>
      <c r="H75" s="4"/>
    </row>
    <row r="76" spans="1:8">
      <c r="A76" s="4"/>
      <c r="B76" s="4"/>
      <c r="C76" s="4"/>
      <c r="D76" s="4"/>
      <c r="E76" s="4"/>
      <c r="F76" s="4"/>
      <c r="G76" s="4"/>
      <c r="H76" s="4"/>
    </row>
    <row r="77" spans="1:8">
      <c r="A77" s="4"/>
      <c r="B77" s="4"/>
      <c r="C77" s="4"/>
      <c r="D77" s="4"/>
      <c r="E77" s="4"/>
      <c r="F77" s="4"/>
      <c r="G77" s="4"/>
      <c r="H77" s="4"/>
    </row>
    <row r="78" spans="1:8">
      <c r="A78" s="4"/>
      <c r="B78" s="4"/>
      <c r="C78" s="4"/>
      <c r="D78" s="4"/>
      <c r="E78" s="4"/>
      <c r="F78" s="4"/>
      <c r="G78" s="4"/>
      <c r="H78" s="4"/>
    </row>
    <row r="79" spans="1:8">
      <c r="A79" s="4"/>
      <c r="B79" s="4"/>
      <c r="C79" s="4"/>
      <c r="D79" s="4"/>
      <c r="E79" s="4"/>
      <c r="F79" s="4"/>
      <c r="G79" s="4"/>
      <c r="H79" s="4"/>
    </row>
  </sheetData>
  <mergeCells count="33">
    <mergeCell ref="B45:D45"/>
    <mergeCell ref="B46:D46"/>
    <mergeCell ref="B47:D47"/>
    <mergeCell ref="B40:D40"/>
    <mergeCell ref="B41:D41"/>
    <mergeCell ref="B42:D42"/>
    <mergeCell ref="B43:D43"/>
    <mergeCell ref="B44:D44"/>
    <mergeCell ref="B34:D34"/>
    <mergeCell ref="B35:D35"/>
    <mergeCell ref="B37:D37"/>
    <mergeCell ref="B38:D38"/>
    <mergeCell ref="B39:D39"/>
    <mergeCell ref="B28:D28"/>
    <mergeCell ref="B29:D29"/>
    <mergeCell ref="B30:D30"/>
    <mergeCell ref="B31:D31"/>
    <mergeCell ref="B33:D33"/>
    <mergeCell ref="B23:D23"/>
    <mergeCell ref="B24:D24"/>
    <mergeCell ref="B25:D25"/>
    <mergeCell ref="B26:D26"/>
    <mergeCell ref="B27:D27"/>
    <mergeCell ref="B17:D17"/>
    <mergeCell ref="B18:D18"/>
    <mergeCell ref="B19:D19"/>
    <mergeCell ref="B21:D21"/>
    <mergeCell ref="B22:D22"/>
    <mergeCell ref="B11:D11"/>
    <mergeCell ref="B13:D13"/>
    <mergeCell ref="B14:D14"/>
    <mergeCell ref="B15:D15"/>
    <mergeCell ref="B16:D16"/>
  </mergeCells>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K1254"/>
  <sheetViews>
    <sheetView tabSelected="1" zoomScaleNormal="100" workbookViewId="0">
      <pane ySplit="1" topLeftCell="A2" activePane="bottomLeft" state="frozen"/>
      <selection pane="bottomLeft" activeCell="A2" sqref="A2"/>
    </sheetView>
  </sheetViews>
  <sheetFormatPr defaultColWidth="9.140625" defaultRowHeight="15" customHeight="1"/>
  <cols>
    <col min="1" max="1" width="6.5703125" style="13" bestFit="1" customWidth="1"/>
    <col min="2" max="2" width="16.140625" style="13" bestFit="1" customWidth="1"/>
    <col min="3" max="3" width="23.140625" style="13" bestFit="1" customWidth="1"/>
    <col min="4" max="4" width="10.5703125" style="31" bestFit="1" customWidth="1"/>
    <col min="5" max="5" width="11.7109375" style="31" bestFit="1" customWidth="1"/>
    <col min="6" max="6" width="11.42578125" style="31" bestFit="1" customWidth="1"/>
    <col min="7" max="7" width="14.140625" style="13" bestFit="1" customWidth="1"/>
    <col min="8" max="8" width="15.140625" style="13" bestFit="1" customWidth="1"/>
    <col min="9" max="9" width="8.140625" style="13" bestFit="1" customWidth="1"/>
    <col min="10" max="10" width="23.28515625" style="13" bestFit="1" customWidth="1"/>
    <col min="11" max="11" width="8.5703125" style="13" bestFit="1" customWidth="1"/>
    <col min="12" max="12" width="7.5703125" style="13" bestFit="1" customWidth="1"/>
    <col min="13" max="13" width="12.7109375" style="13" bestFit="1" customWidth="1"/>
    <col min="14" max="14" width="35" style="13" customWidth="1"/>
    <col min="15" max="15" width="23" style="13" bestFit="1" customWidth="1"/>
    <col min="16" max="16" width="9.28515625" style="13" bestFit="1" customWidth="1"/>
    <col min="17" max="17" width="19.140625" style="13" bestFit="1" customWidth="1"/>
    <col min="18" max="18" width="19" style="13" bestFit="1" customWidth="1"/>
    <col min="19" max="19" width="16.5703125" style="13" bestFit="1" customWidth="1"/>
    <col min="20" max="20" width="13.85546875" style="13" bestFit="1" customWidth="1"/>
    <col min="21" max="21" width="14.140625" style="13" bestFit="1" customWidth="1"/>
    <col min="22" max="22" width="11.140625" style="13" bestFit="1" customWidth="1"/>
    <col min="23" max="23" width="15.140625" style="44" bestFit="1" customWidth="1"/>
    <col min="24" max="24" width="18.42578125" style="55" bestFit="1" customWidth="1"/>
    <col min="25" max="25" width="15.28515625" style="13" bestFit="1" customWidth="1"/>
    <col min="26" max="26" width="15.28515625" style="58" bestFit="1" customWidth="1"/>
    <col min="27" max="27" width="14.7109375" style="13" bestFit="1" customWidth="1"/>
    <col min="28" max="28" width="15.28515625" style="31" bestFit="1" customWidth="1"/>
    <col min="29" max="29" width="17.28515625" style="13" bestFit="1" customWidth="1"/>
    <col min="30" max="30" width="22.140625" style="31" bestFit="1" customWidth="1"/>
    <col min="31" max="31" width="10.5703125" style="31" bestFit="1" customWidth="1"/>
    <col min="32" max="32" width="21.28515625" style="47" bestFit="1" customWidth="1"/>
    <col min="33" max="33" width="17.7109375" style="31" bestFit="1" customWidth="1"/>
    <col min="34" max="34" width="13.140625" style="13" bestFit="1" customWidth="1"/>
    <col min="35" max="35" width="14.5703125" style="13" bestFit="1" customWidth="1"/>
    <col min="36" max="36" width="20.28515625" style="47" bestFit="1" customWidth="1"/>
    <col min="37" max="37" width="12.85546875" style="13" bestFit="1" customWidth="1"/>
    <col min="38" max="38" width="10.5703125" style="48" bestFit="1" customWidth="1"/>
    <col min="39" max="39" width="19.42578125" style="13" bestFit="1" customWidth="1"/>
    <col min="40" max="40" width="40.7109375" style="13" bestFit="1" customWidth="1"/>
    <col min="41" max="41" width="10.28515625" style="31" bestFit="1" customWidth="1"/>
    <col min="42" max="42" width="10.85546875" style="31" bestFit="1" customWidth="1"/>
    <col min="43" max="43" width="11.28515625" style="31" bestFit="1" customWidth="1"/>
    <col min="44" max="44" width="25.42578125" style="13" bestFit="1" customWidth="1"/>
    <col min="45" max="45" width="13.5703125" style="31" bestFit="1" customWidth="1"/>
    <col min="46" max="46" width="11" style="31" bestFit="1" customWidth="1"/>
    <col min="47" max="47" width="17.42578125" style="31" bestFit="1" customWidth="1"/>
    <col min="48" max="48" width="13.5703125" style="13" bestFit="1" customWidth="1"/>
    <col min="49" max="49" width="15.42578125" style="31" bestFit="1" customWidth="1"/>
    <col min="50" max="50" width="23.7109375" style="13" bestFit="1" customWidth="1"/>
    <col min="51" max="51" width="61.5703125" style="13" bestFit="1" customWidth="1"/>
    <col min="52" max="52" width="11" style="13" bestFit="1" customWidth="1"/>
    <col min="53" max="53" width="13.28515625" style="13" bestFit="1" customWidth="1"/>
    <col min="54" max="54" width="10.5703125" style="13" bestFit="1" customWidth="1"/>
    <col min="55" max="55" width="11" style="13" bestFit="1" customWidth="1"/>
    <col min="56" max="56" width="17" style="13" bestFit="1" customWidth="1"/>
    <col min="57" max="57" width="20.5703125" style="13" bestFit="1" customWidth="1"/>
    <col min="58" max="58" width="16.85546875" style="44" bestFit="1" customWidth="1"/>
    <col min="59" max="59" width="18.140625" style="44" bestFit="1" customWidth="1"/>
    <col min="60" max="61" width="17.85546875" style="44" bestFit="1" customWidth="1"/>
    <col min="62" max="62" width="12.85546875" style="44" bestFit="1" customWidth="1"/>
    <col min="63" max="63" width="11.140625" style="44" bestFit="1" customWidth="1"/>
    <col min="64" max="64" width="9.140625" style="13" customWidth="1"/>
    <col min="65" max="16384" width="9.140625" style="13"/>
  </cols>
  <sheetData>
    <row r="1" spans="1:63" ht="45" customHeight="1">
      <c r="A1" s="12" t="s">
        <v>3307</v>
      </c>
      <c r="B1" s="12" t="s">
        <v>44</v>
      </c>
      <c r="C1" s="12" t="s">
        <v>45</v>
      </c>
      <c r="D1" s="32" t="s">
        <v>46</v>
      </c>
      <c r="E1" s="32" t="s">
        <v>47</v>
      </c>
      <c r="F1" s="32" t="s">
        <v>48</v>
      </c>
      <c r="G1" s="12" t="s">
        <v>49</v>
      </c>
      <c r="H1" s="12" t="s">
        <v>50</v>
      </c>
      <c r="I1" s="12" t="s">
        <v>51</v>
      </c>
      <c r="J1" s="12" t="s">
        <v>52</v>
      </c>
      <c r="K1" s="12" t="s">
        <v>53</v>
      </c>
      <c r="L1" s="12" t="s">
        <v>54</v>
      </c>
      <c r="M1" s="12" t="s">
        <v>55</v>
      </c>
      <c r="N1" s="12" t="s">
        <v>56</v>
      </c>
      <c r="O1" s="12" t="s">
        <v>57</v>
      </c>
      <c r="P1" s="12" t="s">
        <v>58</v>
      </c>
      <c r="Q1" s="12" t="s">
        <v>59</v>
      </c>
      <c r="R1" s="12" t="s">
        <v>27</v>
      </c>
      <c r="S1" s="12" t="s">
        <v>60</v>
      </c>
      <c r="T1" s="12" t="s">
        <v>61</v>
      </c>
      <c r="U1" s="12" t="s">
        <v>62</v>
      </c>
      <c r="V1" s="12" t="s">
        <v>63</v>
      </c>
      <c r="W1" s="42" t="s">
        <v>64</v>
      </c>
      <c r="X1" s="1" t="s">
        <v>35</v>
      </c>
      <c r="Y1" s="12" t="s">
        <v>65</v>
      </c>
      <c r="Z1" s="57" t="s">
        <v>66</v>
      </c>
      <c r="AA1" s="32" t="s">
        <v>67</v>
      </c>
      <c r="AB1" s="32" t="s">
        <v>68</v>
      </c>
      <c r="AC1" s="12" t="s">
        <v>69</v>
      </c>
      <c r="AD1" s="32" t="s">
        <v>70</v>
      </c>
      <c r="AE1" s="32" t="s">
        <v>71</v>
      </c>
      <c r="AF1" s="70" t="s">
        <v>72</v>
      </c>
      <c r="AG1" s="32" t="s">
        <v>73</v>
      </c>
      <c r="AH1" s="12" t="s">
        <v>74</v>
      </c>
      <c r="AI1" s="32" t="s">
        <v>75</v>
      </c>
      <c r="AJ1" s="46" t="s">
        <v>76</v>
      </c>
      <c r="AK1" s="12" t="s">
        <v>77</v>
      </c>
      <c r="AL1" s="49" t="s">
        <v>78</v>
      </c>
      <c r="AM1" s="72" t="s">
        <v>79</v>
      </c>
      <c r="AN1" s="72" t="s">
        <v>80</v>
      </c>
      <c r="AO1" s="12" t="s">
        <v>81</v>
      </c>
      <c r="AP1" s="74" t="s">
        <v>82</v>
      </c>
      <c r="AQ1" s="45" t="s">
        <v>83</v>
      </c>
      <c r="AR1" s="72" t="s">
        <v>84</v>
      </c>
      <c r="AS1" s="75" t="s">
        <v>85</v>
      </c>
      <c r="AT1" s="32" t="s">
        <v>86</v>
      </c>
      <c r="AU1" s="75" t="s">
        <v>87</v>
      </c>
      <c r="AV1" s="72" t="s">
        <v>88</v>
      </c>
      <c r="AW1" s="75" t="s">
        <v>89</v>
      </c>
      <c r="AX1" s="12" t="s">
        <v>90</v>
      </c>
      <c r="AY1" s="12" t="s">
        <v>91</v>
      </c>
      <c r="AZ1" s="12" t="s">
        <v>92</v>
      </c>
      <c r="BA1" s="12" t="s">
        <v>93</v>
      </c>
      <c r="BB1" s="12" t="s">
        <v>18</v>
      </c>
      <c r="BC1" s="12" t="s">
        <v>94</v>
      </c>
      <c r="BD1" s="12" t="s">
        <v>95</v>
      </c>
      <c r="BE1" s="12" t="s">
        <v>96</v>
      </c>
      <c r="BF1" s="42" t="s">
        <v>97</v>
      </c>
      <c r="BG1" s="42" t="s">
        <v>98</v>
      </c>
      <c r="BH1" s="42" t="s">
        <v>99</v>
      </c>
      <c r="BI1" s="42" t="s">
        <v>100</v>
      </c>
      <c r="BJ1" s="42" t="s">
        <v>101</v>
      </c>
      <c r="BK1" s="42" t="s">
        <v>102</v>
      </c>
    </row>
    <row r="2" spans="1:63">
      <c r="A2" s="13" t="s">
        <v>103</v>
      </c>
      <c r="B2" s="13" t="s">
        <v>104</v>
      </c>
      <c r="C2" s="13" t="s">
        <v>105</v>
      </c>
      <c r="D2" s="31">
        <v>45420</v>
      </c>
      <c r="E2" s="31">
        <v>45672</v>
      </c>
      <c r="F2" s="31">
        <v>45688</v>
      </c>
      <c r="G2" s="13">
        <v>3786364</v>
      </c>
      <c r="H2" s="13" t="s">
        <v>106</v>
      </c>
      <c r="J2" s="13" t="s">
        <v>107</v>
      </c>
      <c r="K2" s="13">
        <v>5146</v>
      </c>
      <c r="L2" s="13">
        <v>1280</v>
      </c>
      <c r="M2" s="13">
        <v>4</v>
      </c>
      <c r="N2" s="13" t="s">
        <v>108</v>
      </c>
      <c r="O2" s="13" t="s">
        <v>109</v>
      </c>
      <c r="P2" s="13">
        <v>10080</v>
      </c>
      <c r="R2" s="13" t="s">
        <v>110</v>
      </c>
      <c r="S2" s="13" t="s">
        <v>111</v>
      </c>
      <c r="T2" s="13" t="s">
        <v>112</v>
      </c>
      <c r="U2" s="13" t="s">
        <v>113</v>
      </c>
      <c r="V2" s="23">
        <v>16</v>
      </c>
      <c r="W2" s="44">
        <f>IF($AX2="Cancelled","",IFERROR(((V2+INDEX(Variables!$B$6:$D$6,IFERROR(MATCH(IF($B2="Robusta","Robusta",(IF($B2="","Arabica",$B2))&amp;" - "&amp;(IF($C2="","Commercial",$C2))),Variables!$B$1:$D$1,0),1)))*22.0462)*(L2/16.67),""))</f>
        <v>519353.98469106172</v>
      </c>
      <c r="X2" s="55" t="s">
        <v>37</v>
      </c>
      <c r="Y2" s="13" t="str">
        <f>IF($AX2="Cancelled","",IF(X2="","",IFERROR(IF(INDEX(Variables!$B$38:$B$47,MATCH(X2,Variables!$A$38:$A$47,0))="Yes","Yes","No"),"No")))</f>
        <v>Yes</v>
      </c>
      <c r="Z2" s="58">
        <v>45617</v>
      </c>
      <c r="AB2" s="31">
        <v>45623</v>
      </c>
      <c r="AC2" s="13" t="str">
        <f t="shared" ref="AC2:AC65" si="0">IF($AX2="Cancelled","",IF(ISNUMBER(AB2),"Approved",""))</f>
        <v>Approved</v>
      </c>
      <c r="AF2" s="71">
        <v>45680</v>
      </c>
      <c r="AG2" s="35">
        <f>IF($AX2="Cancelled","",IFERROR(IF(F2="","",F2-Variables!$B$13),""))</f>
        <v>45673</v>
      </c>
      <c r="AH2" s="13">
        <f>IF($AX2="Cancelled","",IFERROR(IF(AB2="","",(AVERAGE(E2:F2)-AB2)-Variables!$B$14),""))</f>
        <v>27</v>
      </c>
      <c r="AJ2" s="47">
        <v>45681</v>
      </c>
      <c r="AK2" s="14">
        <f>IF($AX2="Cancelled","",IFERROR(IF(AJ2="","",IF(AND(AB2="",AF2=""),"",IF(AF2&gt;AB2,AF2+Variables!$B$15+Variables!$B$16+Variables!$B$17-AJ2,AB2+Variables!$B$16+Variables!$B$17-AJ2))),""))</f>
        <v>14</v>
      </c>
      <c r="AL2" s="48" t="s">
        <v>114</v>
      </c>
      <c r="AM2" s="13" t="s">
        <v>115</v>
      </c>
      <c r="AN2" s="13" t="s">
        <v>116</v>
      </c>
      <c r="AP2" s="31">
        <v>45688</v>
      </c>
      <c r="AR2" s="13">
        <v>249329922</v>
      </c>
      <c r="AS2" s="31">
        <v>45688</v>
      </c>
      <c r="AU2" s="31">
        <v>45691</v>
      </c>
      <c r="AV2" s="13" t="s">
        <v>865</v>
      </c>
      <c r="AW2" s="31">
        <v>45693</v>
      </c>
      <c r="AX2" s="13" t="str">
        <f>IF(ISNUMBER(SEARCH("cancel",#REF!)),"Cancelled",IF(AND(AS2&lt;&gt;"",AU2&lt;&gt;"",AW2&lt;&gt;""),"Closed","Open"))</f>
        <v>Closed</v>
      </c>
      <c r="AY2" s="15" t="str">
        <f t="shared" ref="AY2:AY65" si="1">IF($AX2="Cancelled","",IF(AND(AS2&lt;&gt;"",AU2&lt;&gt;"",AW2&lt;&gt;""),"All dates received",_xlfn.TEXTJOIN(" and ",TRUE(),IF(AS2="","No sailing date",""),IF(AU2="","No shipping advice sent",""),IF(AW2="","No docs dispatch date",""))))</f>
        <v>All dates received</v>
      </c>
      <c r="BD2" s="13">
        <f>IF($AX2="Cancelled","",IFERROR(IF(OR(AS2="",AJ2=""),"",(AJ2+Variables!$B$18-AS2)),""))</f>
        <v>8</v>
      </c>
      <c r="BE2" s="13">
        <f>IF($AX2="Cancelled","",IFERROR(IF(OR(AW2="",AS2=""),"",(AS2+Variables!$B$19)-AW2),""))</f>
        <v>0</v>
      </c>
      <c r="BF2" s="44">
        <f>IF($AX2="Cancelled","",IFERROR(W2*INDEX(Variables!$B$7:$D$7,IFERROR(MATCH(IF($B2="Robusta","Robusta",(IF($B2="","Arabica",$B2))&amp;" - "&amp;(IF($C2="","Commercial",$C2))),Variables!$B$1:$D$1,0),1))*(BE2/365),""))</f>
        <v>0</v>
      </c>
      <c r="BG2" s="44">
        <f>IF($AX2="Cancelled","",IFERROR((W2*INDEX(Variables!$B$7:$D$7,IFERROR(MATCH(IF($B2="Robusta","Robusta",(IF($B2="","Arabica",$B2))&amp;" - "&amp;(IF($C2="","Commercial",$C2))),Variables!$B$1:$D$1,0),1))*IFERROR(IF(AB2="","",(AVERAGE(E2:F2)-AB2)-Variables!$B$14),"")/365)+(L2/16.67*INDEX(Variables!$B$8:$D$8,IFERROR(MATCH(IF($B2="Robusta","Robusta",(IF($B2="","Arabica",$B2))&amp;" - "&amp;(IF($C2="","Commercial",$C2))),Variables!$B$1:$D$1,0),1))*IFERROR(IF(AB2="","",(AVERAGE(E2:F2)-AB2)-Variables!$B$14),""))+(W2*INDEX(Variables!$B$9:$D$9,IFERROR(MATCH(IF($B2="Robusta","Robusta",(IF($B2="","Arabica",$B2))&amp;" - "&amp;(IF($C2="","Commercial",$C2))),Variables!$B$1:$D$1,0),1))*IFERROR(IF(AB2="","",(AVERAGE(E2:F2)-AB2)-Variables!$B$14),"")/365),""))</f>
        <v>4237.211821743098</v>
      </c>
      <c r="BH2" s="44">
        <f>IF($AX2="Cancelled","",IFERROR((W2*INDEX(Variables!$B$7:$D$7,IFERROR(MATCH(IF($B2="Robusta","Robusta",(IF($B2="","Arabica",$B2))&amp;" - "&amp;(IF($C2="","Commercial",$C2))),Variables!$B$1:$D$1,0),1))*AK2/365)+(L2/16.67*INDEX(Variables!$B$8:$D$8,IFERROR(MATCH(IF($B2="Robusta","Robusta",(IF($B2="","Arabica",$B2))&amp;" - "&amp;(IF($C2="","Commercial",$C2))),Variables!$B$1:$D$1,0),1))*AK2)+(W2*INDEX(Variables!$B$9:$D$9,IFERROR(MATCH(IF($B2="Robusta","Robusta",(IF($B2="","Arabica",$B2))&amp;" - "&amp;(IF($C2="","Commercial",$C2))),Variables!$B$1:$D$1,0),1))*AK2/365),""))</f>
        <v>2197.0727964593843</v>
      </c>
      <c r="BI2" s="44">
        <f>IF($AX2="Cancelled","",IFERROR((W2*INDEX(Variables!$B$7:$D$7,IFERROR(MATCH(IF($B2="Robusta","Robusta",(IF($B2="","Arabica",$B2))&amp;" - "&amp;(IF($C2="","Commercial",$C2))),Variables!$B$1:$D$1,0),1))*BD2/365)+(L2/16.67*INDEX(Variables!$B$8:$D$8,IFERROR(MATCH(IF($B2="Robusta","Robusta",(IF($B2="","Arabica",$B2))&amp;" - "&amp;(IF($C2="","Commercial",$C2))),Variables!$B$1:$D$1,0),1))*BD2)+(W2*INDEX(Variables!$B$9:$D$9,IFERROR(MATCH(IF($B2="Robusta","Robusta",(IF($B2="","Arabica",$B2))&amp;" - "&amp;(IF($C2="","Commercial",$C2))),Variables!$B$1:$D$1,0),1))*BD2/365),""))</f>
        <v>1255.4701694053624</v>
      </c>
      <c r="BJ2" s="44">
        <f t="shared" ref="BJ2:BJ65" si="2">IF($AX2="Cancelled","",IFERROR(IF(AS2="","",F2-AS2),""))</f>
        <v>0</v>
      </c>
      <c r="BK2" s="44">
        <f>IF($AX2="Cancelled","",IFERROR(IF(BJ2="","",(W2*INDEX(Variables!$B$7:$D$7,IFERROR(MATCH(IF($B2="Robusta","Robusta",(IF($B2="","Arabica",$B2))&amp;" - "&amp;(IF($C2="","Commercial",$C2))),Variables!$B$1:$D$1,0),1))*(BJ2/365))+(W2*INDEX(Variables!$B$9:$D$9,IFERROR(MATCH(IF($B2="Robusta","Robusta",(IF($B2="","Arabica",$B2))&amp;" - "&amp;(IF($C2="","Commercial",$C2))),Variables!$B$1:$D$1,0),1))*(BJ2/365))+(INDEX(Variables!$B$8:$D$8,IFERROR(MATCH(IF($B2="Robusta","Robusta",(IF($B2="","Arabica",$B2))&amp;" - "&amp;(IF($C2="","Commercial",$C2))),Variables!$B$1:$D$1,0),1))*L2/16.67)),""))</f>
        <v>64</v>
      </c>
    </row>
    <row r="3" spans="1:63">
      <c r="A3" s="13" t="s">
        <v>103</v>
      </c>
      <c r="B3" s="13" t="s">
        <v>104</v>
      </c>
      <c r="C3" s="13" t="s">
        <v>105</v>
      </c>
      <c r="D3" s="31">
        <v>45531</v>
      </c>
      <c r="E3" s="31">
        <v>45658</v>
      </c>
      <c r="F3" s="31">
        <v>45688</v>
      </c>
      <c r="G3" s="13">
        <v>3786486</v>
      </c>
      <c r="H3" s="13" t="s">
        <v>117</v>
      </c>
      <c r="J3" s="13" t="s">
        <v>118</v>
      </c>
      <c r="K3" s="13">
        <v>5139</v>
      </c>
      <c r="L3" s="13">
        <v>360</v>
      </c>
      <c r="M3" s="13">
        <v>1</v>
      </c>
      <c r="N3" s="13" t="s">
        <v>119</v>
      </c>
      <c r="O3" s="13" t="s">
        <v>120</v>
      </c>
      <c r="P3" s="13">
        <v>10080</v>
      </c>
      <c r="Q3" s="13" t="s">
        <v>121</v>
      </c>
      <c r="R3" s="13" t="s">
        <v>122</v>
      </c>
      <c r="S3" s="13" t="s">
        <v>123</v>
      </c>
      <c r="T3" s="13" t="s">
        <v>124</v>
      </c>
      <c r="U3" s="13" t="s">
        <v>125</v>
      </c>
      <c r="V3" s="23">
        <v>20</v>
      </c>
      <c r="W3" s="44">
        <f>IF($AX3="Cancelled","",IFERROR(((V3+INDEX(Variables!$B$6:$D$6,IFERROR(MATCH(IF($B3="Robusta","Robusta",(IF($B3="","Arabica",$B3))&amp;" - "&amp;(IF($C3="","Commercial",$C3))),Variables!$B$1:$D$1,0),1)))*22.0462)*(L3/16.67),""))</f>
        <v>147972.71899220155</v>
      </c>
      <c r="X3" s="55" t="s">
        <v>37</v>
      </c>
      <c r="Y3" s="13" t="str">
        <f>IF($AX3="Cancelled","",IF(X3="","",IFERROR(IF(INDEX(Variables!$B$38:$B$47,MATCH(X3,Variables!$A$38:$A$47,0))="Yes","Yes","No"),"No")))</f>
        <v>Yes</v>
      </c>
      <c r="Z3" s="58">
        <v>45616</v>
      </c>
      <c r="AB3" s="31">
        <v>45628</v>
      </c>
      <c r="AC3" s="13" t="str">
        <f t="shared" si="0"/>
        <v>Approved</v>
      </c>
      <c r="AF3" s="71">
        <v>45666</v>
      </c>
      <c r="AG3" s="35">
        <f>IF($AX3="Cancelled","",IFERROR(IF(F3="","",F3-Variables!$B$13),""))</f>
        <v>45673</v>
      </c>
      <c r="AH3" s="13">
        <f>IF($AX3="Cancelled","",IFERROR(IF(AB3="","",(AVERAGE(E3:F3)-AB3)-Variables!$B$14),""))</f>
        <v>15</v>
      </c>
      <c r="AJ3" s="47">
        <v>45667</v>
      </c>
      <c r="AK3" s="14">
        <f>IF($AX3="Cancelled","",IFERROR(IF(AJ3="","",IF(AND(AB3="",AF3=""),"",IF(AF3&gt;AB3,AF3+Variables!$B$15+Variables!$B$16+Variables!$B$17-AJ3,AB3+Variables!$B$16+Variables!$B$17-AJ3))),""))</f>
        <v>14</v>
      </c>
      <c r="AL3" s="48" t="s">
        <v>114</v>
      </c>
      <c r="AM3" s="13" t="s">
        <v>115</v>
      </c>
      <c r="AN3" s="13" t="s">
        <v>126</v>
      </c>
      <c r="AP3" s="31">
        <v>45674</v>
      </c>
      <c r="AR3" s="13">
        <v>248898555</v>
      </c>
      <c r="AS3" s="31">
        <v>45674</v>
      </c>
      <c r="AU3" s="31">
        <v>45677</v>
      </c>
      <c r="AV3" s="13" t="s">
        <v>865</v>
      </c>
      <c r="AW3" s="31">
        <v>45677</v>
      </c>
      <c r="AX3" s="13" t="str">
        <f>IF(ISNUMBER(SEARCH("cancel",#REF!)),"Cancelled",IF(AND(AS3&lt;&gt;"",AU3&lt;&gt;"",AW3&lt;&gt;""),"Closed","Open"))</f>
        <v>Closed</v>
      </c>
      <c r="AY3" s="15" t="str">
        <f t="shared" si="1"/>
        <v>All dates received</v>
      </c>
      <c r="BD3" s="13">
        <f>IF($AX3="Cancelled","",IFERROR(IF(OR(AS3="",AJ3=""),"",(AJ3+Variables!$B$18-AS3)),""))</f>
        <v>8</v>
      </c>
      <c r="BE3" s="13">
        <f>IF($AX3="Cancelled","",IFERROR(IF(OR(AW3="",AS3=""),"",(AS3+Variables!$B$19)-AW3),""))</f>
        <v>2</v>
      </c>
      <c r="BF3" s="44">
        <f>IF($AX3="Cancelled","",IFERROR(W3*INDEX(Variables!$B$7:$D$7,IFERROR(MATCH(IF($B3="Robusta","Robusta",(IF($B3="","Arabica",$B3))&amp;" - "&amp;(IF($C3="","Commercial",$C3))),Variables!$B$1:$D$1,0),1))*(BE3/365),""))</f>
        <v>52.282775126569533</v>
      </c>
      <c r="BG3" s="44">
        <f>IF($AX3="Cancelled","",IFERROR((W3*INDEX(Variables!$B$7:$D$7,IFERROR(MATCH(IF($B3="Robusta","Robusta",(IF($B3="","Arabica",$B3))&amp;" - "&amp;(IF($C3="","Commercial",$C3))),Variables!$B$1:$D$1,0),1))*IFERROR(IF(AB3="","",(AVERAGE(E3:F3)-AB3)-Variables!$B$14),"")/365)+(L3/16.67*INDEX(Variables!$B$8:$D$8,IFERROR(MATCH(IF($B3="Robusta","Robusta",(IF($B3="","Arabica",$B3))&amp;" - "&amp;(IF($C3="","Commercial",$C3))),Variables!$B$1:$D$1,0),1))*IFERROR(IF(AB3="","",(AVERAGE(E3:F3)-AB3)-Variables!$B$14),""))+(W3*INDEX(Variables!$B$9:$D$9,IFERROR(MATCH(IF($B3="Robusta","Robusta",(IF($B3="","Arabica",$B3))&amp;" - "&amp;(IF($C3="","Commercial",$C3))),Variables!$B$1:$D$1,0),1))*IFERROR(IF(AB3="","",(AVERAGE(E3:F3)-AB3)-Variables!$B$14),"")/365),""))</f>
        <v>667.17600747522567</v>
      </c>
      <c r="BH3" s="44">
        <f>IF($AX3="Cancelled","",IFERROR((W3*INDEX(Variables!$B$7:$D$7,IFERROR(MATCH(IF($B3="Robusta","Robusta",(IF($B3="","Arabica",$B3))&amp;" - "&amp;(IF($C3="","Commercial",$C3))),Variables!$B$1:$D$1,0),1))*AK3/365)+(L3/16.67*INDEX(Variables!$B$8:$D$8,IFERROR(MATCH(IF($B3="Robusta","Robusta",(IF($B3="","Arabica",$B3))&amp;" - "&amp;(IF($C3="","Commercial",$C3))),Variables!$B$1:$D$1,0),1))*AK3)+(W3*INDEX(Variables!$B$9:$D$9,IFERROR(MATCH(IF($B3="Robusta","Robusta",(IF($B3="","Arabica",$B3))&amp;" - "&amp;(IF($C3="","Commercial",$C3))),Variables!$B$1:$D$1,0),1))*AK3/365),""))</f>
        <v>622.6976069768773</v>
      </c>
      <c r="BI3" s="44">
        <f>IF($AX3="Cancelled","",IFERROR((W3*INDEX(Variables!$B$7:$D$7,IFERROR(MATCH(IF($B3="Robusta","Robusta",(IF($B3="","Arabica",$B3))&amp;" - "&amp;(IF($C3="","Commercial",$C3))),Variables!$B$1:$D$1,0),1))*BD3/365)+(L3/16.67*INDEX(Variables!$B$8:$D$8,IFERROR(MATCH(IF($B3="Robusta","Robusta",(IF($B3="","Arabica",$B3))&amp;" - "&amp;(IF($C3="","Commercial",$C3))),Variables!$B$1:$D$1,0),1))*BD3)+(W3*INDEX(Variables!$B$9:$D$9,IFERROR(MATCH(IF($B3="Robusta","Robusta",(IF($B3="","Arabica",$B3))&amp;" - "&amp;(IF($C3="","Commercial",$C3))),Variables!$B$1:$D$1,0),1))*BD3/365),""))</f>
        <v>355.82720398678703</v>
      </c>
      <c r="BJ3" s="44">
        <f t="shared" si="2"/>
        <v>14</v>
      </c>
      <c r="BK3" s="44">
        <f>IF($AX3="Cancelled","",IFERROR(IF(BJ3="","",(W3*INDEX(Variables!$B$7:$D$7,IFERROR(MATCH(IF($B3="Robusta","Robusta",(IF($B3="","Arabica",$B3))&amp;" - "&amp;(IF($C3="","Commercial",$C3))),Variables!$B$1:$D$1,0),1))*(BJ3/365))+(W3*INDEX(Variables!$B$9:$D$9,IFERROR(MATCH(IF($B3="Robusta","Robusta",(IF($B3="","Arabica",$B3))&amp;" - "&amp;(IF($C3="","Commercial",$C3))),Variables!$B$1:$D$1,0),1))*(BJ3/365))+(INDEX(Variables!$B$8:$D$8,IFERROR(MATCH(IF($B3="Robusta","Robusta",(IF($B3="","Arabica",$B3))&amp;" - "&amp;(IF($C3="","Commercial",$C3))),Variables!$B$1:$D$1,0),1))*L3/16.67)),""))</f>
        <v>388.6976069768773</v>
      </c>
    </row>
    <row r="4" spans="1:63">
      <c r="A4" s="13" t="s">
        <v>103</v>
      </c>
      <c r="B4" s="13" t="s">
        <v>104</v>
      </c>
      <c r="C4" s="13" t="s">
        <v>105</v>
      </c>
      <c r="D4" s="31">
        <v>45531</v>
      </c>
      <c r="E4" s="31">
        <v>45717</v>
      </c>
      <c r="F4" s="31">
        <v>45747</v>
      </c>
      <c r="G4" s="13">
        <v>3786487</v>
      </c>
      <c r="H4" s="13" t="s">
        <v>127</v>
      </c>
      <c r="J4" s="13" t="s">
        <v>118</v>
      </c>
      <c r="K4" s="13">
        <v>5183</v>
      </c>
      <c r="L4" s="13">
        <v>360</v>
      </c>
      <c r="M4" s="13">
        <v>1</v>
      </c>
      <c r="N4" s="13" t="s">
        <v>119</v>
      </c>
      <c r="O4" s="13" t="s">
        <v>120</v>
      </c>
      <c r="P4" s="13">
        <v>10080</v>
      </c>
      <c r="Q4" s="13" t="s">
        <v>121</v>
      </c>
      <c r="R4" s="13" t="s">
        <v>122</v>
      </c>
      <c r="S4" s="13" t="s">
        <v>123</v>
      </c>
      <c r="T4" s="13" t="s">
        <v>124</v>
      </c>
      <c r="U4" s="13" t="s">
        <v>125</v>
      </c>
      <c r="V4" s="23">
        <v>20</v>
      </c>
      <c r="W4" s="44">
        <f>IF($AX4="Cancelled","",IFERROR(((V4+INDEX(Variables!$B$6:$D$6,IFERROR(MATCH(IF($B4="Robusta","Robusta",(IF($B4="","Arabica",$B4))&amp;" - "&amp;(IF($C4="","Commercial",$C4))),Variables!$B$1:$D$1,0),1)))*22.0462)*(L4/16.67),""))</f>
        <v>147972.71899220155</v>
      </c>
      <c r="X4" s="55" t="s">
        <v>37</v>
      </c>
      <c r="Y4" s="13" t="str">
        <f>IF($AX4="Cancelled","",IF(X4="","",IFERROR(IF(INDEX(Variables!$B$38:$B$47,MATCH(X4,Variables!$A$38:$A$47,0))="Yes","Yes","No"),"No")))</f>
        <v>Yes</v>
      </c>
      <c r="Z4" s="58">
        <v>45677</v>
      </c>
      <c r="AB4" s="31">
        <v>45692</v>
      </c>
      <c r="AC4" s="13" t="str">
        <f t="shared" si="0"/>
        <v>Approved</v>
      </c>
      <c r="AF4" s="71">
        <v>45716</v>
      </c>
      <c r="AG4" s="35">
        <f>IF($AX4="Cancelled","",IFERROR(IF(F4="","",F4-Variables!$B$13),""))</f>
        <v>45732</v>
      </c>
      <c r="AH4" s="13">
        <f>IF($AX4="Cancelled","",IFERROR(IF(AB4="","",(AVERAGE(E4:F4)-AB4)-Variables!$B$14),""))</f>
        <v>10</v>
      </c>
      <c r="AJ4" s="47">
        <v>45717</v>
      </c>
      <c r="AK4" s="14">
        <f>IF($AX4="Cancelled","",IFERROR(IF(AJ4="","",IF(AND(AB4="",AF4=""),"",IF(AF4&gt;AB4,AF4+Variables!$B$15+Variables!$B$16+Variables!$B$17-AJ4,AB4+Variables!$B$16+Variables!$B$17-AJ4))),""))</f>
        <v>14</v>
      </c>
      <c r="AL4" s="48" t="s">
        <v>114</v>
      </c>
      <c r="AM4" s="13" t="s">
        <v>115</v>
      </c>
      <c r="AN4" s="13" t="s">
        <v>126</v>
      </c>
      <c r="AP4" s="31">
        <v>45730</v>
      </c>
      <c r="AR4" s="13">
        <v>250667662</v>
      </c>
      <c r="AS4" s="31">
        <v>45730</v>
      </c>
      <c r="AU4" s="31">
        <v>45734</v>
      </c>
      <c r="AV4" s="13" t="s">
        <v>865</v>
      </c>
      <c r="AW4" s="31">
        <v>45734</v>
      </c>
      <c r="AX4" s="13" t="str">
        <f>IF(ISNUMBER(SEARCH("cancel",#REF!)),"Cancelled",IF(AND(AS4&lt;&gt;"",AU4&lt;&gt;"",AW4&lt;&gt;""),"Closed","Open"))</f>
        <v>Closed</v>
      </c>
      <c r="AY4" s="15" t="str">
        <f t="shared" si="1"/>
        <v>All dates received</v>
      </c>
      <c r="BD4" s="13">
        <f>IF($AX4="Cancelled","",IFERROR(IF(OR(AS4="",AJ4=""),"",(AJ4+Variables!$B$18-AS4)),""))</f>
        <v>2</v>
      </c>
      <c r="BE4" s="13">
        <f>IF($AX4="Cancelled","",IFERROR(IF(OR(AW4="",AS4=""),"",(AS4+Variables!$B$19)-AW4),""))</f>
        <v>1</v>
      </c>
      <c r="BF4" s="44">
        <f>IF($AX4="Cancelled","",IFERROR(W4*INDEX(Variables!$B$7:$D$7,IFERROR(MATCH(IF($B4="Robusta","Robusta",(IF($B4="","Arabica",$B4))&amp;" - "&amp;(IF($C4="","Commercial",$C4))),Variables!$B$1:$D$1,0),1))*(BE4/365),""))</f>
        <v>26.141387563284766</v>
      </c>
      <c r="BG4" s="44">
        <f>IF($AX4="Cancelled","",IFERROR((W4*INDEX(Variables!$B$7:$D$7,IFERROR(MATCH(IF($B4="Robusta","Robusta",(IF($B4="","Arabica",$B4))&amp;" - "&amp;(IF($C4="","Commercial",$C4))),Variables!$B$1:$D$1,0),1))*IFERROR(IF(AB4="","",(AVERAGE(E4:F4)-AB4)-Variables!$B$14),"")/365)+(L4/16.67*INDEX(Variables!$B$8:$D$8,IFERROR(MATCH(IF($B4="Robusta","Robusta",(IF($B4="","Arabica",$B4))&amp;" - "&amp;(IF($C4="","Commercial",$C4))),Variables!$B$1:$D$1,0),1))*IFERROR(IF(AB4="","",(AVERAGE(E4:F4)-AB4)-Variables!$B$14),""))+(W4*INDEX(Variables!$B$9:$D$9,IFERROR(MATCH(IF($B4="Robusta","Robusta",(IF($B4="","Arabica",$B4))&amp;" - "&amp;(IF($C4="","Commercial",$C4))),Variables!$B$1:$D$1,0),1))*IFERROR(IF(AB4="","",(AVERAGE(E4:F4)-AB4)-Variables!$B$14),"")/365),""))</f>
        <v>444.78400498348373</v>
      </c>
      <c r="BH4" s="44">
        <f>IF($AX4="Cancelled","",IFERROR((W4*INDEX(Variables!$B$7:$D$7,IFERROR(MATCH(IF($B4="Robusta","Robusta",(IF($B4="","Arabica",$B4))&amp;" - "&amp;(IF($C4="","Commercial",$C4))),Variables!$B$1:$D$1,0),1))*AK4/365)+(L4/16.67*INDEX(Variables!$B$8:$D$8,IFERROR(MATCH(IF($B4="Robusta","Robusta",(IF($B4="","Arabica",$B4))&amp;" - "&amp;(IF($C4="","Commercial",$C4))),Variables!$B$1:$D$1,0),1))*AK4)+(W4*INDEX(Variables!$B$9:$D$9,IFERROR(MATCH(IF($B4="Robusta","Robusta",(IF($B4="","Arabica",$B4))&amp;" - "&amp;(IF($C4="","Commercial",$C4))),Variables!$B$1:$D$1,0),1))*AK4/365),""))</f>
        <v>622.6976069768773</v>
      </c>
      <c r="BI4" s="44">
        <f>IF($AX4="Cancelled","",IFERROR((W4*INDEX(Variables!$B$7:$D$7,IFERROR(MATCH(IF($B4="Robusta","Robusta",(IF($B4="","Arabica",$B4))&amp;" - "&amp;(IF($C4="","Commercial",$C4))),Variables!$B$1:$D$1,0),1))*BD4/365)+(L4/16.67*INDEX(Variables!$B$8:$D$8,IFERROR(MATCH(IF($B4="Robusta","Robusta",(IF($B4="","Arabica",$B4))&amp;" - "&amp;(IF($C4="","Commercial",$C4))),Variables!$B$1:$D$1,0),1))*BD4)+(W4*INDEX(Variables!$B$9:$D$9,IFERROR(MATCH(IF($B4="Robusta","Robusta",(IF($B4="","Arabica",$B4))&amp;" - "&amp;(IF($C4="","Commercial",$C4))),Variables!$B$1:$D$1,0),1))*BD4/365),""))</f>
        <v>88.956800996696757</v>
      </c>
      <c r="BJ4" s="44">
        <f t="shared" si="2"/>
        <v>17</v>
      </c>
      <c r="BK4" s="44">
        <f>IF($AX4="Cancelled","",IFERROR(IF(BJ4="","",(W4*INDEX(Variables!$B$7:$D$7,IFERROR(MATCH(IF($B4="Robusta","Robusta",(IF($B4="","Arabica",$B4))&amp;" - "&amp;(IF($C4="","Commercial",$C4))),Variables!$B$1:$D$1,0),1))*(BJ4/365))+(W4*INDEX(Variables!$B$9:$D$9,IFERROR(MATCH(IF($B4="Robusta","Robusta",(IF($B4="","Arabica",$B4))&amp;" - "&amp;(IF($C4="","Commercial",$C4))),Variables!$B$1:$D$1,0),1))*(BJ4/365))+(INDEX(Variables!$B$8:$D$8,IFERROR(MATCH(IF($B4="Robusta","Robusta",(IF($B4="","Arabica",$B4))&amp;" - "&amp;(IF($C4="","Commercial",$C4))),Variables!$B$1:$D$1,0),1))*L4/16.67)),""))</f>
        <v>468.13280847192243</v>
      </c>
    </row>
    <row r="5" spans="1:63">
      <c r="A5" s="13" t="s">
        <v>103</v>
      </c>
      <c r="B5" s="13" t="s">
        <v>104</v>
      </c>
      <c r="C5" s="13" t="s">
        <v>105</v>
      </c>
      <c r="D5" s="31">
        <v>45531</v>
      </c>
      <c r="E5" s="31">
        <v>45658</v>
      </c>
      <c r="F5" s="31">
        <v>45688</v>
      </c>
      <c r="G5" s="13">
        <v>3786489</v>
      </c>
      <c r="H5" s="13" t="s">
        <v>128</v>
      </c>
      <c r="J5" s="13" t="s">
        <v>118</v>
      </c>
      <c r="K5" s="13" t="s">
        <v>129</v>
      </c>
      <c r="L5" s="13">
        <v>1080</v>
      </c>
      <c r="M5" s="13">
        <v>3</v>
      </c>
      <c r="N5" s="13" t="s">
        <v>130</v>
      </c>
      <c r="O5" s="13" t="s">
        <v>131</v>
      </c>
      <c r="P5" s="13">
        <v>10120</v>
      </c>
      <c r="Q5" s="13" t="s">
        <v>121</v>
      </c>
      <c r="R5" s="13" t="s">
        <v>122</v>
      </c>
      <c r="S5" s="13" t="s">
        <v>132</v>
      </c>
      <c r="T5" s="13" t="s">
        <v>133</v>
      </c>
      <c r="U5" s="13" t="s">
        <v>125</v>
      </c>
      <c r="V5" s="23">
        <v>-26</v>
      </c>
      <c r="W5" s="44">
        <f>IF($AX5="Cancelled","",IFERROR(((V5+INDEX(Variables!$B$6:$D$6,IFERROR(MATCH(IF($B5="Robusta","Robusta",(IF($B5="","Arabica",$B5))&amp;" - "&amp;(IF($C5="","Commercial",$C5))),Variables!$B$1:$D$1,0),1)))*22.0462)*(L5/16.67),""))</f>
        <v>378215.98445110966</v>
      </c>
      <c r="X5" s="55" t="s">
        <v>37</v>
      </c>
      <c r="Y5" s="13" t="str">
        <f>IF($AX5="Cancelled","",IF(X5="","",IFERROR(IF(INDEX(Variables!$B$38:$B$47,MATCH(X5,Variables!$A$38:$A$47,0))="Yes","Yes","No"),"No")))</f>
        <v>Yes</v>
      </c>
      <c r="Z5" s="58">
        <v>45667</v>
      </c>
      <c r="AB5" s="31">
        <v>45673</v>
      </c>
      <c r="AC5" s="13" t="str">
        <f t="shared" si="0"/>
        <v>Approved</v>
      </c>
      <c r="AF5" s="71">
        <v>45674</v>
      </c>
      <c r="AG5" s="35">
        <f>IF($AX5="Cancelled","",IFERROR(IF(F5="","",F5-Variables!$B$13),""))</f>
        <v>45673</v>
      </c>
      <c r="AH5" s="13">
        <f>IF($AX5="Cancelled","",IFERROR(IF(AB5="","",(AVERAGE(E5:F5)-AB5)-Variables!$B$14),""))</f>
        <v>-30</v>
      </c>
      <c r="AJ5" s="47">
        <v>45675</v>
      </c>
      <c r="AK5" s="14">
        <f>IF($AX5="Cancelled","",IFERROR(IF(AJ5="","",IF(AND(AB5="",AF5=""),"",IF(AF5&gt;AB5,AF5+Variables!$B$15+Variables!$B$16+Variables!$B$17-AJ5,AB5+Variables!$B$16+Variables!$B$17-AJ5))),""))</f>
        <v>14</v>
      </c>
      <c r="AL5" s="48" t="s">
        <v>114</v>
      </c>
      <c r="AM5" s="13" t="s">
        <v>134</v>
      </c>
      <c r="AN5" s="13" t="s">
        <v>135</v>
      </c>
      <c r="AP5" s="31">
        <v>45688</v>
      </c>
      <c r="AR5" s="13" t="s">
        <v>136</v>
      </c>
      <c r="AS5" s="31">
        <v>45688</v>
      </c>
      <c r="AU5" s="31">
        <v>45692</v>
      </c>
      <c r="AV5" s="13" t="s">
        <v>865</v>
      </c>
      <c r="AW5" s="31">
        <v>45695</v>
      </c>
      <c r="AX5" s="13" t="str">
        <f>IF(ISNUMBER(SEARCH("cancel",#REF!)),"Cancelled",IF(AND(AS5&lt;&gt;"",AU5&lt;&gt;"",AW5&lt;&gt;""),"Closed","Open"))</f>
        <v>Closed</v>
      </c>
      <c r="AY5" s="15" t="str">
        <f t="shared" si="1"/>
        <v>All dates received</v>
      </c>
      <c r="BD5" s="13">
        <f>IF($AX5="Cancelled","",IFERROR(IF(OR(AS5="",AJ5=""),"",(AJ5+Variables!$B$18-AS5)),""))</f>
        <v>2</v>
      </c>
      <c r="BE5" s="13">
        <f>IF($AX5="Cancelled","",IFERROR(IF(OR(AW5="",AS5=""),"",(AS5+Variables!$B$19)-AW5),""))</f>
        <v>-2</v>
      </c>
      <c r="BF5" s="44">
        <f>IF($AX5="Cancelled","",IFERROR(W5*INDEX(Variables!$B$7:$D$7,IFERROR(MATCH(IF($B5="Robusta","Robusta",(IF($B5="","Arabica",$B5))&amp;" - "&amp;(IF($C5="","Commercial",$C5))),Variables!$B$1:$D$1,0),1))*(BE5/365),""))</f>
        <v>-133.63396576752518</v>
      </c>
      <c r="BG5" s="44">
        <f>IF($AX5="Cancelled","",IFERROR((W5*INDEX(Variables!$B$7:$D$7,IFERROR(MATCH(IF($B5="Robusta","Robusta",(IF($B5="","Arabica",$B5))&amp;" - "&amp;(IF($C5="","Commercial",$C5))),Variables!$B$1:$D$1,0),1))*IFERROR(IF(AB5="","",(AVERAGE(E5:F5)-AB5)-Variables!$B$14),"")/365)+(L5/16.67*INDEX(Variables!$B$8:$D$8,IFERROR(MATCH(IF($B5="Robusta","Robusta",(IF($B5="","Arabica",$B5))&amp;" - "&amp;(IF($C5="","Commercial",$C5))),Variables!$B$1:$D$1,0),1))*IFERROR(IF(AB5="","",(AVERAGE(E5:F5)-AB5)-Variables!$B$14),""))+(W5*INDEX(Variables!$B$9:$D$9,IFERROR(MATCH(IF($B5="Robusta","Robusta",(IF($B5="","Arabica",$B5))&amp;" - "&amp;(IF($C5="","Commercial",$C5))),Variables!$B$1:$D$1,0),1))*IFERROR(IF(AB5="","",(AVERAGE(E5:F5)-AB5)-Variables!$B$14),"")/365),""))</f>
        <v>-3650.3514822285661</v>
      </c>
      <c r="BH5" s="44">
        <f>IF($AX5="Cancelled","",IFERROR((W5*INDEX(Variables!$B$7:$D$7,IFERROR(MATCH(IF($B5="Robusta","Robusta",(IF($B5="","Arabica",$B5))&amp;" - "&amp;(IF($C5="","Commercial",$C5))),Variables!$B$1:$D$1,0),1))*AK5/365)+(L5/16.67*INDEX(Variables!$B$8:$D$8,IFERROR(MATCH(IF($B5="Robusta","Robusta",(IF($B5="","Arabica",$B5))&amp;" - "&amp;(IF($C5="","Commercial",$C5))),Variables!$B$1:$D$1,0),1))*AK5)+(W5*INDEX(Variables!$B$9:$D$9,IFERROR(MATCH(IF($B5="Robusta","Robusta",(IF($B5="","Arabica",$B5))&amp;" - "&amp;(IF($C5="","Commercial",$C5))),Variables!$B$1:$D$1,0),1))*AK5/365),""))</f>
        <v>1703.4973583733306</v>
      </c>
      <c r="BI5" s="44">
        <f>IF($AX5="Cancelled","",IFERROR((W5*INDEX(Variables!$B$7:$D$7,IFERROR(MATCH(IF($B5="Robusta","Robusta",(IF($B5="","Arabica",$B5))&amp;" - "&amp;(IF($C5="","Commercial",$C5))),Variables!$B$1:$D$1,0),1))*BD5/365)+(L5/16.67*INDEX(Variables!$B$8:$D$8,IFERROR(MATCH(IF($B5="Robusta","Robusta",(IF($B5="","Arabica",$B5))&amp;" - "&amp;(IF($C5="","Commercial",$C5))),Variables!$B$1:$D$1,0),1))*BD5)+(W5*INDEX(Variables!$B$9:$D$9,IFERROR(MATCH(IF($B5="Robusta","Robusta",(IF($B5="","Arabica",$B5))&amp;" - "&amp;(IF($C5="","Commercial",$C5))),Variables!$B$1:$D$1,0),1))*BD5/365),""))</f>
        <v>243.3567654819044</v>
      </c>
      <c r="BJ5" s="44">
        <f t="shared" si="2"/>
        <v>0</v>
      </c>
      <c r="BK5" s="44">
        <f>IF($AX5="Cancelled","",IFERROR(IF(BJ5="","",(W5*INDEX(Variables!$B$7:$D$7,IFERROR(MATCH(IF($B5="Robusta","Robusta",(IF($B5="","Arabica",$B5))&amp;" - "&amp;(IF($C5="","Commercial",$C5))),Variables!$B$1:$D$1,0),1))*(BJ5/365))+(W5*INDEX(Variables!$B$9:$D$9,IFERROR(MATCH(IF($B5="Robusta","Robusta",(IF($B5="","Arabica",$B5))&amp;" - "&amp;(IF($C5="","Commercial",$C5))),Variables!$B$1:$D$1,0),1))*(BJ5/365))+(INDEX(Variables!$B$8:$D$8,IFERROR(MATCH(IF($B5="Robusta","Robusta",(IF($B5="","Arabica",$B5))&amp;" - "&amp;(IF($C5="","Commercial",$C5))),Variables!$B$1:$D$1,0),1))*L5/16.67)),""))</f>
        <v>54.000000000000007</v>
      </c>
    </row>
    <row r="6" spans="1:63">
      <c r="A6" s="13" t="s">
        <v>103</v>
      </c>
      <c r="B6" s="13" t="s">
        <v>104</v>
      </c>
      <c r="C6" s="13" t="s">
        <v>105</v>
      </c>
      <c r="D6" s="31">
        <v>45531</v>
      </c>
      <c r="E6" s="31">
        <v>45658</v>
      </c>
      <c r="F6" s="31">
        <v>45688</v>
      </c>
      <c r="G6" s="13">
        <v>3786489</v>
      </c>
      <c r="H6" s="13" t="s">
        <v>128</v>
      </c>
      <c r="J6" s="13" t="s">
        <v>118</v>
      </c>
      <c r="K6" s="13" t="s">
        <v>137</v>
      </c>
      <c r="L6" s="13">
        <v>360</v>
      </c>
      <c r="M6" s="13">
        <v>1</v>
      </c>
      <c r="N6" s="13" t="s">
        <v>130</v>
      </c>
      <c r="O6" s="13" t="s">
        <v>131</v>
      </c>
      <c r="P6" s="13">
        <v>10120</v>
      </c>
      <c r="Q6" s="13" t="s">
        <v>121</v>
      </c>
      <c r="R6" s="13" t="s">
        <v>122</v>
      </c>
      <c r="S6" s="13" t="s">
        <v>138</v>
      </c>
      <c r="T6" s="13" t="s">
        <v>139</v>
      </c>
      <c r="U6" s="13" t="s">
        <v>125</v>
      </c>
      <c r="V6" s="23">
        <v>-26</v>
      </c>
      <c r="W6" s="44">
        <f>IF($AX6="Cancelled","",IFERROR(((V6+INDEX(Variables!$B$6:$D$6,IFERROR(MATCH(IF($B6="Robusta","Robusta",(IF($B6="","Arabica",$B6))&amp;" - "&amp;(IF($C6="","Commercial",$C6))),Variables!$B$1:$D$1,0),1)))*22.0462)*(L6/16.67),""))</f>
        <v>126071.99481703658</v>
      </c>
      <c r="X6" s="55" t="s">
        <v>37</v>
      </c>
      <c r="Y6" s="13" t="str">
        <f>IF($AX6="Cancelled","",IF(X6="","",IFERROR(IF(INDEX(Variables!$B$38:$B$47,MATCH(X6,Variables!$A$38:$A$47,0))="Yes","Yes","No"),"No")))</f>
        <v>Yes</v>
      </c>
      <c r="Z6" s="58">
        <v>45667</v>
      </c>
      <c r="AB6" s="31">
        <v>45673</v>
      </c>
      <c r="AC6" s="13" t="str">
        <f t="shared" si="0"/>
        <v>Approved</v>
      </c>
      <c r="AF6" s="71">
        <v>45674</v>
      </c>
      <c r="AG6" s="35">
        <f>IF($AX6="Cancelled","",IFERROR(IF(F6="","",F6-Variables!$B$13),""))</f>
        <v>45673</v>
      </c>
      <c r="AH6" s="13">
        <f>IF($AX6="Cancelled","",IFERROR(IF(AB6="","",(AVERAGE(E6:F6)-AB6)-Variables!$B$14),""))</f>
        <v>-30</v>
      </c>
      <c r="AJ6" s="47">
        <v>45675</v>
      </c>
      <c r="AK6" s="14">
        <f>IF($AX6="Cancelled","",IFERROR(IF(AJ6="","",IF(AND(AB6="",AF6=""),"",IF(AF6&gt;AB6,AF6+Variables!$B$15+Variables!$B$16+Variables!$B$17-AJ6,AB6+Variables!$B$16+Variables!$B$17-AJ6))),""))</f>
        <v>14</v>
      </c>
      <c r="AL6" s="48" t="s">
        <v>114</v>
      </c>
      <c r="AM6" s="13" t="s">
        <v>134</v>
      </c>
      <c r="AN6" s="13" t="s">
        <v>135</v>
      </c>
      <c r="AP6" s="31">
        <v>45688</v>
      </c>
      <c r="AR6" s="13" t="s">
        <v>136</v>
      </c>
      <c r="AS6" s="31">
        <v>45688</v>
      </c>
      <c r="AU6" s="31">
        <v>45692</v>
      </c>
      <c r="AV6" s="13" t="s">
        <v>865</v>
      </c>
      <c r="AW6" s="31">
        <v>45695</v>
      </c>
      <c r="AX6" s="13" t="str">
        <f>IF(ISNUMBER(SEARCH("cancel",#REF!)),"Cancelled",IF(AND(AS6&lt;&gt;"",AU6&lt;&gt;"",AW6&lt;&gt;""),"Closed","Open"))</f>
        <v>Closed</v>
      </c>
      <c r="AY6" s="15" t="str">
        <f t="shared" si="1"/>
        <v>All dates received</v>
      </c>
      <c r="BD6" s="13">
        <f>IF($AX6="Cancelled","",IFERROR(IF(OR(AS6="",AJ6=""),"",(AJ6+Variables!$B$18-AS6)),""))</f>
        <v>2</v>
      </c>
      <c r="BE6" s="13">
        <f>IF($AX6="Cancelled","",IFERROR(IF(OR(AW6="",AS6=""),"",(AS6+Variables!$B$19)-AW6),""))</f>
        <v>-2</v>
      </c>
      <c r="BF6" s="44">
        <f>IF($AX6="Cancelled","",IFERROR(W6*INDEX(Variables!$B$7:$D$7,IFERROR(MATCH(IF($B6="Robusta","Robusta",(IF($B6="","Arabica",$B6))&amp;" - "&amp;(IF($C6="","Commercial",$C6))),Variables!$B$1:$D$1,0),1))*(BE6/365),""))</f>
        <v>-44.544655255841732</v>
      </c>
      <c r="BG6" s="44">
        <f>IF($AX6="Cancelled","",IFERROR((W6*INDEX(Variables!$B$7:$D$7,IFERROR(MATCH(IF($B6="Robusta","Robusta",(IF($B6="","Arabica",$B6))&amp;" - "&amp;(IF($C6="","Commercial",$C6))),Variables!$B$1:$D$1,0),1))*IFERROR(IF(AB6="","",(AVERAGE(E6:F6)-AB6)-Variables!$B$14),"")/365)+(L6/16.67*INDEX(Variables!$B$8:$D$8,IFERROR(MATCH(IF($B6="Robusta","Robusta",(IF($B6="","Arabica",$B6))&amp;" - "&amp;(IF($C6="","Commercial",$C6))),Variables!$B$1:$D$1,0),1))*IFERROR(IF(AB6="","",(AVERAGE(E6:F6)-AB6)-Variables!$B$14),""))+(W6*INDEX(Variables!$B$9:$D$9,IFERROR(MATCH(IF($B6="Robusta","Robusta",(IF($B6="","Arabica",$B6))&amp;" - "&amp;(IF($C6="","Commercial",$C6))),Variables!$B$1:$D$1,0),1))*IFERROR(IF(AB6="","",(AVERAGE(E6:F6)-AB6)-Variables!$B$14),"")/365),""))</f>
        <v>-1216.783827409522</v>
      </c>
      <c r="BH6" s="44">
        <f>IF($AX6="Cancelled","",IFERROR((W6*INDEX(Variables!$B$7:$D$7,IFERROR(MATCH(IF($B6="Robusta","Robusta",(IF($B6="","Arabica",$B6))&amp;" - "&amp;(IF($C6="","Commercial",$C6))),Variables!$B$1:$D$1,0),1))*AK6/365)+(L6/16.67*INDEX(Variables!$B$8:$D$8,IFERROR(MATCH(IF($B6="Robusta","Robusta",(IF($B6="","Arabica",$B6))&amp;" - "&amp;(IF($C6="","Commercial",$C6))),Variables!$B$1:$D$1,0),1))*AK6)+(W6*INDEX(Variables!$B$9:$D$9,IFERROR(MATCH(IF($B6="Robusta","Robusta",(IF($B6="","Arabica",$B6))&amp;" - "&amp;(IF($C6="","Commercial",$C6))),Variables!$B$1:$D$1,0),1))*AK6/365),""))</f>
        <v>567.83245279111031</v>
      </c>
      <c r="BI6" s="44">
        <f>IF($AX6="Cancelled","",IFERROR((W6*INDEX(Variables!$B$7:$D$7,IFERROR(MATCH(IF($B6="Robusta","Robusta",(IF($B6="","Arabica",$B6))&amp;" - "&amp;(IF($C6="","Commercial",$C6))),Variables!$B$1:$D$1,0),1))*BD6/365)+(L6/16.67*INDEX(Variables!$B$8:$D$8,IFERROR(MATCH(IF($B6="Robusta","Robusta",(IF($B6="","Arabica",$B6))&amp;" - "&amp;(IF($C6="","Commercial",$C6))),Variables!$B$1:$D$1,0),1))*BD6)+(W6*INDEX(Variables!$B$9:$D$9,IFERROR(MATCH(IF($B6="Robusta","Robusta",(IF($B6="","Arabica",$B6))&amp;" - "&amp;(IF($C6="","Commercial",$C6))),Variables!$B$1:$D$1,0),1))*BD6/365),""))</f>
        <v>81.118921827301492</v>
      </c>
      <c r="BJ6" s="44">
        <f t="shared" si="2"/>
        <v>0</v>
      </c>
      <c r="BK6" s="44">
        <f>IF($AX6="Cancelled","",IFERROR(IF(BJ6="","",(W6*INDEX(Variables!$B$7:$D$7,IFERROR(MATCH(IF($B6="Robusta","Robusta",(IF($B6="","Arabica",$B6))&amp;" - "&amp;(IF($C6="","Commercial",$C6))),Variables!$B$1:$D$1,0),1))*(BJ6/365))+(W6*INDEX(Variables!$B$9:$D$9,IFERROR(MATCH(IF($B6="Robusta","Robusta",(IF($B6="","Arabica",$B6))&amp;" - "&amp;(IF($C6="","Commercial",$C6))),Variables!$B$1:$D$1,0),1))*(BJ6/365))+(INDEX(Variables!$B$8:$D$8,IFERROR(MATCH(IF($B6="Robusta","Robusta",(IF($B6="","Arabica",$B6))&amp;" - "&amp;(IF($C6="","Commercial",$C6))),Variables!$B$1:$D$1,0),1))*L6/16.67)),""))</f>
        <v>18</v>
      </c>
    </row>
    <row r="7" spans="1:63">
      <c r="A7" s="13" t="s">
        <v>103</v>
      </c>
      <c r="B7" s="13" t="s">
        <v>104</v>
      </c>
      <c r="C7" s="13" t="s">
        <v>105</v>
      </c>
      <c r="D7" s="31">
        <v>45531</v>
      </c>
      <c r="E7" s="31">
        <v>45689</v>
      </c>
      <c r="F7" s="31">
        <v>45716</v>
      </c>
      <c r="G7" s="13">
        <v>3786490</v>
      </c>
      <c r="H7" s="13" t="s">
        <v>140</v>
      </c>
      <c r="J7" s="13" t="s">
        <v>118</v>
      </c>
      <c r="K7" s="13">
        <v>5158</v>
      </c>
      <c r="L7" s="13">
        <v>1440</v>
      </c>
      <c r="M7" s="13">
        <v>4</v>
      </c>
      <c r="N7" s="13" t="s">
        <v>130</v>
      </c>
      <c r="O7" s="13" t="s">
        <v>131</v>
      </c>
      <c r="P7" s="13">
        <v>10120</v>
      </c>
      <c r="Q7" s="13" t="s">
        <v>121</v>
      </c>
      <c r="R7" s="13" t="s">
        <v>122</v>
      </c>
      <c r="S7" s="13" t="s">
        <v>138</v>
      </c>
      <c r="T7" s="13" t="s">
        <v>139</v>
      </c>
      <c r="U7" s="13" t="s">
        <v>125</v>
      </c>
      <c r="V7" s="23">
        <v>-26</v>
      </c>
      <c r="W7" s="44">
        <f>IF($AX7="Cancelled","",IFERROR(((V7+INDEX(Variables!$B$6:$D$6,IFERROR(MATCH(IF($B7="Robusta","Robusta",(IF($B7="","Arabica",$B7))&amp;" - "&amp;(IF($C7="","Commercial",$C7))),Variables!$B$1:$D$1,0),1)))*22.0462)*(L7/16.67),""))</f>
        <v>504287.97926814633</v>
      </c>
      <c r="X7" s="55" t="s">
        <v>37</v>
      </c>
      <c r="Y7" s="13" t="str">
        <f>IF($AX7="Cancelled","",IF(X7="","",IFERROR(IF(INDEX(Variables!$B$38:$B$47,MATCH(X7,Variables!$A$38:$A$47,0))="Yes","Yes","No"),"No")))</f>
        <v>Yes</v>
      </c>
      <c r="Z7" s="58">
        <v>45667</v>
      </c>
      <c r="AB7" s="31">
        <v>45673</v>
      </c>
      <c r="AC7" s="13" t="str">
        <f t="shared" si="0"/>
        <v>Approved</v>
      </c>
      <c r="AF7" s="71">
        <v>45688</v>
      </c>
      <c r="AG7" s="35">
        <f>IF($AX7="Cancelled","",IFERROR(IF(F7="","",F7-Variables!$B$13),""))</f>
        <v>45701</v>
      </c>
      <c r="AH7" s="13">
        <f>IF($AX7="Cancelled","",IFERROR(IF(AB7="","",(AVERAGE(E7:F7)-AB7)-Variables!$B$14),""))</f>
        <v>-0.5</v>
      </c>
      <c r="AJ7" s="47">
        <v>45691</v>
      </c>
      <c r="AK7" s="14">
        <f>IF($AX7="Cancelled","",IFERROR(IF(AJ7="","",IF(AND(AB7="",AF7=""),"",IF(AF7&gt;AB7,AF7+Variables!$B$15+Variables!$B$16+Variables!$B$17-AJ7,AB7+Variables!$B$16+Variables!$B$17-AJ7))),""))</f>
        <v>12</v>
      </c>
      <c r="AL7" s="48" t="s">
        <v>114</v>
      </c>
      <c r="AM7" s="13" t="s">
        <v>141</v>
      </c>
      <c r="AN7" s="13" t="s">
        <v>142</v>
      </c>
      <c r="AP7" s="31">
        <v>45708</v>
      </c>
      <c r="AR7" s="13" t="s">
        <v>143</v>
      </c>
      <c r="AS7" s="31">
        <v>45708</v>
      </c>
      <c r="AU7" s="31">
        <v>45714</v>
      </c>
      <c r="AV7" s="13" t="s">
        <v>865</v>
      </c>
      <c r="AW7" s="31">
        <v>45714</v>
      </c>
      <c r="AX7" s="13" t="str">
        <f>IF(ISNUMBER(SEARCH("cancel",#REF!)),"Cancelled",IF(AND(AS7&lt;&gt;"",AU7&lt;&gt;"",AW7&lt;&gt;""),"Closed","Open"))</f>
        <v>Closed</v>
      </c>
      <c r="AY7" s="15" t="str">
        <f t="shared" si="1"/>
        <v>All dates received</v>
      </c>
      <c r="BD7" s="13">
        <f>IF($AX7="Cancelled","",IFERROR(IF(OR(AS7="",AJ7=""),"",(AJ7+Variables!$B$18-AS7)),""))</f>
        <v>-2</v>
      </c>
      <c r="BE7" s="13">
        <f>IF($AX7="Cancelled","",IFERROR(IF(OR(AW7="",AS7=""),"",(AS7+Variables!$B$19)-AW7),""))</f>
        <v>-1</v>
      </c>
      <c r="BF7" s="44">
        <f>IF($AX7="Cancelled","",IFERROR(W7*INDEX(Variables!$B$7:$D$7,IFERROR(MATCH(IF($B7="Robusta","Robusta",(IF($B7="","Arabica",$B7))&amp;" - "&amp;(IF($C7="","Commercial",$C7))),Variables!$B$1:$D$1,0),1))*(BE7/365),""))</f>
        <v>-89.089310511683465</v>
      </c>
      <c r="BG7" s="44">
        <f>IF($AX7="Cancelled","",IFERROR((W7*INDEX(Variables!$B$7:$D$7,IFERROR(MATCH(IF($B7="Robusta","Robusta",(IF($B7="","Arabica",$B7))&amp;" - "&amp;(IF($C7="","Commercial",$C7))),Variables!$B$1:$D$1,0),1))*IFERROR(IF(AB7="","",(AVERAGE(E7:F7)-AB7)-Variables!$B$14),"")/365)+(L7/16.67*INDEX(Variables!$B$8:$D$8,IFERROR(MATCH(IF($B7="Robusta","Robusta",(IF($B7="","Arabica",$B7))&amp;" - "&amp;(IF($C7="","Commercial",$C7))),Variables!$B$1:$D$1,0),1))*IFERROR(IF(AB7="","",(AVERAGE(E7:F7)-AB7)-Variables!$B$14),""))+(W7*INDEX(Variables!$B$9:$D$9,IFERROR(MATCH(IF($B7="Robusta","Robusta",(IF($B7="","Arabica",$B7))&amp;" - "&amp;(IF($C7="","Commercial",$C7))),Variables!$B$1:$D$1,0),1))*IFERROR(IF(AB7="","",(AVERAGE(E7:F7)-AB7)-Variables!$B$14),"")/365),""))</f>
        <v>-81.118921827301492</v>
      </c>
      <c r="BH7" s="44">
        <f>IF($AX7="Cancelled","",IFERROR((W7*INDEX(Variables!$B$7:$D$7,IFERROR(MATCH(IF($B7="Robusta","Robusta",(IF($B7="","Arabica",$B7))&amp;" - "&amp;(IF($C7="","Commercial",$C7))),Variables!$B$1:$D$1,0),1))*AK7/365)+(L7/16.67*INDEX(Variables!$B$8:$D$8,IFERROR(MATCH(IF($B7="Robusta","Robusta",(IF($B7="","Arabica",$B7))&amp;" - "&amp;(IF($C7="","Commercial",$C7))),Variables!$B$1:$D$1,0),1))*AK7)+(W7*INDEX(Variables!$B$9:$D$9,IFERROR(MATCH(IF($B7="Robusta","Robusta",(IF($B7="","Arabica",$B7))&amp;" - "&amp;(IF($C7="","Commercial",$C7))),Variables!$B$1:$D$1,0),1))*AK7/365),""))</f>
        <v>1946.8541238552357</v>
      </c>
      <c r="BI7" s="44">
        <f>IF($AX7="Cancelled","",IFERROR((W7*INDEX(Variables!$B$7:$D$7,IFERROR(MATCH(IF($B7="Robusta","Robusta",(IF($B7="","Arabica",$B7))&amp;" - "&amp;(IF($C7="","Commercial",$C7))),Variables!$B$1:$D$1,0),1))*BD7/365)+(L7/16.67*INDEX(Variables!$B$8:$D$8,IFERROR(MATCH(IF($B7="Robusta","Robusta",(IF($B7="","Arabica",$B7))&amp;" - "&amp;(IF($C7="","Commercial",$C7))),Variables!$B$1:$D$1,0),1))*BD7)+(W7*INDEX(Variables!$B$9:$D$9,IFERROR(MATCH(IF($B7="Robusta","Robusta",(IF($B7="","Arabica",$B7))&amp;" - "&amp;(IF($C7="","Commercial",$C7))),Variables!$B$1:$D$1,0),1))*BD7/365),""))</f>
        <v>-324.47568730920597</v>
      </c>
      <c r="BJ7" s="44">
        <f t="shared" si="2"/>
        <v>8</v>
      </c>
      <c r="BK7" s="44">
        <f>IF($AX7="Cancelled","",IFERROR(IF(BJ7="","",(W7*INDEX(Variables!$B$7:$D$7,IFERROR(MATCH(IF($B7="Robusta","Robusta",(IF($B7="","Arabica",$B7))&amp;" - "&amp;(IF($C7="","Commercial",$C7))),Variables!$B$1:$D$1,0),1))*(BJ7/365))+(W7*INDEX(Variables!$B$9:$D$9,IFERROR(MATCH(IF($B7="Robusta","Robusta",(IF($B7="","Arabica",$B7))&amp;" - "&amp;(IF($C7="","Commercial",$C7))),Variables!$B$1:$D$1,0),1))*(BJ7/365))+(INDEX(Variables!$B$8:$D$8,IFERROR(MATCH(IF($B7="Robusta","Robusta",(IF($B7="","Arabica",$B7))&amp;" - "&amp;(IF($C7="","Commercial",$C7))),Variables!$B$1:$D$1,0),1))*L7/16.67)),""))</f>
        <v>793.90274923682352</v>
      </c>
    </row>
    <row r="8" spans="1:63">
      <c r="A8" s="13" t="s">
        <v>103</v>
      </c>
      <c r="B8" s="13" t="s">
        <v>104</v>
      </c>
      <c r="C8" s="13" t="s">
        <v>105</v>
      </c>
      <c r="D8" s="31">
        <v>45531</v>
      </c>
      <c r="E8" s="31">
        <v>45717</v>
      </c>
      <c r="F8" s="31">
        <v>45747</v>
      </c>
      <c r="G8" s="13">
        <v>3786491</v>
      </c>
      <c r="H8" s="13" t="s">
        <v>144</v>
      </c>
      <c r="J8" s="13" t="s">
        <v>118</v>
      </c>
      <c r="K8" s="13" t="s">
        <v>145</v>
      </c>
      <c r="L8" s="13">
        <v>360</v>
      </c>
      <c r="M8" s="13">
        <v>1</v>
      </c>
      <c r="N8" s="13" t="s">
        <v>130</v>
      </c>
      <c r="O8" s="13" t="s">
        <v>131</v>
      </c>
      <c r="P8" s="13">
        <v>10120</v>
      </c>
      <c r="Q8" s="13" t="s">
        <v>121</v>
      </c>
      <c r="R8" s="13" t="s">
        <v>122</v>
      </c>
      <c r="S8" s="13" t="s">
        <v>123</v>
      </c>
      <c r="T8" s="13" t="s">
        <v>124</v>
      </c>
      <c r="U8" s="13" t="s">
        <v>125</v>
      </c>
      <c r="V8" s="23">
        <v>-26</v>
      </c>
      <c r="W8" s="44">
        <f>IF($AX8="Cancelled","",IFERROR(((V8+INDEX(Variables!$B$6:$D$6,IFERROR(MATCH(IF($B8="Robusta","Robusta",(IF($B8="","Arabica",$B8))&amp;" - "&amp;(IF($C8="","Commercial",$C8))),Variables!$B$1:$D$1,0),1)))*22.0462)*(L8/16.67),""))</f>
        <v>126071.99481703658</v>
      </c>
      <c r="X8" s="55" t="s">
        <v>37</v>
      </c>
      <c r="Y8" s="13" t="str">
        <f>IF($AX8="Cancelled","",IF(X8="","",IFERROR(IF(INDEX(Variables!$B$38:$B$47,MATCH(X8,Variables!$A$38:$A$47,0))="Yes","Yes","No"),"No")))</f>
        <v>Yes</v>
      </c>
      <c r="Z8" s="58">
        <v>45698</v>
      </c>
      <c r="AB8" s="31">
        <v>45714</v>
      </c>
      <c r="AC8" s="13" t="str">
        <f t="shared" si="0"/>
        <v>Approved</v>
      </c>
      <c r="AF8" s="71">
        <v>45721</v>
      </c>
      <c r="AG8" s="35">
        <f>IF($AX8="Cancelled","",IFERROR(IF(F8="","",F8-Variables!$B$13),""))</f>
        <v>45732</v>
      </c>
      <c r="AH8" s="13">
        <f>IF($AX8="Cancelled","",IFERROR(IF(AB8="","",(AVERAGE(E8:F8)-AB8)-Variables!$B$14),""))</f>
        <v>-12</v>
      </c>
      <c r="AJ8" s="47">
        <v>45721</v>
      </c>
      <c r="AK8" s="14">
        <f>IF($AX8="Cancelled","",IFERROR(IF(AJ8="","",IF(AND(AB8="",AF8=""),"",IF(AF8&gt;AB8,AF8+Variables!$B$15+Variables!$B$16+Variables!$B$17-AJ8,AB8+Variables!$B$16+Variables!$B$17-AJ8))),""))</f>
        <v>15</v>
      </c>
      <c r="AL8" s="48" t="s">
        <v>114</v>
      </c>
      <c r="AM8" s="13" t="s">
        <v>141</v>
      </c>
      <c r="AN8" s="13" t="s">
        <v>146</v>
      </c>
      <c r="AP8" s="31">
        <v>45732</v>
      </c>
      <c r="AR8" s="13" t="s">
        <v>147</v>
      </c>
      <c r="AS8" s="31">
        <v>45732</v>
      </c>
      <c r="AU8" s="31">
        <v>45734</v>
      </c>
      <c r="AV8" s="13" t="s">
        <v>865</v>
      </c>
      <c r="AW8" s="31">
        <v>45735</v>
      </c>
      <c r="AX8" s="13" t="str">
        <f>IF(ISNUMBER(SEARCH("cancel",#REF!)),"Cancelled",IF(AND(AS8&lt;&gt;"",AU8&lt;&gt;"",AW8&lt;&gt;""),"Closed","Open"))</f>
        <v>Closed</v>
      </c>
      <c r="AY8" s="15" t="str">
        <f t="shared" si="1"/>
        <v>All dates received</v>
      </c>
      <c r="BD8" s="13">
        <f>IF($AX8="Cancelled","",IFERROR(IF(OR(AS8="",AJ8=""),"",(AJ8+Variables!$B$18-AS8)),""))</f>
        <v>4</v>
      </c>
      <c r="BE8" s="13">
        <f>IF($AX8="Cancelled","",IFERROR(IF(OR(AW8="",AS8=""),"",(AS8+Variables!$B$19)-AW8),""))</f>
        <v>2</v>
      </c>
      <c r="BF8" s="44">
        <f>IF($AX8="Cancelled","",IFERROR(W8*INDEX(Variables!$B$7:$D$7,IFERROR(MATCH(IF($B8="Robusta","Robusta",(IF($B8="","Arabica",$B8))&amp;" - "&amp;(IF($C8="","Commercial",$C8))),Variables!$B$1:$D$1,0),1))*(BE8/365),""))</f>
        <v>44.544655255841732</v>
      </c>
      <c r="BG8" s="44">
        <f>IF($AX8="Cancelled","",IFERROR((W8*INDEX(Variables!$B$7:$D$7,IFERROR(MATCH(IF($B8="Robusta","Robusta",(IF($B8="","Arabica",$B8))&amp;" - "&amp;(IF($C8="","Commercial",$C8))),Variables!$B$1:$D$1,0),1))*IFERROR(IF(AB8="","",(AVERAGE(E8:F8)-AB8)-Variables!$B$14),"")/365)+(L8/16.67*INDEX(Variables!$B$8:$D$8,IFERROR(MATCH(IF($B8="Robusta","Robusta",(IF($B8="","Arabica",$B8))&amp;" - "&amp;(IF($C8="","Commercial",$C8))),Variables!$B$1:$D$1,0),1))*IFERROR(IF(AB8="","",(AVERAGE(E8:F8)-AB8)-Variables!$B$14),""))+(W8*INDEX(Variables!$B$9:$D$9,IFERROR(MATCH(IF($B8="Robusta","Robusta",(IF($B8="","Arabica",$B8))&amp;" - "&amp;(IF($C8="","Commercial",$C8))),Variables!$B$1:$D$1,0),1))*IFERROR(IF(AB8="","",(AVERAGE(E8:F8)-AB8)-Variables!$B$14),"")/365),""))</f>
        <v>-486.71353096380892</v>
      </c>
      <c r="BH8" s="44">
        <f>IF($AX8="Cancelled","",IFERROR((W8*INDEX(Variables!$B$7:$D$7,IFERROR(MATCH(IF($B8="Robusta","Robusta",(IF($B8="","Arabica",$B8))&amp;" - "&amp;(IF($C8="","Commercial",$C8))),Variables!$B$1:$D$1,0),1))*AK8/365)+(L8/16.67*INDEX(Variables!$B$8:$D$8,IFERROR(MATCH(IF($B8="Robusta","Robusta",(IF($B8="","Arabica",$B8))&amp;" - "&amp;(IF($C8="","Commercial",$C8))),Variables!$B$1:$D$1,0),1))*AK8)+(W8*INDEX(Variables!$B$9:$D$9,IFERROR(MATCH(IF($B8="Robusta","Robusta",(IF($B8="","Arabica",$B8))&amp;" - "&amp;(IF($C8="","Commercial",$C8))),Variables!$B$1:$D$1,0),1))*AK8/365),""))</f>
        <v>608.39191370476101</v>
      </c>
      <c r="BI8" s="44">
        <f>IF($AX8="Cancelled","",IFERROR((W8*INDEX(Variables!$B$7:$D$7,IFERROR(MATCH(IF($B8="Robusta","Robusta",(IF($B8="","Arabica",$B8))&amp;" - "&amp;(IF($C8="","Commercial",$C8))),Variables!$B$1:$D$1,0),1))*BD8/365)+(L8/16.67*INDEX(Variables!$B$8:$D$8,IFERROR(MATCH(IF($B8="Robusta","Robusta",(IF($B8="","Arabica",$B8))&amp;" - "&amp;(IF($C8="","Commercial",$C8))),Variables!$B$1:$D$1,0),1))*BD8)+(W8*INDEX(Variables!$B$9:$D$9,IFERROR(MATCH(IF($B8="Robusta","Robusta",(IF($B8="","Arabica",$B8))&amp;" - "&amp;(IF($C8="","Commercial",$C8))),Variables!$B$1:$D$1,0),1))*BD8/365),""))</f>
        <v>162.23784365460298</v>
      </c>
      <c r="BJ8" s="44">
        <f t="shared" si="2"/>
        <v>15</v>
      </c>
      <c r="BK8" s="44">
        <f>IF($AX8="Cancelled","",IFERROR(IF(BJ8="","",(W8*INDEX(Variables!$B$7:$D$7,IFERROR(MATCH(IF($B8="Robusta","Robusta",(IF($B8="","Arabica",$B8))&amp;" - "&amp;(IF($C8="","Commercial",$C8))),Variables!$B$1:$D$1,0),1))*(BJ8/365))+(W8*INDEX(Variables!$B$9:$D$9,IFERROR(MATCH(IF($B8="Robusta","Robusta",(IF($B8="","Arabica",$B8))&amp;" - "&amp;(IF($C8="","Commercial",$C8))),Variables!$B$1:$D$1,0),1))*(BJ8/365))+(INDEX(Variables!$B$8:$D$8,IFERROR(MATCH(IF($B8="Robusta","Robusta",(IF($B8="","Arabica",$B8))&amp;" - "&amp;(IF($C8="","Commercial",$C8))),Variables!$B$1:$D$1,0),1))*L8/16.67)),""))</f>
        <v>356.39191370476107</v>
      </c>
    </row>
    <row r="9" spans="1:63">
      <c r="A9" s="13" t="s">
        <v>103</v>
      </c>
      <c r="B9" s="13" t="s">
        <v>104</v>
      </c>
      <c r="C9" s="13" t="s">
        <v>105</v>
      </c>
      <c r="D9" s="31">
        <v>45531</v>
      </c>
      <c r="E9" s="31">
        <v>45717</v>
      </c>
      <c r="F9" s="31">
        <v>45747</v>
      </c>
      <c r="G9" s="13">
        <v>3786491</v>
      </c>
      <c r="H9" s="13" t="s">
        <v>144</v>
      </c>
      <c r="J9" s="13" t="s">
        <v>118</v>
      </c>
      <c r="K9" s="13" t="s">
        <v>148</v>
      </c>
      <c r="L9" s="13">
        <v>360</v>
      </c>
      <c r="M9" s="13">
        <v>1</v>
      </c>
      <c r="N9" s="13" t="s">
        <v>130</v>
      </c>
      <c r="O9" s="13" t="s">
        <v>131</v>
      </c>
      <c r="P9" s="13">
        <v>10120</v>
      </c>
      <c r="Q9" s="13" t="s">
        <v>121</v>
      </c>
      <c r="R9" s="13" t="s">
        <v>122</v>
      </c>
      <c r="S9" s="13" t="s">
        <v>132</v>
      </c>
      <c r="T9" s="13" t="s">
        <v>133</v>
      </c>
      <c r="U9" s="13" t="s">
        <v>125</v>
      </c>
      <c r="V9" s="23">
        <v>-26</v>
      </c>
      <c r="W9" s="44">
        <f>IF($AX9="Cancelled","",IFERROR(((V9+INDEX(Variables!$B$6:$D$6,IFERROR(MATCH(IF($B9="Robusta","Robusta",(IF($B9="","Arabica",$B9))&amp;" - "&amp;(IF($C9="","Commercial",$C9))),Variables!$B$1:$D$1,0),1)))*22.0462)*(L9/16.67),""))</f>
        <v>126071.99481703658</v>
      </c>
      <c r="X9" s="55" t="s">
        <v>37</v>
      </c>
      <c r="Y9" s="13" t="str">
        <f>IF($AX9="Cancelled","",IF(X9="","",IFERROR(IF(INDEX(Variables!$B$38:$B$47,MATCH(X9,Variables!$A$38:$A$47,0))="Yes","Yes","No"),"No")))</f>
        <v>Yes</v>
      </c>
      <c r="Z9" s="58">
        <v>45698</v>
      </c>
      <c r="AB9" s="31">
        <v>45714</v>
      </c>
      <c r="AC9" s="13" t="str">
        <f t="shared" si="0"/>
        <v>Approved</v>
      </c>
      <c r="AF9" s="71">
        <v>45721</v>
      </c>
      <c r="AG9" s="35">
        <f>IF($AX9="Cancelled","",IFERROR(IF(F9="","",F9-Variables!$B$13),""))</f>
        <v>45732</v>
      </c>
      <c r="AH9" s="13">
        <f>IF($AX9="Cancelled","",IFERROR(IF(AB9="","",(AVERAGE(E9:F9)-AB9)-Variables!$B$14),""))</f>
        <v>-12</v>
      </c>
      <c r="AJ9" s="47">
        <v>45721</v>
      </c>
      <c r="AK9" s="14">
        <f>IF($AX9="Cancelled","",IFERROR(IF(AJ9="","",IF(AND(AB9="",AF9=""),"",IF(AF9&gt;AB9,AF9+Variables!$B$15+Variables!$B$16+Variables!$B$17-AJ9,AB9+Variables!$B$16+Variables!$B$17-AJ9))),""))</f>
        <v>15</v>
      </c>
      <c r="AL9" s="48" t="s">
        <v>114</v>
      </c>
      <c r="AM9" s="13" t="s">
        <v>141</v>
      </c>
      <c r="AN9" s="13" t="s">
        <v>146</v>
      </c>
      <c r="AP9" s="31">
        <v>45732</v>
      </c>
      <c r="AR9" s="13" t="s">
        <v>147</v>
      </c>
      <c r="AS9" s="31">
        <v>45738</v>
      </c>
      <c r="AU9" s="31">
        <v>45744</v>
      </c>
      <c r="AV9" s="13" t="s">
        <v>865</v>
      </c>
      <c r="AW9" s="31">
        <v>45751</v>
      </c>
      <c r="AX9" s="13" t="str">
        <f>IF(ISNUMBER(SEARCH("cancel",#REF!)),"Cancelled",IF(AND(AS9&lt;&gt;"",AU9&lt;&gt;"",AW9&lt;&gt;""),"Closed","Open"))</f>
        <v>Closed</v>
      </c>
      <c r="AY9" s="15" t="str">
        <f t="shared" si="1"/>
        <v>All dates received</v>
      </c>
      <c r="BD9" s="13">
        <f>IF($AX9="Cancelled","",IFERROR(IF(OR(AS9="",AJ9=""),"",(AJ9+Variables!$B$18-AS9)),""))</f>
        <v>-2</v>
      </c>
      <c r="BE9" s="13">
        <f>IF($AX9="Cancelled","",IFERROR(IF(OR(AW9="",AS9=""),"",(AS9+Variables!$B$19)-AW9),""))</f>
        <v>-8</v>
      </c>
      <c r="BF9" s="44">
        <f>IF($AX9="Cancelled","",IFERROR(W9*INDEX(Variables!$B$7:$D$7,IFERROR(MATCH(IF($B9="Robusta","Robusta",(IF($B9="","Arabica",$B9))&amp;" - "&amp;(IF($C9="","Commercial",$C9))),Variables!$B$1:$D$1,0),1))*(BE9/365),""))</f>
        <v>-178.17862102336693</v>
      </c>
      <c r="BG9" s="44">
        <f>IF($AX9="Cancelled","",IFERROR((W9*INDEX(Variables!$B$7:$D$7,IFERROR(MATCH(IF($B9="Robusta","Robusta",(IF($B9="","Arabica",$B9))&amp;" - "&amp;(IF($C9="","Commercial",$C9))),Variables!$B$1:$D$1,0),1))*IFERROR(IF(AB9="","",(AVERAGE(E9:F9)-AB9)-Variables!$B$14),"")/365)+(L9/16.67*INDEX(Variables!$B$8:$D$8,IFERROR(MATCH(IF($B9="Robusta","Robusta",(IF($B9="","Arabica",$B9))&amp;" - "&amp;(IF($C9="","Commercial",$C9))),Variables!$B$1:$D$1,0),1))*IFERROR(IF(AB9="","",(AVERAGE(E9:F9)-AB9)-Variables!$B$14),""))+(W9*INDEX(Variables!$B$9:$D$9,IFERROR(MATCH(IF($B9="Robusta","Robusta",(IF($B9="","Arabica",$B9))&amp;" - "&amp;(IF($C9="","Commercial",$C9))),Variables!$B$1:$D$1,0),1))*IFERROR(IF(AB9="","",(AVERAGE(E9:F9)-AB9)-Variables!$B$14),"")/365),""))</f>
        <v>-486.71353096380892</v>
      </c>
      <c r="BH9" s="44">
        <f>IF($AX9="Cancelled","",IFERROR((W9*INDEX(Variables!$B$7:$D$7,IFERROR(MATCH(IF($B9="Robusta","Robusta",(IF($B9="","Arabica",$B9))&amp;" - "&amp;(IF($C9="","Commercial",$C9))),Variables!$B$1:$D$1,0),1))*AK9/365)+(L9/16.67*INDEX(Variables!$B$8:$D$8,IFERROR(MATCH(IF($B9="Robusta","Robusta",(IF($B9="","Arabica",$B9))&amp;" - "&amp;(IF($C9="","Commercial",$C9))),Variables!$B$1:$D$1,0),1))*AK9)+(W9*INDEX(Variables!$B$9:$D$9,IFERROR(MATCH(IF($B9="Robusta","Robusta",(IF($B9="","Arabica",$B9))&amp;" - "&amp;(IF($C9="","Commercial",$C9))),Variables!$B$1:$D$1,0),1))*AK9/365),""))</f>
        <v>608.39191370476101</v>
      </c>
      <c r="BI9" s="44">
        <f>IF($AX9="Cancelled","",IFERROR((W9*INDEX(Variables!$B$7:$D$7,IFERROR(MATCH(IF($B9="Robusta","Robusta",(IF($B9="","Arabica",$B9))&amp;" - "&amp;(IF($C9="","Commercial",$C9))),Variables!$B$1:$D$1,0),1))*BD9/365)+(L9/16.67*INDEX(Variables!$B$8:$D$8,IFERROR(MATCH(IF($B9="Robusta","Robusta",(IF($B9="","Arabica",$B9))&amp;" - "&amp;(IF($C9="","Commercial",$C9))),Variables!$B$1:$D$1,0),1))*BD9)+(W9*INDEX(Variables!$B$9:$D$9,IFERROR(MATCH(IF($B9="Robusta","Robusta",(IF($B9="","Arabica",$B9))&amp;" - "&amp;(IF($C9="","Commercial",$C9))),Variables!$B$1:$D$1,0),1))*BD9/365),""))</f>
        <v>-81.118921827301492</v>
      </c>
      <c r="BJ9" s="44">
        <f t="shared" si="2"/>
        <v>9</v>
      </c>
      <c r="BK9" s="44">
        <f>IF($AX9="Cancelled","",IFERROR(IF(BJ9="","",(W9*INDEX(Variables!$B$7:$D$7,IFERROR(MATCH(IF($B9="Robusta","Robusta",(IF($B9="","Arabica",$B9))&amp;" - "&amp;(IF($C9="","Commercial",$C9))),Variables!$B$1:$D$1,0),1))*(BJ9/365))+(W9*INDEX(Variables!$B$9:$D$9,IFERROR(MATCH(IF($B9="Robusta","Robusta",(IF($B9="","Arabica",$B9))&amp;" - "&amp;(IF($C9="","Commercial",$C9))),Variables!$B$1:$D$1,0),1))*(BJ9/365))+(INDEX(Variables!$B$8:$D$8,IFERROR(MATCH(IF($B9="Robusta","Robusta",(IF($B9="","Arabica",$B9))&amp;" - "&amp;(IF($C9="","Commercial",$C9))),Variables!$B$1:$D$1,0),1))*L9/16.67)),""))</f>
        <v>221.03514822285663</v>
      </c>
    </row>
    <row r="10" spans="1:63">
      <c r="A10" s="13" t="s">
        <v>103</v>
      </c>
      <c r="B10" s="13" t="s">
        <v>104</v>
      </c>
      <c r="C10" s="13" t="s">
        <v>105</v>
      </c>
      <c r="D10" s="31">
        <v>45531</v>
      </c>
      <c r="E10" s="31">
        <v>45717</v>
      </c>
      <c r="F10" s="31">
        <v>45747</v>
      </c>
      <c r="G10" s="13">
        <v>3786491</v>
      </c>
      <c r="H10" s="13" t="s">
        <v>144</v>
      </c>
      <c r="J10" s="13" t="s">
        <v>118</v>
      </c>
      <c r="K10" s="13" t="s">
        <v>149</v>
      </c>
      <c r="L10" s="13">
        <v>720</v>
      </c>
      <c r="M10" s="13">
        <v>2</v>
      </c>
      <c r="N10" s="13" t="s">
        <v>130</v>
      </c>
      <c r="O10" s="13" t="s">
        <v>131</v>
      </c>
      <c r="P10" s="13">
        <v>10120</v>
      </c>
      <c r="Q10" s="13" t="s">
        <v>121</v>
      </c>
      <c r="R10" s="13" t="s">
        <v>122</v>
      </c>
      <c r="S10" s="13" t="s">
        <v>138</v>
      </c>
      <c r="T10" s="13" t="s">
        <v>139</v>
      </c>
      <c r="U10" s="13" t="s">
        <v>125</v>
      </c>
      <c r="V10" s="23">
        <v>-26</v>
      </c>
      <c r="W10" s="44">
        <f>IF($AX10="Cancelled","",IFERROR(((V10+INDEX(Variables!$B$6:$D$6,IFERROR(MATCH(IF($B10="Robusta","Robusta",(IF($B10="","Arabica",$B10))&amp;" - "&amp;(IF($C10="","Commercial",$C10))),Variables!$B$1:$D$1,0),1)))*22.0462)*(L10/16.67),""))</f>
        <v>252143.98963407316</v>
      </c>
      <c r="X10" s="55" t="s">
        <v>37</v>
      </c>
      <c r="Y10" s="13" t="str">
        <f>IF($AX10="Cancelled","",IF(X10="","",IFERROR(IF(INDEX(Variables!$B$38:$B$47,MATCH(X10,Variables!$A$38:$A$47,0))="Yes","Yes","No"),"No")))</f>
        <v>Yes</v>
      </c>
      <c r="Z10" s="58">
        <v>45698</v>
      </c>
      <c r="AB10" s="31">
        <v>45714</v>
      </c>
      <c r="AC10" s="13" t="str">
        <f t="shared" si="0"/>
        <v>Approved</v>
      </c>
      <c r="AF10" s="71">
        <v>45721</v>
      </c>
      <c r="AG10" s="35">
        <f>IF($AX10="Cancelled","",IFERROR(IF(F10="","",F10-Variables!$B$13),""))</f>
        <v>45732</v>
      </c>
      <c r="AH10" s="13">
        <f>IF($AX10="Cancelled","",IFERROR(IF(AB10="","",(AVERAGE(E10:F10)-AB10)-Variables!$B$14),""))</f>
        <v>-12</v>
      </c>
      <c r="AJ10" s="47">
        <v>45723</v>
      </c>
      <c r="AK10" s="14">
        <f>IF($AX10="Cancelled","",IFERROR(IF(AJ10="","",IF(AND(AB10="",AF10=""),"",IF(AF10&gt;AB10,AF10+Variables!$B$15+Variables!$B$16+Variables!$B$17-AJ10,AB10+Variables!$B$16+Variables!$B$17-AJ10))),""))</f>
        <v>13</v>
      </c>
      <c r="AL10" s="48" t="s">
        <v>114</v>
      </c>
      <c r="AM10" s="13" t="s">
        <v>141</v>
      </c>
      <c r="AN10" s="13" t="s">
        <v>146</v>
      </c>
      <c r="AP10" s="31">
        <v>45732</v>
      </c>
      <c r="AR10" s="13" t="s">
        <v>147</v>
      </c>
      <c r="AS10" s="31">
        <v>45739</v>
      </c>
      <c r="AU10" s="31">
        <v>45744</v>
      </c>
      <c r="AV10" s="13" t="s">
        <v>865</v>
      </c>
      <c r="AW10" s="31">
        <v>45751</v>
      </c>
      <c r="AX10" s="13" t="str">
        <f>IF(ISNUMBER(SEARCH("cancel",#REF!)),"Cancelled",IF(AND(AS10&lt;&gt;"",AU10&lt;&gt;"",AW10&lt;&gt;""),"Closed","Open"))</f>
        <v>Closed</v>
      </c>
      <c r="AY10" s="15" t="str">
        <f t="shared" si="1"/>
        <v>All dates received</v>
      </c>
      <c r="BD10" s="13">
        <f>IF($AX10="Cancelled","",IFERROR(IF(OR(AS10="",AJ10=""),"",(AJ10+Variables!$B$18-AS10)),""))</f>
        <v>-1</v>
      </c>
      <c r="BE10" s="13">
        <f>IF($AX10="Cancelled","",IFERROR(IF(OR(AW10="",AS10=""),"",(AS10+Variables!$B$19)-AW10),""))</f>
        <v>-7</v>
      </c>
      <c r="BF10" s="44">
        <f>IF($AX10="Cancelled","",IFERROR(W10*INDEX(Variables!$B$7:$D$7,IFERROR(MATCH(IF($B10="Robusta","Robusta",(IF($B10="","Arabica",$B10))&amp;" - "&amp;(IF($C10="","Commercial",$C10))),Variables!$B$1:$D$1,0),1))*(BE10/365),""))</f>
        <v>-311.81258679089217</v>
      </c>
      <c r="BG10" s="44">
        <f>IF($AX10="Cancelled","",IFERROR((W10*INDEX(Variables!$B$7:$D$7,IFERROR(MATCH(IF($B10="Robusta","Robusta",(IF($B10="","Arabica",$B10))&amp;" - "&amp;(IF($C10="","Commercial",$C10))),Variables!$B$1:$D$1,0),1))*IFERROR(IF(AB10="","",(AVERAGE(E10:F10)-AB10)-Variables!$B$14),"")/365)+(L10/16.67*INDEX(Variables!$B$8:$D$8,IFERROR(MATCH(IF($B10="Robusta","Robusta",(IF($B10="","Arabica",$B10))&amp;" - "&amp;(IF($C10="","Commercial",$C10))),Variables!$B$1:$D$1,0),1))*IFERROR(IF(AB10="","",(AVERAGE(E10:F10)-AB10)-Variables!$B$14),""))+(W10*INDEX(Variables!$B$9:$D$9,IFERROR(MATCH(IF($B10="Robusta","Robusta",(IF($B10="","Arabica",$B10))&amp;" - "&amp;(IF($C10="","Commercial",$C10))),Variables!$B$1:$D$1,0),1))*IFERROR(IF(AB10="","",(AVERAGE(E10:F10)-AB10)-Variables!$B$14),"")/365),""))</f>
        <v>-973.42706192761784</v>
      </c>
      <c r="BH10" s="44">
        <f>IF($AX10="Cancelled","",IFERROR((W10*INDEX(Variables!$B$7:$D$7,IFERROR(MATCH(IF($B10="Robusta","Robusta",(IF($B10="","Arabica",$B10))&amp;" - "&amp;(IF($C10="","Commercial",$C10))),Variables!$B$1:$D$1,0),1))*AK10/365)+(L10/16.67*INDEX(Variables!$B$8:$D$8,IFERROR(MATCH(IF($B10="Robusta","Robusta",(IF($B10="","Arabica",$B10))&amp;" - "&amp;(IF($C10="","Commercial",$C10))),Variables!$B$1:$D$1,0),1))*AK10)+(W10*INDEX(Variables!$B$9:$D$9,IFERROR(MATCH(IF($B10="Robusta","Robusta",(IF($B10="","Arabica",$B10))&amp;" - "&amp;(IF($C10="","Commercial",$C10))),Variables!$B$1:$D$1,0),1))*AK10/365),""))</f>
        <v>1054.5459837549192</v>
      </c>
      <c r="BI10" s="44">
        <f>IF($AX10="Cancelled","",IFERROR((W10*INDEX(Variables!$B$7:$D$7,IFERROR(MATCH(IF($B10="Robusta","Robusta",(IF($B10="","Arabica",$B10))&amp;" - "&amp;(IF($C10="","Commercial",$C10))),Variables!$B$1:$D$1,0),1))*BD10/365)+(L10/16.67*INDEX(Variables!$B$8:$D$8,IFERROR(MATCH(IF($B10="Robusta","Robusta",(IF($B10="","Arabica",$B10))&amp;" - "&amp;(IF($C10="","Commercial",$C10))),Variables!$B$1:$D$1,0),1))*BD10)+(W10*INDEX(Variables!$B$9:$D$9,IFERROR(MATCH(IF($B10="Robusta","Robusta",(IF($B10="","Arabica",$B10))&amp;" - "&amp;(IF($C10="","Commercial",$C10))),Variables!$B$1:$D$1,0),1))*BD10/365),""))</f>
        <v>-81.118921827301492</v>
      </c>
      <c r="BJ10" s="44">
        <f t="shared" si="2"/>
        <v>8</v>
      </c>
      <c r="BK10" s="44">
        <f>IF($AX10="Cancelled","",IFERROR(IF(BJ10="","",(W10*INDEX(Variables!$B$7:$D$7,IFERROR(MATCH(IF($B10="Robusta","Robusta",(IF($B10="","Arabica",$B10))&amp;" - "&amp;(IF($C10="","Commercial",$C10))),Variables!$B$1:$D$1,0),1))*(BJ10/365))+(W10*INDEX(Variables!$B$9:$D$9,IFERROR(MATCH(IF($B10="Robusta","Robusta",(IF($B10="","Arabica",$B10))&amp;" - "&amp;(IF($C10="","Commercial",$C10))),Variables!$B$1:$D$1,0),1))*(BJ10/365))+(INDEX(Variables!$B$8:$D$8,IFERROR(MATCH(IF($B10="Robusta","Robusta",(IF($B10="","Arabica",$B10))&amp;" - "&amp;(IF($C10="","Commercial",$C10))),Variables!$B$1:$D$1,0),1))*L10/16.67)),""))</f>
        <v>396.95137461841176</v>
      </c>
    </row>
    <row r="11" spans="1:63">
      <c r="A11" s="13" t="s">
        <v>103</v>
      </c>
      <c r="B11" s="13" t="s">
        <v>104</v>
      </c>
      <c r="C11" s="13" t="s">
        <v>105</v>
      </c>
      <c r="D11" s="31">
        <v>45531</v>
      </c>
      <c r="E11" s="31">
        <v>45658</v>
      </c>
      <c r="F11" s="31">
        <v>45688</v>
      </c>
      <c r="G11" s="13">
        <v>3786493</v>
      </c>
      <c r="H11" s="13" t="s">
        <v>150</v>
      </c>
      <c r="J11" s="13" t="s">
        <v>118</v>
      </c>
      <c r="K11" s="13" t="s">
        <v>151</v>
      </c>
      <c r="L11" s="13">
        <v>360</v>
      </c>
      <c r="M11" s="13">
        <v>1</v>
      </c>
      <c r="N11" s="13" t="s">
        <v>152</v>
      </c>
      <c r="O11" s="13" t="s">
        <v>153</v>
      </c>
      <c r="P11" s="13">
        <v>10110</v>
      </c>
      <c r="Q11" s="13" t="s">
        <v>121</v>
      </c>
      <c r="R11" s="13" t="s">
        <v>122</v>
      </c>
      <c r="S11" s="13" t="s">
        <v>154</v>
      </c>
      <c r="T11" s="13" t="s">
        <v>155</v>
      </c>
      <c r="U11" s="13" t="s">
        <v>125</v>
      </c>
      <c r="V11" s="23">
        <v>7</v>
      </c>
      <c r="W11" s="44">
        <f>IF($AX11="Cancelled","",IFERROR(((V11+INDEX(Variables!$B$6:$D$6,IFERROR(MATCH(IF($B11="Robusta","Robusta",(IF($B11="","Arabica",$B11))&amp;" - "&amp;(IF($C11="","Commercial",$C11))),Variables!$B$1:$D$1,0),1)))*22.0462)*(L11/16.67),""))</f>
        <v>141783.38389922015</v>
      </c>
      <c r="X11" s="55" t="s">
        <v>37</v>
      </c>
      <c r="Y11" s="13" t="str">
        <f>IF($AX11="Cancelled","",IF(X11="","",IFERROR(IF(INDEX(Variables!$B$38:$B$47,MATCH(X11,Variables!$A$38:$A$47,0))="Yes","Yes","No"),"No")))</f>
        <v>Yes</v>
      </c>
      <c r="Z11" s="58">
        <v>45616</v>
      </c>
      <c r="AB11" s="31">
        <v>45630</v>
      </c>
      <c r="AC11" s="13" t="str">
        <f t="shared" si="0"/>
        <v>Approved</v>
      </c>
      <c r="AF11" s="71">
        <v>45671</v>
      </c>
      <c r="AG11" s="35">
        <f>IF($AX11="Cancelled","",IFERROR(IF(F11="","",F11-Variables!$B$13),""))</f>
        <v>45673</v>
      </c>
      <c r="AH11" s="13">
        <f>IF($AX11="Cancelled","",IFERROR(IF(AB11="","",(AVERAGE(E11:F11)-AB11)-Variables!$B$14),""))</f>
        <v>13</v>
      </c>
      <c r="AJ11" s="47">
        <v>45673</v>
      </c>
      <c r="AK11" s="14">
        <f>IF($AX11="Cancelled","",IFERROR(IF(AJ11="","",IF(AND(AB11="",AF11=""),"",IF(AF11&gt;AB11,AF11+Variables!$B$15+Variables!$B$16+Variables!$B$17-AJ11,AB11+Variables!$B$16+Variables!$B$17-AJ11))),""))</f>
        <v>13</v>
      </c>
      <c r="AL11" s="48" t="s">
        <v>114</v>
      </c>
      <c r="AM11" s="13" t="s">
        <v>134</v>
      </c>
      <c r="AN11" s="13" t="s">
        <v>156</v>
      </c>
      <c r="AP11" s="31">
        <v>45688</v>
      </c>
      <c r="AR11" s="13" t="s">
        <v>157</v>
      </c>
      <c r="AS11" s="31">
        <v>45688</v>
      </c>
      <c r="AU11" s="31">
        <v>45692</v>
      </c>
      <c r="AV11" s="13" t="s">
        <v>865</v>
      </c>
      <c r="AW11" s="31">
        <v>45695</v>
      </c>
      <c r="AX11" s="13" t="str">
        <f>IF(ISNUMBER(SEARCH("cancel",#REF!)),"Cancelled",IF(AND(AS11&lt;&gt;"",AU11&lt;&gt;"",AW11&lt;&gt;""),"Closed","Open"))</f>
        <v>Closed</v>
      </c>
      <c r="AY11" s="15" t="str">
        <f t="shared" si="1"/>
        <v>All dates received</v>
      </c>
      <c r="BD11" s="13">
        <f>IF($AX11="Cancelled","",IFERROR(IF(OR(AS11="",AJ11=""),"",(AJ11+Variables!$B$18-AS11)),""))</f>
        <v>0</v>
      </c>
      <c r="BE11" s="13">
        <f>IF($AX11="Cancelled","",IFERROR(IF(OR(AW11="",AS11=""),"",(AS11+Variables!$B$19)-AW11),""))</f>
        <v>-2</v>
      </c>
      <c r="BF11" s="44">
        <f>IF($AX11="Cancelled","",IFERROR(W11*INDEX(Variables!$B$7:$D$7,IFERROR(MATCH(IF($B11="Robusta","Robusta",(IF($B11="","Arabica",$B11))&amp;" - "&amp;(IF($C11="","Commercial",$C11))),Variables!$B$1:$D$1,0),1))*(BE11/365),""))</f>
        <v>-50.09591516310298</v>
      </c>
      <c r="BG11" s="44">
        <f>IF($AX11="Cancelled","",IFERROR((W11*INDEX(Variables!$B$7:$D$7,IFERROR(MATCH(IF($B11="Robusta","Robusta",(IF($B11="","Arabica",$B11))&amp;" - "&amp;(IF($C11="","Commercial",$C11))),Variables!$B$1:$D$1,0),1))*IFERROR(IF(AB11="","",(AVERAGE(E11:F11)-AB11)-Variables!$B$14),"")/365)+(L11/16.67*INDEX(Variables!$B$8:$D$8,IFERROR(MATCH(IF($B11="Robusta","Robusta",(IF($B11="","Arabica",$B11))&amp;" - "&amp;(IF($C11="","Commercial",$C11))),Variables!$B$1:$D$1,0),1))*IFERROR(IF(AB11="","",(AVERAGE(E11:F11)-AB11)-Variables!$B$14),""))+(W11*INDEX(Variables!$B$9:$D$9,IFERROR(MATCH(IF($B11="Robusta","Robusta",(IF($B11="","Arabica",$B11))&amp;" - "&amp;(IF($C11="","Commercial",$C11))),Variables!$B$1:$D$1,0),1))*IFERROR(IF(AB11="","",(AVERAGE(E11:F11)-AB11)-Variables!$B$14),"")/365),""))</f>
        <v>563.82136322170504</v>
      </c>
      <c r="BH11" s="44">
        <f>IF($AX11="Cancelled","",IFERROR((W11*INDEX(Variables!$B$7:$D$7,IFERROR(MATCH(IF($B11="Robusta","Robusta",(IF($B11="","Arabica",$B11))&amp;" - "&amp;(IF($C11="","Commercial",$C11))),Variables!$B$1:$D$1,0),1))*AK11/365)+(L11/16.67*INDEX(Variables!$B$8:$D$8,IFERROR(MATCH(IF($B11="Robusta","Robusta",(IF($B11="","Arabica",$B11))&amp;" - "&amp;(IF($C11="","Commercial",$C11))),Variables!$B$1:$D$1,0),1))*AK11)+(W11*INDEX(Variables!$B$9:$D$9,IFERROR(MATCH(IF($B11="Robusta","Robusta",(IF($B11="","Arabica",$B11))&amp;" - "&amp;(IF($C11="","Commercial",$C11))),Variables!$B$1:$D$1,0),1))*AK11/365),""))</f>
        <v>563.82136322170504</v>
      </c>
      <c r="BI11" s="44">
        <f>IF($AX11="Cancelled","",IFERROR((W11*INDEX(Variables!$B$7:$D$7,IFERROR(MATCH(IF($B11="Robusta","Robusta",(IF($B11="","Arabica",$B11))&amp;" - "&amp;(IF($C11="","Commercial",$C11))),Variables!$B$1:$D$1,0),1))*BD11/365)+(L11/16.67*INDEX(Variables!$B$8:$D$8,IFERROR(MATCH(IF($B11="Robusta","Robusta",(IF($B11="","Arabica",$B11))&amp;" - "&amp;(IF($C11="","Commercial",$C11))),Variables!$B$1:$D$1,0),1))*BD11)+(W11*INDEX(Variables!$B$9:$D$9,IFERROR(MATCH(IF($B11="Robusta","Robusta",(IF($B11="","Arabica",$B11))&amp;" - "&amp;(IF($C11="","Commercial",$C11))),Variables!$B$1:$D$1,0),1))*BD11/365),""))</f>
        <v>0</v>
      </c>
      <c r="BJ11" s="44">
        <f t="shared" si="2"/>
        <v>0</v>
      </c>
      <c r="BK11" s="44">
        <f>IF($AX11="Cancelled","",IFERROR(IF(BJ11="","",(W11*INDEX(Variables!$B$7:$D$7,IFERROR(MATCH(IF($B11="Robusta","Robusta",(IF($B11="","Arabica",$B11))&amp;" - "&amp;(IF($C11="","Commercial",$C11))),Variables!$B$1:$D$1,0),1))*(BJ11/365))+(W11*INDEX(Variables!$B$9:$D$9,IFERROR(MATCH(IF($B11="Robusta","Robusta",(IF($B11="","Arabica",$B11))&amp;" - "&amp;(IF($C11="","Commercial",$C11))),Variables!$B$1:$D$1,0),1))*(BJ11/365))+(INDEX(Variables!$B$8:$D$8,IFERROR(MATCH(IF($B11="Robusta","Robusta",(IF($B11="","Arabica",$B11))&amp;" - "&amp;(IF($C11="","Commercial",$C11))),Variables!$B$1:$D$1,0),1))*L11/16.67)),""))</f>
        <v>18</v>
      </c>
    </row>
    <row r="12" spans="1:63">
      <c r="A12" s="13" t="s">
        <v>103</v>
      </c>
      <c r="B12" s="13" t="s">
        <v>104</v>
      </c>
      <c r="C12" s="13" t="s">
        <v>105</v>
      </c>
      <c r="D12" s="31">
        <v>45531</v>
      </c>
      <c r="E12" s="31">
        <v>45658</v>
      </c>
      <c r="F12" s="31">
        <v>45688</v>
      </c>
      <c r="G12" s="13">
        <v>3786493</v>
      </c>
      <c r="H12" s="13" t="s">
        <v>150</v>
      </c>
      <c r="J12" s="13" t="s">
        <v>118</v>
      </c>
      <c r="K12" s="13" t="s">
        <v>158</v>
      </c>
      <c r="L12" s="13">
        <v>720</v>
      </c>
      <c r="M12" s="13">
        <v>2</v>
      </c>
      <c r="N12" s="13" t="s">
        <v>152</v>
      </c>
      <c r="O12" s="13" t="s">
        <v>153</v>
      </c>
      <c r="P12" s="13">
        <v>10110</v>
      </c>
      <c r="Q12" s="13" t="s">
        <v>121</v>
      </c>
      <c r="R12" s="13" t="s">
        <v>122</v>
      </c>
      <c r="S12" s="13" t="s">
        <v>123</v>
      </c>
      <c r="T12" s="13" t="s">
        <v>124</v>
      </c>
      <c r="U12" s="13" t="s">
        <v>125</v>
      </c>
      <c r="V12" s="23">
        <v>7</v>
      </c>
      <c r="W12" s="44">
        <f>IF($AX12="Cancelled","",IFERROR(((V12+INDEX(Variables!$B$6:$D$6,IFERROR(MATCH(IF($B12="Robusta","Robusta",(IF($B12="","Arabica",$B12))&amp;" - "&amp;(IF($C12="","Commercial",$C12))),Variables!$B$1:$D$1,0),1)))*22.0462)*(L12/16.67),""))</f>
        <v>283566.7677984403</v>
      </c>
      <c r="X12" s="55" t="s">
        <v>37</v>
      </c>
      <c r="Y12" s="13" t="str">
        <f>IF($AX12="Cancelled","",IF(X12="","",IFERROR(IF(INDEX(Variables!$B$38:$B$47,MATCH(X12,Variables!$A$38:$A$47,0))="Yes","Yes","No"),"No")))</f>
        <v>Yes</v>
      </c>
      <c r="Z12" s="58">
        <v>45616</v>
      </c>
      <c r="AB12" s="31">
        <v>45630</v>
      </c>
      <c r="AC12" s="13" t="str">
        <f t="shared" si="0"/>
        <v>Approved</v>
      </c>
      <c r="AF12" s="71">
        <v>45671</v>
      </c>
      <c r="AG12" s="35">
        <f>IF($AX12="Cancelled","",IFERROR(IF(F12="","",F12-Variables!$B$13),""))</f>
        <v>45673</v>
      </c>
      <c r="AH12" s="13">
        <f>IF($AX12="Cancelled","",IFERROR(IF(AB12="","",(AVERAGE(E12:F12)-AB12)-Variables!$B$14),""))</f>
        <v>13</v>
      </c>
      <c r="AJ12" s="47">
        <v>45671</v>
      </c>
      <c r="AK12" s="14">
        <f>IF($AX12="Cancelled","",IFERROR(IF(AJ12="","",IF(AND(AB12="",AF12=""),"",IF(AF12&gt;AB12,AF12+Variables!$B$15+Variables!$B$16+Variables!$B$17-AJ12,AB12+Variables!$B$16+Variables!$B$17-AJ12))),""))</f>
        <v>15</v>
      </c>
      <c r="AL12" s="48" t="s">
        <v>114</v>
      </c>
      <c r="AM12" s="13" t="s">
        <v>134</v>
      </c>
      <c r="AN12" s="13" t="s">
        <v>156</v>
      </c>
      <c r="AP12" s="31">
        <v>45688</v>
      </c>
      <c r="AR12" s="13" t="s">
        <v>157</v>
      </c>
      <c r="AS12" s="31">
        <v>45682</v>
      </c>
      <c r="AU12" s="31">
        <v>45685</v>
      </c>
      <c r="AV12" s="13" t="s">
        <v>865</v>
      </c>
      <c r="AW12" s="31">
        <v>45685</v>
      </c>
      <c r="AX12" s="13" t="str">
        <f>IF(ISNUMBER(SEARCH("cancel",#REF!)),"Cancelled",IF(AND(AS12&lt;&gt;"",AU12&lt;&gt;"",AW12&lt;&gt;""),"Closed","Open"))</f>
        <v>Closed</v>
      </c>
      <c r="AY12" s="15" t="str">
        <f t="shared" si="1"/>
        <v>All dates received</v>
      </c>
      <c r="BD12" s="13">
        <f>IF($AX12="Cancelled","",IFERROR(IF(OR(AS12="",AJ12=""),"",(AJ12+Variables!$B$18-AS12)),""))</f>
        <v>4</v>
      </c>
      <c r="BE12" s="13">
        <f>IF($AX12="Cancelled","",IFERROR(IF(OR(AW12="",AS12=""),"",(AS12+Variables!$B$19)-AW12),""))</f>
        <v>2</v>
      </c>
      <c r="BF12" s="44">
        <f>IF($AX12="Cancelled","",IFERROR(W12*INDEX(Variables!$B$7:$D$7,IFERROR(MATCH(IF($B12="Robusta","Robusta",(IF($B12="","Arabica",$B12))&amp;" - "&amp;(IF($C12="","Commercial",$C12))),Variables!$B$1:$D$1,0),1))*(BE12/365),""))</f>
        <v>100.19183032620596</v>
      </c>
      <c r="BG12" s="44">
        <f>IF($AX12="Cancelled","",IFERROR((W12*INDEX(Variables!$B$7:$D$7,IFERROR(MATCH(IF($B12="Robusta","Robusta",(IF($B12="","Arabica",$B12))&amp;" - "&amp;(IF($C12="","Commercial",$C12))),Variables!$B$1:$D$1,0),1))*IFERROR(IF(AB12="","",(AVERAGE(E12:F12)-AB12)-Variables!$B$14),"")/365)+(L12/16.67*INDEX(Variables!$B$8:$D$8,IFERROR(MATCH(IF($B12="Robusta","Robusta",(IF($B12="","Arabica",$B12))&amp;" - "&amp;(IF($C12="","Commercial",$C12))),Variables!$B$1:$D$1,0),1))*IFERROR(IF(AB12="","",(AVERAGE(E12:F12)-AB12)-Variables!$B$14),""))+(W12*INDEX(Variables!$B$9:$D$9,IFERROR(MATCH(IF($B12="Robusta","Robusta",(IF($B12="","Arabica",$B12))&amp;" - "&amp;(IF($C12="","Commercial",$C12))),Variables!$B$1:$D$1,0),1))*IFERROR(IF(AB12="","",(AVERAGE(E12:F12)-AB12)-Variables!$B$14),"")/365),""))</f>
        <v>1127.6427264434101</v>
      </c>
      <c r="BH12" s="44">
        <f>IF($AX12="Cancelled","",IFERROR((W12*INDEX(Variables!$B$7:$D$7,IFERROR(MATCH(IF($B12="Robusta","Robusta",(IF($B12="","Arabica",$B12))&amp;" - "&amp;(IF($C12="","Commercial",$C12))),Variables!$B$1:$D$1,0),1))*AK12/365)+(L12/16.67*INDEX(Variables!$B$8:$D$8,IFERROR(MATCH(IF($B12="Robusta","Robusta",(IF($B12="","Arabica",$B12))&amp;" - "&amp;(IF($C12="","Commercial",$C12))),Variables!$B$1:$D$1,0),1))*AK12)+(W12*INDEX(Variables!$B$9:$D$9,IFERROR(MATCH(IF($B12="Robusta","Robusta",(IF($B12="","Arabica",$B12))&amp;" - "&amp;(IF($C12="","Commercial",$C12))),Variables!$B$1:$D$1,0),1))*AK12/365),""))</f>
        <v>1301.1262228193193</v>
      </c>
      <c r="BI12" s="44">
        <f>IF($AX12="Cancelled","",IFERROR((W12*INDEX(Variables!$B$7:$D$7,IFERROR(MATCH(IF($B12="Robusta","Robusta",(IF($B12="","Arabica",$B12))&amp;" - "&amp;(IF($C12="","Commercial",$C12))),Variables!$B$1:$D$1,0),1))*BD12/365)+(L12/16.67*INDEX(Variables!$B$8:$D$8,IFERROR(MATCH(IF($B12="Robusta","Robusta",(IF($B12="","Arabica",$B12))&amp;" - "&amp;(IF($C12="","Commercial",$C12))),Variables!$B$1:$D$1,0),1))*BD12)+(W12*INDEX(Variables!$B$9:$D$9,IFERROR(MATCH(IF($B12="Robusta","Robusta",(IF($B12="","Arabica",$B12))&amp;" - "&amp;(IF($C12="","Commercial",$C12))),Variables!$B$1:$D$1,0),1))*BD12/365),""))</f>
        <v>346.96699275181845</v>
      </c>
      <c r="BJ12" s="44">
        <f t="shared" si="2"/>
        <v>6</v>
      </c>
      <c r="BK12" s="44">
        <f>IF($AX12="Cancelled","",IFERROR(IF(BJ12="","",(W12*INDEX(Variables!$B$7:$D$7,IFERROR(MATCH(IF($B12="Robusta","Robusta",(IF($B12="","Arabica",$B12))&amp;" - "&amp;(IF($C12="","Commercial",$C12))),Variables!$B$1:$D$1,0),1))*(BJ12/365))+(W12*INDEX(Variables!$B$9:$D$9,IFERROR(MATCH(IF($B12="Robusta","Robusta",(IF($B12="","Arabica",$B12))&amp;" - "&amp;(IF($C12="","Commercial",$C12))),Variables!$B$1:$D$1,0),1))*(BJ12/365))+(INDEX(Variables!$B$8:$D$8,IFERROR(MATCH(IF($B12="Robusta","Robusta",(IF($B12="","Arabica",$B12))&amp;" - "&amp;(IF($C12="","Commercial",$C12))),Variables!$B$1:$D$1,0),1))*L12/16.67)),""))</f>
        <v>340.45048912772756</v>
      </c>
    </row>
    <row r="13" spans="1:63">
      <c r="A13" s="13" t="s">
        <v>103</v>
      </c>
      <c r="B13" s="13" t="s">
        <v>104</v>
      </c>
      <c r="C13" s="13" t="s">
        <v>105</v>
      </c>
      <c r="D13" s="31">
        <v>45531</v>
      </c>
      <c r="E13" s="31">
        <v>45689</v>
      </c>
      <c r="F13" s="31">
        <v>45716</v>
      </c>
      <c r="G13" s="13">
        <v>3786494</v>
      </c>
      <c r="H13" s="13" t="s">
        <v>159</v>
      </c>
      <c r="J13" s="13" t="s">
        <v>118</v>
      </c>
      <c r="K13" s="13" t="s">
        <v>160</v>
      </c>
      <c r="L13" s="13">
        <v>720</v>
      </c>
      <c r="M13" s="13">
        <v>2</v>
      </c>
      <c r="N13" s="13" t="s">
        <v>152</v>
      </c>
      <c r="O13" s="13" t="s">
        <v>153</v>
      </c>
      <c r="P13" s="13">
        <v>10110</v>
      </c>
      <c r="Q13" s="13" t="s">
        <v>121</v>
      </c>
      <c r="R13" s="13" t="s">
        <v>122</v>
      </c>
      <c r="S13" s="13" t="s">
        <v>123</v>
      </c>
      <c r="T13" s="13" t="s">
        <v>124</v>
      </c>
      <c r="U13" s="13" t="s">
        <v>125</v>
      </c>
      <c r="V13" s="23">
        <v>7</v>
      </c>
      <c r="W13" s="44">
        <f>IF($AX13="Cancelled","",IFERROR(((V13+INDEX(Variables!$B$6:$D$6,IFERROR(MATCH(IF($B13="Robusta","Robusta",(IF($B13="","Arabica",$B13))&amp;" - "&amp;(IF($C13="","Commercial",$C13))),Variables!$B$1:$D$1,0),1)))*22.0462)*(L13/16.67),""))</f>
        <v>283566.7677984403</v>
      </c>
      <c r="X13" s="55" t="s">
        <v>37</v>
      </c>
      <c r="Y13" s="13" t="str">
        <f>IF($AX13="Cancelled","",IF(X13="","",IFERROR(IF(INDEX(Variables!$B$38:$B$47,MATCH(X13,Variables!$A$38:$A$47,0))="Yes","Yes","No"),"No")))</f>
        <v>Yes</v>
      </c>
      <c r="Z13" s="58">
        <v>45663</v>
      </c>
      <c r="AB13" s="31">
        <v>45670</v>
      </c>
      <c r="AC13" s="13" t="str">
        <f t="shared" si="0"/>
        <v>Approved</v>
      </c>
      <c r="AF13" s="71">
        <v>45695</v>
      </c>
      <c r="AG13" s="35">
        <f>IF($AX13="Cancelled","",IFERROR(IF(F13="","",F13-Variables!$B$13),""))</f>
        <v>45701</v>
      </c>
      <c r="AH13" s="13">
        <f>IF($AX13="Cancelled","",IFERROR(IF(AB13="","",(AVERAGE(E13:F13)-AB13)-Variables!$B$14),""))</f>
        <v>2.5</v>
      </c>
      <c r="AJ13" s="47">
        <v>45695</v>
      </c>
      <c r="AK13" s="14">
        <f>IF($AX13="Cancelled","",IFERROR(IF(AJ13="","",IF(AND(AB13="",AF13=""),"",IF(AF13&gt;AB13,AF13+Variables!$B$15+Variables!$B$16+Variables!$B$17-AJ13,AB13+Variables!$B$16+Variables!$B$17-AJ13))),""))</f>
        <v>15</v>
      </c>
      <c r="AL13" s="48" t="s">
        <v>114</v>
      </c>
      <c r="AM13" s="13" t="s">
        <v>141</v>
      </c>
      <c r="AN13" s="13" t="s">
        <v>161</v>
      </c>
      <c r="AP13" s="31">
        <v>45708</v>
      </c>
      <c r="AR13" s="13" t="s">
        <v>162</v>
      </c>
      <c r="AS13" s="31">
        <v>45708</v>
      </c>
      <c r="AU13" s="31">
        <v>45714</v>
      </c>
      <c r="AV13" s="13" t="s">
        <v>865</v>
      </c>
      <c r="AW13" s="31">
        <v>45714</v>
      </c>
      <c r="AX13" s="13" t="str">
        <f>IF(ISNUMBER(SEARCH("cancel",#REF!)),"Cancelled",IF(AND(AS13&lt;&gt;"",AU13&lt;&gt;"",AW13&lt;&gt;""),"Closed","Open"))</f>
        <v>Closed</v>
      </c>
      <c r="AY13" s="15" t="str">
        <f t="shared" si="1"/>
        <v>All dates received</v>
      </c>
      <c r="BD13" s="13">
        <f>IF($AX13="Cancelled","",IFERROR(IF(OR(AS13="",AJ13=""),"",(AJ13+Variables!$B$18-AS13)),""))</f>
        <v>2</v>
      </c>
      <c r="BE13" s="13">
        <f>IF($AX13="Cancelled","",IFERROR(IF(OR(AW13="",AS13=""),"",(AS13+Variables!$B$19)-AW13),""))</f>
        <v>-1</v>
      </c>
      <c r="BF13" s="44">
        <f>IF($AX13="Cancelled","",IFERROR(W13*INDEX(Variables!$B$7:$D$7,IFERROR(MATCH(IF($B13="Robusta","Robusta",(IF($B13="","Arabica",$B13))&amp;" - "&amp;(IF($C13="","Commercial",$C13))),Variables!$B$1:$D$1,0),1))*(BE13/365),""))</f>
        <v>-50.09591516310298</v>
      </c>
      <c r="BG13" s="44">
        <f>IF($AX13="Cancelled","",IFERROR((W13*INDEX(Variables!$B$7:$D$7,IFERROR(MATCH(IF($B13="Robusta","Robusta",(IF($B13="","Arabica",$B13))&amp;" - "&amp;(IF($C13="","Commercial",$C13))),Variables!$B$1:$D$1,0),1))*IFERROR(IF(AB13="","",(AVERAGE(E13:F13)-AB13)-Variables!$B$14),"")/365)+(L13/16.67*INDEX(Variables!$B$8:$D$8,IFERROR(MATCH(IF($B13="Robusta","Robusta",(IF($B13="","Arabica",$B13))&amp;" - "&amp;(IF($C13="","Commercial",$C13))),Variables!$B$1:$D$1,0),1))*IFERROR(IF(AB13="","",(AVERAGE(E13:F13)-AB13)-Variables!$B$14),""))+(W13*INDEX(Variables!$B$9:$D$9,IFERROR(MATCH(IF($B13="Robusta","Robusta",(IF($B13="","Arabica",$B13))&amp;" - "&amp;(IF($C13="","Commercial",$C13))),Variables!$B$1:$D$1,0),1))*IFERROR(IF(AB13="","",(AVERAGE(E13:F13)-AB13)-Variables!$B$14),"")/365),""))</f>
        <v>216.85437046988653</v>
      </c>
      <c r="BH13" s="44">
        <f>IF($AX13="Cancelled","",IFERROR((W13*INDEX(Variables!$B$7:$D$7,IFERROR(MATCH(IF($B13="Robusta","Robusta",(IF($B13="","Arabica",$B13))&amp;" - "&amp;(IF($C13="","Commercial",$C13))),Variables!$B$1:$D$1,0),1))*AK13/365)+(L13/16.67*INDEX(Variables!$B$8:$D$8,IFERROR(MATCH(IF($B13="Robusta","Robusta",(IF($B13="","Arabica",$B13))&amp;" - "&amp;(IF($C13="","Commercial",$C13))),Variables!$B$1:$D$1,0),1))*AK13)+(W13*INDEX(Variables!$B$9:$D$9,IFERROR(MATCH(IF($B13="Robusta","Robusta",(IF($B13="","Arabica",$B13))&amp;" - "&amp;(IF($C13="","Commercial",$C13))),Variables!$B$1:$D$1,0),1))*AK13/365),""))</f>
        <v>1301.1262228193193</v>
      </c>
      <c r="BI13" s="44">
        <f>IF($AX13="Cancelled","",IFERROR((W13*INDEX(Variables!$B$7:$D$7,IFERROR(MATCH(IF($B13="Robusta","Robusta",(IF($B13="","Arabica",$B13))&amp;" - "&amp;(IF($C13="","Commercial",$C13))),Variables!$B$1:$D$1,0),1))*BD13/365)+(L13/16.67*INDEX(Variables!$B$8:$D$8,IFERROR(MATCH(IF($B13="Robusta","Robusta",(IF($B13="","Arabica",$B13))&amp;" - "&amp;(IF($C13="","Commercial",$C13))),Variables!$B$1:$D$1,0),1))*BD13)+(W13*INDEX(Variables!$B$9:$D$9,IFERROR(MATCH(IF($B13="Robusta","Robusta",(IF($B13="","Arabica",$B13))&amp;" - "&amp;(IF($C13="","Commercial",$C13))),Variables!$B$1:$D$1,0),1))*BD13/365),""))</f>
        <v>173.48349637590923</v>
      </c>
      <c r="BJ13" s="44">
        <f t="shared" si="2"/>
        <v>8</v>
      </c>
      <c r="BK13" s="44">
        <f>IF($AX13="Cancelled","",IFERROR(IF(BJ13="","",(W13*INDEX(Variables!$B$7:$D$7,IFERROR(MATCH(IF($B13="Robusta","Robusta",(IF($B13="","Arabica",$B13))&amp;" - "&amp;(IF($C13="","Commercial",$C13))),Variables!$B$1:$D$1,0),1))*(BJ13/365))+(W13*INDEX(Variables!$B$9:$D$9,IFERROR(MATCH(IF($B13="Robusta","Robusta",(IF($B13="","Arabica",$B13))&amp;" - "&amp;(IF($C13="","Commercial",$C13))),Variables!$B$1:$D$1,0),1))*(BJ13/365))+(INDEX(Variables!$B$8:$D$8,IFERROR(MATCH(IF($B13="Robusta","Robusta",(IF($B13="","Arabica",$B13))&amp;" - "&amp;(IF($C13="","Commercial",$C13))),Variables!$B$1:$D$1,0),1))*L13/16.67)),""))</f>
        <v>441.93398550363685</v>
      </c>
    </row>
    <row r="14" spans="1:63">
      <c r="A14" s="13" t="s">
        <v>103</v>
      </c>
      <c r="B14" s="13" t="s">
        <v>104</v>
      </c>
      <c r="C14" s="13" t="s">
        <v>105</v>
      </c>
      <c r="D14" s="31">
        <v>45531</v>
      </c>
      <c r="E14" s="31">
        <v>45689</v>
      </c>
      <c r="F14" s="31">
        <v>45716</v>
      </c>
      <c r="G14" s="13">
        <v>3786494</v>
      </c>
      <c r="H14" s="13" t="s">
        <v>159</v>
      </c>
      <c r="J14" s="13" t="s">
        <v>118</v>
      </c>
      <c r="K14" s="13" t="s">
        <v>163</v>
      </c>
      <c r="L14" s="13">
        <v>360</v>
      </c>
      <c r="M14" s="13">
        <v>1</v>
      </c>
      <c r="N14" s="13" t="s">
        <v>152</v>
      </c>
      <c r="O14" s="13" t="s">
        <v>153</v>
      </c>
      <c r="P14" s="13">
        <v>10110</v>
      </c>
      <c r="Q14" s="13" t="s">
        <v>121</v>
      </c>
      <c r="R14" s="13" t="s">
        <v>122</v>
      </c>
      <c r="S14" s="13" t="s">
        <v>154</v>
      </c>
      <c r="T14" s="13" t="s">
        <v>155</v>
      </c>
      <c r="U14" s="13" t="s">
        <v>125</v>
      </c>
      <c r="V14" s="23">
        <v>7</v>
      </c>
      <c r="W14" s="44">
        <f>IF($AX14="Cancelled","",IFERROR(((V14+INDEX(Variables!$B$6:$D$6,IFERROR(MATCH(IF($B14="Robusta","Robusta",(IF($B14="","Arabica",$B14))&amp;" - "&amp;(IF($C14="","Commercial",$C14))),Variables!$B$1:$D$1,0),1)))*22.0462)*(L14/16.67),""))</f>
        <v>141783.38389922015</v>
      </c>
      <c r="X14" s="55" t="s">
        <v>37</v>
      </c>
      <c r="Y14" s="13" t="str">
        <f>IF($AX14="Cancelled","",IF(X14="","",IFERROR(IF(INDEX(Variables!$B$38:$B$47,MATCH(X14,Variables!$A$38:$A$47,0))="Yes","Yes","No"),"No")))</f>
        <v>Yes</v>
      </c>
      <c r="Z14" s="58">
        <v>45663</v>
      </c>
      <c r="AB14" s="31">
        <v>45670</v>
      </c>
      <c r="AC14" s="13" t="str">
        <f t="shared" si="0"/>
        <v>Approved</v>
      </c>
      <c r="AF14" s="71">
        <v>45695</v>
      </c>
      <c r="AG14" s="35">
        <f>IF($AX14="Cancelled","",IFERROR(IF(F14="","",F14-Variables!$B$13),""))</f>
        <v>45701</v>
      </c>
      <c r="AH14" s="13">
        <f>IF($AX14="Cancelled","",IFERROR(IF(AB14="","",(AVERAGE(E14:F14)-AB14)-Variables!$B$14),""))</f>
        <v>2.5</v>
      </c>
      <c r="AJ14" s="47">
        <v>45695</v>
      </c>
      <c r="AK14" s="14">
        <f>IF($AX14="Cancelled","",IFERROR(IF(AJ14="","",IF(AND(AB14="",AF14=""),"",IF(AF14&gt;AB14,AF14+Variables!$B$15+Variables!$B$16+Variables!$B$17-AJ14,AB14+Variables!$B$16+Variables!$B$17-AJ14))),""))</f>
        <v>15</v>
      </c>
      <c r="AL14" s="48" t="s">
        <v>114</v>
      </c>
      <c r="AM14" s="13" t="s">
        <v>141</v>
      </c>
      <c r="AN14" s="13" t="s">
        <v>161</v>
      </c>
      <c r="AP14" s="31">
        <v>45708</v>
      </c>
      <c r="AR14" s="13" t="s">
        <v>162</v>
      </c>
      <c r="AS14" s="31">
        <v>45708</v>
      </c>
      <c r="AU14" s="31">
        <v>45714</v>
      </c>
      <c r="AV14" s="13" t="s">
        <v>865</v>
      </c>
      <c r="AW14" s="31">
        <v>45714</v>
      </c>
      <c r="AX14" s="13" t="str">
        <f>IF(ISNUMBER(SEARCH("cancel",#REF!)),"Cancelled",IF(AND(AS14&lt;&gt;"",AU14&lt;&gt;"",AW14&lt;&gt;""),"Closed","Open"))</f>
        <v>Closed</v>
      </c>
      <c r="AY14" s="15" t="str">
        <f t="shared" si="1"/>
        <v>All dates received</v>
      </c>
      <c r="BD14" s="13">
        <f>IF($AX14="Cancelled","",IFERROR(IF(OR(AS14="",AJ14=""),"",(AJ14+Variables!$B$18-AS14)),""))</f>
        <v>2</v>
      </c>
      <c r="BE14" s="13">
        <f>IF($AX14="Cancelled","",IFERROR(IF(OR(AW14="",AS14=""),"",(AS14+Variables!$B$19)-AW14),""))</f>
        <v>-1</v>
      </c>
      <c r="BF14" s="44">
        <f>IF($AX14="Cancelled","",IFERROR(W14*INDEX(Variables!$B$7:$D$7,IFERROR(MATCH(IF($B14="Robusta","Robusta",(IF($B14="","Arabica",$B14))&amp;" - "&amp;(IF($C14="","Commercial",$C14))),Variables!$B$1:$D$1,0),1))*(BE14/365),""))</f>
        <v>-25.04795758155149</v>
      </c>
      <c r="BG14" s="44">
        <f>IF($AX14="Cancelled","",IFERROR((W14*INDEX(Variables!$B$7:$D$7,IFERROR(MATCH(IF($B14="Robusta","Robusta",(IF($B14="","Arabica",$B14))&amp;" - "&amp;(IF($C14="","Commercial",$C14))),Variables!$B$1:$D$1,0),1))*IFERROR(IF(AB14="","",(AVERAGE(E14:F14)-AB14)-Variables!$B$14),"")/365)+(L14/16.67*INDEX(Variables!$B$8:$D$8,IFERROR(MATCH(IF($B14="Robusta","Robusta",(IF($B14="","Arabica",$B14))&amp;" - "&amp;(IF($C14="","Commercial",$C14))),Variables!$B$1:$D$1,0),1))*IFERROR(IF(AB14="","",(AVERAGE(E14:F14)-AB14)-Variables!$B$14),""))+(W14*INDEX(Variables!$B$9:$D$9,IFERROR(MATCH(IF($B14="Robusta","Robusta",(IF($B14="","Arabica",$B14))&amp;" - "&amp;(IF($C14="","Commercial",$C14))),Variables!$B$1:$D$1,0),1))*IFERROR(IF(AB14="","",(AVERAGE(E14:F14)-AB14)-Variables!$B$14),"")/365),""))</f>
        <v>108.42718523494327</v>
      </c>
      <c r="BH14" s="44">
        <f>IF($AX14="Cancelled","",IFERROR((W14*INDEX(Variables!$B$7:$D$7,IFERROR(MATCH(IF($B14="Robusta","Robusta",(IF($B14="","Arabica",$B14))&amp;" - "&amp;(IF($C14="","Commercial",$C14))),Variables!$B$1:$D$1,0),1))*AK14/365)+(L14/16.67*INDEX(Variables!$B$8:$D$8,IFERROR(MATCH(IF($B14="Robusta","Robusta",(IF($B14="","Arabica",$B14))&amp;" - "&amp;(IF($C14="","Commercial",$C14))),Variables!$B$1:$D$1,0),1))*AK14)+(W14*INDEX(Variables!$B$9:$D$9,IFERROR(MATCH(IF($B14="Robusta","Robusta",(IF($B14="","Arabica",$B14))&amp;" - "&amp;(IF($C14="","Commercial",$C14))),Variables!$B$1:$D$1,0),1))*AK14/365),""))</f>
        <v>650.56311140965965</v>
      </c>
      <c r="BI14" s="44">
        <f>IF($AX14="Cancelled","",IFERROR((W14*INDEX(Variables!$B$7:$D$7,IFERROR(MATCH(IF($B14="Robusta","Robusta",(IF($B14="","Arabica",$B14))&amp;" - "&amp;(IF($C14="","Commercial",$C14))),Variables!$B$1:$D$1,0),1))*BD14/365)+(L14/16.67*INDEX(Variables!$B$8:$D$8,IFERROR(MATCH(IF($B14="Robusta","Robusta",(IF($B14="","Arabica",$B14))&amp;" - "&amp;(IF($C14="","Commercial",$C14))),Variables!$B$1:$D$1,0),1))*BD14)+(W14*INDEX(Variables!$B$9:$D$9,IFERROR(MATCH(IF($B14="Robusta","Robusta",(IF($B14="","Arabica",$B14))&amp;" - "&amp;(IF($C14="","Commercial",$C14))),Variables!$B$1:$D$1,0),1))*BD14/365),""))</f>
        <v>86.741748187954613</v>
      </c>
      <c r="BJ14" s="44">
        <f t="shared" si="2"/>
        <v>8</v>
      </c>
      <c r="BK14" s="44">
        <f>IF($AX14="Cancelled","",IFERROR(IF(BJ14="","",(W14*INDEX(Variables!$B$7:$D$7,IFERROR(MATCH(IF($B14="Robusta","Robusta",(IF($B14="","Arabica",$B14))&amp;" - "&amp;(IF($C14="","Commercial",$C14))),Variables!$B$1:$D$1,0),1))*(BJ14/365))+(W14*INDEX(Variables!$B$9:$D$9,IFERROR(MATCH(IF($B14="Robusta","Robusta",(IF($B14="","Arabica",$B14))&amp;" - "&amp;(IF($C14="","Commercial",$C14))),Variables!$B$1:$D$1,0),1))*(BJ14/365))+(INDEX(Variables!$B$8:$D$8,IFERROR(MATCH(IF($B14="Robusta","Robusta",(IF($B14="","Arabica",$B14))&amp;" - "&amp;(IF($C14="","Commercial",$C14))),Variables!$B$1:$D$1,0),1))*L14/16.67)),""))</f>
        <v>220.96699275181842</v>
      </c>
    </row>
    <row r="15" spans="1:63">
      <c r="A15" s="13" t="s">
        <v>103</v>
      </c>
      <c r="B15" s="13" t="s">
        <v>104</v>
      </c>
      <c r="C15" s="13" t="s">
        <v>105</v>
      </c>
      <c r="D15" s="31">
        <v>45531</v>
      </c>
      <c r="E15" s="31">
        <v>45658</v>
      </c>
      <c r="F15" s="31">
        <v>45688</v>
      </c>
      <c r="G15" s="13">
        <v>3786497</v>
      </c>
      <c r="H15" s="13" t="s">
        <v>164</v>
      </c>
      <c r="J15" s="13" t="s">
        <v>118</v>
      </c>
      <c r="K15" s="13" t="s">
        <v>165</v>
      </c>
      <c r="L15" s="13">
        <v>360</v>
      </c>
      <c r="M15" s="13">
        <v>1</v>
      </c>
      <c r="N15" s="13" t="s">
        <v>166</v>
      </c>
      <c r="O15" s="13" t="s">
        <v>153</v>
      </c>
      <c r="P15" s="13">
        <v>10110</v>
      </c>
      <c r="Q15" s="13" t="s">
        <v>121</v>
      </c>
      <c r="R15" s="13" t="s">
        <v>122</v>
      </c>
      <c r="S15" s="13" t="s">
        <v>167</v>
      </c>
      <c r="T15" s="13" t="s">
        <v>155</v>
      </c>
      <c r="U15" s="13" t="s">
        <v>125</v>
      </c>
      <c r="V15" s="23">
        <v>-1</v>
      </c>
      <c r="W15" s="44">
        <f>IF($AX15="Cancelled","",IFERROR(((V15+INDEX(Variables!$B$6:$D$6,IFERROR(MATCH(IF($B15="Robusta","Robusta",(IF($B15="","Arabica",$B15))&amp;" - "&amp;(IF($C15="","Commercial",$C15))),Variables!$B$1:$D$1,0),1)))*22.0462)*(L15/16.67),""))</f>
        <v>137974.56230353928</v>
      </c>
      <c r="X15" s="55" t="s">
        <v>37</v>
      </c>
      <c r="Y15" s="13" t="str">
        <f>IF($AX15="Cancelled","",IF(X15="","",IFERROR(IF(INDEX(Variables!$B$38:$B$47,MATCH(X15,Variables!$A$38:$A$47,0))="Yes","Yes","No"),"No")))</f>
        <v>Yes</v>
      </c>
      <c r="Z15" s="58">
        <v>45616</v>
      </c>
      <c r="AB15" s="31">
        <v>45630</v>
      </c>
      <c r="AC15" s="13" t="str">
        <f t="shared" si="0"/>
        <v>Approved</v>
      </c>
      <c r="AF15" s="71">
        <f>AJ15-7</f>
        <v>45639</v>
      </c>
      <c r="AG15" s="35">
        <f>IF($AX15="Cancelled","",IFERROR(IF(F15="","",F15-Variables!$B$13),""))</f>
        <v>45673</v>
      </c>
      <c r="AH15" s="13">
        <f>IF($AX15="Cancelled","",IFERROR(IF(AB15="","",(AVERAGE(E15:F15)-AB15)-Variables!$B$14),""))</f>
        <v>13</v>
      </c>
      <c r="AJ15" s="47">
        <v>45646</v>
      </c>
      <c r="AK15" s="14">
        <f>IF($AX15="Cancelled","",IFERROR(IF(AJ15="","",IF(AND(AB15="",AF15=""),"",IF(AF15&gt;AB15,AF15+Variables!$B$15+Variables!$B$16+Variables!$B$17-AJ15,AB15+Variables!$B$16+Variables!$B$17-AJ15))),""))</f>
        <v>8</v>
      </c>
      <c r="AL15" s="48" t="s">
        <v>114</v>
      </c>
      <c r="AM15" s="13" t="s">
        <v>168</v>
      </c>
      <c r="AN15" s="13" t="s">
        <v>169</v>
      </c>
      <c r="AP15" s="31">
        <v>45677</v>
      </c>
      <c r="AR15" s="13" t="s">
        <v>170</v>
      </c>
      <c r="AS15" s="31">
        <v>45677</v>
      </c>
      <c r="AU15" s="31">
        <v>45679</v>
      </c>
      <c r="AV15" s="13" t="s">
        <v>865</v>
      </c>
      <c r="AW15" s="31">
        <v>45684</v>
      </c>
      <c r="AX15" s="13" t="str">
        <f>IF(ISNUMBER(SEARCH("cancel",#REF!)),"Cancelled",IF(AND(AS15&lt;&gt;"",AU15&lt;&gt;"",AW15&lt;&gt;""),"Closed","Open"))</f>
        <v>Closed</v>
      </c>
      <c r="AY15" s="15" t="str">
        <f t="shared" si="1"/>
        <v>All dates received</v>
      </c>
      <c r="BD15" s="13">
        <f>IF($AX15="Cancelled","",IFERROR(IF(OR(AS15="",AJ15=""),"",(AJ15+Variables!$B$18-AS15)),""))</f>
        <v>-16</v>
      </c>
      <c r="BE15" s="13">
        <f>IF($AX15="Cancelled","",IFERROR(IF(OR(AW15="",AS15=""),"",(AS15+Variables!$B$19)-AW15),""))</f>
        <v>-2</v>
      </c>
      <c r="BF15" s="44">
        <f>IF($AX15="Cancelled","",IFERROR(W15*INDEX(Variables!$B$7:$D$7,IFERROR(MATCH(IF($B15="Robusta","Robusta",(IF($B15="","Arabica",$B15))&amp;" - "&amp;(IF($C15="","Commercial",$C15))),Variables!$B$1:$D$1,0),1))*(BE15/365),""))</f>
        <v>-48.750155185585093</v>
      </c>
      <c r="BG15" s="44">
        <f>IF($AX15="Cancelled","",IFERROR((W15*INDEX(Variables!$B$7:$D$7,IFERROR(MATCH(IF($B15="Robusta","Robusta",(IF($B15="","Arabica",$B15))&amp;" - "&amp;(IF($C15="","Commercial",$C15))),Variables!$B$1:$D$1,0),1))*IFERROR(IF(AB15="","",(AVERAGE(E15:F15)-AB15)-Variables!$B$14),"")/365)+(L15/16.67*INDEX(Variables!$B$8:$D$8,IFERROR(MATCH(IF($B15="Robusta","Robusta",(IF($B15="","Arabica",$B15))&amp;" - "&amp;(IF($C15="","Commercial",$C15))),Variables!$B$1:$D$1,0),1))*IFERROR(IF(AB15="","",(AVERAGE(E15:F15)-AB15)-Variables!$B$14),""))+(W15*INDEX(Variables!$B$9:$D$9,IFERROR(MATCH(IF($B15="Robusta","Robusta",(IF($B15="","Arabica",$B15))&amp;" - "&amp;(IF($C15="","Commercial",$C15))),Variables!$B$1:$D$1,0),1))*IFERROR(IF(AB15="","",(AVERAGE(E15:F15)-AB15)-Variables!$B$14),"")/365),""))</f>
        <v>554.96115198673635</v>
      </c>
      <c r="BH15" s="44">
        <f>IF($AX15="Cancelled","",IFERROR((W15*INDEX(Variables!$B$7:$D$7,IFERROR(MATCH(IF($B15="Robusta","Robusta",(IF($B15="","Arabica",$B15))&amp;" - "&amp;(IF($C15="","Commercial",$C15))),Variables!$B$1:$D$1,0),1))*AK15/365)+(L15/16.67*INDEX(Variables!$B$8:$D$8,IFERROR(MATCH(IF($B15="Robusta","Robusta",(IF($B15="","Arabica",$B15))&amp;" - "&amp;(IF($C15="","Commercial",$C15))),Variables!$B$1:$D$1,0),1))*AK15)+(W15*INDEX(Variables!$B$9:$D$9,IFERROR(MATCH(IF($B15="Robusta","Robusta",(IF($B15="","Arabica",$B15))&amp;" - "&amp;(IF($C15="","Commercial",$C15))),Variables!$B$1:$D$1,0),1))*AK15/365),""))</f>
        <v>341.51455506876084</v>
      </c>
      <c r="BI15" s="44">
        <f>IF($AX15="Cancelled","",IFERROR((W15*INDEX(Variables!$B$7:$D$7,IFERROR(MATCH(IF($B15="Robusta","Robusta",(IF($B15="","Arabica",$B15))&amp;" - "&amp;(IF($C15="","Commercial",$C15))),Variables!$B$1:$D$1,0),1))*BD15/365)+(L15/16.67*INDEX(Variables!$B$8:$D$8,IFERROR(MATCH(IF($B15="Robusta","Robusta",(IF($B15="","Arabica",$B15))&amp;" - "&amp;(IF($C15="","Commercial",$C15))),Variables!$B$1:$D$1,0),1))*BD15)+(W15*INDEX(Variables!$B$9:$D$9,IFERROR(MATCH(IF($B15="Robusta","Robusta",(IF($B15="","Arabica",$B15))&amp;" - "&amp;(IF($C15="","Commercial",$C15))),Variables!$B$1:$D$1,0),1))*BD15/365),""))</f>
        <v>-683.02911013752168</v>
      </c>
      <c r="BJ15" s="44">
        <f t="shared" si="2"/>
        <v>11</v>
      </c>
      <c r="BK15" s="44">
        <f>IF($AX15="Cancelled","",IFERROR(IF(BJ15="","",(W15*INDEX(Variables!$B$7:$D$7,IFERROR(MATCH(IF($B15="Robusta","Robusta",(IF($B15="","Arabica",$B15))&amp;" - "&amp;(IF($C15="","Commercial",$C15))),Variables!$B$1:$D$1,0),1))*(BJ15/365))+(W15*INDEX(Variables!$B$9:$D$9,IFERROR(MATCH(IF($B15="Robusta","Robusta",(IF($B15="","Arabica",$B15))&amp;" - "&amp;(IF($C15="","Commercial",$C15))),Variables!$B$1:$D$1,0),1))*(BJ15/365))+(INDEX(Variables!$B$8:$D$8,IFERROR(MATCH(IF($B15="Robusta","Robusta",(IF($B15="","Arabica",$B15))&amp;" - "&amp;(IF($C15="","Commercial",$C15))),Variables!$B$1:$D$1,0),1))*L15/16.67)),""))</f>
        <v>289.58251321954617</v>
      </c>
    </row>
    <row r="16" spans="1:63">
      <c r="A16" s="13" t="s">
        <v>103</v>
      </c>
      <c r="B16" s="13" t="s">
        <v>104</v>
      </c>
      <c r="C16" s="13" t="s">
        <v>105</v>
      </c>
      <c r="D16" s="31">
        <v>45531</v>
      </c>
      <c r="E16" s="31">
        <v>45658</v>
      </c>
      <c r="F16" s="31">
        <v>45688</v>
      </c>
      <c r="G16" s="13">
        <v>3786497</v>
      </c>
      <c r="H16" s="13" t="s">
        <v>164</v>
      </c>
      <c r="J16" s="13" t="s">
        <v>118</v>
      </c>
      <c r="K16" s="13" t="s">
        <v>171</v>
      </c>
      <c r="L16" s="13">
        <v>720</v>
      </c>
      <c r="M16" s="13">
        <v>2</v>
      </c>
      <c r="N16" s="13" t="s">
        <v>166</v>
      </c>
      <c r="O16" s="13" t="s">
        <v>153</v>
      </c>
      <c r="P16" s="13">
        <v>10110</v>
      </c>
      <c r="Q16" s="13" t="s">
        <v>121</v>
      </c>
      <c r="R16" s="13" t="s">
        <v>122</v>
      </c>
      <c r="S16" s="13" t="s">
        <v>123</v>
      </c>
      <c r="T16" s="13" t="s">
        <v>124</v>
      </c>
      <c r="U16" s="13" t="s">
        <v>125</v>
      </c>
      <c r="V16" s="23">
        <v>-1</v>
      </c>
      <c r="W16" s="44">
        <f>IF($AX16="Cancelled","",IFERROR(((V16+INDEX(Variables!$B$6:$D$6,IFERROR(MATCH(IF($B16="Robusta","Robusta",(IF($B16="","Arabica",$B16))&amp;" - "&amp;(IF($C16="","Commercial",$C16))),Variables!$B$1:$D$1,0),1)))*22.0462)*(L16/16.67),""))</f>
        <v>275949.12460707856</v>
      </c>
      <c r="X16" s="55" t="s">
        <v>37</v>
      </c>
      <c r="Y16" s="13" t="str">
        <f>IF($AX16="Cancelled","",IF(X16="","",IFERROR(IF(INDEX(Variables!$B$38:$B$47,MATCH(X16,Variables!$A$38:$A$47,0))="Yes","Yes","No"),"No")))</f>
        <v>Yes</v>
      </c>
      <c r="Z16" s="58">
        <v>45616</v>
      </c>
      <c r="AB16" s="31">
        <v>45630</v>
      </c>
      <c r="AC16" s="13" t="str">
        <f t="shared" si="0"/>
        <v>Approved</v>
      </c>
      <c r="AF16" s="71">
        <f>AJ16-7</f>
        <v>45639</v>
      </c>
      <c r="AG16" s="35">
        <f>IF($AX16="Cancelled","",IFERROR(IF(F16="","",F16-Variables!$B$13),""))</f>
        <v>45673</v>
      </c>
      <c r="AH16" s="13">
        <f>IF($AX16="Cancelled","",IFERROR(IF(AB16="","",(AVERAGE(E16:F16)-AB16)-Variables!$B$14),""))</f>
        <v>13</v>
      </c>
      <c r="AJ16" s="47">
        <v>45646</v>
      </c>
      <c r="AK16" s="14">
        <f>IF($AX16="Cancelled","",IFERROR(IF(AJ16="","",IF(AND(AB16="",AF16=""),"",IF(AF16&gt;AB16,AF16+Variables!$B$15+Variables!$B$16+Variables!$B$17-AJ16,AB16+Variables!$B$16+Variables!$B$17-AJ16))),""))</f>
        <v>8</v>
      </c>
      <c r="AL16" s="48" t="s">
        <v>114</v>
      </c>
      <c r="AM16" s="13" t="s">
        <v>168</v>
      </c>
      <c r="AN16" s="13" t="s">
        <v>169</v>
      </c>
      <c r="AP16" s="31">
        <v>45677</v>
      </c>
      <c r="AR16" s="13" t="s">
        <v>170</v>
      </c>
      <c r="AS16" s="31">
        <v>45665</v>
      </c>
      <c r="AU16" s="31">
        <v>45667</v>
      </c>
      <c r="AV16" s="13" t="s">
        <v>865</v>
      </c>
      <c r="AW16" s="31">
        <v>45672</v>
      </c>
      <c r="AX16" s="13" t="str">
        <f>IF(ISNUMBER(SEARCH("cancel",#REF!)),"Cancelled",IF(AND(AS16&lt;&gt;"",AU16&lt;&gt;"",AW16&lt;&gt;""),"Closed","Open"))</f>
        <v>Closed</v>
      </c>
      <c r="AY16" s="15" t="str">
        <f t="shared" si="1"/>
        <v>All dates received</v>
      </c>
      <c r="BD16" s="13">
        <f>IF($AX16="Cancelled","",IFERROR(IF(OR(AS16="",AJ16=""),"",(AJ16+Variables!$B$18-AS16)),""))</f>
        <v>-4</v>
      </c>
      <c r="BE16" s="13">
        <f>IF($AX16="Cancelled","",IFERROR(IF(OR(AW16="",AS16=""),"",(AS16+Variables!$B$19)-AW16),""))</f>
        <v>-2</v>
      </c>
      <c r="BF16" s="44">
        <f>IF($AX16="Cancelled","",IFERROR(W16*INDEX(Variables!$B$7:$D$7,IFERROR(MATCH(IF($B16="Robusta","Robusta",(IF($B16="","Arabica",$B16))&amp;" - "&amp;(IF($C16="","Commercial",$C16))),Variables!$B$1:$D$1,0),1))*(BE16/365),""))</f>
        <v>-97.500310371170187</v>
      </c>
      <c r="BG16" s="44">
        <f>IF($AX16="Cancelled","",IFERROR((W16*INDEX(Variables!$B$7:$D$7,IFERROR(MATCH(IF($B16="Robusta","Robusta",(IF($B16="","Arabica",$B16))&amp;" - "&amp;(IF($C16="","Commercial",$C16))),Variables!$B$1:$D$1,0),1))*IFERROR(IF(AB16="","",(AVERAGE(E16:F16)-AB16)-Variables!$B$14),"")/365)+(L16/16.67*INDEX(Variables!$B$8:$D$8,IFERROR(MATCH(IF($B16="Robusta","Robusta",(IF($B16="","Arabica",$B16))&amp;" - "&amp;(IF($C16="","Commercial",$C16))),Variables!$B$1:$D$1,0),1))*IFERROR(IF(AB16="","",(AVERAGE(E16:F16)-AB16)-Variables!$B$14),""))+(W16*INDEX(Variables!$B$9:$D$9,IFERROR(MATCH(IF($B16="Robusta","Robusta",(IF($B16="","Arabica",$B16))&amp;" - "&amp;(IF($C16="","Commercial",$C16))),Variables!$B$1:$D$1,0),1))*IFERROR(IF(AB16="","",(AVERAGE(E16:F16)-AB16)-Variables!$B$14),"")/365),""))</f>
        <v>1109.9223039734727</v>
      </c>
      <c r="BH16" s="44">
        <f>IF($AX16="Cancelled","",IFERROR((W16*INDEX(Variables!$B$7:$D$7,IFERROR(MATCH(IF($B16="Robusta","Robusta",(IF($B16="","Arabica",$B16))&amp;" - "&amp;(IF($C16="","Commercial",$C16))),Variables!$B$1:$D$1,0),1))*AK16/365)+(L16/16.67*INDEX(Variables!$B$8:$D$8,IFERROR(MATCH(IF($B16="Robusta","Robusta",(IF($B16="","Arabica",$B16))&amp;" - "&amp;(IF($C16="","Commercial",$C16))),Variables!$B$1:$D$1,0),1))*AK16)+(W16*INDEX(Variables!$B$9:$D$9,IFERROR(MATCH(IF($B16="Robusta","Robusta",(IF($B16="","Arabica",$B16))&amp;" - "&amp;(IF($C16="","Commercial",$C16))),Variables!$B$1:$D$1,0),1))*AK16/365),""))</f>
        <v>683.02911013752168</v>
      </c>
      <c r="BI16" s="44">
        <f>IF($AX16="Cancelled","",IFERROR((W16*INDEX(Variables!$B$7:$D$7,IFERROR(MATCH(IF($B16="Robusta","Robusta",(IF($B16="","Arabica",$B16))&amp;" - "&amp;(IF($C16="","Commercial",$C16))),Variables!$B$1:$D$1,0),1))*BD16/365)+(L16/16.67*INDEX(Variables!$B$8:$D$8,IFERROR(MATCH(IF($B16="Robusta","Robusta",(IF($B16="","Arabica",$B16))&amp;" - "&amp;(IF($C16="","Commercial",$C16))),Variables!$B$1:$D$1,0),1))*BD16)+(W16*INDEX(Variables!$B$9:$D$9,IFERROR(MATCH(IF($B16="Robusta","Robusta",(IF($B16="","Arabica",$B16))&amp;" - "&amp;(IF($C16="","Commercial",$C16))),Variables!$B$1:$D$1,0),1))*BD16/365),""))</f>
        <v>-341.51455506876084</v>
      </c>
      <c r="BJ16" s="44">
        <f t="shared" si="2"/>
        <v>23</v>
      </c>
      <c r="BK16" s="44">
        <f>IF($AX16="Cancelled","",IFERROR(IF(BJ16="","",(W16*INDEX(Variables!$B$7:$D$7,IFERROR(MATCH(IF($B16="Robusta","Robusta",(IF($B16="","Arabica",$B16))&amp;" - "&amp;(IF($C16="","Commercial",$C16))),Variables!$B$1:$D$1,0),1))*(BJ16/365))+(W16*INDEX(Variables!$B$9:$D$9,IFERROR(MATCH(IF($B16="Robusta","Robusta",(IF($B16="","Arabica",$B16))&amp;" - "&amp;(IF($C16="","Commercial",$C16))),Variables!$B$1:$D$1,0),1))*(BJ16/365))+(INDEX(Variables!$B$8:$D$8,IFERROR(MATCH(IF($B16="Robusta","Robusta",(IF($B16="","Arabica",$B16))&amp;" - "&amp;(IF($C16="","Commercial",$C16))),Variables!$B$1:$D$1,0),1))*L16/16.67)),""))</f>
        <v>1171.7086916453748</v>
      </c>
    </row>
    <row r="17" spans="1:63">
      <c r="A17" s="13" t="s">
        <v>103</v>
      </c>
      <c r="B17" s="13" t="s">
        <v>104</v>
      </c>
      <c r="C17" s="13" t="s">
        <v>105</v>
      </c>
      <c r="D17" s="31">
        <v>45531</v>
      </c>
      <c r="E17" s="31">
        <v>45689</v>
      </c>
      <c r="F17" s="31">
        <v>45716</v>
      </c>
      <c r="G17" s="13">
        <v>3786498</v>
      </c>
      <c r="H17" s="13" t="s">
        <v>172</v>
      </c>
      <c r="J17" s="13" t="s">
        <v>118</v>
      </c>
      <c r="K17" s="13" t="s">
        <v>173</v>
      </c>
      <c r="L17" s="13">
        <v>360</v>
      </c>
      <c r="M17" s="13">
        <v>1</v>
      </c>
      <c r="N17" s="13" t="s">
        <v>166</v>
      </c>
      <c r="O17" s="13" t="s">
        <v>153</v>
      </c>
      <c r="P17" s="13">
        <v>10110</v>
      </c>
      <c r="Q17" s="13" t="s">
        <v>121</v>
      </c>
      <c r="R17" s="13" t="s">
        <v>122</v>
      </c>
      <c r="S17" s="13" t="s">
        <v>167</v>
      </c>
      <c r="T17" s="13" t="s">
        <v>155</v>
      </c>
      <c r="U17" s="13" t="s">
        <v>125</v>
      </c>
      <c r="V17" s="23">
        <v>-1</v>
      </c>
      <c r="W17" s="44">
        <f>IF($AX17="Cancelled","",IFERROR(((V17+INDEX(Variables!$B$6:$D$6,IFERROR(MATCH(IF($B17="Robusta","Robusta",(IF($B17="","Arabica",$B17))&amp;" - "&amp;(IF($C17="","Commercial",$C17))),Variables!$B$1:$D$1,0),1)))*22.0462)*(L17/16.67),""))</f>
        <v>137974.56230353928</v>
      </c>
      <c r="X17" s="55" t="s">
        <v>37</v>
      </c>
      <c r="Y17" s="13" t="str">
        <f>IF($AX17="Cancelled","",IF(X17="","",IFERROR(IF(INDEX(Variables!$B$38:$B$47,MATCH(X17,Variables!$A$38:$A$47,0))="Yes","Yes","No"),"No")))</f>
        <v>Yes</v>
      </c>
      <c r="Z17" s="58">
        <v>45663</v>
      </c>
      <c r="AB17" s="31">
        <v>45670</v>
      </c>
      <c r="AC17" s="13" t="str">
        <f t="shared" si="0"/>
        <v>Approved</v>
      </c>
      <c r="AF17" s="71">
        <v>45694</v>
      </c>
      <c r="AG17" s="35">
        <f>IF($AX17="Cancelled","",IFERROR(IF(F17="","",F17-Variables!$B$13),""))</f>
        <v>45701</v>
      </c>
      <c r="AH17" s="13">
        <f>IF($AX17="Cancelled","",IFERROR(IF(AB17="","",(AVERAGE(E17:F17)-AB17)-Variables!$B$14),""))</f>
        <v>2.5</v>
      </c>
      <c r="AJ17" s="47">
        <v>45694</v>
      </c>
      <c r="AK17" s="14">
        <f>IF($AX17="Cancelled","",IFERROR(IF(AJ17="","",IF(AND(AB17="",AF17=""),"",IF(AF17&gt;AB17,AF17+Variables!$B$15+Variables!$B$16+Variables!$B$17-AJ17,AB17+Variables!$B$16+Variables!$B$17-AJ17))),""))</f>
        <v>15</v>
      </c>
      <c r="AL17" s="48" t="s">
        <v>114</v>
      </c>
      <c r="AM17" s="13" t="s">
        <v>115</v>
      </c>
      <c r="AN17" s="13" t="s">
        <v>174</v>
      </c>
      <c r="AP17" s="31">
        <v>45705</v>
      </c>
      <c r="AR17" s="13">
        <v>249699554</v>
      </c>
      <c r="AS17" s="31">
        <v>45705</v>
      </c>
      <c r="AU17" s="31">
        <v>45705</v>
      </c>
      <c r="AV17" s="13" t="s">
        <v>865</v>
      </c>
      <c r="AW17" s="31">
        <v>45705</v>
      </c>
      <c r="AX17" s="13" t="str">
        <f>IF(ISNUMBER(SEARCH("cancel",#REF!)),"Cancelled",IF(AND(AS17&lt;&gt;"",AU17&lt;&gt;"",AW17&lt;&gt;""),"Closed","Open"))</f>
        <v>Closed</v>
      </c>
      <c r="AY17" s="15" t="str">
        <f t="shared" si="1"/>
        <v>All dates received</v>
      </c>
      <c r="BD17" s="13">
        <f>IF($AX17="Cancelled","",IFERROR(IF(OR(AS17="",AJ17=""),"",(AJ17+Variables!$B$18-AS17)),""))</f>
        <v>4</v>
      </c>
      <c r="BE17" s="13">
        <f>IF($AX17="Cancelled","",IFERROR(IF(OR(AW17="",AS17=""),"",(AS17+Variables!$B$19)-AW17),""))</f>
        <v>5</v>
      </c>
      <c r="BF17" s="44">
        <f>IF($AX17="Cancelled","",IFERROR(W17*INDEX(Variables!$B$7:$D$7,IFERROR(MATCH(IF($B17="Robusta","Robusta",(IF($B17="","Arabica",$B17))&amp;" - "&amp;(IF($C17="","Commercial",$C17))),Variables!$B$1:$D$1,0),1))*(BE17/365),""))</f>
        <v>121.87538796396274</v>
      </c>
      <c r="BG17" s="44">
        <f>IF($AX17="Cancelled","",IFERROR((W17*INDEX(Variables!$B$7:$D$7,IFERROR(MATCH(IF($B17="Robusta","Robusta",(IF($B17="","Arabica",$B17))&amp;" - "&amp;(IF($C17="","Commercial",$C17))),Variables!$B$1:$D$1,0),1))*IFERROR(IF(AB17="","",(AVERAGE(E17:F17)-AB17)-Variables!$B$14),"")/365)+(L17/16.67*INDEX(Variables!$B$8:$D$8,IFERROR(MATCH(IF($B17="Robusta","Robusta",(IF($B17="","Arabica",$B17))&amp;" - "&amp;(IF($C17="","Commercial",$C17))),Variables!$B$1:$D$1,0),1))*IFERROR(IF(AB17="","",(AVERAGE(E17:F17)-AB17)-Variables!$B$14),""))+(W17*INDEX(Variables!$B$9:$D$9,IFERROR(MATCH(IF($B17="Robusta","Robusta",(IF($B17="","Arabica",$B17))&amp;" - "&amp;(IF($C17="","Commercial",$C17))),Variables!$B$1:$D$1,0),1))*IFERROR(IF(AB17="","",(AVERAGE(E17:F17)-AB17)-Variables!$B$14),"")/365),""))</f>
        <v>106.72329845898777</v>
      </c>
      <c r="BH17" s="44">
        <f>IF($AX17="Cancelled","",IFERROR((W17*INDEX(Variables!$B$7:$D$7,IFERROR(MATCH(IF($B17="Robusta","Robusta",(IF($B17="","Arabica",$B17))&amp;" - "&amp;(IF($C17="","Commercial",$C17))),Variables!$B$1:$D$1,0),1))*AK17/365)+(L17/16.67*INDEX(Variables!$B$8:$D$8,IFERROR(MATCH(IF($B17="Robusta","Robusta",(IF($B17="","Arabica",$B17))&amp;" - "&amp;(IF($C17="","Commercial",$C17))),Variables!$B$1:$D$1,0),1))*AK17)+(W17*INDEX(Variables!$B$9:$D$9,IFERROR(MATCH(IF($B17="Robusta","Robusta",(IF($B17="","Arabica",$B17))&amp;" - "&amp;(IF($C17="","Commercial",$C17))),Variables!$B$1:$D$1,0),1))*AK17/365),""))</f>
        <v>640.33979075392654</v>
      </c>
      <c r="BI17" s="44">
        <f>IF($AX17="Cancelled","",IFERROR((W17*INDEX(Variables!$B$7:$D$7,IFERROR(MATCH(IF($B17="Robusta","Robusta",(IF($B17="","Arabica",$B17))&amp;" - "&amp;(IF($C17="","Commercial",$C17))),Variables!$B$1:$D$1,0),1))*BD17/365)+(L17/16.67*INDEX(Variables!$B$8:$D$8,IFERROR(MATCH(IF($B17="Robusta","Robusta",(IF($B17="","Arabica",$B17))&amp;" - "&amp;(IF($C17="","Commercial",$C17))),Variables!$B$1:$D$1,0),1))*BD17)+(W17*INDEX(Variables!$B$9:$D$9,IFERROR(MATCH(IF($B17="Robusta","Robusta",(IF($B17="","Arabica",$B17))&amp;" - "&amp;(IF($C17="","Commercial",$C17))),Variables!$B$1:$D$1,0),1))*BD17/365),""))</f>
        <v>170.75727753438042</v>
      </c>
      <c r="BJ17" s="44">
        <f t="shared" si="2"/>
        <v>11</v>
      </c>
      <c r="BK17" s="44">
        <f>IF($AX17="Cancelled","",IFERROR(IF(BJ17="","",(W17*INDEX(Variables!$B$7:$D$7,IFERROR(MATCH(IF($B17="Robusta","Robusta",(IF($B17="","Arabica",$B17))&amp;" - "&amp;(IF($C17="","Commercial",$C17))),Variables!$B$1:$D$1,0),1))*(BJ17/365))+(W17*INDEX(Variables!$B$9:$D$9,IFERROR(MATCH(IF($B17="Robusta","Robusta",(IF($B17="","Arabica",$B17))&amp;" - "&amp;(IF($C17="","Commercial",$C17))),Variables!$B$1:$D$1,0),1))*(BJ17/365))+(INDEX(Variables!$B$8:$D$8,IFERROR(MATCH(IF($B17="Robusta","Robusta",(IF($B17="","Arabica",$B17))&amp;" - "&amp;(IF($C17="","Commercial",$C17))),Variables!$B$1:$D$1,0),1))*L17/16.67)),""))</f>
        <v>289.58251321954617</v>
      </c>
    </row>
    <row r="18" spans="1:63">
      <c r="A18" s="13" t="s">
        <v>103</v>
      </c>
      <c r="B18" s="13" t="s">
        <v>104</v>
      </c>
      <c r="C18" s="13" t="s">
        <v>105</v>
      </c>
      <c r="D18" s="31">
        <v>45531</v>
      </c>
      <c r="E18" s="31">
        <v>45689</v>
      </c>
      <c r="F18" s="31">
        <v>45716</v>
      </c>
      <c r="G18" s="13">
        <v>3786498</v>
      </c>
      <c r="H18" s="13" t="s">
        <v>172</v>
      </c>
      <c r="J18" s="13" t="s">
        <v>118</v>
      </c>
      <c r="K18" s="13" t="s">
        <v>175</v>
      </c>
      <c r="L18" s="13">
        <v>720</v>
      </c>
      <c r="M18" s="13">
        <v>2</v>
      </c>
      <c r="N18" s="13" t="s">
        <v>166</v>
      </c>
      <c r="O18" s="13" t="s">
        <v>153</v>
      </c>
      <c r="P18" s="13">
        <v>10110</v>
      </c>
      <c r="Q18" s="13" t="s">
        <v>121</v>
      </c>
      <c r="R18" s="13" t="s">
        <v>122</v>
      </c>
      <c r="S18" s="13" t="s">
        <v>123</v>
      </c>
      <c r="T18" s="13" t="s">
        <v>124</v>
      </c>
      <c r="U18" s="13" t="s">
        <v>125</v>
      </c>
      <c r="V18" s="23">
        <v>-1</v>
      </c>
      <c r="W18" s="44">
        <f>IF($AX18="Cancelled","",IFERROR(((V18+INDEX(Variables!$B$6:$D$6,IFERROR(MATCH(IF($B18="Robusta","Robusta",(IF($B18="","Arabica",$B18))&amp;" - "&amp;(IF($C18="","Commercial",$C18))),Variables!$B$1:$D$1,0),1)))*22.0462)*(L18/16.67),""))</f>
        <v>275949.12460707856</v>
      </c>
      <c r="X18" s="55" t="s">
        <v>37</v>
      </c>
      <c r="Y18" s="13" t="str">
        <f>IF($AX18="Cancelled","",IF(X18="","",IFERROR(IF(INDEX(Variables!$B$38:$B$47,MATCH(X18,Variables!$A$38:$A$47,0))="Yes","Yes","No"),"No")))</f>
        <v>Yes</v>
      </c>
      <c r="Z18" s="58">
        <v>45663</v>
      </c>
      <c r="AB18" s="31">
        <v>45670</v>
      </c>
      <c r="AC18" s="13" t="str">
        <f t="shared" si="0"/>
        <v>Approved</v>
      </c>
      <c r="AF18" s="71">
        <v>45694</v>
      </c>
      <c r="AG18" s="35">
        <f>IF($AX18="Cancelled","",IFERROR(IF(F18="","",F18-Variables!$B$13),""))</f>
        <v>45701</v>
      </c>
      <c r="AH18" s="13">
        <f>IF($AX18="Cancelled","",IFERROR(IF(AB18="","",(AVERAGE(E18:F18)-AB18)-Variables!$B$14),""))</f>
        <v>2.5</v>
      </c>
      <c r="AJ18" s="47">
        <v>45695</v>
      </c>
      <c r="AK18" s="14">
        <f>IF($AX18="Cancelled","",IFERROR(IF(AJ18="","",IF(AND(AB18="",AF18=""),"",IF(AF18&gt;AB18,AF18+Variables!$B$15+Variables!$B$16+Variables!$B$17-AJ18,AB18+Variables!$B$16+Variables!$B$17-AJ18))),""))</f>
        <v>14</v>
      </c>
      <c r="AL18" s="48" t="s">
        <v>114</v>
      </c>
      <c r="AM18" s="13" t="s">
        <v>115</v>
      </c>
      <c r="AN18" s="13" t="s">
        <v>174</v>
      </c>
      <c r="AP18" s="31">
        <v>45705</v>
      </c>
      <c r="AR18" s="13">
        <v>249699554</v>
      </c>
      <c r="AS18" s="31">
        <v>45708</v>
      </c>
      <c r="AU18" s="31">
        <v>45714</v>
      </c>
      <c r="AV18" s="13" t="s">
        <v>865</v>
      </c>
      <c r="AW18" s="31">
        <v>45714</v>
      </c>
      <c r="AX18" s="13" t="str">
        <f>IF(ISNUMBER(SEARCH("cancel",#REF!)),"Cancelled",IF(AND(AS18&lt;&gt;"",AU18&lt;&gt;"",AW18&lt;&gt;""),"Closed","Open"))</f>
        <v>Closed</v>
      </c>
      <c r="AY18" s="15" t="str">
        <f t="shared" si="1"/>
        <v>All dates received</v>
      </c>
      <c r="BD18" s="13">
        <f>IF($AX18="Cancelled","",IFERROR(IF(OR(AS18="",AJ18=""),"",(AJ18+Variables!$B$18-AS18)),""))</f>
        <v>2</v>
      </c>
      <c r="BE18" s="13">
        <f>IF($AX18="Cancelled","",IFERROR(IF(OR(AW18="",AS18=""),"",(AS18+Variables!$B$19)-AW18),""))</f>
        <v>-1</v>
      </c>
      <c r="BF18" s="44">
        <f>IF($AX18="Cancelled","",IFERROR(W18*INDEX(Variables!$B$7:$D$7,IFERROR(MATCH(IF($B18="Robusta","Robusta",(IF($B18="","Arabica",$B18))&amp;" - "&amp;(IF($C18="","Commercial",$C18))),Variables!$B$1:$D$1,0),1))*(BE18/365),""))</f>
        <v>-48.750155185585093</v>
      </c>
      <c r="BG18" s="44">
        <f>IF($AX18="Cancelled","",IFERROR((W18*INDEX(Variables!$B$7:$D$7,IFERROR(MATCH(IF($B18="Robusta","Robusta",(IF($B18="","Arabica",$B18))&amp;" - "&amp;(IF($C18="","Commercial",$C18))),Variables!$B$1:$D$1,0),1))*IFERROR(IF(AB18="","",(AVERAGE(E18:F18)-AB18)-Variables!$B$14),"")/365)+(L18/16.67*INDEX(Variables!$B$8:$D$8,IFERROR(MATCH(IF($B18="Robusta","Robusta",(IF($B18="","Arabica",$B18))&amp;" - "&amp;(IF($C18="","Commercial",$C18))),Variables!$B$1:$D$1,0),1))*IFERROR(IF(AB18="","",(AVERAGE(E18:F18)-AB18)-Variables!$B$14),""))+(W18*INDEX(Variables!$B$9:$D$9,IFERROR(MATCH(IF($B18="Robusta","Robusta",(IF($B18="","Arabica",$B18))&amp;" - "&amp;(IF($C18="","Commercial",$C18))),Variables!$B$1:$D$1,0),1))*IFERROR(IF(AB18="","",(AVERAGE(E18:F18)-AB18)-Variables!$B$14),"")/365),""))</f>
        <v>213.44659691797554</v>
      </c>
      <c r="BH18" s="44">
        <f>IF($AX18="Cancelled","",IFERROR((W18*INDEX(Variables!$B$7:$D$7,IFERROR(MATCH(IF($B18="Robusta","Robusta",(IF($B18="","Arabica",$B18))&amp;" - "&amp;(IF($C18="","Commercial",$C18))),Variables!$B$1:$D$1,0),1))*AK18/365)+(L18/16.67*INDEX(Variables!$B$8:$D$8,IFERROR(MATCH(IF($B18="Robusta","Robusta",(IF($B18="","Arabica",$B18))&amp;" - "&amp;(IF($C18="","Commercial",$C18))),Variables!$B$1:$D$1,0),1))*AK18)+(W18*INDEX(Variables!$B$9:$D$9,IFERROR(MATCH(IF($B18="Robusta","Robusta",(IF($B18="","Arabica",$B18))&amp;" - "&amp;(IF($C18="","Commercial",$C18))),Variables!$B$1:$D$1,0),1))*AK18/365),""))</f>
        <v>1195.300942740663</v>
      </c>
      <c r="BI18" s="44">
        <f>IF($AX18="Cancelled","",IFERROR((W18*INDEX(Variables!$B$7:$D$7,IFERROR(MATCH(IF($B18="Robusta","Robusta",(IF($B18="","Arabica",$B18))&amp;" - "&amp;(IF($C18="","Commercial",$C18))),Variables!$B$1:$D$1,0),1))*BD18/365)+(L18/16.67*INDEX(Variables!$B$8:$D$8,IFERROR(MATCH(IF($B18="Robusta","Robusta",(IF($B18="","Arabica",$B18))&amp;" - "&amp;(IF($C18="","Commercial",$C18))),Variables!$B$1:$D$1,0),1))*BD18)+(W18*INDEX(Variables!$B$9:$D$9,IFERROR(MATCH(IF($B18="Robusta","Robusta",(IF($B18="","Arabica",$B18))&amp;" - "&amp;(IF($C18="","Commercial",$C18))),Variables!$B$1:$D$1,0),1))*BD18/365),""))</f>
        <v>170.75727753438042</v>
      </c>
      <c r="BJ18" s="44">
        <f t="shared" si="2"/>
        <v>8</v>
      </c>
      <c r="BK18" s="44">
        <f>IF($AX18="Cancelled","",IFERROR(IF(BJ18="","",(W18*INDEX(Variables!$B$7:$D$7,IFERROR(MATCH(IF($B18="Robusta","Robusta",(IF($B18="","Arabica",$B18))&amp;" - "&amp;(IF($C18="","Commercial",$C18))),Variables!$B$1:$D$1,0),1))*(BJ18/365))+(W18*INDEX(Variables!$B$9:$D$9,IFERROR(MATCH(IF($B18="Robusta","Robusta",(IF($B18="","Arabica",$B18))&amp;" - "&amp;(IF($C18="","Commercial",$C18))),Variables!$B$1:$D$1,0),1))*(BJ18/365))+(INDEX(Variables!$B$8:$D$8,IFERROR(MATCH(IF($B18="Robusta","Robusta",(IF($B18="","Arabica",$B18))&amp;" - "&amp;(IF($C18="","Commercial",$C18))),Variables!$B$1:$D$1,0),1))*L18/16.67)),""))</f>
        <v>431.02911013752163</v>
      </c>
    </row>
    <row r="19" spans="1:63">
      <c r="A19" s="13" t="s">
        <v>103</v>
      </c>
      <c r="B19" s="13" t="s">
        <v>104</v>
      </c>
      <c r="C19" s="13" t="s">
        <v>105</v>
      </c>
      <c r="D19" s="31">
        <v>45540</v>
      </c>
      <c r="E19" s="31">
        <v>45658</v>
      </c>
      <c r="F19" s="31">
        <v>45688</v>
      </c>
      <c r="G19" s="13">
        <v>3786505</v>
      </c>
      <c r="H19" s="13" t="s">
        <v>176</v>
      </c>
      <c r="J19" s="13" t="s">
        <v>177</v>
      </c>
      <c r="K19" s="13">
        <v>5149</v>
      </c>
      <c r="L19" s="13">
        <v>840</v>
      </c>
      <c r="M19" s="13">
        <v>3</v>
      </c>
      <c r="N19" s="13" t="s">
        <v>178</v>
      </c>
      <c r="O19" s="13" t="s">
        <v>179</v>
      </c>
      <c r="P19" s="13">
        <v>10110</v>
      </c>
      <c r="R19" s="13" t="s">
        <v>122</v>
      </c>
      <c r="S19" s="13" t="s">
        <v>180</v>
      </c>
      <c r="T19" s="13" t="s">
        <v>181</v>
      </c>
      <c r="U19" s="13" t="s">
        <v>182</v>
      </c>
      <c r="V19" s="13">
        <v>7.5</v>
      </c>
      <c r="W19" s="44">
        <f>IF($AX19="Cancelled","",IFERROR(((V19+INDEX(Variables!$B$6:$D$6,IFERROR(MATCH(IF($B19="Robusta","Robusta",(IF($B19="","Arabica",$B19))&amp;" - "&amp;(IF($C19="","Commercial",$C19))),Variables!$B$1:$D$1,0),1)))*22.0462)*(L19/16.67),""))</f>
        <v>331383.34891421709</v>
      </c>
      <c r="X19" s="55" t="s">
        <v>37</v>
      </c>
      <c r="Y19" s="13" t="str">
        <f>IF($AX19="Cancelled","",IF(X19="","",IFERROR(IF(INDEX(Variables!$B$38:$B$47,MATCH(X19,Variables!$A$38:$A$47,0))="Yes","Yes","No"),"No")))</f>
        <v>Yes</v>
      </c>
      <c r="Z19" s="58">
        <v>45684</v>
      </c>
      <c r="AB19" s="31">
        <v>45705</v>
      </c>
      <c r="AC19" s="13" t="str">
        <f t="shared" si="0"/>
        <v>Approved</v>
      </c>
      <c r="AF19" s="71">
        <v>45705</v>
      </c>
      <c r="AG19" s="35">
        <f>IF($AX19="Cancelled","",IFERROR(IF(F19="","",F19-Variables!$B$13),""))</f>
        <v>45673</v>
      </c>
      <c r="AH19" s="13">
        <f>IF($AX19="Cancelled","",IFERROR(IF(AB19="","",(AVERAGE(E19:F19)-AB19)-Variables!$B$14),""))</f>
        <v>-62</v>
      </c>
      <c r="AJ19" s="47">
        <v>45709</v>
      </c>
      <c r="AK19" s="14">
        <f>IF($AX19="Cancelled","",IFERROR(IF(AJ19="","",IF(AND(AB19="",AF19=""),"",IF(AF19&gt;AB19,AF19+Variables!$B$15+Variables!$B$16+Variables!$B$17-AJ19,AB19+Variables!$B$16+Variables!$B$17-AJ19))),""))</f>
        <v>4</v>
      </c>
      <c r="AL19" s="48" t="s">
        <v>114</v>
      </c>
      <c r="AM19" s="13" t="s">
        <v>183</v>
      </c>
      <c r="AN19" s="13" t="s">
        <v>184</v>
      </c>
      <c r="AP19" s="31">
        <v>45721</v>
      </c>
      <c r="AR19" s="13" t="s">
        <v>185</v>
      </c>
      <c r="AS19" s="31">
        <v>45721</v>
      </c>
      <c r="AU19" s="31">
        <v>45723</v>
      </c>
      <c r="AV19" s="13" t="s">
        <v>186</v>
      </c>
      <c r="AW19" s="31">
        <v>45727</v>
      </c>
      <c r="AX19" s="13" t="str">
        <f>IF(ISNUMBER(SEARCH("cancel",#REF!)),"Cancelled",IF(AND(AS19&lt;&gt;"",AU19&lt;&gt;"",AW19&lt;&gt;""),"Closed","Open"))</f>
        <v>Closed</v>
      </c>
      <c r="AY19" s="15" t="str">
        <f t="shared" si="1"/>
        <v>All dates received</v>
      </c>
      <c r="BD19" s="13">
        <f>IF($AX19="Cancelled","",IFERROR(IF(OR(AS19="",AJ19=""),"",(AJ19+Variables!$B$18-AS19)),""))</f>
        <v>3</v>
      </c>
      <c r="BE19" s="13">
        <f>IF($AX19="Cancelled","",IFERROR(IF(OR(AW19="",AS19=""),"",(AS19+Variables!$B$19)-AW19),""))</f>
        <v>-1</v>
      </c>
      <c r="BF19" s="44">
        <f>IF($AX19="Cancelled","",IFERROR(W19*INDEX(Variables!$B$7:$D$7,IFERROR(MATCH(IF($B19="Robusta","Robusta",(IF($B19="","Arabica",$B19))&amp;" - "&amp;(IF($C19="","Commercial",$C19))),Variables!$B$1:$D$1,0),1))*(BE19/365),""))</f>
        <v>-58.543362688647484</v>
      </c>
      <c r="BG19" s="44">
        <f>IF($AX19="Cancelled","",IFERROR((W19*INDEX(Variables!$B$7:$D$7,IFERROR(MATCH(IF($B19="Robusta","Robusta",(IF($B19="","Arabica",$B19))&amp;" - "&amp;(IF($C19="","Commercial",$C19))),Variables!$B$1:$D$1,0),1))*IFERROR(IF(AB19="","",(AVERAGE(E19:F19)-AB19)-Variables!$B$14),"")/365)+(L19/16.67*INDEX(Variables!$B$8:$D$8,IFERROR(MATCH(IF($B19="Robusta","Robusta",(IF($B19="","Arabica",$B19))&amp;" - "&amp;(IF($C19="","Commercial",$C19))),Variables!$B$1:$D$1,0),1))*IFERROR(IF(AB19="","",(AVERAGE(E19:F19)-AB19)-Variables!$B$14),""))+(W19*INDEX(Variables!$B$9:$D$9,IFERROR(MATCH(IF($B19="Robusta","Robusta",(IF($B19="","Arabica",$B19))&amp;" - "&amp;(IF($C19="","Commercial",$C19))),Variables!$B$1:$D$1,0),1))*IFERROR(IF(AB19="","",(AVERAGE(E19:F19)-AB19)-Variables!$B$14),"")/365),""))</f>
        <v>-6280.4821761017547</v>
      </c>
      <c r="BH19" s="44">
        <f>IF($AX19="Cancelled","",IFERROR((W19*INDEX(Variables!$B$7:$D$7,IFERROR(MATCH(IF($B19="Robusta","Robusta",(IF($B19="","Arabica",$B19))&amp;" - "&amp;(IF($C19="","Commercial",$C19))),Variables!$B$1:$D$1,0),1))*AK19/365)+(L19/16.67*INDEX(Variables!$B$8:$D$8,IFERROR(MATCH(IF($B19="Robusta","Robusta",(IF($B19="","Arabica",$B19))&amp;" - "&amp;(IF($C19="","Commercial",$C19))),Variables!$B$1:$D$1,0),1))*AK19)+(W19*INDEX(Variables!$B$9:$D$9,IFERROR(MATCH(IF($B19="Robusta","Robusta",(IF($B19="","Arabica",$B19))&amp;" - "&amp;(IF($C19="","Commercial",$C19))),Variables!$B$1:$D$1,0),1))*AK19/365),""))</f>
        <v>405.19239845817771</v>
      </c>
      <c r="BI19" s="44">
        <f>IF($AX19="Cancelled","",IFERROR((W19*INDEX(Variables!$B$7:$D$7,IFERROR(MATCH(IF($B19="Robusta","Robusta",(IF($B19="","Arabica",$B19))&amp;" - "&amp;(IF($C19="","Commercial",$C19))),Variables!$B$1:$D$1,0),1))*BD19/365)+(L19/16.67*INDEX(Variables!$B$8:$D$8,IFERROR(MATCH(IF($B19="Robusta","Robusta",(IF($B19="","Arabica",$B19))&amp;" - "&amp;(IF($C19="","Commercial",$C19))),Variables!$B$1:$D$1,0),1))*BD19)+(W19*INDEX(Variables!$B$9:$D$9,IFERROR(MATCH(IF($B19="Robusta","Robusta",(IF($B19="","Arabica",$B19))&amp;" - "&amp;(IF($C19="","Commercial",$C19))),Variables!$B$1:$D$1,0),1))*BD19/365),""))</f>
        <v>303.89429884363335</v>
      </c>
      <c r="BJ19" s="44">
        <f t="shared" si="2"/>
        <v>-33</v>
      </c>
      <c r="BK19" s="44">
        <f>IF($AX19="Cancelled","",IFERROR(IF(BJ19="","",(W19*INDEX(Variables!$B$7:$D$7,IFERROR(MATCH(IF($B19="Robusta","Robusta",(IF($B19="","Arabica",$B19))&amp;" - "&amp;(IF($C19="","Commercial",$C19))),Variables!$B$1:$D$1,0),1))*(BJ19/365))+(W19*INDEX(Variables!$B$9:$D$9,IFERROR(MATCH(IF($B19="Robusta","Robusta",(IF($B19="","Arabica",$B19))&amp;" - "&amp;(IF($C19="","Commercial",$C19))),Variables!$B$1:$D$1,0),1))*(BJ19/365))+(INDEX(Variables!$B$8:$D$8,IFERROR(MATCH(IF($B19="Robusta","Robusta",(IF($B19="","Arabica",$B19))&amp;" - "&amp;(IF($C19="","Commercial",$C19))),Variables!$B$1:$D$1,0),1))*L19/16.67)),""))</f>
        <v>-1914.8372872799666</v>
      </c>
    </row>
    <row r="20" spans="1:63">
      <c r="A20" s="13" t="s">
        <v>103</v>
      </c>
      <c r="B20" s="13" t="s">
        <v>104</v>
      </c>
      <c r="C20" s="13" t="s">
        <v>105</v>
      </c>
      <c r="D20" s="31">
        <v>45540</v>
      </c>
      <c r="E20" s="31">
        <v>45689</v>
      </c>
      <c r="F20" s="31">
        <v>45716</v>
      </c>
      <c r="G20" s="13">
        <v>3786506</v>
      </c>
      <c r="H20" s="13" t="s">
        <v>187</v>
      </c>
      <c r="J20" s="13" t="s">
        <v>177</v>
      </c>
      <c r="K20" s="13">
        <v>5164</v>
      </c>
      <c r="L20" s="13">
        <v>840</v>
      </c>
      <c r="M20" s="13">
        <v>3</v>
      </c>
      <c r="N20" s="13" t="s">
        <v>178</v>
      </c>
      <c r="O20" s="13" t="s">
        <v>179</v>
      </c>
      <c r="P20" s="13">
        <v>10110</v>
      </c>
      <c r="R20" s="13" t="s">
        <v>122</v>
      </c>
      <c r="S20" s="13" t="s">
        <v>180</v>
      </c>
      <c r="T20" s="13" t="s">
        <v>181</v>
      </c>
      <c r="U20" s="13" t="s">
        <v>182</v>
      </c>
      <c r="V20" s="13">
        <v>7.5</v>
      </c>
      <c r="W20" s="44">
        <f>IF($AX20="Cancelled","",IFERROR(((V20+INDEX(Variables!$B$6:$D$6,IFERROR(MATCH(IF($B20="Robusta","Robusta",(IF($B20="","Arabica",$B20))&amp;" - "&amp;(IF($C20="","Commercial",$C20))),Variables!$B$1:$D$1,0),1)))*22.0462)*(L20/16.67),""))</f>
        <v>331383.34891421709</v>
      </c>
      <c r="X20" s="55" t="s">
        <v>37</v>
      </c>
      <c r="Y20" s="13" t="str">
        <f>IF($AX20="Cancelled","",IF(X20="","",IFERROR(IF(INDEX(Variables!$B$38:$B$47,MATCH(X20,Variables!$A$38:$A$47,0))="Yes","Yes","No"),"No")))</f>
        <v>Yes</v>
      </c>
      <c r="Z20" s="58">
        <v>45702</v>
      </c>
      <c r="AB20" s="31">
        <v>45737</v>
      </c>
      <c r="AC20" s="13" t="str">
        <f t="shared" si="0"/>
        <v>Approved</v>
      </c>
      <c r="AF20" s="71">
        <v>45737</v>
      </c>
      <c r="AG20" s="35">
        <f>IF($AX20="Cancelled","",IFERROR(IF(F20="","",F20-Variables!$B$13),""))</f>
        <v>45701</v>
      </c>
      <c r="AH20" s="13">
        <f>IF($AX20="Cancelled","",IFERROR(IF(AB20="","",(AVERAGE(E20:F20)-AB20)-Variables!$B$14),""))</f>
        <v>-64.5</v>
      </c>
      <c r="AJ20" s="47">
        <v>45712</v>
      </c>
      <c r="AK20" s="14">
        <f>IF($AX20="Cancelled","",IFERROR(IF(AJ20="","",IF(AND(AB20="",AF20=""),"",IF(AF20&gt;AB20,AF20+Variables!$B$15+Variables!$B$16+Variables!$B$17-AJ20,AB20+Variables!$B$16+Variables!$B$17-AJ20))),""))</f>
        <v>33</v>
      </c>
      <c r="AL20" s="48" t="s">
        <v>114</v>
      </c>
      <c r="AM20" s="13" t="s">
        <v>188</v>
      </c>
      <c r="AN20" s="13" t="s">
        <v>189</v>
      </c>
      <c r="AP20" s="31">
        <v>45751</v>
      </c>
      <c r="AR20" s="13" t="s">
        <v>190</v>
      </c>
      <c r="AS20" s="31">
        <v>45751</v>
      </c>
      <c r="AU20" s="31">
        <v>45751</v>
      </c>
      <c r="AV20" s="13" t="s">
        <v>191</v>
      </c>
      <c r="AW20" s="31">
        <v>45761</v>
      </c>
      <c r="AX20" s="13" t="str">
        <f>IF(ISNUMBER(SEARCH("cancel",#REF!)),"Cancelled",IF(AND(AS20&lt;&gt;"",AU20&lt;&gt;"",AW20&lt;&gt;""),"Closed","Open"))</f>
        <v>Closed</v>
      </c>
      <c r="AY20" s="15" t="str">
        <f t="shared" si="1"/>
        <v>All dates received</v>
      </c>
      <c r="BD20" s="13">
        <f>IF($AX20="Cancelled","",IFERROR(IF(OR(AS20="",AJ20=""),"",(AJ20+Variables!$B$18-AS20)),""))</f>
        <v>-24</v>
      </c>
      <c r="BE20" s="13">
        <f>IF($AX20="Cancelled","",IFERROR(IF(OR(AW20="",AS20=""),"",(AS20+Variables!$B$19)-AW20),""))</f>
        <v>-5</v>
      </c>
      <c r="BF20" s="44">
        <f>IF($AX20="Cancelled","",IFERROR(W20*INDEX(Variables!$B$7:$D$7,IFERROR(MATCH(IF($B20="Robusta","Robusta",(IF($B20="","Arabica",$B20))&amp;" - "&amp;(IF($C20="","Commercial",$C20))),Variables!$B$1:$D$1,0),1))*(BE20/365),""))</f>
        <v>-292.71681344323741</v>
      </c>
      <c r="BG20" s="44">
        <f>IF($AX20="Cancelled","",IFERROR((W20*INDEX(Variables!$B$7:$D$7,IFERROR(MATCH(IF($B20="Robusta","Robusta",(IF($B20="","Arabica",$B20))&amp;" - "&amp;(IF($C20="","Commercial",$C20))),Variables!$B$1:$D$1,0),1))*IFERROR(IF(AB20="","",(AVERAGE(E20:F20)-AB20)-Variables!$B$14),"")/365)+(L20/16.67*INDEX(Variables!$B$8:$D$8,IFERROR(MATCH(IF($B20="Robusta","Robusta",(IF($B20="","Arabica",$B20))&amp;" - "&amp;(IF($C20="","Commercial",$C20))),Variables!$B$1:$D$1,0),1))*IFERROR(IF(AB20="","",(AVERAGE(E20:F20)-AB20)-Variables!$B$14),""))+(W20*INDEX(Variables!$B$9:$D$9,IFERROR(MATCH(IF($B20="Robusta","Robusta",(IF($B20="","Arabica",$B20))&amp;" - "&amp;(IF($C20="","Commercial",$C20))),Variables!$B$1:$D$1,0),1))*IFERROR(IF(AB20="","",(AVERAGE(E20:F20)-AB20)-Variables!$B$14),"")/365),""))</f>
        <v>-6533.7274251381159</v>
      </c>
      <c r="BH20" s="44">
        <f>IF($AX20="Cancelled","",IFERROR((W20*INDEX(Variables!$B$7:$D$7,IFERROR(MATCH(IF($B20="Robusta","Robusta",(IF($B20="","Arabica",$B20))&amp;" - "&amp;(IF($C20="","Commercial",$C20))),Variables!$B$1:$D$1,0),1))*AK20/365)+(L20/16.67*INDEX(Variables!$B$8:$D$8,IFERROR(MATCH(IF($B20="Robusta","Robusta",(IF($B20="","Arabica",$B20))&amp;" - "&amp;(IF($C20="","Commercial",$C20))),Variables!$B$1:$D$1,0),1))*AK20)+(W20*INDEX(Variables!$B$9:$D$9,IFERROR(MATCH(IF($B20="Robusta","Robusta",(IF($B20="","Arabica",$B20))&amp;" - "&amp;(IF($C20="","Commercial",$C20))),Variables!$B$1:$D$1,0),1))*AK20/365),""))</f>
        <v>3342.8372872799669</v>
      </c>
      <c r="BI20" s="44">
        <f>IF($AX20="Cancelled","",IFERROR((W20*INDEX(Variables!$B$7:$D$7,IFERROR(MATCH(IF($B20="Robusta","Robusta",(IF($B20="","Arabica",$B20))&amp;" - "&amp;(IF($C20="","Commercial",$C20))),Variables!$B$1:$D$1,0),1))*BD20/365)+(L20/16.67*INDEX(Variables!$B$8:$D$8,IFERROR(MATCH(IF($B20="Robusta","Robusta",(IF($B20="","Arabica",$B20))&amp;" - "&amp;(IF($C20="","Commercial",$C20))),Variables!$B$1:$D$1,0),1))*BD20)+(W20*INDEX(Variables!$B$9:$D$9,IFERROR(MATCH(IF($B20="Robusta","Robusta",(IF($B20="","Arabica",$B20))&amp;" - "&amp;(IF($C20="","Commercial",$C20))),Variables!$B$1:$D$1,0),1))*BD20/365),""))</f>
        <v>-2431.1543907490668</v>
      </c>
      <c r="BJ20" s="44">
        <f t="shared" si="2"/>
        <v>-35</v>
      </c>
      <c r="BK20" s="44">
        <f>IF($AX20="Cancelled","",IFERROR(IF(BJ20="","",(W20*INDEX(Variables!$B$7:$D$7,IFERROR(MATCH(IF($B20="Robusta","Robusta",(IF($B20="","Arabica",$B20))&amp;" - "&amp;(IF($C20="","Commercial",$C20))),Variables!$B$1:$D$1,0),1))*(BJ20/365))+(W20*INDEX(Variables!$B$9:$D$9,IFERROR(MATCH(IF($B20="Robusta","Robusta",(IF($B20="","Arabica",$B20))&amp;" - "&amp;(IF($C20="","Commercial",$C20))),Variables!$B$1:$D$1,0),1))*(BJ20/365))+(INDEX(Variables!$B$8:$D$8,IFERROR(MATCH(IF($B20="Robusta","Robusta",(IF($B20="","Arabica",$B20))&amp;" - "&amp;(IF($C20="","Commercial",$C20))),Variables!$B$1:$D$1,0),1))*L20/16.67)),""))</f>
        <v>-2033.4334865090555</v>
      </c>
    </row>
    <row r="21" spans="1:63">
      <c r="A21" s="13" t="s">
        <v>103</v>
      </c>
      <c r="B21" s="13" t="s">
        <v>104</v>
      </c>
      <c r="C21" s="13" t="s">
        <v>105</v>
      </c>
      <c r="D21" s="31">
        <v>45540</v>
      </c>
      <c r="E21" s="31">
        <v>45717</v>
      </c>
      <c r="F21" s="31">
        <v>45747</v>
      </c>
      <c r="G21" s="13">
        <v>3786507</v>
      </c>
      <c r="H21" s="13" t="s">
        <v>192</v>
      </c>
      <c r="J21" s="13" t="s">
        <v>177</v>
      </c>
      <c r="K21" s="13">
        <v>5207</v>
      </c>
      <c r="L21" s="13">
        <v>840</v>
      </c>
      <c r="M21" s="13">
        <v>3</v>
      </c>
      <c r="N21" s="13" t="s">
        <v>178</v>
      </c>
      <c r="O21" s="13" t="s">
        <v>179</v>
      </c>
      <c r="P21" s="13">
        <v>10110</v>
      </c>
      <c r="R21" s="13" t="s">
        <v>122</v>
      </c>
      <c r="S21" s="13" t="s">
        <v>180</v>
      </c>
      <c r="T21" s="13" t="s">
        <v>181</v>
      </c>
      <c r="U21" s="13" t="s">
        <v>182</v>
      </c>
      <c r="V21" s="13">
        <v>7.5</v>
      </c>
      <c r="W21" s="44">
        <f>IF($AX21="Cancelled","",IFERROR(((V21+INDEX(Variables!$B$6:$D$6,IFERROR(MATCH(IF($B21="Robusta","Robusta",(IF($B21="","Arabica",$B21))&amp;" - "&amp;(IF($C21="","Commercial",$C21))),Variables!$B$1:$D$1,0),1)))*22.0462)*(L21/16.67),""))</f>
        <v>331383.34891421709</v>
      </c>
      <c r="X21" s="55" t="s">
        <v>37</v>
      </c>
      <c r="Y21" s="13" t="str">
        <f>IF($AX21="Cancelled","",IF(X21="","",IFERROR(IF(INDEX(Variables!$B$38:$B$47,MATCH(X21,Variables!$A$38:$A$47,0))="Yes","Yes","No"),"No")))</f>
        <v>Yes</v>
      </c>
      <c r="Z21" s="58">
        <v>45716</v>
      </c>
      <c r="AB21" s="31">
        <v>45737</v>
      </c>
      <c r="AC21" s="13" t="str">
        <f t="shared" si="0"/>
        <v>Approved</v>
      </c>
      <c r="AF21" s="71">
        <v>45737</v>
      </c>
      <c r="AG21" s="35">
        <f>IF($AX21="Cancelled","",IFERROR(IF(F21="","",F21-Variables!$B$13),""))</f>
        <v>45732</v>
      </c>
      <c r="AH21" s="13">
        <f>IF($AX21="Cancelled","",IFERROR(IF(AB21="","",(AVERAGE(E21:F21)-AB21)-Variables!$B$14),""))</f>
        <v>-35</v>
      </c>
      <c r="AJ21" s="47">
        <v>45741</v>
      </c>
      <c r="AK21" s="14">
        <f>IF($AX21="Cancelled","",IFERROR(IF(AJ21="","",IF(AND(AB21="",AF21=""),"",IF(AF21&gt;AB21,AF21+Variables!$B$15+Variables!$B$16+Variables!$B$17-AJ21,AB21+Variables!$B$16+Variables!$B$17-AJ21))),""))</f>
        <v>4</v>
      </c>
      <c r="AL21" s="48" t="s">
        <v>114</v>
      </c>
      <c r="AM21" s="13" t="s">
        <v>188</v>
      </c>
      <c r="AN21" s="13" t="s">
        <v>189</v>
      </c>
      <c r="AP21" s="31">
        <v>45751</v>
      </c>
      <c r="AR21" s="13" t="s">
        <v>193</v>
      </c>
      <c r="AS21" s="31">
        <v>45751</v>
      </c>
      <c r="AU21" s="31">
        <v>45751</v>
      </c>
      <c r="AV21" s="13" t="s">
        <v>191</v>
      </c>
      <c r="AW21" s="31">
        <v>45761</v>
      </c>
      <c r="AX21" s="13" t="str">
        <f>IF(ISNUMBER(SEARCH("cancel",#REF!)),"Cancelled",IF(AND(AS21&lt;&gt;"",AU21&lt;&gt;"",AW21&lt;&gt;""),"Closed","Open"))</f>
        <v>Closed</v>
      </c>
      <c r="AY21" s="15" t="str">
        <f t="shared" si="1"/>
        <v>All dates received</v>
      </c>
      <c r="BD21" s="13">
        <f>IF($AX21="Cancelled","",IFERROR(IF(OR(AS21="",AJ21=""),"",(AJ21+Variables!$B$18-AS21)),""))</f>
        <v>5</v>
      </c>
      <c r="BE21" s="13">
        <f>IF($AX21="Cancelled","",IFERROR(IF(OR(AW21="",AS21=""),"",(AS21+Variables!$B$19)-AW21),""))</f>
        <v>-5</v>
      </c>
      <c r="BF21" s="44">
        <f>IF($AX21="Cancelled","",IFERROR(W21*INDEX(Variables!$B$7:$D$7,IFERROR(MATCH(IF($B21="Robusta","Robusta",(IF($B21="","Arabica",$B21))&amp;" - "&amp;(IF($C21="","Commercial",$C21))),Variables!$B$1:$D$1,0),1))*(BE21/365),""))</f>
        <v>-292.71681344323741</v>
      </c>
      <c r="BG21" s="44">
        <f>IF($AX21="Cancelled","",IFERROR((W21*INDEX(Variables!$B$7:$D$7,IFERROR(MATCH(IF($B21="Robusta","Robusta",(IF($B21="","Arabica",$B21))&amp;" - "&amp;(IF($C21="","Commercial",$C21))),Variables!$B$1:$D$1,0),1))*IFERROR(IF(AB21="","",(AVERAGE(E21:F21)-AB21)-Variables!$B$14),"")/365)+(L21/16.67*INDEX(Variables!$B$8:$D$8,IFERROR(MATCH(IF($B21="Robusta","Robusta",(IF($B21="","Arabica",$B21))&amp;" - "&amp;(IF($C21="","Commercial",$C21))),Variables!$B$1:$D$1,0),1))*IFERROR(IF(AB21="","",(AVERAGE(E21:F21)-AB21)-Variables!$B$14),""))+(W21*INDEX(Variables!$B$9:$D$9,IFERROR(MATCH(IF($B21="Robusta","Robusta",(IF($B21="","Arabica",$B21))&amp;" - "&amp;(IF($C21="","Commercial",$C21))),Variables!$B$1:$D$1,0),1))*IFERROR(IF(AB21="","",(AVERAGE(E21:F21)-AB21)-Variables!$B$14),"")/365),""))</f>
        <v>-3545.4334865090555</v>
      </c>
      <c r="BH21" s="44">
        <f>IF($AX21="Cancelled","",IFERROR((W21*INDEX(Variables!$B$7:$D$7,IFERROR(MATCH(IF($B21="Robusta","Robusta",(IF($B21="","Arabica",$B21))&amp;" - "&amp;(IF($C21="","Commercial",$C21))),Variables!$B$1:$D$1,0),1))*AK21/365)+(L21/16.67*INDEX(Variables!$B$8:$D$8,IFERROR(MATCH(IF($B21="Robusta","Robusta",(IF($B21="","Arabica",$B21))&amp;" - "&amp;(IF($C21="","Commercial",$C21))),Variables!$B$1:$D$1,0),1))*AK21)+(W21*INDEX(Variables!$B$9:$D$9,IFERROR(MATCH(IF($B21="Robusta","Robusta",(IF($B21="","Arabica",$B21))&amp;" - "&amp;(IF($C21="","Commercial",$C21))),Variables!$B$1:$D$1,0),1))*AK21/365),""))</f>
        <v>405.19239845817771</v>
      </c>
      <c r="BI21" s="44">
        <f>IF($AX21="Cancelled","",IFERROR((W21*INDEX(Variables!$B$7:$D$7,IFERROR(MATCH(IF($B21="Robusta","Robusta",(IF($B21="","Arabica",$B21))&amp;" - "&amp;(IF($C21="","Commercial",$C21))),Variables!$B$1:$D$1,0),1))*BD21/365)+(L21/16.67*INDEX(Variables!$B$8:$D$8,IFERROR(MATCH(IF($B21="Robusta","Robusta",(IF($B21="","Arabica",$B21))&amp;" - "&amp;(IF($C21="","Commercial",$C21))),Variables!$B$1:$D$1,0),1))*BD21)+(W21*INDEX(Variables!$B$9:$D$9,IFERROR(MATCH(IF($B21="Robusta","Robusta",(IF($B21="","Arabica",$B21))&amp;" - "&amp;(IF($C21="","Commercial",$C21))),Variables!$B$1:$D$1,0),1))*BD21/365),""))</f>
        <v>506.49049807272218</v>
      </c>
      <c r="BJ21" s="44">
        <f t="shared" si="2"/>
        <v>-4</v>
      </c>
      <c r="BK21" s="44">
        <f>IF($AX21="Cancelled","",IFERROR(IF(BJ21="","",(W21*INDEX(Variables!$B$7:$D$7,IFERROR(MATCH(IF($B21="Robusta","Robusta",(IF($B21="","Arabica",$B21))&amp;" - "&amp;(IF($C21="","Commercial",$C21))),Variables!$B$1:$D$1,0),1))*(BJ21/365))+(W21*INDEX(Variables!$B$9:$D$9,IFERROR(MATCH(IF($B21="Robusta","Robusta",(IF($B21="","Arabica",$B21))&amp;" - "&amp;(IF($C21="","Commercial",$C21))),Variables!$B$1:$D$1,0),1))*(BJ21/365))+(INDEX(Variables!$B$8:$D$8,IFERROR(MATCH(IF($B21="Robusta","Robusta",(IF($B21="","Arabica",$B21))&amp;" - "&amp;(IF($C21="","Commercial",$C21))),Variables!$B$1:$D$1,0),1))*L21/16.67)),""))</f>
        <v>-195.19239845817776</v>
      </c>
    </row>
    <row r="22" spans="1:63">
      <c r="A22" s="13" t="s">
        <v>103</v>
      </c>
      <c r="B22" s="13" t="s">
        <v>104</v>
      </c>
      <c r="C22" s="13" t="s">
        <v>105</v>
      </c>
      <c r="D22" s="31">
        <v>45540</v>
      </c>
      <c r="E22" s="31">
        <v>45748</v>
      </c>
      <c r="F22" s="31">
        <v>45777</v>
      </c>
      <c r="G22" s="13">
        <v>3786508</v>
      </c>
      <c r="H22" s="13" t="s">
        <v>194</v>
      </c>
      <c r="J22" s="13" t="s">
        <v>177</v>
      </c>
      <c r="K22" s="13">
        <v>5225</v>
      </c>
      <c r="L22" s="13">
        <v>840</v>
      </c>
      <c r="M22" s="13">
        <v>3</v>
      </c>
      <c r="N22" s="13" t="s">
        <v>178</v>
      </c>
      <c r="O22" s="13" t="s">
        <v>179</v>
      </c>
      <c r="P22" s="13">
        <v>10110</v>
      </c>
      <c r="R22" s="13" t="s">
        <v>122</v>
      </c>
      <c r="S22" s="13" t="s">
        <v>180</v>
      </c>
      <c r="T22" s="13" t="s">
        <v>181</v>
      </c>
      <c r="U22" s="13" t="s">
        <v>182</v>
      </c>
      <c r="V22" s="13">
        <v>7.5</v>
      </c>
      <c r="W22" s="44">
        <f>IF($AX22="Cancelled","",IFERROR(((V22+INDEX(Variables!$B$6:$D$6,IFERROR(MATCH(IF($B22="Robusta","Robusta",(IF($B22="","Arabica",$B22))&amp;" - "&amp;(IF($C22="","Commercial",$C22))),Variables!$B$1:$D$1,0),1)))*22.0462)*(L22/16.67),""))</f>
        <v>331383.34891421709</v>
      </c>
      <c r="X22" s="55" t="s">
        <v>37</v>
      </c>
      <c r="Y22" s="13" t="str">
        <f>IF($AX22="Cancelled","",IF(X22="","",IFERROR(IF(INDEX(Variables!$B$38:$B$47,MATCH(X22,Variables!$A$38:$A$47,0))="Yes","Yes","No"),"No")))</f>
        <v>Yes</v>
      </c>
      <c r="Z22" s="58">
        <v>45736</v>
      </c>
      <c r="AB22" s="31">
        <v>45757</v>
      </c>
      <c r="AC22" s="13" t="str">
        <f t="shared" si="0"/>
        <v>Approved</v>
      </c>
      <c r="AF22" s="71">
        <v>45757</v>
      </c>
      <c r="AG22" s="35">
        <f>IF($AX22="Cancelled","",IFERROR(IF(F22="","",F22-Variables!$B$13),""))</f>
        <v>45762</v>
      </c>
      <c r="AH22" s="13">
        <f>IF($AX22="Cancelled","",IFERROR(IF(AB22="","",(AVERAGE(E22:F22)-AB22)-Variables!$B$14),""))</f>
        <v>-24.5</v>
      </c>
      <c r="AJ22" s="47">
        <v>45764</v>
      </c>
      <c r="AK22" s="14">
        <f>IF($AX22="Cancelled","",IFERROR(IF(AJ22="","",IF(AND(AB22="",AF22=""),"",IF(AF22&gt;AB22,AF22+Variables!$B$15+Variables!$B$16+Variables!$B$17-AJ22,AB22+Variables!$B$16+Variables!$B$17-AJ22))),""))</f>
        <v>1</v>
      </c>
      <c r="AL22" s="48" t="s">
        <v>114</v>
      </c>
      <c r="AM22" s="13" t="s">
        <v>188</v>
      </c>
      <c r="AN22" s="13" t="s">
        <v>195</v>
      </c>
      <c r="AP22" s="31">
        <v>45784</v>
      </c>
      <c r="AR22" s="13" t="s">
        <v>196</v>
      </c>
      <c r="AS22" s="31">
        <v>45784</v>
      </c>
      <c r="AU22" s="31">
        <v>45786</v>
      </c>
      <c r="AV22" s="13" t="s">
        <v>197</v>
      </c>
      <c r="AW22" s="31">
        <v>45796</v>
      </c>
      <c r="AX22" s="13" t="str">
        <f>IF(ISNUMBER(SEARCH("cancel",#REF!)),"Cancelled",IF(AND(AS22&lt;&gt;"",AU22&lt;&gt;"",AW22&lt;&gt;""),"Closed","Open"))</f>
        <v>Closed</v>
      </c>
      <c r="AY22" s="15" t="str">
        <f t="shared" si="1"/>
        <v>All dates received</v>
      </c>
      <c r="BD22" s="13">
        <f>IF($AX22="Cancelled","",IFERROR(IF(OR(AS22="",AJ22=""),"",(AJ22+Variables!$B$18-AS22)),""))</f>
        <v>-5</v>
      </c>
      <c r="BE22" s="13">
        <f>IF($AX22="Cancelled","",IFERROR(IF(OR(AW22="",AS22=""),"",(AS22+Variables!$B$19)-AW22),""))</f>
        <v>-7</v>
      </c>
      <c r="BF22" s="44">
        <f>IF($AX22="Cancelled","",IFERROR(W22*INDEX(Variables!$B$7:$D$7,IFERROR(MATCH(IF($B22="Robusta","Robusta",(IF($B22="","Arabica",$B22))&amp;" - "&amp;(IF($C22="","Commercial",$C22))),Variables!$B$1:$D$1,0),1))*(BE22/365),""))</f>
        <v>-409.80353882053242</v>
      </c>
      <c r="BG22" s="44">
        <f>IF($AX22="Cancelled","",IFERROR((W22*INDEX(Variables!$B$7:$D$7,IFERROR(MATCH(IF($B22="Robusta","Robusta",(IF($B22="","Arabica",$B22))&amp;" - "&amp;(IF($C22="","Commercial",$C22))),Variables!$B$1:$D$1,0),1))*IFERROR(IF(AB22="","",(AVERAGE(E22:F22)-AB22)-Variables!$B$14),"")/365)+(L22/16.67*INDEX(Variables!$B$8:$D$8,IFERROR(MATCH(IF($B22="Robusta","Robusta",(IF($B22="","Arabica",$B22))&amp;" - "&amp;(IF($C22="","Commercial",$C22))),Variables!$B$1:$D$1,0),1))*IFERROR(IF(AB22="","",(AVERAGE(E22:F22)-AB22)-Variables!$B$14),""))+(W22*INDEX(Variables!$B$9:$D$9,IFERROR(MATCH(IF($B22="Robusta","Robusta",(IF($B22="","Arabica",$B22))&amp;" - "&amp;(IF($C22="","Commercial",$C22))),Variables!$B$1:$D$1,0),1))*IFERROR(IF(AB22="","",(AVERAGE(E22:F22)-AB22)-Variables!$B$14),"")/365),""))</f>
        <v>-2481.803440556339</v>
      </c>
      <c r="BH22" s="44">
        <f>IF($AX22="Cancelled","",IFERROR((W22*INDEX(Variables!$B$7:$D$7,IFERROR(MATCH(IF($B22="Robusta","Robusta",(IF($B22="","Arabica",$B22))&amp;" - "&amp;(IF($C22="","Commercial",$C22))),Variables!$B$1:$D$1,0),1))*AK22/365)+(L22/16.67*INDEX(Variables!$B$8:$D$8,IFERROR(MATCH(IF($B22="Robusta","Robusta",(IF($B22="","Arabica",$B22))&amp;" - "&amp;(IF($C22="","Commercial",$C22))),Variables!$B$1:$D$1,0),1))*AK22)+(W22*INDEX(Variables!$B$9:$D$9,IFERROR(MATCH(IF($B22="Robusta","Robusta",(IF($B22="","Arabica",$B22))&amp;" - "&amp;(IF($C22="","Commercial",$C22))),Variables!$B$1:$D$1,0),1))*AK22/365),""))</f>
        <v>101.29809961454443</v>
      </c>
      <c r="BI22" s="44">
        <f>IF($AX22="Cancelled","",IFERROR((W22*INDEX(Variables!$B$7:$D$7,IFERROR(MATCH(IF($B22="Robusta","Robusta",(IF($B22="","Arabica",$B22))&amp;" - "&amp;(IF($C22="","Commercial",$C22))),Variables!$B$1:$D$1,0),1))*BD22/365)+(L22/16.67*INDEX(Variables!$B$8:$D$8,IFERROR(MATCH(IF($B22="Robusta","Robusta",(IF($B22="","Arabica",$B22))&amp;" - "&amp;(IF($C22="","Commercial",$C22))),Variables!$B$1:$D$1,0),1))*BD22)+(W22*INDEX(Variables!$B$9:$D$9,IFERROR(MATCH(IF($B22="Robusta","Robusta",(IF($B22="","Arabica",$B22))&amp;" - "&amp;(IF($C22="","Commercial",$C22))),Variables!$B$1:$D$1,0),1))*BD22/365),""))</f>
        <v>-506.49049807272218</v>
      </c>
      <c r="BJ22" s="44">
        <f t="shared" si="2"/>
        <v>-7</v>
      </c>
      <c r="BK22" s="44">
        <f>IF($AX22="Cancelled","",IFERROR(IF(BJ22="","",(W22*INDEX(Variables!$B$7:$D$7,IFERROR(MATCH(IF($B22="Robusta","Robusta",(IF($B22="","Arabica",$B22))&amp;" - "&amp;(IF($C22="","Commercial",$C22))),Variables!$B$1:$D$1,0),1))*(BJ22/365))+(W22*INDEX(Variables!$B$9:$D$9,IFERROR(MATCH(IF($B22="Robusta","Robusta",(IF($B22="","Arabica",$B22))&amp;" - "&amp;(IF($C22="","Commercial",$C22))),Variables!$B$1:$D$1,0),1))*(BJ22/365))+(INDEX(Variables!$B$8:$D$8,IFERROR(MATCH(IF($B22="Robusta","Robusta",(IF($B22="","Arabica",$B22))&amp;" - "&amp;(IF($C22="","Commercial",$C22))),Variables!$B$1:$D$1,0),1))*L22/16.67)),""))</f>
        <v>-373.08669730181111</v>
      </c>
    </row>
    <row r="23" spans="1:63">
      <c r="A23" s="13" t="s">
        <v>103</v>
      </c>
      <c r="B23" s="13" t="s">
        <v>104</v>
      </c>
      <c r="C23" s="13" t="s">
        <v>105</v>
      </c>
      <c r="D23" s="31">
        <v>45540</v>
      </c>
      <c r="E23" s="31">
        <v>45778</v>
      </c>
      <c r="F23" s="31">
        <v>45808</v>
      </c>
      <c r="G23" s="13">
        <v>3786509</v>
      </c>
      <c r="H23" s="13" t="s">
        <v>198</v>
      </c>
      <c r="J23" s="13" t="s">
        <v>177</v>
      </c>
      <c r="K23" s="13">
        <v>5248</v>
      </c>
      <c r="L23" s="13">
        <v>840</v>
      </c>
      <c r="M23" s="13">
        <v>3</v>
      </c>
      <c r="N23" s="13" t="s">
        <v>199</v>
      </c>
      <c r="O23" s="13" t="s">
        <v>109</v>
      </c>
      <c r="P23" s="13">
        <v>10080</v>
      </c>
      <c r="R23" s="13" t="s">
        <v>122</v>
      </c>
      <c r="S23" s="13" t="s">
        <v>180</v>
      </c>
      <c r="T23" s="13" t="s">
        <v>181</v>
      </c>
      <c r="U23" s="13" t="s">
        <v>182</v>
      </c>
      <c r="V23" s="13">
        <v>18</v>
      </c>
      <c r="W23" s="44">
        <f>IF($AX23="Cancelled","",IFERROR(((V23+INDEX(Variables!$B$6:$D$6,IFERROR(MATCH(IF($B23="Robusta","Robusta",(IF($B23="","Arabica",$B23))&amp;" - "&amp;(IF($C23="","Commercial",$C23))),Variables!$B$1:$D$1,0),1)))*22.0462)*(L23/16.67),""))</f>
        <v>343047.86505098973</v>
      </c>
      <c r="X23" s="55" t="s">
        <v>37</v>
      </c>
      <c r="Y23" s="13" t="str">
        <f>IF($AX23="Cancelled","",IF(X23="","",IFERROR(IF(INDEX(Variables!$B$38:$B$47,MATCH(X23,Variables!$A$38:$A$47,0))="Yes","Yes","No"),"No")))</f>
        <v>Yes</v>
      </c>
      <c r="Z23" s="58">
        <v>45762</v>
      </c>
      <c r="AB23" s="31">
        <v>45779</v>
      </c>
      <c r="AC23" s="13" t="str">
        <f t="shared" si="0"/>
        <v>Approved</v>
      </c>
      <c r="AF23" s="71">
        <f>AJ23-7</f>
        <v>45777</v>
      </c>
      <c r="AG23" s="35">
        <f>IF($AX23="Cancelled","",IFERROR(IF(F23="","",F23-Variables!$B$13),""))</f>
        <v>45793</v>
      </c>
      <c r="AH23" s="13">
        <f>IF($AX23="Cancelled","",IFERROR(IF(AB23="","",(AVERAGE(E23:F23)-AB23)-Variables!$B$14),""))</f>
        <v>-16</v>
      </c>
      <c r="AJ23" s="47">
        <v>45784</v>
      </c>
      <c r="AK23" s="14">
        <f>IF($AX23="Cancelled","",IFERROR(IF(AJ23="","",IF(AND(AB23="",AF23=""),"",IF(AF23&gt;AB23,AF23+Variables!$B$15+Variables!$B$16+Variables!$B$17-AJ23,AB23+Variables!$B$16+Variables!$B$17-AJ23))),""))</f>
        <v>3</v>
      </c>
      <c r="AL23" s="48" t="s">
        <v>114</v>
      </c>
      <c r="AM23" s="13" t="s">
        <v>188</v>
      </c>
      <c r="AN23" s="13" t="s">
        <v>200</v>
      </c>
      <c r="AP23" s="31">
        <v>45807</v>
      </c>
      <c r="AR23" s="13" t="s">
        <v>201</v>
      </c>
      <c r="AS23" s="31">
        <v>45807</v>
      </c>
      <c r="AU23" s="31">
        <v>45813</v>
      </c>
      <c r="AV23" s="13" t="s">
        <v>202</v>
      </c>
      <c r="AW23" s="31">
        <v>45821</v>
      </c>
      <c r="AX23" s="13" t="str">
        <f>IF(ISNUMBER(SEARCH("cancel",#REF!)),"Cancelled",IF(AND(AS23&lt;&gt;"",AU23&lt;&gt;"",AW23&lt;&gt;""),"Closed","Open"))</f>
        <v>Closed</v>
      </c>
      <c r="AY23" s="15" t="str">
        <f t="shared" si="1"/>
        <v>All dates received</v>
      </c>
      <c r="BD23" s="13">
        <f>IF($AX23="Cancelled","",IFERROR(IF(OR(AS23="",AJ23=""),"",(AJ23+Variables!$B$18-AS23)),""))</f>
        <v>-8</v>
      </c>
      <c r="BE23" s="13">
        <f>IF($AX23="Cancelled","",IFERROR(IF(OR(AW23="",AS23=""),"",(AS23+Variables!$B$19)-AW23),""))</f>
        <v>-9</v>
      </c>
      <c r="BF23" s="44">
        <f>IF($AX23="Cancelled","",IFERROR(W23*INDEX(Variables!$B$7:$D$7,IFERROR(MATCH(IF($B23="Robusta","Robusta",(IF($B23="","Arabica",$B23))&amp;" - "&amp;(IF($C23="","Commercial",$C23))),Variables!$B$1:$D$1,0),1))*(BE23/365),""))</f>
        <v>-545.43651888799559</v>
      </c>
      <c r="BG23" s="44">
        <f>IF($AX23="Cancelled","",IFERROR((W23*INDEX(Variables!$B$7:$D$7,IFERROR(MATCH(IF($B23="Robusta","Robusta",(IF($B23="","Arabica",$B23))&amp;" - "&amp;(IF($C23="","Commercial",$C23))),Variables!$B$1:$D$1,0),1))*IFERROR(IF(AB23="","",(AVERAGE(E23:F23)-AB23)-Variables!$B$14),"")/365)+(L23/16.67*INDEX(Variables!$B$8:$D$8,IFERROR(MATCH(IF($B23="Robusta","Robusta",(IF($B23="","Arabica",$B23))&amp;" - "&amp;(IF($C23="","Commercial",$C23))),Variables!$B$1:$D$1,0),1))*IFERROR(IF(AB23="","",(AVERAGE(E23:F23)-AB23)-Variables!$B$14),""))+(W23*INDEX(Variables!$B$9:$D$9,IFERROR(MATCH(IF($B23="Robusta","Robusta",(IF($B23="","Arabica",$B23))&amp;" - "&amp;(IF($C23="","Commercial",$C23))),Variables!$B$1:$D$1,0),1))*IFERROR(IF(AB23="","",(AVERAGE(E23:F23)-AB23)-Variables!$B$14),"")/365),""))</f>
        <v>-1654.1657746414387</v>
      </c>
      <c r="BH23" s="44">
        <f>IF($AX23="Cancelled","",IFERROR((W23*INDEX(Variables!$B$7:$D$7,IFERROR(MATCH(IF($B23="Robusta","Robusta",(IF($B23="","Arabica",$B23))&amp;" - "&amp;(IF($C23="","Commercial",$C23))),Variables!$B$1:$D$1,0),1))*AK23/365)+(L23/16.67*INDEX(Variables!$B$8:$D$8,IFERROR(MATCH(IF($B23="Robusta","Robusta",(IF($B23="","Arabica",$B23))&amp;" - "&amp;(IF($C23="","Commercial",$C23))),Variables!$B$1:$D$1,0),1))*AK23)+(W23*INDEX(Variables!$B$9:$D$9,IFERROR(MATCH(IF($B23="Robusta","Robusta",(IF($B23="","Arabica",$B23))&amp;" - "&amp;(IF($C23="","Commercial",$C23))),Variables!$B$1:$D$1,0),1))*AK23/365),""))</f>
        <v>310.15608274526971</v>
      </c>
      <c r="BI23" s="44">
        <f>IF($AX23="Cancelled","",IFERROR((W23*INDEX(Variables!$B$7:$D$7,IFERROR(MATCH(IF($B23="Robusta","Robusta",(IF($B23="","Arabica",$B23))&amp;" - "&amp;(IF($C23="","Commercial",$C23))),Variables!$B$1:$D$1,0),1))*BD23/365)+(L23/16.67*INDEX(Variables!$B$8:$D$8,IFERROR(MATCH(IF($B23="Robusta","Robusta",(IF($B23="","Arabica",$B23))&amp;" - "&amp;(IF($C23="","Commercial",$C23))),Variables!$B$1:$D$1,0),1))*BD23)+(W23*INDEX(Variables!$B$9:$D$9,IFERROR(MATCH(IF($B23="Robusta","Robusta",(IF($B23="","Arabica",$B23))&amp;" - "&amp;(IF($C23="","Commercial",$C23))),Variables!$B$1:$D$1,0),1))*BD23/365),""))</f>
        <v>-827.08288732071935</v>
      </c>
      <c r="BJ23" s="44">
        <f t="shared" si="2"/>
        <v>1</v>
      </c>
      <c r="BK23" s="44">
        <f>IF($AX23="Cancelled","",IFERROR(IF(BJ23="","",(W23*INDEX(Variables!$B$7:$D$7,IFERROR(MATCH(IF($B23="Robusta","Robusta",(IF($B23="","Arabica",$B23))&amp;" - "&amp;(IF($C23="","Commercial",$C23))),Variables!$B$1:$D$1,0),1))*(BJ23/365))+(W23*INDEX(Variables!$B$9:$D$9,IFERROR(MATCH(IF($B23="Robusta","Robusta",(IF($B23="","Arabica",$B23))&amp;" - "&amp;(IF($C23="","Commercial",$C23))),Variables!$B$1:$D$1,0),1))*(BJ23/365))+(INDEX(Variables!$B$8:$D$8,IFERROR(MATCH(IF($B23="Robusta","Robusta",(IF($B23="","Arabica",$B23))&amp;" - "&amp;(IF($C23="","Commercial",$C23))),Variables!$B$1:$D$1,0),1))*L23/16.67)),""))</f>
        <v>103.38536091508992</v>
      </c>
    </row>
    <row r="24" spans="1:63">
      <c r="A24" s="13" t="s">
        <v>103</v>
      </c>
      <c r="B24" s="13" t="s">
        <v>104</v>
      </c>
      <c r="C24" s="13" t="s">
        <v>105</v>
      </c>
      <c r="D24" s="31">
        <v>45540</v>
      </c>
      <c r="E24" s="31">
        <v>45778</v>
      </c>
      <c r="F24" s="31">
        <v>45808</v>
      </c>
      <c r="G24" s="13">
        <v>3786510</v>
      </c>
      <c r="H24" s="13" t="s">
        <v>203</v>
      </c>
      <c r="J24" s="13" t="s">
        <v>177</v>
      </c>
      <c r="K24" s="13">
        <v>5265</v>
      </c>
      <c r="L24" s="13">
        <v>840</v>
      </c>
      <c r="M24" s="13">
        <v>3</v>
      </c>
      <c r="N24" s="13" t="s">
        <v>178</v>
      </c>
      <c r="O24" s="13" t="s">
        <v>179</v>
      </c>
      <c r="P24" s="13">
        <v>10110</v>
      </c>
      <c r="R24" s="13" t="s">
        <v>122</v>
      </c>
      <c r="S24" s="13" t="s">
        <v>180</v>
      </c>
      <c r="T24" s="13" t="s">
        <v>181</v>
      </c>
      <c r="U24" s="13" t="s">
        <v>182</v>
      </c>
      <c r="V24" s="13">
        <v>7.5</v>
      </c>
      <c r="W24" s="44">
        <f>IF($AX24="Cancelled","",IFERROR(((V24+INDEX(Variables!$B$6:$D$6,IFERROR(MATCH(IF($B24="Robusta","Robusta",(IF($B24="","Arabica",$B24))&amp;" - "&amp;(IF($C24="","Commercial",$C24))),Variables!$B$1:$D$1,0),1)))*22.0462)*(L24/16.67),""))</f>
        <v>331383.34891421709</v>
      </c>
      <c r="X24" s="55" t="s">
        <v>37</v>
      </c>
      <c r="Y24" s="13" t="str">
        <f>IF($AX24="Cancelled","",IF(X24="","",IFERROR(IF(INDEX(Variables!$B$38:$B$47,MATCH(X24,Variables!$A$38:$A$47,0))="Yes","Yes","No"),"No")))</f>
        <v>Yes</v>
      </c>
      <c r="Z24" s="58">
        <v>45775</v>
      </c>
      <c r="AB24" s="31">
        <v>45790</v>
      </c>
      <c r="AC24" s="13" t="str">
        <f t="shared" si="0"/>
        <v>Approved</v>
      </c>
      <c r="AF24" s="71">
        <f>AJ24-7</f>
        <v>45789</v>
      </c>
      <c r="AG24" s="35">
        <f>IF($AX24="Cancelled","",IFERROR(IF(F24="","",F24-Variables!$B$13),""))</f>
        <v>45793</v>
      </c>
      <c r="AH24" s="13">
        <f>IF($AX24="Cancelled","",IFERROR(IF(AB24="","",(AVERAGE(E24:F24)-AB24)-Variables!$B$14),""))</f>
        <v>-27</v>
      </c>
      <c r="AJ24" s="47">
        <v>45796</v>
      </c>
      <c r="AK24" s="14">
        <f>IF($AX24="Cancelled","",IFERROR(IF(AJ24="","",IF(AND(AB24="",AF24=""),"",IF(AF24&gt;AB24,AF24+Variables!$B$15+Variables!$B$16+Variables!$B$17-AJ24,AB24+Variables!$B$16+Variables!$B$17-AJ24))),""))</f>
        <v>2</v>
      </c>
      <c r="AL24" s="48" t="s">
        <v>114</v>
      </c>
      <c r="AM24" s="13" t="s">
        <v>183</v>
      </c>
      <c r="AN24" s="13" t="s">
        <v>204</v>
      </c>
      <c r="AP24" s="31">
        <v>45807</v>
      </c>
      <c r="AR24" s="13" t="s">
        <v>205</v>
      </c>
      <c r="AS24" s="31">
        <v>45807</v>
      </c>
      <c r="AU24" s="31">
        <v>45813</v>
      </c>
      <c r="AV24" s="13" t="s">
        <v>202</v>
      </c>
      <c r="AW24" s="31">
        <v>45821</v>
      </c>
      <c r="AX24" s="13" t="str">
        <f>IF(ISNUMBER(SEARCH("cancel",#REF!)),"Cancelled",IF(AND(AS24&lt;&gt;"",AU24&lt;&gt;"",AW24&lt;&gt;""),"Closed","Open"))</f>
        <v>Closed</v>
      </c>
      <c r="AY24" s="15" t="str">
        <f t="shared" si="1"/>
        <v>All dates received</v>
      </c>
      <c r="BD24" s="13">
        <f>IF($AX24="Cancelled","",IFERROR(IF(OR(AS24="",AJ24=""),"",(AJ24+Variables!$B$18-AS24)),""))</f>
        <v>4</v>
      </c>
      <c r="BE24" s="13">
        <f>IF($AX24="Cancelled","",IFERROR(IF(OR(AW24="",AS24=""),"",(AS24+Variables!$B$19)-AW24),""))</f>
        <v>-9</v>
      </c>
      <c r="BF24" s="44">
        <f>IF($AX24="Cancelled","",IFERROR(W24*INDEX(Variables!$B$7:$D$7,IFERROR(MATCH(IF($B24="Robusta","Robusta",(IF($B24="","Arabica",$B24))&amp;" - "&amp;(IF($C24="","Commercial",$C24))),Variables!$B$1:$D$1,0),1))*(BE24/365),""))</f>
        <v>-526.89026419782738</v>
      </c>
      <c r="BG24" s="44">
        <f>IF($AX24="Cancelled","",IFERROR((W24*INDEX(Variables!$B$7:$D$7,IFERROR(MATCH(IF($B24="Robusta","Robusta",(IF($B24="","Arabica",$B24))&amp;" - "&amp;(IF($C24="","Commercial",$C24))),Variables!$B$1:$D$1,0),1))*IFERROR(IF(AB24="","",(AVERAGE(E24:F24)-AB24)-Variables!$B$14),"")/365)+(L24/16.67*INDEX(Variables!$B$8:$D$8,IFERROR(MATCH(IF($B24="Robusta","Robusta",(IF($B24="","Arabica",$B24))&amp;" - "&amp;(IF($C24="","Commercial",$C24))),Variables!$B$1:$D$1,0),1))*IFERROR(IF(AB24="","",(AVERAGE(E24:F24)-AB24)-Variables!$B$14),""))+(W24*INDEX(Variables!$B$9:$D$9,IFERROR(MATCH(IF($B24="Robusta","Robusta",(IF($B24="","Arabica",$B24))&amp;" - "&amp;(IF($C24="","Commercial",$C24))),Variables!$B$1:$D$1,0),1))*IFERROR(IF(AB24="","",(AVERAGE(E24:F24)-AB24)-Variables!$B$14),"")/365),""))</f>
        <v>-2735.0486895926997</v>
      </c>
      <c r="BH24" s="44">
        <f>IF($AX24="Cancelled","",IFERROR((W24*INDEX(Variables!$B$7:$D$7,IFERROR(MATCH(IF($B24="Robusta","Robusta",(IF($B24="","Arabica",$B24))&amp;" - "&amp;(IF($C24="","Commercial",$C24))),Variables!$B$1:$D$1,0),1))*AK24/365)+(L24/16.67*INDEX(Variables!$B$8:$D$8,IFERROR(MATCH(IF($B24="Robusta","Robusta",(IF($B24="","Arabica",$B24))&amp;" - "&amp;(IF($C24="","Commercial",$C24))),Variables!$B$1:$D$1,0),1))*AK24)+(W24*INDEX(Variables!$B$9:$D$9,IFERROR(MATCH(IF($B24="Robusta","Robusta",(IF($B24="","Arabica",$B24))&amp;" - "&amp;(IF($C24="","Commercial",$C24))),Variables!$B$1:$D$1,0),1))*AK24/365),""))</f>
        <v>202.59619922908885</v>
      </c>
      <c r="BI24" s="44">
        <f>IF($AX24="Cancelled","",IFERROR((W24*INDEX(Variables!$B$7:$D$7,IFERROR(MATCH(IF($B24="Robusta","Robusta",(IF($B24="","Arabica",$B24))&amp;" - "&amp;(IF($C24="","Commercial",$C24))),Variables!$B$1:$D$1,0),1))*BD24/365)+(L24/16.67*INDEX(Variables!$B$8:$D$8,IFERROR(MATCH(IF($B24="Robusta","Robusta",(IF($B24="","Arabica",$B24))&amp;" - "&amp;(IF($C24="","Commercial",$C24))),Variables!$B$1:$D$1,0),1))*BD24)+(W24*INDEX(Variables!$B$9:$D$9,IFERROR(MATCH(IF($B24="Robusta","Robusta",(IF($B24="","Arabica",$B24))&amp;" - "&amp;(IF($C24="","Commercial",$C24))),Variables!$B$1:$D$1,0),1))*BD24/365),""))</f>
        <v>405.19239845817771</v>
      </c>
      <c r="BJ24" s="44">
        <f t="shared" si="2"/>
        <v>1</v>
      </c>
      <c r="BK24" s="44">
        <f>IF($AX24="Cancelled","",IFERROR(IF(BJ24="","",(W24*INDEX(Variables!$B$7:$D$7,IFERROR(MATCH(IF($B24="Robusta","Robusta",(IF($B24="","Arabica",$B24))&amp;" - "&amp;(IF($C24="","Commercial",$C24))),Variables!$B$1:$D$1,0),1))*(BJ24/365))+(W24*INDEX(Variables!$B$9:$D$9,IFERROR(MATCH(IF($B24="Robusta","Robusta",(IF($B24="","Arabica",$B24))&amp;" - "&amp;(IF($C24="","Commercial",$C24))),Variables!$B$1:$D$1,0),1))*(BJ24/365))+(INDEX(Variables!$B$8:$D$8,IFERROR(MATCH(IF($B24="Robusta","Robusta",(IF($B24="","Arabica",$B24))&amp;" - "&amp;(IF($C24="","Commercial",$C24))),Variables!$B$1:$D$1,0),1))*L24/16.67)),""))</f>
        <v>101.29809961454444</v>
      </c>
    </row>
    <row r="25" spans="1:63">
      <c r="A25" s="13" t="s">
        <v>103</v>
      </c>
      <c r="B25" s="13" t="s">
        <v>104</v>
      </c>
      <c r="C25" s="13" t="s">
        <v>105</v>
      </c>
      <c r="D25" s="31">
        <v>45540</v>
      </c>
      <c r="E25" s="31">
        <v>45809</v>
      </c>
      <c r="F25" s="31">
        <v>45838</v>
      </c>
      <c r="G25" s="13">
        <v>3786511</v>
      </c>
      <c r="H25" s="13" t="s">
        <v>206</v>
      </c>
      <c r="J25" s="13" t="s">
        <v>177</v>
      </c>
      <c r="K25" s="13">
        <v>5293</v>
      </c>
      <c r="L25" s="13">
        <v>840</v>
      </c>
      <c r="M25" s="13">
        <v>3</v>
      </c>
      <c r="N25" s="13" t="s">
        <v>178</v>
      </c>
      <c r="O25" s="13" t="s">
        <v>179</v>
      </c>
      <c r="P25" s="13">
        <v>10110</v>
      </c>
      <c r="R25" s="13" t="s">
        <v>122</v>
      </c>
      <c r="S25" s="13" t="s">
        <v>180</v>
      </c>
      <c r="T25" s="13" t="s">
        <v>181</v>
      </c>
      <c r="U25" s="13" t="s">
        <v>182</v>
      </c>
      <c r="V25" s="13">
        <v>7.5</v>
      </c>
      <c r="W25" s="44">
        <f>IF($AX25="Cancelled","",IFERROR(((V25+INDEX(Variables!$B$6:$D$6,IFERROR(MATCH(IF($B25="Robusta","Robusta",(IF($B25="","Arabica",$B25))&amp;" - "&amp;(IF($C25="","Commercial",$C25))),Variables!$B$1:$D$1,0),1)))*22.0462)*(L25/16.67),""))</f>
        <v>331383.34891421709</v>
      </c>
      <c r="X25" s="55" t="s">
        <v>37</v>
      </c>
      <c r="Y25" s="13" t="str">
        <f>IF($AX25="Cancelled","",IF(X25="","",IFERROR(IF(INDEX(Variables!$B$38:$B$47,MATCH(X25,Variables!$A$38:$A$47,0))="Yes","Yes","No"),"No")))</f>
        <v>Yes</v>
      </c>
      <c r="Z25" s="58">
        <v>45793</v>
      </c>
      <c r="AB25" s="31">
        <v>45812</v>
      </c>
      <c r="AC25" s="13" t="str">
        <f t="shared" si="0"/>
        <v>Approved</v>
      </c>
      <c r="AF25" s="71">
        <f>AJ25-7</f>
        <v>45811</v>
      </c>
      <c r="AG25" s="35">
        <f>IF($AX25="Cancelled","",IFERROR(IF(F25="","",F25-Variables!$B$13),""))</f>
        <v>45823</v>
      </c>
      <c r="AH25" s="13">
        <f>IF($AX25="Cancelled","",IFERROR(IF(AB25="","",(AVERAGE(E25:F25)-AB25)-Variables!$B$14),""))</f>
        <v>-18.5</v>
      </c>
      <c r="AJ25" s="47">
        <v>45818</v>
      </c>
      <c r="AK25" s="14">
        <f>IF($AX25="Cancelled","",IFERROR(IF(AJ25="","",IF(AND(AB25="",AF25=""),"",IF(AF25&gt;AB25,AF25+Variables!$B$15+Variables!$B$16+Variables!$B$17-AJ25,AB25+Variables!$B$16+Variables!$B$17-AJ25))),""))</f>
        <v>2</v>
      </c>
      <c r="AL25" s="48" t="s">
        <v>114</v>
      </c>
      <c r="AM25" s="13" t="s">
        <v>188</v>
      </c>
      <c r="AN25" s="13" t="s">
        <v>207</v>
      </c>
      <c r="AP25" s="31">
        <v>45838</v>
      </c>
      <c r="AR25" s="13" t="s">
        <v>208</v>
      </c>
      <c r="AS25" s="31">
        <v>45838</v>
      </c>
      <c r="AU25" s="31">
        <v>45839</v>
      </c>
      <c r="AV25" s="13" t="s">
        <v>209</v>
      </c>
      <c r="AW25" s="31">
        <v>45846</v>
      </c>
      <c r="AX25" s="13" t="str">
        <f>IF(ISNUMBER(SEARCH("cancel",#REF!)),"Cancelled",IF(AND(AS25&lt;&gt;"",AU25&lt;&gt;"",AW25&lt;&gt;""),"Closed","Open"))</f>
        <v>Closed</v>
      </c>
      <c r="AY25" s="15" t="str">
        <f t="shared" si="1"/>
        <v>All dates received</v>
      </c>
      <c r="BD25" s="13">
        <f>IF($AX25="Cancelled","",IFERROR(IF(OR(AS25="",AJ25=""),"",(AJ25+Variables!$B$18-AS25)),""))</f>
        <v>-5</v>
      </c>
      <c r="BE25" s="13">
        <f>IF($AX25="Cancelled","",IFERROR(IF(OR(AW25="",AS25=""),"",(AS25+Variables!$B$19)-AW25),""))</f>
        <v>-3</v>
      </c>
      <c r="BF25" s="44">
        <f>IF($AX25="Cancelled","",IFERROR(W25*INDEX(Variables!$B$7:$D$7,IFERROR(MATCH(IF($B25="Robusta","Robusta",(IF($B25="","Arabica",$B25))&amp;" - "&amp;(IF($C25="","Commercial",$C25))),Variables!$B$1:$D$1,0),1))*(BE25/365),""))</f>
        <v>-175.63008806594243</v>
      </c>
      <c r="BG25" s="44">
        <f>IF($AX25="Cancelled","",IFERROR((W25*INDEX(Variables!$B$7:$D$7,IFERROR(MATCH(IF($B25="Robusta","Robusta",(IF($B25="","Arabica",$B25))&amp;" - "&amp;(IF($C25="","Commercial",$C25))),Variables!$B$1:$D$1,0),1))*IFERROR(IF(AB25="","",(AVERAGE(E25:F25)-AB25)-Variables!$B$14),"")/365)+(L25/16.67*INDEX(Variables!$B$8:$D$8,IFERROR(MATCH(IF($B25="Robusta","Robusta",(IF($B25="","Arabica",$B25))&amp;" - "&amp;(IF($C25="","Commercial",$C25))),Variables!$B$1:$D$1,0),1))*IFERROR(IF(AB25="","",(AVERAGE(E25:F25)-AB25)-Variables!$B$14),""))+(W25*INDEX(Variables!$B$9:$D$9,IFERROR(MATCH(IF($B25="Robusta","Robusta",(IF($B25="","Arabica",$B25))&amp;" - "&amp;(IF($C25="","Commercial",$C25))),Variables!$B$1:$D$1,0),1))*IFERROR(IF(AB25="","",(AVERAGE(E25:F25)-AB25)-Variables!$B$14),"")/365),""))</f>
        <v>-1874.0148428690723</v>
      </c>
      <c r="BH25" s="44">
        <f>IF($AX25="Cancelled","",IFERROR((W25*INDEX(Variables!$B$7:$D$7,IFERROR(MATCH(IF($B25="Robusta","Robusta",(IF($B25="","Arabica",$B25))&amp;" - "&amp;(IF($C25="","Commercial",$C25))),Variables!$B$1:$D$1,0),1))*AK25/365)+(L25/16.67*INDEX(Variables!$B$8:$D$8,IFERROR(MATCH(IF($B25="Robusta","Robusta",(IF($B25="","Arabica",$B25))&amp;" - "&amp;(IF($C25="","Commercial",$C25))),Variables!$B$1:$D$1,0),1))*AK25)+(W25*INDEX(Variables!$B$9:$D$9,IFERROR(MATCH(IF($B25="Robusta","Robusta",(IF($B25="","Arabica",$B25))&amp;" - "&amp;(IF($C25="","Commercial",$C25))),Variables!$B$1:$D$1,0),1))*AK25/365),""))</f>
        <v>202.59619922908885</v>
      </c>
      <c r="BI25" s="44">
        <f>IF($AX25="Cancelled","",IFERROR((W25*INDEX(Variables!$B$7:$D$7,IFERROR(MATCH(IF($B25="Robusta","Robusta",(IF($B25="","Arabica",$B25))&amp;" - "&amp;(IF($C25="","Commercial",$C25))),Variables!$B$1:$D$1,0),1))*BD25/365)+(L25/16.67*INDEX(Variables!$B$8:$D$8,IFERROR(MATCH(IF($B25="Robusta","Robusta",(IF($B25="","Arabica",$B25))&amp;" - "&amp;(IF($C25="","Commercial",$C25))),Variables!$B$1:$D$1,0),1))*BD25)+(W25*INDEX(Variables!$B$9:$D$9,IFERROR(MATCH(IF($B25="Robusta","Robusta",(IF($B25="","Arabica",$B25))&amp;" - "&amp;(IF($C25="","Commercial",$C25))),Variables!$B$1:$D$1,0),1))*BD25/365),""))</f>
        <v>-506.49049807272218</v>
      </c>
      <c r="BJ25" s="44">
        <f t="shared" si="2"/>
        <v>0</v>
      </c>
      <c r="BK25" s="44">
        <f>IF($AX25="Cancelled","",IFERROR(IF(BJ25="","",(W25*INDEX(Variables!$B$7:$D$7,IFERROR(MATCH(IF($B25="Robusta","Robusta",(IF($B25="","Arabica",$B25))&amp;" - "&amp;(IF($C25="","Commercial",$C25))),Variables!$B$1:$D$1,0),1))*(BJ25/365))+(W25*INDEX(Variables!$B$9:$D$9,IFERROR(MATCH(IF($B25="Robusta","Robusta",(IF($B25="","Arabica",$B25))&amp;" - "&amp;(IF($C25="","Commercial",$C25))),Variables!$B$1:$D$1,0),1))*(BJ25/365))+(INDEX(Variables!$B$8:$D$8,IFERROR(MATCH(IF($B25="Robusta","Robusta",(IF($B25="","Arabica",$B25))&amp;" - "&amp;(IF($C25="","Commercial",$C25))),Variables!$B$1:$D$1,0),1))*L25/16.67)),""))</f>
        <v>42</v>
      </c>
    </row>
    <row r="26" spans="1:63">
      <c r="A26" s="13" t="s">
        <v>103</v>
      </c>
      <c r="B26" s="13" t="s">
        <v>104</v>
      </c>
      <c r="C26" s="13" t="s">
        <v>105</v>
      </c>
      <c r="D26" s="31">
        <v>45540</v>
      </c>
      <c r="E26" s="31">
        <v>45870</v>
      </c>
      <c r="F26" s="31">
        <v>45900</v>
      </c>
      <c r="G26" s="13">
        <v>3786512</v>
      </c>
      <c r="H26" s="13" t="s">
        <v>210</v>
      </c>
      <c r="J26" s="13" t="s">
        <v>177</v>
      </c>
      <c r="K26" s="13">
        <v>5314</v>
      </c>
      <c r="L26" s="13">
        <v>840</v>
      </c>
      <c r="M26" s="13">
        <v>3</v>
      </c>
      <c r="N26" s="13" t="s">
        <v>199</v>
      </c>
      <c r="O26" s="13" t="s">
        <v>109</v>
      </c>
      <c r="P26" s="13">
        <v>10080</v>
      </c>
      <c r="R26" s="13" t="s">
        <v>122</v>
      </c>
      <c r="S26" s="13" t="s">
        <v>180</v>
      </c>
      <c r="T26" s="13" t="s">
        <v>181</v>
      </c>
      <c r="U26" s="13" t="s">
        <v>182</v>
      </c>
      <c r="V26" s="13">
        <v>18</v>
      </c>
      <c r="W26" s="44">
        <f>IF($AX26="Cancelled","",IFERROR(((V26+INDEX(Variables!$B$6:$D$6,IFERROR(MATCH(IF($B26="Robusta","Robusta",(IF($B26="","Arabica",$B26))&amp;" - "&amp;(IF($C26="","Commercial",$C26))),Variables!$B$1:$D$1,0),1)))*22.0462)*(L26/16.67),""))</f>
        <v>343047.86505098973</v>
      </c>
      <c r="X26" s="55" t="s">
        <v>37</v>
      </c>
      <c r="Y26" s="13" t="str">
        <f>IF($AX26="Cancelled","",IF(X26="","",IFERROR(IF(INDEX(Variables!$B$38:$B$47,MATCH(X26,Variables!$A$38:$A$47,0))="Yes","Yes","No"),"No")))</f>
        <v>Yes</v>
      </c>
      <c r="Z26" s="58">
        <v>45834</v>
      </c>
      <c r="AC26" s="13" t="str">
        <f t="shared" si="0"/>
        <v/>
      </c>
      <c r="AF26" s="71">
        <f>AJ26-7</f>
        <v>45874</v>
      </c>
      <c r="AG26" s="35">
        <f>IF($AX26="Cancelled","",IFERROR(IF(F26="","",F26-Variables!$B$13),""))</f>
        <v>45885</v>
      </c>
      <c r="AH26" s="13" t="str">
        <f>IF($AX26="Cancelled","",IFERROR(IF(AB26="","",(AVERAGE(E26:F26)-AB26)-Variables!$B$14),""))</f>
        <v/>
      </c>
      <c r="AJ26" s="47">
        <v>45881</v>
      </c>
      <c r="AK26" s="14">
        <f>IF($AX26="Cancelled","",IFERROR(IF(AJ26="","",IF(AND(AB26="",AF26=""),"",IF(AF26&gt;AB26,AF26+Variables!$B$15+Variables!$B$16+Variables!$B$17-AJ26,AB26+Variables!$B$16+Variables!$B$17-AJ26))),""))</f>
        <v>8</v>
      </c>
      <c r="AL26" s="48" t="s">
        <v>114</v>
      </c>
      <c r="AM26" s="13" t="s">
        <v>188</v>
      </c>
      <c r="AN26" s="13" t="s">
        <v>211</v>
      </c>
      <c r="AP26" s="31">
        <v>45903</v>
      </c>
      <c r="AR26" s="13" t="s">
        <v>212</v>
      </c>
      <c r="AS26" s="31">
        <v>45903</v>
      </c>
      <c r="AU26" s="31">
        <v>45904</v>
      </c>
      <c r="AV26" s="13" t="s">
        <v>213</v>
      </c>
      <c r="AW26" s="31">
        <v>45912</v>
      </c>
      <c r="AX26" s="13" t="str">
        <f>IF(ISNUMBER(SEARCH("cancel",#REF!)),"Cancelled",IF(AND(AS26&lt;&gt;"",AU26&lt;&gt;"",AW26&lt;&gt;""),"Closed","Open"))</f>
        <v>Closed</v>
      </c>
      <c r="AY26" s="15" t="str">
        <f t="shared" si="1"/>
        <v>All dates received</v>
      </c>
      <c r="BD26" s="13">
        <f>IF($AX26="Cancelled","",IFERROR(IF(OR(AS26="",AJ26=""),"",(AJ26+Variables!$B$18-AS26)),""))</f>
        <v>-7</v>
      </c>
      <c r="BE26" s="13">
        <f>IF($AX26="Cancelled","",IFERROR(IF(OR(AW26="",AS26=""),"",(AS26+Variables!$B$19)-AW26),""))</f>
        <v>-4</v>
      </c>
      <c r="BF26" s="44">
        <f>IF($AX26="Cancelled","",IFERROR(W26*INDEX(Variables!$B$7:$D$7,IFERROR(MATCH(IF($B26="Robusta","Robusta",(IF($B26="","Arabica",$B26))&amp;" - "&amp;(IF($C26="","Commercial",$C26))),Variables!$B$1:$D$1,0),1))*(BE26/365),""))</f>
        <v>-242.41623061688693</v>
      </c>
      <c r="BG26" s="44" t="str">
        <f>IF($AX26="Cancelled","",IFERROR((W26*INDEX(Variables!$B$7:$D$7,IFERROR(MATCH(IF($B26="Robusta","Robusta",(IF($B26="","Arabica",$B26))&amp;" - "&amp;(IF($C26="","Commercial",$C26))),Variables!$B$1:$D$1,0),1))*IFERROR(IF(AB26="","",(AVERAGE(E26:F26)-AB26)-Variables!$B$14),"")/365)+(L26/16.67*INDEX(Variables!$B$8:$D$8,IFERROR(MATCH(IF($B26="Robusta","Robusta",(IF($B26="","Arabica",$B26))&amp;" - "&amp;(IF($C26="","Commercial",$C26))),Variables!$B$1:$D$1,0),1))*IFERROR(IF(AB26="","",(AVERAGE(E26:F26)-AB26)-Variables!$B$14),""))+(W26*INDEX(Variables!$B$9:$D$9,IFERROR(MATCH(IF($B26="Robusta","Robusta",(IF($B26="","Arabica",$B26))&amp;" - "&amp;(IF($C26="","Commercial",$C26))),Variables!$B$1:$D$1,0),1))*IFERROR(IF(AB26="","",(AVERAGE(E26:F26)-AB26)-Variables!$B$14),"")/365),""))</f>
        <v/>
      </c>
      <c r="BH26" s="44">
        <f>IF($AX26="Cancelled","",IFERROR((W26*INDEX(Variables!$B$7:$D$7,IFERROR(MATCH(IF($B26="Robusta","Robusta",(IF($B26="","Arabica",$B26))&amp;" - "&amp;(IF($C26="","Commercial",$C26))),Variables!$B$1:$D$1,0),1))*AK26/365)+(L26/16.67*INDEX(Variables!$B$8:$D$8,IFERROR(MATCH(IF($B26="Robusta","Robusta",(IF($B26="","Arabica",$B26))&amp;" - "&amp;(IF($C26="","Commercial",$C26))),Variables!$B$1:$D$1,0),1))*AK26)+(W26*INDEX(Variables!$B$9:$D$9,IFERROR(MATCH(IF($B26="Robusta","Robusta",(IF($B26="","Arabica",$B26))&amp;" - "&amp;(IF($C26="","Commercial",$C26))),Variables!$B$1:$D$1,0),1))*AK26/365),""))</f>
        <v>827.08288732071935</v>
      </c>
      <c r="BI26" s="44">
        <f>IF($AX26="Cancelled","",IFERROR((W26*INDEX(Variables!$B$7:$D$7,IFERROR(MATCH(IF($B26="Robusta","Robusta",(IF($B26="","Arabica",$B26))&amp;" - "&amp;(IF($C26="","Commercial",$C26))),Variables!$B$1:$D$1,0),1))*BD26/365)+(L26/16.67*INDEX(Variables!$B$8:$D$8,IFERROR(MATCH(IF($B26="Robusta","Robusta",(IF($B26="","Arabica",$B26))&amp;" - "&amp;(IF($C26="","Commercial",$C26))),Variables!$B$1:$D$1,0),1))*BD26)+(W26*INDEX(Variables!$B$9:$D$9,IFERROR(MATCH(IF($B26="Robusta","Robusta",(IF($B26="","Arabica",$B26))&amp;" - "&amp;(IF($C26="","Commercial",$C26))),Variables!$B$1:$D$1,0),1))*BD26/365),""))</f>
        <v>-723.69752640562945</v>
      </c>
      <c r="BJ26" s="44">
        <f t="shared" si="2"/>
        <v>-3</v>
      </c>
      <c r="BK26" s="44">
        <f>IF($AX26="Cancelled","",IFERROR(IF(BJ26="","",(W26*INDEX(Variables!$B$7:$D$7,IFERROR(MATCH(IF($B26="Robusta","Robusta",(IF($B26="","Arabica",$B26))&amp;" - "&amp;(IF($C26="","Commercial",$C26))),Variables!$B$1:$D$1,0),1))*(BJ26/365))+(W26*INDEX(Variables!$B$9:$D$9,IFERROR(MATCH(IF($B26="Robusta","Robusta",(IF($B26="","Arabica",$B26))&amp;" - "&amp;(IF($C26="","Commercial",$C26))),Variables!$B$1:$D$1,0),1))*(BJ26/365))+(INDEX(Variables!$B$8:$D$8,IFERROR(MATCH(IF($B26="Robusta","Robusta",(IF($B26="","Arabica",$B26))&amp;" - "&amp;(IF($C26="","Commercial",$C26))),Variables!$B$1:$D$1,0),1))*L26/16.67)),""))</f>
        <v>-142.15608274526974</v>
      </c>
    </row>
    <row r="27" spans="1:63">
      <c r="A27" s="13" t="s">
        <v>103</v>
      </c>
      <c r="B27" s="13" t="s">
        <v>104</v>
      </c>
      <c r="C27" s="13" t="s">
        <v>105</v>
      </c>
      <c r="D27" s="31">
        <v>45540</v>
      </c>
      <c r="E27" s="31">
        <v>45778</v>
      </c>
      <c r="F27" s="31">
        <v>45808</v>
      </c>
      <c r="G27" s="13">
        <v>3786515</v>
      </c>
      <c r="H27" s="13" t="s">
        <v>214</v>
      </c>
      <c r="J27" s="13" t="s">
        <v>177</v>
      </c>
      <c r="K27" s="13">
        <v>5266</v>
      </c>
      <c r="L27" s="13">
        <v>840</v>
      </c>
      <c r="M27" s="13">
        <v>3</v>
      </c>
      <c r="N27" s="13" t="s">
        <v>178</v>
      </c>
      <c r="O27" s="13" t="s">
        <v>179</v>
      </c>
      <c r="P27" s="13">
        <v>10110</v>
      </c>
      <c r="R27" s="13" t="s">
        <v>122</v>
      </c>
      <c r="S27" s="13" t="s">
        <v>180</v>
      </c>
      <c r="T27" s="13" t="s">
        <v>181</v>
      </c>
      <c r="U27" s="13" t="s">
        <v>182</v>
      </c>
      <c r="V27" s="13">
        <v>7.5</v>
      </c>
      <c r="W27" s="44">
        <f>IF($AX27="Cancelled","",IFERROR(((V27+INDEX(Variables!$B$6:$D$6,IFERROR(MATCH(IF($B27="Robusta","Robusta",(IF($B27="","Arabica",$B27))&amp;" - "&amp;(IF($C27="","Commercial",$C27))),Variables!$B$1:$D$1,0),1)))*22.0462)*(L27/16.67),""))</f>
        <v>331383.34891421709</v>
      </c>
      <c r="X27" s="55" t="s">
        <v>37</v>
      </c>
      <c r="Y27" s="13" t="str">
        <f>IF($AX27="Cancelled","",IF(X27="","",IFERROR(IF(INDEX(Variables!$B$38:$B$47,MATCH(X27,Variables!$A$38:$A$47,0))="Yes","Yes","No"),"No")))</f>
        <v>Yes</v>
      </c>
      <c r="Z27" s="58">
        <v>45775</v>
      </c>
      <c r="AB27" s="31">
        <v>45790</v>
      </c>
      <c r="AC27" s="13" t="str">
        <f t="shared" si="0"/>
        <v>Approved</v>
      </c>
      <c r="AF27" s="71">
        <f>AJ27-7</f>
        <v>45785</v>
      </c>
      <c r="AG27" s="35">
        <f>IF($AX27="Cancelled","",IFERROR(IF(F27="","",F27-Variables!$B$13),""))</f>
        <v>45793</v>
      </c>
      <c r="AH27" s="13">
        <f>IF($AX27="Cancelled","",IFERROR(IF(AB27="","",(AVERAGE(E27:F27)-AB27)-Variables!$B$14),""))</f>
        <v>-27</v>
      </c>
      <c r="AJ27" s="47">
        <v>45792</v>
      </c>
      <c r="AK27" s="14">
        <f>IF($AX27="Cancelled","",IFERROR(IF(AJ27="","",IF(AND(AB27="",AF27=""),"",IF(AF27&gt;AB27,AF27+Variables!$B$15+Variables!$B$16+Variables!$B$17-AJ27,AB27+Variables!$B$16+Variables!$B$17-AJ27))),""))</f>
        <v>6</v>
      </c>
      <c r="AL27" s="48" t="s">
        <v>114</v>
      </c>
      <c r="AM27" s="13" t="s">
        <v>188</v>
      </c>
      <c r="AN27" s="13" t="s">
        <v>200</v>
      </c>
      <c r="AP27" s="31">
        <v>45807</v>
      </c>
      <c r="AR27" s="13" t="s">
        <v>215</v>
      </c>
      <c r="AS27" s="31">
        <v>45807</v>
      </c>
      <c r="AU27" s="31">
        <v>45813</v>
      </c>
      <c r="AV27" s="13" t="s">
        <v>202</v>
      </c>
      <c r="AW27" s="31">
        <v>45821</v>
      </c>
      <c r="AX27" s="13" t="str">
        <f>IF(ISNUMBER(SEARCH("cancel",#REF!)),"Cancelled",IF(AND(AS27&lt;&gt;"",AU27&lt;&gt;"",AW27&lt;&gt;""),"Closed","Open"))</f>
        <v>Closed</v>
      </c>
      <c r="AY27" s="15" t="str">
        <f t="shared" si="1"/>
        <v>All dates received</v>
      </c>
      <c r="BD27" s="13">
        <f>IF($AX27="Cancelled","",IFERROR(IF(OR(AS27="",AJ27=""),"",(AJ27+Variables!$B$18-AS27)),""))</f>
        <v>0</v>
      </c>
      <c r="BE27" s="13">
        <f>IF($AX27="Cancelled","",IFERROR(IF(OR(AW27="",AS27=""),"",(AS27+Variables!$B$19)-AW27),""))</f>
        <v>-9</v>
      </c>
      <c r="BF27" s="44">
        <f>IF($AX27="Cancelled","",IFERROR(W27*INDEX(Variables!$B$7:$D$7,IFERROR(MATCH(IF($B27="Robusta","Robusta",(IF($B27="","Arabica",$B27))&amp;" - "&amp;(IF($C27="","Commercial",$C27))),Variables!$B$1:$D$1,0),1))*(BE27/365),""))</f>
        <v>-526.89026419782738</v>
      </c>
      <c r="BG27" s="44">
        <f>IF($AX27="Cancelled","",IFERROR((W27*INDEX(Variables!$B$7:$D$7,IFERROR(MATCH(IF($B27="Robusta","Robusta",(IF($B27="","Arabica",$B27))&amp;" - "&amp;(IF($C27="","Commercial",$C27))),Variables!$B$1:$D$1,0),1))*IFERROR(IF(AB27="","",(AVERAGE(E27:F27)-AB27)-Variables!$B$14),"")/365)+(L27/16.67*INDEX(Variables!$B$8:$D$8,IFERROR(MATCH(IF($B27="Robusta","Robusta",(IF($B27="","Arabica",$B27))&amp;" - "&amp;(IF($C27="","Commercial",$C27))),Variables!$B$1:$D$1,0),1))*IFERROR(IF(AB27="","",(AVERAGE(E27:F27)-AB27)-Variables!$B$14),""))+(W27*INDEX(Variables!$B$9:$D$9,IFERROR(MATCH(IF($B27="Robusta","Robusta",(IF($B27="","Arabica",$B27))&amp;" - "&amp;(IF($C27="","Commercial",$C27))),Variables!$B$1:$D$1,0),1))*IFERROR(IF(AB27="","",(AVERAGE(E27:F27)-AB27)-Variables!$B$14),"")/365),""))</f>
        <v>-2735.0486895926997</v>
      </c>
      <c r="BH27" s="44">
        <f>IF($AX27="Cancelled","",IFERROR((W27*INDEX(Variables!$B$7:$D$7,IFERROR(MATCH(IF($B27="Robusta","Robusta",(IF($B27="","Arabica",$B27))&amp;" - "&amp;(IF($C27="","Commercial",$C27))),Variables!$B$1:$D$1,0),1))*AK27/365)+(L27/16.67*INDEX(Variables!$B$8:$D$8,IFERROR(MATCH(IF($B27="Robusta","Robusta",(IF($B27="","Arabica",$B27))&amp;" - "&amp;(IF($C27="","Commercial",$C27))),Variables!$B$1:$D$1,0),1))*AK27)+(W27*INDEX(Variables!$B$9:$D$9,IFERROR(MATCH(IF($B27="Robusta","Robusta",(IF($B27="","Arabica",$B27))&amp;" - "&amp;(IF($C27="","Commercial",$C27))),Variables!$B$1:$D$1,0),1))*AK27/365),""))</f>
        <v>607.7885976872667</v>
      </c>
      <c r="BI27" s="44">
        <f>IF($AX27="Cancelled","",IFERROR((W27*INDEX(Variables!$B$7:$D$7,IFERROR(MATCH(IF($B27="Robusta","Robusta",(IF($B27="","Arabica",$B27))&amp;" - "&amp;(IF($C27="","Commercial",$C27))),Variables!$B$1:$D$1,0),1))*BD27/365)+(L27/16.67*INDEX(Variables!$B$8:$D$8,IFERROR(MATCH(IF($B27="Robusta","Robusta",(IF($B27="","Arabica",$B27))&amp;" - "&amp;(IF($C27="","Commercial",$C27))),Variables!$B$1:$D$1,0),1))*BD27)+(W27*INDEX(Variables!$B$9:$D$9,IFERROR(MATCH(IF($B27="Robusta","Robusta",(IF($B27="","Arabica",$B27))&amp;" - "&amp;(IF($C27="","Commercial",$C27))),Variables!$B$1:$D$1,0),1))*BD27/365),""))</f>
        <v>0</v>
      </c>
      <c r="BJ27" s="44">
        <f t="shared" si="2"/>
        <v>1</v>
      </c>
      <c r="BK27" s="44">
        <f>IF($AX27="Cancelled","",IFERROR(IF(BJ27="","",(W27*INDEX(Variables!$B$7:$D$7,IFERROR(MATCH(IF($B27="Robusta","Robusta",(IF($B27="","Arabica",$B27))&amp;" - "&amp;(IF($C27="","Commercial",$C27))),Variables!$B$1:$D$1,0),1))*(BJ27/365))+(W27*INDEX(Variables!$B$9:$D$9,IFERROR(MATCH(IF($B27="Robusta","Robusta",(IF($B27="","Arabica",$B27))&amp;" - "&amp;(IF($C27="","Commercial",$C27))),Variables!$B$1:$D$1,0),1))*(BJ27/365))+(INDEX(Variables!$B$8:$D$8,IFERROR(MATCH(IF($B27="Robusta","Robusta",(IF($B27="","Arabica",$B27))&amp;" - "&amp;(IF($C27="","Commercial",$C27))),Variables!$B$1:$D$1,0),1))*L27/16.67)),""))</f>
        <v>101.29809961454444</v>
      </c>
    </row>
    <row r="28" spans="1:63">
      <c r="A28" s="13" t="s">
        <v>103</v>
      </c>
      <c r="B28" s="13" t="s">
        <v>104</v>
      </c>
      <c r="C28" s="13" t="s">
        <v>105</v>
      </c>
      <c r="D28" s="31">
        <v>45560</v>
      </c>
      <c r="E28" s="31">
        <v>45658</v>
      </c>
      <c r="F28" s="31">
        <v>45688</v>
      </c>
      <c r="G28" s="13">
        <v>3786530</v>
      </c>
      <c r="H28" s="13" t="s">
        <v>216</v>
      </c>
      <c r="J28" s="13" t="s">
        <v>118</v>
      </c>
      <c r="K28" s="13">
        <v>5143</v>
      </c>
      <c r="L28" s="13">
        <v>360</v>
      </c>
      <c r="M28" s="13">
        <v>1</v>
      </c>
      <c r="N28" s="13" t="s">
        <v>217</v>
      </c>
      <c r="O28" s="13" t="s">
        <v>179</v>
      </c>
      <c r="P28" s="13">
        <v>10110</v>
      </c>
      <c r="Q28" s="13" t="s">
        <v>121</v>
      </c>
      <c r="R28" s="13" t="s">
        <v>122</v>
      </c>
      <c r="S28" s="13" t="s">
        <v>218</v>
      </c>
      <c r="T28" s="13" t="s">
        <v>219</v>
      </c>
      <c r="U28" s="13" t="s">
        <v>125</v>
      </c>
      <c r="V28" s="13">
        <v>4.75</v>
      </c>
      <c r="W28" s="44">
        <f>IF($AX28="Cancelled","",IFERROR(((V28+INDEX(Variables!$B$6:$D$6,IFERROR(MATCH(IF($B28="Robusta","Robusta",(IF($B28="","Arabica",$B28))&amp;" - "&amp;(IF($C28="","Commercial",$C28))),Variables!$B$1:$D$1,0),1)))*22.0462)*(L28/16.67),""))</f>
        <v>140712.1528254349</v>
      </c>
      <c r="X28" s="55" t="s">
        <v>37</v>
      </c>
      <c r="Y28" s="13" t="str">
        <f>IF($AX28="Cancelled","",IF(X28="","",IFERROR(IF(INDEX(Variables!$B$38:$B$47,MATCH(X28,Variables!$A$38:$A$47,0))="Yes","Yes","No"),"No")))</f>
        <v>Yes</v>
      </c>
      <c r="Z28" s="58">
        <v>45616</v>
      </c>
      <c r="AB28" s="31">
        <v>45630</v>
      </c>
      <c r="AC28" s="13" t="str">
        <f t="shared" si="0"/>
        <v>Approved</v>
      </c>
      <c r="AF28" s="71">
        <v>45686</v>
      </c>
      <c r="AG28" s="35">
        <f>IF($AX28="Cancelled","",IFERROR(IF(F28="","",F28-Variables!$B$13),""))</f>
        <v>45673</v>
      </c>
      <c r="AH28" s="13">
        <f>IF($AX28="Cancelled","",IFERROR(IF(AB28="","",(AVERAGE(E28:F28)-AB28)-Variables!$B$14),""))</f>
        <v>13</v>
      </c>
      <c r="AJ28" s="47">
        <v>45687</v>
      </c>
      <c r="AK28" s="14">
        <f>IF($AX28="Cancelled","",IFERROR(IF(AJ28="","",IF(AND(AB28="",AF28=""),"",IF(AF28&gt;AB28,AF28+Variables!$B$15+Variables!$B$16+Variables!$B$17-AJ28,AB28+Variables!$B$16+Variables!$B$17-AJ28))),""))</f>
        <v>14</v>
      </c>
      <c r="AL28" s="48" t="s">
        <v>114</v>
      </c>
      <c r="AM28" s="13" t="s">
        <v>115</v>
      </c>
      <c r="AN28" s="13" t="s">
        <v>220</v>
      </c>
      <c r="AP28" s="31">
        <v>45693</v>
      </c>
      <c r="AR28" s="13">
        <v>249153525</v>
      </c>
      <c r="AS28" s="31">
        <v>45693</v>
      </c>
      <c r="AU28" s="31">
        <v>45699</v>
      </c>
      <c r="AV28" s="13" t="s">
        <v>865</v>
      </c>
      <c r="AW28" s="31">
        <v>45699</v>
      </c>
      <c r="AX28" s="13" t="str">
        <f>IF(ISNUMBER(SEARCH("cancel",#REF!)),"Cancelled",IF(AND(AS28&lt;&gt;"",AU28&lt;&gt;"",AW28&lt;&gt;""),"Closed","Open"))</f>
        <v>Closed</v>
      </c>
      <c r="AY28" s="15" t="str">
        <f t="shared" si="1"/>
        <v>All dates received</v>
      </c>
      <c r="BD28" s="13">
        <f>IF($AX28="Cancelled","",IFERROR(IF(OR(AS28="",AJ28=""),"",(AJ28+Variables!$B$18-AS28)),""))</f>
        <v>9</v>
      </c>
      <c r="BE28" s="13">
        <f>IF($AX28="Cancelled","",IFERROR(IF(OR(AW28="",AS28=""),"",(AS28+Variables!$B$19)-AW28),""))</f>
        <v>-1</v>
      </c>
      <c r="BF28" s="44">
        <f>IF($AX28="Cancelled","",IFERROR(W28*INDEX(Variables!$B$7:$D$7,IFERROR(MATCH(IF($B28="Robusta","Robusta",(IF($B28="","Arabica",$B28))&amp;" - "&amp;(IF($C28="","Commercial",$C28))),Variables!$B$1:$D$1,0),1))*(BE28/365),""))</f>
        <v>-24.858710084713039</v>
      </c>
      <c r="BG28" s="44">
        <f>IF($AX28="Cancelled","",IFERROR((W28*INDEX(Variables!$B$7:$D$7,IFERROR(MATCH(IF($B28="Robusta","Robusta",(IF($B28="","Arabica",$B28))&amp;" - "&amp;(IF($C28="","Commercial",$C28))),Variables!$B$1:$D$1,0),1))*IFERROR(IF(AB28="","",(AVERAGE(E28:F28)-AB28)-Variables!$B$14),"")/365)+(L28/16.67*INDEX(Variables!$B$8:$D$8,IFERROR(MATCH(IF($B28="Robusta","Robusta",(IF($B28="","Arabica",$B28))&amp;" - "&amp;(IF($C28="","Commercial",$C28))),Variables!$B$1:$D$1,0),1))*IFERROR(IF(AB28="","",(AVERAGE(E28:F28)-AB28)-Variables!$B$14),""))+(W28*INDEX(Variables!$B$9:$D$9,IFERROR(MATCH(IF($B28="Robusta","Robusta",(IF($B28="","Arabica",$B28))&amp;" - "&amp;(IF($C28="","Commercial",$C28))),Variables!$B$1:$D$1,0),1))*IFERROR(IF(AB28="","",(AVERAGE(E28:F28)-AB28)-Variables!$B$14),"")/365),""))</f>
        <v>561.32942881187</v>
      </c>
      <c r="BH28" s="44">
        <f>IF($AX28="Cancelled","",IFERROR((W28*INDEX(Variables!$B$7:$D$7,IFERROR(MATCH(IF($B28="Robusta","Robusta",(IF($B28="","Arabica",$B28))&amp;" - "&amp;(IF($C28="","Commercial",$C28))),Variables!$B$1:$D$1,0),1))*AK28/365)+(L28/16.67*INDEX(Variables!$B$8:$D$8,IFERROR(MATCH(IF($B28="Robusta","Robusta",(IF($B28="","Arabica",$B28))&amp;" - "&amp;(IF($C28="","Commercial",$C28))),Variables!$B$1:$D$1,0),1))*AK28)+(W28*INDEX(Variables!$B$9:$D$9,IFERROR(MATCH(IF($B28="Robusta","Robusta",(IF($B28="","Arabica",$B28))&amp;" - "&amp;(IF($C28="","Commercial",$C28))),Variables!$B$1:$D$1,0),1))*AK28/365),""))</f>
        <v>604.50861564355239</v>
      </c>
      <c r="BI28" s="44">
        <f>IF($AX28="Cancelled","",IFERROR((W28*INDEX(Variables!$B$7:$D$7,IFERROR(MATCH(IF($B28="Robusta","Robusta",(IF($B28="","Arabica",$B28))&amp;" - "&amp;(IF($C28="","Commercial",$C28))),Variables!$B$1:$D$1,0),1))*BD28/365)+(L28/16.67*INDEX(Variables!$B$8:$D$8,IFERROR(MATCH(IF($B28="Robusta","Robusta",(IF($B28="","Arabica",$B28))&amp;" - "&amp;(IF($C28="","Commercial",$C28))),Variables!$B$1:$D$1,0),1))*BD28)+(W28*INDEX(Variables!$B$9:$D$9,IFERROR(MATCH(IF($B28="Robusta","Robusta",(IF($B28="","Arabica",$B28))&amp;" - "&amp;(IF($C28="","Commercial",$C28))),Variables!$B$1:$D$1,0),1))*BD28/365),""))</f>
        <v>388.6126814851408</v>
      </c>
      <c r="BJ28" s="44">
        <f t="shared" si="2"/>
        <v>-5</v>
      </c>
      <c r="BK28" s="44">
        <f>IF($AX28="Cancelled","",IFERROR(IF(BJ28="","",(W28*INDEX(Variables!$B$7:$D$7,IFERROR(MATCH(IF($B28="Robusta","Robusta",(IF($B28="","Arabica",$B28))&amp;" - "&amp;(IF($C28="","Commercial",$C28))),Variables!$B$1:$D$1,0),1))*(BJ28/365))+(W28*INDEX(Variables!$B$9:$D$9,IFERROR(MATCH(IF($B28="Robusta","Robusta",(IF($B28="","Arabica",$B28))&amp;" - "&amp;(IF($C28="","Commercial",$C28))),Variables!$B$1:$D$1,0),1))*(BJ28/365))+(INDEX(Variables!$B$8:$D$8,IFERROR(MATCH(IF($B28="Robusta","Robusta",(IF($B28="","Arabica",$B28))&amp;" - "&amp;(IF($C28="","Commercial",$C28))),Variables!$B$1:$D$1,0),1))*L28/16.67)),""))</f>
        <v>-107.89593415841154</v>
      </c>
    </row>
    <row r="29" spans="1:63">
      <c r="A29" s="13" t="s">
        <v>103</v>
      </c>
      <c r="B29" s="13" t="s">
        <v>104</v>
      </c>
      <c r="C29" s="13" t="s">
        <v>105</v>
      </c>
      <c r="D29" s="31">
        <v>45560</v>
      </c>
      <c r="E29" s="31">
        <v>45658</v>
      </c>
      <c r="F29" s="31">
        <v>45688</v>
      </c>
      <c r="G29" s="13">
        <v>3786530</v>
      </c>
      <c r="H29" s="13" t="s">
        <v>216</v>
      </c>
      <c r="J29" s="13" t="s">
        <v>118</v>
      </c>
      <c r="K29" s="13">
        <v>5143</v>
      </c>
      <c r="L29" s="13">
        <v>1440</v>
      </c>
      <c r="M29" s="13">
        <v>4</v>
      </c>
      <c r="N29" s="13" t="s">
        <v>217</v>
      </c>
      <c r="O29" s="13" t="s">
        <v>179</v>
      </c>
      <c r="P29" s="13">
        <v>10110</v>
      </c>
      <c r="Q29" s="13" t="s">
        <v>121</v>
      </c>
      <c r="R29" s="13" t="s">
        <v>122</v>
      </c>
      <c r="S29" s="13" t="s">
        <v>218</v>
      </c>
      <c r="T29" s="13" t="s">
        <v>219</v>
      </c>
      <c r="U29" s="13" t="s">
        <v>125</v>
      </c>
      <c r="V29" s="13">
        <v>4.75</v>
      </c>
      <c r="W29" s="44">
        <f>IF($AX29="Cancelled","",IFERROR(((V29+INDEX(Variables!$B$6:$D$6,IFERROR(MATCH(IF($B29="Robusta","Robusta",(IF($B29="","Arabica",$B29))&amp;" - "&amp;(IF($C29="","Commercial",$C29))),Variables!$B$1:$D$1,0),1)))*22.0462)*(L29/16.67),""))</f>
        <v>562848.61130173958</v>
      </c>
      <c r="X29" s="55" t="s">
        <v>37</v>
      </c>
      <c r="Y29" s="13" t="str">
        <f>IF($AX29="Cancelled","",IF(X29="","",IFERROR(IF(INDEX(Variables!$B$38:$B$47,MATCH(X29,Variables!$A$38:$A$47,0))="Yes","Yes","No"),"No")))</f>
        <v>Yes</v>
      </c>
      <c r="Z29" s="58">
        <v>45616</v>
      </c>
      <c r="AB29" s="31">
        <v>45630</v>
      </c>
      <c r="AC29" s="13" t="str">
        <f t="shared" si="0"/>
        <v>Approved</v>
      </c>
      <c r="AF29" s="71">
        <v>45686</v>
      </c>
      <c r="AG29" s="35">
        <f>IF($AX29="Cancelled","",IFERROR(IF(F29="","",F29-Variables!$B$13),""))</f>
        <v>45673</v>
      </c>
      <c r="AH29" s="13">
        <f>IF($AX29="Cancelled","",IFERROR(IF(AB29="","",(AVERAGE(E29:F29)-AB29)-Variables!$B$14),""))</f>
        <v>13</v>
      </c>
      <c r="AJ29" s="47">
        <v>45687</v>
      </c>
      <c r="AK29" s="14">
        <f>IF($AX29="Cancelled","",IFERROR(IF(AJ29="","",IF(AND(AB29="",AF29=""),"",IF(AF29&gt;AB29,AF29+Variables!$B$15+Variables!$B$16+Variables!$B$17-AJ29,AB29+Variables!$B$16+Variables!$B$17-AJ29))),""))</f>
        <v>14</v>
      </c>
      <c r="AL29" s="48" t="s">
        <v>114</v>
      </c>
      <c r="AM29" s="13" t="s">
        <v>115</v>
      </c>
      <c r="AN29" s="13" t="s">
        <v>220</v>
      </c>
      <c r="AP29" s="31">
        <v>45693</v>
      </c>
      <c r="AR29" s="13">
        <v>249153525</v>
      </c>
      <c r="AS29" s="31">
        <v>45702</v>
      </c>
      <c r="AU29" s="31">
        <v>45705</v>
      </c>
      <c r="AV29" s="13" t="s">
        <v>865</v>
      </c>
      <c r="AW29" s="31">
        <v>45705</v>
      </c>
      <c r="AX29" s="13" t="str">
        <f>IF(ISNUMBER(SEARCH("cancel",#REF!)),"Cancelled",IF(AND(AS29&lt;&gt;"",AU29&lt;&gt;"",AW29&lt;&gt;""),"Closed","Open"))</f>
        <v>Closed</v>
      </c>
      <c r="AY29" s="15" t="str">
        <f t="shared" si="1"/>
        <v>All dates received</v>
      </c>
      <c r="BD29" s="13">
        <f>IF($AX29="Cancelled","",IFERROR(IF(OR(AS29="",AJ29=""),"",(AJ29+Variables!$B$18-AS29)),""))</f>
        <v>0</v>
      </c>
      <c r="BE29" s="13">
        <f>IF($AX29="Cancelled","",IFERROR(IF(OR(AW29="",AS29=""),"",(AS29+Variables!$B$19)-AW29),""))</f>
        <v>2</v>
      </c>
      <c r="BF29" s="44">
        <f>IF($AX29="Cancelled","",IFERROR(W29*INDEX(Variables!$B$7:$D$7,IFERROR(MATCH(IF($B29="Robusta","Robusta",(IF($B29="","Arabica",$B29))&amp;" - "&amp;(IF($C29="","Commercial",$C29))),Variables!$B$1:$D$1,0),1))*(BE29/365),""))</f>
        <v>198.86968067770431</v>
      </c>
      <c r="BG29" s="44">
        <f>IF($AX29="Cancelled","",IFERROR((W29*INDEX(Variables!$B$7:$D$7,IFERROR(MATCH(IF($B29="Robusta","Robusta",(IF($B29="","Arabica",$B29))&amp;" - "&amp;(IF($C29="","Commercial",$C29))),Variables!$B$1:$D$1,0),1))*IFERROR(IF(AB29="","",(AVERAGE(E29:F29)-AB29)-Variables!$B$14),"")/365)+(L29/16.67*INDEX(Variables!$B$8:$D$8,IFERROR(MATCH(IF($B29="Robusta","Robusta",(IF($B29="","Arabica",$B29))&amp;" - "&amp;(IF($C29="","Commercial",$C29))),Variables!$B$1:$D$1,0),1))*IFERROR(IF(AB29="","",(AVERAGE(E29:F29)-AB29)-Variables!$B$14),""))+(W29*INDEX(Variables!$B$9:$D$9,IFERROR(MATCH(IF($B29="Robusta","Robusta",(IF($B29="","Arabica",$B29))&amp;" - "&amp;(IF($C29="","Commercial",$C29))),Variables!$B$1:$D$1,0),1))*IFERROR(IF(AB29="","",(AVERAGE(E29:F29)-AB29)-Variables!$B$14),"")/365),""))</f>
        <v>2245.31771524748</v>
      </c>
      <c r="BH29" s="44">
        <f>IF($AX29="Cancelled","",IFERROR((W29*INDEX(Variables!$B$7:$D$7,IFERROR(MATCH(IF($B29="Robusta","Robusta",(IF($B29="","Arabica",$B29))&amp;" - "&amp;(IF($C29="","Commercial",$C29))),Variables!$B$1:$D$1,0),1))*AK29/365)+(L29/16.67*INDEX(Variables!$B$8:$D$8,IFERROR(MATCH(IF($B29="Robusta","Robusta",(IF($B29="","Arabica",$B29))&amp;" - "&amp;(IF($C29="","Commercial",$C29))),Variables!$B$1:$D$1,0),1))*AK29)+(W29*INDEX(Variables!$B$9:$D$9,IFERROR(MATCH(IF($B29="Robusta","Robusta",(IF($B29="","Arabica",$B29))&amp;" - "&amp;(IF($C29="","Commercial",$C29))),Variables!$B$1:$D$1,0),1))*AK29/365),""))</f>
        <v>2418.0344625742096</v>
      </c>
      <c r="BI29" s="44">
        <f>IF($AX29="Cancelled","",IFERROR((W29*INDEX(Variables!$B$7:$D$7,IFERROR(MATCH(IF($B29="Robusta","Robusta",(IF($B29="","Arabica",$B29))&amp;" - "&amp;(IF($C29="","Commercial",$C29))),Variables!$B$1:$D$1,0),1))*BD29/365)+(L29/16.67*INDEX(Variables!$B$8:$D$8,IFERROR(MATCH(IF($B29="Robusta","Robusta",(IF($B29="","Arabica",$B29))&amp;" - "&amp;(IF($C29="","Commercial",$C29))),Variables!$B$1:$D$1,0),1))*BD29)+(W29*INDEX(Variables!$B$9:$D$9,IFERROR(MATCH(IF($B29="Robusta","Robusta",(IF($B29="","Arabica",$B29))&amp;" - "&amp;(IF($C29="","Commercial",$C29))),Variables!$B$1:$D$1,0),1))*BD29/365),""))</f>
        <v>0</v>
      </c>
      <c r="BJ29" s="44">
        <f t="shared" si="2"/>
        <v>-14</v>
      </c>
      <c r="BK29" s="44">
        <f>IF($AX29="Cancelled","",IFERROR(IF(BJ29="","",(W29*INDEX(Variables!$B$7:$D$7,IFERROR(MATCH(IF($B29="Robusta","Robusta",(IF($B29="","Arabica",$B29))&amp;" - "&amp;(IF($C29="","Commercial",$C29))),Variables!$B$1:$D$1,0),1))*(BJ29/365))+(W29*INDEX(Variables!$B$9:$D$9,IFERROR(MATCH(IF($B29="Robusta","Robusta",(IF($B29="","Arabica",$B29))&amp;" - "&amp;(IF($C29="","Commercial",$C29))),Variables!$B$1:$D$1,0),1))*(BJ29/365))+(INDEX(Variables!$B$8:$D$8,IFERROR(MATCH(IF($B29="Robusta","Robusta",(IF($B29="","Arabica",$B29))&amp;" - "&amp;(IF($C29="","Commercial",$C29))),Variables!$B$1:$D$1,0),1))*L29/16.67)),""))</f>
        <v>-1338.0344625742093</v>
      </c>
    </row>
    <row r="30" spans="1:63">
      <c r="A30" s="13" t="s">
        <v>103</v>
      </c>
      <c r="B30" s="13" t="s">
        <v>104</v>
      </c>
      <c r="C30" s="13" t="s">
        <v>105</v>
      </c>
      <c r="D30" s="31">
        <v>45560</v>
      </c>
      <c r="E30" s="31">
        <v>45658</v>
      </c>
      <c r="F30" s="31">
        <v>45688</v>
      </c>
      <c r="G30" s="13">
        <v>3786533</v>
      </c>
      <c r="H30" s="13" t="s">
        <v>221</v>
      </c>
      <c r="J30" s="13" t="s">
        <v>118</v>
      </c>
      <c r="K30" s="13" t="s">
        <v>222</v>
      </c>
      <c r="L30" s="13">
        <v>720</v>
      </c>
      <c r="M30" s="13">
        <v>2</v>
      </c>
      <c r="N30" s="13" t="s">
        <v>223</v>
      </c>
      <c r="O30" s="13" t="s">
        <v>179</v>
      </c>
      <c r="P30" s="13">
        <v>10110</v>
      </c>
      <c r="Q30" s="13" t="s">
        <v>121</v>
      </c>
      <c r="R30" s="13" t="s">
        <v>122</v>
      </c>
      <c r="S30" s="13" t="s">
        <v>123</v>
      </c>
      <c r="T30" s="13" t="s">
        <v>124</v>
      </c>
      <c r="U30" s="13" t="s">
        <v>125</v>
      </c>
      <c r="V30" s="13">
        <v>-2.5</v>
      </c>
      <c r="W30" s="44">
        <f>IF($AX30="Cancelled","",IFERROR(((V30+INDEX(Variables!$B$6:$D$6,IFERROR(MATCH(IF($B30="Robusta","Robusta",(IF($B30="","Arabica",$B30))&amp;" - "&amp;(IF($C30="","Commercial",$C30))),Variables!$B$1:$D$1,0),1)))*22.0462)*(L30/16.67),""))</f>
        <v>274520.81650869828</v>
      </c>
      <c r="X30" s="55" t="s">
        <v>37</v>
      </c>
      <c r="Y30" s="13" t="str">
        <f>IF($AX30="Cancelled","",IF(X30="","",IFERROR(IF(INDEX(Variables!$B$38:$B$47,MATCH(X30,Variables!$A$38:$A$47,0))="Yes","Yes","No"),"No")))</f>
        <v>Yes</v>
      </c>
      <c r="Z30" s="58">
        <v>45616</v>
      </c>
      <c r="AB30" s="31">
        <v>45653</v>
      </c>
      <c r="AC30" s="13" t="str">
        <f t="shared" si="0"/>
        <v>Approved</v>
      </c>
      <c r="AF30" s="71">
        <v>45679</v>
      </c>
      <c r="AG30" s="35">
        <f>IF($AX30="Cancelled","",IFERROR(IF(F30="","",F30-Variables!$B$13),""))</f>
        <v>45673</v>
      </c>
      <c r="AH30" s="13">
        <f>IF($AX30="Cancelled","",IFERROR(IF(AB30="","",(AVERAGE(E30:F30)-AB30)-Variables!$B$14),""))</f>
        <v>-10</v>
      </c>
      <c r="AJ30" s="47">
        <v>45680</v>
      </c>
      <c r="AK30" s="14">
        <f>IF($AX30="Cancelled","",IFERROR(IF(AJ30="","",IF(AND(AB30="",AF30=""),"",IF(AF30&gt;AB30,AF30+Variables!$B$15+Variables!$B$16+Variables!$B$17-AJ30,AB30+Variables!$B$16+Variables!$B$17-AJ30))),""))</f>
        <v>14</v>
      </c>
      <c r="AL30" s="48" t="s">
        <v>224</v>
      </c>
      <c r="AM30" s="13" t="s">
        <v>115</v>
      </c>
      <c r="AN30" s="13" t="s">
        <v>116</v>
      </c>
      <c r="AP30" s="31">
        <v>45688</v>
      </c>
      <c r="AR30" s="13">
        <v>249261163</v>
      </c>
      <c r="AS30" s="31">
        <v>45688</v>
      </c>
      <c r="AU30" s="31">
        <v>45692</v>
      </c>
      <c r="AV30" s="13" t="s">
        <v>865</v>
      </c>
      <c r="AW30" s="31">
        <v>45692</v>
      </c>
      <c r="AX30" s="13" t="str">
        <f>IF(ISNUMBER(SEARCH("cancel",#REF!)),"Cancelled",IF(AND(AS30&lt;&gt;"",AU30&lt;&gt;"",AW30&lt;&gt;""),"Closed","Open"))</f>
        <v>Closed</v>
      </c>
      <c r="AY30" s="15" t="str">
        <f t="shared" si="1"/>
        <v>All dates received</v>
      </c>
      <c r="BD30" s="13">
        <f>IF($AX30="Cancelled","",IFERROR(IF(OR(AS30="",AJ30=""),"",(AJ30+Variables!$B$18-AS30)),""))</f>
        <v>7</v>
      </c>
      <c r="BE30" s="13">
        <f>IF($AX30="Cancelled","",IFERROR(IF(OR(AW30="",AS30=""),"",(AS30+Variables!$B$19)-AW30),""))</f>
        <v>1</v>
      </c>
      <c r="BF30" s="44">
        <f>IF($AX30="Cancelled","",IFERROR(W30*INDEX(Variables!$B$7:$D$7,IFERROR(MATCH(IF($B30="Robusta","Robusta",(IF($B30="","Arabica",$B30))&amp;" - "&amp;(IF($C30="","Commercial",$C30))),Variables!$B$1:$D$1,0),1))*(BE30/365),""))</f>
        <v>48.497825189800501</v>
      </c>
      <c r="BG30" s="44">
        <f>IF($AX30="Cancelled","",IFERROR((W30*INDEX(Variables!$B$7:$D$7,IFERROR(MATCH(IF($B30="Robusta","Robusta",(IF($B30="","Arabica",$B30))&amp;" - "&amp;(IF($C30="","Commercial",$C30))),Variables!$B$1:$D$1,0),1))*IFERROR(IF(AB30="","",(AVERAGE(E30:F30)-AB30)-Variables!$B$14),"")/365)+(L30/16.67*INDEX(Variables!$B$8:$D$8,IFERROR(MATCH(IF($B30="Robusta","Robusta",(IF($B30="","Arabica",$B30))&amp;" - "&amp;(IF($C30="","Commercial",$C30))),Variables!$B$1:$D$1,0),1))*IFERROR(IF(AB30="","",(AVERAGE(E30:F30)-AB30)-Variables!$B$14),""))+(W30*INDEX(Variables!$B$9:$D$9,IFERROR(MATCH(IF($B30="Robusta","Robusta",(IF($B30="","Arabica",$B30))&amp;" - "&amp;(IF($C30="","Commercial",$C30))),Variables!$B$1:$D$1,0),1))*IFERROR(IF(AB30="","",(AVERAGE(E30:F30)-AB30)-Variables!$B$14),"")/365),""))</f>
        <v>-851.23055750796891</v>
      </c>
      <c r="BH30" s="44">
        <f>IF($AX30="Cancelled","",IFERROR((W30*INDEX(Variables!$B$7:$D$7,IFERROR(MATCH(IF($B30="Robusta","Robusta",(IF($B30="","Arabica",$B30))&amp;" - "&amp;(IF($C30="","Commercial",$C30))),Variables!$B$1:$D$1,0),1))*AK30/365)+(L30/16.67*INDEX(Variables!$B$8:$D$8,IFERROR(MATCH(IF($B30="Robusta","Robusta",(IF($B30="","Arabica",$B30))&amp;" - "&amp;(IF($C30="","Commercial",$C30))),Variables!$B$1:$D$1,0),1))*AK30)+(W30*INDEX(Variables!$B$9:$D$9,IFERROR(MATCH(IF($B30="Robusta","Robusta",(IF($B30="","Arabica",$B30))&amp;" - "&amp;(IF($C30="","Commercial",$C30))),Variables!$B$1:$D$1,0),1))*AK30/365),""))</f>
        <v>1191.7227805111568</v>
      </c>
      <c r="BI30" s="44">
        <f>IF($AX30="Cancelled","",IFERROR((W30*INDEX(Variables!$B$7:$D$7,IFERROR(MATCH(IF($B30="Robusta","Robusta",(IF($B30="","Arabica",$B30))&amp;" - "&amp;(IF($C30="","Commercial",$C30))),Variables!$B$1:$D$1,0),1))*BD30/365)+(L30/16.67*INDEX(Variables!$B$8:$D$8,IFERROR(MATCH(IF($B30="Robusta","Robusta",(IF($B30="","Arabica",$B30))&amp;" - "&amp;(IF($C30="","Commercial",$C30))),Variables!$B$1:$D$1,0),1))*BD30)+(W30*INDEX(Variables!$B$9:$D$9,IFERROR(MATCH(IF($B30="Robusta","Robusta",(IF($B30="","Arabica",$B30))&amp;" - "&amp;(IF($C30="","Commercial",$C30))),Variables!$B$1:$D$1,0),1))*BD30/365),""))</f>
        <v>595.86139025557839</v>
      </c>
      <c r="BJ30" s="44">
        <f t="shared" si="2"/>
        <v>0</v>
      </c>
      <c r="BK30" s="44">
        <f>IF($AX30="Cancelled","",IFERROR(IF(BJ30="","",(W30*INDEX(Variables!$B$7:$D$7,IFERROR(MATCH(IF($B30="Robusta","Robusta",(IF($B30="","Arabica",$B30))&amp;" - "&amp;(IF($C30="","Commercial",$C30))),Variables!$B$1:$D$1,0),1))*(BJ30/365))+(W30*INDEX(Variables!$B$9:$D$9,IFERROR(MATCH(IF($B30="Robusta","Robusta",(IF($B30="","Arabica",$B30))&amp;" - "&amp;(IF($C30="","Commercial",$C30))),Variables!$B$1:$D$1,0),1))*(BJ30/365))+(INDEX(Variables!$B$8:$D$8,IFERROR(MATCH(IF($B30="Robusta","Robusta",(IF($B30="","Arabica",$B30))&amp;" - "&amp;(IF($C30="","Commercial",$C30))),Variables!$B$1:$D$1,0),1))*L30/16.67)),""))</f>
        <v>36</v>
      </c>
    </row>
    <row r="31" spans="1:63">
      <c r="A31" s="13" t="s">
        <v>103</v>
      </c>
      <c r="B31" s="13" t="s">
        <v>104</v>
      </c>
      <c r="C31" s="13" t="s">
        <v>105</v>
      </c>
      <c r="D31" s="31">
        <v>45560</v>
      </c>
      <c r="E31" s="31">
        <v>45658</v>
      </c>
      <c r="F31" s="31">
        <v>45688</v>
      </c>
      <c r="G31" s="13">
        <v>3786533</v>
      </c>
      <c r="H31" s="13" t="s">
        <v>221</v>
      </c>
      <c r="J31" s="13" t="s">
        <v>118</v>
      </c>
      <c r="K31" s="13" t="s">
        <v>225</v>
      </c>
      <c r="L31" s="13">
        <v>720</v>
      </c>
      <c r="M31" s="13">
        <v>2</v>
      </c>
      <c r="N31" s="13" t="s">
        <v>223</v>
      </c>
      <c r="O31" s="13" t="s">
        <v>179</v>
      </c>
      <c r="P31" s="13">
        <v>10110</v>
      </c>
      <c r="Q31" s="13" t="s">
        <v>121</v>
      </c>
      <c r="R31" s="13" t="s">
        <v>122</v>
      </c>
      <c r="S31" s="13" t="s">
        <v>138</v>
      </c>
      <c r="T31" s="13" t="s">
        <v>139</v>
      </c>
      <c r="U31" s="13" t="s">
        <v>125</v>
      </c>
      <c r="V31" s="13">
        <v>-2.5</v>
      </c>
      <c r="W31" s="44">
        <f>IF($AX31="Cancelled","",IFERROR(((V31+INDEX(Variables!$B$6:$D$6,IFERROR(MATCH(IF($B31="Robusta","Robusta",(IF($B31="","Arabica",$B31))&amp;" - "&amp;(IF($C31="","Commercial",$C31))),Variables!$B$1:$D$1,0),1)))*22.0462)*(L31/16.67),""))</f>
        <v>274520.81650869828</v>
      </c>
      <c r="X31" s="55" t="s">
        <v>37</v>
      </c>
      <c r="Y31" s="13" t="str">
        <f>IF($AX31="Cancelled","",IF(X31="","",IFERROR(IF(INDEX(Variables!$B$38:$B$47,MATCH(X31,Variables!$A$38:$A$47,0))="Yes","Yes","No"),"No")))</f>
        <v>Yes</v>
      </c>
      <c r="Z31" s="58">
        <v>45616</v>
      </c>
      <c r="AB31" s="31">
        <v>45653</v>
      </c>
      <c r="AC31" s="13" t="str">
        <f t="shared" si="0"/>
        <v>Approved</v>
      </c>
      <c r="AF31" s="71">
        <v>45679</v>
      </c>
      <c r="AG31" s="35">
        <f>IF($AX31="Cancelled","",IFERROR(IF(F31="","",F31-Variables!$B$13),""))</f>
        <v>45673</v>
      </c>
      <c r="AH31" s="13">
        <f>IF($AX31="Cancelled","",IFERROR(IF(AB31="","",(AVERAGE(E31:F31)-AB31)-Variables!$B$14),""))</f>
        <v>-10</v>
      </c>
      <c r="AJ31" s="47">
        <v>45680</v>
      </c>
      <c r="AK31" s="14">
        <f>IF($AX31="Cancelled","",IFERROR(IF(AJ31="","",IF(AND(AB31="",AF31=""),"",IF(AF31&gt;AB31,AF31+Variables!$B$15+Variables!$B$16+Variables!$B$17-AJ31,AB31+Variables!$B$16+Variables!$B$17-AJ31))),""))</f>
        <v>14</v>
      </c>
      <c r="AL31" s="48" t="s">
        <v>224</v>
      </c>
      <c r="AM31" s="13" t="s">
        <v>115</v>
      </c>
      <c r="AN31" s="13" t="s">
        <v>116</v>
      </c>
      <c r="AP31" s="31">
        <v>45688</v>
      </c>
      <c r="AR31" s="13">
        <v>249261163</v>
      </c>
      <c r="AS31" s="31">
        <v>45688</v>
      </c>
      <c r="AU31" s="31">
        <v>45692</v>
      </c>
      <c r="AV31" s="13" t="s">
        <v>865</v>
      </c>
      <c r="AW31" s="31">
        <v>45694</v>
      </c>
      <c r="AX31" s="13" t="str">
        <f>IF(ISNUMBER(SEARCH("cancel",#REF!)),"Cancelled",IF(AND(AS31&lt;&gt;"",AU31&lt;&gt;"",AW31&lt;&gt;""),"Closed","Open"))</f>
        <v>Closed</v>
      </c>
      <c r="AY31" s="15" t="str">
        <f t="shared" si="1"/>
        <v>All dates received</v>
      </c>
      <c r="BD31" s="13">
        <f>IF($AX31="Cancelled","",IFERROR(IF(OR(AS31="",AJ31=""),"",(AJ31+Variables!$B$18-AS31)),""))</f>
        <v>7</v>
      </c>
      <c r="BE31" s="13">
        <f>IF($AX31="Cancelled","",IFERROR(IF(OR(AW31="",AS31=""),"",(AS31+Variables!$B$19)-AW31),""))</f>
        <v>-1</v>
      </c>
      <c r="BF31" s="44">
        <f>IF($AX31="Cancelled","",IFERROR(W31*INDEX(Variables!$B$7:$D$7,IFERROR(MATCH(IF($B31="Robusta","Robusta",(IF($B31="","Arabica",$B31))&amp;" - "&amp;(IF($C31="","Commercial",$C31))),Variables!$B$1:$D$1,0),1))*(BE31/365),""))</f>
        <v>-48.497825189800501</v>
      </c>
      <c r="BG31" s="44">
        <f>IF($AX31="Cancelled","",IFERROR((W31*INDEX(Variables!$B$7:$D$7,IFERROR(MATCH(IF($B31="Robusta","Robusta",(IF($B31="","Arabica",$B31))&amp;" - "&amp;(IF($C31="","Commercial",$C31))),Variables!$B$1:$D$1,0),1))*IFERROR(IF(AB31="","",(AVERAGE(E31:F31)-AB31)-Variables!$B$14),"")/365)+(L31/16.67*INDEX(Variables!$B$8:$D$8,IFERROR(MATCH(IF($B31="Robusta","Robusta",(IF($B31="","Arabica",$B31))&amp;" - "&amp;(IF($C31="","Commercial",$C31))),Variables!$B$1:$D$1,0),1))*IFERROR(IF(AB31="","",(AVERAGE(E31:F31)-AB31)-Variables!$B$14),""))+(W31*INDEX(Variables!$B$9:$D$9,IFERROR(MATCH(IF($B31="Robusta","Robusta",(IF($B31="","Arabica",$B31))&amp;" - "&amp;(IF($C31="","Commercial",$C31))),Variables!$B$1:$D$1,0),1))*IFERROR(IF(AB31="","",(AVERAGE(E31:F31)-AB31)-Variables!$B$14),"")/365),""))</f>
        <v>-851.23055750796891</v>
      </c>
      <c r="BH31" s="44">
        <f>IF($AX31="Cancelled","",IFERROR((W31*INDEX(Variables!$B$7:$D$7,IFERROR(MATCH(IF($B31="Robusta","Robusta",(IF($B31="","Arabica",$B31))&amp;" - "&amp;(IF($C31="","Commercial",$C31))),Variables!$B$1:$D$1,0),1))*AK31/365)+(L31/16.67*INDEX(Variables!$B$8:$D$8,IFERROR(MATCH(IF($B31="Robusta","Robusta",(IF($B31="","Arabica",$B31))&amp;" - "&amp;(IF($C31="","Commercial",$C31))),Variables!$B$1:$D$1,0),1))*AK31)+(W31*INDEX(Variables!$B$9:$D$9,IFERROR(MATCH(IF($B31="Robusta","Robusta",(IF($B31="","Arabica",$B31))&amp;" - "&amp;(IF($C31="","Commercial",$C31))),Variables!$B$1:$D$1,0),1))*AK31/365),""))</f>
        <v>1191.7227805111568</v>
      </c>
      <c r="BI31" s="44">
        <f>IF($AX31="Cancelled","",IFERROR((W31*INDEX(Variables!$B$7:$D$7,IFERROR(MATCH(IF($B31="Robusta","Robusta",(IF($B31="","Arabica",$B31))&amp;" - "&amp;(IF($C31="","Commercial",$C31))),Variables!$B$1:$D$1,0),1))*BD31/365)+(L31/16.67*INDEX(Variables!$B$8:$D$8,IFERROR(MATCH(IF($B31="Robusta","Robusta",(IF($B31="","Arabica",$B31))&amp;" - "&amp;(IF($C31="","Commercial",$C31))),Variables!$B$1:$D$1,0),1))*BD31)+(W31*INDEX(Variables!$B$9:$D$9,IFERROR(MATCH(IF($B31="Robusta","Robusta",(IF($B31="","Arabica",$B31))&amp;" - "&amp;(IF($C31="","Commercial",$C31))),Variables!$B$1:$D$1,0),1))*BD31/365),""))</f>
        <v>595.86139025557839</v>
      </c>
      <c r="BJ31" s="44">
        <f t="shared" si="2"/>
        <v>0</v>
      </c>
      <c r="BK31" s="44">
        <f>IF($AX31="Cancelled","",IFERROR(IF(BJ31="","",(W31*INDEX(Variables!$B$7:$D$7,IFERROR(MATCH(IF($B31="Robusta","Robusta",(IF($B31="","Arabica",$B31))&amp;" - "&amp;(IF($C31="","Commercial",$C31))),Variables!$B$1:$D$1,0),1))*(BJ31/365))+(W31*INDEX(Variables!$B$9:$D$9,IFERROR(MATCH(IF($B31="Robusta","Robusta",(IF($B31="","Arabica",$B31))&amp;" - "&amp;(IF($C31="","Commercial",$C31))),Variables!$B$1:$D$1,0),1))*(BJ31/365))+(INDEX(Variables!$B$8:$D$8,IFERROR(MATCH(IF($B31="Robusta","Robusta",(IF($B31="","Arabica",$B31))&amp;" - "&amp;(IF($C31="","Commercial",$C31))),Variables!$B$1:$D$1,0),1))*L31/16.67)),""))</f>
        <v>36</v>
      </c>
    </row>
    <row r="32" spans="1:63">
      <c r="A32" s="13" t="s">
        <v>103</v>
      </c>
      <c r="B32" s="13" t="s">
        <v>104</v>
      </c>
      <c r="C32" s="13" t="s">
        <v>105</v>
      </c>
      <c r="D32" s="31">
        <v>45560</v>
      </c>
      <c r="E32" s="31">
        <v>45658</v>
      </c>
      <c r="F32" s="31">
        <v>45688</v>
      </c>
      <c r="G32" s="13">
        <v>3786533</v>
      </c>
      <c r="H32" s="13" t="s">
        <v>221</v>
      </c>
      <c r="J32" s="13" t="s">
        <v>118</v>
      </c>
      <c r="K32" s="13" t="s">
        <v>225</v>
      </c>
      <c r="L32" s="13">
        <v>360</v>
      </c>
      <c r="M32" s="13">
        <v>1</v>
      </c>
      <c r="N32" s="13" t="s">
        <v>223</v>
      </c>
      <c r="O32" s="13" t="s">
        <v>179</v>
      </c>
      <c r="P32" s="13">
        <v>10110</v>
      </c>
      <c r="Q32" s="13" t="s">
        <v>121</v>
      </c>
      <c r="R32" s="13" t="s">
        <v>122</v>
      </c>
      <c r="S32" s="13" t="s">
        <v>138</v>
      </c>
      <c r="T32" s="13" t="s">
        <v>139</v>
      </c>
      <c r="U32" s="13" t="s">
        <v>125</v>
      </c>
      <c r="V32" s="13">
        <v>-2.5</v>
      </c>
      <c r="W32" s="44">
        <f>IF($AX32="Cancelled","",IFERROR(((V32+INDEX(Variables!$B$6:$D$6,IFERROR(MATCH(IF($B32="Robusta","Robusta",(IF($B32="","Arabica",$B32))&amp;" - "&amp;(IF($C32="","Commercial",$C32))),Variables!$B$1:$D$1,0),1)))*22.0462)*(L32/16.67),""))</f>
        <v>137260.40825434914</v>
      </c>
      <c r="X32" s="55" t="s">
        <v>37</v>
      </c>
      <c r="Y32" s="13" t="str">
        <f>IF($AX32="Cancelled","",IF(X32="","",IFERROR(IF(INDEX(Variables!$B$38:$B$47,MATCH(X32,Variables!$A$38:$A$47,0))="Yes","Yes","No"),"No")))</f>
        <v>Yes</v>
      </c>
      <c r="Z32" s="58">
        <v>45616</v>
      </c>
      <c r="AB32" s="31">
        <v>45653</v>
      </c>
      <c r="AC32" s="13" t="str">
        <f t="shared" si="0"/>
        <v>Approved</v>
      </c>
      <c r="AF32" s="71">
        <v>45679</v>
      </c>
      <c r="AG32" s="35">
        <f>IF($AX32="Cancelled","",IFERROR(IF(F32="","",F32-Variables!$B$13),""))</f>
        <v>45673</v>
      </c>
      <c r="AH32" s="13">
        <f>IF($AX32="Cancelled","",IFERROR(IF(AB32="","",(AVERAGE(E32:F32)-AB32)-Variables!$B$14),""))</f>
        <v>-10</v>
      </c>
      <c r="AJ32" s="47">
        <v>45680</v>
      </c>
      <c r="AK32" s="14">
        <f>IF($AX32="Cancelled","",IFERROR(IF(AJ32="","",IF(AND(AB32="",AF32=""),"",IF(AF32&gt;AB32,AF32+Variables!$B$15+Variables!$B$16+Variables!$B$17-AJ32,AB32+Variables!$B$16+Variables!$B$17-AJ32))),""))</f>
        <v>14</v>
      </c>
      <c r="AL32" s="48" t="s">
        <v>224</v>
      </c>
      <c r="AM32" s="13" t="s">
        <v>115</v>
      </c>
      <c r="AN32" s="13" t="s">
        <v>116</v>
      </c>
      <c r="AP32" s="31">
        <v>45688</v>
      </c>
      <c r="AR32" s="13">
        <v>249261163</v>
      </c>
      <c r="AS32" s="31">
        <v>45694</v>
      </c>
      <c r="AU32" s="31">
        <v>45699</v>
      </c>
      <c r="AV32" s="13" t="s">
        <v>865</v>
      </c>
      <c r="AW32" s="31">
        <v>45699</v>
      </c>
      <c r="AX32" s="13" t="str">
        <f>IF(ISNUMBER(SEARCH("cancel",#REF!)),"Cancelled",IF(AND(AS32&lt;&gt;"",AU32&lt;&gt;"",AW32&lt;&gt;""),"Closed","Open"))</f>
        <v>Closed</v>
      </c>
      <c r="AY32" s="15" t="str">
        <f t="shared" si="1"/>
        <v>All dates received</v>
      </c>
      <c r="BD32" s="13">
        <f>IF($AX32="Cancelled","",IFERROR(IF(OR(AS32="",AJ32=""),"",(AJ32+Variables!$B$18-AS32)),""))</f>
        <v>1</v>
      </c>
      <c r="BE32" s="13">
        <f>IF($AX32="Cancelled","",IFERROR(IF(OR(AW32="",AS32=""),"",(AS32+Variables!$B$19)-AW32),""))</f>
        <v>0</v>
      </c>
      <c r="BF32" s="44">
        <f>IF($AX32="Cancelled","",IFERROR(W32*INDEX(Variables!$B$7:$D$7,IFERROR(MATCH(IF($B32="Robusta","Robusta",(IF($B32="","Arabica",$B32))&amp;" - "&amp;(IF($C32="","Commercial",$C32))),Variables!$B$1:$D$1,0),1))*(BE32/365),""))</f>
        <v>0</v>
      </c>
      <c r="BG32" s="44">
        <f>IF($AX32="Cancelled","",IFERROR((W32*INDEX(Variables!$B$7:$D$7,IFERROR(MATCH(IF($B32="Robusta","Robusta",(IF($B32="","Arabica",$B32))&amp;" - "&amp;(IF($C32="","Commercial",$C32))),Variables!$B$1:$D$1,0),1))*IFERROR(IF(AB32="","",(AVERAGE(E32:F32)-AB32)-Variables!$B$14),"")/365)+(L32/16.67*INDEX(Variables!$B$8:$D$8,IFERROR(MATCH(IF($B32="Robusta","Robusta",(IF($B32="","Arabica",$B32))&amp;" - "&amp;(IF($C32="","Commercial",$C32))),Variables!$B$1:$D$1,0),1))*IFERROR(IF(AB32="","",(AVERAGE(E32:F32)-AB32)-Variables!$B$14),""))+(W32*INDEX(Variables!$B$9:$D$9,IFERROR(MATCH(IF($B32="Robusta","Robusta",(IF($B32="","Arabica",$B32))&amp;" - "&amp;(IF($C32="","Commercial",$C32))),Variables!$B$1:$D$1,0),1))*IFERROR(IF(AB32="","",(AVERAGE(E32:F32)-AB32)-Variables!$B$14),"")/365),""))</f>
        <v>-425.61527875398446</v>
      </c>
      <c r="BH32" s="44">
        <f>IF($AX32="Cancelled","",IFERROR((W32*INDEX(Variables!$B$7:$D$7,IFERROR(MATCH(IF($B32="Robusta","Robusta",(IF($B32="","Arabica",$B32))&amp;" - "&amp;(IF($C32="","Commercial",$C32))),Variables!$B$1:$D$1,0),1))*AK32/365)+(L32/16.67*INDEX(Variables!$B$8:$D$8,IFERROR(MATCH(IF($B32="Robusta","Robusta",(IF($B32="","Arabica",$B32))&amp;" - "&amp;(IF($C32="","Commercial",$C32))),Variables!$B$1:$D$1,0),1))*AK32)+(W32*INDEX(Variables!$B$9:$D$9,IFERROR(MATCH(IF($B32="Robusta","Robusta",(IF($B32="","Arabica",$B32))&amp;" - "&amp;(IF($C32="","Commercial",$C32))),Variables!$B$1:$D$1,0),1))*AK32/365),""))</f>
        <v>595.86139025557839</v>
      </c>
      <c r="BI32" s="44">
        <f>IF($AX32="Cancelled","",IFERROR((W32*INDEX(Variables!$B$7:$D$7,IFERROR(MATCH(IF($B32="Robusta","Robusta",(IF($B32="","Arabica",$B32))&amp;" - "&amp;(IF($C32="","Commercial",$C32))),Variables!$B$1:$D$1,0),1))*BD32/365)+(L32/16.67*INDEX(Variables!$B$8:$D$8,IFERROR(MATCH(IF($B32="Robusta","Robusta",(IF($B32="","Arabica",$B32))&amp;" - "&amp;(IF($C32="","Commercial",$C32))),Variables!$B$1:$D$1,0),1))*BD32)+(W32*INDEX(Variables!$B$9:$D$9,IFERROR(MATCH(IF($B32="Robusta","Robusta",(IF($B32="","Arabica",$B32))&amp;" - "&amp;(IF($C32="","Commercial",$C32))),Variables!$B$1:$D$1,0),1))*BD32/365),""))</f>
        <v>42.561527875398447</v>
      </c>
      <c r="BJ32" s="44">
        <f t="shared" si="2"/>
        <v>-6</v>
      </c>
      <c r="BK32" s="44">
        <f>IF($AX32="Cancelled","",IFERROR(IF(BJ32="","",(W32*INDEX(Variables!$B$7:$D$7,IFERROR(MATCH(IF($B32="Robusta","Robusta",(IF($B32="","Arabica",$B32))&amp;" - "&amp;(IF($C32="","Commercial",$C32))),Variables!$B$1:$D$1,0),1))*(BJ32/365))+(W32*INDEX(Variables!$B$9:$D$9,IFERROR(MATCH(IF($B32="Robusta","Robusta",(IF($B32="","Arabica",$B32))&amp;" - "&amp;(IF($C32="","Commercial",$C32))),Variables!$B$1:$D$1,0),1))*(BJ32/365))+(INDEX(Variables!$B$8:$D$8,IFERROR(MATCH(IF($B32="Robusta","Robusta",(IF($B32="","Arabica",$B32))&amp;" - "&amp;(IF($C32="","Commercial",$C32))),Variables!$B$1:$D$1,0),1))*L32/16.67)),""))</f>
        <v>-129.36916725239064</v>
      </c>
    </row>
    <row r="33" spans="1:63">
      <c r="A33" s="13" t="s">
        <v>103</v>
      </c>
      <c r="B33" s="13" t="s">
        <v>104</v>
      </c>
      <c r="C33" s="13" t="s">
        <v>105</v>
      </c>
      <c r="D33" s="31">
        <v>45560</v>
      </c>
      <c r="E33" s="31">
        <v>45658</v>
      </c>
      <c r="F33" s="31">
        <v>45688</v>
      </c>
      <c r="G33" s="13">
        <v>3786536</v>
      </c>
      <c r="H33" s="13" t="s">
        <v>226</v>
      </c>
      <c r="J33" s="13" t="s">
        <v>118</v>
      </c>
      <c r="K33" s="13">
        <v>5145</v>
      </c>
      <c r="L33" s="13">
        <v>1080</v>
      </c>
      <c r="M33" s="13">
        <v>3</v>
      </c>
      <c r="N33" s="13" t="s">
        <v>227</v>
      </c>
      <c r="O33" s="13" t="s">
        <v>109</v>
      </c>
      <c r="P33" s="13">
        <v>10080</v>
      </c>
      <c r="Q33" s="13" t="s">
        <v>121</v>
      </c>
      <c r="R33" s="13" t="s">
        <v>122</v>
      </c>
      <c r="S33" s="13" t="s">
        <v>123</v>
      </c>
      <c r="T33" s="13" t="s">
        <v>124</v>
      </c>
      <c r="U33" s="13" t="s">
        <v>125</v>
      </c>
      <c r="V33" s="13">
        <v>16</v>
      </c>
      <c r="W33" s="44">
        <f>IF($AX33="Cancelled","",IFERROR(((V33+INDEX(Variables!$B$6:$D$6,IFERROR(MATCH(IF($B33="Robusta","Robusta",(IF($B33="","Arabica",$B33))&amp;" - "&amp;(IF($C33="","Commercial",$C33))),Variables!$B$1:$D$1,0),1)))*22.0462)*(L33/16.67),""))</f>
        <v>438204.92458308331</v>
      </c>
      <c r="X33" s="55" t="s">
        <v>37</v>
      </c>
      <c r="Y33" s="13" t="str">
        <f>IF($AX33="Cancelled","",IF(X33="","",IFERROR(IF(INDEX(Variables!$B$38:$B$47,MATCH(X33,Variables!$A$38:$A$47,0))="Yes","Yes","No"),"No")))</f>
        <v>Yes</v>
      </c>
      <c r="Z33" s="58">
        <v>45616</v>
      </c>
      <c r="AB33" s="31">
        <v>45630</v>
      </c>
      <c r="AC33" s="13" t="str">
        <f t="shared" si="0"/>
        <v>Approved</v>
      </c>
      <c r="AF33" s="71">
        <f>AJ33-7</f>
        <v>45638</v>
      </c>
      <c r="AG33" s="35">
        <f>IF($AX33="Cancelled","",IFERROR(IF(F33="","",F33-Variables!$B$13),""))</f>
        <v>45673</v>
      </c>
      <c r="AH33" s="13">
        <f>IF($AX33="Cancelled","",IFERROR(IF(AB33="","",(AVERAGE(E33:F33)-AB33)-Variables!$B$14),""))</f>
        <v>13</v>
      </c>
      <c r="AJ33" s="47">
        <v>45645</v>
      </c>
      <c r="AK33" s="14">
        <f>IF($AX33="Cancelled","",IFERROR(IF(AJ33="","",IF(AND(AB33="",AF33=""),"",IF(AF33&gt;AB33,AF33+Variables!$B$15+Variables!$B$16+Variables!$B$17-AJ33,AB33+Variables!$B$16+Variables!$B$17-AJ33))),""))</f>
        <v>8</v>
      </c>
      <c r="AL33" s="48" t="s">
        <v>114</v>
      </c>
      <c r="AM33" s="13" t="s">
        <v>134</v>
      </c>
      <c r="AN33" s="13" t="s">
        <v>228</v>
      </c>
      <c r="AP33" s="31">
        <v>45661</v>
      </c>
      <c r="AR33" s="13" t="s">
        <v>229</v>
      </c>
      <c r="AS33" s="31">
        <v>45661</v>
      </c>
      <c r="AU33" s="31">
        <v>45664</v>
      </c>
      <c r="AV33" s="13" t="s">
        <v>865</v>
      </c>
      <c r="AW33" s="31">
        <v>45664</v>
      </c>
      <c r="AX33" s="13" t="str">
        <f>IF(ISNUMBER(SEARCH("cancel",#REF!)),"Cancelled",IF(AND(AS33&lt;&gt;"",AU33&lt;&gt;"",AW33&lt;&gt;""),"Closed","Open"))</f>
        <v>Closed</v>
      </c>
      <c r="AY33" s="15" t="str">
        <f t="shared" si="1"/>
        <v>All dates received</v>
      </c>
      <c r="BD33" s="13">
        <f>IF($AX33="Cancelled","",IFERROR(IF(OR(AS33="",AJ33=""),"",(AJ33+Variables!$B$18-AS33)),""))</f>
        <v>-1</v>
      </c>
      <c r="BE33" s="13">
        <f>IF($AX33="Cancelled","",IFERROR(IF(OR(AW33="",AS33=""),"",(AS33+Variables!$B$19)-AW33),""))</f>
        <v>2</v>
      </c>
      <c r="BF33" s="44">
        <f>IF($AX33="Cancelled","",IFERROR(W33*INDEX(Variables!$B$7:$D$7,IFERROR(MATCH(IF($B33="Robusta","Robusta",(IF($B33="","Arabica",$B33))&amp;" - "&amp;(IF($C33="","Commercial",$C33))),Variables!$B$1:$D$1,0),1))*(BE33/365),""))</f>
        <v>154.82968541343175</v>
      </c>
      <c r="BG33" s="44">
        <f>IF($AX33="Cancelled","",IFERROR((W33*INDEX(Variables!$B$7:$D$7,IFERROR(MATCH(IF($B33="Robusta","Robusta",(IF($B33="","Arabica",$B33))&amp;" - "&amp;(IF($C33="","Commercial",$C33))),Variables!$B$1:$D$1,0),1))*IFERROR(IF(AB33="","",(AVERAGE(E33:F33)-AB33)-Variables!$B$14),"")/365)+(L33/16.67*INDEX(Variables!$B$8:$D$8,IFERROR(MATCH(IF($B33="Robusta","Robusta",(IF($B33="","Arabica",$B33))&amp;" - "&amp;(IF($C33="","Commercial",$C33))),Variables!$B$1:$D$1,0),1))*IFERROR(IF(AB33="","",(AVERAGE(E33:F33)-AB33)-Variables!$B$14),""))+(W33*INDEX(Variables!$B$9:$D$9,IFERROR(MATCH(IF($B33="Robusta","Robusta",(IF($B33="","Arabica",$B33))&amp;" - "&amp;(IF($C33="","Commercial",$C33))),Variables!$B$1:$D$1,0),1))*IFERROR(IF(AB33="","",(AVERAGE(E33:F33)-AB33)-Variables!$B$14),"")/365),""))</f>
        <v>1721.3673025831336</v>
      </c>
      <c r="BH33" s="44">
        <f>IF($AX33="Cancelled","",IFERROR((W33*INDEX(Variables!$B$7:$D$7,IFERROR(MATCH(IF($B33="Robusta","Robusta",(IF($B33="","Arabica",$B33))&amp;" - "&amp;(IF($C33="","Commercial",$C33))),Variables!$B$1:$D$1,0),1))*AK33/365)+(L33/16.67*INDEX(Variables!$B$8:$D$8,IFERROR(MATCH(IF($B33="Robusta","Robusta",(IF($B33="","Arabica",$B33))&amp;" - "&amp;(IF($C33="","Commercial",$C33))),Variables!$B$1:$D$1,0),1))*AK33)+(W33*INDEX(Variables!$B$9:$D$9,IFERROR(MATCH(IF($B33="Robusta","Robusta",(IF($B33="","Arabica",$B33))&amp;" - "&amp;(IF($C33="","Commercial",$C33))),Variables!$B$1:$D$1,0),1))*AK33/365),""))</f>
        <v>1059.3029554357745</v>
      </c>
      <c r="BI33" s="44">
        <f>IF($AX33="Cancelled","",IFERROR((W33*INDEX(Variables!$B$7:$D$7,IFERROR(MATCH(IF($B33="Robusta","Robusta",(IF($B33="","Arabica",$B33))&amp;" - "&amp;(IF($C33="","Commercial",$C33))),Variables!$B$1:$D$1,0),1))*BD33/365)+(L33/16.67*INDEX(Variables!$B$8:$D$8,IFERROR(MATCH(IF($B33="Robusta","Robusta",(IF($B33="","Arabica",$B33))&amp;" - "&amp;(IF($C33="","Commercial",$C33))),Variables!$B$1:$D$1,0),1))*BD33)+(W33*INDEX(Variables!$B$9:$D$9,IFERROR(MATCH(IF($B33="Robusta","Robusta",(IF($B33="","Arabica",$B33))&amp;" - "&amp;(IF($C33="","Commercial",$C33))),Variables!$B$1:$D$1,0),1))*BD33/365),""))</f>
        <v>-132.41286942947181</v>
      </c>
      <c r="BJ33" s="44">
        <f t="shared" si="2"/>
        <v>27</v>
      </c>
      <c r="BK33" s="44">
        <f>IF($AX33="Cancelled","",IFERROR(IF(BJ33="","",(W33*INDEX(Variables!$B$7:$D$7,IFERROR(MATCH(IF($B33="Robusta","Robusta",(IF($B33="","Arabica",$B33))&amp;" - "&amp;(IF($C33="","Commercial",$C33))),Variables!$B$1:$D$1,0),1))*(BJ33/365))+(W33*INDEX(Variables!$B$9:$D$9,IFERROR(MATCH(IF($B33="Robusta","Robusta",(IF($B33="","Arabica",$B33))&amp;" - "&amp;(IF($C33="","Commercial",$C33))),Variables!$B$1:$D$1,0),1))*(BJ33/365))+(INDEX(Variables!$B$8:$D$8,IFERROR(MATCH(IF($B33="Robusta","Robusta",(IF($B33="","Arabica",$B33))&amp;" - "&amp;(IF($C33="","Commercial",$C33))),Variables!$B$1:$D$1,0),1))*L33/16.67)),""))</f>
        <v>2171.1474745957394</v>
      </c>
    </row>
    <row r="34" spans="1:63">
      <c r="A34" s="13" t="s">
        <v>103</v>
      </c>
      <c r="B34" s="13" t="s">
        <v>104</v>
      </c>
      <c r="C34" s="13" t="s">
        <v>105</v>
      </c>
      <c r="D34" s="31">
        <v>45566</v>
      </c>
      <c r="E34" s="31">
        <v>45658</v>
      </c>
      <c r="F34" s="31">
        <v>45688</v>
      </c>
      <c r="G34" s="13">
        <v>3786538</v>
      </c>
      <c r="H34" s="13">
        <v>4548600696</v>
      </c>
      <c r="J34" s="13" t="s">
        <v>230</v>
      </c>
      <c r="K34" s="13">
        <v>5147</v>
      </c>
      <c r="L34" s="13">
        <v>1800</v>
      </c>
      <c r="M34" s="13">
        <v>5</v>
      </c>
      <c r="N34" s="13" t="s">
        <v>231</v>
      </c>
      <c r="O34" s="13" t="s">
        <v>109</v>
      </c>
      <c r="P34" s="13">
        <v>10080</v>
      </c>
      <c r="Q34" s="13" t="s">
        <v>121</v>
      </c>
      <c r="R34" s="13" t="s">
        <v>122</v>
      </c>
      <c r="S34" s="13" t="s">
        <v>154</v>
      </c>
      <c r="T34" s="13" t="s">
        <v>155</v>
      </c>
      <c r="U34" s="13" t="s">
        <v>125</v>
      </c>
      <c r="V34" s="13">
        <v>5</v>
      </c>
      <c r="W34" s="44">
        <f>IF($AX34="Cancelled","",IFERROR(((V34+INDEX(Variables!$B$6:$D$6,IFERROR(MATCH(IF($B34="Robusta","Robusta",(IF($B34="","Arabica",$B34))&amp;" - "&amp;(IF($C34="","Commercial",$C34))),Variables!$B$1:$D$1,0),1)))*22.0462)*(L34/16.67),""))</f>
        <v>704155.89250149962</v>
      </c>
      <c r="X34" s="55" t="s">
        <v>37</v>
      </c>
      <c r="Y34" s="13" t="str">
        <f>IF($AX34="Cancelled","",IF(X34="","",IFERROR(IF(INDEX(Variables!$B$38:$B$47,MATCH(X34,Variables!$A$38:$A$47,0))="Yes","Yes","No"),"No")))</f>
        <v>Yes</v>
      </c>
      <c r="Z34" s="58">
        <v>45622</v>
      </c>
      <c r="AB34" s="31">
        <v>45625</v>
      </c>
      <c r="AC34" s="13" t="str">
        <f t="shared" si="0"/>
        <v>Approved</v>
      </c>
      <c r="AF34" s="71">
        <v>45673</v>
      </c>
      <c r="AG34" s="35">
        <f>IF($AX34="Cancelled","",IFERROR(IF(F34="","",F34-Variables!$B$13),""))</f>
        <v>45673</v>
      </c>
      <c r="AH34" s="13">
        <f>IF($AX34="Cancelled","",IFERROR(IF(AB34="","",(AVERAGE(E34:F34)-AB34)-Variables!$B$14),""))</f>
        <v>18</v>
      </c>
      <c r="AJ34" s="47">
        <v>45674</v>
      </c>
      <c r="AK34" s="14">
        <f>IF($AX34="Cancelled","",IFERROR(IF(AJ34="","",IF(AND(AB34="",AF34=""),"",IF(AF34&gt;AB34,AF34+Variables!$B$15+Variables!$B$16+Variables!$B$17-AJ34,AB34+Variables!$B$16+Variables!$B$17-AJ34))),""))</f>
        <v>14</v>
      </c>
      <c r="AL34" s="48" t="s">
        <v>114</v>
      </c>
      <c r="AM34" s="13" t="s">
        <v>141</v>
      </c>
      <c r="AN34" s="13" t="s">
        <v>146</v>
      </c>
      <c r="AP34" s="31">
        <v>45688</v>
      </c>
      <c r="AR34" s="13" t="s">
        <v>232</v>
      </c>
      <c r="AS34" s="31">
        <v>45688</v>
      </c>
      <c r="AU34" s="31">
        <v>45691</v>
      </c>
      <c r="AV34" s="13" t="s">
        <v>865</v>
      </c>
      <c r="AW34" s="31">
        <v>45693</v>
      </c>
      <c r="AX34" s="13" t="str">
        <f>IF(ISNUMBER(SEARCH("cancel",#REF!)),"Cancelled",IF(AND(AS34&lt;&gt;"",AU34&lt;&gt;"",AW34&lt;&gt;""),"Closed","Open"))</f>
        <v>Closed</v>
      </c>
      <c r="AY34" s="15" t="str">
        <f t="shared" si="1"/>
        <v>All dates received</v>
      </c>
      <c r="BD34" s="13">
        <f>IF($AX34="Cancelled","",IFERROR(IF(OR(AS34="",AJ34=""),"",(AJ34+Variables!$B$18-AS34)),""))</f>
        <v>1</v>
      </c>
      <c r="BE34" s="13">
        <f>IF($AX34="Cancelled","",IFERROR(IF(OR(AW34="",AS34=""),"",(AS34+Variables!$B$19)-AW34),""))</f>
        <v>0</v>
      </c>
      <c r="BF34" s="44">
        <f>IF($AX34="Cancelled","",IFERROR(W34*INDEX(Variables!$B$7:$D$7,IFERROR(MATCH(IF($B34="Robusta","Robusta",(IF($B34="","Arabica",$B34))&amp;" - "&amp;(IF($C34="","Commercial",$C34))),Variables!$B$1:$D$1,0),1))*(BE34/365),""))</f>
        <v>0</v>
      </c>
      <c r="BG34" s="44">
        <f>IF($AX34="Cancelled","",IFERROR((W34*INDEX(Variables!$B$7:$D$7,IFERROR(MATCH(IF($B34="Robusta","Robusta",(IF($B34="","Arabica",$B34))&amp;" - "&amp;(IF($C34="","Commercial",$C34))),Variables!$B$1:$D$1,0),1))*IFERROR(IF(AB34="","",(AVERAGE(E34:F34)-AB34)-Variables!$B$14),"")/365)+(L34/16.67*INDEX(Variables!$B$8:$D$8,IFERROR(MATCH(IF($B34="Robusta","Robusta",(IF($B34="","Arabica",$B34))&amp;" - "&amp;(IF($C34="","Commercial",$C34))),Variables!$B$1:$D$1,0),1))*IFERROR(IF(AB34="","",(AVERAGE(E34:F34)-AB34)-Variables!$B$14),""))+(W34*INDEX(Variables!$B$9:$D$9,IFERROR(MATCH(IF($B34="Robusta","Robusta",(IF($B34="","Arabica",$B34))&amp;" - "&amp;(IF($C34="","Commercial",$C34))),Variables!$B$1:$D$1,0),1))*IFERROR(IF(AB34="","",(AVERAGE(E34:F34)-AB34)-Variables!$B$14),"")/365),""))</f>
        <v>3888.0436874743577</v>
      </c>
      <c r="BH34" s="44">
        <f>IF($AX34="Cancelled","",IFERROR((W34*INDEX(Variables!$B$7:$D$7,IFERROR(MATCH(IF($B34="Robusta","Robusta",(IF($B34="","Arabica",$B34))&amp;" - "&amp;(IF($C34="","Commercial",$C34))),Variables!$B$1:$D$1,0),1))*AK34/365)+(L34/16.67*INDEX(Variables!$B$8:$D$8,IFERROR(MATCH(IF($B34="Robusta","Robusta",(IF($B34="","Arabica",$B34))&amp;" - "&amp;(IF($C34="","Commercial",$C34))),Variables!$B$1:$D$1,0),1))*AK34)+(W34*INDEX(Variables!$B$9:$D$9,IFERROR(MATCH(IF($B34="Robusta","Robusta",(IF($B34="","Arabica",$B34))&amp;" - "&amp;(IF($C34="","Commercial",$C34))),Variables!$B$1:$D$1,0),1))*AK34/365),""))</f>
        <v>3024.0339791467222</v>
      </c>
      <c r="BI34" s="44">
        <f>IF($AX34="Cancelled","",IFERROR((W34*INDEX(Variables!$B$7:$D$7,IFERROR(MATCH(IF($B34="Robusta","Robusta",(IF($B34="","Arabica",$B34))&amp;" - "&amp;(IF($C34="","Commercial",$C34))),Variables!$B$1:$D$1,0),1))*BD34/365)+(L34/16.67*INDEX(Variables!$B$8:$D$8,IFERROR(MATCH(IF($B34="Robusta","Robusta",(IF($B34="","Arabica",$B34))&amp;" - "&amp;(IF($C34="","Commercial",$C34))),Variables!$B$1:$D$1,0),1))*BD34)+(W34*INDEX(Variables!$B$9:$D$9,IFERROR(MATCH(IF($B34="Robusta","Robusta",(IF($B34="","Arabica",$B34))&amp;" - "&amp;(IF($C34="","Commercial",$C34))),Variables!$B$1:$D$1,0),1))*BD34/365),""))</f>
        <v>216.00242708190876</v>
      </c>
      <c r="BJ34" s="44">
        <f t="shared" si="2"/>
        <v>0</v>
      </c>
      <c r="BK34" s="44">
        <f>IF($AX34="Cancelled","",IFERROR(IF(BJ34="","",(W34*INDEX(Variables!$B$7:$D$7,IFERROR(MATCH(IF($B34="Robusta","Robusta",(IF($B34="","Arabica",$B34))&amp;" - "&amp;(IF($C34="","Commercial",$C34))),Variables!$B$1:$D$1,0),1))*(BJ34/365))+(W34*INDEX(Variables!$B$9:$D$9,IFERROR(MATCH(IF($B34="Robusta","Robusta",(IF($B34="","Arabica",$B34))&amp;" - "&amp;(IF($C34="","Commercial",$C34))),Variables!$B$1:$D$1,0),1))*(BJ34/365))+(INDEX(Variables!$B$8:$D$8,IFERROR(MATCH(IF($B34="Robusta","Robusta",(IF($B34="","Arabica",$B34))&amp;" - "&amp;(IF($C34="","Commercial",$C34))),Variables!$B$1:$D$1,0),1))*L34/16.67)),""))</f>
        <v>90</v>
      </c>
    </row>
    <row r="35" spans="1:63">
      <c r="A35" s="13" t="s">
        <v>103</v>
      </c>
      <c r="B35" s="13" t="s">
        <v>104</v>
      </c>
      <c r="C35" s="13" t="s">
        <v>105</v>
      </c>
      <c r="D35" s="31">
        <v>45566</v>
      </c>
      <c r="E35" s="31">
        <v>45689</v>
      </c>
      <c r="F35" s="31">
        <v>45716</v>
      </c>
      <c r="G35" s="13">
        <v>3786539</v>
      </c>
      <c r="H35" s="13">
        <v>4548600709</v>
      </c>
      <c r="J35" s="13" t="s">
        <v>230</v>
      </c>
      <c r="K35" s="13">
        <v>5165</v>
      </c>
      <c r="L35" s="13">
        <v>1800</v>
      </c>
      <c r="M35" s="13">
        <v>5</v>
      </c>
      <c r="N35" s="13" t="s">
        <v>231</v>
      </c>
      <c r="O35" s="13" t="s">
        <v>109</v>
      </c>
      <c r="P35" s="13">
        <v>10080</v>
      </c>
      <c r="Q35" s="13" t="s">
        <v>121</v>
      </c>
      <c r="R35" s="13" t="s">
        <v>122</v>
      </c>
      <c r="S35" s="13" t="s">
        <v>154</v>
      </c>
      <c r="T35" s="13" t="s">
        <v>155</v>
      </c>
      <c r="U35" s="13" t="s">
        <v>125</v>
      </c>
      <c r="V35" s="13">
        <v>5</v>
      </c>
      <c r="W35" s="44">
        <f>IF($AX35="Cancelled","",IFERROR(((V35+INDEX(Variables!$B$6:$D$6,IFERROR(MATCH(IF($B35="Robusta","Robusta",(IF($B35="","Arabica",$B35))&amp;" - "&amp;(IF($C35="","Commercial",$C35))),Variables!$B$1:$D$1,0),1)))*22.0462)*(L35/16.67),""))</f>
        <v>704155.89250149962</v>
      </c>
      <c r="X35" s="55" t="s">
        <v>37</v>
      </c>
      <c r="Y35" s="13" t="str">
        <f>IF($AX35="Cancelled","",IF(X35="","",IFERROR(IF(INDEX(Variables!$B$38:$B$47,MATCH(X35,Variables!$A$38:$A$47,0))="Yes","Yes","No"),"No")))</f>
        <v>Yes</v>
      </c>
      <c r="Z35" s="58">
        <v>45672</v>
      </c>
      <c r="AB35" s="31">
        <v>45678</v>
      </c>
      <c r="AC35" s="13" t="str">
        <f t="shared" si="0"/>
        <v>Approved</v>
      </c>
      <c r="AF35" s="71">
        <v>45699</v>
      </c>
      <c r="AG35" s="35">
        <f>IF($AX35="Cancelled","",IFERROR(IF(F35="","",F35-Variables!$B$13),""))</f>
        <v>45701</v>
      </c>
      <c r="AH35" s="13">
        <f>IF($AX35="Cancelled","",IFERROR(IF(AB35="","",(AVERAGE(E35:F35)-AB35)-Variables!$B$14),""))</f>
        <v>-5.5</v>
      </c>
      <c r="AJ35" s="47">
        <v>45700</v>
      </c>
      <c r="AK35" s="14">
        <f>IF($AX35="Cancelled","",IFERROR(IF(AJ35="","",IF(AND(AB35="",AF35=""),"",IF(AF35&gt;AB35,AF35+Variables!$B$15+Variables!$B$16+Variables!$B$17-AJ35,AB35+Variables!$B$16+Variables!$B$17-AJ35))),""))</f>
        <v>14</v>
      </c>
      <c r="AL35" s="48" t="s">
        <v>114</v>
      </c>
      <c r="AM35" s="13" t="s">
        <v>141</v>
      </c>
      <c r="AN35" s="13" t="s">
        <v>233</v>
      </c>
      <c r="AP35" s="31">
        <v>45715</v>
      </c>
      <c r="AR35" s="13" t="s">
        <v>234</v>
      </c>
      <c r="AS35" s="31">
        <v>45715</v>
      </c>
      <c r="AU35" s="31">
        <v>45716</v>
      </c>
      <c r="AV35" s="13" t="s">
        <v>865</v>
      </c>
      <c r="AW35" s="31">
        <v>45716</v>
      </c>
      <c r="AX35" s="13" t="str">
        <f>IF(ISNUMBER(SEARCH("cancel",#REF!)),"Cancelled",IF(AND(AS35&lt;&gt;"",AU35&lt;&gt;"",AW35&lt;&gt;""),"Closed","Open"))</f>
        <v>Closed</v>
      </c>
      <c r="AY35" s="15" t="str">
        <f t="shared" si="1"/>
        <v>All dates received</v>
      </c>
      <c r="BD35" s="13">
        <f>IF($AX35="Cancelled","",IFERROR(IF(OR(AS35="",AJ35=""),"",(AJ35+Variables!$B$18-AS35)),""))</f>
        <v>0</v>
      </c>
      <c r="BE35" s="13">
        <f>IF($AX35="Cancelled","",IFERROR(IF(OR(AW35="",AS35=""),"",(AS35+Variables!$B$19)-AW35),""))</f>
        <v>4</v>
      </c>
      <c r="BF35" s="44">
        <f>IF($AX35="Cancelled","",IFERROR(W35*INDEX(Variables!$B$7:$D$7,IFERROR(MATCH(IF($B35="Robusta","Robusta",(IF($B35="","Arabica",$B35))&amp;" - "&amp;(IF($C35="","Commercial",$C35))),Variables!$B$1:$D$1,0),1))*(BE35/365),""))</f>
        <v>497.59475168723509</v>
      </c>
      <c r="BG35" s="44">
        <f>IF($AX35="Cancelled","",IFERROR((W35*INDEX(Variables!$B$7:$D$7,IFERROR(MATCH(IF($B35="Robusta","Robusta",(IF($B35="","Arabica",$B35))&amp;" - "&amp;(IF($C35="","Commercial",$C35))),Variables!$B$1:$D$1,0),1))*IFERROR(IF(AB35="","",(AVERAGE(E35:F35)-AB35)-Variables!$B$14),"")/365)+(L35/16.67*INDEX(Variables!$B$8:$D$8,IFERROR(MATCH(IF($B35="Robusta","Robusta",(IF($B35="","Arabica",$B35))&amp;" - "&amp;(IF($C35="","Commercial",$C35))),Variables!$B$1:$D$1,0),1))*IFERROR(IF(AB35="","",(AVERAGE(E35:F35)-AB35)-Variables!$B$14),""))+(W35*INDEX(Variables!$B$9:$D$9,IFERROR(MATCH(IF($B35="Robusta","Robusta",(IF($B35="","Arabica",$B35))&amp;" - "&amp;(IF($C35="","Commercial",$C35))),Variables!$B$1:$D$1,0),1))*IFERROR(IF(AB35="","",(AVERAGE(E35:F35)-AB35)-Variables!$B$14),"")/365),""))</f>
        <v>-1188.0133489504981</v>
      </c>
      <c r="BH35" s="44">
        <f>IF($AX35="Cancelled","",IFERROR((W35*INDEX(Variables!$B$7:$D$7,IFERROR(MATCH(IF($B35="Robusta","Robusta",(IF($B35="","Arabica",$B35))&amp;" - "&amp;(IF($C35="","Commercial",$C35))),Variables!$B$1:$D$1,0),1))*AK35/365)+(L35/16.67*INDEX(Variables!$B$8:$D$8,IFERROR(MATCH(IF($B35="Robusta","Robusta",(IF($B35="","Arabica",$B35))&amp;" - "&amp;(IF($C35="","Commercial",$C35))),Variables!$B$1:$D$1,0),1))*AK35)+(W35*INDEX(Variables!$B$9:$D$9,IFERROR(MATCH(IF($B35="Robusta","Robusta",(IF($B35="","Arabica",$B35))&amp;" - "&amp;(IF($C35="","Commercial",$C35))),Variables!$B$1:$D$1,0),1))*AK35/365),""))</f>
        <v>3024.0339791467222</v>
      </c>
      <c r="BI35" s="44">
        <f>IF($AX35="Cancelled","",IFERROR((W35*INDEX(Variables!$B$7:$D$7,IFERROR(MATCH(IF($B35="Robusta","Robusta",(IF($B35="","Arabica",$B35))&amp;" - "&amp;(IF($C35="","Commercial",$C35))),Variables!$B$1:$D$1,0),1))*BD35/365)+(L35/16.67*INDEX(Variables!$B$8:$D$8,IFERROR(MATCH(IF($B35="Robusta","Robusta",(IF($B35="","Arabica",$B35))&amp;" - "&amp;(IF($C35="","Commercial",$C35))),Variables!$B$1:$D$1,0),1))*BD35)+(W35*INDEX(Variables!$B$9:$D$9,IFERROR(MATCH(IF($B35="Robusta","Robusta",(IF($B35="","Arabica",$B35))&amp;" - "&amp;(IF($C35="","Commercial",$C35))),Variables!$B$1:$D$1,0),1))*BD35/365),""))</f>
        <v>0</v>
      </c>
      <c r="BJ35" s="44">
        <f t="shared" si="2"/>
        <v>1</v>
      </c>
      <c r="BK35" s="44">
        <f>IF($AX35="Cancelled","",IFERROR(IF(BJ35="","",(W35*INDEX(Variables!$B$7:$D$7,IFERROR(MATCH(IF($B35="Robusta","Robusta",(IF($B35="","Arabica",$B35))&amp;" - "&amp;(IF($C35="","Commercial",$C35))),Variables!$B$1:$D$1,0),1))*(BJ35/365))+(W35*INDEX(Variables!$B$9:$D$9,IFERROR(MATCH(IF($B35="Robusta","Robusta",(IF($B35="","Arabica",$B35))&amp;" - "&amp;(IF($C35="","Commercial",$C35))),Variables!$B$1:$D$1,0),1))*(BJ35/365))+(INDEX(Variables!$B$8:$D$8,IFERROR(MATCH(IF($B35="Robusta","Robusta",(IF($B35="","Arabica",$B35))&amp;" - "&amp;(IF($C35="","Commercial",$C35))),Variables!$B$1:$D$1,0),1))*L35/16.67)),""))</f>
        <v>216.00242708190876</v>
      </c>
    </row>
    <row r="36" spans="1:63">
      <c r="A36" s="13" t="s">
        <v>103</v>
      </c>
      <c r="B36" s="13" t="s">
        <v>104</v>
      </c>
      <c r="C36" s="13" t="s">
        <v>105</v>
      </c>
      <c r="D36" s="31">
        <v>45583</v>
      </c>
      <c r="E36" s="31">
        <v>45748</v>
      </c>
      <c r="F36" s="31">
        <v>45777</v>
      </c>
      <c r="G36" s="13">
        <v>3786544</v>
      </c>
      <c r="H36" s="13" t="s">
        <v>235</v>
      </c>
      <c r="J36" s="13" t="s">
        <v>236</v>
      </c>
      <c r="K36" s="13">
        <v>5217</v>
      </c>
      <c r="L36" s="13">
        <v>320</v>
      </c>
      <c r="M36" s="13">
        <v>1</v>
      </c>
      <c r="N36" s="13" t="s">
        <v>237</v>
      </c>
      <c r="O36" s="13" t="s">
        <v>238</v>
      </c>
      <c r="P36" s="13">
        <v>10090</v>
      </c>
      <c r="R36" s="13" t="s">
        <v>239</v>
      </c>
      <c r="S36" s="13" t="s">
        <v>180</v>
      </c>
      <c r="T36" s="13" t="s">
        <v>181</v>
      </c>
      <c r="U36" s="13" t="s">
        <v>182</v>
      </c>
      <c r="V36" s="13">
        <v>16</v>
      </c>
      <c r="W36" s="44">
        <f>IF($AX36="Cancelled","",IFERROR(((V36+INDEX(Variables!$B$6:$D$6,IFERROR(MATCH(IF($B36="Robusta","Robusta",(IF($B36="","Arabica",$B36))&amp;" - "&amp;(IF($C36="","Commercial",$C36))),Variables!$B$1:$D$1,0),1)))*22.0462)*(L36/16.67),""))</f>
        <v>129838.49617276543</v>
      </c>
      <c r="X36" s="55" t="s">
        <v>37</v>
      </c>
      <c r="Y36" s="13" t="str">
        <f>IF($AX36="Cancelled","",IF(X36="","",IFERROR(IF(INDEX(Variables!$B$38:$B$47,MATCH(X36,Variables!$A$38:$A$47,0))="Yes","Yes","No"),"No")))</f>
        <v>Yes</v>
      </c>
      <c r="Z36" s="58">
        <v>45707</v>
      </c>
      <c r="AB36" s="31">
        <v>45715</v>
      </c>
      <c r="AC36" s="13" t="str">
        <f t="shared" si="0"/>
        <v>Approved</v>
      </c>
      <c r="AF36" s="71">
        <v>45741</v>
      </c>
      <c r="AG36" s="35">
        <f>IF($AX36="Cancelled","",IFERROR(IF(F36="","",F36-Variables!$B$13),""))</f>
        <v>45762</v>
      </c>
      <c r="AH36" s="13">
        <f>IF($AX36="Cancelled","",IFERROR(IF(AB36="","",(AVERAGE(E36:F36)-AB36)-Variables!$B$14),""))</f>
        <v>17.5</v>
      </c>
      <c r="AJ36" s="47">
        <v>45743</v>
      </c>
      <c r="AK36" s="14">
        <f>IF($AX36="Cancelled","",IFERROR(IF(AJ36="","",IF(AND(AB36="",AF36=""),"",IF(AF36&gt;AB36,AF36+Variables!$B$15+Variables!$B$16+Variables!$B$17-AJ36,AB36+Variables!$B$16+Variables!$B$17-AJ36))),""))</f>
        <v>13</v>
      </c>
      <c r="AL36" s="48" t="s">
        <v>114</v>
      </c>
      <c r="AM36" s="13" t="s">
        <v>188</v>
      </c>
      <c r="AN36" s="13" t="s">
        <v>240</v>
      </c>
      <c r="AP36" s="31">
        <v>45758</v>
      </c>
      <c r="AR36" s="13" t="s">
        <v>241</v>
      </c>
      <c r="AS36" s="31">
        <v>45758</v>
      </c>
      <c r="AU36" s="31">
        <v>45769</v>
      </c>
      <c r="AV36" s="13" t="s">
        <v>242</v>
      </c>
      <c r="AW36" s="31">
        <v>45772</v>
      </c>
      <c r="AX36" s="13" t="str">
        <f>IF(ISNUMBER(SEARCH("cancel",#REF!)),"Cancelled",IF(AND(AS36&lt;&gt;"",AU36&lt;&gt;"",AW36&lt;&gt;""),"Closed","Open"))</f>
        <v>Closed</v>
      </c>
      <c r="AY36" s="15" t="str">
        <f t="shared" si="1"/>
        <v>All dates received</v>
      </c>
      <c r="BD36" s="13">
        <f>IF($AX36="Cancelled","",IFERROR(IF(OR(AS36="",AJ36=""),"",(AJ36+Variables!$B$18-AS36)),""))</f>
        <v>0</v>
      </c>
      <c r="BE36" s="13">
        <f>IF($AX36="Cancelled","",IFERROR(IF(OR(AW36="",AS36=""),"",(AS36+Variables!$B$19)-AW36),""))</f>
        <v>-9</v>
      </c>
      <c r="BF36" s="44">
        <f>IF($AX36="Cancelled","",IFERROR(W36*INDEX(Variables!$B$7:$D$7,IFERROR(MATCH(IF($B36="Robusta","Robusta",(IF($B36="","Arabica",$B36))&amp;" - "&amp;(IF($C36="","Commercial",$C36))),Variables!$B$1:$D$1,0),1))*(BE36/365),""))</f>
        <v>-206.43958055124233</v>
      </c>
      <c r="BG36" s="44">
        <f>IF($AX36="Cancelled","",IFERROR((W36*INDEX(Variables!$B$7:$D$7,IFERROR(MATCH(IF($B36="Robusta","Robusta",(IF($B36="","Arabica",$B36))&amp;" - "&amp;(IF($C36="","Commercial",$C36))),Variables!$B$1:$D$1,0),1))*IFERROR(IF(AB36="","",(AVERAGE(E36:F36)-AB36)-Variables!$B$14),"")/365)+(L36/16.67*INDEX(Variables!$B$8:$D$8,IFERROR(MATCH(IF($B36="Robusta","Robusta",(IF($B36="","Arabica",$B36))&amp;" - "&amp;(IF($C36="","Commercial",$C36))),Variables!$B$1:$D$1,0),1))*IFERROR(IF(AB36="","",(AVERAGE(E36:F36)-AB36)-Variables!$B$14),""))+(W36*INDEX(Variables!$B$9:$D$9,IFERROR(MATCH(IF($B36="Robusta","Robusta",(IF($B36="","Arabica",$B36))&amp;" - "&amp;(IF($C36="","Commercial",$C36))),Variables!$B$1:$D$1,0),1))*IFERROR(IF(AB36="","",(AVERAGE(E36:F36)-AB36)-Variables!$B$14),"")/365),""))</f>
        <v>686.5852488935576</v>
      </c>
      <c r="BH36" s="44">
        <f>IF($AX36="Cancelled","",IFERROR((W36*INDEX(Variables!$B$7:$D$7,IFERROR(MATCH(IF($B36="Robusta","Robusta",(IF($B36="","Arabica",$B36))&amp;" - "&amp;(IF($C36="","Commercial",$C36))),Variables!$B$1:$D$1,0),1))*AK36/365)+(L36/16.67*INDEX(Variables!$B$8:$D$8,IFERROR(MATCH(IF($B36="Robusta","Robusta",(IF($B36="","Arabica",$B36))&amp;" - "&amp;(IF($C36="","Commercial",$C36))),Variables!$B$1:$D$1,0),1))*AK36)+(W36*INDEX(Variables!$B$9:$D$9,IFERROR(MATCH(IF($B36="Robusta","Robusta",(IF($B36="","Arabica",$B36))&amp;" - "&amp;(IF($C36="","Commercial",$C36))),Variables!$B$1:$D$1,0),1))*AK36/365),""))</f>
        <v>510.03475632092847</v>
      </c>
      <c r="BI36" s="44">
        <f>IF($AX36="Cancelled","",IFERROR((W36*INDEX(Variables!$B$7:$D$7,IFERROR(MATCH(IF($B36="Robusta","Robusta",(IF($B36="","Arabica",$B36))&amp;" - "&amp;(IF($C36="","Commercial",$C36))),Variables!$B$1:$D$1,0),1))*BD36/365)+(L36/16.67*INDEX(Variables!$B$8:$D$8,IFERROR(MATCH(IF($B36="Robusta","Robusta",(IF($B36="","Arabica",$B36))&amp;" - "&amp;(IF($C36="","Commercial",$C36))),Variables!$B$1:$D$1,0),1))*BD36)+(W36*INDEX(Variables!$B$9:$D$9,IFERROR(MATCH(IF($B36="Robusta","Robusta",(IF($B36="","Arabica",$B36))&amp;" - "&amp;(IF($C36="","Commercial",$C36))),Variables!$B$1:$D$1,0),1))*BD36/365),""))</f>
        <v>0</v>
      </c>
      <c r="BJ36" s="44">
        <f t="shared" si="2"/>
        <v>19</v>
      </c>
      <c r="BK36" s="44">
        <f>IF($AX36="Cancelled","",IFERROR(IF(BJ36="","",(W36*INDEX(Variables!$B$7:$D$7,IFERROR(MATCH(IF($B36="Robusta","Robusta",(IF($B36="","Arabica",$B36))&amp;" - "&amp;(IF($C36="","Commercial",$C36))),Variables!$B$1:$D$1,0),1))*(BJ36/365))+(W36*INDEX(Variables!$B$9:$D$9,IFERROR(MATCH(IF($B36="Robusta","Robusta",(IF($B36="","Arabica",$B36))&amp;" - "&amp;(IF($C36="","Commercial",$C36))),Variables!$B$1:$D$1,0),1))*(BJ36/365))+(INDEX(Variables!$B$8:$D$8,IFERROR(MATCH(IF($B36="Robusta","Robusta",(IF($B36="","Arabica",$B36))&amp;" - "&amp;(IF($C36="","Commercial",$C36))),Variables!$B$1:$D$1,0),1))*L36/16.67)),""))</f>
        <v>457.43541308443389</v>
      </c>
    </row>
    <row r="37" spans="1:63">
      <c r="A37" s="13" t="s">
        <v>103</v>
      </c>
      <c r="B37" s="13" t="s">
        <v>104</v>
      </c>
      <c r="C37" s="13" t="s">
        <v>105</v>
      </c>
      <c r="D37" s="31">
        <v>45583</v>
      </c>
      <c r="E37" s="31">
        <v>45717</v>
      </c>
      <c r="F37" s="31">
        <v>45747</v>
      </c>
      <c r="G37" s="13">
        <v>3786545</v>
      </c>
      <c r="H37" s="13" t="s">
        <v>243</v>
      </c>
      <c r="J37" s="13" t="s">
        <v>236</v>
      </c>
      <c r="K37" s="13">
        <v>5182</v>
      </c>
      <c r="L37" s="13">
        <v>320</v>
      </c>
      <c r="M37" s="13">
        <v>1</v>
      </c>
      <c r="N37" s="13" t="s">
        <v>237</v>
      </c>
      <c r="O37" s="13" t="s">
        <v>238</v>
      </c>
      <c r="P37" s="13">
        <v>10090</v>
      </c>
      <c r="R37" s="13" t="s">
        <v>239</v>
      </c>
      <c r="S37" s="13" t="s">
        <v>180</v>
      </c>
      <c r="T37" s="13" t="s">
        <v>181</v>
      </c>
      <c r="U37" s="13" t="s">
        <v>182</v>
      </c>
      <c r="V37" s="13">
        <v>16</v>
      </c>
      <c r="W37" s="44">
        <f>IF($AX37="Cancelled","",IFERROR(((V37+INDEX(Variables!$B$6:$D$6,IFERROR(MATCH(IF($B37="Robusta","Robusta",(IF($B37="","Arabica",$B37))&amp;" - "&amp;(IF($C37="","Commercial",$C37))),Variables!$B$1:$D$1,0),1)))*22.0462)*(L37/16.67),""))</f>
        <v>129838.49617276543</v>
      </c>
      <c r="X37" s="55" t="s">
        <v>37</v>
      </c>
      <c r="Y37" s="13" t="str">
        <f>IF($AX37="Cancelled","",IF(X37="","",IFERROR(IF(INDEX(Variables!$B$38:$B$47,MATCH(X37,Variables!$A$38:$A$47,0))="Yes","Yes","No"),"No")))</f>
        <v>Yes</v>
      </c>
      <c r="Z37" s="58">
        <v>45673</v>
      </c>
      <c r="AB37" s="31">
        <v>45693</v>
      </c>
      <c r="AC37" s="13" t="str">
        <f t="shared" si="0"/>
        <v>Approved</v>
      </c>
      <c r="AF37" s="71">
        <v>45698</v>
      </c>
      <c r="AG37" s="35">
        <f>IF($AX37="Cancelled","",IFERROR(IF(F37="","",F37-Variables!$B$13),""))</f>
        <v>45732</v>
      </c>
      <c r="AH37" s="13">
        <f>IF($AX37="Cancelled","",IFERROR(IF(AB37="","",(AVERAGE(E37:F37)-AB37)-Variables!$B$14),""))</f>
        <v>9</v>
      </c>
      <c r="AJ37" s="47">
        <v>45710</v>
      </c>
      <c r="AK37" s="14">
        <f>IF($AX37="Cancelled","",IFERROR(IF(AJ37="","",IF(AND(AB37="",AF37=""),"",IF(AF37&gt;AB37,AF37+Variables!$B$15+Variables!$B$16+Variables!$B$17-AJ37,AB37+Variables!$B$16+Variables!$B$17-AJ37))),""))</f>
        <v>3</v>
      </c>
      <c r="AL37" s="48" t="s">
        <v>114</v>
      </c>
      <c r="AM37" s="13" t="s">
        <v>188</v>
      </c>
      <c r="AN37" s="13" t="s">
        <v>195</v>
      </c>
      <c r="AP37" s="31">
        <v>45725</v>
      </c>
      <c r="AR37" s="13" t="s">
        <v>244</v>
      </c>
      <c r="AS37" s="31">
        <v>45725</v>
      </c>
      <c r="AU37" s="31">
        <v>45727</v>
      </c>
      <c r="AV37" s="13" t="s">
        <v>245</v>
      </c>
      <c r="AW37" s="31">
        <v>45733</v>
      </c>
      <c r="AX37" s="13" t="str">
        <f>IF(ISNUMBER(SEARCH("cancel",#REF!)),"Cancelled",IF(AND(AS37&lt;&gt;"",AU37&lt;&gt;"",AW37&lt;&gt;""),"Closed","Open"))</f>
        <v>Closed</v>
      </c>
      <c r="AY37" s="15" t="str">
        <f t="shared" si="1"/>
        <v>All dates received</v>
      </c>
      <c r="BD37" s="13">
        <f>IF($AX37="Cancelled","",IFERROR(IF(OR(AS37="",AJ37=""),"",(AJ37+Variables!$B$18-AS37)),""))</f>
        <v>0</v>
      </c>
      <c r="BE37" s="13">
        <f>IF($AX37="Cancelled","",IFERROR(IF(OR(AW37="",AS37=""),"",(AS37+Variables!$B$19)-AW37),""))</f>
        <v>-3</v>
      </c>
      <c r="BF37" s="44">
        <f>IF($AX37="Cancelled","",IFERROR(W37*INDEX(Variables!$B$7:$D$7,IFERROR(MATCH(IF($B37="Robusta","Robusta",(IF($B37="","Arabica",$B37))&amp;" - "&amp;(IF($C37="","Commercial",$C37))),Variables!$B$1:$D$1,0),1))*(BE37/365),""))</f>
        <v>-68.813193517080776</v>
      </c>
      <c r="BG37" s="44">
        <f>IF($AX37="Cancelled","",IFERROR((W37*INDEX(Variables!$B$7:$D$7,IFERROR(MATCH(IF($B37="Robusta","Robusta",(IF($B37="","Arabica",$B37))&amp;" - "&amp;(IF($C37="","Commercial",$C37))),Variables!$B$1:$D$1,0),1))*IFERROR(IF(AB37="","",(AVERAGE(E37:F37)-AB37)-Variables!$B$14),"")/365)+(L37/16.67*INDEX(Variables!$B$8:$D$8,IFERROR(MATCH(IF($B37="Robusta","Robusta",(IF($B37="","Arabica",$B37))&amp;" - "&amp;(IF($C37="","Commercial",$C37))),Variables!$B$1:$D$1,0),1))*IFERROR(IF(AB37="","",(AVERAGE(E37:F37)-AB37)-Variables!$B$14),""))+(W37*INDEX(Variables!$B$9:$D$9,IFERROR(MATCH(IF($B37="Robusta","Robusta",(IF($B37="","Arabica",$B37))&amp;" - "&amp;(IF($C37="","Commercial",$C37))),Variables!$B$1:$D$1,0),1))*IFERROR(IF(AB37="","",(AVERAGE(E37:F37)-AB37)-Variables!$B$14),"")/365),""))</f>
        <v>353.10098514525816</v>
      </c>
      <c r="BH37" s="44">
        <f>IF($AX37="Cancelled","",IFERROR((W37*INDEX(Variables!$B$7:$D$7,IFERROR(MATCH(IF($B37="Robusta","Robusta",(IF($B37="","Arabica",$B37))&amp;" - "&amp;(IF($C37="","Commercial",$C37))),Variables!$B$1:$D$1,0),1))*AK37/365)+(L37/16.67*INDEX(Variables!$B$8:$D$8,IFERROR(MATCH(IF($B37="Robusta","Robusta",(IF($B37="","Arabica",$B37))&amp;" - "&amp;(IF($C37="","Commercial",$C37))),Variables!$B$1:$D$1,0),1))*AK37)+(W37*INDEX(Variables!$B$9:$D$9,IFERROR(MATCH(IF($B37="Robusta","Robusta",(IF($B37="","Arabica",$B37))&amp;" - "&amp;(IF($C37="","Commercial",$C37))),Variables!$B$1:$D$1,0),1))*AK37/365),""))</f>
        <v>117.70032838175273</v>
      </c>
      <c r="BI37" s="44">
        <f>IF($AX37="Cancelled","",IFERROR((W37*INDEX(Variables!$B$7:$D$7,IFERROR(MATCH(IF($B37="Robusta","Robusta",(IF($B37="","Arabica",$B37))&amp;" - "&amp;(IF($C37="","Commercial",$C37))),Variables!$B$1:$D$1,0),1))*BD37/365)+(L37/16.67*INDEX(Variables!$B$8:$D$8,IFERROR(MATCH(IF($B37="Robusta","Robusta",(IF($B37="","Arabica",$B37))&amp;" - "&amp;(IF($C37="","Commercial",$C37))),Variables!$B$1:$D$1,0),1))*BD37)+(W37*INDEX(Variables!$B$9:$D$9,IFERROR(MATCH(IF($B37="Robusta","Robusta",(IF($B37="","Arabica",$B37))&amp;" - "&amp;(IF($C37="","Commercial",$C37))),Variables!$B$1:$D$1,0),1))*BD37/365),""))</f>
        <v>0</v>
      </c>
      <c r="BJ37" s="44">
        <f t="shared" si="2"/>
        <v>22</v>
      </c>
      <c r="BK37" s="44">
        <f>IF($AX37="Cancelled","",IFERROR(IF(BJ37="","",(W37*INDEX(Variables!$B$7:$D$7,IFERROR(MATCH(IF($B37="Robusta","Robusta",(IF($B37="","Arabica",$B37))&amp;" - "&amp;(IF($C37="","Commercial",$C37))),Variables!$B$1:$D$1,0),1))*(BJ37/365))+(W37*INDEX(Variables!$B$9:$D$9,IFERROR(MATCH(IF($B37="Robusta","Robusta",(IF($B37="","Arabica",$B37))&amp;" - "&amp;(IF($C37="","Commercial",$C37))),Variables!$B$1:$D$1,0),1))*(BJ37/365))+(INDEX(Variables!$B$8:$D$8,IFERROR(MATCH(IF($B37="Robusta","Robusta",(IF($B37="","Arabica",$B37))&amp;" - "&amp;(IF($C37="","Commercial",$C37))),Variables!$B$1:$D$1,0),1))*L37/16.67)),""))</f>
        <v>527.13574146618669</v>
      </c>
    </row>
    <row r="38" spans="1:63">
      <c r="A38" s="13" t="s">
        <v>103</v>
      </c>
      <c r="B38" s="13" t="s">
        <v>104</v>
      </c>
      <c r="C38" s="13" t="s">
        <v>105</v>
      </c>
      <c r="D38" s="31">
        <v>45583</v>
      </c>
      <c r="E38" s="31">
        <v>45717</v>
      </c>
      <c r="F38" s="31">
        <v>45747</v>
      </c>
      <c r="G38" s="13">
        <v>3786546</v>
      </c>
      <c r="H38" s="13" t="s">
        <v>246</v>
      </c>
      <c r="J38" s="13" t="s">
        <v>236</v>
      </c>
      <c r="K38" s="13">
        <v>5184</v>
      </c>
      <c r="L38" s="13">
        <v>320</v>
      </c>
      <c r="M38" s="13">
        <v>1</v>
      </c>
      <c r="N38" s="13" t="s">
        <v>247</v>
      </c>
      <c r="O38" s="13" t="s">
        <v>109</v>
      </c>
      <c r="P38" s="13">
        <v>10080</v>
      </c>
      <c r="R38" s="13" t="s">
        <v>239</v>
      </c>
      <c r="S38" s="13" t="s">
        <v>180</v>
      </c>
      <c r="T38" s="13" t="s">
        <v>181</v>
      </c>
      <c r="U38" s="13" t="s">
        <v>182</v>
      </c>
      <c r="V38" s="13">
        <v>16</v>
      </c>
      <c r="W38" s="44">
        <f>IF($AX38="Cancelled","",IFERROR(((V38+INDEX(Variables!$B$6:$D$6,IFERROR(MATCH(IF($B38="Robusta","Robusta",(IF($B38="","Arabica",$B38))&amp;" - "&amp;(IF($C38="","Commercial",$C38))),Variables!$B$1:$D$1,0),1)))*22.0462)*(L38/16.67),""))</f>
        <v>129838.49617276543</v>
      </c>
      <c r="X38" s="55" t="s">
        <v>37</v>
      </c>
      <c r="Y38" s="13" t="str">
        <f>IF($AX38="Cancelled","",IF(X38="","",IFERROR(IF(INDEX(Variables!$B$38:$B$47,MATCH(X38,Variables!$A$38:$A$47,0))="Yes","Yes","No"),"No")))</f>
        <v>Yes</v>
      </c>
      <c r="Z38" s="58">
        <v>45673</v>
      </c>
      <c r="AB38" s="31">
        <v>45693</v>
      </c>
      <c r="AC38" s="13" t="str">
        <f t="shared" si="0"/>
        <v>Approved</v>
      </c>
      <c r="AF38" s="71">
        <v>45716</v>
      </c>
      <c r="AG38" s="35">
        <f>IF($AX38="Cancelled","",IFERROR(IF(F38="","",F38-Variables!$B$13),""))</f>
        <v>45732</v>
      </c>
      <c r="AH38" s="13">
        <f>IF($AX38="Cancelled","",IFERROR(IF(AB38="","",(AVERAGE(E38:F38)-AB38)-Variables!$B$14),""))</f>
        <v>9</v>
      </c>
      <c r="AJ38" s="47">
        <v>45717</v>
      </c>
      <c r="AK38" s="14">
        <f>IF($AX38="Cancelled","",IFERROR(IF(AJ38="","",IF(AND(AB38="",AF38=""),"",IF(AF38&gt;AB38,AF38+Variables!$B$15+Variables!$B$16+Variables!$B$17-AJ38,AB38+Variables!$B$16+Variables!$B$17-AJ38))),""))</f>
        <v>14</v>
      </c>
      <c r="AL38" s="48" t="s">
        <v>114</v>
      </c>
      <c r="AM38" s="13" t="s">
        <v>188</v>
      </c>
      <c r="AN38" s="13" t="s">
        <v>207</v>
      </c>
      <c r="AP38" s="31">
        <v>45730</v>
      </c>
      <c r="AR38" s="13" t="s">
        <v>248</v>
      </c>
      <c r="AS38" s="31">
        <v>45730</v>
      </c>
      <c r="AU38" s="31">
        <v>45735</v>
      </c>
      <c r="AV38" s="13" t="s">
        <v>249</v>
      </c>
      <c r="AW38" s="31">
        <v>45740</v>
      </c>
      <c r="AX38" s="13" t="str">
        <f>IF(ISNUMBER(SEARCH("cancel",#REF!)),"Cancelled",IF(AND(AS38&lt;&gt;"",AU38&lt;&gt;"",AW38&lt;&gt;""),"Closed","Open"))</f>
        <v>Closed</v>
      </c>
      <c r="AY38" s="15" t="str">
        <f t="shared" si="1"/>
        <v>All dates received</v>
      </c>
      <c r="BD38" s="13">
        <f>IF($AX38="Cancelled","",IFERROR(IF(OR(AS38="",AJ38=""),"",(AJ38+Variables!$B$18-AS38)),""))</f>
        <v>2</v>
      </c>
      <c r="BE38" s="13">
        <f>IF($AX38="Cancelled","",IFERROR(IF(OR(AW38="",AS38=""),"",(AS38+Variables!$B$19)-AW38),""))</f>
        <v>-5</v>
      </c>
      <c r="BF38" s="44">
        <f>IF($AX38="Cancelled","",IFERROR(W38*INDEX(Variables!$B$7:$D$7,IFERROR(MATCH(IF($B38="Robusta","Robusta",(IF($B38="","Arabica",$B38))&amp;" - "&amp;(IF($C38="","Commercial",$C38))),Variables!$B$1:$D$1,0),1))*(BE38/365),""))</f>
        <v>-114.68865586180129</v>
      </c>
      <c r="BG38" s="44">
        <f>IF($AX38="Cancelled","",IFERROR((W38*INDEX(Variables!$B$7:$D$7,IFERROR(MATCH(IF($B38="Robusta","Robusta",(IF($B38="","Arabica",$B38))&amp;" - "&amp;(IF($C38="","Commercial",$C38))),Variables!$B$1:$D$1,0),1))*IFERROR(IF(AB38="","",(AVERAGE(E38:F38)-AB38)-Variables!$B$14),"")/365)+(L38/16.67*INDEX(Variables!$B$8:$D$8,IFERROR(MATCH(IF($B38="Robusta","Robusta",(IF($B38="","Arabica",$B38))&amp;" - "&amp;(IF($C38="","Commercial",$C38))),Variables!$B$1:$D$1,0),1))*IFERROR(IF(AB38="","",(AVERAGE(E38:F38)-AB38)-Variables!$B$14),""))+(W38*INDEX(Variables!$B$9:$D$9,IFERROR(MATCH(IF($B38="Robusta","Robusta",(IF($B38="","Arabica",$B38))&amp;" - "&amp;(IF($C38="","Commercial",$C38))),Variables!$B$1:$D$1,0),1))*IFERROR(IF(AB38="","",(AVERAGE(E38:F38)-AB38)-Variables!$B$14),"")/365),""))</f>
        <v>353.10098514525816</v>
      </c>
      <c r="BH38" s="44">
        <f>IF($AX38="Cancelled","",IFERROR((W38*INDEX(Variables!$B$7:$D$7,IFERROR(MATCH(IF($B38="Robusta","Robusta",(IF($B38="","Arabica",$B38))&amp;" - "&amp;(IF($C38="","Commercial",$C38))),Variables!$B$1:$D$1,0),1))*AK38/365)+(L38/16.67*INDEX(Variables!$B$8:$D$8,IFERROR(MATCH(IF($B38="Robusta","Robusta",(IF($B38="","Arabica",$B38))&amp;" - "&amp;(IF($C38="","Commercial",$C38))),Variables!$B$1:$D$1,0),1))*AK38)+(W38*INDEX(Variables!$B$9:$D$9,IFERROR(MATCH(IF($B38="Robusta","Robusta",(IF($B38="","Arabica",$B38))&amp;" - "&amp;(IF($C38="","Commercial",$C38))),Variables!$B$1:$D$1,0),1))*AK38/365),""))</f>
        <v>549.26819911484608</v>
      </c>
      <c r="BI38" s="44">
        <f>IF($AX38="Cancelled","",IFERROR((W38*INDEX(Variables!$B$7:$D$7,IFERROR(MATCH(IF($B38="Robusta","Robusta",(IF($B38="","Arabica",$B38))&amp;" - "&amp;(IF($C38="","Commercial",$C38))),Variables!$B$1:$D$1,0),1))*BD38/365)+(L38/16.67*INDEX(Variables!$B$8:$D$8,IFERROR(MATCH(IF($B38="Robusta","Robusta",(IF($B38="","Arabica",$B38))&amp;" - "&amp;(IF($C38="","Commercial",$C38))),Variables!$B$1:$D$1,0),1))*BD38)+(W38*INDEX(Variables!$B$9:$D$9,IFERROR(MATCH(IF($B38="Robusta","Robusta",(IF($B38="","Arabica",$B38))&amp;" - "&amp;(IF($C38="","Commercial",$C38))),Variables!$B$1:$D$1,0),1))*BD38/365),""))</f>
        <v>78.466885587835151</v>
      </c>
      <c r="BJ38" s="44">
        <f t="shared" si="2"/>
        <v>17</v>
      </c>
      <c r="BK38" s="44">
        <f>IF($AX38="Cancelled","",IFERROR(IF(BJ38="","",(W38*INDEX(Variables!$B$7:$D$7,IFERROR(MATCH(IF($B38="Robusta","Robusta",(IF($B38="","Arabica",$B38))&amp;" - "&amp;(IF($C38="","Commercial",$C38))),Variables!$B$1:$D$1,0),1))*(BJ38/365))+(W38*INDEX(Variables!$B$9:$D$9,IFERROR(MATCH(IF($B38="Robusta","Robusta",(IF($B38="","Arabica",$B38))&amp;" - "&amp;(IF($C38="","Commercial",$C38))),Variables!$B$1:$D$1,0),1))*(BJ38/365))+(INDEX(Variables!$B$8:$D$8,IFERROR(MATCH(IF($B38="Robusta","Robusta",(IF($B38="","Arabica",$B38))&amp;" - "&amp;(IF($C38="","Commercial",$C38))),Variables!$B$1:$D$1,0),1))*L38/16.67)),""))</f>
        <v>410.96852749659882</v>
      </c>
    </row>
    <row r="39" spans="1:63">
      <c r="A39" s="13" t="s">
        <v>103</v>
      </c>
      <c r="B39" s="13" t="s">
        <v>104</v>
      </c>
      <c r="C39" s="13" t="s">
        <v>105</v>
      </c>
      <c r="D39" s="31">
        <v>45595</v>
      </c>
      <c r="E39" s="31">
        <v>45658</v>
      </c>
      <c r="F39" s="31">
        <v>45688</v>
      </c>
      <c r="G39" s="13">
        <v>3786549</v>
      </c>
      <c r="H39" s="13" t="s">
        <v>250</v>
      </c>
      <c r="J39" s="13" t="s">
        <v>236</v>
      </c>
      <c r="K39" s="13">
        <v>5148</v>
      </c>
      <c r="L39" s="13">
        <v>320</v>
      </c>
      <c r="M39" s="13">
        <v>1</v>
      </c>
      <c r="N39" s="13" t="s">
        <v>251</v>
      </c>
      <c r="O39" s="13" t="s">
        <v>238</v>
      </c>
      <c r="P39" s="13">
        <v>10090</v>
      </c>
      <c r="R39" s="13" t="s">
        <v>252</v>
      </c>
      <c r="S39" s="13" t="s">
        <v>180</v>
      </c>
      <c r="T39" s="13" t="s">
        <v>253</v>
      </c>
      <c r="U39" s="13" t="s">
        <v>182</v>
      </c>
      <c r="V39" s="13">
        <v>24</v>
      </c>
      <c r="W39" s="44">
        <f>IF($AX39="Cancelled","",IFERROR(((V39+INDEX(Variables!$B$6:$D$6,IFERROR(MATCH(IF($B39="Robusta","Robusta",(IF($B39="","Arabica",$B39))&amp;" - "&amp;(IF($C39="","Commercial",$C39))),Variables!$B$1:$D$1,0),1)))*22.0462)*(L39/16.67),""))</f>
        <v>133224.1153689262</v>
      </c>
      <c r="X39" s="55" t="s">
        <v>37</v>
      </c>
      <c r="Y39" s="13" t="str">
        <f>IF($AX39="Cancelled","",IF(X39="","",IFERROR(IF(INDEX(Variables!$B$38:$B$47,MATCH(X39,Variables!$A$38:$A$47,0))="Yes","Yes","No"),"No")))</f>
        <v>Yes</v>
      </c>
      <c r="Z39" s="58">
        <v>45608</v>
      </c>
      <c r="AB39" s="31">
        <v>45636</v>
      </c>
      <c r="AC39" s="13" t="str">
        <f t="shared" si="0"/>
        <v>Approved</v>
      </c>
      <c r="AF39" s="71">
        <f>AJ39-7</f>
        <v>45635</v>
      </c>
      <c r="AG39" s="35">
        <f>IF($AX39="Cancelled","",IFERROR(IF(F39="","",F39-Variables!$B$13),""))</f>
        <v>45673</v>
      </c>
      <c r="AH39" s="13">
        <f>IF($AX39="Cancelled","",IFERROR(IF(AB39="","",(AVERAGE(E39:F39)-AB39)-Variables!$B$14),""))</f>
        <v>7</v>
      </c>
      <c r="AJ39" s="47">
        <v>45642</v>
      </c>
      <c r="AK39" s="14">
        <f>IF($AX39="Cancelled","",IFERROR(IF(AJ39="","",IF(AND(AB39="",AF39=""),"",IF(AF39&gt;AB39,AF39+Variables!$B$15+Variables!$B$16+Variables!$B$17-AJ39,AB39+Variables!$B$16+Variables!$B$17-AJ39))),""))</f>
        <v>2</v>
      </c>
      <c r="AL39" s="48" t="s">
        <v>114</v>
      </c>
      <c r="AM39" s="13" t="s">
        <v>188</v>
      </c>
      <c r="AN39" s="13" t="s">
        <v>254</v>
      </c>
      <c r="AP39" s="31">
        <v>45662</v>
      </c>
      <c r="AR39" s="13" t="s">
        <v>255</v>
      </c>
      <c r="AS39" s="31">
        <v>45662</v>
      </c>
      <c r="AU39" s="31">
        <v>45664</v>
      </c>
      <c r="AV39" s="13" t="s">
        <v>256</v>
      </c>
      <c r="AW39" s="31">
        <v>45671</v>
      </c>
      <c r="AX39" s="13" t="str">
        <f>IF(ISNUMBER(SEARCH("cancel",#REF!)),"Cancelled",IF(AND(AS39&lt;&gt;"",AU39&lt;&gt;"",AW39&lt;&gt;""),"Closed","Open"))</f>
        <v>Closed</v>
      </c>
      <c r="AY39" s="15" t="str">
        <f t="shared" si="1"/>
        <v>All dates received</v>
      </c>
      <c r="BD39" s="13">
        <f>IF($AX39="Cancelled","",IFERROR(IF(OR(AS39="",AJ39=""),"",(AJ39+Variables!$B$18-AS39)),""))</f>
        <v>-5</v>
      </c>
      <c r="BE39" s="13">
        <f>IF($AX39="Cancelled","",IFERROR(IF(OR(AW39="",AS39=""),"",(AS39+Variables!$B$19)-AW39),""))</f>
        <v>-4</v>
      </c>
      <c r="BF39" s="44">
        <f>IF($AX39="Cancelled","",IFERROR(W39*INDEX(Variables!$B$7:$D$7,IFERROR(MATCH(IF($B39="Robusta","Robusta",(IF($B39="","Arabica",$B39))&amp;" - "&amp;(IF($C39="","Commercial",$C39))),Variables!$B$1:$D$1,0),1))*(BE39/365),""))</f>
        <v>-94.143386871695057</v>
      </c>
      <c r="BG39" s="44">
        <f>IF($AX39="Cancelled","",IFERROR((W39*INDEX(Variables!$B$7:$D$7,IFERROR(MATCH(IF($B39="Robusta","Robusta",(IF($B39="","Arabica",$B39))&amp;" - "&amp;(IF($C39="","Commercial",$C39))),Variables!$B$1:$D$1,0),1))*IFERROR(IF(AB39="","",(AVERAGE(E39:F39)-AB39)-Variables!$B$14),"")/365)+(L39/16.67*INDEX(Variables!$B$8:$D$8,IFERROR(MATCH(IF($B39="Robusta","Robusta",(IF($B39="","Arabica",$B39))&amp;" - "&amp;(IF($C39="","Commercial",$C39))),Variables!$B$1:$D$1,0),1))*IFERROR(IF(AB39="","",(AVERAGE(E39:F39)-AB39)-Variables!$B$14),""))+(W39*INDEX(Variables!$B$9:$D$9,IFERROR(MATCH(IF($B39="Robusta","Robusta",(IF($B39="","Arabica",$B39))&amp;" - "&amp;(IF($C39="","Commercial",$C39))),Variables!$B$1:$D$1,0),1))*IFERROR(IF(AB39="","",(AVERAGE(E39:F39)-AB39)-Variables!$B$14),"")/365),""))</f>
        <v>278.8748844220234</v>
      </c>
      <c r="BH39" s="44">
        <f>IF($AX39="Cancelled","",IFERROR((W39*INDEX(Variables!$B$7:$D$7,IFERROR(MATCH(IF($B39="Robusta","Robusta",(IF($B39="","Arabica",$B39))&amp;" - "&amp;(IF($C39="","Commercial",$C39))),Variables!$B$1:$D$1,0),1))*AK39/365)+(L39/16.67*INDEX(Variables!$B$8:$D$8,IFERROR(MATCH(IF($B39="Robusta","Robusta",(IF($B39="","Arabica",$B39))&amp;" - "&amp;(IF($C39="","Commercial",$C39))),Variables!$B$1:$D$1,0),1))*AK39)+(W39*INDEX(Variables!$B$9:$D$9,IFERROR(MATCH(IF($B39="Robusta","Robusta",(IF($B39="","Arabica",$B39))&amp;" - "&amp;(IF($C39="","Commercial",$C39))),Variables!$B$1:$D$1,0),1))*AK39/365),""))</f>
        <v>79.67853840629239</v>
      </c>
      <c r="BI39" s="44">
        <f>IF($AX39="Cancelled","",IFERROR((W39*INDEX(Variables!$B$7:$D$7,IFERROR(MATCH(IF($B39="Robusta","Robusta",(IF($B39="","Arabica",$B39))&amp;" - "&amp;(IF($C39="","Commercial",$C39))),Variables!$B$1:$D$1,0),1))*BD39/365)+(L39/16.67*INDEX(Variables!$B$8:$D$8,IFERROR(MATCH(IF($B39="Robusta","Robusta",(IF($B39="","Arabica",$B39))&amp;" - "&amp;(IF($C39="","Commercial",$C39))),Variables!$B$1:$D$1,0),1))*BD39)+(W39*INDEX(Variables!$B$9:$D$9,IFERROR(MATCH(IF($B39="Robusta","Robusta",(IF($B39="","Arabica",$B39))&amp;" - "&amp;(IF($C39="","Commercial",$C39))),Variables!$B$1:$D$1,0),1))*BD39/365),""))</f>
        <v>-199.196346015731</v>
      </c>
      <c r="BJ39" s="44">
        <f t="shared" si="2"/>
        <v>26</v>
      </c>
      <c r="BK39" s="44">
        <f>IF($AX39="Cancelled","",IFERROR(IF(BJ39="","",(W39*INDEX(Variables!$B$7:$D$7,IFERROR(MATCH(IF($B39="Robusta","Robusta",(IF($B39="","Arabica",$B39))&amp;" - "&amp;(IF($C39="","Commercial",$C39))),Variables!$B$1:$D$1,0),1))*(BJ39/365))+(W39*INDEX(Variables!$B$9:$D$9,IFERROR(MATCH(IF($B39="Robusta","Robusta",(IF($B39="","Arabica",$B39))&amp;" - "&amp;(IF($C39="","Commercial",$C39))),Variables!$B$1:$D$1,0),1))*(BJ39/365))+(INDEX(Variables!$B$8:$D$8,IFERROR(MATCH(IF($B39="Robusta","Robusta",(IF($B39="","Arabica",$B39))&amp;" - "&amp;(IF($C39="","Commercial",$C39))),Variables!$B$1:$D$1,0),1))*L39/16.67)),""))</f>
        <v>635.82099928180116</v>
      </c>
    </row>
    <row r="40" spans="1:63">
      <c r="A40" s="13" t="s">
        <v>103</v>
      </c>
      <c r="B40" s="13" t="s">
        <v>104</v>
      </c>
      <c r="C40" s="13" t="s">
        <v>105</v>
      </c>
      <c r="D40" s="31">
        <v>45595</v>
      </c>
      <c r="E40" s="31">
        <v>45717</v>
      </c>
      <c r="F40" s="31">
        <v>45747</v>
      </c>
      <c r="G40" s="13">
        <v>3786550</v>
      </c>
      <c r="H40" s="13" t="s">
        <v>257</v>
      </c>
      <c r="J40" s="13" t="s">
        <v>236</v>
      </c>
      <c r="K40" s="13">
        <v>5186</v>
      </c>
      <c r="L40" s="13">
        <v>320</v>
      </c>
      <c r="M40" s="13">
        <v>1</v>
      </c>
      <c r="N40" s="13" t="s">
        <v>251</v>
      </c>
      <c r="O40" s="13" t="s">
        <v>238</v>
      </c>
      <c r="P40" s="13">
        <v>10090</v>
      </c>
      <c r="R40" s="13" t="s">
        <v>252</v>
      </c>
      <c r="S40" s="13" t="s">
        <v>180</v>
      </c>
      <c r="T40" s="13" t="s">
        <v>253</v>
      </c>
      <c r="U40" s="13" t="s">
        <v>182</v>
      </c>
      <c r="V40" s="13">
        <v>24</v>
      </c>
      <c r="W40" s="44">
        <f>IF($AX40="Cancelled","",IFERROR(((V40+INDEX(Variables!$B$6:$D$6,IFERROR(MATCH(IF($B40="Robusta","Robusta",(IF($B40="","Arabica",$B40))&amp;" - "&amp;(IF($C40="","Commercial",$C40))),Variables!$B$1:$D$1,0),1)))*22.0462)*(L40/16.67),""))</f>
        <v>133224.1153689262</v>
      </c>
      <c r="X40" s="55" t="s">
        <v>37</v>
      </c>
      <c r="Y40" s="13" t="str">
        <f>IF($AX40="Cancelled","",IF(X40="","",IFERROR(IF(INDEX(Variables!$B$38:$B$47,MATCH(X40,Variables!$A$38:$A$47,0))="Yes","Yes","No"),"No")))</f>
        <v>Yes</v>
      </c>
      <c r="Z40" s="58">
        <v>45673</v>
      </c>
      <c r="AB40" s="31">
        <v>45698</v>
      </c>
      <c r="AC40" s="13" t="str">
        <f t="shared" si="0"/>
        <v>Approved</v>
      </c>
      <c r="AF40" s="71">
        <v>45707</v>
      </c>
      <c r="AG40" s="35">
        <f>IF($AX40="Cancelled","",IFERROR(IF(F40="","",F40-Variables!$B$13),""))</f>
        <v>45732</v>
      </c>
      <c r="AH40" s="13">
        <f>IF($AX40="Cancelled","",IFERROR(IF(AB40="","",(AVERAGE(E40:F40)-AB40)-Variables!$B$14),""))</f>
        <v>4</v>
      </c>
      <c r="AJ40" s="47">
        <v>45709</v>
      </c>
      <c r="AK40" s="14">
        <f>IF($AX40="Cancelled","",IFERROR(IF(AJ40="","",IF(AND(AB40="",AF40=""),"",IF(AF40&gt;AB40,AF40+Variables!$B$15+Variables!$B$16+Variables!$B$17-AJ40,AB40+Variables!$B$16+Variables!$B$17-AJ40))),""))</f>
        <v>13</v>
      </c>
      <c r="AL40" s="48" t="s">
        <v>114</v>
      </c>
      <c r="AM40" s="13" t="s">
        <v>188</v>
      </c>
      <c r="AN40" s="13" t="s">
        <v>195</v>
      </c>
      <c r="AP40" s="31">
        <v>45725</v>
      </c>
      <c r="AR40" s="13" t="s">
        <v>258</v>
      </c>
      <c r="AS40" s="31">
        <v>45725</v>
      </c>
      <c r="AU40" s="31">
        <v>45727</v>
      </c>
      <c r="AV40" s="13" t="s">
        <v>245</v>
      </c>
      <c r="AW40" s="31">
        <v>45733</v>
      </c>
      <c r="AX40" s="13" t="str">
        <f>IF(ISNUMBER(SEARCH("cancel",#REF!)),"Cancelled",IF(AND(AS40&lt;&gt;"",AU40&lt;&gt;"",AW40&lt;&gt;""),"Closed","Open"))</f>
        <v>Closed</v>
      </c>
      <c r="AY40" s="15" t="str">
        <f t="shared" si="1"/>
        <v>All dates received</v>
      </c>
      <c r="BD40" s="13">
        <f>IF($AX40="Cancelled","",IFERROR(IF(OR(AS40="",AJ40=""),"",(AJ40+Variables!$B$18-AS40)),""))</f>
        <v>-1</v>
      </c>
      <c r="BE40" s="13">
        <f>IF($AX40="Cancelled","",IFERROR(IF(OR(AW40="",AS40=""),"",(AS40+Variables!$B$19)-AW40),""))</f>
        <v>-3</v>
      </c>
      <c r="BF40" s="44">
        <f>IF($AX40="Cancelled","",IFERROR(W40*INDEX(Variables!$B$7:$D$7,IFERROR(MATCH(IF($B40="Robusta","Robusta",(IF($B40="","Arabica",$B40))&amp;" - "&amp;(IF($C40="","Commercial",$C40))),Variables!$B$1:$D$1,0),1))*(BE40/365),""))</f>
        <v>-70.607540153771282</v>
      </c>
      <c r="BG40" s="44">
        <f>IF($AX40="Cancelled","",IFERROR((W40*INDEX(Variables!$B$7:$D$7,IFERROR(MATCH(IF($B40="Robusta","Robusta",(IF($B40="","Arabica",$B40))&amp;" - "&amp;(IF($C40="","Commercial",$C40))),Variables!$B$1:$D$1,0),1))*IFERROR(IF(AB40="","",(AVERAGE(E40:F40)-AB40)-Variables!$B$14),"")/365)+(L40/16.67*INDEX(Variables!$B$8:$D$8,IFERROR(MATCH(IF($B40="Robusta","Robusta",(IF($B40="","Arabica",$B40))&amp;" - "&amp;(IF($C40="","Commercial",$C40))),Variables!$B$1:$D$1,0),1))*IFERROR(IF(AB40="","",(AVERAGE(E40:F40)-AB40)-Variables!$B$14),""))+(W40*INDEX(Variables!$B$9:$D$9,IFERROR(MATCH(IF($B40="Robusta","Robusta",(IF($B40="","Arabica",$B40))&amp;" - "&amp;(IF($C40="","Commercial",$C40))),Variables!$B$1:$D$1,0),1))*IFERROR(IF(AB40="","",(AVERAGE(E40:F40)-AB40)-Variables!$B$14),"")/365),""))</f>
        <v>159.35707681258478</v>
      </c>
      <c r="BH40" s="44">
        <f>IF($AX40="Cancelled","",IFERROR((W40*INDEX(Variables!$B$7:$D$7,IFERROR(MATCH(IF($B40="Robusta","Robusta",(IF($B40="","Arabica",$B40))&amp;" - "&amp;(IF($C40="","Commercial",$C40))),Variables!$B$1:$D$1,0),1))*AK40/365)+(L40/16.67*INDEX(Variables!$B$8:$D$8,IFERROR(MATCH(IF($B40="Robusta","Robusta",(IF($B40="","Arabica",$B40))&amp;" - "&amp;(IF($C40="","Commercial",$C40))),Variables!$B$1:$D$1,0),1))*AK40)+(W40*INDEX(Variables!$B$9:$D$9,IFERROR(MATCH(IF($B40="Robusta","Robusta",(IF($B40="","Arabica",$B40))&amp;" - "&amp;(IF($C40="","Commercial",$C40))),Variables!$B$1:$D$1,0),1))*AK40/365),""))</f>
        <v>517.91049964090064</v>
      </c>
      <c r="BI40" s="44">
        <f>IF($AX40="Cancelled","",IFERROR((W40*INDEX(Variables!$B$7:$D$7,IFERROR(MATCH(IF($B40="Robusta","Robusta",(IF($B40="","Arabica",$B40))&amp;" - "&amp;(IF($C40="","Commercial",$C40))),Variables!$B$1:$D$1,0),1))*BD40/365)+(L40/16.67*INDEX(Variables!$B$8:$D$8,IFERROR(MATCH(IF($B40="Robusta","Robusta",(IF($B40="","Arabica",$B40))&amp;" - "&amp;(IF($C40="","Commercial",$C40))),Variables!$B$1:$D$1,0),1))*BD40)+(W40*INDEX(Variables!$B$9:$D$9,IFERROR(MATCH(IF($B40="Robusta","Robusta",(IF($B40="","Arabica",$B40))&amp;" - "&amp;(IF($C40="","Commercial",$C40))),Variables!$B$1:$D$1,0),1))*BD40/365),""))</f>
        <v>-39.839269203146195</v>
      </c>
      <c r="BJ40" s="44">
        <f t="shared" si="2"/>
        <v>22</v>
      </c>
      <c r="BK40" s="44">
        <f>IF($AX40="Cancelled","",IFERROR(IF(BJ40="","",(W40*INDEX(Variables!$B$7:$D$7,IFERROR(MATCH(IF($B40="Robusta","Robusta",(IF($B40="","Arabica",$B40))&amp;" - "&amp;(IF($C40="","Commercial",$C40))),Variables!$B$1:$D$1,0),1))*(BJ40/365))+(W40*INDEX(Variables!$B$9:$D$9,IFERROR(MATCH(IF($B40="Robusta","Robusta",(IF($B40="","Arabica",$B40))&amp;" - "&amp;(IF($C40="","Commercial",$C40))),Variables!$B$1:$D$1,0),1))*(BJ40/365))+(INDEX(Variables!$B$8:$D$8,IFERROR(MATCH(IF($B40="Robusta","Robusta",(IF($B40="","Arabica",$B40))&amp;" - "&amp;(IF($C40="","Commercial",$C40))),Variables!$B$1:$D$1,0),1))*L40/16.67)),""))</f>
        <v>540.4639224692163</v>
      </c>
    </row>
    <row r="41" spans="1:63">
      <c r="A41" s="13" t="s">
        <v>103</v>
      </c>
      <c r="B41" s="13" t="s">
        <v>104</v>
      </c>
      <c r="C41" s="13" t="s">
        <v>105</v>
      </c>
      <c r="D41" s="31">
        <v>45604</v>
      </c>
      <c r="E41" s="31">
        <v>45778</v>
      </c>
      <c r="F41" s="31">
        <v>45808</v>
      </c>
      <c r="G41" s="13">
        <v>3786553</v>
      </c>
      <c r="H41" s="13" t="s">
        <v>259</v>
      </c>
      <c r="J41" s="13" t="s">
        <v>260</v>
      </c>
      <c r="K41" s="13">
        <v>5275</v>
      </c>
      <c r="L41" s="13">
        <v>360</v>
      </c>
      <c r="M41" s="13">
        <v>1</v>
      </c>
      <c r="N41" s="13" t="s">
        <v>261</v>
      </c>
      <c r="O41" s="13" t="s">
        <v>238</v>
      </c>
      <c r="P41" s="13">
        <v>10090</v>
      </c>
      <c r="R41" s="13" t="s">
        <v>122</v>
      </c>
      <c r="S41" s="13" t="s">
        <v>262</v>
      </c>
      <c r="T41" s="13" t="s">
        <v>263</v>
      </c>
      <c r="U41" s="13" t="s">
        <v>125</v>
      </c>
      <c r="V41" s="13">
        <v>28</v>
      </c>
      <c r="W41" s="44">
        <f>IF($AX41="Cancelled","",IFERROR(((V41+INDEX(Variables!$B$6:$D$6,IFERROR(MATCH(IF($B41="Robusta","Robusta",(IF($B41="","Arabica",$B41))&amp;" - "&amp;(IF($C41="","Commercial",$C41))),Variables!$B$1:$D$1,0),1)))*22.0462)*(L41/16.67),""))</f>
        <v>151781.54058788242</v>
      </c>
      <c r="X41" s="55" t="s">
        <v>37</v>
      </c>
      <c r="Y41" s="13" t="str">
        <f>IF($AX41="Cancelled","",IF(X41="","",IFERROR(IF(INDEX(Variables!$B$38:$B$47,MATCH(X41,Variables!$A$38:$A$47,0))="Yes","Yes","No"),"No")))</f>
        <v>Yes</v>
      </c>
      <c r="Z41" s="58">
        <v>45744</v>
      </c>
      <c r="AB41" s="31">
        <v>45775</v>
      </c>
      <c r="AC41" s="13" t="str">
        <f t="shared" si="0"/>
        <v>Approved</v>
      </c>
      <c r="AF41" s="71">
        <f>AJ41-7</f>
        <v>45786</v>
      </c>
      <c r="AG41" s="35">
        <f>IF($AX41="Cancelled","",IFERROR(IF(F41="","",F41-Variables!$B$13),""))</f>
        <v>45793</v>
      </c>
      <c r="AH41" s="13">
        <f>IF($AX41="Cancelled","",IFERROR(IF(AB41="","",(AVERAGE(E41:F41)-AB41)-Variables!$B$14),""))</f>
        <v>-12</v>
      </c>
      <c r="AJ41" s="47">
        <v>45793</v>
      </c>
      <c r="AK41" s="14">
        <f>IF($AX41="Cancelled","",IFERROR(IF(AJ41="","",IF(AND(AB41="",AF41=""),"",IF(AF41&gt;AB41,AF41+Variables!$B$15+Variables!$B$16+Variables!$B$17-AJ41,AB41+Variables!$B$16+Variables!$B$17-AJ41))),""))</f>
        <v>8</v>
      </c>
      <c r="AL41" s="48" t="s">
        <v>114</v>
      </c>
      <c r="AM41" s="13" t="s">
        <v>134</v>
      </c>
      <c r="AN41" s="13" t="s">
        <v>264</v>
      </c>
      <c r="AP41" s="31">
        <v>45817</v>
      </c>
      <c r="AR41" s="13" t="s">
        <v>265</v>
      </c>
      <c r="AS41" s="31">
        <v>45817</v>
      </c>
      <c r="AU41" s="31">
        <v>45820</v>
      </c>
      <c r="AV41" s="13" t="s">
        <v>865</v>
      </c>
      <c r="AW41" s="31">
        <v>45820</v>
      </c>
      <c r="AX41" s="13" t="str">
        <f>IF(ISNUMBER(SEARCH("cancel",#REF!)),"Cancelled",IF(AND(AS41&lt;&gt;"",AU41&lt;&gt;"",AW41&lt;&gt;""),"Closed","Open"))</f>
        <v>Closed</v>
      </c>
      <c r="AY41" s="15" t="str">
        <f t="shared" si="1"/>
        <v>All dates received</v>
      </c>
      <c r="BD41" s="13">
        <f>IF($AX41="Cancelled","",IFERROR(IF(OR(AS41="",AJ41=""),"",(AJ41+Variables!$B$18-AS41)),""))</f>
        <v>-9</v>
      </c>
      <c r="BE41" s="13">
        <f>IF($AX41="Cancelled","",IFERROR(IF(OR(AW41="",AS41=""),"",(AS41+Variables!$B$19)-AW41),""))</f>
        <v>2</v>
      </c>
      <c r="BF41" s="44">
        <f>IF($AX41="Cancelled","",IFERROR(W41*INDEX(Variables!$B$7:$D$7,IFERROR(MATCH(IF($B41="Robusta","Robusta",(IF($B41="","Arabica",$B41))&amp;" - "&amp;(IF($C41="","Commercial",$C41))),Variables!$B$1:$D$1,0),1))*(BE41/365),""))</f>
        <v>53.628535104087419</v>
      </c>
      <c r="BG41" s="44">
        <f>IF($AX41="Cancelled","",IFERROR((W41*INDEX(Variables!$B$7:$D$7,IFERROR(MATCH(IF($B41="Robusta","Robusta",(IF($B41="","Arabica",$B41))&amp;" - "&amp;(IF($C41="","Commercial",$C41))),Variables!$B$1:$D$1,0),1))*IFERROR(IF(AB41="","",(AVERAGE(E41:F41)-AB41)-Variables!$B$14),"")/365)+(L41/16.67*INDEX(Variables!$B$8:$D$8,IFERROR(MATCH(IF($B41="Robusta","Robusta",(IF($B41="","Arabica",$B41))&amp;" - "&amp;(IF($C41="","Commercial",$C41))),Variables!$B$1:$D$1,0),1))*IFERROR(IF(AB41="","",(AVERAGE(E41:F41)-AB41)-Variables!$B$14),""))+(W41*INDEX(Variables!$B$9:$D$9,IFERROR(MATCH(IF($B41="Robusta","Robusta",(IF($B41="","Arabica",$B41))&amp;" - "&amp;(IF($C41="","Commercial",$C41))),Variables!$B$1:$D$1,0),1))*IFERROR(IF(AB41="","",(AVERAGE(E41:F41)-AB41)-Variables!$B$14),"")/365),""))</f>
        <v>-541.9194625047669</v>
      </c>
      <c r="BH41" s="44">
        <f>IF($AX41="Cancelled","",IFERROR((W41*INDEX(Variables!$B$7:$D$7,IFERROR(MATCH(IF($B41="Robusta","Robusta",(IF($B41="","Arabica",$B41))&amp;" - "&amp;(IF($C41="","Commercial",$C41))),Variables!$B$1:$D$1,0),1))*AK41/365)+(L41/16.67*INDEX(Variables!$B$8:$D$8,IFERROR(MATCH(IF($B41="Robusta","Robusta",(IF($B41="","Arabica",$B41))&amp;" - "&amp;(IF($C41="","Commercial",$C41))),Variables!$B$1:$D$1,0),1))*AK41)+(W41*INDEX(Variables!$B$9:$D$9,IFERROR(MATCH(IF($B41="Robusta","Robusta",(IF($B41="","Arabica",$B41))&amp;" - "&amp;(IF($C41="","Commercial",$C41))),Variables!$B$1:$D$1,0),1))*AK41/365),""))</f>
        <v>361.27964166984469</v>
      </c>
      <c r="BI41" s="44">
        <f>IF($AX41="Cancelled","",IFERROR((W41*INDEX(Variables!$B$7:$D$7,IFERROR(MATCH(IF($B41="Robusta","Robusta",(IF($B41="","Arabica",$B41))&amp;" - "&amp;(IF($C41="","Commercial",$C41))),Variables!$B$1:$D$1,0),1))*BD41/365)+(L41/16.67*INDEX(Variables!$B$8:$D$8,IFERROR(MATCH(IF($B41="Robusta","Robusta",(IF($B41="","Arabica",$B41))&amp;" - "&amp;(IF($C41="","Commercial",$C41))),Variables!$B$1:$D$1,0),1))*BD41)+(W41*INDEX(Variables!$B$9:$D$9,IFERROR(MATCH(IF($B41="Robusta","Robusta",(IF($B41="","Arabica",$B41))&amp;" - "&amp;(IF($C41="","Commercial",$C41))),Variables!$B$1:$D$1,0),1))*BD41/365),""))</f>
        <v>-406.43959687857523</v>
      </c>
      <c r="BJ41" s="44">
        <f t="shared" si="2"/>
        <v>-9</v>
      </c>
      <c r="BK41" s="44">
        <f>IF($AX41="Cancelled","",IFERROR(IF(BJ41="","",(W41*INDEX(Variables!$B$7:$D$7,IFERROR(MATCH(IF($B41="Robusta","Robusta",(IF($B41="","Arabica",$B41))&amp;" - "&amp;(IF($C41="","Commercial",$C41))),Variables!$B$1:$D$1,0),1))*(BJ41/365))+(W41*INDEX(Variables!$B$9:$D$9,IFERROR(MATCH(IF($B41="Robusta","Robusta",(IF($B41="","Arabica",$B41))&amp;" - "&amp;(IF($C41="","Commercial",$C41))),Variables!$B$1:$D$1,0),1))*(BJ41/365))+(INDEX(Variables!$B$8:$D$8,IFERROR(MATCH(IF($B41="Robusta","Robusta",(IF($B41="","Arabica",$B41))&amp;" - "&amp;(IF($C41="","Commercial",$C41))),Variables!$B$1:$D$1,0),1))*L41/16.67)),""))</f>
        <v>-226.43959687857517</v>
      </c>
    </row>
    <row r="42" spans="1:63">
      <c r="A42" s="13" t="s">
        <v>103</v>
      </c>
      <c r="B42" s="13" t="s">
        <v>104</v>
      </c>
      <c r="C42" s="13" t="s">
        <v>105</v>
      </c>
      <c r="D42" s="31">
        <v>45617</v>
      </c>
      <c r="E42" s="31">
        <v>45658</v>
      </c>
      <c r="F42" s="31">
        <v>45688</v>
      </c>
      <c r="G42" s="13">
        <v>3786554</v>
      </c>
      <c r="H42" s="13" t="s">
        <v>266</v>
      </c>
      <c r="J42" s="13" t="s">
        <v>118</v>
      </c>
      <c r="K42" s="13" t="s">
        <v>267</v>
      </c>
      <c r="L42" s="13">
        <v>3000</v>
      </c>
      <c r="M42" s="13">
        <v>9</v>
      </c>
      <c r="N42" s="13" t="s">
        <v>268</v>
      </c>
      <c r="O42" s="13" t="s">
        <v>269</v>
      </c>
      <c r="P42" s="13">
        <v>10310</v>
      </c>
      <c r="Q42" s="59" t="s">
        <v>270</v>
      </c>
      <c r="R42" s="13" t="s">
        <v>271</v>
      </c>
      <c r="S42" s="13" t="s">
        <v>272</v>
      </c>
      <c r="T42" s="13" t="s">
        <v>112</v>
      </c>
      <c r="U42" s="13" t="s">
        <v>113</v>
      </c>
      <c r="V42" s="13">
        <v>53</v>
      </c>
      <c r="W42" s="44">
        <f>IF($AX42="Cancelled","",IFERROR(((V42+INDEX(Variables!$B$6:$D$6,IFERROR(MATCH(IF($B42="Robusta","Robusta",(IF($B42="","Arabica",$B42))&amp;" - "&amp;(IF($C42="","Commercial",$C42))),Variables!$B$1:$D$1,0),1)))*22.0462)*(L42/16.67),""))</f>
        <v>1364034.2339532091</v>
      </c>
      <c r="X42" s="55" t="s">
        <v>37</v>
      </c>
      <c r="Y42" s="13" t="str">
        <f>IF($AX42="Cancelled","",IF(X42="","",IFERROR(IF(INDEX(Variables!$B$38:$B$47,MATCH(X42,Variables!$A$38:$A$47,0))="Yes","Yes","No"),"No")))</f>
        <v>Yes</v>
      </c>
      <c r="Z42" s="58">
        <v>45650</v>
      </c>
      <c r="AB42" s="31">
        <v>45660</v>
      </c>
      <c r="AC42" s="13" t="str">
        <f t="shared" si="0"/>
        <v>Approved</v>
      </c>
      <c r="AF42" s="71">
        <v>45678</v>
      </c>
      <c r="AG42" s="35">
        <f>IF($AX42="Cancelled","",IFERROR(IF(F42="","",F42-Variables!$B$13),""))</f>
        <v>45673</v>
      </c>
      <c r="AH42" s="13">
        <f>IF($AX42="Cancelled","",IFERROR(IF(AB42="","",(AVERAGE(E42:F42)-AB42)-Variables!$B$14),""))</f>
        <v>-17</v>
      </c>
      <c r="AJ42" s="47">
        <v>45679</v>
      </c>
      <c r="AK42" s="14">
        <f>IF($AX42="Cancelled","",IFERROR(IF(AJ42="","",IF(AND(AB42="",AF42=""),"",IF(AF42&gt;AB42,AF42+Variables!$B$15+Variables!$B$16+Variables!$B$17-AJ42,AB42+Variables!$B$16+Variables!$B$17-AJ42))),""))</f>
        <v>14</v>
      </c>
      <c r="AL42" s="48" t="s">
        <v>114</v>
      </c>
      <c r="AM42" s="13" t="s">
        <v>134</v>
      </c>
      <c r="AN42" s="13" t="s">
        <v>273</v>
      </c>
      <c r="AP42" s="31">
        <v>45691</v>
      </c>
      <c r="AR42" s="13" t="s">
        <v>274</v>
      </c>
      <c r="AS42" s="31">
        <v>45691</v>
      </c>
      <c r="AU42" s="31">
        <v>45693</v>
      </c>
      <c r="AV42" s="13" t="s">
        <v>865</v>
      </c>
      <c r="AW42" s="31">
        <v>45698</v>
      </c>
      <c r="AX42" s="13" t="str">
        <f>IF(ISNUMBER(SEARCH("cancel",#REF!)),"Cancelled",IF(AND(AS42&lt;&gt;"",AU42&lt;&gt;"",AW42&lt;&gt;""),"Closed","Open"))</f>
        <v>Closed</v>
      </c>
      <c r="AY42" s="15" t="str">
        <f t="shared" si="1"/>
        <v>All dates received</v>
      </c>
      <c r="BD42" s="13">
        <f>IF($AX42="Cancelled","",IFERROR(IF(OR(AS42="",AJ42=""),"",(AJ42+Variables!$B$18-AS42)),""))</f>
        <v>3</v>
      </c>
      <c r="BE42" s="13">
        <f>IF($AX42="Cancelled","",IFERROR(IF(OR(AW42="",AS42=""),"",(AS42+Variables!$B$19)-AW42),""))</f>
        <v>-2</v>
      </c>
      <c r="BF42" s="44">
        <f>IF($AX42="Cancelled","",IFERROR(W42*INDEX(Variables!$B$7:$D$7,IFERROR(MATCH(IF($B42="Robusta","Robusta",(IF($B42="","Arabica",$B42))&amp;" - "&amp;(IF($C42="","Commercial",$C42))),Variables!$B$1:$D$1,0),1))*(BE42/365),""))</f>
        <v>-481.95029194858972</v>
      </c>
      <c r="BG42" s="44">
        <f>IF($AX42="Cancelled","",IFERROR((W42*INDEX(Variables!$B$7:$D$7,IFERROR(MATCH(IF($B42="Robusta","Robusta",(IF($B42="","Arabica",$B42))&amp;" - "&amp;(IF($C42="","Commercial",$C42))),Variables!$B$1:$D$1,0),1))*IFERROR(IF(AB42="","",(AVERAGE(E42:F42)-AB42)-Variables!$B$14),"")/365)+(L42/16.67*INDEX(Variables!$B$8:$D$8,IFERROR(MATCH(IF($B42="Robusta","Robusta",(IF($B42="","Arabica",$B42))&amp;" - "&amp;(IF($C42="","Commercial",$C42))),Variables!$B$1:$D$1,0),1))*IFERROR(IF(AB42="","",(AVERAGE(E42:F42)-AB42)-Variables!$B$14),""))+(W42*INDEX(Variables!$B$9:$D$9,IFERROR(MATCH(IF($B42="Robusta","Robusta",(IF($B42="","Arabica",$B42))&amp;" - "&amp;(IF($C42="","Commercial",$C42))),Variables!$B$1:$D$1,0),1))*IFERROR(IF(AB42="","",(AVERAGE(E42:F42)-AB42)-Variables!$B$14),"")/365),""))</f>
        <v>-6699.3902711456149</v>
      </c>
      <c r="BH42" s="44">
        <f>IF($AX42="Cancelled","",IFERROR((W42*INDEX(Variables!$B$7:$D$7,IFERROR(MATCH(IF($B42="Robusta","Robusta",(IF($B42="","Arabica",$B42))&amp;" - "&amp;(IF($C42="","Commercial",$C42))),Variables!$B$1:$D$1,0),1))*AK42/365)+(L42/16.67*INDEX(Variables!$B$8:$D$8,IFERROR(MATCH(IF($B42="Robusta","Robusta",(IF($B42="","Arabica",$B42))&amp;" - "&amp;(IF($C42="","Commercial",$C42))),Variables!$B$1:$D$1,0),1))*AK42)+(W42*INDEX(Variables!$B$9:$D$9,IFERROR(MATCH(IF($B42="Robusta","Robusta",(IF($B42="","Arabica",$B42))&amp;" - "&amp;(IF($C42="","Commercial",$C42))),Variables!$B$1:$D$1,0),1))*AK42/365),""))</f>
        <v>5517.1449291787421</v>
      </c>
      <c r="BI42" s="44">
        <f>IF($AX42="Cancelled","",IFERROR((W42*INDEX(Variables!$B$7:$D$7,IFERROR(MATCH(IF($B42="Robusta","Robusta",(IF($B42="","Arabica",$B42))&amp;" - "&amp;(IF($C42="","Commercial",$C42))),Variables!$B$1:$D$1,0),1))*BD42/365)+(L42/16.67*INDEX(Variables!$B$8:$D$8,IFERROR(MATCH(IF($B42="Robusta","Robusta",(IF($B42="","Arabica",$B42))&amp;" - "&amp;(IF($C42="","Commercial",$C42))),Variables!$B$1:$D$1,0),1))*BD42)+(W42*INDEX(Variables!$B$9:$D$9,IFERROR(MATCH(IF($B42="Robusta","Robusta",(IF($B42="","Arabica",$B42))&amp;" - "&amp;(IF($C42="","Commercial",$C42))),Variables!$B$1:$D$1,0),1))*BD42/365),""))</f>
        <v>1182.2453419668734</v>
      </c>
      <c r="BJ42" s="44">
        <f t="shared" si="2"/>
        <v>-3</v>
      </c>
      <c r="BK42" s="44">
        <f>IF($AX42="Cancelled","",IFERROR(IF(BJ42="","",(W42*INDEX(Variables!$B$7:$D$7,IFERROR(MATCH(IF($B42="Robusta","Robusta",(IF($B42="","Arabica",$B42))&amp;" - "&amp;(IF($C42="","Commercial",$C42))),Variables!$B$1:$D$1,0),1))*(BJ42/365))+(W42*INDEX(Variables!$B$9:$D$9,IFERROR(MATCH(IF($B42="Robusta","Robusta",(IF($B42="","Arabica",$B42))&amp;" - "&amp;(IF($C42="","Commercial",$C42))),Variables!$B$1:$D$1,0),1))*(BJ42/365))+(INDEX(Variables!$B$8:$D$8,IFERROR(MATCH(IF($B42="Robusta","Robusta",(IF($B42="","Arabica",$B42))&amp;" - "&amp;(IF($C42="","Commercial",$C42))),Variables!$B$1:$D$1,0),1))*L42/16.67)),""))</f>
        <v>-582.2453419668733</v>
      </c>
    </row>
    <row r="43" spans="1:63">
      <c r="A43" s="13" t="s">
        <v>103</v>
      </c>
      <c r="B43" s="13" t="s">
        <v>104</v>
      </c>
      <c r="C43" s="13" t="s">
        <v>105</v>
      </c>
      <c r="D43" s="31">
        <v>45617</v>
      </c>
      <c r="E43" s="31">
        <v>45658</v>
      </c>
      <c r="F43" s="31">
        <v>45688</v>
      </c>
      <c r="G43" s="13">
        <v>3786554</v>
      </c>
      <c r="H43" s="13" t="s">
        <v>266</v>
      </c>
      <c r="J43" s="13" t="s">
        <v>118</v>
      </c>
      <c r="K43" s="13" t="s">
        <v>275</v>
      </c>
      <c r="L43" s="13">
        <v>333</v>
      </c>
      <c r="M43" s="13">
        <v>1</v>
      </c>
      <c r="N43" s="13" t="s">
        <v>268</v>
      </c>
      <c r="O43" s="13" t="s">
        <v>269</v>
      </c>
      <c r="P43" s="13">
        <v>10310</v>
      </c>
      <c r="Q43" s="59" t="s">
        <v>270</v>
      </c>
      <c r="R43" s="13" t="s">
        <v>271</v>
      </c>
      <c r="S43" s="13" t="s">
        <v>276</v>
      </c>
      <c r="T43" s="13" t="s">
        <v>112</v>
      </c>
      <c r="U43" s="13" t="s">
        <v>113</v>
      </c>
      <c r="V43" s="13">
        <v>53</v>
      </c>
      <c r="W43" s="44">
        <f>IF($AX43="Cancelled","",IFERROR(((V43+INDEX(Variables!$B$6:$D$6,IFERROR(MATCH(IF($B43="Robusta","Robusta",(IF($B43="","Arabica",$B43))&amp;" - "&amp;(IF($C43="","Commercial",$C43))),Variables!$B$1:$D$1,0),1)))*22.0462)*(L43/16.67),""))</f>
        <v>151407.79996880621</v>
      </c>
      <c r="X43" s="55" t="s">
        <v>37</v>
      </c>
      <c r="Y43" s="13" t="str">
        <f>IF($AX43="Cancelled","",IF(X43="","",IFERROR(IF(INDEX(Variables!$B$38:$B$47,MATCH(X43,Variables!$A$38:$A$47,0))="Yes","Yes","No"),"No")))</f>
        <v>Yes</v>
      </c>
      <c r="Z43" s="58">
        <v>45650</v>
      </c>
      <c r="AB43" s="31">
        <v>45660</v>
      </c>
      <c r="AC43" s="13" t="str">
        <f t="shared" si="0"/>
        <v>Approved</v>
      </c>
      <c r="AF43" s="71">
        <v>45678</v>
      </c>
      <c r="AG43" s="35">
        <f>IF($AX43="Cancelled","",IFERROR(IF(F43="","",F43-Variables!$B$13),""))</f>
        <v>45673</v>
      </c>
      <c r="AH43" s="13">
        <f>IF($AX43="Cancelled","",IFERROR(IF(AB43="","",(AVERAGE(E43:F43)-AB43)-Variables!$B$14),""))</f>
        <v>-17</v>
      </c>
      <c r="AJ43" s="47">
        <v>45678</v>
      </c>
      <c r="AK43" s="14">
        <f>IF($AX43="Cancelled","",IFERROR(IF(AJ43="","",IF(AND(AB43="",AF43=""),"",IF(AF43&gt;AB43,AF43+Variables!$B$15+Variables!$B$16+Variables!$B$17-AJ43,AB43+Variables!$B$16+Variables!$B$17-AJ43))),""))</f>
        <v>15</v>
      </c>
      <c r="AL43" s="48" t="s">
        <v>114</v>
      </c>
      <c r="AM43" s="13" t="s">
        <v>134</v>
      </c>
      <c r="AN43" s="13" t="s">
        <v>273</v>
      </c>
      <c r="AP43" s="31">
        <v>45691</v>
      </c>
      <c r="AR43" s="13" t="s">
        <v>274</v>
      </c>
      <c r="AS43" s="31">
        <v>45691</v>
      </c>
      <c r="AU43" s="31">
        <v>45693</v>
      </c>
      <c r="AV43" s="13" t="s">
        <v>865</v>
      </c>
      <c r="AW43" s="31">
        <v>45698</v>
      </c>
      <c r="AX43" s="13" t="str">
        <f>IF(ISNUMBER(SEARCH("cancel",#REF!)),"Cancelled",IF(AND(AS43&lt;&gt;"",AU43&lt;&gt;"",AW43&lt;&gt;""),"Closed","Open"))</f>
        <v>Closed</v>
      </c>
      <c r="AY43" s="15" t="str">
        <f t="shared" si="1"/>
        <v>All dates received</v>
      </c>
      <c r="BD43" s="13">
        <f>IF($AX43="Cancelled","",IFERROR(IF(OR(AS43="",AJ43=""),"",(AJ43+Variables!$B$18-AS43)),""))</f>
        <v>2</v>
      </c>
      <c r="BE43" s="13">
        <f>IF($AX43="Cancelled","",IFERROR(IF(OR(AW43="",AS43=""),"",(AS43+Variables!$B$19)-AW43),""))</f>
        <v>-2</v>
      </c>
      <c r="BF43" s="44">
        <f>IF($AX43="Cancelled","",IFERROR(W43*INDEX(Variables!$B$7:$D$7,IFERROR(MATCH(IF($B43="Robusta","Robusta",(IF($B43="","Arabica",$B43))&amp;" - "&amp;(IF($C43="","Commercial",$C43))),Variables!$B$1:$D$1,0),1))*(BE43/365),""))</f>
        <v>-53.49648240629346</v>
      </c>
      <c r="BG43" s="44">
        <f>IF($AX43="Cancelled","",IFERROR((W43*INDEX(Variables!$B$7:$D$7,IFERROR(MATCH(IF($B43="Robusta","Robusta",(IF($B43="","Arabica",$B43))&amp;" - "&amp;(IF($C43="","Commercial",$C43))),Variables!$B$1:$D$1,0),1))*IFERROR(IF(AB43="","",(AVERAGE(E43:F43)-AB43)-Variables!$B$14),"")/365)+(L43/16.67*INDEX(Variables!$B$8:$D$8,IFERROR(MATCH(IF($B43="Robusta","Robusta",(IF($B43="","Arabica",$B43))&amp;" - "&amp;(IF($C43="","Commercial",$C43))),Variables!$B$1:$D$1,0),1))*IFERROR(IF(AB43="","",(AVERAGE(E43:F43)-AB43)-Variables!$B$14),""))+(W43*INDEX(Variables!$B$9:$D$9,IFERROR(MATCH(IF($B43="Robusta","Robusta",(IF($B43="","Arabica",$B43))&amp;" - "&amp;(IF($C43="","Commercial",$C43))),Variables!$B$1:$D$1,0),1))*IFERROR(IF(AB43="","",(AVERAGE(E43:F43)-AB43)-Variables!$B$14),"")/365),""))</f>
        <v>-743.63232009716342</v>
      </c>
      <c r="BH43" s="44">
        <f>IF($AX43="Cancelled","",IFERROR((W43*INDEX(Variables!$B$7:$D$7,IFERROR(MATCH(IF($B43="Robusta","Robusta",(IF($B43="","Arabica",$B43))&amp;" - "&amp;(IF($C43="","Commercial",$C43))),Variables!$B$1:$D$1,0),1))*AK43/365)+(L43/16.67*INDEX(Variables!$B$8:$D$8,IFERROR(MATCH(IF($B43="Robusta","Robusta",(IF($B43="","Arabica",$B43))&amp;" - "&amp;(IF($C43="","Commercial",$C43))),Variables!$B$1:$D$1,0),1))*AK43)+(W43*INDEX(Variables!$B$9:$D$9,IFERROR(MATCH(IF($B43="Robusta","Robusta",(IF($B43="","Arabica",$B43))&amp;" - "&amp;(IF($C43="","Commercial",$C43))),Variables!$B$1:$D$1,0),1))*AK43/365),""))</f>
        <v>656.14616479161475</v>
      </c>
      <c r="BI43" s="44">
        <f>IF($AX43="Cancelled","",IFERROR((W43*INDEX(Variables!$B$7:$D$7,IFERROR(MATCH(IF($B43="Robusta","Robusta",(IF($B43="","Arabica",$B43))&amp;" - "&amp;(IF($C43="","Commercial",$C43))),Variables!$B$1:$D$1,0),1))*BD43/365)+(L43/16.67*INDEX(Variables!$B$8:$D$8,IFERROR(MATCH(IF($B43="Robusta","Robusta",(IF($B43="","Arabica",$B43))&amp;" - "&amp;(IF($C43="","Commercial",$C43))),Variables!$B$1:$D$1,0),1))*BD43)+(W43*INDEX(Variables!$B$9:$D$9,IFERROR(MATCH(IF($B43="Robusta","Robusta",(IF($B43="","Arabica",$B43))&amp;" - "&amp;(IF($C43="","Commercial",$C43))),Variables!$B$1:$D$1,0),1))*BD43/365),""))</f>
        <v>87.486155305548621</v>
      </c>
      <c r="BJ43" s="44">
        <f t="shared" si="2"/>
        <v>-3</v>
      </c>
      <c r="BK43" s="44">
        <f>IF($AX43="Cancelled","",IFERROR(IF(BJ43="","",(W43*INDEX(Variables!$B$7:$D$7,IFERROR(MATCH(IF($B43="Robusta","Robusta",(IF($B43="","Arabica",$B43))&amp;" - "&amp;(IF($C43="","Commercial",$C43))),Variables!$B$1:$D$1,0),1))*(BJ43/365))+(W43*INDEX(Variables!$B$9:$D$9,IFERROR(MATCH(IF($B43="Robusta","Robusta",(IF($B43="","Arabica",$B43))&amp;" - "&amp;(IF($C43="","Commercial",$C43))),Variables!$B$1:$D$1,0),1))*(BJ43/365))+(INDEX(Variables!$B$8:$D$8,IFERROR(MATCH(IF($B43="Robusta","Robusta",(IF($B43="","Arabica",$B43))&amp;" - "&amp;(IF($C43="","Commercial",$C43))),Variables!$B$1:$D$1,0),1))*L43/16.67)),""))</f>
        <v>-64.629232958322916</v>
      </c>
    </row>
    <row r="44" spans="1:63">
      <c r="A44" s="13" t="s">
        <v>103</v>
      </c>
      <c r="B44" s="13" t="s">
        <v>104</v>
      </c>
      <c r="C44" s="13" t="s">
        <v>105</v>
      </c>
      <c r="D44" s="31">
        <v>45617</v>
      </c>
      <c r="E44" s="31">
        <v>45689</v>
      </c>
      <c r="F44" s="31">
        <v>45716</v>
      </c>
      <c r="G44" s="13">
        <v>3786555</v>
      </c>
      <c r="H44" s="13" t="s">
        <v>277</v>
      </c>
      <c r="J44" s="13" t="s">
        <v>118</v>
      </c>
      <c r="K44" s="13" t="s">
        <v>278</v>
      </c>
      <c r="L44" s="13">
        <v>335</v>
      </c>
      <c r="M44" s="13">
        <v>1</v>
      </c>
      <c r="N44" s="13" t="s">
        <v>279</v>
      </c>
      <c r="O44" s="13" t="s">
        <v>269</v>
      </c>
      <c r="P44" s="13">
        <v>10310</v>
      </c>
      <c r="Q44" s="59" t="s">
        <v>270</v>
      </c>
      <c r="R44" s="13" t="s">
        <v>271</v>
      </c>
      <c r="S44" s="13" t="s">
        <v>280</v>
      </c>
      <c r="T44" s="13" t="s">
        <v>112</v>
      </c>
      <c r="U44" s="13" t="s">
        <v>113</v>
      </c>
      <c r="V44" s="13">
        <v>53</v>
      </c>
      <c r="W44" s="44">
        <f>IF($AX44="Cancelled","",IFERROR(((V44+INDEX(Variables!$B$6:$D$6,IFERROR(MATCH(IF($B44="Robusta","Robusta",(IF($B44="","Arabica",$B44))&amp;" - "&amp;(IF($C44="","Commercial",$C44))),Variables!$B$1:$D$1,0),1)))*22.0462)*(L44/16.67),""))</f>
        <v>152317.15612477501</v>
      </c>
      <c r="X44" s="55" t="s">
        <v>37</v>
      </c>
      <c r="Y44" s="13" t="str">
        <f>IF($AX44="Cancelled","",IF(X44="","",IFERROR(IF(INDEX(Variables!$B$38:$B$47,MATCH(X44,Variables!$A$38:$A$47,0))="Yes","Yes","No"),"No")))</f>
        <v>Yes</v>
      </c>
      <c r="Z44" s="58">
        <v>45667</v>
      </c>
      <c r="AB44" s="31">
        <v>45677</v>
      </c>
      <c r="AC44" s="13" t="str">
        <f t="shared" si="0"/>
        <v>Approved</v>
      </c>
      <c r="AF44" s="71">
        <v>45686</v>
      </c>
      <c r="AG44" s="35">
        <f>IF($AX44="Cancelled","",IFERROR(IF(F44="","",F44-Variables!$B$13),""))</f>
        <v>45701</v>
      </c>
      <c r="AH44" s="13">
        <f>IF($AX44="Cancelled","",IFERROR(IF(AB44="","",(AVERAGE(E44:F44)-AB44)-Variables!$B$14),""))</f>
        <v>-4.5</v>
      </c>
      <c r="AJ44" s="47">
        <v>45685</v>
      </c>
      <c r="AK44" s="14">
        <f>IF($AX44="Cancelled","",IFERROR(IF(AJ44="","",IF(AND(AB44="",AF44=""),"",IF(AF44&gt;AB44,AF44+Variables!$B$15+Variables!$B$16+Variables!$B$17-AJ44,AB44+Variables!$B$16+Variables!$B$17-AJ44))),""))</f>
        <v>16</v>
      </c>
      <c r="AL44" s="48" t="s">
        <v>114</v>
      </c>
      <c r="AM44" s="13" t="s">
        <v>115</v>
      </c>
      <c r="AN44" s="13" t="s">
        <v>281</v>
      </c>
      <c r="AP44" s="31">
        <v>45702</v>
      </c>
      <c r="AR44" s="13">
        <v>249385716</v>
      </c>
      <c r="AS44" s="31">
        <v>45702</v>
      </c>
      <c r="AU44" s="31">
        <v>45705</v>
      </c>
      <c r="AV44" s="13" t="s">
        <v>865</v>
      </c>
      <c r="AW44" s="31">
        <v>45705</v>
      </c>
      <c r="AX44" s="13" t="str">
        <f>IF(ISNUMBER(SEARCH("cancel",#REF!)),"Cancelled",IF(AND(AS44&lt;&gt;"",AU44&lt;&gt;"",AW44&lt;&gt;""),"Closed","Open"))</f>
        <v>Closed</v>
      </c>
      <c r="AY44" s="15" t="str">
        <f t="shared" si="1"/>
        <v>All dates received</v>
      </c>
      <c r="BD44" s="13">
        <f>IF($AX44="Cancelled","",IFERROR(IF(OR(AS44="",AJ44=""),"",(AJ44+Variables!$B$18-AS44)),""))</f>
        <v>-2</v>
      </c>
      <c r="BE44" s="13">
        <f>IF($AX44="Cancelled","",IFERROR(IF(OR(AW44="",AS44=""),"",(AS44+Variables!$B$19)-AW44),""))</f>
        <v>2</v>
      </c>
      <c r="BF44" s="44">
        <f>IF($AX44="Cancelled","",IFERROR(W44*INDEX(Variables!$B$7:$D$7,IFERROR(MATCH(IF($B44="Robusta","Robusta",(IF($B44="","Arabica",$B44))&amp;" - "&amp;(IF($C44="","Commercial",$C44))),Variables!$B$1:$D$1,0),1))*(BE44/365),""))</f>
        <v>53.817782600925852</v>
      </c>
      <c r="BG44" s="44">
        <f>IF($AX44="Cancelled","",IFERROR((W44*INDEX(Variables!$B$7:$D$7,IFERROR(MATCH(IF($B44="Robusta","Robusta",(IF($B44="","Arabica",$B44))&amp;" - "&amp;(IF($C44="","Commercial",$C44))),Variables!$B$1:$D$1,0),1))*IFERROR(IF(AB44="","",(AVERAGE(E44:F44)-AB44)-Variables!$B$14),"")/365)+(L44/16.67*INDEX(Variables!$B$8:$D$8,IFERROR(MATCH(IF($B44="Robusta","Robusta",(IF($B44="","Arabica",$B44))&amp;" - "&amp;(IF($C44="","Commercial",$C44))),Variables!$B$1:$D$1,0),1))*IFERROR(IF(AB44="","",(AVERAGE(E44:F44)-AB44)-Variables!$B$14),""))+(W44*INDEX(Variables!$B$9:$D$9,IFERROR(MATCH(IF($B44="Robusta","Robusta",(IF($B44="","Arabica",$B44))&amp;" - "&amp;(IF($C44="","Commercial",$C44))),Variables!$B$1:$D$1,0),1))*IFERROR(IF(AB44="","",(AVERAGE(E44:F44)-AB44)-Variables!$B$14),"")/365),""))</f>
        <v>-198.02609477945128</v>
      </c>
      <c r="BH44" s="44">
        <f>IF($AX44="Cancelled","",IFERROR((W44*INDEX(Variables!$B$7:$D$7,IFERROR(MATCH(IF($B44="Robusta","Robusta",(IF($B44="","Arabica",$B44))&amp;" - "&amp;(IF($C44="","Commercial",$C44))),Variables!$B$1:$D$1,0),1))*AK44/365)+(L44/16.67*INDEX(Variables!$B$8:$D$8,IFERROR(MATCH(IF($B44="Robusta","Robusta",(IF($B44="","Arabica",$B44))&amp;" - "&amp;(IF($C44="","Commercial",$C44))),Variables!$B$1:$D$1,0),1))*AK44)+(W44*INDEX(Variables!$B$9:$D$9,IFERROR(MATCH(IF($B44="Robusta","Robusta",(IF($B44="","Arabica",$B44))&amp;" - "&amp;(IF($C44="","Commercial",$C44))),Variables!$B$1:$D$1,0),1))*AK44/365),""))</f>
        <v>704.09278143804909</v>
      </c>
      <c r="BI44" s="44">
        <f>IF($AX44="Cancelled","",IFERROR((W44*INDEX(Variables!$B$7:$D$7,IFERROR(MATCH(IF($B44="Robusta","Robusta",(IF($B44="","Arabica",$B44))&amp;" - "&amp;(IF($C44="","Commercial",$C44))),Variables!$B$1:$D$1,0),1))*BD44/365)+(L44/16.67*INDEX(Variables!$B$8:$D$8,IFERROR(MATCH(IF($B44="Robusta","Robusta",(IF($B44="","Arabica",$B44))&amp;" - "&amp;(IF($C44="","Commercial",$C44))),Variables!$B$1:$D$1,0),1))*BD44)+(W44*INDEX(Variables!$B$9:$D$9,IFERROR(MATCH(IF($B44="Robusta","Robusta",(IF($B44="","Arabica",$B44))&amp;" - "&amp;(IF($C44="","Commercial",$C44))),Variables!$B$1:$D$1,0),1))*BD44/365),""))</f>
        <v>-88.011597679756136</v>
      </c>
      <c r="BJ44" s="44">
        <f t="shared" si="2"/>
        <v>14</v>
      </c>
      <c r="BK44" s="44">
        <f>IF($AX44="Cancelled","",IFERROR(IF(BJ44="","",(W44*INDEX(Variables!$B$7:$D$7,IFERROR(MATCH(IF($B44="Robusta","Robusta",(IF($B44="","Arabica",$B44))&amp;" - "&amp;(IF($C44="","Commercial",$C44))),Variables!$B$1:$D$1,0),1))*(BJ44/365))+(W44*INDEX(Variables!$B$9:$D$9,IFERROR(MATCH(IF($B44="Robusta","Robusta",(IF($B44="","Arabica",$B44))&amp;" - "&amp;(IF($C44="","Commercial",$C44))),Variables!$B$1:$D$1,0),1))*(BJ44/365))+(INDEX(Variables!$B$8:$D$8,IFERROR(MATCH(IF($B44="Robusta","Robusta",(IF($B44="","Arabica",$B44))&amp;" - "&amp;(IF($C44="","Commercial",$C44))),Variables!$B$1:$D$1,0),1))*L44/16.67)),""))</f>
        <v>398.33118375829292</v>
      </c>
    </row>
    <row r="45" spans="1:63">
      <c r="A45" s="13" t="s">
        <v>103</v>
      </c>
      <c r="B45" s="13" t="s">
        <v>104</v>
      </c>
      <c r="C45" s="13" t="s">
        <v>105</v>
      </c>
      <c r="D45" s="31">
        <v>45617</v>
      </c>
      <c r="E45" s="31">
        <v>45689</v>
      </c>
      <c r="F45" s="31">
        <v>45716</v>
      </c>
      <c r="G45" s="13">
        <v>3786555</v>
      </c>
      <c r="H45" s="13" t="s">
        <v>277</v>
      </c>
      <c r="J45" s="13" t="s">
        <v>118</v>
      </c>
      <c r="K45" s="13" t="s">
        <v>282</v>
      </c>
      <c r="L45" s="13">
        <v>666</v>
      </c>
      <c r="M45" s="13">
        <v>2</v>
      </c>
      <c r="N45" s="13" t="s">
        <v>279</v>
      </c>
      <c r="O45" s="13" t="s">
        <v>269</v>
      </c>
      <c r="P45" s="13">
        <v>10310</v>
      </c>
      <c r="Q45" s="59" t="s">
        <v>270</v>
      </c>
      <c r="R45" s="13" t="s">
        <v>271</v>
      </c>
      <c r="S45" s="13" t="s">
        <v>283</v>
      </c>
      <c r="T45" s="13" t="s">
        <v>112</v>
      </c>
      <c r="U45" s="13" t="s">
        <v>113</v>
      </c>
      <c r="V45" s="13">
        <v>53</v>
      </c>
      <c r="W45" s="44">
        <f>IF($AX45="Cancelled","",IFERROR(((V45+INDEX(Variables!$B$6:$D$6,IFERROR(MATCH(IF($B45="Robusta","Robusta",(IF($B45="","Arabica",$B45))&amp;" - "&amp;(IF($C45="","Commercial",$C45))),Variables!$B$1:$D$1,0),1)))*22.0462)*(L45/16.67),""))</f>
        <v>302815.59993761242</v>
      </c>
      <c r="X45" s="55" t="s">
        <v>37</v>
      </c>
      <c r="Y45" s="13" t="str">
        <f>IF($AX45="Cancelled","",IF(X45="","",IFERROR(IF(INDEX(Variables!$B$38:$B$47,MATCH(X45,Variables!$A$38:$A$47,0))="Yes","Yes","No"),"No")))</f>
        <v>Yes</v>
      </c>
      <c r="Z45" s="58">
        <v>45667</v>
      </c>
      <c r="AB45" s="31">
        <v>45677</v>
      </c>
      <c r="AC45" s="13" t="str">
        <f t="shared" si="0"/>
        <v>Approved</v>
      </c>
      <c r="AF45" s="71">
        <v>45686</v>
      </c>
      <c r="AG45" s="35">
        <f>IF($AX45="Cancelled","",IFERROR(IF(F45="","",F45-Variables!$B$13),""))</f>
        <v>45701</v>
      </c>
      <c r="AH45" s="13">
        <f>IF($AX45="Cancelled","",IFERROR(IF(AB45="","",(AVERAGE(E45:F45)-AB45)-Variables!$B$14),""))</f>
        <v>-4.5</v>
      </c>
      <c r="AJ45" s="47">
        <v>45686</v>
      </c>
      <c r="AK45" s="14">
        <f>IF($AX45="Cancelled","",IFERROR(IF(AJ45="","",IF(AND(AB45="",AF45=""),"",IF(AF45&gt;AB45,AF45+Variables!$B$15+Variables!$B$16+Variables!$B$17-AJ45,AB45+Variables!$B$16+Variables!$B$17-AJ45))),""))</f>
        <v>15</v>
      </c>
      <c r="AL45" s="48" t="s">
        <v>114</v>
      </c>
      <c r="AM45" s="13" t="s">
        <v>115</v>
      </c>
      <c r="AN45" s="13" t="s">
        <v>281</v>
      </c>
      <c r="AP45" s="31">
        <v>45702</v>
      </c>
      <c r="AR45" s="13">
        <v>249385716</v>
      </c>
      <c r="AS45" s="31">
        <v>45710</v>
      </c>
      <c r="AU45" s="31">
        <v>45714</v>
      </c>
      <c r="AV45" s="13" t="s">
        <v>865</v>
      </c>
      <c r="AW45" s="31">
        <v>45714</v>
      </c>
      <c r="AX45" s="13" t="str">
        <f>IF(ISNUMBER(SEARCH("cancel",#REF!)),"Cancelled",IF(AND(AS45&lt;&gt;"",AU45&lt;&gt;"",AW45&lt;&gt;""),"Closed","Open"))</f>
        <v>Closed</v>
      </c>
      <c r="AY45" s="15" t="str">
        <f t="shared" si="1"/>
        <v>All dates received</v>
      </c>
      <c r="BD45" s="13">
        <f>IF($AX45="Cancelled","",IFERROR(IF(OR(AS45="",AJ45=""),"",(AJ45+Variables!$B$18-AS45)),""))</f>
        <v>-9</v>
      </c>
      <c r="BE45" s="13">
        <f>IF($AX45="Cancelled","",IFERROR(IF(OR(AW45="",AS45=""),"",(AS45+Variables!$B$19)-AW45),""))</f>
        <v>1</v>
      </c>
      <c r="BF45" s="44">
        <f>IF($AX45="Cancelled","",IFERROR(W45*INDEX(Variables!$B$7:$D$7,IFERROR(MATCH(IF($B45="Robusta","Robusta",(IF($B45="","Arabica",$B45))&amp;" - "&amp;(IF($C45="","Commercial",$C45))),Variables!$B$1:$D$1,0),1))*(BE45/365),""))</f>
        <v>53.49648240629346</v>
      </c>
      <c r="BG45" s="44">
        <f>IF($AX45="Cancelled","",IFERROR((W45*INDEX(Variables!$B$7:$D$7,IFERROR(MATCH(IF($B45="Robusta","Robusta",(IF($B45="","Arabica",$B45))&amp;" - "&amp;(IF($C45="","Commercial",$C45))),Variables!$B$1:$D$1,0),1))*IFERROR(IF(AB45="","",(AVERAGE(E45:F45)-AB45)-Variables!$B$14),"")/365)+(L45/16.67*INDEX(Variables!$B$8:$D$8,IFERROR(MATCH(IF($B45="Robusta","Robusta",(IF($B45="","Arabica",$B45))&amp;" - "&amp;(IF($C45="","Commercial",$C45))),Variables!$B$1:$D$1,0),1))*IFERROR(IF(AB45="","",(AVERAGE(E45:F45)-AB45)-Variables!$B$14),""))+(W45*INDEX(Variables!$B$9:$D$9,IFERROR(MATCH(IF($B45="Robusta","Robusta",(IF($B45="","Arabica",$B45))&amp;" - "&amp;(IF($C45="","Commercial",$C45))),Variables!$B$1:$D$1,0),1))*IFERROR(IF(AB45="","",(AVERAGE(E45:F45)-AB45)-Variables!$B$14),"")/365),""))</f>
        <v>-393.68769887496882</v>
      </c>
      <c r="BH45" s="44">
        <f>IF($AX45="Cancelled","",IFERROR((W45*INDEX(Variables!$B$7:$D$7,IFERROR(MATCH(IF($B45="Robusta","Robusta",(IF($B45="","Arabica",$B45))&amp;" - "&amp;(IF($C45="","Commercial",$C45))),Variables!$B$1:$D$1,0),1))*AK45/365)+(L45/16.67*INDEX(Variables!$B$8:$D$8,IFERROR(MATCH(IF($B45="Robusta","Robusta",(IF($B45="","Arabica",$B45))&amp;" - "&amp;(IF($C45="","Commercial",$C45))),Variables!$B$1:$D$1,0),1))*AK45)+(W45*INDEX(Variables!$B$9:$D$9,IFERROR(MATCH(IF($B45="Robusta","Robusta",(IF($B45="","Arabica",$B45))&amp;" - "&amp;(IF($C45="","Commercial",$C45))),Variables!$B$1:$D$1,0),1))*AK45/365),""))</f>
        <v>1312.2923295832295</v>
      </c>
      <c r="BI45" s="44">
        <f>IF($AX45="Cancelled","",IFERROR((W45*INDEX(Variables!$B$7:$D$7,IFERROR(MATCH(IF($B45="Robusta","Robusta",(IF($B45="","Arabica",$B45))&amp;" - "&amp;(IF($C45="","Commercial",$C45))),Variables!$B$1:$D$1,0),1))*BD45/365)+(L45/16.67*INDEX(Variables!$B$8:$D$8,IFERROR(MATCH(IF($B45="Robusta","Robusta",(IF($B45="","Arabica",$B45))&amp;" - "&amp;(IF($C45="","Commercial",$C45))),Variables!$B$1:$D$1,0),1))*BD45)+(W45*INDEX(Variables!$B$9:$D$9,IFERROR(MATCH(IF($B45="Robusta","Robusta",(IF($B45="","Arabica",$B45))&amp;" - "&amp;(IF($C45="","Commercial",$C45))),Variables!$B$1:$D$1,0),1))*BD45/365),""))</f>
        <v>-787.37539774993763</v>
      </c>
      <c r="BJ45" s="44">
        <f t="shared" si="2"/>
        <v>6</v>
      </c>
      <c r="BK45" s="44">
        <f>IF($AX45="Cancelled","",IFERROR(IF(BJ45="","",(W45*INDEX(Variables!$B$7:$D$7,IFERROR(MATCH(IF($B45="Robusta","Robusta",(IF($B45="","Arabica",$B45))&amp;" - "&amp;(IF($C45="","Commercial",$C45))),Variables!$B$1:$D$1,0),1))*(BJ45/365))+(W45*INDEX(Variables!$B$9:$D$9,IFERROR(MATCH(IF($B45="Robusta","Robusta",(IF($B45="","Arabica",$B45))&amp;" - "&amp;(IF($C45="","Commercial",$C45))),Variables!$B$1:$D$1,0),1))*(BJ45/365))+(INDEX(Variables!$B$8:$D$8,IFERROR(MATCH(IF($B45="Robusta","Robusta",(IF($B45="","Arabica",$B45))&amp;" - "&amp;(IF($C45="","Commercial",$C45))),Variables!$B$1:$D$1,0),1))*L45/16.67)),""))</f>
        <v>358.4169318332917</v>
      </c>
    </row>
    <row r="46" spans="1:63">
      <c r="A46" s="13" t="s">
        <v>103</v>
      </c>
      <c r="B46" s="13" t="s">
        <v>104</v>
      </c>
      <c r="C46" s="13" t="s">
        <v>105</v>
      </c>
      <c r="D46" s="31">
        <v>45617</v>
      </c>
      <c r="E46" s="31">
        <v>45689</v>
      </c>
      <c r="F46" s="31">
        <v>45716</v>
      </c>
      <c r="G46" s="13">
        <v>3786555</v>
      </c>
      <c r="H46" s="13" t="s">
        <v>277</v>
      </c>
      <c r="J46" s="13" t="s">
        <v>118</v>
      </c>
      <c r="K46" s="13" t="s">
        <v>284</v>
      </c>
      <c r="L46" s="13">
        <v>666</v>
      </c>
      <c r="M46" s="13">
        <v>2</v>
      </c>
      <c r="N46" s="13" t="s">
        <v>279</v>
      </c>
      <c r="O46" s="13" t="s">
        <v>269</v>
      </c>
      <c r="P46" s="13">
        <v>10310</v>
      </c>
      <c r="Q46" s="59" t="s">
        <v>270</v>
      </c>
      <c r="R46" s="13" t="s">
        <v>271</v>
      </c>
      <c r="S46" s="13" t="s">
        <v>276</v>
      </c>
      <c r="T46" s="13" t="s">
        <v>112</v>
      </c>
      <c r="U46" s="13" t="s">
        <v>113</v>
      </c>
      <c r="V46" s="13">
        <v>53</v>
      </c>
      <c r="W46" s="44">
        <f>IF($AX46="Cancelled","",IFERROR(((V46+INDEX(Variables!$B$6:$D$6,IFERROR(MATCH(IF($B46="Robusta","Robusta",(IF($B46="","Arabica",$B46))&amp;" - "&amp;(IF($C46="","Commercial",$C46))),Variables!$B$1:$D$1,0),1)))*22.0462)*(L46/16.67),""))</f>
        <v>302815.59993761242</v>
      </c>
      <c r="X46" s="55" t="s">
        <v>37</v>
      </c>
      <c r="Y46" s="13" t="str">
        <f>IF($AX46="Cancelled","",IF(X46="","",IFERROR(IF(INDEX(Variables!$B$38:$B$47,MATCH(X46,Variables!$A$38:$A$47,0))="Yes","Yes","No"),"No")))</f>
        <v>Yes</v>
      </c>
      <c r="Z46" s="58">
        <v>45667</v>
      </c>
      <c r="AB46" s="31">
        <v>45677</v>
      </c>
      <c r="AC46" s="13" t="str">
        <f t="shared" si="0"/>
        <v>Approved</v>
      </c>
      <c r="AF46" s="71">
        <v>45686</v>
      </c>
      <c r="AG46" s="35">
        <f>IF($AX46="Cancelled","",IFERROR(IF(F46="","",F46-Variables!$B$13),""))</f>
        <v>45701</v>
      </c>
      <c r="AH46" s="13">
        <f>IF($AX46="Cancelled","",IFERROR(IF(AB46="","",(AVERAGE(E46:F46)-AB46)-Variables!$B$14),""))</f>
        <v>-4.5</v>
      </c>
      <c r="AJ46" s="47">
        <v>45688</v>
      </c>
      <c r="AK46" s="14">
        <f>IF($AX46="Cancelled","",IFERROR(IF(AJ46="","",IF(AND(AB46="",AF46=""),"",IF(AF46&gt;AB46,AF46+Variables!$B$15+Variables!$B$16+Variables!$B$17-AJ46,AB46+Variables!$B$16+Variables!$B$17-AJ46))),""))</f>
        <v>13</v>
      </c>
      <c r="AL46" s="48" t="s">
        <v>114</v>
      </c>
      <c r="AM46" s="13" t="s">
        <v>115</v>
      </c>
      <c r="AN46" s="13" t="s">
        <v>281</v>
      </c>
      <c r="AP46" s="31">
        <v>45702</v>
      </c>
      <c r="AR46" s="13">
        <v>249385716</v>
      </c>
      <c r="AS46" s="31">
        <v>45701</v>
      </c>
      <c r="AU46" s="31">
        <v>45705</v>
      </c>
      <c r="AV46" s="13" t="s">
        <v>865</v>
      </c>
      <c r="AW46" s="31">
        <v>45705</v>
      </c>
      <c r="AX46" s="13" t="str">
        <f>IF(ISNUMBER(SEARCH("cancel",#REF!)),"Cancelled",IF(AND(AS46&lt;&gt;"",AU46&lt;&gt;"",AW46&lt;&gt;""),"Closed","Open"))</f>
        <v>Closed</v>
      </c>
      <c r="AY46" s="15" t="str">
        <f t="shared" si="1"/>
        <v>All dates received</v>
      </c>
      <c r="BD46" s="13">
        <f>IF($AX46="Cancelled","",IFERROR(IF(OR(AS46="",AJ46=""),"",(AJ46+Variables!$B$18-AS46)),""))</f>
        <v>2</v>
      </c>
      <c r="BE46" s="13">
        <f>IF($AX46="Cancelled","",IFERROR(IF(OR(AW46="",AS46=""),"",(AS46+Variables!$B$19)-AW46),""))</f>
        <v>1</v>
      </c>
      <c r="BF46" s="44">
        <f>IF($AX46="Cancelled","",IFERROR(W46*INDEX(Variables!$B$7:$D$7,IFERROR(MATCH(IF($B46="Robusta","Robusta",(IF($B46="","Arabica",$B46))&amp;" - "&amp;(IF($C46="","Commercial",$C46))),Variables!$B$1:$D$1,0),1))*(BE46/365),""))</f>
        <v>53.49648240629346</v>
      </c>
      <c r="BG46" s="44">
        <f>IF($AX46="Cancelled","",IFERROR((W46*INDEX(Variables!$B$7:$D$7,IFERROR(MATCH(IF($B46="Robusta","Robusta",(IF($B46="","Arabica",$B46))&amp;" - "&amp;(IF($C46="","Commercial",$C46))),Variables!$B$1:$D$1,0),1))*IFERROR(IF(AB46="","",(AVERAGE(E46:F46)-AB46)-Variables!$B$14),"")/365)+(L46/16.67*INDEX(Variables!$B$8:$D$8,IFERROR(MATCH(IF($B46="Robusta","Robusta",(IF($B46="","Arabica",$B46))&amp;" - "&amp;(IF($C46="","Commercial",$C46))),Variables!$B$1:$D$1,0),1))*IFERROR(IF(AB46="","",(AVERAGE(E46:F46)-AB46)-Variables!$B$14),""))+(W46*INDEX(Variables!$B$9:$D$9,IFERROR(MATCH(IF($B46="Robusta","Robusta",(IF($B46="","Arabica",$B46))&amp;" - "&amp;(IF($C46="","Commercial",$C46))),Variables!$B$1:$D$1,0),1))*IFERROR(IF(AB46="","",(AVERAGE(E46:F46)-AB46)-Variables!$B$14),"")/365),""))</f>
        <v>-393.68769887496882</v>
      </c>
      <c r="BH46" s="44">
        <f>IF($AX46="Cancelled","",IFERROR((W46*INDEX(Variables!$B$7:$D$7,IFERROR(MATCH(IF($B46="Robusta","Robusta",(IF($B46="","Arabica",$B46))&amp;" - "&amp;(IF($C46="","Commercial",$C46))),Variables!$B$1:$D$1,0),1))*AK46/365)+(L46/16.67*INDEX(Variables!$B$8:$D$8,IFERROR(MATCH(IF($B46="Robusta","Robusta",(IF($B46="","Arabica",$B46))&amp;" - "&amp;(IF($C46="","Commercial",$C46))),Variables!$B$1:$D$1,0),1))*AK46)+(W46*INDEX(Variables!$B$9:$D$9,IFERROR(MATCH(IF($B46="Robusta","Robusta",(IF($B46="","Arabica",$B46))&amp;" - "&amp;(IF($C46="","Commercial",$C46))),Variables!$B$1:$D$1,0),1))*AK46/365),""))</f>
        <v>1137.3200189721322</v>
      </c>
      <c r="BI46" s="44">
        <f>IF($AX46="Cancelled","",IFERROR((W46*INDEX(Variables!$B$7:$D$7,IFERROR(MATCH(IF($B46="Robusta","Robusta",(IF($B46="","Arabica",$B46))&amp;" - "&amp;(IF($C46="","Commercial",$C46))),Variables!$B$1:$D$1,0),1))*BD46/365)+(L46/16.67*INDEX(Variables!$B$8:$D$8,IFERROR(MATCH(IF($B46="Robusta","Robusta",(IF($B46="","Arabica",$B46))&amp;" - "&amp;(IF($C46="","Commercial",$C46))),Variables!$B$1:$D$1,0),1))*BD46)+(W46*INDEX(Variables!$B$9:$D$9,IFERROR(MATCH(IF($B46="Robusta","Robusta",(IF($B46="","Arabica",$B46))&amp;" - "&amp;(IF($C46="","Commercial",$C46))),Variables!$B$1:$D$1,0),1))*BD46/365),""))</f>
        <v>174.97231061109724</v>
      </c>
      <c r="BJ46" s="44">
        <f t="shared" si="2"/>
        <v>15</v>
      </c>
      <c r="BK46" s="44">
        <f>IF($AX46="Cancelled","",IFERROR(IF(BJ46="","",(W46*INDEX(Variables!$B$7:$D$7,IFERROR(MATCH(IF($B46="Robusta","Robusta",(IF($B46="","Arabica",$B46))&amp;" - "&amp;(IF($C46="","Commercial",$C46))),Variables!$B$1:$D$1,0),1))*(BJ46/365))+(W46*INDEX(Variables!$B$9:$D$9,IFERROR(MATCH(IF($B46="Robusta","Robusta",(IF($B46="","Arabica",$B46))&amp;" - "&amp;(IF($C46="","Commercial",$C46))),Variables!$B$1:$D$1,0),1))*(BJ46/365))+(INDEX(Variables!$B$8:$D$8,IFERROR(MATCH(IF($B46="Robusta","Robusta",(IF($B46="","Arabica",$B46))&amp;" - "&amp;(IF($C46="","Commercial",$C46))),Variables!$B$1:$D$1,0),1))*L46/16.67)),""))</f>
        <v>846.09232958322923</v>
      </c>
    </row>
    <row r="47" spans="1:63">
      <c r="A47" s="13" t="s">
        <v>103</v>
      </c>
      <c r="B47" s="13" t="s">
        <v>104</v>
      </c>
      <c r="C47" s="13" t="s">
        <v>105</v>
      </c>
      <c r="D47" s="31">
        <v>45631</v>
      </c>
      <c r="E47" s="31">
        <v>45717</v>
      </c>
      <c r="F47" s="31">
        <v>45747</v>
      </c>
      <c r="G47" s="13">
        <v>3786556</v>
      </c>
      <c r="H47" s="13" t="s">
        <v>285</v>
      </c>
      <c r="J47" s="13" t="s">
        <v>118</v>
      </c>
      <c r="K47" s="13" t="s">
        <v>286</v>
      </c>
      <c r="L47" s="13">
        <v>666</v>
      </c>
      <c r="M47" s="13">
        <v>2</v>
      </c>
      <c r="N47" s="13" t="s">
        <v>287</v>
      </c>
      <c r="O47" s="13" t="s">
        <v>269</v>
      </c>
      <c r="P47" s="13">
        <v>10310</v>
      </c>
      <c r="Q47" s="59" t="s">
        <v>270</v>
      </c>
      <c r="R47" s="13" t="s">
        <v>271</v>
      </c>
      <c r="S47" s="13" t="s">
        <v>288</v>
      </c>
      <c r="T47" s="13" t="s">
        <v>289</v>
      </c>
      <c r="U47" s="13" t="s">
        <v>182</v>
      </c>
      <c r="V47" s="13">
        <v>58</v>
      </c>
      <c r="W47" s="44">
        <f>IF($AX47="Cancelled","",IFERROR(((V47+INDEX(Variables!$B$6:$D$6,IFERROR(MATCH(IF($B47="Robusta","Robusta",(IF($B47="","Arabica",$B47))&amp;" - "&amp;(IF($C47="","Commercial",$C47))),Variables!$B$1:$D$1,0),1)))*22.0462)*(L47/16.67),""))</f>
        <v>307219.54990761844</v>
      </c>
      <c r="X47" s="55" t="s">
        <v>37</v>
      </c>
      <c r="Y47" s="13" t="str">
        <f>IF($AX47="Cancelled","",IF(X47="","",IFERROR(IF(INDEX(Variables!$B$38:$B$47,MATCH(X47,Variables!$A$38:$A$47,0))="Yes","Yes","No"),"No")))</f>
        <v>Yes</v>
      </c>
      <c r="Z47" s="58">
        <v>45687</v>
      </c>
      <c r="AB47" s="31">
        <v>45688</v>
      </c>
      <c r="AC47" s="13" t="str">
        <f t="shared" si="0"/>
        <v>Approved</v>
      </c>
      <c r="AF47" s="71">
        <v>45716</v>
      </c>
      <c r="AG47" s="35">
        <f>IF($AX47="Cancelled","",IFERROR(IF(F47="","",F47-Variables!$B$13),""))</f>
        <v>45732</v>
      </c>
      <c r="AH47" s="13">
        <f>IF($AX47="Cancelled","",IFERROR(IF(AB47="","",(AVERAGE(E47:F47)-AB47)-Variables!$B$14),""))</f>
        <v>14</v>
      </c>
      <c r="AJ47" s="47">
        <v>45717</v>
      </c>
      <c r="AK47" s="14">
        <f>IF($AX47="Cancelled","",IFERROR(IF(AJ47="","",IF(AND(AB47="",AF47=""),"",IF(AF47&gt;AB47,AF47+Variables!$B$15+Variables!$B$16+Variables!$B$17-AJ47,AB47+Variables!$B$16+Variables!$B$17-AJ47))),""))</f>
        <v>14</v>
      </c>
      <c r="AL47" s="48" t="s">
        <v>114</v>
      </c>
      <c r="AM47" s="13" t="s">
        <v>115</v>
      </c>
      <c r="AN47" s="13" t="s">
        <v>290</v>
      </c>
      <c r="AP47" s="31">
        <v>45726</v>
      </c>
      <c r="AR47" s="13">
        <v>250232889</v>
      </c>
      <c r="AS47" s="31">
        <v>45726</v>
      </c>
      <c r="AU47" s="31">
        <v>45729</v>
      </c>
      <c r="AV47" s="13" t="s">
        <v>865</v>
      </c>
      <c r="AW47" s="31">
        <v>45735</v>
      </c>
      <c r="AX47" s="13" t="str">
        <f>IF(ISNUMBER(SEARCH("cancel",#REF!)),"Cancelled",IF(AND(AS47&lt;&gt;"",AU47&lt;&gt;"",AW47&lt;&gt;""),"Closed","Open"))</f>
        <v>Closed</v>
      </c>
      <c r="AY47" s="15" t="str">
        <f t="shared" si="1"/>
        <v>All dates received</v>
      </c>
      <c r="BD47" s="13">
        <f>IF($AX47="Cancelled","",IFERROR(IF(OR(AS47="",AJ47=""),"",(AJ47+Variables!$B$18-AS47)),""))</f>
        <v>6</v>
      </c>
      <c r="BE47" s="13">
        <f>IF($AX47="Cancelled","",IFERROR(IF(OR(AW47="",AS47=""),"",(AS47+Variables!$B$19)-AW47),""))</f>
        <v>-4</v>
      </c>
      <c r="BF47" s="44">
        <f>IF($AX47="Cancelled","",IFERROR(W47*INDEX(Variables!$B$7:$D$7,IFERROR(MATCH(IF($B47="Robusta","Robusta",(IF($B47="","Arabica",$B47))&amp;" - "&amp;(IF($C47="","Commercial",$C47))),Variables!$B$1:$D$1,0),1))*(BE47/365),""))</f>
        <v>-217.09799957318393</v>
      </c>
      <c r="BG47" s="44">
        <f>IF($AX47="Cancelled","",IFERROR((W47*INDEX(Variables!$B$7:$D$7,IFERROR(MATCH(IF($B47="Robusta","Robusta",(IF($B47="","Arabica",$B47))&amp;" - "&amp;(IF($C47="","Commercial",$C47))),Variables!$B$1:$D$1,0),1))*IFERROR(IF(AB47="","",(AVERAGE(E47:F47)-AB47)-Variables!$B$14),"")/365)+(L47/16.67*INDEX(Variables!$B$8:$D$8,IFERROR(MATCH(IF($B47="Robusta","Robusta",(IF($B47="","Arabica",$B47))&amp;" - "&amp;(IF($C47="","Commercial",$C47))),Variables!$B$1:$D$1,0),1))*IFERROR(IF(AB47="","",(AVERAGE(E47:F47)-AB47)-Variables!$B$14),""))+(W47*INDEX(Variables!$B$9:$D$9,IFERROR(MATCH(IF($B47="Robusta","Robusta",(IF($B47="","Arabica",$B47))&amp;" - "&amp;(IF($C47="","Commercial",$C47))),Variables!$B$1:$D$1,0),1))*IFERROR(IF(AB47="","",(AVERAGE(E47:F47)-AB47)-Variables!$B$14),"")/365),""))</f>
        <v>1235.8388411519925</v>
      </c>
      <c r="BH47" s="44">
        <f>IF($AX47="Cancelled","",IFERROR((W47*INDEX(Variables!$B$7:$D$7,IFERROR(MATCH(IF($B47="Robusta","Robusta",(IF($B47="","Arabica",$B47))&amp;" - "&amp;(IF($C47="","Commercial",$C47))),Variables!$B$1:$D$1,0),1))*AK47/365)+(L47/16.67*INDEX(Variables!$B$8:$D$8,IFERROR(MATCH(IF($B47="Robusta","Robusta",(IF($B47="","Arabica",$B47))&amp;" - "&amp;(IF($C47="","Commercial",$C47))),Variables!$B$1:$D$1,0),1))*AK47)+(W47*INDEX(Variables!$B$9:$D$9,IFERROR(MATCH(IF($B47="Robusta","Robusta",(IF($B47="","Arabica",$B47))&amp;" - "&amp;(IF($C47="","Commercial",$C47))),Variables!$B$1:$D$1,0),1))*AK47/365),""))</f>
        <v>1235.8388411519925</v>
      </c>
      <c r="BI47" s="44">
        <f>IF($AX47="Cancelled","",IFERROR((W47*INDEX(Variables!$B$7:$D$7,IFERROR(MATCH(IF($B47="Robusta","Robusta",(IF($B47="","Arabica",$B47))&amp;" - "&amp;(IF($C47="","Commercial",$C47))),Variables!$B$1:$D$1,0),1))*BD47/365)+(L47/16.67*INDEX(Variables!$B$8:$D$8,IFERROR(MATCH(IF($B47="Robusta","Robusta",(IF($B47="","Arabica",$B47))&amp;" - "&amp;(IF($C47="","Commercial",$C47))),Variables!$B$1:$D$1,0),1))*BD47)+(W47*INDEX(Variables!$B$9:$D$9,IFERROR(MATCH(IF($B47="Robusta","Robusta",(IF($B47="","Arabica",$B47))&amp;" - "&amp;(IF($C47="","Commercial",$C47))),Variables!$B$1:$D$1,0),1))*BD47/365),""))</f>
        <v>529.6452176365683</v>
      </c>
      <c r="BJ47" s="44">
        <f t="shared" si="2"/>
        <v>21</v>
      </c>
      <c r="BK47" s="44">
        <f>IF($AX47="Cancelled","",IFERROR(IF(BJ47="","",(W47*INDEX(Variables!$B$7:$D$7,IFERROR(MATCH(IF($B47="Robusta","Robusta",(IF($B47="","Arabica",$B47))&amp;" - "&amp;(IF($C47="","Commercial",$C47))),Variables!$B$1:$D$1,0),1))*(BJ47/365))+(W47*INDEX(Variables!$B$9:$D$9,IFERROR(MATCH(IF($B47="Robusta","Robusta",(IF($B47="","Arabica",$B47))&amp;" - "&amp;(IF($C47="","Commercial",$C47))),Variables!$B$1:$D$1,0),1))*(BJ47/365))+(INDEX(Variables!$B$8:$D$8,IFERROR(MATCH(IF($B47="Robusta","Robusta",(IF($B47="","Arabica",$B47))&amp;" - "&amp;(IF($C47="","Commercial",$C47))),Variables!$B$1:$D$1,0),1))*L47/16.67)),""))</f>
        <v>1187.7582617279888</v>
      </c>
    </row>
    <row r="48" spans="1:63">
      <c r="A48" s="13" t="s">
        <v>103</v>
      </c>
      <c r="B48" s="13" t="s">
        <v>104</v>
      </c>
      <c r="C48" s="13" t="s">
        <v>105</v>
      </c>
      <c r="D48" s="31">
        <v>45631</v>
      </c>
      <c r="E48" s="31">
        <v>45717</v>
      </c>
      <c r="F48" s="31">
        <v>45747</v>
      </c>
      <c r="G48" s="13">
        <v>3786556</v>
      </c>
      <c r="H48" s="13" t="s">
        <v>285</v>
      </c>
      <c r="J48" s="13" t="s">
        <v>118</v>
      </c>
      <c r="K48" s="13" t="s">
        <v>286</v>
      </c>
      <c r="L48" s="13">
        <v>334</v>
      </c>
      <c r="M48" s="13">
        <v>1</v>
      </c>
      <c r="N48" s="13" t="s">
        <v>287</v>
      </c>
      <c r="O48" s="13" t="s">
        <v>269</v>
      </c>
      <c r="P48" s="13">
        <v>10310</v>
      </c>
      <c r="Q48" s="59" t="s">
        <v>270</v>
      </c>
      <c r="R48" s="13" t="s">
        <v>271</v>
      </c>
      <c r="S48" s="13" t="s">
        <v>288</v>
      </c>
      <c r="T48" s="13" t="s">
        <v>289</v>
      </c>
      <c r="U48" s="13" t="s">
        <v>182</v>
      </c>
      <c r="V48" s="13">
        <v>58</v>
      </c>
      <c r="W48" s="44">
        <f>IF($AX48="Cancelled","",IFERROR(((V48+INDEX(Variables!$B$6:$D$6,IFERROR(MATCH(IF($B48="Robusta","Robusta",(IF($B48="","Arabica",$B48))&amp;" - "&amp;(IF($C48="","Commercial",$C48))),Variables!$B$1:$D$1,0),1)))*22.0462)*(L48/16.67),""))</f>
        <v>154071.06556928612</v>
      </c>
      <c r="X48" s="55" t="s">
        <v>37</v>
      </c>
      <c r="Y48" s="13" t="str">
        <f>IF($AX48="Cancelled","",IF(X48="","",IFERROR(IF(INDEX(Variables!$B$38:$B$47,MATCH(X48,Variables!$A$38:$A$47,0))="Yes","Yes","No"),"No")))</f>
        <v>Yes</v>
      </c>
      <c r="Z48" s="58">
        <v>45687</v>
      </c>
      <c r="AB48" s="31">
        <v>45688</v>
      </c>
      <c r="AC48" s="13" t="str">
        <f t="shared" si="0"/>
        <v>Approved</v>
      </c>
      <c r="AF48" s="71">
        <v>45716</v>
      </c>
      <c r="AG48" s="35">
        <f>IF($AX48="Cancelled","",IFERROR(IF(F48="","",F48-Variables!$B$13),""))</f>
        <v>45732</v>
      </c>
      <c r="AH48" s="13">
        <f>IF($AX48="Cancelled","",IFERROR(IF(AB48="","",(AVERAGE(E48:F48)-AB48)-Variables!$B$14),""))</f>
        <v>14</v>
      </c>
      <c r="AJ48" s="47">
        <v>45717</v>
      </c>
      <c r="AK48" s="14">
        <f>IF($AX48="Cancelled","",IFERROR(IF(AJ48="","",IF(AND(AB48="",AF48=""),"",IF(AF48&gt;AB48,AF48+Variables!$B$15+Variables!$B$16+Variables!$B$17-AJ48,AB48+Variables!$B$16+Variables!$B$17-AJ48))),""))</f>
        <v>14</v>
      </c>
      <c r="AL48" s="48" t="s">
        <v>114</v>
      </c>
      <c r="AM48" s="13" t="s">
        <v>115</v>
      </c>
      <c r="AN48" s="13" t="s">
        <v>290</v>
      </c>
      <c r="AP48" s="31">
        <v>45726</v>
      </c>
      <c r="AR48" s="13">
        <v>250232889</v>
      </c>
      <c r="AS48" s="31">
        <v>45733</v>
      </c>
      <c r="AU48" s="31">
        <v>45735</v>
      </c>
      <c r="AV48" s="13" t="s">
        <v>865</v>
      </c>
      <c r="AW48" s="31">
        <v>45735</v>
      </c>
      <c r="AX48" s="13" t="str">
        <f>IF(ISNUMBER(SEARCH("cancel",#REF!)),"Cancelled",IF(AND(AS48&lt;&gt;"",AU48&lt;&gt;"",AW48&lt;&gt;""),"Closed","Open"))</f>
        <v>Closed</v>
      </c>
      <c r="AY48" s="15" t="str">
        <f t="shared" si="1"/>
        <v>All dates received</v>
      </c>
      <c r="BD48" s="13">
        <f>IF($AX48="Cancelled","",IFERROR(IF(OR(AS48="",AJ48=""),"",(AJ48+Variables!$B$18-AS48)),""))</f>
        <v>-1</v>
      </c>
      <c r="BE48" s="13">
        <f>IF($AX48="Cancelled","",IFERROR(IF(OR(AW48="",AS48=""),"",(AS48+Variables!$B$19)-AW48),""))</f>
        <v>3</v>
      </c>
      <c r="BF48" s="44">
        <f>IF($AX48="Cancelled","",IFERROR(W48*INDEX(Variables!$B$7:$D$7,IFERROR(MATCH(IF($B48="Robusta","Robusta",(IF($B48="","Arabica",$B48))&amp;" - "&amp;(IF($C48="","Commercial",$C48))),Variables!$B$1:$D$1,0),1))*(BE48/365),""))</f>
        <v>81.656229569193044</v>
      </c>
      <c r="BG48" s="44">
        <f>IF($AX48="Cancelled","",IFERROR((W48*INDEX(Variables!$B$7:$D$7,IFERROR(MATCH(IF($B48="Robusta","Robusta",(IF($B48="","Arabica",$B48))&amp;" - "&amp;(IF($C48="","Commercial",$C48))),Variables!$B$1:$D$1,0),1))*IFERROR(IF(AB48="","",(AVERAGE(E48:F48)-AB48)-Variables!$B$14),"")/365)+(L48/16.67*INDEX(Variables!$B$8:$D$8,IFERROR(MATCH(IF($B48="Robusta","Robusta",(IF($B48="","Arabica",$B48))&amp;" - "&amp;(IF($C48="","Commercial",$C48))),Variables!$B$1:$D$1,0),1))*IFERROR(IF(AB48="","",(AVERAGE(E48:F48)-AB48)-Variables!$B$14),""))+(W48*INDEX(Variables!$B$9:$D$9,IFERROR(MATCH(IF($B48="Robusta","Robusta",(IF($B48="","Arabica",$B48))&amp;" - "&amp;(IF($C48="","Commercial",$C48))),Variables!$B$1:$D$1,0),1))*IFERROR(IF(AB48="","",(AVERAGE(E48:F48)-AB48)-Variables!$B$14),"")/365),""))</f>
        <v>619.77503445159994</v>
      </c>
      <c r="BH48" s="44">
        <f>IF($AX48="Cancelled","",IFERROR((W48*INDEX(Variables!$B$7:$D$7,IFERROR(MATCH(IF($B48="Robusta","Robusta",(IF($B48="","Arabica",$B48))&amp;" - "&amp;(IF($C48="","Commercial",$C48))),Variables!$B$1:$D$1,0),1))*AK48/365)+(L48/16.67*INDEX(Variables!$B$8:$D$8,IFERROR(MATCH(IF($B48="Robusta","Robusta",(IF($B48="","Arabica",$B48))&amp;" - "&amp;(IF($C48="","Commercial",$C48))),Variables!$B$1:$D$1,0),1))*AK48)+(W48*INDEX(Variables!$B$9:$D$9,IFERROR(MATCH(IF($B48="Robusta","Robusta",(IF($B48="","Arabica",$B48))&amp;" - "&amp;(IF($C48="","Commercial",$C48))),Variables!$B$1:$D$1,0),1))*AK48/365),""))</f>
        <v>619.77503445159994</v>
      </c>
      <c r="BI48" s="44">
        <f>IF($AX48="Cancelled","",IFERROR((W48*INDEX(Variables!$B$7:$D$7,IFERROR(MATCH(IF($B48="Robusta","Robusta",(IF($B48="","Arabica",$B48))&amp;" - "&amp;(IF($C48="","Commercial",$C48))),Variables!$B$1:$D$1,0),1))*BD48/365)+(L48/16.67*INDEX(Variables!$B$8:$D$8,IFERROR(MATCH(IF($B48="Robusta","Robusta",(IF($B48="","Arabica",$B48))&amp;" - "&amp;(IF($C48="","Commercial",$C48))),Variables!$B$1:$D$1,0),1))*BD48)+(W48*INDEX(Variables!$B$9:$D$9,IFERROR(MATCH(IF($B48="Robusta","Robusta",(IF($B48="","Arabica",$B48))&amp;" - "&amp;(IF($C48="","Commercial",$C48))),Variables!$B$1:$D$1,0),1))*BD48/365),""))</f>
        <v>-44.269645317971424</v>
      </c>
      <c r="BJ48" s="44">
        <f t="shared" si="2"/>
        <v>14</v>
      </c>
      <c r="BK48" s="44">
        <f>IF($AX48="Cancelled","",IFERROR(IF(BJ48="","",(W48*INDEX(Variables!$B$7:$D$7,IFERROR(MATCH(IF($B48="Robusta","Robusta",(IF($B48="","Arabica",$B48))&amp;" - "&amp;(IF($C48="","Commercial",$C48))),Variables!$B$1:$D$1,0),1))*(BJ48/365))+(W48*INDEX(Variables!$B$9:$D$9,IFERROR(MATCH(IF($B48="Robusta","Robusta",(IF($B48="","Arabica",$B48))&amp;" - "&amp;(IF($C48="","Commercial",$C48))),Variables!$B$1:$D$1,0),1))*(BJ48/365))+(INDEX(Variables!$B$8:$D$8,IFERROR(MATCH(IF($B48="Robusta","Robusta",(IF($B48="","Arabica",$B48))&amp;" - "&amp;(IF($C48="","Commercial",$C48))),Variables!$B$1:$D$1,0),1))*L48/16.67)),""))</f>
        <v>402.67503445159991</v>
      </c>
    </row>
    <row r="49" spans="1:63">
      <c r="A49" s="13" t="s">
        <v>103</v>
      </c>
      <c r="B49" s="13" t="s">
        <v>104</v>
      </c>
      <c r="C49" s="13" t="s">
        <v>105</v>
      </c>
      <c r="D49" s="31">
        <v>45631</v>
      </c>
      <c r="E49" s="31">
        <v>45717</v>
      </c>
      <c r="F49" s="31">
        <v>45747</v>
      </c>
      <c r="G49" s="13">
        <v>3786556</v>
      </c>
      <c r="H49" s="13" t="s">
        <v>285</v>
      </c>
      <c r="J49" s="13" t="s">
        <v>118</v>
      </c>
      <c r="K49" s="13" t="s">
        <v>291</v>
      </c>
      <c r="L49" s="13">
        <v>2000</v>
      </c>
      <c r="M49" s="13">
        <v>6</v>
      </c>
      <c r="N49" s="13" t="s">
        <v>287</v>
      </c>
      <c r="O49" s="13" t="s">
        <v>269</v>
      </c>
      <c r="P49" s="13">
        <v>10310</v>
      </c>
      <c r="Q49" s="59" t="s">
        <v>270</v>
      </c>
      <c r="R49" s="13" t="s">
        <v>271</v>
      </c>
      <c r="S49" s="13" t="s">
        <v>283</v>
      </c>
      <c r="T49" s="13" t="s">
        <v>112</v>
      </c>
      <c r="U49" s="13" t="s">
        <v>113</v>
      </c>
      <c r="V49" s="13">
        <v>58</v>
      </c>
      <c r="W49" s="44">
        <f>IF($AX49="Cancelled","",IFERROR(((V49+INDEX(Variables!$B$6:$D$6,IFERROR(MATCH(IF($B49="Robusta","Robusta",(IF($B49="","Arabica",$B49))&amp;" - "&amp;(IF($C49="","Commercial",$C49))),Variables!$B$1:$D$1,0),1)))*22.0462)*(L49/16.67),""))</f>
        <v>922581.23095380911</v>
      </c>
      <c r="X49" s="55" t="s">
        <v>37</v>
      </c>
      <c r="Y49" s="13" t="str">
        <f>IF($AX49="Cancelled","",IF(X49="","",IFERROR(IF(INDEX(Variables!$B$38:$B$47,MATCH(X49,Variables!$A$38:$A$47,0))="Yes","Yes","No"),"No")))</f>
        <v>Yes</v>
      </c>
      <c r="Z49" s="58">
        <v>45687</v>
      </c>
      <c r="AB49" s="31">
        <v>45688</v>
      </c>
      <c r="AC49" s="13" t="str">
        <f t="shared" si="0"/>
        <v>Approved</v>
      </c>
      <c r="AF49" s="71">
        <v>45716</v>
      </c>
      <c r="AG49" s="35">
        <f>IF($AX49="Cancelled","",IFERROR(IF(F49="","",F49-Variables!$B$13),""))</f>
        <v>45732</v>
      </c>
      <c r="AH49" s="13">
        <f>IF($AX49="Cancelled","",IFERROR(IF(AB49="","",(AVERAGE(E49:F49)-AB49)-Variables!$B$14),""))</f>
        <v>14</v>
      </c>
      <c r="AJ49" s="47">
        <v>45721</v>
      </c>
      <c r="AK49" s="14">
        <f>IF($AX49="Cancelled","",IFERROR(IF(AJ49="","",IF(AND(AB49="",AF49=""),"",IF(AF49&gt;AB49,AF49+Variables!$B$15+Variables!$B$16+Variables!$B$17-AJ49,AB49+Variables!$B$16+Variables!$B$17-AJ49))),""))</f>
        <v>10</v>
      </c>
      <c r="AL49" s="48" t="s">
        <v>114</v>
      </c>
      <c r="AM49" s="13" t="s">
        <v>115</v>
      </c>
      <c r="AN49" s="13" t="s">
        <v>290</v>
      </c>
      <c r="AP49" s="31">
        <v>45726</v>
      </c>
      <c r="AR49" s="13">
        <v>250232889</v>
      </c>
      <c r="AS49" s="31">
        <v>45736</v>
      </c>
      <c r="AU49" s="31">
        <v>45740</v>
      </c>
      <c r="AV49" s="13" t="s">
        <v>865</v>
      </c>
      <c r="AW49" s="31">
        <v>45741</v>
      </c>
      <c r="AX49" s="13" t="str">
        <f>IF(ISNUMBER(SEARCH("cancel",#REF!)),"Cancelled",IF(AND(AS49&lt;&gt;"",AU49&lt;&gt;"",AW49&lt;&gt;""),"Closed","Open"))</f>
        <v>Closed</v>
      </c>
      <c r="AY49" s="15" t="str">
        <f t="shared" si="1"/>
        <v>All dates received</v>
      </c>
      <c r="BD49" s="13">
        <f>IF($AX49="Cancelled","",IFERROR(IF(OR(AS49="",AJ49=""),"",(AJ49+Variables!$B$18-AS49)),""))</f>
        <v>0</v>
      </c>
      <c r="BE49" s="13">
        <f>IF($AX49="Cancelled","",IFERROR(IF(OR(AW49="",AS49=""),"",(AS49+Variables!$B$19)-AW49),""))</f>
        <v>0</v>
      </c>
      <c r="BF49" s="44">
        <f>IF($AX49="Cancelled","",IFERROR(W49*INDEX(Variables!$B$7:$D$7,IFERROR(MATCH(IF($B49="Robusta","Robusta",(IF($B49="","Arabica",$B49))&amp;" - "&amp;(IF($C49="","Commercial",$C49))),Variables!$B$1:$D$1,0),1))*(BE49/365),""))</f>
        <v>0</v>
      </c>
      <c r="BG49" s="44">
        <f>IF($AX49="Cancelled","",IFERROR((W49*INDEX(Variables!$B$7:$D$7,IFERROR(MATCH(IF($B49="Robusta","Robusta",(IF($B49="","Arabica",$B49))&amp;" - "&amp;(IF($C49="","Commercial",$C49))),Variables!$B$1:$D$1,0),1))*IFERROR(IF(AB49="","",(AVERAGE(E49:F49)-AB49)-Variables!$B$14),"")/365)+(L49/16.67*INDEX(Variables!$B$8:$D$8,IFERROR(MATCH(IF($B49="Robusta","Robusta",(IF($B49="","Arabica",$B49))&amp;" - "&amp;(IF($C49="","Commercial",$C49))),Variables!$B$1:$D$1,0),1))*IFERROR(IF(AB49="","",(AVERAGE(E49:F49)-AB49)-Variables!$B$14),""))+(W49*INDEX(Variables!$B$9:$D$9,IFERROR(MATCH(IF($B49="Robusta","Robusta",(IF($B49="","Arabica",$B49))&amp;" - "&amp;(IF($C49="","Commercial",$C49))),Variables!$B$1:$D$1,0),1))*IFERROR(IF(AB49="","",(AVERAGE(E49:F49)-AB49)-Variables!$B$14),"")/365),""))</f>
        <v>3711.2277512071855</v>
      </c>
      <c r="BH49" s="44">
        <f>IF($AX49="Cancelled","",IFERROR((W49*INDEX(Variables!$B$7:$D$7,IFERROR(MATCH(IF($B49="Robusta","Robusta",(IF($B49="","Arabica",$B49))&amp;" - "&amp;(IF($C49="","Commercial",$C49))),Variables!$B$1:$D$1,0),1))*AK49/365)+(L49/16.67*INDEX(Variables!$B$8:$D$8,IFERROR(MATCH(IF($B49="Robusta","Robusta",(IF($B49="","Arabica",$B49))&amp;" - "&amp;(IF($C49="","Commercial",$C49))),Variables!$B$1:$D$1,0),1))*AK49)+(W49*INDEX(Variables!$B$9:$D$9,IFERROR(MATCH(IF($B49="Robusta","Robusta",(IF($B49="","Arabica",$B49))&amp;" - "&amp;(IF($C49="","Commercial",$C49))),Variables!$B$1:$D$1,0),1))*AK49/365),""))</f>
        <v>2650.8769651479893</v>
      </c>
      <c r="BI49" s="44">
        <f>IF($AX49="Cancelled","",IFERROR((W49*INDEX(Variables!$B$7:$D$7,IFERROR(MATCH(IF($B49="Robusta","Robusta",(IF($B49="","Arabica",$B49))&amp;" - "&amp;(IF($C49="","Commercial",$C49))),Variables!$B$1:$D$1,0),1))*BD49/365)+(L49/16.67*INDEX(Variables!$B$8:$D$8,IFERROR(MATCH(IF($B49="Robusta","Robusta",(IF($B49="","Arabica",$B49))&amp;" - "&amp;(IF($C49="","Commercial",$C49))),Variables!$B$1:$D$1,0),1))*BD49)+(W49*INDEX(Variables!$B$9:$D$9,IFERROR(MATCH(IF($B49="Robusta","Robusta",(IF($B49="","Arabica",$B49))&amp;" - "&amp;(IF($C49="","Commercial",$C49))),Variables!$B$1:$D$1,0),1))*BD49/365),""))</f>
        <v>0</v>
      </c>
      <c r="BJ49" s="44">
        <f t="shared" si="2"/>
        <v>11</v>
      </c>
      <c r="BK49" s="44">
        <f>IF($AX49="Cancelled","",IFERROR(IF(BJ49="","",(W49*INDEX(Variables!$B$7:$D$7,IFERROR(MATCH(IF($B49="Robusta","Robusta",(IF($B49="","Arabica",$B49))&amp;" - "&amp;(IF($C49="","Commercial",$C49))),Variables!$B$1:$D$1,0),1))*(BJ49/365))+(W49*INDEX(Variables!$B$9:$D$9,IFERROR(MATCH(IF($B49="Robusta","Robusta",(IF($B49="","Arabica",$B49))&amp;" - "&amp;(IF($C49="","Commercial",$C49))),Variables!$B$1:$D$1,0),1))*(BJ49/365))+(INDEX(Variables!$B$8:$D$8,IFERROR(MATCH(IF($B49="Robusta","Robusta",(IF($B49="","Arabica",$B49))&amp;" - "&amp;(IF($C49="","Commercial",$C49))),Variables!$B$1:$D$1,0),1))*L49/16.67)),""))</f>
        <v>1915.9646616627883</v>
      </c>
    </row>
    <row r="50" spans="1:63">
      <c r="A50" s="13" t="s">
        <v>103</v>
      </c>
      <c r="B50" s="13" t="s">
        <v>104</v>
      </c>
      <c r="C50" s="13" t="s">
        <v>292</v>
      </c>
      <c r="D50" s="31">
        <v>45632</v>
      </c>
      <c r="E50" s="31">
        <v>45658</v>
      </c>
      <c r="F50" s="31">
        <v>45688</v>
      </c>
      <c r="G50" s="13">
        <v>3786557</v>
      </c>
      <c r="H50" s="13" t="s">
        <v>293</v>
      </c>
      <c r="J50" s="13" t="s">
        <v>294</v>
      </c>
      <c r="K50" s="13" t="s">
        <v>295</v>
      </c>
      <c r="L50" s="13">
        <v>37</v>
      </c>
      <c r="M50" s="13">
        <v>1</v>
      </c>
      <c r="N50" s="13" t="s">
        <v>296</v>
      </c>
      <c r="O50" s="13" t="s">
        <v>297</v>
      </c>
      <c r="P50" s="13">
        <v>10020</v>
      </c>
      <c r="R50" s="13" t="s">
        <v>298</v>
      </c>
      <c r="S50" s="13" t="s">
        <v>299</v>
      </c>
      <c r="T50" s="13" t="s">
        <v>300</v>
      </c>
      <c r="U50" s="13" t="s">
        <v>125</v>
      </c>
      <c r="V50" s="13">
        <v>30.75</v>
      </c>
      <c r="W50" s="44">
        <f>IF($AX50="Cancelled","",IFERROR(((V50+INDEX(Variables!$B$6:$D$6,IFERROR(MATCH(IF($B50="Robusta","Robusta",(IF($B50="","Arabica",$B50))&amp;" - "&amp;(IF($C50="","Commercial",$C50))),Variables!$B$1:$D$1,0),1)))*22.0462)*(L50/16.67),""))</f>
        <v>15734.334587282541</v>
      </c>
      <c r="X50" s="55" t="s">
        <v>39</v>
      </c>
      <c r="Y50" s="13" t="str">
        <f>IF($AX50="Cancelled","",IF(X50="","",IFERROR(IF(INDEX(Variables!$B$38:$B$47,MATCH(X50,Variables!$A$38:$A$47,0))="Yes","Yes","No"),"No")))</f>
        <v>No</v>
      </c>
      <c r="Z50" s="31"/>
      <c r="AB50" s="31">
        <v>45640.875</v>
      </c>
      <c r="AC50" s="13" t="str">
        <f t="shared" si="0"/>
        <v>Approved</v>
      </c>
      <c r="AF50" s="71">
        <f>AJ50-7</f>
        <v>45667</v>
      </c>
      <c r="AG50" s="36">
        <f>IF($AX50="Cancelled","",IFERROR(IF(F50="","",F50-Variables!$B$13),""))</f>
        <v>45673</v>
      </c>
      <c r="AH50" s="13">
        <f>IF($AX50="Cancelled","",IFERROR(IF(AB50="","",(AVERAGE(E50:F50)-AB50)-Variables!$B$14),""))</f>
        <v>2.125</v>
      </c>
      <c r="AJ50" s="47">
        <v>45674</v>
      </c>
      <c r="AK50" s="14">
        <f>IF($AX50="Cancelled","",IFERROR(IF(AJ50="","",IF(AND(AB50="",AF50=""),"",IF(AF50&gt;AB50,AF50+Variables!$B$15+Variables!$B$16+Variables!$B$17-AJ50,AB50+Variables!$B$16+Variables!$B$17-AJ50))),""))</f>
        <v>8</v>
      </c>
      <c r="AL50" s="48" t="s">
        <v>114</v>
      </c>
      <c r="AM50" s="13" t="s">
        <v>168</v>
      </c>
      <c r="AN50" s="13" t="s">
        <v>146</v>
      </c>
      <c r="AP50" s="31">
        <v>45685</v>
      </c>
      <c r="AR50" s="13" t="s">
        <v>3249</v>
      </c>
      <c r="AS50" s="31">
        <v>45688</v>
      </c>
      <c r="AU50" s="31">
        <v>45693</v>
      </c>
      <c r="AV50" s="13" t="s">
        <v>3266</v>
      </c>
      <c r="AW50" s="31">
        <v>45699</v>
      </c>
      <c r="AX50" s="13" t="str">
        <f>IF(ISNUMBER(SEARCH("cancel",#REF!)),"Cancelled",IF(AND(AS50&lt;&gt;"",AU50&lt;&gt;"",AW50&lt;&gt;""),"Closed","Open"))</f>
        <v>Closed</v>
      </c>
      <c r="AY50" s="15" t="str">
        <f t="shared" si="1"/>
        <v>All dates received</v>
      </c>
      <c r="BD50" s="13">
        <f>IF($AX50="Cancelled","",IFERROR(IF(OR(AS50="",AJ50=""),"",(AJ50+Variables!$B$18-AS50)),""))</f>
        <v>1</v>
      </c>
      <c r="BE50" s="13">
        <f>IF($AX50="Cancelled","",IFERROR(IF(OR(AW50="",AS50=""),"",(AS50+Variables!$B$19)-AW50),""))</f>
        <v>-6</v>
      </c>
      <c r="BF50" s="44">
        <f>IF($AX50="Cancelled","",IFERROR(W50*INDEX(Variables!$B$7:$D$7,IFERROR(MATCH(IF($B50="Robusta","Robusta",(IF($B50="","Arabica",$B50))&amp;" - "&amp;(IF($C50="","Commercial",$C50))),Variables!$B$1:$D$1,0),1))*(BE50/365),""))</f>
        <v>-16.678101529710744</v>
      </c>
      <c r="BG50" s="44">
        <f>IF($AX50="Cancelled","",IFERROR((W50*INDEX(Variables!$B$7:$D$7,IFERROR(MATCH(IF($B50="Robusta","Robusta",(IF($B50="","Arabica",$B50))&amp;" - "&amp;(IF($C50="","Commercial",$C50))),Variables!$B$1:$D$1,0),1))*IFERROR(IF(AB50="","",(AVERAGE(E50:F50)-AB50)-Variables!$B$14),"")/365)+(L50/16.67*INDEX(Variables!$B$8:$D$8,IFERROR(MATCH(IF($B50="Robusta","Robusta",(IF($B50="","Arabica",$B50))&amp;" - "&amp;(IF($C50="","Commercial",$C50))),Variables!$B$1:$D$1,0),1))*IFERROR(IF(AB50="","",(AVERAGE(E50:F50)-AB50)-Variables!$B$14),""))+(W50*INDEX(Variables!$B$9:$D$9,IFERROR(MATCH(IF($B50="Robusta","Robusta",(IF($B50="","Arabica",$B50))&amp;" - "&amp;(IF($C50="","Commercial",$C50))),Variables!$B$1:$D$1,0),1))*IFERROR(IF(AB50="","",(AVERAGE(E50:F50)-AB50)-Variables!$B$14),"")/365),""))</f>
        <v>9.9142280325788121</v>
      </c>
      <c r="BH50" s="44">
        <f>IF($AX50="Cancelled","",IFERROR((W50*INDEX(Variables!$B$7:$D$7,IFERROR(MATCH(IF($B50="Robusta","Robusta",(IF($B50="","Arabica",$B50))&amp;" - "&amp;(IF($C50="","Commercial",$C50))),Variables!$B$1:$D$1,0),1))*AK50/365)+(L50/16.67*INDEX(Variables!$B$8:$D$8,IFERROR(MATCH(IF($B50="Robusta","Robusta",(IF($B50="","Arabica",$B50))&amp;" - "&amp;(IF($C50="","Commercial",$C50))),Variables!$B$1:$D$1,0),1))*AK50)+(W50*INDEX(Variables!$B$9:$D$9,IFERROR(MATCH(IF($B50="Robusta","Robusta",(IF($B50="","Arabica",$B50))&amp;" - "&amp;(IF($C50="","Commercial",$C50))),Variables!$B$1:$D$1,0),1))*AK50/365),""))</f>
        <v>37.324152593237876</v>
      </c>
      <c r="BI50" s="44">
        <f>IF($AX50="Cancelled","",IFERROR((W50*INDEX(Variables!$B$7:$D$7,IFERROR(MATCH(IF($B50="Robusta","Robusta",(IF($B50="","Arabica",$B50))&amp;" - "&amp;(IF($C50="","Commercial",$C50))),Variables!$B$1:$D$1,0),1))*BD50/365)+(L50/16.67*INDEX(Variables!$B$8:$D$8,IFERROR(MATCH(IF($B50="Robusta","Robusta",(IF($B50="","Arabica",$B50))&amp;" - "&amp;(IF($C50="","Commercial",$C50))),Variables!$B$1:$D$1,0),1))*BD50)+(W50*INDEX(Variables!$B$9:$D$9,IFERROR(MATCH(IF($B50="Robusta","Robusta",(IF($B50="","Arabica",$B50))&amp;" - "&amp;(IF($C50="","Commercial",$C50))),Variables!$B$1:$D$1,0),1))*BD50/365),""))</f>
        <v>4.6655190741547345</v>
      </c>
      <c r="BJ50" s="44">
        <f t="shared" si="2"/>
        <v>0</v>
      </c>
      <c r="BK50" s="44">
        <f>IF($AX50="Cancelled","",IFERROR(IF(BJ50="","",(W50*INDEX(Variables!$B$7:$D$7,IFERROR(MATCH(IF($B50="Robusta","Robusta",(IF($B50="","Arabica",$B50))&amp;" - "&amp;(IF($C50="","Commercial",$C50))),Variables!$B$1:$D$1,0),1))*(BJ50/365))+(W50*INDEX(Variables!$B$9:$D$9,IFERROR(MATCH(IF($B50="Robusta","Robusta",(IF($B50="","Arabica",$B50))&amp;" - "&amp;(IF($C50="","Commercial",$C50))),Variables!$B$1:$D$1,0),1))*(BJ50/365))+(INDEX(Variables!$B$8:$D$8,IFERROR(MATCH(IF($B50="Robusta","Robusta",(IF($B50="","Arabica",$B50))&amp;" - "&amp;(IF($C50="","Commercial",$C50))),Variables!$B$1:$D$1,0),1))*L50/16.67)),""))</f>
        <v>1.85</v>
      </c>
    </row>
    <row r="51" spans="1:63">
      <c r="A51" s="13" t="s">
        <v>103</v>
      </c>
      <c r="B51" s="13" t="s">
        <v>104</v>
      </c>
      <c r="C51" s="13" t="s">
        <v>292</v>
      </c>
      <c r="D51" s="31">
        <v>45632</v>
      </c>
      <c r="E51" s="31">
        <v>45658</v>
      </c>
      <c r="F51" s="31">
        <v>45688</v>
      </c>
      <c r="G51" s="13">
        <v>3786558</v>
      </c>
      <c r="H51" s="13" t="s">
        <v>301</v>
      </c>
      <c r="J51" s="13" t="s">
        <v>294</v>
      </c>
      <c r="K51" s="13" t="s">
        <v>302</v>
      </c>
      <c r="L51" s="13">
        <v>40</v>
      </c>
      <c r="M51" s="13">
        <v>0</v>
      </c>
      <c r="N51" s="13" t="s">
        <v>303</v>
      </c>
      <c r="O51" s="13" t="s">
        <v>304</v>
      </c>
      <c r="P51" s="13">
        <v>10010</v>
      </c>
      <c r="R51" s="13" t="s">
        <v>298</v>
      </c>
      <c r="S51" s="13" t="s">
        <v>299</v>
      </c>
      <c r="T51" s="13" t="s">
        <v>305</v>
      </c>
      <c r="U51" s="13" t="s">
        <v>125</v>
      </c>
      <c r="V51" s="13">
        <v>172.75</v>
      </c>
      <c r="W51" s="44">
        <f>IF($AX51="Cancelled","",IFERROR(((V51+INDEX(Variables!$B$6:$D$6,IFERROR(MATCH(IF($B51="Robusta","Robusta",(IF($B51="","Arabica",$B51))&amp;" - "&amp;(IF($C51="","Commercial",$C51))),Variables!$B$1:$D$1,0),1)))*22.0462)*(L51/16.67),""))</f>
        <v>24521.934037192557</v>
      </c>
      <c r="X51" s="55" t="s">
        <v>39</v>
      </c>
      <c r="Y51" s="13" t="str">
        <f>IF($AX51="Cancelled","",IF(X51="","",IFERROR(IF(INDEX(Variables!$B$38:$B$47,MATCH(X51,Variables!$A$38:$A$47,0))="Yes","Yes","No"),"No")))</f>
        <v>No</v>
      </c>
      <c r="Z51" s="31"/>
      <c r="AB51" s="31">
        <v>45640.875</v>
      </c>
      <c r="AC51" s="13" t="str">
        <f t="shared" si="0"/>
        <v>Approved</v>
      </c>
      <c r="AF51" s="71">
        <f>AJ51-7</f>
        <v>45667</v>
      </c>
      <c r="AG51" s="36">
        <f>IF($AX51="Cancelled","",IFERROR(IF(F51="","",F51-Variables!$B$13),""))</f>
        <v>45673</v>
      </c>
      <c r="AH51" s="13">
        <f>IF($AX51="Cancelled","",IFERROR(IF(AB51="","",(AVERAGE(E51:F51)-AB51)-Variables!$B$14),""))</f>
        <v>2.125</v>
      </c>
      <c r="AJ51" s="47">
        <v>45674</v>
      </c>
      <c r="AK51" s="14">
        <f>IF($AX51="Cancelled","",IFERROR(IF(AJ51="","",IF(AND(AB51="",AF51=""),"",IF(AF51&gt;AB51,AF51+Variables!$B$15+Variables!$B$16+Variables!$B$17-AJ51,AB51+Variables!$B$16+Variables!$B$17-AJ51))),""))</f>
        <v>8</v>
      </c>
      <c r="AL51" s="48" t="s">
        <v>114</v>
      </c>
      <c r="AM51" s="13" t="s">
        <v>168</v>
      </c>
      <c r="AN51" s="13" t="s">
        <v>146</v>
      </c>
      <c r="AP51" s="31">
        <v>45685</v>
      </c>
      <c r="AR51" s="13" t="s">
        <v>3249</v>
      </c>
      <c r="AS51" s="31">
        <v>45688</v>
      </c>
      <c r="AU51" s="31">
        <v>45693</v>
      </c>
      <c r="AV51" s="13" t="s">
        <v>3266</v>
      </c>
      <c r="AW51" s="31">
        <v>45699</v>
      </c>
      <c r="AX51" s="13" t="str">
        <f>IF(ISNUMBER(SEARCH("cancel",#REF!)),"Cancelled",IF(AND(AS51&lt;&gt;"",AU51&lt;&gt;"",AW51&lt;&gt;""),"Closed","Open"))</f>
        <v>Closed</v>
      </c>
      <c r="AY51" s="15" t="str">
        <f t="shared" si="1"/>
        <v>All dates received</v>
      </c>
      <c r="BD51" s="13">
        <f>IF($AX51="Cancelled","",IFERROR(IF(OR(AS51="",AJ51=""),"",(AJ51+Variables!$B$18-AS51)),""))</f>
        <v>1</v>
      </c>
      <c r="BE51" s="13">
        <f>IF($AX51="Cancelled","",IFERROR(IF(OR(AW51="",AS51=""),"",(AS51+Variables!$B$19)-AW51),""))</f>
        <v>-6</v>
      </c>
      <c r="BF51" s="44">
        <f>IF($AX51="Cancelled","",IFERROR(W51*INDEX(Variables!$B$7:$D$7,IFERROR(MATCH(IF($B51="Robusta","Robusta",(IF($B51="","Arabica",$B51))&amp;" - "&amp;(IF($C51="","Commercial",$C51))),Variables!$B$1:$D$1,0),1))*(BE51/365),""))</f>
        <v>-25.992793232433829</v>
      </c>
      <c r="BG51" s="44">
        <f>IF($AX51="Cancelled","",IFERROR((W51*INDEX(Variables!$B$7:$D$7,IFERROR(MATCH(IF($B51="Robusta","Robusta",(IF($B51="","Arabica",$B51))&amp;" - "&amp;(IF($C51="","Commercial",$C51))),Variables!$B$1:$D$1,0),1))*IFERROR(IF(AB51="","",(AVERAGE(E51:F51)-AB51)-Variables!$B$14),"")/365)+(L51/16.67*INDEX(Variables!$B$8:$D$8,IFERROR(MATCH(IF($B51="Robusta","Robusta",(IF($B51="","Arabica",$B51))&amp;" - "&amp;(IF($C51="","Commercial",$C51))),Variables!$B$1:$D$1,0),1))*IFERROR(IF(AB51="","",(AVERAGE(E51:F51)-AB51)-Variables!$B$14),""))+(W51*INDEX(Variables!$B$9:$D$9,IFERROR(MATCH(IF($B51="Robusta","Robusta",(IF($B51="","Arabica",$B51))&amp;" - "&amp;(IF($C51="","Commercial",$C51))),Variables!$B$1:$D$1,0),1))*IFERROR(IF(AB51="","",(AVERAGE(E51:F51)-AB51)-Variables!$B$14),"")/365),""))</f>
        <v>13.574461218681162</v>
      </c>
      <c r="BH51" s="44">
        <f>IF($AX51="Cancelled","",IFERROR((W51*INDEX(Variables!$B$7:$D$7,IFERROR(MATCH(IF($B51="Robusta","Robusta",(IF($B51="","Arabica",$B51))&amp;" - "&amp;(IF($C51="","Commercial",$C51))),Variables!$B$1:$D$1,0),1))*AK51/365)+(L51/16.67*INDEX(Variables!$B$8:$D$8,IFERROR(MATCH(IF($B51="Robusta","Robusta",(IF($B51="","Arabica",$B51))&amp;" - "&amp;(IF($C51="","Commercial",$C51))),Variables!$B$1:$D$1,0),1))*AK51)+(W51*INDEX(Variables!$B$9:$D$9,IFERROR(MATCH(IF($B51="Robusta","Robusta",(IF($B51="","Arabica",$B51))&amp;" - "&amp;(IF($C51="","Commercial",$C51))),Variables!$B$1:$D$1,0),1))*AK51/365),""))</f>
        <v>51.103853999740849</v>
      </c>
      <c r="BI51" s="44">
        <f>IF($AX51="Cancelled","",IFERROR((W51*INDEX(Variables!$B$7:$D$7,IFERROR(MATCH(IF($B51="Robusta","Robusta",(IF($B51="","Arabica",$B51))&amp;" - "&amp;(IF($C51="","Commercial",$C51))),Variables!$B$1:$D$1,0),1))*BD51/365)+(L51/16.67*INDEX(Variables!$B$8:$D$8,IFERROR(MATCH(IF($B51="Robusta","Robusta",(IF($B51="","Arabica",$B51))&amp;" - "&amp;(IF($C51="","Commercial",$C51))),Variables!$B$1:$D$1,0),1))*BD51)+(W51*INDEX(Variables!$B$9:$D$9,IFERROR(MATCH(IF($B51="Robusta","Robusta",(IF($B51="","Arabica",$B51))&amp;" - "&amp;(IF($C51="","Commercial",$C51))),Variables!$B$1:$D$1,0),1))*BD51/365),""))</f>
        <v>6.3879817499676061</v>
      </c>
      <c r="BJ51" s="44">
        <f t="shared" si="2"/>
        <v>0</v>
      </c>
      <c r="BK51" s="44">
        <f>IF($AX51="Cancelled","",IFERROR(IF(BJ51="","",(W51*INDEX(Variables!$B$7:$D$7,IFERROR(MATCH(IF($B51="Robusta","Robusta",(IF($B51="","Arabica",$B51))&amp;" - "&amp;(IF($C51="","Commercial",$C51))),Variables!$B$1:$D$1,0),1))*(BJ51/365))+(W51*INDEX(Variables!$B$9:$D$9,IFERROR(MATCH(IF($B51="Robusta","Robusta",(IF($B51="","Arabica",$B51))&amp;" - "&amp;(IF($C51="","Commercial",$C51))),Variables!$B$1:$D$1,0),1))*(BJ51/365))+(INDEX(Variables!$B$8:$D$8,IFERROR(MATCH(IF($B51="Robusta","Robusta",(IF($B51="","Arabica",$B51))&amp;" - "&amp;(IF($C51="","Commercial",$C51))),Variables!$B$1:$D$1,0),1))*L51/16.67)),""))</f>
        <v>2</v>
      </c>
    </row>
    <row r="52" spans="1:63">
      <c r="A52" s="13" t="s">
        <v>103</v>
      </c>
      <c r="B52" s="13" t="s">
        <v>104</v>
      </c>
      <c r="C52" s="13" t="s">
        <v>292</v>
      </c>
      <c r="D52" s="31">
        <v>45632</v>
      </c>
      <c r="E52" s="31">
        <v>45658</v>
      </c>
      <c r="F52" s="31">
        <v>45688</v>
      </c>
      <c r="G52" s="13">
        <v>3786559</v>
      </c>
      <c r="H52" s="13" t="s">
        <v>306</v>
      </c>
      <c r="J52" s="13" t="s">
        <v>294</v>
      </c>
      <c r="K52" s="13" t="s">
        <v>307</v>
      </c>
      <c r="L52" s="13">
        <v>43</v>
      </c>
      <c r="M52" s="13">
        <v>0</v>
      </c>
      <c r="N52" s="13" t="s">
        <v>308</v>
      </c>
      <c r="O52" s="13" t="s">
        <v>304</v>
      </c>
      <c r="P52" s="13">
        <v>10010</v>
      </c>
      <c r="R52" s="13" t="s">
        <v>298</v>
      </c>
      <c r="S52" s="13" t="s">
        <v>299</v>
      </c>
      <c r="T52" s="13" t="s">
        <v>305</v>
      </c>
      <c r="U52" s="13" t="s">
        <v>125</v>
      </c>
      <c r="V52" s="13">
        <v>167.75</v>
      </c>
      <c r="W52" s="44">
        <f>IF($AX52="Cancelled","",IFERROR(((V52+INDEX(Variables!$B$6:$D$6,IFERROR(MATCH(IF($B52="Robusta","Robusta",(IF($B52="","Arabica",$B52))&amp;" - "&amp;(IF($C52="","Commercial",$C52))),Variables!$B$1:$D$1,0),1)))*22.0462)*(L52/16.67),""))</f>
        <v>26076.739977804438</v>
      </c>
      <c r="X52" s="55" t="s">
        <v>39</v>
      </c>
      <c r="Y52" s="13" t="str">
        <f>IF($AX52="Cancelled","",IF(X52="","",IFERROR(IF(INDEX(Variables!$B$38:$B$47,MATCH(X52,Variables!$A$38:$A$47,0))="Yes","Yes","No"),"No")))</f>
        <v>No</v>
      </c>
      <c r="Z52" s="31"/>
      <c r="AB52" s="31">
        <v>45640.875</v>
      </c>
      <c r="AC52" s="13" t="str">
        <f t="shared" si="0"/>
        <v>Approved</v>
      </c>
      <c r="AF52" s="71">
        <f>AJ52-7</f>
        <v>45667</v>
      </c>
      <c r="AG52" s="36">
        <f>IF($AX52="Cancelled","",IFERROR(IF(F52="","",F52-Variables!$B$13),""))</f>
        <v>45673</v>
      </c>
      <c r="AH52" s="13">
        <f>IF($AX52="Cancelled","",IFERROR(IF(AB52="","",(AVERAGE(E52:F52)-AB52)-Variables!$B$14),""))</f>
        <v>2.125</v>
      </c>
      <c r="AJ52" s="47">
        <v>45674</v>
      </c>
      <c r="AK52" s="14">
        <f>IF($AX52="Cancelled","",IFERROR(IF(AJ52="","",IF(AND(AB52="",AF52=""),"",IF(AF52&gt;AB52,AF52+Variables!$B$15+Variables!$B$16+Variables!$B$17-AJ52,AB52+Variables!$B$16+Variables!$B$17-AJ52))),""))</f>
        <v>8</v>
      </c>
      <c r="AL52" s="48" t="s">
        <v>114</v>
      </c>
      <c r="AM52" s="13" t="s">
        <v>168</v>
      </c>
      <c r="AN52" s="13" t="s">
        <v>146</v>
      </c>
      <c r="AP52" s="31">
        <v>45685</v>
      </c>
      <c r="AR52" s="13" t="s">
        <v>3249</v>
      </c>
      <c r="AS52" s="31">
        <v>45688</v>
      </c>
      <c r="AU52" s="31">
        <v>45693</v>
      </c>
      <c r="AV52" s="13" t="s">
        <v>3266</v>
      </c>
      <c r="AW52" s="31">
        <v>45699</v>
      </c>
      <c r="AX52" s="13" t="str">
        <f>IF(ISNUMBER(SEARCH("cancel",#REF!)),"Cancelled",IF(AND(AS52&lt;&gt;"",AU52&lt;&gt;"",AW52&lt;&gt;""),"Closed","Open"))</f>
        <v>Closed</v>
      </c>
      <c r="AY52" s="15" t="str">
        <f t="shared" si="1"/>
        <v>All dates received</v>
      </c>
      <c r="BD52" s="13">
        <f>IF($AX52="Cancelled","",IFERROR(IF(OR(AS52="",AJ52=""),"",(AJ52+Variables!$B$18-AS52)),""))</f>
        <v>1</v>
      </c>
      <c r="BE52" s="13">
        <f>IF($AX52="Cancelled","",IFERROR(IF(OR(AW52="",AS52=""),"",(AS52+Variables!$B$19)-AW52),""))</f>
        <v>-6</v>
      </c>
      <c r="BF52" s="44">
        <f>IF($AX52="Cancelled","",IFERROR(W52*INDEX(Variables!$B$7:$D$7,IFERROR(MATCH(IF($B52="Robusta","Robusta",(IF($B52="","Arabica",$B52))&amp;" - "&amp;(IF($C52="","Commercial",$C52))),Variables!$B$1:$D$1,0),1))*(BE52/365),""))</f>
        <v>-27.640858563234762</v>
      </c>
      <c r="BG52" s="44">
        <f>IF($AX52="Cancelled","",IFERROR((W52*INDEX(Variables!$B$7:$D$7,IFERROR(MATCH(IF($B52="Robusta","Robusta",(IF($B52="","Arabica",$B52))&amp;" - "&amp;(IF($C52="","Commercial",$C52))),Variables!$B$1:$D$1,0),1))*IFERROR(IF(AB52="","",(AVERAGE(E52:F52)-AB52)-Variables!$B$14),"")/365)+(L52/16.67*INDEX(Variables!$B$8:$D$8,IFERROR(MATCH(IF($B52="Robusta","Robusta",(IF($B52="","Arabica",$B52))&amp;" - "&amp;(IF($C52="","Commercial",$C52))),Variables!$B$1:$D$1,0),1))*IFERROR(IF(AB52="","",(AVERAGE(E52:F52)-AB52)-Variables!$B$14),""))+(W52*INDEX(Variables!$B$9:$D$9,IFERROR(MATCH(IF($B52="Robusta","Robusta",(IF($B52="","Arabica",$B52))&amp;" - "&amp;(IF($C52="","Commercial",$C52))),Variables!$B$1:$D$1,0),1))*IFERROR(IF(AB52="","",(AVERAGE(E52:F52)-AB52)-Variables!$B$14),"")/365),""))</f>
        <v>14.484425911364939</v>
      </c>
      <c r="BH52" s="44">
        <f>IF($AX52="Cancelled","",IFERROR((W52*INDEX(Variables!$B$7:$D$7,IFERROR(MATCH(IF($B52="Robusta","Robusta",(IF($B52="","Arabica",$B52))&amp;" - "&amp;(IF($C52="","Commercial",$C52))),Variables!$B$1:$D$1,0),1))*AK52/365)+(L52/16.67*INDEX(Variables!$B$8:$D$8,IFERROR(MATCH(IF($B52="Robusta","Robusta",(IF($B52="","Arabica",$B52))&amp;" - "&amp;(IF($C52="","Commercial",$C52))),Variables!$B$1:$D$1,0),1))*AK52)+(W52*INDEX(Variables!$B$9:$D$9,IFERROR(MATCH(IF($B52="Robusta","Robusta",(IF($B52="","Arabica",$B52))&amp;" - "&amp;(IF($C52="","Commercial",$C52))),Variables!$B$1:$D$1,0),1))*AK52/365),""))</f>
        <v>54.529603431020938</v>
      </c>
      <c r="BI52" s="44">
        <f>IF($AX52="Cancelled","",IFERROR((W52*INDEX(Variables!$B$7:$D$7,IFERROR(MATCH(IF($B52="Robusta","Robusta",(IF($B52="","Arabica",$B52))&amp;" - "&amp;(IF($C52="","Commercial",$C52))),Variables!$B$1:$D$1,0),1))*BD52/365)+(L52/16.67*INDEX(Variables!$B$8:$D$8,IFERROR(MATCH(IF($B52="Robusta","Robusta",(IF($B52="","Arabica",$B52))&amp;" - "&amp;(IF($C52="","Commercial",$C52))),Variables!$B$1:$D$1,0),1))*BD52)+(W52*INDEX(Variables!$B$9:$D$9,IFERROR(MATCH(IF($B52="Robusta","Robusta",(IF($B52="","Arabica",$B52))&amp;" - "&amp;(IF($C52="","Commercial",$C52))),Variables!$B$1:$D$1,0),1))*BD52/365),""))</f>
        <v>6.8162004288776172</v>
      </c>
      <c r="BJ52" s="44">
        <f t="shared" si="2"/>
        <v>0</v>
      </c>
      <c r="BK52" s="44">
        <f>IF($AX52="Cancelled","",IFERROR(IF(BJ52="","",(W52*INDEX(Variables!$B$7:$D$7,IFERROR(MATCH(IF($B52="Robusta","Robusta",(IF($B52="","Arabica",$B52))&amp;" - "&amp;(IF($C52="","Commercial",$C52))),Variables!$B$1:$D$1,0),1))*(BJ52/365))+(W52*INDEX(Variables!$B$9:$D$9,IFERROR(MATCH(IF($B52="Robusta","Robusta",(IF($B52="","Arabica",$B52))&amp;" - "&amp;(IF($C52="","Commercial",$C52))),Variables!$B$1:$D$1,0),1))*(BJ52/365))+(INDEX(Variables!$B$8:$D$8,IFERROR(MATCH(IF($B52="Robusta","Robusta",(IF($B52="","Arabica",$B52))&amp;" - "&amp;(IF($C52="","Commercial",$C52))),Variables!$B$1:$D$1,0),1))*L52/16.67)),""))</f>
        <v>2.15</v>
      </c>
    </row>
    <row r="53" spans="1:63">
      <c r="A53" s="13" t="s">
        <v>103</v>
      </c>
      <c r="B53" s="13" t="s">
        <v>104</v>
      </c>
      <c r="C53" s="13" t="s">
        <v>292</v>
      </c>
      <c r="D53" s="31">
        <v>45632</v>
      </c>
      <c r="E53" s="31">
        <v>45658</v>
      </c>
      <c r="F53" s="31">
        <v>45688</v>
      </c>
      <c r="G53" s="13">
        <v>3786560</v>
      </c>
      <c r="H53" s="13" t="s">
        <v>309</v>
      </c>
      <c r="J53" s="13" t="s">
        <v>294</v>
      </c>
      <c r="K53" s="13" t="s">
        <v>310</v>
      </c>
      <c r="L53" s="13">
        <v>40</v>
      </c>
      <c r="M53" s="13">
        <v>0</v>
      </c>
      <c r="N53" s="13" t="s">
        <v>311</v>
      </c>
      <c r="O53" s="13" t="s">
        <v>304</v>
      </c>
      <c r="P53" s="13">
        <v>10010</v>
      </c>
      <c r="R53" s="13" t="s">
        <v>298</v>
      </c>
      <c r="S53" s="13" t="s">
        <v>299</v>
      </c>
      <c r="T53" s="13" t="s">
        <v>305</v>
      </c>
      <c r="U53" s="13" t="s">
        <v>125</v>
      </c>
      <c r="V53" s="13">
        <v>163.75</v>
      </c>
      <c r="W53" s="44">
        <f>IF($AX53="Cancelled","",IFERROR(((V53+INDEX(Variables!$B$6:$D$6,IFERROR(MATCH(IF($B53="Robusta","Robusta",(IF($B53="","Arabica",$B53))&amp;" - "&amp;(IF($C53="","Commercial",$C53))),Variables!$B$1:$D$1,0),1)))*22.0462)*(L53/16.67),""))</f>
        <v>24045.831337732452</v>
      </c>
      <c r="X53" s="55" t="s">
        <v>39</v>
      </c>
      <c r="Y53" s="13" t="str">
        <f>IF($AX53="Cancelled","",IF(X53="","",IFERROR(IF(INDEX(Variables!$B$38:$B$47,MATCH(X53,Variables!$A$38:$A$47,0))="Yes","Yes","No"),"No")))</f>
        <v>No</v>
      </c>
      <c r="Z53" s="31"/>
      <c r="AB53" s="31">
        <v>45640.875</v>
      </c>
      <c r="AC53" s="13" t="str">
        <f t="shared" si="0"/>
        <v>Approved</v>
      </c>
      <c r="AF53" s="71">
        <f>AJ53-7</f>
        <v>45667</v>
      </c>
      <c r="AG53" s="36">
        <f>IF($AX53="Cancelled","",IFERROR(IF(F53="","",F53-Variables!$B$13),""))</f>
        <v>45673</v>
      </c>
      <c r="AH53" s="13">
        <f>IF($AX53="Cancelled","",IFERROR(IF(AB53="","",(AVERAGE(E53:F53)-AB53)-Variables!$B$14),""))</f>
        <v>2.125</v>
      </c>
      <c r="AJ53" s="47">
        <v>45674</v>
      </c>
      <c r="AK53" s="14">
        <f>IF($AX53="Cancelled","",IFERROR(IF(AJ53="","",IF(AND(AB53="",AF53=""),"",IF(AF53&gt;AB53,AF53+Variables!$B$15+Variables!$B$16+Variables!$B$17-AJ53,AB53+Variables!$B$16+Variables!$B$17-AJ53))),""))</f>
        <v>8</v>
      </c>
      <c r="AL53" s="48" t="s">
        <v>114</v>
      </c>
      <c r="AM53" s="13" t="s">
        <v>168</v>
      </c>
      <c r="AN53" s="13" t="s">
        <v>146</v>
      </c>
      <c r="AP53" s="31">
        <v>45685</v>
      </c>
      <c r="AR53" s="13" t="s">
        <v>3249</v>
      </c>
      <c r="AS53" s="31">
        <v>45688</v>
      </c>
      <c r="AU53" s="31">
        <v>45693</v>
      </c>
      <c r="AV53" s="13" t="s">
        <v>3266</v>
      </c>
      <c r="AW53" s="31">
        <v>45699</v>
      </c>
      <c r="AX53" s="13" t="str">
        <f>IF(ISNUMBER(SEARCH("cancel",#REF!)),"Cancelled",IF(AND(AS53&lt;&gt;"",AU53&lt;&gt;"",AW53&lt;&gt;""),"Closed","Open"))</f>
        <v>Closed</v>
      </c>
      <c r="AY53" s="15" t="str">
        <f t="shared" si="1"/>
        <v>All dates received</v>
      </c>
      <c r="BD53" s="13">
        <f>IF($AX53="Cancelled","",IFERROR(IF(OR(AS53="",AJ53=""),"",(AJ53+Variables!$B$18-AS53)),""))</f>
        <v>1</v>
      </c>
      <c r="BE53" s="13">
        <f>IF($AX53="Cancelled","",IFERROR(IF(OR(AW53="",AS53=""),"",(AS53+Variables!$B$19)-AW53),""))</f>
        <v>-6</v>
      </c>
      <c r="BF53" s="44">
        <f>IF($AX53="Cancelled","",IFERROR(W53*INDEX(Variables!$B$7:$D$7,IFERROR(MATCH(IF($B53="Robusta","Robusta",(IF($B53="","Arabica",$B53))&amp;" - "&amp;(IF($C53="","Commercial",$C53))),Variables!$B$1:$D$1,0),1))*(BE53/365),""))</f>
        <v>-25.488133240864624</v>
      </c>
      <c r="BG53" s="44">
        <f>IF($AX53="Cancelled","",IFERROR((W53*INDEX(Variables!$B$7:$D$7,IFERROR(MATCH(IF($B53="Robusta","Robusta",(IF($B53="","Arabica",$B53))&amp;" - "&amp;(IF($C53="","Commercial",$C53))),Variables!$B$1:$D$1,0),1))*IFERROR(IF(AB53="","",(AVERAGE(E53:F53)-AB53)-Variables!$B$14),"")/365)+(L53/16.67*INDEX(Variables!$B$8:$D$8,IFERROR(MATCH(IF($B53="Robusta","Robusta",(IF($B53="","Arabica",$B53))&amp;" - "&amp;(IF($C53="","Commercial",$C53))),Variables!$B$1:$D$1,0),1))*IFERROR(IF(AB53="","",(AVERAGE(E53:F53)-AB53)-Variables!$B$14),""))+(W53*INDEX(Variables!$B$9:$D$9,IFERROR(MATCH(IF($B53="Robusta","Robusta",(IF($B53="","Arabica",$B53))&amp;" - "&amp;(IF($C53="","Commercial",$C53))),Variables!$B$1:$D$1,0),1))*IFERROR(IF(AB53="","",(AVERAGE(E53:F53)-AB53)-Variables!$B$14),"")/365),""))</f>
        <v>13.393423248735891</v>
      </c>
      <c r="BH53" s="44">
        <f>IF($AX53="Cancelled","",IFERROR((W53*INDEX(Variables!$B$7:$D$7,IFERROR(MATCH(IF($B53="Robusta","Robusta",(IF($B53="","Arabica",$B53))&amp;" - "&amp;(IF($C53="","Commercial",$C53))),Variables!$B$1:$D$1,0),1))*AK53/365)+(L53/16.67*INDEX(Variables!$B$8:$D$8,IFERROR(MATCH(IF($B53="Robusta","Robusta",(IF($B53="","Arabica",$B53))&amp;" - "&amp;(IF($C53="","Commercial",$C53))),Variables!$B$1:$D$1,0),1))*AK53)+(W53*INDEX(Variables!$B$9:$D$9,IFERROR(MATCH(IF($B53="Robusta","Robusta",(IF($B53="","Arabica",$B53))&amp;" - "&amp;(IF($C53="","Commercial",$C53))),Variables!$B$1:$D$1,0),1))*AK53/365),""))</f>
        <v>50.422299289358648</v>
      </c>
      <c r="BI53" s="44">
        <f>IF($AX53="Cancelled","",IFERROR((W53*INDEX(Variables!$B$7:$D$7,IFERROR(MATCH(IF($B53="Robusta","Robusta",(IF($B53="","Arabica",$B53))&amp;" - "&amp;(IF($C53="","Commercial",$C53))),Variables!$B$1:$D$1,0),1))*BD53/365)+(L53/16.67*INDEX(Variables!$B$8:$D$8,IFERROR(MATCH(IF($B53="Robusta","Robusta",(IF($B53="","Arabica",$B53))&amp;" - "&amp;(IF($C53="","Commercial",$C53))),Variables!$B$1:$D$1,0),1))*BD53)+(W53*INDEX(Variables!$B$9:$D$9,IFERROR(MATCH(IF($B53="Robusta","Robusta",(IF($B53="","Arabica",$B53))&amp;" - "&amp;(IF($C53="","Commercial",$C53))),Variables!$B$1:$D$1,0),1))*BD53/365),""))</f>
        <v>6.302787411169831</v>
      </c>
      <c r="BJ53" s="44">
        <f t="shared" si="2"/>
        <v>0</v>
      </c>
      <c r="BK53" s="44">
        <f>IF($AX53="Cancelled","",IFERROR(IF(BJ53="","",(W53*INDEX(Variables!$B$7:$D$7,IFERROR(MATCH(IF($B53="Robusta","Robusta",(IF($B53="","Arabica",$B53))&amp;" - "&amp;(IF($C53="","Commercial",$C53))),Variables!$B$1:$D$1,0),1))*(BJ53/365))+(W53*INDEX(Variables!$B$9:$D$9,IFERROR(MATCH(IF($B53="Robusta","Robusta",(IF($B53="","Arabica",$B53))&amp;" - "&amp;(IF($C53="","Commercial",$C53))),Variables!$B$1:$D$1,0),1))*(BJ53/365))+(INDEX(Variables!$B$8:$D$8,IFERROR(MATCH(IF($B53="Robusta","Robusta",(IF($B53="","Arabica",$B53))&amp;" - "&amp;(IF($C53="","Commercial",$C53))),Variables!$B$1:$D$1,0),1))*L53/16.67)),""))</f>
        <v>2</v>
      </c>
    </row>
    <row r="54" spans="1:63">
      <c r="A54" s="13" t="s">
        <v>103</v>
      </c>
      <c r="B54" s="13" t="s">
        <v>104</v>
      </c>
      <c r="C54" s="13" t="s">
        <v>292</v>
      </c>
      <c r="D54" s="31">
        <v>45632</v>
      </c>
      <c r="E54" s="31">
        <v>45658</v>
      </c>
      <c r="F54" s="31">
        <v>45688</v>
      </c>
      <c r="G54" s="13">
        <v>3786561</v>
      </c>
      <c r="H54" s="13" t="s">
        <v>312</v>
      </c>
      <c r="J54" s="13" t="s">
        <v>294</v>
      </c>
      <c r="K54" s="13" t="s">
        <v>313</v>
      </c>
      <c r="L54" s="13">
        <v>45</v>
      </c>
      <c r="M54" s="13">
        <v>0</v>
      </c>
      <c r="N54" s="13" t="s">
        <v>314</v>
      </c>
      <c r="O54" s="13" t="s">
        <v>297</v>
      </c>
      <c r="P54" s="13">
        <v>10020</v>
      </c>
      <c r="R54" s="13" t="s">
        <v>298</v>
      </c>
      <c r="S54" s="13" t="s">
        <v>299</v>
      </c>
      <c r="T54" s="13" t="s">
        <v>305</v>
      </c>
      <c r="U54" s="13" t="s">
        <v>125</v>
      </c>
      <c r="V54" s="13">
        <v>29.75</v>
      </c>
      <c r="W54" s="44">
        <f>IF($AX54="Cancelled","",IFERROR(((V54+INDEX(Variables!$B$6:$D$6,IFERROR(MATCH(IF($B54="Robusta","Robusta",(IF($B54="","Arabica",$B54))&amp;" - "&amp;(IF($C54="","Commercial",$C54))),Variables!$B$1:$D$1,0),1)))*22.0462)*(L54/16.67),""))</f>
        <v>19076.840038992203</v>
      </c>
      <c r="X54" s="55" t="s">
        <v>39</v>
      </c>
      <c r="Y54" s="13" t="str">
        <f>IF($AX54="Cancelled","",IF(X54="","",IFERROR(IF(INDEX(Variables!$B$38:$B$47,MATCH(X54,Variables!$A$38:$A$47,0))="Yes","Yes","No"),"No")))</f>
        <v>No</v>
      </c>
      <c r="Z54" s="31"/>
      <c r="AB54" s="31">
        <v>45640.875</v>
      </c>
      <c r="AC54" s="13" t="str">
        <f t="shared" si="0"/>
        <v>Approved</v>
      </c>
      <c r="AF54" s="71">
        <f>AJ54-7</f>
        <v>45667</v>
      </c>
      <c r="AG54" s="36">
        <f>IF($AX54="Cancelled","",IFERROR(IF(F54="","",F54-Variables!$B$13),""))</f>
        <v>45673</v>
      </c>
      <c r="AH54" s="13">
        <f>IF($AX54="Cancelled","",IFERROR(IF(AB54="","",(AVERAGE(E54:F54)-AB54)-Variables!$B$14),""))</f>
        <v>2.125</v>
      </c>
      <c r="AJ54" s="47">
        <v>45674</v>
      </c>
      <c r="AK54" s="14">
        <f>IF($AX54="Cancelled","",IFERROR(IF(AJ54="","",IF(AND(AB54="",AF54=""),"",IF(AF54&gt;AB54,AF54+Variables!$B$15+Variables!$B$16+Variables!$B$17-AJ54,AB54+Variables!$B$16+Variables!$B$17-AJ54))),""))</f>
        <v>8</v>
      </c>
      <c r="AL54" s="48" t="s">
        <v>114</v>
      </c>
      <c r="AM54" s="13" t="s">
        <v>168</v>
      </c>
      <c r="AN54" s="13" t="s">
        <v>146</v>
      </c>
      <c r="AP54" s="31">
        <v>45685</v>
      </c>
      <c r="AR54" s="13" t="s">
        <v>3249</v>
      </c>
      <c r="AS54" s="31">
        <v>45688</v>
      </c>
      <c r="AU54" s="31">
        <v>45693</v>
      </c>
      <c r="AV54" s="13" t="s">
        <v>3266</v>
      </c>
      <c r="AW54" s="31">
        <v>45699</v>
      </c>
      <c r="AX54" s="13" t="str">
        <f>IF(ISNUMBER(SEARCH("cancel",#REF!)),"Cancelled",IF(AND(AS54&lt;&gt;"",AU54&lt;&gt;"",AW54&lt;&gt;""),"Closed","Open"))</f>
        <v>Closed</v>
      </c>
      <c r="AY54" s="15" t="str">
        <f t="shared" si="1"/>
        <v>All dates received</v>
      </c>
      <c r="BD54" s="13">
        <f>IF($AX54="Cancelled","",IFERROR(IF(OR(AS54="",AJ54=""),"",(AJ54+Variables!$B$18-AS54)),""))</f>
        <v>1</v>
      </c>
      <c r="BE54" s="13">
        <f>IF($AX54="Cancelled","",IFERROR(IF(OR(AW54="",AS54=""),"",(AS54+Variables!$B$19)-AW54),""))</f>
        <v>-6</v>
      </c>
      <c r="BF54" s="44">
        <f>IF($AX54="Cancelled","",IFERROR(W54*INDEX(Variables!$B$7:$D$7,IFERROR(MATCH(IF($B54="Robusta","Robusta",(IF($B54="","Arabica",$B54))&amp;" - "&amp;(IF($C54="","Commercial",$C54))),Variables!$B$1:$D$1,0),1))*(BE54/365),""))</f>
        <v>-20.22109503718854</v>
      </c>
      <c r="BG54" s="44">
        <f>IF($AX54="Cancelled","",IFERROR((W54*INDEX(Variables!$B$7:$D$7,IFERROR(MATCH(IF($B54="Robusta","Robusta",(IF($B54="","Arabica",$B54))&amp;" - "&amp;(IF($C54="","Commercial",$C54))),Variables!$B$1:$D$1,0),1))*IFERROR(IF(AB54="","",(AVERAGE(E54:F54)-AB54)-Variables!$B$14),"")/365)+(L54/16.67*INDEX(Variables!$B$8:$D$8,IFERROR(MATCH(IF($B54="Robusta","Robusta",(IF($B54="","Arabica",$B54))&amp;" - "&amp;(IF($C54="","Commercial",$C54))),Variables!$B$1:$D$1,0),1))*IFERROR(IF(AB54="","",(AVERAGE(E54:F54)-AB54)-Variables!$B$14),""))+(W54*INDEX(Variables!$B$9:$D$9,IFERROR(MATCH(IF($B54="Robusta","Robusta",(IF($B54="","Arabica",$B54))&amp;" - "&amp;(IF($C54="","Commercial",$C54))),Variables!$B$1:$D$1,0),1))*IFERROR(IF(AB54="","",(AVERAGE(E54:F54)-AB54)-Variables!$B$14),"")/365),""))</f>
        <v>12.035215158244588</v>
      </c>
      <c r="BH54" s="44">
        <f>IF($AX54="Cancelled","",IFERROR((W54*INDEX(Variables!$B$7:$D$7,IFERROR(MATCH(IF($B54="Robusta","Robusta",(IF($B54="","Arabica",$B54))&amp;" - "&amp;(IF($C54="","Commercial",$C54))),Variables!$B$1:$D$1,0),1))*AK54/365)+(L54/16.67*INDEX(Variables!$B$8:$D$8,IFERROR(MATCH(IF($B54="Robusta","Robusta",(IF($B54="","Arabica",$B54))&amp;" - "&amp;(IF($C54="","Commercial",$C54))),Variables!$B$1:$D$1,0),1))*AK54)+(W54*INDEX(Variables!$B$9:$D$9,IFERROR(MATCH(IF($B54="Robusta","Robusta",(IF($B54="","Arabica",$B54))&amp;" - "&amp;(IF($C54="","Commercial",$C54))),Variables!$B$1:$D$1,0),1))*AK54/365),""))</f>
        <v>45.309045301626682</v>
      </c>
      <c r="BI54" s="44">
        <f>IF($AX54="Cancelled","",IFERROR((W54*INDEX(Variables!$B$7:$D$7,IFERROR(MATCH(IF($B54="Robusta","Robusta",(IF($B54="","Arabica",$B54))&amp;" - "&amp;(IF($C54="","Commercial",$C54))),Variables!$B$1:$D$1,0),1))*BD54/365)+(L54/16.67*INDEX(Variables!$B$8:$D$8,IFERROR(MATCH(IF($B54="Robusta","Robusta",(IF($B54="","Arabica",$B54))&amp;" - "&amp;(IF($C54="","Commercial",$C54))),Variables!$B$1:$D$1,0),1))*BD54)+(W54*INDEX(Variables!$B$9:$D$9,IFERROR(MATCH(IF($B54="Robusta","Robusta",(IF($B54="","Arabica",$B54))&amp;" - "&amp;(IF($C54="","Commercial",$C54))),Variables!$B$1:$D$1,0),1))*BD54/365),""))</f>
        <v>5.6636306627033353</v>
      </c>
      <c r="BJ54" s="44">
        <f t="shared" si="2"/>
        <v>0</v>
      </c>
      <c r="BK54" s="44">
        <f>IF($AX54="Cancelled","",IFERROR(IF(BJ54="","",(W54*INDEX(Variables!$B$7:$D$7,IFERROR(MATCH(IF($B54="Robusta","Robusta",(IF($B54="","Arabica",$B54))&amp;" - "&amp;(IF($C54="","Commercial",$C54))),Variables!$B$1:$D$1,0),1))*(BJ54/365))+(W54*INDEX(Variables!$B$9:$D$9,IFERROR(MATCH(IF($B54="Robusta","Robusta",(IF($B54="","Arabica",$B54))&amp;" - "&amp;(IF($C54="","Commercial",$C54))),Variables!$B$1:$D$1,0),1))*(BJ54/365))+(INDEX(Variables!$B$8:$D$8,IFERROR(MATCH(IF($B54="Robusta","Robusta",(IF($B54="","Arabica",$B54))&amp;" - "&amp;(IF($C54="","Commercial",$C54))),Variables!$B$1:$D$1,0),1))*L54/16.67)),""))</f>
        <v>2.25</v>
      </c>
    </row>
    <row r="55" spans="1:63">
      <c r="A55" s="13" t="s">
        <v>103</v>
      </c>
      <c r="B55" s="13" t="s">
        <v>104</v>
      </c>
      <c r="C55" s="13" t="s">
        <v>292</v>
      </c>
      <c r="D55" s="31">
        <v>45632</v>
      </c>
      <c r="E55" s="31">
        <v>45658</v>
      </c>
      <c r="F55" s="31">
        <v>45688</v>
      </c>
      <c r="G55" s="13">
        <v>3786562</v>
      </c>
      <c r="H55" s="13" t="s">
        <v>315</v>
      </c>
      <c r="J55" s="13" t="s">
        <v>294</v>
      </c>
      <c r="K55" s="13" t="s">
        <v>316</v>
      </c>
      <c r="L55" s="13">
        <v>45</v>
      </c>
      <c r="M55" s="13">
        <v>0</v>
      </c>
      <c r="N55" s="13" t="s">
        <v>317</v>
      </c>
      <c r="O55" s="13" t="s">
        <v>297</v>
      </c>
      <c r="P55" s="13">
        <v>10020</v>
      </c>
      <c r="R55" s="13" t="s">
        <v>298</v>
      </c>
      <c r="S55" s="13" t="s">
        <v>299</v>
      </c>
      <c r="T55" s="13" t="s">
        <v>305</v>
      </c>
      <c r="U55" s="13" t="s">
        <v>125</v>
      </c>
      <c r="V55" s="13">
        <v>26.75</v>
      </c>
      <c r="W55" s="44">
        <f>IF($AX55="Cancelled","",IFERROR(((V55+INDEX(Variables!$B$6:$D$6,IFERROR(MATCH(IF($B55="Robusta","Robusta",(IF($B55="","Arabica",$B55))&amp;" - "&amp;(IF($C55="","Commercial",$C55))),Variables!$B$1:$D$1,0),1)))*22.0462)*(L55/16.67),""))</f>
        <v>18898.30152669466</v>
      </c>
      <c r="X55" s="55" t="s">
        <v>39</v>
      </c>
      <c r="Y55" s="13" t="str">
        <f>IF($AX55="Cancelled","",IF(X55="","",IFERROR(IF(INDEX(Variables!$B$38:$B$47,MATCH(X55,Variables!$A$38:$A$47,0))="Yes","Yes","No"),"No")))</f>
        <v>No</v>
      </c>
      <c r="Z55" s="31"/>
      <c r="AB55" s="31">
        <v>45640.875</v>
      </c>
      <c r="AC55" s="13" t="str">
        <f t="shared" si="0"/>
        <v>Approved</v>
      </c>
      <c r="AF55" s="71">
        <f>AJ55-7</f>
        <v>45667</v>
      </c>
      <c r="AG55" s="36">
        <f>IF($AX55="Cancelled","",IFERROR(IF(F55="","",F55-Variables!$B$13),""))</f>
        <v>45673</v>
      </c>
      <c r="AH55" s="13">
        <f>IF($AX55="Cancelled","",IFERROR(IF(AB55="","",(AVERAGE(E55:F55)-AB55)-Variables!$B$14),""))</f>
        <v>2.125</v>
      </c>
      <c r="AJ55" s="47">
        <v>45674</v>
      </c>
      <c r="AK55" s="14">
        <f>IF($AX55="Cancelled","",IFERROR(IF(AJ55="","",IF(AND(AB55="",AF55=""),"",IF(AF55&gt;AB55,AF55+Variables!$B$15+Variables!$B$16+Variables!$B$17-AJ55,AB55+Variables!$B$16+Variables!$B$17-AJ55))),""))</f>
        <v>8</v>
      </c>
      <c r="AL55" s="48" t="s">
        <v>114</v>
      </c>
      <c r="AM55" s="13" t="s">
        <v>168</v>
      </c>
      <c r="AN55" s="13" t="s">
        <v>146</v>
      </c>
      <c r="AP55" s="31">
        <v>45685</v>
      </c>
      <c r="AR55" s="13" t="s">
        <v>3249</v>
      </c>
      <c r="AS55" s="31">
        <v>45688</v>
      </c>
      <c r="AU55" s="31">
        <v>45693</v>
      </c>
      <c r="AV55" s="13" t="s">
        <v>3266</v>
      </c>
      <c r="AW55" s="31">
        <v>45699</v>
      </c>
      <c r="AX55" s="13" t="str">
        <f>IF(ISNUMBER(SEARCH("cancel",#REF!)),"Cancelled",IF(AND(AS55&lt;&gt;"",AU55&lt;&gt;"",AW55&lt;&gt;""),"Closed","Open"))</f>
        <v>Closed</v>
      </c>
      <c r="AY55" s="15" t="str">
        <f t="shared" si="1"/>
        <v>All dates received</v>
      </c>
      <c r="BD55" s="13">
        <f>IF($AX55="Cancelled","",IFERROR(IF(OR(AS55="",AJ55=""),"",(AJ55+Variables!$B$18-AS55)),""))</f>
        <v>1</v>
      </c>
      <c r="BE55" s="13">
        <f>IF($AX55="Cancelled","",IFERROR(IF(OR(AW55="",AS55=""),"",(AS55+Variables!$B$19)-AW55),""))</f>
        <v>-6</v>
      </c>
      <c r="BF55" s="44">
        <f>IF($AX55="Cancelled","",IFERROR(W55*INDEX(Variables!$B$7:$D$7,IFERROR(MATCH(IF($B55="Robusta","Robusta",(IF($B55="","Arabica",$B55))&amp;" - "&amp;(IF($C55="","Commercial",$C55))),Variables!$B$1:$D$1,0),1))*(BE55/365),""))</f>
        <v>-20.031847540350089</v>
      </c>
      <c r="BG55" s="44">
        <f>IF($AX55="Cancelled","",IFERROR((W55*INDEX(Variables!$B$7:$D$7,IFERROR(MATCH(IF($B55="Robusta","Robusta",(IF($B55="","Arabica",$B55))&amp;" - "&amp;(IF($C55="","Commercial",$C55))),Variables!$B$1:$D$1,0),1))*IFERROR(IF(AB55="","",(AVERAGE(E55:F55)-AB55)-Variables!$B$14),"")/365)+(L55/16.67*INDEX(Variables!$B$8:$D$8,IFERROR(MATCH(IF($B55="Robusta","Robusta",(IF($B55="","Arabica",$B55))&amp;" - "&amp;(IF($C55="","Commercial",$C55))),Variables!$B$1:$D$1,0),1))*IFERROR(IF(AB55="","",(AVERAGE(E55:F55)-AB55)-Variables!$B$14),""))+(W55*INDEX(Variables!$B$9:$D$9,IFERROR(MATCH(IF($B55="Robusta","Robusta",(IF($B55="","Arabica",$B55))&amp;" - "&amp;(IF($C55="","Commercial",$C55))),Variables!$B$1:$D$1,0),1))*IFERROR(IF(AB55="","",(AVERAGE(E55:F55)-AB55)-Variables!$B$14),"")/365),""))</f>
        <v>11.96732591951511</v>
      </c>
      <c r="BH55" s="44">
        <f>IF($AX55="Cancelled","",IFERROR((W55*INDEX(Variables!$B$7:$D$7,IFERROR(MATCH(IF($B55="Robusta","Robusta",(IF($B55="","Arabica",$B55))&amp;" - "&amp;(IF($C55="","Commercial",$C55))),Variables!$B$1:$D$1,0),1))*AK55/365)+(L55/16.67*INDEX(Variables!$B$8:$D$8,IFERROR(MATCH(IF($B55="Robusta","Robusta",(IF($B55="","Arabica",$B55))&amp;" - "&amp;(IF($C55="","Commercial",$C55))),Variables!$B$1:$D$1,0),1))*AK55)+(W55*INDEX(Variables!$B$9:$D$9,IFERROR(MATCH(IF($B55="Robusta","Robusta",(IF($B55="","Arabica",$B55))&amp;" - "&amp;(IF($C55="","Commercial",$C55))),Variables!$B$1:$D$1,0),1))*AK55/365),""))</f>
        <v>45.053462285233358</v>
      </c>
      <c r="BI55" s="44">
        <f>IF($AX55="Cancelled","",IFERROR((W55*INDEX(Variables!$B$7:$D$7,IFERROR(MATCH(IF($B55="Robusta","Robusta",(IF($B55="","Arabica",$B55))&amp;" - "&amp;(IF($C55="","Commercial",$C55))),Variables!$B$1:$D$1,0),1))*BD55/365)+(L55/16.67*INDEX(Variables!$B$8:$D$8,IFERROR(MATCH(IF($B55="Robusta","Robusta",(IF($B55="","Arabica",$B55))&amp;" - "&amp;(IF($C55="","Commercial",$C55))),Variables!$B$1:$D$1,0),1))*BD55)+(W55*INDEX(Variables!$B$9:$D$9,IFERROR(MATCH(IF($B55="Robusta","Robusta",(IF($B55="","Arabica",$B55))&amp;" - "&amp;(IF($C55="","Commercial",$C55))),Variables!$B$1:$D$1,0),1))*BD55/365),""))</f>
        <v>5.6316827856541698</v>
      </c>
      <c r="BJ55" s="44">
        <f t="shared" si="2"/>
        <v>0</v>
      </c>
      <c r="BK55" s="44">
        <f>IF($AX55="Cancelled","",IFERROR(IF(BJ55="","",(W55*INDEX(Variables!$B$7:$D$7,IFERROR(MATCH(IF($B55="Robusta","Robusta",(IF($B55="","Arabica",$B55))&amp;" - "&amp;(IF($C55="","Commercial",$C55))),Variables!$B$1:$D$1,0),1))*(BJ55/365))+(W55*INDEX(Variables!$B$9:$D$9,IFERROR(MATCH(IF($B55="Robusta","Robusta",(IF($B55="","Arabica",$B55))&amp;" - "&amp;(IF($C55="","Commercial",$C55))),Variables!$B$1:$D$1,0),1))*(BJ55/365))+(INDEX(Variables!$B$8:$D$8,IFERROR(MATCH(IF($B55="Robusta","Robusta",(IF($B55="","Arabica",$B55))&amp;" - "&amp;(IF($C55="","Commercial",$C55))),Variables!$B$1:$D$1,0),1))*L55/16.67)),""))</f>
        <v>2.25</v>
      </c>
    </row>
    <row r="56" spans="1:63">
      <c r="A56" s="13" t="s">
        <v>103</v>
      </c>
      <c r="B56" s="13" t="s">
        <v>104</v>
      </c>
      <c r="C56" s="13" t="s">
        <v>105</v>
      </c>
      <c r="D56" s="31">
        <v>45634</v>
      </c>
      <c r="E56" s="31">
        <v>45658</v>
      </c>
      <c r="F56" s="31">
        <v>45688</v>
      </c>
      <c r="G56" s="13">
        <v>3786563</v>
      </c>
      <c r="H56" s="13" t="s">
        <v>318</v>
      </c>
      <c r="J56" s="13" t="s">
        <v>118</v>
      </c>
      <c r="K56" s="13">
        <v>5161</v>
      </c>
      <c r="L56" s="13">
        <v>360</v>
      </c>
      <c r="M56" s="13">
        <v>1</v>
      </c>
      <c r="N56" s="13" t="s">
        <v>319</v>
      </c>
      <c r="O56" s="13" t="s">
        <v>109</v>
      </c>
      <c r="P56" s="13">
        <v>10080</v>
      </c>
      <c r="Q56" s="13" t="s">
        <v>320</v>
      </c>
      <c r="R56" s="13" t="s">
        <v>122</v>
      </c>
      <c r="S56" s="13" t="s">
        <v>321</v>
      </c>
      <c r="T56" s="13" t="s">
        <v>133</v>
      </c>
      <c r="U56" s="13" t="s">
        <v>125</v>
      </c>
      <c r="V56" s="13">
        <v>10</v>
      </c>
      <c r="W56" s="44">
        <f>IF($AX56="Cancelled","",IFERROR(((V56+INDEX(Variables!$B$6:$D$6,IFERROR(MATCH(IF($B56="Robusta","Robusta",(IF($B56="","Arabica",$B56))&amp;" - "&amp;(IF($C56="","Commercial",$C56))),Variables!$B$1:$D$1,0),1)))*22.0462)*(L56/16.67),""))</f>
        <v>143211.69199760046</v>
      </c>
      <c r="X56" s="55" t="s">
        <v>37</v>
      </c>
      <c r="Y56" s="13" t="str">
        <f>IF($AX56="Cancelled","",IF(X56="","",IFERROR(IF(INDEX(Variables!$B$38:$B$47,MATCH(X56,Variables!$A$38:$A$47,0))="Yes","Yes","No"),"No")))</f>
        <v>Yes</v>
      </c>
      <c r="Z56" s="58">
        <v>45664</v>
      </c>
      <c r="AB56" s="31">
        <v>45677</v>
      </c>
      <c r="AC56" s="13" t="str">
        <f t="shared" si="0"/>
        <v>Approved</v>
      </c>
      <c r="AF56" s="71">
        <v>45685</v>
      </c>
      <c r="AG56" s="35">
        <f>IF($AX56="Cancelled","",IFERROR(IF(F56="","",F56-Variables!$B$13),""))</f>
        <v>45673</v>
      </c>
      <c r="AH56" s="13">
        <f>IF($AX56="Cancelled","",IFERROR(IF(AB56="","",(AVERAGE(E56:F56)-AB56)-Variables!$B$14),""))</f>
        <v>-34</v>
      </c>
      <c r="AJ56" s="47">
        <v>45678</v>
      </c>
      <c r="AK56" s="14">
        <f>IF($AX56="Cancelled","",IFERROR(IF(AJ56="","",IF(AND(AB56="",AF56=""),"",IF(AF56&gt;AB56,AF56+Variables!$B$15+Variables!$B$16+Variables!$B$17-AJ56,AB56+Variables!$B$16+Variables!$B$17-AJ56))),""))</f>
        <v>22</v>
      </c>
      <c r="AL56" s="48" t="s">
        <v>114</v>
      </c>
      <c r="AM56" s="13" t="s">
        <v>141</v>
      </c>
      <c r="AN56" s="13" t="s">
        <v>322</v>
      </c>
      <c r="AP56" s="31">
        <v>45696</v>
      </c>
      <c r="AR56" s="13" t="s">
        <v>323</v>
      </c>
      <c r="AS56" s="31">
        <v>45696</v>
      </c>
      <c r="AU56" s="31">
        <v>45700</v>
      </c>
      <c r="AV56" s="13" t="s">
        <v>865</v>
      </c>
      <c r="AW56" s="31">
        <v>45701</v>
      </c>
      <c r="AX56" s="13" t="str">
        <f>IF(ISNUMBER(SEARCH("cancel",#REF!)),"Cancelled",IF(AND(AS56&lt;&gt;"",AU56&lt;&gt;"",AW56&lt;&gt;""),"Closed","Open"))</f>
        <v>Closed</v>
      </c>
      <c r="AY56" s="15" t="str">
        <f t="shared" si="1"/>
        <v>All dates received</v>
      </c>
      <c r="BD56" s="13">
        <f>IF($AX56="Cancelled","",IFERROR(IF(OR(AS56="",AJ56=""),"",(AJ56+Variables!$B$18-AS56)),""))</f>
        <v>-3</v>
      </c>
      <c r="BE56" s="13">
        <f>IF($AX56="Cancelled","",IFERROR(IF(OR(AW56="",AS56=""),"",(AS56+Variables!$B$19)-AW56),""))</f>
        <v>0</v>
      </c>
      <c r="BF56" s="44">
        <f>IF($AX56="Cancelled","",IFERROR(W56*INDEX(Variables!$B$7:$D$7,IFERROR(MATCH(IF($B56="Robusta","Robusta",(IF($B56="","Arabica",$B56))&amp;" - "&amp;(IF($C56="","Commercial",$C56))),Variables!$B$1:$D$1,0),1))*(BE56/365),""))</f>
        <v>0</v>
      </c>
      <c r="BG56" s="44">
        <f>IF($AX56="Cancelled","",IFERROR((W56*INDEX(Variables!$B$7:$D$7,IFERROR(MATCH(IF($B56="Robusta","Robusta",(IF($B56="","Arabica",$B56))&amp;" - "&amp;(IF($C56="","Commercial",$C56))),Variables!$B$1:$D$1,0),1))*IFERROR(IF(AB56="","",(AVERAGE(E56:F56)-AB56)-Variables!$B$14),"")/365)+(L56/16.67*INDEX(Variables!$B$8:$D$8,IFERROR(MATCH(IF($B56="Robusta","Robusta",(IF($B56="","Arabica",$B56))&amp;" - "&amp;(IF($C56="","Commercial",$C56))),Variables!$B$1:$D$1,0),1))*IFERROR(IF(AB56="","",(AVERAGE(E56:F56)-AB56)-Variables!$B$14),""))+(W56*INDEX(Variables!$B$9:$D$9,IFERROR(MATCH(IF($B56="Robusta","Robusta",(IF($B56="","Arabica",$B56))&amp;" - "&amp;(IF($C56="","Commercial",$C56))),Variables!$B$1:$D$1,0),1))*IFERROR(IF(AB56="","",(AVERAGE(E56:F56)-AB56)-Variables!$B$14),"")/365),""))</f>
        <v>-1483.2995417526015</v>
      </c>
      <c r="BH56" s="44">
        <f>IF($AX56="Cancelled","",IFERROR((W56*INDEX(Variables!$B$7:$D$7,IFERROR(MATCH(IF($B56="Robusta","Robusta",(IF($B56="","Arabica",$B56))&amp;" - "&amp;(IF($C56="","Commercial",$C56))),Variables!$B$1:$D$1,0),1))*AK56/365)+(L56/16.67*INDEX(Variables!$B$8:$D$8,IFERROR(MATCH(IF($B56="Robusta","Robusta",(IF($B56="","Arabica",$B56))&amp;" - "&amp;(IF($C56="","Commercial",$C56))),Variables!$B$1:$D$1,0),1))*AK56)+(W56*INDEX(Variables!$B$9:$D$9,IFERROR(MATCH(IF($B56="Robusta","Robusta",(IF($B56="","Arabica",$B56))&amp;" - "&amp;(IF($C56="","Commercial",$C56))),Variables!$B$1:$D$1,0),1))*AK56/365),""))</f>
        <v>959.78205642815374</v>
      </c>
      <c r="BI56" s="44">
        <f>IF($AX56="Cancelled","",IFERROR((W56*INDEX(Variables!$B$7:$D$7,IFERROR(MATCH(IF($B56="Robusta","Robusta",(IF($B56="","Arabica",$B56))&amp;" - "&amp;(IF($C56="","Commercial",$C56))),Variables!$B$1:$D$1,0),1))*BD56/365)+(L56/16.67*INDEX(Variables!$B$8:$D$8,IFERROR(MATCH(IF($B56="Robusta","Robusta",(IF($B56="","Arabica",$B56))&amp;" - "&amp;(IF($C56="","Commercial",$C56))),Variables!$B$1:$D$1,0),1))*BD56)+(W56*INDEX(Variables!$B$9:$D$9,IFERROR(MATCH(IF($B56="Robusta","Robusta",(IF($B56="","Arabica",$B56))&amp;" - "&amp;(IF($C56="","Commercial",$C56))),Variables!$B$1:$D$1,0),1))*BD56/365),""))</f>
        <v>-130.87937133111188</v>
      </c>
      <c r="BJ56" s="44">
        <f t="shared" si="2"/>
        <v>-8</v>
      </c>
      <c r="BK56" s="44">
        <f>IF($AX56="Cancelled","",IFERROR(IF(BJ56="","",(W56*INDEX(Variables!$B$7:$D$7,IFERROR(MATCH(IF($B56="Robusta","Robusta",(IF($B56="","Arabica",$B56))&amp;" - "&amp;(IF($C56="","Commercial",$C56))),Variables!$B$1:$D$1,0),1))*(BJ56/365))+(W56*INDEX(Variables!$B$9:$D$9,IFERROR(MATCH(IF($B56="Robusta","Robusta",(IF($B56="","Arabica",$B56))&amp;" - "&amp;(IF($C56="","Commercial",$C56))),Variables!$B$1:$D$1,0),1))*(BJ56/365))+(INDEX(Variables!$B$8:$D$8,IFERROR(MATCH(IF($B56="Robusta","Robusta",(IF($B56="","Arabica",$B56))&amp;" - "&amp;(IF($C56="","Commercial",$C56))),Variables!$B$1:$D$1,0),1))*L56/16.67)),""))</f>
        <v>-187.01165688296499</v>
      </c>
    </row>
    <row r="57" spans="1:63">
      <c r="A57" s="13" t="s">
        <v>103</v>
      </c>
      <c r="B57" s="13" t="s">
        <v>104</v>
      </c>
      <c r="C57" s="13" t="s">
        <v>105</v>
      </c>
      <c r="D57" s="31">
        <v>45639</v>
      </c>
      <c r="E57" s="31">
        <v>45672</v>
      </c>
      <c r="F57" s="31">
        <v>45688</v>
      </c>
      <c r="G57" s="13">
        <v>3786564</v>
      </c>
      <c r="H57" s="13" t="s">
        <v>324</v>
      </c>
      <c r="J57" s="13" t="s">
        <v>325</v>
      </c>
      <c r="K57" s="13" t="s">
        <v>326</v>
      </c>
      <c r="L57" s="13">
        <v>1600</v>
      </c>
      <c r="M57" s="13">
        <v>5</v>
      </c>
      <c r="N57" s="13" t="s">
        <v>327</v>
      </c>
      <c r="O57" s="13" t="s">
        <v>179</v>
      </c>
      <c r="P57" s="13">
        <v>10110</v>
      </c>
      <c r="R57" s="13" t="s">
        <v>110</v>
      </c>
      <c r="S57" s="13" t="s">
        <v>328</v>
      </c>
      <c r="T57" s="13" t="s">
        <v>329</v>
      </c>
      <c r="U57" s="13" t="s">
        <v>330</v>
      </c>
      <c r="V57" s="13">
        <v>-20</v>
      </c>
      <c r="W57" s="44">
        <f>IF($AX57="Cancelled","",IFERROR(((V57+INDEX(Variables!$B$6:$D$6,IFERROR(MATCH(IF($B57="Robusta","Robusta",(IF($B57="","Arabica",$B57))&amp;" - "&amp;(IF($C57="","Commercial",$C57))),Variables!$B$1:$D$1,0),1)))*22.0462)*(L57/16.67),""))</f>
        <v>573016.04895020986</v>
      </c>
      <c r="X57" s="55" t="s">
        <v>37</v>
      </c>
      <c r="Y57" s="13" t="str">
        <f>IF($AX57="Cancelled","",IF(X57="","",IFERROR(IF(INDEX(Variables!$B$38:$B$47,MATCH(X57,Variables!$A$38:$A$47,0))="Yes","Yes","No"),"No")))</f>
        <v>Yes</v>
      </c>
      <c r="Z57" s="58">
        <v>45663</v>
      </c>
      <c r="AB57" s="31">
        <v>45665</v>
      </c>
      <c r="AC57" s="13" t="str">
        <f t="shared" si="0"/>
        <v>Approved</v>
      </c>
      <c r="AF57" s="71">
        <v>45691</v>
      </c>
      <c r="AG57" s="35">
        <f>IF($AX57="Cancelled","",IFERROR(IF(F57="","",F57-Variables!$B$13),""))</f>
        <v>45673</v>
      </c>
      <c r="AH57" s="13">
        <f>IF($AX57="Cancelled","",IFERROR(IF(AB57="","",(AVERAGE(E57:F57)-AB57)-Variables!$B$14),""))</f>
        <v>-15</v>
      </c>
      <c r="AJ57" s="47">
        <v>45692</v>
      </c>
      <c r="AK57" s="14">
        <f>IF($AX57="Cancelled","",IFERROR(IF(AJ57="","",IF(AND(AB57="",AF57=""),"",IF(AF57&gt;AB57,AF57+Variables!$B$15+Variables!$B$16+Variables!$B$17-AJ57,AB57+Variables!$B$16+Variables!$B$17-AJ57))),""))</f>
        <v>14</v>
      </c>
      <c r="AL57" s="48" t="s">
        <v>114</v>
      </c>
      <c r="AM57" s="13" t="s">
        <v>115</v>
      </c>
      <c r="AN57" s="13" t="s">
        <v>126</v>
      </c>
      <c r="AP57" s="31">
        <v>45702</v>
      </c>
      <c r="AR57" s="13">
        <v>249349485</v>
      </c>
      <c r="AS57" s="31">
        <v>45702</v>
      </c>
      <c r="AU57" s="31">
        <v>45705</v>
      </c>
      <c r="AV57" s="13" t="s">
        <v>865</v>
      </c>
      <c r="AW57" s="31">
        <v>45705</v>
      </c>
      <c r="AX57" s="13" t="str">
        <f>IF(ISNUMBER(SEARCH("cancel",#REF!)),"Cancelled",IF(AND(AS57&lt;&gt;"",AU57&lt;&gt;"",AW57&lt;&gt;""),"Closed","Open"))</f>
        <v>Closed</v>
      </c>
      <c r="AY57" s="15" t="str">
        <f t="shared" si="1"/>
        <v>All dates received</v>
      </c>
      <c r="BD57" s="13">
        <f>IF($AX57="Cancelled","",IFERROR(IF(OR(AS57="",AJ57=""),"",(AJ57+Variables!$B$18-AS57)),""))</f>
        <v>5</v>
      </c>
      <c r="BE57" s="13">
        <f>IF($AX57="Cancelled","",IFERROR(IF(OR(AW57="",AS57=""),"",(AS57+Variables!$B$19)-AW57),""))</f>
        <v>2</v>
      </c>
      <c r="BF57" s="44">
        <f>IF($AX57="Cancelled","",IFERROR(W57*INDEX(Variables!$B$7:$D$7,IFERROR(MATCH(IF($B57="Robusta","Robusta",(IF($B57="","Arabica",$B57))&amp;" - "&amp;(IF($C57="","Commercial",$C57))),Variables!$B$1:$D$1,0),1))*(BE57/365),""))</f>
        <v>202.46211217324506</v>
      </c>
      <c r="BG57" s="44">
        <f>IF($AX57="Cancelled","",IFERROR((W57*INDEX(Variables!$B$7:$D$7,IFERROR(MATCH(IF($B57="Robusta","Robusta",(IF($B57="","Arabica",$B57))&amp;" - "&amp;(IF($C57="","Commercial",$C57))),Variables!$B$1:$D$1,0),1))*IFERROR(IF(AB57="","",(AVERAGE(E57:F57)-AB57)-Variables!$B$14),"")/365)+(L57/16.67*INDEX(Variables!$B$8:$D$8,IFERROR(MATCH(IF($B57="Robusta","Robusta",(IF($B57="","Arabica",$B57))&amp;" - "&amp;(IF($C57="","Commercial",$C57))),Variables!$B$1:$D$1,0),1))*IFERROR(IF(AB57="","",(AVERAGE(E57:F57)-AB57)-Variables!$B$14),""))+(W57*INDEX(Variables!$B$9:$D$9,IFERROR(MATCH(IF($B57="Robusta","Robusta",(IF($B57="","Arabica",$B57))&amp;" - "&amp;(IF($C57="","Commercial",$C57))),Variables!$B$1:$D$1,0),1))*IFERROR(IF(AB57="","",(AVERAGE(E57:F57)-AB57)-Variables!$B$14),"")/365),""))</f>
        <v>-2738.0417964291591</v>
      </c>
      <c r="BH57" s="44">
        <f>IF($AX57="Cancelled","",IFERROR((W57*INDEX(Variables!$B$7:$D$7,IFERROR(MATCH(IF($B57="Robusta","Robusta",(IF($B57="","Arabica",$B57))&amp;" - "&amp;(IF($C57="","Commercial",$C57))),Variables!$B$1:$D$1,0),1))*AK57/365)+(L57/16.67*INDEX(Variables!$B$8:$D$8,IFERROR(MATCH(IF($B57="Robusta","Robusta",(IF($B57="","Arabica",$B57))&amp;" - "&amp;(IF($C57="","Commercial",$C57))),Variables!$B$1:$D$1,0),1))*AK57)+(W57*INDEX(Variables!$B$9:$D$9,IFERROR(MATCH(IF($B57="Robusta","Robusta",(IF($B57="","Arabica",$B57))&amp;" - "&amp;(IF($C57="","Commercial",$C57))),Variables!$B$1:$D$1,0),1))*AK57/365),""))</f>
        <v>2555.5056766672151</v>
      </c>
      <c r="BI57" s="44">
        <f>IF($AX57="Cancelled","",IFERROR((W57*INDEX(Variables!$B$7:$D$7,IFERROR(MATCH(IF($B57="Robusta","Robusta",(IF($B57="","Arabica",$B57))&amp;" - "&amp;(IF($C57="","Commercial",$C57))),Variables!$B$1:$D$1,0),1))*BD57/365)+(L57/16.67*INDEX(Variables!$B$8:$D$8,IFERROR(MATCH(IF($B57="Robusta","Robusta",(IF($B57="","Arabica",$B57))&amp;" - "&amp;(IF($C57="","Commercial",$C57))),Variables!$B$1:$D$1,0),1))*BD57)+(W57*INDEX(Variables!$B$9:$D$9,IFERROR(MATCH(IF($B57="Robusta","Robusta",(IF($B57="","Arabica",$B57))&amp;" - "&amp;(IF($C57="","Commercial",$C57))),Variables!$B$1:$D$1,0),1))*BD57/365),""))</f>
        <v>912.68059880971964</v>
      </c>
      <c r="BJ57" s="44">
        <f t="shared" si="2"/>
        <v>-14</v>
      </c>
      <c r="BK57" s="44">
        <f>IF($AX57="Cancelled","",IFERROR(IF(BJ57="","",(W57*INDEX(Variables!$B$7:$D$7,IFERROR(MATCH(IF($B57="Robusta","Robusta",(IF($B57="","Arabica",$B57))&amp;" - "&amp;(IF($C57="","Commercial",$C57))),Variables!$B$1:$D$1,0),1))*(BJ57/365))+(W57*INDEX(Variables!$B$9:$D$9,IFERROR(MATCH(IF($B57="Robusta","Robusta",(IF($B57="","Arabica",$B57))&amp;" - "&amp;(IF($C57="","Commercial",$C57))),Variables!$B$1:$D$1,0),1))*(BJ57/365))+(INDEX(Variables!$B$8:$D$8,IFERROR(MATCH(IF($B57="Robusta","Robusta",(IF($B57="","Arabica",$B57))&amp;" - "&amp;(IF($C57="","Commercial",$C57))),Variables!$B$1:$D$1,0),1))*L57/16.67)),""))</f>
        <v>-1355.5056766672153</v>
      </c>
    </row>
    <row r="58" spans="1:63">
      <c r="A58" s="13" t="s">
        <v>103</v>
      </c>
      <c r="B58" s="13" t="s">
        <v>104</v>
      </c>
      <c r="C58" s="13" t="s">
        <v>105</v>
      </c>
      <c r="D58" s="31">
        <v>45642</v>
      </c>
      <c r="E58" s="31">
        <v>45658</v>
      </c>
      <c r="F58" s="31">
        <v>45688</v>
      </c>
      <c r="G58" s="13">
        <v>3786565</v>
      </c>
      <c r="H58" s="13">
        <v>4549669343</v>
      </c>
      <c r="J58" s="13" t="s">
        <v>230</v>
      </c>
      <c r="K58" s="13">
        <v>5151</v>
      </c>
      <c r="L58" s="13">
        <v>1800</v>
      </c>
      <c r="M58" s="13">
        <v>5</v>
      </c>
      <c r="N58" s="13" t="s">
        <v>331</v>
      </c>
      <c r="O58" s="13" t="s">
        <v>332</v>
      </c>
      <c r="P58" s="13">
        <v>10120</v>
      </c>
      <c r="R58" s="13" t="s">
        <v>122</v>
      </c>
      <c r="S58" s="13" t="s">
        <v>154</v>
      </c>
      <c r="T58" s="13" t="s">
        <v>155</v>
      </c>
      <c r="U58" s="13" t="s">
        <v>125</v>
      </c>
      <c r="V58" s="13">
        <v>-30</v>
      </c>
      <c r="W58" s="44">
        <f>IF($AX58="Cancelled","",IFERROR(((V58+INDEX(Variables!$B$6:$D$6,IFERROR(MATCH(IF($B58="Robusta","Robusta",(IF($B58="","Arabica",$B58))&amp;" - "&amp;(IF($C58="","Commercial",$C58))),Variables!$B$1:$D$1,0),1)))*22.0462)*(L58/16.67),""))</f>
        <v>620837.92009598063</v>
      </c>
      <c r="X58" s="55" t="s">
        <v>39</v>
      </c>
      <c r="Y58" s="13" t="str">
        <f>IF($AX58="Cancelled","",IF(X58="","",IFERROR(IF(INDEX(Variables!$B$38:$B$47,MATCH(X58,Variables!$A$38:$A$47,0))="Yes","Yes","No"),"No")))</f>
        <v>No</v>
      </c>
      <c r="Z58" s="58">
        <v>45650</v>
      </c>
      <c r="AB58" s="31">
        <v>45656</v>
      </c>
      <c r="AC58" s="13" t="str">
        <f t="shared" si="0"/>
        <v>Approved</v>
      </c>
      <c r="AF58" s="71">
        <v>45670</v>
      </c>
      <c r="AG58" s="35">
        <f>IF($AX58="Cancelled","",IFERROR(IF(F58="","",F58-Variables!$B$13),""))</f>
        <v>45673</v>
      </c>
      <c r="AH58" s="13">
        <f>IF($AX58="Cancelled","",IFERROR(IF(AB58="","",(AVERAGE(E58:F58)-AB58)-Variables!$B$14),""))</f>
        <v>-13</v>
      </c>
      <c r="AJ58" s="47">
        <v>45672</v>
      </c>
      <c r="AK58" s="14">
        <f>IF($AX58="Cancelled","",IFERROR(IF(AJ58="","",IF(AND(AB58="",AF58=""),"",IF(AF58&gt;AB58,AF58+Variables!$B$15+Variables!$B$16+Variables!$B$17-AJ58,AB58+Variables!$B$16+Variables!$B$17-AJ58))),""))</f>
        <v>13</v>
      </c>
      <c r="AL58" s="48" t="s">
        <v>114</v>
      </c>
      <c r="AM58" s="13" t="s">
        <v>141</v>
      </c>
      <c r="AN58" s="13" t="s">
        <v>146</v>
      </c>
      <c r="AP58" s="31">
        <v>45688</v>
      </c>
      <c r="AR58" s="13" t="s">
        <v>333</v>
      </c>
      <c r="AS58" s="31">
        <v>45688</v>
      </c>
      <c r="AU58" s="31">
        <v>45691</v>
      </c>
      <c r="AV58" s="13" t="s">
        <v>865</v>
      </c>
      <c r="AW58" s="31">
        <v>45693</v>
      </c>
      <c r="AX58" s="13" t="str">
        <f>IF(ISNUMBER(SEARCH("cancel",#REF!)),"Cancelled",IF(AND(AS58&lt;&gt;"",AU58&lt;&gt;"",AW58&lt;&gt;""),"Closed","Open"))</f>
        <v>Closed</v>
      </c>
      <c r="AY58" s="15" t="str">
        <f t="shared" si="1"/>
        <v>All dates received</v>
      </c>
      <c r="BD58" s="13">
        <f>IF($AX58="Cancelled","",IFERROR(IF(OR(AS58="",AJ58=""),"",(AJ58+Variables!$B$18-AS58)),""))</f>
        <v>-1</v>
      </c>
      <c r="BE58" s="13">
        <f>IF($AX58="Cancelled","",IFERROR(IF(OR(AW58="",AS58=""),"",(AS58+Variables!$B$19)-AW58),""))</f>
        <v>0</v>
      </c>
      <c r="BF58" s="44">
        <f>IF($AX58="Cancelled","",IFERROR(W58*INDEX(Variables!$B$7:$D$7,IFERROR(MATCH(IF($B58="Robusta","Robusta",(IF($B58="","Arabica",$B58))&amp;" - "&amp;(IF($C58="","Commercial",$C58))),Variables!$B$1:$D$1,0),1))*(BE58/365),""))</f>
        <v>0</v>
      </c>
      <c r="BG58" s="44">
        <f>IF($AX58="Cancelled","",IFERROR((W58*INDEX(Variables!$B$7:$D$7,IFERROR(MATCH(IF($B58="Robusta","Robusta",(IF($B58="","Arabica",$B58))&amp;" - "&amp;(IF($C58="","Commercial",$C58))),Variables!$B$1:$D$1,0),1))*IFERROR(IF(AB58="","",(AVERAGE(E58:F58)-AB58)-Variables!$B$14),"")/365)+(L58/16.67*INDEX(Variables!$B$8:$D$8,IFERROR(MATCH(IF($B58="Robusta","Robusta",(IF($B58="","Arabica",$B58))&amp;" - "&amp;(IF($C58="","Commercial",$C58))),Variables!$B$1:$D$1,0),1))*IFERROR(IF(AB58="","",(AVERAGE(E58:F58)-AB58)-Variables!$B$14),""))+(W58*INDEX(Variables!$B$9:$D$9,IFERROR(MATCH(IF($B58="Robusta","Robusta",(IF($B58="","Arabica",$B58))&amp;" - "&amp;(IF($C58="","Commercial",$C58))),Variables!$B$1:$D$1,0),1))*IFERROR(IF(AB58="","",(AVERAGE(E58:F58)-AB58)-Variables!$B$14),"")/365),""))</f>
        <v>-2614.2144312998762</v>
      </c>
      <c r="BH58" s="44">
        <f>IF($AX58="Cancelled","",IFERROR((W58*INDEX(Variables!$B$7:$D$7,IFERROR(MATCH(IF($B58="Robusta","Robusta",(IF($B58="","Arabica",$B58))&amp;" - "&amp;(IF($C58="","Commercial",$C58))),Variables!$B$1:$D$1,0),1))*AK58/365)+(L58/16.67*INDEX(Variables!$B$8:$D$8,IFERROR(MATCH(IF($B58="Robusta","Robusta",(IF($B58="","Arabica",$B58))&amp;" - "&amp;(IF($C58="","Commercial",$C58))),Variables!$B$1:$D$1,0),1))*AK58)+(W58*INDEX(Variables!$B$9:$D$9,IFERROR(MATCH(IF($B58="Robusta","Robusta",(IF($B58="","Arabica",$B58))&amp;" - "&amp;(IF($C58="","Commercial",$C58))),Variables!$B$1:$D$1,0),1))*AK58/365),""))</f>
        <v>2614.2144312998762</v>
      </c>
      <c r="BI58" s="44">
        <f>IF($AX58="Cancelled","",IFERROR((W58*INDEX(Variables!$B$7:$D$7,IFERROR(MATCH(IF($B58="Robusta","Robusta",(IF($B58="","Arabica",$B58))&amp;" - "&amp;(IF($C58="","Commercial",$C58))),Variables!$B$1:$D$1,0),1))*BD58/365)+(L58/16.67*INDEX(Variables!$B$8:$D$8,IFERROR(MATCH(IF($B58="Robusta","Robusta",(IF($B58="","Arabica",$B58))&amp;" - "&amp;(IF($C58="","Commercial",$C58))),Variables!$B$1:$D$1,0),1))*BD58)+(W58*INDEX(Variables!$B$9:$D$9,IFERROR(MATCH(IF($B58="Robusta","Robusta",(IF($B58="","Arabica",$B58))&amp;" - "&amp;(IF($C58="","Commercial",$C58))),Variables!$B$1:$D$1,0),1))*BD58/365),""))</f>
        <v>-201.09341779229817</v>
      </c>
      <c r="BJ58" s="44">
        <f t="shared" si="2"/>
        <v>0</v>
      </c>
      <c r="BK58" s="44">
        <f>IF($AX58="Cancelled","",IFERROR(IF(BJ58="","",(W58*INDEX(Variables!$B$7:$D$7,IFERROR(MATCH(IF($B58="Robusta","Robusta",(IF($B58="","Arabica",$B58))&amp;" - "&amp;(IF($C58="","Commercial",$C58))),Variables!$B$1:$D$1,0),1))*(BJ58/365))+(W58*INDEX(Variables!$B$9:$D$9,IFERROR(MATCH(IF($B58="Robusta","Robusta",(IF($B58="","Arabica",$B58))&amp;" - "&amp;(IF($C58="","Commercial",$C58))),Variables!$B$1:$D$1,0),1))*(BJ58/365))+(INDEX(Variables!$B$8:$D$8,IFERROR(MATCH(IF($B58="Robusta","Robusta",(IF($B58="","Arabica",$B58))&amp;" - "&amp;(IF($C58="","Commercial",$C58))),Variables!$B$1:$D$1,0),1))*L58/16.67)),""))</f>
        <v>90</v>
      </c>
    </row>
    <row r="59" spans="1:63">
      <c r="A59" s="13" t="s">
        <v>103</v>
      </c>
      <c r="B59" s="13" t="s">
        <v>104</v>
      </c>
      <c r="C59" s="13" t="s">
        <v>105</v>
      </c>
      <c r="D59" s="31">
        <v>45642</v>
      </c>
      <c r="E59" s="31">
        <v>45689</v>
      </c>
      <c r="F59" s="31">
        <v>45716</v>
      </c>
      <c r="G59" s="13">
        <v>3786566</v>
      </c>
      <c r="H59" s="13">
        <v>4549651501</v>
      </c>
      <c r="J59" s="13" t="s">
        <v>230</v>
      </c>
      <c r="K59" s="13">
        <v>5166</v>
      </c>
      <c r="L59" s="13">
        <v>1800</v>
      </c>
      <c r="M59" s="13">
        <v>5</v>
      </c>
      <c r="N59" s="13" t="s">
        <v>331</v>
      </c>
      <c r="O59" s="13" t="s">
        <v>332</v>
      </c>
      <c r="P59" s="13">
        <v>10120</v>
      </c>
      <c r="R59" s="13" t="s">
        <v>122</v>
      </c>
      <c r="S59" s="13" t="s">
        <v>154</v>
      </c>
      <c r="T59" s="13" t="s">
        <v>155</v>
      </c>
      <c r="U59" s="13" t="s">
        <v>125</v>
      </c>
      <c r="V59" s="13">
        <v>-30</v>
      </c>
      <c r="W59" s="44">
        <f>IF($AX59="Cancelled","",IFERROR(((V59+INDEX(Variables!$B$6:$D$6,IFERROR(MATCH(IF($B59="Robusta","Robusta",(IF($B59="","Arabica",$B59))&amp;" - "&amp;(IF($C59="","Commercial",$C59))),Variables!$B$1:$D$1,0),1)))*22.0462)*(L59/16.67),""))</f>
        <v>620837.92009598063</v>
      </c>
      <c r="X59" s="55" t="s">
        <v>39</v>
      </c>
      <c r="Y59" s="13" t="str">
        <f>IF($AX59="Cancelled","",IF(X59="","",IFERROR(IF(INDEX(Variables!$B$38:$B$47,MATCH(X59,Variables!$A$38:$A$47,0))="Yes","Yes","No"),"No")))</f>
        <v>No</v>
      </c>
      <c r="Z59" s="58">
        <v>45672</v>
      </c>
      <c r="AB59" s="31">
        <v>45678</v>
      </c>
      <c r="AC59" s="13" t="str">
        <f t="shared" si="0"/>
        <v>Approved</v>
      </c>
      <c r="AF59" s="71">
        <v>45693</v>
      </c>
      <c r="AG59" s="35">
        <f>IF($AX59="Cancelled","",IFERROR(IF(F59="","",F59-Variables!$B$13),""))</f>
        <v>45701</v>
      </c>
      <c r="AH59" s="13">
        <f>IF($AX59="Cancelled","",IFERROR(IF(AB59="","",(AVERAGE(E59:F59)-AB59)-Variables!$B$14),""))</f>
        <v>-5.5</v>
      </c>
      <c r="AJ59" s="47">
        <v>45693</v>
      </c>
      <c r="AK59" s="14">
        <f>IF($AX59="Cancelled","",IFERROR(IF(AJ59="","",IF(AND(AB59="",AF59=""),"",IF(AF59&gt;AB59,AF59+Variables!$B$15+Variables!$B$16+Variables!$B$17-AJ59,AB59+Variables!$B$16+Variables!$B$17-AJ59))),""))</f>
        <v>15</v>
      </c>
      <c r="AL59" s="48" t="s">
        <v>114</v>
      </c>
      <c r="AM59" s="13" t="s">
        <v>141</v>
      </c>
      <c r="AN59" s="13" t="s">
        <v>334</v>
      </c>
      <c r="AP59" s="31">
        <v>45708</v>
      </c>
      <c r="AR59" s="13" t="s">
        <v>335</v>
      </c>
      <c r="AS59" s="31">
        <v>45708</v>
      </c>
      <c r="AU59" s="31">
        <v>45714</v>
      </c>
      <c r="AV59" s="13" t="s">
        <v>865</v>
      </c>
      <c r="AW59" s="31">
        <v>45714</v>
      </c>
      <c r="AX59" s="13" t="str">
        <f>IF(ISNUMBER(SEARCH("cancel",#REF!)),"Cancelled",IF(AND(AS59&lt;&gt;"",AU59&lt;&gt;"",AW59&lt;&gt;""),"Closed","Open"))</f>
        <v>Closed</v>
      </c>
      <c r="AY59" s="15" t="str">
        <f t="shared" si="1"/>
        <v>All dates received</v>
      </c>
      <c r="BD59" s="13">
        <f>IF($AX59="Cancelled","",IFERROR(IF(OR(AS59="",AJ59=""),"",(AJ59+Variables!$B$18-AS59)),""))</f>
        <v>0</v>
      </c>
      <c r="BE59" s="13">
        <f>IF($AX59="Cancelled","",IFERROR(IF(OR(AW59="",AS59=""),"",(AS59+Variables!$B$19)-AW59),""))</f>
        <v>-1</v>
      </c>
      <c r="BF59" s="44">
        <f>IF($AX59="Cancelled","",IFERROR(W59*INDEX(Variables!$B$7:$D$7,IFERROR(MATCH(IF($B59="Robusta","Robusta",(IF($B59="","Arabica",$B59))&amp;" - "&amp;(IF($C59="","Commercial",$C59))),Variables!$B$1:$D$1,0),1))*(BE59/365),""))</f>
        <v>-109.67943816770696</v>
      </c>
      <c r="BG59" s="44">
        <f>IF($AX59="Cancelled","",IFERROR((W59*INDEX(Variables!$B$7:$D$7,IFERROR(MATCH(IF($B59="Robusta","Robusta",(IF($B59="","Arabica",$B59))&amp;" - "&amp;(IF($C59="","Commercial",$C59))),Variables!$B$1:$D$1,0),1))*IFERROR(IF(AB59="","",(AVERAGE(E59:F59)-AB59)-Variables!$B$14),"")/365)+(L59/16.67*INDEX(Variables!$B$8:$D$8,IFERROR(MATCH(IF($B59="Robusta","Robusta",(IF($B59="","Arabica",$B59))&amp;" - "&amp;(IF($C59="","Commercial",$C59))),Variables!$B$1:$D$1,0),1))*IFERROR(IF(AB59="","",(AVERAGE(E59:F59)-AB59)-Variables!$B$14),""))+(W59*INDEX(Variables!$B$9:$D$9,IFERROR(MATCH(IF($B59="Robusta","Robusta",(IF($B59="","Arabica",$B59))&amp;" - "&amp;(IF($C59="","Commercial",$C59))),Variables!$B$1:$D$1,0),1))*IFERROR(IF(AB59="","",(AVERAGE(E59:F59)-AB59)-Variables!$B$14),"")/365),""))</f>
        <v>-1106.0137978576399</v>
      </c>
      <c r="BH59" s="44">
        <f>IF($AX59="Cancelled","",IFERROR((W59*INDEX(Variables!$B$7:$D$7,IFERROR(MATCH(IF($B59="Robusta","Robusta",(IF($B59="","Arabica",$B59))&amp;" - "&amp;(IF($C59="","Commercial",$C59))),Variables!$B$1:$D$1,0),1))*AK59/365)+(L59/16.67*INDEX(Variables!$B$8:$D$8,IFERROR(MATCH(IF($B59="Robusta","Robusta",(IF($B59="","Arabica",$B59))&amp;" - "&amp;(IF($C59="","Commercial",$C59))),Variables!$B$1:$D$1,0),1))*AK59)+(W59*INDEX(Variables!$B$9:$D$9,IFERROR(MATCH(IF($B59="Robusta","Robusta",(IF($B59="","Arabica",$B59))&amp;" - "&amp;(IF($C59="","Commercial",$C59))),Variables!$B$1:$D$1,0),1))*AK59/365),""))</f>
        <v>3016.4012668844721</v>
      </c>
      <c r="BI59" s="44">
        <f>IF($AX59="Cancelled","",IFERROR((W59*INDEX(Variables!$B$7:$D$7,IFERROR(MATCH(IF($B59="Robusta","Robusta",(IF($B59="","Arabica",$B59))&amp;" - "&amp;(IF($C59="","Commercial",$C59))),Variables!$B$1:$D$1,0),1))*BD59/365)+(L59/16.67*INDEX(Variables!$B$8:$D$8,IFERROR(MATCH(IF($B59="Robusta","Robusta",(IF($B59="","Arabica",$B59))&amp;" - "&amp;(IF($C59="","Commercial",$C59))),Variables!$B$1:$D$1,0),1))*BD59)+(W59*INDEX(Variables!$B$9:$D$9,IFERROR(MATCH(IF($B59="Robusta","Robusta",(IF($B59="","Arabica",$B59))&amp;" - "&amp;(IF($C59="","Commercial",$C59))),Variables!$B$1:$D$1,0),1))*BD59/365),""))</f>
        <v>0</v>
      </c>
      <c r="BJ59" s="44">
        <f t="shared" si="2"/>
        <v>8</v>
      </c>
      <c r="BK59" s="44">
        <f>IF($AX59="Cancelled","",IFERROR(IF(BJ59="","",(W59*INDEX(Variables!$B$7:$D$7,IFERROR(MATCH(IF($B59="Robusta","Robusta",(IF($B59="","Arabica",$B59))&amp;" - "&amp;(IF($C59="","Commercial",$C59))),Variables!$B$1:$D$1,0),1))*(BJ59/365))+(W59*INDEX(Variables!$B$9:$D$9,IFERROR(MATCH(IF($B59="Robusta","Robusta",(IF($B59="","Arabica",$B59))&amp;" - "&amp;(IF($C59="","Commercial",$C59))),Variables!$B$1:$D$1,0),1))*(BJ59/365))+(INDEX(Variables!$B$8:$D$8,IFERROR(MATCH(IF($B59="Robusta","Robusta",(IF($B59="","Arabica",$B59))&amp;" - "&amp;(IF($C59="","Commercial",$C59))),Variables!$B$1:$D$1,0),1))*L59/16.67)),""))</f>
        <v>978.74734233838535</v>
      </c>
    </row>
    <row r="60" spans="1:63">
      <c r="A60" s="13" t="s">
        <v>103</v>
      </c>
      <c r="B60" s="13" t="s">
        <v>104</v>
      </c>
      <c r="C60" s="13" t="s">
        <v>105</v>
      </c>
      <c r="D60" s="31">
        <v>45643</v>
      </c>
      <c r="E60" s="31">
        <v>45689</v>
      </c>
      <c r="F60" s="31">
        <v>45716</v>
      </c>
      <c r="G60" s="13">
        <v>3786567</v>
      </c>
      <c r="H60" s="13" t="s">
        <v>336</v>
      </c>
      <c r="J60" s="13" t="s">
        <v>325</v>
      </c>
      <c r="K60" s="13" t="s">
        <v>337</v>
      </c>
      <c r="L60" s="13">
        <v>960</v>
      </c>
      <c r="M60" s="13">
        <v>3</v>
      </c>
      <c r="N60" s="13" t="s">
        <v>338</v>
      </c>
      <c r="O60" s="13" t="s">
        <v>109</v>
      </c>
      <c r="P60" s="13">
        <v>10080</v>
      </c>
      <c r="R60" s="13" t="s">
        <v>110</v>
      </c>
      <c r="S60" s="13" t="s">
        <v>339</v>
      </c>
      <c r="T60" s="13" t="s">
        <v>340</v>
      </c>
      <c r="U60" s="13" t="s">
        <v>113</v>
      </c>
      <c r="V60" s="13">
        <v>8</v>
      </c>
      <c r="W60" s="44">
        <f>IF($AX60="Cancelled","",IFERROR(((V60+INDEX(Variables!$B$6:$D$6,IFERROR(MATCH(IF($B60="Robusta","Robusta",(IF($B60="","Arabica",$B60))&amp;" - "&amp;(IF($C60="","Commercial",$C60))),Variables!$B$1:$D$1,0),1)))*22.0462)*(L60/16.67),""))</f>
        <v>379358.63092981401</v>
      </c>
      <c r="X60" s="55" t="s">
        <v>37</v>
      </c>
      <c r="Y60" s="13" t="str">
        <f>IF($AX60="Cancelled","",IF(X60="","",IFERROR(IF(INDEX(Variables!$B$38:$B$47,MATCH(X60,Variables!$A$38:$A$47,0))="Yes","Yes","No"),"No")))</f>
        <v>Yes</v>
      </c>
      <c r="Z60" s="58">
        <v>45672</v>
      </c>
      <c r="AB60" s="31">
        <v>45700</v>
      </c>
      <c r="AC60" s="13" t="str">
        <f t="shared" si="0"/>
        <v>Approved</v>
      </c>
      <c r="AF60" s="71">
        <v>45706</v>
      </c>
      <c r="AG60" s="35">
        <f>IF($AX60="Cancelled","",IFERROR(IF(F60="","",F60-Variables!$B$13),""))</f>
        <v>45701</v>
      </c>
      <c r="AH60" s="13">
        <f>IF($AX60="Cancelled","",IFERROR(IF(AB60="","",(AVERAGE(E60:F60)-AB60)-Variables!$B$14),""))</f>
        <v>-27.5</v>
      </c>
      <c r="AJ60" s="47">
        <v>45707</v>
      </c>
      <c r="AK60" s="14">
        <f>IF($AX60="Cancelled","",IFERROR(IF(AJ60="","",IF(AND(AB60="",AF60=""),"",IF(AF60&gt;AB60,AF60+Variables!$B$15+Variables!$B$16+Variables!$B$17-AJ60,AB60+Variables!$B$16+Variables!$B$17-AJ60))),""))</f>
        <v>14</v>
      </c>
      <c r="AL60" s="48" t="s">
        <v>114</v>
      </c>
      <c r="AM60" s="13" t="s">
        <v>168</v>
      </c>
      <c r="AN60" s="13" t="s">
        <v>341</v>
      </c>
      <c r="AP60" s="31">
        <v>45720</v>
      </c>
      <c r="AR60" s="13" t="s">
        <v>342</v>
      </c>
      <c r="AS60" s="31">
        <v>45720</v>
      </c>
      <c r="AU60" s="31">
        <v>45722</v>
      </c>
      <c r="AV60" s="13" t="s">
        <v>865</v>
      </c>
      <c r="AW60" s="31">
        <v>45727</v>
      </c>
      <c r="AX60" s="13" t="str">
        <f>IF(ISNUMBER(SEARCH("cancel",#REF!)),"Cancelled",IF(AND(AS60&lt;&gt;"",AU60&lt;&gt;"",AW60&lt;&gt;""),"Closed","Open"))</f>
        <v>Closed</v>
      </c>
      <c r="AY60" s="15" t="str">
        <f t="shared" si="1"/>
        <v>All dates received</v>
      </c>
      <c r="BD60" s="13">
        <f>IF($AX60="Cancelled","",IFERROR(IF(OR(AS60="",AJ60=""),"",(AJ60+Variables!$B$18-AS60)),""))</f>
        <v>2</v>
      </c>
      <c r="BE60" s="13">
        <f>IF($AX60="Cancelled","",IFERROR(IF(OR(AW60="",AS60=""),"",(AS60+Variables!$B$19)-AW60),""))</f>
        <v>-2</v>
      </c>
      <c r="BF60" s="44">
        <f>IF($AX60="Cancelled","",IFERROR(W60*INDEX(Variables!$B$7:$D$7,IFERROR(MATCH(IF($B60="Robusta","Robusta",(IF($B60="","Arabica",$B60))&amp;" - "&amp;(IF($C60="","Commercial",$C60))),Variables!$B$1:$D$1,0),1))*(BE60/365),""))</f>
        <v>-134.03769376078057</v>
      </c>
      <c r="BG60" s="44">
        <f>IF($AX60="Cancelled","",IFERROR((W60*INDEX(Variables!$B$7:$D$7,IFERROR(MATCH(IF($B60="Robusta","Robusta",(IF($B60="","Arabica",$B60))&amp;" - "&amp;(IF($C60="","Commercial",$C60))),Variables!$B$1:$D$1,0),1))*IFERROR(IF(AB60="","",(AVERAGE(E60:F60)-AB60)-Variables!$B$14),"")/365)+(L60/16.67*INDEX(Variables!$B$8:$D$8,IFERROR(MATCH(IF($B60="Robusta","Robusta",(IF($B60="","Arabica",$B60))&amp;" - "&amp;(IF($C60="","Commercial",$C60))),Variables!$B$1:$D$1,0),1))*IFERROR(IF(AB60="","",(AVERAGE(E60:F60)-AB60)-Variables!$B$14),""))+(W60*INDEX(Variables!$B$9:$D$9,IFERROR(MATCH(IF($B60="Robusta","Robusta",(IF($B60="","Arabica",$B60))&amp;" - "&amp;(IF($C60="","Commercial",$C60))),Variables!$B$1:$D$1,0),1))*IFERROR(IF(AB60="","",(AVERAGE(E60:F60)-AB60)-Variables!$B$14),"")/365),""))</f>
        <v>-3186.7783517368389</v>
      </c>
      <c r="BH60" s="44">
        <f>IF($AX60="Cancelled","",IFERROR((W60*INDEX(Variables!$B$7:$D$7,IFERROR(MATCH(IF($B60="Robusta","Robusta",(IF($B60="","Arabica",$B60))&amp;" - "&amp;(IF($C60="","Commercial",$C60))),Variables!$B$1:$D$1,0),1))*AK60/365)+(L60/16.67*INDEX(Variables!$B$8:$D$8,IFERROR(MATCH(IF($B60="Robusta","Robusta",(IF($B60="","Arabica",$B60))&amp;" - "&amp;(IF($C60="","Commercial",$C60))),Variables!$B$1:$D$1,0),1))*AK60)+(W60*INDEX(Variables!$B$9:$D$9,IFERROR(MATCH(IF($B60="Robusta","Robusta",(IF($B60="","Arabica",$B60))&amp;" - "&amp;(IF($C60="","Commercial",$C60))),Variables!$B$1:$D$1,0),1))*AK60/365),""))</f>
        <v>1622.3598881569362</v>
      </c>
      <c r="BI60" s="44">
        <f>IF($AX60="Cancelled","",IFERROR((W60*INDEX(Variables!$B$7:$D$7,IFERROR(MATCH(IF($B60="Robusta","Robusta",(IF($B60="","Arabica",$B60))&amp;" - "&amp;(IF($C60="","Commercial",$C60))),Variables!$B$1:$D$1,0),1))*BD60/365)+(L60/16.67*INDEX(Variables!$B$8:$D$8,IFERROR(MATCH(IF($B60="Robusta","Robusta",(IF($B60="","Arabica",$B60))&amp;" - "&amp;(IF($C60="","Commercial",$C60))),Variables!$B$1:$D$1,0),1))*BD60)+(W60*INDEX(Variables!$B$9:$D$9,IFERROR(MATCH(IF($B60="Robusta","Robusta",(IF($B60="","Arabica",$B60))&amp;" - "&amp;(IF($C60="","Commercial",$C60))),Variables!$B$1:$D$1,0),1))*BD60/365),""))</f>
        <v>231.76569830813375</v>
      </c>
      <c r="BJ60" s="44">
        <f t="shared" si="2"/>
        <v>-4</v>
      </c>
      <c r="BK60" s="44">
        <f>IF($AX60="Cancelled","",IFERROR(IF(BJ60="","",(W60*INDEX(Variables!$B$7:$D$7,IFERROR(MATCH(IF($B60="Robusta","Robusta",(IF($B60="","Arabica",$B60))&amp;" - "&amp;(IF($C60="","Commercial",$C60))),Variables!$B$1:$D$1,0),1))*(BJ60/365))+(W60*INDEX(Variables!$B$9:$D$9,IFERROR(MATCH(IF($B60="Robusta","Robusta",(IF($B60="","Arabica",$B60))&amp;" - "&amp;(IF($C60="","Commercial",$C60))),Variables!$B$1:$D$1,0),1))*(BJ60/365))+(INDEX(Variables!$B$8:$D$8,IFERROR(MATCH(IF($B60="Robusta","Robusta",(IF($B60="","Arabica",$B60))&amp;" - "&amp;(IF($C60="","Commercial",$C60))),Variables!$B$1:$D$1,0),1))*L60/16.67)),""))</f>
        <v>-223.5313966162675</v>
      </c>
    </row>
    <row r="61" spans="1:63">
      <c r="A61" s="13" t="s">
        <v>103</v>
      </c>
      <c r="B61" s="13" t="s">
        <v>104</v>
      </c>
      <c r="C61" s="13" t="s">
        <v>105</v>
      </c>
      <c r="D61" s="31">
        <v>45643</v>
      </c>
      <c r="E61" s="31">
        <v>45689</v>
      </c>
      <c r="F61" s="31">
        <v>45716</v>
      </c>
      <c r="G61" s="13">
        <v>3786567</v>
      </c>
      <c r="H61" s="13" t="s">
        <v>336</v>
      </c>
      <c r="J61" s="13" t="s">
        <v>325</v>
      </c>
      <c r="K61" s="13" t="s">
        <v>343</v>
      </c>
      <c r="L61" s="13">
        <v>640</v>
      </c>
      <c r="M61" s="13">
        <v>2</v>
      </c>
      <c r="N61" s="13" t="s">
        <v>338</v>
      </c>
      <c r="O61" s="13" t="s">
        <v>109</v>
      </c>
      <c r="P61" s="13">
        <v>10080</v>
      </c>
      <c r="R61" s="13" t="s">
        <v>110</v>
      </c>
      <c r="S61" s="13" t="s">
        <v>339</v>
      </c>
      <c r="T61" s="13" t="s">
        <v>340</v>
      </c>
      <c r="U61" s="13" t="s">
        <v>113</v>
      </c>
      <c r="V61" s="13">
        <v>8</v>
      </c>
      <c r="W61" s="44">
        <f>IF($AX61="Cancelled","",IFERROR(((V61+INDEX(Variables!$B$6:$D$6,IFERROR(MATCH(IF($B61="Robusta","Robusta",(IF($B61="","Arabica",$B61))&amp;" - "&amp;(IF($C61="","Commercial",$C61))),Variables!$B$1:$D$1,0),1)))*22.0462)*(L61/16.67),""))</f>
        <v>252905.75395320932</v>
      </c>
      <c r="X61" s="55" t="s">
        <v>37</v>
      </c>
      <c r="Y61" s="13" t="str">
        <f>IF($AX61="Cancelled","",IF(X61="","",IFERROR(IF(INDEX(Variables!$B$38:$B$47,MATCH(X61,Variables!$A$38:$A$47,0))="Yes","Yes","No"),"No")))</f>
        <v>Yes</v>
      </c>
      <c r="Z61" s="58">
        <v>45672</v>
      </c>
      <c r="AB61" s="31">
        <v>45700</v>
      </c>
      <c r="AC61" s="13" t="str">
        <f t="shared" si="0"/>
        <v>Approved</v>
      </c>
      <c r="AF61" s="71">
        <v>45706</v>
      </c>
      <c r="AG61" s="35">
        <f>IF($AX61="Cancelled","",IFERROR(IF(F61="","",F61-Variables!$B$13),""))</f>
        <v>45701</v>
      </c>
      <c r="AH61" s="13">
        <f>IF($AX61="Cancelled","",IFERROR(IF(AB61="","",(AVERAGE(E61:F61)-AB61)-Variables!$B$14),""))</f>
        <v>-27.5</v>
      </c>
      <c r="AJ61" s="47">
        <v>45707</v>
      </c>
      <c r="AK61" s="14">
        <f>IF($AX61="Cancelled","",IFERROR(IF(AJ61="","",IF(AND(AB61="",AF61=""),"",IF(AF61&gt;AB61,AF61+Variables!$B$15+Variables!$B$16+Variables!$B$17-AJ61,AB61+Variables!$B$16+Variables!$B$17-AJ61))),""))</f>
        <v>14</v>
      </c>
      <c r="AL61" s="48" t="s">
        <v>114</v>
      </c>
      <c r="AM61" s="13" t="s">
        <v>168</v>
      </c>
      <c r="AN61" s="13" t="s">
        <v>341</v>
      </c>
      <c r="AP61" s="31">
        <v>45720</v>
      </c>
      <c r="AR61" s="13" t="s">
        <v>342</v>
      </c>
      <c r="AS61" s="31">
        <v>45720</v>
      </c>
      <c r="AU61" s="31">
        <v>45722</v>
      </c>
      <c r="AV61" s="13" t="s">
        <v>865</v>
      </c>
      <c r="AW61" s="31">
        <v>45727</v>
      </c>
      <c r="AX61" s="13" t="str">
        <f>IF(ISNUMBER(SEARCH("cancel",#REF!)),"Cancelled",IF(AND(AS61&lt;&gt;"",AU61&lt;&gt;"",AW61&lt;&gt;""),"Closed","Open"))</f>
        <v>Closed</v>
      </c>
      <c r="AY61" s="15" t="str">
        <f t="shared" si="1"/>
        <v>All dates received</v>
      </c>
      <c r="BD61" s="13">
        <f>IF($AX61="Cancelled","",IFERROR(IF(OR(AS61="",AJ61=""),"",(AJ61+Variables!$B$18-AS61)),""))</f>
        <v>2</v>
      </c>
      <c r="BE61" s="13">
        <f>IF($AX61="Cancelled","",IFERROR(IF(OR(AW61="",AS61=""),"",(AS61+Variables!$B$19)-AW61),""))</f>
        <v>-2</v>
      </c>
      <c r="BF61" s="44">
        <f>IF($AX61="Cancelled","",IFERROR(W61*INDEX(Variables!$B$7:$D$7,IFERROR(MATCH(IF($B61="Robusta","Robusta",(IF($B61="","Arabica",$B61))&amp;" - "&amp;(IF($C61="","Commercial",$C61))),Variables!$B$1:$D$1,0),1))*(BE61/365),""))</f>
        <v>-89.358462507187042</v>
      </c>
      <c r="BG61" s="44">
        <f>IF($AX61="Cancelled","",IFERROR((W61*INDEX(Variables!$B$7:$D$7,IFERROR(MATCH(IF($B61="Robusta","Robusta",(IF($B61="","Arabica",$B61))&amp;" - "&amp;(IF($C61="","Commercial",$C61))),Variables!$B$1:$D$1,0),1))*IFERROR(IF(AB61="","",(AVERAGE(E61:F61)-AB61)-Variables!$B$14),"")/365)+(L61/16.67*INDEX(Variables!$B$8:$D$8,IFERROR(MATCH(IF($B61="Robusta","Robusta",(IF($B61="","Arabica",$B61))&amp;" - "&amp;(IF($C61="","Commercial",$C61))),Variables!$B$1:$D$1,0),1))*IFERROR(IF(AB61="","",(AVERAGE(E61:F61)-AB61)-Variables!$B$14),""))+(W61*INDEX(Variables!$B$9:$D$9,IFERROR(MATCH(IF($B61="Robusta","Robusta",(IF($B61="","Arabica",$B61))&amp;" - "&amp;(IF($C61="","Commercial",$C61))),Variables!$B$1:$D$1,0),1))*IFERROR(IF(AB61="","",(AVERAGE(E61:F61)-AB61)-Variables!$B$14),"")/365),""))</f>
        <v>-2124.5189011578927</v>
      </c>
      <c r="BH61" s="44">
        <f>IF($AX61="Cancelled","",IFERROR((W61*INDEX(Variables!$B$7:$D$7,IFERROR(MATCH(IF($B61="Robusta","Robusta",(IF($B61="","Arabica",$B61))&amp;" - "&amp;(IF($C61="","Commercial",$C61))),Variables!$B$1:$D$1,0),1))*AK61/365)+(L61/16.67*INDEX(Variables!$B$8:$D$8,IFERROR(MATCH(IF($B61="Robusta","Robusta",(IF($B61="","Arabica",$B61))&amp;" - "&amp;(IF($C61="","Commercial",$C61))),Variables!$B$1:$D$1,0),1))*AK61)+(W61*INDEX(Variables!$B$9:$D$9,IFERROR(MATCH(IF($B61="Robusta","Robusta",(IF($B61="","Arabica",$B61))&amp;" - "&amp;(IF($C61="","Commercial",$C61))),Variables!$B$1:$D$1,0),1))*AK61/365),""))</f>
        <v>1081.5732587712905</v>
      </c>
      <c r="BI61" s="44">
        <f>IF($AX61="Cancelled","",IFERROR((W61*INDEX(Variables!$B$7:$D$7,IFERROR(MATCH(IF($B61="Robusta","Robusta",(IF($B61="","Arabica",$B61))&amp;" - "&amp;(IF($C61="","Commercial",$C61))),Variables!$B$1:$D$1,0),1))*BD61/365)+(L61/16.67*INDEX(Variables!$B$8:$D$8,IFERROR(MATCH(IF($B61="Robusta","Robusta",(IF($B61="","Arabica",$B61))&amp;" - "&amp;(IF($C61="","Commercial",$C61))),Variables!$B$1:$D$1,0),1))*BD61)+(W61*INDEX(Variables!$B$9:$D$9,IFERROR(MATCH(IF($B61="Robusta","Robusta",(IF($B61="","Arabica",$B61))&amp;" - "&amp;(IF($C61="","Commercial",$C61))),Variables!$B$1:$D$1,0),1))*BD61/365),""))</f>
        <v>154.51046553875582</v>
      </c>
      <c r="BJ61" s="44">
        <f t="shared" si="2"/>
        <v>-4</v>
      </c>
      <c r="BK61" s="44">
        <f>IF($AX61="Cancelled","",IFERROR(IF(BJ61="","",(W61*INDEX(Variables!$B$7:$D$7,IFERROR(MATCH(IF($B61="Robusta","Robusta",(IF($B61="","Arabica",$B61))&amp;" - "&amp;(IF($C61="","Commercial",$C61))),Variables!$B$1:$D$1,0),1))*(BJ61/365))+(W61*INDEX(Variables!$B$9:$D$9,IFERROR(MATCH(IF($B61="Robusta","Robusta",(IF($B61="","Arabica",$B61))&amp;" - "&amp;(IF($C61="","Commercial",$C61))),Variables!$B$1:$D$1,0),1))*(BJ61/365))+(INDEX(Variables!$B$8:$D$8,IFERROR(MATCH(IF($B61="Robusta","Robusta",(IF($B61="","Arabica",$B61))&amp;" - "&amp;(IF($C61="","Commercial",$C61))),Variables!$B$1:$D$1,0),1))*L61/16.67)),""))</f>
        <v>-149.02093107751165</v>
      </c>
    </row>
    <row r="62" spans="1:63">
      <c r="A62" s="13" t="s">
        <v>103</v>
      </c>
      <c r="B62" s="13" t="s">
        <v>104</v>
      </c>
      <c r="C62" s="13" t="s">
        <v>105</v>
      </c>
      <c r="D62" s="31">
        <v>45643</v>
      </c>
      <c r="E62" s="31">
        <v>45717</v>
      </c>
      <c r="F62" s="31">
        <v>45747</v>
      </c>
      <c r="G62" s="13">
        <v>3786568</v>
      </c>
      <c r="H62" s="13" t="s">
        <v>344</v>
      </c>
      <c r="J62" s="13" t="s">
        <v>325</v>
      </c>
      <c r="K62" s="13">
        <v>5181</v>
      </c>
      <c r="L62" s="13">
        <v>1600</v>
      </c>
      <c r="M62" s="13">
        <v>5</v>
      </c>
      <c r="N62" s="13" t="s">
        <v>338</v>
      </c>
      <c r="O62" s="13" t="s">
        <v>109</v>
      </c>
      <c r="P62" s="13">
        <v>10080</v>
      </c>
      <c r="R62" s="13" t="s">
        <v>110</v>
      </c>
      <c r="S62" s="13" t="s">
        <v>339</v>
      </c>
      <c r="T62" s="13" t="s">
        <v>340</v>
      </c>
      <c r="U62" s="13" t="s">
        <v>113</v>
      </c>
      <c r="V62" s="13">
        <v>8</v>
      </c>
      <c r="W62" s="44">
        <f>IF($AX62="Cancelled","",IFERROR(((V62+INDEX(Variables!$B$6:$D$6,IFERROR(MATCH(IF($B62="Robusta","Robusta",(IF($B62="","Arabica",$B62))&amp;" - "&amp;(IF($C62="","Commercial",$C62))),Variables!$B$1:$D$1,0),1)))*22.0462)*(L62/16.67),""))</f>
        <v>632264.38488302333</v>
      </c>
      <c r="X62" s="55" t="s">
        <v>37</v>
      </c>
      <c r="Y62" s="13" t="str">
        <f>IF($AX62="Cancelled","",IF(X62="","",IFERROR(IF(INDEX(Variables!$B$38:$B$47,MATCH(X62,Variables!$A$38:$A$47,0))="Yes","Yes","No"),"No")))</f>
        <v>Yes</v>
      </c>
      <c r="Z62" s="58">
        <v>45688</v>
      </c>
      <c r="AB62" s="31">
        <v>45700</v>
      </c>
      <c r="AC62" s="13" t="str">
        <f t="shared" si="0"/>
        <v>Approved</v>
      </c>
      <c r="AF62" s="71">
        <v>45729</v>
      </c>
      <c r="AG62" s="35">
        <f>IF($AX62="Cancelled","",IFERROR(IF(F62="","",F62-Variables!$B$13),""))</f>
        <v>45732</v>
      </c>
      <c r="AH62" s="13">
        <f>IF($AX62="Cancelled","",IFERROR(IF(AB62="","",(AVERAGE(E62:F62)-AB62)-Variables!$B$14),""))</f>
        <v>2</v>
      </c>
      <c r="AJ62" s="47">
        <v>45733</v>
      </c>
      <c r="AK62" s="14">
        <f>IF($AX62="Cancelled","",IFERROR(IF(AJ62="","",IF(AND(AB62="",AF62=""),"",IF(AF62&gt;AB62,AF62+Variables!$B$15+Variables!$B$16+Variables!$B$17-AJ62,AB62+Variables!$B$16+Variables!$B$17-AJ62))),""))</f>
        <v>11</v>
      </c>
      <c r="AL62" s="48" t="s">
        <v>114</v>
      </c>
      <c r="AM62" s="13" t="s">
        <v>168</v>
      </c>
      <c r="AN62" s="13" t="s">
        <v>334</v>
      </c>
      <c r="AP62" s="31">
        <v>45744</v>
      </c>
      <c r="AR62" s="13" t="s">
        <v>345</v>
      </c>
      <c r="AS62" s="31">
        <v>45744</v>
      </c>
      <c r="AU62" s="31">
        <v>45743</v>
      </c>
      <c r="AV62" s="13" t="s">
        <v>865</v>
      </c>
      <c r="AW62" s="31">
        <v>45750</v>
      </c>
      <c r="AX62" s="13" t="str">
        <f>IF(ISNUMBER(SEARCH("cancel",#REF!)),"Cancelled",IF(AND(AS62&lt;&gt;"",AU62&lt;&gt;"",AW62&lt;&gt;""),"Closed","Open"))</f>
        <v>Closed</v>
      </c>
      <c r="AY62" s="15" t="str">
        <f t="shared" si="1"/>
        <v>All dates received</v>
      </c>
      <c r="BD62" s="13">
        <f>IF($AX62="Cancelled","",IFERROR(IF(OR(AS62="",AJ62=""),"",(AJ62+Variables!$B$18-AS62)),""))</f>
        <v>4</v>
      </c>
      <c r="BE62" s="13">
        <f>IF($AX62="Cancelled","",IFERROR(IF(OR(AW62="",AS62=""),"",(AS62+Variables!$B$19)-AW62),""))</f>
        <v>-1</v>
      </c>
      <c r="BF62" s="44">
        <f>IF($AX62="Cancelled","",IFERROR(W62*INDEX(Variables!$B$7:$D$7,IFERROR(MATCH(IF($B62="Robusta","Robusta",(IF($B62="","Arabica",$B62))&amp;" - "&amp;(IF($C62="","Commercial",$C62))),Variables!$B$1:$D$1,0),1))*(BE62/365),""))</f>
        <v>-111.69807813398381</v>
      </c>
      <c r="BG62" s="44">
        <f>IF($AX62="Cancelled","",IFERROR((W62*INDEX(Variables!$B$7:$D$7,IFERROR(MATCH(IF($B62="Robusta","Robusta",(IF($B62="","Arabica",$B62))&amp;" - "&amp;(IF($C62="","Commercial",$C62))),Variables!$B$1:$D$1,0),1))*IFERROR(IF(AB62="","",(AVERAGE(E62:F62)-AB62)-Variables!$B$14),"")/365)+(L62/16.67*INDEX(Variables!$B$8:$D$8,IFERROR(MATCH(IF($B62="Robusta","Robusta",(IF($B62="","Arabica",$B62))&amp;" - "&amp;(IF($C62="","Commercial",$C62))),Variables!$B$1:$D$1,0),1))*IFERROR(IF(AB62="","",(AVERAGE(E62:F62)-AB62)-Variables!$B$14),""))+(W62*INDEX(Variables!$B$9:$D$9,IFERROR(MATCH(IF($B62="Robusta","Robusta",(IF($B62="","Arabica",$B62))&amp;" - "&amp;(IF($C62="","Commercial",$C62))),Variables!$B$1:$D$1,0),1))*IFERROR(IF(AB62="","",(AVERAGE(E62:F62)-AB62)-Variables!$B$14),"")/365),""))</f>
        <v>386.27616384688957</v>
      </c>
      <c r="BH62" s="44">
        <f>IF($AX62="Cancelled","",IFERROR((W62*INDEX(Variables!$B$7:$D$7,IFERROR(MATCH(IF($B62="Robusta","Robusta",(IF($B62="","Arabica",$B62))&amp;" - "&amp;(IF($C62="","Commercial",$C62))),Variables!$B$1:$D$1,0),1))*AK62/365)+(L62/16.67*INDEX(Variables!$B$8:$D$8,IFERROR(MATCH(IF($B62="Robusta","Robusta",(IF($B62="","Arabica",$B62))&amp;" - "&amp;(IF($C62="","Commercial",$C62))),Variables!$B$1:$D$1,0),1))*AK62)+(W62*INDEX(Variables!$B$9:$D$9,IFERROR(MATCH(IF($B62="Robusta","Robusta",(IF($B62="","Arabica",$B62))&amp;" - "&amp;(IF($C62="","Commercial",$C62))),Variables!$B$1:$D$1,0),1))*AK62/365),""))</f>
        <v>2124.5189011578927</v>
      </c>
      <c r="BI62" s="44">
        <f>IF($AX62="Cancelled","",IFERROR((W62*INDEX(Variables!$B$7:$D$7,IFERROR(MATCH(IF($B62="Robusta","Robusta",(IF($B62="","Arabica",$B62))&amp;" - "&amp;(IF($C62="","Commercial",$C62))),Variables!$B$1:$D$1,0),1))*BD62/365)+(L62/16.67*INDEX(Variables!$B$8:$D$8,IFERROR(MATCH(IF($B62="Robusta","Robusta",(IF($B62="","Arabica",$B62))&amp;" - "&amp;(IF($C62="","Commercial",$C62))),Variables!$B$1:$D$1,0),1))*BD62)+(W62*INDEX(Variables!$B$9:$D$9,IFERROR(MATCH(IF($B62="Robusta","Robusta",(IF($B62="","Arabica",$B62))&amp;" - "&amp;(IF($C62="","Commercial",$C62))),Variables!$B$1:$D$1,0),1))*BD62/365),""))</f>
        <v>772.55232769377915</v>
      </c>
      <c r="BJ62" s="44">
        <f t="shared" si="2"/>
        <v>3</v>
      </c>
      <c r="BK62" s="44">
        <f>IF($AX62="Cancelled","",IFERROR(IF(BJ62="","",(W62*INDEX(Variables!$B$7:$D$7,IFERROR(MATCH(IF($B62="Robusta","Robusta",(IF($B62="","Arabica",$B62))&amp;" - "&amp;(IF($C62="","Commercial",$C62))),Variables!$B$1:$D$1,0),1))*(BJ62/365))+(W62*INDEX(Variables!$B$9:$D$9,IFERROR(MATCH(IF($B62="Robusta","Robusta",(IF($B62="","Arabica",$B62))&amp;" - "&amp;(IF($C62="","Commercial",$C62))),Variables!$B$1:$D$1,0),1))*(BJ62/365))+(INDEX(Variables!$B$8:$D$8,IFERROR(MATCH(IF($B62="Robusta","Robusta",(IF($B62="","Arabica",$B62))&amp;" - "&amp;(IF($C62="","Commercial",$C62))),Variables!$B$1:$D$1,0),1))*L62/16.67)),""))</f>
        <v>419.41424577033433</v>
      </c>
    </row>
    <row r="63" spans="1:63">
      <c r="A63" s="13" t="s">
        <v>103</v>
      </c>
      <c r="B63" s="13" t="s">
        <v>104</v>
      </c>
      <c r="C63" s="13" t="s">
        <v>105</v>
      </c>
      <c r="D63" s="31">
        <v>45643</v>
      </c>
      <c r="E63" s="31">
        <v>45748</v>
      </c>
      <c r="F63" s="31">
        <v>45777</v>
      </c>
      <c r="G63" s="13">
        <v>3786569</v>
      </c>
      <c r="H63" s="13" t="s">
        <v>346</v>
      </c>
      <c r="J63" s="13" t="s">
        <v>325</v>
      </c>
      <c r="K63" s="13">
        <v>5230</v>
      </c>
      <c r="L63" s="13">
        <v>1600</v>
      </c>
      <c r="M63" s="13">
        <v>5</v>
      </c>
      <c r="N63" s="13" t="s">
        <v>338</v>
      </c>
      <c r="O63" s="13" t="s">
        <v>109</v>
      </c>
      <c r="P63" s="13">
        <v>10080</v>
      </c>
      <c r="R63" s="13" t="s">
        <v>110</v>
      </c>
      <c r="S63" s="13" t="s">
        <v>339</v>
      </c>
      <c r="T63" s="13" t="s">
        <v>340</v>
      </c>
      <c r="U63" s="13" t="s">
        <v>113</v>
      </c>
      <c r="V63" s="13">
        <v>8</v>
      </c>
      <c r="W63" s="44">
        <f>IF($AX63="Cancelled","",IFERROR(((V63+INDEX(Variables!$B$6:$D$6,IFERROR(MATCH(IF($B63="Robusta","Robusta",(IF($B63="","Arabica",$B63))&amp;" - "&amp;(IF($C63="","Commercial",$C63))),Variables!$B$1:$D$1,0),1)))*22.0462)*(L63/16.67),""))</f>
        <v>632264.38488302333</v>
      </c>
      <c r="X63" s="55" t="s">
        <v>37</v>
      </c>
      <c r="Y63" s="13" t="str">
        <f>IF($AX63="Cancelled","",IF(X63="","",IFERROR(IF(INDEX(Variables!$B$38:$B$47,MATCH(X63,Variables!$A$38:$A$47,0))="Yes","Yes","No"),"No")))</f>
        <v>Yes</v>
      </c>
      <c r="Z63" s="58">
        <v>45708</v>
      </c>
      <c r="AB63" s="31">
        <v>45726</v>
      </c>
      <c r="AC63" s="13" t="str">
        <f t="shared" si="0"/>
        <v>Approved</v>
      </c>
      <c r="AF63" s="71">
        <f>AJ63-7</f>
        <v>45765</v>
      </c>
      <c r="AG63" s="35">
        <f>IF($AX63="Cancelled","",IFERROR(IF(F63="","",F63-Variables!$B$13),""))</f>
        <v>45762</v>
      </c>
      <c r="AH63" s="13">
        <f>IF($AX63="Cancelled","",IFERROR(IF(AB63="","",(AVERAGE(E63:F63)-AB63)-Variables!$B$14),""))</f>
        <v>6.5</v>
      </c>
      <c r="AJ63" s="47">
        <v>45772</v>
      </c>
      <c r="AK63" s="14">
        <f>IF($AX63="Cancelled","",IFERROR(IF(AJ63="","",IF(AND(AB63="",AF63=""),"",IF(AF63&gt;AB63,AF63+Variables!$B$15+Variables!$B$16+Variables!$B$17-AJ63,AB63+Variables!$B$16+Variables!$B$17-AJ63))),""))</f>
        <v>8</v>
      </c>
      <c r="AL63" s="48" t="s">
        <v>114</v>
      </c>
      <c r="AM63" s="13" t="s">
        <v>168</v>
      </c>
      <c r="AN63" s="13" t="s">
        <v>347</v>
      </c>
      <c r="AP63" s="31">
        <v>45782</v>
      </c>
      <c r="AR63" s="13" t="s">
        <v>348</v>
      </c>
      <c r="AS63" s="31">
        <v>45782</v>
      </c>
      <c r="AU63" s="31">
        <v>45786</v>
      </c>
      <c r="AV63" s="13" t="s">
        <v>865</v>
      </c>
      <c r="AW63" s="31">
        <v>45792</v>
      </c>
      <c r="AX63" s="13" t="str">
        <f>IF(ISNUMBER(SEARCH("cancel",#REF!)),"Cancelled",IF(AND(AS63&lt;&gt;"",AU63&lt;&gt;"",AW63&lt;&gt;""),"Closed","Open"))</f>
        <v>Closed</v>
      </c>
      <c r="AY63" s="15" t="str">
        <f t="shared" si="1"/>
        <v>All dates received</v>
      </c>
      <c r="BD63" s="13">
        <f>IF($AX63="Cancelled","",IFERROR(IF(OR(AS63="",AJ63=""),"",(AJ63+Variables!$B$18-AS63)),""))</f>
        <v>5</v>
      </c>
      <c r="BE63" s="13">
        <f>IF($AX63="Cancelled","",IFERROR(IF(OR(AW63="",AS63=""),"",(AS63+Variables!$B$19)-AW63),""))</f>
        <v>-5</v>
      </c>
      <c r="BF63" s="44">
        <f>IF($AX63="Cancelled","",IFERROR(W63*INDEX(Variables!$B$7:$D$7,IFERROR(MATCH(IF($B63="Robusta","Robusta",(IF($B63="","Arabica",$B63))&amp;" - "&amp;(IF($C63="","Commercial",$C63))),Variables!$B$1:$D$1,0),1))*(BE63/365),""))</f>
        <v>-558.49039066991907</v>
      </c>
      <c r="BG63" s="44">
        <f>IF($AX63="Cancelled","",IFERROR((W63*INDEX(Variables!$B$7:$D$7,IFERROR(MATCH(IF($B63="Robusta","Robusta",(IF($B63="","Arabica",$B63))&amp;" - "&amp;(IF($C63="","Commercial",$C63))),Variables!$B$1:$D$1,0),1))*IFERROR(IF(AB63="","",(AVERAGE(E63:F63)-AB63)-Variables!$B$14),"")/365)+(L63/16.67*INDEX(Variables!$B$8:$D$8,IFERROR(MATCH(IF($B63="Robusta","Robusta",(IF($B63="","Arabica",$B63))&amp;" - "&amp;(IF($C63="","Commercial",$C63))),Variables!$B$1:$D$1,0),1))*IFERROR(IF(AB63="","",(AVERAGE(E63:F63)-AB63)-Variables!$B$14),""))+(W63*INDEX(Variables!$B$9:$D$9,IFERROR(MATCH(IF($B63="Robusta","Robusta",(IF($B63="","Arabica",$B63))&amp;" - "&amp;(IF($C63="","Commercial",$C63))),Variables!$B$1:$D$1,0),1))*IFERROR(IF(AB63="","",(AVERAGE(E63:F63)-AB63)-Variables!$B$14),"")/365),""))</f>
        <v>1255.3975325023912</v>
      </c>
      <c r="BH63" s="44">
        <f>IF($AX63="Cancelled","",IFERROR((W63*INDEX(Variables!$B$7:$D$7,IFERROR(MATCH(IF($B63="Robusta","Robusta",(IF($B63="","Arabica",$B63))&amp;" - "&amp;(IF($C63="","Commercial",$C63))),Variables!$B$1:$D$1,0),1))*AK63/365)+(L63/16.67*INDEX(Variables!$B$8:$D$8,IFERROR(MATCH(IF($B63="Robusta","Robusta",(IF($B63="","Arabica",$B63))&amp;" - "&amp;(IF($C63="","Commercial",$C63))),Variables!$B$1:$D$1,0),1))*AK63)+(W63*INDEX(Variables!$B$9:$D$9,IFERROR(MATCH(IF($B63="Robusta","Robusta",(IF($B63="","Arabica",$B63))&amp;" - "&amp;(IF($C63="","Commercial",$C63))),Variables!$B$1:$D$1,0),1))*AK63/365),""))</f>
        <v>1545.1046553875583</v>
      </c>
      <c r="BI63" s="44">
        <f>IF($AX63="Cancelled","",IFERROR((W63*INDEX(Variables!$B$7:$D$7,IFERROR(MATCH(IF($B63="Robusta","Robusta",(IF($B63="","Arabica",$B63))&amp;" - "&amp;(IF($C63="","Commercial",$C63))),Variables!$B$1:$D$1,0),1))*BD63/365)+(L63/16.67*INDEX(Variables!$B$8:$D$8,IFERROR(MATCH(IF($B63="Robusta","Robusta",(IF($B63="","Arabica",$B63))&amp;" - "&amp;(IF($C63="","Commercial",$C63))),Variables!$B$1:$D$1,0),1))*BD63)+(W63*INDEX(Variables!$B$9:$D$9,IFERROR(MATCH(IF($B63="Robusta","Robusta",(IF($B63="","Arabica",$B63))&amp;" - "&amp;(IF($C63="","Commercial",$C63))),Variables!$B$1:$D$1,0),1))*BD63/365),""))</f>
        <v>965.69040961722396</v>
      </c>
      <c r="BJ63" s="44">
        <f t="shared" si="2"/>
        <v>-5</v>
      </c>
      <c r="BK63" s="44">
        <f>IF($AX63="Cancelled","",IFERROR(IF(BJ63="","",(W63*INDEX(Variables!$B$7:$D$7,IFERROR(MATCH(IF($B63="Robusta","Robusta",(IF($B63="","Arabica",$B63))&amp;" - "&amp;(IF($C63="","Commercial",$C63))),Variables!$B$1:$D$1,0),1))*(BJ63/365))+(W63*INDEX(Variables!$B$9:$D$9,IFERROR(MATCH(IF($B63="Robusta","Robusta",(IF($B63="","Arabica",$B63))&amp;" - "&amp;(IF($C63="","Commercial",$C63))),Variables!$B$1:$D$1,0),1))*(BJ63/365))+(INDEX(Variables!$B$8:$D$8,IFERROR(MATCH(IF($B63="Robusta","Robusta",(IF($B63="","Arabica",$B63))&amp;" - "&amp;(IF($C63="","Commercial",$C63))),Variables!$B$1:$D$1,0),1))*L63/16.67)),""))</f>
        <v>-485.69040961722396</v>
      </c>
    </row>
    <row r="64" spans="1:63">
      <c r="A64" s="13" t="s">
        <v>103</v>
      </c>
      <c r="B64" s="13" t="s">
        <v>104</v>
      </c>
      <c r="C64" s="13" t="s">
        <v>105</v>
      </c>
      <c r="D64" s="31">
        <v>45644</v>
      </c>
      <c r="E64" s="31">
        <v>45778</v>
      </c>
      <c r="F64" s="31">
        <v>45808</v>
      </c>
      <c r="G64" s="13">
        <v>3786570</v>
      </c>
      <c r="H64" s="13" t="s">
        <v>349</v>
      </c>
      <c r="J64" s="13" t="s">
        <v>325</v>
      </c>
      <c r="K64" s="13">
        <v>5258</v>
      </c>
      <c r="L64" s="13">
        <v>1600</v>
      </c>
      <c r="M64" s="13">
        <v>5</v>
      </c>
      <c r="N64" s="13" t="s">
        <v>338</v>
      </c>
      <c r="O64" s="13" t="s">
        <v>109</v>
      </c>
      <c r="P64" s="13">
        <v>10080</v>
      </c>
      <c r="R64" s="13" t="s">
        <v>110</v>
      </c>
      <c r="S64" s="13" t="s">
        <v>339</v>
      </c>
      <c r="T64" s="13" t="s">
        <v>340</v>
      </c>
      <c r="U64" s="13" t="s">
        <v>113</v>
      </c>
      <c r="V64" s="13">
        <v>8</v>
      </c>
      <c r="W64" s="44">
        <f>IF($AX64="Cancelled","",IFERROR(((V64+INDEX(Variables!$B$6:$D$6,IFERROR(MATCH(IF($B64="Robusta","Robusta",(IF($B64="","Arabica",$B64))&amp;" - "&amp;(IF($C64="","Commercial",$C64))),Variables!$B$1:$D$1,0),1)))*22.0462)*(L64/16.67),""))</f>
        <v>632264.38488302333</v>
      </c>
      <c r="X64" s="55" t="s">
        <v>37</v>
      </c>
      <c r="Y64" s="13" t="str">
        <f>IF($AX64="Cancelled","",IF(X64="","",IFERROR(IF(INDEX(Variables!$B$38:$B$47,MATCH(X64,Variables!$A$38:$A$47,0))="Yes","Yes","No"),"No")))</f>
        <v>Yes</v>
      </c>
      <c r="Z64" s="58">
        <v>45744</v>
      </c>
      <c r="AB64" s="31">
        <v>45749</v>
      </c>
      <c r="AC64" s="13" t="str">
        <f t="shared" si="0"/>
        <v>Approved</v>
      </c>
      <c r="AF64" s="71">
        <f>AJ64-7</f>
        <v>45784</v>
      </c>
      <c r="AG64" s="35">
        <f>IF($AX64="Cancelled","",IFERROR(IF(F64="","",F64-Variables!$B$13),""))</f>
        <v>45793</v>
      </c>
      <c r="AH64" s="13">
        <f>IF($AX64="Cancelled","",IFERROR(IF(AB64="","",(AVERAGE(E64:F64)-AB64)-Variables!$B$14),""))</f>
        <v>14</v>
      </c>
      <c r="AJ64" s="47">
        <v>45791</v>
      </c>
      <c r="AK64" s="14">
        <f>IF($AX64="Cancelled","",IFERROR(IF(AJ64="","",IF(AND(AB64="",AF64=""),"",IF(AF64&gt;AB64,AF64+Variables!$B$15+Variables!$B$16+Variables!$B$17-AJ64,AB64+Variables!$B$16+Variables!$B$17-AJ64))),""))</f>
        <v>8</v>
      </c>
      <c r="AL64" s="48" t="s">
        <v>350</v>
      </c>
      <c r="AM64" s="13" t="s">
        <v>168</v>
      </c>
      <c r="AN64" s="13" t="s">
        <v>351</v>
      </c>
      <c r="AP64" s="31">
        <v>45813</v>
      </c>
      <c r="AR64" s="13" t="s">
        <v>352</v>
      </c>
      <c r="AS64" s="31">
        <v>45813</v>
      </c>
      <c r="AU64" s="31">
        <v>45819</v>
      </c>
      <c r="AV64" s="13" t="s">
        <v>865</v>
      </c>
      <c r="AW64" s="31">
        <v>45818</v>
      </c>
      <c r="AX64" s="13" t="str">
        <f>IF(ISNUMBER(SEARCH("cancel",#REF!)),"Cancelled",IF(AND(AS64&lt;&gt;"",AU64&lt;&gt;"",AW64&lt;&gt;""),"Closed","Open"))</f>
        <v>Closed</v>
      </c>
      <c r="AY64" s="15" t="str">
        <f t="shared" si="1"/>
        <v>All dates received</v>
      </c>
      <c r="BD64" s="13">
        <f>IF($AX64="Cancelled","",IFERROR(IF(OR(AS64="",AJ64=""),"",(AJ64+Variables!$B$18-AS64)),""))</f>
        <v>-7</v>
      </c>
      <c r="BE64" s="13">
        <f>IF($AX64="Cancelled","",IFERROR(IF(OR(AW64="",AS64=""),"",(AS64+Variables!$B$19)-AW64),""))</f>
        <v>0</v>
      </c>
      <c r="BF64" s="44">
        <f>IF($AX64="Cancelled","",IFERROR(W64*INDEX(Variables!$B$7:$D$7,IFERROR(MATCH(IF($B64="Robusta","Robusta",(IF($B64="","Arabica",$B64))&amp;" - "&amp;(IF($C64="","Commercial",$C64))),Variables!$B$1:$D$1,0),1))*(BE64/365),""))</f>
        <v>0</v>
      </c>
      <c r="BG64" s="44">
        <f>IF($AX64="Cancelled","",IFERROR((W64*INDEX(Variables!$B$7:$D$7,IFERROR(MATCH(IF($B64="Robusta","Robusta",(IF($B64="","Arabica",$B64))&amp;" - "&amp;(IF($C64="","Commercial",$C64))),Variables!$B$1:$D$1,0),1))*IFERROR(IF(AB64="","",(AVERAGE(E64:F64)-AB64)-Variables!$B$14),"")/365)+(L64/16.67*INDEX(Variables!$B$8:$D$8,IFERROR(MATCH(IF($B64="Robusta","Robusta",(IF($B64="","Arabica",$B64))&amp;" - "&amp;(IF($C64="","Commercial",$C64))),Variables!$B$1:$D$1,0),1))*IFERROR(IF(AB64="","",(AVERAGE(E64:F64)-AB64)-Variables!$B$14),""))+(W64*INDEX(Variables!$B$9:$D$9,IFERROR(MATCH(IF($B64="Robusta","Robusta",(IF($B64="","Arabica",$B64))&amp;" - "&amp;(IF($C64="","Commercial",$C64))),Variables!$B$1:$D$1,0),1))*IFERROR(IF(AB64="","",(AVERAGE(E64:F64)-AB64)-Variables!$B$14),"")/365),""))</f>
        <v>2703.933146928227</v>
      </c>
      <c r="BH64" s="44">
        <f>IF($AX64="Cancelled","",IFERROR((W64*INDEX(Variables!$B$7:$D$7,IFERROR(MATCH(IF($B64="Robusta","Robusta",(IF($B64="","Arabica",$B64))&amp;" - "&amp;(IF($C64="","Commercial",$C64))),Variables!$B$1:$D$1,0),1))*AK64/365)+(L64/16.67*INDEX(Variables!$B$8:$D$8,IFERROR(MATCH(IF($B64="Robusta","Robusta",(IF($B64="","Arabica",$B64))&amp;" - "&amp;(IF($C64="","Commercial",$C64))),Variables!$B$1:$D$1,0),1))*AK64)+(W64*INDEX(Variables!$B$9:$D$9,IFERROR(MATCH(IF($B64="Robusta","Robusta",(IF($B64="","Arabica",$B64))&amp;" - "&amp;(IF($C64="","Commercial",$C64))),Variables!$B$1:$D$1,0),1))*AK64/365),""))</f>
        <v>1545.1046553875583</v>
      </c>
      <c r="BI64" s="44">
        <f>IF($AX64="Cancelled","",IFERROR((W64*INDEX(Variables!$B$7:$D$7,IFERROR(MATCH(IF($B64="Robusta","Robusta",(IF($B64="","Arabica",$B64))&amp;" - "&amp;(IF($C64="","Commercial",$C64))),Variables!$B$1:$D$1,0),1))*BD64/365)+(L64/16.67*INDEX(Variables!$B$8:$D$8,IFERROR(MATCH(IF($B64="Robusta","Robusta",(IF($B64="","Arabica",$B64))&amp;" - "&amp;(IF($C64="","Commercial",$C64))),Variables!$B$1:$D$1,0),1))*BD64)+(W64*INDEX(Variables!$B$9:$D$9,IFERROR(MATCH(IF($B64="Robusta","Robusta",(IF($B64="","Arabica",$B64))&amp;" - "&amp;(IF($C64="","Commercial",$C64))),Variables!$B$1:$D$1,0),1))*BD64/365),""))</f>
        <v>-1351.9665734641135</v>
      </c>
      <c r="BJ64" s="44">
        <f t="shared" si="2"/>
        <v>-5</v>
      </c>
      <c r="BK64" s="44">
        <f>IF($AX64="Cancelled","",IFERROR(IF(BJ64="","",(W64*INDEX(Variables!$B$7:$D$7,IFERROR(MATCH(IF($B64="Robusta","Robusta",(IF($B64="","Arabica",$B64))&amp;" - "&amp;(IF($C64="","Commercial",$C64))),Variables!$B$1:$D$1,0),1))*(BJ64/365))+(W64*INDEX(Variables!$B$9:$D$9,IFERROR(MATCH(IF($B64="Robusta","Robusta",(IF($B64="","Arabica",$B64))&amp;" - "&amp;(IF($C64="","Commercial",$C64))),Variables!$B$1:$D$1,0),1))*(BJ64/365))+(INDEX(Variables!$B$8:$D$8,IFERROR(MATCH(IF($B64="Robusta","Robusta",(IF($B64="","Arabica",$B64))&amp;" - "&amp;(IF($C64="","Commercial",$C64))),Variables!$B$1:$D$1,0),1))*L64/16.67)),""))</f>
        <v>-485.69040961722396</v>
      </c>
    </row>
    <row r="65" spans="1:63">
      <c r="A65" s="13" t="s">
        <v>103</v>
      </c>
      <c r="B65" s="13" t="s">
        <v>104</v>
      </c>
      <c r="C65" s="13" t="s">
        <v>105</v>
      </c>
      <c r="D65" s="31">
        <v>45645</v>
      </c>
      <c r="E65" s="31">
        <v>45717</v>
      </c>
      <c r="F65" s="31">
        <v>45747</v>
      </c>
      <c r="G65" s="13">
        <v>3786571</v>
      </c>
      <c r="H65" s="13" t="s">
        <v>353</v>
      </c>
      <c r="J65" s="13" t="s">
        <v>177</v>
      </c>
      <c r="K65" s="13">
        <v>5208</v>
      </c>
      <c r="L65" s="13">
        <v>200</v>
      </c>
      <c r="M65" s="13">
        <v>1</v>
      </c>
      <c r="N65" s="13" t="s">
        <v>354</v>
      </c>
      <c r="O65" s="13" t="s">
        <v>355</v>
      </c>
      <c r="P65" s="13">
        <v>10060</v>
      </c>
      <c r="R65" s="13" t="s">
        <v>239</v>
      </c>
      <c r="S65" s="13" t="s">
        <v>180</v>
      </c>
      <c r="T65" s="13" t="s">
        <v>253</v>
      </c>
      <c r="U65" s="13" t="s">
        <v>182</v>
      </c>
      <c r="V65" s="13">
        <v>25</v>
      </c>
      <c r="W65" s="44">
        <f>IF($AX65="Cancelled","",IFERROR(((V65+INDEX(Variables!$B$6:$D$6,IFERROR(MATCH(IF($B65="Robusta","Robusta",(IF($B65="","Arabica",$B65))&amp;" - "&amp;(IF($C65="","Commercial",$C65))),Variables!$B$1:$D$1,0),1)))*22.0462)*(L65/16.67),""))</f>
        <v>83529.573605278929</v>
      </c>
      <c r="X65" s="55" t="s">
        <v>37</v>
      </c>
      <c r="Y65" s="13" t="str">
        <f>IF($AX65="Cancelled","",IF(X65="","",IFERROR(IF(INDEX(Variables!$B$38:$B$47,MATCH(X65,Variables!$A$38:$A$47,0))="Yes","Yes","No"),"No")))</f>
        <v>Yes</v>
      </c>
      <c r="Z65" s="58">
        <v>45691</v>
      </c>
      <c r="AB65" s="31">
        <v>45705</v>
      </c>
      <c r="AC65" s="13" t="str">
        <f t="shared" si="0"/>
        <v>Approved</v>
      </c>
      <c r="AF65" s="71">
        <v>45705</v>
      </c>
      <c r="AG65" s="35">
        <f>IF($AX65="Cancelled","",IFERROR(IF(F65="","",F65-Variables!$B$13),""))</f>
        <v>45732</v>
      </c>
      <c r="AH65" s="13">
        <f>IF($AX65="Cancelled","",IFERROR(IF(AB65="","",(AVERAGE(E65:F65)-AB65)-Variables!$B$14),""))</f>
        <v>-3</v>
      </c>
      <c r="AJ65" s="47">
        <v>45734</v>
      </c>
      <c r="AK65" s="14">
        <f>IF($AX65="Cancelled","",IFERROR(IF(AJ65="","",IF(AND(AB65="",AF65=""),"",IF(AF65&gt;AB65,AF65+Variables!$B$15+Variables!$B$16+Variables!$B$17-AJ65,AB65+Variables!$B$16+Variables!$B$17-AJ65))),""))</f>
        <v>-21</v>
      </c>
      <c r="AL65" s="48" t="s">
        <v>114</v>
      </c>
      <c r="AM65" s="13" t="s">
        <v>188</v>
      </c>
      <c r="AN65" s="13" t="s">
        <v>189</v>
      </c>
      <c r="AP65" s="31">
        <v>45758</v>
      </c>
      <c r="AR65" s="13" t="s">
        <v>356</v>
      </c>
      <c r="AS65" s="31">
        <v>45758</v>
      </c>
      <c r="AU65" s="31">
        <v>45764</v>
      </c>
      <c r="AV65" s="13" t="s">
        <v>357</v>
      </c>
      <c r="AW65" s="31">
        <v>45772</v>
      </c>
      <c r="AX65" s="13" t="str">
        <f>IF(ISNUMBER(SEARCH("cancel",#REF!)),"Cancelled",IF(AND(AS65&lt;&gt;"",AU65&lt;&gt;"",AW65&lt;&gt;""),"Closed","Open"))</f>
        <v>Closed</v>
      </c>
      <c r="AY65" s="15" t="str">
        <f t="shared" si="1"/>
        <v>All dates received</v>
      </c>
      <c r="BD65" s="13">
        <f>IF($AX65="Cancelled","",IFERROR(IF(OR(AS65="",AJ65=""),"",(AJ65+Variables!$B$18-AS65)),""))</f>
        <v>-9</v>
      </c>
      <c r="BE65" s="13">
        <f>IF($AX65="Cancelled","",IFERROR(IF(OR(AW65="",AS65=""),"",(AS65+Variables!$B$19)-AW65),""))</f>
        <v>-9</v>
      </c>
      <c r="BF65" s="44">
        <f>IF($AX65="Cancelled","",IFERROR(W65*INDEX(Variables!$B$7:$D$7,IFERROR(MATCH(IF($B65="Robusta","Robusta",(IF($B65="","Arabica",$B65))&amp;" - "&amp;(IF($C65="","Commercial",$C65))),Variables!$B$1:$D$1,0),1))*(BE65/365),""))</f>
        <v>-132.80968778129548</v>
      </c>
      <c r="BG65" s="44">
        <f>IF($AX65="Cancelled","",IFERROR((W65*INDEX(Variables!$B$7:$D$7,IFERROR(MATCH(IF($B65="Robusta","Robusta",(IF($B65="","Arabica",$B65))&amp;" - "&amp;(IF($C65="","Commercial",$C65))),Variables!$B$1:$D$1,0),1))*IFERROR(IF(AB65="","",(AVERAGE(E65:F65)-AB65)-Variables!$B$14),"")/365)+(L65/16.67*INDEX(Variables!$B$8:$D$8,IFERROR(MATCH(IF($B65="Robusta","Robusta",(IF($B65="","Arabica",$B65))&amp;" - "&amp;(IF($C65="","Commercial",$C65))),Variables!$B$1:$D$1,0),1))*IFERROR(IF(AB65="","",(AVERAGE(E65:F65)-AB65)-Variables!$B$14),""))+(W65*INDEX(Variables!$B$9:$D$9,IFERROR(MATCH(IF($B65="Robusta","Robusta",(IF($B65="","Arabica",$B65))&amp;" - "&amp;(IF($C65="","Commercial",$C65))),Variables!$B$1:$D$1,0),1))*IFERROR(IF(AB65="","",(AVERAGE(E65:F65)-AB65)-Variables!$B$14),"")/365),""))</f>
        <v>-74.840620320562081</v>
      </c>
      <c r="BH65" s="44">
        <f>IF($AX65="Cancelled","",IFERROR((W65*INDEX(Variables!$B$7:$D$7,IFERROR(MATCH(IF($B65="Robusta","Robusta",(IF($B65="","Arabica",$B65))&amp;" - "&amp;(IF($C65="","Commercial",$C65))),Variables!$B$1:$D$1,0),1))*AK65/365)+(L65/16.67*INDEX(Variables!$B$8:$D$8,IFERROR(MATCH(IF($B65="Robusta","Robusta",(IF($B65="","Arabica",$B65))&amp;" - "&amp;(IF($C65="","Commercial",$C65))),Variables!$B$1:$D$1,0),1))*AK65)+(W65*INDEX(Variables!$B$9:$D$9,IFERROR(MATCH(IF($B65="Robusta","Robusta",(IF($B65="","Arabica",$B65))&amp;" - "&amp;(IF($C65="","Commercial",$C65))),Variables!$B$1:$D$1,0),1))*AK65/365),""))</f>
        <v>-523.8843422439345</v>
      </c>
      <c r="BI65" s="44">
        <f>IF($AX65="Cancelled","",IFERROR((W65*INDEX(Variables!$B$7:$D$7,IFERROR(MATCH(IF($B65="Robusta","Robusta",(IF($B65="","Arabica",$B65))&amp;" - "&amp;(IF($C65="","Commercial",$C65))),Variables!$B$1:$D$1,0),1))*BD65/365)+(L65/16.67*INDEX(Variables!$B$8:$D$8,IFERROR(MATCH(IF($B65="Robusta","Robusta",(IF($B65="","Arabica",$B65))&amp;" - "&amp;(IF($C65="","Commercial",$C65))),Variables!$B$1:$D$1,0),1))*BD65)+(W65*INDEX(Variables!$B$9:$D$9,IFERROR(MATCH(IF($B65="Robusta","Robusta",(IF($B65="","Arabica",$B65))&amp;" - "&amp;(IF($C65="","Commercial",$C65))),Variables!$B$1:$D$1,0),1))*BD65/365),""))</f>
        <v>-224.5218609616862</v>
      </c>
      <c r="BJ65" s="44">
        <f t="shared" si="2"/>
        <v>-11</v>
      </c>
      <c r="BK65" s="44">
        <f>IF($AX65="Cancelled","",IFERROR(IF(BJ65="","",(W65*INDEX(Variables!$B$7:$D$7,IFERROR(MATCH(IF($B65="Robusta","Robusta",(IF($B65="","Arabica",$B65))&amp;" - "&amp;(IF($C65="","Commercial",$C65))),Variables!$B$1:$D$1,0),1))*(BJ65/365))+(W65*INDEX(Variables!$B$9:$D$9,IFERROR(MATCH(IF($B65="Robusta","Robusta",(IF($B65="","Arabica",$B65))&amp;" - "&amp;(IF($C65="","Commercial",$C65))),Variables!$B$1:$D$1,0),1))*(BJ65/365))+(INDEX(Variables!$B$8:$D$8,IFERROR(MATCH(IF($B65="Robusta","Robusta",(IF($B65="","Arabica",$B65))&amp;" - "&amp;(IF($C65="","Commercial",$C65))),Variables!$B$1:$D$1,0),1))*L65/16.67)),""))</f>
        <v>-154.41560784206092</v>
      </c>
    </row>
    <row r="66" spans="1:63">
      <c r="A66" s="13" t="s">
        <v>103</v>
      </c>
      <c r="B66" s="13" t="s">
        <v>104</v>
      </c>
      <c r="C66" s="13" t="s">
        <v>105</v>
      </c>
      <c r="D66" s="31">
        <v>45645</v>
      </c>
      <c r="E66" s="31">
        <v>45839</v>
      </c>
      <c r="F66" s="31">
        <v>45869</v>
      </c>
      <c r="G66" s="13">
        <v>3786572</v>
      </c>
      <c r="H66" s="13" t="s">
        <v>358</v>
      </c>
      <c r="J66" s="13" t="s">
        <v>177</v>
      </c>
      <c r="K66" s="13">
        <v>5302</v>
      </c>
      <c r="L66" s="13">
        <v>200</v>
      </c>
      <c r="M66" s="13">
        <v>1</v>
      </c>
      <c r="N66" s="13" t="s">
        <v>354</v>
      </c>
      <c r="O66" s="13" t="s">
        <v>355</v>
      </c>
      <c r="P66" s="13">
        <v>10060</v>
      </c>
      <c r="R66" s="13" t="s">
        <v>239</v>
      </c>
      <c r="S66" s="13" t="s">
        <v>180</v>
      </c>
      <c r="T66" s="13" t="s">
        <v>253</v>
      </c>
      <c r="U66" s="13" t="s">
        <v>182</v>
      </c>
      <c r="V66" s="13">
        <v>25</v>
      </c>
      <c r="W66" s="44">
        <f>IF($AX66="Cancelled","",IFERROR(((V66+INDEX(Variables!$B$6:$D$6,IFERROR(MATCH(IF($B66="Robusta","Robusta",(IF($B66="","Arabica",$B66))&amp;" - "&amp;(IF($C66="","Commercial",$C66))),Variables!$B$1:$D$1,0),1)))*22.0462)*(L66/16.67),""))</f>
        <v>83529.573605278929</v>
      </c>
      <c r="X66" s="55" t="s">
        <v>37</v>
      </c>
      <c r="Y66" s="13" t="str">
        <f>IF($AX66="Cancelled","",IF(X66="","",IFERROR(IF(INDEX(Variables!$B$38:$B$47,MATCH(X66,Variables!$A$38:$A$47,0))="Yes","Yes","No"),"No")))</f>
        <v>Yes</v>
      </c>
      <c r="Z66" s="58">
        <v>45793</v>
      </c>
      <c r="AB66" s="31">
        <v>45812</v>
      </c>
      <c r="AC66" s="13" t="str">
        <f t="shared" ref="AC66:AC129" si="3">IF($AX66="Cancelled","",IF(ISNUMBER(AB66),"Approved",""))</f>
        <v>Approved</v>
      </c>
      <c r="AF66" s="71">
        <f>AJ66-7</f>
        <v>45855</v>
      </c>
      <c r="AG66" s="35">
        <f>IF($AX66="Cancelled","",IFERROR(IF(F66="","",F66-Variables!$B$13),""))</f>
        <v>45854</v>
      </c>
      <c r="AH66" s="13">
        <f>IF($AX66="Cancelled","",IFERROR(IF(AB66="","",(AVERAGE(E66:F66)-AB66)-Variables!$B$14),""))</f>
        <v>12</v>
      </c>
      <c r="AJ66" s="47">
        <v>45862</v>
      </c>
      <c r="AK66" s="14">
        <f>IF($AX66="Cancelled","",IFERROR(IF(AJ66="","",IF(AND(AB66="",AF66=""),"",IF(AF66&gt;AB66,AF66+Variables!$B$15+Variables!$B$16+Variables!$B$17-AJ66,AB66+Variables!$B$16+Variables!$B$17-AJ66))),""))</f>
        <v>8</v>
      </c>
      <c r="AL66" s="48" t="s">
        <v>114</v>
      </c>
      <c r="AM66" s="13" t="s">
        <v>188</v>
      </c>
      <c r="AN66" s="13" t="s">
        <v>359</v>
      </c>
      <c r="AP66" s="31">
        <v>45878</v>
      </c>
      <c r="AR66" s="13" t="s">
        <v>360</v>
      </c>
      <c r="AS66" s="31">
        <v>45878</v>
      </c>
      <c r="AU66" s="31">
        <v>45881</v>
      </c>
      <c r="AV66" s="13" t="s">
        <v>361</v>
      </c>
      <c r="AW66" s="31">
        <v>45883</v>
      </c>
      <c r="AX66" s="13" t="str">
        <f>IF(ISNUMBER(SEARCH("cancel",#REF!)),"Cancelled",IF(AND(AS66&lt;&gt;"",AU66&lt;&gt;"",AW66&lt;&gt;""),"Closed","Open"))</f>
        <v>Closed</v>
      </c>
      <c r="AY66" s="15" t="str">
        <f t="shared" ref="AY66:AY129" si="4">IF($AX66="Cancelled","",IF(AND(AS66&lt;&gt;"",AU66&lt;&gt;"",AW66&lt;&gt;""),"All dates received",_xlfn.TEXTJOIN(" and ",TRUE(),IF(AS66="","No sailing date",""),IF(AU66="","No shipping advice sent",""),IF(AW66="","No docs dispatch date",""))))</f>
        <v>All dates received</v>
      </c>
      <c r="BD66" s="13">
        <f>IF($AX66="Cancelled","",IFERROR(IF(OR(AS66="",AJ66=""),"",(AJ66+Variables!$B$18-AS66)),""))</f>
        <v>-1</v>
      </c>
      <c r="BE66" s="13">
        <f>IF($AX66="Cancelled","",IFERROR(IF(OR(AW66="",AS66=""),"",(AS66+Variables!$B$19)-AW66),""))</f>
        <v>0</v>
      </c>
      <c r="BF66" s="44">
        <f>IF($AX66="Cancelled","",IFERROR(W66*INDEX(Variables!$B$7:$D$7,IFERROR(MATCH(IF($B66="Robusta","Robusta",(IF($B66="","Arabica",$B66))&amp;" - "&amp;(IF($C66="","Commercial",$C66))),Variables!$B$1:$D$1,0),1))*(BE66/365),""))</f>
        <v>0</v>
      </c>
      <c r="BG66" s="44">
        <f>IF($AX66="Cancelled","",IFERROR((W66*INDEX(Variables!$B$7:$D$7,IFERROR(MATCH(IF($B66="Robusta","Robusta",(IF($B66="","Arabica",$B66))&amp;" - "&amp;(IF($C66="","Commercial",$C66))),Variables!$B$1:$D$1,0),1))*IFERROR(IF(AB66="","",(AVERAGE(E66:F66)-AB66)-Variables!$B$14),"")/365)+(L66/16.67*INDEX(Variables!$B$8:$D$8,IFERROR(MATCH(IF($B66="Robusta","Robusta",(IF($B66="","Arabica",$B66))&amp;" - "&amp;(IF($C66="","Commercial",$C66))),Variables!$B$1:$D$1,0),1))*IFERROR(IF(AB66="","",(AVERAGE(E66:F66)-AB66)-Variables!$B$14),""))+(W66*INDEX(Variables!$B$9:$D$9,IFERROR(MATCH(IF($B66="Robusta","Robusta",(IF($B66="","Arabica",$B66))&amp;" - "&amp;(IF($C66="","Commercial",$C66))),Variables!$B$1:$D$1,0),1))*IFERROR(IF(AB66="","",(AVERAGE(E66:F66)-AB66)-Variables!$B$14),"")/365),""))</f>
        <v>299.36248128224832</v>
      </c>
      <c r="BH66" s="44">
        <f>IF($AX66="Cancelled","",IFERROR((W66*INDEX(Variables!$B$7:$D$7,IFERROR(MATCH(IF($B66="Robusta","Robusta",(IF($B66="","Arabica",$B66))&amp;" - "&amp;(IF($C66="","Commercial",$C66))),Variables!$B$1:$D$1,0),1))*AK66/365)+(L66/16.67*INDEX(Variables!$B$8:$D$8,IFERROR(MATCH(IF($B66="Robusta","Robusta",(IF($B66="","Arabica",$B66))&amp;" - "&amp;(IF($C66="","Commercial",$C66))),Variables!$B$1:$D$1,0),1))*AK66)+(W66*INDEX(Variables!$B$9:$D$9,IFERROR(MATCH(IF($B66="Robusta","Robusta",(IF($B66="","Arabica",$B66))&amp;" - "&amp;(IF($C66="","Commercial",$C66))),Variables!$B$1:$D$1,0),1))*AK66/365),""))</f>
        <v>199.57498752149885</v>
      </c>
      <c r="BI66" s="44">
        <f>IF($AX66="Cancelled","",IFERROR((W66*INDEX(Variables!$B$7:$D$7,IFERROR(MATCH(IF($B66="Robusta","Robusta",(IF($B66="","Arabica",$B66))&amp;" - "&amp;(IF($C66="","Commercial",$C66))),Variables!$B$1:$D$1,0),1))*BD66/365)+(L66/16.67*INDEX(Variables!$B$8:$D$8,IFERROR(MATCH(IF($B66="Robusta","Robusta",(IF($B66="","Arabica",$B66))&amp;" - "&amp;(IF($C66="","Commercial",$C66))),Variables!$B$1:$D$1,0),1))*BD66)+(W66*INDEX(Variables!$B$9:$D$9,IFERROR(MATCH(IF($B66="Robusta","Robusta",(IF($B66="","Arabica",$B66))&amp;" - "&amp;(IF($C66="","Commercial",$C66))),Variables!$B$1:$D$1,0),1))*BD66/365),""))</f>
        <v>-24.946873440187357</v>
      </c>
      <c r="BJ66" s="44">
        <f t="shared" ref="BJ66:BJ129" si="5">IF($AX66="Cancelled","",IFERROR(IF(AS66="","",F66-AS66),""))</f>
        <v>-9</v>
      </c>
      <c r="BK66" s="44">
        <f>IF($AX66="Cancelled","",IFERROR(IF(BJ66="","",(W66*INDEX(Variables!$B$7:$D$7,IFERROR(MATCH(IF($B66="Robusta","Robusta",(IF($B66="","Arabica",$B66))&amp;" - "&amp;(IF($C66="","Commercial",$C66))),Variables!$B$1:$D$1,0),1))*(BJ66/365))+(W66*INDEX(Variables!$B$9:$D$9,IFERROR(MATCH(IF($B66="Robusta","Robusta",(IF($B66="","Arabica",$B66))&amp;" - "&amp;(IF($C66="","Commercial",$C66))),Variables!$B$1:$D$1,0),1))*(BJ66/365))+(INDEX(Variables!$B$8:$D$8,IFERROR(MATCH(IF($B66="Robusta","Robusta",(IF($B66="","Arabica",$B66))&amp;" - "&amp;(IF($C66="","Commercial",$C66))),Variables!$B$1:$D$1,0),1))*L66/16.67)),""))</f>
        <v>-124.5218609616862</v>
      </c>
    </row>
    <row r="67" spans="1:63">
      <c r="A67" s="13" t="s">
        <v>103</v>
      </c>
      <c r="B67" s="13" t="s">
        <v>104</v>
      </c>
      <c r="C67" s="13" t="s">
        <v>105</v>
      </c>
      <c r="D67" s="31">
        <v>45646</v>
      </c>
      <c r="E67" s="31">
        <v>45717</v>
      </c>
      <c r="F67" s="31">
        <v>45747</v>
      </c>
      <c r="G67" s="13">
        <v>3786573</v>
      </c>
      <c r="H67" s="13">
        <v>92995</v>
      </c>
      <c r="J67" s="13" t="s">
        <v>118</v>
      </c>
      <c r="K67" s="13">
        <v>5196</v>
      </c>
      <c r="L67" s="13">
        <v>1800</v>
      </c>
      <c r="M67" s="13">
        <v>5</v>
      </c>
      <c r="N67" s="13" t="s">
        <v>362</v>
      </c>
      <c r="O67" s="13" t="s">
        <v>131</v>
      </c>
      <c r="P67" s="13">
        <v>10120</v>
      </c>
      <c r="R67" s="13" t="s">
        <v>122</v>
      </c>
      <c r="S67" s="13" t="s">
        <v>123</v>
      </c>
      <c r="T67" s="13" t="s">
        <v>124</v>
      </c>
      <c r="U67" s="13" t="s">
        <v>125</v>
      </c>
      <c r="V67" s="13">
        <v>-26</v>
      </c>
      <c r="W67" s="44">
        <f>IF($AX67="Cancelled","",IFERROR(((V67+INDEX(Variables!$B$6:$D$6,IFERROR(MATCH(IF($B67="Robusta","Robusta",(IF($B67="","Arabica",$B67))&amp;" - "&amp;(IF($C67="","Commercial",$C67))),Variables!$B$1:$D$1,0),1)))*22.0462)*(L67/16.67),""))</f>
        <v>630359.97408518288</v>
      </c>
      <c r="X67" s="55" t="s">
        <v>37</v>
      </c>
      <c r="Y67" s="13" t="str">
        <f>IF($AX67="Cancelled","",IF(X67="","",IFERROR(IF(INDEX(Variables!$B$38:$B$47,MATCH(X67,Variables!$A$38:$A$47,0))="Yes","Yes","No"),"No")))</f>
        <v>Yes</v>
      </c>
      <c r="Z67" s="58">
        <v>45692</v>
      </c>
      <c r="AB67" s="31">
        <v>45701</v>
      </c>
      <c r="AC67" s="13" t="str">
        <f t="shared" si="3"/>
        <v>Approved</v>
      </c>
      <c r="AF67" s="71">
        <v>45715</v>
      </c>
      <c r="AG67" s="35">
        <f>IF($AX67="Cancelled","",IFERROR(IF(F67="","",F67-Variables!$B$13),""))</f>
        <v>45732</v>
      </c>
      <c r="AH67" s="13">
        <f>IF($AX67="Cancelled","",IFERROR(IF(AB67="","",(AVERAGE(E67:F67)-AB67)-Variables!$B$14),""))</f>
        <v>1</v>
      </c>
      <c r="AJ67" s="47">
        <v>45715</v>
      </c>
      <c r="AK67" s="14">
        <f>IF($AX67="Cancelled","",IFERROR(IF(AJ67="","",IF(AND(AB67="",AF67=""),"",IF(AF67&gt;AB67,AF67+Variables!$B$15+Variables!$B$16+Variables!$B$17-AJ67,AB67+Variables!$B$16+Variables!$B$17-AJ67))),""))</f>
        <v>15</v>
      </c>
      <c r="AL67" s="48" t="s">
        <v>114</v>
      </c>
      <c r="AM67" s="13" t="s">
        <v>141</v>
      </c>
      <c r="AN67" s="13" t="s">
        <v>146</v>
      </c>
      <c r="AP67" s="31">
        <v>45732</v>
      </c>
      <c r="AR67" s="13" t="s">
        <v>363</v>
      </c>
      <c r="AS67" s="31">
        <v>45732</v>
      </c>
      <c r="AU67" s="31">
        <v>45735</v>
      </c>
      <c r="AV67" s="13" t="s">
        <v>865</v>
      </c>
      <c r="AW67" s="31">
        <v>45735</v>
      </c>
      <c r="AX67" s="13" t="str">
        <f>IF(ISNUMBER(SEARCH("cancel",#REF!)),"Cancelled",IF(AND(AS67&lt;&gt;"",AU67&lt;&gt;"",AW67&lt;&gt;""),"Closed","Open"))</f>
        <v>Closed</v>
      </c>
      <c r="AY67" s="15" t="str">
        <f t="shared" si="4"/>
        <v>All dates received</v>
      </c>
      <c r="BD67" s="13">
        <f>IF($AX67="Cancelled","",IFERROR(IF(OR(AS67="",AJ67=""),"",(AJ67+Variables!$B$18-AS67)),""))</f>
        <v>-2</v>
      </c>
      <c r="BE67" s="13">
        <f>IF($AX67="Cancelled","",IFERROR(IF(OR(AW67="",AS67=""),"",(AS67+Variables!$B$19)-AW67),""))</f>
        <v>2</v>
      </c>
      <c r="BF67" s="44">
        <f>IF($AX67="Cancelled","",IFERROR(W67*INDEX(Variables!$B$7:$D$7,IFERROR(MATCH(IF($B67="Robusta","Robusta",(IF($B67="","Arabica",$B67))&amp;" - "&amp;(IF($C67="","Commercial",$C67))),Variables!$B$1:$D$1,0),1))*(BE67/365),""))</f>
        <v>222.72327627920868</v>
      </c>
      <c r="BG67" s="44">
        <f>IF($AX67="Cancelled","",IFERROR((W67*INDEX(Variables!$B$7:$D$7,IFERROR(MATCH(IF($B67="Robusta","Robusta",(IF($B67="","Arabica",$B67))&amp;" - "&amp;(IF($C67="","Commercial",$C67))),Variables!$B$1:$D$1,0),1))*IFERROR(IF(AB67="","",(AVERAGE(E67:F67)-AB67)-Variables!$B$14),"")/365)+(L67/16.67*INDEX(Variables!$B$8:$D$8,IFERROR(MATCH(IF($B67="Robusta","Robusta",(IF($B67="","Arabica",$B67))&amp;" - "&amp;(IF($C67="","Commercial",$C67))),Variables!$B$1:$D$1,0),1))*IFERROR(IF(AB67="","",(AVERAGE(E67:F67)-AB67)-Variables!$B$14),""))+(W67*INDEX(Variables!$B$9:$D$9,IFERROR(MATCH(IF($B67="Robusta","Robusta",(IF($B67="","Arabica",$B67))&amp;" - "&amp;(IF($C67="","Commercial",$C67))),Variables!$B$1:$D$1,0),1))*IFERROR(IF(AB67="","",(AVERAGE(E67:F67)-AB67)-Variables!$B$14),"")/365),""))</f>
        <v>202.79730456825368</v>
      </c>
      <c r="BH67" s="44">
        <f>IF($AX67="Cancelled","",IFERROR((W67*INDEX(Variables!$B$7:$D$7,IFERROR(MATCH(IF($B67="Robusta","Robusta",(IF($B67="","Arabica",$B67))&amp;" - "&amp;(IF($C67="","Commercial",$C67))),Variables!$B$1:$D$1,0),1))*AK67/365)+(L67/16.67*INDEX(Variables!$B$8:$D$8,IFERROR(MATCH(IF($B67="Robusta","Robusta",(IF($B67="","Arabica",$B67))&amp;" - "&amp;(IF($C67="","Commercial",$C67))),Variables!$B$1:$D$1,0),1))*AK67)+(W67*INDEX(Variables!$B$9:$D$9,IFERROR(MATCH(IF($B67="Robusta","Robusta",(IF($B67="","Arabica",$B67))&amp;" - "&amp;(IF($C67="","Commercial",$C67))),Variables!$B$1:$D$1,0),1))*AK67/365),""))</f>
        <v>3041.9595685238055</v>
      </c>
      <c r="BI67" s="44">
        <f>IF($AX67="Cancelled","",IFERROR((W67*INDEX(Variables!$B$7:$D$7,IFERROR(MATCH(IF($B67="Robusta","Robusta",(IF($B67="","Arabica",$B67))&amp;" - "&amp;(IF($C67="","Commercial",$C67))),Variables!$B$1:$D$1,0),1))*BD67/365)+(L67/16.67*INDEX(Variables!$B$8:$D$8,IFERROR(MATCH(IF($B67="Robusta","Robusta",(IF($B67="","Arabica",$B67))&amp;" - "&amp;(IF($C67="","Commercial",$C67))),Variables!$B$1:$D$1,0),1))*BD67)+(W67*INDEX(Variables!$B$9:$D$9,IFERROR(MATCH(IF($B67="Robusta","Robusta",(IF($B67="","Arabica",$B67))&amp;" - "&amp;(IF($C67="","Commercial",$C67))),Variables!$B$1:$D$1,0),1))*BD67/365),""))</f>
        <v>-405.59460913650736</v>
      </c>
      <c r="BJ67" s="44">
        <f t="shared" si="5"/>
        <v>15</v>
      </c>
      <c r="BK67" s="44">
        <f>IF($AX67="Cancelled","",IFERROR(IF(BJ67="","",(W67*INDEX(Variables!$B$7:$D$7,IFERROR(MATCH(IF($B67="Robusta","Robusta",(IF($B67="","Arabica",$B67))&amp;" - "&amp;(IF($C67="","Commercial",$C67))),Variables!$B$1:$D$1,0),1))*(BJ67/365))+(W67*INDEX(Variables!$B$9:$D$9,IFERROR(MATCH(IF($B67="Robusta","Robusta",(IF($B67="","Arabica",$B67))&amp;" - "&amp;(IF($C67="","Commercial",$C67))),Variables!$B$1:$D$1,0),1))*(BJ67/365))+(INDEX(Variables!$B$8:$D$8,IFERROR(MATCH(IF($B67="Robusta","Robusta",(IF($B67="","Arabica",$B67))&amp;" - "&amp;(IF($C67="","Commercial",$C67))),Variables!$B$1:$D$1,0),1))*L67/16.67)),""))</f>
        <v>1781.959568523805</v>
      </c>
    </row>
    <row r="68" spans="1:63">
      <c r="A68" s="13" t="s">
        <v>103</v>
      </c>
      <c r="B68" s="13" t="s">
        <v>104</v>
      </c>
      <c r="C68" s="13" t="s">
        <v>105</v>
      </c>
      <c r="D68" s="31">
        <v>45646</v>
      </c>
      <c r="E68" s="31">
        <v>45748</v>
      </c>
      <c r="F68" s="31">
        <v>45777</v>
      </c>
      <c r="G68" s="13">
        <v>3786574</v>
      </c>
      <c r="H68" s="13" t="s">
        <v>364</v>
      </c>
      <c r="J68" s="13" t="s">
        <v>118</v>
      </c>
      <c r="K68" s="13">
        <v>5227</v>
      </c>
      <c r="L68" s="13">
        <v>1800</v>
      </c>
      <c r="M68" s="13">
        <v>5</v>
      </c>
      <c r="N68" s="13" t="s">
        <v>362</v>
      </c>
      <c r="O68" s="13" t="s">
        <v>131</v>
      </c>
      <c r="P68" s="13">
        <v>10120</v>
      </c>
      <c r="R68" s="13" t="s">
        <v>122</v>
      </c>
      <c r="S68" s="13" t="s">
        <v>138</v>
      </c>
      <c r="T68" s="13" t="s">
        <v>139</v>
      </c>
      <c r="U68" s="13" t="s">
        <v>125</v>
      </c>
      <c r="V68" s="13">
        <v>-26</v>
      </c>
      <c r="W68" s="44">
        <f>IF($AX68="Cancelled","",IFERROR(((V68+INDEX(Variables!$B$6:$D$6,IFERROR(MATCH(IF($B68="Robusta","Robusta",(IF($B68="","Arabica",$B68))&amp;" - "&amp;(IF($C68="","Commercial",$C68))),Variables!$B$1:$D$1,0),1)))*22.0462)*(L68/16.67),""))</f>
        <v>630359.97408518288</v>
      </c>
      <c r="X68" s="55" t="s">
        <v>37</v>
      </c>
      <c r="Y68" s="13" t="str">
        <f>IF($AX68="Cancelled","",IF(X68="","",IFERROR(IF(INDEX(Variables!$B$38:$B$47,MATCH(X68,Variables!$A$38:$A$47,0))="Yes","Yes","No"),"No")))</f>
        <v>Yes</v>
      </c>
      <c r="Z68" s="58">
        <v>45712</v>
      </c>
      <c r="AB68" s="31">
        <v>45721</v>
      </c>
      <c r="AC68" s="13" t="str">
        <f t="shared" si="3"/>
        <v>Approved</v>
      </c>
      <c r="AF68" s="71">
        <v>45755</v>
      </c>
      <c r="AG68" s="35">
        <f>IF($AX68="Cancelled","",IFERROR(IF(F68="","",F68-Variables!$B$13),""))</f>
        <v>45762</v>
      </c>
      <c r="AH68" s="13">
        <f>IF($AX68="Cancelled","",IFERROR(IF(AB68="","",(AVERAGE(E68:F68)-AB68)-Variables!$B$14),""))</f>
        <v>11.5</v>
      </c>
      <c r="AJ68" s="47">
        <v>45758</v>
      </c>
      <c r="AK68" s="14">
        <f>IF($AX68="Cancelled","",IFERROR(IF(AJ68="","",IF(AND(AB68="",AF68=""),"",IF(AF68&gt;AB68,AF68+Variables!$B$15+Variables!$B$16+Variables!$B$17-AJ68,AB68+Variables!$B$16+Variables!$B$17-AJ68))),""))</f>
        <v>12</v>
      </c>
      <c r="AL68" s="48" t="s">
        <v>224</v>
      </c>
      <c r="AM68" s="13" t="s">
        <v>168</v>
      </c>
      <c r="AN68" s="13" t="s">
        <v>365</v>
      </c>
      <c r="AP68" s="31">
        <v>45778</v>
      </c>
      <c r="AR68" s="13" t="s">
        <v>366</v>
      </c>
      <c r="AS68" s="31">
        <v>45778</v>
      </c>
      <c r="AU68" s="31">
        <v>45786</v>
      </c>
      <c r="AV68" s="13" t="s">
        <v>865</v>
      </c>
      <c r="AW68" s="31">
        <v>45786</v>
      </c>
      <c r="AX68" s="13" t="str">
        <f>IF(ISNUMBER(SEARCH("cancel",#REF!)),"Cancelled",IF(AND(AS68&lt;&gt;"",AU68&lt;&gt;"",AW68&lt;&gt;""),"Closed","Open"))</f>
        <v>Closed</v>
      </c>
      <c r="AY68" s="15" t="str">
        <f t="shared" si="4"/>
        <v>All dates received</v>
      </c>
      <c r="BD68" s="13">
        <f>IF($AX68="Cancelled","",IFERROR(IF(OR(AS68="",AJ68=""),"",(AJ68+Variables!$B$18-AS68)),""))</f>
        <v>-5</v>
      </c>
      <c r="BE68" s="13">
        <f>IF($AX68="Cancelled","",IFERROR(IF(OR(AW68="",AS68=""),"",(AS68+Variables!$B$19)-AW68),""))</f>
        <v>-3</v>
      </c>
      <c r="BF68" s="44">
        <f>IF($AX68="Cancelled","",IFERROR(W68*INDEX(Variables!$B$7:$D$7,IFERROR(MATCH(IF($B68="Robusta","Robusta",(IF($B68="","Arabica",$B68))&amp;" - "&amp;(IF($C68="","Commercial",$C68))),Variables!$B$1:$D$1,0),1))*(BE68/365),""))</f>
        <v>-334.08491441881296</v>
      </c>
      <c r="BG68" s="44">
        <f>IF($AX68="Cancelled","",IFERROR((W68*INDEX(Variables!$B$7:$D$7,IFERROR(MATCH(IF($B68="Robusta","Robusta",(IF($B68="","Arabica",$B68))&amp;" - "&amp;(IF($C68="","Commercial",$C68))),Variables!$B$1:$D$1,0),1))*IFERROR(IF(AB68="","",(AVERAGE(E68:F68)-AB68)-Variables!$B$14),"")/365)+(L68/16.67*INDEX(Variables!$B$8:$D$8,IFERROR(MATCH(IF($B68="Robusta","Robusta",(IF($B68="","Arabica",$B68))&amp;" - "&amp;(IF($C68="","Commercial",$C68))),Variables!$B$1:$D$1,0),1))*IFERROR(IF(AB68="","",(AVERAGE(E68:F68)-AB68)-Variables!$B$14),""))+(W68*INDEX(Variables!$B$9:$D$9,IFERROR(MATCH(IF($B68="Robusta","Robusta",(IF($B68="","Arabica",$B68))&amp;" - "&amp;(IF($C68="","Commercial",$C68))),Variables!$B$1:$D$1,0),1))*IFERROR(IF(AB68="","",(AVERAGE(E68:F68)-AB68)-Variables!$B$14),"")/365),""))</f>
        <v>2332.1690025349176</v>
      </c>
      <c r="BH68" s="44">
        <f>IF($AX68="Cancelled","",IFERROR((W68*INDEX(Variables!$B$7:$D$7,IFERROR(MATCH(IF($B68="Robusta","Robusta",(IF($B68="","Arabica",$B68))&amp;" - "&amp;(IF($C68="","Commercial",$C68))),Variables!$B$1:$D$1,0),1))*AK68/365)+(L68/16.67*INDEX(Variables!$B$8:$D$8,IFERROR(MATCH(IF($B68="Robusta","Robusta",(IF($B68="","Arabica",$B68))&amp;" - "&amp;(IF($C68="","Commercial",$C68))),Variables!$B$1:$D$1,0),1))*AK68)+(W68*INDEX(Variables!$B$9:$D$9,IFERROR(MATCH(IF($B68="Robusta","Robusta",(IF($B68="","Arabica",$B68))&amp;" - "&amp;(IF($C68="","Commercial",$C68))),Variables!$B$1:$D$1,0),1))*AK68/365),""))</f>
        <v>2433.567654819044</v>
      </c>
      <c r="BI68" s="44">
        <f>IF($AX68="Cancelled","",IFERROR((W68*INDEX(Variables!$B$7:$D$7,IFERROR(MATCH(IF($B68="Robusta","Robusta",(IF($B68="","Arabica",$B68))&amp;" - "&amp;(IF($C68="","Commercial",$C68))),Variables!$B$1:$D$1,0),1))*BD68/365)+(L68/16.67*INDEX(Variables!$B$8:$D$8,IFERROR(MATCH(IF($B68="Robusta","Robusta",(IF($B68="","Arabica",$B68))&amp;" - "&amp;(IF($C68="","Commercial",$C68))),Variables!$B$1:$D$1,0),1))*BD68)+(W68*INDEX(Variables!$B$9:$D$9,IFERROR(MATCH(IF($B68="Robusta","Robusta",(IF($B68="","Arabica",$B68))&amp;" - "&amp;(IF($C68="","Commercial",$C68))),Variables!$B$1:$D$1,0),1))*BD68/365),""))</f>
        <v>-1013.9865228412684</v>
      </c>
      <c r="BJ68" s="44">
        <f t="shared" si="5"/>
        <v>-1</v>
      </c>
      <c r="BK68" s="44">
        <f>IF($AX68="Cancelled","",IFERROR(IF(BJ68="","",(W68*INDEX(Variables!$B$7:$D$7,IFERROR(MATCH(IF($B68="Robusta","Robusta",(IF($B68="","Arabica",$B68))&amp;" - "&amp;(IF($C68="","Commercial",$C68))),Variables!$B$1:$D$1,0),1))*(BJ68/365))+(W68*INDEX(Variables!$B$9:$D$9,IFERROR(MATCH(IF($B68="Robusta","Robusta",(IF($B68="","Arabica",$B68))&amp;" - "&amp;(IF($C68="","Commercial",$C68))),Variables!$B$1:$D$1,0),1))*(BJ68/365))+(INDEX(Variables!$B$8:$D$8,IFERROR(MATCH(IF($B68="Robusta","Robusta",(IF($B68="","Arabica",$B68))&amp;" - "&amp;(IF($C68="","Commercial",$C68))),Variables!$B$1:$D$1,0),1))*L68/16.67)),""))</f>
        <v>-22.797304568253693</v>
      </c>
    </row>
    <row r="69" spans="1:63">
      <c r="A69" s="13" t="s">
        <v>103</v>
      </c>
      <c r="B69" s="13" t="s">
        <v>104</v>
      </c>
      <c r="C69" s="13" t="s">
        <v>105</v>
      </c>
      <c r="D69" s="31">
        <v>45646</v>
      </c>
      <c r="E69" s="31">
        <v>45717</v>
      </c>
      <c r="F69" s="31">
        <v>45747</v>
      </c>
      <c r="G69" s="13">
        <v>3786575</v>
      </c>
      <c r="H69" s="13" t="s">
        <v>367</v>
      </c>
      <c r="J69" s="13" t="s">
        <v>118</v>
      </c>
      <c r="K69" s="13" t="s">
        <v>368</v>
      </c>
      <c r="L69" s="13">
        <v>1080</v>
      </c>
      <c r="M69" s="13">
        <v>3</v>
      </c>
      <c r="N69" s="13" t="s">
        <v>369</v>
      </c>
      <c r="O69" s="13" t="s">
        <v>179</v>
      </c>
      <c r="P69" s="13">
        <v>10110</v>
      </c>
      <c r="R69" s="13" t="s">
        <v>122</v>
      </c>
      <c r="S69" s="13" t="s">
        <v>218</v>
      </c>
      <c r="T69" s="13" t="s">
        <v>219</v>
      </c>
      <c r="U69" s="13" t="s">
        <v>125</v>
      </c>
      <c r="V69" s="13">
        <v>-3.5</v>
      </c>
      <c r="W69" s="44">
        <f>IF($AX69="Cancelled","",IFERROR(((V69+INDEX(Variables!$B$6:$D$6,IFERROR(MATCH(IF($B69="Robusta","Robusta",(IF($B69="","Arabica",$B69))&amp;" - "&amp;(IF($C69="","Commercial",$C69))),Variables!$B$1:$D$1,0),1)))*22.0462)*(L69/16.67),""))</f>
        <v>410352.91666466702</v>
      </c>
      <c r="X69" s="55" t="s">
        <v>37</v>
      </c>
      <c r="Y69" s="13" t="str">
        <f>IF($AX69="Cancelled","",IF(X69="","",IFERROR(IF(INDEX(Variables!$B$38:$B$47,MATCH(X69,Variables!$A$38:$A$47,0))="Yes","Yes","No"),"No")))</f>
        <v>Yes</v>
      </c>
      <c r="Z69" s="58">
        <v>45677</v>
      </c>
      <c r="AB69" s="31">
        <v>45705</v>
      </c>
      <c r="AC69" s="13" t="str">
        <f t="shared" si="3"/>
        <v>Approved</v>
      </c>
      <c r="AF69" s="71">
        <v>45726</v>
      </c>
      <c r="AG69" s="35">
        <f>IF($AX69="Cancelled","",IFERROR(IF(F69="","",F69-Variables!$B$13),""))</f>
        <v>45732</v>
      </c>
      <c r="AH69" s="13">
        <f>IF($AX69="Cancelled","",IFERROR(IF(AB69="","",(AVERAGE(E69:F69)-AB69)-Variables!$B$14),""))</f>
        <v>-3</v>
      </c>
      <c r="AJ69" s="47">
        <v>45726</v>
      </c>
      <c r="AK69" s="14">
        <f>IF($AX69="Cancelled","",IFERROR(IF(AJ69="","",IF(AND(AB69="",AF69=""),"",IF(AF69&gt;AB69,AF69+Variables!$B$15+Variables!$B$16+Variables!$B$17-AJ69,AB69+Variables!$B$16+Variables!$B$17-AJ69))),""))</f>
        <v>15</v>
      </c>
      <c r="AL69" s="48" t="s">
        <v>114</v>
      </c>
      <c r="AM69" s="13" t="s">
        <v>115</v>
      </c>
      <c r="AN69" s="13" t="s">
        <v>370</v>
      </c>
      <c r="AP69" s="31">
        <v>45738</v>
      </c>
      <c r="AR69" s="13">
        <v>250193082</v>
      </c>
      <c r="AS69" s="31">
        <v>45738</v>
      </c>
      <c r="AU69" s="31">
        <v>45744</v>
      </c>
      <c r="AV69" s="13" t="s">
        <v>865</v>
      </c>
      <c r="AW69" s="31">
        <v>45750</v>
      </c>
      <c r="AX69" s="13" t="str">
        <f>IF(ISNUMBER(SEARCH("cancel",#REF!)),"Cancelled",IF(AND(AS69&lt;&gt;"",AU69&lt;&gt;"",AW69&lt;&gt;""),"Closed","Open"))</f>
        <v>Closed</v>
      </c>
      <c r="AY69" s="15" t="str">
        <f t="shared" si="4"/>
        <v>All dates received</v>
      </c>
      <c r="BD69" s="13">
        <f>IF($AX69="Cancelled","",IFERROR(IF(OR(AS69="",AJ69=""),"",(AJ69+Variables!$B$18-AS69)),""))</f>
        <v>3</v>
      </c>
      <c r="BE69" s="13">
        <f>IF($AX69="Cancelled","",IFERROR(IF(OR(AW69="",AS69=""),"",(AS69+Variables!$B$19)-AW69),""))</f>
        <v>-7</v>
      </c>
      <c r="BF69" s="44">
        <f>IF($AX69="Cancelled","",IFERROR(W69*INDEX(Variables!$B$7:$D$7,IFERROR(MATCH(IF($B69="Robusta","Robusta",(IF($B69="","Arabica",$B69))&amp;" - "&amp;(IF($C69="","Commercial",$C69))),Variables!$B$1:$D$1,0),1))*(BE69/365),""))</f>
        <v>-507.46085452241306</v>
      </c>
      <c r="BG69" s="44">
        <f>IF($AX69="Cancelled","",IFERROR((W69*INDEX(Variables!$B$7:$D$7,IFERROR(MATCH(IF($B69="Robusta","Robusta",(IF($B69="","Arabica",$B69))&amp;" - "&amp;(IF($C69="","Commercial",$C69))),Variables!$B$1:$D$1,0),1))*IFERROR(IF(AB69="","",(AVERAGE(E69:F69)-AB69)-Variables!$B$14),"")/365)+(L69/16.67*INDEX(Variables!$B$8:$D$8,IFERROR(MATCH(IF($B69="Robusta","Robusta",(IF($B69="","Arabica",$B69))&amp;" - "&amp;(IF($C69="","Commercial",$C69))),Variables!$B$1:$D$1,0),1))*IFERROR(IF(AB69="","",(AVERAGE(E69:F69)-AB69)-Variables!$B$14),""))+(W69*INDEX(Variables!$B$9:$D$9,IFERROR(MATCH(IF($B69="Robusta","Robusta",(IF($B69="","Arabica",$B69))&amp;" - "&amp;(IF($C69="","Commercial",$C69))),Variables!$B$1:$D$1,0),1))*IFERROR(IF(AB69="","",(AVERAGE(E69:F69)-AB69)-Variables!$B$14),"")/365),""))</f>
        <v>-382.28700182940605</v>
      </c>
      <c r="BH69" s="44">
        <f>IF($AX69="Cancelled","",IFERROR((W69*INDEX(Variables!$B$7:$D$7,IFERROR(MATCH(IF($B69="Robusta","Robusta",(IF($B69="","Arabica",$B69))&amp;" - "&amp;(IF($C69="","Commercial",$C69))),Variables!$B$1:$D$1,0),1))*AK69/365)+(L69/16.67*INDEX(Variables!$B$8:$D$8,IFERROR(MATCH(IF($B69="Robusta","Robusta",(IF($B69="","Arabica",$B69))&amp;" - "&amp;(IF($C69="","Commercial",$C69))),Variables!$B$1:$D$1,0),1))*AK69)+(W69*INDEX(Variables!$B$9:$D$9,IFERROR(MATCH(IF($B69="Robusta","Robusta",(IF($B69="","Arabica",$B69))&amp;" - "&amp;(IF($C69="","Commercial",$C69))),Variables!$B$1:$D$1,0),1))*AK69/365),""))</f>
        <v>1911.4350091470301</v>
      </c>
      <c r="BI69" s="44">
        <f>IF($AX69="Cancelled","",IFERROR((W69*INDEX(Variables!$B$7:$D$7,IFERROR(MATCH(IF($B69="Robusta","Robusta",(IF($B69="","Arabica",$B69))&amp;" - "&amp;(IF($C69="","Commercial",$C69))),Variables!$B$1:$D$1,0),1))*BD69/365)+(L69/16.67*INDEX(Variables!$B$8:$D$8,IFERROR(MATCH(IF($B69="Robusta","Robusta",(IF($B69="","Arabica",$B69))&amp;" - "&amp;(IF($C69="","Commercial",$C69))),Variables!$B$1:$D$1,0),1))*BD69)+(W69*INDEX(Variables!$B$9:$D$9,IFERROR(MATCH(IF($B69="Robusta","Robusta",(IF($B69="","Arabica",$B69))&amp;" - "&amp;(IF($C69="","Commercial",$C69))),Variables!$B$1:$D$1,0),1))*BD69/365),""))</f>
        <v>382.28700182940605</v>
      </c>
      <c r="BJ69" s="44">
        <f t="shared" si="5"/>
        <v>9</v>
      </c>
      <c r="BK69" s="44">
        <f>IF($AX69="Cancelled","",IFERROR(IF(BJ69="","",(W69*INDEX(Variables!$B$7:$D$7,IFERROR(MATCH(IF($B69="Robusta","Robusta",(IF($B69="","Arabica",$B69))&amp;" - "&amp;(IF($C69="","Commercial",$C69))),Variables!$B$1:$D$1,0),1))*(BJ69/365))+(W69*INDEX(Variables!$B$9:$D$9,IFERROR(MATCH(IF($B69="Robusta","Robusta",(IF($B69="","Arabica",$B69))&amp;" - "&amp;(IF($C69="","Commercial",$C69))),Variables!$B$1:$D$1,0),1))*(BJ69/365))+(INDEX(Variables!$B$8:$D$8,IFERROR(MATCH(IF($B69="Robusta","Robusta",(IF($B69="","Arabica",$B69))&amp;" - "&amp;(IF($C69="","Commercial",$C69))),Variables!$B$1:$D$1,0),1))*L69/16.67)),""))</f>
        <v>714.8610054882181</v>
      </c>
    </row>
    <row r="70" spans="1:63">
      <c r="A70" s="13" t="s">
        <v>103</v>
      </c>
      <c r="B70" s="13" t="s">
        <v>104</v>
      </c>
      <c r="C70" s="13" t="s">
        <v>105</v>
      </c>
      <c r="D70" s="31">
        <v>45646</v>
      </c>
      <c r="E70" s="31">
        <v>45717</v>
      </c>
      <c r="F70" s="31">
        <v>45747</v>
      </c>
      <c r="G70" s="13">
        <v>3786575</v>
      </c>
      <c r="H70" s="13" t="s">
        <v>367</v>
      </c>
      <c r="J70" s="13" t="s">
        <v>118</v>
      </c>
      <c r="K70" s="13" t="s">
        <v>371</v>
      </c>
      <c r="L70" s="13">
        <v>720</v>
      </c>
      <c r="M70" s="13">
        <v>2</v>
      </c>
      <c r="N70" s="13" t="s">
        <v>369</v>
      </c>
      <c r="O70" s="13" t="s">
        <v>179</v>
      </c>
      <c r="P70" s="13">
        <v>10110</v>
      </c>
      <c r="R70" s="13" t="s">
        <v>122</v>
      </c>
      <c r="S70" s="13" t="s">
        <v>372</v>
      </c>
      <c r="T70" s="13" t="s">
        <v>373</v>
      </c>
      <c r="U70" s="13" t="s">
        <v>125</v>
      </c>
      <c r="V70" s="13">
        <v>-3.5</v>
      </c>
      <c r="W70" s="44">
        <f>IF($AX70="Cancelled","",IFERROR(((V70+INDEX(Variables!$B$6:$D$6,IFERROR(MATCH(IF($B70="Robusta","Robusta",(IF($B70="","Arabica",$B70))&amp;" - "&amp;(IF($C70="","Commercial",$C70))),Variables!$B$1:$D$1,0),1)))*22.0462)*(L70/16.67),""))</f>
        <v>273568.61110977805</v>
      </c>
      <c r="X70" s="55" t="s">
        <v>37</v>
      </c>
      <c r="Y70" s="13" t="str">
        <f>IF($AX70="Cancelled","",IF(X70="","",IFERROR(IF(INDEX(Variables!$B$38:$B$47,MATCH(X70,Variables!$A$38:$A$47,0))="Yes","Yes","No"),"No")))</f>
        <v>Yes</v>
      </c>
      <c r="Z70" s="58">
        <v>45677</v>
      </c>
      <c r="AB70" s="31">
        <v>45705</v>
      </c>
      <c r="AC70" s="13" t="str">
        <f t="shared" si="3"/>
        <v>Approved</v>
      </c>
      <c r="AF70" s="71">
        <v>45726</v>
      </c>
      <c r="AG70" s="35">
        <f>IF($AX70="Cancelled","",IFERROR(IF(F70="","",F70-Variables!$B$13),""))</f>
        <v>45732</v>
      </c>
      <c r="AH70" s="13">
        <f>IF($AX70="Cancelled","",IFERROR(IF(AB70="","",(AVERAGE(E70:F70)-AB70)-Variables!$B$14),""))</f>
        <v>-3</v>
      </c>
      <c r="AJ70" s="47">
        <v>45726</v>
      </c>
      <c r="AK70" s="14">
        <f>IF($AX70="Cancelled","",IFERROR(IF(AJ70="","",IF(AND(AB70="",AF70=""),"",IF(AF70&gt;AB70,AF70+Variables!$B$15+Variables!$B$16+Variables!$B$17-AJ70,AB70+Variables!$B$16+Variables!$B$17-AJ70))),""))</f>
        <v>15</v>
      </c>
      <c r="AL70" s="48" t="s">
        <v>114</v>
      </c>
      <c r="AM70" s="13" t="s">
        <v>115</v>
      </c>
      <c r="AN70" s="13" t="s">
        <v>370</v>
      </c>
      <c r="AP70" s="31">
        <v>45738</v>
      </c>
      <c r="AR70" s="13">
        <v>250193082</v>
      </c>
      <c r="AS70" s="31">
        <v>45744</v>
      </c>
      <c r="AU70" s="31">
        <v>45744</v>
      </c>
      <c r="AV70" s="13" t="s">
        <v>865</v>
      </c>
      <c r="AW70" s="31">
        <v>45750</v>
      </c>
      <c r="AX70" s="13" t="str">
        <f>IF(ISNUMBER(SEARCH("cancel",#REF!)),"Cancelled",IF(AND(AS70&lt;&gt;"",AU70&lt;&gt;"",AW70&lt;&gt;""),"Closed","Open"))</f>
        <v>Closed</v>
      </c>
      <c r="AY70" s="15" t="str">
        <f t="shared" si="4"/>
        <v>All dates received</v>
      </c>
      <c r="BD70" s="13">
        <f>IF($AX70="Cancelled","",IFERROR(IF(OR(AS70="",AJ70=""),"",(AJ70+Variables!$B$18-AS70)),""))</f>
        <v>-3</v>
      </c>
      <c r="BE70" s="13">
        <f>IF($AX70="Cancelled","",IFERROR(IF(OR(AW70="",AS70=""),"",(AS70+Variables!$B$19)-AW70),""))</f>
        <v>-1</v>
      </c>
      <c r="BF70" s="44">
        <f>IF($AX70="Cancelled","",IFERROR(W70*INDEX(Variables!$B$7:$D$7,IFERROR(MATCH(IF($B70="Robusta","Robusta",(IF($B70="","Arabica",$B70))&amp;" - "&amp;(IF($C70="","Commercial",$C70))),Variables!$B$1:$D$1,0),1))*(BE70/365),""))</f>
        <v>-48.329605192610771</v>
      </c>
      <c r="BG70" s="44">
        <f>IF($AX70="Cancelled","",IFERROR((W70*INDEX(Variables!$B$7:$D$7,IFERROR(MATCH(IF($B70="Robusta","Robusta",(IF($B70="","Arabica",$B70))&amp;" - "&amp;(IF($C70="","Commercial",$C70))),Variables!$B$1:$D$1,0),1))*IFERROR(IF(AB70="","",(AVERAGE(E70:F70)-AB70)-Variables!$B$14),"")/365)+(L70/16.67*INDEX(Variables!$B$8:$D$8,IFERROR(MATCH(IF($B70="Robusta","Robusta",(IF($B70="","Arabica",$B70))&amp;" - "&amp;(IF($C70="","Commercial",$C70))),Variables!$B$1:$D$1,0),1))*IFERROR(IF(AB70="","",(AVERAGE(E70:F70)-AB70)-Variables!$B$14),""))+(W70*INDEX(Variables!$B$9:$D$9,IFERROR(MATCH(IF($B70="Robusta","Robusta",(IF($B70="","Arabica",$B70))&amp;" - "&amp;(IF($C70="","Commercial",$C70))),Variables!$B$1:$D$1,0),1))*IFERROR(IF(AB70="","",(AVERAGE(E70:F70)-AB70)-Variables!$B$14),"")/365),""))</f>
        <v>-254.85800121960406</v>
      </c>
      <c r="BH70" s="44">
        <f>IF($AX70="Cancelled","",IFERROR((W70*INDEX(Variables!$B$7:$D$7,IFERROR(MATCH(IF($B70="Robusta","Robusta",(IF($B70="","Arabica",$B70))&amp;" - "&amp;(IF($C70="","Commercial",$C70))),Variables!$B$1:$D$1,0),1))*AK70/365)+(L70/16.67*INDEX(Variables!$B$8:$D$8,IFERROR(MATCH(IF($B70="Robusta","Robusta",(IF($B70="","Arabica",$B70))&amp;" - "&amp;(IF($C70="","Commercial",$C70))),Variables!$B$1:$D$1,0),1))*AK70)+(W70*INDEX(Variables!$B$9:$D$9,IFERROR(MATCH(IF($B70="Robusta","Robusta",(IF($B70="","Arabica",$B70))&amp;" - "&amp;(IF($C70="","Commercial",$C70))),Variables!$B$1:$D$1,0),1))*AK70/365),""))</f>
        <v>1274.2900060980203</v>
      </c>
      <c r="BI70" s="44">
        <f>IF($AX70="Cancelled","",IFERROR((W70*INDEX(Variables!$B$7:$D$7,IFERROR(MATCH(IF($B70="Robusta","Robusta",(IF($B70="","Arabica",$B70))&amp;" - "&amp;(IF($C70="","Commercial",$C70))),Variables!$B$1:$D$1,0),1))*BD70/365)+(L70/16.67*INDEX(Variables!$B$8:$D$8,IFERROR(MATCH(IF($B70="Robusta","Robusta",(IF($B70="","Arabica",$B70))&amp;" - "&amp;(IF($C70="","Commercial",$C70))),Variables!$B$1:$D$1,0),1))*BD70)+(W70*INDEX(Variables!$B$9:$D$9,IFERROR(MATCH(IF($B70="Robusta","Robusta",(IF($B70="","Arabica",$B70))&amp;" - "&amp;(IF($C70="","Commercial",$C70))),Variables!$B$1:$D$1,0),1))*BD70/365),""))</f>
        <v>-254.85800121960406</v>
      </c>
      <c r="BJ70" s="44">
        <f t="shared" si="5"/>
        <v>3</v>
      </c>
      <c r="BK70" s="44">
        <f>IF($AX70="Cancelled","",IFERROR(IF(BJ70="","",(W70*INDEX(Variables!$B$7:$D$7,IFERROR(MATCH(IF($B70="Robusta","Robusta",(IF($B70="","Arabica",$B70))&amp;" - "&amp;(IF($C70="","Commercial",$C70))),Variables!$B$1:$D$1,0),1))*(BJ70/365))+(W70*INDEX(Variables!$B$9:$D$9,IFERROR(MATCH(IF($B70="Robusta","Robusta",(IF($B70="","Arabica",$B70))&amp;" - "&amp;(IF($C70="","Commercial",$C70))),Variables!$B$1:$D$1,0),1))*(BJ70/365))+(INDEX(Variables!$B$8:$D$8,IFERROR(MATCH(IF($B70="Robusta","Robusta",(IF($B70="","Arabica",$B70))&amp;" - "&amp;(IF($C70="","Commercial",$C70))),Variables!$B$1:$D$1,0),1))*L70/16.67)),""))</f>
        <v>182.85800121960401</v>
      </c>
    </row>
    <row r="71" spans="1:63">
      <c r="A71" s="13" t="s">
        <v>103</v>
      </c>
      <c r="B71" s="13" t="s">
        <v>104</v>
      </c>
      <c r="C71" s="13" t="s">
        <v>105</v>
      </c>
      <c r="D71" s="31">
        <v>45646</v>
      </c>
      <c r="E71" s="31">
        <v>45748</v>
      </c>
      <c r="F71" s="31">
        <v>45777</v>
      </c>
      <c r="G71" s="13">
        <v>3786576</v>
      </c>
      <c r="H71" s="13" t="s">
        <v>374</v>
      </c>
      <c r="J71" s="13" t="s">
        <v>118</v>
      </c>
      <c r="K71" s="13" t="s">
        <v>375</v>
      </c>
      <c r="L71" s="13">
        <v>1080</v>
      </c>
      <c r="M71" s="13">
        <v>3</v>
      </c>
      <c r="N71" s="13" t="s">
        <v>369</v>
      </c>
      <c r="O71" s="13" t="s">
        <v>179</v>
      </c>
      <c r="P71" s="13">
        <v>10110</v>
      </c>
      <c r="R71" s="13" t="s">
        <v>122</v>
      </c>
      <c r="S71" s="13" t="s">
        <v>123</v>
      </c>
      <c r="T71" s="13" t="s">
        <v>124</v>
      </c>
      <c r="U71" s="13" t="s">
        <v>125</v>
      </c>
      <c r="V71" s="13">
        <v>-3.5</v>
      </c>
      <c r="W71" s="44">
        <f>IF($AX71="Cancelled","",IFERROR(((V71+INDEX(Variables!$B$6:$D$6,IFERROR(MATCH(IF($B71="Robusta","Robusta",(IF($B71="","Arabica",$B71))&amp;" - "&amp;(IF($C71="","Commercial",$C71))),Variables!$B$1:$D$1,0),1)))*22.0462)*(L71/16.67),""))</f>
        <v>410352.91666466702</v>
      </c>
      <c r="X71" s="55" t="s">
        <v>37</v>
      </c>
      <c r="Y71" s="13" t="str">
        <f>IF($AX71="Cancelled","",IF(X71="","",IFERROR(IF(INDEX(Variables!$B$38:$B$47,MATCH(X71,Variables!$A$38:$A$47,0))="Yes","Yes","No"),"No")))</f>
        <v>Yes</v>
      </c>
      <c r="Z71" s="58">
        <v>45708</v>
      </c>
      <c r="AB71" s="31">
        <v>45716</v>
      </c>
      <c r="AC71" s="13" t="str">
        <f t="shared" si="3"/>
        <v>Approved</v>
      </c>
      <c r="AF71" s="71">
        <v>45761</v>
      </c>
      <c r="AG71" s="35">
        <f>IF($AX71="Cancelled","",IFERROR(IF(F71="","",F71-Variables!$B$13),""))</f>
        <v>45762</v>
      </c>
      <c r="AH71" s="13">
        <f>IF($AX71="Cancelled","",IFERROR(IF(AB71="","",(AVERAGE(E71:F71)-AB71)-Variables!$B$14),""))</f>
        <v>16.5</v>
      </c>
      <c r="AJ71" s="47">
        <v>45757</v>
      </c>
      <c r="AK71" s="14">
        <f>IF($AX71="Cancelled","",IFERROR(IF(AJ71="","",IF(AND(AB71="",AF71=""),"",IF(AF71&gt;AB71,AF71+Variables!$B$15+Variables!$B$16+Variables!$B$17-AJ71,AB71+Variables!$B$16+Variables!$B$17-AJ71))),""))</f>
        <v>19</v>
      </c>
      <c r="AL71" s="48" t="s">
        <v>114</v>
      </c>
      <c r="AM71" s="13" t="s">
        <v>168</v>
      </c>
      <c r="AN71" s="13" t="s">
        <v>376</v>
      </c>
      <c r="AP71" s="31">
        <v>45778</v>
      </c>
      <c r="AR71" s="13" t="s">
        <v>377</v>
      </c>
      <c r="AS71" s="31">
        <v>45778</v>
      </c>
      <c r="AU71" s="31">
        <v>45784</v>
      </c>
      <c r="AV71" s="13" t="s">
        <v>865</v>
      </c>
      <c r="AW71" s="31">
        <v>45791</v>
      </c>
      <c r="AX71" s="13" t="str">
        <f>IF(ISNUMBER(SEARCH("cancel",#REF!)),"Cancelled",IF(AND(AS71&lt;&gt;"",AU71&lt;&gt;"",AW71&lt;&gt;""),"Closed","Open"))</f>
        <v>Closed</v>
      </c>
      <c r="AY71" s="15" t="str">
        <f t="shared" si="4"/>
        <v>All dates received</v>
      </c>
      <c r="BD71" s="13">
        <f>IF($AX71="Cancelled","",IFERROR(IF(OR(AS71="",AJ71=""),"",(AJ71+Variables!$B$18-AS71)),""))</f>
        <v>-6</v>
      </c>
      <c r="BE71" s="13">
        <f>IF($AX71="Cancelled","",IFERROR(IF(OR(AW71="",AS71=""),"",(AS71+Variables!$B$19)-AW71),""))</f>
        <v>-8</v>
      </c>
      <c r="BF71" s="44">
        <f>IF($AX71="Cancelled","",IFERROR(W71*INDEX(Variables!$B$7:$D$7,IFERROR(MATCH(IF($B71="Robusta","Robusta",(IF($B71="","Arabica",$B71))&amp;" - "&amp;(IF($C71="","Commercial",$C71))),Variables!$B$1:$D$1,0),1))*(BE71/365),""))</f>
        <v>-579.95526231132919</v>
      </c>
      <c r="BG71" s="44">
        <f>IF($AX71="Cancelled","",IFERROR((W71*INDEX(Variables!$B$7:$D$7,IFERROR(MATCH(IF($B71="Robusta","Robusta",(IF($B71="","Arabica",$B71))&amp;" - "&amp;(IF($C71="","Commercial",$C71))),Variables!$B$1:$D$1,0),1))*IFERROR(IF(AB71="","",(AVERAGE(E71:F71)-AB71)-Variables!$B$14),"")/365)+(L71/16.67*INDEX(Variables!$B$8:$D$8,IFERROR(MATCH(IF($B71="Robusta","Robusta",(IF($B71="","Arabica",$B71))&amp;" - "&amp;(IF($C71="","Commercial",$C71))),Variables!$B$1:$D$1,0),1))*IFERROR(IF(AB71="","",(AVERAGE(E71:F71)-AB71)-Variables!$B$14),""))+(W71*INDEX(Variables!$B$9:$D$9,IFERROR(MATCH(IF($B71="Robusta","Robusta",(IF($B71="","Arabica",$B71))&amp;" - "&amp;(IF($C71="","Commercial",$C71))),Variables!$B$1:$D$1,0),1))*IFERROR(IF(AB71="","",(AVERAGE(E71:F71)-AB71)-Variables!$B$14),"")/365),""))</f>
        <v>2102.5785100617331</v>
      </c>
      <c r="BH71" s="44">
        <f>IF($AX71="Cancelled","",IFERROR((W71*INDEX(Variables!$B$7:$D$7,IFERROR(MATCH(IF($B71="Robusta","Robusta",(IF($B71="","Arabica",$B71))&amp;" - "&amp;(IF($C71="","Commercial",$C71))),Variables!$B$1:$D$1,0),1))*AK71/365)+(L71/16.67*INDEX(Variables!$B$8:$D$8,IFERROR(MATCH(IF($B71="Robusta","Robusta",(IF($B71="","Arabica",$B71))&amp;" - "&amp;(IF($C71="","Commercial",$C71))),Variables!$B$1:$D$1,0),1))*AK71)+(W71*INDEX(Variables!$B$9:$D$9,IFERROR(MATCH(IF($B71="Robusta","Robusta",(IF($B71="","Arabica",$B71))&amp;" - "&amp;(IF($C71="","Commercial",$C71))),Variables!$B$1:$D$1,0),1))*AK71/365),""))</f>
        <v>2421.1510115862379</v>
      </c>
      <c r="BI71" s="44">
        <f>IF($AX71="Cancelled","",IFERROR((W71*INDEX(Variables!$B$7:$D$7,IFERROR(MATCH(IF($B71="Robusta","Robusta",(IF($B71="","Arabica",$B71))&amp;" - "&amp;(IF($C71="","Commercial",$C71))),Variables!$B$1:$D$1,0),1))*BD71/365)+(L71/16.67*INDEX(Variables!$B$8:$D$8,IFERROR(MATCH(IF($B71="Robusta","Robusta",(IF($B71="","Arabica",$B71))&amp;" - "&amp;(IF($C71="","Commercial",$C71))),Variables!$B$1:$D$1,0),1))*BD71)+(W71*INDEX(Variables!$B$9:$D$9,IFERROR(MATCH(IF($B71="Robusta","Robusta",(IF($B71="","Arabica",$B71))&amp;" - "&amp;(IF($C71="","Commercial",$C71))),Variables!$B$1:$D$1,0),1))*BD71/365),""))</f>
        <v>-764.5740036588121</v>
      </c>
      <c r="BJ71" s="44">
        <f t="shared" si="5"/>
        <v>-1</v>
      </c>
      <c r="BK71" s="44">
        <f>IF($AX71="Cancelled","",IFERROR(IF(BJ71="","",(W71*INDEX(Variables!$B$7:$D$7,IFERROR(MATCH(IF($B71="Robusta","Robusta",(IF($B71="","Arabica",$B71))&amp;" - "&amp;(IF($C71="","Commercial",$C71))),Variables!$B$1:$D$1,0),1))*(BJ71/365))+(W71*INDEX(Variables!$B$9:$D$9,IFERROR(MATCH(IF($B71="Robusta","Robusta",(IF($B71="","Arabica",$B71))&amp;" - "&amp;(IF($C71="","Commercial",$C71))),Variables!$B$1:$D$1,0),1))*(BJ71/365))+(INDEX(Variables!$B$8:$D$8,IFERROR(MATCH(IF($B71="Robusta","Robusta",(IF($B71="","Arabica",$B71))&amp;" - "&amp;(IF($C71="","Commercial",$C71))),Variables!$B$1:$D$1,0),1))*L71/16.67)),""))</f>
        <v>-19.429000609801996</v>
      </c>
    </row>
    <row r="72" spans="1:63">
      <c r="A72" s="13" t="s">
        <v>103</v>
      </c>
      <c r="B72" s="13" t="s">
        <v>104</v>
      </c>
      <c r="C72" s="13" t="s">
        <v>105</v>
      </c>
      <c r="D72" s="31">
        <v>45646</v>
      </c>
      <c r="E72" s="31">
        <v>45748</v>
      </c>
      <c r="F72" s="31">
        <v>45777</v>
      </c>
      <c r="G72" s="13">
        <v>3786576</v>
      </c>
      <c r="H72" s="13" t="s">
        <v>374</v>
      </c>
      <c r="J72" s="13" t="s">
        <v>118</v>
      </c>
      <c r="K72" s="13" t="s">
        <v>378</v>
      </c>
      <c r="L72" s="13">
        <v>720</v>
      </c>
      <c r="M72" s="13">
        <v>2</v>
      </c>
      <c r="N72" s="13" t="s">
        <v>369</v>
      </c>
      <c r="O72" s="13" t="s">
        <v>179</v>
      </c>
      <c r="P72" s="13">
        <v>10110</v>
      </c>
      <c r="R72" s="13" t="s">
        <v>122</v>
      </c>
      <c r="S72" s="13" t="s">
        <v>379</v>
      </c>
      <c r="T72" s="13" t="s">
        <v>380</v>
      </c>
      <c r="U72" s="13" t="s">
        <v>125</v>
      </c>
      <c r="V72" s="13">
        <v>-3.5</v>
      </c>
      <c r="W72" s="44">
        <f>IF($AX72="Cancelled","",IFERROR(((V72+INDEX(Variables!$B$6:$D$6,IFERROR(MATCH(IF($B72="Robusta","Robusta",(IF($B72="","Arabica",$B72))&amp;" - "&amp;(IF($C72="","Commercial",$C72))),Variables!$B$1:$D$1,0),1)))*22.0462)*(L72/16.67),""))</f>
        <v>273568.61110977805</v>
      </c>
      <c r="X72" s="55" t="s">
        <v>37</v>
      </c>
      <c r="Y72" s="13" t="str">
        <f>IF($AX72="Cancelled","",IF(X72="","",IFERROR(IF(INDEX(Variables!$B$38:$B$47,MATCH(X72,Variables!$A$38:$A$47,0))="Yes","Yes","No"),"No")))</f>
        <v>Yes</v>
      </c>
      <c r="Z72" s="58">
        <v>45708</v>
      </c>
      <c r="AB72" s="31">
        <v>45716</v>
      </c>
      <c r="AC72" s="13" t="str">
        <f t="shared" si="3"/>
        <v>Approved</v>
      </c>
      <c r="AF72" s="71">
        <v>45761</v>
      </c>
      <c r="AG72" s="35">
        <f>IF($AX72="Cancelled","",IFERROR(IF(F72="","",F72-Variables!$B$13),""))</f>
        <v>45762</v>
      </c>
      <c r="AH72" s="13">
        <f>IF($AX72="Cancelled","",IFERROR(IF(AB72="","",(AVERAGE(E72:F72)-AB72)-Variables!$B$14),""))</f>
        <v>16.5</v>
      </c>
      <c r="AJ72" s="47">
        <v>45764</v>
      </c>
      <c r="AK72" s="14">
        <f>IF($AX72="Cancelled","",IFERROR(IF(AJ72="","",IF(AND(AB72="",AF72=""),"",IF(AF72&gt;AB72,AF72+Variables!$B$15+Variables!$B$16+Variables!$B$17-AJ72,AB72+Variables!$B$16+Variables!$B$17-AJ72))),""))</f>
        <v>12</v>
      </c>
      <c r="AL72" s="48" t="s">
        <v>114</v>
      </c>
      <c r="AM72" s="13" t="s">
        <v>168</v>
      </c>
      <c r="AN72" s="13" t="s">
        <v>376</v>
      </c>
      <c r="AP72" s="31">
        <v>45778</v>
      </c>
      <c r="AR72" s="13" t="s">
        <v>377</v>
      </c>
      <c r="AS72" s="31">
        <v>45778</v>
      </c>
      <c r="AU72" s="31">
        <v>45784</v>
      </c>
      <c r="AV72" s="13" t="s">
        <v>865</v>
      </c>
      <c r="AW72" s="31">
        <v>45793</v>
      </c>
      <c r="AX72" s="13" t="str">
        <f>IF(ISNUMBER(SEARCH("cancel",#REF!)),"Cancelled",IF(AND(AS72&lt;&gt;"",AU72&lt;&gt;"",AW72&lt;&gt;""),"Closed","Open"))</f>
        <v>Closed</v>
      </c>
      <c r="AY72" s="15" t="str">
        <f t="shared" si="4"/>
        <v>All dates received</v>
      </c>
      <c r="BD72" s="13">
        <f>IF($AX72="Cancelled","",IFERROR(IF(OR(AS72="",AJ72=""),"",(AJ72+Variables!$B$18-AS72)),""))</f>
        <v>1</v>
      </c>
      <c r="BE72" s="13">
        <f>IF($AX72="Cancelled","",IFERROR(IF(OR(AW72="",AS72=""),"",(AS72+Variables!$B$19)-AW72),""))</f>
        <v>-10</v>
      </c>
      <c r="BF72" s="44">
        <f>IF($AX72="Cancelled","",IFERROR(W72*INDEX(Variables!$B$7:$D$7,IFERROR(MATCH(IF($B72="Robusta","Robusta",(IF($B72="","Arabica",$B72))&amp;" - "&amp;(IF($C72="","Commercial",$C72))),Variables!$B$1:$D$1,0),1))*(BE72/365),""))</f>
        <v>-483.29605192610768</v>
      </c>
      <c r="BG72" s="44">
        <f>IF($AX72="Cancelled","",IFERROR((W72*INDEX(Variables!$B$7:$D$7,IFERROR(MATCH(IF($B72="Robusta","Robusta",(IF($B72="","Arabica",$B72))&amp;" - "&amp;(IF($C72="","Commercial",$C72))),Variables!$B$1:$D$1,0),1))*IFERROR(IF(AB72="","",(AVERAGE(E72:F72)-AB72)-Variables!$B$14),"")/365)+(L72/16.67*INDEX(Variables!$B$8:$D$8,IFERROR(MATCH(IF($B72="Robusta","Robusta",(IF($B72="","Arabica",$B72))&amp;" - "&amp;(IF($C72="","Commercial",$C72))),Variables!$B$1:$D$1,0),1))*IFERROR(IF(AB72="","",(AVERAGE(E72:F72)-AB72)-Variables!$B$14),""))+(W72*INDEX(Variables!$B$9:$D$9,IFERROR(MATCH(IF($B72="Robusta","Robusta",(IF($B72="","Arabica",$B72))&amp;" - "&amp;(IF($C72="","Commercial",$C72))),Variables!$B$1:$D$1,0),1))*IFERROR(IF(AB72="","",(AVERAGE(E72:F72)-AB72)-Variables!$B$14),"")/365),""))</f>
        <v>1401.7190067078225</v>
      </c>
      <c r="BH72" s="44">
        <f>IF($AX72="Cancelled","",IFERROR((W72*INDEX(Variables!$B$7:$D$7,IFERROR(MATCH(IF($B72="Robusta","Robusta",(IF($B72="","Arabica",$B72))&amp;" - "&amp;(IF($C72="","Commercial",$C72))),Variables!$B$1:$D$1,0),1))*AK72/365)+(L72/16.67*INDEX(Variables!$B$8:$D$8,IFERROR(MATCH(IF($B72="Robusta","Robusta",(IF($B72="","Arabica",$B72))&amp;" - "&amp;(IF($C72="","Commercial",$C72))),Variables!$B$1:$D$1,0),1))*AK72)+(W72*INDEX(Variables!$B$9:$D$9,IFERROR(MATCH(IF($B72="Robusta","Robusta",(IF($B72="","Arabica",$B72))&amp;" - "&amp;(IF($C72="","Commercial",$C72))),Variables!$B$1:$D$1,0),1))*AK72/365),""))</f>
        <v>1019.4320048784163</v>
      </c>
      <c r="BI72" s="44">
        <f>IF($AX72="Cancelled","",IFERROR((W72*INDEX(Variables!$B$7:$D$7,IFERROR(MATCH(IF($B72="Robusta","Robusta",(IF($B72="","Arabica",$B72))&amp;" - "&amp;(IF($C72="","Commercial",$C72))),Variables!$B$1:$D$1,0),1))*BD72/365)+(L72/16.67*INDEX(Variables!$B$8:$D$8,IFERROR(MATCH(IF($B72="Robusta","Robusta",(IF($B72="","Arabica",$B72))&amp;" - "&amp;(IF($C72="","Commercial",$C72))),Variables!$B$1:$D$1,0),1))*BD72)+(W72*INDEX(Variables!$B$9:$D$9,IFERROR(MATCH(IF($B72="Robusta","Robusta",(IF($B72="","Arabica",$B72))&amp;" - "&amp;(IF($C72="","Commercial",$C72))),Variables!$B$1:$D$1,0),1))*BD72/365),""))</f>
        <v>84.952667073201354</v>
      </c>
      <c r="BJ72" s="44">
        <f t="shared" si="5"/>
        <v>-1</v>
      </c>
      <c r="BK72" s="44">
        <f>IF($AX72="Cancelled","",IFERROR(IF(BJ72="","",(W72*INDEX(Variables!$B$7:$D$7,IFERROR(MATCH(IF($B72="Robusta","Robusta",(IF($B72="","Arabica",$B72))&amp;" - "&amp;(IF($C72="","Commercial",$C72))),Variables!$B$1:$D$1,0),1))*(BJ72/365))+(W72*INDEX(Variables!$B$9:$D$9,IFERROR(MATCH(IF($B72="Robusta","Robusta",(IF($B72="","Arabica",$B72))&amp;" - "&amp;(IF($C72="","Commercial",$C72))),Variables!$B$1:$D$1,0),1))*(BJ72/365))+(INDEX(Variables!$B$8:$D$8,IFERROR(MATCH(IF($B72="Robusta","Robusta",(IF($B72="","Arabica",$B72))&amp;" - "&amp;(IF($C72="","Commercial",$C72))),Variables!$B$1:$D$1,0),1))*L72/16.67)),""))</f>
        <v>-12.95266707320134</v>
      </c>
    </row>
    <row r="73" spans="1:63">
      <c r="A73" s="13" t="s">
        <v>103</v>
      </c>
      <c r="B73" s="13" t="s">
        <v>104</v>
      </c>
      <c r="C73" s="13" t="s">
        <v>292</v>
      </c>
      <c r="D73" s="31">
        <v>45646</v>
      </c>
      <c r="E73" s="31">
        <v>45658</v>
      </c>
      <c r="F73" s="31">
        <v>45688</v>
      </c>
      <c r="G73" s="13">
        <v>3786577</v>
      </c>
      <c r="H73" s="13" t="s">
        <v>381</v>
      </c>
      <c r="J73" s="13" t="s">
        <v>294</v>
      </c>
      <c r="K73" s="13" t="s">
        <v>382</v>
      </c>
      <c r="L73" s="13">
        <v>40</v>
      </c>
      <c r="M73" s="13">
        <v>1</v>
      </c>
      <c r="N73" s="13" t="s">
        <v>383</v>
      </c>
      <c r="O73" s="13" t="s">
        <v>304</v>
      </c>
      <c r="P73" s="13">
        <v>10010</v>
      </c>
      <c r="R73" s="13" t="s">
        <v>384</v>
      </c>
      <c r="S73" s="13" t="s">
        <v>299</v>
      </c>
      <c r="T73" s="13" t="s">
        <v>305</v>
      </c>
      <c r="U73" s="13" t="s">
        <v>125</v>
      </c>
      <c r="V73" s="13">
        <v>145.99</v>
      </c>
      <c r="W73" s="44">
        <f>IF($AX73="Cancelled","",IFERROR(((V73+INDEX(Variables!$B$6:$D$6,IFERROR(MATCH(IF($B73="Robusta","Robusta",(IF($B73="","Arabica",$B73))&amp;" - "&amp;(IF($C73="","Commercial",$C73))),Variables!$B$1:$D$1,0),1)))*22.0462)*(L73/16.67),""))</f>
        <v>23106.322010797838</v>
      </c>
      <c r="X73" s="55" t="s">
        <v>39</v>
      </c>
      <c r="Y73" s="13" t="str">
        <f>IF($AX73="Cancelled","",IF(X73="","",IFERROR(IF(INDEX(Variables!$B$38:$B$47,MATCH(X73,Variables!$A$38:$A$47,0))="Yes","Yes","No"),"No")))</f>
        <v>No</v>
      </c>
      <c r="Z73" s="31"/>
      <c r="AB73" s="31">
        <v>45640.875</v>
      </c>
      <c r="AC73" s="13" t="str">
        <f t="shared" si="3"/>
        <v>Approved</v>
      </c>
      <c r="AF73" s="71">
        <f>AJ73-7</f>
        <v>45664</v>
      </c>
      <c r="AG73" s="36">
        <f>IF($AX73="Cancelled","",IFERROR(IF(F73="","",F73-Variables!$B$13),""))</f>
        <v>45673</v>
      </c>
      <c r="AH73" s="13">
        <f>IF($AX73="Cancelled","",IFERROR(IF(AB73="","",(AVERAGE(E73:F73)-AB73)-Variables!$B$14),""))</f>
        <v>2.125</v>
      </c>
      <c r="AJ73" s="47">
        <v>45671</v>
      </c>
      <c r="AK73" s="14">
        <f>IF($AX73="Cancelled","",IFERROR(IF(AJ73="","",IF(AND(AB73="",AF73=""),"",IF(AF73&gt;AB73,AF73+Variables!$B$15+Variables!$B$16+Variables!$B$17-AJ73,AB73+Variables!$B$16+Variables!$B$17-AJ73))),""))</f>
        <v>8</v>
      </c>
      <c r="AL73" s="48" t="s">
        <v>114</v>
      </c>
      <c r="AM73" s="13" t="s">
        <v>168</v>
      </c>
      <c r="AN73" s="13" t="s">
        <v>146</v>
      </c>
      <c r="AP73" s="31">
        <v>45685</v>
      </c>
      <c r="AR73" s="13" t="s">
        <v>3250</v>
      </c>
      <c r="AS73" s="31">
        <v>45688</v>
      </c>
      <c r="AU73" s="31">
        <v>45693</v>
      </c>
      <c r="AV73" s="13" t="s">
        <v>3266</v>
      </c>
      <c r="AW73" s="31">
        <v>45699</v>
      </c>
      <c r="AX73" s="13" t="str">
        <f>IF(ISNUMBER(SEARCH("cancel",#REF!)),"Cancelled",IF(AND(AS73&lt;&gt;"",AU73&lt;&gt;"",AW73&lt;&gt;""),"Closed","Open"))</f>
        <v>Closed</v>
      </c>
      <c r="AY73" s="15" t="str">
        <f t="shared" si="4"/>
        <v>All dates received</v>
      </c>
      <c r="BD73" s="13">
        <f>IF($AX73="Cancelled","",IFERROR(IF(OR(AS73="",AJ73=""),"",(AJ73+Variables!$B$18-AS73)),""))</f>
        <v>-2</v>
      </c>
      <c r="BE73" s="13">
        <f>IF($AX73="Cancelled","",IFERROR(IF(OR(AW73="",AS73=""),"",(AS73+Variables!$B$19)-AW73),""))</f>
        <v>-6</v>
      </c>
      <c r="BF73" s="44">
        <f>IF($AX73="Cancelled","",IFERROR(W73*INDEX(Variables!$B$7:$D$7,IFERROR(MATCH(IF($B73="Robusta","Robusta",(IF($B73="","Arabica",$B73))&amp;" - "&amp;(IF($C73="","Commercial",$C73))),Variables!$B$1:$D$1,0),1))*(BE73/365),""))</f>
        <v>-24.492270857501399</v>
      </c>
      <c r="BG73" s="44">
        <f>IF($AX73="Cancelled","",IFERROR((W73*INDEX(Variables!$B$7:$D$7,IFERROR(MATCH(IF($B73="Robusta","Robusta",(IF($B73="","Arabica",$B73))&amp;" - "&amp;(IF($C73="","Commercial",$C73))),Variables!$B$1:$D$1,0),1))*IFERROR(IF(AB73="","",(AVERAGE(E73:F73)-AB73)-Variables!$B$14),"")/365)+(L73/16.67*INDEX(Variables!$B$8:$D$8,IFERROR(MATCH(IF($B73="Robusta","Robusta",(IF($B73="","Arabica",$B73))&amp;" - "&amp;(IF($C73="","Commercial",$C73))),Variables!$B$1:$D$1,0),1))*IFERROR(IF(AB73="","",(AVERAGE(E73:F73)-AB73)-Variables!$B$14),""))+(W73*INDEX(Variables!$B$9:$D$9,IFERROR(MATCH(IF($B73="Robusta","Robusta",(IF($B73="","Arabica",$B73))&amp;" - "&amp;(IF($C73="","Commercial",$C73))),Variables!$B$1:$D$1,0),1))*IFERROR(IF(AB73="","",(AVERAGE(E73:F73)-AB73)-Variables!$B$14),"")/365),""))</f>
        <v>13.036174988043891</v>
      </c>
      <c r="BH73" s="44">
        <f>IF($AX73="Cancelled","",IFERROR((W73*INDEX(Variables!$B$7:$D$7,IFERROR(MATCH(IF($B73="Robusta","Robusta",(IF($B73="","Arabica",$B73))&amp;" - "&amp;(IF($C73="","Commercial",$C73))),Variables!$B$1:$D$1,0),1))*AK73/365)+(L73/16.67*INDEX(Variables!$B$8:$D$8,IFERROR(MATCH(IF($B73="Robusta","Robusta",(IF($B73="","Arabica",$B73))&amp;" - "&amp;(IF($C73="","Commercial",$C73))),Variables!$B$1:$D$1,0),1))*AK73)+(W73*INDEX(Variables!$B$9:$D$9,IFERROR(MATCH(IF($B73="Robusta","Robusta",(IF($B73="","Arabica",$B73))&amp;" - "&amp;(IF($C73="","Commercial",$C73))),Variables!$B$1:$D$1,0),1))*AK73/365),""))</f>
        <v>49.077364660871119</v>
      </c>
      <c r="BI73" s="44">
        <f>IF($AX73="Cancelled","",IFERROR((W73*INDEX(Variables!$B$7:$D$7,IFERROR(MATCH(IF($B73="Robusta","Robusta",(IF($B73="","Arabica",$B73))&amp;" - "&amp;(IF($C73="","Commercial",$C73))),Variables!$B$1:$D$1,0),1))*BD73/365)+(L73/16.67*INDEX(Variables!$B$8:$D$8,IFERROR(MATCH(IF($B73="Robusta","Robusta",(IF($B73="","Arabica",$B73))&amp;" - "&amp;(IF($C73="","Commercial",$C73))),Variables!$B$1:$D$1,0),1))*BD73)+(W73*INDEX(Variables!$B$9:$D$9,IFERROR(MATCH(IF($B73="Robusta","Robusta",(IF($B73="","Arabica",$B73))&amp;" - "&amp;(IF($C73="","Commercial",$C73))),Variables!$B$1:$D$1,0),1))*BD73/365),""))</f>
        <v>-12.26934116521778</v>
      </c>
      <c r="BJ73" s="44">
        <f t="shared" si="5"/>
        <v>0</v>
      </c>
      <c r="BK73" s="44">
        <f>IF($AX73="Cancelled","",IFERROR(IF(BJ73="","",(W73*INDEX(Variables!$B$7:$D$7,IFERROR(MATCH(IF($B73="Robusta","Robusta",(IF($B73="","Arabica",$B73))&amp;" - "&amp;(IF($C73="","Commercial",$C73))),Variables!$B$1:$D$1,0),1))*(BJ73/365))+(W73*INDEX(Variables!$B$9:$D$9,IFERROR(MATCH(IF($B73="Robusta","Robusta",(IF($B73="","Arabica",$B73))&amp;" - "&amp;(IF($C73="","Commercial",$C73))),Variables!$B$1:$D$1,0),1))*(BJ73/365))+(INDEX(Variables!$B$8:$D$8,IFERROR(MATCH(IF($B73="Robusta","Robusta",(IF($B73="","Arabica",$B73))&amp;" - "&amp;(IF($C73="","Commercial",$C73))),Variables!$B$1:$D$1,0),1))*L73/16.67)),""))</f>
        <v>2</v>
      </c>
    </row>
    <row r="74" spans="1:63">
      <c r="A74" s="13" t="s">
        <v>103</v>
      </c>
      <c r="B74" s="13" t="s">
        <v>104</v>
      </c>
      <c r="C74" s="13" t="s">
        <v>292</v>
      </c>
      <c r="D74" s="31">
        <v>45646</v>
      </c>
      <c r="E74" s="31">
        <v>45658</v>
      </c>
      <c r="F74" s="31">
        <v>45688</v>
      </c>
      <c r="G74" s="13">
        <v>3786578</v>
      </c>
      <c r="H74" s="13" t="s">
        <v>385</v>
      </c>
      <c r="J74" s="13" t="s">
        <v>294</v>
      </c>
      <c r="K74" s="13" t="s">
        <v>386</v>
      </c>
      <c r="L74" s="13">
        <v>30</v>
      </c>
      <c r="M74" s="13">
        <v>0</v>
      </c>
      <c r="N74" s="13" t="s">
        <v>387</v>
      </c>
      <c r="O74" s="13" t="s">
        <v>304</v>
      </c>
      <c r="P74" s="13">
        <v>10010</v>
      </c>
      <c r="R74" s="13" t="s">
        <v>384</v>
      </c>
      <c r="S74" s="13" t="s">
        <v>299</v>
      </c>
      <c r="T74" s="13" t="s">
        <v>305</v>
      </c>
      <c r="U74" s="13" t="s">
        <v>125</v>
      </c>
      <c r="V74" s="13">
        <v>145.99</v>
      </c>
      <c r="W74" s="44">
        <f>IF($AX74="Cancelled","",IFERROR(((V74+INDEX(Variables!$B$6:$D$6,IFERROR(MATCH(IF($B74="Robusta","Robusta",(IF($B74="","Arabica",$B74))&amp;" - "&amp;(IF($C74="","Commercial",$C74))),Variables!$B$1:$D$1,0),1)))*22.0462)*(L74/16.67),""))</f>
        <v>17329.741508098377</v>
      </c>
      <c r="X74" s="55" t="s">
        <v>39</v>
      </c>
      <c r="Y74" s="13" t="str">
        <f>IF($AX74="Cancelled","",IF(X74="","",IFERROR(IF(INDEX(Variables!$B$38:$B$47,MATCH(X74,Variables!$A$38:$A$47,0))="Yes","Yes","No"),"No")))</f>
        <v>No</v>
      </c>
      <c r="Z74" s="31"/>
      <c r="AB74" s="31">
        <v>45640.875</v>
      </c>
      <c r="AC74" s="13" t="str">
        <f t="shared" si="3"/>
        <v>Approved</v>
      </c>
      <c r="AF74" s="71">
        <f>AJ74-7</f>
        <v>45664</v>
      </c>
      <c r="AG74" s="36">
        <f>IF($AX74="Cancelled","",IFERROR(IF(F74="","",F74-Variables!$B$13),""))</f>
        <v>45673</v>
      </c>
      <c r="AH74" s="13">
        <f>IF($AX74="Cancelled","",IFERROR(IF(AB74="","",(AVERAGE(E74:F74)-AB74)-Variables!$B$14),""))</f>
        <v>2.125</v>
      </c>
      <c r="AJ74" s="47">
        <v>45671</v>
      </c>
      <c r="AK74" s="14">
        <f>IF($AX74="Cancelled","",IFERROR(IF(AJ74="","",IF(AND(AB74="",AF74=""),"",IF(AF74&gt;AB74,AF74+Variables!$B$15+Variables!$B$16+Variables!$B$17-AJ74,AB74+Variables!$B$16+Variables!$B$17-AJ74))),""))</f>
        <v>8</v>
      </c>
      <c r="AL74" s="48" t="s">
        <v>114</v>
      </c>
      <c r="AM74" s="13" t="s">
        <v>168</v>
      </c>
      <c r="AN74" s="13" t="s">
        <v>146</v>
      </c>
      <c r="AP74" s="31">
        <v>45685</v>
      </c>
      <c r="AR74" s="13" t="s">
        <v>3250</v>
      </c>
      <c r="AS74" s="31">
        <v>45688</v>
      </c>
      <c r="AU74" s="31">
        <v>45693</v>
      </c>
      <c r="AV74" s="13" t="s">
        <v>3266</v>
      </c>
      <c r="AW74" s="31">
        <v>45699</v>
      </c>
      <c r="AX74" s="13" t="str">
        <f>IF(ISNUMBER(SEARCH("cancel",#REF!)),"Cancelled",IF(AND(AS74&lt;&gt;"",AU74&lt;&gt;"",AW74&lt;&gt;""),"Closed","Open"))</f>
        <v>Closed</v>
      </c>
      <c r="AY74" s="15" t="str">
        <f t="shared" si="4"/>
        <v>All dates received</v>
      </c>
      <c r="BD74" s="13">
        <f>IF($AX74="Cancelled","",IFERROR(IF(OR(AS74="",AJ74=""),"",(AJ74+Variables!$B$18-AS74)),""))</f>
        <v>-2</v>
      </c>
      <c r="BE74" s="13">
        <f>IF($AX74="Cancelled","",IFERROR(IF(OR(AW74="",AS74=""),"",(AS74+Variables!$B$19)-AW74),""))</f>
        <v>-6</v>
      </c>
      <c r="BF74" s="44">
        <f>IF($AX74="Cancelled","",IFERROR(W74*INDEX(Variables!$B$7:$D$7,IFERROR(MATCH(IF($B74="Robusta","Robusta",(IF($B74="","Arabica",$B74))&amp;" - "&amp;(IF($C74="","Commercial",$C74))),Variables!$B$1:$D$1,0),1))*(BE74/365),""))</f>
        <v>-18.369203143126047</v>
      </c>
      <c r="BG74" s="44">
        <f>IF($AX74="Cancelled","",IFERROR((W74*INDEX(Variables!$B$7:$D$7,IFERROR(MATCH(IF($B74="Robusta","Robusta",(IF($B74="","Arabica",$B74))&amp;" - "&amp;(IF($C74="","Commercial",$C74))),Variables!$B$1:$D$1,0),1))*IFERROR(IF(AB74="","",(AVERAGE(E74:F74)-AB74)-Variables!$B$14),"")/365)+(L74/16.67*INDEX(Variables!$B$8:$D$8,IFERROR(MATCH(IF($B74="Robusta","Robusta",(IF($B74="","Arabica",$B74))&amp;" - "&amp;(IF($C74="","Commercial",$C74))),Variables!$B$1:$D$1,0),1))*IFERROR(IF(AB74="","",(AVERAGE(E74:F74)-AB74)-Variables!$B$14),""))+(W74*INDEX(Variables!$B$9:$D$9,IFERROR(MATCH(IF($B74="Robusta","Robusta",(IF($B74="","Arabica",$B74))&amp;" - "&amp;(IF($C74="","Commercial",$C74))),Variables!$B$1:$D$1,0),1))*IFERROR(IF(AB74="","",(AVERAGE(E74:F74)-AB74)-Variables!$B$14),"")/365),""))</f>
        <v>9.7771312410329188</v>
      </c>
      <c r="BH74" s="44">
        <f>IF($AX74="Cancelled","",IFERROR((W74*INDEX(Variables!$B$7:$D$7,IFERROR(MATCH(IF($B74="Robusta","Robusta",(IF($B74="","Arabica",$B74))&amp;" - "&amp;(IF($C74="","Commercial",$C74))),Variables!$B$1:$D$1,0),1))*AK74/365)+(L74/16.67*INDEX(Variables!$B$8:$D$8,IFERROR(MATCH(IF($B74="Robusta","Robusta",(IF($B74="","Arabica",$B74))&amp;" - "&amp;(IF($C74="","Commercial",$C74))),Variables!$B$1:$D$1,0),1))*AK74)+(W74*INDEX(Variables!$B$9:$D$9,IFERROR(MATCH(IF($B74="Robusta","Robusta",(IF($B74="","Arabica",$B74))&amp;" - "&amp;(IF($C74="","Commercial",$C74))),Variables!$B$1:$D$1,0),1))*AK74/365),""))</f>
        <v>36.80802349565333</v>
      </c>
      <c r="BI74" s="44">
        <f>IF($AX74="Cancelled","",IFERROR((W74*INDEX(Variables!$B$7:$D$7,IFERROR(MATCH(IF($B74="Robusta","Robusta",(IF($B74="","Arabica",$B74))&amp;" - "&amp;(IF($C74="","Commercial",$C74))),Variables!$B$1:$D$1,0),1))*BD74/365)+(L74/16.67*INDEX(Variables!$B$8:$D$8,IFERROR(MATCH(IF($B74="Robusta","Robusta",(IF($B74="","Arabica",$B74))&amp;" - "&amp;(IF($C74="","Commercial",$C74))),Variables!$B$1:$D$1,0),1))*BD74)+(W74*INDEX(Variables!$B$9:$D$9,IFERROR(MATCH(IF($B74="Robusta","Robusta",(IF($B74="","Arabica",$B74))&amp;" - "&amp;(IF($C74="","Commercial",$C74))),Variables!$B$1:$D$1,0),1))*BD74/365),""))</f>
        <v>-9.2020058739133326</v>
      </c>
      <c r="BJ74" s="44">
        <f t="shared" si="5"/>
        <v>0</v>
      </c>
      <c r="BK74" s="44">
        <f>IF($AX74="Cancelled","",IFERROR(IF(BJ74="","",(W74*INDEX(Variables!$B$7:$D$7,IFERROR(MATCH(IF($B74="Robusta","Robusta",(IF($B74="","Arabica",$B74))&amp;" - "&amp;(IF($C74="","Commercial",$C74))),Variables!$B$1:$D$1,0),1))*(BJ74/365))+(W74*INDEX(Variables!$B$9:$D$9,IFERROR(MATCH(IF($B74="Robusta","Robusta",(IF($B74="","Arabica",$B74))&amp;" - "&amp;(IF($C74="","Commercial",$C74))),Variables!$B$1:$D$1,0),1))*(BJ74/365))+(INDEX(Variables!$B$8:$D$8,IFERROR(MATCH(IF($B74="Robusta","Robusta",(IF($B74="","Arabica",$B74))&amp;" - "&amp;(IF($C74="","Commercial",$C74))),Variables!$B$1:$D$1,0),1))*L74/16.67)),""))</f>
        <v>1.5</v>
      </c>
    </row>
    <row r="75" spans="1:63">
      <c r="A75" s="13" t="s">
        <v>103</v>
      </c>
      <c r="B75" s="13" t="s">
        <v>104</v>
      </c>
      <c r="C75" s="13" t="s">
        <v>292</v>
      </c>
      <c r="D75" s="31">
        <v>45646</v>
      </c>
      <c r="E75" s="31">
        <v>45658</v>
      </c>
      <c r="F75" s="31">
        <v>45688</v>
      </c>
      <c r="G75" s="13">
        <v>3786578</v>
      </c>
      <c r="H75" s="13" t="s">
        <v>388</v>
      </c>
      <c r="J75" s="13" t="s">
        <v>294</v>
      </c>
      <c r="K75" s="13" t="s">
        <v>389</v>
      </c>
      <c r="L75" s="13">
        <v>60</v>
      </c>
      <c r="M75" s="13">
        <v>0</v>
      </c>
      <c r="N75" s="13" t="s">
        <v>390</v>
      </c>
      <c r="O75" s="13" t="s">
        <v>304</v>
      </c>
      <c r="P75" s="13">
        <v>10010</v>
      </c>
      <c r="R75" s="13" t="s">
        <v>384</v>
      </c>
      <c r="S75" s="13" t="s">
        <v>299</v>
      </c>
      <c r="T75" s="13" t="s">
        <v>305</v>
      </c>
      <c r="U75" s="13" t="s">
        <v>125</v>
      </c>
      <c r="V75" s="23">
        <v>146</v>
      </c>
      <c r="W75" s="44">
        <f>IF($AX75="Cancelled","",IFERROR(((V75+INDEX(Variables!$B$6:$D$6,IFERROR(MATCH(IF($B75="Robusta","Robusta",(IF($B75="","Arabica",$B75))&amp;" - "&amp;(IF($C75="","Commercial",$C75))),Variables!$B$1:$D$1,0),1)))*22.0462)*(L75/16.67),""))</f>
        <v>34660.276520695857</v>
      </c>
      <c r="Y75" s="13" t="str">
        <f>IF($AX75="Cancelled","",IF(X75="","",IFERROR(IF(INDEX(Variables!$B$38:$B$47,MATCH(X75,Variables!$A$38:$A$47,0))="Yes","Yes","No"),"No")))</f>
        <v/>
      </c>
      <c r="Z75" s="31"/>
      <c r="AC75" s="13" t="str">
        <f t="shared" si="3"/>
        <v/>
      </c>
      <c r="AF75" s="71">
        <f>AJ75-7</f>
        <v>45664</v>
      </c>
      <c r="AG75" s="36">
        <f>IF($AX75="Cancelled","",IFERROR(IF(F75="","",F75-Variables!$B$13),""))</f>
        <v>45673</v>
      </c>
      <c r="AH75" s="13" t="str">
        <f>IF($AX75="Cancelled","",IFERROR(IF(AB75="","",(AVERAGE(E75:F75)-AB75)-Variables!$B$14),""))</f>
        <v/>
      </c>
      <c r="AJ75" s="47">
        <v>45671</v>
      </c>
      <c r="AK75" s="14">
        <f>IF($AX75="Cancelled","",IFERROR(IF(AJ75="","",IF(AND(AB75="",AF75=""),"",IF(AF75&gt;AB75,AF75+Variables!$B$15+Variables!$B$16+Variables!$B$17-AJ75,AB75+Variables!$B$16+Variables!$B$17-AJ75))),""))</f>
        <v>8</v>
      </c>
      <c r="AL75" s="48" t="s">
        <v>114</v>
      </c>
      <c r="AM75" s="13" t="s">
        <v>168</v>
      </c>
      <c r="AN75" s="13" t="s">
        <v>146</v>
      </c>
      <c r="AP75" s="31">
        <v>45685</v>
      </c>
      <c r="AR75" s="13" t="s">
        <v>3250</v>
      </c>
      <c r="AS75" s="31">
        <v>45688</v>
      </c>
      <c r="AU75" s="31">
        <v>45693</v>
      </c>
      <c r="AV75" s="13" t="s">
        <v>3266</v>
      </c>
      <c r="AW75" s="31">
        <v>45699</v>
      </c>
      <c r="AX75" s="13" t="str">
        <f>IF(ISNUMBER(SEARCH("cancel",#REF!)),"Cancelled",IF(AND(AS75&lt;&gt;"",AU75&lt;&gt;"",AW75&lt;&gt;""),"Closed","Open"))</f>
        <v>Closed</v>
      </c>
      <c r="AY75" s="15" t="str">
        <f t="shared" si="4"/>
        <v>All dates received</v>
      </c>
      <c r="BD75" s="13">
        <f>IF($AX75="Cancelled","",IFERROR(IF(OR(AS75="",AJ75=""),"",(AJ75+Variables!$B$18-AS75)),""))</f>
        <v>-2</v>
      </c>
      <c r="BE75" s="13">
        <f>IF($AX75="Cancelled","",IFERROR(IF(OR(AW75="",AS75=""),"",(AS75+Variables!$B$19)-AW75),""))</f>
        <v>-6</v>
      </c>
      <c r="BF75" s="44">
        <f>IF($AX75="Cancelled","",IFERROR(W75*INDEX(Variables!$B$7:$D$7,IFERROR(MATCH(IF($B75="Robusta","Robusta",(IF($B75="","Arabica",$B75))&amp;" - "&amp;(IF($C75="","Commercial",$C75))),Variables!$B$1:$D$1,0),1))*(BE75/365),""))</f>
        <v>-36.739247386238041</v>
      </c>
      <c r="BG75" s="44" t="str">
        <f>IF($AX75="Cancelled","",IFERROR((W75*INDEX(Variables!$B$7:$D$7,IFERROR(MATCH(IF($B75="Robusta","Robusta",(IF($B75="","Arabica",$B75))&amp;" - "&amp;(IF($C75="","Commercial",$C75))),Variables!$B$1:$D$1,0),1))*IFERROR(IF(AB75="","",(AVERAGE(E75:F75)-AB75)-Variables!$B$14),"")/365)+(L75/16.67*INDEX(Variables!$B$8:$D$8,IFERROR(MATCH(IF($B75="Robusta","Robusta",(IF($B75="","Arabica",$B75))&amp;" - "&amp;(IF($C75="","Commercial",$C75))),Variables!$B$1:$D$1,0),1))*IFERROR(IF(AB75="","",(AVERAGE(E75:F75)-AB75)-Variables!$B$14),""))+(W75*INDEX(Variables!$B$9:$D$9,IFERROR(MATCH(IF($B75="Robusta","Robusta",(IF($B75="","Arabica",$B75))&amp;" - "&amp;(IF($C75="","Commercial",$C75))),Variables!$B$1:$D$1,0),1))*IFERROR(IF(AB75="","",(AVERAGE(E75:F75)-AB75)-Variables!$B$14),"")/365),""))</f>
        <v/>
      </c>
      <c r="BH75" s="44">
        <f>IF($AX75="Cancelled","",IFERROR((W75*INDEX(Variables!$B$7:$D$7,IFERROR(MATCH(IF($B75="Robusta","Robusta",(IF($B75="","Arabica",$B75))&amp;" - "&amp;(IF($C75="","Commercial",$C75))),Variables!$B$1:$D$1,0),1))*AK75/365)+(L75/16.67*INDEX(Variables!$B$8:$D$8,IFERROR(MATCH(IF($B75="Robusta","Robusta",(IF($B75="","Arabica",$B75))&amp;" - "&amp;(IF($C75="","Commercial",$C75))),Variables!$B$1:$D$1,0),1))*AK75)+(W75*INDEX(Variables!$B$9:$D$9,IFERROR(MATCH(IF($B75="Robusta","Robusta",(IF($B75="","Arabica",$B75))&amp;" - "&amp;(IF($C75="","Commercial",$C75))),Variables!$B$1:$D$1,0),1))*AK75/365),""))</f>
        <v>73.617182915823975</v>
      </c>
      <c r="BI75" s="44">
        <f>IF($AX75="Cancelled","",IFERROR((W75*INDEX(Variables!$B$7:$D$7,IFERROR(MATCH(IF($B75="Robusta","Robusta",(IF($B75="","Arabica",$B75))&amp;" - "&amp;(IF($C75="","Commercial",$C75))),Variables!$B$1:$D$1,0),1))*BD75/365)+(L75/16.67*INDEX(Variables!$B$8:$D$8,IFERROR(MATCH(IF($B75="Robusta","Robusta",(IF($B75="","Arabica",$B75))&amp;" - "&amp;(IF($C75="","Commercial",$C75))),Variables!$B$1:$D$1,0),1))*BD75)+(W75*INDEX(Variables!$B$9:$D$9,IFERROR(MATCH(IF($B75="Robusta","Robusta",(IF($B75="","Arabica",$B75))&amp;" - "&amp;(IF($C75="","Commercial",$C75))),Variables!$B$1:$D$1,0),1))*BD75/365),""))</f>
        <v>-18.404295728955994</v>
      </c>
      <c r="BJ75" s="44">
        <f t="shared" si="5"/>
        <v>0</v>
      </c>
      <c r="BK75" s="44">
        <f>IF($AX75="Cancelled","",IFERROR(IF(BJ75="","",(W75*INDEX(Variables!$B$7:$D$7,IFERROR(MATCH(IF($B75="Robusta","Robusta",(IF($B75="","Arabica",$B75))&amp;" - "&amp;(IF($C75="","Commercial",$C75))),Variables!$B$1:$D$1,0),1))*(BJ75/365))+(W75*INDEX(Variables!$B$9:$D$9,IFERROR(MATCH(IF($B75="Robusta","Robusta",(IF($B75="","Arabica",$B75))&amp;" - "&amp;(IF($C75="","Commercial",$C75))),Variables!$B$1:$D$1,0),1))*(BJ75/365))+(INDEX(Variables!$B$8:$D$8,IFERROR(MATCH(IF($B75="Robusta","Robusta",(IF($B75="","Arabica",$B75))&amp;" - "&amp;(IF($C75="","Commercial",$C75))),Variables!$B$1:$D$1,0),1))*L75/16.67)),""))</f>
        <v>3</v>
      </c>
    </row>
    <row r="76" spans="1:63">
      <c r="A76" s="13" t="s">
        <v>103</v>
      </c>
      <c r="B76" s="13" t="s">
        <v>104</v>
      </c>
      <c r="C76" s="13" t="s">
        <v>292</v>
      </c>
      <c r="D76" s="31">
        <v>45646</v>
      </c>
      <c r="E76" s="31">
        <v>45658</v>
      </c>
      <c r="F76" s="31">
        <v>45688</v>
      </c>
      <c r="G76" s="13">
        <v>3786579</v>
      </c>
      <c r="H76" s="13" t="s">
        <v>391</v>
      </c>
      <c r="J76" s="13" t="s">
        <v>294</v>
      </c>
      <c r="K76" s="13" t="s">
        <v>392</v>
      </c>
      <c r="L76" s="13">
        <v>15</v>
      </c>
      <c r="M76" s="13">
        <v>0</v>
      </c>
      <c r="N76" s="13" t="s">
        <v>393</v>
      </c>
      <c r="O76" s="13" t="s">
        <v>297</v>
      </c>
      <c r="P76" s="13">
        <v>10020</v>
      </c>
      <c r="R76" s="13" t="s">
        <v>384</v>
      </c>
      <c r="S76" s="13" t="s">
        <v>299</v>
      </c>
      <c r="T76" s="13" t="s">
        <v>305</v>
      </c>
      <c r="U76" s="13" t="s">
        <v>125</v>
      </c>
      <c r="V76" s="13">
        <v>95.99</v>
      </c>
      <c r="W76" s="44">
        <f>IF($AX76="Cancelled","",IFERROR(((V76+INDEX(Variables!$B$6:$D$6,IFERROR(MATCH(IF($B76="Robusta","Robusta",(IF($B76="","Arabica",$B76))&amp;" - "&amp;(IF($C76="","Commercial",$C76))),Variables!$B$1:$D$1,0),1)))*22.0462)*(L76/16.67),""))</f>
        <v>7672.9901301739637</v>
      </c>
      <c r="X76" s="55" t="s">
        <v>39</v>
      </c>
      <c r="Y76" s="13" t="str">
        <f>IF($AX76="Cancelled","",IF(X76="","",IFERROR(IF(INDEX(Variables!$B$38:$B$47,MATCH(X76,Variables!$A$38:$A$47,0))="Yes","Yes","No"),"No")))</f>
        <v>No</v>
      </c>
      <c r="Z76" s="31"/>
      <c r="AB76" s="31">
        <v>45640.875</v>
      </c>
      <c r="AC76" s="13" t="str">
        <f t="shared" si="3"/>
        <v>Approved</v>
      </c>
      <c r="AF76" s="71">
        <f>AJ76-7</f>
        <v>45664</v>
      </c>
      <c r="AG76" s="36">
        <f>IF($AX76="Cancelled","",IFERROR(IF(F76="","",F76-Variables!$B$13),""))</f>
        <v>45673</v>
      </c>
      <c r="AH76" s="13">
        <f>IF($AX76="Cancelled","",IFERROR(IF(AB76="","",(AVERAGE(E76:F76)-AB76)-Variables!$B$14),""))</f>
        <v>2.125</v>
      </c>
      <c r="AJ76" s="47">
        <v>45671</v>
      </c>
      <c r="AK76" s="14">
        <f>IF($AX76="Cancelled","",IFERROR(IF(AJ76="","",IF(AND(AB76="",AF76=""),"",IF(AF76&gt;AB76,AF76+Variables!$B$15+Variables!$B$16+Variables!$B$17-AJ76,AB76+Variables!$B$16+Variables!$B$17-AJ76))),""))</f>
        <v>8</v>
      </c>
      <c r="AL76" s="48" t="s">
        <v>114</v>
      </c>
      <c r="AM76" s="13" t="s">
        <v>168</v>
      </c>
      <c r="AN76" s="13" t="s">
        <v>146</v>
      </c>
      <c r="AP76" s="31">
        <v>45685</v>
      </c>
      <c r="AR76" s="13" t="s">
        <v>3250</v>
      </c>
      <c r="AS76" s="31">
        <v>45688</v>
      </c>
      <c r="AU76" s="31">
        <v>45693</v>
      </c>
      <c r="AV76" s="13" t="s">
        <v>3266</v>
      </c>
      <c r="AW76" s="31">
        <v>45699</v>
      </c>
      <c r="AX76" s="13" t="str">
        <f>IF(ISNUMBER(SEARCH("cancel",#REF!)),"Cancelled",IF(AND(AS76&lt;&gt;"",AU76&lt;&gt;"",AW76&lt;&gt;""),"Closed","Open"))</f>
        <v>Closed</v>
      </c>
      <c r="AY76" s="15" t="str">
        <f t="shared" si="4"/>
        <v>All dates received</v>
      </c>
      <c r="BD76" s="13">
        <f>IF($AX76="Cancelled","",IFERROR(IF(OR(AS76="",AJ76=""),"",(AJ76+Variables!$B$18-AS76)),""))</f>
        <v>-2</v>
      </c>
      <c r="BE76" s="13">
        <f>IF($AX76="Cancelled","",IFERROR(IF(OR(AW76="",AS76=""),"",(AS76+Variables!$B$19)-AW76),""))</f>
        <v>-6</v>
      </c>
      <c r="BF76" s="44">
        <f>IF($AX76="Cancelled","",IFERROR(W76*INDEX(Variables!$B$7:$D$7,IFERROR(MATCH(IF($B76="Robusta","Robusta",(IF($B76="","Arabica",$B76))&amp;" - "&amp;(IF($C76="","Commercial",$C76))),Variables!$B$1:$D$1,0),1))*(BE76/365),""))</f>
        <v>-8.1332265891271813</v>
      </c>
      <c r="BG76" s="44">
        <f>IF($AX76="Cancelled","",IFERROR((W76*INDEX(Variables!$B$7:$D$7,IFERROR(MATCH(IF($B76="Robusta","Robusta",(IF($B76="","Arabica",$B76))&amp;" - "&amp;(IF($C76="","Commercial",$C76))),Variables!$B$1:$D$1,0),1))*IFERROR(IF(AB76="","",(AVERAGE(E76:F76)-AB76)-Variables!$B$14),"")/365)+(L76/16.67*INDEX(Variables!$B$8:$D$8,IFERROR(MATCH(IF($B76="Robusta","Robusta",(IF($B76="","Arabica",$B76))&amp;" - "&amp;(IF($C76="","Commercial",$C76))),Variables!$B$1:$D$1,0),1))*IFERROR(IF(AB76="","",(AVERAGE(E76:F76)-AB76)-Variables!$B$14),""))+(W76*INDEX(Variables!$B$9:$D$9,IFERROR(MATCH(IF($B76="Robusta","Robusta",(IF($B76="","Arabica",$B76))&amp;" - "&amp;(IF($C76="","Commercial",$C76))),Variables!$B$1:$D$1,0),1))*IFERROR(IF(AB76="","",(AVERAGE(E76:F76)-AB76)-Variables!$B$14),"")/365),""))</f>
        <v>4.5114031831304757</v>
      </c>
      <c r="BH76" s="44">
        <f>IF($AX76="Cancelled","",IFERROR((W76*INDEX(Variables!$B$7:$D$7,IFERROR(MATCH(IF($B76="Robusta","Robusta",(IF($B76="","Arabica",$B76))&amp;" - "&amp;(IF($C76="","Commercial",$C76))),Variables!$B$1:$D$1,0),1))*AK76/365)+(L76/16.67*INDEX(Variables!$B$8:$D$8,IFERROR(MATCH(IF($B76="Robusta","Robusta",(IF($B76="","Arabica",$B76))&amp;" - "&amp;(IF($C76="","Commercial",$C76))),Variables!$B$1:$D$1,0),1))*AK76)+(W76*INDEX(Variables!$B$9:$D$9,IFERROR(MATCH(IF($B76="Robusta","Robusta",(IF($B76="","Arabica",$B76))&amp;" - "&amp;(IF($C76="","Commercial",$C76))),Variables!$B$1:$D$1,0),1))*AK76/365),""))</f>
        <v>16.984106101197089</v>
      </c>
      <c r="BI76" s="44">
        <f>IF($AX76="Cancelled","",IFERROR((W76*INDEX(Variables!$B$7:$D$7,IFERROR(MATCH(IF($B76="Robusta","Robusta",(IF($B76="","Arabica",$B76))&amp;" - "&amp;(IF($C76="","Commercial",$C76))),Variables!$B$1:$D$1,0),1))*BD76/365)+(L76/16.67*INDEX(Variables!$B$8:$D$8,IFERROR(MATCH(IF($B76="Robusta","Robusta",(IF($B76="","Arabica",$B76))&amp;" - "&amp;(IF($C76="","Commercial",$C76))),Variables!$B$1:$D$1,0),1))*BD76)+(W76*INDEX(Variables!$B$9:$D$9,IFERROR(MATCH(IF($B76="Robusta","Robusta",(IF($B76="","Arabica",$B76))&amp;" - "&amp;(IF($C76="","Commercial",$C76))),Variables!$B$1:$D$1,0),1))*BD76/365),""))</f>
        <v>-4.2460265252992722</v>
      </c>
      <c r="BJ76" s="44">
        <f t="shared" si="5"/>
        <v>0</v>
      </c>
      <c r="BK76" s="44">
        <f>IF($AX76="Cancelled","",IFERROR(IF(BJ76="","",(W76*INDEX(Variables!$B$7:$D$7,IFERROR(MATCH(IF($B76="Robusta","Robusta",(IF($B76="","Arabica",$B76))&amp;" - "&amp;(IF($C76="","Commercial",$C76))),Variables!$B$1:$D$1,0),1))*(BJ76/365))+(W76*INDEX(Variables!$B$9:$D$9,IFERROR(MATCH(IF($B76="Robusta","Robusta",(IF($B76="","Arabica",$B76))&amp;" - "&amp;(IF($C76="","Commercial",$C76))),Variables!$B$1:$D$1,0),1))*(BJ76/365))+(INDEX(Variables!$B$8:$D$8,IFERROR(MATCH(IF($B76="Robusta","Robusta",(IF($B76="","Arabica",$B76))&amp;" - "&amp;(IF($C76="","Commercial",$C76))),Variables!$B$1:$D$1,0),1))*L76/16.67)),""))</f>
        <v>0.75</v>
      </c>
    </row>
    <row r="77" spans="1:63">
      <c r="A77" s="13" t="s">
        <v>103</v>
      </c>
      <c r="B77" s="13" t="s">
        <v>104</v>
      </c>
      <c r="C77" s="13" t="s">
        <v>292</v>
      </c>
      <c r="D77" s="31">
        <v>45646</v>
      </c>
      <c r="E77" s="31">
        <v>45658</v>
      </c>
      <c r="F77" s="31">
        <v>45688</v>
      </c>
      <c r="G77" s="13">
        <v>3786580</v>
      </c>
      <c r="H77" s="13" t="s">
        <v>394</v>
      </c>
      <c r="J77" s="13" t="s">
        <v>294</v>
      </c>
      <c r="K77" s="13" t="s">
        <v>395</v>
      </c>
      <c r="L77" s="13">
        <v>40</v>
      </c>
      <c r="M77" s="13">
        <v>0</v>
      </c>
      <c r="N77" s="13" t="s">
        <v>396</v>
      </c>
      <c r="O77" s="13" t="s">
        <v>297</v>
      </c>
      <c r="P77" s="13">
        <v>10020</v>
      </c>
      <c r="R77" s="13" t="s">
        <v>384</v>
      </c>
      <c r="S77" s="13" t="s">
        <v>299</v>
      </c>
      <c r="T77" s="13" t="s">
        <v>305</v>
      </c>
      <c r="U77" s="13" t="s">
        <v>125</v>
      </c>
      <c r="V77" s="13">
        <v>95.99</v>
      </c>
      <c r="W77" s="44">
        <f>IF($AX77="Cancelled","",IFERROR(((V77+INDEX(Variables!$B$6:$D$6,IFERROR(MATCH(IF($B77="Robusta","Robusta",(IF($B77="","Arabica",$B77))&amp;" - "&amp;(IF($C77="","Commercial",$C77))),Variables!$B$1:$D$1,0),1)))*22.0462)*(L77/16.67),""))</f>
        <v>20461.307013797239</v>
      </c>
      <c r="X77" s="55" t="s">
        <v>39</v>
      </c>
      <c r="Y77" s="13" t="str">
        <f>IF($AX77="Cancelled","",IF(X77="","",IFERROR(IF(INDEX(Variables!$B$38:$B$47,MATCH(X77,Variables!$A$38:$A$47,0))="Yes","Yes","No"),"No")))</f>
        <v>No</v>
      </c>
      <c r="Z77" s="31"/>
      <c r="AB77" s="31">
        <v>45640.875</v>
      </c>
      <c r="AC77" s="13" t="str">
        <f t="shared" si="3"/>
        <v>Approved</v>
      </c>
      <c r="AF77" s="71">
        <f>AJ77-7</f>
        <v>45664</v>
      </c>
      <c r="AG77" s="36">
        <f>IF($AX77="Cancelled","",IFERROR(IF(F77="","",F77-Variables!$B$13),""))</f>
        <v>45673</v>
      </c>
      <c r="AH77" s="13">
        <f>IF($AX77="Cancelled","",IFERROR(IF(AB77="","",(AVERAGE(E77:F77)-AB77)-Variables!$B$14),""))</f>
        <v>2.125</v>
      </c>
      <c r="AJ77" s="47">
        <v>45671</v>
      </c>
      <c r="AK77" s="14">
        <f>IF($AX77="Cancelled","",IFERROR(IF(AJ77="","",IF(AND(AB77="",AF77=""),"",IF(AF77&gt;AB77,AF77+Variables!$B$15+Variables!$B$16+Variables!$B$17-AJ77,AB77+Variables!$B$16+Variables!$B$17-AJ77))),""))</f>
        <v>8</v>
      </c>
      <c r="AL77" s="48" t="s">
        <v>114</v>
      </c>
      <c r="AM77" s="13" t="s">
        <v>168</v>
      </c>
      <c r="AN77" s="13" t="s">
        <v>146</v>
      </c>
      <c r="AP77" s="31">
        <v>45685</v>
      </c>
      <c r="AR77" s="13" t="s">
        <v>3250</v>
      </c>
      <c r="AS77" s="31">
        <v>45688</v>
      </c>
      <c r="AU77" s="31">
        <v>45693</v>
      </c>
      <c r="AV77" s="13" t="s">
        <v>3266</v>
      </c>
      <c r="AW77" s="31">
        <v>45699</v>
      </c>
      <c r="AX77" s="13" t="str">
        <f>IF(ISNUMBER(SEARCH("cancel",#REF!)),"Cancelled",IF(AND(AS77&lt;&gt;"",AU77&lt;&gt;"",AW77&lt;&gt;""),"Closed","Open"))</f>
        <v>Closed</v>
      </c>
      <c r="AY77" s="15" t="str">
        <f t="shared" si="4"/>
        <v>All dates received</v>
      </c>
      <c r="BD77" s="13">
        <f>IF($AX77="Cancelled","",IFERROR(IF(OR(AS77="",AJ77=""),"",(AJ77+Variables!$B$18-AS77)),""))</f>
        <v>-2</v>
      </c>
      <c r="BE77" s="13">
        <f>IF($AX77="Cancelled","",IFERROR(IF(OR(AW77="",AS77=""),"",(AS77+Variables!$B$19)-AW77),""))</f>
        <v>-6</v>
      </c>
      <c r="BF77" s="44">
        <f>IF($AX77="Cancelled","",IFERROR(W77*INDEX(Variables!$B$7:$D$7,IFERROR(MATCH(IF($B77="Robusta","Robusta",(IF($B77="","Arabica",$B77))&amp;" - "&amp;(IF($C77="","Commercial",$C77))),Variables!$B$1:$D$1,0),1))*(BE77/365),""))</f>
        <v>-21.688604237672486</v>
      </c>
      <c r="BG77" s="44">
        <f>IF($AX77="Cancelled","",IFERROR((W77*INDEX(Variables!$B$7:$D$7,IFERROR(MATCH(IF($B77="Robusta","Robusta",(IF($B77="","Arabica",$B77))&amp;" - "&amp;(IF($C77="","Commercial",$C77))),Variables!$B$1:$D$1,0),1))*IFERROR(IF(AB77="","",(AVERAGE(E77:F77)-AB77)-Variables!$B$14),"")/365)+(L77/16.67*INDEX(Variables!$B$8:$D$8,IFERROR(MATCH(IF($B77="Robusta","Robusta",(IF($B77="","Arabica",$B77))&amp;" - "&amp;(IF($C77="","Commercial",$C77))),Variables!$B$1:$D$1,0),1))*IFERROR(IF(AB77="","",(AVERAGE(E77:F77)-AB77)-Variables!$B$14),""))+(W77*INDEX(Variables!$B$9:$D$9,IFERROR(MATCH(IF($B77="Robusta","Robusta",(IF($B77="","Arabica",$B77))&amp;" - "&amp;(IF($C77="","Commercial",$C77))),Variables!$B$1:$D$1,0),1))*IFERROR(IF(AB77="","",(AVERAGE(E77:F77)-AB77)-Variables!$B$14),"")/365),""))</f>
        <v>12.030408488347939</v>
      </c>
      <c r="BH77" s="44">
        <f>IF($AX77="Cancelled","",IFERROR((W77*INDEX(Variables!$B$7:$D$7,IFERROR(MATCH(IF($B77="Robusta","Robusta",(IF($B77="","Arabica",$B77))&amp;" - "&amp;(IF($C77="","Commercial",$C77))),Variables!$B$1:$D$1,0),1))*AK77/365)+(L77/16.67*INDEX(Variables!$B$8:$D$8,IFERROR(MATCH(IF($B77="Robusta","Robusta",(IF($B77="","Arabica",$B77))&amp;" - "&amp;(IF($C77="","Commercial",$C77))),Variables!$B$1:$D$1,0),1))*AK77)+(W77*INDEX(Variables!$B$9:$D$9,IFERROR(MATCH(IF($B77="Robusta","Robusta",(IF($B77="","Arabica",$B77))&amp;" - "&amp;(IF($C77="","Commercial",$C77))),Variables!$B$1:$D$1,0),1))*AK77/365),""))</f>
        <v>45.290949603192246</v>
      </c>
      <c r="BI77" s="44">
        <f>IF($AX77="Cancelled","",IFERROR((W77*INDEX(Variables!$B$7:$D$7,IFERROR(MATCH(IF($B77="Robusta","Robusta",(IF($B77="","Arabica",$B77))&amp;" - "&amp;(IF($C77="","Commercial",$C77))),Variables!$B$1:$D$1,0),1))*BD77/365)+(L77/16.67*INDEX(Variables!$B$8:$D$8,IFERROR(MATCH(IF($B77="Robusta","Robusta",(IF($B77="","Arabica",$B77))&amp;" - "&amp;(IF($C77="","Commercial",$C77))),Variables!$B$1:$D$1,0),1))*BD77)+(W77*INDEX(Variables!$B$9:$D$9,IFERROR(MATCH(IF($B77="Robusta","Robusta",(IF($B77="","Arabica",$B77))&amp;" - "&amp;(IF($C77="","Commercial",$C77))),Variables!$B$1:$D$1,0),1))*BD77/365),""))</f>
        <v>-11.322737400798061</v>
      </c>
      <c r="BJ77" s="44">
        <f t="shared" si="5"/>
        <v>0</v>
      </c>
      <c r="BK77" s="44">
        <f>IF($AX77="Cancelled","",IFERROR(IF(BJ77="","",(W77*INDEX(Variables!$B$7:$D$7,IFERROR(MATCH(IF($B77="Robusta","Robusta",(IF($B77="","Arabica",$B77))&amp;" - "&amp;(IF($C77="","Commercial",$C77))),Variables!$B$1:$D$1,0),1))*(BJ77/365))+(W77*INDEX(Variables!$B$9:$D$9,IFERROR(MATCH(IF($B77="Robusta","Robusta",(IF($B77="","Arabica",$B77))&amp;" - "&amp;(IF($C77="","Commercial",$C77))),Variables!$B$1:$D$1,0),1))*(BJ77/365))+(INDEX(Variables!$B$8:$D$8,IFERROR(MATCH(IF($B77="Robusta","Robusta",(IF($B77="","Arabica",$B77))&amp;" - "&amp;(IF($C77="","Commercial",$C77))),Variables!$B$1:$D$1,0),1))*L77/16.67)),""))</f>
        <v>2</v>
      </c>
    </row>
    <row r="78" spans="1:63">
      <c r="A78" s="13" t="s">
        <v>103</v>
      </c>
      <c r="B78" s="13" t="s">
        <v>104</v>
      </c>
      <c r="C78" s="13" t="s">
        <v>292</v>
      </c>
      <c r="D78" s="31">
        <v>45646</v>
      </c>
      <c r="E78" s="31">
        <v>45658</v>
      </c>
      <c r="F78" s="31">
        <v>45688</v>
      </c>
      <c r="G78" s="13">
        <v>3786581</v>
      </c>
      <c r="H78" s="13" t="s">
        <v>397</v>
      </c>
      <c r="J78" s="13" t="s">
        <v>294</v>
      </c>
      <c r="K78" s="13" t="s">
        <v>398</v>
      </c>
      <c r="L78" s="13">
        <v>40</v>
      </c>
      <c r="M78" s="13">
        <v>0</v>
      </c>
      <c r="N78" s="13" t="s">
        <v>399</v>
      </c>
      <c r="O78" s="13" t="s">
        <v>304</v>
      </c>
      <c r="P78" s="13">
        <v>10010</v>
      </c>
      <c r="R78" s="13" t="s">
        <v>384</v>
      </c>
      <c r="S78" s="13" t="s">
        <v>299</v>
      </c>
      <c r="T78" s="13" t="s">
        <v>305</v>
      </c>
      <c r="U78" s="13" t="s">
        <v>125</v>
      </c>
      <c r="V78" s="13">
        <v>145.99</v>
      </c>
      <c r="W78" s="44">
        <f>IF($AX78="Cancelled","",IFERROR(((V78+INDEX(Variables!$B$6:$D$6,IFERROR(MATCH(IF($B78="Robusta","Robusta",(IF($B78="","Arabica",$B78))&amp;" - "&amp;(IF($C78="","Commercial",$C78))),Variables!$B$1:$D$1,0),1)))*22.0462)*(L78/16.67),""))</f>
        <v>23106.322010797838</v>
      </c>
      <c r="X78" s="55" t="s">
        <v>39</v>
      </c>
      <c r="Y78" s="13" t="str">
        <f>IF($AX78="Cancelled","",IF(X78="","",IFERROR(IF(INDEX(Variables!$B$38:$B$47,MATCH(X78,Variables!$A$38:$A$47,0))="Yes","Yes","No"),"No")))</f>
        <v>No</v>
      </c>
      <c r="Z78" s="31"/>
      <c r="AB78" s="31">
        <v>45640.875</v>
      </c>
      <c r="AC78" s="13" t="str">
        <f t="shared" si="3"/>
        <v>Approved</v>
      </c>
      <c r="AF78" s="71">
        <f>AJ78-7</f>
        <v>45664</v>
      </c>
      <c r="AG78" s="36">
        <f>IF($AX78="Cancelled","",IFERROR(IF(F78="","",F78-Variables!$B$13),""))</f>
        <v>45673</v>
      </c>
      <c r="AH78" s="13">
        <f>IF($AX78="Cancelled","",IFERROR(IF(AB78="","",(AVERAGE(E78:F78)-AB78)-Variables!$B$14),""))</f>
        <v>2.125</v>
      </c>
      <c r="AJ78" s="47">
        <v>45671</v>
      </c>
      <c r="AK78" s="14">
        <f>IF($AX78="Cancelled","",IFERROR(IF(AJ78="","",IF(AND(AB78="",AF78=""),"",IF(AF78&gt;AB78,AF78+Variables!$B$15+Variables!$B$16+Variables!$B$17-AJ78,AB78+Variables!$B$16+Variables!$B$17-AJ78))),""))</f>
        <v>8</v>
      </c>
      <c r="AL78" s="48" t="s">
        <v>114</v>
      </c>
      <c r="AM78" s="13" t="s">
        <v>168</v>
      </c>
      <c r="AN78" s="13" t="s">
        <v>146</v>
      </c>
      <c r="AP78" s="31">
        <v>45685</v>
      </c>
      <c r="AR78" s="13" t="s">
        <v>3250</v>
      </c>
      <c r="AS78" s="31">
        <v>45688</v>
      </c>
      <c r="AU78" s="31">
        <v>45693</v>
      </c>
      <c r="AV78" s="13" t="s">
        <v>3266</v>
      </c>
      <c r="AW78" s="31">
        <v>45699</v>
      </c>
      <c r="AX78" s="13" t="str">
        <f>IF(ISNUMBER(SEARCH("cancel",#REF!)),"Cancelled",IF(AND(AS78&lt;&gt;"",AU78&lt;&gt;"",AW78&lt;&gt;""),"Closed","Open"))</f>
        <v>Closed</v>
      </c>
      <c r="AY78" s="15" t="str">
        <f t="shared" si="4"/>
        <v>All dates received</v>
      </c>
      <c r="BD78" s="13">
        <f>IF($AX78="Cancelled","",IFERROR(IF(OR(AS78="",AJ78=""),"",(AJ78+Variables!$B$18-AS78)),""))</f>
        <v>-2</v>
      </c>
      <c r="BE78" s="13">
        <f>IF($AX78="Cancelled","",IFERROR(IF(OR(AW78="",AS78=""),"",(AS78+Variables!$B$19)-AW78),""))</f>
        <v>-6</v>
      </c>
      <c r="BF78" s="44">
        <f>IF($AX78="Cancelled","",IFERROR(W78*INDEX(Variables!$B$7:$D$7,IFERROR(MATCH(IF($B78="Robusta","Robusta",(IF($B78="","Arabica",$B78))&amp;" - "&amp;(IF($C78="","Commercial",$C78))),Variables!$B$1:$D$1,0),1))*(BE78/365),""))</f>
        <v>-24.492270857501399</v>
      </c>
      <c r="BG78" s="44">
        <f>IF($AX78="Cancelled","",IFERROR((W78*INDEX(Variables!$B$7:$D$7,IFERROR(MATCH(IF($B78="Robusta","Robusta",(IF($B78="","Arabica",$B78))&amp;" - "&amp;(IF($C78="","Commercial",$C78))),Variables!$B$1:$D$1,0),1))*IFERROR(IF(AB78="","",(AVERAGE(E78:F78)-AB78)-Variables!$B$14),"")/365)+(L78/16.67*INDEX(Variables!$B$8:$D$8,IFERROR(MATCH(IF($B78="Robusta","Robusta",(IF($B78="","Arabica",$B78))&amp;" - "&amp;(IF($C78="","Commercial",$C78))),Variables!$B$1:$D$1,0),1))*IFERROR(IF(AB78="","",(AVERAGE(E78:F78)-AB78)-Variables!$B$14),""))+(W78*INDEX(Variables!$B$9:$D$9,IFERROR(MATCH(IF($B78="Robusta","Robusta",(IF($B78="","Arabica",$B78))&amp;" - "&amp;(IF($C78="","Commercial",$C78))),Variables!$B$1:$D$1,0),1))*IFERROR(IF(AB78="","",(AVERAGE(E78:F78)-AB78)-Variables!$B$14),"")/365),""))</f>
        <v>13.036174988043891</v>
      </c>
      <c r="BH78" s="44">
        <f>IF($AX78="Cancelled","",IFERROR((W78*INDEX(Variables!$B$7:$D$7,IFERROR(MATCH(IF($B78="Robusta","Robusta",(IF($B78="","Arabica",$B78))&amp;" - "&amp;(IF($C78="","Commercial",$C78))),Variables!$B$1:$D$1,0),1))*AK78/365)+(L78/16.67*INDEX(Variables!$B$8:$D$8,IFERROR(MATCH(IF($B78="Robusta","Robusta",(IF($B78="","Arabica",$B78))&amp;" - "&amp;(IF($C78="","Commercial",$C78))),Variables!$B$1:$D$1,0),1))*AK78)+(W78*INDEX(Variables!$B$9:$D$9,IFERROR(MATCH(IF($B78="Robusta","Robusta",(IF($B78="","Arabica",$B78))&amp;" - "&amp;(IF($C78="","Commercial",$C78))),Variables!$B$1:$D$1,0),1))*AK78/365),""))</f>
        <v>49.077364660871119</v>
      </c>
      <c r="BI78" s="44">
        <f>IF($AX78="Cancelled","",IFERROR((W78*INDEX(Variables!$B$7:$D$7,IFERROR(MATCH(IF($B78="Robusta","Robusta",(IF($B78="","Arabica",$B78))&amp;" - "&amp;(IF($C78="","Commercial",$C78))),Variables!$B$1:$D$1,0),1))*BD78/365)+(L78/16.67*INDEX(Variables!$B$8:$D$8,IFERROR(MATCH(IF($B78="Robusta","Robusta",(IF($B78="","Arabica",$B78))&amp;" - "&amp;(IF($C78="","Commercial",$C78))),Variables!$B$1:$D$1,0),1))*BD78)+(W78*INDEX(Variables!$B$9:$D$9,IFERROR(MATCH(IF($B78="Robusta","Robusta",(IF($B78="","Arabica",$B78))&amp;" - "&amp;(IF($C78="","Commercial",$C78))),Variables!$B$1:$D$1,0),1))*BD78/365),""))</f>
        <v>-12.26934116521778</v>
      </c>
      <c r="BJ78" s="44">
        <f t="shared" si="5"/>
        <v>0</v>
      </c>
      <c r="BK78" s="44">
        <f>IF($AX78="Cancelled","",IFERROR(IF(BJ78="","",(W78*INDEX(Variables!$B$7:$D$7,IFERROR(MATCH(IF($B78="Robusta","Robusta",(IF($B78="","Arabica",$B78))&amp;" - "&amp;(IF($C78="","Commercial",$C78))),Variables!$B$1:$D$1,0),1))*(BJ78/365))+(W78*INDEX(Variables!$B$9:$D$9,IFERROR(MATCH(IF($B78="Robusta","Robusta",(IF($B78="","Arabica",$B78))&amp;" - "&amp;(IF($C78="","Commercial",$C78))),Variables!$B$1:$D$1,0),1))*(BJ78/365))+(INDEX(Variables!$B$8:$D$8,IFERROR(MATCH(IF($B78="Robusta","Robusta",(IF($B78="","Arabica",$B78))&amp;" - "&amp;(IF($C78="","Commercial",$C78))),Variables!$B$1:$D$1,0),1))*L78/16.67)),""))</f>
        <v>2</v>
      </c>
    </row>
    <row r="79" spans="1:63">
      <c r="A79" s="13" t="s">
        <v>103</v>
      </c>
      <c r="B79" s="13" t="s">
        <v>104</v>
      </c>
      <c r="C79" s="13" t="s">
        <v>292</v>
      </c>
      <c r="D79" s="31">
        <v>45646</v>
      </c>
      <c r="E79" s="31">
        <v>45658</v>
      </c>
      <c r="F79" s="31">
        <v>45688</v>
      </c>
      <c r="G79" s="13">
        <v>3786583</v>
      </c>
      <c r="H79" s="13" t="s">
        <v>400</v>
      </c>
      <c r="J79" s="13" t="s">
        <v>294</v>
      </c>
      <c r="K79" s="13" t="s">
        <v>401</v>
      </c>
      <c r="L79" s="13">
        <v>30</v>
      </c>
      <c r="M79" s="13">
        <v>0</v>
      </c>
      <c r="N79" s="13" t="s">
        <v>402</v>
      </c>
      <c r="O79" s="13" t="s">
        <v>297</v>
      </c>
      <c r="P79" s="13">
        <v>10020</v>
      </c>
      <c r="R79" s="13" t="s">
        <v>384</v>
      </c>
      <c r="S79" s="13" t="s">
        <v>299</v>
      </c>
      <c r="T79" s="13" t="s">
        <v>305</v>
      </c>
      <c r="U79" s="13" t="s">
        <v>125</v>
      </c>
      <c r="V79" s="13">
        <v>95.99</v>
      </c>
      <c r="W79" s="44">
        <f>IF($AX79="Cancelled","",IFERROR(((V79+INDEX(Variables!$B$6:$D$6,IFERROR(MATCH(IF($B79="Robusta","Robusta",(IF($B79="","Arabica",$B79))&amp;" - "&amp;(IF($C79="","Commercial",$C79))),Variables!$B$1:$D$1,0),1)))*22.0462)*(L79/16.67),""))</f>
        <v>15345.980260347927</v>
      </c>
      <c r="X79" s="55" t="s">
        <v>39</v>
      </c>
      <c r="Y79" s="13" t="str">
        <f>IF($AX79="Cancelled","",IF(X79="","",IFERROR(IF(INDEX(Variables!$B$38:$B$47,MATCH(X79,Variables!$A$38:$A$47,0))="Yes","Yes","No"),"No")))</f>
        <v>No</v>
      </c>
      <c r="Z79" s="31"/>
      <c r="AB79" s="31">
        <v>45640.875</v>
      </c>
      <c r="AC79" s="13" t="str">
        <f t="shared" si="3"/>
        <v>Approved</v>
      </c>
      <c r="AF79" s="71">
        <f>AJ79-7</f>
        <v>45664</v>
      </c>
      <c r="AG79" s="36">
        <f>IF($AX79="Cancelled","",IFERROR(IF(F79="","",F79-Variables!$B$13),""))</f>
        <v>45673</v>
      </c>
      <c r="AH79" s="13">
        <f>IF($AX79="Cancelled","",IFERROR(IF(AB79="","",(AVERAGE(E79:F79)-AB79)-Variables!$B$14),""))</f>
        <v>2.125</v>
      </c>
      <c r="AJ79" s="47">
        <v>45671</v>
      </c>
      <c r="AK79" s="14">
        <f>IF($AX79="Cancelled","",IFERROR(IF(AJ79="","",IF(AND(AB79="",AF79=""),"",IF(AF79&gt;AB79,AF79+Variables!$B$15+Variables!$B$16+Variables!$B$17-AJ79,AB79+Variables!$B$16+Variables!$B$17-AJ79))),""))</f>
        <v>8</v>
      </c>
      <c r="AL79" s="48" t="s">
        <v>114</v>
      </c>
      <c r="AM79" s="13" t="s">
        <v>168</v>
      </c>
      <c r="AN79" s="13" t="s">
        <v>146</v>
      </c>
      <c r="AP79" s="31">
        <v>45685</v>
      </c>
      <c r="AR79" s="13" t="s">
        <v>3250</v>
      </c>
      <c r="AS79" s="31">
        <v>45688</v>
      </c>
      <c r="AU79" s="31">
        <v>45693</v>
      </c>
      <c r="AV79" s="13" t="s">
        <v>3266</v>
      </c>
      <c r="AW79" s="31">
        <v>45699</v>
      </c>
      <c r="AX79" s="13" t="str">
        <f>IF(ISNUMBER(SEARCH("cancel",#REF!)),"Cancelled",IF(AND(AS79&lt;&gt;"",AU79&lt;&gt;"",AW79&lt;&gt;""),"Closed","Open"))</f>
        <v>Closed</v>
      </c>
      <c r="AY79" s="15" t="str">
        <f t="shared" si="4"/>
        <v>All dates received</v>
      </c>
      <c r="BD79" s="13">
        <f>IF($AX79="Cancelled","",IFERROR(IF(OR(AS79="",AJ79=""),"",(AJ79+Variables!$B$18-AS79)),""))</f>
        <v>-2</v>
      </c>
      <c r="BE79" s="13">
        <f>IF($AX79="Cancelled","",IFERROR(IF(OR(AW79="",AS79=""),"",(AS79+Variables!$B$19)-AW79),""))</f>
        <v>-6</v>
      </c>
      <c r="BF79" s="44">
        <f>IF($AX79="Cancelled","",IFERROR(W79*INDEX(Variables!$B$7:$D$7,IFERROR(MATCH(IF($B79="Robusta","Robusta",(IF($B79="","Arabica",$B79))&amp;" - "&amp;(IF($C79="","Commercial",$C79))),Variables!$B$1:$D$1,0),1))*(BE79/365),""))</f>
        <v>-16.266453178254363</v>
      </c>
      <c r="BG79" s="44">
        <f>IF($AX79="Cancelled","",IFERROR((W79*INDEX(Variables!$B$7:$D$7,IFERROR(MATCH(IF($B79="Robusta","Robusta",(IF($B79="","Arabica",$B79))&amp;" - "&amp;(IF($C79="","Commercial",$C79))),Variables!$B$1:$D$1,0),1))*IFERROR(IF(AB79="","",(AVERAGE(E79:F79)-AB79)-Variables!$B$14),"")/365)+(L79/16.67*INDEX(Variables!$B$8:$D$8,IFERROR(MATCH(IF($B79="Robusta","Robusta",(IF($B79="","Arabica",$B79))&amp;" - "&amp;(IF($C79="","Commercial",$C79))),Variables!$B$1:$D$1,0),1))*IFERROR(IF(AB79="","",(AVERAGE(E79:F79)-AB79)-Variables!$B$14),""))+(W79*INDEX(Variables!$B$9:$D$9,IFERROR(MATCH(IF($B79="Robusta","Robusta",(IF($B79="","Arabica",$B79))&amp;" - "&amp;(IF($C79="","Commercial",$C79))),Variables!$B$1:$D$1,0),1))*IFERROR(IF(AB79="","",(AVERAGE(E79:F79)-AB79)-Variables!$B$14),"")/365),""))</f>
        <v>9.0228063662609514</v>
      </c>
      <c r="BH79" s="44">
        <f>IF($AX79="Cancelled","",IFERROR((W79*INDEX(Variables!$B$7:$D$7,IFERROR(MATCH(IF($B79="Robusta","Robusta",(IF($B79="","Arabica",$B79))&amp;" - "&amp;(IF($C79="","Commercial",$C79))),Variables!$B$1:$D$1,0),1))*AK79/365)+(L79/16.67*INDEX(Variables!$B$8:$D$8,IFERROR(MATCH(IF($B79="Robusta","Robusta",(IF($B79="","Arabica",$B79))&amp;" - "&amp;(IF($C79="","Commercial",$C79))),Variables!$B$1:$D$1,0),1))*AK79)+(W79*INDEX(Variables!$B$9:$D$9,IFERROR(MATCH(IF($B79="Robusta","Robusta",(IF($B79="","Arabica",$B79))&amp;" - "&amp;(IF($C79="","Commercial",$C79))),Variables!$B$1:$D$1,0),1))*AK79/365),""))</f>
        <v>33.968212202394177</v>
      </c>
      <c r="BI79" s="44">
        <f>IF($AX79="Cancelled","",IFERROR((W79*INDEX(Variables!$B$7:$D$7,IFERROR(MATCH(IF($B79="Robusta","Robusta",(IF($B79="","Arabica",$B79))&amp;" - "&amp;(IF($C79="","Commercial",$C79))),Variables!$B$1:$D$1,0),1))*BD79/365)+(L79/16.67*INDEX(Variables!$B$8:$D$8,IFERROR(MATCH(IF($B79="Robusta","Robusta",(IF($B79="","Arabica",$B79))&amp;" - "&amp;(IF($C79="","Commercial",$C79))),Variables!$B$1:$D$1,0),1))*BD79)+(W79*INDEX(Variables!$B$9:$D$9,IFERROR(MATCH(IF($B79="Robusta","Robusta",(IF($B79="","Arabica",$B79))&amp;" - "&amp;(IF($C79="","Commercial",$C79))),Variables!$B$1:$D$1,0),1))*BD79/365),""))</f>
        <v>-8.4920530505985443</v>
      </c>
      <c r="BJ79" s="44">
        <f t="shared" si="5"/>
        <v>0</v>
      </c>
      <c r="BK79" s="44">
        <f>IF($AX79="Cancelled","",IFERROR(IF(BJ79="","",(W79*INDEX(Variables!$B$7:$D$7,IFERROR(MATCH(IF($B79="Robusta","Robusta",(IF($B79="","Arabica",$B79))&amp;" - "&amp;(IF($C79="","Commercial",$C79))),Variables!$B$1:$D$1,0),1))*(BJ79/365))+(W79*INDEX(Variables!$B$9:$D$9,IFERROR(MATCH(IF($B79="Robusta","Robusta",(IF($B79="","Arabica",$B79))&amp;" - "&amp;(IF($C79="","Commercial",$C79))),Variables!$B$1:$D$1,0),1))*(BJ79/365))+(INDEX(Variables!$B$8:$D$8,IFERROR(MATCH(IF($B79="Robusta","Robusta",(IF($B79="","Arabica",$B79))&amp;" - "&amp;(IF($C79="","Commercial",$C79))),Variables!$B$1:$D$1,0),1))*L79/16.67)),""))</f>
        <v>1.5</v>
      </c>
    </row>
    <row r="80" spans="1:63">
      <c r="A80" s="13" t="s">
        <v>103</v>
      </c>
      <c r="B80" s="13" t="s">
        <v>104</v>
      </c>
      <c r="C80" s="13" t="s">
        <v>105</v>
      </c>
      <c r="D80" s="31">
        <v>45650</v>
      </c>
      <c r="E80" s="31">
        <v>45689</v>
      </c>
      <c r="F80" s="31">
        <v>45716</v>
      </c>
      <c r="G80" s="13">
        <v>3786584</v>
      </c>
      <c r="H80" s="13" t="s">
        <v>403</v>
      </c>
      <c r="J80" s="13" t="s">
        <v>260</v>
      </c>
      <c r="K80" s="13">
        <v>5168</v>
      </c>
      <c r="L80" s="13">
        <v>360</v>
      </c>
      <c r="M80" s="13">
        <v>1</v>
      </c>
      <c r="N80" s="13" t="s">
        <v>404</v>
      </c>
      <c r="O80" s="13" t="s">
        <v>405</v>
      </c>
      <c r="P80" s="13">
        <v>10150</v>
      </c>
      <c r="R80" s="13" t="s">
        <v>122</v>
      </c>
      <c r="S80" s="13" t="s">
        <v>406</v>
      </c>
      <c r="T80" s="13" t="s">
        <v>263</v>
      </c>
      <c r="U80" s="13" t="s">
        <v>125</v>
      </c>
      <c r="V80" s="13">
        <v>-78</v>
      </c>
      <c r="W80" s="44">
        <f>IF($AX80="Cancelled","",IFERROR(((V80+INDEX(Variables!$B$6:$D$6,IFERROR(MATCH(IF($B80="Robusta","Robusta",(IF($B80="","Arabica",$B80))&amp;" - "&amp;(IF($C80="","Commercial",$C80))),Variables!$B$1:$D$1,0),1)))*22.0462)*(L80/16.67),""))</f>
        <v>101314.65444511097</v>
      </c>
      <c r="X80" s="55" t="s">
        <v>37</v>
      </c>
      <c r="Y80" s="13" t="str">
        <f>IF($AX80="Cancelled","",IF(X80="","",IFERROR(IF(INDEX(Variables!$B$38:$B$47,MATCH(X80,Variables!$A$38:$A$47,0))="Yes","Yes","No"),"No")))</f>
        <v>Yes</v>
      </c>
      <c r="Z80" s="58">
        <v>45664</v>
      </c>
      <c r="AB80" s="31">
        <v>45674</v>
      </c>
      <c r="AC80" s="13" t="str">
        <f t="shared" si="3"/>
        <v>Approved</v>
      </c>
      <c r="AF80" s="71">
        <v>45686</v>
      </c>
      <c r="AG80" s="35">
        <f>IF($AX80="Cancelled","",IFERROR(IF(F80="","",F80-Variables!$B$13),""))</f>
        <v>45701</v>
      </c>
      <c r="AH80" s="13">
        <f>IF($AX80="Cancelled","",IFERROR(IF(AB80="","",(AVERAGE(E80:F80)-AB80)-Variables!$B$14),""))</f>
        <v>-1.5</v>
      </c>
      <c r="AJ80" s="47">
        <v>45688</v>
      </c>
      <c r="AK80" s="14">
        <f>IF($AX80="Cancelled","",IFERROR(IF(AJ80="","",IF(AND(AB80="",AF80=""),"",IF(AF80&gt;AB80,AF80+Variables!$B$15+Variables!$B$16+Variables!$B$17-AJ80,AB80+Variables!$B$16+Variables!$B$17-AJ80))),""))</f>
        <v>13</v>
      </c>
      <c r="AL80" s="48" t="s">
        <v>114</v>
      </c>
      <c r="AM80" s="13" t="s">
        <v>115</v>
      </c>
      <c r="AN80" s="13" t="s">
        <v>126</v>
      </c>
      <c r="AP80" s="31">
        <v>45700</v>
      </c>
      <c r="AR80" s="13">
        <v>249327405</v>
      </c>
      <c r="AS80" s="31">
        <v>45700</v>
      </c>
      <c r="AU80" s="31">
        <v>45705</v>
      </c>
      <c r="AV80" s="13" t="s">
        <v>865</v>
      </c>
      <c r="AW80" s="31">
        <v>45705</v>
      </c>
      <c r="AX80" s="13" t="str">
        <f>IF(ISNUMBER(SEARCH("cancel",#REF!)),"Cancelled",IF(AND(AS80&lt;&gt;"",AU80&lt;&gt;"",AW80&lt;&gt;""),"Closed","Open"))</f>
        <v>Closed</v>
      </c>
      <c r="AY80" s="15" t="str">
        <f t="shared" si="4"/>
        <v>All dates received</v>
      </c>
      <c r="BD80" s="13">
        <f>IF($AX80="Cancelled","",IFERROR(IF(OR(AS80="",AJ80=""),"",(AJ80+Variables!$B$18-AS80)),""))</f>
        <v>3</v>
      </c>
      <c r="BE80" s="13">
        <f>IF($AX80="Cancelled","",IFERROR(IF(OR(AW80="",AS80=""),"",(AS80+Variables!$B$19)-AW80),""))</f>
        <v>0</v>
      </c>
      <c r="BF80" s="44">
        <f>IF($AX80="Cancelled","",IFERROR(W80*INDEX(Variables!$B$7:$D$7,IFERROR(MATCH(IF($B80="Robusta","Robusta",(IF($B80="","Arabica",$B80))&amp;" - "&amp;(IF($C80="","Commercial",$C80))),Variables!$B$1:$D$1,0),1))*(BE80/365),""))</f>
        <v>0</v>
      </c>
      <c r="BG80" s="44">
        <f>IF($AX80="Cancelled","",IFERROR((W80*INDEX(Variables!$B$7:$D$7,IFERROR(MATCH(IF($B80="Robusta","Robusta",(IF($B80="","Arabica",$B80))&amp;" - "&amp;(IF($C80="","Commercial",$C80))),Variables!$B$1:$D$1,0),1))*IFERROR(IF(AB80="","",(AVERAGE(E80:F80)-AB80)-Variables!$B$14),"")/365)+(L80/16.67*INDEX(Variables!$B$8:$D$8,IFERROR(MATCH(IF($B80="Robusta","Robusta",(IF($B80="","Arabica",$B80))&amp;" - "&amp;(IF($C80="","Commercial",$C80))),Variables!$B$1:$D$1,0),1))*IFERROR(IF(AB80="","",(AVERAGE(E80:F80)-AB80)-Variables!$B$14),""))+(W80*INDEX(Variables!$B$9:$D$9,IFERROR(MATCH(IF($B80="Robusta","Robusta",(IF($B80="","Arabica",$B80))&amp;" - "&amp;(IF($C80="","Commercial",$C80))),Variables!$B$1:$D$1,0),1))*IFERROR(IF(AB80="","",(AVERAGE(E80:F80)-AB80)-Variables!$B$14),"")/365),""))</f>
        <v>-54.194032944249692</v>
      </c>
      <c r="BH80" s="44">
        <f>IF($AX80="Cancelled","",IFERROR((W80*INDEX(Variables!$B$7:$D$7,IFERROR(MATCH(IF($B80="Robusta","Robusta",(IF($B80="","Arabica",$B80))&amp;" - "&amp;(IF($C80="","Commercial",$C80))),Variables!$B$1:$D$1,0),1))*AK80/365)+(L80/16.67*INDEX(Variables!$B$8:$D$8,IFERROR(MATCH(IF($B80="Robusta","Robusta",(IF($B80="","Arabica",$B80))&amp;" - "&amp;(IF($C80="","Commercial",$C80))),Variables!$B$1:$D$1,0),1))*AK80)+(W80*INDEX(Variables!$B$9:$D$9,IFERROR(MATCH(IF($B80="Robusta","Robusta",(IF($B80="","Arabica",$B80))&amp;" - "&amp;(IF($C80="","Commercial",$C80))),Variables!$B$1:$D$1,0),1))*AK80/365),""))</f>
        <v>469.68161885016394</v>
      </c>
      <c r="BI80" s="44">
        <f>IF($AX80="Cancelled","",IFERROR((W80*INDEX(Variables!$B$7:$D$7,IFERROR(MATCH(IF($B80="Robusta","Robusta",(IF($B80="","Arabica",$B80))&amp;" - "&amp;(IF($C80="","Commercial",$C80))),Variables!$B$1:$D$1,0),1))*BD80/365)+(L80/16.67*INDEX(Variables!$B$8:$D$8,IFERROR(MATCH(IF($B80="Robusta","Robusta",(IF($B80="","Arabica",$B80))&amp;" - "&amp;(IF($C80="","Commercial",$C80))),Variables!$B$1:$D$1,0),1))*BD80)+(W80*INDEX(Variables!$B$9:$D$9,IFERROR(MATCH(IF($B80="Robusta","Robusta",(IF($B80="","Arabica",$B80))&amp;" - "&amp;(IF($C80="","Commercial",$C80))),Variables!$B$1:$D$1,0),1))*BD80/365),""))</f>
        <v>108.38806588849938</v>
      </c>
      <c r="BJ80" s="44">
        <f t="shared" si="5"/>
        <v>16</v>
      </c>
      <c r="BK80" s="44">
        <f>IF($AX80="Cancelled","",IFERROR(IF(BJ80="","",(W80*INDEX(Variables!$B$7:$D$7,IFERROR(MATCH(IF($B80="Robusta","Robusta",(IF($B80="","Arabica",$B80))&amp;" - "&amp;(IF($C80="","Commercial",$C80))),Variables!$B$1:$D$1,0),1))*(BJ80/365))+(W80*INDEX(Variables!$B$9:$D$9,IFERROR(MATCH(IF($B80="Robusta","Robusta",(IF($B80="","Arabica",$B80))&amp;" - "&amp;(IF($C80="","Commercial",$C80))),Variables!$B$1:$D$1,0),1))*(BJ80/365))+(INDEX(Variables!$B$8:$D$8,IFERROR(MATCH(IF($B80="Robusta","Robusta",(IF($B80="","Arabica",$B80))&amp;" - "&amp;(IF($C80="","Commercial",$C80))),Variables!$B$1:$D$1,0),1))*L80/16.67)),""))</f>
        <v>308.06968473866323</v>
      </c>
    </row>
    <row r="81" spans="1:63">
      <c r="A81" s="13" t="s">
        <v>103</v>
      </c>
      <c r="B81" s="13" t="s">
        <v>104</v>
      </c>
      <c r="C81" s="13" t="s">
        <v>105</v>
      </c>
      <c r="D81" s="31">
        <v>45650</v>
      </c>
      <c r="E81" s="31">
        <v>45717</v>
      </c>
      <c r="F81" s="31">
        <v>45747</v>
      </c>
      <c r="G81" s="13">
        <v>3786585</v>
      </c>
      <c r="H81" s="13" t="s">
        <v>407</v>
      </c>
      <c r="J81" s="13" t="s">
        <v>260</v>
      </c>
      <c r="K81" s="13">
        <v>5216</v>
      </c>
      <c r="L81" s="13">
        <v>360</v>
      </c>
      <c r="M81" s="13">
        <v>1</v>
      </c>
      <c r="N81" s="13" t="s">
        <v>404</v>
      </c>
      <c r="O81" s="13" t="s">
        <v>405</v>
      </c>
      <c r="P81" s="13">
        <v>10150</v>
      </c>
      <c r="R81" s="13" t="s">
        <v>122</v>
      </c>
      <c r="S81" s="13" t="s">
        <v>406</v>
      </c>
      <c r="T81" s="13" t="s">
        <v>263</v>
      </c>
      <c r="U81" s="13" t="s">
        <v>125</v>
      </c>
      <c r="V81" s="13">
        <v>-78</v>
      </c>
      <c r="W81" s="44">
        <f>IF($AX81="Cancelled","",IFERROR(((V81+INDEX(Variables!$B$6:$D$6,IFERROR(MATCH(IF($B81="Robusta","Robusta",(IF($B81="","Arabica",$B81))&amp;" - "&amp;(IF($C81="","Commercial",$C81))),Variables!$B$1:$D$1,0),1)))*22.0462)*(L81/16.67),""))</f>
        <v>101314.65444511097</v>
      </c>
      <c r="X81" s="55" t="s">
        <v>37</v>
      </c>
      <c r="Y81" s="13" t="str">
        <f>IF($AX81="Cancelled","",IF(X81="","",IFERROR(IF(INDEX(Variables!$B$38:$B$47,MATCH(X81,Variables!$A$38:$A$47,0))="Yes","Yes","No"),"No")))</f>
        <v>Yes</v>
      </c>
      <c r="Z81" s="58">
        <v>45692</v>
      </c>
      <c r="AB81" s="31">
        <v>45736</v>
      </c>
      <c r="AC81" s="13" t="str">
        <f t="shared" si="3"/>
        <v>Approved</v>
      </c>
      <c r="AF81" s="71">
        <v>45737</v>
      </c>
      <c r="AG81" s="35">
        <f>IF($AX81="Cancelled","",IFERROR(IF(F81="","",F81-Variables!$B$13),""))</f>
        <v>45732</v>
      </c>
      <c r="AH81" s="13">
        <f>IF($AX81="Cancelled","",IFERROR(IF(AB81="","",(AVERAGE(E81:F81)-AB81)-Variables!$B$14),""))</f>
        <v>-34</v>
      </c>
      <c r="AJ81" s="47">
        <v>45742</v>
      </c>
      <c r="AK81" s="14">
        <f>IF($AX81="Cancelled","",IFERROR(IF(AJ81="","",IF(AND(AB81="",AF81=""),"",IF(AF81&gt;AB81,AF81+Variables!$B$15+Variables!$B$16+Variables!$B$17-AJ81,AB81+Variables!$B$16+Variables!$B$17-AJ81))),""))</f>
        <v>10</v>
      </c>
      <c r="AL81" s="48" t="s">
        <v>114</v>
      </c>
      <c r="AM81" s="13" t="s">
        <v>168</v>
      </c>
      <c r="AN81" s="13" t="s">
        <v>408</v>
      </c>
      <c r="AP81" s="31">
        <v>45753</v>
      </c>
      <c r="AR81" s="13" t="s">
        <v>409</v>
      </c>
      <c r="AS81" s="31">
        <v>45753</v>
      </c>
      <c r="AU81" s="31">
        <v>45756</v>
      </c>
      <c r="AV81" s="13" t="s">
        <v>865</v>
      </c>
      <c r="AW81" s="31">
        <v>45758</v>
      </c>
      <c r="AX81" s="13" t="str">
        <f>IF(ISNUMBER(SEARCH("cancel",#REF!)),"Cancelled",IF(AND(AS81&lt;&gt;"",AU81&lt;&gt;"",AW81&lt;&gt;""),"Closed","Open"))</f>
        <v>Closed</v>
      </c>
      <c r="AY81" s="15" t="str">
        <f t="shared" si="4"/>
        <v>All dates received</v>
      </c>
      <c r="BD81" s="13">
        <f>IF($AX81="Cancelled","",IFERROR(IF(OR(AS81="",AJ81=""),"",(AJ81+Variables!$B$18-AS81)),""))</f>
        <v>4</v>
      </c>
      <c r="BE81" s="13">
        <f>IF($AX81="Cancelled","",IFERROR(IF(OR(AW81="",AS81=""),"",(AS81+Variables!$B$19)-AW81),""))</f>
        <v>0</v>
      </c>
      <c r="BF81" s="44">
        <f>IF($AX81="Cancelled","",IFERROR(W81*INDEX(Variables!$B$7:$D$7,IFERROR(MATCH(IF($B81="Robusta","Robusta",(IF($B81="","Arabica",$B81))&amp;" - "&amp;(IF($C81="","Commercial",$C81))),Variables!$B$1:$D$1,0),1))*(BE81/365),""))</f>
        <v>0</v>
      </c>
      <c r="BG81" s="44">
        <f>IF($AX81="Cancelled","",IFERROR((W81*INDEX(Variables!$B$7:$D$7,IFERROR(MATCH(IF($B81="Robusta","Robusta",(IF($B81="","Arabica",$B81))&amp;" - "&amp;(IF($C81="","Commercial",$C81))),Variables!$B$1:$D$1,0),1))*IFERROR(IF(AB81="","",(AVERAGE(E81:F81)-AB81)-Variables!$B$14),"")/365)+(L81/16.67*INDEX(Variables!$B$8:$D$8,IFERROR(MATCH(IF($B81="Robusta","Robusta",(IF($B81="","Arabica",$B81))&amp;" - "&amp;(IF($C81="","Commercial",$C81))),Variables!$B$1:$D$1,0),1))*IFERROR(IF(AB81="","",(AVERAGE(E81:F81)-AB81)-Variables!$B$14),""))+(W81*INDEX(Variables!$B$9:$D$9,IFERROR(MATCH(IF($B81="Robusta","Robusta",(IF($B81="","Arabica",$B81))&amp;" - "&amp;(IF($C81="","Commercial",$C81))),Variables!$B$1:$D$1,0),1))*IFERROR(IF(AB81="","",(AVERAGE(E81:F81)-AB81)-Variables!$B$14),"")/365),""))</f>
        <v>-1228.3980800696595</v>
      </c>
      <c r="BH81" s="44">
        <f>IF($AX81="Cancelled","",IFERROR((W81*INDEX(Variables!$B$7:$D$7,IFERROR(MATCH(IF($B81="Robusta","Robusta",(IF($B81="","Arabica",$B81))&amp;" - "&amp;(IF($C81="","Commercial",$C81))),Variables!$B$1:$D$1,0),1))*AK81/365)+(L81/16.67*INDEX(Variables!$B$8:$D$8,IFERROR(MATCH(IF($B81="Robusta","Robusta",(IF($B81="","Arabica",$B81))&amp;" - "&amp;(IF($C81="","Commercial",$C81))),Variables!$B$1:$D$1,0),1))*AK81)+(W81*INDEX(Variables!$B$9:$D$9,IFERROR(MATCH(IF($B81="Robusta","Robusta",(IF($B81="","Arabica",$B81))&amp;" - "&amp;(IF($C81="","Commercial",$C81))),Variables!$B$1:$D$1,0),1))*AK81/365),""))</f>
        <v>361.29355296166455</v>
      </c>
      <c r="BI81" s="44">
        <f>IF($AX81="Cancelled","",IFERROR((W81*INDEX(Variables!$B$7:$D$7,IFERROR(MATCH(IF($B81="Robusta","Robusta",(IF($B81="","Arabica",$B81))&amp;" - "&amp;(IF($C81="","Commercial",$C81))),Variables!$B$1:$D$1,0),1))*BD81/365)+(L81/16.67*INDEX(Variables!$B$8:$D$8,IFERROR(MATCH(IF($B81="Robusta","Robusta",(IF($B81="","Arabica",$B81))&amp;" - "&amp;(IF($C81="","Commercial",$C81))),Variables!$B$1:$D$1,0),1))*BD81)+(W81*INDEX(Variables!$B$9:$D$9,IFERROR(MATCH(IF($B81="Robusta","Robusta",(IF($B81="","Arabica",$B81))&amp;" - "&amp;(IF($C81="","Commercial",$C81))),Variables!$B$1:$D$1,0),1))*BD81/365),""))</f>
        <v>144.51742118466581</v>
      </c>
      <c r="BJ81" s="44">
        <f t="shared" si="5"/>
        <v>-6</v>
      </c>
      <c r="BK81" s="44">
        <f>IF($AX81="Cancelled","",IFERROR(IF(BJ81="","",(W81*INDEX(Variables!$B$7:$D$7,IFERROR(MATCH(IF($B81="Robusta","Robusta",(IF($B81="","Arabica",$B81))&amp;" - "&amp;(IF($C81="","Commercial",$C81))),Variables!$B$1:$D$1,0),1))*(BJ81/365))+(W81*INDEX(Variables!$B$9:$D$9,IFERROR(MATCH(IF($B81="Robusta","Robusta",(IF($B81="","Arabica",$B81))&amp;" - "&amp;(IF($C81="","Commercial",$C81))),Variables!$B$1:$D$1,0),1))*(BJ81/365))+(INDEX(Variables!$B$8:$D$8,IFERROR(MATCH(IF($B81="Robusta","Robusta",(IF($B81="","Arabica",$B81))&amp;" - "&amp;(IF($C81="","Commercial",$C81))),Variables!$B$1:$D$1,0),1))*L81/16.67)),""))</f>
        <v>-90.776131776998696</v>
      </c>
    </row>
    <row r="82" spans="1:63">
      <c r="A82" s="13" t="s">
        <v>103</v>
      </c>
      <c r="B82" s="13" t="s">
        <v>104</v>
      </c>
      <c r="C82" s="13" t="s">
        <v>105</v>
      </c>
      <c r="D82" s="31">
        <v>45650</v>
      </c>
      <c r="E82" s="31">
        <v>45748</v>
      </c>
      <c r="F82" s="31">
        <v>45777</v>
      </c>
      <c r="G82" s="13">
        <v>3786586</v>
      </c>
      <c r="H82" s="13" t="s">
        <v>410</v>
      </c>
      <c r="J82" s="13" t="s">
        <v>260</v>
      </c>
      <c r="K82" s="13" t="s">
        <v>411</v>
      </c>
      <c r="L82" s="13">
        <v>360</v>
      </c>
      <c r="M82" s="13">
        <v>1</v>
      </c>
      <c r="N82" s="13" t="s">
        <v>404</v>
      </c>
      <c r="O82" s="13" t="s">
        <v>405</v>
      </c>
      <c r="P82" s="13">
        <v>10150</v>
      </c>
      <c r="R82" s="13" t="s">
        <v>122</v>
      </c>
      <c r="S82" s="13" t="s">
        <v>406</v>
      </c>
      <c r="T82" s="13" t="s">
        <v>263</v>
      </c>
      <c r="U82" s="13" t="s">
        <v>125</v>
      </c>
      <c r="V82" s="13">
        <v>-78</v>
      </c>
      <c r="W82" s="44">
        <f>IF($AX82="Cancelled","",IFERROR(((V82+INDEX(Variables!$B$6:$D$6,IFERROR(MATCH(IF($B82="Robusta","Robusta",(IF($B82="","Arabica",$B82))&amp;" - "&amp;(IF($C82="","Commercial",$C82))),Variables!$B$1:$D$1,0),1)))*22.0462)*(L82/16.67),""))</f>
        <v>101314.65444511097</v>
      </c>
      <c r="X82" s="55" t="s">
        <v>37</v>
      </c>
      <c r="Y82" s="13" t="str">
        <f>IF($AX82="Cancelled","",IF(X82="","",IFERROR(IF(INDEX(Variables!$B$38:$B$47,MATCH(X82,Variables!$A$38:$A$47,0))="Yes","Yes","No"),"No")))</f>
        <v>Yes</v>
      </c>
      <c r="Z82" s="58">
        <v>45737</v>
      </c>
      <c r="AB82" s="31">
        <v>45757</v>
      </c>
      <c r="AC82" s="13" t="str">
        <f t="shared" si="3"/>
        <v>Approved</v>
      </c>
      <c r="AF82" s="71">
        <f>AJ82-7</f>
        <v>45762</v>
      </c>
      <c r="AG82" s="35">
        <f>IF($AX82="Cancelled","",IFERROR(IF(F82="","",F82-Variables!$B$13),""))</f>
        <v>45762</v>
      </c>
      <c r="AH82" s="13">
        <f>IF($AX82="Cancelled","",IFERROR(IF(AB82="","",(AVERAGE(E82:F82)-AB82)-Variables!$B$14),""))</f>
        <v>-24.5</v>
      </c>
      <c r="AJ82" s="47">
        <v>45769</v>
      </c>
      <c r="AK82" s="14">
        <f>IF($AX82="Cancelled","",IFERROR(IF(AJ82="","",IF(AND(AB82="",AF82=""),"",IF(AF82&gt;AB82,AF82+Variables!$B$15+Variables!$B$16+Variables!$B$17-AJ82,AB82+Variables!$B$16+Variables!$B$17-AJ82))),""))</f>
        <v>8</v>
      </c>
      <c r="AL82" s="48" t="s">
        <v>114</v>
      </c>
      <c r="AM82" s="13" t="s">
        <v>168</v>
      </c>
      <c r="AN82" s="13" t="s">
        <v>412</v>
      </c>
      <c r="AP82" s="31">
        <v>45778</v>
      </c>
      <c r="AR82" s="13" t="s">
        <v>413</v>
      </c>
      <c r="AS82" s="31">
        <v>45778</v>
      </c>
      <c r="AU82" s="31">
        <v>45789</v>
      </c>
      <c r="AV82" s="13" t="s">
        <v>865</v>
      </c>
      <c r="AW82" s="31">
        <v>45791</v>
      </c>
      <c r="AX82" s="13" t="str">
        <f>IF(ISNUMBER(SEARCH("cancel",#REF!)),"Cancelled",IF(AND(AS82&lt;&gt;"",AU82&lt;&gt;"",AW82&lt;&gt;""),"Closed","Open"))</f>
        <v>Closed</v>
      </c>
      <c r="AY82" s="15" t="str">
        <f t="shared" si="4"/>
        <v>All dates received</v>
      </c>
      <c r="BD82" s="13">
        <f>IF($AX82="Cancelled","",IFERROR(IF(OR(AS82="",AJ82=""),"",(AJ82+Variables!$B$18-AS82)),""))</f>
        <v>6</v>
      </c>
      <c r="BE82" s="13">
        <f>IF($AX82="Cancelled","",IFERROR(IF(OR(AW82="",AS82=""),"",(AS82+Variables!$B$19)-AW82),""))</f>
        <v>-8</v>
      </c>
      <c r="BF82" s="44">
        <f>IF($AX82="Cancelled","",IFERROR(W82*INDEX(Variables!$B$7:$D$7,IFERROR(MATCH(IF($B82="Robusta","Robusta",(IF($B82="","Arabica",$B82))&amp;" - "&amp;(IF($C82="","Commercial",$C82))),Variables!$B$1:$D$1,0),1))*(BE82/365),""))</f>
        <v>-143.18886160790211</v>
      </c>
      <c r="BG82" s="44">
        <f>IF($AX82="Cancelled","",IFERROR((W82*INDEX(Variables!$B$7:$D$7,IFERROR(MATCH(IF($B82="Robusta","Robusta",(IF($B82="","Arabica",$B82))&amp;" - "&amp;(IF($C82="","Commercial",$C82))),Variables!$B$1:$D$1,0),1))*IFERROR(IF(AB82="","",(AVERAGE(E82:F82)-AB82)-Variables!$B$14),"")/365)+(L82/16.67*INDEX(Variables!$B$8:$D$8,IFERROR(MATCH(IF($B82="Robusta","Robusta",(IF($B82="","Arabica",$B82))&amp;" - "&amp;(IF($C82="","Commercial",$C82))),Variables!$B$1:$D$1,0),1))*IFERROR(IF(AB82="","",(AVERAGE(E82:F82)-AB82)-Variables!$B$14),""))+(W82*INDEX(Variables!$B$9:$D$9,IFERROR(MATCH(IF($B82="Robusta","Robusta",(IF($B82="","Arabica",$B82))&amp;" - "&amp;(IF($C82="","Commercial",$C82))),Variables!$B$1:$D$1,0),1))*IFERROR(IF(AB82="","",(AVERAGE(E82:F82)-AB82)-Variables!$B$14),"")/365),""))</f>
        <v>-885.16920475607822</v>
      </c>
      <c r="BH82" s="44">
        <f>IF($AX82="Cancelled","",IFERROR((W82*INDEX(Variables!$B$7:$D$7,IFERROR(MATCH(IF($B82="Robusta","Robusta",(IF($B82="","Arabica",$B82))&amp;" - "&amp;(IF($C82="","Commercial",$C82))),Variables!$B$1:$D$1,0),1))*AK82/365)+(L82/16.67*INDEX(Variables!$B$8:$D$8,IFERROR(MATCH(IF($B82="Robusta","Robusta",(IF($B82="","Arabica",$B82))&amp;" - "&amp;(IF($C82="","Commercial",$C82))),Variables!$B$1:$D$1,0),1))*AK82)+(W82*INDEX(Variables!$B$9:$D$9,IFERROR(MATCH(IF($B82="Robusta","Robusta",(IF($B82="","Arabica",$B82))&amp;" - "&amp;(IF($C82="","Commercial",$C82))),Variables!$B$1:$D$1,0),1))*AK82/365),""))</f>
        <v>289.03484236933161</v>
      </c>
      <c r="BI82" s="44">
        <f>IF($AX82="Cancelled","",IFERROR((W82*INDEX(Variables!$B$7:$D$7,IFERROR(MATCH(IF($B82="Robusta","Robusta",(IF($B82="","Arabica",$B82))&amp;" - "&amp;(IF($C82="","Commercial",$C82))),Variables!$B$1:$D$1,0),1))*BD82/365)+(L82/16.67*INDEX(Variables!$B$8:$D$8,IFERROR(MATCH(IF($B82="Robusta","Robusta",(IF($B82="","Arabica",$B82))&amp;" - "&amp;(IF($C82="","Commercial",$C82))),Variables!$B$1:$D$1,0),1))*BD82)+(W82*INDEX(Variables!$B$9:$D$9,IFERROR(MATCH(IF($B82="Robusta","Robusta",(IF($B82="","Arabica",$B82))&amp;" - "&amp;(IF($C82="","Commercial",$C82))),Variables!$B$1:$D$1,0),1))*BD82/365),""))</f>
        <v>216.77613177699877</v>
      </c>
      <c r="BJ82" s="44">
        <f t="shared" si="5"/>
        <v>-1</v>
      </c>
      <c r="BK82" s="44">
        <f>IF($AX82="Cancelled","",IFERROR(IF(BJ82="","",(W82*INDEX(Variables!$B$7:$D$7,IFERROR(MATCH(IF($B82="Robusta","Robusta",(IF($B82="","Arabica",$B82))&amp;" - "&amp;(IF($C82="","Commercial",$C82))),Variables!$B$1:$D$1,0),1))*(BJ82/365))+(W82*INDEX(Variables!$B$9:$D$9,IFERROR(MATCH(IF($B82="Robusta","Robusta",(IF($B82="","Arabica",$B82))&amp;" - "&amp;(IF($C82="","Commercial",$C82))),Variables!$B$1:$D$1,0),1))*(BJ82/365))+(INDEX(Variables!$B$8:$D$8,IFERROR(MATCH(IF($B82="Robusta","Robusta",(IF($B82="","Arabica",$B82))&amp;" - "&amp;(IF($C82="","Commercial",$C82))),Variables!$B$1:$D$1,0),1))*L82/16.67)),""))</f>
        <v>-0.12935529616645169</v>
      </c>
    </row>
    <row r="83" spans="1:63">
      <c r="A83" s="13" t="s">
        <v>103</v>
      </c>
      <c r="B83" s="13" t="s">
        <v>104</v>
      </c>
      <c r="C83" s="13" t="s">
        <v>105</v>
      </c>
      <c r="D83" s="31">
        <v>45650</v>
      </c>
      <c r="E83" s="31">
        <v>45658</v>
      </c>
      <c r="F83" s="31">
        <v>45702</v>
      </c>
      <c r="G83" s="13">
        <v>3786587</v>
      </c>
      <c r="H83" s="13" t="s">
        <v>414</v>
      </c>
      <c r="J83" s="13" t="s">
        <v>415</v>
      </c>
      <c r="K83" s="13" t="s">
        <v>416</v>
      </c>
      <c r="L83" s="13">
        <v>116</v>
      </c>
      <c r="M83" s="13">
        <v>1</v>
      </c>
      <c r="N83" s="13" t="s">
        <v>417</v>
      </c>
      <c r="O83" s="13" t="s">
        <v>418</v>
      </c>
      <c r="P83" s="13">
        <v>10070</v>
      </c>
      <c r="R83" s="13" t="s">
        <v>110</v>
      </c>
      <c r="S83" s="13" t="s">
        <v>372</v>
      </c>
      <c r="T83" s="13" t="s">
        <v>373</v>
      </c>
      <c r="U83" s="13" t="s">
        <v>125</v>
      </c>
      <c r="V83" s="13">
        <v>8</v>
      </c>
      <c r="W83" s="44">
        <f>IF($AX83="Cancelled","",IFERROR(((V83+INDEX(Variables!$B$6:$D$6,IFERROR(MATCH(IF($B83="Robusta","Robusta",(IF($B83="","Arabica",$B83))&amp;" - "&amp;(IF($C83="","Commercial",$C83))),Variables!$B$1:$D$1,0),1)))*22.0462)*(L83/16.67),""))</f>
        <v>45839.167904019196</v>
      </c>
      <c r="X83" s="55" t="s">
        <v>37</v>
      </c>
      <c r="Y83" s="13" t="str">
        <f>IF($AX83="Cancelled","",IF(X83="","",IFERROR(IF(INDEX(Variables!$B$38:$B$47,MATCH(X83,Variables!$A$38:$A$47,0))="Yes","Yes","No"),"No")))</f>
        <v>Yes</v>
      </c>
      <c r="Z83" s="58">
        <v>45664</v>
      </c>
      <c r="AB83" s="31">
        <v>45685</v>
      </c>
      <c r="AC83" s="13" t="str">
        <f t="shared" si="3"/>
        <v>Approved</v>
      </c>
      <c r="AF83" s="71">
        <v>45686</v>
      </c>
      <c r="AG83" s="35">
        <f>IF($AX83="Cancelled","",IFERROR(IF(F83="","",F83-Variables!$B$13),""))</f>
        <v>45687</v>
      </c>
      <c r="AH83" s="13">
        <f>IF($AX83="Cancelled","",IFERROR(IF(AB83="","",(AVERAGE(E83:F83)-AB83)-Variables!$B$14),""))</f>
        <v>-35</v>
      </c>
      <c r="AJ83" s="47">
        <v>45688</v>
      </c>
      <c r="AK83" s="14">
        <f>IF($AX83="Cancelled","",IFERROR(IF(AJ83="","",IF(AND(AB83="",AF83=""),"",IF(AF83&gt;AB83,AF83+Variables!$B$15+Variables!$B$16+Variables!$B$17-AJ83,AB83+Variables!$B$16+Variables!$B$17-AJ83))),""))</f>
        <v>13</v>
      </c>
      <c r="AL83" s="48" t="s">
        <v>114</v>
      </c>
      <c r="AM83" s="13" t="s">
        <v>141</v>
      </c>
      <c r="AN83" s="13" t="s">
        <v>322</v>
      </c>
      <c r="AP83" s="31">
        <v>45696</v>
      </c>
      <c r="AR83" s="13" t="s">
        <v>419</v>
      </c>
      <c r="AS83" s="31">
        <v>45696</v>
      </c>
      <c r="AU83" s="31">
        <v>45699</v>
      </c>
      <c r="AV83" s="13" t="s">
        <v>420</v>
      </c>
      <c r="AW83" s="31">
        <v>45701</v>
      </c>
      <c r="AX83" s="13" t="str">
        <f>IF(ISNUMBER(SEARCH("cancel",#REF!)),"Cancelled",IF(AND(AS83&lt;&gt;"",AU83&lt;&gt;"",AW83&lt;&gt;""),"Closed","Open"))</f>
        <v>Closed</v>
      </c>
      <c r="AY83" s="15" t="str">
        <f t="shared" si="4"/>
        <v>All dates received</v>
      </c>
      <c r="BD83" s="13">
        <f>IF($AX83="Cancelled","",IFERROR(IF(OR(AS83="",AJ83=""),"",(AJ83+Variables!$B$18-AS83)),""))</f>
        <v>7</v>
      </c>
      <c r="BE83" s="13">
        <f>IF($AX83="Cancelled","",IFERROR(IF(OR(AW83="",AS83=""),"",(AS83+Variables!$B$19)-AW83),""))</f>
        <v>0</v>
      </c>
      <c r="BF83" s="44">
        <f>IF($AX83="Cancelled","",IFERROR(W83*INDEX(Variables!$B$7:$D$7,IFERROR(MATCH(IF($B83="Robusta","Robusta",(IF($B83="","Arabica",$B83))&amp;" - "&amp;(IF($C83="","Commercial",$C83))),Variables!$B$1:$D$1,0),1))*(BE83/365),""))</f>
        <v>0</v>
      </c>
      <c r="BG83" s="44">
        <f>IF($AX83="Cancelled","",IFERROR((W83*INDEX(Variables!$B$7:$D$7,IFERROR(MATCH(IF($B83="Robusta","Robusta",(IF($B83="","Arabica",$B83))&amp;" - "&amp;(IF($C83="","Commercial",$C83))),Variables!$B$1:$D$1,0),1))*IFERROR(IF(AB83="","",(AVERAGE(E83:F83)-AB83)-Variables!$B$14),"")/365)+(L83/16.67*INDEX(Variables!$B$8:$D$8,IFERROR(MATCH(IF($B83="Robusta","Robusta",(IF($B83="","Arabica",$B83))&amp;" - "&amp;(IF($C83="","Commercial",$C83))),Variables!$B$1:$D$1,0),1))*IFERROR(IF(AB83="","",(AVERAGE(E83:F83)-AB83)-Variables!$B$14),""))+(W83*INDEX(Variables!$B$9:$D$9,IFERROR(MATCH(IF($B83="Robusta","Robusta",(IF($B83="","Arabica",$B83))&amp;" - "&amp;(IF($C83="","Commercial",$C83))),Variables!$B$1:$D$1,0),1))*IFERROR(IF(AB83="","",(AVERAGE(E83:F83)-AB83)-Variables!$B$14),"")/365),""))</f>
        <v>-490.08788288074118</v>
      </c>
      <c r="BH83" s="44">
        <f>IF($AX83="Cancelled","",IFERROR((W83*INDEX(Variables!$B$7:$D$7,IFERROR(MATCH(IF($B83="Robusta","Robusta",(IF($B83="","Arabica",$B83))&amp;" - "&amp;(IF($C83="","Commercial",$C83))),Variables!$B$1:$D$1,0),1))*AK83/365)+(L83/16.67*INDEX(Variables!$B$8:$D$8,IFERROR(MATCH(IF($B83="Robusta","Robusta",(IF($B83="","Arabica",$B83))&amp;" - "&amp;(IF($C83="","Commercial",$C83))),Variables!$B$1:$D$1,0),1))*AK83)+(W83*INDEX(Variables!$B$9:$D$9,IFERROR(MATCH(IF($B83="Robusta","Robusta",(IF($B83="","Arabica",$B83))&amp;" - "&amp;(IF($C83="","Commercial",$C83))),Variables!$B$1:$D$1,0),1))*AK83/365),""))</f>
        <v>182.03264221284672</v>
      </c>
      <c r="BI83" s="44">
        <f>IF($AX83="Cancelled","",IFERROR((W83*INDEX(Variables!$B$7:$D$7,IFERROR(MATCH(IF($B83="Robusta","Robusta",(IF($B83="","Arabica",$B83))&amp;" - "&amp;(IF($C83="","Commercial",$C83))),Variables!$B$1:$D$1,0),1))*BD83/365)+(L83/16.67*INDEX(Variables!$B$8:$D$8,IFERROR(MATCH(IF($B83="Robusta","Robusta",(IF($B83="","Arabica",$B83))&amp;" - "&amp;(IF($C83="","Commercial",$C83))),Variables!$B$1:$D$1,0),1))*BD83)+(W83*INDEX(Variables!$B$9:$D$9,IFERROR(MATCH(IF($B83="Robusta","Robusta",(IF($B83="","Arabica",$B83))&amp;" - "&amp;(IF($C83="","Commercial",$C83))),Variables!$B$1:$D$1,0),1))*BD83/365),""))</f>
        <v>98.017576576148244</v>
      </c>
      <c r="BJ83" s="44">
        <f t="shared" si="5"/>
        <v>6</v>
      </c>
      <c r="BK83" s="44">
        <f>IF($AX83="Cancelled","",IFERROR(IF(BJ83="","",(W83*INDEX(Variables!$B$7:$D$7,IFERROR(MATCH(IF($B83="Robusta","Robusta",(IF($B83="","Arabica",$B83))&amp;" - "&amp;(IF($C83="","Commercial",$C83))),Variables!$B$1:$D$1,0),1))*(BJ83/365))+(W83*INDEX(Variables!$B$9:$D$9,IFERROR(MATCH(IF($B83="Robusta","Robusta",(IF($B83="","Arabica",$B83))&amp;" - "&amp;(IF($C83="","Commercial",$C83))),Variables!$B$1:$D$1,0),1))*(BJ83/365))+(INDEX(Variables!$B$8:$D$8,IFERROR(MATCH(IF($B83="Robusta","Robusta",(IF($B83="","Arabica",$B83))&amp;" - "&amp;(IF($C83="","Commercial",$C83))),Variables!$B$1:$D$1,0),1))*L83/16.67)),""))</f>
        <v>55.01506563669848</v>
      </c>
    </row>
    <row r="84" spans="1:63">
      <c r="A84" s="13" t="s">
        <v>103</v>
      </c>
      <c r="B84" s="13" t="s">
        <v>104</v>
      </c>
      <c r="C84" s="13" t="s">
        <v>105</v>
      </c>
      <c r="D84" s="31">
        <v>45650</v>
      </c>
      <c r="E84" s="31">
        <v>45658</v>
      </c>
      <c r="F84" s="31">
        <v>45702</v>
      </c>
      <c r="G84" s="13">
        <v>3786588</v>
      </c>
      <c r="H84" s="13" t="s">
        <v>421</v>
      </c>
      <c r="J84" s="13" t="s">
        <v>415</v>
      </c>
      <c r="K84" s="13" t="s">
        <v>422</v>
      </c>
      <c r="L84" s="13">
        <v>50</v>
      </c>
      <c r="M84" s="13">
        <v>0</v>
      </c>
      <c r="N84" s="13" t="s">
        <v>423</v>
      </c>
      <c r="O84" s="13" t="s">
        <v>153</v>
      </c>
      <c r="P84" s="13">
        <v>10110</v>
      </c>
      <c r="R84" s="13" t="s">
        <v>110</v>
      </c>
      <c r="S84" s="13" t="s">
        <v>372</v>
      </c>
      <c r="T84" s="13" t="s">
        <v>373</v>
      </c>
      <c r="U84" s="13" t="s">
        <v>125</v>
      </c>
      <c r="V84" s="13">
        <v>3</v>
      </c>
      <c r="W84" s="44">
        <f>IF($AX84="Cancelled","",IFERROR(((V84+INDEX(Variables!$B$6:$D$6,IFERROR(MATCH(IF($B84="Robusta","Robusta",(IF($B84="","Arabica",$B84))&amp;" - "&amp;(IF($C84="","Commercial",$C84))),Variables!$B$1:$D$1,0),1)))*22.0462)*(L84/16.67),""))</f>
        <v>19427.635152969404</v>
      </c>
      <c r="X84" s="55" t="s">
        <v>37</v>
      </c>
      <c r="Y84" s="13" t="str">
        <f>IF($AX84="Cancelled","",IF(X84="","",IFERROR(IF(INDEX(Variables!$B$38:$B$47,MATCH(X84,Variables!$A$38:$A$47,0))="Yes","Yes","No"),"No")))</f>
        <v>Yes</v>
      </c>
      <c r="Z84" s="58">
        <v>45664</v>
      </c>
      <c r="AB84" s="31">
        <v>45673</v>
      </c>
      <c r="AC84" s="13" t="str">
        <f t="shared" si="3"/>
        <v>Approved</v>
      </c>
      <c r="AF84" s="71">
        <f>AJ84-7</f>
        <v>45681</v>
      </c>
      <c r="AG84" s="35">
        <f>IF($AX84="Cancelled","",IFERROR(IF(F84="","",F84-Variables!$B$13),""))</f>
        <v>45687</v>
      </c>
      <c r="AH84" s="13">
        <f>IF($AX84="Cancelled","",IFERROR(IF(AB84="","",(AVERAGE(E84:F84)-AB84)-Variables!$B$14),""))</f>
        <v>-23</v>
      </c>
      <c r="AJ84" s="47">
        <v>45688</v>
      </c>
      <c r="AK84" s="14">
        <f>IF($AX84="Cancelled","",IFERROR(IF(AJ84="","",IF(AND(AB84="",AF84=""),"",IF(AF84&gt;AB84,AF84+Variables!$B$15+Variables!$B$16+Variables!$B$17-AJ84,AB84+Variables!$B$16+Variables!$B$17-AJ84))),""))</f>
        <v>8</v>
      </c>
      <c r="AL84" s="48" t="s">
        <v>114</v>
      </c>
      <c r="AM84" s="13" t="s">
        <v>141</v>
      </c>
      <c r="AN84" s="13" t="s">
        <v>322</v>
      </c>
      <c r="AP84" s="31">
        <v>45696</v>
      </c>
      <c r="AR84" s="13" t="s">
        <v>419</v>
      </c>
      <c r="AS84" s="31">
        <v>45696</v>
      </c>
      <c r="AU84" s="31">
        <v>45699</v>
      </c>
      <c r="AV84" s="13" t="s">
        <v>420</v>
      </c>
      <c r="AW84" s="31">
        <v>45701</v>
      </c>
      <c r="AX84" s="13" t="str">
        <f>IF(ISNUMBER(SEARCH("cancel",#REF!)),"Cancelled",IF(AND(AS84&lt;&gt;"",AU84&lt;&gt;"",AW84&lt;&gt;""),"Closed","Open"))</f>
        <v>Closed</v>
      </c>
      <c r="AY84" s="15" t="str">
        <f t="shared" si="4"/>
        <v>All dates received</v>
      </c>
      <c r="BD84" s="13">
        <f>IF($AX84="Cancelled","",IFERROR(IF(OR(AS84="",AJ84=""),"",(AJ84+Variables!$B$18-AS84)),""))</f>
        <v>7</v>
      </c>
      <c r="BE84" s="13">
        <f>IF($AX84="Cancelled","",IFERROR(IF(OR(AW84="",AS84=""),"",(AS84+Variables!$B$19)-AW84),""))</f>
        <v>0</v>
      </c>
      <c r="BF84" s="44">
        <f>IF($AX84="Cancelled","",IFERROR(W84*INDEX(Variables!$B$7:$D$7,IFERROR(MATCH(IF($B84="Robusta","Robusta",(IF($B84="","Arabica",$B84))&amp;" - "&amp;(IF($C84="","Commercial",$C84))),Variables!$B$1:$D$1,0),1))*(BE84/365),""))</f>
        <v>0</v>
      </c>
      <c r="BG84" s="44">
        <f>IF($AX84="Cancelled","",IFERROR((W84*INDEX(Variables!$B$7:$D$7,IFERROR(MATCH(IF($B84="Robusta","Robusta",(IF($B84="","Arabica",$B84))&amp;" - "&amp;(IF($C84="","Commercial",$C84))),Variables!$B$1:$D$1,0),1))*IFERROR(IF(AB84="","",(AVERAGE(E84:F84)-AB84)-Variables!$B$14),"")/365)+(L84/16.67*INDEX(Variables!$B$8:$D$8,IFERROR(MATCH(IF($B84="Robusta","Robusta",(IF($B84="","Arabica",$B84))&amp;" - "&amp;(IF($C84="","Commercial",$C84))),Variables!$B$1:$D$1,0),1))*IFERROR(IF(AB84="","",(AVERAGE(E84:F84)-AB84)-Variables!$B$14),""))+(W84*INDEX(Variables!$B$9:$D$9,IFERROR(MATCH(IF($B84="Robusta","Robusta",(IF($B84="","Arabica",$B84))&amp;" - "&amp;(IF($C84="","Commercial",$C84))),Variables!$B$1:$D$1,0),1))*IFERROR(IF(AB84="","",(AVERAGE(E84:F84)-AB84)-Variables!$B$14),"")/365),""))</f>
        <v>-137.45725347112258</v>
      </c>
      <c r="BH84" s="44">
        <f>IF($AX84="Cancelled","",IFERROR((W84*INDEX(Variables!$B$7:$D$7,IFERROR(MATCH(IF($B84="Robusta","Robusta",(IF($B84="","Arabica",$B84))&amp;" - "&amp;(IF($C84="","Commercial",$C84))),Variables!$B$1:$D$1,0),1))*AK84/365)+(L84/16.67*INDEX(Variables!$B$8:$D$8,IFERROR(MATCH(IF($B84="Robusta","Robusta",(IF($B84="","Arabica",$B84))&amp;" - "&amp;(IF($C84="","Commercial",$C84))),Variables!$B$1:$D$1,0),1))*AK84)+(W84*INDEX(Variables!$B$9:$D$9,IFERROR(MATCH(IF($B84="Robusta","Robusta",(IF($B84="","Arabica",$B84))&amp;" - "&amp;(IF($C84="","Commercial",$C84))),Variables!$B$1:$D$1,0),1))*AK84/365),""))</f>
        <v>47.811218598651337</v>
      </c>
      <c r="BI84" s="44">
        <f>IF($AX84="Cancelled","",IFERROR((W84*INDEX(Variables!$B$7:$D$7,IFERROR(MATCH(IF($B84="Robusta","Robusta",(IF($B84="","Arabica",$B84))&amp;" - "&amp;(IF($C84="","Commercial",$C84))),Variables!$B$1:$D$1,0),1))*BD84/365)+(L84/16.67*INDEX(Variables!$B$8:$D$8,IFERROR(MATCH(IF($B84="Robusta","Robusta",(IF($B84="","Arabica",$B84))&amp;" - "&amp;(IF($C84="","Commercial",$C84))),Variables!$B$1:$D$1,0),1))*BD84)+(W84*INDEX(Variables!$B$9:$D$9,IFERROR(MATCH(IF($B84="Robusta","Robusta",(IF($B84="","Arabica",$B84))&amp;" - "&amp;(IF($C84="","Commercial",$C84))),Variables!$B$1:$D$1,0),1))*BD84/365),""))</f>
        <v>41.834816273819925</v>
      </c>
      <c r="BJ84" s="44">
        <f t="shared" si="5"/>
        <v>6</v>
      </c>
      <c r="BK84" s="44">
        <f>IF($AX84="Cancelled","",IFERROR(IF(BJ84="","",(W84*INDEX(Variables!$B$7:$D$7,IFERROR(MATCH(IF($B84="Robusta","Robusta",(IF($B84="","Arabica",$B84))&amp;" - "&amp;(IF($C84="","Commercial",$C84))),Variables!$B$1:$D$1,0),1))*(BJ84/365))+(W84*INDEX(Variables!$B$9:$D$9,IFERROR(MATCH(IF($B84="Robusta","Robusta",(IF($B84="","Arabica",$B84))&amp;" - "&amp;(IF($C84="","Commercial",$C84))),Variables!$B$1:$D$1,0),1))*(BJ84/365))+(INDEX(Variables!$B$8:$D$8,IFERROR(MATCH(IF($B84="Robusta","Robusta",(IF($B84="","Arabica",$B84))&amp;" - "&amp;(IF($C84="","Commercial",$C84))),Variables!$B$1:$D$1,0),1))*L84/16.67)),""))</f>
        <v>23.358413948988503</v>
      </c>
    </row>
    <row r="85" spans="1:63">
      <c r="A85" s="13" t="s">
        <v>103</v>
      </c>
      <c r="B85" s="13" t="s">
        <v>104</v>
      </c>
      <c r="C85" s="13" t="s">
        <v>105</v>
      </c>
      <c r="D85" s="31">
        <v>45650</v>
      </c>
      <c r="E85" s="31">
        <v>45658</v>
      </c>
      <c r="F85" s="31">
        <v>45702</v>
      </c>
      <c r="G85" s="13">
        <v>3786589</v>
      </c>
      <c r="H85" s="13" t="s">
        <v>424</v>
      </c>
      <c r="J85" s="13" t="s">
        <v>415</v>
      </c>
      <c r="K85" s="13" t="s">
        <v>425</v>
      </c>
      <c r="L85" s="13">
        <v>154</v>
      </c>
      <c r="M85" s="13">
        <v>0</v>
      </c>
      <c r="N85" s="13" t="s">
        <v>426</v>
      </c>
      <c r="O85" s="13" t="s">
        <v>261</v>
      </c>
      <c r="P85" s="13">
        <v>10060</v>
      </c>
      <c r="R85" s="13" t="s">
        <v>110</v>
      </c>
      <c r="S85" s="13" t="s">
        <v>372</v>
      </c>
      <c r="T85" s="13" t="s">
        <v>373</v>
      </c>
      <c r="U85" s="13" t="s">
        <v>125</v>
      </c>
      <c r="V85" s="13">
        <v>29</v>
      </c>
      <c r="W85" s="44">
        <f>IF($AX85="Cancelled","",IFERROR(((V85+INDEX(Variables!$B$6:$D$6,IFERROR(MATCH(IF($B85="Robusta","Robusta",(IF($B85="","Arabica",$B85))&amp;" - "&amp;(IF($C85="","Commercial",$C85))),Variables!$B$1:$D$1,0),1)))*22.0462)*(L85/16.67),""))</f>
        <v>65132.436295140964</v>
      </c>
      <c r="X85" s="55" t="s">
        <v>37</v>
      </c>
      <c r="Y85" s="13" t="str">
        <f>IF($AX85="Cancelled","",IF(X85="","",IFERROR(IF(INDEX(Variables!$B$38:$B$47,MATCH(X85,Variables!$A$38:$A$47,0))="Yes","Yes","No"),"No")))</f>
        <v>Yes</v>
      </c>
      <c r="Z85" s="58">
        <v>45664</v>
      </c>
      <c r="AB85" s="31">
        <v>45673</v>
      </c>
      <c r="AC85" s="13" t="str">
        <f t="shared" si="3"/>
        <v>Approved</v>
      </c>
      <c r="AF85" s="71">
        <v>45673</v>
      </c>
      <c r="AG85" s="35">
        <f>IF($AX85="Cancelled","",IFERROR(IF(F85="","",F85-Variables!$B$13),""))</f>
        <v>45687</v>
      </c>
      <c r="AH85" s="13">
        <f>IF($AX85="Cancelled","",IFERROR(IF(AB85="","",(AVERAGE(E85:F85)-AB85)-Variables!$B$14),""))</f>
        <v>-23</v>
      </c>
      <c r="AJ85" s="47">
        <v>45688</v>
      </c>
      <c r="AK85" s="14">
        <f>IF($AX85="Cancelled","",IFERROR(IF(AJ85="","",IF(AND(AB85="",AF85=""),"",IF(AF85&gt;AB85,AF85+Variables!$B$15+Variables!$B$16+Variables!$B$17-AJ85,AB85+Variables!$B$16+Variables!$B$17-AJ85))),""))</f>
        <v>-7</v>
      </c>
      <c r="AL85" s="48" t="s">
        <v>114</v>
      </c>
      <c r="AM85" s="13" t="s">
        <v>141</v>
      </c>
      <c r="AN85" s="13" t="s">
        <v>322</v>
      </c>
      <c r="AP85" s="31">
        <v>45696</v>
      </c>
      <c r="AR85" s="13" t="s">
        <v>419</v>
      </c>
      <c r="AS85" s="31">
        <v>45696</v>
      </c>
      <c r="AU85" s="31">
        <v>45699</v>
      </c>
      <c r="AV85" s="13" t="s">
        <v>420</v>
      </c>
      <c r="AW85" s="31">
        <v>45701</v>
      </c>
      <c r="AX85" s="13" t="str">
        <f>IF(ISNUMBER(SEARCH("cancel",#REF!)),"Cancelled",IF(AND(AS85&lt;&gt;"",AU85&lt;&gt;"",AW85&lt;&gt;""),"Closed","Open"))</f>
        <v>Closed</v>
      </c>
      <c r="AY85" s="15" t="str">
        <f t="shared" si="4"/>
        <v>All dates received</v>
      </c>
      <c r="BD85" s="13">
        <f>IF($AX85="Cancelled","",IFERROR(IF(OR(AS85="",AJ85=""),"",(AJ85+Variables!$B$18-AS85)),""))</f>
        <v>7</v>
      </c>
      <c r="BE85" s="13">
        <f>IF($AX85="Cancelled","",IFERROR(IF(OR(AW85="",AS85=""),"",(AS85+Variables!$B$19)-AW85),""))</f>
        <v>0</v>
      </c>
      <c r="BF85" s="44">
        <f>IF($AX85="Cancelled","",IFERROR(W85*INDEX(Variables!$B$7:$D$7,IFERROR(MATCH(IF($B85="Robusta","Robusta",(IF($B85="","Arabica",$B85))&amp;" - "&amp;(IF($C85="","Commercial",$C85))),Variables!$B$1:$D$1,0),1))*(BE85/365),""))</f>
        <v>0</v>
      </c>
      <c r="BG85" s="44">
        <f>IF($AX85="Cancelled","",IFERROR((W85*INDEX(Variables!$B$7:$D$7,IFERROR(MATCH(IF($B85="Robusta","Robusta",(IF($B85="","Arabica",$B85))&amp;" - "&amp;(IF($C85="","Commercial",$C85))),Variables!$B$1:$D$1,0),1))*IFERROR(IF(AB85="","",(AVERAGE(E85:F85)-AB85)-Variables!$B$14),"")/365)+(L85/16.67*INDEX(Variables!$B$8:$D$8,IFERROR(MATCH(IF($B85="Robusta","Robusta",(IF($B85="","Arabica",$B85))&amp;" - "&amp;(IF($C85="","Commercial",$C85))),Variables!$B$1:$D$1,0),1))*IFERROR(IF(AB85="","",(AVERAGE(E85:F85)-AB85)-Variables!$B$14),""))+(W85*INDEX(Variables!$B$9:$D$9,IFERROR(MATCH(IF($B85="Robusta","Robusta",(IF($B85="","Arabica",$B85))&amp;" - "&amp;(IF($C85="","Commercial",$C85))),Variables!$B$1:$D$1,0),1))*IFERROR(IF(AB85="","",(AVERAGE(E85:F85)-AB85)-Variables!$B$14),"")/365),""))</f>
        <v>-445.1619991592928</v>
      </c>
      <c r="BH85" s="44">
        <f>IF($AX85="Cancelled","",IFERROR((W85*INDEX(Variables!$B$7:$D$7,IFERROR(MATCH(IF($B85="Robusta","Robusta",(IF($B85="","Arabica",$B85))&amp;" - "&amp;(IF($C85="","Commercial",$C85))),Variables!$B$1:$D$1,0),1))*AK85/365)+(L85/16.67*INDEX(Variables!$B$8:$D$8,IFERROR(MATCH(IF($B85="Robusta","Robusta",(IF($B85="","Arabica",$B85))&amp;" - "&amp;(IF($C85="","Commercial",$C85))),Variables!$B$1:$D$1,0),1))*AK85)+(W85*INDEX(Variables!$B$9:$D$9,IFERROR(MATCH(IF($B85="Robusta","Robusta",(IF($B85="","Arabica",$B85))&amp;" - "&amp;(IF($C85="","Commercial",$C85))),Variables!$B$1:$D$1,0),1))*AK85/365),""))</f>
        <v>-135.48408670065433</v>
      </c>
      <c r="BI85" s="44">
        <f>IF($AX85="Cancelled","",IFERROR((W85*INDEX(Variables!$B$7:$D$7,IFERROR(MATCH(IF($B85="Robusta","Robusta",(IF($B85="","Arabica",$B85))&amp;" - "&amp;(IF($C85="","Commercial",$C85))),Variables!$B$1:$D$1,0),1))*BD85/365)+(L85/16.67*INDEX(Variables!$B$8:$D$8,IFERROR(MATCH(IF($B85="Robusta","Robusta",(IF($B85="","Arabica",$B85))&amp;" - "&amp;(IF($C85="","Commercial",$C85))),Variables!$B$1:$D$1,0),1))*BD85)+(W85*INDEX(Variables!$B$9:$D$9,IFERROR(MATCH(IF($B85="Robusta","Robusta",(IF($B85="","Arabica",$B85))&amp;" - "&amp;(IF($C85="","Commercial",$C85))),Variables!$B$1:$D$1,0),1))*BD85/365),""))</f>
        <v>135.48408670065433</v>
      </c>
      <c r="BJ85" s="44">
        <f t="shared" si="5"/>
        <v>6</v>
      </c>
      <c r="BK85" s="44">
        <f>IF($AX85="Cancelled","",IFERROR(IF(BJ85="","",(W85*INDEX(Variables!$B$7:$D$7,IFERROR(MATCH(IF($B85="Robusta","Robusta",(IF($B85="","Arabica",$B85))&amp;" - "&amp;(IF($C85="","Commercial",$C85))),Variables!$B$1:$D$1,0),1))*(BJ85/365))+(W85*INDEX(Variables!$B$9:$D$9,IFERROR(MATCH(IF($B85="Robusta","Robusta",(IF($B85="","Arabica",$B85))&amp;" - "&amp;(IF($C85="","Commercial",$C85))),Variables!$B$1:$D$1,0),1))*(BJ85/365))+(INDEX(Variables!$B$8:$D$8,IFERROR(MATCH(IF($B85="Robusta","Robusta",(IF($B85="","Arabica",$B85))&amp;" - "&amp;(IF($C85="","Commercial",$C85))),Variables!$B$1:$D$1,0),1))*L85/16.67)),""))</f>
        <v>77.62921717198941</v>
      </c>
    </row>
    <row r="86" spans="1:63">
      <c r="A86" s="13" t="s">
        <v>103</v>
      </c>
      <c r="B86" s="13" t="s">
        <v>104</v>
      </c>
      <c r="C86" s="13" t="s">
        <v>105</v>
      </c>
      <c r="D86" s="31">
        <v>45650</v>
      </c>
      <c r="E86" s="31">
        <v>45717</v>
      </c>
      <c r="F86" s="31">
        <v>45747</v>
      </c>
      <c r="G86" s="13">
        <v>3786590</v>
      </c>
      <c r="H86" s="13">
        <v>93004</v>
      </c>
      <c r="J86" s="13" t="s">
        <v>118</v>
      </c>
      <c r="K86" s="13">
        <v>5177</v>
      </c>
      <c r="L86" s="13">
        <v>320</v>
      </c>
      <c r="M86" s="13">
        <v>1</v>
      </c>
      <c r="N86" s="13" t="s">
        <v>427</v>
      </c>
      <c r="O86" s="13" t="s">
        <v>428</v>
      </c>
      <c r="P86" s="13">
        <v>10310</v>
      </c>
      <c r="Q86" s="59" t="s">
        <v>270</v>
      </c>
      <c r="R86" s="13" t="s">
        <v>239</v>
      </c>
      <c r="S86" s="13" t="s">
        <v>429</v>
      </c>
      <c r="T86" s="13" t="s">
        <v>430</v>
      </c>
      <c r="U86" s="13" t="s">
        <v>182</v>
      </c>
      <c r="V86" s="13">
        <v>57</v>
      </c>
      <c r="W86" s="44">
        <f>IF($AX86="Cancelled","",IFERROR(((V86+INDEX(Variables!$B$6:$D$6,IFERROR(MATCH(IF($B86="Robusta","Robusta",(IF($B86="","Arabica",$B86))&amp;" - "&amp;(IF($C86="","Commercial",$C86))),Variables!$B$1:$D$1,0),1)))*22.0462)*(L86/16.67),""))</f>
        <v>147189.79455308936</v>
      </c>
      <c r="X86" s="55" t="s">
        <v>37</v>
      </c>
      <c r="Y86" s="13" t="str">
        <f>IF($AX86="Cancelled","",IF(X86="","",IFERROR(IF(INDEX(Variables!$B$38:$B$47,MATCH(X86,Variables!$A$38:$A$47,0))="Yes","Yes","No"),"No")))</f>
        <v>Yes</v>
      </c>
      <c r="Z86" s="58">
        <v>45687</v>
      </c>
      <c r="AB86" s="31">
        <v>45700</v>
      </c>
      <c r="AC86" s="13" t="str">
        <f t="shared" si="3"/>
        <v>Approved</v>
      </c>
      <c r="AF86" s="71">
        <v>45720</v>
      </c>
      <c r="AG86" s="35">
        <f>IF($AX86="Cancelled","",IFERROR(IF(F86="","",F86-Variables!$B$13),""))</f>
        <v>45732</v>
      </c>
      <c r="AH86" s="13">
        <f>IF($AX86="Cancelled","",IFERROR(IF(AB86="","",(AVERAGE(E86:F86)-AB86)-Variables!$B$14),""))</f>
        <v>2</v>
      </c>
      <c r="AJ86" s="47">
        <v>45721</v>
      </c>
      <c r="AK86" s="14">
        <f>IF($AX86="Cancelled","",IFERROR(IF(AJ86="","",IF(AND(AB86="",AF86=""),"",IF(AF86&gt;AB86,AF86+Variables!$B$15+Variables!$B$16+Variables!$B$17-AJ86,AB86+Variables!$B$16+Variables!$B$17-AJ86))),""))</f>
        <v>14</v>
      </c>
      <c r="AL86" s="48" t="s">
        <v>114</v>
      </c>
      <c r="AM86" s="13" t="s">
        <v>168</v>
      </c>
      <c r="AN86" s="13" t="s">
        <v>146</v>
      </c>
      <c r="AP86" s="31">
        <v>45732</v>
      </c>
      <c r="AR86" s="13" t="s">
        <v>431</v>
      </c>
      <c r="AS86" s="31">
        <v>45732</v>
      </c>
      <c r="AU86" s="31">
        <v>45737</v>
      </c>
      <c r="AV86" s="13" t="s">
        <v>432</v>
      </c>
      <c r="AW86" s="31">
        <v>45748</v>
      </c>
      <c r="AX86" s="13" t="str">
        <f>IF(ISNUMBER(SEARCH("cancel",#REF!)),"Cancelled",IF(AND(AS86&lt;&gt;"",AU86&lt;&gt;"",AW86&lt;&gt;""),"Closed","Open"))</f>
        <v>Closed</v>
      </c>
      <c r="AY86" s="15" t="str">
        <f t="shared" si="4"/>
        <v>All dates received</v>
      </c>
      <c r="BD86" s="13">
        <f>IF($AX86="Cancelled","",IFERROR(IF(OR(AS86="",AJ86=""),"",(AJ86+Variables!$B$18-AS86)),""))</f>
        <v>4</v>
      </c>
      <c r="BE86" s="13">
        <f>IF($AX86="Cancelled","",IFERROR(IF(OR(AW86="",AS86=""),"",(AS86+Variables!$B$19)-AW86),""))</f>
        <v>-11</v>
      </c>
      <c r="BF86" s="44">
        <f>IF($AX86="Cancelled","",IFERROR(W86*INDEX(Variables!$B$7:$D$7,IFERROR(MATCH(IF($B86="Robusta","Robusta",(IF($B86="","Arabica",$B86))&amp;" - "&amp;(IF($C86="","Commercial",$C86))),Variables!$B$1:$D$1,0),1))*(BE86/365),""))</f>
        <v>-286.03380677710527</v>
      </c>
      <c r="BG86" s="44">
        <f>IF($AX86="Cancelled","",IFERROR((W86*INDEX(Variables!$B$7:$D$7,IFERROR(MATCH(IF($B86="Robusta","Robusta",(IF($B86="","Arabica",$B86))&amp;" - "&amp;(IF($C86="","Commercial",$C86))),Variables!$B$1:$D$1,0),1))*IFERROR(IF(AB86="","",(AVERAGE(E86:F86)-AB86)-Variables!$B$14),"")/365)+(L86/16.67*INDEX(Variables!$B$8:$D$8,IFERROR(MATCH(IF($B86="Robusta","Robusta",(IF($B86="","Arabica",$B86))&amp;" - "&amp;(IF($C86="","Commercial",$C86))),Variables!$B$1:$D$1,0),1))*IFERROR(IF(AB86="","",(AVERAGE(E86:F86)-AB86)-Variables!$B$14),""))+(W86*INDEX(Variables!$B$9:$D$9,IFERROR(MATCH(IF($B86="Robusta","Robusta",(IF($B86="","Arabica",$B86))&amp;" - "&amp;(IF($C86="","Commercial",$C86))),Variables!$B$1:$D$1,0),1))*IFERROR(IF(AB86="","",(AVERAGE(E86:F86)-AB86)-Variables!$B$14),"")/365),""))</f>
        <v>84.676606282428509</v>
      </c>
      <c r="BH86" s="44">
        <f>IF($AX86="Cancelled","",IFERROR((W86*INDEX(Variables!$B$7:$D$7,IFERROR(MATCH(IF($B86="Robusta","Robusta",(IF($B86="","Arabica",$B86))&amp;" - "&amp;(IF($C86="","Commercial",$C86))),Variables!$B$1:$D$1,0),1))*AK86/365)+(L86/16.67*INDEX(Variables!$B$8:$D$8,IFERROR(MATCH(IF($B86="Robusta","Robusta",(IF($B86="","Arabica",$B86))&amp;" - "&amp;(IF($C86="","Commercial",$C86))),Variables!$B$1:$D$1,0),1))*AK86)+(W86*INDEX(Variables!$B$9:$D$9,IFERROR(MATCH(IF($B86="Robusta","Robusta",(IF($B86="","Arabica",$B86))&amp;" - "&amp;(IF($C86="","Commercial",$C86))),Variables!$B$1:$D$1,0),1))*AK86/365),""))</f>
        <v>592.7362439769995</v>
      </c>
      <c r="BI86" s="44">
        <f>IF($AX86="Cancelled","",IFERROR((W86*INDEX(Variables!$B$7:$D$7,IFERROR(MATCH(IF($B86="Robusta","Robusta",(IF($B86="","Arabica",$B86))&amp;" - "&amp;(IF($C86="","Commercial",$C86))),Variables!$B$1:$D$1,0),1))*BD86/365)+(L86/16.67*INDEX(Variables!$B$8:$D$8,IFERROR(MATCH(IF($B86="Robusta","Robusta",(IF($B86="","Arabica",$B86))&amp;" - "&amp;(IF($C86="","Commercial",$C86))),Variables!$B$1:$D$1,0),1))*BD86)+(W86*INDEX(Variables!$B$9:$D$9,IFERROR(MATCH(IF($B86="Robusta","Robusta",(IF($B86="","Arabica",$B86))&amp;" - "&amp;(IF($C86="","Commercial",$C86))),Variables!$B$1:$D$1,0),1))*BD86/365),""))</f>
        <v>169.35321256485702</v>
      </c>
      <c r="BJ86" s="44">
        <f t="shared" si="5"/>
        <v>15</v>
      </c>
      <c r="BK86" s="44">
        <f>IF($AX86="Cancelled","",IFERROR(IF(BJ86="","",(W86*INDEX(Variables!$B$7:$D$7,IFERROR(MATCH(IF($B86="Robusta","Robusta",(IF($B86="","Arabica",$B86))&amp;" - "&amp;(IF($C86="","Commercial",$C86))),Variables!$B$1:$D$1,0),1))*(BJ86/365))+(W86*INDEX(Variables!$B$9:$D$9,IFERROR(MATCH(IF($B86="Robusta","Robusta",(IF($B86="","Arabica",$B86))&amp;" - "&amp;(IF($C86="","Commercial",$C86))),Variables!$B$1:$D$1,0),1))*(BJ86/365))+(INDEX(Variables!$B$8:$D$8,IFERROR(MATCH(IF($B86="Robusta","Robusta",(IF($B86="","Arabica",$B86))&amp;" - "&amp;(IF($C86="","Commercial",$C86))),Variables!$B$1:$D$1,0),1))*L86/16.67)),""))</f>
        <v>411.07454711821379</v>
      </c>
    </row>
    <row r="87" spans="1:63">
      <c r="A87" s="13" t="s">
        <v>103</v>
      </c>
      <c r="B87" s="13" t="s">
        <v>104</v>
      </c>
      <c r="C87" s="13" t="s">
        <v>105</v>
      </c>
      <c r="D87" s="31">
        <v>45665</v>
      </c>
      <c r="E87" s="31">
        <v>45689</v>
      </c>
      <c r="F87" s="31">
        <v>45716</v>
      </c>
      <c r="G87" s="13">
        <v>3786591</v>
      </c>
      <c r="H87" s="13">
        <v>93030</v>
      </c>
      <c r="J87" s="13" t="s">
        <v>118</v>
      </c>
      <c r="K87" s="13">
        <v>5157</v>
      </c>
      <c r="L87" s="13">
        <v>720</v>
      </c>
      <c r="M87" s="13">
        <v>2</v>
      </c>
      <c r="N87" s="13" t="s">
        <v>433</v>
      </c>
      <c r="O87" s="13" t="s">
        <v>153</v>
      </c>
      <c r="P87" s="13">
        <v>10110</v>
      </c>
      <c r="R87" s="13" t="s">
        <v>122</v>
      </c>
      <c r="S87" s="13" t="s">
        <v>123</v>
      </c>
      <c r="T87" s="13" t="s">
        <v>124</v>
      </c>
      <c r="U87" s="13" t="s">
        <v>125</v>
      </c>
      <c r="V87" s="13">
        <v>0</v>
      </c>
      <c r="W87" s="44">
        <f>IF($AX87="Cancelled","",IFERROR(((V87+INDEX(Variables!$B$6:$D$6,IFERROR(MATCH(IF($B87="Robusta","Robusta",(IF($B87="","Arabica",$B87))&amp;" - "&amp;(IF($C87="","Commercial",$C87))),Variables!$B$1:$D$1,0),1)))*22.0462)*(L87/16.67),""))</f>
        <v>276901.33000599878</v>
      </c>
      <c r="X87" s="55" t="s">
        <v>37</v>
      </c>
      <c r="Y87" s="13" t="str">
        <f>IF($AX87="Cancelled","",IF(X87="","",IFERROR(IF(INDEX(Variables!$B$38:$B$47,MATCH(X87,Variables!$A$38:$A$47,0))="Yes","Yes","No"),"No")))</f>
        <v>Yes</v>
      </c>
      <c r="Z87" s="58">
        <v>45671</v>
      </c>
      <c r="AB87" s="31">
        <v>45688</v>
      </c>
      <c r="AC87" s="13" t="str">
        <f t="shared" si="3"/>
        <v>Approved</v>
      </c>
      <c r="AF87" s="71">
        <v>45715</v>
      </c>
      <c r="AG87" s="35">
        <f>IF($AX87="Cancelled","",IFERROR(IF(F87="","",F87-Variables!$B$13),""))</f>
        <v>45701</v>
      </c>
      <c r="AH87" s="13">
        <f>IF($AX87="Cancelled","",IFERROR(IF(AB87="","",(AVERAGE(E87:F87)-AB87)-Variables!$B$14),""))</f>
        <v>-15.5</v>
      </c>
      <c r="AJ87" s="47">
        <v>45716</v>
      </c>
      <c r="AK87" s="14">
        <f>IF($AX87="Cancelled","",IFERROR(IF(AJ87="","",IF(AND(AB87="",AF87=""),"",IF(AF87&gt;AB87,AF87+Variables!$B$15+Variables!$B$16+Variables!$B$17-AJ87,AB87+Variables!$B$16+Variables!$B$17-AJ87))),""))</f>
        <v>14</v>
      </c>
      <c r="AL87" s="48" t="s">
        <v>114</v>
      </c>
      <c r="AM87" s="13" t="s">
        <v>141</v>
      </c>
      <c r="AN87" s="13" t="s">
        <v>146</v>
      </c>
      <c r="AP87" s="31">
        <v>45732</v>
      </c>
      <c r="AR87" s="13" t="s">
        <v>434</v>
      </c>
      <c r="AS87" s="31">
        <v>45732</v>
      </c>
      <c r="AU87" s="31">
        <v>45735</v>
      </c>
      <c r="AV87" s="13" t="s">
        <v>865</v>
      </c>
      <c r="AW87" s="31">
        <v>45735</v>
      </c>
      <c r="AX87" s="13" t="str">
        <f>IF(ISNUMBER(SEARCH("cancel",#REF!)),"Cancelled",IF(AND(AS87&lt;&gt;"",AU87&lt;&gt;"",AW87&lt;&gt;""),"Closed","Open"))</f>
        <v>Closed</v>
      </c>
      <c r="AY87" s="15" t="str">
        <f t="shared" si="4"/>
        <v>All dates received</v>
      </c>
      <c r="BD87" s="13">
        <f>IF($AX87="Cancelled","",IFERROR(IF(OR(AS87="",AJ87=""),"",(AJ87+Variables!$B$18-AS87)),""))</f>
        <v>-1</v>
      </c>
      <c r="BE87" s="13">
        <f>IF($AX87="Cancelled","",IFERROR(IF(OR(AW87="",AS87=""),"",(AS87+Variables!$B$19)-AW87),""))</f>
        <v>2</v>
      </c>
      <c r="BF87" s="44">
        <f>IF($AX87="Cancelled","",IFERROR(W87*INDEX(Variables!$B$7:$D$7,IFERROR(MATCH(IF($B87="Robusta","Robusta",(IF($B87="","Arabica",$B87))&amp;" - "&amp;(IF($C87="","Commercial",$C87))),Variables!$B$1:$D$1,0),1))*(BE87/365),""))</f>
        <v>97.836750365549676</v>
      </c>
      <c r="BG87" s="44">
        <f>IF($AX87="Cancelled","",IFERROR((W87*INDEX(Variables!$B$7:$D$7,IFERROR(MATCH(IF($B87="Robusta","Robusta",(IF($B87="","Arabica",$B87))&amp;" - "&amp;(IF($C87="","Commercial",$C87))),Variables!$B$1:$D$1,0),1))*IFERROR(IF(AB87="","",(AVERAGE(E87:F87)-AB87)-Variables!$B$14),"")/365)+(L87/16.67*INDEX(Variables!$B$8:$D$8,IFERROR(MATCH(IF($B87="Robusta","Robusta",(IF($B87="","Arabica",$B87))&amp;" - "&amp;(IF($C87="","Commercial",$C87))),Variables!$B$1:$D$1,0),1))*IFERROR(IF(AB87="","",(AVERAGE(E87:F87)-AB87)-Variables!$B$14),""))+(W87*INDEX(Variables!$B$9:$D$9,IFERROR(MATCH(IF($B87="Robusta","Robusta",(IF($B87="","Arabica",$B87))&amp;" - "&amp;(IF($C87="","Commercial",$C87))),Variables!$B$1:$D$1,0),1))*IFERROR(IF(AB87="","",(AVERAGE(E87:F87)-AB87)-Variables!$B$14),"")/365),""))</f>
        <v>-1326.0099253941794</v>
      </c>
      <c r="BH87" s="44">
        <f>IF($AX87="Cancelled","",IFERROR((W87*INDEX(Variables!$B$7:$D$7,IFERROR(MATCH(IF($B87="Robusta","Robusta",(IF($B87="","Arabica",$B87))&amp;" - "&amp;(IF($C87="","Commercial",$C87))),Variables!$B$1:$D$1,0),1))*AK87/365)+(L87/16.67*INDEX(Variables!$B$8:$D$8,IFERROR(MATCH(IF($B87="Robusta","Robusta",(IF($B87="","Arabica",$B87))&amp;" - "&amp;(IF($C87="","Commercial",$C87))),Variables!$B$1:$D$1,0),1))*AK87)+(W87*INDEX(Variables!$B$9:$D$9,IFERROR(MATCH(IF($B87="Robusta","Robusta",(IF($B87="","Arabica",$B87))&amp;" - "&amp;(IF($C87="","Commercial",$C87))),Variables!$B$1:$D$1,0),1))*AK87/365),""))</f>
        <v>1197.6863842270009</v>
      </c>
      <c r="BI87" s="44">
        <f>IF($AX87="Cancelled","",IFERROR((W87*INDEX(Variables!$B$7:$D$7,IFERROR(MATCH(IF($B87="Robusta","Robusta",(IF($B87="","Arabica",$B87))&amp;" - "&amp;(IF($C87="","Commercial",$C87))),Variables!$B$1:$D$1,0),1))*BD87/365)+(L87/16.67*INDEX(Variables!$B$8:$D$8,IFERROR(MATCH(IF($B87="Robusta","Robusta",(IF($B87="","Arabica",$B87))&amp;" - "&amp;(IF($C87="","Commercial",$C87))),Variables!$B$1:$D$1,0),1))*BD87)+(W87*INDEX(Variables!$B$9:$D$9,IFERROR(MATCH(IF($B87="Robusta","Robusta",(IF($B87="","Arabica",$B87))&amp;" - "&amp;(IF($C87="","Commercial",$C87))),Variables!$B$1:$D$1,0),1))*BD87/365),""))</f>
        <v>-85.549027444785764</v>
      </c>
      <c r="BJ87" s="44">
        <f t="shared" si="5"/>
        <v>-16</v>
      </c>
      <c r="BK87" s="44">
        <f>IF($AX87="Cancelled","",IFERROR(IF(BJ87="","",(W87*INDEX(Variables!$B$7:$D$7,IFERROR(MATCH(IF($B87="Robusta","Robusta",(IF($B87="","Arabica",$B87))&amp;" - "&amp;(IF($C87="","Commercial",$C87))),Variables!$B$1:$D$1,0),1))*(BJ87/365))+(W87*INDEX(Variables!$B$9:$D$9,IFERROR(MATCH(IF($B87="Robusta","Robusta",(IF($B87="","Arabica",$B87))&amp;" - "&amp;(IF($C87="","Commercial",$C87))),Variables!$B$1:$D$1,0),1))*(BJ87/365))+(INDEX(Variables!$B$8:$D$8,IFERROR(MATCH(IF($B87="Robusta","Robusta",(IF($B87="","Arabica",$B87))&amp;" - "&amp;(IF($C87="","Commercial",$C87))),Variables!$B$1:$D$1,0),1))*L87/16.67)),""))</f>
        <v>-756.78443911657223</v>
      </c>
    </row>
    <row r="88" spans="1:63">
      <c r="A88" s="13" t="s">
        <v>103</v>
      </c>
      <c r="B88" s="13" t="s">
        <v>104</v>
      </c>
      <c r="C88" s="13" t="s">
        <v>105</v>
      </c>
      <c r="D88" s="31">
        <v>45666</v>
      </c>
      <c r="E88" s="31">
        <v>45717</v>
      </c>
      <c r="F88" s="31">
        <v>45747</v>
      </c>
      <c r="G88" s="13">
        <v>3786592</v>
      </c>
      <c r="J88" s="13" t="s">
        <v>118</v>
      </c>
      <c r="K88" s="13" t="s">
        <v>435</v>
      </c>
      <c r="L88" s="13">
        <v>180</v>
      </c>
      <c r="M88" s="13">
        <v>1</v>
      </c>
      <c r="N88" s="13" t="s">
        <v>436</v>
      </c>
      <c r="O88" s="13" t="s">
        <v>269</v>
      </c>
      <c r="P88" s="13">
        <v>10310</v>
      </c>
      <c r="Q88" s="59" t="s">
        <v>270</v>
      </c>
      <c r="R88" s="13" t="s">
        <v>239</v>
      </c>
      <c r="S88" s="13" t="s">
        <v>437</v>
      </c>
      <c r="T88" s="13" t="s">
        <v>438</v>
      </c>
      <c r="U88" s="13" t="s">
        <v>182</v>
      </c>
      <c r="V88" s="13">
        <v>77.3</v>
      </c>
      <c r="W88" s="44">
        <f>IF($AX88="Cancelled","",IFERROR(((V88+INDEX(Variables!$B$6:$D$6,IFERROR(MATCH(IF($B88="Robusta","Robusta",(IF($B88="","Arabica",$B88))&amp;" - "&amp;(IF($C88="","Commercial",$C88))),Variables!$B$1:$D$1,0),1)))*22.0462)*(L88/16.67),""))</f>
        <v>87626.701835632863</v>
      </c>
      <c r="X88" s="55" t="s">
        <v>37</v>
      </c>
      <c r="Y88" s="13" t="str">
        <f>IF($AX88="Cancelled","",IF(X88="","",IFERROR(IF(INDEX(Variables!$B$38:$B$47,MATCH(X88,Variables!$A$38:$A$47,0))="Yes","Yes","No"),"No")))</f>
        <v>Yes</v>
      </c>
      <c r="Z88" s="58">
        <v>45677</v>
      </c>
      <c r="AB88" s="31">
        <v>45686</v>
      </c>
      <c r="AC88" s="13" t="str">
        <f t="shared" si="3"/>
        <v>Approved</v>
      </c>
      <c r="AF88" s="71">
        <v>45698</v>
      </c>
      <c r="AG88" s="35">
        <f>IF($AX88="Cancelled","",IFERROR(IF(F88="","",F88-Variables!$B$13),""))</f>
        <v>45732</v>
      </c>
      <c r="AH88" s="13">
        <f>IF($AX88="Cancelled","",IFERROR(IF(AB88="","",(AVERAGE(E88:F88)-AB88)-Variables!$B$14),""))</f>
        <v>16</v>
      </c>
      <c r="AJ88" s="47">
        <v>45713</v>
      </c>
      <c r="AK88" s="14">
        <f>IF($AX88="Cancelled","",IFERROR(IF(AJ88="","",IF(AND(AB88="",AF88=""),"",IF(AF88&gt;AB88,AF88+Variables!$B$15+Variables!$B$16+Variables!$B$17-AJ88,AB88+Variables!$B$16+Variables!$B$17-AJ88))),""))</f>
        <v>0</v>
      </c>
      <c r="AL88" s="48" t="s">
        <v>114</v>
      </c>
      <c r="AM88" s="13" t="s">
        <v>115</v>
      </c>
      <c r="AN88" s="13" t="s">
        <v>290</v>
      </c>
      <c r="AP88" s="31">
        <v>45726</v>
      </c>
      <c r="AR88" s="13">
        <v>250231283</v>
      </c>
      <c r="AS88" s="31">
        <v>45726</v>
      </c>
      <c r="AU88" s="31">
        <v>45730</v>
      </c>
      <c r="AV88" s="13" t="s">
        <v>865</v>
      </c>
      <c r="AW88" s="31">
        <v>45741</v>
      </c>
      <c r="AX88" s="13" t="str">
        <f>IF(ISNUMBER(SEARCH("cancel",#REF!)),"Cancelled",IF(AND(AS88&lt;&gt;"",AU88&lt;&gt;"",AW88&lt;&gt;""),"Closed","Open"))</f>
        <v>Closed</v>
      </c>
      <c r="AY88" s="15" t="str">
        <f t="shared" si="4"/>
        <v>All dates received</v>
      </c>
      <c r="BD88" s="13">
        <f>IF($AX88="Cancelled","",IFERROR(IF(OR(AS88="",AJ88=""),"",(AJ88+Variables!$B$18-AS88)),""))</f>
        <v>2</v>
      </c>
      <c r="BE88" s="13">
        <f>IF($AX88="Cancelled","",IFERROR(IF(OR(AW88="",AS88=""),"",(AS88+Variables!$B$19)-AW88),""))</f>
        <v>-10</v>
      </c>
      <c r="BF88" s="44">
        <f>IF($AX88="Cancelled","",IFERROR(W88*INDEX(Variables!$B$7:$D$7,IFERROR(MATCH(IF($B88="Robusta","Robusta",(IF($B88="","Arabica",$B88))&amp;" - "&amp;(IF($C88="","Commercial",$C88))),Variables!$B$1:$D$1,0),1))*(BE88/365),""))</f>
        <v>-154.80445241385331</v>
      </c>
      <c r="BG88" s="44">
        <f>IF($AX88="Cancelled","",IFERROR((W88*INDEX(Variables!$B$7:$D$7,IFERROR(MATCH(IF($B88="Robusta","Robusta",(IF($B88="","Arabica",$B88))&amp;" - "&amp;(IF($C88="","Commercial",$C88))),Variables!$B$1:$D$1,0),1))*IFERROR(IF(AB88="","",(AVERAGE(E88:F88)-AB88)-Variables!$B$14),"")/365)+(L88/16.67*INDEX(Variables!$B$8:$D$8,IFERROR(MATCH(IF($B88="Robusta","Robusta",(IF($B88="","Arabica",$B88))&amp;" - "&amp;(IF($C88="","Commercial",$C88))),Variables!$B$1:$D$1,0),1))*IFERROR(IF(AB88="","",(AVERAGE(E88:F88)-AB88)-Variables!$B$14),""))+(W88*INDEX(Variables!$B$9:$D$9,IFERROR(MATCH(IF($B88="Robusta","Robusta",(IF($B88="","Arabica",$B88))&amp;" - "&amp;(IF($C88="","Commercial",$C88))),Variables!$B$1:$D$1,0),1))*IFERROR(IF(AB88="","",(AVERAGE(E88:F88)-AB88)-Variables!$B$14),"")/365),""))</f>
        <v>394.88028889168692</v>
      </c>
      <c r="BH88" s="44">
        <f>IF($AX88="Cancelled","",IFERROR((W88*INDEX(Variables!$B$7:$D$7,IFERROR(MATCH(IF($B88="Robusta","Robusta",(IF($B88="","Arabica",$B88))&amp;" - "&amp;(IF($C88="","Commercial",$C88))),Variables!$B$1:$D$1,0),1))*AK88/365)+(L88/16.67*INDEX(Variables!$B$8:$D$8,IFERROR(MATCH(IF($B88="Robusta","Robusta",(IF($B88="","Arabica",$B88))&amp;" - "&amp;(IF($C88="","Commercial",$C88))),Variables!$B$1:$D$1,0),1))*AK88)+(W88*INDEX(Variables!$B$9:$D$9,IFERROR(MATCH(IF($B88="Robusta","Robusta",(IF($B88="","Arabica",$B88))&amp;" - "&amp;(IF($C88="","Commercial",$C88))),Variables!$B$1:$D$1,0),1))*AK88/365),""))</f>
        <v>0</v>
      </c>
      <c r="BI88" s="44">
        <f>IF($AX88="Cancelled","",IFERROR((W88*INDEX(Variables!$B$7:$D$7,IFERROR(MATCH(IF($B88="Robusta","Robusta",(IF($B88="","Arabica",$B88))&amp;" - "&amp;(IF($C88="","Commercial",$C88))),Variables!$B$1:$D$1,0),1))*BD88/365)+(L88/16.67*INDEX(Variables!$B$8:$D$8,IFERROR(MATCH(IF($B88="Robusta","Robusta",(IF($B88="","Arabica",$B88))&amp;" - "&amp;(IF($C88="","Commercial",$C88))),Variables!$B$1:$D$1,0),1))*BD88)+(W88*INDEX(Variables!$B$9:$D$9,IFERROR(MATCH(IF($B88="Robusta","Robusta",(IF($B88="","Arabica",$B88))&amp;" - "&amp;(IF($C88="","Commercial",$C88))),Variables!$B$1:$D$1,0),1))*BD88/365),""))</f>
        <v>49.360036111460865</v>
      </c>
      <c r="BJ88" s="44">
        <f t="shared" si="5"/>
        <v>21</v>
      </c>
      <c r="BK88" s="44">
        <f>IF($AX88="Cancelled","",IFERROR(IF(BJ88="","",(W88*INDEX(Variables!$B$7:$D$7,IFERROR(MATCH(IF($B88="Robusta","Robusta",(IF($B88="","Arabica",$B88))&amp;" - "&amp;(IF($C88="","Commercial",$C88))),Variables!$B$1:$D$1,0),1))*(BJ88/365))+(W88*INDEX(Variables!$B$9:$D$9,IFERROR(MATCH(IF($B88="Robusta","Robusta",(IF($B88="","Arabica",$B88))&amp;" - "&amp;(IF($C88="","Commercial",$C88))),Variables!$B$1:$D$1,0),1))*(BJ88/365))+(INDEX(Variables!$B$8:$D$8,IFERROR(MATCH(IF($B88="Robusta","Robusta",(IF($B88="","Arabica",$B88))&amp;" - "&amp;(IF($C88="","Commercial",$C88))),Variables!$B$1:$D$1,0),1))*L88/16.67)),""))</f>
        <v>338.28037917033907</v>
      </c>
    </row>
    <row r="89" spans="1:63">
      <c r="A89" s="13" t="s">
        <v>103</v>
      </c>
      <c r="B89" s="13" t="s">
        <v>104</v>
      </c>
      <c r="C89" s="13" t="s">
        <v>105</v>
      </c>
      <c r="D89" s="31">
        <v>45666</v>
      </c>
      <c r="E89" s="31">
        <v>45717</v>
      </c>
      <c r="F89" s="31">
        <v>45747</v>
      </c>
      <c r="G89" s="13">
        <v>3786592</v>
      </c>
      <c r="J89" s="13" t="s">
        <v>118</v>
      </c>
      <c r="K89" s="13" t="s">
        <v>439</v>
      </c>
      <c r="L89" s="13">
        <v>48</v>
      </c>
      <c r="M89" s="13">
        <v>0</v>
      </c>
      <c r="N89" s="13" t="s">
        <v>436</v>
      </c>
      <c r="O89" s="13" t="s">
        <v>269</v>
      </c>
      <c r="P89" s="13">
        <v>10310</v>
      </c>
      <c r="Q89" s="59" t="s">
        <v>270</v>
      </c>
      <c r="R89" s="13" t="s">
        <v>239</v>
      </c>
      <c r="S89" s="13" t="s">
        <v>154</v>
      </c>
      <c r="T89" s="13" t="s">
        <v>155</v>
      </c>
      <c r="U89" s="13" t="s">
        <v>125</v>
      </c>
      <c r="V89" s="13">
        <v>77.3</v>
      </c>
      <c r="W89" s="44">
        <f>IF($AX89="Cancelled","",IFERROR(((V89+INDEX(Variables!$B$6:$D$6,IFERROR(MATCH(IF($B89="Robusta","Robusta",(IF($B89="","Arabica",$B89))&amp;" - "&amp;(IF($C89="","Commercial",$C89))),Variables!$B$1:$D$1,0),1)))*22.0462)*(L89/16.67),""))</f>
        <v>23367.120489502096</v>
      </c>
      <c r="X89" s="55" t="s">
        <v>37</v>
      </c>
      <c r="Y89" s="13" t="str">
        <f>IF($AX89="Cancelled","",IF(X89="","",IFERROR(IF(INDEX(Variables!$B$38:$B$47,MATCH(X89,Variables!$A$38:$A$47,0))="Yes","Yes","No"),"No")))</f>
        <v>Yes</v>
      </c>
      <c r="Z89" s="58">
        <v>45677</v>
      </c>
      <c r="AB89" s="31">
        <v>45686</v>
      </c>
      <c r="AC89" s="13" t="str">
        <f t="shared" si="3"/>
        <v>Approved</v>
      </c>
      <c r="AF89" s="71">
        <v>45698</v>
      </c>
      <c r="AG89" s="35">
        <f>IF($AX89="Cancelled","",IFERROR(IF(F89="","",F89-Variables!$B$13),""))</f>
        <v>45732</v>
      </c>
      <c r="AH89" s="13">
        <f>IF($AX89="Cancelled","",IFERROR(IF(AB89="","",(AVERAGE(E89:F89)-AB89)-Variables!$B$14),""))</f>
        <v>16</v>
      </c>
      <c r="AJ89" s="47">
        <v>45713</v>
      </c>
      <c r="AK89" s="14">
        <f>IF($AX89="Cancelled","",IFERROR(IF(AJ89="","",IF(AND(AB89="",AF89=""),"",IF(AF89&gt;AB89,AF89+Variables!$B$15+Variables!$B$16+Variables!$B$17-AJ89,AB89+Variables!$B$16+Variables!$B$17-AJ89))),""))</f>
        <v>0</v>
      </c>
      <c r="AL89" s="48" t="s">
        <v>114</v>
      </c>
      <c r="AM89" s="13" t="s">
        <v>115</v>
      </c>
      <c r="AN89" s="13" t="s">
        <v>290</v>
      </c>
      <c r="AP89" s="31">
        <v>45726</v>
      </c>
      <c r="AR89" s="13">
        <v>250231283</v>
      </c>
      <c r="AS89" s="31">
        <v>45726</v>
      </c>
      <c r="AU89" s="31">
        <v>45730</v>
      </c>
      <c r="AV89" s="13" t="s">
        <v>865</v>
      </c>
      <c r="AW89" s="31">
        <v>45736</v>
      </c>
      <c r="AX89" s="13" t="str">
        <f>IF(ISNUMBER(SEARCH("cancel",#REF!)),"Cancelled",IF(AND(AS89&lt;&gt;"",AU89&lt;&gt;"",AW89&lt;&gt;""),"Closed","Open"))</f>
        <v>Closed</v>
      </c>
      <c r="AY89" s="15" t="str">
        <f t="shared" si="4"/>
        <v>All dates received</v>
      </c>
      <c r="BD89" s="13">
        <f>IF($AX89="Cancelled","",IFERROR(IF(OR(AS89="",AJ89=""),"",(AJ89+Variables!$B$18-AS89)),""))</f>
        <v>2</v>
      </c>
      <c r="BE89" s="13">
        <f>IF($AX89="Cancelled","",IFERROR(IF(OR(AW89="",AS89=""),"",(AS89+Variables!$B$19)-AW89),""))</f>
        <v>-5</v>
      </c>
      <c r="BF89" s="44">
        <f>IF($AX89="Cancelled","",IFERROR(W89*INDEX(Variables!$B$7:$D$7,IFERROR(MATCH(IF($B89="Robusta","Robusta",(IF($B89="","Arabica",$B89))&amp;" - "&amp;(IF($C89="","Commercial",$C89))),Variables!$B$1:$D$1,0),1))*(BE89/365),""))</f>
        <v>-20.640593655180439</v>
      </c>
      <c r="BG89" s="44">
        <f>IF($AX89="Cancelled","",IFERROR((W89*INDEX(Variables!$B$7:$D$7,IFERROR(MATCH(IF($B89="Robusta","Robusta",(IF($B89="","Arabica",$B89))&amp;" - "&amp;(IF($C89="","Commercial",$C89))),Variables!$B$1:$D$1,0),1))*IFERROR(IF(AB89="","",(AVERAGE(E89:F89)-AB89)-Variables!$B$14),"")/365)+(L89/16.67*INDEX(Variables!$B$8:$D$8,IFERROR(MATCH(IF($B89="Robusta","Robusta",(IF($B89="","Arabica",$B89))&amp;" - "&amp;(IF($C89="","Commercial",$C89))),Variables!$B$1:$D$1,0),1))*IFERROR(IF(AB89="","",(AVERAGE(E89:F89)-AB89)-Variables!$B$14),""))+(W89*INDEX(Variables!$B$9:$D$9,IFERROR(MATCH(IF($B89="Robusta","Robusta",(IF($B89="","Arabica",$B89))&amp;" - "&amp;(IF($C89="","Commercial",$C89))),Variables!$B$1:$D$1,0),1))*IFERROR(IF(AB89="","",(AVERAGE(E89:F89)-AB89)-Variables!$B$14),"")/365),""))</f>
        <v>105.3014103711165</v>
      </c>
      <c r="BH89" s="44">
        <f>IF($AX89="Cancelled","",IFERROR((W89*INDEX(Variables!$B$7:$D$7,IFERROR(MATCH(IF($B89="Robusta","Robusta",(IF($B89="","Arabica",$B89))&amp;" - "&amp;(IF($C89="","Commercial",$C89))),Variables!$B$1:$D$1,0),1))*AK89/365)+(L89/16.67*INDEX(Variables!$B$8:$D$8,IFERROR(MATCH(IF($B89="Robusta","Robusta",(IF($B89="","Arabica",$B89))&amp;" - "&amp;(IF($C89="","Commercial",$C89))),Variables!$B$1:$D$1,0),1))*AK89)+(W89*INDEX(Variables!$B$9:$D$9,IFERROR(MATCH(IF($B89="Robusta","Robusta",(IF($B89="","Arabica",$B89))&amp;" - "&amp;(IF($C89="","Commercial",$C89))),Variables!$B$1:$D$1,0),1))*AK89/365),""))</f>
        <v>0</v>
      </c>
      <c r="BI89" s="44">
        <f>IF($AX89="Cancelled","",IFERROR((W89*INDEX(Variables!$B$7:$D$7,IFERROR(MATCH(IF($B89="Robusta","Robusta",(IF($B89="","Arabica",$B89))&amp;" - "&amp;(IF($C89="","Commercial",$C89))),Variables!$B$1:$D$1,0),1))*BD89/365)+(L89/16.67*INDEX(Variables!$B$8:$D$8,IFERROR(MATCH(IF($B89="Robusta","Robusta",(IF($B89="","Arabica",$B89))&amp;" - "&amp;(IF($C89="","Commercial",$C89))),Variables!$B$1:$D$1,0),1))*BD89)+(W89*INDEX(Variables!$B$9:$D$9,IFERROR(MATCH(IF($B89="Robusta","Robusta",(IF($B89="","Arabica",$B89))&amp;" - "&amp;(IF($C89="","Commercial",$C89))),Variables!$B$1:$D$1,0),1))*BD89/365),""))</f>
        <v>13.162676296389563</v>
      </c>
      <c r="BJ89" s="44">
        <f t="shared" si="5"/>
        <v>21</v>
      </c>
      <c r="BK89" s="44">
        <f>IF($AX89="Cancelled","",IFERROR(IF(BJ89="","",(W89*INDEX(Variables!$B$7:$D$7,IFERROR(MATCH(IF($B89="Robusta","Robusta",(IF($B89="","Arabica",$B89))&amp;" - "&amp;(IF($C89="","Commercial",$C89))),Variables!$B$1:$D$1,0),1))*(BJ89/365))+(W89*INDEX(Variables!$B$9:$D$9,IFERROR(MATCH(IF($B89="Robusta","Robusta",(IF($B89="","Arabica",$B89))&amp;" - "&amp;(IF($C89="","Commercial",$C89))),Variables!$B$1:$D$1,0),1))*(BJ89/365))+(INDEX(Variables!$B$8:$D$8,IFERROR(MATCH(IF($B89="Robusta","Robusta",(IF($B89="","Arabica",$B89))&amp;" - "&amp;(IF($C89="","Commercial",$C89))),Variables!$B$1:$D$1,0),1))*L89/16.67)),""))</f>
        <v>90.208101112090418</v>
      </c>
    </row>
    <row r="90" spans="1:63">
      <c r="A90" s="13" t="s">
        <v>103</v>
      </c>
      <c r="B90" s="13" t="s">
        <v>104</v>
      </c>
      <c r="C90" s="13" t="s">
        <v>105</v>
      </c>
      <c r="D90" s="31">
        <v>45667</v>
      </c>
      <c r="E90" s="31">
        <v>45717</v>
      </c>
      <c r="F90" s="31">
        <v>45747</v>
      </c>
      <c r="G90" s="13">
        <v>3786593</v>
      </c>
      <c r="H90" s="13" t="s">
        <v>440</v>
      </c>
      <c r="J90" s="13" t="s">
        <v>118</v>
      </c>
      <c r="K90" s="13">
        <v>5199</v>
      </c>
      <c r="L90" s="13">
        <v>1</v>
      </c>
      <c r="M90" s="13">
        <v>0</v>
      </c>
      <c r="N90" s="13" t="s">
        <v>441</v>
      </c>
      <c r="O90" s="13" t="s">
        <v>269</v>
      </c>
      <c r="P90" s="13">
        <v>10310</v>
      </c>
      <c r="Q90" s="59" t="s">
        <v>270</v>
      </c>
      <c r="R90" s="13" t="s">
        <v>239</v>
      </c>
      <c r="S90" s="13" t="s">
        <v>442</v>
      </c>
      <c r="T90" s="13" t="s">
        <v>112</v>
      </c>
      <c r="U90" s="13" t="s">
        <v>113</v>
      </c>
      <c r="V90" s="13">
        <v>77.3</v>
      </c>
      <c r="W90" s="44">
        <f>IF($AX90="Cancelled","",IFERROR(((V90+INDEX(Variables!$B$6:$D$6,IFERROR(MATCH(IF($B90="Robusta","Robusta",(IF($B90="","Arabica",$B90))&amp;" - "&amp;(IF($C90="","Commercial",$C90))),Variables!$B$1:$D$1,0),1)))*22.0462)*(L90/16.67),""))</f>
        <v>486.81501019796036</v>
      </c>
      <c r="X90" s="55" t="s">
        <v>37</v>
      </c>
      <c r="Y90" s="13" t="str">
        <f>IF($AX90="Cancelled","",IF(X90="","",IFERROR(IF(INDEX(Variables!$B$38:$B$47,MATCH(X90,Variables!$A$38:$A$47,0))="Yes","Yes","No"),"No")))</f>
        <v>Yes</v>
      </c>
      <c r="Z90" s="58">
        <v>45687</v>
      </c>
      <c r="AB90" s="31" t="s">
        <v>443</v>
      </c>
      <c r="AC90" s="13" t="str">
        <f t="shared" si="3"/>
        <v/>
      </c>
      <c r="AF90" s="71">
        <v>45698</v>
      </c>
      <c r="AG90" s="35">
        <f>IF($AX90="Cancelled","",IFERROR(IF(F90="","",F90-Variables!$B$13),""))</f>
        <v>45732</v>
      </c>
      <c r="AH90" s="13" t="str">
        <f>IF($AX90="Cancelled","",IFERROR(IF(AB90="","",(AVERAGE(E90:F90)-AB90)-Variables!$B$14),""))</f>
        <v/>
      </c>
      <c r="AJ90" s="47">
        <v>45728</v>
      </c>
      <c r="AK90" s="14" t="str">
        <f>IF($AX90="Cancelled","",IFERROR(IF(AJ90="","",IF(AND(AB90="",AF90=""),"",IF(AF90&gt;AB90,AF90+Variables!$B$15+Variables!$B$16+Variables!$B$17-AJ90,AB90+Variables!$B$16+Variables!$B$17-AJ90))),""))</f>
        <v/>
      </c>
      <c r="AL90" s="48" t="s">
        <v>444</v>
      </c>
      <c r="AM90" s="13" t="s">
        <v>445</v>
      </c>
      <c r="AN90" s="13" t="s">
        <v>445</v>
      </c>
      <c r="AP90" s="31">
        <v>45730</v>
      </c>
      <c r="AR90" s="13" t="s">
        <v>445</v>
      </c>
      <c r="AS90" s="31">
        <v>45730</v>
      </c>
      <c r="AU90" s="31">
        <v>45730</v>
      </c>
      <c r="AV90" s="13" t="s">
        <v>865</v>
      </c>
      <c r="AW90" s="31">
        <v>45730</v>
      </c>
      <c r="AX90" s="13" t="str">
        <f>IF(ISNUMBER(SEARCH("cancel",#REF!)),"Cancelled",IF(AND(AS90&lt;&gt;"",AU90&lt;&gt;"",AW90&lt;&gt;""),"Closed","Open"))</f>
        <v>Closed</v>
      </c>
      <c r="AY90" s="15" t="str">
        <f t="shared" si="4"/>
        <v>All dates received</v>
      </c>
      <c r="BD90" s="13">
        <f>IF($AX90="Cancelled","",IFERROR(IF(OR(AS90="",AJ90=""),"",(AJ90+Variables!$B$18-AS90)),""))</f>
        <v>13</v>
      </c>
      <c r="BE90" s="13">
        <f>IF($AX90="Cancelled","",IFERROR(IF(OR(AW90="",AS90=""),"",(AS90+Variables!$B$19)-AW90),""))</f>
        <v>5</v>
      </c>
      <c r="BF90" s="44">
        <f>IF($AX90="Cancelled","",IFERROR(W90*INDEX(Variables!$B$7:$D$7,IFERROR(MATCH(IF($B90="Robusta","Robusta",(IF($B90="","Arabica",$B90))&amp;" - "&amp;(IF($C90="","Commercial",$C90))),Variables!$B$1:$D$1,0),1))*(BE90/365),""))</f>
        <v>0.43001236781625918</v>
      </c>
      <c r="BG90" s="44" t="str">
        <f>IF($AX90="Cancelled","",IFERROR((W90*INDEX(Variables!$B$7:$D$7,IFERROR(MATCH(IF($B90="Robusta","Robusta",(IF($B90="","Arabica",$B90))&amp;" - "&amp;(IF($C90="","Commercial",$C90))),Variables!$B$1:$D$1,0),1))*IFERROR(IF(AB90="","",(AVERAGE(E90:F90)-AB90)-Variables!$B$14),"")/365)+(L90/16.67*INDEX(Variables!$B$8:$D$8,IFERROR(MATCH(IF($B90="Robusta","Robusta",(IF($B90="","Arabica",$B90))&amp;" - "&amp;(IF($C90="","Commercial",$C90))),Variables!$B$1:$D$1,0),1))*IFERROR(IF(AB90="","",(AVERAGE(E90:F90)-AB90)-Variables!$B$14),""))+(W90*INDEX(Variables!$B$9:$D$9,IFERROR(MATCH(IF($B90="Robusta","Robusta",(IF($B90="","Arabica",$B90))&amp;" - "&amp;(IF($C90="","Commercial",$C90))),Variables!$B$1:$D$1,0),1))*IFERROR(IF(AB90="","",(AVERAGE(E90:F90)-AB90)-Variables!$B$14),"")/365),""))</f>
        <v/>
      </c>
      <c r="BH90" s="44" t="str">
        <f>IF($AX90="Cancelled","",IFERROR((W90*INDEX(Variables!$B$7:$D$7,IFERROR(MATCH(IF($B90="Robusta","Robusta",(IF($B90="","Arabica",$B90))&amp;" - "&amp;(IF($C90="","Commercial",$C90))),Variables!$B$1:$D$1,0),1))*AK90/365)+(L90/16.67*INDEX(Variables!$B$8:$D$8,IFERROR(MATCH(IF($B90="Robusta","Robusta",(IF($B90="","Arabica",$B90))&amp;" - "&amp;(IF($C90="","Commercial",$C90))),Variables!$B$1:$D$1,0),1))*AK90)+(W90*INDEX(Variables!$B$9:$D$9,IFERROR(MATCH(IF($B90="Robusta","Robusta",(IF($B90="","Arabica",$B90))&amp;" - "&amp;(IF($C90="","Commercial",$C90))),Variables!$B$1:$D$1,0),1))*AK90/365),""))</f>
        <v/>
      </c>
      <c r="BI90" s="44">
        <f>IF($AX90="Cancelled","",IFERROR((W90*INDEX(Variables!$B$7:$D$7,IFERROR(MATCH(IF($B90="Robusta","Robusta",(IF($B90="","Arabica",$B90))&amp;" - "&amp;(IF($C90="","Commercial",$C90))),Variables!$B$1:$D$1,0),1))*BD90/365)+(L90/16.67*INDEX(Variables!$B$8:$D$8,IFERROR(MATCH(IF($B90="Robusta","Robusta",(IF($B90="","Arabica",$B90))&amp;" - "&amp;(IF($C90="","Commercial",$C90))),Variables!$B$1:$D$1,0),1))*BD90)+(W90*INDEX(Variables!$B$9:$D$9,IFERROR(MATCH(IF($B90="Robusta","Robusta",(IF($B90="","Arabica",$B90))&amp;" - "&amp;(IF($C90="","Commercial",$C90))),Variables!$B$1:$D$1,0),1))*BD90/365),""))</f>
        <v>1.7824457484694203</v>
      </c>
      <c r="BJ90" s="44">
        <f t="shared" si="5"/>
        <v>17</v>
      </c>
      <c r="BK90" s="44">
        <f>IF($AX90="Cancelled","",IFERROR(IF(BJ90="","",(W90*INDEX(Variables!$B$7:$D$7,IFERROR(MATCH(IF($B90="Robusta","Robusta",(IF($B90="","Arabica",$B90))&amp;" - "&amp;(IF($C90="","Commercial",$C90))),Variables!$B$1:$D$1,0),1))*(BJ90/365))+(W90*INDEX(Variables!$B$9:$D$9,IFERROR(MATCH(IF($B90="Robusta","Robusta",(IF($B90="","Arabica",$B90))&amp;" - "&amp;(IF($C90="","Commercial",$C90))),Variables!$B$1:$D$1,0),1))*(BJ90/365))+(INDEX(Variables!$B$8:$D$8,IFERROR(MATCH(IF($B90="Robusta","Robusta",(IF($B90="","Arabica",$B90))&amp;" - "&amp;(IF($C90="","Commercial",$C90))),Variables!$B$1:$D$1,0),1))*L90/16.67)),""))</f>
        <v>1.5308905941523188</v>
      </c>
    </row>
    <row r="91" spans="1:63">
      <c r="A91" s="13" t="s">
        <v>103</v>
      </c>
      <c r="B91" s="13" t="s">
        <v>104</v>
      </c>
      <c r="C91" s="13" t="s">
        <v>292</v>
      </c>
      <c r="D91" s="31">
        <v>45670</v>
      </c>
      <c r="E91" s="31">
        <v>45689</v>
      </c>
      <c r="F91" s="31">
        <v>45747</v>
      </c>
      <c r="G91" s="13">
        <v>3786594</v>
      </c>
      <c r="H91" s="13" t="s">
        <v>446</v>
      </c>
      <c r="J91" s="13" t="s">
        <v>447</v>
      </c>
      <c r="K91" s="13" t="s">
        <v>448</v>
      </c>
      <c r="L91" s="13">
        <v>30</v>
      </c>
      <c r="M91" s="13">
        <v>1</v>
      </c>
      <c r="N91" s="13" t="s">
        <v>449</v>
      </c>
      <c r="O91" s="13" t="s">
        <v>304</v>
      </c>
      <c r="P91" s="13">
        <v>10010</v>
      </c>
      <c r="R91" s="13" t="s">
        <v>239</v>
      </c>
      <c r="S91" s="13" t="s">
        <v>154</v>
      </c>
      <c r="T91" s="13" t="s">
        <v>155</v>
      </c>
      <c r="U91" s="13" t="s">
        <v>125</v>
      </c>
      <c r="V91" s="13">
        <v>175.2</v>
      </c>
      <c r="W91" s="44">
        <f>IF($AX91="Cancelled","",IFERROR(((V91+INDEX(Variables!$B$6:$D$6,IFERROR(MATCH(IF($B91="Robusta","Robusta",(IF($B91="","Arabica",$B91))&amp;" - "&amp;(IF($C91="","Commercial",$C91))),Variables!$B$1:$D$1,0),1)))*22.0462)*(L91/16.67),""))</f>
        <v>18488.654829034189</v>
      </c>
      <c r="X91" s="55" t="s">
        <v>39</v>
      </c>
      <c r="Y91" s="13" t="str">
        <f>IF($AX91="Cancelled","",IF(X91="","",IFERROR(IF(INDEX(Variables!$B$38:$B$47,MATCH(X91,Variables!$A$38:$A$47,0))="Yes","Yes","No"),"No")))</f>
        <v>No</v>
      </c>
      <c r="Z91" s="31"/>
      <c r="AB91" s="31">
        <v>45672.875</v>
      </c>
      <c r="AC91" s="13" t="str">
        <f t="shared" si="3"/>
        <v>Approved</v>
      </c>
      <c r="AF91" s="71">
        <f>AJ91-7</f>
        <v>45706</v>
      </c>
      <c r="AG91" s="36">
        <f>IF($AX91="Cancelled","",IFERROR(IF(F91="","",F91-Variables!$B$13),""))</f>
        <v>45732</v>
      </c>
      <c r="AH91" s="13">
        <f>IF($AX91="Cancelled","",IFERROR(IF(AB91="","",(AVERAGE(E91:F91)-AB91)-Variables!$B$14),""))</f>
        <v>15.125</v>
      </c>
      <c r="AJ91" s="47">
        <v>45713</v>
      </c>
      <c r="AK91" s="14">
        <f>IF($AX91="Cancelled","",IFERROR(IF(AJ91="","",IF(AND(AB91="",AF91=""),"",IF(AF91&gt;AB91,AF91+Variables!$B$15+Variables!$B$16+Variables!$B$17-AJ91,AB91+Variables!$B$16+Variables!$B$17-AJ91))),""))</f>
        <v>8</v>
      </c>
      <c r="AL91" s="48" t="s">
        <v>114</v>
      </c>
      <c r="AM91" s="13" t="s">
        <v>115</v>
      </c>
      <c r="AN91" s="13" t="s">
        <v>290</v>
      </c>
      <c r="AP91" s="31">
        <v>45721</v>
      </c>
      <c r="AR91" s="13">
        <v>250600736</v>
      </c>
      <c r="AS91" s="31">
        <v>45726</v>
      </c>
      <c r="AU91" s="31">
        <v>45729</v>
      </c>
      <c r="AV91" s="13" t="s">
        <v>865</v>
      </c>
      <c r="AW91" s="31">
        <v>45733</v>
      </c>
      <c r="AX91" s="13" t="str">
        <f>IF(ISNUMBER(SEARCH("cancel",#REF!)),"Cancelled",IF(AND(AS91&lt;&gt;"",AU91&lt;&gt;"",AW91&lt;&gt;""),"Closed","Open"))</f>
        <v>Closed</v>
      </c>
      <c r="AY91" s="15" t="str">
        <f t="shared" si="4"/>
        <v>All dates received</v>
      </c>
      <c r="BD91" s="13">
        <f>IF($AX91="Cancelled","",IFERROR(IF(OR(AS91="",AJ91=""),"",(AJ91+Variables!$B$18-AS91)),""))</f>
        <v>2</v>
      </c>
      <c r="BE91" s="13">
        <f>IF($AX91="Cancelled","",IFERROR(IF(OR(AW91="",AS91=""),"",(AS91+Variables!$B$19)-AW91),""))</f>
        <v>-2</v>
      </c>
      <c r="BF91" s="44">
        <f>IF($AX91="Cancelled","",IFERROR(W91*INDEX(Variables!$B$7:$D$7,IFERROR(MATCH(IF($B91="Robusta","Robusta",(IF($B91="","Arabica",$B91))&amp;" - "&amp;(IF($C91="","Commercial",$C91))),Variables!$B$1:$D$1,0),1))*(BE91/365),""))</f>
        <v>-6.532543224201361</v>
      </c>
      <c r="BG91" s="44">
        <f>IF($AX91="Cancelled","",IFERROR((W91*INDEX(Variables!$B$7:$D$7,IFERROR(MATCH(IF($B91="Robusta","Robusta",(IF($B91="","Arabica",$B91))&amp;" - "&amp;(IF($C91="","Commercial",$C91))),Variables!$B$1:$D$1,0),1))*IFERROR(IF(AB91="","",(AVERAGE(E91:F91)-AB91)-Variables!$B$14),"")/365)+(L91/16.67*INDEX(Variables!$B$8:$D$8,IFERROR(MATCH(IF($B91="Robusta","Robusta",(IF($B91="","Arabica",$B91))&amp;" - "&amp;(IF($C91="","Commercial",$C91))),Variables!$B$1:$D$1,0),1))*IFERROR(IF(AB91="","",(AVERAGE(E91:F91)-AB91)-Variables!$B$14),""))+(W91*INDEX(Variables!$B$9:$D$9,IFERROR(MATCH(IF($B91="Robusta","Robusta",(IF($B91="","Arabica",$B91))&amp;" - "&amp;(IF($C91="","Commercial",$C91))),Variables!$B$1:$D$1,0),1))*IFERROR(IF(AB91="","",(AVERAGE(E91:F91)-AB91)-Variables!$B$14),"")/365),""))</f>
        <v>72.726749869284603</v>
      </c>
      <c r="BH91" s="44">
        <f>IF($AX91="Cancelled","",IFERROR((W91*INDEX(Variables!$B$7:$D$7,IFERROR(MATCH(IF($B91="Robusta","Robusta",(IF($B91="","Arabica",$B91))&amp;" - "&amp;(IF($C91="","Commercial",$C91))),Variables!$B$1:$D$1,0),1))*AK91/365)+(L91/16.67*INDEX(Variables!$B$8:$D$8,IFERROR(MATCH(IF($B91="Robusta","Robusta",(IF($B91="","Arabica",$B91))&amp;" - "&amp;(IF($C91="","Commercial",$C91))),Variables!$B$1:$D$1,0),1))*AK91)+(W91*INDEX(Variables!$B$9:$D$9,IFERROR(MATCH(IF($B91="Robusta","Robusta",(IF($B91="","Arabica",$B91))&amp;" - "&amp;(IF($C91="","Commercial",$C91))),Variables!$B$1:$D$1,0),1))*AK91/365),""))</f>
        <v>38.467041253175339</v>
      </c>
      <c r="BI91" s="44">
        <f>IF($AX91="Cancelled","",IFERROR((W91*INDEX(Variables!$B$7:$D$7,IFERROR(MATCH(IF($B91="Robusta","Robusta",(IF($B91="","Arabica",$B91))&amp;" - "&amp;(IF($C91="","Commercial",$C91))),Variables!$B$1:$D$1,0),1))*BD91/365)+(L91/16.67*INDEX(Variables!$B$8:$D$8,IFERROR(MATCH(IF($B91="Robusta","Robusta",(IF($B91="","Arabica",$B91))&amp;" - "&amp;(IF($C91="","Commercial",$C91))),Variables!$B$1:$D$1,0),1))*BD91)+(W91*INDEX(Variables!$B$9:$D$9,IFERROR(MATCH(IF($B91="Robusta","Robusta",(IF($B91="","Arabica",$B91))&amp;" - "&amp;(IF($C91="","Commercial",$C91))),Variables!$B$1:$D$1,0),1))*BD91/365),""))</f>
        <v>9.6167603132938346</v>
      </c>
      <c r="BJ91" s="44">
        <f t="shared" si="5"/>
        <v>21</v>
      </c>
      <c r="BK91" s="44">
        <f>IF($AX91="Cancelled","",IFERROR(IF(BJ91="","",(W91*INDEX(Variables!$B$7:$D$7,IFERROR(MATCH(IF($B91="Robusta","Robusta",(IF($B91="","Arabica",$B91))&amp;" - "&amp;(IF($C91="","Commercial",$C91))),Variables!$B$1:$D$1,0),1))*(BJ91/365))+(W91*INDEX(Variables!$B$9:$D$9,IFERROR(MATCH(IF($B91="Robusta","Robusta",(IF($B91="","Arabica",$B91))&amp;" - "&amp;(IF($C91="","Commercial",$C91))),Variables!$B$1:$D$1,0),1))*(BJ91/365))+(INDEX(Variables!$B$8:$D$8,IFERROR(MATCH(IF($B91="Robusta","Robusta",(IF($B91="","Arabica",$B91))&amp;" - "&amp;(IF($C91="","Commercial",$C91))),Variables!$B$1:$D$1,0),1))*L91/16.67)),""))</f>
        <v>70.975983289585244</v>
      </c>
    </row>
    <row r="92" spans="1:63">
      <c r="A92" s="13" t="s">
        <v>103</v>
      </c>
      <c r="B92" s="13" t="s">
        <v>104</v>
      </c>
      <c r="C92" s="13" t="s">
        <v>292</v>
      </c>
      <c r="D92" s="31">
        <v>45670</v>
      </c>
      <c r="E92" s="31">
        <v>45689</v>
      </c>
      <c r="F92" s="31">
        <v>45747</v>
      </c>
      <c r="G92" s="13">
        <v>3786595</v>
      </c>
      <c r="H92" s="13" t="s">
        <v>450</v>
      </c>
      <c r="J92" s="13" t="s">
        <v>447</v>
      </c>
      <c r="K92" s="13" t="s">
        <v>451</v>
      </c>
      <c r="L92" s="13">
        <v>10</v>
      </c>
      <c r="M92" s="13">
        <v>0</v>
      </c>
      <c r="N92" s="13" t="s">
        <v>452</v>
      </c>
      <c r="O92" s="13" t="s">
        <v>297</v>
      </c>
      <c r="P92" s="13">
        <v>10020</v>
      </c>
      <c r="R92" s="13" t="s">
        <v>239</v>
      </c>
      <c r="S92" s="13" t="s">
        <v>154</v>
      </c>
      <c r="T92" s="13" t="s">
        <v>155</v>
      </c>
      <c r="U92" s="13" t="s">
        <v>125</v>
      </c>
      <c r="V92" s="13">
        <v>135.19999999999999</v>
      </c>
      <c r="W92" s="44">
        <f>IF($AX92="Cancelled","",IFERROR(((V92+INDEX(Variables!$B$6:$D$6,IFERROR(MATCH(IF($B92="Robusta","Robusta",(IF($B92="","Arabica",$B92))&amp;" - "&amp;(IF($C92="","Commercial",$C92))),Variables!$B$1:$D$1,0),1)))*22.0462)*(L92/16.67),""))</f>
        <v>5633.8819436112763</v>
      </c>
      <c r="X92" s="55" t="s">
        <v>39</v>
      </c>
      <c r="Y92" s="13" t="str">
        <f>IF($AX92="Cancelled","",IF(X92="","",IFERROR(IF(INDEX(Variables!$B$38:$B$47,MATCH(X92,Variables!$A$38:$A$47,0))="Yes","Yes","No"),"No")))</f>
        <v>No</v>
      </c>
      <c r="Z92" s="31"/>
      <c r="AB92" s="31">
        <v>45672.875</v>
      </c>
      <c r="AC92" s="13" t="str">
        <f t="shared" si="3"/>
        <v>Approved</v>
      </c>
      <c r="AF92" s="71">
        <f>AJ92-7</f>
        <v>45706</v>
      </c>
      <c r="AG92" s="36">
        <f>IF($AX92="Cancelled","",IFERROR(IF(F92="","",F92-Variables!$B$13),""))</f>
        <v>45732</v>
      </c>
      <c r="AH92" s="13">
        <f>IF($AX92="Cancelled","",IFERROR(IF(AB92="","",(AVERAGE(E92:F92)-AB92)-Variables!$B$14),""))</f>
        <v>15.125</v>
      </c>
      <c r="AJ92" s="47">
        <v>45713</v>
      </c>
      <c r="AK92" s="14">
        <f>IF($AX92="Cancelled","",IFERROR(IF(AJ92="","",IF(AND(AB92="",AF92=""),"",IF(AF92&gt;AB92,AF92+Variables!$B$15+Variables!$B$16+Variables!$B$17-AJ92,AB92+Variables!$B$16+Variables!$B$17-AJ92))),""))</f>
        <v>8</v>
      </c>
      <c r="AL92" s="48" t="s">
        <v>114</v>
      </c>
      <c r="AM92" s="13" t="s">
        <v>115</v>
      </c>
      <c r="AN92" s="13" t="s">
        <v>290</v>
      </c>
      <c r="AP92" s="31">
        <v>45721</v>
      </c>
      <c r="AR92" s="13">
        <v>250600736</v>
      </c>
      <c r="AS92" s="31">
        <v>45726</v>
      </c>
      <c r="AU92" s="31">
        <v>45729</v>
      </c>
      <c r="AV92" s="13" t="s">
        <v>865</v>
      </c>
      <c r="AW92" s="31">
        <v>45733</v>
      </c>
      <c r="AX92" s="13" t="str">
        <f>IF(ISNUMBER(SEARCH("cancel",#REF!)),"Cancelled",IF(AND(AS92&lt;&gt;"",AU92&lt;&gt;"",AW92&lt;&gt;""),"Closed","Open"))</f>
        <v>Closed</v>
      </c>
      <c r="AY92" s="15" t="str">
        <f t="shared" si="4"/>
        <v>All dates received</v>
      </c>
      <c r="BD92" s="13">
        <f>IF($AX92="Cancelled","",IFERROR(IF(OR(AS92="",AJ92=""),"",(AJ92+Variables!$B$18-AS92)),""))</f>
        <v>2</v>
      </c>
      <c r="BE92" s="13">
        <f>IF($AX92="Cancelled","",IFERROR(IF(OR(AW92="",AS92=""),"",(AS92+Variables!$B$19)-AW92),""))</f>
        <v>-2</v>
      </c>
      <c r="BF92" s="44">
        <f>IF($AX92="Cancelled","",IFERROR(W92*INDEX(Variables!$B$7:$D$7,IFERROR(MATCH(IF($B92="Robusta","Robusta",(IF($B92="","Arabica",$B92))&amp;" - "&amp;(IF($C92="","Commercial",$C92))),Variables!$B$1:$D$1,0),1))*(BE92/365),""))</f>
        <v>-1.9906033000785264</v>
      </c>
      <c r="BG92" s="44">
        <f>IF($AX92="Cancelled","",IFERROR((W92*INDEX(Variables!$B$7:$D$7,IFERROR(MATCH(IF($B92="Robusta","Robusta",(IF($B92="","Arabica",$B92))&amp;" - "&amp;(IF($C92="","Commercial",$C92))),Variables!$B$1:$D$1,0),1))*IFERROR(IF(AB92="","",(AVERAGE(E92:F92)-AB92)-Variables!$B$14),"")/365)+(L92/16.67*INDEX(Variables!$B$8:$D$8,IFERROR(MATCH(IF($B92="Robusta","Robusta",(IF($B92="","Arabica",$B92))&amp;" - "&amp;(IF($C92="","Commercial",$C92))),Variables!$B$1:$D$1,0),1))*IFERROR(IF(AB92="","",(AVERAGE(E92:F92)-AB92)-Variables!$B$14),""))+(W92*INDEX(Variables!$B$9:$D$9,IFERROR(MATCH(IF($B92="Robusta","Robusta",(IF($B92="","Arabica",$B92))&amp;" - "&amp;(IF($C92="","Commercial",$C92))),Variables!$B$1:$D$1,0),1))*IFERROR(IF(AB92="","",(AVERAGE(E92:F92)-AB92)-Variables!$B$14),"")/365),""))</f>
        <v>22.810511762743378</v>
      </c>
      <c r="BH92" s="44">
        <f>IF($AX92="Cancelled","",IFERROR((W92*INDEX(Variables!$B$7:$D$7,IFERROR(MATCH(IF($B92="Robusta","Robusta",(IF($B92="","Arabica",$B92))&amp;" - "&amp;(IF($C92="","Commercial",$C92))),Variables!$B$1:$D$1,0),1))*AK92/365)+(L92/16.67*INDEX(Variables!$B$8:$D$8,IFERROR(MATCH(IF($B92="Robusta","Robusta",(IF($B92="","Arabica",$B92))&amp;" - "&amp;(IF($C92="","Commercial",$C92))),Variables!$B$1:$D$1,0),1))*AK92)+(W92*INDEX(Variables!$B$9:$D$9,IFERROR(MATCH(IF($B92="Robusta","Robusta",(IF($B92="","Arabica",$B92))&amp;" - "&amp;(IF($C92="","Commercial",$C92))),Variables!$B$1:$D$1,0),1))*AK92/365),""))</f>
        <v>12.065064072856003</v>
      </c>
      <c r="BI92" s="44">
        <f>IF($AX92="Cancelled","",IFERROR((W92*INDEX(Variables!$B$7:$D$7,IFERROR(MATCH(IF($B92="Robusta","Robusta",(IF($B92="","Arabica",$B92))&amp;" - "&amp;(IF($C92="","Commercial",$C92))),Variables!$B$1:$D$1,0),1))*BD92/365)+(L92/16.67*INDEX(Variables!$B$8:$D$8,IFERROR(MATCH(IF($B92="Robusta","Robusta",(IF($B92="","Arabica",$B92))&amp;" - "&amp;(IF($C92="","Commercial",$C92))),Variables!$B$1:$D$1,0),1))*BD92)+(W92*INDEX(Variables!$B$9:$D$9,IFERROR(MATCH(IF($B92="Robusta","Robusta",(IF($B92="","Arabica",$B92))&amp;" - "&amp;(IF($C92="","Commercial",$C92))),Variables!$B$1:$D$1,0),1))*BD92/365),""))</f>
        <v>3.0162660182140009</v>
      </c>
      <c r="BJ92" s="44">
        <f t="shared" si="5"/>
        <v>21</v>
      </c>
      <c r="BK92" s="44">
        <f>IF($AX92="Cancelled","",IFERROR(IF(BJ92="","",(W92*INDEX(Variables!$B$7:$D$7,IFERROR(MATCH(IF($B92="Robusta","Robusta",(IF($B92="","Arabica",$B92))&amp;" - "&amp;(IF($C92="","Commercial",$C92))),Variables!$B$1:$D$1,0),1))*(BJ92/365))+(W92*INDEX(Variables!$B$9:$D$9,IFERROR(MATCH(IF($B92="Robusta","Robusta",(IF($B92="","Arabica",$B92))&amp;" - "&amp;(IF($C92="","Commercial",$C92))),Variables!$B$1:$D$1,0),1))*(BJ92/365))+(INDEX(Variables!$B$8:$D$8,IFERROR(MATCH(IF($B92="Robusta","Robusta",(IF($B92="","Arabica",$B92))&amp;" - "&amp;(IF($C92="","Commercial",$C92))),Variables!$B$1:$D$1,0),1))*L92/16.67)),""))</f>
        <v>21.670793191247007</v>
      </c>
    </row>
    <row r="93" spans="1:63">
      <c r="A93" s="13" t="s">
        <v>103</v>
      </c>
      <c r="B93" s="13" t="s">
        <v>104</v>
      </c>
      <c r="C93" s="13" t="s">
        <v>105</v>
      </c>
      <c r="D93" s="31">
        <v>45671</v>
      </c>
      <c r="E93" s="31">
        <v>45717</v>
      </c>
      <c r="F93" s="31">
        <v>45747</v>
      </c>
      <c r="G93" s="13">
        <v>3786596</v>
      </c>
      <c r="H93" s="13" t="s">
        <v>453</v>
      </c>
      <c r="J93" s="13" t="s">
        <v>454</v>
      </c>
      <c r="K93" s="13">
        <v>5191</v>
      </c>
      <c r="L93" s="13">
        <v>1440</v>
      </c>
      <c r="M93" s="13">
        <v>4</v>
      </c>
      <c r="N93" s="13" t="s">
        <v>455</v>
      </c>
      <c r="O93" s="13" t="s">
        <v>456</v>
      </c>
      <c r="P93" s="13">
        <v>10140</v>
      </c>
      <c r="R93" s="13" t="s">
        <v>122</v>
      </c>
      <c r="S93" s="13" t="s">
        <v>457</v>
      </c>
      <c r="T93" s="13" t="s">
        <v>458</v>
      </c>
      <c r="U93" s="13" t="s">
        <v>125</v>
      </c>
      <c r="V93" s="13">
        <v>-25</v>
      </c>
      <c r="W93" s="44">
        <f>IF($AX93="Cancelled","",IFERROR(((V93+INDEX(Variables!$B$6:$D$6,IFERROR(MATCH(IF($B93="Robusta","Robusta",(IF($B93="","Arabica",$B93))&amp;" - "&amp;(IF($C93="","Commercial",$C93))),Variables!$B$1:$D$1,0),1)))*22.0462)*(L93/16.67),""))</f>
        <v>506192.39006598678</v>
      </c>
      <c r="X93" s="55" t="s">
        <v>37</v>
      </c>
      <c r="Y93" s="13" t="str">
        <f>IF($AX93="Cancelled","",IF(X93="","",IFERROR(IF(INDEX(Variables!$B$38:$B$47,MATCH(X93,Variables!$A$38:$A$47,0))="Yes","Yes","No"),"No")))</f>
        <v>Yes</v>
      </c>
      <c r="Z93" s="58">
        <v>45681</v>
      </c>
      <c r="AB93" s="31">
        <v>45700</v>
      </c>
      <c r="AC93" s="13" t="str">
        <f t="shared" si="3"/>
        <v>Approved</v>
      </c>
      <c r="AF93" s="71">
        <v>45705</v>
      </c>
      <c r="AG93" s="35">
        <f>IF($AX93="Cancelled","",IFERROR(IF(F93="","",F93-Variables!$B$13),""))</f>
        <v>45732</v>
      </c>
      <c r="AH93" s="13">
        <f>IF($AX93="Cancelled","",IFERROR(IF(AB93="","",(AVERAGE(E93:F93)-AB93)-Variables!$B$14),""))</f>
        <v>2</v>
      </c>
      <c r="AJ93" s="47">
        <v>45706</v>
      </c>
      <c r="AK93" s="14">
        <f>IF($AX93="Cancelled","",IFERROR(IF(AJ93="","",IF(AND(AB93="",AF93=""),"",IF(AF93&gt;AB93,AF93+Variables!$B$15+Variables!$B$16+Variables!$B$17-AJ93,AB93+Variables!$B$16+Variables!$B$17-AJ93))),""))</f>
        <v>14</v>
      </c>
      <c r="AL93" s="48" t="s">
        <v>114</v>
      </c>
      <c r="AM93" s="13" t="s">
        <v>115</v>
      </c>
      <c r="AN93" s="13" t="s">
        <v>290</v>
      </c>
      <c r="AP93" s="31">
        <v>45726</v>
      </c>
      <c r="AR93" s="13">
        <v>250046294</v>
      </c>
      <c r="AS93" s="31">
        <v>45726</v>
      </c>
      <c r="AU93" s="31">
        <v>45728</v>
      </c>
      <c r="AV93" s="13" t="s">
        <v>865</v>
      </c>
      <c r="AW93" s="31">
        <v>45728</v>
      </c>
      <c r="AX93" s="13" t="str">
        <f>IF(ISNUMBER(SEARCH("cancel",#REF!)),"Cancelled",IF(AND(AS93&lt;&gt;"",AU93&lt;&gt;"",AW93&lt;&gt;""),"Closed","Open"))</f>
        <v>Closed</v>
      </c>
      <c r="AY93" s="15" t="str">
        <f t="shared" si="4"/>
        <v>All dates received</v>
      </c>
      <c r="BD93" s="13">
        <f>IF($AX93="Cancelled","",IFERROR(IF(OR(AS93="",AJ93=""),"",(AJ93+Variables!$B$18-AS93)),""))</f>
        <v>-5</v>
      </c>
      <c r="BE93" s="13">
        <f>IF($AX93="Cancelled","",IFERROR(IF(OR(AW93="",AS93=""),"",(AS93+Variables!$B$19)-AW93),""))</f>
        <v>3</v>
      </c>
      <c r="BF93" s="44">
        <f>IF($AX93="Cancelled","",IFERROR(W93*INDEX(Variables!$B$7:$D$7,IFERROR(MATCH(IF($B93="Robusta","Robusta",(IF($B93="","Arabica",$B93))&amp;" - "&amp;(IF($C93="","Commercial",$C93))),Variables!$B$1:$D$1,0),1))*(BE93/365),""))</f>
        <v>268.27725151818879</v>
      </c>
      <c r="BG93" s="44">
        <f>IF($AX93="Cancelled","",IFERROR((W93*INDEX(Variables!$B$7:$D$7,IFERROR(MATCH(IF($B93="Robusta","Robusta",(IF($B93="","Arabica",$B93))&amp;" - "&amp;(IF($C93="","Commercial",$C93))),Variables!$B$1:$D$1,0),1))*IFERROR(IF(AB93="","",(AVERAGE(E93:F93)-AB93)-Variables!$B$14),"")/365)+(L93/16.67*INDEX(Variables!$B$8:$D$8,IFERROR(MATCH(IF($B93="Robusta","Robusta",(IF($B93="","Arabica",$B93))&amp;" - "&amp;(IF($C93="","Commercial",$C93))),Variables!$B$1:$D$1,0),1))*IFERROR(IF(AB93="","",(AVERAGE(E93:F93)-AB93)-Variables!$B$14),""))+(W93*INDEX(Variables!$B$9:$D$9,IFERROR(MATCH(IF($B93="Robusta","Robusta",(IF($B93="","Arabica",$B93))&amp;" - "&amp;(IF($C93="","Commercial",$C93))),Variables!$B$1:$D$1,0),1))*IFERROR(IF(AB93="","",(AVERAGE(E93:F93)-AB93)-Variables!$B$14),"")/365),""))</f>
        <v>325.15724201958818</v>
      </c>
      <c r="BH93" s="44">
        <f>IF($AX93="Cancelled","",IFERROR((W93*INDEX(Variables!$B$7:$D$7,IFERROR(MATCH(IF($B93="Robusta","Robusta",(IF($B93="","Arabica",$B93))&amp;" - "&amp;(IF($C93="","Commercial",$C93))),Variables!$B$1:$D$1,0),1))*AK93/365)+(L93/16.67*INDEX(Variables!$B$8:$D$8,IFERROR(MATCH(IF($B93="Robusta","Robusta",(IF($B93="","Arabica",$B93))&amp;" - "&amp;(IF($C93="","Commercial",$C93))),Variables!$B$1:$D$1,0),1))*AK93)+(W93*INDEX(Variables!$B$9:$D$9,IFERROR(MATCH(IF($B93="Robusta","Robusta",(IF($B93="","Arabica",$B93))&amp;" - "&amp;(IF($C93="","Commercial",$C93))),Variables!$B$1:$D$1,0),1))*AK93/365),""))</f>
        <v>2276.1006941371165</v>
      </c>
      <c r="BI93" s="44">
        <f>IF($AX93="Cancelled","",IFERROR((W93*INDEX(Variables!$B$7:$D$7,IFERROR(MATCH(IF($B93="Robusta","Robusta",(IF($B93="","Arabica",$B93))&amp;" - "&amp;(IF($C93="","Commercial",$C93))),Variables!$B$1:$D$1,0),1))*BD93/365)+(L93/16.67*INDEX(Variables!$B$8:$D$8,IFERROR(MATCH(IF($B93="Robusta","Robusta",(IF($B93="","Arabica",$B93))&amp;" - "&amp;(IF($C93="","Commercial",$C93))),Variables!$B$1:$D$1,0),1))*BD93)+(W93*INDEX(Variables!$B$9:$D$9,IFERROR(MATCH(IF($B93="Robusta","Robusta",(IF($B93="","Arabica",$B93))&amp;" - "&amp;(IF($C93="","Commercial",$C93))),Variables!$B$1:$D$1,0),1))*BD93/365),""))</f>
        <v>-812.89310504897037</v>
      </c>
      <c r="BJ93" s="44">
        <f t="shared" si="5"/>
        <v>21</v>
      </c>
      <c r="BK93" s="44">
        <f>IF($AX93="Cancelled","",IFERROR(IF(BJ93="","",(W93*INDEX(Variables!$B$7:$D$7,IFERROR(MATCH(IF($B93="Robusta","Robusta",(IF($B93="","Arabica",$B93))&amp;" - "&amp;(IF($C93="","Commercial",$C93))),Variables!$B$1:$D$1,0),1))*(BJ93/365))+(W93*INDEX(Variables!$B$9:$D$9,IFERROR(MATCH(IF($B93="Robusta","Robusta",(IF($B93="","Arabica",$B93))&amp;" - "&amp;(IF($C93="","Commercial",$C93))),Variables!$B$1:$D$1,0),1))*(BJ93/365))+(INDEX(Variables!$B$8:$D$8,IFERROR(MATCH(IF($B93="Robusta","Robusta",(IF($B93="","Arabica",$B93))&amp;" - "&amp;(IF($C93="","Commercial",$C93))),Variables!$B$1:$D$1,0),1))*L93/16.67)),""))</f>
        <v>1974.1510412056753</v>
      </c>
    </row>
    <row r="94" spans="1:63">
      <c r="A94" s="13" t="s">
        <v>103</v>
      </c>
      <c r="B94" s="13" t="s">
        <v>104</v>
      </c>
      <c r="C94" s="13" t="s">
        <v>105</v>
      </c>
      <c r="D94" s="31">
        <v>45671</v>
      </c>
      <c r="E94" s="31">
        <v>45748</v>
      </c>
      <c r="F94" s="31">
        <v>45777</v>
      </c>
      <c r="G94" s="13">
        <v>3786597</v>
      </c>
      <c r="H94" s="13" t="s">
        <v>459</v>
      </c>
      <c r="J94" s="13" t="s">
        <v>454</v>
      </c>
      <c r="K94" s="13">
        <v>5233</v>
      </c>
      <c r="L94" s="13">
        <v>1440</v>
      </c>
      <c r="M94" s="13">
        <v>4</v>
      </c>
      <c r="N94" s="13" t="s">
        <v>455</v>
      </c>
      <c r="O94" s="13" t="s">
        <v>456</v>
      </c>
      <c r="P94" s="13">
        <v>10140</v>
      </c>
      <c r="R94" s="13" t="s">
        <v>122</v>
      </c>
      <c r="S94" s="13" t="s">
        <v>457</v>
      </c>
      <c r="T94" s="13" t="s">
        <v>458</v>
      </c>
      <c r="U94" s="13" t="s">
        <v>125</v>
      </c>
      <c r="V94" s="13">
        <v>-25</v>
      </c>
      <c r="W94" s="44">
        <f>IF($AX94="Cancelled","",IFERROR(((V94+INDEX(Variables!$B$6:$D$6,IFERROR(MATCH(IF($B94="Robusta","Robusta",(IF($B94="","Arabica",$B94))&amp;" - "&amp;(IF($C94="","Commercial",$C94))),Variables!$B$1:$D$1,0),1)))*22.0462)*(L94/16.67),""))</f>
        <v>506192.39006598678</v>
      </c>
      <c r="X94" s="55" t="s">
        <v>37</v>
      </c>
      <c r="Y94" s="13" t="str">
        <f>IF($AX94="Cancelled","",IF(X94="","",IFERROR(IF(INDEX(Variables!$B$38:$B$47,MATCH(X94,Variables!$A$38:$A$47,0))="Yes","Yes","No"),"No")))</f>
        <v>Yes</v>
      </c>
      <c r="Z94" s="58">
        <v>45698</v>
      </c>
      <c r="AB94" s="31">
        <v>45706</v>
      </c>
      <c r="AC94" s="13" t="str">
        <f t="shared" si="3"/>
        <v>Approved</v>
      </c>
      <c r="AF94" s="71">
        <v>45757</v>
      </c>
      <c r="AG94" s="35">
        <f>IF($AX94="Cancelled","",IFERROR(IF(F94="","",F94-Variables!$B$13),""))</f>
        <v>45762</v>
      </c>
      <c r="AH94" s="13">
        <f>IF($AX94="Cancelled","",IFERROR(IF(AB94="","",(AVERAGE(E94:F94)-AB94)-Variables!$B$14),""))</f>
        <v>26.5</v>
      </c>
      <c r="AJ94" s="47">
        <v>45756</v>
      </c>
      <c r="AK94" s="14">
        <f>IF($AX94="Cancelled","",IFERROR(IF(AJ94="","",IF(AND(AB94="",AF94=""),"",IF(AF94&gt;AB94,AF94+Variables!$B$15+Variables!$B$16+Variables!$B$17-AJ94,AB94+Variables!$B$16+Variables!$B$17-AJ94))),""))</f>
        <v>16</v>
      </c>
      <c r="AL94" s="48" t="s">
        <v>114</v>
      </c>
      <c r="AM94" s="13" t="s">
        <v>115</v>
      </c>
      <c r="AN94" s="13" t="s">
        <v>370</v>
      </c>
      <c r="AP94" s="31">
        <v>45765</v>
      </c>
      <c r="AR94" s="13">
        <v>250956300</v>
      </c>
      <c r="AS94" s="31">
        <v>45765</v>
      </c>
      <c r="AU94" s="31">
        <v>45772</v>
      </c>
      <c r="AV94" s="13" t="s">
        <v>865</v>
      </c>
      <c r="AW94" s="31">
        <v>45782</v>
      </c>
      <c r="AX94" s="13" t="str">
        <f>IF(ISNUMBER(SEARCH("cancel",#REF!)),"Cancelled",IF(AND(AS94&lt;&gt;"",AU94&lt;&gt;"",AW94&lt;&gt;""),"Closed","Open"))</f>
        <v>Closed</v>
      </c>
      <c r="AY94" s="15" t="str">
        <f t="shared" si="4"/>
        <v>All dates received</v>
      </c>
      <c r="BD94" s="13">
        <f>IF($AX94="Cancelled","",IFERROR(IF(OR(AS94="",AJ94=""),"",(AJ94+Variables!$B$18-AS94)),""))</f>
        <v>6</v>
      </c>
      <c r="BE94" s="13">
        <f>IF($AX94="Cancelled","",IFERROR(IF(OR(AW94="",AS94=""),"",(AS94+Variables!$B$19)-AW94),""))</f>
        <v>-12</v>
      </c>
      <c r="BF94" s="44">
        <f>IF($AX94="Cancelled","",IFERROR(W94*INDEX(Variables!$B$7:$D$7,IFERROR(MATCH(IF($B94="Robusta","Robusta",(IF($B94="","Arabica",$B94))&amp;" - "&amp;(IF($C94="","Commercial",$C94))),Variables!$B$1:$D$1,0),1))*(BE94/365),""))</f>
        <v>-1073.1090060727552</v>
      </c>
      <c r="BG94" s="44">
        <f>IF($AX94="Cancelled","",IFERROR((W94*INDEX(Variables!$B$7:$D$7,IFERROR(MATCH(IF($B94="Robusta","Robusta",(IF($B94="","Arabica",$B94))&amp;" - "&amp;(IF($C94="","Commercial",$C94))),Variables!$B$1:$D$1,0),1))*IFERROR(IF(AB94="","",(AVERAGE(E94:F94)-AB94)-Variables!$B$14),"")/365)+(L94/16.67*INDEX(Variables!$B$8:$D$8,IFERROR(MATCH(IF($B94="Robusta","Robusta",(IF($B94="","Arabica",$B94))&amp;" - "&amp;(IF($C94="","Commercial",$C94))),Variables!$B$1:$D$1,0),1))*IFERROR(IF(AB94="","",(AVERAGE(E94:F94)-AB94)-Variables!$B$14),""))+(W94*INDEX(Variables!$B$9:$D$9,IFERROR(MATCH(IF($B94="Robusta","Robusta",(IF($B94="","Arabica",$B94))&amp;" - "&amp;(IF($C94="","Commercial",$C94))),Variables!$B$1:$D$1,0),1))*IFERROR(IF(AB94="","",(AVERAGE(E94:F94)-AB94)-Variables!$B$14),"")/365),""))</f>
        <v>4308.3334567595439</v>
      </c>
      <c r="BH94" s="44">
        <f>IF($AX94="Cancelled","",IFERROR((W94*INDEX(Variables!$B$7:$D$7,IFERROR(MATCH(IF($B94="Robusta","Robusta",(IF($B94="","Arabica",$B94))&amp;" - "&amp;(IF($C94="","Commercial",$C94))),Variables!$B$1:$D$1,0),1))*AK94/365)+(L94/16.67*INDEX(Variables!$B$8:$D$8,IFERROR(MATCH(IF($B94="Robusta","Robusta",(IF($B94="","Arabica",$B94))&amp;" - "&amp;(IF($C94="","Commercial",$C94))),Variables!$B$1:$D$1,0),1))*AK94)+(W94*INDEX(Variables!$B$9:$D$9,IFERROR(MATCH(IF($B94="Robusta","Robusta",(IF($B94="","Arabica",$B94))&amp;" - "&amp;(IF($C94="","Commercial",$C94))),Variables!$B$1:$D$1,0),1))*AK94/365),""))</f>
        <v>2601.2579361567055</v>
      </c>
      <c r="BI94" s="44">
        <f>IF($AX94="Cancelled","",IFERROR((W94*INDEX(Variables!$B$7:$D$7,IFERROR(MATCH(IF($B94="Robusta","Robusta",(IF($B94="","Arabica",$B94))&amp;" - "&amp;(IF($C94="","Commercial",$C94))),Variables!$B$1:$D$1,0),1))*BD94/365)+(L94/16.67*INDEX(Variables!$B$8:$D$8,IFERROR(MATCH(IF($B94="Robusta","Robusta",(IF($B94="","Arabica",$B94))&amp;" - "&amp;(IF($C94="","Commercial",$C94))),Variables!$B$1:$D$1,0),1))*BD94)+(W94*INDEX(Variables!$B$9:$D$9,IFERROR(MATCH(IF($B94="Robusta","Robusta",(IF($B94="","Arabica",$B94))&amp;" - "&amp;(IF($C94="","Commercial",$C94))),Variables!$B$1:$D$1,0),1))*BD94/365),""))</f>
        <v>975.47172605876438</v>
      </c>
      <c r="BJ94" s="44">
        <f t="shared" si="5"/>
        <v>12</v>
      </c>
      <c r="BK94" s="44">
        <f>IF($AX94="Cancelled","",IFERROR(IF(BJ94="","",(W94*INDEX(Variables!$B$7:$D$7,IFERROR(MATCH(IF($B94="Robusta","Robusta",(IF($B94="","Arabica",$B94))&amp;" - "&amp;(IF($C94="","Commercial",$C94))),Variables!$B$1:$D$1,0),1))*(BJ94/365))+(W94*INDEX(Variables!$B$9:$D$9,IFERROR(MATCH(IF($B94="Robusta","Robusta",(IF($B94="","Arabica",$B94))&amp;" - "&amp;(IF($C94="","Commercial",$C94))),Variables!$B$1:$D$1,0),1))*(BJ94/365))+(INDEX(Variables!$B$8:$D$8,IFERROR(MATCH(IF($B94="Robusta","Robusta",(IF($B94="","Arabica",$B94))&amp;" - "&amp;(IF($C94="","Commercial",$C94))),Variables!$B$1:$D$1,0),1))*L94/16.67)),""))</f>
        <v>1158.9434521175285</v>
      </c>
    </row>
    <row r="95" spans="1:63">
      <c r="A95" s="13" t="s">
        <v>103</v>
      </c>
      <c r="B95" s="13" t="s">
        <v>104</v>
      </c>
      <c r="C95" s="13" t="s">
        <v>105</v>
      </c>
      <c r="D95" s="31">
        <v>45671</v>
      </c>
      <c r="E95" s="31">
        <v>45778</v>
      </c>
      <c r="F95" s="31">
        <v>45808</v>
      </c>
      <c r="G95" s="13">
        <v>3786598</v>
      </c>
      <c r="H95" s="13" t="s">
        <v>460</v>
      </c>
      <c r="J95" s="13" t="s">
        <v>454</v>
      </c>
      <c r="K95" s="13">
        <v>5250</v>
      </c>
      <c r="L95" s="13">
        <v>1080</v>
      </c>
      <c r="M95" s="13">
        <v>3</v>
      </c>
      <c r="N95" s="13" t="s">
        <v>455</v>
      </c>
      <c r="O95" s="13" t="s">
        <v>456</v>
      </c>
      <c r="P95" s="13">
        <v>10140</v>
      </c>
      <c r="R95" s="13" t="s">
        <v>122</v>
      </c>
      <c r="S95" s="13" t="s">
        <v>457</v>
      </c>
      <c r="T95" s="13" t="s">
        <v>458</v>
      </c>
      <c r="U95" s="13" t="s">
        <v>125</v>
      </c>
      <c r="V95" s="13">
        <v>-25</v>
      </c>
      <c r="W95" s="44">
        <f>IF($AX95="Cancelled","",IFERROR(((V95+INDEX(Variables!$B$6:$D$6,IFERROR(MATCH(IF($B95="Robusta","Robusta",(IF($B95="","Arabica",$B95))&amp;" - "&amp;(IF($C95="","Commercial",$C95))),Variables!$B$1:$D$1,0),1)))*22.0462)*(L95/16.67),""))</f>
        <v>379644.29254949006</v>
      </c>
      <c r="X95" s="55" t="s">
        <v>37</v>
      </c>
      <c r="Y95" s="13" t="str">
        <f>IF($AX95="Cancelled","",IF(X95="","",IFERROR(IF(INDEX(Variables!$B$38:$B$47,MATCH(X95,Variables!$A$38:$A$47,0))="Yes","Yes","No"),"No")))</f>
        <v>Yes</v>
      </c>
      <c r="Z95" s="58">
        <v>45740</v>
      </c>
      <c r="AB95" s="31">
        <v>45747</v>
      </c>
      <c r="AC95" s="13" t="str">
        <f t="shared" si="3"/>
        <v>Approved</v>
      </c>
      <c r="AF95" s="71">
        <f>AJ95-7</f>
        <v>45765</v>
      </c>
      <c r="AG95" s="35">
        <f>IF($AX95="Cancelled","",IFERROR(IF(F95="","",F95-Variables!$B$13),""))</f>
        <v>45793</v>
      </c>
      <c r="AH95" s="13">
        <f>IF($AX95="Cancelled","",IFERROR(IF(AB95="","",(AVERAGE(E95:F95)-AB95)-Variables!$B$14),""))</f>
        <v>16</v>
      </c>
      <c r="AJ95" s="47">
        <v>45772</v>
      </c>
      <c r="AK95" s="14">
        <f>IF($AX95="Cancelled","",IFERROR(IF(AJ95="","",IF(AND(AB95="",AF95=""),"",IF(AF95&gt;AB95,AF95+Variables!$B$15+Variables!$B$16+Variables!$B$17-AJ95,AB95+Variables!$B$16+Variables!$B$17-AJ95))),""))</f>
        <v>8</v>
      </c>
      <c r="AL95" s="48" t="s">
        <v>114</v>
      </c>
      <c r="AM95" s="13" t="s">
        <v>115</v>
      </c>
      <c r="AN95" s="13" t="s">
        <v>126</v>
      </c>
      <c r="AP95" s="31">
        <v>45787</v>
      </c>
      <c r="AR95" s="13">
        <v>253447920</v>
      </c>
      <c r="AS95" s="31">
        <v>45787</v>
      </c>
      <c r="AU95" s="31">
        <v>45792</v>
      </c>
      <c r="AV95" s="13" t="s">
        <v>865</v>
      </c>
      <c r="AW95" s="31">
        <v>45793</v>
      </c>
      <c r="AX95" s="13" t="str">
        <f>IF(ISNUMBER(SEARCH("cancel",#REF!)),"Cancelled",IF(AND(AS95&lt;&gt;"",AU95&lt;&gt;"",AW95&lt;&gt;""),"Closed","Open"))</f>
        <v>Closed</v>
      </c>
      <c r="AY95" s="15" t="str">
        <f t="shared" si="4"/>
        <v>All dates received</v>
      </c>
      <c r="BD95" s="13">
        <f>IF($AX95="Cancelled","",IFERROR(IF(OR(AS95="",AJ95=""),"",(AJ95+Variables!$B$18-AS95)),""))</f>
        <v>0</v>
      </c>
      <c r="BE95" s="13">
        <f>IF($AX95="Cancelled","",IFERROR(IF(OR(AW95="",AS95=""),"",(AS95+Variables!$B$19)-AW95),""))</f>
        <v>-1</v>
      </c>
      <c r="BF95" s="44">
        <f>IF($AX95="Cancelled","",IFERROR(W95*INDEX(Variables!$B$7:$D$7,IFERROR(MATCH(IF($B95="Robusta","Robusta",(IF($B95="","Arabica",$B95))&amp;" - "&amp;(IF($C95="","Commercial",$C95))),Variables!$B$1:$D$1,0),1))*(BE95/365),""))</f>
        <v>-67.069312879547212</v>
      </c>
      <c r="BG95" s="44">
        <f>IF($AX95="Cancelled","",IFERROR((W95*INDEX(Variables!$B$7:$D$7,IFERROR(MATCH(IF($B95="Robusta","Robusta",(IF($B95="","Arabica",$B95))&amp;" - "&amp;(IF($C95="","Commercial",$C95))),Variables!$B$1:$D$1,0),1))*IFERROR(IF(AB95="","",(AVERAGE(E95:F95)-AB95)-Variables!$B$14),"")/365)+(L95/16.67*INDEX(Variables!$B$8:$D$8,IFERROR(MATCH(IF($B95="Robusta","Robusta",(IF($B95="","Arabica",$B95))&amp;" - "&amp;(IF($C95="","Commercial",$C95))),Variables!$B$1:$D$1,0),1))*IFERROR(IF(AB95="","",(AVERAGE(E95:F95)-AB95)-Variables!$B$14),""))+(W95*INDEX(Variables!$B$9:$D$9,IFERROR(MATCH(IF($B95="Robusta","Robusta",(IF($B95="","Arabica",$B95))&amp;" - "&amp;(IF($C95="","Commercial",$C95))),Variables!$B$1:$D$1,0),1))*IFERROR(IF(AB95="","",(AVERAGE(E95:F95)-AB95)-Variables!$B$14),"")/365),""))</f>
        <v>1950.9434521175285</v>
      </c>
      <c r="BH95" s="44">
        <f>IF($AX95="Cancelled","",IFERROR((W95*INDEX(Variables!$B$7:$D$7,IFERROR(MATCH(IF($B95="Robusta","Robusta",(IF($B95="","Arabica",$B95))&amp;" - "&amp;(IF($C95="","Commercial",$C95))),Variables!$B$1:$D$1,0),1))*AK95/365)+(L95/16.67*INDEX(Variables!$B$8:$D$8,IFERROR(MATCH(IF($B95="Robusta","Robusta",(IF($B95="","Arabica",$B95))&amp;" - "&amp;(IF($C95="","Commercial",$C95))),Variables!$B$1:$D$1,0),1))*AK95)+(W95*INDEX(Variables!$B$9:$D$9,IFERROR(MATCH(IF($B95="Robusta","Robusta",(IF($B95="","Arabica",$B95))&amp;" - "&amp;(IF($C95="","Commercial",$C95))),Variables!$B$1:$D$1,0),1))*AK95/365),""))</f>
        <v>975.47172605876426</v>
      </c>
      <c r="BI95" s="44">
        <f>IF($AX95="Cancelled","",IFERROR((W95*INDEX(Variables!$B$7:$D$7,IFERROR(MATCH(IF($B95="Robusta","Robusta",(IF($B95="","Arabica",$B95))&amp;" - "&amp;(IF($C95="","Commercial",$C95))),Variables!$B$1:$D$1,0),1))*BD95/365)+(L95/16.67*INDEX(Variables!$B$8:$D$8,IFERROR(MATCH(IF($B95="Robusta","Robusta",(IF($B95="","Arabica",$B95))&amp;" - "&amp;(IF($C95="","Commercial",$C95))),Variables!$B$1:$D$1,0),1))*BD95)+(W95*INDEX(Variables!$B$9:$D$9,IFERROR(MATCH(IF($B95="Robusta","Robusta",(IF($B95="","Arabica",$B95))&amp;" - "&amp;(IF($C95="","Commercial",$C95))),Variables!$B$1:$D$1,0),1))*BD95/365),""))</f>
        <v>0</v>
      </c>
      <c r="BJ95" s="44">
        <f t="shared" si="5"/>
        <v>21</v>
      </c>
      <c r="BK95" s="44">
        <f>IF($AX95="Cancelled","",IFERROR(IF(BJ95="","",(W95*INDEX(Variables!$B$7:$D$7,IFERROR(MATCH(IF($B95="Robusta","Robusta",(IF($B95="","Arabica",$B95))&amp;" - "&amp;(IF($C95="","Commercial",$C95))),Variables!$B$1:$D$1,0),1))*(BJ95/365))+(W95*INDEX(Variables!$B$9:$D$9,IFERROR(MATCH(IF($B95="Robusta","Robusta",(IF($B95="","Arabica",$B95))&amp;" - "&amp;(IF($C95="","Commercial",$C95))),Variables!$B$1:$D$1,0),1))*(BJ95/365))+(INDEX(Variables!$B$8:$D$8,IFERROR(MATCH(IF($B95="Robusta","Robusta",(IF($B95="","Arabica",$B95))&amp;" - "&amp;(IF($C95="","Commercial",$C95))),Variables!$B$1:$D$1,0),1))*L95/16.67)),""))</f>
        <v>1480.6132809042563</v>
      </c>
    </row>
    <row r="96" spans="1:63">
      <c r="A96" s="13" t="s">
        <v>103</v>
      </c>
      <c r="B96" s="13" t="s">
        <v>104</v>
      </c>
      <c r="C96" s="13" t="s">
        <v>105</v>
      </c>
      <c r="D96" s="31">
        <v>45671</v>
      </c>
      <c r="E96" s="31">
        <v>45778</v>
      </c>
      <c r="F96" s="31">
        <v>45808</v>
      </c>
      <c r="G96" s="13">
        <v>3786598</v>
      </c>
      <c r="H96" s="13" t="s">
        <v>460</v>
      </c>
      <c r="J96" s="13" t="s">
        <v>454</v>
      </c>
      <c r="K96" s="13">
        <v>5250</v>
      </c>
      <c r="L96" s="13">
        <v>360</v>
      </c>
      <c r="M96" s="13">
        <v>1</v>
      </c>
      <c r="N96" s="13" t="s">
        <v>455</v>
      </c>
      <c r="O96" s="13" t="s">
        <v>456</v>
      </c>
      <c r="P96" s="13">
        <v>10140</v>
      </c>
      <c r="R96" s="13" t="s">
        <v>122</v>
      </c>
      <c r="S96" s="13" t="s">
        <v>457</v>
      </c>
      <c r="T96" s="13" t="s">
        <v>458</v>
      </c>
      <c r="U96" s="13" t="s">
        <v>125</v>
      </c>
      <c r="V96" s="13">
        <v>-25</v>
      </c>
      <c r="W96" s="44">
        <f>IF($AX96="Cancelled","",IFERROR(((V96+INDEX(Variables!$B$6:$D$6,IFERROR(MATCH(IF($B96="Robusta","Robusta",(IF($B96="","Arabica",$B96))&amp;" - "&amp;(IF($C96="","Commercial",$C96))),Variables!$B$1:$D$1,0),1)))*22.0462)*(L96/16.67),""))</f>
        <v>126548.09751649669</v>
      </c>
      <c r="X96" s="55" t="s">
        <v>37</v>
      </c>
      <c r="Y96" s="13" t="str">
        <f>IF($AX96="Cancelled","",IF(X96="","",IFERROR(IF(INDEX(Variables!$B$38:$B$47,MATCH(X96,Variables!$A$38:$A$47,0))="Yes","Yes","No"),"No")))</f>
        <v>Yes</v>
      </c>
      <c r="Z96" s="58">
        <v>45740</v>
      </c>
      <c r="AB96" s="31">
        <v>45747</v>
      </c>
      <c r="AC96" s="13" t="str">
        <f t="shared" si="3"/>
        <v>Approved</v>
      </c>
      <c r="AF96" s="71">
        <f>AJ96-7</f>
        <v>45765</v>
      </c>
      <c r="AG96" s="35">
        <f>IF($AX96="Cancelled","",IFERROR(IF(F96="","",F96-Variables!$B$13),""))</f>
        <v>45793</v>
      </c>
      <c r="AH96" s="13">
        <f>IF($AX96="Cancelled","",IFERROR(IF(AB96="","",(AVERAGE(E96:F96)-AB96)-Variables!$B$14),""))</f>
        <v>16</v>
      </c>
      <c r="AJ96" s="47">
        <v>45772</v>
      </c>
      <c r="AK96" s="14">
        <f>IF($AX96="Cancelled","",IFERROR(IF(AJ96="","",IF(AND(AB96="",AF96=""),"",IF(AF96&gt;AB96,AF96+Variables!$B$15+Variables!$B$16+Variables!$B$17-AJ96,AB96+Variables!$B$16+Variables!$B$17-AJ96))),""))</f>
        <v>8</v>
      </c>
      <c r="AL96" s="48" t="s">
        <v>114</v>
      </c>
      <c r="AM96" s="13" t="s">
        <v>115</v>
      </c>
      <c r="AN96" s="13" t="s">
        <v>126</v>
      </c>
      <c r="AP96" s="31">
        <v>45787</v>
      </c>
      <c r="AR96" s="13">
        <v>253447920</v>
      </c>
      <c r="AS96" s="31">
        <v>45780</v>
      </c>
      <c r="AU96" s="31">
        <v>45785</v>
      </c>
      <c r="AV96" s="13" t="s">
        <v>865</v>
      </c>
      <c r="AW96" s="31">
        <v>45793</v>
      </c>
      <c r="AX96" s="13" t="str">
        <f>IF(ISNUMBER(SEARCH("cancel",#REF!)),"Cancelled",IF(AND(AS96&lt;&gt;"",AU96&lt;&gt;"",AW96&lt;&gt;""),"Closed","Open"))</f>
        <v>Closed</v>
      </c>
      <c r="AY96" s="15" t="str">
        <f t="shared" si="4"/>
        <v>All dates received</v>
      </c>
      <c r="BD96" s="13">
        <f>IF($AX96="Cancelled","",IFERROR(IF(OR(AS96="",AJ96=""),"",(AJ96+Variables!$B$18-AS96)),""))</f>
        <v>7</v>
      </c>
      <c r="BE96" s="13">
        <f>IF($AX96="Cancelled","",IFERROR(IF(OR(AW96="",AS96=""),"",(AS96+Variables!$B$19)-AW96),""))</f>
        <v>-8</v>
      </c>
      <c r="BF96" s="44">
        <f>IF($AX96="Cancelled","",IFERROR(W96*INDEX(Variables!$B$7:$D$7,IFERROR(MATCH(IF($B96="Robusta","Robusta",(IF($B96="","Arabica",$B96))&amp;" - "&amp;(IF($C96="","Commercial",$C96))),Variables!$B$1:$D$1,0),1))*(BE96/365),""))</f>
        <v>-178.85150101212591</v>
      </c>
      <c r="BG96" s="44">
        <f>IF($AX96="Cancelled","",IFERROR((W96*INDEX(Variables!$B$7:$D$7,IFERROR(MATCH(IF($B96="Robusta","Robusta",(IF($B96="","Arabica",$B96))&amp;" - "&amp;(IF($C96="","Commercial",$C96))),Variables!$B$1:$D$1,0),1))*IFERROR(IF(AB96="","",(AVERAGE(E96:F96)-AB96)-Variables!$B$14),"")/365)+(L96/16.67*INDEX(Variables!$B$8:$D$8,IFERROR(MATCH(IF($B96="Robusta","Robusta",(IF($B96="","Arabica",$B96))&amp;" - "&amp;(IF($C96="","Commercial",$C96))),Variables!$B$1:$D$1,0),1))*IFERROR(IF(AB96="","",(AVERAGE(E96:F96)-AB96)-Variables!$B$14),""))+(W96*INDEX(Variables!$B$9:$D$9,IFERROR(MATCH(IF($B96="Robusta","Robusta",(IF($B96="","Arabica",$B96))&amp;" - "&amp;(IF($C96="","Commercial",$C96))),Variables!$B$1:$D$1,0),1))*IFERROR(IF(AB96="","",(AVERAGE(E96:F96)-AB96)-Variables!$B$14),"")/365),""))</f>
        <v>650.31448403917636</v>
      </c>
      <c r="BH96" s="44">
        <f>IF($AX96="Cancelled","",IFERROR((W96*INDEX(Variables!$B$7:$D$7,IFERROR(MATCH(IF($B96="Robusta","Robusta",(IF($B96="","Arabica",$B96))&amp;" - "&amp;(IF($C96="","Commercial",$C96))),Variables!$B$1:$D$1,0),1))*AK96/365)+(L96/16.67*INDEX(Variables!$B$8:$D$8,IFERROR(MATCH(IF($B96="Robusta","Robusta",(IF($B96="","Arabica",$B96))&amp;" - "&amp;(IF($C96="","Commercial",$C96))),Variables!$B$1:$D$1,0),1))*AK96)+(W96*INDEX(Variables!$B$9:$D$9,IFERROR(MATCH(IF($B96="Robusta","Robusta",(IF($B96="","Arabica",$B96))&amp;" - "&amp;(IF($C96="","Commercial",$C96))),Variables!$B$1:$D$1,0),1))*AK96/365),""))</f>
        <v>325.15724201958818</v>
      </c>
      <c r="BI96" s="44">
        <f>IF($AX96="Cancelled","",IFERROR((W96*INDEX(Variables!$B$7:$D$7,IFERROR(MATCH(IF($B96="Robusta","Robusta",(IF($B96="","Arabica",$B96))&amp;" - "&amp;(IF($C96="","Commercial",$C96))),Variables!$B$1:$D$1,0),1))*BD96/365)+(L96/16.67*INDEX(Variables!$B$8:$D$8,IFERROR(MATCH(IF($B96="Robusta","Robusta",(IF($B96="","Arabica",$B96))&amp;" - "&amp;(IF($C96="","Commercial",$C96))),Variables!$B$1:$D$1,0),1))*BD96)+(W96*INDEX(Variables!$B$9:$D$9,IFERROR(MATCH(IF($B96="Robusta","Robusta",(IF($B96="","Arabica",$B96))&amp;" - "&amp;(IF($C96="","Commercial",$C96))),Variables!$B$1:$D$1,0),1))*BD96/365),""))</f>
        <v>284.51258676713957</v>
      </c>
      <c r="BJ96" s="44">
        <f t="shared" si="5"/>
        <v>28</v>
      </c>
      <c r="BK96" s="44">
        <f>IF($AX96="Cancelled","",IFERROR(IF(BJ96="","",(W96*INDEX(Variables!$B$7:$D$7,IFERROR(MATCH(IF($B96="Robusta","Robusta",(IF($B96="","Arabica",$B96))&amp;" - "&amp;(IF($C96="","Commercial",$C96))),Variables!$B$1:$D$1,0),1))*(BJ96/365))+(W96*INDEX(Variables!$B$9:$D$9,IFERROR(MATCH(IF($B96="Robusta","Robusta",(IF($B96="","Arabica",$B96))&amp;" - "&amp;(IF($C96="","Commercial",$C96))),Variables!$B$1:$D$1,0),1))*(BJ96/365))+(INDEX(Variables!$B$8:$D$8,IFERROR(MATCH(IF($B96="Robusta","Robusta",(IF($B96="","Arabica",$B96))&amp;" - "&amp;(IF($C96="","Commercial",$C96))),Variables!$B$1:$D$1,0),1))*L96/16.67)),""))</f>
        <v>652.05034706855838</v>
      </c>
    </row>
    <row r="97" spans="1:63">
      <c r="A97" s="13" t="s">
        <v>103</v>
      </c>
      <c r="B97" s="13" t="s">
        <v>104</v>
      </c>
      <c r="C97" s="13" t="s">
        <v>105</v>
      </c>
      <c r="D97" s="31">
        <v>45671</v>
      </c>
      <c r="E97" s="31">
        <v>45671</v>
      </c>
      <c r="F97" s="31">
        <v>45703</v>
      </c>
      <c r="G97" s="13">
        <v>3786599</v>
      </c>
      <c r="H97" s="13" t="s">
        <v>461</v>
      </c>
      <c r="J97" s="13" t="s">
        <v>118</v>
      </c>
      <c r="K97" s="13">
        <v>5160</v>
      </c>
      <c r="L97" s="13">
        <v>320</v>
      </c>
      <c r="M97" s="13">
        <v>1</v>
      </c>
      <c r="N97" s="13" t="s">
        <v>462</v>
      </c>
      <c r="O97" s="13" t="s">
        <v>456</v>
      </c>
      <c r="P97" s="13">
        <v>10140</v>
      </c>
      <c r="R97" s="13" t="s">
        <v>110</v>
      </c>
      <c r="S97" s="13" t="s">
        <v>463</v>
      </c>
      <c r="T97" s="13" t="s">
        <v>458</v>
      </c>
      <c r="U97" s="13" t="s">
        <v>125</v>
      </c>
      <c r="V97" s="13">
        <v>-44</v>
      </c>
      <c r="W97" s="44">
        <f>IF($AX97="Cancelled","",IFERROR(((V97+INDEX(Variables!$B$6:$D$6,IFERROR(MATCH(IF($B97="Robusta","Robusta",(IF($B97="","Arabica",$B97))&amp;" - "&amp;(IF($C97="","Commercial",$C97))),Variables!$B$1:$D$1,0),1)))*22.0462)*(L97/16.67),""))</f>
        <v>104446.35220155968</v>
      </c>
      <c r="X97" s="55" t="s">
        <v>37</v>
      </c>
      <c r="Y97" s="13" t="str">
        <f>IF($AX97="Cancelled","",IF(X97="","",IFERROR(IF(INDEX(Variables!$B$38:$B$47,MATCH(X97,Variables!$A$38:$A$47,0))="Yes","Yes","No"),"No")))</f>
        <v>Yes</v>
      </c>
      <c r="Z97" s="58">
        <v>45673</v>
      </c>
      <c r="AB97" s="31">
        <v>45686</v>
      </c>
      <c r="AC97" s="13" t="str">
        <f t="shared" si="3"/>
        <v>Approved</v>
      </c>
      <c r="AF97" s="71">
        <v>45687</v>
      </c>
      <c r="AG97" s="35">
        <f>IF($AX97="Cancelled","",IFERROR(IF(F97="","",F97-Variables!$B$13),""))</f>
        <v>45688</v>
      </c>
      <c r="AH97" s="13">
        <f>IF($AX97="Cancelled","",IFERROR(IF(AB97="","",(AVERAGE(E97:F97)-AB97)-Variables!$B$14),""))</f>
        <v>-29</v>
      </c>
      <c r="AJ97" s="47">
        <v>45693</v>
      </c>
      <c r="AK97" s="14">
        <f>IF($AX97="Cancelled","",IFERROR(IF(AJ97="","",IF(AND(AB97="",AF97=""),"",IF(AF97&gt;AB97,AF97+Variables!$B$15+Variables!$B$16+Variables!$B$17-AJ97,AB97+Variables!$B$16+Variables!$B$17-AJ97))),""))</f>
        <v>9</v>
      </c>
      <c r="AL97" s="48" t="s">
        <v>114</v>
      </c>
      <c r="AM97" s="13" t="s">
        <v>168</v>
      </c>
      <c r="AN97" s="13" t="s">
        <v>334</v>
      </c>
      <c r="AP97" s="31">
        <v>45708</v>
      </c>
      <c r="AR97" s="13" t="s">
        <v>464</v>
      </c>
      <c r="AS97" s="31">
        <v>45708</v>
      </c>
      <c r="AU97" s="31">
        <v>45713</v>
      </c>
      <c r="AV97" s="13" t="s">
        <v>865</v>
      </c>
      <c r="AW97" s="31">
        <v>45714</v>
      </c>
      <c r="AX97" s="13" t="str">
        <f>IF(ISNUMBER(SEARCH("cancel",#REF!)),"Cancelled",IF(AND(AS97&lt;&gt;"",AU97&lt;&gt;"",AW97&lt;&gt;""),"Closed","Open"))</f>
        <v>Closed</v>
      </c>
      <c r="AY97" s="15" t="str">
        <f t="shared" si="4"/>
        <v>All dates received</v>
      </c>
      <c r="BD97" s="13">
        <f>IF($AX97="Cancelled","",IFERROR(IF(OR(AS97="",AJ97=""),"",(AJ97+Variables!$B$18-AS97)),""))</f>
        <v>0</v>
      </c>
      <c r="BE97" s="13">
        <f>IF($AX97="Cancelled","",IFERROR(IF(OR(AW97="",AS97=""),"",(AS97+Variables!$B$19)-AW97),""))</f>
        <v>-1</v>
      </c>
      <c r="BF97" s="44">
        <f>IF($AX97="Cancelled","",IFERROR(W97*INDEX(Variables!$B$7:$D$7,IFERROR(MATCH(IF($B97="Robusta","Robusta",(IF($B97="","Arabica",$B97))&amp;" - "&amp;(IF($C97="","Commercial",$C97))),Variables!$B$1:$D$1,0),1))*(BE97/365),""))</f>
        <v>-18.451864580634005</v>
      </c>
      <c r="BG97" s="44">
        <f>IF($AX97="Cancelled","",IFERROR((W97*INDEX(Variables!$B$7:$D$7,IFERROR(MATCH(IF($B97="Robusta","Robusta",(IF($B97="","Arabica",$B97))&amp;" - "&amp;(IF($C97="","Commercial",$C97))),Variables!$B$1:$D$1,0),1))*IFERROR(IF(AB97="","",(AVERAGE(E97:F97)-AB97)-Variables!$B$14),"")/365)+(L97/16.67*INDEX(Variables!$B$8:$D$8,IFERROR(MATCH(IF($B97="Robusta","Robusta",(IF($B97="","Arabica",$B97))&amp;" - "&amp;(IF($C97="","Commercial",$C97))),Variables!$B$1:$D$1,0),1))*IFERROR(IF(AB97="","",(AVERAGE(E97:F97)-AB97)-Variables!$B$14),""))+(W97*INDEX(Variables!$B$9:$D$9,IFERROR(MATCH(IF($B97="Robusta","Robusta",(IF($B97="","Arabica",$B97))&amp;" - "&amp;(IF($C97="","Commercial",$C97))),Variables!$B$1:$D$1,0),1))*IFERROR(IF(AB97="","",(AVERAGE(E97:F97)-AB97)-Variables!$B$14),"")/365),""))</f>
        <v>-1006.0025970163849</v>
      </c>
      <c r="BH97" s="44">
        <f>IF($AX97="Cancelled","",IFERROR((W97*INDEX(Variables!$B$7:$D$7,IFERROR(MATCH(IF($B97="Robusta","Robusta",(IF($B97="","Arabica",$B97))&amp;" - "&amp;(IF($C97="","Commercial",$C97))),Variables!$B$1:$D$1,0),1))*AK97/365)+(L97/16.67*INDEX(Variables!$B$8:$D$8,IFERROR(MATCH(IF($B97="Robusta","Robusta",(IF($B97="","Arabica",$B97))&amp;" - "&amp;(IF($C97="","Commercial",$C97))),Variables!$B$1:$D$1,0),1))*AK97)+(W97*INDEX(Variables!$B$9:$D$9,IFERROR(MATCH(IF($B97="Robusta","Robusta",(IF($B97="","Arabica",$B97))&amp;" - "&amp;(IF($C97="","Commercial",$C97))),Variables!$B$1:$D$1,0),1))*AK97/365),""))</f>
        <v>312.20770252232643</v>
      </c>
      <c r="BI97" s="44">
        <f>IF($AX97="Cancelled","",IFERROR((W97*INDEX(Variables!$B$7:$D$7,IFERROR(MATCH(IF($B97="Robusta","Robusta",(IF($B97="","Arabica",$B97))&amp;" - "&amp;(IF($C97="","Commercial",$C97))),Variables!$B$1:$D$1,0),1))*BD97/365)+(L97/16.67*INDEX(Variables!$B$8:$D$8,IFERROR(MATCH(IF($B97="Robusta","Robusta",(IF($B97="","Arabica",$B97))&amp;" - "&amp;(IF($C97="","Commercial",$C97))),Variables!$B$1:$D$1,0),1))*BD97)+(W97*INDEX(Variables!$B$9:$D$9,IFERROR(MATCH(IF($B97="Robusta","Robusta",(IF($B97="","Arabica",$B97))&amp;" - "&amp;(IF($C97="","Commercial",$C97))),Variables!$B$1:$D$1,0),1))*BD97/365),""))</f>
        <v>0</v>
      </c>
      <c r="BJ97" s="44">
        <f t="shared" si="5"/>
        <v>-5</v>
      </c>
      <c r="BK97" s="44">
        <f>IF($AX97="Cancelled","",IFERROR(IF(BJ97="","",(W97*INDEX(Variables!$B$7:$D$7,IFERROR(MATCH(IF($B97="Robusta","Robusta",(IF($B97="","Arabica",$B97))&amp;" - "&amp;(IF($C97="","Commercial",$C97))),Variables!$B$1:$D$1,0),1))*(BJ97/365))+(W97*INDEX(Variables!$B$9:$D$9,IFERROR(MATCH(IF($B97="Robusta","Robusta",(IF($B97="","Arabica",$B97))&amp;" - "&amp;(IF($C97="","Commercial",$C97))),Variables!$B$1:$D$1,0),1))*(BJ97/365))+(INDEX(Variables!$B$8:$D$8,IFERROR(MATCH(IF($B97="Robusta","Robusta",(IF($B97="","Arabica",$B97))&amp;" - "&amp;(IF($C97="","Commercial",$C97))),Variables!$B$1:$D$1,0),1))*L97/16.67)),""))</f>
        <v>-77.448723623514638</v>
      </c>
    </row>
    <row r="98" spans="1:63">
      <c r="A98" s="13" t="s">
        <v>103</v>
      </c>
      <c r="B98" s="13" t="s">
        <v>104</v>
      </c>
      <c r="C98" s="13" t="s">
        <v>105</v>
      </c>
      <c r="D98" s="31">
        <v>45671</v>
      </c>
      <c r="E98" s="31">
        <v>45717</v>
      </c>
      <c r="F98" s="31">
        <v>45747</v>
      </c>
      <c r="G98" s="13">
        <v>3786600</v>
      </c>
      <c r="H98" s="13">
        <v>93067</v>
      </c>
      <c r="J98" s="13" t="s">
        <v>118</v>
      </c>
      <c r="K98" s="13">
        <v>5173</v>
      </c>
      <c r="L98" s="13">
        <v>320</v>
      </c>
      <c r="M98" s="13">
        <v>1</v>
      </c>
      <c r="N98" s="13" t="s">
        <v>456</v>
      </c>
      <c r="O98" s="13" t="s">
        <v>456</v>
      </c>
      <c r="P98" s="13">
        <v>10140</v>
      </c>
      <c r="R98" s="13" t="s">
        <v>110</v>
      </c>
      <c r="S98" s="13" t="s">
        <v>463</v>
      </c>
      <c r="T98" s="13" t="s">
        <v>458</v>
      </c>
      <c r="U98" s="13" t="s">
        <v>125</v>
      </c>
      <c r="V98" s="13">
        <v>-44</v>
      </c>
      <c r="W98" s="44">
        <f>IF($AX98="Cancelled","",IFERROR(((V98+INDEX(Variables!$B$6:$D$6,IFERROR(MATCH(IF($B98="Robusta","Robusta",(IF($B98="","Arabica",$B98))&amp;" - "&amp;(IF($C98="","Commercial",$C98))),Variables!$B$1:$D$1,0),1)))*22.0462)*(L98/16.67),""))</f>
        <v>104446.35220155968</v>
      </c>
      <c r="X98" s="55" t="s">
        <v>37</v>
      </c>
      <c r="Y98" s="13" t="str">
        <f>IF($AX98="Cancelled","",IF(X98="","",IFERROR(IF(INDEX(Variables!$B$38:$B$47,MATCH(X98,Variables!$A$38:$A$47,0))="Yes","Yes","No"),"No")))</f>
        <v>Yes</v>
      </c>
      <c r="Z98" s="58">
        <v>45673</v>
      </c>
      <c r="AB98" s="31">
        <v>45686</v>
      </c>
      <c r="AC98" s="13" t="str">
        <f t="shared" si="3"/>
        <v>Approved</v>
      </c>
      <c r="AF98" s="71">
        <v>45688</v>
      </c>
      <c r="AG98" s="35">
        <f>IF($AX98="Cancelled","",IFERROR(IF(F98="","",F98-Variables!$B$13),""))</f>
        <v>45732</v>
      </c>
      <c r="AH98" s="13">
        <f>IF($AX98="Cancelled","",IFERROR(IF(AB98="","",(AVERAGE(E98:F98)-AB98)-Variables!$B$14),""))</f>
        <v>16</v>
      </c>
      <c r="AJ98" s="47">
        <v>45696</v>
      </c>
      <c r="AK98" s="14">
        <f>IF($AX98="Cancelled","",IFERROR(IF(AJ98="","",IF(AND(AB98="",AF98=""),"",IF(AF98&gt;AB98,AF98+Variables!$B$15+Variables!$B$16+Variables!$B$17-AJ98,AB98+Variables!$B$16+Variables!$B$17-AJ98))),""))</f>
        <v>7</v>
      </c>
      <c r="AL98" s="48" t="s">
        <v>114</v>
      </c>
      <c r="AM98" s="13" t="s">
        <v>168</v>
      </c>
      <c r="AN98" s="13" t="s">
        <v>334</v>
      </c>
      <c r="AP98" s="31">
        <v>45708</v>
      </c>
      <c r="AR98" s="13" t="s">
        <v>465</v>
      </c>
      <c r="AS98" s="31">
        <v>45708</v>
      </c>
      <c r="AU98" s="31">
        <v>45713</v>
      </c>
      <c r="AV98" s="13" t="s">
        <v>865</v>
      </c>
      <c r="AW98" s="31">
        <v>45715</v>
      </c>
      <c r="AX98" s="13" t="str">
        <f>IF(ISNUMBER(SEARCH("cancel",#REF!)),"Cancelled",IF(AND(AS98&lt;&gt;"",AU98&lt;&gt;"",AW98&lt;&gt;""),"Closed","Open"))</f>
        <v>Closed</v>
      </c>
      <c r="AY98" s="15" t="str">
        <f t="shared" si="4"/>
        <v>All dates received</v>
      </c>
      <c r="BD98" s="13">
        <f>IF($AX98="Cancelled","",IFERROR(IF(OR(AS98="",AJ98=""),"",(AJ98+Variables!$B$18-AS98)),""))</f>
        <v>3</v>
      </c>
      <c r="BE98" s="13">
        <f>IF($AX98="Cancelled","",IFERROR(IF(OR(AW98="",AS98=""),"",(AS98+Variables!$B$19)-AW98),""))</f>
        <v>-2</v>
      </c>
      <c r="BF98" s="44">
        <f>IF($AX98="Cancelled","",IFERROR(W98*INDEX(Variables!$B$7:$D$7,IFERROR(MATCH(IF($B98="Robusta","Robusta",(IF($B98="","Arabica",$B98))&amp;" - "&amp;(IF($C98="","Commercial",$C98))),Variables!$B$1:$D$1,0),1))*(BE98/365),""))</f>
        <v>-36.903729161268011</v>
      </c>
      <c r="BG98" s="44">
        <f>IF($AX98="Cancelled","",IFERROR((W98*INDEX(Variables!$B$7:$D$7,IFERROR(MATCH(IF($B98="Robusta","Robusta",(IF($B98="","Arabica",$B98))&amp;" - "&amp;(IF($C98="","Commercial",$C98))),Variables!$B$1:$D$1,0),1))*IFERROR(IF(AB98="","",(AVERAGE(E98:F98)-AB98)-Variables!$B$14),"")/365)+(L98/16.67*INDEX(Variables!$B$8:$D$8,IFERROR(MATCH(IF($B98="Robusta","Robusta",(IF($B98="","Arabica",$B98))&amp;" - "&amp;(IF($C98="","Commercial",$C98))),Variables!$B$1:$D$1,0),1))*IFERROR(IF(AB98="","",(AVERAGE(E98:F98)-AB98)-Variables!$B$14),""))+(W98*INDEX(Variables!$B$9:$D$9,IFERROR(MATCH(IF($B98="Robusta","Robusta",(IF($B98="","Arabica",$B98))&amp;" - "&amp;(IF($C98="","Commercial",$C98))),Variables!$B$1:$D$1,0),1))*IFERROR(IF(AB98="","",(AVERAGE(E98:F98)-AB98)-Variables!$B$14),"")/365),""))</f>
        <v>555.03591559524693</v>
      </c>
      <c r="BH98" s="44">
        <f>IF($AX98="Cancelled","",IFERROR((W98*INDEX(Variables!$B$7:$D$7,IFERROR(MATCH(IF($B98="Robusta","Robusta",(IF($B98="","Arabica",$B98))&amp;" - "&amp;(IF($C98="","Commercial",$C98))),Variables!$B$1:$D$1,0),1))*AK98/365)+(L98/16.67*INDEX(Variables!$B$8:$D$8,IFERROR(MATCH(IF($B98="Robusta","Robusta",(IF($B98="","Arabica",$B98))&amp;" - "&amp;(IF($C98="","Commercial",$C98))),Variables!$B$1:$D$1,0),1))*AK98)+(W98*INDEX(Variables!$B$9:$D$9,IFERROR(MATCH(IF($B98="Robusta","Robusta",(IF($B98="","Arabica",$B98))&amp;" - "&amp;(IF($C98="","Commercial",$C98))),Variables!$B$1:$D$1,0),1))*AK98/365),""))</f>
        <v>242.82821307292048</v>
      </c>
      <c r="BI98" s="44">
        <f>IF($AX98="Cancelled","",IFERROR((W98*INDEX(Variables!$B$7:$D$7,IFERROR(MATCH(IF($B98="Robusta","Robusta",(IF($B98="","Arabica",$B98))&amp;" - "&amp;(IF($C98="","Commercial",$C98))),Variables!$B$1:$D$1,0),1))*BD98/365)+(L98/16.67*INDEX(Variables!$B$8:$D$8,IFERROR(MATCH(IF($B98="Robusta","Robusta",(IF($B98="","Arabica",$B98))&amp;" - "&amp;(IF($C98="","Commercial",$C98))),Variables!$B$1:$D$1,0),1))*BD98)+(W98*INDEX(Variables!$B$9:$D$9,IFERROR(MATCH(IF($B98="Robusta","Robusta",(IF($B98="","Arabica",$B98))&amp;" - "&amp;(IF($C98="","Commercial",$C98))),Variables!$B$1:$D$1,0),1))*BD98/365),""))</f>
        <v>104.06923417410879</v>
      </c>
      <c r="BJ98" s="44">
        <f t="shared" si="5"/>
        <v>39</v>
      </c>
      <c r="BK98" s="44">
        <f>IF($AX98="Cancelled","",IFERROR(IF(BJ98="","",(W98*INDEX(Variables!$B$7:$D$7,IFERROR(MATCH(IF($B98="Robusta","Robusta",(IF($B98="","Arabica",$B98))&amp;" - "&amp;(IF($C98="","Commercial",$C98))),Variables!$B$1:$D$1,0),1))*(BJ98/365))+(W98*INDEX(Variables!$B$9:$D$9,IFERROR(MATCH(IF($B98="Robusta","Robusta",(IF($B98="","Arabica",$B98))&amp;" - "&amp;(IF($C98="","Commercial",$C98))),Variables!$B$1:$D$1,0),1))*(BJ98/365))+(INDEX(Variables!$B$8:$D$8,IFERROR(MATCH(IF($B98="Robusta","Robusta",(IF($B98="","Arabica",$B98))&amp;" - "&amp;(IF($C98="","Commercial",$C98))),Variables!$B$1:$D$1,0),1))*L98/16.67)),""))</f>
        <v>744.90004426341432</v>
      </c>
    </row>
    <row r="99" spans="1:63">
      <c r="A99" s="13" t="s">
        <v>103</v>
      </c>
      <c r="B99" s="13" t="s">
        <v>104</v>
      </c>
      <c r="C99" s="13" t="s">
        <v>292</v>
      </c>
      <c r="D99" s="31">
        <v>45672</v>
      </c>
      <c r="E99" s="31">
        <v>45689</v>
      </c>
      <c r="F99" s="31">
        <v>45716</v>
      </c>
      <c r="G99" s="13">
        <v>3786601</v>
      </c>
      <c r="H99" s="13" t="s">
        <v>466</v>
      </c>
      <c r="J99" s="13" t="s">
        <v>294</v>
      </c>
      <c r="L99" s="13">
        <v>60</v>
      </c>
      <c r="M99" s="13">
        <v>0</v>
      </c>
      <c r="N99" s="13" t="s">
        <v>467</v>
      </c>
      <c r="P99" s="13">
        <v>0</v>
      </c>
      <c r="R99" s="13" t="s">
        <v>467</v>
      </c>
      <c r="S99" s="13" t="s">
        <v>467</v>
      </c>
      <c r="T99" s="13" t="s">
        <v>467</v>
      </c>
      <c r="U99" s="13" t="s">
        <v>467</v>
      </c>
      <c r="W99" s="44">
        <f>IF($AX99="Cancelled","",IFERROR(((V99+INDEX(Variables!$B$6:$D$6,IFERROR(MATCH(IF($B99="Robusta","Robusta",(IF($B99="","Arabica",$B99))&amp;" - "&amp;(IF($C99="","Commercial",$C99))),Variables!$B$1:$D$1,0),1)))*22.0462)*(L99/16.67),""))</f>
        <v>23075.110833833231</v>
      </c>
      <c r="Y99" s="13" t="str">
        <f>IF($AX99="Cancelled","",IF(X99="","",IFERROR(IF(INDEX(Variables!$B$38:$B$47,MATCH(X99,Variables!$A$38:$A$47,0))="Yes","Yes","No"),"No")))</f>
        <v/>
      </c>
      <c r="Z99" s="31">
        <v>45672</v>
      </c>
      <c r="AB99" s="31">
        <v>45672</v>
      </c>
      <c r="AC99" s="13" t="str">
        <f t="shared" si="3"/>
        <v>Approved</v>
      </c>
      <c r="AD99" s="31">
        <v>45672</v>
      </c>
      <c r="AF99" s="71">
        <f>AJ99-7</f>
        <v>45665</v>
      </c>
      <c r="AG99" s="35">
        <f>IF($AX99="Cancelled","",IFERROR(IF(F99="","",F99-Variables!$B$13),""))</f>
        <v>45701</v>
      </c>
      <c r="AH99" s="13">
        <f>IF($AX99="Cancelled","",IFERROR(IF(AB99="","",(AVERAGE(E99:F99)-AB99)-Variables!$B$14),""))</f>
        <v>0.5</v>
      </c>
      <c r="AI99" s="13">
        <v>45672</v>
      </c>
      <c r="AJ99" s="47">
        <v>45672</v>
      </c>
      <c r="AK99" s="14">
        <f>IF($AX99="Cancelled","",IFERROR(IF(AJ99="","",IF(AND(AB99="",AF99=""),"",IF(AF99&gt;AB99,AF99+Variables!$B$15+Variables!$B$16+Variables!$B$17-AJ99,AB99+Variables!$B$16+Variables!$B$17-AJ99))),""))</f>
        <v>8</v>
      </c>
      <c r="AL99" s="48" t="s">
        <v>114</v>
      </c>
      <c r="AM99" s="13" t="s">
        <v>467</v>
      </c>
      <c r="AN99" s="13" t="s">
        <v>467</v>
      </c>
      <c r="AO99" s="31">
        <v>45672</v>
      </c>
      <c r="AP99" s="31">
        <v>45672</v>
      </c>
      <c r="AQ99" s="31">
        <v>45672</v>
      </c>
      <c r="AR99" s="13" t="s">
        <v>467</v>
      </c>
      <c r="AS99" s="31">
        <v>45672</v>
      </c>
      <c r="AU99" s="31">
        <v>45672</v>
      </c>
      <c r="AV99" s="13" t="s">
        <v>467</v>
      </c>
      <c r="AW99" s="31">
        <v>45672</v>
      </c>
      <c r="AX99" s="13" t="str">
        <f>IF(ISNUMBER(SEARCH("cancel",#REF!)),"Cancelled",IF(AND(AS99&lt;&gt;"",AU99&lt;&gt;"",AW99&lt;&gt;""),"Closed","Open"))</f>
        <v>Closed</v>
      </c>
      <c r="AY99" s="15" t="str">
        <f t="shared" si="4"/>
        <v>All dates received</v>
      </c>
      <c r="BD99" s="13">
        <f>IF($AX99="Cancelled","",IFERROR(IF(OR(AS99="",AJ99=""),"",(AJ99+Variables!$B$18-AS99)),""))</f>
        <v>15</v>
      </c>
      <c r="BE99" s="13">
        <f>IF($AX99="Cancelled","",IFERROR(IF(OR(AW99="",AS99=""),"",(AS99+Variables!$B$19)-AW99),""))</f>
        <v>5</v>
      </c>
      <c r="BF99" s="44">
        <f>IF($AX99="Cancelled","",IFERROR(W99*INDEX(Variables!$B$7:$D$7,IFERROR(MATCH(IF($B99="Robusta","Robusta",(IF($B99="","Arabica",$B99))&amp;" - "&amp;(IF($C99="","Commercial",$C99))),Variables!$B$1:$D$1,0),1))*(BE99/365),""))</f>
        <v>20.38265632615618</v>
      </c>
      <c r="BG99" s="44">
        <f>IF($AX99="Cancelled","",IFERROR((W99*INDEX(Variables!$B$7:$D$7,IFERROR(MATCH(IF($B99="Robusta","Robusta",(IF($B99="","Arabica",$B99))&amp;" - "&amp;(IF($C99="","Commercial",$C99))),Variables!$B$1:$D$1,0),1))*IFERROR(IF(AB99="","",(AVERAGE(E99:F99)-AB99)-Variables!$B$14),"")/365)+(L99/16.67*INDEX(Variables!$B$8:$D$8,IFERROR(MATCH(IF($B99="Robusta","Robusta",(IF($B99="","Arabica",$B99))&amp;" - "&amp;(IF($C99="","Commercial",$C99))),Variables!$B$1:$D$1,0),1))*IFERROR(IF(AB99="","",(AVERAGE(E99:F99)-AB99)-Variables!$B$14),""))+(W99*INDEX(Variables!$B$9:$D$9,IFERROR(MATCH(IF($B99="Robusta","Robusta",(IF($B99="","Arabica",$B99))&amp;" - "&amp;(IF($C99="","Commercial",$C99))),Variables!$B$1:$D$1,0),1))*IFERROR(IF(AB99="","",(AVERAGE(E99:F99)-AB99)-Variables!$B$14),"")/365),""))</f>
        <v>3.5645428101994066</v>
      </c>
      <c r="BH99" s="44">
        <f>IF($AX99="Cancelled","",IFERROR((W99*INDEX(Variables!$B$7:$D$7,IFERROR(MATCH(IF($B99="Robusta","Robusta",(IF($B99="","Arabica",$B99))&amp;" - "&amp;(IF($C99="","Commercial",$C99))),Variables!$B$1:$D$1,0),1))*AK99/365)+(L99/16.67*INDEX(Variables!$B$8:$D$8,IFERROR(MATCH(IF($B99="Robusta","Robusta",(IF($B99="","Arabica",$B99))&amp;" - "&amp;(IF($C99="","Commercial",$C99))),Variables!$B$1:$D$1,0),1))*AK99)+(W99*INDEX(Variables!$B$9:$D$9,IFERROR(MATCH(IF($B99="Robusta","Robusta",(IF($B99="","Arabica",$B99))&amp;" - "&amp;(IF($C99="","Commercial",$C99))),Variables!$B$1:$D$1,0),1))*AK99/365),""))</f>
        <v>57.032684963190505</v>
      </c>
      <c r="BI99" s="44">
        <f>IF($AX99="Cancelled","",IFERROR((W99*INDEX(Variables!$B$7:$D$7,IFERROR(MATCH(IF($B99="Robusta","Robusta",(IF($B99="","Arabica",$B99))&amp;" - "&amp;(IF($C99="","Commercial",$C99))),Variables!$B$1:$D$1,0),1))*BD99/365)+(L99/16.67*INDEX(Variables!$B$8:$D$8,IFERROR(MATCH(IF($B99="Robusta","Robusta",(IF($B99="","Arabica",$B99))&amp;" - "&amp;(IF($C99="","Commercial",$C99))),Variables!$B$1:$D$1,0),1))*BD99)+(W99*INDEX(Variables!$B$9:$D$9,IFERROR(MATCH(IF($B99="Robusta","Robusta",(IF($B99="","Arabica",$B99))&amp;" - "&amp;(IF($C99="","Commercial",$C99))),Variables!$B$1:$D$1,0),1))*BD99/365),""))</f>
        <v>106.93628430598221</v>
      </c>
      <c r="BJ99" s="44">
        <f t="shared" si="5"/>
        <v>44</v>
      </c>
      <c r="BK99" s="44">
        <f>IF($AX99="Cancelled","",IFERROR(IF(BJ99="","",(W99*INDEX(Variables!$B$7:$D$7,IFERROR(MATCH(IF($B99="Robusta","Robusta",(IF($B99="","Arabica",$B99))&amp;" - "&amp;(IF($C99="","Commercial",$C99))),Variables!$B$1:$D$1,0),1))*(BJ99/365))+(W99*INDEX(Variables!$B$9:$D$9,IFERROR(MATCH(IF($B99="Robusta","Robusta",(IF($B99="","Arabica",$B99))&amp;" - "&amp;(IF($C99="","Commercial",$C99))),Variables!$B$1:$D$1,0),1))*(BJ99/365))+(INDEX(Variables!$B$8:$D$8,IFERROR(MATCH(IF($B99="Robusta","Robusta",(IF($B99="","Arabica",$B99))&amp;" - "&amp;(IF($C99="","Commercial",$C99))),Variables!$B$1:$D$1,0),1))*L99/16.67)),""))</f>
        <v>184.67976729754778</v>
      </c>
    </row>
    <row r="100" spans="1:63">
      <c r="A100" s="13" t="s">
        <v>103</v>
      </c>
      <c r="B100" s="13" t="s">
        <v>104</v>
      </c>
      <c r="C100" s="13" t="s">
        <v>292</v>
      </c>
      <c r="D100" s="31">
        <v>45672</v>
      </c>
      <c r="E100" s="31">
        <v>45689</v>
      </c>
      <c r="F100" s="31">
        <v>45716</v>
      </c>
      <c r="G100" s="13">
        <v>3786602</v>
      </c>
      <c r="H100" s="13" t="s">
        <v>468</v>
      </c>
      <c r="J100" s="13" t="s">
        <v>294</v>
      </c>
      <c r="K100" s="13" t="s">
        <v>469</v>
      </c>
      <c r="L100" s="13">
        <v>48</v>
      </c>
      <c r="M100" s="13">
        <v>1</v>
      </c>
      <c r="N100" s="13" t="s">
        <v>470</v>
      </c>
      <c r="O100" s="13" t="s">
        <v>297</v>
      </c>
      <c r="P100" s="13">
        <v>10020</v>
      </c>
      <c r="R100" s="13" t="s">
        <v>384</v>
      </c>
      <c r="S100" s="13" t="s">
        <v>299</v>
      </c>
      <c r="T100" s="13" t="s">
        <v>305</v>
      </c>
      <c r="U100" s="13" t="s">
        <v>125</v>
      </c>
      <c r="V100" s="13">
        <v>117.05</v>
      </c>
      <c r="W100" s="44">
        <f>IF($AX100="Cancelled","",IFERROR(((V100+INDEX(Variables!$B$6:$D$6,IFERROR(MATCH(IF($B100="Robusta","Robusta",(IF($B100="","Arabica",$B100))&amp;" - "&amp;(IF($C100="","Commercial",$C100))),Variables!$B$1:$D$1,0),1)))*22.0462)*(L100/16.67),""))</f>
        <v>25890.46479664067</v>
      </c>
      <c r="X100" s="55" t="s">
        <v>37</v>
      </c>
      <c r="Y100" s="13" t="str">
        <f>IF($AX100="Cancelled","",IF(X100="","",IFERROR(IF(INDEX(Variables!$B$38:$B$47,MATCH(X100,Variables!$A$38:$A$47,0))="Yes","Yes","No"),"No")))</f>
        <v>Yes</v>
      </c>
      <c r="Z100" s="31">
        <v>45677.875</v>
      </c>
      <c r="AC100" s="13" t="str">
        <f t="shared" si="3"/>
        <v/>
      </c>
      <c r="AF100" s="71">
        <f>AJ100-7</f>
        <v>45681</v>
      </c>
      <c r="AG100" s="36">
        <f>IF($AX100="Cancelled","",IFERROR(IF(F100="","",F100-Variables!$B$13),""))</f>
        <v>45701</v>
      </c>
      <c r="AH100" s="13" t="str">
        <f>IF($AX100="Cancelled","",IFERROR(IF(AB100="","",(AVERAGE(E100:F100)-AB100)-Variables!$B$14),""))</f>
        <v/>
      </c>
      <c r="AJ100" s="47">
        <v>45688</v>
      </c>
      <c r="AK100" s="14">
        <f>IF($AX100="Cancelled","",IFERROR(IF(AJ100="","",IF(AND(AB100="",AF100=""),"",IF(AF100&gt;AB100,AF100+Variables!$B$15+Variables!$B$16+Variables!$B$17-AJ100,AB100+Variables!$B$16+Variables!$B$17-AJ100))),""))</f>
        <v>8</v>
      </c>
      <c r="AL100" s="48" t="s">
        <v>114</v>
      </c>
      <c r="AM100" s="13" t="s">
        <v>168</v>
      </c>
      <c r="AN100" s="13" t="s">
        <v>334</v>
      </c>
      <c r="AP100" s="31">
        <v>45703</v>
      </c>
      <c r="AR100" s="13" t="s">
        <v>3251</v>
      </c>
      <c r="AS100" s="31">
        <v>45708</v>
      </c>
      <c r="AU100" s="31">
        <v>45713</v>
      </c>
      <c r="AV100" s="13" t="s">
        <v>865</v>
      </c>
      <c r="AW100" s="31">
        <v>45716</v>
      </c>
      <c r="AX100" s="13" t="str">
        <f>IF(ISNUMBER(SEARCH("cancel",#REF!)),"Cancelled",IF(AND(AS100&lt;&gt;"",AU100&lt;&gt;"",AW100&lt;&gt;""),"Closed","Open"))</f>
        <v>Closed</v>
      </c>
      <c r="AY100" s="15" t="str">
        <f t="shared" si="4"/>
        <v>All dates received</v>
      </c>
      <c r="BD100" s="13">
        <f>IF($AX100="Cancelled","",IFERROR(IF(OR(AS100="",AJ100=""),"",(AJ100+Variables!$B$18-AS100)),""))</f>
        <v>-5</v>
      </c>
      <c r="BE100" s="13">
        <f>IF($AX100="Cancelled","",IFERROR(IF(OR(AW100="",AS100=""),"",(AS100+Variables!$B$19)-AW100),""))</f>
        <v>-3</v>
      </c>
      <c r="BF100" s="44">
        <f>IF($AX100="Cancelled","",IFERROR(W100*INDEX(Variables!$B$7:$D$7,IFERROR(MATCH(IF($B100="Robusta","Robusta",(IF($B100="","Arabica",$B100))&amp;" - "&amp;(IF($C100="","Commercial",$C100))),Variables!$B$1:$D$1,0),1))*(BE100/365),""))</f>
        <v>-13.721705170766654</v>
      </c>
      <c r="BG100" s="44" t="str">
        <f>IF($AX100="Cancelled","",IFERROR((W100*INDEX(Variables!$B$7:$D$7,IFERROR(MATCH(IF($B100="Robusta","Robusta",(IF($B100="","Arabica",$B100))&amp;" - "&amp;(IF($C100="","Commercial",$C100))),Variables!$B$1:$D$1,0),1))*IFERROR(IF(AB100="","",(AVERAGE(E100:F100)-AB100)-Variables!$B$14),"")/365)+(L100/16.67*INDEX(Variables!$B$8:$D$8,IFERROR(MATCH(IF($B100="Robusta","Robusta",(IF($B100="","Arabica",$B100))&amp;" - "&amp;(IF($C100="","Commercial",$C100))),Variables!$B$1:$D$1,0),1))*IFERROR(IF(AB100="","",(AVERAGE(E100:F100)-AB100)-Variables!$B$14),""))+(W100*INDEX(Variables!$B$9:$D$9,IFERROR(MATCH(IF($B100="Robusta","Robusta",(IF($B100="","Arabica",$B100))&amp;" - "&amp;(IF($C100="","Commercial",$C100))),Variables!$B$1:$D$1,0),1))*IFERROR(IF(AB100="","",(AVERAGE(E100:F100)-AB100)-Variables!$B$14),"")/365),""))</f>
        <v/>
      </c>
      <c r="BH100" s="44">
        <f>IF($AX100="Cancelled","",IFERROR((W100*INDEX(Variables!$B$7:$D$7,IFERROR(MATCH(IF($B100="Robusta","Robusta",(IF($B100="","Arabica",$B100))&amp;" - "&amp;(IF($C100="","Commercial",$C100))),Variables!$B$1:$D$1,0),1))*AK100/365)+(L100/16.67*INDEX(Variables!$B$8:$D$8,IFERROR(MATCH(IF($B100="Robusta","Robusta",(IF($B100="","Arabica",$B100))&amp;" - "&amp;(IF($C100="","Commercial",$C100))),Variables!$B$1:$D$1,0),1))*AK100)+(W100*INDEX(Variables!$B$9:$D$9,IFERROR(MATCH(IF($B100="Robusta","Robusta",(IF($B100="","Arabica",$B100))&amp;" - "&amp;(IF($C100="","Commercial",$C100))),Variables!$B$1:$D$1,0),1))*AK100/365),""))</f>
        <v>56.262945150583896</v>
      </c>
      <c r="BI100" s="44">
        <f>IF($AX100="Cancelled","",IFERROR((W100*INDEX(Variables!$B$7:$D$7,IFERROR(MATCH(IF($B100="Robusta","Robusta",(IF($B100="","Arabica",$B100))&amp;" - "&amp;(IF($C100="","Commercial",$C100))),Variables!$B$1:$D$1,0),1))*BD100/365)+(L100/16.67*INDEX(Variables!$B$8:$D$8,IFERROR(MATCH(IF($B100="Robusta","Robusta",(IF($B100="","Arabica",$B100))&amp;" - "&amp;(IF($C100="","Commercial",$C100))),Variables!$B$1:$D$1,0),1))*BD100)+(W100*INDEX(Variables!$B$9:$D$9,IFERROR(MATCH(IF($B100="Robusta","Robusta",(IF($B100="","Arabica",$B100))&amp;" - "&amp;(IF($C100="","Commercial",$C100))),Variables!$B$1:$D$1,0),1))*BD100/365),""))</f>
        <v>-35.164340719114939</v>
      </c>
      <c r="BJ100" s="44">
        <f t="shared" si="5"/>
        <v>8</v>
      </c>
      <c r="BK100" s="44">
        <f>IF($AX100="Cancelled","",IFERROR(IF(BJ100="","",(W100*INDEX(Variables!$B$7:$D$7,IFERROR(MATCH(IF($B100="Robusta","Robusta",(IF($B100="","Arabica",$B100))&amp;" - "&amp;(IF($C100="","Commercial",$C100))),Variables!$B$1:$D$1,0),1))*(BJ100/365))+(W100*INDEX(Variables!$B$9:$D$9,IFERROR(MATCH(IF($B100="Robusta","Robusta",(IF($B100="","Arabica",$B100))&amp;" - "&amp;(IF($C100="","Commercial",$C100))),Variables!$B$1:$D$1,0),1))*(BJ100/365))+(INDEX(Variables!$B$8:$D$8,IFERROR(MATCH(IF($B100="Robusta","Robusta",(IF($B100="","Arabica",$B100))&amp;" - "&amp;(IF($C100="","Commercial",$C100))),Variables!$B$1:$D$1,0),1))*L100/16.67)),""))</f>
        <v>39.462945150583899</v>
      </c>
    </row>
    <row r="101" spans="1:63">
      <c r="A101" s="13" t="s">
        <v>103</v>
      </c>
      <c r="B101" s="13" t="s">
        <v>104</v>
      </c>
      <c r="C101" s="13" t="s">
        <v>292</v>
      </c>
      <c r="D101" s="31">
        <v>45672</v>
      </c>
      <c r="E101" s="31">
        <v>45689</v>
      </c>
      <c r="F101" s="31">
        <v>45716</v>
      </c>
      <c r="G101" s="13">
        <v>3786603</v>
      </c>
      <c r="H101" s="13" t="s">
        <v>471</v>
      </c>
      <c r="J101" s="13" t="s">
        <v>294</v>
      </c>
      <c r="K101" s="13" t="s">
        <v>472</v>
      </c>
      <c r="L101" s="13">
        <v>22</v>
      </c>
      <c r="M101" s="13">
        <v>1</v>
      </c>
      <c r="N101" s="13" t="s">
        <v>473</v>
      </c>
      <c r="O101" s="13" t="s">
        <v>304</v>
      </c>
      <c r="P101" s="13">
        <v>10010</v>
      </c>
      <c r="R101" s="13" t="s">
        <v>384</v>
      </c>
      <c r="S101" s="13" t="s">
        <v>299</v>
      </c>
      <c r="T101" s="13" t="s">
        <v>305</v>
      </c>
      <c r="U101" s="13" t="s">
        <v>125</v>
      </c>
      <c r="V101" s="13">
        <v>160.05000000000001</v>
      </c>
      <c r="W101" s="44">
        <f>IF($AX101="Cancelled","",IFERROR(((V101+INDEX(Variables!$B$6:$D$6,IFERROR(MATCH(IF($B101="Robusta","Robusta",(IF($B101="","Arabica",$B101))&amp;" - "&amp;(IF($C101="","Commercial",$C101))),Variables!$B$1:$D$1,0),1)))*22.0462)*(L101/16.67),""))</f>
        <v>13117.555125374925</v>
      </c>
      <c r="X101" s="55" t="s">
        <v>37</v>
      </c>
      <c r="Y101" s="13" t="str">
        <f>IF($AX101="Cancelled","",IF(X101="","",IFERROR(IF(INDEX(Variables!$B$38:$B$47,MATCH(X101,Variables!$A$38:$A$47,0))="Yes","Yes","No"),"No")))</f>
        <v>Yes</v>
      </c>
      <c r="Z101" s="31">
        <v>45677.875</v>
      </c>
      <c r="AC101" s="13" t="str">
        <f t="shared" si="3"/>
        <v/>
      </c>
      <c r="AF101" s="71">
        <f>AJ101-7</f>
        <v>45689</v>
      </c>
      <c r="AG101" s="36">
        <f>IF($AX101="Cancelled","",IFERROR(IF(F101="","",F101-Variables!$B$13),""))</f>
        <v>45701</v>
      </c>
      <c r="AH101" s="13" t="str">
        <f>IF($AX101="Cancelled","",IFERROR(IF(AB101="","",(AVERAGE(E101:F101)-AB101)-Variables!$B$14),""))</f>
        <v/>
      </c>
      <c r="AJ101" s="47">
        <v>45696</v>
      </c>
      <c r="AK101" s="14">
        <f>IF($AX101="Cancelled","",IFERROR(IF(AJ101="","",IF(AND(AB101="",AF101=""),"",IF(AF101&gt;AB101,AF101+Variables!$B$15+Variables!$B$16+Variables!$B$17-AJ101,AB101+Variables!$B$16+Variables!$B$17-AJ101))),""))</f>
        <v>8</v>
      </c>
      <c r="AL101" s="48" t="s">
        <v>114</v>
      </c>
      <c r="AM101" s="13" t="s">
        <v>168</v>
      </c>
      <c r="AN101" s="13" t="s">
        <v>334</v>
      </c>
      <c r="AP101" s="31">
        <v>45703</v>
      </c>
      <c r="AR101" s="13" t="s">
        <v>3252</v>
      </c>
      <c r="AS101" s="31">
        <v>45708</v>
      </c>
      <c r="AU101" s="31">
        <v>45713</v>
      </c>
      <c r="AV101" s="13" t="s">
        <v>865</v>
      </c>
      <c r="AW101" s="31">
        <v>45716</v>
      </c>
      <c r="AX101" s="13" t="str">
        <f>IF(ISNUMBER(SEARCH("cancel",#REF!)),"Cancelled",IF(AND(AS101&lt;&gt;"",AU101&lt;&gt;"",AW101&lt;&gt;""),"Closed","Open"))</f>
        <v>Closed</v>
      </c>
      <c r="AY101" s="15" t="str">
        <f t="shared" si="4"/>
        <v>All dates received</v>
      </c>
      <c r="BD101" s="13">
        <f>IF($AX101="Cancelled","",IFERROR(IF(OR(AS101="",AJ101=""),"",(AJ101+Variables!$B$18-AS101)),""))</f>
        <v>3</v>
      </c>
      <c r="BE101" s="13">
        <f>IF($AX101="Cancelled","",IFERROR(IF(OR(AW101="",AS101=""),"",(AS101+Variables!$B$19)-AW101),""))</f>
        <v>-3</v>
      </c>
      <c r="BF101" s="44">
        <f>IF($AX101="Cancelled","",IFERROR(W101*INDEX(Variables!$B$7:$D$7,IFERROR(MATCH(IF($B101="Robusta","Robusta",(IF($B101="","Arabica",$B101))&amp;" - "&amp;(IF($C101="","Commercial",$C101))),Variables!$B$1:$D$1,0),1))*(BE101/365),""))</f>
        <v>-6.9521820255242552</v>
      </c>
      <c r="BG101" s="44" t="str">
        <f>IF($AX101="Cancelled","",IFERROR((W101*INDEX(Variables!$B$7:$D$7,IFERROR(MATCH(IF($B101="Robusta","Robusta",(IF($B101="","Arabica",$B101))&amp;" - "&amp;(IF($C101="","Commercial",$C101))),Variables!$B$1:$D$1,0),1))*IFERROR(IF(AB101="","",(AVERAGE(E101:F101)-AB101)-Variables!$B$14),"")/365)+(L101/16.67*INDEX(Variables!$B$8:$D$8,IFERROR(MATCH(IF($B101="Robusta","Robusta",(IF($B101="","Arabica",$B101))&amp;" - "&amp;(IF($C101="","Commercial",$C101))),Variables!$B$1:$D$1,0),1))*IFERROR(IF(AB101="","",(AVERAGE(E101:F101)-AB101)-Variables!$B$14),""))+(W101*INDEX(Variables!$B$9:$D$9,IFERROR(MATCH(IF($B101="Robusta","Robusta",(IF($B101="","Arabica",$B101))&amp;" - "&amp;(IF($C101="","Commercial",$C101))),Variables!$B$1:$D$1,0),1))*IFERROR(IF(AB101="","",(AVERAGE(E101:F101)-AB101)-Variables!$B$14),"")/365),""))</f>
        <v/>
      </c>
      <c r="BH101" s="44">
        <f>IF($AX101="Cancelled","",IFERROR((W101*INDEX(Variables!$B$7:$D$7,IFERROR(MATCH(IF($B101="Robusta","Robusta",(IF($B101="","Arabica",$B101))&amp;" - "&amp;(IF($C101="","Commercial",$C101))),Variables!$B$1:$D$1,0),1))*AK101/365)+(L101/16.67*INDEX(Variables!$B$8:$D$8,IFERROR(MATCH(IF($B101="Robusta","Robusta",(IF($B101="","Arabica",$B101))&amp;" - "&amp;(IF($C101="","Commercial",$C101))),Variables!$B$1:$D$1,0),1))*AK101)+(W101*INDEX(Variables!$B$9:$D$9,IFERROR(MATCH(IF($B101="Robusta","Robusta",(IF($B101="","Arabica",$B101))&amp;" - "&amp;(IF($C101="","Commercial",$C101))),Variables!$B$1:$D$1,0),1))*AK101/365),""))</f>
        <v>27.578157516299733</v>
      </c>
      <c r="BI101" s="44">
        <f>IF($AX101="Cancelled","",IFERROR((W101*INDEX(Variables!$B$7:$D$7,IFERROR(MATCH(IF($B101="Robusta","Robusta",(IF($B101="","Arabica",$B101))&amp;" - "&amp;(IF($C101="","Commercial",$C101))),Variables!$B$1:$D$1,0),1))*BD101/365)+(L101/16.67*INDEX(Variables!$B$8:$D$8,IFERROR(MATCH(IF($B101="Robusta","Robusta",(IF($B101="","Arabica",$B101))&amp;" - "&amp;(IF($C101="","Commercial",$C101))),Variables!$B$1:$D$1,0),1))*BD101)+(W101*INDEX(Variables!$B$9:$D$9,IFERROR(MATCH(IF($B101="Robusta","Robusta",(IF($B101="","Arabica",$B101))&amp;" - "&amp;(IF($C101="","Commercial",$C101))),Variables!$B$1:$D$1,0),1))*BD101/365),""))</f>
        <v>10.341809068612401</v>
      </c>
      <c r="BJ101" s="44">
        <f t="shared" si="5"/>
        <v>8</v>
      </c>
      <c r="BK101" s="44">
        <f>IF($AX101="Cancelled","",IFERROR(IF(BJ101="","",(W101*INDEX(Variables!$B$7:$D$7,IFERROR(MATCH(IF($B101="Robusta","Robusta",(IF($B101="","Arabica",$B101))&amp;" - "&amp;(IF($C101="","Commercial",$C101))),Variables!$B$1:$D$1,0),1))*(BJ101/365))+(W101*INDEX(Variables!$B$9:$D$9,IFERROR(MATCH(IF($B101="Robusta","Robusta",(IF($B101="","Arabica",$B101))&amp;" - "&amp;(IF($C101="","Commercial",$C101))),Variables!$B$1:$D$1,0),1))*(BJ101/365))+(INDEX(Variables!$B$8:$D$8,IFERROR(MATCH(IF($B101="Robusta","Robusta",(IF($B101="","Arabica",$B101))&amp;" - "&amp;(IF($C101="","Commercial",$C101))),Variables!$B$1:$D$1,0),1))*L101/16.67)),""))</f>
        <v>19.878157516299733</v>
      </c>
    </row>
    <row r="102" spans="1:63">
      <c r="A102" s="13" t="s">
        <v>103</v>
      </c>
      <c r="B102" s="13" t="s">
        <v>104</v>
      </c>
      <c r="C102" s="13" t="s">
        <v>292</v>
      </c>
      <c r="D102" s="31">
        <v>45672</v>
      </c>
      <c r="E102" s="31">
        <v>45689</v>
      </c>
      <c r="F102" s="31">
        <v>45716</v>
      </c>
      <c r="G102" s="13">
        <v>3786604</v>
      </c>
      <c r="H102" s="13" t="s">
        <v>474</v>
      </c>
      <c r="J102" s="13" t="s">
        <v>294</v>
      </c>
      <c r="K102" s="13" t="s">
        <v>475</v>
      </c>
      <c r="L102" s="13">
        <v>10</v>
      </c>
      <c r="M102" s="13">
        <v>0</v>
      </c>
      <c r="N102" s="13" t="s">
        <v>476</v>
      </c>
      <c r="O102" s="13" t="s">
        <v>304</v>
      </c>
      <c r="P102" s="13">
        <v>10010</v>
      </c>
      <c r="R102" s="13" t="s">
        <v>384</v>
      </c>
      <c r="S102" s="13" t="s">
        <v>299</v>
      </c>
      <c r="T102" s="13" t="s">
        <v>305</v>
      </c>
      <c r="U102" s="13" t="s">
        <v>125</v>
      </c>
      <c r="V102" s="13">
        <v>158.05000000000001</v>
      </c>
      <c r="W102" s="44">
        <f>IF($AX102="Cancelled","",IFERROR(((V102+INDEX(Variables!$B$6:$D$6,IFERROR(MATCH(IF($B102="Robusta","Robusta",(IF($B102="","Arabica",$B102))&amp;" - "&amp;(IF($C102="","Commercial",$C102))),Variables!$B$1:$D$1,0),1)))*22.0462)*(L102/16.67),""))</f>
        <v>5936.0749070185957</v>
      </c>
      <c r="X102" s="55" t="s">
        <v>37</v>
      </c>
      <c r="Y102" s="13" t="str">
        <f>IF($AX102="Cancelled","",IF(X102="","",IFERROR(IF(INDEX(Variables!$B$38:$B$47,MATCH(X102,Variables!$A$38:$A$47,0))="Yes","Yes","No"),"No")))</f>
        <v>Yes</v>
      </c>
      <c r="Z102" s="31">
        <v>45677.875</v>
      </c>
      <c r="AC102" s="13" t="str">
        <f t="shared" si="3"/>
        <v/>
      </c>
      <c r="AF102" s="71">
        <f>AJ102-7</f>
        <v>45689</v>
      </c>
      <c r="AG102" s="36">
        <f>IF($AX102="Cancelled","",IFERROR(IF(F102="","",F102-Variables!$B$13),""))</f>
        <v>45701</v>
      </c>
      <c r="AH102" s="13" t="str">
        <f>IF($AX102="Cancelled","",IFERROR(IF(AB102="","",(AVERAGE(E102:F102)-AB102)-Variables!$B$14),""))</f>
        <v/>
      </c>
      <c r="AJ102" s="47">
        <v>45696</v>
      </c>
      <c r="AK102" s="14">
        <f>IF($AX102="Cancelled","",IFERROR(IF(AJ102="","",IF(AND(AB102="",AF102=""),"",IF(AF102&gt;AB102,AF102+Variables!$B$15+Variables!$B$16+Variables!$B$17-AJ102,AB102+Variables!$B$16+Variables!$B$17-AJ102))),""))</f>
        <v>8</v>
      </c>
      <c r="AL102" s="48" t="s">
        <v>114</v>
      </c>
      <c r="AM102" s="13" t="s">
        <v>168</v>
      </c>
      <c r="AN102" s="13" t="s">
        <v>334</v>
      </c>
      <c r="AP102" s="31">
        <v>45703</v>
      </c>
      <c r="AR102" s="13" t="s">
        <v>3252</v>
      </c>
      <c r="AS102" s="31">
        <v>45708</v>
      </c>
      <c r="AU102" s="31">
        <v>45713</v>
      </c>
      <c r="AV102" s="13" t="s">
        <v>865</v>
      </c>
      <c r="AW102" s="31">
        <v>45716</v>
      </c>
      <c r="AX102" s="13" t="str">
        <f>IF(ISNUMBER(SEARCH("cancel",#REF!)),"Cancelled",IF(AND(AS102&lt;&gt;"",AU102&lt;&gt;"",AW102&lt;&gt;""),"Closed","Open"))</f>
        <v>Closed</v>
      </c>
      <c r="AY102" s="15" t="str">
        <f t="shared" si="4"/>
        <v>All dates received</v>
      </c>
      <c r="BD102" s="13">
        <f>IF($AX102="Cancelled","",IFERROR(IF(OR(AS102="",AJ102=""),"",(AJ102+Variables!$B$18-AS102)),""))</f>
        <v>3</v>
      </c>
      <c r="BE102" s="13">
        <f>IF($AX102="Cancelled","",IFERROR(IF(OR(AW102="",AS102=""),"",(AS102+Variables!$B$19)-AW102),""))</f>
        <v>-3</v>
      </c>
      <c r="BF102" s="44">
        <f>IF($AX102="Cancelled","",IFERROR(W102*INDEX(Variables!$B$7:$D$7,IFERROR(MATCH(IF($B102="Robusta","Robusta",(IF($B102="","Arabica",$B102))&amp;" - "&amp;(IF($C102="","Commercial",$C102))),Variables!$B$1:$D$1,0),1))*(BE102/365),""))</f>
        <v>-3.1460644057755163</v>
      </c>
      <c r="BG102" s="44" t="str">
        <f>IF($AX102="Cancelled","",IFERROR((W102*INDEX(Variables!$B$7:$D$7,IFERROR(MATCH(IF($B102="Robusta","Robusta",(IF($B102="","Arabica",$B102))&amp;" - "&amp;(IF($C102="","Commercial",$C102))),Variables!$B$1:$D$1,0),1))*IFERROR(IF(AB102="","",(AVERAGE(E102:F102)-AB102)-Variables!$B$14),"")/365)+(L102/16.67*INDEX(Variables!$B$8:$D$8,IFERROR(MATCH(IF($B102="Robusta","Robusta",(IF($B102="","Arabica",$B102))&amp;" - "&amp;(IF($C102="","Commercial",$C102))),Variables!$B$1:$D$1,0),1))*IFERROR(IF(AB102="","",(AVERAGE(E102:F102)-AB102)-Variables!$B$14),""))+(W102*INDEX(Variables!$B$9:$D$9,IFERROR(MATCH(IF($B102="Robusta","Robusta",(IF($B102="","Arabica",$B102))&amp;" - "&amp;(IF($C102="","Commercial",$C102))),Variables!$B$1:$D$1,0),1))*IFERROR(IF(AB102="","",(AVERAGE(E102:F102)-AB102)-Variables!$B$14),"")/365),""))</f>
        <v/>
      </c>
      <c r="BH102" s="44">
        <f>IF($AX102="Cancelled","",IFERROR((W102*INDEX(Variables!$B$7:$D$7,IFERROR(MATCH(IF($B102="Robusta","Robusta",(IF($B102="","Arabica",$B102))&amp;" - "&amp;(IF($C102="","Commercial",$C102))),Variables!$B$1:$D$1,0),1))*AK102/365)+(L102/16.67*INDEX(Variables!$B$8:$D$8,IFERROR(MATCH(IF($B102="Robusta","Robusta",(IF($B102="","Arabica",$B102))&amp;" - "&amp;(IF($C102="","Commercial",$C102))),Variables!$B$1:$D$1,0),1))*AK102)+(W102*INDEX(Variables!$B$9:$D$9,IFERROR(MATCH(IF($B102="Robusta","Robusta",(IF($B102="","Arabica",$B102))&amp;" - "&amp;(IF($C102="","Commercial",$C102))),Variables!$B$1:$D$1,0),1))*AK102/365),""))</f>
        <v>12.497661993195816</v>
      </c>
      <c r="BI102" s="44">
        <f>IF($AX102="Cancelled","",IFERROR((W102*INDEX(Variables!$B$7:$D$7,IFERROR(MATCH(IF($B102="Robusta","Robusta",(IF($B102="","Arabica",$B102))&amp;" - "&amp;(IF($C102="","Commercial",$C102))),Variables!$B$1:$D$1,0),1))*BD102/365)+(L102/16.67*INDEX(Variables!$B$8:$D$8,IFERROR(MATCH(IF($B102="Robusta","Robusta",(IF($B102="","Arabica",$B102))&amp;" - "&amp;(IF($C102="","Commercial",$C102))),Variables!$B$1:$D$1,0),1))*BD102)+(W102*INDEX(Variables!$B$9:$D$9,IFERROR(MATCH(IF($B102="Robusta","Robusta",(IF($B102="","Arabica",$B102))&amp;" - "&amp;(IF($C102="","Commercial",$C102))),Variables!$B$1:$D$1,0),1))*BD102/365),""))</f>
        <v>4.6866232474484315</v>
      </c>
      <c r="BJ102" s="44">
        <f t="shared" si="5"/>
        <v>8</v>
      </c>
      <c r="BK102" s="44">
        <f>IF($AX102="Cancelled","",IFERROR(IF(BJ102="","",(W102*INDEX(Variables!$B$7:$D$7,IFERROR(MATCH(IF($B102="Robusta","Robusta",(IF($B102="","Arabica",$B102))&amp;" - "&amp;(IF($C102="","Commercial",$C102))),Variables!$B$1:$D$1,0),1))*(BJ102/365))+(W102*INDEX(Variables!$B$9:$D$9,IFERROR(MATCH(IF($B102="Robusta","Robusta",(IF($B102="","Arabica",$B102))&amp;" - "&amp;(IF($C102="","Commercial",$C102))),Variables!$B$1:$D$1,0),1))*(BJ102/365))+(INDEX(Variables!$B$8:$D$8,IFERROR(MATCH(IF($B102="Robusta","Robusta",(IF($B102="","Arabica",$B102))&amp;" - "&amp;(IF($C102="","Commercial",$C102))),Variables!$B$1:$D$1,0),1))*L102/16.67)),""))</f>
        <v>8.9976619931958162</v>
      </c>
    </row>
    <row r="103" spans="1:63">
      <c r="A103" s="13" t="s">
        <v>103</v>
      </c>
      <c r="B103" s="13" t="s">
        <v>104</v>
      </c>
      <c r="C103" s="13" t="s">
        <v>292</v>
      </c>
      <c r="D103" s="31">
        <v>45672</v>
      </c>
      <c r="E103" s="31">
        <v>45689</v>
      </c>
      <c r="F103" s="31">
        <v>45716</v>
      </c>
      <c r="G103" s="13">
        <v>3786605</v>
      </c>
      <c r="H103" s="13" t="s">
        <v>477</v>
      </c>
      <c r="J103" s="13" t="s">
        <v>294</v>
      </c>
      <c r="K103" s="13" t="s">
        <v>478</v>
      </c>
      <c r="L103" s="13">
        <v>45</v>
      </c>
      <c r="M103" s="13">
        <v>0</v>
      </c>
      <c r="N103" s="13" t="s">
        <v>479</v>
      </c>
      <c r="O103" s="13" t="s">
        <v>304</v>
      </c>
      <c r="P103" s="13">
        <v>10010</v>
      </c>
      <c r="R103" s="13" t="s">
        <v>384</v>
      </c>
      <c r="S103" s="13" t="s">
        <v>299</v>
      </c>
      <c r="T103" s="13" t="s">
        <v>305</v>
      </c>
      <c r="U103" s="13" t="s">
        <v>125</v>
      </c>
      <c r="V103" s="13">
        <v>166.05</v>
      </c>
      <c r="W103" s="44">
        <f>IF($AX103="Cancelled","",IFERROR(((V103+INDEX(Variables!$B$6:$D$6,IFERROR(MATCH(IF($B103="Robusta","Robusta",(IF($B103="","Arabica",$B103))&amp;" - "&amp;(IF($C103="","Commercial",$C103))),Variables!$B$1:$D$1,0),1)))*22.0462)*(L103/16.67),""))</f>
        <v>27188.439781043788</v>
      </c>
      <c r="X103" s="55" t="s">
        <v>37</v>
      </c>
      <c r="Y103" s="13" t="str">
        <f>IF($AX103="Cancelled","",IF(X103="","",IFERROR(IF(INDEX(Variables!$B$38:$B$47,MATCH(X103,Variables!$A$38:$A$47,0))="Yes","Yes","No"),"No")))</f>
        <v>Yes</v>
      </c>
      <c r="Z103" s="31">
        <v>45677.875</v>
      </c>
      <c r="AC103" s="13" t="str">
        <f t="shared" si="3"/>
        <v/>
      </c>
      <c r="AF103" s="71">
        <f>AJ103-7</f>
        <v>45681</v>
      </c>
      <c r="AG103" s="36">
        <f>IF($AX103="Cancelled","",IFERROR(IF(F103="","",F103-Variables!$B$13),""))</f>
        <v>45701</v>
      </c>
      <c r="AH103" s="13" t="str">
        <f>IF($AX103="Cancelled","",IFERROR(IF(AB103="","",(AVERAGE(E103:F103)-AB103)-Variables!$B$14),""))</f>
        <v/>
      </c>
      <c r="AJ103" s="47">
        <v>45688</v>
      </c>
      <c r="AK103" s="14">
        <f>IF($AX103="Cancelled","",IFERROR(IF(AJ103="","",IF(AND(AB103="",AF103=""),"",IF(AF103&gt;AB103,AF103+Variables!$B$15+Variables!$B$16+Variables!$B$17-AJ103,AB103+Variables!$B$16+Variables!$B$17-AJ103))),""))</f>
        <v>8</v>
      </c>
      <c r="AL103" s="48" t="s">
        <v>114</v>
      </c>
      <c r="AM103" s="13" t="s">
        <v>168</v>
      </c>
      <c r="AN103" s="13" t="s">
        <v>334</v>
      </c>
      <c r="AP103" s="31">
        <v>45703</v>
      </c>
      <c r="AR103" s="13" t="s">
        <v>3251</v>
      </c>
      <c r="AS103" s="31">
        <v>45708</v>
      </c>
      <c r="AU103" s="31">
        <v>45713</v>
      </c>
      <c r="AV103" s="13" t="s">
        <v>865</v>
      </c>
      <c r="AW103" s="31">
        <v>45716</v>
      </c>
      <c r="AX103" s="13" t="str">
        <f>IF(ISNUMBER(SEARCH("cancel",#REF!)),"Cancelled",IF(AND(AS103&lt;&gt;"",AU103&lt;&gt;"",AW103&lt;&gt;""),"Closed","Open"))</f>
        <v>Closed</v>
      </c>
      <c r="AY103" s="15" t="str">
        <f t="shared" si="4"/>
        <v>All dates received</v>
      </c>
      <c r="BD103" s="13">
        <f>IF($AX103="Cancelled","",IFERROR(IF(OR(AS103="",AJ103=""),"",(AJ103+Variables!$B$18-AS103)),""))</f>
        <v>-5</v>
      </c>
      <c r="BE103" s="13">
        <f>IF($AX103="Cancelled","",IFERROR(IF(OR(AW103="",AS103=""),"",(AS103+Variables!$B$19)-AW103),""))</f>
        <v>-3</v>
      </c>
      <c r="BF103" s="44">
        <f>IF($AX103="Cancelled","",IFERROR(W103*INDEX(Variables!$B$7:$D$7,IFERROR(MATCH(IF($B103="Robusta","Robusta",(IF($B103="","Arabica",$B103))&amp;" - "&amp;(IF($C103="","Commercial",$C103))),Variables!$B$1:$D$1,0),1))*(BE103/365),""))</f>
        <v>-14.409619821774424</v>
      </c>
      <c r="BG103" s="44" t="str">
        <f>IF($AX103="Cancelled","",IFERROR((W103*INDEX(Variables!$B$7:$D$7,IFERROR(MATCH(IF($B103="Robusta","Robusta",(IF($B103="","Arabica",$B103))&amp;" - "&amp;(IF($C103="","Commercial",$C103))),Variables!$B$1:$D$1,0),1))*IFERROR(IF(AB103="","",(AVERAGE(E103:F103)-AB103)-Variables!$B$14),"")/365)+(L103/16.67*INDEX(Variables!$B$8:$D$8,IFERROR(MATCH(IF($B103="Robusta","Robusta",(IF($B103="","Arabica",$B103))&amp;" - "&amp;(IF($C103="","Commercial",$C103))),Variables!$B$1:$D$1,0),1))*IFERROR(IF(AB103="","",(AVERAGE(E103:F103)-AB103)-Variables!$B$14),""))+(W103*INDEX(Variables!$B$9:$D$9,IFERROR(MATCH(IF($B103="Robusta","Robusta",(IF($B103="","Arabica",$B103))&amp;" - "&amp;(IF($C103="","Commercial",$C103))),Variables!$B$1:$D$1,0),1))*IFERROR(IF(AB103="","",(AVERAGE(E103:F103)-AB103)-Variables!$B$14),"")/365),""))</f>
        <v/>
      </c>
      <c r="BH103" s="44">
        <f>IF($AX103="Cancelled","",IFERROR((W103*INDEX(Variables!$B$7:$D$7,IFERROR(MATCH(IF($B103="Robusta","Robusta",(IF($B103="","Arabica",$B103))&amp;" - "&amp;(IF($C103="","Commercial",$C103))),Variables!$B$1:$D$1,0),1))*AK103/365)+(L103/16.67*INDEX(Variables!$B$8:$D$8,IFERROR(MATCH(IF($B103="Robusta","Robusta",(IF($B103="","Arabica",$B103))&amp;" - "&amp;(IF($C103="","Commercial",$C103))),Variables!$B$1:$D$1,0),1))*AK103)+(W103*INDEX(Variables!$B$9:$D$9,IFERROR(MATCH(IF($B103="Robusta","Robusta",(IF($B103="","Arabica",$B103))&amp;" - "&amp;(IF($C103="","Commercial",$C103))),Variables!$B$1:$D$1,0),1))*AK103/365),""))</f>
        <v>56.921033679763362</v>
      </c>
      <c r="BI103" s="44">
        <f>IF($AX103="Cancelled","",IFERROR((W103*INDEX(Variables!$B$7:$D$7,IFERROR(MATCH(IF($B103="Robusta","Robusta",(IF($B103="","Arabica",$B103))&amp;" - "&amp;(IF($C103="","Commercial",$C103))),Variables!$B$1:$D$1,0),1))*BD103/365)+(L103/16.67*INDEX(Variables!$B$8:$D$8,IFERROR(MATCH(IF($B103="Robusta","Robusta",(IF($B103="","Arabica",$B103))&amp;" - "&amp;(IF($C103="","Commercial",$C103))),Variables!$B$1:$D$1,0),1))*BD103)+(W103*INDEX(Variables!$B$9:$D$9,IFERROR(MATCH(IF($B103="Robusta","Robusta",(IF($B103="","Arabica",$B103))&amp;" - "&amp;(IF($C103="","Commercial",$C103))),Variables!$B$1:$D$1,0),1))*BD103/365),""))</f>
        <v>-35.575646049852104</v>
      </c>
      <c r="BJ103" s="44">
        <f t="shared" si="5"/>
        <v>8</v>
      </c>
      <c r="BK103" s="44">
        <f>IF($AX103="Cancelled","",IFERROR(IF(BJ103="","",(W103*INDEX(Variables!$B$7:$D$7,IFERROR(MATCH(IF($B103="Robusta","Robusta",(IF($B103="","Arabica",$B103))&amp;" - "&amp;(IF($C103="","Commercial",$C103))),Variables!$B$1:$D$1,0),1))*(BJ103/365))+(W103*INDEX(Variables!$B$9:$D$9,IFERROR(MATCH(IF($B103="Robusta","Robusta",(IF($B103="","Arabica",$B103))&amp;" - "&amp;(IF($C103="","Commercial",$C103))),Variables!$B$1:$D$1,0),1))*(BJ103/365))+(INDEX(Variables!$B$8:$D$8,IFERROR(MATCH(IF($B103="Robusta","Robusta",(IF($B103="","Arabica",$B103))&amp;" - "&amp;(IF($C103="","Commercial",$C103))),Variables!$B$1:$D$1,0),1))*L103/16.67)),""))</f>
        <v>41.171033679763362</v>
      </c>
    </row>
    <row r="104" spans="1:63">
      <c r="A104" s="13" t="s">
        <v>103</v>
      </c>
      <c r="B104" s="13" t="s">
        <v>104</v>
      </c>
      <c r="C104" s="13" t="s">
        <v>292</v>
      </c>
      <c r="D104" s="31">
        <v>45672</v>
      </c>
      <c r="E104" s="31">
        <v>45689</v>
      </c>
      <c r="F104" s="31">
        <v>45716</v>
      </c>
      <c r="G104" s="13">
        <v>3786606</v>
      </c>
      <c r="H104" s="13" t="s">
        <v>480</v>
      </c>
      <c r="J104" s="13" t="s">
        <v>294</v>
      </c>
      <c r="K104" s="13" t="s">
        <v>481</v>
      </c>
      <c r="L104" s="13">
        <v>52</v>
      </c>
      <c r="M104" s="13">
        <v>0</v>
      </c>
      <c r="N104" s="13" t="s">
        <v>482</v>
      </c>
      <c r="O104" s="13" t="s">
        <v>297</v>
      </c>
      <c r="P104" s="13">
        <v>10020</v>
      </c>
      <c r="R104" s="13" t="s">
        <v>384</v>
      </c>
      <c r="S104" s="13" t="s">
        <v>299</v>
      </c>
      <c r="T104" s="13" t="s">
        <v>305</v>
      </c>
      <c r="U104" s="13" t="s">
        <v>125</v>
      </c>
      <c r="V104" s="13">
        <v>125.05</v>
      </c>
      <c r="W104" s="44">
        <f>IF($AX104="Cancelled","",IFERROR(((V104+INDEX(Variables!$B$6:$D$6,IFERROR(MATCH(IF($B104="Robusta","Robusta",(IF($B104="","Arabica",$B104))&amp;" - "&amp;(IF($C104="","Commercial",$C104))),Variables!$B$1:$D$1,0),1)))*22.0462)*(L104/16.67),""))</f>
        <v>28598.166649070186</v>
      </c>
      <c r="X104" s="55" t="s">
        <v>37</v>
      </c>
      <c r="Y104" s="13" t="str">
        <f>IF($AX104="Cancelled","",IF(X104="","",IFERROR(IF(INDEX(Variables!$B$38:$B$47,MATCH(X104,Variables!$A$38:$A$47,0))="Yes","Yes","No"),"No")))</f>
        <v>Yes</v>
      </c>
      <c r="Z104" s="31">
        <v>45677.875</v>
      </c>
      <c r="AC104" s="13" t="str">
        <f t="shared" si="3"/>
        <v/>
      </c>
      <c r="AF104" s="71">
        <f>AJ104-7</f>
        <v>45681</v>
      </c>
      <c r="AG104" s="36">
        <f>IF($AX104="Cancelled","",IFERROR(IF(F104="","",F104-Variables!$B$13),""))</f>
        <v>45701</v>
      </c>
      <c r="AH104" s="13" t="str">
        <f>IF($AX104="Cancelled","",IFERROR(IF(AB104="","",(AVERAGE(E104:F104)-AB104)-Variables!$B$14),""))</f>
        <v/>
      </c>
      <c r="AJ104" s="47">
        <v>45688</v>
      </c>
      <c r="AK104" s="14">
        <f>IF($AX104="Cancelled","",IFERROR(IF(AJ104="","",IF(AND(AB104="",AF104=""),"",IF(AF104&gt;AB104,AF104+Variables!$B$15+Variables!$B$16+Variables!$B$17-AJ104,AB104+Variables!$B$16+Variables!$B$17-AJ104))),""))</f>
        <v>8</v>
      </c>
      <c r="AL104" s="48" t="s">
        <v>114</v>
      </c>
      <c r="AM104" s="13" t="s">
        <v>168</v>
      </c>
      <c r="AN104" s="13" t="s">
        <v>334</v>
      </c>
      <c r="AP104" s="31">
        <v>45703</v>
      </c>
      <c r="AR104" s="13" t="s">
        <v>3251</v>
      </c>
      <c r="AS104" s="31">
        <v>45708</v>
      </c>
      <c r="AU104" s="31">
        <v>45713</v>
      </c>
      <c r="AV104" s="13" t="s">
        <v>865</v>
      </c>
      <c r="AW104" s="31">
        <v>45716</v>
      </c>
      <c r="AX104" s="13" t="str">
        <f>IF(ISNUMBER(SEARCH("cancel",#REF!)),"Cancelled",IF(AND(AS104&lt;&gt;"",AU104&lt;&gt;"",AW104&lt;&gt;""),"Closed","Open"))</f>
        <v>Closed</v>
      </c>
      <c r="AY104" s="15" t="str">
        <f t="shared" si="4"/>
        <v>All dates received</v>
      </c>
      <c r="BD104" s="13">
        <f>IF($AX104="Cancelled","",IFERROR(IF(OR(AS104="",AJ104=""),"",(AJ104+Variables!$B$18-AS104)),""))</f>
        <v>-5</v>
      </c>
      <c r="BE104" s="13">
        <f>IF($AX104="Cancelled","",IFERROR(IF(OR(AW104="",AS104=""),"",(AS104+Variables!$B$19)-AW104),""))</f>
        <v>-3</v>
      </c>
      <c r="BF104" s="44">
        <f>IF($AX104="Cancelled","",IFERROR(W104*INDEX(Variables!$B$7:$D$7,IFERROR(MATCH(IF($B104="Robusta","Robusta",(IF($B104="","Arabica",$B104))&amp;" - "&amp;(IF($C104="","Commercial",$C104))),Variables!$B$1:$D$1,0),1))*(BE104/365),""))</f>
        <v>-15.156761930126084</v>
      </c>
      <c r="BG104" s="44" t="str">
        <f>IF($AX104="Cancelled","",IFERROR((W104*INDEX(Variables!$B$7:$D$7,IFERROR(MATCH(IF($B104="Robusta","Robusta",(IF($B104="","Arabica",$B104))&amp;" - "&amp;(IF($C104="","Commercial",$C104))),Variables!$B$1:$D$1,0),1))*IFERROR(IF(AB104="","",(AVERAGE(E104:F104)-AB104)-Variables!$B$14),"")/365)+(L104/16.67*INDEX(Variables!$B$8:$D$8,IFERROR(MATCH(IF($B104="Robusta","Robusta",(IF($B104="","Arabica",$B104))&amp;" - "&amp;(IF($C104="","Commercial",$C104))),Variables!$B$1:$D$1,0),1))*IFERROR(IF(AB104="","",(AVERAGE(E104:F104)-AB104)-Variables!$B$14),""))+(W104*INDEX(Variables!$B$9:$D$9,IFERROR(MATCH(IF($B104="Robusta","Robusta",(IF($B104="","Arabica",$B104))&amp;" - "&amp;(IF($C104="","Commercial",$C104))),Variables!$B$1:$D$1,0),1))*IFERROR(IF(AB104="","",(AVERAGE(E104:F104)-AB104)-Variables!$B$14),"")/365),""))</f>
        <v/>
      </c>
      <c r="BH104" s="44">
        <f>IF($AX104="Cancelled","",IFERROR((W104*INDEX(Variables!$B$7:$D$7,IFERROR(MATCH(IF($B104="Robusta","Robusta",(IF($B104="","Arabica",$B104))&amp;" - "&amp;(IF($C104="","Commercial",$C104))),Variables!$B$1:$D$1,0),1))*AK104/365)+(L104/16.67*INDEX(Variables!$B$8:$D$8,IFERROR(MATCH(IF($B104="Robusta","Robusta",(IF($B104="","Arabica",$B104))&amp;" - "&amp;(IF($C104="","Commercial",$C104))),Variables!$B$1:$D$1,0),1))*AK104)+(W104*INDEX(Variables!$B$9:$D$9,IFERROR(MATCH(IF($B104="Robusta","Robusta",(IF($B104="","Arabica",$B104))&amp;" - "&amp;(IF($C104="","Commercial",$C104))),Variables!$B$1:$D$1,0),1))*AK104/365),""))</f>
        <v>61.739098245129767</v>
      </c>
      <c r="BI104" s="44">
        <f>IF($AX104="Cancelled","",IFERROR((W104*INDEX(Variables!$B$7:$D$7,IFERROR(MATCH(IF($B104="Robusta","Robusta",(IF($B104="","Arabica",$B104))&amp;" - "&amp;(IF($C104="","Commercial",$C104))),Variables!$B$1:$D$1,0),1))*BD104/365)+(L104/16.67*INDEX(Variables!$B$8:$D$8,IFERROR(MATCH(IF($B104="Robusta","Robusta",(IF($B104="","Arabica",$B104))&amp;" - "&amp;(IF($C104="","Commercial",$C104))),Variables!$B$1:$D$1,0),1))*BD104)+(W104*INDEX(Variables!$B$9:$D$9,IFERROR(MATCH(IF($B104="Robusta","Robusta",(IF($B104="","Arabica",$B104))&amp;" - "&amp;(IF($C104="","Commercial",$C104))),Variables!$B$1:$D$1,0),1))*BD104/365),""))</f>
        <v>-38.58693640320611</v>
      </c>
      <c r="BJ104" s="44">
        <f t="shared" si="5"/>
        <v>8</v>
      </c>
      <c r="BK104" s="44">
        <f>IF($AX104="Cancelled","",IFERROR(IF(BJ104="","",(W104*INDEX(Variables!$B$7:$D$7,IFERROR(MATCH(IF($B104="Robusta","Robusta",(IF($B104="","Arabica",$B104))&amp;" - "&amp;(IF($C104="","Commercial",$C104))),Variables!$B$1:$D$1,0),1))*(BJ104/365))+(W104*INDEX(Variables!$B$9:$D$9,IFERROR(MATCH(IF($B104="Robusta","Robusta",(IF($B104="","Arabica",$B104))&amp;" - "&amp;(IF($C104="","Commercial",$C104))),Variables!$B$1:$D$1,0),1))*(BJ104/365))+(INDEX(Variables!$B$8:$D$8,IFERROR(MATCH(IF($B104="Robusta","Robusta",(IF($B104="","Arabica",$B104))&amp;" - "&amp;(IF($C104="","Commercial",$C104))),Variables!$B$1:$D$1,0),1))*L104/16.67)),""))</f>
        <v>43.539098245129772</v>
      </c>
    </row>
    <row r="105" spans="1:63">
      <c r="A105" s="13" t="s">
        <v>103</v>
      </c>
      <c r="B105" s="13" t="s">
        <v>104</v>
      </c>
      <c r="C105" s="13" t="s">
        <v>292</v>
      </c>
      <c r="D105" s="31">
        <v>45672</v>
      </c>
      <c r="E105" s="31">
        <v>45689</v>
      </c>
      <c r="F105" s="31">
        <v>45716</v>
      </c>
      <c r="G105" s="13">
        <v>3786607</v>
      </c>
      <c r="H105" s="13" t="s">
        <v>483</v>
      </c>
      <c r="J105" s="13" t="s">
        <v>294</v>
      </c>
      <c r="K105" s="13" t="s">
        <v>484</v>
      </c>
      <c r="L105" s="13">
        <v>45</v>
      </c>
      <c r="M105" s="13">
        <v>0</v>
      </c>
      <c r="N105" s="13" t="s">
        <v>485</v>
      </c>
      <c r="O105" s="13" t="s">
        <v>304</v>
      </c>
      <c r="P105" s="13">
        <v>10010</v>
      </c>
      <c r="R105" s="13" t="s">
        <v>384</v>
      </c>
      <c r="S105" s="13" t="s">
        <v>299</v>
      </c>
      <c r="T105" s="13" t="s">
        <v>305</v>
      </c>
      <c r="U105" s="13" t="s">
        <v>125</v>
      </c>
      <c r="V105" s="13">
        <v>166.05</v>
      </c>
      <c r="W105" s="44">
        <f>IF($AX105="Cancelled","",IFERROR(((V105+INDEX(Variables!$B$6:$D$6,IFERROR(MATCH(IF($B105="Robusta","Robusta",(IF($B105="","Arabica",$B105))&amp;" - "&amp;(IF($C105="","Commercial",$C105))),Variables!$B$1:$D$1,0),1)))*22.0462)*(L105/16.67),""))</f>
        <v>27188.439781043788</v>
      </c>
      <c r="X105" s="55" t="s">
        <v>37</v>
      </c>
      <c r="Y105" s="13" t="str">
        <f>IF($AX105="Cancelled","",IF(X105="","",IFERROR(IF(INDEX(Variables!$B$38:$B$47,MATCH(X105,Variables!$A$38:$A$47,0))="Yes","Yes","No"),"No")))</f>
        <v>Yes</v>
      </c>
      <c r="Z105" s="31">
        <v>45677.875</v>
      </c>
      <c r="AC105" s="13" t="str">
        <f t="shared" si="3"/>
        <v/>
      </c>
      <c r="AF105" s="71">
        <f>AJ105-7</f>
        <v>45681</v>
      </c>
      <c r="AG105" s="36">
        <f>IF($AX105="Cancelled","",IFERROR(IF(F105="","",F105-Variables!$B$13),""))</f>
        <v>45701</v>
      </c>
      <c r="AH105" s="13" t="str">
        <f>IF($AX105="Cancelled","",IFERROR(IF(AB105="","",(AVERAGE(E105:F105)-AB105)-Variables!$B$14),""))</f>
        <v/>
      </c>
      <c r="AJ105" s="47">
        <v>45688</v>
      </c>
      <c r="AK105" s="14">
        <f>IF($AX105="Cancelled","",IFERROR(IF(AJ105="","",IF(AND(AB105="",AF105=""),"",IF(AF105&gt;AB105,AF105+Variables!$B$15+Variables!$B$16+Variables!$B$17-AJ105,AB105+Variables!$B$16+Variables!$B$17-AJ105))),""))</f>
        <v>8</v>
      </c>
      <c r="AL105" s="48" t="s">
        <v>114</v>
      </c>
      <c r="AM105" s="13" t="s">
        <v>168</v>
      </c>
      <c r="AN105" s="13" t="s">
        <v>334</v>
      </c>
      <c r="AP105" s="31">
        <v>45703</v>
      </c>
      <c r="AR105" s="13" t="s">
        <v>3251</v>
      </c>
      <c r="AS105" s="31">
        <v>45708</v>
      </c>
      <c r="AU105" s="31">
        <v>45713</v>
      </c>
      <c r="AV105" s="13" t="s">
        <v>865</v>
      </c>
      <c r="AW105" s="31">
        <v>45716</v>
      </c>
      <c r="AX105" s="13" t="str">
        <f>IF(ISNUMBER(SEARCH("cancel",#REF!)),"Cancelled",IF(AND(AS105&lt;&gt;"",AU105&lt;&gt;"",AW105&lt;&gt;""),"Closed","Open"))</f>
        <v>Closed</v>
      </c>
      <c r="AY105" s="15" t="str">
        <f t="shared" si="4"/>
        <v>All dates received</v>
      </c>
      <c r="BD105" s="13">
        <f>IF($AX105="Cancelled","",IFERROR(IF(OR(AS105="",AJ105=""),"",(AJ105+Variables!$B$18-AS105)),""))</f>
        <v>-5</v>
      </c>
      <c r="BE105" s="13">
        <f>IF($AX105="Cancelled","",IFERROR(IF(OR(AW105="",AS105=""),"",(AS105+Variables!$B$19)-AW105),""))</f>
        <v>-3</v>
      </c>
      <c r="BF105" s="44">
        <f>IF($AX105="Cancelled","",IFERROR(W105*INDEX(Variables!$B$7:$D$7,IFERROR(MATCH(IF($B105="Robusta","Robusta",(IF($B105="","Arabica",$B105))&amp;" - "&amp;(IF($C105="","Commercial",$C105))),Variables!$B$1:$D$1,0),1))*(BE105/365),""))</f>
        <v>-14.409619821774424</v>
      </c>
      <c r="BG105" s="44" t="str">
        <f>IF($AX105="Cancelled","",IFERROR((W105*INDEX(Variables!$B$7:$D$7,IFERROR(MATCH(IF($B105="Robusta","Robusta",(IF($B105="","Arabica",$B105))&amp;" - "&amp;(IF($C105="","Commercial",$C105))),Variables!$B$1:$D$1,0),1))*IFERROR(IF(AB105="","",(AVERAGE(E105:F105)-AB105)-Variables!$B$14),"")/365)+(L105/16.67*INDEX(Variables!$B$8:$D$8,IFERROR(MATCH(IF($B105="Robusta","Robusta",(IF($B105="","Arabica",$B105))&amp;" - "&amp;(IF($C105="","Commercial",$C105))),Variables!$B$1:$D$1,0),1))*IFERROR(IF(AB105="","",(AVERAGE(E105:F105)-AB105)-Variables!$B$14),""))+(W105*INDEX(Variables!$B$9:$D$9,IFERROR(MATCH(IF($B105="Robusta","Robusta",(IF($B105="","Arabica",$B105))&amp;" - "&amp;(IF($C105="","Commercial",$C105))),Variables!$B$1:$D$1,0),1))*IFERROR(IF(AB105="","",(AVERAGE(E105:F105)-AB105)-Variables!$B$14),"")/365),""))</f>
        <v/>
      </c>
      <c r="BH105" s="44">
        <f>IF($AX105="Cancelled","",IFERROR((W105*INDEX(Variables!$B$7:$D$7,IFERROR(MATCH(IF($B105="Robusta","Robusta",(IF($B105="","Arabica",$B105))&amp;" - "&amp;(IF($C105="","Commercial",$C105))),Variables!$B$1:$D$1,0),1))*AK105/365)+(L105/16.67*INDEX(Variables!$B$8:$D$8,IFERROR(MATCH(IF($B105="Robusta","Robusta",(IF($B105="","Arabica",$B105))&amp;" - "&amp;(IF($C105="","Commercial",$C105))),Variables!$B$1:$D$1,0),1))*AK105)+(W105*INDEX(Variables!$B$9:$D$9,IFERROR(MATCH(IF($B105="Robusta","Robusta",(IF($B105="","Arabica",$B105))&amp;" - "&amp;(IF($C105="","Commercial",$C105))),Variables!$B$1:$D$1,0),1))*AK105/365),""))</f>
        <v>56.921033679763362</v>
      </c>
      <c r="BI105" s="44">
        <f>IF($AX105="Cancelled","",IFERROR((W105*INDEX(Variables!$B$7:$D$7,IFERROR(MATCH(IF($B105="Robusta","Robusta",(IF($B105="","Arabica",$B105))&amp;" - "&amp;(IF($C105="","Commercial",$C105))),Variables!$B$1:$D$1,0),1))*BD105/365)+(L105/16.67*INDEX(Variables!$B$8:$D$8,IFERROR(MATCH(IF($B105="Robusta","Robusta",(IF($B105="","Arabica",$B105))&amp;" - "&amp;(IF($C105="","Commercial",$C105))),Variables!$B$1:$D$1,0),1))*BD105)+(W105*INDEX(Variables!$B$9:$D$9,IFERROR(MATCH(IF($B105="Robusta","Robusta",(IF($B105="","Arabica",$B105))&amp;" - "&amp;(IF($C105="","Commercial",$C105))),Variables!$B$1:$D$1,0),1))*BD105/365),""))</f>
        <v>-35.575646049852104</v>
      </c>
      <c r="BJ105" s="44">
        <f t="shared" si="5"/>
        <v>8</v>
      </c>
      <c r="BK105" s="44">
        <f>IF($AX105="Cancelled","",IFERROR(IF(BJ105="","",(W105*INDEX(Variables!$B$7:$D$7,IFERROR(MATCH(IF($B105="Robusta","Robusta",(IF($B105="","Arabica",$B105))&amp;" - "&amp;(IF($C105="","Commercial",$C105))),Variables!$B$1:$D$1,0),1))*(BJ105/365))+(W105*INDEX(Variables!$B$9:$D$9,IFERROR(MATCH(IF($B105="Robusta","Robusta",(IF($B105="","Arabica",$B105))&amp;" - "&amp;(IF($C105="","Commercial",$C105))),Variables!$B$1:$D$1,0),1))*(BJ105/365))+(INDEX(Variables!$B$8:$D$8,IFERROR(MATCH(IF($B105="Robusta","Robusta",(IF($B105="","Arabica",$B105))&amp;" - "&amp;(IF($C105="","Commercial",$C105))),Variables!$B$1:$D$1,0),1))*L105/16.67)),""))</f>
        <v>41.171033679763362</v>
      </c>
    </row>
    <row r="106" spans="1:63">
      <c r="A106" s="13" t="s">
        <v>103</v>
      </c>
      <c r="B106" s="13" t="s">
        <v>104</v>
      </c>
      <c r="C106" s="13" t="s">
        <v>292</v>
      </c>
      <c r="D106" s="31">
        <v>45672</v>
      </c>
      <c r="E106" s="31">
        <v>45689</v>
      </c>
      <c r="F106" s="31">
        <v>45716</v>
      </c>
      <c r="G106" s="13">
        <v>3786608</v>
      </c>
      <c r="H106" s="13" t="s">
        <v>486</v>
      </c>
      <c r="J106" s="13" t="s">
        <v>294</v>
      </c>
      <c r="K106" s="13" t="s">
        <v>487</v>
      </c>
      <c r="L106" s="13">
        <v>45</v>
      </c>
      <c r="M106" s="13">
        <v>0</v>
      </c>
      <c r="N106" s="13" t="s">
        <v>488</v>
      </c>
      <c r="O106" s="13" t="s">
        <v>297</v>
      </c>
      <c r="P106" s="13">
        <v>10020</v>
      </c>
      <c r="R106" s="13" t="s">
        <v>384</v>
      </c>
      <c r="S106" s="13" t="s">
        <v>299</v>
      </c>
      <c r="T106" s="13" t="s">
        <v>305</v>
      </c>
      <c r="U106" s="13" t="s">
        <v>125</v>
      </c>
      <c r="V106" s="13">
        <v>119.05</v>
      </c>
      <c r="W106" s="44">
        <f>IF($AX106="Cancelled","",IFERROR(((V106+INDEX(Variables!$B$6:$D$6,IFERROR(MATCH(IF($B106="Robusta","Robusta",(IF($B106="","Arabica",$B106))&amp;" - "&amp;(IF($C106="","Commercial",$C106))),Variables!$B$1:$D$1,0),1)))*22.0462)*(L106/16.67),""))</f>
        <v>24391.336421715656</v>
      </c>
      <c r="X106" s="55" t="s">
        <v>37</v>
      </c>
      <c r="Y106" s="13" t="str">
        <f>IF($AX106="Cancelled","",IF(X106="","",IFERROR(IF(INDEX(Variables!$B$38:$B$47,MATCH(X106,Variables!$A$38:$A$47,0))="Yes","Yes","No"),"No")))</f>
        <v>Yes</v>
      </c>
      <c r="Z106" s="31">
        <v>45677.875</v>
      </c>
      <c r="AC106" s="13" t="str">
        <f t="shared" si="3"/>
        <v/>
      </c>
      <c r="AF106" s="71">
        <f>AJ106-7</f>
        <v>45689</v>
      </c>
      <c r="AG106" s="36">
        <f>IF($AX106="Cancelled","",IFERROR(IF(F106="","",F106-Variables!$B$13),""))</f>
        <v>45701</v>
      </c>
      <c r="AH106" s="13" t="str">
        <f>IF($AX106="Cancelled","",IFERROR(IF(AB106="","",(AVERAGE(E106:F106)-AB106)-Variables!$B$14),""))</f>
        <v/>
      </c>
      <c r="AJ106" s="47">
        <v>45696</v>
      </c>
      <c r="AK106" s="14">
        <f>IF($AX106="Cancelled","",IFERROR(IF(AJ106="","",IF(AND(AB106="",AF106=""),"",IF(AF106&gt;AB106,AF106+Variables!$B$15+Variables!$B$16+Variables!$B$17-AJ106,AB106+Variables!$B$16+Variables!$B$17-AJ106))),""))</f>
        <v>8</v>
      </c>
      <c r="AL106" s="48" t="s">
        <v>114</v>
      </c>
      <c r="AM106" s="13" t="s">
        <v>168</v>
      </c>
      <c r="AN106" s="13" t="s">
        <v>334</v>
      </c>
      <c r="AP106" s="31">
        <v>45703</v>
      </c>
      <c r="AR106" s="13" t="s">
        <v>3252</v>
      </c>
      <c r="AS106" s="31">
        <v>45708</v>
      </c>
      <c r="AU106" s="31">
        <v>45713</v>
      </c>
      <c r="AV106" s="13" t="s">
        <v>865</v>
      </c>
      <c r="AW106" s="31">
        <v>45716</v>
      </c>
      <c r="AX106" s="13" t="str">
        <f>IF(ISNUMBER(SEARCH("cancel",#REF!)),"Cancelled",IF(AND(AS106&lt;&gt;"",AU106&lt;&gt;"",AW106&lt;&gt;""),"Closed","Open"))</f>
        <v>Closed</v>
      </c>
      <c r="AY106" s="15" t="str">
        <f t="shared" si="4"/>
        <v>All dates received</v>
      </c>
      <c r="BD106" s="13">
        <f>IF($AX106="Cancelled","",IFERROR(IF(OR(AS106="",AJ106=""),"",(AJ106+Variables!$B$18-AS106)),""))</f>
        <v>3</v>
      </c>
      <c r="BE106" s="13">
        <f>IF($AX106="Cancelled","",IFERROR(IF(OR(AW106="",AS106=""),"",(AS106+Variables!$B$19)-AW106),""))</f>
        <v>-3</v>
      </c>
      <c r="BF106" s="44">
        <f>IF($AX106="Cancelled","",IFERROR(W106*INDEX(Variables!$B$7:$D$7,IFERROR(MATCH(IF($B106="Robusta","Robusta",(IF($B106="","Arabica",$B106))&amp;" - "&amp;(IF($C106="","Commercial",$C106))),Variables!$B$1:$D$1,0),1))*(BE106/365),""))</f>
        <v>-12.92718109653989</v>
      </c>
      <c r="BG106" s="44" t="str">
        <f>IF($AX106="Cancelled","",IFERROR((W106*INDEX(Variables!$B$7:$D$7,IFERROR(MATCH(IF($B106="Robusta","Robusta",(IF($B106="","Arabica",$B106))&amp;" - "&amp;(IF($C106="","Commercial",$C106))),Variables!$B$1:$D$1,0),1))*IFERROR(IF(AB106="","",(AVERAGE(E106:F106)-AB106)-Variables!$B$14),"")/365)+(L106/16.67*INDEX(Variables!$B$8:$D$8,IFERROR(MATCH(IF($B106="Robusta","Robusta",(IF($B106="","Arabica",$B106))&amp;" - "&amp;(IF($C106="","Commercial",$C106))),Variables!$B$1:$D$1,0),1))*IFERROR(IF(AB106="","",(AVERAGE(E106:F106)-AB106)-Variables!$B$14),""))+(W106*INDEX(Variables!$B$9:$D$9,IFERROR(MATCH(IF($B106="Robusta","Robusta",(IF($B106="","Arabica",$B106))&amp;" - "&amp;(IF($C106="","Commercial",$C106))),Variables!$B$1:$D$1,0),1))*IFERROR(IF(AB106="","",(AVERAGE(E106:F106)-AB106)-Variables!$B$14),"")/365),""))</f>
        <v/>
      </c>
      <c r="BH106" s="44">
        <f>IF($AX106="Cancelled","",IFERROR((W106*INDEX(Variables!$B$7:$D$7,IFERROR(MATCH(IF($B106="Robusta","Robusta",(IF($B106="","Arabica",$B106))&amp;" - "&amp;(IF($C106="","Commercial",$C106))),Variables!$B$1:$D$1,0),1))*AK106/365)+(L106/16.67*INDEX(Variables!$B$8:$D$8,IFERROR(MATCH(IF($B106="Robusta","Robusta",(IF($B106="","Arabica",$B106))&amp;" - "&amp;(IF($C106="","Commercial",$C106))),Variables!$B$1:$D$1,0),1))*AK106)+(W106*INDEX(Variables!$B$9:$D$9,IFERROR(MATCH(IF($B106="Robusta","Robusta",(IF($B106="","Arabica",$B106))&amp;" - "&amp;(IF($C106="","Commercial",$C106))),Variables!$B$1:$D$1,0),1))*AK106/365),""))</f>
        <v>52.916899756267959</v>
      </c>
      <c r="BI106" s="44">
        <f>IF($AX106="Cancelled","",IFERROR((W106*INDEX(Variables!$B$7:$D$7,IFERROR(MATCH(IF($B106="Robusta","Robusta",(IF($B106="","Arabica",$B106))&amp;" - "&amp;(IF($C106="","Commercial",$C106))),Variables!$B$1:$D$1,0),1))*BD106/365)+(L106/16.67*INDEX(Variables!$B$8:$D$8,IFERROR(MATCH(IF($B106="Robusta","Robusta",(IF($B106="","Arabica",$B106))&amp;" - "&amp;(IF($C106="","Commercial",$C106))),Variables!$B$1:$D$1,0),1))*BD106)+(W106*INDEX(Variables!$B$9:$D$9,IFERROR(MATCH(IF($B106="Robusta","Robusta",(IF($B106="","Arabica",$B106))&amp;" - "&amp;(IF($C106="","Commercial",$C106))),Variables!$B$1:$D$1,0),1))*BD106/365),""))</f>
        <v>19.843837408600486</v>
      </c>
      <c r="BJ106" s="44">
        <f t="shared" si="5"/>
        <v>8</v>
      </c>
      <c r="BK106" s="44">
        <f>IF($AX106="Cancelled","",IFERROR(IF(BJ106="","",(W106*INDEX(Variables!$B$7:$D$7,IFERROR(MATCH(IF($B106="Robusta","Robusta",(IF($B106="","Arabica",$B106))&amp;" - "&amp;(IF($C106="","Commercial",$C106))),Variables!$B$1:$D$1,0),1))*(BJ106/365))+(W106*INDEX(Variables!$B$9:$D$9,IFERROR(MATCH(IF($B106="Robusta","Robusta",(IF($B106="","Arabica",$B106))&amp;" - "&amp;(IF($C106="","Commercial",$C106))),Variables!$B$1:$D$1,0),1))*(BJ106/365))+(INDEX(Variables!$B$8:$D$8,IFERROR(MATCH(IF($B106="Robusta","Robusta",(IF($B106="","Arabica",$B106))&amp;" - "&amp;(IF($C106="","Commercial",$C106))),Variables!$B$1:$D$1,0),1))*L106/16.67)),""))</f>
        <v>37.166899756267959</v>
      </c>
    </row>
    <row r="107" spans="1:63">
      <c r="A107" s="13" t="s">
        <v>103</v>
      </c>
      <c r="B107" s="13" t="s">
        <v>104</v>
      </c>
      <c r="C107" s="13" t="s">
        <v>292</v>
      </c>
      <c r="D107" s="31">
        <v>45672</v>
      </c>
      <c r="E107" s="31">
        <v>45689</v>
      </c>
      <c r="F107" s="31">
        <v>45716</v>
      </c>
      <c r="G107" s="13">
        <v>3786609</v>
      </c>
      <c r="H107" s="13" t="s">
        <v>489</v>
      </c>
      <c r="J107" s="13" t="s">
        <v>294</v>
      </c>
      <c r="K107" s="13" t="s">
        <v>490</v>
      </c>
      <c r="L107" s="13">
        <v>45</v>
      </c>
      <c r="M107" s="13">
        <v>0</v>
      </c>
      <c r="N107" s="13" t="s">
        <v>491</v>
      </c>
      <c r="O107" s="13" t="s">
        <v>297</v>
      </c>
      <c r="P107" s="13">
        <v>10020</v>
      </c>
      <c r="R107" s="13" t="s">
        <v>384</v>
      </c>
      <c r="S107" s="13" t="s">
        <v>299</v>
      </c>
      <c r="T107" s="13" t="s">
        <v>305</v>
      </c>
      <c r="U107" s="13" t="s">
        <v>125</v>
      </c>
      <c r="V107" s="13">
        <v>125.05</v>
      </c>
      <c r="W107" s="44">
        <f>IF($AX107="Cancelled","",IFERROR(((V107+INDEX(Variables!$B$6:$D$6,IFERROR(MATCH(IF($B107="Robusta","Robusta",(IF($B107="","Arabica",$B107))&amp;" - "&amp;(IF($C107="","Commercial",$C107))),Variables!$B$1:$D$1,0),1)))*22.0462)*(L107/16.67),""))</f>
        <v>24748.41344631074</v>
      </c>
      <c r="X107" s="55" t="s">
        <v>37</v>
      </c>
      <c r="Y107" s="13" t="str">
        <f>IF($AX107="Cancelled","",IF(X107="","",IFERROR(IF(INDEX(Variables!$B$38:$B$47,MATCH(X107,Variables!$A$38:$A$47,0))="Yes","Yes","No"),"No")))</f>
        <v>Yes</v>
      </c>
      <c r="Z107" s="31">
        <v>45687.875</v>
      </c>
      <c r="AC107" s="13" t="str">
        <f t="shared" si="3"/>
        <v/>
      </c>
      <c r="AF107" s="71">
        <f>AJ107-7</f>
        <v>45689</v>
      </c>
      <c r="AG107" s="36">
        <f>IF($AX107="Cancelled","",IFERROR(IF(F107="","",F107-Variables!$B$13),""))</f>
        <v>45701</v>
      </c>
      <c r="AH107" s="13" t="str">
        <f>IF($AX107="Cancelled","",IFERROR(IF(AB107="","",(AVERAGE(E107:F107)-AB107)-Variables!$B$14),""))</f>
        <v/>
      </c>
      <c r="AJ107" s="47">
        <v>45696</v>
      </c>
      <c r="AK107" s="14">
        <f>IF($AX107="Cancelled","",IFERROR(IF(AJ107="","",IF(AND(AB107="",AF107=""),"",IF(AF107&gt;AB107,AF107+Variables!$B$15+Variables!$B$16+Variables!$B$17-AJ107,AB107+Variables!$B$16+Variables!$B$17-AJ107))),""))</f>
        <v>8</v>
      </c>
      <c r="AL107" s="48" t="s">
        <v>114</v>
      </c>
      <c r="AM107" s="13" t="s">
        <v>168</v>
      </c>
      <c r="AN107" s="13" t="s">
        <v>334</v>
      </c>
      <c r="AP107" s="31">
        <v>45703</v>
      </c>
      <c r="AR107" s="13" t="s">
        <v>3252</v>
      </c>
      <c r="AS107" s="31">
        <v>45708</v>
      </c>
      <c r="AU107" s="31">
        <v>45713</v>
      </c>
      <c r="AV107" s="13" t="s">
        <v>865</v>
      </c>
      <c r="AW107" s="31">
        <v>45716</v>
      </c>
      <c r="AX107" s="13" t="str">
        <f>IF(ISNUMBER(SEARCH("cancel",#REF!)),"Cancelled",IF(AND(AS107&lt;&gt;"",AU107&lt;&gt;"",AW107&lt;&gt;""),"Closed","Open"))</f>
        <v>Closed</v>
      </c>
      <c r="AY107" s="15" t="str">
        <f t="shared" si="4"/>
        <v>All dates received</v>
      </c>
      <c r="BD107" s="13">
        <f>IF($AX107="Cancelled","",IFERROR(IF(OR(AS107="",AJ107=""),"",(AJ107+Variables!$B$18-AS107)),""))</f>
        <v>3</v>
      </c>
      <c r="BE107" s="13">
        <f>IF($AX107="Cancelled","",IFERROR(IF(OR(AW107="",AS107=""),"",(AS107+Variables!$B$19)-AW107),""))</f>
        <v>-3</v>
      </c>
      <c r="BF107" s="44">
        <f>IF($AX107="Cancelled","",IFERROR(W107*INDEX(Variables!$B$7:$D$7,IFERROR(MATCH(IF($B107="Robusta","Robusta",(IF($B107="","Arabica",$B107))&amp;" - "&amp;(IF($C107="","Commercial",$C107))),Variables!$B$1:$D$1,0),1))*(BE107/365),""))</f>
        <v>-13.116428593378343</v>
      </c>
      <c r="BG107" s="44" t="str">
        <f>IF($AX107="Cancelled","",IFERROR((W107*INDEX(Variables!$B$7:$D$7,IFERROR(MATCH(IF($B107="Robusta","Robusta",(IF($B107="","Arabica",$B107))&amp;" - "&amp;(IF($C107="","Commercial",$C107))),Variables!$B$1:$D$1,0),1))*IFERROR(IF(AB107="","",(AVERAGE(E107:F107)-AB107)-Variables!$B$14),"")/365)+(L107/16.67*INDEX(Variables!$B$8:$D$8,IFERROR(MATCH(IF($B107="Robusta","Robusta",(IF($B107="","Arabica",$B107))&amp;" - "&amp;(IF($C107="","Commercial",$C107))),Variables!$B$1:$D$1,0),1))*IFERROR(IF(AB107="","",(AVERAGE(E107:F107)-AB107)-Variables!$B$14),""))+(W107*INDEX(Variables!$B$9:$D$9,IFERROR(MATCH(IF($B107="Robusta","Robusta",(IF($B107="","Arabica",$B107))&amp;" - "&amp;(IF($C107="","Commercial",$C107))),Variables!$B$1:$D$1,0),1))*IFERROR(IF(AB107="","",(AVERAGE(E107:F107)-AB107)-Variables!$B$14),"")/365),""))</f>
        <v/>
      </c>
      <c r="BH107" s="44">
        <f>IF($AX107="Cancelled","",IFERROR((W107*INDEX(Variables!$B$7:$D$7,IFERROR(MATCH(IF($B107="Robusta","Robusta",(IF($B107="","Arabica",$B107))&amp;" - "&amp;(IF($C107="","Commercial",$C107))),Variables!$B$1:$D$1,0),1))*AK107/365)+(L107/16.67*INDEX(Variables!$B$8:$D$8,IFERROR(MATCH(IF($B107="Robusta","Robusta",(IF($B107="","Arabica",$B107))&amp;" - "&amp;(IF($C107="","Commercial",$C107))),Variables!$B$1:$D$1,0),1))*AK107)+(W107*INDEX(Variables!$B$9:$D$9,IFERROR(MATCH(IF($B107="Robusta","Robusta",(IF($B107="","Arabica",$B107))&amp;" - "&amp;(IF($C107="","Commercial",$C107))),Variables!$B$1:$D$1,0),1))*AK107/365),""))</f>
        <v>53.428065789054614</v>
      </c>
      <c r="BI107" s="44">
        <f>IF($AX107="Cancelled","",IFERROR((W107*INDEX(Variables!$B$7:$D$7,IFERROR(MATCH(IF($B107="Robusta","Robusta",(IF($B107="","Arabica",$B107))&amp;" - "&amp;(IF($C107="","Commercial",$C107))),Variables!$B$1:$D$1,0),1))*BD107/365)+(L107/16.67*INDEX(Variables!$B$8:$D$8,IFERROR(MATCH(IF($B107="Robusta","Robusta",(IF($B107="","Arabica",$B107))&amp;" - "&amp;(IF($C107="","Commercial",$C107))),Variables!$B$1:$D$1,0),1))*BD107)+(W107*INDEX(Variables!$B$9:$D$9,IFERROR(MATCH(IF($B107="Robusta","Robusta",(IF($B107="","Arabica",$B107))&amp;" - "&amp;(IF($C107="","Commercial",$C107))),Variables!$B$1:$D$1,0),1))*BD107/365),""))</f>
        <v>20.03552467089548</v>
      </c>
      <c r="BJ107" s="44">
        <f t="shared" si="5"/>
        <v>8</v>
      </c>
      <c r="BK107" s="44">
        <f>IF($AX107="Cancelled","",IFERROR(IF(BJ107="","",(W107*INDEX(Variables!$B$7:$D$7,IFERROR(MATCH(IF($B107="Robusta","Robusta",(IF($B107="","Arabica",$B107))&amp;" - "&amp;(IF($C107="","Commercial",$C107))),Variables!$B$1:$D$1,0),1))*(BJ107/365))+(W107*INDEX(Variables!$B$9:$D$9,IFERROR(MATCH(IF($B107="Robusta","Robusta",(IF($B107="","Arabica",$B107))&amp;" - "&amp;(IF($C107="","Commercial",$C107))),Variables!$B$1:$D$1,0),1))*(BJ107/365))+(INDEX(Variables!$B$8:$D$8,IFERROR(MATCH(IF($B107="Robusta","Robusta",(IF($B107="","Arabica",$B107))&amp;" - "&amp;(IF($C107="","Commercial",$C107))),Variables!$B$1:$D$1,0),1))*L107/16.67)),""))</f>
        <v>37.678065789054614</v>
      </c>
    </row>
    <row r="108" spans="1:63">
      <c r="A108" s="13" t="s">
        <v>103</v>
      </c>
      <c r="B108" s="13" t="s">
        <v>104</v>
      </c>
      <c r="C108" s="13" t="s">
        <v>292</v>
      </c>
      <c r="D108" s="31">
        <v>45672</v>
      </c>
      <c r="E108" s="31">
        <v>45689</v>
      </c>
      <c r="F108" s="31">
        <v>45716</v>
      </c>
      <c r="G108" s="13">
        <v>3786610</v>
      </c>
      <c r="H108" s="13" t="s">
        <v>492</v>
      </c>
      <c r="J108" s="13" t="s">
        <v>294</v>
      </c>
      <c r="K108" s="13" t="s">
        <v>493</v>
      </c>
      <c r="L108" s="13">
        <v>42</v>
      </c>
      <c r="M108" s="13">
        <v>0</v>
      </c>
      <c r="N108" s="13" t="s">
        <v>494</v>
      </c>
      <c r="O108" s="13" t="s">
        <v>304</v>
      </c>
      <c r="P108" s="13">
        <v>10010</v>
      </c>
      <c r="R108" s="13" t="s">
        <v>384</v>
      </c>
      <c r="S108" s="13" t="s">
        <v>299</v>
      </c>
      <c r="T108" s="13" t="s">
        <v>305</v>
      </c>
      <c r="U108" s="13" t="s">
        <v>125</v>
      </c>
      <c r="V108" s="13">
        <v>163.05000000000001</v>
      </c>
      <c r="W108" s="44">
        <f>IF($AX108="Cancelled","",IFERROR(((V108+INDEX(Variables!$B$6:$D$6,IFERROR(MATCH(IF($B108="Robusta","Robusta",(IF($B108="","Arabica",$B108))&amp;" - "&amp;(IF($C108="","Commercial",$C108))),Variables!$B$1:$D$1,0),1)))*22.0462)*(L108/16.67),""))</f>
        <v>25209.241184163162</v>
      </c>
      <c r="X108" s="55" t="s">
        <v>37</v>
      </c>
      <c r="Y108" s="13" t="str">
        <f>IF($AX108="Cancelled","",IF(X108="","",IFERROR(IF(INDEX(Variables!$B$38:$B$47,MATCH(X108,Variables!$A$38:$A$47,0))="Yes","Yes","No"),"No")))</f>
        <v>Yes</v>
      </c>
      <c r="Z108" s="31">
        <v>45677.875</v>
      </c>
      <c r="AC108" s="13" t="str">
        <f t="shared" si="3"/>
        <v/>
      </c>
      <c r="AF108" s="71">
        <f>AJ108-7</f>
        <v>45689</v>
      </c>
      <c r="AG108" s="36">
        <f>IF($AX108="Cancelled","",IFERROR(IF(F108="","",F108-Variables!$B$13),""))</f>
        <v>45701</v>
      </c>
      <c r="AH108" s="13" t="str">
        <f>IF($AX108="Cancelled","",IFERROR(IF(AB108="","",(AVERAGE(E108:F108)-AB108)-Variables!$B$14),""))</f>
        <v/>
      </c>
      <c r="AJ108" s="47">
        <v>45696</v>
      </c>
      <c r="AK108" s="14">
        <f>IF($AX108="Cancelled","",IFERROR(IF(AJ108="","",IF(AND(AB108="",AF108=""),"",IF(AF108&gt;AB108,AF108+Variables!$B$15+Variables!$B$16+Variables!$B$17-AJ108,AB108+Variables!$B$16+Variables!$B$17-AJ108))),""))</f>
        <v>8</v>
      </c>
      <c r="AL108" s="48" t="s">
        <v>114</v>
      </c>
      <c r="AM108" s="13" t="s">
        <v>168</v>
      </c>
      <c r="AN108" s="13" t="s">
        <v>334</v>
      </c>
      <c r="AP108" s="31">
        <v>45703</v>
      </c>
      <c r="AR108" s="13" t="s">
        <v>3252</v>
      </c>
      <c r="AS108" s="31">
        <v>45708</v>
      </c>
      <c r="AU108" s="31">
        <v>45713</v>
      </c>
      <c r="AV108" s="13" t="s">
        <v>865</v>
      </c>
      <c r="AW108" s="31">
        <v>45716</v>
      </c>
      <c r="AX108" s="13" t="str">
        <f>IF(ISNUMBER(SEARCH("cancel",#REF!)),"Cancelled",IF(AND(AS108&lt;&gt;"",AU108&lt;&gt;"",AW108&lt;&gt;""),"Closed","Open"))</f>
        <v>Closed</v>
      </c>
      <c r="AY108" s="15" t="str">
        <f t="shared" si="4"/>
        <v>All dates received</v>
      </c>
      <c r="BD108" s="13">
        <f>IF($AX108="Cancelled","",IFERROR(IF(OR(AS108="",AJ108=""),"",(AJ108+Variables!$B$18-AS108)),""))</f>
        <v>3</v>
      </c>
      <c r="BE108" s="13">
        <f>IF($AX108="Cancelled","",IFERROR(IF(OR(AW108="",AS108=""),"",(AS108+Variables!$B$19)-AW108),""))</f>
        <v>-3</v>
      </c>
      <c r="BF108" s="44">
        <f>IF($AX108="Cancelled","",IFERROR(W108*INDEX(Variables!$B$7:$D$7,IFERROR(MATCH(IF($B108="Robusta","Robusta",(IF($B108="","Arabica",$B108))&amp;" - "&amp;(IF($C108="","Commercial",$C108))),Variables!$B$1:$D$1,0),1))*(BE108/365),""))</f>
        <v>-13.360663001798184</v>
      </c>
      <c r="BG108" s="44" t="str">
        <f>IF($AX108="Cancelled","",IFERROR((W108*INDEX(Variables!$B$7:$D$7,IFERROR(MATCH(IF($B108="Robusta","Robusta",(IF($B108="","Arabica",$B108))&amp;" - "&amp;(IF($C108="","Commercial",$C108))),Variables!$B$1:$D$1,0),1))*IFERROR(IF(AB108="","",(AVERAGE(E108:F108)-AB108)-Variables!$B$14),"")/365)+(L108/16.67*INDEX(Variables!$B$8:$D$8,IFERROR(MATCH(IF($B108="Robusta","Robusta",(IF($B108="","Arabica",$B108))&amp;" - "&amp;(IF($C108="","Commercial",$C108))),Variables!$B$1:$D$1,0),1))*IFERROR(IF(AB108="","",(AVERAGE(E108:F108)-AB108)-Variables!$B$14),""))+(W108*INDEX(Variables!$B$9:$D$9,IFERROR(MATCH(IF($B108="Robusta","Robusta",(IF($B108="","Arabica",$B108))&amp;" - "&amp;(IF($C108="","Commercial",$C108))),Variables!$B$1:$D$1,0),1))*IFERROR(IF(AB108="","",(AVERAGE(E108:F108)-AB108)-Variables!$B$14),"")/365),""))</f>
        <v/>
      </c>
      <c r="BH108" s="44">
        <f>IF($AX108="Cancelled","",IFERROR((W108*INDEX(Variables!$B$7:$D$7,IFERROR(MATCH(IF($B108="Robusta","Robusta",(IF($B108="","Arabica",$B108))&amp;" - "&amp;(IF($C108="","Commercial",$C108))),Variables!$B$1:$D$1,0),1))*AK108/365)+(L108/16.67*INDEX(Variables!$B$8:$D$8,IFERROR(MATCH(IF($B108="Robusta","Robusta",(IF($B108="","Arabica",$B108))&amp;" - "&amp;(IF($C108="","Commercial",$C108))),Variables!$B$1:$D$1,0),1))*AK108)+(W108*INDEX(Variables!$B$9:$D$9,IFERROR(MATCH(IF($B108="Robusta","Robusta",(IF($B108="","Arabica",$B108))&amp;" - "&amp;(IF($C108="","Commercial",$C108))),Variables!$B$1:$D$1,0),1))*AK108/365),""))</f>
        <v>52.887753952478704</v>
      </c>
      <c r="BI108" s="44">
        <f>IF($AX108="Cancelled","",IFERROR((W108*INDEX(Variables!$B$7:$D$7,IFERROR(MATCH(IF($B108="Robusta","Robusta",(IF($B108="","Arabica",$B108))&amp;" - "&amp;(IF($C108="","Commercial",$C108))),Variables!$B$1:$D$1,0),1))*BD108/365)+(L108/16.67*INDEX(Variables!$B$8:$D$8,IFERROR(MATCH(IF($B108="Robusta","Robusta",(IF($B108="","Arabica",$B108))&amp;" - "&amp;(IF($C108="","Commercial",$C108))),Variables!$B$1:$D$1,0),1))*BD108)+(W108*INDEX(Variables!$B$9:$D$9,IFERROR(MATCH(IF($B108="Robusta","Robusta",(IF($B108="","Arabica",$B108))&amp;" - "&amp;(IF($C108="","Commercial",$C108))),Variables!$B$1:$D$1,0),1))*BD108/365),""))</f>
        <v>19.83290773217951</v>
      </c>
      <c r="BJ108" s="44">
        <f t="shared" si="5"/>
        <v>8</v>
      </c>
      <c r="BK108" s="44">
        <f>IF($AX108="Cancelled","",IFERROR(IF(BJ108="","",(W108*INDEX(Variables!$B$7:$D$7,IFERROR(MATCH(IF($B108="Robusta","Robusta",(IF($B108="","Arabica",$B108))&amp;" - "&amp;(IF($C108="","Commercial",$C108))),Variables!$B$1:$D$1,0),1))*(BJ108/365))+(W108*INDEX(Variables!$B$9:$D$9,IFERROR(MATCH(IF($B108="Robusta","Robusta",(IF($B108="","Arabica",$B108))&amp;" - "&amp;(IF($C108="","Commercial",$C108))),Variables!$B$1:$D$1,0),1))*(BJ108/365))+(INDEX(Variables!$B$8:$D$8,IFERROR(MATCH(IF($B108="Robusta","Robusta",(IF($B108="","Arabica",$B108))&amp;" - "&amp;(IF($C108="","Commercial",$C108))),Variables!$B$1:$D$1,0),1))*L108/16.67)),""))</f>
        <v>38.187753952478701</v>
      </c>
    </row>
    <row r="109" spans="1:63">
      <c r="A109" s="13" t="s">
        <v>103</v>
      </c>
      <c r="B109" s="13" t="s">
        <v>104</v>
      </c>
      <c r="C109" s="13" t="s">
        <v>292</v>
      </c>
      <c r="D109" s="31">
        <v>45672</v>
      </c>
      <c r="E109" s="31">
        <v>45689</v>
      </c>
      <c r="F109" s="31">
        <v>45716</v>
      </c>
      <c r="G109" s="13">
        <v>3786611</v>
      </c>
      <c r="H109" s="13" t="s">
        <v>495</v>
      </c>
      <c r="J109" s="13" t="s">
        <v>294</v>
      </c>
      <c r="K109" s="13" t="s">
        <v>496</v>
      </c>
      <c r="L109" s="13">
        <v>45</v>
      </c>
      <c r="M109" s="13">
        <v>0</v>
      </c>
      <c r="N109" s="13" t="s">
        <v>497</v>
      </c>
      <c r="O109" s="13" t="s">
        <v>304</v>
      </c>
      <c r="P109" s="13">
        <v>10010</v>
      </c>
      <c r="R109" s="13" t="s">
        <v>384</v>
      </c>
      <c r="S109" s="13" t="s">
        <v>299</v>
      </c>
      <c r="T109" s="13" t="s">
        <v>305</v>
      </c>
      <c r="U109" s="13" t="s">
        <v>125</v>
      </c>
      <c r="V109" s="13">
        <v>163.05000000000001</v>
      </c>
      <c r="W109" s="44">
        <f>IF($AX109="Cancelled","",IFERROR(((V109+INDEX(Variables!$B$6:$D$6,IFERROR(MATCH(IF($B109="Robusta","Robusta",(IF($B109="","Arabica",$B109))&amp;" - "&amp;(IF($C109="","Commercial",$C109))),Variables!$B$1:$D$1,0),1)))*22.0462)*(L109/16.67),""))</f>
        <v>27009.901268746249</v>
      </c>
      <c r="X109" s="55" t="s">
        <v>37</v>
      </c>
      <c r="Y109" s="13" t="str">
        <f>IF($AX109="Cancelled","",IF(X109="","",IFERROR(IF(INDEX(Variables!$B$38:$B$47,MATCH(X109,Variables!$A$38:$A$47,0))="Yes","Yes","No"),"No")))</f>
        <v>Yes</v>
      </c>
      <c r="Z109" s="31">
        <v>45677.875</v>
      </c>
      <c r="AC109" s="13" t="str">
        <f t="shared" si="3"/>
        <v/>
      </c>
      <c r="AF109" s="71">
        <f>AJ109-7</f>
        <v>45689</v>
      </c>
      <c r="AG109" s="36">
        <f>IF($AX109="Cancelled","",IFERROR(IF(F109="","",F109-Variables!$B$13),""))</f>
        <v>45701</v>
      </c>
      <c r="AH109" s="13" t="str">
        <f>IF($AX109="Cancelled","",IFERROR(IF(AB109="","",(AVERAGE(E109:F109)-AB109)-Variables!$B$14),""))</f>
        <v/>
      </c>
      <c r="AJ109" s="47">
        <v>45696</v>
      </c>
      <c r="AK109" s="14">
        <f>IF($AX109="Cancelled","",IFERROR(IF(AJ109="","",IF(AND(AB109="",AF109=""),"",IF(AF109&gt;AB109,AF109+Variables!$B$15+Variables!$B$16+Variables!$B$17-AJ109,AB109+Variables!$B$16+Variables!$B$17-AJ109))),""))</f>
        <v>8</v>
      </c>
      <c r="AL109" s="48" t="s">
        <v>114</v>
      </c>
      <c r="AM109" s="13" t="s">
        <v>168</v>
      </c>
      <c r="AN109" s="13" t="s">
        <v>334</v>
      </c>
      <c r="AP109" s="31">
        <v>45703</v>
      </c>
      <c r="AR109" s="13" t="s">
        <v>3252</v>
      </c>
      <c r="AS109" s="31">
        <v>45708</v>
      </c>
      <c r="AU109" s="31">
        <v>45713</v>
      </c>
      <c r="AV109" s="13" t="s">
        <v>865</v>
      </c>
      <c r="AW109" s="31">
        <v>45716</v>
      </c>
      <c r="AX109" s="13" t="str">
        <f>IF(ISNUMBER(SEARCH("cancel",#REF!)),"Cancelled",IF(AND(AS109&lt;&gt;"",AU109&lt;&gt;"",AW109&lt;&gt;""),"Closed","Open"))</f>
        <v>Closed</v>
      </c>
      <c r="AY109" s="15" t="str">
        <f t="shared" si="4"/>
        <v>All dates received</v>
      </c>
      <c r="BD109" s="13">
        <f>IF($AX109="Cancelled","",IFERROR(IF(OR(AS109="",AJ109=""),"",(AJ109+Variables!$B$18-AS109)),""))</f>
        <v>3</v>
      </c>
      <c r="BE109" s="13">
        <f>IF($AX109="Cancelled","",IFERROR(IF(OR(AW109="",AS109=""),"",(AS109+Variables!$B$19)-AW109),""))</f>
        <v>-3</v>
      </c>
      <c r="BF109" s="44">
        <f>IF($AX109="Cancelled","",IFERROR(W109*INDEX(Variables!$B$7:$D$7,IFERROR(MATCH(IF($B109="Robusta","Robusta",(IF($B109="","Arabica",$B109))&amp;" - "&amp;(IF($C109="","Commercial",$C109))),Variables!$B$1:$D$1,0),1))*(BE109/365),""))</f>
        <v>-14.314996073355198</v>
      </c>
      <c r="BG109" s="44" t="str">
        <f>IF($AX109="Cancelled","",IFERROR((W109*INDEX(Variables!$B$7:$D$7,IFERROR(MATCH(IF($B109="Robusta","Robusta",(IF($B109="","Arabica",$B109))&amp;" - "&amp;(IF($C109="","Commercial",$C109))),Variables!$B$1:$D$1,0),1))*IFERROR(IF(AB109="","",(AVERAGE(E109:F109)-AB109)-Variables!$B$14),"")/365)+(L109/16.67*INDEX(Variables!$B$8:$D$8,IFERROR(MATCH(IF($B109="Robusta","Robusta",(IF($B109="","Arabica",$B109))&amp;" - "&amp;(IF($C109="","Commercial",$C109))),Variables!$B$1:$D$1,0),1))*IFERROR(IF(AB109="","",(AVERAGE(E109:F109)-AB109)-Variables!$B$14),""))+(W109*INDEX(Variables!$B$9:$D$9,IFERROR(MATCH(IF($B109="Robusta","Robusta",(IF($B109="","Arabica",$B109))&amp;" - "&amp;(IF($C109="","Commercial",$C109))),Variables!$B$1:$D$1,0),1))*IFERROR(IF(AB109="","",(AVERAGE(E109:F109)-AB109)-Variables!$B$14),"")/365),""))</f>
        <v/>
      </c>
      <c r="BH109" s="44">
        <f>IF($AX109="Cancelled","",IFERROR((W109*INDEX(Variables!$B$7:$D$7,IFERROR(MATCH(IF($B109="Robusta","Robusta",(IF($B109="","Arabica",$B109))&amp;" - "&amp;(IF($C109="","Commercial",$C109))),Variables!$B$1:$D$1,0),1))*AK109/365)+(L109/16.67*INDEX(Variables!$B$8:$D$8,IFERROR(MATCH(IF($B109="Robusta","Robusta",(IF($B109="","Arabica",$B109))&amp;" - "&amp;(IF($C109="","Commercial",$C109))),Variables!$B$1:$D$1,0),1))*AK109)+(W109*INDEX(Variables!$B$9:$D$9,IFERROR(MATCH(IF($B109="Robusta","Robusta",(IF($B109="","Arabica",$B109))&amp;" - "&amp;(IF($C109="","Commercial",$C109))),Variables!$B$1:$D$1,0),1))*AK109/365),""))</f>
        <v>56.665450663370052</v>
      </c>
      <c r="BI109" s="44">
        <f>IF($AX109="Cancelled","",IFERROR((W109*INDEX(Variables!$B$7:$D$7,IFERROR(MATCH(IF($B109="Robusta","Robusta",(IF($B109="","Arabica",$B109))&amp;" - "&amp;(IF($C109="","Commercial",$C109))),Variables!$B$1:$D$1,0),1))*BD109/365)+(L109/16.67*INDEX(Variables!$B$8:$D$8,IFERROR(MATCH(IF($B109="Robusta","Robusta",(IF($B109="","Arabica",$B109))&amp;" - "&amp;(IF($C109="","Commercial",$C109))),Variables!$B$1:$D$1,0),1))*BD109)+(W109*INDEX(Variables!$B$9:$D$9,IFERROR(MATCH(IF($B109="Robusta","Robusta",(IF($B109="","Arabica",$B109))&amp;" - "&amp;(IF($C109="","Commercial",$C109))),Variables!$B$1:$D$1,0),1))*BD109/365),""))</f>
        <v>21.24954399876377</v>
      </c>
      <c r="BJ109" s="44">
        <f t="shared" si="5"/>
        <v>8</v>
      </c>
      <c r="BK109" s="44">
        <f>IF($AX109="Cancelled","",IFERROR(IF(BJ109="","",(W109*INDEX(Variables!$B$7:$D$7,IFERROR(MATCH(IF($B109="Robusta","Robusta",(IF($B109="","Arabica",$B109))&amp;" - "&amp;(IF($C109="","Commercial",$C109))),Variables!$B$1:$D$1,0),1))*(BJ109/365))+(W109*INDEX(Variables!$B$9:$D$9,IFERROR(MATCH(IF($B109="Robusta","Robusta",(IF($B109="","Arabica",$B109))&amp;" - "&amp;(IF($C109="","Commercial",$C109))),Variables!$B$1:$D$1,0),1))*(BJ109/365))+(INDEX(Variables!$B$8:$D$8,IFERROR(MATCH(IF($B109="Robusta","Robusta",(IF($B109="","Arabica",$B109))&amp;" - "&amp;(IF($C109="","Commercial",$C109))),Variables!$B$1:$D$1,0),1))*L109/16.67)),""))</f>
        <v>40.915450663370045</v>
      </c>
    </row>
    <row r="110" spans="1:63">
      <c r="A110" s="13" t="s">
        <v>103</v>
      </c>
      <c r="B110" s="13" t="s">
        <v>104</v>
      </c>
      <c r="C110" s="13" t="s">
        <v>292</v>
      </c>
      <c r="D110" s="31">
        <v>45672</v>
      </c>
      <c r="E110" s="31">
        <v>45689</v>
      </c>
      <c r="F110" s="31">
        <v>45716</v>
      </c>
      <c r="G110" s="13">
        <v>3786612</v>
      </c>
      <c r="H110" s="13" t="s">
        <v>498</v>
      </c>
      <c r="J110" s="13" t="s">
        <v>294</v>
      </c>
      <c r="K110" s="13" t="s">
        <v>499</v>
      </c>
      <c r="L110" s="13">
        <v>41</v>
      </c>
      <c r="M110" s="13">
        <v>0</v>
      </c>
      <c r="N110" s="13" t="s">
        <v>500</v>
      </c>
      <c r="O110" s="13" t="s">
        <v>304</v>
      </c>
      <c r="P110" s="13">
        <v>10010</v>
      </c>
      <c r="R110" s="13" t="s">
        <v>384</v>
      </c>
      <c r="S110" s="13" t="s">
        <v>299</v>
      </c>
      <c r="T110" s="13" t="s">
        <v>305</v>
      </c>
      <c r="U110" s="13" t="s">
        <v>125</v>
      </c>
      <c r="V110" s="13">
        <v>165.05</v>
      </c>
      <c r="W110" s="44">
        <f>IF($AX110="Cancelled","",IFERROR(((V110+INDEX(Variables!$B$6:$D$6,IFERROR(MATCH(IF($B110="Robusta","Robusta",(IF($B110="","Arabica",$B110))&amp;" - "&amp;(IF($C110="","Commercial",$C110))),Variables!$B$1:$D$1,0),1)))*22.0462)*(L110/16.67),""))</f>
        <v>24717.466770845829</v>
      </c>
      <c r="X110" s="55" t="s">
        <v>37</v>
      </c>
      <c r="Y110" s="13" t="str">
        <f>IF($AX110="Cancelled","",IF(X110="","",IFERROR(IF(INDEX(Variables!$B$38:$B$47,MATCH(X110,Variables!$A$38:$A$47,0))="Yes","Yes","No"),"No")))</f>
        <v>Yes</v>
      </c>
      <c r="Z110" s="31">
        <v>45687.875</v>
      </c>
      <c r="AC110" s="13" t="str">
        <f t="shared" si="3"/>
        <v/>
      </c>
      <c r="AF110" s="71">
        <f>AJ110-7</f>
        <v>45689</v>
      </c>
      <c r="AG110" s="36">
        <f>IF($AX110="Cancelled","",IFERROR(IF(F110="","",F110-Variables!$B$13),""))</f>
        <v>45701</v>
      </c>
      <c r="AH110" s="13" t="str">
        <f>IF($AX110="Cancelled","",IFERROR(IF(AB110="","",(AVERAGE(E110:F110)-AB110)-Variables!$B$14),""))</f>
        <v/>
      </c>
      <c r="AJ110" s="47">
        <v>45696</v>
      </c>
      <c r="AK110" s="14">
        <f>IF($AX110="Cancelled","",IFERROR(IF(AJ110="","",IF(AND(AB110="",AF110=""),"",IF(AF110&gt;AB110,AF110+Variables!$B$15+Variables!$B$16+Variables!$B$17-AJ110,AB110+Variables!$B$16+Variables!$B$17-AJ110))),""))</f>
        <v>8</v>
      </c>
      <c r="AL110" s="48" t="s">
        <v>114</v>
      </c>
      <c r="AM110" s="13" t="s">
        <v>168</v>
      </c>
      <c r="AN110" s="13" t="s">
        <v>334</v>
      </c>
      <c r="AP110" s="31">
        <v>45703</v>
      </c>
      <c r="AR110" s="13" t="s">
        <v>3252</v>
      </c>
      <c r="AS110" s="31">
        <v>45708</v>
      </c>
      <c r="AU110" s="31">
        <v>45713</v>
      </c>
      <c r="AV110" s="13" t="s">
        <v>865</v>
      </c>
      <c r="AW110" s="31">
        <v>45716</v>
      </c>
      <c r="AX110" s="13" t="str">
        <f>IF(ISNUMBER(SEARCH("cancel",#REF!)),"Cancelled",IF(AND(AS110&lt;&gt;"",AU110&lt;&gt;"",AW110&lt;&gt;""),"Closed","Open"))</f>
        <v>Closed</v>
      </c>
      <c r="AY110" s="15" t="str">
        <f t="shared" si="4"/>
        <v>All dates received</v>
      </c>
      <c r="BD110" s="13">
        <f>IF($AX110="Cancelled","",IFERROR(IF(OR(AS110="",AJ110=""),"",(AJ110+Variables!$B$18-AS110)),""))</f>
        <v>3</v>
      </c>
      <c r="BE110" s="13">
        <f>IF($AX110="Cancelled","",IFERROR(IF(OR(AW110="",AS110=""),"",(AS110+Variables!$B$19)-AW110),""))</f>
        <v>-3</v>
      </c>
      <c r="BF110" s="44">
        <f>IF($AX110="Cancelled","",IFERROR(W110*INDEX(Variables!$B$7:$D$7,IFERROR(MATCH(IF($B110="Robusta","Robusta",(IF($B110="","Arabica",$B110))&amp;" - "&amp;(IF($C110="","Commercial",$C110))),Variables!$B$1:$D$1,0),1))*(BE110/365),""))</f>
        <v>-13.100027143652341</v>
      </c>
      <c r="BG110" s="44" t="str">
        <f>IF($AX110="Cancelled","",IFERROR((W110*INDEX(Variables!$B$7:$D$7,IFERROR(MATCH(IF($B110="Robusta","Robusta",(IF($B110="","Arabica",$B110))&amp;" - "&amp;(IF($C110="","Commercial",$C110))),Variables!$B$1:$D$1,0),1))*IFERROR(IF(AB110="","",(AVERAGE(E110:F110)-AB110)-Variables!$B$14),"")/365)+(L110/16.67*INDEX(Variables!$B$8:$D$8,IFERROR(MATCH(IF($B110="Robusta","Robusta",(IF($B110="","Arabica",$B110))&amp;" - "&amp;(IF($C110="","Commercial",$C110))),Variables!$B$1:$D$1,0),1))*IFERROR(IF(AB110="","",(AVERAGE(E110:F110)-AB110)-Variables!$B$14),""))+(W110*INDEX(Variables!$B$9:$D$9,IFERROR(MATCH(IF($B110="Robusta","Robusta",(IF($B110="","Arabica",$B110))&amp;" - "&amp;(IF($C110="","Commercial",$C110))),Variables!$B$1:$D$1,0),1))*IFERROR(IF(AB110="","",(AVERAGE(E110:F110)-AB110)-Variables!$B$14),"")/365),""))</f>
        <v/>
      </c>
      <c r="BH110" s="44">
        <f>IF($AX110="Cancelled","",IFERROR((W110*INDEX(Variables!$B$7:$D$7,IFERROR(MATCH(IF($B110="Robusta","Robusta",(IF($B110="","Arabica",$B110))&amp;" - "&amp;(IF($C110="","Commercial",$C110))),Variables!$B$1:$D$1,0),1))*AK110/365)+(L110/16.67*INDEX(Variables!$B$8:$D$8,IFERROR(MATCH(IF($B110="Robusta","Robusta",(IF($B110="","Arabica",$B110))&amp;" - "&amp;(IF($C110="","Commercial",$C110))),Variables!$B$1:$D$1,0),1))*AK110)+(W110*INDEX(Variables!$B$9:$D$9,IFERROR(MATCH(IF($B110="Robusta","Robusta",(IF($B110="","Arabica",$B110))&amp;" - "&amp;(IF($C110="","Commercial",$C110))),Variables!$B$1:$D$1,0),1))*AK110/365),""))</f>
        <v>51.78376473287976</v>
      </c>
      <c r="BI110" s="44">
        <f>IF($AX110="Cancelled","",IFERROR((W110*INDEX(Variables!$B$7:$D$7,IFERROR(MATCH(IF($B110="Robusta","Robusta",(IF($B110="","Arabica",$B110))&amp;" - "&amp;(IF($C110="","Commercial",$C110))),Variables!$B$1:$D$1,0),1))*BD110/365)+(L110/16.67*INDEX(Variables!$B$8:$D$8,IFERROR(MATCH(IF($B110="Robusta","Robusta",(IF($B110="","Arabica",$B110))&amp;" - "&amp;(IF($C110="","Commercial",$C110))),Variables!$B$1:$D$1,0),1))*BD110)+(W110*INDEX(Variables!$B$9:$D$9,IFERROR(MATCH(IF($B110="Robusta","Robusta",(IF($B110="","Arabica",$B110))&amp;" - "&amp;(IF($C110="","Commercial",$C110))),Variables!$B$1:$D$1,0),1))*BD110/365),""))</f>
        <v>19.418911774829912</v>
      </c>
      <c r="BJ110" s="44">
        <f t="shared" si="5"/>
        <v>8</v>
      </c>
      <c r="BK110" s="44">
        <f>IF($AX110="Cancelled","",IFERROR(IF(BJ110="","",(W110*INDEX(Variables!$B$7:$D$7,IFERROR(MATCH(IF($B110="Robusta","Robusta",(IF($B110="","Arabica",$B110))&amp;" - "&amp;(IF($C110="","Commercial",$C110))),Variables!$B$1:$D$1,0),1))*(BJ110/365))+(W110*INDEX(Variables!$B$9:$D$9,IFERROR(MATCH(IF($B110="Robusta","Robusta",(IF($B110="","Arabica",$B110))&amp;" - "&amp;(IF($C110="","Commercial",$C110))),Variables!$B$1:$D$1,0),1))*(BJ110/365))+(INDEX(Variables!$B$8:$D$8,IFERROR(MATCH(IF($B110="Robusta","Robusta",(IF($B110="","Arabica",$B110))&amp;" - "&amp;(IF($C110="","Commercial",$C110))),Variables!$B$1:$D$1,0),1))*L110/16.67)),""))</f>
        <v>37.433764732879759</v>
      </c>
    </row>
    <row r="111" spans="1:63">
      <c r="A111" s="13" t="s">
        <v>103</v>
      </c>
      <c r="B111" s="13" t="s">
        <v>104</v>
      </c>
      <c r="C111" s="13" t="s">
        <v>292</v>
      </c>
      <c r="D111" s="31">
        <v>45672</v>
      </c>
      <c r="E111" s="31">
        <v>45689</v>
      </c>
      <c r="F111" s="31">
        <v>45716</v>
      </c>
      <c r="G111" s="13">
        <v>3786613</v>
      </c>
      <c r="J111" s="13" t="s">
        <v>501</v>
      </c>
      <c r="K111" s="13" t="s">
        <v>502</v>
      </c>
      <c r="L111" s="13">
        <v>49</v>
      </c>
      <c r="M111" s="13">
        <v>1</v>
      </c>
      <c r="N111" s="13" t="s">
        <v>503</v>
      </c>
      <c r="O111" s="13" t="s">
        <v>304</v>
      </c>
      <c r="P111" s="13">
        <v>10010</v>
      </c>
      <c r="R111" s="13" t="s">
        <v>239</v>
      </c>
      <c r="S111" s="13" t="s">
        <v>437</v>
      </c>
      <c r="T111" s="13" t="s">
        <v>438</v>
      </c>
      <c r="U111" s="13" t="s">
        <v>182</v>
      </c>
      <c r="V111" s="13">
        <v>175.05</v>
      </c>
      <c r="W111" s="44">
        <f>IF($AX111="Cancelled","",IFERROR(((V111+INDEX(Variables!$B$6:$D$6,IFERROR(MATCH(IF($B111="Robusta","Robusta",(IF($B111="","Arabica",$B111))&amp;" - "&amp;(IF($C111="","Commercial",$C111))),Variables!$B$1:$D$1,0),1)))*22.0462)*(L111/16.67),""))</f>
        <v>30188.41579064187</v>
      </c>
      <c r="X111" s="55" t="s">
        <v>39</v>
      </c>
      <c r="Y111" s="13" t="str">
        <f>IF($AX111="Cancelled","",IF(X111="","",IFERROR(IF(INDEX(Variables!$B$38:$B$47,MATCH(X111,Variables!$A$38:$A$47,0))="Yes","Yes","No"),"No")))</f>
        <v>No</v>
      </c>
      <c r="Z111" s="31">
        <v>45677.875</v>
      </c>
      <c r="AC111" s="13" t="str">
        <f t="shared" si="3"/>
        <v/>
      </c>
      <c r="AF111" s="71">
        <f>AJ111-7</f>
        <v>45689</v>
      </c>
      <c r="AG111" s="36">
        <f>IF($AX111="Cancelled","",IFERROR(IF(F111="","",F111-Variables!$B$13),""))</f>
        <v>45701</v>
      </c>
      <c r="AH111" s="13" t="str">
        <f>IF($AX111="Cancelled","",IFERROR(IF(AB111="","",(AVERAGE(E111:F111)-AB111)-Variables!$B$14),""))</f>
        <v/>
      </c>
      <c r="AJ111" s="47">
        <v>45696</v>
      </c>
      <c r="AK111" s="14">
        <f>IF($AX111="Cancelled","",IFERROR(IF(AJ111="","",IF(AND(AB111="",AF111=""),"",IF(AF111&gt;AB111,AF111+Variables!$B$15+Variables!$B$16+Variables!$B$17-AJ111,AB111+Variables!$B$16+Variables!$B$17-AJ111))),""))</f>
        <v>8</v>
      </c>
      <c r="AL111" s="48" t="s">
        <v>114</v>
      </c>
      <c r="AM111" s="13" t="s">
        <v>115</v>
      </c>
      <c r="AN111" s="13" t="s">
        <v>174</v>
      </c>
      <c r="AP111" s="31">
        <v>45700</v>
      </c>
      <c r="AR111" s="13">
        <v>249951258</v>
      </c>
      <c r="AS111" s="31">
        <v>45705</v>
      </c>
      <c r="AU111" s="31">
        <v>45713</v>
      </c>
      <c r="AV111" s="13" t="s">
        <v>865</v>
      </c>
      <c r="AW111" s="31">
        <v>45714</v>
      </c>
      <c r="AX111" s="13" t="str">
        <f>IF(ISNUMBER(SEARCH("cancel",#REF!)),"Cancelled",IF(AND(AS111&lt;&gt;"",AU111&lt;&gt;"",AW111&lt;&gt;""),"Closed","Open"))</f>
        <v>Closed</v>
      </c>
      <c r="AY111" s="15" t="str">
        <f t="shared" si="4"/>
        <v>All dates received</v>
      </c>
      <c r="BD111" s="13">
        <f>IF($AX111="Cancelled","",IFERROR(IF(OR(AS111="",AJ111=""),"",(AJ111+Variables!$B$18-AS111)),""))</f>
        <v>6</v>
      </c>
      <c r="BE111" s="13">
        <f>IF($AX111="Cancelled","",IFERROR(IF(OR(AW111="",AS111=""),"",(AS111+Variables!$B$19)-AW111),""))</f>
        <v>-4</v>
      </c>
      <c r="BF111" s="44">
        <f>IF($AX111="Cancelled","",IFERROR(W111*INDEX(Variables!$B$7:$D$7,IFERROR(MATCH(IF($B111="Robusta","Robusta",(IF($B111="","Arabica",$B111))&amp;" - "&amp;(IF($C111="","Commercial",$C111))),Variables!$B$1:$D$1,0),1))*(BE111/365),""))</f>
        <v>-21.332772215839203</v>
      </c>
      <c r="BG111" s="44" t="str">
        <f>IF($AX111="Cancelled","",IFERROR((W111*INDEX(Variables!$B$7:$D$7,IFERROR(MATCH(IF($B111="Robusta","Robusta",(IF($B111="","Arabica",$B111))&amp;" - "&amp;(IF($C111="","Commercial",$C111))),Variables!$B$1:$D$1,0),1))*IFERROR(IF(AB111="","",(AVERAGE(E111:F111)-AB111)-Variables!$B$14),"")/365)+(L111/16.67*INDEX(Variables!$B$8:$D$8,IFERROR(MATCH(IF($B111="Robusta","Robusta",(IF($B111="","Arabica",$B111))&amp;" - "&amp;(IF($C111="","Commercial",$C111))),Variables!$B$1:$D$1,0),1))*IFERROR(IF(AB111="","",(AVERAGE(E111:F111)-AB111)-Variables!$B$14),""))+(W111*INDEX(Variables!$B$9:$D$9,IFERROR(MATCH(IF($B111="Robusta","Robusta",(IF($B111="","Arabica",$B111))&amp;" - "&amp;(IF($C111="","Commercial",$C111))),Variables!$B$1:$D$1,0),1))*IFERROR(IF(AB111="","",(AVERAGE(E111:F111)-AB111)-Variables!$B$14),"")/365),""))</f>
        <v/>
      </c>
      <c r="BH111" s="44">
        <f>IF($AX111="Cancelled","",IFERROR((W111*INDEX(Variables!$B$7:$D$7,IFERROR(MATCH(IF($B111="Robusta","Robusta",(IF($B111="","Arabica",$B111))&amp;" - "&amp;(IF($C111="","Commercial",$C111))),Variables!$B$1:$D$1,0),1))*AK111/365)+(L111/16.67*INDEX(Variables!$B$8:$D$8,IFERROR(MATCH(IF($B111="Robusta","Robusta",(IF($B111="","Arabica",$B111))&amp;" - "&amp;(IF($C111="","Commercial",$C111))),Variables!$B$1:$D$1,0),1))*AK111)+(W111*INDEX(Variables!$B$9:$D$9,IFERROR(MATCH(IF($B111="Robusta","Robusta",(IF($B111="","Arabica",$B111))&amp;" - "&amp;(IF($C111="","Commercial",$C111))),Variables!$B$1:$D$1,0),1))*AK111/365),""))</f>
        <v>62.815585638182746</v>
      </c>
      <c r="BI111" s="44">
        <f>IF($AX111="Cancelled","",IFERROR((W111*INDEX(Variables!$B$7:$D$7,IFERROR(MATCH(IF($B111="Robusta","Robusta",(IF($B111="","Arabica",$B111))&amp;" - "&amp;(IF($C111="","Commercial",$C111))),Variables!$B$1:$D$1,0),1))*BD111/365)+(L111/16.67*INDEX(Variables!$B$8:$D$8,IFERROR(MATCH(IF($B111="Robusta","Robusta",(IF($B111="","Arabica",$B111))&amp;" - "&amp;(IF($C111="","Commercial",$C111))),Variables!$B$1:$D$1,0),1))*BD111)+(W111*INDEX(Variables!$B$9:$D$9,IFERROR(MATCH(IF($B111="Robusta","Robusta",(IF($B111="","Arabica",$B111))&amp;" - "&amp;(IF($C111="","Commercial",$C111))),Variables!$B$1:$D$1,0),1))*BD111/365),""))</f>
        <v>47.111689228637069</v>
      </c>
      <c r="BJ111" s="44">
        <f t="shared" si="5"/>
        <v>11</v>
      </c>
      <c r="BK111" s="44">
        <f>IF($AX111="Cancelled","",IFERROR(IF(BJ111="","",(W111*INDEX(Variables!$B$7:$D$7,IFERROR(MATCH(IF($B111="Robusta","Robusta",(IF($B111="","Arabica",$B111))&amp;" - "&amp;(IF($C111="","Commercial",$C111))),Variables!$B$1:$D$1,0),1))*(BJ111/365))+(W111*INDEX(Variables!$B$9:$D$9,IFERROR(MATCH(IF($B111="Robusta","Robusta",(IF($B111="","Arabica",$B111))&amp;" - "&amp;(IF($C111="","Commercial",$C111))),Variables!$B$1:$D$1,0),1))*(BJ111/365))+(INDEX(Variables!$B$8:$D$8,IFERROR(MATCH(IF($B111="Robusta","Robusta",(IF($B111="","Arabica",$B111))&amp;" - "&amp;(IF($C111="","Commercial",$C111))),Variables!$B$1:$D$1,0),1))*L111/16.67)),""))</f>
        <v>61.871430252501284</v>
      </c>
    </row>
    <row r="112" spans="1:63">
      <c r="A112" s="13" t="s">
        <v>103</v>
      </c>
      <c r="B112" s="13" t="s">
        <v>104</v>
      </c>
      <c r="C112" s="13" t="s">
        <v>292</v>
      </c>
      <c r="D112" s="31">
        <v>45672</v>
      </c>
      <c r="E112" s="31">
        <v>45689</v>
      </c>
      <c r="F112" s="31">
        <v>45716</v>
      </c>
      <c r="G112" s="13">
        <v>3786614</v>
      </c>
      <c r="J112" s="13" t="s">
        <v>501</v>
      </c>
      <c r="K112" s="13" t="s">
        <v>504</v>
      </c>
      <c r="L112" s="13">
        <v>62</v>
      </c>
      <c r="M112" s="13">
        <v>0</v>
      </c>
      <c r="N112" s="13" t="s">
        <v>505</v>
      </c>
      <c r="O112" s="13" t="s">
        <v>304</v>
      </c>
      <c r="P112" s="13">
        <v>10020</v>
      </c>
      <c r="R112" s="13" t="s">
        <v>239</v>
      </c>
      <c r="S112" s="13" t="s">
        <v>437</v>
      </c>
      <c r="T112" s="13" t="s">
        <v>438</v>
      </c>
      <c r="U112" s="13" t="s">
        <v>182</v>
      </c>
      <c r="V112" s="13">
        <v>120.05</v>
      </c>
      <c r="W112" s="44">
        <f>IF($AX112="Cancelled","",IFERROR(((V112+INDEX(Variables!$B$6:$D$6,IFERROR(MATCH(IF($B112="Robusta","Robusta",(IF($B112="","Arabica",$B112))&amp;" - "&amp;(IF($C112="","Commercial",$C112))),Variables!$B$1:$D$1,0),1)))*22.0462)*(L112/16.67),""))</f>
        <v>33687.836757048593</v>
      </c>
      <c r="X112" s="55" t="s">
        <v>39</v>
      </c>
      <c r="Y112" s="13" t="str">
        <f>IF($AX112="Cancelled","",IF(X112="","",IFERROR(IF(INDEX(Variables!$B$38:$B$47,MATCH(X112,Variables!$A$38:$A$47,0))="Yes","Yes","No"),"No")))</f>
        <v>No</v>
      </c>
      <c r="Z112" s="31">
        <v>45677.875</v>
      </c>
      <c r="AC112" s="13" t="str">
        <f t="shared" si="3"/>
        <v/>
      </c>
      <c r="AF112" s="71">
        <f>AJ112-7</f>
        <v>45689</v>
      </c>
      <c r="AG112" s="36">
        <f>IF($AX112="Cancelled","",IFERROR(IF(F112="","",F112-Variables!$B$13),""))</f>
        <v>45701</v>
      </c>
      <c r="AH112" s="13" t="str">
        <f>IF($AX112="Cancelled","",IFERROR(IF(AB112="","",(AVERAGE(E112:F112)-AB112)-Variables!$B$14),""))</f>
        <v/>
      </c>
      <c r="AJ112" s="47">
        <v>45696</v>
      </c>
      <c r="AK112" s="14">
        <f>IF($AX112="Cancelled","",IFERROR(IF(AJ112="","",IF(AND(AB112="",AF112=""),"",IF(AF112&gt;AB112,AF112+Variables!$B$15+Variables!$B$16+Variables!$B$17-AJ112,AB112+Variables!$B$16+Variables!$B$17-AJ112))),""))</f>
        <v>8</v>
      </c>
      <c r="AL112" s="48" t="s">
        <v>114</v>
      </c>
      <c r="AM112" s="13" t="s">
        <v>115</v>
      </c>
      <c r="AN112" s="13" t="s">
        <v>174</v>
      </c>
      <c r="AP112" s="31">
        <v>45700</v>
      </c>
      <c r="AR112" s="13">
        <v>249951258</v>
      </c>
      <c r="AS112" s="31">
        <v>45705</v>
      </c>
      <c r="AU112" s="31">
        <v>45713</v>
      </c>
      <c r="AV112" s="13" t="s">
        <v>865</v>
      </c>
      <c r="AW112" s="31">
        <v>45714</v>
      </c>
      <c r="AX112" s="13" t="str">
        <f>IF(ISNUMBER(SEARCH("cancel",#REF!)),"Cancelled",IF(AND(AS112&lt;&gt;"",AU112&lt;&gt;"",AW112&lt;&gt;""),"Closed","Open"))</f>
        <v>Closed</v>
      </c>
      <c r="AY112" s="15" t="str">
        <f t="shared" si="4"/>
        <v>All dates received</v>
      </c>
      <c r="BD112" s="13">
        <f>IF($AX112="Cancelled","",IFERROR(IF(OR(AS112="",AJ112=""),"",(AJ112+Variables!$B$18-AS112)),""))</f>
        <v>6</v>
      </c>
      <c r="BE112" s="13">
        <f>IF($AX112="Cancelled","",IFERROR(IF(OR(AW112="",AS112=""),"",(AS112+Variables!$B$19)-AW112),""))</f>
        <v>-4</v>
      </c>
      <c r="BF112" s="44">
        <f>IF($AX112="Cancelled","",IFERROR(W112*INDEX(Variables!$B$7:$D$7,IFERROR(MATCH(IF($B112="Robusta","Robusta",(IF($B112="","Arabica",$B112))&amp;" - "&amp;(IF($C112="","Commercial",$C112))),Variables!$B$1:$D$1,0),1))*(BE112/365),""))</f>
        <v>-23.805652902305305</v>
      </c>
      <c r="BG112" s="44" t="str">
        <f>IF($AX112="Cancelled","",IFERROR((W112*INDEX(Variables!$B$7:$D$7,IFERROR(MATCH(IF($B112="Robusta","Robusta",(IF($B112="","Arabica",$B112))&amp;" - "&amp;(IF($C112="","Commercial",$C112))),Variables!$B$1:$D$1,0),1))*IFERROR(IF(AB112="","",(AVERAGE(E112:F112)-AB112)-Variables!$B$14),"")/365)+(L112/16.67*INDEX(Variables!$B$8:$D$8,IFERROR(MATCH(IF($B112="Robusta","Robusta",(IF($B112="","Arabica",$B112))&amp;" - "&amp;(IF($C112="","Commercial",$C112))),Variables!$B$1:$D$1,0),1))*IFERROR(IF(AB112="","",(AVERAGE(E112:F112)-AB112)-Variables!$B$14),""))+(W112*INDEX(Variables!$B$9:$D$9,IFERROR(MATCH(IF($B112="Robusta","Robusta",(IF($B112="","Arabica",$B112))&amp;" - "&amp;(IF($C112="","Commercial",$C112))),Variables!$B$1:$D$1,0),1))*IFERROR(IF(AB112="","",(AVERAGE(E112:F112)-AB112)-Variables!$B$14),"")/365),""))</f>
        <v/>
      </c>
      <c r="BH112" s="44">
        <f>IF($AX112="Cancelled","",IFERROR((W112*INDEX(Variables!$B$7:$D$7,IFERROR(MATCH(IF($B112="Robusta","Robusta",(IF($B112="","Arabica",$B112))&amp;" - "&amp;(IF($C112="","Commercial",$C112))),Variables!$B$1:$D$1,0),1))*AK112/365)+(L112/16.67*INDEX(Variables!$B$8:$D$8,IFERROR(MATCH(IF($B112="Robusta","Robusta",(IF($B112="","Arabica",$B112))&amp;" - "&amp;(IF($C112="","Commercial",$C112))),Variables!$B$1:$D$1,0),1))*AK112)+(W112*INDEX(Variables!$B$9:$D$9,IFERROR(MATCH(IF($B112="Robusta","Robusta",(IF($B112="","Arabica",$B112))&amp;" - "&amp;(IF($C112="","Commercial",$C112))),Variables!$B$1:$D$1,0),1))*AK112/365),""))</f>
        <v>73.025107419868348</v>
      </c>
      <c r="BI112" s="44">
        <f>IF($AX112="Cancelled","",IFERROR((W112*INDEX(Variables!$B$7:$D$7,IFERROR(MATCH(IF($B112="Robusta","Robusta",(IF($B112="","Arabica",$B112))&amp;" - "&amp;(IF($C112="","Commercial",$C112))),Variables!$B$1:$D$1,0),1))*BD112/365)+(L112/16.67*INDEX(Variables!$B$8:$D$8,IFERROR(MATCH(IF($B112="Robusta","Robusta",(IF($B112="","Arabica",$B112))&amp;" - "&amp;(IF($C112="","Commercial",$C112))),Variables!$B$1:$D$1,0),1))*BD112)+(W112*INDEX(Variables!$B$9:$D$9,IFERROR(MATCH(IF($B112="Robusta","Robusta",(IF($B112="","Arabica",$B112))&amp;" - "&amp;(IF($C112="","Commercial",$C112))),Variables!$B$1:$D$1,0),1))*BD112/365),""))</f>
        <v>54.768830564901272</v>
      </c>
      <c r="BJ112" s="44">
        <f t="shared" si="5"/>
        <v>11</v>
      </c>
      <c r="BK112" s="44">
        <f>IF($AX112="Cancelled","",IFERROR(IF(BJ112="","",(W112*INDEX(Variables!$B$7:$D$7,IFERROR(MATCH(IF($B112="Robusta","Robusta",(IF($B112="","Arabica",$B112))&amp;" - "&amp;(IF($C112="","Commercial",$C112))),Variables!$B$1:$D$1,0),1))*(BJ112/365))+(W112*INDEX(Variables!$B$9:$D$9,IFERROR(MATCH(IF($B112="Robusta","Robusta",(IF($B112="","Arabica",$B112))&amp;" - "&amp;(IF($C112="","Commercial",$C112))),Variables!$B$1:$D$1,0),1))*(BJ112/365))+(INDEX(Variables!$B$8:$D$8,IFERROR(MATCH(IF($B112="Robusta","Robusta",(IF($B112="","Arabica",$B112))&amp;" - "&amp;(IF($C112="","Commercial",$C112))),Variables!$B$1:$D$1,0),1))*L112/16.67)),""))</f>
        <v>69.409522702318981</v>
      </c>
    </row>
    <row r="113" spans="1:63">
      <c r="A113" s="13" t="s">
        <v>103</v>
      </c>
      <c r="B113" s="13" t="s">
        <v>104</v>
      </c>
      <c r="C113" s="13" t="s">
        <v>105</v>
      </c>
      <c r="D113" s="31">
        <v>45673</v>
      </c>
      <c r="E113" s="31">
        <v>45717</v>
      </c>
      <c r="F113" s="31">
        <v>45747</v>
      </c>
      <c r="G113" s="13">
        <v>3786615</v>
      </c>
      <c r="J113" s="13" t="s">
        <v>506</v>
      </c>
      <c r="K113" s="13" t="s">
        <v>507</v>
      </c>
      <c r="L113" s="13">
        <v>272</v>
      </c>
      <c r="M113" s="13">
        <v>1</v>
      </c>
      <c r="N113" s="13" t="s">
        <v>508</v>
      </c>
      <c r="O113" s="13" t="s">
        <v>418</v>
      </c>
      <c r="P113" s="13">
        <v>10070</v>
      </c>
      <c r="R113" s="13" t="s">
        <v>239</v>
      </c>
      <c r="S113" s="13" t="s">
        <v>509</v>
      </c>
      <c r="T113" s="13" t="s">
        <v>329</v>
      </c>
      <c r="U113" s="13" t="s">
        <v>330</v>
      </c>
      <c r="V113" s="13">
        <v>8</v>
      </c>
      <c r="W113" s="44">
        <f>IF($AX113="Cancelled","",IFERROR(((V113+INDEX(Variables!$B$6:$D$6,IFERROR(MATCH(IF($B113="Robusta","Robusta",(IF($B113="","Arabica",$B113))&amp;" - "&amp;(IF($C113="","Commercial",$C113))),Variables!$B$1:$D$1,0),1)))*22.0462)*(L113/16.67),""))</f>
        <v>107484.94543011398</v>
      </c>
      <c r="X113" s="55" t="s">
        <v>37</v>
      </c>
      <c r="Y113" s="13" t="str">
        <f>IF($AX113="Cancelled","",IF(X113="","",IFERROR(IF(INDEX(Variables!$B$38:$B$47,MATCH(X113,Variables!$A$38:$A$47,0))="Yes","Yes","No"),"No")))</f>
        <v>Yes</v>
      </c>
      <c r="Z113" s="58">
        <v>45677</v>
      </c>
      <c r="AB113" s="31">
        <v>45686</v>
      </c>
      <c r="AC113" s="13" t="str">
        <f t="shared" si="3"/>
        <v>Approved</v>
      </c>
      <c r="AF113" s="71">
        <v>45722</v>
      </c>
      <c r="AG113" s="35">
        <f>IF($AX113="Cancelled","",IFERROR(IF(F113="","",F113-Variables!$B$13),""))</f>
        <v>45732</v>
      </c>
      <c r="AH113" s="13">
        <f>IF($AX113="Cancelled","",IFERROR(IF(AB113="","",(AVERAGE(E113:F113)-AB113)-Variables!$B$14),""))</f>
        <v>16</v>
      </c>
      <c r="AJ113" s="47">
        <v>45728</v>
      </c>
      <c r="AK113" s="14">
        <f>IF($AX113="Cancelled","",IFERROR(IF(AJ113="","",IF(AND(AB113="",AF113=""),"",IF(AF113&gt;AB113,AF113+Variables!$B$15+Variables!$B$16+Variables!$B$17-AJ113,AB113+Variables!$B$16+Variables!$B$17-AJ113))),""))</f>
        <v>9</v>
      </c>
      <c r="AL113" s="48" t="s">
        <v>114</v>
      </c>
      <c r="AM113" s="13" t="s">
        <v>115</v>
      </c>
      <c r="AN113" s="13" t="s">
        <v>510</v>
      </c>
      <c r="AP113" s="31">
        <v>45742</v>
      </c>
      <c r="AR113" s="13">
        <v>251098049</v>
      </c>
      <c r="AS113" s="31">
        <v>45742</v>
      </c>
      <c r="AU113" s="31">
        <v>45744</v>
      </c>
      <c r="AV113" s="13" t="s">
        <v>865</v>
      </c>
      <c r="AW113" s="31">
        <v>45754</v>
      </c>
      <c r="AX113" s="13" t="str">
        <f>IF(ISNUMBER(SEARCH("cancel",#REF!)),"Cancelled",IF(AND(AS113&lt;&gt;"",AU113&lt;&gt;"",AW113&lt;&gt;""),"Closed","Open"))</f>
        <v>Closed</v>
      </c>
      <c r="AY113" s="15" t="str">
        <f t="shared" si="4"/>
        <v>All dates received</v>
      </c>
      <c r="BD113" s="13">
        <f>IF($AX113="Cancelled","",IFERROR(IF(OR(AS113="",AJ113=""),"",(AJ113+Variables!$B$18-AS113)),""))</f>
        <v>1</v>
      </c>
      <c r="BE113" s="13">
        <f>IF($AX113="Cancelled","",IFERROR(IF(OR(AW113="",AS113=""),"",(AS113+Variables!$B$19)-AW113),""))</f>
        <v>-7</v>
      </c>
      <c r="BF113" s="44">
        <f>IF($AX113="Cancelled","",IFERROR(W113*INDEX(Variables!$B$7:$D$7,IFERROR(MATCH(IF($B113="Robusta","Robusta",(IF($B113="","Arabica",$B113))&amp;" - "&amp;(IF($C113="","Commercial",$C113))),Variables!$B$1:$D$1,0),1))*(BE113/365),""))</f>
        <v>-132.92071297944076</v>
      </c>
      <c r="BG113" s="44">
        <f>IF($AX113="Cancelled","",IFERROR((W113*INDEX(Variables!$B$7:$D$7,IFERROR(MATCH(IF($B113="Robusta","Robusta",(IF($B113="","Arabica",$B113))&amp;" - "&amp;(IF($C113="","Commercial",$C113))),Variables!$B$1:$D$1,0),1))*IFERROR(IF(AB113="","",(AVERAGE(E113:F113)-AB113)-Variables!$B$14),"")/365)+(L113/16.67*INDEX(Variables!$B$8:$D$8,IFERROR(MATCH(IF($B113="Robusta","Robusta",(IF($B113="","Arabica",$B113))&amp;" - "&amp;(IF($C113="","Commercial",$C113))),Variables!$B$1:$D$1,0),1))*IFERROR(IF(AB113="","",(AVERAGE(E113:F113)-AB113)-Variables!$B$14),""))+(W113*INDEX(Variables!$B$9:$D$9,IFERROR(MATCH(IF($B113="Robusta","Robusta",(IF($B113="","Arabica",$B113))&amp;" - "&amp;(IF($C113="","Commercial",$C113))),Variables!$B$1:$D$1,0),1))*IFERROR(IF(AB113="","",(AVERAGE(E113:F113)-AB113)-Variables!$B$14),"")/365),""))</f>
        <v>525.3355828317699</v>
      </c>
      <c r="BH113" s="44">
        <f>IF($AX113="Cancelled","",IFERROR((W113*INDEX(Variables!$B$7:$D$7,IFERROR(MATCH(IF($B113="Robusta","Robusta",(IF($B113="","Arabica",$B113))&amp;" - "&amp;(IF($C113="","Commercial",$C113))),Variables!$B$1:$D$1,0),1))*AK113/365)+(L113/16.67*INDEX(Variables!$B$8:$D$8,IFERROR(MATCH(IF($B113="Robusta","Robusta",(IF($B113="","Arabica",$B113))&amp;" - "&amp;(IF($C113="","Commercial",$C113))),Variables!$B$1:$D$1,0),1))*AK113)+(W113*INDEX(Variables!$B$9:$D$9,IFERROR(MATCH(IF($B113="Robusta","Robusta",(IF($B113="","Arabica",$B113))&amp;" - "&amp;(IF($C113="","Commercial",$C113))),Variables!$B$1:$D$1,0),1))*AK113/365),""))</f>
        <v>295.50126534287051</v>
      </c>
      <c r="BI113" s="44">
        <f>IF($AX113="Cancelled","",IFERROR((W113*INDEX(Variables!$B$7:$D$7,IFERROR(MATCH(IF($B113="Robusta","Robusta",(IF($B113="","Arabica",$B113))&amp;" - "&amp;(IF($C113="","Commercial",$C113))),Variables!$B$1:$D$1,0),1))*BD113/365)+(L113/16.67*INDEX(Variables!$B$8:$D$8,IFERROR(MATCH(IF($B113="Robusta","Robusta",(IF($B113="","Arabica",$B113))&amp;" - "&amp;(IF($C113="","Commercial",$C113))),Variables!$B$1:$D$1,0),1))*BD113)+(W113*INDEX(Variables!$B$9:$D$9,IFERROR(MATCH(IF($B113="Robusta","Robusta",(IF($B113="","Arabica",$B113))&amp;" - "&amp;(IF($C113="","Commercial",$C113))),Variables!$B$1:$D$1,0),1))*BD113/365),""))</f>
        <v>32.833473926985619</v>
      </c>
      <c r="BJ113" s="44">
        <f t="shared" si="5"/>
        <v>5</v>
      </c>
      <c r="BK113" s="44">
        <f>IF($AX113="Cancelled","",IFERROR(IF(BJ113="","",(W113*INDEX(Variables!$B$7:$D$7,IFERROR(MATCH(IF($B113="Robusta","Robusta",(IF($B113="","Arabica",$B113))&amp;" - "&amp;(IF($C113="","Commercial",$C113))),Variables!$B$1:$D$1,0),1))*(BJ113/365))+(W113*INDEX(Variables!$B$9:$D$9,IFERROR(MATCH(IF($B113="Robusta","Robusta",(IF($B113="","Arabica",$B113))&amp;" - "&amp;(IF($C113="","Commercial",$C113))),Variables!$B$1:$D$1,0),1))*(BJ113/365))+(INDEX(Variables!$B$8:$D$8,IFERROR(MATCH(IF($B113="Robusta","Robusta",(IF($B113="","Arabica",$B113))&amp;" - "&amp;(IF($C113="","Commercial",$C113))),Variables!$B$1:$D$1,0),1))*L113/16.67)),""))</f>
        <v>109.76736963492806</v>
      </c>
    </row>
    <row r="114" spans="1:63">
      <c r="A114" s="13" t="s">
        <v>103</v>
      </c>
      <c r="B114" s="13" t="s">
        <v>104</v>
      </c>
      <c r="C114" s="13" t="s">
        <v>105</v>
      </c>
      <c r="D114" s="31">
        <v>45673</v>
      </c>
      <c r="E114" s="31">
        <v>45717</v>
      </c>
      <c r="F114" s="31">
        <v>45747</v>
      </c>
      <c r="G114" s="13">
        <v>3786616</v>
      </c>
      <c r="H114" s="13" t="s">
        <v>511</v>
      </c>
      <c r="J114" s="13" t="s">
        <v>454</v>
      </c>
      <c r="K114" s="13">
        <v>5192</v>
      </c>
      <c r="L114" s="13">
        <v>1280</v>
      </c>
      <c r="M114" s="13">
        <v>4</v>
      </c>
      <c r="N114" s="13" t="s">
        <v>512</v>
      </c>
      <c r="O114" s="13" t="s">
        <v>153</v>
      </c>
      <c r="P114" s="13">
        <v>10110</v>
      </c>
      <c r="R114" s="13" t="s">
        <v>110</v>
      </c>
      <c r="S114" s="13" t="s">
        <v>513</v>
      </c>
      <c r="T114" s="13" t="s">
        <v>514</v>
      </c>
      <c r="U114" s="13" t="s">
        <v>182</v>
      </c>
      <c r="V114" s="13">
        <v>10</v>
      </c>
      <c r="W114" s="44">
        <f>IF($AX114="Cancelled","",IFERROR(((V114+INDEX(Variables!$B$6:$D$6,IFERROR(MATCH(IF($B114="Robusta","Robusta",(IF($B114="","Arabica",$B114))&amp;" - "&amp;(IF($C114="","Commercial",$C114))),Variables!$B$1:$D$1,0),1)))*22.0462)*(L114/16.67),""))</f>
        <v>509197.1271025794</v>
      </c>
      <c r="X114" s="55" t="s">
        <v>37</v>
      </c>
      <c r="Y114" s="13" t="str">
        <f>IF($AX114="Cancelled","",IF(X114="","",IFERROR(IF(INDEX(Variables!$B$38:$B$47,MATCH(X114,Variables!$A$38:$A$47,0))="Yes","Yes","No"),"No")))</f>
        <v>Yes</v>
      </c>
      <c r="Z114" s="58">
        <v>45681</v>
      </c>
      <c r="AB114" s="31">
        <v>45695</v>
      </c>
      <c r="AC114" s="13" t="str">
        <f t="shared" si="3"/>
        <v>Approved</v>
      </c>
      <c r="AF114" s="71">
        <v>45722</v>
      </c>
      <c r="AG114" s="35">
        <f>IF($AX114="Cancelled","",IFERROR(IF(F114="","",F114-Variables!$B$13),""))</f>
        <v>45732</v>
      </c>
      <c r="AH114" s="13">
        <f>IF($AX114="Cancelled","",IFERROR(IF(AB114="","",(AVERAGE(E114:F114)-AB114)-Variables!$B$14),""))</f>
        <v>7</v>
      </c>
      <c r="AJ114" s="47">
        <v>45723</v>
      </c>
      <c r="AK114" s="14">
        <f>IF($AX114="Cancelled","",IFERROR(IF(AJ114="","",IF(AND(AB114="",AF114=""),"",IF(AF114&gt;AB114,AF114+Variables!$B$15+Variables!$B$16+Variables!$B$17-AJ114,AB114+Variables!$B$16+Variables!$B$17-AJ114))),""))</f>
        <v>14</v>
      </c>
      <c r="AL114" s="48" t="s">
        <v>114</v>
      </c>
      <c r="AM114" s="13" t="s">
        <v>115</v>
      </c>
      <c r="AN114" s="13" t="s">
        <v>370</v>
      </c>
      <c r="AP114" s="31">
        <v>45738</v>
      </c>
      <c r="AR114" s="13">
        <v>249978228</v>
      </c>
      <c r="AS114" s="31">
        <v>45738</v>
      </c>
      <c r="AU114" s="31">
        <v>45743</v>
      </c>
      <c r="AV114" s="13" t="s">
        <v>865</v>
      </c>
      <c r="AW114" s="31">
        <v>45756</v>
      </c>
      <c r="AX114" s="13" t="str">
        <f>IF(ISNUMBER(SEARCH("cancel",#REF!)),"Cancelled",IF(AND(AS114&lt;&gt;"",AU114&lt;&gt;"",AW114&lt;&gt;""),"Closed","Open"))</f>
        <v>Closed</v>
      </c>
      <c r="AY114" s="15" t="str">
        <f t="shared" si="4"/>
        <v>All dates received</v>
      </c>
      <c r="BD114" s="13">
        <f>IF($AX114="Cancelled","",IFERROR(IF(OR(AS114="",AJ114=""),"",(AJ114+Variables!$B$18-AS114)),""))</f>
        <v>0</v>
      </c>
      <c r="BE114" s="13">
        <f>IF($AX114="Cancelled","",IFERROR(IF(OR(AW114="",AS114=""),"",(AS114+Variables!$B$19)-AW114),""))</f>
        <v>-13</v>
      </c>
      <c r="BF114" s="44">
        <f>IF($AX114="Cancelled","",IFERROR(W114*INDEX(Variables!$B$7:$D$7,IFERROR(MATCH(IF($B114="Robusta","Robusta",(IF($B114="","Arabica",$B114))&amp;" - "&amp;(IF($C114="","Commercial",$C114))),Variables!$B$1:$D$1,0),1))*(BE114/365),""))</f>
        <v>-1169.435514685757</v>
      </c>
      <c r="BG114" s="44">
        <f>IF($AX114="Cancelled","",IFERROR((W114*INDEX(Variables!$B$7:$D$7,IFERROR(MATCH(IF($B114="Robusta","Robusta",(IF($B114="","Arabica",$B114))&amp;" - "&amp;(IF($C114="","Commercial",$C114))),Variables!$B$1:$D$1,0),1))*IFERROR(IF(AB114="","",(AVERAGE(E114:F114)-AB114)-Variables!$B$14),"")/365)+(L114/16.67*INDEX(Variables!$B$8:$D$8,IFERROR(MATCH(IF($B114="Robusta","Robusta",(IF($B114="","Arabica",$B114))&amp;" - "&amp;(IF($C114="","Commercial",$C114))),Variables!$B$1:$D$1,0),1))*IFERROR(IF(AB114="","",(AVERAGE(E114:F114)-AB114)-Variables!$B$14),""))+(W114*INDEX(Variables!$B$9:$D$9,IFERROR(MATCH(IF($B114="Robusta","Robusta",(IF($B114="","Arabica",$B114))&amp;" - "&amp;(IF($C114="","Commercial",$C114))),Variables!$B$1:$D$1,0),1))*IFERROR(IF(AB114="","",(AVERAGE(E114:F114)-AB114)-Variables!$B$14),"")/365),""))</f>
        <v>1085.814043635891</v>
      </c>
      <c r="BH114" s="44">
        <f>IF($AX114="Cancelled","",IFERROR((W114*INDEX(Variables!$B$7:$D$7,IFERROR(MATCH(IF($B114="Robusta","Robusta",(IF($B114="","Arabica",$B114))&amp;" - "&amp;(IF($C114="","Commercial",$C114))),Variables!$B$1:$D$1,0),1))*AK114/365)+(L114/16.67*INDEX(Variables!$B$8:$D$8,IFERROR(MATCH(IF($B114="Robusta","Robusta",(IF($B114="","Arabica",$B114))&amp;" - "&amp;(IF($C114="","Commercial",$C114))),Variables!$B$1:$D$1,0),1))*AK114)+(W114*INDEX(Variables!$B$9:$D$9,IFERROR(MATCH(IF($B114="Robusta","Robusta",(IF($B114="","Arabica",$B114))&amp;" - "&amp;(IF($C114="","Commercial",$C114))),Variables!$B$1:$D$1,0),1))*AK114/365),""))</f>
        <v>2171.6280872717821</v>
      </c>
      <c r="BI114" s="44">
        <f>IF($AX114="Cancelled","",IFERROR((W114*INDEX(Variables!$B$7:$D$7,IFERROR(MATCH(IF($B114="Robusta","Robusta",(IF($B114="","Arabica",$B114))&amp;" - "&amp;(IF($C114="","Commercial",$C114))),Variables!$B$1:$D$1,0),1))*BD114/365)+(L114/16.67*INDEX(Variables!$B$8:$D$8,IFERROR(MATCH(IF($B114="Robusta","Robusta",(IF($B114="","Arabica",$B114))&amp;" - "&amp;(IF($C114="","Commercial",$C114))),Variables!$B$1:$D$1,0),1))*BD114)+(W114*INDEX(Variables!$B$9:$D$9,IFERROR(MATCH(IF($B114="Robusta","Robusta",(IF($B114="","Arabica",$B114))&amp;" - "&amp;(IF($C114="","Commercial",$C114))),Variables!$B$1:$D$1,0),1))*BD114/365),""))</f>
        <v>0</v>
      </c>
      <c r="BJ114" s="44">
        <f t="shared" si="5"/>
        <v>9</v>
      </c>
      <c r="BK114" s="44">
        <f>IF($AX114="Cancelled","",IFERROR(IF(BJ114="","",(W114*INDEX(Variables!$B$7:$D$7,IFERROR(MATCH(IF($B114="Robusta","Robusta",(IF($B114="","Arabica",$B114))&amp;" - "&amp;(IF($C114="","Commercial",$C114))),Variables!$B$1:$D$1,0),1))*(BJ114/365))+(W114*INDEX(Variables!$B$9:$D$9,IFERROR(MATCH(IF($B114="Robusta","Robusta",(IF($B114="","Arabica",$B114))&amp;" - "&amp;(IF($C114="","Commercial",$C114))),Variables!$B$1:$D$1,0),1))*(BJ114/365))+(INDEX(Variables!$B$8:$D$8,IFERROR(MATCH(IF($B114="Robusta","Robusta",(IF($B114="","Arabica",$B114))&amp;" - "&amp;(IF($C114="","Commercial",$C114))),Variables!$B$1:$D$1,0),1))*L114/16.67)),""))</f>
        <v>884.04662753185994</v>
      </c>
    </row>
    <row r="115" spans="1:63">
      <c r="A115" s="13" t="s">
        <v>103</v>
      </c>
      <c r="B115" s="13" t="s">
        <v>104</v>
      </c>
      <c r="C115" s="13" t="s">
        <v>105</v>
      </c>
      <c r="D115" s="31">
        <v>45673</v>
      </c>
      <c r="E115" s="31">
        <v>45748</v>
      </c>
      <c r="F115" s="31">
        <v>45777</v>
      </c>
      <c r="G115" s="13">
        <v>3786617</v>
      </c>
      <c r="H115" s="13" t="s">
        <v>515</v>
      </c>
      <c r="J115" s="13" t="s">
        <v>454</v>
      </c>
      <c r="K115" s="13">
        <v>5232</v>
      </c>
      <c r="L115" s="13">
        <v>960</v>
      </c>
      <c r="M115" s="13">
        <v>3</v>
      </c>
      <c r="N115" s="13" t="s">
        <v>512</v>
      </c>
      <c r="O115" s="13" t="s">
        <v>153</v>
      </c>
      <c r="P115" s="13">
        <v>10110</v>
      </c>
      <c r="R115" s="13" t="s">
        <v>110</v>
      </c>
      <c r="S115" s="13" t="s">
        <v>513</v>
      </c>
      <c r="T115" s="13" t="s">
        <v>514</v>
      </c>
      <c r="U115" s="13" t="s">
        <v>182</v>
      </c>
      <c r="V115" s="13">
        <v>10</v>
      </c>
      <c r="W115" s="44">
        <f>IF($AX115="Cancelled","",IFERROR(((V115+INDEX(Variables!$B$6:$D$6,IFERROR(MATCH(IF($B115="Robusta","Robusta",(IF($B115="","Arabica",$B115))&amp;" - "&amp;(IF($C115="","Commercial",$C115))),Variables!$B$1:$D$1,0),1)))*22.0462)*(L115/16.67),""))</f>
        <v>381897.84532693453</v>
      </c>
      <c r="X115" s="55" t="s">
        <v>37</v>
      </c>
      <c r="Y115" s="13" t="str">
        <f>IF($AX115="Cancelled","",IF(X115="","",IFERROR(IF(INDEX(Variables!$B$38:$B$47,MATCH(X115,Variables!$A$38:$A$47,0))="Yes","Yes","No"),"No")))</f>
        <v>Yes</v>
      </c>
      <c r="Z115" s="58">
        <v>45674</v>
      </c>
      <c r="AB115" s="31">
        <v>45719</v>
      </c>
      <c r="AC115" s="13" t="str">
        <f t="shared" si="3"/>
        <v>Approved</v>
      </c>
      <c r="AF115" s="71">
        <f>AJ115-7</f>
        <v>45755</v>
      </c>
      <c r="AG115" s="35">
        <f>IF($AX115="Cancelled","",IFERROR(IF(F115="","",F115-Variables!$B$13),""))</f>
        <v>45762</v>
      </c>
      <c r="AH115" s="13">
        <f>IF($AX115="Cancelled","",IFERROR(IF(AB115="","",(AVERAGE(E115:F115)-AB115)-Variables!$B$14),""))</f>
        <v>13.5</v>
      </c>
      <c r="AJ115" s="47">
        <v>45762</v>
      </c>
      <c r="AK115" s="14">
        <f>IF($AX115="Cancelled","",IFERROR(IF(AJ115="","",IF(AND(AB115="",AF115=""),"",IF(AF115&gt;AB115,AF115+Variables!$B$15+Variables!$B$16+Variables!$B$17-AJ115,AB115+Variables!$B$16+Variables!$B$17-AJ115))),""))</f>
        <v>8</v>
      </c>
      <c r="AL115" s="48" t="s">
        <v>114</v>
      </c>
      <c r="AM115" s="13" t="s">
        <v>115</v>
      </c>
      <c r="AN115" s="13" t="s">
        <v>116</v>
      </c>
      <c r="AP115" s="31">
        <v>45771</v>
      </c>
      <c r="AR115" s="13">
        <v>250956761</v>
      </c>
      <c r="AS115" s="31">
        <v>45771</v>
      </c>
      <c r="AU115" s="31">
        <v>45779</v>
      </c>
      <c r="AV115" s="13" t="s">
        <v>865</v>
      </c>
      <c r="AW115" s="31">
        <v>45793</v>
      </c>
      <c r="AX115" s="13" t="str">
        <f>IF(ISNUMBER(SEARCH("cancel",#REF!)),"Cancelled",IF(AND(AS115&lt;&gt;"",AU115&lt;&gt;"",AW115&lt;&gt;""),"Closed","Open"))</f>
        <v>Closed</v>
      </c>
      <c r="AY115" s="15" t="str">
        <f t="shared" si="4"/>
        <v>All dates received</v>
      </c>
      <c r="BD115" s="13">
        <f>IF($AX115="Cancelled","",IFERROR(IF(OR(AS115="",AJ115=""),"",(AJ115+Variables!$B$18-AS115)),""))</f>
        <v>6</v>
      </c>
      <c r="BE115" s="13">
        <f>IF($AX115="Cancelled","",IFERROR(IF(OR(AW115="",AS115=""),"",(AS115+Variables!$B$19)-AW115),""))</f>
        <v>-17</v>
      </c>
      <c r="BF115" s="44">
        <f>IF($AX115="Cancelled","",IFERROR(W115*INDEX(Variables!$B$7:$D$7,IFERROR(MATCH(IF($B115="Robusta","Robusta",(IF($B115="","Arabica",$B115))&amp;" - "&amp;(IF($C115="","Commercial",$C115))),Variables!$B$1:$D$1,0),1))*(BE115/365),""))</f>
        <v>-1146.9463701725695</v>
      </c>
      <c r="BG115" s="44">
        <f>IF($AX115="Cancelled","",IFERROR((W115*INDEX(Variables!$B$7:$D$7,IFERROR(MATCH(IF($B115="Robusta","Robusta",(IF($B115="","Arabica",$B115))&amp;" - "&amp;(IF($C115="","Commercial",$C115))),Variables!$B$1:$D$1,0),1))*IFERROR(IF(AB115="","",(AVERAGE(E115:F115)-AB115)-Variables!$B$14),"")/365)+(L115/16.67*INDEX(Variables!$B$8:$D$8,IFERROR(MATCH(IF($B115="Robusta","Robusta",(IF($B115="","Arabica",$B115))&amp;" - "&amp;(IF($C115="","Commercial",$C115))),Variables!$B$1:$D$1,0),1))*IFERROR(IF(AB115="","",(AVERAGE(E115:F115)-AB115)-Variables!$B$14),""))+(W115*INDEX(Variables!$B$9:$D$9,IFERROR(MATCH(IF($B115="Robusta","Robusta",(IF($B115="","Arabica",$B115))&amp;" - "&amp;(IF($C115="","Commercial",$C115))),Variables!$B$1:$D$1,0),1))*IFERROR(IF(AB115="","",(AVERAGE(E115:F115)-AB115)-Variables!$B$14),"")/365),""))</f>
        <v>1570.5524559733424</v>
      </c>
      <c r="BH115" s="44">
        <f>IF($AX115="Cancelled","",IFERROR((W115*INDEX(Variables!$B$7:$D$7,IFERROR(MATCH(IF($B115="Robusta","Robusta",(IF($B115="","Arabica",$B115))&amp;" - "&amp;(IF($C115="","Commercial",$C115))),Variables!$B$1:$D$1,0),1))*AK115/365)+(L115/16.67*INDEX(Variables!$B$8:$D$8,IFERROR(MATCH(IF($B115="Robusta","Robusta",(IF($B115="","Arabica",$B115))&amp;" - "&amp;(IF($C115="","Commercial",$C115))),Variables!$B$1:$D$1,0),1))*AK115)+(W115*INDEX(Variables!$B$9:$D$9,IFERROR(MATCH(IF($B115="Robusta","Robusta",(IF($B115="","Arabica",$B115))&amp;" - "&amp;(IF($C115="","Commercial",$C115))),Variables!$B$1:$D$1,0),1))*AK115/365),""))</f>
        <v>930.6977516879067</v>
      </c>
      <c r="BI115" s="44">
        <f>IF($AX115="Cancelled","",IFERROR((W115*INDEX(Variables!$B$7:$D$7,IFERROR(MATCH(IF($B115="Robusta","Robusta",(IF($B115="","Arabica",$B115))&amp;" - "&amp;(IF($C115="","Commercial",$C115))),Variables!$B$1:$D$1,0),1))*BD115/365)+(L115/16.67*INDEX(Variables!$B$8:$D$8,IFERROR(MATCH(IF($B115="Robusta","Robusta",(IF($B115="","Arabica",$B115))&amp;" - "&amp;(IF($C115="","Commercial",$C115))),Variables!$B$1:$D$1,0),1))*BD115)+(W115*INDEX(Variables!$B$9:$D$9,IFERROR(MATCH(IF($B115="Robusta","Robusta",(IF($B115="","Arabica",$B115))&amp;" - "&amp;(IF($C115="","Commercial",$C115))),Variables!$B$1:$D$1,0),1))*BD115/365),""))</f>
        <v>698.02331376593008</v>
      </c>
      <c r="BJ115" s="44">
        <f t="shared" si="5"/>
        <v>6</v>
      </c>
      <c r="BK115" s="44">
        <f>IF($AX115="Cancelled","",IFERROR(IF(BJ115="","",(W115*INDEX(Variables!$B$7:$D$7,IFERROR(MATCH(IF($B115="Robusta","Robusta",(IF($B115="","Arabica",$B115))&amp;" - "&amp;(IF($C115="","Commercial",$C115))),Variables!$B$1:$D$1,0),1))*(BJ115/365))+(W115*INDEX(Variables!$B$9:$D$9,IFERROR(MATCH(IF($B115="Robusta","Robusta",(IF($B115="","Arabica",$B115))&amp;" - "&amp;(IF($C115="","Commercial",$C115))),Variables!$B$1:$D$1,0),1))*(BJ115/365))+(INDEX(Variables!$B$8:$D$8,IFERROR(MATCH(IF($B115="Robusta","Robusta",(IF($B115="","Arabica",$B115))&amp;" - "&amp;(IF($C115="","Commercial",$C115))),Variables!$B$1:$D$1,0),1))*L115/16.67)),""))</f>
        <v>458.02331376592991</v>
      </c>
    </row>
    <row r="116" spans="1:63">
      <c r="A116" s="13" t="s">
        <v>103</v>
      </c>
      <c r="B116" s="13" t="s">
        <v>104</v>
      </c>
      <c r="C116" s="13" t="s">
        <v>105</v>
      </c>
      <c r="D116" s="31">
        <v>45673</v>
      </c>
      <c r="E116" s="31">
        <v>45778</v>
      </c>
      <c r="F116" s="31">
        <v>45808</v>
      </c>
      <c r="G116" s="13">
        <v>3786618</v>
      </c>
      <c r="H116" s="13" t="s">
        <v>516</v>
      </c>
      <c r="J116" s="13" t="s">
        <v>454</v>
      </c>
      <c r="K116" s="13">
        <v>5251</v>
      </c>
      <c r="L116" s="13">
        <v>960</v>
      </c>
      <c r="M116" s="13">
        <v>3</v>
      </c>
      <c r="N116" s="13" t="s">
        <v>512</v>
      </c>
      <c r="O116" s="13" t="s">
        <v>153</v>
      </c>
      <c r="P116" s="13">
        <v>10110</v>
      </c>
      <c r="R116" s="13" t="s">
        <v>110</v>
      </c>
      <c r="S116" s="13" t="s">
        <v>513</v>
      </c>
      <c r="T116" s="13" t="s">
        <v>514</v>
      </c>
      <c r="U116" s="13" t="s">
        <v>182</v>
      </c>
      <c r="V116" s="13">
        <v>10</v>
      </c>
      <c r="W116" s="44">
        <f>IF($AX116="Cancelled","",IFERROR(((V116+INDEX(Variables!$B$6:$D$6,IFERROR(MATCH(IF($B116="Robusta","Robusta",(IF($B116="","Arabica",$B116))&amp;" - "&amp;(IF($C116="","Commercial",$C116))),Variables!$B$1:$D$1,0),1)))*22.0462)*(L116/16.67),""))</f>
        <v>381897.84532693453</v>
      </c>
      <c r="X116" s="55" t="s">
        <v>37</v>
      </c>
      <c r="Y116" s="13" t="str">
        <f>IF($AX116="Cancelled","",IF(X116="","",IFERROR(IF(INDEX(Variables!$B$38:$B$47,MATCH(X116,Variables!$A$38:$A$47,0))="Yes","Yes","No"),"No")))</f>
        <v>Yes</v>
      </c>
      <c r="Z116" s="58">
        <v>45744</v>
      </c>
      <c r="AB116" s="31">
        <v>45758</v>
      </c>
      <c r="AC116" s="13" t="str">
        <f t="shared" si="3"/>
        <v>Approved</v>
      </c>
      <c r="AF116" s="71">
        <f>AJ116-7</f>
        <v>45783</v>
      </c>
      <c r="AG116" s="35">
        <f>IF($AX116="Cancelled","",IFERROR(IF(F116="","",F116-Variables!$B$13),""))</f>
        <v>45793</v>
      </c>
      <c r="AH116" s="13">
        <f>IF($AX116="Cancelled","",IFERROR(IF(AB116="","",(AVERAGE(E116:F116)-AB116)-Variables!$B$14),""))</f>
        <v>5</v>
      </c>
      <c r="AJ116" s="47">
        <v>45790</v>
      </c>
      <c r="AK116" s="14">
        <f>IF($AX116="Cancelled","",IFERROR(IF(AJ116="","",IF(AND(AB116="",AF116=""),"",IF(AF116&gt;AB116,AF116+Variables!$B$15+Variables!$B$16+Variables!$B$17-AJ116,AB116+Variables!$B$16+Variables!$B$17-AJ116))),""))</f>
        <v>8</v>
      </c>
      <c r="AL116" s="48" t="s">
        <v>114</v>
      </c>
      <c r="AM116" s="13" t="s">
        <v>115</v>
      </c>
      <c r="AN116" s="13" t="s">
        <v>517</v>
      </c>
      <c r="AP116" s="31">
        <v>45807</v>
      </c>
      <c r="AR116" s="13">
        <v>253484752</v>
      </c>
      <c r="AS116" s="31">
        <v>45807</v>
      </c>
      <c r="AU116" s="31">
        <v>45807</v>
      </c>
      <c r="AV116" s="13" t="s">
        <v>865</v>
      </c>
      <c r="AW116" s="31">
        <v>45807</v>
      </c>
      <c r="AX116" s="13" t="str">
        <f>IF(ISNUMBER(SEARCH("cancel",#REF!)),"Cancelled",IF(AND(AS116&lt;&gt;"",AU116&lt;&gt;"",AW116&lt;&gt;""),"Closed","Open"))</f>
        <v>Closed</v>
      </c>
      <c r="AY116" s="15" t="str">
        <f t="shared" si="4"/>
        <v>All dates received</v>
      </c>
      <c r="BD116" s="13">
        <f>IF($AX116="Cancelled","",IFERROR(IF(OR(AS116="",AJ116=""),"",(AJ116+Variables!$B$18-AS116)),""))</f>
        <v>-2</v>
      </c>
      <c r="BE116" s="13">
        <f>IF($AX116="Cancelled","",IFERROR(IF(OR(AW116="",AS116=""),"",(AS116+Variables!$B$19)-AW116),""))</f>
        <v>5</v>
      </c>
      <c r="BF116" s="44">
        <f>IF($AX116="Cancelled","",IFERROR(W116*INDEX(Variables!$B$7:$D$7,IFERROR(MATCH(IF($B116="Robusta","Robusta",(IF($B116="","Arabica",$B116))&amp;" - "&amp;(IF($C116="","Commercial",$C116))),Variables!$B$1:$D$1,0),1))*(BE116/365),""))</f>
        <v>337.33716769781449</v>
      </c>
      <c r="BG116" s="44">
        <f>IF($AX116="Cancelled","",IFERROR((W116*INDEX(Variables!$B$7:$D$7,IFERROR(MATCH(IF($B116="Robusta","Robusta",(IF($B116="","Arabica",$B116))&amp;" - "&amp;(IF($C116="","Commercial",$C116))),Variables!$B$1:$D$1,0),1))*IFERROR(IF(AB116="","",(AVERAGE(E116:F116)-AB116)-Variables!$B$14),"")/365)+(L116/16.67*INDEX(Variables!$B$8:$D$8,IFERROR(MATCH(IF($B116="Robusta","Robusta",(IF($B116="","Arabica",$B116))&amp;" - "&amp;(IF($C116="","Commercial",$C116))),Variables!$B$1:$D$1,0),1))*IFERROR(IF(AB116="","",(AVERAGE(E116:F116)-AB116)-Variables!$B$14),""))+(W116*INDEX(Variables!$B$9:$D$9,IFERROR(MATCH(IF($B116="Robusta","Robusta",(IF($B116="","Arabica",$B116))&amp;" - "&amp;(IF($C116="","Commercial",$C116))),Variables!$B$1:$D$1,0),1))*IFERROR(IF(AB116="","",(AVERAGE(E116:F116)-AB116)-Variables!$B$14),"")/365),""))</f>
        <v>581.6860948049416</v>
      </c>
      <c r="BH116" s="44">
        <f>IF($AX116="Cancelled","",IFERROR((W116*INDEX(Variables!$B$7:$D$7,IFERROR(MATCH(IF($B116="Robusta","Robusta",(IF($B116="","Arabica",$B116))&amp;" - "&amp;(IF($C116="","Commercial",$C116))),Variables!$B$1:$D$1,0),1))*AK116/365)+(L116/16.67*INDEX(Variables!$B$8:$D$8,IFERROR(MATCH(IF($B116="Robusta","Robusta",(IF($B116="","Arabica",$B116))&amp;" - "&amp;(IF($C116="","Commercial",$C116))),Variables!$B$1:$D$1,0),1))*AK116)+(W116*INDEX(Variables!$B$9:$D$9,IFERROR(MATCH(IF($B116="Robusta","Robusta",(IF($B116="","Arabica",$B116))&amp;" - "&amp;(IF($C116="","Commercial",$C116))),Variables!$B$1:$D$1,0),1))*AK116/365),""))</f>
        <v>930.6977516879067</v>
      </c>
      <c r="BI116" s="44">
        <f>IF($AX116="Cancelled","",IFERROR((W116*INDEX(Variables!$B$7:$D$7,IFERROR(MATCH(IF($B116="Robusta","Robusta",(IF($B116="","Arabica",$B116))&amp;" - "&amp;(IF($C116="","Commercial",$C116))),Variables!$B$1:$D$1,0),1))*BD116/365)+(L116/16.67*INDEX(Variables!$B$8:$D$8,IFERROR(MATCH(IF($B116="Robusta","Robusta",(IF($B116="","Arabica",$B116))&amp;" - "&amp;(IF($C116="","Commercial",$C116))),Variables!$B$1:$D$1,0),1))*BD116)+(W116*INDEX(Variables!$B$9:$D$9,IFERROR(MATCH(IF($B116="Robusta","Robusta",(IF($B116="","Arabica",$B116))&amp;" - "&amp;(IF($C116="","Commercial",$C116))),Variables!$B$1:$D$1,0),1))*BD116/365),""))</f>
        <v>-232.67443792197668</v>
      </c>
      <c r="BJ116" s="44">
        <f t="shared" si="5"/>
        <v>1</v>
      </c>
      <c r="BK116" s="44">
        <f>IF($AX116="Cancelled","",IFERROR(IF(BJ116="","",(W116*INDEX(Variables!$B$7:$D$7,IFERROR(MATCH(IF($B116="Robusta","Robusta",(IF($B116="","Arabica",$B116))&amp;" - "&amp;(IF($C116="","Commercial",$C116))),Variables!$B$1:$D$1,0),1))*(BJ116/365))+(W116*INDEX(Variables!$B$9:$D$9,IFERROR(MATCH(IF($B116="Robusta","Robusta",(IF($B116="","Arabica",$B116))&amp;" - "&amp;(IF($C116="","Commercial",$C116))),Variables!$B$1:$D$1,0),1))*(BJ116/365))+(INDEX(Variables!$B$8:$D$8,IFERROR(MATCH(IF($B116="Robusta","Robusta",(IF($B116="","Arabica",$B116))&amp;" - "&amp;(IF($C116="","Commercial",$C116))),Variables!$B$1:$D$1,0),1))*L116/16.67)),""))</f>
        <v>116.33721896098834</v>
      </c>
    </row>
    <row r="117" spans="1:63">
      <c r="A117" s="13" t="s">
        <v>103</v>
      </c>
      <c r="B117" s="13" t="s">
        <v>104</v>
      </c>
      <c r="C117" s="13" t="s">
        <v>105</v>
      </c>
      <c r="D117" s="31">
        <v>45674</v>
      </c>
      <c r="E117" s="31">
        <v>45717</v>
      </c>
      <c r="F117" s="31">
        <v>45747</v>
      </c>
      <c r="G117" s="13">
        <v>3786619</v>
      </c>
      <c r="H117" s="13" t="s">
        <v>518</v>
      </c>
      <c r="J117" s="13" t="s">
        <v>118</v>
      </c>
      <c r="K117" s="13" t="s">
        <v>519</v>
      </c>
      <c r="L117" s="13">
        <v>666</v>
      </c>
      <c r="M117" s="13">
        <v>2</v>
      </c>
      <c r="N117" s="13" t="s">
        <v>268</v>
      </c>
      <c r="O117" s="13" t="s">
        <v>269</v>
      </c>
      <c r="P117" s="13">
        <v>10310</v>
      </c>
      <c r="Q117" s="59" t="s">
        <v>270</v>
      </c>
      <c r="R117" s="13" t="s">
        <v>271</v>
      </c>
      <c r="S117" s="13" t="s">
        <v>283</v>
      </c>
      <c r="T117" s="13" t="s">
        <v>112</v>
      </c>
      <c r="U117" s="13" t="s">
        <v>113</v>
      </c>
      <c r="V117" s="13">
        <v>42</v>
      </c>
      <c r="W117" s="44">
        <f>IF($AX117="Cancelled","",IFERROR(((V117+INDEX(Variables!$B$6:$D$6,IFERROR(MATCH(IF($B117="Robusta","Robusta",(IF($B117="","Arabica",$B117))&amp;" - "&amp;(IF($C117="","Commercial",$C117))),Variables!$B$1:$D$1,0),1)))*22.0462)*(L117/16.67),""))</f>
        <v>293126.91000359925</v>
      </c>
      <c r="X117" s="55" t="s">
        <v>37</v>
      </c>
      <c r="Y117" s="13" t="str">
        <f>IF($AX117="Cancelled","",IF(X117="","",IFERROR(IF(INDEX(Variables!$B$38:$B$47,MATCH(X117,Variables!$A$38:$A$47,0))="Yes","Yes","No"),"No")))</f>
        <v>Yes</v>
      </c>
      <c r="Z117" s="58">
        <v>45677</v>
      </c>
      <c r="AB117" s="31">
        <v>45688</v>
      </c>
      <c r="AC117" s="13" t="str">
        <f t="shared" si="3"/>
        <v>Approved</v>
      </c>
      <c r="AF117" s="71">
        <v>45708</v>
      </c>
      <c r="AG117" s="35">
        <f>IF($AX117="Cancelled","",IFERROR(IF(F117="","",F117-Variables!$B$13),""))</f>
        <v>45732</v>
      </c>
      <c r="AH117" s="13">
        <f>IF($AX117="Cancelled","",IFERROR(IF(AB117="","",(AVERAGE(E117:F117)-AB117)-Variables!$B$14),""))</f>
        <v>14</v>
      </c>
      <c r="AJ117" s="47">
        <v>45710</v>
      </c>
      <c r="AK117" s="14">
        <f>IF($AX117="Cancelled","",IFERROR(IF(AJ117="","",IF(AND(AB117="",AF117=""),"",IF(AF117&gt;AB117,AF117+Variables!$B$15+Variables!$B$16+Variables!$B$17-AJ117,AB117+Variables!$B$16+Variables!$B$17-AJ117))),""))</f>
        <v>13</v>
      </c>
      <c r="AL117" s="48" t="s">
        <v>114</v>
      </c>
      <c r="AM117" s="13" t="s">
        <v>134</v>
      </c>
      <c r="AN117" s="13" t="s">
        <v>184</v>
      </c>
      <c r="AP117" s="31">
        <v>45721</v>
      </c>
      <c r="AR117" s="13" t="s">
        <v>520</v>
      </c>
      <c r="AS117" s="31">
        <v>45721</v>
      </c>
      <c r="AU117" s="31">
        <v>45723</v>
      </c>
      <c r="AV117" s="13" t="s">
        <v>865</v>
      </c>
      <c r="AW117" s="31">
        <v>45733</v>
      </c>
      <c r="AX117" s="13" t="str">
        <f>IF(ISNUMBER(SEARCH("cancel",#REF!)),"Cancelled",IF(AND(AS117&lt;&gt;"",AU117&lt;&gt;"",AW117&lt;&gt;""),"Closed","Open"))</f>
        <v>Closed</v>
      </c>
      <c r="AY117" s="15" t="str">
        <f t="shared" si="4"/>
        <v>All dates received</v>
      </c>
      <c r="BD117" s="13">
        <f>IF($AX117="Cancelled","",IFERROR(IF(OR(AS117="",AJ117=""),"",(AJ117+Variables!$B$18-AS117)),""))</f>
        <v>4</v>
      </c>
      <c r="BE117" s="13">
        <f>IF($AX117="Cancelled","",IFERROR(IF(OR(AW117="",AS117=""),"",(AS117+Variables!$B$19)-AW117),""))</f>
        <v>-7</v>
      </c>
      <c r="BF117" s="44">
        <f>IF($AX117="Cancelled","",IFERROR(W117*INDEX(Variables!$B$7:$D$7,IFERROR(MATCH(IF($B117="Robusta","Robusta",(IF($B117="","Arabica",$B117))&amp;" - "&amp;(IF($C117="","Commercial",$C117))),Variables!$B$1:$D$1,0),1))*(BE117/365),""))</f>
        <v>-362.4939075442154</v>
      </c>
      <c r="BG117" s="44">
        <f>IF($AX117="Cancelled","",IFERROR((W117*INDEX(Variables!$B$7:$D$7,IFERROR(MATCH(IF($B117="Robusta","Robusta",(IF($B117="","Arabica",$B117))&amp;" - "&amp;(IF($C117="","Commercial",$C117))),Variables!$B$1:$D$1,0),1))*IFERROR(IF(AB117="","",(AVERAGE(E117:F117)-AB117)-Variables!$B$14),"")/365)+(L117/16.67*INDEX(Variables!$B$8:$D$8,IFERROR(MATCH(IF($B117="Robusta","Robusta",(IF($B117="","Arabica",$B117))&amp;" - "&amp;(IF($C117="","Commercial",$C117))),Variables!$B$1:$D$1,0),1))*IFERROR(IF(AB117="","",(AVERAGE(E117:F117)-AB117)-Variables!$B$14),""))+(W117*INDEX(Variables!$B$9:$D$9,IFERROR(MATCH(IF($B117="Robusta","Robusta",(IF($B117="","Arabica",$B117))&amp;" - "&amp;(IF($C117="","Commercial",$C117))),Variables!$B$1:$D$1,0),1))*IFERROR(IF(AB117="","",(AVERAGE(E117:F117)-AB117)-Variables!$B$14),"")/365),""))</f>
        <v>1200.5343071541949</v>
      </c>
      <c r="BH117" s="44">
        <f>IF($AX117="Cancelled","",IFERROR((W117*INDEX(Variables!$B$7:$D$7,IFERROR(MATCH(IF($B117="Robusta","Robusta",(IF($B117="","Arabica",$B117))&amp;" - "&amp;(IF($C117="","Commercial",$C117))),Variables!$B$1:$D$1,0),1))*AK117/365)+(L117/16.67*INDEX(Variables!$B$8:$D$8,IFERROR(MATCH(IF($B117="Robusta","Robusta",(IF($B117="","Arabica",$B117))&amp;" - "&amp;(IF($C117="","Commercial",$C117))),Variables!$B$1:$D$1,0),1))*AK117)+(W117*INDEX(Variables!$B$9:$D$9,IFERROR(MATCH(IF($B117="Robusta","Robusta",(IF($B117="","Arabica",$B117))&amp;" - "&amp;(IF($C117="","Commercial",$C117))),Variables!$B$1:$D$1,0),1))*AK117/365),""))</f>
        <v>1114.7818566431811</v>
      </c>
      <c r="BI117" s="44">
        <f>IF($AX117="Cancelled","",IFERROR((W117*INDEX(Variables!$B$7:$D$7,IFERROR(MATCH(IF($B117="Robusta","Robusta",(IF($B117="","Arabica",$B117))&amp;" - "&amp;(IF($C117="","Commercial",$C117))),Variables!$B$1:$D$1,0),1))*BD117/365)+(L117/16.67*INDEX(Variables!$B$8:$D$8,IFERROR(MATCH(IF($B117="Robusta","Robusta",(IF($B117="","Arabica",$B117))&amp;" - "&amp;(IF($C117="","Commercial",$C117))),Variables!$B$1:$D$1,0),1))*BD117)+(W117*INDEX(Variables!$B$9:$D$9,IFERROR(MATCH(IF($B117="Robusta","Robusta",(IF($B117="","Arabica",$B117))&amp;" - "&amp;(IF($C117="","Commercial",$C117))),Variables!$B$1:$D$1,0),1))*BD117/365),""))</f>
        <v>343.00980204405568</v>
      </c>
      <c r="BJ117" s="44">
        <f t="shared" si="5"/>
        <v>26</v>
      </c>
      <c r="BK117" s="44">
        <f>IF($AX117="Cancelled","",IFERROR(IF(BJ117="","",(W117*INDEX(Variables!$B$7:$D$7,IFERROR(MATCH(IF($B117="Robusta","Robusta",(IF($B117="","Arabica",$B117))&amp;" - "&amp;(IF($C117="","Commercial",$C117))),Variables!$B$1:$D$1,0),1))*(BJ117/365))+(W117*INDEX(Variables!$B$9:$D$9,IFERROR(MATCH(IF($B117="Robusta","Robusta",(IF($B117="","Arabica",$B117))&amp;" - "&amp;(IF($C117="","Commercial",$C117))),Variables!$B$1:$D$1,0),1))*(BJ117/365))+(INDEX(Variables!$B$8:$D$8,IFERROR(MATCH(IF($B117="Robusta","Robusta",(IF($B117="","Arabica",$B117))&amp;" - "&amp;(IF($C117="","Commercial",$C117))),Variables!$B$1:$D$1,0),1))*L117/16.67)),""))</f>
        <v>1397.0637132863619</v>
      </c>
    </row>
    <row r="118" spans="1:63">
      <c r="A118" s="13" t="s">
        <v>103</v>
      </c>
      <c r="B118" s="13" t="s">
        <v>104</v>
      </c>
      <c r="C118" s="13" t="s">
        <v>105</v>
      </c>
      <c r="D118" s="31">
        <v>45674</v>
      </c>
      <c r="E118" s="31">
        <v>45717</v>
      </c>
      <c r="F118" s="31">
        <v>45747</v>
      </c>
      <c r="G118" s="13">
        <v>3786619</v>
      </c>
      <c r="H118" s="13" t="s">
        <v>518</v>
      </c>
      <c r="J118" s="13" t="s">
        <v>118</v>
      </c>
      <c r="K118" s="13" t="s">
        <v>521</v>
      </c>
      <c r="L118" s="13">
        <v>666</v>
      </c>
      <c r="M118" s="13">
        <v>2</v>
      </c>
      <c r="N118" s="13" t="s">
        <v>268</v>
      </c>
      <c r="O118" s="13" t="s">
        <v>269</v>
      </c>
      <c r="P118" s="13">
        <v>10310</v>
      </c>
      <c r="Q118" s="59" t="s">
        <v>270</v>
      </c>
      <c r="R118" s="13" t="s">
        <v>271</v>
      </c>
      <c r="S118" s="13" t="s">
        <v>442</v>
      </c>
      <c r="T118" s="13" t="s">
        <v>112</v>
      </c>
      <c r="U118" s="13" t="s">
        <v>113</v>
      </c>
      <c r="V118" s="13">
        <v>42</v>
      </c>
      <c r="W118" s="44">
        <f>IF($AX118="Cancelled","",IFERROR(((V118+INDEX(Variables!$B$6:$D$6,IFERROR(MATCH(IF($B118="Robusta","Robusta",(IF($B118="","Arabica",$B118))&amp;" - "&amp;(IF($C118="","Commercial",$C118))),Variables!$B$1:$D$1,0),1)))*22.0462)*(L118/16.67),""))</f>
        <v>293126.91000359925</v>
      </c>
      <c r="X118" s="55" t="s">
        <v>37</v>
      </c>
      <c r="Y118" s="13" t="str">
        <f>IF($AX118="Cancelled","",IF(X118="","",IFERROR(IF(INDEX(Variables!$B$38:$B$47,MATCH(X118,Variables!$A$38:$A$47,0))="Yes","Yes","No"),"No")))</f>
        <v>Yes</v>
      </c>
      <c r="Z118" s="58">
        <v>45677</v>
      </c>
      <c r="AB118" s="31">
        <v>45688</v>
      </c>
      <c r="AC118" s="13" t="str">
        <f t="shared" si="3"/>
        <v>Approved</v>
      </c>
      <c r="AF118" s="71">
        <v>45708</v>
      </c>
      <c r="AG118" s="35">
        <f>IF($AX118="Cancelled","",IFERROR(IF(F118="","",F118-Variables!$B$13),""))</f>
        <v>45732</v>
      </c>
      <c r="AH118" s="13">
        <f>IF($AX118="Cancelled","",IFERROR(IF(AB118="","",(AVERAGE(E118:F118)-AB118)-Variables!$B$14),""))</f>
        <v>14</v>
      </c>
      <c r="AJ118" s="47">
        <v>45709</v>
      </c>
      <c r="AK118" s="14">
        <f>IF($AX118="Cancelled","",IFERROR(IF(AJ118="","",IF(AND(AB118="",AF118=""),"",IF(AF118&gt;AB118,AF118+Variables!$B$15+Variables!$B$16+Variables!$B$17-AJ118,AB118+Variables!$B$16+Variables!$B$17-AJ118))),""))</f>
        <v>14</v>
      </c>
      <c r="AL118" s="48" t="s">
        <v>114</v>
      </c>
      <c r="AM118" s="13" t="s">
        <v>134</v>
      </c>
      <c r="AN118" s="13" t="s">
        <v>184</v>
      </c>
      <c r="AP118" s="31">
        <v>45721</v>
      </c>
      <c r="AR118" s="13" t="s">
        <v>520</v>
      </c>
      <c r="AS118" s="31">
        <v>45726</v>
      </c>
      <c r="AU118" s="31">
        <v>45730</v>
      </c>
      <c r="AV118" s="13" t="s">
        <v>865</v>
      </c>
      <c r="AW118" s="31">
        <v>45730</v>
      </c>
      <c r="AX118" s="13" t="str">
        <f>IF(ISNUMBER(SEARCH("cancel",#REF!)),"Cancelled",IF(AND(AS118&lt;&gt;"",AU118&lt;&gt;"",AW118&lt;&gt;""),"Closed","Open"))</f>
        <v>Closed</v>
      </c>
      <c r="AY118" s="15" t="str">
        <f t="shared" si="4"/>
        <v>All dates received</v>
      </c>
      <c r="BD118" s="13">
        <f>IF($AX118="Cancelled","",IFERROR(IF(OR(AS118="",AJ118=""),"",(AJ118+Variables!$B$18-AS118)),""))</f>
        <v>-2</v>
      </c>
      <c r="BE118" s="13">
        <f>IF($AX118="Cancelled","",IFERROR(IF(OR(AW118="",AS118=""),"",(AS118+Variables!$B$19)-AW118),""))</f>
        <v>1</v>
      </c>
      <c r="BF118" s="44">
        <f>IF($AX118="Cancelled","",IFERROR(W118*INDEX(Variables!$B$7:$D$7,IFERROR(MATCH(IF($B118="Robusta","Robusta",(IF($B118="","Arabica",$B118))&amp;" - "&amp;(IF($C118="","Commercial",$C118))),Variables!$B$1:$D$1,0),1))*(BE118/365),""))</f>
        <v>51.78484393488791</v>
      </c>
      <c r="BG118" s="44">
        <f>IF($AX118="Cancelled","",IFERROR((W118*INDEX(Variables!$B$7:$D$7,IFERROR(MATCH(IF($B118="Robusta","Robusta",(IF($B118="","Arabica",$B118))&amp;" - "&amp;(IF($C118="","Commercial",$C118))),Variables!$B$1:$D$1,0),1))*IFERROR(IF(AB118="","",(AVERAGE(E118:F118)-AB118)-Variables!$B$14),"")/365)+(L118/16.67*INDEX(Variables!$B$8:$D$8,IFERROR(MATCH(IF($B118="Robusta","Robusta",(IF($B118="","Arabica",$B118))&amp;" - "&amp;(IF($C118="","Commercial",$C118))),Variables!$B$1:$D$1,0),1))*IFERROR(IF(AB118="","",(AVERAGE(E118:F118)-AB118)-Variables!$B$14),""))+(W118*INDEX(Variables!$B$9:$D$9,IFERROR(MATCH(IF($B118="Robusta","Robusta",(IF($B118="","Arabica",$B118))&amp;" - "&amp;(IF($C118="","Commercial",$C118))),Variables!$B$1:$D$1,0),1))*IFERROR(IF(AB118="","",(AVERAGE(E118:F118)-AB118)-Variables!$B$14),"")/365),""))</f>
        <v>1200.5343071541949</v>
      </c>
      <c r="BH118" s="44">
        <f>IF($AX118="Cancelled","",IFERROR((W118*INDEX(Variables!$B$7:$D$7,IFERROR(MATCH(IF($B118="Robusta","Robusta",(IF($B118="","Arabica",$B118))&amp;" - "&amp;(IF($C118="","Commercial",$C118))),Variables!$B$1:$D$1,0),1))*AK118/365)+(L118/16.67*INDEX(Variables!$B$8:$D$8,IFERROR(MATCH(IF($B118="Robusta","Robusta",(IF($B118="","Arabica",$B118))&amp;" - "&amp;(IF($C118="","Commercial",$C118))),Variables!$B$1:$D$1,0),1))*AK118)+(W118*INDEX(Variables!$B$9:$D$9,IFERROR(MATCH(IF($B118="Robusta","Robusta",(IF($B118="","Arabica",$B118))&amp;" - "&amp;(IF($C118="","Commercial",$C118))),Variables!$B$1:$D$1,0),1))*AK118/365),""))</f>
        <v>1200.5343071541949</v>
      </c>
      <c r="BI118" s="44">
        <f>IF($AX118="Cancelled","",IFERROR((W118*INDEX(Variables!$B$7:$D$7,IFERROR(MATCH(IF($B118="Robusta","Robusta",(IF($B118="","Arabica",$B118))&amp;" - "&amp;(IF($C118="","Commercial",$C118))),Variables!$B$1:$D$1,0),1))*BD118/365)+(L118/16.67*INDEX(Variables!$B$8:$D$8,IFERROR(MATCH(IF($B118="Robusta","Robusta",(IF($B118="","Arabica",$B118))&amp;" - "&amp;(IF($C118="","Commercial",$C118))),Variables!$B$1:$D$1,0),1))*BD118)+(W118*INDEX(Variables!$B$9:$D$9,IFERROR(MATCH(IF($B118="Robusta","Robusta",(IF($B118="","Arabica",$B118))&amp;" - "&amp;(IF($C118="","Commercial",$C118))),Variables!$B$1:$D$1,0),1))*BD118/365),""))</f>
        <v>-171.50490102202784</v>
      </c>
      <c r="BJ118" s="44">
        <f t="shared" si="5"/>
        <v>21</v>
      </c>
      <c r="BK118" s="44">
        <f>IF($AX118="Cancelled","",IFERROR(IF(BJ118="","",(W118*INDEX(Variables!$B$7:$D$7,IFERROR(MATCH(IF($B118="Robusta","Robusta",(IF($B118="","Arabica",$B118))&amp;" - "&amp;(IF($C118="","Commercial",$C118))),Variables!$B$1:$D$1,0),1))*(BJ118/365))+(W118*INDEX(Variables!$B$9:$D$9,IFERROR(MATCH(IF($B118="Robusta","Robusta",(IF($B118="","Arabica",$B118))&amp;" - "&amp;(IF($C118="","Commercial",$C118))),Variables!$B$1:$D$1,0),1))*(BJ118/365))+(INDEX(Variables!$B$8:$D$8,IFERROR(MATCH(IF($B118="Robusta","Robusta",(IF($B118="","Arabica",$B118))&amp;" - "&amp;(IF($C118="","Commercial",$C118))),Variables!$B$1:$D$1,0),1))*L118/16.67)),""))</f>
        <v>1134.8014607312921</v>
      </c>
    </row>
    <row r="119" spans="1:63">
      <c r="A119" s="13" t="s">
        <v>103</v>
      </c>
      <c r="B119" s="13" t="s">
        <v>104</v>
      </c>
      <c r="C119" s="13" t="s">
        <v>105</v>
      </c>
      <c r="D119" s="31">
        <v>45674</v>
      </c>
      <c r="E119" s="31">
        <v>45717</v>
      </c>
      <c r="F119" s="31">
        <v>45747</v>
      </c>
      <c r="G119" s="13">
        <v>3786619</v>
      </c>
      <c r="H119" s="13" t="s">
        <v>518</v>
      </c>
      <c r="J119" s="13" t="s">
        <v>118</v>
      </c>
      <c r="K119" s="13" t="s">
        <v>522</v>
      </c>
      <c r="L119" s="13">
        <v>666</v>
      </c>
      <c r="M119" s="13">
        <v>2</v>
      </c>
      <c r="N119" s="13" t="s">
        <v>268</v>
      </c>
      <c r="O119" s="13" t="s">
        <v>269</v>
      </c>
      <c r="P119" s="13">
        <v>10310</v>
      </c>
      <c r="Q119" s="59" t="s">
        <v>270</v>
      </c>
      <c r="R119" s="13" t="s">
        <v>271</v>
      </c>
      <c r="S119" s="13" t="s">
        <v>272</v>
      </c>
      <c r="T119" s="13" t="s">
        <v>112</v>
      </c>
      <c r="U119" s="13" t="s">
        <v>113</v>
      </c>
      <c r="V119" s="13">
        <v>42</v>
      </c>
      <c r="W119" s="44">
        <f>IF($AX119="Cancelled","",IFERROR(((V119+INDEX(Variables!$B$6:$D$6,IFERROR(MATCH(IF($B119="Robusta","Robusta",(IF($B119="","Arabica",$B119))&amp;" - "&amp;(IF($C119="","Commercial",$C119))),Variables!$B$1:$D$1,0),1)))*22.0462)*(L119/16.67),""))</f>
        <v>293126.91000359925</v>
      </c>
      <c r="X119" s="55" t="s">
        <v>37</v>
      </c>
      <c r="Y119" s="13" t="str">
        <f>IF($AX119="Cancelled","",IF(X119="","",IFERROR(IF(INDEX(Variables!$B$38:$B$47,MATCH(X119,Variables!$A$38:$A$47,0))="Yes","Yes","No"),"No")))</f>
        <v>Yes</v>
      </c>
      <c r="Z119" s="58">
        <v>45677</v>
      </c>
      <c r="AB119" s="31">
        <v>45688</v>
      </c>
      <c r="AC119" s="13" t="str">
        <f t="shared" si="3"/>
        <v>Approved</v>
      </c>
      <c r="AF119" s="71">
        <v>45708</v>
      </c>
      <c r="AG119" s="35">
        <f>IF($AX119="Cancelled","",IFERROR(IF(F119="","",F119-Variables!$B$13),""))</f>
        <v>45732</v>
      </c>
      <c r="AH119" s="13">
        <f>IF($AX119="Cancelled","",IFERROR(IF(AB119="","",(AVERAGE(E119:F119)-AB119)-Variables!$B$14),""))</f>
        <v>14</v>
      </c>
      <c r="AJ119" s="47">
        <v>45710</v>
      </c>
      <c r="AK119" s="14">
        <f>IF($AX119="Cancelled","",IFERROR(IF(AJ119="","",IF(AND(AB119="",AF119=""),"",IF(AF119&gt;AB119,AF119+Variables!$B$15+Variables!$B$16+Variables!$B$17-AJ119,AB119+Variables!$B$16+Variables!$B$17-AJ119))),""))</f>
        <v>13</v>
      </c>
      <c r="AL119" s="48" t="s">
        <v>114</v>
      </c>
      <c r="AM119" s="13" t="s">
        <v>134</v>
      </c>
      <c r="AN119" s="13" t="s">
        <v>184</v>
      </c>
      <c r="AP119" s="31">
        <v>45721</v>
      </c>
      <c r="AR119" s="13" t="s">
        <v>520</v>
      </c>
      <c r="AS119" s="31">
        <v>45726</v>
      </c>
      <c r="AU119" s="31">
        <v>45728</v>
      </c>
      <c r="AV119" s="13" t="s">
        <v>865</v>
      </c>
      <c r="AW119" s="31">
        <v>45728</v>
      </c>
      <c r="AX119" s="13" t="str">
        <f>IF(ISNUMBER(SEARCH("cancel",#REF!)),"Cancelled",IF(AND(AS119&lt;&gt;"",AU119&lt;&gt;"",AW119&lt;&gt;""),"Closed","Open"))</f>
        <v>Closed</v>
      </c>
      <c r="AY119" s="15" t="str">
        <f t="shared" si="4"/>
        <v>All dates received</v>
      </c>
      <c r="BD119" s="13">
        <f>IF($AX119="Cancelled","",IFERROR(IF(OR(AS119="",AJ119=""),"",(AJ119+Variables!$B$18-AS119)),""))</f>
        <v>-1</v>
      </c>
      <c r="BE119" s="13">
        <f>IF($AX119="Cancelled","",IFERROR(IF(OR(AW119="",AS119=""),"",(AS119+Variables!$B$19)-AW119),""))</f>
        <v>3</v>
      </c>
      <c r="BF119" s="44">
        <f>IF($AX119="Cancelled","",IFERROR(W119*INDEX(Variables!$B$7:$D$7,IFERROR(MATCH(IF($B119="Robusta","Robusta",(IF($B119="","Arabica",$B119))&amp;" - "&amp;(IF($C119="","Commercial",$C119))),Variables!$B$1:$D$1,0),1))*(BE119/365),""))</f>
        <v>155.35453180466371</v>
      </c>
      <c r="BG119" s="44">
        <f>IF($AX119="Cancelled","",IFERROR((W119*INDEX(Variables!$B$7:$D$7,IFERROR(MATCH(IF($B119="Robusta","Robusta",(IF($B119="","Arabica",$B119))&amp;" - "&amp;(IF($C119="","Commercial",$C119))),Variables!$B$1:$D$1,0),1))*IFERROR(IF(AB119="","",(AVERAGE(E119:F119)-AB119)-Variables!$B$14),"")/365)+(L119/16.67*INDEX(Variables!$B$8:$D$8,IFERROR(MATCH(IF($B119="Robusta","Robusta",(IF($B119="","Arabica",$B119))&amp;" - "&amp;(IF($C119="","Commercial",$C119))),Variables!$B$1:$D$1,0),1))*IFERROR(IF(AB119="","",(AVERAGE(E119:F119)-AB119)-Variables!$B$14),""))+(W119*INDEX(Variables!$B$9:$D$9,IFERROR(MATCH(IF($B119="Robusta","Robusta",(IF($B119="","Arabica",$B119))&amp;" - "&amp;(IF($C119="","Commercial",$C119))),Variables!$B$1:$D$1,0),1))*IFERROR(IF(AB119="","",(AVERAGE(E119:F119)-AB119)-Variables!$B$14),"")/365),""))</f>
        <v>1200.5343071541949</v>
      </c>
      <c r="BH119" s="44">
        <f>IF($AX119="Cancelled","",IFERROR((W119*INDEX(Variables!$B$7:$D$7,IFERROR(MATCH(IF($B119="Robusta","Robusta",(IF($B119="","Arabica",$B119))&amp;" - "&amp;(IF($C119="","Commercial",$C119))),Variables!$B$1:$D$1,0),1))*AK119/365)+(L119/16.67*INDEX(Variables!$B$8:$D$8,IFERROR(MATCH(IF($B119="Robusta","Robusta",(IF($B119="","Arabica",$B119))&amp;" - "&amp;(IF($C119="","Commercial",$C119))),Variables!$B$1:$D$1,0),1))*AK119)+(W119*INDEX(Variables!$B$9:$D$9,IFERROR(MATCH(IF($B119="Robusta","Robusta",(IF($B119="","Arabica",$B119))&amp;" - "&amp;(IF($C119="","Commercial",$C119))),Variables!$B$1:$D$1,0),1))*AK119/365),""))</f>
        <v>1114.7818566431811</v>
      </c>
      <c r="BI119" s="44">
        <f>IF($AX119="Cancelled","",IFERROR((W119*INDEX(Variables!$B$7:$D$7,IFERROR(MATCH(IF($B119="Robusta","Robusta",(IF($B119="","Arabica",$B119))&amp;" - "&amp;(IF($C119="","Commercial",$C119))),Variables!$B$1:$D$1,0),1))*BD119/365)+(L119/16.67*INDEX(Variables!$B$8:$D$8,IFERROR(MATCH(IF($B119="Robusta","Robusta",(IF($B119="","Arabica",$B119))&amp;" - "&amp;(IF($C119="","Commercial",$C119))),Variables!$B$1:$D$1,0),1))*BD119)+(W119*INDEX(Variables!$B$9:$D$9,IFERROR(MATCH(IF($B119="Robusta","Robusta",(IF($B119="","Arabica",$B119))&amp;" - "&amp;(IF($C119="","Commercial",$C119))),Variables!$B$1:$D$1,0),1))*BD119/365),""))</f>
        <v>-85.752450511013919</v>
      </c>
      <c r="BJ119" s="44">
        <f t="shared" si="5"/>
        <v>21</v>
      </c>
      <c r="BK119" s="44">
        <f>IF($AX119="Cancelled","",IFERROR(IF(BJ119="","",(W119*INDEX(Variables!$B$7:$D$7,IFERROR(MATCH(IF($B119="Robusta","Robusta",(IF($B119="","Arabica",$B119))&amp;" - "&amp;(IF($C119="","Commercial",$C119))),Variables!$B$1:$D$1,0),1))*(BJ119/365))+(W119*INDEX(Variables!$B$9:$D$9,IFERROR(MATCH(IF($B119="Robusta","Robusta",(IF($B119="","Arabica",$B119))&amp;" - "&amp;(IF($C119="","Commercial",$C119))),Variables!$B$1:$D$1,0),1))*(BJ119/365))+(INDEX(Variables!$B$8:$D$8,IFERROR(MATCH(IF($B119="Robusta","Robusta",(IF($B119="","Arabica",$B119))&amp;" - "&amp;(IF($C119="","Commercial",$C119))),Variables!$B$1:$D$1,0),1))*L119/16.67)),""))</f>
        <v>1134.8014607312921</v>
      </c>
    </row>
    <row r="120" spans="1:63">
      <c r="A120" s="13" t="s">
        <v>103</v>
      </c>
      <c r="B120" s="13" t="s">
        <v>104</v>
      </c>
      <c r="C120" s="13" t="s">
        <v>105</v>
      </c>
      <c r="D120" s="31">
        <v>45674</v>
      </c>
      <c r="E120" s="31">
        <v>45717</v>
      </c>
      <c r="F120" s="31">
        <v>45747</v>
      </c>
      <c r="G120" s="13">
        <v>3786619</v>
      </c>
      <c r="H120" s="13" t="s">
        <v>518</v>
      </c>
      <c r="J120" s="13" t="s">
        <v>118</v>
      </c>
      <c r="K120" s="13" t="s">
        <v>523</v>
      </c>
      <c r="L120" s="13">
        <v>666</v>
      </c>
      <c r="M120" s="13">
        <v>2</v>
      </c>
      <c r="N120" s="13" t="s">
        <v>268</v>
      </c>
      <c r="O120" s="13" t="s">
        <v>269</v>
      </c>
      <c r="P120" s="13">
        <v>10310</v>
      </c>
      <c r="Q120" s="59" t="s">
        <v>270</v>
      </c>
      <c r="R120" s="13" t="s">
        <v>271</v>
      </c>
      <c r="S120" s="13" t="s">
        <v>524</v>
      </c>
      <c r="T120" s="13" t="s">
        <v>112</v>
      </c>
      <c r="U120" s="13" t="s">
        <v>113</v>
      </c>
      <c r="V120" s="13">
        <v>42</v>
      </c>
      <c r="W120" s="44">
        <f>IF($AX120="Cancelled","",IFERROR(((V120+INDEX(Variables!$B$6:$D$6,IFERROR(MATCH(IF($B120="Robusta","Robusta",(IF($B120="","Arabica",$B120))&amp;" - "&amp;(IF($C120="","Commercial",$C120))),Variables!$B$1:$D$1,0),1)))*22.0462)*(L120/16.67),""))</f>
        <v>293126.91000359925</v>
      </c>
      <c r="X120" s="55" t="s">
        <v>37</v>
      </c>
      <c r="Y120" s="13" t="str">
        <f>IF($AX120="Cancelled","",IF(X120="","",IFERROR(IF(INDEX(Variables!$B$38:$B$47,MATCH(X120,Variables!$A$38:$A$47,0))="Yes","Yes","No"),"No")))</f>
        <v>Yes</v>
      </c>
      <c r="Z120" s="58">
        <v>45677</v>
      </c>
      <c r="AB120" s="31">
        <v>45688</v>
      </c>
      <c r="AC120" s="13" t="str">
        <f t="shared" si="3"/>
        <v>Approved</v>
      </c>
      <c r="AF120" s="71">
        <v>45708</v>
      </c>
      <c r="AG120" s="35">
        <f>IF($AX120="Cancelled","",IFERROR(IF(F120="","",F120-Variables!$B$13),""))</f>
        <v>45732</v>
      </c>
      <c r="AH120" s="13">
        <f>IF($AX120="Cancelled","",IFERROR(IF(AB120="","",(AVERAGE(E120:F120)-AB120)-Variables!$B$14),""))</f>
        <v>14</v>
      </c>
      <c r="AJ120" s="47">
        <v>45712</v>
      </c>
      <c r="AK120" s="14">
        <f>IF($AX120="Cancelled","",IFERROR(IF(AJ120="","",IF(AND(AB120="",AF120=""),"",IF(AF120&gt;AB120,AF120+Variables!$B$15+Variables!$B$16+Variables!$B$17-AJ120,AB120+Variables!$B$16+Variables!$B$17-AJ120))),""))</f>
        <v>11</v>
      </c>
      <c r="AL120" s="48" t="s">
        <v>114</v>
      </c>
      <c r="AM120" s="13" t="s">
        <v>134</v>
      </c>
      <c r="AN120" s="13" t="s">
        <v>184</v>
      </c>
      <c r="AP120" s="31">
        <v>45721</v>
      </c>
      <c r="AR120" s="13" t="s">
        <v>520</v>
      </c>
      <c r="AS120" s="31">
        <v>45745</v>
      </c>
      <c r="AU120" s="31">
        <v>45750</v>
      </c>
      <c r="AV120" s="13" t="s">
        <v>865</v>
      </c>
      <c r="AW120" s="31">
        <v>45750</v>
      </c>
      <c r="AX120" s="13" t="str">
        <f>IF(ISNUMBER(SEARCH("cancel",#REF!)),"Cancelled",IF(AND(AS120&lt;&gt;"",AU120&lt;&gt;"",AW120&lt;&gt;""),"Closed","Open"))</f>
        <v>Closed</v>
      </c>
      <c r="AY120" s="15" t="str">
        <f t="shared" si="4"/>
        <v>All dates received</v>
      </c>
      <c r="BD120" s="13">
        <f>IF($AX120="Cancelled","",IFERROR(IF(OR(AS120="",AJ120=""),"",(AJ120+Variables!$B$18-AS120)),""))</f>
        <v>-18</v>
      </c>
      <c r="BE120" s="13">
        <f>IF($AX120="Cancelled","",IFERROR(IF(OR(AW120="",AS120=""),"",(AS120+Variables!$B$19)-AW120),""))</f>
        <v>0</v>
      </c>
      <c r="BF120" s="44">
        <f>IF($AX120="Cancelled","",IFERROR(W120*INDEX(Variables!$B$7:$D$7,IFERROR(MATCH(IF($B120="Robusta","Robusta",(IF($B120="","Arabica",$B120))&amp;" - "&amp;(IF($C120="","Commercial",$C120))),Variables!$B$1:$D$1,0),1))*(BE120/365),""))</f>
        <v>0</v>
      </c>
      <c r="BG120" s="44">
        <f>IF($AX120="Cancelled","",IFERROR((W120*INDEX(Variables!$B$7:$D$7,IFERROR(MATCH(IF($B120="Robusta","Robusta",(IF($B120="","Arabica",$B120))&amp;" - "&amp;(IF($C120="","Commercial",$C120))),Variables!$B$1:$D$1,0),1))*IFERROR(IF(AB120="","",(AVERAGE(E120:F120)-AB120)-Variables!$B$14),"")/365)+(L120/16.67*INDEX(Variables!$B$8:$D$8,IFERROR(MATCH(IF($B120="Robusta","Robusta",(IF($B120="","Arabica",$B120))&amp;" - "&amp;(IF($C120="","Commercial",$C120))),Variables!$B$1:$D$1,0),1))*IFERROR(IF(AB120="","",(AVERAGE(E120:F120)-AB120)-Variables!$B$14),""))+(W120*INDEX(Variables!$B$9:$D$9,IFERROR(MATCH(IF($B120="Robusta","Robusta",(IF($B120="","Arabica",$B120))&amp;" - "&amp;(IF($C120="","Commercial",$C120))),Variables!$B$1:$D$1,0),1))*IFERROR(IF(AB120="","",(AVERAGE(E120:F120)-AB120)-Variables!$B$14),"")/365),""))</f>
        <v>1200.5343071541949</v>
      </c>
      <c r="BH120" s="44">
        <f>IF($AX120="Cancelled","",IFERROR((W120*INDEX(Variables!$B$7:$D$7,IFERROR(MATCH(IF($B120="Robusta","Robusta",(IF($B120="","Arabica",$B120))&amp;" - "&amp;(IF($C120="","Commercial",$C120))),Variables!$B$1:$D$1,0),1))*AK120/365)+(L120/16.67*INDEX(Variables!$B$8:$D$8,IFERROR(MATCH(IF($B120="Robusta","Robusta",(IF($B120="","Arabica",$B120))&amp;" - "&amp;(IF($C120="","Commercial",$C120))),Variables!$B$1:$D$1,0),1))*AK120)+(W120*INDEX(Variables!$B$9:$D$9,IFERROR(MATCH(IF($B120="Robusta","Robusta",(IF($B120="","Arabica",$B120))&amp;" - "&amp;(IF($C120="","Commercial",$C120))),Variables!$B$1:$D$1,0),1))*AK120/365),""))</f>
        <v>943.27695562115309</v>
      </c>
      <c r="BI120" s="44">
        <f>IF($AX120="Cancelled","",IFERROR((W120*INDEX(Variables!$B$7:$D$7,IFERROR(MATCH(IF($B120="Robusta","Robusta",(IF($B120="","Arabica",$B120))&amp;" - "&amp;(IF($C120="","Commercial",$C120))),Variables!$B$1:$D$1,0),1))*BD120/365)+(L120/16.67*INDEX(Variables!$B$8:$D$8,IFERROR(MATCH(IF($B120="Robusta","Robusta",(IF($B120="","Arabica",$B120))&amp;" - "&amp;(IF($C120="","Commercial",$C120))),Variables!$B$1:$D$1,0),1))*BD120)+(W120*INDEX(Variables!$B$9:$D$9,IFERROR(MATCH(IF($B120="Robusta","Robusta",(IF($B120="","Arabica",$B120))&amp;" - "&amp;(IF($C120="","Commercial",$C120))),Variables!$B$1:$D$1,0),1))*BD120/365),""))</f>
        <v>-1543.5441091982505</v>
      </c>
      <c r="BJ120" s="44">
        <f t="shared" si="5"/>
        <v>2</v>
      </c>
      <c r="BK120" s="44">
        <f>IF($AX120="Cancelled","",IFERROR(IF(BJ120="","",(W120*INDEX(Variables!$B$7:$D$7,IFERROR(MATCH(IF($B120="Robusta","Robusta",(IF($B120="","Arabica",$B120))&amp;" - "&amp;(IF($C120="","Commercial",$C120))),Variables!$B$1:$D$1,0),1))*(BJ120/365))+(W120*INDEX(Variables!$B$9:$D$9,IFERROR(MATCH(IF($B120="Robusta","Robusta",(IF($B120="","Arabica",$B120))&amp;" - "&amp;(IF($C120="","Commercial",$C120))),Variables!$B$1:$D$1,0),1))*(BJ120/365))+(INDEX(Variables!$B$8:$D$8,IFERROR(MATCH(IF($B120="Robusta","Robusta",(IF($B120="","Arabica",$B120))&amp;" - "&amp;(IF($C120="","Commercial",$C120))),Variables!$B$1:$D$1,0),1))*L120/16.67)),""))</f>
        <v>138.20490102202783</v>
      </c>
    </row>
    <row r="121" spans="1:63">
      <c r="A121" s="13" t="s">
        <v>103</v>
      </c>
      <c r="B121" s="13" t="s">
        <v>104</v>
      </c>
      <c r="C121" s="13" t="s">
        <v>105</v>
      </c>
      <c r="D121" s="31">
        <v>45674</v>
      </c>
      <c r="E121" s="31">
        <v>45717</v>
      </c>
      <c r="F121" s="31">
        <v>45747</v>
      </c>
      <c r="G121" s="13">
        <v>3786619</v>
      </c>
      <c r="H121" s="13" t="s">
        <v>518</v>
      </c>
      <c r="J121" s="13" t="s">
        <v>118</v>
      </c>
      <c r="K121" s="13" t="s">
        <v>525</v>
      </c>
      <c r="L121" s="13">
        <v>666</v>
      </c>
      <c r="M121" s="13">
        <v>2</v>
      </c>
      <c r="N121" s="13" t="s">
        <v>268</v>
      </c>
      <c r="O121" s="13" t="s">
        <v>269</v>
      </c>
      <c r="P121" s="13">
        <v>10310</v>
      </c>
      <c r="Q121" s="59" t="s">
        <v>270</v>
      </c>
      <c r="R121" s="13" t="s">
        <v>271</v>
      </c>
      <c r="S121" s="13" t="s">
        <v>276</v>
      </c>
      <c r="T121" s="13" t="s">
        <v>112</v>
      </c>
      <c r="U121" s="13" t="s">
        <v>113</v>
      </c>
      <c r="V121" s="13">
        <v>42</v>
      </c>
      <c r="W121" s="44">
        <f>IF($AX121="Cancelled","",IFERROR(((V121+INDEX(Variables!$B$6:$D$6,IFERROR(MATCH(IF($B121="Robusta","Robusta",(IF($B121="","Arabica",$B121))&amp;" - "&amp;(IF($C121="","Commercial",$C121))),Variables!$B$1:$D$1,0),1)))*22.0462)*(L121/16.67),""))</f>
        <v>293126.91000359925</v>
      </c>
      <c r="X121" s="55" t="s">
        <v>37</v>
      </c>
      <c r="Y121" s="13" t="str">
        <f>IF($AX121="Cancelled","",IF(X121="","",IFERROR(IF(INDEX(Variables!$B$38:$B$47,MATCH(X121,Variables!$A$38:$A$47,0))="Yes","Yes","No"),"No")))</f>
        <v>Yes</v>
      </c>
      <c r="Z121" s="58">
        <v>45677</v>
      </c>
      <c r="AB121" s="31">
        <v>45688</v>
      </c>
      <c r="AC121" s="13" t="str">
        <f t="shared" si="3"/>
        <v>Approved</v>
      </c>
      <c r="AF121" s="71">
        <v>45708</v>
      </c>
      <c r="AG121" s="35">
        <f>IF($AX121="Cancelled","",IFERROR(IF(F121="","",F121-Variables!$B$13),""))</f>
        <v>45732</v>
      </c>
      <c r="AH121" s="13">
        <f>IF($AX121="Cancelled","",IFERROR(IF(AB121="","",(AVERAGE(E121:F121)-AB121)-Variables!$B$14),""))</f>
        <v>14</v>
      </c>
      <c r="AJ121" s="47">
        <v>45710</v>
      </c>
      <c r="AK121" s="14">
        <f>IF($AX121="Cancelled","",IFERROR(IF(AJ121="","",IF(AND(AB121="",AF121=""),"",IF(AF121&gt;AB121,AF121+Variables!$B$15+Variables!$B$16+Variables!$B$17-AJ121,AB121+Variables!$B$16+Variables!$B$17-AJ121))),""))</f>
        <v>13</v>
      </c>
      <c r="AL121" s="48" t="s">
        <v>114</v>
      </c>
      <c r="AM121" s="13" t="s">
        <v>134</v>
      </c>
      <c r="AN121" s="13" t="s">
        <v>184</v>
      </c>
      <c r="AP121" s="31">
        <v>45721</v>
      </c>
      <c r="AR121" s="13" t="s">
        <v>520</v>
      </c>
      <c r="AS121" s="31">
        <v>45745</v>
      </c>
      <c r="AU121" s="31">
        <v>45750</v>
      </c>
      <c r="AV121" s="13" t="s">
        <v>865</v>
      </c>
      <c r="AW121" s="31">
        <v>45750</v>
      </c>
      <c r="AX121" s="13" t="str">
        <f>IF(ISNUMBER(SEARCH("cancel",#REF!)),"Cancelled",IF(AND(AS121&lt;&gt;"",AU121&lt;&gt;"",AW121&lt;&gt;""),"Closed","Open"))</f>
        <v>Closed</v>
      </c>
      <c r="AY121" s="15" t="str">
        <f t="shared" si="4"/>
        <v>All dates received</v>
      </c>
      <c r="BD121" s="13">
        <f>IF($AX121="Cancelled","",IFERROR(IF(OR(AS121="",AJ121=""),"",(AJ121+Variables!$B$18-AS121)),""))</f>
        <v>-20</v>
      </c>
      <c r="BE121" s="13">
        <f>IF($AX121="Cancelled","",IFERROR(IF(OR(AW121="",AS121=""),"",(AS121+Variables!$B$19)-AW121),""))</f>
        <v>0</v>
      </c>
      <c r="BF121" s="44">
        <f>IF($AX121="Cancelled","",IFERROR(W121*INDEX(Variables!$B$7:$D$7,IFERROR(MATCH(IF($B121="Robusta","Robusta",(IF($B121="","Arabica",$B121))&amp;" - "&amp;(IF($C121="","Commercial",$C121))),Variables!$B$1:$D$1,0),1))*(BE121/365),""))</f>
        <v>0</v>
      </c>
      <c r="BG121" s="44">
        <f>IF($AX121="Cancelled","",IFERROR((W121*INDEX(Variables!$B$7:$D$7,IFERROR(MATCH(IF($B121="Robusta","Robusta",(IF($B121="","Arabica",$B121))&amp;" - "&amp;(IF($C121="","Commercial",$C121))),Variables!$B$1:$D$1,0),1))*IFERROR(IF(AB121="","",(AVERAGE(E121:F121)-AB121)-Variables!$B$14),"")/365)+(L121/16.67*INDEX(Variables!$B$8:$D$8,IFERROR(MATCH(IF($B121="Robusta","Robusta",(IF($B121="","Arabica",$B121))&amp;" - "&amp;(IF($C121="","Commercial",$C121))),Variables!$B$1:$D$1,0),1))*IFERROR(IF(AB121="","",(AVERAGE(E121:F121)-AB121)-Variables!$B$14),""))+(W121*INDEX(Variables!$B$9:$D$9,IFERROR(MATCH(IF($B121="Robusta","Robusta",(IF($B121="","Arabica",$B121))&amp;" - "&amp;(IF($C121="","Commercial",$C121))),Variables!$B$1:$D$1,0),1))*IFERROR(IF(AB121="","",(AVERAGE(E121:F121)-AB121)-Variables!$B$14),"")/365),""))</f>
        <v>1200.5343071541949</v>
      </c>
      <c r="BH121" s="44">
        <f>IF($AX121="Cancelled","",IFERROR((W121*INDEX(Variables!$B$7:$D$7,IFERROR(MATCH(IF($B121="Robusta","Robusta",(IF($B121="","Arabica",$B121))&amp;" - "&amp;(IF($C121="","Commercial",$C121))),Variables!$B$1:$D$1,0),1))*AK121/365)+(L121/16.67*INDEX(Variables!$B$8:$D$8,IFERROR(MATCH(IF($B121="Robusta","Robusta",(IF($B121="","Arabica",$B121))&amp;" - "&amp;(IF($C121="","Commercial",$C121))),Variables!$B$1:$D$1,0),1))*AK121)+(W121*INDEX(Variables!$B$9:$D$9,IFERROR(MATCH(IF($B121="Robusta","Robusta",(IF($B121="","Arabica",$B121))&amp;" - "&amp;(IF($C121="","Commercial",$C121))),Variables!$B$1:$D$1,0),1))*AK121/365),""))</f>
        <v>1114.7818566431811</v>
      </c>
      <c r="BI121" s="44">
        <f>IF($AX121="Cancelled","",IFERROR((W121*INDEX(Variables!$B$7:$D$7,IFERROR(MATCH(IF($B121="Robusta","Robusta",(IF($B121="","Arabica",$B121))&amp;" - "&amp;(IF($C121="","Commercial",$C121))),Variables!$B$1:$D$1,0),1))*BD121/365)+(L121/16.67*INDEX(Variables!$B$8:$D$8,IFERROR(MATCH(IF($B121="Robusta","Robusta",(IF($B121="","Arabica",$B121))&amp;" - "&amp;(IF($C121="","Commercial",$C121))),Variables!$B$1:$D$1,0),1))*BD121)+(W121*INDEX(Variables!$B$9:$D$9,IFERROR(MATCH(IF($B121="Robusta","Robusta",(IF($B121="","Arabica",$B121))&amp;" - "&amp;(IF($C121="","Commercial",$C121))),Variables!$B$1:$D$1,0),1))*BD121/365),""))</f>
        <v>-1715.0490102202782</v>
      </c>
      <c r="BJ121" s="44">
        <f t="shared" si="5"/>
        <v>2</v>
      </c>
      <c r="BK121" s="44">
        <f>IF($AX121="Cancelled","",IFERROR(IF(BJ121="","",(W121*INDEX(Variables!$B$7:$D$7,IFERROR(MATCH(IF($B121="Robusta","Robusta",(IF($B121="","Arabica",$B121))&amp;" - "&amp;(IF($C121="","Commercial",$C121))),Variables!$B$1:$D$1,0),1))*(BJ121/365))+(W121*INDEX(Variables!$B$9:$D$9,IFERROR(MATCH(IF($B121="Robusta","Robusta",(IF($B121="","Arabica",$B121))&amp;" - "&amp;(IF($C121="","Commercial",$C121))),Variables!$B$1:$D$1,0),1))*(BJ121/365))+(INDEX(Variables!$B$8:$D$8,IFERROR(MATCH(IF($B121="Robusta","Robusta",(IF($B121="","Arabica",$B121))&amp;" - "&amp;(IF($C121="","Commercial",$C121))),Variables!$B$1:$D$1,0),1))*L121/16.67)),""))</f>
        <v>138.20490102202783</v>
      </c>
    </row>
    <row r="122" spans="1:63">
      <c r="A122" s="13" t="s">
        <v>103</v>
      </c>
      <c r="B122" s="13" t="s">
        <v>104</v>
      </c>
      <c r="C122" s="13" t="s">
        <v>105</v>
      </c>
      <c r="D122" s="31">
        <v>45674</v>
      </c>
      <c r="E122" s="31">
        <v>45748</v>
      </c>
      <c r="F122" s="31">
        <v>45777</v>
      </c>
      <c r="G122" s="13">
        <v>3786620</v>
      </c>
      <c r="H122" s="13" t="s">
        <v>526</v>
      </c>
      <c r="J122" s="13" t="s">
        <v>118</v>
      </c>
      <c r="K122" s="13" t="s">
        <v>527</v>
      </c>
      <c r="L122" s="13">
        <v>1000</v>
      </c>
      <c r="M122" s="13">
        <v>3</v>
      </c>
      <c r="N122" s="13" t="s">
        <v>268</v>
      </c>
      <c r="O122" s="13" t="s">
        <v>269</v>
      </c>
      <c r="P122" s="13">
        <v>10310</v>
      </c>
      <c r="Q122" s="59" t="s">
        <v>270</v>
      </c>
      <c r="R122" s="13" t="s">
        <v>271</v>
      </c>
      <c r="S122" s="13" t="s">
        <v>524</v>
      </c>
      <c r="T122" s="13" t="s">
        <v>112</v>
      </c>
      <c r="U122" s="13" t="s">
        <v>113</v>
      </c>
      <c r="V122" s="13">
        <v>42</v>
      </c>
      <c r="W122" s="44">
        <f>IF($AX122="Cancelled","",IFERROR(((V122+INDEX(Variables!$B$6:$D$6,IFERROR(MATCH(IF($B122="Robusta","Robusta",(IF($B122="","Arabica",$B122))&amp;" - "&amp;(IF($C122="","Commercial",$C122))),Variables!$B$1:$D$1,0),1)))*22.0462)*(L122/16.67),""))</f>
        <v>440130.49550089973</v>
      </c>
      <c r="X122" s="55" t="s">
        <v>37</v>
      </c>
      <c r="Y122" s="13" t="str">
        <f>IF($AX122="Cancelled","",IF(X122="","",IFERROR(IF(INDEX(Variables!$B$38:$B$47,MATCH(X122,Variables!$A$38:$A$47,0))="Yes","Yes","No"),"No")))</f>
        <v>Yes</v>
      </c>
      <c r="Z122" s="58">
        <v>45712</v>
      </c>
      <c r="AB122" s="31">
        <v>45719</v>
      </c>
      <c r="AC122" s="13" t="str">
        <f t="shared" si="3"/>
        <v>Approved</v>
      </c>
      <c r="AF122" s="71">
        <v>45743</v>
      </c>
      <c r="AG122" s="35">
        <f>IF($AX122="Cancelled","",IFERROR(IF(F122="","",F122-Variables!$B$13),""))</f>
        <v>45762</v>
      </c>
      <c r="AH122" s="13">
        <f>IF($AX122="Cancelled","",IFERROR(IF(AB122="","",(AVERAGE(E122:F122)-AB122)-Variables!$B$14),""))</f>
        <v>13.5</v>
      </c>
      <c r="AJ122" s="47">
        <v>45745</v>
      </c>
      <c r="AK122" s="14">
        <f>IF($AX122="Cancelled","",IFERROR(IF(AJ122="","",IF(AND(AB122="",AF122=""),"",IF(AF122&gt;AB122,AF122+Variables!$B$15+Variables!$B$16+Variables!$B$17-AJ122,AB122+Variables!$B$16+Variables!$B$17-AJ122))),""))</f>
        <v>13</v>
      </c>
      <c r="AL122" s="48" t="s">
        <v>114</v>
      </c>
      <c r="AM122" s="13" t="s">
        <v>134</v>
      </c>
      <c r="AN122" s="13" t="s">
        <v>528</v>
      </c>
      <c r="AP122" s="31">
        <v>45766</v>
      </c>
      <c r="AR122" s="13" t="s">
        <v>529</v>
      </c>
      <c r="AS122" s="31">
        <v>45766</v>
      </c>
      <c r="AU122" s="31">
        <v>45776</v>
      </c>
      <c r="AV122" s="13" t="s">
        <v>865</v>
      </c>
      <c r="AW122" s="31">
        <v>45776</v>
      </c>
      <c r="AX122" s="13" t="str">
        <f>IF(ISNUMBER(SEARCH("cancel",#REF!)),"Cancelled",IF(AND(AS122&lt;&gt;"",AU122&lt;&gt;"",AW122&lt;&gt;""),"Closed","Open"))</f>
        <v>Closed</v>
      </c>
      <c r="AY122" s="15" t="str">
        <f t="shared" si="4"/>
        <v>All dates received</v>
      </c>
      <c r="BD122" s="13">
        <f>IF($AX122="Cancelled","",IFERROR(IF(OR(AS122="",AJ122=""),"",(AJ122+Variables!$B$18-AS122)),""))</f>
        <v>-6</v>
      </c>
      <c r="BE122" s="13">
        <f>IF($AX122="Cancelled","",IFERROR(IF(OR(AW122="",AS122=""),"",(AS122+Variables!$B$19)-AW122),""))</f>
        <v>-5</v>
      </c>
      <c r="BF122" s="44">
        <f>IF($AX122="Cancelled","",IFERROR(W122*INDEX(Variables!$B$7:$D$7,IFERROR(MATCH(IF($B122="Robusta","Robusta",(IF($B122="","Arabica",$B122))&amp;" - "&amp;(IF($C122="","Commercial",$C122))),Variables!$B$1:$D$1,0),1))*(BE122/365),""))</f>
        <v>-388.77510461627554</v>
      </c>
      <c r="BG122" s="44">
        <f>IF($AX122="Cancelled","",IFERROR((W122*INDEX(Variables!$B$7:$D$7,IFERROR(MATCH(IF($B122="Robusta","Robusta",(IF($B122="","Arabica",$B122))&amp;" - "&amp;(IF($C122="","Commercial",$C122))),Variables!$B$1:$D$1,0),1))*IFERROR(IF(AB122="","",(AVERAGE(E122:F122)-AB122)-Variables!$B$14),"")/365)+(L122/16.67*INDEX(Variables!$B$8:$D$8,IFERROR(MATCH(IF($B122="Robusta","Robusta",(IF($B122="","Arabica",$B122))&amp;" - "&amp;(IF($C122="","Commercial",$C122))),Variables!$B$1:$D$1,0),1))*IFERROR(IF(AB122="","",(AVERAGE(E122:F122)-AB122)-Variables!$B$14),""))+(W122*INDEX(Variables!$B$9:$D$9,IFERROR(MATCH(IF($B122="Robusta","Robusta",(IF($B122="","Arabica",$B122))&amp;" - "&amp;(IF($C122="","Commercial",$C122))),Variables!$B$1:$D$1,0),1))*IFERROR(IF(AB122="","",(AVERAGE(E122:F122)-AB122)-Variables!$B$14),"")/365),""))</f>
        <v>1738.2253481962282</v>
      </c>
      <c r="BH122" s="44">
        <f>IF($AX122="Cancelled","",IFERROR((W122*INDEX(Variables!$B$7:$D$7,IFERROR(MATCH(IF($B122="Robusta","Robusta",(IF($B122="","Arabica",$B122))&amp;" - "&amp;(IF($C122="","Commercial",$C122))),Variables!$B$1:$D$1,0),1))*AK122/365)+(L122/16.67*INDEX(Variables!$B$8:$D$8,IFERROR(MATCH(IF($B122="Robusta","Robusta",(IF($B122="","Arabica",$B122))&amp;" - "&amp;(IF($C122="","Commercial",$C122))),Variables!$B$1:$D$1,0),1))*AK122)+(W122*INDEX(Variables!$B$9:$D$9,IFERROR(MATCH(IF($B122="Robusta","Robusta",(IF($B122="","Arabica",$B122))&amp;" - "&amp;(IF($C122="","Commercial",$C122))),Variables!$B$1:$D$1,0),1))*AK122/365),""))</f>
        <v>1673.8466315963678</v>
      </c>
      <c r="BI122" s="44">
        <f>IF($AX122="Cancelled","",IFERROR((W122*INDEX(Variables!$B$7:$D$7,IFERROR(MATCH(IF($B122="Robusta","Robusta",(IF($B122="","Arabica",$B122))&amp;" - "&amp;(IF($C122="","Commercial",$C122))),Variables!$B$1:$D$1,0),1))*BD122/365)+(L122/16.67*INDEX(Variables!$B$8:$D$8,IFERROR(MATCH(IF($B122="Robusta","Robusta",(IF($B122="","Arabica",$B122))&amp;" - "&amp;(IF($C122="","Commercial",$C122))),Variables!$B$1:$D$1,0),1))*BD122)+(W122*INDEX(Variables!$B$9:$D$9,IFERROR(MATCH(IF($B122="Robusta","Robusta",(IF($B122="","Arabica",$B122))&amp;" - "&amp;(IF($C122="","Commercial",$C122))),Variables!$B$1:$D$1,0),1))*BD122/365),""))</f>
        <v>-772.54459919832368</v>
      </c>
      <c r="BJ122" s="44">
        <f t="shared" si="5"/>
        <v>11</v>
      </c>
      <c r="BK122" s="44">
        <f>IF($AX122="Cancelled","",IFERROR(IF(BJ122="","",(W122*INDEX(Variables!$B$7:$D$7,IFERROR(MATCH(IF($B122="Robusta","Robusta",(IF($B122="","Arabica",$B122))&amp;" - "&amp;(IF($C122="","Commercial",$C122))),Variables!$B$1:$D$1,0),1))*(BJ122/365))+(W122*INDEX(Variables!$B$9:$D$9,IFERROR(MATCH(IF($B122="Robusta","Robusta",(IF($B122="","Arabica",$B122))&amp;" - "&amp;(IF($C122="","Commercial",$C122))),Variables!$B$1:$D$1,0),1))*(BJ122/365))+(INDEX(Variables!$B$8:$D$8,IFERROR(MATCH(IF($B122="Robusta","Robusta",(IF($B122="","Arabica",$B122))&amp;" - "&amp;(IF($C122="","Commercial",$C122))),Variables!$B$1:$D$1,0),1))*L122/16.67)),""))</f>
        <v>916.33176519692643</v>
      </c>
    </row>
    <row r="123" spans="1:63">
      <c r="A123" s="13" t="s">
        <v>103</v>
      </c>
      <c r="B123" s="13" t="s">
        <v>104</v>
      </c>
      <c r="C123" s="13" t="s">
        <v>105</v>
      </c>
      <c r="D123" s="31">
        <v>45674</v>
      </c>
      <c r="E123" s="31">
        <v>45748</v>
      </c>
      <c r="F123" s="31">
        <v>45777</v>
      </c>
      <c r="G123" s="13">
        <v>3786620</v>
      </c>
      <c r="H123" s="13" t="s">
        <v>526</v>
      </c>
      <c r="J123" s="13" t="s">
        <v>118</v>
      </c>
      <c r="K123" s="13" t="s">
        <v>530</v>
      </c>
      <c r="L123" s="13">
        <v>1000</v>
      </c>
      <c r="M123" s="13">
        <v>3</v>
      </c>
      <c r="N123" s="13" t="s">
        <v>268</v>
      </c>
      <c r="O123" s="13" t="s">
        <v>269</v>
      </c>
      <c r="P123" s="13">
        <v>10310</v>
      </c>
      <c r="Q123" s="59" t="s">
        <v>270</v>
      </c>
      <c r="R123" s="13" t="s">
        <v>271</v>
      </c>
      <c r="S123" s="13" t="s">
        <v>272</v>
      </c>
      <c r="T123" s="13" t="s">
        <v>112</v>
      </c>
      <c r="U123" s="13" t="s">
        <v>113</v>
      </c>
      <c r="V123" s="13">
        <v>42</v>
      </c>
      <c r="W123" s="44">
        <f>IF($AX123="Cancelled","",IFERROR(((V123+INDEX(Variables!$B$6:$D$6,IFERROR(MATCH(IF($B123="Robusta","Robusta",(IF($B123="","Arabica",$B123))&amp;" - "&amp;(IF($C123="","Commercial",$C123))),Variables!$B$1:$D$1,0),1)))*22.0462)*(L123/16.67),""))</f>
        <v>440130.49550089973</v>
      </c>
      <c r="X123" s="55" t="s">
        <v>37</v>
      </c>
      <c r="Y123" s="13" t="str">
        <f>IF($AX123="Cancelled","",IF(X123="","",IFERROR(IF(INDEX(Variables!$B$38:$B$47,MATCH(X123,Variables!$A$38:$A$47,0))="Yes","Yes","No"),"No")))</f>
        <v>Yes</v>
      </c>
      <c r="Z123" s="58">
        <v>45712</v>
      </c>
      <c r="AB123" s="31">
        <v>45719</v>
      </c>
      <c r="AC123" s="13" t="str">
        <f t="shared" si="3"/>
        <v>Approved</v>
      </c>
      <c r="AF123" s="71">
        <v>45743</v>
      </c>
      <c r="AG123" s="35">
        <f>IF($AX123="Cancelled","",IFERROR(IF(F123="","",F123-Variables!$B$13),""))</f>
        <v>45762</v>
      </c>
      <c r="AH123" s="13">
        <f>IF($AX123="Cancelled","",IFERROR(IF(AB123="","",(AVERAGE(E123:F123)-AB123)-Variables!$B$14),""))</f>
        <v>13.5</v>
      </c>
      <c r="AJ123" s="47">
        <v>45744</v>
      </c>
      <c r="AK123" s="14">
        <f>IF($AX123="Cancelled","",IFERROR(IF(AJ123="","",IF(AND(AB123="",AF123=""),"",IF(AF123&gt;AB123,AF123+Variables!$B$15+Variables!$B$16+Variables!$B$17-AJ123,AB123+Variables!$B$16+Variables!$B$17-AJ123))),""))</f>
        <v>14</v>
      </c>
      <c r="AL123" s="48" t="s">
        <v>114</v>
      </c>
      <c r="AM123" s="13" t="s">
        <v>134</v>
      </c>
      <c r="AN123" s="13" t="s">
        <v>528</v>
      </c>
      <c r="AP123" s="31">
        <v>45766</v>
      </c>
      <c r="AR123" s="13" t="s">
        <v>529</v>
      </c>
      <c r="AS123" s="31">
        <v>45766</v>
      </c>
      <c r="AU123" s="31">
        <v>45776</v>
      </c>
      <c r="AV123" s="13" t="s">
        <v>865</v>
      </c>
      <c r="AW123" s="31">
        <v>45776</v>
      </c>
      <c r="AX123" s="13" t="str">
        <f>IF(ISNUMBER(SEARCH("cancel",#REF!)),"Cancelled",IF(AND(AS123&lt;&gt;"",AU123&lt;&gt;"",AW123&lt;&gt;""),"Closed","Open"))</f>
        <v>Closed</v>
      </c>
      <c r="AY123" s="15" t="str">
        <f t="shared" si="4"/>
        <v>All dates received</v>
      </c>
      <c r="BD123" s="13">
        <f>IF($AX123="Cancelled","",IFERROR(IF(OR(AS123="",AJ123=""),"",(AJ123+Variables!$B$18-AS123)),""))</f>
        <v>-7</v>
      </c>
      <c r="BE123" s="13">
        <f>IF($AX123="Cancelled","",IFERROR(IF(OR(AW123="",AS123=""),"",(AS123+Variables!$B$19)-AW123),""))</f>
        <v>-5</v>
      </c>
      <c r="BF123" s="44">
        <f>IF($AX123="Cancelled","",IFERROR(W123*INDEX(Variables!$B$7:$D$7,IFERROR(MATCH(IF($B123="Robusta","Robusta",(IF($B123="","Arabica",$B123))&amp;" - "&amp;(IF($C123="","Commercial",$C123))),Variables!$B$1:$D$1,0),1))*(BE123/365),""))</f>
        <v>-388.77510461627554</v>
      </c>
      <c r="BG123" s="44">
        <f>IF($AX123="Cancelled","",IFERROR((W123*INDEX(Variables!$B$7:$D$7,IFERROR(MATCH(IF($B123="Robusta","Robusta",(IF($B123="","Arabica",$B123))&amp;" - "&amp;(IF($C123="","Commercial",$C123))),Variables!$B$1:$D$1,0),1))*IFERROR(IF(AB123="","",(AVERAGE(E123:F123)-AB123)-Variables!$B$14),"")/365)+(L123/16.67*INDEX(Variables!$B$8:$D$8,IFERROR(MATCH(IF($B123="Robusta","Robusta",(IF($B123="","Arabica",$B123))&amp;" - "&amp;(IF($C123="","Commercial",$C123))),Variables!$B$1:$D$1,0),1))*IFERROR(IF(AB123="","",(AVERAGE(E123:F123)-AB123)-Variables!$B$14),""))+(W123*INDEX(Variables!$B$9:$D$9,IFERROR(MATCH(IF($B123="Robusta","Robusta",(IF($B123="","Arabica",$B123))&amp;" - "&amp;(IF($C123="","Commercial",$C123))),Variables!$B$1:$D$1,0),1))*IFERROR(IF(AB123="","",(AVERAGE(E123:F123)-AB123)-Variables!$B$14),"")/365),""))</f>
        <v>1738.2253481962282</v>
      </c>
      <c r="BH123" s="44">
        <f>IF($AX123="Cancelled","",IFERROR((W123*INDEX(Variables!$B$7:$D$7,IFERROR(MATCH(IF($B123="Robusta","Robusta",(IF($B123="","Arabica",$B123))&amp;" - "&amp;(IF($C123="","Commercial",$C123))),Variables!$B$1:$D$1,0),1))*AK123/365)+(L123/16.67*INDEX(Variables!$B$8:$D$8,IFERROR(MATCH(IF($B123="Robusta","Robusta",(IF($B123="","Arabica",$B123))&amp;" - "&amp;(IF($C123="","Commercial",$C123))),Variables!$B$1:$D$1,0),1))*AK123)+(W123*INDEX(Variables!$B$9:$D$9,IFERROR(MATCH(IF($B123="Robusta","Robusta",(IF($B123="","Arabica",$B123))&amp;" - "&amp;(IF($C123="","Commercial",$C123))),Variables!$B$1:$D$1,0),1))*AK123/365),""))</f>
        <v>1802.6040647960883</v>
      </c>
      <c r="BI123" s="44">
        <f>IF($AX123="Cancelled","",IFERROR((W123*INDEX(Variables!$B$7:$D$7,IFERROR(MATCH(IF($B123="Robusta","Robusta",(IF($B123="","Arabica",$B123))&amp;" - "&amp;(IF($C123="","Commercial",$C123))),Variables!$B$1:$D$1,0),1))*BD123/365)+(L123/16.67*INDEX(Variables!$B$8:$D$8,IFERROR(MATCH(IF($B123="Robusta","Robusta",(IF($B123="","Arabica",$B123))&amp;" - "&amp;(IF($C123="","Commercial",$C123))),Variables!$B$1:$D$1,0),1))*BD123)+(W123*INDEX(Variables!$B$9:$D$9,IFERROR(MATCH(IF($B123="Robusta","Robusta",(IF($B123="","Arabica",$B123))&amp;" - "&amp;(IF($C123="","Commercial",$C123))),Variables!$B$1:$D$1,0),1))*BD123/365),""))</f>
        <v>-901.30203239804416</v>
      </c>
      <c r="BJ123" s="44">
        <f t="shared" si="5"/>
        <v>11</v>
      </c>
      <c r="BK123" s="44">
        <f>IF($AX123="Cancelled","",IFERROR(IF(BJ123="","",(W123*INDEX(Variables!$B$7:$D$7,IFERROR(MATCH(IF($B123="Robusta","Robusta",(IF($B123="","Arabica",$B123))&amp;" - "&amp;(IF($C123="","Commercial",$C123))),Variables!$B$1:$D$1,0),1))*(BJ123/365))+(W123*INDEX(Variables!$B$9:$D$9,IFERROR(MATCH(IF($B123="Robusta","Robusta",(IF($B123="","Arabica",$B123))&amp;" - "&amp;(IF($C123="","Commercial",$C123))),Variables!$B$1:$D$1,0),1))*(BJ123/365))+(INDEX(Variables!$B$8:$D$8,IFERROR(MATCH(IF($B123="Robusta","Robusta",(IF($B123="","Arabica",$B123))&amp;" - "&amp;(IF($C123="","Commercial",$C123))),Variables!$B$1:$D$1,0),1))*L123/16.67)),""))</f>
        <v>916.33176519692643</v>
      </c>
    </row>
    <row r="124" spans="1:63">
      <c r="A124" s="13" t="s">
        <v>103</v>
      </c>
      <c r="B124" s="13" t="s">
        <v>104</v>
      </c>
      <c r="C124" s="13" t="s">
        <v>105</v>
      </c>
      <c r="D124" s="31">
        <v>45674</v>
      </c>
      <c r="E124" s="31">
        <v>45748</v>
      </c>
      <c r="F124" s="31">
        <v>45777</v>
      </c>
      <c r="G124" s="13">
        <v>3786620</v>
      </c>
      <c r="H124" s="13" t="s">
        <v>526</v>
      </c>
      <c r="J124" s="13" t="s">
        <v>118</v>
      </c>
      <c r="K124" s="13" t="s">
        <v>531</v>
      </c>
      <c r="L124" s="13">
        <v>1333</v>
      </c>
      <c r="M124" s="13">
        <v>4</v>
      </c>
      <c r="N124" s="13" t="s">
        <v>268</v>
      </c>
      <c r="O124" s="13" t="s">
        <v>269</v>
      </c>
      <c r="P124" s="13">
        <v>10310</v>
      </c>
      <c r="Q124" s="59" t="s">
        <v>270</v>
      </c>
      <c r="R124" s="13" t="s">
        <v>271</v>
      </c>
      <c r="S124" s="13" t="s">
        <v>276</v>
      </c>
      <c r="T124" s="13" t="s">
        <v>112</v>
      </c>
      <c r="U124" s="13" t="s">
        <v>113</v>
      </c>
      <c r="V124" s="13">
        <v>42</v>
      </c>
      <c r="W124" s="44">
        <f>IF($AX124="Cancelled","",IFERROR(((V124+INDEX(Variables!$B$6:$D$6,IFERROR(MATCH(IF($B124="Robusta","Robusta",(IF($B124="","Arabica",$B124))&amp;" - "&amp;(IF($C124="","Commercial",$C124))),Variables!$B$1:$D$1,0),1)))*22.0462)*(L124/16.67),""))</f>
        <v>586693.95050269936</v>
      </c>
      <c r="X124" s="55" t="s">
        <v>37</v>
      </c>
      <c r="Y124" s="13" t="str">
        <f>IF($AX124="Cancelled","",IF(X124="","",IFERROR(IF(INDEX(Variables!$B$38:$B$47,MATCH(X124,Variables!$A$38:$A$47,0))="Yes","Yes","No"),"No")))</f>
        <v>Yes</v>
      </c>
      <c r="Z124" s="58">
        <v>45712</v>
      </c>
      <c r="AB124" s="31">
        <v>45719</v>
      </c>
      <c r="AC124" s="13" t="str">
        <f t="shared" si="3"/>
        <v>Approved</v>
      </c>
      <c r="AF124" s="71">
        <v>45743</v>
      </c>
      <c r="AG124" s="35">
        <f>IF($AX124="Cancelled","",IFERROR(IF(F124="","",F124-Variables!$B$13),""))</f>
        <v>45762</v>
      </c>
      <c r="AH124" s="13">
        <f>IF($AX124="Cancelled","",IFERROR(IF(AB124="","",(AVERAGE(E124:F124)-AB124)-Variables!$B$14),""))</f>
        <v>13.5</v>
      </c>
      <c r="AJ124" s="47">
        <v>45744</v>
      </c>
      <c r="AK124" s="14">
        <f>IF($AX124="Cancelled","",IFERROR(IF(AJ124="","",IF(AND(AB124="",AF124=""),"",IF(AF124&gt;AB124,AF124+Variables!$B$15+Variables!$B$16+Variables!$B$17-AJ124,AB124+Variables!$B$16+Variables!$B$17-AJ124))),""))</f>
        <v>14</v>
      </c>
      <c r="AL124" s="48" t="s">
        <v>114</v>
      </c>
      <c r="AM124" s="13" t="s">
        <v>134</v>
      </c>
      <c r="AN124" s="13" t="s">
        <v>528</v>
      </c>
      <c r="AP124" s="31">
        <v>45766</v>
      </c>
      <c r="AR124" s="13" t="s">
        <v>529</v>
      </c>
      <c r="AS124" s="31">
        <v>45765</v>
      </c>
      <c r="AU124" s="31">
        <v>45776</v>
      </c>
      <c r="AV124" s="13" t="s">
        <v>865</v>
      </c>
      <c r="AW124" s="31">
        <v>45776</v>
      </c>
      <c r="AX124" s="13" t="str">
        <f>IF(ISNUMBER(SEARCH("cancel",#REF!)),"Cancelled",IF(AND(AS124&lt;&gt;"",AU124&lt;&gt;"",AW124&lt;&gt;""),"Closed","Open"))</f>
        <v>Closed</v>
      </c>
      <c r="AY124" s="15" t="str">
        <f t="shared" si="4"/>
        <v>All dates received</v>
      </c>
      <c r="BD124" s="13">
        <f>IF($AX124="Cancelled","",IFERROR(IF(OR(AS124="",AJ124=""),"",(AJ124+Variables!$B$18-AS124)),""))</f>
        <v>-6</v>
      </c>
      <c r="BE124" s="13">
        <f>IF($AX124="Cancelled","",IFERROR(IF(OR(AW124="",AS124=""),"",(AS124+Variables!$B$19)-AW124),""))</f>
        <v>-6</v>
      </c>
      <c r="BF124" s="44">
        <f>IF($AX124="Cancelled","",IFERROR(W124*INDEX(Variables!$B$7:$D$7,IFERROR(MATCH(IF($B124="Robusta","Robusta",(IF($B124="","Arabica",$B124))&amp;" - "&amp;(IF($C124="","Commercial",$C124))),Variables!$B$1:$D$1,0),1))*(BE124/365),""))</f>
        <v>-621.88465734419435</v>
      </c>
      <c r="BG124" s="44">
        <f>IF($AX124="Cancelled","",IFERROR((W124*INDEX(Variables!$B$7:$D$7,IFERROR(MATCH(IF($B124="Robusta","Robusta",(IF($B124="","Arabica",$B124))&amp;" - "&amp;(IF($C124="","Commercial",$C124))),Variables!$B$1:$D$1,0),1))*IFERROR(IF(AB124="","",(AVERAGE(E124:F124)-AB124)-Variables!$B$14),"")/365)+(L124/16.67*INDEX(Variables!$B$8:$D$8,IFERROR(MATCH(IF($B124="Robusta","Robusta",(IF($B124="","Arabica",$B124))&amp;" - "&amp;(IF($C124="","Commercial",$C124))),Variables!$B$1:$D$1,0),1))*IFERROR(IF(AB124="","",(AVERAGE(E124:F124)-AB124)-Variables!$B$14),""))+(W124*INDEX(Variables!$B$9:$D$9,IFERROR(MATCH(IF($B124="Robusta","Robusta",(IF($B124="","Arabica",$B124))&amp;" - "&amp;(IF($C124="","Commercial",$C124))),Variables!$B$1:$D$1,0),1))*IFERROR(IF(AB124="","",(AVERAGE(E124:F124)-AB124)-Variables!$B$14),"")/365),""))</f>
        <v>2317.0543891455723</v>
      </c>
      <c r="BH124" s="44">
        <f>IF($AX124="Cancelled","",IFERROR((W124*INDEX(Variables!$B$7:$D$7,IFERROR(MATCH(IF($B124="Robusta","Robusta",(IF($B124="","Arabica",$B124))&amp;" - "&amp;(IF($C124="","Commercial",$C124))),Variables!$B$1:$D$1,0),1))*AK124/365)+(L124/16.67*INDEX(Variables!$B$8:$D$8,IFERROR(MATCH(IF($B124="Robusta","Robusta",(IF($B124="","Arabica",$B124))&amp;" - "&amp;(IF($C124="","Commercial",$C124))),Variables!$B$1:$D$1,0),1))*AK124)+(W124*INDEX(Variables!$B$9:$D$9,IFERROR(MATCH(IF($B124="Robusta","Robusta",(IF($B124="","Arabica",$B124))&amp;" - "&amp;(IF($C124="","Commercial",$C124))),Variables!$B$1:$D$1,0),1))*AK124/365),""))</f>
        <v>2402.8712183731855</v>
      </c>
      <c r="BI124" s="44">
        <f>IF($AX124="Cancelled","",IFERROR((W124*INDEX(Variables!$B$7:$D$7,IFERROR(MATCH(IF($B124="Robusta","Robusta",(IF($B124="","Arabica",$B124))&amp;" - "&amp;(IF($C124="","Commercial",$C124))),Variables!$B$1:$D$1,0),1))*BD124/365)+(L124/16.67*INDEX(Variables!$B$8:$D$8,IFERROR(MATCH(IF($B124="Robusta","Robusta",(IF($B124="","Arabica",$B124))&amp;" - "&amp;(IF($C124="","Commercial",$C124))),Variables!$B$1:$D$1,0),1))*BD124)+(W124*INDEX(Variables!$B$9:$D$9,IFERROR(MATCH(IF($B124="Robusta","Robusta",(IF($B124="","Arabica",$B124))&amp;" - "&amp;(IF($C124="","Commercial",$C124))),Variables!$B$1:$D$1,0),1))*BD124/365),""))</f>
        <v>-1029.8019507313654</v>
      </c>
      <c r="BJ124" s="44">
        <f t="shared" si="5"/>
        <v>12</v>
      </c>
      <c r="BK124" s="44">
        <f>IF($AX124="Cancelled","",IFERROR(IF(BJ124="","",(W124*INDEX(Variables!$B$7:$D$7,IFERROR(MATCH(IF($B124="Robusta","Robusta",(IF($B124="","Arabica",$B124))&amp;" - "&amp;(IF($C124="","Commercial",$C124))),Variables!$B$1:$D$1,0),1))*(BJ124/365))+(W124*INDEX(Variables!$B$9:$D$9,IFERROR(MATCH(IF($B124="Robusta","Robusta",(IF($B124="","Arabica",$B124))&amp;" - "&amp;(IF($C124="","Commercial",$C124))),Variables!$B$1:$D$1,0),1))*(BJ124/365))+(INDEX(Variables!$B$8:$D$8,IFERROR(MATCH(IF($B124="Robusta","Robusta",(IF($B124="","Arabica",$B124))&amp;" - "&amp;(IF($C124="","Commercial",$C124))),Variables!$B$1:$D$1,0),1))*L124/16.67)),""))</f>
        <v>1326.4539014627305</v>
      </c>
    </row>
    <row r="125" spans="1:63">
      <c r="A125" s="13" t="s">
        <v>103</v>
      </c>
      <c r="B125" s="13" t="s">
        <v>104</v>
      </c>
      <c r="C125" s="13" t="s">
        <v>105</v>
      </c>
      <c r="D125" s="31">
        <v>45674</v>
      </c>
      <c r="E125" s="31">
        <v>45778</v>
      </c>
      <c r="F125" s="31">
        <v>45808</v>
      </c>
      <c r="G125" s="13">
        <v>3786621</v>
      </c>
      <c r="H125" s="13" t="s">
        <v>532</v>
      </c>
      <c r="J125" s="13" t="s">
        <v>118</v>
      </c>
      <c r="K125" s="13" t="s">
        <v>533</v>
      </c>
      <c r="L125" s="13">
        <v>666</v>
      </c>
      <c r="M125" s="13">
        <v>2</v>
      </c>
      <c r="N125" s="13" t="s">
        <v>268</v>
      </c>
      <c r="O125" s="13" t="s">
        <v>269</v>
      </c>
      <c r="P125" s="13">
        <v>10310</v>
      </c>
      <c r="Q125" s="59" t="s">
        <v>270</v>
      </c>
      <c r="R125" s="13" t="s">
        <v>271</v>
      </c>
      <c r="S125" s="13" t="s">
        <v>534</v>
      </c>
      <c r="T125" s="13" t="s">
        <v>139</v>
      </c>
      <c r="U125" s="13" t="s">
        <v>125</v>
      </c>
      <c r="V125" s="13">
        <v>42</v>
      </c>
      <c r="W125" s="44">
        <f>IF($AX125="Cancelled","",IFERROR(((V125+INDEX(Variables!$B$6:$D$6,IFERROR(MATCH(IF($B125="Robusta","Robusta",(IF($B125="","Arabica",$B125))&amp;" - "&amp;(IF($C125="","Commercial",$C125))),Variables!$B$1:$D$1,0),1)))*22.0462)*(L125/16.67),""))</f>
        <v>293126.91000359925</v>
      </c>
      <c r="X125" s="55" t="s">
        <v>37</v>
      </c>
      <c r="Y125" s="13" t="str">
        <f>IF($AX125="Cancelled","",IF(X125="","",IFERROR(IF(INDEX(Variables!$B$38:$B$47,MATCH(X125,Variables!$A$38:$A$47,0))="Yes","Yes","No"),"No")))</f>
        <v>Yes</v>
      </c>
      <c r="Z125" s="58">
        <v>45749</v>
      </c>
      <c r="AB125" s="31">
        <v>45769</v>
      </c>
      <c r="AC125" s="13" t="str">
        <f t="shared" si="3"/>
        <v>Approved</v>
      </c>
      <c r="AF125" s="71">
        <f>AJ125-7</f>
        <v>45786</v>
      </c>
      <c r="AG125" s="35">
        <f>IF($AX125="Cancelled","",IFERROR(IF(F125="","",F125-Variables!$B$13),""))</f>
        <v>45793</v>
      </c>
      <c r="AH125" s="13">
        <f>IF($AX125="Cancelled","",IFERROR(IF(AB125="","",(AVERAGE(E125:F125)-AB125)-Variables!$B$14),""))</f>
        <v>-6</v>
      </c>
      <c r="AJ125" s="47">
        <v>45793</v>
      </c>
      <c r="AK125" s="14">
        <f>IF($AX125="Cancelled","",IFERROR(IF(AJ125="","",IF(AND(AB125="",AF125=""),"",IF(AF125&gt;AB125,AF125+Variables!$B$15+Variables!$B$16+Variables!$B$17-AJ125,AB125+Variables!$B$16+Variables!$B$17-AJ125))),""))</f>
        <v>8</v>
      </c>
      <c r="AL125" s="48" t="s">
        <v>114</v>
      </c>
      <c r="AM125" s="13" t="s">
        <v>115</v>
      </c>
      <c r="AN125" s="13" t="s">
        <v>116</v>
      </c>
      <c r="AP125" s="31">
        <v>45807</v>
      </c>
      <c r="AR125" s="13">
        <v>253585954</v>
      </c>
      <c r="AS125" s="31">
        <v>45807</v>
      </c>
      <c r="AU125" s="31">
        <v>45815</v>
      </c>
      <c r="AV125" s="13" t="s">
        <v>865</v>
      </c>
      <c r="AW125" s="31">
        <v>45817</v>
      </c>
      <c r="AX125" s="13" t="str">
        <f>IF(ISNUMBER(SEARCH("cancel",#REF!)),"Cancelled",IF(AND(AS125&lt;&gt;"",AU125&lt;&gt;"",AW125&lt;&gt;""),"Closed","Open"))</f>
        <v>Closed</v>
      </c>
      <c r="AY125" s="15" t="str">
        <f t="shared" si="4"/>
        <v>All dates received</v>
      </c>
      <c r="BD125" s="13">
        <f>IF($AX125="Cancelled","",IFERROR(IF(OR(AS125="",AJ125=""),"",(AJ125+Variables!$B$18-AS125)),""))</f>
        <v>1</v>
      </c>
      <c r="BE125" s="13">
        <f>IF($AX125="Cancelled","",IFERROR(IF(OR(AW125="",AS125=""),"",(AS125+Variables!$B$19)-AW125),""))</f>
        <v>-5</v>
      </c>
      <c r="BF125" s="44">
        <f>IF($AX125="Cancelled","",IFERROR(W125*INDEX(Variables!$B$7:$D$7,IFERROR(MATCH(IF($B125="Robusta","Robusta",(IF($B125="","Arabica",$B125))&amp;" - "&amp;(IF($C125="","Commercial",$C125))),Variables!$B$1:$D$1,0),1))*(BE125/365),""))</f>
        <v>-258.92421967443954</v>
      </c>
      <c r="BG125" s="44">
        <f>IF($AX125="Cancelled","",IFERROR((W125*INDEX(Variables!$B$7:$D$7,IFERROR(MATCH(IF($B125="Robusta","Robusta",(IF($B125="","Arabica",$B125))&amp;" - "&amp;(IF($C125="","Commercial",$C125))),Variables!$B$1:$D$1,0),1))*IFERROR(IF(AB125="","",(AVERAGE(E125:F125)-AB125)-Variables!$B$14),"")/365)+(L125/16.67*INDEX(Variables!$B$8:$D$8,IFERROR(MATCH(IF($B125="Robusta","Robusta",(IF($B125="","Arabica",$B125))&amp;" - "&amp;(IF($C125="","Commercial",$C125))),Variables!$B$1:$D$1,0),1))*IFERROR(IF(AB125="","",(AVERAGE(E125:F125)-AB125)-Variables!$B$14),""))+(W125*INDEX(Variables!$B$9:$D$9,IFERROR(MATCH(IF($B125="Robusta","Robusta",(IF($B125="","Arabica",$B125))&amp;" - "&amp;(IF($C125="","Commercial",$C125))),Variables!$B$1:$D$1,0),1))*IFERROR(IF(AB125="","",(AVERAGE(E125:F125)-AB125)-Variables!$B$14),"")/365),""))</f>
        <v>-514.51470306608348</v>
      </c>
      <c r="BH125" s="44">
        <f>IF($AX125="Cancelled","",IFERROR((W125*INDEX(Variables!$B$7:$D$7,IFERROR(MATCH(IF($B125="Robusta","Robusta",(IF($B125="","Arabica",$B125))&amp;" - "&amp;(IF($C125="","Commercial",$C125))),Variables!$B$1:$D$1,0),1))*AK125/365)+(L125/16.67*INDEX(Variables!$B$8:$D$8,IFERROR(MATCH(IF($B125="Robusta","Robusta",(IF($B125="","Arabica",$B125))&amp;" - "&amp;(IF($C125="","Commercial",$C125))),Variables!$B$1:$D$1,0),1))*AK125)+(W125*INDEX(Variables!$B$9:$D$9,IFERROR(MATCH(IF($B125="Robusta","Robusta",(IF($B125="","Arabica",$B125))&amp;" - "&amp;(IF($C125="","Commercial",$C125))),Variables!$B$1:$D$1,0),1))*AK125/365),""))</f>
        <v>686.01960408811135</v>
      </c>
      <c r="BI125" s="44">
        <f>IF($AX125="Cancelled","",IFERROR((W125*INDEX(Variables!$B$7:$D$7,IFERROR(MATCH(IF($B125="Robusta","Robusta",(IF($B125="","Arabica",$B125))&amp;" - "&amp;(IF($C125="","Commercial",$C125))),Variables!$B$1:$D$1,0),1))*BD125/365)+(L125/16.67*INDEX(Variables!$B$8:$D$8,IFERROR(MATCH(IF($B125="Robusta","Robusta",(IF($B125="","Arabica",$B125))&amp;" - "&amp;(IF($C125="","Commercial",$C125))),Variables!$B$1:$D$1,0),1))*BD125)+(W125*INDEX(Variables!$B$9:$D$9,IFERROR(MATCH(IF($B125="Robusta","Robusta",(IF($B125="","Arabica",$B125))&amp;" - "&amp;(IF($C125="","Commercial",$C125))),Variables!$B$1:$D$1,0),1))*BD125/365),""))</f>
        <v>85.752450511013919</v>
      </c>
      <c r="BJ125" s="44">
        <f t="shared" si="5"/>
        <v>1</v>
      </c>
      <c r="BK125" s="44">
        <f>IF($AX125="Cancelled","",IFERROR(IF(BJ125="","",(W125*INDEX(Variables!$B$7:$D$7,IFERROR(MATCH(IF($B125="Robusta","Robusta",(IF($B125="","Arabica",$B125))&amp;" - "&amp;(IF($C125="","Commercial",$C125))),Variables!$B$1:$D$1,0),1))*(BJ125/365))+(W125*INDEX(Variables!$B$9:$D$9,IFERROR(MATCH(IF($B125="Robusta","Robusta",(IF($B125="","Arabica",$B125))&amp;" - "&amp;(IF($C125="","Commercial",$C125))),Variables!$B$1:$D$1,0),1))*(BJ125/365))+(INDEX(Variables!$B$8:$D$8,IFERROR(MATCH(IF($B125="Robusta","Robusta",(IF($B125="","Arabica",$B125))&amp;" - "&amp;(IF($C125="","Commercial",$C125))),Variables!$B$1:$D$1,0),1))*L125/16.67)),""))</f>
        <v>85.752450511013919</v>
      </c>
    </row>
    <row r="126" spans="1:63">
      <c r="A126" s="13" t="s">
        <v>103</v>
      </c>
      <c r="B126" s="13" t="s">
        <v>104</v>
      </c>
      <c r="C126" s="13" t="s">
        <v>105</v>
      </c>
      <c r="D126" s="31">
        <v>45674</v>
      </c>
      <c r="E126" s="31">
        <v>45778</v>
      </c>
      <c r="F126" s="31">
        <v>45808</v>
      </c>
      <c r="G126" s="13">
        <v>3786621</v>
      </c>
      <c r="H126" s="13" t="s">
        <v>532</v>
      </c>
      <c r="J126" s="13" t="s">
        <v>118</v>
      </c>
      <c r="K126" s="13" t="s">
        <v>535</v>
      </c>
      <c r="L126" s="13">
        <v>2667</v>
      </c>
      <c r="M126" s="13">
        <v>8</v>
      </c>
      <c r="N126" s="13" t="s">
        <v>268</v>
      </c>
      <c r="O126" s="13" t="s">
        <v>269</v>
      </c>
      <c r="P126" s="13">
        <v>10310</v>
      </c>
      <c r="Q126" s="59" t="s">
        <v>270</v>
      </c>
      <c r="R126" s="13" t="s">
        <v>271</v>
      </c>
      <c r="S126" s="13" t="s">
        <v>283</v>
      </c>
      <c r="T126" s="13" t="s">
        <v>112</v>
      </c>
      <c r="U126" s="13" t="s">
        <v>113</v>
      </c>
      <c r="V126" s="13">
        <v>42</v>
      </c>
      <c r="W126" s="44">
        <f>IF($AX126="Cancelled","",IFERROR(((V126+INDEX(Variables!$B$6:$D$6,IFERROR(MATCH(IF($B126="Robusta","Robusta",(IF($B126="","Arabica",$B126))&amp;" - "&amp;(IF($C126="","Commercial",$C126))),Variables!$B$1:$D$1,0),1)))*22.0462)*(L126/16.67),""))</f>
        <v>1173828.0315008995</v>
      </c>
      <c r="X126" s="55" t="s">
        <v>37</v>
      </c>
      <c r="Y126" s="13" t="str">
        <f>IF($AX126="Cancelled","",IF(X126="","",IFERROR(IF(INDEX(Variables!$B$38:$B$47,MATCH(X126,Variables!$A$38:$A$47,0))="Yes","Yes","No"),"No")))</f>
        <v>Yes</v>
      </c>
      <c r="Z126" s="58">
        <v>45749</v>
      </c>
      <c r="AB126" s="31">
        <v>45769</v>
      </c>
      <c r="AC126" s="13" t="str">
        <f t="shared" si="3"/>
        <v>Approved</v>
      </c>
      <c r="AF126" s="71">
        <f>AJ126-7</f>
        <v>45789</v>
      </c>
      <c r="AG126" s="35">
        <f>IF($AX126="Cancelled","",IFERROR(IF(F126="","",F126-Variables!$B$13),""))</f>
        <v>45793</v>
      </c>
      <c r="AH126" s="13">
        <f>IF($AX126="Cancelled","",IFERROR(IF(AB126="","",(AVERAGE(E126:F126)-AB126)-Variables!$B$14),""))</f>
        <v>-6</v>
      </c>
      <c r="AJ126" s="47">
        <v>45796</v>
      </c>
      <c r="AK126" s="14">
        <f>IF($AX126="Cancelled","",IFERROR(IF(AJ126="","",IF(AND(AB126="",AF126=""),"",IF(AF126&gt;AB126,AF126+Variables!$B$15+Variables!$B$16+Variables!$B$17-AJ126,AB126+Variables!$B$16+Variables!$B$17-AJ126))),""))</f>
        <v>8</v>
      </c>
      <c r="AL126" s="48" t="s">
        <v>114</v>
      </c>
      <c r="AM126" s="13" t="s">
        <v>115</v>
      </c>
      <c r="AN126" s="13" t="s">
        <v>116</v>
      </c>
      <c r="AP126" s="31">
        <v>45807</v>
      </c>
      <c r="AR126" s="13">
        <v>253585954</v>
      </c>
      <c r="AS126" s="31">
        <v>45808</v>
      </c>
      <c r="AU126" s="31">
        <v>45815</v>
      </c>
      <c r="AV126" s="13" t="s">
        <v>865</v>
      </c>
      <c r="AW126" s="31">
        <v>45817</v>
      </c>
      <c r="AX126" s="13" t="str">
        <f>IF(ISNUMBER(SEARCH("cancel",#REF!)),"Cancelled",IF(AND(AS126&lt;&gt;"",AU126&lt;&gt;"",AW126&lt;&gt;""),"Closed","Open"))</f>
        <v>Closed</v>
      </c>
      <c r="AY126" s="15" t="str">
        <f t="shared" si="4"/>
        <v>All dates received</v>
      </c>
      <c r="BD126" s="13">
        <f>IF($AX126="Cancelled","",IFERROR(IF(OR(AS126="",AJ126=""),"",(AJ126+Variables!$B$18-AS126)),""))</f>
        <v>3</v>
      </c>
      <c r="BE126" s="13">
        <f>IF($AX126="Cancelled","",IFERROR(IF(OR(AW126="",AS126=""),"",(AS126+Variables!$B$19)-AW126),""))</f>
        <v>-4</v>
      </c>
      <c r="BF126" s="44">
        <f>IF($AX126="Cancelled","",IFERROR(W126*INDEX(Variables!$B$7:$D$7,IFERROR(MATCH(IF($B126="Robusta","Robusta",(IF($B126="","Arabica",$B126))&amp;" - "&amp;(IF($C126="","Commercial",$C126))),Variables!$B$1:$D$1,0),1))*(BE126/365),""))</f>
        <v>-829.49056320928548</v>
      </c>
      <c r="BG126" s="44">
        <f>IF($AX126="Cancelled","",IFERROR((W126*INDEX(Variables!$B$7:$D$7,IFERROR(MATCH(IF($B126="Robusta","Robusta",(IF($B126="","Arabica",$B126))&amp;" - "&amp;(IF($C126="","Commercial",$C126))),Variables!$B$1:$D$1,0),1))*IFERROR(IF(AB126="","",(AVERAGE(E126:F126)-AB126)-Variables!$B$14),"")/365)+(L126/16.67*INDEX(Variables!$B$8:$D$8,IFERROR(MATCH(IF($B126="Robusta","Robusta",(IF($B126="","Arabica",$B126))&amp;" - "&amp;(IF($C126="","Commercial",$C126))),Variables!$B$1:$D$1,0),1))*IFERROR(IF(AB126="","",(AVERAGE(E126:F126)-AB126)-Variables!$B$14),""))+(W126*INDEX(Variables!$B$9:$D$9,IFERROR(MATCH(IF($B126="Robusta","Robusta",(IF($B126="","Arabica",$B126))&amp;" - "&amp;(IF($C126="","Commercial",$C126))),Variables!$B$1:$D$1,0),1))*IFERROR(IF(AB126="","",(AVERAGE(E126:F126)-AB126)-Variables!$B$14),"")/365),""))</f>
        <v>-2060.3764460619291</v>
      </c>
      <c r="BH126" s="44">
        <f>IF($AX126="Cancelled","",IFERROR((W126*INDEX(Variables!$B$7:$D$7,IFERROR(MATCH(IF($B126="Robusta","Robusta",(IF($B126="","Arabica",$B126))&amp;" - "&amp;(IF($C126="","Commercial",$C126))),Variables!$B$1:$D$1,0),1))*AK126/365)+(L126/16.67*INDEX(Variables!$B$8:$D$8,IFERROR(MATCH(IF($B126="Robusta","Robusta",(IF($B126="","Arabica",$B126))&amp;" - "&amp;(IF($C126="","Commercial",$C126))),Variables!$B$1:$D$1,0),1))*AK126)+(W126*INDEX(Variables!$B$9:$D$9,IFERROR(MATCH(IF($B126="Robusta","Robusta",(IF($B126="","Arabica",$B126))&amp;" - "&amp;(IF($C126="","Commercial",$C126))),Variables!$B$1:$D$1,0),1))*AK126/365),""))</f>
        <v>2747.1685947492383</v>
      </c>
      <c r="BI126" s="44">
        <f>IF($AX126="Cancelled","",IFERROR((W126*INDEX(Variables!$B$7:$D$7,IFERROR(MATCH(IF($B126="Robusta","Robusta",(IF($B126="","Arabica",$B126))&amp;" - "&amp;(IF($C126="","Commercial",$C126))),Variables!$B$1:$D$1,0),1))*BD126/365)+(L126/16.67*INDEX(Variables!$B$8:$D$8,IFERROR(MATCH(IF($B126="Robusta","Robusta",(IF($B126="","Arabica",$B126))&amp;" - "&amp;(IF($C126="","Commercial",$C126))),Variables!$B$1:$D$1,0),1))*BD126)+(W126*INDEX(Variables!$B$9:$D$9,IFERROR(MATCH(IF($B126="Robusta","Robusta",(IF($B126="","Arabica",$B126))&amp;" - "&amp;(IF($C126="","Commercial",$C126))),Variables!$B$1:$D$1,0),1))*BD126/365),""))</f>
        <v>1030.1882230309645</v>
      </c>
      <c r="BJ126" s="44">
        <f t="shared" si="5"/>
        <v>0</v>
      </c>
      <c r="BK126" s="44">
        <f>IF($AX126="Cancelled","",IFERROR(IF(BJ126="","",(W126*INDEX(Variables!$B$7:$D$7,IFERROR(MATCH(IF($B126="Robusta","Robusta",(IF($B126="","Arabica",$B126))&amp;" - "&amp;(IF($C126="","Commercial",$C126))),Variables!$B$1:$D$1,0),1))*(BJ126/365))+(W126*INDEX(Variables!$B$9:$D$9,IFERROR(MATCH(IF($B126="Robusta","Robusta",(IF($B126="","Arabica",$B126))&amp;" - "&amp;(IF($C126="","Commercial",$C126))),Variables!$B$1:$D$1,0),1))*(BJ126/365))+(INDEX(Variables!$B$8:$D$8,IFERROR(MATCH(IF($B126="Robusta","Robusta",(IF($B126="","Arabica",$B126))&amp;" - "&amp;(IF($C126="","Commercial",$C126))),Variables!$B$1:$D$1,0),1))*L126/16.67)),""))</f>
        <v>133.35000000000002</v>
      </c>
    </row>
    <row r="127" spans="1:63">
      <c r="A127" s="13" t="s">
        <v>103</v>
      </c>
      <c r="B127" s="13" t="s">
        <v>104</v>
      </c>
      <c r="C127" s="13" t="s">
        <v>105</v>
      </c>
      <c r="D127" s="31">
        <v>45677</v>
      </c>
      <c r="E127" s="31">
        <v>45689</v>
      </c>
      <c r="F127" s="31">
        <v>45716</v>
      </c>
      <c r="G127" s="13">
        <v>3786622</v>
      </c>
      <c r="H127" s="13" t="s">
        <v>536</v>
      </c>
      <c r="J127" s="13" t="s">
        <v>325</v>
      </c>
      <c r="K127" s="13" t="s">
        <v>537</v>
      </c>
      <c r="L127" s="13">
        <v>1920</v>
      </c>
      <c r="M127" s="13">
        <v>6</v>
      </c>
      <c r="N127" s="13" t="s">
        <v>338</v>
      </c>
      <c r="O127" s="13" t="s">
        <v>538</v>
      </c>
      <c r="P127" s="13">
        <v>10080</v>
      </c>
      <c r="R127" s="13" t="s">
        <v>110</v>
      </c>
      <c r="S127" s="13" t="s">
        <v>339</v>
      </c>
      <c r="T127" s="13" t="s">
        <v>340</v>
      </c>
      <c r="U127" s="13" t="s">
        <v>113</v>
      </c>
      <c r="V127" s="13">
        <v>0</v>
      </c>
      <c r="W127" s="44">
        <f>IF($AX127="Cancelled","",IFERROR(((V127+INDEX(Variables!$B$6:$D$6,IFERROR(MATCH(IF($B127="Robusta","Robusta",(IF($B127="","Arabica",$B127))&amp;" - "&amp;(IF($C127="","Commercial",$C127))),Variables!$B$1:$D$1,0),1)))*22.0462)*(L127/16.67),""))</f>
        <v>738403.54668266338</v>
      </c>
      <c r="X127" s="55" t="s">
        <v>37</v>
      </c>
      <c r="Y127" s="13" t="str">
        <f>IF($AX127="Cancelled","",IF(X127="","",IFERROR(IF(INDEX(Variables!$B$38:$B$47,MATCH(X127,Variables!$A$38:$A$47,0))="Yes","Yes","No"),"No")))</f>
        <v>Yes</v>
      </c>
      <c r="Z127" s="58">
        <v>45678</v>
      </c>
      <c r="AB127" s="31">
        <v>45685</v>
      </c>
      <c r="AC127" s="13" t="str">
        <f t="shared" si="3"/>
        <v>Approved</v>
      </c>
      <c r="AF127" s="71">
        <v>45709</v>
      </c>
      <c r="AG127" s="35">
        <f>IF($AX127="Cancelled","",IFERROR(IF(F127="","",F127-Variables!$B$13),""))</f>
        <v>45701</v>
      </c>
      <c r="AH127" s="13">
        <f>IF($AX127="Cancelled","",IFERROR(IF(AB127="","",(AVERAGE(E127:F127)-AB127)-Variables!$B$14),""))</f>
        <v>-12.5</v>
      </c>
      <c r="AJ127" s="47">
        <v>45713</v>
      </c>
      <c r="AK127" s="14">
        <f>IF($AX127="Cancelled","",IFERROR(IF(AJ127="","",IF(AND(AB127="",AF127=""),"",IF(AF127&gt;AB127,AF127+Variables!$B$15+Variables!$B$16+Variables!$B$17-AJ127,AB127+Variables!$B$16+Variables!$B$17-AJ127))),""))</f>
        <v>11</v>
      </c>
      <c r="AL127" s="48" t="s">
        <v>114</v>
      </c>
      <c r="AM127" s="13" t="s">
        <v>168</v>
      </c>
      <c r="AN127" s="13" t="s">
        <v>146</v>
      </c>
      <c r="AP127" s="31">
        <v>45732</v>
      </c>
      <c r="AR127" s="13" t="s">
        <v>539</v>
      </c>
      <c r="AS127" s="31">
        <v>45732</v>
      </c>
      <c r="AU127" s="31">
        <v>45735</v>
      </c>
      <c r="AV127" s="13" t="s">
        <v>865</v>
      </c>
      <c r="AW127" s="31">
        <v>45735</v>
      </c>
      <c r="AX127" s="13" t="str">
        <f>IF(ISNUMBER(SEARCH("cancel",#REF!)),"Cancelled",IF(AND(AS127&lt;&gt;"",AU127&lt;&gt;"",AW127&lt;&gt;""),"Closed","Open"))</f>
        <v>Closed</v>
      </c>
      <c r="AY127" s="15" t="str">
        <f t="shared" si="4"/>
        <v>All dates received</v>
      </c>
      <c r="BD127" s="13">
        <f>IF($AX127="Cancelled","",IFERROR(IF(OR(AS127="",AJ127=""),"",(AJ127+Variables!$B$18-AS127)),""))</f>
        <v>-4</v>
      </c>
      <c r="BE127" s="13">
        <f>IF($AX127="Cancelled","",IFERROR(IF(OR(AW127="",AS127=""),"",(AS127+Variables!$B$19)-AW127),""))</f>
        <v>2</v>
      </c>
      <c r="BF127" s="44">
        <f>IF($AX127="Cancelled","",IFERROR(W127*INDEX(Variables!$B$7:$D$7,IFERROR(MATCH(IF($B127="Robusta","Robusta",(IF($B127="","Arabica",$B127))&amp;" - "&amp;(IF($C127="","Commercial",$C127))),Variables!$B$1:$D$1,0),1))*(BE127/365),""))</f>
        <v>260.89800097479912</v>
      </c>
      <c r="BG127" s="44">
        <f>IF($AX127="Cancelled","",IFERROR((W127*INDEX(Variables!$B$7:$D$7,IFERROR(MATCH(IF($B127="Robusta","Robusta",(IF($B127="","Arabica",$B127))&amp;" - "&amp;(IF($C127="","Commercial",$C127))),Variables!$B$1:$D$1,0),1))*IFERROR(IF(AB127="","",(AVERAGE(E127:F127)-AB127)-Variables!$B$14),"")/365)+(L127/16.67*INDEX(Variables!$B$8:$D$8,IFERROR(MATCH(IF($B127="Robusta","Robusta",(IF($B127="","Arabica",$B127))&amp;" - "&amp;(IF($C127="","Commercial",$C127))),Variables!$B$1:$D$1,0),1))*IFERROR(IF(AB127="","",(AVERAGE(E127:F127)-AB127)-Variables!$B$14),""))+(W127*INDEX(Variables!$B$9:$D$9,IFERROR(MATCH(IF($B127="Robusta","Robusta",(IF($B127="","Arabica",$B127))&amp;" - "&amp;(IF($C127="","Commercial",$C127))),Variables!$B$1:$D$1,0),1))*IFERROR(IF(AB127="","",(AVERAGE(E127:F127)-AB127)-Variables!$B$14),"")/365),""))</f>
        <v>-2851.6342481595248</v>
      </c>
      <c r="BH127" s="44">
        <f>IF($AX127="Cancelled","",IFERROR((W127*INDEX(Variables!$B$7:$D$7,IFERROR(MATCH(IF($B127="Robusta","Robusta",(IF($B127="","Arabica",$B127))&amp;" - "&amp;(IF($C127="","Commercial",$C127))),Variables!$B$1:$D$1,0),1))*AK127/365)+(L127/16.67*INDEX(Variables!$B$8:$D$8,IFERROR(MATCH(IF($B127="Robusta","Robusta",(IF($B127="","Arabica",$B127))&amp;" - "&amp;(IF($C127="","Commercial",$C127))),Variables!$B$1:$D$1,0),1))*AK127)+(W127*INDEX(Variables!$B$9:$D$9,IFERROR(MATCH(IF($B127="Robusta","Robusta",(IF($B127="","Arabica",$B127))&amp;" - "&amp;(IF($C127="","Commercial",$C127))),Variables!$B$1:$D$1,0),1))*AK127/365),""))</f>
        <v>2509.438138380382</v>
      </c>
      <c r="BI127" s="44">
        <f>IF($AX127="Cancelled","",IFERROR((W127*INDEX(Variables!$B$7:$D$7,IFERROR(MATCH(IF($B127="Robusta","Robusta",(IF($B127="","Arabica",$B127))&amp;" - "&amp;(IF($C127="","Commercial",$C127))),Variables!$B$1:$D$1,0),1))*BD127/365)+(L127/16.67*INDEX(Variables!$B$8:$D$8,IFERROR(MATCH(IF($B127="Robusta","Robusta",(IF($B127="","Arabica",$B127))&amp;" - "&amp;(IF($C127="","Commercial",$C127))),Variables!$B$1:$D$1,0),1))*BD127)+(W127*INDEX(Variables!$B$9:$D$9,IFERROR(MATCH(IF($B127="Robusta","Robusta",(IF($B127="","Arabica",$B127))&amp;" - "&amp;(IF($C127="","Commercial",$C127))),Variables!$B$1:$D$1,0),1))*BD127/365),""))</f>
        <v>-912.52295941104808</v>
      </c>
      <c r="BJ127" s="44">
        <f t="shared" si="5"/>
        <v>-16</v>
      </c>
      <c r="BK127" s="44">
        <f>IF($AX127="Cancelled","",IFERROR(IF(BJ127="","",(W127*INDEX(Variables!$B$7:$D$7,IFERROR(MATCH(IF($B127="Robusta","Robusta",(IF($B127="","Arabica",$B127))&amp;" - "&amp;(IF($C127="","Commercial",$C127))),Variables!$B$1:$D$1,0),1))*(BJ127/365))+(W127*INDEX(Variables!$B$9:$D$9,IFERROR(MATCH(IF($B127="Robusta","Robusta",(IF($B127="","Arabica",$B127))&amp;" - "&amp;(IF($C127="","Commercial",$C127))),Variables!$B$1:$D$1,0),1))*(BJ127/365))+(INDEX(Variables!$B$8:$D$8,IFERROR(MATCH(IF($B127="Robusta","Robusta",(IF($B127="","Arabica",$B127))&amp;" - "&amp;(IF($C127="","Commercial",$C127))),Variables!$B$1:$D$1,0),1))*L127/16.67)),""))</f>
        <v>-2018.0918376441923</v>
      </c>
    </row>
    <row r="128" spans="1:63">
      <c r="A128" s="13" t="s">
        <v>103</v>
      </c>
      <c r="B128" s="13" t="s">
        <v>104</v>
      </c>
      <c r="C128" s="13" t="s">
        <v>105</v>
      </c>
      <c r="D128" s="31">
        <v>45677</v>
      </c>
      <c r="E128" s="31">
        <v>45689</v>
      </c>
      <c r="F128" s="31">
        <v>45716</v>
      </c>
      <c r="G128" s="13">
        <v>3786622</v>
      </c>
      <c r="H128" s="13" t="s">
        <v>540</v>
      </c>
      <c r="J128" s="13" t="s">
        <v>325</v>
      </c>
      <c r="K128" s="13" t="s">
        <v>541</v>
      </c>
      <c r="L128" s="13">
        <v>1920</v>
      </c>
      <c r="M128" s="13">
        <v>6</v>
      </c>
      <c r="N128" s="13" t="s">
        <v>338</v>
      </c>
      <c r="O128" s="13" t="s">
        <v>538</v>
      </c>
      <c r="P128" s="13">
        <v>10080</v>
      </c>
      <c r="R128" s="13" t="s">
        <v>110</v>
      </c>
      <c r="S128" s="13" t="s">
        <v>339</v>
      </c>
      <c r="T128" s="13" t="s">
        <v>340</v>
      </c>
      <c r="U128" s="13" t="s">
        <v>113</v>
      </c>
      <c r="V128" s="13">
        <v>0</v>
      </c>
      <c r="W128" s="44">
        <f>IF($AX128="Cancelled","",IFERROR(((V128+INDEX(Variables!$B$6:$D$6,IFERROR(MATCH(IF($B128="Robusta","Robusta",(IF($B128="","Arabica",$B128))&amp;" - "&amp;(IF($C128="","Commercial",$C128))),Variables!$B$1:$D$1,0),1)))*22.0462)*(L128/16.67),""))</f>
        <v>738403.54668266338</v>
      </c>
      <c r="X128" s="55" t="s">
        <v>37</v>
      </c>
      <c r="Y128" s="13" t="str">
        <f>IF($AX128="Cancelled","",IF(X128="","",IFERROR(IF(INDEX(Variables!$B$38:$B$47,MATCH(X128,Variables!$A$38:$A$47,0))="Yes","Yes","No"),"No")))</f>
        <v>Yes</v>
      </c>
      <c r="Z128" s="58">
        <v>45678</v>
      </c>
      <c r="AB128" s="31">
        <v>45685</v>
      </c>
      <c r="AC128" s="13" t="str">
        <f t="shared" si="3"/>
        <v>Approved</v>
      </c>
      <c r="AF128" s="71">
        <v>45709</v>
      </c>
      <c r="AG128" s="35">
        <f>IF($AX128="Cancelled","",IFERROR(IF(F128="","",F128-Variables!$B$13),""))</f>
        <v>45701</v>
      </c>
      <c r="AH128" s="13">
        <f>IF($AX128="Cancelled","",IFERROR(IF(AB128="","",(AVERAGE(E128:F128)-AB128)-Variables!$B$14),""))</f>
        <v>-12.5</v>
      </c>
      <c r="AJ128" s="47">
        <v>45713</v>
      </c>
      <c r="AK128" s="14">
        <f>IF($AX128="Cancelled","",IFERROR(IF(AJ128="","",IF(AND(AB128="",AF128=""),"",IF(AF128&gt;AB128,AF128+Variables!$B$15+Variables!$B$16+Variables!$B$17-AJ128,AB128+Variables!$B$16+Variables!$B$17-AJ128))),""))</f>
        <v>11</v>
      </c>
      <c r="AL128" s="48" t="s">
        <v>114</v>
      </c>
      <c r="AM128" s="13" t="s">
        <v>168</v>
      </c>
      <c r="AN128" s="13" t="s">
        <v>146</v>
      </c>
      <c r="AP128" s="31">
        <v>45732</v>
      </c>
      <c r="AR128" s="13" t="s">
        <v>539</v>
      </c>
      <c r="AS128" s="31">
        <v>45732</v>
      </c>
      <c r="AU128" s="31">
        <v>45735</v>
      </c>
      <c r="AV128" s="13" t="s">
        <v>865</v>
      </c>
      <c r="AW128" s="31">
        <v>45735</v>
      </c>
      <c r="AX128" s="13" t="str">
        <f>IF(ISNUMBER(SEARCH("cancel",#REF!)),"Cancelled",IF(AND(AS128&lt;&gt;"",AU128&lt;&gt;"",AW128&lt;&gt;""),"Closed","Open"))</f>
        <v>Closed</v>
      </c>
      <c r="AY128" s="15" t="str">
        <f t="shared" si="4"/>
        <v>All dates received</v>
      </c>
      <c r="BD128" s="13">
        <f>IF($AX128="Cancelled","",IFERROR(IF(OR(AS128="",AJ128=""),"",(AJ128+Variables!$B$18-AS128)),""))</f>
        <v>-4</v>
      </c>
      <c r="BE128" s="13">
        <f>IF($AX128="Cancelled","",IFERROR(IF(OR(AW128="",AS128=""),"",(AS128+Variables!$B$19)-AW128),""))</f>
        <v>2</v>
      </c>
      <c r="BF128" s="44">
        <f>IF($AX128="Cancelled","",IFERROR(W128*INDEX(Variables!$B$7:$D$7,IFERROR(MATCH(IF($B128="Robusta","Robusta",(IF($B128="","Arabica",$B128))&amp;" - "&amp;(IF($C128="","Commercial",$C128))),Variables!$B$1:$D$1,0),1))*(BE128/365),""))</f>
        <v>260.89800097479912</v>
      </c>
      <c r="BG128" s="44">
        <f>IF($AX128="Cancelled","",IFERROR((W128*INDEX(Variables!$B$7:$D$7,IFERROR(MATCH(IF($B128="Robusta","Robusta",(IF($B128="","Arabica",$B128))&amp;" - "&amp;(IF($C128="","Commercial",$C128))),Variables!$B$1:$D$1,0),1))*IFERROR(IF(AB128="","",(AVERAGE(E128:F128)-AB128)-Variables!$B$14),"")/365)+(L128/16.67*INDEX(Variables!$B$8:$D$8,IFERROR(MATCH(IF($B128="Robusta","Robusta",(IF($B128="","Arabica",$B128))&amp;" - "&amp;(IF($C128="","Commercial",$C128))),Variables!$B$1:$D$1,0),1))*IFERROR(IF(AB128="","",(AVERAGE(E128:F128)-AB128)-Variables!$B$14),""))+(W128*INDEX(Variables!$B$9:$D$9,IFERROR(MATCH(IF($B128="Robusta","Robusta",(IF($B128="","Arabica",$B128))&amp;" - "&amp;(IF($C128="","Commercial",$C128))),Variables!$B$1:$D$1,0),1))*IFERROR(IF(AB128="","",(AVERAGE(E128:F128)-AB128)-Variables!$B$14),"")/365),""))</f>
        <v>-2851.6342481595248</v>
      </c>
      <c r="BH128" s="44">
        <f>IF($AX128="Cancelled","",IFERROR((W128*INDEX(Variables!$B$7:$D$7,IFERROR(MATCH(IF($B128="Robusta","Robusta",(IF($B128="","Arabica",$B128))&amp;" - "&amp;(IF($C128="","Commercial",$C128))),Variables!$B$1:$D$1,0),1))*AK128/365)+(L128/16.67*INDEX(Variables!$B$8:$D$8,IFERROR(MATCH(IF($B128="Robusta","Robusta",(IF($B128="","Arabica",$B128))&amp;" - "&amp;(IF($C128="","Commercial",$C128))),Variables!$B$1:$D$1,0),1))*AK128)+(W128*INDEX(Variables!$B$9:$D$9,IFERROR(MATCH(IF($B128="Robusta","Robusta",(IF($B128="","Arabica",$B128))&amp;" - "&amp;(IF($C128="","Commercial",$C128))),Variables!$B$1:$D$1,0),1))*AK128/365),""))</f>
        <v>2509.438138380382</v>
      </c>
      <c r="BI128" s="44">
        <f>IF($AX128="Cancelled","",IFERROR((W128*INDEX(Variables!$B$7:$D$7,IFERROR(MATCH(IF($B128="Robusta","Robusta",(IF($B128="","Arabica",$B128))&amp;" - "&amp;(IF($C128="","Commercial",$C128))),Variables!$B$1:$D$1,0),1))*BD128/365)+(L128/16.67*INDEX(Variables!$B$8:$D$8,IFERROR(MATCH(IF($B128="Robusta","Robusta",(IF($B128="","Arabica",$B128))&amp;" - "&amp;(IF($C128="","Commercial",$C128))),Variables!$B$1:$D$1,0),1))*BD128)+(W128*INDEX(Variables!$B$9:$D$9,IFERROR(MATCH(IF($B128="Robusta","Robusta",(IF($B128="","Arabica",$B128))&amp;" - "&amp;(IF($C128="","Commercial",$C128))),Variables!$B$1:$D$1,0),1))*BD128/365),""))</f>
        <v>-912.52295941104808</v>
      </c>
      <c r="BJ128" s="44">
        <f t="shared" si="5"/>
        <v>-16</v>
      </c>
      <c r="BK128" s="44">
        <f>IF($AX128="Cancelled","",IFERROR(IF(BJ128="","",(W128*INDEX(Variables!$B$7:$D$7,IFERROR(MATCH(IF($B128="Robusta","Robusta",(IF($B128="","Arabica",$B128))&amp;" - "&amp;(IF($C128="","Commercial",$C128))),Variables!$B$1:$D$1,0),1))*(BJ128/365))+(W128*INDEX(Variables!$B$9:$D$9,IFERROR(MATCH(IF($B128="Robusta","Robusta",(IF($B128="","Arabica",$B128))&amp;" - "&amp;(IF($C128="","Commercial",$C128))),Variables!$B$1:$D$1,0),1))*(BJ128/365))+(INDEX(Variables!$B$8:$D$8,IFERROR(MATCH(IF($B128="Robusta","Robusta",(IF($B128="","Arabica",$B128))&amp;" - "&amp;(IF($C128="","Commercial",$C128))),Variables!$B$1:$D$1,0),1))*L128/16.67)),""))</f>
        <v>-2018.0918376441923</v>
      </c>
    </row>
    <row r="129" spans="1:63">
      <c r="A129" s="13" t="s">
        <v>103</v>
      </c>
      <c r="B129" s="13" t="s">
        <v>104</v>
      </c>
      <c r="C129" s="13" t="s">
        <v>105</v>
      </c>
      <c r="D129" s="31">
        <v>45677</v>
      </c>
      <c r="E129" s="31">
        <v>45717</v>
      </c>
      <c r="F129" s="31">
        <v>45747</v>
      </c>
      <c r="G129" s="13">
        <v>3786623</v>
      </c>
      <c r="H129" s="13" t="s">
        <v>542</v>
      </c>
      <c r="J129" s="13" t="s">
        <v>447</v>
      </c>
      <c r="K129" s="13">
        <v>5185</v>
      </c>
      <c r="L129" s="13">
        <v>320</v>
      </c>
      <c r="M129" s="13">
        <v>1</v>
      </c>
      <c r="N129" s="13" t="s">
        <v>543</v>
      </c>
      <c r="O129" s="13" t="s">
        <v>538</v>
      </c>
      <c r="P129" s="13">
        <v>10080</v>
      </c>
      <c r="R129" s="13" t="s">
        <v>110</v>
      </c>
      <c r="S129" s="13" t="s">
        <v>154</v>
      </c>
      <c r="T129" s="13" t="s">
        <v>155</v>
      </c>
      <c r="U129" s="13" t="s">
        <v>125</v>
      </c>
      <c r="V129" s="13">
        <v>6</v>
      </c>
      <c r="W129" s="44">
        <f>IF($AX129="Cancelled","",IFERROR(((V129+INDEX(Variables!$B$6:$D$6,IFERROR(MATCH(IF($B129="Robusta","Robusta",(IF($B129="","Arabica",$B129))&amp;" - "&amp;(IF($C129="","Commercial",$C129))),Variables!$B$1:$D$1,0),1)))*22.0462)*(L129/16.67),""))</f>
        <v>125606.47217756447</v>
      </c>
      <c r="X129" s="55" t="s">
        <v>37</v>
      </c>
      <c r="Y129" s="13" t="str">
        <f>IF($AX129="Cancelled","",IF(X129="","",IFERROR(IF(INDEX(Variables!$B$38:$B$47,MATCH(X129,Variables!$A$38:$A$47,0))="Yes","Yes","No"),"No")))</f>
        <v>Yes</v>
      </c>
      <c r="Z129" s="58">
        <v>45691</v>
      </c>
      <c r="AB129" s="31">
        <v>45691</v>
      </c>
      <c r="AC129" s="13" t="str">
        <f t="shared" si="3"/>
        <v>Approved</v>
      </c>
      <c r="AF129" s="71">
        <v>45716</v>
      </c>
      <c r="AG129" s="35">
        <f>IF($AX129="Cancelled","",IFERROR(IF(F129="","",F129-Variables!$B$13),""))</f>
        <v>45732</v>
      </c>
      <c r="AH129" s="13">
        <f>IF($AX129="Cancelled","",IFERROR(IF(AB129="","",(AVERAGE(E129:F129)-AB129)-Variables!$B$14),""))</f>
        <v>11</v>
      </c>
      <c r="AJ129" s="47">
        <v>45717</v>
      </c>
      <c r="AK129" s="14">
        <f>IF($AX129="Cancelled","",IFERROR(IF(AJ129="","",IF(AND(AB129="",AF129=""),"",IF(AF129&gt;AB129,AF129+Variables!$B$15+Variables!$B$16+Variables!$B$17-AJ129,AB129+Variables!$B$16+Variables!$B$17-AJ129))),""))</f>
        <v>14</v>
      </c>
      <c r="AL129" s="48" t="s">
        <v>114</v>
      </c>
      <c r="AM129" s="13" t="s">
        <v>115</v>
      </c>
      <c r="AN129" s="13" t="s">
        <v>290</v>
      </c>
      <c r="AP129" s="31">
        <v>45726</v>
      </c>
      <c r="AR129" s="13">
        <v>250668133</v>
      </c>
      <c r="AS129" s="31">
        <v>45726</v>
      </c>
      <c r="AU129" s="31">
        <v>45730</v>
      </c>
      <c r="AV129" s="13" t="s">
        <v>865</v>
      </c>
      <c r="AW129" s="31">
        <v>45730</v>
      </c>
      <c r="AX129" s="13" t="str">
        <f>IF(ISNUMBER(SEARCH("cancel",#REF!)),"Cancelled",IF(AND(AS129&lt;&gt;"",AU129&lt;&gt;"",AW129&lt;&gt;""),"Closed","Open"))</f>
        <v>Closed</v>
      </c>
      <c r="AY129" s="15" t="str">
        <f t="shared" si="4"/>
        <v>All dates received</v>
      </c>
      <c r="BD129" s="13">
        <f>IF($AX129="Cancelled","",IFERROR(IF(OR(AS129="",AJ129=""),"",(AJ129+Variables!$B$18-AS129)),""))</f>
        <v>6</v>
      </c>
      <c r="BE129" s="13">
        <f>IF($AX129="Cancelled","",IFERROR(IF(OR(AW129="",AS129=""),"",(AS129+Variables!$B$19)-AW129),""))</f>
        <v>1</v>
      </c>
      <c r="BF129" s="44">
        <f>IF($AX129="Cancelled","",IFERROR(W129*INDEX(Variables!$B$7:$D$7,IFERROR(MATCH(IF($B129="Robusta","Robusta",(IF($B129="","Arabica",$B129))&amp;" - "&amp;(IF($C129="","Commercial",$C129))),Variables!$B$1:$D$1,0),1))*(BE129/365),""))</f>
        <v>22.190086740405885</v>
      </c>
      <c r="BG129" s="44">
        <f>IF($AX129="Cancelled","",IFERROR((W129*INDEX(Variables!$B$7:$D$7,IFERROR(MATCH(IF($B129="Robusta","Robusta",(IF($B129="","Arabica",$B129))&amp;" - "&amp;(IF($C129="","Commercial",$C129))),Variables!$B$1:$D$1,0),1))*IFERROR(IF(AB129="","",(AVERAGE(E129:F129)-AB129)-Variables!$B$14),"")/365)+(L129/16.67*INDEX(Variables!$B$8:$D$8,IFERROR(MATCH(IF($B129="Robusta","Robusta",(IF($B129="","Arabica",$B129))&amp;" - "&amp;(IF($C129="","Commercial",$C129))),Variables!$B$1:$D$1,0),1))*IFERROR(IF(AB129="","",(AVERAGE(E129:F129)-AB129)-Variables!$B$14),""))+(W129*INDEX(Variables!$B$9:$D$9,IFERROR(MATCH(IF($B129="Robusta","Robusta",(IF($B129="","Arabica",$B129))&amp;" - "&amp;(IF($C129="","Commercial",$C129))),Variables!$B$1:$D$1,0),1))*IFERROR(IF(AB129="","",(AVERAGE(E129:F129)-AB129)-Variables!$B$14),"")/365),""))</f>
        <v>423.23775760619986</v>
      </c>
      <c r="BH129" s="44">
        <f>IF($AX129="Cancelled","",IFERROR((W129*INDEX(Variables!$B$7:$D$7,IFERROR(MATCH(IF($B129="Robusta","Robusta",(IF($B129="","Arabica",$B129))&amp;" - "&amp;(IF($C129="","Commercial",$C129))),Variables!$B$1:$D$1,0),1))*AK129/365)+(L129/16.67*INDEX(Variables!$B$8:$D$8,IFERROR(MATCH(IF($B129="Robusta","Robusta",(IF($B129="","Arabica",$B129))&amp;" - "&amp;(IF($C129="","Commercial",$C129))),Variables!$B$1:$D$1,0),1))*AK129)+(W129*INDEX(Variables!$B$9:$D$9,IFERROR(MATCH(IF($B129="Robusta","Robusta",(IF($B129="","Arabica",$B129))&amp;" - "&amp;(IF($C129="","Commercial",$C129))),Variables!$B$1:$D$1,0),1))*AK129/365),""))</f>
        <v>538.66623695334522</v>
      </c>
      <c r="BI129" s="44">
        <f>IF($AX129="Cancelled","",IFERROR((W129*INDEX(Variables!$B$7:$D$7,IFERROR(MATCH(IF($B129="Robusta","Robusta",(IF($B129="","Arabica",$B129))&amp;" - "&amp;(IF($C129="","Commercial",$C129))),Variables!$B$1:$D$1,0),1))*BD129/365)+(L129/16.67*INDEX(Variables!$B$8:$D$8,IFERROR(MATCH(IF($B129="Robusta","Robusta",(IF($B129="","Arabica",$B129))&amp;" - "&amp;(IF($C129="","Commercial",$C129))),Variables!$B$1:$D$1,0),1))*BD129)+(W129*INDEX(Variables!$B$9:$D$9,IFERROR(MATCH(IF($B129="Robusta","Robusta",(IF($B129="","Arabica",$B129))&amp;" - "&amp;(IF($C129="","Commercial",$C129))),Variables!$B$1:$D$1,0),1))*BD129/365),""))</f>
        <v>230.8569586942908</v>
      </c>
      <c r="BJ129" s="44">
        <f t="shared" si="5"/>
        <v>21</v>
      </c>
      <c r="BK129" s="44">
        <f>IF($AX129="Cancelled","",IFERROR(IF(BJ129="","",(W129*INDEX(Variables!$B$7:$D$7,IFERROR(MATCH(IF($B129="Robusta","Robusta",(IF($B129="","Arabica",$B129))&amp;" - "&amp;(IF($C129="","Commercial",$C129))),Variables!$B$1:$D$1,0),1))*(BJ129/365))+(W129*INDEX(Variables!$B$9:$D$9,IFERROR(MATCH(IF($B129="Robusta","Robusta",(IF($B129="","Arabica",$B129))&amp;" - "&amp;(IF($C129="","Commercial",$C129))),Variables!$B$1:$D$1,0),1))*(BJ129/365))+(INDEX(Variables!$B$8:$D$8,IFERROR(MATCH(IF($B129="Robusta","Robusta",(IF($B129="","Arabica",$B129))&amp;" - "&amp;(IF($C129="","Commercial",$C129))),Variables!$B$1:$D$1,0),1))*L129/16.67)),""))</f>
        <v>487.99935543001783</v>
      </c>
    </row>
    <row r="130" spans="1:63">
      <c r="A130" s="13" t="s">
        <v>103</v>
      </c>
      <c r="B130" s="13" t="s">
        <v>104</v>
      </c>
      <c r="C130" s="13" t="s">
        <v>105</v>
      </c>
      <c r="D130" s="31">
        <v>45677</v>
      </c>
      <c r="E130" s="31">
        <v>45689</v>
      </c>
      <c r="F130" s="31">
        <v>45716</v>
      </c>
      <c r="G130" s="13">
        <v>3786624</v>
      </c>
      <c r="H130" s="13">
        <v>60175</v>
      </c>
      <c r="J130" s="13" t="s">
        <v>236</v>
      </c>
      <c r="K130" s="13">
        <v>5175</v>
      </c>
      <c r="L130" s="13">
        <v>320</v>
      </c>
      <c r="M130" s="13">
        <v>1</v>
      </c>
      <c r="N130" s="13" t="s">
        <v>544</v>
      </c>
      <c r="O130" s="13" t="s">
        <v>238</v>
      </c>
      <c r="P130" s="13">
        <v>10060</v>
      </c>
      <c r="R130" s="13" t="s">
        <v>239</v>
      </c>
      <c r="S130" s="13" t="s">
        <v>180</v>
      </c>
      <c r="T130" s="13" t="s">
        <v>253</v>
      </c>
      <c r="U130" s="13" t="s">
        <v>182</v>
      </c>
      <c r="V130" s="13">
        <v>15</v>
      </c>
      <c r="W130" s="44">
        <f>IF($AX130="Cancelled","",IFERROR(((V130+INDEX(Variables!$B$6:$D$6,IFERROR(MATCH(IF($B130="Robusta","Robusta",(IF($B130="","Arabica",$B130))&amp;" - "&amp;(IF($C130="","Commercial",$C130))),Variables!$B$1:$D$1,0),1)))*22.0462)*(L130/16.67),""))</f>
        <v>129415.29377324534</v>
      </c>
      <c r="X130" s="55" t="s">
        <v>37</v>
      </c>
      <c r="Y130" s="13" t="str">
        <f>IF($AX130="Cancelled","",IF(X130="","",IFERROR(IF(INDEX(Variables!$B$38:$B$47,MATCH(X130,Variables!$A$38:$A$47,0))="Yes","Yes","No"),"No")))</f>
        <v>Yes</v>
      </c>
      <c r="Z130" s="58">
        <v>45687</v>
      </c>
      <c r="AB130" s="31">
        <v>45701</v>
      </c>
      <c r="AC130" s="13" t="str">
        <f t="shared" ref="AC130:AC193" si="6">IF($AX130="Cancelled","",IF(ISNUMBER(AB130),"Approved",""))</f>
        <v>Approved</v>
      </c>
      <c r="AF130" s="71">
        <v>45687</v>
      </c>
      <c r="AG130" s="35">
        <f>IF($AX130="Cancelled","",IFERROR(IF(F130="","",F130-Variables!$B$13),""))</f>
        <v>45701</v>
      </c>
      <c r="AH130" s="13">
        <f>IF($AX130="Cancelled","",IFERROR(IF(AB130="","",(AVERAGE(E130:F130)-AB130)-Variables!$B$14),""))</f>
        <v>-28.5</v>
      </c>
      <c r="AJ130" s="47">
        <v>45710</v>
      </c>
      <c r="AK130" s="14">
        <f>IF($AX130="Cancelled","",IFERROR(IF(AJ130="","",IF(AND(AB130="",AF130=""),"",IF(AF130&gt;AB130,AF130+Variables!$B$15+Variables!$B$16+Variables!$B$17-AJ130,AB130+Variables!$B$16+Variables!$B$17-AJ130))),""))</f>
        <v>-1</v>
      </c>
      <c r="AL130" s="48" t="s">
        <v>114</v>
      </c>
      <c r="AM130" s="13" t="s">
        <v>188</v>
      </c>
      <c r="AN130" s="13" t="s">
        <v>195</v>
      </c>
      <c r="AP130" s="31">
        <v>45725</v>
      </c>
      <c r="AR130" s="13" t="s">
        <v>545</v>
      </c>
      <c r="AS130" s="31">
        <v>45725</v>
      </c>
      <c r="AU130" s="31">
        <v>45727</v>
      </c>
      <c r="AV130" s="13" t="s">
        <v>245</v>
      </c>
      <c r="AW130" s="31">
        <v>45733</v>
      </c>
      <c r="AX130" s="13" t="str">
        <f>IF(ISNUMBER(SEARCH("cancel",#REF!)),"Cancelled",IF(AND(AS130&lt;&gt;"",AU130&lt;&gt;"",AW130&lt;&gt;""),"Closed","Open"))</f>
        <v>Closed</v>
      </c>
      <c r="AY130" s="15" t="str">
        <f t="shared" ref="AY130:AY193" si="7">IF($AX130="Cancelled","",IF(AND(AS130&lt;&gt;"",AU130&lt;&gt;"",AW130&lt;&gt;""),"All dates received",_xlfn.TEXTJOIN(" and ",TRUE(),IF(AS130="","No sailing date",""),IF(AU130="","No shipping advice sent",""),IF(AW130="","No docs dispatch date",""))))</f>
        <v>All dates received</v>
      </c>
      <c r="BD130" s="13">
        <f>IF($AX130="Cancelled","",IFERROR(IF(OR(AS130="",AJ130=""),"",(AJ130+Variables!$B$18-AS130)),""))</f>
        <v>0</v>
      </c>
      <c r="BE130" s="13">
        <f>IF($AX130="Cancelled","",IFERROR(IF(OR(AW130="",AS130=""),"",(AS130+Variables!$B$19)-AW130),""))</f>
        <v>-3</v>
      </c>
      <c r="BF130" s="44">
        <f>IF($AX130="Cancelled","",IFERROR(W130*INDEX(Variables!$B$7:$D$7,IFERROR(MATCH(IF($B130="Robusta","Robusta",(IF($B130="","Arabica",$B130))&amp;" - "&amp;(IF($C130="","Commercial",$C130))),Variables!$B$1:$D$1,0),1))*(BE130/365),""))</f>
        <v>-68.588900187494474</v>
      </c>
      <c r="BG130" s="44">
        <f>IF($AX130="Cancelled","",IFERROR((W130*INDEX(Variables!$B$7:$D$7,IFERROR(MATCH(IF($B130="Robusta","Robusta",(IF($B130="","Arabica",$B130))&amp;" - "&amp;(IF($C130="","Commercial",$C130))),Variables!$B$1:$D$1,0),1))*IFERROR(IF(AB130="","",(AVERAGE(E130:F130)-AB130)-Variables!$B$14),"")/365)+(L130/16.67*INDEX(Variables!$B$8:$D$8,IFERROR(MATCH(IF($B130="Robusta","Robusta",(IF($B130="","Arabica",$B130))&amp;" - "&amp;(IF($C130="","Commercial",$C130))),Variables!$B$1:$D$1,0),1))*IFERROR(IF(AB130="","",(AVERAGE(E130:F130)-AB130)-Variables!$B$14),""))+(W130*INDEX(Variables!$B$9:$D$9,IFERROR(MATCH(IF($B130="Robusta","Robusta",(IF($B130="","Arabica",$B130))&amp;" - "&amp;(IF($C130="","Commercial",$C130))),Variables!$B$1:$D$1,0),1))*IFERROR(IF(AB130="","",(AVERAGE(E130:F130)-AB130)-Variables!$B$14),"")/365),""))</f>
        <v>-1115.9948630437739</v>
      </c>
      <c r="BH130" s="44">
        <f>IF($AX130="Cancelled","",IFERROR((W130*INDEX(Variables!$B$7:$D$7,IFERROR(MATCH(IF($B130="Robusta","Robusta",(IF($B130="","Arabica",$B130))&amp;" - "&amp;(IF($C130="","Commercial",$C130))),Variables!$B$1:$D$1,0),1))*AK130/365)+(L130/16.67*INDEX(Variables!$B$8:$D$8,IFERROR(MATCH(IF($B130="Robusta","Robusta",(IF($B130="","Arabica",$B130))&amp;" - "&amp;(IF($C130="","Commercial",$C130))),Variables!$B$1:$D$1,0),1))*AK130)+(W130*INDEX(Variables!$B$9:$D$9,IFERROR(MATCH(IF($B130="Robusta","Robusta",(IF($B130="","Arabica",$B130))&amp;" - "&amp;(IF($C130="","Commercial",$C130))),Variables!$B$1:$D$1,0),1))*AK130/365),""))</f>
        <v>-39.157714492764001</v>
      </c>
      <c r="BI130" s="44">
        <f>IF($AX130="Cancelled","",IFERROR((W130*INDEX(Variables!$B$7:$D$7,IFERROR(MATCH(IF($B130="Robusta","Robusta",(IF($B130="","Arabica",$B130))&amp;" - "&amp;(IF($C130="","Commercial",$C130))),Variables!$B$1:$D$1,0),1))*BD130/365)+(L130/16.67*INDEX(Variables!$B$8:$D$8,IFERROR(MATCH(IF($B130="Robusta","Robusta",(IF($B130="","Arabica",$B130))&amp;" - "&amp;(IF($C130="","Commercial",$C130))),Variables!$B$1:$D$1,0),1))*BD130)+(W130*INDEX(Variables!$B$9:$D$9,IFERROR(MATCH(IF($B130="Robusta","Robusta",(IF($B130="","Arabica",$B130))&amp;" - "&amp;(IF($C130="","Commercial",$C130))),Variables!$B$1:$D$1,0),1))*BD130/365),""))</f>
        <v>0</v>
      </c>
      <c r="BJ130" s="44">
        <f t="shared" ref="BJ130:BJ193" si="8">IF($AX130="Cancelled","",IFERROR(IF(AS130="","",F130-AS130),""))</f>
        <v>-9</v>
      </c>
      <c r="BK130" s="44">
        <f>IF($AX130="Cancelled","",IFERROR(IF(BJ130="","",(W130*INDEX(Variables!$B$7:$D$7,IFERROR(MATCH(IF($B130="Robusta","Robusta",(IF($B130="","Arabica",$B130))&amp;" - "&amp;(IF($C130="","Commercial",$C130))),Variables!$B$1:$D$1,0),1))*(BJ130/365))+(W130*INDEX(Variables!$B$9:$D$9,IFERROR(MATCH(IF($B130="Robusta","Robusta",(IF($B130="","Arabica",$B130))&amp;" - "&amp;(IF($C130="","Commercial",$C130))),Variables!$B$1:$D$1,0),1))*(BJ130/365))+(INDEX(Variables!$B$8:$D$8,IFERROR(MATCH(IF($B130="Robusta","Robusta",(IF($B130="","Arabica",$B130))&amp;" - "&amp;(IF($C130="","Commercial",$C130))),Variables!$B$1:$D$1,0),1))*L130/16.67)),""))</f>
        <v>-192.41943043487601</v>
      </c>
    </row>
    <row r="131" spans="1:63">
      <c r="A131" s="13" t="s">
        <v>103</v>
      </c>
      <c r="B131" s="13" t="s">
        <v>104</v>
      </c>
      <c r="C131" s="13" t="s">
        <v>105</v>
      </c>
      <c r="D131" s="31">
        <v>45677</v>
      </c>
      <c r="E131" s="31">
        <v>45748</v>
      </c>
      <c r="F131" s="31">
        <v>45777</v>
      </c>
      <c r="G131" s="13">
        <v>3786625</v>
      </c>
      <c r="H131" s="13">
        <v>4600171</v>
      </c>
      <c r="J131" s="13" t="s">
        <v>236</v>
      </c>
      <c r="K131" s="13">
        <v>5224</v>
      </c>
      <c r="L131" s="13">
        <v>320</v>
      </c>
      <c r="M131" s="13">
        <v>1</v>
      </c>
      <c r="N131" s="13" t="s">
        <v>546</v>
      </c>
      <c r="O131" s="13" t="s">
        <v>538</v>
      </c>
      <c r="P131" s="13">
        <v>10080</v>
      </c>
      <c r="R131" s="13" t="s">
        <v>239</v>
      </c>
      <c r="S131" s="13" t="s">
        <v>180</v>
      </c>
      <c r="T131" s="13" t="s">
        <v>253</v>
      </c>
      <c r="U131" s="13" t="s">
        <v>182</v>
      </c>
      <c r="V131" s="13">
        <v>5</v>
      </c>
      <c r="W131" s="44">
        <f>IF($AX131="Cancelled","",IFERROR(((V131+INDEX(Variables!$B$6:$D$6,IFERROR(MATCH(IF($B131="Robusta","Robusta",(IF($B131="","Arabica",$B131))&amp;" - "&amp;(IF($C131="","Commercial",$C131))),Variables!$B$1:$D$1,0),1)))*22.0462)*(L131/16.67),""))</f>
        <v>125183.26977804437</v>
      </c>
      <c r="X131" s="55" t="s">
        <v>37</v>
      </c>
      <c r="Y131" s="13" t="str">
        <f>IF($AX131="Cancelled","",IF(X131="","",IFERROR(IF(INDEX(Variables!$B$38:$B$47,MATCH(X131,Variables!$A$38:$A$47,0))="Yes","Yes","No"),"No")))</f>
        <v>Yes</v>
      </c>
      <c r="Z131" s="58">
        <v>45707</v>
      </c>
      <c r="AB131" s="31">
        <v>45715</v>
      </c>
      <c r="AC131" s="13" t="str">
        <f t="shared" si="6"/>
        <v>Approved</v>
      </c>
      <c r="AF131" s="71">
        <v>45744</v>
      </c>
      <c r="AG131" s="35">
        <f>IF($AX131="Cancelled","",IFERROR(IF(F131="","",F131-Variables!$B$13),""))</f>
        <v>45762</v>
      </c>
      <c r="AH131" s="13">
        <f>IF($AX131="Cancelled","",IFERROR(IF(AB131="","",(AVERAGE(E131:F131)-AB131)-Variables!$B$14),""))</f>
        <v>17.5</v>
      </c>
      <c r="AJ131" s="47">
        <v>45754</v>
      </c>
      <c r="AK131" s="14">
        <f>IF($AX131="Cancelled","",IFERROR(IF(AJ131="","",IF(AND(AB131="",AF131=""),"",IF(AF131&gt;AB131,AF131+Variables!$B$15+Variables!$B$16+Variables!$B$17-AJ131,AB131+Variables!$B$16+Variables!$B$17-AJ131))),""))</f>
        <v>5</v>
      </c>
      <c r="AL131" s="48" t="s">
        <v>114</v>
      </c>
      <c r="AM131" s="13" t="s">
        <v>188</v>
      </c>
      <c r="AN131" s="13" t="s">
        <v>254</v>
      </c>
      <c r="AP131" s="31">
        <v>45770</v>
      </c>
      <c r="AR131" s="13" t="s">
        <v>547</v>
      </c>
      <c r="AS131" s="31">
        <v>45770</v>
      </c>
      <c r="AU131" s="31">
        <v>45772</v>
      </c>
      <c r="AV131" s="13" t="s">
        <v>548</v>
      </c>
      <c r="AW131" s="31">
        <v>45779</v>
      </c>
      <c r="AX131" s="13" t="str">
        <f>IF(ISNUMBER(SEARCH("cancel",#REF!)),"Cancelled",IF(AND(AS131&lt;&gt;"",AU131&lt;&gt;"",AW131&lt;&gt;""),"Closed","Open"))</f>
        <v>Closed</v>
      </c>
      <c r="AY131" s="15" t="str">
        <f t="shared" si="7"/>
        <v>All dates received</v>
      </c>
      <c r="BD131" s="13">
        <f>IF($AX131="Cancelled","",IFERROR(IF(OR(AS131="",AJ131=""),"",(AJ131+Variables!$B$18-AS131)),""))</f>
        <v>-1</v>
      </c>
      <c r="BE131" s="13">
        <f>IF($AX131="Cancelled","",IFERROR(IF(OR(AW131="",AS131=""),"",(AS131+Variables!$B$19)-AW131),""))</f>
        <v>-4</v>
      </c>
      <c r="BF131" s="44">
        <f>IF($AX131="Cancelled","",IFERROR(W131*INDEX(Variables!$B$7:$D$7,IFERROR(MATCH(IF($B131="Robusta","Robusta",(IF($B131="","Arabica",$B131))&amp;" - "&amp;(IF($C131="","Commercial",$C131))),Variables!$B$1:$D$1,0),1))*(BE131/365),""))</f>
        <v>-88.461289188841789</v>
      </c>
      <c r="BG131" s="44">
        <f>IF($AX131="Cancelled","",IFERROR((W131*INDEX(Variables!$B$7:$D$7,IFERROR(MATCH(IF($B131="Robusta","Robusta",(IF($B131="","Arabica",$B131))&amp;" - "&amp;(IF($C131="","Commercial",$C131))),Variables!$B$1:$D$1,0),1))*IFERROR(IF(AB131="","",(AVERAGE(E131:F131)-AB131)-Variables!$B$14),"")/365)+(L131/16.67*INDEX(Variables!$B$8:$D$8,IFERROR(MATCH(IF($B131="Robusta","Robusta",(IF($B131="","Arabica",$B131))&amp;" - "&amp;(IF($C131="","Commercial",$C131))),Variables!$B$1:$D$1,0),1))*IFERROR(IF(AB131="","",(AVERAGE(E131:F131)-AB131)-Variables!$B$14),""))+(W131*INDEX(Variables!$B$9:$D$9,IFERROR(MATCH(IF($B131="Robusta","Robusta",(IF($B131="","Arabica",$B131))&amp;" - "&amp;(IF($C131="","Commercial",$C131))),Variables!$B$1:$D$1,0),1))*IFERROR(IF(AB131="","",(AVERAGE(E131:F131)-AB131)-Variables!$B$14),"")/365),""))</f>
        <v>672.00755092149393</v>
      </c>
      <c r="BH131" s="44">
        <f>IF($AX131="Cancelled","",IFERROR((W131*INDEX(Variables!$B$7:$D$7,IFERROR(MATCH(IF($B131="Robusta","Robusta",(IF($B131="","Arabica",$B131))&amp;" - "&amp;(IF($C131="","Commercial",$C131))),Variables!$B$1:$D$1,0),1))*AK131/365)+(L131/16.67*INDEX(Variables!$B$8:$D$8,IFERROR(MATCH(IF($B131="Robusta","Robusta",(IF($B131="","Arabica",$B131))&amp;" - "&amp;(IF($C131="","Commercial",$C131))),Variables!$B$1:$D$1,0),1))*AK131)+(W131*INDEX(Variables!$B$9:$D$9,IFERROR(MATCH(IF($B131="Robusta","Robusta",(IF($B131="","Arabica",$B131))&amp;" - "&amp;(IF($C131="","Commercial",$C131))),Variables!$B$1:$D$1,0),1))*AK131/365),""))</f>
        <v>192.00215740614112</v>
      </c>
      <c r="BI131" s="44">
        <f>IF($AX131="Cancelled","",IFERROR((W131*INDEX(Variables!$B$7:$D$7,IFERROR(MATCH(IF($B131="Robusta","Robusta",(IF($B131="","Arabica",$B131))&amp;" - "&amp;(IF($C131="","Commercial",$C131))),Variables!$B$1:$D$1,0),1))*BD131/365)+(L131/16.67*INDEX(Variables!$B$8:$D$8,IFERROR(MATCH(IF($B131="Robusta","Robusta",(IF($B131="","Arabica",$B131))&amp;" - "&amp;(IF($C131="","Commercial",$C131))),Variables!$B$1:$D$1,0),1))*BD131)+(W131*INDEX(Variables!$B$9:$D$9,IFERROR(MATCH(IF($B131="Robusta","Robusta",(IF($B131="","Arabica",$B131))&amp;" - "&amp;(IF($C131="","Commercial",$C131))),Variables!$B$1:$D$1,0),1))*BD131/365),""))</f>
        <v>-38.400431481228225</v>
      </c>
      <c r="BJ131" s="44">
        <f t="shared" si="8"/>
        <v>7</v>
      </c>
      <c r="BK131" s="44">
        <f>IF($AX131="Cancelled","",IFERROR(IF(BJ131="","",(W131*INDEX(Variables!$B$7:$D$7,IFERROR(MATCH(IF($B131="Robusta","Robusta",(IF($B131="","Arabica",$B131))&amp;" - "&amp;(IF($C131="","Commercial",$C131))),Variables!$B$1:$D$1,0),1))*(BJ131/365))+(W131*INDEX(Variables!$B$9:$D$9,IFERROR(MATCH(IF($B131="Robusta","Robusta",(IF($B131="","Arabica",$B131))&amp;" - "&amp;(IF($C131="","Commercial",$C131))),Variables!$B$1:$D$1,0),1))*(BJ131/365))+(INDEX(Variables!$B$8:$D$8,IFERROR(MATCH(IF($B131="Robusta","Robusta",(IF($B131="","Arabica",$B131))&amp;" - "&amp;(IF($C131="","Commercial",$C131))),Variables!$B$1:$D$1,0),1))*L131/16.67)),""))</f>
        <v>172.80302036859757</v>
      </c>
    </row>
    <row r="132" spans="1:63">
      <c r="A132" s="13" t="s">
        <v>103</v>
      </c>
      <c r="B132" s="13" t="s">
        <v>104</v>
      </c>
      <c r="C132" s="13" t="s">
        <v>105</v>
      </c>
      <c r="D132" s="31">
        <v>45680</v>
      </c>
      <c r="E132" s="31">
        <v>45689</v>
      </c>
      <c r="F132" s="31">
        <v>45716</v>
      </c>
      <c r="G132" s="13">
        <v>3786626</v>
      </c>
      <c r="H132" s="13" t="s">
        <v>549</v>
      </c>
      <c r="J132" s="13" t="s">
        <v>550</v>
      </c>
      <c r="K132" s="13" t="s">
        <v>551</v>
      </c>
      <c r="L132" s="13">
        <v>320</v>
      </c>
      <c r="M132" s="13">
        <v>1</v>
      </c>
      <c r="N132" s="13" t="s">
        <v>552</v>
      </c>
      <c r="O132" s="13" t="s">
        <v>418</v>
      </c>
      <c r="P132" s="13">
        <v>10070</v>
      </c>
      <c r="R132" s="13" t="s">
        <v>239</v>
      </c>
      <c r="S132" s="13" t="s">
        <v>553</v>
      </c>
      <c r="T132" s="13" t="s">
        <v>112</v>
      </c>
      <c r="U132" s="13" t="s">
        <v>113</v>
      </c>
      <c r="V132" s="13">
        <v>8</v>
      </c>
      <c r="W132" s="44">
        <f>IF($AX132="Cancelled","",IFERROR(((V132+INDEX(Variables!$B$6:$D$6,IFERROR(MATCH(IF($B132="Robusta","Robusta",(IF($B132="","Arabica",$B132))&amp;" - "&amp;(IF($C132="","Commercial",$C132))),Variables!$B$1:$D$1,0),1)))*22.0462)*(L132/16.67),""))</f>
        <v>126452.87697660466</v>
      </c>
      <c r="X132" s="55" t="s">
        <v>39</v>
      </c>
      <c r="Y132" s="13" t="str">
        <f>IF($AX132="Cancelled","",IF(X132="","",IFERROR(IF(INDEX(Variables!$B$38:$B$47,MATCH(X132,Variables!$A$38:$A$47,0))="Yes","Yes","No"),"No")))</f>
        <v>No</v>
      </c>
      <c r="Z132" s="31" t="s">
        <v>39</v>
      </c>
      <c r="AB132" s="31" t="s">
        <v>39</v>
      </c>
      <c r="AC132" s="13" t="str">
        <f t="shared" si="6"/>
        <v/>
      </c>
      <c r="AF132" s="71">
        <v>45688</v>
      </c>
      <c r="AG132" s="35">
        <f>IF($AX132="Cancelled","",IFERROR(IF(F132="","",F132-Variables!$B$13),""))</f>
        <v>45701</v>
      </c>
      <c r="AH132" s="13" t="str">
        <f>IF($AX132="Cancelled","",IFERROR(IF(AB132="","",(AVERAGE(E132:F132)-AB132)-Variables!$B$14),""))</f>
        <v/>
      </c>
      <c r="AJ132" s="47">
        <v>45691</v>
      </c>
      <c r="AK132" s="14" t="str">
        <f>IF($AX132="Cancelled","",IFERROR(IF(AJ132="","",IF(AND(AB132="",AF132=""),"",IF(AF132&gt;AB132,AF132+Variables!$B$15+Variables!$B$16+Variables!$B$17-AJ132,AB132+Variables!$B$16+Variables!$B$17-AJ132))),""))</f>
        <v/>
      </c>
      <c r="AL132" s="48" t="s">
        <v>114</v>
      </c>
      <c r="AM132" s="13" t="s">
        <v>134</v>
      </c>
      <c r="AN132" s="13" t="s">
        <v>554</v>
      </c>
      <c r="AP132" s="31">
        <v>45703</v>
      </c>
      <c r="AR132" s="13" t="s">
        <v>555</v>
      </c>
      <c r="AS132" s="31">
        <v>45703</v>
      </c>
      <c r="AU132" s="31">
        <v>45705</v>
      </c>
      <c r="AV132" s="13" t="s">
        <v>865</v>
      </c>
      <c r="AW132" s="31">
        <v>45716</v>
      </c>
      <c r="AX132" s="13" t="str">
        <f>IF(ISNUMBER(SEARCH("cancel",#REF!)),"Cancelled",IF(AND(AS132&lt;&gt;"",AU132&lt;&gt;"",AW132&lt;&gt;""),"Closed","Open"))</f>
        <v>Closed</v>
      </c>
      <c r="AY132" s="15" t="str">
        <f t="shared" si="7"/>
        <v>All dates received</v>
      </c>
      <c r="BD132" s="13">
        <f>IF($AX132="Cancelled","",IFERROR(IF(OR(AS132="",AJ132=""),"",(AJ132+Variables!$B$18-AS132)),""))</f>
        <v>3</v>
      </c>
      <c r="BE132" s="13">
        <f>IF($AX132="Cancelled","",IFERROR(IF(OR(AW132="",AS132=""),"",(AS132+Variables!$B$19)-AW132),""))</f>
        <v>-8</v>
      </c>
      <c r="BF132" s="44">
        <f>IF($AX132="Cancelled","",IFERROR(W132*INDEX(Variables!$B$7:$D$7,IFERROR(MATCH(IF($B132="Robusta","Robusta",(IF($B132="","Arabica",$B132))&amp;" - "&amp;(IF($C132="","Commercial",$C132))),Variables!$B$1:$D$1,0),1))*(BE132/365),""))</f>
        <v>-178.71692501437408</v>
      </c>
      <c r="BG132" s="44" t="str">
        <f>IF($AX132="Cancelled","",IFERROR((W132*INDEX(Variables!$B$7:$D$7,IFERROR(MATCH(IF($B132="Robusta","Robusta",(IF($B132="","Arabica",$B132))&amp;" - "&amp;(IF($C132="","Commercial",$C132))),Variables!$B$1:$D$1,0),1))*IFERROR(IF(AB132="","",(AVERAGE(E132:F132)-AB132)-Variables!$B$14),"")/365)+(L132/16.67*INDEX(Variables!$B$8:$D$8,IFERROR(MATCH(IF($B132="Robusta","Robusta",(IF($B132="","Arabica",$B132))&amp;" - "&amp;(IF($C132="","Commercial",$C132))),Variables!$B$1:$D$1,0),1))*IFERROR(IF(AB132="","",(AVERAGE(E132:F132)-AB132)-Variables!$B$14),""))+(W132*INDEX(Variables!$B$9:$D$9,IFERROR(MATCH(IF($B132="Robusta","Robusta",(IF($B132="","Arabica",$B132))&amp;" - "&amp;(IF($C132="","Commercial",$C132))),Variables!$B$1:$D$1,0),1))*IFERROR(IF(AB132="","",(AVERAGE(E132:F132)-AB132)-Variables!$B$14),"")/365),""))</f>
        <v/>
      </c>
      <c r="BH132" s="44" t="str">
        <f>IF($AX132="Cancelled","",IFERROR((W132*INDEX(Variables!$B$7:$D$7,IFERROR(MATCH(IF($B132="Robusta","Robusta",(IF($B132="","Arabica",$B132))&amp;" - "&amp;(IF($C132="","Commercial",$C132))),Variables!$B$1:$D$1,0),1))*AK132/365)+(L132/16.67*INDEX(Variables!$B$8:$D$8,IFERROR(MATCH(IF($B132="Robusta","Robusta",(IF($B132="","Arabica",$B132))&amp;" - "&amp;(IF($C132="","Commercial",$C132))),Variables!$B$1:$D$1,0),1))*AK132)+(W132*INDEX(Variables!$B$9:$D$9,IFERROR(MATCH(IF($B132="Robusta","Robusta",(IF($B132="","Arabica",$B132))&amp;" - "&amp;(IF($C132="","Commercial",$C132))),Variables!$B$1:$D$1,0),1))*AK132/365),""))</f>
        <v/>
      </c>
      <c r="BI132" s="44">
        <f>IF($AX132="Cancelled","",IFERROR((W132*INDEX(Variables!$B$7:$D$7,IFERROR(MATCH(IF($B132="Robusta","Robusta",(IF($B132="","Arabica",$B132))&amp;" - "&amp;(IF($C132="","Commercial",$C132))),Variables!$B$1:$D$1,0),1))*BD132/365)+(L132/16.67*INDEX(Variables!$B$8:$D$8,IFERROR(MATCH(IF($B132="Robusta","Robusta",(IF($B132="","Arabica",$B132))&amp;" - "&amp;(IF($C132="","Commercial",$C132))),Variables!$B$1:$D$1,0),1))*BD132)+(W132*INDEX(Variables!$B$9:$D$9,IFERROR(MATCH(IF($B132="Robusta","Robusta",(IF($B132="","Arabica",$B132))&amp;" - "&amp;(IF($C132="","Commercial",$C132))),Variables!$B$1:$D$1,0),1))*BD132/365),""))</f>
        <v>115.88284915406688</v>
      </c>
      <c r="BJ132" s="44">
        <f t="shared" si="8"/>
        <v>13</v>
      </c>
      <c r="BK132" s="44">
        <f>IF($AX132="Cancelled","",IFERROR(IF(BJ132="","",(W132*INDEX(Variables!$B$7:$D$7,IFERROR(MATCH(IF($B132="Robusta","Robusta",(IF($B132="","Arabica",$B132))&amp;" - "&amp;(IF($C132="","Commercial",$C132))),Variables!$B$1:$D$1,0),1))*(BJ132/365))+(W132*INDEX(Variables!$B$9:$D$9,IFERROR(MATCH(IF($B132="Robusta","Robusta",(IF($B132="","Arabica",$B132))&amp;" - "&amp;(IF($C132="","Commercial",$C132))),Variables!$B$1:$D$1,0),1))*(BJ132/365))+(INDEX(Variables!$B$8:$D$8,IFERROR(MATCH(IF($B132="Robusta","Robusta",(IF($B132="","Arabica",$B132))&amp;" - "&amp;(IF($C132="","Commercial",$C132))),Variables!$B$1:$D$1,0),1))*L132/16.67)),""))</f>
        <v>310.15901300095641</v>
      </c>
    </row>
    <row r="133" spans="1:63">
      <c r="A133" s="13" t="s">
        <v>103</v>
      </c>
      <c r="B133" s="13" t="s">
        <v>104</v>
      </c>
      <c r="C133" s="13" t="s">
        <v>105</v>
      </c>
      <c r="D133" s="31">
        <v>45680</v>
      </c>
      <c r="E133" s="31">
        <v>45689</v>
      </c>
      <c r="F133" s="31">
        <v>45716</v>
      </c>
      <c r="G133" s="13">
        <v>3786626</v>
      </c>
      <c r="H133" s="13" t="s">
        <v>556</v>
      </c>
      <c r="J133" s="13" t="s">
        <v>550</v>
      </c>
      <c r="K133" s="13" t="s">
        <v>557</v>
      </c>
      <c r="L133" s="13">
        <v>320</v>
      </c>
      <c r="M133" s="13">
        <v>1</v>
      </c>
      <c r="N133" s="13" t="s">
        <v>552</v>
      </c>
      <c r="O133" s="13" t="s">
        <v>418</v>
      </c>
      <c r="P133" s="13">
        <v>10070</v>
      </c>
      <c r="R133" s="13" t="s">
        <v>239</v>
      </c>
      <c r="S133" s="13" t="s">
        <v>283</v>
      </c>
      <c r="T133" s="13" t="s">
        <v>112</v>
      </c>
      <c r="U133" s="13" t="s">
        <v>113</v>
      </c>
      <c r="V133" s="13">
        <v>8</v>
      </c>
      <c r="W133" s="44">
        <f>IF($AX133="Cancelled","",IFERROR(((V133+INDEX(Variables!$B$6:$D$6,IFERROR(MATCH(IF($B133="Robusta","Robusta",(IF($B133="","Arabica",$B133))&amp;" - "&amp;(IF($C133="","Commercial",$C133))),Variables!$B$1:$D$1,0),1)))*22.0462)*(L133/16.67),""))</f>
        <v>126452.87697660466</v>
      </c>
      <c r="X133" s="55" t="s">
        <v>39</v>
      </c>
      <c r="Y133" s="13" t="str">
        <f>IF($AX133="Cancelled","",IF(X133="","",IFERROR(IF(INDEX(Variables!$B$38:$B$47,MATCH(X133,Variables!$A$38:$A$47,0))="Yes","Yes","No"),"No")))</f>
        <v>No</v>
      </c>
      <c r="Z133" s="31" t="s">
        <v>39</v>
      </c>
      <c r="AB133" s="31" t="s">
        <v>39</v>
      </c>
      <c r="AC133" s="13" t="str">
        <f t="shared" si="6"/>
        <v/>
      </c>
      <c r="AF133" s="71">
        <v>45688</v>
      </c>
      <c r="AG133" s="35">
        <f>IF($AX133="Cancelled","",IFERROR(IF(F133="","",F133-Variables!$B$13),""))</f>
        <v>45701</v>
      </c>
      <c r="AH133" s="13" t="str">
        <f>IF($AX133="Cancelled","",IFERROR(IF(AB133="","",(AVERAGE(E133:F133)-AB133)-Variables!$B$14),""))</f>
        <v/>
      </c>
      <c r="AJ133" s="47">
        <v>45692</v>
      </c>
      <c r="AK133" s="14" t="str">
        <f>IF($AX133="Cancelled","",IFERROR(IF(AJ133="","",IF(AND(AB133="",AF133=""),"",IF(AF133&gt;AB133,AF133+Variables!$B$15+Variables!$B$16+Variables!$B$17-AJ133,AB133+Variables!$B$16+Variables!$B$17-AJ133))),""))</f>
        <v/>
      </c>
      <c r="AL133" s="48" t="s">
        <v>114</v>
      </c>
      <c r="AM133" s="13" t="s">
        <v>134</v>
      </c>
      <c r="AN133" s="13" t="s">
        <v>554</v>
      </c>
      <c r="AP133" s="31">
        <v>45703</v>
      </c>
      <c r="AR133" s="13" t="s">
        <v>555</v>
      </c>
      <c r="AS133" s="31">
        <v>45703</v>
      </c>
      <c r="AU133" s="31">
        <v>45705</v>
      </c>
      <c r="AV133" s="13" t="s">
        <v>865</v>
      </c>
      <c r="AW133" s="31">
        <v>45716</v>
      </c>
      <c r="AX133" s="13" t="str">
        <f>IF(ISNUMBER(SEARCH("cancel",#REF!)),"Cancelled",IF(AND(AS133&lt;&gt;"",AU133&lt;&gt;"",AW133&lt;&gt;""),"Closed","Open"))</f>
        <v>Closed</v>
      </c>
      <c r="AY133" s="15" t="str">
        <f t="shared" si="7"/>
        <v>All dates received</v>
      </c>
      <c r="BD133" s="13">
        <f>IF($AX133="Cancelled","",IFERROR(IF(OR(AS133="",AJ133=""),"",(AJ133+Variables!$B$18-AS133)),""))</f>
        <v>4</v>
      </c>
      <c r="BE133" s="13">
        <f>IF($AX133="Cancelled","",IFERROR(IF(OR(AW133="",AS133=""),"",(AS133+Variables!$B$19)-AW133),""))</f>
        <v>-8</v>
      </c>
      <c r="BF133" s="44">
        <f>IF($AX133="Cancelled","",IFERROR(W133*INDEX(Variables!$B$7:$D$7,IFERROR(MATCH(IF($B133="Robusta","Robusta",(IF($B133="","Arabica",$B133))&amp;" - "&amp;(IF($C133="","Commercial",$C133))),Variables!$B$1:$D$1,0),1))*(BE133/365),""))</f>
        <v>-178.71692501437408</v>
      </c>
      <c r="BG133" s="44" t="str">
        <f>IF($AX133="Cancelled","",IFERROR((W133*INDEX(Variables!$B$7:$D$7,IFERROR(MATCH(IF($B133="Robusta","Robusta",(IF($B133="","Arabica",$B133))&amp;" - "&amp;(IF($C133="","Commercial",$C133))),Variables!$B$1:$D$1,0),1))*IFERROR(IF(AB133="","",(AVERAGE(E133:F133)-AB133)-Variables!$B$14),"")/365)+(L133/16.67*INDEX(Variables!$B$8:$D$8,IFERROR(MATCH(IF($B133="Robusta","Robusta",(IF($B133="","Arabica",$B133))&amp;" - "&amp;(IF($C133="","Commercial",$C133))),Variables!$B$1:$D$1,0),1))*IFERROR(IF(AB133="","",(AVERAGE(E133:F133)-AB133)-Variables!$B$14),""))+(W133*INDEX(Variables!$B$9:$D$9,IFERROR(MATCH(IF($B133="Robusta","Robusta",(IF($B133="","Arabica",$B133))&amp;" - "&amp;(IF($C133="","Commercial",$C133))),Variables!$B$1:$D$1,0),1))*IFERROR(IF(AB133="","",(AVERAGE(E133:F133)-AB133)-Variables!$B$14),"")/365),""))</f>
        <v/>
      </c>
      <c r="BH133" s="44" t="str">
        <f>IF($AX133="Cancelled","",IFERROR((W133*INDEX(Variables!$B$7:$D$7,IFERROR(MATCH(IF($B133="Robusta","Robusta",(IF($B133="","Arabica",$B133))&amp;" - "&amp;(IF($C133="","Commercial",$C133))),Variables!$B$1:$D$1,0),1))*AK133/365)+(L133/16.67*INDEX(Variables!$B$8:$D$8,IFERROR(MATCH(IF($B133="Robusta","Robusta",(IF($B133="","Arabica",$B133))&amp;" - "&amp;(IF($C133="","Commercial",$C133))),Variables!$B$1:$D$1,0),1))*AK133)+(W133*INDEX(Variables!$B$9:$D$9,IFERROR(MATCH(IF($B133="Robusta","Robusta",(IF($B133="","Arabica",$B133))&amp;" - "&amp;(IF($C133="","Commercial",$C133))),Variables!$B$1:$D$1,0),1))*AK133/365),""))</f>
        <v/>
      </c>
      <c r="BI133" s="44">
        <f>IF($AX133="Cancelled","",IFERROR((W133*INDEX(Variables!$B$7:$D$7,IFERROR(MATCH(IF($B133="Robusta","Robusta",(IF($B133="","Arabica",$B133))&amp;" - "&amp;(IF($C133="","Commercial",$C133))),Variables!$B$1:$D$1,0),1))*BD133/365)+(L133/16.67*INDEX(Variables!$B$8:$D$8,IFERROR(MATCH(IF($B133="Robusta","Robusta",(IF($B133="","Arabica",$B133))&amp;" - "&amp;(IF($C133="","Commercial",$C133))),Variables!$B$1:$D$1,0),1))*BD133)+(W133*INDEX(Variables!$B$9:$D$9,IFERROR(MATCH(IF($B133="Robusta","Robusta",(IF($B133="","Arabica",$B133))&amp;" - "&amp;(IF($C133="","Commercial",$C133))),Variables!$B$1:$D$1,0),1))*BD133/365),""))</f>
        <v>154.51046553875582</v>
      </c>
      <c r="BJ133" s="44">
        <f t="shared" si="8"/>
        <v>13</v>
      </c>
      <c r="BK133" s="44">
        <f>IF($AX133="Cancelled","",IFERROR(IF(BJ133="","",(W133*INDEX(Variables!$B$7:$D$7,IFERROR(MATCH(IF($B133="Robusta","Robusta",(IF($B133="","Arabica",$B133))&amp;" - "&amp;(IF($C133="","Commercial",$C133))),Variables!$B$1:$D$1,0),1))*(BJ133/365))+(W133*INDEX(Variables!$B$9:$D$9,IFERROR(MATCH(IF($B133="Robusta","Robusta",(IF($B133="","Arabica",$B133))&amp;" - "&amp;(IF($C133="","Commercial",$C133))),Variables!$B$1:$D$1,0),1))*(BJ133/365))+(INDEX(Variables!$B$8:$D$8,IFERROR(MATCH(IF($B133="Robusta","Robusta",(IF($B133="","Arabica",$B133))&amp;" - "&amp;(IF($C133="","Commercial",$C133))),Variables!$B$1:$D$1,0),1))*L133/16.67)),""))</f>
        <v>310.15901300095641</v>
      </c>
    </row>
    <row r="134" spans="1:63">
      <c r="A134" s="13" t="s">
        <v>103</v>
      </c>
      <c r="B134" s="13" t="s">
        <v>104</v>
      </c>
      <c r="C134" s="13" t="s">
        <v>292</v>
      </c>
      <c r="D134" s="31">
        <v>45681</v>
      </c>
      <c r="E134" s="31">
        <v>45689</v>
      </c>
      <c r="F134" s="31">
        <v>45747</v>
      </c>
      <c r="G134" s="13">
        <v>3786627</v>
      </c>
      <c r="H134" s="13" t="s">
        <v>558</v>
      </c>
      <c r="J134" s="13" t="s">
        <v>447</v>
      </c>
      <c r="K134" s="13" t="s">
        <v>559</v>
      </c>
      <c r="L134" s="13">
        <v>50</v>
      </c>
      <c r="M134" s="13">
        <v>1</v>
      </c>
      <c r="N134" s="13" t="s">
        <v>560</v>
      </c>
      <c r="O134" s="13" t="s">
        <v>304</v>
      </c>
      <c r="P134" s="13">
        <v>10010</v>
      </c>
      <c r="R134" s="13" t="s">
        <v>252</v>
      </c>
      <c r="S134" s="13" t="s">
        <v>154</v>
      </c>
      <c r="T134" s="13" t="s">
        <v>155</v>
      </c>
      <c r="U134" s="13" t="s">
        <v>125</v>
      </c>
      <c r="V134" s="13">
        <v>175.85</v>
      </c>
      <c r="W134" s="44">
        <f>IF($AX134="Cancelled","",IFERROR(((V134+INDEX(Variables!$B$6:$D$6,IFERROR(MATCH(IF($B134="Robusta","Robusta",(IF($B134="","Arabica",$B134))&amp;" - "&amp;(IF($C134="","Commercial",$C134))),Variables!$B$1:$D$1,0),1)))*22.0462)*(L134/16.67),""))</f>
        <v>30857.406208758239</v>
      </c>
      <c r="X134" s="55" t="s">
        <v>39</v>
      </c>
      <c r="Y134" s="13" t="str">
        <f>IF($AX134="Cancelled","",IF(X134="","",IFERROR(IF(INDEX(Variables!$B$38:$B$47,MATCH(X134,Variables!$A$38:$A$47,0))="Yes","Yes","No"),"No")))</f>
        <v>No</v>
      </c>
      <c r="Z134" s="31"/>
      <c r="AB134" s="31">
        <v>45672.875</v>
      </c>
      <c r="AC134" s="13" t="str">
        <f t="shared" si="6"/>
        <v>Approved</v>
      </c>
      <c r="AF134" s="71">
        <f>AJ134-7</f>
        <v>45741</v>
      </c>
      <c r="AG134" s="36">
        <f>IF($AX134="Cancelled","",IFERROR(IF(F134="","",F134-Variables!$B$13),""))</f>
        <v>45732</v>
      </c>
      <c r="AH134" s="13">
        <f>IF($AX134="Cancelled","",IFERROR(IF(AB134="","",(AVERAGE(E134:F134)-AB134)-Variables!$B$14),""))</f>
        <v>15.125</v>
      </c>
      <c r="AJ134" s="47">
        <v>45748</v>
      </c>
      <c r="AK134" s="14">
        <f>IF($AX134="Cancelled","",IFERROR(IF(AJ134="","",IF(AND(AB134="",AF134=""),"",IF(AF134&gt;AB134,AF134+Variables!$B$15+Variables!$B$16+Variables!$B$17-AJ134,AB134+Variables!$B$16+Variables!$B$17-AJ134))),""))</f>
        <v>8</v>
      </c>
      <c r="AL134" s="48" t="s">
        <v>114</v>
      </c>
      <c r="AM134" s="13" t="s">
        <v>115</v>
      </c>
      <c r="AN134" s="13" t="s">
        <v>174</v>
      </c>
      <c r="AP134" s="31">
        <v>45749</v>
      </c>
      <c r="AR134" s="13">
        <v>252064493</v>
      </c>
      <c r="AS134" s="31">
        <v>45754</v>
      </c>
      <c r="AU134" s="31">
        <v>45758</v>
      </c>
      <c r="AV134" s="13" t="s">
        <v>865</v>
      </c>
      <c r="AW134" s="31">
        <v>45772</v>
      </c>
      <c r="AX134" s="13" t="str">
        <f>IF(ISNUMBER(SEARCH("cancel",#REF!)),"Cancelled",IF(AND(AS134&lt;&gt;"",AU134&lt;&gt;"",AW134&lt;&gt;""),"Closed","Open"))</f>
        <v>Closed</v>
      </c>
      <c r="AY134" s="15" t="str">
        <f t="shared" si="7"/>
        <v>All dates received</v>
      </c>
      <c r="BD134" s="13">
        <f>IF($AX134="Cancelled","",IFERROR(IF(OR(AS134="",AJ134=""),"",(AJ134+Variables!$B$18-AS134)),""))</f>
        <v>9</v>
      </c>
      <c r="BE134" s="13">
        <f>IF($AX134="Cancelled","",IFERROR(IF(OR(AW134="",AS134=""),"",(AS134+Variables!$B$19)-AW134),""))</f>
        <v>-13</v>
      </c>
      <c r="BF134" s="44">
        <f>IF($AX134="Cancelled","",IFERROR(W134*INDEX(Variables!$B$7:$D$7,IFERROR(MATCH(IF($B134="Robusta","Robusta",(IF($B134="","Arabica",$B134))&amp;" - "&amp;(IF($C134="","Commercial",$C134))),Variables!$B$1:$D$1,0),1))*(BE134/365),""))</f>
        <v>-70.867930691087892</v>
      </c>
      <c r="BG134" s="44">
        <f>IF($AX134="Cancelled","",IFERROR((W134*INDEX(Variables!$B$7:$D$7,IFERROR(MATCH(IF($B134="Robusta","Robusta",(IF($B134="","Arabica",$B134))&amp;" - "&amp;(IF($C134="","Commercial",$C134))),Variables!$B$1:$D$1,0),1))*IFERROR(IF(AB134="","",(AVERAGE(E134:F134)-AB134)-Variables!$B$14),"")/365)+(L134/16.67*INDEX(Variables!$B$8:$D$8,IFERROR(MATCH(IF($B134="Robusta","Robusta",(IF($B134="","Arabica",$B134))&amp;" - "&amp;(IF($C134="","Commercial",$C134))),Variables!$B$1:$D$1,0),1))*IFERROR(IF(AB134="","",(AVERAGE(E134:F134)-AB134)-Variables!$B$14),""))+(W134*INDEX(Variables!$B$9:$D$9,IFERROR(MATCH(IF($B134="Robusta","Robusta",(IF($B134="","Arabica",$B134))&amp;" - "&amp;(IF($C134="","Commercial",$C134))),Variables!$B$1:$D$1,0),1))*IFERROR(IF(AB134="","",(AVERAGE(E134:F134)-AB134)-Variables!$B$14),"")/365),""))</f>
        <v>121.32757851037792</v>
      </c>
      <c r="BH134" s="44">
        <f>IF($AX134="Cancelled","",IFERROR((W134*INDEX(Variables!$B$7:$D$7,IFERROR(MATCH(IF($B134="Robusta","Robusta",(IF($B134="","Arabica",$B134))&amp;" - "&amp;(IF($C134="","Commercial",$C134))),Variables!$B$1:$D$1,0),1))*AK134/365)+(L134/16.67*INDEX(Variables!$B$8:$D$8,IFERROR(MATCH(IF($B134="Robusta","Robusta",(IF($B134="","Arabica",$B134))&amp;" - "&amp;(IF($C134="","Commercial",$C134))),Variables!$B$1:$D$1,0),1))*AK134)+(W134*INDEX(Variables!$B$9:$D$9,IFERROR(MATCH(IF($B134="Robusta","Robusta",(IF($B134="","Arabica",$B134))&amp;" - "&amp;(IF($C134="","Commercial",$C134))),Variables!$B$1:$D$1,0),1))*AK134/365),""))</f>
        <v>64.173264666646162</v>
      </c>
      <c r="BI134" s="44">
        <f>IF($AX134="Cancelled","",IFERROR((W134*INDEX(Variables!$B$7:$D$7,IFERROR(MATCH(IF($B134="Robusta","Robusta",(IF($B134="","Arabica",$B134))&amp;" - "&amp;(IF($C134="","Commercial",$C134))),Variables!$B$1:$D$1,0),1))*BD134/365)+(L134/16.67*INDEX(Variables!$B$8:$D$8,IFERROR(MATCH(IF($B134="Robusta","Robusta",(IF($B134="","Arabica",$B134))&amp;" - "&amp;(IF($C134="","Commercial",$C134))),Variables!$B$1:$D$1,0),1))*BD134)+(W134*INDEX(Variables!$B$9:$D$9,IFERROR(MATCH(IF($B134="Robusta","Robusta",(IF($B134="","Arabica",$B134))&amp;" - "&amp;(IF($C134="","Commercial",$C134))),Variables!$B$1:$D$1,0),1))*BD134/365),""))</f>
        <v>72.194922749976953</v>
      </c>
      <c r="BJ134" s="44">
        <f t="shared" si="8"/>
        <v>-7</v>
      </c>
      <c r="BK134" s="44">
        <f>IF($AX134="Cancelled","",IFERROR(IF(BJ134="","",(W134*INDEX(Variables!$B$7:$D$7,IFERROR(MATCH(IF($B134="Robusta","Robusta",(IF($B134="","Arabica",$B134))&amp;" - "&amp;(IF($C134="","Commercial",$C134))),Variables!$B$1:$D$1,0),1))*(BJ134/365))+(W134*INDEX(Variables!$B$9:$D$9,IFERROR(MATCH(IF($B134="Robusta","Robusta",(IF($B134="","Arabica",$B134))&amp;" - "&amp;(IF($C134="","Commercial",$C134))),Variables!$B$1:$D$1,0),1))*(BJ134/365))+(INDEX(Variables!$B$8:$D$8,IFERROR(MATCH(IF($B134="Robusta","Robusta",(IF($B134="","Arabica",$B134))&amp;" - "&amp;(IF($C134="","Commercial",$C134))),Variables!$B$1:$D$1,0),1))*L134/16.67)),""))</f>
        <v>-36.151606583315399</v>
      </c>
    </row>
    <row r="135" spans="1:63">
      <c r="A135" s="13" t="s">
        <v>103</v>
      </c>
      <c r="B135" s="13" t="s">
        <v>104</v>
      </c>
      <c r="C135" s="13" t="s">
        <v>292</v>
      </c>
      <c r="D135" s="31">
        <v>45681</v>
      </c>
      <c r="E135" s="31">
        <v>45689</v>
      </c>
      <c r="F135" s="31">
        <v>45747</v>
      </c>
      <c r="G135" s="13">
        <v>3786628</v>
      </c>
      <c r="H135" s="13" t="s">
        <v>561</v>
      </c>
      <c r="J135" s="13" t="s">
        <v>447</v>
      </c>
      <c r="K135" s="13" t="s">
        <v>562</v>
      </c>
      <c r="L135" s="13">
        <v>34</v>
      </c>
      <c r="M135" s="13">
        <v>0</v>
      </c>
      <c r="N135" s="13" t="s">
        <v>563</v>
      </c>
      <c r="O135" s="13" t="s">
        <v>304</v>
      </c>
      <c r="P135" s="13">
        <v>10010</v>
      </c>
      <c r="R135" s="13" t="s">
        <v>252</v>
      </c>
      <c r="S135" s="13" t="s">
        <v>154</v>
      </c>
      <c r="T135" s="13" t="s">
        <v>155</v>
      </c>
      <c r="U135" s="13" t="s">
        <v>125</v>
      </c>
      <c r="V135" s="13">
        <v>175.85</v>
      </c>
      <c r="W135" s="44">
        <f>IF($AX135="Cancelled","",IFERROR(((V135+INDEX(Variables!$B$6:$D$6,IFERROR(MATCH(IF($B135="Robusta","Robusta",(IF($B135="","Arabica",$B135))&amp;" - "&amp;(IF($C135="","Commercial",$C135))),Variables!$B$1:$D$1,0),1)))*22.0462)*(L135/16.67),""))</f>
        <v>20983.036221955605</v>
      </c>
      <c r="X135" s="55" t="s">
        <v>39</v>
      </c>
      <c r="Y135" s="13" t="str">
        <f>IF($AX135="Cancelled","",IF(X135="","",IFERROR(IF(INDEX(Variables!$B$38:$B$47,MATCH(X135,Variables!$A$38:$A$47,0))="Yes","Yes","No"),"No")))</f>
        <v>No</v>
      </c>
      <c r="Z135" s="31"/>
      <c r="AB135" s="31">
        <v>45686.875</v>
      </c>
      <c r="AC135" s="13" t="str">
        <f t="shared" si="6"/>
        <v>Approved</v>
      </c>
      <c r="AF135" s="71">
        <f>AJ135-7</f>
        <v>45834</v>
      </c>
      <c r="AG135" s="36">
        <f>IF($AX135="Cancelled","",IFERROR(IF(F135="","",F135-Variables!$B$13),""))</f>
        <v>45732</v>
      </c>
      <c r="AH135" s="13">
        <f>IF($AX135="Cancelled","",IFERROR(IF(AB135="","",(AVERAGE(E135:F135)-AB135)-Variables!$B$14),""))</f>
        <v>1.125</v>
      </c>
      <c r="AJ135" s="47">
        <v>45841</v>
      </c>
      <c r="AK135" s="14">
        <f>IF($AX135="Cancelled","",IFERROR(IF(AJ135="","",IF(AND(AB135="",AF135=""),"",IF(AF135&gt;AB135,AF135+Variables!$B$15+Variables!$B$16+Variables!$B$17-AJ135,AB135+Variables!$B$16+Variables!$B$17-AJ135))),""))</f>
        <v>8</v>
      </c>
      <c r="AL135" s="48" t="s">
        <v>114</v>
      </c>
      <c r="AM135" s="13" t="s">
        <v>3240</v>
      </c>
      <c r="AN135" s="13" t="s">
        <v>376</v>
      </c>
      <c r="AP135" s="31">
        <v>45852</v>
      </c>
      <c r="AR135" s="13" t="s">
        <v>3253</v>
      </c>
      <c r="AS135" s="31">
        <v>45857</v>
      </c>
      <c r="AU135" s="31">
        <v>45867</v>
      </c>
      <c r="AV135" s="13" t="s">
        <v>865</v>
      </c>
      <c r="AW135" s="31">
        <v>45867</v>
      </c>
      <c r="AX135" s="13" t="str">
        <f>IF(ISNUMBER(SEARCH("cancel",#REF!)),"Cancelled",IF(AND(AS135&lt;&gt;"",AU135&lt;&gt;"",AW135&lt;&gt;""),"Closed","Open"))</f>
        <v>Closed</v>
      </c>
      <c r="AY135" s="15" t="str">
        <f t="shared" si="7"/>
        <v>All dates received</v>
      </c>
      <c r="BD135" s="13">
        <f>IF($AX135="Cancelled","",IFERROR(IF(OR(AS135="",AJ135=""),"",(AJ135+Variables!$B$18-AS135)),""))</f>
        <v>-1</v>
      </c>
      <c r="BE135" s="13">
        <f>IF($AX135="Cancelled","",IFERROR(IF(OR(AW135="",AS135=""),"",(AS135+Variables!$B$19)-AW135),""))</f>
        <v>-5</v>
      </c>
      <c r="BF135" s="44">
        <f>IF($AX135="Cancelled","",IFERROR(W135*INDEX(Variables!$B$7:$D$7,IFERROR(MATCH(IF($B135="Robusta","Robusta",(IF($B135="","Arabica",$B135))&amp;" - "&amp;(IF($C135="","Commercial",$C135))),Variables!$B$1:$D$1,0),1))*(BE135/365),""))</f>
        <v>-18.534689565361447</v>
      </c>
      <c r="BG135" s="44">
        <f>IF($AX135="Cancelled","",IFERROR((W135*INDEX(Variables!$B$7:$D$7,IFERROR(MATCH(IF($B135="Robusta","Robusta",(IF($B135="","Arabica",$B135))&amp;" - "&amp;(IF($C135="","Commercial",$C135))),Variables!$B$1:$D$1,0),1))*IFERROR(IF(AB135="","",(AVERAGE(E135:F135)-AB135)-Variables!$B$14),"")/365)+(L135/16.67*INDEX(Variables!$B$8:$D$8,IFERROR(MATCH(IF($B135="Robusta","Robusta",(IF($B135="","Arabica",$B135))&amp;" - "&amp;(IF($C135="","Commercial",$C135))),Variables!$B$1:$D$1,0),1))*IFERROR(IF(AB135="","",(AVERAGE(E135:F135)-AB135)-Variables!$B$14),""))+(W135*INDEX(Variables!$B$9:$D$9,IFERROR(MATCH(IF($B135="Robusta","Robusta",(IF($B135="","Arabica",$B135))&amp;" - "&amp;(IF($C135="","Commercial",$C135))),Variables!$B$1:$D$1,0),1))*IFERROR(IF(AB135="","",(AVERAGE(E135:F135)-AB135)-Variables!$B$14),"")/365),""))</f>
        <v>6.1365684337480406</v>
      </c>
      <c r="BH135" s="44">
        <f>IF($AX135="Cancelled","",IFERROR((W135*INDEX(Variables!$B$7:$D$7,IFERROR(MATCH(IF($B135="Robusta","Robusta",(IF($B135="","Arabica",$B135))&amp;" - "&amp;(IF($C135="","Commercial",$C135))),Variables!$B$1:$D$1,0),1))*AK135/365)+(L135/16.67*INDEX(Variables!$B$8:$D$8,IFERROR(MATCH(IF($B135="Robusta","Robusta",(IF($B135="","Arabica",$B135))&amp;" - "&amp;(IF($C135="","Commercial",$C135))),Variables!$B$1:$D$1,0),1))*AK135)+(W135*INDEX(Variables!$B$9:$D$9,IFERROR(MATCH(IF($B135="Robusta","Robusta",(IF($B135="","Arabica",$B135))&amp;" - "&amp;(IF($C135="","Commercial",$C135))),Variables!$B$1:$D$1,0),1))*AK135/365),""))</f>
        <v>43.637819973319395</v>
      </c>
      <c r="BI135" s="44">
        <f>IF($AX135="Cancelled","",IFERROR((W135*INDEX(Variables!$B$7:$D$7,IFERROR(MATCH(IF($B135="Robusta","Robusta",(IF($B135="","Arabica",$B135))&amp;" - "&amp;(IF($C135="","Commercial",$C135))),Variables!$B$1:$D$1,0),1))*BD135/365)+(L135/16.67*INDEX(Variables!$B$8:$D$8,IFERROR(MATCH(IF($B135="Robusta","Robusta",(IF($B135="","Arabica",$B135))&amp;" - "&amp;(IF($C135="","Commercial",$C135))),Variables!$B$1:$D$1,0),1))*BD135)+(W135*INDEX(Variables!$B$9:$D$9,IFERROR(MATCH(IF($B135="Robusta","Robusta",(IF($B135="","Arabica",$B135))&amp;" - "&amp;(IF($C135="","Commercial",$C135))),Variables!$B$1:$D$1,0),1))*BD135/365),""))</f>
        <v>-5.4547274966649244</v>
      </c>
      <c r="BJ135" s="44">
        <f t="shared" si="8"/>
        <v>-110</v>
      </c>
      <c r="BK135" s="44">
        <f>IF($AX135="Cancelled","",IFERROR(IF(BJ135="","",(W135*INDEX(Variables!$B$7:$D$7,IFERROR(MATCH(IF($B135="Robusta","Robusta",(IF($B135="","Arabica",$B135))&amp;" - "&amp;(IF($C135="","Commercial",$C135))),Variables!$B$1:$D$1,0),1))*(BJ135/365))+(W135*INDEX(Variables!$B$9:$D$9,IFERROR(MATCH(IF($B135="Robusta","Robusta",(IF($B135="","Arabica",$B135))&amp;" - "&amp;(IF($C135="","Commercial",$C135))),Variables!$B$1:$D$1,0),1))*(BJ135/365))+(INDEX(Variables!$B$8:$D$8,IFERROR(MATCH(IF($B135="Robusta","Robusta",(IF($B135="","Arabica",$B135))&amp;" - "&amp;(IF($C135="","Commercial",$C135))),Variables!$B$1:$D$1,0),1))*L135/16.67)),""))</f>
        <v>-411.32002463314166</v>
      </c>
    </row>
    <row r="136" spans="1:63">
      <c r="A136" s="13" t="s">
        <v>103</v>
      </c>
      <c r="B136" s="13" t="s">
        <v>104</v>
      </c>
      <c r="C136" s="13" t="s">
        <v>292</v>
      </c>
      <c r="D136" s="31">
        <v>45681</v>
      </c>
      <c r="E136" s="31">
        <v>45689</v>
      </c>
      <c r="F136" s="31">
        <v>45747</v>
      </c>
      <c r="G136" s="13">
        <v>3786629</v>
      </c>
      <c r="H136" s="13" t="s">
        <v>564</v>
      </c>
      <c r="J136" s="13" t="s">
        <v>447</v>
      </c>
      <c r="K136" s="13" t="s">
        <v>565</v>
      </c>
      <c r="L136" s="13">
        <v>19</v>
      </c>
      <c r="M136" s="13">
        <v>0</v>
      </c>
      <c r="N136" s="13" t="s">
        <v>566</v>
      </c>
      <c r="O136" s="13" t="s">
        <v>304</v>
      </c>
      <c r="P136" s="13">
        <v>10010</v>
      </c>
      <c r="R136" s="13" t="s">
        <v>252</v>
      </c>
      <c r="S136" s="13" t="s">
        <v>154</v>
      </c>
      <c r="T136" s="13" t="s">
        <v>155</v>
      </c>
      <c r="U136" s="13" t="s">
        <v>125</v>
      </c>
      <c r="V136" s="13">
        <v>176.85</v>
      </c>
      <c r="W136" s="44">
        <f>IF($AX136="Cancelled","",IFERROR(((V136+INDEX(Variables!$B$6:$D$6,IFERROR(MATCH(IF($B136="Robusta","Robusta",(IF($B136="","Arabica",$B136))&amp;" - "&amp;(IF($C136="","Commercial",$C136))),Variables!$B$1:$D$1,0),1)))*22.0462)*(L136/16.67),""))</f>
        <v>11750.942001799638</v>
      </c>
      <c r="X136" s="55" t="s">
        <v>39</v>
      </c>
      <c r="Y136" s="13" t="str">
        <f>IF($AX136="Cancelled","",IF(X136="","",IFERROR(IF(INDEX(Variables!$B$38:$B$47,MATCH(X136,Variables!$A$38:$A$47,0))="Yes","Yes","No"),"No")))</f>
        <v>No</v>
      </c>
      <c r="Z136" s="31"/>
      <c r="AB136" s="31">
        <v>45672.875</v>
      </c>
      <c r="AC136" s="13" t="str">
        <f t="shared" si="6"/>
        <v>Approved</v>
      </c>
      <c r="AF136" s="71">
        <f>AJ136-7</f>
        <v>45741</v>
      </c>
      <c r="AG136" s="36">
        <f>IF($AX136="Cancelled","",IFERROR(IF(F136="","",F136-Variables!$B$13),""))</f>
        <v>45732</v>
      </c>
      <c r="AH136" s="13">
        <f>IF($AX136="Cancelled","",IFERROR(IF(AB136="","",(AVERAGE(E136:F136)-AB136)-Variables!$B$14),""))</f>
        <v>15.125</v>
      </c>
      <c r="AJ136" s="47">
        <v>45748</v>
      </c>
      <c r="AK136" s="14">
        <f>IF($AX136="Cancelled","",IFERROR(IF(AJ136="","",IF(AND(AB136="",AF136=""),"",IF(AF136&gt;AB136,AF136+Variables!$B$15+Variables!$B$16+Variables!$B$17-AJ136,AB136+Variables!$B$16+Variables!$B$17-AJ136))),""))</f>
        <v>8</v>
      </c>
      <c r="AL136" s="48" t="s">
        <v>114</v>
      </c>
      <c r="AM136" s="13" t="s">
        <v>115</v>
      </c>
      <c r="AN136" s="13" t="s">
        <v>174</v>
      </c>
      <c r="AP136" s="31">
        <v>45749</v>
      </c>
      <c r="AR136" s="13">
        <v>252064493</v>
      </c>
      <c r="AS136" s="31">
        <v>45754</v>
      </c>
      <c r="AU136" s="31">
        <v>45758</v>
      </c>
      <c r="AV136" s="13" t="s">
        <v>865</v>
      </c>
      <c r="AW136" s="31">
        <v>45772</v>
      </c>
      <c r="AX136" s="13" t="str">
        <f>IF(ISNUMBER(SEARCH("cancel",#REF!)),"Cancelled",IF(AND(AS136&lt;&gt;"",AU136&lt;&gt;"",AW136&lt;&gt;""),"Closed","Open"))</f>
        <v>Closed</v>
      </c>
      <c r="AY136" s="15" t="str">
        <f t="shared" si="7"/>
        <v>All dates received</v>
      </c>
      <c r="BD136" s="13">
        <f>IF($AX136="Cancelled","",IFERROR(IF(OR(AS136="",AJ136=""),"",(AJ136+Variables!$B$18-AS136)),""))</f>
        <v>9</v>
      </c>
      <c r="BE136" s="13">
        <f>IF($AX136="Cancelled","",IFERROR(IF(OR(AW136="",AS136=""),"",(AS136+Variables!$B$19)-AW136),""))</f>
        <v>-13</v>
      </c>
      <c r="BF136" s="44">
        <f>IF($AX136="Cancelled","",IFERROR(W136*INDEX(Variables!$B$7:$D$7,IFERROR(MATCH(IF($B136="Robusta","Robusta",(IF($B136="","Arabica",$B136))&amp;" - "&amp;(IF($C136="","Commercial",$C136))),Variables!$B$1:$D$1,0),1))*(BE136/365),""))</f>
        <v>-26.987522467204879</v>
      </c>
      <c r="BG136" s="44">
        <f>IF($AX136="Cancelled","",IFERROR((W136*INDEX(Variables!$B$7:$D$7,IFERROR(MATCH(IF($B136="Robusta","Robusta",(IF($B136="","Arabica",$B136))&amp;" - "&amp;(IF($C136="","Commercial",$C136))),Variables!$B$1:$D$1,0),1))*IFERROR(IF(AB136="","",(AVERAGE(E136:F136)-AB136)-Variables!$B$14),"")/365)+(L136/16.67*INDEX(Variables!$B$8:$D$8,IFERROR(MATCH(IF($B136="Robusta","Robusta",(IF($B136="","Arabica",$B136))&amp;" - "&amp;(IF($C136="","Commercial",$C136))),Variables!$B$1:$D$1,0),1))*IFERROR(IF(AB136="","",(AVERAGE(E136:F136)-AB136)-Variables!$B$14),""))+(W136*INDEX(Variables!$B$9:$D$9,IFERROR(MATCH(IF($B136="Robusta","Robusta",(IF($B136="","Arabica",$B136))&amp;" - "&amp;(IF($C136="","Commercial",$C136))),Variables!$B$1:$D$1,0),1))*IFERROR(IF(AB136="","",(AVERAGE(E136:F136)-AB136)-Variables!$B$14),"")/365),""))</f>
        <v>46.172487398143645</v>
      </c>
      <c r="BH136" s="44">
        <f>IF($AX136="Cancelled","",IFERROR((W136*INDEX(Variables!$B$7:$D$7,IFERROR(MATCH(IF($B136="Robusta","Robusta",(IF($B136="","Arabica",$B136))&amp;" - "&amp;(IF($C136="","Commercial",$C136))),Variables!$B$1:$D$1,0),1))*AK136/365)+(L136/16.67*INDEX(Variables!$B$8:$D$8,IFERROR(MATCH(IF($B136="Robusta","Robusta",(IF($B136="","Arabica",$B136))&amp;" - "&amp;(IF($C136="","Commercial",$C136))),Variables!$B$1:$D$1,0),1))*AK136)+(W136*INDEX(Variables!$B$9:$D$9,IFERROR(MATCH(IF($B136="Robusta","Robusta",(IF($B136="","Arabica",$B136))&amp;" - "&amp;(IF($C136="","Commercial",$C136))),Variables!$B$1:$D$1,0),1))*AK136/365),""))</f>
        <v>24.421811516373495</v>
      </c>
      <c r="BI136" s="44">
        <f>IF($AX136="Cancelled","",IFERROR((W136*INDEX(Variables!$B$7:$D$7,IFERROR(MATCH(IF($B136="Robusta","Robusta",(IF($B136="","Arabica",$B136))&amp;" - "&amp;(IF($C136="","Commercial",$C136))),Variables!$B$1:$D$1,0),1))*BD136/365)+(L136/16.67*INDEX(Variables!$B$8:$D$8,IFERROR(MATCH(IF($B136="Robusta","Robusta",(IF($B136="","Arabica",$B136))&amp;" - "&amp;(IF($C136="","Commercial",$C136))),Variables!$B$1:$D$1,0),1))*BD136)+(W136*INDEX(Variables!$B$9:$D$9,IFERROR(MATCH(IF($B136="Robusta","Robusta",(IF($B136="","Arabica",$B136))&amp;" - "&amp;(IF($C136="","Commercial",$C136))),Variables!$B$1:$D$1,0),1))*BD136/365),""))</f>
        <v>27.474537955920184</v>
      </c>
      <c r="BJ136" s="44">
        <f t="shared" si="8"/>
        <v>-7</v>
      </c>
      <c r="BK136" s="44">
        <f>IF($AX136="Cancelled","",IFERROR(IF(BJ136="","",(W136*INDEX(Variables!$B$7:$D$7,IFERROR(MATCH(IF($B136="Robusta","Robusta",(IF($B136="","Arabica",$B136))&amp;" - "&amp;(IF($C136="","Commercial",$C136))),Variables!$B$1:$D$1,0),1))*(BJ136/365))+(W136*INDEX(Variables!$B$9:$D$9,IFERROR(MATCH(IF($B136="Robusta","Robusta",(IF($B136="","Arabica",$B136))&amp;" - "&amp;(IF($C136="","Commercial",$C136))),Variables!$B$1:$D$1,0),1))*(BJ136/365))+(INDEX(Variables!$B$8:$D$8,IFERROR(MATCH(IF($B136="Robusta","Robusta",(IF($B136="","Arabica",$B136))&amp;" - "&amp;(IF($C136="","Commercial",$C136))),Variables!$B$1:$D$1,0),1))*L136/16.67)),""))</f>
        <v>-13.76908507682681</v>
      </c>
    </row>
    <row r="137" spans="1:63">
      <c r="A137" s="13" t="s">
        <v>103</v>
      </c>
      <c r="B137" s="13" t="s">
        <v>104</v>
      </c>
      <c r="C137" s="13" t="s">
        <v>292</v>
      </c>
      <c r="D137" s="31">
        <v>45681</v>
      </c>
      <c r="E137" s="31">
        <v>45689</v>
      </c>
      <c r="F137" s="31">
        <v>45747</v>
      </c>
      <c r="G137" s="13">
        <v>3786630</v>
      </c>
      <c r="H137" s="13" t="s">
        <v>567</v>
      </c>
      <c r="J137" s="13" t="s">
        <v>447</v>
      </c>
      <c r="K137" s="13" t="s">
        <v>568</v>
      </c>
      <c r="L137" s="13">
        <v>19</v>
      </c>
      <c r="M137" s="13">
        <v>0</v>
      </c>
      <c r="N137" s="13" t="s">
        <v>569</v>
      </c>
      <c r="O137" s="13" t="s">
        <v>304</v>
      </c>
      <c r="P137" s="13">
        <v>10010</v>
      </c>
      <c r="R137" s="13" t="s">
        <v>252</v>
      </c>
      <c r="S137" s="13" t="s">
        <v>154</v>
      </c>
      <c r="T137" s="13" t="s">
        <v>155</v>
      </c>
      <c r="U137" s="13" t="s">
        <v>125</v>
      </c>
      <c r="V137" s="13">
        <v>171.85</v>
      </c>
      <c r="W137" s="44">
        <f>IF($AX137="Cancelled","",IFERROR(((V137+INDEX(Variables!$B$6:$D$6,IFERROR(MATCH(IF($B137="Robusta","Robusta",(IF($B137="","Arabica",$B137))&amp;" - "&amp;(IF($C137="","Commercial",$C137))),Variables!$B$1:$D$1,0),1)))*22.0462)*(L137/16.67),""))</f>
        <v>11625.30378944211</v>
      </c>
      <c r="X137" s="55" t="s">
        <v>39</v>
      </c>
      <c r="Y137" s="13" t="str">
        <f>IF($AX137="Cancelled","",IF(X137="","",IFERROR(IF(INDEX(Variables!$B$38:$B$47,MATCH(X137,Variables!$A$38:$A$47,0))="Yes","Yes","No"),"No")))</f>
        <v>No</v>
      </c>
      <c r="Z137" s="31"/>
      <c r="AB137" s="31">
        <v>45686.875</v>
      </c>
      <c r="AC137" s="13" t="str">
        <f t="shared" si="6"/>
        <v>Approved</v>
      </c>
      <c r="AF137" s="71">
        <f>AJ137-7</f>
        <v>45834</v>
      </c>
      <c r="AG137" s="36">
        <f>IF($AX137="Cancelled","",IFERROR(IF(F137="","",F137-Variables!$B$13),""))</f>
        <v>45732</v>
      </c>
      <c r="AH137" s="13">
        <f>IF($AX137="Cancelled","",IFERROR(IF(AB137="","",(AVERAGE(E137:F137)-AB137)-Variables!$B$14),""))</f>
        <v>1.125</v>
      </c>
      <c r="AJ137" s="47">
        <v>45841</v>
      </c>
      <c r="AK137" s="14">
        <f>IF($AX137="Cancelled","",IFERROR(IF(AJ137="","",IF(AND(AB137="",AF137=""),"",IF(AF137&gt;AB137,AF137+Variables!$B$15+Variables!$B$16+Variables!$B$17-AJ137,AB137+Variables!$B$16+Variables!$B$17-AJ137))),""))</f>
        <v>8</v>
      </c>
      <c r="AL137" s="48" t="s">
        <v>114</v>
      </c>
      <c r="AM137" s="13" t="s">
        <v>3240</v>
      </c>
      <c r="AN137" s="13" t="s">
        <v>376</v>
      </c>
      <c r="AP137" s="31">
        <v>45852</v>
      </c>
      <c r="AR137" s="13" t="s">
        <v>3253</v>
      </c>
      <c r="AS137" s="31">
        <v>45857</v>
      </c>
      <c r="AU137" s="31">
        <v>45867</v>
      </c>
      <c r="AV137" s="13" t="s">
        <v>865</v>
      </c>
      <c r="AW137" s="31">
        <v>45867</v>
      </c>
      <c r="AX137" s="13" t="str">
        <f>IF(ISNUMBER(SEARCH("cancel",#REF!)),"Cancelled",IF(AND(AS137&lt;&gt;"",AU137&lt;&gt;"",AW137&lt;&gt;""),"Closed","Open"))</f>
        <v>Closed</v>
      </c>
      <c r="AY137" s="15" t="str">
        <f t="shared" si="7"/>
        <v>All dates received</v>
      </c>
      <c r="BD137" s="13">
        <f>IF($AX137="Cancelled","",IFERROR(IF(OR(AS137="",AJ137=""),"",(AJ137+Variables!$B$18-AS137)),""))</f>
        <v>-1</v>
      </c>
      <c r="BE137" s="13">
        <f>IF($AX137="Cancelled","",IFERROR(IF(OR(AW137="",AS137=""),"",(AS137+Variables!$B$19)-AW137),""))</f>
        <v>-5</v>
      </c>
      <c r="BF137" s="44">
        <f>IF($AX137="Cancelled","",IFERROR(W137*INDEX(Variables!$B$7:$D$7,IFERROR(MATCH(IF($B137="Robusta","Robusta",(IF($B137="","Arabica",$B137))&amp;" - "&amp;(IF($C137="","Commercial",$C137))),Variables!$B$1:$D$1,0),1))*(BE137/365),""))</f>
        <v>-10.268837863172109</v>
      </c>
      <c r="BG137" s="44">
        <f>IF($AX137="Cancelled","",IFERROR((W137*INDEX(Variables!$B$7:$D$7,IFERROR(MATCH(IF($B137="Robusta","Robusta",(IF($B137="","Arabica",$B137))&amp;" - "&amp;(IF($C137="","Commercial",$C137))),Variables!$B$1:$D$1,0),1))*IFERROR(IF(AB137="","",(AVERAGE(E137:F137)-AB137)-Variables!$B$14),"")/365)+(L137/16.67*INDEX(Variables!$B$8:$D$8,IFERROR(MATCH(IF($B137="Robusta","Robusta",(IF($B137="","Arabica",$B137))&amp;" - "&amp;(IF($C137="","Commercial",$C137))),Variables!$B$1:$D$1,0),1))*IFERROR(IF(AB137="","",(AVERAGE(E137:F137)-AB137)-Variables!$B$14),""))+(W137*INDEX(Variables!$B$9:$D$9,IFERROR(MATCH(IF($B137="Robusta","Robusta",(IF($B137="","Arabica",$B137))&amp;" - "&amp;(IF($C137="","Commercial",$C137))),Variables!$B$1:$D$1,0),1))*IFERROR(IF(AB137="","",(AVERAGE(E137:F137)-AB137)-Variables!$B$14),"")/365),""))</f>
        <v>3.4090251751594334</v>
      </c>
      <c r="BH137" s="44">
        <f>IF($AX137="Cancelled","",IFERROR((W137*INDEX(Variables!$B$7:$D$7,IFERROR(MATCH(IF($B137="Robusta","Robusta",(IF($B137="","Arabica",$B137))&amp;" - "&amp;(IF($C137="","Commercial",$C137))),Variables!$B$1:$D$1,0),1))*AK137/365)+(L137/16.67*INDEX(Variables!$B$8:$D$8,IFERROR(MATCH(IF($B137="Robusta","Robusta",(IF($B137="","Arabica",$B137))&amp;" - "&amp;(IF($C137="","Commercial",$C137))),Variables!$B$1:$D$1,0),1))*AK137)+(W137*INDEX(Variables!$B$9:$D$9,IFERROR(MATCH(IF($B137="Robusta","Robusta",(IF($B137="","Arabica",$B137))&amp;" - "&amp;(IF($C137="","Commercial",$C137))),Variables!$B$1:$D$1,0),1))*AK137/365),""))</f>
        <v>24.24195680113375</v>
      </c>
      <c r="BI137" s="44">
        <f>IF($AX137="Cancelled","",IFERROR((W137*INDEX(Variables!$B$7:$D$7,IFERROR(MATCH(IF($B137="Robusta","Robusta",(IF($B137="","Arabica",$B137))&amp;" - "&amp;(IF($C137="","Commercial",$C137))),Variables!$B$1:$D$1,0),1))*BD137/365)+(L137/16.67*INDEX(Variables!$B$8:$D$8,IFERROR(MATCH(IF($B137="Robusta","Robusta",(IF($B137="","Arabica",$B137))&amp;" - "&amp;(IF($C137="","Commercial",$C137))),Variables!$B$1:$D$1,0),1))*BD137)+(W137*INDEX(Variables!$B$9:$D$9,IFERROR(MATCH(IF($B137="Robusta","Robusta",(IF($B137="","Arabica",$B137))&amp;" - "&amp;(IF($C137="","Commercial",$C137))),Variables!$B$1:$D$1,0),1))*BD137/365),""))</f>
        <v>-3.0302446001417187</v>
      </c>
      <c r="BJ137" s="44">
        <f t="shared" si="8"/>
        <v>-110</v>
      </c>
      <c r="BK137" s="44">
        <f>IF($AX137="Cancelled","",IFERROR(IF(BJ137="","",(W137*INDEX(Variables!$B$7:$D$7,IFERROR(MATCH(IF($B137="Robusta","Robusta",(IF($B137="","Arabica",$B137))&amp;" - "&amp;(IF($C137="","Commercial",$C137))),Variables!$B$1:$D$1,0),1))*(BJ137/365))+(W137*INDEX(Variables!$B$9:$D$9,IFERROR(MATCH(IF($B137="Robusta","Robusta",(IF($B137="","Arabica",$B137))&amp;" - "&amp;(IF($C137="","Commercial",$C137))),Variables!$B$1:$D$1,0),1))*(BJ137/365))+(INDEX(Variables!$B$8:$D$8,IFERROR(MATCH(IF($B137="Robusta","Robusta",(IF($B137="","Arabica",$B137))&amp;" - "&amp;(IF($C137="","Commercial",$C137))),Variables!$B$1:$D$1,0),1))*L137/16.67)),""))</f>
        <v>-227.87690601558904</v>
      </c>
    </row>
    <row r="138" spans="1:63">
      <c r="A138" s="13" t="s">
        <v>103</v>
      </c>
      <c r="B138" s="13" t="s">
        <v>104</v>
      </c>
      <c r="C138" s="13" t="s">
        <v>292</v>
      </c>
      <c r="D138" s="31">
        <v>45681</v>
      </c>
      <c r="E138" s="31">
        <v>45689</v>
      </c>
      <c r="F138" s="31">
        <v>45747</v>
      </c>
      <c r="G138" s="13">
        <v>3786631</v>
      </c>
      <c r="H138" s="13" t="s">
        <v>570</v>
      </c>
      <c r="J138" s="13" t="s">
        <v>447</v>
      </c>
      <c r="K138" s="13" t="s">
        <v>571</v>
      </c>
      <c r="L138" s="13">
        <v>15</v>
      </c>
      <c r="M138" s="13">
        <v>0</v>
      </c>
      <c r="N138" s="13" t="s">
        <v>572</v>
      </c>
      <c r="O138" s="13" t="s">
        <v>304</v>
      </c>
      <c r="P138" s="13">
        <v>10010</v>
      </c>
      <c r="R138" s="13" t="s">
        <v>252</v>
      </c>
      <c r="S138" s="13" t="s">
        <v>154</v>
      </c>
      <c r="T138" s="13" t="s">
        <v>155</v>
      </c>
      <c r="U138" s="13" t="s">
        <v>125</v>
      </c>
      <c r="V138" s="13">
        <v>158.85</v>
      </c>
      <c r="W138" s="44">
        <f>IF($AX138="Cancelled","",IFERROR(((V138+INDEX(Variables!$B$6:$D$6,IFERROR(MATCH(IF($B138="Robusta","Robusta",(IF($B138="","Arabica",$B138))&amp;" - "&amp;(IF($C138="","Commercial",$C138))),Variables!$B$1:$D$1,0),1)))*22.0462)*(L138/16.67),""))</f>
        <v>8919.9824505098968</v>
      </c>
      <c r="X138" s="55" t="s">
        <v>39</v>
      </c>
      <c r="Y138" s="13" t="str">
        <f>IF($AX138="Cancelled","",IF(X138="","",IFERROR(IF(INDEX(Variables!$B$38:$B$47,MATCH(X138,Variables!$A$38:$A$47,0))="Yes","Yes","No"),"No")))</f>
        <v>No</v>
      </c>
      <c r="Z138" s="31"/>
      <c r="AB138" s="31">
        <v>45686.875</v>
      </c>
      <c r="AC138" s="13" t="str">
        <f t="shared" si="6"/>
        <v>Approved</v>
      </c>
      <c r="AF138" s="71">
        <f>AJ138-7</f>
        <v>45834</v>
      </c>
      <c r="AG138" s="36">
        <f>IF($AX138="Cancelled","",IFERROR(IF(F138="","",F138-Variables!$B$13),""))</f>
        <v>45732</v>
      </c>
      <c r="AH138" s="13">
        <f>IF($AX138="Cancelled","",IFERROR(IF(AB138="","",(AVERAGE(E138:F138)-AB138)-Variables!$B$14),""))</f>
        <v>1.125</v>
      </c>
      <c r="AJ138" s="47">
        <v>45841</v>
      </c>
      <c r="AK138" s="14">
        <f>IF($AX138="Cancelled","",IFERROR(IF(AJ138="","",IF(AND(AB138="",AF138=""),"",IF(AF138&gt;AB138,AF138+Variables!$B$15+Variables!$B$16+Variables!$B$17-AJ138,AB138+Variables!$B$16+Variables!$B$17-AJ138))),""))</f>
        <v>8</v>
      </c>
      <c r="AL138" s="48" t="s">
        <v>114</v>
      </c>
      <c r="AM138" s="13" t="s">
        <v>3240</v>
      </c>
      <c r="AN138" s="13" t="s">
        <v>376</v>
      </c>
      <c r="AP138" s="31">
        <v>45852</v>
      </c>
      <c r="AR138" s="13" t="s">
        <v>3253</v>
      </c>
      <c r="AS138" s="31">
        <v>45857</v>
      </c>
      <c r="AU138" s="31">
        <v>45867</v>
      </c>
      <c r="AV138" s="13" t="s">
        <v>865</v>
      </c>
      <c r="AW138" s="31">
        <v>45867</v>
      </c>
      <c r="AX138" s="13" t="str">
        <f>IF(ISNUMBER(SEARCH("cancel",#REF!)),"Cancelled",IF(AND(AS138&lt;&gt;"",AU138&lt;&gt;"",AW138&lt;&gt;""),"Closed","Open"))</f>
        <v>Closed</v>
      </c>
      <c r="AY138" s="15" t="str">
        <f t="shared" si="7"/>
        <v>All dates received</v>
      </c>
      <c r="BD138" s="13">
        <f>IF($AX138="Cancelled","",IFERROR(IF(OR(AS138="",AJ138=""),"",(AJ138+Variables!$B$18-AS138)),""))</f>
        <v>-1</v>
      </c>
      <c r="BE138" s="13">
        <f>IF($AX138="Cancelled","",IFERROR(IF(OR(AW138="",AS138=""),"",(AS138+Variables!$B$19)-AW138),""))</f>
        <v>-5</v>
      </c>
      <c r="BF138" s="44">
        <f>IF($AX138="Cancelled","",IFERROR(W138*INDEX(Variables!$B$7:$D$7,IFERROR(MATCH(IF($B138="Robusta","Robusta",(IF($B138="","Arabica",$B138))&amp;" - "&amp;(IF($C138="","Commercial",$C138))),Variables!$B$1:$D$1,0),1))*(BE138/365),""))</f>
        <v>-7.8791793475379359</v>
      </c>
      <c r="BG138" s="44">
        <f>IF($AX138="Cancelled","",IFERROR((W138*INDEX(Variables!$B$7:$D$7,IFERROR(MATCH(IF($B138="Robusta","Robusta",(IF($B138="","Arabica",$B138))&amp;" - "&amp;(IF($C138="","Commercial",$C138))),Variables!$B$1:$D$1,0),1))*IFERROR(IF(AB138="","",(AVERAGE(E138:F138)-AB138)-Variables!$B$14),"")/365)+(L138/16.67*INDEX(Variables!$B$8:$D$8,IFERROR(MATCH(IF($B138="Robusta","Robusta",(IF($B138="","Arabica",$B138))&amp;" - "&amp;(IF($C138="","Commercial",$C138))),Variables!$B$1:$D$1,0),1))*IFERROR(IF(AB138="","",(AVERAGE(E138:F138)-AB138)-Variables!$B$14),""))+(W138*INDEX(Variables!$B$9:$D$9,IFERROR(MATCH(IF($B138="Robusta","Robusta",(IF($B138="","Arabica",$B138))&amp;" - "&amp;(IF($C138="","Commercial",$C138))),Variables!$B$1:$D$1,0),1))*IFERROR(IF(AB138="","",(AVERAGE(E138:F138)-AB138)-Variables!$B$14),"")/365),""))</f>
        <v>2.6394203643946588</v>
      </c>
      <c r="BH138" s="44">
        <f>IF($AX138="Cancelled","",IFERROR((W138*INDEX(Variables!$B$7:$D$7,IFERROR(MATCH(IF($B138="Robusta","Robusta",(IF($B138="","Arabica",$B138))&amp;" - "&amp;(IF($C138="","Commercial",$C138))),Variables!$B$1:$D$1,0),1))*AK138/365)+(L138/16.67*INDEX(Variables!$B$8:$D$8,IFERROR(MATCH(IF($B138="Robusta","Robusta",(IF($B138="","Arabica",$B138))&amp;" - "&amp;(IF($C138="","Commercial",$C138))),Variables!$B$1:$D$1,0),1))*AK138)+(W138*INDEX(Variables!$B$9:$D$9,IFERROR(MATCH(IF($B138="Robusta","Robusta",(IF($B138="","Arabica",$B138))&amp;" - "&amp;(IF($C138="","Commercial",$C138))),Variables!$B$1:$D$1,0),1))*AK138/365),""))</f>
        <v>18.769211480139798</v>
      </c>
      <c r="BI138" s="44">
        <f>IF($AX138="Cancelled","",IFERROR((W138*INDEX(Variables!$B$7:$D$7,IFERROR(MATCH(IF($B138="Robusta","Robusta",(IF($B138="","Arabica",$B138))&amp;" - "&amp;(IF($C138="","Commercial",$C138))),Variables!$B$1:$D$1,0),1))*BD138/365)+(L138/16.67*INDEX(Variables!$B$8:$D$8,IFERROR(MATCH(IF($B138="Robusta","Robusta",(IF($B138="","Arabica",$B138))&amp;" - "&amp;(IF($C138="","Commercial",$C138))),Variables!$B$1:$D$1,0),1))*BD138)+(W138*INDEX(Variables!$B$9:$D$9,IFERROR(MATCH(IF($B138="Robusta","Robusta",(IF($B138="","Arabica",$B138))&amp;" - "&amp;(IF($C138="","Commercial",$C138))),Variables!$B$1:$D$1,0),1))*BD138/365),""))</f>
        <v>-2.3461514350174748</v>
      </c>
      <c r="BJ138" s="44">
        <f t="shared" si="8"/>
        <v>-110</v>
      </c>
      <c r="BK138" s="44">
        <f>IF($AX138="Cancelled","",IFERROR(IF(BJ138="","",(W138*INDEX(Variables!$B$7:$D$7,IFERROR(MATCH(IF($B138="Robusta","Robusta",(IF($B138="","Arabica",$B138))&amp;" - "&amp;(IF($C138="","Commercial",$C138))),Variables!$B$1:$D$1,0),1))*(BJ138/365))+(W138*INDEX(Variables!$B$9:$D$9,IFERROR(MATCH(IF($B138="Robusta","Robusta",(IF($B138="","Arabica",$B138))&amp;" - "&amp;(IF($C138="","Commercial",$C138))),Variables!$B$1:$D$1,0),1))*(BJ138/365))+(INDEX(Variables!$B$8:$D$8,IFERROR(MATCH(IF($B138="Robusta","Robusta",(IF($B138="","Arabica",$B138))&amp;" - "&amp;(IF($C138="","Commercial",$C138))),Variables!$B$1:$D$1,0),1))*L138/16.67)),""))</f>
        <v>-174.82665785192219</v>
      </c>
    </row>
    <row r="139" spans="1:63">
      <c r="A139" s="13" t="s">
        <v>103</v>
      </c>
      <c r="B139" s="13" t="s">
        <v>104</v>
      </c>
      <c r="C139" s="13" t="s">
        <v>292</v>
      </c>
      <c r="D139" s="31">
        <v>45681</v>
      </c>
      <c r="E139" s="31">
        <v>45689</v>
      </c>
      <c r="F139" s="31">
        <v>45747</v>
      </c>
      <c r="G139" s="13">
        <v>3786632</v>
      </c>
      <c r="H139" s="13" t="s">
        <v>573</v>
      </c>
      <c r="J139" s="13" t="s">
        <v>447</v>
      </c>
      <c r="K139" s="13" t="s">
        <v>574</v>
      </c>
      <c r="L139" s="13">
        <v>30</v>
      </c>
      <c r="M139" s="13">
        <v>0</v>
      </c>
      <c r="N139" s="13" t="s">
        <v>575</v>
      </c>
      <c r="O139" s="13" t="s">
        <v>576</v>
      </c>
      <c r="P139" s="13">
        <v>10020</v>
      </c>
      <c r="R139" s="13" t="s">
        <v>252</v>
      </c>
      <c r="S139" s="13" t="s">
        <v>154</v>
      </c>
      <c r="T139" s="13" t="s">
        <v>155</v>
      </c>
      <c r="U139" s="13" t="s">
        <v>125</v>
      </c>
      <c r="V139" s="13">
        <v>131.85</v>
      </c>
      <c r="W139" s="44">
        <f>IF($AX139="Cancelled","",IFERROR(((V139+INDEX(Variables!$B$6:$D$6,IFERROR(MATCH(IF($B139="Robusta","Robusta",(IF($B139="","Arabica",$B139))&amp;" - "&amp;(IF($C139="","Commercial",$C139))),Variables!$B$1:$D$1,0),1)))*22.0462)*(L139/16.67),""))</f>
        <v>16768.733827234551</v>
      </c>
      <c r="X139" s="55" t="s">
        <v>39</v>
      </c>
      <c r="Y139" s="13" t="str">
        <f>IF($AX139="Cancelled","",IF(X139="","",IFERROR(IF(INDEX(Variables!$B$38:$B$47,MATCH(X139,Variables!$A$38:$A$47,0))="Yes","Yes","No"),"No")))</f>
        <v>No</v>
      </c>
      <c r="Z139" s="31"/>
      <c r="AB139" s="31">
        <v>45672.875</v>
      </c>
      <c r="AC139" s="13" t="str">
        <f t="shared" si="6"/>
        <v>Approved</v>
      </c>
      <c r="AF139" s="71">
        <f>AJ139-7</f>
        <v>45741</v>
      </c>
      <c r="AG139" s="36">
        <f>IF($AX139="Cancelled","",IFERROR(IF(F139="","",F139-Variables!$B$13),""))</f>
        <v>45732</v>
      </c>
      <c r="AH139" s="13">
        <f>IF($AX139="Cancelled","",IFERROR(IF(AB139="","",(AVERAGE(E139:F139)-AB139)-Variables!$B$14),""))</f>
        <v>15.125</v>
      </c>
      <c r="AJ139" s="47">
        <v>45748</v>
      </c>
      <c r="AK139" s="14">
        <f>IF($AX139="Cancelled","",IFERROR(IF(AJ139="","",IF(AND(AB139="",AF139=""),"",IF(AF139&gt;AB139,AF139+Variables!$B$15+Variables!$B$16+Variables!$B$17-AJ139,AB139+Variables!$B$16+Variables!$B$17-AJ139))),""))</f>
        <v>8</v>
      </c>
      <c r="AL139" s="48" t="s">
        <v>114</v>
      </c>
      <c r="AM139" s="13" t="s">
        <v>115</v>
      </c>
      <c r="AN139" s="13" t="s">
        <v>174</v>
      </c>
      <c r="AP139" s="31">
        <v>45749</v>
      </c>
      <c r="AR139" s="13">
        <v>252064493</v>
      </c>
      <c r="AS139" s="31">
        <v>45754</v>
      </c>
      <c r="AU139" s="31">
        <v>45758</v>
      </c>
      <c r="AV139" s="13" t="s">
        <v>865</v>
      </c>
      <c r="AW139" s="31">
        <v>45772</v>
      </c>
      <c r="AX139" s="13" t="str">
        <f>IF(ISNUMBER(SEARCH("cancel",#REF!)),"Cancelled",IF(AND(AS139&lt;&gt;"",AU139&lt;&gt;"",AW139&lt;&gt;""),"Closed","Open"))</f>
        <v>Closed</v>
      </c>
      <c r="AY139" s="15" t="str">
        <f t="shared" si="7"/>
        <v>All dates received</v>
      </c>
      <c r="BD139" s="13">
        <f>IF($AX139="Cancelled","",IFERROR(IF(OR(AS139="",AJ139=""),"",(AJ139+Variables!$B$18-AS139)),""))</f>
        <v>9</v>
      </c>
      <c r="BE139" s="13">
        <f>IF($AX139="Cancelled","",IFERROR(IF(OR(AW139="",AS139=""),"",(AS139+Variables!$B$19)-AW139),""))</f>
        <v>-13</v>
      </c>
      <c r="BF139" s="44">
        <f>IF($AX139="Cancelled","",IFERROR(W139*INDEX(Variables!$B$7:$D$7,IFERROR(MATCH(IF($B139="Robusta","Robusta",(IF($B139="","Arabica",$B139))&amp;" - "&amp;(IF($C139="","Commercial",$C139))),Variables!$B$1:$D$1,0),1))*(BE139/365),""))</f>
        <v>-38.511515148297391</v>
      </c>
      <c r="BG139" s="44">
        <f>IF($AX139="Cancelled","",IFERROR((W139*INDEX(Variables!$B$7:$D$7,IFERROR(MATCH(IF($B139="Robusta","Robusta",(IF($B139="","Arabica",$B139))&amp;" - "&amp;(IF($C139="","Commercial",$C139))),Variables!$B$1:$D$1,0),1))*IFERROR(IF(AB139="","",(AVERAGE(E139:F139)-AB139)-Variables!$B$14),"")/365)+(L139/16.67*INDEX(Variables!$B$8:$D$8,IFERROR(MATCH(IF($B139="Robusta","Robusta",(IF($B139="","Arabica",$B139))&amp;" - "&amp;(IF($C139="","Commercial",$C139))),Variables!$B$1:$D$1,0),1))*IFERROR(IF(AB139="","",(AVERAGE(E139:F139)-AB139)-Variables!$B$14),""))+(W139*INDEX(Variables!$B$9:$D$9,IFERROR(MATCH(IF($B139="Robusta","Robusta",(IF($B139="","Arabica",$B139))&amp;" - "&amp;(IF($C139="","Commercial",$C139))),Variables!$B$1:$D$1,0),1))*IFERROR(IF(AB139="","",(AVERAGE(E139:F139)-AB139)-Variables!$B$14),"")/365),""))</f>
        <v>68.071811067066832</v>
      </c>
      <c r="BH139" s="44">
        <f>IF($AX139="Cancelled","",IFERROR((W139*INDEX(Variables!$B$7:$D$7,IFERROR(MATCH(IF($B139="Robusta","Robusta",(IF($B139="","Arabica",$B139))&amp;" - "&amp;(IF($C139="","Commercial",$C139))),Variables!$B$1:$D$1,0),1))*AK139/365)+(L139/16.67*INDEX(Variables!$B$8:$D$8,IFERROR(MATCH(IF($B139="Robusta","Robusta",(IF($B139="","Arabica",$B139))&amp;" - "&amp;(IF($C139="","Commercial",$C139))),Variables!$B$1:$D$1,0),1))*AK139)+(W139*INDEX(Variables!$B$9:$D$9,IFERROR(MATCH(IF($B139="Robusta","Robusta",(IF($B139="","Arabica",$B139))&amp;" - "&amp;(IF($C139="","Commercial",$C139))),Variables!$B$1:$D$1,0),1))*AK139/365),""))</f>
        <v>36.004924861919648</v>
      </c>
      <c r="BI139" s="44">
        <f>IF($AX139="Cancelled","",IFERROR((W139*INDEX(Variables!$B$7:$D$7,IFERROR(MATCH(IF($B139="Robusta","Robusta",(IF($B139="","Arabica",$B139))&amp;" - "&amp;(IF($C139="","Commercial",$C139))),Variables!$B$1:$D$1,0),1))*BD139/365)+(L139/16.67*INDEX(Variables!$B$8:$D$8,IFERROR(MATCH(IF($B139="Robusta","Robusta",(IF($B139="","Arabica",$B139))&amp;" - "&amp;(IF($C139="","Commercial",$C139))),Variables!$B$1:$D$1,0),1))*BD139)+(W139*INDEX(Variables!$B$9:$D$9,IFERROR(MATCH(IF($B139="Robusta","Robusta",(IF($B139="","Arabica",$B139))&amp;" - "&amp;(IF($C139="","Commercial",$C139))),Variables!$B$1:$D$1,0),1))*BD139/365),""))</f>
        <v>40.5055404696596</v>
      </c>
      <c r="BJ139" s="44">
        <f t="shared" si="8"/>
        <v>-7</v>
      </c>
      <c r="BK139" s="44">
        <f>IF($AX139="Cancelled","",IFERROR(IF(BJ139="","",(W139*INDEX(Variables!$B$7:$D$7,IFERROR(MATCH(IF($B139="Robusta","Robusta",(IF($B139="","Arabica",$B139))&amp;" - "&amp;(IF($C139="","Commercial",$C139))),Variables!$B$1:$D$1,0),1))*(BJ139/365))+(W139*INDEX(Variables!$B$9:$D$9,IFERROR(MATCH(IF($B139="Robusta","Robusta",(IF($B139="","Arabica",$B139))&amp;" - "&amp;(IF($C139="","Commercial",$C139))),Variables!$B$1:$D$1,0),1))*(BJ139/365))+(INDEX(Variables!$B$8:$D$8,IFERROR(MATCH(IF($B139="Robusta","Robusta",(IF($B139="","Arabica",$B139))&amp;" - "&amp;(IF($C139="","Commercial",$C139))),Variables!$B$1:$D$1,0),1))*L139/16.67)),""))</f>
        <v>-19.504309254179692</v>
      </c>
    </row>
    <row r="140" spans="1:63">
      <c r="A140" s="13" t="s">
        <v>103</v>
      </c>
      <c r="B140" s="13" t="s">
        <v>104</v>
      </c>
      <c r="C140" s="13" t="s">
        <v>292</v>
      </c>
      <c r="D140" s="31">
        <v>45681</v>
      </c>
      <c r="E140" s="31">
        <v>45689</v>
      </c>
      <c r="F140" s="31">
        <v>45747</v>
      </c>
      <c r="G140" s="13">
        <v>3786633</v>
      </c>
      <c r="H140" s="13" t="s">
        <v>577</v>
      </c>
      <c r="J140" s="13" t="s">
        <v>447</v>
      </c>
      <c r="K140" s="13" t="s">
        <v>578</v>
      </c>
      <c r="L140" s="13">
        <v>115</v>
      </c>
      <c r="M140" s="13">
        <v>0</v>
      </c>
      <c r="N140" s="13" t="s">
        <v>579</v>
      </c>
      <c r="O140" s="13" t="s">
        <v>304</v>
      </c>
      <c r="P140" s="13">
        <v>10010</v>
      </c>
      <c r="R140" s="13" t="s">
        <v>384</v>
      </c>
      <c r="S140" s="13" t="s">
        <v>154</v>
      </c>
      <c r="T140" s="13" t="s">
        <v>155</v>
      </c>
      <c r="U140" s="13" t="s">
        <v>125</v>
      </c>
      <c r="V140" s="13">
        <v>188.85</v>
      </c>
      <c r="W140" s="44">
        <f>IF($AX140="Cancelled","",IFERROR(((V140+INDEX(Variables!$B$6:$D$6,IFERROR(MATCH(IF($B140="Robusta","Robusta",(IF($B140="","Arabica",$B140))&amp;" - "&amp;(IF($C140="","Commercial",$C140))),Variables!$B$1:$D$1,0),1)))*22.0462)*(L140/16.67),""))</f>
        <v>72949.182990401911</v>
      </c>
      <c r="X140" s="55" t="s">
        <v>37</v>
      </c>
      <c r="Y140" s="13" t="str">
        <f>IF($AX140="Cancelled","",IF(X140="","",IFERROR(IF(INDEX(Variables!$B$38:$B$47,MATCH(X140,Variables!$A$38:$A$47,0))="Yes","Yes","No"),"No")))</f>
        <v>Yes</v>
      </c>
      <c r="Z140" s="31">
        <v>45840</v>
      </c>
      <c r="AB140" s="31" t="s">
        <v>580</v>
      </c>
      <c r="AC140" s="13" t="str">
        <f t="shared" si="6"/>
        <v/>
      </c>
      <c r="AF140" s="71">
        <f>AJ140-7</f>
        <v>45706</v>
      </c>
      <c r="AG140" s="36">
        <f>IF($AX140="Cancelled","",IFERROR(IF(F140="","",F140-Variables!$B$13),""))</f>
        <v>45732</v>
      </c>
      <c r="AH140" s="13">
        <f>IF($AX140="Cancelled","",IFERROR(IF(AB140="","",(AVERAGE(E140:F140)-AB140)-Variables!$B$14),""))</f>
        <v>-27</v>
      </c>
      <c r="AJ140" s="47">
        <v>45713</v>
      </c>
      <c r="AK140" s="14">
        <f>IF($AX140="Cancelled","",IFERROR(IF(AJ140="","",IF(AND(AB140="",AF140=""),"",IF(AF140&gt;AB140,AF140+Variables!$B$15+Variables!$B$16+Variables!$B$17-AJ140,AB140+Variables!$B$16+Variables!$B$17-AJ140))),""))</f>
        <v>10</v>
      </c>
      <c r="AL140" s="48" t="s">
        <v>114</v>
      </c>
      <c r="AM140" s="13" t="s">
        <v>115</v>
      </c>
      <c r="AN140" s="13" t="s">
        <v>290</v>
      </c>
      <c r="AP140" s="31">
        <v>45721</v>
      </c>
      <c r="AR140" s="13">
        <v>250600736</v>
      </c>
      <c r="AS140" s="31">
        <v>45726</v>
      </c>
      <c r="AU140" s="31">
        <v>45729</v>
      </c>
      <c r="AV140" s="13" t="s">
        <v>865</v>
      </c>
      <c r="AW140" s="31">
        <v>45733</v>
      </c>
      <c r="AX140" s="13" t="str">
        <f>IF(ISNUMBER(SEARCH("cancel",#REF!)),"Cancelled",IF(AND(AS140&lt;&gt;"",AU140&lt;&gt;"",AW140&lt;&gt;""),"Closed","Open"))</f>
        <v>Closed</v>
      </c>
      <c r="AY140" s="15" t="str">
        <f t="shared" si="7"/>
        <v>All dates received</v>
      </c>
      <c r="BD140" s="13">
        <f>IF($AX140="Cancelled","",IFERROR(IF(OR(AS140="",AJ140=""),"",(AJ140+Variables!$B$18-AS140)),""))</f>
        <v>2</v>
      </c>
      <c r="BE140" s="13">
        <f>IF($AX140="Cancelled","",IFERROR(IF(OR(AW140="",AS140=""),"",(AS140+Variables!$B$19)-AW140),""))</f>
        <v>-2</v>
      </c>
      <c r="BF140" s="44">
        <f>IF($AX140="Cancelled","",IFERROR(W140*INDEX(Variables!$B$7:$D$7,IFERROR(MATCH(IF($B140="Robusta","Robusta",(IF($B140="","Arabica",$B140))&amp;" - "&amp;(IF($C140="","Commercial",$C140))),Variables!$B$1:$D$1,0),1))*(BE140/365),""))</f>
        <v>-25.774924972184628</v>
      </c>
      <c r="BG140" s="44">
        <f>IF($AX140="Cancelled","",IFERROR((W140*INDEX(Variables!$B$7:$D$7,IFERROR(MATCH(IF($B140="Robusta","Robusta",(IF($B140="","Arabica",$B140))&amp;" - "&amp;(IF($C140="","Commercial",$C140))),Variables!$B$1:$D$1,0),1))*IFERROR(IF(AB140="","",(AVERAGE(E140:F140)-AB140)-Variables!$B$14),"")/365)+(L140/16.67*INDEX(Variables!$B$8:$D$8,IFERROR(MATCH(IF($B140="Robusta","Robusta",(IF($B140="","Arabica",$B140))&amp;" - "&amp;(IF($C140="","Commercial",$C140))),Variables!$B$1:$D$1,0),1))*IFERROR(IF(AB140="","",(AVERAGE(E140:F140)-AB140)-Variables!$B$14),""))+(W140*INDEX(Variables!$B$9:$D$9,IFERROR(MATCH(IF($B140="Robusta","Robusta",(IF($B140="","Arabica",$B140))&amp;" - "&amp;(IF($C140="","Commercial",$C140))),Variables!$B$1:$D$1,0),1))*IFERROR(IF(AB140="","",(AVERAGE(E140:F140)-AB140)-Variables!$B$14),"")/365),""))</f>
        <v>-507.69738221254141</v>
      </c>
      <c r="BH140" s="44">
        <f>IF($AX140="Cancelled","",IFERROR((W140*INDEX(Variables!$B$7:$D$7,IFERROR(MATCH(IF($B140="Robusta","Robusta",(IF($B140="","Arabica",$B140))&amp;" - "&amp;(IF($C140="","Commercial",$C140))),Variables!$B$1:$D$1,0),1))*AK140/365)+(L140/16.67*INDEX(Variables!$B$8:$D$8,IFERROR(MATCH(IF($B140="Robusta","Robusta",(IF($B140="","Arabica",$B140))&amp;" - "&amp;(IF($C140="","Commercial",$C140))),Variables!$B$1:$D$1,0),1))*AK140)+(W140*INDEX(Variables!$B$9:$D$9,IFERROR(MATCH(IF($B140="Robusta","Robusta",(IF($B140="","Arabica",$B140))&amp;" - "&amp;(IF($C140="","Commercial",$C140))),Variables!$B$1:$D$1,0),1))*AK140/365),""))</f>
        <v>188.03606748612643</v>
      </c>
      <c r="BI140" s="44">
        <f>IF($AX140="Cancelled","",IFERROR((W140*INDEX(Variables!$B$7:$D$7,IFERROR(MATCH(IF($B140="Robusta","Robusta",(IF($B140="","Arabica",$B140))&amp;" - "&amp;(IF($C140="","Commercial",$C140))),Variables!$B$1:$D$1,0),1))*BD140/365)+(L140/16.67*INDEX(Variables!$B$8:$D$8,IFERROR(MATCH(IF($B140="Robusta","Robusta",(IF($B140="","Arabica",$B140))&amp;" - "&amp;(IF($C140="","Commercial",$C140))),Variables!$B$1:$D$1,0),1))*BD140)+(W140*INDEX(Variables!$B$9:$D$9,IFERROR(MATCH(IF($B140="Robusta","Robusta",(IF($B140="","Arabica",$B140))&amp;" - "&amp;(IF($C140="","Commercial",$C140))),Variables!$B$1:$D$1,0),1))*BD140/365),""))</f>
        <v>37.607213497225295</v>
      </c>
      <c r="BJ140" s="44">
        <f t="shared" si="8"/>
        <v>21</v>
      </c>
      <c r="BK140" s="44">
        <f>IF($AX140="Cancelled","",IFERROR(IF(BJ140="","",(W140*INDEX(Variables!$B$7:$D$7,IFERROR(MATCH(IF($B140="Robusta","Robusta",(IF($B140="","Arabica",$B140))&amp;" - "&amp;(IF($C140="","Commercial",$C140))),Variables!$B$1:$D$1,0),1))*(BJ140/365))+(W140*INDEX(Variables!$B$9:$D$9,IFERROR(MATCH(IF($B140="Robusta","Robusta",(IF($B140="","Arabica",$B140))&amp;" - "&amp;(IF($C140="","Commercial",$C140))),Variables!$B$1:$D$1,0),1))*(BJ140/365))+(INDEX(Variables!$B$8:$D$8,IFERROR(MATCH(IF($B140="Robusta","Robusta",(IF($B140="","Arabica",$B140))&amp;" - "&amp;(IF($C140="","Commercial",$C140))),Variables!$B$1:$D$1,0),1))*L140/16.67)),""))</f>
        <v>279.87574172086556</v>
      </c>
    </row>
    <row r="141" spans="1:63">
      <c r="A141" s="13" t="s">
        <v>103</v>
      </c>
      <c r="B141" s="13" t="s">
        <v>104</v>
      </c>
      <c r="C141" s="13" t="s">
        <v>292</v>
      </c>
      <c r="D141" s="31">
        <v>45681</v>
      </c>
      <c r="E141" s="31">
        <v>45689</v>
      </c>
      <c r="F141" s="31">
        <v>45747</v>
      </c>
      <c r="G141" s="13">
        <v>3786634</v>
      </c>
      <c r="H141" s="13" t="s">
        <v>581</v>
      </c>
      <c r="J141" s="13" t="s">
        <v>447</v>
      </c>
      <c r="K141" s="13" t="s">
        <v>582</v>
      </c>
      <c r="L141" s="13">
        <v>60</v>
      </c>
      <c r="M141" s="13">
        <v>0</v>
      </c>
      <c r="N141" s="13" t="s">
        <v>583</v>
      </c>
      <c r="O141" s="13" t="s">
        <v>584</v>
      </c>
      <c r="P141" s="13">
        <v>10040</v>
      </c>
      <c r="R141" s="13" t="s">
        <v>252</v>
      </c>
      <c r="S141" s="13" t="s">
        <v>154</v>
      </c>
      <c r="T141" s="13" t="s">
        <v>155</v>
      </c>
      <c r="U141" s="13" t="s">
        <v>125</v>
      </c>
      <c r="V141" s="13">
        <v>58</v>
      </c>
      <c r="W141" s="44">
        <f>IF($AX141="Cancelled","",IFERROR(((V141+INDEX(Variables!$B$6:$D$6,IFERROR(MATCH(IF($B141="Robusta","Robusta",(IF($B141="","Arabica",$B141))&amp;" - "&amp;(IF($C141="","Commercial",$C141))),Variables!$B$1:$D$1,0),1)))*22.0462)*(L141/16.67),""))</f>
        <v>27677.436928614272</v>
      </c>
      <c r="X141" s="55" t="s">
        <v>37</v>
      </c>
      <c r="Y141" s="13" t="str">
        <f>IF($AX141="Cancelled","",IF(X141="","",IFERROR(IF(INDEX(Variables!$B$38:$B$47,MATCH(X141,Variables!$A$38:$A$47,0))="Yes","Yes","No"),"No")))</f>
        <v>Yes</v>
      </c>
      <c r="Z141" s="31">
        <v>45840</v>
      </c>
      <c r="AB141" s="31" t="s">
        <v>580</v>
      </c>
      <c r="AC141" s="13" t="str">
        <f t="shared" si="6"/>
        <v/>
      </c>
      <c r="AF141" s="71">
        <f>AJ141-7</f>
        <v>45706</v>
      </c>
      <c r="AG141" s="36">
        <f>IF($AX141="Cancelled","",IFERROR(IF(F141="","",F141-Variables!$B$13),""))</f>
        <v>45732</v>
      </c>
      <c r="AH141" s="13">
        <f>IF($AX141="Cancelled","",IFERROR(IF(AB141="","",(AVERAGE(E141:F141)-AB141)-Variables!$B$14),""))</f>
        <v>-27</v>
      </c>
      <c r="AJ141" s="47">
        <v>45713</v>
      </c>
      <c r="AK141" s="14">
        <f>IF($AX141="Cancelled","",IFERROR(IF(AJ141="","",IF(AND(AB141="",AF141=""),"",IF(AF141&gt;AB141,AF141+Variables!$B$15+Variables!$B$16+Variables!$B$17-AJ141,AB141+Variables!$B$16+Variables!$B$17-AJ141))),""))</f>
        <v>10</v>
      </c>
      <c r="AL141" s="48" t="s">
        <v>114</v>
      </c>
      <c r="AM141" s="13" t="s">
        <v>115</v>
      </c>
      <c r="AN141" s="13" t="s">
        <v>290</v>
      </c>
      <c r="AP141" s="31">
        <v>45721</v>
      </c>
      <c r="AR141" s="13">
        <v>250600736</v>
      </c>
      <c r="AS141" s="31">
        <v>45726</v>
      </c>
      <c r="AU141" s="31">
        <v>45729</v>
      </c>
      <c r="AV141" s="13" t="s">
        <v>865</v>
      </c>
      <c r="AW141" s="31">
        <v>45733</v>
      </c>
      <c r="AX141" s="13" t="str">
        <f>IF(ISNUMBER(SEARCH("cancel",#REF!)),"Cancelled",IF(AND(AS141&lt;&gt;"",AU141&lt;&gt;"",AW141&lt;&gt;""),"Closed","Open"))</f>
        <v>Closed</v>
      </c>
      <c r="AY141" s="15" t="str">
        <f t="shared" si="7"/>
        <v>All dates received</v>
      </c>
      <c r="BD141" s="13">
        <f>IF($AX141="Cancelled","",IFERROR(IF(OR(AS141="",AJ141=""),"",(AJ141+Variables!$B$18-AS141)),""))</f>
        <v>2</v>
      </c>
      <c r="BE141" s="13">
        <f>IF($AX141="Cancelled","",IFERROR(IF(OR(AW141="",AS141=""),"",(AS141+Variables!$B$19)-AW141),""))</f>
        <v>-2</v>
      </c>
      <c r="BF141" s="44">
        <f>IF($AX141="Cancelled","",IFERROR(W141*INDEX(Variables!$B$7:$D$7,IFERROR(MATCH(IF($B141="Robusta","Robusta",(IF($B141="","Arabica",$B141))&amp;" - "&amp;(IF($C141="","Commercial",$C141))),Variables!$B$1:$D$1,0),1))*(BE141/365),""))</f>
        <v>-9.7791891699632405</v>
      </c>
      <c r="BG141" s="44">
        <f>IF($AX141="Cancelled","",IFERROR((W141*INDEX(Variables!$B$7:$D$7,IFERROR(MATCH(IF($B141="Robusta","Robusta",(IF($B141="","Arabica",$B141))&amp;" - "&amp;(IF($C141="","Commercial",$C141))),Variables!$B$1:$D$1,0),1))*IFERROR(IF(AB141="","",(AVERAGE(E141:F141)-AB141)-Variables!$B$14),"")/365)+(L141/16.67*INDEX(Variables!$B$8:$D$8,IFERROR(MATCH(IF($B141="Robusta","Robusta",(IF($B141="","Arabica",$B141))&amp;" - "&amp;(IF($C141="","Commercial",$C141))),Variables!$B$1:$D$1,0),1))*IFERROR(IF(AB141="","",(AVERAGE(E141:F141)-AB141)-Variables!$B$14),""))+(W141*INDEX(Variables!$B$9:$D$9,IFERROR(MATCH(IF($B141="Robusta","Robusta",(IF($B141="","Arabica",$B141))&amp;" - "&amp;(IF($C141="","Commercial",$C141))),Variables!$B$1:$D$1,0),1))*IFERROR(IF(AB141="","",(AVERAGE(E141:F141)-AB141)-Variables!$B$14),"")/365),""))</f>
        <v>-214.72103417698713</v>
      </c>
      <c r="BH141" s="44">
        <f>IF($AX141="Cancelled","",IFERROR((W141*INDEX(Variables!$B$7:$D$7,IFERROR(MATCH(IF($B141="Robusta","Robusta",(IF($B141="","Arabica",$B141))&amp;" - "&amp;(IF($C141="","Commercial",$C141))),Variables!$B$1:$D$1,0),1))*AK141/365)+(L141/16.67*INDEX(Variables!$B$8:$D$8,IFERROR(MATCH(IF($B141="Robusta","Robusta",(IF($B141="","Arabica",$B141))&amp;" - "&amp;(IF($C141="","Commercial",$C141))),Variables!$B$1:$D$1,0),1))*AK141)+(W141*INDEX(Variables!$B$9:$D$9,IFERROR(MATCH(IF($B141="Robusta","Robusta",(IF($B141="","Arabica",$B141))&amp;" - "&amp;(IF($C141="","Commercial",$C141))),Variables!$B$1:$D$1,0),1))*AK141/365),""))</f>
        <v>79.526308954439685</v>
      </c>
      <c r="BI141" s="44">
        <f>IF($AX141="Cancelled","",IFERROR((W141*INDEX(Variables!$B$7:$D$7,IFERROR(MATCH(IF($B141="Robusta","Robusta",(IF($B141="","Arabica",$B141))&amp;" - "&amp;(IF($C141="","Commercial",$C141))),Variables!$B$1:$D$1,0),1))*BD141/365)+(L141/16.67*INDEX(Variables!$B$8:$D$8,IFERROR(MATCH(IF($B141="Robusta","Robusta",(IF($B141="","Arabica",$B141))&amp;" - "&amp;(IF($C141="","Commercial",$C141))),Variables!$B$1:$D$1,0),1))*BD141)+(W141*INDEX(Variables!$B$9:$D$9,IFERROR(MATCH(IF($B141="Robusta","Robusta",(IF($B141="","Arabica",$B141))&amp;" - "&amp;(IF($C141="","Commercial",$C141))),Variables!$B$1:$D$1,0),1))*BD141/365),""))</f>
        <v>15.905261790887936</v>
      </c>
      <c r="BJ141" s="44">
        <f t="shared" si="8"/>
        <v>21</v>
      </c>
      <c r="BK141" s="44">
        <f>IF($AX141="Cancelled","",IFERROR(IF(BJ141="","",(W141*INDEX(Variables!$B$7:$D$7,IFERROR(MATCH(IF($B141="Robusta","Robusta",(IF($B141="","Arabica",$B141))&amp;" - "&amp;(IF($C141="","Commercial",$C141))),Variables!$B$1:$D$1,0),1))*(BJ141/365))+(W141*INDEX(Variables!$B$9:$D$9,IFERROR(MATCH(IF($B141="Robusta","Robusta",(IF($B141="","Arabica",$B141))&amp;" - "&amp;(IF($C141="","Commercial",$C141))),Variables!$B$1:$D$1,0),1))*(BJ141/365))+(INDEX(Variables!$B$8:$D$8,IFERROR(MATCH(IF($B141="Robusta","Robusta",(IF($B141="","Arabica",$B141))&amp;" - "&amp;(IF($C141="","Commercial",$C141))),Variables!$B$1:$D$1,0),1))*L141/16.67)),""))</f>
        <v>107.00524880432333</v>
      </c>
    </row>
    <row r="142" spans="1:63">
      <c r="A142" s="13" t="s">
        <v>103</v>
      </c>
      <c r="B142" s="13" t="s">
        <v>104</v>
      </c>
      <c r="C142" s="13" t="s">
        <v>292</v>
      </c>
      <c r="D142" s="31">
        <v>45681</v>
      </c>
      <c r="E142" s="31">
        <v>45717</v>
      </c>
      <c r="F142" s="31">
        <v>45747</v>
      </c>
      <c r="G142" s="13">
        <v>3786635</v>
      </c>
      <c r="H142" s="13" t="s">
        <v>585</v>
      </c>
      <c r="J142" s="13" t="s">
        <v>586</v>
      </c>
      <c r="K142" s="13" t="s">
        <v>587</v>
      </c>
      <c r="L142" s="13">
        <v>160</v>
      </c>
      <c r="M142" s="13">
        <v>1</v>
      </c>
      <c r="N142" s="13" t="s">
        <v>588</v>
      </c>
      <c r="O142" s="13" t="s">
        <v>261</v>
      </c>
      <c r="P142" s="13">
        <v>10060</v>
      </c>
      <c r="R142" s="13" t="s">
        <v>239</v>
      </c>
      <c r="S142" s="13" t="s">
        <v>589</v>
      </c>
      <c r="T142" s="13" t="s">
        <v>340</v>
      </c>
      <c r="U142" s="13" t="s">
        <v>113</v>
      </c>
      <c r="V142" s="13">
        <v>40</v>
      </c>
      <c r="W142" s="44">
        <f>IF($AX142="Cancelled","",IFERROR(((V142+INDEX(Variables!$B$6:$D$6,IFERROR(MATCH(IF($B142="Robusta","Robusta",(IF($B142="","Arabica",$B142))&amp;" - "&amp;(IF($C142="","Commercial",$C142))),Variables!$B$1:$D$1,0),1)))*22.0462)*(L142/16.67),""))</f>
        <v>69997.676880623869</v>
      </c>
      <c r="X142" s="55" t="s">
        <v>37</v>
      </c>
      <c r="Y142" s="13" t="str">
        <f>IF($AX142="Cancelled","",IF(X142="","",IFERROR(IF(INDEX(Variables!$B$38:$B$47,MATCH(X142,Variables!$A$38:$A$47,0))="Yes","Yes","No"),"No")))</f>
        <v>Yes</v>
      </c>
      <c r="Z142" s="31">
        <v>45720.875</v>
      </c>
      <c r="AB142" s="31">
        <v>45740.875</v>
      </c>
      <c r="AC142" s="13" t="str">
        <f t="shared" si="6"/>
        <v>Approved</v>
      </c>
      <c r="AF142" s="71">
        <f>AJ142-7</f>
        <v>45749</v>
      </c>
      <c r="AG142" s="36">
        <f>IF($AX142="Cancelled","",IFERROR(IF(F142="","",F142-Variables!$B$13),""))</f>
        <v>45732</v>
      </c>
      <c r="AH142" s="13">
        <f>IF($AX142="Cancelled","",IFERROR(IF(AB142="","",(AVERAGE(E142:F142)-AB142)-Variables!$B$14),""))</f>
        <v>-38.875</v>
      </c>
      <c r="AJ142" s="47">
        <v>45756</v>
      </c>
      <c r="AK142" s="14">
        <f>IF($AX142="Cancelled","",IFERROR(IF(AJ142="","",IF(AND(AB142="",AF142=""),"",IF(AF142&gt;AB142,AF142+Variables!$B$15+Variables!$B$16+Variables!$B$17-AJ142,AB142+Variables!$B$16+Variables!$B$17-AJ142))),""))</f>
        <v>8</v>
      </c>
      <c r="AL142" s="48" t="s">
        <v>114</v>
      </c>
      <c r="AM142" s="13" t="s">
        <v>168</v>
      </c>
      <c r="AN142" s="13" t="s">
        <v>3244</v>
      </c>
      <c r="AP142" s="31">
        <v>45779</v>
      </c>
      <c r="AR142" s="13" t="s">
        <v>3254</v>
      </c>
      <c r="AS142" s="31">
        <v>45782</v>
      </c>
      <c r="AU142" s="31">
        <v>45786</v>
      </c>
      <c r="AV142" s="13" t="s">
        <v>197</v>
      </c>
      <c r="AW142" s="31">
        <v>45793</v>
      </c>
      <c r="AX142" s="13" t="str">
        <f>IF(ISNUMBER(SEARCH("cancel",#REF!)),"Cancelled",IF(AND(AS142&lt;&gt;"",AU142&lt;&gt;"",AW142&lt;&gt;""),"Closed","Open"))</f>
        <v>Closed</v>
      </c>
      <c r="AY142" s="15" t="str">
        <f t="shared" si="7"/>
        <v>All dates received</v>
      </c>
      <c r="BD142" s="13">
        <f>IF($AX142="Cancelled","",IFERROR(IF(OR(AS142="",AJ142=""),"",(AJ142+Variables!$B$18-AS142)),""))</f>
        <v>-11</v>
      </c>
      <c r="BE142" s="13">
        <f>IF($AX142="Cancelled","",IFERROR(IF(OR(AW142="",AS142=""),"",(AS142+Variables!$B$19)-AW142),""))</f>
        <v>-6</v>
      </c>
      <c r="BF142" s="44">
        <f>IF($AX142="Cancelled","",IFERROR(W142*INDEX(Variables!$B$7:$D$7,IFERROR(MATCH(IF($B142="Robusta","Robusta",(IF($B142="","Arabica",$B142))&amp;" - "&amp;(IF($C142="","Commercial",$C142))),Variables!$B$1:$D$1,0),1))*(BE142/365),""))</f>
        <v>-74.196233427152279</v>
      </c>
      <c r="BG142" s="44">
        <f>IF($AX142="Cancelled","",IFERROR((W142*INDEX(Variables!$B$7:$D$7,IFERROR(MATCH(IF($B142="Robusta","Robusta",(IF($B142="","Arabica",$B142))&amp;" - "&amp;(IF($C142="","Commercial",$C142))),Variables!$B$1:$D$1,0),1))*IFERROR(IF(AB142="","",(AVERAGE(E142:F142)-AB142)-Variables!$B$14),"")/365)+(L142/16.67*INDEX(Variables!$B$8:$D$8,IFERROR(MATCH(IF($B142="Robusta","Robusta",(IF($B142="","Arabica",$B142))&amp;" - "&amp;(IF($C142="","Commercial",$C142))),Variables!$B$1:$D$1,0),1))*IFERROR(IF(AB142="","",(AVERAGE(E142:F142)-AB142)-Variables!$B$14),""))+(W142*INDEX(Variables!$B$9:$D$9,IFERROR(MATCH(IF($B142="Robusta","Robusta",(IF($B142="","Arabica",$B142))&amp;" - "&amp;(IF($C142="","Commercial",$C142))),Variables!$B$1:$D$1,0),1))*IFERROR(IF(AB142="","",(AVERAGE(E142:F142)-AB142)-Variables!$B$14),"")/365),""))</f>
        <v>-797.92729679491674</v>
      </c>
      <c r="BH142" s="44">
        <f>IF($AX142="Cancelled","",IFERROR((W142*INDEX(Variables!$B$7:$D$7,IFERROR(MATCH(IF($B142="Robusta","Robusta",(IF($B142="","Arabica",$B142))&amp;" - "&amp;(IF($C142="","Commercial",$C142))),Variables!$B$1:$D$1,0),1))*AK142/365)+(L142/16.67*INDEX(Variables!$B$8:$D$8,IFERROR(MATCH(IF($B142="Robusta","Robusta",(IF($B142="","Arabica",$B142))&amp;" - "&amp;(IF($C142="","Commercial",$C142))),Variables!$B$1:$D$1,0),1))*AK142)+(W142*INDEX(Variables!$B$9:$D$9,IFERROR(MATCH(IF($B142="Robusta","Robusta",(IF($B142="","Arabica",$B142))&amp;" - "&amp;(IF($C142="","Commercial",$C142))),Variables!$B$1:$D$1,0),1))*AK142/365),""))</f>
        <v>164.20368808641373</v>
      </c>
      <c r="BI142" s="44">
        <f>IF($AX142="Cancelled","",IFERROR((W142*INDEX(Variables!$B$7:$D$7,IFERROR(MATCH(IF($B142="Robusta","Robusta",(IF($B142="","Arabica",$B142))&amp;" - "&amp;(IF($C142="","Commercial",$C142))),Variables!$B$1:$D$1,0),1))*BD142/365)+(L142/16.67*INDEX(Variables!$B$8:$D$8,IFERROR(MATCH(IF($B142="Robusta","Robusta",(IF($B142="","Arabica",$B142))&amp;" - "&amp;(IF($C142="","Commercial",$C142))),Variables!$B$1:$D$1,0),1))*BD142)+(W142*INDEX(Variables!$B$9:$D$9,IFERROR(MATCH(IF($B142="Robusta","Robusta",(IF($B142="","Arabica",$B142))&amp;" - "&amp;(IF($C142="","Commercial",$C142))),Variables!$B$1:$D$1,0),1))*BD142/365),""))</f>
        <v>-225.78007111881888</v>
      </c>
      <c r="BJ142" s="44">
        <f t="shared" si="8"/>
        <v>-35</v>
      </c>
      <c r="BK142" s="44">
        <f>IF($AX142="Cancelled","",IFERROR(IF(BJ142="","",(W142*INDEX(Variables!$B$7:$D$7,IFERROR(MATCH(IF($B142="Robusta","Robusta",(IF($B142="","Arabica",$B142))&amp;" - "&amp;(IF($C142="","Commercial",$C142))),Variables!$B$1:$D$1,0),1))*(BJ142/365))+(W142*INDEX(Variables!$B$9:$D$9,IFERROR(MATCH(IF($B142="Robusta","Robusta",(IF($B142="","Arabica",$B142))&amp;" - "&amp;(IF($C142="","Commercial",$C142))),Variables!$B$1:$D$1,0),1))*(BJ142/365))+(INDEX(Variables!$B$8:$D$8,IFERROR(MATCH(IF($B142="Robusta","Robusta",(IF($B142="","Arabica",$B142))&amp;" - "&amp;(IF($C142="","Commercial",$C142))),Variables!$B$1:$D$1,0),1))*L142/16.67)),""))</f>
        <v>-430.39113537806014</v>
      </c>
    </row>
    <row r="143" spans="1:63">
      <c r="A143" s="13" t="s">
        <v>103</v>
      </c>
      <c r="B143" s="13" t="s">
        <v>104</v>
      </c>
      <c r="C143" s="13" t="s">
        <v>292</v>
      </c>
      <c r="D143" s="31">
        <v>45681</v>
      </c>
      <c r="E143" s="31">
        <v>45717</v>
      </c>
      <c r="F143" s="31">
        <v>45747</v>
      </c>
      <c r="G143" s="13">
        <v>3786636</v>
      </c>
      <c r="H143" s="13" t="s">
        <v>585</v>
      </c>
      <c r="J143" s="13" t="s">
        <v>586</v>
      </c>
      <c r="K143" s="13" t="s">
        <v>590</v>
      </c>
      <c r="L143" s="13">
        <v>160</v>
      </c>
      <c r="M143" s="13">
        <v>0</v>
      </c>
      <c r="N143" s="13" t="s">
        <v>591</v>
      </c>
      <c r="O143" s="13" t="s">
        <v>538</v>
      </c>
      <c r="P143" s="13">
        <v>10080</v>
      </c>
      <c r="R143" s="13" t="s">
        <v>239</v>
      </c>
      <c r="S143" s="13" t="s">
        <v>589</v>
      </c>
      <c r="T143" s="13" t="s">
        <v>340</v>
      </c>
      <c r="U143" s="13" t="s">
        <v>113</v>
      </c>
      <c r="V143" s="13">
        <v>20</v>
      </c>
      <c r="W143" s="44">
        <f>IF($AX143="Cancelled","",IFERROR(((V143+INDEX(Variables!$B$6:$D$6,IFERROR(MATCH(IF($B143="Robusta","Robusta",(IF($B143="","Arabica",$B143))&amp;" - "&amp;(IF($C143="","Commercial",$C143))),Variables!$B$1:$D$1,0),1)))*22.0462)*(L143/16.67),""))</f>
        <v>65765.652885422911</v>
      </c>
      <c r="X143" s="55" t="s">
        <v>37</v>
      </c>
      <c r="Y143" s="13" t="str">
        <f>IF($AX143="Cancelled","",IF(X143="","",IFERROR(IF(INDEX(Variables!$B$38:$B$47,MATCH(X143,Variables!$A$38:$A$47,0))="Yes","Yes","No"),"No")))</f>
        <v>Yes</v>
      </c>
      <c r="Z143" s="31">
        <v>45720.875</v>
      </c>
      <c r="AB143" s="31">
        <v>45740.875</v>
      </c>
      <c r="AC143" s="13" t="str">
        <f t="shared" si="6"/>
        <v>Approved</v>
      </c>
      <c r="AF143" s="71">
        <f>AJ143-7</f>
        <v>45749</v>
      </c>
      <c r="AG143" s="36">
        <f>IF($AX143="Cancelled","",IFERROR(IF(F143="","",F143-Variables!$B$13),""))</f>
        <v>45732</v>
      </c>
      <c r="AH143" s="13">
        <f>IF($AX143="Cancelled","",IFERROR(IF(AB143="","",(AVERAGE(E143:F143)-AB143)-Variables!$B$14),""))</f>
        <v>-38.875</v>
      </c>
      <c r="AJ143" s="47">
        <v>45756</v>
      </c>
      <c r="AK143" s="14">
        <f>IF($AX143="Cancelled","",IFERROR(IF(AJ143="","",IF(AND(AB143="",AF143=""),"",IF(AF143&gt;AB143,AF143+Variables!$B$15+Variables!$B$16+Variables!$B$17-AJ143,AB143+Variables!$B$16+Variables!$B$17-AJ143))),""))</f>
        <v>8</v>
      </c>
      <c r="AL143" s="48" t="s">
        <v>114</v>
      </c>
      <c r="AM143" s="13" t="s">
        <v>168</v>
      </c>
      <c r="AN143" s="13" t="s">
        <v>3244</v>
      </c>
      <c r="AP143" s="31">
        <v>45779</v>
      </c>
      <c r="AR143" s="13" t="s">
        <v>3254</v>
      </c>
      <c r="AS143" s="31">
        <v>45782</v>
      </c>
      <c r="AU143" s="31">
        <v>45786</v>
      </c>
      <c r="AV143" s="13" t="s">
        <v>197</v>
      </c>
      <c r="AW143" s="31">
        <v>45793</v>
      </c>
      <c r="AX143" s="13" t="str">
        <f>IF(ISNUMBER(SEARCH("cancel",#REF!)),"Cancelled",IF(AND(AS143&lt;&gt;"",AU143&lt;&gt;"",AW143&lt;&gt;""),"Closed","Open"))</f>
        <v>Closed</v>
      </c>
      <c r="AY143" s="15" t="str">
        <f t="shared" si="7"/>
        <v>All dates received</v>
      </c>
      <c r="BD143" s="13">
        <f>IF($AX143="Cancelled","",IFERROR(IF(OR(AS143="",AJ143=""),"",(AJ143+Variables!$B$18-AS143)),""))</f>
        <v>-11</v>
      </c>
      <c r="BE143" s="13">
        <f>IF($AX143="Cancelled","",IFERROR(IF(OR(AW143="",AS143=""),"",(AS143+Variables!$B$19)-AW143),""))</f>
        <v>-6</v>
      </c>
      <c r="BF143" s="44">
        <f>IF($AX143="Cancelled","",IFERROR(W143*INDEX(Variables!$B$7:$D$7,IFERROR(MATCH(IF($B143="Robusta","Robusta",(IF($B143="","Arabica",$B143))&amp;" - "&amp;(IF($C143="","Commercial",$C143))),Variables!$B$1:$D$1,0),1))*(BE143/365),""))</f>
        <v>-69.710366835426029</v>
      </c>
      <c r="BG143" s="44">
        <f>IF($AX143="Cancelled","",IFERROR((W143*INDEX(Variables!$B$7:$D$7,IFERROR(MATCH(IF($B143="Robusta","Robusta",(IF($B143="","Arabica",$B143))&amp;" - "&amp;(IF($C143="","Commercial",$C143))),Variables!$B$1:$D$1,0),1))*IFERROR(IF(AB143="","",(AVERAGE(E143:F143)-AB143)-Variables!$B$14),"")/365)+(L143/16.67*INDEX(Variables!$B$8:$D$8,IFERROR(MATCH(IF($B143="Robusta","Robusta",(IF($B143="","Arabica",$B143))&amp;" - "&amp;(IF($C143="","Commercial",$C143))),Variables!$B$1:$D$1,0),1))*IFERROR(IF(AB143="","",(AVERAGE(E143:F143)-AB143)-Variables!$B$14),""))+(W143*INDEX(Variables!$B$9:$D$9,IFERROR(MATCH(IF($B143="Robusta","Robusta",(IF($B143="","Arabica",$B143))&amp;" - "&amp;(IF($C143="","Commercial",$C143))),Variables!$B$1:$D$1,0),1))*IFERROR(IF(AB143="","",(AVERAGE(E143:F143)-AB143)-Variables!$B$14),"")/365),""))</f>
        <v>-768.48791972146353</v>
      </c>
      <c r="BH143" s="44">
        <f>IF($AX143="Cancelled","",IFERROR((W143*INDEX(Variables!$B$7:$D$7,IFERROR(MATCH(IF($B143="Robusta","Robusta",(IF($B143="","Arabica",$B143))&amp;" - "&amp;(IF($C143="","Commercial",$C143))),Variables!$B$1:$D$1,0),1))*AK143/365)+(L143/16.67*INDEX(Variables!$B$8:$D$8,IFERROR(MATCH(IF($B143="Robusta","Robusta",(IF($B143="","Arabica",$B143))&amp;" - "&amp;(IF($C143="","Commercial",$C143))),Variables!$B$1:$D$1,0),1))*AK143)+(W143*INDEX(Variables!$B$9:$D$9,IFERROR(MATCH(IF($B143="Robusta","Robusta",(IF($B143="","Arabica",$B143))&amp;" - "&amp;(IF($C143="","Commercial",$C143))),Variables!$B$1:$D$1,0),1))*AK143/365),""))</f>
        <v>158.14542399412753</v>
      </c>
      <c r="BI143" s="44">
        <f>IF($AX143="Cancelled","",IFERROR((W143*INDEX(Variables!$B$7:$D$7,IFERROR(MATCH(IF($B143="Robusta","Robusta",(IF($B143="","Arabica",$B143))&amp;" - "&amp;(IF($C143="","Commercial",$C143))),Variables!$B$1:$D$1,0),1))*BD143/365)+(L143/16.67*INDEX(Variables!$B$8:$D$8,IFERROR(MATCH(IF($B143="Robusta","Robusta",(IF($B143="","Arabica",$B143))&amp;" - "&amp;(IF($C143="","Commercial",$C143))),Variables!$B$1:$D$1,0),1))*BD143)+(W143*INDEX(Variables!$B$9:$D$9,IFERROR(MATCH(IF($B143="Robusta","Robusta",(IF($B143="","Arabica",$B143))&amp;" - "&amp;(IF($C143="","Commercial",$C143))),Variables!$B$1:$D$1,0),1))*BD143/365),""))</f>
        <v>-217.44995799192537</v>
      </c>
      <c r="BJ143" s="44">
        <f t="shared" si="8"/>
        <v>-35</v>
      </c>
      <c r="BK143" s="44">
        <f>IF($AX143="Cancelled","",IFERROR(IF(BJ143="","",(W143*INDEX(Variables!$B$7:$D$7,IFERROR(MATCH(IF($B143="Robusta","Robusta",(IF($B143="","Arabica",$B143))&amp;" - "&amp;(IF($C143="","Commercial",$C143))),Variables!$B$1:$D$1,0),1))*(BJ143/365))+(W143*INDEX(Variables!$B$9:$D$9,IFERROR(MATCH(IF($B143="Robusta","Robusta",(IF($B143="","Arabica",$B143))&amp;" - "&amp;(IF($C143="","Commercial",$C143))),Variables!$B$1:$D$1,0),1))*(BJ143/365))+(INDEX(Variables!$B$8:$D$8,IFERROR(MATCH(IF($B143="Robusta","Robusta",(IF($B143="","Arabica",$B143))&amp;" - "&amp;(IF($C143="","Commercial",$C143))),Variables!$B$1:$D$1,0),1))*L143/16.67)),""))</f>
        <v>-403.88622997430798</v>
      </c>
    </row>
    <row r="144" spans="1:63">
      <c r="A144" s="13" t="s">
        <v>103</v>
      </c>
      <c r="B144" s="13" t="s">
        <v>104</v>
      </c>
      <c r="C144" s="13" t="s">
        <v>292</v>
      </c>
      <c r="D144" s="31">
        <v>45684</v>
      </c>
      <c r="E144" s="31">
        <v>45689</v>
      </c>
      <c r="F144" s="31">
        <v>45716</v>
      </c>
      <c r="G144" s="13">
        <v>3786637</v>
      </c>
      <c r="J144" s="13" t="s">
        <v>592</v>
      </c>
      <c r="K144" s="13" t="s">
        <v>593</v>
      </c>
      <c r="L144" s="13">
        <v>16</v>
      </c>
      <c r="M144" s="13">
        <v>1</v>
      </c>
      <c r="N144" s="13" t="s">
        <v>594</v>
      </c>
      <c r="O144" s="13" t="s">
        <v>297</v>
      </c>
      <c r="P144" s="13">
        <v>10020</v>
      </c>
      <c r="R144" s="13" t="s">
        <v>239</v>
      </c>
      <c r="S144" s="13" t="s">
        <v>595</v>
      </c>
      <c r="T144" s="13" t="s">
        <v>596</v>
      </c>
      <c r="U144" s="13" t="s">
        <v>125</v>
      </c>
      <c r="V144" s="13">
        <v>109.95</v>
      </c>
      <c r="W144" s="44">
        <f>IF($AX144="Cancelled","",IFERROR(((V144+INDEX(Variables!$B$6:$D$6,IFERROR(MATCH(IF($B144="Robusta","Robusta",(IF($B144="","Arabica",$B144))&amp;" - "&amp;(IF($C144="","Commercial",$C144))),Variables!$B$1:$D$1,0),1)))*22.0462)*(L144/16.67),""))</f>
        <v>8479.9180803839208</v>
      </c>
      <c r="X144" s="55" t="s">
        <v>39</v>
      </c>
      <c r="Y144" s="13" t="str">
        <f>IF($AX144="Cancelled","",IF(X144="","",IFERROR(IF(INDEX(Variables!$B$38:$B$47,MATCH(X144,Variables!$A$38:$A$47,0))="Yes","Yes","No"),"No")))</f>
        <v>No</v>
      </c>
      <c r="Z144" s="31"/>
      <c r="AB144" s="31">
        <v>45672.875</v>
      </c>
      <c r="AC144" s="13" t="str">
        <f t="shared" si="6"/>
        <v>Approved</v>
      </c>
      <c r="AF144" s="71">
        <f>AJ144-7</f>
        <v>45713</v>
      </c>
      <c r="AG144" s="36">
        <f>IF($AX144="Cancelled","",IFERROR(IF(F144="","",F144-Variables!$B$13),""))</f>
        <v>45701</v>
      </c>
      <c r="AH144" s="13">
        <f>IF($AX144="Cancelled","",IFERROR(IF(AB144="","",(AVERAGE(E144:F144)-AB144)-Variables!$B$14),""))</f>
        <v>-0.375</v>
      </c>
      <c r="AJ144" s="47">
        <v>45720</v>
      </c>
      <c r="AK144" s="14">
        <f>IF($AX144="Cancelled","",IFERROR(IF(AJ144="","",IF(AND(AB144="",AF144=""),"",IF(AF144&gt;AB144,AF144+Variables!$B$15+Variables!$B$16+Variables!$B$17-AJ144,AB144+Variables!$B$16+Variables!$B$17-AJ144))),""))</f>
        <v>8</v>
      </c>
      <c r="AL144" s="48" t="s">
        <v>114</v>
      </c>
      <c r="AM144" s="13" t="s">
        <v>115</v>
      </c>
      <c r="AN144" s="13" t="s">
        <v>126</v>
      </c>
      <c r="AP144" s="31">
        <v>45360</v>
      </c>
      <c r="AR144" s="13">
        <v>250897783</v>
      </c>
      <c r="AS144" s="31">
        <v>45365</v>
      </c>
      <c r="AU144" s="31">
        <v>45734</v>
      </c>
      <c r="AV144" s="13" t="s">
        <v>865</v>
      </c>
      <c r="AW144" s="31">
        <v>45742</v>
      </c>
      <c r="AX144" s="13" t="str">
        <f>IF(ISNUMBER(SEARCH("cancel",#REF!)),"Cancelled",IF(AND(AS144&lt;&gt;"",AU144&lt;&gt;"",AW144&lt;&gt;""),"Closed","Open"))</f>
        <v>Closed</v>
      </c>
      <c r="AY144" s="15" t="str">
        <f t="shared" si="7"/>
        <v>All dates received</v>
      </c>
      <c r="BD144" s="13">
        <f>IF($AX144="Cancelled","",IFERROR(IF(OR(AS144="",AJ144=""),"",(AJ144+Variables!$B$18-AS144)),""))</f>
        <v>370</v>
      </c>
      <c r="BE144" s="13">
        <f>IF($AX144="Cancelled","",IFERROR(IF(OR(AW144="",AS144=""),"",(AS144+Variables!$B$19)-AW144),""))</f>
        <v>-372</v>
      </c>
      <c r="BF144" s="44">
        <f>IF($AX144="Cancelled","",IFERROR(W144*INDEX(Variables!$B$7:$D$7,IFERROR(MATCH(IF($B144="Robusta","Robusta",(IF($B144="","Arabica",$B144))&amp;" - "&amp;(IF($C144="","Commercial",$C144))),Variables!$B$1:$D$1,0),1))*(BE144/365),""))</f>
        <v>-557.29042135663224</v>
      </c>
      <c r="BG144" s="44">
        <f>IF($AX144="Cancelled","",IFERROR((W144*INDEX(Variables!$B$7:$D$7,IFERROR(MATCH(IF($B144="Robusta","Robusta",(IF($B144="","Arabica",$B144))&amp;" - "&amp;(IF($C144="","Commercial",$C144))),Variables!$B$1:$D$1,0),1))*IFERROR(IF(AB144="","",(AVERAGE(E144:F144)-AB144)-Variables!$B$14),"")/365)+(L144/16.67*INDEX(Variables!$B$8:$D$8,IFERROR(MATCH(IF($B144="Robusta","Robusta",(IF($B144="","Arabica",$B144))&amp;" - "&amp;(IF($C144="","Commercial",$C144))),Variables!$B$1:$D$1,0),1))*IFERROR(IF(AB144="","",(AVERAGE(E144:F144)-AB144)-Variables!$B$14),""))+(W144*INDEX(Variables!$B$9:$D$9,IFERROR(MATCH(IF($B144="Robusta","Robusta",(IF($B144="","Arabica",$B144))&amp;" - "&amp;(IF($C144="","Commercial",$C144))),Variables!$B$1:$D$1,0),1))*IFERROR(IF(AB144="","",(AVERAGE(E144:F144)-AB144)-Variables!$B$14),"")/365),""))</f>
        <v>-0.86902718788680344</v>
      </c>
      <c r="BH144" s="44">
        <f>IF($AX144="Cancelled","",IFERROR((W144*INDEX(Variables!$B$7:$D$7,IFERROR(MATCH(IF($B144="Robusta","Robusta",(IF($B144="","Arabica",$B144))&amp;" - "&amp;(IF($C144="","Commercial",$C144))),Variables!$B$1:$D$1,0),1))*AK144/365)+(L144/16.67*INDEX(Variables!$B$8:$D$8,IFERROR(MATCH(IF($B144="Robusta","Robusta",(IF($B144="","Arabica",$B144))&amp;" - "&amp;(IF($C144="","Commercial",$C144))),Variables!$B$1:$D$1,0),1))*AK144)+(W144*INDEX(Variables!$B$9:$D$9,IFERROR(MATCH(IF($B144="Robusta","Robusta",(IF($B144="","Arabica",$B144))&amp;" - "&amp;(IF($C144="","Commercial",$C144))),Variables!$B$1:$D$1,0),1))*AK144/365),""))</f>
        <v>18.539246674918473</v>
      </c>
      <c r="BI144" s="44">
        <f>IF($AX144="Cancelled","",IFERROR((W144*INDEX(Variables!$B$7:$D$7,IFERROR(MATCH(IF($B144="Robusta","Robusta",(IF($B144="","Arabica",$B144))&amp;" - "&amp;(IF($C144="","Commercial",$C144))),Variables!$B$1:$D$1,0),1))*BD144/365)+(L144/16.67*INDEX(Variables!$B$8:$D$8,IFERROR(MATCH(IF($B144="Robusta","Robusta",(IF($B144="","Arabica",$B144))&amp;" - "&amp;(IF($C144="","Commercial",$C144))),Variables!$B$1:$D$1,0),1))*BD144)+(W144*INDEX(Variables!$B$9:$D$9,IFERROR(MATCH(IF($B144="Robusta","Robusta",(IF($B144="","Arabica",$B144))&amp;" - "&amp;(IF($C144="","Commercial",$C144))),Variables!$B$1:$D$1,0),1))*BD144/365),""))</f>
        <v>857.44015871497936</v>
      </c>
      <c r="BJ144" s="44">
        <f t="shared" si="8"/>
        <v>351</v>
      </c>
      <c r="BK144" s="44">
        <f>IF($AX144="Cancelled","",IFERROR(IF(BJ144="","",(W144*INDEX(Variables!$B$7:$D$7,IFERROR(MATCH(IF($B144="Robusta","Robusta",(IF($B144="","Arabica",$B144))&amp;" - "&amp;(IF($C144="","Commercial",$C144))),Variables!$B$1:$D$1,0),1))*(BJ144/365))+(W144*INDEX(Variables!$B$9:$D$9,IFERROR(MATCH(IF($B144="Robusta","Robusta",(IF($B144="","Arabica",$B144))&amp;" - "&amp;(IF($C144="","Commercial",$C144))),Variables!$B$1:$D$1,0),1))*(BJ144/365))+(INDEX(Variables!$B$8:$D$8,IFERROR(MATCH(IF($B144="Robusta","Robusta",(IF($B144="","Arabica",$B144))&amp;" - "&amp;(IF($C144="","Commercial",$C144))),Variables!$B$1:$D$1,0),1))*L144/16.67)),""))</f>
        <v>533.40944786204795</v>
      </c>
    </row>
    <row r="145" spans="1:63">
      <c r="A145" s="13" t="s">
        <v>103</v>
      </c>
      <c r="B145" s="13" t="s">
        <v>104</v>
      </c>
      <c r="C145" s="13" t="s">
        <v>292</v>
      </c>
      <c r="D145" s="31">
        <v>45684</v>
      </c>
      <c r="E145" s="31">
        <v>45689</v>
      </c>
      <c r="F145" s="31">
        <v>45716</v>
      </c>
      <c r="G145" s="13">
        <v>3786638</v>
      </c>
      <c r="J145" s="13" t="s">
        <v>592</v>
      </c>
      <c r="K145" s="13" t="s">
        <v>597</v>
      </c>
      <c r="L145" s="13">
        <v>10</v>
      </c>
      <c r="M145" s="13">
        <v>0</v>
      </c>
      <c r="N145" s="13" t="s">
        <v>598</v>
      </c>
      <c r="O145" s="13" t="s">
        <v>304</v>
      </c>
      <c r="P145" s="13">
        <v>10010</v>
      </c>
      <c r="R145" s="13" t="s">
        <v>239</v>
      </c>
      <c r="S145" s="13" t="s">
        <v>595</v>
      </c>
      <c r="T145" s="13" t="s">
        <v>596</v>
      </c>
      <c r="U145" s="13" t="s">
        <v>125</v>
      </c>
      <c r="V145" s="13">
        <v>170.95</v>
      </c>
      <c r="W145" s="44">
        <f>IF($AX145="Cancelled","",IFERROR(((V145+INDEX(Variables!$B$6:$D$6,IFERROR(MATCH(IF($B145="Robusta","Robusta",(IF($B145="","Arabica",$B145))&amp;" - "&amp;(IF($C145="","Commercial",$C145))),Variables!$B$1:$D$1,0),1)))*22.0462)*(L145/16.67),""))</f>
        <v>6106.6783743251335</v>
      </c>
      <c r="X145" s="55" t="s">
        <v>39</v>
      </c>
      <c r="Y145" s="13" t="str">
        <f>IF($AX145="Cancelled","",IF(X145="","",IFERROR(IF(INDEX(Variables!$B$38:$B$47,MATCH(X145,Variables!$A$38:$A$47,0))="Yes","Yes","No"),"No")))</f>
        <v>No</v>
      </c>
      <c r="Z145" s="31"/>
      <c r="AB145" s="31">
        <v>45672.875</v>
      </c>
      <c r="AC145" s="13" t="str">
        <f t="shared" si="6"/>
        <v>Approved</v>
      </c>
      <c r="AF145" s="71">
        <f>AJ145-7</f>
        <v>45713</v>
      </c>
      <c r="AG145" s="36">
        <f>IF($AX145="Cancelled","",IFERROR(IF(F145="","",F145-Variables!$B$13),""))</f>
        <v>45701</v>
      </c>
      <c r="AH145" s="13">
        <f>IF($AX145="Cancelled","",IFERROR(IF(AB145="","",(AVERAGE(E145:F145)-AB145)-Variables!$B$14),""))</f>
        <v>-0.375</v>
      </c>
      <c r="AJ145" s="47">
        <v>45720</v>
      </c>
      <c r="AK145" s="14">
        <f>IF($AX145="Cancelled","",IFERROR(IF(AJ145="","",IF(AND(AB145="",AF145=""),"",IF(AF145&gt;AB145,AF145+Variables!$B$15+Variables!$B$16+Variables!$B$17-AJ145,AB145+Variables!$B$16+Variables!$B$17-AJ145))),""))</f>
        <v>8</v>
      </c>
      <c r="AL145" s="48" t="s">
        <v>114</v>
      </c>
      <c r="AM145" s="13" t="s">
        <v>115</v>
      </c>
      <c r="AN145" s="13" t="s">
        <v>126</v>
      </c>
      <c r="AP145" s="31">
        <v>45360</v>
      </c>
      <c r="AR145" s="13">
        <v>250897783</v>
      </c>
      <c r="AS145" s="31">
        <v>45365</v>
      </c>
      <c r="AU145" s="31">
        <v>45734</v>
      </c>
      <c r="AV145" s="13" t="s">
        <v>865</v>
      </c>
      <c r="AW145" s="31">
        <v>45742</v>
      </c>
      <c r="AX145" s="13" t="str">
        <f>IF(ISNUMBER(SEARCH("cancel",#REF!)),"Cancelled",IF(AND(AS145&lt;&gt;"",AU145&lt;&gt;"",AW145&lt;&gt;""),"Closed","Open"))</f>
        <v>Closed</v>
      </c>
      <c r="AY145" s="15" t="str">
        <f t="shared" si="7"/>
        <v>All dates received</v>
      </c>
      <c r="BD145" s="13">
        <f>IF($AX145="Cancelled","",IFERROR(IF(OR(AS145="",AJ145=""),"",(AJ145+Variables!$B$18-AS145)),""))</f>
        <v>370</v>
      </c>
      <c r="BE145" s="13">
        <f>IF($AX145="Cancelled","",IFERROR(IF(OR(AW145="",AS145=""),"",(AS145+Variables!$B$19)-AW145),""))</f>
        <v>-372</v>
      </c>
      <c r="BF145" s="44">
        <f>IF($AX145="Cancelled","",IFERROR(W145*INDEX(Variables!$B$7:$D$7,IFERROR(MATCH(IF($B145="Robusta","Robusta",(IF($B145="","Arabica",$B145))&amp;" - "&amp;(IF($C145="","Commercial",$C145))),Variables!$B$1:$D$1,0),1))*(BE145/365),""))</f>
        <v>-401.32384912885982</v>
      </c>
      <c r="BG145" s="44">
        <f>IF($AX145="Cancelled","",IFERROR((W145*INDEX(Variables!$B$7:$D$7,IFERROR(MATCH(IF($B145="Robusta","Robusta",(IF($B145="","Arabica",$B145))&amp;" - "&amp;(IF($C145="","Commercial",$C145))),Variables!$B$1:$D$1,0),1))*IFERROR(IF(AB145="","",(AVERAGE(E145:F145)-AB145)-Variables!$B$14),"")/365)+(L145/16.67*INDEX(Variables!$B$8:$D$8,IFERROR(MATCH(IF($B145="Robusta","Robusta",(IF($B145="","Arabica",$B145))&amp;" - "&amp;(IF($C145="","Commercial",$C145))),Variables!$B$1:$D$1,0),1))*IFERROR(IF(AB145="","",(AVERAGE(E145:F145)-AB145)-Variables!$B$14),""))+(W145*INDEX(Variables!$B$9:$D$9,IFERROR(MATCH(IF($B145="Robusta","Robusta",(IF($B145="","Arabica",$B145))&amp;" - "&amp;(IF($C145="","Commercial",$C145))),Variables!$B$1:$D$1,0),1))*IFERROR(IF(AB145="","",(AVERAGE(E145:F145)-AB145)-Variables!$B$14),"")/365),""))</f>
        <v>-0.59727589520700475</v>
      </c>
      <c r="BH145" s="44">
        <f>IF($AX145="Cancelled","",IFERROR((W145*INDEX(Variables!$B$7:$D$7,IFERROR(MATCH(IF($B145="Robusta","Robusta",(IF($B145="","Arabica",$B145))&amp;" - "&amp;(IF($C145="","Commercial",$C145))),Variables!$B$1:$D$1,0),1))*AK145/365)+(L145/16.67*INDEX(Variables!$B$8:$D$8,IFERROR(MATCH(IF($B145="Robusta","Robusta",(IF($B145="","Arabica",$B145))&amp;" - "&amp;(IF($C145="","Commercial",$C145))),Variables!$B$1:$D$1,0),1))*AK145)+(W145*INDEX(Variables!$B$9:$D$9,IFERROR(MATCH(IF($B145="Robusta","Robusta",(IF($B145="","Arabica",$B145))&amp;" - "&amp;(IF($C145="","Commercial",$C145))),Variables!$B$1:$D$1,0),1))*AK145/365),""))</f>
        <v>12.7418857644161</v>
      </c>
      <c r="BI145" s="44">
        <f>IF($AX145="Cancelled","",IFERROR((W145*INDEX(Variables!$B$7:$D$7,IFERROR(MATCH(IF($B145="Robusta","Robusta",(IF($B145="","Arabica",$B145))&amp;" - "&amp;(IF($C145="","Commercial",$C145))),Variables!$B$1:$D$1,0),1))*BD145/365)+(L145/16.67*INDEX(Variables!$B$8:$D$8,IFERROR(MATCH(IF($B145="Robusta","Robusta",(IF($B145="","Arabica",$B145))&amp;" - "&amp;(IF($C145="","Commercial",$C145))),Variables!$B$1:$D$1,0),1))*BD145)+(W145*INDEX(Variables!$B$9:$D$9,IFERROR(MATCH(IF($B145="Robusta","Robusta",(IF($B145="","Arabica",$B145))&amp;" - "&amp;(IF($C145="","Commercial",$C145))),Variables!$B$1:$D$1,0),1))*BD145/365),""))</f>
        <v>589.31221660424467</v>
      </c>
      <c r="BJ145" s="44">
        <f t="shared" si="8"/>
        <v>351</v>
      </c>
      <c r="BK145" s="44">
        <f>IF($AX145="Cancelled","",IFERROR(IF(BJ145="","",(W145*INDEX(Variables!$B$7:$D$7,IFERROR(MATCH(IF($B145="Robusta","Robusta",(IF($B145="","Arabica",$B145))&amp;" - "&amp;(IF($C145="","Commercial",$C145))),Variables!$B$1:$D$1,0),1))*(BJ145/365))+(W145*INDEX(Variables!$B$9:$D$9,IFERROR(MATCH(IF($B145="Robusta","Robusta",(IF($B145="","Arabica",$B145))&amp;" - "&amp;(IF($C145="","Commercial",$C145))),Variables!$B$1:$D$1,0),1))*(BJ145/365))+(INDEX(Variables!$B$8:$D$8,IFERROR(MATCH(IF($B145="Robusta","Robusta",(IF($B145="","Arabica",$B145))&amp;" - "&amp;(IF($C145="","Commercial",$C145))),Variables!$B$1:$D$1,0),1))*L145/16.67)),""))</f>
        <v>384.05023791375646</v>
      </c>
    </row>
    <row r="146" spans="1:63">
      <c r="A146" s="13" t="s">
        <v>103</v>
      </c>
      <c r="B146" s="13" t="s">
        <v>104</v>
      </c>
      <c r="C146" s="13" t="s">
        <v>292</v>
      </c>
      <c r="D146" s="31">
        <v>45684</v>
      </c>
      <c r="E146" s="31">
        <v>45689</v>
      </c>
      <c r="F146" s="31">
        <v>45716</v>
      </c>
      <c r="G146" s="13">
        <v>3786639</v>
      </c>
      <c r="J146" s="13" t="s">
        <v>592</v>
      </c>
      <c r="K146" s="13" t="s">
        <v>599</v>
      </c>
      <c r="L146" s="13">
        <v>6</v>
      </c>
      <c r="M146" s="13">
        <v>0</v>
      </c>
      <c r="N146" s="13" t="s">
        <v>600</v>
      </c>
      <c r="O146" s="13" t="s">
        <v>304</v>
      </c>
      <c r="P146" s="13">
        <v>10010</v>
      </c>
      <c r="R146" s="13" t="s">
        <v>239</v>
      </c>
      <c r="S146" s="13" t="s">
        <v>595</v>
      </c>
      <c r="T146" s="13" t="s">
        <v>596</v>
      </c>
      <c r="U146" s="13" t="s">
        <v>125</v>
      </c>
      <c r="V146" s="13">
        <v>146.94999999999999</v>
      </c>
      <c r="W146" s="44">
        <f>IF($AX146="Cancelled","",IFERROR(((V146+INDEX(Variables!$B$6:$D$6,IFERROR(MATCH(IF($B146="Robusta","Robusta",(IF($B146="","Arabica",$B146))&amp;" - "&amp;(IF($C146="","Commercial",$C146))),Variables!$B$1:$D$1,0),1)))*22.0462)*(L146/16.67),""))</f>
        <v>3473.5659448110368</v>
      </c>
      <c r="X146" s="55" t="s">
        <v>39</v>
      </c>
      <c r="Y146" s="13" t="str">
        <f>IF($AX146="Cancelled","",IF(X146="","",IFERROR(IF(INDEX(Variables!$B$38:$B$47,MATCH(X146,Variables!$A$38:$A$47,0))="Yes","Yes","No"),"No")))</f>
        <v>No</v>
      </c>
      <c r="Z146" s="31"/>
      <c r="AB146" s="31">
        <v>45672.875</v>
      </c>
      <c r="AC146" s="13" t="str">
        <f t="shared" si="6"/>
        <v>Approved</v>
      </c>
      <c r="AF146" s="71">
        <f>AJ146-7</f>
        <v>45713</v>
      </c>
      <c r="AG146" s="36">
        <f>IF($AX146="Cancelled","",IFERROR(IF(F146="","",F146-Variables!$B$13),""))</f>
        <v>45701</v>
      </c>
      <c r="AH146" s="13">
        <f>IF($AX146="Cancelled","",IFERROR(IF(AB146="","",(AVERAGE(E146:F146)-AB146)-Variables!$B$14),""))</f>
        <v>-0.375</v>
      </c>
      <c r="AJ146" s="47">
        <v>45720</v>
      </c>
      <c r="AK146" s="14">
        <f>IF($AX146="Cancelled","",IFERROR(IF(AJ146="","",IF(AND(AB146="",AF146=""),"",IF(AF146&gt;AB146,AF146+Variables!$B$15+Variables!$B$16+Variables!$B$17-AJ146,AB146+Variables!$B$16+Variables!$B$17-AJ146))),""))</f>
        <v>8</v>
      </c>
      <c r="AL146" s="48" t="s">
        <v>114</v>
      </c>
      <c r="AM146" s="13" t="s">
        <v>115</v>
      </c>
      <c r="AN146" s="13" t="s">
        <v>126</v>
      </c>
      <c r="AP146" s="31">
        <v>45360</v>
      </c>
      <c r="AR146" s="13">
        <v>250897783</v>
      </c>
      <c r="AS146" s="31">
        <v>45365</v>
      </c>
      <c r="AU146" s="31">
        <v>45734</v>
      </c>
      <c r="AV146" s="13" t="s">
        <v>865</v>
      </c>
      <c r="AW146" s="31">
        <v>45742</v>
      </c>
      <c r="AX146" s="13" t="str">
        <f>IF(ISNUMBER(SEARCH("cancel",#REF!)),"Cancelled",IF(AND(AS146&lt;&gt;"",AU146&lt;&gt;"",AW146&lt;&gt;""),"Closed","Open"))</f>
        <v>Closed</v>
      </c>
      <c r="AY146" s="15" t="str">
        <f t="shared" si="7"/>
        <v>All dates received</v>
      </c>
      <c r="BD146" s="13">
        <f>IF($AX146="Cancelled","",IFERROR(IF(OR(AS146="",AJ146=""),"",(AJ146+Variables!$B$18-AS146)),""))</f>
        <v>370</v>
      </c>
      <c r="BE146" s="13">
        <f>IF($AX146="Cancelled","",IFERROR(IF(OR(AW146="",AS146=""),"",(AS146+Variables!$B$19)-AW146),""))</f>
        <v>-372</v>
      </c>
      <c r="BF146" s="44">
        <f>IF($AX146="Cancelled","",IFERROR(W146*INDEX(Variables!$B$7:$D$7,IFERROR(MATCH(IF($B146="Robusta","Robusta",(IF($B146="","Arabica",$B146))&amp;" - "&amp;(IF($C146="","Commercial",$C146))),Variables!$B$1:$D$1,0),1))*(BE146/365),""))</f>
        <v>-228.27874168639963</v>
      </c>
      <c r="BG146" s="44">
        <f>IF($AX146="Cancelled","",IFERROR((W146*INDEX(Variables!$B$7:$D$7,IFERROR(MATCH(IF($B146="Robusta","Robusta",(IF($B146="","Arabica",$B146))&amp;" - "&amp;(IF($C146="","Commercial",$C146))),Variables!$B$1:$D$1,0),1))*IFERROR(IF(AB146="","",(AVERAGE(E146:F146)-AB146)-Variables!$B$14),"")/365)+(L146/16.67*INDEX(Variables!$B$8:$D$8,IFERROR(MATCH(IF($B146="Robusta","Robusta",(IF($B146="","Arabica",$B146))&amp;" - "&amp;(IF($C146="","Commercial",$C146))),Variables!$B$1:$D$1,0),1))*IFERROR(IF(AB146="","",(AVERAGE(E146:F146)-AB146)-Variables!$B$14),""))+(W146*INDEX(Variables!$B$9:$D$9,IFERROR(MATCH(IF($B146="Robusta","Robusta",(IF($B146="","Arabica",$B146))&amp;" - "&amp;(IF($C146="","Commercial",$C146))),Variables!$B$1:$D$1,0),1))*IFERROR(IF(AB146="","",(AVERAGE(E146:F146)-AB146)-Variables!$B$14),"")/365),""))</f>
        <v>-0.34558638630453659</v>
      </c>
      <c r="BH146" s="44">
        <f>IF($AX146="Cancelled","",IFERROR((W146*INDEX(Variables!$B$7:$D$7,IFERROR(MATCH(IF($B146="Robusta","Robusta",(IF($B146="","Arabica",$B146))&amp;" - "&amp;(IF($C146="","Commercial",$C146))),Variables!$B$1:$D$1,0),1))*AK146/365)+(L146/16.67*INDEX(Variables!$B$8:$D$8,IFERROR(MATCH(IF($B146="Robusta","Robusta",(IF($B146="","Arabica",$B146))&amp;" - "&amp;(IF($C146="","Commercial",$C146))),Variables!$B$1:$D$1,0),1))*AK146)+(W146*INDEX(Variables!$B$9:$D$9,IFERROR(MATCH(IF($B146="Robusta","Robusta",(IF($B146="","Arabica",$B146))&amp;" - "&amp;(IF($C146="","Commercial",$C146))),Variables!$B$1:$D$1,0),1))*AK146/365),""))</f>
        <v>7.3725095744967817</v>
      </c>
      <c r="BI146" s="44">
        <f>IF($AX146="Cancelled","",IFERROR((W146*INDEX(Variables!$B$7:$D$7,IFERROR(MATCH(IF($B146="Robusta","Robusta",(IF($B146="","Arabica",$B146))&amp;" - "&amp;(IF($C146="","Commercial",$C146))),Variables!$B$1:$D$1,0),1))*BD146/365)+(L146/16.67*INDEX(Variables!$B$8:$D$8,IFERROR(MATCH(IF($B146="Robusta","Robusta",(IF($B146="","Arabica",$B146))&amp;" - "&amp;(IF($C146="","Commercial",$C146))),Variables!$B$1:$D$1,0),1))*BD146)+(W146*INDEX(Variables!$B$9:$D$9,IFERROR(MATCH(IF($B146="Robusta","Robusta",(IF($B146="","Arabica",$B146))&amp;" - "&amp;(IF($C146="","Commercial",$C146))),Variables!$B$1:$D$1,0),1))*BD146/365),""))</f>
        <v>340.9785678204762</v>
      </c>
      <c r="BJ146" s="44">
        <f t="shared" si="8"/>
        <v>351</v>
      </c>
      <c r="BK146" s="44">
        <f>IF($AX146="Cancelled","",IFERROR(IF(BJ146="","",(W146*INDEX(Variables!$B$7:$D$7,IFERROR(MATCH(IF($B146="Robusta","Robusta",(IF($B146="","Arabica",$B146))&amp;" - "&amp;(IF($C146="","Commercial",$C146))),Variables!$B$1:$D$1,0),1))*(BJ146/365))+(W146*INDEX(Variables!$B$9:$D$9,IFERROR(MATCH(IF($B146="Robusta","Robusta",(IF($B146="","Arabica",$B146))&amp;" - "&amp;(IF($C146="","Commercial",$C146))),Variables!$B$1:$D$1,0),1))*(BJ146/365))+(INDEX(Variables!$B$8:$D$8,IFERROR(MATCH(IF($B146="Robusta","Robusta",(IF($B146="","Arabica",$B146))&amp;" - "&amp;(IF($C146="","Commercial",$C146))),Variables!$B$1:$D$1,0),1))*L146/16.67)),""))</f>
        <v>218.46885758104634</v>
      </c>
    </row>
    <row r="147" spans="1:63">
      <c r="A147" s="13" t="s">
        <v>103</v>
      </c>
      <c r="B147" s="13" t="s">
        <v>104</v>
      </c>
      <c r="C147" s="13" t="s">
        <v>292</v>
      </c>
      <c r="D147" s="31">
        <v>45684</v>
      </c>
      <c r="E147" s="31">
        <v>45689</v>
      </c>
      <c r="F147" s="31">
        <v>45716</v>
      </c>
      <c r="G147" s="13">
        <v>3786640</v>
      </c>
      <c r="J147" s="13" t="s">
        <v>592</v>
      </c>
      <c r="K147" s="13" t="s">
        <v>601</v>
      </c>
      <c r="L147" s="13">
        <v>6</v>
      </c>
      <c r="M147" s="13">
        <v>0</v>
      </c>
      <c r="N147" s="13" t="s">
        <v>602</v>
      </c>
      <c r="O147" s="13" t="s">
        <v>297</v>
      </c>
      <c r="P147" s="13">
        <v>10020</v>
      </c>
      <c r="R147" s="13" t="s">
        <v>252</v>
      </c>
      <c r="S147" s="13" t="s">
        <v>595</v>
      </c>
      <c r="T147" s="13" t="s">
        <v>596</v>
      </c>
      <c r="U147" s="13" t="s">
        <v>125</v>
      </c>
      <c r="V147" s="13">
        <v>111.95</v>
      </c>
      <c r="W147" s="44">
        <f>IF($AX147="Cancelled","",IFERROR(((V147+INDEX(Variables!$B$6:$D$6,IFERROR(MATCH(IF($B147="Robusta","Robusta",(IF($B147="","Arabica",$B147))&amp;" - "&amp;(IF($C147="","Commercial",$C147))),Variables!$B$1:$D$1,0),1)))*22.0462)*(L147/16.67),""))</f>
        <v>3195.8393701259738</v>
      </c>
      <c r="X147" s="55" t="s">
        <v>39</v>
      </c>
      <c r="Y147" s="13" t="str">
        <f>IF($AX147="Cancelled","",IF(X147="","",IFERROR(IF(INDEX(Variables!$B$38:$B$47,MATCH(X147,Variables!$A$38:$A$47,0))="Yes","Yes","No"),"No")))</f>
        <v>No</v>
      </c>
      <c r="Z147" s="31"/>
      <c r="AB147" s="31">
        <v>45672.875</v>
      </c>
      <c r="AC147" s="13" t="str">
        <f t="shared" si="6"/>
        <v>Approved</v>
      </c>
      <c r="AF147" s="71">
        <f>AJ147-7</f>
        <v>45713</v>
      </c>
      <c r="AG147" s="36">
        <f>IF($AX147="Cancelled","",IFERROR(IF(F147="","",F147-Variables!$B$13),""))</f>
        <v>45701</v>
      </c>
      <c r="AH147" s="13">
        <f>IF($AX147="Cancelled","",IFERROR(IF(AB147="","",(AVERAGE(E147:F147)-AB147)-Variables!$B$14),""))</f>
        <v>-0.375</v>
      </c>
      <c r="AJ147" s="47">
        <v>45720</v>
      </c>
      <c r="AK147" s="14">
        <f>IF($AX147="Cancelled","",IFERROR(IF(AJ147="","",IF(AND(AB147="",AF147=""),"",IF(AF147&gt;AB147,AF147+Variables!$B$15+Variables!$B$16+Variables!$B$17-AJ147,AB147+Variables!$B$16+Variables!$B$17-AJ147))),""))</f>
        <v>8</v>
      </c>
      <c r="AL147" s="48" t="s">
        <v>114</v>
      </c>
      <c r="AM147" s="13" t="s">
        <v>115</v>
      </c>
      <c r="AN147" s="13" t="s">
        <v>126</v>
      </c>
      <c r="AP147" s="31">
        <v>45360</v>
      </c>
      <c r="AR147" s="13">
        <v>250897783</v>
      </c>
      <c r="AS147" s="31">
        <v>45365</v>
      </c>
      <c r="AU147" s="31">
        <v>45734</v>
      </c>
      <c r="AV147" s="13" t="s">
        <v>865</v>
      </c>
      <c r="AW147" s="31">
        <v>45742</v>
      </c>
      <c r="AX147" s="13" t="str">
        <f>IF(ISNUMBER(SEARCH("cancel",#REF!)),"Cancelled",IF(AND(AS147&lt;&gt;"",AU147&lt;&gt;"",AW147&lt;&gt;""),"Closed","Open"))</f>
        <v>Closed</v>
      </c>
      <c r="AY147" s="15" t="str">
        <f t="shared" si="7"/>
        <v>All dates received</v>
      </c>
      <c r="BD147" s="13">
        <f>IF($AX147="Cancelled","",IFERROR(IF(OR(AS147="",AJ147=""),"",(AJ147+Variables!$B$18-AS147)),""))</f>
        <v>370</v>
      </c>
      <c r="BE147" s="13">
        <f>IF($AX147="Cancelled","",IFERROR(IF(OR(AW147="",AS147=""),"",(AS147+Variables!$B$19)-AW147),""))</f>
        <v>-372</v>
      </c>
      <c r="BF147" s="44">
        <f>IF($AX147="Cancelled","",IFERROR(W147*INDEX(Variables!$B$7:$D$7,IFERROR(MATCH(IF($B147="Robusta","Robusta",(IF($B147="","Arabica",$B147))&amp;" - "&amp;(IF($C147="","Commercial",$C147))),Variables!$B$1:$D$1,0),1))*(BE147/365),""))</f>
        <v>-210.02687199131341</v>
      </c>
      <c r="BG147" s="44">
        <f>IF($AX147="Cancelled","",IFERROR((W147*INDEX(Variables!$B$7:$D$7,IFERROR(MATCH(IF($B147="Robusta","Robusta",(IF($B147="","Arabica",$B147))&amp;" - "&amp;(IF($C147="","Commercial",$C147))),Variables!$B$1:$D$1,0),1))*IFERROR(IF(AB147="","",(AVERAGE(E147:F147)-AB147)-Variables!$B$14),"")/365)+(L147/16.67*INDEX(Variables!$B$8:$D$8,IFERROR(MATCH(IF($B147="Robusta","Robusta",(IF($B147="","Arabica",$B147))&amp;" - "&amp;(IF($C147="","Commercial",$C147))),Variables!$B$1:$D$1,0),1))*IFERROR(IF(AB147="","",(AVERAGE(E147:F147)-AB147)-Variables!$B$14),""))+(W147*INDEX(Variables!$B$9:$D$9,IFERROR(MATCH(IF($B147="Robusta","Robusta",(IF($B147="","Arabica",$B147))&amp;" - "&amp;(IF($C147="","Commercial",$C147))),Variables!$B$1:$D$1,0),1))*IFERROR(IF(AB147="","",(AVERAGE(E147:F147)-AB147)-Variables!$B$14),"")/365),""))</f>
        <v>-0.32695012469252338</v>
      </c>
      <c r="BH147" s="44">
        <f>IF($AX147="Cancelled","",IFERROR((W147*INDEX(Variables!$B$7:$D$7,IFERROR(MATCH(IF($B147="Robusta","Robusta",(IF($B147="","Arabica",$B147))&amp;" - "&amp;(IF($C147="","Commercial",$C147))),Variables!$B$1:$D$1,0),1))*AK147/365)+(L147/16.67*INDEX(Variables!$B$8:$D$8,IFERROR(MATCH(IF($B147="Robusta","Robusta",(IF($B147="","Arabica",$B147))&amp;" - "&amp;(IF($C147="","Commercial",$C147))),Variables!$B$1:$D$1,0),1))*AK147)+(W147*INDEX(Variables!$B$9:$D$9,IFERROR(MATCH(IF($B147="Robusta","Robusta",(IF($B147="","Arabica",$B147))&amp;" - "&amp;(IF($C147="","Commercial",$C147))),Variables!$B$1:$D$1,0),1))*AK147/365),""))</f>
        <v>6.9749359934405</v>
      </c>
      <c r="BI147" s="44">
        <f>IF($AX147="Cancelled","",IFERROR((W147*INDEX(Variables!$B$7:$D$7,IFERROR(MATCH(IF($B147="Robusta","Robusta",(IF($B147="","Arabica",$B147))&amp;" - "&amp;(IF($C147="","Commercial",$C147))),Variables!$B$1:$D$1,0),1))*BD147/365)+(L147/16.67*INDEX(Variables!$B$8:$D$8,IFERROR(MATCH(IF($B147="Robusta","Robusta",(IF($B147="","Arabica",$B147))&amp;" - "&amp;(IF($C147="","Commercial",$C147))),Variables!$B$1:$D$1,0),1))*BD147)+(W147*INDEX(Variables!$B$9:$D$9,IFERROR(MATCH(IF($B147="Robusta","Robusta",(IF($B147="","Arabica",$B147))&amp;" - "&amp;(IF($C147="","Commercial",$C147))),Variables!$B$1:$D$1,0),1))*BD147/365),""))</f>
        <v>322.59078969662312</v>
      </c>
      <c r="BJ147" s="44">
        <f t="shared" si="8"/>
        <v>351</v>
      </c>
      <c r="BK147" s="44">
        <f>IF($AX147="Cancelled","",IFERROR(IF(BJ147="","",(W147*INDEX(Variables!$B$7:$D$7,IFERROR(MATCH(IF($B147="Robusta","Robusta",(IF($B147="","Arabica",$B147))&amp;" - "&amp;(IF($C147="","Commercial",$C147))),Variables!$B$1:$D$1,0),1))*(BJ147/365))+(W147*INDEX(Variables!$B$9:$D$9,IFERROR(MATCH(IF($B147="Robusta","Robusta",(IF($B147="","Arabica",$B147))&amp;" - "&amp;(IF($C147="","Commercial",$C147))),Variables!$B$1:$D$1,0),1))*(BJ147/365))+(INDEX(Variables!$B$8:$D$8,IFERROR(MATCH(IF($B147="Robusta","Robusta",(IF($B147="","Arabica",$B147))&amp;" - "&amp;(IF($C147="","Commercial",$C147))),Variables!$B$1:$D$1,0),1))*L147/16.67)),""))</f>
        <v>201.02531671220194</v>
      </c>
    </row>
    <row r="148" spans="1:63">
      <c r="A148" s="13" t="s">
        <v>103</v>
      </c>
      <c r="B148" s="13" t="s">
        <v>104</v>
      </c>
      <c r="C148" s="13" t="s">
        <v>292</v>
      </c>
      <c r="D148" s="31">
        <v>45684</v>
      </c>
      <c r="E148" s="31">
        <v>45689</v>
      </c>
      <c r="F148" s="31">
        <v>45716</v>
      </c>
      <c r="G148" s="13">
        <v>3786641</v>
      </c>
      <c r="J148" s="13" t="s">
        <v>592</v>
      </c>
      <c r="K148" s="13" t="s">
        <v>603</v>
      </c>
      <c r="L148" s="13">
        <v>10</v>
      </c>
      <c r="M148" s="13">
        <v>0</v>
      </c>
      <c r="N148" s="13" t="s">
        <v>604</v>
      </c>
      <c r="O148" s="13" t="s">
        <v>304</v>
      </c>
      <c r="P148" s="13">
        <v>10010</v>
      </c>
      <c r="R148" s="13" t="s">
        <v>384</v>
      </c>
      <c r="S148" s="13" t="s">
        <v>595</v>
      </c>
      <c r="T148" s="13" t="s">
        <v>596</v>
      </c>
      <c r="U148" s="13" t="s">
        <v>125</v>
      </c>
      <c r="V148" s="13">
        <v>168.95</v>
      </c>
      <c r="W148" s="44">
        <f>IF($AX148="Cancelled","",IFERROR(((V148+INDEX(Variables!$B$6:$D$6,IFERROR(MATCH(IF($B148="Robusta","Robusta",(IF($B148="","Arabica",$B148))&amp;" - "&amp;(IF($C148="","Commercial",$C148))),Variables!$B$1:$D$1,0),1)))*22.0462)*(L148/16.67),""))</f>
        <v>6080.2282243551281</v>
      </c>
      <c r="X148" s="55" t="s">
        <v>39</v>
      </c>
      <c r="Y148" s="13" t="str">
        <f>IF($AX148="Cancelled","",IF(X148="","",IFERROR(IF(INDEX(Variables!$B$38:$B$47,MATCH(X148,Variables!$A$38:$A$47,0))="Yes","Yes","No"),"No")))</f>
        <v>No</v>
      </c>
      <c r="Z148" s="31"/>
      <c r="AB148" s="31">
        <v>45672.875</v>
      </c>
      <c r="AC148" s="13" t="str">
        <f t="shared" si="6"/>
        <v>Approved</v>
      </c>
      <c r="AF148" s="71">
        <f>AJ148-7</f>
        <v>45713</v>
      </c>
      <c r="AG148" s="36">
        <f>IF($AX148="Cancelled","",IFERROR(IF(F148="","",F148-Variables!$B$13),""))</f>
        <v>45701</v>
      </c>
      <c r="AH148" s="13">
        <f>IF($AX148="Cancelled","",IFERROR(IF(AB148="","",(AVERAGE(E148:F148)-AB148)-Variables!$B$14),""))</f>
        <v>-0.375</v>
      </c>
      <c r="AJ148" s="47">
        <v>45720</v>
      </c>
      <c r="AK148" s="14">
        <f>IF($AX148="Cancelled","",IFERROR(IF(AJ148="","",IF(AND(AB148="",AF148=""),"",IF(AF148&gt;AB148,AF148+Variables!$B$15+Variables!$B$16+Variables!$B$17-AJ148,AB148+Variables!$B$16+Variables!$B$17-AJ148))),""))</f>
        <v>8</v>
      </c>
      <c r="AL148" s="48" t="s">
        <v>114</v>
      </c>
      <c r="AM148" s="13" t="s">
        <v>115</v>
      </c>
      <c r="AN148" s="13" t="s">
        <v>126</v>
      </c>
      <c r="AP148" s="31">
        <v>45360</v>
      </c>
      <c r="AR148" s="13">
        <v>250897783</v>
      </c>
      <c r="AS148" s="31">
        <v>45365</v>
      </c>
      <c r="AU148" s="31">
        <v>45734</v>
      </c>
      <c r="AV148" s="13" t="s">
        <v>865</v>
      </c>
      <c r="AW148" s="31">
        <v>45742</v>
      </c>
      <c r="AX148" s="13" t="str">
        <f>IF(ISNUMBER(SEARCH("cancel",#REF!)),"Cancelled",IF(AND(AS148&lt;&gt;"",AU148&lt;&gt;"",AW148&lt;&gt;""),"Closed","Open"))</f>
        <v>Closed</v>
      </c>
      <c r="AY148" s="15" t="str">
        <f t="shared" si="7"/>
        <v>All dates received</v>
      </c>
      <c r="BD148" s="13">
        <f>IF($AX148="Cancelled","",IFERROR(IF(OR(AS148="",AJ148=""),"",(AJ148+Variables!$B$18-AS148)),""))</f>
        <v>370</v>
      </c>
      <c r="BE148" s="13">
        <f>IF($AX148="Cancelled","",IFERROR(IF(OR(AW148="",AS148=""),"",(AS148+Variables!$B$19)-AW148),""))</f>
        <v>-372</v>
      </c>
      <c r="BF148" s="44">
        <f>IF($AX148="Cancelled","",IFERROR(W148*INDEX(Variables!$B$7:$D$7,IFERROR(MATCH(IF($B148="Robusta","Robusta",(IF($B148="","Arabica",$B148))&amp;" - "&amp;(IF($C148="","Commercial",$C148))),Variables!$B$1:$D$1,0),1))*(BE148/365),""))</f>
        <v>-399.58557582456592</v>
      </c>
      <c r="BG148" s="44">
        <f>IF($AX148="Cancelled","",IFERROR((W148*INDEX(Variables!$B$7:$D$7,IFERROR(MATCH(IF($B148="Robusta","Robusta",(IF($B148="","Arabica",$B148))&amp;" - "&amp;(IF($C148="","Commercial",$C148))),Variables!$B$1:$D$1,0),1))*IFERROR(IF(AB148="","",(AVERAGE(E148:F148)-AB148)-Variables!$B$14),"")/365)+(L148/16.67*INDEX(Variables!$B$8:$D$8,IFERROR(MATCH(IF($B148="Robusta","Robusta",(IF($B148="","Arabica",$B148))&amp;" - "&amp;(IF($C148="","Commercial",$C148))),Variables!$B$1:$D$1,0),1))*IFERROR(IF(AB148="","",(AVERAGE(E148:F148)-AB148)-Variables!$B$14),""))+(W148*INDEX(Variables!$B$9:$D$9,IFERROR(MATCH(IF($B148="Robusta","Robusta",(IF($B148="","Arabica",$B148))&amp;" - "&amp;(IF($C148="","Commercial",$C148))),Variables!$B$1:$D$1,0),1))*IFERROR(IF(AB148="","",(AVERAGE(E148:F148)-AB148)-Variables!$B$14),"")/365),""))</f>
        <v>-0.59550101314871784</v>
      </c>
      <c r="BH148" s="44">
        <f>IF($AX148="Cancelled","",IFERROR((W148*INDEX(Variables!$B$7:$D$7,IFERROR(MATCH(IF($B148="Robusta","Robusta",(IF($B148="","Arabica",$B148))&amp;" - "&amp;(IF($C148="","Commercial",$C148))),Variables!$B$1:$D$1,0),1))*AK148/365)+(L148/16.67*INDEX(Variables!$B$8:$D$8,IFERROR(MATCH(IF($B148="Robusta","Robusta",(IF($B148="","Arabica",$B148))&amp;" - "&amp;(IF($C148="","Commercial",$C148))),Variables!$B$1:$D$1,0),1))*AK148)+(W148*INDEX(Variables!$B$9:$D$9,IFERROR(MATCH(IF($B148="Robusta","Robusta",(IF($B148="","Arabica",$B148))&amp;" - "&amp;(IF($C148="","Commercial",$C148))),Variables!$B$1:$D$1,0),1))*AK148/365),""))</f>
        <v>12.704021613839314</v>
      </c>
      <c r="BI148" s="44">
        <f>IF($AX148="Cancelled","",IFERROR((W148*INDEX(Variables!$B$7:$D$7,IFERROR(MATCH(IF($B148="Robusta","Robusta",(IF($B148="","Arabica",$B148))&amp;" - "&amp;(IF($C148="","Commercial",$C148))),Variables!$B$1:$D$1,0),1))*BD148/365)+(L148/16.67*INDEX(Variables!$B$8:$D$8,IFERROR(MATCH(IF($B148="Robusta","Robusta",(IF($B148="","Arabica",$B148))&amp;" - "&amp;(IF($C148="","Commercial",$C148))),Variables!$B$1:$D$1,0),1))*BD148)+(W148*INDEX(Variables!$B$9:$D$9,IFERROR(MATCH(IF($B148="Robusta","Robusta",(IF($B148="","Arabica",$B148))&amp;" - "&amp;(IF($C148="","Commercial",$C148))),Variables!$B$1:$D$1,0),1))*BD148/365),""))</f>
        <v>587.5609996400683</v>
      </c>
      <c r="BJ148" s="44">
        <f t="shared" si="8"/>
        <v>351</v>
      </c>
      <c r="BK148" s="44">
        <f>IF($AX148="Cancelled","",IFERROR(IF(BJ148="","",(W148*INDEX(Variables!$B$7:$D$7,IFERROR(MATCH(IF($B148="Robusta","Robusta",(IF($B148="","Arabica",$B148))&amp;" - "&amp;(IF($C148="","Commercial",$C148))),Variables!$B$1:$D$1,0),1))*(BJ148/365))+(W148*INDEX(Variables!$B$9:$D$9,IFERROR(MATCH(IF($B148="Robusta","Robusta",(IF($B148="","Arabica",$B148))&amp;" - "&amp;(IF($C148="","Commercial",$C148))),Variables!$B$1:$D$1,0),1))*(BJ148/365))+(INDEX(Variables!$B$8:$D$8,IFERROR(MATCH(IF($B148="Robusta","Robusta",(IF($B148="","Arabica",$B148))&amp;" - "&amp;(IF($C148="","Commercial",$C148))),Variables!$B$1:$D$1,0),1))*L148/16.67)),""))</f>
        <v>382.38894830719988</v>
      </c>
    </row>
    <row r="149" spans="1:63">
      <c r="A149" s="13" t="s">
        <v>103</v>
      </c>
      <c r="B149" s="13" t="s">
        <v>104</v>
      </c>
      <c r="C149" s="13" t="s">
        <v>292</v>
      </c>
      <c r="D149" s="31">
        <v>45684</v>
      </c>
      <c r="E149" s="31">
        <v>45689</v>
      </c>
      <c r="F149" s="31">
        <v>45716</v>
      </c>
      <c r="G149" s="13">
        <v>3786642</v>
      </c>
      <c r="J149" s="13" t="s">
        <v>592</v>
      </c>
      <c r="K149" s="13" t="s">
        <v>605</v>
      </c>
      <c r="L149" s="13">
        <v>100</v>
      </c>
      <c r="M149" s="13">
        <v>0</v>
      </c>
      <c r="N149" s="13" t="s">
        <v>606</v>
      </c>
      <c r="O149" s="13" t="s">
        <v>607</v>
      </c>
      <c r="P149" s="13">
        <v>10070</v>
      </c>
      <c r="R149" s="13" t="s">
        <v>239</v>
      </c>
      <c r="S149" s="13" t="s">
        <v>595</v>
      </c>
      <c r="T149" s="13" t="s">
        <v>596</v>
      </c>
      <c r="U149" s="13" t="s">
        <v>125</v>
      </c>
      <c r="V149" s="13">
        <v>18</v>
      </c>
      <c r="W149" s="44">
        <f>IF($AX149="Cancelled","",IFERROR(((V149+INDEX(Variables!$B$6:$D$6,IFERROR(MATCH(IF($B149="Robusta","Robusta",(IF($B149="","Arabica",$B149))&amp;" - "&amp;(IF($C149="","Commercial",$C149))),Variables!$B$1:$D$1,0),1)))*22.0462)*(L149/16.67),""))</f>
        <v>40839.031553689252</v>
      </c>
      <c r="X149" s="55" t="s">
        <v>37</v>
      </c>
      <c r="Y149" s="13" t="str">
        <f>IF($AX149="Cancelled","",IF(X149="","",IFERROR(IF(INDEX(Variables!$B$38:$B$47,MATCH(X149,Variables!$A$38:$A$47,0))="Yes","Yes","No"),"No")))</f>
        <v>Yes</v>
      </c>
      <c r="Z149" s="31">
        <v>45840</v>
      </c>
      <c r="AB149" s="31" t="s">
        <v>580</v>
      </c>
      <c r="AC149" s="13" t="str">
        <f t="shared" si="6"/>
        <v/>
      </c>
      <c r="AF149" s="71">
        <f>AJ149-7</f>
        <v>45713</v>
      </c>
      <c r="AG149" s="36">
        <f>IF($AX149="Cancelled","",IFERROR(IF(F149="","",F149-Variables!$B$13),""))</f>
        <v>45701</v>
      </c>
      <c r="AH149" s="13">
        <f>IF($AX149="Cancelled","",IFERROR(IF(AB149="","",(AVERAGE(E149:F149)-AB149)-Variables!$B$14),""))</f>
        <v>-42.5</v>
      </c>
      <c r="AJ149" s="47">
        <v>45720</v>
      </c>
      <c r="AK149" s="14">
        <f>IF($AX149="Cancelled","",IFERROR(IF(AJ149="","",IF(AND(AB149="",AF149=""),"",IF(AF149&gt;AB149,AF149+Variables!$B$15+Variables!$B$16+Variables!$B$17-AJ149,AB149+Variables!$B$16+Variables!$B$17-AJ149))),""))</f>
        <v>3</v>
      </c>
      <c r="AL149" s="48" t="s">
        <v>114</v>
      </c>
      <c r="AM149" s="13" t="s">
        <v>115</v>
      </c>
      <c r="AN149" s="13" t="s">
        <v>126</v>
      </c>
      <c r="AP149" s="31">
        <v>45360</v>
      </c>
      <c r="AR149" s="13">
        <v>250897783</v>
      </c>
      <c r="AS149" s="31">
        <v>45365</v>
      </c>
      <c r="AU149" s="31">
        <v>45734</v>
      </c>
      <c r="AV149" s="13" t="s">
        <v>865</v>
      </c>
      <c r="AW149" s="31">
        <v>45742</v>
      </c>
      <c r="AX149" s="13" t="str">
        <f>IF(ISNUMBER(SEARCH("cancel",#REF!)),"Cancelled",IF(AND(AS149&lt;&gt;"",AU149&lt;&gt;"",AW149&lt;&gt;""),"Closed","Open"))</f>
        <v>Closed</v>
      </c>
      <c r="AY149" s="15" t="str">
        <f t="shared" si="7"/>
        <v>All dates received</v>
      </c>
      <c r="BD149" s="13">
        <f>IF($AX149="Cancelled","",IFERROR(IF(OR(AS149="",AJ149=""),"",(AJ149+Variables!$B$18-AS149)),""))</f>
        <v>370</v>
      </c>
      <c r="BE149" s="13">
        <f>IF($AX149="Cancelled","",IFERROR(IF(OR(AW149="",AS149=""),"",(AS149+Variables!$B$19)-AW149),""))</f>
        <v>-372</v>
      </c>
      <c r="BF149" s="44">
        <f>IF($AX149="Cancelled","",IFERROR(W149*INDEX(Variables!$B$7:$D$7,IFERROR(MATCH(IF($B149="Robusta","Robusta",(IF($B149="","Arabica",$B149))&amp;" - "&amp;(IF($C149="","Commercial",$C149))),Variables!$B$1:$D$1,0),1))*(BE149/365),""))</f>
        <v>-2683.8939818298195</v>
      </c>
      <c r="BG149" s="44">
        <f>IF($AX149="Cancelled","",IFERROR((W149*INDEX(Variables!$B$7:$D$7,IFERROR(MATCH(IF($B149="Robusta","Robusta",(IF($B149="","Arabica",$B149))&amp;" - "&amp;(IF($C149="","Commercial",$C149))),Variables!$B$1:$D$1,0),1))*IFERROR(IF(AB149="","",(AVERAGE(E149:F149)-AB149)-Variables!$B$14),"")/365)+(L149/16.67*INDEX(Variables!$B$8:$D$8,IFERROR(MATCH(IF($B149="Robusta","Robusta",(IF($B149="","Arabica",$B149))&amp;" - "&amp;(IF($C149="","Commercial",$C149))),Variables!$B$1:$D$1,0),1))*IFERROR(IF(AB149="","",(AVERAGE(E149:F149)-AB149)-Variables!$B$14),""))+(W149*INDEX(Variables!$B$9:$D$9,IFERROR(MATCH(IF($B149="Robusta","Robusta",(IF($B149="","Arabica",$B149))&amp;" - "&amp;(IF($C149="","Commercial",$C149))),Variables!$B$1:$D$1,0),1))*IFERROR(IF(AB149="","",(AVERAGE(E149:F149)-AB149)-Variables!$B$14),"")/365),""))</f>
        <v>-523.08069510610972</v>
      </c>
      <c r="BH149" s="44">
        <f>IF($AX149="Cancelled","",IFERROR((W149*INDEX(Variables!$B$7:$D$7,IFERROR(MATCH(IF($B149="Robusta","Robusta",(IF($B149="","Arabica",$B149))&amp;" - "&amp;(IF($C149="","Commercial",$C149))),Variables!$B$1:$D$1,0),1))*AK149/365)+(L149/16.67*INDEX(Variables!$B$8:$D$8,IFERROR(MATCH(IF($B149="Robusta","Robusta",(IF($B149="","Arabica",$B149))&amp;" - "&amp;(IF($C149="","Commercial",$C149))),Variables!$B$1:$D$1,0),1))*AK149)+(W149*INDEX(Variables!$B$9:$D$9,IFERROR(MATCH(IF($B149="Robusta","Robusta",(IF($B149="","Arabica",$B149))&amp;" - "&amp;(IF($C149="","Commercial",$C149))),Variables!$B$1:$D$1,0),1))*AK149/365),""))</f>
        <v>36.923343183960682</v>
      </c>
      <c r="BI149" s="44">
        <f>IF($AX149="Cancelled","",IFERROR((W149*INDEX(Variables!$B$7:$D$7,IFERROR(MATCH(IF($B149="Robusta","Robusta",(IF($B149="","Arabica",$B149))&amp;" - "&amp;(IF($C149="","Commercial",$C149))),Variables!$B$1:$D$1,0),1))*BD149/365)+(L149/16.67*INDEX(Variables!$B$8:$D$8,IFERROR(MATCH(IF($B149="Robusta","Robusta",(IF($B149="","Arabica",$B149))&amp;" - "&amp;(IF($C149="","Commercial",$C149))),Variables!$B$1:$D$1,0),1))*BD149)+(W149*INDEX(Variables!$B$9:$D$9,IFERROR(MATCH(IF($B149="Robusta","Robusta",(IF($B149="","Arabica",$B149))&amp;" - "&amp;(IF($C149="","Commercial",$C149))),Variables!$B$1:$D$1,0),1))*BD149/365),""))</f>
        <v>4553.8789926884847</v>
      </c>
      <c r="BJ149" s="44">
        <f t="shared" si="8"/>
        <v>351</v>
      </c>
      <c r="BK149" s="44">
        <f>IF($AX149="Cancelled","",IFERROR(IF(BJ149="","",(W149*INDEX(Variables!$B$7:$D$7,IFERROR(MATCH(IF($B149="Robusta","Robusta",(IF($B149="","Arabica",$B149))&amp;" - "&amp;(IF($C149="","Commercial",$C149))),Variables!$B$1:$D$1,0),1))*(BJ149/365))+(W149*INDEX(Variables!$B$9:$D$9,IFERROR(MATCH(IF($B149="Robusta","Robusta",(IF($B149="","Arabica",$B149))&amp;" - "&amp;(IF($C149="","Commercial",$C149))),Variables!$B$1:$D$1,0),1))*(BJ149/365))+(INDEX(Variables!$B$8:$D$8,IFERROR(MATCH(IF($B149="Robusta","Robusta",(IF($B149="","Arabica",$B149))&amp;" - "&amp;(IF($C149="","Commercial",$C149))),Variables!$B$1:$D$1,0),1))*L149/16.67)),""))</f>
        <v>2570.0311525234001</v>
      </c>
    </row>
    <row r="150" spans="1:63">
      <c r="A150" s="13" t="s">
        <v>103</v>
      </c>
      <c r="B150" s="13" t="s">
        <v>104</v>
      </c>
      <c r="C150" s="13" t="s">
        <v>292</v>
      </c>
      <c r="D150" s="31">
        <v>45684</v>
      </c>
      <c r="E150" s="31">
        <v>45689</v>
      </c>
      <c r="F150" s="31">
        <v>45716</v>
      </c>
      <c r="G150" s="13">
        <v>3786643</v>
      </c>
      <c r="J150" s="13" t="s">
        <v>294</v>
      </c>
      <c r="K150" s="13" t="s">
        <v>608</v>
      </c>
      <c r="L150" s="13">
        <v>40</v>
      </c>
      <c r="M150" s="13">
        <v>0</v>
      </c>
      <c r="N150" s="13" t="s">
        <v>609</v>
      </c>
      <c r="O150" s="13" t="s">
        <v>297</v>
      </c>
      <c r="P150" s="13">
        <v>10020</v>
      </c>
      <c r="R150" s="13" t="s">
        <v>384</v>
      </c>
      <c r="S150" s="13" t="s">
        <v>299</v>
      </c>
      <c r="T150" s="13" t="s">
        <v>305</v>
      </c>
      <c r="U150" s="13" t="s">
        <v>125</v>
      </c>
      <c r="V150" s="13">
        <v>84.8</v>
      </c>
      <c r="W150" s="44">
        <f>IF($AX150="Cancelled","",IFERROR(((V150+INDEX(Variables!$B$6:$D$6,IFERROR(MATCH(IF($B150="Robusta","Robusta",(IF($B150="","Arabica",$B150))&amp;" - "&amp;(IF($C150="","Commercial",$C150))),Variables!$B$1:$D$1,0),1)))*22.0462)*(L150/16.67),""))</f>
        <v>19869.352657468502</v>
      </c>
      <c r="X150" s="55" t="s">
        <v>37</v>
      </c>
      <c r="Y150" s="13" t="str">
        <f>IF($AX150="Cancelled","",IF(X150="","",IFERROR(IF(INDEX(Variables!$B$38:$B$47,MATCH(X150,Variables!$A$38:$A$47,0))="Yes","Yes","No"),"No")))</f>
        <v>Yes</v>
      </c>
      <c r="Z150" s="31">
        <v>45687.875</v>
      </c>
      <c r="AC150" s="13" t="str">
        <f t="shared" si="6"/>
        <v/>
      </c>
      <c r="AF150" s="71">
        <f>AJ150-7</f>
        <v>45681</v>
      </c>
      <c r="AG150" s="36">
        <f>IF($AX150="Cancelled","",IFERROR(IF(F150="","",F150-Variables!$B$13),""))</f>
        <v>45701</v>
      </c>
      <c r="AH150" s="13" t="str">
        <f>IF($AX150="Cancelled","",IFERROR(IF(AB150="","",(AVERAGE(E150:F150)-AB150)-Variables!$B$14),""))</f>
        <v/>
      </c>
      <c r="AJ150" s="47">
        <v>45688</v>
      </c>
      <c r="AK150" s="14">
        <f>IF($AX150="Cancelled","",IFERROR(IF(AJ150="","",IF(AND(AB150="",AF150=""),"",IF(AF150&gt;AB150,AF150+Variables!$B$15+Variables!$B$16+Variables!$B$17-AJ150,AB150+Variables!$B$16+Variables!$B$17-AJ150))),""))</f>
        <v>8</v>
      </c>
      <c r="AL150" s="48" t="s">
        <v>114</v>
      </c>
      <c r="AM150" s="13" t="s">
        <v>168</v>
      </c>
      <c r="AN150" s="13" t="s">
        <v>334</v>
      </c>
      <c r="AP150" s="31">
        <v>45703</v>
      </c>
      <c r="AR150" s="13" t="s">
        <v>3251</v>
      </c>
      <c r="AS150" s="31">
        <v>45708</v>
      </c>
      <c r="AU150" s="31">
        <v>45713</v>
      </c>
      <c r="AV150" s="13" t="s">
        <v>865</v>
      </c>
      <c r="AW150" s="31">
        <v>45716</v>
      </c>
      <c r="AX150" s="13" t="str">
        <f>IF(ISNUMBER(SEARCH("cancel",#REF!)),"Cancelled",IF(AND(AS150&lt;&gt;"",AU150&lt;&gt;"",AW150&lt;&gt;""),"Closed","Open"))</f>
        <v>Closed</v>
      </c>
      <c r="AY150" s="15" t="str">
        <f t="shared" si="7"/>
        <v>All dates received</v>
      </c>
      <c r="BD150" s="13">
        <f>IF($AX150="Cancelled","",IFERROR(IF(OR(AS150="",AJ150=""),"",(AJ150+Variables!$B$18-AS150)),""))</f>
        <v>-5</v>
      </c>
      <c r="BE150" s="13">
        <f>IF($AX150="Cancelled","",IFERROR(IF(OR(AW150="",AS150=""),"",(AS150+Variables!$B$19)-AW150),""))</f>
        <v>-3</v>
      </c>
      <c r="BF150" s="44">
        <f>IF($AX150="Cancelled","",IFERROR(W150*INDEX(Variables!$B$7:$D$7,IFERROR(MATCH(IF($B150="Robusta","Robusta",(IF($B150="","Arabica",$B150))&amp;" - "&amp;(IF($C150="","Commercial",$C150))),Variables!$B$1:$D$1,0),1))*(BE150/365),""))</f>
        <v>-10.530571824077386</v>
      </c>
      <c r="BG150" s="44" t="str">
        <f>IF($AX150="Cancelled","",IFERROR((W150*INDEX(Variables!$B$7:$D$7,IFERROR(MATCH(IF($B150="Robusta","Robusta",(IF($B150="","Arabica",$B150))&amp;" - "&amp;(IF($C150="","Commercial",$C150))),Variables!$B$1:$D$1,0),1))*IFERROR(IF(AB150="","",(AVERAGE(E150:F150)-AB150)-Variables!$B$14),"")/365)+(L150/16.67*INDEX(Variables!$B$8:$D$8,IFERROR(MATCH(IF($B150="Robusta","Robusta",(IF($B150="","Arabica",$B150))&amp;" - "&amp;(IF($C150="","Commercial",$C150))),Variables!$B$1:$D$1,0),1))*IFERROR(IF(AB150="","",(AVERAGE(E150:F150)-AB150)-Variables!$B$14),""))+(W150*INDEX(Variables!$B$9:$D$9,IFERROR(MATCH(IF($B150="Robusta","Robusta",(IF($B150="","Arabica",$B150))&amp;" - "&amp;(IF($C150="","Commercial",$C150))),Variables!$B$1:$D$1,0),1))*IFERROR(IF(AB150="","",(AVERAGE(E150:F150)-AB150)-Variables!$B$14),"")/365),""))</f>
        <v/>
      </c>
      <c r="BH150" s="44">
        <f>IF($AX150="Cancelled","",IFERROR((W150*INDEX(Variables!$B$7:$D$7,IFERROR(MATCH(IF($B150="Robusta","Robusta",(IF($B150="","Arabica",$B150))&amp;" - "&amp;(IF($C150="","Commercial",$C150))),Variables!$B$1:$D$1,0),1))*AK150/365)+(L150/16.67*INDEX(Variables!$B$8:$D$8,IFERROR(MATCH(IF($B150="Robusta","Robusta",(IF($B150="","Arabica",$B150))&amp;" - "&amp;(IF($C150="","Commercial",$C150))),Variables!$B$1:$D$1,0),1))*AK150)+(W150*INDEX(Variables!$B$9:$D$9,IFERROR(MATCH(IF($B150="Robusta","Robusta",(IF($B150="","Arabica",$B150))&amp;" - "&amp;(IF($C150="","Commercial",$C150))),Variables!$B$1:$D$1,0),1))*AK150/365),""))</f>
        <v>44.443549913283704</v>
      </c>
      <c r="BI150" s="44">
        <f>IF($AX150="Cancelled","",IFERROR((W150*INDEX(Variables!$B$7:$D$7,IFERROR(MATCH(IF($B150="Robusta","Robusta",(IF($B150="","Arabica",$B150))&amp;" - "&amp;(IF($C150="","Commercial",$C150))),Variables!$B$1:$D$1,0),1))*BD150/365)+(L150/16.67*INDEX(Variables!$B$8:$D$8,IFERROR(MATCH(IF($B150="Robusta","Robusta",(IF($B150="","Arabica",$B150))&amp;" - "&amp;(IF($C150="","Commercial",$C150))),Variables!$B$1:$D$1,0),1))*BD150)+(W150*INDEX(Variables!$B$9:$D$9,IFERROR(MATCH(IF($B150="Robusta","Robusta",(IF($B150="","Arabica",$B150))&amp;" - "&amp;(IF($C150="","Commercial",$C150))),Variables!$B$1:$D$1,0),1))*BD150/365),""))</f>
        <v>-27.777218695802318</v>
      </c>
      <c r="BJ150" s="44">
        <f t="shared" si="8"/>
        <v>8</v>
      </c>
      <c r="BK150" s="44">
        <f>IF($AX150="Cancelled","",IFERROR(IF(BJ150="","",(W150*INDEX(Variables!$B$7:$D$7,IFERROR(MATCH(IF($B150="Robusta","Robusta",(IF($B150="","Arabica",$B150))&amp;" - "&amp;(IF($C150="","Commercial",$C150))),Variables!$B$1:$D$1,0),1))*(BJ150/365))+(W150*INDEX(Variables!$B$9:$D$9,IFERROR(MATCH(IF($B150="Robusta","Robusta",(IF($B150="","Arabica",$B150))&amp;" - "&amp;(IF($C150="","Commercial",$C150))),Variables!$B$1:$D$1,0),1))*(BJ150/365))+(INDEX(Variables!$B$8:$D$8,IFERROR(MATCH(IF($B150="Robusta","Robusta",(IF($B150="","Arabica",$B150))&amp;" - "&amp;(IF($C150="","Commercial",$C150))),Variables!$B$1:$D$1,0),1))*L150/16.67)),""))</f>
        <v>30.443549913283704</v>
      </c>
    </row>
    <row r="151" spans="1:63">
      <c r="A151" s="13" t="s">
        <v>103</v>
      </c>
      <c r="B151" s="13" t="s">
        <v>104</v>
      </c>
      <c r="C151" s="13" t="s">
        <v>105</v>
      </c>
      <c r="D151" s="31">
        <v>45686</v>
      </c>
      <c r="E151" s="31">
        <v>45778</v>
      </c>
      <c r="F151" s="31">
        <v>45808</v>
      </c>
      <c r="G151" s="13">
        <v>3786644</v>
      </c>
      <c r="H151" s="13" t="s">
        <v>610</v>
      </c>
      <c r="J151" s="13" t="s">
        <v>611</v>
      </c>
      <c r="K151" s="13">
        <v>5263</v>
      </c>
      <c r="L151" s="13">
        <v>320</v>
      </c>
      <c r="M151" s="13">
        <v>1</v>
      </c>
      <c r="N151" s="13" t="s">
        <v>612</v>
      </c>
      <c r="O151" s="13" t="s">
        <v>179</v>
      </c>
      <c r="P151" s="13">
        <v>10100</v>
      </c>
      <c r="R151" s="13" t="s">
        <v>252</v>
      </c>
      <c r="S151" s="13" t="s">
        <v>553</v>
      </c>
      <c r="T151" s="13" t="s">
        <v>112</v>
      </c>
      <c r="U151" s="13" t="s">
        <v>113</v>
      </c>
      <c r="V151" s="13">
        <v>15</v>
      </c>
      <c r="W151" s="44">
        <f>IF($AX151="Cancelled","",IFERROR(((V151+INDEX(Variables!$B$6:$D$6,IFERROR(MATCH(IF($B151="Robusta","Robusta",(IF($B151="","Arabica",$B151))&amp;" - "&amp;(IF($C151="","Commercial",$C151))),Variables!$B$1:$D$1,0),1)))*22.0462)*(L151/16.67),""))</f>
        <v>129415.29377324534</v>
      </c>
      <c r="X151" s="55" t="s">
        <v>37</v>
      </c>
      <c r="Y151" s="13" t="str">
        <f>IF($AX151="Cancelled","",IF(X151="","",IFERROR(IF(INDEX(Variables!$B$38:$B$47,MATCH(X151,Variables!$A$38:$A$47,0))="Yes","Yes","No"),"No")))</f>
        <v>Yes</v>
      </c>
      <c r="Z151" s="58">
        <v>45744</v>
      </c>
      <c r="AB151" s="31">
        <v>45751</v>
      </c>
      <c r="AC151" s="13" t="str">
        <f t="shared" si="6"/>
        <v>Approved</v>
      </c>
      <c r="AF151" s="71">
        <f>AJ151-7</f>
        <v>45782</v>
      </c>
      <c r="AG151" s="35">
        <f>IF($AX151="Cancelled","",IFERROR(IF(F151="","",F151-Variables!$B$13),""))</f>
        <v>45793</v>
      </c>
      <c r="AH151" s="13">
        <f>IF($AX151="Cancelled","",IFERROR(IF(AB151="","",(AVERAGE(E151:F151)-AB151)-Variables!$B$14),""))</f>
        <v>12</v>
      </c>
      <c r="AJ151" s="47">
        <v>45789</v>
      </c>
      <c r="AK151" s="14">
        <f>IF($AX151="Cancelled","",IFERROR(IF(AJ151="","",IF(AND(AB151="",AF151=""),"",IF(AF151&gt;AB151,AF151+Variables!$B$15+Variables!$B$16+Variables!$B$17-AJ151,AB151+Variables!$B$16+Variables!$B$17-AJ151))),""))</f>
        <v>8</v>
      </c>
      <c r="AL151" s="48" t="s">
        <v>114</v>
      </c>
      <c r="AM151" s="13" t="s">
        <v>613</v>
      </c>
      <c r="AN151" s="13" t="s">
        <v>614</v>
      </c>
      <c r="AP151" s="31">
        <v>45811</v>
      </c>
      <c r="AR151" s="13" t="s">
        <v>615</v>
      </c>
      <c r="AS151" s="31">
        <v>45811</v>
      </c>
      <c r="AU151" s="31">
        <v>45815</v>
      </c>
      <c r="AV151" s="13" t="s">
        <v>865</v>
      </c>
      <c r="AW151" s="31">
        <v>45832</v>
      </c>
      <c r="AX151" s="13" t="str">
        <f>IF(ISNUMBER(SEARCH("cancel",#REF!)),"Cancelled",IF(AND(AS151&lt;&gt;"",AU151&lt;&gt;"",AW151&lt;&gt;""),"Closed","Open"))</f>
        <v>Closed</v>
      </c>
      <c r="AY151" s="15" t="str">
        <f t="shared" si="7"/>
        <v>All dates received</v>
      </c>
      <c r="BD151" s="13">
        <f>IF($AX151="Cancelled","",IFERROR(IF(OR(AS151="",AJ151=""),"",(AJ151+Variables!$B$18-AS151)),""))</f>
        <v>-7</v>
      </c>
      <c r="BE151" s="13">
        <f>IF($AX151="Cancelled","",IFERROR(IF(OR(AW151="",AS151=""),"",(AS151+Variables!$B$19)-AW151),""))</f>
        <v>-16</v>
      </c>
      <c r="BF151" s="44">
        <f>IF($AX151="Cancelled","",IFERROR(W151*INDEX(Variables!$B$7:$D$7,IFERROR(MATCH(IF($B151="Robusta","Robusta",(IF($B151="","Arabica",$B151))&amp;" - "&amp;(IF($C151="","Commercial",$C151))),Variables!$B$1:$D$1,0),1))*(BE151/365),""))</f>
        <v>-365.80746766663719</v>
      </c>
      <c r="BG151" s="44">
        <f>IF($AX151="Cancelled","",IFERROR((W151*INDEX(Variables!$B$7:$D$7,IFERROR(MATCH(IF($B151="Robusta","Robusta",(IF($B151="","Arabica",$B151))&amp;" - "&amp;(IF($C151="","Commercial",$C151))),Variables!$B$1:$D$1,0),1))*IFERROR(IF(AB151="","",(AVERAGE(E151:F151)-AB151)-Variables!$B$14),"")/365)+(L151/16.67*INDEX(Variables!$B$8:$D$8,IFERROR(MATCH(IF($B151="Robusta","Robusta",(IF($B151="","Arabica",$B151))&amp;" - "&amp;(IF($C151="","Commercial",$C151))),Variables!$B$1:$D$1,0),1))*IFERROR(IF(AB151="","",(AVERAGE(E151:F151)-AB151)-Variables!$B$14),""))+(W151*INDEX(Variables!$B$9:$D$9,IFERROR(MATCH(IF($B151="Robusta","Robusta",(IF($B151="","Arabica",$B151))&amp;" - "&amp;(IF($C151="","Commercial",$C151))),Variables!$B$1:$D$1,0),1))*IFERROR(IF(AB151="","",(AVERAGE(E151:F151)-AB151)-Variables!$B$14),"")/365),""))</f>
        <v>469.89257391316801</v>
      </c>
      <c r="BH151" s="44">
        <f>IF($AX151="Cancelled","",IFERROR((W151*INDEX(Variables!$B$7:$D$7,IFERROR(MATCH(IF($B151="Robusta","Robusta",(IF($B151="","Arabica",$B151))&amp;" - "&amp;(IF($C151="","Commercial",$C151))),Variables!$B$1:$D$1,0),1))*AK151/365)+(L151/16.67*INDEX(Variables!$B$8:$D$8,IFERROR(MATCH(IF($B151="Robusta","Robusta",(IF($B151="","Arabica",$B151))&amp;" - "&amp;(IF($C151="","Commercial",$C151))),Variables!$B$1:$D$1,0),1))*AK151)+(W151*INDEX(Variables!$B$9:$D$9,IFERROR(MATCH(IF($B151="Robusta","Robusta",(IF($B151="","Arabica",$B151))&amp;" - "&amp;(IF($C151="","Commercial",$C151))),Variables!$B$1:$D$1,0),1))*AK151/365),""))</f>
        <v>313.261715942112</v>
      </c>
      <c r="BI151" s="44">
        <f>IF($AX151="Cancelled","",IFERROR((W151*INDEX(Variables!$B$7:$D$7,IFERROR(MATCH(IF($B151="Robusta","Robusta",(IF($B151="","Arabica",$B151))&amp;" - "&amp;(IF($C151="","Commercial",$C151))),Variables!$B$1:$D$1,0),1))*BD151/365)+(L151/16.67*INDEX(Variables!$B$8:$D$8,IFERROR(MATCH(IF($B151="Robusta","Robusta",(IF($B151="","Arabica",$B151))&amp;" - "&amp;(IF($C151="","Commercial",$C151))),Variables!$B$1:$D$1,0),1))*BD151)+(W151*INDEX(Variables!$B$9:$D$9,IFERROR(MATCH(IF($B151="Robusta","Robusta",(IF($B151="","Arabica",$B151))&amp;" - "&amp;(IF($C151="","Commercial",$C151))),Variables!$B$1:$D$1,0),1))*BD151/365),""))</f>
        <v>-274.10400144934806</v>
      </c>
      <c r="BJ151" s="44">
        <f t="shared" si="8"/>
        <v>-3</v>
      </c>
      <c r="BK151" s="44">
        <f>IF($AX151="Cancelled","",IFERROR(IF(BJ151="","",(W151*INDEX(Variables!$B$7:$D$7,IFERROR(MATCH(IF($B151="Robusta","Robusta",(IF($B151="","Arabica",$B151))&amp;" - "&amp;(IF($C151="","Commercial",$C151))),Variables!$B$1:$D$1,0),1))*(BJ151/365))+(W151*INDEX(Variables!$B$9:$D$9,IFERROR(MATCH(IF($B151="Robusta","Robusta",(IF($B151="","Arabica",$B151))&amp;" - "&amp;(IF($C151="","Commercial",$C151))),Variables!$B$1:$D$1,0),1))*(BJ151/365))+(INDEX(Variables!$B$8:$D$8,IFERROR(MATCH(IF($B151="Robusta","Robusta",(IF($B151="","Arabica",$B151))&amp;" - "&amp;(IF($C151="","Commercial",$C151))),Variables!$B$1:$D$1,0),1))*L151/16.67)),""))</f>
        <v>-53.473143478292002</v>
      </c>
    </row>
    <row r="152" spans="1:63">
      <c r="A152" s="13" t="s">
        <v>103</v>
      </c>
      <c r="B152" s="13" t="s">
        <v>104</v>
      </c>
      <c r="C152" s="13" t="s">
        <v>105</v>
      </c>
      <c r="D152" s="31">
        <v>45686</v>
      </c>
      <c r="E152" s="31">
        <v>45809</v>
      </c>
      <c r="F152" s="31">
        <v>45838</v>
      </c>
      <c r="G152" s="13">
        <v>3786645</v>
      </c>
      <c r="H152" s="13" t="s">
        <v>616</v>
      </c>
      <c r="J152" s="13" t="s">
        <v>611</v>
      </c>
      <c r="K152" s="13" t="s">
        <v>617</v>
      </c>
      <c r="L152" s="13">
        <v>320</v>
      </c>
      <c r="M152" s="13">
        <v>1</v>
      </c>
      <c r="N152" s="13" t="s">
        <v>612</v>
      </c>
      <c r="O152" s="13" t="s">
        <v>179</v>
      </c>
      <c r="P152" s="13">
        <v>10100</v>
      </c>
      <c r="R152" s="13" t="s">
        <v>252</v>
      </c>
      <c r="S152" s="13" t="s">
        <v>553</v>
      </c>
      <c r="T152" s="13" t="s">
        <v>112</v>
      </c>
      <c r="U152" s="13" t="s">
        <v>113</v>
      </c>
      <c r="V152" s="13">
        <v>15</v>
      </c>
      <c r="W152" s="44">
        <f>IF($AX152="Cancelled","",IFERROR(((V152+INDEX(Variables!$B$6:$D$6,IFERROR(MATCH(IF($B152="Robusta","Robusta",(IF($B152="","Arabica",$B152))&amp;" - "&amp;(IF($C152="","Commercial",$C152))),Variables!$B$1:$D$1,0),1)))*22.0462)*(L152/16.67),""))</f>
        <v>129415.29377324534</v>
      </c>
      <c r="X152" s="55" t="s">
        <v>37</v>
      </c>
      <c r="Y152" s="13" t="str">
        <f>IF($AX152="Cancelled","",IF(X152="","",IFERROR(IF(INDEX(Variables!$B$38:$B$47,MATCH(X152,Variables!$A$38:$A$47,0))="Yes","Yes","No"),"No")))</f>
        <v>Yes</v>
      </c>
      <c r="Z152" s="58">
        <v>45772</v>
      </c>
      <c r="AB152" s="31">
        <v>45775</v>
      </c>
      <c r="AC152" s="13" t="str">
        <f t="shared" si="6"/>
        <v>Approved</v>
      </c>
      <c r="AF152" s="71">
        <f>AJ152-7</f>
        <v>45800</v>
      </c>
      <c r="AG152" s="35">
        <f>IF($AX152="Cancelled","",IFERROR(IF(F152="","",F152-Variables!$B$13),""))</f>
        <v>45823</v>
      </c>
      <c r="AH152" s="13">
        <f>IF($AX152="Cancelled","",IFERROR(IF(AB152="","",(AVERAGE(E152:F152)-AB152)-Variables!$B$14),""))</f>
        <v>18.5</v>
      </c>
      <c r="AJ152" s="47">
        <v>45807</v>
      </c>
      <c r="AK152" s="14">
        <f>IF($AX152="Cancelled","",IFERROR(IF(AJ152="","",IF(AND(AB152="",AF152=""),"",IF(AF152&gt;AB152,AF152+Variables!$B$15+Variables!$B$16+Variables!$B$17-AJ152,AB152+Variables!$B$16+Variables!$B$17-AJ152))),""))</f>
        <v>8</v>
      </c>
      <c r="AL152" s="48" t="s">
        <v>114</v>
      </c>
      <c r="AM152" s="13" t="s">
        <v>134</v>
      </c>
      <c r="AN152" s="13" t="s">
        <v>618</v>
      </c>
      <c r="AP152" s="31">
        <v>45827</v>
      </c>
      <c r="AR152" s="13" t="s">
        <v>619</v>
      </c>
      <c r="AS152" s="31">
        <v>45827</v>
      </c>
      <c r="AU152" s="31">
        <v>45832</v>
      </c>
      <c r="AV152" s="13" t="s">
        <v>865</v>
      </c>
      <c r="AW152" s="31">
        <v>45840</v>
      </c>
      <c r="AX152" s="13" t="str">
        <f>IF(ISNUMBER(SEARCH("cancel",#REF!)),"Cancelled",IF(AND(AS152&lt;&gt;"",AU152&lt;&gt;"",AW152&lt;&gt;""),"Closed","Open"))</f>
        <v>Closed</v>
      </c>
      <c r="AY152" s="15" t="str">
        <f t="shared" si="7"/>
        <v>All dates received</v>
      </c>
      <c r="BD152" s="13">
        <f>IF($AX152="Cancelled","",IFERROR(IF(OR(AS152="",AJ152=""),"",(AJ152+Variables!$B$18-AS152)),""))</f>
        <v>-5</v>
      </c>
      <c r="BE152" s="13">
        <f>IF($AX152="Cancelled","",IFERROR(IF(OR(AW152="",AS152=""),"",(AS152+Variables!$B$19)-AW152),""))</f>
        <v>-8</v>
      </c>
      <c r="BF152" s="44">
        <f>IF($AX152="Cancelled","",IFERROR(W152*INDEX(Variables!$B$7:$D$7,IFERROR(MATCH(IF($B152="Robusta","Robusta",(IF($B152="","Arabica",$B152))&amp;" - "&amp;(IF($C152="","Commercial",$C152))),Variables!$B$1:$D$1,0),1))*(BE152/365),""))</f>
        <v>-182.9037338333186</v>
      </c>
      <c r="BG152" s="44">
        <f>IF($AX152="Cancelled","",IFERROR((W152*INDEX(Variables!$B$7:$D$7,IFERROR(MATCH(IF($B152="Robusta","Robusta",(IF($B152="","Arabica",$B152))&amp;" - "&amp;(IF($C152="","Commercial",$C152))),Variables!$B$1:$D$1,0),1))*IFERROR(IF(AB152="","",(AVERAGE(E152:F152)-AB152)-Variables!$B$14),"")/365)+(L152/16.67*INDEX(Variables!$B$8:$D$8,IFERROR(MATCH(IF($B152="Robusta","Robusta",(IF($B152="","Arabica",$B152))&amp;" - "&amp;(IF($C152="","Commercial",$C152))),Variables!$B$1:$D$1,0),1))*IFERROR(IF(AB152="","",(AVERAGE(E152:F152)-AB152)-Variables!$B$14),""))+(W152*INDEX(Variables!$B$9:$D$9,IFERROR(MATCH(IF($B152="Robusta","Robusta",(IF($B152="","Arabica",$B152))&amp;" - "&amp;(IF($C152="","Commercial",$C152))),Variables!$B$1:$D$1,0),1))*IFERROR(IF(AB152="","",(AVERAGE(E152:F152)-AB152)-Variables!$B$14),"")/365),""))</f>
        <v>724.41771811613398</v>
      </c>
      <c r="BH152" s="44">
        <f>IF($AX152="Cancelled","",IFERROR((W152*INDEX(Variables!$B$7:$D$7,IFERROR(MATCH(IF($B152="Robusta","Robusta",(IF($B152="","Arabica",$B152))&amp;" - "&amp;(IF($C152="","Commercial",$C152))),Variables!$B$1:$D$1,0),1))*AK152/365)+(L152/16.67*INDEX(Variables!$B$8:$D$8,IFERROR(MATCH(IF($B152="Robusta","Robusta",(IF($B152="","Arabica",$B152))&amp;" - "&amp;(IF($C152="","Commercial",$C152))),Variables!$B$1:$D$1,0),1))*AK152)+(W152*INDEX(Variables!$B$9:$D$9,IFERROR(MATCH(IF($B152="Robusta","Robusta",(IF($B152="","Arabica",$B152))&amp;" - "&amp;(IF($C152="","Commercial",$C152))),Variables!$B$1:$D$1,0),1))*AK152/365),""))</f>
        <v>313.261715942112</v>
      </c>
      <c r="BI152" s="44">
        <f>IF($AX152="Cancelled","",IFERROR((W152*INDEX(Variables!$B$7:$D$7,IFERROR(MATCH(IF($B152="Robusta","Robusta",(IF($B152="","Arabica",$B152))&amp;" - "&amp;(IF($C152="","Commercial",$C152))),Variables!$B$1:$D$1,0),1))*BD152/365)+(L152/16.67*INDEX(Variables!$B$8:$D$8,IFERROR(MATCH(IF($B152="Robusta","Robusta",(IF($B152="","Arabica",$B152))&amp;" - "&amp;(IF($C152="","Commercial",$C152))),Variables!$B$1:$D$1,0),1))*BD152)+(W152*INDEX(Variables!$B$9:$D$9,IFERROR(MATCH(IF($B152="Robusta","Robusta",(IF($B152="","Arabica",$B152))&amp;" - "&amp;(IF($C152="","Commercial",$C152))),Variables!$B$1:$D$1,0),1))*BD152/365),""))</f>
        <v>-195.78857246382</v>
      </c>
      <c r="BJ152" s="44">
        <f t="shared" si="8"/>
        <v>11</v>
      </c>
      <c r="BK152" s="44">
        <f>IF($AX152="Cancelled","",IFERROR(IF(BJ152="","",(W152*INDEX(Variables!$B$7:$D$7,IFERROR(MATCH(IF($B152="Robusta","Robusta",(IF($B152="","Arabica",$B152))&amp;" - "&amp;(IF($C152="","Commercial",$C152))),Variables!$B$1:$D$1,0),1))*(BJ152/365))+(W152*INDEX(Variables!$B$9:$D$9,IFERROR(MATCH(IF($B152="Robusta","Robusta",(IF($B152="","Arabica",$B152))&amp;" - "&amp;(IF($C152="","Commercial",$C152))),Variables!$B$1:$D$1,0),1))*(BJ152/365))+(INDEX(Variables!$B$8:$D$8,IFERROR(MATCH(IF($B152="Robusta","Robusta",(IF($B152="","Arabica",$B152))&amp;" - "&amp;(IF($C152="","Commercial",$C152))),Variables!$B$1:$D$1,0),1))*L152/16.67)),""))</f>
        <v>270.73485942040401</v>
      </c>
    </row>
    <row r="153" spans="1:63">
      <c r="A153" s="13" t="s">
        <v>103</v>
      </c>
      <c r="B153" s="13" t="s">
        <v>104</v>
      </c>
      <c r="C153" s="13" t="s">
        <v>105</v>
      </c>
      <c r="D153" s="31">
        <v>45686</v>
      </c>
      <c r="E153" s="31">
        <v>45809</v>
      </c>
      <c r="F153" s="31">
        <v>45838</v>
      </c>
      <c r="G153" s="13">
        <v>3786645</v>
      </c>
      <c r="H153" s="13" t="s">
        <v>616</v>
      </c>
      <c r="J153" s="13" t="s">
        <v>611</v>
      </c>
      <c r="K153" s="13" t="s">
        <v>620</v>
      </c>
      <c r="L153" s="13">
        <v>320</v>
      </c>
      <c r="M153" s="13">
        <v>1</v>
      </c>
      <c r="N153" s="13" t="s">
        <v>612</v>
      </c>
      <c r="O153" s="13" t="s">
        <v>179</v>
      </c>
      <c r="P153" s="13">
        <v>10100</v>
      </c>
      <c r="R153" s="13" t="s">
        <v>252</v>
      </c>
      <c r="S153" s="13" t="s">
        <v>553</v>
      </c>
      <c r="T153" s="13" t="s">
        <v>112</v>
      </c>
      <c r="U153" s="13" t="s">
        <v>113</v>
      </c>
      <c r="V153" s="13">
        <v>15</v>
      </c>
      <c r="W153" s="44">
        <f>IF($AX153="Cancelled","",IFERROR(((V153+INDEX(Variables!$B$6:$D$6,IFERROR(MATCH(IF($B153="Robusta","Robusta",(IF($B153="","Arabica",$B153))&amp;" - "&amp;(IF($C153="","Commercial",$C153))),Variables!$B$1:$D$1,0),1)))*22.0462)*(L153/16.67),""))</f>
        <v>129415.29377324534</v>
      </c>
      <c r="X153" s="55" t="s">
        <v>37</v>
      </c>
      <c r="Y153" s="13" t="str">
        <f>IF($AX153="Cancelled","",IF(X153="","",IFERROR(IF(INDEX(Variables!$B$38:$B$47,MATCH(X153,Variables!$A$38:$A$47,0))="Yes","Yes","No"),"No")))</f>
        <v>Yes</v>
      </c>
      <c r="Z153" s="58">
        <v>45772</v>
      </c>
      <c r="AB153" s="31">
        <v>45775</v>
      </c>
      <c r="AC153" s="13" t="str">
        <f t="shared" si="6"/>
        <v>Approved</v>
      </c>
      <c r="AF153" s="71">
        <f>AJ153-7</f>
        <v>45800</v>
      </c>
      <c r="AG153" s="35">
        <f>IF($AX153="Cancelled","",IFERROR(IF(F153="","",F153-Variables!$B$13),""))</f>
        <v>45823</v>
      </c>
      <c r="AH153" s="13">
        <f>IF($AX153="Cancelled","",IFERROR(IF(AB153="","",(AVERAGE(E153:F153)-AB153)-Variables!$B$14),""))</f>
        <v>18.5</v>
      </c>
      <c r="AJ153" s="47">
        <v>45807</v>
      </c>
      <c r="AK153" s="14">
        <f>IF($AX153="Cancelled","",IFERROR(IF(AJ153="","",IF(AND(AB153="",AF153=""),"",IF(AF153&gt;AB153,AF153+Variables!$B$15+Variables!$B$16+Variables!$B$17-AJ153,AB153+Variables!$B$16+Variables!$B$17-AJ153))),""))</f>
        <v>8</v>
      </c>
      <c r="AL153" s="48" t="s">
        <v>114</v>
      </c>
      <c r="AM153" s="13" t="s">
        <v>134</v>
      </c>
      <c r="AN153" s="13" t="s">
        <v>618</v>
      </c>
      <c r="AP153" s="31">
        <v>45827</v>
      </c>
      <c r="AR153" s="13" t="s">
        <v>619</v>
      </c>
      <c r="AS153" s="31">
        <v>45827</v>
      </c>
      <c r="AU153" s="31">
        <v>45832</v>
      </c>
      <c r="AV153" s="13" t="s">
        <v>865</v>
      </c>
      <c r="AW153" s="31">
        <v>45838</v>
      </c>
      <c r="AX153" s="13" t="str">
        <f>IF(ISNUMBER(SEARCH("cancel",#REF!)),"Cancelled",IF(AND(AS153&lt;&gt;"",AU153&lt;&gt;"",AW153&lt;&gt;""),"Closed","Open"))</f>
        <v>Closed</v>
      </c>
      <c r="AY153" s="15" t="str">
        <f t="shared" si="7"/>
        <v>All dates received</v>
      </c>
      <c r="BD153" s="13">
        <f>IF($AX153="Cancelled","",IFERROR(IF(OR(AS153="",AJ153=""),"",(AJ153+Variables!$B$18-AS153)),""))</f>
        <v>-5</v>
      </c>
      <c r="BE153" s="13">
        <f>IF($AX153="Cancelled","",IFERROR(IF(OR(AW153="",AS153=""),"",(AS153+Variables!$B$19)-AW153),""))</f>
        <v>-6</v>
      </c>
      <c r="BF153" s="44">
        <f>IF($AX153="Cancelled","",IFERROR(W153*INDEX(Variables!$B$7:$D$7,IFERROR(MATCH(IF($B153="Robusta","Robusta",(IF($B153="","Arabica",$B153))&amp;" - "&amp;(IF($C153="","Commercial",$C153))),Variables!$B$1:$D$1,0),1))*(BE153/365),""))</f>
        <v>-137.17780037498895</v>
      </c>
      <c r="BG153" s="44">
        <f>IF($AX153="Cancelled","",IFERROR((W153*INDEX(Variables!$B$7:$D$7,IFERROR(MATCH(IF($B153="Robusta","Robusta",(IF($B153="","Arabica",$B153))&amp;" - "&amp;(IF($C153="","Commercial",$C153))),Variables!$B$1:$D$1,0),1))*IFERROR(IF(AB153="","",(AVERAGE(E153:F153)-AB153)-Variables!$B$14),"")/365)+(L153/16.67*INDEX(Variables!$B$8:$D$8,IFERROR(MATCH(IF($B153="Robusta","Robusta",(IF($B153="","Arabica",$B153))&amp;" - "&amp;(IF($C153="","Commercial",$C153))),Variables!$B$1:$D$1,0),1))*IFERROR(IF(AB153="","",(AVERAGE(E153:F153)-AB153)-Variables!$B$14),""))+(W153*INDEX(Variables!$B$9:$D$9,IFERROR(MATCH(IF($B153="Robusta","Robusta",(IF($B153="","Arabica",$B153))&amp;" - "&amp;(IF($C153="","Commercial",$C153))),Variables!$B$1:$D$1,0),1))*IFERROR(IF(AB153="","",(AVERAGE(E153:F153)-AB153)-Variables!$B$14),"")/365),""))</f>
        <v>724.41771811613398</v>
      </c>
      <c r="BH153" s="44">
        <f>IF($AX153="Cancelled","",IFERROR((W153*INDEX(Variables!$B$7:$D$7,IFERROR(MATCH(IF($B153="Robusta","Robusta",(IF($B153="","Arabica",$B153))&amp;" - "&amp;(IF($C153="","Commercial",$C153))),Variables!$B$1:$D$1,0),1))*AK153/365)+(L153/16.67*INDEX(Variables!$B$8:$D$8,IFERROR(MATCH(IF($B153="Robusta","Robusta",(IF($B153="","Arabica",$B153))&amp;" - "&amp;(IF($C153="","Commercial",$C153))),Variables!$B$1:$D$1,0),1))*AK153)+(W153*INDEX(Variables!$B$9:$D$9,IFERROR(MATCH(IF($B153="Robusta","Robusta",(IF($B153="","Arabica",$B153))&amp;" - "&amp;(IF($C153="","Commercial",$C153))),Variables!$B$1:$D$1,0),1))*AK153/365),""))</f>
        <v>313.261715942112</v>
      </c>
      <c r="BI153" s="44">
        <f>IF($AX153="Cancelled","",IFERROR((W153*INDEX(Variables!$B$7:$D$7,IFERROR(MATCH(IF($B153="Robusta","Robusta",(IF($B153="","Arabica",$B153))&amp;" - "&amp;(IF($C153="","Commercial",$C153))),Variables!$B$1:$D$1,0),1))*BD153/365)+(L153/16.67*INDEX(Variables!$B$8:$D$8,IFERROR(MATCH(IF($B153="Robusta","Robusta",(IF($B153="","Arabica",$B153))&amp;" - "&amp;(IF($C153="","Commercial",$C153))),Variables!$B$1:$D$1,0),1))*BD153)+(W153*INDEX(Variables!$B$9:$D$9,IFERROR(MATCH(IF($B153="Robusta","Robusta",(IF($B153="","Arabica",$B153))&amp;" - "&amp;(IF($C153="","Commercial",$C153))),Variables!$B$1:$D$1,0),1))*BD153/365),""))</f>
        <v>-195.78857246382</v>
      </c>
      <c r="BJ153" s="44">
        <f t="shared" si="8"/>
        <v>11</v>
      </c>
      <c r="BK153" s="44">
        <f>IF($AX153="Cancelled","",IFERROR(IF(BJ153="","",(W153*INDEX(Variables!$B$7:$D$7,IFERROR(MATCH(IF($B153="Robusta","Robusta",(IF($B153="","Arabica",$B153))&amp;" - "&amp;(IF($C153="","Commercial",$C153))),Variables!$B$1:$D$1,0),1))*(BJ153/365))+(W153*INDEX(Variables!$B$9:$D$9,IFERROR(MATCH(IF($B153="Robusta","Robusta",(IF($B153="","Arabica",$B153))&amp;" - "&amp;(IF($C153="","Commercial",$C153))),Variables!$B$1:$D$1,0),1))*(BJ153/365))+(INDEX(Variables!$B$8:$D$8,IFERROR(MATCH(IF($B153="Robusta","Robusta",(IF($B153="","Arabica",$B153))&amp;" - "&amp;(IF($C153="","Commercial",$C153))),Variables!$B$1:$D$1,0),1))*L153/16.67)),""))</f>
        <v>270.73485942040401</v>
      </c>
    </row>
    <row r="154" spans="1:63">
      <c r="A154" s="13" t="s">
        <v>103</v>
      </c>
      <c r="B154" s="13" t="s">
        <v>104</v>
      </c>
      <c r="C154" s="13" t="s">
        <v>105</v>
      </c>
      <c r="D154" s="31">
        <v>45686</v>
      </c>
      <c r="E154" s="31">
        <v>45839</v>
      </c>
      <c r="F154" s="31">
        <v>45869</v>
      </c>
      <c r="G154" s="13">
        <v>3786646</v>
      </c>
      <c r="H154" s="13" t="s">
        <v>621</v>
      </c>
      <c r="J154" s="13" t="s">
        <v>611</v>
      </c>
      <c r="K154" s="13" t="s">
        <v>622</v>
      </c>
      <c r="L154" s="13">
        <v>320</v>
      </c>
      <c r="M154" s="13">
        <v>1</v>
      </c>
      <c r="N154" s="13" t="s">
        <v>612</v>
      </c>
      <c r="O154" s="13" t="s">
        <v>179</v>
      </c>
      <c r="P154" s="13">
        <v>10100</v>
      </c>
      <c r="R154" s="13" t="s">
        <v>252</v>
      </c>
      <c r="S154" s="13" t="s">
        <v>553</v>
      </c>
      <c r="T154" s="13" t="s">
        <v>112</v>
      </c>
      <c r="U154" s="13" t="s">
        <v>113</v>
      </c>
      <c r="V154" s="13">
        <v>15</v>
      </c>
      <c r="W154" s="44">
        <f>IF($AX154="Cancelled","",IFERROR(((V154+INDEX(Variables!$B$6:$D$6,IFERROR(MATCH(IF($B154="Robusta","Robusta",(IF($B154="","Arabica",$B154))&amp;" - "&amp;(IF($C154="","Commercial",$C154))),Variables!$B$1:$D$1,0),1)))*22.0462)*(L154/16.67),""))</f>
        <v>129415.29377324534</v>
      </c>
      <c r="X154" s="55" t="s">
        <v>37</v>
      </c>
      <c r="Y154" s="13" t="str">
        <f>IF($AX154="Cancelled","",IF(X154="","",IFERROR(IF(INDEX(Variables!$B$38:$B$47,MATCH(X154,Variables!$A$38:$A$47,0))="Yes","Yes","No"),"No")))</f>
        <v>Yes</v>
      </c>
      <c r="Z154" s="58">
        <v>45813</v>
      </c>
      <c r="AB154" s="31">
        <v>45831</v>
      </c>
      <c r="AC154" s="13" t="str">
        <f t="shared" si="6"/>
        <v>Approved</v>
      </c>
      <c r="AF154" s="71">
        <f>AJ154-7</f>
        <v>45832</v>
      </c>
      <c r="AG154" s="35">
        <f>IF($AX154="Cancelled","",IFERROR(IF(F154="","",F154-Variables!$B$13),""))</f>
        <v>45854</v>
      </c>
      <c r="AH154" s="13">
        <f>IF($AX154="Cancelled","",IFERROR(IF(AB154="","",(AVERAGE(E154:F154)-AB154)-Variables!$B$14),""))</f>
        <v>-7</v>
      </c>
      <c r="AJ154" s="47">
        <v>45839</v>
      </c>
      <c r="AK154" s="14">
        <f>IF($AX154="Cancelled","",IFERROR(IF(AJ154="","",IF(AND(AB154="",AF154=""),"",IF(AF154&gt;AB154,AF154+Variables!$B$15+Variables!$B$16+Variables!$B$17-AJ154,AB154+Variables!$B$16+Variables!$B$17-AJ154))),""))</f>
        <v>8</v>
      </c>
      <c r="AL154" s="48" t="s">
        <v>114</v>
      </c>
      <c r="AM154" s="13" t="s">
        <v>134</v>
      </c>
      <c r="AN154" s="13" t="s">
        <v>553</v>
      </c>
      <c r="AP154" s="31">
        <v>45853</v>
      </c>
      <c r="AR154" s="13" t="s">
        <v>623</v>
      </c>
      <c r="AS154" s="31">
        <v>45853</v>
      </c>
      <c r="AU154" s="31">
        <v>45853</v>
      </c>
      <c r="AV154" s="13" t="s">
        <v>865</v>
      </c>
      <c r="AW154" s="31">
        <v>45856</v>
      </c>
      <c r="AX154" s="13" t="str">
        <f>IF(ISNUMBER(SEARCH("cancel",#REF!)),"Cancelled",IF(AND(AS154&lt;&gt;"",AU154&lt;&gt;"",AW154&lt;&gt;""),"Closed","Open"))</f>
        <v>Closed</v>
      </c>
      <c r="AY154" s="15" t="str">
        <f t="shared" si="7"/>
        <v>All dates received</v>
      </c>
      <c r="BD154" s="13">
        <f>IF($AX154="Cancelled","",IFERROR(IF(OR(AS154="",AJ154=""),"",(AJ154+Variables!$B$18-AS154)),""))</f>
        <v>1</v>
      </c>
      <c r="BE154" s="13">
        <f>IF($AX154="Cancelled","",IFERROR(IF(OR(AW154="",AS154=""),"",(AS154+Variables!$B$19)-AW154),""))</f>
        <v>2</v>
      </c>
      <c r="BF154" s="44">
        <f>IF($AX154="Cancelled","",IFERROR(W154*INDEX(Variables!$B$7:$D$7,IFERROR(MATCH(IF($B154="Robusta","Robusta",(IF($B154="","Arabica",$B154))&amp;" - "&amp;(IF($C154="","Commercial",$C154))),Variables!$B$1:$D$1,0),1))*(BE154/365),""))</f>
        <v>45.725933458329649</v>
      </c>
      <c r="BG154" s="44">
        <f>IF($AX154="Cancelled","",IFERROR((W154*INDEX(Variables!$B$7:$D$7,IFERROR(MATCH(IF($B154="Robusta","Robusta",(IF($B154="","Arabica",$B154))&amp;" - "&amp;(IF($C154="","Commercial",$C154))),Variables!$B$1:$D$1,0),1))*IFERROR(IF(AB154="","",(AVERAGE(E154:F154)-AB154)-Variables!$B$14),"")/365)+(L154/16.67*INDEX(Variables!$B$8:$D$8,IFERROR(MATCH(IF($B154="Robusta","Robusta",(IF($B154="","Arabica",$B154))&amp;" - "&amp;(IF($C154="","Commercial",$C154))),Variables!$B$1:$D$1,0),1))*IFERROR(IF(AB154="","",(AVERAGE(E154:F154)-AB154)-Variables!$B$14),""))+(W154*INDEX(Variables!$B$9:$D$9,IFERROR(MATCH(IF($B154="Robusta","Robusta",(IF($B154="","Arabica",$B154))&amp;" - "&amp;(IF($C154="","Commercial",$C154))),Variables!$B$1:$D$1,0),1))*IFERROR(IF(AB154="","",(AVERAGE(E154:F154)-AB154)-Variables!$B$14),"")/365),""))</f>
        <v>-274.10400144934806</v>
      </c>
      <c r="BH154" s="44">
        <f>IF($AX154="Cancelled","",IFERROR((W154*INDEX(Variables!$B$7:$D$7,IFERROR(MATCH(IF($B154="Robusta","Robusta",(IF($B154="","Arabica",$B154))&amp;" - "&amp;(IF($C154="","Commercial",$C154))),Variables!$B$1:$D$1,0),1))*AK154/365)+(L154/16.67*INDEX(Variables!$B$8:$D$8,IFERROR(MATCH(IF($B154="Robusta","Robusta",(IF($B154="","Arabica",$B154))&amp;" - "&amp;(IF($C154="","Commercial",$C154))),Variables!$B$1:$D$1,0),1))*AK154)+(W154*INDEX(Variables!$B$9:$D$9,IFERROR(MATCH(IF($B154="Robusta","Robusta",(IF($B154="","Arabica",$B154))&amp;" - "&amp;(IF($C154="","Commercial",$C154))),Variables!$B$1:$D$1,0),1))*AK154/365),""))</f>
        <v>313.261715942112</v>
      </c>
      <c r="BI154" s="44">
        <f>IF($AX154="Cancelled","",IFERROR((W154*INDEX(Variables!$B$7:$D$7,IFERROR(MATCH(IF($B154="Robusta","Robusta",(IF($B154="","Arabica",$B154))&amp;" - "&amp;(IF($C154="","Commercial",$C154))),Variables!$B$1:$D$1,0),1))*BD154/365)+(L154/16.67*INDEX(Variables!$B$8:$D$8,IFERROR(MATCH(IF($B154="Robusta","Robusta",(IF($B154="","Arabica",$B154))&amp;" - "&amp;(IF($C154="","Commercial",$C154))),Variables!$B$1:$D$1,0),1))*BD154)+(W154*INDEX(Variables!$B$9:$D$9,IFERROR(MATCH(IF($B154="Robusta","Robusta",(IF($B154="","Arabica",$B154))&amp;" - "&amp;(IF($C154="","Commercial",$C154))),Variables!$B$1:$D$1,0),1))*BD154/365),""))</f>
        <v>39.157714492764001</v>
      </c>
      <c r="BJ154" s="44">
        <f t="shared" si="8"/>
        <v>16</v>
      </c>
      <c r="BK154" s="44">
        <f>IF($AX154="Cancelled","",IFERROR(IF(BJ154="","",(W154*INDEX(Variables!$B$7:$D$7,IFERROR(MATCH(IF($B154="Robusta","Robusta",(IF($B154="","Arabica",$B154))&amp;" - "&amp;(IF($C154="","Commercial",$C154))),Variables!$B$1:$D$1,0),1))*(BJ154/365))+(W154*INDEX(Variables!$B$9:$D$9,IFERROR(MATCH(IF($B154="Robusta","Robusta",(IF($B154="","Arabica",$B154))&amp;" - "&amp;(IF($C154="","Commercial",$C154))),Variables!$B$1:$D$1,0),1))*(BJ154/365))+(INDEX(Variables!$B$8:$D$8,IFERROR(MATCH(IF($B154="Robusta","Robusta",(IF($B154="","Arabica",$B154))&amp;" - "&amp;(IF($C154="","Commercial",$C154))),Variables!$B$1:$D$1,0),1))*L154/16.67)),""))</f>
        <v>386.52343188422401</v>
      </c>
    </row>
    <row r="155" spans="1:63">
      <c r="A155" s="13" t="s">
        <v>103</v>
      </c>
      <c r="B155" s="13" t="s">
        <v>104</v>
      </c>
      <c r="C155" s="13" t="s">
        <v>105</v>
      </c>
      <c r="D155" s="31">
        <v>45686</v>
      </c>
      <c r="E155" s="31">
        <v>45839</v>
      </c>
      <c r="F155" s="31">
        <v>45869</v>
      </c>
      <c r="G155" s="13">
        <v>3786646</v>
      </c>
      <c r="H155" s="13" t="s">
        <v>624</v>
      </c>
      <c r="J155" s="13" t="s">
        <v>611</v>
      </c>
      <c r="K155" s="13" t="s">
        <v>625</v>
      </c>
      <c r="L155" s="13">
        <v>539</v>
      </c>
      <c r="M155" s="13">
        <v>2</v>
      </c>
      <c r="N155" s="13" t="s">
        <v>612</v>
      </c>
      <c r="O155" s="13" t="s">
        <v>179</v>
      </c>
      <c r="P155" s="13">
        <v>10100</v>
      </c>
      <c r="R155" s="13" t="s">
        <v>252</v>
      </c>
      <c r="S155" s="13" t="s">
        <v>553</v>
      </c>
      <c r="T155" s="13" t="s">
        <v>112</v>
      </c>
      <c r="U155" s="13" t="s">
        <v>113</v>
      </c>
      <c r="V155" s="13">
        <v>15</v>
      </c>
      <c r="W155" s="44">
        <f>IF($AX155="Cancelled","",IFERROR(((V155+INDEX(Variables!$B$6:$D$6,IFERROR(MATCH(IF($B155="Robusta","Robusta",(IF($B155="","Arabica",$B155))&amp;" - "&amp;(IF($C155="","Commercial",$C155))),Variables!$B$1:$D$1,0),1)))*22.0462)*(L155/16.67),""))</f>
        <v>217983.8854493101</v>
      </c>
      <c r="X155" s="55" t="s">
        <v>37</v>
      </c>
      <c r="Y155" s="13" t="str">
        <f>IF($AX155="Cancelled","",IF(X155="","",IFERROR(IF(INDEX(Variables!$B$38:$B$47,MATCH(X155,Variables!$A$38:$A$47,0))="Yes","Yes","No"),"No")))</f>
        <v>Yes</v>
      </c>
      <c r="Z155" s="58">
        <v>45813</v>
      </c>
      <c r="AB155" s="31">
        <v>45831</v>
      </c>
      <c r="AC155" s="13" t="str">
        <f t="shared" si="6"/>
        <v>Approved</v>
      </c>
      <c r="AF155" s="71">
        <f>AJ155-7</f>
        <v>45833</v>
      </c>
      <c r="AG155" s="35">
        <f>IF($AX155="Cancelled","",IFERROR(IF(F155="","",F155-Variables!$B$13),""))</f>
        <v>45854</v>
      </c>
      <c r="AH155" s="13">
        <f>IF($AX155="Cancelled","",IFERROR(IF(AB155="","",(AVERAGE(E155:F155)-AB155)-Variables!$B$14),""))</f>
        <v>-7</v>
      </c>
      <c r="AJ155" s="47">
        <v>45840</v>
      </c>
      <c r="AK155" s="14">
        <f>IF($AX155="Cancelled","",IFERROR(IF(AJ155="","",IF(AND(AB155="",AF155=""),"",IF(AF155&gt;AB155,AF155+Variables!$B$15+Variables!$B$16+Variables!$B$17-AJ155,AB155+Variables!$B$16+Variables!$B$17-AJ155))),""))</f>
        <v>8</v>
      </c>
      <c r="AL155" s="48" t="s">
        <v>114</v>
      </c>
      <c r="AM155" s="13" t="s">
        <v>134</v>
      </c>
      <c r="AN155" s="13" t="s">
        <v>553</v>
      </c>
      <c r="AP155" s="31">
        <v>45853</v>
      </c>
      <c r="AR155" s="13" t="s">
        <v>623</v>
      </c>
      <c r="AS155" s="31">
        <v>45853</v>
      </c>
      <c r="AU155" s="31">
        <v>45853</v>
      </c>
      <c r="AV155" s="13" t="s">
        <v>865</v>
      </c>
      <c r="AW155" s="31">
        <v>45856</v>
      </c>
      <c r="AX155" s="13" t="str">
        <f>IF(ISNUMBER(SEARCH("cancel",#REF!)),"Cancelled",IF(AND(AS155&lt;&gt;"",AU155&lt;&gt;"",AW155&lt;&gt;""),"Closed","Open"))</f>
        <v>Closed</v>
      </c>
      <c r="AY155" s="15" t="str">
        <f t="shared" si="7"/>
        <v>All dates received</v>
      </c>
      <c r="BD155" s="13">
        <f>IF($AX155="Cancelled","",IFERROR(IF(OR(AS155="",AJ155=""),"",(AJ155+Variables!$B$18-AS155)),""))</f>
        <v>2</v>
      </c>
      <c r="BE155" s="13">
        <f>IF($AX155="Cancelled","",IFERROR(IF(OR(AW155="",AS155=""),"",(AS155+Variables!$B$19)-AW155),""))</f>
        <v>2</v>
      </c>
      <c r="BF155" s="44">
        <f>IF($AX155="Cancelled","",IFERROR(W155*INDEX(Variables!$B$7:$D$7,IFERROR(MATCH(IF($B155="Robusta","Robusta",(IF($B155="","Arabica",$B155))&amp;" - "&amp;(IF($C155="","Commercial",$C155))),Variables!$B$1:$D$1,0),1))*(BE155/365),""))</f>
        <v>77.019619168874002</v>
      </c>
      <c r="BG155" s="44">
        <f>IF($AX155="Cancelled","",IFERROR((W155*INDEX(Variables!$B$7:$D$7,IFERROR(MATCH(IF($B155="Robusta","Robusta",(IF($B155="","Arabica",$B155))&amp;" - "&amp;(IF($C155="","Commercial",$C155))),Variables!$B$1:$D$1,0),1))*IFERROR(IF(AB155="","",(AVERAGE(E155:F155)-AB155)-Variables!$B$14),"")/365)+(L155/16.67*INDEX(Variables!$B$8:$D$8,IFERROR(MATCH(IF($B155="Robusta","Robusta",(IF($B155="","Arabica",$B155))&amp;" - "&amp;(IF($C155="","Commercial",$C155))),Variables!$B$1:$D$1,0),1))*IFERROR(IF(AB155="","",(AVERAGE(E155:F155)-AB155)-Variables!$B$14),""))+(W155*INDEX(Variables!$B$9:$D$9,IFERROR(MATCH(IF($B155="Robusta","Robusta",(IF($B155="","Arabica",$B155))&amp;" - "&amp;(IF($C155="","Commercial",$C155))),Variables!$B$1:$D$1,0),1))*IFERROR(IF(AB155="","",(AVERAGE(E155:F155)-AB155)-Variables!$B$14),"")/365),""))</f>
        <v>-461.69392744124559</v>
      </c>
      <c r="BH155" s="44">
        <f>IF($AX155="Cancelled","",IFERROR((W155*INDEX(Variables!$B$7:$D$7,IFERROR(MATCH(IF($B155="Robusta","Robusta",(IF($B155="","Arabica",$B155))&amp;" - "&amp;(IF($C155="","Commercial",$C155))),Variables!$B$1:$D$1,0),1))*AK155/365)+(L155/16.67*INDEX(Variables!$B$8:$D$8,IFERROR(MATCH(IF($B155="Robusta","Robusta",(IF($B155="","Arabica",$B155))&amp;" - "&amp;(IF($C155="","Commercial",$C155))),Variables!$B$1:$D$1,0),1))*AK155)+(W155*INDEX(Variables!$B$9:$D$9,IFERROR(MATCH(IF($B155="Robusta","Robusta",(IF($B155="","Arabica",$B155))&amp;" - "&amp;(IF($C155="","Commercial",$C155))),Variables!$B$1:$D$1,0),1))*AK155/365),""))</f>
        <v>527.65020278999486</v>
      </c>
      <c r="BI155" s="44">
        <f>IF($AX155="Cancelled","",IFERROR((W155*INDEX(Variables!$B$7:$D$7,IFERROR(MATCH(IF($B155="Robusta","Robusta",(IF($B155="","Arabica",$B155))&amp;" - "&amp;(IF($C155="","Commercial",$C155))),Variables!$B$1:$D$1,0),1))*BD155/365)+(L155/16.67*INDEX(Variables!$B$8:$D$8,IFERROR(MATCH(IF($B155="Robusta","Robusta",(IF($B155="","Arabica",$B155))&amp;" - "&amp;(IF($C155="","Commercial",$C155))),Variables!$B$1:$D$1,0),1))*BD155)+(W155*INDEX(Variables!$B$9:$D$9,IFERROR(MATCH(IF($B155="Robusta","Robusta",(IF($B155="","Arabica",$B155))&amp;" - "&amp;(IF($C155="","Commercial",$C155))),Variables!$B$1:$D$1,0),1))*BD155/365),""))</f>
        <v>131.91255069749872</v>
      </c>
      <c r="BJ155" s="44">
        <f t="shared" si="8"/>
        <v>16</v>
      </c>
      <c r="BK155" s="44">
        <f>IF($AX155="Cancelled","",IFERROR(IF(BJ155="","",(W155*INDEX(Variables!$B$7:$D$7,IFERROR(MATCH(IF($B155="Robusta","Robusta",(IF($B155="","Arabica",$B155))&amp;" - "&amp;(IF($C155="","Commercial",$C155))),Variables!$B$1:$D$1,0),1))*(BJ155/365))+(W155*INDEX(Variables!$B$9:$D$9,IFERROR(MATCH(IF($B155="Robusta","Robusta",(IF($B155="","Arabica",$B155))&amp;" - "&amp;(IF($C155="","Commercial",$C155))),Variables!$B$1:$D$1,0),1))*(BJ155/365))+(INDEX(Variables!$B$8:$D$8,IFERROR(MATCH(IF($B155="Robusta","Robusta",(IF($B155="","Arabica",$B155))&amp;" - "&amp;(IF($C155="","Commercial",$C155))),Variables!$B$1:$D$1,0),1))*L155/16.67)),""))</f>
        <v>651.05040557998984</v>
      </c>
    </row>
    <row r="156" spans="1:63">
      <c r="A156" s="13" t="s">
        <v>103</v>
      </c>
      <c r="B156" s="13" t="s">
        <v>104</v>
      </c>
      <c r="C156" s="13" t="s">
        <v>105</v>
      </c>
      <c r="D156" s="31">
        <v>45686</v>
      </c>
      <c r="E156" s="31">
        <v>45870</v>
      </c>
      <c r="F156" s="31">
        <v>45900</v>
      </c>
      <c r="G156" s="13">
        <v>3786647</v>
      </c>
      <c r="H156" s="13" t="s">
        <v>626</v>
      </c>
      <c r="J156" s="13" t="s">
        <v>611</v>
      </c>
      <c r="K156" s="13" t="s">
        <v>627</v>
      </c>
      <c r="L156" s="13">
        <v>320</v>
      </c>
      <c r="M156" s="13">
        <v>1</v>
      </c>
      <c r="N156" s="13" t="s">
        <v>612</v>
      </c>
      <c r="O156" s="13" t="s">
        <v>179</v>
      </c>
      <c r="P156" s="13">
        <v>10100</v>
      </c>
      <c r="R156" s="13" t="s">
        <v>252</v>
      </c>
      <c r="S156" s="13" t="s">
        <v>553</v>
      </c>
      <c r="T156" s="13" t="s">
        <v>112</v>
      </c>
      <c r="U156" s="13" t="s">
        <v>113</v>
      </c>
      <c r="V156" s="13">
        <v>15</v>
      </c>
      <c r="W156" s="44">
        <f>IF($AX156="Cancelled","",IFERROR(((V156+INDEX(Variables!$B$6:$D$6,IFERROR(MATCH(IF($B156="Robusta","Robusta",(IF($B156="","Arabica",$B156))&amp;" - "&amp;(IF($C156="","Commercial",$C156))),Variables!$B$1:$D$1,0),1)))*22.0462)*(L156/16.67),""))</f>
        <v>129415.29377324534</v>
      </c>
      <c r="X156" s="55" t="s">
        <v>37</v>
      </c>
      <c r="Y156" s="13" t="str">
        <f>IF($AX156="Cancelled","",IF(X156="","",IFERROR(IF(INDEX(Variables!$B$38:$B$47,MATCH(X156,Variables!$A$38:$A$47,0))="Yes","Yes","No"),"No")))</f>
        <v>Yes</v>
      </c>
      <c r="Z156" s="58">
        <v>45839</v>
      </c>
      <c r="AB156" s="31">
        <v>45855</v>
      </c>
      <c r="AC156" s="13" t="str">
        <f t="shared" si="6"/>
        <v>Approved</v>
      </c>
      <c r="AF156" s="71">
        <f>AJ156-7</f>
        <v>45873</v>
      </c>
      <c r="AG156" s="35">
        <f>IF($AX156="Cancelled","",IFERROR(IF(F156="","",F156-Variables!$B$13),""))</f>
        <v>45885</v>
      </c>
      <c r="AH156" s="13">
        <f>IF($AX156="Cancelled","",IFERROR(IF(AB156="","",(AVERAGE(E156:F156)-AB156)-Variables!$B$14),""))</f>
        <v>0</v>
      </c>
      <c r="AJ156" s="47">
        <v>45880</v>
      </c>
      <c r="AK156" s="14">
        <f>IF($AX156="Cancelled","",IFERROR(IF(AJ156="","",IF(AND(AB156="",AF156=""),"",IF(AF156&gt;AB156,AF156+Variables!$B$15+Variables!$B$16+Variables!$B$17-AJ156,AB156+Variables!$B$16+Variables!$B$17-AJ156))),""))</f>
        <v>8</v>
      </c>
      <c r="AL156" s="48" t="s">
        <v>350</v>
      </c>
      <c r="AM156" s="13" t="s">
        <v>134</v>
      </c>
      <c r="AN156" s="13" t="s">
        <v>628</v>
      </c>
      <c r="AP156" s="31">
        <v>45904</v>
      </c>
      <c r="AR156" s="13" t="s">
        <v>629</v>
      </c>
      <c r="AS156" s="31">
        <v>45904</v>
      </c>
      <c r="AU156" s="31">
        <v>45905</v>
      </c>
      <c r="AV156" s="13" t="s">
        <v>865</v>
      </c>
      <c r="AW156" s="31">
        <v>45910</v>
      </c>
      <c r="AX156" s="13" t="str">
        <f>IF(ISNUMBER(SEARCH("cancel",#REF!)),"Cancelled",IF(AND(AS156&lt;&gt;"",AU156&lt;&gt;"",AW156&lt;&gt;""),"Closed","Open"))</f>
        <v>Closed</v>
      </c>
      <c r="AY156" s="15" t="str">
        <f t="shared" si="7"/>
        <v>All dates received</v>
      </c>
      <c r="BD156" s="13">
        <f>IF($AX156="Cancelled","",IFERROR(IF(OR(AS156="",AJ156=""),"",(AJ156+Variables!$B$18-AS156)),""))</f>
        <v>-9</v>
      </c>
      <c r="BE156" s="13">
        <f>IF($AX156="Cancelled","",IFERROR(IF(OR(AW156="",AS156=""),"",(AS156+Variables!$B$19)-AW156),""))</f>
        <v>-1</v>
      </c>
      <c r="BF156" s="44">
        <f>IF($AX156="Cancelled","",IFERROR(W156*INDEX(Variables!$B$7:$D$7,IFERROR(MATCH(IF($B156="Robusta","Robusta",(IF($B156="","Arabica",$B156))&amp;" - "&amp;(IF($C156="","Commercial",$C156))),Variables!$B$1:$D$1,0),1))*(BE156/365),""))</f>
        <v>-22.862966729164825</v>
      </c>
      <c r="BG156" s="44">
        <f>IF($AX156="Cancelled","",IFERROR((W156*INDEX(Variables!$B$7:$D$7,IFERROR(MATCH(IF($B156="Robusta","Robusta",(IF($B156="","Arabica",$B156))&amp;" - "&amp;(IF($C156="","Commercial",$C156))),Variables!$B$1:$D$1,0),1))*IFERROR(IF(AB156="","",(AVERAGE(E156:F156)-AB156)-Variables!$B$14),"")/365)+(L156/16.67*INDEX(Variables!$B$8:$D$8,IFERROR(MATCH(IF($B156="Robusta","Robusta",(IF($B156="","Arabica",$B156))&amp;" - "&amp;(IF($C156="","Commercial",$C156))),Variables!$B$1:$D$1,0),1))*IFERROR(IF(AB156="","",(AVERAGE(E156:F156)-AB156)-Variables!$B$14),""))+(W156*INDEX(Variables!$B$9:$D$9,IFERROR(MATCH(IF($B156="Robusta","Robusta",(IF($B156="","Arabica",$B156))&amp;" - "&amp;(IF($C156="","Commercial",$C156))),Variables!$B$1:$D$1,0),1))*IFERROR(IF(AB156="","",(AVERAGE(E156:F156)-AB156)-Variables!$B$14),"")/365),""))</f>
        <v>0</v>
      </c>
      <c r="BH156" s="44">
        <f>IF($AX156="Cancelled","",IFERROR((W156*INDEX(Variables!$B$7:$D$7,IFERROR(MATCH(IF($B156="Robusta","Robusta",(IF($B156="","Arabica",$B156))&amp;" - "&amp;(IF($C156="","Commercial",$C156))),Variables!$B$1:$D$1,0),1))*AK156/365)+(L156/16.67*INDEX(Variables!$B$8:$D$8,IFERROR(MATCH(IF($B156="Robusta","Robusta",(IF($B156="","Arabica",$B156))&amp;" - "&amp;(IF($C156="","Commercial",$C156))),Variables!$B$1:$D$1,0),1))*AK156)+(W156*INDEX(Variables!$B$9:$D$9,IFERROR(MATCH(IF($B156="Robusta","Robusta",(IF($B156="","Arabica",$B156))&amp;" - "&amp;(IF($C156="","Commercial",$C156))),Variables!$B$1:$D$1,0),1))*AK156/365),""))</f>
        <v>313.261715942112</v>
      </c>
      <c r="BI156" s="44">
        <f>IF($AX156="Cancelled","",IFERROR((W156*INDEX(Variables!$B$7:$D$7,IFERROR(MATCH(IF($B156="Robusta","Robusta",(IF($B156="","Arabica",$B156))&amp;" - "&amp;(IF($C156="","Commercial",$C156))),Variables!$B$1:$D$1,0),1))*BD156/365)+(L156/16.67*INDEX(Variables!$B$8:$D$8,IFERROR(MATCH(IF($B156="Robusta","Robusta",(IF($B156="","Arabica",$B156))&amp;" - "&amp;(IF($C156="","Commercial",$C156))),Variables!$B$1:$D$1,0),1))*BD156)+(W156*INDEX(Variables!$B$9:$D$9,IFERROR(MATCH(IF($B156="Robusta","Robusta",(IF($B156="","Arabica",$B156))&amp;" - "&amp;(IF($C156="","Commercial",$C156))),Variables!$B$1:$D$1,0),1))*BD156/365),""))</f>
        <v>-352.41943043487595</v>
      </c>
      <c r="BJ156" s="44">
        <f t="shared" si="8"/>
        <v>-4</v>
      </c>
      <c r="BK156" s="44">
        <f>IF($AX156="Cancelled","",IFERROR(IF(BJ156="","",(W156*INDEX(Variables!$B$7:$D$7,IFERROR(MATCH(IF($B156="Robusta","Robusta",(IF($B156="","Arabica",$B156))&amp;" - "&amp;(IF($C156="","Commercial",$C156))),Variables!$B$1:$D$1,0),1))*(BJ156/365))+(W156*INDEX(Variables!$B$9:$D$9,IFERROR(MATCH(IF($B156="Robusta","Robusta",(IF($B156="","Arabica",$B156))&amp;" - "&amp;(IF($C156="","Commercial",$C156))),Variables!$B$1:$D$1,0),1))*(BJ156/365))+(INDEX(Variables!$B$8:$D$8,IFERROR(MATCH(IF($B156="Robusta","Robusta",(IF($B156="","Arabica",$B156))&amp;" - "&amp;(IF($C156="","Commercial",$C156))),Variables!$B$1:$D$1,0),1))*L156/16.67)),""))</f>
        <v>-76.630857971056002</v>
      </c>
    </row>
    <row r="157" spans="1:63">
      <c r="A157" s="13" t="s">
        <v>103</v>
      </c>
      <c r="B157" s="13" t="s">
        <v>104</v>
      </c>
      <c r="C157" s="13" t="s">
        <v>105</v>
      </c>
      <c r="D157" s="31">
        <v>45686</v>
      </c>
      <c r="E157" s="31">
        <v>45870</v>
      </c>
      <c r="F157" s="31">
        <v>45900</v>
      </c>
      <c r="G157" s="13">
        <v>3786647</v>
      </c>
      <c r="H157" s="13" t="s">
        <v>626</v>
      </c>
      <c r="J157" s="13" t="s">
        <v>611</v>
      </c>
      <c r="K157" s="13" t="s">
        <v>630</v>
      </c>
      <c r="L157" s="13">
        <v>320</v>
      </c>
      <c r="M157" s="13">
        <v>1</v>
      </c>
      <c r="N157" s="13" t="s">
        <v>612</v>
      </c>
      <c r="O157" s="13" t="s">
        <v>179</v>
      </c>
      <c r="P157" s="13">
        <v>10100</v>
      </c>
      <c r="R157" s="13" t="s">
        <v>252</v>
      </c>
      <c r="S157" s="13" t="s">
        <v>553</v>
      </c>
      <c r="T157" s="13" t="s">
        <v>112</v>
      </c>
      <c r="U157" s="13" t="s">
        <v>113</v>
      </c>
      <c r="V157" s="13">
        <v>15</v>
      </c>
      <c r="W157" s="44">
        <f>IF($AX157="Cancelled","",IFERROR(((V157+INDEX(Variables!$B$6:$D$6,IFERROR(MATCH(IF($B157="Robusta","Robusta",(IF($B157="","Arabica",$B157))&amp;" - "&amp;(IF($C157="","Commercial",$C157))),Variables!$B$1:$D$1,0),1)))*22.0462)*(L157/16.67),""))</f>
        <v>129415.29377324534</v>
      </c>
      <c r="X157" s="55" t="s">
        <v>37</v>
      </c>
      <c r="Y157" s="13" t="str">
        <f>IF($AX157="Cancelled","",IF(X157="","",IFERROR(IF(INDEX(Variables!$B$38:$B$47,MATCH(X157,Variables!$A$38:$A$47,0))="Yes","Yes","No"),"No")))</f>
        <v>Yes</v>
      </c>
      <c r="Z157" s="58">
        <v>45839</v>
      </c>
      <c r="AB157" s="31">
        <v>45855</v>
      </c>
      <c r="AC157" s="13" t="str">
        <f t="shared" si="6"/>
        <v>Approved</v>
      </c>
      <c r="AF157" s="71">
        <f>AJ157-7</f>
        <v>45875</v>
      </c>
      <c r="AG157" s="35">
        <f>IF($AX157="Cancelled","",IFERROR(IF(F157="","",F157-Variables!$B$13),""))</f>
        <v>45885</v>
      </c>
      <c r="AH157" s="13">
        <f>IF($AX157="Cancelled","",IFERROR(IF(AB157="","",(AVERAGE(E157:F157)-AB157)-Variables!$B$14),""))</f>
        <v>0</v>
      </c>
      <c r="AJ157" s="47">
        <v>45882</v>
      </c>
      <c r="AK157" s="14">
        <f>IF($AX157="Cancelled","",IFERROR(IF(AJ157="","",IF(AND(AB157="",AF157=""),"",IF(AF157&gt;AB157,AF157+Variables!$B$15+Variables!$B$16+Variables!$B$17-AJ157,AB157+Variables!$B$16+Variables!$B$17-AJ157))),""))</f>
        <v>8</v>
      </c>
      <c r="AL157" s="48" t="s">
        <v>350</v>
      </c>
      <c r="AM157" s="13" t="s">
        <v>134</v>
      </c>
      <c r="AN157" s="13" t="s">
        <v>628</v>
      </c>
      <c r="AP157" s="31">
        <v>45904</v>
      </c>
      <c r="AR157" s="13" t="s">
        <v>629</v>
      </c>
      <c r="AS157" s="31">
        <v>45904</v>
      </c>
      <c r="AU157" s="31">
        <v>45905</v>
      </c>
      <c r="AV157" s="13" t="s">
        <v>865</v>
      </c>
      <c r="AW157" s="31">
        <v>45910</v>
      </c>
      <c r="AX157" s="13" t="str">
        <f>IF(ISNUMBER(SEARCH("cancel",#REF!)),"Cancelled",IF(AND(AS157&lt;&gt;"",AU157&lt;&gt;"",AW157&lt;&gt;""),"Closed","Open"))</f>
        <v>Closed</v>
      </c>
      <c r="AY157" s="15" t="str">
        <f t="shared" si="7"/>
        <v>All dates received</v>
      </c>
      <c r="BD157" s="13">
        <f>IF($AX157="Cancelled","",IFERROR(IF(OR(AS157="",AJ157=""),"",(AJ157+Variables!$B$18-AS157)),""))</f>
        <v>-7</v>
      </c>
      <c r="BE157" s="13">
        <f>IF($AX157="Cancelled","",IFERROR(IF(OR(AW157="",AS157=""),"",(AS157+Variables!$B$19)-AW157),""))</f>
        <v>-1</v>
      </c>
      <c r="BF157" s="44">
        <f>IF($AX157="Cancelled","",IFERROR(W157*INDEX(Variables!$B$7:$D$7,IFERROR(MATCH(IF($B157="Robusta","Robusta",(IF($B157="","Arabica",$B157))&amp;" - "&amp;(IF($C157="","Commercial",$C157))),Variables!$B$1:$D$1,0),1))*(BE157/365),""))</f>
        <v>-22.862966729164825</v>
      </c>
      <c r="BG157" s="44">
        <f>IF($AX157="Cancelled","",IFERROR((W157*INDEX(Variables!$B$7:$D$7,IFERROR(MATCH(IF($B157="Robusta","Robusta",(IF($B157="","Arabica",$B157))&amp;" - "&amp;(IF($C157="","Commercial",$C157))),Variables!$B$1:$D$1,0),1))*IFERROR(IF(AB157="","",(AVERAGE(E157:F157)-AB157)-Variables!$B$14),"")/365)+(L157/16.67*INDEX(Variables!$B$8:$D$8,IFERROR(MATCH(IF($B157="Robusta","Robusta",(IF($B157="","Arabica",$B157))&amp;" - "&amp;(IF($C157="","Commercial",$C157))),Variables!$B$1:$D$1,0),1))*IFERROR(IF(AB157="","",(AVERAGE(E157:F157)-AB157)-Variables!$B$14),""))+(W157*INDEX(Variables!$B$9:$D$9,IFERROR(MATCH(IF($B157="Robusta","Robusta",(IF($B157="","Arabica",$B157))&amp;" - "&amp;(IF($C157="","Commercial",$C157))),Variables!$B$1:$D$1,0),1))*IFERROR(IF(AB157="","",(AVERAGE(E157:F157)-AB157)-Variables!$B$14),"")/365),""))</f>
        <v>0</v>
      </c>
      <c r="BH157" s="44">
        <f>IF($AX157="Cancelled","",IFERROR((W157*INDEX(Variables!$B$7:$D$7,IFERROR(MATCH(IF($B157="Robusta","Robusta",(IF($B157="","Arabica",$B157))&amp;" - "&amp;(IF($C157="","Commercial",$C157))),Variables!$B$1:$D$1,0),1))*AK157/365)+(L157/16.67*INDEX(Variables!$B$8:$D$8,IFERROR(MATCH(IF($B157="Robusta","Robusta",(IF($B157="","Arabica",$B157))&amp;" - "&amp;(IF($C157="","Commercial",$C157))),Variables!$B$1:$D$1,0),1))*AK157)+(W157*INDEX(Variables!$B$9:$D$9,IFERROR(MATCH(IF($B157="Robusta","Robusta",(IF($B157="","Arabica",$B157))&amp;" - "&amp;(IF($C157="","Commercial",$C157))),Variables!$B$1:$D$1,0),1))*AK157/365),""))</f>
        <v>313.261715942112</v>
      </c>
      <c r="BI157" s="44">
        <f>IF($AX157="Cancelled","",IFERROR((W157*INDEX(Variables!$B$7:$D$7,IFERROR(MATCH(IF($B157="Robusta","Robusta",(IF($B157="","Arabica",$B157))&amp;" - "&amp;(IF($C157="","Commercial",$C157))),Variables!$B$1:$D$1,0),1))*BD157/365)+(L157/16.67*INDEX(Variables!$B$8:$D$8,IFERROR(MATCH(IF($B157="Robusta","Robusta",(IF($B157="","Arabica",$B157))&amp;" - "&amp;(IF($C157="","Commercial",$C157))),Variables!$B$1:$D$1,0),1))*BD157)+(W157*INDEX(Variables!$B$9:$D$9,IFERROR(MATCH(IF($B157="Robusta","Robusta",(IF($B157="","Arabica",$B157))&amp;" - "&amp;(IF($C157="","Commercial",$C157))),Variables!$B$1:$D$1,0),1))*BD157/365),""))</f>
        <v>-274.10400144934806</v>
      </c>
      <c r="BJ157" s="44">
        <f t="shared" si="8"/>
        <v>-4</v>
      </c>
      <c r="BK157" s="44">
        <f>IF($AX157="Cancelled","",IFERROR(IF(BJ157="","",(W157*INDEX(Variables!$B$7:$D$7,IFERROR(MATCH(IF($B157="Robusta","Robusta",(IF($B157="","Arabica",$B157))&amp;" - "&amp;(IF($C157="","Commercial",$C157))),Variables!$B$1:$D$1,0),1))*(BJ157/365))+(W157*INDEX(Variables!$B$9:$D$9,IFERROR(MATCH(IF($B157="Robusta","Robusta",(IF($B157="","Arabica",$B157))&amp;" - "&amp;(IF($C157="","Commercial",$C157))),Variables!$B$1:$D$1,0),1))*(BJ157/365))+(INDEX(Variables!$B$8:$D$8,IFERROR(MATCH(IF($B157="Robusta","Robusta",(IF($B157="","Arabica",$B157))&amp;" - "&amp;(IF($C157="","Commercial",$C157))),Variables!$B$1:$D$1,0),1))*L157/16.67)),""))</f>
        <v>-76.630857971056002</v>
      </c>
    </row>
    <row r="158" spans="1:63">
      <c r="A158" s="13" t="s">
        <v>103</v>
      </c>
      <c r="B158" s="13" t="s">
        <v>104</v>
      </c>
      <c r="C158" s="13" t="s">
        <v>105</v>
      </c>
      <c r="D158" s="31">
        <v>45686</v>
      </c>
      <c r="E158" s="31">
        <v>45901</v>
      </c>
      <c r="F158" s="31">
        <v>45930</v>
      </c>
      <c r="G158" s="13">
        <v>3786648</v>
      </c>
      <c r="H158" s="13" t="s">
        <v>631</v>
      </c>
      <c r="J158" s="13" t="s">
        <v>611</v>
      </c>
      <c r="K158" s="13" t="s">
        <v>632</v>
      </c>
      <c r="L158" s="13">
        <v>320</v>
      </c>
      <c r="M158" s="13">
        <v>1</v>
      </c>
      <c r="N158" s="13" t="s">
        <v>612</v>
      </c>
      <c r="O158" s="13" t="s">
        <v>179</v>
      </c>
      <c r="P158" s="13">
        <v>10100</v>
      </c>
      <c r="R158" s="13" t="s">
        <v>252</v>
      </c>
      <c r="S158" s="13" t="s">
        <v>553</v>
      </c>
      <c r="T158" s="13" t="s">
        <v>112</v>
      </c>
      <c r="U158" s="13" t="s">
        <v>113</v>
      </c>
      <c r="V158" s="13">
        <v>15</v>
      </c>
      <c r="W158" s="44">
        <f>IF($AX158="Cancelled","",IFERROR(((V158+INDEX(Variables!$B$6:$D$6,IFERROR(MATCH(IF($B158="Robusta","Robusta",(IF($B158="","Arabica",$B158))&amp;" - "&amp;(IF($C158="","Commercial",$C158))),Variables!$B$1:$D$1,0),1)))*22.0462)*(L158/16.67),""))</f>
        <v>129415.29377324534</v>
      </c>
      <c r="X158" s="55" t="s">
        <v>37</v>
      </c>
      <c r="Y158" s="13" t="str">
        <f>IF($AX158="Cancelled","",IF(X158="","",IFERROR(IF(INDEX(Variables!$B$38:$B$47,MATCH(X158,Variables!$A$38:$A$47,0))="Yes","Yes","No"),"No")))</f>
        <v>Yes</v>
      </c>
      <c r="Z158" s="58">
        <v>45883</v>
      </c>
      <c r="AB158" s="31">
        <v>45895</v>
      </c>
      <c r="AC158" s="13" t="str">
        <f t="shared" si="6"/>
        <v>Approved</v>
      </c>
      <c r="AF158" s="71">
        <f>AJ158-7</f>
        <v>45923</v>
      </c>
      <c r="AG158" s="35">
        <f>IF($AX158="Cancelled","",IFERROR(IF(F158="","",F158-Variables!$B$13),""))</f>
        <v>45915</v>
      </c>
      <c r="AH158" s="13">
        <f>IF($AX158="Cancelled","",IFERROR(IF(AB158="","",(AVERAGE(E158:F158)-AB158)-Variables!$B$14),""))</f>
        <v>-9.5</v>
      </c>
      <c r="AJ158" s="47">
        <v>45930</v>
      </c>
      <c r="AK158" s="14">
        <f>IF($AX158="Cancelled","",IFERROR(IF(AJ158="","",IF(AND(AB158="",AF158=""),"",IF(AF158&gt;AB158,AF158+Variables!$B$15+Variables!$B$16+Variables!$B$17-AJ158,AB158+Variables!$B$16+Variables!$B$17-AJ158))),""))</f>
        <v>8</v>
      </c>
      <c r="AL158" s="48" t="s">
        <v>350</v>
      </c>
      <c r="AM158" s="13" t="s">
        <v>134</v>
      </c>
      <c r="AN158" s="13" t="s">
        <v>633</v>
      </c>
      <c r="AP158" s="31">
        <v>45942</v>
      </c>
      <c r="AR158" s="13" t="s">
        <v>634</v>
      </c>
      <c r="AS158" s="31">
        <v>45942</v>
      </c>
      <c r="AU158" s="31">
        <v>45944</v>
      </c>
      <c r="AV158" s="13" t="s">
        <v>865</v>
      </c>
      <c r="AW158" s="31">
        <v>45945</v>
      </c>
      <c r="AX158" s="13" t="str">
        <f>IF(ISNUMBER(SEARCH("cancel",#REF!)),"Cancelled",IF(AND(AS158&lt;&gt;"",AU158&lt;&gt;"",AW158&lt;&gt;""),"Closed","Open"))</f>
        <v>Closed</v>
      </c>
      <c r="AY158" s="15" t="str">
        <f t="shared" si="7"/>
        <v>All dates received</v>
      </c>
      <c r="BD158" s="13">
        <f>IF($AX158="Cancelled","",IFERROR(IF(OR(AS158="",AJ158=""),"",(AJ158+Variables!$B$18-AS158)),""))</f>
        <v>3</v>
      </c>
      <c r="BE158" s="13">
        <f>IF($AX158="Cancelled","",IFERROR(IF(OR(AW158="",AS158=""),"",(AS158+Variables!$B$19)-AW158),""))</f>
        <v>2</v>
      </c>
      <c r="BF158" s="44">
        <f>IF($AX158="Cancelled","",IFERROR(W158*INDEX(Variables!$B$7:$D$7,IFERROR(MATCH(IF($B158="Robusta","Robusta",(IF($B158="","Arabica",$B158))&amp;" - "&amp;(IF($C158="","Commercial",$C158))),Variables!$B$1:$D$1,0),1))*(BE158/365),""))</f>
        <v>45.725933458329649</v>
      </c>
      <c r="BG158" s="44">
        <f>IF($AX158="Cancelled","",IFERROR((W158*INDEX(Variables!$B$7:$D$7,IFERROR(MATCH(IF($B158="Robusta","Robusta",(IF($B158="","Arabica",$B158))&amp;" - "&amp;(IF($C158="","Commercial",$C158))),Variables!$B$1:$D$1,0),1))*IFERROR(IF(AB158="","",(AVERAGE(E158:F158)-AB158)-Variables!$B$14),"")/365)+(L158/16.67*INDEX(Variables!$B$8:$D$8,IFERROR(MATCH(IF($B158="Robusta","Robusta",(IF($B158="","Arabica",$B158))&amp;" - "&amp;(IF($C158="","Commercial",$C158))),Variables!$B$1:$D$1,0),1))*IFERROR(IF(AB158="","",(AVERAGE(E158:F158)-AB158)-Variables!$B$14),""))+(W158*INDEX(Variables!$B$9:$D$9,IFERROR(MATCH(IF($B158="Robusta","Robusta",(IF($B158="","Arabica",$B158))&amp;" - "&amp;(IF($C158="","Commercial",$C158))),Variables!$B$1:$D$1,0),1))*IFERROR(IF(AB158="","",(AVERAGE(E158:F158)-AB158)-Variables!$B$14),"")/365),""))</f>
        <v>-371.99828768125798</v>
      </c>
      <c r="BH158" s="44">
        <f>IF($AX158="Cancelled","",IFERROR((W158*INDEX(Variables!$B$7:$D$7,IFERROR(MATCH(IF($B158="Robusta","Robusta",(IF($B158="","Arabica",$B158))&amp;" - "&amp;(IF($C158="","Commercial",$C158))),Variables!$B$1:$D$1,0),1))*AK158/365)+(L158/16.67*INDEX(Variables!$B$8:$D$8,IFERROR(MATCH(IF($B158="Robusta","Robusta",(IF($B158="","Arabica",$B158))&amp;" - "&amp;(IF($C158="","Commercial",$C158))),Variables!$B$1:$D$1,0),1))*AK158)+(W158*INDEX(Variables!$B$9:$D$9,IFERROR(MATCH(IF($B158="Robusta","Robusta",(IF($B158="","Arabica",$B158))&amp;" - "&amp;(IF($C158="","Commercial",$C158))),Variables!$B$1:$D$1,0),1))*AK158/365),""))</f>
        <v>313.261715942112</v>
      </c>
      <c r="BI158" s="44">
        <f>IF($AX158="Cancelled","",IFERROR((W158*INDEX(Variables!$B$7:$D$7,IFERROR(MATCH(IF($B158="Robusta","Robusta",(IF($B158="","Arabica",$B158))&amp;" - "&amp;(IF($C158="","Commercial",$C158))),Variables!$B$1:$D$1,0),1))*BD158/365)+(L158/16.67*INDEX(Variables!$B$8:$D$8,IFERROR(MATCH(IF($B158="Robusta","Robusta",(IF($B158="","Arabica",$B158))&amp;" - "&amp;(IF($C158="","Commercial",$C158))),Variables!$B$1:$D$1,0),1))*BD158)+(W158*INDEX(Variables!$B$9:$D$9,IFERROR(MATCH(IF($B158="Robusta","Robusta",(IF($B158="","Arabica",$B158))&amp;" - "&amp;(IF($C158="","Commercial",$C158))),Variables!$B$1:$D$1,0),1))*BD158/365),""))</f>
        <v>117.473143478292</v>
      </c>
      <c r="BJ158" s="44">
        <f t="shared" si="8"/>
        <v>-12</v>
      </c>
      <c r="BK158" s="44">
        <f>IF($AX158="Cancelled","",IFERROR(IF(BJ158="","",(W158*INDEX(Variables!$B$7:$D$7,IFERROR(MATCH(IF($B158="Robusta","Robusta",(IF($B158="","Arabica",$B158))&amp;" - "&amp;(IF($C158="","Commercial",$C158))),Variables!$B$1:$D$1,0),1))*(BJ158/365))+(W158*INDEX(Variables!$B$9:$D$9,IFERROR(MATCH(IF($B158="Robusta","Robusta",(IF($B158="","Arabica",$B158))&amp;" - "&amp;(IF($C158="","Commercial",$C158))),Variables!$B$1:$D$1,0),1))*(BJ158/365))+(INDEX(Variables!$B$8:$D$8,IFERROR(MATCH(IF($B158="Robusta","Robusta",(IF($B158="","Arabica",$B158))&amp;" - "&amp;(IF($C158="","Commercial",$C158))),Variables!$B$1:$D$1,0),1))*L158/16.67)),""))</f>
        <v>-261.89257391316801</v>
      </c>
    </row>
    <row r="159" spans="1:63">
      <c r="A159" s="13" t="s">
        <v>103</v>
      </c>
      <c r="B159" s="13" t="s">
        <v>104</v>
      </c>
      <c r="C159" s="13" t="s">
        <v>105</v>
      </c>
      <c r="D159" s="31">
        <v>45686</v>
      </c>
      <c r="E159" s="31">
        <v>45901</v>
      </c>
      <c r="F159" s="31">
        <v>45930</v>
      </c>
      <c r="G159" s="13">
        <v>3786648</v>
      </c>
      <c r="H159" s="13" t="s">
        <v>635</v>
      </c>
      <c r="J159" s="13" t="s">
        <v>611</v>
      </c>
      <c r="K159" s="13" t="s">
        <v>636</v>
      </c>
      <c r="L159" s="13">
        <v>320</v>
      </c>
      <c r="M159" s="13">
        <v>1</v>
      </c>
      <c r="N159" s="13" t="s">
        <v>612</v>
      </c>
      <c r="O159" s="13" t="s">
        <v>179</v>
      </c>
      <c r="P159" s="13">
        <v>10100</v>
      </c>
      <c r="R159" s="13" t="s">
        <v>252</v>
      </c>
      <c r="S159" s="13" t="s">
        <v>553</v>
      </c>
      <c r="T159" s="13" t="s">
        <v>112</v>
      </c>
      <c r="U159" s="13" t="s">
        <v>113</v>
      </c>
      <c r="V159" s="13">
        <v>15</v>
      </c>
      <c r="W159" s="44">
        <f>IF($AX159="Cancelled","",IFERROR(((V159+INDEX(Variables!$B$6:$D$6,IFERROR(MATCH(IF($B159="Robusta","Robusta",(IF($B159="","Arabica",$B159))&amp;" - "&amp;(IF($C159="","Commercial",$C159))),Variables!$B$1:$D$1,0),1)))*22.0462)*(L159/16.67),""))</f>
        <v>129415.29377324534</v>
      </c>
      <c r="X159" s="55" t="s">
        <v>37</v>
      </c>
      <c r="Y159" s="13" t="str">
        <f>IF($AX159="Cancelled","",IF(X159="","",IFERROR(IF(INDEX(Variables!$B$38:$B$47,MATCH(X159,Variables!$A$38:$A$47,0))="Yes","Yes","No"),"No")))</f>
        <v>Yes</v>
      </c>
      <c r="Z159" s="58">
        <v>45883</v>
      </c>
      <c r="AB159" s="31">
        <v>45895</v>
      </c>
      <c r="AC159" s="13" t="str">
        <f t="shared" si="6"/>
        <v>Approved</v>
      </c>
      <c r="AF159" s="71">
        <f>AJ159-7</f>
        <v>45923</v>
      </c>
      <c r="AG159" s="35">
        <f>IF($AX159="Cancelled","",IFERROR(IF(F159="","",F159-Variables!$B$13),""))</f>
        <v>45915</v>
      </c>
      <c r="AH159" s="13">
        <f>IF($AX159="Cancelled","",IFERROR(IF(AB159="","",(AVERAGE(E159:F159)-AB159)-Variables!$B$14),""))</f>
        <v>-9.5</v>
      </c>
      <c r="AJ159" s="47">
        <v>45930</v>
      </c>
      <c r="AK159" s="14">
        <f>IF($AX159="Cancelled","",IFERROR(IF(AJ159="","",IF(AND(AB159="",AF159=""),"",IF(AF159&gt;AB159,AF159+Variables!$B$15+Variables!$B$16+Variables!$B$17-AJ159,AB159+Variables!$B$16+Variables!$B$17-AJ159))),""))</f>
        <v>8</v>
      </c>
      <c r="AL159" s="48" t="s">
        <v>350</v>
      </c>
      <c r="AM159" s="13" t="s">
        <v>134</v>
      </c>
      <c r="AN159" s="13" t="s">
        <v>633</v>
      </c>
      <c r="AP159" s="31">
        <v>45942</v>
      </c>
      <c r="AR159" s="13" t="s">
        <v>634</v>
      </c>
      <c r="AS159" s="31">
        <v>45942</v>
      </c>
      <c r="AU159" s="31">
        <v>45944</v>
      </c>
      <c r="AV159" s="13" t="s">
        <v>865</v>
      </c>
      <c r="AW159" s="31">
        <v>45945</v>
      </c>
      <c r="AX159" s="13" t="str">
        <f>IF(ISNUMBER(SEARCH("cancel",#REF!)),"Cancelled",IF(AND(AS159&lt;&gt;"",AU159&lt;&gt;"",AW159&lt;&gt;""),"Closed","Open"))</f>
        <v>Closed</v>
      </c>
      <c r="AY159" s="15" t="str">
        <f t="shared" si="7"/>
        <v>All dates received</v>
      </c>
      <c r="BD159" s="13">
        <f>IF($AX159="Cancelled","",IFERROR(IF(OR(AS159="",AJ159=""),"",(AJ159+Variables!$B$18-AS159)),""))</f>
        <v>3</v>
      </c>
      <c r="BE159" s="13">
        <f>IF($AX159="Cancelled","",IFERROR(IF(OR(AW159="",AS159=""),"",(AS159+Variables!$B$19)-AW159),""))</f>
        <v>2</v>
      </c>
      <c r="BF159" s="44">
        <f>IF($AX159="Cancelled","",IFERROR(W159*INDEX(Variables!$B$7:$D$7,IFERROR(MATCH(IF($B159="Robusta","Robusta",(IF($B159="","Arabica",$B159))&amp;" - "&amp;(IF($C159="","Commercial",$C159))),Variables!$B$1:$D$1,0),1))*(BE159/365),""))</f>
        <v>45.725933458329649</v>
      </c>
      <c r="BG159" s="44">
        <f>IF($AX159="Cancelled","",IFERROR((W159*INDEX(Variables!$B$7:$D$7,IFERROR(MATCH(IF($B159="Robusta","Robusta",(IF($B159="","Arabica",$B159))&amp;" - "&amp;(IF($C159="","Commercial",$C159))),Variables!$B$1:$D$1,0),1))*IFERROR(IF(AB159="","",(AVERAGE(E159:F159)-AB159)-Variables!$B$14),"")/365)+(L159/16.67*INDEX(Variables!$B$8:$D$8,IFERROR(MATCH(IF($B159="Robusta","Robusta",(IF($B159="","Arabica",$B159))&amp;" - "&amp;(IF($C159="","Commercial",$C159))),Variables!$B$1:$D$1,0),1))*IFERROR(IF(AB159="","",(AVERAGE(E159:F159)-AB159)-Variables!$B$14),""))+(W159*INDEX(Variables!$B$9:$D$9,IFERROR(MATCH(IF($B159="Robusta","Robusta",(IF($B159="","Arabica",$B159))&amp;" - "&amp;(IF($C159="","Commercial",$C159))),Variables!$B$1:$D$1,0),1))*IFERROR(IF(AB159="","",(AVERAGE(E159:F159)-AB159)-Variables!$B$14),"")/365),""))</f>
        <v>-371.99828768125798</v>
      </c>
      <c r="BH159" s="44">
        <f>IF($AX159="Cancelled","",IFERROR((W159*INDEX(Variables!$B$7:$D$7,IFERROR(MATCH(IF($B159="Robusta","Robusta",(IF($B159="","Arabica",$B159))&amp;" - "&amp;(IF($C159="","Commercial",$C159))),Variables!$B$1:$D$1,0),1))*AK159/365)+(L159/16.67*INDEX(Variables!$B$8:$D$8,IFERROR(MATCH(IF($B159="Robusta","Robusta",(IF($B159="","Arabica",$B159))&amp;" - "&amp;(IF($C159="","Commercial",$C159))),Variables!$B$1:$D$1,0),1))*AK159)+(W159*INDEX(Variables!$B$9:$D$9,IFERROR(MATCH(IF($B159="Robusta","Robusta",(IF($B159="","Arabica",$B159))&amp;" - "&amp;(IF($C159="","Commercial",$C159))),Variables!$B$1:$D$1,0),1))*AK159/365),""))</f>
        <v>313.261715942112</v>
      </c>
      <c r="BI159" s="44">
        <f>IF($AX159="Cancelled","",IFERROR((W159*INDEX(Variables!$B$7:$D$7,IFERROR(MATCH(IF($B159="Robusta","Robusta",(IF($B159="","Arabica",$B159))&amp;" - "&amp;(IF($C159="","Commercial",$C159))),Variables!$B$1:$D$1,0),1))*BD159/365)+(L159/16.67*INDEX(Variables!$B$8:$D$8,IFERROR(MATCH(IF($B159="Robusta","Robusta",(IF($B159="","Arabica",$B159))&amp;" - "&amp;(IF($C159="","Commercial",$C159))),Variables!$B$1:$D$1,0),1))*BD159)+(W159*INDEX(Variables!$B$9:$D$9,IFERROR(MATCH(IF($B159="Robusta","Robusta",(IF($B159="","Arabica",$B159))&amp;" - "&amp;(IF($C159="","Commercial",$C159))),Variables!$B$1:$D$1,0),1))*BD159/365),""))</f>
        <v>117.473143478292</v>
      </c>
      <c r="BJ159" s="44">
        <f t="shared" si="8"/>
        <v>-12</v>
      </c>
      <c r="BK159" s="44">
        <f>IF($AX159="Cancelled","",IFERROR(IF(BJ159="","",(W159*INDEX(Variables!$B$7:$D$7,IFERROR(MATCH(IF($B159="Robusta","Robusta",(IF($B159="","Arabica",$B159))&amp;" - "&amp;(IF($C159="","Commercial",$C159))),Variables!$B$1:$D$1,0),1))*(BJ159/365))+(W159*INDEX(Variables!$B$9:$D$9,IFERROR(MATCH(IF($B159="Robusta","Robusta",(IF($B159="","Arabica",$B159))&amp;" - "&amp;(IF($C159="","Commercial",$C159))),Variables!$B$1:$D$1,0),1))*(BJ159/365))+(INDEX(Variables!$B$8:$D$8,IFERROR(MATCH(IF($B159="Robusta","Robusta",(IF($B159="","Arabica",$B159))&amp;" - "&amp;(IF($C159="","Commercial",$C159))),Variables!$B$1:$D$1,0),1))*L159/16.67)),""))</f>
        <v>-261.89257391316801</v>
      </c>
    </row>
    <row r="160" spans="1:63">
      <c r="A160" s="13" t="s">
        <v>103</v>
      </c>
      <c r="B160" s="13" t="s">
        <v>104</v>
      </c>
      <c r="C160" s="13" t="s">
        <v>105</v>
      </c>
      <c r="D160" s="31">
        <v>45686</v>
      </c>
      <c r="E160" s="31">
        <v>45931</v>
      </c>
      <c r="F160" s="31">
        <v>45961</v>
      </c>
      <c r="G160" s="13">
        <v>3786649</v>
      </c>
      <c r="H160" s="13" t="s">
        <v>637</v>
      </c>
      <c r="J160" s="13" t="s">
        <v>611</v>
      </c>
      <c r="K160" s="13" t="s">
        <v>638</v>
      </c>
      <c r="L160" s="13">
        <v>640</v>
      </c>
      <c r="M160" s="13">
        <v>2</v>
      </c>
      <c r="N160" s="13" t="s">
        <v>612</v>
      </c>
      <c r="O160" s="13" t="s">
        <v>179</v>
      </c>
      <c r="P160" s="13">
        <v>10100</v>
      </c>
      <c r="R160" s="13" t="s">
        <v>110</v>
      </c>
      <c r="S160" s="13" t="s">
        <v>553</v>
      </c>
      <c r="T160" s="13" t="s">
        <v>112</v>
      </c>
      <c r="U160" s="13" t="s">
        <v>113</v>
      </c>
      <c r="V160" s="13">
        <v>15</v>
      </c>
      <c r="W160" s="44">
        <f>IF($AX160="Cancelled","",IFERROR(((V160+INDEX(Variables!$B$6:$D$6,IFERROR(MATCH(IF($B160="Robusta","Robusta",(IF($B160="","Arabica",$B160))&amp;" - "&amp;(IF($C160="","Commercial",$C160))),Variables!$B$1:$D$1,0),1)))*22.0462)*(L160/16.67),""))</f>
        <v>258830.58754649069</v>
      </c>
      <c r="X160" s="55" t="s">
        <v>37</v>
      </c>
      <c r="Y160" s="13" t="str">
        <f>IF($AX160="Cancelled","",IF(X160="","",IFERROR(IF(INDEX(Variables!$B$38:$B$47,MATCH(X160,Variables!$A$38:$A$47,0))="Yes","Yes","No"),"No")))</f>
        <v>Yes</v>
      </c>
      <c r="Z160" s="58">
        <v>45898</v>
      </c>
      <c r="AB160" s="31">
        <v>45932</v>
      </c>
      <c r="AC160" s="13" t="str">
        <f t="shared" si="6"/>
        <v>Approved</v>
      </c>
      <c r="AF160" s="71">
        <f>AJ160-7</f>
        <v>45937</v>
      </c>
      <c r="AG160" s="35">
        <f>IF($AX160="Cancelled","",IFERROR(IF(F160="","",F160-Variables!$B$13),""))</f>
        <v>45946</v>
      </c>
      <c r="AH160" s="13">
        <f>IF($AX160="Cancelled","",IFERROR(IF(AB160="","",(AVERAGE(E160:F160)-AB160)-Variables!$B$14),""))</f>
        <v>-16</v>
      </c>
      <c r="AJ160" s="47">
        <v>45944</v>
      </c>
      <c r="AK160" s="14">
        <f>IF($AX160="Cancelled","",IFERROR(IF(AJ160="","",IF(AND(AB160="",AF160=""),"",IF(AF160&gt;AB160,AF160+Variables!$B$15+Variables!$B$16+Variables!$B$17-AJ160,AB160+Variables!$B$16+Variables!$B$17-AJ160))),""))</f>
        <v>8</v>
      </c>
      <c r="AL160" s="48" t="s">
        <v>114</v>
      </c>
      <c r="AM160" s="13" t="s">
        <v>134</v>
      </c>
      <c r="AN160" s="13" t="s">
        <v>639</v>
      </c>
      <c r="AP160" s="31">
        <v>45965</v>
      </c>
      <c r="AR160" s="13" t="s">
        <v>640</v>
      </c>
      <c r="AS160" s="31">
        <v>45965</v>
      </c>
      <c r="AU160" s="31">
        <v>45966</v>
      </c>
      <c r="AV160" s="13" t="s">
        <v>865</v>
      </c>
      <c r="AW160" s="31">
        <v>45966</v>
      </c>
      <c r="AX160" s="13" t="str">
        <f>IF(ISNUMBER(SEARCH("cancel",#REF!)),"Cancelled",IF(AND(AS160&lt;&gt;"",AU160&lt;&gt;"",AW160&lt;&gt;""),"Closed","Open"))</f>
        <v>Closed</v>
      </c>
      <c r="AY160" s="15" t="str">
        <f t="shared" si="7"/>
        <v>All dates received</v>
      </c>
      <c r="BD160" s="13">
        <f>IF($AX160="Cancelled","",IFERROR(IF(OR(AS160="",AJ160=""),"",(AJ160+Variables!$B$18-AS160)),""))</f>
        <v>-6</v>
      </c>
      <c r="BE160" s="13">
        <f>IF($AX160="Cancelled","",IFERROR(IF(OR(AW160="",AS160=""),"",(AS160+Variables!$B$19)-AW160),""))</f>
        <v>4</v>
      </c>
      <c r="BF160" s="44">
        <f>IF($AX160="Cancelled","",IFERROR(W160*INDEX(Variables!$B$7:$D$7,IFERROR(MATCH(IF($B160="Robusta","Robusta",(IF($B160="","Arabica",$B160))&amp;" - "&amp;(IF($C160="","Commercial",$C160))),Variables!$B$1:$D$1,0),1))*(BE160/365),""))</f>
        <v>182.9037338333186</v>
      </c>
      <c r="BG160" s="44">
        <f>IF($AX160="Cancelled","",IFERROR((W160*INDEX(Variables!$B$7:$D$7,IFERROR(MATCH(IF($B160="Robusta","Robusta",(IF($B160="","Arabica",$B160))&amp;" - "&amp;(IF($C160="","Commercial",$C160))),Variables!$B$1:$D$1,0),1))*IFERROR(IF(AB160="","",(AVERAGE(E160:F160)-AB160)-Variables!$B$14),"")/365)+(L160/16.67*INDEX(Variables!$B$8:$D$8,IFERROR(MATCH(IF($B160="Robusta","Robusta",(IF($B160="","Arabica",$B160))&amp;" - "&amp;(IF($C160="","Commercial",$C160))),Variables!$B$1:$D$1,0),1))*IFERROR(IF(AB160="","",(AVERAGE(E160:F160)-AB160)-Variables!$B$14),""))+(W160*INDEX(Variables!$B$9:$D$9,IFERROR(MATCH(IF($B160="Robusta","Robusta",(IF($B160="","Arabica",$B160))&amp;" - "&amp;(IF($C160="","Commercial",$C160))),Variables!$B$1:$D$1,0),1))*IFERROR(IF(AB160="","",(AVERAGE(E160:F160)-AB160)-Variables!$B$14),"")/365),""))</f>
        <v>-1253.046863768448</v>
      </c>
      <c r="BH160" s="44">
        <f>IF($AX160="Cancelled","",IFERROR((W160*INDEX(Variables!$B$7:$D$7,IFERROR(MATCH(IF($B160="Robusta","Robusta",(IF($B160="","Arabica",$B160))&amp;" - "&amp;(IF($C160="","Commercial",$C160))),Variables!$B$1:$D$1,0),1))*AK160/365)+(L160/16.67*INDEX(Variables!$B$8:$D$8,IFERROR(MATCH(IF($B160="Robusta","Robusta",(IF($B160="","Arabica",$B160))&amp;" - "&amp;(IF($C160="","Commercial",$C160))),Variables!$B$1:$D$1,0),1))*AK160)+(W160*INDEX(Variables!$B$9:$D$9,IFERROR(MATCH(IF($B160="Robusta","Robusta",(IF($B160="","Arabica",$B160))&amp;" - "&amp;(IF($C160="","Commercial",$C160))),Variables!$B$1:$D$1,0),1))*AK160/365),""))</f>
        <v>626.52343188422401</v>
      </c>
      <c r="BI160" s="44">
        <f>IF($AX160="Cancelled","",IFERROR((W160*INDEX(Variables!$B$7:$D$7,IFERROR(MATCH(IF($B160="Robusta","Robusta",(IF($B160="","Arabica",$B160))&amp;" - "&amp;(IF($C160="","Commercial",$C160))),Variables!$B$1:$D$1,0),1))*BD160/365)+(L160/16.67*INDEX(Variables!$B$8:$D$8,IFERROR(MATCH(IF($B160="Robusta","Robusta",(IF($B160="","Arabica",$B160))&amp;" - "&amp;(IF($C160="","Commercial",$C160))),Variables!$B$1:$D$1,0),1))*BD160)+(W160*INDEX(Variables!$B$9:$D$9,IFERROR(MATCH(IF($B160="Robusta","Robusta",(IF($B160="","Arabica",$B160))&amp;" - "&amp;(IF($C160="","Commercial",$C160))),Variables!$B$1:$D$1,0),1))*BD160/365),""))</f>
        <v>-469.89257391316801</v>
      </c>
      <c r="BJ160" s="44">
        <f t="shared" si="8"/>
        <v>-4</v>
      </c>
      <c r="BK160" s="44">
        <f>IF($AX160="Cancelled","",IFERROR(IF(BJ160="","",(W160*INDEX(Variables!$B$7:$D$7,IFERROR(MATCH(IF($B160="Robusta","Robusta",(IF($B160="","Arabica",$B160))&amp;" - "&amp;(IF($C160="","Commercial",$C160))),Variables!$B$1:$D$1,0),1))*(BJ160/365))+(W160*INDEX(Variables!$B$9:$D$9,IFERROR(MATCH(IF($B160="Robusta","Robusta",(IF($B160="","Arabica",$B160))&amp;" - "&amp;(IF($C160="","Commercial",$C160))),Variables!$B$1:$D$1,0),1))*(BJ160/365))+(INDEX(Variables!$B$8:$D$8,IFERROR(MATCH(IF($B160="Robusta","Robusta",(IF($B160="","Arabica",$B160))&amp;" - "&amp;(IF($C160="","Commercial",$C160))),Variables!$B$1:$D$1,0),1))*L160/16.67)),""))</f>
        <v>-153.261715942112</v>
      </c>
    </row>
    <row r="161" spans="1:63">
      <c r="A161" s="13" t="s">
        <v>103</v>
      </c>
      <c r="B161" s="13" t="s">
        <v>104</v>
      </c>
      <c r="C161" s="13" t="s">
        <v>105</v>
      </c>
      <c r="D161" s="31">
        <v>45686</v>
      </c>
      <c r="E161" s="31">
        <v>45962</v>
      </c>
      <c r="F161" s="31">
        <v>45991</v>
      </c>
      <c r="G161" s="13">
        <v>3786650</v>
      </c>
      <c r="H161" s="13" t="s">
        <v>641</v>
      </c>
      <c r="J161" s="13" t="s">
        <v>611</v>
      </c>
      <c r="K161" s="13" t="s">
        <v>642</v>
      </c>
      <c r="L161" s="13">
        <v>320</v>
      </c>
      <c r="M161" s="13">
        <v>1</v>
      </c>
      <c r="N161" s="13" t="s">
        <v>612</v>
      </c>
      <c r="O161" s="13" t="s">
        <v>179</v>
      </c>
      <c r="P161" s="13">
        <v>10100</v>
      </c>
      <c r="R161" s="13" t="s">
        <v>252</v>
      </c>
      <c r="S161" s="13" t="s">
        <v>553</v>
      </c>
      <c r="T161" s="13" t="s">
        <v>112</v>
      </c>
      <c r="U161" s="13" t="s">
        <v>113</v>
      </c>
      <c r="V161" s="13">
        <v>15</v>
      </c>
      <c r="W161" s="44">
        <f>IF($AX161="Cancelled","",IFERROR(((V161+INDEX(Variables!$B$6:$D$6,IFERROR(MATCH(IF($B161="Robusta","Robusta",(IF($B161="","Arabica",$B161))&amp;" - "&amp;(IF($C161="","Commercial",$C161))),Variables!$B$1:$D$1,0),1)))*22.0462)*(L161/16.67),""))</f>
        <v>129415.29377324534</v>
      </c>
      <c r="X161" s="55" t="s">
        <v>37</v>
      </c>
      <c r="Y161" s="13" t="str">
        <f>IF($AX161="Cancelled","",IF(X161="","",IFERROR(IF(INDEX(Variables!$B$38:$B$47,MATCH(X161,Variables!$A$38:$A$47,0))="Yes","Yes","No"),"No")))</f>
        <v>Yes</v>
      </c>
      <c r="Z161" s="58">
        <v>45930</v>
      </c>
      <c r="AB161" s="31">
        <v>45938</v>
      </c>
      <c r="AC161" s="13" t="str">
        <f t="shared" si="6"/>
        <v>Approved</v>
      </c>
      <c r="AF161" s="71">
        <f>AJ161-7</f>
        <v>45961</v>
      </c>
      <c r="AG161" s="35">
        <f>IF($AX161="Cancelled","",IFERROR(IF(F161="","",F161-Variables!$B$13),""))</f>
        <v>45976</v>
      </c>
      <c r="AH161" s="13">
        <f>IF($AX161="Cancelled","",IFERROR(IF(AB161="","",(AVERAGE(E161:F161)-AB161)-Variables!$B$14),""))</f>
        <v>8.5</v>
      </c>
      <c r="AJ161" s="47">
        <v>45968</v>
      </c>
      <c r="AK161" s="14">
        <f>IF($AX161="Cancelled","",IFERROR(IF(AJ161="","",IF(AND(AB161="",AF161=""),"",IF(AF161&gt;AB161,AF161+Variables!$B$15+Variables!$B$16+Variables!$B$17-AJ161,AB161+Variables!$B$16+Variables!$B$17-AJ161))),""))</f>
        <v>8</v>
      </c>
      <c r="AL161" s="48" t="s">
        <v>350</v>
      </c>
      <c r="AM161" s="13" t="s">
        <v>134</v>
      </c>
      <c r="AN161" s="13" t="s">
        <v>643</v>
      </c>
      <c r="AP161" s="31">
        <v>45989</v>
      </c>
      <c r="AR161" s="13" t="s">
        <v>644</v>
      </c>
      <c r="AS161" s="31">
        <v>45989</v>
      </c>
      <c r="AU161" s="31">
        <v>45992</v>
      </c>
      <c r="AV161" s="13" t="s">
        <v>865</v>
      </c>
      <c r="AW161" s="31">
        <v>45992</v>
      </c>
      <c r="AX161" s="13" t="str">
        <f>IF(ISNUMBER(SEARCH("cancel",#REF!)),"Cancelled",IF(AND(AS161&lt;&gt;"",AU161&lt;&gt;"",AW161&lt;&gt;""),"Closed","Open"))</f>
        <v>Closed</v>
      </c>
      <c r="AY161" s="15" t="str">
        <f t="shared" si="7"/>
        <v>All dates received</v>
      </c>
      <c r="BD161" s="13">
        <f>IF($AX161="Cancelled","",IFERROR(IF(OR(AS161="",AJ161=""),"",(AJ161+Variables!$B$18-AS161)),""))</f>
        <v>-6</v>
      </c>
      <c r="BE161" s="13">
        <f>IF($AX161="Cancelled","",IFERROR(IF(OR(AW161="",AS161=""),"",(AS161+Variables!$B$19)-AW161),""))</f>
        <v>2</v>
      </c>
      <c r="BF161" s="44">
        <f>IF($AX161="Cancelled","",IFERROR(W161*INDEX(Variables!$B$7:$D$7,IFERROR(MATCH(IF($B161="Robusta","Robusta",(IF($B161="","Arabica",$B161))&amp;" - "&amp;(IF($C161="","Commercial",$C161))),Variables!$B$1:$D$1,0),1))*(BE161/365),""))</f>
        <v>45.725933458329649</v>
      </c>
      <c r="BG161" s="44">
        <f>IF($AX161="Cancelled","",IFERROR((W161*INDEX(Variables!$B$7:$D$7,IFERROR(MATCH(IF($B161="Robusta","Robusta",(IF($B161="","Arabica",$B161))&amp;" - "&amp;(IF($C161="","Commercial",$C161))),Variables!$B$1:$D$1,0),1))*IFERROR(IF(AB161="","",(AVERAGE(E161:F161)-AB161)-Variables!$B$14),"")/365)+(L161/16.67*INDEX(Variables!$B$8:$D$8,IFERROR(MATCH(IF($B161="Robusta","Robusta",(IF($B161="","Arabica",$B161))&amp;" - "&amp;(IF($C161="","Commercial",$C161))),Variables!$B$1:$D$1,0),1))*IFERROR(IF(AB161="","",(AVERAGE(E161:F161)-AB161)-Variables!$B$14),""))+(W161*INDEX(Variables!$B$9:$D$9,IFERROR(MATCH(IF($B161="Robusta","Robusta",(IF($B161="","Arabica",$B161))&amp;" - "&amp;(IF($C161="","Commercial",$C161))),Variables!$B$1:$D$1,0),1))*IFERROR(IF(AB161="","",(AVERAGE(E161:F161)-AB161)-Variables!$B$14),"")/365),""))</f>
        <v>332.84057318849398</v>
      </c>
      <c r="BH161" s="44">
        <f>IF($AX161="Cancelled","",IFERROR((W161*INDEX(Variables!$B$7:$D$7,IFERROR(MATCH(IF($B161="Robusta","Robusta",(IF($B161="","Arabica",$B161))&amp;" - "&amp;(IF($C161="","Commercial",$C161))),Variables!$B$1:$D$1,0),1))*AK161/365)+(L161/16.67*INDEX(Variables!$B$8:$D$8,IFERROR(MATCH(IF($B161="Robusta","Robusta",(IF($B161="","Arabica",$B161))&amp;" - "&amp;(IF($C161="","Commercial",$C161))),Variables!$B$1:$D$1,0),1))*AK161)+(W161*INDEX(Variables!$B$9:$D$9,IFERROR(MATCH(IF($B161="Robusta","Robusta",(IF($B161="","Arabica",$B161))&amp;" - "&amp;(IF($C161="","Commercial",$C161))),Variables!$B$1:$D$1,0),1))*AK161/365),""))</f>
        <v>313.261715942112</v>
      </c>
      <c r="BI161" s="44">
        <f>IF($AX161="Cancelled","",IFERROR((W161*INDEX(Variables!$B$7:$D$7,IFERROR(MATCH(IF($B161="Robusta","Robusta",(IF($B161="","Arabica",$B161))&amp;" - "&amp;(IF($C161="","Commercial",$C161))),Variables!$B$1:$D$1,0),1))*BD161/365)+(L161/16.67*INDEX(Variables!$B$8:$D$8,IFERROR(MATCH(IF($B161="Robusta","Robusta",(IF($B161="","Arabica",$B161))&amp;" - "&amp;(IF($C161="","Commercial",$C161))),Variables!$B$1:$D$1,0),1))*BD161)+(W161*INDEX(Variables!$B$9:$D$9,IFERROR(MATCH(IF($B161="Robusta","Robusta",(IF($B161="","Arabica",$B161))&amp;" - "&amp;(IF($C161="","Commercial",$C161))),Variables!$B$1:$D$1,0),1))*BD161/365),""))</f>
        <v>-234.946286956584</v>
      </c>
      <c r="BJ161" s="44">
        <f t="shared" si="8"/>
        <v>2</v>
      </c>
      <c r="BK161" s="44">
        <f>IF($AX161="Cancelled","",IFERROR(IF(BJ161="","",(W161*INDEX(Variables!$B$7:$D$7,IFERROR(MATCH(IF($B161="Robusta","Robusta",(IF($B161="","Arabica",$B161))&amp;" - "&amp;(IF($C161="","Commercial",$C161))),Variables!$B$1:$D$1,0),1))*(BJ161/365))+(W161*INDEX(Variables!$B$9:$D$9,IFERROR(MATCH(IF($B161="Robusta","Robusta",(IF($B161="","Arabica",$B161))&amp;" - "&amp;(IF($C161="","Commercial",$C161))),Variables!$B$1:$D$1,0),1))*(BJ161/365))+(INDEX(Variables!$B$8:$D$8,IFERROR(MATCH(IF($B161="Robusta","Robusta",(IF($B161="","Arabica",$B161))&amp;" - "&amp;(IF($C161="","Commercial",$C161))),Variables!$B$1:$D$1,0),1))*L161/16.67)),""))</f>
        <v>62.315428985528001</v>
      </c>
    </row>
    <row r="162" spans="1:63">
      <c r="A162" s="13" t="s">
        <v>103</v>
      </c>
      <c r="B162" s="13" t="s">
        <v>104</v>
      </c>
      <c r="C162" s="13" t="s">
        <v>105</v>
      </c>
      <c r="D162" s="31">
        <v>45686</v>
      </c>
      <c r="E162" s="31">
        <v>45962</v>
      </c>
      <c r="F162" s="31">
        <v>45991</v>
      </c>
      <c r="G162" s="13">
        <v>3786650</v>
      </c>
      <c r="H162" s="13" t="s">
        <v>645</v>
      </c>
      <c r="J162" s="13" t="s">
        <v>611</v>
      </c>
      <c r="K162" s="13" t="s">
        <v>646</v>
      </c>
      <c r="L162" s="13">
        <v>320</v>
      </c>
      <c r="M162" s="13">
        <v>1</v>
      </c>
      <c r="N162" s="13" t="s">
        <v>612</v>
      </c>
      <c r="O162" s="13" t="s">
        <v>179</v>
      </c>
      <c r="P162" s="13">
        <v>10100</v>
      </c>
      <c r="R162" s="13" t="s">
        <v>252</v>
      </c>
      <c r="S162" s="13" t="s">
        <v>553</v>
      </c>
      <c r="T162" s="13" t="s">
        <v>112</v>
      </c>
      <c r="U162" s="13" t="s">
        <v>113</v>
      </c>
      <c r="V162" s="13">
        <v>15</v>
      </c>
      <c r="W162" s="44">
        <f>IF($AX162="Cancelled","",IFERROR(((V162+INDEX(Variables!$B$6:$D$6,IFERROR(MATCH(IF($B162="Robusta","Robusta",(IF($B162="","Arabica",$B162))&amp;" - "&amp;(IF($C162="","Commercial",$C162))),Variables!$B$1:$D$1,0),1)))*22.0462)*(L162/16.67),""))</f>
        <v>129415.29377324534</v>
      </c>
      <c r="X162" s="55" t="s">
        <v>37</v>
      </c>
      <c r="Y162" s="13" t="str">
        <f>IF($AX162="Cancelled","",IF(X162="","",IFERROR(IF(INDEX(Variables!$B$38:$B$47,MATCH(X162,Variables!$A$38:$A$47,0))="Yes","Yes","No"),"No")))</f>
        <v>Yes</v>
      </c>
      <c r="Z162" s="58">
        <v>45930</v>
      </c>
      <c r="AB162" s="31">
        <v>45938</v>
      </c>
      <c r="AC162" s="13" t="str">
        <f t="shared" si="6"/>
        <v>Approved</v>
      </c>
      <c r="AF162" s="71">
        <f>AJ162-7</f>
        <v>45961</v>
      </c>
      <c r="AG162" s="35">
        <f>IF($AX162="Cancelled","",IFERROR(IF(F162="","",F162-Variables!$B$13),""))</f>
        <v>45976</v>
      </c>
      <c r="AH162" s="13">
        <f>IF($AX162="Cancelled","",IFERROR(IF(AB162="","",(AVERAGE(E162:F162)-AB162)-Variables!$B$14),""))</f>
        <v>8.5</v>
      </c>
      <c r="AJ162" s="47">
        <v>45968</v>
      </c>
      <c r="AK162" s="14">
        <f>IF($AX162="Cancelled","",IFERROR(IF(AJ162="","",IF(AND(AB162="",AF162=""),"",IF(AF162&gt;AB162,AF162+Variables!$B$15+Variables!$B$16+Variables!$B$17-AJ162,AB162+Variables!$B$16+Variables!$B$17-AJ162))),""))</f>
        <v>8</v>
      </c>
      <c r="AL162" s="48" t="s">
        <v>350</v>
      </c>
      <c r="AM162" s="13" t="s">
        <v>134</v>
      </c>
      <c r="AN162" s="13" t="s">
        <v>643</v>
      </c>
      <c r="AP162" s="31">
        <v>45989</v>
      </c>
      <c r="AR162" s="13" t="s">
        <v>644</v>
      </c>
      <c r="AS162" s="31">
        <v>45990</v>
      </c>
      <c r="AU162" s="31">
        <v>45992</v>
      </c>
      <c r="AV162" s="13" t="s">
        <v>865</v>
      </c>
      <c r="AW162" s="31">
        <v>45992</v>
      </c>
      <c r="AX162" s="13" t="str">
        <f>IF(ISNUMBER(SEARCH("cancel",#REF!)),"Cancelled",IF(AND(AS162&lt;&gt;"",AU162&lt;&gt;"",AW162&lt;&gt;""),"Closed","Open"))</f>
        <v>Closed</v>
      </c>
      <c r="AY162" s="15" t="str">
        <f t="shared" si="7"/>
        <v>All dates received</v>
      </c>
      <c r="BD162" s="13">
        <f>IF($AX162="Cancelled","",IFERROR(IF(OR(AS162="",AJ162=""),"",(AJ162+Variables!$B$18-AS162)),""))</f>
        <v>-7</v>
      </c>
      <c r="BE162" s="13">
        <f>IF($AX162="Cancelled","",IFERROR(IF(OR(AW162="",AS162=""),"",(AS162+Variables!$B$19)-AW162),""))</f>
        <v>3</v>
      </c>
      <c r="BF162" s="44">
        <f>IF($AX162="Cancelled","",IFERROR(W162*INDEX(Variables!$B$7:$D$7,IFERROR(MATCH(IF($B162="Robusta","Robusta",(IF($B162="","Arabica",$B162))&amp;" - "&amp;(IF($C162="","Commercial",$C162))),Variables!$B$1:$D$1,0),1))*(BE162/365),""))</f>
        <v>68.588900187494474</v>
      </c>
      <c r="BG162" s="44">
        <f>IF($AX162="Cancelled","",IFERROR((W162*INDEX(Variables!$B$7:$D$7,IFERROR(MATCH(IF($B162="Robusta","Robusta",(IF($B162="","Arabica",$B162))&amp;" - "&amp;(IF($C162="","Commercial",$C162))),Variables!$B$1:$D$1,0),1))*IFERROR(IF(AB162="","",(AVERAGE(E162:F162)-AB162)-Variables!$B$14),"")/365)+(L162/16.67*INDEX(Variables!$B$8:$D$8,IFERROR(MATCH(IF($B162="Robusta","Robusta",(IF($B162="","Arabica",$B162))&amp;" - "&amp;(IF($C162="","Commercial",$C162))),Variables!$B$1:$D$1,0),1))*IFERROR(IF(AB162="","",(AVERAGE(E162:F162)-AB162)-Variables!$B$14),""))+(W162*INDEX(Variables!$B$9:$D$9,IFERROR(MATCH(IF($B162="Robusta","Robusta",(IF($B162="","Arabica",$B162))&amp;" - "&amp;(IF($C162="","Commercial",$C162))),Variables!$B$1:$D$1,0),1))*IFERROR(IF(AB162="","",(AVERAGE(E162:F162)-AB162)-Variables!$B$14),"")/365),""))</f>
        <v>332.84057318849398</v>
      </c>
      <c r="BH162" s="44">
        <f>IF($AX162="Cancelled","",IFERROR((W162*INDEX(Variables!$B$7:$D$7,IFERROR(MATCH(IF($B162="Robusta","Robusta",(IF($B162="","Arabica",$B162))&amp;" - "&amp;(IF($C162="","Commercial",$C162))),Variables!$B$1:$D$1,0),1))*AK162/365)+(L162/16.67*INDEX(Variables!$B$8:$D$8,IFERROR(MATCH(IF($B162="Robusta","Robusta",(IF($B162="","Arabica",$B162))&amp;" - "&amp;(IF($C162="","Commercial",$C162))),Variables!$B$1:$D$1,0),1))*AK162)+(W162*INDEX(Variables!$B$9:$D$9,IFERROR(MATCH(IF($B162="Robusta","Robusta",(IF($B162="","Arabica",$B162))&amp;" - "&amp;(IF($C162="","Commercial",$C162))),Variables!$B$1:$D$1,0),1))*AK162/365),""))</f>
        <v>313.261715942112</v>
      </c>
      <c r="BI162" s="44">
        <f>IF($AX162="Cancelled","",IFERROR((W162*INDEX(Variables!$B$7:$D$7,IFERROR(MATCH(IF($B162="Robusta","Robusta",(IF($B162="","Arabica",$B162))&amp;" - "&amp;(IF($C162="","Commercial",$C162))),Variables!$B$1:$D$1,0),1))*BD162/365)+(L162/16.67*INDEX(Variables!$B$8:$D$8,IFERROR(MATCH(IF($B162="Robusta","Robusta",(IF($B162="","Arabica",$B162))&amp;" - "&amp;(IF($C162="","Commercial",$C162))),Variables!$B$1:$D$1,0),1))*BD162)+(W162*INDEX(Variables!$B$9:$D$9,IFERROR(MATCH(IF($B162="Robusta","Robusta",(IF($B162="","Arabica",$B162))&amp;" - "&amp;(IF($C162="","Commercial",$C162))),Variables!$B$1:$D$1,0),1))*BD162/365),""))</f>
        <v>-274.10400144934806</v>
      </c>
      <c r="BJ162" s="44">
        <f t="shared" si="8"/>
        <v>1</v>
      </c>
      <c r="BK162" s="44">
        <f>IF($AX162="Cancelled","",IFERROR(IF(BJ162="","",(W162*INDEX(Variables!$B$7:$D$7,IFERROR(MATCH(IF($B162="Robusta","Robusta",(IF($B162="","Arabica",$B162))&amp;" - "&amp;(IF($C162="","Commercial",$C162))),Variables!$B$1:$D$1,0),1))*(BJ162/365))+(W162*INDEX(Variables!$B$9:$D$9,IFERROR(MATCH(IF($B162="Robusta","Robusta",(IF($B162="","Arabica",$B162))&amp;" - "&amp;(IF($C162="","Commercial",$C162))),Variables!$B$1:$D$1,0),1))*(BJ162/365))+(INDEX(Variables!$B$8:$D$8,IFERROR(MATCH(IF($B162="Robusta","Robusta",(IF($B162="","Arabica",$B162))&amp;" - "&amp;(IF($C162="","Commercial",$C162))),Variables!$B$1:$D$1,0),1))*L162/16.67)),""))</f>
        <v>39.157714492764001</v>
      </c>
    </row>
    <row r="163" spans="1:63">
      <c r="A163" s="13" t="s">
        <v>103</v>
      </c>
      <c r="B163" s="13" t="s">
        <v>104</v>
      </c>
      <c r="C163" s="13" t="s">
        <v>105</v>
      </c>
      <c r="D163" s="31">
        <v>45687</v>
      </c>
      <c r="E163" s="31">
        <v>45778</v>
      </c>
      <c r="F163" s="31">
        <v>45808</v>
      </c>
      <c r="G163" s="13">
        <v>3786651</v>
      </c>
      <c r="H163" s="13" t="s">
        <v>647</v>
      </c>
      <c r="J163" s="13" t="s">
        <v>506</v>
      </c>
      <c r="K163" s="13" t="s">
        <v>648</v>
      </c>
      <c r="L163" s="13">
        <v>309</v>
      </c>
      <c r="M163" s="13">
        <v>1</v>
      </c>
      <c r="N163" s="13" t="s">
        <v>649</v>
      </c>
      <c r="O163" s="13" t="s">
        <v>418</v>
      </c>
      <c r="P163" s="13">
        <v>10070</v>
      </c>
      <c r="R163" s="13" t="s">
        <v>239</v>
      </c>
      <c r="S163" s="13" t="s">
        <v>509</v>
      </c>
      <c r="T163" s="13" t="s">
        <v>329</v>
      </c>
      <c r="U163" s="13" t="s">
        <v>330</v>
      </c>
      <c r="V163" s="13">
        <v>8</v>
      </c>
      <c r="W163" s="44">
        <f>IF($AX163="Cancelled","",IFERROR(((V163+INDEX(Variables!$B$6:$D$6,IFERROR(MATCH(IF($B163="Robusta","Robusta",(IF($B163="","Arabica",$B163))&amp;" - "&amp;(IF($C163="","Commercial",$C163))),Variables!$B$1:$D$1,0),1)))*22.0462)*(L163/16.67),""))</f>
        <v>122106.05933053387</v>
      </c>
      <c r="X163" s="55" t="s">
        <v>37</v>
      </c>
      <c r="Y163" s="13" t="str">
        <f>IF($AX163="Cancelled","",IF(X163="","",IFERROR(IF(INDEX(Variables!$B$38:$B$47,MATCH(X163,Variables!$A$38:$A$47,0))="Yes","Yes","No"),"No")))</f>
        <v>Yes</v>
      </c>
      <c r="Z163" s="58">
        <v>45749</v>
      </c>
      <c r="AB163" s="31">
        <v>45761</v>
      </c>
      <c r="AC163" s="13" t="str">
        <f t="shared" si="6"/>
        <v>Approved</v>
      </c>
      <c r="AF163" s="71">
        <f>AJ163-7</f>
        <v>45782</v>
      </c>
      <c r="AG163" s="35">
        <f>IF($AX163="Cancelled","",IFERROR(IF(F163="","",F163-Variables!$B$13),""))</f>
        <v>45793</v>
      </c>
      <c r="AH163" s="13">
        <f>IF($AX163="Cancelled","",IFERROR(IF(AB163="","",(AVERAGE(E163:F163)-AB163)-Variables!$B$14),""))</f>
        <v>2</v>
      </c>
      <c r="AJ163" s="47">
        <v>45789</v>
      </c>
      <c r="AK163" s="14">
        <f>IF($AX163="Cancelled","",IFERROR(IF(AJ163="","",IF(AND(AB163="",AF163=""),"",IF(AF163&gt;AB163,AF163+Variables!$B$15+Variables!$B$16+Variables!$B$17-AJ163,AB163+Variables!$B$16+Variables!$B$17-AJ163))),""))</f>
        <v>8</v>
      </c>
      <c r="AL163" s="48" t="s">
        <v>114</v>
      </c>
      <c r="AM163" s="13" t="s">
        <v>115</v>
      </c>
      <c r="AN163" s="13" t="s">
        <v>281</v>
      </c>
      <c r="AP163" s="31">
        <v>45798</v>
      </c>
      <c r="AR163" s="13">
        <v>253467055</v>
      </c>
      <c r="AS163" s="31">
        <v>45798</v>
      </c>
      <c r="AU163" s="31">
        <v>45807</v>
      </c>
      <c r="AV163" s="13" t="s">
        <v>865</v>
      </c>
      <c r="AW163" s="31">
        <v>45812</v>
      </c>
      <c r="AX163" s="13" t="str">
        <f>IF(ISNUMBER(SEARCH("cancel",#REF!)),"Cancelled",IF(AND(AS163&lt;&gt;"",AU163&lt;&gt;"",AW163&lt;&gt;""),"Closed","Open"))</f>
        <v>Closed</v>
      </c>
      <c r="AY163" s="15" t="str">
        <f t="shared" si="7"/>
        <v>All dates received</v>
      </c>
      <c r="BD163" s="13">
        <f>IF($AX163="Cancelled","",IFERROR(IF(OR(AS163="",AJ163=""),"",(AJ163+Variables!$B$18-AS163)),""))</f>
        <v>6</v>
      </c>
      <c r="BE163" s="13">
        <f>IF($AX163="Cancelled","",IFERROR(IF(OR(AW163="",AS163=""),"",(AS163+Variables!$B$19)-AW163),""))</f>
        <v>-9</v>
      </c>
      <c r="BF163" s="44">
        <f>IF($AX163="Cancelled","",IFERROR(W163*INDEX(Variables!$B$7:$D$7,IFERROR(MATCH(IF($B163="Robusta","Robusta",(IF($B163="","Arabica",$B163))&amp;" - "&amp;(IF($C163="","Commercial",$C163))),Variables!$B$1:$D$1,0),1))*(BE163/365),""))</f>
        <v>-194.14522205663059</v>
      </c>
      <c r="BG163" s="44">
        <f>IF($AX163="Cancelled","",IFERROR((W163*INDEX(Variables!$B$7:$D$7,IFERROR(MATCH(IF($B163="Robusta","Robusta",(IF($B163="","Arabica",$B163))&amp;" - "&amp;(IF($C163="","Commercial",$C163))),Variables!$B$1:$D$1,0),1))*IFERROR(IF(AB163="","",(AVERAGE(E163:F163)-AB163)-Variables!$B$14),"")/365)+(L163/16.67*INDEX(Variables!$B$8:$D$8,IFERROR(MATCH(IF($B163="Robusta","Robusta",(IF($B163="","Arabica",$B163))&amp;" - "&amp;(IF($C163="","Commercial",$C163))),Variables!$B$1:$D$1,0),1))*IFERROR(IF(AB163="","",(AVERAGE(E163:F163)-AB163)-Variables!$B$14),""))+(W163*INDEX(Variables!$B$9:$D$9,IFERROR(MATCH(IF($B163="Robusta","Robusta",(IF($B163="","Arabica",$B163))&amp;" - "&amp;(IF($C163="","Commercial",$C163))),Variables!$B$1:$D$1,0),1))*IFERROR(IF(AB163="","",(AVERAGE(E163:F163)-AB163)-Variables!$B$14),"")/365),""))</f>
        <v>74.599584142930539</v>
      </c>
      <c r="BH163" s="44">
        <f>IF($AX163="Cancelled","",IFERROR((W163*INDEX(Variables!$B$7:$D$7,IFERROR(MATCH(IF($B163="Robusta","Robusta",(IF($B163="","Arabica",$B163))&amp;" - "&amp;(IF($C163="","Commercial",$C163))),Variables!$B$1:$D$1,0),1))*AK163/365)+(L163/16.67*INDEX(Variables!$B$8:$D$8,IFERROR(MATCH(IF($B163="Robusta","Robusta",(IF($B163="","Arabica",$B163))&amp;" - "&amp;(IF($C163="","Commercial",$C163))),Variables!$B$1:$D$1,0),1))*AK163)+(W163*INDEX(Variables!$B$9:$D$9,IFERROR(MATCH(IF($B163="Robusta","Robusta",(IF($B163="","Arabica",$B163))&amp;" - "&amp;(IF($C163="","Commercial",$C163))),Variables!$B$1:$D$1,0),1))*AK163/365),""))</f>
        <v>298.39833657172215</v>
      </c>
      <c r="BI163" s="44">
        <f>IF($AX163="Cancelled","",IFERROR((W163*INDEX(Variables!$B$7:$D$7,IFERROR(MATCH(IF($B163="Robusta","Robusta",(IF($B163="","Arabica",$B163))&amp;" - "&amp;(IF($C163="","Commercial",$C163))),Variables!$B$1:$D$1,0),1))*BD163/365)+(L163/16.67*INDEX(Variables!$B$8:$D$8,IFERROR(MATCH(IF($B163="Robusta","Robusta",(IF($B163="","Arabica",$B163))&amp;" - "&amp;(IF($C163="","Commercial",$C163))),Variables!$B$1:$D$1,0),1))*BD163)+(W163*INDEX(Variables!$B$9:$D$9,IFERROR(MATCH(IF($B163="Robusta","Robusta",(IF($B163="","Arabica",$B163))&amp;" - "&amp;(IF($C163="","Commercial",$C163))),Variables!$B$1:$D$1,0),1))*BD163/365),""))</f>
        <v>223.79875242879163</v>
      </c>
      <c r="BJ163" s="44">
        <f t="shared" si="8"/>
        <v>10</v>
      </c>
      <c r="BK163" s="44">
        <f>IF($AX163="Cancelled","",IFERROR(IF(BJ163="","",(W163*INDEX(Variables!$B$7:$D$7,IFERROR(MATCH(IF($B163="Robusta","Robusta",(IF($B163="","Arabica",$B163))&amp;" - "&amp;(IF($C163="","Commercial",$C163))),Variables!$B$1:$D$1,0),1))*(BJ163/365))+(W163*INDEX(Variables!$B$9:$D$9,IFERROR(MATCH(IF($B163="Robusta","Robusta",(IF($B163="","Arabica",$B163))&amp;" - "&amp;(IF($C163="","Commercial",$C163))),Variables!$B$1:$D$1,0),1))*(BJ163/365))+(INDEX(Variables!$B$8:$D$8,IFERROR(MATCH(IF($B163="Robusta","Robusta",(IF($B163="","Arabica",$B163))&amp;" - "&amp;(IF($C163="","Commercial",$C163))),Variables!$B$1:$D$1,0),1))*L163/16.67)),""))</f>
        <v>233.9479207146527</v>
      </c>
    </row>
    <row r="164" spans="1:63">
      <c r="A164" s="13" t="s">
        <v>103</v>
      </c>
      <c r="B164" s="13" t="s">
        <v>104</v>
      </c>
      <c r="C164" s="13" t="s">
        <v>105</v>
      </c>
      <c r="D164" s="31">
        <v>45687</v>
      </c>
      <c r="E164" s="31">
        <v>45689</v>
      </c>
      <c r="F164" s="31">
        <v>45747</v>
      </c>
      <c r="G164" s="13">
        <v>3786652</v>
      </c>
      <c r="H164" s="13" t="s">
        <v>650</v>
      </c>
      <c r="J164" s="13" t="s">
        <v>118</v>
      </c>
      <c r="K164" s="13">
        <v>5180</v>
      </c>
      <c r="L164" s="13">
        <v>2240</v>
      </c>
      <c r="M164" s="13">
        <v>7</v>
      </c>
      <c r="N164" s="13" t="s">
        <v>651</v>
      </c>
      <c r="O164" s="13" t="s">
        <v>179</v>
      </c>
      <c r="P164" s="13">
        <v>10110</v>
      </c>
      <c r="R164" s="13" t="s">
        <v>110</v>
      </c>
      <c r="S164" s="13" t="s">
        <v>154</v>
      </c>
      <c r="T164" s="13" t="s">
        <v>155</v>
      </c>
      <c r="U164" s="13" t="s">
        <v>125</v>
      </c>
      <c r="V164" s="13">
        <v>-20</v>
      </c>
      <c r="W164" s="44">
        <f>IF($AX164="Cancelled","",IFERROR(((V164+INDEX(Variables!$B$6:$D$6,IFERROR(MATCH(IF($B164="Robusta","Robusta",(IF($B164="","Arabica",$B164))&amp;" - "&amp;(IF($C164="","Commercial",$C164))),Variables!$B$1:$D$1,0),1)))*22.0462)*(L164/16.67),""))</f>
        <v>802222.46853029379</v>
      </c>
      <c r="X164" s="55" t="s">
        <v>37</v>
      </c>
      <c r="Y164" s="13" t="str">
        <f>IF($AX164="Cancelled","",IF(X164="","",IFERROR(IF(INDEX(Variables!$B$38:$B$47,MATCH(X164,Variables!$A$38:$A$47,0))="Yes","Yes","No"),"No")))</f>
        <v>Yes</v>
      </c>
      <c r="Z164" s="58">
        <v>45692</v>
      </c>
      <c r="AB164" s="31">
        <v>45698</v>
      </c>
      <c r="AC164" s="13" t="str">
        <f t="shared" si="6"/>
        <v>Approved</v>
      </c>
      <c r="AF164" s="71">
        <v>45714</v>
      </c>
      <c r="AG164" s="35">
        <f>IF($AX164="Cancelled","",IFERROR(IF(F164="","",F164-Variables!$B$13),""))</f>
        <v>45732</v>
      </c>
      <c r="AH164" s="13">
        <f>IF($AX164="Cancelled","",IFERROR(IF(AB164="","",(AVERAGE(E164:F164)-AB164)-Variables!$B$14),""))</f>
        <v>-10</v>
      </c>
      <c r="AJ164" s="47">
        <v>45715</v>
      </c>
      <c r="AK164" s="14">
        <f>IF($AX164="Cancelled","",IFERROR(IF(AJ164="","",IF(AND(AB164="",AF164=""),"",IF(AF164&gt;AB164,AF164+Variables!$B$15+Variables!$B$16+Variables!$B$17-AJ164,AB164+Variables!$B$16+Variables!$B$17-AJ164))),""))</f>
        <v>14</v>
      </c>
      <c r="AL164" s="48" t="s">
        <v>114</v>
      </c>
      <c r="AM164" s="13" t="s">
        <v>141</v>
      </c>
      <c r="AN164" s="13" t="s">
        <v>146</v>
      </c>
      <c r="AP164" s="31">
        <v>45732</v>
      </c>
      <c r="AR164" s="13" t="s">
        <v>652</v>
      </c>
      <c r="AS164" s="31">
        <v>45732</v>
      </c>
      <c r="AU164" s="31">
        <v>45734</v>
      </c>
      <c r="AV164" s="13" t="s">
        <v>865</v>
      </c>
      <c r="AW164" s="31">
        <v>45735</v>
      </c>
      <c r="AX164" s="13" t="str">
        <f>IF(ISNUMBER(SEARCH("cancel",#REF!)),"Cancelled",IF(AND(AS164&lt;&gt;"",AU164&lt;&gt;"",AW164&lt;&gt;""),"Closed","Open"))</f>
        <v>Closed</v>
      </c>
      <c r="AY164" s="15" t="str">
        <f t="shared" si="7"/>
        <v>All dates received</v>
      </c>
      <c r="BD164" s="13">
        <f>IF($AX164="Cancelled","",IFERROR(IF(OR(AS164="",AJ164=""),"",(AJ164+Variables!$B$18-AS164)),""))</f>
        <v>-2</v>
      </c>
      <c r="BE164" s="13">
        <f>IF($AX164="Cancelled","",IFERROR(IF(OR(AW164="",AS164=""),"",(AS164+Variables!$B$19)-AW164),""))</f>
        <v>2</v>
      </c>
      <c r="BF164" s="44">
        <f>IF($AX164="Cancelled","",IFERROR(W164*INDEX(Variables!$B$7:$D$7,IFERROR(MATCH(IF($B164="Robusta","Robusta",(IF($B164="","Arabica",$B164))&amp;" - "&amp;(IF($C164="","Commercial",$C164))),Variables!$B$1:$D$1,0),1))*(BE164/365),""))</f>
        <v>283.44695704254309</v>
      </c>
      <c r="BG164" s="44">
        <f>IF($AX164="Cancelled","",IFERROR((W164*INDEX(Variables!$B$7:$D$7,IFERROR(MATCH(IF($B164="Robusta","Robusta",(IF($B164="","Arabica",$B164))&amp;" - "&amp;(IF($C164="","Commercial",$C164))),Variables!$B$1:$D$1,0),1))*IFERROR(IF(AB164="","",(AVERAGE(E164:F164)-AB164)-Variables!$B$14),"")/365)+(L164/16.67*INDEX(Variables!$B$8:$D$8,IFERROR(MATCH(IF($B164="Robusta","Robusta",(IF($B164="","Arabica",$B164))&amp;" - "&amp;(IF($C164="","Commercial",$C164))),Variables!$B$1:$D$1,0),1))*IFERROR(IF(AB164="","",(AVERAGE(E164:F164)-AB164)-Variables!$B$14),""))+(W164*INDEX(Variables!$B$9:$D$9,IFERROR(MATCH(IF($B164="Robusta","Robusta",(IF($B164="","Arabica",$B164))&amp;" - "&amp;(IF($C164="","Commercial",$C164))),Variables!$B$1:$D$1,0),1))*IFERROR(IF(AB164="","",(AVERAGE(E164:F164)-AB164)-Variables!$B$14),"")/365),""))</f>
        <v>-2555.5056766672151</v>
      </c>
      <c r="BH164" s="44">
        <f>IF($AX164="Cancelled","",IFERROR((W164*INDEX(Variables!$B$7:$D$7,IFERROR(MATCH(IF($B164="Robusta","Robusta",(IF($B164="","Arabica",$B164))&amp;" - "&amp;(IF($C164="","Commercial",$C164))),Variables!$B$1:$D$1,0),1))*AK164/365)+(L164/16.67*INDEX(Variables!$B$8:$D$8,IFERROR(MATCH(IF($B164="Robusta","Robusta",(IF($B164="","Arabica",$B164))&amp;" - "&amp;(IF($C164="","Commercial",$C164))),Variables!$B$1:$D$1,0),1))*AK164)+(W164*INDEX(Variables!$B$9:$D$9,IFERROR(MATCH(IF($B164="Robusta","Robusta",(IF($B164="","Arabica",$B164))&amp;" - "&amp;(IF($C164="","Commercial",$C164))),Variables!$B$1:$D$1,0),1))*AK164/365),""))</f>
        <v>3577.7079473341005</v>
      </c>
      <c r="BI164" s="44">
        <f>IF($AX164="Cancelled","",IFERROR((W164*INDEX(Variables!$B$7:$D$7,IFERROR(MATCH(IF($B164="Robusta","Robusta",(IF($B164="","Arabica",$B164))&amp;" - "&amp;(IF($C164="","Commercial",$C164))),Variables!$B$1:$D$1,0),1))*BD164/365)+(L164/16.67*INDEX(Variables!$B$8:$D$8,IFERROR(MATCH(IF($B164="Robusta","Robusta",(IF($B164="","Arabica",$B164))&amp;" - "&amp;(IF($C164="","Commercial",$C164))),Variables!$B$1:$D$1,0),1))*BD164)+(W164*INDEX(Variables!$B$9:$D$9,IFERROR(MATCH(IF($B164="Robusta","Robusta",(IF($B164="","Arabica",$B164))&amp;" - "&amp;(IF($C164="","Commercial",$C164))),Variables!$B$1:$D$1,0),1))*BD164/365),""))</f>
        <v>-511.10113533344298</v>
      </c>
      <c r="BJ164" s="44">
        <f t="shared" si="8"/>
        <v>15</v>
      </c>
      <c r="BK164" s="44">
        <f>IF($AX164="Cancelled","",IFERROR(IF(BJ164="","",(W164*INDEX(Variables!$B$7:$D$7,IFERROR(MATCH(IF($B164="Robusta","Robusta",(IF($B164="","Arabica",$B164))&amp;" - "&amp;(IF($C164="","Commercial",$C164))),Variables!$B$1:$D$1,0),1))*(BJ164/365))+(W164*INDEX(Variables!$B$9:$D$9,IFERROR(MATCH(IF($B164="Robusta","Robusta",(IF($B164="","Arabica",$B164))&amp;" - "&amp;(IF($C164="","Commercial",$C164))),Variables!$B$1:$D$1,0),1))*(BJ164/365))+(INDEX(Variables!$B$8:$D$8,IFERROR(MATCH(IF($B164="Robusta","Robusta",(IF($B164="","Arabica",$B164))&amp;" - "&amp;(IF($C164="","Commercial",$C164))),Variables!$B$1:$D$1,0),1))*L164/16.67)),""))</f>
        <v>2265.2585150008222</v>
      </c>
    </row>
    <row r="165" spans="1:63">
      <c r="A165" s="13" t="s">
        <v>103</v>
      </c>
      <c r="B165" s="13" t="s">
        <v>104</v>
      </c>
      <c r="C165" s="13" t="s">
        <v>292</v>
      </c>
      <c r="D165" s="31">
        <v>45691</v>
      </c>
      <c r="E165" s="31">
        <v>45689</v>
      </c>
      <c r="F165" s="31">
        <v>45716</v>
      </c>
      <c r="G165" s="13">
        <v>3786653</v>
      </c>
      <c r="J165" s="13" t="s">
        <v>592</v>
      </c>
      <c r="K165" s="13" t="s">
        <v>653</v>
      </c>
      <c r="L165" s="13">
        <v>12</v>
      </c>
      <c r="M165" s="13">
        <v>0</v>
      </c>
      <c r="N165" s="13" t="s">
        <v>654</v>
      </c>
      <c r="O165" s="13" t="s">
        <v>304</v>
      </c>
      <c r="P165" s="13">
        <v>10010</v>
      </c>
      <c r="R165" s="13" t="s">
        <v>239</v>
      </c>
      <c r="S165" s="13" t="s">
        <v>595</v>
      </c>
      <c r="T165" s="13" t="s">
        <v>596</v>
      </c>
      <c r="U165" s="13" t="s">
        <v>125</v>
      </c>
      <c r="V165" s="13">
        <v>18</v>
      </c>
      <c r="W165" s="44">
        <f>IF($AX165="Cancelled","",IFERROR(((V165+INDEX(Variables!$B$6:$D$6,IFERROR(MATCH(IF($B165="Robusta","Robusta",(IF($B165="","Arabica",$B165))&amp;" - "&amp;(IF($C165="","Commercial",$C165))),Variables!$B$1:$D$1,0),1)))*22.0462)*(L165/16.67),""))</f>
        <v>4900.6837864427107</v>
      </c>
      <c r="X165" s="55" t="s">
        <v>39</v>
      </c>
      <c r="Y165" s="13" t="str">
        <f>IF($AX165="Cancelled","",IF(X165="","",IFERROR(IF(INDEX(Variables!$B$38:$B$47,MATCH(X165,Variables!$A$38:$A$47,0))="Yes","Yes","No"),"No")))</f>
        <v>No</v>
      </c>
      <c r="Z165" s="31"/>
      <c r="AB165" s="31">
        <v>45672.875</v>
      </c>
      <c r="AC165" s="13" t="str">
        <f t="shared" si="6"/>
        <v>Approved</v>
      </c>
      <c r="AF165" s="71">
        <f>AJ165-7</f>
        <v>45713</v>
      </c>
      <c r="AG165" s="36">
        <f>IF($AX165="Cancelled","",IFERROR(IF(F165="","",F165-Variables!$B$13),""))</f>
        <v>45701</v>
      </c>
      <c r="AH165" s="13">
        <f>IF($AX165="Cancelled","",IFERROR(IF(AB165="","",(AVERAGE(E165:F165)-AB165)-Variables!$B$14),""))</f>
        <v>-0.375</v>
      </c>
      <c r="AJ165" s="47">
        <v>45720</v>
      </c>
      <c r="AK165" s="14">
        <f>IF($AX165="Cancelled","",IFERROR(IF(AJ165="","",IF(AND(AB165="",AF165=""),"",IF(AF165&gt;AB165,AF165+Variables!$B$15+Variables!$B$16+Variables!$B$17-AJ165,AB165+Variables!$B$16+Variables!$B$17-AJ165))),""))</f>
        <v>8</v>
      </c>
      <c r="AL165" s="48" t="s">
        <v>114</v>
      </c>
      <c r="AM165" s="13" t="s">
        <v>115</v>
      </c>
      <c r="AN165" s="13" t="s">
        <v>126</v>
      </c>
      <c r="AP165" s="31">
        <v>45360</v>
      </c>
      <c r="AR165" s="13">
        <v>250897783</v>
      </c>
      <c r="AS165" s="31">
        <v>45365</v>
      </c>
      <c r="AU165" s="31">
        <v>45734</v>
      </c>
      <c r="AV165" s="13" t="s">
        <v>865</v>
      </c>
      <c r="AW165" s="31">
        <v>45742</v>
      </c>
      <c r="AX165" s="13" t="str">
        <f>IF(ISNUMBER(SEARCH("cancel",#REF!)),"Cancelled",IF(AND(AS165&lt;&gt;"",AU165&lt;&gt;"",AW165&lt;&gt;""),"Closed","Open"))</f>
        <v>Closed</v>
      </c>
      <c r="AY165" s="15" t="str">
        <f t="shared" si="7"/>
        <v>All dates received</v>
      </c>
      <c r="BD165" s="13">
        <f>IF($AX165="Cancelled","",IFERROR(IF(OR(AS165="",AJ165=""),"",(AJ165+Variables!$B$18-AS165)),""))</f>
        <v>370</v>
      </c>
      <c r="BE165" s="13">
        <f>IF($AX165="Cancelled","",IFERROR(IF(OR(AW165="",AS165=""),"",(AS165+Variables!$B$19)-AW165),""))</f>
        <v>-372</v>
      </c>
      <c r="BF165" s="44">
        <f>IF($AX165="Cancelled","",IFERROR(W165*INDEX(Variables!$B$7:$D$7,IFERROR(MATCH(IF($B165="Robusta","Robusta",(IF($B165="","Arabica",$B165))&amp;" - "&amp;(IF($C165="","Commercial",$C165))),Variables!$B$1:$D$1,0),1))*(BE165/365),""))</f>
        <v>-322.06727781957835</v>
      </c>
      <c r="BG165" s="44">
        <f>IF($AX165="Cancelled","",IFERROR((W165*INDEX(Variables!$B$7:$D$7,IFERROR(MATCH(IF($B165="Robusta","Robusta",(IF($B165="","Arabica",$B165))&amp;" - "&amp;(IF($C165="","Commercial",$C165))),Variables!$B$1:$D$1,0),1))*IFERROR(IF(AB165="","",(AVERAGE(E165:F165)-AB165)-Variables!$B$14),"")/365)+(L165/16.67*INDEX(Variables!$B$8:$D$8,IFERROR(MATCH(IF($B165="Robusta","Robusta",(IF($B165="","Arabica",$B165))&amp;" - "&amp;(IF($C165="","Commercial",$C165))),Variables!$B$1:$D$1,0),1))*IFERROR(IF(AB165="","",(AVERAGE(E165:F165)-AB165)-Variables!$B$14),""))+(W165*INDEX(Variables!$B$9:$D$9,IFERROR(MATCH(IF($B165="Robusta","Robusta",(IF($B165="","Arabica",$B165))&amp;" - "&amp;(IF($C165="","Commercial",$C165))),Variables!$B$1:$D$1,0),1))*IFERROR(IF(AB165="","",(AVERAGE(E165:F165)-AB165)-Variables!$B$14),"")/365),""))</f>
        <v>-0.55385014775941022</v>
      </c>
      <c r="BH165" s="44">
        <f>IF($AX165="Cancelled","",IFERROR((W165*INDEX(Variables!$B$7:$D$7,IFERROR(MATCH(IF($B165="Robusta","Robusta",(IF($B165="","Arabica",$B165))&amp;" - "&amp;(IF($C165="","Commercial",$C165))),Variables!$B$1:$D$1,0),1))*AK165/365)+(L165/16.67*INDEX(Variables!$B$8:$D$8,IFERROR(MATCH(IF($B165="Robusta","Robusta",(IF($B165="","Arabica",$B165))&amp;" - "&amp;(IF($C165="","Commercial",$C165))),Variables!$B$1:$D$1,0),1))*AK165)+(W165*INDEX(Variables!$B$9:$D$9,IFERROR(MATCH(IF($B165="Robusta","Robusta",(IF($B165="","Arabica",$B165))&amp;" - "&amp;(IF($C165="","Commercial",$C165))),Variables!$B$1:$D$1,0),1))*AK165/365),""))</f>
        <v>11.815469818867419</v>
      </c>
      <c r="BI165" s="44">
        <f>IF($AX165="Cancelled","",IFERROR((W165*INDEX(Variables!$B$7:$D$7,IFERROR(MATCH(IF($B165="Robusta","Robusta",(IF($B165="","Arabica",$B165))&amp;" - "&amp;(IF($C165="","Commercial",$C165))),Variables!$B$1:$D$1,0),1))*BD165/365)+(L165/16.67*INDEX(Variables!$B$8:$D$8,IFERROR(MATCH(IF($B165="Robusta","Robusta",(IF($B165="","Arabica",$B165))&amp;" - "&amp;(IF($C165="","Commercial",$C165))),Variables!$B$1:$D$1,0),1))*BD165)+(W165*INDEX(Variables!$B$9:$D$9,IFERROR(MATCH(IF($B165="Robusta","Robusta",(IF($B165="","Arabica",$B165))&amp;" - "&amp;(IF($C165="","Commercial",$C165))),Variables!$B$1:$D$1,0),1))*BD165/365),""))</f>
        <v>546.46547912261826</v>
      </c>
      <c r="BJ165" s="44">
        <f t="shared" si="8"/>
        <v>351</v>
      </c>
      <c r="BK165" s="44">
        <f>IF($AX165="Cancelled","",IFERROR(IF(BJ165="","",(W165*INDEX(Variables!$B$7:$D$7,IFERROR(MATCH(IF($B165="Robusta","Robusta",(IF($B165="","Arabica",$B165))&amp;" - "&amp;(IF($C165="","Commercial",$C165))),Variables!$B$1:$D$1,0),1))*(BJ165/365))+(W165*INDEX(Variables!$B$9:$D$9,IFERROR(MATCH(IF($B165="Robusta","Robusta",(IF($B165="","Arabica",$B165))&amp;" - "&amp;(IF($C165="","Commercial",$C165))),Variables!$B$1:$D$1,0),1))*(BJ165/365))+(INDEX(Variables!$B$8:$D$8,IFERROR(MATCH(IF($B165="Robusta","Robusta",(IF($B165="","Arabica",$B165))&amp;" - "&amp;(IF($C165="","Commercial",$C165))),Variables!$B$1:$D$1,0),1))*L165/16.67)),""))</f>
        <v>308.40373830280811</v>
      </c>
    </row>
    <row r="166" spans="1:63">
      <c r="A166" s="13" t="s">
        <v>103</v>
      </c>
      <c r="B166" s="13" t="s">
        <v>104</v>
      </c>
      <c r="C166" s="13" t="s">
        <v>292</v>
      </c>
      <c r="D166" s="31">
        <v>45691</v>
      </c>
      <c r="E166" s="31">
        <v>45689</v>
      </c>
      <c r="F166" s="31">
        <v>45716</v>
      </c>
      <c r="G166" s="13">
        <v>3786654</v>
      </c>
      <c r="J166" s="13" t="s">
        <v>592</v>
      </c>
      <c r="K166" s="13" t="s">
        <v>655</v>
      </c>
      <c r="L166" s="13">
        <v>12</v>
      </c>
      <c r="M166" s="13">
        <v>0</v>
      </c>
      <c r="N166" s="13" t="s">
        <v>656</v>
      </c>
      <c r="O166" s="13" t="s">
        <v>304</v>
      </c>
      <c r="P166" s="13">
        <v>10010</v>
      </c>
      <c r="R166" s="13" t="s">
        <v>239</v>
      </c>
      <c r="S166" s="13" t="s">
        <v>595</v>
      </c>
      <c r="T166" s="13" t="s">
        <v>596</v>
      </c>
      <c r="U166" s="13" t="s">
        <v>125</v>
      </c>
      <c r="V166" s="13">
        <v>114.1</v>
      </c>
      <c r="W166" s="44">
        <f>IF($AX166="Cancelled","",IFERROR(((V166+INDEX(Variables!$B$6:$D$6,IFERROR(MATCH(IF($B166="Robusta","Robusta",(IF($B166="","Arabica",$B166))&amp;" - "&amp;(IF($C166="","Commercial",$C166))),Variables!$B$1:$D$1,0),1)))*22.0462)*(L166/16.67),""))</f>
        <v>6425.7994337132559</v>
      </c>
      <c r="X166" s="55" t="s">
        <v>39</v>
      </c>
      <c r="Y166" s="13" t="str">
        <f>IF($AX166="Cancelled","",IF(X166="","",IFERROR(IF(INDEX(Variables!$B$38:$B$47,MATCH(X166,Variables!$A$38:$A$47,0))="Yes","Yes","No"),"No")))</f>
        <v>No</v>
      </c>
      <c r="Z166" s="31"/>
      <c r="AB166" s="31">
        <v>45672.875</v>
      </c>
      <c r="AC166" s="13" t="str">
        <f t="shared" si="6"/>
        <v>Approved</v>
      </c>
      <c r="AF166" s="71">
        <f>AJ166-7</f>
        <v>45713</v>
      </c>
      <c r="AG166" s="36">
        <f>IF($AX166="Cancelled","",IFERROR(IF(F166="","",F166-Variables!$B$13),""))</f>
        <v>45701</v>
      </c>
      <c r="AH166" s="13">
        <f>IF($AX166="Cancelled","",IFERROR(IF(AB166="","",(AVERAGE(E166:F166)-AB166)-Variables!$B$14),""))</f>
        <v>-0.375</v>
      </c>
      <c r="AJ166" s="47">
        <v>45720</v>
      </c>
      <c r="AK166" s="14">
        <f>IF($AX166="Cancelled","",IFERROR(IF(AJ166="","",IF(AND(AB166="",AF166=""),"",IF(AF166&gt;AB166,AF166+Variables!$B$15+Variables!$B$16+Variables!$B$17-AJ166,AB166+Variables!$B$16+Variables!$B$17-AJ166))),""))</f>
        <v>8</v>
      </c>
      <c r="AL166" s="48" t="s">
        <v>114</v>
      </c>
      <c r="AM166" s="13" t="s">
        <v>115</v>
      </c>
      <c r="AN166" s="13" t="s">
        <v>126</v>
      </c>
      <c r="AP166" s="31">
        <v>45360</v>
      </c>
      <c r="AR166" s="13">
        <v>250897783</v>
      </c>
      <c r="AS166" s="31">
        <v>45365</v>
      </c>
      <c r="AU166" s="31">
        <v>45734</v>
      </c>
      <c r="AV166" s="13" t="s">
        <v>865</v>
      </c>
      <c r="AW166" s="31">
        <v>45742</v>
      </c>
      <c r="AX166" s="13" t="str">
        <f>IF(ISNUMBER(SEARCH("cancel",#REF!)),"Cancelled",IF(AND(AS166&lt;&gt;"",AU166&lt;&gt;"",AW166&lt;&gt;""),"Closed","Open"))</f>
        <v>Closed</v>
      </c>
      <c r="AY166" s="15" t="str">
        <f t="shared" si="7"/>
        <v>All dates received</v>
      </c>
      <c r="BD166" s="13">
        <f>IF($AX166="Cancelled","",IFERROR(IF(OR(AS166="",AJ166=""),"",(AJ166+Variables!$B$18-AS166)),""))</f>
        <v>370</v>
      </c>
      <c r="BE166" s="13">
        <f>IF($AX166="Cancelled","",IFERROR(IF(OR(AW166="",AS166=""),"",(AS166+Variables!$B$19)-AW166),""))</f>
        <v>-372</v>
      </c>
      <c r="BF166" s="44">
        <f>IF($AX166="Cancelled","",IFERROR(W166*INDEX(Variables!$B$7:$D$7,IFERROR(MATCH(IF($B166="Robusta","Robusta",(IF($B166="","Arabica",$B166))&amp;" - "&amp;(IF($C166="","Commercial",$C166))),Variables!$B$1:$D$1,0),1))*(BE166/365),""))</f>
        <v>-422.296116545166</v>
      </c>
      <c r="BG166" s="44">
        <f>IF($AX166="Cancelled","",IFERROR((W166*INDEX(Variables!$B$7:$D$7,IFERROR(MATCH(IF($B166="Robusta","Robusta",(IF($B166="","Arabica",$B166))&amp;" - "&amp;(IF($C166="","Commercial",$C166))),Variables!$B$1:$D$1,0),1))*IFERROR(IF(AB166="","",(AVERAGE(E166:F166)-AB166)-Variables!$B$14),"")/365)+(L166/16.67*INDEX(Variables!$B$8:$D$8,IFERROR(MATCH(IF($B166="Robusta","Robusta",(IF($B166="","Arabica",$B166))&amp;" - "&amp;(IF($C166="","Commercial",$C166))),Variables!$B$1:$D$1,0),1))*IFERROR(IF(AB166="","",(AVERAGE(E166:F166)-AB166)-Variables!$B$14),""))+(W166*INDEX(Variables!$B$9:$D$9,IFERROR(MATCH(IF($B166="Robusta","Robusta",(IF($B166="","Arabica",$B166))&amp;" - "&amp;(IF($C166="","Commercial",$C166))),Variables!$B$1:$D$1,0),1))*IFERROR(IF(AB166="","",(AVERAGE(E166:F166)-AB166)-Variables!$B$14),"")/365),""))</f>
        <v>-0.65618984724023699</v>
      </c>
      <c r="BH166" s="44">
        <f>IF($AX166="Cancelled","",IFERROR((W166*INDEX(Variables!$B$7:$D$7,IFERROR(MATCH(IF($B166="Robusta","Robusta",(IF($B166="","Arabica",$B166))&amp;" - "&amp;(IF($C166="","Commercial",$C166))),Variables!$B$1:$D$1,0),1))*AK166/365)+(L166/16.67*INDEX(Variables!$B$8:$D$8,IFERROR(MATCH(IF($B166="Robusta","Robusta",(IF($B166="","Arabica",$B166))&amp;" - "&amp;(IF($C166="","Commercial",$C166))),Variables!$B$1:$D$1,0),1))*AK166)+(W166*INDEX(Variables!$B$9:$D$9,IFERROR(MATCH(IF($B166="Robusta","Robusta",(IF($B166="","Arabica",$B166))&amp;" - "&amp;(IF($C166="","Commercial",$C166))),Variables!$B$1:$D$1,0),1))*AK166/365),""))</f>
        <v>13.998716741125056</v>
      </c>
      <c r="BI166" s="44">
        <f>IF($AX166="Cancelled","",IFERROR((W166*INDEX(Variables!$B$7:$D$7,IFERROR(MATCH(IF($B166="Robusta","Robusta",(IF($B166="","Arabica",$B166))&amp;" - "&amp;(IF($C166="","Commercial",$C166))),Variables!$B$1:$D$1,0),1))*BD166/365)+(L166/16.67*INDEX(Variables!$B$8:$D$8,IFERROR(MATCH(IF($B166="Robusta","Robusta",(IF($B166="","Arabica",$B166))&amp;" - "&amp;(IF($C166="","Commercial",$C166))),Variables!$B$1:$D$1,0),1))*BD166)+(W166*INDEX(Variables!$B$9:$D$9,IFERROR(MATCH(IF($B166="Robusta","Robusta",(IF($B166="","Arabica",$B166))&amp;" - "&amp;(IF($C166="","Commercial",$C166))),Variables!$B$1:$D$1,0),1))*BD166/365),""))</f>
        <v>647.4406492770338</v>
      </c>
      <c r="BJ166" s="44">
        <f t="shared" si="8"/>
        <v>351</v>
      </c>
      <c r="BK166" s="44">
        <f>IF($AX166="Cancelled","",IFERROR(IF(BJ166="","",(W166*INDEX(Variables!$B$7:$D$7,IFERROR(MATCH(IF($B166="Robusta","Robusta",(IF($B166="","Arabica",$B166))&amp;" - "&amp;(IF($C166="","Commercial",$C166))),Variables!$B$1:$D$1,0),1))*(BJ166/365))+(W166*INDEX(Variables!$B$9:$D$9,IFERROR(MATCH(IF($B166="Robusta","Robusta",(IF($B166="","Arabica",$B166))&amp;" - "&amp;(IF($C166="","Commercial",$C166))),Variables!$B$1:$D$1,0),1))*(BJ166/365))+(INDEX(Variables!$B$8:$D$8,IFERROR(MATCH(IF($B166="Robusta","Robusta",(IF($B166="","Arabica",$B166))&amp;" - "&amp;(IF($C166="","Commercial",$C166))),Variables!$B$1:$D$1,0),1))*L166/16.67)),""))</f>
        <v>404.1936970168619</v>
      </c>
    </row>
    <row r="167" spans="1:63">
      <c r="A167" s="13" t="s">
        <v>103</v>
      </c>
      <c r="B167" s="13" t="s">
        <v>104</v>
      </c>
      <c r="C167" s="13" t="s">
        <v>292</v>
      </c>
      <c r="D167" s="31">
        <v>45691</v>
      </c>
      <c r="E167" s="31">
        <v>45689</v>
      </c>
      <c r="F167" s="31">
        <v>45716</v>
      </c>
      <c r="G167" s="13">
        <v>3786655</v>
      </c>
      <c r="J167" s="13" t="s">
        <v>592</v>
      </c>
      <c r="K167" s="13" t="s">
        <v>657</v>
      </c>
      <c r="L167" s="13">
        <v>12</v>
      </c>
      <c r="M167" s="13">
        <v>0</v>
      </c>
      <c r="N167" s="13" t="s">
        <v>658</v>
      </c>
      <c r="O167" s="13" t="s">
        <v>304</v>
      </c>
      <c r="P167" s="13">
        <v>10010</v>
      </c>
      <c r="R167" s="13" t="s">
        <v>239</v>
      </c>
      <c r="S167" s="13" t="s">
        <v>595</v>
      </c>
      <c r="T167" s="13" t="s">
        <v>596</v>
      </c>
      <c r="U167" s="13" t="s">
        <v>125</v>
      </c>
      <c r="V167" s="13">
        <v>109.1</v>
      </c>
      <c r="W167" s="44">
        <f>IF($AX167="Cancelled","",IFERROR(((V167+INDEX(Variables!$B$6:$D$6,IFERROR(MATCH(IF($B167="Robusta","Robusta",(IF($B167="","Arabica",$B167))&amp;" - "&amp;(IF($C167="","Commercial",$C167))),Variables!$B$1:$D$1,0),1)))*22.0462)*(L167/16.67),""))</f>
        <v>6346.4489838032378</v>
      </c>
      <c r="X167" s="55" t="s">
        <v>39</v>
      </c>
      <c r="Y167" s="13" t="str">
        <f>IF($AX167="Cancelled","",IF(X167="","",IFERROR(IF(INDEX(Variables!$B$38:$B$47,MATCH(X167,Variables!$A$38:$A$47,0))="Yes","Yes","No"),"No")))</f>
        <v>No</v>
      </c>
      <c r="Z167" s="31"/>
      <c r="AB167" s="31">
        <v>45672.875</v>
      </c>
      <c r="AC167" s="13" t="str">
        <f t="shared" si="6"/>
        <v>Approved</v>
      </c>
      <c r="AF167" s="71">
        <f>AJ167-7</f>
        <v>45713</v>
      </c>
      <c r="AG167" s="36">
        <f>IF($AX167="Cancelled","",IFERROR(IF(F167="","",F167-Variables!$B$13),""))</f>
        <v>45701</v>
      </c>
      <c r="AH167" s="13">
        <f>IF($AX167="Cancelled","",IFERROR(IF(AB167="","",(AVERAGE(E167:F167)-AB167)-Variables!$B$14),""))</f>
        <v>-0.375</v>
      </c>
      <c r="AJ167" s="47">
        <v>45720</v>
      </c>
      <c r="AK167" s="14">
        <f>IF($AX167="Cancelled","",IFERROR(IF(AJ167="","",IF(AND(AB167="",AF167=""),"",IF(AF167&gt;AB167,AF167+Variables!$B$15+Variables!$B$16+Variables!$B$17-AJ167,AB167+Variables!$B$16+Variables!$B$17-AJ167))),""))</f>
        <v>8</v>
      </c>
      <c r="AL167" s="48" t="s">
        <v>114</v>
      </c>
      <c r="AM167" s="13" t="s">
        <v>115</v>
      </c>
      <c r="AN167" s="13" t="s">
        <v>126</v>
      </c>
      <c r="AP167" s="31">
        <v>45360</v>
      </c>
      <c r="AR167" s="13">
        <v>250897783</v>
      </c>
      <c r="AS167" s="31">
        <v>45365</v>
      </c>
      <c r="AU167" s="31">
        <v>45734</v>
      </c>
      <c r="AV167" s="13" t="s">
        <v>865</v>
      </c>
      <c r="AW167" s="31">
        <v>45742</v>
      </c>
      <c r="AX167" s="13" t="str">
        <f>IF(ISNUMBER(SEARCH("cancel",#REF!)),"Cancelled",IF(AND(AS167&lt;&gt;"",AU167&lt;&gt;"",AW167&lt;&gt;""),"Closed","Open"))</f>
        <v>Closed</v>
      </c>
      <c r="AY167" s="15" t="str">
        <f t="shared" si="7"/>
        <v>All dates received</v>
      </c>
      <c r="BD167" s="13">
        <f>IF($AX167="Cancelled","",IFERROR(IF(OR(AS167="",AJ167=""),"",(AJ167+Variables!$B$18-AS167)),""))</f>
        <v>370</v>
      </c>
      <c r="BE167" s="13">
        <f>IF($AX167="Cancelled","",IFERROR(IF(OR(AW167="",AS167=""),"",(AS167+Variables!$B$19)-AW167),""))</f>
        <v>-372</v>
      </c>
      <c r="BF167" s="44">
        <f>IF($AX167="Cancelled","",IFERROR(W167*INDEX(Variables!$B$7:$D$7,IFERROR(MATCH(IF($B167="Robusta","Robusta",(IF($B167="","Arabica",$B167))&amp;" - "&amp;(IF($C167="","Commercial",$C167))),Variables!$B$1:$D$1,0),1))*(BE167/365),""))</f>
        <v>-417.08129663228425</v>
      </c>
      <c r="BG167" s="44">
        <f>IF($AX167="Cancelled","",IFERROR((W167*INDEX(Variables!$B$7:$D$7,IFERROR(MATCH(IF($B167="Robusta","Robusta",(IF($B167="","Arabica",$B167))&amp;" - "&amp;(IF($C167="","Commercial",$C167))),Variables!$B$1:$D$1,0),1))*IFERROR(IF(AB167="","",(AVERAGE(E167:F167)-AB167)-Variables!$B$14),"")/365)+(L167/16.67*INDEX(Variables!$B$8:$D$8,IFERROR(MATCH(IF($B167="Robusta","Robusta",(IF($B167="","Arabica",$B167))&amp;" - "&amp;(IF($C167="","Commercial",$C167))),Variables!$B$1:$D$1,0),1))*IFERROR(IF(AB167="","",(AVERAGE(E167:F167)-AB167)-Variables!$B$14),""))+(W167*INDEX(Variables!$B$9:$D$9,IFERROR(MATCH(IF($B167="Robusta","Robusta",(IF($B167="","Arabica",$B167))&amp;" - "&amp;(IF($C167="","Commercial",$C167))),Variables!$B$1:$D$1,0),1))*IFERROR(IF(AB167="","",(AVERAGE(E167:F167)-AB167)-Variables!$B$14),"")/365),""))</f>
        <v>-0.65086520106537615</v>
      </c>
      <c r="BH167" s="44">
        <f>IF($AX167="Cancelled","",IFERROR((W167*INDEX(Variables!$B$7:$D$7,IFERROR(MATCH(IF($B167="Robusta","Robusta",(IF($B167="","Arabica",$B167))&amp;" - "&amp;(IF($C167="","Commercial",$C167))),Variables!$B$1:$D$1,0),1))*AK167/365)+(L167/16.67*INDEX(Variables!$B$8:$D$8,IFERROR(MATCH(IF($B167="Robusta","Robusta",(IF($B167="","Arabica",$B167))&amp;" - "&amp;(IF($C167="","Commercial",$C167))),Variables!$B$1:$D$1,0),1))*AK167)+(W167*INDEX(Variables!$B$9:$D$9,IFERROR(MATCH(IF($B167="Robusta","Robusta",(IF($B167="","Arabica",$B167))&amp;" - "&amp;(IF($C167="","Commercial",$C167))),Variables!$B$1:$D$1,0),1))*AK167/365),""))</f>
        <v>13.885124289394691</v>
      </c>
      <c r="BI167" s="44">
        <f>IF($AX167="Cancelled","",IFERROR((W167*INDEX(Variables!$B$7:$D$7,IFERROR(MATCH(IF($B167="Robusta","Robusta",(IF($B167="","Arabica",$B167))&amp;" - "&amp;(IF($C167="","Commercial",$C167))),Variables!$B$1:$D$1,0),1))*BD167/365)+(L167/16.67*INDEX(Variables!$B$8:$D$8,IFERROR(MATCH(IF($B167="Robusta","Robusta",(IF($B167="","Arabica",$B167))&amp;" - "&amp;(IF($C167="","Commercial",$C167))),Variables!$B$1:$D$1,0),1))*BD167)+(W167*INDEX(Variables!$B$9:$D$9,IFERROR(MATCH(IF($B167="Robusta","Robusta",(IF($B167="","Arabica",$B167))&amp;" - "&amp;(IF($C167="","Commercial",$C167))),Variables!$B$1:$D$1,0),1))*BD167/365),""))</f>
        <v>642.18699838450436</v>
      </c>
      <c r="BJ167" s="44">
        <f t="shared" si="8"/>
        <v>351</v>
      </c>
      <c r="BK167" s="44">
        <f>IF($AX167="Cancelled","",IFERROR(IF(BJ167="","",(W167*INDEX(Variables!$B$7:$D$7,IFERROR(MATCH(IF($B167="Robusta","Robusta",(IF($B167="","Arabica",$B167))&amp;" - "&amp;(IF($C167="","Commercial",$C167))),Variables!$B$1:$D$1,0),1))*(BJ167/365))+(W167*INDEX(Variables!$B$9:$D$9,IFERROR(MATCH(IF($B167="Robusta","Robusta",(IF($B167="","Arabica",$B167))&amp;" - "&amp;(IF($C167="","Commercial",$C167))),Variables!$B$1:$D$1,0),1))*(BJ167/365))+(INDEX(Variables!$B$8:$D$8,IFERROR(MATCH(IF($B167="Robusta","Robusta",(IF($B167="","Arabica",$B167))&amp;" - "&amp;(IF($C167="","Commercial",$C167))),Variables!$B$1:$D$1,0),1))*L167/16.67)),""))</f>
        <v>399.20982819719217</v>
      </c>
    </row>
    <row r="168" spans="1:63">
      <c r="A168" s="13" t="s">
        <v>103</v>
      </c>
      <c r="B168" s="13" t="s">
        <v>104</v>
      </c>
      <c r="C168" s="13" t="s">
        <v>292</v>
      </c>
      <c r="D168" s="31">
        <v>45691</v>
      </c>
      <c r="E168" s="31">
        <v>45689</v>
      </c>
      <c r="F168" s="31">
        <v>45716</v>
      </c>
      <c r="G168" s="13">
        <v>3786656</v>
      </c>
      <c r="J168" s="13" t="s">
        <v>592</v>
      </c>
      <c r="K168" s="13" t="s">
        <v>659</v>
      </c>
      <c r="L168" s="13">
        <v>8</v>
      </c>
      <c r="M168" s="13">
        <v>0</v>
      </c>
      <c r="N168" s="13" t="s">
        <v>660</v>
      </c>
      <c r="O168" s="13" t="s">
        <v>304</v>
      </c>
      <c r="P168" s="13">
        <v>10010</v>
      </c>
      <c r="R168" s="13" t="s">
        <v>384</v>
      </c>
      <c r="S168" s="13" t="s">
        <v>595</v>
      </c>
      <c r="T168" s="13" t="s">
        <v>596</v>
      </c>
      <c r="U168" s="13" t="s">
        <v>125</v>
      </c>
      <c r="V168" s="13">
        <v>72.099999999999994</v>
      </c>
      <c r="W168" s="44">
        <f>IF($AX168="Cancelled","",IFERROR(((V168+INDEX(Variables!$B$6:$D$6,IFERROR(MATCH(IF($B168="Robusta","Robusta",(IF($B168="","Arabica",$B168))&amp;" - "&amp;(IF($C168="","Commercial",$C168))),Variables!$B$1:$D$1,0),1)))*22.0462)*(L168/16.67),""))</f>
        <v>3839.5037696460699</v>
      </c>
      <c r="X168" s="55" t="s">
        <v>39</v>
      </c>
      <c r="Y168" s="13" t="str">
        <f>IF($AX168="Cancelled","",IF(X168="","",IFERROR(IF(INDEX(Variables!$B$38:$B$47,MATCH(X168,Variables!$A$38:$A$47,0))="Yes","Yes","No"),"No")))</f>
        <v>No</v>
      </c>
      <c r="Z168" s="31"/>
      <c r="AB168" s="31">
        <v>45672.875</v>
      </c>
      <c r="AC168" s="13" t="str">
        <f t="shared" si="6"/>
        <v>Approved</v>
      </c>
      <c r="AF168" s="71">
        <f>AJ168-7</f>
        <v>45713</v>
      </c>
      <c r="AG168" s="36">
        <f>IF($AX168="Cancelled","",IFERROR(IF(F168="","",F168-Variables!$B$13),""))</f>
        <v>45701</v>
      </c>
      <c r="AH168" s="13">
        <f>IF($AX168="Cancelled","",IFERROR(IF(AB168="","",(AVERAGE(E168:F168)-AB168)-Variables!$B$14),""))</f>
        <v>-0.375</v>
      </c>
      <c r="AJ168" s="47">
        <v>45720</v>
      </c>
      <c r="AK168" s="14">
        <f>IF($AX168="Cancelled","",IFERROR(IF(AJ168="","",IF(AND(AB168="",AF168=""),"",IF(AF168&gt;AB168,AF168+Variables!$B$15+Variables!$B$16+Variables!$B$17-AJ168,AB168+Variables!$B$16+Variables!$B$17-AJ168))),""))</f>
        <v>8</v>
      </c>
      <c r="AL168" s="48" t="s">
        <v>114</v>
      </c>
      <c r="AM168" s="13" t="s">
        <v>115</v>
      </c>
      <c r="AN168" s="13" t="s">
        <v>126</v>
      </c>
      <c r="AP168" s="31">
        <v>45360</v>
      </c>
      <c r="AR168" s="13">
        <v>250897783</v>
      </c>
      <c r="AS168" s="31">
        <v>45365</v>
      </c>
      <c r="AU168" s="31">
        <v>45734</v>
      </c>
      <c r="AV168" s="13" t="s">
        <v>865</v>
      </c>
      <c r="AW168" s="31">
        <v>45742</v>
      </c>
      <c r="AX168" s="13" t="str">
        <f>IF(ISNUMBER(SEARCH("cancel",#REF!)),"Cancelled",IF(AND(AS168&lt;&gt;"",AU168&lt;&gt;"",AW168&lt;&gt;""),"Closed","Open"))</f>
        <v>Closed</v>
      </c>
      <c r="AY168" s="15" t="str">
        <f t="shared" si="7"/>
        <v>All dates received</v>
      </c>
      <c r="BD168" s="13">
        <f>IF($AX168="Cancelled","",IFERROR(IF(OR(AS168="",AJ168=""),"",(AJ168+Variables!$B$18-AS168)),""))</f>
        <v>370</v>
      </c>
      <c r="BE168" s="13">
        <f>IF($AX168="Cancelled","",IFERROR(IF(OR(AW168="",AS168=""),"",(AS168+Variables!$B$19)-AW168),""))</f>
        <v>-372</v>
      </c>
      <c r="BF168" s="44">
        <f>IF($AX168="Cancelled","",IFERROR(W168*INDEX(Variables!$B$7:$D$7,IFERROR(MATCH(IF($B168="Robusta","Robusta",(IF($B168="","Arabica",$B168))&amp;" - "&amp;(IF($C168="","Commercial",$C168))),Variables!$B$1:$D$1,0),1))*(BE168/365),""))</f>
        <v>-252.32775285130609</v>
      </c>
      <c r="BG168" s="44">
        <f>IF($AX168="Cancelled","",IFERROR((W168*INDEX(Variables!$B$7:$D$7,IFERROR(MATCH(IF($B168="Robusta","Robusta",(IF($B168="","Arabica",$B168))&amp;" - "&amp;(IF($C168="","Commercial",$C168))),Variables!$B$1:$D$1,0),1))*IFERROR(IF(AB168="","",(AVERAGE(E168:F168)-AB168)-Variables!$B$14),"")/365)+(L168/16.67*INDEX(Variables!$B$8:$D$8,IFERROR(MATCH(IF($B168="Robusta","Robusta",(IF($B168="","Arabica",$B168))&amp;" - "&amp;(IF($C168="","Commercial",$C168))),Variables!$B$1:$D$1,0),1))*IFERROR(IF(AB168="","",(AVERAGE(E168:F168)-AB168)-Variables!$B$14),""))+(W168*INDEX(Variables!$B$9:$D$9,IFERROR(MATCH(IF($B168="Robusta","Robusta",(IF($B168="","Arabica",$B168))&amp;" - "&amp;(IF($C168="","Commercial",$C168))),Variables!$B$1:$D$1,0),1))*IFERROR(IF(AB168="","",(AVERAGE(E168:F168)-AB168)-Variables!$B$14),"")/365),""))</f>
        <v>-0.40764187958093695</v>
      </c>
      <c r="BH168" s="44">
        <f>IF($AX168="Cancelled","",IFERROR((W168*INDEX(Variables!$B$7:$D$7,IFERROR(MATCH(IF($B168="Robusta","Robusta",(IF($B168="","Arabica",$B168))&amp;" - "&amp;(IF($C168="","Commercial",$C168))),Variables!$B$1:$D$1,0),1))*AK168/365)+(L168/16.67*INDEX(Variables!$B$8:$D$8,IFERROR(MATCH(IF($B168="Robusta","Robusta",(IF($B168="","Arabica",$B168))&amp;" - "&amp;(IF($C168="","Commercial",$C168))),Variables!$B$1:$D$1,0),1))*AK168)+(W168*INDEX(Variables!$B$9:$D$9,IFERROR(MATCH(IF($B168="Robusta","Robusta",(IF($B168="","Arabica",$B168))&amp;" - "&amp;(IF($C168="","Commercial",$C168))),Variables!$B$1:$D$1,0),1))*AK168/365),""))</f>
        <v>8.6963600977266555</v>
      </c>
      <c r="BI168" s="44">
        <f>IF($AX168="Cancelled","",IFERROR((W168*INDEX(Variables!$B$7:$D$7,IFERROR(MATCH(IF($B168="Robusta","Robusta",(IF($B168="","Arabica",$B168))&amp;" - "&amp;(IF($C168="","Commercial",$C168))),Variables!$B$1:$D$1,0),1))*BD168/365)+(L168/16.67*INDEX(Variables!$B$8:$D$8,IFERROR(MATCH(IF($B168="Robusta","Robusta",(IF($B168="","Arabica",$B168))&amp;" - "&amp;(IF($C168="","Commercial",$C168))),Variables!$B$1:$D$1,0),1))*BD168)+(W168*INDEX(Variables!$B$9:$D$9,IFERROR(MATCH(IF($B168="Robusta","Robusta",(IF($B168="","Arabica",$B168))&amp;" - "&amp;(IF($C168="","Commercial",$C168))),Variables!$B$1:$D$1,0),1))*BD168/365),""))</f>
        <v>402.20665451985781</v>
      </c>
      <c r="BJ168" s="44">
        <f t="shared" si="8"/>
        <v>351</v>
      </c>
      <c r="BK168" s="44">
        <f>IF($AX168="Cancelled","",IFERROR(IF(BJ168="","",(W168*INDEX(Variables!$B$7:$D$7,IFERROR(MATCH(IF($B168="Robusta","Robusta",(IF($B168="","Arabica",$B168))&amp;" - "&amp;(IF($C168="","Commercial",$C168))),Variables!$B$1:$D$1,0),1))*(BJ168/365))+(W168*INDEX(Variables!$B$9:$D$9,IFERROR(MATCH(IF($B168="Robusta","Robusta",(IF($B168="","Arabica",$B168))&amp;" - "&amp;(IF($C168="","Commercial",$C168))),Variables!$B$1:$D$1,0),1))*(BJ168/365))+(INDEX(Variables!$B$8:$D$8,IFERROR(MATCH(IF($B168="Robusta","Robusta",(IF($B168="","Arabica",$B168))&amp;" - "&amp;(IF($C168="","Commercial",$C168))),Variables!$B$1:$D$1,0),1))*L168/16.67)),""))</f>
        <v>241.55279928775698</v>
      </c>
    </row>
    <row r="169" spans="1:63">
      <c r="A169" s="13" t="s">
        <v>103</v>
      </c>
      <c r="B169" s="13" t="s">
        <v>104</v>
      </c>
      <c r="C169" s="13" t="s">
        <v>292</v>
      </c>
      <c r="D169" s="31">
        <v>45691</v>
      </c>
      <c r="E169" s="31">
        <v>45689</v>
      </c>
      <c r="F169" s="31">
        <v>45716</v>
      </c>
      <c r="G169" s="13">
        <v>3786657</v>
      </c>
      <c r="J169" s="13" t="s">
        <v>592</v>
      </c>
      <c r="K169" s="13" t="s">
        <v>661</v>
      </c>
      <c r="L169" s="13">
        <v>1</v>
      </c>
      <c r="M169" s="13">
        <v>0</v>
      </c>
      <c r="N169" s="13" t="s">
        <v>662</v>
      </c>
      <c r="O169" s="13" t="s">
        <v>576</v>
      </c>
      <c r="P169" s="13">
        <v>10020</v>
      </c>
      <c r="R169" s="13" t="s">
        <v>239</v>
      </c>
      <c r="S169" s="13" t="s">
        <v>595</v>
      </c>
      <c r="T169" s="13" t="s">
        <v>596</v>
      </c>
      <c r="U169" s="13" t="s">
        <v>125</v>
      </c>
      <c r="V169" s="13">
        <v>131.1</v>
      </c>
      <c r="W169" s="44">
        <f>IF($AX169="Cancelled","",IFERROR(((V169+INDEX(Variables!$B$6:$D$6,IFERROR(MATCH(IF($B169="Robusta","Robusta",(IF($B169="","Arabica",$B169))&amp;" - "&amp;(IF($C169="","Commercial",$C169))),Variables!$B$1:$D$1,0),1)))*22.0462)*(L169/16.67),""))</f>
        <v>557.96591361727644</v>
      </c>
      <c r="X169" s="55" t="s">
        <v>39</v>
      </c>
      <c r="Y169" s="13" t="str">
        <f>IF($AX169="Cancelled","",IF(X169="","",IFERROR(IF(INDEX(Variables!$B$38:$B$47,MATCH(X169,Variables!$A$38:$A$47,0))="Yes","Yes","No"),"No")))</f>
        <v>No</v>
      </c>
      <c r="Z169" s="31"/>
      <c r="AB169" s="31">
        <v>45672.875</v>
      </c>
      <c r="AC169" s="13" t="str">
        <f t="shared" si="6"/>
        <v>Approved</v>
      </c>
      <c r="AF169" s="71">
        <f>AJ169-7</f>
        <v>45713</v>
      </c>
      <c r="AG169" s="36">
        <f>IF($AX169="Cancelled","",IFERROR(IF(F169="","",F169-Variables!$B$13),""))</f>
        <v>45701</v>
      </c>
      <c r="AH169" s="13">
        <f>IF($AX169="Cancelled","",IFERROR(IF(AB169="","",(AVERAGE(E169:F169)-AB169)-Variables!$B$14),""))</f>
        <v>-0.375</v>
      </c>
      <c r="AJ169" s="47">
        <v>45720</v>
      </c>
      <c r="AK169" s="14">
        <f>IF($AX169="Cancelled","",IFERROR(IF(AJ169="","",IF(AND(AB169="",AF169=""),"",IF(AF169&gt;AB169,AF169+Variables!$B$15+Variables!$B$16+Variables!$B$17-AJ169,AB169+Variables!$B$16+Variables!$B$17-AJ169))),""))</f>
        <v>8</v>
      </c>
      <c r="AL169" s="48" t="s">
        <v>114</v>
      </c>
      <c r="AM169" s="13" t="s">
        <v>115</v>
      </c>
      <c r="AN169" s="13" t="s">
        <v>126</v>
      </c>
      <c r="AP169" s="31">
        <v>45360</v>
      </c>
      <c r="AR169" s="13">
        <v>250897783</v>
      </c>
      <c r="AS169" s="31">
        <v>45365</v>
      </c>
      <c r="AU169" s="31">
        <v>45734</v>
      </c>
      <c r="AV169" s="13" t="s">
        <v>865</v>
      </c>
      <c r="AW169" s="31">
        <v>45742</v>
      </c>
      <c r="AX169" s="13" t="str">
        <f>IF(ISNUMBER(SEARCH("cancel",#REF!)),"Cancelled",IF(AND(AS169&lt;&gt;"",AU169&lt;&gt;"",AW169&lt;&gt;""),"Closed","Open"))</f>
        <v>Closed</v>
      </c>
      <c r="AY169" s="15" t="str">
        <f t="shared" si="7"/>
        <v>All dates received</v>
      </c>
      <c r="BD169" s="13">
        <f>IF($AX169="Cancelled","",IFERROR(IF(OR(AS169="",AJ169=""),"",(AJ169+Variables!$B$18-AS169)),""))</f>
        <v>370</v>
      </c>
      <c r="BE169" s="13">
        <f>IF($AX169="Cancelled","",IFERROR(IF(OR(AW169="",AS169=""),"",(AS169+Variables!$B$19)-AW169),""))</f>
        <v>-372</v>
      </c>
      <c r="BF169" s="44">
        <f>IF($AX169="Cancelled","",IFERROR(W169*INDEX(Variables!$B$7:$D$7,IFERROR(MATCH(IF($B169="Robusta","Robusta",(IF($B169="","Arabica",$B169))&amp;" - "&amp;(IF($C169="","Commercial",$C169))),Variables!$B$1:$D$1,0),1))*(BE169/365),""))</f>
        <v>-36.668875354080335</v>
      </c>
      <c r="BG169" s="44">
        <f>IF($AX169="Cancelled","",IFERROR((W169*INDEX(Variables!$B$7:$D$7,IFERROR(MATCH(IF($B169="Robusta","Robusta",(IF($B169="","Arabica",$B169))&amp;" - "&amp;(IF($C169="","Commercial",$C169))),Variables!$B$1:$D$1,0),1))*IFERROR(IF(AB169="","",(AVERAGE(E169:F169)-AB169)-Variables!$B$14),"")/365)+(L169/16.67*INDEX(Variables!$B$8:$D$8,IFERROR(MATCH(IF($B169="Robusta","Robusta",(IF($B169="","Arabica",$B169))&amp;" - "&amp;(IF($C169="","Commercial",$C169))),Variables!$B$1:$D$1,0),1))*IFERROR(IF(AB169="","",(AVERAGE(E169:F169)-AB169)-Variables!$B$14),""))+(W169*INDEX(Variables!$B$9:$D$9,IFERROR(MATCH(IF($B169="Robusta","Robusta",(IF($B169="","Arabica",$B169))&amp;" - "&amp;(IF($C169="","Commercial",$C169))),Variables!$B$1:$D$1,0),1))*IFERROR(IF(AB169="","",(AVERAGE(E169:F169)-AB169)-Variables!$B$14),"")/365),""))</f>
        <v>-5.6191137019563686E-2</v>
      </c>
      <c r="BH169" s="44">
        <f>IF($AX169="Cancelled","",IFERROR((W169*INDEX(Variables!$B$7:$D$7,IFERROR(MATCH(IF($B169="Robusta","Robusta",(IF($B169="","Arabica",$B169))&amp;" - "&amp;(IF($C169="","Commercial",$C169))),Variables!$B$1:$D$1,0),1))*AK169/365)+(L169/16.67*INDEX(Variables!$B$8:$D$8,IFERROR(MATCH(IF($B169="Robusta","Robusta",(IF($B169="","Arabica",$B169))&amp;" - "&amp;(IF($C169="","Commercial",$C169))),Variables!$B$1:$D$1,0),1))*AK169)+(W169*INDEX(Variables!$B$9:$D$9,IFERROR(MATCH(IF($B169="Robusta","Robusta",(IF($B169="","Arabica",$B169))&amp;" - "&amp;(IF($C169="","Commercial",$C169))),Variables!$B$1:$D$1,0),1))*AK169/365),""))</f>
        <v>1.1987442564173585</v>
      </c>
      <c r="BI169" s="44">
        <f>IF($AX169="Cancelled","",IFERROR((W169*INDEX(Variables!$B$7:$D$7,IFERROR(MATCH(IF($B169="Robusta","Robusta",(IF($B169="","Arabica",$B169))&amp;" - "&amp;(IF($C169="","Commercial",$C169))),Variables!$B$1:$D$1,0),1))*BD169/365)+(L169/16.67*INDEX(Variables!$B$8:$D$8,IFERROR(MATCH(IF($B169="Robusta","Robusta",(IF($B169="","Arabica",$B169))&amp;" - "&amp;(IF($C169="","Commercial",$C169))),Variables!$B$1:$D$1,0),1))*BD169)+(W169*INDEX(Variables!$B$9:$D$9,IFERROR(MATCH(IF($B169="Robusta","Robusta",(IF($B169="","Arabica",$B169))&amp;" - "&amp;(IF($C169="","Commercial",$C169))),Variables!$B$1:$D$1,0),1))*BD169/365),""))</f>
        <v>55.44192185930283</v>
      </c>
      <c r="BJ169" s="44">
        <f t="shared" si="8"/>
        <v>351</v>
      </c>
      <c r="BK169" s="44">
        <f>IF($AX169="Cancelled","",IFERROR(IF(BJ169="","",(W169*INDEX(Variables!$B$7:$D$7,IFERROR(MATCH(IF($B169="Robusta","Robusta",(IF($B169="","Arabica",$B169))&amp;" - "&amp;(IF($C169="","Commercial",$C169))),Variables!$B$1:$D$1,0),1))*(BJ169/365))+(W169*INDEX(Variables!$B$9:$D$9,IFERROR(MATCH(IF($B169="Robusta","Robusta",(IF($B169="","Arabica",$B169))&amp;" - "&amp;(IF($C169="","Commercial",$C169))),Variables!$B$1:$D$1,0),1))*(BJ169/365))+(INDEX(Variables!$B$8:$D$8,IFERROR(MATCH(IF($B169="Robusta","Robusta",(IF($B169="","Arabica",$B169))&amp;" - "&amp;(IF($C169="","Commercial",$C169))),Variables!$B$1:$D$1,0),1))*L169/16.67)),""))</f>
        <v>35.094904250311608</v>
      </c>
    </row>
    <row r="170" spans="1:63">
      <c r="A170" s="13" t="s">
        <v>103</v>
      </c>
      <c r="B170" s="13" t="s">
        <v>104</v>
      </c>
      <c r="C170" s="13" t="s">
        <v>292</v>
      </c>
      <c r="D170" s="31">
        <v>45693</v>
      </c>
      <c r="E170" s="31">
        <v>45689</v>
      </c>
      <c r="F170" s="31">
        <v>45747</v>
      </c>
      <c r="G170" s="13">
        <v>3786658</v>
      </c>
      <c r="J170" s="13" t="s">
        <v>118</v>
      </c>
      <c r="K170" s="13" t="s">
        <v>663</v>
      </c>
      <c r="L170" s="13">
        <v>20</v>
      </c>
      <c r="M170" s="13">
        <v>1</v>
      </c>
      <c r="N170" s="13" t="s">
        <v>664</v>
      </c>
      <c r="O170" s="13" t="s">
        <v>304</v>
      </c>
      <c r="P170" s="13">
        <v>10010</v>
      </c>
      <c r="R170" s="13" t="s">
        <v>239</v>
      </c>
      <c r="S170" s="13" t="s">
        <v>463</v>
      </c>
      <c r="T170" s="13" t="s">
        <v>458</v>
      </c>
      <c r="U170" s="13" t="s">
        <v>125</v>
      </c>
      <c r="V170" s="13">
        <v>158.85</v>
      </c>
      <c r="W170" s="44">
        <f>IF($AX170="Cancelled","",IFERROR(((V170+INDEX(Variables!$B$6:$D$6,IFERROR(MATCH(IF($B170="Robusta","Robusta",(IF($B170="","Arabica",$B170))&amp;" - "&amp;(IF($C170="","Commercial",$C170))),Variables!$B$1:$D$1,0),1)))*22.0462)*(L170/16.67),""))</f>
        <v>11893.309934013196</v>
      </c>
      <c r="X170" s="55" t="s">
        <v>39</v>
      </c>
      <c r="Y170" s="13" t="str">
        <f>IF($AX170="Cancelled","",IF(X170="","",IFERROR(IF(INDEX(Variables!$B$38:$B$47,MATCH(X170,Variables!$A$38:$A$47,0))="Yes","Yes","No"),"No")))</f>
        <v>No</v>
      </c>
      <c r="Z170" s="31">
        <v>45701.875</v>
      </c>
      <c r="AC170" s="13" t="str">
        <f t="shared" si="6"/>
        <v/>
      </c>
      <c r="AF170" s="71">
        <f>AJ170-7</f>
        <v>45738</v>
      </c>
      <c r="AG170" s="36">
        <f>IF($AX170="Cancelled","",IFERROR(IF(F170="","",F170-Variables!$B$13),""))</f>
        <v>45732</v>
      </c>
      <c r="AH170" s="13" t="str">
        <f>IF($AX170="Cancelled","",IFERROR(IF(AB170="","",(AVERAGE(E170:F170)-AB170)-Variables!$B$14),""))</f>
        <v/>
      </c>
      <c r="AJ170" s="47">
        <v>45745</v>
      </c>
      <c r="AK170" s="14">
        <f>IF($AX170="Cancelled","",IFERROR(IF(AJ170="","",IF(AND(AB170="",AF170=""),"",IF(AF170&gt;AB170,AF170+Variables!$B$15+Variables!$B$16+Variables!$B$17-AJ170,AB170+Variables!$B$16+Variables!$B$17-AJ170))),""))</f>
        <v>8</v>
      </c>
      <c r="AL170" s="48" t="s">
        <v>114</v>
      </c>
      <c r="AM170" s="13" t="s">
        <v>168</v>
      </c>
      <c r="AN170" s="13" t="s">
        <v>805</v>
      </c>
      <c r="AP170" s="31">
        <v>45757</v>
      </c>
      <c r="AR170" s="13" t="s">
        <v>3255</v>
      </c>
      <c r="AS170" s="31">
        <v>45762</v>
      </c>
      <c r="AU170" s="31">
        <v>45764</v>
      </c>
      <c r="AV170" s="13" t="s">
        <v>865</v>
      </c>
      <c r="AW170" s="31">
        <v>45777</v>
      </c>
      <c r="AX170" s="13" t="str">
        <f>IF(ISNUMBER(SEARCH("cancel",#REF!)),"Cancelled",IF(AND(AS170&lt;&gt;"",AU170&lt;&gt;"",AW170&lt;&gt;""),"Closed","Open"))</f>
        <v>Closed</v>
      </c>
      <c r="AY170" s="15" t="str">
        <f t="shared" si="7"/>
        <v>All dates received</v>
      </c>
      <c r="BD170" s="13">
        <f>IF($AX170="Cancelled","",IFERROR(IF(OR(AS170="",AJ170=""),"",(AJ170+Variables!$B$18-AS170)),""))</f>
        <v>-2</v>
      </c>
      <c r="BE170" s="13">
        <f>IF($AX170="Cancelled","",IFERROR(IF(OR(AW170="",AS170=""),"",(AS170+Variables!$B$19)-AW170),""))</f>
        <v>-10</v>
      </c>
      <c r="BF170" s="44">
        <f>IF($AX170="Cancelled","",IFERROR(W170*INDEX(Variables!$B$7:$D$7,IFERROR(MATCH(IF($B170="Robusta","Robusta",(IF($B170="","Arabica",$B170))&amp;" - "&amp;(IF($C170="","Commercial",$C170))),Variables!$B$1:$D$1,0),1))*(BE170/365),""))</f>
        <v>-21.011144926767827</v>
      </c>
      <c r="BG170" s="44" t="str">
        <f>IF($AX170="Cancelled","",IFERROR((W170*INDEX(Variables!$B$7:$D$7,IFERROR(MATCH(IF($B170="Robusta","Robusta",(IF($B170="","Arabica",$B170))&amp;" - "&amp;(IF($C170="","Commercial",$C170))),Variables!$B$1:$D$1,0),1))*IFERROR(IF(AB170="","",(AVERAGE(E170:F170)-AB170)-Variables!$B$14),"")/365)+(L170/16.67*INDEX(Variables!$B$8:$D$8,IFERROR(MATCH(IF($B170="Robusta","Robusta",(IF($B170="","Arabica",$B170))&amp;" - "&amp;(IF($C170="","Commercial",$C170))),Variables!$B$1:$D$1,0),1))*IFERROR(IF(AB170="","",(AVERAGE(E170:F170)-AB170)-Variables!$B$14),""))+(W170*INDEX(Variables!$B$9:$D$9,IFERROR(MATCH(IF($B170="Robusta","Robusta",(IF($B170="","Arabica",$B170))&amp;" - "&amp;(IF($C170="","Commercial",$C170))),Variables!$B$1:$D$1,0),1))*IFERROR(IF(AB170="","",(AVERAGE(E170:F170)-AB170)-Variables!$B$14),"")/365),""))</f>
        <v/>
      </c>
      <c r="BH170" s="44">
        <f>IF($AX170="Cancelled","",IFERROR((W170*INDEX(Variables!$B$7:$D$7,IFERROR(MATCH(IF($B170="Robusta","Robusta",(IF($B170="","Arabica",$B170))&amp;" - "&amp;(IF($C170="","Commercial",$C170))),Variables!$B$1:$D$1,0),1))*AK170/365)+(L170/16.67*INDEX(Variables!$B$8:$D$8,IFERROR(MATCH(IF($B170="Robusta","Robusta",(IF($B170="","Arabica",$B170))&amp;" - "&amp;(IF($C170="","Commercial",$C170))),Variables!$B$1:$D$1,0),1))*AK170)+(W170*INDEX(Variables!$B$9:$D$9,IFERROR(MATCH(IF($B170="Robusta","Robusta",(IF($B170="","Arabica",$B170))&amp;" - "&amp;(IF($C170="","Commercial",$C170))),Variables!$B$1:$D$1,0),1))*AK170/365),""))</f>
        <v>25.025615306853062</v>
      </c>
      <c r="BI170" s="44">
        <f>IF($AX170="Cancelled","",IFERROR((W170*INDEX(Variables!$B$7:$D$7,IFERROR(MATCH(IF($B170="Robusta","Robusta",(IF($B170="","Arabica",$B170))&amp;" - "&amp;(IF($C170="","Commercial",$C170))),Variables!$B$1:$D$1,0),1))*BD170/365)+(L170/16.67*INDEX(Variables!$B$8:$D$8,IFERROR(MATCH(IF($B170="Robusta","Robusta",(IF($B170="","Arabica",$B170))&amp;" - "&amp;(IF($C170="","Commercial",$C170))),Variables!$B$1:$D$1,0),1))*BD170)+(W170*INDEX(Variables!$B$9:$D$9,IFERROR(MATCH(IF($B170="Robusta","Robusta",(IF($B170="","Arabica",$B170))&amp;" - "&amp;(IF($C170="","Commercial",$C170))),Variables!$B$1:$D$1,0),1))*BD170/365),""))</f>
        <v>-6.2564038267132656</v>
      </c>
      <c r="BJ170" s="44">
        <f t="shared" si="8"/>
        <v>-15</v>
      </c>
      <c r="BK170" s="44">
        <f>IF($AX170="Cancelled","",IFERROR(IF(BJ170="","",(W170*INDEX(Variables!$B$7:$D$7,IFERROR(MATCH(IF($B170="Robusta","Robusta",(IF($B170="","Arabica",$B170))&amp;" - "&amp;(IF($C170="","Commercial",$C170))),Variables!$B$1:$D$1,0),1))*(BJ170/365))+(W170*INDEX(Variables!$B$9:$D$9,IFERROR(MATCH(IF($B170="Robusta","Robusta",(IF($B170="","Arabica",$B170))&amp;" - "&amp;(IF($C170="","Commercial",$C170))),Variables!$B$1:$D$1,0),1))*(BJ170/365))+(INDEX(Variables!$B$8:$D$8,IFERROR(MATCH(IF($B170="Robusta","Robusta",(IF($B170="","Arabica",$B170))&amp;" - "&amp;(IF($C170="","Commercial",$C170))),Variables!$B$1:$D$1,0),1))*L170/16.67)),""))</f>
        <v>-30.923028700349487</v>
      </c>
    </row>
    <row r="171" spans="1:63">
      <c r="A171" s="13" t="s">
        <v>103</v>
      </c>
      <c r="B171" s="13" t="s">
        <v>104</v>
      </c>
      <c r="C171" s="13" t="s">
        <v>292</v>
      </c>
      <c r="D171" s="31">
        <v>45693</v>
      </c>
      <c r="E171" s="31">
        <v>45689</v>
      </c>
      <c r="F171" s="31">
        <v>45747</v>
      </c>
      <c r="G171" s="13">
        <v>3786659</v>
      </c>
      <c r="J171" s="13" t="s">
        <v>118</v>
      </c>
      <c r="K171" s="13" t="s">
        <v>665</v>
      </c>
      <c r="L171" s="13">
        <v>20</v>
      </c>
      <c r="M171" s="13">
        <v>0</v>
      </c>
      <c r="N171" s="13" t="s">
        <v>666</v>
      </c>
      <c r="O171" s="13" t="s">
        <v>576</v>
      </c>
      <c r="P171" s="13">
        <v>10020</v>
      </c>
      <c r="R171" s="13" t="s">
        <v>239</v>
      </c>
      <c r="S171" s="13" t="s">
        <v>463</v>
      </c>
      <c r="T171" s="13" t="s">
        <v>458</v>
      </c>
      <c r="U171" s="13" t="s">
        <v>125</v>
      </c>
      <c r="V171" s="13">
        <v>121.1</v>
      </c>
      <c r="W171" s="44">
        <f>IF($AX171="Cancelled","",IFERROR(((V171+INDEX(Variables!$B$6:$D$6,IFERROR(MATCH(IF($B171="Robusta","Robusta",(IF($B171="","Arabica",$B171))&amp;" - "&amp;(IF($C171="","Commercial",$C171))),Variables!$B$1:$D$1,0),1)))*22.0462)*(L171/16.67),""))</f>
        <v>10894.816772645469</v>
      </c>
      <c r="X171" s="55" t="s">
        <v>39</v>
      </c>
      <c r="Y171" s="13" t="str">
        <f>IF($AX171="Cancelled","",IF(X171="","",IFERROR(IF(INDEX(Variables!$B$38:$B$47,MATCH(X171,Variables!$A$38:$A$47,0))="Yes","Yes","No"),"No")))</f>
        <v>No</v>
      </c>
      <c r="Z171" s="31">
        <v>45701.875</v>
      </c>
      <c r="AC171" s="13" t="str">
        <f t="shared" si="6"/>
        <v/>
      </c>
      <c r="AF171" s="71">
        <f>AJ171-7</f>
        <v>45738</v>
      </c>
      <c r="AG171" s="36">
        <f>IF($AX171="Cancelled","",IFERROR(IF(F171="","",F171-Variables!$B$13),""))</f>
        <v>45732</v>
      </c>
      <c r="AH171" s="13" t="str">
        <f>IF($AX171="Cancelled","",IFERROR(IF(AB171="","",(AVERAGE(E171:F171)-AB171)-Variables!$B$14),""))</f>
        <v/>
      </c>
      <c r="AJ171" s="47">
        <v>45745</v>
      </c>
      <c r="AK171" s="14">
        <f>IF($AX171="Cancelled","",IFERROR(IF(AJ171="","",IF(AND(AB171="",AF171=""),"",IF(AF171&gt;AB171,AF171+Variables!$B$15+Variables!$B$16+Variables!$B$17-AJ171,AB171+Variables!$B$16+Variables!$B$17-AJ171))),""))</f>
        <v>8</v>
      </c>
      <c r="AL171" s="48" t="s">
        <v>114</v>
      </c>
      <c r="AM171" s="13" t="s">
        <v>168</v>
      </c>
      <c r="AN171" s="13" t="s">
        <v>805</v>
      </c>
      <c r="AP171" s="31">
        <v>45757</v>
      </c>
      <c r="AR171" s="13" t="s">
        <v>3255</v>
      </c>
      <c r="AS171" s="31">
        <v>45762</v>
      </c>
      <c r="AU171" s="31">
        <v>45764</v>
      </c>
      <c r="AV171" s="13" t="s">
        <v>865</v>
      </c>
      <c r="AW171" s="31">
        <v>45777</v>
      </c>
      <c r="AX171" s="13" t="str">
        <f>IF(ISNUMBER(SEARCH("cancel",#REF!)),"Cancelled",IF(AND(AS171&lt;&gt;"",AU171&lt;&gt;"",AW171&lt;&gt;""),"Closed","Open"))</f>
        <v>Closed</v>
      </c>
      <c r="AY171" s="15" t="str">
        <f t="shared" si="7"/>
        <v>All dates received</v>
      </c>
      <c r="BD171" s="13">
        <f>IF($AX171="Cancelled","",IFERROR(IF(OR(AS171="",AJ171=""),"",(AJ171+Variables!$B$18-AS171)),""))</f>
        <v>-2</v>
      </c>
      <c r="BE171" s="13">
        <f>IF($AX171="Cancelled","",IFERROR(IF(OR(AW171="",AS171=""),"",(AS171+Variables!$B$19)-AW171),""))</f>
        <v>-10</v>
      </c>
      <c r="BF171" s="44">
        <f>IF($AX171="Cancelled","",IFERROR(W171*INDEX(Variables!$B$7:$D$7,IFERROR(MATCH(IF($B171="Robusta","Robusta",(IF($B171="","Arabica",$B171))&amp;" - "&amp;(IF($C171="","Commercial",$C171))),Variables!$B$1:$D$1,0),1))*(BE171/365),""))</f>
        <v>-19.247171345125469</v>
      </c>
      <c r="BG171" s="44" t="str">
        <f>IF($AX171="Cancelled","",IFERROR((W171*INDEX(Variables!$B$7:$D$7,IFERROR(MATCH(IF($B171="Robusta","Robusta",(IF($B171="","Arabica",$B171))&amp;" - "&amp;(IF($C171="","Commercial",$C171))),Variables!$B$1:$D$1,0),1))*IFERROR(IF(AB171="","",(AVERAGE(E171:F171)-AB171)-Variables!$B$14),"")/365)+(L171/16.67*INDEX(Variables!$B$8:$D$8,IFERROR(MATCH(IF($B171="Robusta","Robusta",(IF($B171="","Arabica",$B171))&amp;" - "&amp;(IF($C171="","Commercial",$C171))),Variables!$B$1:$D$1,0),1))*IFERROR(IF(AB171="","",(AVERAGE(E171:F171)-AB171)-Variables!$B$14),""))+(W171*INDEX(Variables!$B$9:$D$9,IFERROR(MATCH(IF($B171="Robusta","Robusta",(IF($B171="","Arabica",$B171))&amp;" - "&amp;(IF($C171="","Commercial",$C171))),Variables!$B$1:$D$1,0),1))*IFERROR(IF(AB171="","",(AVERAGE(E171:F171)-AB171)-Variables!$B$14),"")/365),""))</f>
        <v/>
      </c>
      <c r="BH171" s="44">
        <f>IF($AX171="Cancelled","",IFERROR((W171*INDEX(Variables!$B$7:$D$7,IFERROR(MATCH(IF($B171="Robusta","Robusta",(IF($B171="","Arabica",$B171))&amp;" - "&amp;(IF($C171="","Commercial",$C171))),Variables!$B$1:$D$1,0),1))*AK171/365)+(L171/16.67*INDEX(Variables!$B$8:$D$8,IFERROR(MATCH(IF($B171="Robusta","Robusta",(IF($B171="","Arabica",$B171))&amp;" - "&amp;(IF($C171="","Commercial",$C171))),Variables!$B$1:$D$1,0),1))*AK171)+(W171*INDEX(Variables!$B$9:$D$9,IFERROR(MATCH(IF($B171="Robusta","Robusta",(IF($B171="","Arabica",$B171))&amp;" - "&amp;(IF($C171="","Commercial",$C171))),Variables!$B$1:$D$1,0),1))*AK171/365),""))</f>
        <v>23.596243622579284</v>
      </c>
      <c r="BI171" s="44">
        <f>IF($AX171="Cancelled","",IFERROR((W171*INDEX(Variables!$B$7:$D$7,IFERROR(MATCH(IF($B171="Robusta","Robusta",(IF($B171="","Arabica",$B171))&amp;" - "&amp;(IF($C171="","Commercial",$C171))),Variables!$B$1:$D$1,0),1))*BD171/365)+(L171/16.67*INDEX(Variables!$B$8:$D$8,IFERROR(MATCH(IF($B171="Robusta","Robusta",(IF($B171="","Arabica",$B171))&amp;" - "&amp;(IF($C171="","Commercial",$C171))),Variables!$B$1:$D$1,0),1))*BD171)+(W171*INDEX(Variables!$B$9:$D$9,IFERROR(MATCH(IF($B171="Robusta","Robusta",(IF($B171="","Arabica",$B171))&amp;" - "&amp;(IF($C171="","Commercial",$C171))),Variables!$B$1:$D$1,0),1))*BD171/365),""))</f>
        <v>-5.8990609056448209</v>
      </c>
      <c r="BJ171" s="44">
        <f t="shared" si="8"/>
        <v>-15</v>
      </c>
      <c r="BK171" s="44">
        <f>IF($AX171="Cancelled","",IFERROR(IF(BJ171="","",(W171*INDEX(Variables!$B$7:$D$7,IFERROR(MATCH(IF($B171="Robusta","Robusta",(IF($B171="","Arabica",$B171))&amp;" - "&amp;(IF($C171="","Commercial",$C171))),Variables!$B$1:$D$1,0),1))*(BJ171/365))+(W171*INDEX(Variables!$B$9:$D$9,IFERROR(MATCH(IF($B171="Robusta","Robusta",(IF($B171="","Arabica",$B171))&amp;" - "&amp;(IF($C171="","Commercial",$C171))),Variables!$B$1:$D$1,0),1))*(BJ171/365))+(INDEX(Variables!$B$8:$D$8,IFERROR(MATCH(IF($B171="Robusta","Robusta",(IF($B171="","Arabica",$B171))&amp;" - "&amp;(IF($C171="","Commercial",$C171))),Variables!$B$1:$D$1,0),1))*L171/16.67)),""))</f>
        <v>-28.242956792336159</v>
      </c>
    </row>
    <row r="172" spans="1:63">
      <c r="A172" s="13" t="s">
        <v>103</v>
      </c>
      <c r="B172" s="13" t="s">
        <v>104</v>
      </c>
      <c r="C172" s="13" t="s">
        <v>292</v>
      </c>
      <c r="D172" s="31">
        <v>45693</v>
      </c>
      <c r="E172" s="31">
        <v>45689</v>
      </c>
      <c r="F172" s="31">
        <v>45747</v>
      </c>
      <c r="G172" s="13">
        <v>3786660</v>
      </c>
      <c r="J172" s="13" t="s">
        <v>118</v>
      </c>
      <c r="K172" s="13" t="s">
        <v>667</v>
      </c>
      <c r="L172" s="13">
        <v>15</v>
      </c>
      <c r="M172" s="13">
        <v>0</v>
      </c>
      <c r="N172" s="13" t="s">
        <v>668</v>
      </c>
      <c r="O172" s="13" t="s">
        <v>304</v>
      </c>
      <c r="P172" s="13">
        <v>10010</v>
      </c>
      <c r="R172" s="13" t="s">
        <v>239</v>
      </c>
      <c r="S172" s="13" t="s">
        <v>463</v>
      </c>
      <c r="T172" s="13" t="s">
        <v>458</v>
      </c>
      <c r="U172" s="13" t="s">
        <v>125</v>
      </c>
      <c r="V172" s="13">
        <v>78.099999999999994</v>
      </c>
      <c r="W172" s="44">
        <f>IF($AX172="Cancelled","",IFERROR(((V172+INDEX(Variables!$B$6:$D$6,IFERROR(MATCH(IF($B172="Robusta","Robusta",(IF($B172="","Arabica",$B172))&amp;" - "&amp;(IF($C172="","Commercial",$C172))),Variables!$B$1:$D$1,0),1)))*22.0462)*(L172/16.67),""))</f>
        <v>7318.0952429514082</v>
      </c>
      <c r="X172" s="55" t="s">
        <v>39</v>
      </c>
      <c r="Y172" s="13" t="str">
        <f>IF($AX172="Cancelled","",IF(X172="","",IFERROR(IF(INDEX(Variables!$B$38:$B$47,MATCH(X172,Variables!$A$38:$A$47,0))="Yes","Yes","No"),"No")))</f>
        <v>No</v>
      </c>
      <c r="Z172" s="31">
        <v>45701.875</v>
      </c>
      <c r="AC172" s="13" t="str">
        <f t="shared" si="6"/>
        <v/>
      </c>
      <c r="AF172" s="71">
        <f>AJ172-7</f>
        <v>45738</v>
      </c>
      <c r="AG172" s="36">
        <f>IF($AX172="Cancelled","",IFERROR(IF(F172="","",F172-Variables!$B$13),""))</f>
        <v>45732</v>
      </c>
      <c r="AH172" s="13" t="str">
        <f>IF($AX172="Cancelled","",IFERROR(IF(AB172="","",(AVERAGE(E172:F172)-AB172)-Variables!$B$14),""))</f>
        <v/>
      </c>
      <c r="AJ172" s="47">
        <v>45745</v>
      </c>
      <c r="AK172" s="14">
        <f>IF($AX172="Cancelled","",IFERROR(IF(AJ172="","",IF(AND(AB172="",AF172=""),"",IF(AF172&gt;AB172,AF172+Variables!$B$15+Variables!$B$16+Variables!$B$17-AJ172,AB172+Variables!$B$16+Variables!$B$17-AJ172))),""))</f>
        <v>8</v>
      </c>
      <c r="AL172" s="48" t="s">
        <v>114</v>
      </c>
      <c r="AM172" s="13" t="s">
        <v>168</v>
      </c>
      <c r="AN172" s="13" t="s">
        <v>805</v>
      </c>
      <c r="AP172" s="31">
        <v>45757</v>
      </c>
      <c r="AR172" s="13" t="s">
        <v>3255</v>
      </c>
      <c r="AS172" s="31">
        <v>45762</v>
      </c>
      <c r="AU172" s="31">
        <v>45764</v>
      </c>
      <c r="AV172" s="13" t="s">
        <v>865</v>
      </c>
      <c r="AW172" s="31">
        <v>45777</v>
      </c>
      <c r="AX172" s="13" t="str">
        <f>IF(ISNUMBER(SEARCH("cancel",#REF!)),"Cancelled",IF(AND(AS172&lt;&gt;"",AU172&lt;&gt;"",AW172&lt;&gt;""),"Closed","Open"))</f>
        <v>Closed</v>
      </c>
      <c r="AY172" s="15" t="str">
        <f t="shared" si="7"/>
        <v>All dates received</v>
      </c>
      <c r="BD172" s="13">
        <f>IF($AX172="Cancelled","",IFERROR(IF(OR(AS172="",AJ172=""),"",(AJ172+Variables!$B$18-AS172)),""))</f>
        <v>-2</v>
      </c>
      <c r="BE172" s="13">
        <f>IF($AX172="Cancelled","",IFERROR(IF(OR(AW172="",AS172=""),"",(AS172+Variables!$B$19)-AW172),""))</f>
        <v>-10</v>
      </c>
      <c r="BF172" s="44">
        <f>IF($AX172="Cancelled","",IFERROR(W172*INDEX(Variables!$B$7:$D$7,IFERROR(MATCH(IF($B172="Robusta","Robusta",(IF($B172="","Arabica",$B172))&amp;" - "&amp;(IF($C172="","Commercial",$C172))),Variables!$B$1:$D$1,0),1))*(BE172/365),""))</f>
        <v>-12.928407700686064</v>
      </c>
      <c r="BG172" s="44" t="str">
        <f>IF($AX172="Cancelled","",IFERROR((W172*INDEX(Variables!$B$7:$D$7,IFERROR(MATCH(IF($B172="Robusta","Robusta",(IF($B172="","Arabica",$B172))&amp;" - "&amp;(IF($C172="","Commercial",$C172))),Variables!$B$1:$D$1,0),1))*IFERROR(IF(AB172="","",(AVERAGE(E172:F172)-AB172)-Variables!$B$14),"")/365)+(L172/16.67*INDEX(Variables!$B$8:$D$8,IFERROR(MATCH(IF($B172="Robusta","Robusta",(IF($B172="","Arabica",$B172))&amp;" - "&amp;(IF($C172="","Commercial",$C172))),Variables!$B$1:$D$1,0),1))*IFERROR(IF(AB172="","",(AVERAGE(E172:F172)-AB172)-Variables!$B$14),""))+(W172*INDEX(Variables!$B$9:$D$9,IFERROR(MATCH(IF($B172="Robusta","Robusta",(IF($B172="","Arabica",$B172))&amp;" - "&amp;(IF($C172="","Commercial",$C172))),Variables!$B$1:$D$1,0),1))*IFERROR(IF(AB172="","",(AVERAGE(E172:F172)-AB172)-Variables!$B$14),"")/365),""))</f>
        <v/>
      </c>
      <c r="BH172" s="44">
        <f>IF($AX172="Cancelled","",IFERROR((W172*INDEX(Variables!$B$7:$D$7,IFERROR(MATCH(IF($B172="Robusta","Robusta",(IF($B172="","Arabica",$B172))&amp;" - "&amp;(IF($C172="","Commercial",$C172))),Variables!$B$1:$D$1,0),1))*AK172/365)+(L172/16.67*INDEX(Variables!$B$8:$D$8,IFERROR(MATCH(IF($B172="Robusta","Robusta",(IF($B172="","Arabica",$B172))&amp;" - "&amp;(IF($C172="","Commercial",$C172))),Variables!$B$1:$D$1,0),1))*AK172)+(W172*INDEX(Variables!$B$9:$D$9,IFERROR(MATCH(IF($B172="Robusta","Robusta",(IF($B172="","Arabica",$B172))&amp;" - "&amp;(IF($C172="","Commercial",$C172))),Variables!$B$1:$D$1,0),1))*AK172/365),""))</f>
        <v>16.476063860833026</v>
      </c>
      <c r="BI172" s="44">
        <f>IF($AX172="Cancelled","",IFERROR((W172*INDEX(Variables!$B$7:$D$7,IFERROR(MATCH(IF($B172="Robusta","Robusta",(IF($B172="","Arabica",$B172))&amp;" - "&amp;(IF($C172="","Commercial",$C172))),Variables!$B$1:$D$1,0),1))*BD172/365)+(L172/16.67*INDEX(Variables!$B$8:$D$8,IFERROR(MATCH(IF($B172="Robusta","Robusta",(IF($B172="","Arabica",$B172))&amp;" - "&amp;(IF($C172="","Commercial",$C172))),Variables!$B$1:$D$1,0),1))*BD172)+(W172*INDEX(Variables!$B$9:$D$9,IFERROR(MATCH(IF($B172="Robusta","Robusta",(IF($B172="","Arabica",$B172))&amp;" - "&amp;(IF($C172="","Commercial",$C172))),Variables!$B$1:$D$1,0),1))*BD172/365),""))</f>
        <v>-4.1190159652082565</v>
      </c>
      <c r="BJ172" s="44">
        <f t="shared" si="8"/>
        <v>-15</v>
      </c>
      <c r="BK172" s="44">
        <f>IF($AX172="Cancelled","",IFERROR(IF(BJ172="","",(W172*INDEX(Variables!$B$7:$D$7,IFERROR(MATCH(IF($B172="Robusta","Robusta",(IF($B172="","Arabica",$B172))&amp;" - "&amp;(IF($C172="","Commercial",$C172))),Variables!$B$1:$D$1,0),1))*(BJ172/365))+(W172*INDEX(Variables!$B$9:$D$9,IFERROR(MATCH(IF($B172="Robusta","Robusta",(IF($B172="","Arabica",$B172))&amp;" - "&amp;(IF($C172="","Commercial",$C172))),Variables!$B$1:$D$1,0),1))*(BJ172/365))+(INDEX(Variables!$B$8:$D$8,IFERROR(MATCH(IF($B172="Robusta","Robusta",(IF($B172="","Arabica",$B172))&amp;" - "&amp;(IF($C172="","Commercial",$C172))),Variables!$B$1:$D$1,0),1))*L172/16.67)),""))</f>
        <v>-18.892619739061924</v>
      </c>
    </row>
    <row r="173" spans="1:63">
      <c r="A173" s="13" t="s">
        <v>103</v>
      </c>
      <c r="B173" s="13" t="s">
        <v>104</v>
      </c>
      <c r="C173" s="13" t="s">
        <v>292</v>
      </c>
      <c r="D173" s="31">
        <v>45693</v>
      </c>
      <c r="E173" s="31">
        <v>45689</v>
      </c>
      <c r="F173" s="31">
        <v>45747</v>
      </c>
      <c r="G173" s="13">
        <v>3786661</v>
      </c>
      <c r="J173" s="13" t="s">
        <v>118</v>
      </c>
      <c r="K173" s="13" t="s">
        <v>669</v>
      </c>
      <c r="L173" s="13">
        <v>15</v>
      </c>
      <c r="M173" s="13">
        <v>0</v>
      </c>
      <c r="N173" s="13" t="s">
        <v>670</v>
      </c>
      <c r="O173" s="13" t="s">
        <v>576</v>
      </c>
      <c r="P173" s="13">
        <v>10020</v>
      </c>
      <c r="R173" s="13" t="s">
        <v>671</v>
      </c>
      <c r="S173" s="13" t="s">
        <v>463</v>
      </c>
      <c r="T173" s="13" t="s">
        <v>458</v>
      </c>
      <c r="U173" s="13" t="s">
        <v>125</v>
      </c>
      <c r="V173" s="13">
        <v>119.1</v>
      </c>
      <c r="W173" s="44">
        <f>IF($AX173="Cancelled","",IFERROR(((V173+INDEX(Variables!$B$6:$D$6,IFERROR(MATCH(IF($B173="Robusta","Robusta",(IF($B173="","Arabica",$B173))&amp;" - "&amp;(IF($C173="","Commercial",$C173))),Variables!$B$1:$D$1,0),1)))*22.0462)*(L173/16.67),""))</f>
        <v>8131.4373545290919</v>
      </c>
      <c r="X173" s="55" t="s">
        <v>39</v>
      </c>
      <c r="Y173" s="13" t="str">
        <f>IF($AX173="Cancelled","",IF(X173="","",IFERROR(IF(INDEX(Variables!$B$38:$B$47,MATCH(X173,Variables!$A$38:$A$47,0))="Yes","Yes","No"),"No")))</f>
        <v>No</v>
      </c>
      <c r="Z173" s="31">
        <v>45701.875</v>
      </c>
      <c r="AC173" s="13" t="str">
        <f t="shared" si="6"/>
        <v/>
      </c>
      <c r="AF173" s="71">
        <f>AJ173-7</f>
        <v>45738</v>
      </c>
      <c r="AG173" s="36">
        <f>IF($AX173="Cancelled","",IFERROR(IF(F173="","",F173-Variables!$B$13),""))</f>
        <v>45732</v>
      </c>
      <c r="AH173" s="13" t="str">
        <f>IF($AX173="Cancelled","",IFERROR(IF(AB173="","",(AVERAGE(E173:F173)-AB173)-Variables!$B$14),""))</f>
        <v/>
      </c>
      <c r="AJ173" s="47">
        <v>45745</v>
      </c>
      <c r="AK173" s="14">
        <f>IF($AX173="Cancelled","",IFERROR(IF(AJ173="","",IF(AND(AB173="",AF173=""),"",IF(AF173&gt;AB173,AF173+Variables!$B$15+Variables!$B$16+Variables!$B$17-AJ173,AB173+Variables!$B$16+Variables!$B$17-AJ173))),""))</f>
        <v>8</v>
      </c>
      <c r="AL173" s="48" t="s">
        <v>114</v>
      </c>
      <c r="AM173" s="13" t="s">
        <v>168</v>
      </c>
      <c r="AN173" s="13" t="s">
        <v>805</v>
      </c>
      <c r="AP173" s="31">
        <v>45757</v>
      </c>
      <c r="AR173" s="13" t="s">
        <v>3255</v>
      </c>
      <c r="AS173" s="31">
        <v>45762</v>
      </c>
      <c r="AU173" s="31">
        <v>45764</v>
      </c>
      <c r="AV173" s="13" t="s">
        <v>865</v>
      </c>
      <c r="AW173" s="31">
        <v>45777</v>
      </c>
      <c r="AX173" s="13" t="str">
        <f>IF(ISNUMBER(SEARCH("cancel",#REF!)),"Cancelled",IF(AND(AS173&lt;&gt;"",AU173&lt;&gt;"",AW173&lt;&gt;""),"Closed","Open"))</f>
        <v>Closed</v>
      </c>
      <c r="AY173" s="15" t="str">
        <f t="shared" si="7"/>
        <v>All dates received</v>
      </c>
      <c r="BD173" s="13">
        <f>IF($AX173="Cancelled","",IFERROR(IF(OR(AS173="",AJ173=""),"",(AJ173+Variables!$B$18-AS173)),""))</f>
        <v>-2</v>
      </c>
      <c r="BE173" s="13">
        <f>IF($AX173="Cancelled","",IFERROR(IF(OR(AW173="",AS173=""),"",(AS173+Variables!$B$19)-AW173),""))</f>
        <v>-10</v>
      </c>
      <c r="BF173" s="44">
        <f>IF($AX173="Cancelled","",IFERROR(W173*INDEX(Variables!$B$7:$D$7,IFERROR(MATCH(IF($B173="Robusta","Robusta",(IF($B173="","Arabica",$B173))&amp;" - "&amp;(IF($C173="","Commercial",$C173))),Variables!$B$1:$D$1,0),1))*(BE173/365),""))</f>
        <v>-14.365286843348379</v>
      </c>
      <c r="BG173" s="44" t="str">
        <f>IF($AX173="Cancelled","",IFERROR((W173*INDEX(Variables!$B$7:$D$7,IFERROR(MATCH(IF($B173="Robusta","Robusta",(IF($B173="","Arabica",$B173))&amp;" - "&amp;(IF($C173="","Commercial",$C173))),Variables!$B$1:$D$1,0),1))*IFERROR(IF(AB173="","",(AVERAGE(E173:F173)-AB173)-Variables!$B$14),"")/365)+(L173/16.67*INDEX(Variables!$B$8:$D$8,IFERROR(MATCH(IF($B173="Robusta","Robusta",(IF($B173="","Arabica",$B173))&amp;" - "&amp;(IF($C173="","Commercial",$C173))),Variables!$B$1:$D$1,0),1))*IFERROR(IF(AB173="","",(AVERAGE(E173:F173)-AB173)-Variables!$B$14),""))+(W173*INDEX(Variables!$B$9:$D$9,IFERROR(MATCH(IF($B173="Robusta","Robusta",(IF($B173="","Arabica",$B173))&amp;" - "&amp;(IF($C173="","Commercial",$C173))),Variables!$B$1:$D$1,0),1))*IFERROR(IF(AB173="","",(AVERAGE(E173:F173)-AB173)-Variables!$B$14),"")/365),""))</f>
        <v/>
      </c>
      <c r="BH173" s="44">
        <f>IF($AX173="Cancelled","",IFERROR((W173*INDEX(Variables!$B$7:$D$7,IFERROR(MATCH(IF($B173="Robusta","Robusta",(IF($B173="","Arabica",$B173))&amp;" - "&amp;(IF($C173="","Commercial",$C173))),Variables!$B$1:$D$1,0),1))*AK173/365)+(L173/16.67*INDEX(Variables!$B$8:$D$8,IFERROR(MATCH(IF($B173="Robusta","Robusta",(IF($B173="","Arabica",$B173))&amp;" - "&amp;(IF($C173="","Commercial",$C173))),Variables!$B$1:$D$1,0),1))*AK173)+(W173*INDEX(Variables!$B$9:$D$9,IFERROR(MATCH(IF($B173="Robusta","Robusta",(IF($B173="","Arabica",$B173))&amp;" - "&amp;(IF($C173="","Commercial",$C173))),Variables!$B$1:$D$1,0),1))*AK173/365),""))</f>
        <v>17.640386491069279</v>
      </c>
      <c r="BI173" s="44">
        <f>IF($AX173="Cancelled","",IFERROR((W173*INDEX(Variables!$B$7:$D$7,IFERROR(MATCH(IF($B173="Robusta","Robusta",(IF($B173="","Arabica",$B173))&amp;" - "&amp;(IF($C173="","Commercial",$C173))),Variables!$B$1:$D$1,0),1))*BD173/365)+(L173/16.67*INDEX(Variables!$B$8:$D$8,IFERROR(MATCH(IF($B173="Robusta","Robusta",(IF($B173="","Arabica",$B173))&amp;" - "&amp;(IF($C173="","Commercial",$C173))),Variables!$B$1:$D$1,0),1))*BD173)+(W173*INDEX(Variables!$B$9:$D$9,IFERROR(MATCH(IF($B173="Robusta","Robusta",(IF($B173="","Arabica",$B173))&amp;" - "&amp;(IF($C173="","Commercial",$C173))),Variables!$B$1:$D$1,0),1))*BD173/365),""))</f>
        <v>-4.4100966227673197</v>
      </c>
      <c r="BJ173" s="44">
        <f t="shared" si="8"/>
        <v>-15</v>
      </c>
      <c r="BK173" s="44">
        <f>IF($AX173="Cancelled","",IFERROR(IF(BJ173="","",(W173*INDEX(Variables!$B$7:$D$7,IFERROR(MATCH(IF($B173="Robusta","Robusta",(IF($B173="","Arabica",$B173))&amp;" - "&amp;(IF($C173="","Commercial",$C173))),Variables!$B$1:$D$1,0),1))*(BJ173/365))+(W173*INDEX(Variables!$B$9:$D$9,IFERROR(MATCH(IF($B173="Robusta","Robusta",(IF($B173="","Arabica",$B173))&amp;" - "&amp;(IF($C173="","Commercial",$C173))),Variables!$B$1:$D$1,0),1))*(BJ173/365))+(INDEX(Variables!$B$8:$D$8,IFERROR(MATCH(IF($B173="Robusta","Robusta",(IF($B173="","Arabica",$B173))&amp;" - "&amp;(IF($C173="","Commercial",$C173))),Variables!$B$1:$D$1,0),1))*L173/16.67)),""))</f>
        <v>-21.075724670754898</v>
      </c>
    </row>
    <row r="174" spans="1:63">
      <c r="A174" s="13" t="s">
        <v>103</v>
      </c>
      <c r="B174" s="13" t="s">
        <v>104</v>
      </c>
      <c r="C174" s="13" t="s">
        <v>292</v>
      </c>
      <c r="D174" s="31">
        <v>45693</v>
      </c>
      <c r="E174" s="31">
        <v>45689</v>
      </c>
      <c r="F174" s="31">
        <v>45747</v>
      </c>
      <c r="G174" s="13">
        <v>3786662</v>
      </c>
      <c r="J174" s="13" t="s">
        <v>118</v>
      </c>
      <c r="K174" s="13" t="s">
        <v>672</v>
      </c>
      <c r="L174" s="13">
        <v>30</v>
      </c>
      <c r="M174" s="13">
        <v>0</v>
      </c>
      <c r="N174" s="13" t="s">
        <v>673</v>
      </c>
      <c r="O174" s="13" t="s">
        <v>304</v>
      </c>
      <c r="P174" s="13">
        <v>10010</v>
      </c>
      <c r="R174" s="13" t="s">
        <v>239</v>
      </c>
      <c r="S174" s="13" t="s">
        <v>463</v>
      </c>
      <c r="T174" s="13" t="s">
        <v>458</v>
      </c>
      <c r="U174" s="13" t="s">
        <v>125</v>
      </c>
      <c r="V174" s="13">
        <v>84.1</v>
      </c>
      <c r="W174" s="44">
        <f>IF($AX174="Cancelled","",IFERROR(((V174+INDEX(Variables!$B$6:$D$6,IFERROR(MATCH(IF($B174="Robusta","Robusta",(IF($B174="","Arabica",$B174))&amp;" - "&amp;(IF($C174="","Commercial",$C174))),Variables!$B$1:$D$1,0),1)))*22.0462)*(L174/16.67),""))</f>
        <v>14874.241835632869</v>
      </c>
      <c r="X174" s="55" t="s">
        <v>39</v>
      </c>
      <c r="Y174" s="13" t="str">
        <f>IF($AX174="Cancelled","",IF(X174="","",IFERROR(IF(INDEX(Variables!$B$38:$B$47,MATCH(X174,Variables!$A$38:$A$47,0))="Yes","Yes","No"),"No")))</f>
        <v>No</v>
      </c>
      <c r="Z174" s="31">
        <v>45701.875</v>
      </c>
      <c r="AC174" s="13" t="str">
        <f t="shared" si="6"/>
        <v/>
      </c>
      <c r="AF174" s="71">
        <f>AJ174-7</f>
        <v>45738</v>
      </c>
      <c r="AG174" s="36">
        <f>IF($AX174="Cancelled","",IFERROR(IF(F174="","",F174-Variables!$B$13),""))</f>
        <v>45732</v>
      </c>
      <c r="AH174" s="13" t="str">
        <f>IF($AX174="Cancelled","",IFERROR(IF(AB174="","",(AVERAGE(E174:F174)-AB174)-Variables!$B$14),""))</f>
        <v/>
      </c>
      <c r="AJ174" s="47">
        <v>45745</v>
      </c>
      <c r="AK174" s="14">
        <f>IF($AX174="Cancelled","",IFERROR(IF(AJ174="","",IF(AND(AB174="",AF174=""),"",IF(AF174&gt;AB174,AF174+Variables!$B$15+Variables!$B$16+Variables!$B$17-AJ174,AB174+Variables!$B$16+Variables!$B$17-AJ174))),""))</f>
        <v>8</v>
      </c>
      <c r="AL174" s="48" t="s">
        <v>114</v>
      </c>
      <c r="AM174" s="13" t="s">
        <v>168</v>
      </c>
      <c r="AN174" s="13" t="s">
        <v>805</v>
      </c>
      <c r="AP174" s="31">
        <v>45757</v>
      </c>
      <c r="AR174" s="13" t="s">
        <v>3255</v>
      </c>
      <c r="AS174" s="31">
        <v>45762</v>
      </c>
      <c r="AU174" s="31">
        <v>45764</v>
      </c>
      <c r="AV174" s="13" t="s">
        <v>865</v>
      </c>
      <c r="AW174" s="31">
        <v>45777</v>
      </c>
      <c r="AX174" s="13" t="str">
        <f>IF(ISNUMBER(SEARCH("cancel",#REF!)),"Cancelled",IF(AND(AS174&lt;&gt;"",AU174&lt;&gt;"",AW174&lt;&gt;""),"Closed","Open"))</f>
        <v>Closed</v>
      </c>
      <c r="AY174" s="15" t="str">
        <f t="shared" si="7"/>
        <v>All dates received</v>
      </c>
      <c r="BD174" s="13">
        <f>IF($AX174="Cancelled","",IFERROR(IF(OR(AS174="",AJ174=""),"",(AJ174+Variables!$B$18-AS174)),""))</f>
        <v>-2</v>
      </c>
      <c r="BE174" s="13">
        <f>IF($AX174="Cancelled","",IFERROR(IF(OR(AW174="",AS174=""),"",(AS174+Variables!$B$19)-AW174),""))</f>
        <v>-10</v>
      </c>
      <c r="BF174" s="44">
        <f>IF($AX174="Cancelled","",IFERROR(W174*INDEX(Variables!$B$7:$D$7,IFERROR(MATCH(IF($B174="Robusta","Robusta",(IF($B174="","Arabica",$B174))&amp;" - "&amp;(IF($C174="","Commercial",$C174))),Variables!$B$1:$D$1,0),1))*(BE174/365),""))</f>
        <v>-26.277365394346461</v>
      </c>
      <c r="BG174" s="44" t="str">
        <f>IF($AX174="Cancelled","",IFERROR((W174*INDEX(Variables!$B$7:$D$7,IFERROR(MATCH(IF($B174="Robusta","Robusta",(IF($B174="","Arabica",$B174))&amp;" - "&amp;(IF($C174="","Commercial",$C174))),Variables!$B$1:$D$1,0),1))*IFERROR(IF(AB174="","",(AVERAGE(E174:F174)-AB174)-Variables!$B$14),"")/365)+(L174/16.67*INDEX(Variables!$B$8:$D$8,IFERROR(MATCH(IF($B174="Robusta","Robusta",(IF($B174="","Arabica",$B174))&amp;" - "&amp;(IF($C174="","Commercial",$C174))),Variables!$B$1:$D$1,0),1))*IFERROR(IF(AB174="","",(AVERAGE(E174:F174)-AB174)-Variables!$B$14),""))+(W174*INDEX(Variables!$B$9:$D$9,IFERROR(MATCH(IF($B174="Robusta","Robusta",(IF($B174="","Arabica",$B174))&amp;" - "&amp;(IF($C174="","Commercial",$C174))),Variables!$B$1:$D$1,0),1))*IFERROR(IF(AB174="","",(AVERAGE(E174:F174)-AB174)-Variables!$B$14),"")/365),""))</f>
        <v/>
      </c>
      <c r="BH174" s="44">
        <f>IF($AX174="Cancelled","",IFERROR((W174*INDEX(Variables!$B$7:$D$7,IFERROR(MATCH(IF($B174="Robusta","Robusta",(IF($B174="","Arabica",$B174))&amp;" - "&amp;(IF($C174="","Commercial",$C174))),Variables!$B$1:$D$1,0),1))*AK174/365)+(L174/16.67*INDEX(Variables!$B$8:$D$8,IFERROR(MATCH(IF($B174="Robusta","Robusta",(IF($B174="","Arabica",$B174))&amp;" - "&amp;(IF($C174="","Commercial",$C174))),Variables!$B$1:$D$1,0),1))*AK174)+(W174*INDEX(Variables!$B$9:$D$9,IFERROR(MATCH(IF($B174="Robusta","Robusta",(IF($B174="","Arabica",$B174))&amp;" - "&amp;(IF($C174="","Commercial",$C174))),Variables!$B$1:$D$1,0),1))*AK174/365),""))</f>
        <v>33.292905076857146</v>
      </c>
      <c r="BI174" s="44">
        <f>IF($AX174="Cancelled","",IFERROR((W174*INDEX(Variables!$B$7:$D$7,IFERROR(MATCH(IF($B174="Robusta","Robusta",(IF($B174="","Arabica",$B174))&amp;" - "&amp;(IF($C174="","Commercial",$C174))),Variables!$B$1:$D$1,0),1))*BD174/365)+(L174/16.67*INDEX(Variables!$B$8:$D$8,IFERROR(MATCH(IF($B174="Robusta","Robusta",(IF($B174="","Arabica",$B174))&amp;" - "&amp;(IF($C174="","Commercial",$C174))),Variables!$B$1:$D$1,0),1))*BD174)+(W174*INDEX(Variables!$B$9:$D$9,IFERROR(MATCH(IF($B174="Robusta","Robusta",(IF($B174="","Arabica",$B174))&amp;" - "&amp;(IF($C174="","Commercial",$C174))),Variables!$B$1:$D$1,0),1))*BD174/365),""))</f>
        <v>-8.3232262692142864</v>
      </c>
      <c r="BJ174" s="44">
        <f t="shared" si="8"/>
        <v>-15</v>
      </c>
      <c r="BK174" s="44">
        <f>IF($AX174="Cancelled","",IFERROR(IF(BJ174="","",(W174*INDEX(Variables!$B$7:$D$7,IFERROR(MATCH(IF($B174="Robusta","Robusta",(IF($B174="","Arabica",$B174))&amp;" - "&amp;(IF($C174="","Commercial",$C174))),Variables!$B$1:$D$1,0),1))*(BJ174/365))+(W174*INDEX(Variables!$B$9:$D$9,IFERROR(MATCH(IF($B174="Robusta","Robusta",(IF($B174="","Arabica",$B174))&amp;" - "&amp;(IF($C174="","Commercial",$C174))),Variables!$B$1:$D$1,0),1))*(BJ174/365))+(INDEX(Variables!$B$8:$D$8,IFERROR(MATCH(IF($B174="Robusta","Robusta",(IF($B174="","Arabica",$B174))&amp;" - "&amp;(IF($C174="","Commercial",$C174))),Variables!$B$1:$D$1,0),1))*L174/16.67)),""))</f>
        <v>-38.424197019107154</v>
      </c>
    </row>
    <row r="175" spans="1:63">
      <c r="A175" s="13" t="s">
        <v>103</v>
      </c>
      <c r="B175" s="13" t="s">
        <v>104</v>
      </c>
      <c r="C175" s="13" t="s">
        <v>292</v>
      </c>
      <c r="D175" s="31">
        <v>45693</v>
      </c>
      <c r="E175" s="31">
        <v>45689</v>
      </c>
      <c r="F175" s="31">
        <v>45747</v>
      </c>
      <c r="G175" s="13">
        <v>3786663</v>
      </c>
      <c r="J175" s="13" t="s">
        <v>118</v>
      </c>
      <c r="K175" s="13" t="s">
        <v>674</v>
      </c>
      <c r="L175" s="13">
        <v>15</v>
      </c>
      <c r="M175" s="13">
        <v>0</v>
      </c>
      <c r="N175" s="13" t="s">
        <v>675</v>
      </c>
      <c r="O175" s="13" t="s">
        <v>304</v>
      </c>
      <c r="P175" s="13">
        <v>10010</v>
      </c>
      <c r="R175" s="13" t="s">
        <v>671</v>
      </c>
      <c r="S175" s="13" t="s">
        <v>463</v>
      </c>
      <c r="T175" s="13" t="s">
        <v>458</v>
      </c>
      <c r="U175" s="13" t="s">
        <v>125</v>
      </c>
      <c r="V175" s="13">
        <v>94.1</v>
      </c>
      <c r="W175" s="44">
        <f>IF($AX175="Cancelled","",IFERROR(((V175+INDEX(Variables!$B$6:$D$6,IFERROR(MATCH(IF($B175="Robusta","Robusta",(IF($B175="","Arabica",$B175))&amp;" - "&amp;(IF($C175="","Commercial",$C175))),Variables!$B$1:$D$1,0),1)))*22.0462)*(L175/16.67),""))</f>
        <v>7635.4970425914807</v>
      </c>
      <c r="X175" s="55" t="s">
        <v>39</v>
      </c>
      <c r="Y175" s="13" t="str">
        <f>IF($AX175="Cancelled","",IF(X175="","",IFERROR(IF(INDEX(Variables!$B$38:$B$47,MATCH(X175,Variables!$A$38:$A$47,0))="Yes","Yes","No"),"No")))</f>
        <v>No</v>
      </c>
      <c r="Z175" s="31">
        <v>45701.875</v>
      </c>
      <c r="AC175" s="13" t="str">
        <f t="shared" si="6"/>
        <v/>
      </c>
      <c r="AF175" s="71">
        <f>AJ175-7</f>
        <v>45738</v>
      </c>
      <c r="AG175" s="36">
        <f>IF($AX175="Cancelled","",IFERROR(IF(F175="","",F175-Variables!$B$13),""))</f>
        <v>45732</v>
      </c>
      <c r="AH175" s="13" t="str">
        <f>IF($AX175="Cancelled","",IFERROR(IF(AB175="","",(AVERAGE(E175:F175)-AB175)-Variables!$B$14),""))</f>
        <v/>
      </c>
      <c r="AJ175" s="47">
        <v>45745</v>
      </c>
      <c r="AK175" s="14">
        <f>IF($AX175="Cancelled","",IFERROR(IF(AJ175="","",IF(AND(AB175="",AF175=""),"",IF(AF175&gt;AB175,AF175+Variables!$B$15+Variables!$B$16+Variables!$B$17-AJ175,AB175+Variables!$B$16+Variables!$B$17-AJ175))),""))</f>
        <v>8</v>
      </c>
      <c r="AL175" s="48" t="s">
        <v>114</v>
      </c>
      <c r="AM175" s="13" t="s">
        <v>168</v>
      </c>
      <c r="AN175" s="13" t="s">
        <v>805</v>
      </c>
      <c r="AP175" s="31">
        <v>45757</v>
      </c>
      <c r="AR175" s="13" t="s">
        <v>3255</v>
      </c>
      <c r="AS175" s="31">
        <v>45762</v>
      </c>
      <c r="AU175" s="31">
        <v>45764</v>
      </c>
      <c r="AV175" s="13" t="s">
        <v>865</v>
      </c>
      <c r="AW175" s="31">
        <v>45777</v>
      </c>
      <c r="AX175" s="13" t="str">
        <f>IF(ISNUMBER(SEARCH("cancel",#REF!)),"Cancelled",IF(AND(AS175&lt;&gt;"",AU175&lt;&gt;"",AW175&lt;&gt;""),"Closed","Open"))</f>
        <v>Closed</v>
      </c>
      <c r="AY175" s="15" t="str">
        <f t="shared" si="7"/>
        <v>All dates received</v>
      </c>
      <c r="BD175" s="13">
        <f>IF($AX175="Cancelled","",IFERROR(IF(OR(AS175="",AJ175=""),"",(AJ175+Variables!$B$18-AS175)),""))</f>
        <v>-2</v>
      </c>
      <c r="BE175" s="13">
        <f>IF($AX175="Cancelled","",IFERROR(IF(OR(AW175="",AS175=""),"",(AS175+Variables!$B$19)-AW175),""))</f>
        <v>-10</v>
      </c>
      <c r="BF175" s="44">
        <f>IF($AX175="Cancelled","",IFERROR(W175*INDEX(Variables!$B$7:$D$7,IFERROR(MATCH(IF($B175="Robusta","Robusta",(IF($B175="","Arabica",$B175))&amp;" - "&amp;(IF($C175="","Commercial",$C175))),Variables!$B$1:$D$1,0),1))*(BE175/365),""))</f>
        <v>-13.489141024651847</v>
      </c>
      <c r="BG175" s="44" t="str">
        <f>IF($AX175="Cancelled","",IFERROR((W175*INDEX(Variables!$B$7:$D$7,IFERROR(MATCH(IF($B175="Robusta","Robusta",(IF($B175="","Arabica",$B175))&amp;" - "&amp;(IF($C175="","Commercial",$C175))),Variables!$B$1:$D$1,0),1))*IFERROR(IF(AB175="","",(AVERAGE(E175:F175)-AB175)-Variables!$B$14),"")/365)+(L175/16.67*INDEX(Variables!$B$8:$D$8,IFERROR(MATCH(IF($B175="Robusta","Robusta",(IF($B175="","Arabica",$B175))&amp;" - "&amp;(IF($C175="","Commercial",$C175))),Variables!$B$1:$D$1,0),1))*IFERROR(IF(AB175="","",(AVERAGE(E175:F175)-AB175)-Variables!$B$14),""))+(W175*INDEX(Variables!$B$9:$D$9,IFERROR(MATCH(IF($B175="Robusta","Robusta",(IF($B175="","Arabica",$B175))&amp;" - "&amp;(IF($C175="","Commercial",$C175))),Variables!$B$1:$D$1,0),1))*IFERROR(IF(AB175="","",(AVERAGE(E175:F175)-AB175)-Variables!$B$14),"")/365),""))</f>
        <v/>
      </c>
      <c r="BH175" s="44">
        <f>IF($AX175="Cancelled","",IFERROR((W175*INDEX(Variables!$B$7:$D$7,IFERROR(MATCH(IF($B175="Robusta","Robusta",(IF($B175="","Arabica",$B175))&amp;" - "&amp;(IF($C175="","Commercial",$C175))),Variables!$B$1:$D$1,0),1))*AK175/365)+(L175/16.67*INDEX(Variables!$B$8:$D$8,IFERROR(MATCH(IF($B175="Robusta","Robusta",(IF($B175="","Arabica",$B175))&amp;" - "&amp;(IF($C175="","Commercial",$C175))),Variables!$B$1:$D$1,0),1))*AK175)+(W175*INDEX(Variables!$B$9:$D$9,IFERROR(MATCH(IF($B175="Robusta","Robusta",(IF($B175="","Arabica",$B175))&amp;" - "&amp;(IF($C175="","Commercial",$C175))),Variables!$B$1:$D$1,0),1))*AK175/365),""))</f>
        <v>16.930433667754492</v>
      </c>
      <c r="BI175" s="44">
        <f>IF($AX175="Cancelled","",IFERROR((W175*INDEX(Variables!$B$7:$D$7,IFERROR(MATCH(IF($B175="Robusta","Robusta",(IF($B175="","Arabica",$B175))&amp;" - "&amp;(IF($C175="","Commercial",$C175))),Variables!$B$1:$D$1,0),1))*BD175/365)+(L175/16.67*INDEX(Variables!$B$8:$D$8,IFERROR(MATCH(IF($B175="Robusta","Robusta",(IF($B175="","Arabica",$B175))&amp;" - "&amp;(IF($C175="","Commercial",$C175))),Variables!$B$1:$D$1,0),1))*BD175)+(W175*INDEX(Variables!$B$9:$D$9,IFERROR(MATCH(IF($B175="Robusta","Robusta",(IF($B175="","Arabica",$B175))&amp;" - "&amp;(IF($C175="","Commercial",$C175))),Variables!$B$1:$D$1,0),1))*BD175/365),""))</f>
        <v>-4.2326084169386231</v>
      </c>
      <c r="BJ175" s="44">
        <f t="shared" si="8"/>
        <v>-15</v>
      </c>
      <c r="BK175" s="44">
        <f>IF($AX175="Cancelled","",IFERROR(IF(BJ175="","",(W175*INDEX(Variables!$B$7:$D$7,IFERROR(MATCH(IF($B175="Robusta","Robusta",(IF($B175="","Arabica",$B175))&amp;" - "&amp;(IF($C175="","Commercial",$C175))),Variables!$B$1:$D$1,0),1))*(BJ175/365))+(W175*INDEX(Variables!$B$9:$D$9,IFERROR(MATCH(IF($B175="Robusta","Robusta",(IF($B175="","Arabica",$B175))&amp;" - "&amp;(IF($C175="","Commercial",$C175))),Variables!$B$1:$D$1,0),1))*(BJ175/365))+(INDEX(Variables!$B$8:$D$8,IFERROR(MATCH(IF($B175="Robusta","Robusta",(IF($B175="","Arabica",$B175))&amp;" - "&amp;(IF($C175="","Commercial",$C175))),Variables!$B$1:$D$1,0),1))*L175/16.67)),""))</f>
        <v>-19.744563127039672</v>
      </c>
    </row>
    <row r="176" spans="1:63">
      <c r="A176" s="13" t="s">
        <v>103</v>
      </c>
      <c r="B176" s="13" t="s">
        <v>104</v>
      </c>
      <c r="C176" s="13" t="s">
        <v>292</v>
      </c>
      <c r="D176" s="31">
        <v>45693</v>
      </c>
      <c r="E176" s="31">
        <v>45689</v>
      </c>
      <c r="F176" s="31">
        <v>45747</v>
      </c>
      <c r="G176" s="13">
        <v>3786664</v>
      </c>
      <c r="J176" s="13" t="s">
        <v>118</v>
      </c>
      <c r="K176" s="13" t="s">
        <v>676</v>
      </c>
      <c r="L176" s="13">
        <v>20</v>
      </c>
      <c r="M176" s="13">
        <v>0</v>
      </c>
      <c r="N176" s="13" t="s">
        <v>677</v>
      </c>
      <c r="O176" s="13" t="s">
        <v>304</v>
      </c>
      <c r="P176" s="13">
        <v>10010</v>
      </c>
      <c r="R176" s="13" t="s">
        <v>239</v>
      </c>
      <c r="S176" s="13" t="s">
        <v>463</v>
      </c>
      <c r="T176" s="13" t="s">
        <v>458</v>
      </c>
      <c r="U176" s="13" t="s">
        <v>125</v>
      </c>
      <c r="V176" s="13">
        <v>124.1</v>
      </c>
      <c r="W176" s="44">
        <f>IF($AX176="Cancelled","",IFERROR(((V176+INDEX(Variables!$B$6:$D$6,IFERROR(MATCH(IF($B176="Robusta","Robusta",(IF($B176="","Arabica",$B176))&amp;" - "&amp;(IF($C176="","Commercial",$C176))),Variables!$B$1:$D$1,0),1)))*22.0462)*(L176/16.67),""))</f>
        <v>10974.167222555487</v>
      </c>
      <c r="X176" s="55" t="s">
        <v>39</v>
      </c>
      <c r="Y176" s="13" t="str">
        <f>IF($AX176="Cancelled","",IF(X176="","",IFERROR(IF(INDEX(Variables!$B$38:$B$47,MATCH(X176,Variables!$A$38:$A$47,0))="Yes","Yes","No"),"No")))</f>
        <v>No</v>
      </c>
      <c r="Z176" s="31">
        <v>45701.875</v>
      </c>
      <c r="AC176" s="13" t="str">
        <f t="shared" si="6"/>
        <v/>
      </c>
      <c r="AF176" s="71">
        <f>AJ176-7</f>
        <v>45738</v>
      </c>
      <c r="AG176" s="36">
        <f>IF($AX176="Cancelled","",IFERROR(IF(F176="","",F176-Variables!$B$13),""))</f>
        <v>45732</v>
      </c>
      <c r="AH176" s="13" t="str">
        <f>IF($AX176="Cancelled","",IFERROR(IF(AB176="","",(AVERAGE(E176:F176)-AB176)-Variables!$B$14),""))</f>
        <v/>
      </c>
      <c r="AJ176" s="47">
        <v>45745</v>
      </c>
      <c r="AK176" s="14">
        <f>IF($AX176="Cancelled","",IFERROR(IF(AJ176="","",IF(AND(AB176="",AF176=""),"",IF(AF176&gt;AB176,AF176+Variables!$B$15+Variables!$B$16+Variables!$B$17-AJ176,AB176+Variables!$B$16+Variables!$B$17-AJ176))),""))</f>
        <v>8</v>
      </c>
      <c r="AL176" s="48" t="s">
        <v>114</v>
      </c>
      <c r="AM176" s="13" t="s">
        <v>168</v>
      </c>
      <c r="AN176" s="13" t="s">
        <v>805</v>
      </c>
      <c r="AP176" s="31">
        <v>45757</v>
      </c>
      <c r="AR176" s="13" t="s">
        <v>3255</v>
      </c>
      <c r="AS176" s="31">
        <v>45762</v>
      </c>
      <c r="AU176" s="31">
        <v>45764</v>
      </c>
      <c r="AV176" s="13" t="s">
        <v>865</v>
      </c>
      <c r="AW176" s="31">
        <v>45777</v>
      </c>
      <c r="AX176" s="13" t="str">
        <f>IF(ISNUMBER(SEARCH("cancel",#REF!)),"Cancelled",IF(AND(AS176&lt;&gt;"",AU176&lt;&gt;"",AW176&lt;&gt;""),"Closed","Open"))</f>
        <v>Closed</v>
      </c>
      <c r="AY176" s="15" t="str">
        <f t="shared" si="7"/>
        <v>All dates received</v>
      </c>
      <c r="BD176" s="13">
        <f>IF($AX176="Cancelled","",IFERROR(IF(OR(AS176="",AJ176=""),"",(AJ176+Variables!$B$18-AS176)),""))</f>
        <v>-2</v>
      </c>
      <c r="BE176" s="13">
        <f>IF($AX176="Cancelled","",IFERROR(IF(OR(AW176="",AS176=""),"",(AS176+Variables!$B$19)-AW176),""))</f>
        <v>-10</v>
      </c>
      <c r="BF176" s="44">
        <f>IF($AX176="Cancelled","",IFERROR(W176*INDEX(Variables!$B$7:$D$7,IFERROR(MATCH(IF($B176="Robusta","Robusta",(IF($B176="","Arabica",$B176))&amp;" - "&amp;(IF($C176="","Commercial",$C176))),Variables!$B$1:$D$1,0),1))*(BE176/365),""))</f>
        <v>-19.387354676116914</v>
      </c>
      <c r="BG176" s="44" t="str">
        <f>IF($AX176="Cancelled","",IFERROR((W176*INDEX(Variables!$B$7:$D$7,IFERROR(MATCH(IF($B176="Robusta","Robusta",(IF($B176="","Arabica",$B176))&amp;" - "&amp;(IF($C176="","Commercial",$C176))),Variables!$B$1:$D$1,0),1))*IFERROR(IF(AB176="","",(AVERAGE(E176:F176)-AB176)-Variables!$B$14),"")/365)+(L176/16.67*INDEX(Variables!$B$8:$D$8,IFERROR(MATCH(IF($B176="Robusta","Robusta",(IF($B176="","Arabica",$B176))&amp;" - "&amp;(IF($C176="","Commercial",$C176))),Variables!$B$1:$D$1,0),1))*IFERROR(IF(AB176="","",(AVERAGE(E176:F176)-AB176)-Variables!$B$14),""))+(W176*INDEX(Variables!$B$9:$D$9,IFERROR(MATCH(IF($B176="Robusta","Robusta",(IF($B176="","Arabica",$B176))&amp;" - "&amp;(IF($C176="","Commercial",$C176))),Variables!$B$1:$D$1,0),1))*IFERROR(IF(AB176="","",(AVERAGE(E176:F176)-AB176)-Variables!$B$14),"")/365),""))</f>
        <v/>
      </c>
      <c r="BH176" s="44">
        <f>IF($AX176="Cancelled","",IFERROR((W176*INDEX(Variables!$B$7:$D$7,IFERROR(MATCH(IF($B176="Robusta","Robusta",(IF($B176="","Arabica",$B176))&amp;" - "&amp;(IF($C176="","Commercial",$C176))),Variables!$B$1:$D$1,0),1))*AK176/365)+(L176/16.67*INDEX(Variables!$B$8:$D$8,IFERROR(MATCH(IF($B176="Robusta","Robusta",(IF($B176="","Arabica",$B176))&amp;" - "&amp;(IF($C176="","Commercial",$C176))),Variables!$B$1:$D$1,0),1))*AK176)+(W176*INDEX(Variables!$B$9:$D$9,IFERROR(MATCH(IF($B176="Robusta","Robusta",(IF($B176="","Arabica",$B176))&amp;" - "&amp;(IF($C176="","Commercial",$C176))),Variables!$B$1:$D$1,0),1))*AK176/365),""))</f>
        <v>23.709836074309653</v>
      </c>
      <c r="BI176" s="44">
        <f>IF($AX176="Cancelled","",IFERROR((W176*INDEX(Variables!$B$7:$D$7,IFERROR(MATCH(IF($B176="Robusta","Robusta",(IF($B176="","Arabica",$B176))&amp;" - "&amp;(IF($C176="","Commercial",$C176))),Variables!$B$1:$D$1,0),1))*BD176/365)+(L176/16.67*INDEX(Variables!$B$8:$D$8,IFERROR(MATCH(IF($B176="Robusta","Robusta",(IF($B176="","Arabica",$B176))&amp;" - "&amp;(IF($C176="","Commercial",$C176))),Variables!$B$1:$D$1,0),1))*BD176)+(W176*INDEX(Variables!$B$9:$D$9,IFERROR(MATCH(IF($B176="Robusta","Robusta",(IF($B176="","Arabica",$B176))&amp;" - "&amp;(IF($C176="","Commercial",$C176))),Variables!$B$1:$D$1,0),1))*BD176/365),""))</f>
        <v>-5.9274590185774132</v>
      </c>
      <c r="BJ176" s="44">
        <f t="shared" si="8"/>
        <v>-15</v>
      </c>
      <c r="BK176" s="44">
        <f>IF($AX176="Cancelled","",IFERROR(IF(BJ176="","",(W176*INDEX(Variables!$B$7:$D$7,IFERROR(MATCH(IF($B176="Robusta","Robusta",(IF($B176="","Arabica",$B176))&amp;" - "&amp;(IF($C176="","Commercial",$C176))),Variables!$B$1:$D$1,0),1))*(BJ176/365))+(W176*INDEX(Variables!$B$9:$D$9,IFERROR(MATCH(IF($B176="Robusta","Robusta",(IF($B176="","Arabica",$B176))&amp;" - "&amp;(IF($C176="","Commercial",$C176))),Variables!$B$1:$D$1,0),1))*(BJ176/365))+(INDEX(Variables!$B$8:$D$8,IFERROR(MATCH(IF($B176="Robusta","Robusta",(IF($B176="","Arabica",$B176))&amp;" - "&amp;(IF($C176="","Commercial",$C176))),Variables!$B$1:$D$1,0),1))*L176/16.67)),""))</f>
        <v>-28.455942639330591</v>
      </c>
    </row>
    <row r="177" spans="1:63">
      <c r="A177" s="13" t="s">
        <v>103</v>
      </c>
      <c r="B177" s="13" t="s">
        <v>104</v>
      </c>
      <c r="C177" s="13" t="s">
        <v>292</v>
      </c>
      <c r="D177" s="31">
        <v>45693</v>
      </c>
      <c r="E177" s="31">
        <v>45689</v>
      </c>
      <c r="F177" s="31">
        <v>45747</v>
      </c>
      <c r="G177" s="13">
        <v>3786665</v>
      </c>
      <c r="J177" s="13" t="s">
        <v>118</v>
      </c>
      <c r="K177" s="13" t="s">
        <v>678</v>
      </c>
      <c r="L177" s="13">
        <v>16</v>
      </c>
      <c r="M177" s="13">
        <v>0</v>
      </c>
      <c r="N177" s="13" t="s">
        <v>679</v>
      </c>
      <c r="O177" s="13" t="s">
        <v>304</v>
      </c>
      <c r="P177" s="13">
        <v>10010</v>
      </c>
      <c r="R177" s="13" t="s">
        <v>671</v>
      </c>
      <c r="S177" s="13" t="s">
        <v>463</v>
      </c>
      <c r="T177" s="13" t="s">
        <v>458</v>
      </c>
      <c r="U177" s="13" t="s">
        <v>125</v>
      </c>
      <c r="V177" s="13">
        <v>124.1</v>
      </c>
      <c r="W177" s="44">
        <f>IF($AX177="Cancelled","",IFERROR(((V177+INDEX(Variables!$B$6:$D$6,IFERROR(MATCH(IF($B177="Robusta","Robusta",(IF($B177="","Arabica",$B177))&amp;" - "&amp;(IF($C177="","Commercial",$C177))),Variables!$B$1:$D$1,0),1)))*22.0462)*(L177/16.67),""))</f>
        <v>8779.333778044389</v>
      </c>
      <c r="X177" s="55" t="s">
        <v>39</v>
      </c>
      <c r="Y177" s="13" t="str">
        <f>IF($AX177="Cancelled","",IF(X177="","",IFERROR(IF(INDEX(Variables!$B$38:$B$47,MATCH(X177,Variables!$A$38:$A$47,0))="Yes","Yes","No"),"No")))</f>
        <v>No</v>
      </c>
      <c r="Z177" s="31">
        <v>45701.875</v>
      </c>
      <c r="AC177" s="13" t="str">
        <f t="shared" si="6"/>
        <v/>
      </c>
      <c r="AF177" s="71">
        <f>AJ177-7</f>
        <v>45738</v>
      </c>
      <c r="AG177" s="36">
        <f>IF($AX177="Cancelled","",IFERROR(IF(F177="","",F177-Variables!$B$13),""))</f>
        <v>45732</v>
      </c>
      <c r="AH177" s="13" t="str">
        <f>IF($AX177="Cancelled","",IFERROR(IF(AB177="","",(AVERAGE(E177:F177)-AB177)-Variables!$B$14),""))</f>
        <v/>
      </c>
      <c r="AJ177" s="47">
        <v>45745</v>
      </c>
      <c r="AK177" s="14">
        <f>IF($AX177="Cancelled","",IFERROR(IF(AJ177="","",IF(AND(AB177="",AF177=""),"",IF(AF177&gt;AB177,AF177+Variables!$B$15+Variables!$B$16+Variables!$B$17-AJ177,AB177+Variables!$B$16+Variables!$B$17-AJ177))),""))</f>
        <v>8</v>
      </c>
      <c r="AL177" s="48" t="s">
        <v>114</v>
      </c>
      <c r="AM177" s="13" t="s">
        <v>168</v>
      </c>
      <c r="AN177" s="13" t="s">
        <v>805</v>
      </c>
      <c r="AP177" s="31">
        <v>45757</v>
      </c>
      <c r="AR177" s="13" t="s">
        <v>3255</v>
      </c>
      <c r="AS177" s="31">
        <v>45762</v>
      </c>
      <c r="AU177" s="31">
        <v>45764</v>
      </c>
      <c r="AV177" s="13" t="s">
        <v>865</v>
      </c>
      <c r="AW177" s="31">
        <v>45777</v>
      </c>
      <c r="AX177" s="13" t="str">
        <f>IF(ISNUMBER(SEARCH("cancel",#REF!)),"Cancelled",IF(AND(AS177&lt;&gt;"",AU177&lt;&gt;"",AW177&lt;&gt;""),"Closed","Open"))</f>
        <v>Closed</v>
      </c>
      <c r="AY177" s="15" t="str">
        <f t="shared" si="7"/>
        <v>All dates received</v>
      </c>
      <c r="BD177" s="13">
        <f>IF($AX177="Cancelled","",IFERROR(IF(OR(AS177="",AJ177=""),"",(AJ177+Variables!$B$18-AS177)),""))</f>
        <v>-2</v>
      </c>
      <c r="BE177" s="13">
        <f>IF($AX177="Cancelled","",IFERROR(IF(OR(AW177="",AS177=""),"",(AS177+Variables!$B$19)-AW177),""))</f>
        <v>-10</v>
      </c>
      <c r="BF177" s="44">
        <f>IF($AX177="Cancelled","",IFERROR(W177*INDEX(Variables!$B$7:$D$7,IFERROR(MATCH(IF($B177="Robusta","Robusta",(IF($B177="","Arabica",$B177))&amp;" - "&amp;(IF($C177="","Commercial",$C177))),Variables!$B$1:$D$1,0),1))*(BE177/365),""))</f>
        <v>-15.50988374089353</v>
      </c>
      <c r="BG177" s="44" t="str">
        <f>IF($AX177="Cancelled","",IFERROR((W177*INDEX(Variables!$B$7:$D$7,IFERROR(MATCH(IF($B177="Robusta","Robusta",(IF($B177="","Arabica",$B177))&amp;" - "&amp;(IF($C177="","Commercial",$C177))),Variables!$B$1:$D$1,0),1))*IFERROR(IF(AB177="","",(AVERAGE(E177:F177)-AB177)-Variables!$B$14),"")/365)+(L177/16.67*INDEX(Variables!$B$8:$D$8,IFERROR(MATCH(IF($B177="Robusta","Robusta",(IF($B177="","Arabica",$B177))&amp;" - "&amp;(IF($C177="","Commercial",$C177))),Variables!$B$1:$D$1,0),1))*IFERROR(IF(AB177="","",(AVERAGE(E177:F177)-AB177)-Variables!$B$14),""))+(W177*INDEX(Variables!$B$9:$D$9,IFERROR(MATCH(IF($B177="Robusta","Robusta",(IF($B177="","Arabica",$B177))&amp;" - "&amp;(IF($C177="","Commercial",$C177))),Variables!$B$1:$D$1,0),1))*IFERROR(IF(AB177="","",(AVERAGE(E177:F177)-AB177)-Variables!$B$14),"")/365),""))</f>
        <v/>
      </c>
      <c r="BH177" s="44">
        <f>IF($AX177="Cancelled","",IFERROR((W177*INDEX(Variables!$B$7:$D$7,IFERROR(MATCH(IF($B177="Robusta","Robusta",(IF($B177="","Arabica",$B177))&amp;" - "&amp;(IF($C177="","Commercial",$C177))),Variables!$B$1:$D$1,0),1))*AK177/365)+(L177/16.67*INDEX(Variables!$B$8:$D$8,IFERROR(MATCH(IF($B177="Robusta","Robusta",(IF($B177="","Arabica",$B177))&amp;" - "&amp;(IF($C177="","Commercial",$C177))),Variables!$B$1:$D$1,0),1))*AK177)+(W177*INDEX(Variables!$B$9:$D$9,IFERROR(MATCH(IF($B177="Robusta","Robusta",(IF($B177="","Arabica",$B177))&amp;" - "&amp;(IF($C177="","Commercial",$C177))),Variables!$B$1:$D$1,0),1))*AK177/365),""))</f>
        <v>18.967868859447719</v>
      </c>
      <c r="BI177" s="44">
        <f>IF($AX177="Cancelled","",IFERROR((W177*INDEX(Variables!$B$7:$D$7,IFERROR(MATCH(IF($B177="Robusta","Robusta",(IF($B177="","Arabica",$B177))&amp;" - "&amp;(IF($C177="","Commercial",$C177))),Variables!$B$1:$D$1,0),1))*BD177/365)+(L177/16.67*INDEX(Variables!$B$8:$D$8,IFERROR(MATCH(IF($B177="Robusta","Robusta",(IF($B177="","Arabica",$B177))&amp;" - "&amp;(IF($C177="","Commercial",$C177))),Variables!$B$1:$D$1,0),1))*BD177)+(W177*INDEX(Variables!$B$9:$D$9,IFERROR(MATCH(IF($B177="Robusta","Robusta",(IF($B177="","Arabica",$B177))&amp;" - "&amp;(IF($C177="","Commercial",$C177))),Variables!$B$1:$D$1,0),1))*BD177/365),""))</f>
        <v>-4.7419672148619298</v>
      </c>
      <c r="BJ177" s="44">
        <f t="shared" si="8"/>
        <v>-15</v>
      </c>
      <c r="BK177" s="44">
        <f>IF($AX177="Cancelled","",IFERROR(IF(BJ177="","",(W177*INDEX(Variables!$B$7:$D$7,IFERROR(MATCH(IF($B177="Robusta","Robusta",(IF($B177="","Arabica",$B177))&amp;" - "&amp;(IF($C177="","Commercial",$C177))),Variables!$B$1:$D$1,0),1))*(BJ177/365))+(W177*INDEX(Variables!$B$9:$D$9,IFERROR(MATCH(IF($B177="Robusta","Robusta",(IF($B177="","Arabica",$B177))&amp;" - "&amp;(IF($C177="","Commercial",$C177))),Variables!$B$1:$D$1,0),1))*(BJ177/365))+(INDEX(Variables!$B$8:$D$8,IFERROR(MATCH(IF($B177="Robusta","Robusta",(IF($B177="","Arabica",$B177))&amp;" - "&amp;(IF($C177="","Commercial",$C177))),Variables!$B$1:$D$1,0),1))*L177/16.67)),""))</f>
        <v>-22.764754111464473</v>
      </c>
    </row>
    <row r="178" spans="1:63">
      <c r="A178" s="13" t="s">
        <v>103</v>
      </c>
      <c r="B178" s="13" t="s">
        <v>104</v>
      </c>
      <c r="C178" s="13" t="s">
        <v>292</v>
      </c>
      <c r="D178" s="31">
        <v>45693</v>
      </c>
      <c r="E178" s="31">
        <v>45689</v>
      </c>
      <c r="F178" s="31">
        <v>45747</v>
      </c>
      <c r="G178" s="13">
        <v>3786666</v>
      </c>
      <c r="J178" s="13" t="s">
        <v>118</v>
      </c>
      <c r="K178" s="13" t="s">
        <v>680</v>
      </c>
      <c r="L178" s="13">
        <v>15</v>
      </c>
      <c r="M178" s="13">
        <v>0</v>
      </c>
      <c r="N178" s="13" t="s">
        <v>681</v>
      </c>
      <c r="O178" s="13" t="s">
        <v>304</v>
      </c>
      <c r="P178" s="13">
        <v>10010</v>
      </c>
      <c r="R178" s="13" t="s">
        <v>671</v>
      </c>
      <c r="S178" s="13" t="s">
        <v>463</v>
      </c>
      <c r="T178" s="13" t="s">
        <v>458</v>
      </c>
      <c r="U178" s="13" t="s">
        <v>125</v>
      </c>
      <c r="V178" s="13">
        <v>135.1</v>
      </c>
      <c r="W178" s="44">
        <f>IF($AX178="Cancelled","",IFERROR(((V178+INDEX(Variables!$B$6:$D$6,IFERROR(MATCH(IF($B178="Robusta","Robusta",(IF($B178="","Arabica",$B178))&amp;" - "&amp;(IF($C178="","Commercial",$C178))),Variables!$B$1:$D$1,0),1)))*22.0462)*(L178/16.67),""))</f>
        <v>8448.8391541691635</v>
      </c>
      <c r="X178" s="55" t="s">
        <v>39</v>
      </c>
      <c r="Y178" s="13" t="str">
        <f>IF($AX178="Cancelled","",IF(X178="","",IFERROR(IF(INDEX(Variables!$B$38:$B$47,MATCH(X178,Variables!$A$38:$A$47,0))="Yes","Yes","No"),"No")))</f>
        <v>No</v>
      </c>
      <c r="Z178" s="31">
        <v>45701.875</v>
      </c>
      <c r="AC178" s="13" t="str">
        <f t="shared" si="6"/>
        <v/>
      </c>
      <c r="AF178" s="71">
        <f>AJ178-7</f>
        <v>45738</v>
      </c>
      <c r="AG178" s="36">
        <f>IF($AX178="Cancelled","",IFERROR(IF(F178="","",F178-Variables!$B$13),""))</f>
        <v>45732</v>
      </c>
      <c r="AH178" s="13" t="str">
        <f>IF($AX178="Cancelled","",IFERROR(IF(AB178="","",(AVERAGE(E178:F178)-AB178)-Variables!$B$14),""))</f>
        <v/>
      </c>
      <c r="AJ178" s="47">
        <v>45745</v>
      </c>
      <c r="AK178" s="14">
        <f>IF($AX178="Cancelled","",IFERROR(IF(AJ178="","",IF(AND(AB178="",AF178=""),"",IF(AF178&gt;AB178,AF178+Variables!$B$15+Variables!$B$16+Variables!$B$17-AJ178,AB178+Variables!$B$16+Variables!$B$17-AJ178))),""))</f>
        <v>8</v>
      </c>
      <c r="AL178" s="48" t="s">
        <v>114</v>
      </c>
      <c r="AM178" s="13" t="s">
        <v>168</v>
      </c>
      <c r="AN178" s="13" t="s">
        <v>805</v>
      </c>
      <c r="AP178" s="31">
        <v>45757</v>
      </c>
      <c r="AR178" s="13" t="s">
        <v>3255</v>
      </c>
      <c r="AS178" s="31">
        <v>45762</v>
      </c>
      <c r="AU178" s="31">
        <v>45764</v>
      </c>
      <c r="AV178" s="13" t="s">
        <v>865</v>
      </c>
      <c r="AW178" s="31">
        <v>45777</v>
      </c>
      <c r="AX178" s="13" t="str">
        <f>IF(ISNUMBER(SEARCH("cancel",#REF!)),"Cancelled",IF(AND(AS178&lt;&gt;"",AU178&lt;&gt;"",AW178&lt;&gt;""),"Closed","Open"))</f>
        <v>Closed</v>
      </c>
      <c r="AY178" s="15" t="str">
        <f t="shared" si="7"/>
        <v>All dates received</v>
      </c>
      <c r="BD178" s="13">
        <f>IF($AX178="Cancelled","",IFERROR(IF(OR(AS178="",AJ178=""),"",(AJ178+Variables!$B$18-AS178)),""))</f>
        <v>-2</v>
      </c>
      <c r="BE178" s="13">
        <f>IF($AX178="Cancelled","",IFERROR(IF(OR(AW178="",AS178=""),"",(AS178+Variables!$B$19)-AW178),""))</f>
        <v>-10</v>
      </c>
      <c r="BF178" s="44">
        <f>IF($AX178="Cancelled","",IFERROR(W178*INDEX(Variables!$B$7:$D$7,IFERROR(MATCH(IF($B178="Robusta","Robusta",(IF($B178="","Arabica",$B178))&amp;" - "&amp;(IF($C178="","Commercial",$C178))),Variables!$B$1:$D$1,0),1))*(BE178/365),""))</f>
        <v>-14.92602016731416</v>
      </c>
      <c r="BG178" s="44" t="str">
        <f>IF($AX178="Cancelled","",IFERROR((W178*INDEX(Variables!$B$7:$D$7,IFERROR(MATCH(IF($B178="Robusta","Robusta",(IF($B178="","Arabica",$B178))&amp;" - "&amp;(IF($C178="","Commercial",$C178))),Variables!$B$1:$D$1,0),1))*IFERROR(IF(AB178="","",(AVERAGE(E178:F178)-AB178)-Variables!$B$14),"")/365)+(L178/16.67*INDEX(Variables!$B$8:$D$8,IFERROR(MATCH(IF($B178="Robusta","Robusta",(IF($B178="","Arabica",$B178))&amp;" - "&amp;(IF($C178="","Commercial",$C178))),Variables!$B$1:$D$1,0),1))*IFERROR(IF(AB178="","",(AVERAGE(E178:F178)-AB178)-Variables!$B$14),""))+(W178*INDEX(Variables!$B$9:$D$9,IFERROR(MATCH(IF($B178="Robusta","Robusta",(IF($B178="","Arabica",$B178))&amp;" - "&amp;(IF($C178="","Commercial",$C178))),Variables!$B$1:$D$1,0),1))*IFERROR(IF(AB178="","",(AVERAGE(E178:F178)-AB178)-Variables!$B$14),"")/365),""))</f>
        <v/>
      </c>
      <c r="BH178" s="44">
        <f>IF($AX178="Cancelled","",IFERROR((W178*INDEX(Variables!$B$7:$D$7,IFERROR(MATCH(IF($B178="Robusta","Robusta",(IF($B178="","Arabica",$B178))&amp;" - "&amp;(IF($C178="","Commercial",$C178))),Variables!$B$1:$D$1,0),1))*AK178/365)+(L178/16.67*INDEX(Variables!$B$8:$D$8,IFERROR(MATCH(IF($B178="Robusta","Robusta",(IF($B178="","Arabica",$B178))&amp;" - "&amp;(IF($C178="","Commercial",$C178))),Variables!$B$1:$D$1,0),1))*AK178)+(W178*INDEX(Variables!$B$9:$D$9,IFERROR(MATCH(IF($B178="Robusta","Robusta",(IF($B178="","Arabica",$B178))&amp;" - "&amp;(IF($C178="","Commercial",$C178))),Variables!$B$1:$D$1,0),1))*AK178/365),""))</f>
        <v>18.094756297990742</v>
      </c>
      <c r="BI178" s="44">
        <f>IF($AX178="Cancelled","",IFERROR((W178*INDEX(Variables!$B$7:$D$7,IFERROR(MATCH(IF($B178="Robusta","Robusta",(IF($B178="","Arabica",$B178))&amp;" - "&amp;(IF($C178="","Commercial",$C178))),Variables!$B$1:$D$1,0),1))*BD178/365)+(L178/16.67*INDEX(Variables!$B$8:$D$8,IFERROR(MATCH(IF($B178="Robusta","Robusta",(IF($B178="","Arabica",$B178))&amp;" - "&amp;(IF($C178="","Commercial",$C178))),Variables!$B$1:$D$1,0),1))*BD178)+(W178*INDEX(Variables!$B$9:$D$9,IFERROR(MATCH(IF($B178="Robusta","Robusta",(IF($B178="","Arabica",$B178))&amp;" - "&amp;(IF($C178="","Commercial",$C178))),Variables!$B$1:$D$1,0),1))*BD178/365),""))</f>
        <v>-4.5236890744976854</v>
      </c>
      <c r="BJ178" s="44">
        <f t="shared" si="8"/>
        <v>-15</v>
      </c>
      <c r="BK178" s="44">
        <f>IF($AX178="Cancelled","",IFERROR(IF(BJ178="","",(W178*INDEX(Variables!$B$7:$D$7,IFERROR(MATCH(IF($B178="Robusta","Robusta",(IF($B178="","Arabica",$B178))&amp;" - "&amp;(IF($C178="","Commercial",$C178))),Variables!$B$1:$D$1,0),1))*(BJ178/365))+(W178*INDEX(Variables!$B$9:$D$9,IFERROR(MATCH(IF($B178="Robusta","Robusta",(IF($B178="","Arabica",$B178))&amp;" - "&amp;(IF($C178="","Commercial",$C178))),Variables!$B$1:$D$1,0),1))*(BJ178/365))+(INDEX(Variables!$B$8:$D$8,IFERROR(MATCH(IF($B178="Robusta","Robusta",(IF($B178="","Arabica",$B178))&amp;" - "&amp;(IF($C178="","Commercial",$C178))),Variables!$B$1:$D$1,0),1))*L178/16.67)),""))</f>
        <v>-21.927668058732642</v>
      </c>
    </row>
    <row r="179" spans="1:63">
      <c r="A179" s="13" t="s">
        <v>103</v>
      </c>
      <c r="B179" s="13" t="s">
        <v>104</v>
      </c>
      <c r="C179" s="13" t="s">
        <v>292</v>
      </c>
      <c r="D179" s="31">
        <v>45693</v>
      </c>
      <c r="E179" s="31">
        <v>45689</v>
      </c>
      <c r="F179" s="31">
        <v>45747</v>
      </c>
      <c r="G179" s="13">
        <v>3786667</v>
      </c>
      <c r="J179" s="13" t="s">
        <v>118</v>
      </c>
      <c r="K179" s="13" t="s">
        <v>682</v>
      </c>
      <c r="L179" s="13">
        <v>18</v>
      </c>
      <c r="M179" s="13">
        <v>0</v>
      </c>
      <c r="N179" s="13" t="s">
        <v>683</v>
      </c>
      <c r="O179" s="13" t="s">
        <v>576</v>
      </c>
      <c r="P179" s="13">
        <v>10020</v>
      </c>
      <c r="R179" s="13" t="s">
        <v>239</v>
      </c>
      <c r="S179" s="13" t="s">
        <v>463</v>
      </c>
      <c r="T179" s="13" t="s">
        <v>458</v>
      </c>
      <c r="U179" s="13" t="s">
        <v>125</v>
      </c>
      <c r="V179" s="13">
        <v>120.1</v>
      </c>
      <c r="W179" s="44">
        <f>IF($AX179="Cancelled","",IFERROR(((V179+INDEX(Variables!$B$6:$D$6,IFERROR(MATCH(IF($B179="Robusta","Robusta",(IF($B179="","Arabica",$B179))&amp;" - "&amp;(IF($C179="","Commercial",$C179))),Variables!$B$1:$D$1,0),1)))*22.0462)*(L179/16.67),""))</f>
        <v>9781.5299604079173</v>
      </c>
      <c r="X179" s="55" t="s">
        <v>39</v>
      </c>
      <c r="Y179" s="13" t="str">
        <f>IF($AX179="Cancelled","",IF(X179="","",IFERROR(IF(INDEX(Variables!$B$38:$B$47,MATCH(X179,Variables!$A$38:$A$47,0))="Yes","Yes","No"),"No")))</f>
        <v>No</v>
      </c>
      <c r="Z179" s="31">
        <v>45701.875</v>
      </c>
      <c r="AC179" s="13" t="str">
        <f t="shared" si="6"/>
        <v/>
      </c>
      <c r="AF179" s="71">
        <f>AJ179-7</f>
        <v>45738</v>
      </c>
      <c r="AG179" s="36">
        <f>IF($AX179="Cancelled","",IFERROR(IF(F179="","",F179-Variables!$B$13),""))</f>
        <v>45732</v>
      </c>
      <c r="AH179" s="13" t="str">
        <f>IF($AX179="Cancelled","",IFERROR(IF(AB179="","",(AVERAGE(E179:F179)-AB179)-Variables!$B$14),""))</f>
        <v/>
      </c>
      <c r="AJ179" s="47">
        <v>45745</v>
      </c>
      <c r="AK179" s="14">
        <f>IF($AX179="Cancelled","",IFERROR(IF(AJ179="","",IF(AND(AB179="",AF179=""),"",IF(AF179&gt;AB179,AF179+Variables!$B$15+Variables!$B$16+Variables!$B$17-AJ179,AB179+Variables!$B$16+Variables!$B$17-AJ179))),""))</f>
        <v>8</v>
      </c>
      <c r="AL179" s="48" t="s">
        <v>114</v>
      </c>
      <c r="AM179" s="13" t="s">
        <v>168</v>
      </c>
      <c r="AN179" s="13" t="s">
        <v>805</v>
      </c>
      <c r="AP179" s="31">
        <v>45757</v>
      </c>
      <c r="AR179" s="13" t="s">
        <v>3255</v>
      </c>
      <c r="AS179" s="31">
        <v>45762</v>
      </c>
      <c r="AU179" s="31">
        <v>45764</v>
      </c>
      <c r="AV179" s="13" t="s">
        <v>865</v>
      </c>
      <c r="AW179" s="31">
        <v>45777</v>
      </c>
      <c r="AX179" s="13" t="str">
        <f>IF(ISNUMBER(SEARCH("cancel",#REF!)),"Cancelled",IF(AND(AS179&lt;&gt;"",AU179&lt;&gt;"",AW179&lt;&gt;""),"Closed","Open"))</f>
        <v>Closed</v>
      </c>
      <c r="AY179" s="15" t="str">
        <f t="shared" si="7"/>
        <v>All dates received</v>
      </c>
      <c r="BD179" s="13">
        <f>IF($AX179="Cancelled","",IFERROR(IF(OR(AS179="",AJ179=""),"",(AJ179+Variables!$B$18-AS179)),""))</f>
        <v>-2</v>
      </c>
      <c r="BE179" s="13">
        <f>IF($AX179="Cancelled","",IFERROR(IF(OR(AW179="",AS179=""),"",(AS179+Variables!$B$19)-AW179),""))</f>
        <v>-10</v>
      </c>
      <c r="BF179" s="44">
        <f>IF($AX179="Cancelled","",IFERROR(W179*INDEX(Variables!$B$7:$D$7,IFERROR(MATCH(IF($B179="Robusta","Robusta",(IF($B179="","Arabica",$B179))&amp;" - "&amp;(IF($C179="","Commercial",$C179))),Variables!$B$1:$D$1,0),1))*(BE179/365),""))</f>
        <v>-17.280399211315491</v>
      </c>
      <c r="BG179" s="44" t="str">
        <f>IF($AX179="Cancelled","",IFERROR((W179*INDEX(Variables!$B$7:$D$7,IFERROR(MATCH(IF($B179="Robusta","Robusta",(IF($B179="","Arabica",$B179))&amp;" - "&amp;(IF($C179="","Commercial",$C179))),Variables!$B$1:$D$1,0),1))*IFERROR(IF(AB179="","",(AVERAGE(E179:F179)-AB179)-Variables!$B$14),"")/365)+(L179/16.67*INDEX(Variables!$B$8:$D$8,IFERROR(MATCH(IF($B179="Robusta","Robusta",(IF($B179="","Arabica",$B179))&amp;" - "&amp;(IF($C179="","Commercial",$C179))),Variables!$B$1:$D$1,0),1))*IFERROR(IF(AB179="","",(AVERAGE(E179:F179)-AB179)-Variables!$B$14),""))+(W179*INDEX(Variables!$B$9:$D$9,IFERROR(MATCH(IF($B179="Robusta","Robusta",(IF($B179="","Arabica",$B179))&amp;" - "&amp;(IF($C179="","Commercial",$C179))),Variables!$B$1:$D$1,0),1))*IFERROR(IF(AB179="","",(AVERAGE(E179:F179)-AB179)-Variables!$B$14),"")/365),""))</f>
        <v/>
      </c>
      <c r="BH179" s="44">
        <f>IF($AX179="Cancelled","",IFERROR((W179*INDEX(Variables!$B$7:$D$7,IFERROR(MATCH(IF($B179="Robusta","Robusta",(IF($B179="","Arabica",$B179))&amp;" - "&amp;(IF($C179="","Commercial",$C179))),Variables!$B$1:$D$1,0),1))*AK179/365)+(L179/16.67*INDEX(Variables!$B$8:$D$8,IFERROR(MATCH(IF($B179="Robusta","Robusta",(IF($B179="","Arabica",$B179))&amp;" - "&amp;(IF($C179="","Commercial",$C179))),Variables!$B$1:$D$1,0),1))*AK179)+(W179*INDEX(Variables!$B$9:$D$9,IFERROR(MATCH(IF($B179="Robusta","Robusta",(IF($B179="","Arabica",$B179))&amp;" - "&amp;(IF($C179="","Commercial",$C179))),Variables!$B$1:$D$1,0),1))*AK179/365),""))</f>
        <v>21.202541524802246</v>
      </c>
      <c r="BI179" s="44">
        <f>IF($AX179="Cancelled","",IFERROR((W179*INDEX(Variables!$B$7:$D$7,IFERROR(MATCH(IF($B179="Robusta","Robusta",(IF($B179="","Arabica",$B179))&amp;" - "&amp;(IF($C179="","Commercial",$C179))),Variables!$B$1:$D$1,0),1))*BD179/365)+(L179/16.67*INDEX(Variables!$B$8:$D$8,IFERROR(MATCH(IF($B179="Robusta","Robusta",(IF($B179="","Arabica",$B179))&amp;" - "&amp;(IF($C179="","Commercial",$C179))),Variables!$B$1:$D$1,0),1))*BD179)+(W179*INDEX(Variables!$B$9:$D$9,IFERROR(MATCH(IF($B179="Robusta","Robusta",(IF($B179="","Arabica",$B179))&amp;" - "&amp;(IF($C179="","Commercial",$C179))),Variables!$B$1:$D$1,0),1))*BD179/365),""))</f>
        <v>-5.3006353812005615</v>
      </c>
      <c r="BJ179" s="44">
        <f t="shared" si="8"/>
        <v>-15</v>
      </c>
      <c r="BK179" s="44">
        <f>IF($AX179="Cancelled","",IFERROR(IF(BJ179="","",(W179*INDEX(Variables!$B$7:$D$7,IFERROR(MATCH(IF($B179="Robusta","Robusta",(IF($B179="","Arabica",$B179))&amp;" - "&amp;(IF($C179="","Commercial",$C179))),Variables!$B$1:$D$1,0),1))*(BJ179/365))+(W179*INDEX(Variables!$B$9:$D$9,IFERROR(MATCH(IF($B179="Robusta","Robusta",(IF($B179="","Arabica",$B179))&amp;" - "&amp;(IF($C179="","Commercial",$C179))),Variables!$B$1:$D$1,0),1))*(BJ179/365))+(INDEX(Variables!$B$8:$D$8,IFERROR(MATCH(IF($B179="Robusta","Robusta",(IF($B179="","Arabica",$B179))&amp;" - "&amp;(IF($C179="","Commercial",$C179))),Variables!$B$1:$D$1,0),1))*L179/16.67)),""))</f>
        <v>-25.354765359004215</v>
      </c>
    </row>
    <row r="180" spans="1:63">
      <c r="A180" s="13" t="s">
        <v>103</v>
      </c>
      <c r="B180" s="13" t="s">
        <v>104</v>
      </c>
      <c r="C180" s="13" t="s">
        <v>292</v>
      </c>
      <c r="D180" s="31">
        <v>45693</v>
      </c>
      <c r="E180" s="31">
        <v>45689</v>
      </c>
      <c r="F180" s="31">
        <v>45747</v>
      </c>
      <c r="G180" s="13">
        <v>3786668</v>
      </c>
      <c r="J180" s="13" t="s">
        <v>118</v>
      </c>
      <c r="K180" s="13" t="s">
        <v>684</v>
      </c>
      <c r="L180" s="13">
        <v>10</v>
      </c>
      <c r="M180" s="13">
        <v>0</v>
      </c>
      <c r="N180" s="13" t="s">
        <v>685</v>
      </c>
      <c r="O180" s="13" t="s">
        <v>304</v>
      </c>
      <c r="P180" s="13">
        <v>10010</v>
      </c>
      <c r="R180" s="13" t="s">
        <v>384</v>
      </c>
      <c r="S180" s="13" t="s">
        <v>463</v>
      </c>
      <c r="T180" s="13" t="s">
        <v>458</v>
      </c>
      <c r="U180" s="13" t="s">
        <v>125</v>
      </c>
      <c r="V180" s="13">
        <v>69.099999999999994</v>
      </c>
      <c r="W180" s="44">
        <f>IF($AX180="Cancelled","",IFERROR(((V180+INDEX(Variables!$B$6:$D$6,IFERROR(MATCH(IF($B180="Robusta","Robusta",(IF($B180="","Arabica",$B180))&amp;" - "&amp;(IF($C180="","Commercial",$C180))),Variables!$B$1:$D$1,0),1)))*22.0462)*(L180/16.67),""))</f>
        <v>4759.7044871025782</v>
      </c>
      <c r="X180" s="55" t="s">
        <v>39</v>
      </c>
      <c r="Y180" s="13" t="str">
        <f>IF($AX180="Cancelled","",IF(X180="","",IFERROR(IF(INDEX(Variables!$B$38:$B$47,MATCH(X180,Variables!$A$38:$A$47,0))="Yes","Yes","No"),"No")))</f>
        <v>No</v>
      </c>
      <c r="Z180" s="31"/>
      <c r="AB180" s="31">
        <v>45686.875</v>
      </c>
      <c r="AC180" s="13" t="str">
        <f t="shared" si="6"/>
        <v>Approved</v>
      </c>
      <c r="AF180" s="71">
        <f>AJ180-7</f>
        <v>45738</v>
      </c>
      <c r="AG180" s="36">
        <f>IF($AX180="Cancelled","",IFERROR(IF(F180="","",F180-Variables!$B$13),""))</f>
        <v>45732</v>
      </c>
      <c r="AH180" s="13">
        <f>IF($AX180="Cancelled","",IFERROR(IF(AB180="","",(AVERAGE(E180:F180)-AB180)-Variables!$B$14),""))</f>
        <v>1.125</v>
      </c>
      <c r="AJ180" s="47">
        <v>45745</v>
      </c>
      <c r="AK180" s="14">
        <f>IF($AX180="Cancelled","",IFERROR(IF(AJ180="","",IF(AND(AB180="",AF180=""),"",IF(AF180&gt;AB180,AF180+Variables!$B$15+Variables!$B$16+Variables!$B$17-AJ180,AB180+Variables!$B$16+Variables!$B$17-AJ180))),""))</f>
        <v>8</v>
      </c>
      <c r="AL180" s="48" t="s">
        <v>114</v>
      </c>
      <c r="AM180" s="13" t="s">
        <v>168</v>
      </c>
      <c r="AN180" s="13" t="s">
        <v>805</v>
      </c>
      <c r="AP180" s="31">
        <v>45757</v>
      </c>
      <c r="AR180" s="13" t="s">
        <v>3255</v>
      </c>
      <c r="AS180" s="31">
        <v>45762</v>
      </c>
      <c r="AU180" s="31">
        <v>45764</v>
      </c>
      <c r="AV180" s="13" t="s">
        <v>865</v>
      </c>
      <c r="AW180" s="31">
        <v>45777</v>
      </c>
      <c r="AX180" s="13" t="str">
        <f>IF(ISNUMBER(SEARCH("cancel",#REF!)),"Cancelled",IF(AND(AS180&lt;&gt;"",AU180&lt;&gt;"",AW180&lt;&gt;""),"Closed","Open"))</f>
        <v>Closed</v>
      </c>
      <c r="AY180" s="15" t="str">
        <f t="shared" si="7"/>
        <v>All dates received</v>
      </c>
      <c r="BD180" s="13">
        <f>IF($AX180="Cancelled","",IFERROR(IF(OR(AS180="",AJ180=""),"",(AJ180+Variables!$B$18-AS180)),""))</f>
        <v>-2</v>
      </c>
      <c r="BE180" s="13">
        <f>IF($AX180="Cancelled","",IFERROR(IF(OR(AW180="",AS180=""),"",(AS180+Variables!$B$19)-AW180),""))</f>
        <v>-10</v>
      </c>
      <c r="BF180" s="44">
        <f>IF($AX180="Cancelled","",IFERROR(W180*INDEX(Variables!$B$7:$D$7,IFERROR(MATCH(IF($B180="Robusta","Robusta",(IF($B180="","Arabica",$B180))&amp;" - "&amp;(IF($C180="","Commercial",$C180))),Variables!$B$1:$D$1,0),1))*(BE180/365),""))</f>
        <v>-8.4086634706368724</v>
      </c>
      <c r="BG180" s="44">
        <f>IF($AX180="Cancelled","",IFERROR((W180*INDEX(Variables!$B$7:$D$7,IFERROR(MATCH(IF($B180="Robusta","Robusta",(IF($B180="","Arabica",$B180))&amp;" - "&amp;(IF($C180="","Commercial",$C180))),Variables!$B$1:$D$1,0),1))*IFERROR(IF(AB180="","",(AVERAGE(E180:F180)-AB180)-Variables!$B$14),"")/365)+(L180/16.67*INDEX(Variables!$B$8:$D$8,IFERROR(MATCH(IF($B180="Robusta","Robusta",(IF($B180="","Arabica",$B180))&amp;" - "&amp;(IF($C180="","Commercial",$C180))),Variables!$B$1:$D$1,0),1))*IFERROR(IF(AB180="","",(AVERAGE(E180:F180)-AB180)-Variables!$B$14),""))+(W180*INDEX(Variables!$B$9:$D$9,IFERROR(MATCH(IF($B180="Robusta","Robusta",(IF($B180="","Arabica",$B180))&amp;" - "&amp;(IF($C180="","Commercial",$C180))),Variables!$B$1:$D$1,0),1))*IFERROR(IF(AB180="","",(AVERAGE(E180:F180)-AB180)-Variables!$B$14),"")/365),""))</f>
        <v>1.520670079166222</v>
      </c>
      <c r="BH180" s="44">
        <f>IF($AX180="Cancelled","",IFERROR((W180*INDEX(Variables!$B$7:$D$7,IFERROR(MATCH(IF($B180="Robusta","Robusta",(IF($B180="","Arabica",$B180))&amp;" - "&amp;(IF($C180="","Commercial",$C180))),Variables!$B$1:$D$1,0),1))*AK180/365)+(L180/16.67*INDEX(Variables!$B$8:$D$8,IFERROR(MATCH(IF($B180="Robusta","Robusta",(IF($B180="","Arabica",$B180))&amp;" - "&amp;(IF($C180="","Commercial",$C180))),Variables!$B$1:$D$1,0),1))*AK180)+(W180*INDEX(Variables!$B$9:$D$9,IFERROR(MATCH(IF($B180="Robusta","Robusta",(IF($B180="","Arabica",$B180))&amp;" - "&amp;(IF($C180="","Commercial",$C180))),Variables!$B$1:$D$1,0),1))*AK180/365),""))</f>
        <v>10.813653896293134</v>
      </c>
      <c r="BI180" s="44">
        <f>IF($AX180="Cancelled","",IFERROR((W180*INDEX(Variables!$B$7:$D$7,IFERROR(MATCH(IF($B180="Robusta","Robusta",(IF($B180="","Arabica",$B180))&amp;" - "&amp;(IF($C180="","Commercial",$C180))),Variables!$B$1:$D$1,0),1))*BD180/365)+(L180/16.67*INDEX(Variables!$B$8:$D$8,IFERROR(MATCH(IF($B180="Robusta","Robusta",(IF($B180="","Arabica",$B180))&amp;" - "&amp;(IF($C180="","Commercial",$C180))),Variables!$B$1:$D$1,0),1))*BD180)+(W180*INDEX(Variables!$B$9:$D$9,IFERROR(MATCH(IF($B180="Robusta","Robusta",(IF($B180="","Arabica",$B180))&amp;" - "&amp;(IF($C180="","Commercial",$C180))),Variables!$B$1:$D$1,0),1))*BD180/365),""))</f>
        <v>-2.7034134740732836</v>
      </c>
      <c r="BJ180" s="44">
        <f t="shared" si="8"/>
        <v>-15</v>
      </c>
      <c r="BK180" s="44">
        <f>IF($AX180="Cancelled","",IFERROR(IF(BJ180="","",(W180*INDEX(Variables!$B$7:$D$7,IFERROR(MATCH(IF($B180="Robusta","Robusta",(IF($B180="","Arabica",$B180))&amp;" - "&amp;(IF($C180="","Commercial",$C180))),Variables!$B$1:$D$1,0),1))*(BJ180/365))+(W180*INDEX(Variables!$B$9:$D$9,IFERROR(MATCH(IF($B180="Robusta","Robusta",(IF($B180="","Arabica",$B180))&amp;" - "&amp;(IF($C180="","Commercial",$C180))),Variables!$B$1:$D$1,0),1))*(BJ180/365))+(INDEX(Variables!$B$8:$D$8,IFERROR(MATCH(IF($B180="Robusta","Robusta",(IF($B180="","Arabica",$B180))&amp;" - "&amp;(IF($C180="","Commercial",$C180))),Variables!$B$1:$D$1,0),1))*L180/16.67)),""))</f>
        <v>-12.275601055549625</v>
      </c>
    </row>
    <row r="181" spans="1:63">
      <c r="A181" s="13" t="s">
        <v>103</v>
      </c>
      <c r="B181" s="13" t="s">
        <v>104</v>
      </c>
      <c r="C181" s="13" t="s">
        <v>292</v>
      </c>
      <c r="D181" s="31">
        <v>45693</v>
      </c>
      <c r="E181" s="31">
        <v>45689</v>
      </c>
      <c r="F181" s="31">
        <v>45747</v>
      </c>
      <c r="G181" s="13">
        <v>3786669</v>
      </c>
      <c r="J181" s="13" t="s">
        <v>118</v>
      </c>
      <c r="K181" s="13" t="s">
        <v>686</v>
      </c>
      <c r="L181" s="13">
        <v>10</v>
      </c>
      <c r="M181" s="13">
        <v>0</v>
      </c>
      <c r="N181" s="13" t="s">
        <v>687</v>
      </c>
      <c r="O181" s="13" t="s">
        <v>304</v>
      </c>
      <c r="P181" s="13">
        <v>10010</v>
      </c>
      <c r="R181" s="13" t="s">
        <v>384</v>
      </c>
      <c r="S181" s="13" t="s">
        <v>463</v>
      </c>
      <c r="T181" s="13" t="s">
        <v>458</v>
      </c>
      <c r="U181" s="13" t="s">
        <v>125</v>
      </c>
      <c r="V181" s="13">
        <v>116.1</v>
      </c>
      <c r="W181" s="44">
        <f>IF($AX181="Cancelled","",IFERROR(((V181+INDEX(Variables!$B$6:$D$6,IFERROR(MATCH(IF($B181="Robusta","Robusta",(IF($B181="","Arabica",$B181))&amp;" - "&amp;(IF($C181="","Commercial",$C181))),Variables!$B$1:$D$1,0),1)))*22.0462)*(L181/16.67),""))</f>
        <v>5381.2830113977188</v>
      </c>
      <c r="X181" s="55" t="s">
        <v>39</v>
      </c>
      <c r="Y181" s="13" t="str">
        <f>IF($AX181="Cancelled","",IF(X181="","",IFERROR(IF(INDEX(Variables!$B$38:$B$47,MATCH(X181,Variables!$A$38:$A$47,0))="Yes","Yes","No"),"No")))</f>
        <v>No</v>
      </c>
      <c r="Z181" s="31"/>
      <c r="AB181" s="31">
        <v>45689.875</v>
      </c>
      <c r="AC181" s="13" t="str">
        <f t="shared" si="6"/>
        <v>Approved</v>
      </c>
      <c r="AF181" s="71">
        <f>AJ181-7</f>
        <v>45738</v>
      </c>
      <c r="AG181" s="36">
        <f>IF($AX181="Cancelled","",IFERROR(IF(F181="","",F181-Variables!$B$13),""))</f>
        <v>45732</v>
      </c>
      <c r="AH181" s="13">
        <f>IF($AX181="Cancelled","",IFERROR(IF(AB181="","",(AVERAGE(E181:F181)-AB181)-Variables!$B$14),""))</f>
        <v>-1.875</v>
      </c>
      <c r="AJ181" s="47">
        <v>45745</v>
      </c>
      <c r="AK181" s="14">
        <f>IF($AX181="Cancelled","",IFERROR(IF(AJ181="","",IF(AND(AB181="",AF181=""),"",IF(AF181&gt;AB181,AF181+Variables!$B$15+Variables!$B$16+Variables!$B$17-AJ181,AB181+Variables!$B$16+Variables!$B$17-AJ181))),""))</f>
        <v>8</v>
      </c>
      <c r="AL181" s="48" t="s">
        <v>114</v>
      </c>
      <c r="AM181" s="13" t="s">
        <v>168</v>
      </c>
      <c r="AN181" s="13" t="s">
        <v>805</v>
      </c>
      <c r="AP181" s="31">
        <v>45757</v>
      </c>
      <c r="AR181" s="13" t="s">
        <v>3255</v>
      </c>
      <c r="AS181" s="31">
        <v>45762</v>
      </c>
      <c r="AU181" s="31">
        <v>45764</v>
      </c>
      <c r="AV181" s="13" t="s">
        <v>865</v>
      </c>
      <c r="AW181" s="31">
        <v>45777</v>
      </c>
      <c r="AX181" s="13" t="str">
        <f>IF(ISNUMBER(SEARCH("cancel",#REF!)),"Cancelled",IF(AND(AS181&lt;&gt;"",AU181&lt;&gt;"",AW181&lt;&gt;""),"Closed","Open"))</f>
        <v>Closed</v>
      </c>
      <c r="AY181" s="15" t="str">
        <f t="shared" si="7"/>
        <v>All dates received</v>
      </c>
      <c r="BD181" s="13">
        <f>IF($AX181="Cancelled","",IFERROR(IF(OR(AS181="",AJ181=""),"",(AJ181+Variables!$B$18-AS181)),""))</f>
        <v>-2</v>
      </c>
      <c r="BE181" s="13">
        <f>IF($AX181="Cancelled","",IFERROR(IF(OR(AW181="",AS181=""),"",(AS181+Variables!$B$19)-AW181),""))</f>
        <v>-10</v>
      </c>
      <c r="BF181" s="44">
        <f>IF($AX181="Cancelled","",IFERROR(W181*INDEX(Variables!$B$7:$D$7,IFERROR(MATCH(IF($B181="Robusta","Robusta",(IF($B181="","Arabica",$B181))&amp;" - "&amp;(IF($C181="","Commercial",$C181))),Variables!$B$1:$D$1,0),1))*(BE181/365),""))</f>
        <v>-9.5067662300698625</v>
      </c>
      <c r="BG181" s="44">
        <f>IF($AX181="Cancelled","",IFERROR((W181*INDEX(Variables!$B$7:$D$7,IFERROR(MATCH(IF($B181="Robusta","Robusta",(IF($B181="","Arabica",$B181))&amp;" - "&amp;(IF($C181="","Commercial",$C181))),Variables!$B$1:$D$1,0),1))*IFERROR(IF(AB181="","",(AVERAGE(E181:F181)-AB181)-Variables!$B$14),"")/365)+(L181/16.67*INDEX(Variables!$B$8:$D$8,IFERROR(MATCH(IF($B181="Robusta","Robusta",(IF($B181="","Arabica",$B181))&amp;" - "&amp;(IF($C181="","Commercial",$C181))),Variables!$B$1:$D$1,0),1))*IFERROR(IF(AB181="","",(AVERAGE(E181:F181)-AB181)-Variables!$B$14),""))+(W181*INDEX(Variables!$B$9:$D$9,IFERROR(MATCH(IF($B181="Robusta","Robusta",(IF($B181="","Arabica",$B181))&amp;" - "&amp;(IF($C181="","Commercial",$C181))),Variables!$B$1:$D$1,0),1))*IFERROR(IF(AB181="","",(AVERAGE(E181:F181)-AB181)-Variables!$B$14),"")/365),""))</f>
        <v>-2.7429987737924222</v>
      </c>
      <c r="BH181" s="44">
        <f>IF($AX181="Cancelled","",IFERROR((W181*INDEX(Variables!$B$7:$D$7,IFERROR(MATCH(IF($B181="Robusta","Robusta",(IF($B181="","Arabica",$B181))&amp;" - "&amp;(IF($C181="","Commercial",$C181))),Variables!$B$1:$D$1,0),1))*AK181/365)+(L181/16.67*INDEX(Variables!$B$8:$D$8,IFERROR(MATCH(IF($B181="Robusta","Robusta",(IF($B181="","Arabica",$B181))&amp;" - "&amp;(IF($C181="","Commercial",$C181))),Variables!$B$1:$D$1,0),1))*AK181)+(W181*INDEX(Variables!$B$9:$D$9,IFERROR(MATCH(IF($B181="Robusta","Robusta",(IF($B181="","Arabica",$B181))&amp;" - "&amp;(IF($C181="","Commercial",$C181))),Variables!$B$1:$D$1,0),1))*AK181/365),""))</f>
        <v>11.70346143484767</v>
      </c>
      <c r="BI181" s="44">
        <f>IF($AX181="Cancelled","",IFERROR((W181*INDEX(Variables!$B$7:$D$7,IFERROR(MATCH(IF($B181="Robusta","Robusta",(IF($B181="","Arabica",$B181))&amp;" - "&amp;(IF($C181="","Commercial",$C181))),Variables!$B$1:$D$1,0),1))*BD181/365)+(L181/16.67*INDEX(Variables!$B$8:$D$8,IFERROR(MATCH(IF($B181="Robusta","Robusta",(IF($B181="","Arabica",$B181))&amp;" - "&amp;(IF($C181="","Commercial",$C181))),Variables!$B$1:$D$1,0),1))*BD181)+(W181*INDEX(Variables!$B$9:$D$9,IFERROR(MATCH(IF($B181="Robusta","Robusta",(IF($B181="","Arabica",$B181))&amp;" - "&amp;(IF($C181="","Commercial",$C181))),Variables!$B$1:$D$1,0),1))*BD181/365),""))</f>
        <v>-2.9258653587119174</v>
      </c>
      <c r="BJ181" s="44">
        <f t="shared" si="8"/>
        <v>-15</v>
      </c>
      <c r="BK181" s="44">
        <f>IF($AX181="Cancelled","",IFERROR(IF(BJ181="","",(W181*INDEX(Variables!$B$7:$D$7,IFERROR(MATCH(IF($B181="Robusta","Robusta",(IF($B181="","Arabica",$B181))&amp;" - "&amp;(IF($C181="","Commercial",$C181))),Variables!$B$1:$D$1,0),1))*(BJ181/365))+(W181*INDEX(Variables!$B$9:$D$9,IFERROR(MATCH(IF($B181="Robusta","Robusta",(IF($B181="","Arabica",$B181))&amp;" - "&amp;(IF($C181="","Commercial",$C181))),Variables!$B$1:$D$1,0),1))*(BJ181/365))+(INDEX(Variables!$B$8:$D$8,IFERROR(MATCH(IF($B181="Robusta","Robusta",(IF($B181="","Arabica",$B181))&amp;" - "&amp;(IF($C181="","Commercial",$C181))),Variables!$B$1:$D$1,0),1))*L181/16.67)),""))</f>
        <v>-13.943990190339381</v>
      </c>
    </row>
    <row r="182" spans="1:63">
      <c r="A182" s="13" t="s">
        <v>103</v>
      </c>
      <c r="B182" s="13" t="s">
        <v>104</v>
      </c>
      <c r="C182" s="13" t="s">
        <v>292</v>
      </c>
      <c r="D182" s="31">
        <v>45693</v>
      </c>
      <c r="E182" s="31">
        <v>45689</v>
      </c>
      <c r="F182" s="31">
        <v>45747</v>
      </c>
      <c r="G182" s="13">
        <v>3786670</v>
      </c>
      <c r="J182" s="13" t="s">
        <v>118</v>
      </c>
      <c r="K182" s="13" t="s">
        <v>688</v>
      </c>
      <c r="L182" s="13">
        <v>2</v>
      </c>
      <c r="M182" s="13">
        <v>0</v>
      </c>
      <c r="N182" s="13" t="s">
        <v>689</v>
      </c>
      <c r="P182" s="13">
        <v>10020</v>
      </c>
      <c r="R182" s="13" t="s">
        <v>384</v>
      </c>
      <c r="S182" s="13" t="s">
        <v>463</v>
      </c>
      <c r="T182" s="13" t="s">
        <v>458</v>
      </c>
      <c r="U182" s="13" t="s">
        <v>125</v>
      </c>
      <c r="V182" s="13">
        <v>136.1</v>
      </c>
      <c r="W182" s="44">
        <f>IF($AX182="Cancelled","",IFERROR(((V182+INDEX(Variables!$B$6:$D$6,IFERROR(MATCH(IF($B182="Robusta","Robusta",(IF($B182="","Arabica",$B182))&amp;" - "&amp;(IF($C182="","Commercial",$C182))),Variables!$B$1:$D$1,0),1)))*22.0462)*(L182/16.67),""))</f>
        <v>1129.1569022195558</v>
      </c>
      <c r="X182" s="55" t="s">
        <v>39</v>
      </c>
      <c r="Y182" s="13" t="str">
        <f>IF($AX182="Cancelled","",IF(X182="","",IFERROR(IF(INDEX(Variables!$B$38:$B$47,MATCH(X182,Variables!$A$38:$A$47,0))="Yes","Yes","No"),"No")))</f>
        <v>No</v>
      </c>
      <c r="Z182" s="31"/>
      <c r="AB182" s="31">
        <v>45689.875</v>
      </c>
      <c r="AC182" s="13" t="str">
        <f t="shared" si="6"/>
        <v>Approved</v>
      </c>
      <c r="AF182" s="71">
        <f>AJ182-7</f>
        <v>45738</v>
      </c>
      <c r="AG182" s="36">
        <f>IF($AX182="Cancelled","",IFERROR(IF(F182="","",F182-Variables!$B$13),""))</f>
        <v>45732</v>
      </c>
      <c r="AH182" s="13">
        <f>IF($AX182="Cancelled","",IFERROR(IF(AB182="","",(AVERAGE(E182:F182)-AB182)-Variables!$B$14),""))</f>
        <v>-1.875</v>
      </c>
      <c r="AJ182" s="47">
        <v>45745</v>
      </c>
      <c r="AK182" s="14">
        <f>IF($AX182="Cancelled","",IFERROR(IF(AJ182="","",IF(AND(AB182="",AF182=""),"",IF(AF182&gt;AB182,AF182+Variables!$B$15+Variables!$B$16+Variables!$B$17-AJ182,AB182+Variables!$B$16+Variables!$B$17-AJ182))),""))</f>
        <v>8</v>
      </c>
      <c r="AL182" s="48" t="s">
        <v>114</v>
      </c>
      <c r="AM182" s="13" t="s">
        <v>168</v>
      </c>
      <c r="AN182" s="13" t="s">
        <v>805</v>
      </c>
      <c r="AP182" s="31">
        <v>45757</v>
      </c>
      <c r="AR182" s="13" t="s">
        <v>3255</v>
      </c>
      <c r="AS182" s="31">
        <v>45762</v>
      </c>
      <c r="AU182" s="31">
        <v>45764</v>
      </c>
      <c r="AV182" s="13" t="s">
        <v>865</v>
      </c>
      <c r="AW182" s="31">
        <v>45777</v>
      </c>
      <c r="AX182" s="13" t="str">
        <f>IF(ISNUMBER(SEARCH("cancel",#REF!)),"Cancelled",IF(AND(AS182&lt;&gt;"",AU182&lt;&gt;"",AW182&lt;&gt;""),"Closed","Open"))</f>
        <v>Closed</v>
      </c>
      <c r="AY182" s="15" t="str">
        <f t="shared" si="7"/>
        <v>All dates received</v>
      </c>
      <c r="BD182" s="13">
        <f>IF($AX182="Cancelled","",IFERROR(IF(OR(AS182="",AJ182=""),"",(AJ182+Variables!$B$18-AS182)),""))</f>
        <v>-2</v>
      </c>
      <c r="BE182" s="13">
        <f>IF($AX182="Cancelled","",IFERROR(IF(OR(AW182="",AS182=""),"",(AS182+Variables!$B$19)-AW182),""))</f>
        <v>-10</v>
      </c>
      <c r="BF182" s="44">
        <f>IF($AX182="Cancelled","",IFERROR(W182*INDEX(Variables!$B$7:$D$7,IFERROR(MATCH(IF($B182="Robusta","Robusta",(IF($B182="","Arabica",$B182))&amp;" - "&amp;(IF($C182="","Commercial",$C182))),Variables!$B$1:$D$1,0),1))*(BE182/365),""))</f>
        <v>-1.9948088000082698</v>
      </c>
      <c r="BG182" s="44">
        <f>IF($AX182="Cancelled","",IFERROR((W182*INDEX(Variables!$B$7:$D$7,IFERROR(MATCH(IF($B182="Robusta","Robusta",(IF($B182="","Arabica",$B182))&amp;" - "&amp;(IF($C182="","Commercial",$C182))),Variables!$B$1:$D$1,0),1))*IFERROR(IF(AB182="","",(AVERAGE(E182:F182)-AB182)-Variables!$B$14),"")/365)+(L182/16.67*INDEX(Variables!$B$8:$D$8,IFERROR(MATCH(IF($B182="Robusta","Robusta",(IF($B182="","Arabica",$B182))&amp;" - "&amp;(IF($C182="","Commercial",$C182))),Variables!$B$1:$D$1,0),1))*IFERROR(IF(AB182="","",(AVERAGE(E182:F182)-AB182)-Variables!$B$14),""))+(W182*INDEX(Variables!$B$9:$D$9,IFERROR(MATCH(IF($B182="Robusta","Robusta",(IF($B182="","Arabica",$B182))&amp;" - "&amp;(IF($C182="","Commercial",$C182))),Variables!$B$1:$D$1,0),1))*IFERROR(IF(AB182="","",(AVERAGE(E182:F182)-AB182)-Variables!$B$14),"")/365),""))</f>
        <v>-0.56634857534135419</v>
      </c>
      <c r="BH182" s="44">
        <f>IF($AX182="Cancelled","",IFERROR((W182*INDEX(Variables!$B$7:$D$7,IFERROR(MATCH(IF($B182="Robusta","Robusta",(IF($B182="","Arabica",$B182))&amp;" - "&amp;(IF($C182="","Commercial",$C182))),Variables!$B$1:$D$1,0),1))*AK182/365)+(L182/16.67*INDEX(Variables!$B$8:$D$8,IFERROR(MATCH(IF($B182="Robusta","Robusta",(IF($B182="","Arabica",$B182))&amp;" - "&amp;(IF($C182="","Commercial",$C182))),Variables!$B$1:$D$1,0),1))*AK182)+(W182*INDEX(Variables!$B$9:$D$9,IFERROR(MATCH(IF($B182="Robusta","Robusta",(IF($B182="","Arabica",$B182))&amp;" - "&amp;(IF($C182="","Commercial",$C182))),Variables!$B$1:$D$1,0),1))*AK182/365),""))</f>
        <v>2.4164205881231116</v>
      </c>
      <c r="BI182" s="44">
        <f>IF($AX182="Cancelled","",IFERROR((W182*INDEX(Variables!$B$7:$D$7,IFERROR(MATCH(IF($B182="Robusta","Robusta",(IF($B182="","Arabica",$B182))&amp;" - "&amp;(IF($C182="","Commercial",$C182))),Variables!$B$1:$D$1,0),1))*BD182/365)+(L182/16.67*INDEX(Variables!$B$8:$D$8,IFERROR(MATCH(IF($B182="Robusta","Robusta",(IF($B182="","Arabica",$B182))&amp;" - "&amp;(IF($C182="","Commercial",$C182))),Variables!$B$1:$D$1,0),1))*BD182)+(W182*INDEX(Variables!$B$9:$D$9,IFERROR(MATCH(IF($B182="Robusta","Robusta",(IF($B182="","Arabica",$B182))&amp;" - "&amp;(IF($C182="","Commercial",$C182))),Variables!$B$1:$D$1,0),1))*BD182/365),""))</f>
        <v>-0.60410514703077789</v>
      </c>
      <c r="BJ182" s="44">
        <f t="shared" si="8"/>
        <v>-15</v>
      </c>
      <c r="BK182" s="44">
        <f>IF($AX182="Cancelled","",IFERROR(IF(BJ182="","",(W182*INDEX(Variables!$B$7:$D$7,IFERROR(MATCH(IF($B182="Robusta","Robusta",(IF($B182="","Arabica",$B182))&amp;" - "&amp;(IF($C182="","Commercial",$C182))),Variables!$B$1:$D$1,0),1))*(BJ182/365))+(W182*INDEX(Variables!$B$9:$D$9,IFERROR(MATCH(IF($B182="Robusta","Robusta",(IF($B182="","Arabica",$B182))&amp;" - "&amp;(IF($C182="","Commercial",$C182))),Variables!$B$1:$D$1,0),1))*(BJ182/365))+(INDEX(Variables!$B$8:$D$8,IFERROR(MATCH(IF($B182="Robusta","Robusta",(IF($B182="","Arabica",$B182))&amp;" - "&amp;(IF($C182="","Commercial",$C182))),Variables!$B$1:$D$1,0),1))*L182/16.67)),""))</f>
        <v>-2.9307886027308339</v>
      </c>
    </row>
    <row r="183" spans="1:63">
      <c r="A183" s="13" t="s">
        <v>103</v>
      </c>
      <c r="B183" s="13" t="s">
        <v>104</v>
      </c>
      <c r="C183" s="13" t="s">
        <v>292</v>
      </c>
      <c r="D183" s="31">
        <v>45693</v>
      </c>
      <c r="E183" s="31">
        <v>45689</v>
      </c>
      <c r="F183" s="31">
        <v>45747</v>
      </c>
      <c r="G183" s="13">
        <v>3786671</v>
      </c>
      <c r="J183" s="13" t="s">
        <v>118</v>
      </c>
      <c r="K183" s="13" t="s">
        <v>690</v>
      </c>
      <c r="L183" s="13">
        <v>2</v>
      </c>
      <c r="M183" s="13">
        <v>0</v>
      </c>
      <c r="N183" s="13" t="s">
        <v>691</v>
      </c>
      <c r="O183" s="13" t="s">
        <v>304</v>
      </c>
      <c r="P183" s="13">
        <v>10010</v>
      </c>
      <c r="R183" s="13" t="s">
        <v>384</v>
      </c>
      <c r="S183" s="13" t="s">
        <v>463</v>
      </c>
      <c r="T183" s="13" t="s">
        <v>458</v>
      </c>
      <c r="U183" s="13" t="s">
        <v>125</v>
      </c>
      <c r="V183" s="13">
        <v>91.1</v>
      </c>
      <c r="W183" s="44">
        <f>IF($AX183="Cancelled","",IFERROR(((V183+INDEX(Variables!$B$6:$D$6,IFERROR(MATCH(IF($B183="Robusta","Robusta",(IF($B183="","Arabica",$B183))&amp;" - "&amp;(IF($C183="","Commercial",$C183))),Variables!$B$1:$D$1,0),1)))*22.0462)*(L183/16.67),""))</f>
        <v>1010.131227354529</v>
      </c>
      <c r="X183" s="55" t="s">
        <v>39</v>
      </c>
      <c r="Y183" s="13" t="str">
        <f>IF($AX183="Cancelled","",IF(X183="","",IFERROR(IF(INDEX(Variables!$B$38:$B$47,MATCH(X183,Variables!$A$38:$A$47,0))="Yes","Yes","No"),"No")))</f>
        <v>No</v>
      </c>
      <c r="Z183" s="31"/>
      <c r="AB183" s="31">
        <v>45689.875</v>
      </c>
      <c r="AC183" s="13" t="str">
        <f t="shared" si="6"/>
        <v>Approved</v>
      </c>
      <c r="AF183" s="71">
        <f>AJ183-7</f>
        <v>45738</v>
      </c>
      <c r="AG183" s="36">
        <f>IF($AX183="Cancelled","",IFERROR(IF(F183="","",F183-Variables!$B$13),""))</f>
        <v>45732</v>
      </c>
      <c r="AH183" s="13">
        <f>IF($AX183="Cancelled","",IFERROR(IF(AB183="","",(AVERAGE(E183:F183)-AB183)-Variables!$B$14),""))</f>
        <v>-1.875</v>
      </c>
      <c r="AJ183" s="47">
        <v>45745</v>
      </c>
      <c r="AK183" s="14">
        <f>IF($AX183="Cancelled","",IFERROR(IF(AJ183="","",IF(AND(AB183="",AF183=""),"",IF(AF183&gt;AB183,AF183+Variables!$B$15+Variables!$B$16+Variables!$B$17-AJ183,AB183+Variables!$B$16+Variables!$B$17-AJ183))),""))</f>
        <v>8</v>
      </c>
      <c r="AL183" s="48" t="s">
        <v>114</v>
      </c>
      <c r="AM183" s="13" t="s">
        <v>168</v>
      </c>
      <c r="AN183" s="13" t="s">
        <v>805</v>
      </c>
      <c r="AP183" s="31">
        <v>45757</v>
      </c>
      <c r="AR183" s="13" t="s">
        <v>3255</v>
      </c>
      <c r="AS183" s="31">
        <v>45762</v>
      </c>
      <c r="AU183" s="31">
        <v>45764</v>
      </c>
      <c r="AV183" s="13" t="s">
        <v>865</v>
      </c>
      <c r="AW183" s="31">
        <v>45777</v>
      </c>
      <c r="AX183" s="13" t="str">
        <f>IF(ISNUMBER(SEARCH("cancel",#REF!)),"Cancelled",IF(AND(AS183&lt;&gt;"",AU183&lt;&gt;"",AW183&lt;&gt;""),"Closed","Open"))</f>
        <v>Closed</v>
      </c>
      <c r="AY183" s="15" t="str">
        <f t="shared" si="7"/>
        <v>All dates received</v>
      </c>
      <c r="BD183" s="13">
        <f>IF($AX183="Cancelled","",IFERROR(IF(OR(AS183="",AJ183=""),"",(AJ183+Variables!$B$18-AS183)),""))</f>
        <v>-2</v>
      </c>
      <c r="BE183" s="13">
        <f>IF($AX183="Cancelled","",IFERROR(IF(OR(AW183="",AS183=""),"",(AS183+Variables!$B$19)-AW183),""))</f>
        <v>-10</v>
      </c>
      <c r="BF183" s="44">
        <f>IF($AX183="Cancelled","",IFERROR(W183*INDEX(Variables!$B$7:$D$7,IFERROR(MATCH(IF($B183="Robusta","Robusta",(IF($B183="","Arabica",$B183))&amp;" - "&amp;(IF($C183="","Commercial",$C183))),Variables!$B$1:$D$1,0),1))*(BE183/365),""))</f>
        <v>-1.7845338035211016</v>
      </c>
      <c r="BG183" s="44">
        <f>IF($AX183="Cancelled","",IFERROR((W183*INDEX(Variables!$B$7:$D$7,IFERROR(MATCH(IF($B183="Robusta","Robusta",(IF($B183="","Arabica",$B183))&amp;" - "&amp;(IF($C183="","Commercial",$C183))),Variables!$B$1:$D$1,0),1))*IFERROR(IF(AB183="","",(AVERAGE(E183:F183)-AB183)-Variables!$B$14),"")/365)+(L183/16.67*INDEX(Variables!$B$8:$D$8,IFERROR(MATCH(IF($B183="Robusta","Robusta",(IF($B183="","Arabica",$B183))&amp;" - "&amp;(IF($C183="","Commercial",$C183))),Variables!$B$1:$D$1,0),1))*IFERROR(IF(AB183="","",(AVERAGE(E183:F183)-AB183)-Variables!$B$14),""))+(W183*INDEX(Variables!$B$9:$D$9,IFERROR(MATCH(IF($B183="Robusta","Robusta",(IF($B183="","Arabica",$B183))&amp;" - "&amp;(IF($C183="","Commercial",$C183))),Variables!$B$1:$D$1,0),1))*IFERROR(IF(AB183="","",(AVERAGE(E183:F183)-AB183)-Variables!$B$14),"")/365),""))</f>
        <v>-0.52641372902989736</v>
      </c>
      <c r="BH183" s="44">
        <f>IF($AX183="Cancelled","",IFERROR((W183*INDEX(Variables!$B$7:$D$7,IFERROR(MATCH(IF($B183="Robusta","Robusta",(IF($B183="","Arabica",$B183))&amp;" - "&amp;(IF($C183="","Commercial",$C183))),Variables!$B$1:$D$1,0),1))*AK183/365)+(L183/16.67*INDEX(Variables!$B$8:$D$8,IFERROR(MATCH(IF($B183="Robusta","Robusta",(IF($B183="","Arabica",$B183))&amp;" - "&amp;(IF($C183="","Commercial",$C183))),Variables!$B$1:$D$1,0),1))*AK183)+(W183*INDEX(Variables!$B$9:$D$9,IFERROR(MATCH(IF($B183="Robusta","Robusta",(IF($B183="","Arabica",$B183))&amp;" - "&amp;(IF($C183="","Commercial",$C183))),Variables!$B$1:$D$1,0),1))*AK183/365),""))</f>
        <v>2.2460319105275626</v>
      </c>
      <c r="BI183" s="44">
        <f>IF($AX183="Cancelled","",IFERROR((W183*INDEX(Variables!$B$7:$D$7,IFERROR(MATCH(IF($B183="Robusta","Robusta",(IF($B183="","Arabica",$B183))&amp;" - "&amp;(IF($C183="","Commercial",$C183))),Variables!$B$1:$D$1,0),1))*BD183/365)+(L183/16.67*INDEX(Variables!$B$8:$D$8,IFERROR(MATCH(IF($B183="Robusta","Robusta",(IF($B183="","Arabica",$B183))&amp;" - "&amp;(IF($C183="","Commercial",$C183))),Variables!$B$1:$D$1,0),1))*BD183)+(W183*INDEX(Variables!$B$9:$D$9,IFERROR(MATCH(IF($B183="Robusta","Robusta",(IF($B183="","Arabica",$B183))&amp;" - "&amp;(IF($C183="","Commercial",$C183))),Variables!$B$1:$D$1,0),1))*BD183/365),""))</f>
        <v>-0.56150797763189064</v>
      </c>
      <c r="BJ183" s="44">
        <f t="shared" si="8"/>
        <v>-15</v>
      </c>
      <c r="BK183" s="44">
        <f>IF($AX183="Cancelled","",IFERROR(IF(BJ183="","",(W183*INDEX(Variables!$B$7:$D$7,IFERROR(MATCH(IF($B183="Robusta","Robusta",(IF($B183="","Arabica",$B183))&amp;" - "&amp;(IF($C183="","Commercial",$C183))),Variables!$B$1:$D$1,0),1))*(BJ183/365))+(W183*INDEX(Variables!$B$9:$D$9,IFERROR(MATCH(IF($B183="Robusta","Robusta",(IF($B183="","Arabica",$B183))&amp;" - "&amp;(IF($C183="","Commercial",$C183))),Variables!$B$1:$D$1,0),1))*(BJ183/365))+(INDEX(Variables!$B$8:$D$8,IFERROR(MATCH(IF($B183="Robusta","Robusta",(IF($B183="","Arabica",$B183))&amp;" - "&amp;(IF($C183="","Commercial",$C183))),Variables!$B$1:$D$1,0),1))*L183/16.67)),""))</f>
        <v>-2.6113098322391792</v>
      </c>
    </row>
    <row r="184" spans="1:63">
      <c r="A184" s="13" t="s">
        <v>103</v>
      </c>
      <c r="B184" s="13" t="s">
        <v>104</v>
      </c>
      <c r="C184" s="13" t="s">
        <v>292</v>
      </c>
      <c r="D184" s="31">
        <v>45693</v>
      </c>
      <c r="E184" s="31">
        <v>45689</v>
      </c>
      <c r="F184" s="31">
        <v>45747</v>
      </c>
      <c r="G184" s="13">
        <v>3786672</v>
      </c>
      <c r="J184" s="13" t="s">
        <v>118</v>
      </c>
      <c r="K184" s="13" t="s">
        <v>692</v>
      </c>
      <c r="L184" s="13">
        <v>2</v>
      </c>
      <c r="M184" s="13">
        <v>0</v>
      </c>
      <c r="N184" s="13" t="s">
        <v>693</v>
      </c>
      <c r="O184" s="13" t="s">
        <v>576</v>
      </c>
      <c r="P184" s="13">
        <v>10020</v>
      </c>
      <c r="R184" s="13" t="s">
        <v>384</v>
      </c>
      <c r="S184" s="13" t="s">
        <v>463</v>
      </c>
      <c r="T184" s="13" t="s">
        <v>458</v>
      </c>
      <c r="U184" s="13" t="s">
        <v>125</v>
      </c>
      <c r="V184" s="13">
        <v>131.1</v>
      </c>
      <c r="W184" s="44">
        <f>IF($AX184="Cancelled","",IFERROR(((V184+INDEX(Variables!$B$6:$D$6,IFERROR(MATCH(IF($B184="Robusta","Robusta",(IF($B184="","Arabica",$B184))&amp;" - "&amp;(IF($C184="","Commercial",$C184))),Variables!$B$1:$D$1,0),1)))*22.0462)*(L184/16.67),""))</f>
        <v>1115.9318272345529</v>
      </c>
      <c r="X184" s="55" t="s">
        <v>39</v>
      </c>
      <c r="Y184" s="13" t="str">
        <f>IF($AX184="Cancelled","",IF(X184="","",IFERROR(IF(INDEX(Variables!$B$38:$B$47,MATCH(X184,Variables!$A$38:$A$47,0))="Yes","Yes","No"),"No")))</f>
        <v>No</v>
      </c>
      <c r="Z184" s="31"/>
      <c r="AB184" s="31">
        <v>45689.875</v>
      </c>
      <c r="AC184" s="13" t="str">
        <f t="shared" si="6"/>
        <v>Approved</v>
      </c>
      <c r="AF184" s="71">
        <f>AJ184-7</f>
        <v>45738</v>
      </c>
      <c r="AG184" s="36">
        <f>IF($AX184="Cancelled","",IFERROR(IF(F184="","",F184-Variables!$B$13),""))</f>
        <v>45732</v>
      </c>
      <c r="AH184" s="13">
        <f>IF($AX184="Cancelled","",IFERROR(IF(AB184="","",(AVERAGE(E184:F184)-AB184)-Variables!$B$14),""))</f>
        <v>-1.875</v>
      </c>
      <c r="AJ184" s="47">
        <v>45745</v>
      </c>
      <c r="AK184" s="14">
        <f>IF($AX184="Cancelled","",IFERROR(IF(AJ184="","",IF(AND(AB184="",AF184=""),"",IF(AF184&gt;AB184,AF184+Variables!$B$15+Variables!$B$16+Variables!$B$17-AJ184,AB184+Variables!$B$16+Variables!$B$17-AJ184))),""))</f>
        <v>8</v>
      </c>
      <c r="AL184" s="48" t="s">
        <v>114</v>
      </c>
      <c r="AM184" s="13" t="s">
        <v>168</v>
      </c>
      <c r="AN184" s="13" t="s">
        <v>805</v>
      </c>
      <c r="AP184" s="31">
        <v>45757</v>
      </c>
      <c r="AR184" s="13" t="s">
        <v>3255</v>
      </c>
      <c r="AS184" s="31">
        <v>45762</v>
      </c>
      <c r="AU184" s="31">
        <v>45764</v>
      </c>
      <c r="AV184" s="13" t="s">
        <v>865</v>
      </c>
      <c r="AW184" s="31">
        <v>45777</v>
      </c>
      <c r="AX184" s="13" t="str">
        <f>IF(ISNUMBER(SEARCH("cancel",#REF!)),"Cancelled",IF(AND(AS184&lt;&gt;"",AU184&lt;&gt;"",AW184&lt;&gt;""),"Closed","Open"))</f>
        <v>Closed</v>
      </c>
      <c r="AY184" s="15" t="str">
        <f t="shared" si="7"/>
        <v>All dates received</v>
      </c>
      <c r="BD184" s="13">
        <f>IF($AX184="Cancelled","",IFERROR(IF(OR(AS184="",AJ184=""),"",(AJ184+Variables!$B$18-AS184)),""))</f>
        <v>-2</v>
      </c>
      <c r="BE184" s="13">
        <f>IF($AX184="Cancelled","",IFERROR(IF(OR(AW184="",AS184=""),"",(AS184+Variables!$B$19)-AW184),""))</f>
        <v>-10</v>
      </c>
      <c r="BF184" s="44">
        <f>IF($AX184="Cancelled","",IFERROR(W184*INDEX(Variables!$B$7:$D$7,IFERROR(MATCH(IF($B184="Robusta","Robusta",(IF($B184="","Arabica",$B184))&amp;" - "&amp;(IF($C184="","Commercial",$C184))),Variables!$B$1:$D$1,0),1))*(BE184/365),""))</f>
        <v>-1.9714449115096955</v>
      </c>
      <c r="BG184" s="44">
        <f>IF($AX184="Cancelled","",IFERROR((W184*INDEX(Variables!$B$7:$D$7,IFERROR(MATCH(IF($B184="Robusta","Robusta",(IF($B184="","Arabica",$B184))&amp;" - "&amp;(IF($C184="","Commercial",$C184))),Variables!$B$1:$D$1,0),1))*IFERROR(IF(AB184="","",(AVERAGE(E184:F184)-AB184)-Variables!$B$14),"")/365)+(L184/16.67*INDEX(Variables!$B$8:$D$8,IFERROR(MATCH(IF($B184="Robusta","Robusta",(IF($B184="","Arabica",$B184))&amp;" - "&amp;(IF($C184="","Commercial",$C184))),Variables!$B$1:$D$1,0),1))*IFERROR(IF(AB184="","",(AVERAGE(E184:F184)-AB184)-Variables!$B$14),""))+(W184*INDEX(Variables!$B$9:$D$9,IFERROR(MATCH(IF($B184="Robusta","Robusta",(IF($B184="","Arabica",$B184))&amp;" - "&amp;(IF($C184="","Commercial",$C184))),Variables!$B$1:$D$1,0),1))*IFERROR(IF(AB184="","",(AVERAGE(E184:F184)-AB184)-Variables!$B$14),"")/365),""))</f>
        <v>-0.56191137019563675</v>
      </c>
      <c r="BH184" s="44">
        <f>IF($AX184="Cancelled","",IFERROR((W184*INDEX(Variables!$B$7:$D$7,IFERROR(MATCH(IF($B184="Robusta","Robusta",(IF($B184="","Arabica",$B184))&amp;" - "&amp;(IF($C184="","Commercial",$C184))),Variables!$B$1:$D$1,0),1))*AK184/365)+(L184/16.67*INDEX(Variables!$B$8:$D$8,IFERROR(MATCH(IF($B184="Robusta","Robusta",(IF($B184="","Arabica",$B184))&amp;" - "&amp;(IF($C184="","Commercial",$C184))),Variables!$B$1:$D$1,0),1))*AK184)+(W184*INDEX(Variables!$B$9:$D$9,IFERROR(MATCH(IF($B184="Robusta","Robusta",(IF($B184="","Arabica",$B184))&amp;" - "&amp;(IF($C184="","Commercial",$C184))),Variables!$B$1:$D$1,0),1))*AK184/365),""))</f>
        <v>2.397488512834717</v>
      </c>
      <c r="BI184" s="44">
        <f>IF($AX184="Cancelled","",IFERROR((W184*INDEX(Variables!$B$7:$D$7,IFERROR(MATCH(IF($B184="Robusta","Robusta",(IF($B184="","Arabica",$B184))&amp;" - "&amp;(IF($C184="","Commercial",$C184))),Variables!$B$1:$D$1,0),1))*BD184/365)+(L184/16.67*INDEX(Variables!$B$8:$D$8,IFERROR(MATCH(IF($B184="Robusta","Robusta",(IF($B184="","Arabica",$B184))&amp;" - "&amp;(IF($C184="","Commercial",$C184))),Variables!$B$1:$D$1,0),1))*BD184)+(W184*INDEX(Variables!$B$9:$D$9,IFERROR(MATCH(IF($B184="Robusta","Robusta",(IF($B184="","Arabica",$B184))&amp;" - "&amp;(IF($C184="","Commercial",$C184))),Variables!$B$1:$D$1,0),1))*BD184/365),""))</f>
        <v>-0.59937212820867924</v>
      </c>
      <c r="BJ184" s="44">
        <f t="shared" si="8"/>
        <v>-15</v>
      </c>
      <c r="BK184" s="44">
        <f>IF($AX184="Cancelled","",IFERROR(IF(BJ184="","",(W184*INDEX(Variables!$B$7:$D$7,IFERROR(MATCH(IF($B184="Robusta","Robusta",(IF($B184="","Arabica",$B184))&amp;" - "&amp;(IF($C184="","Commercial",$C184))),Variables!$B$1:$D$1,0),1))*(BJ184/365))+(W184*INDEX(Variables!$B$9:$D$9,IFERROR(MATCH(IF($B184="Robusta","Robusta",(IF($B184="","Arabica",$B184))&amp;" - "&amp;(IF($C184="","Commercial",$C184))),Variables!$B$1:$D$1,0),1))*(BJ184/365))+(INDEX(Variables!$B$8:$D$8,IFERROR(MATCH(IF($B184="Robusta","Robusta",(IF($B184="","Arabica",$B184))&amp;" - "&amp;(IF($C184="","Commercial",$C184))),Variables!$B$1:$D$1,0),1))*L184/16.67)),""))</f>
        <v>-2.8952909615650944</v>
      </c>
    </row>
    <row r="185" spans="1:63">
      <c r="A185" s="13" t="s">
        <v>103</v>
      </c>
      <c r="B185" s="13" t="s">
        <v>104</v>
      </c>
      <c r="C185" s="13" t="s">
        <v>105</v>
      </c>
      <c r="D185" s="31">
        <v>45693</v>
      </c>
      <c r="E185" s="31">
        <v>45717</v>
      </c>
      <c r="F185" s="31">
        <v>45747</v>
      </c>
      <c r="G185" s="13">
        <v>3786673</v>
      </c>
      <c r="H185" s="13" t="s">
        <v>694</v>
      </c>
      <c r="J185" s="13" t="s">
        <v>118</v>
      </c>
      <c r="K185" s="13">
        <v>5211</v>
      </c>
      <c r="L185" s="13">
        <v>1000</v>
      </c>
      <c r="M185" s="13">
        <v>3</v>
      </c>
      <c r="N185" s="13" t="s">
        <v>695</v>
      </c>
      <c r="O185" s="13" t="s">
        <v>428</v>
      </c>
      <c r="P185" s="13">
        <v>10310</v>
      </c>
      <c r="Q185" s="59" t="s">
        <v>270</v>
      </c>
      <c r="R185" s="13" t="s">
        <v>271</v>
      </c>
      <c r="S185" s="13" t="s">
        <v>276</v>
      </c>
      <c r="T185" s="13" t="s">
        <v>112</v>
      </c>
      <c r="U185" s="13" t="s">
        <v>113</v>
      </c>
      <c r="V185" s="13">
        <v>58.7</v>
      </c>
      <c r="W185" s="44">
        <f>IF($AX185="Cancelled","",IFERROR(((V185+INDEX(Variables!$B$6:$D$6,IFERROR(MATCH(IF($B185="Robusta","Robusta",(IF($B185="","Arabica",$B185))&amp;" - "&amp;(IF($C185="","Commercial",$C185))),Variables!$B$1:$D$1,0),1)))*22.0462)*(L185/16.67),""))</f>
        <v>462216.37072585477</v>
      </c>
      <c r="X185" s="55" t="s">
        <v>37</v>
      </c>
      <c r="Y185" s="13" t="str">
        <f>IF($AX185="Cancelled","",IF(X185="","",IFERROR(IF(INDEX(Variables!$B$38:$B$47,MATCH(X185,Variables!$A$38:$A$47,0))="Yes","Yes","No"),"No")))</f>
        <v>Yes</v>
      </c>
      <c r="Z185" s="58">
        <v>45714</v>
      </c>
      <c r="AB185" s="31">
        <v>45726</v>
      </c>
      <c r="AC185" s="13" t="str">
        <f t="shared" si="6"/>
        <v>Approved</v>
      </c>
      <c r="AF185" s="71">
        <v>45735</v>
      </c>
      <c r="AG185" s="35">
        <f>IF($AX185="Cancelled","",IFERROR(IF(F185="","",F185-Variables!$B$13),""))</f>
        <v>45732</v>
      </c>
      <c r="AH185" s="13">
        <f>IF($AX185="Cancelled","",IFERROR(IF(AB185="","",(AVERAGE(E185:F185)-AB185)-Variables!$B$14),""))</f>
        <v>-24</v>
      </c>
      <c r="AJ185" s="47">
        <v>45737</v>
      </c>
      <c r="AK185" s="14">
        <f>IF($AX185="Cancelled","",IFERROR(IF(AJ185="","",IF(AND(AB185="",AF185=""),"",IF(AF185&gt;AB185,AF185+Variables!$B$15+Variables!$B$16+Variables!$B$17-AJ185,AB185+Variables!$B$16+Variables!$B$17-AJ185))),""))</f>
        <v>13</v>
      </c>
      <c r="AL185" s="48" t="s">
        <v>114</v>
      </c>
      <c r="AM185" s="13" t="s">
        <v>134</v>
      </c>
      <c r="AN185" s="13" t="s">
        <v>696</v>
      </c>
      <c r="AP185" s="31">
        <v>45758</v>
      </c>
      <c r="AR185" s="13" t="s">
        <v>697</v>
      </c>
      <c r="AS185" s="31">
        <v>45758</v>
      </c>
      <c r="AU185" s="31">
        <v>45764</v>
      </c>
      <c r="AV185" s="13" t="s">
        <v>865</v>
      </c>
      <c r="AW185" s="31">
        <v>45764</v>
      </c>
      <c r="AX185" s="13" t="str">
        <f>IF(ISNUMBER(SEARCH("cancel",#REF!)),"Cancelled",IF(AND(AS185&lt;&gt;"",AU185&lt;&gt;"",AW185&lt;&gt;""),"Closed","Open"))</f>
        <v>Closed</v>
      </c>
      <c r="AY185" s="15" t="str">
        <f t="shared" si="7"/>
        <v>All dates received</v>
      </c>
      <c r="BD185" s="13">
        <f>IF($AX185="Cancelled","",IFERROR(IF(OR(AS185="",AJ185=""),"",(AJ185+Variables!$B$18-AS185)),""))</f>
        <v>-6</v>
      </c>
      <c r="BE185" s="13">
        <f>IF($AX185="Cancelled","",IFERROR(IF(OR(AW185="",AS185=""),"",(AS185+Variables!$B$19)-AW185),""))</f>
        <v>-1</v>
      </c>
      <c r="BF185" s="44">
        <f>IF($AX185="Cancelled","",IFERROR(W185*INDEX(Variables!$B$7:$D$7,IFERROR(MATCH(IF($B185="Robusta","Robusta",(IF($B185="","Arabica",$B185))&amp;" - "&amp;(IF($C185="","Commercial",$C185))),Variables!$B$1:$D$1,0),1))*(BE185/365),""))</f>
        <v>-81.656790302517024</v>
      </c>
      <c r="BG185" s="44">
        <f>IF($AX185="Cancelled","",IFERROR((W185*INDEX(Variables!$B$7:$D$7,IFERROR(MATCH(IF($B185="Robusta","Robusta",(IF($B185="","Arabica",$B185))&amp;" - "&amp;(IF($C185="","Commercial",$C185))),Variables!$B$1:$D$1,0),1))*IFERROR(IF(AB185="","",(AVERAGE(E185:F185)-AB185)-Variables!$B$14),"")/365)+(L185/16.67*INDEX(Variables!$B$8:$D$8,IFERROR(MATCH(IF($B185="Robusta","Robusta",(IF($B185="","Arabica",$B185))&amp;" - "&amp;(IF($C185="","Commercial",$C185))),Variables!$B$1:$D$1,0),1))*IFERROR(IF(AB185="","",(AVERAGE(E185:F185)-AB185)-Variables!$B$14),""))+(W185*INDEX(Variables!$B$9:$D$9,IFERROR(MATCH(IF($B185="Robusta","Robusta",(IF($B185="","Arabica",$B185))&amp;" - "&amp;(IF($C185="","Commercial",$C185))),Variables!$B$1:$D$1,0),1))*IFERROR(IF(AB185="","",(AVERAGE(E185:F185)-AB185)-Variables!$B$14),"")/365),""))</f>
        <v>-3185.0280939881504</v>
      </c>
      <c r="BH185" s="44">
        <f>IF($AX185="Cancelled","",IFERROR((W185*INDEX(Variables!$B$7:$D$7,IFERROR(MATCH(IF($B185="Robusta","Robusta",(IF($B185="","Arabica",$B185))&amp;" - "&amp;(IF($C185="","Commercial",$C185))),Variables!$B$1:$D$1,0),1))*AK185/365)+(L185/16.67*INDEX(Variables!$B$8:$D$8,IFERROR(MATCH(IF($B185="Robusta","Robusta",(IF($B185="","Arabica",$B185))&amp;" - "&amp;(IF($C185="","Commercial",$C185))),Variables!$B$1:$D$1,0),1))*AK185)+(W185*INDEX(Variables!$B$9:$D$9,IFERROR(MATCH(IF($B185="Robusta","Robusta",(IF($B185="","Arabica",$B185))&amp;" - "&amp;(IF($C185="","Commercial",$C185))),Variables!$B$1:$D$1,0),1))*AK185/365),""))</f>
        <v>1725.2235509102482</v>
      </c>
      <c r="BI185" s="44">
        <f>IF($AX185="Cancelled","",IFERROR((W185*INDEX(Variables!$B$7:$D$7,IFERROR(MATCH(IF($B185="Robusta","Robusta",(IF($B185="","Arabica",$B185))&amp;" - "&amp;(IF($C185="","Commercial",$C185))),Variables!$B$1:$D$1,0),1))*BD185/365)+(L185/16.67*INDEX(Variables!$B$8:$D$8,IFERROR(MATCH(IF($B185="Robusta","Robusta",(IF($B185="","Arabica",$B185))&amp;" - "&amp;(IF($C185="","Commercial",$C185))),Variables!$B$1:$D$1,0),1))*BD185)+(W185*INDEX(Variables!$B$9:$D$9,IFERROR(MATCH(IF($B185="Robusta","Robusta",(IF($B185="","Arabica",$B185))&amp;" - "&amp;(IF($C185="","Commercial",$C185))),Variables!$B$1:$D$1,0),1))*BD185/365),""))</f>
        <v>-796.25702349703761</v>
      </c>
      <c r="BJ185" s="44">
        <f t="shared" si="8"/>
        <v>-11</v>
      </c>
      <c r="BK185" s="44">
        <f>IF($AX185="Cancelled","",IFERROR(IF(BJ185="","",(W185*INDEX(Variables!$B$7:$D$7,IFERROR(MATCH(IF($B185="Robusta","Robusta",(IF($B185="","Arabica",$B185))&amp;" - "&amp;(IF($C185="","Commercial",$C185))),Variables!$B$1:$D$1,0),1))*(BJ185/365))+(W185*INDEX(Variables!$B$9:$D$9,IFERROR(MATCH(IF($B185="Robusta","Robusta",(IF($B185="","Arabica",$B185))&amp;" - "&amp;(IF($C185="","Commercial",$C185))),Variables!$B$1:$D$1,0),1))*(BJ185/365))+(INDEX(Variables!$B$8:$D$8,IFERROR(MATCH(IF($B185="Robusta","Robusta",(IF($B185="","Arabica",$B185))&amp;" - "&amp;(IF($C185="","Commercial",$C185))),Variables!$B$1:$D$1,0),1))*L185/16.67)),""))</f>
        <v>-859.80454307790217</v>
      </c>
    </row>
    <row r="186" spans="1:63">
      <c r="A186" s="13" t="s">
        <v>103</v>
      </c>
      <c r="B186" s="13" t="s">
        <v>104</v>
      </c>
      <c r="C186" s="13" t="s">
        <v>292</v>
      </c>
      <c r="D186" s="31">
        <v>45693</v>
      </c>
      <c r="E186" s="31">
        <v>45689</v>
      </c>
      <c r="F186" s="31">
        <v>45716</v>
      </c>
      <c r="G186" s="13">
        <v>3786674</v>
      </c>
      <c r="J186" s="13" t="s">
        <v>592</v>
      </c>
      <c r="K186" s="13" t="s">
        <v>698</v>
      </c>
      <c r="L186" s="13">
        <v>5</v>
      </c>
      <c r="M186" s="13">
        <v>0</v>
      </c>
      <c r="N186" s="13" t="s">
        <v>699</v>
      </c>
      <c r="O186" s="13" t="s">
        <v>576</v>
      </c>
      <c r="P186" s="13">
        <v>10020</v>
      </c>
      <c r="R186" s="13" t="s">
        <v>384</v>
      </c>
      <c r="S186" s="13" t="s">
        <v>595</v>
      </c>
      <c r="T186" s="13" t="s">
        <v>596</v>
      </c>
      <c r="U186" s="13" t="s">
        <v>125</v>
      </c>
      <c r="V186" s="13">
        <v>74.099999999999994</v>
      </c>
      <c r="W186" s="44">
        <f>IF($AX186="Cancelled","",IFERROR(((V186+INDEX(Variables!$B$6:$D$6,IFERROR(MATCH(IF($B186="Robusta","Robusta",(IF($B186="","Arabica",$B186))&amp;" - "&amp;(IF($C186="","Commercial",$C186))),Variables!$B$1:$D$1,0),1)))*22.0462)*(L186/16.67),""))</f>
        <v>2412.9149310137968</v>
      </c>
      <c r="X186" s="55" t="s">
        <v>39</v>
      </c>
      <c r="Y186" s="13" t="str">
        <f>IF($AX186="Cancelled","",IF(X186="","",IFERROR(IF(INDEX(Variables!$B$38:$B$47,MATCH(X186,Variables!$A$38:$A$47,0))="Yes","Yes","No"),"No")))</f>
        <v>No</v>
      </c>
      <c r="Z186" s="31"/>
      <c r="AB186" s="31">
        <v>45672.875</v>
      </c>
      <c r="AC186" s="13" t="str">
        <f t="shared" si="6"/>
        <v>Approved</v>
      </c>
      <c r="AF186" s="71">
        <f>AJ186-7</f>
        <v>45713</v>
      </c>
      <c r="AG186" s="36">
        <f>IF($AX186="Cancelled","",IFERROR(IF(F186="","",F186-Variables!$B$13),""))</f>
        <v>45701</v>
      </c>
      <c r="AH186" s="13">
        <f>IF($AX186="Cancelled","",IFERROR(IF(AB186="","",(AVERAGE(E186:F186)-AB186)-Variables!$B$14),""))</f>
        <v>-0.375</v>
      </c>
      <c r="AJ186" s="47">
        <v>45720</v>
      </c>
      <c r="AK186" s="14">
        <f>IF($AX186="Cancelled","",IFERROR(IF(AJ186="","",IF(AND(AB186="",AF186=""),"",IF(AF186&gt;AB186,AF186+Variables!$B$15+Variables!$B$16+Variables!$B$17-AJ186,AB186+Variables!$B$16+Variables!$B$17-AJ186))),""))</f>
        <v>8</v>
      </c>
      <c r="AL186" s="48" t="s">
        <v>114</v>
      </c>
      <c r="AM186" s="13" t="s">
        <v>115</v>
      </c>
      <c r="AN186" s="13" t="s">
        <v>126</v>
      </c>
      <c r="AP186" s="31">
        <v>45360</v>
      </c>
      <c r="AR186" s="13">
        <v>250897783</v>
      </c>
      <c r="AS186" s="31">
        <v>45365</v>
      </c>
      <c r="AU186" s="31">
        <v>45734</v>
      </c>
      <c r="AV186" s="13" t="s">
        <v>865</v>
      </c>
      <c r="AW186" s="31">
        <v>45742</v>
      </c>
      <c r="AX186" s="13" t="str">
        <f>IF(ISNUMBER(SEARCH("cancel",#REF!)),"Cancelled",IF(AND(AS186&lt;&gt;"",AU186&lt;&gt;"",AW186&lt;&gt;""),"Closed","Open"))</f>
        <v>Closed</v>
      </c>
      <c r="AY186" s="15" t="str">
        <f t="shared" si="7"/>
        <v>All dates received</v>
      </c>
      <c r="BD186" s="13">
        <f>IF($AX186="Cancelled","",IFERROR(IF(OR(AS186="",AJ186=""),"",(AJ186+Variables!$B$18-AS186)),""))</f>
        <v>370</v>
      </c>
      <c r="BE186" s="13">
        <f>IF($AX186="Cancelled","",IFERROR(IF(OR(AW186="",AS186=""),"",(AS186+Variables!$B$19)-AW186),""))</f>
        <v>-372</v>
      </c>
      <c r="BF186" s="44">
        <f>IF($AX186="Cancelled","",IFERROR(W186*INDEX(Variables!$B$7:$D$7,IFERROR(MATCH(IF($B186="Robusta","Robusta",(IF($B186="","Arabica",$B186))&amp;" - "&amp;(IF($C186="","Commercial",$C186))),Variables!$B$1:$D$1,0),1))*(BE186/365),""))</f>
        <v>-158.57398218421326</v>
      </c>
      <c r="BG186" s="44">
        <f>IF($AX186="Cancelled","",IFERROR((W186*INDEX(Variables!$B$7:$D$7,IFERROR(MATCH(IF($B186="Robusta","Robusta",(IF($B186="","Arabica",$B186))&amp;" - "&amp;(IF($C186="","Commercial",$C186))),Variables!$B$1:$D$1,0),1))*IFERROR(IF(AB186="","",(AVERAGE(E186:F186)-AB186)-Variables!$B$14),"")/365)+(L186/16.67*INDEX(Variables!$B$8:$D$8,IFERROR(MATCH(IF($B186="Robusta","Robusta",(IF($B186="","Arabica",$B186))&amp;" - "&amp;(IF($C186="","Commercial",$C186))),Variables!$B$1:$D$1,0),1))*IFERROR(IF(AB186="","",(AVERAGE(E186:F186)-AB186)-Variables!$B$14),""))+(W186*INDEX(Variables!$B$9:$D$9,IFERROR(MATCH(IF($B186="Robusta","Robusta",(IF($B186="","Arabica",$B186))&amp;" - "&amp;(IF($C186="","Commercial",$C186))),Variables!$B$1:$D$1,0),1))*IFERROR(IF(AB186="","",(AVERAGE(E186:F186)-AB186)-Variables!$B$14),"")/365),""))</f>
        <v>-0.25566361576722907</v>
      </c>
      <c r="BH186" s="44">
        <f>IF($AX186="Cancelled","",IFERROR((W186*INDEX(Variables!$B$7:$D$7,IFERROR(MATCH(IF($B186="Robusta","Robusta",(IF($B186="","Arabica",$B186))&amp;" - "&amp;(IF($C186="","Commercial",$C186))),Variables!$B$1:$D$1,0),1))*AK186/365)+(L186/16.67*INDEX(Variables!$B$8:$D$8,IFERROR(MATCH(IF($B186="Robusta","Robusta",(IF($B186="","Arabica",$B186))&amp;" - "&amp;(IF($C186="","Commercial",$C186))),Variables!$B$1:$D$1,0),1))*AK186)+(W186*INDEX(Variables!$B$9:$D$9,IFERROR(MATCH(IF($B186="Robusta","Robusta",(IF($B186="","Arabica",$B186))&amp;" - "&amp;(IF($C186="","Commercial",$C186))),Variables!$B$1:$D$1,0),1))*AK186/365),""))</f>
        <v>5.4541571363675532</v>
      </c>
      <c r="BI186" s="44">
        <f>IF($AX186="Cancelled","",IFERROR((W186*INDEX(Variables!$B$7:$D$7,IFERROR(MATCH(IF($B186="Robusta","Robusta",(IF($B186="","Arabica",$B186))&amp;" - "&amp;(IF($C186="","Commercial",$C186))),Variables!$B$1:$D$1,0),1))*BD186/365)+(L186/16.67*INDEX(Variables!$B$8:$D$8,IFERROR(MATCH(IF($B186="Robusta","Robusta",(IF($B186="","Arabica",$B186))&amp;" - "&amp;(IF($C186="","Commercial",$C186))),Variables!$B$1:$D$1,0),1))*BD186)+(W186*INDEX(Variables!$B$9:$D$9,IFERROR(MATCH(IF($B186="Robusta","Robusta",(IF($B186="","Arabica",$B186))&amp;" - "&amp;(IF($C186="","Commercial",$C186))),Variables!$B$1:$D$1,0),1))*BD186/365),""))</f>
        <v>252.25476755699933</v>
      </c>
      <c r="BJ186" s="44">
        <f t="shared" si="8"/>
        <v>351</v>
      </c>
      <c r="BK186" s="44">
        <f>IF($AX186="Cancelled","",IFERROR(IF(BJ186="","",(W186*INDEX(Variables!$B$7:$D$7,IFERROR(MATCH(IF($B186="Robusta","Robusta",(IF($B186="","Arabica",$B186))&amp;" - "&amp;(IF($C186="","Commercial",$C186))),Variables!$B$1:$D$1,0),1))*(BJ186/365))+(W186*INDEX(Variables!$B$9:$D$9,IFERROR(MATCH(IF($B186="Robusta","Robusta",(IF($B186="","Arabica",$B186))&amp;" - "&amp;(IF($C186="","Commercial",$C186))),Variables!$B$1:$D$1,0),1))*(BJ186/365))+(INDEX(Variables!$B$8:$D$8,IFERROR(MATCH(IF($B186="Robusta","Robusta",(IF($B186="","Arabica",$B186))&amp;" - "&amp;(IF($C186="","Commercial",$C186))),Variables!$B$1:$D$1,0),1))*L186/16.67)),""))</f>
        <v>151.80114435812641</v>
      </c>
    </row>
    <row r="187" spans="1:63">
      <c r="A187" s="13" t="s">
        <v>103</v>
      </c>
      <c r="B187" s="13" t="s">
        <v>104</v>
      </c>
      <c r="C187" s="13" t="s">
        <v>292</v>
      </c>
      <c r="D187" s="31">
        <v>45695</v>
      </c>
      <c r="E187" s="31">
        <v>45698</v>
      </c>
      <c r="F187" s="31">
        <v>45716</v>
      </c>
      <c r="G187" s="13">
        <v>3786675</v>
      </c>
      <c r="J187" s="13" t="s">
        <v>550</v>
      </c>
      <c r="K187" s="13" t="s">
        <v>700</v>
      </c>
      <c r="L187" s="13">
        <v>50</v>
      </c>
      <c r="M187" s="13">
        <v>1</v>
      </c>
      <c r="N187" s="13" t="s">
        <v>701</v>
      </c>
      <c r="O187" s="13" t="s">
        <v>576</v>
      </c>
      <c r="P187" s="13">
        <v>10020</v>
      </c>
      <c r="R187" s="13" t="s">
        <v>239</v>
      </c>
      <c r="S187" s="13" t="s">
        <v>283</v>
      </c>
      <c r="T187" s="13" t="s">
        <v>112</v>
      </c>
      <c r="U187" s="13" t="s">
        <v>113</v>
      </c>
      <c r="V187" s="13">
        <v>122.1</v>
      </c>
      <c r="W187" s="44">
        <f>IF($AX187="Cancelled","",IFERROR(((V187+INDEX(Variables!$B$6:$D$6,IFERROR(MATCH(IF($B187="Robusta","Robusta",(IF($B187="","Arabica",$B187))&amp;" - "&amp;(IF($C187="","Commercial",$C187))),Variables!$B$1:$D$1,0),1)))*22.0462)*(L187/16.67),""))</f>
        <v>27303.167306538686</v>
      </c>
      <c r="X187" s="55" t="s">
        <v>39</v>
      </c>
      <c r="Y187" s="13" t="str">
        <f>IF($AX187="Cancelled","",IF(X187="","",IFERROR(IF(INDEX(Variables!$B$38:$B$47,MATCH(X187,Variables!$A$38:$A$47,0))="Yes","Yes","No"),"No")))</f>
        <v>No</v>
      </c>
      <c r="Z187" s="31"/>
      <c r="AB187" s="31">
        <v>45672.875</v>
      </c>
      <c r="AC187" s="13" t="str">
        <f t="shared" si="6"/>
        <v>Approved</v>
      </c>
      <c r="AF187" s="71">
        <f>AJ187-7</f>
        <v>45715</v>
      </c>
      <c r="AG187" s="36">
        <f>IF($AX187="Cancelled","",IFERROR(IF(F187="","",F187-Variables!$B$13),""))</f>
        <v>45701</v>
      </c>
      <c r="AH187" s="13">
        <f>IF($AX187="Cancelled","",IFERROR(IF(AB187="","",(AVERAGE(E187:F187)-AB187)-Variables!$B$14),""))</f>
        <v>4.125</v>
      </c>
      <c r="AJ187" s="47">
        <v>45722</v>
      </c>
      <c r="AK187" s="14">
        <f>IF($AX187="Cancelled","",IFERROR(IF(AJ187="","",IF(AND(AB187="",AF187=""),"",IF(AF187&gt;AB187,AF187+Variables!$B$15+Variables!$B$16+Variables!$B$17-AJ187,AB187+Variables!$B$16+Variables!$B$17-AJ187))),""))</f>
        <v>8</v>
      </c>
      <c r="AL187" s="48" t="s">
        <v>114</v>
      </c>
      <c r="AM187" s="13" t="s">
        <v>115</v>
      </c>
      <c r="AN187" s="13" t="s">
        <v>1045</v>
      </c>
      <c r="AP187" s="31">
        <v>45728</v>
      </c>
      <c r="AR187" s="13">
        <v>250963916</v>
      </c>
      <c r="AS187" s="31">
        <v>45733</v>
      </c>
      <c r="AU187" s="31">
        <v>45734</v>
      </c>
      <c r="AV187" s="13" t="s">
        <v>865</v>
      </c>
      <c r="AW187" s="31">
        <v>45377</v>
      </c>
      <c r="AX187" s="13" t="str">
        <f>IF(ISNUMBER(SEARCH("cancel",#REF!)),"Cancelled",IF(AND(AS187&lt;&gt;"",AU187&lt;&gt;"",AW187&lt;&gt;""),"Closed","Open"))</f>
        <v>Closed</v>
      </c>
      <c r="AY187" s="15" t="str">
        <f t="shared" si="7"/>
        <v>All dates received</v>
      </c>
      <c r="BD187" s="13">
        <f>IF($AX187="Cancelled","",IFERROR(IF(OR(AS187="",AJ187=""),"",(AJ187+Variables!$B$18-AS187)),""))</f>
        <v>4</v>
      </c>
      <c r="BE187" s="13">
        <f>IF($AX187="Cancelled","",IFERROR(IF(OR(AW187="",AS187=""),"",(AS187+Variables!$B$19)-AW187),""))</f>
        <v>361</v>
      </c>
      <c r="BF187" s="44">
        <f>IF($AX187="Cancelled","",IFERROR(W187*INDEX(Variables!$B$7:$D$7,IFERROR(MATCH(IF($B187="Robusta","Robusta",(IF($B187="","Arabica",$B187))&amp;" - "&amp;(IF($C187="","Commercial",$C187))),Variables!$B$1:$D$1,0),1))*(BE187/365),""))</f>
        <v>1741.2743957715663</v>
      </c>
      <c r="BG187" s="44">
        <f>IF($AX187="Cancelled","",IFERROR((W187*INDEX(Variables!$B$7:$D$7,IFERROR(MATCH(IF($B187="Robusta","Robusta",(IF($B187="","Arabica",$B187))&amp;" - "&amp;(IF($C187="","Commercial",$C187))),Variables!$B$1:$D$1,0),1))*IFERROR(IF(AB187="","",(AVERAGE(E187:F187)-AB187)-Variables!$B$14),"")/365)+(L187/16.67*INDEX(Variables!$B$8:$D$8,IFERROR(MATCH(IF($B187="Robusta","Robusta",(IF($B187="","Arabica",$B187))&amp;" - "&amp;(IF($C187="","Commercial",$C187))),Variables!$B$1:$D$1,0),1))*IFERROR(IF(AB187="","",(AVERAGE(E187:F187)-AB187)-Variables!$B$14),""))+(W187*INDEX(Variables!$B$9:$D$9,IFERROR(MATCH(IF($B187="Robusta","Robusta",(IF($B187="","Arabica",$B187))&amp;" - "&amp;(IF($C187="","Commercial",$C187))),Variables!$B$1:$D$1,0),1))*IFERROR(IF(AB187="","",(AVERAGE(E187:F187)-AB187)-Variables!$B$14),"")/365),""))</f>
        <v>30.465842051334</v>
      </c>
      <c r="BH187" s="44">
        <f>IF($AX187="Cancelled","",IFERROR((W187*INDEX(Variables!$B$7:$D$7,IFERROR(MATCH(IF($B187="Robusta","Robusta",(IF($B187="","Arabica",$B187))&amp;" - "&amp;(IF($C187="","Commercial",$C187))),Variables!$B$1:$D$1,0),1))*AK187/365)+(L187/16.67*INDEX(Variables!$B$8:$D$8,IFERROR(MATCH(IF($B187="Robusta","Robusta",(IF($B187="","Arabica",$B187))&amp;" - "&amp;(IF($C187="","Commercial",$C187))),Variables!$B$1:$D$1,0),1))*AK187)+(W187*INDEX(Variables!$B$9:$D$9,IFERROR(MATCH(IF($B187="Robusta","Robusta",(IF($B187="","Arabica",$B187))&amp;" - "&amp;(IF($C187="","Commercial",$C187))),Variables!$B$1:$D$1,0),1))*AK187/365),""))</f>
        <v>59.085269432890179</v>
      </c>
      <c r="BI187" s="44">
        <f>IF($AX187="Cancelled","",IFERROR((W187*INDEX(Variables!$B$7:$D$7,IFERROR(MATCH(IF($B187="Robusta","Robusta",(IF($B187="","Arabica",$B187))&amp;" - "&amp;(IF($C187="","Commercial",$C187))),Variables!$B$1:$D$1,0),1))*BD187/365)+(L187/16.67*INDEX(Variables!$B$8:$D$8,IFERROR(MATCH(IF($B187="Robusta","Robusta",(IF($B187="","Arabica",$B187))&amp;" - "&amp;(IF($C187="","Commercial",$C187))),Variables!$B$1:$D$1,0),1))*BD187)+(W187*INDEX(Variables!$B$9:$D$9,IFERROR(MATCH(IF($B187="Robusta","Robusta",(IF($B187="","Arabica",$B187))&amp;" - "&amp;(IF($C187="","Commercial",$C187))),Variables!$B$1:$D$1,0),1))*BD187/365),""))</f>
        <v>29.54263471644509</v>
      </c>
      <c r="BJ187" s="44">
        <f t="shared" si="8"/>
        <v>-17</v>
      </c>
      <c r="BK187" s="44">
        <f>IF($AX187="Cancelled","",IFERROR(IF(BJ187="","",(W187*INDEX(Variables!$B$7:$D$7,IFERROR(MATCH(IF($B187="Robusta","Robusta",(IF($B187="","Arabica",$B187))&amp;" - "&amp;(IF($C187="","Commercial",$C187))),Variables!$B$1:$D$1,0),1))*(BJ187/365))+(W187*INDEX(Variables!$B$9:$D$9,IFERROR(MATCH(IF($B187="Robusta","Robusta",(IF($B187="","Arabica",$B187))&amp;" - "&amp;(IF($C187="","Commercial",$C187))),Variables!$B$1:$D$1,0),1))*(BJ187/365))+(INDEX(Variables!$B$8:$D$8,IFERROR(MATCH(IF($B187="Robusta","Robusta",(IF($B187="","Arabica",$B187))&amp;" - "&amp;(IF($C187="","Commercial",$C187))),Variables!$B$1:$D$1,0),1))*L187/16.67)),""))</f>
        <v>-80.556197544891631</v>
      </c>
    </row>
    <row r="188" spans="1:63">
      <c r="A188" s="13" t="s">
        <v>103</v>
      </c>
      <c r="B188" s="13" t="s">
        <v>104</v>
      </c>
      <c r="C188" s="13" t="s">
        <v>292</v>
      </c>
      <c r="D188" s="31">
        <v>45695</v>
      </c>
      <c r="E188" s="31">
        <v>45698</v>
      </c>
      <c r="F188" s="31">
        <v>45716</v>
      </c>
      <c r="G188" s="13">
        <v>3786676</v>
      </c>
      <c r="J188" s="13" t="s">
        <v>550</v>
      </c>
      <c r="K188" s="13" t="s">
        <v>702</v>
      </c>
      <c r="L188" s="13">
        <v>25</v>
      </c>
      <c r="M188" s="13">
        <v>0</v>
      </c>
      <c r="N188" s="13" t="s">
        <v>703</v>
      </c>
      <c r="O188" s="13" t="s">
        <v>304</v>
      </c>
      <c r="P188" s="13">
        <v>10010</v>
      </c>
      <c r="R188" s="13" t="s">
        <v>239</v>
      </c>
      <c r="S188" s="13" t="s">
        <v>283</v>
      </c>
      <c r="T188" s="13" t="s">
        <v>112</v>
      </c>
      <c r="U188" s="13" t="s">
        <v>113</v>
      </c>
      <c r="V188" s="13">
        <v>69.25</v>
      </c>
      <c r="W188" s="44">
        <f>IF($AX188="Cancelled","",IFERROR(((V188+INDEX(Variables!$B$6:$D$6,IFERROR(MATCH(IF($B188="Robusta","Robusta",(IF($B188="","Arabica",$B188))&amp;" - "&amp;(IF($C188="","Commercial",$C188))),Variables!$B$1:$D$1,0),1)))*22.0462)*(L188/16.67),""))</f>
        <v>11904.220620875823</v>
      </c>
      <c r="X188" s="55" t="s">
        <v>39</v>
      </c>
      <c r="Y188" s="13" t="str">
        <f>IF($AX188="Cancelled","",IF(X188="","",IFERROR(IF(INDEX(Variables!$B$38:$B$47,MATCH(X188,Variables!$A$38:$A$47,0))="Yes","Yes","No"),"No")))</f>
        <v>No</v>
      </c>
      <c r="Z188" s="31"/>
      <c r="AB188" s="31">
        <v>45672.875</v>
      </c>
      <c r="AC188" s="13" t="str">
        <f t="shared" si="6"/>
        <v>Approved</v>
      </c>
      <c r="AF188" s="71">
        <f>AJ188-7</f>
        <v>45715</v>
      </c>
      <c r="AG188" s="36">
        <f>IF($AX188="Cancelled","",IFERROR(IF(F188="","",F188-Variables!$B$13),""))</f>
        <v>45701</v>
      </c>
      <c r="AH188" s="13">
        <f>IF($AX188="Cancelled","",IFERROR(IF(AB188="","",(AVERAGE(E188:F188)-AB188)-Variables!$B$14),""))</f>
        <v>4.125</v>
      </c>
      <c r="AJ188" s="47">
        <v>45722</v>
      </c>
      <c r="AK188" s="14">
        <f>IF($AX188="Cancelled","",IFERROR(IF(AJ188="","",IF(AND(AB188="",AF188=""),"",IF(AF188&gt;AB188,AF188+Variables!$B$15+Variables!$B$16+Variables!$B$17-AJ188,AB188+Variables!$B$16+Variables!$B$17-AJ188))),""))</f>
        <v>8</v>
      </c>
      <c r="AL188" s="48" t="s">
        <v>114</v>
      </c>
      <c r="AM188" s="13" t="s">
        <v>115</v>
      </c>
      <c r="AN188" s="13" t="s">
        <v>1045</v>
      </c>
      <c r="AP188" s="31">
        <v>45728</v>
      </c>
      <c r="AR188" s="13">
        <v>250963916</v>
      </c>
      <c r="AS188" s="31">
        <v>45733</v>
      </c>
      <c r="AU188" s="31">
        <v>45734</v>
      </c>
      <c r="AV188" s="13" t="s">
        <v>865</v>
      </c>
      <c r="AW188" s="31">
        <v>45377</v>
      </c>
      <c r="AX188" s="13" t="str">
        <f>IF(ISNUMBER(SEARCH("cancel",#REF!)),"Cancelled",IF(AND(AS188&lt;&gt;"",AU188&lt;&gt;"",AW188&lt;&gt;""),"Closed","Open"))</f>
        <v>Closed</v>
      </c>
      <c r="AY188" s="15" t="str">
        <f t="shared" si="7"/>
        <v>All dates received</v>
      </c>
      <c r="BD188" s="13">
        <f>IF($AX188="Cancelled","",IFERROR(IF(OR(AS188="",AJ188=""),"",(AJ188+Variables!$B$18-AS188)),""))</f>
        <v>4</v>
      </c>
      <c r="BE188" s="13">
        <f>IF($AX188="Cancelled","",IFERROR(IF(OR(AW188="",AS188=""),"",(AS188+Variables!$B$19)-AW188),""))</f>
        <v>361</v>
      </c>
      <c r="BF188" s="44">
        <f>IF($AX188="Cancelled","",IFERROR(W188*INDEX(Variables!$B$7:$D$7,IFERROR(MATCH(IF($B188="Robusta","Robusta",(IF($B188="","Arabica",$B188))&amp;" - "&amp;(IF($C188="","Commercial",$C188))),Variables!$B$1:$D$1,0),1))*(BE188/365),""))</f>
        <v>759.19816686552747</v>
      </c>
      <c r="BG188" s="44">
        <f>IF($AX188="Cancelled","",IFERROR((W188*INDEX(Variables!$B$7:$D$7,IFERROR(MATCH(IF($B188="Robusta","Robusta",(IF($B188="","Arabica",$B188))&amp;" - "&amp;(IF($C188="","Commercial",$C188))),Variables!$B$1:$D$1,0),1))*IFERROR(IF(AB188="","",(AVERAGE(E188:F188)-AB188)-Variables!$B$14),"")/365)+(L188/16.67*INDEX(Variables!$B$8:$D$8,IFERROR(MATCH(IF($B188="Robusta","Robusta",(IF($B188="","Arabica",$B188))&amp;" - "&amp;(IF($C188="","Commercial",$C188))),Variables!$B$1:$D$1,0),1))*IFERROR(IF(AB188="","",(AVERAGE(E188:F188)-AB188)-Variables!$B$14),""))+(W188*INDEX(Variables!$B$9:$D$9,IFERROR(MATCH(IF($B188="Robusta","Robusta",(IF($B188="","Arabica",$B188))&amp;" - "&amp;(IF($C188="","Commercial",$C188))),Variables!$B$1:$D$1,0),1))*IFERROR(IF(AB188="","",(AVERAGE(E188:F188)-AB188)-Variables!$B$14),"")/365),""))</f>
        <v>13.943136419935586</v>
      </c>
      <c r="BH188" s="44">
        <f>IF($AX188="Cancelled","",IFERROR((W188*INDEX(Variables!$B$7:$D$7,IFERROR(MATCH(IF($B188="Robusta","Robusta",(IF($B188="","Arabica",$B188))&amp;" - "&amp;(IF($C188="","Commercial",$C188))),Variables!$B$1:$D$1,0),1))*AK188/365)+(L188/16.67*INDEX(Variables!$B$8:$D$8,IFERROR(MATCH(IF($B188="Robusta","Robusta",(IF($B188="","Arabica",$B188))&amp;" - "&amp;(IF($C188="","Commercial",$C188))),Variables!$B$1:$D$1,0),1))*AK188)+(W188*INDEX(Variables!$B$9:$D$9,IFERROR(MATCH(IF($B188="Robusta","Robusta",(IF($B188="","Arabica",$B188))&amp;" - "&amp;(IF($C188="","Commercial",$C188))),Variables!$B$1:$D$1,0),1))*AK188/365),""))</f>
        <v>27.041234268965987</v>
      </c>
      <c r="BI188" s="44">
        <f>IF($AX188="Cancelled","",IFERROR((W188*INDEX(Variables!$B$7:$D$7,IFERROR(MATCH(IF($B188="Robusta","Robusta",(IF($B188="","Arabica",$B188))&amp;" - "&amp;(IF($C188="","Commercial",$C188))),Variables!$B$1:$D$1,0),1))*BD188/365)+(L188/16.67*INDEX(Variables!$B$8:$D$8,IFERROR(MATCH(IF($B188="Robusta","Robusta",(IF($B188="","Arabica",$B188))&amp;" - "&amp;(IF($C188="","Commercial",$C188))),Variables!$B$1:$D$1,0),1))*BD188)+(W188*INDEX(Variables!$B$9:$D$9,IFERROR(MATCH(IF($B188="Robusta","Robusta",(IF($B188="","Arabica",$B188))&amp;" - "&amp;(IF($C188="","Commercial",$C188))),Variables!$B$1:$D$1,0),1))*BD188/365),""))</f>
        <v>13.520617134482993</v>
      </c>
      <c r="BJ188" s="44">
        <f t="shared" si="8"/>
        <v>-17</v>
      </c>
      <c r="BK188" s="44">
        <f>IF($AX188="Cancelled","",IFERROR(IF(BJ188="","",(W188*INDEX(Variables!$B$7:$D$7,IFERROR(MATCH(IF($B188="Robusta","Robusta",(IF($B188="","Arabica",$B188))&amp;" - "&amp;(IF($C188="","Commercial",$C188))),Variables!$B$1:$D$1,0),1))*(BJ188/365))+(W188*INDEX(Variables!$B$9:$D$9,IFERROR(MATCH(IF($B188="Robusta","Robusta",(IF($B188="","Arabica",$B188))&amp;" - "&amp;(IF($C188="","Commercial",$C188))),Variables!$B$1:$D$1,0),1))*(BJ188/365))+(INDEX(Variables!$B$8:$D$8,IFERROR(MATCH(IF($B188="Robusta","Robusta",(IF($B188="","Arabica",$B188))&amp;" - "&amp;(IF($C188="","Commercial",$C188))),Variables!$B$1:$D$1,0),1))*L188/16.67)),""))</f>
        <v>-34.962622821552721</v>
      </c>
    </row>
    <row r="189" spans="1:63">
      <c r="A189" s="13" t="s">
        <v>103</v>
      </c>
      <c r="B189" s="13" t="s">
        <v>104</v>
      </c>
      <c r="C189" s="13" t="s">
        <v>292</v>
      </c>
      <c r="D189" s="31">
        <v>45695</v>
      </c>
      <c r="E189" s="31">
        <v>45698</v>
      </c>
      <c r="F189" s="31">
        <v>45716</v>
      </c>
      <c r="G189" s="13">
        <v>3786677</v>
      </c>
      <c r="J189" s="13" t="s">
        <v>550</v>
      </c>
      <c r="K189" s="13" t="s">
        <v>704</v>
      </c>
      <c r="L189" s="13">
        <v>31</v>
      </c>
      <c r="M189" s="13">
        <v>0</v>
      </c>
      <c r="N189" s="13" t="s">
        <v>705</v>
      </c>
      <c r="O189" s="13" t="s">
        <v>304</v>
      </c>
      <c r="P189" s="13">
        <v>10010</v>
      </c>
      <c r="R189" s="13" t="s">
        <v>239</v>
      </c>
      <c r="S189" s="13" t="s">
        <v>283</v>
      </c>
      <c r="T189" s="13" t="s">
        <v>112</v>
      </c>
      <c r="U189" s="13" t="s">
        <v>113</v>
      </c>
      <c r="V189" s="13">
        <v>104.25</v>
      </c>
      <c r="W189" s="44">
        <f>IF($AX189="Cancelled","",IFERROR(((V189+INDEX(Variables!$B$6:$D$6,IFERROR(MATCH(IF($B189="Robusta","Robusta",(IF($B189="","Arabica",$B189))&amp;" - "&amp;(IF($C189="","Commercial",$C189))),Variables!$B$1:$D$1,0),1)))*22.0462)*(L189/16.67),""))</f>
        <v>16196.154205758847</v>
      </c>
      <c r="X189" s="55" t="s">
        <v>39</v>
      </c>
      <c r="Y189" s="13" t="str">
        <f>IF($AX189="Cancelled","",IF(X189="","",IFERROR(IF(INDEX(Variables!$B$38:$B$47,MATCH(X189,Variables!$A$38:$A$47,0))="Yes","Yes","No"),"No")))</f>
        <v>No</v>
      </c>
      <c r="Z189" s="31"/>
      <c r="AB189" s="31">
        <v>45672.875</v>
      </c>
      <c r="AC189" s="13" t="str">
        <f t="shared" si="6"/>
        <v>Approved</v>
      </c>
      <c r="AF189" s="71">
        <f>AJ189-7</f>
        <v>45715</v>
      </c>
      <c r="AG189" s="36">
        <f>IF($AX189="Cancelled","",IFERROR(IF(F189="","",F189-Variables!$B$13),""))</f>
        <v>45701</v>
      </c>
      <c r="AH189" s="13">
        <f>IF($AX189="Cancelled","",IFERROR(IF(AB189="","",(AVERAGE(E189:F189)-AB189)-Variables!$B$14),""))</f>
        <v>4.125</v>
      </c>
      <c r="AJ189" s="47">
        <v>45722</v>
      </c>
      <c r="AK189" s="14">
        <f>IF($AX189="Cancelled","",IFERROR(IF(AJ189="","",IF(AND(AB189="",AF189=""),"",IF(AF189&gt;AB189,AF189+Variables!$B$15+Variables!$B$16+Variables!$B$17-AJ189,AB189+Variables!$B$16+Variables!$B$17-AJ189))),""))</f>
        <v>8</v>
      </c>
      <c r="AL189" s="48" t="s">
        <v>114</v>
      </c>
      <c r="AM189" s="13" t="s">
        <v>115</v>
      </c>
      <c r="AN189" s="13" t="s">
        <v>1045</v>
      </c>
      <c r="AP189" s="31">
        <v>45728</v>
      </c>
      <c r="AR189" s="13">
        <v>250963916</v>
      </c>
      <c r="AS189" s="31">
        <v>45733</v>
      </c>
      <c r="AU189" s="31">
        <v>45734</v>
      </c>
      <c r="AV189" s="13" t="s">
        <v>865</v>
      </c>
      <c r="AW189" s="31">
        <v>45377</v>
      </c>
      <c r="AX189" s="13" t="str">
        <f>IF(ISNUMBER(SEARCH("cancel",#REF!)),"Cancelled",IF(AND(AS189&lt;&gt;"",AU189&lt;&gt;"",AW189&lt;&gt;""),"Closed","Open"))</f>
        <v>Closed</v>
      </c>
      <c r="AY189" s="15" t="str">
        <f t="shared" si="7"/>
        <v>All dates received</v>
      </c>
      <c r="BD189" s="13">
        <f>IF($AX189="Cancelled","",IFERROR(IF(OR(AS189="",AJ189=""),"",(AJ189+Variables!$B$18-AS189)),""))</f>
        <v>4</v>
      </c>
      <c r="BE189" s="13">
        <f>IF($AX189="Cancelled","",IFERROR(IF(OR(AW189="",AS189=""),"",(AS189+Variables!$B$19)-AW189),""))</f>
        <v>361</v>
      </c>
      <c r="BF189" s="44">
        <f>IF($AX189="Cancelled","",IFERROR(W189*INDEX(Variables!$B$7:$D$7,IFERROR(MATCH(IF($B189="Robusta","Robusta",(IF($B189="","Arabica",$B189))&amp;" - "&amp;(IF($C189="","Commercial",$C189))),Variables!$B$1:$D$1,0),1))*(BE189/365),""))</f>
        <v>1032.9185735788947</v>
      </c>
      <c r="BG189" s="44">
        <f>IF($AX189="Cancelled","",IFERROR((W189*INDEX(Variables!$B$7:$D$7,IFERROR(MATCH(IF($B189="Robusta","Robusta",(IF($B189="","Arabica",$B189))&amp;" - "&amp;(IF($C189="","Commercial",$C189))),Variables!$B$1:$D$1,0),1))*IFERROR(IF(AB189="","",(AVERAGE(E189:F189)-AB189)-Variables!$B$14),"")/365)+(L189/16.67*INDEX(Variables!$B$8:$D$8,IFERROR(MATCH(IF($B189="Robusta","Robusta",(IF($B189="","Arabica",$B189))&amp;" - "&amp;(IF($C189="","Commercial",$C189))),Variables!$B$1:$D$1,0),1))*IFERROR(IF(AB189="","",(AVERAGE(E189:F189)-AB189)-Variables!$B$14),""))+(W189*INDEX(Variables!$B$9:$D$9,IFERROR(MATCH(IF($B189="Robusta","Robusta",(IF($B189="","Arabica",$B189))&amp;" - "&amp;(IF($C189="","Commercial",$C189))),Variables!$B$1:$D$1,0),1))*IFERROR(IF(AB189="","",(AVERAGE(E189:F189)-AB189)-Variables!$B$14),"")/365),""))</f>
        <v>18.348650029002879</v>
      </c>
      <c r="BH189" s="44">
        <f>IF($AX189="Cancelled","",IFERROR((W189*INDEX(Variables!$B$7:$D$7,IFERROR(MATCH(IF($B189="Robusta","Robusta",(IF($B189="","Arabica",$B189))&amp;" - "&amp;(IF($C189="","Commercial",$C189))),Variables!$B$1:$D$1,0),1))*AK189/365)+(L189/16.67*INDEX(Variables!$B$8:$D$8,IFERROR(MATCH(IF($B189="Robusta","Robusta",(IF($B189="","Arabica",$B189))&amp;" - "&amp;(IF($C189="","Commercial",$C189))),Variables!$B$1:$D$1,0),1))*AK189)+(W189*INDEX(Variables!$B$9:$D$9,IFERROR(MATCH(IF($B189="Robusta","Robusta",(IF($B189="","Arabica",$B189))&amp;" - "&amp;(IF($C189="","Commercial",$C189))),Variables!$B$1:$D$1,0),1))*AK189/365),""))</f>
        <v>35.585260662308613</v>
      </c>
      <c r="BI189" s="44">
        <f>IF($AX189="Cancelled","",IFERROR((W189*INDEX(Variables!$B$7:$D$7,IFERROR(MATCH(IF($B189="Robusta","Robusta",(IF($B189="","Arabica",$B189))&amp;" - "&amp;(IF($C189="","Commercial",$C189))),Variables!$B$1:$D$1,0),1))*BD189/365)+(L189/16.67*INDEX(Variables!$B$8:$D$8,IFERROR(MATCH(IF($B189="Robusta","Robusta",(IF($B189="","Arabica",$B189))&amp;" - "&amp;(IF($C189="","Commercial",$C189))),Variables!$B$1:$D$1,0),1))*BD189)+(W189*INDEX(Variables!$B$9:$D$9,IFERROR(MATCH(IF($B189="Robusta","Robusta",(IF($B189="","Arabica",$B189))&amp;" - "&amp;(IF($C189="","Commercial",$C189))),Variables!$B$1:$D$1,0),1))*BD189/365),""))</f>
        <v>17.792630331154307</v>
      </c>
      <c r="BJ189" s="44">
        <f t="shared" si="8"/>
        <v>-17</v>
      </c>
      <c r="BK189" s="44">
        <f>IF($AX189="Cancelled","",IFERROR(IF(BJ189="","",(W189*INDEX(Variables!$B$7:$D$7,IFERROR(MATCH(IF($B189="Robusta","Robusta",(IF($B189="","Arabica",$B189))&amp;" - "&amp;(IF($C189="","Commercial",$C189))),Variables!$B$1:$D$1,0),1))*(BJ189/365))+(W189*INDEX(Variables!$B$9:$D$9,IFERROR(MATCH(IF($B189="Robusta","Robusta",(IF($B189="","Arabica",$B189))&amp;" - "&amp;(IF($C189="","Commercial",$C189))),Variables!$B$1:$D$1,0),1))*(BJ189/365))+(INDEX(Variables!$B$8:$D$8,IFERROR(MATCH(IF($B189="Robusta","Robusta",(IF($B189="","Arabica",$B189))&amp;" - "&amp;(IF($C189="","Commercial",$C189))),Variables!$B$1:$D$1,0),1))*L189/16.67)),""))</f>
        <v>-47.71867890740581</v>
      </c>
    </row>
    <row r="190" spans="1:63">
      <c r="A190" s="13" t="s">
        <v>103</v>
      </c>
      <c r="B190" s="13" t="s">
        <v>104</v>
      </c>
      <c r="C190" s="13" t="s">
        <v>292</v>
      </c>
      <c r="D190" s="31">
        <v>45695</v>
      </c>
      <c r="E190" s="31">
        <v>45698</v>
      </c>
      <c r="F190" s="31">
        <v>45716</v>
      </c>
      <c r="G190" s="13">
        <v>3786678</v>
      </c>
      <c r="J190" s="13" t="s">
        <v>550</v>
      </c>
      <c r="K190" s="13" t="s">
        <v>706</v>
      </c>
      <c r="L190" s="13">
        <v>30</v>
      </c>
      <c r="M190" s="13">
        <v>0</v>
      </c>
      <c r="N190" s="13" t="s">
        <v>707</v>
      </c>
      <c r="O190" s="13" t="s">
        <v>304</v>
      </c>
      <c r="P190" s="13">
        <v>10010</v>
      </c>
      <c r="R190" s="13" t="s">
        <v>239</v>
      </c>
      <c r="S190" s="13" t="s">
        <v>283</v>
      </c>
      <c r="T190" s="13" t="s">
        <v>112</v>
      </c>
      <c r="U190" s="13" t="s">
        <v>113</v>
      </c>
      <c r="V190" s="13">
        <v>72.25</v>
      </c>
      <c r="W190" s="44">
        <f>IF($AX190="Cancelled","",IFERROR(((V190+INDEX(Variables!$B$6:$D$6,IFERROR(MATCH(IF($B190="Robusta","Robusta",(IF($B190="","Arabica",$B190))&amp;" - "&amp;(IF($C190="","Commercial",$C190))),Variables!$B$1:$D$1,0),1)))*22.0462)*(L190/16.67),""))</f>
        <v>14404.090419916016</v>
      </c>
      <c r="X190" s="55" t="s">
        <v>39</v>
      </c>
      <c r="Y190" s="13" t="str">
        <f>IF($AX190="Cancelled","",IF(X190="","",IFERROR(IF(INDEX(Variables!$B$38:$B$47,MATCH(X190,Variables!$A$38:$A$47,0))="Yes","Yes","No"),"No")))</f>
        <v>No</v>
      </c>
      <c r="Z190" s="31"/>
      <c r="AB190" s="31">
        <v>45672.875</v>
      </c>
      <c r="AC190" s="13" t="str">
        <f t="shared" si="6"/>
        <v>Approved</v>
      </c>
      <c r="AF190" s="71">
        <f>AJ190-7</f>
        <v>45715</v>
      </c>
      <c r="AG190" s="36">
        <f>IF($AX190="Cancelled","",IFERROR(IF(F190="","",F190-Variables!$B$13),""))</f>
        <v>45701</v>
      </c>
      <c r="AH190" s="13">
        <f>IF($AX190="Cancelled","",IFERROR(IF(AB190="","",(AVERAGE(E190:F190)-AB190)-Variables!$B$14),""))</f>
        <v>4.125</v>
      </c>
      <c r="AJ190" s="47">
        <v>45722</v>
      </c>
      <c r="AK190" s="14">
        <f>IF($AX190="Cancelled","",IFERROR(IF(AJ190="","",IF(AND(AB190="",AF190=""),"",IF(AF190&gt;AB190,AF190+Variables!$B$15+Variables!$B$16+Variables!$B$17-AJ190,AB190+Variables!$B$16+Variables!$B$17-AJ190))),""))</f>
        <v>8</v>
      </c>
      <c r="AL190" s="48" t="s">
        <v>114</v>
      </c>
      <c r="AM190" s="13" t="s">
        <v>115</v>
      </c>
      <c r="AN190" s="13" t="s">
        <v>1045</v>
      </c>
      <c r="AP190" s="31">
        <v>45728</v>
      </c>
      <c r="AR190" s="13">
        <v>250963916</v>
      </c>
      <c r="AS190" s="31">
        <v>45733</v>
      </c>
      <c r="AU190" s="31">
        <v>45734</v>
      </c>
      <c r="AV190" s="13" t="s">
        <v>865</v>
      </c>
      <c r="AW190" s="31">
        <v>45377</v>
      </c>
      <c r="AX190" s="13" t="str">
        <f>IF(ISNUMBER(SEARCH("cancel",#REF!)),"Cancelled",IF(AND(AS190&lt;&gt;"",AU190&lt;&gt;"",AW190&lt;&gt;""),"Closed","Open"))</f>
        <v>Closed</v>
      </c>
      <c r="AY190" s="15" t="str">
        <f t="shared" si="7"/>
        <v>All dates received</v>
      </c>
      <c r="BD190" s="13">
        <f>IF($AX190="Cancelled","",IFERROR(IF(OR(AS190="",AJ190=""),"",(AJ190+Variables!$B$18-AS190)),""))</f>
        <v>4</v>
      </c>
      <c r="BE190" s="13">
        <f>IF($AX190="Cancelled","",IFERROR(IF(OR(AW190="",AS190=""),"",(AS190+Variables!$B$19)-AW190),""))</f>
        <v>361</v>
      </c>
      <c r="BF190" s="44">
        <f>IF($AX190="Cancelled","",IFERROR(W190*INDEX(Variables!$B$7:$D$7,IFERROR(MATCH(IF($B190="Robusta","Robusta",(IF($B190="","Arabica",$B190))&amp;" - "&amp;(IF($C190="","Commercial",$C190))),Variables!$B$1:$D$1,0),1))*(BE190/365),""))</f>
        <v>918.62872761181973</v>
      </c>
      <c r="BG190" s="44">
        <f>IF($AX190="Cancelled","",IFERROR((W190*INDEX(Variables!$B$7:$D$7,IFERROR(MATCH(IF($B190="Robusta","Robusta",(IF($B190="","Arabica",$B190))&amp;" - "&amp;(IF($C190="","Commercial",$C190))),Variables!$B$1:$D$1,0),1))*IFERROR(IF(AB190="","",(AVERAGE(E190:F190)-AB190)-Variables!$B$14),"")/365)+(L190/16.67*INDEX(Variables!$B$8:$D$8,IFERROR(MATCH(IF($B190="Robusta","Robusta",(IF($B190="","Arabica",$B190))&amp;" - "&amp;(IF($C190="","Commercial",$C190))),Variables!$B$1:$D$1,0),1))*IFERROR(IF(AB190="","",(AVERAGE(E190:F190)-AB190)-Variables!$B$14),""))+(W190*INDEX(Variables!$B$9:$D$9,IFERROR(MATCH(IF($B190="Robusta","Robusta",(IF($B190="","Arabica",$B190))&amp;" - "&amp;(IF($C190="","Commercial",$C190))),Variables!$B$1:$D$1,0),1))*IFERROR(IF(AB190="","",(AVERAGE(E190:F190)-AB190)-Variables!$B$14),"")/365),""))</f>
        <v>16.819620365807911</v>
      </c>
      <c r="BH190" s="44">
        <f>IF($AX190="Cancelled","",IFERROR((W190*INDEX(Variables!$B$7:$D$7,IFERROR(MATCH(IF($B190="Robusta","Robusta",(IF($B190="","Arabica",$B190))&amp;" - "&amp;(IF($C190="","Commercial",$C190))),Variables!$B$1:$D$1,0),1))*AK190/365)+(L190/16.67*INDEX(Variables!$B$8:$D$8,IFERROR(MATCH(IF($B190="Robusta","Robusta",(IF($B190="","Arabica",$B190))&amp;" - "&amp;(IF($C190="","Commercial",$C190))),Variables!$B$1:$D$1,0),1))*AK190)+(W190*INDEX(Variables!$B$9:$D$9,IFERROR(MATCH(IF($B190="Robusta","Robusta",(IF($B190="","Arabica",$B190))&amp;" - "&amp;(IF($C190="","Commercial",$C190))),Variables!$B$1:$D$1,0),1))*AK190/365),""))</f>
        <v>32.619869800354728</v>
      </c>
      <c r="BI190" s="44">
        <f>IF($AX190="Cancelled","",IFERROR((W190*INDEX(Variables!$B$7:$D$7,IFERROR(MATCH(IF($B190="Robusta","Robusta",(IF($B190="","Arabica",$B190))&amp;" - "&amp;(IF($C190="","Commercial",$C190))),Variables!$B$1:$D$1,0),1))*BD190/365)+(L190/16.67*INDEX(Variables!$B$8:$D$8,IFERROR(MATCH(IF($B190="Robusta","Robusta",(IF($B190="","Arabica",$B190))&amp;" - "&amp;(IF($C190="","Commercial",$C190))),Variables!$B$1:$D$1,0),1))*BD190)+(W190*INDEX(Variables!$B$9:$D$9,IFERROR(MATCH(IF($B190="Robusta","Robusta",(IF($B190="","Arabica",$B190))&amp;" - "&amp;(IF($C190="","Commercial",$C190))),Variables!$B$1:$D$1,0),1))*BD190/365),""))</f>
        <v>16.309934900177364</v>
      </c>
      <c r="BJ190" s="44">
        <f t="shared" si="8"/>
        <v>-17</v>
      </c>
      <c r="BK190" s="44">
        <f>IF($AX190="Cancelled","",IFERROR(IF(BJ190="","",(W190*INDEX(Variables!$B$7:$D$7,IFERROR(MATCH(IF($B190="Robusta","Robusta",(IF($B190="","Arabica",$B190))&amp;" - "&amp;(IF($C190="","Commercial",$C190))),Variables!$B$1:$D$1,0),1))*(BJ190/365))+(W190*INDEX(Variables!$B$9:$D$9,IFERROR(MATCH(IF($B190="Robusta","Robusta",(IF($B190="","Arabica",$B190))&amp;" - "&amp;(IF($C190="","Commercial",$C190))),Variables!$B$1:$D$1,0),1))*(BJ190/365))+(INDEX(Variables!$B$8:$D$8,IFERROR(MATCH(IF($B190="Robusta","Robusta",(IF($B190="","Arabica",$B190))&amp;" - "&amp;(IF($C190="","Commercial",$C190))),Variables!$B$1:$D$1,0),1))*L190/16.67)),""))</f>
        <v>-42.317223325753808</v>
      </c>
    </row>
    <row r="191" spans="1:63">
      <c r="A191" s="13" t="s">
        <v>103</v>
      </c>
      <c r="B191" s="13" t="s">
        <v>104</v>
      </c>
      <c r="C191" s="13" t="s">
        <v>292</v>
      </c>
      <c r="D191" s="31">
        <v>45695</v>
      </c>
      <c r="E191" s="31">
        <v>45698</v>
      </c>
      <c r="F191" s="31">
        <v>45716</v>
      </c>
      <c r="G191" s="13">
        <v>3786679</v>
      </c>
      <c r="J191" s="13" t="s">
        <v>550</v>
      </c>
      <c r="K191" s="13" t="s">
        <v>708</v>
      </c>
      <c r="L191" s="13">
        <v>25</v>
      </c>
      <c r="M191" s="13">
        <v>0</v>
      </c>
      <c r="N191" s="13" t="s">
        <v>709</v>
      </c>
      <c r="O191" s="13" t="s">
        <v>304</v>
      </c>
      <c r="P191" s="13">
        <v>10010</v>
      </c>
      <c r="R191" s="13" t="s">
        <v>239</v>
      </c>
      <c r="S191" s="13" t="s">
        <v>283</v>
      </c>
      <c r="T191" s="13" t="s">
        <v>112</v>
      </c>
      <c r="U191" s="13" t="s">
        <v>113</v>
      </c>
      <c r="V191" s="13">
        <v>102.25</v>
      </c>
      <c r="W191" s="44">
        <f>IF($AX191="Cancelled","",IFERROR(((V191+INDEX(Variables!$B$6:$D$6,IFERROR(MATCH(IF($B191="Robusta","Robusta",(IF($B191="","Arabica",$B191))&amp;" - "&amp;(IF($C191="","Commercial",$C191))),Variables!$B$1:$D$1,0),1)))*22.0462)*(L191/16.67),""))</f>
        <v>12995.289307138572</v>
      </c>
      <c r="X191" s="55" t="s">
        <v>39</v>
      </c>
      <c r="Y191" s="13" t="str">
        <f>IF($AX191="Cancelled","",IF(X191="","",IFERROR(IF(INDEX(Variables!$B$38:$B$47,MATCH(X191,Variables!$A$38:$A$47,0))="Yes","Yes","No"),"No")))</f>
        <v>No</v>
      </c>
      <c r="Z191" s="31"/>
      <c r="AB191" s="31">
        <v>45672.875</v>
      </c>
      <c r="AC191" s="13" t="str">
        <f t="shared" si="6"/>
        <v>Approved</v>
      </c>
      <c r="AF191" s="71">
        <f>AJ191-7</f>
        <v>45715</v>
      </c>
      <c r="AG191" s="36">
        <f>IF($AX191="Cancelled","",IFERROR(IF(F191="","",F191-Variables!$B$13),""))</f>
        <v>45701</v>
      </c>
      <c r="AH191" s="13">
        <f>IF($AX191="Cancelled","",IFERROR(IF(AB191="","",(AVERAGE(E191:F191)-AB191)-Variables!$B$14),""))</f>
        <v>4.125</v>
      </c>
      <c r="AJ191" s="47">
        <v>45722</v>
      </c>
      <c r="AK191" s="14">
        <f>IF($AX191="Cancelled","",IFERROR(IF(AJ191="","",IF(AND(AB191="",AF191=""),"",IF(AF191&gt;AB191,AF191+Variables!$B$15+Variables!$B$16+Variables!$B$17-AJ191,AB191+Variables!$B$16+Variables!$B$17-AJ191))),""))</f>
        <v>8</v>
      </c>
      <c r="AL191" s="48" t="s">
        <v>114</v>
      </c>
      <c r="AM191" s="13" t="s">
        <v>115</v>
      </c>
      <c r="AN191" s="13" t="s">
        <v>1045</v>
      </c>
      <c r="AP191" s="31">
        <v>45728</v>
      </c>
      <c r="AR191" s="13">
        <v>250963916</v>
      </c>
      <c r="AS191" s="31">
        <v>45733</v>
      </c>
      <c r="AU191" s="31">
        <v>45734</v>
      </c>
      <c r="AV191" s="13" t="s">
        <v>865</v>
      </c>
      <c r="AW191" s="31">
        <v>45377</v>
      </c>
      <c r="AX191" s="13" t="str">
        <f>IF(ISNUMBER(SEARCH("cancel",#REF!)),"Cancelled",IF(AND(AS191&lt;&gt;"",AU191&lt;&gt;"",AW191&lt;&gt;""),"Closed","Open"))</f>
        <v>Closed</v>
      </c>
      <c r="AY191" s="15" t="str">
        <f t="shared" si="7"/>
        <v>All dates received</v>
      </c>
      <c r="BD191" s="13">
        <f>IF($AX191="Cancelled","",IFERROR(IF(OR(AS191="",AJ191=""),"",(AJ191+Variables!$B$18-AS191)),""))</f>
        <v>4</v>
      </c>
      <c r="BE191" s="13">
        <f>IF($AX191="Cancelled","",IFERROR(IF(OR(AW191="",AS191=""),"",(AS191+Variables!$B$19)-AW191),""))</f>
        <v>361</v>
      </c>
      <c r="BF191" s="44">
        <f>IF($AX191="Cancelled","",IFERROR(W191*INDEX(Variables!$B$7:$D$7,IFERROR(MATCH(IF($B191="Robusta","Robusta",(IF($B191="","Arabica",$B191))&amp;" - "&amp;(IF($C191="","Commercial",$C191))),Variables!$B$1:$D$1,0),1))*(BE191/365),""))</f>
        <v>828.78166778640627</v>
      </c>
      <c r="BG191" s="44">
        <f>IF($AX191="Cancelled","",IFERROR((W191*INDEX(Variables!$B$7:$D$7,IFERROR(MATCH(IF($B191="Robusta","Robusta",(IF($B191="","Arabica",$B191))&amp;" - "&amp;(IF($C191="","Commercial",$C191))),Variables!$B$1:$D$1,0),1))*IFERROR(IF(AB191="","",(AVERAGE(E191:F191)-AB191)-Variables!$B$14),"")/365)+(L191/16.67*INDEX(Variables!$B$8:$D$8,IFERROR(MATCH(IF($B191="Robusta","Robusta",(IF($B191="","Arabica",$B191))&amp;" - "&amp;(IF($C191="","Commercial",$C191))),Variables!$B$1:$D$1,0),1))*IFERROR(IF(AB191="","",(AVERAGE(E191:F191)-AB191)-Variables!$B$14),""))+(W191*INDEX(Variables!$B$9:$D$9,IFERROR(MATCH(IF($B191="Robusta","Robusta",(IF($B191="","Arabica",$B191))&amp;" - "&amp;(IF($C191="","Commercial",$C191))),Variables!$B$1:$D$1,0),1))*IFERROR(IF(AB191="","",(AVERAGE(E191:F191)-AB191)-Variables!$B$14),"")/365),""))</f>
        <v>14.748489153883302</v>
      </c>
      <c r="BH191" s="44">
        <f>IF($AX191="Cancelled","",IFERROR((W191*INDEX(Variables!$B$7:$D$7,IFERROR(MATCH(IF($B191="Robusta","Robusta",(IF($B191="","Arabica",$B191))&amp;" - "&amp;(IF($C191="","Commercial",$C191))),Variables!$B$1:$D$1,0),1))*AK191/365)+(L191/16.67*INDEX(Variables!$B$8:$D$8,IFERROR(MATCH(IF($B191="Robusta","Robusta",(IF($B191="","Arabica",$B191))&amp;" - "&amp;(IF($C191="","Commercial",$C191))),Variables!$B$1:$D$1,0),1))*AK191)+(W191*INDEX(Variables!$B$9:$D$9,IFERROR(MATCH(IF($B191="Robusta","Robusta",(IF($B191="","Arabica",$B191))&amp;" - "&amp;(IF($C191="","Commercial",$C191))),Variables!$B$1:$D$1,0),1))*AK191/365),""))</f>
        <v>28.603130480258525</v>
      </c>
      <c r="BI191" s="44">
        <f>IF($AX191="Cancelled","",IFERROR((W191*INDEX(Variables!$B$7:$D$7,IFERROR(MATCH(IF($B191="Robusta","Robusta",(IF($B191="","Arabica",$B191))&amp;" - "&amp;(IF($C191="","Commercial",$C191))),Variables!$B$1:$D$1,0),1))*BD191/365)+(L191/16.67*INDEX(Variables!$B$8:$D$8,IFERROR(MATCH(IF($B191="Robusta","Robusta",(IF($B191="","Arabica",$B191))&amp;" - "&amp;(IF($C191="","Commercial",$C191))),Variables!$B$1:$D$1,0),1))*BD191)+(W191*INDEX(Variables!$B$9:$D$9,IFERROR(MATCH(IF($B191="Robusta","Robusta",(IF($B191="","Arabica",$B191))&amp;" - "&amp;(IF($C191="","Commercial",$C191))),Variables!$B$1:$D$1,0),1))*BD191/365),""))</f>
        <v>14.301565240129262</v>
      </c>
      <c r="BJ191" s="44">
        <f t="shared" si="8"/>
        <v>-17</v>
      </c>
      <c r="BK191" s="44">
        <f>IF($AX191="Cancelled","",IFERROR(IF(BJ191="","",(W191*INDEX(Variables!$B$7:$D$7,IFERROR(MATCH(IF($B191="Robusta","Robusta",(IF($B191="","Arabica",$B191))&amp;" - "&amp;(IF($C191="","Commercial",$C191))),Variables!$B$1:$D$1,0),1))*(BJ191/365))+(W191*INDEX(Variables!$B$9:$D$9,IFERROR(MATCH(IF($B191="Robusta","Robusta",(IF($B191="","Arabica",$B191))&amp;" - "&amp;(IF($C191="","Commercial",$C191))),Variables!$B$1:$D$1,0),1))*(BJ191/365))+(INDEX(Variables!$B$8:$D$8,IFERROR(MATCH(IF($B191="Robusta","Robusta",(IF($B191="","Arabica",$B191))&amp;" - "&amp;(IF($C191="","Commercial",$C191))),Variables!$B$1:$D$1,0),1))*L191/16.67)),""))</f>
        <v>-38.281652270549372</v>
      </c>
    </row>
    <row r="192" spans="1:63">
      <c r="A192" s="13" t="s">
        <v>103</v>
      </c>
      <c r="B192" s="13" t="s">
        <v>104</v>
      </c>
      <c r="C192" s="13" t="s">
        <v>292</v>
      </c>
      <c r="D192" s="31">
        <v>45695</v>
      </c>
      <c r="E192" s="31">
        <v>45698</v>
      </c>
      <c r="F192" s="31">
        <v>45716</v>
      </c>
      <c r="G192" s="13">
        <v>3786680</v>
      </c>
      <c r="J192" s="13" t="s">
        <v>550</v>
      </c>
      <c r="K192" s="13" t="s">
        <v>710</v>
      </c>
      <c r="L192" s="13">
        <v>30</v>
      </c>
      <c r="M192" s="13">
        <v>0</v>
      </c>
      <c r="N192" s="13" t="s">
        <v>711</v>
      </c>
      <c r="O192" s="13" t="s">
        <v>576</v>
      </c>
      <c r="P192" s="13">
        <v>10020</v>
      </c>
      <c r="R192" s="13" t="s">
        <v>239</v>
      </c>
      <c r="S192" s="13" t="s">
        <v>283</v>
      </c>
      <c r="T192" s="13" t="s">
        <v>112</v>
      </c>
      <c r="U192" s="13" t="s">
        <v>113</v>
      </c>
      <c r="V192" s="13">
        <v>87.25</v>
      </c>
      <c r="W192" s="44">
        <f>IF($AX192="Cancelled","",IFERROR(((V192+INDEX(Variables!$B$6:$D$6,IFERROR(MATCH(IF($B192="Robusta","Robusta",(IF($B192="","Arabica",$B192))&amp;" - "&amp;(IF($C192="","Commercial",$C192))),Variables!$B$1:$D$1,0),1)))*22.0462)*(L192/16.67),""))</f>
        <v>14999.218794241149</v>
      </c>
      <c r="X192" s="55" t="s">
        <v>39</v>
      </c>
      <c r="Y192" s="13" t="str">
        <f>IF($AX192="Cancelled","",IF(X192="","",IFERROR(IF(INDEX(Variables!$B$38:$B$47,MATCH(X192,Variables!$A$38:$A$47,0))="Yes","Yes","No"),"No")))</f>
        <v>No</v>
      </c>
      <c r="Z192" s="31"/>
      <c r="AB192" s="31">
        <v>45672.875</v>
      </c>
      <c r="AC192" s="13" t="str">
        <f t="shared" si="6"/>
        <v>Approved</v>
      </c>
      <c r="AF192" s="71">
        <f>AJ192-7</f>
        <v>45715</v>
      </c>
      <c r="AG192" s="36">
        <f>IF($AX192="Cancelled","",IFERROR(IF(F192="","",F192-Variables!$B$13),""))</f>
        <v>45701</v>
      </c>
      <c r="AH192" s="13">
        <f>IF($AX192="Cancelled","",IFERROR(IF(AB192="","",(AVERAGE(E192:F192)-AB192)-Variables!$B$14),""))</f>
        <v>4.125</v>
      </c>
      <c r="AJ192" s="47">
        <v>45722</v>
      </c>
      <c r="AK192" s="14">
        <f>IF($AX192="Cancelled","",IFERROR(IF(AJ192="","",IF(AND(AB192="",AF192=""),"",IF(AF192&gt;AB192,AF192+Variables!$B$15+Variables!$B$16+Variables!$B$17-AJ192,AB192+Variables!$B$16+Variables!$B$17-AJ192))),""))</f>
        <v>8</v>
      </c>
      <c r="AL192" s="48" t="s">
        <v>114</v>
      </c>
      <c r="AM192" s="13" t="s">
        <v>115</v>
      </c>
      <c r="AN192" s="13" t="s">
        <v>1045</v>
      </c>
      <c r="AP192" s="31">
        <v>45728</v>
      </c>
      <c r="AR192" s="13">
        <v>250963916</v>
      </c>
      <c r="AS192" s="31">
        <v>45733</v>
      </c>
      <c r="AU192" s="31">
        <v>45734</v>
      </c>
      <c r="AV192" s="13" t="s">
        <v>865</v>
      </c>
      <c r="AW192" s="31">
        <v>45377</v>
      </c>
      <c r="AX192" s="13" t="str">
        <f>IF(ISNUMBER(SEARCH("cancel",#REF!)),"Cancelled",IF(AND(AS192&lt;&gt;"",AU192&lt;&gt;"",AW192&lt;&gt;""),"Closed","Open"))</f>
        <v>Closed</v>
      </c>
      <c r="AY192" s="15" t="str">
        <f t="shared" si="7"/>
        <v>All dates received</v>
      </c>
      <c r="BD192" s="13">
        <f>IF($AX192="Cancelled","",IFERROR(IF(OR(AS192="",AJ192=""),"",(AJ192+Variables!$B$18-AS192)),""))</f>
        <v>4</v>
      </c>
      <c r="BE192" s="13">
        <f>IF($AX192="Cancelled","",IFERROR(IF(OR(AW192="",AS192=""),"",(AS192+Variables!$B$19)-AW192),""))</f>
        <v>361</v>
      </c>
      <c r="BF192" s="44">
        <f>IF($AX192="Cancelled","",IFERROR(W192*INDEX(Variables!$B$7:$D$7,IFERROR(MATCH(IF($B192="Robusta","Robusta",(IF($B192="","Arabica",$B192))&amp;" - "&amp;(IF($C192="","Commercial",$C192))),Variables!$B$1:$D$1,0),1))*(BE192/365),""))</f>
        <v>956.58336447775355</v>
      </c>
      <c r="BG192" s="44">
        <f>IF($AX192="Cancelled","",IFERROR((W192*INDEX(Variables!$B$7:$D$7,IFERROR(MATCH(IF($B192="Robusta","Robusta",(IF($B192="","Arabica",$B192))&amp;" - "&amp;(IF($C192="","Commercial",$C192))),Variables!$B$1:$D$1,0),1))*IFERROR(IF(AB192="","",(AVERAGE(E192:F192)-AB192)-Variables!$B$14),"")/365)+(L192/16.67*INDEX(Variables!$B$8:$D$8,IFERROR(MATCH(IF($B192="Robusta","Robusta",(IF($B192="","Arabica",$B192))&amp;" - "&amp;(IF($C192="","Commercial",$C192))),Variables!$B$1:$D$1,0),1))*IFERROR(IF(AB192="","",(AVERAGE(E192:F192)-AB192)-Variables!$B$14),""))+(W192*INDEX(Variables!$B$9:$D$9,IFERROR(MATCH(IF($B192="Robusta","Robusta",(IF($B192="","Arabica",$B192))&amp;" - "&amp;(IF($C192="","Commercial",$C192))),Variables!$B$1:$D$1,0),1))*IFERROR(IF(AB192="","",(AVERAGE(E192:F192)-AB192)-Variables!$B$14),"")/365),""))</f>
        <v>17.258903675233935</v>
      </c>
      <c r="BH192" s="44">
        <f>IF($AX192="Cancelled","",IFERROR((W192*INDEX(Variables!$B$7:$D$7,IFERROR(MATCH(IF($B192="Robusta","Robusta",(IF($B192="","Arabica",$B192))&amp;" - "&amp;(IF($C192="","Commercial",$C192))),Variables!$B$1:$D$1,0),1))*AK192/365)+(L192/16.67*INDEX(Variables!$B$8:$D$8,IFERROR(MATCH(IF($B192="Robusta","Robusta",(IF($B192="","Arabica",$B192))&amp;" - "&amp;(IF($C192="","Commercial",$C192))),Variables!$B$1:$D$1,0),1))*AK192)+(W192*INDEX(Variables!$B$9:$D$9,IFERROR(MATCH(IF($B192="Robusta","Robusta",(IF($B192="","Arabica",$B192))&amp;" - "&amp;(IF($C192="","Commercial",$C192))),Variables!$B$1:$D$1,0),1))*AK192/365),""))</f>
        <v>33.471813188332476</v>
      </c>
      <c r="BI192" s="44">
        <f>IF($AX192="Cancelled","",IFERROR((W192*INDEX(Variables!$B$7:$D$7,IFERROR(MATCH(IF($B192="Robusta","Robusta",(IF($B192="","Arabica",$B192))&amp;" - "&amp;(IF($C192="","Commercial",$C192))),Variables!$B$1:$D$1,0),1))*BD192/365)+(L192/16.67*INDEX(Variables!$B$8:$D$8,IFERROR(MATCH(IF($B192="Robusta","Robusta",(IF($B192="","Arabica",$B192))&amp;" - "&amp;(IF($C192="","Commercial",$C192))),Variables!$B$1:$D$1,0),1))*BD192)+(W192*INDEX(Variables!$B$9:$D$9,IFERROR(MATCH(IF($B192="Robusta","Robusta",(IF($B192="","Arabica",$B192))&amp;" - "&amp;(IF($C192="","Commercial",$C192))),Variables!$B$1:$D$1,0),1))*BD192/365),""))</f>
        <v>16.735906594166238</v>
      </c>
      <c r="BJ192" s="44">
        <f t="shared" si="8"/>
        <v>-17</v>
      </c>
      <c r="BK192" s="44">
        <f>IF($AX192="Cancelled","",IFERROR(IF(BJ192="","",(W192*INDEX(Variables!$B$7:$D$7,IFERROR(MATCH(IF($B192="Robusta","Robusta",(IF($B192="","Arabica",$B192))&amp;" - "&amp;(IF($C192="","Commercial",$C192))),Variables!$B$1:$D$1,0),1))*(BJ192/365))+(W192*INDEX(Variables!$B$9:$D$9,IFERROR(MATCH(IF($B192="Robusta","Robusta",(IF($B192="","Arabica",$B192))&amp;" - "&amp;(IF($C192="","Commercial",$C192))),Variables!$B$1:$D$1,0),1))*(BJ192/365))+(INDEX(Variables!$B$8:$D$8,IFERROR(MATCH(IF($B192="Robusta","Robusta",(IF($B192="","Arabica",$B192))&amp;" - "&amp;(IF($C192="","Commercial",$C192))),Variables!$B$1:$D$1,0),1))*L192/16.67)),""))</f>
        <v>-44.127603025206518</v>
      </c>
    </row>
    <row r="193" spans="1:63">
      <c r="A193" s="13" t="s">
        <v>103</v>
      </c>
      <c r="B193" s="13" t="s">
        <v>104</v>
      </c>
      <c r="C193" s="13" t="s">
        <v>292</v>
      </c>
      <c r="D193" s="31">
        <v>45695</v>
      </c>
      <c r="E193" s="31">
        <v>45698</v>
      </c>
      <c r="F193" s="31">
        <v>45716</v>
      </c>
      <c r="G193" s="13">
        <v>3786681</v>
      </c>
      <c r="J193" s="13" t="s">
        <v>550</v>
      </c>
      <c r="K193" s="13" t="s">
        <v>712</v>
      </c>
      <c r="L193" s="13">
        <v>25</v>
      </c>
      <c r="M193" s="13">
        <v>0</v>
      </c>
      <c r="N193" s="13" t="s">
        <v>713</v>
      </c>
      <c r="O193" s="13" t="s">
        <v>304</v>
      </c>
      <c r="P193" s="13">
        <v>10010</v>
      </c>
      <c r="R193" s="13" t="s">
        <v>239</v>
      </c>
      <c r="S193" s="13" t="s">
        <v>283</v>
      </c>
      <c r="T193" s="13" t="s">
        <v>112</v>
      </c>
      <c r="U193" s="13" t="s">
        <v>113</v>
      </c>
      <c r="V193" s="13">
        <v>62.25</v>
      </c>
      <c r="W193" s="44">
        <f>IF($AX193="Cancelled","",IFERROR(((V193+INDEX(Variables!$B$6:$D$6,IFERROR(MATCH(IF($B193="Robusta","Robusta",(IF($B193="","Arabica",$B193))&amp;" - "&amp;(IF($C193="","Commercial",$C193))),Variables!$B$1:$D$1,0),1)))*22.0462)*(L193/16.67),""))</f>
        <v>11672.78180863827</v>
      </c>
      <c r="X193" s="55" t="s">
        <v>39</v>
      </c>
      <c r="Y193" s="13" t="str">
        <f>IF($AX193="Cancelled","",IF(X193="","",IFERROR(IF(INDEX(Variables!$B$38:$B$47,MATCH(X193,Variables!$A$38:$A$47,0))="Yes","Yes","No"),"No")))</f>
        <v>No</v>
      </c>
      <c r="Z193" s="31"/>
      <c r="AB193" s="31">
        <v>45672.875</v>
      </c>
      <c r="AC193" s="13" t="str">
        <f t="shared" si="6"/>
        <v>Approved</v>
      </c>
      <c r="AF193" s="71">
        <f>AJ193-7</f>
        <v>45715</v>
      </c>
      <c r="AG193" s="36">
        <f>IF($AX193="Cancelled","",IFERROR(IF(F193="","",F193-Variables!$B$13),""))</f>
        <v>45701</v>
      </c>
      <c r="AH193" s="13">
        <f>IF($AX193="Cancelled","",IFERROR(IF(AB193="","",(AVERAGE(E193:F193)-AB193)-Variables!$B$14),""))</f>
        <v>4.125</v>
      </c>
      <c r="AJ193" s="47">
        <v>45722</v>
      </c>
      <c r="AK193" s="14">
        <f>IF($AX193="Cancelled","",IFERROR(IF(AJ193="","",IF(AND(AB193="",AF193=""),"",IF(AF193&gt;AB193,AF193+Variables!$B$15+Variables!$B$16+Variables!$B$17-AJ193,AB193+Variables!$B$16+Variables!$B$17-AJ193))),""))</f>
        <v>8</v>
      </c>
      <c r="AL193" s="48" t="s">
        <v>114</v>
      </c>
      <c r="AM193" s="13" t="s">
        <v>115</v>
      </c>
      <c r="AN193" s="13" t="s">
        <v>1045</v>
      </c>
      <c r="AP193" s="31">
        <v>45728</v>
      </c>
      <c r="AR193" s="13">
        <v>250963916</v>
      </c>
      <c r="AS193" s="31">
        <v>45733</v>
      </c>
      <c r="AU193" s="31">
        <v>45734</v>
      </c>
      <c r="AV193" s="13" t="s">
        <v>865</v>
      </c>
      <c r="AW193" s="31">
        <v>45377</v>
      </c>
      <c r="AX193" s="13" t="str">
        <f>IF(ISNUMBER(SEARCH("cancel",#REF!)),"Cancelled",IF(AND(AS193&lt;&gt;"",AU193&lt;&gt;"",AW193&lt;&gt;""),"Closed","Open"))</f>
        <v>Closed</v>
      </c>
      <c r="AY193" s="15" t="str">
        <f t="shared" si="7"/>
        <v>All dates received</v>
      </c>
      <c r="BD193" s="13">
        <f>IF($AX193="Cancelled","",IFERROR(IF(OR(AS193="",AJ193=""),"",(AJ193+Variables!$B$18-AS193)),""))</f>
        <v>4</v>
      </c>
      <c r="BE193" s="13">
        <f>IF($AX193="Cancelled","",IFERROR(IF(OR(AW193="",AS193=""),"",(AS193+Variables!$B$19)-AW193),""))</f>
        <v>361</v>
      </c>
      <c r="BF193" s="44">
        <f>IF($AX193="Cancelled","",IFERROR(W193*INDEX(Variables!$B$7:$D$7,IFERROR(MATCH(IF($B193="Robusta","Robusta",(IF($B193="","Arabica",$B193))&amp;" - "&amp;(IF($C193="","Commercial",$C193))),Variables!$B$1:$D$1,0),1))*(BE193/365),""))</f>
        <v>744.43803030655317</v>
      </c>
      <c r="BG193" s="44">
        <f>IF($AX193="Cancelled","",IFERROR((W193*INDEX(Variables!$B$7:$D$7,IFERROR(MATCH(IF($B193="Robusta","Robusta",(IF($B193="","Arabica",$B193))&amp;" - "&amp;(IF($C193="","Commercial",$C193))),Variables!$B$1:$D$1,0),1))*IFERROR(IF(AB193="","",(AVERAGE(E193:F193)-AB193)-Variables!$B$14),"")/365)+(L193/16.67*INDEX(Variables!$B$8:$D$8,IFERROR(MATCH(IF($B193="Robusta","Robusta",(IF($B193="","Arabica",$B193))&amp;" - "&amp;(IF($C193="","Commercial",$C193))),Variables!$B$1:$D$1,0),1))*IFERROR(IF(AB193="","",(AVERAGE(E193:F193)-AB193)-Variables!$B$14),""))+(W193*INDEX(Variables!$B$9:$D$9,IFERROR(MATCH(IF($B193="Robusta","Robusta",(IF($B193="","Arabica",$B193))&amp;" - "&amp;(IF($C193="","Commercial",$C193))),Variables!$B$1:$D$1,0),1))*IFERROR(IF(AB193="","",(AVERAGE(E193:F193)-AB193)-Variables!$B$14),"")/365),""))</f>
        <v>13.772304021825466</v>
      </c>
      <c r="BH193" s="44">
        <f>IF($AX193="Cancelled","",IFERROR((W193*INDEX(Variables!$B$7:$D$7,IFERROR(MATCH(IF($B193="Robusta","Robusta",(IF($B193="","Arabica",$B193))&amp;" - "&amp;(IF($C193="","Commercial",$C193))),Variables!$B$1:$D$1,0),1))*AK193/365)+(L193/16.67*INDEX(Variables!$B$8:$D$8,IFERROR(MATCH(IF($B193="Robusta","Robusta",(IF($B193="","Arabica",$B193))&amp;" - "&amp;(IF($C193="","Commercial",$C193))),Variables!$B$1:$D$1,0),1))*AK193)+(W193*INDEX(Variables!$B$9:$D$9,IFERROR(MATCH(IF($B193="Robusta","Robusta",(IF($B193="","Arabica",$B193))&amp;" - "&amp;(IF($C193="","Commercial",$C193))),Variables!$B$1:$D$1,0),1))*AK193/365),""))</f>
        <v>26.709922951419081</v>
      </c>
      <c r="BI193" s="44">
        <f>IF($AX193="Cancelled","",IFERROR((W193*INDEX(Variables!$B$7:$D$7,IFERROR(MATCH(IF($B193="Robusta","Robusta",(IF($B193="","Arabica",$B193))&amp;" - "&amp;(IF($C193="","Commercial",$C193))),Variables!$B$1:$D$1,0),1))*BD193/365)+(L193/16.67*INDEX(Variables!$B$8:$D$8,IFERROR(MATCH(IF($B193="Robusta","Robusta",(IF($B193="","Arabica",$B193))&amp;" - "&amp;(IF($C193="","Commercial",$C193))),Variables!$B$1:$D$1,0),1))*BD193)+(W193*INDEX(Variables!$B$9:$D$9,IFERROR(MATCH(IF($B193="Robusta","Robusta",(IF($B193="","Arabica",$B193))&amp;" - "&amp;(IF($C193="","Commercial",$C193))),Variables!$B$1:$D$1,0),1))*BD193/365),""))</f>
        <v>13.354961475709541</v>
      </c>
      <c r="BJ193" s="44">
        <f t="shared" si="8"/>
        <v>-17</v>
      </c>
      <c r="BK193" s="44">
        <f>IF($AX193="Cancelled","",IFERROR(IF(BJ193="","",(W193*INDEX(Variables!$B$7:$D$7,IFERROR(MATCH(IF($B193="Robusta","Robusta",(IF($B193="","Arabica",$B193))&amp;" - "&amp;(IF($C193="","Commercial",$C193))),Variables!$B$1:$D$1,0),1))*(BJ193/365))+(W193*INDEX(Variables!$B$9:$D$9,IFERROR(MATCH(IF($B193="Robusta","Robusta",(IF($B193="","Arabica",$B193))&amp;" - "&amp;(IF($C193="","Commercial",$C193))),Variables!$B$1:$D$1,0),1))*(BJ193/365))+(INDEX(Variables!$B$8:$D$8,IFERROR(MATCH(IF($B193="Robusta","Robusta",(IF($B193="","Arabica",$B193))&amp;" - "&amp;(IF($C193="","Commercial",$C193))),Variables!$B$1:$D$1,0),1))*L193/16.67)),""))</f>
        <v>-34.258586271765559</v>
      </c>
    </row>
    <row r="194" spans="1:63">
      <c r="A194" s="13" t="s">
        <v>103</v>
      </c>
      <c r="B194" s="13" t="s">
        <v>104</v>
      </c>
      <c r="C194" s="13" t="s">
        <v>292</v>
      </c>
      <c r="D194" s="31">
        <v>45695</v>
      </c>
      <c r="E194" s="31">
        <v>45698</v>
      </c>
      <c r="F194" s="31">
        <v>45716</v>
      </c>
      <c r="G194" s="13">
        <v>3786682</v>
      </c>
      <c r="J194" s="13" t="s">
        <v>550</v>
      </c>
      <c r="K194" s="13" t="s">
        <v>714</v>
      </c>
      <c r="L194" s="13">
        <v>13</v>
      </c>
      <c r="M194" s="13">
        <v>0</v>
      </c>
      <c r="N194" s="13" t="s">
        <v>715</v>
      </c>
      <c r="O194" s="13" t="s">
        <v>576</v>
      </c>
      <c r="P194" s="13">
        <v>10020</v>
      </c>
      <c r="R194" s="13" t="s">
        <v>239</v>
      </c>
      <c r="S194" s="13" t="s">
        <v>283</v>
      </c>
      <c r="T194" s="13" t="s">
        <v>112</v>
      </c>
      <c r="U194" s="13" t="s">
        <v>113</v>
      </c>
      <c r="V194" s="13">
        <v>103.25</v>
      </c>
      <c r="W194" s="44">
        <f>IF($AX194="Cancelled","",IFERROR(((V194+INDEX(Variables!$B$6:$D$6,IFERROR(MATCH(IF($B194="Robusta","Robusta",(IF($B194="","Arabica",$B194))&amp;" - "&amp;(IF($C194="","Commercial",$C194))),Variables!$B$1:$D$1,0),1)))*22.0462)*(L194/16.67),""))</f>
        <v>6774.7430371925611</v>
      </c>
      <c r="X194" s="55" t="s">
        <v>39</v>
      </c>
      <c r="Y194" s="13" t="str">
        <f>IF($AX194="Cancelled","",IF(X194="","",IFERROR(IF(INDEX(Variables!$B$38:$B$47,MATCH(X194,Variables!$A$38:$A$47,0))="Yes","Yes","No"),"No")))</f>
        <v>No</v>
      </c>
      <c r="Z194" s="31"/>
      <c r="AB194" s="31">
        <v>45672.875</v>
      </c>
      <c r="AC194" s="13" t="str">
        <f t="shared" ref="AC194:AC257" si="9">IF($AX194="Cancelled","",IF(ISNUMBER(AB194),"Approved",""))</f>
        <v>Approved</v>
      </c>
      <c r="AF194" s="71">
        <f>AJ194-7</f>
        <v>45715</v>
      </c>
      <c r="AG194" s="36">
        <f>IF($AX194="Cancelled","",IFERROR(IF(F194="","",F194-Variables!$B$13),""))</f>
        <v>45701</v>
      </c>
      <c r="AH194" s="13">
        <f>IF($AX194="Cancelled","",IFERROR(IF(AB194="","",(AVERAGE(E194:F194)-AB194)-Variables!$B$14),""))</f>
        <v>4.125</v>
      </c>
      <c r="AJ194" s="47">
        <v>45722</v>
      </c>
      <c r="AK194" s="14">
        <f>IF($AX194="Cancelled","",IFERROR(IF(AJ194="","",IF(AND(AB194="",AF194=""),"",IF(AF194&gt;AB194,AF194+Variables!$B$15+Variables!$B$16+Variables!$B$17-AJ194,AB194+Variables!$B$16+Variables!$B$17-AJ194))),""))</f>
        <v>8</v>
      </c>
      <c r="AL194" s="48" t="s">
        <v>114</v>
      </c>
      <c r="AM194" s="13" t="s">
        <v>115</v>
      </c>
      <c r="AN194" s="13" t="s">
        <v>1045</v>
      </c>
      <c r="AP194" s="31">
        <v>45728</v>
      </c>
      <c r="AR194" s="13">
        <v>250963916</v>
      </c>
      <c r="AS194" s="31">
        <v>45733</v>
      </c>
      <c r="AU194" s="31">
        <v>45734</v>
      </c>
      <c r="AV194" s="13" t="s">
        <v>865</v>
      </c>
      <c r="AW194" s="31">
        <v>45377</v>
      </c>
      <c r="AX194" s="13" t="str">
        <f>IF(ISNUMBER(SEARCH("cancel",#REF!)),"Cancelled",IF(AND(AS194&lt;&gt;"",AU194&lt;&gt;"",AW194&lt;&gt;""),"Closed","Open"))</f>
        <v>Closed</v>
      </c>
      <c r="AY194" s="15" t="str">
        <f t="shared" ref="AY194:AY257" si="10">IF($AX194="Cancelled","",IF(AND(AS194&lt;&gt;"",AU194&lt;&gt;"",AW194&lt;&gt;""),"All dates received",_xlfn.TEXTJOIN(" and ",TRUE(),IF(AS194="","No sailing date",""),IF(AU194="","No shipping advice sent",""),IF(AW194="","No docs dispatch date",""))))</f>
        <v>All dates received</v>
      </c>
      <c r="BD194" s="13">
        <f>IF($AX194="Cancelled","",IFERROR(IF(OR(AS194="",AJ194=""),"",(AJ194+Variables!$B$18-AS194)),""))</f>
        <v>4</v>
      </c>
      <c r="BE194" s="13">
        <f>IF($AX194="Cancelled","",IFERROR(IF(OR(AW194="",AS194=""),"",(AS194+Variables!$B$19)-AW194),""))</f>
        <v>361</v>
      </c>
      <c r="BF194" s="44">
        <f>IF($AX194="Cancelled","",IFERROR(W194*INDEX(Variables!$B$7:$D$7,IFERROR(MATCH(IF($B194="Robusta","Robusta",(IF($B194="","Arabica",$B194))&amp;" - "&amp;(IF($C194="","Commercial",$C194))),Variables!$B$1:$D$1,0),1))*(BE194/365),""))</f>
        <v>432.06293453616939</v>
      </c>
      <c r="BG194" s="44">
        <f>IF($AX194="Cancelled","",IFERROR((W194*INDEX(Variables!$B$7:$D$7,IFERROR(MATCH(IF($B194="Robusta","Robusta",(IF($B194="","Arabica",$B194))&amp;" - "&amp;(IF($C194="","Commercial",$C194))),Variables!$B$1:$D$1,0),1))*IFERROR(IF(AB194="","",(AVERAGE(E194:F194)-AB194)-Variables!$B$14),"")/365)+(L194/16.67*INDEX(Variables!$B$8:$D$8,IFERROR(MATCH(IF($B194="Robusta","Robusta",(IF($B194="","Arabica",$B194))&amp;" - "&amp;(IF($C194="","Commercial",$C194))),Variables!$B$1:$D$1,0),1))*IFERROR(IF(AB194="","",(AVERAGE(E194:F194)-AB194)-Variables!$B$14),""))+(W194*INDEX(Variables!$B$9:$D$9,IFERROR(MATCH(IF($B194="Robusta","Robusta",(IF($B194="","Arabica",$B194))&amp;" - "&amp;(IF($C194="","Commercial",$C194))),Variables!$B$1:$D$1,0),1))*IFERROR(IF(AB194="","",(AVERAGE(E194:F194)-AB194)-Variables!$B$14),"")/365),""))</f>
        <v>7.6819047667360696</v>
      </c>
      <c r="BH194" s="44">
        <f>IF($AX194="Cancelled","",IFERROR((W194*INDEX(Variables!$B$7:$D$7,IFERROR(MATCH(IF($B194="Robusta","Robusta",(IF($B194="","Arabica",$B194))&amp;" - "&amp;(IF($C194="","Commercial",$C194))),Variables!$B$1:$D$1,0),1))*AK194/365)+(L194/16.67*INDEX(Variables!$B$8:$D$8,IFERROR(MATCH(IF($B194="Robusta","Robusta",(IF($B194="","Arabica",$B194))&amp;" - "&amp;(IF($C194="","Commercial",$C194))),Variables!$B$1:$D$1,0),1))*AK194)+(W194*INDEX(Variables!$B$9:$D$9,IFERROR(MATCH(IF($B194="Robusta","Robusta",(IF($B194="","Arabica",$B194))&amp;" - "&amp;(IF($C194="","Commercial",$C194))),Variables!$B$1:$D$1,0),1))*AK194/365),""))</f>
        <v>14.898239547609347</v>
      </c>
      <c r="BI194" s="44">
        <f>IF($AX194="Cancelled","",IFERROR((W194*INDEX(Variables!$B$7:$D$7,IFERROR(MATCH(IF($B194="Robusta","Robusta",(IF($B194="","Arabica",$B194))&amp;" - "&amp;(IF($C194="","Commercial",$C194))),Variables!$B$1:$D$1,0),1))*BD194/365)+(L194/16.67*INDEX(Variables!$B$8:$D$8,IFERROR(MATCH(IF($B194="Robusta","Robusta",(IF($B194="","Arabica",$B194))&amp;" - "&amp;(IF($C194="","Commercial",$C194))),Variables!$B$1:$D$1,0),1))*BD194)+(W194*INDEX(Variables!$B$9:$D$9,IFERROR(MATCH(IF($B194="Robusta","Robusta",(IF($B194="","Arabica",$B194))&amp;" - "&amp;(IF($C194="","Commercial",$C194))),Variables!$B$1:$D$1,0),1))*BD194/365),""))</f>
        <v>7.4491197738046733</v>
      </c>
      <c r="BJ194" s="44">
        <f t="shared" ref="BJ194:BJ257" si="11">IF($AX194="Cancelled","",IFERROR(IF(AS194="","",F194-AS194),""))</f>
        <v>-17</v>
      </c>
      <c r="BK194" s="44">
        <f>IF($AX194="Cancelled","",IFERROR(IF(BJ194="","",(W194*INDEX(Variables!$B$7:$D$7,IFERROR(MATCH(IF($B194="Robusta","Robusta",(IF($B194="","Arabica",$B194))&amp;" - "&amp;(IF($C194="","Commercial",$C194))),Variables!$B$1:$D$1,0),1))*(BJ194/365))+(W194*INDEX(Variables!$B$9:$D$9,IFERROR(MATCH(IF($B194="Robusta","Robusta",(IF($B194="","Arabica",$B194))&amp;" - "&amp;(IF($C194="","Commercial",$C194))),Variables!$B$1:$D$1,0),1))*(BJ194/365))+(INDEX(Variables!$B$8:$D$8,IFERROR(MATCH(IF($B194="Robusta","Robusta",(IF($B194="","Arabica",$B194))&amp;" - "&amp;(IF($C194="","Commercial",$C194))),Variables!$B$1:$D$1,0),1))*L194/16.67)),""))</f>
        <v>-19.958759038669864</v>
      </c>
    </row>
    <row r="195" spans="1:63">
      <c r="A195" s="13" t="s">
        <v>103</v>
      </c>
      <c r="B195" s="13" t="s">
        <v>104</v>
      </c>
      <c r="C195" s="13" t="s">
        <v>292</v>
      </c>
      <c r="D195" s="31">
        <v>45695</v>
      </c>
      <c r="E195" s="31">
        <v>45698</v>
      </c>
      <c r="F195" s="31">
        <v>45716</v>
      </c>
      <c r="G195" s="13">
        <v>3786683</v>
      </c>
      <c r="J195" s="13" t="s">
        <v>550</v>
      </c>
      <c r="K195" s="13" t="s">
        <v>716</v>
      </c>
      <c r="L195" s="13">
        <v>41</v>
      </c>
      <c r="M195" s="13">
        <v>0</v>
      </c>
      <c r="N195" s="13" t="s">
        <v>717</v>
      </c>
      <c r="O195" s="13" t="s">
        <v>304</v>
      </c>
      <c r="P195" s="13">
        <v>10010</v>
      </c>
      <c r="R195" s="13" t="s">
        <v>239</v>
      </c>
      <c r="S195" s="13" t="s">
        <v>283</v>
      </c>
      <c r="T195" s="13" t="s">
        <v>112</v>
      </c>
      <c r="U195" s="13" t="s">
        <v>113</v>
      </c>
      <c r="V195" s="13">
        <v>62.25</v>
      </c>
      <c r="W195" s="44">
        <f>IF($AX195="Cancelled","",IFERROR(((V195+INDEX(Variables!$B$6:$D$6,IFERROR(MATCH(IF($B195="Robusta","Robusta",(IF($B195="","Arabica",$B195))&amp;" - "&amp;(IF($C195="","Commercial",$C195))),Variables!$B$1:$D$1,0),1)))*22.0462)*(L195/16.67),""))</f>
        <v>19143.36216616676</v>
      </c>
      <c r="X195" s="55" t="s">
        <v>39</v>
      </c>
      <c r="Y195" s="13" t="str">
        <f>IF($AX195="Cancelled","",IF(X195="","",IFERROR(IF(INDEX(Variables!$B$38:$B$47,MATCH(X195,Variables!$A$38:$A$47,0))="Yes","Yes","No"),"No")))</f>
        <v>No</v>
      </c>
      <c r="Z195" s="31"/>
      <c r="AB195" s="31">
        <v>45672.875</v>
      </c>
      <c r="AC195" s="13" t="str">
        <f t="shared" si="9"/>
        <v>Approved</v>
      </c>
      <c r="AF195" s="71">
        <f>AJ195-7</f>
        <v>45715</v>
      </c>
      <c r="AG195" s="36">
        <f>IF($AX195="Cancelled","",IFERROR(IF(F195="","",F195-Variables!$B$13),""))</f>
        <v>45701</v>
      </c>
      <c r="AH195" s="13">
        <f>IF($AX195="Cancelled","",IFERROR(IF(AB195="","",(AVERAGE(E195:F195)-AB195)-Variables!$B$14),""))</f>
        <v>4.125</v>
      </c>
      <c r="AJ195" s="47">
        <v>45722</v>
      </c>
      <c r="AK195" s="14">
        <f>IF($AX195="Cancelled","",IFERROR(IF(AJ195="","",IF(AND(AB195="",AF195=""),"",IF(AF195&gt;AB195,AF195+Variables!$B$15+Variables!$B$16+Variables!$B$17-AJ195,AB195+Variables!$B$16+Variables!$B$17-AJ195))),""))</f>
        <v>8</v>
      </c>
      <c r="AL195" s="48" t="s">
        <v>114</v>
      </c>
      <c r="AM195" s="13" t="s">
        <v>115</v>
      </c>
      <c r="AN195" s="13" t="s">
        <v>1045</v>
      </c>
      <c r="AP195" s="31">
        <v>45728</v>
      </c>
      <c r="AR195" s="13">
        <v>250963916</v>
      </c>
      <c r="AS195" s="31">
        <v>45733</v>
      </c>
      <c r="AU195" s="31">
        <v>45734</v>
      </c>
      <c r="AV195" s="13" t="s">
        <v>865</v>
      </c>
      <c r="AW195" s="31">
        <v>45377</v>
      </c>
      <c r="AX195" s="13" t="str">
        <f>IF(ISNUMBER(SEARCH("cancel",#REF!)),"Cancelled",IF(AND(AS195&lt;&gt;"",AU195&lt;&gt;"",AW195&lt;&gt;""),"Closed","Open"))</f>
        <v>Closed</v>
      </c>
      <c r="AY195" s="15" t="str">
        <f t="shared" si="10"/>
        <v>All dates received</v>
      </c>
      <c r="BD195" s="13">
        <f>IF($AX195="Cancelled","",IFERROR(IF(OR(AS195="",AJ195=""),"",(AJ195+Variables!$B$18-AS195)),""))</f>
        <v>4</v>
      </c>
      <c r="BE195" s="13">
        <f>IF($AX195="Cancelled","",IFERROR(IF(OR(AW195="",AS195=""),"",(AS195+Variables!$B$19)-AW195),""))</f>
        <v>361</v>
      </c>
      <c r="BF195" s="44">
        <f>IF($AX195="Cancelled","",IFERROR(W195*INDEX(Variables!$B$7:$D$7,IFERROR(MATCH(IF($B195="Robusta","Robusta",(IF($B195="","Arabica",$B195))&amp;" - "&amp;(IF($C195="","Commercial",$C195))),Variables!$B$1:$D$1,0),1))*(BE195/365),""))</f>
        <v>1220.878369702747</v>
      </c>
      <c r="BG195" s="44">
        <f>IF($AX195="Cancelled","",IFERROR((W195*INDEX(Variables!$B$7:$D$7,IFERROR(MATCH(IF($B195="Robusta","Robusta",(IF($B195="","Arabica",$B195))&amp;" - "&amp;(IF($C195="","Commercial",$C195))),Variables!$B$1:$D$1,0),1))*IFERROR(IF(AB195="","",(AVERAGE(E195:F195)-AB195)-Variables!$B$14),"")/365)+(L195/16.67*INDEX(Variables!$B$8:$D$8,IFERROR(MATCH(IF($B195="Robusta","Robusta",(IF($B195="","Arabica",$B195))&amp;" - "&amp;(IF($C195="","Commercial",$C195))),Variables!$B$1:$D$1,0),1))*IFERROR(IF(AB195="","",(AVERAGE(E195:F195)-AB195)-Variables!$B$14),""))+(W195*INDEX(Variables!$B$9:$D$9,IFERROR(MATCH(IF($B195="Robusta","Robusta",(IF($B195="","Arabica",$B195))&amp;" - "&amp;(IF($C195="","Commercial",$C195))),Variables!$B$1:$D$1,0),1))*IFERROR(IF(AB195="","",(AVERAGE(E195:F195)-AB195)-Variables!$B$14),"")/365),""))</f>
        <v>22.586578595793757</v>
      </c>
      <c r="BH195" s="44">
        <f>IF($AX195="Cancelled","",IFERROR((W195*INDEX(Variables!$B$7:$D$7,IFERROR(MATCH(IF($B195="Robusta","Robusta",(IF($B195="","Arabica",$B195))&amp;" - "&amp;(IF($C195="","Commercial",$C195))),Variables!$B$1:$D$1,0),1))*AK195/365)+(L195/16.67*INDEX(Variables!$B$8:$D$8,IFERROR(MATCH(IF($B195="Robusta","Robusta",(IF($B195="","Arabica",$B195))&amp;" - "&amp;(IF($C195="","Commercial",$C195))),Variables!$B$1:$D$1,0),1))*AK195)+(W195*INDEX(Variables!$B$9:$D$9,IFERROR(MATCH(IF($B195="Robusta","Robusta",(IF($B195="","Arabica",$B195))&amp;" - "&amp;(IF($C195="","Commercial",$C195))),Variables!$B$1:$D$1,0),1))*AK195/365),""))</f>
        <v>43.804273640327295</v>
      </c>
      <c r="BI195" s="44">
        <f>IF($AX195="Cancelled","",IFERROR((W195*INDEX(Variables!$B$7:$D$7,IFERROR(MATCH(IF($B195="Robusta","Robusta",(IF($B195="","Arabica",$B195))&amp;" - "&amp;(IF($C195="","Commercial",$C195))),Variables!$B$1:$D$1,0),1))*BD195/365)+(L195/16.67*INDEX(Variables!$B$8:$D$8,IFERROR(MATCH(IF($B195="Robusta","Robusta",(IF($B195="","Arabica",$B195))&amp;" - "&amp;(IF($C195="","Commercial",$C195))),Variables!$B$1:$D$1,0),1))*BD195)+(W195*INDEX(Variables!$B$9:$D$9,IFERROR(MATCH(IF($B195="Robusta","Robusta",(IF($B195="","Arabica",$B195))&amp;" - "&amp;(IF($C195="","Commercial",$C195))),Variables!$B$1:$D$1,0),1))*BD195/365),""))</f>
        <v>21.902136820163648</v>
      </c>
      <c r="BJ195" s="44">
        <f t="shared" si="11"/>
        <v>-17</v>
      </c>
      <c r="BK195" s="44">
        <f>IF($AX195="Cancelled","",IFERROR(IF(BJ195="","",(W195*INDEX(Variables!$B$7:$D$7,IFERROR(MATCH(IF($B195="Robusta","Robusta",(IF($B195="","Arabica",$B195))&amp;" - "&amp;(IF($C195="","Commercial",$C195))),Variables!$B$1:$D$1,0),1))*(BJ195/365))+(W195*INDEX(Variables!$B$9:$D$9,IFERROR(MATCH(IF($B195="Robusta","Robusta",(IF($B195="","Arabica",$B195))&amp;" - "&amp;(IF($C195="","Commercial",$C195))),Variables!$B$1:$D$1,0),1))*(BJ195/365))+(INDEX(Variables!$B$8:$D$8,IFERROR(MATCH(IF($B195="Robusta","Robusta",(IF($B195="","Arabica",$B195))&amp;" - "&amp;(IF($C195="","Commercial",$C195))),Variables!$B$1:$D$1,0),1))*L195/16.67)),""))</f>
        <v>-56.184081485695508</v>
      </c>
    </row>
    <row r="196" spans="1:63">
      <c r="A196" s="13" t="s">
        <v>103</v>
      </c>
      <c r="B196" s="13" t="s">
        <v>104</v>
      </c>
      <c r="C196" s="13" t="s">
        <v>292</v>
      </c>
      <c r="D196" s="31">
        <v>45695</v>
      </c>
      <c r="E196" s="31">
        <v>45698</v>
      </c>
      <c r="F196" s="31">
        <v>45716</v>
      </c>
      <c r="G196" s="13">
        <v>3786684</v>
      </c>
      <c r="J196" s="13" t="s">
        <v>550</v>
      </c>
      <c r="K196" s="13" t="s">
        <v>718</v>
      </c>
      <c r="L196" s="13">
        <v>20</v>
      </c>
      <c r="M196" s="13">
        <v>0</v>
      </c>
      <c r="N196" s="13" t="s">
        <v>719</v>
      </c>
      <c r="O196" s="13" t="s">
        <v>576</v>
      </c>
      <c r="P196" s="13">
        <v>10020</v>
      </c>
      <c r="R196" s="13" t="s">
        <v>239</v>
      </c>
      <c r="S196" s="13" t="s">
        <v>283</v>
      </c>
      <c r="T196" s="13" t="s">
        <v>112</v>
      </c>
      <c r="U196" s="13" t="s">
        <v>113</v>
      </c>
      <c r="V196" s="13">
        <v>88.25</v>
      </c>
      <c r="W196" s="44">
        <f>IF($AX196="Cancelled","",IFERROR(((V196+INDEX(Variables!$B$6:$D$6,IFERROR(MATCH(IF($B196="Robusta","Robusta",(IF($B196="","Arabica",$B196))&amp;" - "&amp;(IF($C196="","Commercial",$C196))),Variables!$B$1:$D$1,0),1)))*22.0462)*(L196/16.67),""))</f>
        <v>10025.929346130773</v>
      </c>
      <c r="X196" s="55" t="s">
        <v>39</v>
      </c>
      <c r="Y196" s="13" t="str">
        <f>IF($AX196="Cancelled","",IF(X196="","",IFERROR(IF(INDEX(Variables!$B$38:$B$47,MATCH(X196,Variables!$A$38:$A$47,0))="Yes","Yes","No"),"No")))</f>
        <v>No</v>
      </c>
      <c r="Z196" s="31"/>
      <c r="AB196" s="31">
        <v>45672.875</v>
      </c>
      <c r="AC196" s="13" t="str">
        <f t="shared" si="9"/>
        <v>Approved</v>
      </c>
      <c r="AF196" s="71">
        <f>AJ196-7</f>
        <v>45715</v>
      </c>
      <c r="AG196" s="36">
        <f>IF($AX196="Cancelled","",IFERROR(IF(F196="","",F196-Variables!$B$13),""))</f>
        <v>45701</v>
      </c>
      <c r="AH196" s="13">
        <f>IF($AX196="Cancelled","",IFERROR(IF(AB196="","",(AVERAGE(E196:F196)-AB196)-Variables!$B$14),""))</f>
        <v>4.125</v>
      </c>
      <c r="AJ196" s="47">
        <v>45722</v>
      </c>
      <c r="AK196" s="14">
        <f>IF($AX196="Cancelled","",IFERROR(IF(AJ196="","",IF(AND(AB196="",AF196=""),"",IF(AF196&gt;AB196,AF196+Variables!$B$15+Variables!$B$16+Variables!$B$17-AJ196,AB196+Variables!$B$16+Variables!$B$17-AJ196))),""))</f>
        <v>8</v>
      </c>
      <c r="AL196" s="48" t="s">
        <v>114</v>
      </c>
      <c r="AM196" s="13" t="s">
        <v>115</v>
      </c>
      <c r="AN196" s="13" t="s">
        <v>1045</v>
      </c>
      <c r="AP196" s="31">
        <v>45728</v>
      </c>
      <c r="AR196" s="13">
        <v>250963916</v>
      </c>
      <c r="AS196" s="31">
        <v>45733</v>
      </c>
      <c r="AU196" s="31">
        <v>45734</v>
      </c>
      <c r="AV196" s="13" t="s">
        <v>865</v>
      </c>
      <c r="AW196" s="31">
        <v>45377</v>
      </c>
      <c r="AX196" s="13" t="str">
        <f>IF(ISNUMBER(SEARCH("cancel",#REF!)),"Cancelled",IF(AND(AS196&lt;&gt;"",AU196&lt;&gt;"",AW196&lt;&gt;""),"Closed","Open"))</f>
        <v>Closed</v>
      </c>
      <c r="AY196" s="15" t="str">
        <f t="shared" si="10"/>
        <v>All dates received</v>
      </c>
      <c r="BD196" s="13">
        <f>IF($AX196="Cancelled","",IFERROR(IF(OR(AS196="",AJ196=""),"",(AJ196+Variables!$B$18-AS196)),""))</f>
        <v>4</v>
      </c>
      <c r="BE196" s="13">
        <f>IF($AX196="Cancelled","",IFERROR(IF(OR(AW196="",AS196=""),"",(AS196+Variables!$B$19)-AW196),""))</f>
        <v>361</v>
      </c>
      <c r="BF196" s="44">
        <f>IF($AX196="Cancelled","",IFERROR(W196*INDEX(Variables!$B$7:$D$7,IFERROR(MATCH(IF($B196="Robusta","Robusta",(IF($B196="","Arabica",$B196))&amp;" - "&amp;(IF($C196="","Commercial",$C196))),Variables!$B$1:$D$1,0),1))*(BE196/365),""))</f>
        <v>639.40911573476615</v>
      </c>
      <c r="BG196" s="44">
        <f>IF($AX196="Cancelled","",IFERROR((W196*INDEX(Variables!$B$7:$D$7,IFERROR(MATCH(IF($B196="Robusta","Robusta",(IF($B196="","Arabica",$B196))&amp;" - "&amp;(IF($C196="","Commercial",$C196))),Variables!$B$1:$D$1,0),1))*IFERROR(IF(AB196="","",(AVERAGE(E196:F196)-AB196)-Variables!$B$14),"")/365)+(L196/16.67*INDEX(Variables!$B$8:$D$8,IFERROR(MATCH(IF($B196="Robusta","Robusta",(IF($B196="","Arabica",$B196))&amp;" - "&amp;(IF($C196="","Commercial",$C196))),Variables!$B$1:$D$1,0),1))*IFERROR(IF(AB196="","",(AVERAGE(E196:F196)-AB196)-Variables!$B$14),""))+(W196*INDEX(Variables!$B$9:$D$9,IFERROR(MATCH(IF($B196="Robusta","Robusta",(IF($B196="","Arabica",$B196))&amp;" - "&amp;(IF($C196="","Commercial",$C196))),Variables!$B$1:$D$1,0),1))*IFERROR(IF(AB196="","",(AVERAGE(E196:F196)-AB196)-Variables!$B$14),"")/365),""))</f>
        <v>11.525459486130448</v>
      </c>
      <c r="BH196" s="44">
        <f>IF($AX196="Cancelled","",IFERROR((W196*INDEX(Variables!$B$7:$D$7,IFERROR(MATCH(IF($B196="Robusta","Robusta",(IF($B196="","Arabica",$B196))&amp;" - "&amp;(IF($C196="","Commercial",$C196))),Variables!$B$1:$D$1,0),1))*AK196/365)+(L196/16.67*INDEX(Variables!$B$8:$D$8,IFERROR(MATCH(IF($B196="Robusta","Robusta",(IF($B196="","Arabica",$B196))&amp;" - "&amp;(IF($C196="","Commercial",$C196))),Variables!$B$1:$D$1,0),1))*AK196)+(W196*INDEX(Variables!$B$9:$D$9,IFERROR(MATCH(IF($B196="Robusta","Robusta",(IF($B196="","Arabica",$B196))&amp;" - "&amp;(IF($C196="","Commercial",$C196))),Variables!$B$1:$D$1,0),1))*AK196/365),""))</f>
        <v>22.352406276131777</v>
      </c>
      <c r="BI196" s="44">
        <f>IF($AX196="Cancelled","",IFERROR((W196*INDEX(Variables!$B$7:$D$7,IFERROR(MATCH(IF($B196="Robusta","Robusta",(IF($B196="","Arabica",$B196))&amp;" - "&amp;(IF($C196="","Commercial",$C196))),Variables!$B$1:$D$1,0),1))*BD196/365)+(L196/16.67*INDEX(Variables!$B$8:$D$8,IFERROR(MATCH(IF($B196="Robusta","Robusta",(IF($B196="","Arabica",$B196))&amp;" - "&amp;(IF($C196="","Commercial",$C196))),Variables!$B$1:$D$1,0),1))*BD196)+(W196*INDEX(Variables!$B$9:$D$9,IFERROR(MATCH(IF($B196="Robusta","Robusta",(IF($B196="","Arabica",$B196))&amp;" - "&amp;(IF($C196="","Commercial",$C196))),Variables!$B$1:$D$1,0),1))*BD196/365),""))</f>
        <v>11.176203138065889</v>
      </c>
      <c r="BJ196" s="44">
        <f t="shared" si="11"/>
        <v>-17</v>
      </c>
      <c r="BK196" s="44">
        <f>IF($AX196="Cancelled","",IFERROR(IF(BJ196="","",(W196*INDEX(Variables!$B$7:$D$7,IFERROR(MATCH(IF($B196="Robusta","Robusta",(IF($B196="","Arabica",$B196))&amp;" - "&amp;(IF($C196="","Commercial",$C196))),Variables!$B$1:$D$1,0),1))*(BJ196/365))+(W196*INDEX(Variables!$B$9:$D$9,IFERROR(MATCH(IF($B196="Robusta","Robusta",(IF($B196="","Arabica",$B196))&amp;" - "&amp;(IF($C196="","Commercial",$C196))),Variables!$B$1:$D$1,0),1))*(BJ196/365))+(INDEX(Variables!$B$8:$D$8,IFERROR(MATCH(IF($B196="Robusta","Robusta",(IF($B196="","Arabica",$B196))&amp;" - "&amp;(IF($C196="","Commercial",$C196))),Variables!$B$1:$D$1,0),1))*L196/16.67)),""))</f>
        <v>-29.49886333678003</v>
      </c>
    </row>
    <row r="197" spans="1:63">
      <c r="A197" s="13" t="s">
        <v>103</v>
      </c>
      <c r="B197" s="13" t="s">
        <v>104</v>
      </c>
      <c r="C197" s="13" t="s">
        <v>292</v>
      </c>
      <c r="D197" s="31">
        <v>45695</v>
      </c>
      <c r="E197" s="31">
        <v>45698</v>
      </c>
      <c r="F197" s="31">
        <v>45716</v>
      </c>
      <c r="G197" s="13">
        <v>3786685</v>
      </c>
      <c r="J197" s="13" t="s">
        <v>550</v>
      </c>
      <c r="K197" s="13" t="s">
        <v>720</v>
      </c>
      <c r="L197" s="13">
        <v>30</v>
      </c>
      <c r="M197" s="13">
        <v>0</v>
      </c>
      <c r="N197" s="13" t="s">
        <v>721</v>
      </c>
      <c r="O197" s="13" t="s">
        <v>576</v>
      </c>
      <c r="P197" s="13">
        <v>10020</v>
      </c>
      <c r="R197" s="13" t="s">
        <v>239</v>
      </c>
      <c r="S197" s="13" t="s">
        <v>283</v>
      </c>
      <c r="T197" s="13" t="s">
        <v>112</v>
      </c>
      <c r="U197" s="13" t="s">
        <v>113</v>
      </c>
      <c r="V197" s="13">
        <v>62.25</v>
      </c>
      <c r="W197" s="44">
        <f>IF($AX197="Cancelled","",IFERROR(((V197+INDEX(Variables!$B$6:$D$6,IFERROR(MATCH(IF($B197="Robusta","Robusta",(IF($B197="","Arabica",$B197))&amp;" - "&amp;(IF($C197="","Commercial",$C197))),Variables!$B$1:$D$1,0),1)))*22.0462)*(L197/16.67),""))</f>
        <v>14007.338170365925</v>
      </c>
      <c r="X197" s="55" t="s">
        <v>39</v>
      </c>
      <c r="Y197" s="13" t="str">
        <f>IF($AX197="Cancelled","",IF(X197="","",IFERROR(IF(INDEX(Variables!$B$38:$B$47,MATCH(X197,Variables!$A$38:$A$47,0))="Yes","Yes","No"),"No")))</f>
        <v>No</v>
      </c>
      <c r="Z197" s="31"/>
      <c r="AB197" s="31">
        <v>45672.875</v>
      </c>
      <c r="AC197" s="13" t="str">
        <f t="shared" si="9"/>
        <v>Approved</v>
      </c>
      <c r="AF197" s="71">
        <f>AJ197-7</f>
        <v>45715</v>
      </c>
      <c r="AG197" s="36">
        <f>IF($AX197="Cancelled","",IFERROR(IF(F197="","",F197-Variables!$B$13),""))</f>
        <v>45701</v>
      </c>
      <c r="AH197" s="13">
        <f>IF($AX197="Cancelled","",IFERROR(IF(AB197="","",(AVERAGE(E197:F197)-AB197)-Variables!$B$14),""))</f>
        <v>4.125</v>
      </c>
      <c r="AJ197" s="47">
        <v>45722</v>
      </c>
      <c r="AK197" s="14">
        <f>IF($AX197="Cancelled","",IFERROR(IF(AJ197="","",IF(AND(AB197="",AF197=""),"",IF(AF197&gt;AB197,AF197+Variables!$B$15+Variables!$B$16+Variables!$B$17-AJ197,AB197+Variables!$B$16+Variables!$B$17-AJ197))),""))</f>
        <v>8</v>
      </c>
      <c r="AL197" s="48" t="s">
        <v>114</v>
      </c>
      <c r="AM197" s="13" t="s">
        <v>115</v>
      </c>
      <c r="AN197" s="13" t="s">
        <v>1045</v>
      </c>
      <c r="AP197" s="31">
        <v>45728</v>
      </c>
      <c r="AR197" s="13">
        <v>250963916</v>
      </c>
      <c r="AS197" s="31">
        <v>45733</v>
      </c>
      <c r="AU197" s="31">
        <v>45734</v>
      </c>
      <c r="AV197" s="13" t="s">
        <v>865</v>
      </c>
      <c r="AW197" s="31">
        <v>45377</v>
      </c>
      <c r="AX197" s="13" t="str">
        <f>IF(ISNUMBER(SEARCH("cancel",#REF!)),"Cancelled",IF(AND(AS197&lt;&gt;"",AU197&lt;&gt;"",AW197&lt;&gt;""),"Closed","Open"))</f>
        <v>Closed</v>
      </c>
      <c r="AY197" s="15" t="str">
        <f t="shared" si="10"/>
        <v>All dates received</v>
      </c>
      <c r="BD197" s="13">
        <f>IF($AX197="Cancelled","",IFERROR(IF(OR(AS197="",AJ197=""),"",(AJ197+Variables!$B$18-AS197)),""))</f>
        <v>4</v>
      </c>
      <c r="BE197" s="13">
        <f>IF($AX197="Cancelled","",IFERROR(IF(OR(AW197="",AS197=""),"",(AS197+Variables!$B$19)-AW197),""))</f>
        <v>361</v>
      </c>
      <c r="BF197" s="44">
        <f>IF($AX197="Cancelled","",IFERROR(W197*INDEX(Variables!$B$7:$D$7,IFERROR(MATCH(IF($B197="Robusta","Robusta",(IF($B197="","Arabica",$B197))&amp;" - "&amp;(IF($C197="","Commercial",$C197))),Variables!$B$1:$D$1,0),1))*(BE197/365),""))</f>
        <v>893.32563636786369</v>
      </c>
      <c r="BG197" s="44">
        <f>IF($AX197="Cancelled","",IFERROR((W197*INDEX(Variables!$B$7:$D$7,IFERROR(MATCH(IF($B197="Robusta","Robusta",(IF($B197="","Arabica",$B197))&amp;" - "&amp;(IF($C197="","Commercial",$C197))),Variables!$B$1:$D$1,0),1))*IFERROR(IF(AB197="","",(AVERAGE(E197:F197)-AB197)-Variables!$B$14),"")/365)+(L197/16.67*INDEX(Variables!$B$8:$D$8,IFERROR(MATCH(IF($B197="Robusta","Robusta",(IF($B197="","Arabica",$B197))&amp;" - "&amp;(IF($C197="","Commercial",$C197))),Variables!$B$1:$D$1,0),1))*IFERROR(IF(AB197="","",(AVERAGE(E197:F197)-AB197)-Variables!$B$14),""))+(W197*INDEX(Variables!$B$9:$D$9,IFERROR(MATCH(IF($B197="Robusta","Robusta",(IF($B197="","Arabica",$B197))&amp;" - "&amp;(IF($C197="","Commercial",$C197))),Variables!$B$1:$D$1,0),1))*IFERROR(IF(AB197="","",(AVERAGE(E197:F197)-AB197)-Variables!$B$14),"")/365),""))</f>
        <v>16.526764826190558</v>
      </c>
      <c r="BH197" s="44">
        <f>IF($AX197="Cancelled","",IFERROR((W197*INDEX(Variables!$B$7:$D$7,IFERROR(MATCH(IF($B197="Robusta","Robusta",(IF($B197="","Arabica",$B197))&amp;" - "&amp;(IF($C197="","Commercial",$C197))),Variables!$B$1:$D$1,0),1))*AK197/365)+(L197/16.67*INDEX(Variables!$B$8:$D$8,IFERROR(MATCH(IF($B197="Robusta","Robusta",(IF($B197="","Arabica",$B197))&amp;" - "&amp;(IF($C197="","Commercial",$C197))),Variables!$B$1:$D$1,0),1))*AK197)+(W197*INDEX(Variables!$B$9:$D$9,IFERROR(MATCH(IF($B197="Robusta","Robusta",(IF($B197="","Arabica",$B197))&amp;" - "&amp;(IF($C197="","Commercial",$C197))),Variables!$B$1:$D$1,0),1))*AK197/365),""))</f>
        <v>32.051907541702903</v>
      </c>
      <c r="BI197" s="44">
        <f>IF($AX197="Cancelled","",IFERROR((W197*INDEX(Variables!$B$7:$D$7,IFERROR(MATCH(IF($B197="Robusta","Robusta",(IF($B197="","Arabica",$B197))&amp;" - "&amp;(IF($C197="","Commercial",$C197))),Variables!$B$1:$D$1,0),1))*BD197/365)+(L197/16.67*INDEX(Variables!$B$8:$D$8,IFERROR(MATCH(IF($B197="Robusta","Robusta",(IF($B197="","Arabica",$B197))&amp;" - "&amp;(IF($C197="","Commercial",$C197))),Variables!$B$1:$D$1,0),1))*BD197)+(W197*INDEX(Variables!$B$9:$D$9,IFERROR(MATCH(IF($B197="Robusta","Robusta",(IF($B197="","Arabica",$B197))&amp;" - "&amp;(IF($C197="","Commercial",$C197))),Variables!$B$1:$D$1,0),1))*BD197/365),""))</f>
        <v>16.025953770851451</v>
      </c>
      <c r="BJ197" s="44">
        <f t="shared" si="11"/>
        <v>-17</v>
      </c>
      <c r="BK197" s="44">
        <f>IF($AX197="Cancelled","",IFERROR(IF(BJ197="","",(W197*INDEX(Variables!$B$7:$D$7,IFERROR(MATCH(IF($B197="Robusta","Robusta",(IF($B197="","Arabica",$B197))&amp;" - "&amp;(IF($C197="","Commercial",$C197))),Variables!$B$1:$D$1,0),1))*(BJ197/365))+(W197*INDEX(Variables!$B$9:$D$9,IFERROR(MATCH(IF($B197="Robusta","Robusta",(IF($B197="","Arabica",$B197))&amp;" - "&amp;(IF($C197="","Commercial",$C197))),Variables!$B$1:$D$1,0),1))*(BJ197/365))+(INDEX(Variables!$B$8:$D$8,IFERROR(MATCH(IF($B197="Robusta","Robusta",(IF($B197="","Arabica",$B197))&amp;" - "&amp;(IF($C197="","Commercial",$C197))),Variables!$B$1:$D$1,0),1))*L197/16.67)),""))</f>
        <v>-41.11030352611867</v>
      </c>
    </row>
    <row r="198" spans="1:63">
      <c r="A198" s="13" t="s">
        <v>103</v>
      </c>
      <c r="B198" s="13" t="s">
        <v>104</v>
      </c>
      <c r="C198" s="13" t="s">
        <v>292</v>
      </c>
      <c r="D198" s="31">
        <v>45695</v>
      </c>
      <c r="E198" s="31">
        <v>45698</v>
      </c>
      <c r="F198" s="31">
        <v>45716</v>
      </c>
      <c r="G198" s="13">
        <v>3786686</v>
      </c>
      <c r="J198" s="13" t="s">
        <v>550</v>
      </c>
      <c r="K198" s="13" t="s">
        <v>722</v>
      </c>
      <c r="L198" s="13">
        <v>1</v>
      </c>
      <c r="M198" s="13">
        <v>0</v>
      </c>
      <c r="N198" s="13" t="s">
        <v>723</v>
      </c>
      <c r="O198" s="13" t="s">
        <v>576</v>
      </c>
      <c r="P198" s="13">
        <v>10020</v>
      </c>
      <c r="R198" s="13" t="s">
        <v>110</v>
      </c>
      <c r="S198" s="13" t="s">
        <v>283</v>
      </c>
      <c r="T198" s="13" t="s">
        <v>112</v>
      </c>
      <c r="U198" s="13" t="s">
        <v>113</v>
      </c>
      <c r="V198" s="13">
        <v>62.25</v>
      </c>
      <c r="W198" s="44">
        <f>IF($AX198="Cancelled","",IFERROR(((V198+INDEX(Variables!$B$6:$D$6,IFERROR(MATCH(IF($B198="Robusta","Robusta",(IF($B198="","Arabica",$B198))&amp;" - "&amp;(IF($C198="","Commercial",$C198))),Variables!$B$1:$D$1,0),1)))*22.0462)*(L198/16.67),""))</f>
        <v>466.91127234553079</v>
      </c>
      <c r="X198" s="55" t="s">
        <v>39</v>
      </c>
      <c r="Y198" s="13" t="str">
        <f>IF($AX198="Cancelled","",IF(X198="","",IFERROR(IF(INDEX(Variables!$B$38:$B$47,MATCH(X198,Variables!$A$38:$A$47,0))="Yes","Yes","No"),"No")))</f>
        <v>No</v>
      </c>
      <c r="Z198" s="31"/>
      <c r="AB198" s="31">
        <v>45672.875</v>
      </c>
      <c r="AC198" s="13" t="str">
        <f t="shared" si="9"/>
        <v>Approved</v>
      </c>
      <c r="AF198" s="71">
        <f>AJ198-7</f>
        <v>45715</v>
      </c>
      <c r="AG198" s="36">
        <f>IF($AX198="Cancelled","",IFERROR(IF(F198="","",F198-Variables!$B$13),""))</f>
        <v>45701</v>
      </c>
      <c r="AH198" s="13">
        <f>IF($AX198="Cancelled","",IFERROR(IF(AB198="","",(AVERAGE(E198:F198)-AB198)-Variables!$B$14),""))</f>
        <v>4.125</v>
      </c>
      <c r="AJ198" s="47">
        <v>45722</v>
      </c>
      <c r="AK198" s="14">
        <f>IF($AX198="Cancelled","",IFERROR(IF(AJ198="","",IF(AND(AB198="",AF198=""),"",IF(AF198&gt;AB198,AF198+Variables!$B$15+Variables!$B$16+Variables!$B$17-AJ198,AB198+Variables!$B$16+Variables!$B$17-AJ198))),""))</f>
        <v>8</v>
      </c>
      <c r="AL198" s="48" t="s">
        <v>114</v>
      </c>
      <c r="AM198" s="13" t="s">
        <v>115</v>
      </c>
      <c r="AN198" s="13" t="s">
        <v>1045</v>
      </c>
      <c r="AP198" s="31">
        <v>45728</v>
      </c>
      <c r="AR198" s="13">
        <v>250963916</v>
      </c>
      <c r="AS198" s="31">
        <v>45733</v>
      </c>
      <c r="AU198" s="31">
        <v>45734</v>
      </c>
      <c r="AV198" s="13" t="s">
        <v>865</v>
      </c>
      <c r="AW198" s="31">
        <v>45377</v>
      </c>
      <c r="AX198" s="13" t="str">
        <f>IF(ISNUMBER(SEARCH("cancel",#REF!)),"Cancelled",IF(AND(AS198&lt;&gt;"",AU198&lt;&gt;"",AW198&lt;&gt;""),"Closed","Open"))</f>
        <v>Closed</v>
      </c>
      <c r="AY198" s="15" t="str">
        <f t="shared" si="10"/>
        <v>All dates received</v>
      </c>
      <c r="BD198" s="13">
        <f>IF($AX198="Cancelled","",IFERROR(IF(OR(AS198="",AJ198=""),"",(AJ198+Variables!$B$18-AS198)),""))</f>
        <v>4</v>
      </c>
      <c r="BE198" s="13">
        <f>IF($AX198="Cancelled","",IFERROR(IF(OR(AW198="",AS198=""),"",(AS198+Variables!$B$19)-AW198),""))</f>
        <v>361</v>
      </c>
      <c r="BF198" s="44">
        <f>IF($AX198="Cancelled","",IFERROR(W198*INDEX(Variables!$B$7:$D$7,IFERROR(MATCH(IF($B198="Robusta","Robusta",(IF($B198="","Arabica",$B198))&amp;" - "&amp;(IF($C198="","Commercial",$C198))),Variables!$B$1:$D$1,0),1))*(BE198/365),""))</f>
        <v>29.777521212262123</v>
      </c>
      <c r="BG198" s="44">
        <f>IF($AX198="Cancelled","",IFERROR((W198*INDEX(Variables!$B$7:$D$7,IFERROR(MATCH(IF($B198="Robusta","Robusta",(IF($B198="","Arabica",$B198))&amp;" - "&amp;(IF($C198="","Commercial",$C198))),Variables!$B$1:$D$1,0),1))*IFERROR(IF(AB198="","",(AVERAGE(E198:F198)-AB198)-Variables!$B$14),"")/365)+(L198/16.67*INDEX(Variables!$B$8:$D$8,IFERROR(MATCH(IF($B198="Robusta","Robusta",(IF($B198="","Arabica",$B198))&amp;" - "&amp;(IF($C198="","Commercial",$C198))),Variables!$B$1:$D$1,0),1))*IFERROR(IF(AB198="","",(AVERAGE(E198:F198)-AB198)-Variables!$B$14),""))+(W198*INDEX(Variables!$B$9:$D$9,IFERROR(MATCH(IF($B198="Robusta","Robusta",(IF($B198="","Arabica",$B198))&amp;" - "&amp;(IF($C198="","Commercial",$C198))),Variables!$B$1:$D$1,0),1))*IFERROR(IF(AB198="","",(AVERAGE(E198:F198)-AB198)-Variables!$B$14),"")/365),""))</f>
        <v>0.55089216087301862</v>
      </c>
      <c r="BH198" s="44">
        <f>IF($AX198="Cancelled","",IFERROR((W198*INDEX(Variables!$B$7:$D$7,IFERROR(MATCH(IF($B198="Robusta","Robusta",(IF($B198="","Arabica",$B198))&amp;" - "&amp;(IF($C198="","Commercial",$C198))),Variables!$B$1:$D$1,0),1))*AK198/365)+(L198/16.67*INDEX(Variables!$B$8:$D$8,IFERROR(MATCH(IF($B198="Robusta","Robusta",(IF($B198="","Arabica",$B198))&amp;" - "&amp;(IF($C198="","Commercial",$C198))),Variables!$B$1:$D$1,0),1))*AK198)+(W198*INDEX(Variables!$B$9:$D$9,IFERROR(MATCH(IF($B198="Robusta","Robusta",(IF($B198="","Arabica",$B198))&amp;" - "&amp;(IF($C198="","Commercial",$C198))),Variables!$B$1:$D$1,0),1))*AK198/365),""))</f>
        <v>1.0683969180567634</v>
      </c>
      <c r="BI198" s="44">
        <f>IF($AX198="Cancelled","",IFERROR((W198*INDEX(Variables!$B$7:$D$7,IFERROR(MATCH(IF($B198="Robusta","Robusta",(IF($B198="","Arabica",$B198))&amp;" - "&amp;(IF($C198="","Commercial",$C198))),Variables!$B$1:$D$1,0),1))*BD198/365)+(L198/16.67*INDEX(Variables!$B$8:$D$8,IFERROR(MATCH(IF($B198="Robusta","Robusta",(IF($B198="","Arabica",$B198))&amp;" - "&amp;(IF($C198="","Commercial",$C198))),Variables!$B$1:$D$1,0),1))*BD198)+(W198*INDEX(Variables!$B$9:$D$9,IFERROR(MATCH(IF($B198="Robusta","Robusta",(IF($B198="","Arabica",$B198))&amp;" - "&amp;(IF($C198="","Commercial",$C198))),Variables!$B$1:$D$1,0),1))*BD198/365),""))</f>
        <v>0.5341984590283817</v>
      </c>
      <c r="BJ198" s="44">
        <f t="shared" si="11"/>
        <v>-17</v>
      </c>
      <c r="BK198" s="44">
        <f>IF($AX198="Cancelled","",IFERROR(IF(BJ198="","",(W198*INDEX(Variables!$B$7:$D$7,IFERROR(MATCH(IF($B198="Robusta","Robusta",(IF($B198="","Arabica",$B198))&amp;" - "&amp;(IF($C198="","Commercial",$C198))),Variables!$B$1:$D$1,0),1))*(BJ198/365))+(W198*INDEX(Variables!$B$9:$D$9,IFERROR(MATCH(IF($B198="Robusta","Robusta",(IF($B198="","Arabica",$B198))&amp;" - "&amp;(IF($C198="","Commercial",$C198))),Variables!$B$1:$D$1,0),1))*(BJ198/365))+(INDEX(Variables!$B$8:$D$8,IFERROR(MATCH(IF($B198="Robusta","Robusta",(IF($B198="","Arabica",$B198))&amp;" - "&amp;(IF($C198="","Commercial",$C198))),Variables!$B$1:$D$1,0),1))*L198/16.67)),""))</f>
        <v>-1.370343450870622</v>
      </c>
    </row>
    <row r="199" spans="1:63">
      <c r="A199" s="13" t="s">
        <v>103</v>
      </c>
      <c r="B199" s="13" t="s">
        <v>104</v>
      </c>
      <c r="C199" s="13" t="s">
        <v>292</v>
      </c>
      <c r="D199" s="31">
        <v>45695</v>
      </c>
      <c r="E199" s="31">
        <v>45717</v>
      </c>
      <c r="F199" s="31">
        <v>45747</v>
      </c>
      <c r="G199" s="13">
        <v>3786687</v>
      </c>
      <c r="J199" s="13" t="s">
        <v>294</v>
      </c>
      <c r="K199" s="13" t="s">
        <v>724</v>
      </c>
      <c r="L199" s="13">
        <v>25</v>
      </c>
      <c r="M199" s="13">
        <v>1</v>
      </c>
      <c r="N199" s="13" t="s">
        <v>725</v>
      </c>
      <c r="O199" s="13" t="s">
        <v>304</v>
      </c>
      <c r="P199" s="13">
        <v>10010</v>
      </c>
      <c r="R199" s="13" t="s">
        <v>384</v>
      </c>
      <c r="S199" s="13" t="s">
        <v>299</v>
      </c>
      <c r="T199" s="13" t="s">
        <v>305</v>
      </c>
      <c r="U199" s="13" t="s">
        <v>125</v>
      </c>
      <c r="V199" s="13">
        <v>81.099999999999994</v>
      </c>
      <c r="W199" s="44">
        <f>IF($AX199="Cancelled","",IFERROR(((V199+INDEX(Variables!$B$6:$D$6,IFERROR(MATCH(IF($B199="Robusta","Robusta",(IF($B199="","Arabica",$B199))&amp;" - "&amp;(IF($C199="","Commercial",$C199))),Variables!$B$1:$D$1,0),1)))*22.0462)*(L199/16.67),""))</f>
        <v>12296.013467306535</v>
      </c>
      <c r="X199" s="55" t="s">
        <v>39</v>
      </c>
      <c r="Y199" s="13" t="str">
        <f>IF($AX199="Cancelled","",IF(X199="","",IFERROR(IF(INDEX(Variables!$B$38:$B$47,MATCH(X199,Variables!$A$38:$A$47,0))="Yes","Yes","No"),"No")))</f>
        <v>No</v>
      </c>
      <c r="Z199" s="31"/>
      <c r="AB199" s="31">
        <v>45689.875</v>
      </c>
      <c r="AC199" s="13" t="str">
        <f t="shared" si="9"/>
        <v>Approved</v>
      </c>
      <c r="AF199" s="71">
        <f>AJ199-7</f>
        <v>45716</v>
      </c>
      <c r="AG199" s="36">
        <f>IF($AX199="Cancelled","",IFERROR(IF(F199="","",F199-Variables!$B$13),""))</f>
        <v>45732</v>
      </c>
      <c r="AH199" s="13">
        <f>IF($AX199="Cancelled","",IFERROR(IF(AB199="","",(AVERAGE(E199:F199)-AB199)-Variables!$B$14),""))</f>
        <v>12.125</v>
      </c>
      <c r="AJ199" s="47">
        <v>45723</v>
      </c>
      <c r="AK199" s="14">
        <f>IF($AX199="Cancelled","",IFERROR(IF(AJ199="","",IF(AND(AB199="",AF199=""),"",IF(AF199&gt;AB199,AF199+Variables!$B$15+Variables!$B$16+Variables!$B$17-AJ199,AB199+Variables!$B$16+Variables!$B$17-AJ199))),""))</f>
        <v>8</v>
      </c>
      <c r="AL199" s="48" t="s">
        <v>114</v>
      </c>
      <c r="AM199" s="13" t="s">
        <v>115</v>
      </c>
      <c r="AN199" s="13" t="s">
        <v>370</v>
      </c>
      <c r="AP199" s="31">
        <v>45735</v>
      </c>
      <c r="AR199" s="13">
        <v>251075753</v>
      </c>
      <c r="AS199" s="31">
        <v>45738</v>
      </c>
      <c r="AU199" s="31">
        <v>45744</v>
      </c>
      <c r="AV199" s="13" t="s">
        <v>3267</v>
      </c>
      <c r="AW199" s="31">
        <v>45759</v>
      </c>
      <c r="AX199" s="13" t="str">
        <f>IF(ISNUMBER(SEARCH("cancel",#REF!)),"Cancelled",IF(AND(AS199&lt;&gt;"",AU199&lt;&gt;"",AW199&lt;&gt;""),"Closed","Open"))</f>
        <v>Closed</v>
      </c>
      <c r="AY199" s="15" t="str">
        <f t="shared" si="10"/>
        <v>All dates received</v>
      </c>
      <c r="BD199" s="13">
        <f>IF($AX199="Cancelled","",IFERROR(IF(OR(AS199="",AJ199=""),"",(AJ199+Variables!$B$18-AS199)),""))</f>
        <v>0</v>
      </c>
      <c r="BE199" s="13">
        <f>IF($AX199="Cancelled","",IFERROR(IF(OR(AW199="",AS199=""),"",(AS199+Variables!$B$19)-AW199),""))</f>
        <v>-16</v>
      </c>
      <c r="BF199" s="44">
        <f>IF($AX199="Cancelled","",IFERROR(W199*INDEX(Variables!$B$7:$D$7,IFERROR(MATCH(IF($B199="Robusta","Robusta",(IF($B199="","Arabica",$B199))&amp;" - "&amp;(IF($C199="","Commercial",$C199))),Variables!$B$1:$D$1,0),1))*(BE199/365),""))</f>
        <v>-34.756120530479059</v>
      </c>
      <c r="BG199" s="44">
        <f>IF($AX199="Cancelled","",IFERROR((W199*INDEX(Variables!$B$7:$D$7,IFERROR(MATCH(IF($B199="Robusta","Robusta",(IF($B199="","Arabica",$B199))&amp;" - "&amp;(IF($C199="","Commercial",$C199))),Variables!$B$1:$D$1,0),1))*IFERROR(IF(AB199="","",(AVERAGE(E199:F199)-AB199)-Variables!$B$14),"")/365)+(L199/16.67*INDEX(Variables!$B$8:$D$8,IFERROR(MATCH(IF($B199="Robusta","Robusta",(IF($B199="","Arabica",$B199))&amp;" - "&amp;(IF($C199="","Commercial",$C199))),Variables!$B$1:$D$1,0),1))*IFERROR(IF(AB199="","",(AVERAGE(E199:F199)-AB199)-Variables!$B$14),""))+(W199*INDEX(Variables!$B$9:$D$9,IFERROR(MATCH(IF($B199="Robusta","Robusta",(IF($B199="","Arabica",$B199))&amp;" - "&amp;(IF($C199="","Commercial",$C199))),Variables!$B$1:$D$1,0),1))*IFERROR(IF(AB199="","",(AVERAGE(E199:F199)-AB199)-Variables!$B$14),"")/365),""))</f>
        <v>41.834428264692384</v>
      </c>
      <c r="BH199" s="44">
        <f>IF($AX199="Cancelled","",IFERROR((W199*INDEX(Variables!$B$7:$D$7,IFERROR(MATCH(IF($B199="Robusta","Robusta",(IF($B199="","Arabica",$B199))&amp;" - "&amp;(IF($C199="","Commercial",$C199))),Variables!$B$1:$D$1,0),1))*AK199/365)+(L199/16.67*INDEX(Variables!$B$8:$D$8,IFERROR(MATCH(IF($B199="Robusta","Robusta",(IF($B199="","Arabica",$B199))&amp;" - "&amp;(IF($C199="","Commercial",$C199))),Variables!$B$1:$D$1,0),1))*AK199)+(W199*INDEX(Variables!$B$9:$D$9,IFERROR(MATCH(IF($B199="Robusta","Robusta",(IF($B199="","Arabica",$B199))&amp;" - "&amp;(IF($C199="","Commercial",$C199))),Variables!$B$1:$D$1,0),1))*AK199/365),""))</f>
        <v>27.602096999384667</v>
      </c>
      <c r="BI199" s="44">
        <f>IF($AX199="Cancelled","",IFERROR((W199*INDEX(Variables!$B$7:$D$7,IFERROR(MATCH(IF($B199="Robusta","Robusta",(IF($B199="","Arabica",$B199))&amp;" - "&amp;(IF($C199="","Commercial",$C199))),Variables!$B$1:$D$1,0),1))*BD199/365)+(L199/16.67*INDEX(Variables!$B$8:$D$8,IFERROR(MATCH(IF($B199="Robusta","Robusta",(IF($B199="","Arabica",$B199))&amp;" - "&amp;(IF($C199="","Commercial",$C199))),Variables!$B$1:$D$1,0),1))*BD199)+(W199*INDEX(Variables!$B$9:$D$9,IFERROR(MATCH(IF($B199="Robusta","Robusta",(IF($B199="","Arabica",$B199))&amp;" - "&amp;(IF($C199="","Commercial",$C199))),Variables!$B$1:$D$1,0),1))*BD199/365),""))</f>
        <v>0</v>
      </c>
      <c r="BJ199" s="44">
        <f t="shared" si="11"/>
        <v>9</v>
      </c>
      <c r="BK199" s="44">
        <f>IF($AX199="Cancelled","",IFERROR(IF(BJ199="","",(W199*INDEX(Variables!$B$7:$D$7,IFERROR(MATCH(IF($B199="Robusta","Robusta",(IF($B199="","Arabica",$B199))&amp;" - "&amp;(IF($C199="","Commercial",$C199))),Variables!$B$1:$D$1,0),1))*(BJ199/365))+(W199*INDEX(Variables!$B$9:$D$9,IFERROR(MATCH(IF($B199="Robusta","Robusta",(IF($B199="","Arabica",$B199))&amp;" - "&amp;(IF($C199="","Commercial",$C199))),Variables!$B$1:$D$1,0),1))*(BJ199/365))+(INDEX(Variables!$B$8:$D$8,IFERROR(MATCH(IF($B199="Robusta","Robusta",(IF($B199="","Arabica",$B199))&amp;" - "&amp;(IF($C199="","Commercial",$C199))),Variables!$B$1:$D$1,0),1))*L199/16.67)),""))</f>
        <v>21.052359124307745</v>
      </c>
    </row>
    <row r="200" spans="1:63">
      <c r="A200" s="13" t="s">
        <v>103</v>
      </c>
      <c r="B200" s="13" t="s">
        <v>104</v>
      </c>
      <c r="C200" s="13" t="s">
        <v>292</v>
      </c>
      <c r="D200" s="31">
        <v>45695</v>
      </c>
      <c r="E200" s="31">
        <v>45717</v>
      </c>
      <c r="F200" s="31">
        <v>45747</v>
      </c>
      <c r="G200" s="13">
        <v>3786688</v>
      </c>
      <c r="J200" s="13" t="s">
        <v>294</v>
      </c>
      <c r="K200" s="13" t="s">
        <v>726</v>
      </c>
      <c r="L200" s="13">
        <v>26</v>
      </c>
      <c r="M200" s="13">
        <v>0</v>
      </c>
      <c r="N200" s="13" t="s">
        <v>727</v>
      </c>
      <c r="O200" s="13" t="s">
        <v>304</v>
      </c>
      <c r="P200" s="13">
        <v>10010</v>
      </c>
      <c r="R200" s="13" t="s">
        <v>384</v>
      </c>
      <c r="S200" s="13" t="s">
        <v>299</v>
      </c>
      <c r="T200" s="13" t="s">
        <v>305</v>
      </c>
      <c r="U200" s="13" t="s">
        <v>125</v>
      </c>
      <c r="V200" s="13">
        <v>82.25</v>
      </c>
      <c r="W200" s="44">
        <f>IF($AX200="Cancelled","",IFERROR(((V200+INDEX(Variables!$B$6:$D$6,IFERROR(MATCH(IF($B200="Robusta","Robusta",(IF($B200="","Arabica",$B200))&amp;" - "&amp;(IF($C200="","Commercial",$C200))),Variables!$B$1:$D$1,0),1)))*22.0462)*(L200/16.67),""))</f>
        <v>12827.396980203957</v>
      </c>
      <c r="X200" s="55" t="s">
        <v>39</v>
      </c>
      <c r="Y200" s="13" t="str">
        <f>IF($AX200="Cancelled","",IF(X200="","",IFERROR(IF(INDEX(Variables!$B$38:$B$47,MATCH(X200,Variables!$A$38:$A$47,0))="Yes","Yes","No"),"No")))</f>
        <v>No</v>
      </c>
      <c r="Z200" s="31"/>
      <c r="AB200" s="31">
        <v>45689.875</v>
      </c>
      <c r="AC200" s="13" t="str">
        <f t="shared" si="9"/>
        <v>Approved</v>
      </c>
      <c r="AF200" s="71">
        <f>AJ200-7</f>
        <v>45716</v>
      </c>
      <c r="AG200" s="36">
        <f>IF($AX200="Cancelled","",IFERROR(IF(F200="","",F200-Variables!$B$13),""))</f>
        <v>45732</v>
      </c>
      <c r="AH200" s="13">
        <f>IF($AX200="Cancelled","",IFERROR(IF(AB200="","",(AVERAGE(E200:F200)-AB200)-Variables!$B$14),""))</f>
        <v>12.125</v>
      </c>
      <c r="AJ200" s="47">
        <v>45723</v>
      </c>
      <c r="AK200" s="14">
        <f>IF($AX200="Cancelled","",IFERROR(IF(AJ200="","",IF(AND(AB200="",AF200=""),"",IF(AF200&gt;AB200,AF200+Variables!$B$15+Variables!$B$16+Variables!$B$17-AJ200,AB200+Variables!$B$16+Variables!$B$17-AJ200))),""))</f>
        <v>8</v>
      </c>
      <c r="AL200" s="48" t="s">
        <v>114</v>
      </c>
      <c r="AM200" s="13" t="s">
        <v>115</v>
      </c>
      <c r="AN200" s="13" t="s">
        <v>370</v>
      </c>
      <c r="AP200" s="31">
        <v>45735</v>
      </c>
      <c r="AR200" s="13">
        <v>251075753</v>
      </c>
      <c r="AS200" s="31">
        <v>45738</v>
      </c>
      <c r="AU200" s="31">
        <v>45744</v>
      </c>
      <c r="AV200" s="13" t="s">
        <v>3267</v>
      </c>
      <c r="AW200" s="31">
        <v>45759</v>
      </c>
      <c r="AX200" s="13" t="str">
        <f>IF(ISNUMBER(SEARCH("cancel",#REF!)),"Cancelled",IF(AND(AS200&lt;&gt;"",AU200&lt;&gt;"",AW200&lt;&gt;""),"Closed","Open"))</f>
        <v>Closed</v>
      </c>
      <c r="AY200" s="15" t="str">
        <f t="shared" si="10"/>
        <v>All dates received</v>
      </c>
      <c r="BD200" s="13">
        <f>IF($AX200="Cancelled","",IFERROR(IF(OR(AS200="",AJ200=""),"",(AJ200+Variables!$B$18-AS200)),""))</f>
        <v>0</v>
      </c>
      <c r="BE200" s="13">
        <f>IF($AX200="Cancelled","",IFERROR(IF(OR(AW200="",AS200=""),"",(AS200+Variables!$B$19)-AW200),""))</f>
        <v>-16</v>
      </c>
      <c r="BF200" s="44">
        <f>IF($AX200="Cancelled","",IFERROR(W200*INDEX(Variables!$B$7:$D$7,IFERROR(MATCH(IF($B200="Robusta","Robusta",(IF($B200="","Arabica",$B200))&amp;" - "&amp;(IF($C200="","Commercial",$C200))),Variables!$B$1:$D$1,0),1))*(BE200/365),""))</f>
        <v>-36.258138194275404</v>
      </c>
      <c r="BG200" s="44">
        <f>IF($AX200="Cancelled","",IFERROR((W200*INDEX(Variables!$B$7:$D$7,IFERROR(MATCH(IF($B200="Robusta","Robusta",(IF($B200="","Arabica",$B200))&amp;" - "&amp;(IF($C200="","Commercial",$C200))),Variables!$B$1:$D$1,0),1))*IFERROR(IF(AB200="","",(AVERAGE(E200:F200)-AB200)-Variables!$B$14),"")/365)+(L200/16.67*INDEX(Variables!$B$8:$D$8,IFERROR(MATCH(IF($B200="Robusta","Robusta",(IF($B200="","Arabica",$B200))&amp;" - "&amp;(IF($C200="","Commercial",$C200))),Variables!$B$1:$D$1,0),1))*IFERROR(IF(AB200="","",(AVERAGE(E200:F200)-AB200)-Variables!$B$14),""))+(W200*INDEX(Variables!$B$9:$D$9,IFERROR(MATCH(IF($B200="Robusta","Robusta",(IF($B200="","Arabica",$B200))&amp;" - "&amp;(IF($C200="","Commercial",$C200))),Variables!$B$1:$D$1,0),1))*IFERROR(IF(AB200="","",(AVERAGE(E200:F200)-AB200)-Variables!$B$14),"")/365),""))</f>
        <v>43.593600235840917</v>
      </c>
      <c r="BH200" s="44">
        <f>IF($AX200="Cancelled","",IFERROR((W200*INDEX(Variables!$B$7:$D$7,IFERROR(MATCH(IF($B200="Robusta","Robusta",(IF($B200="","Arabica",$B200))&amp;" - "&amp;(IF($C200="","Commercial",$C200))),Variables!$B$1:$D$1,0),1))*AK200/365)+(L200/16.67*INDEX(Variables!$B$8:$D$8,IFERROR(MATCH(IF($B200="Robusta","Robusta",(IF($B200="","Arabica",$B200))&amp;" - "&amp;(IF($C200="","Commercial",$C200))),Variables!$B$1:$D$1,0),1))*AK200)+(W200*INDEX(Variables!$B$9:$D$9,IFERROR(MATCH(IF($B200="Robusta","Robusta",(IF($B200="","Arabica",$B200))&amp;" - "&amp;(IF($C200="","Commercial",$C200))),Variables!$B$1:$D$1,0),1))*AK200/365),""))</f>
        <v>28.762787784472359</v>
      </c>
      <c r="BI200" s="44">
        <f>IF($AX200="Cancelled","",IFERROR((W200*INDEX(Variables!$B$7:$D$7,IFERROR(MATCH(IF($B200="Robusta","Robusta",(IF($B200="","Arabica",$B200))&amp;" - "&amp;(IF($C200="","Commercial",$C200))),Variables!$B$1:$D$1,0),1))*BD200/365)+(L200/16.67*INDEX(Variables!$B$8:$D$8,IFERROR(MATCH(IF($B200="Robusta","Robusta",(IF($B200="","Arabica",$B200))&amp;" - "&amp;(IF($C200="","Commercial",$C200))),Variables!$B$1:$D$1,0),1))*BD200)+(W200*INDEX(Variables!$B$9:$D$9,IFERROR(MATCH(IF($B200="Robusta","Robusta",(IF($B200="","Arabica",$B200))&amp;" - "&amp;(IF($C200="","Commercial",$C200))),Variables!$B$1:$D$1,0),1))*BD200/365),""))</f>
        <v>0</v>
      </c>
      <c r="BJ200" s="44">
        <f t="shared" si="11"/>
        <v>9</v>
      </c>
      <c r="BK200" s="44">
        <f>IF($AX200="Cancelled","",IFERROR(IF(BJ200="","",(W200*INDEX(Variables!$B$7:$D$7,IFERROR(MATCH(IF($B200="Robusta","Robusta",(IF($B200="","Arabica",$B200))&amp;" - "&amp;(IF($C200="","Commercial",$C200))),Variables!$B$1:$D$1,0),1))*(BJ200/365))+(W200*INDEX(Variables!$B$9:$D$9,IFERROR(MATCH(IF($B200="Robusta","Robusta",(IF($B200="","Arabica",$B200))&amp;" - "&amp;(IF($C200="","Commercial",$C200))),Variables!$B$1:$D$1,0),1))*(BJ200/365))+(INDEX(Variables!$B$8:$D$8,IFERROR(MATCH(IF($B200="Robusta","Robusta",(IF($B200="","Arabica",$B200))&amp;" - "&amp;(IF($C200="","Commercial",$C200))),Variables!$B$1:$D$1,0),1))*L200/16.67)),""))</f>
        <v>21.9581362575314</v>
      </c>
    </row>
    <row r="201" spans="1:63">
      <c r="A201" s="13" t="s">
        <v>103</v>
      </c>
      <c r="B201" s="13" t="s">
        <v>104</v>
      </c>
      <c r="C201" s="13" t="s">
        <v>292</v>
      </c>
      <c r="D201" s="31">
        <v>45695</v>
      </c>
      <c r="E201" s="31">
        <v>45717</v>
      </c>
      <c r="F201" s="31">
        <v>45747</v>
      </c>
      <c r="G201" s="13">
        <v>3786689</v>
      </c>
      <c r="J201" s="13" t="s">
        <v>294</v>
      </c>
      <c r="K201" s="13" t="s">
        <v>728</v>
      </c>
      <c r="L201" s="13">
        <v>35</v>
      </c>
      <c r="M201" s="13">
        <v>0</v>
      </c>
      <c r="N201" s="13" t="s">
        <v>729</v>
      </c>
      <c r="O201" s="13" t="s">
        <v>304</v>
      </c>
      <c r="P201" s="13">
        <v>10010</v>
      </c>
      <c r="R201" s="13" t="s">
        <v>384</v>
      </c>
      <c r="S201" s="13" t="s">
        <v>299</v>
      </c>
      <c r="T201" s="13" t="s">
        <v>305</v>
      </c>
      <c r="U201" s="13" t="s">
        <v>125</v>
      </c>
      <c r="V201" s="13">
        <v>87.25</v>
      </c>
      <c r="W201" s="44">
        <f>IF($AX201="Cancelled","",IFERROR(((V201+INDEX(Variables!$B$6:$D$6,IFERROR(MATCH(IF($B201="Robusta","Robusta",(IF($B201="","Arabica",$B201))&amp;" - "&amp;(IF($C201="","Commercial",$C201))),Variables!$B$1:$D$1,0),1)))*22.0462)*(L201/16.67),""))</f>
        <v>17499.08859328134</v>
      </c>
      <c r="X201" s="55" t="s">
        <v>39</v>
      </c>
      <c r="Y201" s="13" t="str">
        <f>IF($AX201="Cancelled","",IF(X201="","",IFERROR(IF(INDEX(Variables!$B$38:$B$47,MATCH(X201,Variables!$A$38:$A$47,0))="Yes","Yes","No"),"No")))</f>
        <v>No</v>
      </c>
      <c r="Z201" s="31"/>
      <c r="AB201" s="31">
        <v>45689.875</v>
      </c>
      <c r="AC201" s="13" t="str">
        <f t="shared" si="9"/>
        <v>Approved</v>
      </c>
      <c r="AF201" s="71">
        <f>AJ201-7</f>
        <v>45716</v>
      </c>
      <c r="AG201" s="36">
        <f>IF($AX201="Cancelled","",IFERROR(IF(F201="","",F201-Variables!$B$13),""))</f>
        <v>45732</v>
      </c>
      <c r="AH201" s="13">
        <f>IF($AX201="Cancelled","",IFERROR(IF(AB201="","",(AVERAGE(E201:F201)-AB201)-Variables!$B$14),""))</f>
        <v>12.125</v>
      </c>
      <c r="AJ201" s="47">
        <v>45723</v>
      </c>
      <c r="AK201" s="14">
        <f>IF($AX201="Cancelled","",IFERROR(IF(AJ201="","",IF(AND(AB201="",AF201=""),"",IF(AF201&gt;AB201,AF201+Variables!$B$15+Variables!$B$16+Variables!$B$17-AJ201,AB201+Variables!$B$16+Variables!$B$17-AJ201))),""))</f>
        <v>8</v>
      </c>
      <c r="AL201" s="48" t="s">
        <v>114</v>
      </c>
      <c r="AM201" s="13" t="s">
        <v>115</v>
      </c>
      <c r="AN201" s="13" t="s">
        <v>370</v>
      </c>
      <c r="AP201" s="31">
        <v>45735</v>
      </c>
      <c r="AR201" s="13">
        <v>251075753</v>
      </c>
      <c r="AS201" s="31">
        <v>45738</v>
      </c>
      <c r="AU201" s="31">
        <v>45744</v>
      </c>
      <c r="AV201" s="13" t="s">
        <v>3267</v>
      </c>
      <c r="AW201" s="31">
        <v>45759</v>
      </c>
      <c r="AX201" s="13" t="str">
        <f>IF(ISNUMBER(SEARCH("cancel",#REF!)),"Cancelled",IF(AND(AS201&lt;&gt;"",AU201&lt;&gt;"",AW201&lt;&gt;""),"Closed","Open"))</f>
        <v>Closed</v>
      </c>
      <c r="AY201" s="15" t="str">
        <f t="shared" si="10"/>
        <v>All dates received</v>
      </c>
      <c r="BD201" s="13">
        <f>IF($AX201="Cancelled","",IFERROR(IF(OR(AS201="",AJ201=""),"",(AJ201+Variables!$B$18-AS201)),""))</f>
        <v>0</v>
      </c>
      <c r="BE201" s="13">
        <f>IF($AX201="Cancelled","",IFERROR(IF(OR(AW201="",AS201=""),"",(AS201+Variables!$B$19)-AW201),""))</f>
        <v>-16</v>
      </c>
      <c r="BF201" s="44">
        <f>IF($AX201="Cancelled","",IFERROR(W201*INDEX(Variables!$B$7:$D$7,IFERROR(MATCH(IF($B201="Robusta","Robusta",(IF($B201="","Arabica",$B201))&amp;" - "&amp;(IF($C201="","Commercial",$C201))),Variables!$B$1:$D$1,0),1))*(BE201/365),""))</f>
        <v>-49.463221062561587</v>
      </c>
      <c r="BG201" s="44">
        <f>IF($AX201="Cancelled","",IFERROR((W201*INDEX(Variables!$B$7:$D$7,IFERROR(MATCH(IF($B201="Robusta","Robusta",(IF($B201="","Arabica",$B201))&amp;" - "&amp;(IF($C201="","Commercial",$C201))),Variables!$B$1:$D$1,0),1))*IFERROR(IF(AB201="","",(AVERAGE(E201:F201)-AB201)-Variables!$B$14),"")/365)+(L201/16.67*INDEX(Variables!$B$8:$D$8,IFERROR(MATCH(IF($B201="Robusta","Robusta",(IF($B201="","Arabica",$B201))&amp;" - "&amp;(IF($C201="","Commercial",$C201))),Variables!$B$1:$D$1,0),1))*IFERROR(IF(AB201="","",(AVERAGE(E201:F201)-AB201)-Variables!$B$14),""))+(W201*INDEX(Variables!$B$9:$D$9,IFERROR(MATCH(IF($B201="Robusta","Robusta",(IF($B201="","Arabica",$B201))&amp;" - "&amp;(IF($C201="","Commercial",$C201))),Variables!$B$1:$D$1,0),1))*IFERROR(IF(AB201="","",(AVERAGE(E201:F201)-AB201)-Variables!$B$14),"")/365),""))</f>
        <v>59.185836340827485</v>
      </c>
      <c r="BH201" s="44">
        <f>IF($AX201="Cancelled","",IFERROR((W201*INDEX(Variables!$B$7:$D$7,IFERROR(MATCH(IF($B201="Robusta","Robusta",(IF($B201="","Arabica",$B201))&amp;" - "&amp;(IF($C201="","Commercial",$C201))),Variables!$B$1:$D$1,0),1))*AK201/365)+(L201/16.67*INDEX(Variables!$B$8:$D$8,IFERROR(MATCH(IF($B201="Robusta","Robusta",(IF($B201="","Arabica",$B201))&amp;" - "&amp;(IF($C201="","Commercial",$C201))),Variables!$B$1:$D$1,0),1))*AK201)+(W201*INDEX(Variables!$B$9:$D$9,IFERROR(MATCH(IF($B201="Robusta","Robusta",(IF($B201="","Arabica",$B201))&amp;" - "&amp;(IF($C201="","Commercial",$C201))),Variables!$B$1:$D$1,0),1))*AK201/365),""))</f>
        <v>39.050448719721224</v>
      </c>
      <c r="BI201" s="44">
        <f>IF($AX201="Cancelled","",IFERROR((W201*INDEX(Variables!$B$7:$D$7,IFERROR(MATCH(IF($B201="Robusta","Robusta",(IF($B201="","Arabica",$B201))&amp;" - "&amp;(IF($C201="","Commercial",$C201))),Variables!$B$1:$D$1,0),1))*BD201/365)+(L201/16.67*INDEX(Variables!$B$8:$D$8,IFERROR(MATCH(IF($B201="Robusta","Robusta",(IF($B201="","Arabica",$B201))&amp;" - "&amp;(IF($C201="","Commercial",$C201))),Variables!$B$1:$D$1,0),1))*BD201)+(W201*INDEX(Variables!$B$9:$D$9,IFERROR(MATCH(IF($B201="Robusta","Robusta",(IF($B201="","Arabica",$B201))&amp;" - "&amp;(IF($C201="","Commercial",$C201))),Variables!$B$1:$D$1,0),1))*BD201/365),""))</f>
        <v>0</v>
      </c>
      <c r="BJ201" s="44">
        <f t="shared" si="11"/>
        <v>9</v>
      </c>
      <c r="BK201" s="44">
        <f>IF($AX201="Cancelled","",IFERROR(IF(BJ201="","",(W201*INDEX(Variables!$B$7:$D$7,IFERROR(MATCH(IF($B201="Robusta","Robusta",(IF($B201="","Arabica",$B201))&amp;" - "&amp;(IF($C201="","Commercial",$C201))),Variables!$B$1:$D$1,0),1))*(BJ201/365))+(W201*INDEX(Variables!$B$9:$D$9,IFERROR(MATCH(IF($B201="Robusta","Robusta",(IF($B201="","Arabica",$B201))&amp;" - "&amp;(IF($C201="","Commercial",$C201))),Variables!$B$1:$D$1,0),1))*(BJ201/365))+(INDEX(Variables!$B$8:$D$8,IFERROR(MATCH(IF($B201="Robusta","Robusta",(IF($B201="","Arabica",$B201))&amp;" - "&amp;(IF($C201="","Commercial",$C201))),Variables!$B$1:$D$1,0),1))*L201/16.67)),""))</f>
        <v>29.931754809686378</v>
      </c>
    </row>
    <row r="202" spans="1:63">
      <c r="A202" s="13" t="s">
        <v>103</v>
      </c>
      <c r="B202" s="13" t="s">
        <v>104</v>
      </c>
      <c r="C202" s="13" t="s">
        <v>292</v>
      </c>
      <c r="D202" s="31">
        <v>45695</v>
      </c>
      <c r="E202" s="31">
        <v>45717</v>
      </c>
      <c r="F202" s="31">
        <v>45747</v>
      </c>
      <c r="G202" s="13">
        <v>3786690</v>
      </c>
      <c r="J202" s="13" t="s">
        <v>294</v>
      </c>
      <c r="K202" s="13" t="s">
        <v>730</v>
      </c>
      <c r="L202" s="13">
        <v>20</v>
      </c>
      <c r="M202" s="13">
        <v>0</v>
      </c>
      <c r="N202" s="13" t="s">
        <v>731</v>
      </c>
      <c r="O202" s="13" t="s">
        <v>304</v>
      </c>
      <c r="P202" s="13">
        <v>10010</v>
      </c>
      <c r="R202" s="13" t="s">
        <v>384</v>
      </c>
      <c r="S202" s="13" t="s">
        <v>299</v>
      </c>
      <c r="T202" s="13" t="s">
        <v>305</v>
      </c>
      <c r="U202" s="13" t="s">
        <v>125</v>
      </c>
      <c r="V202" s="13">
        <v>88.25</v>
      </c>
      <c r="W202" s="44">
        <f>IF($AX202="Cancelled","",IFERROR(((V202+INDEX(Variables!$B$6:$D$6,IFERROR(MATCH(IF($B202="Robusta","Robusta",(IF($B202="","Arabica",$B202))&amp;" - "&amp;(IF($C202="","Commercial",$C202))),Variables!$B$1:$D$1,0),1)))*22.0462)*(L202/16.67),""))</f>
        <v>10025.929346130773</v>
      </c>
      <c r="X202" s="55" t="s">
        <v>39</v>
      </c>
      <c r="Y202" s="13" t="str">
        <f>IF($AX202="Cancelled","",IF(X202="","",IFERROR(IF(INDEX(Variables!$B$38:$B$47,MATCH(X202,Variables!$A$38:$A$47,0))="Yes","Yes","No"),"No")))</f>
        <v>No</v>
      </c>
      <c r="Z202" s="31"/>
      <c r="AB202" s="31">
        <v>45689.875</v>
      </c>
      <c r="AC202" s="13" t="str">
        <f t="shared" si="9"/>
        <v>Approved</v>
      </c>
      <c r="AF202" s="71">
        <f>AJ202-7</f>
        <v>45716</v>
      </c>
      <c r="AG202" s="36">
        <f>IF($AX202="Cancelled","",IFERROR(IF(F202="","",F202-Variables!$B$13),""))</f>
        <v>45732</v>
      </c>
      <c r="AH202" s="13">
        <f>IF($AX202="Cancelled","",IFERROR(IF(AB202="","",(AVERAGE(E202:F202)-AB202)-Variables!$B$14),""))</f>
        <v>12.125</v>
      </c>
      <c r="AJ202" s="47">
        <v>45723</v>
      </c>
      <c r="AK202" s="14">
        <f>IF($AX202="Cancelled","",IFERROR(IF(AJ202="","",IF(AND(AB202="",AF202=""),"",IF(AF202&gt;AB202,AF202+Variables!$B$15+Variables!$B$16+Variables!$B$17-AJ202,AB202+Variables!$B$16+Variables!$B$17-AJ202))),""))</f>
        <v>8</v>
      </c>
      <c r="AL202" s="48" t="s">
        <v>114</v>
      </c>
      <c r="AM202" s="13" t="s">
        <v>115</v>
      </c>
      <c r="AN202" s="13" t="s">
        <v>370</v>
      </c>
      <c r="AP202" s="31">
        <v>45735</v>
      </c>
      <c r="AR202" s="13">
        <v>251075753</v>
      </c>
      <c r="AS202" s="31">
        <v>45738</v>
      </c>
      <c r="AU202" s="31">
        <v>45744</v>
      </c>
      <c r="AV202" s="13" t="s">
        <v>3267</v>
      </c>
      <c r="AW202" s="31">
        <v>45759</v>
      </c>
      <c r="AX202" s="13" t="str">
        <f>IF(ISNUMBER(SEARCH("cancel",#REF!)),"Cancelled",IF(AND(AS202&lt;&gt;"",AU202&lt;&gt;"",AW202&lt;&gt;""),"Closed","Open"))</f>
        <v>Closed</v>
      </c>
      <c r="AY202" s="15" t="str">
        <f t="shared" si="10"/>
        <v>All dates received</v>
      </c>
      <c r="BD202" s="13">
        <f>IF($AX202="Cancelled","",IFERROR(IF(OR(AS202="",AJ202=""),"",(AJ202+Variables!$B$18-AS202)),""))</f>
        <v>0</v>
      </c>
      <c r="BE202" s="13">
        <f>IF($AX202="Cancelled","",IFERROR(IF(OR(AW202="",AS202=""),"",(AS202+Variables!$B$19)-AW202),""))</f>
        <v>-16</v>
      </c>
      <c r="BF202" s="44">
        <f>IF($AX202="Cancelled","",IFERROR(W202*INDEX(Variables!$B$7:$D$7,IFERROR(MATCH(IF($B202="Robusta","Robusta",(IF($B202="","Arabica",$B202))&amp;" - "&amp;(IF($C202="","Commercial",$C202))),Variables!$B$1:$D$1,0),1))*(BE202/365),""))</f>
        <v>-28.339462193230634</v>
      </c>
      <c r="BG202" s="44">
        <f>IF($AX202="Cancelled","",IFERROR((W202*INDEX(Variables!$B$7:$D$7,IFERROR(MATCH(IF($B202="Robusta","Robusta",(IF($B202="","Arabica",$B202))&amp;" - "&amp;(IF($C202="","Commercial",$C202))),Variables!$B$1:$D$1,0),1))*IFERROR(IF(AB202="","",(AVERAGE(E202:F202)-AB202)-Variables!$B$14),"")/365)+(L202/16.67*INDEX(Variables!$B$8:$D$8,IFERROR(MATCH(IF($B202="Robusta","Robusta",(IF($B202="","Arabica",$B202))&amp;" - "&amp;(IF($C202="","Commercial",$C202))),Variables!$B$1:$D$1,0),1))*IFERROR(IF(AB202="","",(AVERAGE(E202:F202)-AB202)-Variables!$B$14),""))+(W202*INDEX(Variables!$B$9:$D$9,IFERROR(MATCH(IF($B202="Robusta","Robusta",(IF($B202="","Arabica",$B202))&amp;" - "&amp;(IF($C202="","Commercial",$C202))),Variables!$B$1:$D$1,0),1))*IFERROR(IF(AB202="","",(AVERAGE(E202:F202)-AB202)-Variables!$B$14),"")/365),""))</f>
        <v>33.877865762262225</v>
      </c>
      <c r="BH202" s="44">
        <f>IF($AX202="Cancelled","",IFERROR((W202*INDEX(Variables!$B$7:$D$7,IFERROR(MATCH(IF($B202="Robusta","Robusta",(IF($B202="","Arabica",$B202))&amp;" - "&amp;(IF($C202="","Commercial",$C202))),Variables!$B$1:$D$1,0),1))*AK202/365)+(L202/16.67*INDEX(Variables!$B$8:$D$8,IFERROR(MATCH(IF($B202="Robusta","Robusta",(IF($B202="","Arabica",$B202))&amp;" - "&amp;(IF($C202="","Commercial",$C202))),Variables!$B$1:$D$1,0),1))*AK202)+(W202*INDEX(Variables!$B$9:$D$9,IFERROR(MATCH(IF($B202="Robusta","Robusta",(IF($B202="","Arabica",$B202))&amp;" - "&amp;(IF($C202="","Commercial",$C202))),Variables!$B$1:$D$1,0),1))*AK202/365),""))</f>
        <v>22.352406276131777</v>
      </c>
      <c r="BI202" s="44">
        <f>IF($AX202="Cancelled","",IFERROR((W202*INDEX(Variables!$B$7:$D$7,IFERROR(MATCH(IF($B202="Robusta","Robusta",(IF($B202="","Arabica",$B202))&amp;" - "&amp;(IF($C202="","Commercial",$C202))),Variables!$B$1:$D$1,0),1))*BD202/365)+(L202/16.67*INDEX(Variables!$B$8:$D$8,IFERROR(MATCH(IF($B202="Robusta","Robusta",(IF($B202="","Arabica",$B202))&amp;" - "&amp;(IF($C202="","Commercial",$C202))),Variables!$B$1:$D$1,0),1))*BD202)+(W202*INDEX(Variables!$B$9:$D$9,IFERROR(MATCH(IF($B202="Robusta","Robusta",(IF($B202="","Arabica",$B202))&amp;" - "&amp;(IF($C202="","Commercial",$C202))),Variables!$B$1:$D$1,0),1))*BD202/365),""))</f>
        <v>0</v>
      </c>
      <c r="BJ202" s="44">
        <f t="shared" si="11"/>
        <v>9</v>
      </c>
      <c r="BK202" s="44">
        <f>IF($AX202="Cancelled","",IFERROR(IF(BJ202="","",(W202*INDEX(Variables!$B$7:$D$7,IFERROR(MATCH(IF($B202="Robusta","Robusta",(IF($B202="","Arabica",$B202))&amp;" - "&amp;(IF($C202="","Commercial",$C202))),Variables!$B$1:$D$1,0),1))*(BJ202/365))+(W202*INDEX(Variables!$B$9:$D$9,IFERROR(MATCH(IF($B202="Robusta","Robusta",(IF($B202="","Arabica",$B202))&amp;" - "&amp;(IF($C202="","Commercial",$C202))),Variables!$B$1:$D$1,0),1))*(BJ202/365))+(INDEX(Variables!$B$8:$D$8,IFERROR(MATCH(IF($B202="Robusta","Robusta",(IF($B202="","Arabica",$B202))&amp;" - "&amp;(IF($C202="","Commercial",$C202))),Variables!$B$1:$D$1,0),1))*L202/16.67)),""))</f>
        <v>17.146457060648249</v>
      </c>
    </row>
    <row r="203" spans="1:63">
      <c r="A203" s="13" t="s">
        <v>103</v>
      </c>
      <c r="B203" s="13" t="s">
        <v>104</v>
      </c>
      <c r="C203" s="13" t="s">
        <v>292</v>
      </c>
      <c r="D203" s="31">
        <v>45695</v>
      </c>
      <c r="E203" s="31">
        <v>45717</v>
      </c>
      <c r="F203" s="31">
        <v>45747</v>
      </c>
      <c r="G203" s="13">
        <v>3786691</v>
      </c>
      <c r="J203" s="13" t="s">
        <v>294</v>
      </c>
      <c r="K203" s="13" t="s">
        <v>732</v>
      </c>
      <c r="L203" s="13">
        <v>25</v>
      </c>
      <c r="M203" s="13">
        <v>0</v>
      </c>
      <c r="N203" s="13" t="s">
        <v>733</v>
      </c>
      <c r="O203" s="13" t="s">
        <v>304</v>
      </c>
      <c r="P203" s="13">
        <v>10010</v>
      </c>
      <c r="R203" s="13" t="s">
        <v>384</v>
      </c>
      <c r="S203" s="13" t="s">
        <v>299</v>
      </c>
      <c r="T203" s="13" t="s">
        <v>305</v>
      </c>
      <c r="U203" s="13" t="s">
        <v>125</v>
      </c>
      <c r="V203" s="13">
        <v>83.25</v>
      </c>
      <c r="W203" s="44">
        <f>IF($AX203="Cancelled","",IFERROR(((V203+INDEX(Variables!$B$6:$D$6,IFERROR(MATCH(IF($B203="Robusta","Robusta",(IF($B203="","Arabica",$B203))&amp;" - "&amp;(IF($C203="","Commercial",$C203))),Variables!$B$1:$D$1,0),1)))*22.0462)*(L203/16.67),""))</f>
        <v>12367.098245350928</v>
      </c>
      <c r="X203" s="55" t="s">
        <v>39</v>
      </c>
      <c r="Y203" s="13" t="str">
        <f>IF($AX203="Cancelled","",IF(X203="","",IFERROR(IF(INDEX(Variables!$B$38:$B$47,MATCH(X203,Variables!$A$38:$A$47,0))="Yes","Yes","No"),"No")))</f>
        <v>No</v>
      </c>
      <c r="Z203" s="31"/>
      <c r="AB203" s="31">
        <v>45689.875</v>
      </c>
      <c r="AC203" s="13" t="str">
        <f t="shared" si="9"/>
        <v>Approved</v>
      </c>
      <c r="AF203" s="71">
        <f>AJ203-7</f>
        <v>45716</v>
      </c>
      <c r="AG203" s="36">
        <f>IF($AX203="Cancelled","",IFERROR(IF(F203="","",F203-Variables!$B$13),""))</f>
        <v>45732</v>
      </c>
      <c r="AH203" s="13">
        <f>IF($AX203="Cancelled","",IFERROR(IF(AB203="","",(AVERAGE(E203:F203)-AB203)-Variables!$B$14),""))</f>
        <v>12.125</v>
      </c>
      <c r="AJ203" s="47">
        <v>45723</v>
      </c>
      <c r="AK203" s="14">
        <f>IF($AX203="Cancelled","",IFERROR(IF(AJ203="","",IF(AND(AB203="",AF203=""),"",IF(AF203&gt;AB203,AF203+Variables!$B$15+Variables!$B$16+Variables!$B$17-AJ203,AB203+Variables!$B$16+Variables!$B$17-AJ203))),""))</f>
        <v>8</v>
      </c>
      <c r="AL203" s="48" t="s">
        <v>114</v>
      </c>
      <c r="AM203" s="13" t="s">
        <v>115</v>
      </c>
      <c r="AN203" s="13" t="s">
        <v>370</v>
      </c>
      <c r="AP203" s="31">
        <v>45735</v>
      </c>
      <c r="AR203" s="13">
        <v>251075753</v>
      </c>
      <c r="AS203" s="31">
        <v>45738</v>
      </c>
      <c r="AU203" s="31">
        <v>45744</v>
      </c>
      <c r="AV203" s="13" t="s">
        <v>3267</v>
      </c>
      <c r="AW203" s="31">
        <v>45759</v>
      </c>
      <c r="AX203" s="13" t="str">
        <f>IF(ISNUMBER(SEARCH("cancel",#REF!)),"Cancelled",IF(AND(AS203&lt;&gt;"",AU203&lt;&gt;"",AW203&lt;&gt;""),"Closed","Open"))</f>
        <v>Closed</v>
      </c>
      <c r="AY203" s="15" t="str">
        <f t="shared" si="10"/>
        <v>All dates received</v>
      </c>
      <c r="BD203" s="13">
        <f>IF($AX203="Cancelled","",IFERROR(IF(OR(AS203="",AJ203=""),"",(AJ203+Variables!$B$18-AS203)),""))</f>
        <v>0</v>
      </c>
      <c r="BE203" s="13">
        <f>IF($AX203="Cancelled","",IFERROR(IF(OR(AW203="",AS203=""),"",(AS203+Variables!$B$19)-AW203),""))</f>
        <v>-16</v>
      </c>
      <c r="BF203" s="44">
        <f>IF($AX203="Cancelled","",IFERROR(W203*INDEX(Variables!$B$7:$D$7,IFERROR(MATCH(IF($B203="Robusta","Robusta",(IF($B203="","Arabica",$B203))&amp;" - "&amp;(IF($C203="","Commercial",$C203))),Variables!$B$1:$D$1,0),1))*(BE203/365),""))</f>
        <v>-34.957049971566803</v>
      </c>
      <c r="BG203" s="44">
        <f>IF($AX203="Cancelled","",IFERROR((W203*INDEX(Variables!$B$7:$D$7,IFERROR(MATCH(IF($B203="Robusta","Robusta",(IF($B203="","Arabica",$B203))&amp;" - "&amp;(IF($C203="","Commercial",$C203))),Variables!$B$1:$D$1,0),1))*IFERROR(IF(AB203="","",(AVERAGE(E203:F203)-AB203)-Variables!$B$14),"")/365)+(L203/16.67*INDEX(Variables!$B$8:$D$8,IFERROR(MATCH(IF($B203="Robusta","Robusta",(IF($B203="","Arabica",$B203))&amp;" - "&amp;(IF($C203="","Commercial",$C203))),Variables!$B$1:$D$1,0),1))*IFERROR(IF(AB203="","",(AVERAGE(E203:F203)-AB203)-Variables!$B$14),""))+(W203*INDEX(Variables!$B$9:$D$9,IFERROR(MATCH(IF($B203="Robusta","Robusta",(IF($B203="","Arabica",$B203))&amp;" - "&amp;(IF($C203="","Commercial",$C203))),Variables!$B$1:$D$1,0),1))*IFERROR(IF(AB203="","",(AVERAGE(E203:F203)-AB203)-Variables!$B$14),"")/365),""))</f>
        <v>41.988658120215618</v>
      </c>
      <c r="BH203" s="44">
        <f>IF($AX203="Cancelled","",IFERROR((W203*INDEX(Variables!$B$7:$D$7,IFERROR(MATCH(IF($B203="Robusta","Robusta",(IF($B203="","Arabica",$B203))&amp;" - "&amp;(IF($C203="","Commercial",$C203))),Variables!$B$1:$D$1,0),1))*AK203/365)+(L203/16.67*INDEX(Variables!$B$8:$D$8,IFERROR(MATCH(IF($B203="Robusta","Robusta",(IF($B203="","Arabica",$B203))&amp;" - "&amp;(IF($C203="","Commercial",$C203))),Variables!$B$1:$D$1,0),1))*AK203)+(W203*INDEX(Variables!$B$9:$D$9,IFERROR(MATCH(IF($B203="Robusta","Robusta",(IF($B203="","Arabica",$B203))&amp;" - "&amp;(IF($C203="","Commercial",$C203))),Variables!$B$1:$D$1,0),1))*AK203/365),""))</f>
        <v>27.703856904059791</v>
      </c>
      <c r="BI203" s="44">
        <f>IF($AX203="Cancelled","",IFERROR((W203*INDEX(Variables!$B$7:$D$7,IFERROR(MATCH(IF($B203="Robusta","Robusta",(IF($B203="","Arabica",$B203))&amp;" - "&amp;(IF($C203="","Commercial",$C203))),Variables!$B$1:$D$1,0),1))*BD203/365)+(L203/16.67*INDEX(Variables!$B$8:$D$8,IFERROR(MATCH(IF($B203="Robusta","Robusta",(IF($B203="","Arabica",$B203))&amp;" - "&amp;(IF($C203="","Commercial",$C203))),Variables!$B$1:$D$1,0),1))*BD203)+(W203*INDEX(Variables!$B$9:$D$9,IFERROR(MATCH(IF($B203="Robusta","Robusta",(IF($B203="","Arabica",$B203))&amp;" - "&amp;(IF($C203="","Commercial",$C203))),Variables!$B$1:$D$1,0),1))*BD203/365),""))</f>
        <v>0</v>
      </c>
      <c r="BJ203" s="44">
        <f t="shared" si="11"/>
        <v>9</v>
      </c>
      <c r="BK203" s="44">
        <f>IF($AX203="Cancelled","",IFERROR(IF(BJ203="","",(W203*INDEX(Variables!$B$7:$D$7,IFERROR(MATCH(IF($B203="Robusta","Robusta",(IF($B203="","Arabica",$B203))&amp;" - "&amp;(IF($C203="","Commercial",$C203))),Variables!$B$1:$D$1,0),1))*(BJ203/365))+(W203*INDEX(Variables!$B$9:$D$9,IFERROR(MATCH(IF($B203="Robusta","Robusta",(IF($B203="","Arabica",$B203))&amp;" - "&amp;(IF($C203="","Commercial",$C203))),Variables!$B$1:$D$1,0),1))*(BJ203/365))+(INDEX(Variables!$B$8:$D$8,IFERROR(MATCH(IF($B203="Robusta","Robusta",(IF($B203="","Arabica",$B203))&amp;" - "&amp;(IF($C203="","Commercial",$C203))),Variables!$B$1:$D$1,0),1))*L203/16.67)),""))</f>
        <v>21.166839017067264</v>
      </c>
    </row>
    <row r="204" spans="1:63">
      <c r="A204" s="13" t="s">
        <v>103</v>
      </c>
      <c r="B204" s="13" t="s">
        <v>104</v>
      </c>
      <c r="C204" s="13" t="s">
        <v>292</v>
      </c>
      <c r="D204" s="31">
        <v>45695</v>
      </c>
      <c r="E204" s="31">
        <v>45717</v>
      </c>
      <c r="F204" s="31">
        <v>45747</v>
      </c>
      <c r="G204" s="13">
        <v>3786692</v>
      </c>
      <c r="J204" s="13" t="s">
        <v>294</v>
      </c>
      <c r="K204" s="13" t="s">
        <v>734</v>
      </c>
      <c r="L204" s="13">
        <v>35</v>
      </c>
      <c r="M204" s="13">
        <v>0</v>
      </c>
      <c r="N204" s="13" t="s">
        <v>735</v>
      </c>
      <c r="O204" s="13" t="s">
        <v>576</v>
      </c>
      <c r="P204" s="13">
        <v>10020</v>
      </c>
      <c r="R204" s="13" t="s">
        <v>384</v>
      </c>
      <c r="S204" s="13" t="s">
        <v>299</v>
      </c>
      <c r="T204" s="13" t="s">
        <v>305</v>
      </c>
      <c r="U204" s="13" t="s">
        <v>125</v>
      </c>
      <c r="V204" s="13">
        <v>92.25</v>
      </c>
      <c r="W204" s="44">
        <f>IF($AX204="Cancelled","",IFERROR(((V204+INDEX(Variables!$B$6:$D$6,IFERROR(MATCH(IF($B204="Robusta","Robusta",(IF($B204="","Arabica",$B204))&amp;" - "&amp;(IF($C204="","Commercial",$C204))),Variables!$B$1:$D$1,0),1)))*22.0462)*(L204/16.67),""))</f>
        <v>17730.527405518893</v>
      </c>
      <c r="X204" s="55" t="s">
        <v>39</v>
      </c>
      <c r="Y204" s="13" t="str">
        <f>IF($AX204="Cancelled","",IF(X204="","",IFERROR(IF(INDEX(Variables!$B$38:$B$47,MATCH(X204,Variables!$A$38:$A$47,0))="Yes","Yes","No"),"No")))</f>
        <v>No</v>
      </c>
      <c r="Z204" s="31"/>
      <c r="AB204" s="31">
        <v>45689.875</v>
      </c>
      <c r="AC204" s="13" t="str">
        <f t="shared" si="9"/>
        <v>Approved</v>
      </c>
      <c r="AF204" s="71">
        <f>AJ204-7</f>
        <v>45716</v>
      </c>
      <c r="AG204" s="36">
        <f>IF($AX204="Cancelled","",IFERROR(IF(F204="","",F204-Variables!$B$13),""))</f>
        <v>45732</v>
      </c>
      <c r="AH204" s="13">
        <f>IF($AX204="Cancelled","",IFERROR(IF(AB204="","",(AVERAGE(E204:F204)-AB204)-Variables!$B$14),""))</f>
        <v>12.125</v>
      </c>
      <c r="AJ204" s="47">
        <v>45723</v>
      </c>
      <c r="AK204" s="14">
        <f>IF($AX204="Cancelled","",IFERROR(IF(AJ204="","",IF(AND(AB204="",AF204=""),"",IF(AF204&gt;AB204,AF204+Variables!$B$15+Variables!$B$16+Variables!$B$17-AJ204,AB204+Variables!$B$16+Variables!$B$17-AJ204))),""))</f>
        <v>8</v>
      </c>
      <c r="AL204" s="48" t="s">
        <v>114</v>
      </c>
      <c r="AM204" s="13" t="s">
        <v>115</v>
      </c>
      <c r="AN204" s="13" t="s">
        <v>370</v>
      </c>
      <c r="AP204" s="31">
        <v>45735</v>
      </c>
      <c r="AR204" s="13">
        <v>251075753</v>
      </c>
      <c r="AS204" s="31">
        <v>45738</v>
      </c>
      <c r="AU204" s="31">
        <v>45744</v>
      </c>
      <c r="AV204" s="13" t="s">
        <v>3267</v>
      </c>
      <c r="AW204" s="31">
        <v>45759</v>
      </c>
      <c r="AX204" s="13" t="str">
        <f>IF(ISNUMBER(SEARCH("cancel",#REF!)),"Cancelled",IF(AND(AS204&lt;&gt;"",AU204&lt;&gt;"",AW204&lt;&gt;""),"Closed","Open"))</f>
        <v>Closed</v>
      </c>
      <c r="AY204" s="15" t="str">
        <f t="shared" si="10"/>
        <v>All dates received</v>
      </c>
      <c r="BD204" s="13">
        <f>IF($AX204="Cancelled","",IFERROR(IF(OR(AS204="",AJ204=""),"",(AJ204+Variables!$B$18-AS204)),""))</f>
        <v>0</v>
      </c>
      <c r="BE204" s="13">
        <f>IF($AX204="Cancelled","",IFERROR(IF(OR(AW204="",AS204=""),"",(AS204+Variables!$B$19)-AW204),""))</f>
        <v>-16</v>
      </c>
      <c r="BF204" s="44">
        <f>IF($AX204="Cancelled","",IFERROR(W204*INDEX(Variables!$B$7:$D$7,IFERROR(MATCH(IF($B204="Robusta","Robusta",(IF($B204="","Arabica",$B204))&amp;" - "&amp;(IF($C204="","Commercial",$C204))),Variables!$B$1:$D$1,0),1))*(BE204/365),""))</f>
        <v>-50.117409940521661</v>
      </c>
      <c r="BG204" s="44">
        <f>IF($AX204="Cancelled","",IFERROR((W204*INDEX(Variables!$B$7:$D$7,IFERROR(MATCH(IF($B204="Robusta","Robusta",(IF($B204="","Arabica",$B204))&amp;" - "&amp;(IF($C204="","Commercial",$C204))),Variables!$B$1:$D$1,0),1))*IFERROR(IF(AB204="","",(AVERAGE(E204:F204)-AB204)-Variables!$B$14),"")/365)+(L204/16.67*INDEX(Variables!$B$8:$D$8,IFERROR(MATCH(IF($B204="Robusta","Robusta",(IF($B204="","Arabica",$B204))&amp;" - "&amp;(IF($C204="","Commercial",$C204))),Variables!$B$1:$D$1,0),1))*IFERROR(IF(AB204="","",(AVERAGE(E204:F204)-AB204)-Variables!$B$14),""))+(W204*INDEX(Variables!$B$9:$D$9,IFERROR(MATCH(IF($B204="Robusta","Robusta",(IF($B204="","Arabica",$B204))&amp;" - "&amp;(IF($C204="","Commercial",$C204))),Variables!$B$1:$D$1,0),1))*IFERROR(IF(AB204="","",(AVERAGE(E204:F204)-AB204)-Variables!$B$14),"")/365),""))</f>
        <v>59.687980056484506</v>
      </c>
      <c r="BH204" s="44">
        <f>IF($AX204="Cancelled","",IFERROR((W204*INDEX(Variables!$B$7:$D$7,IFERROR(MATCH(IF($B204="Robusta","Robusta",(IF($B204="","Arabica",$B204))&amp;" - "&amp;(IF($C204="","Commercial",$C204))),Variables!$B$1:$D$1,0),1))*AK204/365)+(L204/16.67*INDEX(Variables!$B$8:$D$8,IFERROR(MATCH(IF($B204="Robusta","Robusta",(IF($B204="","Arabica",$B204))&amp;" - "&amp;(IF($C204="","Commercial",$C204))),Variables!$B$1:$D$1,0),1))*AK204)+(W204*INDEX(Variables!$B$9:$D$9,IFERROR(MATCH(IF($B204="Robusta","Robusta",(IF($B204="","Arabica",$B204))&amp;" - "&amp;(IF($C204="","Commercial",$C204))),Variables!$B$1:$D$1,0),1))*AK204/365),""))</f>
        <v>39.38176003726813</v>
      </c>
      <c r="BI204" s="44">
        <f>IF($AX204="Cancelled","",IFERROR((W204*INDEX(Variables!$B$7:$D$7,IFERROR(MATCH(IF($B204="Robusta","Robusta",(IF($B204="","Arabica",$B204))&amp;" - "&amp;(IF($C204="","Commercial",$C204))),Variables!$B$1:$D$1,0),1))*BD204/365)+(L204/16.67*INDEX(Variables!$B$8:$D$8,IFERROR(MATCH(IF($B204="Robusta","Robusta",(IF($B204="","Arabica",$B204))&amp;" - "&amp;(IF($C204="","Commercial",$C204))),Variables!$B$1:$D$1,0),1))*BD204)+(W204*INDEX(Variables!$B$9:$D$9,IFERROR(MATCH(IF($B204="Robusta","Robusta",(IF($B204="","Arabica",$B204))&amp;" - "&amp;(IF($C204="","Commercial",$C204))),Variables!$B$1:$D$1,0),1))*BD204/365),""))</f>
        <v>0</v>
      </c>
      <c r="BJ204" s="44">
        <f t="shared" si="11"/>
        <v>9</v>
      </c>
      <c r="BK204" s="44">
        <f>IF($AX204="Cancelled","",IFERROR(IF(BJ204="","",(W204*INDEX(Variables!$B$7:$D$7,IFERROR(MATCH(IF($B204="Robusta","Robusta",(IF($B204="","Arabica",$B204))&amp;" - "&amp;(IF($C204="","Commercial",$C204))),Variables!$B$1:$D$1,0),1))*(BJ204/365))+(W204*INDEX(Variables!$B$9:$D$9,IFERROR(MATCH(IF($B204="Robusta","Robusta",(IF($B204="","Arabica",$B204))&amp;" - "&amp;(IF($C204="","Commercial",$C204))),Variables!$B$1:$D$1,0),1))*(BJ204/365))+(INDEX(Variables!$B$8:$D$8,IFERROR(MATCH(IF($B204="Robusta","Robusta",(IF($B204="","Arabica",$B204))&amp;" - "&amp;(IF($C204="","Commercial",$C204))),Variables!$B$1:$D$1,0),1))*L204/16.67)),""))</f>
        <v>30.304480041926642</v>
      </c>
    </row>
    <row r="205" spans="1:63">
      <c r="A205" s="13" t="s">
        <v>103</v>
      </c>
      <c r="B205" s="13" t="s">
        <v>104</v>
      </c>
      <c r="C205" s="13" t="s">
        <v>292</v>
      </c>
      <c r="D205" s="31">
        <v>45695</v>
      </c>
      <c r="E205" s="31">
        <v>45717</v>
      </c>
      <c r="F205" s="31">
        <v>45747</v>
      </c>
      <c r="G205" s="13">
        <v>3786693</v>
      </c>
      <c r="J205" s="13" t="s">
        <v>294</v>
      </c>
      <c r="K205" s="13" t="s">
        <v>736</v>
      </c>
      <c r="L205" s="13">
        <v>31</v>
      </c>
      <c r="M205" s="13">
        <v>0</v>
      </c>
      <c r="N205" s="13" t="s">
        <v>737</v>
      </c>
      <c r="O205" s="13" t="s">
        <v>576</v>
      </c>
      <c r="P205" s="13">
        <v>10020</v>
      </c>
      <c r="R205" s="13" t="s">
        <v>384</v>
      </c>
      <c r="S205" s="13" t="s">
        <v>299</v>
      </c>
      <c r="T205" s="13" t="s">
        <v>305</v>
      </c>
      <c r="U205" s="13" t="s">
        <v>125</v>
      </c>
      <c r="V205" s="13">
        <v>36.25</v>
      </c>
      <c r="W205" s="44">
        <f>IF($AX205="Cancelled","",IFERROR(((V205+INDEX(Variables!$B$6:$D$6,IFERROR(MATCH(IF($B205="Robusta","Robusta",(IF($B205="","Arabica",$B205))&amp;" - "&amp;(IF($C205="","Commercial",$C205))),Variables!$B$1:$D$1,0),1)))*22.0462)*(L205/16.67),""))</f>
        <v>13408.308398920215</v>
      </c>
      <c r="X205" s="55" t="s">
        <v>39</v>
      </c>
      <c r="Y205" s="13" t="str">
        <f>IF($AX205="Cancelled","",IF(X205="","",IFERROR(IF(INDEX(Variables!$B$38:$B$47,MATCH(X205,Variables!$A$38:$A$47,0))="Yes","Yes","No"),"No")))</f>
        <v>No</v>
      </c>
      <c r="Z205" s="31"/>
      <c r="AB205" s="31">
        <v>45689.875</v>
      </c>
      <c r="AC205" s="13" t="str">
        <f t="shared" si="9"/>
        <v>Approved</v>
      </c>
      <c r="AF205" s="71">
        <f>AJ205-7</f>
        <v>45716</v>
      </c>
      <c r="AG205" s="36">
        <f>IF($AX205="Cancelled","",IFERROR(IF(F205="","",F205-Variables!$B$13),""))</f>
        <v>45732</v>
      </c>
      <c r="AH205" s="13">
        <f>IF($AX205="Cancelled","",IFERROR(IF(AB205="","",(AVERAGE(E205:F205)-AB205)-Variables!$B$14),""))</f>
        <v>12.125</v>
      </c>
      <c r="AJ205" s="47">
        <v>45723</v>
      </c>
      <c r="AK205" s="14">
        <f>IF($AX205="Cancelled","",IFERROR(IF(AJ205="","",IF(AND(AB205="",AF205=""),"",IF(AF205&gt;AB205,AF205+Variables!$B$15+Variables!$B$16+Variables!$B$17-AJ205,AB205+Variables!$B$16+Variables!$B$17-AJ205))),""))</f>
        <v>8</v>
      </c>
      <c r="AL205" s="48" t="s">
        <v>114</v>
      </c>
      <c r="AM205" s="13" t="s">
        <v>115</v>
      </c>
      <c r="AN205" s="13" t="s">
        <v>370</v>
      </c>
      <c r="AP205" s="31">
        <v>45735</v>
      </c>
      <c r="AR205" s="13">
        <v>251075753</v>
      </c>
      <c r="AS205" s="31">
        <v>45738</v>
      </c>
      <c r="AU205" s="31">
        <v>45744</v>
      </c>
      <c r="AV205" s="13" t="s">
        <v>3267</v>
      </c>
      <c r="AW205" s="31">
        <v>45759</v>
      </c>
      <c r="AX205" s="13" t="str">
        <f>IF(ISNUMBER(SEARCH("cancel",#REF!)),"Cancelled",IF(AND(AS205&lt;&gt;"",AU205&lt;&gt;"",AW205&lt;&gt;""),"Closed","Open"))</f>
        <v>Closed</v>
      </c>
      <c r="AY205" s="15" t="str">
        <f t="shared" si="10"/>
        <v>All dates received</v>
      </c>
      <c r="BD205" s="13">
        <f>IF($AX205="Cancelled","",IFERROR(IF(OR(AS205="",AJ205=""),"",(AJ205+Variables!$B$18-AS205)),""))</f>
        <v>0</v>
      </c>
      <c r="BE205" s="13">
        <f>IF($AX205="Cancelled","",IFERROR(IF(OR(AW205="",AS205=""),"",(AS205+Variables!$B$19)-AW205),""))</f>
        <v>-16</v>
      </c>
      <c r="BF205" s="44">
        <f>IF($AX205="Cancelled","",IFERROR(W205*INDEX(Variables!$B$7:$D$7,IFERROR(MATCH(IF($B205="Robusta","Robusta",(IF($B205="","Arabica",$B205))&amp;" - "&amp;(IF($C205="","Commercial",$C205))),Variables!$B$1:$D$1,0),1))*(BE205/365),""))</f>
        <v>-37.900152277955208</v>
      </c>
      <c r="BG205" s="44">
        <f>IF($AX205="Cancelled","",IFERROR((W205*INDEX(Variables!$B$7:$D$7,IFERROR(MATCH(IF($B205="Robusta","Robusta",(IF($B205="","Arabica",$B205))&amp;" - "&amp;(IF($C205="","Commercial",$C205))),Variables!$B$1:$D$1,0),1))*IFERROR(IF(AB205="","",(AVERAGE(E205:F205)-AB205)-Variables!$B$14),"")/365)+(L205/16.67*INDEX(Variables!$B$8:$D$8,IFERROR(MATCH(IF($B205="Robusta","Robusta",(IF($B205="","Arabica",$B205))&amp;" - "&amp;(IF($C205="","Commercial",$C205))),Variables!$B$1:$D$1,0),1))*IFERROR(IF(AB205="","",(AVERAGE(E205:F205)-AB205)-Variables!$B$14),""))+(W205*INDEX(Variables!$B$9:$D$9,IFERROR(MATCH(IF($B205="Robusta","Robusta",(IF($B205="","Arabica",$B205))&amp;" - "&amp;(IF($C205="","Commercial",$C205))),Variables!$B$1:$D$1,0),1))*IFERROR(IF(AB205="","",(AVERAGE(E205:F205)-AB205)-Variables!$B$14),"")/365),""))</f>
        <v>47.885230962140049</v>
      </c>
      <c r="BH205" s="44">
        <f>IF($AX205="Cancelled","",IFERROR((W205*INDEX(Variables!$B$7:$D$7,IFERROR(MATCH(IF($B205="Robusta","Robusta",(IF($B205="","Arabica",$B205))&amp;" - "&amp;(IF($C205="","Commercial",$C205))),Variables!$B$1:$D$1,0),1))*AK205/365)+(L205/16.67*INDEX(Variables!$B$8:$D$8,IFERROR(MATCH(IF($B205="Robusta","Robusta",(IF($B205="","Arabica",$B205))&amp;" - "&amp;(IF($C205="","Commercial",$C205))),Variables!$B$1:$D$1,0),1))*AK205)+(W205*INDEX(Variables!$B$9:$D$9,IFERROR(MATCH(IF($B205="Robusta","Robusta",(IF($B205="","Arabica",$B205))&amp;" - "&amp;(IF($C205="","Commercial",$C205))),Variables!$B$1:$D$1,0),1))*AK205/365),""))</f>
        <v>31.594379191515081</v>
      </c>
      <c r="BI205" s="44">
        <f>IF($AX205="Cancelled","",IFERROR((W205*INDEX(Variables!$B$7:$D$7,IFERROR(MATCH(IF($B205="Robusta","Robusta",(IF($B205="","Arabica",$B205))&amp;" - "&amp;(IF($C205="","Commercial",$C205))),Variables!$B$1:$D$1,0),1))*BD205/365)+(L205/16.67*INDEX(Variables!$B$8:$D$8,IFERROR(MATCH(IF($B205="Robusta","Robusta",(IF($B205="","Arabica",$B205))&amp;" - "&amp;(IF($C205="","Commercial",$C205))),Variables!$B$1:$D$1,0),1))*BD205)+(W205*INDEX(Variables!$B$9:$D$9,IFERROR(MATCH(IF($B205="Robusta","Robusta",(IF($B205="","Arabica",$B205))&amp;" - "&amp;(IF($C205="","Commercial",$C205))),Variables!$B$1:$D$1,0),1))*BD205/365),""))</f>
        <v>0</v>
      </c>
      <c r="BJ205" s="44">
        <f t="shared" si="11"/>
        <v>9</v>
      </c>
      <c r="BK205" s="44">
        <f>IF($AX205="Cancelled","",IFERROR(IF(BJ205="","",(W205*INDEX(Variables!$B$7:$D$7,IFERROR(MATCH(IF($B205="Robusta","Robusta",(IF($B205="","Arabica",$B205))&amp;" - "&amp;(IF($C205="","Commercial",$C205))),Variables!$B$1:$D$1,0),1))*(BJ205/365))+(W205*INDEX(Variables!$B$9:$D$9,IFERROR(MATCH(IF($B205="Robusta","Robusta",(IF($B205="","Arabica",$B205))&amp;" - "&amp;(IF($C205="","Commercial",$C205))),Variables!$B$1:$D$1,0),1))*(BJ205/365))+(INDEX(Variables!$B$8:$D$8,IFERROR(MATCH(IF($B205="Robusta","Robusta",(IF($B205="","Arabica",$B205))&amp;" - "&amp;(IF($C205="","Commercial",$C205))),Variables!$B$1:$D$1,0),1))*L205/16.67)),""))</f>
        <v>23.143676590454465</v>
      </c>
    </row>
    <row r="206" spans="1:63">
      <c r="A206" s="13" t="s">
        <v>103</v>
      </c>
      <c r="B206" s="13" t="s">
        <v>104</v>
      </c>
      <c r="C206" s="13" t="s">
        <v>292</v>
      </c>
      <c r="D206" s="31">
        <v>45695</v>
      </c>
      <c r="E206" s="31">
        <v>45717</v>
      </c>
      <c r="F206" s="31">
        <v>45747</v>
      </c>
      <c r="G206" s="13">
        <v>3786694</v>
      </c>
      <c r="J206" s="13" t="s">
        <v>294</v>
      </c>
      <c r="K206" s="13" t="s">
        <v>738</v>
      </c>
      <c r="L206" s="13">
        <v>26</v>
      </c>
      <c r="M206" s="13">
        <v>0</v>
      </c>
      <c r="N206" s="13" t="s">
        <v>739</v>
      </c>
      <c r="O206" s="13" t="s">
        <v>304</v>
      </c>
      <c r="P206" s="13">
        <v>10010</v>
      </c>
      <c r="R206" s="13" t="s">
        <v>384</v>
      </c>
      <c r="S206" s="13" t="s">
        <v>299</v>
      </c>
      <c r="T206" s="13" t="s">
        <v>305</v>
      </c>
      <c r="U206" s="13" t="s">
        <v>125</v>
      </c>
      <c r="V206" s="13">
        <v>41.25</v>
      </c>
      <c r="W206" s="44">
        <f>IF($AX206="Cancelled","",IFERROR(((V206+INDEX(Variables!$B$6:$D$6,IFERROR(MATCH(IF($B206="Robusta","Robusta",(IF($B206="","Arabica",$B206))&amp;" - "&amp;(IF($C206="","Commercial",$C206))),Variables!$B$1:$D$1,0),1)))*22.0462)*(L206/16.67),""))</f>
        <v>11417.603986802638</v>
      </c>
      <c r="X206" s="55" t="s">
        <v>39</v>
      </c>
      <c r="Y206" s="13" t="str">
        <f>IF($AX206="Cancelled","",IF(X206="","",IFERROR(IF(INDEX(Variables!$B$38:$B$47,MATCH(X206,Variables!$A$38:$A$47,0))="Yes","Yes","No"),"No")))</f>
        <v>No</v>
      </c>
      <c r="Z206" s="31"/>
      <c r="AB206" s="31">
        <v>45689.875</v>
      </c>
      <c r="AC206" s="13" t="str">
        <f t="shared" si="9"/>
        <v>Approved</v>
      </c>
      <c r="AF206" s="71">
        <f>AJ206-7</f>
        <v>45716</v>
      </c>
      <c r="AG206" s="36">
        <f>IF($AX206="Cancelled","",IFERROR(IF(F206="","",F206-Variables!$B$13),""))</f>
        <v>45732</v>
      </c>
      <c r="AH206" s="13">
        <f>IF($AX206="Cancelled","",IFERROR(IF(AB206="","",(AVERAGE(E206:F206)-AB206)-Variables!$B$14),""))</f>
        <v>12.125</v>
      </c>
      <c r="AJ206" s="47">
        <v>45723</v>
      </c>
      <c r="AK206" s="14">
        <f>IF($AX206="Cancelled","",IFERROR(IF(AJ206="","",IF(AND(AB206="",AF206=""),"",IF(AF206&gt;AB206,AF206+Variables!$B$15+Variables!$B$16+Variables!$B$17-AJ206,AB206+Variables!$B$16+Variables!$B$17-AJ206))),""))</f>
        <v>8</v>
      </c>
      <c r="AL206" s="48" t="s">
        <v>114</v>
      </c>
      <c r="AM206" s="13" t="s">
        <v>115</v>
      </c>
      <c r="AN206" s="13" t="s">
        <v>370</v>
      </c>
      <c r="AP206" s="31">
        <v>45735</v>
      </c>
      <c r="AR206" s="13">
        <v>251075753</v>
      </c>
      <c r="AS206" s="31">
        <v>45738</v>
      </c>
      <c r="AU206" s="31">
        <v>45744</v>
      </c>
      <c r="AV206" s="13" t="s">
        <v>3267</v>
      </c>
      <c r="AW206" s="31">
        <v>45759</v>
      </c>
      <c r="AX206" s="13" t="str">
        <f>IF(ISNUMBER(SEARCH("cancel",#REF!)),"Cancelled",IF(AND(AS206&lt;&gt;"",AU206&lt;&gt;"",AW206&lt;&gt;""),"Closed","Open"))</f>
        <v>Closed</v>
      </c>
      <c r="AY206" s="15" t="str">
        <f t="shared" si="10"/>
        <v>All dates received</v>
      </c>
      <c r="BD206" s="13">
        <f>IF($AX206="Cancelled","",IFERROR(IF(OR(AS206="",AJ206=""),"",(AJ206+Variables!$B$18-AS206)),""))</f>
        <v>0</v>
      </c>
      <c r="BE206" s="13">
        <f>IF($AX206="Cancelled","",IFERROR(IF(OR(AW206="",AS206=""),"",(AS206+Variables!$B$19)-AW206),""))</f>
        <v>-16</v>
      </c>
      <c r="BF206" s="44">
        <f>IF($AX206="Cancelled","",IFERROR(W206*INDEX(Variables!$B$7:$D$7,IFERROR(MATCH(IF($B206="Robusta","Robusta",(IF($B206="","Arabica",$B206))&amp;" - "&amp;(IF($C206="","Commercial",$C206))),Variables!$B$1:$D$1,0),1))*(BE206/365),""))</f>
        <v>-32.273193371958577</v>
      </c>
      <c r="BG206" s="44">
        <f>IF($AX206="Cancelled","",IFERROR((W206*INDEX(Variables!$B$7:$D$7,IFERROR(MATCH(IF($B206="Robusta","Robusta",(IF($B206="","Arabica",$B206))&amp;" - "&amp;(IF($C206="","Commercial",$C206))),Variables!$B$1:$D$1,0),1))*IFERROR(IF(AB206="","",(AVERAGE(E206:F206)-AB206)-Variables!$B$14),"")/365)+(L206/16.67*INDEX(Variables!$B$8:$D$8,IFERROR(MATCH(IF($B206="Robusta","Robusta",(IF($B206="","Arabica",$B206))&amp;" - "&amp;(IF($C206="","Commercial",$C206))),Variables!$B$1:$D$1,0),1))*IFERROR(IF(AB206="","",(AVERAGE(E206:F206)-AB206)-Variables!$B$14),""))+(W206*INDEX(Variables!$B$9:$D$9,IFERROR(MATCH(IF($B206="Robusta","Robusta",(IF($B206="","Arabica",$B206))&amp;" - "&amp;(IF($C206="","Commercial",$C206))),Variables!$B$1:$D$1,0),1))*IFERROR(IF(AB206="","",(AVERAGE(E206:F206)-AB206)-Variables!$B$14),"")/365),""))</f>
        <v>40.534827659324428</v>
      </c>
      <c r="BH206" s="44">
        <f>IF($AX206="Cancelled","",IFERROR((W206*INDEX(Variables!$B$7:$D$7,IFERROR(MATCH(IF($B206="Robusta","Robusta",(IF($B206="","Arabica",$B206))&amp;" - "&amp;(IF($C206="","Commercial",$C206))),Variables!$B$1:$D$1,0),1))*AK206/365)+(L206/16.67*INDEX(Variables!$B$8:$D$8,IFERROR(MATCH(IF($B206="Robusta","Robusta",(IF($B206="","Arabica",$B206))&amp;" - "&amp;(IF($C206="","Commercial",$C206))),Variables!$B$1:$D$1,0),1))*AK206)+(W206*INDEX(Variables!$B$9:$D$9,IFERROR(MATCH(IF($B206="Robusta","Robusta",(IF($B206="","Arabica",$B206))&amp;" - "&amp;(IF($C206="","Commercial",$C206))),Variables!$B$1:$D$1,0),1))*AK206/365),""))</f>
        <v>26.744628558729516</v>
      </c>
      <c r="BI206" s="44">
        <f>IF($AX206="Cancelled","",IFERROR((W206*INDEX(Variables!$B$7:$D$7,IFERROR(MATCH(IF($B206="Robusta","Robusta",(IF($B206="","Arabica",$B206))&amp;" - "&amp;(IF($C206="","Commercial",$C206))),Variables!$B$1:$D$1,0),1))*BD206/365)+(L206/16.67*INDEX(Variables!$B$8:$D$8,IFERROR(MATCH(IF($B206="Robusta","Robusta",(IF($B206="","Arabica",$B206))&amp;" - "&amp;(IF($C206="","Commercial",$C206))),Variables!$B$1:$D$1,0),1))*BD206)+(W206*INDEX(Variables!$B$9:$D$9,IFERROR(MATCH(IF($B206="Robusta","Robusta",(IF($B206="","Arabica",$B206))&amp;" - "&amp;(IF($C206="","Commercial",$C206))),Variables!$B$1:$D$1,0),1))*BD206/365),""))</f>
        <v>0</v>
      </c>
      <c r="BJ206" s="44">
        <f t="shared" si="11"/>
        <v>9</v>
      </c>
      <c r="BK206" s="44">
        <f>IF($AX206="Cancelled","",IFERROR(IF(BJ206="","",(W206*INDEX(Variables!$B$7:$D$7,IFERROR(MATCH(IF($B206="Robusta","Robusta",(IF($B206="","Arabica",$B206))&amp;" - "&amp;(IF($C206="","Commercial",$C206))),Variables!$B$1:$D$1,0),1))*(BJ206/365))+(W206*INDEX(Variables!$B$9:$D$9,IFERROR(MATCH(IF($B206="Robusta","Robusta",(IF($B206="","Arabica",$B206))&amp;" - "&amp;(IF($C206="","Commercial",$C206))),Variables!$B$1:$D$1,0),1))*(BJ206/365))+(INDEX(Variables!$B$8:$D$8,IFERROR(MATCH(IF($B206="Robusta","Robusta",(IF($B206="","Arabica",$B206))&amp;" - "&amp;(IF($C206="","Commercial",$C206))),Variables!$B$1:$D$1,0),1))*L206/16.67)),""))</f>
        <v>19.687707128570704</v>
      </c>
    </row>
    <row r="207" spans="1:63">
      <c r="A207" s="13" t="s">
        <v>103</v>
      </c>
      <c r="B207" s="13" t="s">
        <v>104</v>
      </c>
      <c r="C207" s="13" t="s">
        <v>292</v>
      </c>
      <c r="D207" s="31">
        <v>45695</v>
      </c>
      <c r="E207" s="31">
        <v>45717</v>
      </c>
      <c r="F207" s="31">
        <v>45747</v>
      </c>
      <c r="G207" s="13">
        <v>3786695</v>
      </c>
      <c r="J207" s="13" t="s">
        <v>294</v>
      </c>
      <c r="M207" s="13">
        <v>0</v>
      </c>
      <c r="N207" s="13" t="s">
        <v>467</v>
      </c>
      <c r="O207" s="13" t="s">
        <v>304</v>
      </c>
      <c r="P207" s="13">
        <v>10010</v>
      </c>
      <c r="R207" s="13" t="s">
        <v>467</v>
      </c>
      <c r="S207" s="13" t="s">
        <v>467</v>
      </c>
      <c r="T207" s="13" t="s">
        <v>467</v>
      </c>
      <c r="U207" s="13" t="s">
        <v>467</v>
      </c>
      <c r="V207" s="13">
        <v>69.8</v>
      </c>
      <c r="W207" s="44">
        <f>IF($AX207="Cancelled","",IFERROR(((V207+INDEX(Variables!$B$6:$D$6,IFERROR(MATCH(IF($B207="Robusta","Robusta",(IF($B207="","Arabica",$B207))&amp;" - "&amp;(IF($C207="","Commercial",$C207))),Variables!$B$1:$D$1,0),1)))*22.0462)*(L207/16.67),""))</f>
        <v>0</v>
      </c>
      <c r="X207" s="55" t="s">
        <v>39</v>
      </c>
      <c r="Y207" s="13" t="str">
        <f>IF($AX207="Cancelled","",IF(X207="","",IFERROR(IF(INDEX(Variables!$B$38:$B$47,MATCH(X207,Variables!$A$38:$A$47,0))="Yes","Yes","No"),"No")))</f>
        <v>No</v>
      </c>
      <c r="Z207" s="31">
        <v>45695</v>
      </c>
      <c r="AB207" s="31">
        <v>45695</v>
      </c>
      <c r="AC207" s="13" t="str">
        <f t="shared" si="9"/>
        <v>Approved</v>
      </c>
      <c r="AD207" s="31">
        <v>45695</v>
      </c>
      <c r="AF207" s="71">
        <f>AJ207-7</f>
        <v>45688</v>
      </c>
      <c r="AG207" s="35">
        <f>IF($AX207="Cancelled","",IFERROR(IF(F207="","",F207-Variables!$B$13),""))</f>
        <v>45732</v>
      </c>
      <c r="AH207" s="13">
        <f>IF($AX207="Cancelled","",IFERROR(IF(AB207="","",(AVERAGE(E207:F207)-AB207)-Variables!$B$14),""))</f>
        <v>7</v>
      </c>
      <c r="AI207" s="13">
        <v>45695</v>
      </c>
      <c r="AJ207" s="47">
        <v>45695</v>
      </c>
      <c r="AK207" s="14">
        <f>IF($AX207="Cancelled","",IFERROR(IF(AJ207="","",IF(AND(AB207="",AF207=""),"",IF(AF207&gt;AB207,AF207+Variables!$B$15+Variables!$B$16+Variables!$B$17-AJ207,AB207+Variables!$B$16+Variables!$B$17-AJ207))),""))</f>
        <v>8</v>
      </c>
      <c r="AL207" s="48" t="s">
        <v>467</v>
      </c>
      <c r="AM207" s="13" t="s">
        <v>467</v>
      </c>
      <c r="AN207" s="13" t="s">
        <v>467</v>
      </c>
      <c r="AO207" s="31">
        <v>45695</v>
      </c>
      <c r="AP207" s="31">
        <v>45695</v>
      </c>
      <c r="AQ207" s="31">
        <v>45695</v>
      </c>
      <c r="AR207" s="13" t="s">
        <v>467</v>
      </c>
      <c r="AS207" s="31">
        <v>45695</v>
      </c>
      <c r="AU207" s="31">
        <v>45695</v>
      </c>
      <c r="AV207" s="13" t="s">
        <v>467</v>
      </c>
      <c r="AW207" s="31">
        <v>45695</v>
      </c>
      <c r="AX207" s="13" t="str">
        <f>IF(ISNUMBER(SEARCH("cancel",#REF!)),"Cancelled",IF(AND(AS207&lt;&gt;"",AU207&lt;&gt;"",AW207&lt;&gt;""),"Closed","Open"))</f>
        <v>Closed</v>
      </c>
      <c r="AY207" s="15" t="str">
        <f t="shared" si="10"/>
        <v>All dates received</v>
      </c>
      <c r="BD207" s="13">
        <f>IF($AX207="Cancelled","",IFERROR(IF(OR(AS207="",AJ207=""),"",(AJ207+Variables!$B$18-AS207)),""))</f>
        <v>15</v>
      </c>
      <c r="BE207" s="13">
        <f>IF($AX207="Cancelled","",IFERROR(IF(OR(AW207="",AS207=""),"",(AS207+Variables!$B$19)-AW207),""))</f>
        <v>5</v>
      </c>
      <c r="BF207" s="44">
        <f>IF($AX207="Cancelled","",IFERROR(W207*INDEX(Variables!$B$7:$D$7,IFERROR(MATCH(IF($B207="Robusta","Robusta",(IF($B207="","Arabica",$B207))&amp;" - "&amp;(IF($C207="","Commercial",$C207))),Variables!$B$1:$D$1,0),1))*(BE207/365),""))</f>
        <v>0</v>
      </c>
      <c r="BG207" s="44">
        <f>IF($AX207="Cancelled","",IFERROR((W207*INDEX(Variables!$B$7:$D$7,IFERROR(MATCH(IF($B207="Robusta","Robusta",(IF($B207="","Arabica",$B207))&amp;" - "&amp;(IF($C207="","Commercial",$C207))),Variables!$B$1:$D$1,0),1))*IFERROR(IF(AB207="","",(AVERAGE(E207:F207)-AB207)-Variables!$B$14),"")/365)+(L207/16.67*INDEX(Variables!$B$8:$D$8,IFERROR(MATCH(IF($B207="Robusta","Robusta",(IF($B207="","Arabica",$B207))&amp;" - "&amp;(IF($C207="","Commercial",$C207))),Variables!$B$1:$D$1,0),1))*IFERROR(IF(AB207="","",(AVERAGE(E207:F207)-AB207)-Variables!$B$14),""))+(W207*INDEX(Variables!$B$9:$D$9,IFERROR(MATCH(IF($B207="Robusta","Robusta",(IF($B207="","Arabica",$B207))&amp;" - "&amp;(IF($C207="","Commercial",$C207))),Variables!$B$1:$D$1,0),1))*IFERROR(IF(AB207="","",(AVERAGE(E207:F207)-AB207)-Variables!$B$14),"")/365),""))</f>
        <v>0</v>
      </c>
      <c r="BH207" s="44">
        <f>IF($AX207="Cancelled","",IFERROR((W207*INDEX(Variables!$B$7:$D$7,IFERROR(MATCH(IF($B207="Robusta","Robusta",(IF($B207="","Arabica",$B207))&amp;" - "&amp;(IF($C207="","Commercial",$C207))),Variables!$B$1:$D$1,0),1))*AK207/365)+(L207/16.67*INDEX(Variables!$B$8:$D$8,IFERROR(MATCH(IF($B207="Robusta","Robusta",(IF($B207="","Arabica",$B207))&amp;" - "&amp;(IF($C207="","Commercial",$C207))),Variables!$B$1:$D$1,0),1))*AK207)+(W207*INDEX(Variables!$B$9:$D$9,IFERROR(MATCH(IF($B207="Robusta","Robusta",(IF($B207="","Arabica",$B207))&amp;" - "&amp;(IF($C207="","Commercial",$C207))),Variables!$B$1:$D$1,0),1))*AK207/365),""))</f>
        <v>0</v>
      </c>
      <c r="BI207" s="44">
        <f>IF($AX207="Cancelled","",IFERROR((W207*INDEX(Variables!$B$7:$D$7,IFERROR(MATCH(IF($B207="Robusta","Robusta",(IF($B207="","Arabica",$B207))&amp;" - "&amp;(IF($C207="","Commercial",$C207))),Variables!$B$1:$D$1,0),1))*BD207/365)+(L207/16.67*INDEX(Variables!$B$8:$D$8,IFERROR(MATCH(IF($B207="Robusta","Robusta",(IF($B207="","Arabica",$B207))&amp;" - "&amp;(IF($C207="","Commercial",$C207))),Variables!$B$1:$D$1,0),1))*BD207)+(W207*INDEX(Variables!$B$9:$D$9,IFERROR(MATCH(IF($B207="Robusta","Robusta",(IF($B207="","Arabica",$B207))&amp;" - "&amp;(IF($C207="","Commercial",$C207))),Variables!$B$1:$D$1,0),1))*BD207/365),""))</f>
        <v>0</v>
      </c>
      <c r="BJ207" s="44">
        <f t="shared" si="11"/>
        <v>52</v>
      </c>
      <c r="BK207" s="44">
        <f>IF($AX207="Cancelled","",IFERROR(IF(BJ207="","",(W207*INDEX(Variables!$B$7:$D$7,IFERROR(MATCH(IF($B207="Robusta","Robusta",(IF($B207="","Arabica",$B207))&amp;" - "&amp;(IF($C207="","Commercial",$C207))),Variables!$B$1:$D$1,0),1))*(BJ207/365))+(W207*INDEX(Variables!$B$9:$D$9,IFERROR(MATCH(IF($B207="Robusta","Robusta",(IF($B207="","Arabica",$B207))&amp;" - "&amp;(IF($C207="","Commercial",$C207))),Variables!$B$1:$D$1,0),1))*(BJ207/365))+(INDEX(Variables!$B$8:$D$8,IFERROR(MATCH(IF($B207="Robusta","Robusta",(IF($B207="","Arabica",$B207))&amp;" - "&amp;(IF($C207="","Commercial",$C207))),Variables!$B$1:$D$1,0),1))*L207/16.67)),""))</f>
        <v>0</v>
      </c>
    </row>
    <row r="208" spans="1:63">
      <c r="A208" s="13" t="s">
        <v>103</v>
      </c>
      <c r="B208" s="13" t="s">
        <v>104</v>
      </c>
      <c r="C208" s="13" t="s">
        <v>292</v>
      </c>
      <c r="D208" s="31">
        <v>45695</v>
      </c>
      <c r="E208" s="31">
        <v>45689</v>
      </c>
      <c r="F208" s="31">
        <v>45716</v>
      </c>
      <c r="G208" s="13">
        <v>3786696</v>
      </c>
      <c r="J208" s="13" t="s">
        <v>592</v>
      </c>
      <c r="K208" s="13" t="s">
        <v>740</v>
      </c>
      <c r="L208" s="13">
        <v>2</v>
      </c>
      <c r="M208" s="13">
        <v>0</v>
      </c>
      <c r="N208" s="13" t="s">
        <v>741</v>
      </c>
      <c r="O208" s="13" t="s">
        <v>304</v>
      </c>
      <c r="P208" s="13">
        <v>10010</v>
      </c>
      <c r="R208" s="13" t="s">
        <v>239</v>
      </c>
      <c r="S208" s="13" t="s">
        <v>595</v>
      </c>
      <c r="T208" s="13" t="s">
        <v>596</v>
      </c>
      <c r="U208" s="13" t="s">
        <v>125</v>
      </c>
      <c r="V208" s="13">
        <v>96.1</v>
      </c>
      <c r="W208" s="44">
        <f>IF($AX208="Cancelled","",IFERROR(((V208+INDEX(Variables!$B$6:$D$6,IFERROR(MATCH(IF($B208="Robusta","Robusta",(IF($B208="","Arabica",$B208))&amp;" - "&amp;(IF($C208="","Commercial",$C208))),Variables!$B$1:$D$1,0),1)))*22.0462)*(L208/16.67),""))</f>
        <v>1023.3563023395319</v>
      </c>
      <c r="X208" s="55" t="s">
        <v>39</v>
      </c>
      <c r="Y208" s="13" t="str">
        <f>IF($AX208="Cancelled","",IF(X208="","",IFERROR(IF(INDEX(Variables!$B$38:$B$47,MATCH(X208,Variables!$A$38:$A$47,0))="Yes","Yes","No"),"No")))</f>
        <v>No</v>
      </c>
      <c r="Z208" s="31"/>
      <c r="AB208" s="31">
        <v>45672.875</v>
      </c>
      <c r="AC208" s="13" t="str">
        <f t="shared" si="9"/>
        <v>Approved</v>
      </c>
      <c r="AF208" s="71">
        <f>AJ208-7</f>
        <v>45713</v>
      </c>
      <c r="AG208" s="36">
        <f>IF($AX208="Cancelled","",IFERROR(IF(F208="","",F208-Variables!$B$13),""))</f>
        <v>45701</v>
      </c>
      <c r="AH208" s="13">
        <f>IF($AX208="Cancelled","",IFERROR(IF(AB208="","",(AVERAGE(E208:F208)-AB208)-Variables!$B$14),""))</f>
        <v>-0.375</v>
      </c>
      <c r="AJ208" s="47">
        <v>45720</v>
      </c>
      <c r="AK208" s="14">
        <f>IF($AX208="Cancelled","",IFERROR(IF(AJ208="","",IF(AND(AB208="",AF208=""),"",IF(AF208&gt;AB208,AF208+Variables!$B$15+Variables!$B$16+Variables!$B$17-AJ208,AB208+Variables!$B$16+Variables!$B$17-AJ208))),""))</f>
        <v>8</v>
      </c>
      <c r="AL208" s="48" t="s">
        <v>114</v>
      </c>
      <c r="AM208" s="13" t="s">
        <v>115</v>
      </c>
      <c r="AN208" s="13" t="s">
        <v>126</v>
      </c>
      <c r="AP208" s="31">
        <v>45360</v>
      </c>
      <c r="AR208" s="13">
        <v>250897783</v>
      </c>
      <c r="AS208" s="31">
        <v>45365</v>
      </c>
      <c r="AU208" s="31">
        <v>45734</v>
      </c>
      <c r="AV208" s="13" t="s">
        <v>865</v>
      </c>
      <c r="AW208" s="31">
        <v>45742</v>
      </c>
      <c r="AX208" s="13" t="str">
        <f>IF(ISNUMBER(SEARCH("cancel",#REF!)),"Cancelled",IF(AND(AS208&lt;&gt;"",AU208&lt;&gt;"",AW208&lt;&gt;""),"Closed","Open"))</f>
        <v>Closed</v>
      </c>
      <c r="AY208" s="15" t="str">
        <f t="shared" si="10"/>
        <v>All dates received</v>
      </c>
      <c r="BD208" s="13">
        <f>IF($AX208="Cancelled","",IFERROR(IF(OR(AS208="",AJ208=""),"",(AJ208+Variables!$B$18-AS208)),""))</f>
        <v>370</v>
      </c>
      <c r="BE208" s="13">
        <f>IF($AX208="Cancelled","",IFERROR(IF(OR(AW208="",AS208=""),"",(AS208+Variables!$B$19)-AW208),""))</f>
        <v>-372</v>
      </c>
      <c r="BF208" s="44">
        <f>IF($AX208="Cancelled","",IFERROR(W208*INDEX(Variables!$B$7:$D$7,IFERROR(MATCH(IF($B208="Robusta","Robusta",(IF($B208="","Arabica",$B208))&amp;" - "&amp;(IF($C208="","Commercial",$C208))),Variables!$B$1:$D$1,0),1))*(BE208/365),""))</f>
        <v>-67.253794143131941</v>
      </c>
      <c r="BG208" s="44">
        <f>IF($AX208="Cancelled","",IFERROR((W208*INDEX(Variables!$B$7:$D$7,IFERROR(MATCH(IF($B208="Robusta","Robusta",(IF($B208="","Arabica",$B208))&amp;" - "&amp;(IF($C208="","Commercial",$C208))),Variables!$B$1:$D$1,0),1))*IFERROR(IF(AB208="","",(AVERAGE(E208:F208)-AB208)-Variables!$B$14),"")/365)+(L208/16.67*INDEX(Variables!$B$8:$D$8,IFERROR(MATCH(IF($B208="Robusta","Robusta",(IF($B208="","Arabica",$B208))&amp;" - "&amp;(IF($C208="","Commercial",$C208))),Variables!$B$1:$D$1,0),1))*IFERROR(IF(AB208="","",(AVERAGE(E208:F208)-AB208)-Variables!$B$14),""))+(W208*INDEX(Variables!$B$9:$D$9,IFERROR(MATCH(IF($B208="Robusta","Robusta",(IF($B208="","Arabica",$B208))&amp;" - "&amp;(IF($C208="","Commercial",$C208))),Variables!$B$1:$D$1,0),1))*IFERROR(IF(AB208="","",(AVERAGE(E208:F208)-AB208)-Variables!$B$14),"")/365),""))</f>
        <v>-0.10617018683512297</v>
      </c>
      <c r="BH208" s="44">
        <f>IF($AX208="Cancelled","",IFERROR((W208*INDEX(Variables!$B$7:$D$7,IFERROR(MATCH(IF($B208="Robusta","Robusta",(IF($B208="","Arabica",$B208))&amp;" - "&amp;(IF($C208="","Commercial",$C208))),Variables!$B$1:$D$1,0),1))*AK208/365)+(L208/16.67*INDEX(Variables!$B$8:$D$8,IFERROR(MATCH(IF($B208="Robusta","Robusta",(IF($B208="","Arabica",$B208))&amp;" - "&amp;(IF($C208="","Commercial",$C208))),Variables!$B$1:$D$1,0),1))*AK208)+(W208*INDEX(Variables!$B$9:$D$9,IFERROR(MATCH(IF($B208="Robusta","Robusta",(IF($B208="","Arabica",$B208))&amp;" - "&amp;(IF($C208="","Commercial",$C208))),Variables!$B$1:$D$1,0),1))*AK208/365),""))</f>
        <v>2.2649639858159571</v>
      </c>
      <c r="BI208" s="44">
        <f>IF($AX208="Cancelled","",IFERROR((W208*INDEX(Variables!$B$7:$D$7,IFERROR(MATCH(IF($B208="Robusta","Robusta",(IF($B208="","Arabica",$B208))&amp;" - "&amp;(IF($C208="","Commercial",$C208))),Variables!$B$1:$D$1,0),1))*BD208/365)+(L208/16.67*INDEX(Variables!$B$8:$D$8,IFERROR(MATCH(IF($B208="Robusta","Robusta",(IF($B208="","Arabica",$B208))&amp;" - "&amp;(IF($C208="","Commercial",$C208))),Variables!$B$1:$D$1,0),1))*BD208)+(W208*INDEX(Variables!$B$9:$D$9,IFERROR(MATCH(IF($B208="Robusta","Robusta",(IF($B208="","Arabica",$B208))&amp;" - "&amp;(IF($C208="","Commercial",$C208))),Variables!$B$1:$D$1,0),1))*BD208/365),""))</f>
        <v>104.754584343988</v>
      </c>
      <c r="BJ208" s="44">
        <f t="shared" si="11"/>
        <v>351</v>
      </c>
      <c r="BK208" s="44">
        <f>IF($AX208="Cancelled","",IFERROR(IF(BJ208="","",(W208*INDEX(Variables!$B$7:$D$7,IFERROR(MATCH(IF($B208="Robusta","Robusta",(IF($B208="","Arabica",$B208))&amp;" - "&amp;(IF($C208="","Commercial",$C208))),Variables!$B$1:$D$1,0),1))*(BJ208/365))+(W208*INDEX(Variables!$B$9:$D$9,IFERROR(MATCH(IF($B208="Robusta","Robusta",(IF($B208="","Arabica",$B208))&amp;" - "&amp;(IF($C208="","Commercial",$C208))),Variables!$B$1:$D$1,0),1))*(BJ208/365))+(INDEX(Variables!$B$8:$D$8,IFERROR(MATCH(IF($B208="Robusta","Robusta",(IF($B208="","Arabica",$B208))&amp;" - "&amp;(IF($C208="","Commercial",$C208))),Variables!$B$1:$D$1,0),1))*L208/16.67)),""))</f>
        <v>64.375294877675103</v>
      </c>
    </row>
    <row r="209" spans="1:63">
      <c r="A209" s="13" t="s">
        <v>103</v>
      </c>
      <c r="B209" s="13" t="s">
        <v>104</v>
      </c>
      <c r="C209" s="13" t="s">
        <v>292</v>
      </c>
      <c r="D209" s="31">
        <v>45698</v>
      </c>
      <c r="E209" s="31">
        <v>45689</v>
      </c>
      <c r="F209" s="31">
        <v>45716</v>
      </c>
      <c r="G209" s="13">
        <v>3786697</v>
      </c>
      <c r="J209" s="13" t="s">
        <v>592</v>
      </c>
      <c r="K209" s="13" t="s">
        <v>742</v>
      </c>
      <c r="L209" s="13">
        <v>60</v>
      </c>
      <c r="M209" s="13">
        <v>0</v>
      </c>
      <c r="N209" s="13" t="s">
        <v>743</v>
      </c>
      <c r="O209" s="13" t="s">
        <v>304</v>
      </c>
      <c r="P209" s="13">
        <v>10010</v>
      </c>
      <c r="R209" s="13" t="s">
        <v>239</v>
      </c>
      <c r="S209" s="13" t="s">
        <v>595</v>
      </c>
      <c r="T209" s="13" t="s">
        <v>596</v>
      </c>
      <c r="U209" s="13" t="s">
        <v>125</v>
      </c>
      <c r="V209" s="13">
        <v>79.25</v>
      </c>
      <c r="W209" s="44">
        <f>IF($AX209="Cancelled","",IFERROR(((V209+INDEX(Variables!$B$6:$D$6,IFERROR(MATCH(IF($B209="Robusta","Robusta",(IF($B209="","Arabica",$B209))&amp;" - "&amp;(IF($C209="","Commercial",$C209))),Variables!$B$1:$D$1,0),1)))*22.0462)*(L209/16.67),""))</f>
        <v>29363.633989202157</v>
      </c>
      <c r="X209" s="55" t="s">
        <v>39</v>
      </c>
      <c r="Y209" s="13" t="str">
        <f>IF($AX209="Cancelled","",IF(X209="","",IFERROR(IF(INDEX(Variables!$B$38:$B$47,MATCH(X209,Variables!$A$38:$A$47,0))="Yes","Yes","No"),"No")))</f>
        <v>No</v>
      </c>
      <c r="Z209" s="31"/>
      <c r="AB209" s="31">
        <v>45672.875</v>
      </c>
      <c r="AC209" s="13" t="str">
        <f t="shared" si="9"/>
        <v>Approved</v>
      </c>
      <c r="AF209" s="71">
        <f>AJ209-7</f>
        <v>45713</v>
      </c>
      <c r="AG209" s="36">
        <f>IF($AX209="Cancelled","",IFERROR(IF(F209="","",F209-Variables!$B$13),""))</f>
        <v>45701</v>
      </c>
      <c r="AH209" s="13">
        <f>IF($AX209="Cancelled","",IFERROR(IF(AB209="","",(AVERAGE(E209:F209)-AB209)-Variables!$B$14),""))</f>
        <v>-0.375</v>
      </c>
      <c r="AJ209" s="47">
        <v>45720</v>
      </c>
      <c r="AK209" s="14">
        <f>IF($AX209="Cancelled","",IFERROR(IF(AJ209="","",IF(AND(AB209="",AF209=""),"",IF(AF209&gt;AB209,AF209+Variables!$B$15+Variables!$B$16+Variables!$B$17-AJ209,AB209+Variables!$B$16+Variables!$B$17-AJ209))),""))</f>
        <v>8</v>
      </c>
      <c r="AL209" s="48" t="s">
        <v>114</v>
      </c>
      <c r="AM209" s="13" t="s">
        <v>115</v>
      </c>
      <c r="AN209" s="13" t="s">
        <v>126</v>
      </c>
      <c r="AP209" s="31">
        <v>45360</v>
      </c>
      <c r="AR209" s="13">
        <v>250897783</v>
      </c>
      <c r="AS209" s="31">
        <v>45365</v>
      </c>
      <c r="AU209" s="31">
        <v>45734</v>
      </c>
      <c r="AV209" s="13" t="s">
        <v>865</v>
      </c>
      <c r="AW209" s="31">
        <v>45742</v>
      </c>
      <c r="AX209" s="13" t="str">
        <f>IF(ISNUMBER(SEARCH("cancel",#REF!)),"Cancelled",IF(AND(AS209&lt;&gt;"",AU209&lt;&gt;"",AW209&lt;&gt;""),"Closed","Open"))</f>
        <v>Closed</v>
      </c>
      <c r="AY209" s="15" t="str">
        <f t="shared" si="10"/>
        <v>All dates received</v>
      </c>
      <c r="BD209" s="13">
        <f>IF($AX209="Cancelled","",IFERROR(IF(OR(AS209="",AJ209=""),"",(AJ209+Variables!$B$18-AS209)),""))</f>
        <v>370</v>
      </c>
      <c r="BE209" s="13">
        <f>IF($AX209="Cancelled","",IFERROR(IF(OR(AW209="",AS209=""),"",(AS209+Variables!$B$19)-AW209),""))</f>
        <v>-372</v>
      </c>
      <c r="BF209" s="44">
        <f>IF($AX209="Cancelled","",IFERROR(W209*INDEX(Variables!$B$7:$D$7,IFERROR(MATCH(IF($B209="Robusta","Robusta",(IF($B209="","Arabica",$B209))&amp;" - "&amp;(IF($C209="","Commercial",$C209))),Variables!$B$1:$D$1,0),1))*(BE209/365),""))</f>
        <v>-1929.7441087619004</v>
      </c>
      <c r="BG209" s="44">
        <f>IF($AX209="Cancelled","",IFERROR((W209*INDEX(Variables!$B$7:$D$7,IFERROR(MATCH(IF($B209="Robusta","Robusta",(IF($B209="","Arabica",$B209))&amp;" - "&amp;(IF($C209="","Commercial",$C209))),Variables!$B$1:$D$1,0),1))*IFERROR(IF(AB209="","",(AVERAGE(E209:F209)-AB209)-Variables!$B$14),"")/365)+(L209/16.67*INDEX(Variables!$B$8:$D$8,IFERROR(MATCH(IF($B209="Robusta","Robusta",(IF($B209="","Arabica",$B209))&amp;" - "&amp;(IF($C209="","Commercial",$C209))),Variables!$B$1:$D$1,0),1))*IFERROR(IF(AB209="","",(AVERAGE(E209:F209)-AB209)-Variables!$B$14),""))+(W209*INDEX(Variables!$B$9:$D$9,IFERROR(MATCH(IF($B209="Robusta","Robusta",(IF($B209="","Arabica",$B209))&amp;" - "&amp;(IF($C209="","Commercial",$C209))),Variables!$B$1:$D$1,0),1))*IFERROR(IF(AB209="","",(AVERAGE(E209:F209)-AB209)-Variables!$B$14),"")/365),""))</f>
        <v>-3.0953853170072825</v>
      </c>
      <c r="BH209" s="44">
        <f>IF($AX209="Cancelled","",IFERROR((W209*INDEX(Variables!$B$7:$D$7,IFERROR(MATCH(IF($B209="Robusta","Robusta",(IF($B209="","Arabica",$B209))&amp;" - "&amp;(IF($C209="","Commercial",$C209))),Variables!$B$1:$D$1,0),1))*AK209/365)+(L209/16.67*INDEX(Variables!$B$8:$D$8,IFERROR(MATCH(IF($B209="Robusta","Robusta",(IF($B209="","Arabica",$B209))&amp;" - "&amp;(IF($C209="","Commercial",$C209))),Variables!$B$1:$D$1,0),1))*AK209)+(W209*INDEX(Variables!$B$9:$D$9,IFERROR(MATCH(IF($B209="Robusta","Robusta",(IF($B209="","Arabica",$B209))&amp;" - "&amp;(IF($C209="","Commercial",$C209))),Variables!$B$1:$D$1,0),1))*AK209/365),""))</f>
        <v>66.03488676282204</v>
      </c>
      <c r="BI209" s="44">
        <f>IF($AX209="Cancelled","",IFERROR((W209*INDEX(Variables!$B$7:$D$7,IFERROR(MATCH(IF($B209="Robusta","Robusta",(IF($B209="","Arabica",$B209))&amp;" - "&amp;(IF($C209="","Commercial",$C209))),Variables!$B$1:$D$1,0),1))*BD209/365)+(L209/16.67*INDEX(Variables!$B$8:$D$8,IFERROR(MATCH(IF($B209="Robusta","Robusta",(IF($B209="","Arabica",$B209))&amp;" - "&amp;(IF($C209="","Commercial",$C209))),Variables!$B$1:$D$1,0),1))*BD209)+(W209*INDEX(Variables!$B$9:$D$9,IFERROR(MATCH(IF($B209="Robusta","Robusta",(IF($B209="","Arabica",$B209))&amp;" - "&amp;(IF($C209="","Commercial",$C209))),Variables!$B$1:$D$1,0),1))*BD209/365),""))</f>
        <v>3054.1135127805187</v>
      </c>
      <c r="BJ209" s="44">
        <f t="shared" si="11"/>
        <v>351</v>
      </c>
      <c r="BK209" s="44">
        <f>IF($AX209="Cancelled","",IFERROR(IF(BJ209="","",(W209*INDEX(Variables!$B$7:$D$7,IFERROR(MATCH(IF($B209="Robusta","Robusta",(IF($B209="","Arabica",$B209))&amp;" - "&amp;(IF($C209="","Commercial",$C209))),Variables!$B$1:$D$1,0),1))*(BJ209/365))+(W209*INDEX(Variables!$B$9:$D$9,IFERROR(MATCH(IF($B209="Robusta","Robusta",(IF($B209="","Arabica",$B209))&amp;" - "&amp;(IF($C209="","Commercial",$C209))),Variables!$B$1:$D$1,0),1))*(BJ209/365))+(INDEX(Variables!$B$8:$D$8,IFERROR(MATCH(IF($B209="Robusta","Robusta",(IF($B209="","Arabica",$B209))&amp;" - "&amp;(IF($C209="","Commercial",$C209))),Variables!$B$1:$D$1,0),1))*L209/16.67)),""))</f>
        <v>1847.2806567188168</v>
      </c>
    </row>
    <row r="210" spans="1:63">
      <c r="A210" s="13" t="s">
        <v>103</v>
      </c>
      <c r="B210" s="13" t="s">
        <v>104</v>
      </c>
      <c r="C210" s="13" t="s">
        <v>105</v>
      </c>
      <c r="D210" s="31">
        <v>45700</v>
      </c>
      <c r="E210" s="31">
        <v>45717</v>
      </c>
      <c r="F210" s="31">
        <v>45747</v>
      </c>
      <c r="G210" s="13">
        <v>3786698</v>
      </c>
      <c r="H210" s="13">
        <v>4550241199</v>
      </c>
      <c r="J210" s="13" t="s">
        <v>230</v>
      </c>
      <c r="K210" s="13">
        <v>5193</v>
      </c>
      <c r="L210" s="13">
        <v>1800</v>
      </c>
      <c r="M210" s="13">
        <v>5</v>
      </c>
      <c r="N210" s="13" t="s">
        <v>744</v>
      </c>
      <c r="O210" s="13" t="s">
        <v>428</v>
      </c>
      <c r="P210" s="13">
        <v>10310</v>
      </c>
      <c r="Q210" s="13" t="s">
        <v>745</v>
      </c>
      <c r="R210" s="13" t="s">
        <v>122</v>
      </c>
      <c r="S210" s="13" t="s">
        <v>154</v>
      </c>
      <c r="T210" s="13" t="s">
        <v>155</v>
      </c>
      <c r="U210" s="13" t="s">
        <v>125</v>
      </c>
      <c r="V210" s="13">
        <v>30</v>
      </c>
      <c r="W210" s="44">
        <f>IF($AX210="Cancelled","",IFERROR(((V210+INDEX(Variables!$B$6:$D$6,IFERROR(MATCH(IF($B210="Robusta","Robusta",(IF($B210="","Arabica",$B210))&amp;" - "&amp;(IF($C210="","Commercial",$C210))),Variables!$B$1:$D$1,0),1)))*22.0462)*(L210/16.67),""))</f>
        <v>763668.7299340131</v>
      </c>
      <c r="X210" s="55" t="s">
        <v>37</v>
      </c>
      <c r="Y210" s="13" t="str">
        <f>IF($AX210="Cancelled","",IF(X210="","",IFERROR(IF(INDEX(Variables!$B$38:$B$47,MATCH(X210,Variables!$A$38:$A$47,0))="Yes","Yes","No"),"No")))</f>
        <v>Yes</v>
      </c>
      <c r="Z210" s="58">
        <v>45702</v>
      </c>
      <c r="AB210" s="31">
        <v>45707</v>
      </c>
      <c r="AC210" s="13" t="str">
        <f t="shared" si="9"/>
        <v>Approved</v>
      </c>
      <c r="AF210" s="71">
        <v>45728</v>
      </c>
      <c r="AG210" s="35">
        <f>IF($AX210="Cancelled","",IFERROR(IF(F210="","",F210-Variables!$B$13),""))</f>
        <v>45732</v>
      </c>
      <c r="AH210" s="13">
        <f>IF($AX210="Cancelled","",IFERROR(IF(AB210="","",(AVERAGE(E210:F210)-AB210)-Variables!$B$14),""))</f>
        <v>-5</v>
      </c>
      <c r="AJ210" s="47">
        <v>45730</v>
      </c>
      <c r="AK210" s="14">
        <f>IF($AX210="Cancelled","",IFERROR(IF(AJ210="","",IF(AND(AB210="",AF210=""),"",IF(AF210&gt;AB210,AF210+Variables!$B$15+Variables!$B$16+Variables!$B$17-AJ210,AB210+Variables!$B$16+Variables!$B$17-AJ210))),""))</f>
        <v>13</v>
      </c>
      <c r="AL210" s="48" t="s">
        <v>114</v>
      </c>
      <c r="AM210" s="13" t="s">
        <v>141</v>
      </c>
      <c r="AN210" s="13" t="s">
        <v>334</v>
      </c>
      <c r="AP210" s="31">
        <v>45742</v>
      </c>
      <c r="AR210" s="13" t="s">
        <v>746</v>
      </c>
      <c r="AS210" s="31">
        <v>45742</v>
      </c>
      <c r="AU210" s="31">
        <v>45744</v>
      </c>
      <c r="AV210" s="13" t="s">
        <v>865</v>
      </c>
      <c r="AW210" s="31">
        <v>45750</v>
      </c>
      <c r="AX210" s="13" t="str">
        <f>IF(ISNUMBER(SEARCH("cancel",#REF!)),"Cancelled",IF(AND(AS210&lt;&gt;"",AU210&lt;&gt;"",AW210&lt;&gt;""),"Closed","Open"))</f>
        <v>Closed</v>
      </c>
      <c r="AY210" s="15" t="str">
        <f t="shared" si="10"/>
        <v>All dates received</v>
      </c>
      <c r="BD210" s="13">
        <f>IF($AX210="Cancelled","",IFERROR(IF(OR(AS210="",AJ210=""),"",(AJ210+Variables!$B$18-AS210)),""))</f>
        <v>3</v>
      </c>
      <c r="BE210" s="13">
        <f>IF($AX210="Cancelled","",IFERROR(IF(OR(AW210="",AS210=""),"",(AS210+Variables!$B$19)-AW210),""))</f>
        <v>-3</v>
      </c>
      <c r="BF210" s="44">
        <f>IF($AX210="Cancelled","",IFERROR(W210*INDEX(Variables!$B$7:$D$7,IFERROR(MATCH(IF($B210="Robusta","Robusta",(IF($B210="","Arabica",$B210))&amp;" - "&amp;(IF($C210="","Commercial",$C210))),Variables!$B$1:$D$1,0),1))*(BE210/365),""))</f>
        <v>-404.73731323850149</v>
      </c>
      <c r="BG210" s="44">
        <f>IF($AX210="Cancelled","",IFERROR((W210*INDEX(Variables!$B$7:$D$7,IFERROR(MATCH(IF($B210="Robusta","Robusta",(IF($B210="","Arabica",$B210))&amp;" - "&amp;(IF($C210="","Commercial",$C210))),Variables!$B$1:$D$1,0),1))*IFERROR(IF(AB210="","",(AVERAGE(E210:F210)-AB210)-Variables!$B$14),"")/365)+(L210/16.67*INDEX(Variables!$B$8:$D$8,IFERROR(MATCH(IF($B210="Robusta","Robusta",(IF($B210="","Arabica",$B210))&amp;" - "&amp;(IF($C210="","Commercial",$C210))),Variables!$B$1:$D$1,0),1))*IFERROR(IF(AB210="","",(AVERAGE(E210:F210)-AB210)-Variables!$B$14),""))+(W210*INDEX(Variables!$B$9:$D$9,IFERROR(MATCH(IF($B210="Robusta","Robusta",(IF($B210="","Arabica",$B210))&amp;" - "&amp;(IF($C210="","Commercial",$C210))),Variables!$B$1:$D$1,0),1))*IFERROR(IF(AB210="","",(AVERAGE(E210:F210)-AB210)-Variables!$B$14),"")/365),""))</f>
        <v>-1133.2585971581527</v>
      </c>
      <c r="BH210" s="44">
        <f>IF($AX210="Cancelled","",IFERROR((W210*INDEX(Variables!$B$7:$D$7,IFERROR(MATCH(IF($B210="Robusta","Robusta",(IF($B210="","Arabica",$B210))&amp;" - "&amp;(IF($C210="","Commercial",$C210))),Variables!$B$1:$D$1,0),1))*AK210/365)+(L210/16.67*INDEX(Variables!$B$8:$D$8,IFERROR(MATCH(IF($B210="Robusta","Robusta",(IF($B210="","Arabica",$B210))&amp;" - "&amp;(IF($C210="","Commercial",$C210))),Variables!$B$1:$D$1,0),1))*AK210)+(W210*INDEX(Variables!$B$9:$D$9,IFERROR(MATCH(IF($B210="Robusta","Robusta",(IF($B210="","Arabica",$B210))&amp;" - "&amp;(IF($C210="","Commercial",$C210))),Variables!$B$1:$D$1,0),1))*AK210/365),""))</f>
        <v>2946.4723526111975</v>
      </c>
      <c r="BI210" s="44">
        <f>IF($AX210="Cancelled","",IFERROR((W210*INDEX(Variables!$B$7:$D$7,IFERROR(MATCH(IF($B210="Robusta","Robusta",(IF($B210="","Arabica",$B210))&amp;" - "&amp;(IF($C210="","Commercial",$C210))),Variables!$B$1:$D$1,0),1))*BD210/365)+(L210/16.67*INDEX(Variables!$B$8:$D$8,IFERROR(MATCH(IF($B210="Robusta","Robusta",(IF($B210="","Arabica",$B210))&amp;" - "&amp;(IF($C210="","Commercial",$C210))),Variables!$B$1:$D$1,0),1))*BD210)+(W210*INDEX(Variables!$B$9:$D$9,IFERROR(MATCH(IF($B210="Robusta","Robusta",(IF($B210="","Arabica",$B210))&amp;" - "&amp;(IF($C210="","Commercial",$C210))),Variables!$B$1:$D$1,0),1))*BD210/365),""))</f>
        <v>679.95515829489182</v>
      </c>
      <c r="BJ210" s="44">
        <f t="shared" si="11"/>
        <v>5</v>
      </c>
      <c r="BK210" s="44">
        <f>IF($AX210="Cancelled","",IFERROR(IF(BJ210="","",(W210*INDEX(Variables!$B$7:$D$7,IFERROR(MATCH(IF($B210="Robusta","Robusta",(IF($B210="","Arabica",$B210))&amp;" - "&amp;(IF($C210="","Commercial",$C210))),Variables!$B$1:$D$1,0),1))*(BJ210/365))+(W210*INDEX(Variables!$B$9:$D$9,IFERROR(MATCH(IF($B210="Robusta","Robusta",(IF($B210="","Arabica",$B210))&amp;" - "&amp;(IF($C210="","Commercial",$C210))),Variables!$B$1:$D$1,0),1))*(BJ210/365))+(INDEX(Variables!$B$8:$D$8,IFERROR(MATCH(IF($B210="Robusta","Robusta",(IF($B210="","Arabica",$B210))&amp;" - "&amp;(IF($C210="","Commercial",$C210))),Variables!$B$1:$D$1,0),1))*L210/16.67)),""))</f>
        <v>773.25859715815284</v>
      </c>
    </row>
    <row r="211" spans="1:63">
      <c r="A211" s="13" t="s">
        <v>103</v>
      </c>
      <c r="B211" s="13" t="s">
        <v>104</v>
      </c>
      <c r="C211" s="13" t="s">
        <v>105</v>
      </c>
      <c r="D211" s="31">
        <v>45700</v>
      </c>
      <c r="E211" s="31">
        <v>45717</v>
      </c>
      <c r="F211" s="31">
        <v>45747</v>
      </c>
      <c r="G211" s="13">
        <v>3786699</v>
      </c>
      <c r="H211" s="13">
        <v>4550241206</v>
      </c>
      <c r="J211" s="13" t="s">
        <v>230</v>
      </c>
      <c r="K211" s="13">
        <v>5194</v>
      </c>
      <c r="L211" s="13">
        <v>1800</v>
      </c>
      <c r="M211" s="13">
        <v>5</v>
      </c>
      <c r="N211" s="13" t="s">
        <v>747</v>
      </c>
      <c r="O211" s="13" t="s">
        <v>428</v>
      </c>
      <c r="P211" s="13">
        <v>10310</v>
      </c>
      <c r="R211" s="13" t="s">
        <v>122</v>
      </c>
      <c r="S211" s="13" t="s">
        <v>154</v>
      </c>
      <c r="T211" s="13" t="s">
        <v>155</v>
      </c>
      <c r="U211" s="13" t="s">
        <v>125</v>
      </c>
      <c r="V211" s="13">
        <v>30</v>
      </c>
      <c r="W211" s="44">
        <f>IF($AX211="Cancelled","",IFERROR(((V211+INDEX(Variables!$B$6:$D$6,IFERROR(MATCH(IF($B211="Robusta","Robusta",(IF($B211="","Arabica",$B211))&amp;" - "&amp;(IF($C211="","Commercial",$C211))),Variables!$B$1:$D$1,0),1)))*22.0462)*(L211/16.67),""))</f>
        <v>763668.7299340131</v>
      </c>
      <c r="X211" s="55" t="s">
        <v>37</v>
      </c>
      <c r="Y211" s="13" t="str">
        <f>IF($AX211="Cancelled","",IF(X211="","",IFERROR(IF(INDEX(Variables!$B$38:$B$47,MATCH(X211,Variables!$A$38:$A$47,0))="Yes","Yes","No"),"No")))</f>
        <v>Yes</v>
      </c>
      <c r="Z211" s="58">
        <v>45702</v>
      </c>
      <c r="AB211" s="31">
        <v>45707</v>
      </c>
      <c r="AC211" s="13" t="str">
        <f t="shared" si="9"/>
        <v>Approved</v>
      </c>
      <c r="AF211" s="71">
        <v>45730</v>
      </c>
      <c r="AG211" s="35">
        <f>IF($AX211="Cancelled","",IFERROR(IF(F211="","",F211-Variables!$B$13),""))</f>
        <v>45732</v>
      </c>
      <c r="AH211" s="13">
        <f>IF($AX211="Cancelled","",IFERROR(IF(AB211="","",(AVERAGE(E211:F211)-AB211)-Variables!$B$14),""))</f>
        <v>-5</v>
      </c>
      <c r="AJ211" s="47">
        <v>45734</v>
      </c>
      <c r="AK211" s="14">
        <f>IF($AX211="Cancelled","",IFERROR(IF(AJ211="","",IF(AND(AB211="",AF211=""),"",IF(AF211&gt;AB211,AF211+Variables!$B$15+Variables!$B$16+Variables!$B$17-AJ211,AB211+Variables!$B$16+Variables!$B$17-AJ211))),""))</f>
        <v>11</v>
      </c>
      <c r="AL211" s="48" t="s">
        <v>114</v>
      </c>
      <c r="AM211" s="13" t="s">
        <v>141</v>
      </c>
      <c r="AN211" s="13" t="s">
        <v>334</v>
      </c>
      <c r="AP211" s="31">
        <v>45742</v>
      </c>
      <c r="AR211" s="13" t="s">
        <v>748</v>
      </c>
      <c r="AS211" s="31">
        <v>45742</v>
      </c>
      <c r="AU211" s="31">
        <v>45744</v>
      </c>
      <c r="AV211" s="13" t="s">
        <v>865</v>
      </c>
      <c r="AW211" s="31">
        <v>45750</v>
      </c>
      <c r="AX211" s="13" t="str">
        <f>IF(ISNUMBER(SEARCH("cancel",#REF!)),"Cancelled",IF(AND(AS211&lt;&gt;"",AU211&lt;&gt;"",AW211&lt;&gt;""),"Closed","Open"))</f>
        <v>Closed</v>
      </c>
      <c r="AY211" s="15" t="str">
        <f t="shared" si="10"/>
        <v>All dates received</v>
      </c>
      <c r="BD211" s="13">
        <f>IF($AX211="Cancelled","",IFERROR(IF(OR(AS211="",AJ211=""),"",(AJ211+Variables!$B$18-AS211)),""))</f>
        <v>7</v>
      </c>
      <c r="BE211" s="13">
        <f>IF($AX211="Cancelled","",IFERROR(IF(OR(AW211="",AS211=""),"",(AS211+Variables!$B$19)-AW211),""))</f>
        <v>-3</v>
      </c>
      <c r="BF211" s="44">
        <f>IF($AX211="Cancelled","",IFERROR(W211*INDEX(Variables!$B$7:$D$7,IFERROR(MATCH(IF($B211="Robusta","Robusta",(IF($B211="","Arabica",$B211))&amp;" - "&amp;(IF($C211="","Commercial",$C211))),Variables!$B$1:$D$1,0),1))*(BE211/365),""))</f>
        <v>-404.73731323850149</v>
      </c>
      <c r="BG211" s="44">
        <f>IF($AX211="Cancelled","",IFERROR((W211*INDEX(Variables!$B$7:$D$7,IFERROR(MATCH(IF($B211="Robusta","Robusta",(IF($B211="","Arabica",$B211))&amp;" - "&amp;(IF($C211="","Commercial",$C211))),Variables!$B$1:$D$1,0),1))*IFERROR(IF(AB211="","",(AVERAGE(E211:F211)-AB211)-Variables!$B$14),"")/365)+(L211/16.67*INDEX(Variables!$B$8:$D$8,IFERROR(MATCH(IF($B211="Robusta","Robusta",(IF($B211="","Arabica",$B211))&amp;" - "&amp;(IF($C211="","Commercial",$C211))),Variables!$B$1:$D$1,0),1))*IFERROR(IF(AB211="","",(AVERAGE(E211:F211)-AB211)-Variables!$B$14),""))+(W211*INDEX(Variables!$B$9:$D$9,IFERROR(MATCH(IF($B211="Robusta","Robusta",(IF($B211="","Arabica",$B211))&amp;" - "&amp;(IF($C211="","Commercial",$C211))),Variables!$B$1:$D$1,0),1))*IFERROR(IF(AB211="","",(AVERAGE(E211:F211)-AB211)-Variables!$B$14),"")/365),""))</f>
        <v>-1133.2585971581527</v>
      </c>
      <c r="BH211" s="44">
        <f>IF($AX211="Cancelled","",IFERROR((W211*INDEX(Variables!$B$7:$D$7,IFERROR(MATCH(IF($B211="Robusta","Robusta",(IF($B211="","Arabica",$B211))&amp;" - "&amp;(IF($C211="","Commercial",$C211))),Variables!$B$1:$D$1,0),1))*AK211/365)+(L211/16.67*INDEX(Variables!$B$8:$D$8,IFERROR(MATCH(IF($B211="Robusta","Robusta",(IF($B211="","Arabica",$B211))&amp;" - "&amp;(IF($C211="","Commercial",$C211))),Variables!$B$1:$D$1,0),1))*AK211)+(W211*INDEX(Variables!$B$9:$D$9,IFERROR(MATCH(IF($B211="Robusta","Robusta",(IF($B211="","Arabica",$B211))&amp;" - "&amp;(IF($C211="","Commercial",$C211))),Variables!$B$1:$D$1,0),1))*AK211/365),""))</f>
        <v>2493.1689137479366</v>
      </c>
      <c r="BI211" s="44">
        <f>IF($AX211="Cancelled","",IFERROR((W211*INDEX(Variables!$B$7:$D$7,IFERROR(MATCH(IF($B211="Robusta","Robusta",(IF($B211="","Arabica",$B211))&amp;" - "&amp;(IF($C211="","Commercial",$C211))),Variables!$B$1:$D$1,0),1))*BD211/365)+(L211/16.67*INDEX(Variables!$B$8:$D$8,IFERROR(MATCH(IF($B211="Robusta","Robusta",(IF($B211="","Arabica",$B211))&amp;" - "&amp;(IF($C211="","Commercial",$C211))),Variables!$B$1:$D$1,0),1))*BD211)+(W211*INDEX(Variables!$B$9:$D$9,IFERROR(MATCH(IF($B211="Robusta","Robusta",(IF($B211="","Arabica",$B211))&amp;" - "&amp;(IF($C211="","Commercial",$C211))),Variables!$B$1:$D$1,0),1))*BD211/365),""))</f>
        <v>1586.5620360214141</v>
      </c>
      <c r="BJ211" s="44">
        <f t="shared" si="11"/>
        <v>5</v>
      </c>
      <c r="BK211" s="44">
        <f>IF($AX211="Cancelled","",IFERROR(IF(BJ211="","",(W211*INDEX(Variables!$B$7:$D$7,IFERROR(MATCH(IF($B211="Robusta","Robusta",(IF($B211="","Arabica",$B211))&amp;" - "&amp;(IF($C211="","Commercial",$C211))),Variables!$B$1:$D$1,0),1))*(BJ211/365))+(W211*INDEX(Variables!$B$9:$D$9,IFERROR(MATCH(IF($B211="Robusta","Robusta",(IF($B211="","Arabica",$B211))&amp;" - "&amp;(IF($C211="","Commercial",$C211))),Variables!$B$1:$D$1,0),1))*(BJ211/365))+(INDEX(Variables!$B$8:$D$8,IFERROR(MATCH(IF($B211="Robusta","Robusta",(IF($B211="","Arabica",$B211))&amp;" - "&amp;(IF($C211="","Commercial",$C211))),Variables!$B$1:$D$1,0),1))*L211/16.67)),""))</f>
        <v>773.25859715815284</v>
      </c>
    </row>
    <row r="212" spans="1:63">
      <c r="A212" s="13" t="s">
        <v>103</v>
      </c>
      <c r="B212" s="13" t="s">
        <v>104</v>
      </c>
      <c r="C212" s="13" t="s">
        <v>105</v>
      </c>
      <c r="D212" s="31">
        <v>45700</v>
      </c>
      <c r="E212" s="31">
        <v>45748</v>
      </c>
      <c r="F212" s="31">
        <v>45777</v>
      </c>
      <c r="G212" s="13">
        <v>3786700</v>
      </c>
      <c r="H212" s="13">
        <v>4550241435</v>
      </c>
      <c r="J212" s="13" t="s">
        <v>230</v>
      </c>
      <c r="K212" s="13">
        <v>5209</v>
      </c>
      <c r="L212" s="13">
        <v>1800</v>
      </c>
      <c r="M212" s="13">
        <v>5</v>
      </c>
      <c r="N212" s="13" t="s">
        <v>747</v>
      </c>
      <c r="O212" s="13" t="s">
        <v>428</v>
      </c>
      <c r="P212" s="13">
        <v>10310</v>
      </c>
      <c r="R212" s="13" t="s">
        <v>122</v>
      </c>
      <c r="S212" s="13" t="s">
        <v>154</v>
      </c>
      <c r="T212" s="13" t="s">
        <v>155</v>
      </c>
      <c r="U212" s="13" t="s">
        <v>125</v>
      </c>
      <c r="V212" s="13">
        <v>15</v>
      </c>
      <c r="W212" s="44">
        <f>IF($AX212="Cancelled","",IFERROR(((V212+INDEX(Variables!$B$6:$D$6,IFERROR(MATCH(IF($B212="Robusta","Robusta",(IF($B212="","Arabica",$B212))&amp;" - "&amp;(IF($C212="","Commercial",$C212))),Variables!$B$1:$D$1,0),1)))*22.0462)*(L212/16.67),""))</f>
        <v>727961.02747450501</v>
      </c>
      <c r="X212" s="55" t="s">
        <v>37</v>
      </c>
      <c r="Y212" s="13" t="str">
        <f>IF($AX212="Cancelled","",IF(X212="","",IFERROR(IF(INDEX(Variables!$B$38:$B$47,MATCH(X212,Variables!$A$38:$A$47,0))="Yes","Yes","No"),"No")))</f>
        <v>Yes</v>
      </c>
      <c r="Z212" s="58">
        <v>45722</v>
      </c>
      <c r="AB212" s="31">
        <v>45727</v>
      </c>
      <c r="AC212" s="13" t="str">
        <f t="shared" si="9"/>
        <v>Approved</v>
      </c>
      <c r="AF212" s="71">
        <v>45749</v>
      </c>
      <c r="AG212" s="35">
        <f>IF($AX212="Cancelled","",IFERROR(IF(F212="","",F212-Variables!$B$13),""))</f>
        <v>45762</v>
      </c>
      <c r="AH212" s="13">
        <f>IF($AX212="Cancelled","",IFERROR(IF(AB212="","",(AVERAGE(E212:F212)-AB212)-Variables!$B$14),""))</f>
        <v>5.5</v>
      </c>
      <c r="AJ212" s="47">
        <v>45759</v>
      </c>
      <c r="AK212" s="14">
        <f>IF($AX212="Cancelled","",IFERROR(IF(AJ212="","",IF(AND(AB212="",AF212=""),"",IF(AF212&gt;AB212,AF212+Variables!$B$15+Variables!$B$16+Variables!$B$17-AJ212,AB212+Variables!$B$16+Variables!$B$17-AJ212))),""))</f>
        <v>5</v>
      </c>
      <c r="AL212" s="48" t="s">
        <v>350</v>
      </c>
      <c r="AM212" s="13" t="s">
        <v>141</v>
      </c>
      <c r="AN212" s="13" t="s">
        <v>749</v>
      </c>
      <c r="AP212" s="31">
        <v>45773</v>
      </c>
      <c r="AR212" s="13" t="s">
        <v>750</v>
      </c>
      <c r="AS212" s="31">
        <v>45773</v>
      </c>
      <c r="AU212" s="31">
        <v>45782</v>
      </c>
      <c r="AV212" s="13" t="s">
        <v>865</v>
      </c>
      <c r="AW212" s="31">
        <v>45786</v>
      </c>
      <c r="AX212" s="13" t="str">
        <f>IF(ISNUMBER(SEARCH("cancel",#REF!)),"Cancelled",IF(AND(AS212&lt;&gt;"",AU212&lt;&gt;"",AW212&lt;&gt;""),"Closed","Open"))</f>
        <v>Closed</v>
      </c>
      <c r="AY212" s="15" t="str">
        <f t="shared" si="10"/>
        <v>All dates received</v>
      </c>
      <c r="BD212" s="13">
        <f>IF($AX212="Cancelled","",IFERROR(IF(OR(AS212="",AJ212=""),"",(AJ212+Variables!$B$18-AS212)),""))</f>
        <v>1</v>
      </c>
      <c r="BE212" s="13">
        <f>IF($AX212="Cancelled","",IFERROR(IF(OR(AW212="",AS212=""),"",(AS212+Variables!$B$19)-AW212),""))</f>
        <v>-8</v>
      </c>
      <c r="BF212" s="44">
        <f>IF($AX212="Cancelled","",IFERROR(W212*INDEX(Variables!$B$7:$D$7,IFERROR(MATCH(IF($B212="Robusta","Robusta",(IF($B212="","Arabica",$B212))&amp;" - "&amp;(IF($C212="","Commercial",$C212))),Variables!$B$1:$D$1,0),1))*(BE212/365),""))</f>
        <v>-1028.833502812417</v>
      </c>
      <c r="BG212" s="44">
        <f>IF($AX212="Cancelled","",IFERROR((W212*INDEX(Variables!$B$7:$D$7,IFERROR(MATCH(IF($B212="Robusta","Robusta",(IF($B212="","Arabica",$B212))&amp;" - "&amp;(IF($C212="","Commercial",$C212))),Variables!$B$1:$D$1,0),1))*IFERROR(IF(AB212="","",(AVERAGE(E212:F212)-AB212)-Variables!$B$14),"")/365)+(L212/16.67*INDEX(Variables!$B$8:$D$8,IFERROR(MATCH(IF($B212="Robusta","Robusta",(IF($B212="","Arabica",$B212))&amp;" - "&amp;(IF($C212="","Commercial",$C212))),Variables!$B$1:$D$1,0),1))*IFERROR(IF(AB212="","",(AVERAGE(E212:F212)-AB212)-Variables!$B$14),""))+(W212*INDEX(Variables!$B$9:$D$9,IFERROR(MATCH(IF($B212="Robusta","Robusta",(IF($B212="","Arabica",$B212))&amp;" - "&amp;(IF($C212="","Commercial",$C212))),Variables!$B$1:$D$1,0),1))*IFERROR(IF(AB212="","",(AVERAGE(E212:F212)-AB212)-Variables!$B$14),"")/365),""))</f>
        <v>1211.441792119886</v>
      </c>
      <c r="BH212" s="44">
        <f>IF($AX212="Cancelled","",IFERROR((W212*INDEX(Variables!$B$7:$D$7,IFERROR(MATCH(IF($B212="Robusta","Robusta",(IF($B212="","Arabica",$B212))&amp;" - "&amp;(IF($C212="","Commercial",$C212))),Variables!$B$1:$D$1,0),1))*AK212/365)+(L212/16.67*INDEX(Variables!$B$8:$D$8,IFERROR(MATCH(IF($B212="Robusta","Robusta",(IF($B212="","Arabica",$B212))&amp;" - "&amp;(IF($C212="","Commercial",$C212))),Variables!$B$1:$D$1,0),1))*AK212)+(W212*INDEX(Variables!$B$9:$D$9,IFERROR(MATCH(IF($B212="Robusta","Robusta",(IF($B212="","Arabica",$B212))&amp;" - "&amp;(IF($C212="","Commercial",$C212))),Variables!$B$1:$D$1,0),1))*AK212/365),""))</f>
        <v>1101.3107201089877</v>
      </c>
      <c r="BI212" s="44">
        <f>IF($AX212="Cancelled","",IFERROR((W212*INDEX(Variables!$B$7:$D$7,IFERROR(MATCH(IF($B212="Robusta","Robusta",(IF($B212="","Arabica",$B212))&amp;" - "&amp;(IF($C212="","Commercial",$C212))),Variables!$B$1:$D$1,0),1))*BD212/365)+(L212/16.67*INDEX(Variables!$B$8:$D$8,IFERROR(MATCH(IF($B212="Robusta","Robusta",(IF($B212="","Arabica",$B212))&amp;" - "&amp;(IF($C212="","Commercial",$C212))),Variables!$B$1:$D$1,0),1))*BD212)+(W212*INDEX(Variables!$B$9:$D$9,IFERROR(MATCH(IF($B212="Robusta","Robusta",(IF($B212="","Arabica",$B212))&amp;" - "&amp;(IF($C212="","Commercial",$C212))),Variables!$B$1:$D$1,0),1))*BD212/365),""))</f>
        <v>220.2621440217975</v>
      </c>
      <c r="BJ212" s="44">
        <f t="shared" si="11"/>
        <v>4</v>
      </c>
      <c r="BK212" s="44">
        <f>IF($AX212="Cancelled","",IFERROR(IF(BJ212="","",(W212*INDEX(Variables!$B$7:$D$7,IFERROR(MATCH(IF($B212="Robusta","Robusta",(IF($B212="","Arabica",$B212))&amp;" - "&amp;(IF($C212="","Commercial",$C212))),Variables!$B$1:$D$1,0),1))*(BJ212/365))+(W212*INDEX(Variables!$B$9:$D$9,IFERROR(MATCH(IF($B212="Robusta","Robusta",(IF($B212="","Arabica",$B212))&amp;" - "&amp;(IF($C212="","Commercial",$C212))),Variables!$B$1:$D$1,0),1))*(BJ212/365))+(INDEX(Variables!$B$8:$D$8,IFERROR(MATCH(IF($B212="Robusta","Robusta",(IF($B212="","Arabica",$B212))&amp;" - "&amp;(IF($C212="","Commercial",$C212))),Variables!$B$1:$D$1,0),1))*L212/16.67)),""))</f>
        <v>611.04857608718999</v>
      </c>
    </row>
    <row r="213" spans="1:63">
      <c r="A213" s="13" t="s">
        <v>103</v>
      </c>
      <c r="B213" s="13" t="s">
        <v>104</v>
      </c>
      <c r="C213" s="13" t="s">
        <v>292</v>
      </c>
      <c r="D213" s="31">
        <v>45695</v>
      </c>
      <c r="E213" s="31">
        <v>45689</v>
      </c>
      <c r="F213" s="31">
        <v>45747</v>
      </c>
      <c r="G213" s="13">
        <v>3786701</v>
      </c>
      <c r="J213" s="13" t="s">
        <v>506</v>
      </c>
      <c r="K213" s="13" t="s">
        <v>751</v>
      </c>
      <c r="L213" s="13">
        <v>10</v>
      </c>
      <c r="M213" s="13">
        <v>0</v>
      </c>
      <c r="N213" s="13" t="s">
        <v>752</v>
      </c>
      <c r="O213" s="13" t="s">
        <v>576</v>
      </c>
      <c r="P213" s="13">
        <v>10020</v>
      </c>
      <c r="R213" s="13" t="s">
        <v>239</v>
      </c>
      <c r="S213" s="13" t="s">
        <v>509</v>
      </c>
      <c r="T213" s="13" t="s">
        <v>329</v>
      </c>
      <c r="U213" s="13" t="s">
        <v>330</v>
      </c>
      <c r="V213" s="13">
        <v>81.25</v>
      </c>
      <c r="W213" s="44">
        <f>IF($AX213="Cancelled","",IFERROR(((V213+INDEX(Variables!$B$6:$D$6,IFERROR(MATCH(IF($B213="Robusta","Robusta",(IF($B213="","Arabica",$B213))&amp;" - "&amp;(IF($C213="","Commercial",$C213))),Variables!$B$1:$D$1,0),1)))*22.0462)*(L213/16.67),""))</f>
        <v>4920.3891481703658</v>
      </c>
      <c r="X213" s="55" t="s">
        <v>39</v>
      </c>
      <c r="Y213" s="13" t="str">
        <f>IF($AX213="Cancelled","",IF(X213="","",IFERROR(IF(INDEX(Variables!$B$38:$B$47,MATCH(X213,Variables!$A$38:$A$47,0))="Yes","Yes","No"),"No")))</f>
        <v>No</v>
      </c>
      <c r="Z213" s="31"/>
      <c r="AB213" s="31">
        <v>45686.875</v>
      </c>
      <c r="AC213" s="13" t="str">
        <f t="shared" si="9"/>
        <v>Approved</v>
      </c>
      <c r="AF213" s="71">
        <f>AJ213-7</f>
        <v>45721</v>
      </c>
      <c r="AG213" s="36">
        <f>IF($AX213="Cancelled","",IFERROR(IF(F213="","",F213-Variables!$B$13),""))</f>
        <v>45732</v>
      </c>
      <c r="AH213" s="13">
        <f>IF($AX213="Cancelled","",IFERROR(IF(AB213="","",(AVERAGE(E213:F213)-AB213)-Variables!$B$14),""))</f>
        <v>1.125</v>
      </c>
      <c r="AJ213" s="47">
        <v>45728</v>
      </c>
      <c r="AK213" s="14">
        <f>IF($AX213="Cancelled","",IFERROR(IF(AJ213="","",IF(AND(AB213="",AF213=""),"",IF(AF213&gt;AB213,AF213+Variables!$B$15+Variables!$B$16+Variables!$B$17-AJ213,AB213+Variables!$B$16+Variables!$B$17-AJ213))),""))</f>
        <v>8</v>
      </c>
      <c r="AL213" s="48" t="s">
        <v>114</v>
      </c>
      <c r="AM213" s="13" t="s">
        <v>115</v>
      </c>
      <c r="AN213" s="13" t="s">
        <v>510</v>
      </c>
      <c r="AP213" s="31">
        <v>45372</v>
      </c>
      <c r="AR213" s="13">
        <v>251098049</v>
      </c>
      <c r="AS213" s="31">
        <v>45377</v>
      </c>
      <c r="AU213" s="31">
        <v>45379</v>
      </c>
      <c r="AV213" s="13" t="s">
        <v>865</v>
      </c>
      <c r="AW213" s="31">
        <v>45754</v>
      </c>
      <c r="AX213" s="13" t="str">
        <f>IF(ISNUMBER(SEARCH("cancel",#REF!)),"Cancelled",IF(AND(AS213&lt;&gt;"",AU213&lt;&gt;"",AW213&lt;&gt;""),"Closed","Open"))</f>
        <v>Closed</v>
      </c>
      <c r="AY213" s="15" t="str">
        <f t="shared" si="10"/>
        <v>All dates received</v>
      </c>
      <c r="BD213" s="13">
        <f>IF($AX213="Cancelled","",IFERROR(IF(OR(AS213="",AJ213=""),"",(AJ213+Variables!$B$18-AS213)),""))</f>
        <v>366</v>
      </c>
      <c r="BE213" s="13">
        <f>IF($AX213="Cancelled","",IFERROR(IF(OR(AW213="",AS213=""),"",(AS213+Variables!$B$19)-AW213),""))</f>
        <v>-372</v>
      </c>
      <c r="BF213" s="44">
        <f>IF($AX213="Cancelled","",IFERROR(W213*INDEX(Variables!$B$7:$D$7,IFERROR(MATCH(IF($B213="Robusta","Robusta",(IF($B213="","Arabica",$B213))&amp;" - "&amp;(IF($C213="","Commercial",$C213))),Variables!$B$1:$D$1,0),1))*(BE213/365),""))</f>
        <v>-323.36229143127736</v>
      </c>
      <c r="BG213" s="44">
        <f>IF($AX213="Cancelled","",IFERROR((W213*INDEX(Variables!$B$7:$D$7,IFERROR(MATCH(IF($B213="Robusta","Robusta",(IF($B213="","Arabica",$B213))&amp;" - "&amp;(IF($C213="","Commercial",$C213))),Variables!$B$1:$D$1,0),1))*IFERROR(IF(AB213="","",(AVERAGE(E213:F213)-AB213)-Variables!$B$14),"")/365)+(L213/16.67*INDEX(Variables!$B$8:$D$8,IFERROR(MATCH(IF($B213="Robusta","Robusta",(IF($B213="","Arabica",$B213))&amp;" - "&amp;(IF($C213="","Commercial",$C213))),Variables!$B$1:$D$1,0),1))*IFERROR(IF(AB213="","",(AVERAGE(E213:F213)-AB213)-Variables!$B$14),""))+(W213*INDEX(Variables!$B$9:$D$9,IFERROR(MATCH(IF($B213="Robusta","Robusta",(IF($B213="","Arabica",$B213))&amp;" - "&amp;(IF($C213="","Commercial",$C213))),Variables!$B$1:$D$1,0),1))*IFERROR(IF(AB213="","",(AVERAGE(E213:F213)-AB213)-Variables!$B$14),"")/365),""))</f>
        <v>1.5530173046785023</v>
      </c>
      <c r="BH213" s="44">
        <f>IF($AX213="Cancelled","",IFERROR((W213*INDEX(Variables!$B$7:$D$7,IFERROR(MATCH(IF($B213="Robusta","Robusta",(IF($B213="","Arabica",$B213))&amp;" - "&amp;(IF($C213="","Commercial",$C213))),Variables!$B$1:$D$1,0),1))*AK213/365)+(L213/16.67*INDEX(Variables!$B$8:$D$8,IFERROR(MATCH(IF($B213="Robusta","Robusta",(IF($B213="","Arabica",$B213))&amp;" - "&amp;(IF($C213="","Commercial",$C213))),Variables!$B$1:$D$1,0),1))*AK213)+(W213*INDEX(Variables!$B$9:$D$9,IFERROR(MATCH(IF($B213="Robusta","Robusta",(IF($B213="","Arabica",$B213))&amp;" - "&amp;(IF($C213="","Commercial",$C213))),Variables!$B$1:$D$1,0),1))*AK213/365),""))</f>
        <v>11.043678611047127</v>
      </c>
      <c r="BI213" s="44">
        <f>IF($AX213="Cancelled","",IFERROR((W213*INDEX(Variables!$B$7:$D$7,IFERROR(MATCH(IF($B213="Robusta","Robusta",(IF($B213="","Arabica",$B213))&amp;" - "&amp;(IF($C213="","Commercial",$C213))),Variables!$B$1:$D$1,0),1))*BD213/365)+(L213/16.67*INDEX(Variables!$B$8:$D$8,IFERROR(MATCH(IF($B213="Robusta","Robusta",(IF($B213="","Arabica",$B213))&amp;" - "&amp;(IF($C213="","Commercial",$C213))),Variables!$B$1:$D$1,0),1))*BD213)+(W213*INDEX(Variables!$B$9:$D$9,IFERROR(MATCH(IF($B213="Robusta","Robusta",(IF($B213="","Arabica",$B213))&amp;" - "&amp;(IF($C213="","Commercial",$C213))),Variables!$B$1:$D$1,0),1))*BD213/365),""))</f>
        <v>505.24829645540609</v>
      </c>
      <c r="BJ213" s="44">
        <f t="shared" si="11"/>
        <v>370</v>
      </c>
      <c r="BK213" s="44">
        <f>IF($AX213="Cancelled","",IFERROR(IF(BJ213="","",(W213*INDEX(Variables!$B$7:$D$7,IFERROR(MATCH(IF($B213="Robusta","Robusta",(IF($B213="","Arabica",$B213))&amp;" - "&amp;(IF($C213="","Commercial",$C213))),Variables!$B$1:$D$1,0),1))*(BJ213/365))+(W213*INDEX(Variables!$B$9:$D$9,IFERROR(MATCH(IF($B213="Robusta","Robusta",(IF($B213="","Arabica",$B213))&amp;" - "&amp;(IF($C213="","Commercial",$C213))),Variables!$B$1:$D$1,0),1))*(BJ213/365))+(INDEX(Variables!$B$8:$D$8,IFERROR(MATCH(IF($B213="Robusta","Robusta",(IF($B213="","Arabica",$B213))&amp;" - "&amp;(IF($C213="","Commercial",$C213))),Variables!$B$1:$D$1,0),1))*L213/16.67)),""))</f>
        <v>326.27013576092969</v>
      </c>
    </row>
    <row r="214" spans="1:63">
      <c r="A214" s="13" t="s">
        <v>103</v>
      </c>
      <c r="B214" s="13" t="s">
        <v>104</v>
      </c>
      <c r="C214" s="13" t="s">
        <v>292</v>
      </c>
      <c r="D214" s="31">
        <v>45695</v>
      </c>
      <c r="E214" s="31">
        <v>45689</v>
      </c>
      <c r="F214" s="31">
        <v>45747</v>
      </c>
      <c r="G214" s="13">
        <v>3786702</v>
      </c>
      <c r="J214" s="13" t="s">
        <v>506</v>
      </c>
      <c r="K214" s="13" t="s">
        <v>753</v>
      </c>
      <c r="L214" s="13">
        <v>10</v>
      </c>
      <c r="M214" s="13">
        <v>0</v>
      </c>
      <c r="N214" s="13" t="s">
        <v>754</v>
      </c>
      <c r="O214" s="13" t="s">
        <v>576</v>
      </c>
      <c r="P214" s="13">
        <v>10020</v>
      </c>
      <c r="R214" s="13" t="s">
        <v>239</v>
      </c>
      <c r="S214" s="13" t="s">
        <v>509</v>
      </c>
      <c r="T214" s="13" t="s">
        <v>329</v>
      </c>
      <c r="U214" s="13" t="s">
        <v>330</v>
      </c>
      <c r="V214" s="13">
        <v>39.799999999999997</v>
      </c>
      <c r="W214" s="44">
        <f>IF($AX214="Cancelled","",IFERROR(((V214+INDEX(Variables!$B$6:$D$6,IFERROR(MATCH(IF($B214="Robusta","Robusta",(IF($B214="","Arabica",$B214))&amp;" - "&amp;(IF($C214="","Commercial",$C214))),Variables!$B$1:$D$1,0),1)))*22.0462)*(L214/16.67),""))</f>
        <v>4372.2097900419913</v>
      </c>
      <c r="X214" s="55" t="s">
        <v>39</v>
      </c>
      <c r="Y214" s="13" t="str">
        <f>IF($AX214="Cancelled","",IF(X214="","",IFERROR(IF(INDEX(Variables!$B$38:$B$47,MATCH(X214,Variables!$A$38:$A$47,0))="Yes","Yes","No"),"No")))</f>
        <v>No</v>
      </c>
      <c r="Z214" s="31"/>
      <c r="AB214" s="31">
        <v>45686.875</v>
      </c>
      <c r="AC214" s="13" t="str">
        <f t="shared" si="9"/>
        <v>Approved</v>
      </c>
      <c r="AF214" s="71">
        <f>AJ214-7</f>
        <v>45721</v>
      </c>
      <c r="AG214" s="36">
        <f>IF($AX214="Cancelled","",IFERROR(IF(F214="","",F214-Variables!$B$13),""))</f>
        <v>45732</v>
      </c>
      <c r="AH214" s="13">
        <f>IF($AX214="Cancelled","",IFERROR(IF(AB214="","",(AVERAGE(E214:F214)-AB214)-Variables!$B$14),""))</f>
        <v>1.125</v>
      </c>
      <c r="AJ214" s="47">
        <v>45728</v>
      </c>
      <c r="AK214" s="14">
        <f>IF($AX214="Cancelled","",IFERROR(IF(AJ214="","",IF(AND(AB214="",AF214=""),"",IF(AF214&gt;AB214,AF214+Variables!$B$15+Variables!$B$16+Variables!$B$17-AJ214,AB214+Variables!$B$16+Variables!$B$17-AJ214))),""))</f>
        <v>8</v>
      </c>
      <c r="AL214" s="48" t="s">
        <v>114</v>
      </c>
      <c r="AM214" s="13" t="s">
        <v>115</v>
      </c>
      <c r="AN214" s="13" t="s">
        <v>510</v>
      </c>
      <c r="AP214" s="31">
        <v>45372</v>
      </c>
      <c r="AR214" s="13">
        <v>251098049</v>
      </c>
      <c r="AS214" s="31">
        <v>45377</v>
      </c>
      <c r="AU214" s="31">
        <v>45379</v>
      </c>
      <c r="AV214" s="13" t="s">
        <v>865</v>
      </c>
      <c r="AW214" s="31">
        <v>45754</v>
      </c>
      <c r="AX214" s="13" t="str">
        <f>IF(ISNUMBER(SEARCH("cancel",#REF!)),"Cancelled",IF(AND(AS214&lt;&gt;"",AU214&lt;&gt;"",AW214&lt;&gt;""),"Closed","Open"))</f>
        <v>Closed</v>
      </c>
      <c r="AY214" s="15" t="str">
        <f t="shared" si="10"/>
        <v>All dates received</v>
      </c>
      <c r="BD214" s="13">
        <f>IF($AX214="Cancelled","",IFERROR(IF(OR(AS214="",AJ214=""),"",(AJ214+Variables!$B$18-AS214)),""))</f>
        <v>366</v>
      </c>
      <c r="BE214" s="13">
        <f>IF($AX214="Cancelled","",IFERROR(IF(OR(AW214="",AS214=""),"",(AS214+Variables!$B$19)-AW214),""))</f>
        <v>-372</v>
      </c>
      <c r="BF214" s="44">
        <f>IF($AX214="Cancelled","",IFERROR(W214*INDEX(Variables!$B$7:$D$7,IFERROR(MATCH(IF($B214="Robusta","Robusta",(IF($B214="","Arabica",$B214))&amp;" - "&amp;(IF($C214="","Commercial",$C214))),Variables!$B$1:$D$1,0),1))*(BE214/365),""))</f>
        <v>-287.33657719978578</v>
      </c>
      <c r="BG214" s="44">
        <f>IF($AX214="Cancelled","",IFERROR((W214*INDEX(Variables!$B$7:$D$7,IFERROR(MATCH(IF($B214="Robusta","Robusta",(IF($B214="","Arabica",$B214))&amp;" - "&amp;(IF($C214="","Commercial",$C214))),Variables!$B$1:$D$1,0),1))*IFERROR(IF(AB214="","",(AVERAGE(E214:F214)-AB214)-Variables!$B$14),"")/365)+(L214/16.67*INDEX(Variables!$B$8:$D$8,IFERROR(MATCH(IF($B214="Robusta","Robusta",(IF($B214="","Arabica",$B214))&amp;" - "&amp;(IF($C214="","Commercial",$C214))),Variables!$B$1:$D$1,0),1))*IFERROR(IF(AB214="","",(AVERAGE(E214:F214)-AB214)-Variables!$B$14),""))+(W214*INDEX(Variables!$B$9:$D$9,IFERROR(MATCH(IF($B214="Robusta","Robusta",(IF($B214="","Arabica",$B214))&amp;" - "&amp;(IF($C214="","Commercial",$C214))),Variables!$B$1:$D$1,0),1))*IFERROR(IF(AB214="","",(AVERAGE(E214:F214)-AB214)-Variables!$B$14),"")/365),""))</f>
        <v>1.4426640127045098</v>
      </c>
      <c r="BH214" s="44">
        <f>IF($AX214="Cancelled","",IFERROR((W214*INDEX(Variables!$B$7:$D$7,IFERROR(MATCH(IF($B214="Robusta","Robusta",(IF($B214="","Arabica",$B214))&amp;" - "&amp;(IF($C214="","Commercial",$C214))),Variables!$B$1:$D$1,0),1))*AK214/365)+(L214/16.67*INDEX(Variables!$B$8:$D$8,IFERROR(MATCH(IF($B214="Robusta","Robusta",(IF($B214="","Arabica",$B214))&amp;" - "&amp;(IF($C214="","Commercial",$C214))),Variables!$B$1:$D$1,0),1))*AK214)+(W214*INDEX(Variables!$B$9:$D$9,IFERROR(MATCH(IF($B214="Robusta","Robusta",(IF($B214="","Arabica",$B214))&amp;" - "&amp;(IF($C214="","Commercial",$C214))),Variables!$B$1:$D$1,0),1))*AK214/365),""))</f>
        <v>10.25894409034318</v>
      </c>
      <c r="BI214" s="44">
        <f>IF($AX214="Cancelled","",IFERROR((W214*INDEX(Variables!$B$7:$D$7,IFERROR(MATCH(IF($B214="Robusta","Robusta",(IF($B214="","Arabica",$B214))&amp;" - "&amp;(IF($C214="","Commercial",$C214))),Variables!$B$1:$D$1,0),1))*BD214/365)+(L214/16.67*INDEX(Variables!$B$8:$D$8,IFERROR(MATCH(IF($B214="Robusta","Robusta",(IF($B214="","Arabica",$B214))&amp;" - "&amp;(IF($C214="","Commercial",$C214))),Variables!$B$1:$D$1,0),1))*BD214)+(W214*INDEX(Variables!$B$9:$D$9,IFERROR(MATCH(IF($B214="Robusta","Robusta",(IF($B214="","Arabica",$B214))&amp;" - "&amp;(IF($C214="","Commercial",$C214))),Variables!$B$1:$D$1,0),1))*BD214/365),""))</f>
        <v>469.34669213320052</v>
      </c>
      <c r="BJ214" s="44">
        <f t="shared" si="11"/>
        <v>370</v>
      </c>
      <c r="BK214" s="44">
        <f>IF($AX214="Cancelled","",IFERROR(IF(BJ214="","",(W214*INDEX(Variables!$B$7:$D$7,IFERROR(MATCH(IF($B214="Robusta","Robusta",(IF($B214="","Arabica",$B214))&amp;" - "&amp;(IF($C214="","Commercial",$C214))),Variables!$B$1:$D$1,0),1))*(BJ214/365))+(W214*INDEX(Variables!$B$9:$D$9,IFERROR(MATCH(IF($B214="Robusta","Robusta",(IF($B214="","Arabica",$B214))&amp;" - "&amp;(IF($C214="","Commercial",$C214))),Variables!$B$1:$D$1,0),1))*(BJ214/365))+(INDEX(Variables!$B$8:$D$8,IFERROR(MATCH(IF($B214="Robusta","Robusta",(IF($B214="","Arabica",$B214))&amp;" - "&amp;(IF($C214="","Commercial",$C214))),Variables!$B$1:$D$1,0),1))*L214/16.67)),""))</f>
        <v>289.97616417837213</v>
      </c>
    </row>
    <row r="215" spans="1:63">
      <c r="A215" s="13" t="s">
        <v>103</v>
      </c>
      <c r="B215" s="13" t="s">
        <v>104</v>
      </c>
      <c r="C215" s="13" t="s">
        <v>292</v>
      </c>
      <c r="D215" s="31">
        <v>45695</v>
      </c>
      <c r="E215" s="31">
        <v>45689</v>
      </c>
      <c r="F215" s="31">
        <v>45747</v>
      </c>
      <c r="G215" s="13">
        <v>3786703</v>
      </c>
      <c r="J215" s="13" t="s">
        <v>506</v>
      </c>
      <c r="K215" s="13" t="s">
        <v>755</v>
      </c>
      <c r="L215" s="13">
        <v>10</v>
      </c>
      <c r="M215" s="13">
        <v>0</v>
      </c>
      <c r="N215" s="13" t="s">
        <v>756</v>
      </c>
      <c r="O215" s="13" t="s">
        <v>576</v>
      </c>
      <c r="P215" s="13">
        <v>10020</v>
      </c>
      <c r="R215" s="13" t="s">
        <v>239</v>
      </c>
      <c r="S215" s="13" t="s">
        <v>509</v>
      </c>
      <c r="T215" s="13" t="s">
        <v>329</v>
      </c>
      <c r="U215" s="13" t="s">
        <v>330</v>
      </c>
      <c r="V215" s="13">
        <v>52.8</v>
      </c>
      <c r="W215" s="44">
        <f>IF($AX215="Cancelled","",IFERROR(((V215+INDEX(Variables!$B$6:$D$6,IFERROR(MATCH(IF($B215="Robusta","Robusta",(IF($B215="","Arabica",$B215))&amp;" - "&amp;(IF($C215="","Commercial",$C215))),Variables!$B$1:$D$1,0),1)))*22.0462)*(L215/16.67),""))</f>
        <v>4544.1357648470303</v>
      </c>
      <c r="X215" s="55" t="s">
        <v>39</v>
      </c>
      <c r="Y215" s="13" t="str">
        <f>IF($AX215="Cancelled","",IF(X215="","",IFERROR(IF(INDEX(Variables!$B$38:$B$47,MATCH(X215,Variables!$A$38:$A$47,0))="Yes","Yes","No"),"No")))</f>
        <v>No</v>
      </c>
      <c r="Z215" s="31"/>
      <c r="AB215" s="31">
        <v>45686.875</v>
      </c>
      <c r="AC215" s="13" t="str">
        <f t="shared" si="9"/>
        <v>Approved</v>
      </c>
      <c r="AF215" s="71">
        <f>AJ215-7</f>
        <v>45721</v>
      </c>
      <c r="AG215" s="36">
        <f>IF($AX215="Cancelled","",IFERROR(IF(F215="","",F215-Variables!$B$13),""))</f>
        <v>45732</v>
      </c>
      <c r="AH215" s="13">
        <f>IF($AX215="Cancelled","",IFERROR(IF(AB215="","",(AVERAGE(E215:F215)-AB215)-Variables!$B$14),""))</f>
        <v>1.125</v>
      </c>
      <c r="AJ215" s="47">
        <v>45728</v>
      </c>
      <c r="AK215" s="14">
        <f>IF($AX215="Cancelled","",IFERROR(IF(AJ215="","",IF(AND(AB215="",AF215=""),"",IF(AF215&gt;AB215,AF215+Variables!$B$15+Variables!$B$16+Variables!$B$17-AJ215,AB215+Variables!$B$16+Variables!$B$17-AJ215))),""))</f>
        <v>8</v>
      </c>
      <c r="AL215" s="48" t="s">
        <v>114</v>
      </c>
      <c r="AM215" s="13" t="s">
        <v>115</v>
      </c>
      <c r="AN215" s="13" t="s">
        <v>510</v>
      </c>
      <c r="AP215" s="31">
        <v>45372</v>
      </c>
      <c r="AR215" s="13">
        <v>251098049</v>
      </c>
      <c r="AS215" s="31">
        <v>45377</v>
      </c>
      <c r="AU215" s="31">
        <v>45379</v>
      </c>
      <c r="AV215" s="13" t="s">
        <v>865</v>
      </c>
      <c r="AW215" s="31">
        <v>45754</v>
      </c>
      <c r="AX215" s="13" t="str">
        <f>IF(ISNUMBER(SEARCH("cancel",#REF!)),"Cancelled",IF(AND(AS215&lt;&gt;"",AU215&lt;&gt;"",AW215&lt;&gt;""),"Closed","Open"))</f>
        <v>Closed</v>
      </c>
      <c r="AY215" s="15" t="str">
        <f t="shared" si="10"/>
        <v>All dates received</v>
      </c>
      <c r="BD215" s="13">
        <f>IF($AX215="Cancelled","",IFERROR(IF(OR(AS215="",AJ215=""),"",(AJ215+Variables!$B$18-AS215)),""))</f>
        <v>366</v>
      </c>
      <c r="BE215" s="13">
        <f>IF($AX215="Cancelled","",IFERROR(IF(OR(AW215="",AS215=""),"",(AS215+Variables!$B$19)-AW215),""))</f>
        <v>-372</v>
      </c>
      <c r="BF215" s="44">
        <f>IF($AX215="Cancelled","",IFERROR(W215*INDEX(Variables!$B$7:$D$7,IFERROR(MATCH(IF($B215="Robusta","Robusta",(IF($B215="","Arabica",$B215))&amp;" - "&amp;(IF($C215="","Commercial",$C215))),Variables!$B$1:$D$1,0),1))*(BE215/365),""))</f>
        <v>-298.63535367769629</v>
      </c>
      <c r="BG215" s="44">
        <f>IF($AX215="Cancelled","",IFERROR((W215*INDEX(Variables!$B$7:$D$7,IFERROR(MATCH(IF($B215="Robusta","Robusta",(IF($B215="","Arabica",$B215))&amp;" - "&amp;(IF($C215="","Commercial",$C215))),Variables!$B$1:$D$1,0),1))*IFERROR(IF(AB215="","",(AVERAGE(E215:F215)-AB215)-Variables!$B$14),"")/365)+(L215/16.67*INDEX(Variables!$B$8:$D$8,IFERROR(MATCH(IF($B215="Robusta","Robusta",(IF($B215="","Arabica",$B215))&amp;" - "&amp;(IF($C215="","Commercial",$C215))),Variables!$B$1:$D$1,0),1))*IFERROR(IF(AB215="","",(AVERAGE(E215:F215)-AB215)-Variables!$B$14),""))+(W215*INDEX(Variables!$B$9:$D$9,IFERROR(MATCH(IF($B215="Robusta","Robusta",(IF($B215="","Arabica",$B215))&amp;" - "&amp;(IF($C215="","Commercial",$C215))),Variables!$B$1:$D$1,0),1))*IFERROR(IF(AB215="","",(AVERAGE(E215:F215)-AB215)-Variables!$B$14),"")/365),""))</f>
        <v>1.4772742128411058</v>
      </c>
      <c r="BH215" s="44">
        <f>IF($AX215="Cancelled","",IFERROR((W215*INDEX(Variables!$B$7:$D$7,IFERROR(MATCH(IF($B215="Robusta","Robusta",(IF($B215="","Arabica",$B215))&amp;" - "&amp;(IF($C215="","Commercial",$C215))),Variables!$B$1:$D$1,0),1))*AK215/365)+(L215/16.67*INDEX(Variables!$B$8:$D$8,IFERROR(MATCH(IF($B215="Robusta","Robusta",(IF($B215="","Arabica",$B215))&amp;" - "&amp;(IF($C215="","Commercial",$C215))),Variables!$B$1:$D$1,0),1))*AK215)+(W215*INDEX(Variables!$B$9:$D$9,IFERROR(MATCH(IF($B215="Robusta","Robusta",(IF($B215="","Arabica",$B215))&amp;" - "&amp;(IF($C215="","Commercial",$C215))),Variables!$B$1:$D$1,0),1))*AK215/365),""))</f>
        <v>10.505061069092307</v>
      </c>
      <c r="BI215" s="44">
        <f>IF($AX215="Cancelled","",IFERROR((W215*INDEX(Variables!$B$7:$D$7,IFERROR(MATCH(IF($B215="Robusta","Robusta",(IF($B215="","Arabica",$B215))&amp;" - "&amp;(IF($C215="","Commercial",$C215))),Variables!$B$1:$D$1,0),1))*BD215/365)+(L215/16.67*INDEX(Variables!$B$8:$D$8,IFERROR(MATCH(IF($B215="Robusta","Robusta",(IF($B215="","Arabica",$B215))&amp;" - "&amp;(IF($C215="","Commercial",$C215))),Variables!$B$1:$D$1,0),1))*BD215)+(W215*INDEX(Variables!$B$9:$D$9,IFERROR(MATCH(IF($B215="Robusta","Robusta",(IF($B215="","Arabica",$B215))&amp;" - "&amp;(IF($C215="","Commercial",$C215))),Variables!$B$1:$D$1,0),1))*BD215/365),""))</f>
        <v>480.60654391097307</v>
      </c>
      <c r="BJ215" s="44">
        <f t="shared" si="11"/>
        <v>370</v>
      </c>
      <c r="BK215" s="44">
        <f>IF($AX215="Cancelled","",IFERROR(IF(BJ215="","",(W215*INDEX(Variables!$B$7:$D$7,IFERROR(MATCH(IF($B215="Robusta","Robusta",(IF($B215="","Arabica",$B215))&amp;" - "&amp;(IF($C215="","Commercial",$C215))),Variables!$B$1:$D$1,0),1))*(BJ215/365))+(W215*INDEX(Variables!$B$9:$D$9,IFERROR(MATCH(IF($B215="Robusta","Robusta",(IF($B215="","Arabica",$B215))&amp;" - "&amp;(IF($C215="","Commercial",$C215))),Variables!$B$1:$D$1,0),1))*(BJ215/365))+(INDEX(Variables!$B$8:$D$8,IFERROR(MATCH(IF($B215="Robusta","Robusta",(IF($B215="","Arabica",$B215))&amp;" - "&amp;(IF($C215="","Commercial",$C215))),Variables!$B$1:$D$1,0),1))*L215/16.67)),""))</f>
        <v>301.35907444551924</v>
      </c>
    </row>
    <row r="216" spans="1:63">
      <c r="A216" s="13" t="s">
        <v>103</v>
      </c>
      <c r="B216" s="13" t="s">
        <v>104</v>
      </c>
      <c r="C216" s="13" t="s">
        <v>292</v>
      </c>
      <c r="D216" s="31">
        <v>45705</v>
      </c>
      <c r="E216" s="31">
        <v>45689</v>
      </c>
      <c r="F216" s="31">
        <v>45747</v>
      </c>
      <c r="G216" s="13">
        <v>3786704</v>
      </c>
      <c r="J216" s="13" t="s">
        <v>118</v>
      </c>
      <c r="K216" s="13" t="s">
        <v>757</v>
      </c>
      <c r="L216" s="13">
        <v>30</v>
      </c>
      <c r="M216" s="13">
        <v>0</v>
      </c>
      <c r="N216" s="13" t="s">
        <v>758</v>
      </c>
      <c r="O216" s="13" t="s">
        <v>304</v>
      </c>
      <c r="P216" s="13">
        <v>10010</v>
      </c>
      <c r="R216" s="13" t="s">
        <v>239</v>
      </c>
      <c r="S216" s="13" t="s">
        <v>463</v>
      </c>
      <c r="T216" s="13" t="s">
        <v>458</v>
      </c>
      <c r="U216" s="13" t="s">
        <v>125</v>
      </c>
      <c r="V216" s="13">
        <v>87.25</v>
      </c>
      <c r="W216" s="44">
        <f>IF($AX216="Cancelled","",IFERROR(((V216+INDEX(Variables!$B$6:$D$6,IFERROR(MATCH(IF($B216="Robusta","Robusta",(IF($B216="","Arabica",$B216))&amp;" - "&amp;(IF($C216="","Commercial",$C216))),Variables!$B$1:$D$1,0),1)))*22.0462)*(L216/16.67),""))</f>
        <v>14999.218794241149</v>
      </c>
      <c r="X216" s="55" t="s">
        <v>39</v>
      </c>
      <c r="Y216" s="13" t="str">
        <f>IF($AX216="Cancelled","",IF(X216="","",IFERROR(IF(INDEX(Variables!$B$38:$B$47,MATCH(X216,Variables!$A$38:$A$47,0))="Yes","Yes","No"),"No")))</f>
        <v>No</v>
      </c>
      <c r="Z216" s="31"/>
      <c r="AB216" s="31">
        <v>45686.875</v>
      </c>
      <c r="AC216" s="13" t="str">
        <f t="shared" si="9"/>
        <v>Approved</v>
      </c>
      <c r="AF216" s="71">
        <f>AJ216-7</f>
        <v>45738</v>
      </c>
      <c r="AG216" s="36">
        <f>IF($AX216="Cancelled","",IFERROR(IF(F216="","",F216-Variables!$B$13),""))</f>
        <v>45732</v>
      </c>
      <c r="AH216" s="13">
        <f>IF($AX216="Cancelled","",IFERROR(IF(AB216="","",(AVERAGE(E216:F216)-AB216)-Variables!$B$14),""))</f>
        <v>1.125</v>
      </c>
      <c r="AJ216" s="47">
        <v>45745</v>
      </c>
      <c r="AK216" s="14">
        <f>IF($AX216="Cancelled","",IFERROR(IF(AJ216="","",IF(AND(AB216="",AF216=""),"",IF(AF216&gt;AB216,AF216+Variables!$B$15+Variables!$B$16+Variables!$B$17-AJ216,AB216+Variables!$B$16+Variables!$B$17-AJ216))),""))</f>
        <v>8</v>
      </c>
      <c r="AL216" s="48" t="s">
        <v>114</v>
      </c>
      <c r="AM216" s="13" t="s">
        <v>168</v>
      </c>
      <c r="AN216" s="13" t="s">
        <v>805</v>
      </c>
      <c r="AP216" s="31">
        <v>45757</v>
      </c>
      <c r="AR216" s="13" t="s">
        <v>3255</v>
      </c>
      <c r="AS216" s="31">
        <v>45762</v>
      </c>
      <c r="AU216" s="31">
        <v>45764</v>
      </c>
      <c r="AV216" s="13" t="s">
        <v>865</v>
      </c>
      <c r="AW216" s="31">
        <v>45777</v>
      </c>
      <c r="AX216" s="13" t="str">
        <f>IF(ISNUMBER(SEARCH("cancel",#REF!)),"Cancelled",IF(AND(AS216&lt;&gt;"",AU216&lt;&gt;"",AW216&lt;&gt;""),"Closed","Open"))</f>
        <v>Closed</v>
      </c>
      <c r="AY216" s="15" t="str">
        <f t="shared" si="10"/>
        <v>All dates received</v>
      </c>
      <c r="BD216" s="13">
        <f>IF($AX216="Cancelled","",IFERROR(IF(OR(AS216="",AJ216=""),"",(AJ216+Variables!$B$18-AS216)),""))</f>
        <v>-2</v>
      </c>
      <c r="BE216" s="13">
        <f>IF($AX216="Cancelled","",IFERROR(IF(OR(AW216="",AS216=""),"",(AS216+Variables!$B$19)-AW216),""))</f>
        <v>-10</v>
      </c>
      <c r="BF216" s="44">
        <f>IF($AX216="Cancelled","",IFERROR(W216*INDEX(Variables!$B$7:$D$7,IFERROR(MATCH(IF($B216="Robusta","Robusta",(IF($B216="","Arabica",$B216))&amp;" - "&amp;(IF($C216="","Commercial",$C216))),Variables!$B$1:$D$1,0),1))*(BE216/365),""))</f>
        <v>-26.498154140657991</v>
      </c>
      <c r="BG216" s="44">
        <f>IF($AX216="Cancelled","",IFERROR((W216*INDEX(Variables!$B$7:$D$7,IFERROR(MATCH(IF($B216="Robusta","Robusta",(IF($B216="","Arabica",$B216))&amp;" - "&amp;(IF($C216="","Commercial",$C216))),Variables!$B$1:$D$1,0),1))*IFERROR(IF(AB216="","",(AVERAGE(E216:F216)-AB216)-Variables!$B$14),"")/365)+(L216/16.67*INDEX(Variables!$B$8:$D$8,IFERROR(MATCH(IF($B216="Robusta","Robusta",(IF($B216="","Arabica",$B216))&amp;" - "&amp;(IF($C216="","Commercial",$C216))),Variables!$B$1:$D$1,0),1))*IFERROR(IF(AB216="","",(AVERAGE(E216:F216)-AB216)-Variables!$B$14),""))+(W216*INDEX(Variables!$B$9:$D$9,IFERROR(MATCH(IF($B216="Robusta","Robusta",(IF($B216="","Arabica",$B216))&amp;" - "&amp;(IF($C216="","Commercial",$C216))),Variables!$B$1:$D$1,0),1))*IFERROR(IF(AB216="","",(AVERAGE(E216:F216)-AB216)-Variables!$B$14),"")/365),""))</f>
        <v>4.7069737296092544</v>
      </c>
      <c r="BH216" s="44">
        <f>IF($AX216="Cancelled","",IFERROR((W216*INDEX(Variables!$B$7:$D$7,IFERROR(MATCH(IF($B216="Robusta","Robusta",(IF($B216="","Arabica",$B216))&amp;" - "&amp;(IF($C216="","Commercial",$C216))),Variables!$B$1:$D$1,0),1))*AK216/365)+(L216/16.67*INDEX(Variables!$B$8:$D$8,IFERROR(MATCH(IF($B216="Robusta","Robusta",(IF($B216="","Arabica",$B216))&amp;" - "&amp;(IF($C216="","Commercial",$C216))),Variables!$B$1:$D$1,0),1))*AK216)+(W216*INDEX(Variables!$B$9:$D$9,IFERROR(MATCH(IF($B216="Robusta","Robusta",(IF($B216="","Arabica",$B216))&amp;" - "&amp;(IF($C216="","Commercial",$C216))),Variables!$B$1:$D$1,0),1))*AK216/365),""))</f>
        <v>33.471813188332476</v>
      </c>
      <c r="BI216" s="44">
        <f>IF($AX216="Cancelled","",IFERROR((W216*INDEX(Variables!$B$7:$D$7,IFERROR(MATCH(IF($B216="Robusta","Robusta",(IF($B216="","Arabica",$B216))&amp;" - "&amp;(IF($C216="","Commercial",$C216))),Variables!$B$1:$D$1,0),1))*BD216/365)+(L216/16.67*INDEX(Variables!$B$8:$D$8,IFERROR(MATCH(IF($B216="Robusta","Robusta",(IF($B216="","Arabica",$B216))&amp;" - "&amp;(IF($C216="","Commercial",$C216))),Variables!$B$1:$D$1,0),1))*BD216)+(W216*INDEX(Variables!$B$9:$D$9,IFERROR(MATCH(IF($B216="Robusta","Robusta",(IF($B216="","Arabica",$B216))&amp;" - "&amp;(IF($C216="","Commercial",$C216))),Variables!$B$1:$D$1,0),1))*BD216/365),""))</f>
        <v>-8.367953297083119</v>
      </c>
      <c r="BJ216" s="44">
        <f t="shared" si="11"/>
        <v>-15</v>
      </c>
      <c r="BK216" s="44">
        <f>IF($AX216="Cancelled","",IFERROR(IF(BJ216="","",(W216*INDEX(Variables!$B$7:$D$7,IFERROR(MATCH(IF($B216="Robusta","Robusta",(IF($B216="","Arabica",$B216))&amp;" - "&amp;(IF($C216="","Commercial",$C216))),Variables!$B$1:$D$1,0),1))*(BJ216/365))+(W216*INDEX(Variables!$B$9:$D$9,IFERROR(MATCH(IF($B216="Robusta","Robusta",(IF($B216="","Arabica",$B216))&amp;" - "&amp;(IF($C216="","Commercial",$C216))),Variables!$B$1:$D$1,0),1))*(BJ216/365))+(INDEX(Variables!$B$8:$D$8,IFERROR(MATCH(IF($B216="Robusta","Robusta",(IF($B216="","Arabica",$B216))&amp;" - "&amp;(IF($C216="","Commercial",$C216))),Variables!$B$1:$D$1,0),1))*L216/16.67)),""))</f>
        <v>-38.759649728123392</v>
      </c>
    </row>
    <row r="217" spans="1:63">
      <c r="A217" s="13" t="s">
        <v>103</v>
      </c>
      <c r="B217" s="13" t="s">
        <v>104</v>
      </c>
      <c r="C217" s="13" t="s">
        <v>292</v>
      </c>
      <c r="D217" s="31">
        <v>45705</v>
      </c>
      <c r="E217" s="31">
        <v>45689</v>
      </c>
      <c r="F217" s="31">
        <v>45747</v>
      </c>
      <c r="G217" s="13">
        <v>3786705</v>
      </c>
      <c r="J217" s="13" t="s">
        <v>118</v>
      </c>
      <c r="K217" s="13" t="s">
        <v>759</v>
      </c>
      <c r="L217" s="13">
        <v>15</v>
      </c>
      <c r="M217" s="13">
        <v>0</v>
      </c>
      <c r="N217" s="13" t="s">
        <v>760</v>
      </c>
      <c r="O217" s="13" t="s">
        <v>297</v>
      </c>
      <c r="P217" s="13">
        <v>10020</v>
      </c>
      <c r="R217" s="13" t="s">
        <v>671</v>
      </c>
      <c r="S217" s="13" t="s">
        <v>463</v>
      </c>
      <c r="T217" s="13" t="s">
        <v>458</v>
      </c>
      <c r="U217" s="13" t="s">
        <v>125</v>
      </c>
      <c r="V217" s="13">
        <v>108</v>
      </c>
      <c r="W217" s="44">
        <f>IF($AX217="Cancelled","",IFERROR(((V217+INDEX(Variables!$B$6:$D$6,IFERROR(MATCH(IF($B217="Robusta","Robusta",(IF($B217="","Arabica",$B217))&amp;" - "&amp;(IF($C217="","Commercial",$C217))),Variables!$B$1:$D$1,0),1)))*22.0462)*(L217/16.67),""))</f>
        <v>7911.2398560287938</v>
      </c>
      <c r="X217" s="55" t="s">
        <v>39</v>
      </c>
      <c r="Y217" s="13" t="str">
        <f>IF($AX217="Cancelled","",IF(X217="","",IFERROR(IF(INDEX(Variables!$B$38:$B$47,MATCH(X217,Variables!$A$38:$A$47,0))="Yes","Yes","No"),"No")))</f>
        <v>No</v>
      </c>
      <c r="Z217" s="31"/>
      <c r="AB217" s="31">
        <v>45686.875</v>
      </c>
      <c r="AC217" s="13" t="str">
        <f t="shared" si="9"/>
        <v>Approved</v>
      </c>
      <c r="AF217" s="71">
        <f>AJ217-7</f>
        <v>45738</v>
      </c>
      <c r="AG217" s="36">
        <f>IF($AX217="Cancelled","",IFERROR(IF(F217="","",F217-Variables!$B$13),""))</f>
        <v>45732</v>
      </c>
      <c r="AH217" s="13">
        <f>IF($AX217="Cancelled","",IFERROR(IF(AB217="","",(AVERAGE(E217:F217)-AB217)-Variables!$B$14),""))</f>
        <v>1.125</v>
      </c>
      <c r="AJ217" s="47">
        <v>45745</v>
      </c>
      <c r="AK217" s="14">
        <f>IF($AX217="Cancelled","",IFERROR(IF(AJ217="","",IF(AND(AB217="",AF217=""),"",IF(AF217&gt;AB217,AF217+Variables!$B$15+Variables!$B$16+Variables!$B$17-AJ217,AB217+Variables!$B$16+Variables!$B$17-AJ217))),""))</f>
        <v>8</v>
      </c>
      <c r="AL217" s="48" t="s">
        <v>114</v>
      </c>
      <c r="AM217" s="13" t="s">
        <v>168</v>
      </c>
      <c r="AN217" s="13" t="s">
        <v>805</v>
      </c>
      <c r="AP217" s="31">
        <v>45757</v>
      </c>
      <c r="AR217" s="13" t="s">
        <v>3255</v>
      </c>
      <c r="AS217" s="31">
        <v>45762</v>
      </c>
      <c r="AU217" s="31">
        <v>45764</v>
      </c>
      <c r="AV217" s="13" t="s">
        <v>865</v>
      </c>
      <c r="AW217" s="31">
        <v>45777</v>
      </c>
      <c r="AX217" s="13" t="str">
        <f>IF(ISNUMBER(SEARCH("cancel",#REF!)),"Cancelled",IF(AND(AS217&lt;&gt;"",AU217&lt;&gt;"",AW217&lt;&gt;""),"Closed","Open"))</f>
        <v>Closed</v>
      </c>
      <c r="AY217" s="15" t="str">
        <f t="shared" si="10"/>
        <v>All dates received</v>
      </c>
      <c r="BD217" s="13">
        <f>IF($AX217="Cancelled","",IFERROR(IF(OR(AS217="",AJ217=""),"",(AJ217+Variables!$B$18-AS217)),""))</f>
        <v>-2</v>
      </c>
      <c r="BE217" s="13">
        <f>IF($AX217="Cancelled","",IFERROR(IF(OR(AW217="",AS217=""),"",(AS217+Variables!$B$19)-AW217),""))</f>
        <v>-10</v>
      </c>
      <c r="BF217" s="44">
        <f>IF($AX217="Cancelled","",IFERROR(W217*INDEX(Variables!$B$7:$D$7,IFERROR(MATCH(IF($B217="Robusta","Robusta",(IF($B217="","Arabica",$B217))&amp;" - "&amp;(IF($C217="","Commercial",$C217))),Variables!$B$1:$D$1,0),1))*(BE217/365),""))</f>
        <v>-13.97627809984712</v>
      </c>
      <c r="BG217" s="44">
        <f>IF($AX217="Cancelled","",IFERROR((W217*INDEX(Variables!$B$7:$D$7,IFERROR(MATCH(IF($B217="Robusta","Robusta",(IF($B217="","Arabica",$B217))&amp;" - "&amp;(IF($C217="","Commercial",$C217))),Variables!$B$1:$D$1,0),1))*IFERROR(IF(AB217="","",(AVERAGE(E217:F217)-AB217)-Variables!$B$14),"")/365)+(L217/16.67*INDEX(Variables!$B$8:$D$8,IFERROR(MATCH(IF($B217="Robusta","Robusta",(IF($B217="","Arabica",$B217))&amp;" - "&amp;(IF($C217="","Commercial",$C217))),Variables!$B$1:$D$1,0),1))*IFERROR(IF(AB217="","",(AVERAGE(E217:F217)-AB217)-Variables!$B$14),""))+(W217*INDEX(Variables!$B$9:$D$9,IFERROR(MATCH(IF($B217="Robusta","Robusta",(IF($B217="","Arabica",$B217))&amp;" - "&amp;(IF($C217="","Commercial",$C217))),Variables!$B$1:$D$1,0),1))*IFERROR(IF(AB217="","",(AVERAGE(E217:F217)-AB217)-Variables!$B$14),"")/365),""))</f>
        <v>2.4363516709009008</v>
      </c>
      <c r="BH217" s="44">
        <f>IF($AX217="Cancelled","",IFERROR((W217*INDEX(Variables!$B$7:$D$7,IFERROR(MATCH(IF($B217="Robusta","Robusta",(IF($B217="","Arabica",$B217))&amp;" - "&amp;(IF($C217="","Commercial",$C217))),Variables!$B$1:$D$1,0),1))*AK217/365)+(L217/16.67*INDEX(Variables!$B$8:$D$8,IFERROR(MATCH(IF($B217="Robusta","Robusta",(IF($B217="","Arabica",$B217))&amp;" - "&amp;(IF($C217="","Commercial",$C217))),Variables!$B$1:$D$1,0),1))*AK217)+(W217*INDEX(Variables!$B$9:$D$9,IFERROR(MATCH(IF($B217="Robusta","Robusta",(IF($B217="","Arabica",$B217))&amp;" - "&amp;(IF($C217="","Commercial",$C217))),Variables!$B$1:$D$1,0),1))*AK217/365),""))</f>
        <v>17.325167437517518</v>
      </c>
      <c r="BI217" s="44">
        <f>IF($AX217="Cancelled","",IFERROR((W217*INDEX(Variables!$B$7:$D$7,IFERROR(MATCH(IF($B217="Robusta","Robusta",(IF($B217="","Arabica",$B217))&amp;" - "&amp;(IF($C217="","Commercial",$C217))),Variables!$B$1:$D$1,0),1))*BD217/365)+(L217/16.67*INDEX(Variables!$B$8:$D$8,IFERROR(MATCH(IF($B217="Robusta","Robusta",(IF($B217="","Arabica",$B217))&amp;" - "&amp;(IF($C217="","Commercial",$C217))),Variables!$B$1:$D$1,0),1))*BD217)+(W217*INDEX(Variables!$B$9:$D$9,IFERROR(MATCH(IF($B217="Robusta","Robusta",(IF($B217="","Arabica",$B217))&amp;" - "&amp;(IF($C217="","Commercial",$C217))),Variables!$B$1:$D$1,0),1))*BD217/365),""))</f>
        <v>-4.3312918593793794</v>
      </c>
      <c r="BJ217" s="44">
        <f t="shared" si="11"/>
        <v>-15</v>
      </c>
      <c r="BK217" s="44">
        <f>IF($AX217="Cancelled","",IFERROR(IF(BJ217="","",(W217*INDEX(Variables!$B$7:$D$7,IFERROR(MATCH(IF($B217="Robusta","Robusta",(IF($B217="","Arabica",$B217))&amp;" - "&amp;(IF($C217="","Commercial",$C217))),Variables!$B$1:$D$1,0),1))*(BJ217/365))+(W217*INDEX(Variables!$B$9:$D$9,IFERROR(MATCH(IF($B217="Robusta","Robusta",(IF($B217="","Arabica",$B217))&amp;" - "&amp;(IF($C217="","Commercial",$C217))),Variables!$B$1:$D$1,0),1))*(BJ217/365))+(INDEX(Variables!$B$8:$D$8,IFERROR(MATCH(IF($B217="Robusta","Robusta",(IF($B217="","Arabica",$B217))&amp;" - "&amp;(IF($C217="","Commercial",$C217))),Variables!$B$1:$D$1,0),1))*L217/16.67)),""))</f>
        <v>-20.48468894534534</v>
      </c>
    </row>
    <row r="218" spans="1:63">
      <c r="A218" s="13" t="s">
        <v>103</v>
      </c>
      <c r="B218" s="13" t="s">
        <v>104</v>
      </c>
      <c r="C218" s="13" t="s">
        <v>292</v>
      </c>
      <c r="D218" s="31">
        <v>45705</v>
      </c>
      <c r="E218" s="31">
        <v>45689</v>
      </c>
      <c r="F218" s="31">
        <v>45747</v>
      </c>
      <c r="G218" s="13">
        <v>3786706</v>
      </c>
      <c r="J218" s="13" t="s">
        <v>118</v>
      </c>
      <c r="K218" s="13" t="s">
        <v>761</v>
      </c>
      <c r="L218" s="13">
        <v>15</v>
      </c>
      <c r="M218" s="13">
        <v>0</v>
      </c>
      <c r="N218" s="13" t="s">
        <v>762</v>
      </c>
      <c r="O218" s="13" t="s">
        <v>297</v>
      </c>
      <c r="P218" s="13">
        <v>10020</v>
      </c>
      <c r="R218" s="13" t="s">
        <v>239</v>
      </c>
      <c r="S218" s="13" t="s">
        <v>463</v>
      </c>
      <c r="T218" s="13" t="s">
        <v>458</v>
      </c>
      <c r="U218" s="13" t="s">
        <v>125</v>
      </c>
      <c r="V218" s="13">
        <v>94</v>
      </c>
      <c r="W218" s="44">
        <f>IF($AX218="Cancelled","",IFERROR(((V218+INDEX(Variables!$B$6:$D$6,IFERROR(MATCH(IF($B218="Robusta","Robusta",(IF($B218="","Arabica",$B218))&amp;" - "&amp;(IF($C218="","Commercial",$C218))),Variables!$B$1:$D$1,0),1)))*22.0462)*(L218/16.67),""))</f>
        <v>7633.5132813437303</v>
      </c>
      <c r="X218" s="55" t="s">
        <v>39</v>
      </c>
      <c r="Y218" s="13" t="str">
        <f>IF($AX218="Cancelled","",IF(X218="","",IFERROR(IF(INDEX(Variables!$B$38:$B$47,MATCH(X218,Variables!$A$38:$A$47,0))="Yes","Yes","No"),"No")))</f>
        <v>No</v>
      </c>
      <c r="Z218" s="31"/>
      <c r="AB218" s="31">
        <v>45686.875</v>
      </c>
      <c r="AC218" s="13" t="str">
        <f t="shared" si="9"/>
        <v>Approved</v>
      </c>
      <c r="AF218" s="71">
        <f>AJ218-7</f>
        <v>45738</v>
      </c>
      <c r="AG218" s="36">
        <f>IF($AX218="Cancelled","",IFERROR(IF(F218="","",F218-Variables!$B$13),""))</f>
        <v>45732</v>
      </c>
      <c r="AH218" s="13">
        <f>IF($AX218="Cancelled","",IFERROR(IF(AB218="","",(AVERAGE(E218:F218)-AB218)-Variables!$B$14),""))</f>
        <v>1.125</v>
      </c>
      <c r="AJ218" s="47">
        <v>45745</v>
      </c>
      <c r="AK218" s="14">
        <f>IF($AX218="Cancelled","",IFERROR(IF(AJ218="","",IF(AND(AB218="",AF218=""),"",IF(AF218&gt;AB218,AF218+Variables!$B$15+Variables!$B$16+Variables!$B$17-AJ218,AB218+Variables!$B$16+Variables!$B$17-AJ218))),""))</f>
        <v>8</v>
      </c>
      <c r="AL218" s="48" t="s">
        <v>114</v>
      </c>
      <c r="AM218" s="13" t="s">
        <v>168</v>
      </c>
      <c r="AN218" s="13" t="s">
        <v>805</v>
      </c>
      <c r="AP218" s="31">
        <v>45757</v>
      </c>
      <c r="AR218" s="13" t="s">
        <v>3255</v>
      </c>
      <c r="AS218" s="31">
        <v>45762</v>
      </c>
      <c r="AU218" s="31">
        <v>45764</v>
      </c>
      <c r="AV218" s="13" t="s">
        <v>865</v>
      </c>
      <c r="AW218" s="31">
        <v>45777</v>
      </c>
      <c r="AX218" s="13" t="str">
        <f>IF(ISNUMBER(SEARCH("cancel",#REF!)),"Cancelled",IF(AND(AS218&lt;&gt;"",AU218&lt;&gt;"",AW218&lt;&gt;""),"Closed","Open"))</f>
        <v>Closed</v>
      </c>
      <c r="AY218" s="15" t="str">
        <f t="shared" si="10"/>
        <v>All dates received</v>
      </c>
      <c r="BD218" s="13">
        <f>IF($AX218="Cancelled","",IFERROR(IF(OR(AS218="",AJ218=""),"",(AJ218+Variables!$B$18-AS218)),""))</f>
        <v>-2</v>
      </c>
      <c r="BE218" s="13">
        <f>IF($AX218="Cancelled","",IFERROR(IF(OR(AW218="",AS218=""),"",(AS218+Variables!$B$19)-AW218),""))</f>
        <v>-10</v>
      </c>
      <c r="BF218" s="44">
        <f>IF($AX218="Cancelled","",IFERROR(W218*INDEX(Variables!$B$7:$D$7,IFERROR(MATCH(IF($B218="Robusta","Robusta",(IF($B218="","Arabica",$B218))&amp;" - "&amp;(IF($C218="","Commercial",$C218))),Variables!$B$1:$D$1,0),1))*(BE218/365),""))</f>
        <v>-13.485636441377059</v>
      </c>
      <c r="BG218" s="44">
        <f>IF($AX218="Cancelled","",IFERROR((W218*INDEX(Variables!$B$7:$D$7,IFERROR(MATCH(IF($B218="Robusta","Robusta",(IF($B218="","Arabica",$B218))&amp;" - "&amp;(IF($C218="","Commercial",$C218))),Variables!$B$1:$D$1,0),1))*IFERROR(IF(AB218="","",(AVERAGE(E218:F218)-AB218)-Variables!$B$14),"")/365)+(L218/16.67*INDEX(Variables!$B$8:$D$8,IFERROR(MATCH(IF($B218="Robusta","Robusta",(IF($B218="","Arabica",$B218))&amp;" - "&amp;(IF($C218="","Commercial",$C218))),Variables!$B$1:$D$1,0),1))*IFERROR(IF(AB218="","",(AVERAGE(E218:F218)-AB218)-Variables!$B$14),""))+(W218*INDEX(Variables!$B$9:$D$9,IFERROR(MATCH(IF($B218="Robusta","Robusta",(IF($B218="","Arabica",$B218))&amp;" - "&amp;(IF($C218="","Commercial",$C218))),Variables!$B$1:$D$1,0),1))*IFERROR(IF(AB218="","",(AVERAGE(E218:F218)-AB218)-Variables!$B$14),"")/365),""))</f>
        <v>2.380442886064861</v>
      </c>
      <c r="BH218" s="44">
        <f>IF($AX218="Cancelled","",IFERROR((W218*INDEX(Variables!$B$7:$D$7,IFERROR(MATCH(IF($B218="Robusta","Robusta",(IF($B218="","Arabica",$B218))&amp;" - "&amp;(IF($C218="","Commercial",$C218))),Variables!$B$1:$D$1,0),1))*AK218/365)+(L218/16.67*INDEX(Variables!$B$8:$D$8,IFERROR(MATCH(IF($B218="Robusta","Robusta",(IF($B218="","Arabica",$B218))&amp;" - "&amp;(IF($C218="","Commercial",$C218))),Variables!$B$1:$D$1,0),1))*AK218)+(W218*INDEX(Variables!$B$9:$D$9,IFERROR(MATCH(IF($B218="Robusta","Robusta",(IF($B218="","Arabica",$B218))&amp;" - "&amp;(IF($C218="","Commercial",$C218))),Variables!$B$1:$D$1,0),1))*AK218/365),""))</f>
        <v>16.927593856461236</v>
      </c>
      <c r="BI218" s="44">
        <f>IF($AX218="Cancelled","",IFERROR((W218*INDEX(Variables!$B$7:$D$7,IFERROR(MATCH(IF($B218="Robusta","Robusta",(IF($B218="","Arabica",$B218))&amp;" - "&amp;(IF($C218="","Commercial",$C218))),Variables!$B$1:$D$1,0),1))*BD218/365)+(L218/16.67*INDEX(Variables!$B$8:$D$8,IFERROR(MATCH(IF($B218="Robusta","Robusta",(IF($B218="","Arabica",$B218))&amp;" - "&amp;(IF($C218="","Commercial",$C218))),Variables!$B$1:$D$1,0),1))*BD218)+(W218*INDEX(Variables!$B$9:$D$9,IFERROR(MATCH(IF($B218="Robusta","Robusta",(IF($B218="","Arabica",$B218))&amp;" - "&amp;(IF($C218="","Commercial",$C218))),Variables!$B$1:$D$1,0),1))*BD218/365),""))</f>
        <v>-4.231898464115309</v>
      </c>
      <c r="BJ218" s="44">
        <f t="shared" si="11"/>
        <v>-15</v>
      </c>
      <c r="BK218" s="44">
        <f>IF($AX218="Cancelled","",IFERROR(IF(BJ218="","",(W218*INDEX(Variables!$B$7:$D$7,IFERROR(MATCH(IF($B218="Robusta","Robusta",(IF($B218="","Arabica",$B218))&amp;" - "&amp;(IF($C218="","Commercial",$C218))),Variables!$B$1:$D$1,0),1))*(BJ218/365))+(W218*INDEX(Variables!$B$9:$D$9,IFERROR(MATCH(IF($B218="Robusta","Robusta",(IF($B218="","Arabica",$B218))&amp;" - "&amp;(IF($C218="","Commercial",$C218))),Variables!$B$1:$D$1,0),1))*(BJ218/365))+(INDEX(Variables!$B$8:$D$8,IFERROR(MATCH(IF($B218="Robusta","Robusta",(IF($B218="","Arabica",$B218))&amp;" - "&amp;(IF($C218="","Commercial",$C218))),Variables!$B$1:$D$1,0),1))*L218/16.67)),""))</f>
        <v>-19.739238480864813</v>
      </c>
    </row>
    <row r="219" spans="1:63">
      <c r="A219" s="13" t="s">
        <v>103</v>
      </c>
      <c r="B219" s="13" t="s">
        <v>104</v>
      </c>
      <c r="C219" s="13" t="s">
        <v>292</v>
      </c>
      <c r="D219" s="31">
        <v>45705</v>
      </c>
      <c r="E219" s="31">
        <v>45689</v>
      </c>
      <c r="F219" s="31">
        <v>45747</v>
      </c>
      <c r="G219" s="13">
        <v>3786707</v>
      </c>
      <c r="J219" s="13" t="s">
        <v>118</v>
      </c>
      <c r="K219" s="13" t="s">
        <v>763</v>
      </c>
      <c r="L219" s="13">
        <v>30</v>
      </c>
      <c r="M219" s="13">
        <v>0</v>
      </c>
      <c r="N219" s="13" t="s">
        <v>764</v>
      </c>
      <c r="O219" s="13" t="s">
        <v>304</v>
      </c>
      <c r="P219" s="13">
        <v>10010</v>
      </c>
      <c r="R219" s="13" t="s">
        <v>239</v>
      </c>
      <c r="S219" s="13" t="s">
        <v>463</v>
      </c>
      <c r="T219" s="13" t="s">
        <v>458</v>
      </c>
      <c r="U219" s="13" t="s">
        <v>125</v>
      </c>
      <c r="V219" s="13">
        <v>80</v>
      </c>
      <c r="W219" s="44">
        <f>IF($AX219="Cancelled","",IFERROR(((V219+INDEX(Variables!$B$6:$D$6,IFERROR(MATCH(IF($B219="Robusta","Robusta",(IF($B219="","Arabica",$B219))&amp;" - "&amp;(IF($C219="","Commercial",$C219))),Variables!$B$1:$D$1,0),1)))*22.0462)*(L219/16.67),""))</f>
        <v>14711.573413317336</v>
      </c>
      <c r="X219" s="55" t="s">
        <v>39</v>
      </c>
      <c r="Y219" s="13" t="str">
        <f>IF($AX219="Cancelled","",IF(X219="","",IFERROR(IF(INDEX(Variables!$B$38:$B$47,MATCH(X219,Variables!$A$38:$A$47,0))="Yes","Yes","No"),"No")))</f>
        <v>No</v>
      </c>
      <c r="Z219" s="31"/>
      <c r="AB219" s="31">
        <v>45689.875</v>
      </c>
      <c r="AC219" s="13" t="str">
        <f t="shared" si="9"/>
        <v>Approved</v>
      </c>
      <c r="AF219" s="71">
        <f>AJ219-7</f>
        <v>45738</v>
      </c>
      <c r="AG219" s="36">
        <f>IF($AX219="Cancelled","",IFERROR(IF(F219="","",F219-Variables!$B$13),""))</f>
        <v>45732</v>
      </c>
      <c r="AH219" s="13">
        <f>IF($AX219="Cancelled","",IFERROR(IF(AB219="","",(AVERAGE(E219:F219)-AB219)-Variables!$B$14),""))</f>
        <v>-1.875</v>
      </c>
      <c r="AJ219" s="47">
        <v>45745</v>
      </c>
      <c r="AK219" s="14">
        <f>IF($AX219="Cancelled","",IFERROR(IF(AJ219="","",IF(AND(AB219="",AF219=""),"",IF(AF219&gt;AB219,AF219+Variables!$B$15+Variables!$B$16+Variables!$B$17-AJ219,AB219+Variables!$B$16+Variables!$B$17-AJ219))),""))</f>
        <v>8</v>
      </c>
      <c r="AL219" s="48" t="s">
        <v>114</v>
      </c>
      <c r="AM219" s="13" t="s">
        <v>168</v>
      </c>
      <c r="AN219" s="13" t="s">
        <v>805</v>
      </c>
      <c r="AP219" s="31">
        <v>45757</v>
      </c>
      <c r="AR219" s="13" t="s">
        <v>3255</v>
      </c>
      <c r="AS219" s="31">
        <v>45762</v>
      </c>
      <c r="AU219" s="31">
        <v>45764</v>
      </c>
      <c r="AV219" s="13" t="s">
        <v>865</v>
      </c>
      <c r="AW219" s="31">
        <v>45777</v>
      </c>
      <c r="AX219" s="13" t="str">
        <f>IF(ISNUMBER(SEARCH("cancel",#REF!)),"Cancelled",IF(AND(AS219&lt;&gt;"",AU219&lt;&gt;"",AW219&lt;&gt;""),"Closed","Open"))</f>
        <v>Closed</v>
      </c>
      <c r="AY219" s="15" t="str">
        <f t="shared" si="10"/>
        <v>All dates received</v>
      </c>
      <c r="BD219" s="13">
        <f>IF($AX219="Cancelled","",IFERROR(IF(OR(AS219="",AJ219=""),"",(AJ219+Variables!$B$18-AS219)),""))</f>
        <v>-2</v>
      </c>
      <c r="BE219" s="13">
        <f>IF($AX219="Cancelled","",IFERROR(IF(OR(AW219="",AS219=""),"",(AS219+Variables!$B$19)-AW219),""))</f>
        <v>-10</v>
      </c>
      <c r="BF219" s="44">
        <f>IF($AX219="Cancelled","",IFERROR(W219*INDEX(Variables!$B$7:$D$7,IFERROR(MATCH(IF($B219="Robusta","Robusta",(IF($B219="","Arabica",$B219))&amp;" - "&amp;(IF($C219="","Commercial",$C219))),Variables!$B$1:$D$1,0),1))*(BE219/365),""))</f>
        <v>-25.989989565814003</v>
      </c>
      <c r="BG219" s="44">
        <f>IF($AX219="Cancelled","",IFERROR((W219*INDEX(Variables!$B$7:$D$7,IFERROR(MATCH(IF($B219="Robusta","Robusta",(IF($B219="","Arabica",$B219))&amp;" - "&amp;(IF($C219="","Commercial",$C219))),Variables!$B$1:$D$1,0),1))*IFERROR(IF(AB219="","",(AVERAGE(E219:F219)-AB219)-Variables!$B$14),"")/365)+(L219/16.67*INDEX(Variables!$B$8:$D$8,IFERROR(MATCH(IF($B219="Robusta","Robusta",(IF($B219="","Arabica",$B219))&amp;" - "&amp;(IF($C219="","Commercial",$C219))),Variables!$B$1:$D$1,0),1))*IFERROR(IF(AB219="","",(AVERAGE(E219:F219)-AB219)-Variables!$B$14),""))+(W219*INDEX(Variables!$B$9:$D$9,IFERROR(MATCH(IF($B219="Robusta","Robusta",(IF($B219="","Arabica",$B219))&amp;" - "&amp;(IF($C219="","Commercial",$C219))),Variables!$B$1:$D$1,0),1))*IFERROR(IF(AB219="","",(AVERAGE(E219:F219)-AB219)-Variables!$B$14),"")/365),""))</f>
        <v>-7.7484470040960716</v>
      </c>
      <c r="BH219" s="44">
        <f>IF($AX219="Cancelled","",IFERROR((W219*INDEX(Variables!$B$7:$D$7,IFERROR(MATCH(IF($B219="Robusta","Robusta",(IF($B219="","Arabica",$B219))&amp;" - "&amp;(IF($C219="","Commercial",$C219))),Variables!$B$1:$D$1,0),1))*AK219/365)+(L219/16.67*INDEX(Variables!$B$8:$D$8,IFERROR(MATCH(IF($B219="Robusta","Robusta",(IF($B219="","Arabica",$B219))&amp;" - "&amp;(IF($C219="","Commercial",$C219))),Variables!$B$1:$D$1,0),1))*AK219)+(W219*INDEX(Variables!$B$9:$D$9,IFERROR(MATCH(IF($B219="Robusta","Robusta",(IF($B219="","Arabica",$B219))&amp;" - "&amp;(IF($C219="","Commercial",$C219))),Variables!$B$1:$D$1,0),1))*AK219/365),""))</f>
        <v>33.060040550809909</v>
      </c>
      <c r="BI219" s="44">
        <f>IF($AX219="Cancelled","",IFERROR((W219*INDEX(Variables!$B$7:$D$7,IFERROR(MATCH(IF($B219="Robusta","Robusta",(IF($B219="","Arabica",$B219))&amp;" - "&amp;(IF($C219="","Commercial",$C219))),Variables!$B$1:$D$1,0),1))*BD219/365)+(L219/16.67*INDEX(Variables!$B$8:$D$8,IFERROR(MATCH(IF($B219="Robusta","Robusta",(IF($B219="","Arabica",$B219))&amp;" - "&amp;(IF($C219="","Commercial",$C219))),Variables!$B$1:$D$1,0),1))*BD219)+(W219*INDEX(Variables!$B$9:$D$9,IFERROR(MATCH(IF($B219="Robusta","Robusta",(IF($B219="","Arabica",$B219))&amp;" - "&amp;(IF($C219="","Commercial",$C219))),Variables!$B$1:$D$1,0),1))*BD219/365),""))</f>
        <v>-8.2650101377024772</v>
      </c>
      <c r="BJ219" s="44">
        <f t="shared" si="11"/>
        <v>-15</v>
      </c>
      <c r="BK219" s="44">
        <f>IF($AX219="Cancelled","",IFERROR(IF(BJ219="","",(W219*INDEX(Variables!$B$7:$D$7,IFERROR(MATCH(IF($B219="Robusta","Robusta",(IF($B219="","Arabica",$B219))&amp;" - "&amp;(IF($C219="","Commercial",$C219))),Variables!$B$1:$D$1,0),1))*(BJ219/365))+(W219*INDEX(Variables!$B$9:$D$9,IFERROR(MATCH(IF($B219="Robusta","Robusta",(IF($B219="","Arabica",$B219))&amp;" - "&amp;(IF($C219="","Commercial",$C219))),Variables!$B$1:$D$1,0),1))*(BJ219/365))+(INDEX(Variables!$B$8:$D$8,IFERROR(MATCH(IF($B219="Robusta","Robusta",(IF($B219="","Arabica",$B219))&amp;" - "&amp;(IF($C219="","Commercial",$C219))),Variables!$B$1:$D$1,0),1))*L219/16.67)),""))</f>
        <v>-37.987576032768573</v>
      </c>
    </row>
    <row r="220" spans="1:63">
      <c r="A220" s="13" t="s">
        <v>103</v>
      </c>
      <c r="B220" s="13" t="s">
        <v>104</v>
      </c>
      <c r="C220" s="13" t="s">
        <v>292</v>
      </c>
      <c r="D220" s="31">
        <v>45705</v>
      </c>
      <c r="E220" s="31">
        <v>45689</v>
      </c>
      <c r="F220" s="31">
        <v>45747</v>
      </c>
      <c r="G220" s="13">
        <v>3786708</v>
      </c>
      <c r="J220" s="13" t="s">
        <v>118</v>
      </c>
      <c r="K220" s="13" t="s">
        <v>765</v>
      </c>
      <c r="L220" s="13">
        <v>20</v>
      </c>
      <c r="M220" s="13">
        <v>0</v>
      </c>
      <c r="N220" s="13" t="s">
        <v>766</v>
      </c>
      <c r="O220" s="13" t="s">
        <v>304</v>
      </c>
      <c r="P220" s="13">
        <v>10010</v>
      </c>
      <c r="R220" s="13" t="s">
        <v>239</v>
      </c>
      <c r="S220" s="13" t="s">
        <v>463</v>
      </c>
      <c r="T220" s="13" t="s">
        <v>458</v>
      </c>
      <c r="U220" s="13" t="s">
        <v>125</v>
      </c>
      <c r="V220" s="13">
        <v>110</v>
      </c>
      <c r="W220" s="44">
        <f>IF($AX220="Cancelled","",IFERROR(((V220+INDEX(Variables!$B$6:$D$6,IFERROR(MATCH(IF($B220="Robusta","Robusta",(IF($B220="","Arabica",$B220))&amp;" - "&amp;(IF($C220="","Commercial",$C220))),Variables!$B$1:$D$1,0),1)))*22.0462)*(L220/16.67),""))</f>
        <v>10601.220107978403</v>
      </c>
      <c r="X220" s="55" t="s">
        <v>39</v>
      </c>
      <c r="Y220" s="13" t="str">
        <f>IF($AX220="Cancelled","",IF(X220="","",IFERROR(IF(INDEX(Variables!$B$38:$B$47,MATCH(X220,Variables!$A$38:$A$47,0))="Yes","Yes","No"),"No")))</f>
        <v>No</v>
      </c>
      <c r="Z220" s="31"/>
      <c r="AB220" s="31">
        <v>45689.875</v>
      </c>
      <c r="AC220" s="13" t="str">
        <f t="shared" si="9"/>
        <v>Approved</v>
      </c>
      <c r="AF220" s="71">
        <f>AJ220-7</f>
        <v>45738</v>
      </c>
      <c r="AG220" s="36">
        <f>IF($AX220="Cancelled","",IFERROR(IF(F220="","",F220-Variables!$B$13),""))</f>
        <v>45732</v>
      </c>
      <c r="AH220" s="13">
        <f>IF($AX220="Cancelled","",IFERROR(IF(AB220="","",(AVERAGE(E220:F220)-AB220)-Variables!$B$14),""))</f>
        <v>-1.875</v>
      </c>
      <c r="AJ220" s="47">
        <v>45745</v>
      </c>
      <c r="AK220" s="14">
        <f>IF($AX220="Cancelled","",IFERROR(IF(AJ220="","",IF(AND(AB220="",AF220=""),"",IF(AF220&gt;AB220,AF220+Variables!$B$15+Variables!$B$16+Variables!$B$17-AJ220,AB220+Variables!$B$16+Variables!$B$17-AJ220))),""))</f>
        <v>8</v>
      </c>
      <c r="AL220" s="48" t="s">
        <v>114</v>
      </c>
      <c r="AM220" s="13" t="s">
        <v>168</v>
      </c>
      <c r="AN220" s="13" t="s">
        <v>805</v>
      </c>
      <c r="AP220" s="31">
        <v>45757</v>
      </c>
      <c r="AR220" s="13" t="s">
        <v>3255</v>
      </c>
      <c r="AS220" s="31">
        <v>45762</v>
      </c>
      <c r="AU220" s="31">
        <v>45764</v>
      </c>
      <c r="AV220" s="13" t="s">
        <v>865</v>
      </c>
      <c r="AW220" s="31">
        <v>45777</v>
      </c>
      <c r="AX220" s="13" t="str">
        <f>IF(ISNUMBER(SEARCH("cancel",#REF!)),"Cancelled",IF(AND(AS220&lt;&gt;"",AU220&lt;&gt;"",AW220&lt;&gt;""),"Closed","Open"))</f>
        <v>Closed</v>
      </c>
      <c r="AY220" s="15" t="str">
        <f t="shared" si="10"/>
        <v>All dates received</v>
      </c>
      <c r="BD220" s="13">
        <f>IF($AX220="Cancelled","",IFERROR(IF(OR(AS220="",AJ220=""),"",(AJ220+Variables!$B$18-AS220)),""))</f>
        <v>-2</v>
      </c>
      <c r="BE220" s="13">
        <f>IF($AX220="Cancelled","",IFERROR(IF(OR(AW220="",AS220=""),"",(AS220+Variables!$B$19)-AW220),""))</f>
        <v>-10</v>
      </c>
      <c r="BF220" s="44">
        <f>IF($AX220="Cancelled","",IFERROR(W220*INDEX(Variables!$B$7:$D$7,IFERROR(MATCH(IF($B220="Robusta","Robusta",(IF($B220="","Arabica",$B220))&amp;" - "&amp;(IF($C220="","Commercial",$C220))),Variables!$B$1:$D$1,0),1))*(BE220/365),""))</f>
        <v>-18.728493020457122</v>
      </c>
      <c r="BG220" s="44">
        <f>IF($AX220="Cancelled","",IFERROR((W220*INDEX(Variables!$B$7:$D$7,IFERROR(MATCH(IF($B220="Robusta","Robusta",(IF($B220="","Arabica",$B220))&amp;" - "&amp;(IF($C220="","Commercial",$C220))),Variables!$B$1:$D$1,0),1))*IFERROR(IF(AB220="","",(AVERAGE(E220:F220)-AB220)-Variables!$B$14),"")/365)+(L220/16.67*INDEX(Variables!$B$8:$D$8,IFERROR(MATCH(IF($B220="Robusta","Robusta",(IF($B220="","Arabica",$B220))&amp;" - "&amp;(IF($C220="","Commercial",$C220))),Variables!$B$1:$D$1,0),1))*IFERROR(IF(AB220="","",(AVERAGE(E220:F220)-AB220)-Variables!$B$14),""))+(W220*INDEX(Variables!$B$9:$D$9,IFERROR(MATCH(IF($B220="Robusta","Robusta",(IF($B220="","Arabica",$B220))&amp;" - "&amp;(IF($C220="","Commercial",$C220))),Variables!$B$1:$D$1,0),1))*IFERROR(IF(AB220="","",(AVERAGE(E220:F220)-AB220)-Variables!$B$14),"")/365),""))</f>
        <v>-5.4318636448070938</v>
      </c>
      <c r="BH220" s="44">
        <f>IF($AX220="Cancelled","",IFERROR((W220*INDEX(Variables!$B$7:$D$7,IFERROR(MATCH(IF($B220="Robusta","Robusta",(IF($B220="","Arabica",$B220))&amp;" - "&amp;(IF($C220="","Commercial",$C220))),Variables!$B$1:$D$1,0),1))*AK220/365)+(L220/16.67*INDEX(Variables!$B$8:$D$8,IFERROR(MATCH(IF($B220="Robusta","Robusta",(IF($B220="","Arabica",$B220))&amp;" - "&amp;(IF($C220="","Commercial",$C220))),Variables!$B$1:$D$1,0),1))*AK220)+(W220*INDEX(Variables!$B$9:$D$9,IFERROR(MATCH(IF($B220="Robusta","Robusta",(IF($B220="","Arabica",$B220))&amp;" - "&amp;(IF($C220="","Commercial",$C220))),Variables!$B$1:$D$1,0),1))*AK220/365),""))</f>
        <v>23.175951551176929</v>
      </c>
      <c r="BI220" s="44">
        <f>IF($AX220="Cancelled","",IFERROR((W220*INDEX(Variables!$B$7:$D$7,IFERROR(MATCH(IF($B220="Robusta","Robusta",(IF($B220="","Arabica",$B220))&amp;" - "&amp;(IF($C220="","Commercial",$C220))),Variables!$B$1:$D$1,0),1))*BD220/365)+(L220/16.67*INDEX(Variables!$B$8:$D$8,IFERROR(MATCH(IF($B220="Robusta","Robusta",(IF($B220="","Arabica",$B220))&amp;" - "&amp;(IF($C220="","Commercial",$C220))),Variables!$B$1:$D$1,0),1))*BD220)+(W220*INDEX(Variables!$B$9:$D$9,IFERROR(MATCH(IF($B220="Robusta","Robusta",(IF($B220="","Arabica",$B220))&amp;" - "&amp;(IF($C220="","Commercial",$C220))),Variables!$B$1:$D$1,0),1))*BD220/365),""))</f>
        <v>-5.7939878877942323</v>
      </c>
      <c r="BJ220" s="44">
        <f t="shared" si="11"/>
        <v>-15</v>
      </c>
      <c r="BK220" s="44">
        <f>IF($AX220="Cancelled","",IFERROR(IF(BJ220="","",(W220*INDEX(Variables!$B$7:$D$7,IFERROR(MATCH(IF($B220="Robusta","Robusta",(IF($B220="","Arabica",$B220))&amp;" - "&amp;(IF($C220="","Commercial",$C220))),Variables!$B$1:$D$1,0),1))*(BJ220/365))+(W220*INDEX(Variables!$B$9:$D$9,IFERROR(MATCH(IF($B220="Robusta","Robusta",(IF($B220="","Arabica",$B220))&amp;" - "&amp;(IF($C220="","Commercial",$C220))),Variables!$B$1:$D$1,0),1))*(BJ220/365))+(INDEX(Variables!$B$8:$D$8,IFERROR(MATCH(IF($B220="Robusta","Robusta",(IF($B220="","Arabica",$B220))&amp;" - "&amp;(IF($C220="","Commercial",$C220))),Variables!$B$1:$D$1,0),1))*L220/16.67)),""))</f>
        <v>-27.454909158456744</v>
      </c>
    </row>
    <row r="221" spans="1:63">
      <c r="A221" s="13" t="s">
        <v>103</v>
      </c>
      <c r="B221" s="13" t="s">
        <v>104</v>
      </c>
      <c r="C221" s="13" t="s">
        <v>105</v>
      </c>
      <c r="D221" s="31">
        <v>45706</v>
      </c>
      <c r="E221" s="31">
        <v>45748</v>
      </c>
      <c r="F221" s="31">
        <v>45777</v>
      </c>
      <c r="G221" s="13">
        <v>3786709</v>
      </c>
      <c r="H221" s="13">
        <v>4550296500</v>
      </c>
      <c r="J221" s="13" t="s">
        <v>230</v>
      </c>
      <c r="K221" s="13">
        <v>5210</v>
      </c>
      <c r="L221" s="13">
        <v>1800</v>
      </c>
      <c r="M221" s="13">
        <v>5</v>
      </c>
      <c r="N221" s="13" t="s">
        <v>767</v>
      </c>
      <c r="O221" s="13" t="s">
        <v>584</v>
      </c>
      <c r="P221" s="13">
        <v>10310</v>
      </c>
      <c r="R221" s="13" t="s">
        <v>122</v>
      </c>
      <c r="S221" s="13" t="s">
        <v>154</v>
      </c>
      <c r="T221" s="13" t="s">
        <v>155</v>
      </c>
      <c r="U221" s="13" t="s">
        <v>125</v>
      </c>
      <c r="V221" s="13">
        <v>15</v>
      </c>
      <c r="W221" s="44">
        <f>IF($AX221="Cancelled","",IFERROR(((V221+INDEX(Variables!$B$6:$D$6,IFERROR(MATCH(IF($B221="Robusta","Robusta",(IF($B221="","Arabica",$B221))&amp;" - "&amp;(IF($C221="","Commercial",$C221))),Variables!$B$1:$D$1,0),1)))*22.0462)*(L221/16.67),""))</f>
        <v>727961.02747450501</v>
      </c>
      <c r="X221" s="55" t="s">
        <v>37</v>
      </c>
      <c r="Y221" s="13" t="str">
        <f>IF($AX221="Cancelled","",IF(X221="","",IFERROR(IF(INDEX(Variables!$B$38:$B$47,MATCH(X221,Variables!$A$38:$A$47,0))="Yes","Yes","No"),"No")))</f>
        <v>Yes</v>
      </c>
      <c r="Z221" s="58">
        <v>45722</v>
      </c>
      <c r="AB221" s="31">
        <v>45727</v>
      </c>
      <c r="AC221" s="13" t="str">
        <f t="shared" si="9"/>
        <v>Approved</v>
      </c>
      <c r="AF221" s="71">
        <v>45758</v>
      </c>
      <c r="AG221" s="35">
        <f>IF($AX221="Cancelled","",IFERROR(IF(F221="","",F221-Variables!$B$13),""))</f>
        <v>45762</v>
      </c>
      <c r="AH221" s="13">
        <f>IF($AX221="Cancelled","",IFERROR(IF(AB221="","",(AVERAGE(E221:F221)-AB221)-Variables!$B$14),""))</f>
        <v>5.5</v>
      </c>
      <c r="AJ221" s="47">
        <v>45759</v>
      </c>
      <c r="AK221" s="14">
        <f>IF($AX221="Cancelled","",IFERROR(IF(AJ221="","",IF(AND(AB221="",AF221=""),"",IF(AF221&gt;AB221,AF221+Variables!$B$15+Variables!$B$16+Variables!$B$17-AJ221,AB221+Variables!$B$16+Variables!$B$17-AJ221))),""))</f>
        <v>14</v>
      </c>
      <c r="AL221" s="48" t="s">
        <v>350</v>
      </c>
      <c r="AM221" s="13" t="s">
        <v>141</v>
      </c>
      <c r="AN221" s="13" t="s">
        <v>749</v>
      </c>
      <c r="AP221" s="31">
        <v>45773</v>
      </c>
      <c r="AR221" s="13" t="s">
        <v>768</v>
      </c>
      <c r="AS221" s="31">
        <v>45773</v>
      </c>
      <c r="AU221" s="31">
        <v>45782</v>
      </c>
      <c r="AV221" s="13" t="s">
        <v>865</v>
      </c>
      <c r="AW221" s="31">
        <v>45786</v>
      </c>
      <c r="AX221" s="13" t="str">
        <f>IF(ISNUMBER(SEARCH("cancel",#REF!)),"Cancelled",IF(AND(AS221&lt;&gt;"",AU221&lt;&gt;"",AW221&lt;&gt;""),"Closed","Open"))</f>
        <v>Closed</v>
      </c>
      <c r="AY221" s="15" t="str">
        <f t="shared" si="10"/>
        <v>All dates received</v>
      </c>
      <c r="BD221" s="13">
        <f>IF($AX221="Cancelled","",IFERROR(IF(OR(AS221="",AJ221=""),"",(AJ221+Variables!$B$18-AS221)),""))</f>
        <v>1</v>
      </c>
      <c r="BE221" s="13">
        <f>IF($AX221="Cancelled","",IFERROR(IF(OR(AW221="",AS221=""),"",(AS221+Variables!$B$19)-AW221),""))</f>
        <v>-8</v>
      </c>
      <c r="BF221" s="44">
        <f>IF($AX221="Cancelled","",IFERROR(W221*INDEX(Variables!$B$7:$D$7,IFERROR(MATCH(IF($B221="Robusta","Robusta",(IF($B221="","Arabica",$B221))&amp;" - "&amp;(IF($C221="","Commercial",$C221))),Variables!$B$1:$D$1,0),1))*(BE221/365),""))</f>
        <v>-1028.833502812417</v>
      </c>
      <c r="BG221" s="44">
        <f>IF($AX221="Cancelled","",IFERROR((W221*INDEX(Variables!$B$7:$D$7,IFERROR(MATCH(IF($B221="Robusta","Robusta",(IF($B221="","Arabica",$B221))&amp;" - "&amp;(IF($C221="","Commercial",$C221))),Variables!$B$1:$D$1,0),1))*IFERROR(IF(AB221="","",(AVERAGE(E221:F221)-AB221)-Variables!$B$14),"")/365)+(L221/16.67*INDEX(Variables!$B$8:$D$8,IFERROR(MATCH(IF($B221="Robusta","Robusta",(IF($B221="","Arabica",$B221))&amp;" - "&amp;(IF($C221="","Commercial",$C221))),Variables!$B$1:$D$1,0),1))*IFERROR(IF(AB221="","",(AVERAGE(E221:F221)-AB221)-Variables!$B$14),""))+(W221*INDEX(Variables!$B$9:$D$9,IFERROR(MATCH(IF($B221="Robusta","Robusta",(IF($B221="","Arabica",$B221))&amp;" - "&amp;(IF($C221="","Commercial",$C221))),Variables!$B$1:$D$1,0),1))*IFERROR(IF(AB221="","",(AVERAGE(E221:F221)-AB221)-Variables!$B$14),"")/365),""))</f>
        <v>1211.441792119886</v>
      </c>
      <c r="BH221" s="44">
        <f>IF($AX221="Cancelled","",IFERROR((W221*INDEX(Variables!$B$7:$D$7,IFERROR(MATCH(IF($B221="Robusta","Robusta",(IF($B221="","Arabica",$B221))&amp;" - "&amp;(IF($C221="","Commercial",$C221))),Variables!$B$1:$D$1,0),1))*AK221/365)+(L221/16.67*INDEX(Variables!$B$8:$D$8,IFERROR(MATCH(IF($B221="Robusta","Robusta",(IF($B221="","Arabica",$B221))&amp;" - "&amp;(IF($C221="","Commercial",$C221))),Variables!$B$1:$D$1,0),1))*AK221)+(W221*INDEX(Variables!$B$9:$D$9,IFERROR(MATCH(IF($B221="Robusta","Robusta",(IF($B221="","Arabica",$B221))&amp;" - "&amp;(IF($C221="","Commercial",$C221))),Variables!$B$1:$D$1,0),1))*AK221/365),""))</f>
        <v>3083.6700163051651</v>
      </c>
      <c r="BI221" s="44">
        <f>IF($AX221="Cancelled","",IFERROR((W221*INDEX(Variables!$B$7:$D$7,IFERROR(MATCH(IF($B221="Robusta","Robusta",(IF($B221="","Arabica",$B221))&amp;" - "&amp;(IF($C221="","Commercial",$C221))),Variables!$B$1:$D$1,0),1))*BD221/365)+(L221/16.67*INDEX(Variables!$B$8:$D$8,IFERROR(MATCH(IF($B221="Robusta","Robusta",(IF($B221="","Arabica",$B221))&amp;" - "&amp;(IF($C221="","Commercial",$C221))),Variables!$B$1:$D$1,0),1))*BD221)+(W221*INDEX(Variables!$B$9:$D$9,IFERROR(MATCH(IF($B221="Robusta","Robusta",(IF($B221="","Arabica",$B221))&amp;" - "&amp;(IF($C221="","Commercial",$C221))),Variables!$B$1:$D$1,0),1))*BD221/365),""))</f>
        <v>220.2621440217975</v>
      </c>
      <c r="BJ221" s="44">
        <f t="shared" si="11"/>
        <v>4</v>
      </c>
      <c r="BK221" s="44">
        <f>IF($AX221="Cancelled","",IFERROR(IF(BJ221="","",(W221*INDEX(Variables!$B$7:$D$7,IFERROR(MATCH(IF($B221="Robusta","Robusta",(IF($B221="","Arabica",$B221))&amp;" - "&amp;(IF($C221="","Commercial",$C221))),Variables!$B$1:$D$1,0),1))*(BJ221/365))+(W221*INDEX(Variables!$B$9:$D$9,IFERROR(MATCH(IF($B221="Robusta","Robusta",(IF($B221="","Arabica",$B221))&amp;" - "&amp;(IF($C221="","Commercial",$C221))),Variables!$B$1:$D$1,0),1))*(BJ221/365))+(INDEX(Variables!$B$8:$D$8,IFERROR(MATCH(IF($B221="Robusta","Robusta",(IF($B221="","Arabica",$B221))&amp;" - "&amp;(IF($C221="","Commercial",$C221))),Variables!$B$1:$D$1,0),1))*L221/16.67)),""))</f>
        <v>611.04857608718999</v>
      </c>
    </row>
    <row r="222" spans="1:63">
      <c r="A222" s="13" t="s">
        <v>103</v>
      </c>
      <c r="B222" s="13" t="s">
        <v>104</v>
      </c>
      <c r="C222" s="13" t="s">
        <v>292</v>
      </c>
      <c r="D222" s="31">
        <v>45706</v>
      </c>
      <c r="E222" s="31">
        <v>45717</v>
      </c>
      <c r="F222" s="31">
        <v>45747</v>
      </c>
      <c r="G222" s="13">
        <v>3786710</v>
      </c>
      <c r="J222" s="13" t="s">
        <v>294</v>
      </c>
      <c r="K222" s="13" t="s">
        <v>769</v>
      </c>
      <c r="L222" s="13">
        <v>27</v>
      </c>
      <c r="M222" s="13">
        <v>0</v>
      </c>
      <c r="N222" s="13" t="s">
        <v>770</v>
      </c>
      <c r="O222" s="13" t="s">
        <v>771</v>
      </c>
      <c r="P222" s="13">
        <v>10010</v>
      </c>
      <c r="R222" s="13" t="s">
        <v>384</v>
      </c>
      <c r="S222" s="13" t="s">
        <v>299</v>
      </c>
      <c r="T222" s="13" t="s">
        <v>305</v>
      </c>
      <c r="U222" s="13" t="s">
        <v>125</v>
      </c>
      <c r="V222" s="13">
        <v>28</v>
      </c>
      <c r="W222" s="44">
        <f>IF($AX222="Cancelled","",IFERROR(((V222+INDEX(Variables!$B$6:$D$6,IFERROR(MATCH(IF($B222="Robusta","Robusta",(IF($B222="","Arabica",$B222))&amp;" - "&amp;(IF($C222="","Commercial",$C222))),Variables!$B$1:$D$1,0),1)))*22.0462)*(L222/16.67),""))</f>
        <v>11383.615544091181</v>
      </c>
      <c r="X222" s="55" t="s">
        <v>39</v>
      </c>
      <c r="Y222" s="13" t="str">
        <f>IF($AX222="Cancelled","",IF(X222="","",IFERROR(IF(INDEX(Variables!$B$38:$B$47,MATCH(X222,Variables!$A$38:$A$47,0))="Yes","Yes","No"),"No")))</f>
        <v>No</v>
      </c>
      <c r="Z222" s="31"/>
      <c r="AB222" s="31">
        <v>45689.875</v>
      </c>
      <c r="AC222" s="13" t="str">
        <f t="shared" si="9"/>
        <v>Approved</v>
      </c>
      <c r="AF222" s="71">
        <f>AJ222-7</f>
        <v>45716</v>
      </c>
      <c r="AG222" s="36">
        <f>IF($AX222="Cancelled","",IFERROR(IF(F222="","",F222-Variables!$B$13),""))</f>
        <v>45732</v>
      </c>
      <c r="AH222" s="13">
        <f>IF($AX222="Cancelled","",IFERROR(IF(AB222="","",(AVERAGE(E222:F222)-AB222)-Variables!$B$14),""))</f>
        <v>12.125</v>
      </c>
      <c r="AJ222" s="47">
        <v>45723</v>
      </c>
      <c r="AK222" s="14">
        <f>IF($AX222="Cancelled","",IFERROR(IF(AJ222="","",IF(AND(AB222="",AF222=""),"",IF(AF222&gt;AB222,AF222+Variables!$B$15+Variables!$B$16+Variables!$B$17-AJ222,AB222+Variables!$B$16+Variables!$B$17-AJ222))),""))</f>
        <v>8</v>
      </c>
      <c r="AL222" s="48" t="s">
        <v>114</v>
      </c>
      <c r="AM222" s="13" t="s">
        <v>115</v>
      </c>
      <c r="AN222" s="13" t="s">
        <v>370</v>
      </c>
      <c r="AP222" s="31">
        <v>45370</v>
      </c>
      <c r="AR222" s="13">
        <v>251075753</v>
      </c>
      <c r="AS222" s="31">
        <v>45373</v>
      </c>
      <c r="AU222" s="31">
        <v>45379</v>
      </c>
      <c r="AV222" s="13" t="s">
        <v>3267</v>
      </c>
      <c r="AW222" s="31">
        <v>45759</v>
      </c>
      <c r="AX222" s="13" t="str">
        <f>IF(ISNUMBER(SEARCH("cancel",#REF!)),"Cancelled",IF(AND(AS222&lt;&gt;"",AU222&lt;&gt;"",AW222&lt;&gt;""),"Closed","Open"))</f>
        <v>Closed</v>
      </c>
      <c r="AY222" s="15" t="str">
        <f t="shared" si="10"/>
        <v>All dates received</v>
      </c>
      <c r="BD222" s="13">
        <f>IF($AX222="Cancelled","",IFERROR(IF(OR(AS222="",AJ222=""),"",(AJ222+Variables!$B$18-AS222)),""))</f>
        <v>365</v>
      </c>
      <c r="BE222" s="13">
        <f>IF($AX222="Cancelled","",IFERROR(IF(OR(AW222="",AS222=""),"",(AS222+Variables!$B$19)-AW222),""))</f>
        <v>-381</v>
      </c>
      <c r="BF222" s="44">
        <f>IF($AX222="Cancelled","",IFERROR(W222*INDEX(Variables!$B$7:$D$7,IFERROR(MATCH(IF($B222="Robusta","Robusta",(IF($B222="","Arabica",$B222))&amp;" - "&amp;(IF($C222="","Commercial",$C222))),Variables!$B$1:$D$1,0),1))*(BE222/365),""))</f>
        <v>-766.21769529964877</v>
      </c>
      <c r="BG222" s="44">
        <f>IF($AX222="Cancelled","",IFERROR((W222*INDEX(Variables!$B$7:$D$7,IFERROR(MATCH(IF($B222="Robusta","Robusta",(IF($B222="","Arabica",$B222))&amp;" - "&amp;(IF($C222="","Commercial",$C222))),Variables!$B$1:$D$1,0),1))*IFERROR(IF(AB222="","",(AVERAGE(E222:F222)-AB222)-Variables!$B$14),"")/365)+(L222/16.67*INDEX(Variables!$B$8:$D$8,IFERROR(MATCH(IF($B222="Robusta","Robusta",(IF($B222="","Arabica",$B222))&amp;" - "&amp;(IF($C222="","Commercial",$C222))),Variables!$B$1:$D$1,0),1))*IFERROR(IF(AB222="","",(AVERAGE(E222:F222)-AB222)-Variables!$B$14),""))+(W222*INDEX(Variables!$B$9:$D$9,IFERROR(MATCH(IF($B222="Robusta","Robusta",(IF($B222="","Arabica",$B222))&amp;" - "&amp;(IF($C222="","Commercial",$C222))),Variables!$B$1:$D$1,0),1))*IFERROR(IF(AB222="","",(AVERAGE(E222:F222)-AB222)-Variables!$B$14),"")/365),""))</f>
        <v>41.067334267939366</v>
      </c>
      <c r="BH222" s="44">
        <f>IF($AX222="Cancelled","",IFERROR((W222*INDEX(Variables!$B$7:$D$7,IFERROR(MATCH(IF($B222="Robusta","Robusta",(IF($B222="","Arabica",$B222))&amp;" - "&amp;(IF($C222="","Commercial",$C222))),Variables!$B$1:$D$1,0),1))*AK222/365)+(L222/16.67*INDEX(Variables!$B$8:$D$8,IFERROR(MATCH(IF($B222="Robusta","Robusta",(IF($B222="","Arabica",$B222))&amp;" - "&amp;(IF($C222="","Commercial",$C222))),Variables!$B$1:$D$1,0),1))*AK222)+(W222*INDEX(Variables!$B$9:$D$9,IFERROR(MATCH(IF($B222="Robusta","Robusta",(IF($B222="","Arabica",$B222))&amp;" - "&amp;(IF($C222="","Commercial",$C222))),Variables!$B$1:$D$1,0),1))*AK222/365),""))</f>
        <v>27.095973125238341</v>
      </c>
      <c r="BI222" s="44">
        <f>IF($AX222="Cancelled","",IFERROR((W222*INDEX(Variables!$B$7:$D$7,IFERROR(MATCH(IF($B222="Robusta","Robusta",(IF($B222="","Arabica",$B222))&amp;" - "&amp;(IF($C222="","Commercial",$C222))),Variables!$B$1:$D$1,0),1))*BD222/365)+(L222/16.67*INDEX(Variables!$B$8:$D$8,IFERROR(MATCH(IF($B222="Robusta","Robusta",(IF($B222="","Arabica",$B222))&amp;" - "&amp;(IF($C222="","Commercial",$C222))),Variables!$B$1:$D$1,0),1))*BD222)+(W222*INDEX(Variables!$B$9:$D$9,IFERROR(MATCH(IF($B222="Robusta","Robusta",(IF($B222="","Arabica",$B222))&amp;" - "&amp;(IF($C222="","Commercial",$C222))),Variables!$B$1:$D$1,0),1))*BD222/365),""))</f>
        <v>1236.2537738389992</v>
      </c>
      <c r="BJ222" s="44">
        <f t="shared" si="11"/>
        <v>374</v>
      </c>
      <c r="BK222" s="44">
        <f>IF($AX222="Cancelled","",IFERROR(IF(BJ222="","",(W222*INDEX(Variables!$B$7:$D$7,IFERROR(MATCH(IF($B222="Robusta","Robusta",(IF($B222="","Arabica",$B222))&amp;" - "&amp;(IF($C222="","Commercial",$C222))),Variables!$B$1:$D$1,0),1))*(BJ222/365))+(W222*INDEX(Variables!$B$9:$D$9,IFERROR(MATCH(IF($B222="Robusta","Robusta",(IF($B222="","Arabica",$B222))&amp;" - "&amp;(IF($C222="","Commercial",$C222))),Variables!$B$1:$D$1,0),1))*(BJ222/365))+(INDEX(Variables!$B$8:$D$8,IFERROR(MATCH(IF($B222="Robusta","Robusta",(IF($B222="","Arabica",$B222))&amp;" - "&amp;(IF($C222="","Commercial",$C222))),Variables!$B$1:$D$1,0),1))*L222/16.67)),""))</f>
        <v>763.1867436048924</v>
      </c>
    </row>
    <row r="223" spans="1:63">
      <c r="A223" s="13" t="s">
        <v>103</v>
      </c>
      <c r="B223" s="13" t="s">
        <v>104</v>
      </c>
      <c r="C223" s="13" t="s">
        <v>105</v>
      </c>
      <c r="D223" s="31">
        <v>45707</v>
      </c>
      <c r="E223" s="31">
        <v>45717</v>
      </c>
      <c r="F223" s="31">
        <v>45747</v>
      </c>
      <c r="G223" s="13">
        <v>3786711</v>
      </c>
      <c r="H223" s="13" t="s">
        <v>772</v>
      </c>
      <c r="J223" s="13" t="s">
        <v>773</v>
      </c>
      <c r="K223" s="13">
        <v>5201</v>
      </c>
      <c r="L223" s="13">
        <v>320</v>
      </c>
      <c r="M223" s="13">
        <v>1</v>
      </c>
      <c r="N223" s="13" t="s">
        <v>774</v>
      </c>
      <c r="O223" s="13" t="s">
        <v>775</v>
      </c>
      <c r="P223" s="13">
        <v>10030</v>
      </c>
      <c r="R223" s="13" t="s">
        <v>239</v>
      </c>
      <c r="S223" s="13" t="s">
        <v>776</v>
      </c>
      <c r="T223" s="13" t="s">
        <v>777</v>
      </c>
      <c r="U223" s="13" t="s">
        <v>125</v>
      </c>
      <c r="V223" s="13">
        <v>10</v>
      </c>
      <c r="W223" s="44">
        <f>IF($AX223="Cancelled","",IFERROR(((V223+INDEX(Variables!$B$6:$D$6,IFERROR(MATCH(IF($B223="Robusta","Robusta",(IF($B223="","Arabica",$B223))&amp;" - "&amp;(IF($C223="","Commercial",$C223))),Variables!$B$1:$D$1,0),1)))*22.0462)*(L223/16.67),""))</f>
        <v>127299.28177564485</v>
      </c>
      <c r="X223" s="55" t="s">
        <v>37</v>
      </c>
      <c r="Y223" s="13" t="str">
        <f>IF($AX223="Cancelled","",IF(X223="","",IFERROR(IF(INDEX(Variables!$B$38:$B$47,MATCH(X223,Variables!$A$38:$A$47,0))="Yes","Yes","No"),"No")))</f>
        <v>Yes</v>
      </c>
      <c r="Z223" s="31" t="s">
        <v>778</v>
      </c>
      <c r="AB223" s="31" t="s">
        <v>778</v>
      </c>
      <c r="AC223" s="13" t="str">
        <f t="shared" si="9"/>
        <v/>
      </c>
      <c r="AF223" s="71">
        <v>45723</v>
      </c>
      <c r="AG223" s="35">
        <f>IF($AX223="Cancelled","",IFERROR(IF(F223="","",F223-Variables!$B$13),""))</f>
        <v>45732</v>
      </c>
      <c r="AH223" s="13" t="str">
        <f>IF($AX223="Cancelled","",IFERROR(IF(AB223="","",(AVERAGE(E223:F223)-AB223)-Variables!$B$14),""))</f>
        <v/>
      </c>
      <c r="AJ223" s="47">
        <v>45730</v>
      </c>
      <c r="AK223" s="14" t="str">
        <f>IF($AX223="Cancelled","",IFERROR(IF(AJ223="","",IF(AND(AB223="",AF223=""),"",IF(AF223&gt;AB223,AF223+Variables!$B$15+Variables!$B$16+Variables!$B$17-AJ223,AB223+Variables!$B$16+Variables!$B$17-AJ223))),""))</f>
        <v/>
      </c>
      <c r="AL223" s="48" t="s">
        <v>224</v>
      </c>
      <c r="AM223" s="13" t="s">
        <v>115</v>
      </c>
      <c r="AN223" s="13" t="s">
        <v>370</v>
      </c>
      <c r="AP223" s="31">
        <v>45738</v>
      </c>
      <c r="AR223" s="13">
        <v>250971025</v>
      </c>
      <c r="AS223" s="31">
        <v>45738</v>
      </c>
      <c r="AU223" s="31">
        <v>45744</v>
      </c>
      <c r="AV223" s="13" t="s">
        <v>779</v>
      </c>
      <c r="AW223" s="31">
        <v>45758</v>
      </c>
      <c r="AX223" s="13" t="str">
        <f>IF(ISNUMBER(SEARCH("cancel",#REF!)),"Cancelled",IF(AND(AS223&lt;&gt;"",AU223&lt;&gt;"",AW223&lt;&gt;""),"Closed","Open"))</f>
        <v>Closed</v>
      </c>
      <c r="AY223" s="15" t="str">
        <f t="shared" si="10"/>
        <v>All dates received</v>
      </c>
      <c r="BD223" s="13">
        <f>IF($AX223="Cancelled","",IFERROR(IF(OR(AS223="",AJ223=""),"",(AJ223+Variables!$B$18-AS223)),""))</f>
        <v>7</v>
      </c>
      <c r="BE223" s="13">
        <f>IF($AX223="Cancelled","",IFERROR(IF(OR(AW223="",AS223=""),"",(AS223+Variables!$B$19)-AW223),""))</f>
        <v>-15</v>
      </c>
      <c r="BF223" s="44">
        <f>IF($AX223="Cancelled","",IFERROR(W223*INDEX(Variables!$B$7:$D$7,IFERROR(MATCH(IF($B223="Robusta","Robusta",(IF($B223="","Arabica",$B223))&amp;" - "&amp;(IF($C223="","Commercial",$C223))),Variables!$B$1:$D$1,0),1))*(BE223/365),""))</f>
        <v>-337.33716769781449</v>
      </c>
      <c r="BG223" s="44" t="str">
        <f>IF($AX223="Cancelled","",IFERROR((W223*INDEX(Variables!$B$7:$D$7,IFERROR(MATCH(IF($B223="Robusta","Robusta",(IF($B223="","Arabica",$B223))&amp;" - "&amp;(IF($C223="","Commercial",$C223))),Variables!$B$1:$D$1,0),1))*IFERROR(IF(AB223="","",(AVERAGE(E223:F223)-AB223)-Variables!$B$14),"")/365)+(L223/16.67*INDEX(Variables!$B$8:$D$8,IFERROR(MATCH(IF($B223="Robusta","Robusta",(IF($B223="","Arabica",$B223))&amp;" - "&amp;(IF($C223="","Commercial",$C223))),Variables!$B$1:$D$1,0),1))*IFERROR(IF(AB223="","",(AVERAGE(E223:F223)-AB223)-Variables!$B$14),""))+(W223*INDEX(Variables!$B$9:$D$9,IFERROR(MATCH(IF($B223="Robusta","Robusta",(IF($B223="","Arabica",$B223))&amp;" - "&amp;(IF($C223="","Commercial",$C223))),Variables!$B$1:$D$1,0),1))*IFERROR(IF(AB223="","",(AVERAGE(E223:F223)-AB223)-Variables!$B$14),"")/365),""))</f>
        <v/>
      </c>
      <c r="BH223" s="44" t="str">
        <f>IF($AX223="Cancelled","",IFERROR((W223*INDEX(Variables!$B$7:$D$7,IFERROR(MATCH(IF($B223="Robusta","Robusta",(IF($B223="","Arabica",$B223))&amp;" - "&amp;(IF($C223="","Commercial",$C223))),Variables!$B$1:$D$1,0),1))*AK223/365)+(L223/16.67*INDEX(Variables!$B$8:$D$8,IFERROR(MATCH(IF($B223="Robusta","Robusta",(IF($B223="","Arabica",$B223))&amp;" - "&amp;(IF($C223="","Commercial",$C223))),Variables!$B$1:$D$1,0),1))*AK223)+(W223*INDEX(Variables!$B$9:$D$9,IFERROR(MATCH(IF($B223="Robusta","Robusta",(IF($B223="","Arabica",$B223))&amp;" - "&amp;(IF($C223="","Commercial",$C223))),Variables!$B$1:$D$1,0),1))*AK223/365),""))</f>
        <v/>
      </c>
      <c r="BI223" s="44">
        <f>IF($AX223="Cancelled","",IFERROR((W223*INDEX(Variables!$B$7:$D$7,IFERROR(MATCH(IF($B223="Robusta","Robusta",(IF($B223="","Arabica",$B223))&amp;" - "&amp;(IF($C223="","Commercial",$C223))),Variables!$B$1:$D$1,0),1))*BD223/365)+(L223/16.67*INDEX(Variables!$B$8:$D$8,IFERROR(MATCH(IF($B223="Robusta","Robusta",(IF($B223="","Arabica",$B223))&amp;" - "&amp;(IF($C223="","Commercial",$C223))),Variables!$B$1:$D$1,0),1))*BD223)+(W223*INDEX(Variables!$B$9:$D$9,IFERROR(MATCH(IF($B223="Robusta","Robusta",(IF($B223="","Arabica",$B223))&amp;" - "&amp;(IF($C223="","Commercial",$C223))),Variables!$B$1:$D$1,0),1))*BD223/365),""))</f>
        <v>271.45351090897276</v>
      </c>
      <c r="BJ223" s="44">
        <f t="shared" si="11"/>
        <v>9</v>
      </c>
      <c r="BK223" s="44">
        <f>IF($AX223="Cancelled","",IFERROR(IF(BJ223="","",(W223*INDEX(Variables!$B$7:$D$7,IFERROR(MATCH(IF($B223="Robusta","Robusta",(IF($B223="","Arabica",$B223))&amp;" - "&amp;(IF($C223="","Commercial",$C223))),Variables!$B$1:$D$1,0),1))*(BJ223/365))+(W223*INDEX(Variables!$B$9:$D$9,IFERROR(MATCH(IF($B223="Robusta","Robusta",(IF($B223="","Arabica",$B223))&amp;" - "&amp;(IF($C223="","Commercial",$C223))),Variables!$B$1:$D$1,0),1))*(BJ223/365))+(INDEX(Variables!$B$8:$D$8,IFERROR(MATCH(IF($B223="Robusta","Robusta",(IF($B223="","Arabica",$B223))&amp;" - "&amp;(IF($C223="","Commercial",$C223))),Variables!$B$1:$D$1,0),1))*L223/16.67)),""))</f>
        <v>221.01165688296499</v>
      </c>
    </row>
    <row r="224" spans="1:63">
      <c r="A224" s="13" t="s">
        <v>103</v>
      </c>
      <c r="B224" s="13" t="s">
        <v>104</v>
      </c>
      <c r="C224" s="13" t="s">
        <v>105</v>
      </c>
      <c r="D224" s="31">
        <v>45707</v>
      </c>
      <c r="E224" s="31">
        <v>45717</v>
      </c>
      <c r="F224" s="31">
        <v>45747</v>
      </c>
      <c r="G224" s="13">
        <v>3786712</v>
      </c>
      <c r="H224" s="13" t="s">
        <v>780</v>
      </c>
      <c r="J224" s="13" t="s">
        <v>773</v>
      </c>
      <c r="K224" s="13">
        <v>5202</v>
      </c>
      <c r="L224" s="13">
        <v>320</v>
      </c>
      <c r="M224" s="13">
        <v>1</v>
      </c>
      <c r="N224" s="13" t="s">
        <v>781</v>
      </c>
      <c r="O224" s="13" t="s">
        <v>584</v>
      </c>
      <c r="P224" s="13">
        <v>10040</v>
      </c>
      <c r="R224" s="13" t="s">
        <v>239</v>
      </c>
      <c r="S224" s="13" t="s">
        <v>776</v>
      </c>
      <c r="T224" s="13" t="s">
        <v>777</v>
      </c>
      <c r="U224" s="13" t="s">
        <v>125</v>
      </c>
      <c r="V224" s="13">
        <v>44.23</v>
      </c>
      <c r="W224" s="44">
        <f>IF($AX224="Cancelled","",IFERROR(((V224+INDEX(Variables!$B$6:$D$6,IFERROR(MATCH(IF($B224="Robusta","Robusta",(IF($B224="","Arabica",$B224))&amp;" - "&amp;(IF($C224="","Commercial",$C224))),Variables!$B$1:$D$1,0),1)))*22.0462)*(L224/16.67),""))</f>
        <v>141785.49991121775</v>
      </c>
      <c r="X224" s="55" t="s">
        <v>37</v>
      </c>
      <c r="Y224" s="13" t="str">
        <f>IF($AX224="Cancelled","",IF(X224="","",IFERROR(IF(INDEX(Variables!$B$38:$B$47,MATCH(X224,Variables!$A$38:$A$47,0))="Yes","Yes","No"),"No")))</f>
        <v>Yes</v>
      </c>
      <c r="Z224" s="31" t="s">
        <v>778</v>
      </c>
      <c r="AB224" s="31" t="s">
        <v>778</v>
      </c>
      <c r="AC224" s="13" t="str">
        <f t="shared" si="9"/>
        <v/>
      </c>
      <c r="AF224" s="71">
        <v>45723</v>
      </c>
      <c r="AG224" s="35">
        <f>IF($AX224="Cancelled","",IFERROR(IF(F224="","",F224-Variables!$B$13),""))</f>
        <v>45732</v>
      </c>
      <c r="AH224" s="13" t="str">
        <f>IF($AX224="Cancelled","",IFERROR(IF(AB224="","",(AVERAGE(E224:F224)-AB224)-Variables!$B$14),""))</f>
        <v/>
      </c>
      <c r="AJ224" s="47">
        <v>45728</v>
      </c>
      <c r="AK224" s="14" t="str">
        <f>IF($AX224="Cancelled","",IFERROR(IF(AJ224="","",IF(AND(AB224="",AF224=""),"",IF(AF224&gt;AB224,AF224+Variables!$B$15+Variables!$B$16+Variables!$B$17-AJ224,AB224+Variables!$B$16+Variables!$B$17-AJ224))),""))</f>
        <v/>
      </c>
      <c r="AL224" s="48" t="s">
        <v>224</v>
      </c>
      <c r="AM224" s="13" t="s">
        <v>115</v>
      </c>
      <c r="AN224" s="13" t="s">
        <v>370</v>
      </c>
      <c r="AP224" s="31">
        <v>45738</v>
      </c>
      <c r="AR224" s="13">
        <v>250971091</v>
      </c>
      <c r="AS224" s="31">
        <v>45738</v>
      </c>
      <c r="AU224" s="31">
        <v>45744</v>
      </c>
      <c r="AV224" s="13" t="s">
        <v>779</v>
      </c>
      <c r="AW224" s="31">
        <v>45758</v>
      </c>
      <c r="AX224" s="13" t="str">
        <f>IF(ISNUMBER(SEARCH("cancel",#REF!)),"Cancelled",IF(AND(AS224&lt;&gt;"",AU224&lt;&gt;"",AW224&lt;&gt;""),"Closed","Open"))</f>
        <v>Closed</v>
      </c>
      <c r="AY224" s="15" t="str">
        <f t="shared" si="10"/>
        <v>All dates received</v>
      </c>
      <c r="BD224" s="13">
        <f>IF($AX224="Cancelled","",IFERROR(IF(OR(AS224="",AJ224=""),"",(AJ224+Variables!$B$18-AS224)),""))</f>
        <v>5</v>
      </c>
      <c r="BE224" s="13">
        <f>IF($AX224="Cancelled","",IFERROR(IF(OR(AW224="",AS224=""),"",(AS224+Variables!$B$19)-AW224),""))</f>
        <v>-15</v>
      </c>
      <c r="BF224" s="44">
        <f>IF($AX224="Cancelled","",IFERROR(W224*INDEX(Variables!$B$7:$D$7,IFERROR(MATCH(IF($B224="Robusta","Robusta",(IF($B224="","Arabica",$B224))&amp;" - "&amp;(IF($C224="","Commercial",$C224))),Variables!$B$1:$D$1,0),1))*(BE224/365),""))</f>
        <v>-375.724971056512</v>
      </c>
      <c r="BG224" s="44" t="str">
        <f>IF($AX224="Cancelled","",IFERROR((W224*INDEX(Variables!$B$7:$D$7,IFERROR(MATCH(IF($B224="Robusta","Robusta",(IF($B224="","Arabica",$B224))&amp;" - "&amp;(IF($C224="","Commercial",$C224))),Variables!$B$1:$D$1,0),1))*IFERROR(IF(AB224="","",(AVERAGE(E224:F224)-AB224)-Variables!$B$14),"")/365)+(L224/16.67*INDEX(Variables!$B$8:$D$8,IFERROR(MATCH(IF($B224="Robusta","Robusta",(IF($B224="","Arabica",$B224))&amp;" - "&amp;(IF($C224="","Commercial",$C224))),Variables!$B$1:$D$1,0),1))*IFERROR(IF(AB224="","",(AVERAGE(E224:F224)-AB224)-Variables!$B$14),""))+(W224*INDEX(Variables!$B$9:$D$9,IFERROR(MATCH(IF($B224="Robusta","Robusta",(IF($B224="","Arabica",$B224))&amp;" - "&amp;(IF($C224="","Commercial",$C224))),Variables!$B$1:$D$1,0),1))*IFERROR(IF(AB224="","",(AVERAGE(E224:F224)-AB224)-Variables!$B$14),"")/365),""))</f>
        <v/>
      </c>
      <c r="BH224" s="44" t="str">
        <f>IF($AX224="Cancelled","",IFERROR((W224*INDEX(Variables!$B$7:$D$7,IFERROR(MATCH(IF($B224="Robusta","Robusta",(IF($B224="","Arabica",$B224))&amp;" - "&amp;(IF($C224="","Commercial",$C224))),Variables!$B$1:$D$1,0),1))*AK224/365)+(L224/16.67*INDEX(Variables!$B$8:$D$8,IFERROR(MATCH(IF($B224="Robusta","Robusta",(IF($B224="","Arabica",$B224))&amp;" - "&amp;(IF($C224="","Commercial",$C224))),Variables!$B$1:$D$1,0),1))*AK224)+(W224*INDEX(Variables!$B$9:$D$9,IFERROR(MATCH(IF($B224="Robusta","Robusta",(IF($B224="","Arabica",$B224))&amp;" - "&amp;(IF($C224="","Commercial",$C224))),Variables!$B$1:$D$1,0),1))*AK224/365),""))</f>
        <v/>
      </c>
      <c r="BI224" s="44">
        <f>IF($AX224="Cancelled","",IFERROR((W224*INDEX(Variables!$B$7:$D$7,IFERROR(MATCH(IF($B224="Robusta","Robusta",(IF($B224="","Arabica",$B224))&amp;" - "&amp;(IF($C224="","Commercial",$C224))),Variables!$B$1:$D$1,0),1))*BD224/365)+(L224/16.67*INDEX(Variables!$B$8:$D$8,IFERROR(MATCH(IF($B224="Robusta","Robusta",(IF($B224="","Arabica",$B224))&amp;" - "&amp;(IF($C224="","Commercial",$C224))),Variables!$B$1:$D$1,0),1))*BD224)+(W224*INDEX(Variables!$B$9:$D$9,IFERROR(MATCH(IF($B224="Robusta","Robusta",(IF($B224="","Arabica",$B224))&amp;" - "&amp;(IF($C224="","Commercial",$C224))),Variables!$B$1:$D$1,0),1))*BD224/365),""))</f>
        <v>206.85626367741537</v>
      </c>
      <c r="BJ224" s="44">
        <f t="shared" si="11"/>
        <v>9</v>
      </c>
      <c r="BK224" s="44">
        <f>IF($AX224="Cancelled","",IFERROR(IF(BJ224="","",(W224*INDEX(Variables!$B$7:$D$7,IFERROR(MATCH(IF($B224="Robusta","Robusta",(IF($B224="","Arabica",$B224))&amp;" - "&amp;(IF($C224="","Commercial",$C224))),Variables!$B$1:$D$1,0),1))*(BJ224/365))+(W224*INDEX(Variables!$B$9:$D$9,IFERROR(MATCH(IF($B224="Robusta","Robusta",(IF($B224="","Arabica",$B224))&amp;" - "&amp;(IF($C224="","Commercial",$C224))),Variables!$B$1:$D$1,0),1))*(BJ224/365))+(INDEX(Variables!$B$8:$D$8,IFERROR(MATCH(IF($B224="Robusta","Robusta",(IF($B224="","Arabica",$B224))&amp;" - "&amp;(IF($C224="","Commercial",$C224))),Variables!$B$1:$D$1,0),1))*L224/16.67)),""))</f>
        <v>244.34127461934764</v>
      </c>
    </row>
    <row r="225" spans="1:63">
      <c r="A225" s="13" t="s">
        <v>103</v>
      </c>
      <c r="B225" s="13" t="s">
        <v>104</v>
      </c>
      <c r="C225" s="13" t="s">
        <v>105</v>
      </c>
      <c r="D225" s="31">
        <v>45707</v>
      </c>
      <c r="E225" s="31">
        <v>45839</v>
      </c>
      <c r="F225" s="31">
        <v>45869</v>
      </c>
      <c r="G225" s="13">
        <v>3786713</v>
      </c>
      <c r="H225" s="13" t="s">
        <v>782</v>
      </c>
      <c r="J225" s="13" t="s">
        <v>773</v>
      </c>
      <c r="K225" s="13">
        <v>5303</v>
      </c>
      <c r="L225" s="13">
        <v>320</v>
      </c>
      <c r="M225" s="13">
        <v>1</v>
      </c>
      <c r="N225" s="13" t="s">
        <v>783</v>
      </c>
      <c r="O225" s="13" t="s">
        <v>418</v>
      </c>
      <c r="P225" s="13">
        <v>10070</v>
      </c>
      <c r="R225" s="13" t="s">
        <v>239</v>
      </c>
      <c r="S225" s="13" t="s">
        <v>776</v>
      </c>
      <c r="T225" s="13" t="s">
        <v>777</v>
      </c>
      <c r="U225" s="13" t="s">
        <v>125</v>
      </c>
      <c r="V225" s="13">
        <v>-30</v>
      </c>
      <c r="W225" s="44">
        <f>IF($AX225="Cancelled","",IFERROR(((V225+INDEX(Variables!$B$6:$D$6,IFERROR(MATCH(IF($B225="Robusta","Robusta",(IF($B225="","Arabica",$B225))&amp;" - "&amp;(IF($C225="","Commercial",$C225))),Variables!$B$1:$D$1,0),1)))*22.0462)*(L225/16.67),""))</f>
        <v>110371.18579484102</v>
      </c>
      <c r="X225" s="55" t="s">
        <v>37</v>
      </c>
      <c r="Y225" s="13" t="str">
        <f>IF($AX225="Cancelled","",IF(X225="","",IFERROR(IF(INDEX(Variables!$B$38:$B$47,MATCH(X225,Variables!$A$38:$A$47,0))="Yes","Yes","No"),"No")))</f>
        <v>Yes</v>
      </c>
      <c r="Z225" s="31" t="s">
        <v>443</v>
      </c>
      <c r="AB225" s="31" t="s">
        <v>443</v>
      </c>
      <c r="AC225" s="13" t="str">
        <f t="shared" si="9"/>
        <v/>
      </c>
      <c r="AF225" s="71">
        <f>AJ225-7</f>
        <v>45827</v>
      </c>
      <c r="AG225" s="35">
        <f>IF($AX225="Cancelled","",IFERROR(IF(F225="","",F225-Variables!$B$13),""))</f>
        <v>45854</v>
      </c>
      <c r="AH225" s="13" t="str">
        <f>IF($AX225="Cancelled","",IFERROR(IF(AB225="","",(AVERAGE(E225:F225)-AB225)-Variables!$B$14),""))</f>
        <v/>
      </c>
      <c r="AJ225" s="47">
        <v>45834</v>
      </c>
      <c r="AK225" s="14" t="str">
        <f>IF($AX225="Cancelled","",IFERROR(IF(AJ225="","",IF(AND(AB225="",AF225=""),"",IF(AF225&gt;AB225,AF225+Variables!$B$15+Variables!$B$16+Variables!$B$17-AJ225,AB225+Variables!$B$16+Variables!$B$17-AJ225))),""))</f>
        <v/>
      </c>
      <c r="AL225" s="48" t="s">
        <v>114</v>
      </c>
      <c r="AM225" s="13" t="s">
        <v>168</v>
      </c>
      <c r="AN225" s="13" t="s">
        <v>784</v>
      </c>
      <c r="AP225" s="31">
        <v>45844</v>
      </c>
      <c r="AR225" s="13" t="s">
        <v>785</v>
      </c>
      <c r="AS225" s="31">
        <v>45844</v>
      </c>
      <c r="AU225" s="31">
        <v>45848</v>
      </c>
      <c r="AV225" s="13" t="s">
        <v>786</v>
      </c>
      <c r="AW225" s="31">
        <v>45853</v>
      </c>
      <c r="AX225" s="13" t="str">
        <f>IF(ISNUMBER(SEARCH("cancel",#REF!)),"Cancelled",IF(AND(AS225&lt;&gt;"",AU225&lt;&gt;"",AW225&lt;&gt;""),"Closed","Open"))</f>
        <v>Closed</v>
      </c>
      <c r="AY225" s="15" t="str">
        <f t="shared" si="10"/>
        <v>All dates received</v>
      </c>
      <c r="BD225" s="13">
        <f>IF($AX225="Cancelled","",IFERROR(IF(OR(AS225="",AJ225=""),"",(AJ225+Variables!$B$18-AS225)),""))</f>
        <v>5</v>
      </c>
      <c r="BE225" s="13">
        <f>IF($AX225="Cancelled","",IFERROR(IF(OR(AW225="",AS225=""),"",(AS225+Variables!$B$19)-AW225),""))</f>
        <v>-4</v>
      </c>
      <c r="BF225" s="44">
        <f>IF($AX225="Cancelled","",IFERROR(W225*INDEX(Variables!$B$7:$D$7,IFERROR(MATCH(IF($B225="Robusta","Robusta",(IF($B225="","Arabica",$B225))&amp;" - "&amp;(IF($C225="","Commercial",$C225))),Variables!$B$1:$D$1,0),1))*(BE225/365),""))</f>
        <v>-77.994267141480535</v>
      </c>
      <c r="BG225" s="44" t="str">
        <f>IF($AX225="Cancelled","",IFERROR((W225*INDEX(Variables!$B$7:$D$7,IFERROR(MATCH(IF($B225="Robusta","Robusta",(IF($B225="","Arabica",$B225))&amp;" - "&amp;(IF($C225="","Commercial",$C225))),Variables!$B$1:$D$1,0),1))*IFERROR(IF(AB225="","",(AVERAGE(E225:F225)-AB225)-Variables!$B$14),"")/365)+(L225/16.67*INDEX(Variables!$B$8:$D$8,IFERROR(MATCH(IF($B225="Robusta","Robusta",(IF($B225="","Arabica",$B225))&amp;" - "&amp;(IF($C225="","Commercial",$C225))),Variables!$B$1:$D$1,0),1))*IFERROR(IF(AB225="","",(AVERAGE(E225:F225)-AB225)-Variables!$B$14),""))+(W225*INDEX(Variables!$B$9:$D$9,IFERROR(MATCH(IF($B225="Robusta","Robusta",(IF($B225="","Arabica",$B225))&amp;" - "&amp;(IF($C225="","Commercial",$C225))),Variables!$B$1:$D$1,0),1))*IFERROR(IF(AB225="","",(AVERAGE(E225:F225)-AB225)-Variables!$B$14),"")/365),""))</f>
        <v/>
      </c>
      <c r="BH225" s="44" t="str">
        <f>IF($AX225="Cancelled","",IFERROR((W225*INDEX(Variables!$B$7:$D$7,IFERROR(MATCH(IF($B225="Robusta","Robusta",(IF($B225="","Arabica",$B225))&amp;" - "&amp;(IF($C225="","Commercial",$C225))),Variables!$B$1:$D$1,0),1))*AK225/365)+(L225/16.67*INDEX(Variables!$B$8:$D$8,IFERROR(MATCH(IF($B225="Robusta","Robusta",(IF($B225="","Arabica",$B225))&amp;" - "&amp;(IF($C225="","Commercial",$C225))),Variables!$B$1:$D$1,0),1))*AK225)+(W225*INDEX(Variables!$B$9:$D$9,IFERROR(MATCH(IF($B225="Robusta","Robusta",(IF($B225="","Arabica",$B225))&amp;" - "&amp;(IF($C225="","Commercial",$C225))),Variables!$B$1:$D$1,0),1))*AK225/365),""))</f>
        <v/>
      </c>
      <c r="BI225" s="44">
        <f>IF($AX225="Cancelled","",IFERROR((W225*INDEX(Variables!$B$7:$D$7,IFERROR(MATCH(IF($B225="Robusta","Robusta",(IF($B225="","Arabica",$B225))&amp;" - "&amp;(IF($C225="","Commercial",$C225))),Variables!$B$1:$D$1,0),1))*BD225/365)+(L225/16.67*INDEX(Variables!$B$8:$D$8,IFERROR(MATCH(IF($B225="Robusta","Robusta",(IF($B225="","Arabica",$B225))&amp;" - "&amp;(IF($C225="","Commercial",$C225))),Variables!$B$1:$D$1,0),1))*BD225)+(W225*INDEX(Variables!$B$9:$D$9,IFERROR(MATCH(IF($B225="Robusta","Robusta",(IF($B225="","Arabica",$B225))&amp;" - "&amp;(IF($C225="","Commercial",$C225))),Variables!$B$1:$D$1,0),1))*BD225/365),""))</f>
        <v>178.74970470426507</v>
      </c>
      <c r="BJ225" s="44">
        <f t="shared" si="11"/>
        <v>25</v>
      </c>
      <c r="BK225" s="44">
        <f>IF($AX225="Cancelled","",IFERROR(IF(BJ225="","",(W225*INDEX(Variables!$B$7:$D$7,IFERROR(MATCH(IF($B225="Robusta","Robusta",(IF($B225="","Arabica",$B225))&amp;" - "&amp;(IF($C225="","Commercial",$C225))),Variables!$B$1:$D$1,0),1))*(BJ225/365))+(W225*INDEX(Variables!$B$9:$D$9,IFERROR(MATCH(IF($B225="Robusta","Robusta",(IF($B225="","Arabica",$B225))&amp;" - "&amp;(IF($C225="","Commercial",$C225))),Variables!$B$1:$D$1,0),1))*(BJ225/365))+(INDEX(Variables!$B$8:$D$8,IFERROR(MATCH(IF($B225="Robusta","Robusta",(IF($B225="","Arabica",$B225))&amp;" - "&amp;(IF($C225="","Commercial",$C225))),Variables!$B$1:$D$1,0),1))*L225/16.67)),""))</f>
        <v>509.7485235213253</v>
      </c>
    </row>
    <row r="226" spans="1:63">
      <c r="A226" s="13" t="s">
        <v>103</v>
      </c>
      <c r="B226" s="13" t="s">
        <v>104</v>
      </c>
      <c r="C226" s="13" t="s">
        <v>292</v>
      </c>
      <c r="D226" s="31">
        <v>45707</v>
      </c>
      <c r="E226" s="31">
        <v>45748</v>
      </c>
      <c r="F226" s="31">
        <v>45777</v>
      </c>
      <c r="G226" s="13">
        <v>3786714</v>
      </c>
      <c r="J226" s="13" t="s">
        <v>787</v>
      </c>
      <c r="K226" s="13" t="s">
        <v>788</v>
      </c>
      <c r="L226" s="13">
        <v>20</v>
      </c>
      <c r="M226" s="13">
        <v>1</v>
      </c>
      <c r="N226" s="13" t="s">
        <v>789</v>
      </c>
      <c r="O226" s="13" t="s">
        <v>576</v>
      </c>
      <c r="P226" s="13">
        <v>10020</v>
      </c>
      <c r="R226" s="13" t="s">
        <v>239</v>
      </c>
      <c r="S226" s="13" t="s">
        <v>442</v>
      </c>
      <c r="T226" s="13" t="s">
        <v>112</v>
      </c>
      <c r="U226" s="13" t="s">
        <v>113</v>
      </c>
      <c r="V226" s="13">
        <v>103.75</v>
      </c>
      <c r="W226" s="44">
        <f>IF($AX226="Cancelled","",IFERROR(((V226+INDEX(Variables!$B$6:$D$6,IFERROR(MATCH(IF($B226="Robusta","Robusta",(IF($B226="","Arabica",$B226))&amp;" - "&amp;(IF($C226="","Commercial",$C226))),Variables!$B$1:$D$1,0),1)))*22.0462)*(L226/16.67),""))</f>
        <v>10435.906670665865</v>
      </c>
      <c r="X226" s="55" t="s">
        <v>37</v>
      </c>
      <c r="Y226" s="13" t="str">
        <f>IF($AX226="Cancelled","",IF(X226="","",IFERROR(IF(INDEX(Variables!$B$38:$B$47,MATCH(X226,Variables!$A$38:$A$47,0))="Yes","Yes","No"),"No")))</f>
        <v>Yes</v>
      </c>
      <c r="Z226" s="31">
        <v>45751</v>
      </c>
      <c r="AB226" s="31">
        <v>45757.875</v>
      </c>
      <c r="AC226" s="13" t="str">
        <f t="shared" si="9"/>
        <v>Approved</v>
      </c>
      <c r="AF226" s="71">
        <f>AJ226-7</f>
        <v>45776</v>
      </c>
      <c r="AG226" s="36">
        <f>IF($AX226="Cancelled","",IFERROR(IF(F226="","",F226-Variables!$B$13),""))</f>
        <v>45762</v>
      </c>
      <c r="AH226" s="13">
        <f>IF($AX226="Cancelled","",IFERROR(IF(AB226="","",(AVERAGE(E226:F226)-AB226)-Variables!$B$14),""))</f>
        <v>-25.375</v>
      </c>
      <c r="AJ226" s="47">
        <v>45783</v>
      </c>
      <c r="AK226" s="14">
        <f>IF($AX226="Cancelled","",IFERROR(IF(AJ226="","",IF(AND(AB226="",AF226=""),"",IF(AF226&gt;AB226,AF226+Variables!$B$15+Variables!$B$16+Variables!$B$17-AJ226,AB226+Variables!$B$16+Variables!$B$17-AJ226))),""))</f>
        <v>8</v>
      </c>
      <c r="AL226" s="48" t="s">
        <v>114</v>
      </c>
      <c r="AM226" s="13" t="s">
        <v>168</v>
      </c>
      <c r="AN226" s="13" t="s">
        <v>805</v>
      </c>
      <c r="AP226" s="31">
        <v>45786</v>
      </c>
      <c r="AR226" s="13" t="s">
        <v>3256</v>
      </c>
      <c r="AS226" s="31">
        <v>45791</v>
      </c>
      <c r="AU226" s="31">
        <v>45811</v>
      </c>
      <c r="AV226" s="13" t="s">
        <v>865</v>
      </c>
      <c r="AW226" s="31">
        <v>45818</v>
      </c>
      <c r="AX226" s="13" t="str">
        <f>IF(ISNUMBER(SEARCH("cancel",#REF!)),"Cancelled",IF(AND(AS226&lt;&gt;"",AU226&lt;&gt;"",AW226&lt;&gt;""),"Closed","Open"))</f>
        <v>Closed</v>
      </c>
      <c r="AY226" s="15" t="str">
        <f t="shared" si="10"/>
        <v>All dates received</v>
      </c>
      <c r="BD226" s="13">
        <f>IF($AX226="Cancelled","",IFERROR(IF(OR(AS226="",AJ226=""),"",(AJ226+Variables!$B$18-AS226)),""))</f>
        <v>7</v>
      </c>
      <c r="BE226" s="13">
        <f>IF($AX226="Cancelled","",IFERROR(IF(OR(AW226="",AS226=""),"",(AS226+Variables!$B$19)-AW226),""))</f>
        <v>-22</v>
      </c>
      <c r="BF226" s="44">
        <f>IF($AX226="Cancelled","",IFERROR(W226*INDEX(Variables!$B$7:$D$7,IFERROR(MATCH(IF($B226="Robusta","Robusta",(IF($B226="","Arabica",$B226))&amp;" - "&amp;(IF($C226="","Commercial",$C226))),Variables!$B$1:$D$1,0),1))*(BE226/365),""))</f>
        <v>-40.560177711294884</v>
      </c>
      <c r="BG226" s="44">
        <f>IF($AX226="Cancelled","",IFERROR((W226*INDEX(Variables!$B$7:$D$7,IFERROR(MATCH(IF($B226="Robusta","Robusta",(IF($B226="","Arabica",$B226))&amp;" - "&amp;(IF($C226="","Commercial",$C226))),Variables!$B$1:$D$1,0),1))*IFERROR(IF(AB226="","",(AVERAGE(E226:F226)-AB226)-Variables!$B$14),"")/365)+(L226/16.67*INDEX(Variables!$B$8:$D$8,IFERROR(MATCH(IF($B226="Robusta","Robusta",(IF($B226="","Arabica",$B226))&amp;" - "&amp;(IF($C226="","Commercial",$C226))),Variables!$B$1:$D$1,0),1))*IFERROR(IF(AB226="","",(AVERAGE(E226:F226)-AB226)-Variables!$B$14),""))+(W226*INDEX(Variables!$B$9:$D$9,IFERROR(MATCH(IF($B226="Robusta","Robusta",(IF($B226="","Arabica",$B226))&amp;" - "&amp;(IF($C226="","Commercial",$C226))),Variables!$B$1:$D$1,0),1))*IFERROR(IF(AB226="","",(AVERAGE(E226:F226)-AB226)-Variables!$B$14),"")/365),""))</f>
        <v>-72.76059412257213</v>
      </c>
      <c r="BH226" s="44">
        <f>IF($AX226="Cancelled","",IFERROR((W226*INDEX(Variables!$B$7:$D$7,IFERROR(MATCH(IF($B226="Robusta","Robusta",(IF($B226="","Arabica",$B226))&amp;" - "&amp;(IF($C226="","Commercial",$C226))),Variables!$B$1:$D$1,0),1))*AK226/365)+(L226/16.67*INDEX(Variables!$B$8:$D$8,IFERROR(MATCH(IF($B226="Robusta","Robusta",(IF($B226="","Arabica",$B226))&amp;" - "&amp;(IF($C226="","Commercial",$C226))),Variables!$B$1:$D$1,0),1))*AK226)+(W226*INDEX(Variables!$B$9:$D$9,IFERROR(MATCH(IF($B226="Robusta","Robusta",(IF($B226="","Arabica",$B226))&amp;" - "&amp;(IF($C226="","Commercial",$C226))),Variables!$B$1:$D$1,0),1))*AK226/365),""))</f>
        <v>22.939300610071999</v>
      </c>
      <c r="BI226" s="44">
        <f>IF($AX226="Cancelled","",IFERROR((W226*INDEX(Variables!$B$7:$D$7,IFERROR(MATCH(IF($B226="Robusta","Robusta",(IF($B226="","Arabica",$B226))&amp;" - "&amp;(IF($C226="","Commercial",$C226))),Variables!$B$1:$D$1,0),1))*BD226/365)+(L226/16.67*INDEX(Variables!$B$8:$D$8,IFERROR(MATCH(IF($B226="Robusta","Robusta",(IF($B226="","Arabica",$B226))&amp;" - "&amp;(IF($C226="","Commercial",$C226))),Variables!$B$1:$D$1,0),1))*BD226)+(W226*INDEX(Variables!$B$9:$D$9,IFERROR(MATCH(IF($B226="Robusta","Robusta",(IF($B226="","Arabica",$B226))&amp;" - "&amp;(IF($C226="","Commercial",$C226))),Variables!$B$1:$D$1,0),1))*BD226/365),""))</f>
        <v>20.071888033813</v>
      </c>
      <c r="BJ226" s="44">
        <f t="shared" si="11"/>
        <v>-14</v>
      </c>
      <c r="BK226" s="44">
        <f>IF($AX226="Cancelled","",IFERROR(IF(BJ226="","",(W226*INDEX(Variables!$B$7:$D$7,IFERROR(MATCH(IF($B226="Robusta","Robusta",(IF($B226="","Arabica",$B226))&amp;" - "&amp;(IF($C226="","Commercial",$C226))),Variables!$B$1:$D$1,0),1))*(BJ226/365))+(W226*INDEX(Variables!$B$9:$D$9,IFERROR(MATCH(IF($B226="Robusta","Robusta",(IF($B226="","Arabica",$B226))&amp;" - "&amp;(IF($C226="","Commercial",$C226))),Variables!$B$1:$D$1,0),1))*(BJ226/365))+(INDEX(Variables!$B$8:$D$8,IFERROR(MATCH(IF($B226="Robusta","Robusta",(IF($B226="","Arabica",$B226))&amp;" - "&amp;(IF($C226="","Commercial",$C226))),Variables!$B$1:$D$1,0),1))*L226/16.67)),""))</f>
        <v>-25.143776067626003</v>
      </c>
    </row>
    <row r="227" spans="1:63">
      <c r="A227" s="13" t="s">
        <v>103</v>
      </c>
      <c r="B227" s="13" t="s">
        <v>104</v>
      </c>
      <c r="C227" s="13" t="s">
        <v>292</v>
      </c>
      <c r="D227" s="31">
        <v>45707</v>
      </c>
      <c r="E227" s="31">
        <v>45748</v>
      </c>
      <c r="F227" s="31">
        <v>45777</v>
      </c>
      <c r="G227" s="13">
        <v>3786715</v>
      </c>
      <c r="J227" s="13" t="s">
        <v>787</v>
      </c>
      <c r="K227" s="13" t="s">
        <v>790</v>
      </c>
      <c r="L227" s="13">
        <v>20</v>
      </c>
      <c r="M227" s="13">
        <v>0</v>
      </c>
      <c r="N227" s="13" t="s">
        <v>791</v>
      </c>
      <c r="O227" s="13" t="s">
        <v>304</v>
      </c>
      <c r="P227" s="13">
        <v>10010</v>
      </c>
      <c r="R227" s="13" t="s">
        <v>239</v>
      </c>
      <c r="S227" s="13" t="s">
        <v>442</v>
      </c>
      <c r="T227" s="13" t="s">
        <v>112</v>
      </c>
      <c r="U227" s="13" t="s">
        <v>113</v>
      </c>
      <c r="V227" s="13">
        <v>103.75</v>
      </c>
      <c r="W227" s="44">
        <f>IF($AX227="Cancelled","",IFERROR(((V227+INDEX(Variables!$B$6:$D$6,IFERROR(MATCH(IF($B227="Robusta","Robusta",(IF($B227="","Arabica",$B227))&amp;" - "&amp;(IF($C227="","Commercial",$C227))),Variables!$B$1:$D$1,0),1)))*22.0462)*(L227/16.67),""))</f>
        <v>10435.906670665865</v>
      </c>
      <c r="X227" s="55" t="s">
        <v>37</v>
      </c>
      <c r="Y227" s="13" t="str">
        <f>IF($AX227="Cancelled","",IF(X227="","",IFERROR(IF(INDEX(Variables!$B$38:$B$47,MATCH(X227,Variables!$A$38:$A$47,0))="Yes","Yes","No"),"No")))</f>
        <v>Yes</v>
      </c>
      <c r="Z227" s="31">
        <v>45751</v>
      </c>
      <c r="AB227" s="31">
        <v>45757.875</v>
      </c>
      <c r="AC227" s="13" t="str">
        <f t="shared" si="9"/>
        <v>Approved</v>
      </c>
      <c r="AF227" s="71">
        <f>AJ227-7</f>
        <v>45776</v>
      </c>
      <c r="AG227" s="36">
        <f>IF($AX227="Cancelled","",IFERROR(IF(F227="","",F227-Variables!$B$13),""))</f>
        <v>45762</v>
      </c>
      <c r="AH227" s="13">
        <f>IF($AX227="Cancelled","",IFERROR(IF(AB227="","",(AVERAGE(E227:F227)-AB227)-Variables!$B$14),""))</f>
        <v>-25.375</v>
      </c>
      <c r="AJ227" s="47">
        <v>45783</v>
      </c>
      <c r="AK227" s="14">
        <f>IF($AX227="Cancelled","",IFERROR(IF(AJ227="","",IF(AND(AB227="",AF227=""),"",IF(AF227&gt;AB227,AF227+Variables!$B$15+Variables!$B$16+Variables!$B$17-AJ227,AB227+Variables!$B$16+Variables!$B$17-AJ227))),""))</f>
        <v>8</v>
      </c>
      <c r="AL227" s="48" t="s">
        <v>114</v>
      </c>
      <c r="AM227" s="13" t="s">
        <v>168</v>
      </c>
      <c r="AN227" s="13" t="s">
        <v>805</v>
      </c>
      <c r="AP227" s="31">
        <v>45786</v>
      </c>
      <c r="AR227" s="13" t="s">
        <v>3256</v>
      </c>
      <c r="AS227" s="31">
        <v>45791</v>
      </c>
      <c r="AU227" s="31">
        <v>45811</v>
      </c>
      <c r="AV227" s="13" t="s">
        <v>865</v>
      </c>
      <c r="AW227" s="31">
        <v>45818</v>
      </c>
      <c r="AX227" s="13" t="str">
        <f>IF(ISNUMBER(SEARCH("cancel",#REF!)),"Cancelled",IF(AND(AS227&lt;&gt;"",AU227&lt;&gt;"",AW227&lt;&gt;""),"Closed","Open"))</f>
        <v>Closed</v>
      </c>
      <c r="AY227" s="15" t="str">
        <f t="shared" si="10"/>
        <v>All dates received</v>
      </c>
      <c r="BD227" s="13">
        <f>IF($AX227="Cancelled","",IFERROR(IF(OR(AS227="",AJ227=""),"",(AJ227+Variables!$B$18-AS227)),""))</f>
        <v>7</v>
      </c>
      <c r="BE227" s="13">
        <f>IF($AX227="Cancelled","",IFERROR(IF(OR(AW227="",AS227=""),"",(AS227+Variables!$B$19)-AW227),""))</f>
        <v>-22</v>
      </c>
      <c r="BF227" s="44">
        <f>IF($AX227="Cancelled","",IFERROR(W227*INDEX(Variables!$B$7:$D$7,IFERROR(MATCH(IF($B227="Robusta","Robusta",(IF($B227="","Arabica",$B227))&amp;" - "&amp;(IF($C227="","Commercial",$C227))),Variables!$B$1:$D$1,0),1))*(BE227/365),""))</f>
        <v>-40.560177711294884</v>
      </c>
      <c r="BG227" s="44">
        <f>IF($AX227="Cancelled","",IFERROR((W227*INDEX(Variables!$B$7:$D$7,IFERROR(MATCH(IF($B227="Robusta","Robusta",(IF($B227="","Arabica",$B227))&amp;" - "&amp;(IF($C227="","Commercial",$C227))),Variables!$B$1:$D$1,0),1))*IFERROR(IF(AB227="","",(AVERAGE(E227:F227)-AB227)-Variables!$B$14),"")/365)+(L227/16.67*INDEX(Variables!$B$8:$D$8,IFERROR(MATCH(IF($B227="Robusta","Robusta",(IF($B227="","Arabica",$B227))&amp;" - "&amp;(IF($C227="","Commercial",$C227))),Variables!$B$1:$D$1,0),1))*IFERROR(IF(AB227="","",(AVERAGE(E227:F227)-AB227)-Variables!$B$14),""))+(W227*INDEX(Variables!$B$9:$D$9,IFERROR(MATCH(IF($B227="Robusta","Robusta",(IF($B227="","Arabica",$B227))&amp;" - "&amp;(IF($C227="","Commercial",$C227))),Variables!$B$1:$D$1,0),1))*IFERROR(IF(AB227="","",(AVERAGE(E227:F227)-AB227)-Variables!$B$14),"")/365),""))</f>
        <v>-72.76059412257213</v>
      </c>
      <c r="BH227" s="44">
        <f>IF($AX227="Cancelled","",IFERROR((W227*INDEX(Variables!$B$7:$D$7,IFERROR(MATCH(IF($B227="Robusta","Robusta",(IF($B227="","Arabica",$B227))&amp;" - "&amp;(IF($C227="","Commercial",$C227))),Variables!$B$1:$D$1,0),1))*AK227/365)+(L227/16.67*INDEX(Variables!$B$8:$D$8,IFERROR(MATCH(IF($B227="Robusta","Robusta",(IF($B227="","Arabica",$B227))&amp;" - "&amp;(IF($C227="","Commercial",$C227))),Variables!$B$1:$D$1,0),1))*AK227)+(W227*INDEX(Variables!$B$9:$D$9,IFERROR(MATCH(IF($B227="Robusta","Robusta",(IF($B227="","Arabica",$B227))&amp;" - "&amp;(IF($C227="","Commercial",$C227))),Variables!$B$1:$D$1,0),1))*AK227/365),""))</f>
        <v>22.939300610071999</v>
      </c>
      <c r="BI227" s="44">
        <f>IF($AX227="Cancelled","",IFERROR((W227*INDEX(Variables!$B$7:$D$7,IFERROR(MATCH(IF($B227="Robusta","Robusta",(IF($B227="","Arabica",$B227))&amp;" - "&amp;(IF($C227="","Commercial",$C227))),Variables!$B$1:$D$1,0),1))*BD227/365)+(L227/16.67*INDEX(Variables!$B$8:$D$8,IFERROR(MATCH(IF($B227="Robusta","Robusta",(IF($B227="","Arabica",$B227))&amp;" - "&amp;(IF($C227="","Commercial",$C227))),Variables!$B$1:$D$1,0),1))*BD227)+(W227*INDEX(Variables!$B$9:$D$9,IFERROR(MATCH(IF($B227="Robusta","Robusta",(IF($B227="","Arabica",$B227))&amp;" - "&amp;(IF($C227="","Commercial",$C227))),Variables!$B$1:$D$1,0),1))*BD227/365),""))</f>
        <v>20.071888033813</v>
      </c>
      <c r="BJ227" s="44">
        <f t="shared" si="11"/>
        <v>-14</v>
      </c>
      <c r="BK227" s="44">
        <f>IF($AX227="Cancelled","",IFERROR(IF(BJ227="","",(W227*INDEX(Variables!$B$7:$D$7,IFERROR(MATCH(IF($B227="Robusta","Robusta",(IF($B227="","Arabica",$B227))&amp;" - "&amp;(IF($C227="","Commercial",$C227))),Variables!$B$1:$D$1,0),1))*(BJ227/365))+(W227*INDEX(Variables!$B$9:$D$9,IFERROR(MATCH(IF($B227="Robusta","Robusta",(IF($B227="","Arabica",$B227))&amp;" - "&amp;(IF($C227="","Commercial",$C227))),Variables!$B$1:$D$1,0),1))*(BJ227/365))+(INDEX(Variables!$B$8:$D$8,IFERROR(MATCH(IF($B227="Robusta","Robusta",(IF($B227="","Arabica",$B227))&amp;" - "&amp;(IF($C227="","Commercial",$C227))),Variables!$B$1:$D$1,0),1))*L227/16.67)),""))</f>
        <v>-25.143776067626003</v>
      </c>
    </row>
    <row r="228" spans="1:63">
      <c r="A228" s="13" t="s">
        <v>103</v>
      </c>
      <c r="B228" s="13" t="s">
        <v>104</v>
      </c>
      <c r="C228" s="13" t="s">
        <v>292</v>
      </c>
      <c r="D228" s="31">
        <v>45707</v>
      </c>
      <c r="E228" s="31">
        <v>45748</v>
      </c>
      <c r="F228" s="31">
        <v>45777</v>
      </c>
      <c r="G228" s="13">
        <v>3786716</v>
      </c>
      <c r="J228" s="13" t="s">
        <v>787</v>
      </c>
      <c r="K228" s="13" t="s">
        <v>792</v>
      </c>
      <c r="L228" s="13">
        <v>80</v>
      </c>
      <c r="M228" s="13">
        <v>0</v>
      </c>
      <c r="N228" s="13" t="s">
        <v>793</v>
      </c>
      <c r="O228" s="13" t="s">
        <v>576</v>
      </c>
      <c r="P228" s="13">
        <v>10020</v>
      </c>
      <c r="R228" s="13" t="s">
        <v>239</v>
      </c>
      <c r="S228" s="13" t="s">
        <v>442</v>
      </c>
      <c r="T228" s="13" t="s">
        <v>112</v>
      </c>
      <c r="U228" s="13" t="s">
        <v>113</v>
      </c>
      <c r="V228" s="13">
        <v>125.75</v>
      </c>
      <c r="W228" s="44">
        <f>IF($AX228="Cancelled","",IFERROR(((V228+INDEX(Variables!$B$6:$D$6,IFERROR(MATCH(IF($B228="Robusta","Robusta",(IF($B228="","Arabica",$B228))&amp;" - "&amp;(IF($C228="","Commercial",$C228))),Variables!$B$1:$D$1,0),1)))*22.0462)*(L228/16.67),""))</f>
        <v>44071.23988002399</v>
      </c>
      <c r="X228" s="55" t="s">
        <v>37</v>
      </c>
      <c r="Y228" s="13" t="str">
        <f>IF($AX228="Cancelled","",IF(X228="","",IFERROR(IF(INDEX(Variables!$B$38:$B$47,MATCH(X228,Variables!$A$38:$A$47,0))="Yes","Yes","No"),"No")))</f>
        <v>Yes</v>
      </c>
      <c r="Z228" s="31">
        <v>45751</v>
      </c>
      <c r="AB228" s="31">
        <v>45757.875</v>
      </c>
      <c r="AC228" s="13" t="str">
        <f t="shared" si="9"/>
        <v>Approved</v>
      </c>
      <c r="AF228" s="71">
        <f>AJ228-7</f>
        <v>45776</v>
      </c>
      <c r="AG228" s="36">
        <f>IF($AX228="Cancelled","",IFERROR(IF(F228="","",F228-Variables!$B$13),""))</f>
        <v>45762</v>
      </c>
      <c r="AH228" s="13">
        <f>IF($AX228="Cancelled","",IFERROR(IF(AB228="","",(AVERAGE(E228:F228)-AB228)-Variables!$B$14),""))</f>
        <v>-25.375</v>
      </c>
      <c r="AJ228" s="47">
        <v>45783</v>
      </c>
      <c r="AK228" s="14">
        <f>IF($AX228="Cancelled","",IFERROR(IF(AJ228="","",IF(AND(AB228="",AF228=""),"",IF(AF228&gt;AB228,AF228+Variables!$B$15+Variables!$B$16+Variables!$B$17-AJ228,AB228+Variables!$B$16+Variables!$B$17-AJ228))),""))</f>
        <v>8</v>
      </c>
      <c r="AL228" s="48" t="s">
        <v>114</v>
      </c>
      <c r="AM228" s="13" t="s">
        <v>168</v>
      </c>
      <c r="AN228" s="13" t="s">
        <v>805</v>
      </c>
      <c r="AP228" s="31">
        <v>45786</v>
      </c>
      <c r="AR228" s="13" t="s">
        <v>3256</v>
      </c>
      <c r="AS228" s="31">
        <v>45791</v>
      </c>
      <c r="AU228" s="31">
        <v>45811</v>
      </c>
      <c r="AV228" s="13" t="s">
        <v>865</v>
      </c>
      <c r="AW228" s="31">
        <v>45818</v>
      </c>
      <c r="AX228" s="13" t="str">
        <f>IF(ISNUMBER(SEARCH("cancel",#REF!)),"Cancelled",IF(AND(AS228&lt;&gt;"",AU228&lt;&gt;"",AW228&lt;&gt;""),"Closed","Open"))</f>
        <v>Closed</v>
      </c>
      <c r="AY228" s="15" t="str">
        <f t="shared" si="10"/>
        <v>All dates received</v>
      </c>
      <c r="BD228" s="13">
        <f>IF($AX228="Cancelled","",IFERROR(IF(OR(AS228="",AJ228=""),"",(AJ228+Variables!$B$18-AS228)),""))</f>
        <v>7</v>
      </c>
      <c r="BE228" s="13">
        <f>IF($AX228="Cancelled","",IFERROR(IF(OR(AW228="",AS228=""),"",(AS228+Variables!$B$19)-AW228),""))</f>
        <v>-22</v>
      </c>
      <c r="BF228" s="44">
        <f>IF($AX228="Cancelled","",IFERROR(W228*INDEX(Variables!$B$7:$D$7,IFERROR(MATCH(IF($B228="Robusta","Robusta",(IF($B228="","Arabica",$B228))&amp;" - "&amp;(IF($C228="","Commercial",$C228))),Variables!$B$1:$D$1,0),1))*(BE228/365),""))</f>
        <v>-171.28720847182746</v>
      </c>
      <c r="BG228" s="44">
        <f>IF($AX228="Cancelled","",IFERROR((W228*INDEX(Variables!$B$7:$D$7,IFERROR(MATCH(IF($B228="Robusta","Robusta",(IF($B228="","Arabica",$B228))&amp;" - "&amp;(IF($C228="","Commercial",$C228))),Variables!$B$1:$D$1,0),1))*IFERROR(IF(AB228="","",(AVERAGE(E228:F228)-AB228)-Variables!$B$14),"")/365)+(L228/16.67*INDEX(Variables!$B$8:$D$8,IFERROR(MATCH(IF($B228="Robusta","Robusta",(IF($B228="","Arabica",$B228))&amp;" - "&amp;(IF($C228="","Commercial",$C228))),Variables!$B$1:$D$1,0),1))*IFERROR(IF(AB228="","",(AVERAGE(E228:F228)-AB228)-Variables!$B$14),""))+(W228*INDEX(Variables!$B$9:$D$9,IFERROR(MATCH(IF($B228="Robusta","Robusta",(IF($B228="","Arabica",$B228))&amp;" - "&amp;(IF($C228="","Commercial",$C228))),Variables!$B$1:$D$1,0),1))*IFERROR(IF(AB228="","",(AVERAGE(E228:F228)-AB228)-Variables!$B$14),"")/365),""))</f>
        <v>-301.61120752003467</v>
      </c>
      <c r="BH228" s="44">
        <f>IF($AX228="Cancelled","",IFERROR((W228*INDEX(Variables!$B$7:$D$7,IFERROR(MATCH(IF($B228="Robusta","Robusta",(IF($B228="","Arabica",$B228))&amp;" - "&amp;(IF($C228="","Commercial",$C228))),Variables!$B$1:$D$1,0),1))*AK228/365)+(L228/16.67*INDEX(Variables!$B$8:$D$8,IFERROR(MATCH(IF($B228="Robusta","Robusta",(IF($B228="","Arabica",$B228))&amp;" - "&amp;(IF($C228="","Commercial",$C228))),Variables!$B$1:$D$1,0),1))*AK228)+(W228*INDEX(Variables!$B$9:$D$9,IFERROR(MATCH(IF($B228="Robusta","Robusta",(IF($B228="","Arabica",$B228))&amp;" - "&amp;(IF($C228="","Commercial",$C228))),Variables!$B$1:$D$1,0),1))*AK228/365),""))</f>
        <v>95.089247691045401</v>
      </c>
      <c r="BI228" s="44">
        <f>IF($AX228="Cancelled","",IFERROR((W228*INDEX(Variables!$B$7:$D$7,IFERROR(MATCH(IF($B228="Robusta","Robusta",(IF($B228="","Arabica",$B228))&amp;" - "&amp;(IF($C228="","Commercial",$C228))),Variables!$B$1:$D$1,0),1))*BD228/365)+(L228/16.67*INDEX(Variables!$B$8:$D$8,IFERROR(MATCH(IF($B228="Robusta","Robusta",(IF($B228="","Arabica",$B228))&amp;" - "&amp;(IF($C228="","Commercial",$C228))),Variables!$B$1:$D$1,0),1))*BD228)+(W228*INDEX(Variables!$B$9:$D$9,IFERROR(MATCH(IF($B228="Robusta","Robusta",(IF($B228="","Arabica",$B228))&amp;" - "&amp;(IF($C228="","Commercial",$C228))),Variables!$B$1:$D$1,0),1))*BD228/365),""))</f>
        <v>83.203091729664735</v>
      </c>
      <c r="BJ228" s="44">
        <f t="shared" si="11"/>
        <v>-14</v>
      </c>
      <c r="BK228" s="44">
        <f>IF($AX228="Cancelled","",IFERROR(IF(BJ228="","",(W228*INDEX(Variables!$B$7:$D$7,IFERROR(MATCH(IF($B228="Robusta","Robusta",(IF($B228="","Arabica",$B228))&amp;" - "&amp;(IF($C228="","Commercial",$C228))),Variables!$B$1:$D$1,0),1))*(BJ228/365))+(W228*INDEX(Variables!$B$9:$D$9,IFERROR(MATCH(IF($B228="Robusta","Robusta",(IF($B228="","Arabica",$B228))&amp;" - "&amp;(IF($C228="","Commercial",$C228))),Variables!$B$1:$D$1,0),1))*(BJ228/365))+(INDEX(Variables!$B$8:$D$8,IFERROR(MATCH(IF($B228="Robusta","Robusta",(IF($B228="","Arabica",$B228))&amp;" - "&amp;(IF($C228="","Commercial",$C228))),Variables!$B$1:$D$1,0),1))*L228/16.67)),""))</f>
        <v>-106.40618345932947</v>
      </c>
    </row>
    <row r="229" spans="1:63">
      <c r="A229" s="13" t="s">
        <v>103</v>
      </c>
      <c r="B229" s="13" t="s">
        <v>104</v>
      </c>
      <c r="C229" s="13" t="s">
        <v>292</v>
      </c>
      <c r="D229" s="31">
        <v>45707</v>
      </c>
      <c r="E229" s="31">
        <v>45748</v>
      </c>
      <c r="F229" s="31">
        <v>45777</v>
      </c>
      <c r="G229" s="13">
        <v>3786717</v>
      </c>
      <c r="J229" s="13" t="s">
        <v>787</v>
      </c>
      <c r="K229" s="13" t="s">
        <v>794</v>
      </c>
      <c r="L229" s="13">
        <v>30</v>
      </c>
      <c r="M229" s="13">
        <v>0</v>
      </c>
      <c r="N229" s="13" t="s">
        <v>795</v>
      </c>
      <c r="O229" s="13" t="s">
        <v>304</v>
      </c>
      <c r="P229" s="13">
        <v>10010</v>
      </c>
      <c r="R229" s="13" t="s">
        <v>239</v>
      </c>
      <c r="S229" s="13" t="s">
        <v>442</v>
      </c>
      <c r="T229" s="13" t="s">
        <v>112</v>
      </c>
      <c r="U229" s="13" t="s">
        <v>113</v>
      </c>
      <c r="V229" s="13">
        <v>111.75</v>
      </c>
      <c r="W229" s="44">
        <f>IF($AX229="Cancelled","",IFERROR(((V229+INDEX(Variables!$B$6:$D$6,IFERROR(MATCH(IF($B229="Robusta","Robusta",(IF($B229="","Arabica",$B229))&amp;" - "&amp;(IF($C229="","Commercial",$C229))),Variables!$B$1:$D$1,0),1)))*22.0462)*(L229/16.67),""))</f>
        <v>15971.261805638871</v>
      </c>
      <c r="X229" s="55" t="s">
        <v>37</v>
      </c>
      <c r="Y229" s="13" t="str">
        <f>IF($AX229="Cancelled","",IF(X229="","",IFERROR(IF(INDEX(Variables!$B$38:$B$47,MATCH(X229,Variables!$A$38:$A$47,0))="Yes","Yes","No"),"No")))</f>
        <v>Yes</v>
      </c>
      <c r="Z229" s="31">
        <v>45751</v>
      </c>
      <c r="AB229" s="31">
        <v>45757.875</v>
      </c>
      <c r="AC229" s="13" t="str">
        <f t="shared" si="9"/>
        <v>Approved</v>
      </c>
      <c r="AF229" s="71">
        <f>AJ229-7</f>
        <v>45776</v>
      </c>
      <c r="AG229" s="36">
        <f>IF($AX229="Cancelled","",IFERROR(IF(F229="","",F229-Variables!$B$13),""))</f>
        <v>45762</v>
      </c>
      <c r="AH229" s="13">
        <f>IF($AX229="Cancelled","",IFERROR(IF(AB229="","",(AVERAGE(E229:F229)-AB229)-Variables!$B$14),""))</f>
        <v>-25.375</v>
      </c>
      <c r="AJ229" s="47">
        <v>45783</v>
      </c>
      <c r="AK229" s="14">
        <f>IF($AX229="Cancelled","",IFERROR(IF(AJ229="","",IF(AND(AB229="",AF229=""),"",IF(AF229&gt;AB229,AF229+Variables!$B$15+Variables!$B$16+Variables!$B$17-AJ229,AB229+Variables!$B$16+Variables!$B$17-AJ229))),""))</f>
        <v>8</v>
      </c>
      <c r="AL229" s="48" t="s">
        <v>114</v>
      </c>
      <c r="AM229" s="13" t="s">
        <v>168</v>
      </c>
      <c r="AN229" s="13" t="s">
        <v>805</v>
      </c>
      <c r="AP229" s="31">
        <v>45786</v>
      </c>
      <c r="AR229" s="13" t="s">
        <v>3256</v>
      </c>
      <c r="AS229" s="31">
        <v>45791</v>
      </c>
      <c r="AU229" s="31">
        <v>45811</v>
      </c>
      <c r="AV229" s="13" t="s">
        <v>865</v>
      </c>
      <c r="AW229" s="31">
        <v>45818</v>
      </c>
      <c r="AX229" s="13" t="str">
        <f>IF(ISNUMBER(SEARCH("cancel",#REF!)),"Cancelled",IF(AND(AS229&lt;&gt;"",AU229&lt;&gt;"",AW229&lt;&gt;""),"Closed","Open"))</f>
        <v>Closed</v>
      </c>
      <c r="AY229" s="15" t="str">
        <f t="shared" si="10"/>
        <v>All dates received</v>
      </c>
      <c r="BD229" s="13">
        <f>IF($AX229="Cancelled","",IFERROR(IF(OR(AS229="",AJ229=""),"",(AJ229+Variables!$B$18-AS229)),""))</f>
        <v>7</v>
      </c>
      <c r="BE229" s="13">
        <f>IF($AX229="Cancelled","",IFERROR(IF(OR(AW229="",AS229=""),"",(AS229+Variables!$B$19)-AW229),""))</f>
        <v>-22</v>
      </c>
      <c r="BF229" s="44">
        <f>IF($AX229="Cancelled","",IFERROR(W229*INDEX(Variables!$B$7:$D$7,IFERROR(MATCH(IF($B229="Robusta","Robusta",(IF($B229="","Arabica",$B229))&amp;" - "&amp;(IF($C229="","Commercial",$C229))),Variables!$B$1:$D$1,0),1))*(BE229/365),""))</f>
        <v>-62.073879879667047</v>
      </c>
      <c r="BG229" s="44">
        <f>IF($AX229="Cancelled","",IFERROR((W229*INDEX(Variables!$B$7:$D$7,IFERROR(MATCH(IF($B229="Robusta","Robusta",(IF($B229="","Arabica",$B229))&amp;" - "&amp;(IF($C229="","Commercial",$C229))),Variables!$B$1:$D$1,0),1))*IFERROR(IF(AB229="","",(AVERAGE(E229:F229)-AB229)-Variables!$B$14),"")/365)+(L229/16.67*INDEX(Variables!$B$8:$D$8,IFERROR(MATCH(IF($B229="Robusta","Robusta",(IF($B229="","Arabica",$B229))&amp;" - "&amp;(IF($C229="","Commercial",$C229))),Variables!$B$1:$D$1,0),1))*IFERROR(IF(AB229="","",(AVERAGE(E229:F229)-AB229)-Variables!$B$14),""))+(W229*INDEX(Variables!$B$9:$D$9,IFERROR(MATCH(IF($B229="Robusta","Robusta",(IF($B229="","Arabica",$B229))&amp;" - "&amp;(IF($C229="","Commercial",$C229))),Variables!$B$1:$D$1,0),1))*IFERROR(IF(AB229="","",(AVERAGE(E229:F229)-AB229)-Variables!$B$14),"")/365),""))</f>
        <v>-110.58209541518721</v>
      </c>
      <c r="BH229" s="44">
        <f>IF($AX229="Cancelled","",IFERROR((W229*INDEX(Variables!$B$7:$D$7,IFERROR(MATCH(IF($B229="Robusta","Robusta",(IF($B229="","Arabica",$B229))&amp;" - "&amp;(IF($C229="","Commercial",$C229))),Variables!$B$1:$D$1,0),1))*AK229/365)+(L229/16.67*INDEX(Variables!$B$8:$D$8,IFERROR(MATCH(IF($B229="Robusta","Robusta",(IF($B229="","Arabica",$B229))&amp;" - "&amp;(IF($C229="","Commercial",$C229))),Variables!$B$1:$D$1,0),1))*AK229)+(W229*INDEX(Variables!$B$9:$D$9,IFERROR(MATCH(IF($B229="Robusta","Robusta",(IF($B229="","Arabica",$B229))&amp;" - "&amp;(IF($C229="","Commercial",$C229))),Variables!$B$1:$D$1,0),1))*AK229/365),""))</f>
        <v>34.863320722029471</v>
      </c>
      <c r="BI229" s="44">
        <f>IF($AX229="Cancelled","",IFERROR((W229*INDEX(Variables!$B$7:$D$7,IFERROR(MATCH(IF($B229="Robusta","Robusta",(IF($B229="","Arabica",$B229))&amp;" - "&amp;(IF($C229="","Commercial",$C229))),Variables!$B$1:$D$1,0),1))*BD229/365)+(L229/16.67*INDEX(Variables!$B$8:$D$8,IFERROR(MATCH(IF($B229="Robusta","Robusta",(IF($B229="","Arabica",$B229))&amp;" - "&amp;(IF($C229="","Commercial",$C229))),Variables!$B$1:$D$1,0),1))*BD229)+(W229*INDEX(Variables!$B$9:$D$9,IFERROR(MATCH(IF($B229="Robusta","Robusta",(IF($B229="","Arabica",$B229))&amp;" - "&amp;(IF($C229="","Commercial",$C229))),Variables!$B$1:$D$1,0),1))*BD229/365),""))</f>
        <v>30.505405631775787</v>
      </c>
      <c r="BJ229" s="44">
        <f t="shared" si="11"/>
        <v>-14</v>
      </c>
      <c r="BK229" s="44">
        <f>IF($AX229="Cancelled","",IFERROR(IF(BJ229="","",(W229*INDEX(Variables!$B$7:$D$7,IFERROR(MATCH(IF($B229="Robusta","Robusta",(IF($B229="","Arabica",$B229))&amp;" - "&amp;(IF($C229="","Commercial",$C229))),Variables!$B$1:$D$1,0),1))*(BJ229/365))+(W229*INDEX(Variables!$B$9:$D$9,IFERROR(MATCH(IF($B229="Robusta","Robusta",(IF($B229="","Arabica",$B229))&amp;" - "&amp;(IF($C229="","Commercial",$C229))),Variables!$B$1:$D$1,0),1))*(BJ229/365))+(INDEX(Variables!$B$8:$D$8,IFERROR(MATCH(IF($B229="Robusta","Robusta",(IF($B229="","Arabica",$B229))&amp;" - "&amp;(IF($C229="","Commercial",$C229))),Variables!$B$1:$D$1,0),1))*L229/16.67)),""))</f>
        <v>-38.510811263551574</v>
      </c>
    </row>
    <row r="230" spans="1:63">
      <c r="A230" s="13" t="s">
        <v>103</v>
      </c>
      <c r="B230" s="13" t="s">
        <v>104</v>
      </c>
      <c r="C230" s="13" t="s">
        <v>292</v>
      </c>
      <c r="D230" s="31">
        <v>45707</v>
      </c>
      <c r="E230" s="31">
        <v>45748</v>
      </c>
      <c r="F230" s="31">
        <v>45777</v>
      </c>
      <c r="G230" s="13">
        <v>3786718</v>
      </c>
      <c r="J230" s="13" t="s">
        <v>787</v>
      </c>
      <c r="K230" s="13" t="s">
        <v>796</v>
      </c>
      <c r="L230" s="13">
        <v>20</v>
      </c>
      <c r="M230" s="13">
        <v>0</v>
      </c>
      <c r="N230" s="13" t="s">
        <v>797</v>
      </c>
      <c r="O230" s="13" t="s">
        <v>304</v>
      </c>
      <c r="P230" s="13">
        <v>10010</v>
      </c>
      <c r="R230" s="13" t="s">
        <v>239</v>
      </c>
      <c r="S230" s="13" t="s">
        <v>442</v>
      </c>
      <c r="T230" s="13" t="s">
        <v>112</v>
      </c>
      <c r="U230" s="13" t="s">
        <v>113</v>
      </c>
      <c r="V230" s="13">
        <v>151.75</v>
      </c>
      <c r="W230" s="44">
        <f>IF($AX230="Cancelled","",IFERROR(((V230+INDEX(Variables!$B$6:$D$6,IFERROR(MATCH(IF($B230="Robusta","Robusta",(IF($B230="","Arabica",$B230))&amp;" - "&amp;(IF($C230="","Commercial",$C230))),Variables!$B$1:$D$1,0),1)))*22.0462)*(L230/16.67),""))</f>
        <v>11705.513869226153</v>
      </c>
      <c r="X230" s="55" t="s">
        <v>37</v>
      </c>
      <c r="Y230" s="13" t="str">
        <f>IF($AX230="Cancelled","",IF(X230="","",IFERROR(IF(INDEX(Variables!$B$38:$B$47,MATCH(X230,Variables!$A$38:$A$47,0))="Yes","Yes","No"),"No")))</f>
        <v>Yes</v>
      </c>
      <c r="Z230" s="31">
        <v>45751</v>
      </c>
      <c r="AB230" s="31">
        <v>45757.875</v>
      </c>
      <c r="AC230" s="13" t="str">
        <f t="shared" si="9"/>
        <v>Approved</v>
      </c>
      <c r="AF230" s="71">
        <f>AJ230-7</f>
        <v>45776</v>
      </c>
      <c r="AG230" s="36">
        <f>IF($AX230="Cancelled","",IFERROR(IF(F230="","",F230-Variables!$B$13),""))</f>
        <v>45762</v>
      </c>
      <c r="AH230" s="13">
        <f>IF($AX230="Cancelled","",IFERROR(IF(AB230="","",(AVERAGE(E230:F230)-AB230)-Variables!$B$14),""))</f>
        <v>-25.375</v>
      </c>
      <c r="AJ230" s="47">
        <v>45783</v>
      </c>
      <c r="AK230" s="14">
        <f>IF($AX230="Cancelled","",IFERROR(IF(AJ230="","",IF(AND(AB230="",AF230=""),"",IF(AF230&gt;AB230,AF230+Variables!$B$15+Variables!$B$16+Variables!$B$17-AJ230,AB230+Variables!$B$16+Variables!$B$17-AJ230))),""))</f>
        <v>8</v>
      </c>
      <c r="AL230" s="48" t="s">
        <v>114</v>
      </c>
      <c r="AM230" s="13" t="s">
        <v>168</v>
      </c>
      <c r="AN230" s="13" t="s">
        <v>805</v>
      </c>
      <c r="AP230" s="31">
        <v>45786</v>
      </c>
      <c r="AR230" s="13" t="s">
        <v>3256</v>
      </c>
      <c r="AS230" s="31">
        <v>45791</v>
      </c>
      <c r="AU230" s="31">
        <v>45811</v>
      </c>
      <c r="AV230" s="13" t="s">
        <v>865</v>
      </c>
      <c r="AW230" s="31">
        <v>45818</v>
      </c>
      <c r="AX230" s="13" t="str">
        <f>IF(ISNUMBER(SEARCH("cancel",#REF!)),"Cancelled",IF(AND(AS230&lt;&gt;"",AU230&lt;&gt;"",AW230&lt;&gt;""),"Closed","Open"))</f>
        <v>Closed</v>
      </c>
      <c r="AY230" s="15" t="str">
        <f t="shared" si="10"/>
        <v>All dates received</v>
      </c>
      <c r="BD230" s="13">
        <f>IF($AX230="Cancelled","",IFERROR(IF(OR(AS230="",AJ230=""),"",(AJ230+Variables!$B$18-AS230)),""))</f>
        <v>7</v>
      </c>
      <c r="BE230" s="13">
        <f>IF($AX230="Cancelled","",IFERROR(IF(OR(AW230="",AS230=""),"",(AS230+Variables!$B$19)-AW230),""))</f>
        <v>-22</v>
      </c>
      <c r="BF230" s="44">
        <f>IF($AX230="Cancelled","",IFERROR(W230*INDEX(Variables!$B$7:$D$7,IFERROR(MATCH(IF($B230="Robusta","Robusta",(IF($B230="","Arabica",$B230))&amp;" - "&amp;(IF($C230="","Commercial",$C230))),Variables!$B$1:$D$1,0),1))*(BE230/365),""))</f>
        <v>-45.494630962193767</v>
      </c>
      <c r="BG230" s="44">
        <f>IF($AX230="Cancelled","",IFERROR((W230*INDEX(Variables!$B$7:$D$7,IFERROR(MATCH(IF($B230="Robusta","Robusta",(IF($B230="","Arabica",$B230))&amp;" - "&amp;(IF($C230="","Commercial",$C230))),Variables!$B$1:$D$1,0),1))*IFERROR(IF(AB230="","",(AVERAGE(E230:F230)-AB230)-Variables!$B$14),"")/365)+(L230/16.67*INDEX(Variables!$B$8:$D$8,IFERROR(MATCH(IF($B230="Robusta","Robusta",(IF($B230="","Arabica",$B230))&amp;" - "&amp;(IF($C230="","Commercial",$C230))),Variables!$B$1:$D$1,0),1))*IFERROR(IF(AB230="","",(AVERAGE(E230:F230)-AB230)-Variables!$B$14),""))+(W230*INDEX(Variables!$B$9:$D$9,IFERROR(MATCH(IF($B230="Robusta","Robusta",(IF($B230="","Arabica",$B230))&amp;" - "&amp;(IF($C230="","Commercial",$C230))),Variables!$B$1:$D$1,0),1))*IFERROR(IF(AB230="","",(AVERAGE(E230:F230)-AB230)-Variables!$B$14),"")/365),""))</f>
        <v>-78.525411047888213</v>
      </c>
      <c r="BH230" s="44">
        <f>IF($AX230="Cancelled","",IFERROR((W230*INDEX(Variables!$B$7:$D$7,IFERROR(MATCH(IF($B230="Robusta","Robusta",(IF($B230="","Arabica",$B230))&amp;" - "&amp;(IF($C230="","Commercial",$C230))),Variables!$B$1:$D$1,0),1))*AK230/365)+(L230/16.67*INDEX(Variables!$B$8:$D$8,IFERROR(MATCH(IF($B230="Robusta","Robusta",(IF($B230="","Arabica",$B230))&amp;" - "&amp;(IF($C230="","Commercial",$C230))),Variables!$B$1:$D$1,0),1))*AK230)+(W230*INDEX(Variables!$B$9:$D$9,IFERROR(MATCH(IF($B230="Robusta","Robusta",(IF($B230="","Arabica",$B230))&amp;" - "&amp;(IF($C230="","Commercial",$C230))),Variables!$B$1:$D$1,0),1))*AK230/365),""))</f>
        <v>24.756779837757861</v>
      </c>
      <c r="BI230" s="44">
        <f>IF($AX230="Cancelled","",IFERROR((W230*INDEX(Variables!$B$7:$D$7,IFERROR(MATCH(IF($B230="Robusta","Robusta",(IF($B230="","Arabica",$B230))&amp;" - "&amp;(IF($C230="","Commercial",$C230))),Variables!$B$1:$D$1,0),1))*BD230/365)+(L230/16.67*INDEX(Variables!$B$8:$D$8,IFERROR(MATCH(IF($B230="Robusta","Robusta",(IF($B230="","Arabica",$B230))&amp;" - "&amp;(IF($C230="","Commercial",$C230))),Variables!$B$1:$D$1,0),1))*BD230)+(W230*INDEX(Variables!$B$9:$D$9,IFERROR(MATCH(IF($B230="Robusta","Robusta",(IF($B230="","Arabica",$B230))&amp;" - "&amp;(IF($C230="","Commercial",$C230))),Variables!$B$1:$D$1,0),1))*BD230/365),""))</f>
        <v>21.66218235803813</v>
      </c>
      <c r="BJ230" s="44">
        <f t="shared" si="11"/>
        <v>-14</v>
      </c>
      <c r="BK230" s="44">
        <f>IF($AX230="Cancelled","",IFERROR(IF(BJ230="","",(W230*INDEX(Variables!$B$7:$D$7,IFERROR(MATCH(IF($B230="Robusta","Robusta",(IF($B230="","Arabica",$B230))&amp;" - "&amp;(IF($C230="","Commercial",$C230))),Variables!$B$1:$D$1,0),1))*(BJ230/365))+(W230*INDEX(Variables!$B$9:$D$9,IFERROR(MATCH(IF($B230="Robusta","Robusta",(IF($B230="","Arabica",$B230))&amp;" - "&amp;(IF($C230="","Commercial",$C230))),Variables!$B$1:$D$1,0),1))*(BJ230/365))+(INDEX(Variables!$B$8:$D$8,IFERROR(MATCH(IF($B230="Robusta","Robusta",(IF($B230="","Arabica",$B230))&amp;" - "&amp;(IF($C230="","Commercial",$C230))),Variables!$B$1:$D$1,0),1))*L230/16.67)),""))</f>
        <v>-28.324364716076261</v>
      </c>
    </row>
    <row r="231" spans="1:63">
      <c r="A231" s="13" t="s">
        <v>103</v>
      </c>
      <c r="B231" s="13" t="s">
        <v>104</v>
      </c>
      <c r="C231" s="13" t="s">
        <v>292</v>
      </c>
      <c r="D231" s="31">
        <v>45707</v>
      </c>
      <c r="E231" s="31">
        <v>45748</v>
      </c>
      <c r="F231" s="31">
        <v>45777</v>
      </c>
      <c r="G231" s="13">
        <v>3786719</v>
      </c>
      <c r="J231" s="13" t="s">
        <v>787</v>
      </c>
      <c r="K231" s="13" t="s">
        <v>798</v>
      </c>
      <c r="L231" s="13">
        <v>30</v>
      </c>
      <c r="M231" s="13">
        <v>0</v>
      </c>
      <c r="N231" s="13" t="s">
        <v>799</v>
      </c>
      <c r="O231" s="13" t="s">
        <v>304</v>
      </c>
      <c r="P231" s="13">
        <v>10010</v>
      </c>
      <c r="R231" s="13" t="s">
        <v>239</v>
      </c>
      <c r="S231" s="13" t="s">
        <v>442</v>
      </c>
      <c r="T231" s="13" t="s">
        <v>112</v>
      </c>
      <c r="U231" s="13" t="s">
        <v>113</v>
      </c>
      <c r="V231" s="13">
        <v>106.75</v>
      </c>
      <c r="W231" s="44">
        <f>IF($AX231="Cancelled","",IFERROR(((V231+INDEX(Variables!$B$6:$D$6,IFERROR(MATCH(IF($B231="Robusta","Robusta",(IF($B231="","Arabica",$B231))&amp;" - "&amp;(IF($C231="","Commercial",$C231))),Variables!$B$1:$D$1,0),1)))*22.0462)*(L231/16.67),""))</f>
        <v>15772.885680863825</v>
      </c>
      <c r="X231" s="55" t="s">
        <v>37</v>
      </c>
      <c r="Y231" s="13" t="str">
        <f>IF($AX231="Cancelled","",IF(X231="","",IFERROR(IF(INDEX(Variables!$B$38:$B$47,MATCH(X231,Variables!$A$38:$A$47,0))="Yes","Yes","No"),"No")))</f>
        <v>Yes</v>
      </c>
      <c r="Z231" s="31">
        <v>45751</v>
      </c>
      <c r="AB231" s="31">
        <v>45757.875</v>
      </c>
      <c r="AC231" s="13" t="str">
        <f t="shared" si="9"/>
        <v>Approved</v>
      </c>
      <c r="AF231" s="71">
        <f>AJ231-7</f>
        <v>45776</v>
      </c>
      <c r="AG231" s="36">
        <f>IF($AX231="Cancelled","",IFERROR(IF(F231="","",F231-Variables!$B$13),""))</f>
        <v>45762</v>
      </c>
      <c r="AH231" s="13">
        <f>IF($AX231="Cancelled","",IFERROR(IF(AB231="","",(AVERAGE(E231:F231)-AB231)-Variables!$B$14),""))</f>
        <v>-25.375</v>
      </c>
      <c r="AJ231" s="47">
        <v>45783</v>
      </c>
      <c r="AK231" s="14">
        <f>IF($AX231="Cancelled","",IFERROR(IF(AJ231="","",IF(AND(AB231="",AF231=""),"",IF(AF231&gt;AB231,AF231+Variables!$B$15+Variables!$B$16+Variables!$B$17-AJ231,AB231+Variables!$B$16+Variables!$B$17-AJ231))),""))</f>
        <v>8</v>
      </c>
      <c r="AL231" s="48" t="s">
        <v>114</v>
      </c>
      <c r="AM231" s="13" t="s">
        <v>168</v>
      </c>
      <c r="AN231" s="13" t="s">
        <v>805</v>
      </c>
      <c r="AP231" s="31">
        <v>45786</v>
      </c>
      <c r="AR231" s="13" t="s">
        <v>3256</v>
      </c>
      <c r="AS231" s="31">
        <v>45791</v>
      </c>
      <c r="AU231" s="31">
        <v>45811</v>
      </c>
      <c r="AV231" s="13" t="s">
        <v>865</v>
      </c>
      <c r="AW231" s="31">
        <v>45818</v>
      </c>
      <c r="AX231" s="13" t="str">
        <f>IF(ISNUMBER(SEARCH("cancel",#REF!)),"Cancelled",IF(AND(AS231&lt;&gt;"",AU231&lt;&gt;"",AW231&lt;&gt;""),"Closed","Open"))</f>
        <v>Closed</v>
      </c>
      <c r="AY231" s="15" t="str">
        <f t="shared" si="10"/>
        <v>All dates received</v>
      </c>
      <c r="BD231" s="13">
        <f>IF($AX231="Cancelled","",IFERROR(IF(OR(AS231="",AJ231=""),"",(AJ231+Variables!$B$18-AS231)),""))</f>
        <v>7</v>
      </c>
      <c r="BE231" s="13">
        <f>IF($AX231="Cancelled","",IFERROR(IF(OR(AW231="",AS231=""),"",(AS231+Variables!$B$19)-AW231),""))</f>
        <v>-22</v>
      </c>
      <c r="BF231" s="44">
        <f>IF($AX231="Cancelled","",IFERROR(W231*INDEX(Variables!$B$7:$D$7,IFERROR(MATCH(IF($B231="Robusta","Robusta",(IF($B231="","Arabica",$B231))&amp;" - "&amp;(IF($C231="","Commercial",$C231))),Variables!$B$1:$D$1,0),1))*(BE231/365),""))</f>
        <v>-61.30287155921409</v>
      </c>
      <c r="BG231" s="44">
        <f>IF($AX231="Cancelled","",IFERROR((W231*INDEX(Variables!$B$7:$D$7,IFERROR(MATCH(IF($B231="Robusta","Robusta",(IF($B231="","Arabica",$B231))&amp;" - "&amp;(IF($C231="","Commercial",$C231))),Variables!$B$1:$D$1,0),1))*IFERROR(IF(AB231="","",(AVERAGE(E231:F231)-AB231)-Variables!$B$14),"")/365)+(L231/16.67*INDEX(Variables!$B$8:$D$8,IFERROR(MATCH(IF($B231="Robusta","Robusta",(IF($B231="","Arabica",$B231))&amp;" - "&amp;(IF($C231="","Commercial",$C231))),Variables!$B$1:$D$1,0),1))*IFERROR(IF(AB231="","",(AVERAGE(E231:F231)-AB231)-Variables!$B$14),""))+(W231*INDEX(Variables!$B$9:$D$9,IFERROR(MATCH(IF($B231="Robusta","Robusta",(IF($B231="","Arabica",$B231))&amp;" - "&amp;(IF($C231="","Commercial",$C231))),Variables!$B$1:$D$1,0),1))*IFERROR(IF(AB231="","",(AVERAGE(E231:F231)-AB231)-Variables!$B$14),"")/365),""))</f>
        <v>-109.68134277060658</v>
      </c>
      <c r="BH231" s="44">
        <f>IF($AX231="Cancelled","",IFERROR((W231*INDEX(Variables!$B$7:$D$7,IFERROR(MATCH(IF($B231="Robusta","Robusta",(IF($B231="","Arabica",$B231))&amp;" - "&amp;(IF($C231="","Commercial",$C231))),Variables!$B$1:$D$1,0),1))*AK231/365)+(L231/16.67*INDEX(Variables!$B$8:$D$8,IFERROR(MATCH(IF($B231="Robusta","Robusta",(IF($B231="","Arabica",$B231))&amp;" - "&amp;(IF($C231="","Commercial",$C231))),Variables!$B$1:$D$1,0),1))*AK231)+(W231*INDEX(Variables!$B$9:$D$9,IFERROR(MATCH(IF($B231="Robusta","Robusta",(IF($B231="","Arabica",$B231))&amp;" - "&amp;(IF($C231="","Commercial",$C231))),Variables!$B$1:$D$1,0),1))*AK231/365),""))</f>
        <v>34.579339592703555</v>
      </c>
      <c r="BI231" s="44">
        <f>IF($AX231="Cancelled","",IFERROR((W231*INDEX(Variables!$B$7:$D$7,IFERROR(MATCH(IF($B231="Robusta","Robusta",(IF($B231="","Arabica",$B231))&amp;" - "&amp;(IF($C231="","Commercial",$C231))),Variables!$B$1:$D$1,0),1))*BD231/365)+(L231/16.67*INDEX(Variables!$B$8:$D$8,IFERROR(MATCH(IF($B231="Robusta","Robusta",(IF($B231="","Arabica",$B231))&amp;" - "&amp;(IF($C231="","Commercial",$C231))),Variables!$B$1:$D$1,0),1))*BD231)+(W231*INDEX(Variables!$B$9:$D$9,IFERROR(MATCH(IF($B231="Robusta","Robusta",(IF($B231="","Arabica",$B231))&amp;" - "&amp;(IF($C231="","Commercial",$C231))),Variables!$B$1:$D$1,0),1))*BD231/365),""))</f>
        <v>30.256922143615608</v>
      </c>
      <c r="BJ231" s="44">
        <f t="shared" si="11"/>
        <v>-14</v>
      </c>
      <c r="BK231" s="44">
        <f>IF($AX231="Cancelled","",IFERROR(IF(BJ231="","",(W231*INDEX(Variables!$B$7:$D$7,IFERROR(MATCH(IF($B231="Robusta","Robusta",(IF($B231="","Arabica",$B231))&amp;" - "&amp;(IF($C231="","Commercial",$C231))),Variables!$B$1:$D$1,0),1))*(BJ231/365))+(W231*INDEX(Variables!$B$9:$D$9,IFERROR(MATCH(IF($B231="Robusta","Robusta",(IF($B231="","Arabica",$B231))&amp;" - "&amp;(IF($C231="","Commercial",$C231))),Variables!$B$1:$D$1,0),1))*(BJ231/365))+(INDEX(Variables!$B$8:$D$8,IFERROR(MATCH(IF($B231="Robusta","Robusta",(IF($B231="","Arabica",$B231))&amp;" - "&amp;(IF($C231="","Commercial",$C231))),Variables!$B$1:$D$1,0),1))*L231/16.67)),""))</f>
        <v>-38.013844287231215</v>
      </c>
    </row>
    <row r="232" spans="1:63">
      <c r="A232" s="13" t="s">
        <v>103</v>
      </c>
      <c r="B232" s="13" t="s">
        <v>104</v>
      </c>
      <c r="C232" s="13" t="s">
        <v>105</v>
      </c>
      <c r="D232" s="31">
        <v>45707</v>
      </c>
      <c r="E232" s="31">
        <v>45717</v>
      </c>
      <c r="F232" s="31">
        <v>45747</v>
      </c>
      <c r="G232" s="13">
        <v>3786720</v>
      </c>
      <c r="H232" s="13" t="s">
        <v>800</v>
      </c>
      <c r="J232" s="13" t="s">
        <v>118</v>
      </c>
      <c r="K232" s="13">
        <v>5212</v>
      </c>
      <c r="L232" s="13">
        <v>3200</v>
      </c>
      <c r="M232" s="13">
        <v>10</v>
      </c>
      <c r="N232" s="13" t="s">
        <v>801</v>
      </c>
      <c r="O232" s="13" t="s">
        <v>802</v>
      </c>
      <c r="P232" s="13">
        <v>10111</v>
      </c>
      <c r="R232" s="13" t="s">
        <v>110</v>
      </c>
      <c r="S232" s="13" t="s">
        <v>154</v>
      </c>
      <c r="T232" s="13" t="s">
        <v>155</v>
      </c>
      <c r="U232" s="13" t="s">
        <v>125</v>
      </c>
      <c r="V232" s="13">
        <v>38.229999999999997</v>
      </c>
      <c r="W232" s="44">
        <f>IF($AX232="Cancelled","",IFERROR(((V232+INDEX(Variables!$B$6:$D$6,IFERROR(MATCH(IF($B232="Robusta","Robusta",(IF($B232="","Arabica",$B232))&amp;" - "&amp;(IF($C232="","Commercial",$C232))),Variables!$B$1:$D$1,0),1)))*22.0462)*(L232/16.67),""))</f>
        <v>1392462.8551409715</v>
      </c>
      <c r="X232" s="55" t="s">
        <v>37</v>
      </c>
      <c r="Y232" s="13" t="str">
        <f>IF($AX232="Cancelled","",IF(X232="","",IFERROR(IF(INDEX(Variables!$B$38:$B$47,MATCH(X232,Variables!$A$38:$A$47,0))="Yes","Yes","No"),"No")))</f>
        <v>Yes</v>
      </c>
      <c r="Z232" s="58">
        <v>45708</v>
      </c>
      <c r="AB232" s="31">
        <v>45713</v>
      </c>
      <c r="AC232" s="13" t="str">
        <f t="shared" si="9"/>
        <v>Approved</v>
      </c>
      <c r="AF232" s="71">
        <v>45743</v>
      </c>
      <c r="AG232" s="35">
        <f>IF($AX232="Cancelled","",IFERROR(IF(F232="","",F232-Variables!$B$13),""))</f>
        <v>45732</v>
      </c>
      <c r="AH232" s="13">
        <f>IF($AX232="Cancelled","",IFERROR(IF(AB232="","",(AVERAGE(E232:F232)-AB232)-Variables!$B$14),""))</f>
        <v>-11</v>
      </c>
      <c r="AJ232" s="47">
        <v>45744</v>
      </c>
      <c r="AK232" s="14">
        <f>IF($AX232="Cancelled","",IFERROR(IF(AJ232="","",IF(AND(AB232="",AF232=""),"",IF(AF232&gt;AB232,AF232+Variables!$B$15+Variables!$B$16+Variables!$B$17-AJ232,AB232+Variables!$B$16+Variables!$B$17-AJ232))),""))</f>
        <v>14</v>
      </c>
      <c r="AL232" s="48" t="s">
        <v>114</v>
      </c>
      <c r="AM232" s="13" t="s">
        <v>115</v>
      </c>
      <c r="AN232" s="13" t="s">
        <v>174</v>
      </c>
      <c r="AP232" s="31">
        <v>45754</v>
      </c>
      <c r="AR232" s="13">
        <v>251411803</v>
      </c>
      <c r="AS232" s="31">
        <v>45754</v>
      </c>
      <c r="AU232" s="31">
        <v>45758</v>
      </c>
      <c r="AV232" s="13" t="s">
        <v>865</v>
      </c>
      <c r="AW232" s="31">
        <v>45762</v>
      </c>
      <c r="AX232" s="13" t="str">
        <f>IF(ISNUMBER(SEARCH("cancel",#REF!)),"Cancelled",IF(AND(AS232&lt;&gt;"",AU232&lt;&gt;"",AW232&lt;&gt;""),"Closed","Open"))</f>
        <v>Closed</v>
      </c>
      <c r="AY232" s="15" t="str">
        <f t="shared" si="10"/>
        <v>All dates received</v>
      </c>
      <c r="BD232" s="13">
        <f>IF($AX232="Cancelled","",IFERROR(IF(OR(AS232="",AJ232=""),"",(AJ232+Variables!$B$18-AS232)),""))</f>
        <v>5</v>
      </c>
      <c r="BE232" s="13">
        <f>IF($AX232="Cancelled","",IFERROR(IF(OR(AW232="",AS232=""),"",(AS232+Variables!$B$19)-AW232),""))</f>
        <v>-3</v>
      </c>
      <c r="BF232" s="44">
        <f>IF($AX232="Cancelled","",IFERROR(W232*INDEX(Variables!$B$7:$D$7,IFERROR(MATCH(IF($B232="Robusta","Robusta",(IF($B232="","Arabica",$B232))&amp;" - "&amp;(IF($C232="","Commercial",$C232))),Variables!$B$1:$D$1,0),1))*(BE232/365),""))</f>
        <v>-737.99234233784512</v>
      </c>
      <c r="BG232" s="44">
        <f>IF($AX232="Cancelled","",IFERROR((W232*INDEX(Variables!$B$7:$D$7,IFERROR(MATCH(IF($B232="Robusta","Robusta",(IF($B232="","Arabica",$B232))&amp;" - "&amp;(IF($C232="","Commercial",$C232))),Variables!$B$1:$D$1,0),1))*IFERROR(IF(AB232="","",(AVERAGE(E232:F232)-AB232)-Variables!$B$14),"")/365)+(L232/16.67*INDEX(Variables!$B$8:$D$8,IFERROR(MATCH(IF($B232="Robusta","Robusta",(IF($B232="","Arabica",$B232))&amp;" - "&amp;(IF($C232="","Commercial",$C232))),Variables!$B$1:$D$1,0),1))*IFERROR(IF(AB232="","",(AVERAGE(E232:F232)-AB232)-Variables!$B$14),""))+(W232*INDEX(Variables!$B$9:$D$9,IFERROR(MATCH(IF($B232="Robusta","Robusta",(IF($B232="","Arabica",$B232))&amp;" - "&amp;(IF($C232="","Commercial",$C232))),Variables!$B$1:$D$1,0),1))*IFERROR(IF(AB232="","",(AVERAGE(E232:F232)-AB232)-Variables!$B$14),"")/365),""))</f>
        <v>-4500.857122141776</v>
      </c>
      <c r="BH232" s="44">
        <f>IF($AX232="Cancelled","",IFERROR((W232*INDEX(Variables!$B$7:$D$7,IFERROR(MATCH(IF($B232="Robusta","Robusta",(IF($B232="","Arabica",$B232))&amp;" - "&amp;(IF($C232="","Commercial",$C232))),Variables!$B$1:$D$1,0),1))*AK232/365)+(L232/16.67*INDEX(Variables!$B$8:$D$8,IFERROR(MATCH(IF($B232="Robusta","Robusta",(IF($B232="","Arabica",$B232))&amp;" - "&amp;(IF($C232="","Commercial",$C232))),Variables!$B$1:$D$1,0),1))*AK232)+(W232*INDEX(Variables!$B$9:$D$9,IFERROR(MATCH(IF($B232="Robusta","Robusta",(IF($B232="","Arabica",$B232))&amp;" - "&amp;(IF($C232="","Commercial",$C232))),Variables!$B$1:$D$1,0),1))*AK232/365),""))</f>
        <v>5728.3636099986243</v>
      </c>
      <c r="BI232" s="44">
        <f>IF($AX232="Cancelled","",IFERROR((W232*INDEX(Variables!$B$7:$D$7,IFERROR(MATCH(IF($B232="Robusta","Robusta",(IF($B232="","Arabica",$B232))&amp;" - "&amp;(IF($C232="","Commercial",$C232))),Variables!$B$1:$D$1,0),1))*BD232/365)+(L232/16.67*INDEX(Variables!$B$8:$D$8,IFERROR(MATCH(IF($B232="Robusta","Robusta",(IF($B232="","Arabica",$B232))&amp;" - "&amp;(IF($C232="","Commercial",$C232))),Variables!$B$1:$D$1,0),1))*BD232)+(W232*INDEX(Variables!$B$9:$D$9,IFERROR(MATCH(IF($B232="Robusta","Robusta",(IF($B232="","Arabica",$B232))&amp;" - "&amp;(IF($C232="","Commercial",$C232))),Variables!$B$1:$D$1,0),1))*BD232/365),""))</f>
        <v>2045.8441464280802</v>
      </c>
      <c r="BJ232" s="44">
        <f t="shared" si="11"/>
        <v>-7</v>
      </c>
      <c r="BK232" s="44">
        <f>IF($AX232="Cancelled","",IFERROR(IF(BJ232="","",(W232*INDEX(Variables!$B$7:$D$7,IFERROR(MATCH(IF($B232="Robusta","Robusta",(IF($B232="","Arabica",$B232))&amp;" - "&amp;(IF($C232="","Commercial",$C232))),Variables!$B$1:$D$1,0),1))*(BJ232/365))+(W232*INDEX(Variables!$B$9:$D$9,IFERROR(MATCH(IF($B232="Robusta","Robusta",(IF($B232="","Arabica",$B232))&amp;" - "&amp;(IF($C232="","Commercial",$C232))),Variables!$B$1:$D$1,0),1))*(BJ232/365))+(INDEX(Variables!$B$8:$D$8,IFERROR(MATCH(IF($B232="Robusta","Robusta",(IF($B232="","Arabica",$B232))&amp;" - "&amp;(IF($C232="","Commercial",$C232))),Variables!$B$1:$D$1,0),1))*L232/16.67)),""))</f>
        <v>-1584.1818049993124</v>
      </c>
    </row>
    <row r="233" spans="1:63">
      <c r="A233" s="13" t="s">
        <v>103</v>
      </c>
      <c r="B233" s="13" t="s">
        <v>104</v>
      </c>
      <c r="C233" s="13" t="s">
        <v>105</v>
      </c>
      <c r="D233" s="31">
        <v>45707</v>
      </c>
      <c r="E233" s="31">
        <v>45748</v>
      </c>
      <c r="F233" s="31">
        <v>45777</v>
      </c>
      <c r="G233" s="13">
        <v>3786721</v>
      </c>
      <c r="H233" s="13" t="s">
        <v>803</v>
      </c>
      <c r="J233" s="13" t="s">
        <v>118</v>
      </c>
      <c r="K233" s="13">
        <v>5229</v>
      </c>
      <c r="L233" s="13">
        <v>1080</v>
      </c>
      <c r="M233" s="13">
        <v>3</v>
      </c>
      <c r="N233" s="13" t="s">
        <v>804</v>
      </c>
      <c r="O233" s="13" t="s">
        <v>109</v>
      </c>
      <c r="P233" s="13">
        <v>10080</v>
      </c>
      <c r="R233" s="13" t="s">
        <v>122</v>
      </c>
      <c r="S233" s="13" t="s">
        <v>123</v>
      </c>
      <c r="T233" s="13" t="s">
        <v>124</v>
      </c>
      <c r="U233" s="13" t="s">
        <v>125</v>
      </c>
      <c r="V233" s="13">
        <v>-6.75</v>
      </c>
      <c r="W233" s="44">
        <f>IF($AX233="Cancelled","",IFERROR(((V233+INDEX(Variables!$B$6:$D$6,IFERROR(MATCH(IF($B233="Robusta","Robusta",(IF($B233="","Arabica",$B233))&amp;" - "&amp;(IF($C233="","Commercial",$C233))),Variables!$B$1:$D$1,0),1)))*22.0462)*(L233/16.67),""))</f>
        <v>405710.91534493095</v>
      </c>
      <c r="X233" s="55" t="s">
        <v>37</v>
      </c>
      <c r="Y233" s="13" t="str">
        <f>IF($AX233="Cancelled","",IF(X233="","",IFERROR(IF(INDEX(Variables!$B$38:$B$47,MATCH(X233,Variables!$A$38:$A$47,0))="Yes","Yes","No"),"No")))</f>
        <v>Yes</v>
      </c>
      <c r="Z233" s="58">
        <v>45708</v>
      </c>
      <c r="AB233" s="31">
        <v>45716</v>
      </c>
      <c r="AC233" s="13" t="str">
        <f t="shared" si="9"/>
        <v>Approved</v>
      </c>
      <c r="AF233" s="71">
        <v>45744</v>
      </c>
      <c r="AG233" s="35">
        <f>IF($AX233="Cancelled","",IFERROR(IF(F233="","",F233-Variables!$B$13),""))</f>
        <v>45762</v>
      </c>
      <c r="AH233" s="13">
        <f>IF($AX233="Cancelled","",IFERROR(IF(AB233="","",(AVERAGE(E233:F233)-AB233)-Variables!$B$14),""))</f>
        <v>16.5</v>
      </c>
      <c r="AJ233" s="47">
        <v>45745</v>
      </c>
      <c r="AK233" s="14">
        <f>IF($AX233="Cancelled","",IFERROR(IF(AJ233="","",IF(AND(AB233="",AF233=""),"",IF(AF233&gt;AB233,AF233+Variables!$B$15+Variables!$B$16+Variables!$B$17-AJ233,AB233+Variables!$B$16+Variables!$B$17-AJ233))),""))</f>
        <v>14</v>
      </c>
      <c r="AL233" s="48" t="s">
        <v>114</v>
      </c>
      <c r="AM233" s="13" t="s">
        <v>168</v>
      </c>
      <c r="AN233" s="13" t="s">
        <v>805</v>
      </c>
      <c r="AP233" s="31">
        <v>45762</v>
      </c>
      <c r="AR233" s="13" t="s">
        <v>806</v>
      </c>
      <c r="AS233" s="31">
        <v>45762</v>
      </c>
      <c r="AU233" s="31">
        <v>45764</v>
      </c>
      <c r="AV233" s="13" t="s">
        <v>865</v>
      </c>
      <c r="AW233" s="31">
        <v>45764</v>
      </c>
      <c r="AX233" s="13" t="str">
        <f>IF(ISNUMBER(SEARCH("cancel",#REF!)),"Cancelled",IF(AND(AS233&lt;&gt;"",AU233&lt;&gt;"",AW233&lt;&gt;""),"Closed","Open"))</f>
        <v>Closed</v>
      </c>
      <c r="AY233" s="15" t="str">
        <f t="shared" si="10"/>
        <v>All dates received</v>
      </c>
      <c r="BD233" s="13">
        <f>IF($AX233="Cancelled","",IFERROR(IF(OR(AS233="",AJ233=""),"",(AJ233+Variables!$B$18-AS233)),""))</f>
        <v>-2</v>
      </c>
      <c r="BE233" s="13">
        <f>IF($AX233="Cancelled","",IFERROR(IF(OR(AW233="",AS233=""),"",(AS233+Variables!$B$19)-AW233),""))</f>
        <v>3</v>
      </c>
      <c r="BF233" s="44">
        <f>IF($AX233="Cancelled","",IFERROR(W233*INDEX(Variables!$B$7:$D$7,IFERROR(MATCH(IF($B233="Robusta","Robusta",(IF($B233="","Arabica",$B233))&amp;" - "&amp;(IF($C233="","Commercial",$C233))),Variables!$B$1:$D$1,0),1))*(BE233/365),""))</f>
        <v>215.02300590784853</v>
      </c>
      <c r="BG233" s="44">
        <f>IF($AX233="Cancelled","",IFERROR((W233*INDEX(Variables!$B$7:$D$7,IFERROR(MATCH(IF($B233="Robusta","Robusta",(IF($B233="","Arabica",$B233))&amp;" - "&amp;(IF($C233="","Commercial",$C233))),Variables!$B$1:$D$1,0),1))*IFERROR(IF(AB233="","",(AVERAGE(E233:F233)-AB233)-Variables!$B$14),"")/365)+(L233/16.67*INDEX(Variables!$B$8:$D$8,IFERROR(MATCH(IF($B233="Robusta","Robusta",(IF($B233="","Arabica",$B233))&amp;" - "&amp;(IF($C233="","Commercial",$C233))),Variables!$B$1:$D$1,0),1))*IFERROR(IF(AB233="","",(AVERAGE(E233:F233)-AB233)-Variables!$B$14),""))+(W233*INDEX(Variables!$B$9:$D$9,IFERROR(MATCH(IF($B233="Robusta","Robusta",(IF($B233="","Arabica",$B233))&amp;" - "&amp;(IF($C233="","Commercial",$C233))),Variables!$B$1:$D$1,0),1))*IFERROR(IF(AB233="","",(AVERAGE(E233:F233)-AB233)-Variables!$B$14),"")/365),""))</f>
        <v>2088.8728708076414</v>
      </c>
      <c r="BH233" s="44">
        <f>IF($AX233="Cancelled","",IFERROR((W233*INDEX(Variables!$B$7:$D$7,IFERROR(MATCH(IF($B233="Robusta","Robusta",(IF($B233="","Arabica",$B233))&amp;" - "&amp;(IF($C233="","Commercial",$C233))),Variables!$B$1:$D$1,0),1))*AK233/365)+(L233/16.67*INDEX(Variables!$B$8:$D$8,IFERROR(MATCH(IF($B233="Robusta","Robusta",(IF($B233="","Arabica",$B233))&amp;" - "&amp;(IF($C233="","Commercial",$C233))),Variables!$B$1:$D$1,0),1))*AK233)+(W233*INDEX(Variables!$B$9:$D$9,IFERROR(MATCH(IF($B233="Robusta","Robusta",(IF($B233="","Arabica",$B233))&amp;" - "&amp;(IF($C233="","Commercial",$C233))),Variables!$B$1:$D$1,0),1))*AK233/365),""))</f>
        <v>1772.376981291332</v>
      </c>
      <c r="BI233" s="44">
        <f>IF($AX233="Cancelled","",IFERROR((W233*INDEX(Variables!$B$7:$D$7,IFERROR(MATCH(IF($B233="Robusta","Robusta",(IF($B233="","Arabica",$B233))&amp;" - "&amp;(IF($C233="","Commercial",$C233))),Variables!$B$1:$D$1,0),1))*BD233/365)+(L233/16.67*INDEX(Variables!$B$8:$D$8,IFERROR(MATCH(IF($B233="Robusta","Robusta",(IF($B233="","Arabica",$B233))&amp;" - "&amp;(IF($C233="","Commercial",$C233))),Variables!$B$1:$D$1,0),1))*BD233)+(W233*INDEX(Variables!$B$9:$D$9,IFERROR(MATCH(IF($B233="Robusta","Robusta",(IF($B233="","Arabica",$B233))&amp;" - "&amp;(IF($C233="","Commercial",$C233))),Variables!$B$1:$D$1,0),1))*BD233/365),""))</f>
        <v>-253.1967116130474</v>
      </c>
      <c r="BJ233" s="44">
        <f t="shared" si="11"/>
        <v>15</v>
      </c>
      <c r="BK233" s="44">
        <f>IF($AX233="Cancelled","",IFERROR(IF(BJ233="","",(W233*INDEX(Variables!$B$7:$D$7,IFERROR(MATCH(IF($B233="Robusta","Robusta",(IF($B233="","Arabica",$B233))&amp;" - "&amp;(IF($C233="","Commercial",$C233))),Variables!$B$1:$D$1,0),1))*(BJ233/365))+(W233*INDEX(Variables!$B$9:$D$9,IFERROR(MATCH(IF($B233="Robusta","Robusta",(IF($B233="","Arabica",$B233))&amp;" - "&amp;(IF($C233="","Commercial",$C233))),Variables!$B$1:$D$1,0),1))*(BJ233/365))+(INDEX(Variables!$B$8:$D$8,IFERROR(MATCH(IF($B233="Robusta","Robusta",(IF($B233="","Arabica",$B233))&amp;" - "&amp;(IF($C233="","Commercial",$C233))),Variables!$B$1:$D$1,0),1))*L233/16.67)),""))</f>
        <v>1142.9753370978553</v>
      </c>
    </row>
    <row r="234" spans="1:63">
      <c r="A234" s="13" t="s">
        <v>103</v>
      </c>
      <c r="B234" s="13" t="s">
        <v>104</v>
      </c>
      <c r="C234" s="13" t="s">
        <v>105</v>
      </c>
      <c r="D234" s="31">
        <v>45707</v>
      </c>
      <c r="E234" s="31">
        <v>45731</v>
      </c>
      <c r="F234" s="31">
        <v>45747</v>
      </c>
      <c r="G234" s="13">
        <v>3786722</v>
      </c>
      <c r="H234" s="13" t="s">
        <v>807</v>
      </c>
      <c r="J234" s="13" t="s">
        <v>118</v>
      </c>
      <c r="K234" s="13" t="s">
        <v>808</v>
      </c>
      <c r="L234" s="13">
        <v>360</v>
      </c>
      <c r="M234" s="13">
        <v>1</v>
      </c>
      <c r="N234" s="13" t="s">
        <v>809</v>
      </c>
      <c r="O234" s="13" t="s">
        <v>418</v>
      </c>
      <c r="P234" s="13">
        <v>10070</v>
      </c>
      <c r="R234" s="13" t="s">
        <v>122</v>
      </c>
      <c r="S234" s="13" t="s">
        <v>123</v>
      </c>
      <c r="T234" s="13" t="s">
        <v>124</v>
      </c>
      <c r="U234" s="13" t="s">
        <v>125</v>
      </c>
      <c r="V234" s="13">
        <v>-35</v>
      </c>
      <c r="W234" s="44">
        <f>IF($AX234="Cancelled","",IFERROR(((V234+INDEX(Variables!$B$6:$D$6,IFERROR(MATCH(IF($B234="Robusta","Robusta",(IF($B234="","Arabica",$B234))&amp;" - "&amp;(IF($C234="","Commercial",$C234))),Variables!$B$1:$D$1,0),1)))*22.0462)*(L234/16.67),""))</f>
        <v>121787.07052189561</v>
      </c>
      <c r="X234" s="55" t="s">
        <v>37</v>
      </c>
      <c r="Y234" s="13" t="str">
        <f>IF($AX234="Cancelled","",IF(X234="","",IFERROR(IF(INDEX(Variables!$B$38:$B$47,MATCH(X234,Variables!$A$38:$A$47,0))="Yes","Yes","No"),"No")))</f>
        <v>Yes</v>
      </c>
      <c r="Z234" s="58">
        <v>45708</v>
      </c>
      <c r="AB234" s="31">
        <v>45715</v>
      </c>
      <c r="AC234" s="13" t="str">
        <f t="shared" si="9"/>
        <v>Approved</v>
      </c>
      <c r="AF234" s="71">
        <v>45734</v>
      </c>
      <c r="AG234" s="35">
        <f>IF($AX234="Cancelled","",IFERROR(IF(F234="","",F234-Variables!$B$13),""))</f>
        <v>45732</v>
      </c>
      <c r="AH234" s="13">
        <f>IF($AX234="Cancelled","",IFERROR(IF(AB234="","",(AVERAGE(E234:F234)-AB234)-Variables!$B$14),""))</f>
        <v>-6</v>
      </c>
      <c r="AJ234" s="47">
        <v>45734</v>
      </c>
      <c r="AK234" s="14">
        <f>IF($AX234="Cancelled","",IFERROR(IF(AJ234="","",IF(AND(AB234="",AF234=""),"",IF(AF234&gt;AB234,AF234+Variables!$B$15+Variables!$B$16+Variables!$B$17-AJ234,AB234+Variables!$B$16+Variables!$B$17-AJ234))),""))</f>
        <v>15</v>
      </c>
      <c r="AL234" s="48" t="s">
        <v>114</v>
      </c>
      <c r="AM234" s="13" t="s">
        <v>115</v>
      </c>
      <c r="AN234" s="13" t="s">
        <v>116</v>
      </c>
      <c r="AP234" s="31">
        <v>45745</v>
      </c>
      <c r="AR234" s="13">
        <v>251413467</v>
      </c>
      <c r="AS234" s="31">
        <v>45745</v>
      </c>
      <c r="AU234" s="31">
        <v>45754</v>
      </c>
      <c r="AV234" s="13" t="s">
        <v>865</v>
      </c>
      <c r="AW234" s="31">
        <v>45754</v>
      </c>
      <c r="AX234" s="13" t="str">
        <f>IF(ISNUMBER(SEARCH("cancel",#REF!)),"Cancelled",IF(AND(AS234&lt;&gt;"",AU234&lt;&gt;"",AW234&lt;&gt;""),"Closed","Open"))</f>
        <v>Closed</v>
      </c>
      <c r="AY234" s="15" t="str">
        <f t="shared" si="10"/>
        <v>All dates received</v>
      </c>
      <c r="BD234" s="13">
        <f>IF($AX234="Cancelled","",IFERROR(IF(OR(AS234="",AJ234=""),"",(AJ234+Variables!$B$18-AS234)),""))</f>
        <v>4</v>
      </c>
      <c r="BE234" s="13">
        <f>IF($AX234="Cancelled","",IFERROR(IF(OR(AW234="",AS234=""),"",(AS234+Variables!$B$19)-AW234),""))</f>
        <v>-4</v>
      </c>
      <c r="BF234" s="44">
        <f>IF($AX234="Cancelled","",IFERROR(W234*INDEX(Variables!$B$7:$D$7,IFERROR(MATCH(IF($B234="Robusta","Robusta",(IF($B234="","Arabica",$B234))&amp;" - "&amp;(IF($C234="","Commercial",$C234))),Variables!$B$1:$D$1,0),1))*(BE234/365),""))</f>
        <v>-86.061350562268245</v>
      </c>
      <c r="BG234" s="44">
        <f>IF($AX234="Cancelled","",IFERROR((W234*INDEX(Variables!$B$7:$D$7,IFERROR(MATCH(IF($B234="Robusta","Robusta",(IF($B234="","Arabica",$B234))&amp;" - "&amp;(IF($C234="","Commercial",$C234))),Variables!$B$1:$D$1,0),1))*IFERROR(IF(AB234="","",(AVERAGE(E234:F234)-AB234)-Variables!$B$14),"")/365)+(L234/16.67*INDEX(Variables!$B$8:$D$8,IFERROR(MATCH(IF($B234="Robusta","Robusta",(IF($B234="","Arabica",$B234))&amp;" - "&amp;(IF($C234="","Commercial",$C234))),Variables!$B$1:$D$1,0),1))*IFERROR(IF(AB234="","",(AVERAGE(E234:F234)-AB234)-Variables!$B$14),""))+(W234*INDEX(Variables!$B$9:$D$9,IFERROR(MATCH(IF($B234="Robusta","Robusta",(IF($B234="","Arabica",$B234))&amp;" - "&amp;(IF($C234="","Commercial",$C234))),Variables!$B$1:$D$1,0),1))*IFERROR(IF(AB234="","",(AVERAGE(E234:F234)-AB234)-Variables!$B$14),"")/365),""))</f>
        <v>-238.75627118682462</v>
      </c>
      <c r="BH234" s="44">
        <f>IF($AX234="Cancelled","",IFERROR((W234*INDEX(Variables!$B$7:$D$7,IFERROR(MATCH(IF($B234="Robusta","Robusta",(IF($B234="","Arabica",$B234))&amp;" - "&amp;(IF($C234="","Commercial",$C234))),Variables!$B$1:$D$1,0),1))*AK234/365)+(L234/16.67*INDEX(Variables!$B$8:$D$8,IFERROR(MATCH(IF($B234="Robusta","Robusta",(IF($B234="","Arabica",$B234))&amp;" - "&amp;(IF($C234="","Commercial",$C234))),Variables!$B$1:$D$1,0),1))*AK234)+(W234*INDEX(Variables!$B$9:$D$9,IFERROR(MATCH(IF($B234="Robusta","Robusta",(IF($B234="","Arabica",$B234))&amp;" - "&amp;(IF($C234="","Commercial",$C234))),Variables!$B$1:$D$1,0),1))*AK234/365),""))</f>
        <v>596.89067796706149</v>
      </c>
      <c r="BI234" s="44">
        <f>IF($AX234="Cancelled","",IFERROR((W234*INDEX(Variables!$B$7:$D$7,IFERROR(MATCH(IF($B234="Robusta","Robusta",(IF($B234="","Arabica",$B234))&amp;" - "&amp;(IF($C234="","Commercial",$C234))),Variables!$B$1:$D$1,0),1))*BD234/365)+(L234/16.67*INDEX(Variables!$B$8:$D$8,IFERROR(MATCH(IF($B234="Robusta","Robusta",(IF($B234="","Arabica",$B234))&amp;" - "&amp;(IF($C234="","Commercial",$C234))),Variables!$B$1:$D$1,0),1))*BD234)+(W234*INDEX(Variables!$B$9:$D$9,IFERROR(MATCH(IF($B234="Robusta","Robusta",(IF($B234="","Arabica",$B234))&amp;" - "&amp;(IF($C234="","Commercial",$C234))),Variables!$B$1:$D$1,0),1))*BD234/365),""))</f>
        <v>159.1708474578831</v>
      </c>
      <c r="BJ234" s="44">
        <f t="shared" si="11"/>
        <v>2</v>
      </c>
      <c r="BK234" s="44">
        <f>IF($AX234="Cancelled","",IFERROR(IF(BJ234="","",(W234*INDEX(Variables!$B$7:$D$7,IFERROR(MATCH(IF($B234="Robusta","Robusta",(IF($B234="","Arabica",$B234))&amp;" - "&amp;(IF($C234="","Commercial",$C234))),Variables!$B$1:$D$1,0),1))*(BJ234/365))+(W234*INDEX(Variables!$B$9:$D$9,IFERROR(MATCH(IF($B234="Robusta","Robusta",(IF($B234="","Arabica",$B234))&amp;" - "&amp;(IF($C234="","Commercial",$C234))),Variables!$B$1:$D$1,0),1))*(BJ234/365))+(INDEX(Variables!$B$8:$D$8,IFERROR(MATCH(IF($B234="Robusta","Robusta",(IF($B234="","Arabica",$B234))&amp;" - "&amp;(IF($C234="","Commercial",$C234))),Variables!$B$1:$D$1,0),1))*L234/16.67)),""))</f>
        <v>61.585423728941528</v>
      </c>
    </row>
    <row r="235" spans="1:63">
      <c r="A235" s="13" t="s">
        <v>103</v>
      </c>
      <c r="B235" s="13" t="s">
        <v>104</v>
      </c>
      <c r="C235" s="13" t="s">
        <v>105</v>
      </c>
      <c r="D235" s="31">
        <v>45707</v>
      </c>
      <c r="E235" s="31">
        <v>45731</v>
      </c>
      <c r="F235" s="31">
        <v>45747</v>
      </c>
      <c r="G235" s="13">
        <v>3786722</v>
      </c>
      <c r="H235" s="13" t="s">
        <v>810</v>
      </c>
      <c r="J235" s="13" t="s">
        <v>118</v>
      </c>
      <c r="K235" s="13" t="s">
        <v>811</v>
      </c>
      <c r="L235" s="13">
        <v>360</v>
      </c>
      <c r="M235" s="13">
        <v>1</v>
      </c>
      <c r="N235" s="13" t="s">
        <v>809</v>
      </c>
      <c r="O235" s="13" t="s">
        <v>418</v>
      </c>
      <c r="P235" s="13">
        <v>10070</v>
      </c>
      <c r="R235" s="13" t="s">
        <v>122</v>
      </c>
      <c r="S235" s="13" t="s">
        <v>379</v>
      </c>
      <c r="T235" s="13" t="s">
        <v>380</v>
      </c>
      <c r="U235" s="13" t="s">
        <v>125</v>
      </c>
      <c r="V235" s="13">
        <v>-35</v>
      </c>
      <c r="W235" s="44">
        <f>IF($AX235="Cancelled","",IFERROR(((V235+INDEX(Variables!$B$6:$D$6,IFERROR(MATCH(IF($B235="Robusta","Robusta",(IF($B235="","Arabica",$B235))&amp;" - "&amp;(IF($C235="","Commercial",$C235))),Variables!$B$1:$D$1,0),1)))*22.0462)*(L235/16.67),""))</f>
        <v>121787.07052189561</v>
      </c>
      <c r="X235" s="55" t="s">
        <v>37</v>
      </c>
      <c r="Y235" s="13" t="str">
        <f>IF($AX235="Cancelled","",IF(X235="","",IFERROR(IF(INDEX(Variables!$B$38:$B$47,MATCH(X235,Variables!$A$38:$A$47,0))="Yes","Yes","No"),"No")))</f>
        <v>Yes</v>
      </c>
      <c r="Z235" s="58">
        <v>45708</v>
      </c>
      <c r="AB235" s="31">
        <v>45715</v>
      </c>
      <c r="AC235" s="13" t="str">
        <f t="shared" si="9"/>
        <v>Approved</v>
      </c>
      <c r="AF235" s="71">
        <v>45734</v>
      </c>
      <c r="AG235" s="35">
        <f>IF($AX235="Cancelled","",IFERROR(IF(F235="","",F235-Variables!$B$13),""))</f>
        <v>45732</v>
      </c>
      <c r="AH235" s="13">
        <f>IF($AX235="Cancelled","",IFERROR(IF(AB235="","",(AVERAGE(E235:F235)-AB235)-Variables!$B$14),""))</f>
        <v>-6</v>
      </c>
      <c r="AJ235" s="47">
        <v>45734</v>
      </c>
      <c r="AK235" s="14">
        <f>IF($AX235="Cancelled","",IFERROR(IF(AJ235="","",IF(AND(AB235="",AF235=""),"",IF(AF235&gt;AB235,AF235+Variables!$B$15+Variables!$B$16+Variables!$B$17-AJ235,AB235+Variables!$B$16+Variables!$B$17-AJ235))),""))</f>
        <v>15</v>
      </c>
      <c r="AL235" s="48" t="s">
        <v>114</v>
      </c>
      <c r="AM235" s="13" t="s">
        <v>115</v>
      </c>
      <c r="AN235" s="13" t="s">
        <v>116</v>
      </c>
      <c r="AP235" s="31">
        <v>45745</v>
      </c>
      <c r="AR235" s="13">
        <v>251413467</v>
      </c>
      <c r="AS235" s="31">
        <v>45745</v>
      </c>
      <c r="AU235" s="31">
        <v>45754</v>
      </c>
      <c r="AV235" s="13" t="s">
        <v>865</v>
      </c>
      <c r="AW235" s="31">
        <v>45754</v>
      </c>
      <c r="AX235" s="13" t="str">
        <f>IF(ISNUMBER(SEARCH("cancel",#REF!)),"Cancelled",IF(AND(AS235&lt;&gt;"",AU235&lt;&gt;"",AW235&lt;&gt;""),"Closed","Open"))</f>
        <v>Closed</v>
      </c>
      <c r="AY235" s="15" t="str">
        <f t="shared" si="10"/>
        <v>All dates received</v>
      </c>
      <c r="BD235" s="13">
        <f>IF($AX235="Cancelled","",IFERROR(IF(OR(AS235="",AJ235=""),"",(AJ235+Variables!$B$18-AS235)),""))</f>
        <v>4</v>
      </c>
      <c r="BE235" s="13">
        <f>IF($AX235="Cancelled","",IFERROR(IF(OR(AW235="",AS235=""),"",(AS235+Variables!$B$19)-AW235),""))</f>
        <v>-4</v>
      </c>
      <c r="BF235" s="44">
        <f>IF($AX235="Cancelled","",IFERROR(W235*INDEX(Variables!$B$7:$D$7,IFERROR(MATCH(IF($B235="Robusta","Robusta",(IF($B235="","Arabica",$B235))&amp;" - "&amp;(IF($C235="","Commercial",$C235))),Variables!$B$1:$D$1,0),1))*(BE235/365),""))</f>
        <v>-86.061350562268245</v>
      </c>
      <c r="BG235" s="44">
        <f>IF($AX235="Cancelled","",IFERROR((W235*INDEX(Variables!$B$7:$D$7,IFERROR(MATCH(IF($B235="Robusta","Robusta",(IF($B235="","Arabica",$B235))&amp;" - "&amp;(IF($C235="","Commercial",$C235))),Variables!$B$1:$D$1,0),1))*IFERROR(IF(AB235="","",(AVERAGE(E235:F235)-AB235)-Variables!$B$14),"")/365)+(L235/16.67*INDEX(Variables!$B$8:$D$8,IFERROR(MATCH(IF($B235="Robusta","Robusta",(IF($B235="","Arabica",$B235))&amp;" - "&amp;(IF($C235="","Commercial",$C235))),Variables!$B$1:$D$1,0),1))*IFERROR(IF(AB235="","",(AVERAGE(E235:F235)-AB235)-Variables!$B$14),""))+(W235*INDEX(Variables!$B$9:$D$9,IFERROR(MATCH(IF($B235="Robusta","Robusta",(IF($B235="","Arabica",$B235))&amp;" - "&amp;(IF($C235="","Commercial",$C235))),Variables!$B$1:$D$1,0),1))*IFERROR(IF(AB235="","",(AVERAGE(E235:F235)-AB235)-Variables!$B$14),"")/365),""))</f>
        <v>-238.75627118682462</v>
      </c>
      <c r="BH235" s="44">
        <f>IF($AX235="Cancelled","",IFERROR((W235*INDEX(Variables!$B$7:$D$7,IFERROR(MATCH(IF($B235="Robusta","Robusta",(IF($B235="","Arabica",$B235))&amp;" - "&amp;(IF($C235="","Commercial",$C235))),Variables!$B$1:$D$1,0),1))*AK235/365)+(L235/16.67*INDEX(Variables!$B$8:$D$8,IFERROR(MATCH(IF($B235="Robusta","Robusta",(IF($B235="","Arabica",$B235))&amp;" - "&amp;(IF($C235="","Commercial",$C235))),Variables!$B$1:$D$1,0),1))*AK235)+(W235*INDEX(Variables!$B$9:$D$9,IFERROR(MATCH(IF($B235="Robusta","Robusta",(IF($B235="","Arabica",$B235))&amp;" - "&amp;(IF($C235="","Commercial",$C235))),Variables!$B$1:$D$1,0),1))*AK235/365),""))</f>
        <v>596.89067796706149</v>
      </c>
      <c r="BI235" s="44">
        <f>IF($AX235="Cancelled","",IFERROR((W235*INDEX(Variables!$B$7:$D$7,IFERROR(MATCH(IF($B235="Robusta","Robusta",(IF($B235="","Arabica",$B235))&amp;" - "&amp;(IF($C235="","Commercial",$C235))),Variables!$B$1:$D$1,0),1))*BD235/365)+(L235/16.67*INDEX(Variables!$B$8:$D$8,IFERROR(MATCH(IF($B235="Robusta","Robusta",(IF($B235="","Arabica",$B235))&amp;" - "&amp;(IF($C235="","Commercial",$C235))),Variables!$B$1:$D$1,0),1))*BD235)+(W235*INDEX(Variables!$B$9:$D$9,IFERROR(MATCH(IF($B235="Robusta","Robusta",(IF($B235="","Arabica",$B235))&amp;" - "&amp;(IF($C235="","Commercial",$C235))),Variables!$B$1:$D$1,0),1))*BD235/365),""))</f>
        <v>159.1708474578831</v>
      </c>
      <c r="BJ235" s="44">
        <f t="shared" si="11"/>
        <v>2</v>
      </c>
      <c r="BK235" s="44">
        <f>IF($AX235="Cancelled","",IFERROR(IF(BJ235="","",(W235*INDEX(Variables!$B$7:$D$7,IFERROR(MATCH(IF($B235="Robusta","Robusta",(IF($B235="","Arabica",$B235))&amp;" - "&amp;(IF($C235="","Commercial",$C235))),Variables!$B$1:$D$1,0),1))*(BJ235/365))+(W235*INDEX(Variables!$B$9:$D$9,IFERROR(MATCH(IF($B235="Robusta","Robusta",(IF($B235="","Arabica",$B235))&amp;" - "&amp;(IF($C235="","Commercial",$C235))),Variables!$B$1:$D$1,0),1))*(BJ235/365))+(INDEX(Variables!$B$8:$D$8,IFERROR(MATCH(IF($B235="Robusta","Robusta",(IF($B235="","Arabica",$B235))&amp;" - "&amp;(IF($C235="","Commercial",$C235))),Variables!$B$1:$D$1,0),1))*L235/16.67)),""))</f>
        <v>61.585423728941528</v>
      </c>
    </row>
    <row r="236" spans="1:63">
      <c r="A236" s="13" t="s">
        <v>103</v>
      </c>
      <c r="B236" s="13" t="s">
        <v>104</v>
      </c>
      <c r="C236" s="13" t="s">
        <v>105</v>
      </c>
      <c r="D236" s="31">
        <v>45707</v>
      </c>
      <c r="E236" s="31">
        <v>45748</v>
      </c>
      <c r="F236" s="31">
        <v>45777</v>
      </c>
      <c r="G236" s="13">
        <v>3786723</v>
      </c>
      <c r="H236" s="13" t="s">
        <v>812</v>
      </c>
      <c r="J236" s="13" t="s">
        <v>454</v>
      </c>
      <c r="K236" s="13">
        <v>5231</v>
      </c>
      <c r="L236" s="13">
        <v>1800</v>
      </c>
      <c r="M236" s="13">
        <v>5</v>
      </c>
      <c r="N236" s="13" t="s">
        <v>813</v>
      </c>
      <c r="O236" s="13" t="s">
        <v>456</v>
      </c>
      <c r="P236" s="13">
        <v>10140</v>
      </c>
      <c r="R236" s="13" t="s">
        <v>122</v>
      </c>
      <c r="S236" s="13" t="s">
        <v>457</v>
      </c>
      <c r="T236" s="13" t="s">
        <v>458</v>
      </c>
      <c r="U236" s="13" t="s">
        <v>125</v>
      </c>
      <c r="V236" s="13">
        <v>-11.5</v>
      </c>
      <c r="W236" s="44">
        <f>IF($AX236="Cancelled","",IFERROR(((V236+INDEX(Variables!$B$6:$D$6,IFERROR(MATCH(IF($B236="Robusta","Robusta",(IF($B236="","Arabica",$B236))&amp;" - "&amp;(IF($C236="","Commercial",$C236))),Variables!$B$1:$D$1,0),1)))*22.0462)*(L236/16.67),""))</f>
        <v>664877.41979604075</v>
      </c>
      <c r="X236" s="55" t="s">
        <v>37</v>
      </c>
      <c r="Y236" s="13" t="str">
        <f>IF($AX236="Cancelled","",IF(X236="","",IFERROR(IF(INDEX(Variables!$B$38:$B$47,MATCH(X236,Variables!$A$38:$A$47,0))="Yes","Yes","No"),"No")))</f>
        <v>Yes</v>
      </c>
      <c r="Z236" s="58">
        <v>45751</v>
      </c>
      <c r="AB236" s="31">
        <v>45761</v>
      </c>
      <c r="AC236" s="13" t="str">
        <f t="shared" si="9"/>
        <v>Approved</v>
      </c>
      <c r="AF236" s="71">
        <f>AJ236-7</f>
        <v>45762</v>
      </c>
      <c r="AG236" s="35">
        <f>IF($AX236="Cancelled","",IFERROR(IF(F236="","",F236-Variables!$B$13),""))</f>
        <v>45762</v>
      </c>
      <c r="AH236" s="13">
        <f>IF($AX236="Cancelled","",IFERROR(IF(AB236="","",(AVERAGE(E236:F236)-AB236)-Variables!$B$14),""))</f>
        <v>-28.5</v>
      </c>
      <c r="AJ236" s="47">
        <v>45769</v>
      </c>
      <c r="AK236" s="14">
        <f>IF($AX236="Cancelled","",IFERROR(IF(AJ236="","",IF(AND(AB236="",AF236=""),"",IF(AF236&gt;AB236,AF236+Variables!$B$15+Variables!$B$16+Variables!$B$17-AJ236,AB236+Variables!$B$16+Variables!$B$17-AJ236))),""))</f>
        <v>8</v>
      </c>
      <c r="AL236" s="48" t="s">
        <v>114</v>
      </c>
      <c r="AM236" s="13" t="s">
        <v>115</v>
      </c>
      <c r="AN236" s="13" t="s">
        <v>126</v>
      </c>
      <c r="AP236" s="31">
        <v>45785</v>
      </c>
      <c r="AR236" s="13">
        <v>252664049</v>
      </c>
      <c r="AS236" s="31">
        <v>45785</v>
      </c>
      <c r="AU236" s="31">
        <v>45792</v>
      </c>
      <c r="AV236" s="13" t="s">
        <v>865</v>
      </c>
      <c r="AW236" s="31">
        <v>45792</v>
      </c>
      <c r="AX236" s="13" t="str">
        <f>IF(ISNUMBER(SEARCH("cancel",#REF!)),"Cancelled",IF(AND(AS236&lt;&gt;"",AU236&lt;&gt;"",AW236&lt;&gt;""),"Closed","Open"))</f>
        <v>Closed</v>
      </c>
      <c r="AY236" s="15" t="str">
        <f t="shared" si="10"/>
        <v>All dates received</v>
      </c>
      <c r="BD236" s="13">
        <f>IF($AX236="Cancelled","",IFERROR(IF(OR(AS236="",AJ236=""),"",(AJ236+Variables!$B$18-AS236)),""))</f>
        <v>-1</v>
      </c>
      <c r="BE236" s="13">
        <f>IF($AX236="Cancelled","",IFERROR(IF(OR(AW236="",AS236=""),"",(AS236+Variables!$B$19)-AW236),""))</f>
        <v>-2</v>
      </c>
      <c r="BF236" s="44">
        <f>IF($AX236="Cancelled","",IFERROR(W236*INDEX(Variables!$B$7:$D$7,IFERROR(MATCH(IF($B236="Robusta","Robusta",(IF($B236="","Arabica",$B236))&amp;" - "&amp;(IF($C236="","Commercial",$C236))),Variables!$B$1:$D$1,0),1))*(BE236/365),""))</f>
        <v>-234.91922607546442</v>
      </c>
      <c r="BG236" s="44">
        <f>IF($AX236="Cancelled","",IFERROR((W236*INDEX(Variables!$B$7:$D$7,IFERROR(MATCH(IF($B236="Robusta","Robusta",(IF($B236="","Arabica",$B236))&amp;" - "&amp;(IF($C236="","Commercial",$C236))),Variables!$B$1:$D$1,0),1))*IFERROR(IF(AB236="","",(AVERAGE(E236:F236)-AB236)-Variables!$B$14),"")/365)+(L236/16.67*INDEX(Variables!$B$8:$D$8,IFERROR(MATCH(IF($B236="Robusta","Robusta",(IF($B236="","Arabica",$B236))&amp;" - "&amp;(IF($C236="","Commercial",$C236))),Variables!$B$1:$D$1,0),1))*IFERROR(IF(AB236="","",(AVERAGE(E236:F236)-AB236)-Variables!$B$14),""))+(W236*INDEX(Variables!$B$9:$D$9,IFERROR(MATCH(IF($B236="Robusta","Robusta",(IF($B236="","Arabica",$B236))&amp;" - "&amp;(IF($C236="","Commercial",$C236))),Variables!$B$1:$D$1,0),1))*IFERROR(IF(AB236="","",(AVERAGE(E236:F236)-AB236)-Variables!$B$14),"")/365),""))</f>
        <v>-5955.755982736132</v>
      </c>
      <c r="BH236" s="44">
        <f>IF($AX236="Cancelled","",IFERROR((W236*INDEX(Variables!$B$7:$D$7,IFERROR(MATCH(IF($B236="Robusta","Robusta",(IF($B236="","Arabica",$B236))&amp;" - "&amp;(IF($C236="","Commercial",$C236))),Variables!$B$1:$D$1,0),1))*AK236/365)+(L236/16.67*INDEX(Variables!$B$8:$D$8,IFERROR(MATCH(IF($B236="Robusta","Robusta",(IF($B236="","Arabica",$B236))&amp;" - "&amp;(IF($C236="","Commercial",$C236))),Variables!$B$1:$D$1,0),1))*AK236)+(W236*INDEX(Variables!$B$9:$D$9,IFERROR(MATCH(IF($B236="Robusta","Robusta",(IF($B236="","Arabica",$B236))&amp;" - "&amp;(IF($C236="","Commercial",$C236))),Variables!$B$1:$D$1,0),1))*AK236/365),""))</f>
        <v>1671.7911530487386</v>
      </c>
      <c r="BI236" s="44">
        <f>IF($AX236="Cancelled","",IFERROR((W236*INDEX(Variables!$B$7:$D$7,IFERROR(MATCH(IF($B236="Robusta","Robusta",(IF($B236="","Arabica",$B236))&amp;" - "&amp;(IF($C236="","Commercial",$C236))),Variables!$B$1:$D$1,0),1))*BD236/365)+(L236/16.67*INDEX(Variables!$B$8:$D$8,IFERROR(MATCH(IF($B236="Robusta","Robusta",(IF($B236="","Arabica",$B236))&amp;" - "&amp;(IF($C236="","Commercial",$C236))),Variables!$B$1:$D$1,0),1))*BD236)+(W236*INDEX(Variables!$B$9:$D$9,IFERROR(MATCH(IF($B236="Robusta","Robusta",(IF($B236="","Arabica",$B236))&amp;" - "&amp;(IF($C236="","Commercial",$C236))),Variables!$B$1:$D$1,0),1))*BD236/365),""))</f>
        <v>-208.97389413109232</v>
      </c>
      <c r="BJ236" s="44">
        <f t="shared" si="11"/>
        <v>-8</v>
      </c>
      <c r="BK236" s="44">
        <f>IF($AX236="Cancelled","",IFERROR(IF(BJ236="","",(W236*INDEX(Variables!$B$7:$D$7,IFERROR(MATCH(IF($B236="Robusta","Robusta",(IF($B236="","Arabica",$B236))&amp;" - "&amp;(IF($C236="","Commercial",$C236))),Variables!$B$1:$D$1,0),1))*(BJ236/365))+(W236*INDEX(Variables!$B$9:$D$9,IFERROR(MATCH(IF($B236="Robusta","Robusta",(IF($B236="","Arabica",$B236))&amp;" - "&amp;(IF($C236="","Commercial",$C236))),Variables!$B$1:$D$1,0),1))*(BJ236/365))+(INDEX(Variables!$B$8:$D$8,IFERROR(MATCH(IF($B236="Robusta","Robusta",(IF($B236="","Arabica",$B236))&amp;" - "&amp;(IF($C236="","Commercial",$C236))),Variables!$B$1:$D$1,0),1))*L236/16.67)),""))</f>
        <v>-861.79115304873881</v>
      </c>
    </row>
    <row r="237" spans="1:63">
      <c r="A237" s="13" t="s">
        <v>103</v>
      </c>
      <c r="B237" s="13" t="s">
        <v>104</v>
      </c>
      <c r="C237" s="13" t="s">
        <v>105</v>
      </c>
      <c r="D237" s="31">
        <v>45708</v>
      </c>
      <c r="E237" s="31">
        <v>45717</v>
      </c>
      <c r="F237" s="31">
        <v>45747</v>
      </c>
      <c r="G237" s="13">
        <v>3786724</v>
      </c>
      <c r="H237" s="13" t="s">
        <v>814</v>
      </c>
      <c r="J237" s="13" t="s">
        <v>118</v>
      </c>
      <c r="K237" s="13">
        <v>5206</v>
      </c>
      <c r="L237" s="13">
        <v>1440</v>
      </c>
      <c r="M237" s="13">
        <v>4</v>
      </c>
      <c r="N237" s="13" t="s">
        <v>815</v>
      </c>
      <c r="O237" s="13" t="s">
        <v>428</v>
      </c>
      <c r="P237" s="13">
        <v>10310</v>
      </c>
      <c r="Q237" s="13" t="s">
        <v>745</v>
      </c>
      <c r="R237" s="13" t="s">
        <v>122</v>
      </c>
      <c r="S237" s="13" t="s">
        <v>816</v>
      </c>
      <c r="T237" s="13" t="s">
        <v>817</v>
      </c>
      <c r="U237" s="13" t="s">
        <v>125</v>
      </c>
      <c r="V237" s="13">
        <v>4.55</v>
      </c>
      <c r="W237" s="44">
        <f>IF($AX237="Cancelled","",IFERROR(((V237+INDEX(Variables!$B$6:$D$6,IFERROR(MATCH(IF($B237="Robusta","Robusta",(IF($B237="","Arabica",$B237))&amp;" - "&amp;(IF($C237="","Commercial",$C237))),Variables!$B$1:$D$1,0),1)))*22.0462)*(L237/16.67),""))</f>
        <v>562467.72914217156</v>
      </c>
      <c r="X237" s="55" t="s">
        <v>37</v>
      </c>
      <c r="Y237" s="13" t="str">
        <f>IF($AX237="Cancelled","",IF(X237="","",IFERROR(IF(INDEX(Variables!$B$38:$B$47,MATCH(X237,Variables!$A$38:$A$47,0))="Yes","Yes","No"),"No")))</f>
        <v>Yes</v>
      </c>
      <c r="Z237" s="58">
        <v>45713</v>
      </c>
      <c r="AB237" s="31">
        <v>45730</v>
      </c>
      <c r="AC237" s="13" t="str">
        <f t="shared" si="9"/>
        <v>Approved</v>
      </c>
      <c r="AF237" s="71">
        <v>45740</v>
      </c>
      <c r="AG237" s="35">
        <f>IF($AX237="Cancelled","",IFERROR(IF(F237="","",F237-Variables!$B$13),""))</f>
        <v>45732</v>
      </c>
      <c r="AH237" s="13">
        <f>IF($AX237="Cancelled","",IFERROR(IF(AB237="","",(AVERAGE(E237:F237)-AB237)-Variables!$B$14),""))</f>
        <v>-28</v>
      </c>
      <c r="AJ237" s="47">
        <v>45736</v>
      </c>
      <c r="AK237" s="14">
        <f>IF($AX237="Cancelled","",IFERROR(IF(AJ237="","",IF(AND(AB237="",AF237=""),"",IF(AF237&gt;AB237,AF237+Variables!$B$15+Variables!$B$16+Variables!$B$17-AJ237,AB237+Variables!$B$16+Variables!$B$17-AJ237))),""))</f>
        <v>19</v>
      </c>
      <c r="AL237" s="48" t="s">
        <v>114</v>
      </c>
      <c r="AM237" s="13" t="s">
        <v>115</v>
      </c>
      <c r="AN237" s="13" t="s">
        <v>281</v>
      </c>
      <c r="AP237" s="31">
        <v>45747</v>
      </c>
      <c r="AR237" s="13">
        <v>251414090</v>
      </c>
      <c r="AS237" s="31">
        <v>45747</v>
      </c>
      <c r="AU237" s="31">
        <v>45751</v>
      </c>
      <c r="AV237" s="13" t="s">
        <v>865</v>
      </c>
      <c r="AW237" s="31">
        <v>45758</v>
      </c>
      <c r="AX237" s="13" t="str">
        <f>IF(ISNUMBER(SEARCH("cancel",#REF!)),"Cancelled",IF(AND(AS237&lt;&gt;"",AU237&lt;&gt;"",AW237&lt;&gt;""),"Closed","Open"))</f>
        <v>Closed</v>
      </c>
      <c r="AY237" s="15" t="str">
        <f t="shared" si="10"/>
        <v>All dates received</v>
      </c>
      <c r="BD237" s="13">
        <f>IF($AX237="Cancelled","",IFERROR(IF(OR(AS237="",AJ237=""),"",(AJ237+Variables!$B$18-AS237)),""))</f>
        <v>4</v>
      </c>
      <c r="BE237" s="13">
        <f>IF($AX237="Cancelled","",IFERROR(IF(OR(AW237="",AS237=""),"",(AS237+Variables!$B$19)-AW237),""))</f>
        <v>-6</v>
      </c>
      <c r="BF237" s="44">
        <f>IF($AX237="Cancelled","",IFERROR(W237*INDEX(Variables!$B$7:$D$7,IFERROR(MATCH(IF($B237="Robusta","Robusta",(IF($B237="","Arabica",$B237))&amp;" - "&amp;(IF($C237="","Commercial",$C237))),Variables!$B$1:$D$1,0),1))*(BE237/365),""))</f>
        <v>-596.20531403985751</v>
      </c>
      <c r="BG237" s="44">
        <f>IF($AX237="Cancelled","",IFERROR((W237*INDEX(Variables!$B$7:$D$7,IFERROR(MATCH(IF($B237="Robusta","Robusta",(IF($B237="","Arabica",$B237))&amp;" - "&amp;(IF($C237="","Commercial",$C237))),Variables!$B$1:$D$1,0),1))*IFERROR(IF(AB237="","",(AVERAGE(E237:F237)-AB237)-Variables!$B$14),"")/365)+(L237/16.67*INDEX(Variables!$B$8:$D$8,IFERROR(MATCH(IF($B237="Robusta","Robusta",(IF($B237="","Arabica",$B237))&amp;" - "&amp;(IF($C237="","Commercial",$C237))),Variables!$B$1:$D$1,0),1))*IFERROR(IF(AB237="","",(AVERAGE(E237:F237)-AB237)-Variables!$B$14),""))+(W237*INDEX(Variables!$B$9:$D$9,IFERROR(MATCH(IF($B237="Robusta","Robusta",(IF($B237="","Arabica",$B237))&amp;" - "&amp;(IF($C237="","Commercial",$C237))),Variables!$B$1:$D$1,0),1))*IFERROR(IF(AB237="","",(AVERAGE(E237:F237)-AB237)-Variables!$B$14),"")/365),""))</f>
        <v>-4834.1605719593499</v>
      </c>
      <c r="BH237" s="44">
        <f>IF($AX237="Cancelled","",IFERROR((W237*INDEX(Variables!$B$7:$D$7,IFERROR(MATCH(IF($B237="Robusta","Robusta",(IF($B237="","Arabica",$B237))&amp;" - "&amp;(IF($C237="","Commercial",$C237))),Variables!$B$1:$D$1,0),1))*AK237/365)+(L237/16.67*INDEX(Variables!$B$8:$D$8,IFERROR(MATCH(IF($B237="Robusta","Robusta",(IF($B237="","Arabica",$B237))&amp;" - "&amp;(IF($C237="","Commercial",$C237))),Variables!$B$1:$D$1,0),1))*AK237)+(W237*INDEX(Variables!$B$9:$D$9,IFERROR(MATCH(IF($B237="Robusta","Robusta",(IF($B237="","Arabica",$B237))&amp;" - "&amp;(IF($C237="","Commercial",$C237))),Variables!$B$1:$D$1,0),1))*AK237/365),""))</f>
        <v>3280.3232452581301</v>
      </c>
      <c r="BI237" s="44">
        <f>IF($AX237="Cancelled","",IFERROR((W237*INDEX(Variables!$B$7:$D$7,IFERROR(MATCH(IF($B237="Robusta","Robusta",(IF($B237="","Arabica",$B237))&amp;" - "&amp;(IF($C237="","Commercial",$C237))),Variables!$B$1:$D$1,0),1))*BD237/365)+(L237/16.67*INDEX(Variables!$B$8:$D$8,IFERROR(MATCH(IF($B237="Robusta","Robusta",(IF($B237="","Arabica",$B237))&amp;" - "&amp;(IF($C237="","Commercial",$C237))),Variables!$B$1:$D$1,0),1))*BD237)+(W237*INDEX(Variables!$B$9:$D$9,IFERROR(MATCH(IF($B237="Robusta","Robusta",(IF($B237="","Arabica",$B237))&amp;" - "&amp;(IF($C237="","Commercial",$C237))),Variables!$B$1:$D$1,0),1))*BD237/365),""))</f>
        <v>690.59436742276409</v>
      </c>
      <c r="BJ237" s="44">
        <f t="shared" si="11"/>
        <v>0</v>
      </c>
      <c r="BK237" s="44">
        <f>IF($AX237="Cancelled","",IFERROR(IF(BJ237="","",(W237*INDEX(Variables!$B$7:$D$7,IFERROR(MATCH(IF($B237="Robusta","Robusta",(IF($B237="","Arabica",$B237))&amp;" - "&amp;(IF($C237="","Commercial",$C237))),Variables!$B$1:$D$1,0),1))*(BJ237/365))+(W237*INDEX(Variables!$B$9:$D$9,IFERROR(MATCH(IF($B237="Robusta","Robusta",(IF($B237="","Arabica",$B237))&amp;" - "&amp;(IF($C237="","Commercial",$C237))),Variables!$B$1:$D$1,0),1))*(BJ237/365))+(INDEX(Variables!$B$8:$D$8,IFERROR(MATCH(IF($B237="Robusta","Robusta",(IF($B237="","Arabica",$B237))&amp;" - "&amp;(IF($C237="","Commercial",$C237))),Variables!$B$1:$D$1,0),1))*L237/16.67)),""))</f>
        <v>72</v>
      </c>
    </row>
    <row r="238" spans="1:63">
      <c r="A238" s="13" t="s">
        <v>103</v>
      </c>
      <c r="B238" s="13" t="s">
        <v>104</v>
      </c>
      <c r="C238" s="13" t="s">
        <v>105</v>
      </c>
      <c r="D238" s="31">
        <v>45712</v>
      </c>
      <c r="E238" s="31">
        <v>45748</v>
      </c>
      <c r="F238" s="31">
        <v>45777</v>
      </c>
      <c r="G238" s="13">
        <v>3786725</v>
      </c>
      <c r="H238" s="13" t="s">
        <v>818</v>
      </c>
      <c r="J238" s="13" t="s">
        <v>118</v>
      </c>
      <c r="K238" s="13">
        <v>5215</v>
      </c>
      <c r="L238" s="13">
        <v>1440</v>
      </c>
      <c r="M238" s="13">
        <v>4</v>
      </c>
      <c r="N238" s="13" t="s">
        <v>819</v>
      </c>
      <c r="O238" s="13" t="s">
        <v>428</v>
      </c>
      <c r="P238" s="13">
        <v>10310</v>
      </c>
      <c r="Q238" s="13" t="s">
        <v>745</v>
      </c>
      <c r="R238" s="13" t="s">
        <v>122</v>
      </c>
      <c r="S238" s="13" t="s">
        <v>816</v>
      </c>
      <c r="T238" s="13" t="s">
        <v>817</v>
      </c>
      <c r="U238" s="13" t="s">
        <v>125</v>
      </c>
      <c r="V238" s="13">
        <v>15</v>
      </c>
      <c r="W238" s="44">
        <f>IF($AX238="Cancelled","",IFERROR(((V238+INDEX(Variables!$B$6:$D$6,IFERROR(MATCH(IF($B238="Robusta","Robusta",(IF($B238="","Arabica",$B238))&amp;" - "&amp;(IF($C238="","Commercial",$C238))),Variables!$B$1:$D$1,0),1)))*22.0462)*(L238/16.67),""))</f>
        <v>582368.82197960408</v>
      </c>
      <c r="X238" s="55" t="s">
        <v>37</v>
      </c>
      <c r="Y238" s="13" t="str">
        <f>IF($AX238="Cancelled","",IF(X238="","",IFERROR(IF(INDEX(Variables!$B$38:$B$47,MATCH(X238,Variables!$A$38:$A$47,0))="Yes","Yes","No"),"No")))</f>
        <v>Yes</v>
      </c>
      <c r="Z238" s="58">
        <v>45721</v>
      </c>
      <c r="AB238" s="31">
        <v>45730</v>
      </c>
      <c r="AC238" s="13" t="str">
        <f t="shared" si="9"/>
        <v>Approved</v>
      </c>
      <c r="AF238" s="71">
        <v>45737</v>
      </c>
      <c r="AG238" s="35">
        <f>IF($AX238="Cancelled","",IFERROR(IF(F238="","",F238-Variables!$B$13),""))</f>
        <v>45762</v>
      </c>
      <c r="AH238" s="13">
        <f>IF($AX238="Cancelled","",IFERROR(IF(AB238="","",(AVERAGE(E238:F238)-AB238)-Variables!$B$14),""))</f>
        <v>2.5</v>
      </c>
      <c r="AJ238" s="47">
        <v>45740</v>
      </c>
      <c r="AK238" s="14">
        <f>IF($AX238="Cancelled","",IFERROR(IF(AJ238="","",IF(AND(AB238="",AF238=""),"",IF(AF238&gt;AB238,AF238+Variables!$B$15+Variables!$B$16+Variables!$B$17-AJ238,AB238+Variables!$B$16+Variables!$B$17-AJ238))),""))</f>
        <v>12</v>
      </c>
      <c r="AL238" s="48" t="s">
        <v>114</v>
      </c>
      <c r="AM238" s="13" t="s">
        <v>115</v>
      </c>
      <c r="AN238" s="13" t="s">
        <v>820</v>
      </c>
      <c r="AP238" s="31">
        <v>45747</v>
      </c>
      <c r="AR238" s="13">
        <v>251681242</v>
      </c>
      <c r="AS238" s="31">
        <v>45747</v>
      </c>
      <c r="AU238" s="31">
        <v>45751</v>
      </c>
      <c r="AV238" s="13" t="s">
        <v>865</v>
      </c>
      <c r="AW238" s="31">
        <v>45757</v>
      </c>
      <c r="AX238" s="13" t="str">
        <f>IF(ISNUMBER(SEARCH("cancel",#REF!)),"Cancelled",IF(AND(AS238&lt;&gt;"",AU238&lt;&gt;"",AW238&lt;&gt;""),"Closed","Open"))</f>
        <v>Closed</v>
      </c>
      <c r="AY238" s="15" t="str">
        <f t="shared" si="10"/>
        <v>All dates received</v>
      </c>
      <c r="BD238" s="13">
        <f>IF($AX238="Cancelled","",IFERROR(IF(OR(AS238="",AJ238=""),"",(AJ238+Variables!$B$18-AS238)),""))</f>
        <v>8</v>
      </c>
      <c r="BE238" s="13">
        <f>IF($AX238="Cancelled","",IFERROR(IF(OR(AW238="",AS238=""),"",(AS238+Variables!$B$19)-AW238),""))</f>
        <v>-5</v>
      </c>
      <c r="BF238" s="44">
        <f>IF($AX238="Cancelled","",IFERROR(W238*INDEX(Variables!$B$7:$D$7,IFERROR(MATCH(IF($B238="Robusta","Robusta",(IF($B238="","Arabica",$B238))&amp;" - "&amp;(IF($C238="","Commercial",$C238))),Variables!$B$1:$D$1,0),1))*(BE238/365),""))</f>
        <v>-514.41675140620862</v>
      </c>
      <c r="BG238" s="44">
        <f>IF($AX238="Cancelled","",IFERROR((W238*INDEX(Variables!$B$7:$D$7,IFERROR(MATCH(IF($B238="Robusta","Robusta",(IF($B238="","Arabica",$B238))&amp;" - "&amp;(IF($C238="","Commercial",$C238))),Variables!$B$1:$D$1,0),1))*IFERROR(IF(AB238="","",(AVERAGE(E238:F238)-AB238)-Variables!$B$14),"")/365)+(L238/16.67*INDEX(Variables!$B$8:$D$8,IFERROR(MATCH(IF($B238="Robusta","Robusta",(IF($B238="","Arabica",$B238))&amp;" - "&amp;(IF($C238="","Commercial",$C238))),Variables!$B$1:$D$1,0),1))*IFERROR(IF(AB238="","",(AVERAGE(E238:F238)-AB238)-Variables!$B$14),""))+(W238*INDEX(Variables!$B$9:$D$9,IFERROR(MATCH(IF($B238="Robusta","Robusta",(IF($B238="","Arabica",$B238))&amp;" - "&amp;(IF($C238="","Commercial",$C238))),Variables!$B$1:$D$1,0),1))*IFERROR(IF(AB238="","",(AVERAGE(E238:F238)-AB238)-Variables!$B$14),"")/365),""))</f>
        <v>440.52428804359511</v>
      </c>
      <c r="BH238" s="44">
        <f>IF($AX238="Cancelled","",IFERROR((W238*INDEX(Variables!$B$7:$D$7,IFERROR(MATCH(IF($B238="Robusta","Robusta",(IF($B238="","Arabica",$B238))&amp;" - "&amp;(IF($C238="","Commercial",$C238))),Variables!$B$1:$D$1,0),1))*AK238/365)+(L238/16.67*INDEX(Variables!$B$8:$D$8,IFERROR(MATCH(IF($B238="Robusta","Robusta",(IF($B238="","Arabica",$B238))&amp;" - "&amp;(IF($C238="","Commercial",$C238))),Variables!$B$1:$D$1,0),1))*AK238)+(W238*INDEX(Variables!$B$9:$D$9,IFERROR(MATCH(IF($B238="Robusta","Robusta",(IF($B238="","Arabica",$B238))&amp;" - "&amp;(IF($C238="","Commercial",$C238))),Variables!$B$1:$D$1,0),1))*AK238/365),""))</f>
        <v>2114.5165826092566</v>
      </c>
      <c r="BI238" s="44">
        <f>IF($AX238="Cancelled","",IFERROR((W238*INDEX(Variables!$B$7:$D$7,IFERROR(MATCH(IF($B238="Robusta","Robusta",(IF($B238="","Arabica",$B238))&amp;" - "&amp;(IF($C238="","Commercial",$C238))),Variables!$B$1:$D$1,0),1))*BD238/365)+(L238/16.67*INDEX(Variables!$B$8:$D$8,IFERROR(MATCH(IF($B238="Robusta","Robusta",(IF($B238="","Arabica",$B238))&amp;" - "&amp;(IF($C238="","Commercial",$C238))),Variables!$B$1:$D$1,0),1))*BD238)+(W238*INDEX(Variables!$B$9:$D$9,IFERROR(MATCH(IF($B238="Robusta","Robusta",(IF($B238="","Arabica",$B238))&amp;" - "&amp;(IF($C238="","Commercial",$C238))),Variables!$B$1:$D$1,0),1))*BD238/365),""))</f>
        <v>1409.6777217395042</v>
      </c>
      <c r="BJ238" s="44">
        <f t="shared" si="11"/>
        <v>30</v>
      </c>
      <c r="BK238" s="44">
        <f>IF($AX238="Cancelled","",IFERROR(IF(BJ238="","",(W238*INDEX(Variables!$B$7:$D$7,IFERROR(MATCH(IF($B238="Robusta","Robusta",(IF($B238="","Arabica",$B238))&amp;" - "&amp;(IF($C238="","Commercial",$C238))),Variables!$B$1:$D$1,0),1))*(BJ238/365))+(W238*INDEX(Variables!$B$9:$D$9,IFERROR(MATCH(IF($B238="Robusta","Robusta",(IF($B238="","Arabica",$B238))&amp;" - "&amp;(IF($C238="","Commercial",$C238))),Variables!$B$1:$D$1,0),1))*(BJ238/365))+(INDEX(Variables!$B$8:$D$8,IFERROR(MATCH(IF($B238="Robusta","Robusta",(IF($B238="","Arabica",$B238))&amp;" - "&amp;(IF($C238="","Commercial",$C238))),Variables!$B$1:$D$1,0),1))*L238/16.67)),""))</f>
        <v>3198.2914565231404</v>
      </c>
    </row>
    <row r="239" spans="1:63">
      <c r="A239" s="13" t="s">
        <v>103</v>
      </c>
      <c r="B239" s="13" t="s">
        <v>104</v>
      </c>
      <c r="C239" s="13" t="s">
        <v>292</v>
      </c>
      <c r="D239" s="31">
        <v>45712</v>
      </c>
      <c r="E239" s="31">
        <v>45717</v>
      </c>
      <c r="F239" s="31">
        <v>45747</v>
      </c>
      <c r="G239" s="13">
        <v>3786726</v>
      </c>
      <c r="J239" s="13" t="s">
        <v>773</v>
      </c>
      <c r="K239" s="13" t="s">
        <v>821</v>
      </c>
      <c r="L239" s="13">
        <v>25</v>
      </c>
      <c r="M239" s="13">
        <v>1</v>
      </c>
      <c r="N239" s="13" t="s">
        <v>822</v>
      </c>
      <c r="O239" s="13" t="s">
        <v>297</v>
      </c>
      <c r="P239" s="13">
        <v>10020</v>
      </c>
      <c r="R239" s="13" t="s">
        <v>384</v>
      </c>
      <c r="S239" s="13" t="s">
        <v>776</v>
      </c>
      <c r="T239" s="13" t="s">
        <v>777</v>
      </c>
      <c r="U239" s="13" t="s">
        <v>125</v>
      </c>
      <c r="V239" s="13">
        <v>102.25</v>
      </c>
      <c r="W239" s="44">
        <f>IF($AX239="Cancelled","",IFERROR(((V239+INDEX(Variables!$B$6:$D$6,IFERROR(MATCH(IF($B239="Robusta","Robusta",(IF($B239="","Arabica",$B239))&amp;" - "&amp;(IF($C239="","Commercial",$C239))),Variables!$B$1:$D$1,0),1)))*22.0462)*(L239/16.67),""))</f>
        <v>12995.289307138572</v>
      </c>
      <c r="X239" s="55" t="s">
        <v>39</v>
      </c>
      <c r="Y239" s="13" t="str">
        <f>IF($AX239="Cancelled","",IF(X239="","",IFERROR(IF(INDEX(Variables!$B$38:$B$47,MATCH(X239,Variables!$A$38:$A$47,0))="Yes","Yes","No"),"No")))</f>
        <v>No</v>
      </c>
      <c r="Z239" s="31"/>
      <c r="AB239" s="31">
        <v>45702.875</v>
      </c>
      <c r="AC239" s="13" t="str">
        <f t="shared" si="9"/>
        <v>Approved</v>
      </c>
      <c r="AF239" s="71">
        <f>AJ239-7</f>
        <v>45734</v>
      </c>
      <c r="AG239" s="36">
        <f>IF($AX239="Cancelled","",IFERROR(IF(F239="","",F239-Variables!$B$13),""))</f>
        <v>45732</v>
      </c>
      <c r="AH239" s="13">
        <f>IF($AX239="Cancelled","",IFERROR(IF(AB239="","",(AVERAGE(E239:F239)-AB239)-Variables!$B$14),""))</f>
        <v>-0.875</v>
      </c>
      <c r="AJ239" s="47">
        <v>45741</v>
      </c>
      <c r="AK239" s="14">
        <f>IF($AX239="Cancelled","",IFERROR(IF(AJ239="","",IF(AND(AB239="",AF239=""),"",IF(AF239&gt;AB239,AF239+Variables!$B$15+Variables!$B$16+Variables!$B$17-AJ239,AB239+Variables!$B$16+Variables!$B$17-AJ239))),""))</f>
        <v>8</v>
      </c>
      <c r="AL239" s="48" t="s">
        <v>114</v>
      </c>
      <c r="AM239" s="13" t="s">
        <v>115</v>
      </c>
      <c r="AN239" s="13" t="s">
        <v>517</v>
      </c>
      <c r="AP239" s="31">
        <v>45385</v>
      </c>
      <c r="AR239" s="13">
        <v>251410456</v>
      </c>
      <c r="AS239" s="31">
        <v>45388</v>
      </c>
      <c r="AU239" s="31">
        <v>45399</v>
      </c>
      <c r="AV239" s="13" t="s">
        <v>3268</v>
      </c>
      <c r="AW239" s="31">
        <v>45399</v>
      </c>
      <c r="AX239" s="13" t="str">
        <f>IF(ISNUMBER(SEARCH("cancel",#REF!)),"Cancelled",IF(AND(AS239&lt;&gt;"",AU239&lt;&gt;"",AW239&lt;&gt;""),"Closed","Open"))</f>
        <v>Closed</v>
      </c>
      <c r="AY239" s="15" t="str">
        <f t="shared" si="10"/>
        <v>All dates received</v>
      </c>
      <c r="BD239" s="13">
        <f>IF($AX239="Cancelled","",IFERROR(IF(OR(AS239="",AJ239=""),"",(AJ239+Variables!$B$18-AS239)),""))</f>
        <v>368</v>
      </c>
      <c r="BE239" s="13">
        <f>IF($AX239="Cancelled","",IFERROR(IF(OR(AW239="",AS239=""),"",(AS239+Variables!$B$19)-AW239),""))</f>
        <v>-6</v>
      </c>
      <c r="BF239" s="44">
        <f>IF($AX239="Cancelled","",IFERROR(W239*INDEX(Variables!$B$7:$D$7,IFERROR(MATCH(IF($B239="Robusta","Robusta",(IF($B239="","Arabica",$B239))&amp;" - "&amp;(IF($C239="","Commercial",$C239))),Variables!$B$1:$D$1,0),1))*(BE239/365),""))</f>
        <v>-13.774764561546917</v>
      </c>
      <c r="BG239" s="44">
        <f>IF($AX239="Cancelled","",IFERROR((W239*INDEX(Variables!$B$7:$D$7,IFERROR(MATCH(IF($B239="Robusta","Robusta",(IF($B239="","Arabica",$B239))&amp;" - "&amp;(IF($C239="","Commercial",$C239))),Variables!$B$1:$D$1,0),1))*IFERROR(IF(AB239="","",(AVERAGE(E239:F239)-AB239)-Variables!$B$14),"")/365)+(L239/16.67*INDEX(Variables!$B$8:$D$8,IFERROR(MATCH(IF($B239="Robusta","Robusta",(IF($B239="","Arabica",$B239))&amp;" - "&amp;(IF($C239="","Commercial",$C239))),Variables!$B$1:$D$1,0),1))*IFERROR(IF(AB239="","",(AVERAGE(E239:F239)-AB239)-Variables!$B$14),""))+(W239*INDEX(Variables!$B$9:$D$9,IFERROR(MATCH(IF($B239="Robusta","Robusta",(IF($B239="","Arabica",$B239))&amp;" - "&amp;(IF($C239="","Commercial",$C239))),Variables!$B$1:$D$1,0),1))*IFERROR(IF(AB239="","",(AVERAGE(E239:F239)-AB239)-Variables!$B$14),"")/365),""))</f>
        <v>-3.1284673962782761</v>
      </c>
      <c r="BH239" s="44">
        <f>IF($AX239="Cancelled","",IFERROR((W239*INDEX(Variables!$B$7:$D$7,IFERROR(MATCH(IF($B239="Robusta","Robusta",(IF($B239="","Arabica",$B239))&amp;" - "&amp;(IF($C239="","Commercial",$C239))),Variables!$B$1:$D$1,0),1))*AK239/365)+(L239/16.67*INDEX(Variables!$B$8:$D$8,IFERROR(MATCH(IF($B239="Robusta","Robusta",(IF($B239="","Arabica",$B239))&amp;" - "&amp;(IF($C239="","Commercial",$C239))),Variables!$B$1:$D$1,0),1))*AK239)+(W239*INDEX(Variables!$B$9:$D$9,IFERROR(MATCH(IF($B239="Robusta","Robusta",(IF($B239="","Arabica",$B239))&amp;" - "&amp;(IF($C239="","Commercial",$C239))),Variables!$B$1:$D$1,0),1))*AK239/365),""))</f>
        <v>28.603130480258525</v>
      </c>
      <c r="BI239" s="44">
        <f>IF($AX239="Cancelled","",IFERROR((W239*INDEX(Variables!$B$7:$D$7,IFERROR(MATCH(IF($B239="Robusta","Robusta",(IF($B239="","Arabica",$B239))&amp;" - "&amp;(IF($C239="","Commercial",$C239))),Variables!$B$1:$D$1,0),1))*BD239/365)+(L239/16.67*INDEX(Variables!$B$8:$D$8,IFERROR(MATCH(IF($B239="Robusta","Robusta",(IF($B239="","Arabica",$B239))&amp;" - "&amp;(IF($C239="","Commercial",$C239))),Variables!$B$1:$D$1,0),1))*BD239)+(W239*INDEX(Variables!$B$9:$D$9,IFERROR(MATCH(IF($B239="Robusta","Robusta",(IF($B239="","Arabica",$B239))&amp;" - "&amp;(IF($C239="","Commercial",$C239))),Variables!$B$1:$D$1,0),1))*BD239/365),""))</f>
        <v>1315.7440020918921</v>
      </c>
      <c r="BJ239" s="44">
        <f t="shared" si="11"/>
        <v>359</v>
      </c>
      <c r="BK239" s="44">
        <f>IF($AX239="Cancelled","",IFERROR(IF(BJ239="","",(W239*INDEX(Variables!$B$7:$D$7,IFERROR(MATCH(IF($B239="Robusta","Robusta",(IF($B239="","Arabica",$B239))&amp;" - "&amp;(IF($C239="","Commercial",$C239))),Variables!$B$1:$D$1,0),1))*(BJ239/365))+(W239*INDEX(Variables!$B$9:$D$9,IFERROR(MATCH(IF($B239="Robusta","Robusta",(IF($B239="","Arabica",$B239))&amp;" - "&amp;(IF($C239="","Commercial",$C239))),Variables!$B$1:$D$1,0),1))*(BJ239/365))+(INDEX(Variables!$B$8:$D$8,IFERROR(MATCH(IF($B239="Robusta","Robusta",(IF($B239="","Arabica",$B239))&amp;" - "&amp;(IF($C239="","Commercial",$C239))),Variables!$B$1:$D$1,0),1))*L239/16.67)),""))</f>
        <v>836.06548030160127</v>
      </c>
    </row>
    <row r="240" spans="1:63">
      <c r="A240" s="13" t="s">
        <v>103</v>
      </c>
      <c r="B240" s="13" t="s">
        <v>104</v>
      </c>
      <c r="C240" s="13" t="s">
        <v>292</v>
      </c>
      <c r="D240" s="31">
        <v>45712</v>
      </c>
      <c r="E240" s="31">
        <v>45717</v>
      </c>
      <c r="F240" s="31">
        <v>45747</v>
      </c>
      <c r="G240" s="13">
        <v>3786727</v>
      </c>
      <c r="J240" s="13" t="s">
        <v>773</v>
      </c>
      <c r="K240" s="13" t="s">
        <v>823</v>
      </c>
      <c r="L240" s="13">
        <v>25</v>
      </c>
      <c r="M240" s="13">
        <v>0</v>
      </c>
      <c r="N240" s="13" t="s">
        <v>824</v>
      </c>
      <c r="O240" s="13" t="s">
        <v>297</v>
      </c>
      <c r="P240" s="13">
        <v>10020</v>
      </c>
      <c r="R240" s="13" t="s">
        <v>384</v>
      </c>
      <c r="S240" s="13" t="s">
        <v>776</v>
      </c>
      <c r="T240" s="13" t="s">
        <v>777</v>
      </c>
      <c r="U240" s="13" t="s">
        <v>125</v>
      </c>
      <c r="V240" s="13">
        <v>95</v>
      </c>
      <c r="W240" s="44">
        <f>IF($AX240="Cancelled","",IFERROR(((V240+INDEX(Variables!$B$6:$D$6,IFERROR(MATCH(IF($B240="Robusta","Robusta",(IF($B240="","Arabica",$B240))&amp;" - "&amp;(IF($C240="","Commercial",$C240))),Variables!$B$1:$D$1,0),1)))*22.0462)*(L240/16.67),""))</f>
        <v>12755.584823035391</v>
      </c>
      <c r="X240" s="55" t="s">
        <v>39</v>
      </c>
      <c r="Y240" s="13" t="str">
        <f>IF($AX240="Cancelled","",IF(X240="","",IFERROR(IF(INDEX(Variables!$B$38:$B$47,MATCH(X240,Variables!$A$38:$A$47,0))="Yes","Yes","No"),"No")))</f>
        <v>No</v>
      </c>
      <c r="Z240" s="31"/>
      <c r="AB240" s="31">
        <v>45702.875</v>
      </c>
      <c r="AC240" s="13" t="str">
        <f t="shared" si="9"/>
        <v>Approved</v>
      </c>
      <c r="AF240" s="71">
        <f>AJ240-7</f>
        <v>45734</v>
      </c>
      <c r="AG240" s="36">
        <f>IF($AX240="Cancelled","",IFERROR(IF(F240="","",F240-Variables!$B$13),""))</f>
        <v>45732</v>
      </c>
      <c r="AH240" s="13">
        <f>IF($AX240="Cancelled","",IFERROR(IF(AB240="","",(AVERAGE(E240:F240)-AB240)-Variables!$B$14),""))</f>
        <v>-0.875</v>
      </c>
      <c r="AJ240" s="47">
        <v>45741</v>
      </c>
      <c r="AK240" s="14">
        <f>IF($AX240="Cancelled","",IFERROR(IF(AJ240="","",IF(AND(AB240="",AF240=""),"",IF(AF240&gt;AB240,AF240+Variables!$B$15+Variables!$B$16+Variables!$B$17-AJ240,AB240+Variables!$B$16+Variables!$B$17-AJ240))),""))</f>
        <v>8</v>
      </c>
      <c r="AL240" s="48" t="s">
        <v>114</v>
      </c>
      <c r="AM240" s="13" t="s">
        <v>115</v>
      </c>
      <c r="AN240" s="13" t="s">
        <v>517</v>
      </c>
      <c r="AP240" s="31">
        <v>45385</v>
      </c>
      <c r="AR240" s="13">
        <v>251410456</v>
      </c>
      <c r="AS240" s="31">
        <v>45388</v>
      </c>
      <c r="AU240" s="31">
        <v>45399</v>
      </c>
      <c r="AV240" s="13" t="s">
        <v>3268</v>
      </c>
      <c r="AW240" s="31">
        <v>45399</v>
      </c>
      <c r="AX240" s="13" t="str">
        <f>IF(ISNUMBER(SEARCH("cancel",#REF!)),"Cancelled",IF(AND(AS240&lt;&gt;"",AU240&lt;&gt;"",AW240&lt;&gt;""),"Closed","Open"))</f>
        <v>Closed</v>
      </c>
      <c r="AY240" s="15" t="str">
        <f t="shared" si="10"/>
        <v>All dates received</v>
      </c>
      <c r="BD240" s="13">
        <f>IF($AX240="Cancelled","",IFERROR(IF(OR(AS240="",AJ240=""),"",(AJ240+Variables!$B$18-AS240)),""))</f>
        <v>368</v>
      </c>
      <c r="BE240" s="13">
        <f>IF($AX240="Cancelled","",IFERROR(IF(OR(AW240="",AS240=""),"",(AS240+Variables!$B$19)-AW240),""))</f>
        <v>-6</v>
      </c>
      <c r="BF240" s="44">
        <f>IF($AX240="Cancelled","",IFERROR(W240*INDEX(Variables!$B$7:$D$7,IFERROR(MATCH(IF($B240="Robusta","Robusta",(IF($B240="","Arabica",$B240))&amp;" - "&amp;(IF($C240="","Commercial",$C240))),Variables!$B$1:$D$1,0),1))*(BE240/365),""))</f>
        <v>-13.520682274124921</v>
      </c>
      <c r="BG240" s="44">
        <f>IF($AX240="Cancelled","",IFERROR((W240*INDEX(Variables!$B$7:$D$7,IFERROR(MATCH(IF($B240="Robusta","Robusta",(IF($B240="","Arabica",$B240))&amp;" - "&amp;(IF($C240="","Commercial",$C240))),Variables!$B$1:$D$1,0),1))*IFERROR(IF(AB240="","",(AVERAGE(E240:F240)-AB240)-Variables!$B$14),"")/365)+(L240/16.67*INDEX(Variables!$B$8:$D$8,IFERROR(MATCH(IF($B240="Robusta","Robusta",(IF($B240="","Arabica",$B240))&amp;" - "&amp;(IF($C240="","Commercial",$C240))),Variables!$B$1:$D$1,0),1))*IFERROR(IF(AB240="","",(AVERAGE(E240:F240)-AB240)-Variables!$B$14),""))+(W240*INDEX(Variables!$B$9:$D$9,IFERROR(MATCH(IF($B240="Robusta","Robusta",(IF($B240="","Arabica",$B240))&amp;" - "&amp;(IF($C240="","Commercial",$C240))),Variables!$B$1:$D$1,0),1))*IFERROR(IF(AB240="","",(AVERAGE(E240:F240)-AB240)-Variables!$B$14),"")/365),""))</f>
        <v>-3.0909360360874159</v>
      </c>
      <c r="BH240" s="44">
        <f>IF($AX240="Cancelled","",IFERROR((W240*INDEX(Variables!$B$7:$D$7,IFERROR(MATCH(IF($B240="Robusta","Robusta",(IF($B240="","Arabica",$B240))&amp;" - "&amp;(IF($C240="","Commercial",$C240))),Variables!$B$1:$D$1,0),1))*AK240/365)+(L240/16.67*INDEX(Variables!$B$8:$D$8,IFERROR(MATCH(IF($B240="Robusta","Robusta",(IF($B240="","Arabica",$B240))&amp;" - "&amp;(IF($C240="","Commercial",$C240))),Variables!$B$1:$D$1,0),1))*AK240)+(W240*INDEX(Variables!$B$9:$D$9,IFERROR(MATCH(IF($B240="Robusta","Robusta",(IF($B240="","Arabica",$B240))&amp;" - "&amp;(IF($C240="","Commercial",$C240))),Variables!$B$1:$D$1,0),1))*AK240/365),""))</f>
        <v>28.259986615656373</v>
      </c>
      <c r="BI240" s="44">
        <f>IF($AX240="Cancelled","",IFERROR((W240*INDEX(Variables!$B$7:$D$7,IFERROR(MATCH(IF($B240="Robusta","Robusta",(IF($B240="","Arabica",$B240))&amp;" - "&amp;(IF($C240="","Commercial",$C240))),Variables!$B$1:$D$1,0),1))*BD240/365)+(L240/16.67*INDEX(Variables!$B$8:$D$8,IFERROR(MATCH(IF($B240="Robusta","Robusta",(IF($B240="","Arabica",$B240))&amp;" - "&amp;(IF($C240="","Commercial",$C240))),Variables!$B$1:$D$1,0),1))*BD240)+(W240*INDEX(Variables!$B$9:$D$9,IFERROR(MATCH(IF($B240="Robusta","Robusta",(IF($B240="","Arabica",$B240))&amp;" - "&amp;(IF($C240="","Commercial",$C240))),Variables!$B$1:$D$1,0),1))*BD240/365),""))</f>
        <v>1299.9593843201931</v>
      </c>
      <c r="BJ240" s="44">
        <f t="shared" si="11"/>
        <v>359</v>
      </c>
      <c r="BK240" s="44">
        <f>IF($AX240="Cancelled","",IFERROR(IF(BJ240="","",(W240*INDEX(Variables!$B$7:$D$7,IFERROR(MATCH(IF($B240="Robusta","Robusta",(IF($B240="","Arabica",$B240))&amp;" - "&amp;(IF($C240="","Commercial",$C240))),Variables!$B$1:$D$1,0),1))*(BJ240/365))+(W240*INDEX(Variables!$B$9:$D$9,IFERROR(MATCH(IF($B240="Robusta","Robusta",(IF($B240="","Arabica",$B240))&amp;" - "&amp;(IF($C240="","Commercial",$C240))),Variables!$B$1:$D$1,0),1))*(BJ240/365))+(INDEX(Variables!$B$8:$D$8,IFERROR(MATCH(IF($B240="Robusta","Robusta",(IF($B240="","Arabica",$B240))&amp;" - "&amp;(IF($C240="","Commercial",$C240))),Variables!$B$1:$D$1,0),1))*L240/16.67)),""))</f>
        <v>820.66689937757974</v>
      </c>
    </row>
    <row r="241" spans="1:63">
      <c r="A241" s="13" t="s">
        <v>103</v>
      </c>
      <c r="B241" s="13" t="s">
        <v>104</v>
      </c>
      <c r="C241" s="13" t="s">
        <v>292</v>
      </c>
      <c r="D241" s="31">
        <v>45712</v>
      </c>
      <c r="E241" s="31">
        <v>45717</v>
      </c>
      <c r="F241" s="31">
        <v>45747</v>
      </c>
      <c r="G241" s="13">
        <v>3786728</v>
      </c>
      <c r="J241" s="13" t="s">
        <v>773</v>
      </c>
      <c r="K241" s="13" t="s">
        <v>825</v>
      </c>
      <c r="L241" s="13">
        <v>25</v>
      </c>
      <c r="M241" s="13">
        <v>0</v>
      </c>
      <c r="N241" s="13" t="s">
        <v>826</v>
      </c>
      <c r="O241" s="13" t="s">
        <v>297</v>
      </c>
      <c r="P241" s="13">
        <v>10020</v>
      </c>
      <c r="R241" s="13" t="s">
        <v>384</v>
      </c>
      <c r="S241" s="13" t="s">
        <v>776</v>
      </c>
      <c r="T241" s="13" t="s">
        <v>777</v>
      </c>
      <c r="U241" s="13" t="s">
        <v>125</v>
      </c>
      <c r="V241" s="13">
        <v>99</v>
      </c>
      <c r="W241" s="44">
        <f>IF($AX241="Cancelled","",IFERROR(((V241+INDEX(Variables!$B$6:$D$6,IFERROR(MATCH(IF($B241="Robusta","Robusta",(IF($B241="","Arabica",$B241))&amp;" - "&amp;(IF($C241="","Commercial",$C241))),Variables!$B$1:$D$1,0),1)))*22.0462)*(L241/16.67),""))</f>
        <v>12887.83557288542</v>
      </c>
      <c r="X241" s="55" t="s">
        <v>39</v>
      </c>
      <c r="Y241" s="13" t="str">
        <f>IF($AX241="Cancelled","",IF(X241="","",IFERROR(IF(INDEX(Variables!$B$38:$B$47,MATCH(X241,Variables!$A$38:$A$47,0))="Yes","Yes","No"),"No")))</f>
        <v>No</v>
      </c>
      <c r="Z241" s="31"/>
      <c r="AB241" s="31">
        <v>45702.875</v>
      </c>
      <c r="AC241" s="13" t="str">
        <f t="shared" si="9"/>
        <v>Approved</v>
      </c>
      <c r="AF241" s="71">
        <f>AJ241-7</f>
        <v>45734</v>
      </c>
      <c r="AG241" s="36">
        <f>IF($AX241="Cancelled","",IFERROR(IF(F241="","",F241-Variables!$B$13),""))</f>
        <v>45732</v>
      </c>
      <c r="AH241" s="13">
        <f>IF($AX241="Cancelled","",IFERROR(IF(AB241="","",(AVERAGE(E241:F241)-AB241)-Variables!$B$14),""))</f>
        <v>-0.875</v>
      </c>
      <c r="AJ241" s="47">
        <v>45741</v>
      </c>
      <c r="AK241" s="14">
        <f>IF($AX241="Cancelled","",IFERROR(IF(AJ241="","",IF(AND(AB241="",AF241=""),"",IF(AF241&gt;AB241,AF241+Variables!$B$15+Variables!$B$16+Variables!$B$17-AJ241,AB241+Variables!$B$16+Variables!$B$17-AJ241))),""))</f>
        <v>8</v>
      </c>
      <c r="AL241" s="48" t="s">
        <v>114</v>
      </c>
      <c r="AM241" s="13" t="s">
        <v>115</v>
      </c>
      <c r="AN241" s="13" t="s">
        <v>517</v>
      </c>
      <c r="AP241" s="31">
        <v>45385</v>
      </c>
      <c r="AR241" s="13">
        <v>251410456</v>
      </c>
      <c r="AS241" s="31">
        <v>45388</v>
      </c>
      <c r="AU241" s="31">
        <v>45399</v>
      </c>
      <c r="AV241" s="13" t="s">
        <v>3268</v>
      </c>
      <c r="AW241" s="31">
        <v>45399</v>
      </c>
      <c r="AX241" s="13" t="str">
        <f>IF(ISNUMBER(SEARCH("cancel",#REF!)),"Cancelled",IF(AND(AS241&lt;&gt;"",AU241&lt;&gt;"",AW241&lt;&gt;""),"Closed","Open"))</f>
        <v>Closed</v>
      </c>
      <c r="AY241" s="15" t="str">
        <f t="shared" si="10"/>
        <v>All dates received</v>
      </c>
      <c r="BD241" s="13">
        <f>IF($AX241="Cancelled","",IFERROR(IF(OR(AS241="",AJ241=""),"",(AJ241+Variables!$B$18-AS241)),""))</f>
        <v>368</v>
      </c>
      <c r="BE241" s="13">
        <f>IF($AX241="Cancelled","",IFERROR(IF(OR(AW241="",AS241=""),"",(AS241+Variables!$B$19)-AW241),""))</f>
        <v>-6</v>
      </c>
      <c r="BF241" s="44">
        <f>IF($AX241="Cancelled","",IFERROR(W241*INDEX(Variables!$B$7:$D$7,IFERROR(MATCH(IF($B241="Robusta","Robusta",(IF($B241="","Arabica",$B241))&amp;" - "&amp;(IF($C241="","Commercial",$C241))),Variables!$B$1:$D$1,0),1))*(BE241/365),""))</f>
        <v>-13.660865605116365</v>
      </c>
      <c r="BG241" s="44">
        <f>IF($AX241="Cancelled","",IFERROR((W241*INDEX(Variables!$B$7:$D$7,IFERROR(MATCH(IF($B241="Robusta","Robusta",(IF($B241="","Arabica",$B241))&amp;" - "&amp;(IF($C241="","Commercial",$C241))),Variables!$B$1:$D$1,0),1))*IFERROR(IF(AB241="","",(AVERAGE(E241:F241)-AB241)-Variables!$B$14),"")/365)+(L241/16.67*INDEX(Variables!$B$8:$D$8,IFERROR(MATCH(IF($B241="Robusta","Robusta",(IF($B241="","Arabica",$B241))&amp;" - "&amp;(IF($C241="","Commercial",$C241))),Variables!$B$1:$D$1,0),1))*IFERROR(IF(AB241="","",(AVERAGE(E241:F241)-AB241)-Variables!$B$14),""))+(W241*INDEX(Variables!$B$9:$D$9,IFERROR(MATCH(IF($B241="Robusta","Robusta",(IF($B241="","Arabica",$B241))&amp;" - "&amp;(IF($C241="","Commercial",$C241))),Variables!$B$1:$D$1,0),1))*IFERROR(IF(AB241="","",(AVERAGE(E241:F241)-AB241)-Variables!$B$14),"")/365),""))</f>
        <v>-3.111642993434097</v>
      </c>
      <c r="BH241" s="44">
        <f>IF($AX241="Cancelled","",IFERROR((W241*INDEX(Variables!$B$7:$D$7,IFERROR(MATCH(IF($B241="Robusta","Robusta",(IF($B241="","Arabica",$B241))&amp;" - "&amp;(IF($C241="","Commercial",$C241))),Variables!$B$1:$D$1,0),1))*AK241/365)+(L241/16.67*INDEX(Variables!$B$8:$D$8,IFERROR(MATCH(IF($B241="Robusta","Robusta",(IF($B241="","Arabica",$B241))&amp;" - "&amp;(IF($C241="","Commercial",$C241))),Variables!$B$1:$D$1,0),1))*AK241)+(W241*INDEX(Variables!$B$9:$D$9,IFERROR(MATCH(IF($B241="Robusta","Robusta",(IF($B241="","Arabica",$B241))&amp;" - "&amp;(IF($C241="","Commercial",$C241))),Variables!$B$1:$D$1,0),1))*AK241/365),""))</f>
        <v>28.449307368540317</v>
      </c>
      <c r="BI241" s="44">
        <f>IF($AX241="Cancelled","",IFERROR((W241*INDEX(Variables!$B$7:$D$7,IFERROR(MATCH(IF($B241="Robusta","Robusta",(IF($B241="","Arabica",$B241))&amp;" - "&amp;(IF($C241="","Commercial",$C241))),Variables!$B$1:$D$1,0),1))*BD241/365)+(L241/16.67*INDEX(Variables!$B$8:$D$8,IFERROR(MATCH(IF($B241="Robusta","Robusta",(IF($B241="","Arabica",$B241))&amp;" - "&amp;(IF($C241="","Commercial",$C241))),Variables!$B$1:$D$1,0),1))*BD241)+(W241*INDEX(Variables!$B$9:$D$9,IFERROR(MATCH(IF($B241="Robusta","Robusta",(IF($B241="","Arabica",$B241))&amp;" - "&amp;(IF($C241="","Commercial",$C241))),Variables!$B$1:$D$1,0),1))*BD241/365),""))</f>
        <v>1308.6681389528546</v>
      </c>
      <c r="BJ241" s="44">
        <f t="shared" si="11"/>
        <v>359</v>
      </c>
      <c r="BK241" s="44">
        <f>IF($AX241="Cancelled","",IFERROR(IF(BJ241="","",(W241*INDEX(Variables!$B$7:$D$7,IFERROR(MATCH(IF($B241="Robusta","Robusta",(IF($B241="","Arabica",$B241))&amp;" - "&amp;(IF($C241="","Commercial",$C241))),Variables!$B$1:$D$1,0),1))*(BJ241/365))+(W241*INDEX(Variables!$B$9:$D$9,IFERROR(MATCH(IF($B241="Robusta","Robusta",(IF($B241="","Arabica",$B241))&amp;" - "&amp;(IF($C241="","Commercial",$C241))),Variables!$B$1:$D$1,0),1))*(BJ241/365))+(INDEX(Variables!$B$8:$D$8,IFERROR(MATCH(IF($B241="Robusta","Robusta",(IF($B241="","Arabica",$B241))&amp;" - "&amp;(IF($C241="","Commercial",$C241))),Variables!$B$1:$D$1,0),1))*L241/16.67)),""))</f>
        <v>829.16266816324662</v>
      </c>
    </row>
    <row r="242" spans="1:63">
      <c r="A242" s="13" t="s">
        <v>103</v>
      </c>
      <c r="B242" s="13" t="s">
        <v>104</v>
      </c>
      <c r="C242" s="13" t="s">
        <v>292</v>
      </c>
      <c r="D242" s="31">
        <v>45712</v>
      </c>
      <c r="E242" s="31">
        <v>45717</v>
      </c>
      <c r="F242" s="31">
        <v>45747</v>
      </c>
      <c r="G242" s="13">
        <v>3786729</v>
      </c>
      <c r="J242" s="13" t="s">
        <v>773</v>
      </c>
      <c r="K242" s="13" t="s">
        <v>827</v>
      </c>
      <c r="L242" s="13">
        <v>25</v>
      </c>
      <c r="M242" s="13">
        <v>0</v>
      </c>
      <c r="N242" s="13" t="s">
        <v>828</v>
      </c>
      <c r="O242" s="13" t="s">
        <v>297</v>
      </c>
      <c r="P242" s="13">
        <v>10020</v>
      </c>
      <c r="R242" s="13" t="s">
        <v>384</v>
      </c>
      <c r="S242" s="13" t="s">
        <v>776</v>
      </c>
      <c r="T242" s="13" t="s">
        <v>777</v>
      </c>
      <c r="U242" s="13" t="s">
        <v>125</v>
      </c>
      <c r="V242" s="13">
        <v>97</v>
      </c>
      <c r="W242" s="44">
        <f>IF($AX242="Cancelled","",IFERROR(((V242+INDEX(Variables!$B$6:$D$6,IFERROR(MATCH(IF($B242="Robusta","Robusta",(IF($B242="","Arabica",$B242))&amp;" - "&amp;(IF($C242="","Commercial",$C242))),Variables!$B$1:$D$1,0),1)))*22.0462)*(L242/16.67),""))</f>
        <v>12821.710197960405</v>
      </c>
      <c r="X242" s="55" t="s">
        <v>39</v>
      </c>
      <c r="Y242" s="13" t="str">
        <f>IF($AX242="Cancelled","",IF(X242="","",IFERROR(IF(INDEX(Variables!$B$38:$B$47,MATCH(X242,Variables!$A$38:$A$47,0))="Yes","Yes","No"),"No")))</f>
        <v>No</v>
      </c>
      <c r="Z242" s="31"/>
      <c r="AB242" s="31">
        <v>45702.875</v>
      </c>
      <c r="AC242" s="13" t="str">
        <f t="shared" si="9"/>
        <v>Approved</v>
      </c>
      <c r="AF242" s="71">
        <f>AJ242-7</f>
        <v>45734</v>
      </c>
      <c r="AG242" s="36">
        <f>IF($AX242="Cancelled","",IFERROR(IF(F242="","",F242-Variables!$B$13),""))</f>
        <v>45732</v>
      </c>
      <c r="AH242" s="13">
        <f>IF($AX242="Cancelled","",IFERROR(IF(AB242="","",(AVERAGE(E242:F242)-AB242)-Variables!$B$14),""))</f>
        <v>-0.875</v>
      </c>
      <c r="AJ242" s="47">
        <v>45741</v>
      </c>
      <c r="AK242" s="14">
        <f>IF($AX242="Cancelled","",IFERROR(IF(AJ242="","",IF(AND(AB242="",AF242=""),"",IF(AF242&gt;AB242,AF242+Variables!$B$15+Variables!$B$16+Variables!$B$17-AJ242,AB242+Variables!$B$16+Variables!$B$17-AJ242))),""))</f>
        <v>8</v>
      </c>
      <c r="AL242" s="48" t="s">
        <v>114</v>
      </c>
      <c r="AM242" s="13" t="s">
        <v>115</v>
      </c>
      <c r="AN242" s="13" t="s">
        <v>517</v>
      </c>
      <c r="AP242" s="31">
        <v>45385</v>
      </c>
      <c r="AR242" s="13">
        <v>251410456</v>
      </c>
      <c r="AS242" s="31">
        <v>45388</v>
      </c>
      <c r="AU242" s="31">
        <v>45399</v>
      </c>
      <c r="AV242" s="13" t="s">
        <v>3268</v>
      </c>
      <c r="AW242" s="31">
        <v>45399</v>
      </c>
      <c r="AX242" s="13" t="str">
        <f>IF(ISNUMBER(SEARCH("cancel",#REF!)),"Cancelled",IF(AND(AS242&lt;&gt;"",AU242&lt;&gt;"",AW242&lt;&gt;""),"Closed","Open"))</f>
        <v>Closed</v>
      </c>
      <c r="AY242" s="15" t="str">
        <f t="shared" si="10"/>
        <v>All dates received</v>
      </c>
      <c r="BD242" s="13">
        <f>IF($AX242="Cancelled","",IFERROR(IF(OR(AS242="",AJ242=""),"",(AJ242+Variables!$B$18-AS242)),""))</f>
        <v>368</v>
      </c>
      <c r="BE242" s="13">
        <f>IF($AX242="Cancelled","",IFERROR(IF(OR(AW242="",AS242=""),"",(AS242+Variables!$B$19)-AW242),""))</f>
        <v>-6</v>
      </c>
      <c r="BF242" s="44">
        <f>IF($AX242="Cancelled","",IFERROR(W242*INDEX(Variables!$B$7:$D$7,IFERROR(MATCH(IF($B242="Robusta","Robusta",(IF($B242="","Arabica",$B242))&amp;" - "&amp;(IF($C242="","Commercial",$C242))),Variables!$B$1:$D$1,0),1))*(BE242/365),""))</f>
        <v>-13.590773939620643</v>
      </c>
      <c r="BG242" s="44">
        <f>IF($AX242="Cancelled","",IFERROR((W242*INDEX(Variables!$B$7:$D$7,IFERROR(MATCH(IF($B242="Robusta","Robusta",(IF($B242="","Arabica",$B242))&amp;" - "&amp;(IF($C242="","Commercial",$C242))),Variables!$B$1:$D$1,0),1))*IFERROR(IF(AB242="","",(AVERAGE(E242:F242)-AB242)-Variables!$B$14),"")/365)+(L242/16.67*INDEX(Variables!$B$8:$D$8,IFERROR(MATCH(IF($B242="Robusta","Robusta",(IF($B242="","Arabica",$B242))&amp;" - "&amp;(IF($C242="","Commercial",$C242))),Variables!$B$1:$D$1,0),1))*IFERROR(IF(AB242="","",(AVERAGE(E242:F242)-AB242)-Variables!$B$14),""))+(W242*INDEX(Variables!$B$9:$D$9,IFERROR(MATCH(IF($B242="Robusta","Robusta",(IF($B242="","Arabica",$B242))&amp;" - "&amp;(IF($C242="","Commercial",$C242))),Variables!$B$1:$D$1,0),1))*IFERROR(IF(AB242="","",(AVERAGE(E242:F242)-AB242)-Variables!$B$14),"")/365),""))</f>
        <v>-3.1012895147607562</v>
      </c>
      <c r="BH242" s="44">
        <f>IF($AX242="Cancelled","",IFERROR((W242*INDEX(Variables!$B$7:$D$7,IFERROR(MATCH(IF($B242="Robusta","Robusta",(IF($B242="","Arabica",$B242))&amp;" - "&amp;(IF($C242="","Commercial",$C242))),Variables!$B$1:$D$1,0),1))*AK242/365)+(L242/16.67*INDEX(Variables!$B$8:$D$8,IFERROR(MATCH(IF($B242="Robusta","Robusta",(IF($B242="","Arabica",$B242))&amp;" - "&amp;(IF($C242="","Commercial",$C242))),Variables!$B$1:$D$1,0),1))*AK242)+(W242*INDEX(Variables!$B$9:$D$9,IFERROR(MATCH(IF($B242="Robusta","Robusta",(IF($B242="","Arabica",$B242))&amp;" - "&amp;(IF($C242="","Commercial",$C242))),Variables!$B$1:$D$1,0),1))*AK242/365),""))</f>
        <v>28.354646992098345</v>
      </c>
      <c r="BI242" s="44">
        <f>IF($AX242="Cancelled","",IFERROR((W242*INDEX(Variables!$B$7:$D$7,IFERROR(MATCH(IF($B242="Robusta","Robusta",(IF($B242="","Arabica",$B242))&amp;" - "&amp;(IF($C242="","Commercial",$C242))),Variables!$B$1:$D$1,0),1))*BD242/365)+(L242/16.67*INDEX(Variables!$B$8:$D$8,IFERROR(MATCH(IF($B242="Robusta","Robusta",(IF($B242="","Arabica",$B242))&amp;" - "&amp;(IF($C242="","Commercial",$C242))),Variables!$B$1:$D$1,0),1))*BD242)+(W242*INDEX(Variables!$B$9:$D$9,IFERROR(MATCH(IF($B242="Robusta","Robusta",(IF($B242="","Arabica",$B242))&amp;" - "&amp;(IF($C242="","Commercial",$C242))),Variables!$B$1:$D$1,0),1))*BD242/365),""))</f>
        <v>1304.3137616365239</v>
      </c>
      <c r="BJ242" s="44">
        <f t="shared" si="11"/>
        <v>359</v>
      </c>
      <c r="BK242" s="44">
        <f>IF($AX242="Cancelled","",IFERROR(IF(BJ242="","",(W242*INDEX(Variables!$B$7:$D$7,IFERROR(MATCH(IF($B242="Robusta","Robusta",(IF($B242="","Arabica",$B242))&amp;" - "&amp;(IF($C242="","Commercial",$C242))),Variables!$B$1:$D$1,0),1))*(BJ242/365))+(W242*INDEX(Variables!$B$9:$D$9,IFERROR(MATCH(IF($B242="Robusta","Robusta",(IF($B242="","Arabica",$B242))&amp;" - "&amp;(IF($C242="","Commercial",$C242))),Variables!$B$1:$D$1,0),1))*(BJ242/365))+(INDEX(Variables!$B$8:$D$8,IFERROR(MATCH(IF($B242="Robusta","Robusta",(IF($B242="","Arabica",$B242))&amp;" - "&amp;(IF($C242="","Commercial",$C242))),Variables!$B$1:$D$1,0),1))*L242/16.67)),""))</f>
        <v>824.91478377041312</v>
      </c>
    </row>
    <row r="243" spans="1:63">
      <c r="A243" s="13" t="s">
        <v>103</v>
      </c>
      <c r="B243" s="13" t="s">
        <v>104</v>
      </c>
      <c r="C243" s="13" t="s">
        <v>292</v>
      </c>
      <c r="D243" s="31">
        <v>45712</v>
      </c>
      <c r="E243" s="31">
        <v>45717</v>
      </c>
      <c r="F243" s="31">
        <v>45747</v>
      </c>
      <c r="G243" s="13">
        <v>3786730</v>
      </c>
      <c r="J243" s="13" t="s">
        <v>773</v>
      </c>
      <c r="K243" s="13" t="s">
        <v>829</v>
      </c>
      <c r="L243" s="13">
        <v>25</v>
      </c>
      <c r="M243" s="13">
        <v>0</v>
      </c>
      <c r="N243" s="13" t="s">
        <v>830</v>
      </c>
      <c r="O243" s="13" t="s">
        <v>297</v>
      </c>
      <c r="P243" s="13">
        <v>10020</v>
      </c>
      <c r="R243" s="13" t="s">
        <v>384</v>
      </c>
      <c r="S243" s="13" t="s">
        <v>776</v>
      </c>
      <c r="T243" s="13" t="s">
        <v>777</v>
      </c>
      <c r="U243" s="13" t="s">
        <v>125</v>
      </c>
      <c r="V243" s="13">
        <v>101</v>
      </c>
      <c r="W243" s="44">
        <f>IF($AX243="Cancelled","",IFERROR(((V243+INDEX(Variables!$B$6:$D$6,IFERROR(MATCH(IF($B243="Robusta","Robusta",(IF($B243="","Arabica",$B243))&amp;" - "&amp;(IF($C243="","Commercial",$C243))),Variables!$B$1:$D$1,0),1)))*22.0462)*(L243/16.67),""))</f>
        <v>12953.960947810436</v>
      </c>
      <c r="X243" s="55" t="s">
        <v>39</v>
      </c>
      <c r="Y243" s="13" t="str">
        <f>IF($AX243="Cancelled","",IF(X243="","",IFERROR(IF(INDEX(Variables!$B$38:$B$47,MATCH(X243,Variables!$A$38:$A$47,0))="Yes","Yes","No"),"No")))</f>
        <v>No</v>
      </c>
      <c r="Z243" s="31"/>
      <c r="AB243" s="31">
        <v>45702.875</v>
      </c>
      <c r="AC243" s="13" t="str">
        <f t="shared" si="9"/>
        <v>Approved</v>
      </c>
      <c r="AF243" s="71">
        <f>AJ243-7</f>
        <v>45734</v>
      </c>
      <c r="AG243" s="36">
        <f>IF($AX243="Cancelled","",IFERROR(IF(F243="","",F243-Variables!$B$13),""))</f>
        <v>45732</v>
      </c>
      <c r="AH243" s="13">
        <f>IF($AX243="Cancelled","",IFERROR(IF(AB243="","",(AVERAGE(E243:F243)-AB243)-Variables!$B$14),""))</f>
        <v>-0.875</v>
      </c>
      <c r="AJ243" s="47">
        <v>45741</v>
      </c>
      <c r="AK243" s="14">
        <f>IF($AX243="Cancelled","",IFERROR(IF(AJ243="","",IF(AND(AB243="",AF243=""),"",IF(AF243&gt;AB243,AF243+Variables!$B$15+Variables!$B$16+Variables!$B$17-AJ243,AB243+Variables!$B$16+Variables!$B$17-AJ243))),""))</f>
        <v>8</v>
      </c>
      <c r="AL243" s="48" t="s">
        <v>114</v>
      </c>
      <c r="AM243" s="13" t="s">
        <v>115</v>
      </c>
      <c r="AN243" s="13" t="s">
        <v>517</v>
      </c>
      <c r="AP243" s="31">
        <v>45385</v>
      </c>
      <c r="AR243" s="13">
        <v>251410456</v>
      </c>
      <c r="AS243" s="31">
        <v>45388</v>
      </c>
      <c r="AU243" s="31">
        <v>45399</v>
      </c>
      <c r="AV243" s="13" t="s">
        <v>3268</v>
      </c>
      <c r="AW243" s="31">
        <v>45399</v>
      </c>
      <c r="AX243" s="13" t="str">
        <f>IF(ISNUMBER(SEARCH("cancel",#REF!)),"Cancelled",IF(AND(AS243&lt;&gt;"",AU243&lt;&gt;"",AW243&lt;&gt;""),"Closed","Open"))</f>
        <v>Closed</v>
      </c>
      <c r="AY243" s="15" t="str">
        <f t="shared" si="10"/>
        <v>All dates received</v>
      </c>
      <c r="BD243" s="13">
        <f>IF($AX243="Cancelled","",IFERROR(IF(OR(AS243="",AJ243=""),"",(AJ243+Variables!$B$18-AS243)),""))</f>
        <v>368</v>
      </c>
      <c r="BE243" s="13">
        <f>IF($AX243="Cancelled","",IFERROR(IF(OR(AW243="",AS243=""),"",(AS243+Variables!$B$19)-AW243),""))</f>
        <v>-6</v>
      </c>
      <c r="BF243" s="44">
        <f>IF($AX243="Cancelled","",IFERROR(W243*INDEX(Variables!$B$7:$D$7,IFERROR(MATCH(IF($B243="Robusta","Robusta",(IF($B243="","Arabica",$B243))&amp;" - "&amp;(IF($C243="","Commercial",$C243))),Variables!$B$1:$D$1,0),1))*(BE243/365),""))</f>
        <v>-13.730957270612089</v>
      </c>
      <c r="BG243" s="44">
        <f>IF($AX243="Cancelled","",IFERROR((W243*INDEX(Variables!$B$7:$D$7,IFERROR(MATCH(IF($B243="Robusta","Robusta",(IF($B243="","Arabica",$B243))&amp;" - "&amp;(IF($C243="","Commercial",$C243))),Variables!$B$1:$D$1,0),1))*IFERROR(IF(AB243="","",(AVERAGE(E243:F243)-AB243)-Variables!$B$14),"")/365)+(L243/16.67*INDEX(Variables!$B$8:$D$8,IFERROR(MATCH(IF($B243="Robusta","Robusta",(IF($B243="","Arabica",$B243))&amp;" - "&amp;(IF($C243="","Commercial",$C243))),Variables!$B$1:$D$1,0),1))*IFERROR(IF(AB243="","",(AVERAGE(E243:F243)-AB243)-Variables!$B$14),""))+(W243*INDEX(Variables!$B$9:$D$9,IFERROR(MATCH(IF($B243="Robusta","Robusta",(IF($B243="","Arabica",$B243))&amp;" - "&amp;(IF($C243="","Commercial",$C243))),Variables!$B$1:$D$1,0),1))*IFERROR(IF(AB243="","",(AVERAGE(E243:F243)-AB243)-Variables!$B$14),"")/365),""))</f>
        <v>-3.1219964721074382</v>
      </c>
      <c r="BH243" s="44">
        <f>IF($AX243="Cancelled","",IFERROR((W243*INDEX(Variables!$B$7:$D$7,IFERROR(MATCH(IF($B243="Robusta","Robusta",(IF($B243="","Arabica",$B243))&amp;" - "&amp;(IF($C243="","Commercial",$C243))),Variables!$B$1:$D$1,0),1))*AK243/365)+(L243/16.67*INDEX(Variables!$B$8:$D$8,IFERROR(MATCH(IF($B243="Robusta","Robusta",(IF($B243="","Arabica",$B243))&amp;" - "&amp;(IF($C243="","Commercial",$C243))),Variables!$B$1:$D$1,0),1))*AK243)+(W243*INDEX(Variables!$B$9:$D$9,IFERROR(MATCH(IF($B243="Robusta","Robusta",(IF($B243="","Arabica",$B243))&amp;" - "&amp;(IF($C243="","Commercial",$C243))),Variables!$B$1:$D$1,0),1))*AK243/365),""))</f>
        <v>28.54396774498229</v>
      </c>
      <c r="BI243" s="44">
        <f>IF($AX243="Cancelled","",IFERROR((W243*INDEX(Variables!$B$7:$D$7,IFERROR(MATCH(IF($B243="Robusta","Robusta",(IF($B243="","Arabica",$B243))&amp;" - "&amp;(IF($C243="","Commercial",$C243))),Variables!$B$1:$D$1,0),1))*BD243/365)+(L243/16.67*INDEX(Variables!$B$8:$D$8,IFERROR(MATCH(IF($B243="Robusta","Robusta",(IF($B243="","Arabica",$B243))&amp;" - "&amp;(IF($C243="","Commercial",$C243))),Variables!$B$1:$D$1,0),1))*BD243)+(W243*INDEX(Variables!$B$9:$D$9,IFERROR(MATCH(IF($B243="Robusta","Robusta",(IF($B243="","Arabica",$B243))&amp;" - "&amp;(IF($C243="","Commercial",$C243))),Variables!$B$1:$D$1,0),1))*BD243/365),""))</f>
        <v>1313.0225162691854</v>
      </c>
      <c r="BJ243" s="44">
        <f t="shared" si="11"/>
        <v>359</v>
      </c>
      <c r="BK243" s="44">
        <f>IF($AX243="Cancelled","",IFERROR(IF(BJ243="","",(W243*INDEX(Variables!$B$7:$D$7,IFERROR(MATCH(IF($B243="Robusta","Robusta",(IF($B243="","Arabica",$B243))&amp;" - "&amp;(IF($C243="","Commercial",$C243))),Variables!$B$1:$D$1,0),1))*(BJ243/365))+(W243*INDEX(Variables!$B$9:$D$9,IFERROR(MATCH(IF($B243="Robusta","Robusta",(IF($B243="","Arabica",$B243))&amp;" - "&amp;(IF($C243="","Commercial",$C243))),Variables!$B$1:$D$1,0),1))*(BJ243/365))+(INDEX(Variables!$B$8:$D$8,IFERROR(MATCH(IF($B243="Robusta","Robusta",(IF($B243="","Arabica",$B243))&amp;" - "&amp;(IF($C243="","Commercial",$C243))),Variables!$B$1:$D$1,0),1))*L243/16.67)),""))</f>
        <v>833.41055255608012</v>
      </c>
    </row>
    <row r="244" spans="1:63">
      <c r="A244" s="13" t="s">
        <v>103</v>
      </c>
      <c r="B244" s="13" t="s">
        <v>104</v>
      </c>
      <c r="C244" s="13" t="s">
        <v>292</v>
      </c>
      <c r="D244" s="31">
        <v>45712</v>
      </c>
      <c r="E244" s="31">
        <v>45717</v>
      </c>
      <c r="F244" s="31">
        <v>45747</v>
      </c>
      <c r="G244" s="13">
        <v>3786731</v>
      </c>
      <c r="J244" s="13" t="s">
        <v>773</v>
      </c>
      <c r="K244" s="13" t="s">
        <v>831</v>
      </c>
      <c r="L244" s="13">
        <v>40</v>
      </c>
      <c r="M244" s="13">
        <v>0</v>
      </c>
      <c r="N244" s="13" t="s">
        <v>832</v>
      </c>
      <c r="O244" s="13" t="s">
        <v>297</v>
      </c>
      <c r="P244" s="13">
        <v>10020</v>
      </c>
      <c r="R244" s="13" t="s">
        <v>239</v>
      </c>
      <c r="S244" s="13" t="s">
        <v>776</v>
      </c>
      <c r="T244" s="13" t="s">
        <v>777</v>
      </c>
      <c r="U244" s="13" t="s">
        <v>125</v>
      </c>
      <c r="V244" s="13">
        <v>108</v>
      </c>
      <c r="W244" s="44">
        <f>IF($AX244="Cancelled","",IFERROR(((V244+INDEX(Variables!$B$6:$D$6,IFERROR(MATCH(IF($B244="Robusta","Robusta",(IF($B244="","Arabica",$B244))&amp;" - "&amp;(IF($C244="","Commercial",$C244))),Variables!$B$1:$D$1,0),1)))*22.0462)*(L244/16.67),""))</f>
        <v>21096.639616076784</v>
      </c>
      <c r="X244" s="55" t="s">
        <v>39</v>
      </c>
      <c r="Y244" s="13" t="str">
        <f>IF($AX244="Cancelled","",IF(X244="","",IFERROR(IF(INDEX(Variables!$B$38:$B$47,MATCH(X244,Variables!$A$38:$A$47,0))="Yes","Yes","No"),"No")))</f>
        <v>No</v>
      </c>
      <c r="Z244" s="31"/>
      <c r="AB244" s="31">
        <v>45702.875</v>
      </c>
      <c r="AC244" s="13" t="str">
        <f t="shared" si="9"/>
        <v>Approved</v>
      </c>
      <c r="AF244" s="71">
        <f>AJ244-7</f>
        <v>45734</v>
      </c>
      <c r="AG244" s="36">
        <f>IF($AX244="Cancelled","",IFERROR(IF(F244="","",F244-Variables!$B$13),""))</f>
        <v>45732</v>
      </c>
      <c r="AH244" s="13">
        <f>IF($AX244="Cancelled","",IFERROR(IF(AB244="","",(AVERAGE(E244:F244)-AB244)-Variables!$B$14),""))</f>
        <v>-0.875</v>
      </c>
      <c r="AJ244" s="47">
        <v>45741</v>
      </c>
      <c r="AK244" s="14">
        <f>IF($AX244="Cancelled","",IFERROR(IF(AJ244="","",IF(AND(AB244="",AF244=""),"",IF(AF244&gt;AB244,AF244+Variables!$B$15+Variables!$B$16+Variables!$B$17-AJ244,AB244+Variables!$B$16+Variables!$B$17-AJ244))),""))</f>
        <v>8</v>
      </c>
      <c r="AL244" s="48" t="s">
        <v>114</v>
      </c>
      <c r="AM244" s="13" t="s">
        <v>115</v>
      </c>
      <c r="AN244" s="13" t="s">
        <v>517</v>
      </c>
      <c r="AP244" s="31">
        <v>45385</v>
      </c>
      <c r="AR244" s="13">
        <v>251410456</v>
      </c>
      <c r="AS244" s="31">
        <v>45388</v>
      </c>
      <c r="AU244" s="31">
        <v>45399</v>
      </c>
      <c r="AV244" s="13" t="s">
        <v>3268</v>
      </c>
      <c r="AW244" s="31">
        <v>45399</v>
      </c>
      <c r="AX244" s="13" t="str">
        <f>IF(ISNUMBER(SEARCH("cancel",#REF!)),"Cancelled",IF(AND(AS244&lt;&gt;"",AU244&lt;&gt;"",AW244&lt;&gt;""),"Closed","Open"))</f>
        <v>Closed</v>
      </c>
      <c r="AY244" s="15" t="str">
        <f t="shared" si="10"/>
        <v>All dates received</v>
      </c>
      <c r="BD244" s="13">
        <f>IF($AX244="Cancelled","",IFERROR(IF(OR(AS244="",AJ244=""),"",(AJ244+Variables!$B$18-AS244)),""))</f>
        <v>368</v>
      </c>
      <c r="BE244" s="13">
        <f>IF($AX244="Cancelled","",IFERROR(IF(OR(AW244="",AS244=""),"",(AS244+Variables!$B$19)-AW244),""))</f>
        <v>-6</v>
      </c>
      <c r="BF244" s="44">
        <f>IF($AX244="Cancelled","",IFERROR(W244*INDEX(Variables!$B$7:$D$7,IFERROR(MATCH(IF($B244="Robusta","Robusta",(IF($B244="","Arabica",$B244))&amp;" - "&amp;(IF($C244="","Commercial",$C244))),Variables!$B$1:$D$1,0),1))*(BE244/365),""))</f>
        <v>-22.362044959755391</v>
      </c>
      <c r="BG244" s="44">
        <f>IF($AX244="Cancelled","",IFERROR((W244*INDEX(Variables!$B$7:$D$7,IFERROR(MATCH(IF($B244="Robusta","Robusta",(IF($B244="","Arabica",$B244))&amp;" - "&amp;(IF($C244="","Commercial",$C244))),Variables!$B$1:$D$1,0),1))*IFERROR(IF(AB244="","",(AVERAGE(E244:F244)-AB244)-Variables!$B$14),"")/365)+(L244/16.67*INDEX(Variables!$B$8:$D$8,IFERROR(MATCH(IF($B244="Robusta","Robusta",(IF($B244="","Arabica",$B244))&amp;" - "&amp;(IF($C244="","Commercial",$C244))),Variables!$B$1:$D$1,0),1))*IFERROR(IF(AB244="","",(AVERAGE(E244:F244)-AB244)-Variables!$B$14),""))+(W244*INDEX(Variables!$B$9:$D$9,IFERROR(MATCH(IF($B244="Robusta","Robusta",(IF($B244="","Arabica",$B244))&amp;" - "&amp;(IF($C244="","Commercial",$C244))),Variables!$B$1:$D$1,0),1))*IFERROR(IF(AB244="","",(AVERAGE(E244:F244)-AB244)-Variables!$B$14),"")/365),""))</f>
        <v>-5.0531738359426086</v>
      </c>
      <c r="BH244" s="44">
        <f>IF($AX244="Cancelled","",IFERROR((W244*INDEX(Variables!$B$7:$D$7,IFERROR(MATCH(IF($B244="Robusta","Robusta",(IF($B244="","Arabica",$B244))&amp;" - "&amp;(IF($C244="","Commercial",$C244))),Variables!$B$1:$D$1,0),1))*AK244/365)+(L244/16.67*INDEX(Variables!$B$8:$D$8,IFERROR(MATCH(IF($B244="Robusta","Robusta",(IF($B244="","Arabica",$B244))&amp;" - "&amp;(IF($C244="","Commercial",$C244))),Variables!$B$1:$D$1,0),1))*AK244)+(W244*INDEX(Variables!$B$9:$D$9,IFERROR(MATCH(IF($B244="Robusta","Robusta",(IF($B244="","Arabica",$B244))&amp;" - "&amp;(IF($C244="","Commercial",$C244))),Variables!$B$1:$D$1,0),1))*AK244/365),""))</f>
        <v>46.200446500046709</v>
      </c>
      <c r="BI244" s="44">
        <f>IF($AX244="Cancelled","",IFERROR((W244*INDEX(Variables!$B$7:$D$7,IFERROR(MATCH(IF($B244="Robusta","Robusta",(IF($B244="","Arabica",$B244))&amp;" - "&amp;(IF($C244="","Commercial",$C244))),Variables!$B$1:$D$1,0),1))*BD244/365)+(L244/16.67*INDEX(Variables!$B$8:$D$8,IFERROR(MATCH(IF($B244="Robusta","Robusta",(IF($B244="","Arabica",$B244))&amp;" - "&amp;(IF($C244="","Commercial",$C244))),Variables!$B$1:$D$1,0),1))*BD244)+(W244*INDEX(Variables!$B$9:$D$9,IFERROR(MATCH(IF($B244="Robusta","Robusta",(IF($B244="","Arabica",$B244))&amp;" - "&amp;(IF($C244="","Commercial",$C244))),Variables!$B$1:$D$1,0),1))*BD244/365),""))</f>
        <v>2125.2205390021491</v>
      </c>
      <c r="BJ244" s="44">
        <f t="shared" si="11"/>
        <v>359</v>
      </c>
      <c r="BK244" s="44">
        <f>IF($AX244="Cancelled","",IFERROR(IF(BJ244="","",(W244*INDEX(Variables!$B$7:$D$7,IFERROR(MATCH(IF($B244="Robusta","Robusta",(IF($B244="","Arabica",$B244))&amp;" - "&amp;(IF($C244="","Commercial",$C244))),Variables!$B$1:$D$1,0),1))*(BJ244/365))+(W244*INDEX(Variables!$B$9:$D$9,IFERROR(MATCH(IF($B244="Robusta","Robusta",(IF($B244="","Arabica",$B244))&amp;" - "&amp;(IF($C244="","Commercial",$C244))),Variables!$B$1:$D$1,0),1))*(BJ244/365))+(INDEX(Variables!$B$8:$D$8,IFERROR(MATCH(IF($B244="Robusta","Robusta",(IF($B244="","Arabica",$B244))&amp;" - "&amp;(IF($C244="","Commercial",$C244))),Variables!$B$1:$D$1,0),1))*L244/16.67)),""))</f>
        <v>1357.245036689596</v>
      </c>
    </row>
    <row r="245" spans="1:63">
      <c r="A245" s="13" t="s">
        <v>103</v>
      </c>
      <c r="B245" s="13" t="s">
        <v>104</v>
      </c>
      <c r="C245" s="13" t="s">
        <v>292</v>
      </c>
      <c r="D245" s="31">
        <v>45712</v>
      </c>
      <c r="E245" s="31">
        <v>45717</v>
      </c>
      <c r="F245" s="31">
        <v>45747</v>
      </c>
      <c r="G245" s="13">
        <v>3786732</v>
      </c>
      <c r="J245" s="13" t="s">
        <v>773</v>
      </c>
      <c r="K245" s="13" t="s">
        <v>833</v>
      </c>
      <c r="L245" s="13">
        <v>40</v>
      </c>
      <c r="M245" s="13">
        <v>0</v>
      </c>
      <c r="N245" s="13" t="s">
        <v>834</v>
      </c>
      <c r="O245" s="13" t="s">
        <v>297</v>
      </c>
      <c r="P245" s="13">
        <v>10020</v>
      </c>
      <c r="R245" s="13" t="s">
        <v>239</v>
      </c>
      <c r="S245" s="13" t="s">
        <v>776</v>
      </c>
      <c r="T245" s="13" t="s">
        <v>777</v>
      </c>
      <c r="U245" s="13" t="s">
        <v>125</v>
      </c>
      <c r="V245" s="13">
        <v>83</v>
      </c>
      <c r="W245" s="44">
        <f>IF($AX245="Cancelled","",IFERROR(((V245+INDEX(Variables!$B$6:$D$6,IFERROR(MATCH(IF($B245="Robusta","Robusta",(IF($B245="","Arabica",$B245))&amp;" - "&amp;(IF($C245="","Commercial",$C245))),Variables!$B$1:$D$1,0),1)))*22.0462)*(L245/16.67),""))</f>
        <v>19774.132117576482</v>
      </c>
      <c r="X245" s="55" t="s">
        <v>39</v>
      </c>
      <c r="Y245" s="13" t="str">
        <f>IF($AX245="Cancelled","",IF(X245="","",IFERROR(IF(INDEX(Variables!$B$38:$B$47,MATCH(X245,Variables!$A$38:$A$47,0))="Yes","Yes","No"),"No")))</f>
        <v>No</v>
      </c>
      <c r="Z245" s="31"/>
      <c r="AB245" s="31">
        <v>45702.875</v>
      </c>
      <c r="AC245" s="13" t="str">
        <f t="shared" si="9"/>
        <v>Approved</v>
      </c>
      <c r="AF245" s="71">
        <f>AJ245-7</f>
        <v>45734</v>
      </c>
      <c r="AG245" s="36">
        <f>IF($AX245="Cancelled","",IFERROR(IF(F245="","",F245-Variables!$B$13),""))</f>
        <v>45732</v>
      </c>
      <c r="AH245" s="13">
        <f>IF($AX245="Cancelled","",IFERROR(IF(AB245="","",(AVERAGE(E245:F245)-AB245)-Variables!$B$14),""))</f>
        <v>-0.875</v>
      </c>
      <c r="AJ245" s="47">
        <v>45741</v>
      </c>
      <c r="AK245" s="14">
        <f>IF($AX245="Cancelled","",IFERROR(IF(AJ245="","",IF(AND(AB245="",AF245=""),"",IF(AF245&gt;AB245,AF245+Variables!$B$15+Variables!$B$16+Variables!$B$17-AJ245,AB245+Variables!$B$16+Variables!$B$17-AJ245))),""))</f>
        <v>8</v>
      </c>
      <c r="AL245" s="48" t="s">
        <v>114</v>
      </c>
      <c r="AM245" s="13" t="s">
        <v>115</v>
      </c>
      <c r="AN245" s="13" t="s">
        <v>517</v>
      </c>
      <c r="AP245" s="31">
        <v>45385</v>
      </c>
      <c r="AR245" s="13">
        <v>251410456</v>
      </c>
      <c r="AS245" s="31">
        <v>45388</v>
      </c>
      <c r="AU245" s="31">
        <v>45399</v>
      </c>
      <c r="AV245" s="13" t="s">
        <v>3268</v>
      </c>
      <c r="AW245" s="31">
        <v>45399</v>
      </c>
      <c r="AX245" s="13" t="str">
        <f>IF(ISNUMBER(SEARCH("cancel",#REF!)),"Cancelled",IF(AND(AS245&lt;&gt;"",AU245&lt;&gt;"",AW245&lt;&gt;""),"Closed","Open"))</f>
        <v>Closed</v>
      </c>
      <c r="AY245" s="15" t="str">
        <f t="shared" si="10"/>
        <v>All dates received</v>
      </c>
      <c r="BD245" s="13">
        <f>IF($AX245="Cancelled","",IFERROR(IF(OR(AS245="",AJ245=""),"",(AJ245+Variables!$B$18-AS245)),""))</f>
        <v>368</v>
      </c>
      <c r="BE245" s="13">
        <f>IF($AX245="Cancelled","",IFERROR(IF(OR(AW245="",AS245=""),"",(AS245+Variables!$B$19)-AW245),""))</f>
        <v>-6</v>
      </c>
      <c r="BF245" s="44">
        <f>IF($AX245="Cancelled","",IFERROR(W245*INDEX(Variables!$B$7:$D$7,IFERROR(MATCH(IF($B245="Robusta","Robusta",(IF($B245="","Arabica",$B245))&amp;" - "&amp;(IF($C245="","Commercial",$C245))),Variables!$B$1:$D$1,0),1))*(BE245/365),""))</f>
        <v>-20.960211649840936</v>
      </c>
      <c r="BG245" s="44">
        <f>IF($AX245="Cancelled","",IFERROR((W245*INDEX(Variables!$B$7:$D$7,IFERROR(MATCH(IF($B245="Robusta","Robusta",(IF($B245="","Arabica",$B245))&amp;" - "&amp;(IF($C245="","Commercial",$C245))),Variables!$B$1:$D$1,0),1))*IFERROR(IF(AB245="","",(AVERAGE(E245:F245)-AB245)-Variables!$B$14),"")/365)+(L245/16.67*INDEX(Variables!$B$8:$D$8,IFERROR(MATCH(IF($B245="Robusta","Robusta",(IF($B245="","Arabica",$B245))&amp;" - "&amp;(IF($C245="","Commercial",$C245))),Variables!$B$1:$D$1,0),1))*IFERROR(IF(AB245="","",(AVERAGE(E245:F245)-AB245)-Variables!$B$14),""))+(W245*INDEX(Variables!$B$9:$D$9,IFERROR(MATCH(IF($B245="Robusta","Robusta",(IF($B245="","Arabica",$B245))&amp;" - "&amp;(IF($C245="","Commercial",$C245))),Variables!$B$1:$D$1,0),1))*IFERROR(IF(AB245="","",(AVERAGE(E245:F245)-AB245)-Variables!$B$14),"")/365),""))</f>
        <v>-4.8461042624757953</v>
      </c>
      <c r="BH245" s="44">
        <f>IF($AX245="Cancelled","",IFERROR((W245*INDEX(Variables!$B$7:$D$7,IFERROR(MATCH(IF($B245="Robusta","Robusta",(IF($B245="","Arabica",$B245))&amp;" - "&amp;(IF($C245="","Commercial",$C245))),Variables!$B$1:$D$1,0),1))*AK245/365)+(L245/16.67*INDEX(Variables!$B$8:$D$8,IFERROR(MATCH(IF($B245="Robusta","Robusta",(IF($B245="","Arabica",$B245))&amp;" - "&amp;(IF($C245="","Commercial",$C245))),Variables!$B$1:$D$1,0),1))*AK245)+(W245*INDEX(Variables!$B$9:$D$9,IFERROR(MATCH(IF($B245="Robusta","Robusta",(IF($B245="","Arabica",$B245))&amp;" - "&amp;(IF($C245="","Commercial",$C245))),Variables!$B$1:$D$1,0),1))*AK245/365),""))</f>
        <v>44.307238971207262</v>
      </c>
      <c r="BI245" s="44">
        <f>IF($AX245="Cancelled","",IFERROR((W245*INDEX(Variables!$B$7:$D$7,IFERROR(MATCH(IF($B245="Robusta","Robusta",(IF($B245="","Arabica",$B245))&amp;" - "&amp;(IF($C245="","Commercial",$C245))),Variables!$B$1:$D$1,0),1))*BD245/365)+(L245/16.67*INDEX(Variables!$B$8:$D$8,IFERROR(MATCH(IF($B245="Robusta","Robusta",(IF($B245="","Arabica",$B245))&amp;" - "&amp;(IF($C245="","Commercial",$C245))),Variables!$B$1:$D$1,0),1))*BD245)+(W245*INDEX(Variables!$B$9:$D$9,IFERROR(MATCH(IF($B245="Robusta","Robusta",(IF($B245="","Arabica",$B245))&amp;" - "&amp;(IF($C245="","Commercial",$C245))),Variables!$B$1:$D$1,0),1))*BD245/365),""))</f>
        <v>2038.1329926755343</v>
      </c>
      <c r="BJ245" s="44">
        <f t="shared" si="11"/>
        <v>359</v>
      </c>
      <c r="BK245" s="44">
        <f>IF($AX245="Cancelled","",IFERROR(IF(BJ245="","",(W245*INDEX(Variables!$B$7:$D$7,IFERROR(MATCH(IF($B245="Robusta","Robusta",(IF($B245="","Arabica",$B245))&amp;" - "&amp;(IF($C245="","Commercial",$C245))),Variables!$B$1:$D$1,0),1))*(BJ245/365))+(W245*INDEX(Variables!$B$9:$D$9,IFERROR(MATCH(IF($B245="Robusta","Robusta",(IF($B245="","Arabica",$B245))&amp;" - "&amp;(IF($C245="","Commercial",$C245))),Variables!$B$1:$D$1,0),1))*(BJ245/365))+(INDEX(Variables!$B$8:$D$8,IFERROR(MATCH(IF($B245="Robusta","Robusta",(IF($B245="","Arabica",$B245))&amp;" - "&amp;(IF($C245="","Commercial",$C245))),Variables!$B$1:$D$1,0),1))*L245/16.67)),""))</f>
        <v>1272.287348832926</v>
      </c>
    </row>
    <row r="246" spans="1:63">
      <c r="A246" s="13" t="s">
        <v>103</v>
      </c>
      <c r="B246" s="13" t="s">
        <v>104</v>
      </c>
      <c r="C246" s="13" t="s">
        <v>292</v>
      </c>
      <c r="D246" s="31">
        <v>45712</v>
      </c>
      <c r="E246" s="31">
        <v>45717</v>
      </c>
      <c r="F246" s="31">
        <v>45747</v>
      </c>
      <c r="G246" s="13">
        <v>3786733</v>
      </c>
      <c r="J246" s="13" t="s">
        <v>773</v>
      </c>
      <c r="K246" s="13" t="s">
        <v>835</v>
      </c>
      <c r="L246" s="13">
        <v>15</v>
      </c>
      <c r="M246" s="13">
        <v>0</v>
      </c>
      <c r="N246" s="13" t="s">
        <v>836</v>
      </c>
      <c r="O246" s="13" t="s">
        <v>304</v>
      </c>
      <c r="P246" s="13">
        <v>10010</v>
      </c>
      <c r="R246" s="13" t="s">
        <v>384</v>
      </c>
      <c r="S246" s="13" t="s">
        <v>776</v>
      </c>
      <c r="T246" s="13" t="s">
        <v>777</v>
      </c>
      <c r="U246" s="13" t="s">
        <v>125</v>
      </c>
      <c r="V246" s="13">
        <v>85</v>
      </c>
      <c r="W246" s="44">
        <f>IF($AX246="Cancelled","",IFERROR(((V246+INDEX(Variables!$B$6:$D$6,IFERROR(MATCH(IF($B246="Robusta","Robusta",(IF($B246="","Arabica",$B246))&amp;" - "&amp;(IF($C246="","Commercial",$C246))),Variables!$B$1:$D$1,0),1)))*22.0462)*(L246/16.67),""))</f>
        <v>7454.9747690461909</v>
      </c>
      <c r="X246" s="55" t="s">
        <v>39</v>
      </c>
      <c r="Y246" s="13" t="str">
        <f>IF($AX246="Cancelled","",IF(X246="","",IFERROR(IF(INDEX(Variables!$B$38:$B$47,MATCH(X246,Variables!$A$38:$A$47,0))="Yes","Yes","No"),"No")))</f>
        <v>No</v>
      </c>
      <c r="Z246" s="31"/>
      <c r="AB246" s="31">
        <v>45702.875</v>
      </c>
      <c r="AC246" s="13" t="str">
        <f t="shared" si="9"/>
        <v>Approved</v>
      </c>
      <c r="AF246" s="71">
        <f>AJ246-7</f>
        <v>45734</v>
      </c>
      <c r="AG246" s="36">
        <f>IF($AX246="Cancelled","",IFERROR(IF(F246="","",F246-Variables!$B$13),""))</f>
        <v>45732</v>
      </c>
      <c r="AH246" s="13">
        <f>IF($AX246="Cancelled","",IFERROR(IF(AB246="","",(AVERAGE(E246:F246)-AB246)-Variables!$B$14),""))</f>
        <v>-0.875</v>
      </c>
      <c r="AJ246" s="47">
        <v>45741</v>
      </c>
      <c r="AK246" s="14">
        <f>IF($AX246="Cancelled","",IFERROR(IF(AJ246="","",IF(AND(AB246="",AF246=""),"",IF(AF246&gt;AB246,AF246+Variables!$B$15+Variables!$B$16+Variables!$B$17-AJ246,AB246+Variables!$B$16+Variables!$B$17-AJ246))),""))</f>
        <v>8</v>
      </c>
      <c r="AL246" s="48" t="s">
        <v>114</v>
      </c>
      <c r="AM246" s="13" t="s">
        <v>115</v>
      </c>
      <c r="AN246" s="13" t="s">
        <v>517</v>
      </c>
      <c r="AP246" s="31">
        <v>45385</v>
      </c>
      <c r="AR246" s="13">
        <v>251410456</v>
      </c>
      <c r="AS246" s="31">
        <v>45388</v>
      </c>
      <c r="AU246" s="31">
        <v>45399</v>
      </c>
      <c r="AV246" s="13" t="s">
        <v>3268</v>
      </c>
      <c r="AW246" s="31">
        <v>45399</v>
      </c>
      <c r="AX246" s="13" t="str">
        <f>IF(ISNUMBER(SEARCH("cancel",#REF!)),"Cancelled",IF(AND(AS246&lt;&gt;"",AU246&lt;&gt;"",AW246&lt;&gt;""),"Closed","Open"))</f>
        <v>Closed</v>
      </c>
      <c r="AY246" s="15" t="str">
        <f t="shared" si="10"/>
        <v>All dates received</v>
      </c>
      <c r="BD246" s="13">
        <f>IF($AX246="Cancelled","",IFERROR(IF(OR(AS246="",AJ246=""),"",(AJ246+Variables!$B$18-AS246)),""))</f>
        <v>368</v>
      </c>
      <c r="BE246" s="13">
        <f>IF($AX246="Cancelled","",IFERROR(IF(OR(AW246="",AS246=""),"",(AS246+Variables!$B$19)-AW246),""))</f>
        <v>-6</v>
      </c>
      <c r="BF246" s="44">
        <f>IF($AX246="Cancelled","",IFERROR(W246*INDEX(Variables!$B$7:$D$7,IFERROR(MATCH(IF($B246="Robusta","Robusta",(IF($B246="","Arabica",$B246))&amp;" - "&amp;(IF($C246="","Commercial",$C246))),Variables!$B$1:$D$1,0),1))*(BE246/365),""))</f>
        <v>-7.9021343679877853</v>
      </c>
      <c r="BG246" s="44">
        <f>IF($AX246="Cancelled","",IFERROR((W246*INDEX(Variables!$B$7:$D$7,IFERROR(MATCH(IF($B246="Robusta","Robusta",(IF($B246="","Arabica",$B246))&amp;" - "&amp;(IF($C246="","Commercial",$C246))),Variables!$B$1:$D$1,0),1))*IFERROR(IF(AB246="","",(AVERAGE(E246:F246)-AB246)-Variables!$B$14),"")/365)+(L246/16.67*INDEX(Variables!$B$8:$D$8,IFERROR(MATCH(IF($B246="Robusta","Robusta",(IF($B246="","Arabica",$B246))&amp;" - "&amp;(IF($C246="","Commercial",$C246))),Variables!$B$1:$D$1,0),1))*IFERROR(IF(AB246="","",(AVERAGE(E246:F246)-AB246)-Variables!$B$14),""))+(W246*INDEX(Variables!$B$9:$D$9,IFERROR(MATCH(IF($B246="Robusta","Robusta",(IF($B246="","Arabica",$B246))&amp;" - "&amp;(IF($C246="","Commercial",$C246))),Variables!$B$1:$D$1,0),1))*IFERROR(IF(AB246="","",(AVERAGE(E246:F246)-AB246)-Variables!$B$14),"")/365),""))</f>
        <v>-1.8235011856324277</v>
      </c>
      <c r="BH246" s="44">
        <f>IF($AX246="Cancelled","",IFERROR((W246*INDEX(Variables!$B$7:$D$7,IFERROR(MATCH(IF($B246="Robusta","Robusta",(IF($B246="","Arabica",$B246))&amp;" - "&amp;(IF($C246="","Commercial",$C246))),Variables!$B$1:$D$1,0),1))*AK246/365)+(L246/16.67*INDEX(Variables!$B$8:$D$8,IFERROR(MATCH(IF($B246="Robusta","Robusta",(IF($B246="","Arabica",$B246))&amp;" - "&amp;(IF($C246="","Commercial",$C246))),Variables!$B$1:$D$1,0),1))*AK246)+(W246*INDEX(Variables!$B$9:$D$9,IFERROR(MATCH(IF($B246="Robusta","Robusta",(IF($B246="","Arabica",$B246))&amp;" - "&amp;(IF($C246="","Commercial",$C246))),Variables!$B$1:$D$1,0),1))*AK246/365),""))</f>
        <v>16.672010840067912</v>
      </c>
      <c r="BI246" s="44">
        <f>IF($AX246="Cancelled","",IFERROR((W246*INDEX(Variables!$B$7:$D$7,IFERROR(MATCH(IF($B246="Robusta","Robusta",(IF($B246="","Arabica",$B246))&amp;" - "&amp;(IF($C246="","Commercial",$C246))),Variables!$B$1:$D$1,0),1))*BD246/365)+(L246/16.67*INDEX(Variables!$B$8:$D$8,IFERROR(MATCH(IF($B246="Robusta","Robusta",(IF($B246="","Arabica",$B246))&amp;" - "&amp;(IF($C246="","Commercial",$C246))),Variables!$B$1:$D$1,0),1))*BD246)+(W246*INDEX(Variables!$B$9:$D$9,IFERROR(MATCH(IF($B246="Robusta","Robusta",(IF($B246="","Arabica",$B246))&amp;" - "&amp;(IF($C246="","Commercial",$C246))),Variables!$B$1:$D$1,0),1))*BD246/365),""))</f>
        <v>766.91249864312397</v>
      </c>
      <c r="BJ246" s="44">
        <f t="shared" si="11"/>
        <v>359</v>
      </c>
      <c r="BK246" s="44">
        <f>IF($AX246="Cancelled","",IFERROR(IF(BJ246="","",(W246*INDEX(Variables!$B$7:$D$7,IFERROR(MATCH(IF($B246="Robusta","Robusta",(IF($B246="","Arabica",$B246))&amp;" - "&amp;(IF($C246="","Commercial",$C246))),Variables!$B$1:$D$1,0),1))*(BJ246/365))+(W246*INDEX(Variables!$B$9:$D$9,IFERROR(MATCH(IF($B246="Robusta","Robusta",(IF($B246="","Arabica",$B246))&amp;" - "&amp;(IF($C246="","Commercial",$C246))),Variables!$B$1:$D$1,0),1))*(BJ246/365))+(INDEX(Variables!$B$8:$D$8,IFERROR(MATCH(IF($B246="Robusta","Robusta",(IF($B246="","Arabica",$B246))&amp;" - "&amp;(IF($C246="","Commercial",$C246))),Variables!$B$1:$D$1,0),1))*L246/16.67)),""))</f>
        <v>479.65648644804747</v>
      </c>
    </row>
    <row r="247" spans="1:63">
      <c r="A247" s="13" t="s">
        <v>103</v>
      </c>
      <c r="B247" s="13" t="s">
        <v>104</v>
      </c>
      <c r="C247" s="13" t="s">
        <v>292</v>
      </c>
      <c r="D247" s="31">
        <v>45712</v>
      </c>
      <c r="E247" s="31">
        <v>45717</v>
      </c>
      <c r="F247" s="31">
        <v>45747</v>
      </c>
      <c r="G247" s="13">
        <v>3786734</v>
      </c>
      <c r="J247" s="13" t="s">
        <v>773</v>
      </c>
      <c r="K247" s="13" t="s">
        <v>837</v>
      </c>
      <c r="L247" s="13">
        <v>15</v>
      </c>
      <c r="M247" s="13">
        <v>0</v>
      </c>
      <c r="N247" s="13" t="s">
        <v>838</v>
      </c>
      <c r="O247" s="13" t="s">
        <v>304</v>
      </c>
      <c r="P247" s="13">
        <v>10010</v>
      </c>
      <c r="R247" s="13" t="s">
        <v>384</v>
      </c>
      <c r="S247" s="13" t="s">
        <v>776</v>
      </c>
      <c r="T247" s="13" t="s">
        <v>777</v>
      </c>
      <c r="U247" s="13" t="s">
        <v>125</v>
      </c>
      <c r="V247" s="13">
        <v>118</v>
      </c>
      <c r="W247" s="44">
        <f>IF($AX247="Cancelled","",IFERROR(((V247+INDEX(Variables!$B$6:$D$6,IFERROR(MATCH(IF($B247="Robusta","Robusta",(IF($B247="","Arabica",$B247))&amp;" - "&amp;(IF($C247="","Commercial",$C247))),Variables!$B$1:$D$1,0),1)))*22.0462)*(L247/16.67),""))</f>
        <v>8109.6159808038383</v>
      </c>
      <c r="X247" s="55" t="s">
        <v>39</v>
      </c>
      <c r="Y247" s="13" t="str">
        <f>IF($AX247="Cancelled","",IF(X247="","",IFERROR(IF(INDEX(Variables!$B$38:$B$47,MATCH(X247,Variables!$A$38:$A$47,0))="Yes","Yes","No"),"No")))</f>
        <v>No</v>
      </c>
      <c r="Z247" s="31"/>
      <c r="AB247" s="31">
        <v>45702.875</v>
      </c>
      <c r="AC247" s="13" t="str">
        <f t="shared" si="9"/>
        <v>Approved</v>
      </c>
      <c r="AF247" s="71">
        <f>AJ247-7</f>
        <v>45734</v>
      </c>
      <c r="AG247" s="36">
        <f>IF($AX247="Cancelled","",IFERROR(IF(F247="","",F247-Variables!$B$13),""))</f>
        <v>45732</v>
      </c>
      <c r="AH247" s="13">
        <f>IF($AX247="Cancelled","",IFERROR(IF(AB247="","",(AVERAGE(E247:F247)-AB247)-Variables!$B$14),""))</f>
        <v>-0.875</v>
      </c>
      <c r="AJ247" s="47">
        <v>45741</v>
      </c>
      <c r="AK247" s="14">
        <f>IF($AX247="Cancelled","",IFERROR(IF(AJ247="","",IF(AND(AB247="",AF247=""),"",IF(AF247&gt;AB247,AF247+Variables!$B$15+Variables!$B$16+Variables!$B$17-AJ247,AB247+Variables!$B$16+Variables!$B$17-AJ247))),""))</f>
        <v>8</v>
      </c>
      <c r="AL247" s="48" t="s">
        <v>114</v>
      </c>
      <c r="AM247" s="13" t="s">
        <v>115</v>
      </c>
      <c r="AN247" s="13" t="s">
        <v>517</v>
      </c>
      <c r="AP247" s="31">
        <v>45385</v>
      </c>
      <c r="AR247" s="13">
        <v>251410456</v>
      </c>
      <c r="AS247" s="31">
        <v>45388</v>
      </c>
      <c r="AU247" s="31">
        <v>45399</v>
      </c>
      <c r="AV247" s="13" t="s">
        <v>3268</v>
      </c>
      <c r="AW247" s="31">
        <v>45399</v>
      </c>
      <c r="AX247" s="13" t="str">
        <f>IF(ISNUMBER(SEARCH("cancel",#REF!)),"Cancelled",IF(AND(AS247&lt;&gt;"",AU247&lt;&gt;"",AW247&lt;&gt;""),"Closed","Open"))</f>
        <v>Closed</v>
      </c>
      <c r="AY247" s="15" t="str">
        <f t="shared" si="10"/>
        <v>All dates received</v>
      </c>
      <c r="BD247" s="13">
        <f>IF($AX247="Cancelled","",IFERROR(IF(OR(AS247="",AJ247=""),"",(AJ247+Variables!$B$18-AS247)),""))</f>
        <v>368</v>
      </c>
      <c r="BE247" s="13">
        <f>IF($AX247="Cancelled","",IFERROR(IF(OR(AW247="",AS247=""),"",(AS247+Variables!$B$19)-AW247),""))</f>
        <v>-6</v>
      </c>
      <c r="BF247" s="44">
        <f>IF($AX247="Cancelled","",IFERROR(W247*INDEX(Variables!$B$7:$D$7,IFERROR(MATCH(IF($B247="Robusta","Robusta",(IF($B247="","Arabica",$B247))&amp;" - "&amp;(IF($C247="","Commercial",$C247))),Variables!$B$1:$D$1,0),1))*(BE247/365),""))</f>
        <v>-8.5960418563954395</v>
      </c>
      <c r="BG247" s="44">
        <f>IF($AX247="Cancelled","",IFERROR((W247*INDEX(Variables!$B$7:$D$7,IFERROR(MATCH(IF($B247="Robusta","Robusta",(IF($B247="","Arabica",$B247))&amp;" - "&amp;(IF($C247="","Commercial",$C247))),Variables!$B$1:$D$1,0),1))*IFERROR(IF(AB247="","",(AVERAGE(E247:F247)-AB247)-Variables!$B$14),"")/365)+(L247/16.67*INDEX(Variables!$B$8:$D$8,IFERROR(MATCH(IF($B247="Robusta","Robusta",(IF($B247="","Arabica",$B247))&amp;" - "&amp;(IF($C247="","Commercial",$C247))),Variables!$B$1:$D$1,0),1))*IFERROR(IF(AB247="","",(AVERAGE(E247:F247)-AB247)-Variables!$B$14),""))+(W247*INDEX(Variables!$B$9:$D$9,IFERROR(MATCH(IF($B247="Robusta","Robusta",(IF($B247="","Arabica",$B247))&amp;" - "&amp;(IF($C247="","Commercial",$C247))),Variables!$B$1:$D$1,0),1))*IFERROR(IF(AB247="","",(AVERAGE(E247:F247)-AB247)-Variables!$B$14),"")/365),""))</f>
        <v>-1.9260006244985004</v>
      </c>
      <c r="BH247" s="44">
        <f>IF($AX247="Cancelled","",IFERROR((W247*INDEX(Variables!$B$7:$D$7,IFERROR(MATCH(IF($B247="Robusta","Robusta",(IF($B247="","Arabica",$B247))&amp;" - "&amp;(IF($C247="","Commercial",$C247))),Variables!$B$1:$D$1,0),1))*AK247/365)+(L247/16.67*INDEX(Variables!$B$8:$D$8,IFERROR(MATCH(IF($B247="Robusta","Robusta",(IF($B247="","Arabica",$B247))&amp;" - "&amp;(IF($C247="","Commercial",$C247))),Variables!$B$1:$D$1,0),1))*AK247)+(W247*INDEX(Variables!$B$9:$D$9,IFERROR(MATCH(IF($B247="Robusta","Robusta",(IF($B247="","Arabica",$B247))&amp;" - "&amp;(IF($C247="","Commercial",$C247))),Variables!$B$1:$D$1,0),1))*AK247/365),""))</f>
        <v>17.60914856684343</v>
      </c>
      <c r="BI247" s="44">
        <f>IF($AX247="Cancelled","",IFERROR((W247*INDEX(Variables!$B$7:$D$7,IFERROR(MATCH(IF($B247="Robusta","Robusta",(IF($B247="","Arabica",$B247))&amp;" - "&amp;(IF($C247="","Commercial",$C247))),Variables!$B$1:$D$1,0),1))*BD247/365)+(L247/16.67*INDEX(Variables!$B$8:$D$8,IFERROR(MATCH(IF($B247="Robusta","Robusta",(IF($B247="","Arabica",$B247))&amp;" - "&amp;(IF($C247="","Commercial",$C247))),Variables!$B$1:$D$1,0),1))*BD247)+(W247*INDEX(Variables!$B$9:$D$9,IFERROR(MATCH(IF($B247="Robusta","Robusta",(IF($B247="","Arabica",$B247))&amp;" - "&amp;(IF($C247="","Commercial",$C247))),Variables!$B$1:$D$1,0),1))*BD247/365),""))</f>
        <v>810.0208340747979</v>
      </c>
      <c r="BJ247" s="44">
        <f t="shared" si="11"/>
        <v>359</v>
      </c>
      <c r="BK247" s="44">
        <f>IF($AX247="Cancelled","",IFERROR(IF(BJ247="","",(W247*INDEX(Variables!$B$7:$D$7,IFERROR(MATCH(IF($B247="Robusta","Robusta",(IF($B247="","Arabica",$B247))&amp;" - "&amp;(IF($C247="","Commercial",$C247))),Variables!$B$1:$D$1,0),1))*(BJ247/365))+(W247*INDEX(Variables!$B$9:$D$9,IFERROR(MATCH(IF($B247="Robusta","Robusta",(IF($B247="","Arabica",$B247))&amp;" - "&amp;(IF($C247="","Commercial",$C247))),Variables!$B$1:$D$1,0),1))*(BJ247/365))+(INDEX(Variables!$B$8:$D$8,IFERROR(MATCH(IF($B247="Robusta","Robusta",(IF($B247="","Arabica",$B247))&amp;" - "&amp;(IF($C247="","Commercial",$C247))),Variables!$B$1:$D$1,0),1))*L247/16.67)),""))</f>
        <v>521.71054193709892</v>
      </c>
    </row>
    <row r="248" spans="1:63">
      <c r="A248" s="13" t="s">
        <v>103</v>
      </c>
      <c r="B248" s="13" t="s">
        <v>104</v>
      </c>
      <c r="C248" s="13" t="s">
        <v>292</v>
      </c>
      <c r="D248" s="31">
        <v>45712</v>
      </c>
      <c r="E248" s="31">
        <v>45717</v>
      </c>
      <c r="F248" s="31">
        <v>45747</v>
      </c>
      <c r="G248" s="13">
        <v>3786735</v>
      </c>
      <c r="J248" s="13" t="s">
        <v>773</v>
      </c>
      <c r="K248" s="13" t="s">
        <v>839</v>
      </c>
      <c r="L248" s="13">
        <v>15</v>
      </c>
      <c r="M248" s="13">
        <v>0</v>
      </c>
      <c r="N248" s="13" t="s">
        <v>840</v>
      </c>
      <c r="O248" s="13" t="s">
        <v>304</v>
      </c>
      <c r="P248" s="13">
        <v>10010</v>
      </c>
      <c r="R248" s="13" t="s">
        <v>384</v>
      </c>
      <c r="S248" s="13" t="s">
        <v>776</v>
      </c>
      <c r="T248" s="13" t="s">
        <v>777</v>
      </c>
      <c r="U248" s="13" t="s">
        <v>125</v>
      </c>
      <c r="V248" s="13">
        <v>116</v>
      </c>
      <c r="W248" s="44">
        <f>IF($AX248="Cancelled","",IFERROR(((V248+INDEX(Variables!$B$6:$D$6,IFERROR(MATCH(IF($B248="Robusta","Robusta",(IF($B248="","Arabica",$B248))&amp;" - "&amp;(IF($C248="","Commercial",$C248))),Variables!$B$1:$D$1,0),1)))*22.0462)*(L248/16.67),""))</f>
        <v>8069.9407558488292</v>
      </c>
      <c r="X248" s="55" t="s">
        <v>39</v>
      </c>
      <c r="Y248" s="13" t="str">
        <f>IF($AX248="Cancelled","",IF(X248="","",IFERROR(IF(INDEX(Variables!$B$38:$B$47,MATCH(X248,Variables!$A$38:$A$47,0))="Yes","Yes","No"),"No")))</f>
        <v>No</v>
      </c>
      <c r="Z248" s="31"/>
      <c r="AB248" s="31">
        <v>45702.875</v>
      </c>
      <c r="AC248" s="13" t="str">
        <f t="shared" si="9"/>
        <v>Approved</v>
      </c>
      <c r="AF248" s="71">
        <f>AJ248-7</f>
        <v>45734</v>
      </c>
      <c r="AG248" s="36">
        <f>IF($AX248="Cancelled","",IFERROR(IF(F248="","",F248-Variables!$B$13),""))</f>
        <v>45732</v>
      </c>
      <c r="AH248" s="13">
        <f>IF($AX248="Cancelled","",IFERROR(IF(AB248="","",(AVERAGE(E248:F248)-AB248)-Variables!$B$14),""))</f>
        <v>-0.875</v>
      </c>
      <c r="AJ248" s="47">
        <v>45741</v>
      </c>
      <c r="AK248" s="14">
        <f>IF($AX248="Cancelled","",IFERROR(IF(AJ248="","",IF(AND(AB248="",AF248=""),"",IF(AF248&gt;AB248,AF248+Variables!$B$15+Variables!$B$16+Variables!$B$17-AJ248,AB248+Variables!$B$16+Variables!$B$17-AJ248))),""))</f>
        <v>8</v>
      </c>
      <c r="AL248" s="48" t="s">
        <v>114</v>
      </c>
      <c r="AM248" s="13" t="s">
        <v>115</v>
      </c>
      <c r="AN248" s="13" t="s">
        <v>517</v>
      </c>
      <c r="AP248" s="31">
        <v>45385</v>
      </c>
      <c r="AR248" s="13">
        <v>251410456</v>
      </c>
      <c r="AS248" s="31">
        <v>45388</v>
      </c>
      <c r="AU248" s="31">
        <v>45399</v>
      </c>
      <c r="AV248" s="13" t="s">
        <v>3268</v>
      </c>
      <c r="AW248" s="31">
        <v>45399</v>
      </c>
      <c r="AX248" s="13" t="str">
        <f>IF(ISNUMBER(SEARCH("cancel",#REF!)),"Cancelled",IF(AND(AS248&lt;&gt;"",AU248&lt;&gt;"",AW248&lt;&gt;""),"Closed","Open"))</f>
        <v>Closed</v>
      </c>
      <c r="AY248" s="15" t="str">
        <f t="shared" si="10"/>
        <v>All dates received</v>
      </c>
      <c r="BD248" s="13">
        <f>IF($AX248="Cancelled","",IFERROR(IF(OR(AS248="",AJ248=""),"",(AJ248+Variables!$B$18-AS248)),""))</f>
        <v>368</v>
      </c>
      <c r="BE248" s="13">
        <f>IF($AX248="Cancelled","",IFERROR(IF(OR(AW248="",AS248=""),"",(AS248+Variables!$B$19)-AW248),""))</f>
        <v>-6</v>
      </c>
      <c r="BF248" s="44">
        <f>IF($AX248="Cancelled","",IFERROR(W248*INDEX(Variables!$B$7:$D$7,IFERROR(MATCH(IF($B248="Robusta","Robusta",(IF($B248="","Arabica",$B248))&amp;" - "&amp;(IF($C248="","Commercial",$C248))),Variables!$B$1:$D$1,0),1))*(BE248/365),""))</f>
        <v>-8.5539868570980069</v>
      </c>
      <c r="BG248" s="44">
        <f>IF($AX248="Cancelled","",IFERROR((W248*INDEX(Variables!$B$7:$D$7,IFERROR(MATCH(IF($B248="Robusta","Robusta",(IF($B248="","Arabica",$B248))&amp;" - "&amp;(IF($C248="","Commercial",$C248))),Variables!$B$1:$D$1,0),1))*IFERROR(IF(AB248="","",(AVERAGE(E248:F248)-AB248)-Variables!$B$14),"")/365)+(L248/16.67*INDEX(Variables!$B$8:$D$8,IFERROR(MATCH(IF($B248="Robusta","Robusta",(IF($B248="","Arabica",$B248))&amp;" - "&amp;(IF($C248="","Commercial",$C248))),Variables!$B$1:$D$1,0),1))*IFERROR(IF(AB248="","",(AVERAGE(E248:F248)-AB248)-Variables!$B$14),""))+(W248*INDEX(Variables!$B$9:$D$9,IFERROR(MATCH(IF($B248="Robusta","Robusta",(IF($B248="","Arabica",$B248))&amp;" - "&amp;(IF($C248="","Commercial",$C248))),Variables!$B$1:$D$1,0),1))*IFERROR(IF(AB248="","",(AVERAGE(E248:F248)-AB248)-Variables!$B$14),"")/365),""))</f>
        <v>-1.9197885372944958</v>
      </c>
      <c r="BH248" s="44">
        <f>IF($AX248="Cancelled","",IFERROR((W248*INDEX(Variables!$B$7:$D$7,IFERROR(MATCH(IF($B248="Robusta","Robusta",(IF($B248="","Arabica",$B248))&amp;" - "&amp;(IF($C248="","Commercial",$C248))),Variables!$B$1:$D$1,0),1))*AK248/365)+(L248/16.67*INDEX(Variables!$B$8:$D$8,IFERROR(MATCH(IF($B248="Robusta","Robusta",(IF($B248="","Arabica",$B248))&amp;" - "&amp;(IF($C248="","Commercial",$C248))),Variables!$B$1:$D$1,0),1))*AK248)+(W248*INDEX(Variables!$B$9:$D$9,IFERROR(MATCH(IF($B248="Robusta","Robusta",(IF($B248="","Arabica",$B248))&amp;" - "&amp;(IF($C248="","Commercial",$C248))),Variables!$B$1:$D$1,0),1))*AK248/365),""))</f>
        <v>17.552352340978249</v>
      </c>
      <c r="BI248" s="44">
        <f>IF($AX248="Cancelled","",IFERROR((W248*INDEX(Variables!$B$7:$D$7,IFERROR(MATCH(IF($B248="Robusta","Robusta",(IF($B248="","Arabica",$B248))&amp;" - "&amp;(IF($C248="","Commercial",$C248))),Variables!$B$1:$D$1,0),1))*BD248/365)+(L248/16.67*INDEX(Variables!$B$8:$D$8,IFERROR(MATCH(IF($B248="Robusta","Robusta",(IF($B248="","Arabica",$B248))&amp;" - "&amp;(IF($C248="","Commercial",$C248))),Variables!$B$1:$D$1,0),1))*BD248)+(W248*INDEX(Variables!$B$9:$D$9,IFERROR(MATCH(IF($B248="Robusta","Robusta",(IF($B248="","Arabica",$B248))&amp;" - "&amp;(IF($C248="","Commercial",$C248))),Variables!$B$1:$D$1,0),1))*BD248/365),""))</f>
        <v>807.40820768499941</v>
      </c>
      <c r="BJ248" s="44">
        <f t="shared" si="11"/>
        <v>359</v>
      </c>
      <c r="BK248" s="44">
        <f>IF($AX248="Cancelled","",IFERROR(IF(BJ248="","",(W248*INDEX(Variables!$B$7:$D$7,IFERROR(MATCH(IF($B248="Robusta","Robusta",(IF($B248="","Arabica",$B248))&amp;" - "&amp;(IF($C248="","Commercial",$C248))),Variables!$B$1:$D$1,0),1))*(BJ248/365))+(W248*INDEX(Variables!$B$9:$D$9,IFERROR(MATCH(IF($B248="Robusta","Robusta",(IF($B248="","Arabica",$B248))&amp;" - "&amp;(IF($C248="","Commercial",$C248))),Variables!$B$1:$D$1,0),1))*(BJ248/365))+(INDEX(Variables!$B$8:$D$8,IFERROR(MATCH(IF($B248="Robusta","Robusta",(IF($B248="","Arabica",$B248))&amp;" - "&amp;(IF($C248="","Commercial",$C248))),Variables!$B$1:$D$1,0),1))*L248/16.67)),""))</f>
        <v>519.16181130139887</v>
      </c>
    </row>
    <row r="249" spans="1:63">
      <c r="A249" s="13" t="s">
        <v>103</v>
      </c>
      <c r="B249" s="13" t="s">
        <v>104</v>
      </c>
      <c r="C249" s="13" t="s">
        <v>292</v>
      </c>
      <c r="D249" s="31">
        <v>45712</v>
      </c>
      <c r="E249" s="31">
        <v>45717</v>
      </c>
      <c r="F249" s="31">
        <v>45747</v>
      </c>
      <c r="G249" s="13">
        <v>3786736</v>
      </c>
      <c r="J249" s="13" t="s">
        <v>773</v>
      </c>
      <c r="K249" s="13" t="s">
        <v>841</v>
      </c>
      <c r="L249" s="13">
        <v>15</v>
      </c>
      <c r="M249" s="13">
        <v>0</v>
      </c>
      <c r="N249" s="13" t="s">
        <v>842</v>
      </c>
      <c r="O249" s="13" t="s">
        <v>304</v>
      </c>
      <c r="P249" s="13">
        <v>10010</v>
      </c>
      <c r="R249" s="13" t="s">
        <v>384</v>
      </c>
      <c r="S249" s="13" t="s">
        <v>776</v>
      </c>
      <c r="T249" s="13" t="s">
        <v>777</v>
      </c>
      <c r="U249" s="13" t="s">
        <v>125</v>
      </c>
      <c r="V249" s="13">
        <v>116</v>
      </c>
      <c r="W249" s="44">
        <f>IF($AX249="Cancelled","",IFERROR(((V249+INDEX(Variables!$B$6:$D$6,IFERROR(MATCH(IF($B249="Robusta","Robusta",(IF($B249="","Arabica",$B249))&amp;" - "&amp;(IF($C249="","Commercial",$C249))),Variables!$B$1:$D$1,0),1)))*22.0462)*(L249/16.67),""))</f>
        <v>8069.9407558488292</v>
      </c>
      <c r="X249" s="55" t="s">
        <v>39</v>
      </c>
      <c r="Y249" s="13" t="str">
        <f>IF($AX249="Cancelled","",IF(X249="","",IFERROR(IF(INDEX(Variables!$B$38:$B$47,MATCH(X249,Variables!$A$38:$A$47,0))="Yes","Yes","No"),"No")))</f>
        <v>No</v>
      </c>
      <c r="Z249" s="31"/>
      <c r="AB249" s="31">
        <v>45702.875</v>
      </c>
      <c r="AC249" s="13" t="str">
        <f t="shared" si="9"/>
        <v>Approved</v>
      </c>
      <c r="AF249" s="71">
        <f>AJ249-7</f>
        <v>45734</v>
      </c>
      <c r="AG249" s="36">
        <f>IF($AX249="Cancelled","",IFERROR(IF(F249="","",F249-Variables!$B$13),""))</f>
        <v>45732</v>
      </c>
      <c r="AH249" s="13">
        <f>IF($AX249="Cancelled","",IFERROR(IF(AB249="","",(AVERAGE(E249:F249)-AB249)-Variables!$B$14),""))</f>
        <v>-0.875</v>
      </c>
      <c r="AJ249" s="47">
        <v>45741</v>
      </c>
      <c r="AK249" s="14">
        <f>IF($AX249="Cancelled","",IFERROR(IF(AJ249="","",IF(AND(AB249="",AF249=""),"",IF(AF249&gt;AB249,AF249+Variables!$B$15+Variables!$B$16+Variables!$B$17-AJ249,AB249+Variables!$B$16+Variables!$B$17-AJ249))),""))</f>
        <v>8</v>
      </c>
      <c r="AL249" s="48" t="s">
        <v>114</v>
      </c>
      <c r="AM249" s="13" t="s">
        <v>115</v>
      </c>
      <c r="AN249" s="13" t="s">
        <v>517</v>
      </c>
      <c r="AP249" s="31">
        <v>45385</v>
      </c>
      <c r="AR249" s="13">
        <v>251410456</v>
      </c>
      <c r="AS249" s="31">
        <v>45388</v>
      </c>
      <c r="AU249" s="31">
        <v>45399</v>
      </c>
      <c r="AV249" s="13" t="s">
        <v>3268</v>
      </c>
      <c r="AW249" s="31">
        <v>45399</v>
      </c>
      <c r="AX249" s="13" t="str">
        <f>IF(ISNUMBER(SEARCH("cancel",#REF!)),"Cancelled",IF(AND(AS249&lt;&gt;"",AU249&lt;&gt;"",AW249&lt;&gt;""),"Closed","Open"))</f>
        <v>Closed</v>
      </c>
      <c r="AY249" s="15" t="str">
        <f t="shared" si="10"/>
        <v>All dates received</v>
      </c>
      <c r="BD249" s="13">
        <f>IF($AX249="Cancelled","",IFERROR(IF(OR(AS249="",AJ249=""),"",(AJ249+Variables!$B$18-AS249)),""))</f>
        <v>368</v>
      </c>
      <c r="BE249" s="13">
        <f>IF($AX249="Cancelled","",IFERROR(IF(OR(AW249="",AS249=""),"",(AS249+Variables!$B$19)-AW249),""))</f>
        <v>-6</v>
      </c>
      <c r="BF249" s="44">
        <f>IF($AX249="Cancelled","",IFERROR(W249*INDEX(Variables!$B$7:$D$7,IFERROR(MATCH(IF($B249="Robusta","Robusta",(IF($B249="","Arabica",$B249))&amp;" - "&amp;(IF($C249="","Commercial",$C249))),Variables!$B$1:$D$1,0),1))*(BE249/365),""))</f>
        <v>-8.5539868570980069</v>
      </c>
      <c r="BG249" s="44">
        <f>IF($AX249="Cancelled","",IFERROR((W249*INDEX(Variables!$B$7:$D$7,IFERROR(MATCH(IF($B249="Robusta","Robusta",(IF($B249="","Arabica",$B249))&amp;" - "&amp;(IF($C249="","Commercial",$C249))),Variables!$B$1:$D$1,0),1))*IFERROR(IF(AB249="","",(AVERAGE(E249:F249)-AB249)-Variables!$B$14),"")/365)+(L249/16.67*INDEX(Variables!$B$8:$D$8,IFERROR(MATCH(IF($B249="Robusta","Robusta",(IF($B249="","Arabica",$B249))&amp;" - "&amp;(IF($C249="","Commercial",$C249))),Variables!$B$1:$D$1,0),1))*IFERROR(IF(AB249="","",(AVERAGE(E249:F249)-AB249)-Variables!$B$14),""))+(W249*INDEX(Variables!$B$9:$D$9,IFERROR(MATCH(IF($B249="Robusta","Robusta",(IF($B249="","Arabica",$B249))&amp;" - "&amp;(IF($C249="","Commercial",$C249))),Variables!$B$1:$D$1,0),1))*IFERROR(IF(AB249="","",(AVERAGE(E249:F249)-AB249)-Variables!$B$14),"")/365),""))</f>
        <v>-1.9197885372944958</v>
      </c>
      <c r="BH249" s="44">
        <f>IF($AX249="Cancelled","",IFERROR((W249*INDEX(Variables!$B$7:$D$7,IFERROR(MATCH(IF($B249="Robusta","Robusta",(IF($B249="","Arabica",$B249))&amp;" - "&amp;(IF($C249="","Commercial",$C249))),Variables!$B$1:$D$1,0),1))*AK249/365)+(L249/16.67*INDEX(Variables!$B$8:$D$8,IFERROR(MATCH(IF($B249="Robusta","Robusta",(IF($B249="","Arabica",$B249))&amp;" - "&amp;(IF($C249="","Commercial",$C249))),Variables!$B$1:$D$1,0),1))*AK249)+(W249*INDEX(Variables!$B$9:$D$9,IFERROR(MATCH(IF($B249="Robusta","Robusta",(IF($B249="","Arabica",$B249))&amp;" - "&amp;(IF($C249="","Commercial",$C249))),Variables!$B$1:$D$1,0),1))*AK249/365),""))</f>
        <v>17.552352340978249</v>
      </c>
      <c r="BI249" s="44">
        <f>IF($AX249="Cancelled","",IFERROR((W249*INDEX(Variables!$B$7:$D$7,IFERROR(MATCH(IF($B249="Robusta","Robusta",(IF($B249="","Arabica",$B249))&amp;" - "&amp;(IF($C249="","Commercial",$C249))),Variables!$B$1:$D$1,0),1))*BD249/365)+(L249/16.67*INDEX(Variables!$B$8:$D$8,IFERROR(MATCH(IF($B249="Robusta","Robusta",(IF($B249="","Arabica",$B249))&amp;" - "&amp;(IF($C249="","Commercial",$C249))),Variables!$B$1:$D$1,0),1))*BD249)+(W249*INDEX(Variables!$B$9:$D$9,IFERROR(MATCH(IF($B249="Robusta","Robusta",(IF($B249="","Arabica",$B249))&amp;" - "&amp;(IF($C249="","Commercial",$C249))),Variables!$B$1:$D$1,0),1))*BD249/365),""))</f>
        <v>807.40820768499941</v>
      </c>
      <c r="BJ249" s="44">
        <f t="shared" si="11"/>
        <v>359</v>
      </c>
      <c r="BK249" s="44">
        <f>IF($AX249="Cancelled","",IFERROR(IF(BJ249="","",(W249*INDEX(Variables!$B$7:$D$7,IFERROR(MATCH(IF($B249="Robusta","Robusta",(IF($B249="","Arabica",$B249))&amp;" - "&amp;(IF($C249="","Commercial",$C249))),Variables!$B$1:$D$1,0),1))*(BJ249/365))+(W249*INDEX(Variables!$B$9:$D$9,IFERROR(MATCH(IF($B249="Robusta","Robusta",(IF($B249="","Arabica",$B249))&amp;" - "&amp;(IF($C249="","Commercial",$C249))),Variables!$B$1:$D$1,0),1))*(BJ249/365))+(INDEX(Variables!$B$8:$D$8,IFERROR(MATCH(IF($B249="Robusta","Robusta",(IF($B249="","Arabica",$B249))&amp;" - "&amp;(IF($C249="","Commercial",$C249))),Variables!$B$1:$D$1,0),1))*L249/16.67)),""))</f>
        <v>519.16181130139887</v>
      </c>
    </row>
    <row r="250" spans="1:63">
      <c r="A250" s="13" t="s">
        <v>103</v>
      </c>
      <c r="B250" s="13" t="s">
        <v>104</v>
      </c>
      <c r="C250" s="13" t="s">
        <v>292</v>
      </c>
      <c r="D250" s="31">
        <v>45712</v>
      </c>
      <c r="E250" s="31">
        <v>45717</v>
      </c>
      <c r="F250" s="31">
        <v>45747</v>
      </c>
      <c r="G250" s="13">
        <v>3786737</v>
      </c>
      <c r="J250" s="13" t="s">
        <v>773</v>
      </c>
      <c r="K250" s="13" t="s">
        <v>843</v>
      </c>
      <c r="L250" s="13">
        <v>15</v>
      </c>
      <c r="M250" s="13">
        <v>0</v>
      </c>
      <c r="N250" s="13" t="s">
        <v>844</v>
      </c>
      <c r="O250" s="13" t="s">
        <v>304</v>
      </c>
      <c r="P250" s="13">
        <v>10010</v>
      </c>
      <c r="R250" s="13" t="s">
        <v>384</v>
      </c>
      <c r="S250" s="13" t="s">
        <v>776</v>
      </c>
      <c r="T250" s="13" t="s">
        <v>777</v>
      </c>
      <c r="U250" s="13" t="s">
        <v>125</v>
      </c>
      <c r="V250" s="13">
        <v>128</v>
      </c>
      <c r="W250" s="44">
        <f>IF($AX250="Cancelled","",IFERROR(((V250+INDEX(Variables!$B$6:$D$6,IFERROR(MATCH(IF($B250="Robusta","Robusta",(IF($B250="","Arabica",$B250))&amp;" - "&amp;(IF($C250="","Commercial",$C250))),Variables!$B$1:$D$1,0),1)))*22.0462)*(L250/16.67),""))</f>
        <v>8307.9921055788818</v>
      </c>
      <c r="X250" s="55" t="s">
        <v>39</v>
      </c>
      <c r="Y250" s="13" t="str">
        <f>IF($AX250="Cancelled","",IF(X250="","",IFERROR(IF(INDEX(Variables!$B$38:$B$47,MATCH(X250,Variables!$A$38:$A$47,0))="Yes","Yes","No"),"No")))</f>
        <v>No</v>
      </c>
      <c r="Z250" s="31"/>
      <c r="AB250" s="31">
        <v>45702.875</v>
      </c>
      <c r="AC250" s="13" t="str">
        <f t="shared" si="9"/>
        <v>Approved</v>
      </c>
      <c r="AF250" s="71">
        <f>AJ250-7</f>
        <v>45734</v>
      </c>
      <c r="AG250" s="36">
        <f>IF($AX250="Cancelled","",IFERROR(IF(F250="","",F250-Variables!$B$13),""))</f>
        <v>45732</v>
      </c>
      <c r="AH250" s="13">
        <f>IF($AX250="Cancelled","",IFERROR(IF(AB250="","",(AVERAGE(E250:F250)-AB250)-Variables!$B$14),""))</f>
        <v>-0.875</v>
      </c>
      <c r="AJ250" s="47">
        <v>45741</v>
      </c>
      <c r="AK250" s="14">
        <f>IF($AX250="Cancelled","",IFERROR(IF(AJ250="","",IF(AND(AB250="",AF250=""),"",IF(AF250&gt;AB250,AF250+Variables!$B$15+Variables!$B$16+Variables!$B$17-AJ250,AB250+Variables!$B$16+Variables!$B$17-AJ250))),""))</f>
        <v>8</v>
      </c>
      <c r="AL250" s="48" t="s">
        <v>114</v>
      </c>
      <c r="AM250" s="13" t="s">
        <v>115</v>
      </c>
      <c r="AN250" s="13" t="s">
        <v>517</v>
      </c>
      <c r="AP250" s="31">
        <v>45385</v>
      </c>
      <c r="AR250" s="13">
        <v>251410456</v>
      </c>
      <c r="AS250" s="31">
        <v>45388</v>
      </c>
      <c r="AU250" s="31">
        <v>45399</v>
      </c>
      <c r="AV250" s="13" t="s">
        <v>3268</v>
      </c>
      <c r="AW250" s="31">
        <v>45399</v>
      </c>
      <c r="AX250" s="13" t="str">
        <f>IF(ISNUMBER(SEARCH("cancel",#REF!)),"Cancelled",IF(AND(AS250&lt;&gt;"",AU250&lt;&gt;"",AW250&lt;&gt;""),"Closed","Open"))</f>
        <v>Closed</v>
      </c>
      <c r="AY250" s="15" t="str">
        <f t="shared" si="10"/>
        <v>All dates received</v>
      </c>
      <c r="BD250" s="13">
        <f>IF($AX250="Cancelled","",IFERROR(IF(OR(AS250="",AJ250=""),"",(AJ250+Variables!$B$18-AS250)),""))</f>
        <v>368</v>
      </c>
      <c r="BE250" s="13">
        <f>IF($AX250="Cancelled","",IFERROR(IF(OR(AW250="",AS250=""),"",(AS250+Variables!$B$19)-AW250),""))</f>
        <v>-6</v>
      </c>
      <c r="BF250" s="44">
        <f>IF($AX250="Cancelled","",IFERROR(W250*INDEX(Variables!$B$7:$D$7,IFERROR(MATCH(IF($B250="Robusta","Robusta",(IF($B250="","Arabica",$B250))&amp;" - "&amp;(IF($C250="","Commercial",$C250))),Variables!$B$1:$D$1,0),1))*(BE250/365),""))</f>
        <v>-8.8063168528826061</v>
      </c>
      <c r="BG250" s="44">
        <f>IF($AX250="Cancelled","",IFERROR((W250*INDEX(Variables!$B$7:$D$7,IFERROR(MATCH(IF($B250="Robusta","Robusta",(IF($B250="","Arabica",$B250))&amp;" - "&amp;(IF($C250="","Commercial",$C250))),Variables!$B$1:$D$1,0),1))*IFERROR(IF(AB250="","",(AVERAGE(E250:F250)-AB250)-Variables!$B$14),"")/365)+(L250/16.67*INDEX(Variables!$B$8:$D$8,IFERROR(MATCH(IF($B250="Robusta","Robusta",(IF($B250="","Arabica",$B250))&amp;" - "&amp;(IF($C250="","Commercial",$C250))),Variables!$B$1:$D$1,0),1))*IFERROR(IF(AB250="","",(AVERAGE(E250:F250)-AB250)-Variables!$B$14),""))+(W250*INDEX(Variables!$B$9:$D$9,IFERROR(MATCH(IF($B250="Robusta","Robusta",(IF($B250="","Arabica",$B250))&amp;" - "&amp;(IF($C250="","Commercial",$C250))),Variables!$B$1:$D$1,0),1))*IFERROR(IF(AB250="","",(AVERAGE(E250:F250)-AB250)-Variables!$B$14),"")/365),""))</f>
        <v>-1.9570610605185219</v>
      </c>
      <c r="BH250" s="44">
        <f>IF($AX250="Cancelled","",IFERROR((W250*INDEX(Variables!$B$7:$D$7,IFERROR(MATCH(IF($B250="Robusta","Robusta",(IF($B250="","Arabica",$B250))&amp;" - "&amp;(IF($C250="","Commercial",$C250))),Variables!$B$1:$D$1,0),1))*AK250/365)+(L250/16.67*INDEX(Variables!$B$8:$D$8,IFERROR(MATCH(IF($B250="Robusta","Robusta",(IF($B250="","Arabica",$B250))&amp;" - "&amp;(IF($C250="","Commercial",$C250))),Variables!$B$1:$D$1,0),1))*AK250)+(W250*INDEX(Variables!$B$9:$D$9,IFERROR(MATCH(IF($B250="Robusta","Robusta",(IF($B250="","Arabica",$B250))&amp;" - "&amp;(IF($C250="","Commercial",$C250))),Variables!$B$1:$D$1,0),1))*AK250/365),""))</f>
        <v>17.893129696169343</v>
      </c>
      <c r="BI250" s="44">
        <f>IF($AX250="Cancelled","",IFERROR((W250*INDEX(Variables!$B$7:$D$7,IFERROR(MATCH(IF($B250="Robusta","Robusta",(IF($B250="","Arabica",$B250))&amp;" - "&amp;(IF($C250="","Commercial",$C250))),Variables!$B$1:$D$1,0),1))*BD250/365)+(L250/16.67*INDEX(Variables!$B$8:$D$8,IFERROR(MATCH(IF($B250="Robusta","Robusta",(IF($B250="","Arabica",$B250))&amp;" - "&amp;(IF($C250="","Commercial",$C250))),Variables!$B$1:$D$1,0),1))*BD250)+(W250*INDEX(Variables!$B$9:$D$9,IFERROR(MATCH(IF($B250="Robusta","Robusta",(IF($B250="","Arabica",$B250))&amp;" - "&amp;(IF($C250="","Commercial",$C250))),Variables!$B$1:$D$1,0),1))*BD250/365),""))</f>
        <v>823.0839660237898</v>
      </c>
      <c r="BJ250" s="44">
        <f t="shared" si="11"/>
        <v>359</v>
      </c>
      <c r="BK250" s="44">
        <f>IF($AX250="Cancelled","",IFERROR(IF(BJ250="","",(W250*INDEX(Variables!$B$7:$D$7,IFERROR(MATCH(IF($B250="Robusta","Robusta",(IF($B250="","Arabica",$B250))&amp;" - "&amp;(IF($C250="","Commercial",$C250))),Variables!$B$1:$D$1,0),1))*(BJ250/365))+(W250*INDEX(Variables!$B$9:$D$9,IFERROR(MATCH(IF($B250="Robusta","Robusta",(IF($B250="","Arabica",$B250))&amp;" - "&amp;(IF($C250="","Commercial",$C250))),Variables!$B$1:$D$1,0),1))*(BJ250/365))+(INDEX(Variables!$B$8:$D$8,IFERROR(MATCH(IF($B250="Robusta","Robusta",(IF($B250="","Arabica",$B250))&amp;" - "&amp;(IF($C250="","Commercial",$C250))),Variables!$B$1:$D$1,0),1))*L250/16.67)),""))</f>
        <v>534.45419511559919</v>
      </c>
    </row>
    <row r="251" spans="1:63">
      <c r="A251" s="13" t="s">
        <v>103</v>
      </c>
      <c r="B251" s="13" t="s">
        <v>104</v>
      </c>
      <c r="C251" s="13" t="s">
        <v>292</v>
      </c>
      <c r="D251" s="31">
        <v>45712</v>
      </c>
      <c r="E251" s="31">
        <v>45717</v>
      </c>
      <c r="F251" s="31">
        <v>45747</v>
      </c>
      <c r="G251" s="13">
        <v>3786738</v>
      </c>
      <c r="J251" s="13" t="s">
        <v>773</v>
      </c>
      <c r="K251" s="13" t="s">
        <v>845</v>
      </c>
      <c r="L251" s="13">
        <v>100</v>
      </c>
      <c r="M251" s="13">
        <v>0</v>
      </c>
      <c r="N251" s="13" t="s">
        <v>846</v>
      </c>
      <c r="O251" s="13" t="s">
        <v>775</v>
      </c>
      <c r="P251" s="13">
        <v>10030</v>
      </c>
      <c r="R251" s="13" t="s">
        <v>239</v>
      </c>
      <c r="S251" s="13" t="s">
        <v>776</v>
      </c>
      <c r="T251" s="13" t="s">
        <v>777</v>
      </c>
      <c r="U251" s="13" t="s">
        <v>125</v>
      </c>
      <c r="V251" s="13">
        <v>119</v>
      </c>
      <c r="W251" s="44">
        <f>IF($AX251="Cancelled","",IFERROR(((V251+INDEX(Variables!$B$6:$D$6,IFERROR(MATCH(IF($B251="Robusta","Robusta",(IF($B251="","Arabica",$B251))&amp;" - "&amp;(IF($C251="","Commercial",$C251))),Variables!$B$1:$D$1,0),1)))*22.0462)*(L251/16.67),""))</f>
        <v>54196.357288542284</v>
      </c>
      <c r="X251" s="55" t="s">
        <v>39</v>
      </c>
      <c r="Y251" s="13" t="str">
        <f>IF($AX251="Cancelled","",IF(X251="","",IFERROR(IF(INDEX(Variables!$B$38:$B$47,MATCH(X251,Variables!$A$38:$A$47,0))="Yes","Yes","No"),"No")))</f>
        <v>No</v>
      </c>
      <c r="Z251" s="31"/>
      <c r="AB251" s="31">
        <v>45702.875</v>
      </c>
      <c r="AC251" s="13" t="str">
        <f t="shared" si="9"/>
        <v>Approved</v>
      </c>
      <c r="AF251" s="71">
        <f>AJ251-7</f>
        <v>45734</v>
      </c>
      <c r="AG251" s="36">
        <f>IF($AX251="Cancelled","",IFERROR(IF(F251="","",F251-Variables!$B$13),""))</f>
        <v>45732</v>
      </c>
      <c r="AH251" s="13">
        <f>IF($AX251="Cancelled","",IFERROR(IF(AB251="","",(AVERAGE(E251:F251)-AB251)-Variables!$B$14),""))</f>
        <v>-0.875</v>
      </c>
      <c r="AJ251" s="47">
        <v>45741</v>
      </c>
      <c r="AK251" s="14">
        <f>IF($AX251="Cancelled","",IFERROR(IF(AJ251="","",IF(AND(AB251="",AF251=""),"",IF(AF251&gt;AB251,AF251+Variables!$B$15+Variables!$B$16+Variables!$B$17-AJ251,AB251+Variables!$B$16+Variables!$B$17-AJ251))),""))</f>
        <v>8</v>
      </c>
      <c r="AL251" s="48" t="s">
        <v>114</v>
      </c>
      <c r="AM251" s="13" t="s">
        <v>115</v>
      </c>
      <c r="AN251" s="13" t="s">
        <v>517</v>
      </c>
      <c r="AP251" s="31">
        <v>45385</v>
      </c>
      <c r="AR251" s="13">
        <v>251410456</v>
      </c>
      <c r="AS251" s="31">
        <v>45388</v>
      </c>
      <c r="AU251" s="31">
        <v>45399</v>
      </c>
      <c r="AV251" s="13" t="s">
        <v>3268</v>
      </c>
      <c r="AW251" s="31">
        <v>45399</v>
      </c>
      <c r="AX251" s="13" t="str">
        <f>IF(ISNUMBER(SEARCH("cancel",#REF!)),"Cancelled",IF(AND(AS251&lt;&gt;"",AU251&lt;&gt;"",AW251&lt;&gt;""),"Closed","Open"))</f>
        <v>Closed</v>
      </c>
      <c r="AY251" s="15" t="str">
        <f t="shared" si="10"/>
        <v>All dates received</v>
      </c>
      <c r="BD251" s="13">
        <f>IF($AX251="Cancelled","",IFERROR(IF(OR(AS251="",AJ251=""),"",(AJ251+Variables!$B$18-AS251)),""))</f>
        <v>368</v>
      </c>
      <c r="BE251" s="13">
        <f>IF($AX251="Cancelled","",IFERROR(IF(OR(AW251="",AS251=""),"",(AS251+Variables!$B$19)-AW251),""))</f>
        <v>-6</v>
      </c>
      <c r="BF251" s="44">
        <f>IF($AX251="Cancelled","",IFERROR(W251*INDEX(Variables!$B$7:$D$7,IFERROR(MATCH(IF($B251="Robusta","Robusta",(IF($B251="","Arabica",$B251))&amp;" - "&amp;(IF($C251="","Commercial",$C251))),Variables!$B$1:$D$1,0),1))*(BE251/365),""))</f>
        <v>-57.447129040294378</v>
      </c>
      <c r="BG251" s="44">
        <f>IF($AX251="Cancelled","",IFERROR((W251*INDEX(Variables!$B$7:$D$7,IFERROR(MATCH(IF($B251="Robusta","Robusta",(IF($B251="","Arabica",$B251))&amp;" - "&amp;(IF($C251="","Commercial",$C251))),Variables!$B$1:$D$1,0),1))*IFERROR(IF(AB251="","",(AVERAGE(E251:F251)-AB251)-Variables!$B$14),"")/365)+(L251/16.67*INDEX(Variables!$B$8:$D$8,IFERROR(MATCH(IF($B251="Robusta","Robusta",(IF($B251="","Arabica",$B251))&amp;" - "&amp;(IF($C251="","Commercial",$C251))),Variables!$B$1:$D$1,0),1))*IFERROR(IF(AB251="","",(AVERAGE(E251:F251)-AB251)-Variables!$B$14),""))+(W251*INDEX(Variables!$B$9:$D$9,IFERROR(MATCH(IF($B251="Robusta","Robusta",(IF($B251="","Arabica",$B251))&amp;" - "&amp;(IF($C251="","Commercial",$C251))),Variables!$B$1:$D$1,0),1))*IFERROR(IF(AB251="","",(AVERAGE(E251:F251)-AB251)-Variables!$B$14),"")/365),""))</f>
        <v>-12.860711120670016</v>
      </c>
      <c r="BH251" s="44">
        <f>IF($AX251="Cancelled","",IFERROR((W251*INDEX(Variables!$B$7:$D$7,IFERROR(MATCH(IF($B251="Robusta","Robusta",(IF($B251="","Arabica",$B251))&amp;" - "&amp;(IF($C251="","Commercial",$C251))),Variables!$B$1:$D$1,0),1))*AK251/365)+(L251/16.67*INDEX(Variables!$B$8:$D$8,IFERROR(MATCH(IF($B251="Robusta","Robusta",(IF($B251="","Arabica",$B251))&amp;" - "&amp;(IF($C251="","Commercial",$C251))),Variables!$B$1:$D$1,0),1))*AK251)+(W251*INDEX(Variables!$B$9:$D$9,IFERROR(MATCH(IF($B251="Robusta","Robusta",(IF($B251="","Arabica",$B251))&amp;" - "&amp;(IF($C251="","Commercial",$C251))),Variables!$B$1:$D$1,0),1))*AK251/365),""))</f>
        <v>117.58364453184014</v>
      </c>
      <c r="BI251" s="44">
        <f>IF($AX251="Cancelled","",IFERROR((W251*INDEX(Variables!$B$7:$D$7,IFERROR(MATCH(IF($B251="Robusta","Robusta",(IF($B251="","Arabica",$B251))&amp;" - "&amp;(IF($C251="","Commercial",$C251))),Variables!$B$1:$D$1,0),1))*BD251/365)+(L251/16.67*INDEX(Variables!$B$8:$D$8,IFERROR(MATCH(IF($B251="Robusta","Robusta",(IF($B251="","Arabica",$B251))&amp;" - "&amp;(IF($C251="","Commercial",$C251))),Variables!$B$1:$D$1,0),1))*BD251)+(W251*INDEX(Variables!$B$9:$D$9,IFERROR(MATCH(IF($B251="Robusta","Robusta",(IF($B251="","Arabica",$B251))&amp;" - "&amp;(IF($C251="","Commercial",$C251))),Variables!$B$1:$D$1,0),1))*BD251/365),""))</f>
        <v>5408.8476484646462</v>
      </c>
      <c r="BJ251" s="44">
        <f t="shared" si="11"/>
        <v>359</v>
      </c>
      <c r="BK251" s="44">
        <f>IF($AX251="Cancelled","",IFERROR(IF(BJ251="","",(W251*INDEX(Variables!$B$7:$D$7,IFERROR(MATCH(IF($B251="Robusta","Robusta",(IF($B251="","Arabica",$B251))&amp;" - "&amp;(IF($C251="","Commercial",$C251))),Variables!$B$1:$D$1,0),1))*(BJ251/365))+(W251*INDEX(Variables!$B$9:$D$9,IFERROR(MATCH(IF($B251="Robusta","Robusta",(IF($B251="","Arabica",$B251))&amp;" - "&amp;(IF($C251="","Commercial",$C251))),Variables!$B$1:$D$1,0),1))*(BJ251/365))+(INDEX(Variables!$B$8:$D$8,IFERROR(MATCH(IF($B251="Robusta","Robusta",(IF($B251="","Arabica",$B251))&amp;" - "&amp;(IF($C251="","Commercial",$C251))),Variables!$B$1:$D$1,0),1))*L251/16.67)),""))</f>
        <v>3486.5660483663269</v>
      </c>
    </row>
    <row r="252" spans="1:63">
      <c r="A252" s="13" t="s">
        <v>103</v>
      </c>
      <c r="B252" s="13" t="s">
        <v>104</v>
      </c>
      <c r="C252" s="13" t="s">
        <v>292</v>
      </c>
      <c r="D252" s="31">
        <v>45712</v>
      </c>
      <c r="E252" s="31">
        <v>45717</v>
      </c>
      <c r="F252" s="31">
        <v>45747</v>
      </c>
      <c r="G252" s="13">
        <v>3786739</v>
      </c>
      <c r="J252" s="13" t="s">
        <v>773</v>
      </c>
      <c r="K252" s="13" t="s">
        <v>847</v>
      </c>
      <c r="L252" s="13">
        <v>50</v>
      </c>
      <c r="M252" s="13">
        <v>0</v>
      </c>
      <c r="N252" s="13" t="s">
        <v>848</v>
      </c>
      <c r="O252" s="13" t="s">
        <v>775</v>
      </c>
      <c r="P252" s="13">
        <v>10030</v>
      </c>
      <c r="R252" s="13" t="s">
        <v>239</v>
      </c>
      <c r="S252" s="13" t="s">
        <v>776</v>
      </c>
      <c r="T252" s="13" t="s">
        <v>777</v>
      </c>
      <c r="U252" s="13" t="s">
        <v>125</v>
      </c>
      <c r="V252" s="13">
        <v>60</v>
      </c>
      <c r="W252" s="44">
        <f>IF($AX252="Cancelled","",IFERROR(((V252+INDEX(Variables!$B$6:$D$6,IFERROR(MATCH(IF($B252="Robusta","Robusta",(IF($B252="","Arabica",$B252))&amp;" - "&amp;(IF($C252="","Commercial",$C252))),Variables!$B$1:$D$1,0),1)))*22.0462)*(L252/16.67),""))</f>
        <v>23196.781523695256</v>
      </c>
      <c r="X252" s="55" t="s">
        <v>39</v>
      </c>
      <c r="Y252" s="13" t="str">
        <f>IF($AX252="Cancelled","",IF(X252="","",IFERROR(IF(INDEX(Variables!$B$38:$B$47,MATCH(X252,Variables!$A$38:$A$47,0))="Yes","Yes","No"),"No")))</f>
        <v>No</v>
      </c>
      <c r="Z252" s="31"/>
      <c r="AB252" s="31">
        <v>45702.875</v>
      </c>
      <c r="AC252" s="13" t="str">
        <f t="shared" si="9"/>
        <v>Approved</v>
      </c>
      <c r="AF252" s="71">
        <f>AJ252-7</f>
        <v>45734</v>
      </c>
      <c r="AG252" s="36">
        <f>IF($AX252="Cancelled","",IFERROR(IF(F252="","",F252-Variables!$B$13),""))</f>
        <v>45732</v>
      </c>
      <c r="AH252" s="13">
        <f>IF($AX252="Cancelled","",IFERROR(IF(AB252="","",(AVERAGE(E252:F252)-AB252)-Variables!$B$14),""))</f>
        <v>-0.875</v>
      </c>
      <c r="AJ252" s="47">
        <v>45741</v>
      </c>
      <c r="AK252" s="14">
        <f>IF($AX252="Cancelled","",IFERROR(IF(AJ252="","",IF(AND(AB252="",AF252=""),"",IF(AF252&gt;AB252,AF252+Variables!$B$15+Variables!$B$16+Variables!$B$17-AJ252,AB252+Variables!$B$16+Variables!$B$17-AJ252))),""))</f>
        <v>8</v>
      </c>
      <c r="AL252" s="48" t="s">
        <v>114</v>
      </c>
      <c r="AM252" s="13" t="s">
        <v>115</v>
      </c>
      <c r="AN252" s="13" t="s">
        <v>517</v>
      </c>
      <c r="AP252" s="31">
        <v>45385</v>
      </c>
      <c r="AR252" s="13">
        <v>251410456</v>
      </c>
      <c r="AS252" s="31">
        <v>45388</v>
      </c>
      <c r="AU252" s="31">
        <v>45399</v>
      </c>
      <c r="AV252" s="13" t="s">
        <v>3268</v>
      </c>
      <c r="AW252" s="31">
        <v>45399</v>
      </c>
      <c r="AX252" s="13" t="str">
        <f>IF(ISNUMBER(SEARCH("cancel",#REF!)),"Cancelled",IF(AND(AS252&lt;&gt;"",AU252&lt;&gt;"",AW252&lt;&gt;""),"Closed","Open"))</f>
        <v>Closed</v>
      </c>
      <c r="AY252" s="15" t="str">
        <f t="shared" si="10"/>
        <v>All dates received</v>
      </c>
      <c r="BD252" s="13">
        <f>IF($AX252="Cancelled","",IFERROR(IF(OR(AS252="",AJ252=""),"",(AJ252+Variables!$B$18-AS252)),""))</f>
        <v>368</v>
      </c>
      <c r="BE252" s="13">
        <f>IF($AX252="Cancelled","",IFERROR(IF(OR(AW252="",AS252=""),"",(AS252+Variables!$B$19)-AW252),""))</f>
        <v>-6</v>
      </c>
      <c r="BF252" s="44">
        <f>IF($AX252="Cancelled","",IFERROR(W252*INDEX(Variables!$B$7:$D$7,IFERROR(MATCH(IF($B252="Robusta","Robusta",(IF($B252="","Arabica",$B252))&amp;" - "&amp;(IF($C252="","Commercial",$C252))),Variables!$B$1:$D$1,0),1))*(BE252/365),""))</f>
        <v>-24.588156255899541</v>
      </c>
      <c r="BG252" s="44">
        <f>IF($AX252="Cancelled","",IFERROR((W252*INDEX(Variables!$B$7:$D$7,IFERROR(MATCH(IF($B252="Robusta","Robusta",(IF($B252="","Arabica",$B252))&amp;" - "&amp;(IF($C252="","Commercial",$C252))),Variables!$B$1:$D$1,0),1))*IFERROR(IF(AB252="","",(AVERAGE(E252:F252)-AB252)-Variables!$B$14),"")/365)+(L252/16.67*INDEX(Variables!$B$8:$D$8,IFERROR(MATCH(IF($B252="Robusta","Robusta",(IF($B252="","Arabica",$B252))&amp;" - "&amp;(IF($C252="","Commercial",$C252))),Variables!$B$1:$D$1,0),1))*IFERROR(IF(AB252="","",(AVERAGE(E252:F252)-AB252)-Variables!$B$14),""))+(W252*INDEX(Variables!$B$9:$D$9,IFERROR(MATCH(IF($B252="Robusta","Robusta",(IF($B252="","Arabica",$B252))&amp;" - "&amp;(IF($C252="","Commercial",$C252))),Variables!$B$1:$D$1,0),1))*IFERROR(IF(AB252="","",(AVERAGE(E252:F252)-AB252)-Variables!$B$14),"")/365),""))</f>
        <v>-5.8195003186079077</v>
      </c>
      <c r="BH252" s="44">
        <f>IF($AX252="Cancelled","",IFERROR((W252*INDEX(Variables!$B$7:$D$7,IFERROR(MATCH(IF($B252="Robusta","Robusta",(IF($B252="","Arabica",$B252))&amp;" - "&amp;(IF($C252="","Commercial",$C252))),Variables!$B$1:$D$1,0),1))*AK252/365)+(L252/16.67*INDEX(Variables!$B$8:$D$8,IFERROR(MATCH(IF($B252="Robusta","Robusta",(IF($B252="","Arabica",$B252))&amp;" - "&amp;(IF($C252="","Commercial",$C252))),Variables!$B$1:$D$1,0),1))*AK252)+(W252*INDEX(Variables!$B$9:$D$9,IFERROR(MATCH(IF($B252="Robusta","Robusta",(IF($B252="","Arabica",$B252))&amp;" - "&amp;(IF($C252="","Commercial",$C252))),Variables!$B$1:$D$1,0),1))*AK252/365),""))</f>
        <v>53.206860055843734</v>
      </c>
      <c r="BI252" s="44">
        <f>IF($AX252="Cancelled","",IFERROR((W252*INDEX(Variables!$B$7:$D$7,IFERROR(MATCH(IF($B252="Robusta","Robusta",(IF($B252="","Arabica",$B252))&amp;" - "&amp;(IF($C252="","Commercial",$C252))),Variables!$B$1:$D$1,0),1))*BD252/365)+(L252/16.67*INDEX(Variables!$B$8:$D$8,IFERROR(MATCH(IF($B252="Robusta","Robusta",(IF($B252="","Arabica",$B252))&amp;" - "&amp;(IF($C252="","Commercial",$C252))),Variables!$B$1:$D$1,0),1))*BD252)+(W252*INDEX(Variables!$B$9:$D$9,IFERROR(MATCH(IF($B252="Robusta","Robusta",(IF($B252="","Arabica",$B252))&amp;" - "&amp;(IF($C252="","Commercial",$C252))),Variables!$B$1:$D$1,0),1))*BD252/365),""))</f>
        <v>2447.5155625688112</v>
      </c>
      <c r="BJ252" s="44">
        <f t="shared" si="11"/>
        <v>359</v>
      </c>
      <c r="BK252" s="44">
        <f>IF($AX252="Cancelled","",IFERROR(IF(BJ252="","",(W252*INDEX(Variables!$B$7:$D$7,IFERROR(MATCH(IF($B252="Robusta","Robusta",(IF($B252="","Arabica",$B252))&amp;" - "&amp;(IF($C252="","Commercial",$C252))),Variables!$B$1:$D$1,0),1))*(BJ252/365))+(W252*INDEX(Variables!$B$9:$D$9,IFERROR(MATCH(IF($B252="Robusta","Robusta",(IF($B252="","Arabica",$B252))&amp;" - "&amp;(IF($C252="","Commercial",$C252))),Variables!$B$1:$D$1,0),1))*(BJ252/365))+(INDEX(Variables!$B$8:$D$8,IFERROR(MATCH(IF($B252="Robusta","Robusta",(IF($B252="","Arabica",$B252))&amp;" - "&amp;(IF($C252="","Commercial",$C252))),Variables!$B$1:$D$1,0),1))*L252/16.67)),""))</f>
        <v>1492.6578450059874</v>
      </c>
    </row>
    <row r="253" spans="1:63">
      <c r="A253" s="13" t="s">
        <v>103</v>
      </c>
      <c r="B253" s="13" t="s">
        <v>104</v>
      </c>
      <c r="C253" s="13" t="s">
        <v>292</v>
      </c>
      <c r="D253" s="31">
        <v>45712</v>
      </c>
      <c r="E253" s="31">
        <v>45717</v>
      </c>
      <c r="F253" s="31">
        <v>45747</v>
      </c>
      <c r="G253" s="13">
        <v>3786740</v>
      </c>
      <c r="J253" s="13" t="s">
        <v>773</v>
      </c>
      <c r="K253" s="13" t="s">
        <v>849</v>
      </c>
      <c r="L253" s="13">
        <v>100</v>
      </c>
      <c r="M253" s="13">
        <v>0</v>
      </c>
      <c r="N253" s="13" t="s">
        <v>850</v>
      </c>
      <c r="O253" s="13" t="s">
        <v>775</v>
      </c>
      <c r="P253" s="13">
        <v>10030</v>
      </c>
      <c r="R253" s="13" t="s">
        <v>239</v>
      </c>
      <c r="S253" s="13" t="s">
        <v>776</v>
      </c>
      <c r="T253" s="13" t="s">
        <v>777</v>
      </c>
      <c r="U253" s="13" t="s">
        <v>125</v>
      </c>
      <c r="V253" s="13">
        <v>60</v>
      </c>
      <c r="W253" s="44">
        <f>IF($AX253="Cancelled","",IFERROR(((V253+INDEX(Variables!$B$6:$D$6,IFERROR(MATCH(IF($B253="Robusta","Robusta",(IF($B253="","Arabica",$B253))&amp;" - "&amp;(IF($C253="","Commercial",$C253))),Variables!$B$1:$D$1,0),1)))*22.0462)*(L253/16.67),""))</f>
        <v>46393.563047390511</v>
      </c>
      <c r="X253" s="55" t="s">
        <v>39</v>
      </c>
      <c r="Y253" s="13" t="str">
        <f>IF($AX253="Cancelled","",IF(X253="","",IFERROR(IF(INDEX(Variables!$B$38:$B$47,MATCH(X253,Variables!$A$38:$A$47,0))="Yes","Yes","No"),"No")))</f>
        <v>No</v>
      </c>
      <c r="Z253" s="31"/>
      <c r="AB253" s="31">
        <v>45702.875</v>
      </c>
      <c r="AC253" s="13" t="str">
        <f t="shared" si="9"/>
        <v>Approved</v>
      </c>
      <c r="AF253" s="71">
        <f>AJ253-7</f>
        <v>45734</v>
      </c>
      <c r="AG253" s="36">
        <f>IF($AX253="Cancelled","",IFERROR(IF(F253="","",F253-Variables!$B$13),""))</f>
        <v>45732</v>
      </c>
      <c r="AH253" s="13">
        <f>IF($AX253="Cancelled","",IFERROR(IF(AB253="","",(AVERAGE(E253:F253)-AB253)-Variables!$B$14),""))</f>
        <v>-0.875</v>
      </c>
      <c r="AJ253" s="47">
        <v>45741</v>
      </c>
      <c r="AK253" s="14">
        <f>IF($AX253="Cancelled","",IFERROR(IF(AJ253="","",IF(AND(AB253="",AF253=""),"",IF(AF253&gt;AB253,AF253+Variables!$B$15+Variables!$B$16+Variables!$B$17-AJ253,AB253+Variables!$B$16+Variables!$B$17-AJ253))),""))</f>
        <v>8</v>
      </c>
      <c r="AL253" s="48" t="s">
        <v>114</v>
      </c>
      <c r="AM253" s="13" t="s">
        <v>115</v>
      </c>
      <c r="AN253" s="13" t="s">
        <v>517</v>
      </c>
      <c r="AP253" s="31">
        <v>45385</v>
      </c>
      <c r="AR253" s="13">
        <v>251410456</v>
      </c>
      <c r="AS253" s="31">
        <v>45388</v>
      </c>
      <c r="AU253" s="31">
        <v>45399</v>
      </c>
      <c r="AV253" s="13" t="s">
        <v>3268</v>
      </c>
      <c r="AW253" s="31">
        <v>45399</v>
      </c>
      <c r="AX253" s="13" t="str">
        <f>IF(ISNUMBER(SEARCH("cancel",#REF!)),"Cancelled",IF(AND(AS253&lt;&gt;"",AU253&lt;&gt;"",AW253&lt;&gt;""),"Closed","Open"))</f>
        <v>Closed</v>
      </c>
      <c r="AY253" s="15" t="str">
        <f t="shared" si="10"/>
        <v>All dates received</v>
      </c>
      <c r="BD253" s="13">
        <f>IF($AX253="Cancelled","",IFERROR(IF(OR(AS253="",AJ253=""),"",(AJ253+Variables!$B$18-AS253)),""))</f>
        <v>368</v>
      </c>
      <c r="BE253" s="13">
        <f>IF($AX253="Cancelled","",IFERROR(IF(OR(AW253="",AS253=""),"",(AS253+Variables!$B$19)-AW253),""))</f>
        <v>-6</v>
      </c>
      <c r="BF253" s="44">
        <f>IF($AX253="Cancelled","",IFERROR(W253*INDEX(Variables!$B$7:$D$7,IFERROR(MATCH(IF($B253="Robusta","Robusta",(IF($B253="","Arabica",$B253))&amp;" - "&amp;(IF($C253="","Commercial",$C253))),Variables!$B$1:$D$1,0),1))*(BE253/365),""))</f>
        <v>-49.176312511799082</v>
      </c>
      <c r="BG253" s="44">
        <f>IF($AX253="Cancelled","",IFERROR((W253*INDEX(Variables!$B$7:$D$7,IFERROR(MATCH(IF($B253="Robusta","Robusta",(IF($B253="","Arabica",$B253))&amp;" - "&amp;(IF($C253="","Commercial",$C253))),Variables!$B$1:$D$1,0),1))*IFERROR(IF(AB253="","",(AVERAGE(E253:F253)-AB253)-Variables!$B$14),"")/365)+(L253/16.67*INDEX(Variables!$B$8:$D$8,IFERROR(MATCH(IF($B253="Robusta","Robusta",(IF($B253="","Arabica",$B253))&amp;" - "&amp;(IF($C253="","Commercial",$C253))),Variables!$B$1:$D$1,0),1))*IFERROR(IF(AB253="","",(AVERAGE(E253:F253)-AB253)-Variables!$B$14),""))+(W253*INDEX(Variables!$B$9:$D$9,IFERROR(MATCH(IF($B253="Robusta","Robusta",(IF($B253="","Arabica",$B253))&amp;" - "&amp;(IF($C253="","Commercial",$C253))),Variables!$B$1:$D$1,0),1))*IFERROR(IF(AB253="","",(AVERAGE(E253:F253)-AB253)-Variables!$B$14),"")/365),""))</f>
        <v>-11.639000637215815</v>
      </c>
      <c r="BH253" s="44">
        <f>IF($AX253="Cancelled","",IFERROR((W253*INDEX(Variables!$B$7:$D$7,IFERROR(MATCH(IF($B253="Robusta","Robusta",(IF($B253="","Arabica",$B253))&amp;" - "&amp;(IF($C253="","Commercial",$C253))),Variables!$B$1:$D$1,0),1))*AK253/365)+(L253/16.67*INDEX(Variables!$B$8:$D$8,IFERROR(MATCH(IF($B253="Robusta","Robusta",(IF($B253="","Arabica",$B253))&amp;" - "&amp;(IF($C253="","Commercial",$C253))),Variables!$B$1:$D$1,0),1))*AK253)+(W253*INDEX(Variables!$B$9:$D$9,IFERROR(MATCH(IF($B253="Robusta","Robusta",(IF($B253="","Arabica",$B253))&amp;" - "&amp;(IF($C253="","Commercial",$C253))),Variables!$B$1:$D$1,0),1))*AK253/365),""))</f>
        <v>106.41372011168747</v>
      </c>
      <c r="BI253" s="44">
        <f>IF($AX253="Cancelled","",IFERROR((W253*INDEX(Variables!$B$7:$D$7,IFERROR(MATCH(IF($B253="Robusta","Robusta",(IF($B253="","Arabica",$B253))&amp;" - "&amp;(IF($C253="","Commercial",$C253))),Variables!$B$1:$D$1,0),1))*BD253/365)+(L253/16.67*INDEX(Variables!$B$8:$D$8,IFERROR(MATCH(IF($B253="Robusta","Robusta",(IF($B253="","Arabica",$B253))&amp;" - "&amp;(IF($C253="","Commercial",$C253))),Variables!$B$1:$D$1,0),1))*BD253)+(W253*INDEX(Variables!$B$9:$D$9,IFERROR(MATCH(IF($B253="Robusta","Robusta",(IF($B253="","Arabica",$B253))&amp;" - "&amp;(IF($C253="","Commercial",$C253))),Variables!$B$1:$D$1,0),1))*BD253/365),""))</f>
        <v>4895.0311251376224</v>
      </c>
      <c r="BJ253" s="44">
        <f t="shared" si="11"/>
        <v>359</v>
      </c>
      <c r="BK253" s="44">
        <f>IF($AX253="Cancelled","",IFERROR(IF(BJ253="","",(W253*INDEX(Variables!$B$7:$D$7,IFERROR(MATCH(IF($B253="Robusta","Robusta",(IF($B253="","Arabica",$B253))&amp;" - "&amp;(IF($C253="","Commercial",$C253))),Variables!$B$1:$D$1,0),1))*(BJ253/365))+(W253*INDEX(Variables!$B$9:$D$9,IFERROR(MATCH(IF($B253="Robusta","Robusta",(IF($B253="","Arabica",$B253))&amp;" - "&amp;(IF($C253="","Commercial",$C253))),Variables!$B$1:$D$1,0),1))*(BJ253/365))+(INDEX(Variables!$B$8:$D$8,IFERROR(MATCH(IF($B253="Robusta","Robusta",(IF($B253="","Arabica",$B253))&amp;" - "&amp;(IF($C253="","Commercial",$C253))),Variables!$B$1:$D$1,0),1))*L253/16.67)),""))</f>
        <v>2985.3156900119748</v>
      </c>
    </row>
    <row r="254" spans="1:63">
      <c r="A254" s="13" t="s">
        <v>103</v>
      </c>
      <c r="B254" s="13" t="s">
        <v>104</v>
      </c>
      <c r="C254" s="13" t="s">
        <v>292</v>
      </c>
      <c r="D254" s="31">
        <v>45712</v>
      </c>
      <c r="E254" s="31">
        <v>45717</v>
      </c>
      <c r="F254" s="31">
        <v>45747</v>
      </c>
      <c r="G254" s="13">
        <v>3786741</v>
      </c>
      <c r="J254" s="13" t="s">
        <v>506</v>
      </c>
      <c r="K254" s="13" t="s">
        <v>851</v>
      </c>
      <c r="L254" s="13">
        <v>2</v>
      </c>
      <c r="M254" s="13">
        <v>0</v>
      </c>
      <c r="N254" s="13" t="s">
        <v>852</v>
      </c>
      <c r="O254" s="13" t="s">
        <v>297</v>
      </c>
      <c r="P254" s="13">
        <v>10020</v>
      </c>
      <c r="R254" s="13" t="s">
        <v>384</v>
      </c>
      <c r="S254" s="13" t="s">
        <v>509</v>
      </c>
      <c r="T254" s="13" t="s">
        <v>329</v>
      </c>
      <c r="U254" s="13" t="s">
        <v>330</v>
      </c>
      <c r="V254" s="13">
        <v>83.25</v>
      </c>
      <c r="W254" s="44">
        <f>IF($AX254="Cancelled","",IFERROR(((V254+INDEX(Variables!$B$6:$D$6,IFERROR(MATCH(IF($B254="Robusta","Robusta",(IF($B254="","Arabica",$B254))&amp;" - "&amp;(IF($C254="","Commercial",$C254))),Variables!$B$1:$D$1,0),1)))*22.0462)*(L254/16.67),""))</f>
        <v>989.36785962807426</v>
      </c>
      <c r="X254" s="55" t="s">
        <v>39</v>
      </c>
      <c r="Y254" s="13" t="str">
        <f>IF($AX254="Cancelled","",IF(X254="","",IFERROR(IF(INDEX(Variables!$B$38:$B$47,MATCH(X254,Variables!$A$38:$A$47,0))="Yes","Yes","No"),"No")))</f>
        <v>No</v>
      </c>
      <c r="Z254" s="31"/>
      <c r="AB254" s="31">
        <v>45689.875</v>
      </c>
      <c r="AC254" s="13" t="str">
        <f t="shared" si="9"/>
        <v>Approved</v>
      </c>
      <c r="AF254" s="71">
        <f>AJ254-7</f>
        <v>45721</v>
      </c>
      <c r="AG254" s="36">
        <f>IF($AX254="Cancelled","",IFERROR(IF(F254="","",F254-Variables!$B$13),""))</f>
        <v>45732</v>
      </c>
      <c r="AH254" s="13">
        <f>IF($AX254="Cancelled","",IFERROR(IF(AB254="","",(AVERAGE(E254:F254)-AB254)-Variables!$B$14),""))</f>
        <v>12.125</v>
      </c>
      <c r="AJ254" s="47">
        <v>45728</v>
      </c>
      <c r="AK254" s="14">
        <f>IF($AX254="Cancelled","",IFERROR(IF(AJ254="","",IF(AND(AB254="",AF254=""),"",IF(AF254&gt;AB254,AF254+Variables!$B$15+Variables!$B$16+Variables!$B$17-AJ254,AB254+Variables!$B$16+Variables!$B$17-AJ254))),""))</f>
        <v>8</v>
      </c>
      <c r="AL254" s="48" t="s">
        <v>114</v>
      </c>
      <c r="AM254" s="13" t="s">
        <v>115</v>
      </c>
      <c r="AN254" s="13" t="s">
        <v>510</v>
      </c>
      <c r="AP254" s="31">
        <v>45372</v>
      </c>
      <c r="AR254" s="13">
        <v>251098049</v>
      </c>
      <c r="AS254" s="31">
        <v>45377</v>
      </c>
      <c r="AU254" s="31">
        <v>45379</v>
      </c>
      <c r="AV254" s="13" t="s">
        <v>865</v>
      </c>
      <c r="AW254" s="31">
        <v>45389</v>
      </c>
      <c r="AX254" s="13" t="str">
        <f>IF(ISNUMBER(SEARCH("cancel",#REF!)),"Cancelled",IF(AND(AS254&lt;&gt;"",AU254&lt;&gt;"",AW254&lt;&gt;""),"Closed","Open"))</f>
        <v>Closed</v>
      </c>
      <c r="AY254" s="15" t="str">
        <f t="shared" si="10"/>
        <v>All dates received</v>
      </c>
      <c r="BD254" s="13">
        <f>IF($AX254="Cancelled","",IFERROR(IF(OR(AS254="",AJ254=""),"",(AJ254+Variables!$B$18-AS254)),""))</f>
        <v>366</v>
      </c>
      <c r="BE254" s="13">
        <f>IF($AX254="Cancelled","",IFERROR(IF(OR(AW254="",AS254=""),"",(AS254+Variables!$B$19)-AW254),""))</f>
        <v>-7</v>
      </c>
      <c r="BF254" s="44">
        <f>IF($AX254="Cancelled","",IFERROR(W254*INDEX(Variables!$B$7:$D$7,IFERROR(MATCH(IF($B254="Robusta","Robusta",(IF($B254="","Arabica",$B254))&amp;" - "&amp;(IF($C254="","Commercial",$C254))),Variables!$B$1:$D$1,0),1))*(BE254/365),""))</f>
        <v>-1.2234967490048381</v>
      </c>
      <c r="BG254" s="44">
        <f>IF($AX254="Cancelled","",IFERROR((W254*INDEX(Variables!$B$7:$D$7,IFERROR(MATCH(IF($B254="Robusta","Robusta",(IF($B254="","Arabica",$B254))&amp;" - "&amp;(IF($C254="","Commercial",$C254))),Variables!$B$1:$D$1,0),1))*IFERROR(IF(AB254="","",(AVERAGE(E254:F254)-AB254)-Variables!$B$14),"")/365)+(L254/16.67*INDEX(Variables!$B$8:$D$8,IFERROR(MATCH(IF($B254="Robusta","Robusta",(IF($B254="","Arabica",$B254))&amp;" - "&amp;(IF($C254="","Commercial",$C254))),Variables!$B$1:$D$1,0),1))*IFERROR(IF(AB254="","",(AVERAGE(E254:F254)-AB254)-Variables!$B$14),""))+(W254*INDEX(Variables!$B$9:$D$9,IFERROR(MATCH(IF($B254="Robusta","Robusta",(IF($B254="","Arabica",$B254))&amp;" - "&amp;(IF($C254="","Commercial",$C254))),Variables!$B$1:$D$1,0),1))*IFERROR(IF(AB254="","",(AVERAGE(E254:F254)-AB254)-Variables!$B$14),"")/365),""))</f>
        <v>3.3590926496172497</v>
      </c>
      <c r="BH254" s="44">
        <f>IF($AX254="Cancelled","",IFERROR((W254*INDEX(Variables!$B$7:$D$7,IFERROR(MATCH(IF($B254="Robusta","Robusta",(IF($B254="","Arabica",$B254))&amp;" - "&amp;(IF($C254="","Commercial",$C254))),Variables!$B$1:$D$1,0),1))*AK254/365)+(L254/16.67*INDEX(Variables!$B$8:$D$8,IFERROR(MATCH(IF($B254="Robusta","Robusta",(IF($B254="","Arabica",$B254))&amp;" - "&amp;(IF($C254="","Commercial",$C254))),Variables!$B$1:$D$1,0),1))*AK254)+(W254*INDEX(Variables!$B$9:$D$9,IFERROR(MATCH(IF($B254="Robusta","Robusta",(IF($B254="","Arabica",$B254))&amp;" - "&amp;(IF($C254="","Commercial",$C254))),Variables!$B$1:$D$1,0),1))*AK254/365),""))</f>
        <v>2.2163085523247834</v>
      </c>
      <c r="BI254" s="44">
        <f>IF($AX254="Cancelled","",IFERROR((W254*INDEX(Variables!$B$7:$D$7,IFERROR(MATCH(IF($B254="Robusta","Robusta",(IF($B254="","Arabica",$B254))&amp;" - "&amp;(IF($C254="","Commercial",$C254))),Variables!$B$1:$D$1,0),1))*BD254/365)+(L254/16.67*INDEX(Variables!$B$8:$D$8,IFERROR(MATCH(IF($B254="Robusta","Robusta",(IF($B254="","Arabica",$B254))&amp;" - "&amp;(IF($C254="","Commercial",$C254))),Variables!$B$1:$D$1,0),1))*BD254)+(W254*INDEX(Variables!$B$9:$D$9,IFERROR(MATCH(IF($B254="Robusta","Robusta",(IF($B254="","Arabica",$B254))&amp;" - "&amp;(IF($C254="","Commercial",$C254))),Variables!$B$1:$D$1,0),1))*BD254/365),""))</f>
        <v>101.39611626885883</v>
      </c>
      <c r="BJ254" s="44">
        <f t="shared" si="11"/>
        <v>370</v>
      </c>
      <c r="BK254" s="44">
        <f>IF($AX254="Cancelled","",IFERROR(IF(BJ254="","",(W254*INDEX(Variables!$B$7:$D$7,IFERROR(MATCH(IF($B254="Robusta","Robusta",(IF($B254="","Arabica",$B254))&amp;" - "&amp;(IF($C254="","Commercial",$C254))),Variables!$B$1:$D$1,0),1))*(BJ254/365))+(W254*INDEX(Variables!$B$9:$D$9,IFERROR(MATCH(IF($B254="Robusta","Robusta",(IF($B254="","Arabica",$B254))&amp;" - "&amp;(IF($C254="","Commercial",$C254))),Variables!$B$1:$D$1,0),1))*(BJ254/365))+(INDEX(Variables!$B$8:$D$8,IFERROR(MATCH(IF($B254="Robusta","Robusta",(IF($B254="","Arabica",$B254))&amp;" - "&amp;(IF($C254="","Commercial",$C254))),Variables!$B$1:$D$1,0),1))*L254/16.67)),""))</f>
        <v>65.604270545021222</v>
      </c>
    </row>
    <row r="255" spans="1:63">
      <c r="A255" s="13" t="s">
        <v>103</v>
      </c>
      <c r="B255" s="13" t="s">
        <v>104</v>
      </c>
      <c r="C255" s="13" t="s">
        <v>292</v>
      </c>
      <c r="D255" s="31">
        <v>45712</v>
      </c>
      <c r="E255" s="31">
        <v>45717</v>
      </c>
      <c r="F255" s="31">
        <v>45747</v>
      </c>
      <c r="G255" s="13">
        <v>3786742</v>
      </c>
      <c r="J255" s="13" t="s">
        <v>506</v>
      </c>
      <c r="K255" s="13" t="s">
        <v>853</v>
      </c>
      <c r="L255" s="13">
        <v>6</v>
      </c>
      <c r="M255" s="13">
        <v>0</v>
      </c>
      <c r="N255" s="13" t="s">
        <v>854</v>
      </c>
      <c r="O255" s="13" t="s">
        <v>304</v>
      </c>
      <c r="P255" s="13">
        <v>10010</v>
      </c>
      <c r="R255" s="13" t="s">
        <v>384</v>
      </c>
      <c r="S255" s="13" t="s">
        <v>509</v>
      </c>
      <c r="T255" s="13" t="s">
        <v>329</v>
      </c>
      <c r="U255" s="13" t="s">
        <v>330</v>
      </c>
      <c r="V255" s="13">
        <v>110</v>
      </c>
      <c r="W255" s="44">
        <f>IF($AX255="Cancelled","",IFERROR(((V255+INDEX(Variables!$B$6:$D$6,IFERROR(MATCH(IF($B255="Robusta","Robusta",(IF($B255="","Arabica",$B255))&amp;" - "&amp;(IF($C255="","Commercial",$C255))),Variables!$B$1:$D$1,0),1)))*22.0462)*(L255/16.67),""))</f>
        <v>3180.3660323935205</v>
      </c>
      <c r="X255" s="55" t="s">
        <v>39</v>
      </c>
      <c r="Y255" s="13" t="str">
        <f>IF($AX255="Cancelled","",IF(X255="","",IFERROR(IF(INDEX(Variables!$B$38:$B$47,MATCH(X255,Variables!$A$38:$A$47,0))="Yes","Yes","No"),"No")))</f>
        <v>No</v>
      </c>
      <c r="Z255" s="31"/>
      <c r="AB255" s="31">
        <v>45689.875</v>
      </c>
      <c r="AC255" s="13" t="str">
        <f t="shared" si="9"/>
        <v>Approved</v>
      </c>
      <c r="AF255" s="71">
        <f>AJ255-7</f>
        <v>45721</v>
      </c>
      <c r="AG255" s="36">
        <f>IF($AX255="Cancelled","",IFERROR(IF(F255="","",F255-Variables!$B$13),""))</f>
        <v>45732</v>
      </c>
      <c r="AH255" s="13">
        <f>IF($AX255="Cancelled","",IFERROR(IF(AB255="","",(AVERAGE(E255:F255)-AB255)-Variables!$B$14),""))</f>
        <v>12.125</v>
      </c>
      <c r="AJ255" s="47">
        <v>45728</v>
      </c>
      <c r="AK255" s="14">
        <f>IF($AX255="Cancelled","",IFERROR(IF(AJ255="","",IF(AND(AB255="",AF255=""),"",IF(AF255&gt;AB255,AF255+Variables!$B$15+Variables!$B$16+Variables!$B$17-AJ255,AB255+Variables!$B$16+Variables!$B$17-AJ255))),""))</f>
        <v>8</v>
      </c>
      <c r="AL255" s="48" t="s">
        <v>114</v>
      </c>
      <c r="AM255" s="13" t="s">
        <v>115</v>
      </c>
      <c r="AN255" s="13" t="s">
        <v>510</v>
      </c>
      <c r="AP255" s="31">
        <v>45372</v>
      </c>
      <c r="AR255" s="13">
        <v>251098049</v>
      </c>
      <c r="AS255" s="31">
        <v>45377</v>
      </c>
      <c r="AU255" s="31">
        <v>45379</v>
      </c>
      <c r="AV255" s="13" t="s">
        <v>865</v>
      </c>
      <c r="AW255" s="31">
        <v>45389</v>
      </c>
      <c r="AX255" s="13" t="str">
        <f>IF(ISNUMBER(SEARCH("cancel",#REF!)),"Cancelled",IF(AND(AS255&lt;&gt;"",AU255&lt;&gt;"",AW255&lt;&gt;""),"Closed","Open"))</f>
        <v>Closed</v>
      </c>
      <c r="AY255" s="15" t="str">
        <f t="shared" si="10"/>
        <v>All dates received</v>
      </c>
      <c r="BD255" s="13">
        <f>IF($AX255="Cancelled","",IFERROR(IF(OR(AS255="",AJ255=""),"",(AJ255+Variables!$B$18-AS255)),""))</f>
        <v>366</v>
      </c>
      <c r="BE255" s="13">
        <f>IF($AX255="Cancelled","",IFERROR(IF(OR(AW255="",AS255=""),"",(AS255+Variables!$B$19)-AW255),""))</f>
        <v>-7</v>
      </c>
      <c r="BF255" s="44">
        <f>IF($AX255="Cancelled","",IFERROR(W255*INDEX(Variables!$B$7:$D$7,IFERROR(MATCH(IF($B255="Robusta","Robusta",(IF($B255="","Arabica",$B255))&amp;" - "&amp;(IF($C255="","Commercial",$C255))),Variables!$B$1:$D$1,0),1))*(BE255/365),""))</f>
        <v>-3.9329835342959956</v>
      </c>
      <c r="BG255" s="44">
        <f>IF($AX255="Cancelled","",IFERROR((W255*INDEX(Variables!$B$7:$D$7,IFERROR(MATCH(IF($B255="Robusta","Robusta",(IF($B255="","Arabica",$B255))&amp;" - "&amp;(IF($C255="","Commercial",$C255))),Variables!$B$1:$D$1,0),1))*IFERROR(IF(AB255="","",(AVERAGE(E255:F255)-AB255)-Variables!$B$14),"")/365)+(L255/16.67*INDEX(Variables!$B$8:$D$8,IFERROR(MATCH(IF($B255="Robusta","Robusta",(IF($B255="","Arabica",$B255))&amp;" - "&amp;(IF($C255="","Commercial",$C255))),Variables!$B$1:$D$1,0),1))*IFERROR(IF(AB255="","",(AVERAGE(E255:F255)-AB255)-Variables!$B$14),""))+(W255*INDEX(Variables!$B$9:$D$9,IFERROR(MATCH(IF($B255="Robusta","Robusta",(IF($B255="","Arabica",$B255))&amp;" - "&amp;(IF($C255="","Commercial",$C255))),Variables!$B$1:$D$1,0),1))*IFERROR(IF(AB255="","",(AVERAGE(E255:F255)-AB255)-Variables!$B$14),"")/365),""))</f>
        <v>10.537815470925759</v>
      </c>
      <c r="BH255" s="44">
        <f>IF($AX255="Cancelled","",IFERROR((W255*INDEX(Variables!$B$7:$D$7,IFERROR(MATCH(IF($B255="Robusta","Robusta",(IF($B255="","Arabica",$B255))&amp;" - "&amp;(IF($C255="","Commercial",$C255))),Variables!$B$1:$D$1,0),1))*AK255/365)+(L255/16.67*INDEX(Variables!$B$8:$D$8,IFERROR(MATCH(IF($B255="Robusta","Robusta",(IF($B255="","Arabica",$B255))&amp;" - "&amp;(IF($C255="","Commercial",$C255))),Variables!$B$1:$D$1,0),1))*AK255)+(W255*INDEX(Variables!$B$9:$D$9,IFERROR(MATCH(IF($B255="Robusta","Robusta",(IF($B255="","Arabica",$B255))&amp;" - "&amp;(IF($C255="","Commercial",$C255))),Variables!$B$1:$D$1,0),1))*AK255/365),""))</f>
        <v>6.9527854653530774</v>
      </c>
      <c r="BI255" s="44">
        <f>IF($AX255="Cancelled","",IFERROR((W255*INDEX(Variables!$B$7:$D$7,IFERROR(MATCH(IF($B255="Robusta","Robusta",(IF($B255="","Arabica",$B255))&amp;" - "&amp;(IF($C255="","Commercial",$C255))),Variables!$B$1:$D$1,0),1))*BD255/365)+(L255/16.67*INDEX(Variables!$B$8:$D$8,IFERROR(MATCH(IF($B255="Robusta","Robusta",(IF($B255="","Arabica",$B255))&amp;" - "&amp;(IF($C255="","Commercial",$C255))),Variables!$B$1:$D$1,0),1))*BD255)+(W255*INDEX(Variables!$B$9:$D$9,IFERROR(MATCH(IF($B255="Robusta","Robusta",(IF($B255="","Arabica",$B255))&amp;" - "&amp;(IF($C255="","Commercial",$C255))),Variables!$B$1:$D$1,0),1))*BD255/365),""))</f>
        <v>318.08993503990331</v>
      </c>
      <c r="BJ255" s="44">
        <f t="shared" si="11"/>
        <v>370</v>
      </c>
      <c r="BK255" s="44">
        <f>IF($AX255="Cancelled","",IFERROR(IF(BJ255="","",(W255*INDEX(Variables!$B$7:$D$7,IFERROR(MATCH(IF($B255="Robusta","Robusta",(IF($B255="","Arabica",$B255))&amp;" - "&amp;(IF($C255="","Commercial",$C255))),Variables!$B$1:$D$1,0),1))*(BJ255/365))+(W255*INDEX(Variables!$B$9:$D$9,IFERROR(MATCH(IF($B255="Robusta","Robusta",(IF($B255="","Arabica",$B255))&amp;" - "&amp;(IF($C255="","Commercial",$C255))),Variables!$B$1:$D$1,0),1))*(BJ255/365))+(INDEX(Variables!$B$8:$D$8,IFERROR(MATCH(IF($B255="Robusta","Robusta",(IF($B255="","Arabica",$B255))&amp;" - "&amp;(IF($C255="","Commercial",$C255))),Variables!$B$1:$D$1,0),1))*L255/16.67)),""))</f>
        <v>210.86632777257989</v>
      </c>
    </row>
    <row r="256" spans="1:63">
      <c r="A256" s="13" t="s">
        <v>103</v>
      </c>
      <c r="B256" s="13" t="s">
        <v>104</v>
      </c>
      <c r="C256" s="13" t="s">
        <v>292</v>
      </c>
      <c r="D256" s="31">
        <v>45712</v>
      </c>
      <c r="E256" s="31">
        <v>45717</v>
      </c>
      <c r="F256" s="31">
        <v>45747</v>
      </c>
      <c r="G256" s="13">
        <v>3786743</v>
      </c>
      <c r="J256" s="13" t="s">
        <v>506</v>
      </c>
      <c r="K256" s="13" t="s">
        <v>855</v>
      </c>
      <c r="L256" s="13">
        <v>8</v>
      </c>
      <c r="M256" s="13">
        <v>0</v>
      </c>
      <c r="N256" s="13" t="s">
        <v>856</v>
      </c>
      <c r="O256" s="13" t="s">
        <v>304</v>
      </c>
      <c r="P256" s="13">
        <v>10010</v>
      </c>
      <c r="R256" s="13" t="s">
        <v>384</v>
      </c>
      <c r="S256" s="13" t="s">
        <v>509</v>
      </c>
      <c r="T256" s="13" t="s">
        <v>329</v>
      </c>
      <c r="U256" s="13" t="s">
        <v>330</v>
      </c>
      <c r="V256" s="13">
        <v>145</v>
      </c>
      <c r="W256" s="44">
        <f>IF($AX256="Cancelled","",IFERROR(((V256+INDEX(Variables!$B$6:$D$6,IFERROR(MATCH(IF($B256="Robusta","Robusta",(IF($B256="","Arabica",$B256))&amp;" - "&amp;(IF($C256="","Commercial",$C256))),Variables!$B$1:$D$1,0),1)))*22.0462)*(L256/16.67),""))</f>
        <v>4610.7901427714451</v>
      </c>
      <c r="X256" s="55" t="s">
        <v>39</v>
      </c>
      <c r="Y256" s="13" t="str">
        <f>IF($AX256="Cancelled","",IF(X256="","",IFERROR(IF(INDEX(Variables!$B$38:$B$47,MATCH(X256,Variables!$A$38:$A$47,0))="Yes","Yes","No"),"No")))</f>
        <v>No</v>
      </c>
      <c r="Z256" s="31"/>
      <c r="AB256" s="31">
        <v>45689.875</v>
      </c>
      <c r="AC256" s="13" t="str">
        <f t="shared" si="9"/>
        <v>Approved</v>
      </c>
      <c r="AF256" s="71">
        <f>AJ256-7</f>
        <v>45721</v>
      </c>
      <c r="AG256" s="36">
        <f>IF($AX256="Cancelled","",IFERROR(IF(F256="","",F256-Variables!$B$13),""))</f>
        <v>45732</v>
      </c>
      <c r="AH256" s="13">
        <f>IF($AX256="Cancelled","",IFERROR(IF(AB256="","",(AVERAGE(E256:F256)-AB256)-Variables!$B$14),""))</f>
        <v>12.125</v>
      </c>
      <c r="AJ256" s="47">
        <v>45728</v>
      </c>
      <c r="AK256" s="14">
        <f>IF($AX256="Cancelled","",IFERROR(IF(AJ256="","",IF(AND(AB256="",AF256=""),"",IF(AF256&gt;AB256,AF256+Variables!$B$15+Variables!$B$16+Variables!$B$17-AJ256,AB256+Variables!$B$16+Variables!$B$17-AJ256))),""))</f>
        <v>8</v>
      </c>
      <c r="AL256" s="48" t="s">
        <v>114</v>
      </c>
      <c r="AM256" s="13" t="s">
        <v>115</v>
      </c>
      <c r="AN256" s="13" t="s">
        <v>510</v>
      </c>
      <c r="AP256" s="31">
        <v>45372</v>
      </c>
      <c r="AR256" s="13">
        <v>251098049</v>
      </c>
      <c r="AS256" s="31">
        <v>45377</v>
      </c>
      <c r="AU256" s="31">
        <v>45379</v>
      </c>
      <c r="AV256" s="13" t="s">
        <v>865</v>
      </c>
      <c r="AW256" s="31">
        <v>45389</v>
      </c>
      <c r="AX256" s="13" t="str">
        <f>IF(ISNUMBER(SEARCH("cancel",#REF!)),"Cancelled",IF(AND(AS256&lt;&gt;"",AU256&lt;&gt;"",AW256&lt;&gt;""),"Closed","Open"))</f>
        <v>Closed</v>
      </c>
      <c r="AY256" s="15" t="str">
        <f t="shared" si="10"/>
        <v>All dates received</v>
      </c>
      <c r="BD256" s="13">
        <f>IF($AX256="Cancelled","",IFERROR(IF(OR(AS256="",AJ256=""),"",(AJ256+Variables!$B$18-AS256)),""))</f>
        <v>366</v>
      </c>
      <c r="BE256" s="13">
        <f>IF($AX256="Cancelled","",IFERROR(IF(OR(AW256="",AS256=""),"",(AS256+Variables!$B$19)-AW256),""))</f>
        <v>-7</v>
      </c>
      <c r="BF256" s="44">
        <f>IF($AX256="Cancelled","",IFERROR(W256*INDEX(Variables!$B$7:$D$7,IFERROR(MATCH(IF($B256="Robusta","Robusta",(IF($B256="","Arabica",$B256))&amp;" - "&amp;(IF($C256="","Commercial",$C256))),Variables!$B$1:$D$1,0),1))*(BE256/365),""))</f>
        <v>-5.7019102603000498</v>
      </c>
      <c r="BG256" s="44">
        <f>IF($AX256="Cancelled","",IFERROR((W256*INDEX(Variables!$B$7:$D$7,IFERROR(MATCH(IF($B256="Robusta","Robusta",(IF($B256="","Arabica",$B256))&amp;" - "&amp;(IF($C256="","Commercial",$C256))),Variables!$B$1:$D$1,0),1))*IFERROR(IF(AB256="","",(AVERAGE(E256:F256)-AB256)-Variables!$B$14),"")/365)+(L256/16.67*INDEX(Variables!$B$8:$D$8,IFERROR(MATCH(IF($B256="Robusta","Robusta",(IF($B256="","Arabica",$B256))&amp;" - "&amp;(IF($C256="","Commercial",$C256))),Variables!$B$1:$D$1,0),1))*IFERROR(IF(AB256="","",(AVERAGE(E256:F256)-AB256)-Variables!$B$14),""))+(W256*INDEX(Variables!$B$9:$D$9,IFERROR(MATCH(IF($B256="Robusta","Robusta",(IF($B256="","Arabica",$B256))&amp;" - "&amp;(IF($C256="","Commercial",$C256))),Variables!$B$1:$D$1,0),1))*IFERROR(IF(AB256="","",(AVERAGE(E256:F256)-AB256)-Variables!$B$14),"")/365),""))</f>
        <v>14.853850572952249</v>
      </c>
      <c r="BH256" s="44">
        <f>IF($AX256="Cancelled","",IFERROR((W256*INDEX(Variables!$B$7:$D$7,IFERROR(MATCH(IF($B256="Robusta","Robusta",(IF($B256="","Arabica",$B256))&amp;" - "&amp;(IF($C256="","Commercial",$C256))),Variables!$B$1:$D$1,0),1))*AK256/365)+(L256/16.67*INDEX(Variables!$B$8:$D$8,IFERROR(MATCH(IF($B256="Robusta","Robusta",(IF($B256="","Arabica",$B256))&amp;" - "&amp;(IF($C256="","Commercial",$C256))),Variables!$B$1:$D$1,0),1))*AK256)+(W256*INDEX(Variables!$B$9:$D$9,IFERROR(MATCH(IF($B256="Robusta","Robusta",(IF($B256="","Arabica",$B256))&amp;" - "&amp;(IF($C256="","Commercial",$C256))),Variables!$B$1:$D$1,0),1))*AK256/365),""))</f>
        <v>9.8004787285458157</v>
      </c>
      <c r="BI256" s="44">
        <f>IF($AX256="Cancelled","",IFERROR((W256*INDEX(Variables!$B$7:$D$7,IFERROR(MATCH(IF($B256="Robusta","Robusta",(IF($B256="","Arabica",$B256))&amp;" - "&amp;(IF($C256="","Commercial",$C256))),Variables!$B$1:$D$1,0),1))*BD256/365)+(L256/16.67*INDEX(Variables!$B$8:$D$8,IFERROR(MATCH(IF($B256="Robusta","Robusta",(IF($B256="","Arabica",$B256))&amp;" - "&amp;(IF($C256="","Commercial",$C256))),Variables!$B$1:$D$1,0),1))*BD256)+(W256*INDEX(Variables!$B$9:$D$9,IFERROR(MATCH(IF($B256="Robusta","Robusta",(IF($B256="","Arabica",$B256))&amp;" - "&amp;(IF($C256="","Commercial",$C256))),Variables!$B$1:$D$1,0),1))*BD256/365),""))</f>
        <v>448.37190183097101</v>
      </c>
      <c r="BJ256" s="44">
        <f t="shared" si="11"/>
        <v>370</v>
      </c>
      <c r="BK256" s="44">
        <f>IF($AX256="Cancelled","",IFERROR(IF(BJ256="","",(W256*INDEX(Variables!$B$7:$D$7,IFERROR(MATCH(IF($B256="Robusta","Robusta",(IF($B256="","Arabica",$B256))&amp;" - "&amp;(IF($C256="","Commercial",$C256))),Variables!$B$1:$D$1,0),1))*(BJ256/365))+(W256*INDEX(Variables!$B$9:$D$9,IFERROR(MATCH(IF($B256="Robusta","Robusta",(IF($B256="","Arabica",$B256))&amp;" - "&amp;(IF($C256="","Commercial",$C256))),Variables!$B$1:$D$1,0),1))*(BJ256/365))+(INDEX(Variables!$B$8:$D$8,IFERROR(MATCH(IF($B256="Robusta","Robusta",(IF($B256="","Arabica",$B256))&amp;" - "&amp;(IF($C256="","Commercial",$C256))),Variables!$B$1:$D$1,0),1))*L256/16.67)),""))</f>
        <v>305.67214119524391</v>
      </c>
    </row>
    <row r="257" spans="1:63">
      <c r="A257" s="13" t="s">
        <v>103</v>
      </c>
      <c r="B257" s="13" t="s">
        <v>104</v>
      </c>
      <c r="C257" s="13" t="s">
        <v>292</v>
      </c>
      <c r="D257" s="31">
        <v>45712</v>
      </c>
      <c r="E257" s="31">
        <v>45717</v>
      </c>
      <c r="F257" s="31">
        <v>45747</v>
      </c>
      <c r="G257" s="13">
        <v>3786744</v>
      </c>
      <c r="J257" s="13" t="s">
        <v>506</v>
      </c>
      <c r="K257" s="13" t="s">
        <v>857</v>
      </c>
      <c r="L257" s="13">
        <v>2</v>
      </c>
      <c r="M257" s="13">
        <v>0</v>
      </c>
      <c r="N257" s="13" t="s">
        <v>858</v>
      </c>
      <c r="O257" s="13" t="s">
        <v>304</v>
      </c>
      <c r="P257" s="13">
        <v>10010</v>
      </c>
      <c r="R257" s="13" t="s">
        <v>384</v>
      </c>
      <c r="S257" s="13" t="s">
        <v>509</v>
      </c>
      <c r="T257" s="13" t="s">
        <v>329</v>
      </c>
      <c r="U257" s="13" t="s">
        <v>330</v>
      </c>
      <c r="V257" s="13">
        <v>133</v>
      </c>
      <c r="W257" s="44">
        <f>IF($AX257="Cancelled","",IFERROR(((V257+INDEX(Variables!$B$6:$D$6,IFERROR(MATCH(IF($B257="Robusta","Robusta",(IF($B257="","Arabica",$B257))&amp;" - "&amp;(IF($C257="","Commercial",$C257))),Variables!$B$1:$D$1,0),1)))*22.0462)*(L257/16.67),""))</f>
        <v>1120.9573557288541</v>
      </c>
      <c r="X257" s="55" t="s">
        <v>39</v>
      </c>
      <c r="Y257" s="13" t="str">
        <f>IF($AX257="Cancelled","",IF(X257="","",IFERROR(IF(INDEX(Variables!$B$38:$B$47,MATCH(X257,Variables!$A$38:$A$47,0))="Yes","Yes","No"),"No")))</f>
        <v>No</v>
      </c>
      <c r="Z257" s="31"/>
      <c r="AB257" s="31">
        <v>45689.875</v>
      </c>
      <c r="AC257" s="13" t="str">
        <f t="shared" si="9"/>
        <v>Approved</v>
      </c>
      <c r="AF257" s="71">
        <f>AJ257-7</f>
        <v>45721</v>
      </c>
      <c r="AG257" s="36">
        <f>IF($AX257="Cancelled","",IFERROR(IF(F257="","",F257-Variables!$B$13),""))</f>
        <v>45732</v>
      </c>
      <c r="AH257" s="13">
        <f>IF($AX257="Cancelled","",IFERROR(IF(AB257="","",(AVERAGE(E257:F257)-AB257)-Variables!$B$14),""))</f>
        <v>12.125</v>
      </c>
      <c r="AJ257" s="47">
        <v>45728</v>
      </c>
      <c r="AK257" s="14">
        <f>IF($AX257="Cancelled","",IFERROR(IF(AJ257="","",IF(AND(AB257="",AF257=""),"",IF(AF257&gt;AB257,AF257+Variables!$B$15+Variables!$B$16+Variables!$B$17-AJ257,AB257+Variables!$B$16+Variables!$B$17-AJ257))),""))</f>
        <v>8</v>
      </c>
      <c r="AL257" s="48" t="s">
        <v>114</v>
      </c>
      <c r="AM257" s="13" t="s">
        <v>115</v>
      </c>
      <c r="AN257" s="13" t="s">
        <v>510</v>
      </c>
      <c r="AP257" s="31">
        <v>45372</v>
      </c>
      <c r="AR257" s="13">
        <v>251098049</v>
      </c>
      <c r="AS257" s="31">
        <v>45377</v>
      </c>
      <c r="AU257" s="31">
        <v>45379</v>
      </c>
      <c r="AV257" s="13" t="s">
        <v>865</v>
      </c>
      <c r="AW257" s="31">
        <v>45389</v>
      </c>
      <c r="AX257" s="13" t="str">
        <f>IF(ISNUMBER(SEARCH("cancel",#REF!)),"Cancelled",IF(AND(AS257&lt;&gt;"",AU257&lt;&gt;"",AW257&lt;&gt;""),"Closed","Open"))</f>
        <v>Closed</v>
      </c>
      <c r="AY257" s="15" t="str">
        <f t="shared" si="10"/>
        <v>All dates received</v>
      </c>
      <c r="BD257" s="13">
        <f>IF($AX257="Cancelled","",IFERROR(IF(OR(AS257="",AJ257=""),"",(AJ257+Variables!$B$18-AS257)),""))</f>
        <v>366</v>
      </c>
      <c r="BE257" s="13">
        <f>IF($AX257="Cancelled","",IFERROR(IF(OR(AW257="",AS257=""),"",(AS257+Variables!$B$19)-AW257),""))</f>
        <v>-7</v>
      </c>
      <c r="BF257" s="44">
        <f>IF($AX257="Cancelled","",IFERROR(W257*INDEX(Variables!$B$7:$D$7,IFERROR(MATCH(IF($B257="Robusta","Robusta",(IF($B257="","Arabica",$B257))&amp;" - "&amp;(IF($C257="","Commercial",$C257))),Variables!$B$1:$D$1,0),1))*(BE257/365),""))</f>
        <v>-1.3862262323974079</v>
      </c>
      <c r="BG257" s="44">
        <f>IF($AX257="Cancelled","",IFERROR((W257*INDEX(Variables!$B$7:$D$7,IFERROR(MATCH(IF($B257="Robusta","Robusta",(IF($B257="","Arabica",$B257))&amp;" - "&amp;(IF($C257="","Commercial",$C257))),Variables!$B$1:$D$1,0),1))*IFERROR(IF(AB257="","",(AVERAGE(E257:F257)-AB257)-Variables!$B$14),"")/365)+(L257/16.67*INDEX(Variables!$B$8:$D$8,IFERROR(MATCH(IF($B257="Robusta","Robusta",(IF($B257="","Arabica",$B257))&amp;" - "&amp;(IF($C257="","Commercial",$C257))),Variables!$B$1:$D$1,0),1))*IFERROR(IF(AB257="","",(AVERAGE(E257:F257)-AB257)-Variables!$B$14),""))+(W257*INDEX(Variables!$B$9:$D$9,IFERROR(MATCH(IF($B257="Robusta","Robusta",(IF($B257="","Arabica",$B257))&amp;" - "&amp;(IF($C257="","Commercial",$C257))),Variables!$B$1:$D$1,0),1))*IFERROR(IF(AB257="","",(AVERAGE(E257:F257)-AB257)-Variables!$B$14),"")/365),""))</f>
        <v>3.6445972193765281</v>
      </c>
      <c r="BH257" s="44">
        <f>IF($AX257="Cancelled","",IFERROR((W257*INDEX(Variables!$B$7:$D$7,IFERROR(MATCH(IF($B257="Robusta","Robusta",(IF($B257="","Arabica",$B257))&amp;" - "&amp;(IF($C257="","Commercial",$C257))),Variables!$B$1:$D$1,0),1))*AK257/365)+(L257/16.67*INDEX(Variables!$B$8:$D$8,IFERROR(MATCH(IF($B257="Robusta","Robusta",(IF($B257="","Arabica",$B257))&amp;" - "&amp;(IF($C257="","Commercial",$C257))),Variables!$B$1:$D$1,0),1))*AK257)+(W257*INDEX(Variables!$B$9:$D$9,IFERROR(MATCH(IF($B257="Robusta","Robusta",(IF($B257="","Arabica",$B257))&amp;" - "&amp;(IF($C257="","Commercial",$C257))),Variables!$B$1:$D$1,0),1))*AK257/365),""))</f>
        <v>2.4046827014443073</v>
      </c>
      <c r="BI257" s="44">
        <f>IF($AX257="Cancelled","",IFERROR((W257*INDEX(Variables!$B$7:$D$7,IFERROR(MATCH(IF($B257="Robusta","Robusta",(IF($B257="","Arabica",$B257))&amp;" - "&amp;(IF($C257="","Commercial",$C257))),Variables!$B$1:$D$1,0),1))*BD257/365)+(L257/16.67*INDEX(Variables!$B$8:$D$8,IFERROR(MATCH(IF($B257="Robusta","Robusta",(IF($B257="","Arabica",$B257))&amp;" - "&amp;(IF($C257="","Commercial",$C257))),Variables!$B$1:$D$1,0),1))*BD257)+(W257*INDEX(Variables!$B$9:$D$9,IFERROR(MATCH(IF($B257="Robusta","Robusta",(IF($B257="","Arabica",$B257))&amp;" - "&amp;(IF($C257="","Commercial",$C257))),Variables!$B$1:$D$1,0),1))*BD257/365),""))</f>
        <v>110.01423359107706</v>
      </c>
      <c r="BJ257" s="44">
        <f t="shared" si="11"/>
        <v>370</v>
      </c>
      <c r="BK257" s="44">
        <f>IF($AX257="Cancelled","",IFERROR(IF(BJ257="","",(W257*INDEX(Variables!$B$7:$D$7,IFERROR(MATCH(IF($B257="Robusta","Robusta",(IF($B257="","Arabica",$B257))&amp;" - "&amp;(IF($C257="","Commercial",$C257))),Variables!$B$1:$D$1,0),1))*(BJ257/365))+(W257*INDEX(Variables!$B$9:$D$9,IFERROR(MATCH(IF($B257="Robusta","Robusta",(IF($B257="","Arabica",$B257))&amp;" - "&amp;(IF($C257="","Commercial",$C257))),Variables!$B$1:$D$1,0),1))*(BJ257/365))+(INDEX(Variables!$B$8:$D$8,IFERROR(MATCH(IF($B257="Robusta","Robusta",(IF($B257="","Arabica",$B257))&amp;" - "&amp;(IF($C257="","Commercial",$C257))),Variables!$B$1:$D$1,0),1))*L257/16.67)),""))</f>
        <v>74.316574941799217</v>
      </c>
    </row>
    <row r="258" spans="1:63">
      <c r="A258" s="13" t="s">
        <v>103</v>
      </c>
      <c r="B258" s="13" t="s">
        <v>104</v>
      </c>
      <c r="C258" s="13" t="s">
        <v>292</v>
      </c>
      <c r="D258" s="31">
        <v>45712</v>
      </c>
      <c r="E258" s="31">
        <v>45717</v>
      </c>
      <c r="F258" s="31">
        <v>45747</v>
      </c>
      <c r="G258" s="13">
        <v>3786745</v>
      </c>
      <c r="J258" s="13" t="s">
        <v>506</v>
      </c>
      <c r="K258" s="13" t="s">
        <v>859</v>
      </c>
      <c r="L258" s="13">
        <v>12</v>
      </c>
      <c r="M258" s="13">
        <v>0</v>
      </c>
      <c r="N258" s="13" t="s">
        <v>860</v>
      </c>
      <c r="O258" s="13" t="s">
        <v>775</v>
      </c>
      <c r="P258" s="13">
        <v>10030</v>
      </c>
      <c r="R258" s="13" t="s">
        <v>239</v>
      </c>
      <c r="S258" s="13" t="s">
        <v>509</v>
      </c>
      <c r="T258" s="13" t="s">
        <v>329</v>
      </c>
      <c r="U258" s="13" t="s">
        <v>330</v>
      </c>
      <c r="V258" s="13">
        <v>145</v>
      </c>
      <c r="W258" s="44">
        <f>IF($AX258="Cancelled","",IFERROR(((V258+INDEX(Variables!$B$6:$D$6,IFERROR(MATCH(IF($B258="Robusta","Robusta",(IF($B258="","Arabica",$B258))&amp;" - "&amp;(IF($C258="","Commercial",$C258))),Variables!$B$1:$D$1,0),1)))*22.0462)*(L258/16.67),""))</f>
        <v>6916.1852141571671</v>
      </c>
      <c r="X258" s="55" t="s">
        <v>39</v>
      </c>
      <c r="Y258" s="13" t="str">
        <f>IF($AX258="Cancelled","",IF(X258="","",IFERROR(IF(INDEX(Variables!$B$38:$B$47,MATCH(X258,Variables!$A$38:$A$47,0))="Yes","Yes","No"),"No")))</f>
        <v>No</v>
      </c>
      <c r="Z258" s="31"/>
      <c r="AB258" s="31">
        <v>45689.875</v>
      </c>
      <c r="AC258" s="13" t="str">
        <f t="shared" ref="AC258:AC321" si="12">IF($AX258="Cancelled","",IF(ISNUMBER(AB258),"Approved",""))</f>
        <v>Approved</v>
      </c>
      <c r="AF258" s="71">
        <f>AJ258-7</f>
        <v>45721</v>
      </c>
      <c r="AG258" s="36">
        <f>IF($AX258="Cancelled","",IFERROR(IF(F258="","",F258-Variables!$B$13),""))</f>
        <v>45732</v>
      </c>
      <c r="AH258" s="13">
        <f>IF($AX258="Cancelled","",IFERROR(IF(AB258="","",(AVERAGE(E258:F258)-AB258)-Variables!$B$14),""))</f>
        <v>12.125</v>
      </c>
      <c r="AJ258" s="47">
        <v>45728</v>
      </c>
      <c r="AK258" s="14">
        <f>IF($AX258="Cancelled","",IFERROR(IF(AJ258="","",IF(AND(AB258="",AF258=""),"",IF(AF258&gt;AB258,AF258+Variables!$B$15+Variables!$B$16+Variables!$B$17-AJ258,AB258+Variables!$B$16+Variables!$B$17-AJ258))),""))</f>
        <v>8</v>
      </c>
      <c r="AL258" s="48" t="s">
        <v>114</v>
      </c>
      <c r="AM258" s="13" t="s">
        <v>115</v>
      </c>
      <c r="AN258" s="13" t="s">
        <v>510</v>
      </c>
      <c r="AP258" s="31">
        <v>45372</v>
      </c>
      <c r="AR258" s="13">
        <v>251098049</v>
      </c>
      <c r="AS258" s="31">
        <v>45377</v>
      </c>
      <c r="AU258" s="31">
        <v>45379</v>
      </c>
      <c r="AV258" s="13" t="s">
        <v>865</v>
      </c>
      <c r="AW258" s="31">
        <v>45389</v>
      </c>
      <c r="AX258" s="13" t="str">
        <f>IF(ISNUMBER(SEARCH("cancel",#REF!)),"Cancelled",IF(AND(AS258&lt;&gt;"",AU258&lt;&gt;"",AW258&lt;&gt;""),"Closed","Open"))</f>
        <v>Closed</v>
      </c>
      <c r="AY258" s="15" t="str">
        <f t="shared" ref="AY258:AY321" si="13">IF($AX258="Cancelled","",IF(AND(AS258&lt;&gt;"",AU258&lt;&gt;"",AW258&lt;&gt;""),"All dates received",_xlfn.TEXTJOIN(" and ",TRUE(),IF(AS258="","No sailing date",""),IF(AU258="","No shipping advice sent",""),IF(AW258="","No docs dispatch date",""))))</f>
        <v>All dates received</v>
      </c>
      <c r="BD258" s="13">
        <f>IF($AX258="Cancelled","",IFERROR(IF(OR(AS258="",AJ258=""),"",(AJ258+Variables!$B$18-AS258)),""))</f>
        <v>366</v>
      </c>
      <c r="BE258" s="13">
        <f>IF($AX258="Cancelled","",IFERROR(IF(OR(AW258="",AS258=""),"",(AS258+Variables!$B$19)-AW258),""))</f>
        <v>-7</v>
      </c>
      <c r="BF258" s="44">
        <f>IF($AX258="Cancelled","",IFERROR(W258*INDEX(Variables!$B$7:$D$7,IFERROR(MATCH(IF($B258="Robusta","Robusta",(IF($B258="","Arabica",$B258))&amp;" - "&amp;(IF($C258="","Commercial",$C258))),Variables!$B$1:$D$1,0),1))*(BE258/365),""))</f>
        <v>-8.5528653904500747</v>
      </c>
      <c r="BG258" s="44">
        <f>IF($AX258="Cancelled","",IFERROR((W258*INDEX(Variables!$B$7:$D$7,IFERROR(MATCH(IF($B258="Robusta","Robusta",(IF($B258="","Arabica",$B258))&amp;" - "&amp;(IF($C258="","Commercial",$C258))),Variables!$B$1:$D$1,0),1))*IFERROR(IF(AB258="","",(AVERAGE(E258:F258)-AB258)-Variables!$B$14),"")/365)+(L258/16.67*INDEX(Variables!$B$8:$D$8,IFERROR(MATCH(IF($B258="Robusta","Robusta",(IF($B258="","Arabica",$B258))&amp;" - "&amp;(IF($C258="","Commercial",$C258))),Variables!$B$1:$D$1,0),1))*IFERROR(IF(AB258="","",(AVERAGE(E258:F258)-AB258)-Variables!$B$14),""))+(W258*INDEX(Variables!$B$9:$D$9,IFERROR(MATCH(IF($B258="Robusta","Robusta",(IF($B258="","Arabica",$B258))&amp;" - "&amp;(IF($C258="","Commercial",$C258))),Variables!$B$1:$D$1,0),1))*IFERROR(IF(AB258="","",(AVERAGE(E258:F258)-AB258)-Variables!$B$14),"")/365),""))</f>
        <v>22.280775859428374</v>
      </c>
      <c r="BH258" s="44">
        <f>IF($AX258="Cancelled","",IFERROR((W258*INDEX(Variables!$B$7:$D$7,IFERROR(MATCH(IF($B258="Robusta","Robusta",(IF($B258="","Arabica",$B258))&amp;" - "&amp;(IF($C258="","Commercial",$C258))),Variables!$B$1:$D$1,0),1))*AK258/365)+(L258/16.67*INDEX(Variables!$B$8:$D$8,IFERROR(MATCH(IF($B258="Robusta","Robusta",(IF($B258="","Arabica",$B258))&amp;" - "&amp;(IF($C258="","Commercial",$C258))),Variables!$B$1:$D$1,0),1))*AK258)+(W258*INDEX(Variables!$B$9:$D$9,IFERROR(MATCH(IF($B258="Robusta","Robusta",(IF($B258="","Arabica",$B258))&amp;" - "&amp;(IF($C258="","Commercial",$C258))),Variables!$B$1:$D$1,0),1))*AK258/365),""))</f>
        <v>14.700718092818722</v>
      </c>
      <c r="BI258" s="44">
        <f>IF($AX258="Cancelled","",IFERROR((W258*INDEX(Variables!$B$7:$D$7,IFERROR(MATCH(IF($B258="Robusta","Robusta",(IF($B258="","Arabica",$B258))&amp;" - "&amp;(IF($C258="","Commercial",$C258))),Variables!$B$1:$D$1,0),1))*BD258/365)+(L258/16.67*INDEX(Variables!$B$8:$D$8,IFERROR(MATCH(IF($B258="Robusta","Robusta",(IF($B258="","Arabica",$B258))&amp;" - "&amp;(IF($C258="","Commercial",$C258))),Variables!$B$1:$D$1,0),1))*BD258)+(W258*INDEX(Variables!$B$9:$D$9,IFERROR(MATCH(IF($B258="Robusta","Robusta",(IF($B258="","Arabica",$B258))&amp;" - "&amp;(IF($C258="","Commercial",$C258))),Variables!$B$1:$D$1,0),1))*BD258/365),""))</f>
        <v>672.55785274645643</v>
      </c>
      <c r="BJ258" s="44">
        <f t="shared" ref="BJ258:BJ321" si="14">IF($AX258="Cancelled","",IFERROR(IF(AS258="","",F258-AS258),""))</f>
        <v>370</v>
      </c>
      <c r="BK258" s="44">
        <f>IF($AX258="Cancelled","",IFERROR(IF(BJ258="","",(W258*INDEX(Variables!$B$7:$D$7,IFERROR(MATCH(IF($B258="Robusta","Robusta",(IF($B258="","Arabica",$B258))&amp;" - "&amp;(IF($C258="","Commercial",$C258))),Variables!$B$1:$D$1,0),1))*(BJ258/365))+(W258*INDEX(Variables!$B$9:$D$9,IFERROR(MATCH(IF($B258="Robusta","Robusta",(IF($B258="","Arabica",$B258))&amp;" - "&amp;(IF($C258="","Commercial",$C258))),Variables!$B$1:$D$1,0),1))*(BJ258/365))+(INDEX(Variables!$B$8:$D$8,IFERROR(MATCH(IF($B258="Robusta","Robusta",(IF($B258="","Arabica",$B258))&amp;" - "&amp;(IF($C258="","Commercial",$C258))),Variables!$B$1:$D$1,0),1))*L258/16.67)),""))</f>
        <v>458.50821179286589</v>
      </c>
    </row>
    <row r="259" spans="1:63">
      <c r="A259" s="13" t="s">
        <v>103</v>
      </c>
      <c r="B259" s="13" t="s">
        <v>104</v>
      </c>
      <c r="C259" s="13" t="s">
        <v>292</v>
      </c>
      <c r="D259" s="31">
        <v>45712</v>
      </c>
      <c r="E259" s="31">
        <v>45717</v>
      </c>
      <c r="F259" s="31">
        <v>45747</v>
      </c>
      <c r="G259" s="13">
        <v>3786746</v>
      </c>
      <c r="J259" s="13" t="s">
        <v>861</v>
      </c>
      <c r="K259" s="13" t="s">
        <v>862</v>
      </c>
      <c r="L259" s="13">
        <v>37</v>
      </c>
      <c r="M259" s="13">
        <v>1</v>
      </c>
      <c r="N259" s="13" t="s">
        <v>863</v>
      </c>
      <c r="O259" s="13" t="s">
        <v>304</v>
      </c>
      <c r="P259" s="13">
        <v>10010</v>
      </c>
      <c r="R259" s="13" t="s">
        <v>384</v>
      </c>
      <c r="S259" s="13" t="s">
        <v>437</v>
      </c>
      <c r="T259" s="13" t="s">
        <v>438</v>
      </c>
      <c r="U259" s="13" t="s">
        <v>182</v>
      </c>
      <c r="V259" s="13">
        <v>27</v>
      </c>
      <c r="W259" s="44">
        <f>IF($AX259="Cancelled","",IFERROR(((V259+INDEX(Variables!$B$6:$D$6,IFERROR(MATCH(IF($B259="Robusta","Robusta",(IF($B259="","Arabica",$B259))&amp;" - "&amp;(IF($C259="","Commercial",$C259))),Variables!$B$1:$D$1,0),1)))*22.0462)*(L259/16.67),""))</f>
        <v>15550.836671865625</v>
      </c>
      <c r="X259" s="55" t="s">
        <v>39</v>
      </c>
      <c r="Y259" s="13" t="str">
        <f>IF($AX259="Cancelled","",IF(X259="","",IFERROR(IF(INDEX(Variables!$B$38:$B$47,MATCH(X259,Variables!$A$38:$A$47,0))="Yes","Yes","No"),"No")))</f>
        <v>No</v>
      </c>
      <c r="Z259" s="31"/>
      <c r="AB259" s="31">
        <v>45702.875</v>
      </c>
      <c r="AC259" s="13" t="str">
        <f t="shared" si="12"/>
        <v>Approved</v>
      </c>
      <c r="AF259" s="71">
        <f>AJ259-7</f>
        <v>45765</v>
      </c>
      <c r="AG259" s="36">
        <f>IF($AX259="Cancelled","",IFERROR(IF(F259="","",F259-Variables!$B$13),""))</f>
        <v>45732</v>
      </c>
      <c r="AH259" s="13">
        <f>IF($AX259="Cancelled","",IFERROR(IF(AB259="","",(AVERAGE(E259:F259)-AB259)-Variables!$B$14),""))</f>
        <v>-0.875</v>
      </c>
      <c r="AJ259" s="47">
        <v>45772</v>
      </c>
      <c r="AK259" s="14">
        <f>IF($AX259="Cancelled","",IFERROR(IF(AJ259="","",IF(AND(AB259="",AF259=""),"",IF(AF259&gt;AB259,AF259+Variables!$B$15+Variables!$B$16+Variables!$B$17-AJ259,AB259+Variables!$B$16+Variables!$B$17-AJ259))),""))</f>
        <v>8</v>
      </c>
      <c r="AL259" s="48" t="s">
        <v>864</v>
      </c>
      <c r="AM259" s="13" t="s">
        <v>115</v>
      </c>
      <c r="AN259" s="13" t="s">
        <v>1045</v>
      </c>
      <c r="AP259" s="31">
        <v>45777</v>
      </c>
      <c r="AR259" s="13">
        <v>253228716</v>
      </c>
      <c r="AS259" s="31">
        <v>45782</v>
      </c>
      <c r="AU259" s="31">
        <v>45793</v>
      </c>
      <c r="AV259" s="13" t="s">
        <v>865</v>
      </c>
      <c r="AW259" s="31">
        <v>45793</v>
      </c>
      <c r="AX259" s="13" t="str">
        <f>IF(ISNUMBER(SEARCH("cancel",#REF!)),"Cancelled",IF(AND(AS259&lt;&gt;"",AU259&lt;&gt;"",AW259&lt;&gt;""),"Closed","Open"))</f>
        <v>Closed</v>
      </c>
      <c r="AY259" s="15" t="str">
        <f t="shared" si="13"/>
        <v>All dates received</v>
      </c>
      <c r="BD259" s="13">
        <f>IF($AX259="Cancelled","",IFERROR(IF(OR(AS259="",AJ259=""),"",(AJ259+Variables!$B$18-AS259)),""))</f>
        <v>5</v>
      </c>
      <c r="BE259" s="13">
        <f>IF($AX259="Cancelled","",IFERROR(IF(OR(AW259="",AS259=""),"",(AS259+Variables!$B$19)-AW259),""))</f>
        <v>-6</v>
      </c>
      <c r="BF259" s="44">
        <f>IF($AX259="Cancelled","",IFERROR(W259*INDEX(Variables!$B$7:$D$7,IFERROR(MATCH(IF($B259="Robusta","Robusta",(IF($B259="","Arabica",$B259))&amp;" - "&amp;(IF($C259="","Commercial",$C259))),Variables!$B$1:$D$1,0),1))*(BE259/365),""))</f>
        <v>-16.483597157960112</v>
      </c>
      <c r="BG259" s="44">
        <f>IF($AX259="Cancelled","",IFERROR((W259*INDEX(Variables!$B$7:$D$7,IFERROR(MATCH(IF($B259="Robusta","Robusta",(IF($B259="","Arabica",$B259))&amp;" - "&amp;(IF($C259="","Commercial",$C259))),Variables!$B$1:$D$1,0),1))*IFERROR(IF(AB259="","",(AVERAGE(E259:F259)-AB259)-Variables!$B$14),"")/365)+(L259/16.67*INDEX(Variables!$B$8:$D$8,IFERROR(MATCH(IF($B259="Robusta","Robusta",(IF($B259="","Arabica",$B259))&amp;" - "&amp;(IF($C259="","Commercial",$C259))),Variables!$B$1:$D$1,0),1))*IFERROR(IF(AB259="","",(AVERAGE(E259:F259)-AB259)-Variables!$B$14),""))+(W259*INDEX(Variables!$B$9:$D$9,IFERROR(MATCH(IF($B259="Robusta","Robusta",(IF($B259="","Arabica",$B259))&amp;" - "&amp;(IF($C259="","Commercial",$C259))),Variables!$B$1:$D$1,0),1))*IFERROR(IF(AB259="","",(AVERAGE(E259:F259)-AB259)-Variables!$B$14),"")/365),""))</f>
        <v>-4.0535982865668725</v>
      </c>
      <c r="BH259" s="44">
        <f>IF($AX259="Cancelled","",IFERROR((W259*INDEX(Variables!$B$7:$D$7,IFERROR(MATCH(IF($B259="Robusta","Robusta",(IF($B259="","Arabica",$B259))&amp;" - "&amp;(IF($C259="","Commercial",$C259))),Variables!$B$1:$D$1,0),1))*AK259/365)+(L259/16.67*INDEX(Variables!$B$8:$D$8,IFERROR(MATCH(IF($B259="Robusta","Robusta",(IF($B259="","Arabica",$B259))&amp;" - "&amp;(IF($C259="","Commercial",$C259))),Variables!$B$1:$D$1,0),1))*AK259)+(W259*INDEX(Variables!$B$9:$D$9,IFERROR(MATCH(IF($B259="Robusta","Robusta",(IF($B259="","Arabica",$B259))&amp;" - "&amp;(IF($C259="","Commercial",$C259))),Variables!$B$1:$D$1,0),1))*AK259/365),""))</f>
        <v>37.061470048611405</v>
      </c>
      <c r="BI259" s="44">
        <f>IF($AX259="Cancelled","",IFERROR((W259*INDEX(Variables!$B$7:$D$7,IFERROR(MATCH(IF($B259="Robusta","Robusta",(IF($B259="","Arabica",$B259))&amp;" - "&amp;(IF($C259="","Commercial",$C259))),Variables!$B$1:$D$1,0),1))*BD259/365)+(L259/16.67*INDEX(Variables!$B$8:$D$8,IFERROR(MATCH(IF($B259="Robusta","Robusta",(IF($B259="","Arabica",$B259))&amp;" - "&amp;(IF($C259="","Commercial",$C259))),Variables!$B$1:$D$1,0),1))*BD259)+(W259*INDEX(Variables!$B$9:$D$9,IFERROR(MATCH(IF($B259="Robusta","Robusta",(IF($B259="","Arabica",$B259))&amp;" - "&amp;(IF($C259="","Commercial",$C259))),Variables!$B$1:$D$1,0),1))*BD259/365),""))</f>
        <v>23.163418780382131</v>
      </c>
      <c r="BJ259" s="44">
        <f t="shared" si="14"/>
        <v>-35</v>
      </c>
      <c r="BK259" s="44">
        <f>IF($AX259="Cancelled","",IFERROR(IF(BJ259="","",(W259*INDEX(Variables!$B$7:$D$7,IFERROR(MATCH(IF($B259="Robusta","Robusta",(IF($B259="","Arabica",$B259))&amp;" - "&amp;(IF($C259="","Commercial",$C259))),Variables!$B$1:$D$1,0),1))*(BJ259/365))+(W259*INDEX(Variables!$B$9:$D$9,IFERROR(MATCH(IF($B259="Robusta","Robusta",(IF($B259="","Arabica",$B259))&amp;" - "&amp;(IF($C259="","Commercial",$C259))),Variables!$B$1:$D$1,0),1))*(BJ259/365))+(INDEX(Variables!$B$8:$D$8,IFERROR(MATCH(IF($B259="Robusta","Robusta",(IF($B259="","Arabica",$B259))&amp;" - "&amp;(IF($C259="","Commercial",$C259))),Variables!$B$1:$D$1,0),1))*L259/16.67)),""))</f>
        <v>-95.543931462674919</v>
      </c>
    </row>
    <row r="260" spans="1:63">
      <c r="A260" s="13" t="s">
        <v>103</v>
      </c>
      <c r="B260" s="13" t="s">
        <v>104</v>
      </c>
      <c r="C260" s="13" t="s">
        <v>292</v>
      </c>
      <c r="D260" s="31">
        <v>45712</v>
      </c>
      <c r="E260" s="31">
        <v>45717</v>
      </c>
      <c r="F260" s="31">
        <v>45747</v>
      </c>
      <c r="G260" s="13">
        <v>3786747</v>
      </c>
      <c r="J260" s="13" t="s">
        <v>861</v>
      </c>
      <c r="K260" s="13" t="s">
        <v>866</v>
      </c>
      <c r="L260" s="13">
        <v>20</v>
      </c>
      <c r="M260" s="13">
        <v>0</v>
      </c>
      <c r="N260" s="13" t="s">
        <v>867</v>
      </c>
      <c r="O260" s="13" t="s">
        <v>304</v>
      </c>
      <c r="P260" s="13">
        <v>10010</v>
      </c>
      <c r="R260" s="13" t="s">
        <v>384</v>
      </c>
      <c r="S260" s="13" t="s">
        <v>437</v>
      </c>
      <c r="T260" s="13" t="s">
        <v>438</v>
      </c>
      <c r="U260" s="13" t="s">
        <v>182</v>
      </c>
      <c r="V260" s="13">
        <v>124.15</v>
      </c>
      <c r="W260" s="44">
        <f>IF($AX260="Cancelled","",IFERROR(((V260+INDEX(Variables!$B$6:$D$6,IFERROR(MATCH(IF($B260="Robusta","Robusta",(IF($B260="","Arabica",$B260))&amp;" - "&amp;(IF($C260="","Commercial",$C260))),Variables!$B$1:$D$1,0),1)))*22.0462)*(L260/16.67),""))</f>
        <v>10975.489730053989</v>
      </c>
      <c r="X260" s="55" t="s">
        <v>39</v>
      </c>
      <c r="Y260" s="13" t="str">
        <f>IF($AX260="Cancelled","",IF(X260="","",IFERROR(IF(INDEX(Variables!$B$38:$B$47,MATCH(X260,Variables!$A$38:$A$47,0))="Yes","Yes","No"),"No")))</f>
        <v>No</v>
      </c>
      <c r="Z260" s="31"/>
      <c r="AB260" s="31">
        <v>45702.875</v>
      </c>
      <c r="AC260" s="13" t="str">
        <f t="shared" si="12"/>
        <v>Approved</v>
      </c>
      <c r="AF260" s="71">
        <f>AJ260-7</f>
        <v>45765</v>
      </c>
      <c r="AG260" s="36">
        <f>IF($AX260="Cancelled","",IFERROR(IF(F260="","",F260-Variables!$B$13),""))</f>
        <v>45732</v>
      </c>
      <c r="AH260" s="13">
        <f>IF($AX260="Cancelled","",IFERROR(IF(AB260="","",(AVERAGE(E260:F260)-AB260)-Variables!$B$14),""))</f>
        <v>-0.875</v>
      </c>
      <c r="AJ260" s="47">
        <v>45772</v>
      </c>
      <c r="AK260" s="14">
        <f>IF($AX260="Cancelled","",IFERROR(IF(AJ260="","",IF(AND(AB260="",AF260=""),"",IF(AF260&gt;AB260,AF260+Variables!$B$15+Variables!$B$16+Variables!$B$17-AJ260,AB260+Variables!$B$16+Variables!$B$17-AJ260))),""))</f>
        <v>8</v>
      </c>
      <c r="AL260" s="48" t="s">
        <v>864</v>
      </c>
      <c r="AM260" s="13" t="s">
        <v>115</v>
      </c>
      <c r="AN260" s="13" t="s">
        <v>1045</v>
      </c>
      <c r="AP260" s="31">
        <v>45777</v>
      </c>
      <c r="AR260" s="13">
        <v>253228716</v>
      </c>
      <c r="AS260" s="31">
        <v>45782</v>
      </c>
      <c r="AU260" s="31">
        <v>45793</v>
      </c>
      <c r="AV260" s="13" t="s">
        <v>865</v>
      </c>
      <c r="AW260" s="31">
        <v>45793</v>
      </c>
      <c r="AX260" s="13" t="str">
        <f>IF(ISNUMBER(SEARCH("cancel",#REF!)),"Cancelled",IF(AND(AS260&lt;&gt;"",AU260&lt;&gt;"",AW260&lt;&gt;""),"Closed","Open"))</f>
        <v>Closed</v>
      </c>
      <c r="AY260" s="15" t="str">
        <f t="shared" si="13"/>
        <v>All dates received</v>
      </c>
      <c r="BD260" s="13">
        <f>IF($AX260="Cancelled","",IFERROR(IF(OR(AS260="",AJ260=""),"",(AJ260+Variables!$B$18-AS260)),""))</f>
        <v>5</v>
      </c>
      <c r="BE260" s="13">
        <f>IF($AX260="Cancelled","",IFERROR(IF(OR(AW260="",AS260=""),"",(AS260+Variables!$B$19)-AW260),""))</f>
        <v>-6</v>
      </c>
      <c r="BF260" s="44">
        <f>IF($AX260="Cancelled","",IFERROR(W260*INDEX(Variables!$B$7:$D$7,IFERROR(MATCH(IF($B260="Robusta","Robusta",(IF($B260="","Arabica",$B260))&amp;" - "&amp;(IF($C260="","Commercial",$C260))),Variables!$B$1:$D$1,0),1))*(BE260/365),""))</f>
        <v>-11.633814638980065</v>
      </c>
      <c r="BG260" s="44">
        <f>IF($AX260="Cancelled","",IFERROR((W260*INDEX(Variables!$B$7:$D$7,IFERROR(MATCH(IF($B260="Robusta","Robusta",(IF($B260="","Arabica",$B260))&amp;" - "&amp;(IF($C260="","Commercial",$C260))),Variables!$B$1:$D$1,0),1))*IFERROR(IF(AB260="","",(AVERAGE(E260:F260)-AB260)-Variables!$B$14),"")/365)+(L260/16.67*INDEX(Variables!$B$8:$D$8,IFERROR(MATCH(IF($B260="Robusta","Robusta",(IF($B260="","Arabica",$B260))&amp;" - "&amp;(IF($C260="","Commercial",$C260))),Variables!$B$1:$D$1,0),1))*IFERROR(IF(AB260="","",(AVERAGE(E260:F260)-AB260)-Variables!$B$14),""))+(W260*INDEX(Variables!$B$9:$D$9,IFERROR(MATCH(IF($B260="Robusta","Robusta",(IF($B260="","Arabica",$B260))&amp;" - "&amp;(IF($C260="","Commercial",$C260))),Variables!$B$1:$D$1,0),1))*IFERROR(IF(AB260="","",(AVERAGE(E260:F260)-AB260)-Variables!$B$14),"")/365),""))</f>
        <v>-2.5934703902010847</v>
      </c>
      <c r="BH260" s="44">
        <f>IF($AX260="Cancelled","",IFERROR((W260*INDEX(Variables!$B$7:$D$7,IFERROR(MATCH(IF($B260="Robusta","Robusta",(IF($B260="","Arabica",$B260))&amp;" - "&amp;(IF($C260="","Commercial",$C260))),Variables!$B$1:$D$1,0),1))*AK260/365)+(L260/16.67*INDEX(Variables!$B$8:$D$8,IFERROR(MATCH(IF($B260="Robusta","Robusta",(IF($B260="","Arabica",$B260))&amp;" - "&amp;(IF($C260="","Commercial",$C260))),Variables!$B$1:$D$1,0),1))*AK260)+(W260*INDEX(Variables!$B$9:$D$9,IFERROR(MATCH(IF($B260="Robusta","Robusta",(IF($B260="","Arabica",$B260))&amp;" - "&amp;(IF($C260="","Commercial",$C260))),Variables!$B$1:$D$1,0),1))*AK260/365),""))</f>
        <v>23.71172928183849</v>
      </c>
      <c r="BI260" s="44">
        <f>IF($AX260="Cancelled","",IFERROR((W260*INDEX(Variables!$B$7:$D$7,IFERROR(MATCH(IF($B260="Robusta","Robusta",(IF($B260="","Arabica",$B260))&amp;" - "&amp;(IF($C260="","Commercial",$C260))),Variables!$B$1:$D$1,0),1))*BD260/365)+(L260/16.67*INDEX(Variables!$B$8:$D$8,IFERROR(MATCH(IF($B260="Robusta","Robusta",(IF($B260="","Arabica",$B260))&amp;" - "&amp;(IF($C260="","Commercial",$C260))),Variables!$B$1:$D$1,0),1))*BD260)+(W260*INDEX(Variables!$B$9:$D$9,IFERROR(MATCH(IF($B260="Robusta","Robusta",(IF($B260="","Arabica",$B260))&amp;" - "&amp;(IF($C260="","Commercial",$C260))),Variables!$B$1:$D$1,0),1))*BD260/365),""))</f>
        <v>14.819830801149058</v>
      </c>
      <c r="BJ260" s="44">
        <f t="shared" si="14"/>
        <v>-35</v>
      </c>
      <c r="BK260" s="44">
        <f>IF($AX260="Cancelled","",IFERROR(IF(BJ260="","",(W260*INDEX(Variables!$B$7:$D$7,IFERROR(MATCH(IF($B260="Robusta","Robusta",(IF($B260="","Arabica",$B260))&amp;" - "&amp;(IF($C260="","Commercial",$C260))),Variables!$B$1:$D$1,0),1))*(BJ260/365))+(W260*INDEX(Variables!$B$9:$D$9,IFERROR(MATCH(IF($B260="Robusta","Robusta",(IF($B260="","Arabica",$B260))&amp;" - "&amp;(IF($C260="","Commercial",$C260))),Variables!$B$1:$D$1,0),1))*(BJ260/365))+(INDEX(Variables!$B$8:$D$8,IFERROR(MATCH(IF($B260="Robusta","Robusta",(IF($B260="","Arabica",$B260))&amp;" - "&amp;(IF($C260="","Commercial",$C260))),Variables!$B$1:$D$1,0),1))*L260/16.67)),""))</f>
        <v>-67.73881560804341</v>
      </c>
    </row>
    <row r="261" spans="1:63">
      <c r="A261" s="13" t="s">
        <v>103</v>
      </c>
      <c r="B261" s="13" t="s">
        <v>104</v>
      </c>
      <c r="C261" s="13" t="s">
        <v>292</v>
      </c>
      <c r="D261" s="31">
        <v>45712</v>
      </c>
      <c r="E261" s="31">
        <v>45717</v>
      </c>
      <c r="F261" s="31">
        <v>45747</v>
      </c>
      <c r="G261" s="13">
        <v>3786748</v>
      </c>
      <c r="J261" s="13" t="s">
        <v>861</v>
      </c>
      <c r="K261" s="13" t="s">
        <v>868</v>
      </c>
      <c r="L261" s="13">
        <v>28</v>
      </c>
      <c r="M261" s="13">
        <v>0</v>
      </c>
      <c r="N261" s="13" t="s">
        <v>869</v>
      </c>
      <c r="O261" s="13" t="s">
        <v>304</v>
      </c>
      <c r="P261" s="13">
        <v>10020</v>
      </c>
      <c r="R261" s="13" t="s">
        <v>384</v>
      </c>
      <c r="S261" s="13" t="s">
        <v>437</v>
      </c>
      <c r="T261" s="13" t="s">
        <v>438</v>
      </c>
      <c r="U261" s="13" t="s">
        <v>182</v>
      </c>
      <c r="V261" s="13">
        <v>84.15</v>
      </c>
      <c r="W261" s="44">
        <f>IF($AX261="Cancelled","",IFERROR(((V261+INDEX(Variables!$B$6:$D$6,IFERROR(MATCH(IF($B261="Robusta","Robusta",(IF($B261="","Arabica",$B261))&amp;" - "&amp;(IF($C261="","Commercial",$C261))),Variables!$B$1:$D$1,0),1)))*22.0462)*(L261/16.67),""))</f>
        <v>13884.47722375525</v>
      </c>
      <c r="X261" s="55" t="s">
        <v>39</v>
      </c>
      <c r="Y261" s="13" t="str">
        <f>IF($AX261="Cancelled","",IF(X261="","",IFERROR(IF(INDEX(Variables!$B$38:$B$47,MATCH(X261,Variables!$A$38:$A$47,0))="Yes","Yes","No"),"No")))</f>
        <v>No</v>
      </c>
      <c r="Z261" s="31"/>
      <c r="AB261" s="31">
        <v>45702.875</v>
      </c>
      <c r="AC261" s="13" t="str">
        <f t="shared" si="12"/>
        <v>Approved</v>
      </c>
      <c r="AF261" s="71">
        <f>AJ261-7</f>
        <v>45765</v>
      </c>
      <c r="AG261" s="36">
        <f>IF($AX261="Cancelled","",IFERROR(IF(F261="","",F261-Variables!$B$13),""))</f>
        <v>45732</v>
      </c>
      <c r="AH261" s="13">
        <f>IF($AX261="Cancelled","",IFERROR(IF(AB261="","",(AVERAGE(E261:F261)-AB261)-Variables!$B$14),""))</f>
        <v>-0.875</v>
      </c>
      <c r="AJ261" s="47">
        <v>45772</v>
      </c>
      <c r="AK261" s="14">
        <f>IF($AX261="Cancelled","",IFERROR(IF(AJ261="","",IF(AND(AB261="",AF261=""),"",IF(AF261&gt;AB261,AF261+Variables!$B$15+Variables!$B$16+Variables!$B$17-AJ261,AB261+Variables!$B$16+Variables!$B$17-AJ261))),""))</f>
        <v>8</v>
      </c>
      <c r="AL261" s="48" t="s">
        <v>864</v>
      </c>
      <c r="AM261" s="13" t="s">
        <v>115</v>
      </c>
      <c r="AN261" s="13" t="s">
        <v>1045</v>
      </c>
      <c r="AP261" s="31">
        <v>45777</v>
      </c>
      <c r="AR261" s="13">
        <v>253228716</v>
      </c>
      <c r="AS261" s="31">
        <v>45782</v>
      </c>
      <c r="AU261" s="31">
        <v>45793</v>
      </c>
      <c r="AV261" s="13" t="s">
        <v>865</v>
      </c>
      <c r="AW261" s="31">
        <v>45793</v>
      </c>
      <c r="AX261" s="13" t="str">
        <f>IF(ISNUMBER(SEARCH("cancel",#REF!)),"Cancelled",IF(AND(AS261&lt;&gt;"",AU261&lt;&gt;"",AW261&lt;&gt;""),"Closed","Open"))</f>
        <v>Closed</v>
      </c>
      <c r="AY261" s="15" t="str">
        <f t="shared" si="13"/>
        <v>All dates received</v>
      </c>
      <c r="BD261" s="13">
        <f>IF($AX261="Cancelled","",IFERROR(IF(OR(AS261="",AJ261=""),"",(AJ261+Variables!$B$18-AS261)),""))</f>
        <v>5</v>
      </c>
      <c r="BE261" s="13">
        <f>IF($AX261="Cancelled","",IFERROR(IF(OR(AW261="",AS261=""),"",(AS261+Variables!$B$19)-AW261),""))</f>
        <v>-6</v>
      </c>
      <c r="BF261" s="44">
        <f>IF($AX261="Cancelled","",IFERROR(W261*INDEX(Variables!$B$7:$D$7,IFERROR(MATCH(IF($B261="Robusta","Robusta",(IF($B261="","Arabica",$B261))&amp;" - "&amp;(IF($C261="","Commercial",$C261))),Variables!$B$1:$D$1,0),1))*(BE261/365),""))</f>
        <v>-14.717287187467901</v>
      </c>
      <c r="BG261" s="44">
        <f>IF($AX261="Cancelled","",IFERROR((W261*INDEX(Variables!$B$7:$D$7,IFERROR(MATCH(IF($B261="Robusta","Robusta",(IF($B261="","Arabica",$B261))&amp;" - "&amp;(IF($C261="","Commercial",$C261))),Variables!$B$1:$D$1,0),1))*IFERROR(IF(AB261="","",(AVERAGE(E261:F261)-AB261)-Variables!$B$14),"")/365)+(L261/16.67*INDEX(Variables!$B$8:$D$8,IFERROR(MATCH(IF($B261="Robusta","Robusta",(IF($B261="","Arabica",$B261))&amp;" - "&amp;(IF($C261="","Commercial",$C261))),Variables!$B$1:$D$1,0),1))*IFERROR(IF(AB261="","",(AVERAGE(E261:F261)-AB261)-Variables!$B$14),""))+(W261*INDEX(Variables!$B$9:$D$9,IFERROR(MATCH(IF($B261="Robusta","Robusta",(IF($B261="","Arabica",$B261))&amp;" - "&amp;(IF($C261="","Commercial",$C261))),Variables!$B$1:$D$1,0),1))*IFERROR(IF(AB261="","",(AVERAGE(E261:F261)-AB261)-Variables!$B$14),"")/365),""))</f>
        <v>-3.3989406239986883</v>
      </c>
      <c r="BH261" s="44">
        <f>IF($AX261="Cancelled","",IFERROR((W261*INDEX(Variables!$B$7:$D$7,IFERROR(MATCH(IF($B261="Robusta","Robusta",(IF($B261="","Arabica",$B261))&amp;" - "&amp;(IF($C261="","Commercial",$C261))),Variables!$B$1:$D$1,0),1))*AK261/365)+(L261/16.67*INDEX(Variables!$B$8:$D$8,IFERROR(MATCH(IF($B261="Robusta","Robusta",(IF($B261="","Arabica",$B261))&amp;" - "&amp;(IF($C261="","Commercial",$C261))),Variables!$B$1:$D$1,0),1))*AK261)+(W261*INDEX(Variables!$B$9:$D$9,IFERROR(MATCH(IF($B261="Robusta","Robusta",(IF($B261="","Arabica",$B261))&amp;" - "&amp;(IF($C261="","Commercial",$C261))),Variables!$B$1:$D$1,0),1))*AK261/365),""))</f>
        <v>31.076028562273724</v>
      </c>
      <c r="BI261" s="44">
        <f>IF($AX261="Cancelled","",IFERROR((W261*INDEX(Variables!$B$7:$D$7,IFERROR(MATCH(IF($B261="Robusta","Robusta",(IF($B261="","Arabica",$B261))&amp;" - "&amp;(IF($C261="","Commercial",$C261))),Variables!$B$1:$D$1,0),1))*BD261/365)+(L261/16.67*INDEX(Variables!$B$8:$D$8,IFERROR(MATCH(IF($B261="Robusta","Robusta",(IF($B261="","Arabica",$B261))&amp;" - "&amp;(IF($C261="","Commercial",$C261))),Variables!$B$1:$D$1,0),1))*BD261)+(W261*INDEX(Variables!$B$9:$D$9,IFERROR(MATCH(IF($B261="Robusta","Robusta",(IF($B261="","Arabica",$B261))&amp;" - "&amp;(IF($C261="","Commercial",$C261))),Variables!$B$1:$D$1,0),1))*BD261/365),""))</f>
        <v>19.422517851421077</v>
      </c>
      <c r="BJ261" s="44">
        <f t="shared" si="14"/>
        <v>-35</v>
      </c>
      <c r="BK261" s="44">
        <f>IF($AX261="Cancelled","",IFERROR(IF(BJ261="","",(W261*INDEX(Variables!$B$7:$D$7,IFERROR(MATCH(IF($B261="Robusta","Robusta",(IF($B261="","Arabica",$B261))&amp;" - "&amp;(IF($C261="","Commercial",$C261))),Variables!$B$1:$D$1,0),1))*(BJ261/365))+(W261*INDEX(Variables!$B$9:$D$9,IFERROR(MATCH(IF($B261="Robusta","Robusta",(IF($B261="","Arabica",$B261))&amp;" - "&amp;(IF($C261="","Commercial",$C261))),Variables!$B$1:$D$1,0),1))*(BJ261/365))+(INDEX(Variables!$B$8:$D$8,IFERROR(MATCH(IF($B261="Robusta","Robusta",(IF($B261="","Arabica",$B261))&amp;" - "&amp;(IF($C261="","Commercial",$C261))),Variables!$B$1:$D$1,0),1))*L261/16.67)),""))</f>
        <v>-85.557624959947518</v>
      </c>
    </row>
    <row r="262" spans="1:63">
      <c r="A262" s="13" t="s">
        <v>103</v>
      </c>
      <c r="B262" s="13" t="s">
        <v>104</v>
      </c>
      <c r="C262" s="13" t="s">
        <v>292</v>
      </c>
      <c r="D262" s="31">
        <v>45712</v>
      </c>
      <c r="E262" s="31">
        <v>45717</v>
      </c>
      <c r="F262" s="31">
        <v>45747</v>
      </c>
      <c r="G262" s="13">
        <v>3786749</v>
      </c>
      <c r="J262" s="13" t="s">
        <v>861</v>
      </c>
      <c r="K262" s="13" t="s">
        <v>870</v>
      </c>
      <c r="L262" s="13">
        <v>40</v>
      </c>
      <c r="M262" s="13">
        <v>0</v>
      </c>
      <c r="N262" s="13" t="s">
        <v>871</v>
      </c>
      <c r="O262" s="13" t="s">
        <v>304</v>
      </c>
      <c r="P262" s="13">
        <v>10010</v>
      </c>
      <c r="R262" s="13" t="s">
        <v>384</v>
      </c>
      <c r="S262" s="13" t="s">
        <v>437</v>
      </c>
      <c r="T262" s="13" t="s">
        <v>438</v>
      </c>
      <c r="U262" s="13" t="s">
        <v>182</v>
      </c>
      <c r="V262" s="13">
        <v>104.15</v>
      </c>
      <c r="W262" s="44">
        <f>IF($AX262="Cancelled","",IFERROR(((V262+INDEX(Variables!$B$6:$D$6,IFERROR(MATCH(IF($B262="Robusta","Robusta",(IF($B262="","Arabica",$B262))&amp;" - "&amp;(IF($C262="","Commercial",$C262))),Variables!$B$1:$D$1,0),1)))*22.0462)*(L262/16.67),""))</f>
        <v>20892.973461307742</v>
      </c>
      <c r="X262" s="55" t="s">
        <v>39</v>
      </c>
      <c r="Y262" s="13" t="str">
        <f>IF($AX262="Cancelled","",IF(X262="","",IFERROR(IF(INDEX(Variables!$B$38:$B$47,MATCH(X262,Variables!$A$38:$A$47,0))="Yes","Yes","No"),"No")))</f>
        <v>No</v>
      </c>
      <c r="Z262" s="31"/>
      <c r="AB262" s="31">
        <v>45702.875</v>
      </c>
      <c r="AC262" s="13" t="str">
        <f t="shared" si="12"/>
        <v>Approved</v>
      </c>
      <c r="AF262" s="71">
        <f>AJ262-7</f>
        <v>45765</v>
      </c>
      <c r="AG262" s="36">
        <f>IF($AX262="Cancelled","",IFERROR(IF(F262="","",F262-Variables!$B$13),""))</f>
        <v>45732</v>
      </c>
      <c r="AH262" s="13">
        <f>IF($AX262="Cancelled","",IFERROR(IF(AB262="","",(AVERAGE(E262:F262)-AB262)-Variables!$B$14),""))</f>
        <v>-0.875</v>
      </c>
      <c r="AJ262" s="47">
        <v>45772</v>
      </c>
      <c r="AK262" s="14">
        <f>IF($AX262="Cancelled","",IFERROR(IF(AJ262="","",IF(AND(AB262="",AF262=""),"",IF(AF262&gt;AB262,AF262+Variables!$B$15+Variables!$B$16+Variables!$B$17-AJ262,AB262+Variables!$B$16+Variables!$B$17-AJ262))),""))</f>
        <v>8</v>
      </c>
      <c r="AL262" s="48" t="s">
        <v>864</v>
      </c>
      <c r="AM262" s="13" t="s">
        <v>115</v>
      </c>
      <c r="AN262" s="13" t="s">
        <v>1045</v>
      </c>
      <c r="AP262" s="31">
        <v>45777</v>
      </c>
      <c r="AR262" s="13">
        <v>253228716</v>
      </c>
      <c r="AS262" s="31">
        <v>45782</v>
      </c>
      <c r="AU262" s="31">
        <v>45793</v>
      </c>
      <c r="AV262" s="13" t="s">
        <v>865</v>
      </c>
      <c r="AW262" s="31">
        <v>45793</v>
      </c>
      <c r="AX262" s="13" t="str">
        <f>IF(ISNUMBER(SEARCH("cancel",#REF!)),"Cancelled",IF(AND(AS262&lt;&gt;"",AU262&lt;&gt;"",AW262&lt;&gt;""),"Closed","Open"))</f>
        <v>Closed</v>
      </c>
      <c r="AY262" s="15" t="str">
        <f t="shared" si="13"/>
        <v>All dates received</v>
      </c>
      <c r="BD262" s="13">
        <f>IF($AX262="Cancelled","",IFERROR(IF(OR(AS262="",AJ262=""),"",(AJ262+Variables!$B$18-AS262)),""))</f>
        <v>5</v>
      </c>
      <c r="BE262" s="13">
        <f>IF($AX262="Cancelled","",IFERROR(IF(OR(AW262="",AS262=""),"",(AS262+Variables!$B$19)-AW262),""))</f>
        <v>-6</v>
      </c>
      <c r="BF262" s="44">
        <f>IF($AX262="Cancelled","",IFERROR(W262*INDEX(Variables!$B$7:$D$7,IFERROR(MATCH(IF($B262="Robusta","Robusta",(IF($B262="","Arabica",$B262))&amp;" - "&amp;(IF($C262="","Commercial",$C262))),Variables!$B$1:$D$1,0),1))*(BE262/365),""))</f>
        <v>-22.14616263002857</v>
      </c>
      <c r="BG262" s="44">
        <f>IF($AX262="Cancelled","",IFERROR((W262*INDEX(Variables!$B$7:$D$7,IFERROR(MATCH(IF($B262="Robusta","Robusta",(IF($B262="","Arabica",$B262))&amp;" - "&amp;(IF($C262="","Commercial",$C262))),Variables!$B$1:$D$1,0),1))*IFERROR(IF(AB262="","",(AVERAGE(E262:F262)-AB262)-Variables!$B$14),"")/365)+(L262/16.67*INDEX(Variables!$B$8:$D$8,IFERROR(MATCH(IF($B262="Robusta","Robusta",(IF($B262="","Arabica",$B262))&amp;" - "&amp;(IF($C262="","Commercial",$C262))),Variables!$B$1:$D$1,0),1))*IFERROR(IF(AB262="","",(AVERAGE(E262:F262)-AB262)-Variables!$B$14),""))+(W262*INDEX(Variables!$B$9:$D$9,IFERROR(MATCH(IF($B262="Robusta","Robusta",(IF($B262="","Arabica",$B262))&amp;" - "&amp;(IF($C262="","Commercial",$C262))),Variables!$B$1:$D$1,0),1))*IFERROR(IF(AB262="","",(AVERAGE(E262:F262)-AB262)-Variables!$B$14),"")/365),""))</f>
        <v>-5.0212851216287202</v>
      </c>
      <c r="BH262" s="44">
        <f>IF($AX262="Cancelled","",IFERROR((W262*INDEX(Variables!$B$7:$D$7,IFERROR(MATCH(IF($B262="Robusta","Robusta",(IF($B262="","Arabica",$B262))&amp;" - "&amp;(IF($C262="","Commercial",$C262))),Variables!$B$1:$D$1,0),1))*AK262/365)+(L262/16.67*INDEX(Variables!$B$8:$D$8,IFERROR(MATCH(IF($B262="Robusta","Robusta",(IF($B262="","Arabica",$B262))&amp;" - "&amp;(IF($C262="","Commercial",$C262))),Variables!$B$1:$D$1,0),1))*AK262)+(W262*INDEX(Variables!$B$9:$D$9,IFERROR(MATCH(IF($B262="Robusta","Robusta",(IF($B262="","Arabica",$B262))&amp;" - "&amp;(IF($C262="","Commercial",$C262))),Variables!$B$1:$D$1,0),1))*AK262/365),""))</f>
        <v>45.908892540605443</v>
      </c>
      <c r="BI262" s="44">
        <f>IF($AX262="Cancelled","",IFERROR((W262*INDEX(Variables!$B$7:$D$7,IFERROR(MATCH(IF($B262="Robusta","Robusta",(IF($B262="","Arabica",$B262))&amp;" - "&amp;(IF($C262="","Commercial",$C262))),Variables!$B$1:$D$1,0),1))*BD262/365)+(L262/16.67*INDEX(Variables!$B$8:$D$8,IFERROR(MATCH(IF($B262="Robusta","Robusta",(IF($B262="","Arabica",$B262))&amp;" - "&amp;(IF($C262="","Commercial",$C262))),Variables!$B$1:$D$1,0),1))*BD262)+(W262*INDEX(Variables!$B$9:$D$9,IFERROR(MATCH(IF($B262="Robusta","Robusta",(IF($B262="","Arabica",$B262))&amp;" - "&amp;(IF($C262="","Commercial",$C262))),Variables!$B$1:$D$1,0),1))*BD262/365),""))</f>
        <v>28.693057837878399</v>
      </c>
      <c r="BJ262" s="44">
        <f t="shared" si="14"/>
        <v>-35</v>
      </c>
      <c r="BK262" s="44">
        <f>IF($AX262="Cancelled","",IFERROR(IF(BJ262="","",(W262*INDEX(Variables!$B$7:$D$7,IFERROR(MATCH(IF($B262="Robusta","Robusta",(IF($B262="","Arabica",$B262))&amp;" - "&amp;(IF($C262="","Commercial",$C262))),Variables!$B$1:$D$1,0),1))*(BJ262/365))+(W262*INDEX(Variables!$B$9:$D$9,IFERROR(MATCH(IF($B262="Robusta","Robusta",(IF($B262="","Arabica",$B262))&amp;" - "&amp;(IF($C262="","Commercial",$C262))),Variables!$B$1:$D$1,0),1))*(BJ262/365))+(INDEX(Variables!$B$8:$D$8,IFERROR(MATCH(IF($B262="Robusta","Robusta",(IF($B262="","Arabica",$B262))&amp;" - "&amp;(IF($C262="","Commercial",$C262))),Variables!$B$1:$D$1,0),1))*L262/16.67)),""))</f>
        <v>-128.85140486514879</v>
      </c>
    </row>
    <row r="263" spans="1:63">
      <c r="A263" s="13" t="s">
        <v>103</v>
      </c>
      <c r="B263" s="13" t="s">
        <v>104</v>
      </c>
      <c r="C263" s="13" t="s">
        <v>292</v>
      </c>
      <c r="D263" s="31">
        <v>45712</v>
      </c>
      <c r="E263" s="31">
        <v>45717</v>
      </c>
      <c r="F263" s="31">
        <v>45747</v>
      </c>
      <c r="G263" s="13">
        <v>3786750</v>
      </c>
      <c r="J263" s="13" t="s">
        <v>861</v>
      </c>
      <c r="K263" s="13" t="s">
        <v>872</v>
      </c>
      <c r="L263" s="13">
        <v>20</v>
      </c>
      <c r="M263" s="13">
        <v>0</v>
      </c>
      <c r="N263" s="13" t="s">
        <v>873</v>
      </c>
      <c r="O263" s="13" t="s">
        <v>304</v>
      </c>
      <c r="P263" s="13">
        <v>10010</v>
      </c>
      <c r="R263" s="13" t="s">
        <v>384</v>
      </c>
      <c r="S263" s="13" t="s">
        <v>437</v>
      </c>
      <c r="T263" s="13" t="s">
        <v>438</v>
      </c>
      <c r="U263" s="13" t="s">
        <v>182</v>
      </c>
      <c r="V263" s="13">
        <v>104.15</v>
      </c>
      <c r="W263" s="44">
        <f>IF($AX263="Cancelled","",IFERROR(((V263+INDEX(Variables!$B$6:$D$6,IFERROR(MATCH(IF($B263="Robusta","Robusta",(IF($B263="","Arabica",$B263))&amp;" - "&amp;(IF($C263="","Commercial",$C263))),Variables!$B$1:$D$1,0),1)))*22.0462)*(L263/16.67),""))</f>
        <v>10446.486730653871</v>
      </c>
      <c r="X263" s="55" t="s">
        <v>39</v>
      </c>
      <c r="Y263" s="13" t="str">
        <f>IF($AX263="Cancelled","",IF(X263="","",IFERROR(IF(INDEX(Variables!$B$38:$B$47,MATCH(X263,Variables!$A$38:$A$47,0))="Yes","Yes","No"),"No")))</f>
        <v>No</v>
      </c>
      <c r="Z263" s="31"/>
      <c r="AB263" s="31">
        <v>45702.875</v>
      </c>
      <c r="AC263" s="13" t="str">
        <f t="shared" si="12"/>
        <v>Approved</v>
      </c>
      <c r="AF263" s="71">
        <f>AJ263-7</f>
        <v>45765</v>
      </c>
      <c r="AG263" s="36">
        <f>IF($AX263="Cancelled","",IFERROR(IF(F263="","",F263-Variables!$B$13),""))</f>
        <v>45732</v>
      </c>
      <c r="AH263" s="13">
        <f>IF($AX263="Cancelled","",IFERROR(IF(AB263="","",(AVERAGE(E263:F263)-AB263)-Variables!$B$14),""))</f>
        <v>-0.875</v>
      </c>
      <c r="AJ263" s="47">
        <v>45772</v>
      </c>
      <c r="AK263" s="14">
        <f>IF($AX263="Cancelled","",IFERROR(IF(AJ263="","",IF(AND(AB263="",AF263=""),"",IF(AF263&gt;AB263,AF263+Variables!$B$15+Variables!$B$16+Variables!$B$17-AJ263,AB263+Variables!$B$16+Variables!$B$17-AJ263))),""))</f>
        <v>8</v>
      </c>
      <c r="AL263" s="48" t="s">
        <v>864</v>
      </c>
      <c r="AM263" s="13" t="s">
        <v>115</v>
      </c>
      <c r="AN263" s="13" t="s">
        <v>1045</v>
      </c>
      <c r="AP263" s="31">
        <v>45777</v>
      </c>
      <c r="AR263" s="13">
        <v>253228716</v>
      </c>
      <c r="AS263" s="31">
        <v>45782</v>
      </c>
      <c r="AU263" s="31">
        <v>45793</v>
      </c>
      <c r="AV263" s="13" t="s">
        <v>865</v>
      </c>
      <c r="AW263" s="31">
        <v>45793</v>
      </c>
      <c r="AX263" s="13" t="str">
        <f>IF(ISNUMBER(SEARCH("cancel",#REF!)),"Cancelled",IF(AND(AS263&lt;&gt;"",AU263&lt;&gt;"",AW263&lt;&gt;""),"Closed","Open"))</f>
        <v>Closed</v>
      </c>
      <c r="AY263" s="15" t="str">
        <f t="shared" si="13"/>
        <v>All dates received</v>
      </c>
      <c r="BD263" s="13">
        <f>IF($AX263="Cancelled","",IFERROR(IF(OR(AS263="",AJ263=""),"",(AJ263+Variables!$B$18-AS263)),""))</f>
        <v>5</v>
      </c>
      <c r="BE263" s="13">
        <f>IF($AX263="Cancelled","",IFERROR(IF(OR(AW263="",AS263=""),"",(AS263+Variables!$B$19)-AW263),""))</f>
        <v>-6</v>
      </c>
      <c r="BF263" s="44">
        <f>IF($AX263="Cancelled","",IFERROR(W263*INDEX(Variables!$B$7:$D$7,IFERROR(MATCH(IF($B263="Robusta","Robusta",(IF($B263="","Arabica",$B263))&amp;" - "&amp;(IF($C263="","Commercial",$C263))),Variables!$B$1:$D$1,0),1))*(BE263/365),""))</f>
        <v>-11.073081315014285</v>
      </c>
      <c r="BG263" s="44">
        <f>IF($AX263="Cancelled","",IFERROR((W263*INDEX(Variables!$B$7:$D$7,IFERROR(MATCH(IF($B263="Robusta","Robusta",(IF($B263="","Arabica",$B263))&amp;" - "&amp;(IF($C263="","Commercial",$C263))),Variables!$B$1:$D$1,0),1))*IFERROR(IF(AB263="","",(AVERAGE(E263:F263)-AB263)-Variables!$B$14),"")/365)+(L263/16.67*INDEX(Variables!$B$8:$D$8,IFERROR(MATCH(IF($B263="Robusta","Robusta",(IF($B263="","Arabica",$B263))&amp;" - "&amp;(IF($C263="","Commercial",$C263))),Variables!$B$1:$D$1,0),1))*IFERROR(IF(AB263="","",(AVERAGE(E263:F263)-AB263)-Variables!$B$14),""))+(W263*INDEX(Variables!$B$9:$D$9,IFERROR(MATCH(IF($B263="Robusta","Robusta",(IF($B263="","Arabica",$B263))&amp;" - "&amp;(IF($C263="","Commercial",$C263))),Variables!$B$1:$D$1,0),1))*IFERROR(IF(AB263="","",(AVERAGE(E263:F263)-AB263)-Variables!$B$14),"")/365),""))</f>
        <v>-2.5106425608143601</v>
      </c>
      <c r="BH263" s="44">
        <f>IF($AX263="Cancelled","",IFERROR((W263*INDEX(Variables!$B$7:$D$7,IFERROR(MATCH(IF($B263="Robusta","Robusta",(IF($B263="","Arabica",$B263))&amp;" - "&amp;(IF($C263="","Commercial",$C263))),Variables!$B$1:$D$1,0),1))*AK263/365)+(L263/16.67*INDEX(Variables!$B$8:$D$8,IFERROR(MATCH(IF($B263="Robusta","Robusta",(IF($B263="","Arabica",$B263))&amp;" - "&amp;(IF($C263="","Commercial",$C263))),Variables!$B$1:$D$1,0),1))*AK263)+(W263*INDEX(Variables!$B$9:$D$9,IFERROR(MATCH(IF($B263="Robusta","Robusta",(IF($B263="","Arabica",$B263))&amp;" - "&amp;(IF($C263="","Commercial",$C263))),Variables!$B$1:$D$1,0),1))*AK263/365),""))</f>
        <v>22.954446270302721</v>
      </c>
      <c r="BI263" s="44">
        <f>IF($AX263="Cancelled","",IFERROR((W263*INDEX(Variables!$B$7:$D$7,IFERROR(MATCH(IF($B263="Robusta","Robusta",(IF($B263="","Arabica",$B263))&amp;" - "&amp;(IF($C263="","Commercial",$C263))),Variables!$B$1:$D$1,0),1))*BD263/365)+(L263/16.67*INDEX(Variables!$B$8:$D$8,IFERROR(MATCH(IF($B263="Robusta","Robusta",(IF($B263="","Arabica",$B263))&amp;" - "&amp;(IF($C263="","Commercial",$C263))),Variables!$B$1:$D$1,0),1))*BD263)+(W263*INDEX(Variables!$B$9:$D$9,IFERROR(MATCH(IF($B263="Robusta","Robusta",(IF($B263="","Arabica",$B263))&amp;" - "&amp;(IF($C263="","Commercial",$C263))),Variables!$B$1:$D$1,0),1))*BD263/365),""))</f>
        <v>14.3465289189392</v>
      </c>
      <c r="BJ263" s="44">
        <f t="shared" si="14"/>
        <v>-35</v>
      </c>
      <c r="BK263" s="44">
        <f>IF($AX263="Cancelled","",IFERROR(IF(BJ263="","",(W263*INDEX(Variables!$B$7:$D$7,IFERROR(MATCH(IF($B263="Robusta","Robusta",(IF($B263="","Arabica",$B263))&amp;" - "&amp;(IF($C263="","Commercial",$C263))),Variables!$B$1:$D$1,0),1))*(BJ263/365))+(W263*INDEX(Variables!$B$9:$D$9,IFERROR(MATCH(IF($B263="Robusta","Robusta",(IF($B263="","Arabica",$B263))&amp;" - "&amp;(IF($C263="","Commercial",$C263))),Variables!$B$1:$D$1,0),1))*(BJ263/365))+(INDEX(Variables!$B$8:$D$8,IFERROR(MATCH(IF($B263="Robusta","Robusta",(IF($B263="","Arabica",$B263))&amp;" - "&amp;(IF($C263="","Commercial",$C263))),Variables!$B$1:$D$1,0),1))*L263/16.67)),""))</f>
        <v>-64.425702432574397</v>
      </c>
    </row>
    <row r="264" spans="1:63">
      <c r="A264" s="13" t="s">
        <v>103</v>
      </c>
      <c r="B264" s="13" t="s">
        <v>104</v>
      </c>
      <c r="C264" s="13" t="s">
        <v>292</v>
      </c>
      <c r="D264" s="31">
        <v>45712</v>
      </c>
      <c r="E264" s="31">
        <v>45717</v>
      </c>
      <c r="F264" s="31">
        <v>45747</v>
      </c>
      <c r="G264" s="13">
        <v>3786751</v>
      </c>
      <c r="J264" s="13" t="s">
        <v>861</v>
      </c>
      <c r="K264" s="13" t="s">
        <v>874</v>
      </c>
      <c r="L264" s="13">
        <v>70</v>
      </c>
      <c r="M264" s="13">
        <v>0</v>
      </c>
      <c r="N264" s="13" t="s">
        <v>875</v>
      </c>
      <c r="O264" s="13" t="s">
        <v>304</v>
      </c>
      <c r="P264" s="13">
        <v>10010</v>
      </c>
      <c r="R264" s="13" t="s">
        <v>384</v>
      </c>
      <c r="S264" s="13" t="s">
        <v>437</v>
      </c>
      <c r="T264" s="13" t="s">
        <v>438</v>
      </c>
      <c r="U264" s="13" t="s">
        <v>182</v>
      </c>
      <c r="V264" s="13">
        <v>105.15</v>
      </c>
      <c r="W264" s="44">
        <f>IF($AX264="Cancelled","",IFERROR(((V264+INDEX(Variables!$B$6:$D$6,IFERROR(MATCH(IF($B264="Robusta","Robusta",(IF($B264="","Arabica",$B264))&amp;" - "&amp;(IF($C264="","Commercial",$C264))),Variables!$B$1:$D$1,0),1)))*22.0462)*(L264/16.67),""))</f>
        <v>36655.279082183559</v>
      </c>
      <c r="X264" s="55" t="s">
        <v>39</v>
      </c>
      <c r="Y264" s="13" t="str">
        <f>IF($AX264="Cancelled","",IF(X264="","",IFERROR(IF(INDEX(Variables!$B$38:$B$47,MATCH(X264,Variables!$A$38:$A$47,0))="Yes","Yes","No"),"No")))</f>
        <v>No</v>
      </c>
      <c r="Z264" s="31"/>
      <c r="AB264" s="31">
        <v>45702.875</v>
      </c>
      <c r="AC264" s="13" t="str">
        <f t="shared" si="12"/>
        <v>Approved</v>
      </c>
      <c r="AF264" s="71">
        <f>AJ264-7</f>
        <v>45765</v>
      </c>
      <c r="AG264" s="36">
        <f>IF($AX264="Cancelled","",IFERROR(IF(F264="","",F264-Variables!$B$13),""))</f>
        <v>45732</v>
      </c>
      <c r="AH264" s="13">
        <f>IF($AX264="Cancelled","",IFERROR(IF(AB264="","",(AVERAGE(E264:F264)-AB264)-Variables!$B$14),""))</f>
        <v>-0.875</v>
      </c>
      <c r="AJ264" s="47">
        <v>45772</v>
      </c>
      <c r="AK264" s="14">
        <f>IF($AX264="Cancelled","",IFERROR(IF(AJ264="","",IF(AND(AB264="",AF264=""),"",IF(AF264&gt;AB264,AF264+Variables!$B$15+Variables!$B$16+Variables!$B$17-AJ264,AB264+Variables!$B$16+Variables!$B$17-AJ264))),""))</f>
        <v>8</v>
      </c>
      <c r="AL264" s="48" t="s">
        <v>864</v>
      </c>
      <c r="AM264" s="13" t="s">
        <v>115</v>
      </c>
      <c r="AN264" s="13" t="s">
        <v>1045</v>
      </c>
      <c r="AP264" s="31">
        <v>45777</v>
      </c>
      <c r="AR264" s="13">
        <v>253228716</v>
      </c>
      <c r="AS264" s="31">
        <v>45782</v>
      </c>
      <c r="AU264" s="31">
        <v>45793</v>
      </c>
      <c r="AV264" s="13" t="s">
        <v>865</v>
      </c>
      <c r="AW264" s="31">
        <v>45793</v>
      </c>
      <c r="AX264" s="13" t="str">
        <f>IF(ISNUMBER(SEARCH("cancel",#REF!)),"Cancelled",IF(AND(AS264&lt;&gt;"",AU264&lt;&gt;"",AW264&lt;&gt;""),"Closed","Open"))</f>
        <v>Closed</v>
      </c>
      <c r="AY264" s="15" t="str">
        <f t="shared" si="13"/>
        <v>All dates received</v>
      </c>
      <c r="BD264" s="13">
        <f>IF($AX264="Cancelled","",IFERROR(IF(OR(AS264="",AJ264=""),"",(AJ264+Variables!$B$18-AS264)),""))</f>
        <v>5</v>
      </c>
      <c r="BE264" s="13">
        <f>IF($AX264="Cancelled","",IFERROR(IF(OR(AW264="",AS264=""),"",(AS264+Variables!$B$19)-AW264),""))</f>
        <v>-6</v>
      </c>
      <c r="BF264" s="44">
        <f>IF($AX264="Cancelled","",IFERROR(W264*INDEX(Variables!$B$7:$D$7,IFERROR(MATCH(IF($B264="Robusta","Robusta",(IF($B264="","Arabica",$B264))&amp;" - "&amp;(IF($C264="","Commercial",$C264))),Variables!$B$1:$D$1,0),1))*(BE264/365),""))</f>
        <v>-38.853912934244001</v>
      </c>
      <c r="BG264" s="44">
        <f>IF($AX264="Cancelled","",IFERROR((W264*INDEX(Variables!$B$7:$D$7,IFERROR(MATCH(IF($B264="Robusta","Robusta",(IF($B264="","Arabica",$B264))&amp;" - "&amp;(IF($C264="","Commercial",$C264))),Variables!$B$1:$D$1,0),1))*IFERROR(IF(AB264="","",(AVERAGE(E264:F264)-AB264)-Variables!$B$14),"")/365)+(L264/16.67*INDEX(Variables!$B$8:$D$8,IFERROR(MATCH(IF($B264="Robusta","Robusta",(IF($B264="","Arabica",$B264))&amp;" - "&amp;(IF($C264="","Commercial",$C264))),Variables!$B$1:$D$1,0),1))*IFERROR(IF(AB264="","",(AVERAGE(E264:F264)-AB264)-Variables!$B$14),""))+(W264*INDEX(Variables!$B$9:$D$9,IFERROR(MATCH(IF($B264="Robusta","Robusta",(IF($B264="","Arabica",$B264))&amp;" - "&amp;(IF($C264="","Commercial",$C264))),Variables!$B$1:$D$1,0),1))*IFERROR(IF(AB264="","",(AVERAGE(E264:F264)-AB264)-Variables!$B$14),"")/365),""))</f>
        <v>-8.8017438329929352</v>
      </c>
      <c r="BH264" s="44">
        <f>IF($AX264="Cancelled","",IFERROR((W264*INDEX(Variables!$B$7:$D$7,IFERROR(MATCH(IF($B264="Robusta","Robusta",(IF($B264="","Arabica",$B264))&amp;" - "&amp;(IF($C264="","Commercial",$C264))),Variables!$B$1:$D$1,0),1))*AK264/365)+(L264/16.67*INDEX(Variables!$B$8:$D$8,IFERROR(MATCH(IF($B264="Robusta","Robusta",(IF($B264="","Arabica",$B264))&amp;" - "&amp;(IF($C264="","Commercial",$C264))),Variables!$B$1:$D$1,0),1))*AK264)+(W264*INDEX(Variables!$B$9:$D$9,IFERROR(MATCH(IF($B264="Robusta","Robusta",(IF($B264="","Arabica",$B264))&amp;" - "&amp;(IF($C264="","Commercial",$C264))),Variables!$B$1:$D$1,0),1))*AK264/365),""))</f>
        <v>80.473086473078268</v>
      </c>
      <c r="BI264" s="44">
        <f>IF($AX264="Cancelled","",IFERROR((W264*INDEX(Variables!$B$7:$D$7,IFERROR(MATCH(IF($B264="Robusta","Robusta",(IF($B264="","Arabica",$B264))&amp;" - "&amp;(IF($C264="","Commercial",$C264))),Variables!$B$1:$D$1,0),1))*BD264/365)+(L264/16.67*INDEX(Variables!$B$8:$D$8,IFERROR(MATCH(IF($B264="Robusta","Robusta",(IF($B264="","Arabica",$B264))&amp;" - "&amp;(IF($C264="","Commercial",$C264))),Variables!$B$1:$D$1,0),1))*BD264)+(W264*INDEX(Variables!$B$9:$D$9,IFERROR(MATCH(IF($B264="Robusta","Robusta",(IF($B264="","Arabica",$B264))&amp;" - "&amp;(IF($C264="","Commercial",$C264))),Variables!$B$1:$D$1,0),1))*BD264/365),""))</f>
        <v>50.295679045673921</v>
      </c>
      <c r="BJ264" s="44">
        <f t="shared" si="14"/>
        <v>-35</v>
      </c>
      <c r="BK264" s="44">
        <f>IF($AX264="Cancelled","",IFERROR(IF(BJ264="","",(W264*INDEX(Variables!$B$7:$D$7,IFERROR(MATCH(IF($B264="Robusta","Robusta",(IF($B264="","Arabica",$B264))&amp;" - "&amp;(IF($C264="","Commercial",$C264))),Variables!$B$1:$D$1,0),1))*(BJ264/365))+(W264*INDEX(Variables!$B$9:$D$9,IFERROR(MATCH(IF($B264="Robusta","Robusta",(IF($B264="","Arabica",$B264))&amp;" - "&amp;(IF($C264="","Commercial",$C264))),Variables!$B$1:$D$1,0),1))*(BJ264/365))+(INDEX(Variables!$B$8:$D$8,IFERROR(MATCH(IF($B264="Robusta","Robusta",(IF($B264="","Arabica",$B264))&amp;" - "&amp;(IF($C264="","Commercial",$C264))),Variables!$B$1:$D$1,0),1))*L264/16.67)),""))</f>
        <v>-226.06975331971742</v>
      </c>
    </row>
    <row r="265" spans="1:63">
      <c r="A265" s="13" t="s">
        <v>103</v>
      </c>
      <c r="B265" s="13" t="s">
        <v>104</v>
      </c>
      <c r="C265" s="13" t="s">
        <v>292</v>
      </c>
      <c r="D265" s="31">
        <v>45712</v>
      </c>
      <c r="E265" s="31">
        <v>45717</v>
      </c>
      <c r="F265" s="31">
        <v>45747</v>
      </c>
      <c r="G265" s="13">
        <v>3786752</v>
      </c>
      <c r="J265" s="13" t="s">
        <v>861</v>
      </c>
      <c r="K265" s="13" t="s">
        <v>876</v>
      </c>
      <c r="L265" s="13">
        <v>18</v>
      </c>
      <c r="M265" s="13">
        <v>0</v>
      </c>
      <c r="N265" s="13" t="s">
        <v>877</v>
      </c>
      <c r="O265" s="13" t="s">
        <v>304</v>
      </c>
      <c r="P265" s="13">
        <v>10010</v>
      </c>
      <c r="R265" s="13" t="s">
        <v>384</v>
      </c>
      <c r="S265" s="13" t="s">
        <v>437</v>
      </c>
      <c r="T265" s="13" t="s">
        <v>438</v>
      </c>
      <c r="U265" s="13" t="s">
        <v>182</v>
      </c>
      <c r="V265" s="13">
        <v>124.15</v>
      </c>
      <c r="W265" s="44">
        <f>IF($AX265="Cancelled","",IFERROR(((V265+INDEX(Variables!$B$6:$D$6,IFERROR(MATCH(IF($B265="Robusta","Robusta",(IF($B265="","Arabica",$B265))&amp;" - "&amp;(IF($C265="","Commercial",$C265))),Variables!$B$1:$D$1,0),1)))*22.0462)*(L265/16.67),""))</f>
        <v>9877.940757048591</v>
      </c>
      <c r="X265" s="55" t="s">
        <v>39</v>
      </c>
      <c r="Y265" s="13" t="str">
        <f>IF($AX265="Cancelled","",IF(X265="","",IFERROR(IF(INDEX(Variables!$B$38:$B$47,MATCH(X265,Variables!$A$38:$A$47,0))="Yes","Yes","No"),"No")))</f>
        <v>No</v>
      </c>
      <c r="Z265" s="31"/>
      <c r="AB265" s="31">
        <v>45702.875</v>
      </c>
      <c r="AC265" s="13" t="str">
        <f t="shared" si="12"/>
        <v>Approved</v>
      </c>
      <c r="AF265" s="71">
        <f>AJ265-7</f>
        <v>45765</v>
      </c>
      <c r="AG265" s="36">
        <f>IF($AX265="Cancelled","",IFERROR(IF(F265="","",F265-Variables!$B$13),""))</f>
        <v>45732</v>
      </c>
      <c r="AH265" s="13">
        <f>IF($AX265="Cancelled","",IFERROR(IF(AB265="","",(AVERAGE(E265:F265)-AB265)-Variables!$B$14),""))</f>
        <v>-0.875</v>
      </c>
      <c r="AJ265" s="47">
        <v>45772</v>
      </c>
      <c r="AK265" s="14">
        <f>IF($AX265="Cancelled","",IFERROR(IF(AJ265="","",IF(AND(AB265="",AF265=""),"",IF(AF265&gt;AB265,AF265+Variables!$B$15+Variables!$B$16+Variables!$B$17-AJ265,AB265+Variables!$B$16+Variables!$B$17-AJ265))),""))</f>
        <v>8</v>
      </c>
      <c r="AL265" s="48" t="s">
        <v>864</v>
      </c>
      <c r="AM265" s="13" t="s">
        <v>115</v>
      </c>
      <c r="AN265" s="13" t="s">
        <v>1045</v>
      </c>
      <c r="AP265" s="31">
        <v>45777</v>
      </c>
      <c r="AR265" s="13">
        <v>253228716</v>
      </c>
      <c r="AS265" s="31">
        <v>45782</v>
      </c>
      <c r="AU265" s="31">
        <v>45793</v>
      </c>
      <c r="AV265" s="13" t="s">
        <v>865</v>
      </c>
      <c r="AW265" s="31">
        <v>45793</v>
      </c>
      <c r="AX265" s="13" t="str">
        <f>IF(ISNUMBER(SEARCH("cancel",#REF!)),"Cancelled",IF(AND(AS265&lt;&gt;"",AU265&lt;&gt;"",AW265&lt;&gt;""),"Closed","Open"))</f>
        <v>Closed</v>
      </c>
      <c r="AY265" s="15" t="str">
        <f t="shared" si="13"/>
        <v>All dates received</v>
      </c>
      <c r="BD265" s="13">
        <f>IF($AX265="Cancelled","",IFERROR(IF(OR(AS265="",AJ265=""),"",(AJ265+Variables!$B$18-AS265)),""))</f>
        <v>5</v>
      </c>
      <c r="BE265" s="13">
        <f>IF($AX265="Cancelled","",IFERROR(IF(OR(AW265="",AS265=""),"",(AS265+Variables!$B$19)-AW265),""))</f>
        <v>-6</v>
      </c>
      <c r="BF265" s="44">
        <f>IF($AX265="Cancelled","",IFERROR(W265*INDEX(Variables!$B$7:$D$7,IFERROR(MATCH(IF($B265="Robusta","Robusta",(IF($B265="","Arabica",$B265))&amp;" - "&amp;(IF($C265="","Commercial",$C265))),Variables!$B$1:$D$1,0),1))*(BE265/365),""))</f>
        <v>-10.470433175082059</v>
      </c>
      <c r="BG265" s="44">
        <f>IF($AX265="Cancelled","",IFERROR((W265*INDEX(Variables!$B$7:$D$7,IFERROR(MATCH(IF($B265="Robusta","Robusta",(IF($B265="","Arabica",$B265))&amp;" - "&amp;(IF($C265="","Commercial",$C265))),Variables!$B$1:$D$1,0),1))*IFERROR(IF(AB265="","",(AVERAGE(E265:F265)-AB265)-Variables!$B$14),"")/365)+(L265/16.67*INDEX(Variables!$B$8:$D$8,IFERROR(MATCH(IF($B265="Robusta","Robusta",(IF($B265="","Arabica",$B265))&amp;" - "&amp;(IF($C265="","Commercial",$C265))),Variables!$B$1:$D$1,0),1))*IFERROR(IF(AB265="","",(AVERAGE(E265:F265)-AB265)-Variables!$B$14),""))+(W265*INDEX(Variables!$B$9:$D$9,IFERROR(MATCH(IF($B265="Robusta","Robusta",(IF($B265="","Arabica",$B265))&amp;" - "&amp;(IF($C265="","Commercial",$C265))),Variables!$B$1:$D$1,0),1))*IFERROR(IF(AB265="","",(AVERAGE(E265:F265)-AB265)-Variables!$B$14),"")/365),""))</f>
        <v>-2.3341233511809767</v>
      </c>
      <c r="BH265" s="44">
        <f>IF($AX265="Cancelled","",IFERROR((W265*INDEX(Variables!$B$7:$D$7,IFERROR(MATCH(IF($B265="Robusta","Robusta",(IF($B265="","Arabica",$B265))&amp;" - "&amp;(IF($C265="","Commercial",$C265))),Variables!$B$1:$D$1,0),1))*AK265/365)+(L265/16.67*INDEX(Variables!$B$8:$D$8,IFERROR(MATCH(IF($B265="Robusta","Robusta",(IF($B265="","Arabica",$B265))&amp;" - "&amp;(IF($C265="","Commercial",$C265))),Variables!$B$1:$D$1,0),1))*AK265)+(W265*INDEX(Variables!$B$9:$D$9,IFERROR(MATCH(IF($B265="Robusta","Robusta",(IF($B265="","Arabica",$B265))&amp;" - "&amp;(IF($C265="","Commercial",$C265))),Variables!$B$1:$D$1,0),1))*AK265/365),""))</f>
        <v>21.340556353654645</v>
      </c>
      <c r="BI265" s="44">
        <f>IF($AX265="Cancelled","",IFERROR((W265*INDEX(Variables!$B$7:$D$7,IFERROR(MATCH(IF($B265="Robusta","Robusta",(IF($B265="","Arabica",$B265))&amp;" - "&amp;(IF($C265="","Commercial",$C265))),Variables!$B$1:$D$1,0),1))*BD265/365)+(L265/16.67*INDEX(Variables!$B$8:$D$8,IFERROR(MATCH(IF($B265="Robusta","Robusta",(IF($B265="","Arabica",$B265))&amp;" - "&amp;(IF($C265="","Commercial",$C265))),Variables!$B$1:$D$1,0),1))*BD265)+(W265*INDEX(Variables!$B$9:$D$9,IFERROR(MATCH(IF($B265="Robusta","Robusta",(IF($B265="","Arabica",$B265))&amp;" - "&amp;(IF($C265="","Commercial",$C265))),Variables!$B$1:$D$1,0),1))*BD265/365),""))</f>
        <v>13.337847721034155</v>
      </c>
      <c r="BJ265" s="44">
        <f t="shared" si="14"/>
        <v>-35</v>
      </c>
      <c r="BK265" s="44">
        <f>IF($AX265="Cancelled","",IFERROR(IF(BJ265="","",(W265*INDEX(Variables!$B$7:$D$7,IFERROR(MATCH(IF($B265="Robusta","Robusta",(IF($B265="","Arabica",$B265))&amp;" - "&amp;(IF($C265="","Commercial",$C265))),Variables!$B$1:$D$1,0),1))*(BJ265/365))+(W265*INDEX(Variables!$B$9:$D$9,IFERROR(MATCH(IF($B265="Robusta","Robusta",(IF($B265="","Arabica",$B265))&amp;" - "&amp;(IF($C265="","Commercial",$C265))),Variables!$B$1:$D$1,0),1))*(BJ265/365))+(INDEX(Variables!$B$8:$D$8,IFERROR(MATCH(IF($B265="Robusta","Robusta",(IF($B265="","Arabica",$B265))&amp;" - "&amp;(IF($C265="","Commercial",$C265))),Variables!$B$1:$D$1,0),1))*L265/16.67)),""))</f>
        <v>-60.964934047239062</v>
      </c>
    </row>
    <row r="266" spans="1:63">
      <c r="A266" s="13" t="s">
        <v>103</v>
      </c>
      <c r="B266" s="13" t="s">
        <v>104</v>
      </c>
      <c r="C266" s="13" t="s">
        <v>292</v>
      </c>
      <c r="D266" s="31">
        <v>45712</v>
      </c>
      <c r="E266" s="31">
        <v>45717</v>
      </c>
      <c r="F266" s="31">
        <v>45747</v>
      </c>
      <c r="G266" s="13">
        <v>3786753</v>
      </c>
      <c r="J266" s="13" t="s">
        <v>861</v>
      </c>
      <c r="K266" s="13" t="s">
        <v>878</v>
      </c>
      <c r="L266" s="13">
        <v>28</v>
      </c>
      <c r="M266" s="13">
        <v>0</v>
      </c>
      <c r="N266" s="13" t="s">
        <v>879</v>
      </c>
      <c r="O266" s="13" t="s">
        <v>304</v>
      </c>
      <c r="P266" s="13">
        <v>10010</v>
      </c>
      <c r="R266" s="13" t="s">
        <v>384</v>
      </c>
      <c r="S266" s="13" t="s">
        <v>437</v>
      </c>
      <c r="T266" s="13" t="s">
        <v>438</v>
      </c>
      <c r="U266" s="13" t="s">
        <v>182</v>
      </c>
      <c r="V266" s="13">
        <v>124.15</v>
      </c>
      <c r="W266" s="44">
        <f>IF($AX266="Cancelled","",IFERROR(((V266+INDEX(Variables!$B$6:$D$6,IFERROR(MATCH(IF($B266="Robusta","Robusta",(IF($B266="","Arabica",$B266))&amp;" - "&amp;(IF($C266="","Commercial",$C266))),Variables!$B$1:$D$1,0),1)))*22.0462)*(L266/16.67),""))</f>
        <v>15365.685622075585</v>
      </c>
      <c r="X266" s="55" t="s">
        <v>39</v>
      </c>
      <c r="Y266" s="13" t="str">
        <f>IF($AX266="Cancelled","",IF(X266="","",IFERROR(IF(INDEX(Variables!$B$38:$B$47,MATCH(X266,Variables!$A$38:$A$47,0))="Yes","Yes","No"),"No")))</f>
        <v>No</v>
      </c>
      <c r="Z266" s="31"/>
      <c r="AB266" s="31">
        <v>45702.875</v>
      </c>
      <c r="AC266" s="13" t="str">
        <f t="shared" si="12"/>
        <v>Approved</v>
      </c>
      <c r="AF266" s="71">
        <f>AJ266-7</f>
        <v>45765</v>
      </c>
      <c r="AG266" s="36">
        <f>IF($AX266="Cancelled","",IFERROR(IF(F266="","",F266-Variables!$B$13),""))</f>
        <v>45732</v>
      </c>
      <c r="AH266" s="13">
        <f>IF($AX266="Cancelled","",IFERROR(IF(AB266="","",(AVERAGE(E266:F266)-AB266)-Variables!$B$14),""))</f>
        <v>-0.875</v>
      </c>
      <c r="AJ266" s="47">
        <v>45772</v>
      </c>
      <c r="AK266" s="14">
        <f>IF($AX266="Cancelled","",IFERROR(IF(AJ266="","",IF(AND(AB266="",AF266=""),"",IF(AF266&gt;AB266,AF266+Variables!$B$15+Variables!$B$16+Variables!$B$17-AJ266,AB266+Variables!$B$16+Variables!$B$17-AJ266))),""))</f>
        <v>8</v>
      </c>
      <c r="AL266" s="48" t="s">
        <v>864</v>
      </c>
      <c r="AM266" s="13" t="s">
        <v>115</v>
      </c>
      <c r="AN266" s="13" t="s">
        <v>1045</v>
      </c>
      <c r="AP266" s="31">
        <v>45777</v>
      </c>
      <c r="AR266" s="13">
        <v>253228716</v>
      </c>
      <c r="AS266" s="31">
        <v>45782</v>
      </c>
      <c r="AU266" s="31">
        <v>45793</v>
      </c>
      <c r="AV266" s="13" t="s">
        <v>865</v>
      </c>
      <c r="AW266" s="31">
        <v>45793</v>
      </c>
      <c r="AX266" s="13" t="str">
        <f>IF(ISNUMBER(SEARCH("cancel",#REF!)),"Cancelled",IF(AND(AS266&lt;&gt;"",AU266&lt;&gt;"",AW266&lt;&gt;""),"Closed","Open"))</f>
        <v>Closed</v>
      </c>
      <c r="AY266" s="15" t="str">
        <f t="shared" si="13"/>
        <v>All dates received</v>
      </c>
      <c r="BD266" s="13">
        <f>IF($AX266="Cancelled","",IFERROR(IF(OR(AS266="",AJ266=""),"",(AJ266+Variables!$B$18-AS266)),""))</f>
        <v>5</v>
      </c>
      <c r="BE266" s="13">
        <f>IF($AX266="Cancelled","",IFERROR(IF(OR(AW266="",AS266=""),"",(AS266+Variables!$B$19)-AW266),""))</f>
        <v>-6</v>
      </c>
      <c r="BF266" s="44">
        <f>IF($AX266="Cancelled","",IFERROR(W266*INDEX(Variables!$B$7:$D$7,IFERROR(MATCH(IF($B266="Robusta","Robusta",(IF($B266="","Arabica",$B266))&amp;" - "&amp;(IF($C266="","Commercial",$C266))),Variables!$B$1:$D$1,0),1))*(BE266/365),""))</f>
        <v>-16.287340494572092</v>
      </c>
      <c r="BG266" s="44">
        <f>IF($AX266="Cancelled","",IFERROR((W266*INDEX(Variables!$B$7:$D$7,IFERROR(MATCH(IF($B266="Robusta","Robusta",(IF($B266="","Arabica",$B266))&amp;" - "&amp;(IF($C266="","Commercial",$C266))),Variables!$B$1:$D$1,0),1))*IFERROR(IF(AB266="","",(AVERAGE(E266:F266)-AB266)-Variables!$B$14),"")/365)+(L266/16.67*INDEX(Variables!$B$8:$D$8,IFERROR(MATCH(IF($B266="Robusta","Robusta",(IF($B266="","Arabica",$B266))&amp;" - "&amp;(IF($C266="","Commercial",$C266))),Variables!$B$1:$D$1,0),1))*IFERROR(IF(AB266="","",(AVERAGE(E266:F266)-AB266)-Variables!$B$14),""))+(W266*INDEX(Variables!$B$9:$D$9,IFERROR(MATCH(IF($B266="Robusta","Robusta",(IF($B266="","Arabica",$B266))&amp;" - "&amp;(IF($C266="","Commercial",$C266))),Variables!$B$1:$D$1,0),1))*IFERROR(IF(AB266="","",(AVERAGE(E266:F266)-AB266)-Variables!$B$14),"")/365),""))</f>
        <v>-3.6308585462815195</v>
      </c>
      <c r="BH266" s="44">
        <f>IF($AX266="Cancelled","",IFERROR((W266*INDEX(Variables!$B$7:$D$7,IFERROR(MATCH(IF($B266="Robusta","Robusta",(IF($B266="","Arabica",$B266))&amp;" - "&amp;(IF($C266="","Commercial",$C266))),Variables!$B$1:$D$1,0),1))*AK266/365)+(L266/16.67*INDEX(Variables!$B$8:$D$8,IFERROR(MATCH(IF($B266="Robusta","Robusta",(IF($B266="","Arabica",$B266))&amp;" - "&amp;(IF($C266="","Commercial",$C266))),Variables!$B$1:$D$1,0),1))*AK266)+(W266*INDEX(Variables!$B$9:$D$9,IFERROR(MATCH(IF($B266="Robusta","Robusta",(IF($B266="","Arabica",$B266))&amp;" - "&amp;(IF($C266="","Commercial",$C266))),Variables!$B$1:$D$1,0),1))*AK266/365),""))</f>
        <v>33.196420994573892</v>
      </c>
      <c r="BI266" s="44">
        <f>IF($AX266="Cancelled","",IFERROR((W266*INDEX(Variables!$B$7:$D$7,IFERROR(MATCH(IF($B266="Robusta","Robusta",(IF($B266="","Arabica",$B266))&amp;" - "&amp;(IF($C266="","Commercial",$C266))),Variables!$B$1:$D$1,0),1))*BD266/365)+(L266/16.67*INDEX(Variables!$B$8:$D$8,IFERROR(MATCH(IF($B266="Robusta","Robusta",(IF($B266="","Arabica",$B266))&amp;" - "&amp;(IF($C266="","Commercial",$C266))),Variables!$B$1:$D$1,0),1))*BD266)+(W266*INDEX(Variables!$B$9:$D$9,IFERROR(MATCH(IF($B266="Robusta","Robusta",(IF($B266="","Arabica",$B266))&amp;" - "&amp;(IF($C266="","Commercial",$C266))),Variables!$B$1:$D$1,0),1))*BD266/365),""))</f>
        <v>20.747763121608681</v>
      </c>
      <c r="BJ266" s="44">
        <f t="shared" si="14"/>
        <v>-35</v>
      </c>
      <c r="BK266" s="44">
        <f>IF($AX266="Cancelled","",IFERROR(IF(BJ266="","",(W266*INDEX(Variables!$B$7:$D$7,IFERROR(MATCH(IF($B266="Robusta","Robusta",(IF($B266="","Arabica",$B266))&amp;" - "&amp;(IF($C266="","Commercial",$C266))),Variables!$B$1:$D$1,0),1))*(BJ266/365))+(W266*INDEX(Variables!$B$9:$D$9,IFERROR(MATCH(IF($B266="Robusta","Robusta",(IF($B266="","Arabica",$B266))&amp;" - "&amp;(IF($C266="","Commercial",$C266))),Variables!$B$1:$D$1,0),1))*(BJ266/365))+(INDEX(Variables!$B$8:$D$8,IFERROR(MATCH(IF($B266="Robusta","Robusta",(IF($B266="","Arabica",$B266))&amp;" - "&amp;(IF($C266="","Commercial",$C266))),Variables!$B$1:$D$1,0),1))*L266/16.67)),""))</f>
        <v>-94.83434185126076</v>
      </c>
    </row>
    <row r="267" spans="1:63">
      <c r="A267" s="13" t="s">
        <v>103</v>
      </c>
      <c r="B267" s="13" t="s">
        <v>104</v>
      </c>
      <c r="C267" s="13" t="s">
        <v>292</v>
      </c>
      <c r="D267" s="31">
        <v>45712</v>
      </c>
      <c r="E267" s="31">
        <v>45717</v>
      </c>
      <c r="F267" s="31">
        <v>45747</v>
      </c>
      <c r="G267" s="13">
        <v>3786754</v>
      </c>
      <c r="J267" s="13" t="s">
        <v>861</v>
      </c>
      <c r="K267" s="13" t="s">
        <v>880</v>
      </c>
      <c r="L267" s="13">
        <v>50</v>
      </c>
      <c r="M267" s="13">
        <v>0</v>
      </c>
      <c r="N267" s="13" t="s">
        <v>881</v>
      </c>
      <c r="O267" s="13" t="s">
        <v>297</v>
      </c>
      <c r="P267" s="13">
        <v>10010</v>
      </c>
      <c r="R267" s="13" t="s">
        <v>384</v>
      </c>
      <c r="S267" s="13" t="s">
        <v>437</v>
      </c>
      <c r="T267" s="13" t="s">
        <v>438</v>
      </c>
      <c r="U267" s="13" t="s">
        <v>182</v>
      </c>
      <c r="V267" s="13">
        <v>124.15</v>
      </c>
      <c r="W267" s="44">
        <f>IF($AX267="Cancelled","",IFERROR(((V267+INDEX(Variables!$B$6:$D$6,IFERROR(MATCH(IF($B267="Robusta","Robusta",(IF($B267="","Arabica",$B267))&amp;" - "&amp;(IF($C267="","Commercial",$C267))),Variables!$B$1:$D$1,0),1)))*22.0462)*(L267/16.67),""))</f>
        <v>27438.724325134968</v>
      </c>
      <c r="X267" s="55" t="s">
        <v>39</v>
      </c>
      <c r="Y267" s="13" t="str">
        <f>IF($AX267="Cancelled","",IF(X267="","",IFERROR(IF(INDEX(Variables!$B$38:$B$47,MATCH(X267,Variables!$A$38:$A$47,0))="Yes","Yes","No"),"No")))</f>
        <v>No</v>
      </c>
      <c r="Z267" s="31"/>
      <c r="AB267" s="31">
        <v>45702.875</v>
      </c>
      <c r="AC267" s="13" t="str">
        <f t="shared" si="12"/>
        <v>Approved</v>
      </c>
      <c r="AF267" s="71">
        <f>AJ267-7</f>
        <v>45765</v>
      </c>
      <c r="AG267" s="36">
        <f>IF($AX267="Cancelled","",IFERROR(IF(F267="","",F267-Variables!$B$13),""))</f>
        <v>45732</v>
      </c>
      <c r="AH267" s="13">
        <f>IF($AX267="Cancelled","",IFERROR(IF(AB267="","",(AVERAGE(E267:F267)-AB267)-Variables!$B$14),""))</f>
        <v>-0.875</v>
      </c>
      <c r="AJ267" s="47">
        <v>45772</v>
      </c>
      <c r="AK267" s="14">
        <f>IF($AX267="Cancelled","",IFERROR(IF(AJ267="","",IF(AND(AB267="",AF267=""),"",IF(AF267&gt;AB267,AF267+Variables!$B$15+Variables!$B$16+Variables!$B$17-AJ267,AB267+Variables!$B$16+Variables!$B$17-AJ267))),""))</f>
        <v>8</v>
      </c>
      <c r="AL267" s="48" t="s">
        <v>864</v>
      </c>
      <c r="AM267" s="13" t="s">
        <v>115</v>
      </c>
      <c r="AN267" s="13" t="s">
        <v>1045</v>
      </c>
      <c r="AP267" s="31">
        <v>45777</v>
      </c>
      <c r="AR267" s="13">
        <v>253228716</v>
      </c>
      <c r="AS267" s="31">
        <v>45782</v>
      </c>
      <c r="AU267" s="31">
        <v>45793</v>
      </c>
      <c r="AV267" s="13" t="s">
        <v>865</v>
      </c>
      <c r="AW267" s="31">
        <v>45793</v>
      </c>
      <c r="AX267" s="13" t="str">
        <f>IF(ISNUMBER(SEARCH("cancel",#REF!)),"Cancelled",IF(AND(AS267&lt;&gt;"",AU267&lt;&gt;"",AW267&lt;&gt;""),"Closed","Open"))</f>
        <v>Closed</v>
      </c>
      <c r="AY267" s="15" t="str">
        <f t="shared" si="13"/>
        <v>All dates received</v>
      </c>
      <c r="BD267" s="13">
        <f>IF($AX267="Cancelled","",IFERROR(IF(OR(AS267="",AJ267=""),"",(AJ267+Variables!$B$18-AS267)),""))</f>
        <v>5</v>
      </c>
      <c r="BE267" s="13">
        <f>IF($AX267="Cancelled","",IFERROR(IF(OR(AW267="",AS267=""),"",(AS267+Variables!$B$19)-AW267),""))</f>
        <v>-6</v>
      </c>
      <c r="BF267" s="44">
        <f>IF($AX267="Cancelled","",IFERROR(W267*INDEX(Variables!$B$7:$D$7,IFERROR(MATCH(IF($B267="Robusta","Robusta",(IF($B267="","Arabica",$B267))&amp;" - "&amp;(IF($C267="","Commercial",$C267))),Variables!$B$1:$D$1,0),1))*(BE267/365),""))</f>
        <v>-29.084536597450157</v>
      </c>
      <c r="BG267" s="44">
        <f>IF($AX267="Cancelled","",IFERROR((W267*INDEX(Variables!$B$7:$D$7,IFERROR(MATCH(IF($B267="Robusta","Robusta",(IF($B267="","Arabica",$B267))&amp;" - "&amp;(IF($C267="","Commercial",$C267))),Variables!$B$1:$D$1,0),1))*IFERROR(IF(AB267="","",(AVERAGE(E267:F267)-AB267)-Variables!$B$14),"")/365)+(L267/16.67*INDEX(Variables!$B$8:$D$8,IFERROR(MATCH(IF($B267="Robusta","Robusta",(IF($B267="","Arabica",$B267))&amp;" - "&amp;(IF($C267="","Commercial",$C267))),Variables!$B$1:$D$1,0),1))*IFERROR(IF(AB267="","",(AVERAGE(E267:F267)-AB267)-Variables!$B$14),""))+(W267*INDEX(Variables!$B$9:$D$9,IFERROR(MATCH(IF($B267="Robusta","Robusta",(IF($B267="","Arabica",$B267))&amp;" - "&amp;(IF($C267="","Commercial",$C267))),Variables!$B$1:$D$1,0),1))*IFERROR(IF(AB267="","",(AVERAGE(E267:F267)-AB267)-Variables!$B$14),"")/365),""))</f>
        <v>-6.4836759755027122</v>
      </c>
      <c r="BH267" s="44">
        <f>IF($AX267="Cancelled","",IFERROR((W267*INDEX(Variables!$B$7:$D$7,IFERROR(MATCH(IF($B267="Robusta","Robusta",(IF($B267="","Arabica",$B267))&amp;" - "&amp;(IF($C267="","Commercial",$C267))),Variables!$B$1:$D$1,0),1))*AK267/365)+(L267/16.67*INDEX(Variables!$B$8:$D$8,IFERROR(MATCH(IF($B267="Robusta","Robusta",(IF($B267="","Arabica",$B267))&amp;" - "&amp;(IF($C267="","Commercial",$C267))),Variables!$B$1:$D$1,0),1))*AK267)+(W267*INDEX(Variables!$B$9:$D$9,IFERROR(MATCH(IF($B267="Robusta","Robusta",(IF($B267="","Arabica",$B267))&amp;" - "&amp;(IF($C267="","Commercial",$C267))),Variables!$B$1:$D$1,0),1))*AK267/365),""))</f>
        <v>59.279323204596224</v>
      </c>
      <c r="BI267" s="44">
        <f>IF($AX267="Cancelled","",IFERROR((W267*INDEX(Variables!$B$7:$D$7,IFERROR(MATCH(IF($B267="Robusta","Robusta",(IF($B267="","Arabica",$B267))&amp;" - "&amp;(IF($C267="","Commercial",$C267))),Variables!$B$1:$D$1,0),1))*BD267/365)+(L267/16.67*INDEX(Variables!$B$8:$D$8,IFERROR(MATCH(IF($B267="Robusta","Robusta",(IF($B267="","Arabica",$B267))&amp;" - "&amp;(IF($C267="","Commercial",$C267))),Variables!$B$1:$D$1,0),1))*BD267)+(W267*INDEX(Variables!$B$9:$D$9,IFERROR(MATCH(IF($B267="Robusta","Robusta",(IF($B267="","Arabica",$B267))&amp;" - "&amp;(IF($C267="","Commercial",$C267))),Variables!$B$1:$D$1,0),1))*BD267/365),""))</f>
        <v>37.049577002872645</v>
      </c>
      <c r="BJ267" s="44">
        <f t="shared" si="14"/>
        <v>-35</v>
      </c>
      <c r="BK267" s="44">
        <f>IF($AX267="Cancelled","",IFERROR(IF(BJ267="","",(W267*INDEX(Variables!$B$7:$D$7,IFERROR(MATCH(IF($B267="Robusta","Robusta",(IF($B267="","Arabica",$B267))&amp;" - "&amp;(IF($C267="","Commercial",$C267))),Variables!$B$1:$D$1,0),1))*(BJ267/365))+(W267*INDEX(Variables!$B$9:$D$9,IFERROR(MATCH(IF($B267="Robusta","Robusta",(IF($B267="","Arabica",$B267))&amp;" - "&amp;(IF($C267="","Commercial",$C267))),Variables!$B$1:$D$1,0),1))*(BJ267/365))+(INDEX(Variables!$B$8:$D$8,IFERROR(MATCH(IF($B267="Robusta","Robusta",(IF($B267="","Arabica",$B267))&amp;" - "&amp;(IF($C267="","Commercial",$C267))),Variables!$B$1:$D$1,0),1))*L267/16.67)),""))</f>
        <v>-169.34703902010847</v>
      </c>
    </row>
    <row r="268" spans="1:63">
      <c r="A268" s="13" t="s">
        <v>103</v>
      </c>
      <c r="B268" s="13" t="s">
        <v>104</v>
      </c>
      <c r="C268" s="13" t="s">
        <v>292</v>
      </c>
      <c r="D268" s="31">
        <v>45712</v>
      </c>
      <c r="E268" s="31">
        <v>45717</v>
      </c>
      <c r="F268" s="31">
        <v>45747</v>
      </c>
      <c r="G268" s="13">
        <v>3786755</v>
      </c>
      <c r="J268" s="13" t="s">
        <v>861</v>
      </c>
      <c r="K268" s="13" t="s">
        <v>882</v>
      </c>
      <c r="L268" s="13">
        <v>23</v>
      </c>
      <c r="M268" s="13">
        <v>0</v>
      </c>
      <c r="N268" s="13" t="s">
        <v>883</v>
      </c>
      <c r="O268" s="13" t="s">
        <v>775</v>
      </c>
      <c r="P268" s="13">
        <v>10030</v>
      </c>
      <c r="R268" s="13" t="s">
        <v>384</v>
      </c>
      <c r="S268" s="13" t="s">
        <v>437</v>
      </c>
      <c r="T268" s="13" t="s">
        <v>438</v>
      </c>
      <c r="U268" s="13" t="s">
        <v>182</v>
      </c>
      <c r="V268" s="13">
        <v>106.15</v>
      </c>
      <c r="W268" s="44">
        <f>IF($AX268="Cancelled","",IFERROR(((V268+INDEX(Variables!$B$6:$D$6,IFERROR(MATCH(IF($B268="Robusta","Robusta",(IF($B268="","Arabica",$B268))&amp;" - "&amp;(IF($C268="","Commercial",$C268))),Variables!$B$1:$D$1,0),1)))*22.0462)*(L268/16.67),""))</f>
        <v>12074.295085182963</v>
      </c>
      <c r="X268" s="55" t="s">
        <v>39</v>
      </c>
      <c r="Y268" s="13" t="str">
        <f>IF($AX268="Cancelled","",IF(X268="","",IFERROR(IF(INDEX(Variables!$B$38:$B$47,MATCH(X268,Variables!$A$38:$A$47,0))="Yes","Yes","No"),"No")))</f>
        <v>No</v>
      </c>
      <c r="Z268" s="31"/>
      <c r="AB268" s="31">
        <v>45702.875</v>
      </c>
      <c r="AC268" s="13" t="str">
        <f t="shared" si="12"/>
        <v>Approved</v>
      </c>
      <c r="AF268" s="71">
        <f>AJ268-7</f>
        <v>45765</v>
      </c>
      <c r="AG268" s="36">
        <f>IF($AX268="Cancelled","",IFERROR(IF(F268="","",F268-Variables!$B$13),""))</f>
        <v>45732</v>
      </c>
      <c r="AH268" s="13">
        <f>IF($AX268="Cancelled","",IFERROR(IF(AB268="","",(AVERAGE(E268:F268)-AB268)-Variables!$B$14),""))</f>
        <v>-0.875</v>
      </c>
      <c r="AJ268" s="47">
        <v>45772</v>
      </c>
      <c r="AK268" s="14">
        <f>IF($AX268="Cancelled","",IFERROR(IF(AJ268="","",IF(AND(AB268="",AF268=""),"",IF(AF268&gt;AB268,AF268+Variables!$B$15+Variables!$B$16+Variables!$B$17-AJ268,AB268+Variables!$B$16+Variables!$B$17-AJ268))),""))</f>
        <v>8</v>
      </c>
      <c r="AL268" s="48" t="s">
        <v>864</v>
      </c>
      <c r="AM268" s="13" t="s">
        <v>115</v>
      </c>
      <c r="AN268" s="13" t="s">
        <v>1045</v>
      </c>
      <c r="AP268" s="31">
        <v>45777</v>
      </c>
      <c r="AR268" s="13">
        <v>253228716</v>
      </c>
      <c r="AS268" s="31">
        <v>45782</v>
      </c>
      <c r="AU268" s="31">
        <v>45793</v>
      </c>
      <c r="AV268" s="13" t="s">
        <v>865</v>
      </c>
      <c r="AW268" s="31">
        <v>45793</v>
      </c>
      <c r="AX268" s="13" t="str">
        <f>IF(ISNUMBER(SEARCH("cancel",#REF!)),"Cancelled",IF(AND(AS268&lt;&gt;"",AU268&lt;&gt;"",AW268&lt;&gt;""),"Closed","Open"))</f>
        <v>Closed</v>
      </c>
      <c r="AY268" s="15" t="str">
        <f t="shared" si="13"/>
        <v>All dates received</v>
      </c>
      <c r="BD268" s="13">
        <f>IF($AX268="Cancelled","",IFERROR(IF(OR(AS268="",AJ268=""),"",(AJ268+Variables!$B$18-AS268)),""))</f>
        <v>5</v>
      </c>
      <c r="BE268" s="13">
        <f>IF($AX268="Cancelled","",IFERROR(IF(OR(AW268="",AS268=""),"",(AS268+Variables!$B$19)-AW268),""))</f>
        <v>-6</v>
      </c>
      <c r="BF268" s="44">
        <f>IF($AX268="Cancelled","",IFERROR(W268*INDEX(Variables!$B$7:$D$7,IFERROR(MATCH(IF($B268="Robusta","Robusta",(IF($B268="","Arabica",$B268))&amp;" - "&amp;(IF($C268="","Commercial",$C268))),Variables!$B$1:$D$1,0),1))*(BE268/365),""))</f>
        <v>-12.798527844522491</v>
      </c>
      <c r="BG268" s="44">
        <f>IF($AX268="Cancelled","",IFERROR((W268*INDEX(Variables!$B$7:$D$7,IFERROR(MATCH(IF($B268="Robusta","Robusta",(IF($B268="","Arabica",$B268))&amp;" - "&amp;(IF($C268="","Commercial",$C268))),Variables!$B$1:$D$1,0),1))*IFERROR(IF(AB268="","",(AVERAGE(E268:F268)-AB268)-Variables!$B$14),"")/365)+(L268/16.67*INDEX(Variables!$B$8:$D$8,IFERROR(MATCH(IF($B268="Robusta","Robusta",(IF($B268="","Arabica",$B268))&amp;" - "&amp;(IF($C268="","Commercial",$C268))),Variables!$B$1:$D$1,0),1))*IFERROR(IF(AB268="","",(AVERAGE(E268:F268)-AB268)-Variables!$B$14),""))+(W268*INDEX(Variables!$B$9:$D$9,IFERROR(MATCH(IF($B268="Robusta","Robusta",(IF($B268="","Arabica",$B268))&amp;" - "&amp;(IF($C268="","Commercial",$C268))),Variables!$B$1:$D$1,0),1))*IFERROR(IF(AB268="","",(AVERAGE(E268:F268)-AB268)-Variables!$B$14),"")/365),""))</f>
        <v>-2.8967641453159865</v>
      </c>
      <c r="BH268" s="44">
        <f>IF($AX268="Cancelled","",IFERROR((W268*INDEX(Variables!$B$7:$D$7,IFERROR(MATCH(IF($B268="Robusta","Robusta",(IF($B268="","Arabica",$B268))&amp;" - "&amp;(IF($C268="","Commercial",$C268))),Variables!$B$1:$D$1,0),1))*AK268/365)+(L268/16.67*INDEX(Variables!$B$8:$D$8,IFERROR(MATCH(IF($B268="Robusta","Robusta",(IF($B268="","Arabica",$B268))&amp;" - "&amp;(IF($C268="","Commercial",$C268))),Variables!$B$1:$D$1,0),1))*AK268)+(W268*INDEX(Variables!$B$9:$D$9,IFERROR(MATCH(IF($B268="Robusta","Robusta",(IF($B268="","Arabica",$B268))&amp;" - "&amp;(IF($C268="","Commercial",$C268))),Variables!$B$1:$D$1,0),1))*AK268/365),""))</f>
        <v>26.484700757174739</v>
      </c>
      <c r="BI268" s="44">
        <f>IF($AX268="Cancelled","",IFERROR((W268*INDEX(Variables!$B$7:$D$7,IFERROR(MATCH(IF($B268="Robusta","Robusta",(IF($B268="","Arabica",$B268))&amp;" - "&amp;(IF($C268="","Commercial",$C268))),Variables!$B$1:$D$1,0),1))*BD268/365)+(L268/16.67*INDEX(Variables!$B$8:$D$8,IFERROR(MATCH(IF($B268="Robusta","Robusta",(IF($B268="","Arabica",$B268))&amp;" - "&amp;(IF($C268="","Commercial",$C268))),Variables!$B$1:$D$1,0),1))*BD268)+(W268*INDEX(Variables!$B$9:$D$9,IFERROR(MATCH(IF($B268="Robusta","Robusta",(IF($B268="","Arabica",$B268))&amp;" - "&amp;(IF($C268="","Commercial",$C268))),Variables!$B$1:$D$1,0),1))*BD268/365),""))</f>
        <v>16.552937973234211</v>
      </c>
      <c r="BJ268" s="44">
        <f t="shared" si="14"/>
        <v>-35</v>
      </c>
      <c r="BK268" s="44">
        <f>IF($AX268="Cancelled","",IFERROR(IF(BJ268="","",(W268*INDEX(Variables!$B$7:$D$7,IFERROR(MATCH(IF($B268="Robusta","Robusta",(IF($B268="","Arabica",$B268))&amp;" - "&amp;(IF($C268="","Commercial",$C268))),Variables!$B$1:$D$1,0),1))*(BJ268/365))+(W268*INDEX(Variables!$B$9:$D$9,IFERROR(MATCH(IF($B268="Robusta","Robusta",(IF($B268="","Arabica",$B268))&amp;" - "&amp;(IF($C268="","Commercial",$C268))),Variables!$B$1:$D$1,0),1))*(BJ268/365))+(INDEX(Variables!$B$8:$D$8,IFERROR(MATCH(IF($B268="Robusta","Robusta",(IF($B268="","Arabica",$B268))&amp;" - "&amp;(IF($C268="","Commercial",$C268))),Variables!$B$1:$D$1,0),1))*L268/16.67)),""))</f>
        <v>-74.470565812639478</v>
      </c>
    </row>
    <row r="269" spans="1:63">
      <c r="A269" s="13" t="s">
        <v>103</v>
      </c>
      <c r="B269" s="13" t="s">
        <v>104</v>
      </c>
      <c r="C269" s="13" t="s">
        <v>292</v>
      </c>
      <c r="D269" s="31">
        <v>45712</v>
      </c>
      <c r="E269" s="31">
        <v>45717</v>
      </c>
      <c r="F269" s="31">
        <v>45747</v>
      </c>
      <c r="G269" s="13">
        <v>3786756</v>
      </c>
      <c r="H269" s="13" t="s">
        <v>884</v>
      </c>
      <c r="J269" s="13" t="s">
        <v>447</v>
      </c>
      <c r="K269" s="13" t="s">
        <v>885</v>
      </c>
      <c r="L269" s="13">
        <v>20</v>
      </c>
      <c r="M269" s="13">
        <v>0</v>
      </c>
      <c r="N269" s="13" t="s">
        <v>886</v>
      </c>
      <c r="O269" s="13" t="s">
        <v>304</v>
      </c>
      <c r="P269" s="13">
        <v>10010</v>
      </c>
      <c r="R269" s="13" t="s">
        <v>239</v>
      </c>
      <c r="S269" s="13" t="s">
        <v>154</v>
      </c>
      <c r="T269" s="13" t="s">
        <v>155</v>
      </c>
      <c r="U269" s="13" t="s">
        <v>125</v>
      </c>
      <c r="V269" s="13">
        <v>60</v>
      </c>
      <c r="W269" s="44">
        <f>IF($AX269="Cancelled","",IFERROR(((V269+INDEX(Variables!$B$6:$D$6,IFERROR(MATCH(IF($B269="Robusta","Robusta",(IF($B269="","Arabica",$B269))&amp;" - "&amp;(IF($C269="","Commercial",$C269))),Variables!$B$1:$D$1,0),1)))*22.0462)*(L269/16.67),""))</f>
        <v>9278.7126094781033</v>
      </c>
      <c r="X269" s="55" t="s">
        <v>39</v>
      </c>
      <c r="Y269" s="13" t="str">
        <f>IF($AX269="Cancelled","",IF(X269="","",IFERROR(IF(INDEX(Variables!$B$38:$B$47,MATCH(X269,Variables!$A$38:$A$47,0))="Yes","Yes","No"),"No")))</f>
        <v>No</v>
      </c>
      <c r="Z269" s="31"/>
      <c r="AB269" s="31">
        <v>45702.875</v>
      </c>
      <c r="AC269" s="13" t="str">
        <f t="shared" si="12"/>
        <v>Approved</v>
      </c>
      <c r="AF269" s="71">
        <f>AJ269-7</f>
        <v>45741</v>
      </c>
      <c r="AG269" s="36">
        <f>IF($AX269="Cancelled","",IFERROR(IF(F269="","",F269-Variables!$B$13),""))</f>
        <v>45732</v>
      </c>
      <c r="AH269" s="13">
        <f>IF($AX269="Cancelled","",IFERROR(IF(AB269="","",(AVERAGE(E269:F269)-AB269)-Variables!$B$14),""))</f>
        <v>-0.875</v>
      </c>
      <c r="AJ269" s="47">
        <v>45748</v>
      </c>
      <c r="AK269" s="14">
        <f>IF($AX269="Cancelled","",IFERROR(IF(AJ269="","",IF(AND(AB269="",AF269=""),"",IF(AF269&gt;AB269,AF269+Variables!$B$15+Variables!$B$16+Variables!$B$17-AJ269,AB269+Variables!$B$16+Variables!$B$17-AJ269))),""))</f>
        <v>8</v>
      </c>
      <c r="AL269" s="48" t="s">
        <v>114</v>
      </c>
      <c r="AM269" s="13" t="s">
        <v>115</v>
      </c>
      <c r="AN269" s="13" t="s">
        <v>174</v>
      </c>
      <c r="AP269" s="31">
        <v>45749</v>
      </c>
      <c r="AR269" s="13">
        <v>252064493</v>
      </c>
      <c r="AS269" s="31">
        <v>45754</v>
      </c>
      <c r="AU269" s="31">
        <v>45758</v>
      </c>
      <c r="AV269" s="13" t="s">
        <v>865</v>
      </c>
      <c r="AW269" s="31">
        <v>45772</v>
      </c>
      <c r="AX269" s="13" t="str">
        <f>IF(ISNUMBER(SEARCH("cancel",#REF!)),"Cancelled",IF(AND(AS269&lt;&gt;"",AU269&lt;&gt;"",AW269&lt;&gt;""),"Closed","Open"))</f>
        <v>Closed</v>
      </c>
      <c r="AY269" s="15" t="str">
        <f t="shared" si="13"/>
        <v>All dates received</v>
      </c>
      <c r="BD269" s="13">
        <f>IF($AX269="Cancelled","",IFERROR(IF(OR(AS269="",AJ269=""),"",(AJ269+Variables!$B$18-AS269)),""))</f>
        <v>9</v>
      </c>
      <c r="BE269" s="13">
        <f>IF($AX269="Cancelled","",IFERROR(IF(OR(AW269="",AS269=""),"",(AS269+Variables!$B$19)-AW269),""))</f>
        <v>-13</v>
      </c>
      <c r="BF269" s="44">
        <f>IF($AX269="Cancelled","",IFERROR(W269*INDEX(Variables!$B$7:$D$7,IFERROR(MATCH(IF($B269="Robusta","Robusta",(IF($B269="","Arabica",$B269))&amp;" - "&amp;(IF($C269="","Commercial",$C269))),Variables!$B$1:$D$1,0),1))*(BE269/365),""))</f>
        <v>-21.309735421779607</v>
      </c>
      <c r="BG269" s="44">
        <f>IF($AX269="Cancelled","",IFERROR((W269*INDEX(Variables!$B$7:$D$7,IFERROR(MATCH(IF($B269="Robusta","Robusta",(IF($B269="","Arabica",$B269))&amp;" - "&amp;(IF($C269="","Commercial",$C269))),Variables!$B$1:$D$1,0),1))*IFERROR(IF(AB269="","",(AVERAGE(E269:F269)-AB269)-Variables!$B$14),"")/365)+(L269/16.67*INDEX(Variables!$B$8:$D$8,IFERROR(MATCH(IF($B269="Robusta","Robusta",(IF($B269="","Arabica",$B269))&amp;" - "&amp;(IF($C269="","Commercial",$C269))),Variables!$B$1:$D$1,0),1))*IFERROR(IF(AB269="","",(AVERAGE(E269:F269)-AB269)-Variables!$B$14),""))+(W269*INDEX(Variables!$B$9:$D$9,IFERROR(MATCH(IF($B269="Robusta","Robusta",(IF($B269="","Arabica",$B269))&amp;" - "&amp;(IF($C269="","Commercial",$C269))),Variables!$B$1:$D$1,0),1))*IFERROR(IF(AB269="","",(AVERAGE(E269:F269)-AB269)-Variables!$B$14),"")/365),""))</f>
        <v>-2.3278001274431634</v>
      </c>
      <c r="BH269" s="44">
        <f>IF($AX269="Cancelled","",IFERROR((W269*INDEX(Variables!$B$7:$D$7,IFERROR(MATCH(IF($B269="Robusta","Robusta",(IF($B269="","Arabica",$B269))&amp;" - "&amp;(IF($C269="","Commercial",$C269))),Variables!$B$1:$D$1,0),1))*AK269/365)+(L269/16.67*INDEX(Variables!$B$8:$D$8,IFERROR(MATCH(IF($B269="Robusta","Robusta",(IF($B269="","Arabica",$B269))&amp;" - "&amp;(IF($C269="","Commercial",$C269))),Variables!$B$1:$D$1,0),1))*AK269)+(W269*INDEX(Variables!$B$9:$D$9,IFERROR(MATCH(IF($B269="Robusta","Robusta",(IF($B269="","Arabica",$B269))&amp;" - "&amp;(IF($C269="","Commercial",$C269))),Variables!$B$1:$D$1,0),1))*AK269/365),""))</f>
        <v>21.282744022337493</v>
      </c>
      <c r="BI269" s="44">
        <f>IF($AX269="Cancelled","",IFERROR((W269*INDEX(Variables!$B$7:$D$7,IFERROR(MATCH(IF($B269="Robusta","Robusta",(IF($B269="","Arabica",$B269))&amp;" - "&amp;(IF($C269="","Commercial",$C269))),Variables!$B$1:$D$1,0),1))*BD269/365)+(L269/16.67*INDEX(Variables!$B$8:$D$8,IFERROR(MATCH(IF($B269="Robusta","Robusta",(IF($B269="","Arabica",$B269))&amp;" - "&amp;(IF($C269="","Commercial",$C269))),Variables!$B$1:$D$1,0),1))*BD269)+(W269*INDEX(Variables!$B$9:$D$9,IFERROR(MATCH(IF($B269="Robusta","Robusta",(IF($B269="","Arabica",$B269))&amp;" - "&amp;(IF($C269="","Commercial",$C269))),Variables!$B$1:$D$1,0),1))*BD269/365),""))</f>
        <v>23.943087025129682</v>
      </c>
      <c r="BJ269" s="44">
        <f t="shared" si="14"/>
        <v>-7</v>
      </c>
      <c r="BK269" s="44">
        <f>IF($AX269="Cancelled","",IFERROR(IF(BJ269="","",(W269*INDEX(Variables!$B$7:$D$7,IFERROR(MATCH(IF($B269="Robusta","Robusta",(IF($B269="","Arabica",$B269))&amp;" - "&amp;(IF($C269="","Commercial",$C269))),Variables!$B$1:$D$1,0),1))*(BJ269/365))+(W269*INDEX(Variables!$B$9:$D$9,IFERROR(MATCH(IF($B269="Robusta","Robusta",(IF($B269="","Arabica",$B269))&amp;" - "&amp;(IF($C269="","Commercial",$C269))),Variables!$B$1:$D$1,0),1))*(BJ269/365))+(INDEX(Variables!$B$8:$D$8,IFERROR(MATCH(IF($B269="Robusta","Robusta",(IF($B269="","Arabica",$B269))&amp;" - "&amp;(IF($C269="","Commercial",$C269))),Variables!$B$1:$D$1,0),1))*L269/16.67)),""))</f>
        <v>-10.622401019545306</v>
      </c>
    </row>
    <row r="270" spans="1:63">
      <c r="A270" s="13" t="s">
        <v>103</v>
      </c>
      <c r="B270" s="13" t="s">
        <v>104</v>
      </c>
      <c r="C270" s="13" t="s">
        <v>292</v>
      </c>
      <c r="D270" s="31">
        <v>45712</v>
      </c>
      <c r="E270" s="31">
        <v>45717</v>
      </c>
      <c r="F270" s="31">
        <v>45747</v>
      </c>
      <c r="G270" s="13">
        <v>3786757</v>
      </c>
      <c r="H270" s="13" t="s">
        <v>887</v>
      </c>
      <c r="J270" s="13" t="s">
        <v>447</v>
      </c>
      <c r="K270" s="13" t="s">
        <v>888</v>
      </c>
      <c r="L270" s="13">
        <v>20</v>
      </c>
      <c r="M270" s="13">
        <v>0</v>
      </c>
      <c r="N270" s="13" t="s">
        <v>886</v>
      </c>
      <c r="O270" s="13" t="s">
        <v>304</v>
      </c>
      <c r="P270" s="13">
        <v>10010</v>
      </c>
      <c r="R270" s="13" t="s">
        <v>239</v>
      </c>
      <c r="S270" s="13" t="s">
        <v>154</v>
      </c>
      <c r="T270" s="13" t="s">
        <v>155</v>
      </c>
      <c r="U270" s="13" t="s">
        <v>125</v>
      </c>
      <c r="V270" s="13">
        <v>68</v>
      </c>
      <c r="W270" s="44">
        <f>IF($AX270="Cancelled","",IFERROR(((V270+INDEX(Variables!$B$6:$D$6,IFERROR(MATCH(IF($B270="Robusta","Robusta",(IF($B270="","Arabica",$B270))&amp;" - "&amp;(IF($C270="","Commercial",$C270))),Variables!$B$1:$D$1,0),1)))*22.0462)*(L270/16.67),""))</f>
        <v>9490.3138092381505</v>
      </c>
      <c r="X270" s="55" t="s">
        <v>39</v>
      </c>
      <c r="Y270" s="13" t="str">
        <f>IF($AX270="Cancelled","",IF(X270="","",IFERROR(IF(INDEX(Variables!$B$38:$B$47,MATCH(X270,Variables!$A$38:$A$47,0))="Yes","Yes","No"),"No")))</f>
        <v>No</v>
      </c>
      <c r="Z270" s="31"/>
      <c r="AB270" s="31">
        <v>45702.875</v>
      </c>
      <c r="AC270" s="13" t="str">
        <f t="shared" si="12"/>
        <v>Approved</v>
      </c>
      <c r="AF270" s="71">
        <f>AJ270-7</f>
        <v>45741</v>
      </c>
      <c r="AG270" s="36">
        <f>IF($AX270="Cancelled","",IFERROR(IF(F270="","",F270-Variables!$B$13),""))</f>
        <v>45732</v>
      </c>
      <c r="AH270" s="13">
        <f>IF($AX270="Cancelled","",IFERROR(IF(AB270="","",(AVERAGE(E270:F270)-AB270)-Variables!$B$14),""))</f>
        <v>-0.875</v>
      </c>
      <c r="AJ270" s="47">
        <v>45748</v>
      </c>
      <c r="AK270" s="14">
        <f>IF($AX270="Cancelled","",IFERROR(IF(AJ270="","",IF(AND(AB270="",AF270=""),"",IF(AF270&gt;AB270,AF270+Variables!$B$15+Variables!$B$16+Variables!$B$17-AJ270,AB270+Variables!$B$16+Variables!$B$17-AJ270))),""))</f>
        <v>8</v>
      </c>
      <c r="AL270" s="48" t="s">
        <v>114</v>
      </c>
      <c r="AM270" s="13" t="s">
        <v>115</v>
      </c>
      <c r="AN270" s="13" t="s">
        <v>174</v>
      </c>
      <c r="AP270" s="31">
        <v>45749</v>
      </c>
      <c r="AR270" s="13">
        <v>252064493</v>
      </c>
      <c r="AS270" s="31">
        <v>45754</v>
      </c>
      <c r="AU270" s="31">
        <v>45758</v>
      </c>
      <c r="AV270" s="13" t="s">
        <v>865</v>
      </c>
      <c r="AW270" s="31">
        <v>45772</v>
      </c>
      <c r="AX270" s="13" t="str">
        <f>IF(ISNUMBER(SEARCH("cancel",#REF!)),"Cancelled",IF(AND(AS270&lt;&gt;"",AU270&lt;&gt;"",AW270&lt;&gt;""),"Closed","Open"))</f>
        <v>Closed</v>
      </c>
      <c r="AY270" s="15" t="str">
        <f t="shared" si="13"/>
        <v>All dates received</v>
      </c>
      <c r="BD270" s="13">
        <f>IF($AX270="Cancelled","",IFERROR(IF(OR(AS270="",AJ270=""),"",(AJ270+Variables!$B$18-AS270)),""))</f>
        <v>9</v>
      </c>
      <c r="BE270" s="13">
        <f>IF($AX270="Cancelled","",IFERROR(IF(OR(AW270="",AS270=""),"",(AS270+Variables!$B$19)-AW270),""))</f>
        <v>-13</v>
      </c>
      <c r="BF270" s="44">
        <f>IF($AX270="Cancelled","",IFERROR(W270*INDEX(Variables!$B$7:$D$7,IFERROR(MATCH(IF($B270="Robusta","Robusta",(IF($B270="","Arabica",$B270))&amp;" - "&amp;(IF($C270="","Commercial",$C270))),Variables!$B$1:$D$1,0),1))*(BE270/365),""))</f>
        <v>-21.79570430254995</v>
      </c>
      <c r="BG270" s="44">
        <f>IF($AX270="Cancelled","",IFERROR((W270*INDEX(Variables!$B$7:$D$7,IFERROR(MATCH(IF($B270="Robusta","Robusta",(IF($B270="","Arabica",$B270))&amp;" - "&amp;(IF($C270="","Commercial",$C270))),Variables!$B$1:$D$1,0),1))*IFERROR(IF(AB270="","",(AVERAGE(E270:F270)-AB270)-Variables!$B$14),"")/365)+(L270/16.67*INDEX(Variables!$B$8:$D$8,IFERROR(MATCH(IF($B270="Robusta","Robusta",(IF($B270="","Arabica",$B270))&amp;" - "&amp;(IF($C270="","Commercial",$C270))),Variables!$B$1:$D$1,0),1))*IFERROR(IF(AB270="","",(AVERAGE(E270:F270)-AB270)-Variables!$B$14),""))+(W270*INDEX(Variables!$B$9:$D$9,IFERROR(MATCH(IF($B270="Robusta","Robusta",(IF($B270="","Arabica",$B270))&amp;" - "&amp;(IF($C270="","Commercial",$C270))),Variables!$B$1:$D$1,0),1))*IFERROR(IF(AB270="","",(AVERAGE(E270:F270)-AB270)-Variables!$B$14),"")/365),""))</f>
        <v>-2.3609312591978528</v>
      </c>
      <c r="BH270" s="44">
        <f>IF($AX270="Cancelled","",IFERROR((W270*INDEX(Variables!$B$7:$D$7,IFERROR(MATCH(IF($B270="Robusta","Robusta",(IF($B270="","Arabica",$B270))&amp;" - "&amp;(IF($C270="","Commercial",$C270))),Variables!$B$1:$D$1,0),1))*AK270/365)+(L270/16.67*INDEX(Variables!$B$8:$D$8,IFERROR(MATCH(IF($B270="Robusta","Robusta",(IF($B270="","Arabica",$B270))&amp;" - "&amp;(IF($C270="","Commercial",$C270))),Variables!$B$1:$D$1,0),1))*AK270)+(W270*INDEX(Variables!$B$9:$D$9,IFERROR(MATCH(IF($B270="Robusta","Robusta",(IF($B270="","Arabica",$B270))&amp;" - "&amp;(IF($C270="","Commercial",$C270))),Variables!$B$1:$D$1,0),1))*AK270/365),""))</f>
        <v>21.585657226951803</v>
      </c>
      <c r="BI270" s="44">
        <f>IF($AX270="Cancelled","",IFERROR((W270*INDEX(Variables!$B$7:$D$7,IFERROR(MATCH(IF($B270="Robusta","Robusta",(IF($B270="","Arabica",$B270))&amp;" - "&amp;(IF($C270="","Commercial",$C270))),Variables!$B$1:$D$1,0),1))*BD270/365)+(L270/16.67*INDEX(Variables!$B$8:$D$8,IFERROR(MATCH(IF($B270="Robusta","Robusta",(IF($B270="","Arabica",$B270))&amp;" - "&amp;(IF($C270="","Commercial",$C270))),Variables!$B$1:$D$1,0),1))*BD270)+(W270*INDEX(Variables!$B$9:$D$9,IFERROR(MATCH(IF($B270="Robusta","Robusta",(IF($B270="","Arabica",$B270))&amp;" - "&amp;(IF($C270="","Commercial",$C270))),Variables!$B$1:$D$1,0),1))*BD270/365),""))</f>
        <v>24.283864380320779</v>
      </c>
      <c r="BJ270" s="44">
        <f t="shared" si="14"/>
        <v>-7</v>
      </c>
      <c r="BK270" s="44">
        <f>IF($AX270="Cancelled","",IFERROR(IF(BJ270="","",(W270*INDEX(Variables!$B$7:$D$7,IFERROR(MATCH(IF($B270="Robusta","Robusta",(IF($B270="","Arabica",$B270))&amp;" - "&amp;(IF($C270="","Commercial",$C270))),Variables!$B$1:$D$1,0),1))*(BJ270/365))+(W270*INDEX(Variables!$B$9:$D$9,IFERROR(MATCH(IF($B270="Robusta","Robusta",(IF($B270="","Arabica",$B270))&amp;" - "&amp;(IF($C270="","Commercial",$C270))),Variables!$B$1:$D$1,0),1))*(BJ270/365))+(INDEX(Variables!$B$8:$D$8,IFERROR(MATCH(IF($B270="Robusta","Robusta",(IF($B270="","Arabica",$B270))&amp;" - "&amp;(IF($C270="","Commercial",$C270))),Variables!$B$1:$D$1,0),1))*L270/16.67)),""))</f>
        <v>-10.887450073582826</v>
      </c>
    </row>
    <row r="271" spans="1:63">
      <c r="A271" s="13" t="s">
        <v>103</v>
      </c>
      <c r="B271" s="13" t="s">
        <v>104</v>
      </c>
      <c r="C271" s="13" t="s">
        <v>292</v>
      </c>
      <c r="D271" s="31">
        <v>45712</v>
      </c>
      <c r="E271" s="31">
        <v>45717</v>
      </c>
      <c r="F271" s="31">
        <v>45747</v>
      </c>
      <c r="G271" s="13">
        <v>3786758</v>
      </c>
      <c r="H271" s="13" t="s">
        <v>889</v>
      </c>
      <c r="J271" s="13" t="s">
        <v>447</v>
      </c>
      <c r="K271" s="13" t="s">
        <v>890</v>
      </c>
      <c r="L271" s="13">
        <v>111</v>
      </c>
      <c r="M271" s="13">
        <v>0</v>
      </c>
      <c r="N271" s="13" t="s">
        <v>891</v>
      </c>
      <c r="O271" s="13" t="s">
        <v>576</v>
      </c>
      <c r="P271" s="13">
        <v>10020</v>
      </c>
      <c r="R271" s="13" t="s">
        <v>239</v>
      </c>
      <c r="S271" s="13" t="s">
        <v>154</v>
      </c>
      <c r="T271" s="13" t="s">
        <v>155</v>
      </c>
      <c r="U271" s="13" t="s">
        <v>125</v>
      </c>
      <c r="V271" s="13">
        <v>59</v>
      </c>
      <c r="W271" s="44">
        <f>IF($AX271="Cancelled","",IFERROR(((V271+INDEX(Variables!$B$6:$D$6,IFERROR(MATCH(IF($B271="Robusta","Robusta",(IF($B271="","Arabica",$B271))&amp;" - "&amp;(IF($C271="","Commercial",$C271))),Variables!$B$1:$D$1,0),1)))*22.0462)*(L271/16.67),""))</f>
        <v>51350.056650269944</v>
      </c>
      <c r="X271" s="55" t="s">
        <v>39</v>
      </c>
      <c r="Y271" s="13" t="str">
        <f>IF($AX271="Cancelled","",IF(X271="","",IFERROR(IF(INDEX(Variables!$B$38:$B$47,MATCH(X271,Variables!$A$38:$A$47,0))="Yes","Yes","No"),"No")))</f>
        <v>No</v>
      </c>
      <c r="Z271" s="31"/>
      <c r="AB271" s="31">
        <v>45702.875</v>
      </c>
      <c r="AC271" s="13" t="str">
        <f t="shared" si="12"/>
        <v>Approved</v>
      </c>
      <c r="AF271" s="71">
        <f>AJ271-7</f>
        <v>45741</v>
      </c>
      <c r="AG271" s="36">
        <f>IF($AX271="Cancelled","",IFERROR(IF(F271="","",F271-Variables!$B$13),""))</f>
        <v>45732</v>
      </c>
      <c r="AH271" s="13">
        <f>IF($AX271="Cancelled","",IFERROR(IF(AB271="","",(AVERAGE(E271:F271)-AB271)-Variables!$B$14),""))</f>
        <v>-0.875</v>
      </c>
      <c r="AJ271" s="47">
        <v>45748</v>
      </c>
      <c r="AK271" s="14">
        <f>IF($AX271="Cancelled","",IFERROR(IF(AJ271="","",IF(AND(AB271="",AF271=""),"",IF(AF271&gt;AB271,AF271+Variables!$B$15+Variables!$B$16+Variables!$B$17-AJ271,AB271+Variables!$B$16+Variables!$B$17-AJ271))),""))</f>
        <v>8</v>
      </c>
      <c r="AL271" s="48" t="s">
        <v>114</v>
      </c>
      <c r="AM271" s="13" t="s">
        <v>115</v>
      </c>
      <c r="AN271" s="13" t="s">
        <v>174</v>
      </c>
      <c r="AP271" s="31">
        <v>45749</v>
      </c>
      <c r="AR271" s="13">
        <v>252064493</v>
      </c>
      <c r="AS271" s="31">
        <v>45754</v>
      </c>
      <c r="AU271" s="31">
        <v>45758</v>
      </c>
      <c r="AV271" s="13" t="s">
        <v>865</v>
      </c>
      <c r="AW271" s="31">
        <v>45772</v>
      </c>
      <c r="AX271" s="13" t="str">
        <f>IF(ISNUMBER(SEARCH("cancel",#REF!)),"Cancelled",IF(AND(AS271&lt;&gt;"",AU271&lt;&gt;"",AW271&lt;&gt;""),"Closed","Open"))</f>
        <v>Closed</v>
      </c>
      <c r="AY271" s="15" t="str">
        <f t="shared" si="13"/>
        <v>All dates received</v>
      </c>
      <c r="BD271" s="13">
        <f>IF($AX271="Cancelled","",IFERROR(IF(OR(AS271="",AJ271=""),"",(AJ271+Variables!$B$18-AS271)),""))</f>
        <v>9</v>
      </c>
      <c r="BE271" s="13">
        <f>IF($AX271="Cancelled","",IFERROR(IF(OR(AW271="",AS271=""),"",(AS271+Variables!$B$19)-AW271),""))</f>
        <v>-13</v>
      </c>
      <c r="BF271" s="44">
        <f>IF($AX271="Cancelled","",IFERROR(W271*INDEX(Variables!$B$7:$D$7,IFERROR(MATCH(IF($B271="Robusta","Robusta",(IF($B271="","Arabica",$B271))&amp;" - "&amp;(IF($C271="","Commercial",$C271))),Variables!$B$1:$D$1,0),1))*(BE271/365),""))</f>
        <v>-117.9318906798424</v>
      </c>
      <c r="BG271" s="44">
        <f>IF($AX271="Cancelled","",IFERROR((W271*INDEX(Variables!$B$7:$D$7,IFERROR(MATCH(IF($B271="Robusta","Robusta",(IF($B271="","Arabica",$B271))&amp;" - "&amp;(IF($C271="","Commercial",$C271))),Variables!$B$1:$D$1,0),1))*IFERROR(IF(AB271="","",(AVERAGE(E271:F271)-AB271)-Variables!$B$14),"")/365)+(L271/16.67*INDEX(Variables!$B$8:$D$8,IFERROR(MATCH(IF($B271="Robusta","Robusta",(IF($B271="","Arabica",$B271))&amp;" - "&amp;(IF($C271="","Commercial",$C271))),Variables!$B$1:$D$1,0),1))*IFERROR(IF(AB271="","",(AVERAGE(E271:F271)-AB271)-Variables!$B$14),""))+(W271*INDEX(Variables!$B$9:$D$9,IFERROR(MATCH(IF($B271="Robusta","Robusta",(IF($B271="","Arabica",$B271))&amp;" - "&amp;(IF($C271="","Commercial",$C271))),Variables!$B$1:$D$1,0),1))*IFERROR(IF(AB271="","",(AVERAGE(E271:F271)-AB271)-Variables!$B$14),"")/365),""))</f>
        <v>-12.896305984654742</v>
      </c>
      <c r="BH271" s="44">
        <f>IF($AX271="Cancelled","",IFERROR((W271*INDEX(Variables!$B$7:$D$7,IFERROR(MATCH(IF($B271="Robusta","Robusta",(IF($B271="","Arabica",$B271))&amp;" - "&amp;(IF($C271="","Commercial",$C271))),Variables!$B$1:$D$1,0),1))*AK271/365)+(L271/16.67*INDEX(Variables!$B$8:$D$8,IFERROR(MATCH(IF($B271="Robusta","Robusta",(IF($B271="","Arabica",$B271))&amp;" - "&amp;(IF($C271="","Commercial",$C271))),Variables!$B$1:$D$1,0),1))*AK271)+(W271*INDEX(Variables!$B$9:$D$9,IFERROR(MATCH(IF($B271="Robusta","Robusta",(IF($B271="","Arabica",$B271))&amp;" - "&amp;(IF($C271="","Commercial",$C271))),Variables!$B$1:$D$1,0),1))*AK271/365),""))</f>
        <v>117.90908328827193</v>
      </c>
      <c r="BI271" s="44">
        <f>IF($AX271="Cancelled","",IFERROR((W271*INDEX(Variables!$B$7:$D$7,IFERROR(MATCH(IF($B271="Robusta","Robusta",(IF($B271="","Arabica",$B271))&amp;" - "&amp;(IF($C271="","Commercial",$C271))),Variables!$B$1:$D$1,0),1))*BD271/365)+(L271/16.67*INDEX(Variables!$B$8:$D$8,IFERROR(MATCH(IF($B271="Robusta","Robusta",(IF($B271="","Arabica",$B271))&amp;" - "&amp;(IF($C271="","Commercial",$C271))),Variables!$B$1:$D$1,0),1))*BD271)+(W271*INDEX(Variables!$B$9:$D$9,IFERROR(MATCH(IF($B271="Robusta","Robusta",(IF($B271="","Arabica",$B271))&amp;" - "&amp;(IF($C271="","Commercial",$C271))),Variables!$B$1:$D$1,0),1))*BD271/365),""))</f>
        <v>132.6477186993059</v>
      </c>
      <c r="BJ271" s="44">
        <f t="shared" si="14"/>
        <v>-7</v>
      </c>
      <c r="BK271" s="44">
        <f>IF($AX271="Cancelled","",IFERROR(IF(BJ271="","",(W271*INDEX(Variables!$B$7:$D$7,IFERROR(MATCH(IF($B271="Robusta","Robusta",(IF($B271="","Arabica",$B271))&amp;" - "&amp;(IF($C271="","Commercial",$C271))),Variables!$B$1:$D$1,0),1))*(BJ271/365))+(W271*INDEX(Variables!$B$9:$D$9,IFERROR(MATCH(IF($B271="Robusta","Robusta",(IF($B271="","Arabica",$B271))&amp;" - "&amp;(IF($C271="","Commercial",$C271))),Variables!$B$1:$D$1,0),1))*(BJ271/365))+(INDEX(Variables!$B$8:$D$8,IFERROR(MATCH(IF($B271="Robusta","Robusta",(IF($B271="","Arabica",$B271))&amp;" - "&amp;(IF($C271="","Commercial",$C271))),Variables!$B$1:$D$1,0),1))*L271/16.67)),""))</f>
        <v>-58.770447877237942</v>
      </c>
    </row>
    <row r="272" spans="1:63">
      <c r="A272" s="13" t="s">
        <v>103</v>
      </c>
      <c r="B272" s="13" t="s">
        <v>104</v>
      </c>
      <c r="C272" s="13" t="s">
        <v>292</v>
      </c>
      <c r="D272" s="31">
        <v>45712</v>
      </c>
      <c r="E272" s="31">
        <v>45717</v>
      </c>
      <c r="F272" s="31">
        <v>45747</v>
      </c>
      <c r="G272" s="13">
        <v>3786759</v>
      </c>
      <c r="H272" s="13" t="s">
        <v>892</v>
      </c>
      <c r="J272" s="13" t="s">
        <v>447</v>
      </c>
      <c r="K272" s="13" t="s">
        <v>893</v>
      </c>
      <c r="L272" s="13">
        <v>60</v>
      </c>
      <c r="M272" s="13">
        <v>0</v>
      </c>
      <c r="N272" s="13" t="s">
        <v>891</v>
      </c>
      <c r="O272" s="13" t="s">
        <v>576</v>
      </c>
      <c r="P272" s="13">
        <v>10020</v>
      </c>
      <c r="R272" s="13" t="s">
        <v>239</v>
      </c>
      <c r="S272" s="13" t="s">
        <v>154</v>
      </c>
      <c r="T272" s="13" t="s">
        <v>155</v>
      </c>
      <c r="U272" s="13" t="s">
        <v>125</v>
      </c>
      <c r="V272" s="13">
        <v>46</v>
      </c>
      <c r="W272" s="44">
        <f>IF($AX272="Cancelled","",IFERROR(((V272+INDEX(Variables!$B$6:$D$6,IFERROR(MATCH(IF($B272="Robusta","Robusta",(IF($B272="","Arabica",$B272))&amp;" - "&amp;(IF($C272="","Commercial",$C272))),Variables!$B$1:$D$1,0),1)))*22.0462)*(L272/16.67),""))</f>
        <v>26725.231529694058</v>
      </c>
      <c r="X272" s="55" t="s">
        <v>39</v>
      </c>
      <c r="Y272" s="13" t="str">
        <f>IF($AX272="Cancelled","",IF(X272="","",IFERROR(IF(INDEX(Variables!$B$38:$B$47,MATCH(X272,Variables!$A$38:$A$47,0))="Yes","Yes","No"),"No")))</f>
        <v>No</v>
      </c>
      <c r="Z272" s="31"/>
      <c r="AB272" s="31">
        <v>45702.875</v>
      </c>
      <c r="AC272" s="13" t="str">
        <f t="shared" si="12"/>
        <v>Approved</v>
      </c>
      <c r="AF272" s="71">
        <f>AJ272-7</f>
        <v>45741</v>
      </c>
      <c r="AG272" s="36">
        <f>IF($AX272="Cancelled","",IFERROR(IF(F272="","",F272-Variables!$B$13),""))</f>
        <v>45732</v>
      </c>
      <c r="AH272" s="13">
        <f>IF($AX272="Cancelled","",IFERROR(IF(AB272="","",(AVERAGE(E272:F272)-AB272)-Variables!$B$14),""))</f>
        <v>-0.875</v>
      </c>
      <c r="AJ272" s="47">
        <v>45748</v>
      </c>
      <c r="AK272" s="14">
        <f>IF($AX272="Cancelled","",IFERROR(IF(AJ272="","",IF(AND(AB272="",AF272=""),"",IF(AF272&gt;AB272,AF272+Variables!$B$15+Variables!$B$16+Variables!$B$17-AJ272,AB272+Variables!$B$16+Variables!$B$17-AJ272))),""))</f>
        <v>8</v>
      </c>
      <c r="AL272" s="48" t="s">
        <v>114</v>
      </c>
      <c r="AM272" s="13" t="s">
        <v>115</v>
      </c>
      <c r="AN272" s="13" t="s">
        <v>174</v>
      </c>
      <c r="AP272" s="31">
        <v>45749</v>
      </c>
      <c r="AR272" s="13">
        <v>252064493</v>
      </c>
      <c r="AS272" s="31">
        <v>45754</v>
      </c>
      <c r="AU272" s="31">
        <v>45758</v>
      </c>
      <c r="AV272" s="13" t="s">
        <v>865</v>
      </c>
      <c r="AW272" s="31">
        <v>45772</v>
      </c>
      <c r="AX272" s="13" t="str">
        <f>IF(ISNUMBER(SEARCH("cancel",#REF!)),"Cancelled",IF(AND(AS272&lt;&gt;"",AU272&lt;&gt;"",AW272&lt;&gt;""),"Closed","Open"))</f>
        <v>Closed</v>
      </c>
      <c r="AY272" s="15" t="str">
        <f t="shared" si="13"/>
        <v>All dates received</v>
      </c>
      <c r="BD272" s="13">
        <f>IF($AX272="Cancelled","",IFERROR(IF(OR(AS272="",AJ272=""),"",(AJ272+Variables!$B$18-AS272)),""))</f>
        <v>9</v>
      </c>
      <c r="BE272" s="13">
        <f>IF($AX272="Cancelled","",IFERROR(IF(OR(AW272="",AS272=""),"",(AS272+Variables!$B$19)-AW272),""))</f>
        <v>-13</v>
      </c>
      <c r="BF272" s="44">
        <f>IF($AX272="Cancelled","",IFERROR(W272*INDEX(Variables!$B$7:$D$7,IFERROR(MATCH(IF($B272="Robusta","Robusta",(IF($B272="","Arabica",$B272))&amp;" - "&amp;(IF($C272="","Commercial",$C272))),Variables!$B$1:$D$1,0),1))*(BE272/365),""))</f>
        <v>-61.37786964129451</v>
      </c>
      <c r="BG272" s="44">
        <f>IF($AX272="Cancelled","",IFERROR((W272*INDEX(Variables!$B$7:$D$7,IFERROR(MATCH(IF($B272="Robusta","Robusta",(IF($B272="","Arabica",$B272))&amp;" - "&amp;(IF($C272="","Commercial",$C272))),Variables!$B$1:$D$1,0),1))*IFERROR(IF(AB272="","",(AVERAGE(E272:F272)-AB272)-Variables!$B$14),"")/365)+(L272/16.67*INDEX(Variables!$B$8:$D$8,IFERROR(MATCH(IF($B272="Robusta","Robusta",(IF($B272="","Arabica",$B272))&amp;" - "&amp;(IF($C272="","Commercial",$C272))),Variables!$B$1:$D$1,0),1))*IFERROR(IF(AB272="","",(AVERAGE(E272:F272)-AB272)-Variables!$B$14),""))+(W272*INDEX(Variables!$B$9:$D$9,IFERROR(MATCH(IF($B272="Robusta","Robusta",(IF($B272="","Arabica",$B272))&amp;" - "&amp;(IF($C272="","Commercial",$C272))),Variables!$B$1:$D$1,0),1))*IFERROR(IF(AB272="","",(AVERAGE(E272:F272)-AB272)-Variables!$B$14),"")/365),""))</f>
        <v>-6.809461940617366</v>
      </c>
      <c r="BH272" s="44">
        <f>IF($AX272="Cancelled","",IFERROR((W272*INDEX(Variables!$B$7:$D$7,IFERROR(MATCH(IF($B272="Robusta","Robusta",(IF($B272="","Arabica",$B272))&amp;" - "&amp;(IF($C272="","Commercial",$C272))),Variables!$B$1:$D$1,0),1))*AK272/365)+(L272/16.67*INDEX(Variables!$B$8:$D$8,IFERROR(MATCH(IF($B272="Robusta","Robusta",(IF($B272="","Arabica",$B272))&amp;" - "&amp;(IF($C272="","Commercial",$C272))),Variables!$B$1:$D$1,0),1))*AK272)+(W272*INDEX(Variables!$B$9:$D$9,IFERROR(MATCH(IF($B272="Robusta","Robusta",(IF($B272="","Arabica",$B272))&amp;" - "&amp;(IF($C272="","Commercial",$C272))),Variables!$B$1:$D$1,0),1))*AK272/365),""))</f>
        <v>62.257937742787348</v>
      </c>
      <c r="BI272" s="44">
        <f>IF($AX272="Cancelled","",IFERROR((W272*INDEX(Variables!$B$7:$D$7,IFERROR(MATCH(IF($B272="Robusta","Robusta",(IF($B272="","Arabica",$B272))&amp;" - "&amp;(IF($C272="","Commercial",$C272))),Variables!$B$1:$D$1,0),1))*BD272/365)+(L272/16.67*INDEX(Variables!$B$8:$D$8,IFERROR(MATCH(IF($B272="Robusta","Robusta",(IF($B272="","Arabica",$B272))&amp;" - "&amp;(IF($C272="","Commercial",$C272))),Variables!$B$1:$D$1,0),1))*BD272)+(W272*INDEX(Variables!$B$9:$D$9,IFERROR(MATCH(IF($B272="Robusta","Robusta",(IF($B272="","Arabica",$B272))&amp;" - "&amp;(IF($C272="","Commercial",$C272))),Variables!$B$1:$D$1,0),1))*BD272/365),""))</f>
        <v>70.040179960635783</v>
      </c>
      <c r="BJ272" s="44">
        <f t="shared" si="14"/>
        <v>-7</v>
      </c>
      <c r="BK272" s="44">
        <f>IF($AX272="Cancelled","",IFERROR(IF(BJ272="","",(W272*INDEX(Variables!$B$7:$D$7,IFERROR(MATCH(IF($B272="Robusta","Robusta",(IF($B272="","Arabica",$B272))&amp;" - "&amp;(IF($C272="","Commercial",$C272))),Variables!$B$1:$D$1,0),1))*(BJ272/365))+(W272*INDEX(Variables!$B$9:$D$9,IFERROR(MATCH(IF($B272="Robusta","Robusta",(IF($B272="","Arabica",$B272))&amp;" - "&amp;(IF($C272="","Commercial",$C272))),Variables!$B$1:$D$1,0),1))*(BJ272/365))+(INDEX(Variables!$B$8:$D$8,IFERROR(MATCH(IF($B272="Robusta","Robusta",(IF($B272="","Arabica",$B272))&amp;" - "&amp;(IF($C272="","Commercial",$C272))),Variables!$B$1:$D$1,0),1))*L272/16.67)),""))</f>
        <v>-30.475695524938935</v>
      </c>
    </row>
    <row r="273" spans="1:63">
      <c r="A273" s="13" t="s">
        <v>103</v>
      </c>
      <c r="B273" s="13" t="s">
        <v>104</v>
      </c>
      <c r="C273" s="13" t="s">
        <v>105</v>
      </c>
      <c r="D273" s="31">
        <v>45713</v>
      </c>
      <c r="E273" s="31">
        <v>45778</v>
      </c>
      <c r="F273" s="31">
        <v>45808</v>
      </c>
      <c r="G273" s="13">
        <v>3786760</v>
      </c>
      <c r="H273" s="13">
        <v>25.177</v>
      </c>
      <c r="J273" s="13" t="s">
        <v>454</v>
      </c>
      <c r="K273" s="13">
        <v>5252</v>
      </c>
      <c r="L273" s="13">
        <v>1440</v>
      </c>
      <c r="M273" s="13">
        <v>4</v>
      </c>
      <c r="N273" s="13" t="s">
        <v>894</v>
      </c>
      <c r="O273" s="13" t="s">
        <v>456</v>
      </c>
      <c r="P273" s="13">
        <v>10140</v>
      </c>
      <c r="R273" s="13" t="s">
        <v>122</v>
      </c>
      <c r="S273" s="13" t="s">
        <v>457</v>
      </c>
      <c r="T273" s="13" t="s">
        <v>458</v>
      </c>
      <c r="U273" s="13" t="s">
        <v>125</v>
      </c>
      <c r="V273" s="13">
        <v>15</v>
      </c>
      <c r="W273" s="44">
        <f>IF($AX273="Cancelled","",IFERROR(((V273+INDEX(Variables!$B$6:$D$6,IFERROR(MATCH(IF($B273="Robusta","Robusta",(IF($B273="","Arabica",$B273))&amp;" - "&amp;(IF($C273="","Commercial",$C273))),Variables!$B$1:$D$1,0),1)))*22.0462)*(L273/16.67),""))</f>
        <v>582368.82197960408</v>
      </c>
      <c r="X273" s="55" t="s">
        <v>37</v>
      </c>
      <c r="Y273" s="13" t="str">
        <f>IF($AX273="Cancelled","",IF(X273="","",IFERROR(IF(INDEX(Variables!$B$38:$B$47,MATCH(X273,Variables!$A$38:$A$47,0))="Yes","Yes","No"),"No")))</f>
        <v>Yes</v>
      </c>
      <c r="Z273" s="58">
        <v>45758</v>
      </c>
      <c r="AB273" s="31">
        <v>45761</v>
      </c>
      <c r="AC273" s="13" t="str">
        <f t="shared" si="12"/>
        <v>Approved</v>
      </c>
      <c r="AF273" s="71">
        <f>AJ273-7</f>
        <v>45782</v>
      </c>
      <c r="AG273" s="35">
        <f>IF($AX273="Cancelled","",IFERROR(IF(F273="","",F273-Variables!$B$13),""))</f>
        <v>45793</v>
      </c>
      <c r="AH273" s="13">
        <f>IF($AX273="Cancelled","",IFERROR(IF(AB273="","",(AVERAGE(E273:F273)-AB273)-Variables!$B$14),""))</f>
        <v>2</v>
      </c>
      <c r="AJ273" s="47">
        <v>45789</v>
      </c>
      <c r="AK273" s="14">
        <f>IF($AX273="Cancelled","",IFERROR(IF(AJ273="","",IF(AND(AB273="",AF273=""),"",IF(AF273&gt;AB273,AF273+Variables!$B$15+Variables!$B$16+Variables!$B$17-AJ273,AB273+Variables!$B$16+Variables!$B$17-AJ273))),""))</f>
        <v>8</v>
      </c>
      <c r="AL273" s="48" t="s">
        <v>114</v>
      </c>
      <c r="AM273" s="13" t="s">
        <v>115</v>
      </c>
      <c r="AN273" s="13" t="s">
        <v>281</v>
      </c>
      <c r="AP273" s="31">
        <v>45798</v>
      </c>
      <c r="AR273" s="13">
        <v>253483082</v>
      </c>
      <c r="AS273" s="31">
        <v>45798</v>
      </c>
      <c r="AU273" s="31">
        <v>45800</v>
      </c>
      <c r="AV273" s="13" t="s">
        <v>865</v>
      </c>
      <c r="AW273" s="31">
        <v>45800</v>
      </c>
      <c r="AX273" s="13" t="str">
        <f>IF(ISNUMBER(SEARCH("cancel",#REF!)),"Cancelled",IF(AND(AS273&lt;&gt;"",AU273&lt;&gt;"",AW273&lt;&gt;""),"Closed","Open"))</f>
        <v>Closed</v>
      </c>
      <c r="AY273" s="15" t="str">
        <f t="shared" si="13"/>
        <v>All dates received</v>
      </c>
      <c r="BD273" s="13">
        <f>IF($AX273="Cancelled","",IFERROR(IF(OR(AS273="",AJ273=""),"",(AJ273+Variables!$B$18-AS273)),""))</f>
        <v>6</v>
      </c>
      <c r="BE273" s="13">
        <f>IF($AX273="Cancelled","",IFERROR(IF(OR(AW273="",AS273=""),"",(AS273+Variables!$B$19)-AW273),""))</f>
        <v>3</v>
      </c>
      <c r="BF273" s="44">
        <f>IF($AX273="Cancelled","",IFERROR(W273*INDEX(Variables!$B$7:$D$7,IFERROR(MATCH(IF($B273="Robusta","Robusta",(IF($B273="","Arabica",$B273))&amp;" - "&amp;(IF($C273="","Commercial",$C273))),Variables!$B$1:$D$1,0),1))*(BE273/365),""))</f>
        <v>308.65005084372518</v>
      </c>
      <c r="BG273" s="44">
        <f>IF($AX273="Cancelled","",IFERROR((W273*INDEX(Variables!$B$7:$D$7,IFERROR(MATCH(IF($B273="Robusta","Robusta",(IF($B273="","Arabica",$B273))&amp;" - "&amp;(IF($C273="","Commercial",$C273))),Variables!$B$1:$D$1,0),1))*IFERROR(IF(AB273="","",(AVERAGE(E273:F273)-AB273)-Variables!$B$14),"")/365)+(L273/16.67*INDEX(Variables!$B$8:$D$8,IFERROR(MATCH(IF($B273="Robusta","Robusta",(IF($B273="","Arabica",$B273))&amp;" - "&amp;(IF($C273="","Commercial",$C273))),Variables!$B$1:$D$1,0),1))*IFERROR(IF(AB273="","",(AVERAGE(E273:F273)-AB273)-Variables!$B$14),""))+(W273*INDEX(Variables!$B$9:$D$9,IFERROR(MATCH(IF($B273="Robusta","Robusta",(IF($B273="","Arabica",$B273))&amp;" - "&amp;(IF($C273="","Commercial",$C273))),Variables!$B$1:$D$1,0),1))*IFERROR(IF(AB273="","",(AVERAGE(E273:F273)-AB273)-Variables!$B$14),"")/365),""))</f>
        <v>352.41943043487606</v>
      </c>
      <c r="BH273" s="44">
        <f>IF($AX273="Cancelled","",IFERROR((W273*INDEX(Variables!$B$7:$D$7,IFERROR(MATCH(IF($B273="Robusta","Robusta",(IF($B273="","Arabica",$B273))&amp;" - "&amp;(IF($C273="","Commercial",$C273))),Variables!$B$1:$D$1,0),1))*AK273/365)+(L273/16.67*INDEX(Variables!$B$8:$D$8,IFERROR(MATCH(IF($B273="Robusta","Robusta",(IF($B273="","Arabica",$B273))&amp;" - "&amp;(IF($C273="","Commercial",$C273))),Variables!$B$1:$D$1,0),1))*AK273)+(W273*INDEX(Variables!$B$9:$D$9,IFERROR(MATCH(IF($B273="Robusta","Robusta",(IF($B273="","Arabica",$B273))&amp;" - "&amp;(IF($C273="","Commercial",$C273))),Variables!$B$1:$D$1,0),1))*AK273/365),""))</f>
        <v>1409.6777217395042</v>
      </c>
      <c r="BI273" s="44">
        <f>IF($AX273="Cancelled","",IFERROR((W273*INDEX(Variables!$B$7:$D$7,IFERROR(MATCH(IF($B273="Robusta","Robusta",(IF($B273="","Arabica",$B273))&amp;" - "&amp;(IF($C273="","Commercial",$C273))),Variables!$B$1:$D$1,0),1))*BD273/365)+(L273/16.67*INDEX(Variables!$B$8:$D$8,IFERROR(MATCH(IF($B273="Robusta","Robusta",(IF($B273="","Arabica",$B273))&amp;" - "&amp;(IF($C273="","Commercial",$C273))),Variables!$B$1:$D$1,0),1))*BD273)+(W273*INDEX(Variables!$B$9:$D$9,IFERROR(MATCH(IF($B273="Robusta","Robusta",(IF($B273="","Arabica",$B273))&amp;" - "&amp;(IF($C273="","Commercial",$C273))),Variables!$B$1:$D$1,0),1))*BD273/365),""))</f>
        <v>1057.2582913046283</v>
      </c>
      <c r="BJ273" s="44">
        <f t="shared" si="14"/>
        <v>10</v>
      </c>
      <c r="BK273" s="44">
        <f>IF($AX273="Cancelled","",IFERROR(IF(BJ273="","",(W273*INDEX(Variables!$B$7:$D$7,IFERROR(MATCH(IF($B273="Robusta","Robusta",(IF($B273="","Arabica",$B273))&amp;" - "&amp;(IF($C273="","Commercial",$C273))),Variables!$B$1:$D$1,0),1))*(BJ273/365))+(W273*INDEX(Variables!$B$9:$D$9,IFERROR(MATCH(IF($B273="Robusta","Robusta",(IF($B273="","Arabica",$B273))&amp;" - "&amp;(IF($C273="","Commercial",$C273))),Variables!$B$1:$D$1,0),1))*(BJ273/365))+(INDEX(Variables!$B$8:$D$8,IFERROR(MATCH(IF($B273="Robusta","Robusta",(IF($B273="","Arabica",$B273))&amp;" - "&amp;(IF($C273="","Commercial",$C273))),Variables!$B$1:$D$1,0),1))*L273/16.67)),""))</f>
        <v>1114.0971521743802</v>
      </c>
    </row>
    <row r="274" spans="1:63">
      <c r="A274" s="13" t="s">
        <v>103</v>
      </c>
      <c r="B274" s="13" t="s">
        <v>104</v>
      </c>
      <c r="C274" s="13" t="s">
        <v>105</v>
      </c>
      <c r="D274" s="31">
        <v>45713</v>
      </c>
      <c r="E274" s="31">
        <v>45778</v>
      </c>
      <c r="F274" s="31">
        <v>45808</v>
      </c>
      <c r="G274" s="13">
        <v>3786761</v>
      </c>
      <c r="H274" s="13" t="s">
        <v>895</v>
      </c>
      <c r="J274" s="13" t="s">
        <v>454</v>
      </c>
      <c r="K274" s="13">
        <v>5253</v>
      </c>
      <c r="L274" s="13">
        <v>1080</v>
      </c>
      <c r="M274" s="13">
        <v>3</v>
      </c>
      <c r="N274" s="13" t="s">
        <v>894</v>
      </c>
      <c r="O274" s="13" t="s">
        <v>456</v>
      </c>
      <c r="P274" s="13">
        <v>10140</v>
      </c>
      <c r="R274" s="13" t="s">
        <v>122</v>
      </c>
      <c r="S274" s="13" t="s">
        <v>896</v>
      </c>
      <c r="T274" s="13" t="s">
        <v>897</v>
      </c>
      <c r="U274" s="13" t="s">
        <v>125</v>
      </c>
      <c r="V274" s="13">
        <v>-30</v>
      </c>
      <c r="W274" s="44">
        <f>IF($AX274="Cancelled","",IFERROR(((V274+INDEX(Variables!$B$6:$D$6,IFERROR(MATCH(IF($B274="Robusta","Robusta",(IF($B274="","Arabica",$B274))&amp;" - "&amp;(IF($C274="","Commercial",$C274))),Variables!$B$1:$D$1,0),1)))*22.0462)*(L274/16.67),""))</f>
        <v>372502.75205758837</v>
      </c>
      <c r="X274" s="55" t="s">
        <v>37</v>
      </c>
      <c r="Y274" s="13" t="str">
        <f>IF($AX274="Cancelled","",IF(X274="","",IFERROR(IF(INDEX(Variables!$B$38:$B$47,MATCH(X274,Variables!$A$38:$A$47,0))="Yes","Yes","No"),"No")))</f>
        <v>Yes</v>
      </c>
      <c r="Z274" s="58">
        <v>45740</v>
      </c>
      <c r="AB274" s="31">
        <v>45747</v>
      </c>
      <c r="AC274" s="13" t="str">
        <f t="shared" si="12"/>
        <v>Approved</v>
      </c>
      <c r="AF274" s="71">
        <f>AJ274-7</f>
        <v>45792</v>
      </c>
      <c r="AG274" s="35">
        <f>IF($AX274="Cancelled","",IFERROR(IF(F274="","",F274-Variables!$B$13),""))</f>
        <v>45793</v>
      </c>
      <c r="AH274" s="13">
        <f>IF($AX274="Cancelled","",IFERROR(IF(AB274="","",(AVERAGE(E274:F274)-AB274)-Variables!$B$14),""))</f>
        <v>16</v>
      </c>
      <c r="AJ274" s="47">
        <v>45799</v>
      </c>
      <c r="AK274" s="14">
        <f>IF($AX274="Cancelled","",IFERROR(IF(AJ274="","",IF(AND(AB274="",AF274=""),"",IF(AF274&gt;AB274,AF274+Variables!$B$15+Variables!$B$16+Variables!$B$17-AJ274,AB274+Variables!$B$16+Variables!$B$17-AJ274))),""))</f>
        <v>8</v>
      </c>
      <c r="AL274" s="48" t="s">
        <v>224</v>
      </c>
      <c r="AM274" s="13" t="s">
        <v>115</v>
      </c>
      <c r="AN274" s="13" t="s">
        <v>517</v>
      </c>
      <c r="AP274" s="31">
        <v>45807</v>
      </c>
      <c r="AR274" s="13">
        <v>252779608</v>
      </c>
      <c r="AS274" s="31">
        <v>45807</v>
      </c>
      <c r="AU274" s="31">
        <v>45820</v>
      </c>
      <c r="AV274" s="13" t="s">
        <v>865</v>
      </c>
      <c r="AW274" s="31">
        <v>45827</v>
      </c>
      <c r="AX274" s="13" t="str">
        <f>IF(ISNUMBER(SEARCH("cancel",#REF!)),"Cancelled",IF(AND(AS274&lt;&gt;"",AU274&lt;&gt;"",AW274&lt;&gt;""),"Closed","Open"))</f>
        <v>Closed</v>
      </c>
      <c r="AY274" s="15" t="str">
        <f t="shared" si="13"/>
        <v>All dates received</v>
      </c>
      <c r="BD274" s="13">
        <f>IF($AX274="Cancelled","",IFERROR(IF(OR(AS274="",AJ274=""),"",(AJ274+Variables!$B$18-AS274)),""))</f>
        <v>7</v>
      </c>
      <c r="BE274" s="13">
        <f>IF($AX274="Cancelled","",IFERROR(IF(OR(AW274="",AS274=""),"",(AS274+Variables!$B$19)-AW274),""))</f>
        <v>-15</v>
      </c>
      <c r="BF274" s="44">
        <f>IF($AX274="Cancelled","",IFERROR(W274*INDEX(Variables!$B$7:$D$7,IFERROR(MATCH(IF($B274="Robusta","Robusta",(IF($B274="","Arabica",$B274))&amp;" - "&amp;(IF($C274="","Commercial",$C274))),Variables!$B$1:$D$1,0),1))*(BE274/365),""))</f>
        <v>-987.11494350936277</v>
      </c>
      <c r="BG274" s="44">
        <f>IF($AX274="Cancelled","",IFERROR((W274*INDEX(Variables!$B$7:$D$7,IFERROR(MATCH(IF($B274="Robusta","Robusta",(IF($B274="","Arabica",$B274))&amp;" - "&amp;(IF($C274="","Commercial",$C274))),Variables!$B$1:$D$1,0),1))*IFERROR(IF(AB274="","",(AVERAGE(E274:F274)-AB274)-Variables!$B$14),"")/365)+(L274/16.67*INDEX(Variables!$B$8:$D$8,IFERROR(MATCH(IF($B274="Robusta","Robusta",(IF($B274="","Arabica",$B274))&amp;" - "&amp;(IF($C274="","Commercial",$C274))),Variables!$B$1:$D$1,0),1))*IFERROR(IF(AB274="","",(AVERAGE(E274:F274)-AB274)-Variables!$B$14),""))+(W274*INDEX(Variables!$B$9:$D$9,IFERROR(MATCH(IF($B274="Robusta","Robusta",(IF($B274="","Arabica",$B274))&amp;" - "&amp;(IF($C274="","Commercial",$C274))),Variables!$B$1:$D$1,0),1))*IFERROR(IF(AB274="","",(AVERAGE(E274:F274)-AB274)-Variables!$B$14),"")/365),""))</f>
        <v>1930.4968108060625</v>
      </c>
      <c r="BH274" s="44">
        <f>IF($AX274="Cancelled","",IFERROR((W274*INDEX(Variables!$B$7:$D$7,IFERROR(MATCH(IF($B274="Robusta","Robusta",(IF($B274="","Arabica",$B274))&amp;" - "&amp;(IF($C274="","Commercial",$C274))),Variables!$B$1:$D$1,0),1))*AK274/365)+(L274/16.67*INDEX(Variables!$B$8:$D$8,IFERROR(MATCH(IF($B274="Robusta","Robusta",(IF($B274="","Arabica",$B274))&amp;" - "&amp;(IF($C274="","Commercial",$C274))),Variables!$B$1:$D$1,0),1))*AK274)+(W274*INDEX(Variables!$B$9:$D$9,IFERROR(MATCH(IF($B274="Robusta","Robusta",(IF($B274="","Arabica",$B274))&amp;" - "&amp;(IF($C274="","Commercial",$C274))),Variables!$B$1:$D$1,0),1))*AK274/365),""))</f>
        <v>965.24840540303126</v>
      </c>
      <c r="BI274" s="44">
        <f>IF($AX274="Cancelled","",IFERROR((W274*INDEX(Variables!$B$7:$D$7,IFERROR(MATCH(IF($B274="Robusta","Robusta",(IF($B274="","Arabica",$B274))&amp;" - "&amp;(IF($C274="","Commercial",$C274))),Variables!$B$1:$D$1,0),1))*BD274/365)+(L274/16.67*INDEX(Variables!$B$8:$D$8,IFERROR(MATCH(IF($B274="Robusta","Robusta",(IF($B274="","Arabica",$B274))&amp;" - "&amp;(IF($C274="","Commercial",$C274))),Variables!$B$1:$D$1,0),1))*BD274)+(W274*INDEX(Variables!$B$9:$D$9,IFERROR(MATCH(IF($B274="Robusta","Robusta",(IF($B274="","Arabica",$B274))&amp;" - "&amp;(IF($C274="","Commercial",$C274))),Variables!$B$1:$D$1,0),1))*BD274/365),""))</f>
        <v>844.59235472765238</v>
      </c>
      <c r="BJ274" s="44">
        <f t="shared" si="14"/>
        <v>1</v>
      </c>
      <c r="BK274" s="44">
        <f>IF($AX274="Cancelled","",IFERROR(IF(BJ274="","",(W274*INDEX(Variables!$B$7:$D$7,IFERROR(MATCH(IF($B274="Robusta","Robusta",(IF($B274="","Arabica",$B274))&amp;" - "&amp;(IF($C274="","Commercial",$C274))),Variables!$B$1:$D$1,0),1))*(BJ274/365))+(W274*INDEX(Variables!$B$9:$D$9,IFERROR(MATCH(IF($B274="Robusta","Robusta",(IF($B274="","Arabica",$B274))&amp;" - "&amp;(IF($C274="","Commercial",$C274))),Variables!$B$1:$D$1,0),1))*(BJ274/365))+(INDEX(Variables!$B$8:$D$8,IFERROR(MATCH(IF($B274="Robusta","Robusta",(IF($B274="","Arabica",$B274))&amp;" - "&amp;(IF($C274="","Commercial",$C274))),Variables!$B$1:$D$1,0),1))*L274/16.67)),""))</f>
        <v>120.65605067537891</v>
      </c>
    </row>
    <row r="275" spans="1:63">
      <c r="A275" s="13" t="s">
        <v>103</v>
      </c>
      <c r="B275" s="13" t="s">
        <v>104</v>
      </c>
      <c r="C275" s="13" t="s">
        <v>105</v>
      </c>
      <c r="D275" s="31">
        <v>45713</v>
      </c>
      <c r="E275" s="31">
        <v>45809</v>
      </c>
      <c r="F275" s="31">
        <v>45838</v>
      </c>
      <c r="G275" s="13">
        <v>3786762</v>
      </c>
      <c r="H275" s="13" t="s">
        <v>898</v>
      </c>
      <c r="J275" s="13" t="s">
        <v>454</v>
      </c>
      <c r="K275" s="13">
        <v>5285</v>
      </c>
      <c r="L275" s="13">
        <v>1080</v>
      </c>
      <c r="M275" s="13">
        <v>3</v>
      </c>
      <c r="N275" s="13" t="s">
        <v>894</v>
      </c>
      <c r="O275" s="13" t="s">
        <v>456</v>
      </c>
      <c r="P275" s="13">
        <v>10140</v>
      </c>
      <c r="R275" s="13" t="s">
        <v>122</v>
      </c>
      <c r="S275" s="13" t="s">
        <v>457</v>
      </c>
      <c r="T275" s="13" t="s">
        <v>458</v>
      </c>
      <c r="U275" s="13" t="s">
        <v>125</v>
      </c>
      <c r="V275" s="13">
        <v>-30</v>
      </c>
      <c r="W275" s="44">
        <f>IF($AX275="Cancelled","",IFERROR(((V275+INDEX(Variables!$B$6:$D$6,IFERROR(MATCH(IF($B275="Robusta","Robusta",(IF($B275="","Arabica",$B275))&amp;" - "&amp;(IF($C275="","Commercial",$C275))),Variables!$B$1:$D$1,0),1)))*22.0462)*(L275/16.67),""))</f>
        <v>372502.75205758837</v>
      </c>
      <c r="X275" s="55" t="s">
        <v>37</v>
      </c>
      <c r="Y275" s="13" t="str">
        <f>IF($AX275="Cancelled","",IF(X275="","",IFERROR(IF(INDEX(Variables!$B$38:$B$47,MATCH(X275,Variables!$A$38:$A$47,0))="Yes","Yes","No"),"No")))</f>
        <v>Yes</v>
      </c>
      <c r="Z275" s="58">
        <v>45770</v>
      </c>
      <c r="AB275" s="31">
        <v>45785</v>
      </c>
      <c r="AC275" s="13" t="str">
        <f t="shared" si="12"/>
        <v>Approved</v>
      </c>
      <c r="AF275" s="71">
        <f>AJ275-7</f>
        <v>45800</v>
      </c>
      <c r="AG275" s="35">
        <f>IF($AX275="Cancelled","",IFERROR(IF(F275="","",F275-Variables!$B$13),""))</f>
        <v>45823</v>
      </c>
      <c r="AH275" s="13">
        <f>IF($AX275="Cancelled","",IFERROR(IF(AB275="","",(AVERAGE(E275:F275)-AB275)-Variables!$B$14),""))</f>
        <v>8.5</v>
      </c>
      <c r="AJ275" s="47">
        <v>45807</v>
      </c>
      <c r="AK275" s="14">
        <f>IF($AX275="Cancelled","",IFERROR(IF(AJ275="","",IF(AND(AB275="",AF275=""),"",IF(AF275&gt;AB275,AF275+Variables!$B$15+Variables!$B$16+Variables!$B$17-AJ275,AB275+Variables!$B$16+Variables!$B$17-AJ275))),""))</f>
        <v>8</v>
      </c>
      <c r="AL275" s="48" t="s">
        <v>114</v>
      </c>
      <c r="AM275" s="13" t="s">
        <v>115</v>
      </c>
      <c r="AN275" s="13" t="s">
        <v>899</v>
      </c>
      <c r="AP275" s="31">
        <v>45816</v>
      </c>
      <c r="AR275" s="13">
        <v>253695225</v>
      </c>
      <c r="AS275" s="31">
        <v>45816</v>
      </c>
      <c r="AU275" s="31">
        <v>45820</v>
      </c>
      <c r="AV275" s="13" t="s">
        <v>865</v>
      </c>
      <c r="AW275" s="31">
        <v>45820</v>
      </c>
      <c r="AX275" s="13" t="str">
        <f>IF(ISNUMBER(SEARCH("cancel",#REF!)),"Cancelled",IF(AND(AS275&lt;&gt;"",AU275&lt;&gt;"",AW275&lt;&gt;""),"Closed","Open"))</f>
        <v>Closed</v>
      </c>
      <c r="AY275" s="15" t="str">
        <f t="shared" si="13"/>
        <v>All dates received</v>
      </c>
      <c r="BD275" s="13">
        <f>IF($AX275="Cancelled","",IFERROR(IF(OR(AS275="",AJ275=""),"",(AJ275+Variables!$B$18-AS275)),""))</f>
        <v>6</v>
      </c>
      <c r="BE275" s="13">
        <f>IF($AX275="Cancelled","",IFERROR(IF(OR(AW275="",AS275=""),"",(AS275+Variables!$B$19)-AW275),""))</f>
        <v>1</v>
      </c>
      <c r="BF275" s="44">
        <f>IF($AX275="Cancelled","",IFERROR(W275*INDEX(Variables!$B$7:$D$7,IFERROR(MATCH(IF($B275="Robusta","Robusta",(IF($B275="","Arabica",$B275))&amp;" - "&amp;(IF($C275="","Commercial",$C275))),Variables!$B$1:$D$1,0),1))*(BE275/365),""))</f>
        <v>65.80766290062418</v>
      </c>
      <c r="BG275" s="44">
        <f>IF($AX275="Cancelled","",IFERROR((W275*INDEX(Variables!$B$7:$D$7,IFERROR(MATCH(IF($B275="Robusta","Robusta",(IF($B275="","Arabica",$B275))&amp;" - "&amp;(IF($C275="","Commercial",$C275))),Variables!$B$1:$D$1,0),1))*IFERROR(IF(AB275="","",(AVERAGE(E275:F275)-AB275)-Variables!$B$14),"")/365)+(L275/16.67*INDEX(Variables!$B$8:$D$8,IFERROR(MATCH(IF($B275="Robusta","Robusta",(IF($B275="","Arabica",$B275))&amp;" - "&amp;(IF($C275="","Commercial",$C275))),Variables!$B$1:$D$1,0),1))*IFERROR(IF(AB275="","",(AVERAGE(E275:F275)-AB275)-Variables!$B$14),""))+(W275*INDEX(Variables!$B$9:$D$9,IFERROR(MATCH(IF($B275="Robusta","Robusta",(IF($B275="","Arabica",$B275))&amp;" - "&amp;(IF($C275="","Commercial",$C275))),Variables!$B$1:$D$1,0),1))*IFERROR(IF(AB275="","",(AVERAGE(E275:F275)-AB275)-Variables!$B$14),"")/365),""))</f>
        <v>1025.5764307407208</v>
      </c>
      <c r="BH275" s="44">
        <f>IF($AX275="Cancelled","",IFERROR((W275*INDEX(Variables!$B$7:$D$7,IFERROR(MATCH(IF($B275="Robusta","Robusta",(IF($B275="","Arabica",$B275))&amp;" - "&amp;(IF($C275="","Commercial",$C275))),Variables!$B$1:$D$1,0),1))*AK275/365)+(L275/16.67*INDEX(Variables!$B$8:$D$8,IFERROR(MATCH(IF($B275="Robusta","Robusta",(IF($B275="","Arabica",$B275))&amp;" - "&amp;(IF($C275="","Commercial",$C275))),Variables!$B$1:$D$1,0),1))*AK275)+(W275*INDEX(Variables!$B$9:$D$9,IFERROR(MATCH(IF($B275="Robusta","Robusta",(IF($B275="","Arabica",$B275))&amp;" - "&amp;(IF($C275="","Commercial",$C275))),Variables!$B$1:$D$1,0),1))*AK275/365),""))</f>
        <v>965.24840540303126</v>
      </c>
      <c r="BI275" s="44">
        <f>IF($AX275="Cancelled","",IFERROR((W275*INDEX(Variables!$B$7:$D$7,IFERROR(MATCH(IF($B275="Robusta","Robusta",(IF($B275="","Arabica",$B275))&amp;" - "&amp;(IF($C275="","Commercial",$C275))),Variables!$B$1:$D$1,0),1))*BD275/365)+(L275/16.67*INDEX(Variables!$B$8:$D$8,IFERROR(MATCH(IF($B275="Robusta","Robusta",(IF($B275="","Arabica",$B275))&amp;" - "&amp;(IF($C275="","Commercial",$C275))),Variables!$B$1:$D$1,0),1))*BD275)+(W275*INDEX(Variables!$B$9:$D$9,IFERROR(MATCH(IF($B275="Robusta","Robusta",(IF($B275="","Arabica",$B275))&amp;" - "&amp;(IF($C275="","Commercial",$C275))),Variables!$B$1:$D$1,0),1))*BD275/365),""))</f>
        <v>723.93630405227339</v>
      </c>
      <c r="BJ275" s="44">
        <f t="shared" si="14"/>
        <v>22</v>
      </c>
      <c r="BK275" s="44">
        <f>IF($AX275="Cancelled","",IFERROR(IF(BJ275="","",(W275*INDEX(Variables!$B$7:$D$7,IFERROR(MATCH(IF($B275="Robusta","Robusta",(IF($B275="","Arabica",$B275))&amp;" - "&amp;(IF($C275="","Commercial",$C275))),Variables!$B$1:$D$1,0),1))*(BJ275/365))+(W275*INDEX(Variables!$B$9:$D$9,IFERROR(MATCH(IF($B275="Robusta","Robusta",(IF($B275="","Arabica",$B275))&amp;" - "&amp;(IF($C275="","Commercial",$C275))),Variables!$B$1:$D$1,0),1))*(BJ275/365))+(INDEX(Variables!$B$8:$D$8,IFERROR(MATCH(IF($B275="Robusta","Robusta",(IF($B275="","Arabica",$B275))&amp;" - "&amp;(IF($C275="","Commercial",$C275))),Variables!$B$1:$D$1,0),1))*L275/16.67)),""))</f>
        <v>1520.433114858336</v>
      </c>
    </row>
    <row r="276" spans="1:63">
      <c r="A276" s="13" t="s">
        <v>103</v>
      </c>
      <c r="B276" s="13" t="s">
        <v>104</v>
      </c>
      <c r="C276" s="13" t="s">
        <v>105</v>
      </c>
      <c r="D276" s="31">
        <v>45713</v>
      </c>
      <c r="E276" s="31">
        <v>45809</v>
      </c>
      <c r="F276" s="31">
        <v>45838</v>
      </c>
      <c r="G276" s="13">
        <v>3786763</v>
      </c>
      <c r="H276" s="13" t="s">
        <v>900</v>
      </c>
      <c r="J276" s="13" t="s">
        <v>454</v>
      </c>
      <c r="K276" s="13">
        <v>5286</v>
      </c>
      <c r="L276" s="13">
        <v>1440</v>
      </c>
      <c r="M276" s="13">
        <v>4</v>
      </c>
      <c r="N276" s="13" t="s">
        <v>894</v>
      </c>
      <c r="O276" s="13" t="s">
        <v>456</v>
      </c>
      <c r="P276" s="13">
        <v>10140</v>
      </c>
      <c r="R276" s="13" t="s">
        <v>122</v>
      </c>
      <c r="S276" s="13" t="s">
        <v>896</v>
      </c>
      <c r="T276" s="13" t="s">
        <v>897</v>
      </c>
      <c r="U276" s="13" t="s">
        <v>125</v>
      </c>
      <c r="V276" s="13">
        <v>-30</v>
      </c>
      <c r="W276" s="44">
        <f>IF($AX276="Cancelled","",IFERROR(((V276+INDEX(Variables!$B$6:$D$6,IFERROR(MATCH(IF($B276="Robusta","Robusta",(IF($B276="","Arabica",$B276))&amp;" - "&amp;(IF($C276="","Commercial",$C276))),Variables!$B$1:$D$1,0),1)))*22.0462)*(L276/16.67),""))</f>
        <v>496670.33607678459</v>
      </c>
      <c r="X276" s="55" t="s">
        <v>37</v>
      </c>
      <c r="Y276" s="13" t="str">
        <f>IF($AX276="Cancelled","",IF(X276="","",IFERROR(IF(INDEX(Variables!$B$38:$B$47,MATCH(X276,Variables!$A$38:$A$47,0))="Yes","Yes","No"),"No")))</f>
        <v>Yes</v>
      </c>
      <c r="Z276" s="58">
        <v>45790</v>
      </c>
      <c r="AB276" s="31">
        <v>45797</v>
      </c>
      <c r="AC276" s="13" t="str">
        <f t="shared" si="12"/>
        <v>Approved</v>
      </c>
      <c r="AF276" s="71">
        <f>AJ276-7</f>
        <v>45805</v>
      </c>
      <c r="AG276" s="35">
        <f>IF($AX276="Cancelled","",IFERROR(IF(F276="","",F276-Variables!$B$13),""))</f>
        <v>45823</v>
      </c>
      <c r="AH276" s="13">
        <f>IF($AX276="Cancelled","",IFERROR(IF(AB276="","",(AVERAGE(E276:F276)-AB276)-Variables!$B$14),""))</f>
        <v>-3.5</v>
      </c>
      <c r="AJ276" s="47">
        <v>45812</v>
      </c>
      <c r="AK276" s="14">
        <f>IF($AX276="Cancelled","",IFERROR(IF(AJ276="","",IF(AND(AB276="",AF276=""),"",IF(AF276&gt;AB276,AF276+Variables!$B$15+Variables!$B$16+Variables!$B$17-AJ276,AB276+Variables!$B$16+Variables!$B$17-AJ276))),""))</f>
        <v>8</v>
      </c>
      <c r="AL276" s="48" t="s">
        <v>114</v>
      </c>
      <c r="AM276" s="13" t="s">
        <v>134</v>
      </c>
      <c r="AN276" s="13" t="s">
        <v>618</v>
      </c>
      <c r="AP276" s="31">
        <v>45827</v>
      </c>
      <c r="AR276" s="13" t="s">
        <v>901</v>
      </c>
      <c r="AS276" s="31">
        <v>45827</v>
      </c>
      <c r="AU276" s="31">
        <v>45832</v>
      </c>
      <c r="AV276" s="13" t="s">
        <v>902</v>
      </c>
      <c r="AW276" s="31">
        <v>45840</v>
      </c>
      <c r="AX276" s="13" t="str">
        <f>IF(ISNUMBER(SEARCH("cancel",#REF!)),"Cancelled",IF(AND(AS276&lt;&gt;"",AU276&lt;&gt;"",AW276&lt;&gt;""),"Closed","Open"))</f>
        <v>Closed</v>
      </c>
      <c r="AY276" s="15" t="str">
        <f t="shared" si="13"/>
        <v>All dates received</v>
      </c>
      <c r="BD276" s="13">
        <f>IF($AX276="Cancelled","",IFERROR(IF(OR(AS276="",AJ276=""),"",(AJ276+Variables!$B$18-AS276)),""))</f>
        <v>0</v>
      </c>
      <c r="BE276" s="13">
        <f>IF($AX276="Cancelled","",IFERROR(IF(OR(AW276="",AS276=""),"",(AS276+Variables!$B$19)-AW276),""))</f>
        <v>-8</v>
      </c>
      <c r="BF276" s="44">
        <f>IF($AX276="Cancelled","",IFERROR(W276*INDEX(Variables!$B$7:$D$7,IFERROR(MATCH(IF($B276="Robusta","Robusta",(IF($B276="","Arabica",$B276))&amp;" - "&amp;(IF($C276="","Commercial",$C276))),Variables!$B$1:$D$1,0),1))*(BE276/365),""))</f>
        <v>-701.94840427332474</v>
      </c>
      <c r="BG276" s="44">
        <f>IF($AX276="Cancelled","",IFERROR((W276*INDEX(Variables!$B$7:$D$7,IFERROR(MATCH(IF($B276="Robusta","Robusta",(IF($B276="","Arabica",$B276))&amp;" - "&amp;(IF($C276="","Commercial",$C276))),Variables!$B$1:$D$1,0),1))*IFERROR(IF(AB276="","",(AVERAGE(E276:F276)-AB276)-Variables!$B$14),"")/365)+(L276/16.67*INDEX(Variables!$B$8:$D$8,IFERROR(MATCH(IF($B276="Robusta","Robusta",(IF($B276="","Arabica",$B276))&amp;" - "&amp;(IF($C276="","Commercial",$C276))),Variables!$B$1:$D$1,0),1))*IFERROR(IF(AB276="","",(AVERAGE(E276:F276)-AB276)-Variables!$B$14),""))+(W276*INDEX(Variables!$B$9:$D$9,IFERROR(MATCH(IF($B276="Robusta","Robusta",(IF($B276="","Arabica",$B276))&amp;" - "&amp;(IF($C276="","Commercial",$C276))),Variables!$B$1:$D$1,0),1))*IFERROR(IF(AB276="","",(AVERAGE(E276:F276)-AB276)-Variables!$B$14),"")/365),""))</f>
        <v>-563.06156981843503</v>
      </c>
      <c r="BH276" s="44">
        <f>IF($AX276="Cancelled","",IFERROR((W276*INDEX(Variables!$B$7:$D$7,IFERROR(MATCH(IF($B276="Robusta","Robusta",(IF($B276="","Arabica",$B276))&amp;" - "&amp;(IF($C276="","Commercial",$C276))),Variables!$B$1:$D$1,0),1))*AK276/365)+(L276/16.67*INDEX(Variables!$B$8:$D$8,IFERROR(MATCH(IF($B276="Robusta","Robusta",(IF($B276="","Arabica",$B276))&amp;" - "&amp;(IF($C276="","Commercial",$C276))),Variables!$B$1:$D$1,0),1))*AK276)+(W276*INDEX(Variables!$B$9:$D$9,IFERROR(MATCH(IF($B276="Robusta","Robusta",(IF($B276="","Arabica",$B276))&amp;" - "&amp;(IF($C276="","Commercial",$C276))),Variables!$B$1:$D$1,0),1))*AK276/365),""))</f>
        <v>1286.9978738707084</v>
      </c>
      <c r="BI276" s="44">
        <f>IF($AX276="Cancelled","",IFERROR((W276*INDEX(Variables!$B$7:$D$7,IFERROR(MATCH(IF($B276="Robusta","Robusta",(IF($B276="","Arabica",$B276))&amp;" - "&amp;(IF($C276="","Commercial",$C276))),Variables!$B$1:$D$1,0),1))*BD276/365)+(L276/16.67*INDEX(Variables!$B$8:$D$8,IFERROR(MATCH(IF($B276="Robusta","Robusta",(IF($B276="","Arabica",$B276))&amp;" - "&amp;(IF($C276="","Commercial",$C276))),Variables!$B$1:$D$1,0),1))*BD276)+(W276*INDEX(Variables!$B$9:$D$9,IFERROR(MATCH(IF($B276="Robusta","Robusta",(IF($B276="","Arabica",$B276))&amp;" - "&amp;(IF($C276="","Commercial",$C276))),Variables!$B$1:$D$1,0),1))*BD276/365),""))</f>
        <v>0</v>
      </c>
      <c r="BJ276" s="44">
        <f t="shared" si="14"/>
        <v>11</v>
      </c>
      <c r="BK276" s="44">
        <f>IF($AX276="Cancelled","",IFERROR(IF(BJ276="","",(W276*INDEX(Variables!$B$7:$D$7,IFERROR(MATCH(IF($B276="Robusta","Robusta",(IF($B276="","Arabica",$B276))&amp;" - "&amp;(IF($C276="","Commercial",$C276))),Variables!$B$1:$D$1,0),1))*(BJ276/365))+(W276*INDEX(Variables!$B$9:$D$9,IFERROR(MATCH(IF($B276="Robusta","Robusta",(IF($B276="","Arabica",$B276))&amp;" - "&amp;(IF($C276="","Commercial",$C276))),Variables!$B$1:$D$1,0),1))*(BJ276/365))+(INDEX(Variables!$B$8:$D$8,IFERROR(MATCH(IF($B276="Robusta","Robusta",(IF($B276="","Arabica",$B276))&amp;" - "&amp;(IF($C276="","Commercial",$C276))),Variables!$B$1:$D$1,0),1))*L276/16.67)),""))</f>
        <v>1049.6220765722242</v>
      </c>
    </row>
    <row r="277" spans="1:63">
      <c r="A277" s="13" t="s">
        <v>103</v>
      </c>
      <c r="B277" s="13" t="s">
        <v>104</v>
      </c>
      <c r="C277" s="13" t="s">
        <v>292</v>
      </c>
      <c r="D277" s="31">
        <v>45720</v>
      </c>
      <c r="E277" s="31">
        <v>45717</v>
      </c>
      <c r="F277" s="31">
        <v>45747</v>
      </c>
      <c r="G277" s="13">
        <v>3786764</v>
      </c>
      <c r="J277" s="13" t="s">
        <v>773</v>
      </c>
      <c r="K277" s="13" t="s">
        <v>903</v>
      </c>
      <c r="L277" s="13">
        <v>15</v>
      </c>
      <c r="M277" s="13">
        <v>0</v>
      </c>
      <c r="N277" s="13" t="s">
        <v>904</v>
      </c>
      <c r="O277" s="13" t="s">
        <v>576</v>
      </c>
      <c r="P277" s="13">
        <v>10020</v>
      </c>
      <c r="R277" s="13" t="s">
        <v>239</v>
      </c>
      <c r="S277" s="13" t="s">
        <v>776</v>
      </c>
      <c r="T277" s="13" t="s">
        <v>777</v>
      </c>
      <c r="U277" s="13" t="s">
        <v>125</v>
      </c>
      <c r="V277" s="13">
        <v>116.15</v>
      </c>
      <c r="W277" s="44">
        <f>IF($AX277="Cancelled","",IFERROR(((V277+INDEX(Variables!$B$6:$D$6,IFERROR(MATCH(IF($B277="Robusta","Robusta",(IF($B277="","Arabica",$B277))&amp;" - "&amp;(IF($C277="","Commercial",$C277))),Variables!$B$1:$D$1,0),1)))*22.0462)*(L277/16.67),""))</f>
        <v>8072.9163977204553</v>
      </c>
      <c r="X277" s="55" t="s">
        <v>39</v>
      </c>
      <c r="Y277" s="13" t="str">
        <f>IF($AX277="Cancelled","",IF(X277="","",IFERROR(IF(INDEX(Variables!$B$38:$B$47,MATCH(X277,Variables!$A$38:$A$47,0))="Yes","Yes","No"),"No")))</f>
        <v>No</v>
      </c>
      <c r="Z277" s="31"/>
      <c r="AB277" s="31">
        <v>45702.875</v>
      </c>
      <c r="AC277" s="13" t="str">
        <f t="shared" si="12"/>
        <v>Approved</v>
      </c>
      <c r="AF277" s="71">
        <f>AJ277-7</f>
        <v>45734</v>
      </c>
      <c r="AG277" s="36">
        <f>IF($AX277="Cancelled","",IFERROR(IF(F277="","",F277-Variables!$B$13),""))</f>
        <v>45732</v>
      </c>
      <c r="AH277" s="13">
        <f>IF($AX277="Cancelled","",IFERROR(IF(AB277="","",(AVERAGE(E277:F277)-AB277)-Variables!$B$14),""))</f>
        <v>-0.875</v>
      </c>
      <c r="AJ277" s="47">
        <v>45741</v>
      </c>
      <c r="AK277" s="14">
        <f>IF($AX277="Cancelled","",IFERROR(IF(AJ277="","",IF(AND(AB277="",AF277=""),"",IF(AF277&gt;AB277,AF277+Variables!$B$15+Variables!$B$16+Variables!$B$17-AJ277,AB277+Variables!$B$16+Variables!$B$17-AJ277))),""))</f>
        <v>8</v>
      </c>
      <c r="AL277" s="48" t="s">
        <v>114</v>
      </c>
      <c r="AM277" s="13" t="s">
        <v>115</v>
      </c>
      <c r="AN277" s="13" t="s">
        <v>517</v>
      </c>
      <c r="AP277" s="31">
        <v>45385</v>
      </c>
      <c r="AR277" s="13">
        <v>251410456</v>
      </c>
      <c r="AS277" s="31">
        <v>45388</v>
      </c>
      <c r="AU277" s="31">
        <v>45399</v>
      </c>
      <c r="AV277" s="13" t="s">
        <v>3268</v>
      </c>
      <c r="AW277" s="31">
        <v>45399</v>
      </c>
      <c r="AX277" s="13" t="str">
        <f>IF(ISNUMBER(SEARCH("cancel",#REF!)),"Cancelled",IF(AND(AS277&lt;&gt;"",AU277&lt;&gt;"",AW277&lt;&gt;""),"Closed","Open"))</f>
        <v>Closed</v>
      </c>
      <c r="AY277" s="15" t="str">
        <f t="shared" si="13"/>
        <v>All dates received</v>
      </c>
      <c r="BD277" s="13">
        <f>IF($AX277="Cancelled","",IFERROR(IF(OR(AS277="",AJ277=""),"",(AJ277+Variables!$B$18-AS277)),""))</f>
        <v>368</v>
      </c>
      <c r="BE277" s="13">
        <f>IF($AX277="Cancelled","",IFERROR(IF(OR(AW277="",AS277=""),"",(AS277+Variables!$B$19)-AW277),""))</f>
        <v>-6</v>
      </c>
      <c r="BF277" s="44">
        <f>IF($AX277="Cancelled","",IFERROR(W277*INDEX(Variables!$B$7:$D$7,IFERROR(MATCH(IF($B277="Robusta","Robusta",(IF($B277="","Arabica",$B277))&amp;" - "&amp;(IF($C277="","Commercial",$C277))),Variables!$B$1:$D$1,0),1))*(BE277/365),""))</f>
        <v>-8.5571409820453148</v>
      </c>
      <c r="BG277" s="44">
        <f>IF($AX277="Cancelled","",IFERROR((W277*INDEX(Variables!$B$7:$D$7,IFERROR(MATCH(IF($B277="Robusta","Robusta",(IF($B277="","Arabica",$B277))&amp;" - "&amp;(IF($C277="","Commercial",$C277))),Variables!$B$1:$D$1,0),1))*IFERROR(IF(AB277="","",(AVERAGE(E277:F277)-AB277)-Variables!$B$14),"")/365)+(L277/16.67*INDEX(Variables!$B$8:$D$8,IFERROR(MATCH(IF($B277="Robusta","Robusta",(IF($B277="","Arabica",$B277))&amp;" - "&amp;(IF($C277="","Commercial",$C277))),Variables!$B$1:$D$1,0),1))*IFERROR(IF(AB277="","",(AVERAGE(E277:F277)-AB277)-Variables!$B$14),""))+(W277*INDEX(Variables!$B$9:$D$9,IFERROR(MATCH(IF($B277="Robusta","Robusta",(IF($B277="","Arabica",$B277))&amp;" - "&amp;(IF($C277="","Commercial",$C277))),Variables!$B$1:$D$1,0),1))*IFERROR(IF(AB277="","",(AVERAGE(E277:F277)-AB277)-Variables!$B$14),"")/365),""))</f>
        <v>-1.9202544438347962</v>
      </c>
      <c r="BH277" s="44">
        <f>IF($AX277="Cancelled","",IFERROR((W277*INDEX(Variables!$B$7:$D$7,IFERROR(MATCH(IF($B277="Robusta","Robusta",(IF($B277="","Arabica",$B277))&amp;" - "&amp;(IF($C277="","Commercial",$C277))),Variables!$B$1:$D$1,0),1))*AK277/365)+(L277/16.67*INDEX(Variables!$B$8:$D$8,IFERROR(MATCH(IF($B277="Robusta","Robusta",(IF($B277="","Arabica",$B277))&amp;" - "&amp;(IF($C277="","Commercial",$C277))),Variables!$B$1:$D$1,0),1))*AK277)+(W277*INDEX(Variables!$B$9:$D$9,IFERROR(MATCH(IF($B277="Robusta","Robusta",(IF($B277="","Arabica",$B277))&amp;" - "&amp;(IF($C277="","Commercial",$C277))),Variables!$B$1:$D$1,0),1))*AK277/365),""))</f>
        <v>17.556612057918137</v>
      </c>
      <c r="BI277" s="44">
        <f>IF($AX277="Cancelled","",IFERROR((W277*INDEX(Variables!$B$7:$D$7,IFERROR(MATCH(IF($B277="Robusta","Robusta",(IF($B277="","Arabica",$B277))&amp;" - "&amp;(IF($C277="","Commercial",$C277))),Variables!$B$1:$D$1,0),1))*BD277/365)+(L277/16.67*INDEX(Variables!$B$8:$D$8,IFERROR(MATCH(IF($B277="Robusta","Robusta",(IF($B277="","Arabica",$B277))&amp;" - "&amp;(IF($C277="","Commercial",$C277))),Variables!$B$1:$D$1,0),1))*BD277)+(W277*INDEX(Variables!$B$9:$D$9,IFERROR(MATCH(IF($B277="Robusta","Robusta",(IF($B277="","Arabica",$B277))&amp;" - "&amp;(IF($C277="","Commercial",$C277))),Variables!$B$1:$D$1,0),1))*BD277/365),""))</f>
        <v>807.60415466423433</v>
      </c>
      <c r="BJ277" s="44">
        <f t="shared" si="14"/>
        <v>359</v>
      </c>
      <c r="BK277" s="44">
        <f>IF($AX277="Cancelled","",IFERROR(IF(BJ277="","",(W277*INDEX(Variables!$B$7:$D$7,IFERROR(MATCH(IF($B277="Robusta","Robusta",(IF($B277="","Arabica",$B277))&amp;" - "&amp;(IF($C277="","Commercial",$C277))),Variables!$B$1:$D$1,0),1))*(BJ277/365))+(W277*INDEX(Variables!$B$9:$D$9,IFERROR(MATCH(IF($B277="Robusta","Robusta",(IF($B277="","Arabica",$B277))&amp;" - "&amp;(IF($C277="","Commercial",$C277))),Variables!$B$1:$D$1,0),1))*(BJ277/365))+(INDEX(Variables!$B$8:$D$8,IFERROR(MATCH(IF($B277="Robusta","Robusta",(IF($B277="","Arabica",$B277))&amp;" - "&amp;(IF($C277="","Commercial",$C277))),Variables!$B$1:$D$1,0),1))*L277/16.67)),""))</f>
        <v>519.35296609907641</v>
      </c>
    </row>
    <row r="278" spans="1:63">
      <c r="A278" s="13" t="s">
        <v>103</v>
      </c>
      <c r="B278" s="13" t="s">
        <v>104</v>
      </c>
      <c r="C278" s="13" t="s">
        <v>292</v>
      </c>
      <c r="D278" s="31">
        <v>45720</v>
      </c>
      <c r="E278" s="31">
        <v>45717</v>
      </c>
      <c r="F278" s="31">
        <v>45747</v>
      </c>
      <c r="G278" s="13">
        <v>3786765</v>
      </c>
      <c r="J278" s="13" t="s">
        <v>773</v>
      </c>
      <c r="K278" s="13" t="s">
        <v>905</v>
      </c>
      <c r="L278" s="13">
        <v>15</v>
      </c>
      <c r="M278" s="13">
        <v>0</v>
      </c>
      <c r="N278" s="13" t="s">
        <v>906</v>
      </c>
      <c r="O278" s="13" t="s">
        <v>576</v>
      </c>
      <c r="P278" s="13">
        <v>10020</v>
      </c>
      <c r="R278" s="13" t="s">
        <v>239</v>
      </c>
      <c r="S278" s="13" t="s">
        <v>776</v>
      </c>
      <c r="T278" s="13" t="s">
        <v>777</v>
      </c>
      <c r="U278" s="13" t="s">
        <v>125</v>
      </c>
      <c r="V278" s="13">
        <v>86</v>
      </c>
      <c r="W278" s="44">
        <f>IF($AX278="Cancelled","",IFERROR(((V278+INDEX(Variables!$B$6:$D$6,IFERROR(MATCH(IF($B278="Robusta","Robusta",(IF($B278="","Arabica",$B278))&amp;" - "&amp;(IF($C278="","Commercial",$C278))),Variables!$B$1:$D$1,0),1)))*22.0462)*(L278/16.67),""))</f>
        <v>7474.8123815236941</v>
      </c>
      <c r="X278" s="55" t="s">
        <v>39</v>
      </c>
      <c r="Y278" s="13" t="str">
        <f>IF($AX278="Cancelled","",IF(X278="","",IFERROR(IF(INDEX(Variables!$B$38:$B$47,MATCH(X278,Variables!$A$38:$A$47,0))="Yes","Yes","No"),"No")))</f>
        <v>No</v>
      </c>
      <c r="Z278" s="31"/>
      <c r="AB278" s="31">
        <v>45702.875</v>
      </c>
      <c r="AC278" s="13" t="str">
        <f t="shared" si="12"/>
        <v>Approved</v>
      </c>
      <c r="AF278" s="71">
        <f>AJ278-7</f>
        <v>45734</v>
      </c>
      <c r="AG278" s="36">
        <f>IF($AX278="Cancelled","",IFERROR(IF(F278="","",F278-Variables!$B$13),""))</f>
        <v>45732</v>
      </c>
      <c r="AH278" s="13">
        <f>IF($AX278="Cancelled","",IFERROR(IF(AB278="","",(AVERAGE(E278:F278)-AB278)-Variables!$B$14),""))</f>
        <v>-0.875</v>
      </c>
      <c r="AJ278" s="47">
        <v>45741</v>
      </c>
      <c r="AK278" s="14">
        <f>IF($AX278="Cancelled","",IFERROR(IF(AJ278="","",IF(AND(AB278="",AF278=""),"",IF(AF278&gt;AB278,AF278+Variables!$B$15+Variables!$B$16+Variables!$B$17-AJ278,AB278+Variables!$B$16+Variables!$B$17-AJ278))),""))</f>
        <v>8</v>
      </c>
      <c r="AL278" s="48" t="s">
        <v>114</v>
      </c>
      <c r="AM278" s="13" t="s">
        <v>115</v>
      </c>
      <c r="AN278" s="13" t="s">
        <v>517</v>
      </c>
      <c r="AP278" s="31">
        <v>45385</v>
      </c>
      <c r="AR278" s="13">
        <v>251410456</v>
      </c>
      <c r="AS278" s="31">
        <v>45388</v>
      </c>
      <c r="AU278" s="31">
        <v>45399</v>
      </c>
      <c r="AV278" s="13" t="s">
        <v>3268</v>
      </c>
      <c r="AW278" s="31">
        <v>45399</v>
      </c>
      <c r="AX278" s="13" t="str">
        <f>IF(ISNUMBER(SEARCH("cancel",#REF!)),"Cancelled",IF(AND(AS278&lt;&gt;"",AU278&lt;&gt;"",AW278&lt;&gt;""),"Closed","Open"))</f>
        <v>Closed</v>
      </c>
      <c r="AY278" s="15" t="str">
        <f t="shared" si="13"/>
        <v>All dates received</v>
      </c>
      <c r="BD278" s="13">
        <f>IF($AX278="Cancelled","",IFERROR(IF(OR(AS278="",AJ278=""),"",(AJ278+Variables!$B$18-AS278)),""))</f>
        <v>368</v>
      </c>
      <c r="BE278" s="13">
        <f>IF($AX278="Cancelled","",IFERROR(IF(OR(AW278="",AS278=""),"",(AS278+Variables!$B$19)-AW278),""))</f>
        <v>-6</v>
      </c>
      <c r="BF278" s="44">
        <f>IF($AX278="Cancelled","",IFERROR(W278*INDEX(Variables!$B$7:$D$7,IFERROR(MATCH(IF($B278="Robusta","Robusta",(IF($B278="","Arabica",$B278))&amp;" - "&amp;(IF($C278="","Commercial",$C278))),Variables!$B$1:$D$1,0),1))*(BE278/365),""))</f>
        <v>-7.9231618676364999</v>
      </c>
      <c r="BG278" s="44">
        <f>IF($AX278="Cancelled","",IFERROR((W278*INDEX(Variables!$B$7:$D$7,IFERROR(MATCH(IF($B278="Robusta","Robusta",(IF($B278="","Arabica",$B278))&amp;" - "&amp;(IF($C278="","Commercial",$C278))),Variables!$B$1:$D$1,0),1))*IFERROR(IF(AB278="","",(AVERAGE(E278:F278)-AB278)-Variables!$B$14),"")/365)+(L278/16.67*INDEX(Variables!$B$8:$D$8,IFERROR(MATCH(IF($B278="Robusta","Robusta",(IF($B278="","Arabica",$B278))&amp;" - "&amp;(IF($C278="","Commercial",$C278))),Variables!$B$1:$D$1,0),1))*IFERROR(IF(AB278="","",(AVERAGE(E278:F278)-AB278)-Variables!$B$14),""))+(W278*INDEX(Variables!$B$9:$D$9,IFERROR(MATCH(IF($B278="Robusta","Robusta",(IF($B278="","Arabica",$B278))&amp;" - "&amp;(IF($C278="","Commercial",$C278))),Variables!$B$1:$D$1,0),1))*IFERROR(IF(AB278="","",(AVERAGE(E278:F278)-AB278)-Variables!$B$14),"")/365),""))</f>
        <v>-1.8266072292344295</v>
      </c>
      <c r="BH278" s="44">
        <f>IF($AX278="Cancelled","",IFERROR((W278*INDEX(Variables!$B$7:$D$7,IFERROR(MATCH(IF($B278="Robusta","Robusta",(IF($B278="","Arabica",$B278))&amp;" - "&amp;(IF($C278="","Commercial",$C278))),Variables!$B$1:$D$1,0),1))*AK278/365)+(L278/16.67*INDEX(Variables!$B$8:$D$8,IFERROR(MATCH(IF($B278="Robusta","Robusta",(IF($B278="","Arabica",$B278))&amp;" - "&amp;(IF($C278="","Commercial",$C278))),Variables!$B$1:$D$1,0),1))*AK278)+(W278*INDEX(Variables!$B$9:$D$9,IFERROR(MATCH(IF($B278="Robusta","Robusta",(IF($B278="","Arabica",$B278))&amp;" - "&amp;(IF($C278="","Commercial",$C278))),Variables!$B$1:$D$1,0),1))*AK278/365),""))</f>
        <v>16.700408953000498</v>
      </c>
      <c r="BI278" s="44">
        <f>IF($AX278="Cancelled","",IFERROR((W278*INDEX(Variables!$B$7:$D$7,IFERROR(MATCH(IF($B278="Robusta","Robusta",(IF($B278="","Arabica",$B278))&amp;" - "&amp;(IF($C278="","Commercial",$C278))),Variables!$B$1:$D$1,0),1))*BD278/365)+(L278/16.67*INDEX(Variables!$B$8:$D$8,IFERROR(MATCH(IF($B278="Robusta","Robusta",(IF($B278="","Arabica",$B278))&amp;" - "&amp;(IF($C278="","Commercial",$C278))),Variables!$B$1:$D$1,0),1))*BD278)+(W278*INDEX(Variables!$B$9:$D$9,IFERROR(MATCH(IF($B278="Robusta","Robusta",(IF($B278="","Arabica",$B278))&amp;" - "&amp;(IF($C278="","Commercial",$C278))),Variables!$B$1:$D$1,0),1))*BD278/365),""))</f>
        <v>768.21881183802293</v>
      </c>
      <c r="BJ278" s="44">
        <f t="shared" si="14"/>
        <v>359</v>
      </c>
      <c r="BK278" s="44">
        <f>IF($AX278="Cancelled","",IFERROR(IF(BJ278="","",(W278*INDEX(Variables!$B$7:$D$7,IFERROR(MATCH(IF($B278="Robusta","Robusta",(IF($B278="","Arabica",$B278))&amp;" - "&amp;(IF($C278="","Commercial",$C278))),Variables!$B$1:$D$1,0),1))*(BJ278/365))+(W278*INDEX(Variables!$B$9:$D$9,IFERROR(MATCH(IF($B278="Robusta","Robusta",(IF($B278="","Arabica",$B278))&amp;" - "&amp;(IF($C278="","Commercial",$C278))),Variables!$B$1:$D$1,0),1))*(BJ278/365))+(INDEX(Variables!$B$8:$D$8,IFERROR(MATCH(IF($B278="Robusta","Robusta",(IF($B278="","Arabica",$B278))&amp;" - "&amp;(IF($C278="","Commercial",$C278))),Variables!$B$1:$D$1,0),1))*L278/16.67)),""))</f>
        <v>480.93085176589739</v>
      </c>
    </row>
    <row r="279" spans="1:63">
      <c r="A279" s="13" t="s">
        <v>103</v>
      </c>
      <c r="B279" s="13" t="s">
        <v>104</v>
      </c>
      <c r="C279" s="13" t="s">
        <v>292</v>
      </c>
      <c r="D279" s="31">
        <v>45720</v>
      </c>
      <c r="E279" s="31">
        <v>45717</v>
      </c>
      <c r="F279" s="31">
        <v>45747</v>
      </c>
      <c r="G279" s="13">
        <v>3786766</v>
      </c>
      <c r="J279" s="13" t="s">
        <v>773</v>
      </c>
      <c r="K279" s="13" t="s">
        <v>907</v>
      </c>
      <c r="L279" s="13">
        <v>15</v>
      </c>
      <c r="M279" s="13">
        <v>0</v>
      </c>
      <c r="N279" s="13" t="s">
        <v>908</v>
      </c>
      <c r="O279" s="13" t="s">
        <v>304</v>
      </c>
      <c r="P279" s="13">
        <v>10010</v>
      </c>
      <c r="R279" s="13" t="s">
        <v>239</v>
      </c>
      <c r="S279" s="13" t="s">
        <v>776</v>
      </c>
      <c r="T279" s="13" t="s">
        <v>777</v>
      </c>
      <c r="U279" s="13" t="s">
        <v>125</v>
      </c>
      <c r="V279" s="13">
        <v>97</v>
      </c>
      <c r="W279" s="44">
        <f>IF($AX279="Cancelled","",IFERROR(((V279+INDEX(Variables!$B$6:$D$6,IFERROR(MATCH(IF($B279="Robusta","Robusta",(IF($B279="","Arabica",$B279))&amp;" - "&amp;(IF($C279="","Commercial",$C279))),Variables!$B$1:$D$1,0),1)))*22.0462)*(L279/16.67),""))</f>
        <v>7693.0261187762435</v>
      </c>
      <c r="X279" s="55" t="s">
        <v>39</v>
      </c>
      <c r="Y279" s="13" t="str">
        <f>IF($AX279="Cancelled","",IF(X279="","",IFERROR(IF(INDEX(Variables!$B$38:$B$47,MATCH(X279,Variables!$A$38:$A$47,0))="Yes","Yes","No"),"No")))</f>
        <v>No</v>
      </c>
      <c r="Z279" s="31"/>
      <c r="AB279" s="31">
        <v>45702.875</v>
      </c>
      <c r="AC279" s="13" t="str">
        <f t="shared" si="12"/>
        <v>Approved</v>
      </c>
      <c r="AF279" s="71">
        <f>AJ279-7</f>
        <v>45734</v>
      </c>
      <c r="AG279" s="36">
        <f>IF($AX279="Cancelled","",IFERROR(IF(F279="","",F279-Variables!$B$13),""))</f>
        <v>45732</v>
      </c>
      <c r="AH279" s="13">
        <f>IF($AX279="Cancelled","",IFERROR(IF(AB279="","",(AVERAGE(E279:F279)-AB279)-Variables!$B$14),""))</f>
        <v>-0.875</v>
      </c>
      <c r="AJ279" s="47">
        <v>45741</v>
      </c>
      <c r="AK279" s="14">
        <f>IF($AX279="Cancelled","",IFERROR(IF(AJ279="","",IF(AND(AB279="",AF279=""),"",IF(AF279&gt;AB279,AF279+Variables!$B$15+Variables!$B$16+Variables!$B$17-AJ279,AB279+Variables!$B$16+Variables!$B$17-AJ279))),""))</f>
        <v>8</v>
      </c>
      <c r="AL279" s="48" t="s">
        <v>114</v>
      </c>
      <c r="AM279" s="13" t="s">
        <v>115</v>
      </c>
      <c r="AN279" s="13" t="s">
        <v>517</v>
      </c>
      <c r="AP279" s="31">
        <v>45385</v>
      </c>
      <c r="AR279" s="13">
        <v>251410456</v>
      </c>
      <c r="AS279" s="31">
        <v>45388</v>
      </c>
      <c r="AU279" s="31">
        <v>45399</v>
      </c>
      <c r="AV279" s="13" t="s">
        <v>3268</v>
      </c>
      <c r="AW279" s="31">
        <v>45399</v>
      </c>
      <c r="AX279" s="13" t="str">
        <f>IF(ISNUMBER(SEARCH("cancel",#REF!)),"Cancelled",IF(AND(AS279&lt;&gt;"",AU279&lt;&gt;"",AW279&lt;&gt;""),"Closed","Open"))</f>
        <v>Closed</v>
      </c>
      <c r="AY279" s="15" t="str">
        <f t="shared" si="13"/>
        <v>All dates received</v>
      </c>
      <c r="BD279" s="13">
        <f>IF($AX279="Cancelled","",IFERROR(IF(OR(AS279="",AJ279=""),"",(AJ279+Variables!$B$18-AS279)),""))</f>
        <v>368</v>
      </c>
      <c r="BE279" s="13">
        <f>IF($AX279="Cancelled","",IFERROR(IF(OR(AW279="",AS279=""),"",(AS279+Variables!$B$19)-AW279),""))</f>
        <v>-6</v>
      </c>
      <c r="BF279" s="44">
        <f>IF($AX279="Cancelled","",IFERROR(W279*INDEX(Variables!$B$7:$D$7,IFERROR(MATCH(IF($B279="Robusta","Robusta",(IF($B279="","Arabica",$B279))&amp;" - "&amp;(IF($C279="","Commercial",$C279))),Variables!$B$1:$D$1,0),1))*(BE279/365),""))</f>
        <v>-8.1544643637723855</v>
      </c>
      <c r="BG279" s="44">
        <f>IF($AX279="Cancelled","",IFERROR((W279*INDEX(Variables!$B$7:$D$7,IFERROR(MATCH(IF($B279="Robusta","Robusta",(IF($B279="","Arabica",$B279))&amp;" - "&amp;(IF($C279="","Commercial",$C279))),Variables!$B$1:$D$1,0),1))*IFERROR(IF(AB279="","",(AVERAGE(E279:F279)-AB279)-Variables!$B$14),"")/365)+(L279/16.67*INDEX(Variables!$B$8:$D$8,IFERROR(MATCH(IF($B279="Robusta","Robusta",(IF($B279="","Arabica",$B279))&amp;" - "&amp;(IF($C279="","Commercial",$C279))),Variables!$B$1:$D$1,0),1))*IFERROR(IF(AB279="","",(AVERAGE(E279:F279)-AB279)-Variables!$B$14),""))+(W279*INDEX(Variables!$B$9:$D$9,IFERROR(MATCH(IF($B279="Robusta","Robusta",(IF($B279="","Arabica",$B279))&amp;" - "&amp;(IF($C279="","Commercial",$C279))),Variables!$B$1:$D$1,0),1))*IFERROR(IF(AB279="","",(AVERAGE(E279:F279)-AB279)-Variables!$B$14),"")/365),""))</f>
        <v>-1.860773708856454</v>
      </c>
      <c r="BH279" s="44">
        <f>IF($AX279="Cancelled","",IFERROR((W279*INDEX(Variables!$B$7:$D$7,IFERROR(MATCH(IF($B279="Robusta","Robusta",(IF($B279="","Arabica",$B279))&amp;" - "&amp;(IF($C279="","Commercial",$C279))),Variables!$B$1:$D$1,0),1))*AK279/365)+(L279/16.67*INDEX(Variables!$B$8:$D$8,IFERROR(MATCH(IF($B279="Robusta","Robusta",(IF($B279="","Arabica",$B279))&amp;" - "&amp;(IF($C279="","Commercial",$C279))),Variables!$B$1:$D$1,0),1))*AK279)+(W279*INDEX(Variables!$B$9:$D$9,IFERROR(MATCH(IF($B279="Robusta","Robusta",(IF($B279="","Arabica",$B279))&amp;" - "&amp;(IF($C279="","Commercial",$C279))),Variables!$B$1:$D$1,0),1))*AK279/365),""))</f>
        <v>17.012788195259006</v>
      </c>
      <c r="BI279" s="44">
        <f>IF($AX279="Cancelled","",IFERROR((W279*INDEX(Variables!$B$7:$D$7,IFERROR(MATCH(IF($B279="Robusta","Robusta",(IF($B279="","Arabica",$B279))&amp;" - "&amp;(IF($C279="","Commercial",$C279))),Variables!$B$1:$D$1,0),1))*BD279/365)+(L279/16.67*INDEX(Variables!$B$8:$D$8,IFERROR(MATCH(IF($B279="Robusta","Robusta",(IF($B279="","Arabica",$B279))&amp;" - "&amp;(IF($C279="","Commercial",$C279))),Variables!$B$1:$D$1,0),1))*BD279)+(W279*INDEX(Variables!$B$9:$D$9,IFERROR(MATCH(IF($B279="Robusta","Robusta",(IF($B279="","Arabica",$B279))&amp;" - "&amp;(IF($C279="","Commercial",$C279))),Variables!$B$1:$D$1,0),1))*BD279/365),""))</f>
        <v>782.58825698191436</v>
      </c>
      <c r="BJ279" s="44">
        <f t="shared" si="14"/>
        <v>359</v>
      </c>
      <c r="BK279" s="44">
        <f>IF($AX279="Cancelled","",IFERROR(IF(BJ279="","",(W279*INDEX(Variables!$B$7:$D$7,IFERROR(MATCH(IF($B279="Robusta","Robusta",(IF($B279="","Arabica",$B279))&amp;" - "&amp;(IF($C279="","Commercial",$C279))),Variables!$B$1:$D$1,0),1))*(BJ279/365))+(W279*INDEX(Variables!$B$9:$D$9,IFERROR(MATCH(IF($B279="Robusta","Robusta",(IF($B279="","Arabica",$B279))&amp;" - "&amp;(IF($C279="","Commercial",$C279))),Variables!$B$1:$D$1,0),1))*(BJ279/365))+(INDEX(Variables!$B$8:$D$8,IFERROR(MATCH(IF($B279="Robusta","Robusta",(IF($B279="","Arabica",$B279))&amp;" - "&amp;(IF($C279="","Commercial",$C279))),Variables!$B$1:$D$1,0),1))*L279/16.67)),""))</f>
        <v>494.94887026224791</v>
      </c>
    </row>
    <row r="280" spans="1:63">
      <c r="A280" s="13" t="s">
        <v>103</v>
      </c>
      <c r="B280" s="13" t="s">
        <v>104</v>
      </c>
      <c r="C280" s="13" t="s">
        <v>292</v>
      </c>
      <c r="D280" s="31">
        <v>45720</v>
      </c>
      <c r="E280" s="31">
        <v>45748</v>
      </c>
      <c r="F280" s="31">
        <v>45777</v>
      </c>
      <c r="G280" s="13">
        <v>3786767</v>
      </c>
      <c r="J280" s="13" t="s">
        <v>909</v>
      </c>
      <c r="K280" s="13" t="s">
        <v>910</v>
      </c>
      <c r="L280" s="13">
        <v>20</v>
      </c>
      <c r="M280" s="13">
        <v>0</v>
      </c>
      <c r="N280" s="13" t="s">
        <v>911</v>
      </c>
      <c r="O280" s="13" t="s">
        <v>304</v>
      </c>
      <c r="P280" s="13">
        <v>10010</v>
      </c>
      <c r="R280" s="13" t="s">
        <v>239</v>
      </c>
      <c r="S280" s="13" t="s">
        <v>442</v>
      </c>
      <c r="T280" s="13" t="s">
        <v>112</v>
      </c>
      <c r="U280" s="13" t="s">
        <v>113</v>
      </c>
      <c r="V280" s="13">
        <v>106.75</v>
      </c>
      <c r="W280" s="44">
        <f>IF($AX280="Cancelled","",IFERROR(((V280+INDEX(Variables!$B$6:$D$6,IFERROR(MATCH(IF($B280="Robusta","Robusta",(IF($B280="","Arabica",$B280))&amp;" - "&amp;(IF($C280="","Commercial",$C280))),Variables!$B$1:$D$1,0),1)))*22.0462)*(L280/16.67),""))</f>
        <v>10515.257120575883</v>
      </c>
      <c r="X280" s="55" t="s">
        <v>39</v>
      </c>
      <c r="Y280" s="13" t="str">
        <f>IF($AX280="Cancelled","",IF(X280="","",IFERROR(IF(INDEX(Variables!$B$38:$B$47,MATCH(X280,Variables!$A$38:$A$47,0))="Yes","Yes","No"),"No")))</f>
        <v>No</v>
      </c>
      <c r="Z280" s="31"/>
      <c r="AB280" s="31">
        <v>45702.875</v>
      </c>
      <c r="AC280" s="13" t="str">
        <f t="shared" si="12"/>
        <v>Approved</v>
      </c>
      <c r="AF280" s="71">
        <f>AJ280-7</f>
        <v>45776</v>
      </c>
      <c r="AG280" s="36">
        <f>IF($AX280="Cancelled","",IFERROR(IF(F280="","",F280-Variables!$B$13),""))</f>
        <v>45762</v>
      </c>
      <c r="AH280" s="13">
        <f>IF($AX280="Cancelled","",IFERROR(IF(AB280="","",(AVERAGE(E280:F280)-AB280)-Variables!$B$14),""))</f>
        <v>29.625</v>
      </c>
      <c r="AJ280" s="47">
        <v>45783</v>
      </c>
      <c r="AK280" s="14">
        <f>IF($AX280="Cancelled","",IFERROR(IF(AJ280="","",IF(AND(AB280="",AF280=""),"",IF(AF280&gt;AB280,AF280+Variables!$B$15+Variables!$B$16+Variables!$B$17-AJ280,AB280+Variables!$B$16+Variables!$B$17-AJ280))),""))</f>
        <v>8</v>
      </c>
      <c r="AL280" s="48" t="s">
        <v>114</v>
      </c>
      <c r="AM280" s="13" t="s">
        <v>168</v>
      </c>
      <c r="AN280" s="13" t="s">
        <v>805</v>
      </c>
      <c r="AP280" s="31">
        <v>45786</v>
      </c>
      <c r="AR280" s="13" t="s">
        <v>3256</v>
      </c>
      <c r="AS280" s="31">
        <v>45791</v>
      </c>
      <c r="AU280" s="31">
        <v>45811</v>
      </c>
      <c r="AV280" s="13" t="s">
        <v>865</v>
      </c>
      <c r="AW280" s="31">
        <v>45818</v>
      </c>
      <c r="AX280" s="13" t="str">
        <f>IF(ISNUMBER(SEARCH("cancel",#REF!)),"Cancelled",IF(AND(AS280&lt;&gt;"",AU280&lt;&gt;"",AW280&lt;&gt;""),"Closed","Open"))</f>
        <v>Closed</v>
      </c>
      <c r="AY280" s="15" t="str">
        <f t="shared" si="13"/>
        <v>All dates received</v>
      </c>
      <c r="BD280" s="13">
        <f>IF($AX280="Cancelled","",IFERROR(IF(OR(AS280="",AJ280=""),"",(AJ280+Variables!$B$18-AS280)),""))</f>
        <v>7</v>
      </c>
      <c r="BE280" s="13">
        <f>IF($AX280="Cancelled","",IFERROR(IF(OR(AW280="",AS280=""),"",(AS280+Variables!$B$19)-AW280),""))</f>
        <v>-22</v>
      </c>
      <c r="BF280" s="44">
        <f>IF($AX280="Cancelled","",IFERROR(W280*INDEX(Variables!$B$7:$D$7,IFERROR(MATCH(IF($B280="Robusta","Robusta",(IF($B280="","Arabica",$B280))&amp;" - "&amp;(IF($C280="","Commercial",$C280))),Variables!$B$1:$D$1,0),1))*(BE280/365),""))</f>
        <v>-40.868581039476062</v>
      </c>
      <c r="BG280" s="44">
        <f>IF($AX280="Cancelled","",IFERROR((W280*INDEX(Variables!$B$7:$D$7,IFERROR(MATCH(IF($B280="Robusta","Robusta",(IF($B280="","Arabica",$B280))&amp;" - "&amp;(IF($C280="","Commercial",$C280))),Variables!$B$1:$D$1,0),1))*IFERROR(IF(AB280="","",(AVERAGE(E280:F280)-AB280)-Variables!$B$14),"")/365)+(L280/16.67*INDEX(Variables!$B$8:$D$8,IFERROR(MATCH(IF($B280="Robusta","Robusta",(IF($B280="","Arabica",$B280))&amp;" - "&amp;(IF($C280="","Commercial",$C280))),Variables!$B$1:$D$1,0),1))*IFERROR(IF(AB280="","",(AVERAGE(E280:F280)-AB280)-Variables!$B$14),""))+(W280*INDEX(Variables!$B$9:$D$9,IFERROR(MATCH(IF($B280="Robusta","Robusta",(IF($B280="","Arabica",$B280))&amp;" - "&amp;(IF($C280="","Commercial",$C280))),Variables!$B$1:$D$1,0),1))*IFERROR(IF(AB280="","",(AVERAGE(E280:F280)-AB280)-Variables!$B$14),"")/365),""))</f>
        <v>85.367744619486885</v>
      </c>
      <c r="BH280" s="44">
        <f>IF($AX280="Cancelled","",IFERROR((W280*INDEX(Variables!$B$7:$D$7,IFERROR(MATCH(IF($B280="Robusta","Robusta",(IF($B280="","Arabica",$B280))&amp;" - "&amp;(IF($C280="","Commercial",$C280))),Variables!$B$1:$D$1,0),1))*AK280/365)+(L280/16.67*INDEX(Variables!$B$8:$D$8,IFERROR(MATCH(IF($B280="Robusta","Robusta",(IF($B280="","Arabica",$B280))&amp;" - "&amp;(IF($C280="","Commercial",$C280))),Variables!$B$1:$D$1,0),1))*AK280)+(W280*INDEX(Variables!$B$9:$D$9,IFERROR(MATCH(IF($B280="Robusta","Robusta",(IF($B280="","Arabica",$B280))&amp;" - "&amp;(IF($C280="","Commercial",$C280))),Variables!$B$1:$D$1,0),1))*AK280/365),""))</f>
        <v>23.052893061802369</v>
      </c>
      <c r="BI280" s="44">
        <f>IF($AX280="Cancelled","",IFERROR((W280*INDEX(Variables!$B$7:$D$7,IFERROR(MATCH(IF($B280="Robusta","Robusta",(IF($B280="","Arabica",$B280))&amp;" - "&amp;(IF($C280="","Commercial",$C280))),Variables!$B$1:$D$1,0),1))*BD280/365)+(L280/16.67*INDEX(Variables!$B$8:$D$8,IFERROR(MATCH(IF($B280="Robusta","Robusta",(IF($B280="","Arabica",$B280))&amp;" - "&amp;(IF($C280="","Commercial",$C280))),Variables!$B$1:$D$1,0),1))*BD280)+(W280*INDEX(Variables!$B$9:$D$9,IFERROR(MATCH(IF($B280="Robusta","Robusta",(IF($B280="","Arabica",$B280))&amp;" - "&amp;(IF($C280="","Commercial",$C280))),Variables!$B$1:$D$1,0),1))*BD280/365),""))</f>
        <v>20.171281429077073</v>
      </c>
      <c r="BJ280" s="44">
        <f t="shared" si="14"/>
        <v>-14</v>
      </c>
      <c r="BK280" s="44">
        <f>IF($AX280="Cancelled","",IFERROR(IF(BJ280="","",(W280*INDEX(Variables!$B$7:$D$7,IFERROR(MATCH(IF($B280="Robusta","Robusta",(IF($B280="","Arabica",$B280))&amp;" - "&amp;(IF($C280="","Commercial",$C280))),Variables!$B$1:$D$1,0),1))*(BJ280/365))+(W280*INDEX(Variables!$B$9:$D$9,IFERROR(MATCH(IF($B280="Robusta","Robusta",(IF($B280="","Arabica",$B280))&amp;" - "&amp;(IF($C280="","Commercial",$C280))),Variables!$B$1:$D$1,0),1))*(BJ280/365))+(INDEX(Variables!$B$8:$D$8,IFERROR(MATCH(IF($B280="Robusta","Robusta",(IF($B280="","Arabica",$B280))&amp;" - "&amp;(IF($C280="","Commercial",$C280))),Variables!$B$1:$D$1,0),1))*L280/16.67)),""))</f>
        <v>-25.342562858154142</v>
      </c>
    </row>
    <row r="281" spans="1:63">
      <c r="A281" s="13" t="s">
        <v>103</v>
      </c>
      <c r="B281" s="13" t="s">
        <v>104</v>
      </c>
      <c r="C281" s="13" t="s">
        <v>105</v>
      </c>
      <c r="D281" s="31">
        <v>45721</v>
      </c>
      <c r="E281" s="31">
        <v>45748</v>
      </c>
      <c r="F281" s="31">
        <v>45761</v>
      </c>
      <c r="G281" s="13">
        <v>3786768</v>
      </c>
      <c r="H281" s="13" t="s">
        <v>912</v>
      </c>
      <c r="J281" s="13" t="s">
        <v>118</v>
      </c>
      <c r="K281" s="13">
        <v>5214</v>
      </c>
      <c r="L281" s="13">
        <v>1800</v>
      </c>
      <c r="M281" s="13">
        <v>5</v>
      </c>
      <c r="N281" s="13" t="s">
        <v>913</v>
      </c>
      <c r="O281" s="13" t="s">
        <v>456</v>
      </c>
      <c r="P281" s="13">
        <v>10140</v>
      </c>
      <c r="Q281" s="13" t="s">
        <v>745</v>
      </c>
      <c r="R281" s="13" t="s">
        <v>122</v>
      </c>
      <c r="S281" s="13" t="s">
        <v>154</v>
      </c>
      <c r="T281" s="13" t="s">
        <v>155</v>
      </c>
      <c r="U281" s="13" t="s">
        <v>125</v>
      </c>
      <c r="V281" s="13">
        <v>-30</v>
      </c>
      <c r="W281" s="44">
        <f>IF($AX281="Cancelled","",IFERROR(((V281+INDEX(Variables!$B$6:$D$6,IFERROR(MATCH(IF($B281="Robusta","Robusta",(IF($B281="","Arabica",$B281))&amp;" - "&amp;(IF($C281="","Commercial",$C281))),Variables!$B$1:$D$1,0),1)))*22.0462)*(L281/16.67),""))</f>
        <v>620837.92009598063</v>
      </c>
      <c r="X281" s="55" t="s">
        <v>37</v>
      </c>
      <c r="Y281" s="13" t="str">
        <f>IF($AX281="Cancelled","",IF(X281="","",IFERROR(IF(INDEX(Variables!$B$38:$B$47,MATCH(X281,Variables!$A$38:$A$47,0))="Yes","Yes","No"),"No")))</f>
        <v>Yes</v>
      </c>
      <c r="Z281" s="58">
        <v>45733</v>
      </c>
      <c r="AB281" s="31">
        <v>45741</v>
      </c>
      <c r="AC281" s="13" t="str">
        <f t="shared" si="12"/>
        <v>Approved</v>
      </c>
      <c r="AF281" s="71">
        <v>45754</v>
      </c>
      <c r="AG281" s="35">
        <f>IF($AX281="Cancelled","",IFERROR(IF(F281="","",F281-Variables!$B$13),""))</f>
        <v>45746</v>
      </c>
      <c r="AH281" s="13">
        <f>IF($AX281="Cancelled","",IFERROR(IF(AB281="","",(AVERAGE(E281:F281)-AB281)-Variables!$B$14),""))</f>
        <v>-16.5</v>
      </c>
      <c r="AJ281" s="47">
        <v>45756</v>
      </c>
      <c r="AK281" s="14">
        <f>IF($AX281="Cancelled","",IFERROR(IF(AJ281="","",IF(AND(AB281="",AF281=""),"",IF(AF281&gt;AB281,AF281+Variables!$B$15+Variables!$B$16+Variables!$B$17-AJ281,AB281+Variables!$B$16+Variables!$B$17-AJ281))),""))</f>
        <v>13</v>
      </c>
      <c r="AL281" s="48" t="s">
        <v>114</v>
      </c>
      <c r="AM281" s="13" t="s">
        <v>115</v>
      </c>
      <c r="AN281" s="13" t="s">
        <v>290</v>
      </c>
      <c r="AP281" s="31">
        <v>45767</v>
      </c>
      <c r="AR281" s="13">
        <v>251686935</v>
      </c>
      <c r="AS281" s="31">
        <v>45767</v>
      </c>
      <c r="AU281" s="31">
        <v>45777</v>
      </c>
      <c r="AV281" s="13" t="s">
        <v>865</v>
      </c>
      <c r="AW281" s="31">
        <v>45777</v>
      </c>
      <c r="AX281" s="13" t="str">
        <f>IF(ISNUMBER(SEARCH("cancel",#REF!)),"Cancelled",IF(AND(AS281&lt;&gt;"",AU281&lt;&gt;"",AW281&lt;&gt;""),"Closed","Open"))</f>
        <v>Closed</v>
      </c>
      <c r="AY281" s="15" t="str">
        <f t="shared" si="13"/>
        <v>All dates received</v>
      </c>
      <c r="BD281" s="13">
        <f>IF($AX281="Cancelled","",IFERROR(IF(OR(AS281="",AJ281=""),"",(AJ281+Variables!$B$18-AS281)),""))</f>
        <v>4</v>
      </c>
      <c r="BE281" s="13">
        <f>IF($AX281="Cancelled","",IFERROR(IF(OR(AW281="",AS281=""),"",(AS281+Variables!$B$19)-AW281),""))</f>
        <v>-5</v>
      </c>
      <c r="BF281" s="44">
        <f>IF($AX281="Cancelled","",IFERROR(W281*INDEX(Variables!$B$7:$D$7,IFERROR(MATCH(IF($B281="Robusta","Robusta",(IF($B281="","Arabica",$B281))&amp;" - "&amp;(IF($C281="","Commercial",$C281))),Variables!$B$1:$D$1,0),1))*(BE281/365),""))</f>
        <v>-548.39719083853481</v>
      </c>
      <c r="BG281" s="44">
        <f>IF($AX281="Cancelled","",IFERROR((W281*INDEX(Variables!$B$7:$D$7,IFERROR(MATCH(IF($B281="Robusta","Robusta",(IF($B281="","Arabica",$B281))&amp;" - "&amp;(IF($C281="","Commercial",$C281))),Variables!$B$1:$D$1,0),1))*IFERROR(IF(AB281="","",(AVERAGE(E281:F281)-AB281)-Variables!$B$14),"")/365)+(L281/16.67*INDEX(Variables!$B$8:$D$8,IFERROR(MATCH(IF($B281="Robusta","Robusta",(IF($B281="","Arabica",$B281))&amp;" - "&amp;(IF($C281="","Commercial",$C281))),Variables!$B$1:$D$1,0),1))*IFERROR(IF(AB281="","",(AVERAGE(E281:F281)-AB281)-Variables!$B$14),""))+(W281*INDEX(Variables!$B$9:$D$9,IFERROR(MATCH(IF($B281="Robusta","Robusta",(IF($B281="","Arabica",$B281))&amp;" - "&amp;(IF($C281="","Commercial",$C281))),Variables!$B$1:$D$1,0),1))*IFERROR(IF(AB281="","",(AVERAGE(E281:F281)-AB281)-Variables!$B$14),"")/365),""))</f>
        <v>-3318.0413935729198</v>
      </c>
      <c r="BH281" s="44">
        <f>IF($AX281="Cancelled","",IFERROR((W281*INDEX(Variables!$B$7:$D$7,IFERROR(MATCH(IF($B281="Robusta","Robusta",(IF($B281="","Arabica",$B281))&amp;" - "&amp;(IF($C281="","Commercial",$C281))),Variables!$B$1:$D$1,0),1))*AK281/365)+(L281/16.67*INDEX(Variables!$B$8:$D$8,IFERROR(MATCH(IF($B281="Robusta","Robusta",(IF($B281="","Arabica",$B281))&amp;" - "&amp;(IF($C281="","Commercial",$C281))),Variables!$B$1:$D$1,0),1))*AK281)+(W281*INDEX(Variables!$B$9:$D$9,IFERROR(MATCH(IF($B281="Robusta","Robusta",(IF($B281="","Arabica",$B281))&amp;" - "&amp;(IF($C281="","Commercial",$C281))),Variables!$B$1:$D$1,0),1))*AK281/365),""))</f>
        <v>2614.2144312998762</v>
      </c>
      <c r="BI281" s="44">
        <f>IF($AX281="Cancelled","",IFERROR((W281*INDEX(Variables!$B$7:$D$7,IFERROR(MATCH(IF($B281="Robusta","Robusta",(IF($B281="","Arabica",$B281))&amp;" - "&amp;(IF($C281="","Commercial",$C281))),Variables!$B$1:$D$1,0),1))*BD281/365)+(L281/16.67*INDEX(Variables!$B$8:$D$8,IFERROR(MATCH(IF($B281="Robusta","Robusta",(IF($B281="","Arabica",$B281))&amp;" - "&amp;(IF($C281="","Commercial",$C281))),Variables!$B$1:$D$1,0),1))*BD281)+(W281*INDEX(Variables!$B$9:$D$9,IFERROR(MATCH(IF($B281="Robusta","Robusta",(IF($B281="","Arabica",$B281))&amp;" - "&amp;(IF($C281="","Commercial",$C281))),Variables!$B$1:$D$1,0),1))*BD281/365),""))</f>
        <v>804.37367116919268</v>
      </c>
      <c r="BJ281" s="44">
        <f t="shared" si="14"/>
        <v>-6</v>
      </c>
      <c r="BK281" s="44">
        <f>IF($AX281="Cancelled","",IFERROR(IF(BJ281="","",(W281*INDEX(Variables!$B$7:$D$7,IFERROR(MATCH(IF($B281="Robusta","Robusta",(IF($B281="","Arabica",$B281))&amp;" - "&amp;(IF($C281="","Commercial",$C281))),Variables!$B$1:$D$1,0),1))*(BJ281/365))+(W281*INDEX(Variables!$B$9:$D$9,IFERROR(MATCH(IF($B281="Robusta","Robusta",(IF($B281="","Arabica",$B281))&amp;" - "&amp;(IF($C281="","Commercial",$C281))),Variables!$B$1:$D$1,0),1))*(BJ281/365))+(INDEX(Variables!$B$8:$D$8,IFERROR(MATCH(IF($B281="Robusta","Robusta",(IF($B281="","Arabica",$B281))&amp;" - "&amp;(IF($C281="","Commercial",$C281))),Variables!$B$1:$D$1,0),1))*L281/16.67)),""))</f>
        <v>-576.5605067537889</v>
      </c>
    </row>
    <row r="282" spans="1:63">
      <c r="A282" s="13" t="s">
        <v>103</v>
      </c>
      <c r="B282" s="13" t="s">
        <v>104</v>
      </c>
      <c r="C282" s="13" t="s">
        <v>105</v>
      </c>
      <c r="D282" s="31">
        <v>45721</v>
      </c>
      <c r="E282" s="31">
        <v>45762</v>
      </c>
      <c r="F282" s="31">
        <v>45777</v>
      </c>
      <c r="G282" s="13">
        <v>3786769</v>
      </c>
      <c r="H282" s="13" t="s">
        <v>914</v>
      </c>
      <c r="J282" s="13" t="s">
        <v>118</v>
      </c>
      <c r="K282" s="13">
        <v>5226</v>
      </c>
      <c r="L282" s="13">
        <v>1800</v>
      </c>
      <c r="M282" s="13">
        <v>5</v>
      </c>
      <c r="N282" s="13" t="s">
        <v>913</v>
      </c>
      <c r="O282" s="13" t="s">
        <v>456</v>
      </c>
      <c r="P282" s="13">
        <v>10140</v>
      </c>
      <c r="Q282" s="13" t="s">
        <v>745</v>
      </c>
      <c r="R282" s="13" t="s">
        <v>122</v>
      </c>
      <c r="S282" s="13" t="s">
        <v>154</v>
      </c>
      <c r="T282" s="13" t="s">
        <v>155</v>
      </c>
      <c r="U282" s="13" t="s">
        <v>125</v>
      </c>
      <c r="V282" s="13">
        <v>-45</v>
      </c>
      <c r="W282" s="44">
        <f>IF($AX282="Cancelled","",IFERROR(((V282+INDEX(Variables!$B$6:$D$6,IFERROR(MATCH(IF($B282="Robusta","Robusta",(IF($B282="","Arabica",$B282))&amp;" - "&amp;(IF($C282="","Commercial",$C282))),Variables!$B$1:$D$1,0),1)))*22.0462)*(L282/16.67),""))</f>
        <v>585130.21763647266</v>
      </c>
      <c r="X282" s="55" t="s">
        <v>37</v>
      </c>
      <c r="Y282" s="13" t="str">
        <f>IF($AX282="Cancelled","",IF(X282="","",IFERROR(IF(INDEX(Variables!$B$38:$B$47,MATCH(X282,Variables!$A$38:$A$47,0))="Yes","Yes","No"),"No")))</f>
        <v>Yes</v>
      </c>
      <c r="Z282" s="58">
        <v>45723</v>
      </c>
      <c r="AB282" s="31">
        <v>45751</v>
      </c>
      <c r="AC282" s="13" t="str">
        <f t="shared" si="12"/>
        <v>Approved</v>
      </c>
      <c r="AF282" s="71">
        <v>45761</v>
      </c>
      <c r="AG282" s="35">
        <f>IF($AX282="Cancelled","",IFERROR(IF(F282="","",F282-Variables!$B$13),""))</f>
        <v>45762</v>
      </c>
      <c r="AH282" s="13">
        <f>IF($AX282="Cancelled","",IFERROR(IF(AB282="","",(AVERAGE(E282:F282)-AB282)-Variables!$B$14),""))</f>
        <v>-11.5</v>
      </c>
      <c r="AJ282" s="47">
        <v>45763</v>
      </c>
      <c r="AK282" s="14">
        <f>IF($AX282="Cancelled","",IFERROR(IF(AJ282="","",IF(AND(AB282="",AF282=""),"",IF(AF282&gt;AB282,AF282+Variables!$B$15+Variables!$B$16+Variables!$B$17-AJ282,AB282+Variables!$B$16+Variables!$B$17-AJ282))),""))</f>
        <v>13</v>
      </c>
      <c r="AL282" s="48" t="s">
        <v>114</v>
      </c>
      <c r="AM282" s="13" t="s">
        <v>115</v>
      </c>
      <c r="AN282" s="13" t="s">
        <v>915</v>
      </c>
      <c r="AP282" s="31">
        <v>45776</v>
      </c>
      <c r="AR282" s="13">
        <v>252407707</v>
      </c>
      <c r="AS282" s="31">
        <v>45776</v>
      </c>
      <c r="AU282" s="31">
        <v>45785</v>
      </c>
      <c r="AV282" s="13" t="s">
        <v>865</v>
      </c>
      <c r="AW282" s="31">
        <v>45785</v>
      </c>
      <c r="AX282" s="13" t="str">
        <f>IF(ISNUMBER(SEARCH("cancel",#REF!)),"Cancelled",IF(AND(AS282&lt;&gt;"",AU282&lt;&gt;"",AW282&lt;&gt;""),"Closed","Open"))</f>
        <v>Closed</v>
      </c>
      <c r="AY282" s="15" t="str">
        <f t="shared" si="13"/>
        <v>All dates received</v>
      </c>
      <c r="BD282" s="13">
        <f>IF($AX282="Cancelled","",IFERROR(IF(OR(AS282="",AJ282=""),"",(AJ282+Variables!$B$18-AS282)),""))</f>
        <v>2</v>
      </c>
      <c r="BE282" s="13">
        <f>IF($AX282="Cancelled","",IFERROR(IF(OR(AW282="",AS282=""),"",(AS282+Variables!$B$19)-AW282),""))</f>
        <v>-4</v>
      </c>
      <c r="BF282" s="44">
        <f>IF($AX282="Cancelled","",IFERROR(W282*INDEX(Variables!$B$7:$D$7,IFERROR(MATCH(IF($B282="Robusta","Robusta",(IF($B282="","Arabica",$B282))&amp;" - "&amp;(IF($C282="","Commercial",$C282))),Variables!$B$1:$D$1,0),1))*(BE282/365),""))</f>
        <v>-413.48475309236778</v>
      </c>
      <c r="BG282" s="44">
        <f>IF($AX282="Cancelled","",IFERROR((W282*INDEX(Variables!$B$7:$D$7,IFERROR(MATCH(IF($B282="Robusta","Robusta",(IF($B282="","Arabica",$B282))&amp;" - "&amp;(IF($C282="","Commercial",$C282))),Variables!$B$1:$D$1,0),1))*IFERROR(IF(AB282="","",(AVERAGE(E282:F282)-AB282)-Variables!$B$14),"")/365)+(L282/16.67*INDEX(Variables!$B$8:$D$8,IFERROR(MATCH(IF($B282="Robusta","Robusta",(IF($B282="","Arabica",$B282))&amp;" - "&amp;(IF($C282="","Commercial",$C282))),Variables!$B$1:$D$1,0),1))*IFERROR(IF(AB282="","",(AVERAGE(E282:F282)-AB282)-Variables!$B$14),""))+(W282*INDEX(Variables!$B$9:$D$9,IFERROR(MATCH(IF($B282="Robusta","Robusta",(IF($B282="","Arabica",$B282))&amp;" - "&amp;(IF($C282="","Commercial",$C282))),Variables!$B$1:$D$1,0),1))*IFERROR(IF(AB282="","",(AVERAGE(E282:F282)-AB282)-Variables!$B$14),"")/365),""))</f>
        <v>-2239.0941873983488</v>
      </c>
      <c r="BH282" s="44">
        <f>IF($AX282="Cancelled","",IFERROR((W282*INDEX(Variables!$B$7:$D$7,IFERROR(MATCH(IF($B282="Robusta","Robusta",(IF($B282="","Arabica",$B282))&amp;" - "&amp;(IF($C282="","Commercial",$C282))),Variables!$B$1:$D$1,0),1))*AK282/365)+(L282/16.67*INDEX(Variables!$B$8:$D$8,IFERROR(MATCH(IF($B282="Robusta","Robusta",(IF($B282="","Arabica",$B282))&amp;" - "&amp;(IF($C282="","Commercial",$C282))),Variables!$B$1:$D$1,0),1))*AK282)+(W282*INDEX(Variables!$B$9:$D$9,IFERROR(MATCH(IF($B282="Robusta","Robusta",(IF($B282="","Arabica",$B282))&amp;" - "&amp;(IF($C282="","Commercial",$C282))),Variables!$B$1:$D$1,0),1))*AK282/365),""))</f>
        <v>2531.1499509720461</v>
      </c>
      <c r="BI282" s="44">
        <f>IF($AX282="Cancelled","",IFERROR((W282*INDEX(Variables!$B$7:$D$7,IFERROR(MATCH(IF($B282="Robusta","Robusta",(IF($B282="","Arabica",$B282))&amp;" - "&amp;(IF($C282="","Commercial",$C282))),Variables!$B$1:$D$1,0),1))*BD282/365)+(L282/16.67*INDEX(Variables!$B$8:$D$8,IFERROR(MATCH(IF($B282="Robusta","Robusta",(IF($B282="","Arabica",$B282))&amp;" - "&amp;(IF($C282="","Commercial",$C282))),Variables!$B$1:$D$1,0),1))*BD282)+(W282*INDEX(Variables!$B$9:$D$9,IFERROR(MATCH(IF($B282="Robusta","Robusta",(IF($B282="","Arabica",$B282))&amp;" - "&amp;(IF($C282="","Commercial",$C282))),Variables!$B$1:$D$1,0),1))*BD282/365),""))</f>
        <v>389.4076847649302</v>
      </c>
      <c r="BJ282" s="44">
        <f t="shared" si="14"/>
        <v>1</v>
      </c>
      <c r="BK282" s="44">
        <f>IF($AX282="Cancelled","",IFERROR(IF(BJ282="","",(W282*INDEX(Variables!$B$7:$D$7,IFERROR(MATCH(IF($B282="Robusta","Robusta",(IF($B282="","Arabica",$B282))&amp;" - "&amp;(IF($C282="","Commercial",$C282))),Variables!$B$1:$D$1,0),1))*(BJ282/365))+(W282*INDEX(Variables!$B$9:$D$9,IFERROR(MATCH(IF($B282="Robusta","Robusta",(IF($B282="","Arabica",$B282))&amp;" - "&amp;(IF($C282="","Commercial",$C282))),Variables!$B$1:$D$1,0),1))*(BJ282/365))+(INDEX(Variables!$B$8:$D$8,IFERROR(MATCH(IF($B282="Robusta","Robusta",(IF($B282="","Arabica",$B282))&amp;" - "&amp;(IF($C282="","Commercial",$C282))),Variables!$B$1:$D$1,0),1))*L282/16.67)),""))</f>
        <v>194.7038423824651</v>
      </c>
    </row>
    <row r="283" spans="1:63">
      <c r="A283" s="13" t="s">
        <v>103</v>
      </c>
      <c r="B283" s="13" t="s">
        <v>104</v>
      </c>
      <c r="C283" s="13" t="s">
        <v>105</v>
      </c>
      <c r="D283" s="31">
        <v>45722</v>
      </c>
      <c r="E283" s="31">
        <v>45748</v>
      </c>
      <c r="F283" s="31">
        <v>45777</v>
      </c>
      <c r="G283" s="13">
        <v>3786770</v>
      </c>
      <c r="H283" s="13">
        <v>4576400</v>
      </c>
      <c r="J283" s="13" t="s">
        <v>916</v>
      </c>
      <c r="K283" s="13">
        <v>5223</v>
      </c>
      <c r="L283" s="13">
        <v>320</v>
      </c>
      <c r="M283" s="13">
        <v>1</v>
      </c>
      <c r="N283" s="13" t="s">
        <v>261</v>
      </c>
      <c r="O283" s="13" t="s">
        <v>917</v>
      </c>
      <c r="P283" s="13">
        <v>10060</v>
      </c>
      <c r="R283" s="13" t="s">
        <v>110</v>
      </c>
      <c r="S283" s="13" t="s">
        <v>918</v>
      </c>
      <c r="T283" s="13" t="s">
        <v>124</v>
      </c>
      <c r="U283" s="13" t="s">
        <v>125</v>
      </c>
      <c r="V283" s="13">
        <v>15</v>
      </c>
      <c r="W283" s="44">
        <f>IF($AX283="Cancelled","",IFERROR(((V283+INDEX(Variables!$B$6:$D$6,IFERROR(MATCH(IF($B283="Robusta","Robusta",(IF($B283="","Arabica",$B283))&amp;" - "&amp;(IF($C283="","Commercial",$C283))),Variables!$B$1:$D$1,0),1)))*22.0462)*(L283/16.67),""))</f>
        <v>129415.29377324534</v>
      </c>
      <c r="X283" s="55" t="s">
        <v>37</v>
      </c>
      <c r="Y283" s="13" t="str">
        <f>IF($AX283="Cancelled","",IF(X283="","",IFERROR(IF(INDEX(Variables!$B$38:$B$47,MATCH(X283,Variables!$A$38:$A$47,0))="Yes","Yes","No"),"No")))</f>
        <v>Yes</v>
      </c>
      <c r="Z283" s="58">
        <v>45734</v>
      </c>
      <c r="AB283" s="31">
        <v>45748</v>
      </c>
      <c r="AC283" s="13" t="str">
        <f t="shared" si="12"/>
        <v>Approved</v>
      </c>
      <c r="AF283" s="71">
        <v>45756</v>
      </c>
      <c r="AG283" s="35">
        <f>IF($AX283="Cancelled","",IFERROR(IF(F283="","",F283-Variables!$B$13),""))</f>
        <v>45762</v>
      </c>
      <c r="AH283" s="13">
        <f>IF($AX283="Cancelled","",IFERROR(IF(AB283="","",(AVERAGE(E283:F283)-AB283)-Variables!$B$14),""))</f>
        <v>-15.5</v>
      </c>
      <c r="AJ283" s="47">
        <v>45757</v>
      </c>
      <c r="AK283" s="14">
        <f>IF($AX283="Cancelled","",IFERROR(IF(AJ283="","",IF(AND(AB283="",AF283=""),"",IF(AF283&gt;AB283,AF283+Variables!$B$15+Variables!$B$16+Variables!$B$17-AJ283,AB283+Variables!$B$16+Variables!$B$17-AJ283))),""))</f>
        <v>14</v>
      </c>
      <c r="AL283" s="48" t="s">
        <v>114</v>
      </c>
      <c r="AM283" s="13" t="s">
        <v>115</v>
      </c>
      <c r="AN283" s="13" t="s">
        <v>919</v>
      </c>
      <c r="AP283" s="31">
        <v>45773</v>
      </c>
      <c r="AR283" s="13">
        <v>252407628</v>
      </c>
      <c r="AS283" s="31">
        <v>45773</v>
      </c>
      <c r="AU283" s="31">
        <v>45779</v>
      </c>
      <c r="AV283" s="13" t="s">
        <v>920</v>
      </c>
      <c r="AW283" s="31">
        <v>45793</v>
      </c>
      <c r="AX283" s="13" t="str">
        <f>IF(ISNUMBER(SEARCH("cancel",#REF!)),"Cancelled",IF(AND(AS283&lt;&gt;"",AU283&lt;&gt;"",AW283&lt;&gt;""),"Closed","Open"))</f>
        <v>Closed</v>
      </c>
      <c r="AY283" s="15" t="str">
        <f t="shared" si="13"/>
        <v>All dates received</v>
      </c>
      <c r="BD283" s="13">
        <f>IF($AX283="Cancelled","",IFERROR(IF(OR(AS283="",AJ283=""),"",(AJ283+Variables!$B$18-AS283)),""))</f>
        <v>-1</v>
      </c>
      <c r="BE283" s="13">
        <f>IF($AX283="Cancelled","",IFERROR(IF(OR(AW283="",AS283=""),"",(AS283+Variables!$B$19)-AW283),""))</f>
        <v>-15</v>
      </c>
      <c r="BF283" s="44">
        <f>IF($AX283="Cancelled","",IFERROR(W283*INDEX(Variables!$B$7:$D$7,IFERROR(MATCH(IF($B283="Robusta","Robusta",(IF($B283="","Arabica",$B283))&amp;" - "&amp;(IF($C283="","Commercial",$C283))),Variables!$B$1:$D$1,0),1))*(BE283/365),""))</f>
        <v>-342.94450093747236</v>
      </c>
      <c r="BG283" s="44">
        <f>IF($AX283="Cancelled","",IFERROR((W283*INDEX(Variables!$B$7:$D$7,IFERROR(MATCH(IF($B283="Robusta","Robusta",(IF($B283="","Arabica",$B283))&amp;" - "&amp;(IF($C283="","Commercial",$C283))),Variables!$B$1:$D$1,0),1))*IFERROR(IF(AB283="","",(AVERAGE(E283:F283)-AB283)-Variables!$B$14),"")/365)+(L283/16.67*INDEX(Variables!$B$8:$D$8,IFERROR(MATCH(IF($B283="Robusta","Robusta",(IF($B283="","Arabica",$B283))&amp;" - "&amp;(IF($C283="","Commercial",$C283))),Variables!$B$1:$D$1,0),1))*IFERROR(IF(AB283="","",(AVERAGE(E283:F283)-AB283)-Variables!$B$14),""))+(W283*INDEX(Variables!$B$9:$D$9,IFERROR(MATCH(IF($B283="Robusta","Robusta",(IF($B283="","Arabica",$B283))&amp;" - "&amp;(IF($C283="","Commercial",$C283))),Variables!$B$1:$D$1,0),1))*IFERROR(IF(AB283="","",(AVERAGE(E283:F283)-AB283)-Variables!$B$14),"")/365),""))</f>
        <v>-606.94457463784204</v>
      </c>
      <c r="BH283" s="44">
        <f>IF($AX283="Cancelled","",IFERROR((W283*INDEX(Variables!$B$7:$D$7,IFERROR(MATCH(IF($B283="Robusta","Robusta",(IF($B283="","Arabica",$B283))&amp;" - "&amp;(IF($C283="","Commercial",$C283))),Variables!$B$1:$D$1,0),1))*AK283/365)+(L283/16.67*INDEX(Variables!$B$8:$D$8,IFERROR(MATCH(IF($B283="Robusta","Robusta",(IF($B283="","Arabica",$B283))&amp;" - "&amp;(IF($C283="","Commercial",$C283))),Variables!$B$1:$D$1,0),1))*AK283)+(W283*INDEX(Variables!$B$9:$D$9,IFERROR(MATCH(IF($B283="Robusta","Robusta",(IF($B283="","Arabica",$B283))&amp;" - "&amp;(IF($C283="","Commercial",$C283))),Variables!$B$1:$D$1,0),1))*AK283/365),""))</f>
        <v>548.20800289869612</v>
      </c>
      <c r="BI283" s="44">
        <f>IF($AX283="Cancelled","",IFERROR((W283*INDEX(Variables!$B$7:$D$7,IFERROR(MATCH(IF($B283="Robusta","Robusta",(IF($B283="","Arabica",$B283))&amp;" - "&amp;(IF($C283="","Commercial",$C283))),Variables!$B$1:$D$1,0),1))*BD283/365)+(L283/16.67*INDEX(Variables!$B$8:$D$8,IFERROR(MATCH(IF($B283="Robusta","Robusta",(IF($B283="","Arabica",$B283))&amp;" - "&amp;(IF($C283="","Commercial",$C283))),Variables!$B$1:$D$1,0),1))*BD283)+(W283*INDEX(Variables!$B$9:$D$9,IFERROR(MATCH(IF($B283="Robusta","Robusta",(IF($B283="","Arabica",$B283))&amp;" - "&amp;(IF($C283="","Commercial",$C283))),Variables!$B$1:$D$1,0),1))*BD283/365),""))</f>
        <v>-39.157714492764001</v>
      </c>
      <c r="BJ283" s="44">
        <f t="shared" si="14"/>
        <v>4</v>
      </c>
      <c r="BK283" s="44">
        <f>IF($AX283="Cancelled","",IFERROR(IF(BJ283="","",(W283*INDEX(Variables!$B$7:$D$7,IFERROR(MATCH(IF($B283="Robusta","Robusta",(IF($B283="","Arabica",$B283))&amp;" - "&amp;(IF($C283="","Commercial",$C283))),Variables!$B$1:$D$1,0),1))*(BJ283/365))+(W283*INDEX(Variables!$B$9:$D$9,IFERROR(MATCH(IF($B283="Robusta","Robusta",(IF($B283="","Arabica",$B283))&amp;" - "&amp;(IF($C283="","Commercial",$C283))),Variables!$B$1:$D$1,0),1))*(BJ283/365))+(INDEX(Variables!$B$8:$D$8,IFERROR(MATCH(IF($B283="Robusta","Robusta",(IF($B283="","Arabica",$B283))&amp;" - "&amp;(IF($C283="","Commercial",$C283))),Variables!$B$1:$D$1,0),1))*L283/16.67)),""))</f>
        <v>108.630857971056</v>
      </c>
    </row>
    <row r="284" spans="1:63">
      <c r="A284" s="13" t="s">
        <v>103</v>
      </c>
      <c r="B284" s="13" t="s">
        <v>104</v>
      </c>
      <c r="C284" s="13" t="s">
        <v>292</v>
      </c>
      <c r="D284" s="31">
        <v>45722</v>
      </c>
      <c r="E284" s="31">
        <v>45748</v>
      </c>
      <c r="F284" s="31">
        <v>45777</v>
      </c>
      <c r="G284" s="13">
        <v>3786771</v>
      </c>
      <c r="J284" s="13" t="s">
        <v>773</v>
      </c>
      <c r="K284" s="13" t="s">
        <v>921</v>
      </c>
      <c r="L284" s="13">
        <v>7</v>
      </c>
      <c r="M284" s="13">
        <v>1</v>
      </c>
      <c r="N284" s="13" t="s">
        <v>922</v>
      </c>
      <c r="O284" s="13" t="s">
        <v>771</v>
      </c>
      <c r="P284" s="13">
        <v>10010</v>
      </c>
      <c r="R284" s="13" t="s">
        <v>384</v>
      </c>
      <c r="S284" s="13" t="s">
        <v>776</v>
      </c>
      <c r="T284" s="13" t="s">
        <v>777</v>
      </c>
      <c r="U284" s="13" t="s">
        <v>125</v>
      </c>
      <c r="V284" s="13">
        <v>107</v>
      </c>
      <c r="W284" s="44">
        <f>IF($AX284="Cancelled","",IFERROR(((V284+INDEX(Variables!$B$6:$D$6,IFERROR(MATCH(IF($B284="Robusta","Robusta",(IF($B284="","Arabica",$B284))&amp;" - "&amp;(IF($C284="","Commercial",$C284))),Variables!$B$1:$D$1,0),1)))*22.0462)*(L284/16.67),""))</f>
        <v>3682.6543803239347</v>
      </c>
      <c r="X284" s="55" t="s">
        <v>39</v>
      </c>
      <c r="Y284" s="13" t="str">
        <f>IF($AX284="Cancelled","",IF(X284="","",IFERROR(IF(INDEX(Variables!$B$38:$B$47,MATCH(X284,Variables!$A$38:$A$47,0))="Yes","Yes","No"),"No")))</f>
        <v>No</v>
      </c>
      <c r="Z284" s="31"/>
      <c r="AB284" s="31">
        <v>45731.875</v>
      </c>
      <c r="AC284" s="13" t="str">
        <f t="shared" si="12"/>
        <v>Approved</v>
      </c>
      <c r="AF284" s="71">
        <f>AJ284-7</f>
        <v>45778</v>
      </c>
      <c r="AG284" s="36">
        <f>IF($AX284="Cancelled","",IFERROR(IF(F284="","",F284-Variables!$B$13),""))</f>
        <v>45762</v>
      </c>
      <c r="AH284" s="13">
        <f>IF($AX284="Cancelled","",IFERROR(IF(AB284="","",(AVERAGE(E284:F284)-AB284)-Variables!$B$14),""))</f>
        <v>0.625</v>
      </c>
      <c r="AJ284" s="47">
        <v>45785</v>
      </c>
      <c r="AK284" s="14">
        <f>IF($AX284="Cancelled","",IFERROR(IF(AJ284="","",IF(AND(AB284="",AF284=""),"",IF(AF284&gt;AB284,AF284+Variables!$B$15+Variables!$B$16+Variables!$B$17-AJ284,AB284+Variables!$B$16+Variables!$B$17-AJ284))),""))</f>
        <v>8</v>
      </c>
      <c r="AL284" s="48" t="s">
        <v>114</v>
      </c>
      <c r="AM284" s="13" t="s">
        <v>115</v>
      </c>
      <c r="AN284" s="13" t="s">
        <v>370</v>
      </c>
      <c r="AP284" s="31">
        <v>45789</v>
      </c>
      <c r="AR284" s="13">
        <v>253545561</v>
      </c>
      <c r="AS284" s="31">
        <v>45792</v>
      </c>
      <c r="AU284" s="31">
        <v>45805</v>
      </c>
      <c r="AV284" s="13" t="s">
        <v>1255</v>
      </c>
      <c r="AW284" s="31">
        <v>45807</v>
      </c>
      <c r="AX284" s="13" t="str">
        <f>IF(ISNUMBER(SEARCH("cancel",#REF!)),"Cancelled",IF(AND(AS284&lt;&gt;"",AU284&lt;&gt;"",AW284&lt;&gt;""),"Closed","Open"))</f>
        <v>Closed</v>
      </c>
      <c r="AY284" s="15" t="str">
        <f t="shared" si="13"/>
        <v>All dates received</v>
      </c>
      <c r="BD284" s="13">
        <f>IF($AX284="Cancelled","",IFERROR(IF(OR(AS284="",AJ284=""),"",(AJ284+Variables!$B$18-AS284)),""))</f>
        <v>8</v>
      </c>
      <c r="BE284" s="13">
        <f>IF($AX284="Cancelled","",IFERROR(IF(OR(AW284="",AS284=""),"",(AS284+Variables!$B$19)-AW284),""))</f>
        <v>-10</v>
      </c>
      <c r="BF284" s="44">
        <f>IF($AX284="Cancelled","",IFERROR(W284*INDEX(Variables!$B$7:$D$7,IFERROR(MATCH(IF($B284="Robusta","Robusta",(IF($B284="","Arabica",$B284))&amp;" - "&amp;(IF($C284="","Commercial",$C284))),Variables!$B$1:$D$1,0),1))*(BE284/365),""))</f>
        <v>-6.5059083913129871</v>
      </c>
      <c r="BG284" s="44">
        <f>IF($AX284="Cancelled","",IFERROR((W284*INDEX(Variables!$B$7:$D$7,IFERROR(MATCH(IF($B284="Robusta","Robusta",(IF($B284="","Arabica",$B284))&amp;" - "&amp;(IF($C284="","Commercial",$C284))),Variables!$B$1:$D$1,0),1))*IFERROR(IF(AB284="","",(AVERAGE(E284:F284)-AB284)-Variables!$B$14),"")/365)+(L284/16.67*INDEX(Variables!$B$8:$D$8,IFERROR(MATCH(IF($B284="Robusta","Robusta",(IF($B284="","Arabica",$B284))&amp;" - "&amp;(IF($C284="","Commercial",$C284))),Variables!$B$1:$D$1,0),1))*IFERROR(IF(AB284="","",(AVERAGE(E284:F284)-AB284)-Variables!$B$14),""))+(W284*INDEX(Variables!$B$9:$D$9,IFERROR(MATCH(IF($B284="Robusta","Robusta",(IF($B284="","Arabica",$B284))&amp;" - "&amp;(IF($C284="","Commercial",$C284))),Variables!$B$1:$D$1,0),1))*IFERROR(IF(AB284="","",(AVERAGE(E284:F284)-AB284)-Variables!$B$14),"")/365),""))</f>
        <v>0.63061138162549213</v>
      </c>
      <c r="BH284" s="44">
        <f>IF($AX284="Cancelled","",IFERROR((W284*INDEX(Variables!$B$7:$D$7,IFERROR(MATCH(IF($B284="Robusta","Robusta",(IF($B284="","Arabica",$B284))&amp;" - "&amp;(IF($C284="","Commercial",$C284))),Variables!$B$1:$D$1,0),1))*AK284/365)+(L284/16.67*INDEX(Variables!$B$8:$D$8,IFERROR(MATCH(IF($B284="Robusta","Robusta",(IF($B284="","Arabica",$B284))&amp;" - "&amp;(IF($C284="","Commercial",$C284))),Variables!$B$1:$D$1,0),1))*AK284)+(W284*INDEX(Variables!$B$9:$D$9,IFERROR(MATCH(IF($B284="Robusta","Robusta",(IF($B284="","Arabica",$B284))&amp;" - "&amp;(IF($C284="","Commercial",$C284))),Variables!$B$1:$D$1,0),1))*AK284/365),""))</f>
        <v>8.0718256848062975</v>
      </c>
      <c r="BI284" s="44">
        <f>IF($AX284="Cancelled","",IFERROR((W284*INDEX(Variables!$B$7:$D$7,IFERROR(MATCH(IF($B284="Robusta","Robusta",(IF($B284="","Arabica",$B284))&amp;" - "&amp;(IF($C284="","Commercial",$C284))),Variables!$B$1:$D$1,0),1))*BD284/365)+(L284/16.67*INDEX(Variables!$B$8:$D$8,IFERROR(MATCH(IF($B284="Robusta","Robusta",(IF($B284="","Arabica",$B284))&amp;" - "&amp;(IF($C284="","Commercial",$C284))),Variables!$B$1:$D$1,0),1))*BD284)+(W284*INDEX(Variables!$B$9:$D$9,IFERROR(MATCH(IF($B284="Robusta","Robusta",(IF($B284="","Arabica",$B284))&amp;" - "&amp;(IF($C284="","Commercial",$C284))),Variables!$B$1:$D$1,0),1))*BD284/365),""))</f>
        <v>8.0718256848062975</v>
      </c>
      <c r="BJ284" s="44">
        <f t="shared" si="14"/>
        <v>-15</v>
      </c>
      <c r="BK284" s="44">
        <f>IF($AX284="Cancelled","",IFERROR(IF(BJ284="","",(W284*INDEX(Variables!$B$7:$D$7,IFERROR(MATCH(IF($B284="Robusta","Robusta",(IF($B284="","Arabica",$B284))&amp;" - "&amp;(IF($C284="","Commercial",$C284))),Variables!$B$1:$D$1,0),1))*(BJ284/365))+(W284*INDEX(Variables!$B$9:$D$9,IFERROR(MATCH(IF($B284="Robusta","Robusta",(IF($B284="","Arabica",$B284))&amp;" - "&amp;(IF($C284="","Commercial",$C284))),Variables!$B$1:$D$1,0),1))*(BJ284/365))+(INDEX(Variables!$B$8:$D$8,IFERROR(MATCH(IF($B284="Robusta","Robusta",(IF($B284="","Arabica",$B284))&amp;" - "&amp;(IF($C284="","Commercial",$C284))),Variables!$B$1:$D$1,0),1))*L284/16.67)),""))</f>
        <v>-9.5346731590118097</v>
      </c>
    </row>
    <row r="285" spans="1:63">
      <c r="A285" s="13" t="s">
        <v>103</v>
      </c>
      <c r="B285" s="13" t="s">
        <v>104</v>
      </c>
      <c r="C285" s="13" t="s">
        <v>292</v>
      </c>
      <c r="D285" s="31">
        <v>45722</v>
      </c>
      <c r="E285" s="31">
        <v>45748</v>
      </c>
      <c r="F285" s="31">
        <v>45777</v>
      </c>
      <c r="G285" s="13">
        <v>3786772</v>
      </c>
      <c r="J285" s="13" t="s">
        <v>773</v>
      </c>
      <c r="K285" s="13" t="s">
        <v>923</v>
      </c>
      <c r="L285" s="13">
        <v>9</v>
      </c>
      <c r="M285" s="13">
        <v>0</v>
      </c>
      <c r="N285" s="13" t="s">
        <v>924</v>
      </c>
      <c r="O285" s="13" t="s">
        <v>925</v>
      </c>
      <c r="P285" s="13">
        <v>10020</v>
      </c>
      <c r="R285" s="13" t="s">
        <v>384</v>
      </c>
      <c r="S285" s="13" t="s">
        <v>776</v>
      </c>
      <c r="T285" s="13" t="s">
        <v>777</v>
      </c>
      <c r="U285" s="13" t="s">
        <v>125</v>
      </c>
      <c r="V285" s="13">
        <v>90</v>
      </c>
      <c r="W285" s="44">
        <f>IF($AX285="Cancelled","",IFERROR(((V285+INDEX(Variables!$B$6:$D$6,IFERROR(MATCH(IF($B285="Robusta","Robusta",(IF($B285="","Arabica",$B285))&amp;" - "&amp;(IF($C285="","Commercial",$C285))),Variables!$B$1:$D$1,0),1)))*22.0462)*(L285/16.67),""))</f>
        <v>4532.4976988602275</v>
      </c>
      <c r="X285" s="55" t="s">
        <v>39</v>
      </c>
      <c r="Y285" s="13" t="str">
        <f>IF($AX285="Cancelled","",IF(X285="","",IFERROR(IF(INDEX(Variables!$B$38:$B$47,MATCH(X285,Variables!$A$38:$A$47,0))="Yes","Yes","No"),"No")))</f>
        <v>No</v>
      </c>
      <c r="Z285" s="31"/>
      <c r="AB285" s="31">
        <v>45731.875</v>
      </c>
      <c r="AC285" s="13" t="str">
        <f t="shared" si="12"/>
        <v>Approved</v>
      </c>
      <c r="AF285" s="71">
        <f>AJ285-7</f>
        <v>45778</v>
      </c>
      <c r="AG285" s="36">
        <f>IF($AX285="Cancelled","",IFERROR(IF(F285="","",F285-Variables!$B$13),""))</f>
        <v>45762</v>
      </c>
      <c r="AH285" s="13">
        <f>IF($AX285="Cancelled","",IFERROR(IF(AB285="","",(AVERAGE(E285:F285)-AB285)-Variables!$B$14),""))</f>
        <v>0.625</v>
      </c>
      <c r="AJ285" s="47">
        <v>45785</v>
      </c>
      <c r="AK285" s="14">
        <f>IF($AX285="Cancelled","",IFERROR(IF(AJ285="","",IF(AND(AB285="",AF285=""),"",IF(AF285&gt;AB285,AF285+Variables!$B$15+Variables!$B$16+Variables!$B$17-AJ285,AB285+Variables!$B$16+Variables!$B$17-AJ285))),""))</f>
        <v>8</v>
      </c>
      <c r="AL285" s="48" t="s">
        <v>114</v>
      </c>
      <c r="AM285" s="13" t="s">
        <v>115</v>
      </c>
      <c r="AN285" s="13" t="s">
        <v>370</v>
      </c>
      <c r="AP285" s="31">
        <v>45789</v>
      </c>
      <c r="AR285" s="13">
        <v>253545561</v>
      </c>
      <c r="AS285" s="31">
        <v>45792</v>
      </c>
      <c r="AU285" s="31">
        <v>45805</v>
      </c>
      <c r="AV285" s="13" t="s">
        <v>1255</v>
      </c>
      <c r="AW285" s="31">
        <v>45807</v>
      </c>
      <c r="AX285" s="13" t="str">
        <f>IF(ISNUMBER(SEARCH("cancel",#REF!)),"Cancelled",IF(AND(AS285&lt;&gt;"",AU285&lt;&gt;"",AW285&lt;&gt;""),"Closed","Open"))</f>
        <v>Closed</v>
      </c>
      <c r="AY285" s="15" t="str">
        <f t="shared" si="13"/>
        <v>All dates received</v>
      </c>
      <c r="BD285" s="13">
        <f>IF($AX285="Cancelled","",IFERROR(IF(OR(AS285="",AJ285=""),"",(AJ285+Variables!$B$18-AS285)),""))</f>
        <v>8</v>
      </c>
      <c r="BE285" s="13">
        <f>IF($AX285="Cancelled","",IFERROR(IF(OR(AW285="",AS285=""),"",(AS285+Variables!$B$19)-AW285),""))</f>
        <v>-10</v>
      </c>
      <c r="BF285" s="44">
        <f>IF($AX285="Cancelled","",IFERROR(W285*INDEX(Variables!$B$7:$D$7,IFERROR(MATCH(IF($B285="Robusta","Robusta",(IF($B285="","Arabica",$B285))&amp;" - "&amp;(IF($C285="","Commercial",$C285))),Variables!$B$1:$D$1,0),1))*(BE285/365),""))</f>
        <v>-8.0072718662313687</v>
      </c>
      <c r="BG285" s="44">
        <f>IF($AX285="Cancelled","",IFERROR((W285*INDEX(Variables!$B$7:$D$7,IFERROR(MATCH(IF($B285="Robusta","Robusta",(IF($B285="","Arabica",$B285))&amp;" - "&amp;(IF($C285="","Commercial",$C285))),Variables!$B$1:$D$1,0),1))*IFERROR(IF(AB285="","",(AVERAGE(E285:F285)-AB285)-Variables!$B$14),"")/365)+(L285/16.67*INDEX(Variables!$B$8:$D$8,IFERROR(MATCH(IF($B285="Robusta","Robusta",(IF($B285="","Arabica",$B285))&amp;" - "&amp;(IF($C285="","Commercial",$C285))),Variables!$B$1:$D$1,0),1))*IFERROR(IF(AB285="","",(AVERAGE(E285:F285)-AB285)-Variables!$B$14),""))+(W285*INDEX(Variables!$B$9:$D$9,IFERROR(MATCH(IF($B285="Robusta","Robusta",(IF($B285="","Arabica",$B285))&amp;" - "&amp;(IF($C285="","Commercial",$C285))),Variables!$B$1:$D$1,0),1))*IFERROR(IF(AB285="","",(AVERAGE(E285:F285)-AB285)-Variables!$B$14),"")/365),""))</f>
        <v>0.78815631584675949</v>
      </c>
      <c r="BH285" s="44">
        <f>IF($AX285="Cancelled","",IFERROR((W285*INDEX(Variables!$B$7:$D$7,IFERROR(MATCH(IF($B285="Robusta","Robusta",(IF($B285="","Arabica",$B285))&amp;" - "&amp;(IF($C285="","Commercial",$C285))),Variables!$B$1:$D$1,0),1))*AK285/365)+(L285/16.67*INDEX(Variables!$B$8:$D$8,IFERROR(MATCH(IF($B285="Robusta","Robusta",(IF($B285="","Arabica",$B285))&amp;" - "&amp;(IF($C285="","Commercial",$C285))),Variables!$B$1:$D$1,0),1))*AK285)+(W285*INDEX(Variables!$B$9:$D$9,IFERROR(MATCH(IF($B285="Robusta","Robusta",(IF($B285="","Arabica",$B285))&amp;" - "&amp;(IF($C285="","Commercial",$C285))),Variables!$B$1:$D$1,0),1))*AK285/365),""))</f>
        <v>10.088400842838519</v>
      </c>
      <c r="BI285" s="44">
        <f>IF($AX285="Cancelled","",IFERROR((W285*INDEX(Variables!$B$7:$D$7,IFERROR(MATCH(IF($B285="Robusta","Robusta",(IF($B285="","Arabica",$B285))&amp;" - "&amp;(IF($C285="","Commercial",$C285))),Variables!$B$1:$D$1,0),1))*BD285/365)+(L285/16.67*INDEX(Variables!$B$8:$D$8,IFERROR(MATCH(IF($B285="Robusta","Robusta",(IF($B285="","Arabica",$B285))&amp;" - "&amp;(IF($C285="","Commercial",$C285))),Variables!$B$1:$D$1,0),1))*BD285)+(W285*INDEX(Variables!$B$9:$D$9,IFERROR(MATCH(IF($B285="Robusta","Robusta",(IF($B285="","Arabica",$B285))&amp;" - "&amp;(IF($C285="","Commercial",$C285))),Variables!$B$1:$D$1,0),1))*BD285/365),""))</f>
        <v>10.088400842838519</v>
      </c>
      <c r="BJ285" s="44">
        <f t="shared" si="14"/>
        <v>-15</v>
      </c>
      <c r="BK285" s="44">
        <f>IF($AX285="Cancelled","",IFERROR(IF(BJ285="","",(W285*INDEX(Variables!$B$7:$D$7,IFERROR(MATCH(IF($B285="Robusta","Robusta",(IF($B285="","Arabica",$B285))&amp;" - "&amp;(IF($C285="","Commercial",$C285))),Variables!$B$1:$D$1,0),1))*(BJ285/365))+(W285*INDEX(Variables!$B$9:$D$9,IFERROR(MATCH(IF($B285="Robusta","Robusta",(IF($B285="","Arabica",$B285))&amp;" - "&amp;(IF($C285="","Commercial",$C285))),Variables!$B$1:$D$1,0),1))*(BJ285/365))+(INDEX(Variables!$B$8:$D$8,IFERROR(MATCH(IF($B285="Robusta","Robusta",(IF($B285="","Arabica",$B285))&amp;" - "&amp;(IF($C285="","Commercial",$C285))),Variables!$B$1:$D$1,0),1))*L285/16.67)),""))</f>
        <v>-11.715751580322227</v>
      </c>
    </row>
    <row r="286" spans="1:63">
      <c r="A286" s="13" t="s">
        <v>103</v>
      </c>
      <c r="B286" s="13" t="s">
        <v>104</v>
      </c>
      <c r="C286" s="13" t="s">
        <v>292</v>
      </c>
      <c r="D286" s="31">
        <v>45722</v>
      </c>
      <c r="E286" s="31">
        <v>45748</v>
      </c>
      <c r="F286" s="31">
        <v>45777</v>
      </c>
      <c r="G286" s="13">
        <v>3786773</v>
      </c>
      <c r="J286" s="13" t="s">
        <v>773</v>
      </c>
      <c r="K286" s="13" t="s">
        <v>926</v>
      </c>
      <c r="L286" s="13">
        <v>9</v>
      </c>
      <c r="M286" s="13">
        <v>0</v>
      </c>
      <c r="N286" s="13" t="s">
        <v>927</v>
      </c>
      <c r="O286" s="13" t="s">
        <v>771</v>
      </c>
      <c r="P286" s="13">
        <v>10010</v>
      </c>
      <c r="R286" s="13" t="s">
        <v>384</v>
      </c>
      <c r="S286" s="13" t="s">
        <v>776</v>
      </c>
      <c r="T286" s="13" t="s">
        <v>777</v>
      </c>
      <c r="U286" s="13" t="s">
        <v>125</v>
      </c>
      <c r="V286" s="13">
        <v>114</v>
      </c>
      <c r="W286" s="44">
        <f>IF($AX286="Cancelled","",IFERROR(((V286+INDEX(Variables!$B$6:$D$6,IFERROR(MATCH(IF($B286="Robusta","Robusta",(IF($B286="","Arabica",$B286))&amp;" - "&amp;(IF($C286="","Commercial",$C286))),Variables!$B$1:$D$1,0),1)))*22.0462)*(L286/16.67),""))</f>
        <v>4818.1593185362926</v>
      </c>
      <c r="X286" s="55" t="s">
        <v>39</v>
      </c>
      <c r="Y286" s="13" t="str">
        <f>IF($AX286="Cancelled","",IF(X286="","",IFERROR(IF(INDEX(Variables!$B$38:$B$47,MATCH(X286,Variables!$A$38:$A$47,0))="Yes","Yes","No"),"No")))</f>
        <v>No</v>
      </c>
      <c r="Z286" s="31"/>
      <c r="AB286" s="31">
        <v>45731.875</v>
      </c>
      <c r="AC286" s="13" t="str">
        <f t="shared" si="12"/>
        <v>Approved</v>
      </c>
      <c r="AF286" s="71">
        <f>AJ286-7</f>
        <v>45778</v>
      </c>
      <c r="AG286" s="36">
        <f>IF($AX286="Cancelled","",IFERROR(IF(F286="","",F286-Variables!$B$13),""))</f>
        <v>45762</v>
      </c>
      <c r="AH286" s="13">
        <f>IF($AX286="Cancelled","",IFERROR(IF(AB286="","",(AVERAGE(E286:F286)-AB286)-Variables!$B$14),""))</f>
        <v>0.625</v>
      </c>
      <c r="AJ286" s="47">
        <v>45785</v>
      </c>
      <c r="AK286" s="14">
        <f>IF($AX286="Cancelled","",IFERROR(IF(AJ286="","",IF(AND(AB286="",AF286=""),"",IF(AF286&gt;AB286,AF286+Variables!$B$15+Variables!$B$16+Variables!$B$17-AJ286,AB286+Variables!$B$16+Variables!$B$17-AJ286))),""))</f>
        <v>8</v>
      </c>
      <c r="AL286" s="48" t="s">
        <v>114</v>
      </c>
      <c r="AM286" s="13" t="s">
        <v>115</v>
      </c>
      <c r="AN286" s="13" t="s">
        <v>370</v>
      </c>
      <c r="AP286" s="31">
        <v>45789</v>
      </c>
      <c r="AR286" s="13">
        <v>253545561</v>
      </c>
      <c r="AS286" s="31">
        <v>45792</v>
      </c>
      <c r="AU286" s="31">
        <v>45805</v>
      </c>
      <c r="AV286" s="13" t="s">
        <v>1255</v>
      </c>
      <c r="AW286" s="31">
        <v>45807</v>
      </c>
      <c r="AX286" s="13" t="str">
        <f>IF(ISNUMBER(SEARCH("cancel",#REF!)),"Cancelled",IF(AND(AS286&lt;&gt;"",AU286&lt;&gt;"",AW286&lt;&gt;""),"Closed","Open"))</f>
        <v>Closed</v>
      </c>
      <c r="AY286" s="15" t="str">
        <f t="shared" si="13"/>
        <v>All dates received</v>
      </c>
      <c r="BD286" s="13">
        <f>IF($AX286="Cancelled","",IFERROR(IF(OR(AS286="",AJ286=""),"",(AJ286+Variables!$B$18-AS286)),""))</f>
        <v>8</v>
      </c>
      <c r="BE286" s="13">
        <f>IF($AX286="Cancelled","",IFERROR(IF(OR(AW286="",AS286=""),"",(AS286+Variables!$B$19)-AW286),""))</f>
        <v>-10</v>
      </c>
      <c r="BF286" s="44">
        <f>IF($AX286="Cancelled","",IFERROR(W286*INDEX(Variables!$B$7:$D$7,IFERROR(MATCH(IF($B286="Robusta","Robusta",(IF($B286="","Arabica",$B286))&amp;" - "&amp;(IF($C286="","Commercial",$C286))),Variables!$B$1:$D$1,0),1))*(BE286/365),""))</f>
        <v>-8.5119318578005725</v>
      </c>
      <c r="BG286" s="44">
        <f>IF($AX286="Cancelled","",IFERROR((W286*INDEX(Variables!$B$7:$D$7,IFERROR(MATCH(IF($B286="Robusta","Robusta",(IF($B286="","Arabica",$B286))&amp;" - "&amp;(IF($C286="","Commercial",$C286))),Variables!$B$1:$D$1,0),1))*IFERROR(IF(AB286="","",(AVERAGE(E286:F286)-AB286)-Variables!$B$14),"")/365)+(L286/16.67*INDEX(Variables!$B$8:$D$8,IFERROR(MATCH(IF($B286="Robusta","Robusta",(IF($B286="","Arabica",$B286))&amp;" - "&amp;(IF($C286="","Commercial",$C286))),Variables!$B$1:$D$1,0),1))*IFERROR(IF(AB286="","",(AVERAGE(E286:F286)-AB286)-Variables!$B$14),""))+(W286*INDEX(Variables!$B$9:$D$9,IFERROR(MATCH(IF($B286="Robusta","Robusta",(IF($B286="","Arabica",$B286))&amp;" - "&amp;(IF($C286="","Commercial",$C286))),Variables!$B$1:$D$1,0),1))*IFERROR(IF(AB286="","",(AVERAGE(E286:F286)-AB286)-Variables!$B$14),"")/365),""))</f>
        <v>0.82010419289592484</v>
      </c>
      <c r="BH286" s="44">
        <f>IF($AX286="Cancelled","",IFERROR((W286*INDEX(Variables!$B$7:$D$7,IFERROR(MATCH(IF($B286="Robusta","Robusta",(IF($B286="","Arabica",$B286))&amp;" - "&amp;(IF($C286="","Commercial",$C286))),Variables!$B$1:$D$1,0),1))*AK286/365)+(L286/16.67*INDEX(Variables!$B$8:$D$8,IFERROR(MATCH(IF($B286="Robusta","Robusta",(IF($B286="","Arabica",$B286))&amp;" - "&amp;(IF($C286="","Commercial",$C286))),Variables!$B$1:$D$1,0),1))*AK286)+(W286*INDEX(Variables!$B$9:$D$9,IFERROR(MATCH(IF($B286="Robusta","Robusta",(IF($B286="","Arabica",$B286))&amp;" - "&amp;(IF($C286="","Commercial",$C286))),Variables!$B$1:$D$1,0),1))*AK286/365),""))</f>
        <v>10.497333669067839</v>
      </c>
      <c r="BI286" s="44">
        <f>IF($AX286="Cancelled","",IFERROR((W286*INDEX(Variables!$B$7:$D$7,IFERROR(MATCH(IF($B286="Robusta","Robusta",(IF($B286="","Arabica",$B286))&amp;" - "&amp;(IF($C286="","Commercial",$C286))),Variables!$B$1:$D$1,0),1))*BD286/365)+(L286/16.67*INDEX(Variables!$B$8:$D$8,IFERROR(MATCH(IF($B286="Robusta","Robusta",(IF($B286="","Arabica",$B286))&amp;" - "&amp;(IF($C286="","Commercial",$C286))),Variables!$B$1:$D$1,0),1))*BD286)+(W286*INDEX(Variables!$B$9:$D$9,IFERROR(MATCH(IF($B286="Robusta","Robusta",(IF($B286="","Arabica",$B286))&amp;" - "&amp;(IF($C286="","Commercial",$C286))),Variables!$B$1:$D$1,0),1))*BD286/365),""))</f>
        <v>10.497333669067839</v>
      </c>
      <c r="BJ286" s="44">
        <f t="shared" si="14"/>
        <v>-15</v>
      </c>
      <c r="BK286" s="44">
        <f>IF($AX286="Cancelled","",IFERROR(IF(BJ286="","",(W286*INDEX(Variables!$B$7:$D$7,IFERROR(MATCH(IF($B286="Robusta","Robusta",(IF($B286="","Arabica",$B286))&amp;" - "&amp;(IF($C286="","Commercial",$C286))),Variables!$B$1:$D$1,0),1))*(BJ286/365))+(W286*INDEX(Variables!$B$9:$D$9,IFERROR(MATCH(IF($B286="Robusta","Robusta",(IF($B286="","Arabica",$B286))&amp;" - "&amp;(IF($C286="","Commercial",$C286))),Variables!$B$1:$D$1,0),1))*(BJ286/365))+(INDEX(Variables!$B$8:$D$8,IFERROR(MATCH(IF($B286="Robusta","Robusta",(IF($B286="","Arabica",$B286))&amp;" - "&amp;(IF($C286="","Commercial",$C286))),Variables!$B$1:$D$1,0),1))*L286/16.67)),""))</f>
        <v>-12.482500629502198</v>
      </c>
    </row>
    <row r="287" spans="1:63">
      <c r="A287" s="13" t="s">
        <v>103</v>
      </c>
      <c r="B287" s="13" t="s">
        <v>104</v>
      </c>
      <c r="C287" s="13" t="s">
        <v>292</v>
      </c>
      <c r="D287" s="31">
        <v>45722</v>
      </c>
      <c r="E287" s="31">
        <v>45748</v>
      </c>
      <c r="F287" s="31">
        <v>45777</v>
      </c>
      <c r="G287" s="13">
        <v>3786774</v>
      </c>
      <c r="J287" s="13" t="s">
        <v>773</v>
      </c>
      <c r="K287" s="13" t="s">
        <v>928</v>
      </c>
      <c r="L287" s="13">
        <v>10</v>
      </c>
      <c r="M287" s="13">
        <v>0</v>
      </c>
      <c r="N287" s="13" t="s">
        <v>929</v>
      </c>
      <c r="O287" s="13" t="s">
        <v>925</v>
      </c>
      <c r="P287" s="13">
        <v>10020</v>
      </c>
      <c r="R287" s="13" t="s">
        <v>384</v>
      </c>
      <c r="S287" s="13" t="s">
        <v>776</v>
      </c>
      <c r="T287" s="13" t="s">
        <v>777</v>
      </c>
      <c r="U287" s="13" t="s">
        <v>125</v>
      </c>
      <c r="V287" s="13">
        <v>72</v>
      </c>
      <c r="W287" s="44">
        <f>IF($AX287="Cancelled","",IFERROR(((V287+INDEX(Variables!$B$6:$D$6,IFERROR(MATCH(IF($B287="Robusta","Robusta",(IF($B287="","Arabica",$B287))&amp;" - "&amp;(IF($C287="","Commercial",$C287))),Variables!$B$1:$D$1,0),1)))*22.0462)*(L287/16.67),""))</f>
        <v>4798.0572045590879</v>
      </c>
      <c r="X287" s="55" t="s">
        <v>39</v>
      </c>
      <c r="Y287" s="13" t="str">
        <f>IF($AX287="Cancelled","",IF(X287="","",IFERROR(IF(INDEX(Variables!$B$38:$B$47,MATCH(X287,Variables!$A$38:$A$47,0))="Yes","Yes","No"),"No")))</f>
        <v>No</v>
      </c>
      <c r="Z287" s="31"/>
      <c r="AB287" s="31">
        <v>45731.875</v>
      </c>
      <c r="AC287" s="13" t="str">
        <f t="shared" si="12"/>
        <v>Approved</v>
      </c>
      <c r="AF287" s="71">
        <f>AJ287-7</f>
        <v>45778</v>
      </c>
      <c r="AG287" s="36">
        <f>IF($AX287="Cancelled","",IFERROR(IF(F287="","",F287-Variables!$B$13),""))</f>
        <v>45762</v>
      </c>
      <c r="AH287" s="13">
        <f>IF($AX287="Cancelled","",IFERROR(IF(AB287="","",(AVERAGE(E287:F287)-AB287)-Variables!$B$14),""))</f>
        <v>0.625</v>
      </c>
      <c r="AJ287" s="47">
        <v>45785</v>
      </c>
      <c r="AK287" s="14">
        <f>IF($AX287="Cancelled","",IFERROR(IF(AJ287="","",IF(AND(AB287="",AF287=""),"",IF(AF287&gt;AB287,AF287+Variables!$B$15+Variables!$B$16+Variables!$B$17-AJ287,AB287+Variables!$B$16+Variables!$B$17-AJ287))),""))</f>
        <v>8</v>
      </c>
      <c r="AL287" s="48" t="s">
        <v>114</v>
      </c>
      <c r="AM287" s="13" t="s">
        <v>115</v>
      </c>
      <c r="AN287" s="13" t="s">
        <v>370</v>
      </c>
      <c r="AP287" s="31">
        <v>45789</v>
      </c>
      <c r="AR287" s="13">
        <v>253545561</v>
      </c>
      <c r="AS287" s="31">
        <v>45792</v>
      </c>
      <c r="AU287" s="31">
        <v>45805</v>
      </c>
      <c r="AV287" s="13" t="s">
        <v>1255</v>
      </c>
      <c r="AW287" s="31">
        <v>45807</v>
      </c>
      <c r="AX287" s="13" t="str">
        <f>IF(ISNUMBER(SEARCH("cancel",#REF!)),"Cancelled",IF(AND(AS287&lt;&gt;"",AU287&lt;&gt;"",AW287&lt;&gt;""),"Closed","Open"))</f>
        <v>Closed</v>
      </c>
      <c r="AY287" s="15" t="str">
        <f t="shared" si="13"/>
        <v>All dates received</v>
      </c>
      <c r="BD287" s="13">
        <f>IF($AX287="Cancelled","",IFERROR(IF(OR(AS287="",AJ287=""),"",(AJ287+Variables!$B$18-AS287)),""))</f>
        <v>8</v>
      </c>
      <c r="BE287" s="13">
        <f>IF($AX287="Cancelled","",IFERROR(IF(OR(AW287="",AS287=""),"",(AS287+Variables!$B$19)-AW287),""))</f>
        <v>-10</v>
      </c>
      <c r="BF287" s="44">
        <f>IF($AX287="Cancelled","",IFERROR(W287*INDEX(Variables!$B$7:$D$7,IFERROR(MATCH(IF($B287="Robusta","Robusta",(IF($B287="","Arabica",$B287))&amp;" - "&amp;(IF($C287="","Commercial",$C287))),Variables!$B$1:$D$1,0),1))*(BE287/365),""))</f>
        <v>-8.4764187472827413</v>
      </c>
      <c r="BG287" s="44">
        <f>IF($AX287="Cancelled","",IFERROR((W287*INDEX(Variables!$B$7:$D$7,IFERROR(MATCH(IF($B287="Robusta","Robusta",(IF($B287="","Arabica",$B287))&amp;" - "&amp;(IF($C287="","Commercial",$C287))),Variables!$B$1:$D$1,0),1))*IFERROR(IF(AB287="","",(AVERAGE(E287:F287)-AB287)-Variables!$B$14),"")/365)+(L287/16.67*INDEX(Variables!$B$8:$D$8,IFERROR(MATCH(IF($B287="Robusta","Robusta",(IF($B287="","Arabica",$B287))&amp;" - "&amp;(IF($C287="","Commercial",$C287))),Variables!$B$1:$D$1,0),1))*IFERROR(IF(AB287="","",(AVERAGE(E287:F287)-AB287)-Variables!$B$14),""))+(W287*INDEX(Variables!$B$9:$D$9,IFERROR(MATCH(IF($B287="Robusta","Robusta",(IF($B287="","Arabica",$B287))&amp;" - "&amp;(IF($C287="","Commercial",$C287))),Variables!$B$1:$D$1,0),1))*IFERROR(IF(AB287="","",(AVERAGE(E287:F287)-AB287)-Variables!$B$14),"")/365),""))</f>
        <v>0.84910600895542809</v>
      </c>
      <c r="BH287" s="44">
        <f>IF($AX287="Cancelled","",IFERROR((W287*INDEX(Variables!$B$7:$D$7,IFERROR(MATCH(IF($B287="Robusta","Robusta",(IF($B287="","Arabica",$B287))&amp;" - "&amp;(IF($C287="","Commercial",$C287))),Variables!$B$1:$D$1,0),1))*AK287/365)+(L287/16.67*INDEX(Variables!$B$8:$D$8,IFERROR(MATCH(IF($B287="Robusta","Robusta",(IF($B287="","Arabica",$B287))&amp;" - "&amp;(IF($C287="","Commercial",$C287))),Variables!$B$1:$D$1,0),1))*AK287)+(W287*INDEX(Variables!$B$9:$D$9,IFERROR(MATCH(IF($B287="Robusta","Robusta",(IF($B287="","Arabica",$B287))&amp;" - "&amp;(IF($C287="","Commercial",$C287))),Variables!$B$1:$D$1,0),1))*AK287/365),""))</f>
        <v>10.86855691462948</v>
      </c>
      <c r="BI287" s="44">
        <f>IF($AX287="Cancelled","",IFERROR((W287*INDEX(Variables!$B$7:$D$7,IFERROR(MATCH(IF($B287="Robusta","Robusta",(IF($B287="","Arabica",$B287))&amp;" - "&amp;(IF($C287="","Commercial",$C287))),Variables!$B$1:$D$1,0),1))*BD287/365)+(L287/16.67*INDEX(Variables!$B$8:$D$8,IFERROR(MATCH(IF($B287="Robusta","Robusta",(IF($B287="","Arabica",$B287))&amp;" - "&amp;(IF($C287="","Commercial",$C287))),Variables!$B$1:$D$1,0),1))*BD287)+(W287*INDEX(Variables!$B$9:$D$9,IFERROR(MATCH(IF($B287="Robusta","Robusta",(IF($B287="","Arabica",$B287))&amp;" - "&amp;(IF($C287="","Commercial",$C287))),Variables!$B$1:$D$1,0),1))*BD287/365),""))</f>
        <v>10.86855691462948</v>
      </c>
      <c r="BJ287" s="44">
        <f t="shared" si="14"/>
        <v>-15</v>
      </c>
      <c r="BK287" s="44">
        <f>IF($AX287="Cancelled","",IFERROR(IF(BJ287="","",(W287*INDEX(Variables!$B$7:$D$7,IFERROR(MATCH(IF($B287="Robusta","Robusta",(IF($B287="","Arabica",$B287))&amp;" - "&amp;(IF($C287="","Commercial",$C287))),Variables!$B$1:$D$1,0),1))*(BJ287/365))+(W287*INDEX(Variables!$B$9:$D$9,IFERROR(MATCH(IF($B287="Robusta","Robusta",(IF($B287="","Arabica",$B287))&amp;" - "&amp;(IF($C287="","Commercial",$C287))),Variables!$B$1:$D$1,0),1))*(BJ287/365))+(INDEX(Variables!$B$8:$D$8,IFERROR(MATCH(IF($B287="Robusta","Robusta",(IF($B287="","Arabica",$B287))&amp;" - "&amp;(IF($C287="","Commercial",$C287))),Variables!$B$1:$D$1,0),1))*L287/16.67)),""))</f>
        <v>-12.378544214930274</v>
      </c>
    </row>
    <row r="288" spans="1:63">
      <c r="A288" s="13" t="s">
        <v>103</v>
      </c>
      <c r="B288" s="13" t="s">
        <v>104</v>
      </c>
      <c r="C288" s="13" t="s">
        <v>292</v>
      </c>
      <c r="D288" s="31">
        <v>45722</v>
      </c>
      <c r="E288" s="31">
        <v>45748</v>
      </c>
      <c r="F288" s="31">
        <v>45777</v>
      </c>
      <c r="G288" s="13">
        <v>3786775</v>
      </c>
      <c r="J288" s="13" t="s">
        <v>773</v>
      </c>
      <c r="K288" s="13" t="s">
        <v>930</v>
      </c>
      <c r="L288" s="13">
        <v>8</v>
      </c>
      <c r="M288" s="13">
        <v>0</v>
      </c>
      <c r="N288" s="13" t="s">
        <v>931</v>
      </c>
      <c r="O288" s="13" t="s">
        <v>771</v>
      </c>
      <c r="P288" s="13">
        <v>10010</v>
      </c>
      <c r="R288" s="13" t="s">
        <v>384</v>
      </c>
      <c r="S288" s="13" t="s">
        <v>776</v>
      </c>
      <c r="T288" s="13" t="s">
        <v>777</v>
      </c>
      <c r="U288" s="13" t="s">
        <v>125</v>
      </c>
      <c r="V288" s="13">
        <v>116</v>
      </c>
      <c r="W288" s="44">
        <f>IF($AX288="Cancelled","",IFERROR(((V288+INDEX(Variables!$B$6:$D$6,IFERROR(MATCH(IF($B288="Robusta","Robusta",(IF($B288="","Arabica",$B288))&amp;" - "&amp;(IF($C288="","Commercial",$C288))),Variables!$B$1:$D$1,0),1)))*22.0462)*(L288/16.67),""))</f>
        <v>4303.9684031193756</v>
      </c>
      <c r="X288" s="55" t="s">
        <v>39</v>
      </c>
      <c r="Y288" s="13" t="str">
        <f>IF($AX288="Cancelled","",IF(X288="","",IFERROR(IF(INDEX(Variables!$B$38:$B$47,MATCH(X288,Variables!$A$38:$A$47,0))="Yes","Yes","No"),"No")))</f>
        <v>No</v>
      </c>
      <c r="Z288" s="31"/>
      <c r="AB288" s="31">
        <v>45731.875</v>
      </c>
      <c r="AC288" s="13" t="str">
        <f t="shared" si="12"/>
        <v>Approved</v>
      </c>
      <c r="AF288" s="71">
        <f>AJ288-7</f>
        <v>45778</v>
      </c>
      <c r="AG288" s="36">
        <f>IF($AX288="Cancelled","",IFERROR(IF(F288="","",F288-Variables!$B$13),""))</f>
        <v>45762</v>
      </c>
      <c r="AH288" s="13">
        <f>IF($AX288="Cancelled","",IFERROR(IF(AB288="","",(AVERAGE(E288:F288)-AB288)-Variables!$B$14),""))</f>
        <v>0.625</v>
      </c>
      <c r="AJ288" s="47">
        <v>45785</v>
      </c>
      <c r="AK288" s="14">
        <f>IF($AX288="Cancelled","",IFERROR(IF(AJ288="","",IF(AND(AB288="",AF288=""),"",IF(AF288&gt;AB288,AF288+Variables!$B$15+Variables!$B$16+Variables!$B$17-AJ288,AB288+Variables!$B$16+Variables!$B$17-AJ288))),""))</f>
        <v>8</v>
      </c>
      <c r="AL288" s="48" t="s">
        <v>114</v>
      </c>
      <c r="AM288" s="13" t="s">
        <v>115</v>
      </c>
      <c r="AN288" s="13" t="s">
        <v>370</v>
      </c>
      <c r="AP288" s="31">
        <v>45789</v>
      </c>
      <c r="AR288" s="13">
        <v>253545561</v>
      </c>
      <c r="AS288" s="31">
        <v>45792</v>
      </c>
      <c r="AU288" s="31">
        <v>45805</v>
      </c>
      <c r="AV288" s="13" t="s">
        <v>1255</v>
      </c>
      <c r="AW288" s="31">
        <v>45807</v>
      </c>
      <c r="AX288" s="13" t="str">
        <f>IF(ISNUMBER(SEARCH("cancel",#REF!)),"Cancelled",IF(AND(AS288&lt;&gt;"",AU288&lt;&gt;"",AW288&lt;&gt;""),"Closed","Open"))</f>
        <v>Closed</v>
      </c>
      <c r="AY288" s="15" t="str">
        <f t="shared" si="13"/>
        <v>All dates received</v>
      </c>
      <c r="BD288" s="13">
        <f>IF($AX288="Cancelled","",IFERROR(IF(OR(AS288="",AJ288=""),"",(AJ288+Variables!$B$18-AS288)),""))</f>
        <v>8</v>
      </c>
      <c r="BE288" s="13">
        <f>IF($AX288="Cancelled","",IFERROR(IF(OR(AW288="",AS288=""),"",(AS288+Variables!$B$19)-AW288),""))</f>
        <v>-10</v>
      </c>
      <c r="BF288" s="44">
        <f>IF($AX288="Cancelled","",IFERROR(W288*INDEX(Variables!$B$7:$D$7,IFERROR(MATCH(IF($B288="Robusta","Robusta",(IF($B288="","Arabica",$B288))&amp;" - "&amp;(IF($C288="","Commercial",$C288))),Variables!$B$1:$D$1,0),1))*(BE288/365),""))</f>
        <v>-7.6035438729760045</v>
      </c>
      <c r="BG288" s="44">
        <f>IF($AX288="Cancelled","",IFERROR((W288*INDEX(Variables!$B$7:$D$7,IFERROR(MATCH(IF($B288="Robusta","Robusta",(IF($B288="","Arabica",$B288))&amp;" - "&amp;(IF($C288="","Commercial",$C288))),Variables!$B$1:$D$1,0),1))*IFERROR(IF(AB288="","",(AVERAGE(E288:F288)-AB288)-Variables!$B$14),"")/365)+(L288/16.67*INDEX(Variables!$B$8:$D$8,IFERROR(MATCH(IF($B288="Robusta","Robusta",(IF($B288="","Arabica",$B288))&amp;" - "&amp;(IF($C288="","Commercial",$C288))),Variables!$B$1:$D$1,0),1))*IFERROR(IF(AB288="","",(AVERAGE(E288:F288)-AB288)-Variables!$B$14),""))+(W288*INDEX(Variables!$B$9:$D$9,IFERROR(MATCH(IF($B288="Robusta","Robusta",(IF($B288="","Arabica",$B288))&amp;" - "&amp;(IF($C288="","Commercial",$C288))),Variables!$B$1:$D$1,0),1))*IFERROR(IF(AB288="","",(AVERAGE(E288:F288)-AB288)-Variables!$B$14),"")/365),""))</f>
        <v>0.7313480142074269</v>
      </c>
      <c r="BH288" s="44">
        <f>IF($AX288="Cancelled","",IFERROR((W288*INDEX(Variables!$B$7:$D$7,IFERROR(MATCH(IF($B288="Robusta","Robusta",(IF($B288="","Arabica",$B288))&amp;" - "&amp;(IF($C288="","Commercial",$C288))),Variables!$B$1:$D$1,0),1))*AK288/365)+(L288/16.67*INDEX(Variables!$B$8:$D$8,IFERROR(MATCH(IF($B288="Robusta","Robusta",(IF($B288="","Arabica",$B288))&amp;" - "&amp;(IF($C288="","Commercial",$C288))),Variables!$B$1:$D$1,0),1))*AK288)+(W288*INDEX(Variables!$B$9:$D$9,IFERROR(MATCH(IF($B288="Robusta","Robusta",(IF($B288="","Arabica",$B288))&amp;" - "&amp;(IF($C288="","Commercial",$C288))),Variables!$B$1:$D$1,0),1))*AK288/365),""))</f>
        <v>9.3612545818550643</v>
      </c>
      <c r="BI288" s="44">
        <f>IF($AX288="Cancelled","",IFERROR((W288*INDEX(Variables!$B$7:$D$7,IFERROR(MATCH(IF($B288="Robusta","Robusta",(IF($B288="","Arabica",$B288))&amp;" - "&amp;(IF($C288="","Commercial",$C288))),Variables!$B$1:$D$1,0),1))*BD288/365)+(L288/16.67*INDEX(Variables!$B$8:$D$8,IFERROR(MATCH(IF($B288="Robusta","Robusta",(IF($B288="","Arabica",$B288))&amp;" - "&amp;(IF($C288="","Commercial",$C288))),Variables!$B$1:$D$1,0),1))*BD288)+(W288*INDEX(Variables!$B$9:$D$9,IFERROR(MATCH(IF($B288="Robusta","Robusta",(IF($B288="","Arabica",$B288))&amp;" - "&amp;(IF($C288="","Commercial",$C288))),Variables!$B$1:$D$1,0),1))*BD288/365),""))</f>
        <v>9.3612545818550643</v>
      </c>
      <c r="BJ288" s="44">
        <f t="shared" si="14"/>
        <v>-15</v>
      </c>
      <c r="BK288" s="44">
        <f>IF($AX288="Cancelled","",IFERROR(IF(BJ288="","",(W288*INDEX(Variables!$B$7:$D$7,IFERROR(MATCH(IF($B288="Robusta","Robusta",(IF($B288="","Arabica",$B288))&amp;" - "&amp;(IF($C288="","Commercial",$C288))),Variables!$B$1:$D$1,0),1))*(BJ288/365))+(W288*INDEX(Variables!$B$9:$D$9,IFERROR(MATCH(IF($B288="Robusta","Robusta",(IF($B288="","Arabica",$B288))&amp;" - "&amp;(IF($C288="","Commercial",$C288))),Variables!$B$1:$D$1,0),1))*(BJ288/365))+(INDEX(Variables!$B$8:$D$8,IFERROR(MATCH(IF($B288="Robusta","Robusta",(IF($B288="","Arabica",$B288))&amp;" - "&amp;(IF($C288="","Commercial",$C288))),Variables!$B$1:$D$1,0),1))*L288/16.67)),""))</f>
        <v>-11.152352340978245</v>
      </c>
    </row>
    <row r="289" spans="1:63">
      <c r="A289" s="13" t="s">
        <v>103</v>
      </c>
      <c r="B289" s="13" t="s">
        <v>104</v>
      </c>
      <c r="C289" s="13" t="s">
        <v>292</v>
      </c>
      <c r="D289" s="31">
        <v>45722</v>
      </c>
      <c r="E289" s="31">
        <v>45748</v>
      </c>
      <c r="F289" s="31">
        <v>45777</v>
      </c>
      <c r="G289" s="13">
        <v>3786776</v>
      </c>
      <c r="H289" s="13">
        <v>0</v>
      </c>
      <c r="J289" s="13" t="s">
        <v>773</v>
      </c>
      <c r="K289" s="13" t="s">
        <v>932</v>
      </c>
      <c r="L289" s="13">
        <v>8</v>
      </c>
      <c r="M289" s="13">
        <v>0</v>
      </c>
      <c r="N289" s="13" t="s">
        <v>933</v>
      </c>
      <c r="O289" s="13" t="s">
        <v>771</v>
      </c>
      <c r="P289" s="13">
        <v>10010</v>
      </c>
      <c r="R289" s="13" t="s">
        <v>384</v>
      </c>
      <c r="S289" s="13" t="s">
        <v>776</v>
      </c>
      <c r="T289" s="13" t="s">
        <v>777</v>
      </c>
      <c r="U289" s="13" t="s">
        <v>125</v>
      </c>
      <c r="V289" s="13">
        <v>99</v>
      </c>
      <c r="W289" s="44">
        <f>IF($AX289="Cancelled","",IFERROR(((V289+INDEX(Variables!$B$6:$D$6,IFERROR(MATCH(IF($B289="Robusta","Robusta",(IF($B289="","Arabica",$B289))&amp;" - "&amp;(IF($C289="","Commercial",$C289))),Variables!$B$1:$D$1,0),1)))*22.0462)*(L289/16.67),""))</f>
        <v>4124.107383323334</v>
      </c>
      <c r="X289" s="55" t="s">
        <v>39</v>
      </c>
      <c r="Y289" s="13" t="str">
        <f>IF($AX289="Cancelled","",IF(X289="","",IFERROR(IF(INDEX(Variables!$B$38:$B$47,MATCH(X289,Variables!$A$38:$A$47,0))="Yes","Yes","No"),"No")))</f>
        <v>No</v>
      </c>
      <c r="Z289" s="31"/>
      <c r="AB289" s="31">
        <v>45731.875</v>
      </c>
      <c r="AC289" s="13" t="str">
        <f t="shared" si="12"/>
        <v>Approved</v>
      </c>
      <c r="AF289" s="71">
        <f>AJ289-7</f>
        <v>45778</v>
      </c>
      <c r="AG289" s="36">
        <f>IF($AX289="Cancelled","",IFERROR(IF(F289="","",F289-Variables!$B$13),""))</f>
        <v>45762</v>
      </c>
      <c r="AH289" s="13">
        <f>IF($AX289="Cancelled","",IFERROR(IF(AB289="","",(AVERAGE(E289:F289)-AB289)-Variables!$B$14),""))</f>
        <v>0.625</v>
      </c>
      <c r="AJ289" s="47">
        <v>45785</v>
      </c>
      <c r="AK289" s="14">
        <f>IF($AX289="Cancelled","",IFERROR(IF(AJ289="","",IF(AND(AB289="",AF289=""),"",IF(AF289&gt;AB289,AF289+Variables!$B$15+Variables!$B$16+Variables!$B$17-AJ289,AB289+Variables!$B$16+Variables!$B$17-AJ289))),""))</f>
        <v>8</v>
      </c>
      <c r="AL289" s="48" t="s">
        <v>114</v>
      </c>
      <c r="AM289" s="13" t="s">
        <v>115</v>
      </c>
      <c r="AN289" s="13" t="s">
        <v>370</v>
      </c>
      <c r="AP289" s="31">
        <v>45789</v>
      </c>
      <c r="AR289" s="13">
        <v>253545561</v>
      </c>
      <c r="AS289" s="31">
        <v>45792</v>
      </c>
      <c r="AU289" s="31">
        <v>45805</v>
      </c>
      <c r="AV289" s="13" t="s">
        <v>1255</v>
      </c>
      <c r="AW289" s="31">
        <v>45807</v>
      </c>
      <c r="AX289" s="13" t="str">
        <f>IF(ISNUMBER(SEARCH("cancel",#REF!)),"Cancelled",IF(AND(AS289&lt;&gt;"",AU289&lt;&gt;"",AW289&lt;&gt;""),"Closed","Open"))</f>
        <v>Closed</v>
      </c>
      <c r="AY289" s="15" t="str">
        <f t="shared" si="13"/>
        <v>All dates received</v>
      </c>
      <c r="BD289" s="13">
        <f>IF($AX289="Cancelled","",IFERROR(IF(OR(AS289="",AJ289=""),"",(AJ289+Variables!$B$18-AS289)),""))</f>
        <v>8</v>
      </c>
      <c r="BE289" s="13">
        <f>IF($AX289="Cancelled","",IFERROR(IF(OR(AW289="",AS289=""),"",(AS289+Variables!$B$19)-AW289),""))</f>
        <v>-10</v>
      </c>
      <c r="BF289" s="44">
        <f>IF($AX289="Cancelled","",IFERROR(W289*INDEX(Variables!$B$7:$D$7,IFERROR(MATCH(IF($B289="Robusta","Robusta",(IF($B289="","Arabica",$B289))&amp;" - "&amp;(IF($C289="","Commercial",$C289))),Variables!$B$1:$D$1,0),1))*(BE289/365),""))</f>
        <v>-7.2857949893953942</v>
      </c>
      <c r="BG289" s="44">
        <f>IF($AX289="Cancelled","",IFERROR((W289*INDEX(Variables!$B$7:$D$7,IFERROR(MATCH(IF($B289="Robusta","Robusta",(IF($B289="","Arabica",$B289))&amp;" - "&amp;(IF($C289="","Commercial",$C289))),Variables!$B$1:$D$1,0),1))*IFERROR(IF(AB289="","",(AVERAGE(E289:F289)-AB289)-Variables!$B$14),"")/365)+(L289/16.67*INDEX(Variables!$B$8:$D$8,IFERROR(MATCH(IF($B289="Robusta","Robusta",(IF($B289="","Arabica",$B289))&amp;" - "&amp;(IF($C289="","Commercial",$C289))),Variables!$B$1:$D$1,0),1))*IFERROR(IF(AB289="","",(AVERAGE(E289:F289)-AB289)-Variables!$B$14),""))+(W289*INDEX(Variables!$B$9:$D$9,IFERROR(MATCH(IF($B289="Robusta","Robusta",(IF($B289="","Arabica",$B289))&amp;" - "&amp;(IF($C289="","Commercial",$C289))),Variables!$B$1:$D$1,0),1))*IFERROR(IF(AB289="","",(AVERAGE(E289:F289)-AB289)-Variables!$B$14),"")/365),""))</f>
        <v>0.71123268421350794</v>
      </c>
      <c r="BH289" s="44">
        <f>IF($AX289="Cancelled","",IFERROR((W289*INDEX(Variables!$B$7:$D$7,IFERROR(MATCH(IF($B289="Robusta","Robusta",(IF($B289="","Arabica",$B289))&amp;" - "&amp;(IF($C289="","Commercial",$C289))),Variables!$B$1:$D$1,0),1))*AK289/365)+(L289/16.67*INDEX(Variables!$B$8:$D$8,IFERROR(MATCH(IF($B289="Robusta","Robusta",(IF($B289="","Arabica",$B289))&amp;" - "&amp;(IF($C289="","Commercial",$C289))),Variables!$B$1:$D$1,0),1))*AK289)+(W289*INDEX(Variables!$B$9:$D$9,IFERROR(MATCH(IF($B289="Robusta","Robusta",(IF($B289="","Arabica",$B289))&amp;" - "&amp;(IF($C289="","Commercial",$C289))),Variables!$B$1:$D$1,0),1))*AK289/365),""))</f>
        <v>9.1037783579329012</v>
      </c>
      <c r="BI289" s="44">
        <f>IF($AX289="Cancelled","",IFERROR((W289*INDEX(Variables!$B$7:$D$7,IFERROR(MATCH(IF($B289="Robusta","Robusta",(IF($B289="","Arabica",$B289))&amp;" - "&amp;(IF($C289="","Commercial",$C289))),Variables!$B$1:$D$1,0),1))*BD289/365)+(L289/16.67*INDEX(Variables!$B$8:$D$8,IFERROR(MATCH(IF($B289="Robusta","Robusta",(IF($B289="","Arabica",$B289))&amp;" - "&amp;(IF($C289="","Commercial",$C289))),Variables!$B$1:$D$1,0),1))*BD289)+(W289*INDEX(Variables!$B$9:$D$9,IFERROR(MATCH(IF($B289="Robusta","Robusta",(IF($B289="","Arabica",$B289))&amp;" - "&amp;(IF($C289="","Commercial",$C289))),Variables!$B$1:$D$1,0),1))*BD289/365),""))</f>
        <v>9.1037783579329012</v>
      </c>
      <c r="BJ289" s="44">
        <f t="shared" si="14"/>
        <v>-15</v>
      </c>
      <c r="BK289" s="44">
        <f>IF($AX289="Cancelled","",IFERROR(IF(BJ289="","",(W289*INDEX(Variables!$B$7:$D$7,IFERROR(MATCH(IF($B289="Robusta","Robusta",(IF($B289="","Arabica",$B289))&amp;" - "&amp;(IF($C289="","Commercial",$C289))),Variables!$B$1:$D$1,0),1))*(BJ289/365))+(W289*INDEX(Variables!$B$9:$D$9,IFERROR(MATCH(IF($B289="Robusta","Robusta",(IF($B289="","Arabica",$B289))&amp;" - "&amp;(IF($C289="","Commercial",$C289))),Variables!$B$1:$D$1,0),1))*(BJ289/365))+(INDEX(Variables!$B$8:$D$8,IFERROR(MATCH(IF($B289="Robusta","Robusta",(IF($B289="","Arabica",$B289))&amp;" - "&amp;(IF($C289="","Commercial",$C289))),Variables!$B$1:$D$1,0),1))*L289/16.67)),""))</f>
        <v>-10.669584421124187</v>
      </c>
    </row>
    <row r="290" spans="1:63">
      <c r="A290" s="13" t="s">
        <v>103</v>
      </c>
      <c r="B290" s="13" t="s">
        <v>104</v>
      </c>
      <c r="C290" s="13" t="s">
        <v>292</v>
      </c>
      <c r="D290" s="31">
        <v>45722</v>
      </c>
      <c r="E290" s="31">
        <v>45748</v>
      </c>
      <c r="F290" s="31">
        <v>45777</v>
      </c>
      <c r="G290" s="13">
        <v>3786777</v>
      </c>
      <c r="J290" s="13" t="s">
        <v>773</v>
      </c>
      <c r="K290" s="13" t="s">
        <v>934</v>
      </c>
      <c r="L290" s="13">
        <v>7</v>
      </c>
      <c r="M290" s="13">
        <v>0</v>
      </c>
      <c r="N290" s="13" t="s">
        <v>935</v>
      </c>
      <c r="O290" s="13" t="s">
        <v>925</v>
      </c>
      <c r="P290" s="13">
        <v>10020</v>
      </c>
      <c r="R290" s="13" t="s">
        <v>384</v>
      </c>
      <c r="S290" s="13" t="s">
        <v>776</v>
      </c>
      <c r="T290" s="13" t="s">
        <v>777</v>
      </c>
      <c r="U290" s="13" t="s">
        <v>125</v>
      </c>
      <c r="V290" s="13">
        <v>111</v>
      </c>
      <c r="W290" s="44">
        <f>IF($AX290="Cancelled","",IFERROR(((V290+INDEX(Variables!$B$6:$D$6,IFERROR(MATCH(IF($B290="Robusta","Robusta",(IF($B290="","Arabica",$B290))&amp;" - "&amp;(IF($C290="","Commercial",$C290))),Variables!$B$1:$D$1,0),1)))*22.0462)*(L290/16.67),""))</f>
        <v>3719.6845902819432</v>
      </c>
      <c r="X290" s="55" t="s">
        <v>39</v>
      </c>
      <c r="Y290" s="13" t="str">
        <f>IF($AX290="Cancelled","",IF(X290="","",IFERROR(IF(INDEX(Variables!$B$38:$B$47,MATCH(X290,Variables!$A$38:$A$47,0))="Yes","Yes","No"),"No")))</f>
        <v>No</v>
      </c>
      <c r="Z290" s="31"/>
      <c r="AB290" s="31">
        <v>45731.875</v>
      </c>
      <c r="AC290" s="13" t="str">
        <f t="shared" si="12"/>
        <v>Approved</v>
      </c>
      <c r="AF290" s="71">
        <f>AJ290-7</f>
        <v>45778</v>
      </c>
      <c r="AG290" s="36">
        <f>IF($AX290="Cancelled","",IFERROR(IF(F290="","",F290-Variables!$B$13),""))</f>
        <v>45762</v>
      </c>
      <c r="AH290" s="13">
        <f>IF($AX290="Cancelled","",IFERROR(IF(AB290="","",(AVERAGE(E290:F290)-AB290)-Variables!$B$14),""))</f>
        <v>0.625</v>
      </c>
      <c r="AJ290" s="47">
        <v>45785</v>
      </c>
      <c r="AK290" s="14">
        <f>IF($AX290="Cancelled","",IFERROR(IF(AJ290="","",IF(AND(AB290="",AF290=""),"",IF(AF290&gt;AB290,AF290+Variables!$B$15+Variables!$B$16+Variables!$B$17-AJ290,AB290+Variables!$B$16+Variables!$B$17-AJ290))),""))</f>
        <v>8</v>
      </c>
      <c r="AL290" s="48" t="s">
        <v>114</v>
      </c>
      <c r="AM290" s="13" t="s">
        <v>115</v>
      </c>
      <c r="AN290" s="13" t="s">
        <v>370</v>
      </c>
      <c r="AP290" s="31">
        <v>45789</v>
      </c>
      <c r="AR290" s="13">
        <v>253545561</v>
      </c>
      <c r="AS290" s="31">
        <v>45792</v>
      </c>
      <c r="AU290" s="31">
        <v>45805</v>
      </c>
      <c r="AV290" s="13" t="s">
        <v>1255</v>
      </c>
      <c r="AW290" s="31">
        <v>45807</v>
      </c>
      <c r="AX290" s="13" t="str">
        <f>IF(ISNUMBER(SEARCH("cancel",#REF!)),"Cancelled",IF(AND(AS290&lt;&gt;"",AU290&lt;&gt;"",AW290&lt;&gt;""),"Closed","Open"))</f>
        <v>Closed</v>
      </c>
      <c r="AY290" s="15" t="str">
        <f t="shared" si="13"/>
        <v>All dates received</v>
      </c>
      <c r="BD290" s="13">
        <f>IF($AX290="Cancelled","",IFERROR(IF(OR(AS290="",AJ290=""),"",(AJ290+Variables!$B$18-AS290)),""))</f>
        <v>8</v>
      </c>
      <c r="BE290" s="13">
        <f>IF($AX290="Cancelled","",IFERROR(IF(OR(AW290="",AS290=""),"",(AS290+Variables!$B$19)-AW290),""))</f>
        <v>-10</v>
      </c>
      <c r="BF290" s="44">
        <f>IF($AX290="Cancelled","",IFERROR(W290*INDEX(Variables!$B$7:$D$7,IFERROR(MATCH(IF($B290="Robusta","Robusta",(IF($B290="","Arabica",$B290))&amp;" - "&amp;(IF($C290="","Commercial",$C290))),Variables!$B$1:$D$1,0),1))*(BE290/365),""))</f>
        <v>-6.5713272791089956</v>
      </c>
      <c r="BG290" s="44">
        <f>IF($AX290="Cancelled","",IFERROR((W290*INDEX(Variables!$B$7:$D$7,IFERROR(MATCH(IF($B290="Robusta","Robusta",(IF($B290="","Arabica",$B290))&amp;" - "&amp;(IF($C290="","Commercial",$C290))),Variables!$B$1:$D$1,0),1))*IFERROR(IF(AB290="","",(AVERAGE(E290:F290)-AB290)-Variables!$B$14),"")/365)+(L290/16.67*INDEX(Variables!$B$8:$D$8,IFERROR(MATCH(IF($B290="Robusta","Robusta",(IF($B290="","Arabica",$B290))&amp;" - "&amp;(IF($C290="","Commercial",$C290))),Variables!$B$1:$D$1,0),1))*IFERROR(IF(AB290="","",(AVERAGE(E290:F290)-AB290)-Variables!$B$14),""))+(W290*INDEX(Variables!$B$9:$D$9,IFERROR(MATCH(IF($B290="Robusta","Robusta",(IF($B290="","Arabica",$B290))&amp;" - "&amp;(IF($C290="","Commercial",$C290))),Variables!$B$1:$D$1,0),1))*IFERROR(IF(AB290="","",(AVERAGE(E290:F290)-AB290)-Variables!$B$14),"")/365),""))</f>
        <v>0.63475277309482825</v>
      </c>
      <c r="BH290" s="44">
        <f>IF($AX290="Cancelled","",IFERROR((W290*INDEX(Variables!$B$7:$D$7,IFERROR(MATCH(IF($B290="Robusta","Robusta",(IF($B290="","Arabica",$B290))&amp;" - "&amp;(IF($C290="","Commercial",$C290))),Variables!$B$1:$D$1,0),1))*AK290/365)+(L290/16.67*INDEX(Variables!$B$8:$D$8,IFERROR(MATCH(IF($B290="Robusta","Robusta",(IF($B290="","Arabica",$B290))&amp;" - "&amp;(IF($C290="","Commercial",$C290))),Variables!$B$1:$D$1,0),1))*AK290)+(W290*INDEX(Variables!$B$9:$D$9,IFERROR(MATCH(IF($B290="Robusta","Robusta",(IF($B290="","Arabica",$B290))&amp;" - "&amp;(IF($C290="","Commercial",$C290))),Variables!$B$1:$D$1,0),1))*AK290/365),""))</f>
        <v>8.1248354956138034</v>
      </c>
      <c r="BI290" s="44">
        <f>IF($AX290="Cancelled","",IFERROR((W290*INDEX(Variables!$B$7:$D$7,IFERROR(MATCH(IF($B290="Robusta","Robusta",(IF($B290="","Arabica",$B290))&amp;" - "&amp;(IF($C290="","Commercial",$C290))),Variables!$B$1:$D$1,0),1))*BD290/365)+(L290/16.67*INDEX(Variables!$B$8:$D$8,IFERROR(MATCH(IF($B290="Robusta","Robusta",(IF($B290="","Arabica",$B290))&amp;" - "&amp;(IF($C290="","Commercial",$C290))),Variables!$B$1:$D$1,0),1))*BD290)+(W290*INDEX(Variables!$B$9:$D$9,IFERROR(MATCH(IF($B290="Robusta","Robusta",(IF($B290="","Arabica",$B290))&amp;" - "&amp;(IF($C290="","Commercial",$C290))),Variables!$B$1:$D$1,0),1))*BD290/365),""))</f>
        <v>8.1248354956138034</v>
      </c>
      <c r="BJ290" s="44">
        <f t="shared" si="14"/>
        <v>-15</v>
      </c>
      <c r="BK290" s="44">
        <f>IF($AX290="Cancelled","",IFERROR(IF(BJ290="","",(W290*INDEX(Variables!$B$7:$D$7,IFERROR(MATCH(IF($B290="Robusta","Robusta",(IF($B290="","Arabica",$B290))&amp;" - "&amp;(IF($C290="","Commercial",$C290))),Variables!$B$1:$D$1,0),1))*(BJ290/365))+(W290*INDEX(Variables!$B$9:$D$9,IFERROR(MATCH(IF($B290="Robusta","Robusta",(IF($B290="","Arabica",$B290))&amp;" - "&amp;(IF($C290="","Commercial",$C290))),Variables!$B$1:$D$1,0),1))*(BJ290/365))+(INDEX(Variables!$B$8:$D$8,IFERROR(MATCH(IF($B290="Robusta","Robusta",(IF($B290="","Arabica",$B290))&amp;" - "&amp;(IF($C290="","Commercial",$C290))),Variables!$B$1:$D$1,0),1))*L290/16.67)),""))</f>
        <v>-9.6340665542758792</v>
      </c>
    </row>
    <row r="291" spans="1:63">
      <c r="A291" s="13" t="s">
        <v>103</v>
      </c>
      <c r="B291" s="13" t="s">
        <v>104</v>
      </c>
      <c r="C291" s="13" t="s">
        <v>292</v>
      </c>
      <c r="D291" s="31">
        <v>45722</v>
      </c>
      <c r="E291" s="31">
        <v>45748</v>
      </c>
      <c r="F291" s="31">
        <v>45777</v>
      </c>
      <c r="G291" s="13">
        <v>3786778</v>
      </c>
      <c r="J291" s="13" t="s">
        <v>773</v>
      </c>
      <c r="K291" s="13" t="s">
        <v>936</v>
      </c>
      <c r="L291" s="13">
        <v>8</v>
      </c>
      <c r="M291" s="13">
        <v>0</v>
      </c>
      <c r="N291" s="13" t="s">
        <v>937</v>
      </c>
      <c r="O291" s="13" t="s">
        <v>771</v>
      </c>
      <c r="P291" s="13">
        <v>10010</v>
      </c>
      <c r="R291" s="13" t="s">
        <v>384</v>
      </c>
      <c r="S291" s="13" t="s">
        <v>776</v>
      </c>
      <c r="T291" s="13" t="s">
        <v>777</v>
      </c>
      <c r="U291" s="13" t="s">
        <v>125</v>
      </c>
      <c r="V291" s="13">
        <v>117</v>
      </c>
      <c r="W291" s="44">
        <f>IF($AX291="Cancelled","",IFERROR(((V291+INDEX(Variables!$B$6:$D$6,IFERROR(MATCH(IF($B291="Robusta","Robusta",(IF($B291="","Arabica",$B291))&amp;" - "&amp;(IF($C291="","Commercial",$C291))),Variables!$B$1:$D$1,0),1)))*22.0462)*(L291/16.67),""))</f>
        <v>4314.5484631073787</v>
      </c>
      <c r="X291" s="55" t="s">
        <v>39</v>
      </c>
      <c r="Y291" s="13" t="str">
        <f>IF($AX291="Cancelled","",IF(X291="","",IFERROR(IF(INDEX(Variables!$B$38:$B$47,MATCH(X291,Variables!$A$38:$A$47,0))="Yes","Yes","No"),"No")))</f>
        <v>No</v>
      </c>
      <c r="Z291" s="31"/>
      <c r="AB291" s="31">
        <v>45731.875</v>
      </c>
      <c r="AC291" s="13" t="str">
        <f t="shared" si="12"/>
        <v>Approved</v>
      </c>
      <c r="AF291" s="71">
        <f>AJ291-7</f>
        <v>45778</v>
      </c>
      <c r="AG291" s="36">
        <f>IF($AX291="Cancelled","",IFERROR(IF(F291="","",F291-Variables!$B$13),""))</f>
        <v>45762</v>
      </c>
      <c r="AH291" s="13">
        <f>IF($AX291="Cancelled","",IFERROR(IF(AB291="","",(AVERAGE(E291:F291)-AB291)-Variables!$B$14),""))</f>
        <v>0.625</v>
      </c>
      <c r="AJ291" s="47">
        <v>45785</v>
      </c>
      <c r="AK291" s="14">
        <f>IF($AX291="Cancelled","",IFERROR(IF(AJ291="","",IF(AND(AB291="",AF291=""),"",IF(AF291&gt;AB291,AF291+Variables!$B$15+Variables!$B$16+Variables!$B$17-AJ291,AB291+Variables!$B$16+Variables!$B$17-AJ291))),""))</f>
        <v>8</v>
      </c>
      <c r="AL291" s="48" t="s">
        <v>114</v>
      </c>
      <c r="AM291" s="13" t="s">
        <v>115</v>
      </c>
      <c r="AN291" s="13" t="s">
        <v>370</v>
      </c>
      <c r="AP291" s="31">
        <v>45789</v>
      </c>
      <c r="AR291" s="13">
        <v>253545561</v>
      </c>
      <c r="AS291" s="31">
        <v>45792</v>
      </c>
      <c r="AU291" s="31">
        <v>45805</v>
      </c>
      <c r="AV291" s="13" t="s">
        <v>1255</v>
      </c>
      <c r="AW291" s="31">
        <v>45807</v>
      </c>
      <c r="AX291" s="13" t="str">
        <f>IF(ISNUMBER(SEARCH("cancel",#REF!)),"Cancelled",IF(AND(AS291&lt;&gt;"",AU291&lt;&gt;"",AW291&lt;&gt;""),"Closed","Open"))</f>
        <v>Closed</v>
      </c>
      <c r="AY291" s="15" t="str">
        <f t="shared" si="13"/>
        <v>All dates received</v>
      </c>
      <c r="BD291" s="13">
        <f>IF($AX291="Cancelled","",IFERROR(IF(OR(AS291="",AJ291=""),"",(AJ291+Variables!$B$18-AS291)),""))</f>
        <v>8</v>
      </c>
      <c r="BE291" s="13">
        <f>IF($AX291="Cancelled","",IFERROR(IF(OR(AW291="",AS291=""),"",(AS291+Variables!$B$19)-AW291),""))</f>
        <v>-10</v>
      </c>
      <c r="BF291" s="44">
        <f>IF($AX291="Cancelled","",IFERROR(W291*INDEX(Variables!$B$7:$D$7,IFERROR(MATCH(IF($B291="Robusta","Robusta",(IF($B291="","Arabica",$B291))&amp;" - "&amp;(IF($C291="","Commercial",$C291))),Variables!$B$1:$D$1,0),1))*(BE291/365),""))</f>
        <v>-7.6222349837748657</v>
      </c>
      <c r="BG291" s="44">
        <f>IF($AX291="Cancelled","",IFERROR((W291*INDEX(Variables!$B$7:$D$7,IFERROR(MATCH(IF($B291="Robusta","Robusta",(IF($B291="","Arabica",$B291))&amp;" - "&amp;(IF($C291="","Commercial",$C291))),Variables!$B$1:$D$1,0),1))*IFERROR(IF(AB291="","",(AVERAGE(E291:F291)-AB291)-Variables!$B$14),"")/365)+(L291/16.67*INDEX(Variables!$B$8:$D$8,IFERROR(MATCH(IF($B291="Robusta","Robusta",(IF($B291="","Arabica",$B291))&amp;" - "&amp;(IF($C291="","Commercial",$C291))),Variables!$B$1:$D$1,0),1))*IFERROR(IF(AB291="","",(AVERAGE(E291:F291)-AB291)-Variables!$B$14),""))+(W291*INDEX(Variables!$B$9:$D$9,IFERROR(MATCH(IF($B291="Robusta","Robusta",(IF($B291="","Arabica",$B291))&amp;" - "&amp;(IF($C291="","Commercial",$C291))),Variables!$B$1:$D$1,0),1))*IFERROR(IF(AB291="","",(AVERAGE(E291:F291)-AB291)-Variables!$B$14),"")/365),""))</f>
        <v>0.73253126891295173</v>
      </c>
      <c r="BH291" s="44">
        <f>IF($AX291="Cancelled","",IFERROR((W291*INDEX(Variables!$B$7:$D$7,IFERROR(MATCH(IF($B291="Robusta","Robusta",(IF($B291="","Arabica",$B291))&amp;" - "&amp;(IF($C291="","Commercial",$C291))),Variables!$B$1:$D$1,0),1))*AK291/365)+(L291/16.67*INDEX(Variables!$B$8:$D$8,IFERROR(MATCH(IF($B291="Robusta","Robusta",(IF($B291="","Arabica",$B291))&amp;" - "&amp;(IF($C291="","Commercial",$C291))),Variables!$B$1:$D$1,0),1))*AK291)+(W291*INDEX(Variables!$B$9:$D$9,IFERROR(MATCH(IF($B291="Robusta","Robusta",(IF($B291="","Arabica",$B291))&amp;" - "&amp;(IF($C291="","Commercial",$C291))),Variables!$B$1:$D$1,0),1))*AK291/365),""))</f>
        <v>9.376400242085781</v>
      </c>
      <c r="BI291" s="44">
        <f>IF($AX291="Cancelled","",IFERROR((W291*INDEX(Variables!$B$7:$D$7,IFERROR(MATCH(IF($B291="Robusta","Robusta",(IF($B291="","Arabica",$B291))&amp;" - "&amp;(IF($C291="","Commercial",$C291))),Variables!$B$1:$D$1,0),1))*BD291/365)+(L291/16.67*INDEX(Variables!$B$8:$D$8,IFERROR(MATCH(IF($B291="Robusta","Robusta",(IF($B291="","Arabica",$B291))&amp;" - "&amp;(IF($C291="","Commercial",$C291))),Variables!$B$1:$D$1,0),1))*BD291)+(W291*INDEX(Variables!$B$9:$D$9,IFERROR(MATCH(IF($B291="Robusta","Robusta",(IF($B291="","Arabica",$B291))&amp;" - "&amp;(IF($C291="","Commercial",$C291))),Variables!$B$1:$D$1,0),1))*BD291/365),""))</f>
        <v>9.376400242085781</v>
      </c>
      <c r="BJ291" s="44">
        <f t="shared" si="14"/>
        <v>-15</v>
      </c>
      <c r="BK291" s="44">
        <f>IF($AX291="Cancelled","",IFERROR(IF(BJ291="","",(W291*INDEX(Variables!$B$7:$D$7,IFERROR(MATCH(IF($B291="Robusta","Robusta",(IF($B291="","Arabica",$B291))&amp;" - "&amp;(IF($C291="","Commercial",$C291))),Variables!$B$1:$D$1,0),1))*(BJ291/365))+(W291*INDEX(Variables!$B$9:$D$9,IFERROR(MATCH(IF($B291="Robusta","Robusta",(IF($B291="","Arabica",$B291))&amp;" - "&amp;(IF($C291="","Commercial",$C291))),Variables!$B$1:$D$1,0),1))*(BJ291/365))+(INDEX(Variables!$B$8:$D$8,IFERROR(MATCH(IF($B291="Robusta","Robusta",(IF($B291="","Arabica",$B291))&amp;" - "&amp;(IF($C291="","Commercial",$C291))),Variables!$B$1:$D$1,0),1))*L291/16.67)),""))</f>
        <v>-11.180750453910839</v>
      </c>
    </row>
    <row r="292" spans="1:63">
      <c r="A292" s="13" t="s">
        <v>103</v>
      </c>
      <c r="B292" s="13" t="s">
        <v>104</v>
      </c>
      <c r="C292" s="13" t="s">
        <v>292</v>
      </c>
      <c r="D292" s="31">
        <v>45722</v>
      </c>
      <c r="E292" s="31">
        <v>45748</v>
      </c>
      <c r="F292" s="31">
        <v>45777</v>
      </c>
      <c r="G292" s="13">
        <v>3786779</v>
      </c>
      <c r="J292" s="13" t="s">
        <v>773</v>
      </c>
      <c r="K292" s="13" t="s">
        <v>938</v>
      </c>
      <c r="L292" s="13">
        <v>20</v>
      </c>
      <c r="M292" s="13">
        <v>0</v>
      </c>
      <c r="N292" s="13" t="s">
        <v>939</v>
      </c>
      <c r="O292" s="13" t="s">
        <v>925</v>
      </c>
      <c r="P292" s="13">
        <v>10020</v>
      </c>
      <c r="R292" s="13" t="s">
        <v>384</v>
      </c>
      <c r="S292" s="13" t="s">
        <v>776</v>
      </c>
      <c r="T292" s="13" t="s">
        <v>777</v>
      </c>
      <c r="U292" s="13" t="s">
        <v>125</v>
      </c>
      <c r="V292" s="13">
        <v>78</v>
      </c>
      <c r="W292" s="44">
        <f>IF($AX292="Cancelled","",IFERROR(((V292+INDEX(Variables!$B$6:$D$6,IFERROR(MATCH(IF($B292="Robusta","Robusta",(IF($B292="","Arabica",$B292))&amp;" - "&amp;(IF($C292="","Commercial",$C292))),Variables!$B$1:$D$1,0),1)))*22.0462)*(L292/16.67),""))</f>
        <v>9754.8153089382104</v>
      </c>
      <c r="X292" s="55" t="s">
        <v>39</v>
      </c>
      <c r="Y292" s="13" t="str">
        <f>IF($AX292="Cancelled","",IF(X292="","",IFERROR(IF(INDEX(Variables!$B$38:$B$47,MATCH(X292,Variables!$A$38:$A$47,0))="Yes","Yes","No"),"No")))</f>
        <v>No</v>
      </c>
      <c r="Z292" s="31"/>
      <c r="AB292" s="31">
        <v>45731.875</v>
      </c>
      <c r="AC292" s="13" t="str">
        <f t="shared" si="12"/>
        <v>Approved</v>
      </c>
      <c r="AF292" s="71">
        <f>AJ292-7</f>
        <v>45778</v>
      </c>
      <c r="AG292" s="36">
        <f>IF($AX292="Cancelled","",IFERROR(IF(F292="","",F292-Variables!$B$13),""))</f>
        <v>45762</v>
      </c>
      <c r="AH292" s="13">
        <f>IF($AX292="Cancelled","",IFERROR(IF(AB292="","",(AVERAGE(E292:F292)-AB292)-Variables!$B$14),""))</f>
        <v>0.625</v>
      </c>
      <c r="AJ292" s="47">
        <v>45785</v>
      </c>
      <c r="AK292" s="14">
        <f>IF($AX292="Cancelled","",IFERROR(IF(AJ292="","",IF(AND(AB292="",AF292=""),"",IF(AF292&gt;AB292,AF292+Variables!$B$15+Variables!$B$16+Variables!$B$17-AJ292,AB292+Variables!$B$16+Variables!$B$17-AJ292))),""))</f>
        <v>8</v>
      </c>
      <c r="AL292" s="48" t="s">
        <v>114</v>
      </c>
      <c r="AM292" s="13" t="s">
        <v>115</v>
      </c>
      <c r="AN292" s="13" t="s">
        <v>370</v>
      </c>
      <c r="AP292" s="31">
        <v>45789</v>
      </c>
      <c r="AR292" s="13">
        <v>253545561</v>
      </c>
      <c r="AS292" s="31">
        <v>45792</v>
      </c>
      <c r="AU292" s="31">
        <v>45805</v>
      </c>
      <c r="AV292" s="13" t="s">
        <v>1255</v>
      </c>
      <c r="AW292" s="31">
        <v>45807</v>
      </c>
      <c r="AX292" s="13" t="str">
        <f>IF(ISNUMBER(SEARCH("cancel",#REF!)),"Cancelled",IF(AND(AS292&lt;&gt;"",AU292&lt;&gt;"",AW292&lt;&gt;""),"Closed","Open"))</f>
        <v>Closed</v>
      </c>
      <c r="AY292" s="15" t="str">
        <f t="shared" si="13"/>
        <v>All dates received</v>
      </c>
      <c r="BD292" s="13">
        <f>IF($AX292="Cancelled","",IFERROR(IF(OR(AS292="",AJ292=""),"",(AJ292+Variables!$B$18-AS292)),""))</f>
        <v>8</v>
      </c>
      <c r="BE292" s="13">
        <f>IF($AX292="Cancelled","",IFERROR(IF(OR(AW292="",AS292=""),"",(AS292+Variables!$B$19)-AW292),""))</f>
        <v>-10</v>
      </c>
      <c r="BF292" s="44">
        <f>IF($AX292="Cancelled","",IFERROR(W292*INDEX(Variables!$B$7:$D$7,IFERROR(MATCH(IF($B292="Robusta","Robusta",(IF($B292="","Arabica",$B292))&amp;" - "&amp;(IF($C292="","Commercial",$C292))),Variables!$B$1:$D$1,0),1))*(BE292/365),""))</f>
        <v>-17.233204156548368</v>
      </c>
      <c r="BG292" s="44">
        <f>IF($AX292="Cancelled","",IFERROR((W292*INDEX(Variables!$B$7:$D$7,IFERROR(MATCH(IF($B292="Robusta","Robusta",(IF($B292="","Arabica",$B292))&amp;" - "&amp;(IF($C292="","Commercial",$C292))),Variables!$B$1:$D$1,0),1))*IFERROR(IF(AB292="","",(AVERAGE(E292:F292)-AB292)-Variables!$B$14),"")/365)+(L292/16.67*INDEX(Variables!$B$8:$D$8,IFERROR(MATCH(IF($B292="Robusta","Robusta",(IF($B292="","Arabica",$B292))&amp;" - "&amp;(IF($C292="","Commercial",$C292))),Variables!$B$1:$D$1,0),1))*IFERROR(IF(AB292="","",(AVERAGE(E292:F292)-AB292)-Variables!$B$14),""))+(W292*INDEX(Variables!$B$9:$D$9,IFERROR(MATCH(IF($B292="Robusta","Robusta",(IF($B292="","Arabica",$B292))&amp;" - "&amp;(IF($C292="","Commercial",$C292))),Variables!$B$1:$D$1,0),1))*IFERROR(IF(AB292="","",(AVERAGE(E292:F292)-AB292)-Variables!$B$14),"")/365),""))</f>
        <v>1.7159608384937259</v>
      </c>
      <c r="BH292" s="44">
        <f>IF($AX292="Cancelled","",IFERROR((W292*INDEX(Variables!$B$7:$D$7,IFERROR(MATCH(IF($B292="Robusta","Robusta",(IF($B292="","Arabica",$B292))&amp;" - "&amp;(IF($C292="","Commercial",$C292))),Variables!$B$1:$D$1,0),1))*AK292/365)+(L292/16.67*INDEX(Variables!$B$8:$D$8,IFERROR(MATCH(IF($B292="Robusta","Robusta",(IF($B292="","Arabica",$B292))&amp;" - "&amp;(IF($C292="","Commercial",$C292))),Variables!$B$1:$D$1,0),1))*AK292)+(W292*INDEX(Variables!$B$9:$D$9,IFERROR(MATCH(IF($B292="Robusta","Robusta",(IF($B292="","Arabica",$B292))&amp;" - "&amp;(IF($C292="","Commercial",$C292))),Variables!$B$1:$D$1,0),1))*AK292/365),""))</f>
        <v>21.964298732719691</v>
      </c>
      <c r="BI292" s="44">
        <f>IF($AX292="Cancelled","",IFERROR((W292*INDEX(Variables!$B$7:$D$7,IFERROR(MATCH(IF($B292="Robusta","Robusta",(IF($B292="","Arabica",$B292))&amp;" - "&amp;(IF($C292="","Commercial",$C292))),Variables!$B$1:$D$1,0),1))*BD292/365)+(L292/16.67*INDEX(Variables!$B$8:$D$8,IFERROR(MATCH(IF($B292="Robusta","Robusta",(IF($B292="","Arabica",$B292))&amp;" - "&amp;(IF($C292="","Commercial",$C292))),Variables!$B$1:$D$1,0),1))*BD292)+(W292*INDEX(Variables!$B$9:$D$9,IFERROR(MATCH(IF($B292="Robusta","Robusta",(IF($B292="","Arabica",$B292))&amp;" - "&amp;(IF($C292="","Commercial",$C292))),Variables!$B$1:$D$1,0),1))*BD292/365),""))</f>
        <v>21.964298732719691</v>
      </c>
      <c r="BJ292" s="44">
        <f t="shared" si="14"/>
        <v>-15</v>
      </c>
      <c r="BK292" s="44">
        <f>IF($AX292="Cancelled","",IFERROR(IF(BJ292="","",(W292*INDEX(Variables!$B$7:$D$7,IFERROR(MATCH(IF($B292="Robusta","Robusta",(IF($B292="","Arabica",$B292))&amp;" - "&amp;(IF($C292="","Commercial",$C292))),Variables!$B$1:$D$1,0),1))*(BJ292/365))+(W292*INDEX(Variables!$B$9:$D$9,IFERROR(MATCH(IF($B292="Robusta","Robusta",(IF($B292="","Arabica",$B292))&amp;" - "&amp;(IF($C292="","Commercial",$C292))),Variables!$B$1:$D$1,0),1))*(BJ292/365))+(INDEX(Variables!$B$8:$D$8,IFERROR(MATCH(IF($B292="Robusta","Robusta",(IF($B292="","Arabica",$B292))&amp;" - "&amp;(IF($C292="","Commercial",$C292))),Variables!$B$1:$D$1,0),1))*L292/16.67)),""))</f>
        <v>-25.183060123849415</v>
      </c>
    </row>
    <row r="293" spans="1:63">
      <c r="A293" s="13" t="s">
        <v>103</v>
      </c>
      <c r="B293" s="13" t="s">
        <v>104</v>
      </c>
      <c r="C293" s="13" t="s">
        <v>292</v>
      </c>
      <c r="D293" s="31">
        <v>45722</v>
      </c>
      <c r="E293" s="31">
        <v>45748</v>
      </c>
      <c r="F293" s="31">
        <v>45777</v>
      </c>
      <c r="G293" s="13">
        <v>3786780</v>
      </c>
      <c r="J293" s="13" t="s">
        <v>773</v>
      </c>
      <c r="K293" s="13" t="s">
        <v>940</v>
      </c>
      <c r="L293" s="13">
        <v>7</v>
      </c>
      <c r="M293" s="13">
        <v>0</v>
      </c>
      <c r="N293" s="13" t="s">
        <v>941</v>
      </c>
      <c r="O293" s="13" t="s">
        <v>771</v>
      </c>
      <c r="P293" s="13">
        <v>10010</v>
      </c>
      <c r="R293" s="13" t="s">
        <v>384</v>
      </c>
      <c r="S293" s="13" t="s">
        <v>776</v>
      </c>
      <c r="T293" s="13" t="s">
        <v>777</v>
      </c>
      <c r="U293" s="13" t="s">
        <v>125</v>
      </c>
      <c r="V293" s="13">
        <v>111</v>
      </c>
      <c r="W293" s="44">
        <f>IF($AX293="Cancelled","",IFERROR(((V293+INDEX(Variables!$B$6:$D$6,IFERROR(MATCH(IF($B293="Robusta","Robusta",(IF($B293="","Arabica",$B293))&amp;" - "&amp;(IF($C293="","Commercial",$C293))),Variables!$B$1:$D$1,0),1)))*22.0462)*(L293/16.67),""))</f>
        <v>3719.6845902819432</v>
      </c>
      <c r="X293" s="55" t="s">
        <v>39</v>
      </c>
      <c r="Y293" s="13" t="str">
        <f>IF($AX293="Cancelled","",IF(X293="","",IFERROR(IF(INDEX(Variables!$B$38:$B$47,MATCH(X293,Variables!$A$38:$A$47,0))="Yes","Yes","No"),"No")))</f>
        <v>No</v>
      </c>
      <c r="Z293" s="31"/>
      <c r="AB293" s="31">
        <v>45731.875</v>
      </c>
      <c r="AC293" s="13" t="str">
        <f t="shared" si="12"/>
        <v>Approved</v>
      </c>
      <c r="AF293" s="71">
        <f>AJ293-7</f>
        <v>45778</v>
      </c>
      <c r="AG293" s="36">
        <f>IF($AX293="Cancelled","",IFERROR(IF(F293="","",F293-Variables!$B$13),""))</f>
        <v>45762</v>
      </c>
      <c r="AH293" s="13">
        <f>IF($AX293="Cancelled","",IFERROR(IF(AB293="","",(AVERAGE(E293:F293)-AB293)-Variables!$B$14),""))</f>
        <v>0.625</v>
      </c>
      <c r="AJ293" s="47">
        <v>45785</v>
      </c>
      <c r="AK293" s="14">
        <f>IF($AX293="Cancelled","",IFERROR(IF(AJ293="","",IF(AND(AB293="",AF293=""),"",IF(AF293&gt;AB293,AF293+Variables!$B$15+Variables!$B$16+Variables!$B$17-AJ293,AB293+Variables!$B$16+Variables!$B$17-AJ293))),""))</f>
        <v>8</v>
      </c>
      <c r="AL293" s="48" t="s">
        <v>114</v>
      </c>
      <c r="AM293" s="13" t="s">
        <v>115</v>
      </c>
      <c r="AN293" s="13" t="s">
        <v>370</v>
      </c>
      <c r="AP293" s="31">
        <v>45789</v>
      </c>
      <c r="AR293" s="13">
        <v>253545561</v>
      </c>
      <c r="AS293" s="31">
        <v>45792</v>
      </c>
      <c r="AU293" s="31">
        <v>45805</v>
      </c>
      <c r="AV293" s="13" t="s">
        <v>1255</v>
      </c>
      <c r="AW293" s="31">
        <v>45807</v>
      </c>
      <c r="AX293" s="13" t="str">
        <f>IF(ISNUMBER(SEARCH("cancel",#REF!)),"Cancelled",IF(AND(AS293&lt;&gt;"",AU293&lt;&gt;"",AW293&lt;&gt;""),"Closed","Open"))</f>
        <v>Closed</v>
      </c>
      <c r="AY293" s="15" t="str">
        <f t="shared" si="13"/>
        <v>All dates received</v>
      </c>
      <c r="BD293" s="13">
        <f>IF($AX293="Cancelled","",IFERROR(IF(OR(AS293="",AJ293=""),"",(AJ293+Variables!$B$18-AS293)),""))</f>
        <v>8</v>
      </c>
      <c r="BE293" s="13">
        <f>IF($AX293="Cancelled","",IFERROR(IF(OR(AW293="",AS293=""),"",(AS293+Variables!$B$19)-AW293),""))</f>
        <v>-10</v>
      </c>
      <c r="BF293" s="44">
        <f>IF($AX293="Cancelled","",IFERROR(W293*INDEX(Variables!$B$7:$D$7,IFERROR(MATCH(IF($B293="Robusta","Robusta",(IF($B293="","Arabica",$B293))&amp;" - "&amp;(IF($C293="","Commercial",$C293))),Variables!$B$1:$D$1,0),1))*(BE293/365),""))</f>
        <v>-6.5713272791089956</v>
      </c>
      <c r="BG293" s="44">
        <f>IF($AX293="Cancelled","",IFERROR((W293*INDEX(Variables!$B$7:$D$7,IFERROR(MATCH(IF($B293="Robusta","Robusta",(IF($B293="","Arabica",$B293))&amp;" - "&amp;(IF($C293="","Commercial",$C293))),Variables!$B$1:$D$1,0),1))*IFERROR(IF(AB293="","",(AVERAGE(E293:F293)-AB293)-Variables!$B$14),"")/365)+(L293/16.67*INDEX(Variables!$B$8:$D$8,IFERROR(MATCH(IF($B293="Robusta","Robusta",(IF($B293="","Arabica",$B293))&amp;" - "&amp;(IF($C293="","Commercial",$C293))),Variables!$B$1:$D$1,0),1))*IFERROR(IF(AB293="","",(AVERAGE(E293:F293)-AB293)-Variables!$B$14),""))+(W293*INDEX(Variables!$B$9:$D$9,IFERROR(MATCH(IF($B293="Robusta","Robusta",(IF($B293="","Arabica",$B293))&amp;" - "&amp;(IF($C293="","Commercial",$C293))),Variables!$B$1:$D$1,0),1))*IFERROR(IF(AB293="","",(AVERAGE(E293:F293)-AB293)-Variables!$B$14),"")/365),""))</f>
        <v>0.63475277309482825</v>
      </c>
      <c r="BH293" s="44">
        <f>IF($AX293="Cancelled","",IFERROR((W293*INDEX(Variables!$B$7:$D$7,IFERROR(MATCH(IF($B293="Robusta","Robusta",(IF($B293="","Arabica",$B293))&amp;" - "&amp;(IF($C293="","Commercial",$C293))),Variables!$B$1:$D$1,0),1))*AK293/365)+(L293/16.67*INDEX(Variables!$B$8:$D$8,IFERROR(MATCH(IF($B293="Robusta","Robusta",(IF($B293="","Arabica",$B293))&amp;" - "&amp;(IF($C293="","Commercial",$C293))),Variables!$B$1:$D$1,0),1))*AK293)+(W293*INDEX(Variables!$B$9:$D$9,IFERROR(MATCH(IF($B293="Robusta","Robusta",(IF($B293="","Arabica",$B293))&amp;" - "&amp;(IF($C293="","Commercial",$C293))),Variables!$B$1:$D$1,0),1))*AK293/365),""))</f>
        <v>8.1248354956138034</v>
      </c>
      <c r="BI293" s="44">
        <f>IF($AX293="Cancelled","",IFERROR((W293*INDEX(Variables!$B$7:$D$7,IFERROR(MATCH(IF($B293="Robusta","Robusta",(IF($B293="","Arabica",$B293))&amp;" - "&amp;(IF($C293="","Commercial",$C293))),Variables!$B$1:$D$1,0),1))*BD293/365)+(L293/16.67*INDEX(Variables!$B$8:$D$8,IFERROR(MATCH(IF($B293="Robusta","Robusta",(IF($B293="","Arabica",$B293))&amp;" - "&amp;(IF($C293="","Commercial",$C293))),Variables!$B$1:$D$1,0),1))*BD293)+(W293*INDEX(Variables!$B$9:$D$9,IFERROR(MATCH(IF($B293="Robusta","Robusta",(IF($B293="","Arabica",$B293))&amp;" - "&amp;(IF($C293="","Commercial",$C293))),Variables!$B$1:$D$1,0),1))*BD293/365),""))</f>
        <v>8.1248354956138034</v>
      </c>
      <c r="BJ293" s="44">
        <f t="shared" si="14"/>
        <v>-15</v>
      </c>
      <c r="BK293" s="44">
        <f>IF($AX293="Cancelled","",IFERROR(IF(BJ293="","",(W293*INDEX(Variables!$B$7:$D$7,IFERROR(MATCH(IF($B293="Robusta","Robusta",(IF($B293="","Arabica",$B293))&amp;" - "&amp;(IF($C293="","Commercial",$C293))),Variables!$B$1:$D$1,0),1))*(BJ293/365))+(W293*INDEX(Variables!$B$9:$D$9,IFERROR(MATCH(IF($B293="Robusta","Robusta",(IF($B293="","Arabica",$B293))&amp;" - "&amp;(IF($C293="","Commercial",$C293))),Variables!$B$1:$D$1,0),1))*(BJ293/365))+(INDEX(Variables!$B$8:$D$8,IFERROR(MATCH(IF($B293="Robusta","Robusta",(IF($B293="","Arabica",$B293))&amp;" - "&amp;(IF($C293="","Commercial",$C293))),Variables!$B$1:$D$1,0),1))*L293/16.67)),""))</f>
        <v>-9.6340665542758792</v>
      </c>
    </row>
    <row r="294" spans="1:63">
      <c r="A294" s="13" t="s">
        <v>103</v>
      </c>
      <c r="B294" s="13" t="s">
        <v>104</v>
      </c>
      <c r="C294" s="13" t="s">
        <v>292</v>
      </c>
      <c r="D294" s="31">
        <v>45722</v>
      </c>
      <c r="E294" s="31">
        <v>45748</v>
      </c>
      <c r="F294" s="31">
        <v>45777</v>
      </c>
      <c r="G294" s="13">
        <v>3786781</v>
      </c>
      <c r="J294" s="13" t="s">
        <v>773</v>
      </c>
      <c r="K294" s="13" t="s">
        <v>942</v>
      </c>
      <c r="L294" s="13">
        <v>20</v>
      </c>
      <c r="M294" s="13">
        <v>0</v>
      </c>
      <c r="N294" s="13" t="s">
        <v>943</v>
      </c>
      <c r="O294" s="13" t="s">
        <v>109</v>
      </c>
      <c r="P294" s="13">
        <v>10080</v>
      </c>
      <c r="R294" s="13" t="s">
        <v>239</v>
      </c>
      <c r="S294" s="13" t="s">
        <v>776</v>
      </c>
      <c r="T294" s="13" t="s">
        <v>777</v>
      </c>
      <c r="U294" s="13" t="s">
        <v>125</v>
      </c>
      <c r="V294" s="13">
        <v>35</v>
      </c>
      <c r="W294" s="44">
        <f>IF($AX294="Cancelled","",IFERROR(((V294+INDEX(Variables!$B$6:$D$6,IFERROR(MATCH(IF($B294="Robusta","Robusta",(IF($B294="","Arabica",$B294))&amp;" - "&amp;(IF($C294="","Commercial",$C294))),Variables!$B$1:$D$1,0),1)))*22.0462)*(L294/16.67),""))</f>
        <v>8617.4588602279546</v>
      </c>
      <c r="X294" s="55" t="s">
        <v>39</v>
      </c>
      <c r="Y294" s="13" t="str">
        <f>IF($AX294="Cancelled","",IF(X294="","",IFERROR(IF(INDEX(Variables!$B$38:$B$47,MATCH(X294,Variables!$A$38:$A$47,0))="Yes","Yes","No"),"No")))</f>
        <v>No</v>
      </c>
      <c r="Z294" s="31"/>
      <c r="AB294" s="31">
        <v>45731.875</v>
      </c>
      <c r="AC294" s="13" t="str">
        <f t="shared" si="12"/>
        <v>Approved</v>
      </c>
      <c r="AF294" s="71">
        <f>AJ294-7</f>
        <v>45778</v>
      </c>
      <c r="AG294" s="36">
        <f>IF($AX294="Cancelled","",IFERROR(IF(F294="","",F294-Variables!$B$13),""))</f>
        <v>45762</v>
      </c>
      <c r="AH294" s="13">
        <f>IF($AX294="Cancelled","",IFERROR(IF(AB294="","",(AVERAGE(E294:F294)-AB294)-Variables!$B$14),""))</f>
        <v>0.625</v>
      </c>
      <c r="AJ294" s="47">
        <v>45785</v>
      </c>
      <c r="AK294" s="14">
        <f>IF($AX294="Cancelled","",IFERROR(IF(AJ294="","",IF(AND(AB294="",AF294=""),"",IF(AF294&gt;AB294,AF294+Variables!$B$15+Variables!$B$16+Variables!$B$17-AJ294,AB294+Variables!$B$16+Variables!$B$17-AJ294))),""))</f>
        <v>8</v>
      </c>
      <c r="AL294" s="48" t="s">
        <v>114</v>
      </c>
      <c r="AM294" s="13" t="s">
        <v>115</v>
      </c>
      <c r="AN294" s="13" t="s">
        <v>370</v>
      </c>
      <c r="AP294" s="31">
        <v>45789</v>
      </c>
      <c r="AR294" s="13">
        <v>253545561</v>
      </c>
      <c r="AS294" s="31">
        <v>45792</v>
      </c>
      <c r="AU294" s="31">
        <v>45805</v>
      </c>
      <c r="AV294" s="13" t="s">
        <v>1255</v>
      </c>
      <c r="AW294" s="31">
        <v>45807</v>
      </c>
      <c r="AX294" s="13" t="str">
        <f>IF(ISNUMBER(SEARCH("cancel",#REF!)),"Cancelled",IF(AND(AS294&lt;&gt;"",AU294&lt;&gt;"",AW294&lt;&gt;""),"Closed","Open"))</f>
        <v>Closed</v>
      </c>
      <c r="AY294" s="15" t="str">
        <f t="shared" si="13"/>
        <v>All dates received</v>
      </c>
      <c r="BD294" s="13">
        <f>IF($AX294="Cancelled","",IFERROR(IF(OR(AS294="",AJ294=""),"",(AJ294+Variables!$B$18-AS294)),""))</f>
        <v>8</v>
      </c>
      <c r="BE294" s="13">
        <f>IF($AX294="Cancelled","",IFERROR(IF(OR(AW294="",AS294=""),"",(AS294+Variables!$B$19)-AW294),""))</f>
        <v>-10</v>
      </c>
      <c r="BF294" s="44">
        <f>IF($AX294="Cancelled","",IFERROR(W294*INDEX(Variables!$B$7:$D$7,IFERROR(MATCH(IF($B294="Robusta","Robusta",(IF($B294="","Arabica",$B294))&amp;" - "&amp;(IF($C294="","Commercial",$C294))),Variables!$B$1:$D$1,0),1))*(BE294/365),""))</f>
        <v>-15.223909745670985</v>
      </c>
      <c r="BG294" s="44">
        <f>IF($AX294="Cancelled","",IFERROR((W294*INDEX(Variables!$B$7:$D$7,IFERROR(MATCH(IF($B294="Robusta","Robusta",(IF($B294="","Arabica",$B294))&amp;" - "&amp;(IF($C294="","Commercial",$C294))),Variables!$B$1:$D$1,0),1))*IFERROR(IF(AB294="","",(AVERAGE(E294:F294)-AB294)-Variables!$B$14),"")/365)+(L294/16.67*INDEX(Variables!$B$8:$D$8,IFERROR(MATCH(IF($B294="Robusta","Robusta",(IF($B294="","Arabica",$B294))&amp;" - "&amp;(IF($C294="","Commercial",$C294))),Variables!$B$1:$D$1,0),1))*IFERROR(IF(AB294="","",(AVERAGE(E294:F294)-AB294)-Variables!$B$14),""))+(W294*INDEX(Variables!$B$9:$D$9,IFERROR(MATCH(IF($B294="Robusta","Robusta",(IF($B294="","Arabica",$B294))&amp;" - "&amp;(IF($C294="","Commercial",$C294))),Variables!$B$1:$D$1,0),1))*IFERROR(IF(AB294="","",(AVERAGE(E294:F294)-AB294)-Variables!$B$14),"")/365),""))</f>
        <v>1.5887609576498263</v>
      </c>
      <c r="BH294" s="44">
        <f>IF($AX294="Cancelled","",IFERROR((W294*INDEX(Variables!$B$7:$D$7,IFERROR(MATCH(IF($B294="Robusta","Robusta",(IF($B294="","Arabica",$B294))&amp;" - "&amp;(IF($C294="","Commercial",$C294))),Variables!$B$1:$D$1,0),1))*AK294/365)+(L294/16.67*INDEX(Variables!$B$8:$D$8,IFERROR(MATCH(IF($B294="Robusta","Robusta",(IF($B294="","Arabica",$B294))&amp;" - "&amp;(IF($C294="","Commercial",$C294))),Variables!$B$1:$D$1,0),1))*AK294)+(W294*INDEX(Variables!$B$9:$D$9,IFERROR(MATCH(IF($B294="Robusta","Robusta",(IF($B294="","Arabica",$B294))&amp;" - "&amp;(IF($C294="","Commercial",$C294))),Variables!$B$1:$D$1,0),1))*AK294/365),""))</f>
        <v>20.336140257917776</v>
      </c>
      <c r="BI294" s="44">
        <f>IF($AX294="Cancelled","",IFERROR((W294*INDEX(Variables!$B$7:$D$7,IFERROR(MATCH(IF($B294="Robusta","Robusta",(IF($B294="","Arabica",$B294))&amp;" - "&amp;(IF($C294="","Commercial",$C294))),Variables!$B$1:$D$1,0),1))*BD294/365)+(L294/16.67*INDEX(Variables!$B$8:$D$8,IFERROR(MATCH(IF($B294="Robusta","Robusta",(IF($B294="","Arabica",$B294))&amp;" - "&amp;(IF($C294="","Commercial",$C294))),Variables!$B$1:$D$1,0),1))*BD294)+(W294*INDEX(Variables!$B$9:$D$9,IFERROR(MATCH(IF($B294="Robusta","Robusta",(IF($B294="","Arabica",$B294))&amp;" - "&amp;(IF($C294="","Commercial",$C294))),Variables!$B$1:$D$1,0),1))*BD294/365),""))</f>
        <v>20.336140257917776</v>
      </c>
      <c r="BJ294" s="44">
        <f t="shared" si="14"/>
        <v>-15</v>
      </c>
      <c r="BK294" s="44">
        <f>IF($AX294="Cancelled","",IFERROR(IF(BJ294="","",(W294*INDEX(Variables!$B$7:$D$7,IFERROR(MATCH(IF($B294="Robusta","Robusta",(IF($B294="","Arabica",$B294))&amp;" - "&amp;(IF($C294="","Commercial",$C294))),Variables!$B$1:$D$1,0),1))*(BJ294/365))+(W294*INDEX(Variables!$B$9:$D$9,IFERROR(MATCH(IF($B294="Robusta","Robusta",(IF($B294="","Arabica",$B294))&amp;" - "&amp;(IF($C294="","Commercial",$C294))),Variables!$B$1:$D$1,0),1))*(BJ294/365))+(INDEX(Variables!$B$8:$D$8,IFERROR(MATCH(IF($B294="Robusta","Robusta",(IF($B294="","Arabica",$B294))&amp;" - "&amp;(IF($C294="","Commercial",$C294))),Variables!$B$1:$D$1,0),1))*L294/16.67)),""))</f>
        <v>-22.130262983595827</v>
      </c>
    </row>
    <row r="295" spans="1:63">
      <c r="A295" s="13" t="s">
        <v>103</v>
      </c>
      <c r="B295" s="13" t="s">
        <v>104</v>
      </c>
      <c r="C295" s="13" t="s">
        <v>292</v>
      </c>
      <c r="D295" s="31">
        <v>45722</v>
      </c>
      <c r="E295" s="31">
        <v>45748</v>
      </c>
      <c r="F295" s="31">
        <v>45777</v>
      </c>
      <c r="G295" s="13">
        <v>3786782</v>
      </c>
      <c r="J295" s="13" t="s">
        <v>773</v>
      </c>
      <c r="K295" s="13" t="s">
        <v>944</v>
      </c>
      <c r="L295" s="13">
        <v>23</v>
      </c>
      <c r="M295" s="13">
        <v>0</v>
      </c>
      <c r="N295" s="13" t="s">
        <v>945</v>
      </c>
      <c r="O295" s="13" t="s">
        <v>771</v>
      </c>
      <c r="P295" s="13">
        <v>10010</v>
      </c>
      <c r="R295" s="13" t="s">
        <v>239</v>
      </c>
      <c r="S295" s="13" t="s">
        <v>776</v>
      </c>
      <c r="T295" s="13" t="s">
        <v>777</v>
      </c>
      <c r="U295" s="13" t="s">
        <v>125</v>
      </c>
      <c r="V295" s="13">
        <v>125</v>
      </c>
      <c r="W295" s="44">
        <f>IF($AX295="Cancelled","",IFERROR(((V295+INDEX(Variables!$B$6:$D$6,IFERROR(MATCH(IF($B295="Robusta","Robusta",(IF($B295="","Arabica",$B295))&amp;" - "&amp;(IF($C295="","Commercial",$C295))),Variables!$B$1:$D$1,0),1)))*22.0462)*(L295/16.67),""))</f>
        <v>12647.668211157767</v>
      </c>
      <c r="X295" s="55" t="s">
        <v>39</v>
      </c>
      <c r="Y295" s="13" t="str">
        <f>IF($AX295="Cancelled","",IF(X295="","",IFERROR(IF(INDEX(Variables!$B$38:$B$47,MATCH(X295,Variables!$A$38:$A$47,0))="Yes","Yes","No"),"No")))</f>
        <v>No</v>
      </c>
      <c r="Z295" s="31"/>
      <c r="AB295" s="31">
        <v>45731.875</v>
      </c>
      <c r="AC295" s="13" t="str">
        <f t="shared" si="12"/>
        <v>Approved</v>
      </c>
      <c r="AF295" s="71">
        <f>AJ295-7</f>
        <v>45778</v>
      </c>
      <c r="AG295" s="36">
        <f>IF($AX295="Cancelled","",IFERROR(IF(F295="","",F295-Variables!$B$13),""))</f>
        <v>45762</v>
      </c>
      <c r="AH295" s="13">
        <f>IF($AX295="Cancelled","",IFERROR(IF(AB295="","",(AVERAGE(E295:F295)-AB295)-Variables!$B$14),""))</f>
        <v>0.625</v>
      </c>
      <c r="AJ295" s="47">
        <v>45785</v>
      </c>
      <c r="AK295" s="14">
        <f>IF($AX295="Cancelled","",IFERROR(IF(AJ295="","",IF(AND(AB295="",AF295=""),"",IF(AF295&gt;AB295,AF295+Variables!$B$15+Variables!$B$16+Variables!$B$17-AJ295,AB295+Variables!$B$16+Variables!$B$17-AJ295))),""))</f>
        <v>8</v>
      </c>
      <c r="AL295" s="48" t="s">
        <v>114</v>
      </c>
      <c r="AM295" s="13" t="s">
        <v>115</v>
      </c>
      <c r="AN295" s="13" t="s">
        <v>370</v>
      </c>
      <c r="AP295" s="31">
        <v>45789</v>
      </c>
      <c r="AR295" s="13">
        <v>253545561</v>
      </c>
      <c r="AS295" s="31">
        <v>45792</v>
      </c>
      <c r="AU295" s="31">
        <v>45805</v>
      </c>
      <c r="AV295" s="13" t="s">
        <v>1255</v>
      </c>
      <c r="AW295" s="31">
        <v>45807</v>
      </c>
      <c r="AX295" s="13" t="str">
        <f>IF(ISNUMBER(SEARCH("cancel",#REF!)),"Cancelled",IF(AND(AS295&lt;&gt;"",AU295&lt;&gt;"",AW295&lt;&gt;""),"Closed","Open"))</f>
        <v>Closed</v>
      </c>
      <c r="AY295" s="15" t="str">
        <f t="shared" si="13"/>
        <v>All dates received</v>
      </c>
      <c r="BD295" s="13">
        <f>IF($AX295="Cancelled","",IFERROR(IF(OR(AS295="",AJ295=""),"",(AJ295+Variables!$B$18-AS295)),""))</f>
        <v>8</v>
      </c>
      <c r="BE295" s="13">
        <f>IF($AX295="Cancelled","",IFERROR(IF(OR(AW295="",AS295=""),"",(AS295+Variables!$B$19)-AW295),""))</f>
        <v>-10</v>
      </c>
      <c r="BF295" s="44">
        <f>IF($AX295="Cancelled","",IFERROR(W295*INDEX(Variables!$B$7:$D$7,IFERROR(MATCH(IF($B295="Robusta","Robusta",(IF($B295="","Arabica",$B295))&amp;" - "&amp;(IF($C295="","Commercial",$C295))),Variables!$B$1:$D$1,0),1))*(BE295/365),""))</f>
        <v>-22.343821126726503</v>
      </c>
      <c r="BG295" s="44">
        <f>IF($AX295="Cancelled","",IFERROR((W295*INDEX(Variables!$B$7:$D$7,IFERROR(MATCH(IF($B295="Robusta","Robusta",(IF($B295="","Arabica",$B295))&amp;" - "&amp;(IF($C295="","Commercial",$C295))),Variables!$B$1:$D$1,0),1))*IFERROR(IF(AB295="","",(AVERAGE(E295:F295)-AB295)-Variables!$B$14),"")/365)+(L295/16.67*INDEX(Variables!$B$8:$D$8,IFERROR(MATCH(IF($B295="Robusta","Robusta",(IF($B295="","Arabica",$B295))&amp;" - "&amp;(IF($C295="","Commercial",$C295))),Variables!$B$1:$D$1,0),1))*IFERROR(IF(AB295="","",(AVERAGE(E295:F295)-AB295)-Variables!$B$14),""))+(W295*INDEX(Variables!$B$9:$D$9,IFERROR(MATCH(IF($B295="Robusta","Robusta",(IF($B295="","Arabica",$B295))&amp;" - "&amp;(IF($C295="","Commercial",$C295))),Variables!$B$1:$D$1,0),1))*IFERROR(IF(AB295="","",(AVERAGE(E295:F295)-AB295)-Variables!$B$14),"")/365),""))</f>
        <v>2.133242256351803</v>
      </c>
      <c r="BH295" s="44">
        <f>IF($AX295="Cancelled","",IFERROR((W295*INDEX(Variables!$B$7:$D$7,IFERROR(MATCH(IF($B295="Robusta","Robusta",(IF($B295="","Arabica",$B295))&amp;" - "&amp;(IF($C295="","Commercial",$C295))),Variables!$B$1:$D$1,0),1))*AK295/365)+(L295/16.67*INDEX(Variables!$B$8:$D$8,IFERROR(MATCH(IF($B295="Robusta","Robusta",(IF($B295="","Arabica",$B295))&amp;" - "&amp;(IF($C295="","Commercial",$C295))),Variables!$B$1:$D$1,0),1))*AK295)+(W295*INDEX(Variables!$B$9:$D$9,IFERROR(MATCH(IF($B295="Robusta","Robusta",(IF($B295="","Arabica",$B295))&amp;" - "&amp;(IF($C295="","Commercial",$C295))),Variables!$B$1:$D$1,0),1))*AK295/365),""))</f>
        <v>27.305500881303075</v>
      </c>
      <c r="BI295" s="44">
        <f>IF($AX295="Cancelled","",IFERROR((W295*INDEX(Variables!$B$7:$D$7,IFERROR(MATCH(IF($B295="Robusta","Robusta",(IF($B295="","Arabica",$B295))&amp;" - "&amp;(IF($C295="","Commercial",$C295))),Variables!$B$1:$D$1,0),1))*BD295/365)+(L295/16.67*INDEX(Variables!$B$8:$D$8,IFERROR(MATCH(IF($B295="Robusta","Robusta",(IF($B295="","Arabica",$B295))&amp;" - "&amp;(IF($C295="","Commercial",$C295))),Variables!$B$1:$D$1,0),1))*BD295)+(W295*INDEX(Variables!$B$9:$D$9,IFERROR(MATCH(IF($B295="Robusta","Robusta",(IF($B295="","Arabica",$B295))&amp;" - "&amp;(IF($C295="","Commercial",$C295))),Variables!$B$1:$D$1,0),1))*BD295/365),""))</f>
        <v>27.305500881303075</v>
      </c>
      <c r="BJ295" s="44">
        <f t="shared" si="14"/>
        <v>-15</v>
      </c>
      <c r="BK295" s="44">
        <f>IF($AX295="Cancelled","",IFERROR(IF(BJ295="","",(W295*INDEX(Variables!$B$7:$D$7,IFERROR(MATCH(IF($B295="Robusta","Robusta",(IF($B295="","Arabica",$B295))&amp;" - "&amp;(IF($C295="","Commercial",$C295))),Variables!$B$1:$D$1,0),1))*(BJ295/365))+(W295*INDEX(Variables!$B$9:$D$9,IFERROR(MATCH(IF($B295="Robusta","Robusta",(IF($B295="","Arabica",$B295))&amp;" - "&amp;(IF($C295="","Commercial",$C295))),Variables!$B$1:$D$1,0),1))*(BJ295/365))+(INDEX(Variables!$B$8:$D$8,IFERROR(MATCH(IF($B295="Robusta","Robusta",(IF($B295="","Arabica",$B295))&amp;" - "&amp;(IF($C295="","Commercial",$C295))),Variables!$B$1:$D$1,0),1))*L295/16.67)),""))</f>
        <v>-32.797814152443266</v>
      </c>
    </row>
    <row r="296" spans="1:63">
      <c r="A296" s="13" t="s">
        <v>103</v>
      </c>
      <c r="B296" s="13" t="s">
        <v>104</v>
      </c>
      <c r="C296" s="13" t="s">
        <v>292</v>
      </c>
      <c r="D296" s="31">
        <v>45722</v>
      </c>
      <c r="E296" s="31">
        <v>45748</v>
      </c>
      <c r="F296" s="31">
        <v>45777</v>
      </c>
      <c r="G296" s="13">
        <v>3786783</v>
      </c>
      <c r="J296" s="13" t="s">
        <v>773</v>
      </c>
      <c r="K296" s="13" t="s">
        <v>946</v>
      </c>
      <c r="L296" s="13">
        <v>15</v>
      </c>
      <c r="M296" s="13">
        <v>0</v>
      </c>
      <c r="N296" s="13" t="s">
        <v>947</v>
      </c>
      <c r="O296" s="13" t="s">
        <v>925</v>
      </c>
      <c r="P296" s="13">
        <v>10020</v>
      </c>
      <c r="R296" s="13" t="s">
        <v>239</v>
      </c>
      <c r="S296" s="13" t="s">
        <v>776</v>
      </c>
      <c r="T296" s="13" t="s">
        <v>777</v>
      </c>
      <c r="U296" s="13" t="s">
        <v>125</v>
      </c>
      <c r="V296" s="13">
        <v>67</v>
      </c>
      <c r="W296" s="44">
        <f>IF($AX296="Cancelled","",IFERROR(((V296+INDEX(Variables!$B$6:$D$6,IFERROR(MATCH(IF($B296="Robusta","Robusta",(IF($B296="","Arabica",$B296))&amp;" - "&amp;(IF($C296="","Commercial",$C296))),Variables!$B$1:$D$1,0),1)))*22.0462)*(L296/16.67),""))</f>
        <v>7097.8977444511092</v>
      </c>
      <c r="X296" s="55" t="s">
        <v>39</v>
      </c>
      <c r="Y296" s="13" t="str">
        <f>IF($AX296="Cancelled","",IF(X296="","",IFERROR(IF(INDEX(Variables!$B$38:$B$47,MATCH(X296,Variables!$A$38:$A$47,0))="Yes","Yes","No"),"No")))</f>
        <v>No</v>
      </c>
      <c r="Z296" s="31"/>
      <c r="AB296" s="31">
        <v>45731.875</v>
      </c>
      <c r="AC296" s="13" t="str">
        <f t="shared" si="12"/>
        <v>Approved</v>
      </c>
      <c r="AF296" s="71">
        <f>AJ296-7</f>
        <v>45778</v>
      </c>
      <c r="AG296" s="36">
        <f>IF($AX296="Cancelled","",IFERROR(IF(F296="","",F296-Variables!$B$13),""))</f>
        <v>45762</v>
      </c>
      <c r="AH296" s="13">
        <f>IF($AX296="Cancelled","",IFERROR(IF(AB296="","",(AVERAGE(E296:F296)-AB296)-Variables!$B$14),""))</f>
        <v>0.625</v>
      </c>
      <c r="AJ296" s="47">
        <v>45785</v>
      </c>
      <c r="AK296" s="14">
        <f>IF($AX296="Cancelled","",IFERROR(IF(AJ296="","",IF(AND(AB296="",AF296=""),"",IF(AF296&gt;AB296,AF296+Variables!$B$15+Variables!$B$16+Variables!$B$17-AJ296,AB296+Variables!$B$16+Variables!$B$17-AJ296))),""))</f>
        <v>8</v>
      </c>
      <c r="AL296" s="48" t="s">
        <v>114</v>
      </c>
      <c r="AM296" s="13" t="s">
        <v>115</v>
      </c>
      <c r="AN296" s="13" t="s">
        <v>370</v>
      </c>
      <c r="AP296" s="31">
        <v>45789</v>
      </c>
      <c r="AR296" s="13">
        <v>253545561</v>
      </c>
      <c r="AS296" s="31">
        <v>45792</v>
      </c>
      <c r="AU296" s="31">
        <v>45805</v>
      </c>
      <c r="AV296" s="13" t="s">
        <v>1255</v>
      </c>
      <c r="AW296" s="31">
        <v>45807</v>
      </c>
      <c r="AX296" s="13" t="str">
        <f>IF(ISNUMBER(SEARCH("cancel",#REF!)),"Cancelled",IF(AND(AS296&lt;&gt;"",AU296&lt;&gt;"",AW296&lt;&gt;""),"Closed","Open"))</f>
        <v>Closed</v>
      </c>
      <c r="AY296" s="15" t="str">
        <f t="shared" si="13"/>
        <v>All dates received</v>
      </c>
      <c r="BD296" s="13">
        <f>IF($AX296="Cancelled","",IFERROR(IF(OR(AS296="",AJ296=""),"",(AJ296+Variables!$B$18-AS296)),""))</f>
        <v>8</v>
      </c>
      <c r="BE296" s="13">
        <f>IF($AX296="Cancelled","",IFERROR(IF(OR(AW296="",AS296=""),"",(AS296+Variables!$B$19)-AW296),""))</f>
        <v>-10</v>
      </c>
      <c r="BF296" s="44">
        <f>IF($AX296="Cancelled","",IFERROR(W296*INDEX(Variables!$B$7:$D$7,IFERROR(MATCH(IF($B296="Robusta","Robusta",(IF($B296="","Arabica",$B296))&amp;" - "&amp;(IF($C296="","Commercial",$C296))),Variables!$B$1:$D$1,0),1))*(BE296/365),""))</f>
        <v>-12.539398957184803</v>
      </c>
      <c r="BG296" s="44">
        <f>IF($AX296="Cancelled","",IFERROR((W296*INDEX(Variables!$B$7:$D$7,IFERROR(MATCH(IF($B296="Robusta","Robusta",(IF($B296="","Arabica",$B296))&amp;" - "&amp;(IF($C296="","Commercial",$C296))),Variables!$B$1:$D$1,0),1))*IFERROR(IF(AB296="","",(AVERAGE(E296:F296)-AB296)-Variables!$B$14),"")/365)+(L296/16.67*INDEX(Variables!$B$8:$D$8,IFERROR(MATCH(IF($B296="Robusta","Robusta",(IF($B296="","Arabica",$B296))&amp;" - "&amp;(IF($C296="","Commercial",$C296))),Variables!$B$1:$D$1,0),1))*IFERROR(IF(AB296="","",(AVERAGE(E296:F296)-AB296)-Variables!$B$14),""))+(W296*INDEX(Variables!$B$9:$D$9,IFERROR(MATCH(IF($B296="Robusta","Robusta",(IF($B296="","Arabica",$B296))&amp;" - "&amp;(IF($C296="","Commercial",$C296))),Variables!$B$1:$D$1,0),1))*IFERROR(IF(AB296="","",(AVERAGE(E296:F296)-AB296)-Variables!$B$14),"")/365),""))</f>
        <v>1.2625660005688484</v>
      </c>
      <c r="BH296" s="44">
        <f>IF($AX296="Cancelled","",IFERROR((W296*INDEX(Variables!$B$7:$D$7,IFERROR(MATCH(IF($B296="Robusta","Robusta",(IF($B296="","Arabica",$B296))&amp;" - "&amp;(IF($C296="","Commercial",$C296))),Variables!$B$1:$D$1,0),1))*AK296/365)+(L296/16.67*INDEX(Variables!$B$8:$D$8,IFERROR(MATCH(IF($B296="Robusta","Robusta",(IF($B296="","Arabica",$B296))&amp;" - "&amp;(IF($C296="","Commercial",$C296))),Variables!$B$1:$D$1,0),1))*AK296)+(W296*INDEX(Variables!$B$9:$D$9,IFERROR(MATCH(IF($B296="Robusta","Robusta",(IF($B296="","Arabica",$B296))&amp;" - "&amp;(IF($C296="","Commercial",$C296))),Variables!$B$1:$D$1,0),1))*AK296/365),""))</f>
        <v>16.160844807281265</v>
      </c>
      <c r="BI296" s="44">
        <f>IF($AX296="Cancelled","",IFERROR((W296*INDEX(Variables!$B$7:$D$7,IFERROR(MATCH(IF($B296="Robusta","Robusta",(IF($B296="","Arabica",$B296))&amp;" - "&amp;(IF($C296="","Commercial",$C296))),Variables!$B$1:$D$1,0),1))*BD296/365)+(L296/16.67*INDEX(Variables!$B$8:$D$8,IFERROR(MATCH(IF($B296="Robusta","Robusta",(IF($B296="","Arabica",$B296))&amp;" - "&amp;(IF($C296="","Commercial",$C296))),Variables!$B$1:$D$1,0),1))*BD296)+(W296*INDEX(Variables!$B$9:$D$9,IFERROR(MATCH(IF($B296="Robusta","Robusta",(IF($B296="","Arabica",$B296))&amp;" - "&amp;(IF($C296="","Commercial",$C296))),Variables!$B$1:$D$1,0),1))*BD296/365),""))</f>
        <v>16.160844807281265</v>
      </c>
      <c r="BJ296" s="44">
        <f t="shared" si="14"/>
        <v>-15</v>
      </c>
      <c r="BK296" s="44">
        <f>IF($AX296="Cancelled","",IFERROR(IF(BJ296="","",(W296*INDEX(Variables!$B$7:$D$7,IFERROR(MATCH(IF($B296="Robusta","Robusta",(IF($B296="","Arabica",$B296))&amp;" - "&amp;(IF($C296="","Commercial",$C296))),Variables!$B$1:$D$1,0),1))*(BJ296/365))+(W296*INDEX(Variables!$B$9:$D$9,IFERROR(MATCH(IF($B296="Robusta","Robusta",(IF($B296="","Arabica",$B296))&amp;" - "&amp;(IF($C296="","Commercial",$C296))),Variables!$B$1:$D$1,0),1))*(BJ296/365))+(INDEX(Variables!$B$8:$D$8,IFERROR(MATCH(IF($B296="Robusta","Robusta",(IF($B296="","Arabica",$B296))&amp;" - "&amp;(IF($C296="","Commercial",$C296))),Variables!$B$1:$D$1,0),1))*L296/16.67)),""))</f>
        <v>-18.301584013652363</v>
      </c>
    </row>
    <row r="297" spans="1:63">
      <c r="A297" s="13" t="s">
        <v>103</v>
      </c>
      <c r="B297" s="13" t="s">
        <v>104</v>
      </c>
      <c r="C297" s="13" t="s">
        <v>292</v>
      </c>
      <c r="D297" s="31">
        <v>45722</v>
      </c>
      <c r="E297" s="31">
        <v>45748</v>
      </c>
      <c r="F297" s="31">
        <v>45777</v>
      </c>
      <c r="G297" s="13">
        <v>3786784</v>
      </c>
      <c r="J297" s="13" t="s">
        <v>773</v>
      </c>
      <c r="K297" s="13" t="s">
        <v>948</v>
      </c>
      <c r="L297" s="13">
        <v>5</v>
      </c>
      <c r="M297" s="13">
        <v>0</v>
      </c>
      <c r="N297" s="13" t="s">
        <v>949</v>
      </c>
      <c r="O297" s="13" t="s">
        <v>771</v>
      </c>
      <c r="P297" s="13">
        <v>10010</v>
      </c>
      <c r="R297" s="13" t="s">
        <v>239</v>
      </c>
      <c r="S297" s="13" t="s">
        <v>776</v>
      </c>
      <c r="T297" s="13" t="s">
        <v>777</v>
      </c>
      <c r="U297" s="13" t="s">
        <v>125</v>
      </c>
      <c r="V297" s="13">
        <v>103</v>
      </c>
      <c r="W297" s="44">
        <f>IF($AX297="Cancelled","",IFERROR(((V297+INDEX(Variables!$B$6:$D$6,IFERROR(MATCH(IF($B297="Robusta","Robusta",(IF($B297="","Arabica",$B297))&amp;" - "&amp;(IF($C297="","Commercial",$C297))),Variables!$B$1:$D$1,0),1)))*22.0462)*(L297/16.67),""))</f>
        <v>2604.0172645470902</v>
      </c>
      <c r="X297" s="55" t="s">
        <v>39</v>
      </c>
      <c r="Y297" s="13" t="str">
        <f>IF($AX297="Cancelled","",IF(X297="","",IFERROR(IF(INDEX(Variables!$B$38:$B$47,MATCH(X297,Variables!$A$38:$A$47,0))="Yes","Yes","No"),"No")))</f>
        <v>No</v>
      </c>
      <c r="Z297" s="31"/>
      <c r="AB297" s="31">
        <v>45731.875</v>
      </c>
      <c r="AC297" s="13" t="str">
        <f t="shared" si="12"/>
        <v>Approved</v>
      </c>
      <c r="AF297" s="71">
        <f>AJ297-7</f>
        <v>45778</v>
      </c>
      <c r="AG297" s="36">
        <f>IF($AX297="Cancelled","",IFERROR(IF(F297="","",F297-Variables!$B$13),""))</f>
        <v>45762</v>
      </c>
      <c r="AH297" s="13">
        <f>IF($AX297="Cancelled","",IFERROR(IF(AB297="","",(AVERAGE(E297:F297)-AB297)-Variables!$B$14),""))</f>
        <v>0.625</v>
      </c>
      <c r="AJ297" s="47">
        <v>45785</v>
      </c>
      <c r="AK297" s="14">
        <f>IF($AX297="Cancelled","",IFERROR(IF(AJ297="","",IF(AND(AB297="",AF297=""),"",IF(AF297&gt;AB297,AF297+Variables!$B$15+Variables!$B$16+Variables!$B$17-AJ297,AB297+Variables!$B$16+Variables!$B$17-AJ297))),""))</f>
        <v>8</v>
      </c>
      <c r="AL297" s="48" t="s">
        <v>114</v>
      </c>
      <c r="AM297" s="13" t="s">
        <v>115</v>
      </c>
      <c r="AN297" s="13" t="s">
        <v>370</v>
      </c>
      <c r="AP297" s="31">
        <v>45789</v>
      </c>
      <c r="AR297" s="13">
        <v>253545561</v>
      </c>
      <c r="AS297" s="31">
        <v>45792</v>
      </c>
      <c r="AU297" s="31">
        <v>45805</v>
      </c>
      <c r="AV297" s="13" t="s">
        <v>1255</v>
      </c>
      <c r="AW297" s="31">
        <v>45807</v>
      </c>
      <c r="AX297" s="13" t="str">
        <f>IF(ISNUMBER(SEARCH("cancel",#REF!)),"Cancelled",IF(AND(AS297&lt;&gt;"",AU297&lt;&gt;"",AW297&lt;&gt;""),"Closed","Open"))</f>
        <v>Closed</v>
      </c>
      <c r="AY297" s="15" t="str">
        <f t="shared" si="13"/>
        <v>All dates received</v>
      </c>
      <c r="BD297" s="13">
        <f>IF($AX297="Cancelled","",IFERROR(IF(OR(AS297="",AJ297=""),"",(AJ297+Variables!$B$18-AS297)),""))</f>
        <v>8</v>
      </c>
      <c r="BE297" s="13">
        <f>IF($AX297="Cancelled","",IFERROR(IF(OR(AW297="",AS297=""),"",(AS297+Variables!$B$19)-AW297),""))</f>
        <v>-10</v>
      </c>
      <c r="BF297" s="44">
        <f>IF($AX297="Cancelled","",IFERROR(W297*INDEX(Variables!$B$7:$D$7,IFERROR(MATCH(IF($B297="Robusta","Robusta",(IF($B297="","Arabica",$B297))&amp;" - "&amp;(IF($C297="","Commercial",$C297))),Variables!$B$1:$D$1,0),1))*(BE297/365),""))</f>
        <v>-4.6003496453692705</v>
      </c>
      <c r="BG297" s="44">
        <f>IF($AX297="Cancelled","",IFERROR((W297*INDEX(Variables!$B$7:$D$7,IFERROR(MATCH(IF($B297="Robusta","Robusta",(IF($B297="","Arabica",$B297))&amp;" - "&amp;(IF($C297="","Commercial",$C297))),Variables!$B$1:$D$1,0),1))*IFERROR(IF(AB297="","",(AVERAGE(E297:F297)-AB297)-Variables!$B$14),"")/365)+(L297/16.67*INDEX(Variables!$B$8:$D$8,IFERROR(MATCH(IF($B297="Robusta","Robusta",(IF($B297="","Arabica",$B297))&amp;" - "&amp;(IF($C297="","Commercial",$C297))),Variables!$B$1:$D$1,0),1))*IFERROR(IF(AB297="","",(AVERAGE(E297:F297)-AB297)-Variables!$B$14),""))+(W297*INDEX(Variables!$B$9:$D$9,IFERROR(MATCH(IF($B297="Robusta","Robusta",(IF($B297="","Arabica",$B297))&amp;" - "&amp;(IF($C297="","Commercial",$C297))),Variables!$B$1:$D$1,0),1))*IFERROR(IF(AB297="","",(AVERAGE(E297:F297)-AB297)-Variables!$B$14),"")/365),""))</f>
        <v>0.44747856439725409</v>
      </c>
      <c r="BH297" s="44">
        <f>IF($AX297="Cancelled","",IFERROR((W297*INDEX(Variables!$B$7:$D$7,IFERROR(MATCH(IF($B297="Robusta","Robusta",(IF($B297="","Arabica",$B297))&amp;" - "&amp;(IF($C297="","Commercial",$C297))),Variables!$B$1:$D$1,0),1))*AK297/365)+(L297/16.67*INDEX(Variables!$B$8:$D$8,IFERROR(MATCH(IF($B297="Robusta","Robusta",(IF($B297="","Arabica",$B297))&amp;" - "&amp;(IF($C297="","Commercial",$C297))),Variables!$B$1:$D$1,0),1))*AK297)+(W297*INDEX(Variables!$B$9:$D$9,IFERROR(MATCH(IF($B297="Robusta","Robusta",(IF($B297="","Arabica",$B297))&amp;" - "&amp;(IF($C297="","Commercial",$C297))),Variables!$B$1:$D$1,0),1))*AK297/365),""))</f>
        <v>5.7277256242848518</v>
      </c>
      <c r="BI297" s="44">
        <f>IF($AX297="Cancelled","",IFERROR((W297*INDEX(Variables!$B$7:$D$7,IFERROR(MATCH(IF($B297="Robusta","Robusta",(IF($B297="","Arabica",$B297))&amp;" - "&amp;(IF($C297="","Commercial",$C297))),Variables!$B$1:$D$1,0),1))*BD297/365)+(L297/16.67*INDEX(Variables!$B$8:$D$8,IFERROR(MATCH(IF($B297="Robusta","Robusta",(IF($B297="","Arabica",$B297))&amp;" - "&amp;(IF($C297="","Commercial",$C297))),Variables!$B$1:$D$1,0),1))*BD297)+(W297*INDEX(Variables!$B$9:$D$9,IFERROR(MATCH(IF($B297="Robusta","Robusta",(IF($B297="","Arabica",$B297))&amp;" - "&amp;(IF($C297="","Commercial",$C297))),Variables!$B$1:$D$1,0),1))*BD297/365),""))</f>
        <v>5.7277256242848518</v>
      </c>
      <c r="BJ297" s="44">
        <f t="shared" si="14"/>
        <v>-15</v>
      </c>
      <c r="BK297" s="44">
        <f>IF($AX297="Cancelled","",IFERROR(IF(BJ297="","",(W297*INDEX(Variables!$B$7:$D$7,IFERROR(MATCH(IF($B297="Robusta","Robusta",(IF($B297="","Arabica",$B297))&amp;" - "&amp;(IF($C297="","Commercial",$C297))),Variables!$B$1:$D$1,0),1))*(BJ297/365))+(W297*INDEX(Variables!$B$9:$D$9,IFERROR(MATCH(IF($B297="Robusta","Robusta",(IF($B297="","Arabica",$B297))&amp;" - "&amp;(IF($C297="","Commercial",$C297))),Variables!$B$1:$D$1,0),1))*(BJ297/365))+(INDEX(Variables!$B$8:$D$8,IFERROR(MATCH(IF($B297="Robusta","Robusta",(IF($B297="","Arabica",$B297))&amp;" - "&amp;(IF($C297="","Commercial",$C297))),Variables!$B$1:$D$1,0),1))*L297/16.67)),""))</f>
        <v>-6.7394855455340972</v>
      </c>
    </row>
    <row r="298" spans="1:63">
      <c r="A298" s="13" t="s">
        <v>103</v>
      </c>
      <c r="B298" s="13" t="s">
        <v>104</v>
      </c>
      <c r="C298" s="13" t="s">
        <v>292</v>
      </c>
      <c r="D298" s="31">
        <v>45722</v>
      </c>
      <c r="E298" s="31">
        <v>45748</v>
      </c>
      <c r="F298" s="31">
        <v>45777</v>
      </c>
      <c r="G298" s="13">
        <v>3786785</v>
      </c>
      <c r="J298" s="13" t="s">
        <v>773</v>
      </c>
      <c r="K298" s="13" t="s">
        <v>950</v>
      </c>
      <c r="L298" s="13">
        <v>5</v>
      </c>
      <c r="M298" s="13">
        <v>0</v>
      </c>
      <c r="N298" s="13" t="s">
        <v>951</v>
      </c>
      <c r="O298" s="13" t="s">
        <v>925</v>
      </c>
      <c r="P298" s="13">
        <v>10020</v>
      </c>
      <c r="R298" s="13" t="s">
        <v>239</v>
      </c>
      <c r="S298" s="13" t="s">
        <v>776</v>
      </c>
      <c r="T298" s="13" t="s">
        <v>777</v>
      </c>
      <c r="U298" s="13" t="s">
        <v>125</v>
      </c>
      <c r="V298" s="13">
        <v>89</v>
      </c>
      <c r="W298" s="44">
        <f>IF($AX298="Cancelled","",IFERROR(((V298+INDEX(Variables!$B$6:$D$6,IFERROR(MATCH(IF($B298="Robusta","Robusta",(IF($B298="","Arabica",$B298))&amp;" - "&amp;(IF($C298="","Commercial",$C298))),Variables!$B$1:$D$1,0),1)))*22.0462)*(L298/16.67),""))</f>
        <v>2511.4417396520694</v>
      </c>
      <c r="X298" s="55" t="s">
        <v>39</v>
      </c>
      <c r="Y298" s="13" t="str">
        <f>IF($AX298="Cancelled","",IF(X298="","",IFERROR(IF(INDEX(Variables!$B$38:$B$47,MATCH(X298,Variables!$A$38:$A$47,0))="Yes","Yes","No"),"No")))</f>
        <v>No</v>
      </c>
      <c r="Z298" s="31"/>
      <c r="AB298" s="31">
        <v>45731.875</v>
      </c>
      <c r="AC298" s="13" t="str">
        <f t="shared" si="12"/>
        <v>Approved</v>
      </c>
      <c r="AF298" s="71">
        <f>AJ298-7</f>
        <v>45778</v>
      </c>
      <c r="AG298" s="36">
        <f>IF($AX298="Cancelled","",IFERROR(IF(F298="","",F298-Variables!$B$13),""))</f>
        <v>45762</v>
      </c>
      <c r="AH298" s="13">
        <f>IF($AX298="Cancelled","",IFERROR(IF(AB298="","",(AVERAGE(E298:F298)-AB298)-Variables!$B$14),""))</f>
        <v>0.625</v>
      </c>
      <c r="AJ298" s="47">
        <v>45785</v>
      </c>
      <c r="AK298" s="14">
        <f>IF($AX298="Cancelled","",IFERROR(IF(AJ298="","",IF(AND(AB298="",AF298=""),"",IF(AF298&gt;AB298,AF298+Variables!$B$15+Variables!$B$16+Variables!$B$17-AJ298,AB298+Variables!$B$16+Variables!$B$17-AJ298))),""))</f>
        <v>8</v>
      </c>
      <c r="AL298" s="48" t="s">
        <v>114</v>
      </c>
      <c r="AM298" s="13" t="s">
        <v>115</v>
      </c>
      <c r="AN298" s="13" t="s">
        <v>370</v>
      </c>
      <c r="AP298" s="31">
        <v>45789</v>
      </c>
      <c r="AR298" s="13">
        <v>253545561</v>
      </c>
      <c r="AS298" s="31">
        <v>45792</v>
      </c>
      <c r="AU298" s="31">
        <v>45805</v>
      </c>
      <c r="AV298" s="13" t="s">
        <v>1255</v>
      </c>
      <c r="AW298" s="31">
        <v>45807</v>
      </c>
      <c r="AX298" s="13" t="str">
        <f>IF(ISNUMBER(SEARCH("cancel",#REF!)),"Cancelled",IF(AND(AS298&lt;&gt;"",AU298&lt;&gt;"",AW298&lt;&gt;""),"Closed","Open"))</f>
        <v>Closed</v>
      </c>
      <c r="AY298" s="15" t="str">
        <f t="shared" si="13"/>
        <v>All dates received</v>
      </c>
      <c r="BD298" s="13">
        <f>IF($AX298="Cancelled","",IFERROR(IF(OR(AS298="",AJ298=""),"",(AJ298+Variables!$B$18-AS298)),""))</f>
        <v>8</v>
      </c>
      <c r="BE298" s="13">
        <f>IF($AX298="Cancelled","",IFERROR(IF(OR(AW298="",AS298=""),"",(AS298+Variables!$B$19)-AW298),""))</f>
        <v>-10</v>
      </c>
      <c r="BF298" s="44">
        <f>IF($AX298="Cancelled","",IFERROR(W298*INDEX(Variables!$B$7:$D$7,IFERROR(MATCH(IF($B298="Robusta","Robusta",(IF($B298="","Arabica",$B298))&amp;" - "&amp;(IF($C298="","Commercial",$C298))),Variables!$B$1:$D$1,0),1))*(BE298/365),""))</f>
        <v>-4.4368024258792511</v>
      </c>
      <c r="BG298" s="44">
        <f>IF($AX298="Cancelled","",IFERROR((W298*INDEX(Variables!$B$7:$D$7,IFERROR(MATCH(IF($B298="Robusta","Robusta",(IF($B298="","Arabica",$B298))&amp;" - "&amp;(IF($C298="","Commercial",$C298))),Variables!$B$1:$D$1,0),1))*IFERROR(IF(AB298="","",(AVERAGE(E298:F298)-AB298)-Variables!$B$14),"")/365)+(L298/16.67*INDEX(Variables!$B$8:$D$8,IFERROR(MATCH(IF($B298="Robusta","Robusta",(IF($B298="","Arabica",$B298))&amp;" - "&amp;(IF($C298="","Commercial",$C298))),Variables!$B$1:$D$1,0),1))*IFERROR(IF(AB298="","",(AVERAGE(E298:F298)-AB298)-Variables!$B$14),""))+(W298*INDEX(Variables!$B$9:$D$9,IFERROR(MATCH(IF($B298="Robusta","Robusta",(IF($B298="","Arabica",$B298))&amp;" - "&amp;(IF($C298="","Commercial",$C298))),Variables!$B$1:$D$1,0),1))*IFERROR(IF(AB298="","",(AVERAGE(E298:F298)-AB298)-Variables!$B$14),"")/365),""))</f>
        <v>0.4371250857239134</v>
      </c>
      <c r="BH298" s="44">
        <f>IF($AX298="Cancelled","",IFERROR((W298*INDEX(Variables!$B$7:$D$7,IFERROR(MATCH(IF($B298="Robusta","Robusta",(IF($B298="","Arabica",$B298))&amp;" - "&amp;(IF($C298="","Commercial",$C298))),Variables!$B$1:$D$1,0),1))*AK298/365)+(L298/16.67*INDEX(Variables!$B$8:$D$8,IFERROR(MATCH(IF($B298="Robusta","Robusta",(IF($B298="","Arabica",$B298))&amp;" - "&amp;(IF($C298="","Commercial",$C298))),Variables!$B$1:$D$1,0),1))*AK298)+(W298*INDEX(Variables!$B$9:$D$9,IFERROR(MATCH(IF($B298="Robusta","Robusta",(IF($B298="","Arabica",$B298))&amp;" - "&amp;(IF($C298="","Commercial",$C298))),Variables!$B$1:$D$1,0),1))*AK298/365),""))</f>
        <v>5.5952010972660924</v>
      </c>
      <c r="BI298" s="44">
        <f>IF($AX298="Cancelled","",IFERROR((W298*INDEX(Variables!$B$7:$D$7,IFERROR(MATCH(IF($B298="Robusta","Robusta",(IF($B298="","Arabica",$B298))&amp;" - "&amp;(IF($C298="","Commercial",$C298))),Variables!$B$1:$D$1,0),1))*BD298/365)+(L298/16.67*INDEX(Variables!$B$8:$D$8,IFERROR(MATCH(IF($B298="Robusta","Robusta",(IF($B298="","Arabica",$B298))&amp;" - "&amp;(IF($C298="","Commercial",$C298))),Variables!$B$1:$D$1,0),1))*BD298)+(W298*INDEX(Variables!$B$9:$D$9,IFERROR(MATCH(IF($B298="Robusta","Robusta",(IF($B298="","Arabica",$B298))&amp;" - "&amp;(IF($C298="","Commercial",$C298))),Variables!$B$1:$D$1,0),1))*BD298/365),""))</f>
        <v>5.5952010972660924</v>
      </c>
      <c r="BJ298" s="44">
        <f t="shared" si="14"/>
        <v>-15</v>
      </c>
      <c r="BK298" s="44">
        <f>IF($AX298="Cancelled","",IFERROR(IF(BJ298="","",(W298*INDEX(Variables!$B$7:$D$7,IFERROR(MATCH(IF($B298="Robusta","Robusta",(IF($B298="","Arabica",$B298))&amp;" - "&amp;(IF($C298="","Commercial",$C298))),Variables!$B$1:$D$1,0),1))*(BJ298/365))+(W298*INDEX(Variables!$B$9:$D$9,IFERROR(MATCH(IF($B298="Robusta","Robusta",(IF($B298="","Arabica",$B298))&amp;" - "&amp;(IF($C298="","Commercial",$C298))),Variables!$B$1:$D$1,0),1))*(BJ298/365))+(INDEX(Variables!$B$8:$D$8,IFERROR(MATCH(IF($B298="Robusta","Robusta",(IF($B298="","Arabica",$B298))&amp;" - "&amp;(IF($C298="","Commercial",$C298))),Variables!$B$1:$D$1,0),1))*L298/16.67)),""))</f>
        <v>-6.4910020573739224</v>
      </c>
    </row>
    <row r="299" spans="1:63">
      <c r="A299" s="13" t="s">
        <v>103</v>
      </c>
      <c r="B299" s="13" t="s">
        <v>104</v>
      </c>
      <c r="C299" s="13" t="s">
        <v>292</v>
      </c>
      <c r="D299" s="31">
        <v>45722</v>
      </c>
      <c r="E299" s="31">
        <v>45748</v>
      </c>
      <c r="F299" s="31">
        <v>45777</v>
      </c>
      <c r="G299" s="13">
        <v>3786786</v>
      </c>
      <c r="J299" s="13" t="s">
        <v>773</v>
      </c>
      <c r="K299" s="13" t="s">
        <v>952</v>
      </c>
      <c r="L299" s="13">
        <v>5</v>
      </c>
      <c r="M299" s="13">
        <v>0</v>
      </c>
      <c r="N299" s="13" t="s">
        <v>953</v>
      </c>
      <c r="O299" s="13" t="s">
        <v>925</v>
      </c>
      <c r="P299" s="13">
        <v>10020</v>
      </c>
      <c r="R299" s="13" t="s">
        <v>110</v>
      </c>
      <c r="S299" s="13" t="s">
        <v>776</v>
      </c>
      <c r="T299" s="13" t="s">
        <v>777</v>
      </c>
      <c r="U299" s="13" t="s">
        <v>125</v>
      </c>
      <c r="V299" s="13">
        <v>90</v>
      </c>
      <c r="W299" s="44">
        <f>IF($AX299="Cancelled","",IFERROR(((V299+INDEX(Variables!$B$6:$D$6,IFERROR(MATCH(IF($B299="Robusta","Robusta",(IF($B299="","Arabica",$B299))&amp;" - "&amp;(IF($C299="","Commercial",$C299))),Variables!$B$1:$D$1,0),1)))*22.0462)*(L299/16.67),""))</f>
        <v>2518.0542771445707</v>
      </c>
      <c r="X299" s="55" t="s">
        <v>39</v>
      </c>
      <c r="Y299" s="13" t="str">
        <f>IF($AX299="Cancelled","",IF(X299="","",IFERROR(IF(INDEX(Variables!$B$38:$B$47,MATCH(X299,Variables!$A$38:$A$47,0))="Yes","Yes","No"),"No")))</f>
        <v>No</v>
      </c>
      <c r="Z299" s="31"/>
      <c r="AB299" s="31">
        <v>45731.875</v>
      </c>
      <c r="AC299" s="13" t="str">
        <f t="shared" si="12"/>
        <v>Approved</v>
      </c>
      <c r="AF299" s="71">
        <f>AJ299-7</f>
        <v>45778</v>
      </c>
      <c r="AG299" s="36">
        <f>IF($AX299="Cancelled","",IFERROR(IF(F299="","",F299-Variables!$B$13),""))</f>
        <v>45762</v>
      </c>
      <c r="AH299" s="13">
        <f>IF($AX299="Cancelled","",IFERROR(IF(AB299="","",(AVERAGE(E299:F299)-AB299)-Variables!$B$14),""))</f>
        <v>0.625</v>
      </c>
      <c r="AJ299" s="47">
        <v>45785</v>
      </c>
      <c r="AK299" s="14">
        <f>IF($AX299="Cancelled","",IFERROR(IF(AJ299="","",IF(AND(AB299="",AF299=""),"",IF(AF299&gt;AB299,AF299+Variables!$B$15+Variables!$B$16+Variables!$B$17-AJ299,AB299+Variables!$B$16+Variables!$B$17-AJ299))),""))</f>
        <v>8</v>
      </c>
      <c r="AL299" s="48" t="s">
        <v>114</v>
      </c>
      <c r="AM299" s="13" t="s">
        <v>115</v>
      </c>
      <c r="AN299" s="13" t="s">
        <v>370</v>
      </c>
      <c r="AP299" s="31">
        <v>45789</v>
      </c>
      <c r="AR299" s="13">
        <v>253545561</v>
      </c>
      <c r="AS299" s="31">
        <v>45792</v>
      </c>
      <c r="AU299" s="31">
        <v>45805</v>
      </c>
      <c r="AV299" s="13" t="s">
        <v>1255</v>
      </c>
      <c r="AW299" s="31">
        <v>45807</v>
      </c>
      <c r="AX299" s="13" t="str">
        <f>IF(ISNUMBER(SEARCH("cancel",#REF!)),"Cancelled",IF(AND(AS299&lt;&gt;"",AU299&lt;&gt;"",AW299&lt;&gt;""),"Closed","Open"))</f>
        <v>Closed</v>
      </c>
      <c r="AY299" s="15" t="str">
        <f t="shared" si="13"/>
        <v>All dates received</v>
      </c>
      <c r="BD299" s="13">
        <f>IF($AX299="Cancelled","",IFERROR(IF(OR(AS299="",AJ299=""),"",(AJ299+Variables!$B$18-AS299)),""))</f>
        <v>8</v>
      </c>
      <c r="BE299" s="13">
        <f>IF($AX299="Cancelled","",IFERROR(IF(OR(AW299="",AS299=""),"",(AS299+Variables!$B$19)-AW299),""))</f>
        <v>-10</v>
      </c>
      <c r="BF299" s="44">
        <f>IF($AX299="Cancelled","",IFERROR(W299*INDEX(Variables!$B$7:$D$7,IFERROR(MATCH(IF($B299="Robusta","Robusta",(IF($B299="","Arabica",$B299))&amp;" - "&amp;(IF($C299="","Commercial",$C299))),Variables!$B$1:$D$1,0),1))*(BE299/365),""))</f>
        <v>-4.4484843701285381</v>
      </c>
      <c r="BG299" s="44">
        <f>IF($AX299="Cancelled","",IFERROR((W299*INDEX(Variables!$B$7:$D$7,IFERROR(MATCH(IF($B299="Robusta","Robusta",(IF($B299="","Arabica",$B299))&amp;" - "&amp;(IF($C299="","Commercial",$C299))),Variables!$B$1:$D$1,0),1))*IFERROR(IF(AB299="","",(AVERAGE(E299:F299)-AB299)-Variables!$B$14),"")/365)+(L299/16.67*INDEX(Variables!$B$8:$D$8,IFERROR(MATCH(IF($B299="Robusta","Robusta",(IF($B299="","Arabica",$B299))&amp;" - "&amp;(IF($C299="","Commercial",$C299))),Variables!$B$1:$D$1,0),1))*IFERROR(IF(AB299="","",(AVERAGE(E299:F299)-AB299)-Variables!$B$14),""))+(W299*INDEX(Variables!$B$9:$D$9,IFERROR(MATCH(IF($B299="Robusta","Robusta",(IF($B299="","Arabica",$B299))&amp;" - "&amp;(IF($C299="","Commercial",$C299))),Variables!$B$1:$D$1,0),1))*IFERROR(IF(AB299="","",(AVERAGE(E299:F299)-AB299)-Variables!$B$14),"")/365),""))</f>
        <v>0.4378646199148663</v>
      </c>
      <c r="BH299" s="44">
        <f>IF($AX299="Cancelled","",IFERROR((W299*INDEX(Variables!$B$7:$D$7,IFERROR(MATCH(IF($B299="Robusta","Robusta",(IF($B299="","Arabica",$B299))&amp;" - "&amp;(IF($C299="","Commercial",$C299))),Variables!$B$1:$D$1,0),1))*AK299/365)+(L299/16.67*INDEX(Variables!$B$8:$D$8,IFERROR(MATCH(IF($B299="Robusta","Robusta",(IF($B299="","Arabica",$B299))&amp;" - "&amp;(IF($C299="","Commercial",$C299))),Variables!$B$1:$D$1,0),1))*AK299)+(W299*INDEX(Variables!$B$9:$D$9,IFERROR(MATCH(IF($B299="Robusta","Robusta",(IF($B299="","Arabica",$B299))&amp;" - "&amp;(IF($C299="","Commercial",$C299))),Variables!$B$1:$D$1,0),1))*AK299/365),""))</f>
        <v>5.6046671349102883</v>
      </c>
      <c r="BI299" s="44">
        <f>IF($AX299="Cancelled","",IFERROR((W299*INDEX(Variables!$B$7:$D$7,IFERROR(MATCH(IF($B299="Robusta","Robusta",(IF($B299="","Arabica",$B299))&amp;" - "&amp;(IF($C299="","Commercial",$C299))),Variables!$B$1:$D$1,0),1))*BD299/365)+(L299/16.67*INDEX(Variables!$B$8:$D$8,IFERROR(MATCH(IF($B299="Robusta","Robusta",(IF($B299="","Arabica",$B299))&amp;" - "&amp;(IF($C299="","Commercial",$C299))),Variables!$B$1:$D$1,0),1))*BD299)+(W299*INDEX(Variables!$B$9:$D$9,IFERROR(MATCH(IF($B299="Robusta","Robusta",(IF($B299="","Arabica",$B299))&amp;" - "&amp;(IF($C299="","Commercial",$C299))),Variables!$B$1:$D$1,0),1))*BD299/365),""))</f>
        <v>5.6046671349102883</v>
      </c>
      <c r="BJ299" s="44">
        <f t="shared" si="14"/>
        <v>-15</v>
      </c>
      <c r="BK299" s="44">
        <f>IF($AX299="Cancelled","",IFERROR(IF(BJ299="","",(W299*INDEX(Variables!$B$7:$D$7,IFERROR(MATCH(IF($B299="Robusta","Robusta",(IF($B299="","Arabica",$B299))&amp;" - "&amp;(IF($C299="","Commercial",$C299))),Variables!$B$1:$D$1,0),1))*(BJ299/365))+(W299*INDEX(Variables!$B$9:$D$9,IFERROR(MATCH(IF($B299="Robusta","Robusta",(IF($B299="","Arabica",$B299))&amp;" - "&amp;(IF($C299="","Commercial",$C299))),Variables!$B$1:$D$1,0),1))*(BJ299/365))+(INDEX(Variables!$B$8:$D$8,IFERROR(MATCH(IF($B299="Robusta","Robusta",(IF($B299="","Arabica",$B299))&amp;" - "&amp;(IF($C299="","Commercial",$C299))),Variables!$B$1:$D$1,0),1))*L299/16.67)),""))</f>
        <v>-6.5087508779567917</v>
      </c>
    </row>
    <row r="300" spans="1:63">
      <c r="A300" s="13" t="s">
        <v>103</v>
      </c>
      <c r="B300" s="13" t="s">
        <v>104</v>
      </c>
      <c r="C300" s="13" t="s">
        <v>292</v>
      </c>
      <c r="D300" s="31">
        <v>45722</v>
      </c>
      <c r="E300" s="31">
        <v>45748</v>
      </c>
      <c r="F300" s="31">
        <v>45777</v>
      </c>
      <c r="G300" s="13">
        <v>3786787</v>
      </c>
      <c r="J300" s="13" t="s">
        <v>773</v>
      </c>
      <c r="K300" s="13" t="s">
        <v>954</v>
      </c>
      <c r="L300" s="13">
        <v>5</v>
      </c>
      <c r="M300" s="13">
        <v>0</v>
      </c>
      <c r="N300" s="13" t="s">
        <v>955</v>
      </c>
      <c r="O300" s="13" t="s">
        <v>771</v>
      </c>
      <c r="P300" s="13">
        <v>10010</v>
      </c>
      <c r="R300" s="13" t="s">
        <v>239</v>
      </c>
      <c r="S300" s="13" t="s">
        <v>776</v>
      </c>
      <c r="T300" s="13" t="s">
        <v>777</v>
      </c>
      <c r="U300" s="13" t="s">
        <v>125</v>
      </c>
      <c r="V300" s="13">
        <v>94</v>
      </c>
      <c r="W300" s="44">
        <f>IF($AX300="Cancelled","",IFERROR(((V300+INDEX(Variables!$B$6:$D$6,IFERROR(MATCH(IF($B300="Robusta","Robusta",(IF($B300="","Arabica",$B300))&amp;" - "&amp;(IF($C300="","Commercial",$C300))),Variables!$B$1:$D$1,0),1)))*22.0462)*(L300/16.67),""))</f>
        <v>2544.5044271145766</v>
      </c>
      <c r="X300" s="55" t="s">
        <v>39</v>
      </c>
      <c r="Y300" s="13" t="str">
        <f>IF($AX300="Cancelled","",IF(X300="","",IFERROR(IF(INDEX(Variables!$B$38:$B$47,MATCH(X300,Variables!$A$38:$A$47,0))="Yes","Yes","No"),"No")))</f>
        <v>No</v>
      </c>
      <c r="Z300" s="31"/>
      <c r="AB300" s="31">
        <v>45731.875</v>
      </c>
      <c r="AC300" s="13" t="str">
        <f t="shared" si="12"/>
        <v>Approved</v>
      </c>
      <c r="AF300" s="71">
        <f>AJ300-7</f>
        <v>45778</v>
      </c>
      <c r="AG300" s="36">
        <f>IF($AX300="Cancelled","",IFERROR(IF(F300="","",F300-Variables!$B$13),""))</f>
        <v>45762</v>
      </c>
      <c r="AH300" s="13">
        <f>IF($AX300="Cancelled","",IFERROR(IF(AB300="","",(AVERAGE(E300:F300)-AB300)-Variables!$B$14),""))</f>
        <v>0.625</v>
      </c>
      <c r="AJ300" s="47">
        <v>45785</v>
      </c>
      <c r="AK300" s="14">
        <f>IF($AX300="Cancelled","",IFERROR(IF(AJ300="","",IF(AND(AB300="",AF300=""),"",IF(AF300&gt;AB300,AF300+Variables!$B$15+Variables!$B$16+Variables!$B$17-AJ300,AB300+Variables!$B$16+Variables!$B$17-AJ300))),""))</f>
        <v>8</v>
      </c>
      <c r="AL300" s="48" t="s">
        <v>114</v>
      </c>
      <c r="AM300" s="13" t="s">
        <v>115</v>
      </c>
      <c r="AN300" s="13" t="s">
        <v>370</v>
      </c>
      <c r="AP300" s="31">
        <v>45789</v>
      </c>
      <c r="AR300" s="13">
        <v>253545561</v>
      </c>
      <c r="AS300" s="31">
        <v>45792</v>
      </c>
      <c r="AU300" s="31">
        <v>45805</v>
      </c>
      <c r="AV300" s="13" t="s">
        <v>1255</v>
      </c>
      <c r="AW300" s="31">
        <v>45807</v>
      </c>
      <c r="AX300" s="13" t="str">
        <f>IF(ISNUMBER(SEARCH("cancel",#REF!)),"Cancelled",IF(AND(AS300&lt;&gt;"",AU300&lt;&gt;"",AW300&lt;&gt;""),"Closed","Open"))</f>
        <v>Closed</v>
      </c>
      <c r="AY300" s="15" t="str">
        <f t="shared" si="13"/>
        <v>All dates received</v>
      </c>
      <c r="BD300" s="13">
        <f>IF($AX300="Cancelled","",IFERROR(IF(OR(AS300="",AJ300=""),"",(AJ300+Variables!$B$18-AS300)),""))</f>
        <v>8</v>
      </c>
      <c r="BE300" s="13">
        <f>IF($AX300="Cancelled","",IFERROR(IF(OR(AW300="",AS300=""),"",(AS300+Variables!$B$19)-AW300),""))</f>
        <v>-10</v>
      </c>
      <c r="BF300" s="44">
        <f>IF($AX300="Cancelled","",IFERROR(W300*INDEX(Variables!$B$7:$D$7,IFERROR(MATCH(IF($B300="Robusta","Robusta",(IF($B300="","Arabica",$B300))&amp;" - "&amp;(IF($C300="","Commercial",$C300))),Variables!$B$1:$D$1,0),1))*(BE300/365),""))</f>
        <v>-4.4952121471256863</v>
      </c>
      <c r="BG300" s="44">
        <f>IF($AX300="Cancelled","",IFERROR((W300*INDEX(Variables!$B$7:$D$7,IFERROR(MATCH(IF($B300="Robusta","Robusta",(IF($B300="","Arabica",$B300))&amp;" - "&amp;(IF($C300="","Commercial",$C300))),Variables!$B$1:$D$1,0),1))*IFERROR(IF(AB300="","",(AVERAGE(E300:F300)-AB300)-Variables!$B$14),"")/365)+(L300/16.67*INDEX(Variables!$B$8:$D$8,IFERROR(MATCH(IF($B300="Robusta","Robusta",(IF($B300="","Arabica",$B300))&amp;" - "&amp;(IF($C300="","Commercial",$C300))),Variables!$B$1:$D$1,0),1))*IFERROR(IF(AB300="","",(AVERAGE(E300:F300)-AB300)-Variables!$B$14),""))+(W300*INDEX(Variables!$B$9:$D$9,IFERROR(MATCH(IF($B300="Robusta","Robusta",(IF($B300="","Arabica",$B300))&amp;" - "&amp;(IF($C300="","Commercial",$C300))),Variables!$B$1:$D$1,0),1))*IFERROR(IF(AB300="","",(AVERAGE(E300:F300)-AB300)-Variables!$B$14),"")/365),""))</f>
        <v>0.44082275667867793</v>
      </c>
      <c r="BH300" s="44">
        <f>IF($AX300="Cancelled","",IFERROR((W300*INDEX(Variables!$B$7:$D$7,IFERROR(MATCH(IF($B300="Robusta","Robusta",(IF($B300="","Arabica",$B300))&amp;" - "&amp;(IF($C300="","Commercial",$C300))),Variables!$B$1:$D$1,0),1))*AK300/365)+(L300/16.67*INDEX(Variables!$B$8:$D$8,IFERROR(MATCH(IF($B300="Robusta","Robusta",(IF($B300="","Arabica",$B300))&amp;" - "&amp;(IF($C300="","Commercial",$C300))),Variables!$B$1:$D$1,0),1))*AK300)+(W300*INDEX(Variables!$B$9:$D$9,IFERROR(MATCH(IF($B300="Robusta","Robusta",(IF($B300="","Arabica",$B300))&amp;" - "&amp;(IF($C300="","Commercial",$C300))),Variables!$B$1:$D$1,0),1))*AK300/365),""))</f>
        <v>5.6425312854870775</v>
      </c>
      <c r="BI300" s="44">
        <f>IF($AX300="Cancelled","",IFERROR((W300*INDEX(Variables!$B$7:$D$7,IFERROR(MATCH(IF($B300="Robusta","Robusta",(IF($B300="","Arabica",$B300))&amp;" - "&amp;(IF($C300="","Commercial",$C300))),Variables!$B$1:$D$1,0),1))*BD300/365)+(L300/16.67*INDEX(Variables!$B$8:$D$8,IFERROR(MATCH(IF($B300="Robusta","Robusta",(IF($B300="","Arabica",$B300))&amp;" - "&amp;(IF($C300="","Commercial",$C300))),Variables!$B$1:$D$1,0),1))*BD300)+(W300*INDEX(Variables!$B$9:$D$9,IFERROR(MATCH(IF($B300="Robusta","Robusta",(IF($B300="","Arabica",$B300))&amp;" - "&amp;(IF($C300="","Commercial",$C300))),Variables!$B$1:$D$1,0),1))*BD300/365),""))</f>
        <v>5.6425312854870775</v>
      </c>
      <c r="BJ300" s="44">
        <f t="shared" si="14"/>
        <v>-15</v>
      </c>
      <c r="BK300" s="44">
        <f>IF($AX300="Cancelled","",IFERROR(IF(BJ300="","",(W300*INDEX(Variables!$B$7:$D$7,IFERROR(MATCH(IF($B300="Robusta","Robusta",(IF($B300="","Arabica",$B300))&amp;" - "&amp;(IF($C300="","Commercial",$C300))),Variables!$B$1:$D$1,0),1))*(BJ300/365))+(W300*INDEX(Variables!$B$9:$D$9,IFERROR(MATCH(IF($B300="Robusta","Robusta",(IF($B300="","Arabica",$B300))&amp;" - "&amp;(IF($C300="","Commercial",$C300))),Variables!$B$1:$D$1,0),1))*(BJ300/365))+(INDEX(Variables!$B$8:$D$8,IFERROR(MATCH(IF($B300="Robusta","Robusta",(IF($B300="","Arabica",$B300))&amp;" - "&amp;(IF($C300="","Commercial",$C300))),Variables!$B$1:$D$1,0),1))*L300/16.67)),""))</f>
        <v>-6.5797461602882699</v>
      </c>
    </row>
    <row r="301" spans="1:63">
      <c r="A301" s="13" t="s">
        <v>103</v>
      </c>
      <c r="B301" s="13" t="s">
        <v>104</v>
      </c>
      <c r="C301" s="13" t="s">
        <v>292</v>
      </c>
      <c r="D301" s="31">
        <v>45722</v>
      </c>
      <c r="E301" s="31">
        <v>45748</v>
      </c>
      <c r="F301" s="31">
        <v>45777</v>
      </c>
      <c r="G301" s="13">
        <v>3786788</v>
      </c>
      <c r="J301" s="13" t="s">
        <v>773</v>
      </c>
      <c r="K301" s="13" t="s">
        <v>956</v>
      </c>
      <c r="L301" s="13">
        <v>5</v>
      </c>
      <c r="M301" s="13">
        <v>0</v>
      </c>
      <c r="N301" s="13" t="s">
        <v>957</v>
      </c>
      <c r="O301" s="13" t="s">
        <v>771</v>
      </c>
      <c r="P301" s="13">
        <v>10010</v>
      </c>
      <c r="R301" s="13" t="s">
        <v>384</v>
      </c>
      <c r="S301" s="13" t="s">
        <v>776</v>
      </c>
      <c r="T301" s="13" t="s">
        <v>777</v>
      </c>
      <c r="U301" s="13" t="s">
        <v>125</v>
      </c>
      <c r="V301" s="13">
        <v>141</v>
      </c>
      <c r="W301" s="44">
        <f>IF($AX301="Cancelled","",IFERROR(((V301+INDEX(Variables!$B$6:$D$6,IFERROR(MATCH(IF($B301="Robusta","Robusta",(IF($B301="","Arabica",$B301))&amp;" - "&amp;(IF($C301="","Commercial",$C301))),Variables!$B$1:$D$1,0),1)))*22.0462)*(L301/16.67),""))</f>
        <v>2855.2936892621474</v>
      </c>
      <c r="X301" s="55" t="s">
        <v>39</v>
      </c>
      <c r="Y301" s="13" t="str">
        <f>IF($AX301="Cancelled","",IF(X301="","",IFERROR(IF(INDEX(Variables!$B$38:$B$47,MATCH(X301,Variables!$A$38:$A$47,0))="Yes","Yes","No"),"No")))</f>
        <v>No</v>
      </c>
      <c r="Z301" s="31"/>
      <c r="AB301" s="31">
        <v>45731.875</v>
      </c>
      <c r="AC301" s="13" t="str">
        <f t="shared" si="12"/>
        <v>Approved</v>
      </c>
      <c r="AF301" s="71">
        <f>AJ301-7</f>
        <v>45778</v>
      </c>
      <c r="AG301" s="36">
        <f>IF($AX301="Cancelled","",IFERROR(IF(F301="","",F301-Variables!$B$13),""))</f>
        <v>45762</v>
      </c>
      <c r="AH301" s="13">
        <f>IF($AX301="Cancelled","",IFERROR(IF(AB301="","",(AVERAGE(E301:F301)-AB301)-Variables!$B$14),""))</f>
        <v>0.625</v>
      </c>
      <c r="AJ301" s="47">
        <v>45785</v>
      </c>
      <c r="AK301" s="14">
        <f>IF($AX301="Cancelled","",IFERROR(IF(AJ301="","",IF(AND(AB301="",AF301=""),"",IF(AF301&gt;AB301,AF301+Variables!$B$15+Variables!$B$16+Variables!$B$17-AJ301,AB301+Variables!$B$16+Variables!$B$17-AJ301))),""))</f>
        <v>8</v>
      </c>
      <c r="AL301" s="48" t="s">
        <v>114</v>
      </c>
      <c r="AM301" s="13" t="s">
        <v>115</v>
      </c>
      <c r="AN301" s="13" t="s">
        <v>370</v>
      </c>
      <c r="AP301" s="31">
        <v>45789</v>
      </c>
      <c r="AR301" s="13">
        <v>253545561</v>
      </c>
      <c r="AS301" s="31">
        <v>45792</v>
      </c>
      <c r="AU301" s="31">
        <v>45805</v>
      </c>
      <c r="AV301" s="13" t="s">
        <v>1255</v>
      </c>
      <c r="AW301" s="31">
        <v>45807</v>
      </c>
      <c r="AX301" s="13" t="str">
        <f>IF(ISNUMBER(SEARCH("cancel",#REF!)),"Cancelled",IF(AND(AS301&lt;&gt;"",AU301&lt;&gt;"",AW301&lt;&gt;""),"Closed","Open"))</f>
        <v>Closed</v>
      </c>
      <c r="AY301" s="15" t="str">
        <f t="shared" si="13"/>
        <v>All dates received</v>
      </c>
      <c r="BD301" s="13">
        <f>IF($AX301="Cancelled","",IFERROR(IF(OR(AS301="",AJ301=""),"",(AJ301+Variables!$B$18-AS301)),""))</f>
        <v>8</v>
      </c>
      <c r="BE301" s="13">
        <f>IF($AX301="Cancelled","",IFERROR(IF(OR(AW301="",AS301=""),"",(AS301+Variables!$B$19)-AW301),""))</f>
        <v>-10</v>
      </c>
      <c r="BF301" s="44">
        <f>IF($AX301="Cancelled","",IFERROR(W301*INDEX(Variables!$B$7:$D$7,IFERROR(MATCH(IF($B301="Robusta","Robusta",(IF($B301="","Arabica",$B301))&amp;" - "&amp;(IF($C301="","Commercial",$C301))),Variables!$B$1:$D$1,0),1))*(BE301/365),""))</f>
        <v>-5.0442635268421823</v>
      </c>
      <c r="BG301" s="44">
        <f>IF($AX301="Cancelled","",IFERROR((W301*INDEX(Variables!$B$7:$D$7,IFERROR(MATCH(IF($B301="Robusta","Robusta",(IF($B301="","Arabica",$B301))&amp;" - "&amp;(IF($C301="","Commercial",$C301))),Variables!$B$1:$D$1,0),1))*IFERROR(IF(AB301="","",(AVERAGE(E301:F301)-AB301)-Variables!$B$14),"")/365)+(L301/16.67*INDEX(Variables!$B$8:$D$8,IFERROR(MATCH(IF($B301="Robusta","Robusta",(IF($B301="","Arabica",$B301))&amp;" - "&amp;(IF($C301="","Commercial",$C301))),Variables!$B$1:$D$1,0),1))*IFERROR(IF(AB301="","",(AVERAGE(E301:F301)-AB301)-Variables!$B$14),""))+(W301*INDEX(Variables!$B$9:$D$9,IFERROR(MATCH(IF($B301="Robusta","Robusta",(IF($B301="","Arabica",$B301))&amp;" - "&amp;(IF($C301="","Commercial",$C301))),Variables!$B$1:$D$1,0),1))*IFERROR(IF(AB301="","",(AVERAGE(E301:F301)-AB301)-Variables!$B$14),"")/365),""))</f>
        <v>0.47558086365346453</v>
      </c>
      <c r="BH301" s="44">
        <f>IF($AX301="Cancelled","",IFERROR((W301*INDEX(Variables!$B$7:$D$7,IFERROR(MATCH(IF($B301="Robusta","Robusta",(IF($B301="","Arabica",$B301))&amp;" - "&amp;(IF($C301="","Commercial",$C301))),Variables!$B$1:$D$1,0),1))*AK301/365)+(L301/16.67*INDEX(Variables!$B$8:$D$8,IFERROR(MATCH(IF($B301="Robusta","Robusta",(IF($B301="","Arabica",$B301))&amp;" - "&amp;(IF($C301="","Commercial",$C301))),Variables!$B$1:$D$1,0),1))*AK301)+(W301*INDEX(Variables!$B$9:$D$9,IFERROR(MATCH(IF($B301="Robusta","Robusta",(IF($B301="","Arabica",$B301))&amp;" - "&amp;(IF($C301="","Commercial",$C301))),Variables!$B$1:$D$1,0),1))*AK301/365),""))</f>
        <v>6.0874350547643452</v>
      </c>
      <c r="BI301" s="44">
        <f>IF($AX301="Cancelled","",IFERROR((W301*INDEX(Variables!$B$7:$D$7,IFERROR(MATCH(IF($B301="Robusta","Robusta",(IF($B301="","Arabica",$B301))&amp;" - "&amp;(IF($C301="","Commercial",$C301))),Variables!$B$1:$D$1,0),1))*BD301/365)+(L301/16.67*INDEX(Variables!$B$8:$D$8,IFERROR(MATCH(IF($B301="Robusta","Robusta",(IF($B301="","Arabica",$B301))&amp;" - "&amp;(IF($C301="","Commercial",$C301))),Variables!$B$1:$D$1,0),1))*BD301)+(W301*INDEX(Variables!$B$9:$D$9,IFERROR(MATCH(IF($B301="Robusta","Robusta",(IF($B301="","Arabica",$B301))&amp;" - "&amp;(IF($C301="","Commercial",$C301))),Variables!$B$1:$D$1,0),1))*BD301/365),""))</f>
        <v>6.0874350547643452</v>
      </c>
      <c r="BJ301" s="44">
        <f t="shared" si="14"/>
        <v>-15</v>
      </c>
      <c r="BK301" s="44">
        <f>IF($AX301="Cancelled","",IFERROR(IF(BJ301="","",(W301*INDEX(Variables!$B$7:$D$7,IFERROR(MATCH(IF($B301="Robusta","Robusta",(IF($B301="","Arabica",$B301))&amp;" - "&amp;(IF($C301="","Commercial",$C301))),Variables!$B$1:$D$1,0),1))*(BJ301/365))+(W301*INDEX(Variables!$B$9:$D$9,IFERROR(MATCH(IF($B301="Robusta","Robusta",(IF($B301="","Arabica",$B301))&amp;" - "&amp;(IF($C301="","Commercial",$C301))),Variables!$B$1:$D$1,0),1))*(BJ301/365))+(INDEX(Variables!$B$8:$D$8,IFERROR(MATCH(IF($B301="Robusta","Robusta",(IF($B301="","Arabica",$B301))&amp;" - "&amp;(IF($C301="","Commercial",$C301))),Variables!$B$1:$D$1,0),1))*L301/16.67)),""))</f>
        <v>-7.4139407276831477</v>
      </c>
    </row>
    <row r="302" spans="1:63">
      <c r="A302" s="13" t="s">
        <v>103</v>
      </c>
      <c r="B302" s="13" t="s">
        <v>104</v>
      </c>
      <c r="C302" s="13" t="s">
        <v>292</v>
      </c>
      <c r="D302" s="31">
        <v>45722</v>
      </c>
      <c r="E302" s="31">
        <v>45748</v>
      </c>
      <c r="F302" s="31">
        <v>45777</v>
      </c>
      <c r="G302" s="13">
        <v>3786789</v>
      </c>
      <c r="J302" s="13" t="s">
        <v>773</v>
      </c>
      <c r="K302" s="13" t="s">
        <v>958</v>
      </c>
      <c r="L302" s="13">
        <v>5</v>
      </c>
      <c r="M302" s="13">
        <v>0</v>
      </c>
      <c r="N302" s="13" t="s">
        <v>959</v>
      </c>
      <c r="O302" s="13" t="s">
        <v>925</v>
      </c>
      <c r="P302" s="13">
        <v>10020</v>
      </c>
      <c r="R302" s="13" t="s">
        <v>239</v>
      </c>
      <c r="S302" s="13" t="s">
        <v>776</v>
      </c>
      <c r="T302" s="13" t="s">
        <v>777</v>
      </c>
      <c r="U302" s="13" t="s">
        <v>125</v>
      </c>
      <c r="V302" s="13">
        <v>88</v>
      </c>
      <c r="W302" s="44">
        <f>IF($AX302="Cancelled","",IFERROR(((V302+INDEX(Variables!$B$6:$D$6,IFERROR(MATCH(IF($B302="Robusta","Robusta",(IF($B302="","Arabica",$B302))&amp;" - "&amp;(IF($C302="","Commercial",$C302))),Variables!$B$1:$D$1,0),1)))*22.0462)*(L302/16.67),""))</f>
        <v>2504.8292021595676</v>
      </c>
      <c r="X302" s="55" t="s">
        <v>39</v>
      </c>
      <c r="Y302" s="13" t="str">
        <f>IF($AX302="Cancelled","",IF(X302="","",IFERROR(IF(INDEX(Variables!$B$38:$B$47,MATCH(X302,Variables!$A$38:$A$47,0))="Yes","Yes","No"),"No")))</f>
        <v>No</v>
      </c>
      <c r="Z302" s="31"/>
      <c r="AB302" s="31">
        <v>45731.875</v>
      </c>
      <c r="AC302" s="13" t="str">
        <f t="shared" si="12"/>
        <v>Approved</v>
      </c>
      <c r="AF302" s="71">
        <f>AJ302-7</f>
        <v>45778</v>
      </c>
      <c r="AG302" s="36">
        <f>IF($AX302="Cancelled","",IFERROR(IF(F302="","",F302-Variables!$B$13),""))</f>
        <v>45762</v>
      </c>
      <c r="AH302" s="13">
        <f>IF($AX302="Cancelled","",IFERROR(IF(AB302="","",(AVERAGE(E302:F302)-AB302)-Variables!$B$14),""))</f>
        <v>0.625</v>
      </c>
      <c r="AJ302" s="47">
        <v>45785</v>
      </c>
      <c r="AK302" s="14">
        <f>IF($AX302="Cancelled","",IFERROR(IF(AJ302="","",IF(AND(AB302="",AF302=""),"",IF(AF302&gt;AB302,AF302+Variables!$B$15+Variables!$B$16+Variables!$B$17-AJ302,AB302+Variables!$B$16+Variables!$B$17-AJ302))),""))</f>
        <v>8</v>
      </c>
      <c r="AL302" s="48" t="s">
        <v>114</v>
      </c>
      <c r="AM302" s="13" t="s">
        <v>115</v>
      </c>
      <c r="AN302" s="13" t="s">
        <v>370</v>
      </c>
      <c r="AP302" s="31">
        <v>45789</v>
      </c>
      <c r="AR302" s="13">
        <v>253545561</v>
      </c>
      <c r="AS302" s="31">
        <v>45792</v>
      </c>
      <c r="AU302" s="31">
        <v>45805</v>
      </c>
      <c r="AV302" s="13" t="s">
        <v>1255</v>
      </c>
      <c r="AW302" s="31">
        <v>45807</v>
      </c>
      <c r="AX302" s="13" t="str">
        <f>IF(ISNUMBER(SEARCH("cancel",#REF!)),"Cancelled",IF(AND(AS302&lt;&gt;"",AU302&lt;&gt;"",AW302&lt;&gt;""),"Closed","Open"))</f>
        <v>Closed</v>
      </c>
      <c r="AY302" s="15" t="str">
        <f t="shared" si="13"/>
        <v>All dates received</v>
      </c>
      <c r="BD302" s="13">
        <f>IF($AX302="Cancelled","",IFERROR(IF(OR(AS302="",AJ302=""),"",(AJ302+Variables!$B$18-AS302)),""))</f>
        <v>8</v>
      </c>
      <c r="BE302" s="13">
        <f>IF($AX302="Cancelled","",IFERROR(IF(OR(AW302="",AS302=""),"",(AS302+Variables!$B$19)-AW302),""))</f>
        <v>-10</v>
      </c>
      <c r="BF302" s="44">
        <f>IF($AX302="Cancelled","",IFERROR(W302*INDEX(Variables!$B$7:$D$7,IFERROR(MATCH(IF($B302="Robusta","Robusta",(IF($B302="","Arabica",$B302))&amp;" - "&amp;(IF($C302="","Commercial",$C302))),Variables!$B$1:$D$1,0),1))*(BE302/365),""))</f>
        <v>-4.4251204816299632</v>
      </c>
      <c r="BG302" s="44">
        <f>IF($AX302="Cancelled","",IFERROR((W302*INDEX(Variables!$B$7:$D$7,IFERROR(MATCH(IF($B302="Robusta","Robusta",(IF($B302="","Arabica",$B302))&amp;" - "&amp;(IF($C302="","Commercial",$C302))),Variables!$B$1:$D$1,0),1))*IFERROR(IF(AB302="","",(AVERAGE(E302:F302)-AB302)-Variables!$B$14),"")/365)+(L302/16.67*INDEX(Variables!$B$8:$D$8,IFERROR(MATCH(IF($B302="Robusta","Robusta",(IF($B302="","Arabica",$B302))&amp;" - "&amp;(IF($C302="","Commercial",$C302))),Variables!$B$1:$D$1,0),1))*IFERROR(IF(AB302="","",(AVERAGE(E302:F302)-AB302)-Variables!$B$14),""))+(W302*INDEX(Variables!$B$9:$D$9,IFERROR(MATCH(IF($B302="Robusta","Robusta",(IF($B302="","Arabica",$B302))&amp;" - "&amp;(IF($C302="","Commercial",$C302))),Variables!$B$1:$D$1,0),1))*IFERROR(IF(AB302="","",(AVERAGE(E302:F302)-AB302)-Variables!$B$14),"")/365),""))</f>
        <v>0.43638555153296044</v>
      </c>
      <c r="BH302" s="44">
        <f>IF($AX302="Cancelled","",IFERROR((W302*INDEX(Variables!$B$7:$D$7,IFERROR(MATCH(IF($B302="Robusta","Robusta",(IF($B302="","Arabica",$B302))&amp;" - "&amp;(IF($C302="","Commercial",$C302))),Variables!$B$1:$D$1,0),1))*AK302/365)+(L302/16.67*INDEX(Variables!$B$8:$D$8,IFERROR(MATCH(IF($B302="Robusta","Robusta",(IF($B302="","Arabica",$B302))&amp;" - "&amp;(IF($C302="","Commercial",$C302))),Variables!$B$1:$D$1,0),1))*AK302)+(W302*INDEX(Variables!$B$9:$D$9,IFERROR(MATCH(IF($B302="Robusta","Robusta",(IF($B302="","Arabica",$B302))&amp;" - "&amp;(IF($C302="","Commercial",$C302))),Variables!$B$1:$D$1,0),1))*AK302/365),""))</f>
        <v>5.5857350596218946</v>
      </c>
      <c r="BI302" s="44">
        <f>IF($AX302="Cancelled","",IFERROR((W302*INDEX(Variables!$B$7:$D$7,IFERROR(MATCH(IF($B302="Robusta","Robusta",(IF($B302="","Arabica",$B302))&amp;" - "&amp;(IF($C302="","Commercial",$C302))),Variables!$B$1:$D$1,0),1))*BD302/365)+(L302/16.67*INDEX(Variables!$B$8:$D$8,IFERROR(MATCH(IF($B302="Robusta","Robusta",(IF($B302="","Arabica",$B302))&amp;" - "&amp;(IF($C302="","Commercial",$C302))),Variables!$B$1:$D$1,0),1))*BD302)+(W302*INDEX(Variables!$B$9:$D$9,IFERROR(MATCH(IF($B302="Robusta","Robusta",(IF($B302="","Arabica",$B302))&amp;" - "&amp;(IF($C302="","Commercial",$C302))),Variables!$B$1:$D$1,0),1))*BD302/365),""))</f>
        <v>5.5857350596218946</v>
      </c>
      <c r="BJ302" s="44">
        <f t="shared" si="14"/>
        <v>-15</v>
      </c>
      <c r="BK302" s="44">
        <f>IF($AX302="Cancelled","",IFERROR(IF(BJ302="","",(W302*INDEX(Variables!$B$7:$D$7,IFERROR(MATCH(IF($B302="Robusta","Robusta",(IF($B302="","Arabica",$B302))&amp;" - "&amp;(IF($C302="","Commercial",$C302))),Variables!$B$1:$D$1,0),1))*(BJ302/365))+(W302*INDEX(Variables!$B$9:$D$9,IFERROR(MATCH(IF($B302="Robusta","Robusta",(IF($B302="","Arabica",$B302))&amp;" - "&amp;(IF($C302="","Commercial",$C302))),Variables!$B$1:$D$1,0),1))*(BJ302/365))+(INDEX(Variables!$B$8:$D$8,IFERROR(MATCH(IF($B302="Robusta","Robusta",(IF($B302="","Arabica",$B302))&amp;" - "&amp;(IF($C302="","Commercial",$C302))),Variables!$B$1:$D$1,0),1))*L302/16.67)),""))</f>
        <v>-6.4732532367910514</v>
      </c>
    </row>
    <row r="303" spans="1:63">
      <c r="A303" s="13" t="s">
        <v>103</v>
      </c>
      <c r="B303" s="13" t="s">
        <v>104</v>
      </c>
      <c r="C303" s="13" t="s">
        <v>292</v>
      </c>
      <c r="D303" s="31">
        <v>45722</v>
      </c>
      <c r="E303" s="31">
        <v>45748</v>
      </c>
      <c r="F303" s="31">
        <v>45777</v>
      </c>
      <c r="G303" s="13">
        <v>3786790</v>
      </c>
      <c r="J303" s="13" t="s">
        <v>773</v>
      </c>
      <c r="K303" s="13" t="s">
        <v>960</v>
      </c>
      <c r="L303" s="13">
        <v>5</v>
      </c>
      <c r="M303" s="13">
        <v>0</v>
      </c>
      <c r="N303" s="13" t="s">
        <v>961</v>
      </c>
      <c r="O303" s="13" t="s">
        <v>925</v>
      </c>
      <c r="P303" s="13">
        <v>10020</v>
      </c>
      <c r="R303" s="13" t="s">
        <v>384</v>
      </c>
      <c r="S303" s="13" t="s">
        <v>776</v>
      </c>
      <c r="T303" s="13" t="s">
        <v>777</v>
      </c>
      <c r="U303" s="13" t="s">
        <v>125</v>
      </c>
      <c r="V303" s="13">
        <v>102</v>
      </c>
      <c r="W303" s="44">
        <f>IF($AX303="Cancelled","",IFERROR(((V303+INDEX(Variables!$B$6:$D$6,IFERROR(MATCH(IF($B303="Robusta","Robusta",(IF($B303="","Arabica",$B303))&amp;" - "&amp;(IF($C303="","Commercial",$C303))),Variables!$B$1:$D$1,0),1)))*22.0462)*(L303/16.67),""))</f>
        <v>2597.4047270545889</v>
      </c>
      <c r="X303" s="55" t="s">
        <v>39</v>
      </c>
      <c r="Y303" s="13" t="str">
        <f>IF($AX303="Cancelled","",IF(X303="","",IFERROR(IF(INDEX(Variables!$B$38:$B$47,MATCH(X303,Variables!$A$38:$A$47,0))="Yes","Yes","No"),"No")))</f>
        <v>No</v>
      </c>
      <c r="Z303" s="31"/>
      <c r="AB303" s="31">
        <v>45731.875</v>
      </c>
      <c r="AC303" s="13" t="str">
        <f t="shared" si="12"/>
        <v>Approved</v>
      </c>
      <c r="AF303" s="71">
        <f>AJ303-7</f>
        <v>45778</v>
      </c>
      <c r="AG303" s="36">
        <f>IF($AX303="Cancelled","",IFERROR(IF(F303="","",F303-Variables!$B$13),""))</f>
        <v>45762</v>
      </c>
      <c r="AH303" s="13">
        <f>IF($AX303="Cancelled","",IFERROR(IF(AB303="","",(AVERAGE(E303:F303)-AB303)-Variables!$B$14),""))</f>
        <v>0.625</v>
      </c>
      <c r="AJ303" s="47">
        <v>45785</v>
      </c>
      <c r="AK303" s="14">
        <f>IF($AX303="Cancelled","",IFERROR(IF(AJ303="","",IF(AND(AB303="",AF303=""),"",IF(AF303&gt;AB303,AF303+Variables!$B$15+Variables!$B$16+Variables!$B$17-AJ303,AB303+Variables!$B$16+Variables!$B$17-AJ303))),""))</f>
        <v>8</v>
      </c>
      <c r="AL303" s="48" t="s">
        <v>114</v>
      </c>
      <c r="AM303" s="13" t="s">
        <v>115</v>
      </c>
      <c r="AN303" s="13" t="s">
        <v>370</v>
      </c>
      <c r="AP303" s="31">
        <v>45789</v>
      </c>
      <c r="AR303" s="13">
        <v>253545561</v>
      </c>
      <c r="AS303" s="31">
        <v>45792</v>
      </c>
      <c r="AU303" s="31">
        <v>45805</v>
      </c>
      <c r="AV303" s="13" t="s">
        <v>1255</v>
      </c>
      <c r="AW303" s="31">
        <v>45807</v>
      </c>
      <c r="AX303" s="13" t="str">
        <f>IF(ISNUMBER(SEARCH("cancel",#REF!)),"Cancelled",IF(AND(AS303&lt;&gt;"",AU303&lt;&gt;"",AW303&lt;&gt;""),"Closed","Open"))</f>
        <v>Closed</v>
      </c>
      <c r="AY303" s="15" t="str">
        <f t="shared" si="13"/>
        <v>All dates received</v>
      </c>
      <c r="BD303" s="13">
        <f>IF($AX303="Cancelled","",IFERROR(IF(OR(AS303="",AJ303=""),"",(AJ303+Variables!$B$18-AS303)),""))</f>
        <v>8</v>
      </c>
      <c r="BE303" s="13">
        <f>IF($AX303="Cancelled","",IFERROR(IF(OR(AW303="",AS303=""),"",(AS303+Variables!$B$19)-AW303),""))</f>
        <v>-10</v>
      </c>
      <c r="BF303" s="44">
        <f>IF($AX303="Cancelled","",IFERROR(W303*INDEX(Variables!$B$7:$D$7,IFERROR(MATCH(IF($B303="Robusta","Robusta",(IF($B303="","Arabica",$B303))&amp;" - "&amp;(IF($C303="","Commercial",$C303))),Variables!$B$1:$D$1,0),1))*(BE303/365),""))</f>
        <v>-4.5886677011199843</v>
      </c>
      <c r="BG303" s="44">
        <f>IF($AX303="Cancelled","",IFERROR((W303*INDEX(Variables!$B$7:$D$7,IFERROR(MATCH(IF($B303="Robusta","Robusta",(IF($B303="","Arabica",$B303))&amp;" - "&amp;(IF($C303="","Commercial",$C303))),Variables!$B$1:$D$1,0),1))*IFERROR(IF(AB303="","",(AVERAGE(E303:F303)-AB303)-Variables!$B$14),"")/365)+(L303/16.67*INDEX(Variables!$B$8:$D$8,IFERROR(MATCH(IF($B303="Robusta","Robusta",(IF($B303="","Arabica",$B303))&amp;" - "&amp;(IF($C303="","Commercial",$C303))),Variables!$B$1:$D$1,0),1))*IFERROR(IF(AB303="","",(AVERAGE(E303:F303)-AB303)-Variables!$B$14),""))+(W303*INDEX(Variables!$B$9:$D$9,IFERROR(MATCH(IF($B303="Robusta","Robusta",(IF($B303="","Arabica",$B303))&amp;" - "&amp;(IF($C303="","Commercial",$C303))),Variables!$B$1:$D$1,0),1))*IFERROR(IF(AB303="","",(AVERAGE(E303:F303)-AB303)-Variables!$B$14),"")/365),""))</f>
        <v>0.44673903020630124</v>
      </c>
      <c r="BH303" s="44">
        <f>IF($AX303="Cancelled","",IFERROR((W303*INDEX(Variables!$B$7:$D$7,IFERROR(MATCH(IF($B303="Robusta","Robusta",(IF($B303="","Arabica",$B303))&amp;" - "&amp;(IF($C303="","Commercial",$C303))),Variables!$B$1:$D$1,0),1))*AK303/365)+(L303/16.67*INDEX(Variables!$B$8:$D$8,IFERROR(MATCH(IF($B303="Robusta","Robusta",(IF($B303="","Arabica",$B303))&amp;" - "&amp;(IF($C303="","Commercial",$C303))),Variables!$B$1:$D$1,0),1))*AK303)+(W303*INDEX(Variables!$B$9:$D$9,IFERROR(MATCH(IF($B303="Robusta","Robusta",(IF($B303="","Arabica",$B303))&amp;" - "&amp;(IF($C303="","Commercial",$C303))),Variables!$B$1:$D$1,0),1))*AK303/365),""))</f>
        <v>5.7182595866406549</v>
      </c>
      <c r="BI303" s="44">
        <f>IF($AX303="Cancelled","",IFERROR((W303*INDEX(Variables!$B$7:$D$7,IFERROR(MATCH(IF($B303="Robusta","Robusta",(IF($B303="","Arabica",$B303))&amp;" - "&amp;(IF($C303="","Commercial",$C303))),Variables!$B$1:$D$1,0),1))*BD303/365)+(L303/16.67*INDEX(Variables!$B$8:$D$8,IFERROR(MATCH(IF($B303="Robusta","Robusta",(IF($B303="","Arabica",$B303))&amp;" - "&amp;(IF($C303="","Commercial",$C303))),Variables!$B$1:$D$1,0),1))*BD303)+(W303*INDEX(Variables!$B$9:$D$9,IFERROR(MATCH(IF($B303="Robusta","Robusta",(IF($B303="","Arabica",$B303))&amp;" - "&amp;(IF($C303="","Commercial",$C303))),Variables!$B$1:$D$1,0),1))*BD303/365),""))</f>
        <v>5.7182595866406549</v>
      </c>
      <c r="BJ303" s="44">
        <f t="shared" si="14"/>
        <v>-15</v>
      </c>
      <c r="BK303" s="44">
        <f>IF($AX303="Cancelled","",IFERROR(IF(BJ303="","",(W303*INDEX(Variables!$B$7:$D$7,IFERROR(MATCH(IF($B303="Robusta","Robusta",(IF($B303="","Arabica",$B303))&amp;" - "&amp;(IF($C303="","Commercial",$C303))),Variables!$B$1:$D$1,0),1))*(BJ303/365))+(W303*INDEX(Variables!$B$9:$D$9,IFERROR(MATCH(IF($B303="Robusta","Robusta",(IF($B303="","Arabica",$B303))&amp;" - "&amp;(IF($C303="","Commercial",$C303))),Variables!$B$1:$D$1,0),1))*(BJ303/365))+(INDEX(Variables!$B$8:$D$8,IFERROR(MATCH(IF($B303="Robusta","Robusta",(IF($B303="","Arabica",$B303))&amp;" - "&amp;(IF($C303="","Commercial",$C303))),Variables!$B$1:$D$1,0),1))*L303/16.67)),""))</f>
        <v>-6.7217367249512288</v>
      </c>
    </row>
    <row r="304" spans="1:63">
      <c r="A304" s="13" t="s">
        <v>103</v>
      </c>
      <c r="B304" s="13" t="s">
        <v>104</v>
      </c>
      <c r="C304" s="13" t="s">
        <v>292</v>
      </c>
      <c r="D304" s="31">
        <v>45722</v>
      </c>
      <c r="E304" s="31">
        <v>45748</v>
      </c>
      <c r="F304" s="31">
        <v>45777</v>
      </c>
      <c r="G304" s="13">
        <v>3786791</v>
      </c>
      <c r="J304" s="13" t="s">
        <v>773</v>
      </c>
      <c r="K304" s="13" t="s">
        <v>962</v>
      </c>
      <c r="L304" s="13">
        <v>5</v>
      </c>
      <c r="M304" s="13">
        <v>0</v>
      </c>
      <c r="N304" s="13" t="s">
        <v>963</v>
      </c>
      <c r="O304" s="13" t="s">
        <v>925</v>
      </c>
      <c r="P304" s="13">
        <v>10020</v>
      </c>
      <c r="R304" s="13" t="s">
        <v>239</v>
      </c>
      <c r="S304" s="13" t="s">
        <v>776</v>
      </c>
      <c r="T304" s="13" t="s">
        <v>777</v>
      </c>
      <c r="U304" s="13" t="s">
        <v>125</v>
      </c>
      <c r="V304" s="13">
        <v>89</v>
      </c>
      <c r="W304" s="44">
        <f>IF($AX304="Cancelled","",IFERROR(((V304+INDEX(Variables!$B$6:$D$6,IFERROR(MATCH(IF($B304="Robusta","Robusta",(IF($B304="","Arabica",$B304))&amp;" - "&amp;(IF($C304="","Commercial",$C304))),Variables!$B$1:$D$1,0),1)))*22.0462)*(L304/16.67),""))</f>
        <v>2511.4417396520694</v>
      </c>
      <c r="X304" s="55" t="s">
        <v>39</v>
      </c>
      <c r="Y304" s="13" t="str">
        <f>IF($AX304="Cancelled","",IF(X304="","",IFERROR(IF(INDEX(Variables!$B$38:$B$47,MATCH(X304,Variables!$A$38:$A$47,0))="Yes","Yes","No"),"No")))</f>
        <v>No</v>
      </c>
      <c r="Z304" s="31"/>
      <c r="AB304" s="31">
        <v>45731.875</v>
      </c>
      <c r="AC304" s="13" t="str">
        <f t="shared" si="12"/>
        <v>Approved</v>
      </c>
      <c r="AF304" s="71">
        <f>AJ304-7</f>
        <v>45778</v>
      </c>
      <c r="AG304" s="36">
        <f>IF($AX304="Cancelled","",IFERROR(IF(F304="","",F304-Variables!$B$13),""))</f>
        <v>45762</v>
      </c>
      <c r="AH304" s="13">
        <f>IF($AX304="Cancelled","",IFERROR(IF(AB304="","",(AVERAGE(E304:F304)-AB304)-Variables!$B$14),""))</f>
        <v>0.625</v>
      </c>
      <c r="AJ304" s="47">
        <v>45785</v>
      </c>
      <c r="AK304" s="14">
        <f>IF($AX304="Cancelled","",IFERROR(IF(AJ304="","",IF(AND(AB304="",AF304=""),"",IF(AF304&gt;AB304,AF304+Variables!$B$15+Variables!$B$16+Variables!$B$17-AJ304,AB304+Variables!$B$16+Variables!$B$17-AJ304))),""))</f>
        <v>8</v>
      </c>
      <c r="AL304" s="48" t="s">
        <v>114</v>
      </c>
      <c r="AM304" s="13" t="s">
        <v>115</v>
      </c>
      <c r="AN304" s="13" t="s">
        <v>370</v>
      </c>
      <c r="AP304" s="31">
        <v>45789</v>
      </c>
      <c r="AR304" s="13">
        <v>253545561</v>
      </c>
      <c r="AS304" s="31">
        <v>45792</v>
      </c>
      <c r="AU304" s="31">
        <v>45805</v>
      </c>
      <c r="AV304" s="13" t="s">
        <v>1255</v>
      </c>
      <c r="AW304" s="31">
        <v>45807</v>
      </c>
      <c r="AX304" s="13" t="str">
        <f>IF(ISNUMBER(SEARCH("cancel",#REF!)),"Cancelled",IF(AND(AS304&lt;&gt;"",AU304&lt;&gt;"",AW304&lt;&gt;""),"Closed","Open"))</f>
        <v>Closed</v>
      </c>
      <c r="AY304" s="15" t="str">
        <f t="shared" si="13"/>
        <v>All dates received</v>
      </c>
      <c r="BD304" s="13">
        <f>IF($AX304="Cancelled","",IFERROR(IF(OR(AS304="",AJ304=""),"",(AJ304+Variables!$B$18-AS304)),""))</f>
        <v>8</v>
      </c>
      <c r="BE304" s="13">
        <f>IF($AX304="Cancelled","",IFERROR(IF(OR(AW304="",AS304=""),"",(AS304+Variables!$B$19)-AW304),""))</f>
        <v>-10</v>
      </c>
      <c r="BF304" s="44">
        <f>IF($AX304="Cancelled","",IFERROR(W304*INDEX(Variables!$B$7:$D$7,IFERROR(MATCH(IF($B304="Robusta","Robusta",(IF($B304="","Arabica",$B304))&amp;" - "&amp;(IF($C304="","Commercial",$C304))),Variables!$B$1:$D$1,0),1))*(BE304/365),""))</f>
        <v>-4.4368024258792511</v>
      </c>
      <c r="BG304" s="44">
        <f>IF($AX304="Cancelled","",IFERROR((W304*INDEX(Variables!$B$7:$D$7,IFERROR(MATCH(IF($B304="Robusta","Robusta",(IF($B304="","Arabica",$B304))&amp;" - "&amp;(IF($C304="","Commercial",$C304))),Variables!$B$1:$D$1,0),1))*IFERROR(IF(AB304="","",(AVERAGE(E304:F304)-AB304)-Variables!$B$14),"")/365)+(L304/16.67*INDEX(Variables!$B$8:$D$8,IFERROR(MATCH(IF($B304="Robusta","Robusta",(IF($B304="","Arabica",$B304))&amp;" - "&amp;(IF($C304="","Commercial",$C304))),Variables!$B$1:$D$1,0),1))*IFERROR(IF(AB304="","",(AVERAGE(E304:F304)-AB304)-Variables!$B$14),""))+(W304*INDEX(Variables!$B$9:$D$9,IFERROR(MATCH(IF($B304="Robusta","Robusta",(IF($B304="","Arabica",$B304))&amp;" - "&amp;(IF($C304="","Commercial",$C304))),Variables!$B$1:$D$1,0),1))*IFERROR(IF(AB304="","",(AVERAGE(E304:F304)-AB304)-Variables!$B$14),"")/365),""))</f>
        <v>0.4371250857239134</v>
      </c>
      <c r="BH304" s="44">
        <f>IF($AX304="Cancelled","",IFERROR((W304*INDEX(Variables!$B$7:$D$7,IFERROR(MATCH(IF($B304="Robusta","Robusta",(IF($B304="","Arabica",$B304))&amp;" - "&amp;(IF($C304="","Commercial",$C304))),Variables!$B$1:$D$1,0),1))*AK304/365)+(L304/16.67*INDEX(Variables!$B$8:$D$8,IFERROR(MATCH(IF($B304="Robusta","Robusta",(IF($B304="","Arabica",$B304))&amp;" - "&amp;(IF($C304="","Commercial",$C304))),Variables!$B$1:$D$1,0),1))*AK304)+(W304*INDEX(Variables!$B$9:$D$9,IFERROR(MATCH(IF($B304="Robusta","Robusta",(IF($B304="","Arabica",$B304))&amp;" - "&amp;(IF($C304="","Commercial",$C304))),Variables!$B$1:$D$1,0),1))*AK304/365),""))</f>
        <v>5.5952010972660924</v>
      </c>
      <c r="BI304" s="44">
        <f>IF($AX304="Cancelled","",IFERROR((W304*INDEX(Variables!$B$7:$D$7,IFERROR(MATCH(IF($B304="Robusta","Robusta",(IF($B304="","Arabica",$B304))&amp;" - "&amp;(IF($C304="","Commercial",$C304))),Variables!$B$1:$D$1,0),1))*BD304/365)+(L304/16.67*INDEX(Variables!$B$8:$D$8,IFERROR(MATCH(IF($B304="Robusta","Robusta",(IF($B304="","Arabica",$B304))&amp;" - "&amp;(IF($C304="","Commercial",$C304))),Variables!$B$1:$D$1,0),1))*BD304)+(W304*INDEX(Variables!$B$9:$D$9,IFERROR(MATCH(IF($B304="Robusta","Robusta",(IF($B304="","Arabica",$B304))&amp;" - "&amp;(IF($C304="","Commercial",$C304))),Variables!$B$1:$D$1,0),1))*BD304/365),""))</f>
        <v>5.5952010972660924</v>
      </c>
      <c r="BJ304" s="44">
        <f t="shared" si="14"/>
        <v>-15</v>
      </c>
      <c r="BK304" s="44">
        <f>IF($AX304="Cancelled","",IFERROR(IF(BJ304="","",(W304*INDEX(Variables!$B$7:$D$7,IFERROR(MATCH(IF($B304="Robusta","Robusta",(IF($B304="","Arabica",$B304))&amp;" - "&amp;(IF($C304="","Commercial",$C304))),Variables!$B$1:$D$1,0),1))*(BJ304/365))+(W304*INDEX(Variables!$B$9:$D$9,IFERROR(MATCH(IF($B304="Robusta","Robusta",(IF($B304="","Arabica",$B304))&amp;" - "&amp;(IF($C304="","Commercial",$C304))),Variables!$B$1:$D$1,0),1))*(BJ304/365))+(INDEX(Variables!$B$8:$D$8,IFERROR(MATCH(IF($B304="Robusta","Robusta",(IF($B304="","Arabica",$B304))&amp;" - "&amp;(IF($C304="","Commercial",$C304))),Variables!$B$1:$D$1,0),1))*L304/16.67)),""))</f>
        <v>-6.4910020573739224</v>
      </c>
    </row>
    <row r="305" spans="1:63">
      <c r="A305" s="13" t="s">
        <v>103</v>
      </c>
      <c r="B305" s="13" t="s">
        <v>104</v>
      </c>
      <c r="C305" s="13" t="s">
        <v>292</v>
      </c>
      <c r="D305" s="31">
        <v>45722</v>
      </c>
      <c r="E305" s="31">
        <v>45748</v>
      </c>
      <c r="F305" s="31">
        <v>45777</v>
      </c>
      <c r="G305" s="13">
        <v>3786792</v>
      </c>
      <c r="J305" s="13" t="s">
        <v>773</v>
      </c>
      <c r="K305" s="13" t="s">
        <v>964</v>
      </c>
      <c r="L305" s="13">
        <v>5</v>
      </c>
      <c r="M305" s="13">
        <v>0</v>
      </c>
      <c r="N305" s="13" t="s">
        <v>965</v>
      </c>
      <c r="O305" s="13" t="s">
        <v>925</v>
      </c>
      <c r="P305" s="13">
        <v>10020</v>
      </c>
      <c r="R305" s="13" t="s">
        <v>239</v>
      </c>
      <c r="S305" s="13" t="s">
        <v>776</v>
      </c>
      <c r="T305" s="13" t="s">
        <v>777</v>
      </c>
      <c r="U305" s="13" t="s">
        <v>125</v>
      </c>
      <c r="V305" s="13">
        <v>89</v>
      </c>
      <c r="W305" s="44">
        <f>IF($AX305="Cancelled","",IFERROR(((V305+INDEX(Variables!$B$6:$D$6,IFERROR(MATCH(IF($B305="Robusta","Robusta",(IF($B305="","Arabica",$B305))&amp;" - "&amp;(IF($C305="","Commercial",$C305))),Variables!$B$1:$D$1,0),1)))*22.0462)*(L305/16.67),""))</f>
        <v>2511.4417396520694</v>
      </c>
      <c r="X305" s="55" t="s">
        <v>39</v>
      </c>
      <c r="Y305" s="13" t="str">
        <f>IF($AX305="Cancelled","",IF(X305="","",IFERROR(IF(INDEX(Variables!$B$38:$B$47,MATCH(X305,Variables!$A$38:$A$47,0))="Yes","Yes","No"),"No")))</f>
        <v>No</v>
      </c>
      <c r="Z305" s="31"/>
      <c r="AB305" s="31">
        <v>45731.875</v>
      </c>
      <c r="AC305" s="13" t="str">
        <f t="shared" si="12"/>
        <v>Approved</v>
      </c>
      <c r="AF305" s="71">
        <f>AJ305-7</f>
        <v>45778</v>
      </c>
      <c r="AG305" s="36">
        <f>IF($AX305="Cancelled","",IFERROR(IF(F305="","",F305-Variables!$B$13),""))</f>
        <v>45762</v>
      </c>
      <c r="AH305" s="13">
        <f>IF($AX305="Cancelled","",IFERROR(IF(AB305="","",(AVERAGE(E305:F305)-AB305)-Variables!$B$14),""))</f>
        <v>0.625</v>
      </c>
      <c r="AJ305" s="47">
        <v>45785</v>
      </c>
      <c r="AK305" s="14">
        <f>IF($AX305="Cancelled","",IFERROR(IF(AJ305="","",IF(AND(AB305="",AF305=""),"",IF(AF305&gt;AB305,AF305+Variables!$B$15+Variables!$B$16+Variables!$B$17-AJ305,AB305+Variables!$B$16+Variables!$B$17-AJ305))),""))</f>
        <v>8</v>
      </c>
      <c r="AL305" s="48" t="s">
        <v>114</v>
      </c>
      <c r="AM305" s="13" t="s">
        <v>115</v>
      </c>
      <c r="AN305" s="13" t="s">
        <v>370</v>
      </c>
      <c r="AP305" s="31">
        <v>45789</v>
      </c>
      <c r="AR305" s="13">
        <v>253545561</v>
      </c>
      <c r="AS305" s="31">
        <v>45792</v>
      </c>
      <c r="AU305" s="31">
        <v>45805</v>
      </c>
      <c r="AV305" s="13" t="s">
        <v>1255</v>
      </c>
      <c r="AW305" s="31">
        <v>45807</v>
      </c>
      <c r="AX305" s="13" t="str">
        <f>IF(ISNUMBER(SEARCH("cancel",#REF!)),"Cancelled",IF(AND(AS305&lt;&gt;"",AU305&lt;&gt;"",AW305&lt;&gt;""),"Closed","Open"))</f>
        <v>Closed</v>
      </c>
      <c r="AY305" s="15" t="str">
        <f t="shared" si="13"/>
        <v>All dates received</v>
      </c>
      <c r="BD305" s="13">
        <f>IF($AX305="Cancelled","",IFERROR(IF(OR(AS305="",AJ305=""),"",(AJ305+Variables!$B$18-AS305)),""))</f>
        <v>8</v>
      </c>
      <c r="BE305" s="13">
        <f>IF($AX305="Cancelled","",IFERROR(IF(OR(AW305="",AS305=""),"",(AS305+Variables!$B$19)-AW305),""))</f>
        <v>-10</v>
      </c>
      <c r="BF305" s="44">
        <f>IF($AX305="Cancelled","",IFERROR(W305*INDEX(Variables!$B$7:$D$7,IFERROR(MATCH(IF($B305="Robusta","Robusta",(IF($B305="","Arabica",$B305))&amp;" - "&amp;(IF($C305="","Commercial",$C305))),Variables!$B$1:$D$1,0),1))*(BE305/365),""))</f>
        <v>-4.4368024258792511</v>
      </c>
      <c r="BG305" s="44">
        <f>IF($AX305="Cancelled","",IFERROR((W305*INDEX(Variables!$B$7:$D$7,IFERROR(MATCH(IF($B305="Robusta","Robusta",(IF($B305="","Arabica",$B305))&amp;" - "&amp;(IF($C305="","Commercial",$C305))),Variables!$B$1:$D$1,0),1))*IFERROR(IF(AB305="","",(AVERAGE(E305:F305)-AB305)-Variables!$B$14),"")/365)+(L305/16.67*INDEX(Variables!$B$8:$D$8,IFERROR(MATCH(IF($B305="Robusta","Robusta",(IF($B305="","Arabica",$B305))&amp;" - "&amp;(IF($C305="","Commercial",$C305))),Variables!$B$1:$D$1,0),1))*IFERROR(IF(AB305="","",(AVERAGE(E305:F305)-AB305)-Variables!$B$14),""))+(W305*INDEX(Variables!$B$9:$D$9,IFERROR(MATCH(IF($B305="Robusta","Robusta",(IF($B305="","Arabica",$B305))&amp;" - "&amp;(IF($C305="","Commercial",$C305))),Variables!$B$1:$D$1,0),1))*IFERROR(IF(AB305="","",(AVERAGE(E305:F305)-AB305)-Variables!$B$14),"")/365),""))</f>
        <v>0.4371250857239134</v>
      </c>
      <c r="BH305" s="44">
        <f>IF($AX305="Cancelled","",IFERROR((W305*INDEX(Variables!$B$7:$D$7,IFERROR(MATCH(IF($B305="Robusta","Robusta",(IF($B305="","Arabica",$B305))&amp;" - "&amp;(IF($C305="","Commercial",$C305))),Variables!$B$1:$D$1,0),1))*AK305/365)+(L305/16.67*INDEX(Variables!$B$8:$D$8,IFERROR(MATCH(IF($B305="Robusta","Robusta",(IF($B305="","Arabica",$B305))&amp;" - "&amp;(IF($C305="","Commercial",$C305))),Variables!$B$1:$D$1,0),1))*AK305)+(W305*INDEX(Variables!$B$9:$D$9,IFERROR(MATCH(IF($B305="Robusta","Robusta",(IF($B305="","Arabica",$B305))&amp;" - "&amp;(IF($C305="","Commercial",$C305))),Variables!$B$1:$D$1,0),1))*AK305/365),""))</f>
        <v>5.5952010972660924</v>
      </c>
      <c r="BI305" s="44">
        <f>IF($AX305="Cancelled","",IFERROR((W305*INDEX(Variables!$B$7:$D$7,IFERROR(MATCH(IF($B305="Robusta","Robusta",(IF($B305="","Arabica",$B305))&amp;" - "&amp;(IF($C305="","Commercial",$C305))),Variables!$B$1:$D$1,0),1))*BD305/365)+(L305/16.67*INDEX(Variables!$B$8:$D$8,IFERROR(MATCH(IF($B305="Robusta","Robusta",(IF($B305="","Arabica",$B305))&amp;" - "&amp;(IF($C305="","Commercial",$C305))),Variables!$B$1:$D$1,0),1))*BD305)+(W305*INDEX(Variables!$B$9:$D$9,IFERROR(MATCH(IF($B305="Robusta","Robusta",(IF($B305="","Arabica",$B305))&amp;" - "&amp;(IF($C305="","Commercial",$C305))),Variables!$B$1:$D$1,0),1))*BD305/365),""))</f>
        <v>5.5952010972660924</v>
      </c>
      <c r="BJ305" s="44">
        <f t="shared" si="14"/>
        <v>-15</v>
      </c>
      <c r="BK305" s="44">
        <f>IF($AX305="Cancelled","",IFERROR(IF(BJ305="","",(W305*INDEX(Variables!$B$7:$D$7,IFERROR(MATCH(IF($B305="Robusta","Robusta",(IF($B305="","Arabica",$B305))&amp;" - "&amp;(IF($C305="","Commercial",$C305))),Variables!$B$1:$D$1,0),1))*(BJ305/365))+(W305*INDEX(Variables!$B$9:$D$9,IFERROR(MATCH(IF($B305="Robusta","Robusta",(IF($B305="","Arabica",$B305))&amp;" - "&amp;(IF($C305="","Commercial",$C305))),Variables!$B$1:$D$1,0),1))*(BJ305/365))+(INDEX(Variables!$B$8:$D$8,IFERROR(MATCH(IF($B305="Robusta","Robusta",(IF($B305="","Arabica",$B305))&amp;" - "&amp;(IF($C305="","Commercial",$C305))),Variables!$B$1:$D$1,0),1))*L305/16.67)),""))</f>
        <v>-6.4910020573739224</v>
      </c>
    </row>
    <row r="306" spans="1:63">
      <c r="A306" s="13" t="s">
        <v>103</v>
      </c>
      <c r="B306" s="13" t="s">
        <v>104</v>
      </c>
      <c r="C306" s="13" t="s">
        <v>292</v>
      </c>
      <c r="D306" s="31">
        <v>45722</v>
      </c>
      <c r="E306" s="31">
        <v>45748</v>
      </c>
      <c r="F306" s="31">
        <v>45777</v>
      </c>
      <c r="G306" s="13">
        <v>3786793</v>
      </c>
      <c r="J306" s="13" t="s">
        <v>773</v>
      </c>
      <c r="K306" s="13" t="s">
        <v>966</v>
      </c>
      <c r="L306" s="13">
        <v>3</v>
      </c>
      <c r="M306" s="13">
        <v>0</v>
      </c>
      <c r="N306" s="13" t="s">
        <v>967</v>
      </c>
      <c r="O306" s="13" t="s">
        <v>925</v>
      </c>
      <c r="P306" s="13">
        <v>10020</v>
      </c>
      <c r="R306" s="13" t="s">
        <v>384</v>
      </c>
      <c r="S306" s="13" t="s">
        <v>776</v>
      </c>
      <c r="T306" s="13" t="s">
        <v>777</v>
      </c>
      <c r="U306" s="13" t="s">
        <v>125</v>
      </c>
      <c r="V306" s="13">
        <v>88</v>
      </c>
      <c r="W306" s="44">
        <f>IF($AX306="Cancelled","",IFERROR(((V306+INDEX(Variables!$B$6:$D$6,IFERROR(MATCH(IF($B306="Robusta","Robusta",(IF($B306="","Arabica",$B306))&amp;" - "&amp;(IF($C306="","Commercial",$C306))),Variables!$B$1:$D$1,0),1)))*22.0462)*(L306/16.67),""))</f>
        <v>1502.8975212957405</v>
      </c>
      <c r="X306" s="55" t="s">
        <v>39</v>
      </c>
      <c r="Y306" s="13" t="str">
        <f>IF($AX306="Cancelled","",IF(X306="","",IFERROR(IF(INDEX(Variables!$B$38:$B$47,MATCH(X306,Variables!$A$38:$A$47,0))="Yes","Yes","No"),"No")))</f>
        <v>No</v>
      </c>
      <c r="Z306" s="31"/>
      <c r="AB306" s="31">
        <v>45731.875</v>
      </c>
      <c r="AC306" s="13" t="str">
        <f t="shared" si="12"/>
        <v>Approved</v>
      </c>
      <c r="AF306" s="71">
        <f>AJ306-7</f>
        <v>45778</v>
      </c>
      <c r="AG306" s="36">
        <f>IF($AX306="Cancelled","",IFERROR(IF(F306="","",F306-Variables!$B$13),""))</f>
        <v>45762</v>
      </c>
      <c r="AH306" s="13">
        <f>IF($AX306="Cancelled","",IFERROR(IF(AB306="","",(AVERAGE(E306:F306)-AB306)-Variables!$B$14),""))</f>
        <v>0.625</v>
      </c>
      <c r="AJ306" s="47">
        <v>45785</v>
      </c>
      <c r="AK306" s="14">
        <f>IF($AX306="Cancelled","",IFERROR(IF(AJ306="","",IF(AND(AB306="",AF306=""),"",IF(AF306&gt;AB306,AF306+Variables!$B$15+Variables!$B$16+Variables!$B$17-AJ306,AB306+Variables!$B$16+Variables!$B$17-AJ306))),""))</f>
        <v>8</v>
      </c>
      <c r="AL306" s="48" t="s">
        <v>114</v>
      </c>
      <c r="AM306" s="13" t="s">
        <v>115</v>
      </c>
      <c r="AN306" s="13" t="s">
        <v>370</v>
      </c>
      <c r="AP306" s="31">
        <v>45789</v>
      </c>
      <c r="AR306" s="13">
        <v>253545561</v>
      </c>
      <c r="AS306" s="31">
        <v>45792</v>
      </c>
      <c r="AU306" s="31">
        <v>45805</v>
      </c>
      <c r="AV306" s="13" t="s">
        <v>1255</v>
      </c>
      <c r="AW306" s="31">
        <v>45807</v>
      </c>
      <c r="AX306" s="13" t="str">
        <f>IF(ISNUMBER(SEARCH("cancel",#REF!)),"Cancelled",IF(AND(AS306&lt;&gt;"",AU306&lt;&gt;"",AW306&lt;&gt;""),"Closed","Open"))</f>
        <v>Closed</v>
      </c>
      <c r="AY306" s="15" t="str">
        <f t="shared" si="13"/>
        <v>All dates received</v>
      </c>
      <c r="BD306" s="13">
        <f>IF($AX306="Cancelled","",IFERROR(IF(OR(AS306="",AJ306=""),"",(AJ306+Variables!$B$18-AS306)),""))</f>
        <v>8</v>
      </c>
      <c r="BE306" s="13">
        <f>IF($AX306="Cancelled","",IFERROR(IF(OR(AW306="",AS306=""),"",(AS306+Variables!$B$19)-AW306),""))</f>
        <v>-10</v>
      </c>
      <c r="BF306" s="44">
        <f>IF($AX306="Cancelled","",IFERROR(W306*INDEX(Variables!$B$7:$D$7,IFERROR(MATCH(IF($B306="Robusta","Robusta",(IF($B306="","Arabica",$B306))&amp;" - "&amp;(IF($C306="","Commercial",$C306))),Variables!$B$1:$D$1,0),1))*(BE306/365),""))</f>
        <v>-2.6550722889779781</v>
      </c>
      <c r="BG306" s="44">
        <f>IF($AX306="Cancelled","",IFERROR((W306*INDEX(Variables!$B$7:$D$7,IFERROR(MATCH(IF($B306="Robusta","Robusta",(IF($B306="","Arabica",$B306))&amp;" - "&amp;(IF($C306="","Commercial",$C306))),Variables!$B$1:$D$1,0),1))*IFERROR(IF(AB306="","",(AVERAGE(E306:F306)-AB306)-Variables!$B$14),"")/365)+(L306/16.67*INDEX(Variables!$B$8:$D$8,IFERROR(MATCH(IF($B306="Robusta","Robusta",(IF($B306="","Arabica",$B306))&amp;" - "&amp;(IF($C306="","Commercial",$C306))),Variables!$B$1:$D$1,0),1))*IFERROR(IF(AB306="","",(AVERAGE(E306:F306)-AB306)-Variables!$B$14),""))+(W306*INDEX(Variables!$B$9:$D$9,IFERROR(MATCH(IF($B306="Robusta","Robusta",(IF($B306="","Arabica",$B306))&amp;" - "&amp;(IF($C306="","Commercial",$C306))),Variables!$B$1:$D$1,0),1))*IFERROR(IF(AB306="","",(AVERAGE(E306:F306)-AB306)-Variables!$B$14),"")/365),""))</f>
        <v>0.26183133091977628</v>
      </c>
      <c r="BH306" s="44">
        <f>IF($AX306="Cancelled","",IFERROR((W306*INDEX(Variables!$B$7:$D$7,IFERROR(MATCH(IF($B306="Robusta","Robusta",(IF($B306="","Arabica",$B306))&amp;" - "&amp;(IF($C306="","Commercial",$C306))),Variables!$B$1:$D$1,0),1))*AK306/365)+(L306/16.67*INDEX(Variables!$B$8:$D$8,IFERROR(MATCH(IF($B306="Robusta","Robusta",(IF($B306="","Arabica",$B306))&amp;" - "&amp;(IF($C306="","Commercial",$C306))),Variables!$B$1:$D$1,0),1))*AK306)+(W306*INDEX(Variables!$B$9:$D$9,IFERROR(MATCH(IF($B306="Robusta","Robusta",(IF($B306="","Arabica",$B306))&amp;" - "&amp;(IF($C306="","Commercial",$C306))),Variables!$B$1:$D$1,0),1))*AK306/365),""))</f>
        <v>3.3514410357731363</v>
      </c>
      <c r="BI306" s="44">
        <f>IF($AX306="Cancelled","",IFERROR((W306*INDEX(Variables!$B$7:$D$7,IFERROR(MATCH(IF($B306="Robusta","Robusta",(IF($B306="","Arabica",$B306))&amp;" - "&amp;(IF($C306="","Commercial",$C306))),Variables!$B$1:$D$1,0),1))*BD306/365)+(L306/16.67*INDEX(Variables!$B$8:$D$8,IFERROR(MATCH(IF($B306="Robusta","Robusta",(IF($B306="","Arabica",$B306))&amp;" - "&amp;(IF($C306="","Commercial",$C306))),Variables!$B$1:$D$1,0),1))*BD306)+(W306*INDEX(Variables!$B$9:$D$9,IFERROR(MATCH(IF($B306="Robusta","Robusta",(IF($B306="","Arabica",$B306))&amp;" - "&amp;(IF($C306="","Commercial",$C306))),Variables!$B$1:$D$1,0),1))*BD306/365),""))</f>
        <v>3.3514410357731363</v>
      </c>
      <c r="BJ306" s="44">
        <f t="shared" si="14"/>
        <v>-15</v>
      </c>
      <c r="BK306" s="44">
        <f>IF($AX306="Cancelled","",IFERROR(IF(BJ306="","",(W306*INDEX(Variables!$B$7:$D$7,IFERROR(MATCH(IF($B306="Robusta","Robusta",(IF($B306="","Arabica",$B306))&amp;" - "&amp;(IF($C306="","Commercial",$C306))),Variables!$B$1:$D$1,0),1))*(BJ306/365))+(W306*INDEX(Variables!$B$9:$D$9,IFERROR(MATCH(IF($B306="Robusta","Robusta",(IF($B306="","Arabica",$B306))&amp;" - "&amp;(IF($C306="","Commercial",$C306))),Variables!$B$1:$D$1,0),1))*(BJ306/365))+(INDEX(Variables!$B$8:$D$8,IFERROR(MATCH(IF($B306="Robusta","Robusta",(IF($B306="","Arabica",$B306))&amp;" - "&amp;(IF($C306="","Commercial",$C306))),Variables!$B$1:$D$1,0),1))*L306/16.67)),""))</f>
        <v>-3.8839519420746309</v>
      </c>
    </row>
    <row r="307" spans="1:63">
      <c r="A307" s="13" t="s">
        <v>103</v>
      </c>
      <c r="B307" s="13" t="s">
        <v>104</v>
      </c>
      <c r="C307" s="13" t="s">
        <v>292</v>
      </c>
      <c r="D307" s="31">
        <v>45722</v>
      </c>
      <c r="E307" s="31">
        <v>45748</v>
      </c>
      <c r="F307" s="31">
        <v>45777</v>
      </c>
      <c r="G307" s="13">
        <v>3786794</v>
      </c>
      <c r="J307" s="13" t="s">
        <v>773</v>
      </c>
      <c r="K307" s="13" t="s">
        <v>968</v>
      </c>
      <c r="L307" s="13">
        <v>10</v>
      </c>
      <c r="M307" s="13">
        <v>0</v>
      </c>
      <c r="N307" s="13" t="s">
        <v>969</v>
      </c>
      <c r="O307" s="13" t="s">
        <v>771</v>
      </c>
      <c r="P307" s="13">
        <v>10010</v>
      </c>
      <c r="R307" s="13" t="s">
        <v>239</v>
      </c>
      <c r="S307" s="13" t="s">
        <v>776</v>
      </c>
      <c r="T307" s="13" t="s">
        <v>777</v>
      </c>
      <c r="U307" s="13" t="s">
        <v>125</v>
      </c>
      <c r="V307" s="13">
        <v>119</v>
      </c>
      <c r="W307" s="44">
        <f>IF($AX307="Cancelled","",IFERROR(((V307+INDEX(Variables!$B$6:$D$6,IFERROR(MATCH(IF($B307="Robusta","Robusta",(IF($B307="","Arabica",$B307))&amp;" - "&amp;(IF($C307="","Commercial",$C307))),Variables!$B$1:$D$1,0),1)))*22.0462)*(L307/16.67),""))</f>
        <v>5419.6357288542285</v>
      </c>
      <c r="X307" s="55" t="s">
        <v>39</v>
      </c>
      <c r="Y307" s="13" t="str">
        <f>IF($AX307="Cancelled","",IF(X307="","",IFERROR(IF(INDEX(Variables!$B$38:$B$47,MATCH(X307,Variables!$A$38:$A$47,0))="Yes","Yes","No"),"No")))</f>
        <v>No</v>
      </c>
      <c r="Z307" s="31"/>
      <c r="AB307" s="31">
        <v>45731.875</v>
      </c>
      <c r="AC307" s="13" t="str">
        <f t="shared" si="12"/>
        <v>Approved</v>
      </c>
      <c r="AF307" s="71">
        <f>AJ307-7</f>
        <v>45778</v>
      </c>
      <c r="AG307" s="36">
        <f>IF($AX307="Cancelled","",IFERROR(IF(F307="","",F307-Variables!$B$13),""))</f>
        <v>45762</v>
      </c>
      <c r="AH307" s="13">
        <f>IF($AX307="Cancelled","",IFERROR(IF(AB307="","",(AVERAGE(E307:F307)-AB307)-Variables!$B$14),""))</f>
        <v>0.625</v>
      </c>
      <c r="AJ307" s="47">
        <v>45785</v>
      </c>
      <c r="AK307" s="14">
        <f>IF($AX307="Cancelled","",IFERROR(IF(AJ307="","",IF(AND(AB307="",AF307=""),"",IF(AF307&gt;AB307,AF307+Variables!$B$15+Variables!$B$16+Variables!$B$17-AJ307,AB307+Variables!$B$16+Variables!$B$17-AJ307))),""))</f>
        <v>8</v>
      </c>
      <c r="AL307" s="48" t="s">
        <v>114</v>
      </c>
      <c r="AM307" s="13" t="s">
        <v>115</v>
      </c>
      <c r="AN307" s="13" t="s">
        <v>370</v>
      </c>
      <c r="AP307" s="31">
        <v>45789</v>
      </c>
      <c r="AR307" s="13">
        <v>253545561</v>
      </c>
      <c r="AS307" s="31">
        <v>45792</v>
      </c>
      <c r="AU307" s="31">
        <v>45805</v>
      </c>
      <c r="AV307" s="13" t="s">
        <v>1255</v>
      </c>
      <c r="AW307" s="31">
        <v>45807</v>
      </c>
      <c r="AX307" s="13" t="str">
        <f>IF(ISNUMBER(SEARCH("cancel",#REF!)),"Cancelled",IF(AND(AS307&lt;&gt;"",AU307&lt;&gt;"",AW307&lt;&gt;""),"Closed","Open"))</f>
        <v>Closed</v>
      </c>
      <c r="AY307" s="15" t="str">
        <f t="shared" si="13"/>
        <v>All dates received</v>
      </c>
      <c r="BD307" s="13">
        <f>IF($AX307="Cancelled","",IFERROR(IF(OR(AS307="",AJ307=""),"",(AJ307+Variables!$B$18-AS307)),""))</f>
        <v>8</v>
      </c>
      <c r="BE307" s="13">
        <f>IF($AX307="Cancelled","",IFERROR(IF(OR(AW307="",AS307=""),"",(AS307+Variables!$B$19)-AW307),""))</f>
        <v>-10</v>
      </c>
      <c r="BF307" s="44">
        <f>IF($AX307="Cancelled","",IFERROR(W307*INDEX(Variables!$B$7:$D$7,IFERROR(MATCH(IF($B307="Robusta","Robusta",(IF($B307="","Arabica",$B307))&amp;" - "&amp;(IF($C307="","Commercial",$C307))),Variables!$B$1:$D$1,0),1))*(BE307/365),""))</f>
        <v>-9.5745215067157297</v>
      </c>
      <c r="BG307" s="44">
        <f>IF($AX307="Cancelled","",IFERROR((W307*INDEX(Variables!$B$7:$D$7,IFERROR(MATCH(IF($B307="Robusta","Robusta",(IF($B307="","Arabica",$B307))&amp;" - "&amp;(IF($C307="","Commercial",$C307))),Variables!$B$1:$D$1,0),1))*IFERROR(IF(AB307="","",(AVERAGE(E307:F307)-AB307)-Variables!$B$14),"")/365)+(L307/16.67*INDEX(Variables!$B$8:$D$8,IFERROR(MATCH(IF($B307="Robusta","Robusta",(IF($B307="","Arabica",$B307))&amp;" - "&amp;(IF($C307="","Commercial",$C307))),Variables!$B$1:$D$1,0),1))*IFERROR(IF(AB307="","",(AVERAGE(E307:F307)-AB307)-Variables!$B$14),""))+(W307*INDEX(Variables!$B$9:$D$9,IFERROR(MATCH(IF($B307="Robusta","Robusta",(IF($B307="","Arabica",$B307))&amp;" - "&amp;(IF($C307="","Commercial",$C307))),Variables!$B$1:$D$1,0),1))*IFERROR(IF(AB307="","",(AVERAGE(E307:F307)-AB307)-Variables!$B$14),"")/365),""))</f>
        <v>0.91862222290500106</v>
      </c>
      <c r="BH307" s="44">
        <f>IF($AX307="Cancelled","",IFERROR((W307*INDEX(Variables!$B$7:$D$7,IFERROR(MATCH(IF($B307="Robusta","Robusta",(IF($B307="","Arabica",$B307))&amp;" - "&amp;(IF($C307="","Commercial",$C307))),Variables!$B$1:$D$1,0),1))*AK307/365)+(L307/16.67*INDEX(Variables!$B$8:$D$8,IFERROR(MATCH(IF($B307="Robusta","Robusta",(IF($B307="","Arabica",$B307))&amp;" - "&amp;(IF($C307="","Commercial",$C307))),Variables!$B$1:$D$1,0),1))*AK307)+(W307*INDEX(Variables!$B$9:$D$9,IFERROR(MATCH(IF($B307="Robusta","Robusta",(IF($B307="","Arabica",$B307))&amp;" - "&amp;(IF($C307="","Commercial",$C307))),Variables!$B$1:$D$1,0),1))*AK307/365),""))</f>
        <v>11.758364453184015</v>
      </c>
      <c r="BI307" s="44">
        <f>IF($AX307="Cancelled","",IFERROR((W307*INDEX(Variables!$B$7:$D$7,IFERROR(MATCH(IF($B307="Robusta","Robusta",(IF($B307="","Arabica",$B307))&amp;" - "&amp;(IF($C307="","Commercial",$C307))),Variables!$B$1:$D$1,0),1))*BD307/365)+(L307/16.67*INDEX(Variables!$B$8:$D$8,IFERROR(MATCH(IF($B307="Robusta","Robusta",(IF($B307="","Arabica",$B307))&amp;" - "&amp;(IF($C307="","Commercial",$C307))),Variables!$B$1:$D$1,0),1))*BD307)+(W307*INDEX(Variables!$B$9:$D$9,IFERROR(MATCH(IF($B307="Robusta","Robusta",(IF($B307="","Arabica",$B307))&amp;" - "&amp;(IF($C307="","Commercial",$C307))),Variables!$B$1:$D$1,0),1))*BD307/365),""))</f>
        <v>11.758364453184015</v>
      </c>
      <c r="BJ307" s="44">
        <f t="shared" si="14"/>
        <v>-15</v>
      </c>
      <c r="BK307" s="44">
        <f>IF($AX307="Cancelled","",IFERROR(IF(BJ307="","",(W307*INDEX(Variables!$B$7:$D$7,IFERROR(MATCH(IF($B307="Robusta","Robusta",(IF($B307="","Arabica",$B307))&amp;" - "&amp;(IF($C307="","Commercial",$C307))),Variables!$B$1:$D$1,0),1))*(BJ307/365))+(W307*INDEX(Variables!$B$9:$D$9,IFERROR(MATCH(IF($B307="Robusta","Robusta",(IF($B307="","Arabica",$B307))&amp;" - "&amp;(IF($C307="","Commercial",$C307))),Variables!$B$1:$D$1,0),1))*(BJ307/365))+(INDEX(Variables!$B$8:$D$8,IFERROR(MATCH(IF($B307="Robusta","Robusta",(IF($B307="","Arabica",$B307))&amp;" - "&amp;(IF($C307="","Commercial",$C307))),Variables!$B$1:$D$1,0),1))*L307/16.67)),""))</f>
        <v>-14.046933349720026</v>
      </c>
    </row>
    <row r="308" spans="1:63">
      <c r="A308" s="13" t="s">
        <v>103</v>
      </c>
      <c r="B308" s="13" t="s">
        <v>104</v>
      </c>
      <c r="C308" s="13" t="s">
        <v>292</v>
      </c>
      <c r="D308" s="31">
        <v>45722</v>
      </c>
      <c r="E308" s="31">
        <v>45748</v>
      </c>
      <c r="F308" s="31">
        <v>45777</v>
      </c>
      <c r="G308" s="13">
        <v>3786795</v>
      </c>
      <c r="J308" s="13" t="s">
        <v>773</v>
      </c>
      <c r="K308" s="13" t="s">
        <v>970</v>
      </c>
      <c r="L308" s="13">
        <v>15</v>
      </c>
      <c r="M308" s="13">
        <v>0</v>
      </c>
      <c r="N308" s="13" t="s">
        <v>971</v>
      </c>
      <c r="O308" s="13" t="s">
        <v>925</v>
      </c>
      <c r="P308" s="13">
        <v>10020</v>
      </c>
      <c r="R308" s="13" t="s">
        <v>239</v>
      </c>
      <c r="S308" s="13" t="s">
        <v>776</v>
      </c>
      <c r="T308" s="13" t="s">
        <v>777</v>
      </c>
      <c r="U308" s="13" t="s">
        <v>125</v>
      </c>
      <c r="V308" s="13">
        <v>91</v>
      </c>
      <c r="W308" s="44">
        <f>IF($AX308="Cancelled","",IFERROR(((V308+INDEX(Variables!$B$6:$D$6,IFERROR(MATCH(IF($B308="Robusta","Robusta",(IF($B308="","Arabica",$B308))&amp;" - "&amp;(IF($C308="","Commercial",$C308))),Variables!$B$1:$D$1,0),1)))*22.0462)*(L308/16.67),""))</f>
        <v>7574.0004439112163</v>
      </c>
      <c r="X308" s="55" t="s">
        <v>39</v>
      </c>
      <c r="Y308" s="13" t="str">
        <f>IF($AX308="Cancelled","",IF(X308="","",IFERROR(IF(INDEX(Variables!$B$38:$B$47,MATCH(X308,Variables!$A$38:$A$47,0))="Yes","Yes","No"),"No")))</f>
        <v>No</v>
      </c>
      <c r="Z308" s="31"/>
      <c r="AB308" s="31">
        <v>45731.875</v>
      </c>
      <c r="AC308" s="13" t="str">
        <f t="shared" si="12"/>
        <v>Approved</v>
      </c>
      <c r="AF308" s="71">
        <f>AJ308-7</f>
        <v>45778</v>
      </c>
      <c r="AG308" s="36">
        <f>IF($AX308="Cancelled","",IFERROR(IF(F308="","",F308-Variables!$B$13),""))</f>
        <v>45762</v>
      </c>
      <c r="AH308" s="13">
        <f>IF($AX308="Cancelled","",IFERROR(IF(AB308="","",(AVERAGE(E308:F308)-AB308)-Variables!$B$14),""))</f>
        <v>0.625</v>
      </c>
      <c r="AJ308" s="47">
        <v>45785</v>
      </c>
      <c r="AK308" s="14">
        <f>IF($AX308="Cancelled","",IFERROR(IF(AJ308="","",IF(AND(AB308="",AF308=""),"",IF(AF308&gt;AB308,AF308+Variables!$B$15+Variables!$B$16+Variables!$B$17-AJ308,AB308+Variables!$B$16+Variables!$B$17-AJ308))),""))</f>
        <v>8</v>
      </c>
      <c r="AL308" s="48" t="s">
        <v>114</v>
      </c>
      <c r="AM308" s="13" t="s">
        <v>115</v>
      </c>
      <c r="AN308" s="13" t="s">
        <v>370</v>
      </c>
      <c r="AP308" s="31">
        <v>45789</v>
      </c>
      <c r="AR308" s="13">
        <v>253545561</v>
      </c>
      <c r="AS308" s="31">
        <v>45792</v>
      </c>
      <c r="AU308" s="31">
        <v>45805</v>
      </c>
      <c r="AV308" s="13" t="s">
        <v>1255</v>
      </c>
      <c r="AW308" s="31">
        <v>45807</v>
      </c>
      <c r="AX308" s="13" t="str">
        <f>IF(ISNUMBER(SEARCH("cancel",#REF!)),"Cancelled",IF(AND(AS308&lt;&gt;"",AU308&lt;&gt;"",AW308&lt;&gt;""),"Closed","Open"))</f>
        <v>Closed</v>
      </c>
      <c r="AY308" s="15" t="str">
        <f t="shared" si="13"/>
        <v>All dates received</v>
      </c>
      <c r="BD308" s="13">
        <f>IF($AX308="Cancelled","",IFERROR(IF(OR(AS308="",AJ308=""),"",(AJ308+Variables!$B$18-AS308)),""))</f>
        <v>8</v>
      </c>
      <c r="BE308" s="13">
        <f>IF($AX308="Cancelled","",IFERROR(IF(OR(AW308="",AS308=""),"",(AS308+Variables!$B$19)-AW308),""))</f>
        <v>-10</v>
      </c>
      <c r="BF308" s="44">
        <f>IF($AX308="Cancelled","",IFERROR(W308*INDEX(Variables!$B$7:$D$7,IFERROR(MATCH(IF($B308="Robusta","Robusta",(IF($B308="","Arabica",$B308))&amp;" - "&amp;(IF($C308="","Commercial",$C308))),Variables!$B$1:$D$1,0),1))*(BE308/365),""))</f>
        <v>-13.380498943133475</v>
      </c>
      <c r="BG308" s="44">
        <f>IF($AX308="Cancelled","",IFERROR((W308*INDEX(Variables!$B$7:$D$7,IFERROR(MATCH(IF($B308="Robusta","Robusta",(IF($B308="","Arabica",$B308))&amp;" - "&amp;(IF($C308="","Commercial",$C308))),Variables!$B$1:$D$1,0),1))*IFERROR(IF(AB308="","",(AVERAGE(E308:F308)-AB308)-Variables!$B$14),"")/365)+(L308/16.67*INDEX(Variables!$B$8:$D$8,IFERROR(MATCH(IF($B308="Robusta","Robusta",(IF($B308="","Arabica",$B308))&amp;" - "&amp;(IF($C308="","Commercial",$C308))),Variables!$B$1:$D$1,0),1))*IFERROR(IF(AB308="","",(AVERAGE(E308:F308)-AB308)-Variables!$B$14),""))+(W308*INDEX(Variables!$B$9:$D$9,IFERROR(MATCH(IF($B308="Robusta","Robusta",(IF($B308="","Arabica",$B308))&amp;" - "&amp;(IF($C308="","Commercial",$C308))),Variables!$B$1:$D$1,0),1))*IFERROR(IF(AB308="","",(AVERAGE(E308:F308)-AB308)-Variables!$B$14),"")/365),""))</f>
        <v>1.3158124623174576</v>
      </c>
      <c r="BH308" s="44">
        <f>IF($AX308="Cancelled","",IFERROR((W308*INDEX(Variables!$B$7:$D$7,IFERROR(MATCH(IF($B308="Robusta","Robusta",(IF($B308="","Arabica",$B308))&amp;" - "&amp;(IF($C308="","Commercial",$C308))),Variables!$B$1:$D$1,0),1))*AK308/365)+(L308/16.67*INDEX(Variables!$B$8:$D$8,IFERROR(MATCH(IF($B308="Robusta","Robusta",(IF($B308="","Arabica",$B308))&amp;" - "&amp;(IF($C308="","Commercial",$C308))),Variables!$B$1:$D$1,0),1))*AK308)+(W308*INDEX(Variables!$B$9:$D$9,IFERROR(MATCH(IF($B308="Robusta","Robusta",(IF($B308="","Arabica",$B308))&amp;" - "&amp;(IF($C308="","Commercial",$C308))),Variables!$B$1:$D$1,0),1))*AK308/365),""))</f>
        <v>16.842399517663459</v>
      </c>
      <c r="BI308" s="44">
        <f>IF($AX308="Cancelled","",IFERROR((W308*INDEX(Variables!$B$7:$D$7,IFERROR(MATCH(IF($B308="Robusta","Robusta",(IF($B308="","Arabica",$B308))&amp;" - "&amp;(IF($C308="","Commercial",$C308))),Variables!$B$1:$D$1,0),1))*BD308/365)+(L308/16.67*INDEX(Variables!$B$8:$D$8,IFERROR(MATCH(IF($B308="Robusta","Robusta",(IF($B308="","Arabica",$B308))&amp;" - "&amp;(IF($C308="","Commercial",$C308))),Variables!$B$1:$D$1,0),1))*BD308)+(W308*INDEX(Variables!$B$9:$D$9,IFERROR(MATCH(IF($B308="Robusta","Robusta",(IF($B308="","Arabica",$B308))&amp;" - "&amp;(IF($C308="","Commercial",$C308))),Variables!$B$1:$D$1,0),1))*BD308/365),""))</f>
        <v>16.842399517663459</v>
      </c>
      <c r="BJ308" s="44">
        <f t="shared" si="14"/>
        <v>-15</v>
      </c>
      <c r="BK308" s="44">
        <f>IF($AX308="Cancelled","",IFERROR(IF(BJ308="","",(W308*INDEX(Variables!$B$7:$D$7,IFERROR(MATCH(IF($B308="Robusta","Robusta",(IF($B308="","Arabica",$B308))&amp;" - "&amp;(IF($C308="","Commercial",$C308))),Variables!$B$1:$D$1,0),1))*(BJ308/365))+(W308*INDEX(Variables!$B$9:$D$9,IFERROR(MATCH(IF($B308="Robusta","Robusta",(IF($B308="","Arabica",$B308))&amp;" - "&amp;(IF($C308="","Commercial",$C308))),Variables!$B$1:$D$1,0),1))*(BJ308/365))+(INDEX(Variables!$B$8:$D$8,IFERROR(MATCH(IF($B308="Robusta","Robusta",(IF($B308="","Arabica",$B308))&amp;" - "&amp;(IF($C308="","Commercial",$C308))),Variables!$B$1:$D$1,0),1))*L308/16.67)),""))</f>
        <v>-19.579499095618981</v>
      </c>
    </row>
    <row r="309" spans="1:63">
      <c r="A309" s="13" t="s">
        <v>103</v>
      </c>
      <c r="B309" s="13" t="s">
        <v>104</v>
      </c>
      <c r="C309" s="13" t="s">
        <v>292</v>
      </c>
      <c r="D309" s="31">
        <v>45722</v>
      </c>
      <c r="E309" s="31">
        <v>45748</v>
      </c>
      <c r="F309" s="31">
        <v>45777</v>
      </c>
      <c r="G309" s="13">
        <v>3786796</v>
      </c>
      <c r="J309" s="13" t="s">
        <v>773</v>
      </c>
      <c r="K309" s="13" t="s">
        <v>972</v>
      </c>
      <c r="L309" s="13">
        <v>45</v>
      </c>
      <c r="M309" s="13">
        <v>0</v>
      </c>
      <c r="N309" s="13" t="s">
        <v>973</v>
      </c>
      <c r="O309" s="13" t="s">
        <v>771</v>
      </c>
      <c r="P309" s="13">
        <v>10010</v>
      </c>
      <c r="R309" s="13" t="s">
        <v>239</v>
      </c>
      <c r="S309" s="13" t="s">
        <v>776</v>
      </c>
      <c r="T309" s="13" t="s">
        <v>777</v>
      </c>
      <c r="U309" s="13" t="s">
        <v>125</v>
      </c>
      <c r="V309" s="13">
        <v>95</v>
      </c>
      <c r="W309" s="44">
        <f>IF($AX309="Cancelled","",IFERROR(((V309+INDEX(Variables!$B$6:$D$6,IFERROR(MATCH(IF($B309="Robusta","Robusta",(IF($B309="","Arabica",$B309))&amp;" - "&amp;(IF($C309="","Commercial",$C309))),Variables!$B$1:$D$1,0),1)))*22.0462)*(L309/16.67),""))</f>
        <v>22960.052681463705</v>
      </c>
      <c r="X309" s="55" t="s">
        <v>39</v>
      </c>
      <c r="Y309" s="13" t="str">
        <f>IF($AX309="Cancelled","",IF(X309="","",IFERROR(IF(INDEX(Variables!$B$38:$B$47,MATCH(X309,Variables!$A$38:$A$47,0))="Yes","Yes","No"),"No")))</f>
        <v>No</v>
      </c>
      <c r="Z309" s="31"/>
      <c r="AB309" s="31">
        <v>45731.875</v>
      </c>
      <c r="AC309" s="13" t="str">
        <f t="shared" si="12"/>
        <v>Approved</v>
      </c>
      <c r="AF309" s="71">
        <f>AJ309-7</f>
        <v>45778</v>
      </c>
      <c r="AG309" s="36">
        <f>IF($AX309="Cancelled","",IFERROR(IF(F309="","",F309-Variables!$B$13),""))</f>
        <v>45762</v>
      </c>
      <c r="AH309" s="13">
        <f>IF($AX309="Cancelled","",IFERROR(IF(AB309="","",(AVERAGE(E309:F309)-AB309)-Variables!$B$14),""))</f>
        <v>0.625</v>
      </c>
      <c r="AJ309" s="47">
        <v>45785</v>
      </c>
      <c r="AK309" s="14">
        <f>IF($AX309="Cancelled","",IFERROR(IF(AJ309="","",IF(AND(AB309="",AF309=""),"",IF(AF309&gt;AB309,AF309+Variables!$B$15+Variables!$B$16+Variables!$B$17-AJ309,AB309+Variables!$B$16+Variables!$B$17-AJ309))),""))</f>
        <v>8</v>
      </c>
      <c r="AL309" s="48" t="s">
        <v>114</v>
      </c>
      <c r="AM309" s="13" t="s">
        <v>115</v>
      </c>
      <c r="AN309" s="13" t="s">
        <v>370</v>
      </c>
      <c r="AP309" s="31">
        <v>45789</v>
      </c>
      <c r="AR309" s="13">
        <v>253545561</v>
      </c>
      <c r="AS309" s="31">
        <v>45792</v>
      </c>
      <c r="AU309" s="31">
        <v>45805</v>
      </c>
      <c r="AV309" s="13" t="s">
        <v>1255</v>
      </c>
      <c r="AW309" s="31">
        <v>45807</v>
      </c>
      <c r="AX309" s="13" t="str">
        <f>IF(ISNUMBER(SEARCH("cancel",#REF!)),"Cancelled",IF(AND(AS309&lt;&gt;"",AU309&lt;&gt;"",AW309&lt;&gt;""),"Closed","Open"))</f>
        <v>Closed</v>
      </c>
      <c r="AY309" s="15" t="str">
        <f t="shared" si="13"/>
        <v>All dates received</v>
      </c>
      <c r="BD309" s="13">
        <f>IF($AX309="Cancelled","",IFERROR(IF(OR(AS309="",AJ309=""),"",(AJ309+Variables!$B$18-AS309)),""))</f>
        <v>8</v>
      </c>
      <c r="BE309" s="13">
        <f>IF($AX309="Cancelled","",IFERROR(IF(OR(AW309="",AS309=""),"",(AS309+Variables!$B$19)-AW309),""))</f>
        <v>-10</v>
      </c>
      <c r="BF309" s="44">
        <f>IF($AX309="Cancelled","",IFERROR(W309*INDEX(Variables!$B$7:$D$7,IFERROR(MATCH(IF($B309="Robusta","Robusta",(IF($B309="","Arabica",$B309))&amp;" - "&amp;(IF($C309="","Commercial",$C309))),Variables!$B$1:$D$1,0),1))*(BE309/365),""))</f>
        <v>-40.562046822374768</v>
      </c>
      <c r="BG309" s="44">
        <f>IF($AX309="Cancelled","",IFERROR((W309*INDEX(Variables!$B$7:$D$7,IFERROR(MATCH(IF($B309="Robusta","Robusta",(IF($B309="","Arabica",$B309))&amp;" - "&amp;(IF($C309="","Commercial",$C309))),Variables!$B$1:$D$1,0),1))*IFERROR(IF(AB309="","",(AVERAGE(E309:F309)-AB309)-Variables!$B$14),"")/365)+(L309/16.67*INDEX(Variables!$B$8:$D$8,IFERROR(MATCH(IF($B309="Robusta","Robusta",(IF($B309="","Arabica",$B309))&amp;" - "&amp;(IF($C309="","Commercial",$C309))),Variables!$B$1:$D$1,0),1))*IFERROR(IF(AB309="","",(AVERAGE(E309:F309)-AB309)-Variables!$B$14),""))+(W309*INDEX(Variables!$B$9:$D$9,IFERROR(MATCH(IF($B309="Robusta","Robusta",(IF($B309="","Arabica",$B309))&amp;" - "&amp;(IF($C309="","Commercial",$C309))),Variables!$B$1:$D$1,0),1))*IFERROR(IF(AB309="","",(AVERAGE(E309:F309)-AB309)-Variables!$B$14),"")/365),""))</f>
        <v>3.9740606178266775</v>
      </c>
      <c r="BH309" s="44">
        <f>IF($AX309="Cancelled","",IFERROR((W309*INDEX(Variables!$B$7:$D$7,IFERROR(MATCH(IF($B309="Robusta","Robusta",(IF($B309="","Arabica",$B309))&amp;" - "&amp;(IF($C309="","Commercial",$C309))),Variables!$B$1:$D$1,0),1))*AK309/365)+(L309/16.67*INDEX(Variables!$B$8:$D$8,IFERROR(MATCH(IF($B309="Robusta","Robusta",(IF($B309="","Arabica",$B309))&amp;" - "&amp;(IF($C309="","Commercial",$C309))),Variables!$B$1:$D$1,0),1))*AK309)+(W309*INDEX(Variables!$B$9:$D$9,IFERROR(MATCH(IF($B309="Robusta","Robusta",(IF($B309="","Arabica",$B309))&amp;" - "&amp;(IF($C309="","Commercial",$C309))),Variables!$B$1:$D$1,0),1))*AK309/365),""))</f>
        <v>50.867975908181471</v>
      </c>
      <c r="BI309" s="44">
        <f>IF($AX309="Cancelled","",IFERROR((W309*INDEX(Variables!$B$7:$D$7,IFERROR(MATCH(IF($B309="Robusta","Robusta",(IF($B309="","Arabica",$B309))&amp;" - "&amp;(IF($C309="","Commercial",$C309))),Variables!$B$1:$D$1,0),1))*BD309/365)+(L309/16.67*INDEX(Variables!$B$8:$D$8,IFERROR(MATCH(IF($B309="Robusta","Robusta",(IF($B309="","Arabica",$B309))&amp;" - "&amp;(IF($C309="","Commercial",$C309))),Variables!$B$1:$D$1,0),1))*BD309)+(W309*INDEX(Variables!$B$9:$D$9,IFERROR(MATCH(IF($B309="Robusta","Robusta",(IF($B309="","Arabica",$B309))&amp;" - "&amp;(IF($C309="","Commercial",$C309))),Variables!$B$1:$D$1,0),1))*BD309/365),""))</f>
        <v>50.867975908181471</v>
      </c>
      <c r="BJ309" s="44">
        <f t="shared" si="14"/>
        <v>-15</v>
      </c>
      <c r="BK309" s="44">
        <f>IF($AX309="Cancelled","",IFERROR(IF(BJ309="","",(W309*INDEX(Variables!$B$7:$D$7,IFERROR(MATCH(IF($B309="Robusta","Robusta",(IF($B309="","Arabica",$B309))&amp;" - "&amp;(IF($C309="","Commercial",$C309))),Variables!$B$1:$D$1,0),1))*(BJ309/365))+(W309*INDEX(Variables!$B$9:$D$9,IFERROR(MATCH(IF($B309="Robusta","Robusta",(IF($B309="","Arabica",$B309))&amp;" - "&amp;(IF($C309="","Commercial",$C309))),Variables!$B$1:$D$1,0),1))*(BJ309/365))+(INDEX(Variables!$B$8:$D$8,IFERROR(MATCH(IF($B309="Robusta","Robusta",(IF($B309="","Arabica",$B309))&amp;" - "&amp;(IF($C309="","Commercial",$C309))),Variables!$B$1:$D$1,0),1))*L309/16.67)),""))</f>
        <v>-59.377454827840268</v>
      </c>
    </row>
    <row r="310" spans="1:63">
      <c r="A310" s="13" t="s">
        <v>103</v>
      </c>
      <c r="B310" s="13" t="s">
        <v>104</v>
      </c>
      <c r="C310" s="13" t="s">
        <v>292</v>
      </c>
      <c r="D310" s="31">
        <v>45722</v>
      </c>
      <c r="E310" s="31">
        <v>45717</v>
      </c>
      <c r="F310" s="31">
        <v>45747</v>
      </c>
      <c r="G310" s="13">
        <v>3786797</v>
      </c>
      <c r="H310" s="13" t="s">
        <v>974</v>
      </c>
      <c r="J310" s="13" t="s">
        <v>294</v>
      </c>
      <c r="K310" s="13" t="s">
        <v>975</v>
      </c>
      <c r="L310" s="13">
        <v>16</v>
      </c>
      <c r="M310" s="13">
        <v>1</v>
      </c>
      <c r="N310" s="13" t="s">
        <v>976</v>
      </c>
      <c r="O310" s="13" t="s">
        <v>771</v>
      </c>
      <c r="P310" s="13">
        <v>10010</v>
      </c>
      <c r="R310" s="13" t="s">
        <v>384</v>
      </c>
      <c r="S310" s="13" t="s">
        <v>977</v>
      </c>
      <c r="T310" s="13" t="s">
        <v>438</v>
      </c>
      <c r="U310" s="13" t="s">
        <v>182</v>
      </c>
      <c r="V310" s="13">
        <v>75</v>
      </c>
      <c r="W310" s="44">
        <f>IF($AX310="Cancelled","",IFERROR(((V310+INDEX(Variables!$B$6:$D$6,IFERROR(MATCH(IF($B310="Robusta","Robusta",(IF($B310="","Arabica",$B310))&amp;" - "&amp;(IF($C310="","Commercial",$C310))),Variables!$B$1:$D$1,0),1)))*22.0462)*(L310/16.67),""))</f>
        <v>7740.3718872225545</v>
      </c>
      <c r="X310" s="55" t="s">
        <v>39</v>
      </c>
      <c r="Y310" s="13" t="str">
        <f>IF($AX310="Cancelled","",IF(X310="","",IFERROR(IF(INDEX(Variables!$B$38:$B$47,MATCH(X310,Variables!$A$38:$A$47,0))="Yes","Yes","No"),"No")))</f>
        <v>No</v>
      </c>
      <c r="Z310" s="31"/>
      <c r="AB310" s="31">
        <v>45702.875</v>
      </c>
      <c r="AC310" s="13" t="str">
        <f t="shared" si="12"/>
        <v>Approved</v>
      </c>
      <c r="AF310" s="71">
        <f>AJ310-7</f>
        <v>45748</v>
      </c>
      <c r="AG310" s="36">
        <f>IF($AX310="Cancelled","",IFERROR(IF(F310="","",F310-Variables!$B$13),""))</f>
        <v>45732</v>
      </c>
      <c r="AH310" s="13">
        <f>IF($AX310="Cancelled","",IFERROR(IF(AB310="","",(AVERAGE(E310:F310)-AB310)-Variables!$B$14),""))</f>
        <v>-0.875</v>
      </c>
      <c r="AJ310" s="47">
        <v>45755</v>
      </c>
      <c r="AK310" s="14">
        <f>IF($AX310="Cancelled","",IFERROR(IF(AJ310="","",IF(AND(AB310="",AF310=""),"",IF(AF310&gt;AB310,AF310+Variables!$B$15+Variables!$B$16+Variables!$B$17-AJ310,AB310+Variables!$B$16+Variables!$B$17-AJ310))),""))</f>
        <v>8</v>
      </c>
      <c r="AL310" s="48" t="s">
        <v>864</v>
      </c>
      <c r="AM310" s="13" t="s">
        <v>115</v>
      </c>
      <c r="AN310" s="13" t="s">
        <v>899</v>
      </c>
      <c r="AP310" s="31">
        <v>45764</v>
      </c>
      <c r="AR310" s="13">
        <v>252042698</v>
      </c>
      <c r="AS310" s="31">
        <v>45767</v>
      </c>
      <c r="AU310" s="31">
        <v>45775</v>
      </c>
      <c r="AV310" s="13" t="s">
        <v>3269</v>
      </c>
      <c r="AW310" s="31">
        <v>45804</v>
      </c>
      <c r="AX310" s="13" t="str">
        <f>IF(ISNUMBER(SEARCH("cancel",#REF!)),"Cancelled",IF(AND(AS310&lt;&gt;"",AU310&lt;&gt;"",AW310&lt;&gt;""),"Closed","Open"))</f>
        <v>Closed</v>
      </c>
      <c r="AY310" s="15" t="str">
        <f t="shared" si="13"/>
        <v>All dates received</v>
      </c>
      <c r="BD310" s="13">
        <f>IF($AX310="Cancelled","",IFERROR(IF(OR(AS310="",AJ310=""),"",(AJ310+Variables!$B$18-AS310)),""))</f>
        <v>3</v>
      </c>
      <c r="BE310" s="13">
        <f>IF($AX310="Cancelled","",IFERROR(IF(OR(AW310="",AS310=""),"",(AS310+Variables!$B$19)-AW310),""))</f>
        <v>-32</v>
      </c>
      <c r="BF310" s="44">
        <f>IF($AX310="Cancelled","",IFERROR(W310*INDEX(Variables!$B$7:$D$7,IFERROR(MATCH(IF($B310="Robusta","Robusta",(IF($B310="","Arabica",$B310))&amp;" - "&amp;(IF($C310="","Commercial",$C310))),Variables!$B$1:$D$1,0),1))*(BE310/365),""))</f>
        <v>-43.758133313425731</v>
      </c>
      <c r="BG310" s="44">
        <f>IF($AX310="Cancelled","",IFERROR((W310*INDEX(Variables!$B$7:$D$7,IFERROR(MATCH(IF($B310="Robusta","Robusta",(IF($B310="","Arabica",$B310))&amp;" - "&amp;(IF($C310="","Commercial",$C310))),Variables!$B$1:$D$1,0),1))*IFERROR(IF(AB310="","",(AVERAGE(E310:F310)-AB310)-Variables!$B$14),"")/365)+(L310/16.67*INDEX(Variables!$B$8:$D$8,IFERROR(MATCH(IF($B310="Robusta","Robusta",(IF($B310="","Arabica",$B310))&amp;" - "&amp;(IF($C310="","Commercial",$C310))),Variables!$B$1:$D$1,0),1))*IFERROR(IF(AB310="","",(AVERAGE(E310:F310)-AB310)-Variables!$B$14),""))+(W310*INDEX(Variables!$B$9:$D$9,IFERROR(MATCH(IF($B310="Robusta","Robusta",(IF($B310="","Arabica",$B310))&amp;" - "&amp;(IF($C310="","Commercial",$C310))),Variables!$B$1:$D$1,0),1))*IFERROR(IF(AB310="","",(AVERAGE(E310:F310)-AB310)-Variables!$B$14),"")/365),""))</f>
        <v>-1.9119367995865659</v>
      </c>
      <c r="BH310" s="44">
        <f>IF($AX310="Cancelled","",IFERROR((W310*INDEX(Variables!$B$7:$D$7,IFERROR(MATCH(IF($B310="Robusta","Robusta",(IF($B310="","Arabica",$B310))&amp;" - "&amp;(IF($C310="","Commercial",$C310))),Variables!$B$1:$D$1,0),1))*AK310/365)+(L310/16.67*INDEX(Variables!$B$8:$D$8,IFERROR(MATCH(IF($B310="Robusta","Robusta",(IF($B310="","Arabica",$B310))&amp;" - "&amp;(IF($C310="","Commercial",$C310))),Variables!$B$1:$D$1,0),1))*AK310)+(W310*INDEX(Variables!$B$9:$D$9,IFERROR(MATCH(IF($B310="Robusta","Robusta",(IF($B310="","Arabica",$B310))&amp;" - "&amp;(IF($C310="","Commercial",$C310))),Variables!$B$1:$D$1,0),1))*AK310/365),""))</f>
        <v>17.48056502479146</v>
      </c>
      <c r="BI310" s="44">
        <f>IF($AX310="Cancelled","",IFERROR((W310*INDEX(Variables!$B$7:$D$7,IFERROR(MATCH(IF($B310="Robusta","Robusta",(IF($B310="","Arabica",$B310))&amp;" - "&amp;(IF($C310="","Commercial",$C310))),Variables!$B$1:$D$1,0),1))*BD310/365)+(L310/16.67*INDEX(Variables!$B$8:$D$8,IFERROR(MATCH(IF($B310="Robusta","Robusta",(IF($B310="","Arabica",$B310))&amp;" - "&amp;(IF($C310="","Commercial",$C310))),Variables!$B$1:$D$1,0),1))*BD310)+(W310*INDEX(Variables!$B$9:$D$9,IFERROR(MATCH(IF($B310="Robusta","Robusta",(IF($B310="","Arabica",$B310))&amp;" - "&amp;(IF($C310="","Commercial",$C310))),Variables!$B$1:$D$1,0),1))*BD310/365),""))</f>
        <v>6.5552118842967975</v>
      </c>
      <c r="BJ310" s="44">
        <f t="shared" si="14"/>
        <v>-20</v>
      </c>
      <c r="BK310" s="44">
        <f>IF($AX310="Cancelled","",IFERROR(IF(BJ310="","",(W310*INDEX(Variables!$B$7:$D$7,IFERROR(MATCH(IF($B310="Robusta","Robusta",(IF($B310="","Arabica",$B310))&amp;" - "&amp;(IF($C310="","Commercial",$C310))),Variables!$B$1:$D$1,0),1))*(BJ310/365))+(W310*INDEX(Variables!$B$9:$D$9,IFERROR(MATCH(IF($B310="Robusta","Robusta",(IF($B310="","Arabica",$B310))&amp;" - "&amp;(IF($C310="","Commercial",$C310))),Variables!$B$1:$D$1,0),1))*(BJ310/365))+(INDEX(Variables!$B$8:$D$8,IFERROR(MATCH(IF($B310="Robusta","Robusta",(IF($B310="","Arabica",$B310))&amp;" - "&amp;(IF($C310="","Commercial",$C310))),Variables!$B$1:$D$1,0),1))*L310/16.67)),""))</f>
        <v>-26.901412561978645</v>
      </c>
    </row>
    <row r="311" spans="1:63">
      <c r="A311" s="13" t="s">
        <v>103</v>
      </c>
      <c r="B311" s="13" t="s">
        <v>104</v>
      </c>
      <c r="C311" s="13" t="s">
        <v>292</v>
      </c>
      <c r="D311" s="31">
        <v>45722</v>
      </c>
      <c r="E311" s="31">
        <v>45717</v>
      </c>
      <c r="F311" s="31">
        <v>45747</v>
      </c>
      <c r="G311" s="13">
        <v>3786798</v>
      </c>
      <c r="H311" s="13" t="s">
        <v>978</v>
      </c>
      <c r="J311" s="13" t="s">
        <v>294</v>
      </c>
      <c r="K311" s="13" t="s">
        <v>979</v>
      </c>
      <c r="L311" s="13">
        <v>17</v>
      </c>
      <c r="M311" s="13">
        <v>0</v>
      </c>
      <c r="N311" s="13" t="s">
        <v>980</v>
      </c>
      <c r="O311" s="13" t="s">
        <v>771</v>
      </c>
      <c r="P311" s="13">
        <v>10010</v>
      </c>
      <c r="R311" s="13" t="s">
        <v>384</v>
      </c>
      <c r="S311" s="13" t="s">
        <v>977</v>
      </c>
      <c r="T311" s="13" t="s">
        <v>438</v>
      </c>
      <c r="U311" s="13" t="s">
        <v>182</v>
      </c>
      <c r="V311" s="13">
        <v>81.05</v>
      </c>
      <c r="W311" s="44">
        <f>IF($AX311="Cancelled","",IFERROR(((V311+INDEX(Variables!$B$6:$D$6,IFERROR(MATCH(IF($B311="Robusta","Robusta",(IF($B311="","Arabica",$B311))&amp;" - "&amp;(IF($C311="","Commercial",$C311))),Variables!$B$1:$D$1,0),1)))*22.0462)*(L311/16.67),""))</f>
        <v>8360.1650263947213</v>
      </c>
      <c r="X311" s="55" t="s">
        <v>39</v>
      </c>
      <c r="Y311" s="13" t="str">
        <f>IF($AX311="Cancelled","",IF(X311="","",IFERROR(IF(INDEX(Variables!$B$38:$B$47,MATCH(X311,Variables!$A$38:$A$47,0))="Yes","Yes","No"),"No")))</f>
        <v>No</v>
      </c>
      <c r="Z311" s="31"/>
      <c r="AB311" s="31">
        <v>45702.875</v>
      </c>
      <c r="AC311" s="13" t="str">
        <f t="shared" si="12"/>
        <v>Approved</v>
      </c>
      <c r="AF311" s="71">
        <f>AJ311-7</f>
        <v>45748</v>
      </c>
      <c r="AG311" s="36">
        <f>IF($AX311="Cancelled","",IFERROR(IF(F311="","",F311-Variables!$B$13),""))</f>
        <v>45732</v>
      </c>
      <c r="AH311" s="13">
        <f>IF($AX311="Cancelled","",IFERROR(IF(AB311="","",(AVERAGE(E311:F311)-AB311)-Variables!$B$14),""))</f>
        <v>-0.875</v>
      </c>
      <c r="AJ311" s="47">
        <v>45755</v>
      </c>
      <c r="AK311" s="14">
        <f>IF($AX311="Cancelled","",IFERROR(IF(AJ311="","",IF(AND(AB311="",AF311=""),"",IF(AF311&gt;AB311,AF311+Variables!$B$15+Variables!$B$16+Variables!$B$17-AJ311,AB311+Variables!$B$16+Variables!$B$17-AJ311))),""))</f>
        <v>8</v>
      </c>
      <c r="AL311" s="48" t="s">
        <v>864</v>
      </c>
      <c r="AM311" s="13" t="s">
        <v>115</v>
      </c>
      <c r="AN311" s="13" t="s">
        <v>899</v>
      </c>
      <c r="AP311" s="31">
        <v>45764</v>
      </c>
      <c r="AR311" s="13">
        <v>252042698</v>
      </c>
      <c r="AS311" s="31">
        <v>45767</v>
      </c>
      <c r="AU311" s="31">
        <v>45775</v>
      </c>
      <c r="AV311" s="13" t="s">
        <v>3269</v>
      </c>
      <c r="AW311" s="31">
        <v>45804</v>
      </c>
      <c r="AX311" s="13" t="str">
        <f>IF(ISNUMBER(SEARCH("cancel",#REF!)),"Cancelled",IF(AND(AS311&lt;&gt;"",AU311&lt;&gt;"",AW311&lt;&gt;""),"Closed","Open"))</f>
        <v>Closed</v>
      </c>
      <c r="AY311" s="15" t="str">
        <f t="shared" si="13"/>
        <v>All dates received</v>
      </c>
      <c r="BD311" s="13">
        <f>IF($AX311="Cancelled","",IFERROR(IF(OR(AS311="",AJ311=""),"",(AJ311+Variables!$B$18-AS311)),""))</f>
        <v>3</v>
      </c>
      <c r="BE311" s="13">
        <f>IF($AX311="Cancelled","",IFERROR(IF(OR(AW311="",AS311=""),"",(AS311+Variables!$B$19)-AW311),""))</f>
        <v>-32</v>
      </c>
      <c r="BF311" s="44">
        <f>IF($AX311="Cancelled","",IFERROR(W311*INDEX(Variables!$B$7:$D$7,IFERROR(MATCH(IF($B311="Robusta","Robusta",(IF($B311="","Arabica",$B311))&amp;" - "&amp;(IF($C311="","Commercial",$C311))),Variables!$B$1:$D$1,0),1))*(BE311/365),""))</f>
        <v>-47.261968943779927</v>
      </c>
      <c r="BG311" s="44">
        <f>IF($AX311="Cancelled","",IFERROR((W311*INDEX(Variables!$B$7:$D$7,IFERROR(MATCH(IF($B311="Robusta","Robusta",(IF($B311="","Arabica",$B311))&amp;" - "&amp;(IF($C311="","Commercial",$C311))),Variables!$B$1:$D$1,0),1))*IFERROR(IF(AB311="","",(AVERAGE(E311:F311)-AB311)-Variables!$B$14),"")/365)+(L311/16.67*INDEX(Variables!$B$8:$D$8,IFERROR(MATCH(IF($B311="Robusta","Robusta",(IF($B311="","Arabica",$B311))&amp;" - "&amp;(IF($C311="","Commercial",$C311))),Variables!$B$1:$D$1,0),1))*IFERROR(IF(AB311="","",(AVERAGE(E311:F311)-AB311)-Variables!$B$14),""))+(W311*INDEX(Variables!$B$9:$D$9,IFERROR(MATCH(IF($B311="Robusta","Robusta",(IF($B311="","Arabica",$B311))&amp;" - "&amp;(IF($C311="","Commercial",$C311))),Variables!$B$1:$D$1,0),1))*IFERROR(IF(AB311="","",(AVERAGE(E311:F311)-AB311)-Variables!$B$14),"")/365),""))</f>
        <v>-2.0527299551917886</v>
      </c>
      <c r="BH311" s="44">
        <f>IF($AX311="Cancelled","",IFERROR((W311*INDEX(Variables!$B$7:$D$7,IFERROR(MATCH(IF($B311="Robusta","Robusta",(IF($B311="","Arabica",$B311))&amp;" - "&amp;(IF($C311="","Commercial",$C311))),Variables!$B$1:$D$1,0),1))*AK311/365)+(L311/16.67*INDEX(Variables!$B$8:$D$8,IFERROR(MATCH(IF($B311="Robusta","Robusta",(IF($B311="","Arabica",$B311))&amp;" - "&amp;(IF($C311="","Commercial",$C311))),Variables!$B$1:$D$1,0),1))*AK311)+(W311*INDEX(Variables!$B$9:$D$9,IFERROR(MATCH(IF($B311="Robusta","Robusta",(IF($B311="","Arabica",$B311))&amp;" - "&amp;(IF($C311="","Commercial",$C311))),Variables!$B$1:$D$1,0),1))*AK311/365),""))</f>
        <v>18.767816733182066</v>
      </c>
      <c r="BI311" s="44">
        <f>IF($AX311="Cancelled","",IFERROR((W311*INDEX(Variables!$B$7:$D$7,IFERROR(MATCH(IF($B311="Robusta","Robusta",(IF($B311="","Arabica",$B311))&amp;" - "&amp;(IF($C311="","Commercial",$C311))),Variables!$B$1:$D$1,0),1))*BD311/365)+(L311/16.67*INDEX(Variables!$B$8:$D$8,IFERROR(MATCH(IF($B311="Robusta","Robusta",(IF($B311="","Arabica",$B311))&amp;" - "&amp;(IF($C311="","Commercial",$C311))),Variables!$B$1:$D$1,0),1))*BD311)+(W311*INDEX(Variables!$B$9:$D$9,IFERROR(MATCH(IF($B311="Robusta","Robusta",(IF($B311="","Arabica",$B311))&amp;" - "&amp;(IF($C311="","Commercial",$C311))),Variables!$B$1:$D$1,0),1))*BD311/365),""))</f>
        <v>7.0379312749432756</v>
      </c>
      <c r="BJ311" s="44">
        <f t="shared" si="14"/>
        <v>-20</v>
      </c>
      <c r="BK311" s="44">
        <f>IF($AX311="Cancelled","",IFERROR(IF(BJ311="","",(W311*INDEX(Variables!$B$7:$D$7,IFERROR(MATCH(IF($B311="Robusta","Robusta",(IF($B311="","Arabica",$B311))&amp;" - "&amp;(IF($C311="","Commercial",$C311))),Variables!$B$1:$D$1,0),1))*(BJ311/365))+(W311*INDEX(Variables!$B$9:$D$9,IFERROR(MATCH(IF($B311="Robusta","Robusta",(IF($B311="","Arabica",$B311))&amp;" - "&amp;(IF($C311="","Commercial",$C311))),Variables!$B$1:$D$1,0),1))*(BJ311/365))+(INDEX(Variables!$B$8:$D$8,IFERROR(MATCH(IF($B311="Robusta","Robusta",(IF($B311="","Arabica",$B311))&amp;" - "&amp;(IF($C311="","Commercial",$C311))),Variables!$B$1:$D$1,0),1))*L311/16.67)),""))</f>
        <v>-29.069541832955156</v>
      </c>
    </row>
    <row r="312" spans="1:63">
      <c r="A312" s="13" t="s">
        <v>103</v>
      </c>
      <c r="B312" s="13" t="s">
        <v>104</v>
      </c>
      <c r="C312" s="13" t="s">
        <v>292</v>
      </c>
      <c r="D312" s="31">
        <v>45722</v>
      </c>
      <c r="E312" s="31">
        <v>45717</v>
      </c>
      <c r="F312" s="31">
        <v>45747</v>
      </c>
      <c r="G312" s="13">
        <v>3786799</v>
      </c>
      <c r="H312" s="13" t="s">
        <v>981</v>
      </c>
      <c r="J312" s="13" t="s">
        <v>294</v>
      </c>
      <c r="K312" s="13" t="s">
        <v>982</v>
      </c>
      <c r="L312" s="13">
        <v>25</v>
      </c>
      <c r="M312" s="13">
        <v>0</v>
      </c>
      <c r="N312" s="13" t="s">
        <v>983</v>
      </c>
      <c r="O312" s="13" t="s">
        <v>925</v>
      </c>
      <c r="P312" s="13">
        <v>10020</v>
      </c>
      <c r="R312" s="13" t="s">
        <v>384</v>
      </c>
      <c r="S312" s="13" t="s">
        <v>977</v>
      </c>
      <c r="T312" s="13" t="s">
        <v>438</v>
      </c>
      <c r="U312" s="13" t="s">
        <v>182</v>
      </c>
      <c r="V312" s="13">
        <v>90</v>
      </c>
      <c r="W312" s="44">
        <f>IF($AX312="Cancelled","",IFERROR(((V312+INDEX(Variables!$B$6:$D$6,IFERROR(MATCH(IF($B312="Robusta","Robusta",(IF($B312="","Arabica",$B312))&amp;" - "&amp;(IF($C312="","Commercial",$C312))),Variables!$B$1:$D$1,0),1)))*22.0462)*(L312/16.67),""))</f>
        <v>12590.271385722854</v>
      </c>
      <c r="X312" s="55" t="s">
        <v>39</v>
      </c>
      <c r="Y312" s="13" t="str">
        <f>IF($AX312="Cancelled","",IF(X312="","",IFERROR(IF(INDEX(Variables!$B$38:$B$47,MATCH(X312,Variables!$A$38:$A$47,0))="Yes","Yes","No"),"No")))</f>
        <v>No</v>
      </c>
      <c r="Z312" s="31"/>
      <c r="AB312" s="31">
        <v>45702.875</v>
      </c>
      <c r="AC312" s="13" t="str">
        <f t="shared" si="12"/>
        <v>Approved</v>
      </c>
      <c r="AF312" s="71">
        <f>AJ312-7</f>
        <v>45748</v>
      </c>
      <c r="AG312" s="36">
        <f>IF($AX312="Cancelled","",IFERROR(IF(F312="","",F312-Variables!$B$13),""))</f>
        <v>45732</v>
      </c>
      <c r="AH312" s="13">
        <f>IF($AX312="Cancelled","",IFERROR(IF(AB312="","",(AVERAGE(E312:F312)-AB312)-Variables!$B$14),""))</f>
        <v>-0.875</v>
      </c>
      <c r="AJ312" s="47">
        <v>45755</v>
      </c>
      <c r="AK312" s="14">
        <f>IF($AX312="Cancelled","",IFERROR(IF(AJ312="","",IF(AND(AB312="",AF312=""),"",IF(AF312&gt;AB312,AF312+Variables!$B$15+Variables!$B$16+Variables!$B$17-AJ312,AB312+Variables!$B$16+Variables!$B$17-AJ312))),""))</f>
        <v>8</v>
      </c>
      <c r="AL312" s="48" t="s">
        <v>864</v>
      </c>
      <c r="AM312" s="13" t="s">
        <v>115</v>
      </c>
      <c r="AN312" s="13" t="s">
        <v>899</v>
      </c>
      <c r="AP312" s="31">
        <v>45764</v>
      </c>
      <c r="AR312" s="13">
        <v>252042698</v>
      </c>
      <c r="AS312" s="31">
        <v>45767</v>
      </c>
      <c r="AU312" s="31">
        <v>45775</v>
      </c>
      <c r="AV312" s="13" t="s">
        <v>3269</v>
      </c>
      <c r="AW312" s="31">
        <v>45804</v>
      </c>
      <c r="AX312" s="13" t="str">
        <f>IF(ISNUMBER(SEARCH("cancel",#REF!)),"Cancelled",IF(AND(AS312&lt;&gt;"",AU312&lt;&gt;"",AW312&lt;&gt;""),"Closed","Open"))</f>
        <v>Closed</v>
      </c>
      <c r="AY312" s="15" t="str">
        <f t="shared" si="13"/>
        <v>All dates received</v>
      </c>
      <c r="BD312" s="13">
        <f>IF($AX312="Cancelled","",IFERROR(IF(OR(AS312="",AJ312=""),"",(AJ312+Variables!$B$18-AS312)),""))</f>
        <v>3</v>
      </c>
      <c r="BE312" s="13">
        <f>IF($AX312="Cancelled","",IFERROR(IF(OR(AW312="",AS312=""),"",(AS312+Variables!$B$19)-AW312),""))</f>
        <v>-32</v>
      </c>
      <c r="BF312" s="44">
        <f>IF($AX312="Cancelled","",IFERROR(W312*INDEX(Variables!$B$7:$D$7,IFERROR(MATCH(IF($B312="Robusta","Robusta",(IF($B312="","Arabica",$B312))&amp;" - "&amp;(IF($C312="","Commercial",$C312))),Variables!$B$1:$D$1,0),1))*(BE312/365),""))</f>
        <v>-71.17574992205661</v>
      </c>
      <c r="BG312" s="44">
        <f>IF($AX312="Cancelled","",IFERROR((W312*INDEX(Variables!$B$7:$D$7,IFERROR(MATCH(IF($B312="Robusta","Robusta",(IF($B312="","Arabica",$B312))&amp;" - "&amp;(IF($C312="","Commercial",$C312))),Variables!$B$1:$D$1,0),1))*IFERROR(IF(AB312="","",(AVERAGE(E312:F312)-AB312)-Variables!$B$14),"")/365)+(L312/16.67*INDEX(Variables!$B$8:$D$8,IFERROR(MATCH(IF($B312="Robusta","Robusta",(IF($B312="","Arabica",$B312))&amp;" - "&amp;(IF($C312="","Commercial",$C312))),Variables!$B$1:$D$1,0),1))*IFERROR(IF(AB312="","",(AVERAGE(E312:F312)-AB312)-Variables!$B$14),""))+(W312*INDEX(Variables!$B$9:$D$9,IFERROR(MATCH(IF($B312="Robusta","Robusta",(IF($B312="","Arabica",$B312))&amp;" - "&amp;(IF($C312="","Commercial",$C312))),Variables!$B$1:$D$1,0),1))*IFERROR(IF(AB312="","",(AVERAGE(E312:F312)-AB312)-Variables!$B$14),"")/365),""))</f>
        <v>-3.0650523394040645</v>
      </c>
      <c r="BH312" s="44">
        <f>IF($AX312="Cancelled","",IFERROR((W312*INDEX(Variables!$B$7:$D$7,IFERROR(MATCH(IF($B312="Robusta","Robusta",(IF($B312="","Arabica",$B312))&amp;" - "&amp;(IF($C312="","Commercial",$C312))),Variables!$B$1:$D$1,0),1))*AK312/365)+(L312/16.67*INDEX(Variables!$B$8:$D$8,IFERROR(MATCH(IF($B312="Robusta","Robusta",(IF($B312="","Arabica",$B312))&amp;" - "&amp;(IF($C312="","Commercial",$C312))),Variables!$B$1:$D$1,0),1))*AK312)+(W312*INDEX(Variables!$B$9:$D$9,IFERROR(MATCH(IF($B312="Robusta","Robusta",(IF($B312="","Arabica",$B312))&amp;" - "&amp;(IF($C312="","Commercial",$C312))),Variables!$B$1:$D$1,0),1))*AK312/365),""))</f>
        <v>28.023335674551443</v>
      </c>
      <c r="BI312" s="44">
        <f>IF($AX312="Cancelled","",IFERROR((W312*INDEX(Variables!$B$7:$D$7,IFERROR(MATCH(IF($B312="Robusta","Robusta",(IF($B312="","Arabica",$B312))&amp;" - "&amp;(IF($C312="","Commercial",$C312))),Variables!$B$1:$D$1,0),1))*BD312/365)+(L312/16.67*INDEX(Variables!$B$8:$D$8,IFERROR(MATCH(IF($B312="Robusta","Robusta",(IF($B312="","Arabica",$B312))&amp;" - "&amp;(IF($C312="","Commercial",$C312))),Variables!$B$1:$D$1,0),1))*BD312)+(W312*INDEX(Variables!$B$9:$D$9,IFERROR(MATCH(IF($B312="Robusta","Robusta",(IF($B312="","Arabica",$B312))&amp;" - "&amp;(IF($C312="","Commercial",$C312))),Variables!$B$1:$D$1,0),1))*BD312/365),""))</f>
        <v>10.508750877956791</v>
      </c>
      <c r="BJ312" s="44">
        <f t="shared" si="14"/>
        <v>-20</v>
      </c>
      <c r="BK312" s="44">
        <f>IF($AX312="Cancelled","",IFERROR(IF(BJ312="","",(W312*INDEX(Variables!$B$7:$D$7,IFERROR(MATCH(IF($B312="Robusta","Robusta",(IF($B312="","Arabica",$B312))&amp;" - "&amp;(IF($C312="","Commercial",$C312))),Variables!$B$1:$D$1,0),1))*(BJ312/365))+(W312*INDEX(Variables!$B$9:$D$9,IFERROR(MATCH(IF($B312="Robusta","Robusta",(IF($B312="","Arabica",$B312))&amp;" - "&amp;(IF($C312="","Commercial",$C312))),Variables!$B$1:$D$1,0),1))*(BJ312/365))+(INDEX(Variables!$B$8:$D$8,IFERROR(MATCH(IF($B312="Robusta","Robusta",(IF($B312="","Arabica",$B312))&amp;" - "&amp;(IF($C312="","Commercial",$C312))),Variables!$B$1:$D$1,0),1))*L312/16.67)),""))</f>
        <v>-43.808339186378603</v>
      </c>
    </row>
    <row r="313" spans="1:63">
      <c r="A313" s="13" t="s">
        <v>103</v>
      </c>
      <c r="B313" s="13" t="s">
        <v>104</v>
      </c>
      <c r="C313" s="13" t="s">
        <v>292</v>
      </c>
      <c r="D313" s="31">
        <v>45722</v>
      </c>
      <c r="E313" s="31">
        <v>45717</v>
      </c>
      <c r="F313" s="31">
        <v>45747</v>
      </c>
      <c r="G313" s="13">
        <v>3786800</v>
      </c>
      <c r="H313" s="13" t="s">
        <v>984</v>
      </c>
      <c r="J313" s="13" t="s">
        <v>294</v>
      </c>
      <c r="K313" s="13" t="s">
        <v>985</v>
      </c>
      <c r="L313" s="13">
        <v>15</v>
      </c>
      <c r="M313" s="13">
        <v>0</v>
      </c>
      <c r="N313" s="13" t="s">
        <v>986</v>
      </c>
      <c r="O313" s="13" t="s">
        <v>771</v>
      </c>
      <c r="P313" s="13">
        <v>10010</v>
      </c>
      <c r="R313" s="13" t="s">
        <v>384</v>
      </c>
      <c r="S313" s="13" t="s">
        <v>977</v>
      </c>
      <c r="T313" s="13" t="s">
        <v>438</v>
      </c>
      <c r="U313" s="13" t="s">
        <v>182</v>
      </c>
      <c r="V313" s="13">
        <v>111.05</v>
      </c>
      <c r="W313" s="44">
        <f>IF($AX313="Cancelled","",IFERROR(((V313+INDEX(Variables!$B$6:$D$6,IFERROR(MATCH(IF($B313="Robusta","Robusta",(IF($B313="","Arabica",$B313))&amp;" - "&amp;(IF($C313="","Commercial",$C313))),Variables!$B$1:$D$1,0),1)))*22.0462)*(L313/16.67),""))</f>
        <v>7971.7445740851826</v>
      </c>
      <c r="X313" s="55" t="s">
        <v>39</v>
      </c>
      <c r="Y313" s="13" t="str">
        <f>IF($AX313="Cancelled","",IF(X313="","",IFERROR(IF(INDEX(Variables!$B$38:$B$47,MATCH(X313,Variables!$A$38:$A$47,0))="Yes","Yes","No"),"No")))</f>
        <v>No</v>
      </c>
      <c r="Z313" s="31"/>
      <c r="AB313" s="31">
        <v>45702.875</v>
      </c>
      <c r="AC313" s="13" t="str">
        <f t="shared" si="12"/>
        <v>Approved</v>
      </c>
      <c r="AF313" s="71">
        <f>AJ313-7</f>
        <v>45748</v>
      </c>
      <c r="AG313" s="36">
        <f>IF($AX313="Cancelled","",IFERROR(IF(F313="","",F313-Variables!$B$13),""))</f>
        <v>45732</v>
      </c>
      <c r="AH313" s="13">
        <f>IF($AX313="Cancelled","",IFERROR(IF(AB313="","",(AVERAGE(E313:F313)-AB313)-Variables!$B$14),""))</f>
        <v>-0.875</v>
      </c>
      <c r="AJ313" s="47">
        <v>45755</v>
      </c>
      <c r="AK313" s="14">
        <f>IF($AX313="Cancelled","",IFERROR(IF(AJ313="","",IF(AND(AB313="",AF313=""),"",IF(AF313&gt;AB313,AF313+Variables!$B$15+Variables!$B$16+Variables!$B$17-AJ313,AB313+Variables!$B$16+Variables!$B$17-AJ313))),""))</f>
        <v>8</v>
      </c>
      <c r="AL313" s="48" t="s">
        <v>864</v>
      </c>
      <c r="AM313" s="13" t="s">
        <v>115</v>
      </c>
      <c r="AN313" s="13" t="s">
        <v>899</v>
      </c>
      <c r="AP313" s="31">
        <v>45764</v>
      </c>
      <c r="AR313" s="13">
        <v>252042698</v>
      </c>
      <c r="AS313" s="31">
        <v>45767</v>
      </c>
      <c r="AU313" s="31">
        <v>45775</v>
      </c>
      <c r="AV313" s="13" t="s">
        <v>3269</v>
      </c>
      <c r="AW313" s="31">
        <v>45804</v>
      </c>
      <c r="AX313" s="13" t="str">
        <f>IF(ISNUMBER(SEARCH("cancel",#REF!)),"Cancelled",IF(AND(AS313&lt;&gt;"",AU313&lt;&gt;"",AW313&lt;&gt;""),"Closed","Open"))</f>
        <v>Closed</v>
      </c>
      <c r="AY313" s="15" t="str">
        <f t="shared" si="13"/>
        <v>All dates received</v>
      </c>
      <c r="BD313" s="13">
        <f>IF($AX313="Cancelled","",IFERROR(IF(OR(AS313="",AJ313=""),"",(AJ313+Variables!$B$18-AS313)),""))</f>
        <v>3</v>
      </c>
      <c r="BE313" s="13">
        <f>IF($AX313="Cancelled","",IFERROR(IF(OR(AW313="",AS313=""),"",(AS313+Variables!$B$19)-AW313),""))</f>
        <v>-32</v>
      </c>
      <c r="BF313" s="44">
        <f>IF($AX313="Cancelled","",IFERROR(W313*INDEX(Variables!$B$7:$D$7,IFERROR(MATCH(IF($B313="Robusta","Robusta",(IF($B313="","Arabica",$B313))&amp;" - "&amp;(IF($C313="","Commercial",$C313))),Variables!$B$1:$D$1,0),1))*(BE313/365),""))</f>
        <v>-45.066137247129916</v>
      </c>
      <c r="BG313" s="44">
        <f>IF($AX313="Cancelled","",IFERROR((W313*INDEX(Variables!$B$7:$D$7,IFERROR(MATCH(IF($B313="Robusta","Robusta",(IF($B313="","Arabica",$B313))&amp;" - "&amp;(IF($C313="","Commercial",$C313))),Variables!$B$1:$D$1,0),1))*IFERROR(IF(AB313="","",(AVERAGE(E313:F313)-AB313)-Variables!$B$14),"")/365)+(L313/16.67*INDEX(Variables!$B$8:$D$8,IFERROR(MATCH(IF($B313="Robusta","Robusta",(IF($B313="","Arabica",$B313))&amp;" - "&amp;(IF($C313="","Commercial",$C313))),Variables!$B$1:$D$1,0),1))*IFERROR(IF(AB313="","",(AVERAGE(E313:F313)-AB313)-Variables!$B$14),""))+(W313*INDEX(Variables!$B$9:$D$9,IFERROR(MATCH(IF($B313="Robusta","Robusta",(IF($B313="","Arabica",$B313))&amp;" - "&amp;(IF($C313="","Commercial",$C313))),Variables!$B$1:$D$1,0),1))*IFERROR(IF(AB313="","",(AVERAGE(E313:F313)-AB313)-Variables!$B$14),"")/365),""))</f>
        <v>-1.904413621464585</v>
      </c>
      <c r="BH313" s="44">
        <f>IF($AX313="Cancelled","",IFERROR((W313*INDEX(Variables!$B$7:$D$7,IFERROR(MATCH(IF($B313="Robusta","Robusta",(IF($B313="","Arabica",$B313))&amp;" - "&amp;(IF($C313="","Commercial",$C313))),Variables!$B$1:$D$1,0),1))*AK313/365)+(L313/16.67*INDEX(Variables!$B$8:$D$8,IFERROR(MATCH(IF($B313="Robusta","Robusta",(IF($B313="","Arabica",$B313))&amp;" - "&amp;(IF($C313="","Commercial",$C313))),Variables!$B$1:$D$1,0),1))*AK313)+(W313*INDEX(Variables!$B$9:$D$9,IFERROR(MATCH(IF($B313="Robusta","Robusta",(IF($B313="","Arabica",$B313))&amp;" - "&amp;(IF($C313="","Commercial",$C313))),Variables!$B$1:$D$1,0),1))*AK313/365),""))</f>
        <v>17.411781681961919</v>
      </c>
      <c r="BI313" s="44">
        <f>IF($AX313="Cancelled","",IFERROR((W313*INDEX(Variables!$B$7:$D$7,IFERROR(MATCH(IF($B313="Robusta","Robusta",(IF($B313="","Arabica",$B313))&amp;" - "&amp;(IF($C313="","Commercial",$C313))),Variables!$B$1:$D$1,0),1))*BD313/365)+(L313/16.67*INDEX(Variables!$B$8:$D$8,IFERROR(MATCH(IF($B313="Robusta","Robusta",(IF($B313="","Arabica",$B313))&amp;" - "&amp;(IF($C313="","Commercial",$C313))),Variables!$B$1:$D$1,0),1))*BD313)+(W313*INDEX(Variables!$B$9:$D$9,IFERROR(MATCH(IF($B313="Robusta","Robusta",(IF($B313="","Arabica",$B313))&amp;" - "&amp;(IF($C313="","Commercial",$C313))),Variables!$B$1:$D$1,0),1))*BD313/365),""))</f>
        <v>6.5294181307357197</v>
      </c>
      <c r="BJ313" s="44">
        <f t="shared" si="14"/>
        <v>-20</v>
      </c>
      <c r="BK313" s="44">
        <f>IF($AX313="Cancelled","",IFERROR(IF(BJ313="","",(W313*INDEX(Variables!$B$7:$D$7,IFERROR(MATCH(IF($B313="Robusta","Robusta",(IF($B313="","Arabica",$B313))&amp;" - "&amp;(IF($C313="","Commercial",$C313))),Variables!$B$1:$D$1,0),1))*(BJ313/365))+(W313*INDEX(Variables!$B$9:$D$9,IFERROR(MATCH(IF($B313="Robusta","Robusta",(IF($B313="","Arabica",$B313))&amp;" - "&amp;(IF($C313="","Commercial",$C313))),Variables!$B$1:$D$1,0),1))*(BJ313/365))+(INDEX(Variables!$B$8:$D$8,IFERROR(MATCH(IF($B313="Robusta","Robusta",(IF($B313="","Arabica",$B313))&amp;" - "&amp;(IF($C313="","Commercial",$C313))),Variables!$B$1:$D$1,0),1))*L313/16.67)),""))</f>
        <v>-27.779454204904802</v>
      </c>
    </row>
    <row r="314" spans="1:63">
      <c r="A314" s="13" t="s">
        <v>103</v>
      </c>
      <c r="B314" s="13" t="s">
        <v>104</v>
      </c>
      <c r="C314" s="13" t="s">
        <v>292</v>
      </c>
      <c r="D314" s="31">
        <v>45722</v>
      </c>
      <c r="E314" s="31">
        <v>45717</v>
      </c>
      <c r="F314" s="31">
        <v>45747</v>
      </c>
      <c r="G314" s="13">
        <v>3786801</v>
      </c>
      <c r="H314" s="13" t="s">
        <v>984</v>
      </c>
      <c r="J314" s="13" t="s">
        <v>294</v>
      </c>
      <c r="K314" s="13" t="s">
        <v>987</v>
      </c>
      <c r="L314" s="13">
        <v>5</v>
      </c>
      <c r="M314" s="13">
        <v>0</v>
      </c>
      <c r="N314" s="13" t="s">
        <v>988</v>
      </c>
      <c r="O314" s="13" t="s">
        <v>771</v>
      </c>
      <c r="P314" s="13">
        <v>10010</v>
      </c>
      <c r="R314" s="13" t="s">
        <v>384</v>
      </c>
      <c r="S314" s="13" t="s">
        <v>977</v>
      </c>
      <c r="T314" s="13" t="s">
        <v>438</v>
      </c>
      <c r="U314" s="13" t="s">
        <v>182</v>
      </c>
      <c r="V314" s="13">
        <v>111.05</v>
      </c>
      <c r="W314" s="44">
        <f>IF($AX314="Cancelled","",IFERROR(((V314+INDEX(Variables!$B$6:$D$6,IFERROR(MATCH(IF($B314="Robusta","Robusta",(IF($B314="","Arabica",$B314))&amp;" - "&amp;(IF($C314="","Commercial",$C314))),Variables!$B$1:$D$1,0),1)))*22.0462)*(L314/16.67),""))</f>
        <v>2657.2481913617275</v>
      </c>
      <c r="X314" s="55" t="s">
        <v>39</v>
      </c>
      <c r="Y314" s="13" t="str">
        <f>IF($AX314="Cancelled","",IF(X314="","",IFERROR(IF(INDEX(Variables!$B$38:$B$47,MATCH(X314,Variables!$A$38:$A$47,0))="Yes","Yes","No"),"No")))</f>
        <v>No</v>
      </c>
      <c r="Z314" s="31"/>
      <c r="AB314" s="31">
        <v>45702.875</v>
      </c>
      <c r="AC314" s="13" t="str">
        <f t="shared" si="12"/>
        <v>Approved</v>
      </c>
      <c r="AF314" s="71">
        <f>AJ314-7</f>
        <v>45748</v>
      </c>
      <c r="AG314" s="36">
        <f>IF($AX314="Cancelled","",IFERROR(IF(F314="","",F314-Variables!$B$13),""))</f>
        <v>45732</v>
      </c>
      <c r="AH314" s="13">
        <f>IF($AX314="Cancelled","",IFERROR(IF(AB314="","",(AVERAGE(E314:F314)-AB314)-Variables!$B$14),""))</f>
        <v>-0.875</v>
      </c>
      <c r="AJ314" s="47">
        <v>45755</v>
      </c>
      <c r="AK314" s="14">
        <f>IF($AX314="Cancelled","",IFERROR(IF(AJ314="","",IF(AND(AB314="",AF314=""),"",IF(AF314&gt;AB314,AF314+Variables!$B$15+Variables!$B$16+Variables!$B$17-AJ314,AB314+Variables!$B$16+Variables!$B$17-AJ314))),""))</f>
        <v>8</v>
      </c>
      <c r="AL314" s="48" t="s">
        <v>864</v>
      </c>
      <c r="AM314" s="13" t="s">
        <v>115</v>
      </c>
      <c r="AN314" s="13" t="s">
        <v>899</v>
      </c>
      <c r="AP314" s="31">
        <v>45764</v>
      </c>
      <c r="AR314" s="13">
        <v>252042698</v>
      </c>
      <c r="AS314" s="31">
        <v>45767</v>
      </c>
      <c r="AU314" s="31">
        <v>45775</v>
      </c>
      <c r="AV314" s="13" t="s">
        <v>3269</v>
      </c>
      <c r="AW314" s="31">
        <v>45804</v>
      </c>
      <c r="AX314" s="13" t="str">
        <f>IF(ISNUMBER(SEARCH("cancel",#REF!)),"Cancelled",IF(AND(AS314&lt;&gt;"",AU314&lt;&gt;"",AW314&lt;&gt;""),"Closed","Open"))</f>
        <v>Closed</v>
      </c>
      <c r="AY314" s="15" t="str">
        <f t="shared" si="13"/>
        <v>All dates received</v>
      </c>
      <c r="BD314" s="13">
        <f>IF($AX314="Cancelled","",IFERROR(IF(OR(AS314="",AJ314=""),"",(AJ314+Variables!$B$18-AS314)),""))</f>
        <v>3</v>
      </c>
      <c r="BE314" s="13">
        <f>IF($AX314="Cancelled","",IFERROR(IF(OR(AW314="",AS314=""),"",(AS314+Variables!$B$19)-AW314),""))</f>
        <v>-32</v>
      </c>
      <c r="BF314" s="44">
        <f>IF($AX314="Cancelled","",IFERROR(W314*INDEX(Variables!$B$7:$D$7,IFERROR(MATCH(IF($B314="Robusta","Robusta",(IF($B314="","Arabica",$B314))&amp;" - "&amp;(IF($C314="","Commercial",$C314))),Variables!$B$1:$D$1,0),1))*(BE314/365),""))</f>
        <v>-15.022045749043304</v>
      </c>
      <c r="BG314" s="44">
        <f>IF($AX314="Cancelled","",IFERROR((W314*INDEX(Variables!$B$7:$D$7,IFERROR(MATCH(IF($B314="Robusta","Robusta",(IF($B314="","Arabica",$B314))&amp;" - "&amp;(IF($C314="","Commercial",$C314))),Variables!$B$1:$D$1,0),1))*IFERROR(IF(AB314="","",(AVERAGE(E314:F314)-AB314)-Variables!$B$14),"")/365)+(L314/16.67*INDEX(Variables!$B$8:$D$8,IFERROR(MATCH(IF($B314="Robusta","Robusta",(IF($B314="","Arabica",$B314))&amp;" - "&amp;(IF($C314="","Commercial",$C314))),Variables!$B$1:$D$1,0),1))*IFERROR(IF(AB314="","",(AVERAGE(E314:F314)-AB314)-Variables!$B$14),""))+(W314*INDEX(Variables!$B$9:$D$9,IFERROR(MATCH(IF($B314="Robusta","Robusta",(IF($B314="","Arabica",$B314))&amp;" - "&amp;(IF($C314="","Commercial",$C314))),Variables!$B$1:$D$1,0),1))*IFERROR(IF(AB314="","",(AVERAGE(E314:F314)-AB314)-Variables!$B$14),"")/365),""))</f>
        <v>-0.6348045404881949</v>
      </c>
      <c r="BH314" s="44">
        <f>IF($AX314="Cancelled","",IFERROR((W314*INDEX(Variables!$B$7:$D$7,IFERROR(MATCH(IF($B314="Robusta","Robusta",(IF($B314="","Arabica",$B314))&amp;" - "&amp;(IF($C314="","Commercial",$C314))),Variables!$B$1:$D$1,0),1))*AK314/365)+(L314/16.67*INDEX(Variables!$B$8:$D$8,IFERROR(MATCH(IF($B314="Robusta","Robusta",(IF($B314="","Arabica",$B314))&amp;" - "&amp;(IF($C314="","Commercial",$C314))),Variables!$B$1:$D$1,0),1))*AK314)+(W314*INDEX(Variables!$B$9:$D$9,IFERROR(MATCH(IF($B314="Robusta","Robusta",(IF($B314="","Arabica",$B314))&amp;" - "&amp;(IF($C314="","Commercial",$C314))),Variables!$B$1:$D$1,0),1))*AK314/365),""))</f>
        <v>5.8039272273206395</v>
      </c>
      <c r="BI314" s="44">
        <f>IF($AX314="Cancelled","",IFERROR((W314*INDEX(Variables!$B$7:$D$7,IFERROR(MATCH(IF($B314="Robusta","Robusta",(IF($B314="","Arabica",$B314))&amp;" - "&amp;(IF($C314="","Commercial",$C314))),Variables!$B$1:$D$1,0),1))*BD314/365)+(L314/16.67*INDEX(Variables!$B$8:$D$8,IFERROR(MATCH(IF($B314="Robusta","Robusta",(IF($B314="","Arabica",$B314))&amp;" - "&amp;(IF($C314="","Commercial",$C314))),Variables!$B$1:$D$1,0),1))*BD314)+(W314*INDEX(Variables!$B$9:$D$9,IFERROR(MATCH(IF($B314="Robusta","Robusta",(IF($B314="","Arabica",$B314))&amp;" - "&amp;(IF($C314="","Commercial",$C314))),Variables!$B$1:$D$1,0),1))*BD314/365),""))</f>
        <v>2.1764727102452399</v>
      </c>
      <c r="BJ314" s="44">
        <f t="shared" si="14"/>
        <v>-20</v>
      </c>
      <c r="BK314" s="44">
        <f>IF($AX314="Cancelled","",IFERROR(IF(BJ314="","",(W314*INDEX(Variables!$B$7:$D$7,IFERROR(MATCH(IF($B314="Robusta","Robusta",(IF($B314="","Arabica",$B314))&amp;" - "&amp;(IF($C314="","Commercial",$C314))),Variables!$B$1:$D$1,0),1))*(BJ314/365))+(W314*INDEX(Variables!$B$9:$D$9,IFERROR(MATCH(IF($B314="Robusta","Robusta",(IF($B314="","Arabica",$B314))&amp;" - "&amp;(IF($C314="","Commercial",$C314))),Variables!$B$1:$D$1,0),1))*(BJ314/365))+(INDEX(Variables!$B$8:$D$8,IFERROR(MATCH(IF($B314="Robusta","Robusta",(IF($B314="","Arabica",$B314))&amp;" - "&amp;(IF($C314="","Commercial",$C314))),Variables!$B$1:$D$1,0),1))*L314/16.67)),""))</f>
        <v>-9.2598180683015983</v>
      </c>
    </row>
    <row r="315" spans="1:63">
      <c r="A315" s="13" t="s">
        <v>103</v>
      </c>
      <c r="B315" s="13" t="s">
        <v>104</v>
      </c>
      <c r="C315" s="13" t="s">
        <v>292</v>
      </c>
      <c r="D315" s="31">
        <v>45722</v>
      </c>
      <c r="E315" s="31">
        <v>45717</v>
      </c>
      <c r="F315" s="31">
        <v>45747</v>
      </c>
      <c r="G315" s="13">
        <v>3786802</v>
      </c>
      <c r="H315" s="13" t="s">
        <v>989</v>
      </c>
      <c r="J315" s="13" t="s">
        <v>294</v>
      </c>
      <c r="K315" s="13" t="s">
        <v>990</v>
      </c>
      <c r="L315" s="13">
        <v>16</v>
      </c>
      <c r="M315" s="13">
        <v>0</v>
      </c>
      <c r="N315" s="13" t="s">
        <v>991</v>
      </c>
      <c r="O315" s="13" t="s">
        <v>771</v>
      </c>
      <c r="P315" s="13">
        <v>10010</v>
      </c>
      <c r="R315" s="13" t="s">
        <v>384</v>
      </c>
      <c r="S315" s="13" t="s">
        <v>977</v>
      </c>
      <c r="T315" s="13" t="s">
        <v>438</v>
      </c>
      <c r="U315" s="13" t="s">
        <v>182</v>
      </c>
      <c r="V315" s="13">
        <v>103</v>
      </c>
      <c r="W315" s="44">
        <f>IF($AX315="Cancelled","",IFERROR(((V315+INDEX(Variables!$B$6:$D$6,IFERROR(MATCH(IF($B315="Robusta","Robusta",(IF($B315="","Arabica",$B315))&amp;" - "&amp;(IF($C315="","Commercial",$C315))),Variables!$B$1:$D$1,0),1)))*22.0462)*(L315/16.67),""))</f>
        <v>8332.8552465506891</v>
      </c>
      <c r="X315" s="55" t="s">
        <v>39</v>
      </c>
      <c r="Y315" s="13" t="str">
        <f>IF($AX315="Cancelled","",IF(X315="","",IFERROR(IF(INDEX(Variables!$B$38:$B$47,MATCH(X315,Variables!$A$38:$A$47,0))="Yes","Yes","No"),"No")))</f>
        <v>No</v>
      </c>
      <c r="Z315" s="31"/>
      <c r="AB315" s="31">
        <v>45702.875</v>
      </c>
      <c r="AC315" s="13" t="str">
        <f t="shared" si="12"/>
        <v>Approved</v>
      </c>
      <c r="AF315" s="71">
        <f>AJ315-7</f>
        <v>45748</v>
      </c>
      <c r="AG315" s="36">
        <f>IF($AX315="Cancelled","",IFERROR(IF(F315="","",F315-Variables!$B$13),""))</f>
        <v>45732</v>
      </c>
      <c r="AH315" s="13">
        <f>IF($AX315="Cancelled","",IFERROR(IF(AB315="","",(AVERAGE(E315:F315)-AB315)-Variables!$B$14),""))</f>
        <v>-0.875</v>
      </c>
      <c r="AJ315" s="47">
        <v>45755</v>
      </c>
      <c r="AK315" s="14">
        <f>IF($AX315="Cancelled","",IFERROR(IF(AJ315="","",IF(AND(AB315="",AF315=""),"",IF(AF315&gt;AB315,AF315+Variables!$B$15+Variables!$B$16+Variables!$B$17-AJ315,AB315+Variables!$B$16+Variables!$B$17-AJ315))),""))</f>
        <v>8</v>
      </c>
      <c r="AL315" s="48" t="s">
        <v>864</v>
      </c>
      <c r="AM315" s="13" t="s">
        <v>115</v>
      </c>
      <c r="AN315" s="13" t="s">
        <v>899</v>
      </c>
      <c r="AP315" s="31">
        <v>45764</v>
      </c>
      <c r="AR315" s="13">
        <v>252042698</v>
      </c>
      <c r="AS315" s="31">
        <v>45767</v>
      </c>
      <c r="AU315" s="31">
        <v>45775</v>
      </c>
      <c r="AV315" s="13" t="s">
        <v>3269</v>
      </c>
      <c r="AW315" s="31">
        <v>45804</v>
      </c>
      <c r="AX315" s="13" t="str">
        <f>IF(ISNUMBER(SEARCH("cancel",#REF!)),"Cancelled",IF(AND(AS315&lt;&gt;"",AU315&lt;&gt;"",AW315&lt;&gt;""),"Closed","Open"))</f>
        <v>Closed</v>
      </c>
      <c r="AY315" s="15" t="str">
        <f t="shared" si="13"/>
        <v>All dates received</v>
      </c>
      <c r="BD315" s="13">
        <f>IF($AX315="Cancelled","",IFERROR(IF(OR(AS315="",AJ315=""),"",(AJ315+Variables!$B$18-AS315)),""))</f>
        <v>3</v>
      </c>
      <c r="BE315" s="13">
        <f>IF($AX315="Cancelled","",IFERROR(IF(OR(AW315="",AS315=""),"",(AS315+Variables!$B$19)-AW315),""))</f>
        <v>-32</v>
      </c>
      <c r="BF315" s="44">
        <f>IF($AX315="Cancelled","",IFERROR(W315*INDEX(Variables!$B$7:$D$7,IFERROR(MATCH(IF($B315="Robusta","Robusta",(IF($B315="","Arabica",$B315))&amp;" - "&amp;(IF($C315="","Commercial",$C315))),Variables!$B$1:$D$1,0),1))*(BE315/365),""))</f>
        <v>-47.107580368581338</v>
      </c>
      <c r="BG315" s="44">
        <f>IF($AX315="Cancelled","",IFERROR((W315*INDEX(Variables!$B$7:$D$7,IFERROR(MATCH(IF($B315="Robusta","Robusta",(IF($B315="","Arabica",$B315))&amp;" - "&amp;(IF($C315="","Commercial",$C315))),Variables!$B$1:$D$1,0),1))*IFERROR(IF(AB315="","",(AVERAGE(E315:F315)-AB315)-Variables!$B$14),"")/365)+(L315/16.67*INDEX(Variables!$B$8:$D$8,IFERROR(MATCH(IF($B315="Robusta","Robusta",(IF($B315="","Arabica",$B315))&amp;" - "&amp;(IF($C315="","Commercial",$C315))),Variables!$B$1:$D$1,0),1))*IFERROR(IF(AB315="","",(AVERAGE(E315:F315)-AB315)-Variables!$B$14),""))+(W315*INDEX(Variables!$B$9:$D$9,IFERROR(MATCH(IF($B315="Robusta","Robusta",(IF($B315="","Arabica",$B315))&amp;" - "&amp;(IF($C315="","Commercial",$C315))),Variables!$B$1:$D$1,0),1))*IFERROR(IF(AB315="","",(AVERAGE(E315:F315)-AB315)-Variables!$B$14),"")/365),""))</f>
        <v>-2.0047039684996983</v>
      </c>
      <c r="BH315" s="44">
        <f>IF($AX315="Cancelled","",IFERROR((W315*INDEX(Variables!$B$7:$D$7,IFERROR(MATCH(IF($B315="Robusta","Robusta",(IF($B315="","Arabica",$B315))&amp;" - "&amp;(IF($C315="","Commercial",$C315))),Variables!$B$1:$D$1,0),1))*AK315/365)+(L315/16.67*INDEX(Variables!$B$8:$D$8,IFERROR(MATCH(IF($B315="Robusta","Robusta",(IF($B315="","Arabica",$B315))&amp;" - "&amp;(IF($C315="","Commercial",$C315))),Variables!$B$1:$D$1,0),1))*AK315)+(W315*INDEX(Variables!$B$9:$D$9,IFERROR(MATCH(IF($B315="Robusta","Robusta",(IF($B315="","Arabica",$B315))&amp;" - "&amp;(IF($C315="","Commercial",$C315))),Variables!$B$1:$D$1,0),1))*AK315/365),""))</f>
        <v>18.328721997711529</v>
      </c>
      <c r="BI315" s="44">
        <f>IF($AX315="Cancelled","",IFERROR((W315*INDEX(Variables!$B$7:$D$7,IFERROR(MATCH(IF($B315="Robusta","Robusta",(IF($B315="","Arabica",$B315))&amp;" - "&amp;(IF($C315="","Commercial",$C315))),Variables!$B$1:$D$1,0),1))*BD315/365)+(L315/16.67*INDEX(Variables!$B$8:$D$8,IFERROR(MATCH(IF($B315="Robusta","Robusta",(IF($B315="","Arabica",$B315))&amp;" - "&amp;(IF($C315="","Commercial",$C315))),Variables!$B$1:$D$1,0),1))*BD315)+(W315*INDEX(Variables!$B$9:$D$9,IFERROR(MATCH(IF($B315="Robusta","Robusta",(IF($B315="","Arabica",$B315))&amp;" - "&amp;(IF($C315="","Commercial",$C315))),Variables!$B$1:$D$1,0),1))*BD315/365),""))</f>
        <v>6.873270749141823</v>
      </c>
      <c r="BJ315" s="44">
        <f t="shared" si="14"/>
        <v>-20</v>
      </c>
      <c r="BK315" s="44">
        <f>IF($AX315="Cancelled","",IFERROR(IF(BJ315="","",(W315*INDEX(Variables!$B$7:$D$7,IFERROR(MATCH(IF($B315="Robusta","Robusta",(IF($B315="","Arabica",$B315))&amp;" - "&amp;(IF($C315="","Commercial",$C315))),Variables!$B$1:$D$1,0),1))*(BJ315/365))+(W315*INDEX(Variables!$B$9:$D$9,IFERROR(MATCH(IF($B315="Robusta","Robusta",(IF($B315="","Arabica",$B315))&amp;" - "&amp;(IF($C315="","Commercial",$C315))),Variables!$B$1:$D$1,0),1))*(BJ315/365))+(INDEX(Variables!$B$8:$D$8,IFERROR(MATCH(IF($B315="Robusta","Robusta",(IF($B315="","Arabica",$B315))&amp;" - "&amp;(IF($C315="","Commercial",$C315))),Variables!$B$1:$D$1,0),1))*L315/16.67)),""))</f>
        <v>-29.021804994278813</v>
      </c>
    </row>
    <row r="316" spans="1:63">
      <c r="A316" s="13" t="s">
        <v>103</v>
      </c>
      <c r="B316" s="13" t="s">
        <v>104</v>
      </c>
      <c r="C316" s="13" t="s">
        <v>292</v>
      </c>
      <c r="D316" s="31">
        <v>45722</v>
      </c>
      <c r="E316" s="31">
        <v>45717</v>
      </c>
      <c r="F316" s="31">
        <v>45747</v>
      </c>
      <c r="G316" s="13">
        <v>3786803</v>
      </c>
      <c r="H316" s="13" t="s">
        <v>989</v>
      </c>
      <c r="J316" s="13" t="s">
        <v>294</v>
      </c>
      <c r="K316" s="13" t="s">
        <v>992</v>
      </c>
      <c r="L316" s="13">
        <v>5</v>
      </c>
      <c r="M316" s="13">
        <v>0</v>
      </c>
      <c r="N316" s="13" t="s">
        <v>993</v>
      </c>
      <c r="O316" s="13" t="s">
        <v>771</v>
      </c>
      <c r="P316" s="13">
        <v>10010</v>
      </c>
      <c r="R316" s="13" t="s">
        <v>384</v>
      </c>
      <c r="S316" s="13" t="s">
        <v>977</v>
      </c>
      <c r="T316" s="13" t="s">
        <v>438</v>
      </c>
      <c r="U316" s="13" t="s">
        <v>182</v>
      </c>
      <c r="V316" s="13">
        <v>103</v>
      </c>
      <c r="W316" s="44">
        <f>IF($AX316="Cancelled","",IFERROR(((V316+INDEX(Variables!$B$6:$D$6,IFERROR(MATCH(IF($B316="Robusta","Robusta",(IF($B316="","Arabica",$B316))&amp;" - "&amp;(IF($C316="","Commercial",$C316))),Variables!$B$1:$D$1,0),1)))*22.0462)*(L316/16.67),""))</f>
        <v>2604.0172645470902</v>
      </c>
      <c r="X316" s="55" t="s">
        <v>39</v>
      </c>
      <c r="Y316" s="13" t="str">
        <f>IF($AX316="Cancelled","",IF(X316="","",IFERROR(IF(INDEX(Variables!$B$38:$B$47,MATCH(X316,Variables!$A$38:$A$47,0))="Yes","Yes","No"),"No")))</f>
        <v>No</v>
      </c>
      <c r="Z316" s="31"/>
      <c r="AB316" s="31">
        <v>45702.875</v>
      </c>
      <c r="AC316" s="13" t="str">
        <f t="shared" si="12"/>
        <v>Approved</v>
      </c>
      <c r="AF316" s="71">
        <f>AJ316-7</f>
        <v>45748</v>
      </c>
      <c r="AG316" s="36">
        <f>IF($AX316="Cancelled","",IFERROR(IF(F316="","",F316-Variables!$B$13),""))</f>
        <v>45732</v>
      </c>
      <c r="AH316" s="13">
        <f>IF($AX316="Cancelled","",IFERROR(IF(AB316="","",(AVERAGE(E316:F316)-AB316)-Variables!$B$14),""))</f>
        <v>-0.875</v>
      </c>
      <c r="AJ316" s="47">
        <v>45755</v>
      </c>
      <c r="AK316" s="14">
        <f>IF($AX316="Cancelled","",IFERROR(IF(AJ316="","",IF(AND(AB316="",AF316=""),"",IF(AF316&gt;AB316,AF316+Variables!$B$15+Variables!$B$16+Variables!$B$17-AJ316,AB316+Variables!$B$16+Variables!$B$17-AJ316))),""))</f>
        <v>8</v>
      </c>
      <c r="AL316" s="48" t="s">
        <v>864</v>
      </c>
      <c r="AM316" s="13" t="s">
        <v>115</v>
      </c>
      <c r="AN316" s="13" t="s">
        <v>899</v>
      </c>
      <c r="AP316" s="31">
        <v>45764</v>
      </c>
      <c r="AR316" s="13">
        <v>252042698</v>
      </c>
      <c r="AS316" s="31">
        <v>45767</v>
      </c>
      <c r="AU316" s="31">
        <v>45775</v>
      </c>
      <c r="AV316" s="13" t="s">
        <v>3269</v>
      </c>
      <c r="AW316" s="31">
        <v>45804</v>
      </c>
      <c r="AX316" s="13" t="str">
        <f>IF(ISNUMBER(SEARCH("cancel",#REF!)),"Cancelled",IF(AND(AS316&lt;&gt;"",AU316&lt;&gt;"",AW316&lt;&gt;""),"Closed","Open"))</f>
        <v>Closed</v>
      </c>
      <c r="AY316" s="15" t="str">
        <f t="shared" si="13"/>
        <v>All dates received</v>
      </c>
      <c r="BD316" s="13">
        <f>IF($AX316="Cancelled","",IFERROR(IF(OR(AS316="",AJ316=""),"",(AJ316+Variables!$B$18-AS316)),""))</f>
        <v>3</v>
      </c>
      <c r="BE316" s="13">
        <f>IF($AX316="Cancelled","",IFERROR(IF(OR(AW316="",AS316=""),"",(AS316+Variables!$B$19)-AW316),""))</f>
        <v>-32</v>
      </c>
      <c r="BF316" s="44">
        <f>IF($AX316="Cancelled","",IFERROR(W316*INDEX(Variables!$B$7:$D$7,IFERROR(MATCH(IF($B316="Robusta","Robusta",(IF($B316="","Arabica",$B316))&amp;" - "&amp;(IF($C316="","Commercial",$C316))),Variables!$B$1:$D$1,0),1))*(BE316/365),""))</f>
        <v>-14.721118865181667</v>
      </c>
      <c r="BG316" s="44">
        <f>IF($AX316="Cancelled","",IFERROR((W316*INDEX(Variables!$B$7:$D$7,IFERROR(MATCH(IF($B316="Robusta","Robusta",(IF($B316="","Arabica",$B316))&amp;" - "&amp;(IF($C316="","Commercial",$C316))),Variables!$B$1:$D$1,0),1))*IFERROR(IF(AB316="","",(AVERAGE(E316:F316)-AB316)-Variables!$B$14),"")/365)+(L316/16.67*INDEX(Variables!$B$8:$D$8,IFERROR(MATCH(IF($B316="Robusta","Robusta",(IF($B316="","Arabica",$B316))&amp;" - "&amp;(IF($C316="","Commercial",$C316))),Variables!$B$1:$D$1,0),1))*IFERROR(IF(AB316="","",(AVERAGE(E316:F316)-AB316)-Variables!$B$14),""))+(W316*INDEX(Variables!$B$9:$D$9,IFERROR(MATCH(IF($B316="Robusta","Robusta",(IF($B316="","Arabica",$B316))&amp;" - "&amp;(IF($C316="","Commercial",$C316))),Variables!$B$1:$D$1,0),1))*IFERROR(IF(AB316="","",(AVERAGE(E316:F316)-AB316)-Variables!$B$14),"")/365),""))</f>
        <v>-0.62646999015615568</v>
      </c>
      <c r="BH316" s="44">
        <f>IF($AX316="Cancelled","",IFERROR((W316*INDEX(Variables!$B$7:$D$7,IFERROR(MATCH(IF($B316="Robusta","Robusta",(IF($B316="","Arabica",$B316))&amp;" - "&amp;(IF($C316="","Commercial",$C316))),Variables!$B$1:$D$1,0),1))*AK316/365)+(L316/16.67*INDEX(Variables!$B$8:$D$8,IFERROR(MATCH(IF($B316="Robusta","Robusta",(IF($B316="","Arabica",$B316))&amp;" - "&amp;(IF($C316="","Commercial",$C316))),Variables!$B$1:$D$1,0),1))*AK316)+(W316*INDEX(Variables!$B$9:$D$9,IFERROR(MATCH(IF($B316="Robusta","Robusta",(IF($B316="","Arabica",$B316))&amp;" - "&amp;(IF($C316="","Commercial",$C316))),Variables!$B$1:$D$1,0),1))*AK316/365),""))</f>
        <v>5.7277256242848518</v>
      </c>
      <c r="BI316" s="44">
        <f>IF($AX316="Cancelled","",IFERROR((W316*INDEX(Variables!$B$7:$D$7,IFERROR(MATCH(IF($B316="Robusta","Robusta",(IF($B316="","Arabica",$B316))&amp;" - "&amp;(IF($C316="","Commercial",$C316))),Variables!$B$1:$D$1,0),1))*BD316/365)+(L316/16.67*INDEX(Variables!$B$8:$D$8,IFERROR(MATCH(IF($B316="Robusta","Robusta",(IF($B316="","Arabica",$B316))&amp;" - "&amp;(IF($C316="","Commercial",$C316))),Variables!$B$1:$D$1,0),1))*BD316)+(W316*INDEX(Variables!$B$9:$D$9,IFERROR(MATCH(IF($B316="Robusta","Robusta",(IF($B316="","Arabica",$B316))&amp;" - "&amp;(IF($C316="","Commercial",$C316))),Variables!$B$1:$D$1,0),1))*BD316/365),""))</f>
        <v>2.1478971091068195</v>
      </c>
      <c r="BJ316" s="44">
        <f t="shared" si="14"/>
        <v>-20</v>
      </c>
      <c r="BK316" s="44">
        <f>IF($AX316="Cancelled","",IFERROR(IF(BJ316="","",(W316*INDEX(Variables!$B$7:$D$7,IFERROR(MATCH(IF($B316="Robusta","Robusta",(IF($B316="","Arabica",$B316))&amp;" - "&amp;(IF($C316="","Commercial",$C316))),Variables!$B$1:$D$1,0),1))*(BJ316/365))+(W316*INDEX(Variables!$B$9:$D$9,IFERROR(MATCH(IF($B316="Robusta","Robusta",(IF($B316="","Arabica",$B316))&amp;" - "&amp;(IF($C316="","Commercial",$C316))),Variables!$B$1:$D$1,0),1))*(BJ316/365))+(INDEX(Variables!$B$8:$D$8,IFERROR(MATCH(IF($B316="Robusta","Robusta",(IF($B316="","Arabica",$B316))&amp;" - "&amp;(IF($C316="","Commercial",$C316))),Variables!$B$1:$D$1,0),1))*L316/16.67)),""))</f>
        <v>-9.069314060712129</v>
      </c>
    </row>
    <row r="317" spans="1:63">
      <c r="A317" s="13" t="s">
        <v>103</v>
      </c>
      <c r="B317" s="13" t="s">
        <v>104</v>
      </c>
      <c r="C317" s="13" t="s">
        <v>292</v>
      </c>
      <c r="D317" s="31">
        <v>45722</v>
      </c>
      <c r="E317" s="31">
        <v>45717</v>
      </c>
      <c r="F317" s="31">
        <v>45747</v>
      </c>
      <c r="G317" s="13">
        <v>3786804</v>
      </c>
      <c r="H317" s="13" t="s">
        <v>994</v>
      </c>
      <c r="J317" s="13" t="s">
        <v>294</v>
      </c>
      <c r="K317" s="13" t="s">
        <v>995</v>
      </c>
      <c r="L317" s="13">
        <v>20</v>
      </c>
      <c r="M317" s="13">
        <v>0</v>
      </c>
      <c r="N317" s="13" t="s">
        <v>996</v>
      </c>
      <c r="O317" s="13" t="s">
        <v>925</v>
      </c>
      <c r="P317" s="13">
        <v>10020</v>
      </c>
      <c r="R317" s="13" t="s">
        <v>384</v>
      </c>
      <c r="S317" s="13" t="s">
        <v>977</v>
      </c>
      <c r="T317" s="13" t="s">
        <v>438</v>
      </c>
      <c r="U317" s="13" t="s">
        <v>182</v>
      </c>
      <c r="V317" s="13">
        <v>73</v>
      </c>
      <c r="W317" s="44">
        <f>IF($AX317="Cancelled","",IFERROR(((V317+INDEX(Variables!$B$6:$D$6,IFERROR(MATCH(IF($B317="Robusta","Robusta",(IF($B317="","Arabica",$B317))&amp;" - "&amp;(IF($C317="","Commercial",$C317))),Variables!$B$1:$D$1,0),1)))*22.0462)*(L317/16.67),""))</f>
        <v>9622.5645590881813</v>
      </c>
      <c r="X317" s="55" t="s">
        <v>39</v>
      </c>
      <c r="Y317" s="13" t="str">
        <f>IF($AX317="Cancelled","",IF(X317="","",IFERROR(IF(INDEX(Variables!$B$38:$B$47,MATCH(X317,Variables!$A$38:$A$47,0))="Yes","Yes","No"),"No")))</f>
        <v>No</v>
      </c>
      <c r="Z317" s="31"/>
      <c r="AB317" s="31">
        <v>45702.875</v>
      </c>
      <c r="AC317" s="13" t="str">
        <f t="shared" si="12"/>
        <v>Approved</v>
      </c>
      <c r="AF317" s="71">
        <f>AJ317-7</f>
        <v>45748</v>
      </c>
      <c r="AG317" s="36">
        <f>IF($AX317="Cancelled","",IFERROR(IF(F317="","",F317-Variables!$B$13),""))</f>
        <v>45732</v>
      </c>
      <c r="AH317" s="13">
        <f>IF($AX317="Cancelled","",IFERROR(IF(AB317="","",(AVERAGE(E317:F317)-AB317)-Variables!$B$14),""))</f>
        <v>-0.875</v>
      </c>
      <c r="AJ317" s="47">
        <v>45755</v>
      </c>
      <c r="AK317" s="14">
        <f>IF($AX317="Cancelled","",IFERROR(IF(AJ317="","",IF(AND(AB317="",AF317=""),"",IF(AF317&gt;AB317,AF317+Variables!$B$15+Variables!$B$16+Variables!$B$17-AJ317,AB317+Variables!$B$16+Variables!$B$17-AJ317))),""))</f>
        <v>8</v>
      </c>
      <c r="AL317" s="48" t="s">
        <v>864</v>
      </c>
      <c r="AM317" s="13" t="s">
        <v>115</v>
      </c>
      <c r="AN317" s="13" t="s">
        <v>899</v>
      </c>
      <c r="AP317" s="31">
        <v>45764</v>
      </c>
      <c r="AR317" s="13">
        <v>252042698</v>
      </c>
      <c r="AS317" s="31">
        <v>45767</v>
      </c>
      <c r="AU317" s="31">
        <v>45775</v>
      </c>
      <c r="AV317" s="13" t="s">
        <v>3269</v>
      </c>
      <c r="AW317" s="31">
        <v>45804</v>
      </c>
      <c r="AX317" s="13" t="str">
        <f>IF(ISNUMBER(SEARCH("cancel",#REF!)),"Cancelled",IF(AND(AS317&lt;&gt;"",AU317&lt;&gt;"",AW317&lt;&gt;""),"Closed","Open"))</f>
        <v>Closed</v>
      </c>
      <c r="AY317" s="15" t="str">
        <f t="shared" si="13"/>
        <v>All dates received</v>
      </c>
      <c r="BD317" s="13">
        <f>IF($AX317="Cancelled","",IFERROR(IF(OR(AS317="",AJ317=""),"",(AJ317+Variables!$B$18-AS317)),""))</f>
        <v>3</v>
      </c>
      <c r="BE317" s="13">
        <f>IF($AX317="Cancelled","",IFERROR(IF(OR(AW317="",AS317=""),"",(AS317+Variables!$B$19)-AW317),""))</f>
        <v>-32</v>
      </c>
      <c r="BF317" s="44">
        <f>IF($AX317="Cancelled","",IFERROR(W317*INDEX(Variables!$B$7:$D$7,IFERROR(MATCH(IF($B317="Robusta","Robusta",(IF($B317="","Arabica",$B317))&amp;" - "&amp;(IF($C317="","Commercial",$C317))),Variables!$B$1:$D$1,0),1))*(BE317/365),""))</f>
        <v>-54.398608869000412</v>
      </c>
      <c r="BG317" s="44">
        <f>IF($AX317="Cancelled","",IFERROR((W317*INDEX(Variables!$B$7:$D$7,IFERROR(MATCH(IF($B317="Robusta","Robusta",(IF($B317="","Arabica",$B317))&amp;" - "&amp;(IF($C317="","Commercial",$C317))),Variables!$B$1:$D$1,0),1))*IFERROR(IF(AB317="","",(AVERAGE(E317:F317)-AB317)-Variables!$B$14),"")/365)+(L317/16.67*INDEX(Variables!$B$8:$D$8,IFERROR(MATCH(IF($B317="Robusta","Robusta",(IF($B317="","Arabica",$B317))&amp;" - "&amp;(IF($C317="","Commercial",$C317))),Variables!$B$1:$D$1,0),1))*IFERROR(IF(AB317="","",(AVERAGE(E317:F317)-AB317)-Variables!$B$14),""))+(W317*INDEX(Variables!$B$9:$D$9,IFERROR(MATCH(IF($B317="Robusta","Robusta",(IF($B317="","Arabica",$B317))&amp;" - "&amp;(IF($C317="","Commercial",$C317))),Variables!$B$1:$D$1,0),1))*IFERROR(IF(AB317="","",(AVERAGE(E317:F317)-AB317)-Variables!$B$14),"")/365),""))</f>
        <v>-2.3816382165445349</v>
      </c>
      <c r="BH317" s="44">
        <f>IF($AX317="Cancelled","",IFERROR((W317*INDEX(Variables!$B$7:$D$7,IFERROR(MATCH(IF($B317="Robusta","Robusta",(IF($B317="","Arabica",$B317))&amp;" - "&amp;(IF($C317="","Commercial",$C317))),Variables!$B$1:$D$1,0),1))*AK317/365)+(L317/16.67*INDEX(Variables!$B$8:$D$8,IFERROR(MATCH(IF($B317="Robusta","Robusta",(IF($B317="","Arabica",$B317))&amp;" - "&amp;(IF($C317="","Commercial",$C317))),Variables!$B$1:$D$1,0),1))*AK317)+(W317*INDEX(Variables!$B$9:$D$9,IFERROR(MATCH(IF($B317="Robusta","Robusta",(IF($B317="","Arabica",$B317))&amp;" - "&amp;(IF($C317="","Commercial",$C317))),Variables!$B$1:$D$1,0),1))*AK317/365),""))</f>
        <v>21.774977979835747</v>
      </c>
      <c r="BI317" s="44">
        <f>IF($AX317="Cancelled","",IFERROR((W317*INDEX(Variables!$B$7:$D$7,IFERROR(MATCH(IF($B317="Robusta","Robusta",(IF($B317="","Arabica",$B317))&amp;" - "&amp;(IF($C317="","Commercial",$C317))),Variables!$B$1:$D$1,0),1))*BD317/365)+(L317/16.67*INDEX(Variables!$B$8:$D$8,IFERROR(MATCH(IF($B317="Robusta","Robusta",(IF($B317="","Arabica",$B317))&amp;" - "&amp;(IF($C317="","Commercial",$C317))),Variables!$B$1:$D$1,0),1))*BD317)+(W317*INDEX(Variables!$B$9:$D$9,IFERROR(MATCH(IF($B317="Robusta","Robusta",(IF($B317="","Arabica",$B317))&amp;" - "&amp;(IF($C317="","Commercial",$C317))),Variables!$B$1:$D$1,0),1))*BD317/365),""))</f>
        <v>8.1656167424384041</v>
      </c>
      <c r="BJ317" s="44">
        <f t="shared" si="14"/>
        <v>-20</v>
      </c>
      <c r="BK317" s="44">
        <f>IF($AX317="Cancelled","",IFERROR(IF(BJ317="","",(W317*INDEX(Variables!$B$7:$D$7,IFERROR(MATCH(IF($B317="Robusta","Robusta",(IF($B317="","Arabica",$B317))&amp;" - "&amp;(IF($C317="","Commercial",$C317))),Variables!$B$1:$D$1,0),1))*(BJ317/365))+(W317*INDEX(Variables!$B$9:$D$9,IFERROR(MATCH(IF($B317="Robusta","Robusta",(IF($B317="","Arabica",$B317))&amp;" - "&amp;(IF($C317="","Commercial",$C317))),Variables!$B$1:$D$1,0),1))*(BJ317/365))+(INDEX(Variables!$B$8:$D$8,IFERROR(MATCH(IF($B317="Robusta","Robusta",(IF($B317="","Arabica",$B317))&amp;" - "&amp;(IF($C317="","Commercial",$C317))),Variables!$B$1:$D$1,0),1))*L317/16.67)),""))</f>
        <v>-33.437444949589363</v>
      </c>
    </row>
    <row r="318" spans="1:63">
      <c r="A318" s="13" t="s">
        <v>103</v>
      </c>
      <c r="B318" s="13" t="s">
        <v>104</v>
      </c>
      <c r="C318" s="13" t="s">
        <v>292</v>
      </c>
      <c r="D318" s="31">
        <v>45722</v>
      </c>
      <c r="E318" s="31">
        <v>45717</v>
      </c>
      <c r="F318" s="31">
        <v>45747</v>
      </c>
      <c r="G318" s="13">
        <v>3786805</v>
      </c>
      <c r="H318" s="13" t="s">
        <v>997</v>
      </c>
      <c r="J318" s="13" t="s">
        <v>294</v>
      </c>
      <c r="K318" s="13" t="s">
        <v>998</v>
      </c>
      <c r="L318" s="13">
        <v>25</v>
      </c>
      <c r="M318" s="13">
        <v>0</v>
      </c>
      <c r="N318" s="13" t="s">
        <v>999</v>
      </c>
      <c r="O318" s="13" t="s">
        <v>771</v>
      </c>
      <c r="P318" s="13">
        <v>10010</v>
      </c>
      <c r="R318" s="13" t="s">
        <v>384</v>
      </c>
      <c r="S318" s="13" t="s">
        <v>977</v>
      </c>
      <c r="T318" s="13" t="s">
        <v>438</v>
      </c>
      <c r="U318" s="13" t="s">
        <v>182</v>
      </c>
      <c r="V318" s="13">
        <v>125</v>
      </c>
      <c r="W318" s="44">
        <f>IF($AX318="Cancelled","",IFERROR(((V318+INDEX(Variables!$B$6:$D$6,IFERROR(MATCH(IF($B318="Robusta","Robusta",(IF($B318="","Arabica",$B318))&amp;" - "&amp;(IF($C318="","Commercial",$C318))),Variables!$B$1:$D$1,0),1)))*22.0462)*(L318/16.67),""))</f>
        <v>13747.465446910617</v>
      </c>
      <c r="X318" s="55" t="s">
        <v>39</v>
      </c>
      <c r="Y318" s="13" t="str">
        <f>IF($AX318="Cancelled","",IF(X318="","",IFERROR(IF(INDEX(Variables!$B$38:$B$47,MATCH(X318,Variables!$A$38:$A$47,0))="Yes","Yes","No"),"No")))</f>
        <v>No</v>
      </c>
      <c r="Z318" s="31"/>
      <c r="AB318" s="31">
        <v>45702.875</v>
      </c>
      <c r="AC318" s="13" t="str">
        <f t="shared" si="12"/>
        <v>Approved</v>
      </c>
      <c r="AF318" s="71">
        <f>AJ318-7</f>
        <v>45748</v>
      </c>
      <c r="AG318" s="36">
        <f>IF($AX318="Cancelled","",IFERROR(IF(F318="","",F318-Variables!$B$13),""))</f>
        <v>45732</v>
      </c>
      <c r="AH318" s="13">
        <f>IF($AX318="Cancelled","",IFERROR(IF(AB318="","",(AVERAGE(E318:F318)-AB318)-Variables!$B$14),""))</f>
        <v>-0.875</v>
      </c>
      <c r="AJ318" s="47">
        <v>45755</v>
      </c>
      <c r="AK318" s="14">
        <f>IF($AX318="Cancelled","",IFERROR(IF(AJ318="","",IF(AND(AB318="",AF318=""),"",IF(AF318&gt;AB318,AF318+Variables!$B$15+Variables!$B$16+Variables!$B$17-AJ318,AB318+Variables!$B$16+Variables!$B$17-AJ318))),""))</f>
        <v>8</v>
      </c>
      <c r="AL318" s="48" t="s">
        <v>864</v>
      </c>
      <c r="AM318" s="13" t="s">
        <v>115</v>
      </c>
      <c r="AN318" s="13" t="s">
        <v>899</v>
      </c>
      <c r="AP318" s="31">
        <v>45764</v>
      </c>
      <c r="AR318" s="13">
        <v>252042698</v>
      </c>
      <c r="AS318" s="31">
        <v>45767</v>
      </c>
      <c r="AU318" s="31">
        <v>45775</v>
      </c>
      <c r="AV318" s="13" t="s">
        <v>3269</v>
      </c>
      <c r="AW318" s="31">
        <v>45804</v>
      </c>
      <c r="AX318" s="13" t="str">
        <f>IF(ISNUMBER(SEARCH("cancel",#REF!)),"Cancelled",IF(AND(AS318&lt;&gt;"",AU318&lt;&gt;"",AW318&lt;&gt;""),"Closed","Open"))</f>
        <v>Closed</v>
      </c>
      <c r="AY318" s="15" t="str">
        <f t="shared" si="13"/>
        <v>All dates received</v>
      </c>
      <c r="BD318" s="13">
        <f>IF($AX318="Cancelled","",IFERROR(IF(OR(AS318="",AJ318=""),"",(AJ318+Variables!$B$18-AS318)),""))</f>
        <v>3</v>
      </c>
      <c r="BE318" s="13">
        <f>IF($AX318="Cancelled","",IFERROR(IF(OR(AW318="",AS318=""),"",(AS318+Variables!$B$19)-AW318),""))</f>
        <v>-32</v>
      </c>
      <c r="BF318" s="44">
        <f>IF($AX318="Cancelled","",IFERROR(W318*INDEX(Variables!$B$7:$D$7,IFERROR(MATCH(IF($B318="Robusta","Robusta",(IF($B318="","Arabica",$B318))&amp;" - "&amp;(IF($C318="","Commercial",$C318))),Variables!$B$1:$D$1,0),1))*(BE318/365),""))</f>
        <v>-77.717638701657421</v>
      </c>
      <c r="BG318" s="44">
        <f>IF($AX318="Cancelled","",IFERROR((W318*INDEX(Variables!$B$7:$D$7,IFERROR(MATCH(IF($B318="Robusta","Robusta",(IF($B318="","Arabica",$B318))&amp;" - "&amp;(IF($C318="","Commercial",$C318))),Variables!$B$1:$D$1,0),1))*IFERROR(IF(AB318="","",(AVERAGE(E318:F318)-AB318)-Variables!$B$14),"")/365)+(L318/16.67*INDEX(Variables!$B$8:$D$8,IFERROR(MATCH(IF($B318="Robusta","Robusta",(IF($B318="","Arabica",$B318))&amp;" - "&amp;(IF($C318="","Commercial",$C318))),Variables!$B$1:$D$1,0),1))*IFERROR(IF(AB318="","",(AVERAGE(E318:F318)-AB318)-Variables!$B$14),""))+(W318*INDEX(Variables!$B$9:$D$9,IFERROR(MATCH(IF($B318="Robusta","Robusta",(IF($B318="","Arabica",$B318))&amp;" - "&amp;(IF($C318="","Commercial",$C318))),Variables!$B$1:$D$1,0),1))*IFERROR(IF(AB318="","",(AVERAGE(E318:F318)-AB318)-Variables!$B$14),"")/365),""))</f>
        <v>-3.2462382161875265</v>
      </c>
      <c r="BH318" s="44">
        <f>IF($AX318="Cancelled","",IFERROR((W318*INDEX(Variables!$B$7:$D$7,IFERROR(MATCH(IF($B318="Robusta","Robusta",(IF($B318="","Arabica",$B318))&amp;" - "&amp;(IF($C318="","Commercial",$C318))),Variables!$B$1:$D$1,0),1))*AK318/365)+(L318/16.67*INDEX(Variables!$B$8:$D$8,IFERROR(MATCH(IF($B318="Robusta","Robusta",(IF($B318="","Arabica",$B318))&amp;" - "&amp;(IF($C318="","Commercial",$C318))),Variables!$B$1:$D$1,0),1))*AK318)+(W318*INDEX(Variables!$B$9:$D$9,IFERROR(MATCH(IF($B318="Robusta","Robusta",(IF($B318="","Arabica",$B318))&amp;" - "&amp;(IF($C318="","Commercial",$C318))),Variables!$B$1:$D$1,0),1))*AK318/365),""))</f>
        <v>29.679892262285957</v>
      </c>
      <c r="BI318" s="44">
        <f>IF($AX318="Cancelled","",IFERROR((W318*INDEX(Variables!$B$7:$D$7,IFERROR(MATCH(IF($B318="Robusta","Robusta",(IF($B318="","Arabica",$B318))&amp;" - "&amp;(IF($C318="","Commercial",$C318))),Variables!$B$1:$D$1,0),1))*BD318/365)+(L318/16.67*INDEX(Variables!$B$8:$D$8,IFERROR(MATCH(IF($B318="Robusta","Robusta",(IF($B318="","Arabica",$B318))&amp;" - "&amp;(IF($C318="","Commercial",$C318))),Variables!$B$1:$D$1,0),1))*BD318)+(W318*INDEX(Variables!$B$9:$D$9,IFERROR(MATCH(IF($B318="Robusta","Robusta",(IF($B318="","Arabica",$B318))&amp;" - "&amp;(IF($C318="","Commercial",$C318))),Variables!$B$1:$D$1,0),1))*BD318/365),""))</f>
        <v>11.129959598357233</v>
      </c>
      <c r="BJ318" s="44">
        <f t="shared" si="14"/>
        <v>-20</v>
      </c>
      <c r="BK318" s="44">
        <f>IF($AX318="Cancelled","",IFERROR(IF(BJ318="","",(W318*INDEX(Variables!$B$7:$D$7,IFERROR(MATCH(IF($B318="Robusta","Robusta",(IF($B318="","Arabica",$B318))&amp;" - "&amp;(IF($C318="","Commercial",$C318))),Variables!$B$1:$D$1,0),1))*(BJ318/365))+(W318*INDEX(Variables!$B$9:$D$9,IFERROR(MATCH(IF($B318="Robusta","Robusta",(IF($B318="","Arabica",$B318))&amp;" - "&amp;(IF($C318="","Commercial",$C318))),Variables!$B$1:$D$1,0),1))*(BJ318/365))+(INDEX(Variables!$B$8:$D$8,IFERROR(MATCH(IF($B318="Robusta","Robusta",(IF($B318="","Arabica",$B318))&amp;" - "&amp;(IF($C318="","Commercial",$C318))),Variables!$B$1:$D$1,0),1))*L318/16.67)),""))</f>
        <v>-47.949730655714887</v>
      </c>
    </row>
    <row r="319" spans="1:63">
      <c r="A319" s="13" t="s">
        <v>103</v>
      </c>
      <c r="B319" s="13" t="s">
        <v>104</v>
      </c>
      <c r="C319" s="13" t="s">
        <v>292</v>
      </c>
      <c r="D319" s="31">
        <v>45722</v>
      </c>
      <c r="E319" s="31">
        <v>45717</v>
      </c>
      <c r="F319" s="31">
        <v>45747</v>
      </c>
      <c r="G319" s="13">
        <v>3786806</v>
      </c>
      <c r="H319" s="13" t="s">
        <v>997</v>
      </c>
      <c r="J319" s="13" t="s">
        <v>294</v>
      </c>
      <c r="K319" s="13" t="s">
        <v>1000</v>
      </c>
      <c r="L319" s="13">
        <v>5</v>
      </c>
      <c r="M319" s="13">
        <v>0</v>
      </c>
      <c r="N319" s="13" t="s">
        <v>1001</v>
      </c>
      <c r="O319" s="13" t="s">
        <v>771</v>
      </c>
      <c r="P319" s="13">
        <v>10010</v>
      </c>
      <c r="R319" s="13" t="s">
        <v>384</v>
      </c>
      <c r="S319" s="13" t="s">
        <v>977</v>
      </c>
      <c r="T319" s="13" t="s">
        <v>438</v>
      </c>
      <c r="U319" s="13" t="s">
        <v>182</v>
      </c>
      <c r="V319" s="13">
        <v>125</v>
      </c>
      <c r="W319" s="44">
        <f>IF($AX319="Cancelled","",IFERROR(((V319+INDEX(Variables!$B$6:$D$6,IFERROR(MATCH(IF($B319="Robusta","Robusta",(IF($B319="","Arabica",$B319))&amp;" - "&amp;(IF($C319="","Commercial",$C319))),Variables!$B$1:$D$1,0),1)))*22.0462)*(L319/16.67),""))</f>
        <v>2749.4930893821233</v>
      </c>
      <c r="X319" s="55" t="s">
        <v>39</v>
      </c>
      <c r="Y319" s="13" t="str">
        <f>IF($AX319="Cancelled","",IF(X319="","",IFERROR(IF(INDEX(Variables!$B$38:$B$47,MATCH(X319,Variables!$A$38:$A$47,0))="Yes","Yes","No"),"No")))</f>
        <v>No</v>
      </c>
      <c r="Z319" s="31"/>
      <c r="AB319" s="31">
        <v>45702.875</v>
      </c>
      <c r="AC319" s="13" t="str">
        <f t="shared" si="12"/>
        <v>Approved</v>
      </c>
      <c r="AF319" s="71">
        <f>AJ319-7</f>
        <v>45748</v>
      </c>
      <c r="AG319" s="36">
        <f>IF($AX319="Cancelled","",IFERROR(IF(F319="","",F319-Variables!$B$13),""))</f>
        <v>45732</v>
      </c>
      <c r="AH319" s="13">
        <f>IF($AX319="Cancelled","",IFERROR(IF(AB319="","",(AVERAGE(E319:F319)-AB319)-Variables!$B$14),""))</f>
        <v>-0.875</v>
      </c>
      <c r="AJ319" s="47">
        <v>45755</v>
      </c>
      <c r="AK319" s="14">
        <f>IF($AX319="Cancelled","",IFERROR(IF(AJ319="","",IF(AND(AB319="",AF319=""),"",IF(AF319&gt;AB319,AF319+Variables!$B$15+Variables!$B$16+Variables!$B$17-AJ319,AB319+Variables!$B$16+Variables!$B$17-AJ319))),""))</f>
        <v>8</v>
      </c>
      <c r="AL319" s="48" t="s">
        <v>864</v>
      </c>
      <c r="AM319" s="13" t="s">
        <v>115</v>
      </c>
      <c r="AN319" s="13" t="s">
        <v>899</v>
      </c>
      <c r="AP319" s="31">
        <v>45764</v>
      </c>
      <c r="AR319" s="13">
        <v>252042698</v>
      </c>
      <c r="AS319" s="31">
        <v>45767</v>
      </c>
      <c r="AU319" s="31">
        <v>45775</v>
      </c>
      <c r="AV319" s="13" t="s">
        <v>3269</v>
      </c>
      <c r="AW319" s="31">
        <v>45804</v>
      </c>
      <c r="AX319" s="13" t="str">
        <f>IF(ISNUMBER(SEARCH("cancel",#REF!)),"Cancelled",IF(AND(AS319&lt;&gt;"",AU319&lt;&gt;"",AW319&lt;&gt;""),"Closed","Open"))</f>
        <v>Closed</v>
      </c>
      <c r="AY319" s="15" t="str">
        <f t="shared" si="13"/>
        <v>All dates received</v>
      </c>
      <c r="BD319" s="13">
        <f>IF($AX319="Cancelled","",IFERROR(IF(OR(AS319="",AJ319=""),"",(AJ319+Variables!$B$18-AS319)),""))</f>
        <v>3</v>
      </c>
      <c r="BE319" s="13">
        <f>IF($AX319="Cancelled","",IFERROR(IF(OR(AW319="",AS319=""),"",(AS319+Variables!$B$19)-AW319),""))</f>
        <v>-32</v>
      </c>
      <c r="BF319" s="44">
        <f>IF($AX319="Cancelled","",IFERROR(W319*INDEX(Variables!$B$7:$D$7,IFERROR(MATCH(IF($B319="Robusta","Robusta",(IF($B319="","Arabica",$B319))&amp;" - "&amp;(IF($C319="","Commercial",$C319))),Variables!$B$1:$D$1,0),1))*(BE319/365),""))</f>
        <v>-15.543527740331482</v>
      </c>
      <c r="BG319" s="44">
        <f>IF($AX319="Cancelled","",IFERROR((W319*INDEX(Variables!$B$7:$D$7,IFERROR(MATCH(IF($B319="Robusta","Robusta",(IF($B319="","Arabica",$B319))&amp;" - "&amp;(IF($C319="","Commercial",$C319))),Variables!$B$1:$D$1,0),1))*IFERROR(IF(AB319="","",(AVERAGE(E319:F319)-AB319)-Variables!$B$14),"")/365)+(L319/16.67*INDEX(Variables!$B$8:$D$8,IFERROR(MATCH(IF($B319="Robusta","Robusta",(IF($B319="","Arabica",$B319))&amp;" - "&amp;(IF($C319="","Commercial",$C319))),Variables!$B$1:$D$1,0),1))*IFERROR(IF(AB319="","",(AVERAGE(E319:F319)-AB319)-Variables!$B$14),""))+(W319*INDEX(Variables!$B$9:$D$9,IFERROR(MATCH(IF($B319="Robusta","Robusta",(IF($B319="","Arabica",$B319))&amp;" - "&amp;(IF($C319="","Commercial",$C319))),Variables!$B$1:$D$1,0),1))*IFERROR(IF(AB319="","",(AVERAGE(E319:F319)-AB319)-Variables!$B$14),"")/365),""))</f>
        <v>-0.64924764323750528</v>
      </c>
      <c r="BH319" s="44">
        <f>IF($AX319="Cancelled","",IFERROR((W319*INDEX(Variables!$B$7:$D$7,IFERROR(MATCH(IF($B319="Robusta","Robusta",(IF($B319="","Arabica",$B319))&amp;" - "&amp;(IF($C319="","Commercial",$C319))),Variables!$B$1:$D$1,0),1))*AK319/365)+(L319/16.67*INDEX(Variables!$B$8:$D$8,IFERROR(MATCH(IF($B319="Robusta","Robusta",(IF($B319="","Arabica",$B319))&amp;" - "&amp;(IF($C319="","Commercial",$C319))),Variables!$B$1:$D$1,0),1))*AK319)+(W319*INDEX(Variables!$B$9:$D$9,IFERROR(MATCH(IF($B319="Robusta","Robusta",(IF($B319="","Arabica",$B319))&amp;" - "&amp;(IF($C319="","Commercial",$C319))),Variables!$B$1:$D$1,0),1))*AK319/365),""))</f>
        <v>5.9359784524571912</v>
      </c>
      <c r="BI319" s="44">
        <f>IF($AX319="Cancelled","",IFERROR((W319*INDEX(Variables!$B$7:$D$7,IFERROR(MATCH(IF($B319="Robusta","Robusta",(IF($B319="","Arabica",$B319))&amp;" - "&amp;(IF($C319="","Commercial",$C319))),Variables!$B$1:$D$1,0),1))*BD319/365)+(L319/16.67*INDEX(Variables!$B$8:$D$8,IFERROR(MATCH(IF($B319="Robusta","Robusta",(IF($B319="","Arabica",$B319))&amp;" - "&amp;(IF($C319="","Commercial",$C319))),Variables!$B$1:$D$1,0),1))*BD319)+(W319*INDEX(Variables!$B$9:$D$9,IFERROR(MATCH(IF($B319="Robusta","Robusta",(IF($B319="","Arabica",$B319))&amp;" - "&amp;(IF($C319="","Commercial",$C319))),Variables!$B$1:$D$1,0),1))*BD319/365),""))</f>
        <v>2.2259919196714466</v>
      </c>
      <c r="BJ319" s="44">
        <f t="shared" si="14"/>
        <v>-20</v>
      </c>
      <c r="BK319" s="44">
        <f>IF($AX319="Cancelled","",IFERROR(IF(BJ319="","",(W319*INDEX(Variables!$B$7:$D$7,IFERROR(MATCH(IF($B319="Robusta","Robusta",(IF($B319="","Arabica",$B319))&amp;" - "&amp;(IF($C319="","Commercial",$C319))),Variables!$B$1:$D$1,0),1))*(BJ319/365))+(W319*INDEX(Variables!$B$9:$D$9,IFERROR(MATCH(IF($B319="Robusta","Robusta",(IF($B319="","Arabica",$B319))&amp;" - "&amp;(IF($C319="","Commercial",$C319))),Variables!$B$1:$D$1,0),1))*(BJ319/365))+(INDEX(Variables!$B$8:$D$8,IFERROR(MATCH(IF($B319="Robusta","Robusta",(IF($B319="","Arabica",$B319))&amp;" - "&amp;(IF($C319="","Commercial",$C319))),Variables!$B$1:$D$1,0),1))*L319/16.67)),""))</f>
        <v>-9.5899461311429768</v>
      </c>
    </row>
    <row r="320" spans="1:63">
      <c r="A320" s="13" t="s">
        <v>103</v>
      </c>
      <c r="B320" s="13" t="s">
        <v>104</v>
      </c>
      <c r="C320" s="13" t="s">
        <v>292</v>
      </c>
      <c r="D320" s="31">
        <v>45722</v>
      </c>
      <c r="E320" s="31">
        <v>45717</v>
      </c>
      <c r="F320" s="31">
        <v>45747</v>
      </c>
      <c r="G320" s="13">
        <v>3786807</v>
      </c>
      <c r="H320" s="13" t="s">
        <v>1002</v>
      </c>
      <c r="J320" s="13" t="s">
        <v>294</v>
      </c>
      <c r="K320" s="13" t="s">
        <v>1003</v>
      </c>
      <c r="L320" s="13">
        <v>18</v>
      </c>
      <c r="M320" s="13">
        <v>0</v>
      </c>
      <c r="N320" s="13" t="s">
        <v>1004</v>
      </c>
      <c r="O320" s="13" t="s">
        <v>925</v>
      </c>
      <c r="P320" s="13">
        <v>10020</v>
      </c>
      <c r="R320" s="13" t="s">
        <v>384</v>
      </c>
      <c r="S320" s="13" t="s">
        <v>977</v>
      </c>
      <c r="T320" s="13" t="s">
        <v>438</v>
      </c>
      <c r="U320" s="13" t="s">
        <v>182</v>
      </c>
      <c r="V320" s="13">
        <v>93</v>
      </c>
      <c r="W320" s="44">
        <f>IF($AX320="Cancelled","",IFERROR(((V320+INDEX(Variables!$B$6:$D$6,IFERROR(MATCH(IF($B320="Robusta","Robusta",(IF($B320="","Arabica",$B320))&amp;" - "&amp;(IF($C320="","Commercial",$C320))),Variables!$B$1:$D$1,0),1)))*22.0462)*(L320/16.67),""))</f>
        <v>9136.4108026394715</v>
      </c>
      <c r="X320" s="55" t="s">
        <v>39</v>
      </c>
      <c r="Y320" s="13" t="str">
        <f>IF($AX320="Cancelled","",IF(X320="","",IFERROR(IF(INDEX(Variables!$B$38:$B$47,MATCH(X320,Variables!$A$38:$A$47,0))="Yes","Yes","No"),"No")))</f>
        <v>No</v>
      </c>
      <c r="Z320" s="31"/>
      <c r="AB320" s="31">
        <v>45702.875</v>
      </c>
      <c r="AC320" s="13" t="str">
        <f t="shared" si="12"/>
        <v>Approved</v>
      </c>
      <c r="AF320" s="71">
        <f>AJ320-7</f>
        <v>45748</v>
      </c>
      <c r="AG320" s="36">
        <f>IF($AX320="Cancelled","",IFERROR(IF(F320="","",F320-Variables!$B$13),""))</f>
        <v>45732</v>
      </c>
      <c r="AH320" s="13">
        <f>IF($AX320="Cancelled","",IFERROR(IF(AB320="","",(AVERAGE(E320:F320)-AB320)-Variables!$B$14),""))</f>
        <v>-0.875</v>
      </c>
      <c r="AJ320" s="47">
        <v>45755</v>
      </c>
      <c r="AK320" s="14">
        <f>IF($AX320="Cancelled","",IFERROR(IF(AJ320="","",IF(AND(AB320="",AF320=""),"",IF(AF320&gt;AB320,AF320+Variables!$B$15+Variables!$B$16+Variables!$B$17-AJ320,AB320+Variables!$B$16+Variables!$B$17-AJ320))),""))</f>
        <v>8</v>
      </c>
      <c r="AL320" s="48" t="s">
        <v>864</v>
      </c>
      <c r="AM320" s="13" t="s">
        <v>115</v>
      </c>
      <c r="AN320" s="13" t="s">
        <v>899</v>
      </c>
      <c r="AP320" s="31">
        <v>45764</v>
      </c>
      <c r="AR320" s="13">
        <v>252042698</v>
      </c>
      <c r="AS320" s="31">
        <v>45767</v>
      </c>
      <c r="AU320" s="31">
        <v>45775</v>
      </c>
      <c r="AV320" s="13" t="s">
        <v>3269</v>
      </c>
      <c r="AW320" s="31">
        <v>45804</v>
      </c>
      <c r="AX320" s="13" t="str">
        <f>IF(ISNUMBER(SEARCH("cancel",#REF!)),"Cancelled",IF(AND(AS320&lt;&gt;"",AU320&lt;&gt;"",AW320&lt;&gt;""),"Closed","Open"))</f>
        <v>Closed</v>
      </c>
      <c r="AY320" s="15" t="str">
        <f t="shared" si="13"/>
        <v>All dates received</v>
      </c>
      <c r="BD320" s="13">
        <f>IF($AX320="Cancelled","",IFERROR(IF(OR(AS320="",AJ320=""),"",(AJ320+Variables!$B$18-AS320)),""))</f>
        <v>3</v>
      </c>
      <c r="BE320" s="13">
        <f>IF($AX320="Cancelled","",IFERROR(IF(OR(AW320="",AS320=""),"",(AS320+Variables!$B$19)-AW320),""))</f>
        <v>-32</v>
      </c>
      <c r="BF320" s="44">
        <f>IF($AX320="Cancelled","",IFERROR(W320*INDEX(Variables!$B$7:$D$7,IFERROR(MATCH(IF($B320="Robusta","Robusta",(IF($B320="","Arabica",$B320))&amp;" - "&amp;(IF($C320="","Commercial",$C320))),Variables!$B$1:$D$1,0),1))*(BE320/365),""))</f>
        <v>-51.650267937136135</v>
      </c>
      <c r="BG320" s="44">
        <f>IF($AX320="Cancelled","",IFERROR((W320*INDEX(Variables!$B$7:$D$7,IFERROR(MATCH(IF($B320="Robusta","Robusta",(IF($B320="","Arabica",$B320))&amp;" - "&amp;(IF($C320="","Commercial",$C320))),Variables!$B$1:$D$1,0),1))*IFERROR(IF(AB320="","",(AVERAGE(E320:F320)-AB320)-Variables!$B$14),"")/365)+(L320/16.67*INDEX(Variables!$B$8:$D$8,IFERROR(MATCH(IF($B320="Robusta","Robusta",(IF($B320="","Arabica",$B320))&amp;" - "&amp;(IF($C320="","Commercial",$C320))),Variables!$B$1:$D$1,0),1))*IFERROR(IF(AB320="","",(AVERAGE(E320:F320)-AB320)-Variables!$B$14),""))+(W320*INDEX(Variables!$B$9:$D$9,IFERROR(MATCH(IF($B320="Robusta","Robusta",(IF($B320="","Arabica",$B320))&amp;" - "&amp;(IF($C320="","Commercial",$C320))),Variables!$B$1:$D$1,0),1))*IFERROR(IF(AB320="","",(AVERAGE(E320:F320)-AB320)-Variables!$B$14),"")/365),""))</f>
        <v>-2.2180194413381344</v>
      </c>
      <c r="BH320" s="44">
        <f>IF($AX320="Cancelled","",IFERROR((W320*INDEX(Variables!$B$7:$D$7,IFERROR(MATCH(IF($B320="Robusta","Robusta",(IF($B320="","Arabica",$B320))&amp;" - "&amp;(IF($C320="","Commercial",$C320))),Variables!$B$1:$D$1,0),1))*AK320/365)+(L320/16.67*INDEX(Variables!$B$8:$D$8,IFERROR(MATCH(IF($B320="Robusta","Robusta",(IF($B320="","Arabica",$B320))&amp;" - "&amp;(IF($C320="","Commercial",$C320))),Variables!$B$1:$D$1,0),1))*AK320)+(W320*INDEX(Variables!$B$9:$D$9,IFERROR(MATCH(IF($B320="Robusta","Robusta",(IF($B320="","Arabica",$B320))&amp;" - "&amp;(IF($C320="","Commercial",$C320))),Variables!$B$1:$D$1,0),1))*AK320/365),""))</f>
        <v>20.279034892234375</v>
      </c>
      <c r="BI320" s="44">
        <f>IF($AX320="Cancelled","",IFERROR((W320*INDEX(Variables!$B$7:$D$7,IFERROR(MATCH(IF($B320="Robusta","Robusta",(IF($B320="","Arabica",$B320))&amp;" - "&amp;(IF($C320="","Commercial",$C320))),Variables!$B$1:$D$1,0),1))*BD320/365)+(L320/16.67*INDEX(Variables!$B$8:$D$8,IFERROR(MATCH(IF($B320="Robusta","Robusta",(IF($B320="","Arabica",$B320))&amp;" - "&amp;(IF($C320="","Commercial",$C320))),Variables!$B$1:$D$1,0),1))*BD320)+(W320*INDEX(Variables!$B$9:$D$9,IFERROR(MATCH(IF($B320="Robusta","Robusta",(IF($B320="","Arabica",$B320))&amp;" - "&amp;(IF($C320="","Commercial",$C320))),Variables!$B$1:$D$1,0),1))*BD320/365),""))</f>
        <v>7.60463808458789</v>
      </c>
      <c r="BJ320" s="44">
        <f t="shared" si="14"/>
        <v>-20</v>
      </c>
      <c r="BK320" s="44">
        <f>IF($AX320="Cancelled","",IFERROR(IF(BJ320="","",(W320*INDEX(Variables!$B$7:$D$7,IFERROR(MATCH(IF($B320="Robusta","Robusta",(IF($B320="","Arabica",$B320))&amp;" - "&amp;(IF($C320="","Commercial",$C320))),Variables!$B$1:$D$1,0),1))*(BJ320/365))+(W320*INDEX(Variables!$B$9:$D$9,IFERROR(MATCH(IF($B320="Robusta","Robusta",(IF($B320="","Arabica",$B320))&amp;" - "&amp;(IF($C320="","Commercial",$C320))),Variables!$B$1:$D$1,0),1))*(BJ320/365))+(INDEX(Variables!$B$8:$D$8,IFERROR(MATCH(IF($B320="Robusta","Robusta",(IF($B320="","Arabica",$B320))&amp;" - "&amp;(IF($C320="","Commercial",$C320))),Variables!$B$1:$D$1,0),1))*L320/16.67)),""))</f>
        <v>-31.797587230585926</v>
      </c>
    </row>
    <row r="321" spans="1:63">
      <c r="A321" s="13" t="s">
        <v>103</v>
      </c>
      <c r="B321" s="13" t="s">
        <v>104</v>
      </c>
      <c r="C321" s="13" t="s">
        <v>292</v>
      </c>
      <c r="D321" s="31">
        <v>45722</v>
      </c>
      <c r="E321" s="31">
        <v>45717</v>
      </c>
      <c r="F321" s="31">
        <v>45747</v>
      </c>
      <c r="G321" s="13">
        <v>3786808</v>
      </c>
      <c r="J321" s="13" t="s">
        <v>294</v>
      </c>
      <c r="K321" s="13" t="s">
        <v>1005</v>
      </c>
      <c r="L321" s="13">
        <v>60</v>
      </c>
      <c r="M321" s="13">
        <v>1</v>
      </c>
      <c r="N321" s="13" t="s">
        <v>1006</v>
      </c>
      <c r="O321" s="13" t="s">
        <v>925</v>
      </c>
      <c r="P321" s="13">
        <v>10020</v>
      </c>
      <c r="R321" s="13" t="s">
        <v>384</v>
      </c>
      <c r="S321" s="13" t="s">
        <v>299</v>
      </c>
      <c r="T321" s="13" t="s">
        <v>305</v>
      </c>
      <c r="U321" s="13" t="s">
        <v>125</v>
      </c>
      <c r="V321" s="13">
        <v>112</v>
      </c>
      <c r="W321" s="44">
        <f>IF($AX321="Cancelled","",IFERROR(((V321+INDEX(Variables!$B$6:$D$6,IFERROR(MATCH(IF($B321="Robusta","Robusta",(IF($B321="","Arabica",$B321))&amp;" - "&amp;(IF($C321="","Commercial",$C321))),Variables!$B$1:$D$1,0),1)))*22.0462)*(L321/16.67),""))</f>
        <v>31962.361223755241</v>
      </c>
      <c r="X321" s="55" t="s">
        <v>39</v>
      </c>
      <c r="Y321" s="13" t="str">
        <f>IF($AX321="Cancelled","",IF(X321="","",IFERROR(IF(INDEX(Variables!$B$38:$B$47,MATCH(X321,Variables!$A$38:$A$47,0))="Yes","Yes","No"),"No")))</f>
        <v>No</v>
      </c>
      <c r="Z321" s="31"/>
      <c r="AB321" s="31">
        <v>45702.875</v>
      </c>
      <c r="AC321" s="13" t="str">
        <f t="shared" si="12"/>
        <v>Approved</v>
      </c>
      <c r="AF321" s="71">
        <f>AJ321-7</f>
        <v>45784</v>
      </c>
      <c r="AG321" s="36">
        <f>IF($AX321="Cancelled","",IFERROR(IF(F321="","",F321-Variables!$B$13),""))</f>
        <v>45732</v>
      </c>
      <c r="AH321" s="13">
        <f>IF($AX321="Cancelled","",IFERROR(IF(AB321="","",(AVERAGE(E321:F321)-AB321)-Variables!$B$14),""))</f>
        <v>-0.875</v>
      </c>
      <c r="AJ321" s="47">
        <v>45791</v>
      </c>
      <c r="AK321" s="14">
        <f>IF($AX321="Cancelled","",IFERROR(IF(AJ321="","",IF(AND(AB321="",AF321=""),"",IF(AF321&gt;AB321,AF321+Variables!$B$15+Variables!$B$16+Variables!$B$17-AJ321,AB321+Variables!$B$16+Variables!$B$17-AJ321))),""))</f>
        <v>8</v>
      </c>
      <c r="AL321" s="48" t="s">
        <v>864</v>
      </c>
      <c r="AM321" s="13" t="s">
        <v>168</v>
      </c>
      <c r="AN321" s="13" t="s">
        <v>334</v>
      </c>
      <c r="AP321" s="31">
        <v>45810</v>
      </c>
      <c r="AR321" s="13" t="s">
        <v>3257</v>
      </c>
      <c r="AS321" s="31">
        <v>45813</v>
      </c>
      <c r="AU321" s="31">
        <v>45818</v>
      </c>
      <c r="AV321" s="13" t="s">
        <v>3270</v>
      </c>
      <c r="AW321" s="31">
        <v>45820</v>
      </c>
      <c r="AX321" s="13" t="str">
        <f>IF(ISNUMBER(SEARCH("cancel",#REF!)),"Cancelled",IF(AND(AS321&lt;&gt;"",AU321&lt;&gt;"",AW321&lt;&gt;""),"Closed","Open"))</f>
        <v>Closed</v>
      </c>
      <c r="AY321" s="15" t="str">
        <f t="shared" si="13"/>
        <v>All dates received</v>
      </c>
      <c r="BD321" s="13">
        <f>IF($AX321="Cancelled","",IFERROR(IF(OR(AS321="",AJ321=""),"",(AJ321+Variables!$B$18-AS321)),""))</f>
        <v>-7</v>
      </c>
      <c r="BE321" s="13">
        <f>IF($AX321="Cancelled","",IFERROR(IF(OR(AW321="",AS321=""),"",(AS321+Variables!$B$19)-AW321),""))</f>
        <v>-2</v>
      </c>
      <c r="BF321" s="44">
        <f>IF($AX321="Cancelled","",IFERROR(W321*INDEX(Variables!$B$7:$D$7,IFERROR(MATCH(IF($B321="Robusta","Robusta",(IF($B321="","Arabica",$B321))&amp;" - "&amp;(IF($C321="","Commercial",$C321))),Variables!$B$1:$D$1,0),1))*(BE321/365),""))</f>
        <v>-11.293169144670852</v>
      </c>
      <c r="BG321" s="44">
        <f>IF($AX321="Cancelled","",IFERROR((W321*INDEX(Variables!$B$7:$D$7,IFERROR(MATCH(IF($B321="Robusta","Robusta",(IF($B321="","Arabica",$B321))&amp;" - "&amp;(IF($C321="","Commercial",$C321))),Variables!$B$1:$D$1,0),1))*IFERROR(IF(AB321="","",(AVERAGE(E321:F321)-AB321)-Variables!$B$14),"")/365)+(L321/16.67*INDEX(Variables!$B$8:$D$8,IFERROR(MATCH(IF($B321="Robusta","Robusta",(IF($B321="","Arabica",$B321))&amp;" - "&amp;(IF($C321="","Commercial",$C321))),Variables!$B$1:$D$1,0),1))*IFERROR(IF(AB321="","",(AVERAGE(E321:F321)-AB321)-Variables!$B$14),""))+(W321*INDEX(Variables!$B$9:$D$9,IFERROR(MATCH(IF($B321="Robusta","Robusta",(IF($B321="","Arabica",$B321))&amp;" - "&amp;(IF($C321="","Commercial",$C321))),Variables!$B$1:$D$1,0),1))*IFERROR(IF(AB321="","",(AVERAGE(E321:F321)-AB321)-Variables!$B$14),"")/365),""))</f>
        <v>-7.6294574515459477</v>
      </c>
      <c r="BH321" s="44">
        <f>IF($AX321="Cancelled","",IFERROR((W321*INDEX(Variables!$B$7:$D$7,IFERROR(MATCH(IF($B321="Robusta","Robusta",(IF($B321="","Arabica",$B321))&amp;" - "&amp;(IF($C321="","Commercial",$C321))),Variables!$B$1:$D$1,0),1))*AK321/365)+(L321/16.67*INDEX(Variables!$B$8:$D$8,IFERROR(MATCH(IF($B321="Robusta","Robusta",(IF($B321="","Arabica",$B321))&amp;" - "&amp;(IF($C321="","Commercial",$C321))),Variables!$B$1:$D$1,0),1))*AK321)+(W321*INDEX(Variables!$B$9:$D$9,IFERROR(MATCH(IF($B321="Robusta","Robusta",(IF($B321="","Arabica",$B321))&amp;" - "&amp;(IF($C321="","Commercial",$C321))),Variables!$B$1:$D$1,0),1))*AK321/365),""))</f>
        <v>69.75503955699152</v>
      </c>
      <c r="BI321" s="44">
        <f>IF($AX321="Cancelled","",IFERROR((W321*INDEX(Variables!$B$7:$D$7,IFERROR(MATCH(IF($B321="Robusta","Robusta",(IF($B321="","Arabica",$B321))&amp;" - "&amp;(IF($C321="","Commercial",$C321))),Variables!$B$1:$D$1,0),1))*BD321/365)+(L321/16.67*INDEX(Variables!$B$8:$D$8,IFERROR(MATCH(IF($B321="Robusta","Robusta",(IF($B321="","Arabica",$B321))&amp;" - "&amp;(IF($C321="","Commercial",$C321))),Variables!$B$1:$D$1,0),1))*BD321)+(W321*INDEX(Variables!$B$9:$D$9,IFERROR(MATCH(IF($B321="Robusta","Robusta",(IF($B321="","Arabica",$B321))&amp;" - "&amp;(IF($C321="","Commercial",$C321))),Variables!$B$1:$D$1,0),1))*BD321/365),""))</f>
        <v>-61.035659612367581</v>
      </c>
      <c r="BJ321" s="44">
        <f t="shared" si="14"/>
        <v>-66</v>
      </c>
      <c r="BK321" s="44">
        <f>IF($AX321="Cancelled","",IFERROR(IF(BJ321="","",(W321*INDEX(Variables!$B$7:$D$7,IFERROR(MATCH(IF($B321="Robusta","Robusta",(IF($B321="","Arabica",$B321))&amp;" - "&amp;(IF($C321="","Commercial",$C321))),Variables!$B$1:$D$1,0),1))*(BJ321/365))+(W321*INDEX(Variables!$B$9:$D$9,IFERROR(MATCH(IF($B321="Robusta","Robusta",(IF($B321="","Arabica",$B321))&amp;" - "&amp;(IF($C321="","Commercial",$C321))),Variables!$B$1:$D$1,0),1))*(BJ321/365))+(INDEX(Variables!$B$8:$D$8,IFERROR(MATCH(IF($B321="Robusta","Robusta",(IF($B321="","Arabica",$B321))&amp;" - "&amp;(IF($C321="","Commercial",$C321))),Variables!$B$1:$D$1,0),1))*L321/16.67)),""))</f>
        <v>-374.47907634518009</v>
      </c>
    </row>
    <row r="322" spans="1:63">
      <c r="A322" s="13" t="s">
        <v>103</v>
      </c>
      <c r="B322" s="13" t="s">
        <v>104</v>
      </c>
      <c r="C322" s="13" t="s">
        <v>292</v>
      </c>
      <c r="D322" s="31">
        <v>45722</v>
      </c>
      <c r="E322" s="31">
        <v>45717</v>
      </c>
      <c r="F322" s="31">
        <v>45747</v>
      </c>
      <c r="G322" s="13">
        <v>3786809</v>
      </c>
      <c r="J322" s="13" t="s">
        <v>294</v>
      </c>
      <c r="K322" s="13" t="s">
        <v>1007</v>
      </c>
      <c r="L322" s="13">
        <v>60</v>
      </c>
      <c r="M322" s="13">
        <v>1</v>
      </c>
      <c r="N322" s="13" t="s">
        <v>1008</v>
      </c>
      <c r="O322" s="13" t="s">
        <v>771</v>
      </c>
      <c r="P322" s="13">
        <v>10010</v>
      </c>
      <c r="R322" s="13" t="s">
        <v>384</v>
      </c>
      <c r="S322" s="13" t="s">
        <v>299</v>
      </c>
      <c r="T322" s="13" t="s">
        <v>305</v>
      </c>
      <c r="U322" s="13" t="s">
        <v>125</v>
      </c>
      <c r="V322" s="13">
        <v>107.05</v>
      </c>
      <c r="W322" s="44">
        <f>IF($AX322="Cancelled","",IFERROR(((V322+INDEX(Variables!$B$6:$D$6,IFERROR(MATCH(IF($B322="Robusta","Robusta",(IF($B322="","Arabica",$B322))&amp;" - "&amp;(IF($C322="","Commercial",$C322))),Variables!$B$1:$D$1,0),1)))*22.0462)*(L322/16.67),""))</f>
        <v>31569.576496700654</v>
      </c>
      <c r="X322" s="55" t="s">
        <v>39</v>
      </c>
      <c r="Y322" s="13" t="str">
        <f>IF($AX322="Cancelled","",IF(X322="","",IFERROR(IF(INDEX(Variables!$B$38:$B$47,MATCH(X322,Variables!$A$38:$A$47,0))="Yes","Yes","No"),"No")))</f>
        <v>No</v>
      </c>
      <c r="Z322" s="31"/>
      <c r="AB322" s="31">
        <v>45702.875</v>
      </c>
      <c r="AC322" s="13" t="str">
        <f t="shared" ref="AC322:AC385" si="15">IF($AX322="Cancelled","",IF(ISNUMBER(AB322),"Approved",""))</f>
        <v>Approved</v>
      </c>
      <c r="AF322" s="71">
        <f>AJ322-7</f>
        <v>45770</v>
      </c>
      <c r="AG322" s="36">
        <f>IF($AX322="Cancelled","",IFERROR(IF(F322="","",F322-Variables!$B$13),""))</f>
        <v>45732</v>
      </c>
      <c r="AH322" s="13">
        <f>IF($AX322="Cancelled","",IFERROR(IF(AB322="","",(AVERAGE(E322:F322)-AB322)-Variables!$B$14),""))</f>
        <v>-0.875</v>
      </c>
      <c r="AJ322" s="47">
        <v>45777</v>
      </c>
      <c r="AK322" s="14">
        <f>IF($AX322="Cancelled","",IFERROR(IF(AJ322="","",IF(AND(AB322="",AF322=""),"",IF(AF322&gt;AB322,AF322+Variables!$B$15+Variables!$B$16+Variables!$B$17-AJ322,AB322+Variables!$B$16+Variables!$B$17-AJ322))),""))</f>
        <v>8</v>
      </c>
      <c r="AL322" s="48" t="s">
        <v>864</v>
      </c>
      <c r="AM322" s="13" t="s">
        <v>3241</v>
      </c>
      <c r="AN322" s="13" t="s">
        <v>3245</v>
      </c>
      <c r="AP322" s="31">
        <v>45789</v>
      </c>
      <c r="AR322" s="13" t="s">
        <v>3258</v>
      </c>
      <c r="AS322" s="31">
        <v>45794</v>
      </c>
      <c r="AU322" s="31">
        <v>45805</v>
      </c>
      <c r="AV322" s="13" t="s">
        <v>865</v>
      </c>
      <c r="AW322" s="31">
        <v>45817</v>
      </c>
      <c r="AX322" s="13" t="str">
        <f>IF(ISNUMBER(SEARCH("cancel",#REF!)),"Cancelled",IF(AND(AS322&lt;&gt;"",AU322&lt;&gt;"",AW322&lt;&gt;""),"Closed","Open"))</f>
        <v>Closed</v>
      </c>
      <c r="AY322" s="15" t="str">
        <f t="shared" ref="AY322:AY385" si="16">IF($AX322="Cancelled","",IF(AND(AS322&lt;&gt;"",AU322&lt;&gt;"",AW322&lt;&gt;""),"All dates received",_xlfn.TEXTJOIN(" and ",TRUE(),IF(AS322="","No sailing date",""),IF(AU322="","No shipping advice sent",""),IF(AW322="","No docs dispatch date",""))))</f>
        <v>All dates received</v>
      </c>
      <c r="BD322" s="13">
        <f>IF($AX322="Cancelled","",IFERROR(IF(OR(AS322="",AJ322=""),"",(AJ322+Variables!$B$18-AS322)),""))</f>
        <v>-2</v>
      </c>
      <c r="BE322" s="13">
        <f>IF($AX322="Cancelled","",IFERROR(IF(OR(AW322="",AS322=""),"",(AS322+Variables!$B$19)-AW322),""))</f>
        <v>-18</v>
      </c>
      <c r="BF322" s="44">
        <f>IF($AX322="Cancelled","",IFERROR(W322*INDEX(Variables!$B$7:$D$7,IFERROR(MATCH(IF($B322="Robusta","Robusta",(IF($B322="","Arabica",$B322))&amp;" - "&amp;(IF($C322="","Commercial",$C322))),Variables!$B$1:$D$1,0),1))*(BE322/365),""))</f>
        <v>-100.38948882290389</v>
      </c>
      <c r="BG322" s="44">
        <f>IF($AX322="Cancelled","",IFERROR((W322*INDEX(Variables!$B$7:$D$7,IFERROR(MATCH(IF($B322="Robusta","Robusta",(IF($B322="","Arabica",$B322))&amp;" - "&amp;(IF($C322="","Commercial",$C322))),Variables!$B$1:$D$1,0),1))*IFERROR(IF(AB322="","",(AVERAGE(E322:F322)-AB322)-Variables!$B$14),"")/365)+(L322/16.67*INDEX(Variables!$B$8:$D$8,IFERROR(MATCH(IF($B322="Robusta","Robusta",(IF($B322="","Arabica",$B322))&amp;" - "&amp;(IF($C322="","Commercial",$C322))),Variables!$B$1:$D$1,0),1))*IFERROR(IF(AB322="","",(AVERAGE(E322:F322)-AB322)-Variables!$B$14),""))+(W322*INDEX(Variables!$B$9:$D$9,IFERROR(MATCH(IF($B322="Robusta","Robusta",(IF($B322="","Arabica",$B322))&amp;" - "&amp;(IF($C322="","Commercial",$C322))),Variables!$B$1:$D$1,0),1))*IFERROR(IF(AB322="","",(AVERAGE(E322:F322)-AB322)-Variables!$B$14),"")/365),""))</f>
        <v>-7.5679577882263045</v>
      </c>
      <c r="BH322" s="44">
        <f>IF($AX322="Cancelled","",IFERROR((W322*INDEX(Variables!$B$7:$D$7,IFERROR(MATCH(IF($B322="Robusta","Robusta",(IF($B322="","Arabica",$B322))&amp;" - "&amp;(IF($C322="","Commercial",$C322))),Variables!$B$1:$D$1,0),1))*AK322/365)+(L322/16.67*INDEX(Variables!$B$8:$D$8,IFERROR(MATCH(IF($B322="Robusta","Robusta",(IF($B322="","Arabica",$B322))&amp;" - "&amp;(IF($C322="","Commercial",$C322))),Variables!$B$1:$D$1,0),1))*AK322)+(W322*INDEX(Variables!$B$9:$D$9,IFERROR(MATCH(IF($B322="Robusta","Robusta",(IF($B322="","Arabica",$B322))&amp;" - "&amp;(IF($C322="","Commercial",$C322))),Variables!$B$1:$D$1,0),1))*AK322/365),""))</f>
        <v>69.192756920926215</v>
      </c>
      <c r="BI322" s="44">
        <f>IF($AX322="Cancelled","",IFERROR((W322*INDEX(Variables!$B$7:$D$7,IFERROR(MATCH(IF($B322="Robusta","Robusta",(IF($B322="","Arabica",$B322))&amp;" - "&amp;(IF($C322="","Commercial",$C322))),Variables!$B$1:$D$1,0),1))*BD322/365)+(L322/16.67*INDEX(Variables!$B$8:$D$8,IFERROR(MATCH(IF($B322="Robusta","Robusta",(IF($B322="","Arabica",$B322))&amp;" - "&amp;(IF($C322="","Commercial",$C322))),Variables!$B$1:$D$1,0),1))*BD322)+(W322*INDEX(Variables!$B$9:$D$9,IFERROR(MATCH(IF($B322="Robusta","Robusta",(IF($B322="","Arabica",$B322))&amp;" - "&amp;(IF($C322="","Commercial",$C322))),Variables!$B$1:$D$1,0),1))*BD322/365),""))</f>
        <v>-17.298189230231554</v>
      </c>
      <c r="BJ322" s="44">
        <f t="shared" ref="BJ322:BJ385" si="17">IF($AX322="Cancelled","",IFERROR(IF(AS322="","",F322-AS322),""))</f>
        <v>-47</v>
      </c>
      <c r="BK322" s="44">
        <f>IF($AX322="Cancelled","",IFERROR(IF(BJ322="","",(W322*INDEX(Variables!$B$7:$D$7,IFERROR(MATCH(IF($B322="Robusta","Robusta",(IF($B322="","Arabica",$B322))&amp;" - "&amp;(IF($C322="","Commercial",$C322))),Variables!$B$1:$D$1,0),1))*(BJ322/365))+(W322*INDEX(Variables!$B$9:$D$9,IFERROR(MATCH(IF($B322="Robusta","Robusta",(IF($B322="","Arabica",$B322))&amp;" - "&amp;(IF($C322="","Commercial",$C322))),Variables!$B$1:$D$1,0),1))*(BJ322/365))+(INDEX(Variables!$B$8:$D$8,IFERROR(MATCH(IF($B322="Robusta","Robusta",(IF($B322="","Arabica",$B322))&amp;" - "&amp;(IF($C322="","Commercial",$C322))),Variables!$B$1:$D$1,0),1))*L322/16.67)),""))</f>
        <v>-262.50744691044144</v>
      </c>
    </row>
    <row r="323" spans="1:63">
      <c r="A323" s="13" t="s">
        <v>103</v>
      </c>
      <c r="B323" s="13" t="s">
        <v>104</v>
      </c>
      <c r="C323" s="13" t="s">
        <v>292</v>
      </c>
      <c r="D323" s="31">
        <v>45722</v>
      </c>
      <c r="E323" s="31">
        <v>45717</v>
      </c>
      <c r="F323" s="31">
        <v>45747</v>
      </c>
      <c r="G323" s="13">
        <v>3786810</v>
      </c>
      <c r="J323" s="13" t="s">
        <v>294</v>
      </c>
      <c r="K323" s="13" t="s">
        <v>1009</v>
      </c>
      <c r="L323" s="13">
        <v>30</v>
      </c>
      <c r="M323" s="13">
        <v>0</v>
      </c>
      <c r="N323" s="13" t="s">
        <v>1010</v>
      </c>
      <c r="O323" s="13" t="s">
        <v>925</v>
      </c>
      <c r="P323" s="13">
        <v>10020</v>
      </c>
      <c r="R323" s="13" t="s">
        <v>384</v>
      </c>
      <c r="S323" s="13" t="s">
        <v>299</v>
      </c>
      <c r="T323" s="13" t="s">
        <v>305</v>
      </c>
      <c r="U323" s="13" t="s">
        <v>125</v>
      </c>
      <c r="V323" s="13">
        <v>95</v>
      </c>
      <c r="W323" s="44">
        <f>IF($AX323="Cancelled","",IFERROR(((V323+INDEX(Variables!$B$6:$D$6,IFERROR(MATCH(IF($B323="Robusta","Robusta",(IF($B323="","Arabica",$B323))&amp;" - "&amp;(IF($C323="","Commercial",$C323))),Variables!$B$1:$D$1,0),1)))*22.0462)*(L323/16.67),""))</f>
        <v>15306.701787642471</v>
      </c>
      <c r="X323" s="55" t="s">
        <v>39</v>
      </c>
      <c r="Y323" s="13" t="str">
        <f>IF($AX323="Cancelled","",IF(X323="","",IFERROR(IF(INDEX(Variables!$B$38:$B$47,MATCH(X323,Variables!$A$38:$A$47,0))="Yes","Yes","No"),"No")))</f>
        <v>No</v>
      </c>
      <c r="Z323" s="31"/>
      <c r="AB323" s="31">
        <v>45702.875</v>
      </c>
      <c r="AC323" s="13" t="str">
        <f t="shared" si="15"/>
        <v>Approved</v>
      </c>
      <c r="AF323" s="71">
        <f>AJ323-7</f>
        <v>45770</v>
      </c>
      <c r="AG323" s="36">
        <f>IF($AX323="Cancelled","",IFERROR(IF(F323="","",F323-Variables!$B$13),""))</f>
        <v>45732</v>
      </c>
      <c r="AH323" s="13">
        <f>IF($AX323="Cancelled","",IFERROR(IF(AB323="","",(AVERAGE(E323:F323)-AB323)-Variables!$B$14),""))</f>
        <v>-0.875</v>
      </c>
      <c r="AJ323" s="47">
        <v>45777</v>
      </c>
      <c r="AK323" s="14">
        <f>IF($AX323="Cancelled","",IFERROR(IF(AJ323="","",IF(AND(AB323="",AF323=""),"",IF(AF323&gt;AB323,AF323+Variables!$B$15+Variables!$B$16+Variables!$B$17-AJ323,AB323+Variables!$B$16+Variables!$B$17-AJ323))),""))</f>
        <v>8</v>
      </c>
      <c r="AL323" s="48" t="s">
        <v>864</v>
      </c>
      <c r="AM323" s="13" t="s">
        <v>3241</v>
      </c>
      <c r="AN323" s="13" t="s">
        <v>3245</v>
      </c>
      <c r="AP323" s="31">
        <v>45789</v>
      </c>
      <c r="AR323" s="13" t="s">
        <v>3258</v>
      </c>
      <c r="AS323" s="31">
        <v>45794</v>
      </c>
      <c r="AU323" s="31">
        <v>45805</v>
      </c>
      <c r="AV323" s="13" t="s">
        <v>865</v>
      </c>
      <c r="AW323" s="31">
        <v>45817</v>
      </c>
      <c r="AX323" s="13" t="str">
        <f>IF(ISNUMBER(SEARCH("cancel",#REF!)),"Cancelled",IF(AND(AS323&lt;&gt;"",AU323&lt;&gt;"",AW323&lt;&gt;""),"Closed","Open"))</f>
        <v>Closed</v>
      </c>
      <c r="AY323" s="15" t="str">
        <f t="shared" si="16"/>
        <v>All dates received</v>
      </c>
      <c r="BD323" s="13">
        <f>IF($AX323="Cancelled","",IFERROR(IF(OR(AS323="",AJ323=""),"",(AJ323+Variables!$B$18-AS323)),""))</f>
        <v>-2</v>
      </c>
      <c r="BE323" s="13">
        <f>IF($AX323="Cancelled","",IFERROR(IF(OR(AW323="",AS323=""),"",(AS323+Variables!$B$19)-AW323),""))</f>
        <v>-18</v>
      </c>
      <c r="BF323" s="44">
        <f>IF($AX323="Cancelled","",IFERROR(W323*INDEX(Variables!$B$7:$D$7,IFERROR(MATCH(IF($B323="Robusta","Robusta",(IF($B323="","Arabica",$B323))&amp;" - "&amp;(IF($C323="","Commercial",$C323))),Variables!$B$1:$D$1,0),1))*(BE323/365),""))</f>
        <v>-48.674456186849724</v>
      </c>
      <c r="BG323" s="44">
        <f>IF($AX323="Cancelled","",IFERROR((W323*INDEX(Variables!$B$7:$D$7,IFERROR(MATCH(IF($B323="Robusta","Robusta",(IF($B323="","Arabica",$B323))&amp;" - "&amp;(IF($C323="","Commercial",$C323))),Variables!$B$1:$D$1,0),1))*IFERROR(IF(AB323="","",(AVERAGE(E323:F323)-AB323)-Variables!$B$14),"")/365)+(L323/16.67*INDEX(Variables!$B$8:$D$8,IFERROR(MATCH(IF($B323="Robusta","Robusta",(IF($B323="","Arabica",$B323))&amp;" - "&amp;(IF($C323="","Commercial",$C323))),Variables!$B$1:$D$1,0),1))*IFERROR(IF(AB323="","",(AVERAGE(E323:F323)-AB323)-Variables!$B$14),""))+(W323*INDEX(Variables!$B$9:$D$9,IFERROR(MATCH(IF($B323="Robusta","Robusta",(IF($B323="","Arabica",$B323))&amp;" - "&amp;(IF($C323="","Commercial",$C323))),Variables!$B$1:$D$1,0),1))*IFERROR(IF(AB323="","",(AVERAGE(E323:F323)-AB323)-Variables!$B$14),"")/365),""))</f>
        <v>-3.7091232433048993</v>
      </c>
      <c r="BH323" s="44">
        <f>IF($AX323="Cancelled","",IFERROR((W323*INDEX(Variables!$B$7:$D$7,IFERROR(MATCH(IF($B323="Robusta","Robusta",(IF($B323="","Arabica",$B323))&amp;" - "&amp;(IF($C323="","Commercial",$C323))),Variables!$B$1:$D$1,0),1))*AK323/365)+(L323/16.67*INDEX(Variables!$B$8:$D$8,IFERROR(MATCH(IF($B323="Robusta","Robusta",(IF($B323="","Arabica",$B323))&amp;" - "&amp;(IF($C323="","Commercial",$C323))),Variables!$B$1:$D$1,0),1))*AK323)+(W323*INDEX(Variables!$B$9:$D$9,IFERROR(MATCH(IF($B323="Robusta","Robusta",(IF($B323="","Arabica",$B323))&amp;" - "&amp;(IF($C323="","Commercial",$C323))),Variables!$B$1:$D$1,0),1))*AK323/365),""))</f>
        <v>33.91198393878765</v>
      </c>
      <c r="BI323" s="44">
        <f>IF($AX323="Cancelled","",IFERROR((W323*INDEX(Variables!$B$7:$D$7,IFERROR(MATCH(IF($B323="Robusta","Robusta",(IF($B323="","Arabica",$B323))&amp;" - "&amp;(IF($C323="","Commercial",$C323))),Variables!$B$1:$D$1,0),1))*BD323/365)+(L323/16.67*INDEX(Variables!$B$8:$D$8,IFERROR(MATCH(IF($B323="Robusta","Robusta",(IF($B323="","Arabica",$B323))&amp;" - "&amp;(IF($C323="","Commercial",$C323))),Variables!$B$1:$D$1,0),1))*BD323)+(W323*INDEX(Variables!$B$9:$D$9,IFERROR(MATCH(IF($B323="Robusta","Robusta",(IF($B323="","Arabica",$B323))&amp;" - "&amp;(IF($C323="","Commercial",$C323))),Variables!$B$1:$D$1,0),1))*BD323/365),""))</f>
        <v>-8.4779959846969124</v>
      </c>
      <c r="BJ323" s="44">
        <f t="shared" si="17"/>
        <v>-47</v>
      </c>
      <c r="BK323" s="44">
        <f>IF($AX323="Cancelled","",IFERROR(IF(BJ323="","",(W323*INDEX(Variables!$B$7:$D$7,IFERROR(MATCH(IF($B323="Robusta","Robusta",(IF($B323="","Arabica",$B323))&amp;" - "&amp;(IF($C323="","Commercial",$C323))),Variables!$B$1:$D$1,0),1))*(BJ323/365))+(W323*INDEX(Variables!$B$9:$D$9,IFERROR(MATCH(IF($B323="Robusta","Robusta",(IF($B323="","Arabica",$B323))&amp;" - "&amp;(IF($C323="","Commercial",$C323))),Variables!$B$1:$D$1,0),1))*(BJ323/365))+(INDEX(Variables!$B$8:$D$8,IFERROR(MATCH(IF($B323="Robusta","Robusta",(IF($B323="","Arabica",$B323))&amp;" - "&amp;(IF($C323="","Commercial",$C323))),Variables!$B$1:$D$1,0),1))*L323/16.67)),""))</f>
        <v>-127.23290564037745</v>
      </c>
    </row>
    <row r="324" spans="1:63">
      <c r="A324" s="13" t="s">
        <v>103</v>
      </c>
      <c r="B324" s="13" t="s">
        <v>104</v>
      </c>
      <c r="C324" s="13" t="s">
        <v>292</v>
      </c>
      <c r="D324" s="31">
        <v>45722</v>
      </c>
      <c r="E324" s="31">
        <v>45717</v>
      </c>
      <c r="F324" s="31">
        <v>45747</v>
      </c>
      <c r="G324" s="13">
        <v>3786811</v>
      </c>
      <c r="J324" s="13" t="s">
        <v>294</v>
      </c>
      <c r="K324" s="13" t="s">
        <v>1011</v>
      </c>
      <c r="L324" s="13">
        <v>30</v>
      </c>
      <c r="M324" s="13">
        <v>0</v>
      </c>
      <c r="N324" s="13" t="s">
        <v>1012</v>
      </c>
      <c r="O324" s="13" t="s">
        <v>925</v>
      </c>
      <c r="P324" s="13">
        <v>10020</v>
      </c>
      <c r="R324" s="13" t="s">
        <v>384</v>
      </c>
      <c r="S324" s="13" t="s">
        <v>299</v>
      </c>
      <c r="T324" s="13" t="s">
        <v>305</v>
      </c>
      <c r="U324" s="13" t="s">
        <v>125</v>
      </c>
      <c r="V324" s="13">
        <v>94</v>
      </c>
      <c r="W324" s="44">
        <f>IF($AX324="Cancelled","",IFERROR(((V324+INDEX(Variables!$B$6:$D$6,IFERROR(MATCH(IF($B324="Robusta","Robusta",(IF($B324="","Arabica",$B324))&amp;" - "&amp;(IF($C324="","Commercial",$C324))),Variables!$B$1:$D$1,0),1)))*22.0462)*(L324/16.67),""))</f>
        <v>15267.026562687461</v>
      </c>
      <c r="X324" s="55" t="s">
        <v>39</v>
      </c>
      <c r="Y324" s="13" t="str">
        <f>IF($AX324="Cancelled","",IF(X324="","",IFERROR(IF(INDEX(Variables!$B$38:$B$47,MATCH(X324,Variables!$A$38:$A$47,0))="Yes","Yes","No"),"No")))</f>
        <v>No</v>
      </c>
      <c r="Z324" s="31"/>
      <c r="AB324" s="31">
        <v>45702.875</v>
      </c>
      <c r="AC324" s="13" t="str">
        <f t="shared" si="15"/>
        <v>Approved</v>
      </c>
      <c r="AF324" s="71">
        <f>AJ324-7</f>
        <v>45770</v>
      </c>
      <c r="AG324" s="36">
        <f>IF($AX324="Cancelled","",IFERROR(IF(F324="","",F324-Variables!$B$13),""))</f>
        <v>45732</v>
      </c>
      <c r="AH324" s="13">
        <f>IF($AX324="Cancelled","",IFERROR(IF(AB324="","",(AVERAGE(E324:F324)-AB324)-Variables!$B$14),""))</f>
        <v>-0.875</v>
      </c>
      <c r="AJ324" s="47">
        <v>45777</v>
      </c>
      <c r="AK324" s="14">
        <f>IF($AX324="Cancelled","",IFERROR(IF(AJ324="","",IF(AND(AB324="",AF324=""),"",IF(AF324&gt;AB324,AF324+Variables!$B$15+Variables!$B$16+Variables!$B$17-AJ324,AB324+Variables!$B$16+Variables!$B$17-AJ324))),""))</f>
        <v>8</v>
      </c>
      <c r="AL324" s="48" t="s">
        <v>864</v>
      </c>
      <c r="AM324" s="13" t="s">
        <v>3241</v>
      </c>
      <c r="AN324" s="13" t="s">
        <v>3245</v>
      </c>
      <c r="AP324" s="31">
        <v>45789</v>
      </c>
      <c r="AR324" s="13" t="s">
        <v>3258</v>
      </c>
      <c r="AS324" s="31">
        <v>45794</v>
      </c>
      <c r="AU324" s="31">
        <v>45805</v>
      </c>
      <c r="AV324" s="13" t="s">
        <v>865</v>
      </c>
      <c r="AW324" s="31">
        <v>45817</v>
      </c>
      <c r="AX324" s="13" t="str">
        <f>IF(ISNUMBER(SEARCH("cancel",#REF!)),"Cancelled",IF(AND(AS324&lt;&gt;"",AU324&lt;&gt;"",AW324&lt;&gt;""),"Closed","Open"))</f>
        <v>Closed</v>
      </c>
      <c r="AY324" s="15" t="str">
        <f t="shared" si="16"/>
        <v>All dates received</v>
      </c>
      <c r="BD324" s="13">
        <f>IF($AX324="Cancelled","",IFERROR(IF(OR(AS324="",AJ324=""),"",(AJ324+Variables!$B$18-AS324)),""))</f>
        <v>-2</v>
      </c>
      <c r="BE324" s="13">
        <f>IF($AX324="Cancelled","",IFERROR(IF(OR(AW324="",AS324=""),"",(AS324+Variables!$B$19)-AW324),""))</f>
        <v>-18</v>
      </c>
      <c r="BF324" s="44">
        <f>IF($AX324="Cancelled","",IFERROR(W324*INDEX(Variables!$B$7:$D$7,IFERROR(MATCH(IF($B324="Robusta","Robusta",(IF($B324="","Arabica",$B324))&amp;" - "&amp;(IF($C324="","Commercial",$C324))),Variables!$B$1:$D$1,0),1))*(BE324/365),""))</f>
        <v>-48.548291188957414</v>
      </c>
      <c r="BG324" s="44">
        <f>IF($AX324="Cancelled","",IFERROR((W324*INDEX(Variables!$B$7:$D$7,IFERROR(MATCH(IF($B324="Robusta","Robusta",(IF($B324="","Arabica",$B324))&amp;" - "&amp;(IF($C324="","Commercial",$C324))),Variables!$B$1:$D$1,0),1))*IFERROR(IF(AB324="","",(AVERAGE(E324:F324)-AB324)-Variables!$B$14),"")/365)+(L324/16.67*INDEX(Variables!$B$8:$D$8,IFERROR(MATCH(IF($B324="Robusta","Robusta",(IF($B324="","Arabica",$B324))&amp;" - "&amp;(IF($C324="","Commercial",$C324))),Variables!$B$1:$D$1,0),1))*IFERROR(IF(AB324="","",(AVERAGE(E324:F324)-AB324)-Variables!$B$14),""))+(W324*INDEX(Variables!$B$9:$D$9,IFERROR(MATCH(IF($B324="Robusta","Robusta",(IF($B324="","Arabica",$B324))&amp;" - "&amp;(IF($C324="","Commercial",$C324))),Variables!$B$1:$D$1,0),1))*IFERROR(IF(AB324="","",(AVERAGE(E324:F324)-AB324)-Variables!$B$14),"")/365),""))</f>
        <v>-3.7029111561008947</v>
      </c>
      <c r="BH324" s="44">
        <f>IF($AX324="Cancelled","",IFERROR((W324*INDEX(Variables!$B$7:$D$7,IFERROR(MATCH(IF($B324="Robusta","Robusta",(IF($B324="","Arabica",$B324))&amp;" - "&amp;(IF($C324="","Commercial",$C324))),Variables!$B$1:$D$1,0),1))*AK324/365)+(L324/16.67*INDEX(Variables!$B$8:$D$8,IFERROR(MATCH(IF($B324="Robusta","Robusta",(IF($B324="","Arabica",$B324))&amp;" - "&amp;(IF($C324="","Commercial",$C324))),Variables!$B$1:$D$1,0),1))*AK324)+(W324*INDEX(Variables!$B$9:$D$9,IFERROR(MATCH(IF($B324="Robusta","Robusta",(IF($B324="","Arabica",$B324))&amp;" - "&amp;(IF($C324="","Commercial",$C324))),Variables!$B$1:$D$1,0),1))*AK324/365),""))</f>
        <v>33.855187712922472</v>
      </c>
      <c r="BI324" s="44">
        <f>IF($AX324="Cancelled","",IFERROR((W324*INDEX(Variables!$B$7:$D$7,IFERROR(MATCH(IF($B324="Robusta","Robusta",(IF($B324="","Arabica",$B324))&amp;" - "&amp;(IF($C324="","Commercial",$C324))),Variables!$B$1:$D$1,0),1))*BD324/365)+(L324/16.67*INDEX(Variables!$B$8:$D$8,IFERROR(MATCH(IF($B324="Robusta","Robusta",(IF($B324="","Arabica",$B324))&amp;" - "&amp;(IF($C324="","Commercial",$C324))),Variables!$B$1:$D$1,0),1))*BD324)+(W324*INDEX(Variables!$B$9:$D$9,IFERROR(MATCH(IF($B324="Robusta","Robusta",(IF($B324="","Arabica",$B324))&amp;" - "&amp;(IF($C324="","Commercial",$C324))),Variables!$B$1:$D$1,0),1))*BD324/365),""))</f>
        <v>-8.463796928230618</v>
      </c>
      <c r="BJ324" s="44">
        <f t="shared" si="17"/>
        <v>-47</v>
      </c>
      <c r="BK324" s="44">
        <f>IF($AX324="Cancelled","",IFERROR(IF(BJ324="","",(W324*INDEX(Variables!$B$7:$D$7,IFERROR(MATCH(IF($B324="Robusta","Robusta",(IF($B324="","Arabica",$B324))&amp;" - "&amp;(IF($C324="","Commercial",$C324))),Variables!$B$1:$D$1,0),1))*(BJ324/365))+(W324*INDEX(Variables!$B$9:$D$9,IFERROR(MATCH(IF($B324="Robusta","Robusta",(IF($B324="","Arabica",$B324))&amp;" - "&amp;(IF($C324="","Commercial",$C324))),Variables!$B$1:$D$1,0),1))*(BJ324/365))+(INDEX(Variables!$B$8:$D$8,IFERROR(MATCH(IF($B324="Robusta","Robusta",(IF($B324="","Arabica",$B324))&amp;" - "&amp;(IF($C324="","Commercial",$C324))),Variables!$B$1:$D$1,0),1))*L324/16.67)),""))</f>
        <v>-126.89922781341949</v>
      </c>
    </row>
    <row r="325" spans="1:63">
      <c r="A325" s="13" t="s">
        <v>103</v>
      </c>
      <c r="B325" s="13" t="s">
        <v>104</v>
      </c>
      <c r="C325" s="13" t="s">
        <v>292</v>
      </c>
      <c r="D325" s="31">
        <v>45722</v>
      </c>
      <c r="E325" s="31">
        <v>45717</v>
      </c>
      <c r="F325" s="31">
        <v>45747</v>
      </c>
      <c r="G325" s="13">
        <v>3786812</v>
      </c>
      <c r="J325" s="13" t="s">
        <v>294</v>
      </c>
      <c r="K325" s="13" t="s">
        <v>1013</v>
      </c>
      <c r="L325" s="13">
        <v>20</v>
      </c>
      <c r="M325" s="13">
        <v>0</v>
      </c>
      <c r="N325" s="13" t="s">
        <v>1014</v>
      </c>
      <c r="O325" s="13" t="s">
        <v>771</v>
      </c>
      <c r="P325" s="13">
        <v>10010</v>
      </c>
      <c r="R325" s="13" t="s">
        <v>384</v>
      </c>
      <c r="S325" s="13" t="s">
        <v>299</v>
      </c>
      <c r="T325" s="13" t="s">
        <v>305</v>
      </c>
      <c r="U325" s="13" t="s">
        <v>125</v>
      </c>
      <c r="V325" s="13">
        <v>107</v>
      </c>
      <c r="W325" s="44">
        <f>IF($AX325="Cancelled","",IFERROR(((V325+INDEX(Variables!$B$6:$D$6,IFERROR(MATCH(IF($B325="Robusta","Robusta",(IF($B325="","Arabica",$B325))&amp;" - "&amp;(IF($C325="","Commercial",$C325))),Variables!$B$1:$D$1,0),1)))*22.0462)*(L325/16.67),""))</f>
        <v>10521.869658068385</v>
      </c>
      <c r="X325" s="55" t="s">
        <v>39</v>
      </c>
      <c r="Y325" s="13" t="str">
        <f>IF($AX325="Cancelled","",IF(X325="","",IFERROR(IF(INDEX(Variables!$B$38:$B$47,MATCH(X325,Variables!$A$38:$A$47,0))="Yes","Yes","No"),"No")))</f>
        <v>No</v>
      </c>
      <c r="Z325" s="31"/>
      <c r="AB325" s="31">
        <v>45702.875</v>
      </c>
      <c r="AC325" s="13" t="str">
        <f t="shared" si="15"/>
        <v>Approved</v>
      </c>
      <c r="AF325" s="71">
        <f>AJ325-7</f>
        <v>45770</v>
      </c>
      <c r="AG325" s="36">
        <f>IF($AX325="Cancelled","",IFERROR(IF(F325="","",F325-Variables!$B$13),""))</f>
        <v>45732</v>
      </c>
      <c r="AH325" s="13">
        <f>IF($AX325="Cancelled","",IFERROR(IF(AB325="","",(AVERAGE(E325:F325)-AB325)-Variables!$B$14),""))</f>
        <v>-0.875</v>
      </c>
      <c r="AJ325" s="47">
        <v>45777</v>
      </c>
      <c r="AK325" s="14">
        <f>IF($AX325="Cancelled","",IFERROR(IF(AJ325="","",IF(AND(AB325="",AF325=""),"",IF(AF325&gt;AB325,AF325+Variables!$B$15+Variables!$B$16+Variables!$B$17-AJ325,AB325+Variables!$B$16+Variables!$B$17-AJ325))),""))</f>
        <v>8</v>
      </c>
      <c r="AL325" s="48" t="s">
        <v>864</v>
      </c>
      <c r="AM325" s="13" t="s">
        <v>3241</v>
      </c>
      <c r="AN325" s="13" t="s">
        <v>3245</v>
      </c>
      <c r="AP325" s="31">
        <v>45789</v>
      </c>
      <c r="AR325" s="13" t="s">
        <v>3258</v>
      </c>
      <c r="AS325" s="31">
        <v>45794</v>
      </c>
      <c r="AU325" s="31">
        <v>45805</v>
      </c>
      <c r="AV325" s="13" t="s">
        <v>865</v>
      </c>
      <c r="AW325" s="31">
        <v>45817</v>
      </c>
      <c r="AX325" s="13" t="str">
        <f>IF(ISNUMBER(SEARCH("cancel",#REF!)),"Cancelled",IF(AND(AS325&lt;&gt;"",AU325&lt;&gt;"",AW325&lt;&gt;""),"Closed","Open"))</f>
        <v>Closed</v>
      </c>
      <c r="AY325" s="15" t="str">
        <f t="shared" si="16"/>
        <v>All dates received</v>
      </c>
      <c r="BD325" s="13">
        <f>IF($AX325="Cancelled","",IFERROR(IF(OR(AS325="",AJ325=""),"",(AJ325+Variables!$B$18-AS325)),""))</f>
        <v>-2</v>
      </c>
      <c r="BE325" s="13">
        <f>IF($AX325="Cancelled","",IFERROR(IF(OR(AW325="",AS325=""),"",(AS325+Variables!$B$19)-AW325),""))</f>
        <v>-18</v>
      </c>
      <c r="BF325" s="44">
        <f>IF($AX325="Cancelled","",IFERROR(W325*INDEX(Variables!$B$7:$D$7,IFERROR(MATCH(IF($B325="Robusta","Robusta",(IF($B325="","Arabica",$B325))&amp;" - "&amp;(IF($C325="","Commercial",$C325))),Variables!$B$1:$D$1,0),1))*(BE325/365),""))</f>
        <v>-33.458957441038223</v>
      </c>
      <c r="BG325" s="44">
        <f>IF($AX325="Cancelled","",IFERROR((W325*INDEX(Variables!$B$7:$D$7,IFERROR(MATCH(IF($B325="Robusta","Robusta",(IF($B325="","Arabica",$B325))&amp;" - "&amp;(IF($C325="","Commercial",$C325))),Variables!$B$1:$D$1,0),1))*IFERROR(IF(AB325="","",(AVERAGE(E325:F325)-AB325)-Variables!$B$14),"")/365)+(L325/16.67*INDEX(Variables!$B$8:$D$8,IFERROR(MATCH(IF($B325="Robusta","Robusta",(IF($B325="","Arabica",$B325))&amp;" - "&amp;(IF($C325="","Commercial",$C325))),Variables!$B$1:$D$1,0),1))*IFERROR(IF(AB325="","",(AVERAGE(E325:F325)-AB325)-Variables!$B$14),""))+(W325*INDEX(Variables!$B$9:$D$9,IFERROR(MATCH(IF($B325="Robusta","Robusta",(IF($B325="","Arabica",$B325))&amp;" - "&amp;(IF($C325="","Commercial",$C325))),Variables!$B$1:$D$1,0),1))*IFERROR(IF(AB325="","",(AVERAGE(E325:F325)-AB325)-Variables!$B$14),"")/365),""))</f>
        <v>-2.5224455265019685</v>
      </c>
      <c r="BH325" s="44">
        <f>IF($AX325="Cancelled","",IFERROR((W325*INDEX(Variables!$B$7:$D$7,IFERROR(MATCH(IF($B325="Robusta","Robusta",(IF($B325="","Arabica",$B325))&amp;" - "&amp;(IF($C325="","Commercial",$C325))),Variables!$B$1:$D$1,0),1))*AK325/365)+(L325/16.67*INDEX(Variables!$B$8:$D$8,IFERROR(MATCH(IF($B325="Robusta","Robusta",(IF($B325="","Arabica",$B325))&amp;" - "&amp;(IF($C325="","Commercial",$C325))),Variables!$B$1:$D$1,0),1))*AK325)+(W325*INDEX(Variables!$B$9:$D$9,IFERROR(MATCH(IF($B325="Robusta","Robusta",(IF($B325="","Arabica",$B325))&amp;" - "&amp;(IF($C325="","Commercial",$C325))),Variables!$B$1:$D$1,0),1))*AK325/365),""))</f>
        <v>23.062359099446564</v>
      </c>
      <c r="BI325" s="44">
        <f>IF($AX325="Cancelled","",IFERROR((W325*INDEX(Variables!$B$7:$D$7,IFERROR(MATCH(IF($B325="Robusta","Robusta",(IF($B325="","Arabica",$B325))&amp;" - "&amp;(IF($C325="","Commercial",$C325))),Variables!$B$1:$D$1,0),1))*BD325/365)+(L325/16.67*INDEX(Variables!$B$8:$D$8,IFERROR(MATCH(IF($B325="Robusta","Robusta",(IF($B325="","Arabica",$B325))&amp;" - "&amp;(IF($C325="","Commercial",$C325))),Variables!$B$1:$D$1,0),1))*BD325)+(W325*INDEX(Variables!$B$9:$D$9,IFERROR(MATCH(IF($B325="Robusta","Robusta",(IF($B325="","Arabica",$B325))&amp;" - "&amp;(IF($C325="","Commercial",$C325))),Variables!$B$1:$D$1,0),1))*BD325/365),""))</f>
        <v>-5.7655897748616409</v>
      </c>
      <c r="BJ325" s="44">
        <f t="shared" si="17"/>
        <v>-47</v>
      </c>
      <c r="BK325" s="44">
        <f>IF($AX325="Cancelled","",IFERROR(IF(BJ325="","",(W325*INDEX(Variables!$B$7:$D$7,IFERROR(MATCH(IF($B325="Robusta","Robusta",(IF($B325="","Arabica",$B325))&amp;" - "&amp;(IF($C325="","Commercial",$C325))),Variables!$B$1:$D$1,0),1))*(BJ325/365))+(W325*INDEX(Variables!$B$9:$D$9,IFERROR(MATCH(IF($B325="Robusta","Robusta",(IF($B325="","Arabica",$B325))&amp;" - "&amp;(IF($C325="","Commercial",$C325))),Variables!$B$1:$D$1,0),1))*(BJ325/365))+(INDEX(Variables!$B$8:$D$8,IFERROR(MATCH(IF($B325="Robusta","Robusta",(IF($B325="","Arabica",$B325))&amp;" - "&amp;(IF($C325="","Commercial",$C325))),Variables!$B$1:$D$1,0),1))*L325/16.67)),""))</f>
        <v>-87.491359709248556</v>
      </c>
    </row>
    <row r="326" spans="1:63">
      <c r="A326" s="13" t="s">
        <v>103</v>
      </c>
      <c r="B326" s="13" t="s">
        <v>104</v>
      </c>
      <c r="C326" s="13" t="s">
        <v>292</v>
      </c>
      <c r="D326" s="31">
        <v>45722</v>
      </c>
      <c r="E326" s="31">
        <v>45717</v>
      </c>
      <c r="F326" s="31">
        <v>45747</v>
      </c>
      <c r="G326" s="13">
        <v>3786813</v>
      </c>
      <c r="J326" s="13" t="s">
        <v>294</v>
      </c>
      <c r="K326" s="13" t="s">
        <v>1015</v>
      </c>
      <c r="L326" s="13">
        <v>30</v>
      </c>
      <c r="M326" s="13">
        <v>0</v>
      </c>
      <c r="N326" s="13" t="s">
        <v>1016</v>
      </c>
      <c r="O326" s="13" t="s">
        <v>771</v>
      </c>
      <c r="P326" s="13">
        <v>10010</v>
      </c>
      <c r="R326" s="13" t="s">
        <v>384</v>
      </c>
      <c r="S326" s="13" t="s">
        <v>299</v>
      </c>
      <c r="T326" s="13" t="s">
        <v>305</v>
      </c>
      <c r="U326" s="13" t="s">
        <v>125</v>
      </c>
      <c r="V326" s="13">
        <v>116</v>
      </c>
      <c r="W326" s="44">
        <f>IF($AX326="Cancelled","",IFERROR(((V326+INDEX(Variables!$B$6:$D$6,IFERROR(MATCH(IF($B326="Robusta","Robusta",(IF($B326="","Arabica",$B326))&amp;" - "&amp;(IF($C326="","Commercial",$C326))),Variables!$B$1:$D$1,0),1)))*22.0462)*(L326/16.67),""))</f>
        <v>16139.881511697658</v>
      </c>
      <c r="X326" s="55" t="s">
        <v>39</v>
      </c>
      <c r="Y326" s="13" t="str">
        <f>IF($AX326="Cancelled","",IF(X326="","",IFERROR(IF(INDEX(Variables!$B$38:$B$47,MATCH(X326,Variables!$A$38:$A$47,0))="Yes","Yes","No"),"No")))</f>
        <v>No</v>
      </c>
      <c r="Z326" s="31"/>
      <c r="AB326" s="31">
        <v>45702.875</v>
      </c>
      <c r="AC326" s="13" t="str">
        <f t="shared" si="15"/>
        <v>Approved</v>
      </c>
      <c r="AF326" s="71">
        <f>AJ326-7</f>
        <v>45770</v>
      </c>
      <c r="AG326" s="36">
        <f>IF($AX326="Cancelled","",IFERROR(IF(F326="","",F326-Variables!$B$13),""))</f>
        <v>45732</v>
      </c>
      <c r="AH326" s="13">
        <f>IF($AX326="Cancelled","",IFERROR(IF(AB326="","",(AVERAGE(E326:F326)-AB326)-Variables!$B$14),""))</f>
        <v>-0.875</v>
      </c>
      <c r="AJ326" s="47">
        <v>45777</v>
      </c>
      <c r="AK326" s="14">
        <f>IF($AX326="Cancelled","",IFERROR(IF(AJ326="","",IF(AND(AB326="",AF326=""),"",IF(AF326&gt;AB326,AF326+Variables!$B$15+Variables!$B$16+Variables!$B$17-AJ326,AB326+Variables!$B$16+Variables!$B$17-AJ326))),""))</f>
        <v>8</v>
      </c>
      <c r="AL326" s="48" t="s">
        <v>864</v>
      </c>
      <c r="AM326" s="13" t="s">
        <v>3241</v>
      </c>
      <c r="AN326" s="13" t="s">
        <v>3245</v>
      </c>
      <c r="AP326" s="31">
        <v>45789</v>
      </c>
      <c r="AR326" s="13" t="s">
        <v>3258</v>
      </c>
      <c r="AS326" s="31">
        <v>45794</v>
      </c>
      <c r="AU326" s="31">
        <v>45805</v>
      </c>
      <c r="AV326" s="13" t="s">
        <v>865</v>
      </c>
      <c r="AW326" s="31">
        <v>45817</v>
      </c>
      <c r="AX326" s="13" t="str">
        <f>IF(ISNUMBER(SEARCH("cancel",#REF!)),"Cancelled",IF(AND(AS326&lt;&gt;"",AU326&lt;&gt;"",AW326&lt;&gt;""),"Closed","Open"))</f>
        <v>Closed</v>
      </c>
      <c r="AY326" s="15" t="str">
        <f t="shared" si="16"/>
        <v>All dates received</v>
      </c>
      <c r="BD326" s="13">
        <f>IF($AX326="Cancelled","",IFERROR(IF(OR(AS326="",AJ326=""),"",(AJ326+Variables!$B$18-AS326)),""))</f>
        <v>-2</v>
      </c>
      <c r="BE326" s="13">
        <f>IF($AX326="Cancelled","",IFERROR(IF(OR(AW326="",AS326=""),"",(AS326+Variables!$B$19)-AW326),""))</f>
        <v>-18</v>
      </c>
      <c r="BF326" s="44">
        <f>IF($AX326="Cancelled","",IFERROR(W326*INDEX(Variables!$B$7:$D$7,IFERROR(MATCH(IF($B326="Robusta","Robusta",(IF($B326="","Arabica",$B326))&amp;" - "&amp;(IF($C326="","Commercial",$C326))),Variables!$B$1:$D$1,0),1))*(BE326/365),""))</f>
        <v>-51.323921142588041</v>
      </c>
      <c r="BG326" s="44">
        <f>IF($AX326="Cancelled","",IFERROR((W326*INDEX(Variables!$B$7:$D$7,IFERROR(MATCH(IF($B326="Robusta","Robusta",(IF($B326="","Arabica",$B326))&amp;" - "&amp;(IF($C326="","Commercial",$C326))),Variables!$B$1:$D$1,0),1))*IFERROR(IF(AB326="","",(AVERAGE(E326:F326)-AB326)-Variables!$B$14),"")/365)+(L326/16.67*INDEX(Variables!$B$8:$D$8,IFERROR(MATCH(IF($B326="Robusta","Robusta",(IF($B326="","Arabica",$B326))&amp;" - "&amp;(IF($C326="","Commercial",$C326))),Variables!$B$1:$D$1,0),1))*IFERROR(IF(AB326="","",(AVERAGE(E326:F326)-AB326)-Variables!$B$14),""))+(W326*INDEX(Variables!$B$9:$D$9,IFERROR(MATCH(IF($B326="Robusta","Robusta",(IF($B326="","Arabica",$B326))&amp;" - "&amp;(IF($C326="","Commercial",$C326))),Variables!$B$1:$D$1,0),1))*IFERROR(IF(AB326="","",(AVERAGE(E326:F326)-AB326)-Variables!$B$14),"")/365),""))</f>
        <v>-3.8395770745889917</v>
      </c>
      <c r="BH326" s="44">
        <f>IF($AX326="Cancelled","",IFERROR((W326*INDEX(Variables!$B$7:$D$7,IFERROR(MATCH(IF($B326="Robusta","Robusta",(IF($B326="","Arabica",$B326))&amp;" - "&amp;(IF($C326="","Commercial",$C326))),Variables!$B$1:$D$1,0),1))*AK326/365)+(L326/16.67*INDEX(Variables!$B$8:$D$8,IFERROR(MATCH(IF($B326="Robusta","Robusta",(IF($B326="","Arabica",$B326))&amp;" - "&amp;(IF($C326="","Commercial",$C326))),Variables!$B$1:$D$1,0),1))*AK326)+(W326*INDEX(Variables!$B$9:$D$9,IFERROR(MATCH(IF($B326="Robusta","Robusta",(IF($B326="","Arabica",$B326))&amp;" - "&amp;(IF($C326="","Commercial",$C326))),Variables!$B$1:$D$1,0),1))*AK326/365),""))</f>
        <v>35.104704681956498</v>
      </c>
      <c r="BI326" s="44">
        <f>IF($AX326="Cancelled","",IFERROR((W326*INDEX(Variables!$B$7:$D$7,IFERROR(MATCH(IF($B326="Robusta","Robusta",(IF($B326="","Arabica",$B326))&amp;" - "&amp;(IF($C326="","Commercial",$C326))),Variables!$B$1:$D$1,0),1))*BD326/365)+(L326/16.67*INDEX(Variables!$B$8:$D$8,IFERROR(MATCH(IF($B326="Robusta","Robusta",(IF($B326="","Arabica",$B326))&amp;" - "&amp;(IF($C326="","Commercial",$C326))),Variables!$B$1:$D$1,0),1))*BD326)+(W326*INDEX(Variables!$B$9:$D$9,IFERROR(MATCH(IF($B326="Robusta","Robusta",(IF($B326="","Arabica",$B326))&amp;" - "&amp;(IF($C326="","Commercial",$C326))),Variables!$B$1:$D$1,0),1))*BD326/365),""))</f>
        <v>-8.7761761704891246</v>
      </c>
      <c r="BJ326" s="44">
        <f t="shared" si="17"/>
        <v>-47</v>
      </c>
      <c r="BK326" s="44">
        <f>IF($AX326="Cancelled","",IFERROR(IF(BJ326="","",(W326*INDEX(Variables!$B$7:$D$7,IFERROR(MATCH(IF($B326="Robusta","Robusta",(IF($B326="","Arabica",$B326))&amp;" - "&amp;(IF($C326="","Commercial",$C326))),Variables!$B$1:$D$1,0),1))*(BJ326/365))+(W326*INDEX(Variables!$B$9:$D$9,IFERROR(MATCH(IF($B326="Robusta","Robusta",(IF($B326="","Arabica",$B326))&amp;" - "&amp;(IF($C326="","Commercial",$C326))),Variables!$B$1:$D$1,0),1))*(BJ326/365))+(INDEX(Variables!$B$8:$D$8,IFERROR(MATCH(IF($B326="Robusta","Robusta",(IF($B326="","Arabica",$B326))&amp;" - "&amp;(IF($C326="","Commercial",$C326))),Variables!$B$1:$D$1,0),1))*L326/16.67)),""))</f>
        <v>-134.24014000649441</v>
      </c>
    </row>
    <row r="327" spans="1:63">
      <c r="A327" s="13" t="s">
        <v>103</v>
      </c>
      <c r="B327" s="13" t="s">
        <v>104</v>
      </c>
      <c r="C327" s="13" t="s">
        <v>292</v>
      </c>
      <c r="D327" s="31">
        <v>45722</v>
      </c>
      <c r="E327" s="31">
        <v>45717</v>
      </c>
      <c r="F327" s="31">
        <v>45747</v>
      </c>
      <c r="G327" s="13">
        <v>3786814</v>
      </c>
      <c r="J327" s="13" t="s">
        <v>294</v>
      </c>
      <c r="K327" s="13" t="s">
        <v>1017</v>
      </c>
      <c r="L327" s="13">
        <v>30</v>
      </c>
      <c r="M327" s="13">
        <v>0</v>
      </c>
      <c r="N327" s="13" t="s">
        <v>1018</v>
      </c>
      <c r="O327" s="13" t="s">
        <v>925</v>
      </c>
      <c r="P327" s="13">
        <v>10020</v>
      </c>
      <c r="R327" s="13" t="s">
        <v>384</v>
      </c>
      <c r="S327" s="13" t="s">
        <v>299</v>
      </c>
      <c r="T327" s="13" t="s">
        <v>305</v>
      </c>
      <c r="U327" s="13" t="s">
        <v>125</v>
      </c>
      <c r="V327" s="13">
        <v>116</v>
      </c>
      <c r="W327" s="44">
        <f>IF($AX327="Cancelled","",IFERROR(((V327+INDEX(Variables!$B$6:$D$6,IFERROR(MATCH(IF($B327="Robusta","Robusta",(IF($B327="","Arabica",$B327))&amp;" - "&amp;(IF($C327="","Commercial",$C327))),Variables!$B$1:$D$1,0),1)))*22.0462)*(L327/16.67),""))</f>
        <v>16139.881511697658</v>
      </c>
      <c r="X327" s="55" t="s">
        <v>39</v>
      </c>
      <c r="Y327" s="13" t="str">
        <f>IF($AX327="Cancelled","",IF(X327="","",IFERROR(IF(INDEX(Variables!$B$38:$B$47,MATCH(X327,Variables!$A$38:$A$47,0))="Yes","Yes","No"),"No")))</f>
        <v>No</v>
      </c>
      <c r="Z327" s="31"/>
      <c r="AB327" s="31">
        <v>45702.875</v>
      </c>
      <c r="AC327" s="13" t="str">
        <f t="shared" si="15"/>
        <v>Approved</v>
      </c>
      <c r="AF327" s="71">
        <f>AJ327-7</f>
        <v>45770</v>
      </c>
      <c r="AG327" s="36">
        <f>IF($AX327="Cancelled","",IFERROR(IF(F327="","",F327-Variables!$B$13),""))</f>
        <v>45732</v>
      </c>
      <c r="AH327" s="13">
        <f>IF($AX327="Cancelled","",IFERROR(IF(AB327="","",(AVERAGE(E327:F327)-AB327)-Variables!$B$14),""))</f>
        <v>-0.875</v>
      </c>
      <c r="AJ327" s="47">
        <v>45777</v>
      </c>
      <c r="AK327" s="14">
        <f>IF($AX327="Cancelled","",IFERROR(IF(AJ327="","",IF(AND(AB327="",AF327=""),"",IF(AF327&gt;AB327,AF327+Variables!$B$15+Variables!$B$16+Variables!$B$17-AJ327,AB327+Variables!$B$16+Variables!$B$17-AJ327))),""))</f>
        <v>8</v>
      </c>
      <c r="AL327" s="48" t="s">
        <v>864</v>
      </c>
      <c r="AM327" s="13" t="s">
        <v>3241</v>
      </c>
      <c r="AN327" s="13" t="s">
        <v>3245</v>
      </c>
      <c r="AP327" s="31">
        <v>45789</v>
      </c>
      <c r="AR327" s="13" t="s">
        <v>3258</v>
      </c>
      <c r="AS327" s="31">
        <v>45794</v>
      </c>
      <c r="AU327" s="31">
        <v>45805</v>
      </c>
      <c r="AV327" s="13" t="s">
        <v>865</v>
      </c>
      <c r="AW327" s="31">
        <v>45817</v>
      </c>
      <c r="AX327" s="13" t="str">
        <f>IF(ISNUMBER(SEARCH("cancel",#REF!)),"Cancelled",IF(AND(AS327&lt;&gt;"",AU327&lt;&gt;"",AW327&lt;&gt;""),"Closed","Open"))</f>
        <v>Closed</v>
      </c>
      <c r="AY327" s="15" t="str">
        <f t="shared" si="16"/>
        <v>All dates received</v>
      </c>
      <c r="BD327" s="13">
        <f>IF($AX327="Cancelled","",IFERROR(IF(OR(AS327="",AJ327=""),"",(AJ327+Variables!$B$18-AS327)),""))</f>
        <v>-2</v>
      </c>
      <c r="BE327" s="13">
        <f>IF($AX327="Cancelled","",IFERROR(IF(OR(AW327="",AS327=""),"",(AS327+Variables!$B$19)-AW327),""))</f>
        <v>-18</v>
      </c>
      <c r="BF327" s="44">
        <f>IF($AX327="Cancelled","",IFERROR(W327*INDEX(Variables!$B$7:$D$7,IFERROR(MATCH(IF($B327="Robusta","Robusta",(IF($B327="","Arabica",$B327))&amp;" - "&amp;(IF($C327="","Commercial",$C327))),Variables!$B$1:$D$1,0),1))*(BE327/365),""))</f>
        <v>-51.323921142588041</v>
      </c>
      <c r="BG327" s="44">
        <f>IF($AX327="Cancelled","",IFERROR((W327*INDEX(Variables!$B$7:$D$7,IFERROR(MATCH(IF($B327="Robusta","Robusta",(IF($B327="","Arabica",$B327))&amp;" - "&amp;(IF($C327="","Commercial",$C327))),Variables!$B$1:$D$1,0),1))*IFERROR(IF(AB327="","",(AVERAGE(E327:F327)-AB327)-Variables!$B$14),"")/365)+(L327/16.67*INDEX(Variables!$B$8:$D$8,IFERROR(MATCH(IF($B327="Robusta","Robusta",(IF($B327="","Arabica",$B327))&amp;" - "&amp;(IF($C327="","Commercial",$C327))),Variables!$B$1:$D$1,0),1))*IFERROR(IF(AB327="","",(AVERAGE(E327:F327)-AB327)-Variables!$B$14),""))+(W327*INDEX(Variables!$B$9:$D$9,IFERROR(MATCH(IF($B327="Robusta","Robusta",(IF($B327="","Arabica",$B327))&amp;" - "&amp;(IF($C327="","Commercial",$C327))),Variables!$B$1:$D$1,0),1))*IFERROR(IF(AB327="","",(AVERAGE(E327:F327)-AB327)-Variables!$B$14),"")/365),""))</f>
        <v>-3.8395770745889917</v>
      </c>
      <c r="BH327" s="44">
        <f>IF($AX327="Cancelled","",IFERROR((W327*INDEX(Variables!$B$7:$D$7,IFERROR(MATCH(IF($B327="Robusta","Robusta",(IF($B327="","Arabica",$B327))&amp;" - "&amp;(IF($C327="","Commercial",$C327))),Variables!$B$1:$D$1,0),1))*AK327/365)+(L327/16.67*INDEX(Variables!$B$8:$D$8,IFERROR(MATCH(IF($B327="Robusta","Robusta",(IF($B327="","Arabica",$B327))&amp;" - "&amp;(IF($C327="","Commercial",$C327))),Variables!$B$1:$D$1,0),1))*AK327)+(W327*INDEX(Variables!$B$9:$D$9,IFERROR(MATCH(IF($B327="Robusta","Robusta",(IF($B327="","Arabica",$B327))&amp;" - "&amp;(IF($C327="","Commercial",$C327))),Variables!$B$1:$D$1,0),1))*AK327/365),""))</f>
        <v>35.104704681956498</v>
      </c>
      <c r="BI327" s="44">
        <f>IF($AX327="Cancelled","",IFERROR((W327*INDEX(Variables!$B$7:$D$7,IFERROR(MATCH(IF($B327="Robusta","Robusta",(IF($B327="","Arabica",$B327))&amp;" - "&amp;(IF($C327="","Commercial",$C327))),Variables!$B$1:$D$1,0),1))*BD327/365)+(L327/16.67*INDEX(Variables!$B$8:$D$8,IFERROR(MATCH(IF($B327="Robusta","Robusta",(IF($B327="","Arabica",$B327))&amp;" - "&amp;(IF($C327="","Commercial",$C327))),Variables!$B$1:$D$1,0),1))*BD327)+(W327*INDEX(Variables!$B$9:$D$9,IFERROR(MATCH(IF($B327="Robusta","Robusta",(IF($B327="","Arabica",$B327))&amp;" - "&amp;(IF($C327="","Commercial",$C327))),Variables!$B$1:$D$1,0),1))*BD327/365),""))</f>
        <v>-8.7761761704891246</v>
      </c>
      <c r="BJ327" s="44">
        <f t="shared" si="17"/>
        <v>-47</v>
      </c>
      <c r="BK327" s="44">
        <f>IF($AX327="Cancelled","",IFERROR(IF(BJ327="","",(W327*INDEX(Variables!$B$7:$D$7,IFERROR(MATCH(IF($B327="Robusta","Robusta",(IF($B327="","Arabica",$B327))&amp;" - "&amp;(IF($C327="","Commercial",$C327))),Variables!$B$1:$D$1,0),1))*(BJ327/365))+(W327*INDEX(Variables!$B$9:$D$9,IFERROR(MATCH(IF($B327="Robusta","Robusta",(IF($B327="","Arabica",$B327))&amp;" - "&amp;(IF($C327="","Commercial",$C327))),Variables!$B$1:$D$1,0),1))*(BJ327/365))+(INDEX(Variables!$B$8:$D$8,IFERROR(MATCH(IF($B327="Robusta","Robusta",(IF($B327="","Arabica",$B327))&amp;" - "&amp;(IF($C327="","Commercial",$C327))),Variables!$B$1:$D$1,0),1))*L327/16.67)),""))</f>
        <v>-134.24014000649441</v>
      </c>
    </row>
    <row r="328" spans="1:63">
      <c r="A328" s="13" t="s">
        <v>103</v>
      </c>
      <c r="B328" s="13" t="s">
        <v>104</v>
      </c>
      <c r="C328" s="13" t="s">
        <v>292</v>
      </c>
      <c r="D328" s="31">
        <v>45722</v>
      </c>
      <c r="E328" s="31">
        <v>45717</v>
      </c>
      <c r="F328" s="31">
        <v>45747</v>
      </c>
      <c r="G328" s="13">
        <v>3786815</v>
      </c>
      <c r="J328" s="13" t="s">
        <v>294</v>
      </c>
      <c r="K328" s="13" t="s">
        <v>1019</v>
      </c>
      <c r="L328" s="13">
        <v>30</v>
      </c>
      <c r="M328" s="13">
        <v>0</v>
      </c>
      <c r="N328" s="13" t="s">
        <v>1020</v>
      </c>
      <c r="O328" s="13" t="s">
        <v>925</v>
      </c>
      <c r="P328" s="13">
        <v>10020</v>
      </c>
      <c r="R328" s="13" t="s">
        <v>384</v>
      </c>
      <c r="S328" s="13" t="s">
        <v>299</v>
      </c>
      <c r="T328" s="13" t="s">
        <v>305</v>
      </c>
      <c r="U328" s="13" t="s">
        <v>125</v>
      </c>
      <c r="V328" s="13">
        <v>101</v>
      </c>
      <c r="W328" s="44">
        <f>IF($AX328="Cancelled","",IFERROR(((V328+INDEX(Variables!$B$6:$D$6,IFERROR(MATCH(IF($B328="Robusta","Robusta",(IF($B328="","Arabica",$B328))&amp;" - "&amp;(IF($C328="","Commercial",$C328))),Variables!$B$1:$D$1,0),1)))*22.0462)*(L328/16.67),""))</f>
        <v>15544.753137372525</v>
      </c>
      <c r="X328" s="55" t="s">
        <v>39</v>
      </c>
      <c r="Y328" s="13" t="str">
        <f>IF($AX328="Cancelled","",IF(X328="","",IFERROR(IF(INDEX(Variables!$B$38:$B$47,MATCH(X328,Variables!$A$38:$A$47,0))="Yes","Yes","No"),"No")))</f>
        <v>No</v>
      </c>
      <c r="Z328" s="31"/>
      <c r="AB328" s="31">
        <v>45702.875</v>
      </c>
      <c r="AC328" s="13" t="str">
        <f t="shared" si="15"/>
        <v>Approved</v>
      </c>
      <c r="AF328" s="71">
        <f>AJ328-7</f>
        <v>45770</v>
      </c>
      <c r="AG328" s="36">
        <f>IF($AX328="Cancelled","",IFERROR(IF(F328="","",F328-Variables!$B$13),""))</f>
        <v>45732</v>
      </c>
      <c r="AH328" s="13">
        <f>IF($AX328="Cancelled","",IFERROR(IF(AB328="","",(AVERAGE(E328:F328)-AB328)-Variables!$B$14),""))</f>
        <v>-0.875</v>
      </c>
      <c r="AJ328" s="47">
        <v>45777</v>
      </c>
      <c r="AK328" s="14">
        <f>IF($AX328="Cancelled","",IFERROR(IF(AJ328="","",IF(AND(AB328="",AF328=""),"",IF(AF328&gt;AB328,AF328+Variables!$B$15+Variables!$B$16+Variables!$B$17-AJ328,AB328+Variables!$B$16+Variables!$B$17-AJ328))),""))</f>
        <v>8</v>
      </c>
      <c r="AL328" s="48" t="s">
        <v>864</v>
      </c>
      <c r="AM328" s="13" t="s">
        <v>3241</v>
      </c>
      <c r="AN328" s="13" t="s">
        <v>3245</v>
      </c>
      <c r="AP328" s="31">
        <v>45789</v>
      </c>
      <c r="AR328" s="13" t="s">
        <v>3258</v>
      </c>
      <c r="AS328" s="31">
        <v>45794</v>
      </c>
      <c r="AU328" s="31">
        <v>45805</v>
      </c>
      <c r="AV328" s="13" t="s">
        <v>865</v>
      </c>
      <c r="AW328" s="31">
        <v>45817</v>
      </c>
      <c r="AX328" s="13" t="str">
        <f>IF(ISNUMBER(SEARCH("cancel",#REF!)),"Cancelled",IF(AND(AS328&lt;&gt;"",AU328&lt;&gt;"",AW328&lt;&gt;""),"Closed","Open"))</f>
        <v>Closed</v>
      </c>
      <c r="AY328" s="15" t="str">
        <f t="shared" si="16"/>
        <v>All dates received</v>
      </c>
      <c r="BD328" s="13">
        <f>IF($AX328="Cancelled","",IFERROR(IF(OR(AS328="",AJ328=""),"",(AJ328+Variables!$B$18-AS328)),""))</f>
        <v>-2</v>
      </c>
      <c r="BE328" s="13">
        <f>IF($AX328="Cancelled","",IFERROR(IF(OR(AW328="",AS328=""),"",(AS328+Variables!$B$19)-AW328),""))</f>
        <v>-18</v>
      </c>
      <c r="BF328" s="44">
        <f>IF($AX328="Cancelled","",IFERROR(W328*INDEX(Variables!$B$7:$D$7,IFERROR(MATCH(IF($B328="Robusta","Robusta",(IF($B328="","Arabica",$B328))&amp;" - "&amp;(IF($C328="","Commercial",$C328))),Variables!$B$1:$D$1,0),1))*(BE328/365),""))</f>
        <v>-49.431446174203529</v>
      </c>
      <c r="BG328" s="44">
        <f>IF($AX328="Cancelled","",IFERROR((W328*INDEX(Variables!$B$7:$D$7,IFERROR(MATCH(IF($B328="Robusta","Robusta",(IF($B328="","Arabica",$B328))&amp;" - "&amp;(IF($C328="","Commercial",$C328))),Variables!$B$1:$D$1,0),1))*IFERROR(IF(AB328="","",(AVERAGE(E328:F328)-AB328)-Variables!$B$14),"")/365)+(L328/16.67*INDEX(Variables!$B$8:$D$8,IFERROR(MATCH(IF($B328="Robusta","Robusta",(IF($B328="","Arabica",$B328))&amp;" - "&amp;(IF($C328="","Commercial",$C328))),Variables!$B$1:$D$1,0),1))*IFERROR(IF(AB328="","",(AVERAGE(E328:F328)-AB328)-Variables!$B$14),""))+(W328*INDEX(Variables!$B$9:$D$9,IFERROR(MATCH(IF($B328="Robusta","Robusta",(IF($B328="","Arabica",$B328))&amp;" - "&amp;(IF($C328="","Commercial",$C328))),Variables!$B$1:$D$1,0),1))*IFERROR(IF(AB328="","",(AVERAGE(E328:F328)-AB328)-Variables!$B$14),"")/365),""))</f>
        <v>-3.7463957665289258</v>
      </c>
      <c r="BH328" s="44">
        <f>IF($AX328="Cancelled","",IFERROR((W328*INDEX(Variables!$B$7:$D$7,IFERROR(MATCH(IF($B328="Robusta","Robusta",(IF($B328="","Arabica",$B328))&amp;" - "&amp;(IF($C328="","Commercial",$C328))),Variables!$B$1:$D$1,0),1))*AK328/365)+(L328/16.67*INDEX(Variables!$B$8:$D$8,IFERROR(MATCH(IF($B328="Robusta","Robusta",(IF($B328="","Arabica",$B328))&amp;" - "&amp;(IF($C328="","Commercial",$C328))),Variables!$B$1:$D$1,0),1))*AK328)+(W328*INDEX(Variables!$B$9:$D$9,IFERROR(MATCH(IF($B328="Robusta","Robusta",(IF($B328="","Arabica",$B328))&amp;" - "&amp;(IF($C328="","Commercial",$C328))),Variables!$B$1:$D$1,0),1))*AK328/365),""))</f>
        <v>34.25276129397875</v>
      </c>
      <c r="BI328" s="44">
        <f>IF($AX328="Cancelled","",IFERROR((W328*INDEX(Variables!$B$7:$D$7,IFERROR(MATCH(IF($B328="Robusta","Robusta",(IF($B328="","Arabica",$B328))&amp;" - "&amp;(IF($C328="","Commercial",$C328))),Variables!$B$1:$D$1,0),1))*BD328/365)+(L328/16.67*INDEX(Variables!$B$8:$D$8,IFERROR(MATCH(IF($B328="Robusta","Robusta",(IF($B328="","Arabica",$B328))&amp;" - "&amp;(IF($C328="","Commercial",$C328))),Variables!$B$1:$D$1,0),1))*BD328)+(W328*INDEX(Variables!$B$9:$D$9,IFERROR(MATCH(IF($B328="Robusta","Robusta",(IF($B328="","Arabica",$B328))&amp;" - "&amp;(IF($C328="","Commercial",$C328))),Variables!$B$1:$D$1,0),1))*BD328/365),""))</f>
        <v>-8.5631903234946876</v>
      </c>
      <c r="BJ328" s="44">
        <f t="shared" si="17"/>
        <v>-47</v>
      </c>
      <c r="BK328" s="44">
        <f>IF($AX328="Cancelled","",IFERROR(IF(BJ328="","",(W328*INDEX(Variables!$B$7:$D$7,IFERROR(MATCH(IF($B328="Robusta","Robusta",(IF($B328="","Arabica",$B328))&amp;" - "&amp;(IF($C328="","Commercial",$C328))),Variables!$B$1:$D$1,0),1))*(BJ328/365))+(W328*INDEX(Variables!$B$9:$D$9,IFERROR(MATCH(IF($B328="Robusta","Robusta",(IF($B328="","Arabica",$B328))&amp;" - "&amp;(IF($C328="","Commercial",$C328))),Variables!$B$1:$D$1,0),1))*(BJ328/365))+(INDEX(Variables!$B$8:$D$8,IFERROR(MATCH(IF($B328="Robusta","Robusta",(IF($B328="","Arabica",$B328))&amp;" - "&amp;(IF($C328="","Commercial",$C328))),Variables!$B$1:$D$1,0),1))*L328/16.67)),""))</f>
        <v>-129.23497260212514</v>
      </c>
    </row>
    <row r="329" spans="1:63">
      <c r="A329" s="13" t="s">
        <v>103</v>
      </c>
      <c r="B329" s="13" t="s">
        <v>104</v>
      </c>
      <c r="C329" s="13" t="s">
        <v>292</v>
      </c>
      <c r="D329" s="31">
        <v>45722</v>
      </c>
      <c r="E329" s="31">
        <v>45717</v>
      </c>
      <c r="F329" s="31">
        <v>45747</v>
      </c>
      <c r="G329" s="13">
        <v>3786816</v>
      </c>
      <c r="J329" s="13" t="s">
        <v>294</v>
      </c>
      <c r="L329" s="13">
        <v>20</v>
      </c>
      <c r="M329" s="13">
        <v>0</v>
      </c>
      <c r="N329" s="13" t="s">
        <v>467</v>
      </c>
      <c r="P329" s="13">
        <v>0</v>
      </c>
      <c r="R329" s="13" t="s">
        <v>467</v>
      </c>
      <c r="S329" s="13" t="s">
        <v>467</v>
      </c>
      <c r="T329" s="13" t="s">
        <v>467</v>
      </c>
      <c r="U329" s="13" t="s">
        <v>467</v>
      </c>
      <c r="W329" s="44">
        <f>IF($AX329="Cancelled","",IFERROR(((V329+INDEX(Variables!$B$6:$D$6,IFERROR(MATCH(IF($B329="Robusta","Robusta",(IF($B329="","Arabica",$B329))&amp;" - "&amp;(IF($C329="","Commercial",$C329))),Variables!$B$1:$D$1,0),1)))*22.0462)*(L329/16.67),""))</f>
        <v>7691.7036112777441</v>
      </c>
      <c r="Y329" s="13" t="str">
        <f>IF($AX329="Cancelled","",IF(X329="","",IFERROR(IF(INDEX(Variables!$B$38:$B$47,MATCH(X329,Variables!$A$38:$A$47,0))="Yes","Yes","No"),"No")))</f>
        <v/>
      </c>
      <c r="Z329" s="31">
        <v>45722</v>
      </c>
      <c r="AB329" s="31">
        <v>45722</v>
      </c>
      <c r="AC329" s="13" t="str">
        <f t="shared" si="15"/>
        <v>Approved</v>
      </c>
      <c r="AD329" s="31">
        <v>45722</v>
      </c>
      <c r="AF329" s="71">
        <f>AJ329-7</f>
        <v>45715</v>
      </c>
      <c r="AG329" s="35">
        <f>IF($AX329="Cancelled","",IFERROR(IF(F329="","",F329-Variables!$B$13),""))</f>
        <v>45732</v>
      </c>
      <c r="AH329" s="13">
        <f>IF($AX329="Cancelled","",IFERROR(IF(AB329="","",(AVERAGE(E329:F329)-AB329)-Variables!$B$14),""))</f>
        <v>-20</v>
      </c>
      <c r="AI329" s="13">
        <v>45722</v>
      </c>
      <c r="AJ329" s="47">
        <v>45722</v>
      </c>
      <c r="AK329" s="14">
        <f>IF($AX329="Cancelled","",IFERROR(IF(AJ329="","",IF(AND(AB329="",AF329=""),"",IF(AF329&gt;AB329,AF329+Variables!$B$15+Variables!$B$16+Variables!$B$17-AJ329,AB329+Variables!$B$16+Variables!$B$17-AJ329))),""))</f>
        <v>8</v>
      </c>
      <c r="AL329" s="48" t="s">
        <v>467</v>
      </c>
      <c r="AM329" s="13" t="s">
        <v>467</v>
      </c>
      <c r="AN329" s="13" t="s">
        <v>467</v>
      </c>
      <c r="AO329" s="31">
        <v>45722</v>
      </c>
      <c r="AP329" s="31">
        <v>45722</v>
      </c>
      <c r="AQ329" s="31">
        <v>45722</v>
      </c>
      <c r="AR329" s="13" t="s">
        <v>467</v>
      </c>
      <c r="AS329" s="31">
        <v>45722</v>
      </c>
      <c r="AU329" s="31">
        <v>45722</v>
      </c>
      <c r="AV329" s="13" t="s">
        <v>467</v>
      </c>
      <c r="AW329" s="31">
        <v>45722</v>
      </c>
      <c r="AX329" s="13" t="str">
        <f>IF(ISNUMBER(SEARCH("cancel",#REF!)),"Cancelled",IF(AND(AS329&lt;&gt;"",AU329&lt;&gt;"",AW329&lt;&gt;""),"Closed","Open"))</f>
        <v>Closed</v>
      </c>
      <c r="AY329" s="15" t="str">
        <f t="shared" si="16"/>
        <v>All dates received</v>
      </c>
      <c r="BD329" s="13">
        <f>IF($AX329="Cancelled","",IFERROR(IF(OR(AS329="",AJ329=""),"",(AJ329+Variables!$B$18-AS329)),""))</f>
        <v>15</v>
      </c>
      <c r="BE329" s="13">
        <f>IF($AX329="Cancelled","",IFERROR(IF(OR(AW329="",AS329=""),"",(AS329+Variables!$B$19)-AW329),""))</f>
        <v>5</v>
      </c>
      <c r="BF329" s="44">
        <f>IF($AX329="Cancelled","",IFERROR(W329*INDEX(Variables!$B$7:$D$7,IFERROR(MATCH(IF($B329="Robusta","Robusta",(IF($B329="","Arabica",$B329))&amp;" - "&amp;(IF($C329="","Commercial",$C329))),Variables!$B$1:$D$1,0),1))*(BE329/365),""))</f>
        <v>6.794218775385394</v>
      </c>
      <c r="BG329" s="44">
        <f>IF($AX329="Cancelled","",IFERROR((W329*INDEX(Variables!$B$7:$D$7,IFERROR(MATCH(IF($B329="Robusta","Robusta",(IF($B329="","Arabica",$B329))&amp;" - "&amp;(IF($C329="","Commercial",$C329))),Variables!$B$1:$D$1,0),1))*IFERROR(IF(AB329="","",(AVERAGE(E329:F329)-AB329)-Variables!$B$14),"")/365)+(L329/16.67*INDEX(Variables!$B$8:$D$8,IFERROR(MATCH(IF($B329="Robusta","Robusta",(IF($B329="","Arabica",$B329))&amp;" - "&amp;(IF($C329="","Commercial",$C329))),Variables!$B$1:$D$1,0),1))*IFERROR(IF(AB329="","",(AVERAGE(E329:F329)-AB329)-Variables!$B$14),""))+(W329*INDEX(Variables!$B$9:$D$9,IFERROR(MATCH(IF($B329="Robusta","Robusta",(IF($B329="","Arabica",$B329))&amp;" - "&amp;(IF($C329="","Commercial",$C329))),Variables!$B$1:$D$1,0),1))*IFERROR(IF(AB329="","",(AVERAGE(E329:F329)-AB329)-Variables!$B$14),"")/365),""))</f>
        <v>-47.527237469325421</v>
      </c>
      <c r="BH329" s="44">
        <f>IF($AX329="Cancelled","",IFERROR((W329*INDEX(Variables!$B$7:$D$7,IFERROR(MATCH(IF($B329="Robusta","Robusta",(IF($B329="","Arabica",$B329))&amp;" - "&amp;(IF($C329="","Commercial",$C329))),Variables!$B$1:$D$1,0),1))*AK329/365)+(L329/16.67*INDEX(Variables!$B$8:$D$8,IFERROR(MATCH(IF($B329="Robusta","Robusta",(IF($B329="","Arabica",$B329))&amp;" - "&amp;(IF($C329="","Commercial",$C329))),Variables!$B$1:$D$1,0),1))*AK329)+(W329*INDEX(Variables!$B$9:$D$9,IFERROR(MATCH(IF($B329="Robusta","Robusta",(IF($B329="","Arabica",$B329))&amp;" - "&amp;(IF($C329="","Commercial",$C329))),Variables!$B$1:$D$1,0),1))*AK329/365),""))</f>
        <v>19.010894987730168</v>
      </c>
      <c r="BI329" s="44">
        <f>IF($AX329="Cancelled","",IFERROR((W329*INDEX(Variables!$B$7:$D$7,IFERROR(MATCH(IF($B329="Robusta","Robusta",(IF($B329="","Arabica",$B329))&amp;" - "&amp;(IF($C329="","Commercial",$C329))),Variables!$B$1:$D$1,0),1))*BD329/365)+(L329/16.67*INDEX(Variables!$B$8:$D$8,IFERROR(MATCH(IF($B329="Robusta","Robusta",(IF($B329="","Arabica",$B329))&amp;" - "&amp;(IF($C329="","Commercial",$C329))),Variables!$B$1:$D$1,0),1))*BD329)+(W329*INDEX(Variables!$B$9:$D$9,IFERROR(MATCH(IF($B329="Robusta","Robusta",(IF($B329="","Arabica",$B329))&amp;" - "&amp;(IF($C329="","Commercial",$C329))),Variables!$B$1:$D$1,0),1))*BD329/365),""))</f>
        <v>35.645428101994064</v>
      </c>
      <c r="BJ329" s="44">
        <f t="shared" si="17"/>
        <v>25</v>
      </c>
      <c r="BK329" s="44">
        <f>IF($AX329="Cancelled","",IFERROR(IF(BJ329="","",(W329*INDEX(Variables!$B$7:$D$7,IFERROR(MATCH(IF($B329="Robusta","Robusta",(IF($B329="","Arabica",$B329))&amp;" - "&amp;(IF($C329="","Commercial",$C329))),Variables!$B$1:$D$1,0),1))*(BJ329/365))+(W329*INDEX(Variables!$B$9:$D$9,IFERROR(MATCH(IF($B329="Robusta","Robusta",(IF($B329="","Arabica",$B329))&amp;" - "&amp;(IF($C329="","Commercial",$C329))),Variables!$B$1:$D$1,0),1))*(BJ329/365))+(INDEX(Variables!$B$8:$D$8,IFERROR(MATCH(IF($B329="Robusta","Robusta",(IF($B329="","Arabica",$B329))&amp;" - "&amp;(IF($C329="","Commercial",$C329))),Variables!$B$1:$D$1,0),1))*L329/16.67)),""))</f>
        <v>35.409046836656778</v>
      </c>
    </row>
    <row r="330" spans="1:63">
      <c r="A330" s="13" t="s">
        <v>103</v>
      </c>
      <c r="B330" s="13" t="s">
        <v>104</v>
      </c>
      <c r="C330" s="13" t="s">
        <v>292</v>
      </c>
      <c r="D330" s="31">
        <v>45722</v>
      </c>
      <c r="E330" s="31">
        <v>45717</v>
      </c>
      <c r="F330" s="31">
        <v>45747</v>
      </c>
      <c r="G330" s="13">
        <v>3786817</v>
      </c>
      <c r="J330" s="13" t="s">
        <v>294</v>
      </c>
      <c r="K330" s="13" t="s">
        <v>1021</v>
      </c>
      <c r="L330" s="13">
        <v>20</v>
      </c>
      <c r="M330" s="13">
        <v>0</v>
      </c>
      <c r="N330" s="13" t="s">
        <v>1022</v>
      </c>
      <c r="O330" s="13" t="s">
        <v>925</v>
      </c>
      <c r="P330" s="13">
        <v>10020</v>
      </c>
      <c r="R330" s="13" t="s">
        <v>384</v>
      </c>
      <c r="S330" s="13" t="s">
        <v>299</v>
      </c>
      <c r="T330" s="13" t="s">
        <v>305</v>
      </c>
      <c r="U330" s="13" t="s">
        <v>125</v>
      </c>
      <c r="V330" s="13">
        <v>100</v>
      </c>
      <c r="W330" s="44">
        <f>IF($AX330="Cancelled","",IFERROR(((V330+INDEX(Variables!$B$6:$D$6,IFERROR(MATCH(IF($B330="Robusta","Robusta",(IF($B330="","Arabica",$B330))&amp;" - "&amp;(IF($C330="","Commercial",$C330))),Variables!$B$1:$D$1,0),1)))*22.0462)*(L330/16.67),""))</f>
        <v>10336.718608278343</v>
      </c>
      <c r="X330" s="55" t="s">
        <v>39</v>
      </c>
      <c r="Y330" s="13" t="str">
        <f>IF($AX330="Cancelled","",IF(X330="","",IFERROR(IF(INDEX(Variables!$B$38:$B$47,MATCH(X330,Variables!$A$38:$A$47,0))="Yes","Yes","No"),"No")))</f>
        <v>No</v>
      </c>
      <c r="Z330" s="31"/>
      <c r="AB330" s="31">
        <v>45702.875</v>
      </c>
      <c r="AC330" s="13" t="str">
        <f t="shared" si="15"/>
        <v>Approved</v>
      </c>
      <c r="AF330" s="71">
        <f>AJ330-7</f>
        <v>45784</v>
      </c>
      <c r="AG330" s="36">
        <f>IF($AX330="Cancelled","",IFERROR(IF(F330="","",F330-Variables!$B$13),""))</f>
        <v>45732</v>
      </c>
      <c r="AH330" s="13">
        <f>IF($AX330="Cancelled","",IFERROR(IF(AB330="","",(AVERAGE(E330:F330)-AB330)-Variables!$B$14),""))</f>
        <v>-0.875</v>
      </c>
      <c r="AJ330" s="47">
        <v>45791</v>
      </c>
      <c r="AK330" s="14">
        <f>IF($AX330="Cancelled","",IFERROR(IF(AJ330="","",IF(AND(AB330="",AF330=""),"",IF(AF330&gt;AB330,AF330+Variables!$B$15+Variables!$B$16+Variables!$B$17-AJ330,AB330+Variables!$B$16+Variables!$B$17-AJ330))),""))</f>
        <v>8</v>
      </c>
      <c r="AL330" s="48" t="s">
        <v>864</v>
      </c>
      <c r="AM330" s="13" t="s">
        <v>168</v>
      </c>
      <c r="AN330" s="13" t="s">
        <v>334</v>
      </c>
      <c r="AP330" s="31">
        <v>45810</v>
      </c>
      <c r="AR330" s="13" t="s">
        <v>3257</v>
      </c>
      <c r="AS330" s="31">
        <v>45813</v>
      </c>
      <c r="AU330" s="31">
        <v>45818</v>
      </c>
      <c r="AV330" s="13" t="s">
        <v>3270</v>
      </c>
      <c r="AW330" s="31">
        <v>45820</v>
      </c>
      <c r="AX330" s="13" t="str">
        <f>IF(ISNUMBER(SEARCH("cancel",#REF!)),"Cancelled",IF(AND(AS330&lt;&gt;"",AU330&lt;&gt;"",AW330&lt;&gt;""),"Closed","Open"))</f>
        <v>Closed</v>
      </c>
      <c r="AY330" s="15" t="str">
        <f t="shared" si="16"/>
        <v>All dates received</v>
      </c>
      <c r="BD330" s="13">
        <f>IF($AX330="Cancelled","",IFERROR(IF(OR(AS330="",AJ330=""),"",(AJ330+Variables!$B$18-AS330)),""))</f>
        <v>-7</v>
      </c>
      <c r="BE330" s="13">
        <f>IF($AX330="Cancelled","",IFERROR(IF(OR(AW330="",AS330=""),"",(AS330+Variables!$B$19)-AW330),""))</f>
        <v>-2</v>
      </c>
      <c r="BF330" s="44">
        <f>IF($AX330="Cancelled","",IFERROR(W330*INDEX(Variables!$B$7:$D$7,IFERROR(MATCH(IF($B330="Robusta","Robusta",(IF($B330="","Arabica",$B330))&amp;" - "&amp;(IF($C330="","Commercial",$C330))),Variables!$B$1:$D$1,0),1))*(BE330/365),""))</f>
        <v>-3.6522430500971277</v>
      </c>
      <c r="BG330" s="44">
        <f>IF($AX330="Cancelled","",IFERROR((W330*INDEX(Variables!$B$7:$D$7,IFERROR(MATCH(IF($B330="Robusta","Robusta",(IF($B330="","Arabica",$B330))&amp;" - "&amp;(IF($C330="","Commercial",$C330))),Variables!$B$1:$D$1,0),1))*IFERROR(IF(AB330="","",(AVERAGE(E330:F330)-AB330)-Variables!$B$14),"")/365)+(L330/16.67*INDEX(Variables!$B$8:$D$8,IFERROR(MATCH(IF($B330="Robusta","Robusta",(IF($B330="","Arabica",$B330))&amp;" - "&amp;(IF($C330="","Commercial",$C330))),Variables!$B$1:$D$1,0),1))*IFERROR(IF(AB330="","",(AVERAGE(E330:F330)-AB330)-Variables!$B$14),""))+(W330*INDEX(Variables!$B$9:$D$9,IFERROR(MATCH(IF($B330="Robusta","Robusta",(IF($B330="","Arabica",$B330))&amp;" - "&amp;(IF($C330="","Commercial",$C330))),Variables!$B$1:$D$1,0),1))*IFERROR(IF(AB330="","",(AVERAGE(E330:F330)-AB330)-Variables!$B$14),"")/365),""))</f>
        <v>-2.493455786216614</v>
      </c>
      <c r="BH330" s="44">
        <f>IF($AX330="Cancelled","",IFERROR((W330*INDEX(Variables!$B$7:$D$7,IFERROR(MATCH(IF($B330="Robusta","Robusta",(IF($B330="","Arabica",$B330))&amp;" - "&amp;(IF($C330="","Commercial",$C330))),Variables!$B$1:$D$1,0),1))*AK330/365)+(L330/16.67*INDEX(Variables!$B$8:$D$8,IFERROR(MATCH(IF($B330="Robusta","Robusta",(IF($B330="","Arabica",$B330))&amp;" - "&amp;(IF($C330="","Commercial",$C330))),Variables!$B$1:$D$1,0),1))*AK330)+(W330*INDEX(Variables!$B$9:$D$9,IFERROR(MATCH(IF($B330="Robusta","Robusta",(IF($B330="","Arabica",$B330))&amp;" - "&amp;(IF($C330="","Commercial",$C330))),Variables!$B$1:$D$1,0),1))*AK330/365),""))</f>
        <v>22.797310045409041</v>
      </c>
      <c r="BI330" s="44">
        <f>IF($AX330="Cancelled","",IFERROR((W330*INDEX(Variables!$B$7:$D$7,IFERROR(MATCH(IF($B330="Robusta","Robusta",(IF($B330="","Arabica",$B330))&amp;" - "&amp;(IF($C330="","Commercial",$C330))),Variables!$B$1:$D$1,0),1))*BD330/365)+(L330/16.67*INDEX(Variables!$B$8:$D$8,IFERROR(MATCH(IF($B330="Robusta","Robusta",(IF($B330="","Arabica",$B330))&amp;" - "&amp;(IF($C330="","Commercial",$C330))),Variables!$B$1:$D$1,0),1))*BD330)+(W330*INDEX(Variables!$B$9:$D$9,IFERROR(MATCH(IF($B330="Robusta","Robusta",(IF($B330="","Arabica",$B330))&amp;" - "&amp;(IF($C330="","Commercial",$C330))),Variables!$B$1:$D$1,0),1))*BD330/365),""))</f>
        <v>-19.947646289732912</v>
      </c>
      <c r="BJ330" s="44">
        <f t="shared" si="17"/>
        <v>-66</v>
      </c>
      <c r="BK330" s="44">
        <f>IF($AX330="Cancelled","",IFERROR(IF(BJ330="","",(W330*INDEX(Variables!$B$7:$D$7,IFERROR(MATCH(IF($B330="Robusta","Robusta",(IF($B330="","Arabica",$B330))&amp;" - "&amp;(IF($C330="","Commercial",$C330))),Variables!$B$1:$D$1,0),1))*(BJ330/365))+(W330*INDEX(Variables!$B$9:$D$9,IFERROR(MATCH(IF($B330="Robusta","Robusta",(IF($B330="","Arabica",$B330))&amp;" - "&amp;(IF($C330="","Commercial",$C330))),Variables!$B$1:$D$1,0),1))*(BJ330/365))+(INDEX(Variables!$B$8:$D$8,IFERROR(MATCH(IF($B330="Robusta","Robusta",(IF($B330="","Arabica",$B330))&amp;" - "&amp;(IF($C330="","Commercial",$C330))),Variables!$B$1:$D$1,0),1))*L330/16.67)),""))</f>
        <v>-121.07780787462461</v>
      </c>
    </row>
    <row r="331" spans="1:63">
      <c r="A331" s="13" t="s">
        <v>103</v>
      </c>
      <c r="B331" s="13" t="s">
        <v>104</v>
      </c>
      <c r="C331" s="13" t="s">
        <v>292</v>
      </c>
      <c r="D331" s="31">
        <v>45722</v>
      </c>
      <c r="E331" s="31">
        <v>45717</v>
      </c>
      <c r="F331" s="31">
        <v>45747</v>
      </c>
      <c r="G331" s="13">
        <v>3786818</v>
      </c>
      <c r="J331" s="13" t="s">
        <v>294</v>
      </c>
      <c r="K331" s="13" t="s">
        <v>1023</v>
      </c>
      <c r="L331" s="13">
        <v>25</v>
      </c>
      <c r="M331" s="13">
        <v>0</v>
      </c>
      <c r="N331" s="13" t="s">
        <v>1024</v>
      </c>
      <c r="O331" s="13" t="s">
        <v>771</v>
      </c>
      <c r="P331" s="13">
        <v>10010</v>
      </c>
      <c r="R331" s="13" t="s">
        <v>384</v>
      </c>
      <c r="S331" s="13" t="s">
        <v>299</v>
      </c>
      <c r="T331" s="13" t="s">
        <v>305</v>
      </c>
      <c r="U331" s="13" t="s">
        <v>125</v>
      </c>
      <c r="V331" s="13">
        <v>135</v>
      </c>
      <c r="W331" s="44">
        <f>IF($AX331="Cancelled","",IFERROR(((V331+INDEX(Variables!$B$6:$D$6,IFERROR(MATCH(IF($B331="Robusta","Robusta",(IF($B331="","Arabica",$B331))&amp;" - "&amp;(IF($C331="","Commercial",$C331))),Variables!$B$1:$D$1,0),1)))*22.0462)*(L331/16.67),""))</f>
        <v>14078.092321535691</v>
      </c>
      <c r="X331" s="55" t="s">
        <v>39</v>
      </c>
      <c r="Y331" s="13" t="str">
        <f>IF($AX331="Cancelled","",IF(X331="","",IFERROR(IF(INDEX(Variables!$B$38:$B$47,MATCH(X331,Variables!$A$38:$A$47,0))="Yes","Yes","No"),"No")))</f>
        <v>No</v>
      </c>
      <c r="Z331" s="31"/>
      <c r="AB331" s="31">
        <v>45702.875</v>
      </c>
      <c r="AC331" s="13" t="str">
        <f t="shared" si="15"/>
        <v>Approved</v>
      </c>
      <c r="AF331" s="71">
        <f>AJ331-7</f>
        <v>45784</v>
      </c>
      <c r="AG331" s="36">
        <f>IF($AX331="Cancelled","",IFERROR(IF(F331="","",F331-Variables!$B$13),""))</f>
        <v>45732</v>
      </c>
      <c r="AH331" s="13">
        <f>IF($AX331="Cancelled","",IFERROR(IF(AB331="","",(AVERAGE(E331:F331)-AB331)-Variables!$B$14),""))</f>
        <v>-0.875</v>
      </c>
      <c r="AJ331" s="47">
        <v>45791</v>
      </c>
      <c r="AK331" s="14">
        <f>IF($AX331="Cancelled","",IFERROR(IF(AJ331="","",IF(AND(AB331="",AF331=""),"",IF(AF331&gt;AB331,AF331+Variables!$B$15+Variables!$B$16+Variables!$B$17-AJ331,AB331+Variables!$B$16+Variables!$B$17-AJ331))),""))</f>
        <v>8</v>
      </c>
      <c r="AL331" s="48" t="s">
        <v>864</v>
      </c>
      <c r="AM331" s="13" t="s">
        <v>168</v>
      </c>
      <c r="AN331" s="13" t="s">
        <v>334</v>
      </c>
      <c r="AP331" s="31">
        <v>45810</v>
      </c>
      <c r="AR331" s="13" t="s">
        <v>3257</v>
      </c>
      <c r="AS331" s="31">
        <v>45813</v>
      </c>
      <c r="AU331" s="31">
        <v>45818</v>
      </c>
      <c r="AV331" s="13" t="s">
        <v>3270</v>
      </c>
      <c r="AW331" s="31">
        <v>45820</v>
      </c>
      <c r="AX331" s="13" t="str">
        <f>IF(ISNUMBER(SEARCH("cancel",#REF!)),"Cancelled",IF(AND(AS331&lt;&gt;"",AU331&lt;&gt;"",AW331&lt;&gt;""),"Closed","Open"))</f>
        <v>Closed</v>
      </c>
      <c r="AY331" s="15" t="str">
        <f t="shared" si="16"/>
        <v>All dates received</v>
      </c>
      <c r="BD331" s="13">
        <f>IF($AX331="Cancelled","",IFERROR(IF(OR(AS331="",AJ331=""),"",(AJ331+Variables!$B$18-AS331)),""))</f>
        <v>-7</v>
      </c>
      <c r="BE331" s="13">
        <f>IF($AX331="Cancelled","",IFERROR(IF(OR(AW331="",AS331=""),"",(AS331+Variables!$B$19)-AW331),""))</f>
        <v>-2</v>
      </c>
      <c r="BF331" s="44">
        <f>IF($AX331="Cancelled","",IFERROR(W331*INDEX(Variables!$B$7:$D$7,IFERROR(MATCH(IF($B331="Robusta","Robusta",(IF($B331="","Arabica",$B331))&amp;" - "&amp;(IF($C331="","Commercial",$C331))),Variables!$B$1:$D$1,0),1))*(BE331/365),""))</f>
        <v>-4.9741718613464583</v>
      </c>
      <c r="BG331" s="44">
        <f>IF($AX331="Cancelled","",IFERROR((W331*INDEX(Variables!$B$7:$D$7,IFERROR(MATCH(IF($B331="Robusta","Robusta",(IF($B331="","Arabica",$B331))&amp;" - "&amp;(IF($C331="","Commercial",$C331))),Variables!$B$1:$D$1,0),1))*IFERROR(IF(AB331="","",(AVERAGE(E331:F331)-AB331)-Variables!$B$14),"")/365)+(L331/16.67*INDEX(Variables!$B$8:$D$8,IFERROR(MATCH(IF($B331="Robusta","Robusta",(IF($B331="","Arabica",$B331))&amp;" - "&amp;(IF($C331="","Commercial",$C331))),Variables!$B$1:$D$1,0),1))*IFERROR(IF(AB331="","",(AVERAGE(E331:F331)-AB331)-Variables!$B$14),""))+(W331*INDEX(Variables!$B$9:$D$9,IFERROR(MATCH(IF($B331="Robusta","Robusta",(IF($B331="","Arabica",$B331))&amp;" - "&amp;(IF($C331="","Commercial",$C331))),Variables!$B$1:$D$1,0),1))*IFERROR(IF(AB331="","",(AVERAGE(E331:F331)-AB331)-Variables!$B$14),"")/365),""))</f>
        <v>-3.2980056095542292</v>
      </c>
      <c r="BH331" s="44">
        <f>IF($AX331="Cancelled","",IFERROR((W331*INDEX(Variables!$B$7:$D$7,IFERROR(MATCH(IF($B331="Robusta","Robusta",(IF($B331="","Arabica",$B331))&amp;" - "&amp;(IF($C331="","Commercial",$C331))),Variables!$B$1:$D$1,0),1))*AK331/365)+(L331/16.67*INDEX(Variables!$B$8:$D$8,IFERROR(MATCH(IF($B331="Robusta","Robusta",(IF($B331="","Arabica",$B331))&amp;" - "&amp;(IF($C331="","Commercial",$C331))),Variables!$B$1:$D$1,0),1))*AK331)+(W331*INDEX(Variables!$B$9:$D$9,IFERROR(MATCH(IF($B331="Robusta","Robusta",(IF($B331="","Arabica",$B331))&amp;" - "&amp;(IF($C331="","Commercial",$C331))),Variables!$B$1:$D$1,0),1))*AK331/365),""))</f>
        <v>30.15319414449581</v>
      </c>
      <c r="BI331" s="44">
        <f>IF($AX331="Cancelled","",IFERROR((W331*INDEX(Variables!$B$7:$D$7,IFERROR(MATCH(IF($B331="Robusta","Robusta",(IF($B331="","Arabica",$B331))&amp;" - "&amp;(IF($C331="","Commercial",$C331))),Variables!$B$1:$D$1,0),1))*BD331/365)+(L331/16.67*INDEX(Variables!$B$8:$D$8,IFERROR(MATCH(IF($B331="Robusta","Robusta",(IF($B331="","Arabica",$B331))&amp;" - "&amp;(IF($C331="","Commercial",$C331))),Variables!$B$1:$D$1,0),1))*BD331)+(W331*INDEX(Variables!$B$9:$D$9,IFERROR(MATCH(IF($B331="Robusta","Robusta",(IF($B331="","Arabica",$B331))&amp;" - "&amp;(IF($C331="","Commercial",$C331))),Variables!$B$1:$D$1,0),1))*BD331/365),""))</f>
        <v>-26.384044876433833</v>
      </c>
      <c r="BJ331" s="44">
        <f t="shared" si="17"/>
        <v>-66</v>
      </c>
      <c r="BK331" s="44">
        <f>IF($AX331="Cancelled","",IFERROR(IF(BJ331="","",(W331*INDEX(Variables!$B$7:$D$7,IFERROR(MATCH(IF($B331="Robusta","Robusta",(IF($B331="","Arabica",$B331))&amp;" - "&amp;(IF($C331="","Commercial",$C331))),Variables!$B$1:$D$1,0),1))*(BJ331/365))+(W331*INDEX(Variables!$B$9:$D$9,IFERROR(MATCH(IF($B331="Robusta","Robusta",(IF($B331="","Arabica",$B331))&amp;" - "&amp;(IF($C331="","Commercial",$C331))),Variables!$B$1:$D$1,0),1))*(BJ331/365))+(INDEX(Variables!$B$8:$D$8,IFERROR(MATCH(IF($B331="Robusta","Robusta",(IF($B331="","Arabica",$B331))&amp;" - "&amp;(IF($C331="","Commercial",$C331))),Variables!$B$1:$D$1,0),1))*L331/16.67)),""))</f>
        <v>-165.01385169209044</v>
      </c>
    </row>
    <row r="332" spans="1:63">
      <c r="A332" s="13" t="s">
        <v>103</v>
      </c>
      <c r="B332" s="13" t="s">
        <v>104</v>
      </c>
      <c r="C332" s="13" t="s">
        <v>292</v>
      </c>
      <c r="D332" s="31">
        <v>45722</v>
      </c>
      <c r="E332" s="31">
        <v>45717</v>
      </c>
      <c r="F332" s="31">
        <v>45747</v>
      </c>
      <c r="G332" s="13">
        <v>3786819</v>
      </c>
      <c r="J332" s="13" t="s">
        <v>294</v>
      </c>
      <c r="K332" s="13" t="s">
        <v>1025</v>
      </c>
      <c r="L332" s="13">
        <v>30</v>
      </c>
      <c r="M332" s="13">
        <v>0</v>
      </c>
      <c r="N332" s="13" t="s">
        <v>1026</v>
      </c>
      <c r="O332" s="13" t="s">
        <v>925</v>
      </c>
      <c r="P332" s="13">
        <v>10020</v>
      </c>
      <c r="R332" s="13" t="s">
        <v>384</v>
      </c>
      <c r="S332" s="13" t="s">
        <v>299</v>
      </c>
      <c r="T332" s="13" t="s">
        <v>305</v>
      </c>
      <c r="U332" s="13" t="s">
        <v>125</v>
      </c>
      <c r="V332" s="13">
        <v>94</v>
      </c>
      <c r="W332" s="44">
        <f>IF($AX332="Cancelled","",IFERROR(((V332+INDEX(Variables!$B$6:$D$6,IFERROR(MATCH(IF($B332="Robusta","Robusta",(IF($B332="","Arabica",$B332))&amp;" - "&amp;(IF($C332="","Commercial",$C332))),Variables!$B$1:$D$1,0),1)))*22.0462)*(L332/16.67),""))</f>
        <v>15267.026562687461</v>
      </c>
      <c r="X332" s="55" t="s">
        <v>39</v>
      </c>
      <c r="Y332" s="13" t="str">
        <f>IF($AX332="Cancelled","",IF(X332="","",IFERROR(IF(INDEX(Variables!$B$38:$B$47,MATCH(X332,Variables!$A$38:$A$47,0))="Yes","Yes","No"),"No")))</f>
        <v>No</v>
      </c>
      <c r="Z332" s="31"/>
      <c r="AB332" s="31">
        <v>45702.875</v>
      </c>
      <c r="AC332" s="13" t="str">
        <f t="shared" si="15"/>
        <v>Approved</v>
      </c>
      <c r="AF332" s="71">
        <f>AJ332-7</f>
        <v>45770</v>
      </c>
      <c r="AG332" s="35">
        <f>IF($AX332="Cancelled","",IFERROR(IF(F332="","",F332-Variables!$B$13),""))</f>
        <v>45732</v>
      </c>
      <c r="AH332" s="13">
        <f>IF($AX332="Cancelled","",IFERROR(IF(AB332="","",(AVERAGE(E332:F332)-AB332)-Variables!$B$14),""))</f>
        <v>-0.875</v>
      </c>
      <c r="AJ332" s="47">
        <v>45777</v>
      </c>
      <c r="AK332" s="14">
        <f>IF($AX332="Cancelled","",IFERROR(IF(AJ332="","",IF(AND(AB332="",AF332=""),"",IF(AF332&gt;AB332,AF332+Variables!$B$15+Variables!$B$16+Variables!$B$17-AJ332,AB332+Variables!$B$16+Variables!$B$17-AJ332))),""))</f>
        <v>8</v>
      </c>
      <c r="AL332" s="48" t="s">
        <v>864</v>
      </c>
      <c r="AM332" s="13" t="s">
        <v>168</v>
      </c>
      <c r="AN332" s="13" t="s">
        <v>334</v>
      </c>
      <c r="AP332" s="31">
        <v>45810</v>
      </c>
      <c r="AR332" s="13" t="s">
        <v>3257</v>
      </c>
      <c r="AS332" s="31">
        <v>45813</v>
      </c>
      <c r="AU332" s="31">
        <v>45818</v>
      </c>
      <c r="AV332" s="13" t="s">
        <v>3270</v>
      </c>
      <c r="AW332" s="31">
        <v>45820</v>
      </c>
      <c r="AX332" s="13" t="str">
        <f>IF(ISNUMBER(SEARCH("cancel",#REF!)),"Cancelled",IF(AND(AS332&lt;&gt;"",AU332&lt;&gt;"",AW332&lt;&gt;""),"Closed","Open"))</f>
        <v>Closed</v>
      </c>
      <c r="AY332" s="15" t="str">
        <f t="shared" si="16"/>
        <v>All dates received</v>
      </c>
      <c r="BD332" s="13">
        <f>IF($AX332="Cancelled","",IFERROR(IF(OR(AS332="",AJ332=""),"",(AJ332+Variables!$B$18-AS332)),""))</f>
        <v>-21</v>
      </c>
      <c r="BE332" s="13">
        <f>IF($AX332="Cancelled","",IFERROR(IF(OR(AW332="",AS332=""),"",(AS332+Variables!$B$19)-AW332),""))</f>
        <v>-2</v>
      </c>
      <c r="BF332" s="44">
        <f>IF($AX332="Cancelled","",IFERROR(W332*INDEX(Variables!$B$7:$D$7,IFERROR(MATCH(IF($B332="Robusta","Robusta",(IF($B332="","Arabica",$B332))&amp;" - "&amp;(IF($C332="","Commercial",$C332))),Variables!$B$1:$D$1,0),1))*(BE332/365),""))</f>
        <v>-5.3942545765508241</v>
      </c>
      <c r="BG332" s="44">
        <f>IF($AX332="Cancelled","",IFERROR((W332*INDEX(Variables!$B$7:$D$7,IFERROR(MATCH(IF($B332="Robusta","Robusta",(IF($B332="","Arabica",$B332))&amp;" - "&amp;(IF($C332="","Commercial",$C332))),Variables!$B$1:$D$1,0),1))*IFERROR(IF(AB332="","",(AVERAGE(E332:F332)-AB332)-Variables!$B$14),"")/365)+(L332/16.67*INDEX(Variables!$B$8:$D$8,IFERROR(MATCH(IF($B332="Robusta","Robusta",(IF($B332="","Arabica",$B332))&amp;" - "&amp;(IF($C332="","Commercial",$C332))),Variables!$B$1:$D$1,0),1))*IFERROR(IF(AB332="","",(AVERAGE(E332:F332)-AB332)-Variables!$B$14),""))+(W332*INDEX(Variables!$B$9:$D$9,IFERROR(MATCH(IF($B332="Robusta","Robusta",(IF($B332="","Arabica",$B332))&amp;" - "&amp;(IF($C332="","Commercial",$C332))),Variables!$B$1:$D$1,0),1))*IFERROR(IF(AB332="","",(AVERAGE(E332:F332)-AB332)-Variables!$B$14),"")/365),""))</f>
        <v>-3.7029111561008947</v>
      </c>
      <c r="BH332" s="44">
        <f>IF($AX332="Cancelled","",IFERROR((W332*INDEX(Variables!$B$7:$D$7,IFERROR(MATCH(IF($B332="Robusta","Robusta",(IF($B332="","Arabica",$B332))&amp;" - "&amp;(IF($C332="","Commercial",$C332))),Variables!$B$1:$D$1,0),1))*AK332/365)+(L332/16.67*INDEX(Variables!$B$8:$D$8,IFERROR(MATCH(IF($B332="Robusta","Robusta",(IF($B332="","Arabica",$B332))&amp;" - "&amp;(IF($C332="","Commercial",$C332))),Variables!$B$1:$D$1,0),1))*AK332)+(W332*INDEX(Variables!$B$9:$D$9,IFERROR(MATCH(IF($B332="Robusta","Robusta",(IF($B332="","Arabica",$B332))&amp;" - "&amp;(IF($C332="","Commercial",$C332))),Variables!$B$1:$D$1,0),1))*AK332/365),""))</f>
        <v>33.855187712922472</v>
      </c>
      <c r="BI332" s="44">
        <f>IF($AX332="Cancelled","",IFERROR((W332*INDEX(Variables!$B$7:$D$7,IFERROR(MATCH(IF($B332="Robusta","Robusta",(IF($B332="","Arabica",$B332))&amp;" - "&amp;(IF($C332="","Commercial",$C332))),Variables!$B$1:$D$1,0),1))*BD332/365)+(L332/16.67*INDEX(Variables!$B$8:$D$8,IFERROR(MATCH(IF($B332="Robusta","Robusta",(IF($B332="","Arabica",$B332))&amp;" - "&amp;(IF($C332="","Commercial",$C332))),Variables!$B$1:$D$1,0),1))*BD332)+(W332*INDEX(Variables!$B$9:$D$9,IFERROR(MATCH(IF($B332="Robusta","Robusta",(IF($B332="","Arabica",$B332))&amp;" - "&amp;(IF($C332="","Commercial",$C332))),Variables!$B$1:$D$1,0),1))*BD332/365),""))</f>
        <v>-88.869867746421463</v>
      </c>
      <c r="BJ332" s="44">
        <f t="shared" si="17"/>
        <v>-66</v>
      </c>
      <c r="BK332" s="44">
        <f>IF($AX332="Cancelled","",IFERROR(IF(BJ332="","",(W332*INDEX(Variables!$B$7:$D$7,IFERROR(MATCH(IF($B332="Robusta","Robusta",(IF($B332="","Arabica",$B332))&amp;" - "&amp;(IF($C332="","Commercial",$C332))),Variables!$B$1:$D$1,0),1))*(BJ332/365))+(W332*INDEX(Variables!$B$9:$D$9,IFERROR(MATCH(IF($B332="Robusta","Robusta",(IF($B332="","Arabica",$B332))&amp;" - "&amp;(IF($C332="","Commercial",$C332))),Variables!$B$1:$D$1,0),1))*(BJ332/365))+(INDEX(Variables!$B$8:$D$8,IFERROR(MATCH(IF($B332="Robusta","Robusta",(IF($B332="","Arabica",$B332))&amp;" - "&amp;(IF($C332="","Commercial",$C332))),Variables!$B$1:$D$1,0),1))*L332/16.67)),""))</f>
        <v>-178.80529863161033</v>
      </c>
    </row>
    <row r="333" spans="1:63">
      <c r="A333" s="13" t="s">
        <v>103</v>
      </c>
      <c r="B333" s="13" t="s">
        <v>104</v>
      </c>
      <c r="C333" s="13" t="s">
        <v>292</v>
      </c>
      <c r="D333" s="31">
        <v>45722</v>
      </c>
      <c r="E333" s="31">
        <v>45717</v>
      </c>
      <c r="F333" s="31">
        <v>45747</v>
      </c>
      <c r="G333" s="13">
        <v>3786820</v>
      </c>
      <c r="J333" s="13" t="s">
        <v>447</v>
      </c>
      <c r="K333" s="13" t="s">
        <v>1027</v>
      </c>
      <c r="L333" s="13">
        <v>3</v>
      </c>
      <c r="M333" s="13">
        <v>0</v>
      </c>
      <c r="N333" s="13" t="s">
        <v>1028</v>
      </c>
      <c r="O333" s="13" t="s">
        <v>771</v>
      </c>
      <c r="P333" s="13">
        <v>10010</v>
      </c>
      <c r="R333" s="13" t="s">
        <v>239</v>
      </c>
      <c r="S333" s="13" t="s">
        <v>154</v>
      </c>
      <c r="T333" s="13" t="s">
        <v>155</v>
      </c>
      <c r="U333" s="13" t="s">
        <v>125</v>
      </c>
      <c r="V333" s="13">
        <v>89.2</v>
      </c>
      <c r="W333" s="44">
        <f>IF($AX333="Cancelled","",IFERROR(((V333+INDEX(Variables!$B$6:$D$6,IFERROR(MATCH(IF($B333="Robusta","Robusta",(IF($B333="","Arabica",$B333))&amp;" - "&amp;(IF($C333="","Commercial",$C333))),Variables!$B$1:$D$1,0),1)))*22.0462)*(L333/16.67),""))</f>
        <v>1507.6585482903417</v>
      </c>
      <c r="X333" s="55" t="s">
        <v>39</v>
      </c>
      <c r="Y333" s="13" t="str">
        <f>IF($AX333="Cancelled","",IF(X333="","",IFERROR(IF(INDEX(Variables!$B$38:$B$47,MATCH(X333,Variables!$A$38:$A$47,0))="Yes","Yes","No"),"No")))</f>
        <v>No</v>
      </c>
      <c r="Z333" s="31"/>
      <c r="AB333" s="31">
        <v>45702.875</v>
      </c>
      <c r="AC333" s="13" t="str">
        <f t="shared" si="15"/>
        <v>Approved</v>
      </c>
      <c r="AF333" s="71">
        <f>AJ333-7</f>
        <v>45779</v>
      </c>
      <c r="AG333" s="36">
        <f>IF($AX333="Cancelled","",IFERROR(IF(F333="","",F333-Variables!$B$13),""))</f>
        <v>45732</v>
      </c>
      <c r="AH333" s="13">
        <f>IF($AX333="Cancelled","",IFERROR(IF(AB333="","",(AVERAGE(E333:F333)-AB333)-Variables!$B$14),""))</f>
        <v>-0.875</v>
      </c>
      <c r="AJ333" s="47">
        <v>45786</v>
      </c>
      <c r="AK333" s="14">
        <f>IF($AX333="Cancelled","",IFERROR(IF(AJ333="","",IF(AND(AB333="",AF333=""),"",IF(AF333&gt;AB333,AF333+Variables!$B$15+Variables!$B$16+Variables!$B$17-AJ333,AB333+Variables!$B$16+Variables!$B$17-AJ333))),""))</f>
        <v>8</v>
      </c>
      <c r="AL333" s="48" t="s">
        <v>114</v>
      </c>
      <c r="AM333" s="13" t="s">
        <v>141</v>
      </c>
      <c r="AN333" s="13" t="s">
        <v>1096</v>
      </c>
      <c r="AP333" s="31">
        <v>45795</v>
      </c>
      <c r="AR333" s="13" t="s">
        <v>1208</v>
      </c>
      <c r="AS333" s="31">
        <v>45800</v>
      </c>
      <c r="AU333" s="31">
        <v>45806</v>
      </c>
      <c r="AV333" s="13" t="s">
        <v>865</v>
      </c>
      <c r="AW333" s="31">
        <v>45807</v>
      </c>
      <c r="AX333" s="13" t="str">
        <f>IF(ISNUMBER(SEARCH("cancel",#REF!)),"Cancelled",IF(AND(AS333&lt;&gt;"",AU333&lt;&gt;"",AW333&lt;&gt;""),"Closed","Open"))</f>
        <v>Closed</v>
      </c>
      <c r="AY333" s="15" t="str">
        <f t="shared" si="16"/>
        <v>All dates received</v>
      </c>
      <c r="BD333" s="13">
        <f>IF($AX333="Cancelled","",IFERROR(IF(OR(AS333="",AJ333=""),"",(AJ333+Variables!$B$18-AS333)),""))</f>
        <v>1</v>
      </c>
      <c r="BE333" s="13">
        <f>IF($AX333="Cancelled","",IFERROR(IF(OR(AW333="",AS333=""),"",(AS333+Variables!$B$19)-AW333),""))</f>
        <v>-2</v>
      </c>
      <c r="BF333" s="44">
        <f>IF($AX333="Cancelled","",IFERROR(W333*INDEX(Variables!$B$7:$D$7,IFERROR(MATCH(IF($B333="Robusta","Robusta",(IF($B333="","Arabica",$B333))&amp;" - "&amp;(IF($C333="","Commercial",$C333))),Variables!$B$1:$D$1,0),1))*(BE333/365),""))</f>
        <v>-0.53269665776749309</v>
      </c>
      <c r="BG333" s="44">
        <f>IF($AX333="Cancelled","",IFERROR((W333*INDEX(Variables!$B$7:$D$7,IFERROR(MATCH(IF($B333="Robusta","Robusta",(IF($B333="","Arabica",$B333))&amp;" - "&amp;(IF($C333="","Commercial",$C333))),Variables!$B$1:$D$1,0),1))*IFERROR(IF(AB333="","",(AVERAGE(E333:F333)-AB333)-Variables!$B$14),"")/365)+(L333/16.67*INDEX(Variables!$B$8:$D$8,IFERROR(MATCH(IF($B333="Robusta","Robusta",(IF($B333="","Arabica",$B333))&amp;" - "&amp;(IF($C333="","Commercial",$C333))),Variables!$B$1:$D$1,0),1))*IFERROR(IF(AB333="","",(AVERAGE(E333:F333)-AB333)-Variables!$B$14),""))+(W333*INDEX(Variables!$B$9:$D$9,IFERROR(MATCH(IF($B333="Robusta","Robusta",(IF($B333="","Arabica",$B333))&amp;" - "&amp;(IF($C333="","Commercial",$C333))),Variables!$B$1:$D$1,0),1))*IFERROR(IF(AB333="","",(AVERAGE(E333:F333)-AB333)-Variables!$B$14),"")/365),""))</f>
        <v>-0.36730931375216741</v>
      </c>
      <c r="BH333" s="44">
        <f>IF($AX333="Cancelled","",IFERROR((W333*INDEX(Variables!$B$7:$D$7,IFERROR(MATCH(IF($B333="Robusta","Robusta",(IF($B333="","Arabica",$B333))&amp;" - "&amp;(IF($C333="","Commercial",$C333))),Variables!$B$1:$D$1,0),1))*AK333/365)+(L333/16.67*INDEX(Variables!$B$8:$D$8,IFERROR(MATCH(IF($B333="Robusta","Robusta",(IF($B333="","Arabica",$B333))&amp;" - "&amp;(IF($C333="","Commercial",$C333))),Variables!$B$1:$D$1,0),1))*AK333)+(W333*INDEX(Variables!$B$9:$D$9,IFERROR(MATCH(IF($B333="Robusta","Robusta",(IF($B333="","Arabica",$B333))&amp;" - "&amp;(IF($C333="","Commercial",$C333))),Variables!$B$1:$D$1,0),1))*AK333/365),""))</f>
        <v>3.3582565828769586</v>
      </c>
      <c r="BI333" s="44">
        <f>IF($AX333="Cancelled","",IFERROR((W333*INDEX(Variables!$B$7:$D$7,IFERROR(MATCH(IF($B333="Robusta","Robusta",(IF($B333="","Arabica",$B333))&amp;" - "&amp;(IF($C333="","Commercial",$C333))),Variables!$B$1:$D$1,0),1))*BD333/365)+(L333/16.67*INDEX(Variables!$B$8:$D$8,IFERROR(MATCH(IF($B333="Robusta","Robusta",(IF($B333="","Arabica",$B333))&amp;" - "&amp;(IF($C333="","Commercial",$C333))),Variables!$B$1:$D$1,0),1))*BD333)+(W333*INDEX(Variables!$B$9:$D$9,IFERROR(MATCH(IF($B333="Robusta","Robusta",(IF($B333="","Arabica",$B333))&amp;" - "&amp;(IF($C333="","Commercial",$C333))),Variables!$B$1:$D$1,0),1))*BD333/365),""))</f>
        <v>0.41978207285961983</v>
      </c>
      <c r="BJ333" s="44">
        <f t="shared" si="17"/>
        <v>-53</v>
      </c>
      <c r="BK333" s="44">
        <f>IF($AX333="Cancelled","",IFERROR(IF(BJ333="","",(W333*INDEX(Variables!$B$7:$D$7,IFERROR(MATCH(IF($B333="Robusta","Robusta",(IF($B333="","Arabica",$B333))&amp;" - "&amp;(IF($C333="","Commercial",$C333))),Variables!$B$1:$D$1,0),1))*(BJ333/365))+(W333*INDEX(Variables!$B$9:$D$9,IFERROR(MATCH(IF($B333="Robusta","Robusta",(IF($B333="","Arabica",$B333))&amp;" - "&amp;(IF($C333="","Commercial",$C333))),Variables!$B$1:$D$1,0),1))*(BJ333/365))+(INDEX(Variables!$B$8:$D$8,IFERROR(MATCH(IF($B333="Robusta","Robusta",(IF($B333="","Arabica",$B333))&amp;" - "&amp;(IF($C333="","Commercial",$C333))),Variables!$B$1:$D$1,0),1))*L333/16.67)),""))</f>
        <v>-14.14844986155985</v>
      </c>
    </row>
    <row r="334" spans="1:63">
      <c r="A334" s="13" t="s">
        <v>103</v>
      </c>
      <c r="B334" s="13" t="s">
        <v>104</v>
      </c>
      <c r="C334" s="13" t="s">
        <v>292</v>
      </c>
      <c r="D334" s="31">
        <v>45722</v>
      </c>
      <c r="E334" s="31">
        <v>45717</v>
      </c>
      <c r="F334" s="31">
        <v>45747</v>
      </c>
      <c r="G334" s="13">
        <v>3786821</v>
      </c>
      <c r="J334" s="13" t="s">
        <v>447</v>
      </c>
      <c r="K334" s="13" t="s">
        <v>1029</v>
      </c>
      <c r="L334" s="13">
        <v>7</v>
      </c>
      <c r="M334" s="13">
        <v>0</v>
      </c>
      <c r="N334" s="13" t="s">
        <v>1030</v>
      </c>
      <c r="O334" s="13" t="s">
        <v>771</v>
      </c>
      <c r="P334" s="13">
        <v>10010</v>
      </c>
      <c r="R334" s="13" t="s">
        <v>239</v>
      </c>
      <c r="S334" s="13" t="s">
        <v>154</v>
      </c>
      <c r="T334" s="13" t="s">
        <v>155</v>
      </c>
      <c r="U334" s="13" t="s">
        <v>125</v>
      </c>
      <c r="V334" s="13">
        <v>85.2</v>
      </c>
      <c r="W334" s="44">
        <f>IF($AX334="Cancelled","",IFERROR(((V334+INDEX(Variables!$B$6:$D$6,IFERROR(MATCH(IF($B334="Robusta","Robusta",(IF($B334="","Arabica",$B334))&amp;" - "&amp;(IF($C334="","Commercial",$C334))),Variables!$B$1:$D$1,0),1)))*22.0462)*(L334/16.67),""))</f>
        <v>3480.8397360527892</v>
      </c>
      <c r="X334" s="55" t="s">
        <v>39</v>
      </c>
      <c r="Y334" s="13" t="str">
        <f>IF($AX334="Cancelled","",IF(X334="","",IFERROR(IF(INDEX(Variables!$B$38:$B$47,MATCH(X334,Variables!$A$38:$A$47,0))="Yes","Yes","No"),"No")))</f>
        <v>No</v>
      </c>
      <c r="Z334" s="31"/>
      <c r="AB334" s="31">
        <v>45702.875</v>
      </c>
      <c r="AC334" s="13" t="str">
        <f t="shared" si="15"/>
        <v>Approved</v>
      </c>
      <c r="AF334" s="71">
        <f>AJ334-7</f>
        <v>45779</v>
      </c>
      <c r="AG334" s="36">
        <f>IF($AX334="Cancelled","",IFERROR(IF(F334="","",F334-Variables!$B$13),""))</f>
        <v>45732</v>
      </c>
      <c r="AH334" s="13">
        <f>IF($AX334="Cancelled","",IFERROR(IF(AB334="","",(AVERAGE(E334:F334)-AB334)-Variables!$B$14),""))</f>
        <v>-0.875</v>
      </c>
      <c r="AJ334" s="47">
        <v>45786</v>
      </c>
      <c r="AK334" s="14">
        <f>IF($AX334="Cancelled","",IFERROR(IF(AJ334="","",IF(AND(AB334="",AF334=""),"",IF(AF334&gt;AB334,AF334+Variables!$B$15+Variables!$B$16+Variables!$B$17-AJ334,AB334+Variables!$B$16+Variables!$B$17-AJ334))),""))</f>
        <v>8</v>
      </c>
      <c r="AL334" s="48" t="s">
        <v>114</v>
      </c>
      <c r="AM334" s="13" t="s">
        <v>141</v>
      </c>
      <c r="AN334" s="13" t="s">
        <v>1096</v>
      </c>
      <c r="AP334" s="31">
        <v>45795</v>
      </c>
      <c r="AR334" s="13" t="s">
        <v>1208</v>
      </c>
      <c r="AS334" s="31">
        <v>45800</v>
      </c>
      <c r="AU334" s="31">
        <v>45806</v>
      </c>
      <c r="AV334" s="13" t="s">
        <v>865</v>
      </c>
      <c r="AW334" s="31">
        <v>45807</v>
      </c>
      <c r="AX334" s="13" t="str">
        <f>IF(ISNUMBER(SEARCH("cancel",#REF!)),"Cancelled",IF(AND(AS334&lt;&gt;"",AU334&lt;&gt;"",AW334&lt;&gt;""),"Closed","Open"))</f>
        <v>Closed</v>
      </c>
      <c r="AY334" s="15" t="str">
        <f t="shared" si="16"/>
        <v>All dates received</v>
      </c>
      <c r="BD334" s="13">
        <f>IF($AX334="Cancelled","",IFERROR(IF(OR(AS334="",AJ334=""),"",(AJ334+Variables!$B$18-AS334)),""))</f>
        <v>1</v>
      </c>
      <c r="BE334" s="13">
        <f>IF($AX334="Cancelled","",IFERROR(IF(OR(AW334="",AS334=""),"",(AS334+Variables!$B$19)-AW334),""))</f>
        <v>-2</v>
      </c>
      <c r="BF334" s="44">
        <f>IF($AX334="Cancelled","",IFERROR(W334*INDEX(Variables!$B$7:$D$7,IFERROR(MATCH(IF($B334="Robusta","Robusta",(IF($B334="","Arabica",$B334))&amp;" - "&amp;(IF($C334="","Commercial",$C334))),Variables!$B$1:$D$1,0),1))*(BE334/365),""))</f>
        <v>-1.2298750905649489</v>
      </c>
      <c r="BG334" s="44">
        <f>IF($AX334="Cancelled","",IFERROR((W334*INDEX(Variables!$B$7:$D$7,IFERROR(MATCH(IF($B334="Robusta","Robusta",(IF($B334="","Arabica",$B334))&amp;" - "&amp;(IF($C334="","Commercial",$C334))),Variables!$B$1:$D$1,0),1))*IFERROR(IF(AB334="","",(AVERAGE(E334:F334)-AB334)-Variables!$B$14),"")/365)+(L334/16.67*INDEX(Variables!$B$8:$D$8,IFERROR(MATCH(IF($B334="Robusta","Robusta",(IF($B334="","Arabica",$B334))&amp;" - "&amp;(IF($C334="","Commercial",$C334))),Variables!$B$1:$D$1,0),1))*IFERROR(IF(AB334="","",(AVERAGE(E334:F334)-AB334)-Variables!$B$14),""))+(W334*INDEX(Variables!$B$9:$D$9,IFERROR(MATCH(IF($B334="Robusta","Robusta",(IF($B334="","Arabica",$B334))&amp;" - "&amp;(IF($C334="","Commercial",$C334))),Variables!$B$1:$D$1,0),1))*IFERROR(IF(AB334="","",(AVERAGE(E334:F334)-AB334)-Variables!$B$14),"")/365),""))</f>
        <v>-0.85125711736465315</v>
      </c>
      <c r="BH334" s="44">
        <f>IF($AX334="Cancelled","",IFERROR((W334*INDEX(Variables!$B$7:$D$7,IFERROR(MATCH(IF($B334="Robusta","Robusta",(IF($B334="","Arabica",$B334))&amp;" - "&amp;(IF($C334="","Commercial",$C334))),Variables!$B$1:$D$1,0),1))*AK334/365)+(L334/16.67*INDEX(Variables!$B$8:$D$8,IFERROR(MATCH(IF($B334="Robusta","Robusta",(IF($B334="","Arabica",$B334))&amp;" - "&amp;(IF($C334="","Commercial",$C334))),Variables!$B$1:$D$1,0),1))*AK334)+(W334*INDEX(Variables!$B$9:$D$9,IFERROR(MATCH(IF($B334="Robusta","Robusta",(IF($B334="","Arabica",$B334))&amp;" - "&amp;(IF($C334="","Commercial",$C334))),Variables!$B$1:$D$1,0),1))*AK334/365),""))</f>
        <v>7.7829222159053995</v>
      </c>
      <c r="BI334" s="44">
        <f>IF($AX334="Cancelled","",IFERROR((W334*INDEX(Variables!$B$7:$D$7,IFERROR(MATCH(IF($B334="Robusta","Robusta",(IF($B334="","Arabica",$B334))&amp;" - "&amp;(IF($C334="","Commercial",$C334))),Variables!$B$1:$D$1,0),1))*BD334/365)+(L334/16.67*INDEX(Variables!$B$8:$D$8,IFERROR(MATCH(IF($B334="Robusta","Robusta",(IF($B334="","Arabica",$B334))&amp;" - "&amp;(IF($C334="","Commercial",$C334))),Variables!$B$1:$D$1,0),1))*BD334)+(W334*INDEX(Variables!$B$9:$D$9,IFERROR(MATCH(IF($B334="Robusta","Robusta",(IF($B334="","Arabica",$B334))&amp;" - "&amp;(IF($C334="","Commercial",$C334))),Variables!$B$1:$D$1,0),1))*BD334/365),""))</f>
        <v>0.97286527698817493</v>
      </c>
      <c r="BJ334" s="44">
        <f t="shared" si="17"/>
        <v>-53</v>
      </c>
      <c r="BK334" s="44">
        <f>IF($AX334="Cancelled","",IFERROR(IF(BJ334="","",(W334*INDEX(Variables!$B$7:$D$7,IFERROR(MATCH(IF($B334="Robusta","Robusta",(IF($B334="","Arabica",$B334))&amp;" - "&amp;(IF($C334="","Commercial",$C334))),Variables!$B$1:$D$1,0),1))*(BJ334/365))+(W334*INDEX(Variables!$B$9:$D$9,IFERROR(MATCH(IF($B334="Robusta","Robusta",(IF($B334="","Arabica",$B334))&amp;" - "&amp;(IF($C334="","Commercial",$C334))),Variables!$B$1:$D$1,0),1))*(BJ334/365))+(INDEX(Variables!$B$8:$D$8,IFERROR(MATCH(IF($B334="Robusta","Robusta",(IF($B334="","Arabica",$B334))&amp;" - "&amp;(IF($C334="","Commercial",$C334))),Variables!$B$1:$D$1,0),1))*L334/16.67)),""))</f>
        <v>-32.661859680373269</v>
      </c>
    </row>
    <row r="335" spans="1:63">
      <c r="A335" s="13" t="s">
        <v>103</v>
      </c>
      <c r="B335" s="13" t="s">
        <v>104</v>
      </c>
      <c r="C335" s="13" t="s">
        <v>292</v>
      </c>
      <c r="D335" s="31">
        <v>45722</v>
      </c>
      <c r="E335" s="31">
        <v>45748</v>
      </c>
      <c r="F335" s="31">
        <v>45777</v>
      </c>
      <c r="G335" s="13">
        <v>3786822</v>
      </c>
      <c r="J335" s="13" t="s">
        <v>1031</v>
      </c>
      <c r="K335" s="13" t="s">
        <v>1032</v>
      </c>
      <c r="L335" s="13">
        <v>65</v>
      </c>
      <c r="M335" s="13">
        <v>0</v>
      </c>
      <c r="N335" s="13" t="s">
        <v>1033</v>
      </c>
      <c r="O335" s="13" t="s">
        <v>925</v>
      </c>
      <c r="P335" s="13">
        <v>10020</v>
      </c>
      <c r="R335" s="13" t="s">
        <v>384</v>
      </c>
      <c r="S335" s="13" t="s">
        <v>288</v>
      </c>
      <c r="T335" s="13" t="s">
        <v>289</v>
      </c>
      <c r="U335" s="13" t="s">
        <v>182</v>
      </c>
      <c r="V335" s="13">
        <v>109</v>
      </c>
      <c r="W335" s="44">
        <f>IF($AX335="Cancelled","",IFERROR(((V335+INDEX(Variables!$B$6:$D$6,IFERROR(MATCH(IF($B335="Robusta","Robusta",(IF($B335="","Arabica",$B335))&amp;" - "&amp;(IF($C335="","Commercial",$C335))),Variables!$B$1:$D$1,0),1)))*22.0462)*(L335/16.67),""))</f>
        <v>34368.002363527296</v>
      </c>
      <c r="X335" s="55" t="s">
        <v>39</v>
      </c>
      <c r="Y335" s="13" t="str">
        <f>IF($AX335="Cancelled","",IF(X335="","",IFERROR(IF(INDEX(Variables!$B$38:$B$47,MATCH(X335,Variables!$A$38:$A$47,0))="Yes","Yes","No"),"No")))</f>
        <v>No</v>
      </c>
      <c r="Z335" s="31"/>
      <c r="AB335" s="31">
        <v>45731.875</v>
      </c>
      <c r="AC335" s="13" t="str">
        <f t="shared" si="15"/>
        <v>Approved</v>
      </c>
      <c r="AF335" s="71">
        <f>AJ335-7</f>
        <v>45791</v>
      </c>
      <c r="AG335" s="36">
        <f>IF($AX335="Cancelled","",IFERROR(IF(F335="","",F335-Variables!$B$13),""))</f>
        <v>45762</v>
      </c>
      <c r="AH335" s="13">
        <f>IF($AX335="Cancelled","",IFERROR(IF(AB335="","",(AVERAGE(E335:F335)-AB335)-Variables!$B$14),""))</f>
        <v>0.625</v>
      </c>
      <c r="AJ335" s="47">
        <v>45798</v>
      </c>
      <c r="AK335" s="14">
        <f>IF($AX335="Cancelled","",IFERROR(IF(AJ335="","",IF(AND(AB335="",AF335=""),"",IF(AF335&gt;AB335,AF335+Variables!$B$15+Variables!$B$16+Variables!$B$17-AJ335,AB335+Variables!$B$16+Variables!$B$17-AJ335))),""))</f>
        <v>8</v>
      </c>
      <c r="AL335" s="48" t="s">
        <v>864</v>
      </c>
      <c r="AM335" s="13" t="s">
        <v>3242</v>
      </c>
      <c r="AN335" s="13" t="s">
        <v>3246</v>
      </c>
      <c r="AP335" s="31">
        <v>45808</v>
      </c>
      <c r="AR335" s="13" t="s">
        <v>3259</v>
      </c>
      <c r="AS335" s="31">
        <v>45811</v>
      </c>
      <c r="AU335" s="31">
        <v>45815</v>
      </c>
      <c r="AV335" s="13" t="s">
        <v>3271</v>
      </c>
      <c r="AW335" s="31">
        <v>45838</v>
      </c>
      <c r="AX335" s="13" t="str">
        <f>IF(ISNUMBER(SEARCH("cancel",#REF!)),"Cancelled",IF(AND(AS335&lt;&gt;"",AU335&lt;&gt;"",AW335&lt;&gt;""),"Closed","Open"))</f>
        <v>Closed</v>
      </c>
      <c r="AY335" s="15" t="str">
        <f t="shared" si="16"/>
        <v>All dates received</v>
      </c>
      <c r="BD335" s="13">
        <f>IF($AX335="Cancelled","",IFERROR(IF(OR(AS335="",AJ335=""),"",(AJ335+Variables!$B$18-AS335)),""))</f>
        <v>2</v>
      </c>
      <c r="BE335" s="13">
        <f>IF($AX335="Cancelled","",IFERROR(IF(OR(AW335="",AS335=""),"",(AS335+Variables!$B$19)-AW335),""))</f>
        <v>-22</v>
      </c>
      <c r="BF335" s="44">
        <f>IF($AX335="Cancelled","",IFERROR(W335*INDEX(Variables!$B$7:$D$7,IFERROR(MATCH(IF($B335="Robusta","Robusta",(IF($B335="","Arabica",$B335))&amp;" - "&amp;(IF($C335="","Commercial",$C335))),Variables!$B$1:$D$1,0),1))*(BE335/365),""))</f>
        <v>-133.57462149073885</v>
      </c>
      <c r="BG335" s="44">
        <f>IF($AX335="Cancelled","",IFERROR((W335*INDEX(Variables!$B$7:$D$7,IFERROR(MATCH(IF($B335="Robusta","Robusta",(IF($B335="","Arabica",$B335))&amp;" - "&amp;(IF($C335="","Commercial",$C335))),Variables!$B$1:$D$1,0),1))*IFERROR(IF(AB335="","",(AVERAGE(E335:F335)-AB335)-Variables!$B$14),"")/365)+(L335/16.67*INDEX(Variables!$B$8:$D$8,IFERROR(MATCH(IF($B335="Robusta","Robusta",(IF($B335="","Arabica",$B335))&amp;" - "&amp;(IF($C335="","Commercial",$C335))),Variables!$B$1:$D$1,0),1))*IFERROR(IF(AB335="","",(AVERAGE(E335:F335)-AB335)-Variables!$B$14),""))+(W335*INDEX(Variables!$B$9:$D$9,IFERROR(MATCH(IF($B335="Robusta","Robusta",(IF($B335="","Arabica",$B335))&amp;" - "&amp;(IF($C335="","Commercial",$C335))),Variables!$B$1:$D$1,0),1))*IFERROR(IF(AB335="","",(AVERAGE(E335:F335)-AB335)-Variables!$B$14),"")/365),""))</f>
        <v>5.8749050040586317</v>
      </c>
      <c r="BH335" s="44">
        <f>IF($AX335="Cancelled","",IFERROR((W335*INDEX(Variables!$B$7:$D$7,IFERROR(MATCH(IF($B335="Robusta","Robusta",(IF($B335="","Arabica",$B335))&amp;" - "&amp;(IF($C335="","Commercial",$C335))),Variables!$B$1:$D$1,0),1))*AK335/365)+(L335/16.67*INDEX(Variables!$B$8:$D$8,IFERROR(MATCH(IF($B335="Robusta","Robusta",(IF($B335="","Arabica",$B335))&amp;" - "&amp;(IF($C335="","Commercial",$C335))),Variables!$B$1:$D$1,0),1))*AK335)+(W335*INDEX(Variables!$B$9:$D$9,IFERROR(MATCH(IF($B335="Robusta","Robusta",(IF($B335="","Arabica",$B335))&amp;" - "&amp;(IF($C335="","Commercial",$C335))),Variables!$B$1:$D$1,0),1))*AK335/365),""))</f>
        <v>75.198784051950483</v>
      </c>
      <c r="BI335" s="44">
        <f>IF($AX335="Cancelled","",IFERROR((W335*INDEX(Variables!$B$7:$D$7,IFERROR(MATCH(IF($B335="Robusta","Robusta",(IF($B335="","Arabica",$B335))&amp;" - "&amp;(IF($C335="","Commercial",$C335))),Variables!$B$1:$D$1,0),1))*BD335/365)+(L335/16.67*INDEX(Variables!$B$8:$D$8,IFERROR(MATCH(IF($B335="Robusta","Robusta",(IF($B335="","Arabica",$B335))&amp;" - "&amp;(IF($C335="","Commercial",$C335))),Variables!$B$1:$D$1,0),1))*BD335)+(W335*INDEX(Variables!$B$9:$D$9,IFERROR(MATCH(IF($B335="Robusta","Robusta",(IF($B335="","Arabica",$B335))&amp;" - "&amp;(IF($C335="","Commercial",$C335))),Variables!$B$1:$D$1,0),1))*BD335/365),""))</f>
        <v>18.799696012987621</v>
      </c>
      <c r="BJ335" s="44">
        <f t="shared" si="17"/>
        <v>-34</v>
      </c>
      <c r="BK335" s="44">
        <f>IF($AX335="Cancelled","",IFERROR(IF(BJ335="","",(W335*INDEX(Variables!$B$7:$D$7,IFERROR(MATCH(IF($B335="Robusta","Robusta",(IF($B335="","Arabica",$B335))&amp;" - "&amp;(IF($C335="","Commercial",$C335))),Variables!$B$1:$D$1,0),1))*(BJ335/365))+(W335*INDEX(Variables!$B$9:$D$9,IFERROR(MATCH(IF($B335="Robusta","Robusta",(IF($B335="","Arabica",$B335))&amp;" - "&amp;(IF($C335="","Commercial",$C335))),Variables!$B$1:$D$1,0),1))*(BJ335/365))+(INDEX(Variables!$B$8:$D$8,IFERROR(MATCH(IF($B335="Robusta","Robusta",(IF($B335="","Arabica",$B335))&amp;" - "&amp;(IF($C335="","Commercial",$C335))),Variables!$B$1:$D$1,0),1))*L335/16.67)),""))</f>
        <v>-205.8448322207895</v>
      </c>
    </row>
    <row r="336" spans="1:63">
      <c r="A336" s="13" t="s">
        <v>103</v>
      </c>
      <c r="B336" s="13" t="s">
        <v>104</v>
      </c>
      <c r="C336" s="13" t="s">
        <v>292</v>
      </c>
      <c r="D336" s="31">
        <v>45722</v>
      </c>
      <c r="E336" s="31">
        <v>45748</v>
      </c>
      <c r="F336" s="31">
        <v>45777</v>
      </c>
      <c r="G336" s="13">
        <v>3786823</v>
      </c>
      <c r="J336" s="13" t="s">
        <v>1031</v>
      </c>
      <c r="K336" s="13" t="s">
        <v>1034</v>
      </c>
      <c r="L336" s="13">
        <v>30</v>
      </c>
      <c r="M336" s="13">
        <v>0</v>
      </c>
      <c r="N336" s="13" t="s">
        <v>1035</v>
      </c>
      <c r="O336" s="13" t="s">
        <v>771</v>
      </c>
      <c r="P336" s="13">
        <v>10010</v>
      </c>
      <c r="R336" s="13" t="s">
        <v>384</v>
      </c>
      <c r="S336" s="13" t="s">
        <v>288</v>
      </c>
      <c r="T336" s="13" t="s">
        <v>289</v>
      </c>
      <c r="U336" s="13" t="s">
        <v>182</v>
      </c>
      <c r="V336" s="13">
        <v>118</v>
      </c>
      <c r="W336" s="44">
        <f>IF($AX336="Cancelled","",IFERROR(((V336+INDEX(Variables!$B$6:$D$6,IFERROR(MATCH(IF($B336="Robusta","Robusta",(IF($B336="","Arabica",$B336))&amp;" - "&amp;(IF($C336="","Commercial",$C336))),Variables!$B$1:$D$1,0),1)))*22.0462)*(L336/16.67),""))</f>
        <v>16219.231961607677</v>
      </c>
      <c r="X336" s="55" t="s">
        <v>39</v>
      </c>
      <c r="Y336" s="13" t="str">
        <f>IF($AX336="Cancelled","",IF(X336="","",IFERROR(IF(INDEX(Variables!$B$38:$B$47,MATCH(X336,Variables!$A$38:$A$47,0))="Yes","Yes","No"),"No")))</f>
        <v>No</v>
      </c>
      <c r="Z336" s="31"/>
      <c r="AB336" s="31">
        <v>45731.875</v>
      </c>
      <c r="AC336" s="13" t="str">
        <f t="shared" si="15"/>
        <v>Approved</v>
      </c>
      <c r="AF336" s="71">
        <f>AJ336-7</f>
        <v>45791</v>
      </c>
      <c r="AG336" s="36">
        <f>IF($AX336="Cancelled","",IFERROR(IF(F336="","",F336-Variables!$B$13),""))</f>
        <v>45762</v>
      </c>
      <c r="AH336" s="13">
        <f>IF($AX336="Cancelled","",IFERROR(IF(AB336="","",(AVERAGE(E336:F336)-AB336)-Variables!$B$14),""))</f>
        <v>0.625</v>
      </c>
      <c r="AJ336" s="47">
        <v>45798</v>
      </c>
      <c r="AK336" s="14">
        <f>IF($AX336="Cancelled","",IFERROR(IF(AJ336="","",IF(AND(AB336="",AF336=""),"",IF(AF336&gt;AB336,AF336+Variables!$B$15+Variables!$B$16+Variables!$B$17-AJ336,AB336+Variables!$B$16+Variables!$B$17-AJ336))),""))</f>
        <v>8</v>
      </c>
      <c r="AL336" s="48" t="s">
        <v>864</v>
      </c>
      <c r="AM336" s="13" t="s">
        <v>3242</v>
      </c>
      <c r="AN336" s="13" t="s">
        <v>3246</v>
      </c>
      <c r="AP336" s="31">
        <v>45808</v>
      </c>
      <c r="AR336" s="13" t="s">
        <v>3259</v>
      </c>
      <c r="AS336" s="31">
        <v>45811</v>
      </c>
      <c r="AU336" s="31">
        <v>45815</v>
      </c>
      <c r="AV336" s="13" t="s">
        <v>3271</v>
      </c>
      <c r="AW336" s="31">
        <v>45838</v>
      </c>
      <c r="AX336" s="13" t="str">
        <f>IF(ISNUMBER(SEARCH("cancel",#REF!)),"Cancelled",IF(AND(AS336&lt;&gt;"",AU336&lt;&gt;"",AW336&lt;&gt;""),"Closed","Open"))</f>
        <v>Closed</v>
      </c>
      <c r="AY336" s="15" t="str">
        <f t="shared" si="16"/>
        <v>All dates received</v>
      </c>
      <c r="BD336" s="13">
        <f>IF($AX336="Cancelled","",IFERROR(IF(OR(AS336="",AJ336=""),"",(AJ336+Variables!$B$18-AS336)),""))</f>
        <v>2</v>
      </c>
      <c r="BE336" s="13">
        <f>IF($AX336="Cancelled","",IFERROR(IF(OR(AW336="",AS336=""),"",(AS336+Variables!$B$19)-AW336),""))</f>
        <v>-22</v>
      </c>
      <c r="BF336" s="44">
        <f>IF($AX336="Cancelled","",IFERROR(W336*INDEX(Variables!$B$7:$D$7,IFERROR(MATCH(IF($B336="Robusta","Robusta",(IF($B336="","Arabica",$B336))&amp;" - "&amp;(IF($C336="","Commercial",$C336))),Variables!$B$1:$D$1,0),1))*(BE336/365),""))</f>
        <v>-63.037640280233234</v>
      </c>
      <c r="BG336" s="44">
        <f>IF($AX336="Cancelled","",IFERROR((W336*INDEX(Variables!$B$7:$D$7,IFERROR(MATCH(IF($B336="Robusta","Robusta",(IF($B336="","Arabica",$B336))&amp;" - "&amp;(IF($C336="","Commercial",$C336))),Variables!$B$1:$D$1,0),1))*IFERROR(IF(AB336="","",(AVERAGE(E336:F336)-AB336)-Variables!$B$14),"")/365)+(L336/16.67*INDEX(Variables!$B$8:$D$8,IFERROR(MATCH(IF($B336="Robusta","Robusta",(IF($B336="","Arabica",$B336))&amp;" - "&amp;(IF($C336="","Commercial",$C336))),Variables!$B$1:$D$1,0),1))*IFERROR(IF(AB336="","",(AVERAGE(E336:F336)-AB336)-Variables!$B$14),""))+(W336*INDEX(Variables!$B$9:$D$9,IFERROR(MATCH(IF($B336="Robusta","Robusta",(IF($B336="","Arabica",$B336))&amp;" - "&amp;(IF($C336="","Commercial",$C336))),Variables!$B$1:$D$1,0),1))*IFERROR(IF(AB336="","",(AVERAGE(E336:F336)-AB336)-Variables!$B$14),"")/365),""))</f>
        <v>2.751429463569286</v>
      </c>
      <c r="BH336" s="44">
        <f>IF($AX336="Cancelled","",IFERROR((W336*INDEX(Variables!$B$7:$D$7,IFERROR(MATCH(IF($B336="Robusta","Robusta",(IF($B336="","Arabica",$B336))&amp;" - "&amp;(IF($C336="","Commercial",$C336))),Variables!$B$1:$D$1,0),1))*AK336/365)+(L336/16.67*INDEX(Variables!$B$8:$D$8,IFERROR(MATCH(IF($B336="Robusta","Robusta",(IF($B336="","Arabica",$B336))&amp;" - "&amp;(IF($C336="","Commercial",$C336))),Variables!$B$1:$D$1,0),1))*AK336)+(W336*INDEX(Variables!$B$9:$D$9,IFERROR(MATCH(IF($B336="Robusta","Robusta",(IF($B336="","Arabica",$B336))&amp;" - "&amp;(IF($C336="","Commercial",$C336))),Variables!$B$1:$D$1,0),1))*AK336/365),""))</f>
        <v>35.21829713368686</v>
      </c>
      <c r="BI336" s="44">
        <f>IF($AX336="Cancelled","",IFERROR((W336*INDEX(Variables!$B$7:$D$7,IFERROR(MATCH(IF($B336="Robusta","Robusta",(IF($B336="","Arabica",$B336))&amp;" - "&amp;(IF($C336="","Commercial",$C336))),Variables!$B$1:$D$1,0),1))*BD336/365)+(L336/16.67*INDEX(Variables!$B$8:$D$8,IFERROR(MATCH(IF($B336="Robusta","Robusta",(IF($B336="","Arabica",$B336))&amp;" - "&amp;(IF($C336="","Commercial",$C336))),Variables!$B$1:$D$1,0),1))*BD336)+(W336*INDEX(Variables!$B$9:$D$9,IFERROR(MATCH(IF($B336="Robusta","Robusta",(IF($B336="","Arabica",$B336))&amp;" - "&amp;(IF($C336="","Commercial",$C336))),Variables!$B$1:$D$1,0),1))*BD336/365),""))</f>
        <v>8.8045742834217151</v>
      </c>
      <c r="BJ336" s="44">
        <f t="shared" si="17"/>
        <v>-34</v>
      </c>
      <c r="BK336" s="44">
        <f>IF($AX336="Cancelled","",IFERROR(IF(BJ336="","",(W336*INDEX(Variables!$B$7:$D$7,IFERROR(MATCH(IF($B336="Robusta","Robusta",(IF($B336="","Arabica",$B336))&amp;" - "&amp;(IF($C336="","Commercial",$C336))),Variables!$B$1:$D$1,0),1))*(BJ336/365))+(W336*INDEX(Variables!$B$9:$D$9,IFERROR(MATCH(IF($B336="Robusta","Robusta",(IF($B336="","Arabica",$B336))&amp;" - "&amp;(IF($C336="","Commercial",$C336))),Variables!$B$1:$D$1,0),1))*(BJ336/365))+(INDEX(Variables!$B$8:$D$8,IFERROR(MATCH(IF($B336="Robusta","Robusta",(IF($B336="","Arabica",$B336))&amp;" - "&amp;(IF($C336="","Commercial",$C336))),Variables!$B$1:$D$1,0),1))*L336/16.67)),""))</f>
        <v>-97.177762818169171</v>
      </c>
    </row>
    <row r="337" spans="1:63">
      <c r="A337" s="13" t="s">
        <v>103</v>
      </c>
      <c r="B337" s="13" t="s">
        <v>104</v>
      </c>
      <c r="C337" s="13" t="s">
        <v>105</v>
      </c>
      <c r="D337" s="31">
        <v>45722</v>
      </c>
      <c r="E337" s="31">
        <v>45839</v>
      </c>
      <c r="F337" s="31">
        <v>45869</v>
      </c>
      <c r="G337" s="13">
        <v>3786824</v>
      </c>
      <c r="H337" s="13">
        <v>4576300</v>
      </c>
      <c r="J337" s="13" t="s">
        <v>916</v>
      </c>
      <c r="K337" s="13">
        <v>24153</v>
      </c>
      <c r="L337" s="13">
        <v>320</v>
      </c>
      <c r="M337" s="13">
        <v>1</v>
      </c>
      <c r="N337" s="13" t="s">
        <v>1036</v>
      </c>
      <c r="O337" s="13" t="s">
        <v>1037</v>
      </c>
      <c r="P337" s="13">
        <v>37030</v>
      </c>
      <c r="R337" s="13" t="s">
        <v>110</v>
      </c>
      <c r="S337" s="13" t="s">
        <v>918</v>
      </c>
      <c r="T337" s="13" t="s">
        <v>124</v>
      </c>
      <c r="U337" s="13" t="s">
        <v>125</v>
      </c>
      <c r="V337" s="13">
        <v>5</v>
      </c>
      <c r="W337" s="44">
        <f>IF($AX337="Cancelled","",IFERROR(((V337+INDEX(Variables!$B$6:$D$6,IFERROR(MATCH(IF($B337="Robusta","Robusta",(IF($B337="","Arabica",$B337))&amp;" - "&amp;(IF($C337="","Commercial",$C337))),Variables!$B$1:$D$1,0),1)))*22.0462)*(L337/16.67),""))</f>
        <v>125183.26977804437</v>
      </c>
      <c r="X337" s="55" t="s">
        <v>37</v>
      </c>
      <c r="Y337" s="13" t="str">
        <f>IF($AX337="Cancelled","",IF(X337="","",IFERROR(IF(INDEX(Variables!$B$38:$B$47,MATCH(X337,Variables!$A$38:$A$47,0))="Yes","Yes","No"),"No")))</f>
        <v>Yes</v>
      </c>
      <c r="Z337" s="58">
        <v>45786</v>
      </c>
      <c r="AB337" s="31">
        <v>45793</v>
      </c>
      <c r="AC337" s="13" t="str">
        <f t="shared" si="15"/>
        <v>Approved</v>
      </c>
      <c r="AF337" s="71"/>
      <c r="AG337" s="35">
        <f>IF($AX337="Cancelled","",IFERROR(IF(F337="","",F337-Variables!$B$13),""))</f>
        <v>45854</v>
      </c>
      <c r="AH337" s="13">
        <f>IF($AX337="Cancelled","",IFERROR(IF(AB337="","",(AVERAGE(E337:F337)-AB337)-Variables!$B$14),""))</f>
        <v>31</v>
      </c>
      <c r="AK337" s="14" t="str">
        <f>IF($AX337="Cancelled","",IFERROR(IF(AJ337="","",IF(AND(AB337="",AF337=""),"",IF(AF337&gt;AB337,AF337+Variables!$B$15+Variables!$B$16+Variables!$B$17-AJ337,AB337+Variables!$B$16+Variables!$B$17-AJ337))),""))</f>
        <v/>
      </c>
      <c r="AL337" s="48" t="s">
        <v>114</v>
      </c>
      <c r="AM337" s="13" t="s">
        <v>141</v>
      </c>
      <c r="AN337" s="13" t="s">
        <v>233</v>
      </c>
      <c r="AP337" s="31">
        <v>45834</v>
      </c>
      <c r="AR337" s="13" t="s">
        <v>1038</v>
      </c>
      <c r="AS337" s="31">
        <v>45834</v>
      </c>
      <c r="AU337" s="31">
        <v>45839</v>
      </c>
      <c r="AV337" s="13" t="s">
        <v>1039</v>
      </c>
      <c r="AW337" s="31">
        <v>45856</v>
      </c>
      <c r="AX337" s="13" t="str">
        <f>IF(ISNUMBER(SEARCH("cancel",#REF!)),"Cancelled",IF(AND(AS337&lt;&gt;"",AU337&lt;&gt;"",AW337&lt;&gt;""),"Closed","Open"))</f>
        <v>Closed</v>
      </c>
      <c r="AY337" s="15" t="str">
        <f t="shared" si="16"/>
        <v>All dates received</v>
      </c>
      <c r="BD337" s="13" t="str">
        <f>IF($AX337="Cancelled","",IFERROR(IF(OR(AS337="",AJ337=""),"",(AJ337+Variables!$B$18-AS337)),""))</f>
        <v/>
      </c>
      <c r="BE337" s="13">
        <f>IF($AX337="Cancelled","",IFERROR(IF(OR(AW337="",AS337=""),"",(AS337+Variables!$B$19)-AW337),""))</f>
        <v>-17</v>
      </c>
      <c r="BF337" s="44">
        <f>IF($AX337="Cancelled","",IFERROR(W337*INDEX(Variables!$B$7:$D$7,IFERROR(MATCH(IF($B337="Robusta","Robusta",(IF($B337="","Arabica",$B337))&amp;" - "&amp;(IF($C337="","Commercial",$C337))),Variables!$B$1:$D$1,0),1))*(BE337/365),""))</f>
        <v>-375.96047905257763</v>
      </c>
      <c r="BG337" s="44">
        <f>IF($AX337="Cancelled","",IFERROR((W337*INDEX(Variables!$B$7:$D$7,IFERROR(MATCH(IF($B337="Robusta","Robusta",(IF($B337="","Arabica",$B337))&amp;" - "&amp;(IF($C337="","Commercial",$C337))),Variables!$B$1:$D$1,0),1))*IFERROR(IF(AB337="","",(AVERAGE(E337:F337)-AB337)-Variables!$B$14),"")/365)+(L337/16.67*INDEX(Variables!$B$8:$D$8,IFERROR(MATCH(IF($B337="Robusta","Robusta",(IF($B337="","Arabica",$B337))&amp;" - "&amp;(IF($C337="","Commercial",$C337))),Variables!$B$1:$D$1,0),1))*IFERROR(IF(AB337="","",(AVERAGE(E337:F337)-AB337)-Variables!$B$14),""))+(W337*INDEX(Variables!$B$9:$D$9,IFERROR(MATCH(IF($B337="Robusta","Robusta",(IF($B337="","Arabica",$B337))&amp;" - "&amp;(IF($C337="","Commercial",$C337))),Variables!$B$1:$D$1,0),1))*IFERROR(IF(AB337="","",(AVERAGE(E337:F337)-AB337)-Variables!$B$14),"")/365),""))</f>
        <v>1190.413375918075</v>
      </c>
      <c r="BH337" s="44" t="str">
        <f>IF($AX337="Cancelled","",IFERROR((W337*INDEX(Variables!$B$7:$D$7,IFERROR(MATCH(IF($B337="Robusta","Robusta",(IF($B337="","Arabica",$B337))&amp;" - "&amp;(IF($C337="","Commercial",$C337))),Variables!$B$1:$D$1,0),1))*AK337/365)+(L337/16.67*INDEX(Variables!$B$8:$D$8,IFERROR(MATCH(IF($B337="Robusta","Robusta",(IF($B337="","Arabica",$B337))&amp;" - "&amp;(IF($C337="","Commercial",$C337))),Variables!$B$1:$D$1,0),1))*AK337)+(W337*INDEX(Variables!$B$9:$D$9,IFERROR(MATCH(IF($B337="Robusta","Robusta",(IF($B337="","Arabica",$B337))&amp;" - "&amp;(IF($C337="","Commercial",$C337))),Variables!$B$1:$D$1,0),1))*AK337/365),""))</f>
        <v/>
      </c>
      <c r="BI337" s="44" t="str">
        <f>IF($AX337="Cancelled","",IFERROR((W337*INDEX(Variables!$B$7:$D$7,IFERROR(MATCH(IF($B337="Robusta","Robusta",(IF($B337="","Arabica",$B337))&amp;" - "&amp;(IF($C337="","Commercial",$C337))),Variables!$B$1:$D$1,0),1))*BD337/365)+(L337/16.67*INDEX(Variables!$B$8:$D$8,IFERROR(MATCH(IF($B337="Robusta","Robusta",(IF($B337="","Arabica",$B337))&amp;" - "&amp;(IF($C337="","Commercial",$C337))),Variables!$B$1:$D$1,0),1))*BD337)+(W337*INDEX(Variables!$B$9:$D$9,IFERROR(MATCH(IF($B337="Robusta","Robusta",(IF($B337="","Arabica",$B337))&amp;" - "&amp;(IF($C337="","Commercial",$C337))),Variables!$B$1:$D$1,0),1))*BD337/365),""))</f>
        <v/>
      </c>
      <c r="BJ337" s="44">
        <f t="shared" si="17"/>
        <v>35</v>
      </c>
      <c r="BK337" s="44">
        <f>IF($AX337="Cancelled","",IFERROR(IF(BJ337="","",(W337*INDEX(Variables!$B$7:$D$7,IFERROR(MATCH(IF($B337="Robusta","Robusta",(IF($B337="","Arabica",$B337))&amp;" - "&amp;(IF($C337="","Commercial",$C337))),Variables!$B$1:$D$1,0),1))*(BJ337/365))+(W337*INDEX(Variables!$B$9:$D$9,IFERROR(MATCH(IF($B337="Robusta","Robusta",(IF($B337="","Arabica",$B337))&amp;" - "&amp;(IF($C337="","Commercial",$C337))),Variables!$B$1:$D$1,0),1))*(BJ337/365))+(INDEX(Variables!$B$8:$D$8,IFERROR(MATCH(IF($B337="Robusta","Robusta",(IF($B337="","Arabica",$B337))&amp;" - "&amp;(IF($C337="","Commercial",$C337))),Variables!$B$1:$D$1,0),1))*L337/16.67)),""))</f>
        <v>800.01510184298775</v>
      </c>
    </row>
    <row r="338" spans="1:63">
      <c r="A338" s="13" t="s">
        <v>103</v>
      </c>
      <c r="B338" s="13" t="s">
        <v>104</v>
      </c>
      <c r="C338" s="13" t="s">
        <v>292</v>
      </c>
      <c r="D338" s="31">
        <v>45722</v>
      </c>
      <c r="E338" s="31">
        <v>45748</v>
      </c>
      <c r="F338" s="31">
        <v>45777</v>
      </c>
      <c r="G338" s="13">
        <v>3786825</v>
      </c>
      <c r="J338" s="13" t="s">
        <v>1040</v>
      </c>
      <c r="K338" s="13" t="s">
        <v>1041</v>
      </c>
      <c r="L338" s="13">
        <v>21</v>
      </c>
      <c r="M338" s="13">
        <v>0</v>
      </c>
      <c r="N338" s="13" t="s">
        <v>1042</v>
      </c>
      <c r="O338" s="13" t="s">
        <v>771</v>
      </c>
      <c r="P338" s="13">
        <v>10010</v>
      </c>
      <c r="R338" s="13" t="s">
        <v>384</v>
      </c>
      <c r="S338" s="13" t="s">
        <v>288</v>
      </c>
      <c r="T338" s="13" t="s">
        <v>289</v>
      </c>
      <c r="U338" s="13" t="s">
        <v>182</v>
      </c>
      <c r="V338" s="13">
        <v>118</v>
      </c>
      <c r="W338" s="44">
        <f>IF($AX338="Cancelled","",IFERROR(((V338+INDEX(Variables!$B$6:$D$6,IFERROR(MATCH(IF($B338="Robusta","Robusta",(IF($B338="","Arabica",$B338))&amp;" - "&amp;(IF($C338="","Commercial",$C338))),Variables!$B$1:$D$1,0),1)))*22.0462)*(L338/16.67),""))</f>
        <v>11353.462373125372</v>
      </c>
      <c r="X338" s="55" t="s">
        <v>39</v>
      </c>
      <c r="Y338" s="13" t="str">
        <f>IF($AX338="Cancelled","",IF(X338="","",IFERROR(IF(INDEX(Variables!$B$38:$B$47,MATCH(X338,Variables!$A$38:$A$47,0))="Yes","Yes","No"),"No")))</f>
        <v>No</v>
      </c>
      <c r="Z338" s="31"/>
      <c r="AB338" s="31">
        <v>45731.875</v>
      </c>
      <c r="AC338" s="13" t="str">
        <f t="shared" si="15"/>
        <v>Approved</v>
      </c>
      <c r="AF338" s="71">
        <f>AJ338-7</f>
        <v>45791</v>
      </c>
      <c r="AG338" s="36">
        <f>IF($AX338="Cancelled","",IFERROR(IF(F338="","",F338-Variables!$B$13),""))</f>
        <v>45762</v>
      </c>
      <c r="AH338" s="13">
        <f>IF($AX338="Cancelled","",IFERROR(IF(AB338="","",(AVERAGE(E338:F338)-AB338)-Variables!$B$14),""))</f>
        <v>0.625</v>
      </c>
      <c r="AJ338" s="47">
        <v>45798</v>
      </c>
      <c r="AK338" s="14">
        <f>IF($AX338="Cancelled","",IFERROR(IF(AJ338="","",IF(AND(AB338="",AF338=""),"",IF(AF338&gt;AB338,AF338+Variables!$B$15+Variables!$B$16+Variables!$B$17-AJ338,AB338+Variables!$B$16+Variables!$B$17-AJ338))),""))</f>
        <v>8</v>
      </c>
      <c r="AL338" s="48" t="s">
        <v>864</v>
      </c>
      <c r="AM338" s="13" t="s">
        <v>3242</v>
      </c>
      <c r="AN338" s="13" t="s">
        <v>3246</v>
      </c>
      <c r="AP338" s="31">
        <v>45808</v>
      </c>
      <c r="AR338" s="13" t="s">
        <v>3259</v>
      </c>
      <c r="AS338" s="31">
        <v>45811</v>
      </c>
      <c r="AU338" s="31">
        <v>45815</v>
      </c>
      <c r="AV338" s="13" t="s">
        <v>3271</v>
      </c>
      <c r="AW338" s="31">
        <v>45838</v>
      </c>
      <c r="AX338" s="13" t="str">
        <f>IF(ISNUMBER(SEARCH("cancel",#REF!)),"Cancelled",IF(AND(AS338&lt;&gt;"",AU338&lt;&gt;"",AW338&lt;&gt;""),"Closed","Open"))</f>
        <v>Closed</v>
      </c>
      <c r="AY338" s="15" t="str">
        <f t="shared" si="16"/>
        <v>All dates received</v>
      </c>
      <c r="BD338" s="13">
        <f>IF($AX338="Cancelled","",IFERROR(IF(OR(AS338="",AJ338=""),"",(AJ338+Variables!$B$18-AS338)),""))</f>
        <v>2</v>
      </c>
      <c r="BE338" s="13">
        <f>IF($AX338="Cancelled","",IFERROR(IF(OR(AW338="",AS338=""),"",(AS338+Variables!$B$19)-AW338),""))</f>
        <v>-22</v>
      </c>
      <c r="BF338" s="44">
        <f>IF($AX338="Cancelled","",IFERROR(W338*INDEX(Variables!$B$7:$D$7,IFERROR(MATCH(IF($B338="Robusta","Robusta",(IF($B338="","Arabica",$B338))&amp;" - "&amp;(IF($C338="","Commercial",$C338))),Variables!$B$1:$D$1,0),1))*(BE338/365),""))</f>
        <v>-44.126348196163256</v>
      </c>
      <c r="BG338" s="44">
        <f>IF($AX338="Cancelled","",IFERROR((W338*INDEX(Variables!$B$7:$D$7,IFERROR(MATCH(IF($B338="Robusta","Robusta",(IF($B338="","Arabica",$B338))&amp;" - "&amp;(IF($C338="","Commercial",$C338))),Variables!$B$1:$D$1,0),1))*IFERROR(IF(AB338="","",(AVERAGE(E338:F338)-AB338)-Variables!$B$14),"")/365)+(L338/16.67*INDEX(Variables!$B$8:$D$8,IFERROR(MATCH(IF($B338="Robusta","Robusta",(IF($B338="","Arabica",$B338))&amp;" - "&amp;(IF($C338="","Commercial",$C338))),Variables!$B$1:$D$1,0),1))*IFERROR(IF(AB338="","",(AVERAGE(E338:F338)-AB338)-Variables!$B$14),""))+(W338*INDEX(Variables!$B$9:$D$9,IFERROR(MATCH(IF($B338="Robusta","Robusta",(IF($B338="","Arabica",$B338))&amp;" - "&amp;(IF($C338="","Commercial",$C338))),Variables!$B$1:$D$1,0),1))*IFERROR(IF(AB338="","",(AVERAGE(E338:F338)-AB338)-Variables!$B$14),"")/365),""))</f>
        <v>1.9260006244985002</v>
      </c>
      <c r="BH338" s="44">
        <f>IF($AX338="Cancelled","",IFERROR((W338*INDEX(Variables!$B$7:$D$7,IFERROR(MATCH(IF($B338="Robusta","Robusta",(IF($B338="","Arabica",$B338))&amp;" - "&amp;(IF($C338="","Commercial",$C338))),Variables!$B$1:$D$1,0),1))*AK338/365)+(L338/16.67*INDEX(Variables!$B$8:$D$8,IFERROR(MATCH(IF($B338="Robusta","Robusta",(IF($B338="","Arabica",$B338))&amp;" - "&amp;(IF($C338="","Commercial",$C338))),Variables!$B$1:$D$1,0),1))*AK338)+(W338*INDEX(Variables!$B$9:$D$9,IFERROR(MATCH(IF($B338="Robusta","Robusta",(IF($B338="","Arabica",$B338))&amp;" - "&amp;(IF($C338="","Commercial",$C338))),Variables!$B$1:$D$1,0),1))*AK338/365),""))</f>
        <v>24.652807993580801</v>
      </c>
      <c r="BI338" s="44">
        <f>IF($AX338="Cancelled","",IFERROR((W338*INDEX(Variables!$B$7:$D$7,IFERROR(MATCH(IF($B338="Robusta","Robusta",(IF($B338="","Arabica",$B338))&amp;" - "&amp;(IF($C338="","Commercial",$C338))),Variables!$B$1:$D$1,0),1))*BD338/365)+(L338/16.67*INDEX(Variables!$B$8:$D$8,IFERROR(MATCH(IF($B338="Robusta","Robusta",(IF($B338="","Arabica",$B338))&amp;" - "&amp;(IF($C338="","Commercial",$C338))),Variables!$B$1:$D$1,0),1))*BD338)+(W338*INDEX(Variables!$B$9:$D$9,IFERROR(MATCH(IF($B338="Robusta","Robusta",(IF($B338="","Arabica",$B338))&amp;" - "&amp;(IF($C338="","Commercial",$C338))),Variables!$B$1:$D$1,0),1))*BD338/365),""))</f>
        <v>6.1632019983952002</v>
      </c>
      <c r="BJ338" s="44">
        <f t="shared" si="17"/>
        <v>-34</v>
      </c>
      <c r="BK338" s="44">
        <f>IF($AX338="Cancelled","",IFERROR(IF(BJ338="","",(W338*INDEX(Variables!$B$7:$D$7,IFERROR(MATCH(IF($B338="Robusta","Robusta",(IF($B338="","Arabica",$B338))&amp;" - "&amp;(IF($C338="","Commercial",$C338))),Variables!$B$1:$D$1,0),1))*(BJ338/365))+(W338*INDEX(Variables!$B$9:$D$9,IFERROR(MATCH(IF($B338="Robusta","Robusta",(IF($B338="","Arabica",$B338))&amp;" - "&amp;(IF($C338="","Commercial",$C338))),Variables!$B$1:$D$1,0),1))*(BJ338/365))+(INDEX(Variables!$B$8:$D$8,IFERROR(MATCH(IF($B338="Robusta","Robusta",(IF($B338="","Arabica",$B338))&amp;" - "&amp;(IF($C338="","Commercial",$C338))),Variables!$B$1:$D$1,0),1))*L338/16.67)),""))</f>
        <v>-68.024433972718413</v>
      </c>
    </row>
    <row r="339" spans="1:63">
      <c r="A339" s="13" t="s">
        <v>103</v>
      </c>
      <c r="B339" s="13" t="s">
        <v>104</v>
      </c>
      <c r="C339" s="13" t="s">
        <v>292</v>
      </c>
      <c r="D339" s="31">
        <v>45726</v>
      </c>
      <c r="E339" s="31">
        <v>45778</v>
      </c>
      <c r="F339" s="31">
        <v>45808</v>
      </c>
      <c r="G339" s="13">
        <v>3786826</v>
      </c>
      <c r="J339" s="13" t="s">
        <v>506</v>
      </c>
      <c r="K339" s="13" t="s">
        <v>1043</v>
      </c>
      <c r="L339" s="13">
        <v>10</v>
      </c>
      <c r="M339" s="13">
        <v>0</v>
      </c>
      <c r="N339" s="13" t="s">
        <v>1044</v>
      </c>
      <c r="O339" s="13" t="s">
        <v>771</v>
      </c>
      <c r="P339" s="13">
        <v>10010</v>
      </c>
      <c r="R339" s="13" t="s">
        <v>239</v>
      </c>
      <c r="S339" s="13" t="s">
        <v>509</v>
      </c>
      <c r="T339" s="13" t="s">
        <v>329</v>
      </c>
      <c r="U339" s="13" t="s">
        <v>330</v>
      </c>
      <c r="V339" s="13">
        <v>128</v>
      </c>
      <c r="W339" s="44">
        <f>IF($AX339="Cancelled","",IFERROR(((V339+INDEX(Variables!$B$6:$D$6,IFERROR(MATCH(IF($B339="Robusta","Robusta",(IF($B339="","Arabica",$B339))&amp;" - "&amp;(IF($C339="","Commercial",$C339))),Variables!$B$1:$D$1,0),1)))*22.0462)*(L339/16.67),""))</f>
        <v>5538.6614037192548</v>
      </c>
      <c r="X339" s="55" t="s">
        <v>37</v>
      </c>
      <c r="Y339" s="13" t="str">
        <f>IF($AX339="Cancelled","",IF(X339="","",IFERROR(IF(INDEX(Variables!$B$38:$B$47,MATCH(X339,Variables!$A$38:$A$47,0))="Yes","Yes","No"),"No")))</f>
        <v>Yes</v>
      </c>
      <c r="Z339" s="31">
        <v>45732.875</v>
      </c>
      <c r="AC339" s="13" t="str">
        <f t="shared" si="15"/>
        <v/>
      </c>
      <c r="AF339" s="71">
        <f>AJ339-7</f>
        <v>45782</v>
      </c>
      <c r="AG339" s="36">
        <f>IF($AX339="Cancelled","",IFERROR(IF(F339="","",F339-Variables!$B$13),""))</f>
        <v>45793</v>
      </c>
      <c r="AH339" s="13" t="str">
        <f>IF($AX339="Cancelled","",IFERROR(IF(AB339="","",(AVERAGE(E339:F339)-AB339)-Variables!$B$14),""))</f>
        <v/>
      </c>
      <c r="AJ339" s="47">
        <v>45789</v>
      </c>
      <c r="AK339" s="14">
        <f>IF($AX339="Cancelled","",IFERROR(IF(AJ339="","",IF(AND(AB339="",AF339=""),"",IF(AF339&gt;AB339,AF339+Variables!$B$15+Variables!$B$16+Variables!$B$17-AJ339,AB339+Variables!$B$16+Variables!$B$17-AJ339))),""))</f>
        <v>8</v>
      </c>
      <c r="AL339" s="48" t="s">
        <v>114</v>
      </c>
      <c r="AM339" s="13" t="s">
        <v>115</v>
      </c>
      <c r="AN339" s="13" t="s">
        <v>281</v>
      </c>
      <c r="AP339" s="31">
        <v>45793</v>
      </c>
      <c r="AR339" s="13">
        <v>253467055</v>
      </c>
      <c r="AS339" s="31">
        <v>45798</v>
      </c>
      <c r="AU339" s="31">
        <v>45807</v>
      </c>
      <c r="AV339" s="13" t="s">
        <v>865</v>
      </c>
      <c r="AW339" s="31">
        <v>45812</v>
      </c>
      <c r="AX339" s="13" t="str">
        <f>IF(ISNUMBER(SEARCH("cancel",#REF!)),"Cancelled",IF(AND(AS339&lt;&gt;"",AU339&lt;&gt;"",AW339&lt;&gt;""),"Closed","Open"))</f>
        <v>Closed</v>
      </c>
      <c r="AY339" s="15" t="str">
        <f t="shared" si="16"/>
        <v>All dates received</v>
      </c>
      <c r="BD339" s="13">
        <f>IF($AX339="Cancelled","",IFERROR(IF(OR(AS339="",AJ339=""),"",(AJ339+Variables!$B$18-AS339)),""))</f>
        <v>6</v>
      </c>
      <c r="BE339" s="13">
        <f>IF($AX339="Cancelled","",IFERROR(IF(OR(AW339="",AS339=""),"",(AS339+Variables!$B$19)-AW339),""))</f>
        <v>-9</v>
      </c>
      <c r="BF339" s="44">
        <f>IF($AX339="Cancelled","",IFERROR(W339*INDEX(Variables!$B$7:$D$7,IFERROR(MATCH(IF($B339="Robusta","Robusta",(IF($B339="","Arabica",$B339))&amp;" - "&amp;(IF($C339="","Commercial",$C339))),Variables!$B$1:$D$1,0),1))*(BE339/365),""))</f>
        <v>-8.8063168528826079</v>
      </c>
      <c r="BG339" s="44" t="str">
        <f>IF($AX339="Cancelled","",IFERROR((W339*INDEX(Variables!$B$7:$D$7,IFERROR(MATCH(IF($B339="Robusta","Robusta",(IF($B339="","Arabica",$B339))&amp;" - "&amp;(IF($C339="","Commercial",$C339))),Variables!$B$1:$D$1,0),1))*IFERROR(IF(AB339="","",(AVERAGE(E339:F339)-AB339)-Variables!$B$14),"")/365)+(L339/16.67*INDEX(Variables!$B$8:$D$8,IFERROR(MATCH(IF($B339="Robusta","Robusta",(IF($B339="","Arabica",$B339))&amp;" - "&amp;(IF($C339="","Commercial",$C339))),Variables!$B$1:$D$1,0),1))*IFERROR(IF(AB339="","",(AVERAGE(E339:F339)-AB339)-Variables!$B$14),""))+(W339*INDEX(Variables!$B$9:$D$9,IFERROR(MATCH(IF($B339="Robusta","Robusta",(IF($B339="","Arabica",$B339))&amp;" - "&amp;(IF($C339="","Commercial",$C339))),Variables!$B$1:$D$1,0),1))*IFERROR(IF(AB339="","",(AVERAGE(E339:F339)-AB339)-Variables!$B$14),"")/365),""))</f>
        <v/>
      </c>
      <c r="BH339" s="44">
        <f>IF($AX339="Cancelled","",IFERROR((W339*INDEX(Variables!$B$7:$D$7,IFERROR(MATCH(IF($B339="Robusta","Robusta",(IF($B339="","Arabica",$B339))&amp;" - "&amp;(IF($C339="","Commercial",$C339))),Variables!$B$1:$D$1,0),1))*AK339/365)+(L339/16.67*INDEX(Variables!$B$8:$D$8,IFERROR(MATCH(IF($B339="Robusta","Robusta",(IF($B339="","Arabica",$B339))&amp;" - "&amp;(IF($C339="","Commercial",$C339))),Variables!$B$1:$D$1,0),1))*AK339)+(W339*INDEX(Variables!$B$9:$D$9,IFERROR(MATCH(IF($B339="Robusta","Robusta",(IF($B339="","Arabica",$B339))&amp;" - "&amp;(IF($C339="","Commercial",$C339))),Variables!$B$1:$D$1,0),1))*AK339/365),""))</f>
        <v>11.928753130779564</v>
      </c>
      <c r="BI339" s="44">
        <f>IF($AX339="Cancelled","",IFERROR((W339*INDEX(Variables!$B$7:$D$7,IFERROR(MATCH(IF($B339="Robusta","Robusta",(IF($B339="","Arabica",$B339))&amp;" - "&amp;(IF($C339="","Commercial",$C339))),Variables!$B$1:$D$1,0),1))*BD339/365)+(L339/16.67*INDEX(Variables!$B$8:$D$8,IFERROR(MATCH(IF($B339="Robusta","Robusta",(IF($B339="","Arabica",$B339))&amp;" - "&amp;(IF($C339="","Commercial",$C339))),Variables!$B$1:$D$1,0),1))*BD339)+(W339*INDEX(Variables!$B$9:$D$9,IFERROR(MATCH(IF($B339="Robusta","Robusta",(IF($B339="","Arabica",$B339))&amp;" - "&amp;(IF($C339="","Commercial",$C339))),Variables!$B$1:$D$1,0),1))*BD339/365),""))</f>
        <v>8.9465648480846713</v>
      </c>
      <c r="BJ339" s="44">
        <f t="shared" si="17"/>
        <v>10</v>
      </c>
      <c r="BK339" s="44">
        <f>IF($AX339="Cancelled","",IFERROR(IF(BJ339="","",(W339*INDEX(Variables!$B$7:$D$7,IFERROR(MATCH(IF($B339="Robusta","Robusta",(IF($B339="","Arabica",$B339))&amp;" - "&amp;(IF($C339="","Commercial",$C339))),Variables!$B$1:$D$1,0),1))*(BJ339/365))+(W339*INDEX(Variables!$B$9:$D$9,IFERROR(MATCH(IF($B339="Robusta","Robusta",(IF($B339="","Arabica",$B339))&amp;" - "&amp;(IF($C339="","Commercial",$C339))),Variables!$B$1:$D$1,0),1))*(BJ339/365))+(INDEX(Variables!$B$8:$D$8,IFERROR(MATCH(IF($B339="Robusta","Robusta",(IF($B339="","Arabica",$B339))&amp;" - "&amp;(IF($C339="","Commercial",$C339))),Variables!$B$1:$D$1,0),1))*L339/16.67)),""))</f>
        <v>10.410941413474452</v>
      </c>
    </row>
    <row r="340" spans="1:63">
      <c r="A340" s="13" t="s">
        <v>103</v>
      </c>
      <c r="B340" s="13" t="s">
        <v>104</v>
      </c>
      <c r="C340" s="13" t="s">
        <v>105</v>
      </c>
      <c r="D340" s="31">
        <v>45729</v>
      </c>
      <c r="E340" s="31">
        <v>45778</v>
      </c>
      <c r="F340" s="31">
        <v>45808</v>
      </c>
      <c r="G340" s="13">
        <v>3786827</v>
      </c>
      <c r="J340" s="13" t="s">
        <v>454</v>
      </c>
      <c r="K340" s="13">
        <v>5254</v>
      </c>
      <c r="L340" s="13">
        <v>1080</v>
      </c>
      <c r="M340" s="13">
        <v>3</v>
      </c>
      <c r="N340" s="13" t="s">
        <v>813</v>
      </c>
      <c r="O340" s="13" t="s">
        <v>456</v>
      </c>
      <c r="P340" s="13">
        <v>10140</v>
      </c>
      <c r="R340" s="13" t="s">
        <v>122</v>
      </c>
      <c r="S340" s="13" t="s">
        <v>457</v>
      </c>
      <c r="T340" s="13" t="s">
        <v>458</v>
      </c>
      <c r="U340" s="13" t="s">
        <v>125</v>
      </c>
      <c r="V340" s="13">
        <v>-38</v>
      </c>
      <c r="W340" s="44">
        <f>IF($AX340="Cancelled","",IFERROR(((V340+INDEX(Variables!$B$6:$D$6,IFERROR(MATCH(IF($B340="Robusta","Robusta",(IF($B340="","Arabica",$B340))&amp;" - "&amp;(IF($C340="","Commercial",$C340))),Variables!$B$1:$D$1,0),1)))*22.0462)*(L340/16.67),""))</f>
        <v>361076.28727054578</v>
      </c>
      <c r="X340" s="55" t="s">
        <v>37</v>
      </c>
      <c r="Y340" s="13" t="str">
        <f>IF($AX340="Cancelled","",IF(X340="","",IFERROR(IF(INDEX(Variables!$B$38:$B$47,MATCH(X340,Variables!$A$38:$A$47,0))="Yes","Yes","No"),"No")))</f>
        <v>Yes</v>
      </c>
      <c r="Z340" s="58">
        <v>45740</v>
      </c>
      <c r="AB340" s="31">
        <v>45747</v>
      </c>
      <c r="AC340" s="13" t="str">
        <f t="shared" si="15"/>
        <v>Approved</v>
      </c>
      <c r="AF340" s="71">
        <f>AJ340-7</f>
        <v>45769</v>
      </c>
      <c r="AG340" s="35">
        <f>IF($AX340="Cancelled","",IFERROR(IF(F340="","",F340-Variables!$B$13),""))</f>
        <v>45793</v>
      </c>
      <c r="AH340" s="13">
        <f>IF($AX340="Cancelled","",IFERROR(IF(AB340="","",(AVERAGE(E340:F340)-AB340)-Variables!$B$14),""))</f>
        <v>16</v>
      </c>
      <c r="AJ340" s="47">
        <v>45776</v>
      </c>
      <c r="AK340" s="14">
        <f>IF($AX340="Cancelled","",IFERROR(IF(AJ340="","",IF(AND(AB340="",AF340=""),"",IF(AF340&gt;AB340,AF340+Variables!$B$15+Variables!$B$16+Variables!$B$17-AJ340,AB340+Variables!$B$16+Variables!$B$17-AJ340))),""))</f>
        <v>8</v>
      </c>
      <c r="AL340" s="48" t="s">
        <v>114</v>
      </c>
      <c r="AM340" s="13" t="s">
        <v>115</v>
      </c>
      <c r="AN340" s="13" t="s">
        <v>1045</v>
      </c>
      <c r="AP340" s="31">
        <v>45782</v>
      </c>
      <c r="AR340" s="13">
        <v>252780540</v>
      </c>
      <c r="AS340" s="31">
        <v>45782</v>
      </c>
      <c r="AU340" s="31">
        <v>45785</v>
      </c>
      <c r="AV340" s="13" t="s">
        <v>865</v>
      </c>
      <c r="AW340" s="31">
        <v>45798</v>
      </c>
      <c r="AX340" s="13" t="str">
        <f>IF(ISNUMBER(SEARCH("cancel",#REF!)),"Cancelled",IF(AND(AS340&lt;&gt;"",AU340&lt;&gt;"",AW340&lt;&gt;""),"Closed","Open"))</f>
        <v>Closed</v>
      </c>
      <c r="AY340" s="15" t="str">
        <f t="shared" si="16"/>
        <v>All dates received</v>
      </c>
      <c r="BD340" s="13">
        <f>IF($AX340="Cancelled","",IFERROR(IF(OR(AS340="",AJ340=""),"",(AJ340+Variables!$B$18-AS340)),""))</f>
        <v>9</v>
      </c>
      <c r="BE340" s="13">
        <f>IF($AX340="Cancelled","",IFERROR(IF(OR(AW340="",AS340=""),"",(AS340+Variables!$B$19)-AW340),""))</f>
        <v>-11</v>
      </c>
      <c r="BF340" s="44">
        <f>IF($AX340="Cancelled","",IFERROR(W340*INDEX(Variables!$B$7:$D$7,IFERROR(MATCH(IF($B340="Robusta","Robusta",(IF($B340="","Arabica",$B340))&amp;" - "&amp;(IF($C340="","Commercial",$C340))),Variables!$B$1:$D$1,0),1))*(BE340/365),""))</f>
        <v>-701.67925227782098</v>
      </c>
      <c r="BG340" s="44">
        <f>IF($AX340="Cancelled","",IFERROR((W340*INDEX(Variables!$B$7:$D$7,IFERROR(MATCH(IF($B340="Robusta","Robusta",(IF($B340="","Arabica",$B340))&amp;" - "&amp;(IF($C340="","Commercial",$C340))),Variables!$B$1:$D$1,0),1))*IFERROR(IF(AB340="","",(AVERAGE(E340:F340)-AB340)-Variables!$B$14),"")/365)+(L340/16.67*INDEX(Variables!$B$8:$D$8,IFERROR(MATCH(IF($B340="Robusta","Robusta",(IF($B340="","Arabica",$B340))&amp;" - "&amp;(IF($C340="","Commercial",$C340))),Variables!$B$1:$D$1,0),1))*IFERROR(IF(AB340="","",(AVERAGE(E340:F340)-AB340)-Variables!$B$14),""))+(W340*INDEX(Variables!$B$9:$D$9,IFERROR(MATCH(IF($B340="Robusta","Robusta",(IF($B340="","Arabica",$B340))&amp;" - "&amp;(IF($C340="","Commercial",$C340))),Variables!$B$1:$D$1,0),1))*IFERROR(IF(AB340="","",(AVERAGE(E340:F340)-AB340)-Variables!$B$14),"")/365),""))</f>
        <v>1897.7821847077171</v>
      </c>
      <c r="BH340" s="44">
        <f>IF($AX340="Cancelled","",IFERROR((W340*INDEX(Variables!$B$7:$D$7,IFERROR(MATCH(IF($B340="Robusta","Robusta",(IF($B340="","Arabica",$B340))&amp;" - "&amp;(IF($C340="","Commercial",$C340))),Variables!$B$1:$D$1,0),1))*AK340/365)+(L340/16.67*INDEX(Variables!$B$8:$D$8,IFERROR(MATCH(IF($B340="Robusta","Robusta",(IF($B340="","Arabica",$B340))&amp;" - "&amp;(IF($C340="","Commercial",$C340))),Variables!$B$1:$D$1,0),1))*AK340)+(W340*INDEX(Variables!$B$9:$D$9,IFERROR(MATCH(IF($B340="Robusta","Robusta",(IF($B340="","Arabica",$B340))&amp;" - "&amp;(IF($C340="","Commercial",$C340))),Variables!$B$1:$D$1,0),1))*AK340/365),""))</f>
        <v>948.89109235385854</v>
      </c>
      <c r="BI340" s="44">
        <f>IF($AX340="Cancelled","",IFERROR((W340*INDEX(Variables!$B$7:$D$7,IFERROR(MATCH(IF($B340="Robusta","Robusta",(IF($B340="","Arabica",$B340))&amp;" - "&amp;(IF($C340="","Commercial",$C340))),Variables!$B$1:$D$1,0),1))*BD340/365)+(L340/16.67*INDEX(Variables!$B$8:$D$8,IFERROR(MATCH(IF($B340="Robusta","Robusta",(IF($B340="","Arabica",$B340))&amp;" - "&amp;(IF($C340="","Commercial",$C340))),Variables!$B$1:$D$1,0),1))*BD340)+(W340*INDEX(Variables!$B$9:$D$9,IFERROR(MATCH(IF($B340="Robusta","Robusta",(IF($B340="","Arabica",$B340))&amp;" - "&amp;(IF($C340="","Commercial",$C340))),Variables!$B$1:$D$1,0),1))*BD340/365),""))</f>
        <v>1067.5024788980907</v>
      </c>
      <c r="BJ340" s="44">
        <f t="shared" si="17"/>
        <v>26</v>
      </c>
      <c r="BK340" s="44">
        <f>IF($AX340="Cancelled","",IFERROR(IF(BJ340="","",(W340*INDEX(Variables!$B$7:$D$7,IFERROR(MATCH(IF($B340="Robusta","Robusta",(IF($B340="","Arabica",$B340))&amp;" - "&amp;(IF($C340="","Commercial",$C340))),Variables!$B$1:$D$1,0),1))*(BJ340/365))+(W340*INDEX(Variables!$B$9:$D$9,IFERROR(MATCH(IF($B340="Robusta","Robusta",(IF($B340="","Arabica",$B340))&amp;" - "&amp;(IF($C340="","Commercial",$C340))),Variables!$B$1:$D$1,0),1))*(BJ340/365))+(INDEX(Variables!$B$8:$D$8,IFERROR(MATCH(IF($B340="Robusta","Robusta",(IF($B340="","Arabica",$B340))&amp;" - "&amp;(IF($C340="","Commercial",$C340))),Variables!$B$1:$D$1,0),1))*L340/16.67)),""))</f>
        <v>1733.8960501500401</v>
      </c>
    </row>
    <row r="341" spans="1:63">
      <c r="A341" s="13" t="s">
        <v>103</v>
      </c>
      <c r="B341" s="13" t="s">
        <v>104</v>
      </c>
      <c r="C341" s="13" t="s">
        <v>105</v>
      </c>
      <c r="D341" s="31">
        <v>45729</v>
      </c>
      <c r="E341" s="31">
        <v>45809</v>
      </c>
      <c r="F341" s="31">
        <v>45838</v>
      </c>
      <c r="G341" s="13">
        <v>3786828</v>
      </c>
      <c r="H341" s="13" t="s">
        <v>1046</v>
      </c>
      <c r="J341" s="13" t="s">
        <v>454</v>
      </c>
      <c r="K341" s="13">
        <v>5284</v>
      </c>
      <c r="L341" s="13">
        <v>1080</v>
      </c>
      <c r="M341" s="13">
        <v>3</v>
      </c>
      <c r="N341" s="13" t="s">
        <v>813</v>
      </c>
      <c r="O341" s="13" t="s">
        <v>456</v>
      </c>
      <c r="P341" s="13">
        <v>10140</v>
      </c>
      <c r="R341" s="13" t="s">
        <v>122</v>
      </c>
      <c r="S341" s="13" t="s">
        <v>457</v>
      </c>
      <c r="T341" s="13" t="s">
        <v>458</v>
      </c>
      <c r="U341" s="13" t="s">
        <v>125</v>
      </c>
      <c r="V341" s="13">
        <v>-38</v>
      </c>
      <c r="W341" s="44">
        <f>IF($AX341="Cancelled","",IFERROR(((V341+INDEX(Variables!$B$6:$D$6,IFERROR(MATCH(IF($B341="Robusta","Robusta",(IF($B341="","Arabica",$B341))&amp;" - "&amp;(IF($C341="","Commercial",$C341))),Variables!$B$1:$D$1,0),1)))*22.0462)*(L341/16.67),""))</f>
        <v>361076.28727054578</v>
      </c>
      <c r="X341" s="55" t="s">
        <v>37</v>
      </c>
      <c r="Y341" s="13" t="str">
        <f>IF($AX341="Cancelled","",IF(X341="","",IFERROR(IF(INDEX(Variables!$B$38:$B$47,MATCH(X341,Variables!$A$38:$A$47,0))="Yes","Yes","No"),"No")))</f>
        <v>Yes</v>
      </c>
      <c r="Z341" s="58">
        <v>45790</v>
      </c>
      <c r="AB341" s="31">
        <v>45797</v>
      </c>
      <c r="AC341" s="13" t="str">
        <f t="shared" si="15"/>
        <v>Approved</v>
      </c>
      <c r="AF341" s="71">
        <f>AJ341-7</f>
        <v>45799</v>
      </c>
      <c r="AG341" s="35">
        <f>IF($AX341="Cancelled","",IFERROR(IF(F341="","",F341-Variables!$B$13),""))</f>
        <v>45823</v>
      </c>
      <c r="AH341" s="13">
        <f>IF($AX341="Cancelled","",IFERROR(IF(AB341="","",(AVERAGE(E341:F341)-AB341)-Variables!$B$14),""))</f>
        <v>-3.5</v>
      </c>
      <c r="AJ341" s="47">
        <v>45806</v>
      </c>
      <c r="AK341" s="14">
        <f>IF($AX341="Cancelled","",IFERROR(IF(AJ341="","",IF(AND(AB341="",AF341=""),"",IF(AF341&gt;AB341,AF341+Variables!$B$15+Variables!$B$16+Variables!$B$17-AJ341,AB341+Variables!$B$16+Variables!$B$17-AJ341))),""))</f>
        <v>8</v>
      </c>
      <c r="AL341" s="48" t="s">
        <v>114</v>
      </c>
      <c r="AM341" s="13" t="s">
        <v>115</v>
      </c>
      <c r="AN341" s="13" t="s">
        <v>899</v>
      </c>
      <c r="AP341" s="31">
        <v>45816</v>
      </c>
      <c r="AR341" s="13">
        <v>253664437</v>
      </c>
      <c r="AS341" s="31">
        <v>45816</v>
      </c>
      <c r="AU341" s="31">
        <v>45820</v>
      </c>
      <c r="AV341" s="13" t="s">
        <v>865</v>
      </c>
      <c r="AW341" s="31">
        <v>45820</v>
      </c>
      <c r="AX341" s="13" t="str">
        <f>IF(ISNUMBER(SEARCH("cancel",#REF!)),"Cancelled",IF(AND(AS341&lt;&gt;"",AU341&lt;&gt;"",AW341&lt;&gt;""),"Closed","Open"))</f>
        <v>Closed</v>
      </c>
      <c r="AY341" s="15" t="str">
        <f t="shared" si="16"/>
        <v>All dates received</v>
      </c>
      <c r="BD341" s="13">
        <f>IF($AX341="Cancelled","",IFERROR(IF(OR(AS341="",AJ341=""),"",(AJ341+Variables!$B$18-AS341)),""))</f>
        <v>5</v>
      </c>
      <c r="BE341" s="13">
        <f>IF($AX341="Cancelled","",IFERROR(IF(OR(AW341="",AS341=""),"",(AS341+Variables!$B$19)-AW341),""))</f>
        <v>1</v>
      </c>
      <c r="BF341" s="44">
        <f>IF($AX341="Cancelled","",IFERROR(W341*INDEX(Variables!$B$7:$D$7,IFERROR(MATCH(IF($B341="Robusta","Robusta",(IF($B341="","Arabica",$B341))&amp;" - "&amp;(IF($C341="","Commercial",$C341))),Variables!$B$1:$D$1,0),1))*(BE341/365),""))</f>
        <v>63.789022934347365</v>
      </c>
      <c r="BG341" s="44">
        <f>IF($AX341="Cancelled","",IFERROR((W341*INDEX(Variables!$B$7:$D$7,IFERROR(MATCH(IF($B341="Robusta","Robusta",(IF($B341="","Arabica",$B341))&amp;" - "&amp;(IF($C341="","Commercial",$C341))),Variables!$B$1:$D$1,0),1))*IFERROR(IF(AB341="","",(AVERAGE(E341:F341)-AB341)-Variables!$B$14),"")/365)+(L341/16.67*INDEX(Variables!$B$8:$D$8,IFERROR(MATCH(IF($B341="Robusta","Robusta",(IF($B341="","Arabica",$B341))&amp;" - "&amp;(IF($C341="","Commercial",$C341))),Variables!$B$1:$D$1,0),1))*IFERROR(IF(AB341="","",(AVERAGE(E341:F341)-AB341)-Variables!$B$14),""))+(W341*INDEX(Variables!$B$9:$D$9,IFERROR(MATCH(IF($B341="Robusta","Robusta",(IF($B341="","Arabica",$B341))&amp;" - "&amp;(IF($C341="","Commercial",$C341))),Variables!$B$1:$D$1,0),1))*IFERROR(IF(AB341="","",(AVERAGE(E341:F341)-AB341)-Variables!$B$14),"")/365),""))</f>
        <v>-415.13985290481304</v>
      </c>
      <c r="BH341" s="44">
        <f>IF($AX341="Cancelled","",IFERROR((W341*INDEX(Variables!$B$7:$D$7,IFERROR(MATCH(IF($B341="Robusta","Robusta",(IF($B341="","Arabica",$B341))&amp;" - "&amp;(IF($C341="","Commercial",$C341))),Variables!$B$1:$D$1,0),1))*AK341/365)+(L341/16.67*INDEX(Variables!$B$8:$D$8,IFERROR(MATCH(IF($B341="Robusta","Robusta",(IF($B341="","Arabica",$B341))&amp;" - "&amp;(IF($C341="","Commercial",$C341))),Variables!$B$1:$D$1,0),1))*AK341)+(W341*INDEX(Variables!$B$9:$D$9,IFERROR(MATCH(IF($B341="Robusta","Robusta",(IF($B341="","Arabica",$B341))&amp;" - "&amp;(IF($C341="","Commercial",$C341))),Variables!$B$1:$D$1,0),1))*AK341/365),""))</f>
        <v>948.89109235385854</v>
      </c>
      <c r="BI341" s="44">
        <f>IF($AX341="Cancelled","",IFERROR((W341*INDEX(Variables!$B$7:$D$7,IFERROR(MATCH(IF($B341="Robusta","Robusta",(IF($B341="","Arabica",$B341))&amp;" - "&amp;(IF($C341="","Commercial",$C341))),Variables!$B$1:$D$1,0),1))*BD341/365)+(L341/16.67*INDEX(Variables!$B$8:$D$8,IFERROR(MATCH(IF($B341="Robusta","Robusta",(IF($B341="","Arabica",$B341))&amp;" - "&amp;(IF($C341="","Commercial",$C341))),Variables!$B$1:$D$1,0),1))*BD341)+(W341*INDEX(Variables!$B$9:$D$9,IFERROR(MATCH(IF($B341="Robusta","Robusta",(IF($B341="","Arabica",$B341))&amp;" - "&amp;(IF($C341="","Commercial",$C341))),Variables!$B$1:$D$1,0),1))*BD341/365),""))</f>
        <v>593.0569327211615</v>
      </c>
      <c r="BJ341" s="44">
        <f t="shared" si="17"/>
        <v>22</v>
      </c>
      <c r="BK341" s="44">
        <f>IF($AX341="Cancelled","",IFERROR(IF(BJ341="","",(W341*INDEX(Variables!$B$7:$D$7,IFERROR(MATCH(IF($B341="Robusta","Robusta",(IF($B341="","Arabica",$B341))&amp;" - "&amp;(IF($C341="","Commercial",$C341))),Variables!$B$1:$D$1,0),1))*(BJ341/365))+(W341*INDEX(Variables!$B$9:$D$9,IFERROR(MATCH(IF($B341="Robusta","Robusta",(IF($B341="","Arabica",$B341))&amp;" - "&amp;(IF($C341="","Commercial",$C341))),Variables!$B$1:$D$1,0),1))*(BJ341/365))+(INDEX(Variables!$B$8:$D$8,IFERROR(MATCH(IF($B341="Robusta","Robusta",(IF($B341="","Arabica",$B341))&amp;" - "&amp;(IF($C341="","Commercial",$C341))),Variables!$B$1:$D$1,0),1))*L341/16.67)),""))</f>
        <v>1475.4505039731107</v>
      </c>
    </row>
    <row r="342" spans="1:63">
      <c r="A342" s="13" t="s">
        <v>103</v>
      </c>
      <c r="B342" s="13" t="s">
        <v>104</v>
      </c>
      <c r="C342" s="13" t="s">
        <v>105</v>
      </c>
      <c r="D342" s="31">
        <v>45729</v>
      </c>
      <c r="E342" s="31">
        <v>45748</v>
      </c>
      <c r="F342" s="31">
        <v>45777</v>
      </c>
      <c r="G342" s="13">
        <v>3786829</v>
      </c>
      <c r="H342" s="13" t="s">
        <v>1047</v>
      </c>
      <c r="J342" s="13" t="s">
        <v>260</v>
      </c>
      <c r="K342" s="13">
        <v>5274</v>
      </c>
      <c r="L342" s="13">
        <v>320</v>
      </c>
      <c r="M342" s="13">
        <v>1</v>
      </c>
      <c r="N342" s="13" t="s">
        <v>404</v>
      </c>
      <c r="O342" s="13" t="s">
        <v>405</v>
      </c>
      <c r="P342" s="13">
        <v>10150</v>
      </c>
      <c r="R342" s="13" t="s">
        <v>110</v>
      </c>
      <c r="S342" s="13" t="s">
        <v>1048</v>
      </c>
      <c r="T342" s="13" t="s">
        <v>263</v>
      </c>
      <c r="U342" s="13" t="s">
        <v>125</v>
      </c>
      <c r="V342" s="13">
        <v>-90</v>
      </c>
      <c r="W342" s="44">
        <f>IF($AX342="Cancelled","",IFERROR(((V342+INDEX(Variables!$B$6:$D$6,IFERROR(MATCH(IF($B342="Robusta","Robusta",(IF($B342="","Arabica",$B342))&amp;" - "&amp;(IF($C342="","Commercial",$C342))),Variables!$B$1:$D$1,0),1)))*22.0462)*(L342/16.67),""))</f>
        <v>84979.041823635256</v>
      </c>
      <c r="X342" s="55" t="s">
        <v>37</v>
      </c>
      <c r="Y342" s="13" t="str">
        <f>IF($AX342="Cancelled","",IF(X342="","",IFERROR(IF(INDEX(Variables!$B$38:$B$47,MATCH(X342,Variables!$A$38:$A$47,0))="Yes","Yes","No"),"No")))</f>
        <v>Yes</v>
      </c>
      <c r="Z342" s="58">
        <v>45764</v>
      </c>
      <c r="AB342" s="31">
        <v>45775</v>
      </c>
      <c r="AC342" s="13" t="str">
        <f t="shared" si="15"/>
        <v>Approved</v>
      </c>
      <c r="AF342" s="71">
        <f>AJ342-7</f>
        <v>45784</v>
      </c>
      <c r="AG342" s="35">
        <f>IF($AX342="Cancelled","",IFERROR(IF(F342="","",F342-Variables!$B$13),""))</f>
        <v>45762</v>
      </c>
      <c r="AH342" s="13">
        <f>IF($AX342="Cancelled","",IFERROR(IF(AB342="","",(AVERAGE(E342:F342)-AB342)-Variables!$B$14),""))</f>
        <v>-42.5</v>
      </c>
      <c r="AJ342" s="47">
        <v>45791</v>
      </c>
      <c r="AK342" s="14">
        <f>IF($AX342="Cancelled","",IFERROR(IF(AJ342="","",IF(AND(AB342="",AF342=""),"",IF(AF342&gt;AB342,AF342+Variables!$B$15+Variables!$B$16+Variables!$B$17-AJ342,AB342+Variables!$B$16+Variables!$B$17-AJ342))),""))</f>
        <v>8</v>
      </c>
      <c r="AL342" s="48" t="s">
        <v>114</v>
      </c>
      <c r="AM342" s="13" t="s">
        <v>168</v>
      </c>
      <c r="AN342" s="13" t="s">
        <v>1049</v>
      </c>
      <c r="AP342" s="31">
        <v>45799</v>
      </c>
      <c r="AR342" s="13" t="s">
        <v>1050</v>
      </c>
      <c r="AS342" s="31">
        <v>45799</v>
      </c>
      <c r="AU342" s="31">
        <v>45803</v>
      </c>
      <c r="AV342" s="13" t="s">
        <v>865</v>
      </c>
      <c r="AW342" s="31">
        <v>45806</v>
      </c>
      <c r="AX342" s="13" t="str">
        <f>IF(ISNUMBER(SEARCH("cancel",#REF!)),"Cancelled",IF(AND(AS342&lt;&gt;"",AU342&lt;&gt;"",AW342&lt;&gt;""),"Closed","Open"))</f>
        <v>Closed</v>
      </c>
      <c r="AY342" s="15" t="str">
        <f t="shared" si="16"/>
        <v>All dates received</v>
      </c>
      <c r="BD342" s="13">
        <f>IF($AX342="Cancelled","",IFERROR(IF(OR(AS342="",AJ342=""),"",(AJ342+Variables!$B$18-AS342)),""))</f>
        <v>7</v>
      </c>
      <c r="BE342" s="13">
        <f>IF($AX342="Cancelled","",IFERROR(IF(OR(AW342="",AS342=""),"",(AS342+Variables!$B$19)-AW342),""))</f>
        <v>-2</v>
      </c>
      <c r="BF342" s="44">
        <f>IF($AX342="Cancelled","",IFERROR(W342*INDEX(Variables!$B$7:$D$7,IFERROR(MATCH(IF($B342="Robusta","Robusta",(IF($B342="","Arabica",$B342))&amp;" - "&amp;(IF($C342="","Commercial",$C342))),Variables!$B$1:$D$1,0),1))*(BE342/365),""))</f>
        <v>-30.025400387287743</v>
      </c>
      <c r="BG342" s="44">
        <f>IF($AX342="Cancelled","",IFERROR((W342*INDEX(Variables!$B$7:$D$7,IFERROR(MATCH(IF($B342="Robusta","Robusta",(IF($B342="","Arabica",$B342))&amp;" - "&amp;(IF($C342="","Commercial",$C342))),Variables!$B$1:$D$1,0),1))*IFERROR(IF(AB342="","",(AVERAGE(E342:F342)-AB342)-Variables!$B$14),"")/365)+(L342/16.67*INDEX(Variables!$B$8:$D$8,IFERROR(MATCH(IF($B342="Robusta","Robusta",(IF($B342="","Arabica",$B342))&amp;" - "&amp;(IF($C342="","Commercial",$C342))),Variables!$B$1:$D$1,0),1))*IFERROR(IF(AB342="","",(AVERAGE(E342:F342)-AB342)-Variables!$B$14),""))+(W342*INDEX(Variables!$B$9:$D$9,IFERROR(MATCH(IF($B342="Robusta","Robusta",(IF($B342="","Arabica",$B342))&amp;" - "&amp;(IF($C342="","Commercial",$C342))),Variables!$B$1:$D$1,0),1))*IFERROR(IF(AB342="","",(AVERAGE(E342:F342)-AB342)-Variables!$B$14),"")/365),""))</f>
        <v>-1326.2653220446305</v>
      </c>
      <c r="BH342" s="44">
        <f>IF($AX342="Cancelled","",IFERROR((W342*INDEX(Variables!$B$7:$D$7,IFERROR(MATCH(IF($B342="Robusta","Robusta",(IF($B342="","Arabica",$B342))&amp;" - "&amp;(IF($C342="","Commercial",$C342))),Variables!$B$1:$D$1,0),1))*AK342/365)+(L342/16.67*INDEX(Variables!$B$8:$D$8,IFERROR(MATCH(IF($B342="Robusta","Robusta",(IF($B342="","Arabica",$B342))&amp;" - "&amp;(IF($C342="","Commercial",$C342))),Variables!$B$1:$D$1,0),1))*AK342)+(W342*INDEX(Variables!$B$9:$D$9,IFERROR(MATCH(IF($B342="Robusta","Robusta",(IF($B342="","Arabica",$B342))&amp;" - "&amp;(IF($C342="","Commercial",$C342))),Variables!$B$1:$D$1,0),1))*AK342/365),""))</f>
        <v>249.64994297310687</v>
      </c>
      <c r="BI342" s="44">
        <f>IF($AX342="Cancelled","",IFERROR((W342*INDEX(Variables!$B$7:$D$7,IFERROR(MATCH(IF($B342="Robusta","Robusta",(IF($B342="","Arabica",$B342))&amp;" - "&amp;(IF($C342="","Commercial",$C342))),Variables!$B$1:$D$1,0),1))*BD342/365)+(L342/16.67*INDEX(Variables!$B$8:$D$8,IFERROR(MATCH(IF($B342="Robusta","Robusta",(IF($B342="","Arabica",$B342))&amp;" - "&amp;(IF($C342="","Commercial",$C342))),Variables!$B$1:$D$1,0),1))*BD342)+(W342*INDEX(Variables!$B$9:$D$9,IFERROR(MATCH(IF($B342="Robusta","Robusta",(IF($B342="","Arabica",$B342))&amp;" - "&amp;(IF($C342="","Commercial",$C342))),Variables!$B$1:$D$1,0),1))*BD342/365),""))</f>
        <v>218.44370010146852</v>
      </c>
      <c r="BJ342" s="44">
        <f t="shared" si="17"/>
        <v>-22</v>
      </c>
      <c r="BK342" s="44">
        <f>IF($AX342="Cancelled","",IFERROR(IF(BJ342="","",(W342*INDEX(Variables!$B$7:$D$7,IFERROR(MATCH(IF($B342="Robusta","Robusta",(IF($B342="","Arabica",$B342))&amp;" - "&amp;(IF($C342="","Commercial",$C342))),Variables!$B$1:$D$1,0),1))*(BJ342/365))+(W342*INDEX(Variables!$B$9:$D$9,IFERROR(MATCH(IF($B342="Robusta","Robusta",(IF($B342="","Arabica",$B342))&amp;" - "&amp;(IF($C342="","Commercial",$C342))),Variables!$B$1:$D$1,0),1))*(BJ342/365))+(INDEX(Variables!$B$8:$D$8,IFERROR(MATCH(IF($B342="Robusta","Robusta",(IF($B342="","Arabica",$B342))&amp;" - "&amp;(IF($C342="","Commercial",$C342))),Variables!$B$1:$D$1,0),1))*L342/16.67)),""))</f>
        <v>-318.53734317604392</v>
      </c>
    </row>
    <row r="343" spans="1:63">
      <c r="A343" s="13" t="s">
        <v>103</v>
      </c>
      <c r="B343" s="13" t="s">
        <v>104</v>
      </c>
      <c r="C343" s="13" t="s">
        <v>292</v>
      </c>
      <c r="D343" s="31">
        <v>45729</v>
      </c>
      <c r="E343" s="31">
        <v>45748</v>
      </c>
      <c r="F343" s="31">
        <v>45777</v>
      </c>
      <c r="G343" s="13">
        <v>3786830</v>
      </c>
      <c r="J343" s="13" t="s">
        <v>1051</v>
      </c>
      <c r="K343" s="13" t="s">
        <v>1052</v>
      </c>
      <c r="L343" s="13">
        <v>97</v>
      </c>
      <c r="M343" s="13">
        <v>1</v>
      </c>
      <c r="N343" s="13" t="s">
        <v>1053</v>
      </c>
      <c r="O343" s="13" t="s">
        <v>1054</v>
      </c>
      <c r="P343" s="13">
        <v>10020</v>
      </c>
      <c r="R343" s="13" t="s">
        <v>239</v>
      </c>
      <c r="S343" s="13" t="s">
        <v>437</v>
      </c>
      <c r="T343" s="13" t="s">
        <v>438</v>
      </c>
      <c r="U343" s="13" t="s">
        <v>182</v>
      </c>
      <c r="V343" s="13">
        <v>143</v>
      </c>
      <c r="W343" s="44">
        <f>IF($AX343="Cancelled","",IFERROR(((V343+INDEX(Variables!$B$6:$D$6,IFERROR(MATCH(IF($B343="Robusta","Robusta",(IF($B343="","Arabica",$B343))&amp;" - "&amp;(IF($C343="","Commercial",$C343))),Variables!$B$1:$D$1,0),1)))*22.0462)*(L343/16.67),""))</f>
        <v>55649.264026394718</v>
      </c>
      <c r="X343" s="55" t="s">
        <v>39</v>
      </c>
      <c r="Y343" s="13" t="str">
        <f>IF($AX343="Cancelled","",IF(X343="","",IFERROR(IF(INDEX(Variables!$B$38:$B$47,MATCH(X343,Variables!$A$38:$A$47,0))="Yes","Yes","No"),"No")))</f>
        <v>No</v>
      </c>
      <c r="Z343" s="31"/>
      <c r="AB343" s="31">
        <v>45731.875</v>
      </c>
      <c r="AC343" s="13" t="str">
        <f t="shared" si="15"/>
        <v>Approved</v>
      </c>
      <c r="AF343" s="71">
        <f>AJ343-7</f>
        <v>45765</v>
      </c>
      <c r="AG343" s="36">
        <f>IF($AX343="Cancelled","",IFERROR(IF(F343="","",F343-Variables!$B$13),""))</f>
        <v>45762</v>
      </c>
      <c r="AH343" s="13">
        <f>IF($AX343="Cancelled","",IFERROR(IF(AB343="","",(AVERAGE(E343:F343)-AB343)-Variables!$B$14),""))</f>
        <v>0.625</v>
      </c>
      <c r="AJ343" s="47">
        <v>45772</v>
      </c>
      <c r="AK343" s="14">
        <f>IF($AX343="Cancelled","",IFERROR(IF(AJ343="","",IF(AND(AB343="",AF343=""),"",IF(AF343&gt;AB343,AF343+Variables!$B$15+Variables!$B$16+Variables!$B$17-AJ343,AB343+Variables!$B$16+Variables!$B$17-AJ343))),""))</f>
        <v>8</v>
      </c>
      <c r="AL343" s="48" t="s">
        <v>114</v>
      </c>
      <c r="AM343" s="13" t="s">
        <v>3243</v>
      </c>
      <c r="AN343" s="13" t="s">
        <v>195</v>
      </c>
      <c r="AP343" s="31">
        <v>45781</v>
      </c>
      <c r="AR343" s="13" t="s">
        <v>3260</v>
      </c>
      <c r="AS343" s="31">
        <v>45784</v>
      </c>
      <c r="AU343" s="31">
        <v>45793</v>
      </c>
      <c r="AV343" s="13" t="s">
        <v>3272</v>
      </c>
      <c r="AW343" s="31">
        <v>45797</v>
      </c>
      <c r="AX343" s="13" t="str">
        <f>IF(ISNUMBER(SEARCH("cancel",#REF!)),"Cancelled",IF(AND(AS343&lt;&gt;"",AU343&lt;&gt;"",AW343&lt;&gt;""),"Closed","Open"))</f>
        <v>Closed</v>
      </c>
      <c r="AY343" s="15" t="str">
        <f t="shared" si="16"/>
        <v>All dates received</v>
      </c>
      <c r="BD343" s="13">
        <f>IF($AX343="Cancelled","",IFERROR(IF(OR(AS343="",AJ343=""),"",(AJ343+Variables!$B$18-AS343)),""))</f>
        <v>3</v>
      </c>
      <c r="BE343" s="13">
        <f>IF($AX343="Cancelled","",IFERROR(IF(OR(AW343="",AS343=""),"",(AS343+Variables!$B$19)-AW343),""))</f>
        <v>-8</v>
      </c>
      <c r="BF343" s="44">
        <f>IF($AX343="Cancelled","",IFERROR(W343*INDEX(Variables!$B$7:$D$7,IFERROR(MATCH(IF($B343="Robusta","Robusta",(IF($B343="","Arabica",$B343))&amp;" - "&amp;(IF($C343="","Commercial",$C343))),Variables!$B$1:$D$1,0),1))*(BE343/365),""))</f>
        <v>-78.649577486088546</v>
      </c>
      <c r="BG343" s="44">
        <f>IF($AX343="Cancelled","",IFERROR((W343*INDEX(Variables!$B$7:$D$7,IFERROR(MATCH(IF($B343="Robusta","Robusta",(IF($B343="","Arabica",$B343))&amp;" - "&amp;(IF($C343="","Commercial",$C343))),Variables!$B$1:$D$1,0),1))*IFERROR(IF(AB343="","",(AVERAGE(E343:F343)-AB343)-Variables!$B$14),"")/365)+(L343/16.67*INDEX(Variables!$B$8:$D$8,IFERROR(MATCH(IF($B343="Robusta","Robusta",(IF($B343="","Arabica",$B343))&amp;" - "&amp;(IF($C343="","Commercial",$C343))),Variables!$B$1:$D$1,0),1))*IFERROR(IF(AB343="","",(AVERAGE(E343:F343)-AB343)-Variables!$B$14),""))+(W343*INDEX(Variables!$B$9:$D$9,IFERROR(MATCH(IF($B343="Robusta","Robusta",(IF($B343="","Arabica",$B343))&amp;" - "&amp;(IF($C343="","Commercial",$C343))),Variables!$B$1:$D$1,0),1))*IFERROR(IF(AB343="","",(AVERAGE(E343:F343)-AB343)-Variables!$B$14),"")/365),""))</f>
        <v>9.2549626814861856</v>
      </c>
      <c r="BH343" s="44">
        <f>IF($AX343="Cancelled","",IFERROR((W343*INDEX(Variables!$B$7:$D$7,IFERROR(MATCH(IF($B343="Robusta","Robusta",(IF($B343="","Arabica",$B343))&amp;" - "&amp;(IF($C343="","Commercial",$C343))),Variables!$B$1:$D$1,0),1))*AK343/365)+(L343/16.67*INDEX(Variables!$B$8:$D$8,IFERROR(MATCH(IF($B343="Robusta","Robusta",(IF($B343="","Arabica",$B343))&amp;" - "&amp;(IF($C343="","Commercial",$C343))),Variables!$B$1:$D$1,0),1))*AK343)+(W343*INDEX(Variables!$B$9:$D$9,IFERROR(MATCH(IF($B343="Robusta","Robusta",(IF($B343="","Arabica",$B343))&amp;" - "&amp;(IF($C343="","Commercial",$C343))),Variables!$B$1:$D$1,0),1))*AK343/365),""))</f>
        <v>118.46352232302316</v>
      </c>
      <c r="BI343" s="44">
        <f>IF($AX343="Cancelled","",IFERROR((W343*INDEX(Variables!$B$7:$D$7,IFERROR(MATCH(IF($B343="Robusta","Robusta",(IF($B343="","Arabica",$B343))&amp;" - "&amp;(IF($C343="","Commercial",$C343))),Variables!$B$1:$D$1,0),1))*BD343/365)+(L343/16.67*INDEX(Variables!$B$8:$D$8,IFERROR(MATCH(IF($B343="Robusta","Robusta",(IF($B343="","Arabica",$B343))&amp;" - "&amp;(IF($C343="","Commercial",$C343))),Variables!$B$1:$D$1,0),1))*BD343)+(W343*INDEX(Variables!$B$9:$D$9,IFERROR(MATCH(IF($B343="Robusta","Robusta",(IF($B343="","Arabica",$B343))&amp;" - "&amp;(IF($C343="","Commercial",$C343))),Variables!$B$1:$D$1,0),1))*BD343/365),""))</f>
        <v>44.423820871133692</v>
      </c>
      <c r="BJ343" s="44">
        <f t="shared" si="17"/>
        <v>-7</v>
      </c>
      <c r="BK343" s="44">
        <f>IF($AX343="Cancelled","",IFERROR(IF(BJ343="","",(W343*INDEX(Variables!$B$7:$D$7,IFERROR(MATCH(IF($B343="Robusta","Robusta",(IF($B343="","Arabica",$B343))&amp;" - "&amp;(IF($C343="","Commercial",$C343))),Variables!$B$1:$D$1,0),1))*(BJ343/365))+(W343*INDEX(Variables!$B$9:$D$9,IFERROR(MATCH(IF($B343="Robusta","Robusta",(IF($B343="","Arabica",$B343))&amp;" - "&amp;(IF($C343="","Commercial",$C343))),Variables!$B$1:$D$1,0),1))*(BJ343/365))+(INDEX(Variables!$B$8:$D$8,IFERROR(MATCH(IF($B343="Robusta","Robusta",(IF($B343="","Arabica",$B343))&amp;" - "&amp;(IF($C343="","Commercial",$C343))),Variables!$B$1:$D$1,0),1))*L343/16.67)),""))</f>
        <v>-64.855582032645273</v>
      </c>
    </row>
    <row r="344" spans="1:63">
      <c r="A344" s="13" t="s">
        <v>103</v>
      </c>
      <c r="B344" s="13" t="s">
        <v>104</v>
      </c>
      <c r="C344" s="13" t="s">
        <v>292</v>
      </c>
      <c r="D344" s="31">
        <v>45729</v>
      </c>
      <c r="E344" s="31">
        <v>45748</v>
      </c>
      <c r="F344" s="31">
        <v>45777</v>
      </c>
      <c r="G344" s="13">
        <v>3786831</v>
      </c>
      <c r="J344" s="13" t="s">
        <v>1051</v>
      </c>
      <c r="K344" s="13" t="s">
        <v>1055</v>
      </c>
      <c r="L344" s="13">
        <v>59</v>
      </c>
      <c r="M344" s="13">
        <v>0</v>
      </c>
      <c r="N344" s="13" t="s">
        <v>1056</v>
      </c>
      <c r="O344" s="13" t="s">
        <v>1054</v>
      </c>
      <c r="P344" s="13">
        <v>10020</v>
      </c>
      <c r="R344" s="13" t="s">
        <v>239</v>
      </c>
      <c r="S344" s="13" t="s">
        <v>437</v>
      </c>
      <c r="T344" s="13" t="s">
        <v>438</v>
      </c>
      <c r="U344" s="13" t="s">
        <v>182</v>
      </c>
      <c r="V344" s="13">
        <v>129</v>
      </c>
      <c r="W344" s="44">
        <f>IF($AX344="Cancelled","",IFERROR(((V344+INDEX(Variables!$B$6:$D$6,IFERROR(MATCH(IF($B344="Robusta","Robusta",(IF($B344="","Arabica",$B344))&amp;" - "&amp;(IF($C344="","Commercial",$C344))),Variables!$B$1:$D$1,0),1)))*22.0462)*(L344/16.67),""))</f>
        <v>32756.130224355122</v>
      </c>
      <c r="X344" s="55" t="s">
        <v>39</v>
      </c>
      <c r="Y344" s="13" t="str">
        <f>IF($AX344="Cancelled","",IF(X344="","",IFERROR(IF(INDEX(Variables!$B$38:$B$47,MATCH(X344,Variables!$A$38:$A$47,0))="Yes","Yes","No"),"No")))</f>
        <v>No</v>
      </c>
      <c r="Z344" s="31"/>
      <c r="AB344" s="31">
        <v>45731.875</v>
      </c>
      <c r="AC344" s="13" t="str">
        <f t="shared" si="15"/>
        <v>Approved</v>
      </c>
      <c r="AF344" s="71">
        <f>AJ344-7</f>
        <v>45765</v>
      </c>
      <c r="AG344" s="36">
        <f>IF($AX344="Cancelled","",IFERROR(IF(F344="","",F344-Variables!$B$13),""))</f>
        <v>45762</v>
      </c>
      <c r="AH344" s="13">
        <f>IF($AX344="Cancelled","",IFERROR(IF(AB344="","",(AVERAGE(E344:F344)-AB344)-Variables!$B$14),""))</f>
        <v>0.625</v>
      </c>
      <c r="AJ344" s="47">
        <v>45772</v>
      </c>
      <c r="AK344" s="14">
        <f>IF($AX344="Cancelled","",IFERROR(IF(AJ344="","",IF(AND(AB344="",AF344=""),"",IF(AF344&gt;AB344,AF344+Variables!$B$15+Variables!$B$16+Variables!$B$17-AJ344,AB344+Variables!$B$16+Variables!$B$17-AJ344))),""))</f>
        <v>8</v>
      </c>
      <c r="AL344" s="48" t="s">
        <v>114</v>
      </c>
      <c r="AM344" s="13" t="s">
        <v>3243</v>
      </c>
      <c r="AN344" s="13" t="s">
        <v>195</v>
      </c>
      <c r="AP344" s="31">
        <v>45781</v>
      </c>
      <c r="AR344" s="13" t="s">
        <v>3260</v>
      </c>
      <c r="AS344" s="31">
        <v>45784</v>
      </c>
      <c r="AU344" s="31">
        <v>45793</v>
      </c>
      <c r="AV344" s="13" t="s">
        <v>3272</v>
      </c>
      <c r="AW344" s="31">
        <v>45797</v>
      </c>
      <c r="AX344" s="13" t="str">
        <f>IF(ISNUMBER(SEARCH("cancel",#REF!)),"Cancelled",IF(AND(AS344&lt;&gt;"",AU344&lt;&gt;"",AW344&lt;&gt;""),"Closed","Open"))</f>
        <v>Closed</v>
      </c>
      <c r="AY344" s="15" t="str">
        <f t="shared" si="16"/>
        <v>All dates received</v>
      </c>
      <c r="BD344" s="13">
        <f>IF($AX344="Cancelled","",IFERROR(IF(OR(AS344="",AJ344=""),"",(AJ344+Variables!$B$18-AS344)),""))</f>
        <v>3</v>
      </c>
      <c r="BE344" s="13">
        <f>IF($AX344="Cancelled","",IFERROR(IF(OR(AW344="",AS344=""),"",(AS344+Variables!$B$19)-AW344),""))</f>
        <v>-8</v>
      </c>
      <c r="BF344" s="44">
        <f>IF($AX344="Cancelled","",IFERROR(W344*INDEX(Variables!$B$7:$D$7,IFERROR(MATCH(IF($B344="Robusta","Robusta",(IF($B344="","Arabica",$B344))&amp;" - "&amp;(IF($C344="","Commercial",$C344))),Variables!$B$1:$D$1,0),1))*(BE344/365),""))</f>
        <v>-46.294517048830947</v>
      </c>
      <c r="BG344" s="44">
        <f>IF($AX344="Cancelled","",IFERROR((W344*INDEX(Variables!$B$7:$D$7,IFERROR(MATCH(IF($B344="Robusta","Robusta",(IF($B344="","Arabica",$B344))&amp;" - "&amp;(IF($C344="","Commercial",$C344))),Variables!$B$1:$D$1,0),1))*IFERROR(IF(AB344="","",(AVERAGE(E344:F344)-AB344)-Variables!$B$14),"")/365)+(L344/16.67*INDEX(Variables!$B$8:$D$8,IFERROR(MATCH(IF($B344="Robusta","Robusta",(IF($B344="","Arabica",$B344))&amp;" - "&amp;(IF($C344="","Commercial",$C344))),Variables!$B$1:$D$1,0),1))*IFERROR(IF(AB344="","",(AVERAGE(E344:F344)-AB344)-Variables!$B$14),""))+(W344*INDEX(Variables!$B$9:$D$9,IFERROR(MATCH(IF($B344="Robusta","Robusta",(IF($B344="","Arabica",$B344))&amp;" - "&amp;(IF($C344="","Commercial",$C344))),Variables!$B$1:$D$1,0),1))*IFERROR(IF(AB344="","",(AVERAGE(E344:F344)-AB344)-Variables!$B$14),"")/365),""))</f>
        <v>5.5071361496719495</v>
      </c>
      <c r="BH344" s="44">
        <f>IF($AX344="Cancelled","",IFERROR((W344*INDEX(Variables!$B$7:$D$7,IFERROR(MATCH(IF($B344="Robusta","Robusta",(IF($B344="","Arabica",$B344))&amp;" - "&amp;(IF($C344="","Commercial",$C344))),Variables!$B$1:$D$1,0),1))*AK344/365)+(L344/16.67*INDEX(Variables!$B$8:$D$8,IFERROR(MATCH(IF($B344="Robusta","Robusta",(IF($B344="","Arabica",$B344))&amp;" - "&amp;(IF($C344="","Commercial",$C344))),Variables!$B$1:$D$1,0),1))*AK344)+(W344*INDEX(Variables!$B$9:$D$9,IFERROR(MATCH(IF($B344="Robusta","Robusta",(IF($B344="","Arabica",$B344))&amp;" - "&amp;(IF($C344="","Commercial",$C344))),Variables!$B$1:$D$1,0),1))*AK344/365),""))</f>
        <v>70.491342715800954</v>
      </c>
      <c r="BI344" s="44">
        <f>IF($AX344="Cancelled","",IFERROR((W344*INDEX(Variables!$B$7:$D$7,IFERROR(MATCH(IF($B344="Robusta","Robusta",(IF($B344="","Arabica",$B344))&amp;" - "&amp;(IF($C344="","Commercial",$C344))),Variables!$B$1:$D$1,0),1))*BD344/365)+(L344/16.67*INDEX(Variables!$B$8:$D$8,IFERROR(MATCH(IF($B344="Robusta","Robusta",(IF($B344="","Arabica",$B344))&amp;" - "&amp;(IF($C344="","Commercial",$C344))),Variables!$B$1:$D$1,0),1))*BD344)+(W344*INDEX(Variables!$B$9:$D$9,IFERROR(MATCH(IF($B344="Robusta","Robusta",(IF($B344="","Arabica",$B344))&amp;" - "&amp;(IF($C344="","Commercial",$C344))),Variables!$B$1:$D$1,0),1))*BD344/365),""))</f>
        <v>26.434253518425361</v>
      </c>
      <c r="BJ344" s="44">
        <f t="shared" si="17"/>
        <v>-7</v>
      </c>
      <c r="BK344" s="44">
        <f>IF($AX344="Cancelled","",IFERROR(IF(BJ344="","",(W344*INDEX(Variables!$B$7:$D$7,IFERROR(MATCH(IF($B344="Robusta","Robusta",(IF($B344="","Arabica",$B344))&amp;" - "&amp;(IF($C344="","Commercial",$C344))),Variables!$B$1:$D$1,0),1))*(BJ344/365))+(W344*INDEX(Variables!$B$9:$D$9,IFERROR(MATCH(IF($B344="Robusta","Robusta",(IF($B344="","Arabica",$B344))&amp;" - "&amp;(IF($C344="","Commercial",$C344))),Variables!$B$1:$D$1,0),1))*(BJ344/365))+(INDEX(Variables!$B$8:$D$8,IFERROR(MATCH(IF($B344="Robusta","Robusta",(IF($B344="","Arabica",$B344))&amp;" - "&amp;(IF($C344="","Commercial",$C344))),Variables!$B$1:$D$1,0),1))*L344/16.67)),""))</f>
        <v>-38.079924876325833</v>
      </c>
    </row>
    <row r="345" spans="1:63">
      <c r="A345" s="13" t="s">
        <v>103</v>
      </c>
      <c r="B345" s="13" t="s">
        <v>104</v>
      </c>
      <c r="C345" s="13" t="s">
        <v>292</v>
      </c>
      <c r="D345" s="31">
        <v>45729</v>
      </c>
      <c r="E345" s="31">
        <v>45748</v>
      </c>
      <c r="F345" s="31">
        <v>45777</v>
      </c>
      <c r="G345" s="13">
        <v>3786832</v>
      </c>
      <c r="J345" s="13" t="s">
        <v>1051</v>
      </c>
      <c r="K345" s="13" t="s">
        <v>1057</v>
      </c>
      <c r="L345" s="13">
        <v>5</v>
      </c>
      <c r="M345" s="13">
        <v>0</v>
      </c>
      <c r="N345" s="13" t="s">
        <v>1058</v>
      </c>
      <c r="O345" s="13" t="s">
        <v>1054</v>
      </c>
      <c r="P345" s="13">
        <v>10020</v>
      </c>
      <c r="R345" s="13" t="s">
        <v>671</v>
      </c>
      <c r="S345" s="13" t="s">
        <v>437</v>
      </c>
      <c r="T345" s="13" t="s">
        <v>438</v>
      </c>
      <c r="U345" s="13" t="s">
        <v>182</v>
      </c>
      <c r="V345" s="13">
        <v>157</v>
      </c>
      <c r="W345" s="44">
        <f>IF($AX345="Cancelled","",IFERROR(((V345+INDEX(Variables!$B$6:$D$6,IFERROR(MATCH(IF($B345="Robusta","Robusta",(IF($B345="","Arabica",$B345))&amp;" - "&amp;(IF($C345="","Commercial",$C345))),Variables!$B$1:$D$1,0),1)))*22.0462)*(L345/16.67),""))</f>
        <v>2961.0942891421714</v>
      </c>
      <c r="X345" s="55" t="s">
        <v>39</v>
      </c>
      <c r="Y345" s="13" t="str">
        <f>IF($AX345="Cancelled","",IF(X345="","",IFERROR(IF(INDEX(Variables!$B$38:$B$47,MATCH(X345,Variables!$A$38:$A$47,0))="Yes","Yes","No"),"No")))</f>
        <v>No</v>
      </c>
      <c r="Z345" s="31"/>
      <c r="AB345" s="31">
        <v>45731.875</v>
      </c>
      <c r="AC345" s="13" t="str">
        <f t="shared" si="15"/>
        <v>Approved</v>
      </c>
      <c r="AF345" s="71">
        <f>AJ345-7</f>
        <v>45765</v>
      </c>
      <c r="AG345" s="36">
        <f>IF($AX345="Cancelled","",IFERROR(IF(F345="","",F345-Variables!$B$13),""))</f>
        <v>45762</v>
      </c>
      <c r="AH345" s="13">
        <f>IF($AX345="Cancelled","",IFERROR(IF(AB345="","",(AVERAGE(E345:F345)-AB345)-Variables!$B$14),""))</f>
        <v>0.625</v>
      </c>
      <c r="AJ345" s="47">
        <v>45772</v>
      </c>
      <c r="AK345" s="14">
        <f>IF($AX345="Cancelled","",IFERROR(IF(AJ345="","",IF(AND(AB345="",AF345=""),"",IF(AF345&gt;AB345,AF345+Variables!$B$15+Variables!$B$16+Variables!$B$17-AJ345,AB345+Variables!$B$16+Variables!$B$17-AJ345))),""))</f>
        <v>8</v>
      </c>
      <c r="AL345" s="48" t="s">
        <v>114</v>
      </c>
      <c r="AM345" s="13" t="s">
        <v>3243</v>
      </c>
      <c r="AN345" s="13" t="s">
        <v>195</v>
      </c>
      <c r="AP345" s="31">
        <v>45781</v>
      </c>
      <c r="AR345" s="13" t="s">
        <v>3260</v>
      </c>
      <c r="AS345" s="31">
        <v>45784</v>
      </c>
      <c r="AU345" s="31">
        <v>45793</v>
      </c>
      <c r="AV345" s="13" t="s">
        <v>3272</v>
      </c>
      <c r="AW345" s="31">
        <v>45797</v>
      </c>
      <c r="AX345" s="13" t="str">
        <f>IF(ISNUMBER(SEARCH("cancel",#REF!)),"Cancelled",IF(AND(AS345&lt;&gt;"",AU345&lt;&gt;"",AW345&lt;&gt;""),"Closed","Open"))</f>
        <v>Closed</v>
      </c>
      <c r="AY345" s="15" t="str">
        <f t="shared" si="16"/>
        <v>All dates received</v>
      </c>
      <c r="BD345" s="13">
        <f>IF($AX345="Cancelled","",IFERROR(IF(OR(AS345="",AJ345=""),"",(AJ345+Variables!$B$18-AS345)),""))</f>
        <v>3</v>
      </c>
      <c r="BE345" s="13">
        <f>IF($AX345="Cancelled","",IFERROR(IF(OR(AW345="",AS345=""),"",(AS345+Variables!$B$19)-AW345),""))</f>
        <v>-8</v>
      </c>
      <c r="BF345" s="44">
        <f>IF($AX345="Cancelled","",IFERROR(W345*INDEX(Variables!$B$7:$D$7,IFERROR(MATCH(IF($B345="Robusta","Robusta",(IF($B345="","Arabica",$B345))&amp;" - "&amp;(IF($C345="","Commercial",$C345))),Variables!$B$1:$D$1,0),1))*(BE345/365),""))</f>
        <v>-4.1849397078646211</v>
      </c>
      <c r="BG345" s="44">
        <f>IF($AX345="Cancelled","",IFERROR((W345*INDEX(Variables!$B$7:$D$7,IFERROR(MATCH(IF($B345="Robusta","Robusta",(IF($B345="","Arabica",$B345))&amp;" - "&amp;(IF($C345="","Commercial",$C345))),Variables!$B$1:$D$1,0),1))*IFERROR(IF(AB345="","",(AVERAGE(E345:F345)-AB345)-Variables!$B$14),"")/365)+(L345/16.67*INDEX(Variables!$B$8:$D$8,IFERROR(MATCH(IF($B345="Robusta","Robusta",(IF($B345="","Arabica",$B345))&amp;" - "&amp;(IF($C345="","Commercial",$C345))),Variables!$B$1:$D$1,0),1))*IFERROR(IF(AB345="","",(AVERAGE(E345:F345)-AB345)-Variables!$B$14),""))+(W345*INDEX(Variables!$B$9:$D$9,IFERROR(MATCH(IF($B345="Robusta","Robusta",(IF($B345="","Arabica",$B345))&amp;" - "&amp;(IF($C345="","Commercial",$C345))),Variables!$B$1:$D$1,0),1))*IFERROR(IF(AB345="","",(AVERAGE(E345:F345)-AB345)-Variables!$B$14),"")/365),""))</f>
        <v>0.48741341070871097</v>
      </c>
      <c r="BH345" s="44">
        <f>IF($AX345="Cancelled","",IFERROR((W345*INDEX(Variables!$B$7:$D$7,IFERROR(MATCH(IF($B345="Robusta","Robusta",(IF($B345="","Arabica",$B345))&amp;" - "&amp;(IF($C345="","Commercial",$C345))),Variables!$B$1:$D$1,0),1))*AK345/365)+(L345/16.67*INDEX(Variables!$B$8:$D$8,IFERROR(MATCH(IF($B345="Robusta","Robusta",(IF($B345="","Arabica",$B345))&amp;" - "&amp;(IF($C345="","Commercial",$C345))),Variables!$B$1:$D$1,0),1))*AK345)+(W345*INDEX(Variables!$B$9:$D$9,IFERROR(MATCH(IF($B345="Robusta","Robusta",(IF($B345="","Arabica",$B345))&amp;" - "&amp;(IF($C345="","Commercial",$C345))),Variables!$B$1:$D$1,0),1))*AK345/365),""))</f>
        <v>6.238891657071501</v>
      </c>
      <c r="BI345" s="44">
        <f>IF($AX345="Cancelled","",IFERROR((W345*INDEX(Variables!$B$7:$D$7,IFERROR(MATCH(IF($B345="Robusta","Robusta",(IF($B345="","Arabica",$B345))&amp;" - "&amp;(IF($C345="","Commercial",$C345))),Variables!$B$1:$D$1,0),1))*BD345/365)+(L345/16.67*INDEX(Variables!$B$8:$D$8,IFERROR(MATCH(IF($B345="Robusta","Robusta",(IF($B345="","Arabica",$B345))&amp;" - "&amp;(IF($C345="","Commercial",$C345))),Variables!$B$1:$D$1,0),1))*BD345)+(W345*INDEX(Variables!$B$9:$D$9,IFERROR(MATCH(IF($B345="Robusta","Robusta",(IF($B345="","Arabica",$B345))&amp;" - "&amp;(IF($C345="","Commercial",$C345))),Variables!$B$1:$D$1,0),1))*BD345/365),""))</f>
        <v>2.3395843714018132</v>
      </c>
      <c r="BJ345" s="44">
        <f t="shared" si="17"/>
        <v>-7</v>
      </c>
      <c r="BK345" s="44">
        <f>IF($AX345="Cancelled","",IFERROR(IF(BJ345="","",(W345*INDEX(Variables!$B$7:$D$7,IFERROR(MATCH(IF($B345="Robusta","Robusta",(IF($B345="","Arabica",$B345))&amp;" - "&amp;(IF($C345="","Commercial",$C345))),Variables!$B$1:$D$1,0),1))*(BJ345/365))+(W345*INDEX(Variables!$B$9:$D$9,IFERROR(MATCH(IF($B345="Robusta","Robusta",(IF($B345="","Arabica",$B345))&amp;" - "&amp;(IF($C345="","Commercial",$C345))),Variables!$B$1:$D$1,0),1))*(BJ345/365))+(INDEX(Variables!$B$8:$D$8,IFERROR(MATCH(IF($B345="Robusta","Robusta",(IF($B345="","Arabica",$B345))&amp;" - "&amp;(IF($C345="","Commercial",$C345))),Variables!$B$1:$D$1,0),1))*L345/16.67)),""))</f>
        <v>-3.4590301999375632</v>
      </c>
    </row>
    <row r="346" spans="1:63">
      <c r="A346" s="13" t="s">
        <v>103</v>
      </c>
      <c r="B346" s="13" t="s">
        <v>104</v>
      </c>
      <c r="C346" s="13" t="s">
        <v>292</v>
      </c>
      <c r="D346" s="31">
        <v>45729</v>
      </c>
      <c r="E346" s="31">
        <v>45748</v>
      </c>
      <c r="F346" s="31">
        <v>45777</v>
      </c>
      <c r="G346" s="13">
        <v>3786833</v>
      </c>
      <c r="J346" s="13" t="s">
        <v>1051</v>
      </c>
      <c r="K346" s="13" t="s">
        <v>1059</v>
      </c>
      <c r="L346" s="13">
        <v>5</v>
      </c>
      <c r="M346" s="13">
        <v>0</v>
      </c>
      <c r="N346" s="13" t="s">
        <v>1060</v>
      </c>
      <c r="O346" s="13" t="s">
        <v>1054</v>
      </c>
      <c r="P346" s="13">
        <v>10020</v>
      </c>
      <c r="R346" s="13" t="s">
        <v>671</v>
      </c>
      <c r="S346" s="13" t="s">
        <v>437</v>
      </c>
      <c r="T346" s="13" t="s">
        <v>438</v>
      </c>
      <c r="U346" s="13" t="s">
        <v>182</v>
      </c>
      <c r="V346" s="13">
        <v>135</v>
      </c>
      <c r="W346" s="44">
        <f>IF($AX346="Cancelled","",IFERROR(((V346+INDEX(Variables!$B$6:$D$6,IFERROR(MATCH(IF($B346="Robusta","Robusta",(IF($B346="","Arabica",$B346))&amp;" - "&amp;(IF($C346="","Commercial",$C346))),Variables!$B$1:$D$1,0),1)))*22.0462)*(L346/16.67),""))</f>
        <v>2815.6184643071383</v>
      </c>
      <c r="X346" s="55" t="s">
        <v>39</v>
      </c>
      <c r="Y346" s="13" t="str">
        <f>IF($AX346="Cancelled","",IF(X346="","",IFERROR(IF(INDEX(Variables!$B$38:$B$47,MATCH(X346,Variables!$A$38:$A$47,0))="Yes","Yes","No"),"No")))</f>
        <v>No</v>
      </c>
      <c r="Z346" s="31"/>
      <c r="AB346" s="31">
        <v>45731.875</v>
      </c>
      <c r="AC346" s="13" t="str">
        <f t="shared" si="15"/>
        <v>Approved</v>
      </c>
      <c r="AF346" s="71">
        <f>AJ346-7</f>
        <v>45765</v>
      </c>
      <c r="AG346" s="36">
        <f>IF($AX346="Cancelled","",IFERROR(IF(F346="","",F346-Variables!$B$13),""))</f>
        <v>45762</v>
      </c>
      <c r="AH346" s="13">
        <f>IF($AX346="Cancelled","",IFERROR(IF(AB346="","",(AVERAGE(E346:F346)-AB346)-Variables!$B$14),""))</f>
        <v>0.625</v>
      </c>
      <c r="AJ346" s="47">
        <v>45772</v>
      </c>
      <c r="AK346" s="14">
        <f>IF($AX346="Cancelled","",IFERROR(IF(AJ346="","",IF(AND(AB346="",AF346=""),"",IF(AF346&gt;AB346,AF346+Variables!$B$15+Variables!$B$16+Variables!$B$17-AJ346,AB346+Variables!$B$16+Variables!$B$17-AJ346))),""))</f>
        <v>8</v>
      </c>
      <c r="AL346" s="48" t="s">
        <v>114</v>
      </c>
      <c r="AM346" s="13" t="s">
        <v>3243</v>
      </c>
      <c r="AN346" s="13" t="s">
        <v>195</v>
      </c>
      <c r="AP346" s="31">
        <v>45781</v>
      </c>
      <c r="AR346" s="13" t="s">
        <v>3260</v>
      </c>
      <c r="AS346" s="31">
        <v>45784</v>
      </c>
      <c r="AU346" s="31">
        <v>45793</v>
      </c>
      <c r="AV346" s="13" t="s">
        <v>3272</v>
      </c>
      <c r="AW346" s="31">
        <v>45797</v>
      </c>
      <c r="AX346" s="13" t="str">
        <f>IF(ISNUMBER(SEARCH("cancel",#REF!)),"Cancelled",IF(AND(AS346&lt;&gt;"",AU346&lt;&gt;"",AW346&lt;&gt;""),"Closed","Open"))</f>
        <v>Closed</v>
      </c>
      <c r="AY346" s="15" t="str">
        <f t="shared" si="16"/>
        <v>All dates received</v>
      </c>
      <c r="BD346" s="13">
        <f>IF($AX346="Cancelled","",IFERROR(IF(OR(AS346="",AJ346=""),"",(AJ346+Variables!$B$18-AS346)),""))</f>
        <v>3</v>
      </c>
      <c r="BE346" s="13">
        <f>IF($AX346="Cancelled","",IFERROR(IF(OR(AW346="",AS346=""),"",(AS346+Variables!$B$19)-AW346),""))</f>
        <v>-8</v>
      </c>
      <c r="BF346" s="44">
        <f>IF($AX346="Cancelled","",IFERROR(W346*INDEX(Variables!$B$7:$D$7,IFERROR(MATCH(IF($B346="Robusta","Robusta",(IF($B346="","Arabica",$B346))&amp;" - "&amp;(IF($C346="","Commercial",$C346))),Variables!$B$1:$D$1,0),1))*(BE346/365),""))</f>
        <v>-3.9793374890771678</v>
      </c>
      <c r="BG346" s="44">
        <f>IF($AX346="Cancelled","",IFERROR((W346*INDEX(Variables!$B$7:$D$7,IFERROR(MATCH(IF($B346="Robusta","Robusta",(IF($B346="","Arabica",$B346))&amp;" - "&amp;(IF($C346="","Commercial",$C346))),Variables!$B$1:$D$1,0),1))*IFERROR(IF(AB346="","",(AVERAGE(E346:F346)-AB346)-Variables!$B$14),"")/365)+(L346/16.67*INDEX(Variables!$B$8:$D$8,IFERROR(MATCH(IF($B346="Robusta","Robusta",(IF($B346="","Arabica",$B346))&amp;" - "&amp;(IF($C346="","Commercial",$C346))),Variables!$B$1:$D$1,0),1))*IFERROR(IF(AB346="","",(AVERAGE(E346:F346)-AB346)-Variables!$B$14),""))+(W346*INDEX(Variables!$B$9:$D$9,IFERROR(MATCH(IF($B346="Robusta","Robusta",(IF($B346="","Arabica",$B346))&amp;" - "&amp;(IF($C346="","Commercial",$C346))),Variables!$B$1:$D$1,0),1))*IFERROR(IF(AB346="","",(AVERAGE(E346:F346)-AB346)-Variables!$B$14),"")/365),""))</f>
        <v>0.47114365850774714</v>
      </c>
      <c r="BH346" s="44">
        <f>IF($AX346="Cancelled","",IFERROR((W346*INDEX(Variables!$B$7:$D$7,IFERROR(MATCH(IF($B346="Robusta","Robusta",(IF($B346="","Arabica",$B346))&amp;" - "&amp;(IF($C346="","Commercial",$C346))),Variables!$B$1:$D$1,0),1))*AK346/365)+(L346/16.67*INDEX(Variables!$B$8:$D$8,IFERROR(MATCH(IF($B346="Robusta","Robusta",(IF($B346="","Arabica",$B346))&amp;" - "&amp;(IF($C346="","Commercial",$C346))),Variables!$B$1:$D$1,0),1))*AK346)+(W346*INDEX(Variables!$B$9:$D$9,IFERROR(MATCH(IF($B346="Robusta","Robusta",(IF($B346="","Arabica",$B346))&amp;" - "&amp;(IF($C346="","Commercial",$C346))),Variables!$B$1:$D$1,0),1))*AK346/365),""))</f>
        <v>6.0306388288991624</v>
      </c>
      <c r="BI346" s="44">
        <f>IF($AX346="Cancelled","",IFERROR((W346*INDEX(Variables!$B$7:$D$7,IFERROR(MATCH(IF($B346="Robusta","Robusta",(IF($B346="","Arabica",$B346))&amp;" - "&amp;(IF($C346="","Commercial",$C346))),Variables!$B$1:$D$1,0),1))*BD346/365)+(L346/16.67*INDEX(Variables!$B$8:$D$8,IFERROR(MATCH(IF($B346="Robusta","Robusta",(IF($B346="","Arabica",$B346))&amp;" - "&amp;(IF($C346="","Commercial",$C346))),Variables!$B$1:$D$1,0),1))*BD346)+(W346*INDEX(Variables!$B$9:$D$9,IFERROR(MATCH(IF($B346="Robusta","Robusta",(IF($B346="","Arabica",$B346))&amp;" - "&amp;(IF($C346="","Commercial",$C346))),Variables!$B$1:$D$1,0),1))*BD346/365),""))</f>
        <v>2.2614895608371861</v>
      </c>
      <c r="BJ346" s="44">
        <f t="shared" si="17"/>
        <v>-7</v>
      </c>
      <c r="BK346" s="44">
        <f>IF($AX346="Cancelled","",IFERROR(IF(BJ346="","",(W346*INDEX(Variables!$B$7:$D$7,IFERROR(MATCH(IF($B346="Robusta","Robusta",(IF($B346="","Arabica",$B346))&amp;" - "&amp;(IF($C346="","Commercial",$C346))),Variables!$B$1:$D$1,0),1))*(BJ346/365))+(W346*INDEX(Variables!$B$9:$D$9,IFERROR(MATCH(IF($B346="Robusta","Robusta",(IF($B346="","Arabica",$B346))&amp;" - "&amp;(IF($C346="","Commercial",$C346))),Variables!$B$1:$D$1,0),1))*(BJ346/365))+(INDEX(Variables!$B$8:$D$8,IFERROR(MATCH(IF($B346="Robusta","Robusta",(IF($B346="","Arabica",$B346))&amp;" - "&amp;(IF($C346="","Commercial",$C346))),Variables!$B$1:$D$1,0),1))*L346/16.67)),""))</f>
        <v>-3.2768089752867677</v>
      </c>
    </row>
    <row r="347" spans="1:63">
      <c r="A347" s="13" t="s">
        <v>103</v>
      </c>
      <c r="B347" s="13" t="s">
        <v>104</v>
      </c>
      <c r="C347" s="13" t="s">
        <v>292</v>
      </c>
      <c r="D347" s="31">
        <v>45729</v>
      </c>
      <c r="E347" s="31">
        <v>45748</v>
      </c>
      <c r="F347" s="31">
        <v>45777</v>
      </c>
      <c r="G347" s="13">
        <v>3786834</v>
      </c>
      <c r="J347" s="13" t="s">
        <v>1051</v>
      </c>
      <c r="K347" s="13" t="s">
        <v>1061</v>
      </c>
      <c r="L347" s="13">
        <v>10</v>
      </c>
      <c r="M347" s="13">
        <v>0</v>
      </c>
      <c r="N347" s="13" t="s">
        <v>1062</v>
      </c>
      <c r="O347" s="13" t="s">
        <v>1054</v>
      </c>
      <c r="P347" s="13">
        <v>10020</v>
      </c>
      <c r="R347" s="13" t="s">
        <v>671</v>
      </c>
      <c r="S347" s="13" t="s">
        <v>437</v>
      </c>
      <c r="T347" s="13" t="s">
        <v>438</v>
      </c>
      <c r="U347" s="13" t="s">
        <v>182</v>
      </c>
      <c r="V347" s="13">
        <v>90</v>
      </c>
      <c r="W347" s="44">
        <f>IF($AX347="Cancelled","",IFERROR(((V347+INDEX(Variables!$B$6:$D$6,IFERROR(MATCH(IF($B347="Robusta","Robusta",(IF($B347="","Arabica",$B347))&amp;" - "&amp;(IF($C347="","Commercial",$C347))),Variables!$B$1:$D$1,0),1)))*22.0462)*(L347/16.67),""))</f>
        <v>5036.1085542891415</v>
      </c>
      <c r="X347" s="55" t="s">
        <v>39</v>
      </c>
      <c r="Y347" s="13" t="str">
        <f>IF($AX347="Cancelled","",IF(X347="","",IFERROR(IF(INDEX(Variables!$B$38:$B$47,MATCH(X347,Variables!$A$38:$A$47,0))="Yes","Yes","No"),"No")))</f>
        <v>No</v>
      </c>
      <c r="Z347" s="31"/>
      <c r="AB347" s="31">
        <v>45731.875</v>
      </c>
      <c r="AC347" s="13" t="str">
        <f t="shared" si="15"/>
        <v>Approved</v>
      </c>
      <c r="AF347" s="71">
        <f>AJ347-7</f>
        <v>45765</v>
      </c>
      <c r="AG347" s="36">
        <f>IF($AX347="Cancelled","",IFERROR(IF(F347="","",F347-Variables!$B$13),""))</f>
        <v>45762</v>
      </c>
      <c r="AH347" s="13">
        <f>IF($AX347="Cancelled","",IFERROR(IF(AB347="","",(AVERAGE(E347:F347)-AB347)-Variables!$B$14),""))</f>
        <v>0.625</v>
      </c>
      <c r="AJ347" s="47">
        <v>45772</v>
      </c>
      <c r="AK347" s="14">
        <f>IF($AX347="Cancelled","",IFERROR(IF(AJ347="","",IF(AND(AB347="",AF347=""),"",IF(AF347&gt;AB347,AF347+Variables!$B$15+Variables!$B$16+Variables!$B$17-AJ347,AB347+Variables!$B$16+Variables!$B$17-AJ347))),""))</f>
        <v>8</v>
      </c>
      <c r="AL347" s="48" t="s">
        <v>114</v>
      </c>
      <c r="AM347" s="13" t="s">
        <v>3243</v>
      </c>
      <c r="AN347" s="13" t="s">
        <v>195</v>
      </c>
      <c r="AP347" s="31">
        <v>45781</v>
      </c>
      <c r="AR347" s="13" t="s">
        <v>3260</v>
      </c>
      <c r="AS347" s="31">
        <v>45784</v>
      </c>
      <c r="AU347" s="31">
        <v>45793</v>
      </c>
      <c r="AV347" s="13" t="s">
        <v>3272</v>
      </c>
      <c r="AW347" s="31">
        <v>45797</v>
      </c>
      <c r="AX347" s="13" t="str">
        <f>IF(ISNUMBER(SEARCH("cancel",#REF!)),"Cancelled",IF(AND(AS347&lt;&gt;"",AU347&lt;&gt;"",AW347&lt;&gt;""),"Closed","Open"))</f>
        <v>Closed</v>
      </c>
      <c r="AY347" s="15" t="str">
        <f t="shared" si="16"/>
        <v>All dates received</v>
      </c>
      <c r="BD347" s="13">
        <f>IF($AX347="Cancelled","",IFERROR(IF(OR(AS347="",AJ347=""),"",(AJ347+Variables!$B$18-AS347)),""))</f>
        <v>3</v>
      </c>
      <c r="BE347" s="13">
        <f>IF($AX347="Cancelled","",IFERROR(IF(OR(AW347="",AS347=""),"",(AS347+Variables!$B$19)-AW347),""))</f>
        <v>-8</v>
      </c>
      <c r="BF347" s="44">
        <f>IF($AX347="Cancelled","",IFERROR(W347*INDEX(Variables!$B$7:$D$7,IFERROR(MATCH(IF($B347="Robusta","Robusta",(IF($B347="","Arabica",$B347))&amp;" - "&amp;(IF($C347="","Commercial",$C347))),Variables!$B$1:$D$1,0),1))*(BE347/365),""))</f>
        <v>-7.117574992205661</v>
      </c>
      <c r="BG347" s="44">
        <f>IF($AX347="Cancelled","",IFERROR((W347*INDEX(Variables!$B$7:$D$7,IFERROR(MATCH(IF($B347="Robusta","Robusta",(IF($B347="","Arabica",$B347))&amp;" - "&amp;(IF($C347="","Commercial",$C347))),Variables!$B$1:$D$1,0),1))*IFERROR(IF(AB347="","",(AVERAGE(E347:F347)-AB347)-Variables!$B$14),"")/365)+(L347/16.67*INDEX(Variables!$B$8:$D$8,IFERROR(MATCH(IF($B347="Robusta","Robusta",(IF($B347="","Arabica",$B347))&amp;" - "&amp;(IF($C347="","Commercial",$C347))),Variables!$B$1:$D$1,0),1))*IFERROR(IF(AB347="","",(AVERAGE(E347:F347)-AB347)-Variables!$B$14),""))+(W347*INDEX(Variables!$B$9:$D$9,IFERROR(MATCH(IF($B347="Robusta","Robusta",(IF($B347="","Arabica",$B347))&amp;" - "&amp;(IF($C347="","Commercial",$C347))),Variables!$B$1:$D$1,0),1))*IFERROR(IF(AB347="","",(AVERAGE(E347:F347)-AB347)-Variables!$B$14),"")/365),""))</f>
        <v>0.87572923982973261</v>
      </c>
      <c r="BH347" s="44">
        <f>IF($AX347="Cancelled","",IFERROR((W347*INDEX(Variables!$B$7:$D$7,IFERROR(MATCH(IF($B347="Robusta","Robusta",(IF($B347="","Arabica",$B347))&amp;" - "&amp;(IF($C347="","Commercial",$C347))),Variables!$B$1:$D$1,0),1))*AK347/365)+(L347/16.67*INDEX(Variables!$B$8:$D$8,IFERROR(MATCH(IF($B347="Robusta","Robusta",(IF($B347="","Arabica",$B347))&amp;" - "&amp;(IF($C347="","Commercial",$C347))),Variables!$B$1:$D$1,0),1))*AK347)+(W347*INDEX(Variables!$B$9:$D$9,IFERROR(MATCH(IF($B347="Robusta","Robusta",(IF($B347="","Arabica",$B347))&amp;" - "&amp;(IF($C347="","Commercial",$C347))),Variables!$B$1:$D$1,0),1))*AK347/365),""))</f>
        <v>11.209334269820577</v>
      </c>
      <c r="BI347" s="44">
        <f>IF($AX347="Cancelled","",IFERROR((W347*INDEX(Variables!$B$7:$D$7,IFERROR(MATCH(IF($B347="Robusta","Robusta",(IF($B347="","Arabica",$B347))&amp;" - "&amp;(IF($C347="","Commercial",$C347))),Variables!$B$1:$D$1,0),1))*BD347/365)+(L347/16.67*INDEX(Variables!$B$8:$D$8,IFERROR(MATCH(IF($B347="Robusta","Robusta",(IF($B347="","Arabica",$B347))&amp;" - "&amp;(IF($C347="","Commercial",$C347))),Variables!$B$1:$D$1,0),1))*BD347)+(W347*INDEX(Variables!$B$9:$D$9,IFERROR(MATCH(IF($B347="Robusta","Robusta",(IF($B347="","Arabica",$B347))&amp;" - "&amp;(IF($C347="","Commercial",$C347))),Variables!$B$1:$D$1,0),1))*BD347/365),""))</f>
        <v>4.2035003511827167</v>
      </c>
      <c r="BJ347" s="44">
        <f t="shared" si="17"/>
        <v>-7</v>
      </c>
      <c r="BK347" s="44">
        <f>IF($AX347="Cancelled","",IFERROR(IF(BJ347="","",(W347*INDEX(Variables!$B$7:$D$7,IFERROR(MATCH(IF($B347="Robusta","Robusta",(IF($B347="","Arabica",$B347))&amp;" - "&amp;(IF($C347="","Commercial",$C347))),Variables!$B$1:$D$1,0),1))*(BJ347/365))+(W347*INDEX(Variables!$B$9:$D$9,IFERROR(MATCH(IF($B347="Robusta","Robusta",(IF($B347="","Arabica",$B347))&amp;" - "&amp;(IF($C347="","Commercial",$C347))),Variables!$B$1:$D$1,0),1))*(BJ347/365))+(INDEX(Variables!$B$8:$D$8,IFERROR(MATCH(IF($B347="Robusta","Robusta",(IF($B347="","Arabica",$B347))&amp;" - "&amp;(IF($C347="","Commercial",$C347))),Variables!$B$1:$D$1,0),1))*L347/16.67)),""))</f>
        <v>-5.8081674860930059</v>
      </c>
    </row>
    <row r="348" spans="1:63">
      <c r="A348" s="13" t="s">
        <v>103</v>
      </c>
      <c r="B348" s="13" t="s">
        <v>104</v>
      </c>
      <c r="C348" s="13" t="s">
        <v>292</v>
      </c>
      <c r="D348" s="31">
        <v>45729</v>
      </c>
      <c r="E348" s="31">
        <v>45748</v>
      </c>
      <c r="F348" s="31">
        <v>45777</v>
      </c>
      <c r="G348" s="13">
        <v>3786835</v>
      </c>
      <c r="J348" s="13" t="s">
        <v>1051</v>
      </c>
      <c r="K348" s="13" t="s">
        <v>1063</v>
      </c>
      <c r="L348" s="13">
        <v>30</v>
      </c>
      <c r="M348" s="13">
        <v>0</v>
      </c>
      <c r="N348" s="13" t="s">
        <v>1064</v>
      </c>
      <c r="O348" s="13" t="s">
        <v>771</v>
      </c>
      <c r="P348" s="13">
        <v>10010</v>
      </c>
      <c r="R348" s="13" t="s">
        <v>239</v>
      </c>
      <c r="S348" s="13" t="s">
        <v>437</v>
      </c>
      <c r="T348" s="13" t="s">
        <v>438</v>
      </c>
      <c r="U348" s="13" t="s">
        <v>182</v>
      </c>
      <c r="V348" s="13">
        <v>183</v>
      </c>
      <c r="W348" s="44">
        <f>IF($AX348="Cancelled","",IFERROR(((V348+INDEX(Variables!$B$6:$D$6,IFERROR(MATCH(IF($B348="Robusta","Robusta",(IF($B348="","Arabica",$B348))&amp;" - "&amp;(IF($C348="","Commercial",$C348))),Variables!$B$1:$D$1,0),1)))*22.0462)*(L348/16.67),""))</f>
        <v>18798.121583683263</v>
      </c>
      <c r="X348" s="55" t="s">
        <v>39</v>
      </c>
      <c r="Y348" s="13" t="str">
        <f>IF($AX348="Cancelled","",IF(X348="","",IFERROR(IF(INDEX(Variables!$B$38:$B$47,MATCH(X348,Variables!$A$38:$A$47,0))="Yes","Yes","No"),"No")))</f>
        <v>No</v>
      </c>
      <c r="Z348" s="31"/>
      <c r="AB348" s="31">
        <v>45731.875</v>
      </c>
      <c r="AC348" s="13" t="str">
        <f t="shared" si="15"/>
        <v>Approved</v>
      </c>
      <c r="AF348" s="71">
        <f>AJ348-7</f>
        <v>45765</v>
      </c>
      <c r="AG348" s="36">
        <f>IF($AX348="Cancelled","",IFERROR(IF(F348="","",F348-Variables!$B$13),""))</f>
        <v>45762</v>
      </c>
      <c r="AH348" s="13">
        <f>IF($AX348="Cancelled","",IFERROR(IF(AB348="","",(AVERAGE(E348:F348)-AB348)-Variables!$B$14),""))</f>
        <v>0.625</v>
      </c>
      <c r="AJ348" s="47">
        <v>45772</v>
      </c>
      <c r="AK348" s="14">
        <f>IF($AX348="Cancelled","",IFERROR(IF(AJ348="","",IF(AND(AB348="",AF348=""),"",IF(AF348&gt;AB348,AF348+Variables!$B$15+Variables!$B$16+Variables!$B$17-AJ348,AB348+Variables!$B$16+Variables!$B$17-AJ348))),""))</f>
        <v>8</v>
      </c>
      <c r="AL348" s="48" t="s">
        <v>114</v>
      </c>
      <c r="AM348" s="13" t="s">
        <v>3243</v>
      </c>
      <c r="AN348" s="13" t="s">
        <v>195</v>
      </c>
      <c r="AP348" s="31">
        <v>45781</v>
      </c>
      <c r="AR348" s="13" t="s">
        <v>3260</v>
      </c>
      <c r="AS348" s="31">
        <v>45784</v>
      </c>
      <c r="AU348" s="31">
        <v>45793</v>
      </c>
      <c r="AV348" s="13" t="s">
        <v>3272</v>
      </c>
      <c r="AW348" s="31">
        <v>45797</v>
      </c>
      <c r="AX348" s="13" t="str">
        <f>IF(ISNUMBER(SEARCH("cancel",#REF!)),"Cancelled",IF(AND(AS348&lt;&gt;"",AU348&lt;&gt;"",AW348&lt;&gt;""),"Closed","Open"))</f>
        <v>Closed</v>
      </c>
      <c r="AY348" s="15" t="str">
        <f t="shared" si="16"/>
        <v>All dates received</v>
      </c>
      <c r="BD348" s="13">
        <f>IF($AX348="Cancelled","",IFERROR(IF(OR(AS348="",AJ348=""),"",(AJ348+Variables!$B$18-AS348)),""))</f>
        <v>3</v>
      </c>
      <c r="BE348" s="13">
        <f>IF($AX348="Cancelled","",IFERROR(IF(OR(AW348="",AS348=""),"",(AS348+Variables!$B$19)-AW348),""))</f>
        <v>-8</v>
      </c>
      <c r="BF348" s="44">
        <f>IF($AX348="Cancelled","",IFERROR(W348*INDEX(Variables!$B$7:$D$7,IFERROR(MATCH(IF($B348="Robusta","Robusta",(IF($B348="","Arabica",$B348))&amp;" - "&amp;(IF($C348="","Commercial",$C348))),Variables!$B$1:$D$1,0),1))*(BE348/365),""))</f>
        <v>-26.567544889498762</v>
      </c>
      <c r="BG348" s="44">
        <f>IF($AX348="Cancelled","",IFERROR((W348*INDEX(Variables!$B$7:$D$7,IFERROR(MATCH(IF($B348="Robusta","Robusta",(IF($B348="","Arabica",$B348))&amp;" - "&amp;(IF($C348="","Commercial",$C348))),Variables!$B$1:$D$1,0),1))*IFERROR(IF(AB348="","",(AVERAGE(E348:F348)-AB348)-Variables!$B$14),"")/365)+(L348/16.67*INDEX(Variables!$B$8:$D$8,IFERROR(MATCH(IF($B348="Robusta","Robusta",(IF($B348="","Arabica",$B348))&amp;" - "&amp;(IF($C348="","Commercial",$C348))),Variables!$B$1:$D$1,0),1))*IFERROR(IF(AB348="","",(AVERAGE(E348:F348)-AB348)-Variables!$B$14),""))+(W348*INDEX(Variables!$B$9:$D$9,IFERROR(MATCH(IF($B348="Robusta","Robusta",(IF($B348="","Arabica",$B348))&amp;" - "&amp;(IF($C348="","Commercial",$C348))),Variables!$B$1:$D$1,0),1))*IFERROR(IF(AB348="","",(AVERAGE(E348:F348)-AB348)-Variables!$B$14),"")/365),""))</f>
        <v>3.0398477980409191</v>
      </c>
      <c r="BH348" s="44">
        <f>IF($AX348="Cancelled","",IFERROR((W348*INDEX(Variables!$B$7:$D$7,IFERROR(MATCH(IF($B348="Robusta","Robusta",(IF($B348="","Arabica",$B348))&amp;" - "&amp;(IF($C348="","Commercial",$C348))),Variables!$B$1:$D$1,0),1))*AK348/365)+(L348/16.67*INDEX(Variables!$B$8:$D$8,IFERROR(MATCH(IF($B348="Robusta","Robusta",(IF($B348="","Arabica",$B348))&amp;" - "&amp;(IF($C348="","Commercial",$C348))),Variables!$B$1:$D$1,0),1))*AK348)+(W348*INDEX(Variables!$B$9:$D$9,IFERROR(MATCH(IF($B348="Robusta","Robusta",(IF($B348="","Arabica",$B348))&amp;" - "&amp;(IF($C348="","Commercial",$C348))),Variables!$B$1:$D$1,0),1))*AK348/365),""))</f>
        <v>38.910051814923769</v>
      </c>
      <c r="BI348" s="44">
        <f>IF($AX348="Cancelled","",IFERROR((W348*INDEX(Variables!$B$7:$D$7,IFERROR(MATCH(IF($B348="Robusta","Robusta",(IF($B348="","Arabica",$B348))&amp;" - "&amp;(IF($C348="","Commercial",$C348))),Variables!$B$1:$D$1,0),1))*BD348/365)+(L348/16.67*INDEX(Variables!$B$8:$D$8,IFERROR(MATCH(IF($B348="Robusta","Robusta",(IF($B348="","Arabica",$B348))&amp;" - "&amp;(IF($C348="","Commercial",$C348))),Variables!$B$1:$D$1,0),1))*BD348)+(W348*INDEX(Variables!$B$9:$D$9,IFERROR(MATCH(IF($B348="Robusta","Robusta",(IF($B348="","Arabica",$B348))&amp;" - "&amp;(IF($C348="","Commercial",$C348))),Variables!$B$1:$D$1,0),1))*BD348/365),""))</f>
        <v>14.591269430596412</v>
      </c>
      <c r="BJ348" s="44">
        <f t="shared" si="17"/>
        <v>-7</v>
      </c>
      <c r="BK348" s="44">
        <f>IF($AX348="Cancelled","",IFERROR(IF(BJ348="","",(W348*INDEX(Variables!$B$7:$D$7,IFERROR(MATCH(IF($B348="Robusta","Robusta",(IF($B348="","Arabica",$B348))&amp;" - "&amp;(IF($C348="","Commercial",$C348))),Variables!$B$1:$D$1,0),1))*(BJ348/365))+(W348*INDEX(Variables!$B$9:$D$9,IFERROR(MATCH(IF($B348="Robusta","Robusta",(IF($B348="","Arabica",$B348))&amp;" - "&amp;(IF($C348="","Commercial",$C348))),Variables!$B$1:$D$1,0),1))*(BJ348/365))+(INDEX(Variables!$B$8:$D$8,IFERROR(MATCH(IF($B348="Robusta","Robusta",(IF($B348="","Arabica",$B348))&amp;" - "&amp;(IF($C348="","Commercial",$C348))),Variables!$B$1:$D$1,0),1))*L348/16.67)),""))</f>
        <v>-22.0462953380583</v>
      </c>
    </row>
    <row r="349" spans="1:63">
      <c r="A349" s="13" t="s">
        <v>103</v>
      </c>
      <c r="B349" s="13" t="s">
        <v>104</v>
      </c>
      <c r="C349" s="13" t="s">
        <v>292</v>
      </c>
      <c r="D349" s="31">
        <v>45729</v>
      </c>
      <c r="E349" s="31">
        <v>45748</v>
      </c>
      <c r="F349" s="31">
        <v>45777</v>
      </c>
      <c r="G349" s="13">
        <v>3786836</v>
      </c>
      <c r="J349" s="13" t="s">
        <v>1051</v>
      </c>
      <c r="K349" s="13" t="s">
        <v>1065</v>
      </c>
      <c r="L349" s="13">
        <v>1</v>
      </c>
      <c r="M349" s="13">
        <v>0</v>
      </c>
      <c r="N349" s="13" t="s">
        <v>1066</v>
      </c>
      <c r="O349" s="13" t="s">
        <v>1054</v>
      </c>
      <c r="P349" s="13">
        <v>10020</v>
      </c>
      <c r="R349" s="13" t="s">
        <v>671</v>
      </c>
      <c r="S349" s="13" t="s">
        <v>437</v>
      </c>
      <c r="T349" s="13" t="s">
        <v>438</v>
      </c>
      <c r="U349" s="13" t="s">
        <v>182</v>
      </c>
      <c r="V349" s="13">
        <v>28</v>
      </c>
      <c r="W349" s="44">
        <f>IF($AX349="Cancelled","",IFERROR(((V349+INDEX(Variables!$B$6:$D$6,IFERROR(MATCH(IF($B349="Robusta","Robusta",(IF($B349="","Arabica",$B349))&amp;" - "&amp;(IF($C349="","Commercial",$C349))),Variables!$B$1:$D$1,0),1)))*22.0462)*(L349/16.67),""))</f>
        <v>421.61539052189556</v>
      </c>
      <c r="X349" s="55" t="s">
        <v>39</v>
      </c>
      <c r="Y349" s="13" t="str">
        <f>IF($AX349="Cancelled","",IF(X349="","",IFERROR(IF(INDEX(Variables!$B$38:$B$47,MATCH(X349,Variables!$A$38:$A$47,0))="Yes","Yes","No"),"No")))</f>
        <v>No</v>
      </c>
      <c r="Z349" s="31"/>
      <c r="AB349" s="31">
        <v>45731.875</v>
      </c>
      <c r="AC349" s="13" t="str">
        <f t="shared" si="15"/>
        <v>Approved</v>
      </c>
      <c r="AF349" s="71">
        <f>AJ349-7</f>
        <v>45765</v>
      </c>
      <c r="AG349" s="36">
        <f>IF($AX349="Cancelled","",IFERROR(IF(F349="","",F349-Variables!$B$13),""))</f>
        <v>45762</v>
      </c>
      <c r="AH349" s="13">
        <f>IF($AX349="Cancelled","",IFERROR(IF(AB349="","",(AVERAGE(E349:F349)-AB349)-Variables!$B$14),""))</f>
        <v>0.625</v>
      </c>
      <c r="AJ349" s="47">
        <v>45772</v>
      </c>
      <c r="AK349" s="14">
        <f>IF($AX349="Cancelled","",IFERROR(IF(AJ349="","",IF(AND(AB349="",AF349=""),"",IF(AF349&gt;AB349,AF349+Variables!$B$15+Variables!$B$16+Variables!$B$17-AJ349,AB349+Variables!$B$16+Variables!$B$17-AJ349))),""))</f>
        <v>8</v>
      </c>
      <c r="AL349" s="48" t="s">
        <v>114</v>
      </c>
      <c r="AM349" s="13" t="s">
        <v>3243</v>
      </c>
      <c r="AN349" s="13" t="s">
        <v>195</v>
      </c>
      <c r="AP349" s="31">
        <v>45781</v>
      </c>
      <c r="AR349" s="13" t="s">
        <v>3260</v>
      </c>
      <c r="AS349" s="31">
        <v>45784</v>
      </c>
      <c r="AU349" s="31">
        <v>45793</v>
      </c>
      <c r="AV349" s="13" t="s">
        <v>3272</v>
      </c>
      <c r="AW349" s="31">
        <v>45797</v>
      </c>
      <c r="AX349" s="13" t="str">
        <f>IF(ISNUMBER(SEARCH("cancel",#REF!)),"Cancelled",IF(AND(AS349&lt;&gt;"",AU349&lt;&gt;"",AW349&lt;&gt;""),"Closed","Open"))</f>
        <v>Closed</v>
      </c>
      <c r="AY349" s="15" t="str">
        <f t="shared" si="16"/>
        <v>All dates received</v>
      </c>
      <c r="BD349" s="13">
        <f>IF($AX349="Cancelled","",IFERROR(IF(OR(AS349="",AJ349=""),"",(AJ349+Variables!$B$18-AS349)),""))</f>
        <v>3</v>
      </c>
      <c r="BE349" s="13">
        <f>IF($AX349="Cancelled","",IFERROR(IF(OR(AW349="",AS349=""),"",(AS349+Variables!$B$19)-AW349),""))</f>
        <v>-8</v>
      </c>
      <c r="BF349" s="44">
        <f>IF($AX349="Cancelled","",IFERROR(W349*INDEX(Variables!$B$7:$D$7,IFERROR(MATCH(IF($B349="Robusta","Robusta",(IF($B349="","Arabica",$B349))&amp;" - "&amp;(IF($C349="","Commercial",$C349))),Variables!$B$1:$D$1,0),1))*(BE349/365),""))</f>
        <v>-0.59587261226763777</v>
      </c>
      <c r="BG349" s="44">
        <f>IF($AX349="Cancelled","",IFERROR((W349*INDEX(Variables!$B$7:$D$7,IFERROR(MATCH(IF($B349="Robusta","Robusta",(IF($B349="","Arabica",$B349))&amp;" - "&amp;(IF($C349="","Commercial",$C349))),Variables!$B$1:$D$1,0),1))*IFERROR(IF(AB349="","",(AVERAGE(E349:F349)-AB349)-Variables!$B$14),"")/365)+(L349/16.67*INDEX(Variables!$B$8:$D$8,IFERROR(MATCH(IF($B349="Robusta","Robusta",(IF($B349="","Arabica",$B349))&amp;" - "&amp;(IF($C349="","Commercial",$C349))),Variables!$B$1:$D$1,0),1))*IFERROR(IF(AB349="","",(AVERAGE(E349:F349)-AB349)-Variables!$B$14),""))+(W349*INDEX(Variables!$B$9:$D$9,IFERROR(MATCH(IF($B349="Robusta","Robusta",(IF($B349="","Arabica",$B349))&amp;" - "&amp;(IF($C349="","Commercial",$C349))),Variables!$B$1:$D$1,0),1))*IFERROR(IF(AB349="","",(AVERAGE(E349:F349)-AB349)-Variables!$B$14),"")/365),""))</f>
        <v>7.8402700015157242E-2</v>
      </c>
      <c r="BH349" s="44">
        <f>IF($AX349="Cancelled","",IFERROR((W349*INDEX(Variables!$B$7:$D$7,IFERROR(MATCH(IF($B349="Robusta","Robusta",(IF($B349="","Arabica",$B349))&amp;" - "&amp;(IF($C349="","Commercial",$C349))),Variables!$B$1:$D$1,0),1))*AK349/365)+(L349/16.67*INDEX(Variables!$B$8:$D$8,IFERROR(MATCH(IF($B349="Robusta","Robusta",(IF($B349="","Arabica",$B349))&amp;" - "&amp;(IF($C349="","Commercial",$C349))),Variables!$B$1:$D$1,0),1))*AK349)+(W349*INDEX(Variables!$B$9:$D$9,IFERROR(MATCH(IF($B349="Robusta","Robusta",(IF($B349="","Arabica",$B349))&amp;" - "&amp;(IF($C349="","Commercial",$C349))),Variables!$B$1:$D$1,0),1))*AK349/365),""))</f>
        <v>1.0035545601940126</v>
      </c>
      <c r="BI349" s="44">
        <f>IF($AX349="Cancelled","",IFERROR((W349*INDEX(Variables!$B$7:$D$7,IFERROR(MATCH(IF($B349="Robusta","Robusta",(IF($B349="","Arabica",$B349))&amp;" - "&amp;(IF($C349="","Commercial",$C349))),Variables!$B$1:$D$1,0),1))*BD349/365)+(L349/16.67*INDEX(Variables!$B$8:$D$8,IFERROR(MATCH(IF($B349="Robusta","Robusta",(IF($B349="","Arabica",$B349))&amp;" - "&amp;(IF($C349="","Commercial",$C349))),Variables!$B$1:$D$1,0),1))*BD349)+(W349*INDEX(Variables!$B$9:$D$9,IFERROR(MATCH(IF($B349="Robusta","Robusta",(IF($B349="","Arabica",$B349))&amp;" - "&amp;(IF($C349="","Commercial",$C349))),Variables!$B$1:$D$1,0),1))*BD349/365),""))</f>
        <v>0.37633296007275474</v>
      </c>
      <c r="BJ349" s="44">
        <f t="shared" si="17"/>
        <v>-7</v>
      </c>
      <c r="BK349" s="44">
        <f>IF($AX349="Cancelled","",IFERROR(IF(BJ349="","",(W349*INDEX(Variables!$B$7:$D$7,IFERROR(MATCH(IF($B349="Robusta","Robusta",(IF($B349="","Arabica",$B349))&amp;" - "&amp;(IF($C349="","Commercial",$C349))),Variables!$B$1:$D$1,0),1))*(BJ349/365))+(W349*INDEX(Variables!$B$9:$D$9,IFERROR(MATCH(IF($B349="Robusta","Robusta",(IF($B349="","Arabica",$B349))&amp;" - "&amp;(IF($C349="","Commercial",$C349))),Variables!$B$1:$D$1,0),1))*(BJ349/365))+(INDEX(Variables!$B$8:$D$8,IFERROR(MATCH(IF($B349="Robusta","Robusta",(IF($B349="","Arabica",$B349))&amp;" - "&amp;(IF($C349="","Commercial",$C349))),Variables!$B$1:$D$1,0),1))*L349/16.67)),""))</f>
        <v>-0.47811024016976106</v>
      </c>
    </row>
    <row r="350" spans="1:63">
      <c r="A350" s="13" t="s">
        <v>103</v>
      </c>
      <c r="B350" s="13" t="s">
        <v>104</v>
      </c>
      <c r="C350" s="13" t="s">
        <v>292</v>
      </c>
      <c r="D350" s="31">
        <v>45729</v>
      </c>
      <c r="E350" s="31">
        <v>45748</v>
      </c>
      <c r="F350" s="31">
        <v>45777</v>
      </c>
      <c r="G350" s="13">
        <v>3786837</v>
      </c>
      <c r="J350" s="13" t="s">
        <v>1051</v>
      </c>
      <c r="K350" s="13" t="s">
        <v>1067</v>
      </c>
      <c r="L350" s="13">
        <v>1</v>
      </c>
      <c r="M350" s="13">
        <v>0</v>
      </c>
      <c r="N350" s="13" t="s">
        <v>1068</v>
      </c>
      <c r="O350" s="13" t="s">
        <v>1054</v>
      </c>
      <c r="P350" s="13">
        <v>10020</v>
      </c>
      <c r="R350" s="13" t="s">
        <v>671</v>
      </c>
      <c r="S350" s="13" t="s">
        <v>437</v>
      </c>
      <c r="T350" s="13" t="s">
        <v>438</v>
      </c>
      <c r="U350" s="13" t="s">
        <v>182</v>
      </c>
      <c r="V350" s="13">
        <v>117</v>
      </c>
      <c r="W350" s="44">
        <f>IF($AX350="Cancelled","",IFERROR(((V350+INDEX(Variables!$B$6:$D$6,IFERROR(MATCH(IF($B350="Robusta","Robusta",(IF($B350="","Arabica",$B350))&amp;" - "&amp;(IF($C350="","Commercial",$C350))),Variables!$B$1:$D$1,0),1)))*22.0462)*(L350/16.67),""))</f>
        <v>539.31855788842233</v>
      </c>
      <c r="X350" s="55" t="s">
        <v>39</v>
      </c>
      <c r="Y350" s="13" t="str">
        <f>IF($AX350="Cancelled","",IF(X350="","",IFERROR(IF(INDEX(Variables!$B$38:$B$47,MATCH(X350,Variables!$A$38:$A$47,0))="Yes","Yes","No"),"No")))</f>
        <v>No</v>
      </c>
      <c r="Z350" s="31"/>
      <c r="AB350" s="31">
        <v>45731.875</v>
      </c>
      <c r="AC350" s="13" t="str">
        <f t="shared" si="15"/>
        <v>Approved</v>
      </c>
      <c r="AF350" s="71">
        <f>AJ350-7</f>
        <v>45765</v>
      </c>
      <c r="AG350" s="36">
        <f>IF($AX350="Cancelled","",IFERROR(IF(F350="","",F350-Variables!$B$13),""))</f>
        <v>45762</v>
      </c>
      <c r="AH350" s="13">
        <f>IF($AX350="Cancelled","",IFERROR(IF(AB350="","",(AVERAGE(E350:F350)-AB350)-Variables!$B$14),""))</f>
        <v>0.625</v>
      </c>
      <c r="AJ350" s="47">
        <v>45772</v>
      </c>
      <c r="AK350" s="14">
        <f>IF($AX350="Cancelled","",IFERROR(IF(AJ350="","",IF(AND(AB350="",AF350=""),"",IF(AF350&gt;AB350,AF350+Variables!$B$15+Variables!$B$16+Variables!$B$17-AJ350,AB350+Variables!$B$16+Variables!$B$17-AJ350))),""))</f>
        <v>8</v>
      </c>
      <c r="AL350" s="48" t="s">
        <v>114</v>
      </c>
      <c r="AM350" s="13" t="s">
        <v>3243</v>
      </c>
      <c r="AN350" s="13" t="s">
        <v>195</v>
      </c>
      <c r="AP350" s="31">
        <v>45781</v>
      </c>
      <c r="AR350" s="13" t="s">
        <v>3260</v>
      </c>
      <c r="AS350" s="31">
        <v>45784</v>
      </c>
      <c r="AU350" s="31">
        <v>45793</v>
      </c>
      <c r="AV350" s="13" t="s">
        <v>3272</v>
      </c>
      <c r="AW350" s="31">
        <v>45797</v>
      </c>
      <c r="AX350" s="13" t="str">
        <f>IF(ISNUMBER(SEARCH("cancel",#REF!)),"Cancelled",IF(AND(AS350&lt;&gt;"",AU350&lt;&gt;"",AW350&lt;&gt;""),"Closed","Open"))</f>
        <v>Closed</v>
      </c>
      <c r="AY350" s="15" t="str">
        <f t="shared" si="16"/>
        <v>All dates received</v>
      </c>
      <c r="BD350" s="13">
        <f>IF($AX350="Cancelled","",IFERROR(IF(OR(AS350="",AJ350=""),"",(AJ350+Variables!$B$18-AS350)),""))</f>
        <v>3</v>
      </c>
      <c r="BE350" s="13">
        <f>IF($AX350="Cancelled","",IFERROR(IF(OR(AW350="",AS350=""),"",(AS350+Variables!$B$19)-AW350),""))</f>
        <v>-8</v>
      </c>
      <c r="BF350" s="44">
        <f>IF($AX350="Cancelled","",IFERROR(W350*INDEX(Variables!$B$7:$D$7,IFERROR(MATCH(IF($B350="Robusta","Robusta",(IF($B350="","Arabica",$B350))&amp;" - "&amp;(IF($C350="","Commercial",$C350))),Variables!$B$1:$D$1,0),1))*(BE350/365),""))</f>
        <v>-0.7622234983774866</v>
      </c>
      <c r="BG350" s="44">
        <f>IF($AX350="Cancelled","",IFERROR((W350*INDEX(Variables!$B$7:$D$7,IFERROR(MATCH(IF($B350="Robusta","Robusta",(IF($B350="","Arabica",$B350))&amp;" - "&amp;(IF($C350="","Commercial",$C350))),Variables!$B$1:$D$1,0),1))*IFERROR(IF(AB350="","",(AVERAGE(E350:F350)-AB350)-Variables!$B$14),"")/365)+(L350/16.67*INDEX(Variables!$B$8:$D$8,IFERROR(MATCH(IF($B350="Robusta","Robusta",(IF($B350="","Arabica",$B350))&amp;" - "&amp;(IF($C350="","Commercial",$C350))),Variables!$B$1:$D$1,0),1))*IFERROR(IF(AB350="","",(AVERAGE(E350:F350)-AB350)-Variables!$B$14),""))+(W350*INDEX(Variables!$B$9:$D$9,IFERROR(MATCH(IF($B350="Robusta","Robusta",(IF($B350="","Arabica",$B350))&amp;" - "&amp;(IF($C350="","Commercial",$C350))),Variables!$B$1:$D$1,0),1))*IFERROR(IF(AB350="","",(AVERAGE(E350:F350)-AB350)-Variables!$B$14),"")/365),""))</f>
        <v>9.1566408614118966E-2</v>
      </c>
      <c r="BH350" s="44">
        <f>IF($AX350="Cancelled","",IFERROR((W350*INDEX(Variables!$B$7:$D$7,IFERROR(MATCH(IF($B350="Robusta","Robusta",(IF($B350="","Arabica",$B350))&amp;" - "&amp;(IF($C350="","Commercial",$C350))),Variables!$B$1:$D$1,0),1))*AK350/365)+(L350/16.67*INDEX(Variables!$B$8:$D$8,IFERROR(MATCH(IF($B350="Robusta","Robusta",(IF($B350="","Arabica",$B350))&amp;" - "&amp;(IF($C350="","Commercial",$C350))),Variables!$B$1:$D$1,0),1))*AK350)+(W350*INDEX(Variables!$B$9:$D$9,IFERROR(MATCH(IF($B350="Robusta","Robusta",(IF($B350="","Arabica",$B350))&amp;" - "&amp;(IF($C350="","Commercial",$C350))),Variables!$B$1:$D$1,0),1))*AK350/365),""))</f>
        <v>1.1720500302607226</v>
      </c>
      <c r="BI350" s="44">
        <f>IF($AX350="Cancelled","",IFERROR((W350*INDEX(Variables!$B$7:$D$7,IFERROR(MATCH(IF($B350="Robusta","Robusta",(IF($B350="","Arabica",$B350))&amp;" - "&amp;(IF($C350="","Commercial",$C350))),Variables!$B$1:$D$1,0),1))*BD350/365)+(L350/16.67*INDEX(Variables!$B$8:$D$8,IFERROR(MATCH(IF($B350="Robusta","Robusta",(IF($B350="","Arabica",$B350))&amp;" - "&amp;(IF($C350="","Commercial",$C350))),Variables!$B$1:$D$1,0),1))*BD350)+(W350*INDEX(Variables!$B$9:$D$9,IFERROR(MATCH(IF($B350="Robusta","Robusta",(IF($B350="","Arabica",$B350))&amp;" - "&amp;(IF($C350="","Commercial",$C350))),Variables!$B$1:$D$1,0),1))*BD350/365),""))</f>
        <v>0.43951876134777101</v>
      </c>
      <c r="BJ350" s="44">
        <f t="shared" si="17"/>
        <v>-7</v>
      </c>
      <c r="BK350" s="44">
        <f>IF($AX350="Cancelled","",IFERROR(IF(BJ350="","",(W350*INDEX(Variables!$B$7:$D$7,IFERROR(MATCH(IF($B350="Robusta","Robusta",(IF($B350="","Arabica",$B350))&amp;" - "&amp;(IF($C350="","Commercial",$C350))),Variables!$B$1:$D$1,0),1))*(BJ350/365))+(W350*INDEX(Variables!$B$9:$D$9,IFERROR(MATCH(IF($B350="Robusta","Robusta",(IF($B350="","Arabica",$B350))&amp;" - "&amp;(IF($C350="","Commercial",$C350))),Variables!$B$1:$D$1,0),1))*(BJ350/365))+(INDEX(Variables!$B$8:$D$8,IFERROR(MATCH(IF($B350="Robusta","Robusta",(IF($B350="","Arabica",$B350))&amp;" - "&amp;(IF($C350="","Commercial",$C350))),Variables!$B$1:$D$1,0),1))*L350/16.67)),""))</f>
        <v>-0.62554377647813231</v>
      </c>
    </row>
    <row r="351" spans="1:63">
      <c r="A351" s="13" t="s">
        <v>103</v>
      </c>
      <c r="B351" s="13" t="s">
        <v>104</v>
      </c>
      <c r="C351" s="13" t="s">
        <v>292</v>
      </c>
      <c r="D351" s="31">
        <v>45729</v>
      </c>
      <c r="E351" s="31">
        <v>45748</v>
      </c>
      <c r="F351" s="31">
        <v>45777</v>
      </c>
      <c r="G351" s="13">
        <v>3786838</v>
      </c>
      <c r="J351" s="13" t="s">
        <v>1051</v>
      </c>
      <c r="K351" s="13" t="s">
        <v>1069</v>
      </c>
      <c r="L351" s="13">
        <v>3</v>
      </c>
      <c r="M351" s="13">
        <v>0</v>
      </c>
      <c r="N351" s="13" t="s">
        <v>1070</v>
      </c>
      <c r="O351" s="13" t="s">
        <v>1054</v>
      </c>
      <c r="P351" s="13">
        <v>10020</v>
      </c>
      <c r="R351" s="13" t="s">
        <v>671</v>
      </c>
      <c r="S351" s="13" t="s">
        <v>437</v>
      </c>
      <c r="T351" s="13" t="s">
        <v>438</v>
      </c>
      <c r="U351" s="13" t="s">
        <v>182</v>
      </c>
      <c r="V351" s="13">
        <v>108</v>
      </c>
      <c r="W351" s="44">
        <f>IF($AX351="Cancelled","",IFERROR(((V351+INDEX(Variables!$B$6:$D$6,IFERROR(MATCH(IF($B351="Robusta","Robusta",(IF($B351="","Arabica",$B351))&amp;" - "&amp;(IF($C351="","Commercial",$C351))),Variables!$B$1:$D$1,0),1)))*22.0462)*(L351/16.67),""))</f>
        <v>1582.2479712057586</v>
      </c>
      <c r="X351" s="55" t="s">
        <v>39</v>
      </c>
      <c r="Y351" s="13" t="str">
        <f>IF($AX351="Cancelled","",IF(X351="","",IFERROR(IF(INDEX(Variables!$B$38:$B$47,MATCH(X351,Variables!$A$38:$A$47,0))="Yes","Yes","No"),"No")))</f>
        <v>No</v>
      </c>
      <c r="Z351" s="31"/>
      <c r="AB351" s="31">
        <v>45731.875</v>
      </c>
      <c r="AC351" s="13" t="str">
        <f t="shared" si="15"/>
        <v>Approved</v>
      </c>
      <c r="AF351" s="71">
        <f>AJ351-7</f>
        <v>45765</v>
      </c>
      <c r="AG351" s="36">
        <f>IF($AX351="Cancelled","",IFERROR(IF(F351="","",F351-Variables!$B$13),""))</f>
        <v>45762</v>
      </c>
      <c r="AH351" s="13">
        <f>IF($AX351="Cancelled","",IFERROR(IF(AB351="","",(AVERAGE(E351:F351)-AB351)-Variables!$B$14),""))</f>
        <v>0.625</v>
      </c>
      <c r="AJ351" s="47">
        <v>45772</v>
      </c>
      <c r="AK351" s="14">
        <f>IF($AX351="Cancelled","",IFERROR(IF(AJ351="","",IF(AND(AB351="",AF351=""),"",IF(AF351&gt;AB351,AF351+Variables!$B$15+Variables!$B$16+Variables!$B$17-AJ351,AB351+Variables!$B$16+Variables!$B$17-AJ351))),""))</f>
        <v>8</v>
      </c>
      <c r="AL351" s="48" t="s">
        <v>114</v>
      </c>
      <c r="AM351" s="13" t="s">
        <v>3243</v>
      </c>
      <c r="AN351" s="13" t="s">
        <v>195</v>
      </c>
      <c r="AP351" s="31">
        <v>45781</v>
      </c>
      <c r="AR351" s="13" t="s">
        <v>3260</v>
      </c>
      <c r="AS351" s="31">
        <v>45784</v>
      </c>
      <c r="AU351" s="31">
        <v>45793</v>
      </c>
      <c r="AV351" s="13" t="s">
        <v>3272</v>
      </c>
      <c r="AW351" s="31">
        <v>45797</v>
      </c>
      <c r="AX351" s="13" t="str">
        <f>IF(ISNUMBER(SEARCH("cancel",#REF!)),"Cancelled",IF(AND(AS351&lt;&gt;"",AU351&lt;&gt;"",AW351&lt;&gt;""),"Closed","Open"))</f>
        <v>Closed</v>
      </c>
      <c r="AY351" s="15" t="str">
        <f t="shared" si="16"/>
        <v>All dates received</v>
      </c>
      <c r="BD351" s="13">
        <f>IF($AX351="Cancelled","",IFERROR(IF(OR(AS351="",AJ351=""),"",(AJ351+Variables!$B$18-AS351)),""))</f>
        <v>3</v>
      </c>
      <c r="BE351" s="13">
        <f>IF($AX351="Cancelled","",IFERROR(IF(OR(AW351="",AS351=""),"",(AS351+Variables!$B$19)-AW351),""))</f>
        <v>-8</v>
      </c>
      <c r="BF351" s="44">
        <f>IF($AX351="Cancelled","",IFERROR(W351*INDEX(Variables!$B$7:$D$7,IFERROR(MATCH(IF($B351="Robusta","Robusta",(IF($B351="","Arabica",$B351))&amp;" - "&amp;(IF($C351="","Commercial",$C351))),Variables!$B$1:$D$1,0),1))*(BE351/365),""))</f>
        <v>-2.2362044959755392</v>
      </c>
      <c r="BG351" s="44">
        <f>IF($AX351="Cancelled","",IFERROR((W351*INDEX(Variables!$B$7:$D$7,IFERROR(MATCH(IF($B351="Robusta","Robusta",(IF($B351="","Arabica",$B351))&amp;" - "&amp;(IF($C351="","Commercial",$C351))),Variables!$B$1:$D$1,0),1))*IFERROR(IF(AB351="","",(AVERAGE(E351:F351)-AB351)-Variables!$B$14),"")/365)+(L351/16.67*INDEX(Variables!$B$8:$D$8,IFERROR(MATCH(IF($B351="Robusta","Robusta",(IF($B351="","Arabica",$B351))&amp;" - "&amp;(IF($C351="","Commercial",$C351))),Variables!$B$1:$D$1,0),1))*IFERROR(IF(AB351="","",(AVERAGE(E351:F351)-AB351)-Variables!$B$14),""))+(W351*INDEX(Variables!$B$9:$D$9,IFERROR(MATCH(IF($B351="Robusta","Robusta",(IF($B351="","Arabica",$B351))&amp;" - "&amp;(IF($C351="","Commercial",$C351))),Variables!$B$1:$D$1,0),1))*IFERROR(IF(AB351="","",(AVERAGE(E351:F351)-AB351)-Variables!$B$14),"")/365),""))</f>
        <v>0.27070574121121121</v>
      </c>
      <c r="BH351" s="44">
        <f>IF($AX351="Cancelled","",IFERROR((W351*INDEX(Variables!$B$7:$D$7,IFERROR(MATCH(IF($B351="Robusta","Robusta",(IF($B351="","Arabica",$B351))&amp;" - "&amp;(IF($C351="","Commercial",$C351))),Variables!$B$1:$D$1,0),1))*AK351/365)+(L351/16.67*INDEX(Variables!$B$8:$D$8,IFERROR(MATCH(IF($B351="Robusta","Robusta",(IF($B351="","Arabica",$B351))&amp;" - "&amp;(IF($C351="","Commercial",$C351))),Variables!$B$1:$D$1,0),1))*AK351)+(W351*INDEX(Variables!$B$9:$D$9,IFERROR(MATCH(IF($B351="Robusta","Robusta",(IF($B351="","Arabica",$B351))&amp;" - "&amp;(IF($C351="","Commercial",$C351))),Variables!$B$1:$D$1,0),1))*AK351/365),""))</f>
        <v>3.4650334875035025</v>
      </c>
      <c r="BI351" s="44">
        <f>IF($AX351="Cancelled","",IFERROR((W351*INDEX(Variables!$B$7:$D$7,IFERROR(MATCH(IF($B351="Robusta","Robusta",(IF($B351="","Arabica",$B351))&amp;" - "&amp;(IF($C351="","Commercial",$C351))),Variables!$B$1:$D$1,0),1))*BD351/365)+(L351/16.67*INDEX(Variables!$B$8:$D$8,IFERROR(MATCH(IF($B351="Robusta","Robusta",(IF($B351="","Arabica",$B351))&amp;" - "&amp;(IF($C351="","Commercial",$C351))),Variables!$B$1:$D$1,0),1))*BD351)+(W351*INDEX(Variables!$B$9:$D$9,IFERROR(MATCH(IF($B351="Robusta","Robusta",(IF($B351="","Arabica",$B351))&amp;" - "&amp;(IF($C351="","Commercial",$C351))),Variables!$B$1:$D$1,0),1))*BD351/365),""))</f>
        <v>1.2993875578138137</v>
      </c>
      <c r="BJ351" s="44">
        <f t="shared" si="17"/>
        <v>-7</v>
      </c>
      <c r="BK351" s="44">
        <f>IF($AX351="Cancelled","",IFERROR(IF(BJ351="","",(W351*INDEX(Variables!$B$7:$D$7,IFERROR(MATCH(IF($B351="Robusta","Robusta",(IF($B351="","Arabica",$B351))&amp;" - "&amp;(IF($C351="","Commercial",$C351))),Variables!$B$1:$D$1,0),1))*(BJ351/365))+(W351*INDEX(Variables!$B$9:$D$9,IFERROR(MATCH(IF($B351="Robusta","Robusta",(IF($B351="","Arabica",$B351))&amp;" - "&amp;(IF($C351="","Commercial",$C351))),Variables!$B$1:$D$1,0),1))*(BJ351/365))+(INDEX(Variables!$B$8:$D$8,IFERROR(MATCH(IF($B351="Robusta","Robusta",(IF($B351="","Arabica",$B351))&amp;" - "&amp;(IF($C351="","Commercial",$C351))),Variables!$B$1:$D$1,0),1))*L351/16.67)),""))</f>
        <v>-1.8319043015655652</v>
      </c>
    </row>
    <row r="352" spans="1:63">
      <c r="A352" s="13" t="s">
        <v>103</v>
      </c>
      <c r="B352" s="13" t="s">
        <v>104</v>
      </c>
      <c r="C352" s="13" t="s">
        <v>292</v>
      </c>
      <c r="D352" s="31">
        <v>45729</v>
      </c>
      <c r="E352" s="31">
        <v>45748</v>
      </c>
      <c r="F352" s="31">
        <v>45777</v>
      </c>
      <c r="G352" s="13">
        <v>3786839</v>
      </c>
      <c r="J352" s="13" t="s">
        <v>1051</v>
      </c>
      <c r="K352" s="13" t="s">
        <v>1071</v>
      </c>
      <c r="L352" s="13">
        <v>5</v>
      </c>
      <c r="M352" s="13">
        <v>0</v>
      </c>
      <c r="N352" s="13" t="s">
        <v>1072</v>
      </c>
      <c r="O352" s="13" t="s">
        <v>771</v>
      </c>
      <c r="P352" s="13">
        <v>10010</v>
      </c>
      <c r="R352" s="13" t="s">
        <v>671</v>
      </c>
      <c r="S352" s="13" t="s">
        <v>437</v>
      </c>
      <c r="T352" s="13" t="s">
        <v>438</v>
      </c>
      <c r="U352" s="13" t="s">
        <v>182</v>
      </c>
      <c r="V352" s="13">
        <v>194</v>
      </c>
      <c r="W352" s="44">
        <f>IF($AX352="Cancelled","",IFERROR(((V352+INDEX(Variables!$B$6:$D$6,IFERROR(MATCH(IF($B352="Robusta","Robusta",(IF($B352="","Arabica",$B352))&amp;" - "&amp;(IF($C352="","Commercial",$C352))),Variables!$B$1:$D$1,0),1)))*22.0462)*(L352/16.67),""))</f>
        <v>3205.7581763647268</v>
      </c>
      <c r="X352" s="55" t="s">
        <v>39</v>
      </c>
      <c r="Y352" s="13" t="str">
        <f>IF($AX352="Cancelled","",IF(X352="","",IFERROR(IF(INDEX(Variables!$B$38:$B$47,MATCH(X352,Variables!$A$38:$A$47,0))="Yes","Yes","No"),"No")))</f>
        <v>No</v>
      </c>
      <c r="Z352" s="31"/>
      <c r="AB352" s="31">
        <v>45731.875</v>
      </c>
      <c r="AC352" s="13" t="str">
        <f t="shared" si="15"/>
        <v>Approved</v>
      </c>
      <c r="AF352" s="71">
        <f>AJ352-7</f>
        <v>45765</v>
      </c>
      <c r="AG352" s="36">
        <f>IF($AX352="Cancelled","",IFERROR(IF(F352="","",F352-Variables!$B$13),""))</f>
        <v>45762</v>
      </c>
      <c r="AH352" s="13">
        <f>IF($AX352="Cancelled","",IFERROR(IF(AB352="","",(AVERAGE(E352:F352)-AB352)-Variables!$B$14),""))</f>
        <v>0.625</v>
      </c>
      <c r="AJ352" s="47">
        <v>45772</v>
      </c>
      <c r="AK352" s="14">
        <f>IF($AX352="Cancelled","",IFERROR(IF(AJ352="","",IF(AND(AB352="",AF352=""),"",IF(AF352&gt;AB352,AF352+Variables!$B$15+Variables!$B$16+Variables!$B$17-AJ352,AB352+Variables!$B$16+Variables!$B$17-AJ352))),""))</f>
        <v>8</v>
      </c>
      <c r="AL352" s="48" t="s">
        <v>114</v>
      </c>
      <c r="AM352" s="13" t="s">
        <v>3243</v>
      </c>
      <c r="AN352" s="13" t="s">
        <v>195</v>
      </c>
      <c r="AP352" s="31">
        <v>45781</v>
      </c>
      <c r="AR352" s="13" t="s">
        <v>3260</v>
      </c>
      <c r="AS352" s="31">
        <v>45784</v>
      </c>
      <c r="AU352" s="31">
        <v>45793</v>
      </c>
      <c r="AV352" s="13" t="s">
        <v>3272</v>
      </c>
      <c r="AW352" s="31">
        <v>45797</v>
      </c>
      <c r="AX352" s="13" t="str">
        <f>IF(ISNUMBER(SEARCH("cancel",#REF!)),"Cancelled",IF(AND(AS352&lt;&gt;"",AU352&lt;&gt;"",AW352&lt;&gt;""),"Closed","Open"))</f>
        <v>Closed</v>
      </c>
      <c r="AY352" s="15" t="str">
        <f t="shared" si="16"/>
        <v>All dates received</v>
      </c>
      <c r="BD352" s="13">
        <f>IF($AX352="Cancelled","",IFERROR(IF(OR(AS352="",AJ352=""),"",(AJ352+Variables!$B$18-AS352)),""))</f>
        <v>3</v>
      </c>
      <c r="BE352" s="13">
        <f>IF($AX352="Cancelled","",IFERROR(IF(OR(AW352="",AS352=""),"",(AS352+Variables!$B$19)-AW352),""))</f>
        <v>-8</v>
      </c>
      <c r="BF352" s="44">
        <f>IF($AX352="Cancelled","",IFERROR(W352*INDEX(Variables!$B$7:$D$7,IFERROR(MATCH(IF($B352="Robusta","Robusta",(IF($B352="","Arabica",$B352))&amp;" - "&amp;(IF($C352="","Commercial",$C352))),Variables!$B$1:$D$1,0),1))*(BE352/365),""))</f>
        <v>-4.5307252576435202</v>
      </c>
      <c r="BG352" s="44">
        <f>IF($AX352="Cancelled","",IFERROR((W352*INDEX(Variables!$B$7:$D$7,IFERROR(MATCH(IF($B352="Robusta","Robusta",(IF($B352="","Arabica",$B352))&amp;" - "&amp;(IF($C352="","Commercial",$C352))),Variables!$B$1:$D$1,0),1))*IFERROR(IF(AB352="","",(AVERAGE(E352:F352)-AB352)-Variables!$B$14),"")/365)+(L352/16.67*INDEX(Variables!$B$8:$D$8,IFERROR(MATCH(IF($B352="Robusta","Robusta",(IF($B352="","Arabica",$B352))&amp;" - "&amp;(IF($C352="","Commercial",$C352))),Variables!$B$1:$D$1,0),1))*IFERROR(IF(AB352="","",(AVERAGE(E352:F352)-AB352)-Variables!$B$14),""))+(W352*INDEX(Variables!$B$9:$D$9,IFERROR(MATCH(IF($B352="Robusta","Robusta",(IF($B352="","Arabica",$B352))&amp;" - "&amp;(IF($C352="","Commercial",$C352))),Variables!$B$1:$D$1,0),1))*IFERROR(IF(AB352="","",(AVERAGE(E352:F352)-AB352)-Variables!$B$14),"")/365),""))</f>
        <v>0.5147761757739685</v>
      </c>
      <c r="BH352" s="44">
        <f>IF($AX352="Cancelled","",IFERROR((W352*INDEX(Variables!$B$7:$D$7,IFERROR(MATCH(IF($B352="Robusta","Robusta",(IF($B352="","Arabica",$B352))&amp;" - "&amp;(IF($C352="","Commercial",$C352))),Variables!$B$1:$D$1,0),1))*AK352/365)+(L352/16.67*INDEX(Variables!$B$8:$D$8,IFERROR(MATCH(IF($B352="Robusta","Robusta",(IF($B352="","Arabica",$B352))&amp;" - "&amp;(IF($C352="","Commercial",$C352))),Variables!$B$1:$D$1,0),1))*AK352)+(W352*INDEX(Variables!$B$9:$D$9,IFERROR(MATCH(IF($B352="Robusta","Robusta",(IF($B352="","Arabica",$B352))&amp;" - "&amp;(IF($C352="","Commercial",$C352))),Variables!$B$1:$D$1,0),1))*AK352/365),""))</f>
        <v>6.5891350499067967</v>
      </c>
      <c r="BI352" s="44">
        <f>IF($AX352="Cancelled","",IFERROR((W352*INDEX(Variables!$B$7:$D$7,IFERROR(MATCH(IF($B352="Robusta","Robusta",(IF($B352="","Arabica",$B352))&amp;" - "&amp;(IF($C352="","Commercial",$C352))),Variables!$B$1:$D$1,0),1))*BD352/365)+(L352/16.67*INDEX(Variables!$B$8:$D$8,IFERROR(MATCH(IF($B352="Robusta","Robusta",(IF($B352="","Arabica",$B352))&amp;" - "&amp;(IF($C352="","Commercial",$C352))),Variables!$B$1:$D$1,0),1))*BD352)+(W352*INDEX(Variables!$B$9:$D$9,IFERROR(MATCH(IF($B352="Robusta","Robusta",(IF($B352="","Arabica",$B352))&amp;" - "&amp;(IF($C352="","Commercial",$C352))),Variables!$B$1:$D$1,0),1))*BD352/365),""))</f>
        <v>2.4709256437150486</v>
      </c>
      <c r="BJ352" s="44">
        <f t="shared" si="17"/>
        <v>-7</v>
      </c>
      <c r="BK352" s="44">
        <f>IF($AX352="Cancelled","",IFERROR(IF(BJ352="","",(W352*INDEX(Variables!$B$7:$D$7,IFERROR(MATCH(IF($B352="Robusta","Robusta",(IF($B352="","Arabica",$B352))&amp;" - "&amp;(IF($C352="","Commercial",$C352))),Variables!$B$1:$D$1,0),1))*(BJ352/365))+(W352*INDEX(Variables!$B$9:$D$9,IFERROR(MATCH(IF($B352="Robusta","Robusta",(IF($B352="","Arabica",$B352))&amp;" - "&amp;(IF($C352="","Commercial",$C352))),Variables!$B$1:$D$1,0),1))*(BJ352/365))+(INDEX(Variables!$B$8:$D$8,IFERROR(MATCH(IF($B352="Robusta","Robusta",(IF($B352="","Arabica",$B352))&amp;" - "&amp;(IF($C352="","Commercial",$C352))),Variables!$B$1:$D$1,0),1))*L352/16.67)),""))</f>
        <v>-3.7654931686684474</v>
      </c>
    </row>
    <row r="353" spans="1:63">
      <c r="A353" s="13" t="s">
        <v>103</v>
      </c>
      <c r="B353" s="13" t="s">
        <v>104</v>
      </c>
      <c r="C353" s="13" t="s">
        <v>292</v>
      </c>
      <c r="D353" s="31">
        <v>45729</v>
      </c>
      <c r="E353" s="31">
        <v>45748</v>
      </c>
      <c r="F353" s="31">
        <v>45777</v>
      </c>
      <c r="G353" s="13">
        <v>3786840</v>
      </c>
      <c r="J353" s="13" t="s">
        <v>1051</v>
      </c>
      <c r="K353" s="13" t="s">
        <v>1073</v>
      </c>
      <c r="L353" s="13">
        <v>5</v>
      </c>
      <c r="M353" s="13">
        <v>0</v>
      </c>
      <c r="N353" s="13" t="s">
        <v>1074</v>
      </c>
      <c r="O353" s="13" t="s">
        <v>771</v>
      </c>
      <c r="P353" s="13">
        <v>10010</v>
      </c>
      <c r="R353" s="13" t="s">
        <v>671</v>
      </c>
      <c r="S353" s="13" t="s">
        <v>437</v>
      </c>
      <c r="T353" s="13" t="s">
        <v>438</v>
      </c>
      <c r="U353" s="13" t="s">
        <v>182</v>
      </c>
      <c r="V353" s="13">
        <v>99</v>
      </c>
      <c r="W353" s="44">
        <f>IF($AX353="Cancelled","",IFERROR(((V353+INDEX(Variables!$B$6:$D$6,IFERROR(MATCH(IF($B353="Robusta","Robusta",(IF($B353="","Arabica",$B353))&amp;" - "&amp;(IF($C353="","Commercial",$C353))),Variables!$B$1:$D$1,0),1)))*22.0462)*(L353/16.67),""))</f>
        <v>2577.5671145770839</v>
      </c>
      <c r="X353" s="55" t="s">
        <v>39</v>
      </c>
      <c r="Y353" s="13" t="str">
        <f>IF($AX353="Cancelled","",IF(X353="","",IFERROR(IF(INDEX(Variables!$B$38:$B$47,MATCH(X353,Variables!$A$38:$A$47,0))="Yes","Yes","No"),"No")))</f>
        <v>No</v>
      </c>
      <c r="Z353" s="31"/>
      <c r="AB353" s="31">
        <v>45731.875</v>
      </c>
      <c r="AC353" s="13" t="str">
        <f t="shared" si="15"/>
        <v>Approved</v>
      </c>
      <c r="AF353" s="71">
        <f>AJ353-7</f>
        <v>45765</v>
      </c>
      <c r="AG353" s="36">
        <f>IF($AX353="Cancelled","",IFERROR(IF(F353="","",F353-Variables!$B$13),""))</f>
        <v>45762</v>
      </c>
      <c r="AH353" s="13">
        <f>IF($AX353="Cancelled","",IFERROR(IF(AB353="","",(AVERAGE(E353:F353)-AB353)-Variables!$B$14),""))</f>
        <v>0.625</v>
      </c>
      <c r="AJ353" s="47">
        <v>45772</v>
      </c>
      <c r="AK353" s="14">
        <f>IF($AX353="Cancelled","",IFERROR(IF(AJ353="","",IF(AND(AB353="",AF353=""),"",IF(AF353&gt;AB353,AF353+Variables!$B$15+Variables!$B$16+Variables!$B$17-AJ353,AB353+Variables!$B$16+Variables!$B$17-AJ353))),""))</f>
        <v>8</v>
      </c>
      <c r="AL353" s="48" t="s">
        <v>114</v>
      </c>
      <c r="AM353" s="13" t="s">
        <v>3243</v>
      </c>
      <c r="AN353" s="13" t="s">
        <v>195</v>
      </c>
      <c r="AP353" s="31">
        <v>45781</v>
      </c>
      <c r="AR353" s="13" t="s">
        <v>3260</v>
      </c>
      <c r="AS353" s="31">
        <v>45784</v>
      </c>
      <c r="AU353" s="31">
        <v>45793</v>
      </c>
      <c r="AV353" s="13" t="s">
        <v>3272</v>
      </c>
      <c r="AW353" s="31">
        <v>45797</v>
      </c>
      <c r="AX353" s="13" t="str">
        <f>IF(ISNUMBER(SEARCH("cancel",#REF!)),"Cancelled",IF(AND(AS353&lt;&gt;"",AU353&lt;&gt;"",AW353&lt;&gt;""),"Closed","Open"))</f>
        <v>Closed</v>
      </c>
      <c r="AY353" s="15" t="str">
        <f t="shared" si="16"/>
        <v>All dates received</v>
      </c>
      <c r="BD353" s="13">
        <f>IF($AX353="Cancelled","",IFERROR(IF(OR(AS353="",AJ353=""),"",(AJ353+Variables!$B$18-AS353)),""))</f>
        <v>3</v>
      </c>
      <c r="BE353" s="13">
        <f>IF($AX353="Cancelled","",IFERROR(IF(OR(AW353="",AS353=""),"",(AS353+Variables!$B$19)-AW353),""))</f>
        <v>-8</v>
      </c>
      <c r="BF353" s="44">
        <f>IF($AX353="Cancelled","",IFERROR(W353*INDEX(Variables!$B$7:$D$7,IFERROR(MATCH(IF($B353="Robusta","Robusta",(IF($B353="","Arabica",$B353))&amp;" - "&amp;(IF($C353="","Commercial",$C353))),Variables!$B$1:$D$1,0),1))*(BE353/365),""))</f>
        <v>-3.6428974946976971</v>
      </c>
      <c r="BG353" s="44">
        <f>IF($AX353="Cancelled","",IFERROR((W353*INDEX(Variables!$B$7:$D$7,IFERROR(MATCH(IF($B353="Robusta","Robusta",(IF($B353="","Arabica",$B353))&amp;" - "&amp;(IF($C353="","Commercial",$C353))),Variables!$B$1:$D$1,0),1))*IFERROR(IF(AB353="","",(AVERAGE(E353:F353)-AB353)-Variables!$B$14),"")/365)+(L353/16.67*INDEX(Variables!$B$8:$D$8,IFERROR(MATCH(IF($B353="Robusta","Robusta",(IF($B353="","Arabica",$B353))&amp;" - "&amp;(IF($C353="","Commercial",$C353))),Variables!$B$1:$D$1,0),1))*IFERROR(IF(AB353="","",(AVERAGE(E353:F353)-AB353)-Variables!$B$14),""))+(W353*INDEX(Variables!$B$9:$D$9,IFERROR(MATCH(IF($B353="Robusta","Robusta",(IF($B353="","Arabica",$B353))&amp;" - "&amp;(IF($C353="","Commercial",$C353))),Variables!$B$1:$D$1,0),1))*IFERROR(IF(AB353="","",(AVERAGE(E353:F353)-AB353)-Variables!$B$14),"")/365),""))</f>
        <v>0.44452042763344241</v>
      </c>
      <c r="BH353" s="44">
        <f>IF($AX353="Cancelled","",IFERROR((W353*INDEX(Variables!$B$7:$D$7,IFERROR(MATCH(IF($B353="Robusta","Robusta",(IF($B353="","Arabica",$B353))&amp;" - "&amp;(IF($C353="","Commercial",$C353))),Variables!$B$1:$D$1,0),1))*AK353/365)+(L353/16.67*INDEX(Variables!$B$8:$D$8,IFERROR(MATCH(IF($B353="Robusta","Robusta",(IF($B353="","Arabica",$B353))&amp;" - "&amp;(IF($C353="","Commercial",$C353))),Variables!$B$1:$D$1,0),1))*AK353)+(W353*INDEX(Variables!$B$9:$D$9,IFERROR(MATCH(IF($B353="Robusta","Robusta",(IF($B353="","Arabica",$B353))&amp;" - "&amp;(IF($C353="","Commercial",$C353))),Variables!$B$1:$D$1,0),1))*AK353/365),""))</f>
        <v>5.6898614737080635</v>
      </c>
      <c r="BI353" s="44">
        <f>IF($AX353="Cancelled","",IFERROR((W353*INDEX(Variables!$B$7:$D$7,IFERROR(MATCH(IF($B353="Robusta","Robusta",(IF($B353="","Arabica",$B353))&amp;" - "&amp;(IF($C353="","Commercial",$C353))),Variables!$B$1:$D$1,0),1))*BD353/365)+(L353/16.67*INDEX(Variables!$B$8:$D$8,IFERROR(MATCH(IF($B353="Robusta","Robusta",(IF($B353="","Arabica",$B353))&amp;" - "&amp;(IF($C353="","Commercial",$C353))),Variables!$B$1:$D$1,0),1))*BD353)+(W353*INDEX(Variables!$B$9:$D$9,IFERROR(MATCH(IF($B353="Robusta","Robusta",(IF($B353="","Arabica",$B353))&amp;" - "&amp;(IF($C353="","Commercial",$C353))),Variables!$B$1:$D$1,0),1))*BD353/365),""))</f>
        <v>2.1336980526405234</v>
      </c>
      <c r="BJ353" s="44">
        <f t="shared" si="17"/>
        <v>-7</v>
      </c>
      <c r="BK353" s="44">
        <f>IF($AX353="Cancelled","",IFERROR(IF(BJ353="","",(W353*INDEX(Variables!$B$7:$D$7,IFERROR(MATCH(IF($B353="Robusta","Robusta",(IF($B353="","Arabica",$B353))&amp;" - "&amp;(IF($C353="","Commercial",$C353))),Variables!$B$1:$D$1,0),1))*(BJ353/365))+(W353*INDEX(Variables!$B$9:$D$9,IFERROR(MATCH(IF($B353="Robusta","Robusta",(IF($B353="","Arabica",$B353))&amp;" - "&amp;(IF($C353="","Commercial",$C353))),Variables!$B$1:$D$1,0),1))*(BJ353/365))+(INDEX(Variables!$B$8:$D$8,IFERROR(MATCH(IF($B353="Robusta","Robusta",(IF($B353="","Arabica",$B353))&amp;" - "&amp;(IF($C353="","Commercial",$C353))),Variables!$B$1:$D$1,0),1))*L353/16.67)),""))</f>
        <v>-2.9786287894945551</v>
      </c>
    </row>
    <row r="354" spans="1:63">
      <c r="A354" s="13" t="s">
        <v>103</v>
      </c>
      <c r="B354" s="13" t="s">
        <v>104</v>
      </c>
      <c r="C354" s="13" t="s">
        <v>292</v>
      </c>
      <c r="D354" s="31">
        <v>45729</v>
      </c>
      <c r="E354" s="31">
        <v>45748</v>
      </c>
      <c r="F354" s="31">
        <v>45777</v>
      </c>
      <c r="G354" s="13">
        <v>3786841</v>
      </c>
      <c r="J354" s="13" t="s">
        <v>1051</v>
      </c>
      <c r="K354" s="13" t="s">
        <v>1075</v>
      </c>
      <c r="L354" s="13">
        <v>5</v>
      </c>
      <c r="M354" s="13">
        <v>0</v>
      </c>
      <c r="N354" s="13" t="s">
        <v>1076</v>
      </c>
      <c r="O354" s="13" t="s">
        <v>771</v>
      </c>
      <c r="P354" s="13">
        <v>10010</v>
      </c>
      <c r="R354" s="13" t="s">
        <v>671</v>
      </c>
      <c r="S354" s="13" t="s">
        <v>437</v>
      </c>
      <c r="T354" s="13" t="s">
        <v>438</v>
      </c>
      <c r="U354" s="13" t="s">
        <v>182</v>
      </c>
      <c r="V354" s="13">
        <v>132</v>
      </c>
      <c r="W354" s="44">
        <f>IF($AX354="Cancelled","",IFERROR(((V354+INDEX(Variables!$B$6:$D$6,IFERROR(MATCH(IF($B354="Robusta","Robusta",(IF($B354="","Arabica",$B354))&amp;" - "&amp;(IF($C354="","Commercial",$C354))),Variables!$B$1:$D$1,0),1)))*22.0462)*(L354/16.67),""))</f>
        <v>2795.7808518296338</v>
      </c>
      <c r="X354" s="55" t="s">
        <v>39</v>
      </c>
      <c r="Y354" s="13" t="str">
        <f>IF($AX354="Cancelled","",IF(X354="","",IFERROR(IF(INDEX(Variables!$B$38:$B$47,MATCH(X354,Variables!$A$38:$A$47,0))="Yes","Yes","No"),"No")))</f>
        <v>No</v>
      </c>
      <c r="Z354" s="31"/>
      <c r="AB354" s="31">
        <v>45731.875</v>
      </c>
      <c r="AC354" s="13" t="str">
        <f t="shared" si="15"/>
        <v>Approved</v>
      </c>
      <c r="AF354" s="71">
        <f>AJ354-7</f>
        <v>45765</v>
      </c>
      <c r="AG354" s="36">
        <f>IF($AX354="Cancelled","",IFERROR(IF(F354="","",F354-Variables!$B$13),""))</f>
        <v>45762</v>
      </c>
      <c r="AH354" s="13">
        <f>IF($AX354="Cancelled","",IFERROR(IF(AB354="","",(AVERAGE(E354:F354)-AB354)-Variables!$B$14),""))</f>
        <v>0.625</v>
      </c>
      <c r="AJ354" s="47">
        <v>45772</v>
      </c>
      <c r="AK354" s="14">
        <f>IF($AX354="Cancelled","",IFERROR(IF(AJ354="","",IF(AND(AB354="",AF354=""),"",IF(AF354&gt;AB354,AF354+Variables!$B$15+Variables!$B$16+Variables!$B$17-AJ354,AB354+Variables!$B$16+Variables!$B$17-AJ354))),""))</f>
        <v>8</v>
      </c>
      <c r="AL354" s="48" t="s">
        <v>114</v>
      </c>
      <c r="AM354" s="13" t="s">
        <v>3243</v>
      </c>
      <c r="AN354" s="13" t="s">
        <v>195</v>
      </c>
      <c r="AP354" s="31">
        <v>45781</v>
      </c>
      <c r="AR354" s="13" t="s">
        <v>3260</v>
      </c>
      <c r="AS354" s="31">
        <v>45784</v>
      </c>
      <c r="AU354" s="31">
        <v>45793</v>
      </c>
      <c r="AV354" s="13" t="s">
        <v>3272</v>
      </c>
      <c r="AW354" s="31">
        <v>45797</v>
      </c>
      <c r="AX354" s="13" t="str">
        <f>IF(ISNUMBER(SEARCH("cancel",#REF!)),"Cancelled",IF(AND(AS354&lt;&gt;"",AU354&lt;&gt;"",AW354&lt;&gt;""),"Closed","Open"))</f>
        <v>Closed</v>
      </c>
      <c r="AY354" s="15" t="str">
        <f t="shared" si="16"/>
        <v>All dates received</v>
      </c>
      <c r="BD354" s="13">
        <f>IF($AX354="Cancelled","",IFERROR(IF(OR(AS354="",AJ354=""),"",(AJ354+Variables!$B$18-AS354)),""))</f>
        <v>3</v>
      </c>
      <c r="BE354" s="13">
        <f>IF($AX354="Cancelled","",IFERROR(IF(OR(AW354="",AS354=""),"",(AS354+Variables!$B$19)-AW354),""))</f>
        <v>-8</v>
      </c>
      <c r="BF354" s="44">
        <f>IF($AX354="Cancelled","",IFERROR(W354*INDEX(Variables!$B$7:$D$7,IFERROR(MATCH(IF($B354="Robusta","Robusta",(IF($B354="","Arabica",$B354))&amp;" - "&amp;(IF($C354="","Commercial",$C354))),Variables!$B$1:$D$1,0),1))*(BE354/365),""))</f>
        <v>-3.9513008228788782</v>
      </c>
      <c r="BG354" s="44">
        <f>IF($AX354="Cancelled","",IFERROR((W354*INDEX(Variables!$B$7:$D$7,IFERROR(MATCH(IF($B354="Robusta","Robusta",(IF($B354="","Arabica",$B354))&amp;" - "&amp;(IF($C354="","Commercial",$C354))),Variables!$B$1:$D$1,0),1))*IFERROR(IF(AB354="","",(AVERAGE(E354:F354)-AB354)-Variables!$B$14),"")/365)+(L354/16.67*INDEX(Variables!$B$8:$D$8,IFERROR(MATCH(IF($B354="Robusta","Robusta",(IF($B354="","Arabica",$B354))&amp;" - "&amp;(IF($C354="","Commercial",$C354))),Variables!$B$1:$D$1,0),1))*IFERROR(IF(AB354="","",(AVERAGE(E354:F354)-AB354)-Variables!$B$14),""))+(W354*INDEX(Variables!$B$9:$D$9,IFERROR(MATCH(IF($B354="Robusta","Robusta",(IF($B354="","Arabica",$B354))&amp;" - "&amp;(IF($C354="","Commercial",$C354))),Variables!$B$1:$D$1,0),1))*IFERROR(IF(AB354="","",(AVERAGE(E354:F354)-AB354)-Variables!$B$14),"")/365),""))</f>
        <v>0.46892505593488831</v>
      </c>
      <c r="BH354" s="44">
        <f>IF($AX354="Cancelled","",IFERROR((W354*INDEX(Variables!$B$7:$D$7,IFERROR(MATCH(IF($B354="Robusta","Robusta",(IF($B354="","Arabica",$B354))&amp;" - "&amp;(IF($C354="","Commercial",$C354))),Variables!$B$1:$D$1,0),1))*AK354/365)+(L354/16.67*INDEX(Variables!$B$8:$D$8,IFERROR(MATCH(IF($B354="Robusta","Robusta",(IF($B354="","Arabica",$B354))&amp;" - "&amp;(IF($C354="","Commercial",$C354))),Variables!$B$1:$D$1,0),1))*AK354)+(W354*INDEX(Variables!$B$9:$D$9,IFERROR(MATCH(IF($B354="Robusta","Robusta",(IF($B354="","Arabica",$B354))&amp;" - "&amp;(IF($C354="","Commercial",$C354))),Variables!$B$1:$D$1,0),1))*AK354/365),""))</f>
        <v>6.0022407159665701</v>
      </c>
      <c r="BI354" s="44">
        <f>IF($AX354="Cancelled","",IFERROR((W354*INDEX(Variables!$B$7:$D$7,IFERROR(MATCH(IF($B354="Robusta","Robusta",(IF($B354="","Arabica",$B354))&amp;" - "&amp;(IF($C354="","Commercial",$C354))),Variables!$B$1:$D$1,0),1))*BD354/365)+(L354/16.67*INDEX(Variables!$B$8:$D$8,IFERROR(MATCH(IF($B354="Robusta","Robusta",(IF($B354="","Arabica",$B354))&amp;" - "&amp;(IF($C354="","Commercial",$C354))),Variables!$B$1:$D$1,0),1))*BD354)+(W354*INDEX(Variables!$B$9:$D$9,IFERROR(MATCH(IF($B354="Robusta","Robusta",(IF($B354="","Arabica",$B354))&amp;" - "&amp;(IF($C354="","Commercial",$C354))),Variables!$B$1:$D$1,0),1))*BD354/365),""))</f>
        <v>2.250840268487464</v>
      </c>
      <c r="BJ354" s="44">
        <f t="shared" si="17"/>
        <v>-7</v>
      </c>
      <c r="BK354" s="44">
        <f>IF($AX354="Cancelled","",IFERROR(IF(BJ354="","",(W354*INDEX(Variables!$B$7:$D$7,IFERROR(MATCH(IF($B354="Robusta","Robusta",(IF($B354="","Arabica",$B354))&amp;" - "&amp;(IF($C354="","Commercial",$C354))),Variables!$B$1:$D$1,0),1))*(BJ354/365))+(W354*INDEX(Variables!$B$9:$D$9,IFERROR(MATCH(IF($B354="Robusta","Robusta",(IF($B354="","Arabica",$B354))&amp;" - "&amp;(IF($C354="","Commercial",$C354))),Variables!$B$1:$D$1,0),1))*(BJ354/365))+(INDEX(Variables!$B$8:$D$8,IFERROR(MATCH(IF($B354="Robusta","Robusta",(IF($B354="","Arabica",$B354))&amp;" - "&amp;(IF($C354="","Commercial",$C354))),Variables!$B$1:$D$1,0),1))*L354/16.67)),""))</f>
        <v>-3.2519606264707495</v>
      </c>
    </row>
    <row r="355" spans="1:63">
      <c r="A355" s="13" t="s">
        <v>103</v>
      </c>
      <c r="B355" s="13" t="s">
        <v>104</v>
      </c>
      <c r="C355" s="13" t="s">
        <v>292</v>
      </c>
      <c r="D355" s="31">
        <v>45729</v>
      </c>
      <c r="E355" s="31">
        <v>45748</v>
      </c>
      <c r="F355" s="31">
        <v>45777</v>
      </c>
      <c r="G355" s="13">
        <v>3786842</v>
      </c>
      <c r="J355" s="13" t="s">
        <v>1051</v>
      </c>
      <c r="K355" s="13" t="s">
        <v>1077</v>
      </c>
      <c r="L355" s="13">
        <v>30</v>
      </c>
      <c r="M355" s="13">
        <v>0</v>
      </c>
      <c r="N355" s="13" t="s">
        <v>1078</v>
      </c>
      <c r="O355" s="13" t="s">
        <v>771</v>
      </c>
      <c r="P355" s="13">
        <v>10010</v>
      </c>
      <c r="R355" s="13" t="s">
        <v>671</v>
      </c>
      <c r="S355" s="13" t="s">
        <v>437</v>
      </c>
      <c r="T355" s="13" t="s">
        <v>438</v>
      </c>
      <c r="U355" s="13" t="s">
        <v>182</v>
      </c>
      <c r="V355" s="13">
        <v>119</v>
      </c>
      <c r="W355" s="44">
        <f>IF($AX355="Cancelled","",IFERROR(((V355+INDEX(Variables!$B$6:$D$6,IFERROR(MATCH(IF($B355="Robusta","Robusta",(IF($B355="","Arabica",$B355))&amp;" - "&amp;(IF($C355="","Commercial",$C355))),Variables!$B$1:$D$1,0),1)))*22.0462)*(L355/16.67),""))</f>
        <v>16258.907186562687</v>
      </c>
      <c r="X355" s="55" t="s">
        <v>39</v>
      </c>
      <c r="Y355" s="13" t="str">
        <f>IF($AX355="Cancelled","",IF(X355="","",IFERROR(IF(INDEX(Variables!$B$38:$B$47,MATCH(X355,Variables!$A$38:$A$47,0))="Yes","Yes","No"),"No")))</f>
        <v>No</v>
      </c>
      <c r="Z355" s="31"/>
      <c r="AB355" s="31">
        <v>45731.875</v>
      </c>
      <c r="AC355" s="13" t="str">
        <f t="shared" si="15"/>
        <v>Approved</v>
      </c>
      <c r="AF355" s="71">
        <f>AJ355-7</f>
        <v>45765</v>
      </c>
      <c r="AG355" s="36">
        <f>IF($AX355="Cancelled","",IFERROR(IF(F355="","",F355-Variables!$B$13),""))</f>
        <v>45762</v>
      </c>
      <c r="AH355" s="13">
        <f>IF($AX355="Cancelled","",IFERROR(IF(AB355="","",(AVERAGE(E355:F355)-AB355)-Variables!$B$14),""))</f>
        <v>0.625</v>
      </c>
      <c r="AJ355" s="47">
        <v>45772</v>
      </c>
      <c r="AK355" s="14">
        <f>IF($AX355="Cancelled","",IFERROR(IF(AJ355="","",IF(AND(AB355="",AF355=""),"",IF(AF355&gt;AB355,AF355+Variables!$B$15+Variables!$B$16+Variables!$B$17-AJ355,AB355+Variables!$B$16+Variables!$B$17-AJ355))),""))</f>
        <v>8</v>
      </c>
      <c r="AL355" s="48" t="s">
        <v>114</v>
      </c>
      <c r="AM355" s="13" t="s">
        <v>3243</v>
      </c>
      <c r="AN355" s="13" t="s">
        <v>195</v>
      </c>
      <c r="AP355" s="31">
        <v>45781</v>
      </c>
      <c r="AR355" s="13" t="s">
        <v>3260</v>
      </c>
      <c r="AS355" s="31">
        <v>45784</v>
      </c>
      <c r="AU355" s="31">
        <v>45793</v>
      </c>
      <c r="AV355" s="13" t="s">
        <v>3272</v>
      </c>
      <c r="AW355" s="31">
        <v>45797</v>
      </c>
      <c r="AX355" s="13" t="str">
        <f>IF(ISNUMBER(SEARCH("cancel",#REF!)),"Cancelled",IF(AND(AS355&lt;&gt;"",AU355&lt;&gt;"",AW355&lt;&gt;""),"Closed","Open"))</f>
        <v>Closed</v>
      </c>
      <c r="AY355" s="15" t="str">
        <f t="shared" si="16"/>
        <v>All dates received</v>
      </c>
      <c r="BD355" s="13">
        <f>IF($AX355="Cancelled","",IFERROR(IF(OR(AS355="",AJ355=""),"",(AJ355+Variables!$B$18-AS355)),""))</f>
        <v>3</v>
      </c>
      <c r="BE355" s="13">
        <f>IF($AX355="Cancelled","",IFERROR(IF(OR(AW355="",AS355=""),"",(AS355+Variables!$B$19)-AW355),""))</f>
        <v>-8</v>
      </c>
      <c r="BF355" s="44">
        <f>IF($AX355="Cancelled","",IFERROR(W355*INDEX(Variables!$B$7:$D$7,IFERROR(MATCH(IF($B355="Robusta","Robusta",(IF($B355="","Arabica",$B355))&amp;" - "&amp;(IF($C355="","Commercial",$C355))),Variables!$B$1:$D$1,0),1))*(BE355/365),""))</f>
        <v>-22.978851616117755</v>
      </c>
      <c r="BG355" s="44">
        <f>IF($AX355="Cancelled","",IFERROR((W355*INDEX(Variables!$B$7:$D$7,IFERROR(MATCH(IF($B355="Robusta","Robusta",(IF($B355="","Arabica",$B355))&amp;" - "&amp;(IF($C355="","Commercial",$C355))),Variables!$B$1:$D$1,0),1))*IFERROR(IF(AB355="","",(AVERAGE(E355:F355)-AB355)-Variables!$B$14),"")/365)+(L355/16.67*INDEX(Variables!$B$8:$D$8,IFERROR(MATCH(IF($B355="Robusta","Robusta",(IF($B355="","Arabica",$B355))&amp;" - "&amp;(IF($C355="","Commercial",$C355))),Variables!$B$1:$D$1,0),1))*IFERROR(IF(AB355="","",(AVERAGE(E355:F355)-AB355)-Variables!$B$14),""))+(W355*INDEX(Variables!$B$9:$D$9,IFERROR(MATCH(IF($B355="Robusta","Robusta",(IF($B355="","Arabica",$B355))&amp;" - "&amp;(IF($C355="","Commercial",$C355))),Variables!$B$1:$D$1,0),1))*IFERROR(IF(AB355="","",(AVERAGE(E355:F355)-AB355)-Variables!$B$14),"")/365),""))</f>
        <v>2.7558666687150035</v>
      </c>
      <c r="BH355" s="44">
        <f>IF($AX355="Cancelled","",IFERROR((W355*INDEX(Variables!$B$7:$D$7,IFERROR(MATCH(IF($B355="Robusta","Robusta",(IF($B355="","Arabica",$B355))&amp;" - "&amp;(IF($C355="","Commercial",$C355))),Variables!$B$1:$D$1,0),1))*AK355/365)+(L355/16.67*INDEX(Variables!$B$8:$D$8,IFERROR(MATCH(IF($B355="Robusta","Robusta",(IF($B355="","Arabica",$B355))&amp;" - "&amp;(IF($C355="","Commercial",$C355))),Variables!$B$1:$D$1,0),1))*AK355)+(W355*INDEX(Variables!$B$9:$D$9,IFERROR(MATCH(IF($B355="Robusta","Robusta",(IF($B355="","Arabica",$B355))&amp;" - "&amp;(IF($C355="","Commercial",$C355))),Variables!$B$1:$D$1,0),1))*AK355/365),""))</f>
        <v>35.275093359552045</v>
      </c>
      <c r="BI355" s="44">
        <f>IF($AX355="Cancelled","",IFERROR((W355*INDEX(Variables!$B$7:$D$7,IFERROR(MATCH(IF($B355="Robusta","Robusta",(IF($B355="","Arabica",$B355))&amp;" - "&amp;(IF($C355="","Commercial",$C355))),Variables!$B$1:$D$1,0),1))*BD355/365)+(L355/16.67*INDEX(Variables!$B$8:$D$8,IFERROR(MATCH(IF($B355="Robusta","Robusta",(IF($B355="","Arabica",$B355))&amp;" - "&amp;(IF($C355="","Commercial",$C355))),Variables!$B$1:$D$1,0),1))*BD355)+(W355*INDEX(Variables!$B$9:$D$9,IFERROR(MATCH(IF($B355="Robusta","Robusta",(IF($B355="","Arabica",$B355))&amp;" - "&amp;(IF($C355="","Commercial",$C355))),Variables!$B$1:$D$1,0),1))*BD355/365),""))</f>
        <v>13.228160009832019</v>
      </c>
      <c r="BJ355" s="44">
        <f t="shared" si="17"/>
        <v>-7</v>
      </c>
      <c r="BK355" s="44">
        <f>IF($AX355="Cancelled","",IFERROR(IF(BJ355="","",(W355*INDEX(Variables!$B$7:$D$7,IFERROR(MATCH(IF($B355="Robusta","Robusta",(IF($B355="","Arabica",$B355))&amp;" - "&amp;(IF($C355="","Commercial",$C355))),Variables!$B$1:$D$1,0),1))*(BJ355/365))+(W355*INDEX(Variables!$B$9:$D$9,IFERROR(MATCH(IF($B355="Robusta","Robusta",(IF($B355="","Arabica",$B355))&amp;" - "&amp;(IF($C355="","Commercial",$C355))),Variables!$B$1:$D$1,0),1))*(BJ355/365))+(INDEX(Variables!$B$8:$D$8,IFERROR(MATCH(IF($B355="Robusta","Robusta",(IF($B355="","Arabica",$B355))&amp;" - "&amp;(IF($C355="","Commercial",$C355))),Variables!$B$1:$D$1,0),1))*L355/16.67)),""))</f>
        <v>-18.865706689608043</v>
      </c>
    </row>
    <row r="356" spans="1:63">
      <c r="A356" s="13" t="s">
        <v>103</v>
      </c>
      <c r="B356" s="13" t="s">
        <v>104</v>
      </c>
      <c r="C356" s="13" t="s">
        <v>292</v>
      </c>
      <c r="D356" s="31">
        <v>45729</v>
      </c>
      <c r="E356" s="31">
        <v>45748</v>
      </c>
      <c r="F356" s="31">
        <v>45777</v>
      </c>
      <c r="G356" s="13">
        <v>3786843</v>
      </c>
      <c r="J356" s="13" t="s">
        <v>1051</v>
      </c>
      <c r="K356" s="13" t="s">
        <v>1079</v>
      </c>
      <c r="L356" s="13">
        <v>5</v>
      </c>
      <c r="M356" s="13">
        <v>0</v>
      </c>
      <c r="N356" s="13" t="s">
        <v>1080</v>
      </c>
      <c r="O356" s="13" t="s">
        <v>771</v>
      </c>
      <c r="P356" s="13">
        <v>10010</v>
      </c>
      <c r="R356" s="13" t="s">
        <v>671</v>
      </c>
      <c r="S356" s="13" t="s">
        <v>437</v>
      </c>
      <c r="T356" s="13" t="s">
        <v>438</v>
      </c>
      <c r="U356" s="13" t="s">
        <v>182</v>
      </c>
      <c r="V356" s="13">
        <v>99</v>
      </c>
      <c r="W356" s="44">
        <f>IF($AX356="Cancelled","",IFERROR(((V356+INDEX(Variables!$B$6:$D$6,IFERROR(MATCH(IF($B356="Robusta","Robusta",(IF($B356="","Arabica",$B356))&amp;" - "&amp;(IF($C356="","Commercial",$C356))),Variables!$B$1:$D$1,0),1)))*22.0462)*(L356/16.67),""))</f>
        <v>2577.5671145770839</v>
      </c>
      <c r="X356" s="55" t="s">
        <v>39</v>
      </c>
      <c r="Y356" s="13" t="str">
        <f>IF($AX356="Cancelled","",IF(X356="","",IFERROR(IF(INDEX(Variables!$B$38:$B$47,MATCH(X356,Variables!$A$38:$A$47,0))="Yes","Yes","No"),"No")))</f>
        <v>No</v>
      </c>
      <c r="Z356" s="31"/>
      <c r="AB356" s="31">
        <v>45731.875</v>
      </c>
      <c r="AC356" s="13" t="str">
        <f t="shared" si="15"/>
        <v>Approved</v>
      </c>
      <c r="AF356" s="71">
        <f>AJ356-7</f>
        <v>45765</v>
      </c>
      <c r="AG356" s="36">
        <f>IF($AX356="Cancelled","",IFERROR(IF(F356="","",F356-Variables!$B$13),""))</f>
        <v>45762</v>
      </c>
      <c r="AH356" s="13">
        <f>IF($AX356="Cancelled","",IFERROR(IF(AB356="","",(AVERAGE(E356:F356)-AB356)-Variables!$B$14),""))</f>
        <v>0.625</v>
      </c>
      <c r="AJ356" s="47">
        <v>45772</v>
      </c>
      <c r="AK356" s="14">
        <f>IF($AX356="Cancelled","",IFERROR(IF(AJ356="","",IF(AND(AB356="",AF356=""),"",IF(AF356&gt;AB356,AF356+Variables!$B$15+Variables!$B$16+Variables!$B$17-AJ356,AB356+Variables!$B$16+Variables!$B$17-AJ356))),""))</f>
        <v>8</v>
      </c>
      <c r="AL356" s="48" t="s">
        <v>114</v>
      </c>
      <c r="AM356" s="13" t="s">
        <v>3243</v>
      </c>
      <c r="AN356" s="13" t="s">
        <v>195</v>
      </c>
      <c r="AP356" s="31">
        <v>45781</v>
      </c>
      <c r="AR356" s="13" t="s">
        <v>3260</v>
      </c>
      <c r="AS356" s="31">
        <v>45784</v>
      </c>
      <c r="AU356" s="31">
        <v>45793</v>
      </c>
      <c r="AV356" s="13" t="s">
        <v>3272</v>
      </c>
      <c r="AW356" s="31">
        <v>45797</v>
      </c>
      <c r="AX356" s="13" t="str">
        <f>IF(ISNUMBER(SEARCH("cancel",#REF!)),"Cancelled",IF(AND(AS356&lt;&gt;"",AU356&lt;&gt;"",AW356&lt;&gt;""),"Closed","Open"))</f>
        <v>Closed</v>
      </c>
      <c r="AY356" s="15" t="str">
        <f t="shared" si="16"/>
        <v>All dates received</v>
      </c>
      <c r="BD356" s="13">
        <f>IF($AX356="Cancelled","",IFERROR(IF(OR(AS356="",AJ356=""),"",(AJ356+Variables!$B$18-AS356)),""))</f>
        <v>3</v>
      </c>
      <c r="BE356" s="13">
        <f>IF($AX356="Cancelled","",IFERROR(IF(OR(AW356="",AS356=""),"",(AS356+Variables!$B$19)-AW356),""))</f>
        <v>-8</v>
      </c>
      <c r="BF356" s="44">
        <f>IF($AX356="Cancelled","",IFERROR(W356*INDEX(Variables!$B$7:$D$7,IFERROR(MATCH(IF($B356="Robusta","Robusta",(IF($B356="","Arabica",$B356))&amp;" - "&amp;(IF($C356="","Commercial",$C356))),Variables!$B$1:$D$1,0),1))*(BE356/365),""))</f>
        <v>-3.6428974946976971</v>
      </c>
      <c r="BG356" s="44">
        <f>IF($AX356="Cancelled","",IFERROR((W356*INDEX(Variables!$B$7:$D$7,IFERROR(MATCH(IF($B356="Robusta","Robusta",(IF($B356="","Arabica",$B356))&amp;" - "&amp;(IF($C356="","Commercial",$C356))),Variables!$B$1:$D$1,0),1))*IFERROR(IF(AB356="","",(AVERAGE(E356:F356)-AB356)-Variables!$B$14),"")/365)+(L356/16.67*INDEX(Variables!$B$8:$D$8,IFERROR(MATCH(IF($B356="Robusta","Robusta",(IF($B356="","Arabica",$B356))&amp;" - "&amp;(IF($C356="","Commercial",$C356))),Variables!$B$1:$D$1,0),1))*IFERROR(IF(AB356="","",(AVERAGE(E356:F356)-AB356)-Variables!$B$14),""))+(W356*INDEX(Variables!$B$9:$D$9,IFERROR(MATCH(IF($B356="Robusta","Robusta",(IF($B356="","Arabica",$B356))&amp;" - "&amp;(IF($C356="","Commercial",$C356))),Variables!$B$1:$D$1,0),1))*IFERROR(IF(AB356="","",(AVERAGE(E356:F356)-AB356)-Variables!$B$14),"")/365),""))</f>
        <v>0.44452042763344241</v>
      </c>
      <c r="BH356" s="44">
        <f>IF($AX356="Cancelled","",IFERROR((W356*INDEX(Variables!$B$7:$D$7,IFERROR(MATCH(IF($B356="Robusta","Robusta",(IF($B356="","Arabica",$B356))&amp;" - "&amp;(IF($C356="","Commercial",$C356))),Variables!$B$1:$D$1,0),1))*AK356/365)+(L356/16.67*INDEX(Variables!$B$8:$D$8,IFERROR(MATCH(IF($B356="Robusta","Robusta",(IF($B356="","Arabica",$B356))&amp;" - "&amp;(IF($C356="","Commercial",$C356))),Variables!$B$1:$D$1,0),1))*AK356)+(W356*INDEX(Variables!$B$9:$D$9,IFERROR(MATCH(IF($B356="Robusta","Robusta",(IF($B356="","Arabica",$B356))&amp;" - "&amp;(IF($C356="","Commercial",$C356))),Variables!$B$1:$D$1,0),1))*AK356/365),""))</f>
        <v>5.6898614737080635</v>
      </c>
      <c r="BI356" s="44">
        <f>IF($AX356="Cancelled","",IFERROR((W356*INDEX(Variables!$B$7:$D$7,IFERROR(MATCH(IF($B356="Robusta","Robusta",(IF($B356="","Arabica",$B356))&amp;" - "&amp;(IF($C356="","Commercial",$C356))),Variables!$B$1:$D$1,0),1))*BD356/365)+(L356/16.67*INDEX(Variables!$B$8:$D$8,IFERROR(MATCH(IF($B356="Robusta","Robusta",(IF($B356="","Arabica",$B356))&amp;" - "&amp;(IF($C356="","Commercial",$C356))),Variables!$B$1:$D$1,0),1))*BD356)+(W356*INDEX(Variables!$B$9:$D$9,IFERROR(MATCH(IF($B356="Robusta","Robusta",(IF($B356="","Arabica",$B356))&amp;" - "&amp;(IF($C356="","Commercial",$C356))),Variables!$B$1:$D$1,0),1))*BD356/365),""))</f>
        <v>2.1336980526405234</v>
      </c>
      <c r="BJ356" s="44">
        <f t="shared" si="17"/>
        <v>-7</v>
      </c>
      <c r="BK356" s="44">
        <f>IF($AX356="Cancelled","",IFERROR(IF(BJ356="","",(W356*INDEX(Variables!$B$7:$D$7,IFERROR(MATCH(IF($B356="Robusta","Robusta",(IF($B356="","Arabica",$B356))&amp;" - "&amp;(IF($C356="","Commercial",$C356))),Variables!$B$1:$D$1,0),1))*(BJ356/365))+(W356*INDEX(Variables!$B$9:$D$9,IFERROR(MATCH(IF($B356="Robusta","Robusta",(IF($B356="","Arabica",$B356))&amp;" - "&amp;(IF($C356="","Commercial",$C356))),Variables!$B$1:$D$1,0),1))*(BJ356/365))+(INDEX(Variables!$B$8:$D$8,IFERROR(MATCH(IF($B356="Robusta","Robusta",(IF($B356="","Arabica",$B356))&amp;" - "&amp;(IF($C356="","Commercial",$C356))),Variables!$B$1:$D$1,0),1))*L356/16.67)),""))</f>
        <v>-2.9786287894945551</v>
      </c>
    </row>
    <row r="357" spans="1:63">
      <c r="A357" s="13" t="s">
        <v>103</v>
      </c>
      <c r="B357" s="13" t="s">
        <v>104</v>
      </c>
      <c r="C357" s="13" t="s">
        <v>292</v>
      </c>
      <c r="D357" s="31">
        <v>45729</v>
      </c>
      <c r="E357" s="31">
        <v>45748</v>
      </c>
      <c r="F357" s="31">
        <v>45777</v>
      </c>
      <c r="G357" s="13">
        <v>3786844</v>
      </c>
      <c r="J357" s="13" t="s">
        <v>1051</v>
      </c>
      <c r="K357" s="13" t="s">
        <v>1081</v>
      </c>
      <c r="L357" s="13">
        <v>30</v>
      </c>
      <c r="M357" s="13">
        <v>0</v>
      </c>
      <c r="N357" s="13" t="s">
        <v>1082</v>
      </c>
      <c r="O357" s="13" t="s">
        <v>771</v>
      </c>
      <c r="P357" s="13">
        <v>10010</v>
      </c>
      <c r="R357" s="13" t="s">
        <v>671</v>
      </c>
      <c r="S357" s="13" t="s">
        <v>437</v>
      </c>
      <c r="T357" s="13" t="s">
        <v>438</v>
      </c>
      <c r="U357" s="13" t="s">
        <v>182</v>
      </c>
      <c r="V357" s="13">
        <v>131</v>
      </c>
      <c r="W357" s="44">
        <f>IF($AX357="Cancelled","",IFERROR(((V357+INDEX(Variables!$B$6:$D$6,IFERROR(MATCH(IF($B357="Robusta","Robusta",(IF($B357="","Arabica",$B357))&amp;" - "&amp;(IF($C357="","Commercial",$C357))),Variables!$B$1:$D$1,0),1)))*22.0462)*(L357/16.67),""))</f>
        <v>16735.009886022792</v>
      </c>
      <c r="X357" s="55" t="s">
        <v>39</v>
      </c>
      <c r="Y357" s="13" t="str">
        <f>IF($AX357="Cancelled","",IF(X357="","",IFERROR(IF(INDEX(Variables!$B$38:$B$47,MATCH(X357,Variables!$A$38:$A$47,0))="Yes","Yes","No"),"No")))</f>
        <v>No</v>
      </c>
      <c r="Z357" s="31"/>
      <c r="AB357" s="31">
        <v>45731.875</v>
      </c>
      <c r="AC357" s="13" t="str">
        <f t="shared" si="15"/>
        <v>Approved</v>
      </c>
      <c r="AF357" s="71">
        <f>AJ357-7</f>
        <v>45765</v>
      </c>
      <c r="AG357" s="36">
        <f>IF($AX357="Cancelled","",IFERROR(IF(F357="","",F357-Variables!$B$13),""))</f>
        <v>45762</v>
      </c>
      <c r="AH357" s="13">
        <f>IF($AX357="Cancelled","",IFERROR(IF(AB357="","",(AVERAGE(E357:F357)-AB357)-Variables!$B$14),""))</f>
        <v>0.625</v>
      </c>
      <c r="AJ357" s="47">
        <v>45772</v>
      </c>
      <c r="AK357" s="14">
        <f>IF($AX357="Cancelled","",IFERROR(IF(AJ357="","",IF(AND(AB357="",AF357=""),"",IF(AF357&gt;AB357,AF357+Variables!$B$15+Variables!$B$16+Variables!$B$17-AJ357,AB357+Variables!$B$16+Variables!$B$17-AJ357))),""))</f>
        <v>8</v>
      </c>
      <c r="AL357" s="48" t="s">
        <v>114</v>
      </c>
      <c r="AM357" s="13" t="s">
        <v>3243</v>
      </c>
      <c r="AN357" s="13" t="s">
        <v>195</v>
      </c>
      <c r="AP357" s="31">
        <v>45781</v>
      </c>
      <c r="AR357" s="13" t="s">
        <v>3260</v>
      </c>
      <c r="AS357" s="31">
        <v>45784</v>
      </c>
      <c r="AU357" s="31">
        <v>45793</v>
      </c>
      <c r="AV357" s="13" t="s">
        <v>3272</v>
      </c>
      <c r="AW357" s="31">
        <v>45797</v>
      </c>
      <c r="AX357" s="13" t="str">
        <f>IF(ISNUMBER(SEARCH("cancel",#REF!)),"Cancelled",IF(AND(AS357&lt;&gt;"",AU357&lt;&gt;"",AW357&lt;&gt;""),"Closed","Open"))</f>
        <v>Closed</v>
      </c>
      <c r="AY357" s="15" t="str">
        <f t="shared" si="16"/>
        <v>All dates received</v>
      </c>
      <c r="BD357" s="13">
        <f>IF($AX357="Cancelled","",IFERROR(IF(OR(AS357="",AJ357=""),"",(AJ357+Variables!$B$18-AS357)),""))</f>
        <v>3</v>
      </c>
      <c r="BE357" s="13">
        <f>IF($AX357="Cancelled","",IFERROR(IF(OR(AW357="",AS357=""),"",(AS357+Variables!$B$19)-AW357),""))</f>
        <v>-8</v>
      </c>
      <c r="BF357" s="44">
        <f>IF($AX357="Cancelled","",IFERROR(W357*INDEX(Variables!$B$7:$D$7,IFERROR(MATCH(IF($B357="Robusta","Robusta",(IF($B357="","Arabica",$B357))&amp;" - "&amp;(IF($C357="","Commercial",$C357))),Variables!$B$1:$D$1,0),1))*(BE357/365),""))</f>
        <v>-23.651731604876687</v>
      </c>
      <c r="BG357" s="44">
        <f>IF($AX357="Cancelled","",IFERROR((W357*INDEX(Variables!$B$7:$D$7,IFERROR(MATCH(IF($B357="Robusta","Robusta",(IF($B357="","Arabica",$B357))&amp;" - "&amp;(IF($C357="","Commercial",$C357))),Variables!$B$1:$D$1,0),1))*IFERROR(IF(AB357="","",(AVERAGE(E357:F357)-AB357)-Variables!$B$14),"")/365)+(L357/16.67*INDEX(Variables!$B$8:$D$8,IFERROR(MATCH(IF($B357="Robusta","Robusta",(IF($B357="","Arabica",$B357))&amp;" - "&amp;(IF($C357="","Commercial",$C357))),Variables!$B$1:$D$1,0),1))*IFERROR(IF(AB357="","",(AVERAGE(E357:F357)-AB357)-Variables!$B$14),""))+(W357*INDEX(Variables!$B$9:$D$9,IFERROR(MATCH(IF($B357="Robusta","Robusta",(IF($B357="","Arabica",$B357))&amp;" - "&amp;(IF($C357="","Commercial",$C357))),Variables!$B$1:$D$1,0),1))*IFERROR(IF(AB357="","",(AVERAGE(E357:F357)-AB357)-Variables!$B$14),"")/365),""))</f>
        <v>2.8091131304636123</v>
      </c>
      <c r="BH357" s="44">
        <f>IF($AX357="Cancelled","",IFERROR((W357*INDEX(Variables!$B$7:$D$7,IFERROR(MATCH(IF($B357="Robusta","Robusta",(IF($B357="","Arabica",$B357))&amp;" - "&amp;(IF($C357="","Commercial",$C357))),Variables!$B$1:$D$1,0),1))*AK357/365)+(L357/16.67*INDEX(Variables!$B$8:$D$8,IFERROR(MATCH(IF($B357="Robusta","Robusta",(IF($B357="","Arabica",$B357))&amp;" - "&amp;(IF($C357="","Commercial",$C357))),Variables!$B$1:$D$1,0),1))*AK357)+(W357*INDEX(Variables!$B$9:$D$9,IFERROR(MATCH(IF($B357="Robusta","Robusta",(IF($B357="","Arabica",$B357))&amp;" - "&amp;(IF($C357="","Commercial",$C357))),Variables!$B$1:$D$1,0),1))*AK357/365),""))</f>
        <v>35.956648069934239</v>
      </c>
      <c r="BI357" s="44">
        <f>IF($AX357="Cancelled","",IFERROR((W357*INDEX(Variables!$B$7:$D$7,IFERROR(MATCH(IF($B357="Robusta","Robusta",(IF($B357="","Arabica",$B357))&amp;" - "&amp;(IF($C357="","Commercial",$C357))),Variables!$B$1:$D$1,0),1))*BD357/365)+(L357/16.67*INDEX(Variables!$B$8:$D$8,IFERROR(MATCH(IF($B357="Robusta","Robusta",(IF($B357="","Arabica",$B357))&amp;" - "&amp;(IF($C357="","Commercial",$C357))),Variables!$B$1:$D$1,0),1))*BD357)+(W357*INDEX(Variables!$B$9:$D$9,IFERROR(MATCH(IF($B357="Robusta","Robusta",(IF($B357="","Arabica",$B357))&amp;" - "&amp;(IF($C357="","Commercial",$C357))),Variables!$B$1:$D$1,0),1))*BD357/365),""))</f>
        <v>13.483743026225337</v>
      </c>
      <c r="BJ357" s="44">
        <f t="shared" si="17"/>
        <v>-7</v>
      </c>
      <c r="BK357" s="44">
        <f>IF($AX357="Cancelled","",IFERROR(IF(BJ357="","",(W357*INDEX(Variables!$B$7:$D$7,IFERROR(MATCH(IF($B357="Robusta","Robusta",(IF($B357="","Arabica",$B357))&amp;" - "&amp;(IF($C357="","Commercial",$C357))),Variables!$B$1:$D$1,0),1))*(BJ357/365))+(W357*INDEX(Variables!$B$9:$D$9,IFERROR(MATCH(IF($B357="Robusta","Robusta",(IF($B357="","Arabica",$B357))&amp;" - "&amp;(IF($C357="","Commercial",$C357))),Variables!$B$1:$D$1,0),1))*(BJ357/365))+(INDEX(Variables!$B$8:$D$8,IFERROR(MATCH(IF($B357="Robusta","Robusta",(IF($B357="","Arabica",$B357))&amp;" - "&amp;(IF($C357="","Commercial",$C357))),Variables!$B$1:$D$1,0),1))*L357/16.67)),""))</f>
        <v>-19.462067061192457</v>
      </c>
    </row>
    <row r="358" spans="1:63">
      <c r="A358" s="13" t="s">
        <v>103</v>
      </c>
      <c r="B358" s="13" t="s">
        <v>104</v>
      </c>
      <c r="C358" s="13" t="s">
        <v>292</v>
      </c>
      <c r="D358" s="31">
        <v>45733</v>
      </c>
      <c r="E358" s="31">
        <v>45748</v>
      </c>
      <c r="F358" s="31">
        <v>45777</v>
      </c>
      <c r="G358" s="13">
        <v>3786845</v>
      </c>
      <c r="J358" s="13" t="s">
        <v>1051</v>
      </c>
      <c r="K358" s="13" t="s">
        <v>1083</v>
      </c>
      <c r="L358" s="13">
        <v>4</v>
      </c>
      <c r="M358" s="13">
        <v>0</v>
      </c>
      <c r="N358" s="13" t="s">
        <v>1084</v>
      </c>
      <c r="O358" s="13" t="s">
        <v>1054</v>
      </c>
      <c r="P358" s="13">
        <v>10020</v>
      </c>
      <c r="R358" s="13" t="s">
        <v>671</v>
      </c>
      <c r="S358" s="13" t="s">
        <v>437</v>
      </c>
      <c r="T358" s="13" t="s">
        <v>438</v>
      </c>
      <c r="U358" s="13" t="s">
        <v>182</v>
      </c>
      <c r="V358" s="13">
        <v>116</v>
      </c>
      <c r="W358" s="44">
        <f>IF($AX358="Cancelled","",IFERROR(((V358+INDEX(Variables!$B$6:$D$6,IFERROR(MATCH(IF($B358="Robusta","Robusta",(IF($B358="","Arabica",$B358))&amp;" - "&amp;(IF($C358="","Commercial",$C358))),Variables!$B$1:$D$1,0),1)))*22.0462)*(L358/16.67),""))</f>
        <v>2151.9842015596878</v>
      </c>
      <c r="X358" s="55" t="s">
        <v>39</v>
      </c>
      <c r="Y358" s="13" t="str">
        <f>IF($AX358="Cancelled","",IF(X358="","",IFERROR(IF(INDEX(Variables!$B$38:$B$47,MATCH(X358,Variables!$A$38:$A$47,0))="Yes","Yes","No"),"No")))</f>
        <v>No</v>
      </c>
      <c r="Z358" s="31"/>
      <c r="AB358" s="31">
        <v>45731.875</v>
      </c>
      <c r="AC358" s="13" t="str">
        <f t="shared" si="15"/>
        <v>Approved</v>
      </c>
      <c r="AF358" s="71">
        <f>AJ358-7</f>
        <v>45765</v>
      </c>
      <c r="AG358" s="36">
        <f>IF($AX358="Cancelled","",IFERROR(IF(F358="","",F358-Variables!$B$13),""))</f>
        <v>45762</v>
      </c>
      <c r="AH358" s="13">
        <f>IF($AX358="Cancelled","",IFERROR(IF(AB358="","",(AVERAGE(E358:F358)-AB358)-Variables!$B$14),""))</f>
        <v>0.625</v>
      </c>
      <c r="AJ358" s="47">
        <v>45772</v>
      </c>
      <c r="AK358" s="14">
        <f>IF($AX358="Cancelled","",IFERROR(IF(AJ358="","",IF(AND(AB358="",AF358=""),"",IF(AF358&gt;AB358,AF358+Variables!$B$15+Variables!$B$16+Variables!$B$17-AJ358,AB358+Variables!$B$16+Variables!$B$17-AJ358))),""))</f>
        <v>8</v>
      </c>
      <c r="AL358" s="48" t="s">
        <v>114</v>
      </c>
      <c r="AM358" s="13" t="s">
        <v>3243</v>
      </c>
      <c r="AN358" s="13" t="s">
        <v>195</v>
      </c>
      <c r="AP358" s="31">
        <v>45781</v>
      </c>
      <c r="AR358" s="13" t="s">
        <v>3260</v>
      </c>
      <c r="AS358" s="31">
        <v>45784</v>
      </c>
      <c r="AU358" s="31">
        <v>45793</v>
      </c>
      <c r="AV358" s="13" t="s">
        <v>3272</v>
      </c>
      <c r="AW358" s="31">
        <v>45797</v>
      </c>
      <c r="AX358" s="13" t="str">
        <f>IF(ISNUMBER(SEARCH("cancel",#REF!)),"Cancelled",IF(AND(AS358&lt;&gt;"",AU358&lt;&gt;"",AW358&lt;&gt;""),"Closed","Open"))</f>
        <v>Closed</v>
      </c>
      <c r="AY358" s="15" t="str">
        <f t="shared" si="16"/>
        <v>All dates received</v>
      </c>
      <c r="BD358" s="13">
        <f>IF($AX358="Cancelled","",IFERROR(IF(OR(AS358="",AJ358=""),"",(AJ358+Variables!$B$18-AS358)),""))</f>
        <v>3</v>
      </c>
      <c r="BE358" s="13">
        <f>IF($AX358="Cancelled","",IFERROR(IF(OR(AW358="",AS358=""),"",(AS358+Variables!$B$19)-AW358),""))</f>
        <v>-8</v>
      </c>
      <c r="BF358" s="44">
        <f>IF($AX358="Cancelled","",IFERROR(W358*INDEX(Variables!$B$7:$D$7,IFERROR(MATCH(IF($B358="Robusta","Robusta",(IF($B358="","Arabica",$B358))&amp;" - "&amp;(IF($C358="","Commercial",$C358))),Variables!$B$1:$D$1,0),1))*(BE358/365),""))</f>
        <v>-3.0414175491904021</v>
      </c>
      <c r="BG358" s="44">
        <f>IF($AX358="Cancelled","",IFERROR((W358*INDEX(Variables!$B$7:$D$7,IFERROR(MATCH(IF($B358="Robusta","Robusta",(IF($B358="","Arabica",$B358))&amp;" - "&amp;(IF($C358="","Commercial",$C358))),Variables!$B$1:$D$1,0),1))*IFERROR(IF(AB358="","",(AVERAGE(E358:F358)-AB358)-Variables!$B$14),"")/365)+(L358/16.67*INDEX(Variables!$B$8:$D$8,IFERROR(MATCH(IF($B358="Robusta","Robusta",(IF($B358="","Arabica",$B358))&amp;" - "&amp;(IF($C358="","Commercial",$C358))),Variables!$B$1:$D$1,0),1))*IFERROR(IF(AB358="","",(AVERAGE(E358:F358)-AB358)-Variables!$B$14),""))+(W358*INDEX(Variables!$B$9:$D$9,IFERROR(MATCH(IF($B358="Robusta","Robusta",(IF($B358="","Arabica",$B358))&amp;" - "&amp;(IF($C358="","Commercial",$C358))),Variables!$B$1:$D$1,0),1))*IFERROR(IF(AB358="","",(AVERAGE(E358:F358)-AB358)-Variables!$B$14),"")/365),""))</f>
        <v>0.36567400710371345</v>
      </c>
      <c r="BH358" s="44">
        <f>IF($AX358="Cancelled","",IFERROR((W358*INDEX(Variables!$B$7:$D$7,IFERROR(MATCH(IF($B358="Robusta","Robusta",(IF($B358="","Arabica",$B358))&amp;" - "&amp;(IF($C358="","Commercial",$C358))),Variables!$B$1:$D$1,0),1))*AK358/365)+(L358/16.67*INDEX(Variables!$B$8:$D$8,IFERROR(MATCH(IF($B358="Robusta","Robusta",(IF($B358="","Arabica",$B358))&amp;" - "&amp;(IF($C358="","Commercial",$C358))),Variables!$B$1:$D$1,0),1))*AK358)+(W358*INDEX(Variables!$B$9:$D$9,IFERROR(MATCH(IF($B358="Robusta","Robusta",(IF($B358="","Arabica",$B358))&amp;" - "&amp;(IF($C358="","Commercial",$C358))),Variables!$B$1:$D$1,0),1))*AK358/365),""))</f>
        <v>4.6806272909275322</v>
      </c>
      <c r="BI358" s="44">
        <f>IF($AX358="Cancelled","",IFERROR((W358*INDEX(Variables!$B$7:$D$7,IFERROR(MATCH(IF($B358="Robusta","Robusta",(IF($B358="","Arabica",$B358))&amp;" - "&amp;(IF($C358="","Commercial",$C358))),Variables!$B$1:$D$1,0),1))*BD358/365)+(L358/16.67*INDEX(Variables!$B$8:$D$8,IFERROR(MATCH(IF($B358="Robusta","Robusta",(IF($B358="","Arabica",$B358))&amp;" - "&amp;(IF($C358="","Commercial",$C358))),Variables!$B$1:$D$1,0),1))*BD358)+(W358*INDEX(Variables!$B$9:$D$9,IFERROR(MATCH(IF($B358="Robusta","Robusta",(IF($B358="","Arabica",$B358))&amp;" - "&amp;(IF($C358="","Commercial",$C358))),Variables!$B$1:$D$1,0),1))*BD358/365),""))</f>
        <v>1.7552352340978246</v>
      </c>
      <c r="BJ358" s="44">
        <f t="shared" si="17"/>
        <v>-7</v>
      </c>
      <c r="BK358" s="44">
        <f>IF($AX358="Cancelled","",IFERROR(IF(BJ358="","",(W358*INDEX(Variables!$B$7:$D$7,IFERROR(MATCH(IF($B358="Robusta","Robusta",(IF($B358="","Arabica",$B358))&amp;" - "&amp;(IF($C358="","Commercial",$C358))),Variables!$B$1:$D$1,0),1))*(BJ358/365))+(W358*INDEX(Variables!$B$9:$D$9,IFERROR(MATCH(IF($B358="Robusta","Robusta",(IF($B358="","Arabica",$B358))&amp;" - "&amp;(IF($C358="","Commercial",$C358))),Variables!$B$1:$D$1,0),1))*(BJ358/365))+(INDEX(Variables!$B$8:$D$8,IFERROR(MATCH(IF($B358="Robusta","Robusta",(IF($B358="","Arabica",$B358))&amp;" - "&amp;(IF($C358="","Commercial",$C358))),Variables!$B$1:$D$1,0),1))*L358/16.67)),""))</f>
        <v>-2.4955488795615905</v>
      </c>
    </row>
    <row r="359" spans="1:63">
      <c r="A359" s="13" t="s">
        <v>103</v>
      </c>
      <c r="B359" s="13" t="s">
        <v>104</v>
      </c>
      <c r="C359" s="13" t="s">
        <v>105</v>
      </c>
      <c r="D359" s="31">
        <v>45733</v>
      </c>
      <c r="E359" s="31">
        <v>45809</v>
      </c>
      <c r="F359" s="31">
        <v>45838</v>
      </c>
      <c r="G359" s="13">
        <v>3786846</v>
      </c>
      <c r="H359" s="13">
        <v>93613</v>
      </c>
      <c r="J359" s="13" t="s">
        <v>118</v>
      </c>
      <c r="K359" s="13">
        <v>5281</v>
      </c>
      <c r="L359" s="13">
        <v>720</v>
      </c>
      <c r="M359" s="13">
        <v>2</v>
      </c>
      <c r="N359" s="13" t="s">
        <v>1085</v>
      </c>
      <c r="O359" s="13" t="s">
        <v>1086</v>
      </c>
      <c r="P359" s="13">
        <v>10137</v>
      </c>
      <c r="Q359" s="13" t="s">
        <v>745</v>
      </c>
      <c r="R359" s="13" t="s">
        <v>122</v>
      </c>
      <c r="S359" s="13" t="s">
        <v>167</v>
      </c>
      <c r="T359" s="13" t="s">
        <v>155</v>
      </c>
      <c r="U359" s="13" t="s">
        <v>125</v>
      </c>
      <c r="V359" s="13">
        <v>-36.5</v>
      </c>
      <c r="W359" s="44">
        <f>IF($AX359="Cancelled","",IFERROR(((V359+INDEX(Variables!$B$6:$D$6,IFERROR(MATCH(IF($B359="Robusta","Robusta",(IF($B359="","Arabica",$B359))&amp;" - "&amp;(IF($C359="","Commercial",$C359))),Variables!$B$1:$D$1,0),1)))*22.0462)*(L359/16.67),""))</f>
        <v>242145.83294541089</v>
      </c>
      <c r="X359" s="55" t="s">
        <v>37</v>
      </c>
      <c r="Y359" s="13" t="str">
        <f>IF($AX359="Cancelled","",IF(X359="","",IFERROR(IF(INDEX(Variables!$B$38:$B$47,MATCH(X359,Variables!$A$38:$A$47,0))="Yes","Yes","No"),"No")))</f>
        <v>Yes</v>
      </c>
      <c r="Z359" s="58">
        <v>45764</v>
      </c>
      <c r="AB359" s="31">
        <v>45770</v>
      </c>
      <c r="AC359" s="13" t="str">
        <f t="shared" si="15"/>
        <v>Approved</v>
      </c>
      <c r="AF359" s="71">
        <f>AJ359-7</f>
        <v>45799</v>
      </c>
      <c r="AG359" s="35">
        <f>IF($AX359="Cancelled","",IFERROR(IF(F359="","",F359-Variables!$B$13),""))</f>
        <v>45823</v>
      </c>
      <c r="AH359" s="13">
        <f>IF($AX359="Cancelled","",IFERROR(IF(AB359="","",(AVERAGE(E359:F359)-AB359)-Variables!$B$14),""))</f>
        <v>23.5</v>
      </c>
      <c r="AJ359" s="47">
        <v>45806</v>
      </c>
      <c r="AK359" s="14">
        <f>IF($AX359="Cancelled","",IFERROR(IF(AJ359="","",IF(AND(AB359="",AF359=""),"",IF(AF359&gt;AB359,AF359+Variables!$B$15+Variables!$B$16+Variables!$B$17-AJ359,AB359+Variables!$B$16+Variables!$B$17-AJ359))),""))</f>
        <v>8</v>
      </c>
      <c r="AL359" s="48" t="s">
        <v>114</v>
      </c>
      <c r="AM359" s="13" t="s">
        <v>134</v>
      </c>
      <c r="AN359" s="13" t="s">
        <v>618</v>
      </c>
      <c r="AP359" s="31">
        <v>45827</v>
      </c>
      <c r="AR359" s="13" t="s">
        <v>1087</v>
      </c>
      <c r="AS359" s="31">
        <v>45827</v>
      </c>
      <c r="AU359" s="31">
        <v>45832</v>
      </c>
      <c r="AV359" s="13" t="s">
        <v>865</v>
      </c>
      <c r="AW359" s="31">
        <v>45835</v>
      </c>
      <c r="AX359" s="13" t="str">
        <f>IF(ISNUMBER(SEARCH("cancel",#REF!)),"Cancelled",IF(AND(AS359&lt;&gt;"",AU359&lt;&gt;"",AW359&lt;&gt;""),"Closed","Open"))</f>
        <v>Closed</v>
      </c>
      <c r="AY359" s="15" t="str">
        <f t="shared" si="16"/>
        <v>All dates received</v>
      </c>
      <c r="BD359" s="13">
        <f>IF($AX359="Cancelled","",IFERROR(IF(OR(AS359="",AJ359=""),"",(AJ359+Variables!$B$18-AS359)),""))</f>
        <v>-6</v>
      </c>
      <c r="BE359" s="13">
        <f>IF($AX359="Cancelled","",IFERROR(IF(OR(AW359="",AS359=""),"",(AS359+Variables!$B$19)-AW359),""))</f>
        <v>-3</v>
      </c>
      <c r="BF359" s="44">
        <f>IF($AX359="Cancelled","",IFERROR(W359*INDEX(Variables!$B$7:$D$7,IFERROR(MATCH(IF($B359="Robusta","Robusta",(IF($B359="","Arabica",$B359))&amp;" - "&amp;(IF($C359="","Commercial",$C359))),Variables!$B$1:$D$1,0),1))*(BE359/365),""))</f>
        <v>-128.33503585604856</v>
      </c>
      <c r="BG359" s="44">
        <f>IF($AX359="Cancelled","",IFERROR((W359*INDEX(Variables!$B$7:$D$7,IFERROR(MATCH(IF($B359="Robusta","Robusta",(IF($B359="","Arabica",$B359))&amp;" - "&amp;(IF($C359="","Commercial",$C359))),Variables!$B$1:$D$1,0),1))*IFERROR(IF(AB359="","",(AVERAGE(E359:F359)-AB359)-Variables!$B$14),"")/365)+(L359/16.67*INDEX(Variables!$B$8:$D$8,IFERROR(MATCH(IF($B359="Robusta","Robusta",(IF($B359="","Arabica",$B359))&amp;" - "&amp;(IF($C359="","Commercial",$C359))),Variables!$B$1:$D$1,0),1))*IFERROR(IF(AB359="","",(AVERAGE(E359:F359)-AB359)-Variables!$B$14),""))+(W359*INDEX(Variables!$B$9:$D$9,IFERROR(MATCH(IF($B359="Robusta","Robusta",(IF($B359="","Arabica",$B359))&amp;" - "&amp;(IF($C359="","Commercial",$C359))),Variables!$B$1:$D$1,0),1))*IFERROR(IF(AB359="","",(AVERAGE(E359:F359)-AB359)-Variables!$B$14),"")/365),""))</f>
        <v>1864.251256744883</v>
      </c>
      <c r="BH359" s="44">
        <f>IF($AX359="Cancelled","",IFERROR((W359*INDEX(Variables!$B$7:$D$7,IFERROR(MATCH(IF($B359="Robusta","Robusta",(IF($B359="","Arabica",$B359))&amp;" - "&amp;(IF($C359="","Commercial",$C359))),Variables!$B$1:$D$1,0),1))*AK359/365)+(L359/16.67*INDEX(Variables!$B$8:$D$8,IFERROR(MATCH(IF($B359="Robusta","Robusta",(IF($B359="","Arabica",$B359))&amp;" - "&amp;(IF($C359="","Commercial",$C359))),Variables!$B$1:$D$1,0),1))*AK359)+(W359*INDEX(Variables!$B$9:$D$9,IFERROR(MATCH(IF($B359="Robusta","Robusta",(IF($B359="","Arabica",$B359))&amp;" - "&amp;(IF($C359="","Commercial",$C359))),Variables!$B$1:$D$1,0),1))*AK359/365),""))</f>
        <v>634.63872570038575</v>
      </c>
      <c r="BI359" s="44">
        <f>IF($AX359="Cancelled","",IFERROR((W359*INDEX(Variables!$B$7:$D$7,IFERROR(MATCH(IF($B359="Robusta","Robusta",(IF($B359="","Arabica",$B359))&amp;" - "&amp;(IF($C359="","Commercial",$C359))),Variables!$B$1:$D$1,0),1))*BD359/365)+(L359/16.67*INDEX(Variables!$B$8:$D$8,IFERROR(MATCH(IF($B359="Robusta","Robusta",(IF($B359="","Arabica",$B359))&amp;" - "&amp;(IF($C359="","Commercial",$C359))),Variables!$B$1:$D$1,0),1))*BD359)+(W359*INDEX(Variables!$B$9:$D$9,IFERROR(MATCH(IF($B359="Robusta","Robusta",(IF($B359="","Arabica",$B359))&amp;" - "&amp;(IF($C359="","Commercial",$C359))),Variables!$B$1:$D$1,0),1))*BD359/365),""))</f>
        <v>-475.97904427528931</v>
      </c>
      <c r="BJ359" s="44">
        <f t="shared" si="17"/>
        <v>11</v>
      </c>
      <c r="BK359" s="44">
        <f>IF($AX359="Cancelled","",IFERROR(IF(BJ359="","",(W359*INDEX(Variables!$B$7:$D$7,IFERROR(MATCH(IF($B359="Robusta","Robusta",(IF($B359="","Arabica",$B359))&amp;" - "&amp;(IF($C359="","Commercial",$C359))),Variables!$B$1:$D$1,0),1))*(BJ359/365))+(W359*INDEX(Variables!$B$9:$D$9,IFERROR(MATCH(IF($B359="Robusta","Robusta",(IF($B359="","Arabica",$B359))&amp;" - "&amp;(IF($C359="","Commercial",$C359))),Variables!$B$1:$D$1,0),1))*(BJ359/365))+(INDEX(Variables!$B$8:$D$8,IFERROR(MATCH(IF($B359="Robusta","Robusta",(IF($B359="","Arabica",$B359))&amp;" - "&amp;(IF($C359="","Commercial",$C359))),Variables!$B$1:$D$1,0),1))*L359/16.67)),""))</f>
        <v>512.62824783803035</v>
      </c>
    </row>
    <row r="360" spans="1:63">
      <c r="A360" s="13" t="s">
        <v>103</v>
      </c>
      <c r="B360" s="13" t="s">
        <v>104</v>
      </c>
      <c r="C360" s="13" t="s">
        <v>292</v>
      </c>
      <c r="D360" s="31">
        <v>45733</v>
      </c>
      <c r="E360" s="31">
        <v>45748</v>
      </c>
      <c r="F360" s="31">
        <v>45777</v>
      </c>
      <c r="G360" s="13">
        <v>3786847</v>
      </c>
      <c r="J360" s="13" t="s">
        <v>1088</v>
      </c>
      <c r="L360" s="13">
        <v>29</v>
      </c>
      <c r="M360" s="13">
        <v>1</v>
      </c>
      <c r="N360" s="13" t="s">
        <v>1089</v>
      </c>
      <c r="O360" s="13" t="s">
        <v>771</v>
      </c>
      <c r="P360" s="13">
        <v>10010</v>
      </c>
      <c r="R360" s="13" t="s">
        <v>110</v>
      </c>
      <c r="S360" s="13" t="s">
        <v>1090</v>
      </c>
      <c r="T360" s="13" t="s">
        <v>103</v>
      </c>
      <c r="U360" s="13" t="s">
        <v>1091</v>
      </c>
      <c r="V360" s="13">
        <v>62.8</v>
      </c>
      <c r="W360" s="44">
        <f>IF($AX360="Cancelled","",IFERROR(((V360+INDEX(Variables!$B$6:$D$6,IFERROR(MATCH(IF($B360="Robusta","Robusta",(IF($B360="","Arabica",$B360))&amp;" - "&amp;(IF($C360="","Commercial",$C360))),Variables!$B$1:$D$1,0),1)))*22.0462)*(L360/16.67),""))</f>
        <v>13561.520892621475</v>
      </c>
      <c r="X360" s="55" t="s">
        <v>39</v>
      </c>
      <c r="Y360" s="13" t="str">
        <f>IF($AX360="Cancelled","",IF(X360="","",IFERROR(IF(INDEX(Variables!$B$38:$B$47,MATCH(X360,Variables!$A$38:$A$47,0))="Yes","Yes","No"),"No")))</f>
        <v>No</v>
      </c>
      <c r="Z360" s="31"/>
      <c r="AC360" s="13" t="str">
        <f t="shared" si="15"/>
        <v/>
      </c>
      <c r="AF360" s="71"/>
      <c r="AG360" s="35">
        <f>IF($AX360="Cancelled","",IFERROR(IF(F360="","",F360-Variables!$B$13),""))</f>
        <v>45762</v>
      </c>
      <c r="AH360" s="13" t="str">
        <f>IF($AX360="Cancelled","",IFERROR(IF(AB360="","",(AVERAGE(E360:F360)-AB360)-Variables!$B$14),""))</f>
        <v/>
      </c>
      <c r="AK360" s="14" t="str">
        <f>IF($AX360="Cancelled","",IFERROR(IF(AJ360="","",IF(AND(AB360="",AF360=""),"",IF(AF360&gt;AB360,AF360+Variables!$B$15+Variables!$B$16+Variables!$B$17-AJ360,AB360+Variables!$B$16+Variables!$B$17-AJ360))),""))</f>
        <v/>
      </c>
      <c r="AL360" s="48" t="s">
        <v>114</v>
      </c>
      <c r="AM360" s="13" t="s">
        <v>8</v>
      </c>
      <c r="AN360" s="13" t="s">
        <v>8</v>
      </c>
      <c r="AP360" s="31">
        <v>45767</v>
      </c>
      <c r="AR360" s="13" t="s">
        <v>8</v>
      </c>
      <c r="AS360" s="31">
        <v>45772</v>
      </c>
      <c r="AU360" s="31">
        <v>45772</v>
      </c>
      <c r="AV360" s="13" t="s">
        <v>865</v>
      </c>
      <c r="AW360" s="31">
        <v>45772</v>
      </c>
      <c r="AX360" s="13" t="str">
        <f>IF(ISNUMBER(SEARCH("cancel",#REF!)),"Cancelled",IF(AND(AS360&lt;&gt;"",AU360&lt;&gt;"",AW360&lt;&gt;""),"Closed","Open"))</f>
        <v>Closed</v>
      </c>
      <c r="AY360" s="15" t="str">
        <f t="shared" si="16"/>
        <v>All dates received</v>
      </c>
      <c r="BD360" s="13" t="str">
        <f>IF($AX360="Cancelled","",IFERROR(IF(OR(AS360="",AJ360=""),"",(AJ360+Variables!$B$18-AS360)),""))</f>
        <v/>
      </c>
      <c r="BE360" s="13">
        <f>IF($AX360="Cancelled","",IFERROR(IF(OR(AW360="",AS360=""),"",(AS360+Variables!$B$19)-AW360),""))</f>
        <v>5</v>
      </c>
      <c r="BF360" s="44">
        <f>IF($AX360="Cancelled","",IFERROR(W360*INDEX(Variables!$B$7:$D$7,IFERROR(MATCH(IF($B360="Robusta","Robusta",(IF($B360="","Arabica",$B360))&amp;" - "&amp;(IF($C360="","Commercial",$C360))),Variables!$B$1:$D$1,0),1))*(BE360/365),""))</f>
        <v>11.979132910988993</v>
      </c>
      <c r="BG360" s="44" t="str">
        <f>IF($AX360="Cancelled","",IFERROR((W360*INDEX(Variables!$B$7:$D$7,IFERROR(MATCH(IF($B360="Robusta","Robusta",(IF($B360="","Arabica",$B360))&amp;" - "&amp;(IF($C360="","Commercial",$C360))),Variables!$B$1:$D$1,0),1))*IFERROR(IF(AB360="","",(AVERAGE(E360:F360)-AB360)-Variables!$B$14),"")/365)+(L360/16.67*INDEX(Variables!$B$8:$D$8,IFERROR(MATCH(IF($B360="Robusta","Robusta",(IF($B360="","Arabica",$B360))&amp;" - "&amp;(IF($C360="","Commercial",$C360))),Variables!$B$1:$D$1,0),1))*IFERROR(IF(AB360="","",(AVERAGE(E360:F360)-AB360)-Variables!$B$14),""))+(W360*INDEX(Variables!$B$9:$D$9,IFERROR(MATCH(IF($B360="Robusta","Robusta",(IF($B360="","Arabica",$B360))&amp;" - "&amp;(IF($C360="","Commercial",$C360))),Variables!$B$1:$D$1,0),1))*IFERROR(IF(AB360="","",(AVERAGE(E360:F360)-AB360)-Variables!$B$14),"")/365),""))</f>
        <v/>
      </c>
      <c r="BH360" s="44" t="str">
        <f>IF($AX360="Cancelled","",IFERROR((W360*INDEX(Variables!$B$7:$D$7,IFERROR(MATCH(IF($B360="Robusta","Robusta",(IF($B360="","Arabica",$B360))&amp;" - "&amp;(IF($C360="","Commercial",$C360))),Variables!$B$1:$D$1,0),1))*AK360/365)+(L360/16.67*INDEX(Variables!$B$8:$D$8,IFERROR(MATCH(IF($B360="Robusta","Robusta",(IF($B360="","Arabica",$B360))&amp;" - "&amp;(IF($C360="","Commercial",$C360))),Variables!$B$1:$D$1,0),1))*AK360)+(W360*INDEX(Variables!$B$9:$D$9,IFERROR(MATCH(IF($B360="Robusta","Robusta",(IF($B360="","Arabica",$B360))&amp;" - "&amp;(IF($C360="","Commercial",$C360))),Variables!$B$1:$D$1,0),1))*AK360/365),""))</f>
        <v/>
      </c>
      <c r="BI360" s="44" t="str">
        <f>IF($AX360="Cancelled","",IFERROR((W360*INDEX(Variables!$B$7:$D$7,IFERROR(MATCH(IF($B360="Robusta","Robusta",(IF($B360="","Arabica",$B360))&amp;" - "&amp;(IF($C360="","Commercial",$C360))),Variables!$B$1:$D$1,0),1))*BD360/365)+(L360/16.67*INDEX(Variables!$B$8:$D$8,IFERROR(MATCH(IF($B360="Robusta","Robusta",(IF($B360="","Arabica",$B360))&amp;" - "&amp;(IF($C360="","Commercial",$C360))),Variables!$B$1:$D$1,0),1))*BD360)+(W360*INDEX(Variables!$B$9:$D$9,IFERROR(MATCH(IF($B360="Robusta","Robusta",(IF($B360="","Arabica",$B360))&amp;" - "&amp;(IF($C360="","Commercial",$C360))),Variables!$B$1:$D$1,0),1))*BD360/365),""))</f>
        <v/>
      </c>
      <c r="BJ360" s="44">
        <f t="shared" si="17"/>
        <v>5</v>
      </c>
      <c r="BK360" s="44">
        <f>IF($AX360="Cancelled","",IFERROR(IF(BJ360="","",(W360*INDEX(Variables!$B$7:$D$7,IFERROR(MATCH(IF($B360="Robusta","Robusta",(IF($B360="","Arabica",$B360))&amp;" - "&amp;(IF($C360="","Commercial",$C360))),Variables!$B$1:$D$1,0),1))*(BJ360/365))+(W360*INDEX(Variables!$B$9:$D$9,IFERROR(MATCH(IF($B360="Robusta","Robusta",(IF($B360="","Arabica",$B360))&amp;" - "&amp;(IF($C360="","Commercial",$C360))),Variables!$B$1:$D$1,0),1))*(BJ360/365))+(INDEX(Variables!$B$8:$D$8,IFERROR(MATCH(IF($B360="Robusta","Robusta",(IF($B360="","Arabica",$B360))&amp;" - "&amp;(IF($C360="","Commercial",$C360))),Variables!$B$1:$D$1,0),1))*L360/16.67)),""))</f>
        <v>13.583567052331954</v>
      </c>
    </row>
    <row r="361" spans="1:63">
      <c r="A361" s="13" t="s">
        <v>103</v>
      </c>
      <c r="B361" s="13" t="s">
        <v>104</v>
      </c>
      <c r="C361" s="13" t="s">
        <v>292</v>
      </c>
      <c r="D361" s="31">
        <v>45733</v>
      </c>
      <c r="E361" s="31">
        <v>45748</v>
      </c>
      <c r="F361" s="31">
        <v>45777</v>
      </c>
      <c r="G361" s="13">
        <v>3786848</v>
      </c>
      <c r="J361" s="13" t="s">
        <v>1088</v>
      </c>
      <c r="L361" s="13">
        <v>29</v>
      </c>
      <c r="M361" s="13">
        <v>0</v>
      </c>
      <c r="N361" s="13" t="s">
        <v>1092</v>
      </c>
      <c r="O361" s="13" t="s">
        <v>771</v>
      </c>
      <c r="P361" s="13">
        <v>10010</v>
      </c>
      <c r="R361" s="13" t="s">
        <v>110</v>
      </c>
      <c r="S361" s="13" t="s">
        <v>1090</v>
      </c>
      <c r="T361" s="13" t="s">
        <v>103</v>
      </c>
      <c r="U361" s="13" t="s">
        <v>1091</v>
      </c>
      <c r="V361" s="13">
        <v>62.8</v>
      </c>
      <c r="W361" s="44">
        <f>IF($AX361="Cancelled","",IFERROR(((V361+INDEX(Variables!$B$6:$D$6,IFERROR(MATCH(IF($B361="Robusta","Robusta",(IF($B361="","Arabica",$B361))&amp;" - "&amp;(IF($C361="","Commercial",$C361))),Variables!$B$1:$D$1,0),1)))*22.0462)*(L361/16.67),""))</f>
        <v>13561.520892621475</v>
      </c>
      <c r="X361" s="55" t="s">
        <v>39</v>
      </c>
      <c r="Y361" s="13" t="str">
        <f>IF($AX361="Cancelled","",IF(X361="","",IFERROR(IF(INDEX(Variables!$B$38:$B$47,MATCH(X361,Variables!$A$38:$A$47,0))="Yes","Yes","No"),"No")))</f>
        <v>No</v>
      </c>
      <c r="Z361" s="31"/>
      <c r="AC361" s="13" t="str">
        <f t="shared" si="15"/>
        <v/>
      </c>
      <c r="AF361" s="71"/>
      <c r="AG361" s="35">
        <f>IF($AX361="Cancelled","",IFERROR(IF(F361="","",F361-Variables!$B$13),""))</f>
        <v>45762</v>
      </c>
      <c r="AH361" s="13" t="str">
        <f>IF($AX361="Cancelled","",IFERROR(IF(AB361="","",(AVERAGE(E361:F361)-AB361)-Variables!$B$14),""))</f>
        <v/>
      </c>
      <c r="AK361" s="14" t="str">
        <f>IF($AX361="Cancelled","",IFERROR(IF(AJ361="","",IF(AND(AB361="",AF361=""),"",IF(AF361&gt;AB361,AF361+Variables!$B$15+Variables!$B$16+Variables!$B$17-AJ361,AB361+Variables!$B$16+Variables!$B$17-AJ361))),""))</f>
        <v/>
      </c>
      <c r="AL361" s="48" t="s">
        <v>114</v>
      </c>
      <c r="AM361" s="13" t="s">
        <v>8</v>
      </c>
      <c r="AN361" s="13" t="s">
        <v>8</v>
      </c>
      <c r="AP361" s="31">
        <v>45767</v>
      </c>
      <c r="AR361" s="13" t="s">
        <v>8</v>
      </c>
      <c r="AS361" s="31">
        <v>45772</v>
      </c>
      <c r="AU361" s="31">
        <v>45772</v>
      </c>
      <c r="AV361" s="13" t="s">
        <v>865</v>
      </c>
      <c r="AW361" s="31">
        <v>45772</v>
      </c>
      <c r="AX361" s="13" t="str">
        <f>IF(ISNUMBER(SEARCH("cancel",#REF!)),"Cancelled",IF(AND(AS361&lt;&gt;"",AU361&lt;&gt;"",AW361&lt;&gt;""),"Closed","Open"))</f>
        <v>Closed</v>
      </c>
      <c r="AY361" s="15" t="str">
        <f t="shared" si="16"/>
        <v>All dates received</v>
      </c>
      <c r="BD361" s="13" t="str">
        <f>IF($AX361="Cancelled","",IFERROR(IF(OR(AS361="",AJ361=""),"",(AJ361+Variables!$B$18-AS361)),""))</f>
        <v/>
      </c>
      <c r="BE361" s="13">
        <f>IF($AX361="Cancelled","",IFERROR(IF(OR(AW361="",AS361=""),"",(AS361+Variables!$B$19)-AW361),""))</f>
        <v>5</v>
      </c>
      <c r="BF361" s="44">
        <f>IF($AX361="Cancelled","",IFERROR(W361*INDEX(Variables!$B$7:$D$7,IFERROR(MATCH(IF($B361="Robusta","Robusta",(IF($B361="","Arabica",$B361))&amp;" - "&amp;(IF($C361="","Commercial",$C361))),Variables!$B$1:$D$1,0),1))*(BE361/365),""))</f>
        <v>11.979132910988993</v>
      </c>
      <c r="BG361" s="44" t="str">
        <f>IF($AX361="Cancelled","",IFERROR((W361*INDEX(Variables!$B$7:$D$7,IFERROR(MATCH(IF($B361="Robusta","Robusta",(IF($B361="","Arabica",$B361))&amp;" - "&amp;(IF($C361="","Commercial",$C361))),Variables!$B$1:$D$1,0),1))*IFERROR(IF(AB361="","",(AVERAGE(E361:F361)-AB361)-Variables!$B$14),"")/365)+(L361/16.67*INDEX(Variables!$B$8:$D$8,IFERROR(MATCH(IF($B361="Robusta","Robusta",(IF($B361="","Arabica",$B361))&amp;" - "&amp;(IF($C361="","Commercial",$C361))),Variables!$B$1:$D$1,0),1))*IFERROR(IF(AB361="","",(AVERAGE(E361:F361)-AB361)-Variables!$B$14),""))+(W361*INDEX(Variables!$B$9:$D$9,IFERROR(MATCH(IF($B361="Robusta","Robusta",(IF($B361="","Arabica",$B361))&amp;" - "&amp;(IF($C361="","Commercial",$C361))),Variables!$B$1:$D$1,0),1))*IFERROR(IF(AB361="","",(AVERAGE(E361:F361)-AB361)-Variables!$B$14),"")/365),""))</f>
        <v/>
      </c>
      <c r="BH361" s="44" t="str">
        <f>IF($AX361="Cancelled","",IFERROR((W361*INDEX(Variables!$B$7:$D$7,IFERROR(MATCH(IF($B361="Robusta","Robusta",(IF($B361="","Arabica",$B361))&amp;" - "&amp;(IF($C361="","Commercial",$C361))),Variables!$B$1:$D$1,0),1))*AK361/365)+(L361/16.67*INDEX(Variables!$B$8:$D$8,IFERROR(MATCH(IF($B361="Robusta","Robusta",(IF($B361="","Arabica",$B361))&amp;" - "&amp;(IF($C361="","Commercial",$C361))),Variables!$B$1:$D$1,0),1))*AK361)+(W361*INDEX(Variables!$B$9:$D$9,IFERROR(MATCH(IF($B361="Robusta","Robusta",(IF($B361="","Arabica",$B361))&amp;" - "&amp;(IF($C361="","Commercial",$C361))),Variables!$B$1:$D$1,0),1))*AK361/365),""))</f>
        <v/>
      </c>
      <c r="BI361" s="44" t="str">
        <f>IF($AX361="Cancelled","",IFERROR((W361*INDEX(Variables!$B$7:$D$7,IFERROR(MATCH(IF($B361="Robusta","Robusta",(IF($B361="","Arabica",$B361))&amp;" - "&amp;(IF($C361="","Commercial",$C361))),Variables!$B$1:$D$1,0),1))*BD361/365)+(L361/16.67*INDEX(Variables!$B$8:$D$8,IFERROR(MATCH(IF($B361="Robusta","Robusta",(IF($B361="","Arabica",$B361))&amp;" - "&amp;(IF($C361="","Commercial",$C361))),Variables!$B$1:$D$1,0),1))*BD361)+(W361*INDEX(Variables!$B$9:$D$9,IFERROR(MATCH(IF($B361="Robusta","Robusta",(IF($B361="","Arabica",$B361))&amp;" - "&amp;(IF($C361="","Commercial",$C361))),Variables!$B$1:$D$1,0),1))*BD361/365),""))</f>
        <v/>
      </c>
      <c r="BJ361" s="44">
        <f t="shared" si="17"/>
        <v>5</v>
      </c>
      <c r="BK361" s="44">
        <f>IF($AX361="Cancelled","",IFERROR(IF(BJ361="","",(W361*INDEX(Variables!$B$7:$D$7,IFERROR(MATCH(IF($B361="Robusta","Robusta",(IF($B361="","Arabica",$B361))&amp;" - "&amp;(IF($C361="","Commercial",$C361))),Variables!$B$1:$D$1,0),1))*(BJ361/365))+(W361*INDEX(Variables!$B$9:$D$9,IFERROR(MATCH(IF($B361="Robusta","Robusta",(IF($B361="","Arabica",$B361))&amp;" - "&amp;(IF($C361="","Commercial",$C361))),Variables!$B$1:$D$1,0),1))*(BJ361/365))+(INDEX(Variables!$B$8:$D$8,IFERROR(MATCH(IF($B361="Robusta","Robusta",(IF($B361="","Arabica",$B361))&amp;" - "&amp;(IF($C361="","Commercial",$C361))),Variables!$B$1:$D$1,0),1))*L361/16.67)),""))</f>
        <v>13.583567052331954</v>
      </c>
    </row>
    <row r="362" spans="1:63">
      <c r="A362" s="13" t="s">
        <v>103</v>
      </c>
      <c r="B362" s="13" t="s">
        <v>104</v>
      </c>
      <c r="C362" s="13" t="s">
        <v>105</v>
      </c>
      <c r="D362" s="31">
        <v>45733</v>
      </c>
      <c r="E362" s="31">
        <v>45748</v>
      </c>
      <c r="F362" s="31">
        <v>45777</v>
      </c>
      <c r="G362" s="13">
        <v>3786849</v>
      </c>
      <c r="H362" s="13">
        <v>4800013356</v>
      </c>
      <c r="J362" s="13" t="s">
        <v>1093</v>
      </c>
      <c r="K362" s="13">
        <v>5235</v>
      </c>
      <c r="L362" s="13">
        <v>360</v>
      </c>
      <c r="M362" s="13">
        <v>1</v>
      </c>
      <c r="N362" s="13" t="s">
        <v>1094</v>
      </c>
      <c r="O362" s="13" t="s">
        <v>1095</v>
      </c>
      <c r="P362" s="13">
        <v>10120</v>
      </c>
      <c r="R362" s="13" t="s">
        <v>122</v>
      </c>
      <c r="S362" s="13" t="s">
        <v>154</v>
      </c>
      <c r="T362" s="13" t="s">
        <v>155</v>
      </c>
      <c r="U362" s="13" t="s">
        <v>125</v>
      </c>
      <c r="V362" s="13">
        <v>-48</v>
      </c>
      <c r="W362" s="44">
        <f>IF($AX362="Cancelled","",IFERROR(((V362+INDEX(Variables!$B$6:$D$6,IFERROR(MATCH(IF($B362="Robusta","Robusta",(IF($B362="","Arabica",$B362))&amp;" - "&amp;(IF($C362="","Commercial",$C362))),Variables!$B$1:$D$1,0),1)))*22.0462)*(L362/16.67),""))</f>
        <v>115597.73542891421</v>
      </c>
      <c r="X362" s="55" t="s">
        <v>37</v>
      </c>
      <c r="Y362" s="13" t="str">
        <f>IF($AX362="Cancelled","",IF(X362="","",IFERROR(IF(INDEX(Variables!$B$38:$B$47,MATCH(X362,Variables!$A$38:$A$47,0))="Yes","Yes","No"),"No")))</f>
        <v>Yes</v>
      </c>
      <c r="Z362" s="58">
        <v>45757</v>
      </c>
      <c r="AB362" s="31">
        <v>45775</v>
      </c>
      <c r="AC362" s="13" t="str">
        <f t="shared" si="15"/>
        <v>Approved</v>
      </c>
      <c r="AF362" s="71">
        <f>AJ362-7</f>
        <v>45783</v>
      </c>
      <c r="AG362" s="35">
        <f>IF($AX362="Cancelled","",IFERROR(IF(F362="","",F362-Variables!$B$13),""))</f>
        <v>45762</v>
      </c>
      <c r="AH362" s="13">
        <f>IF($AX362="Cancelled","",IFERROR(IF(AB362="","",(AVERAGE(E362:F362)-AB362)-Variables!$B$14),""))</f>
        <v>-42.5</v>
      </c>
      <c r="AJ362" s="47">
        <v>45790</v>
      </c>
      <c r="AK362" s="14">
        <f>IF($AX362="Cancelled","",IFERROR(IF(AJ362="","",IF(AND(AB362="",AF362=""),"",IF(AF362&gt;AB362,AF362+Variables!$B$15+Variables!$B$16+Variables!$B$17-AJ362,AB362+Variables!$B$16+Variables!$B$17-AJ362))),""))</f>
        <v>8</v>
      </c>
      <c r="AL362" s="48" t="s">
        <v>114</v>
      </c>
      <c r="AM362" s="13" t="s">
        <v>141</v>
      </c>
      <c r="AN362" s="13" t="s">
        <v>1096</v>
      </c>
      <c r="AP362" s="31">
        <v>45800</v>
      </c>
      <c r="AR362" s="13" t="s">
        <v>1097</v>
      </c>
      <c r="AS362" s="31">
        <v>45800</v>
      </c>
      <c r="AU362" s="31">
        <v>45805</v>
      </c>
      <c r="AV362" s="13" t="s">
        <v>865</v>
      </c>
      <c r="AW362" s="31">
        <v>45807</v>
      </c>
      <c r="AX362" s="13" t="str">
        <f>IF(ISNUMBER(SEARCH("cancel",#REF!)),"Cancelled",IF(AND(AS362&lt;&gt;"",AU362&lt;&gt;"",AW362&lt;&gt;""),"Closed","Open"))</f>
        <v>Closed</v>
      </c>
      <c r="AY362" s="15" t="str">
        <f t="shared" si="16"/>
        <v>All dates received</v>
      </c>
      <c r="BD362" s="13">
        <f>IF($AX362="Cancelled","",IFERROR(IF(OR(AS362="",AJ362=""),"",(AJ362+Variables!$B$18-AS362)),""))</f>
        <v>5</v>
      </c>
      <c r="BE362" s="13">
        <f>IF($AX362="Cancelled","",IFERROR(IF(OR(AW362="",AS362=""),"",(AS362+Variables!$B$19)-AW362),""))</f>
        <v>-2</v>
      </c>
      <c r="BF362" s="44">
        <f>IF($AX362="Cancelled","",IFERROR(W362*INDEX(Variables!$B$7:$D$7,IFERROR(MATCH(IF($B362="Robusta","Robusta",(IF($B362="","Arabica",$B362))&amp;" - "&amp;(IF($C362="","Commercial",$C362))),Variables!$B$1:$D$1,0),1))*(BE362/365),""))</f>
        <v>-40.843815317667577</v>
      </c>
      <c r="BG362" s="44">
        <f>IF($AX362="Cancelled","",IFERROR((W362*INDEX(Variables!$B$7:$D$7,IFERROR(MATCH(IF($B362="Robusta","Robusta",(IF($B362="","Arabica",$B362))&amp;" - "&amp;(IF($C362="","Commercial",$C362))),Variables!$B$1:$D$1,0),1))*IFERROR(IF(AB362="","",(AVERAGE(E362:F362)-AB362)-Variables!$B$14),"")/365)+(L362/16.67*INDEX(Variables!$B$8:$D$8,IFERROR(MATCH(IF($B362="Robusta","Robusta",(IF($B362="","Arabica",$B362))&amp;" - "&amp;(IF($C362="","Commercial",$C362))),Variables!$B$1:$D$1,0),1))*IFERROR(IF(AB362="","",(AVERAGE(E362:F362)-AB362)-Variables!$B$14),""))+(W362*INDEX(Variables!$B$9:$D$9,IFERROR(MATCH(IF($B362="Robusta","Robusta",(IF($B362="","Arabica",$B362))&amp;" - "&amp;(IF($C362="","Commercial",$C362))),Variables!$B$1:$D$1,0),1))*IFERROR(IF(AB362="","",(AVERAGE(E362:F362)-AB362)-Variables!$B$14),"")/365),""))</f>
        <v>-1644.1203820542373</v>
      </c>
      <c r="BH362" s="44">
        <f>IF($AX362="Cancelled","",IFERROR((W362*INDEX(Variables!$B$7:$D$7,IFERROR(MATCH(IF($B362="Robusta","Robusta",(IF($B362="","Arabica",$B362))&amp;" - "&amp;(IF($C362="","Commercial",$C362))),Variables!$B$1:$D$1,0),1))*AK362/365)+(L362/16.67*INDEX(Variables!$B$8:$D$8,IFERROR(MATCH(IF($B362="Robusta","Robusta",(IF($B362="","Arabica",$B362))&amp;" - "&amp;(IF($C362="","Commercial",$C362))),Variables!$B$1:$D$1,0),1))*AK362)+(W362*INDEX(Variables!$B$9:$D$9,IFERROR(MATCH(IF($B362="Robusta","Robusta",(IF($B362="","Arabica",$B362))&amp;" - "&amp;(IF($C362="","Commercial",$C362))),Variables!$B$1:$D$1,0),1))*AK362/365),""))</f>
        <v>309.48148368079757</v>
      </c>
      <c r="BI362" s="44">
        <f>IF($AX362="Cancelled","",IFERROR((W362*INDEX(Variables!$B$7:$D$7,IFERROR(MATCH(IF($B362="Robusta","Robusta",(IF($B362="","Arabica",$B362))&amp;" - "&amp;(IF($C362="","Commercial",$C362))),Variables!$B$1:$D$1,0),1))*BD362/365)+(L362/16.67*INDEX(Variables!$B$8:$D$8,IFERROR(MATCH(IF($B362="Robusta","Robusta",(IF($B362="","Arabica",$B362))&amp;" - "&amp;(IF($C362="","Commercial",$C362))),Variables!$B$1:$D$1,0),1))*BD362)+(W362*INDEX(Variables!$B$9:$D$9,IFERROR(MATCH(IF($B362="Robusta","Robusta",(IF($B362="","Arabica",$B362))&amp;" - "&amp;(IF($C362="","Commercial",$C362))),Variables!$B$1:$D$1,0),1))*BD362/365),""))</f>
        <v>193.42592730049847</v>
      </c>
      <c r="BJ362" s="44">
        <f t="shared" si="17"/>
        <v>-23</v>
      </c>
      <c r="BK362" s="44">
        <f>IF($AX362="Cancelled","",IFERROR(IF(BJ362="","",(W362*INDEX(Variables!$B$7:$D$7,IFERROR(MATCH(IF($B362="Robusta","Robusta",(IF($B362="","Arabica",$B362))&amp;" - "&amp;(IF($C362="","Commercial",$C362))),Variables!$B$1:$D$1,0),1))*(BJ362/365))+(W362*INDEX(Variables!$B$9:$D$9,IFERROR(MATCH(IF($B362="Robusta","Robusta",(IF($B362="","Arabica",$B362))&amp;" - "&amp;(IF($C362="","Commercial",$C362))),Variables!$B$1:$D$1,0),1))*(BJ362/365))+(INDEX(Variables!$B$8:$D$8,IFERROR(MATCH(IF($B362="Robusta","Robusta",(IF($B362="","Arabica",$B362))&amp;" - "&amp;(IF($C362="","Commercial",$C362))),Variables!$B$1:$D$1,0),1))*L362/16.67)),""))</f>
        <v>-457.75926558229304</v>
      </c>
    </row>
    <row r="363" spans="1:63">
      <c r="A363" s="13" t="s">
        <v>103</v>
      </c>
      <c r="B363" s="13" t="s">
        <v>104</v>
      </c>
      <c r="C363" s="13" t="s">
        <v>105</v>
      </c>
      <c r="D363" s="31">
        <v>45733</v>
      </c>
      <c r="E363" s="31">
        <v>45809</v>
      </c>
      <c r="F363" s="31">
        <v>45838</v>
      </c>
      <c r="G363" s="13">
        <v>3786850</v>
      </c>
      <c r="H363" s="13">
        <v>4800013357</v>
      </c>
      <c r="J363" s="13" t="s">
        <v>1093</v>
      </c>
      <c r="K363" s="13">
        <v>5289</v>
      </c>
      <c r="L363" s="13">
        <v>360</v>
      </c>
      <c r="M363" s="13">
        <v>1</v>
      </c>
      <c r="N363" s="13" t="s">
        <v>1098</v>
      </c>
      <c r="O363" s="13" t="s">
        <v>1095</v>
      </c>
      <c r="P363" s="13">
        <v>10120</v>
      </c>
      <c r="R363" s="13" t="s">
        <v>122</v>
      </c>
      <c r="S363" s="13" t="s">
        <v>154</v>
      </c>
      <c r="T363" s="13" t="s">
        <v>155</v>
      </c>
      <c r="U363" s="13" t="s">
        <v>125</v>
      </c>
      <c r="V363" s="13">
        <v>-43</v>
      </c>
      <c r="W363" s="44">
        <f>IF($AX363="Cancelled","",IFERROR(((V363+INDEX(Variables!$B$6:$D$6,IFERROR(MATCH(IF($B363="Robusta","Robusta",(IF($B363="","Arabica",$B363))&amp;" - "&amp;(IF($C363="","Commercial",$C363))),Variables!$B$1:$D$1,0),1)))*22.0462)*(L363/16.67),""))</f>
        <v>117978.24892621474</v>
      </c>
      <c r="X363" s="55" t="s">
        <v>37</v>
      </c>
      <c r="Y363" s="13" t="str">
        <f>IF($AX363="Cancelled","",IF(X363="","",IFERROR(IF(INDEX(Variables!$B$38:$B$47,MATCH(X363,Variables!$A$38:$A$47,0))="Yes","Yes","No"),"No")))</f>
        <v>Yes</v>
      </c>
      <c r="Z363" s="58">
        <v>45819</v>
      </c>
      <c r="AB363" s="31">
        <v>45827</v>
      </c>
      <c r="AC363" s="13" t="str">
        <f t="shared" si="15"/>
        <v>Approved</v>
      </c>
      <c r="AF363" s="71">
        <f>AJ363-7</f>
        <v>45827</v>
      </c>
      <c r="AG363" s="35">
        <f>IF($AX363="Cancelled","",IFERROR(IF(F363="","",F363-Variables!$B$13),""))</f>
        <v>45823</v>
      </c>
      <c r="AH363" s="13">
        <f>IF($AX363="Cancelled","",IFERROR(IF(AB363="","",(AVERAGE(E363:F363)-AB363)-Variables!$B$14),""))</f>
        <v>-33.5</v>
      </c>
      <c r="AJ363" s="47">
        <v>45834</v>
      </c>
      <c r="AK363" s="14">
        <f>IF($AX363="Cancelled","",IFERROR(IF(AJ363="","",IF(AND(AB363="",AF363=""),"",IF(AF363&gt;AB363,AF363+Variables!$B$15+Variables!$B$16+Variables!$B$17-AJ363,AB363+Variables!$B$16+Variables!$B$17-AJ363))),""))</f>
        <v>1</v>
      </c>
      <c r="AL363" s="48" t="s">
        <v>114</v>
      </c>
      <c r="AM363" s="13" t="s">
        <v>168</v>
      </c>
      <c r="AN363" s="13" t="s">
        <v>784</v>
      </c>
      <c r="AP363" s="31">
        <v>45844</v>
      </c>
      <c r="AR363" s="13" t="s">
        <v>1099</v>
      </c>
      <c r="AS363" s="31">
        <v>45844</v>
      </c>
      <c r="AU363" s="31">
        <v>45847</v>
      </c>
      <c r="AV363" s="13" t="s">
        <v>865</v>
      </c>
      <c r="AW363" s="31">
        <v>45852</v>
      </c>
      <c r="AX363" s="13" t="str">
        <f>IF(ISNUMBER(SEARCH("cancel",#REF!)),"Cancelled",IF(AND(AS363&lt;&gt;"",AU363&lt;&gt;"",AW363&lt;&gt;""),"Closed","Open"))</f>
        <v>Closed</v>
      </c>
      <c r="AY363" s="15" t="str">
        <f t="shared" si="16"/>
        <v>All dates received</v>
      </c>
      <c r="BD363" s="13">
        <f>IF($AX363="Cancelled","",IFERROR(IF(OR(AS363="",AJ363=""),"",(AJ363+Variables!$B$18-AS363)),""))</f>
        <v>5</v>
      </c>
      <c r="BE363" s="13">
        <f>IF($AX363="Cancelled","",IFERROR(IF(OR(AW363="",AS363=""),"",(AS363+Variables!$B$19)-AW363),""))</f>
        <v>-3</v>
      </c>
      <c r="BF363" s="44">
        <f>IF($AX363="Cancelled","",IFERROR(W363*INDEX(Variables!$B$7:$D$7,IFERROR(MATCH(IF($B363="Robusta","Robusta",(IF($B363="","Arabica",$B363))&amp;" - "&amp;(IF($C363="","Commercial",$C363))),Variables!$B$1:$D$1,0),1))*(BE363/365),""))</f>
        <v>-62.527372955424362</v>
      </c>
      <c r="BG363" s="44">
        <f>IF($AX363="Cancelled","",IFERROR((W363*INDEX(Variables!$B$7:$D$7,IFERROR(MATCH(IF($B363="Robusta","Robusta",(IF($B363="","Arabica",$B363))&amp;" - "&amp;(IF($C363="","Commercial",$C363))),Variables!$B$1:$D$1,0),1))*IFERROR(IF(AB363="","",(AVERAGE(E363:F363)-AB363)-Variables!$B$14),"")/365)+(L363/16.67*INDEX(Variables!$B$8:$D$8,IFERROR(MATCH(IF($B363="Robusta","Robusta",(IF($B363="","Arabica",$B363))&amp;" - "&amp;(IF($C363="","Commercial",$C363))),Variables!$B$1:$D$1,0),1))*IFERROR(IF(AB363="","",(AVERAGE(E363:F363)-AB363)-Variables!$B$14),""))+(W363*INDEX(Variables!$B$9:$D$9,IFERROR(MATCH(IF($B363="Robusta","Robusta",(IF($B363="","Arabica",$B363))&amp;" - "&amp;(IF($C363="","Commercial",$C363))),Variables!$B$1:$D$1,0),1))*IFERROR(IF(AB363="","",(AVERAGE(E363:F363)-AB363)-Variables!$B$14),"")/365),""))</f>
        <v>-1310.2237646619669</v>
      </c>
      <c r="BH363" s="44">
        <f>IF($AX363="Cancelled","",IFERROR((W363*INDEX(Variables!$B$7:$D$7,IFERROR(MATCH(IF($B363="Robusta","Robusta",(IF($B363="","Arabica",$B363))&amp;" - "&amp;(IF($C363="","Commercial",$C363))),Variables!$B$1:$D$1,0),1))*AK363/365)+(L363/16.67*INDEX(Variables!$B$8:$D$8,IFERROR(MATCH(IF($B363="Robusta","Robusta",(IF($B363="","Arabica",$B363))&amp;" - "&amp;(IF($C363="","Commercial",$C363))),Variables!$B$1:$D$1,0),1))*AK363)+(W363*INDEX(Variables!$B$9:$D$9,IFERROR(MATCH(IF($B363="Robusta","Robusta",(IF($B363="","Arabica",$B363))&amp;" - "&amp;(IF($C363="","Commercial",$C363))),Variables!$B$1:$D$1,0),1))*AK363/365),""))</f>
        <v>39.111157154088573</v>
      </c>
      <c r="BI363" s="44">
        <f>IF($AX363="Cancelled","",IFERROR((W363*INDEX(Variables!$B$7:$D$7,IFERROR(MATCH(IF($B363="Robusta","Robusta",(IF($B363="","Arabica",$B363))&amp;" - "&amp;(IF($C363="","Commercial",$C363))),Variables!$B$1:$D$1,0),1))*BD363/365)+(L363/16.67*INDEX(Variables!$B$8:$D$8,IFERROR(MATCH(IF($B363="Robusta","Robusta",(IF($B363="","Arabica",$B363))&amp;" - "&amp;(IF($C363="","Commercial",$C363))),Variables!$B$1:$D$1,0),1))*BD363)+(W363*INDEX(Variables!$B$9:$D$9,IFERROR(MATCH(IF($B363="Robusta","Robusta",(IF($B363="","Arabica",$B363))&amp;" - "&amp;(IF($C363="","Commercial",$C363))),Variables!$B$1:$D$1,0),1))*BD363/365),""))</f>
        <v>195.55578577044287</v>
      </c>
      <c r="BJ363" s="44">
        <f t="shared" si="17"/>
        <v>-6</v>
      </c>
      <c r="BK363" s="44">
        <f>IF($AX363="Cancelled","",IFERROR(IF(BJ363="","",(W363*INDEX(Variables!$B$7:$D$7,IFERROR(MATCH(IF($B363="Robusta","Robusta",(IF($B363="","Arabica",$B363))&amp;" - "&amp;(IF($C363="","Commercial",$C363))),Variables!$B$1:$D$1,0),1))*(BJ363/365))+(W363*INDEX(Variables!$B$9:$D$9,IFERROR(MATCH(IF($B363="Robusta","Robusta",(IF($B363="","Arabica",$B363))&amp;" - "&amp;(IF($C363="","Commercial",$C363))),Variables!$B$1:$D$1,0),1))*(BJ363/365))+(INDEX(Variables!$B$8:$D$8,IFERROR(MATCH(IF($B363="Robusta","Robusta",(IF($B363="","Arabica",$B363))&amp;" - "&amp;(IF($C363="","Commercial",$C363))),Variables!$B$1:$D$1,0),1))*L363/16.67)),""))</f>
        <v>-108.6669429245314</v>
      </c>
    </row>
    <row r="364" spans="1:63">
      <c r="A364" s="13" t="s">
        <v>103</v>
      </c>
      <c r="B364" s="13" t="s">
        <v>104</v>
      </c>
      <c r="C364" s="13" t="s">
        <v>105</v>
      </c>
      <c r="D364" s="31">
        <v>45733</v>
      </c>
      <c r="E364" s="31">
        <v>45839</v>
      </c>
      <c r="F364" s="31">
        <v>45869</v>
      </c>
      <c r="G364" s="13">
        <v>3786851</v>
      </c>
      <c r="H364" s="13" t="s">
        <v>1100</v>
      </c>
      <c r="J364" s="13" t="s">
        <v>260</v>
      </c>
      <c r="K364" s="13">
        <v>5307</v>
      </c>
      <c r="L364" s="13">
        <v>320</v>
      </c>
      <c r="M364" s="13">
        <v>1</v>
      </c>
      <c r="N364" s="13" t="s">
        <v>1101</v>
      </c>
      <c r="O364" s="13" t="s">
        <v>405</v>
      </c>
      <c r="P364" s="13">
        <v>10150</v>
      </c>
      <c r="R364" s="13" t="s">
        <v>110</v>
      </c>
      <c r="S364" s="13" t="s">
        <v>262</v>
      </c>
      <c r="T364" s="13" t="s">
        <v>263</v>
      </c>
      <c r="U364" s="13" t="s">
        <v>125</v>
      </c>
      <c r="V364" s="13">
        <v>-95</v>
      </c>
      <c r="W364" s="44">
        <f>IF($AX364="Cancelled","",IFERROR(((V364+INDEX(Variables!$B$6:$D$6,IFERROR(MATCH(IF($B364="Robusta","Robusta",(IF($B364="","Arabica",$B364))&amp;" - "&amp;(IF($C364="","Commercial",$C364))),Variables!$B$1:$D$1,0),1)))*22.0462)*(L364/16.67),""))</f>
        <v>82863.029826034777</v>
      </c>
      <c r="X364" s="55" t="s">
        <v>37</v>
      </c>
      <c r="Y364" s="13" t="str">
        <f>IF($AX364="Cancelled","",IF(X364="","",IFERROR(IF(INDEX(Variables!$B$38:$B$47,MATCH(X364,Variables!$A$38:$A$47,0))="Yes","Yes","No"),"No")))</f>
        <v>Yes</v>
      </c>
      <c r="Z364" s="58">
        <v>45806</v>
      </c>
      <c r="AB364" s="31">
        <v>45838</v>
      </c>
      <c r="AC364" s="13" t="str">
        <f t="shared" si="15"/>
        <v>Approved</v>
      </c>
      <c r="AF364" s="71">
        <f>AJ364-7</f>
        <v>45834</v>
      </c>
      <c r="AG364" s="35">
        <f>IF($AX364="Cancelled","",IFERROR(IF(F364="","",F364-Variables!$B$13),""))</f>
        <v>45854</v>
      </c>
      <c r="AH364" s="13">
        <f>IF($AX364="Cancelled","",IFERROR(IF(AB364="","",(AVERAGE(E364:F364)-AB364)-Variables!$B$14),""))</f>
        <v>-14</v>
      </c>
      <c r="AJ364" s="47">
        <v>45841</v>
      </c>
      <c r="AK364" s="14">
        <f>IF($AX364="Cancelled","",IFERROR(IF(AJ364="","",IF(AND(AB364="",AF364=""),"",IF(AF364&gt;AB364,AF364+Variables!$B$15+Variables!$B$16+Variables!$B$17-AJ364,AB364+Variables!$B$16+Variables!$B$17-AJ364))),""))</f>
        <v>5</v>
      </c>
      <c r="AL364" s="48" t="s">
        <v>114</v>
      </c>
      <c r="AM364" s="13" t="s">
        <v>168</v>
      </c>
      <c r="AN364" s="13" t="s">
        <v>1096</v>
      </c>
      <c r="AP364" s="31">
        <v>45859</v>
      </c>
      <c r="AR364" s="13" t="s">
        <v>1102</v>
      </c>
      <c r="AS364" s="31">
        <v>45859</v>
      </c>
      <c r="AU364" s="31">
        <v>45866</v>
      </c>
      <c r="AV364" s="13" t="s">
        <v>865</v>
      </c>
      <c r="AW364" s="31">
        <v>45866</v>
      </c>
      <c r="AX364" s="13" t="str">
        <f>IF(ISNUMBER(SEARCH("cancel",#REF!)),"Cancelled",IF(AND(AS364&lt;&gt;"",AU364&lt;&gt;"",AW364&lt;&gt;""),"Closed","Open"))</f>
        <v>Closed</v>
      </c>
      <c r="AY364" s="15" t="str">
        <f t="shared" si="16"/>
        <v>All dates received</v>
      </c>
      <c r="BD364" s="13">
        <f>IF($AX364="Cancelled","",IFERROR(IF(OR(AS364="",AJ364=""),"",(AJ364+Variables!$B$18-AS364)),""))</f>
        <v>-3</v>
      </c>
      <c r="BE364" s="13">
        <f>IF($AX364="Cancelled","",IFERROR(IF(OR(AW364="",AS364=""),"",(AS364+Variables!$B$19)-AW364),""))</f>
        <v>-2</v>
      </c>
      <c r="BF364" s="44">
        <f>IF($AX364="Cancelled","",IFERROR(W364*INDEX(Variables!$B$7:$D$7,IFERROR(MATCH(IF($B364="Robusta","Robusta",(IF($B364="","Arabica",$B364))&amp;" - "&amp;(IF($C364="","Commercial",$C364))),Variables!$B$1:$D$1,0),1))*(BE364/365),""))</f>
        <v>-29.277755955333372</v>
      </c>
      <c r="BG364" s="44">
        <f>IF($AX364="Cancelled","",IFERROR((W364*INDEX(Variables!$B$7:$D$7,IFERROR(MATCH(IF($B364="Robusta","Robusta",(IF($B364="","Arabica",$B364))&amp;" - "&amp;(IF($C364="","Commercial",$C364))),Variables!$B$1:$D$1,0),1))*IFERROR(IF(AB364="","",(AVERAGE(E364:F364)-AB364)-Variables!$B$14),"")/365)+(L364/16.67*INDEX(Variables!$B$8:$D$8,IFERROR(MATCH(IF($B364="Robusta","Robusta",(IF($B364="","Arabica",$B364))&amp;" - "&amp;(IF($C364="","Commercial",$C364))),Variables!$B$1:$D$1,0),1))*IFERROR(IF(AB364="","",(AVERAGE(E364:F364)-AB364)-Variables!$B$14),""))+(W364*INDEX(Variables!$B$9:$D$9,IFERROR(MATCH(IF($B364="Robusta","Robusta",(IF($B364="","Arabica",$B364))&amp;" - "&amp;(IF($C364="","Commercial",$C364))),Variables!$B$1:$D$1,0),1))*IFERROR(IF(AB364="","",(AVERAGE(E364:F364)-AB364)-Variables!$B$14),"")/365),""))</f>
        <v>-431.58641912218661</v>
      </c>
      <c r="BH364" s="44">
        <f>IF($AX364="Cancelled","",IFERROR((W364*INDEX(Variables!$B$7:$D$7,IFERROR(MATCH(IF($B364="Robusta","Robusta",(IF($B364="","Arabica",$B364))&amp;" - "&amp;(IF($C364="","Commercial",$C364))),Variables!$B$1:$D$1,0),1))*AK364/365)+(L364/16.67*INDEX(Variables!$B$8:$D$8,IFERROR(MATCH(IF($B364="Robusta","Robusta",(IF($B364="","Arabica",$B364))&amp;" - "&amp;(IF($C364="","Commercial",$C364))),Variables!$B$1:$D$1,0),1))*AK364)+(W364*INDEX(Variables!$B$9:$D$9,IFERROR(MATCH(IF($B364="Robusta","Robusta",(IF($B364="","Arabica",$B364))&amp;" - "&amp;(IF($C364="","Commercial",$C364))),Variables!$B$1:$D$1,0),1))*AK364/365),""))</f>
        <v>154.13800682935238</v>
      </c>
      <c r="BI364" s="44">
        <f>IF($AX364="Cancelled","",IFERROR((W364*INDEX(Variables!$B$7:$D$7,IFERROR(MATCH(IF($B364="Robusta","Robusta",(IF($B364="","Arabica",$B364))&amp;" - "&amp;(IF($C364="","Commercial",$C364))),Variables!$B$1:$D$1,0),1))*BD364/365)+(L364/16.67*INDEX(Variables!$B$8:$D$8,IFERROR(MATCH(IF($B364="Robusta","Robusta",(IF($B364="","Arabica",$B364))&amp;" - "&amp;(IF($C364="","Commercial",$C364))),Variables!$B$1:$D$1,0),1))*BD364)+(W364*INDEX(Variables!$B$9:$D$9,IFERROR(MATCH(IF($B364="Robusta","Robusta",(IF($B364="","Arabica",$B364))&amp;" - "&amp;(IF($C364="","Commercial",$C364))),Variables!$B$1:$D$1,0),1))*BD364/365),""))</f>
        <v>-92.482804097611421</v>
      </c>
      <c r="BJ364" s="44">
        <f t="shared" si="17"/>
        <v>10</v>
      </c>
      <c r="BK364" s="44">
        <f>IF($AX364="Cancelled","",IFERROR(IF(BJ364="","",(W364*INDEX(Variables!$B$7:$D$7,IFERROR(MATCH(IF($B364="Robusta","Robusta",(IF($B364="","Arabica",$B364))&amp;" - "&amp;(IF($C364="","Commercial",$C364))),Variables!$B$1:$D$1,0),1))*(BJ364/365))+(W364*INDEX(Variables!$B$9:$D$9,IFERROR(MATCH(IF($B364="Robusta","Robusta",(IF($B364="","Arabica",$B364))&amp;" - "&amp;(IF($C364="","Commercial",$C364))),Variables!$B$1:$D$1,0),1))*(BJ364/365))+(INDEX(Variables!$B$8:$D$8,IFERROR(MATCH(IF($B364="Robusta","Robusta",(IF($B364="","Arabica",$B364))&amp;" - "&amp;(IF($C364="","Commercial",$C364))),Variables!$B$1:$D$1,0),1))*L364/16.67)),""))</f>
        <v>164.27601365870476</v>
      </c>
    </row>
    <row r="365" spans="1:63">
      <c r="A365" s="13" t="s">
        <v>103</v>
      </c>
      <c r="B365" s="13" t="s">
        <v>104</v>
      </c>
      <c r="C365" s="13" t="s">
        <v>105</v>
      </c>
      <c r="D365" s="31">
        <v>45734</v>
      </c>
      <c r="E365" s="31">
        <v>45748</v>
      </c>
      <c r="F365" s="31">
        <v>45777</v>
      </c>
      <c r="G365" s="13">
        <v>3786852</v>
      </c>
      <c r="H365" s="13" t="s">
        <v>1103</v>
      </c>
      <c r="J365" s="13" t="s">
        <v>1093</v>
      </c>
      <c r="K365" s="13">
        <v>5236</v>
      </c>
      <c r="L365" s="13">
        <v>360</v>
      </c>
      <c r="M365" s="13">
        <v>1</v>
      </c>
      <c r="N365" s="13" t="s">
        <v>1085</v>
      </c>
      <c r="O365" s="13" t="s">
        <v>332</v>
      </c>
      <c r="P365" s="13">
        <v>10120</v>
      </c>
      <c r="Q365" s="13" t="s">
        <v>745</v>
      </c>
      <c r="R365" s="13" t="s">
        <v>122</v>
      </c>
      <c r="S365" s="13" t="s">
        <v>154</v>
      </c>
      <c r="T365" s="13" t="s">
        <v>155</v>
      </c>
      <c r="U365" s="13" t="s">
        <v>125</v>
      </c>
      <c r="V365" s="13">
        <v>-44</v>
      </c>
      <c r="W365" s="44">
        <f>IF($AX365="Cancelled","",IFERROR(((V365+INDEX(Variables!$B$6:$D$6,IFERROR(MATCH(IF($B365="Robusta","Robusta",(IF($B365="","Arabica",$B365))&amp;" - "&amp;(IF($C365="","Commercial",$C365))),Variables!$B$1:$D$1,0),1)))*22.0462)*(L365/16.67),""))</f>
        <v>117502.14622675464</v>
      </c>
      <c r="X365" s="55" t="s">
        <v>37</v>
      </c>
      <c r="Y365" s="13" t="str">
        <f>IF($AX365="Cancelled","",IF(X365="","",IFERROR(IF(INDEX(Variables!$B$38:$B$47,MATCH(X365,Variables!$A$38:$A$47,0))="Yes","Yes","No"),"No")))</f>
        <v>Yes</v>
      </c>
      <c r="Z365" s="58">
        <v>45757</v>
      </c>
      <c r="AB365" s="31">
        <v>45775</v>
      </c>
      <c r="AC365" s="13" t="str">
        <f t="shared" si="15"/>
        <v>Approved</v>
      </c>
      <c r="AF365" s="71">
        <f>AJ365-7</f>
        <v>45782</v>
      </c>
      <c r="AG365" s="35">
        <f>IF($AX365="Cancelled","",IFERROR(IF(F365="","",F365-Variables!$B$13),""))</f>
        <v>45762</v>
      </c>
      <c r="AH365" s="13">
        <f>IF($AX365="Cancelled","",IFERROR(IF(AB365="","",(AVERAGE(E365:F365)-AB365)-Variables!$B$14),""))</f>
        <v>-42.5</v>
      </c>
      <c r="AJ365" s="47">
        <v>45789</v>
      </c>
      <c r="AK365" s="14">
        <f>IF($AX365="Cancelled","",IFERROR(IF(AJ365="","",IF(AND(AB365="",AF365=""),"",IF(AF365&gt;AB365,AF365+Variables!$B$15+Variables!$B$16+Variables!$B$17-AJ365,AB365+Variables!$B$16+Variables!$B$17-AJ365))),""))</f>
        <v>8</v>
      </c>
      <c r="AL365" s="48" t="s">
        <v>114</v>
      </c>
      <c r="AM365" s="13" t="s">
        <v>141</v>
      </c>
      <c r="AN365" s="13" t="s">
        <v>1096</v>
      </c>
      <c r="AP365" s="31">
        <v>45800</v>
      </c>
      <c r="AR365" s="13" t="s">
        <v>1104</v>
      </c>
      <c r="AS365" s="31">
        <v>45800</v>
      </c>
      <c r="AU365" s="31">
        <v>45805</v>
      </c>
      <c r="AV365" s="13" t="s">
        <v>865</v>
      </c>
      <c r="AW365" s="31">
        <v>45807</v>
      </c>
      <c r="AX365" s="13" t="str">
        <f>IF(ISNUMBER(SEARCH("cancel",#REF!)),"Cancelled",IF(AND(AS365&lt;&gt;"",AU365&lt;&gt;"",AW365&lt;&gt;""),"Closed","Open"))</f>
        <v>Closed</v>
      </c>
      <c r="AY365" s="15" t="str">
        <f t="shared" si="16"/>
        <v>All dates received</v>
      </c>
      <c r="BD365" s="13">
        <f>IF($AX365="Cancelled","",IFERROR(IF(OR(AS365="",AJ365=""),"",(AJ365+Variables!$B$18-AS365)),""))</f>
        <v>4</v>
      </c>
      <c r="BE365" s="13">
        <f>IF($AX365="Cancelled","",IFERROR(IF(OR(AW365="",AS365=""),"",(AS365+Variables!$B$19)-AW365),""))</f>
        <v>-2</v>
      </c>
      <c r="BF365" s="44">
        <f>IF($AX365="Cancelled","",IFERROR(W365*INDEX(Variables!$B$7:$D$7,IFERROR(MATCH(IF($B365="Robusta","Robusta",(IF($B365="","Arabica",$B365))&amp;" - "&amp;(IF($C365="","Commercial",$C365))),Variables!$B$1:$D$1,0),1))*(BE365/365),""))</f>
        <v>-41.516695306426513</v>
      </c>
      <c r="BG365" s="44">
        <f>IF($AX365="Cancelled","",IFERROR((W365*INDEX(Variables!$B$7:$D$7,IFERROR(MATCH(IF($B365="Robusta","Robusta",(IF($B365="","Arabica",$B365))&amp;" - "&amp;(IF($C365="","Commercial",$C365))),Variables!$B$1:$D$1,0),1))*IFERROR(IF(AB365="","",(AVERAGE(E365:F365)-AB365)-Variables!$B$14),"")/365)+(L365/16.67*INDEX(Variables!$B$8:$D$8,IFERROR(MATCH(IF($B365="Robusta","Robusta",(IF($B365="","Arabica",$B365))&amp;" - "&amp;(IF($C365="","Commercial",$C365))),Variables!$B$1:$D$1,0),1))*IFERROR(IF(AB365="","",(AVERAGE(E365:F365)-AB365)-Variables!$B$14),""))+(W365*INDEX(Variables!$B$9:$D$9,IFERROR(MATCH(IF($B365="Robusta","Robusta",(IF($B365="","Arabica",$B365))&amp;" - "&amp;(IF($C365="","Commercial",$C365))),Variables!$B$1:$D$1,0),1))*IFERROR(IF(AB365="","",(AVERAGE(E365:F365)-AB365)-Variables!$B$14),"")/365),""))</f>
        <v>-1658.603419649859</v>
      </c>
      <c r="BH365" s="44">
        <f>IF($AX365="Cancelled","",IFERROR((W365*INDEX(Variables!$B$7:$D$7,IFERROR(MATCH(IF($B365="Robusta","Robusta",(IF($B365="","Arabica",$B365))&amp;" - "&amp;(IF($C365="","Commercial",$C365))),Variables!$B$1:$D$1,0),1))*AK365/365)+(L365/16.67*INDEX(Variables!$B$8:$D$8,IFERROR(MATCH(IF($B365="Robusta","Robusta",(IF($B365="","Arabica",$B365))&amp;" - "&amp;(IF($C365="","Commercial",$C365))),Variables!$B$1:$D$1,0),1))*AK365)+(W365*INDEX(Variables!$B$9:$D$9,IFERROR(MATCH(IF($B365="Robusta","Robusta",(IF($B365="","Arabica",$B365))&amp;" - "&amp;(IF($C365="","Commercial",$C365))),Variables!$B$1:$D$1,0),1))*AK365/365),""))</f>
        <v>312.20770252232643</v>
      </c>
      <c r="BI365" s="44">
        <f>IF($AX365="Cancelled","",IFERROR((W365*INDEX(Variables!$B$7:$D$7,IFERROR(MATCH(IF($B365="Robusta","Robusta",(IF($B365="","Arabica",$B365))&amp;" - "&amp;(IF($C365="","Commercial",$C365))),Variables!$B$1:$D$1,0),1))*BD365/365)+(L365/16.67*INDEX(Variables!$B$8:$D$8,IFERROR(MATCH(IF($B365="Robusta","Robusta",(IF($B365="","Arabica",$B365))&amp;" - "&amp;(IF($C365="","Commercial",$C365))),Variables!$B$1:$D$1,0),1))*BD365)+(W365*INDEX(Variables!$B$9:$D$9,IFERROR(MATCH(IF($B365="Robusta","Robusta",(IF($B365="","Arabica",$B365))&amp;" - "&amp;(IF($C365="","Commercial",$C365))),Variables!$B$1:$D$1,0),1))*BD365/365),""))</f>
        <v>156.10385126116321</v>
      </c>
      <c r="BJ365" s="44">
        <f t="shared" si="17"/>
        <v>-23</v>
      </c>
      <c r="BK365" s="44">
        <f>IF($AX365="Cancelled","",IFERROR(IF(BJ365="","",(W365*INDEX(Variables!$B$7:$D$7,IFERROR(MATCH(IF($B365="Robusta","Robusta",(IF($B365="","Arabica",$B365))&amp;" - "&amp;(IF($C365="","Commercial",$C365))),Variables!$B$1:$D$1,0),1))*(BJ365/365))+(W365*INDEX(Variables!$B$9:$D$9,IFERROR(MATCH(IF($B365="Robusta","Robusta",(IF($B365="","Arabica",$B365))&amp;" - "&amp;(IF($C365="","Commercial",$C365))),Variables!$B$1:$D$1,0),1))*(BJ365/365))+(INDEX(Variables!$B$8:$D$8,IFERROR(MATCH(IF($B365="Robusta","Robusta",(IF($B365="","Arabica",$B365))&amp;" - "&amp;(IF($C365="","Commercial",$C365))),Variables!$B$1:$D$1,0),1))*L365/16.67)),""))</f>
        <v>-465.59714475168823</v>
      </c>
    </row>
    <row r="366" spans="1:63">
      <c r="A366" s="13" t="s">
        <v>103</v>
      </c>
      <c r="B366" s="13" t="s">
        <v>104</v>
      </c>
      <c r="C366" s="13" t="s">
        <v>105</v>
      </c>
      <c r="D366" s="31">
        <v>45735</v>
      </c>
      <c r="E366" s="31">
        <v>45748</v>
      </c>
      <c r="F366" s="31">
        <v>45777</v>
      </c>
      <c r="G366" s="13">
        <v>3786853</v>
      </c>
      <c r="H366" s="13" t="s">
        <v>1105</v>
      </c>
      <c r="J366" s="13" t="s">
        <v>118</v>
      </c>
      <c r="K366" s="13" t="s">
        <v>1106</v>
      </c>
      <c r="L366" s="13">
        <v>720</v>
      </c>
      <c r="M366" s="13">
        <v>2</v>
      </c>
      <c r="N366" s="13" t="s">
        <v>1107</v>
      </c>
      <c r="O366" s="13" t="s">
        <v>179</v>
      </c>
      <c r="P366" s="13">
        <v>10110</v>
      </c>
      <c r="R366" s="13" t="s">
        <v>122</v>
      </c>
      <c r="S366" s="13" t="s">
        <v>123</v>
      </c>
      <c r="T366" s="13" t="s">
        <v>124</v>
      </c>
      <c r="U366" s="13" t="s">
        <v>125</v>
      </c>
      <c r="V366" s="13">
        <v>-11.3</v>
      </c>
      <c r="W366" s="44">
        <f>IF($AX366="Cancelled","",IFERROR(((V366+INDEX(Variables!$B$6:$D$6,IFERROR(MATCH(IF($B366="Robusta","Robusta",(IF($B366="","Arabica",$B366))&amp;" - "&amp;(IF($C366="","Commercial",$C366))),Variables!$B$1:$D$1,0),1)))*22.0462)*(L366/16.67),""))</f>
        <v>266141.40899820032</v>
      </c>
      <c r="X366" s="55" t="s">
        <v>37</v>
      </c>
      <c r="Y366" s="13" t="str">
        <f>IF($AX366="Cancelled","",IF(X366="","",IFERROR(IF(INDEX(Variables!$B$38:$B$47,MATCH(X366,Variables!$A$38:$A$47,0))="Yes","Yes","No"),"No")))</f>
        <v>Yes</v>
      </c>
      <c r="Z366" s="58">
        <v>45737</v>
      </c>
      <c r="AB366" s="31">
        <v>45748</v>
      </c>
      <c r="AC366" s="13" t="str">
        <f t="shared" si="15"/>
        <v>Approved</v>
      </c>
      <c r="AF366" s="71">
        <v>45751</v>
      </c>
      <c r="AG366" s="35">
        <f>IF($AX366="Cancelled","",IFERROR(IF(F366="","",F366-Variables!$B$13),""))</f>
        <v>45762</v>
      </c>
      <c r="AH366" s="13">
        <f>IF($AX366="Cancelled","",IFERROR(IF(AB366="","",(AVERAGE(E366:F366)-AB366)-Variables!$B$14),""))</f>
        <v>-15.5</v>
      </c>
      <c r="AJ366" s="47">
        <v>45754</v>
      </c>
      <c r="AK366" s="14">
        <f>IF($AX366="Cancelled","",IFERROR(IF(AJ366="","",IF(AND(AB366="",AF366=""),"",IF(AF366&gt;AB366,AF366+Variables!$B$15+Variables!$B$16+Variables!$B$17-AJ366,AB366+Variables!$B$16+Variables!$B$17-AJ366))),""))</f>
        <v>12</v>
      </c>
      <c r="AL366" s="48" t="s">
        <v>114</v>
      </c>
      <c r="AM366" s="13" t="s">
        <v>168</v>
      </c>
      <c r="AN366" s="13" t="s">
        <v>1108</v>
      </c>
      <c r="AP366" s="31">
        <v>45765</v>
      </c>
      <c r="AR366" s="13" t="s">
        <v>1109</v>
      </c>
      <c r="AS366" s="31">
        <v>45765</v>
      </c>
      <c r="AU366" s="31">
        <v>45771</v>
      </c>
      <c r="AV366" s="13" t="s">
        <v>865</v>
      </c>
      <c r="AW366" s="31">
        <v>45779</v>
      </c>
      <c r="AX366" s="13" t="str">
        <f>IF(ISNUMBER(SEARCH("cancel",#REF!)),"Cancelled",IF(AND(AS366&lt;&gt;"",AU366&lt;&gt;"",AW366&lt;&gt;""),"Closed","Open"))</f>
        <v>Closed</v>
      </c>
      <c r="AY366" s="15" t="str">
        <f t="shared" si="16"/>
        <v>All dates received</v>
      </c>
      <c r="BD366" s="13">
        <f>IF($AX366="Cancelled","",IFERROR(IF(OR(AS366="",AJ366=""),"",(AJ366+Variables!$B$18-AS366)),""))</f>
        <v>4</v>
      </c>
      <c r="BE366" s="13">
        <f>IF($AX366="Cancelled","",IFERROR(IF(OR(AW366="",AS366=""),"",(AS366+Variables!$B$19)-AW366),""))</f>
        <v>-9</v>
      </c>
      <c r="BF366" s="44">
        <f>IF($AX366="Cancelled","",IFERROR(W366*INDEX(Variables!$B$7:$D$7,IFERROR(MATCH(IF($B366="Robusta","Robusta",(IF($B366="","Arabica",$B366))&amp;" - "&amp;(IF($C366="","Commercial",$C366))),Variables!$B$1:$D$1,0),1))*(BE366/365),""))</f>
        <v>-423.15740293077744</v>
      </c>
      <c r="BG366" s="44">
        <f>IF($AX366="Cancelled","",IFERROR((W366*INDEX(Variables!$B$7:$D$7,IFERROR(MATCH(IF($B366="Robusta","Robusta",(IF($B366="","Arabica",$B366))&amp;" - "&amp;(IF($C366="","Commercial",$C366))),Variables!$B$1:$D$1,0),1))*IFERROR(IF(AB366="","",(AVERAGE(E366:F366)-AB366)-Variables!$B$14),"")/365)+(L366/16.67*INDEX(Variables!$B$8:$D$8,IFERROR(MATCH(IF($B366="Robusta","Robusta",(IF($B366="","Arabica",$B366))&amp;" - "&amp;(IF($C366="","Commercial",$C366))),Variables!$B$1:$D$1,0),1))*IFERROR(IF(AB366="","",(AVERAGE(E366:F366)-AB366)-Variables!$B$14),""))+(W366*INDEX(Variables!$B$9:$D$9,IFERROR(MATCH(IF($B366="Robusta","Robusta",(IF($B366="","Arabica",$B366))&amp;" - "&amp;(IF($C366="","Commercial",$C366))),Variables!$B$1:$D$1,0),1))*IFERROR(IF(AB366="","",(AVERAGE(E366:F366)-AB366)-Variables!$B$14),"")/365),""))</f>
        <v>-1296.1663485133188</v>
      </c>
      <c r="BH366" s="44">
        <f>IF($AX366="Cancelled","",IFERROR((W366*INDEX(Variables!$B$7:$D$7,IFERROR(MATCH(IF($B366="Robusta","Robusta",(IF($B366="","Arabica",$B366))&amp;" - "&amp;(IF($C366="","Commercial",$C366))),Variables!$B$1:$D$1,0),1))*AK366/365)+(L366/16.67*INDEX(Variables!$B$8:$D$8,IFERROR(MATCH(IF($B366="Robusta","Robusta",(IF($B366="","Arabica",$B366))&amp;" - "&amp;(IF($C366="","Commercial",$C366))),Variables!$B$1:$D$1,0),1))*AK366)+(W366*INDEX(Variables!$B$9:$D$9,IFERROR(MATCH(IF($B366="Robusta","Robusta",(IF($B366="","Arabica",$B366))&amp;" - "&amp;(IF($C366="","Commercial",$C366))),Variables!$B$1:$D$1,0),1))*AK366/365),""))</f>
        <v>1003.4836246554726</v>
      </c>
      <c r="BI366" s="44">
        <f>IF($AX366="Cancelled","",IFERROR((W366*INDEX(Variables!$B$7:$D$7,IFERROR(MATCH(IF($B366="Robusta","Robusta",(IF($B366="","Arabica",$B366))&amp;" - "&amp;(IF($C366="","Commercial",$C366))),Variables!$B$1:$D$1,0),1))*BD366/365)+(L366/16.67*INDEX(Variables!$B$8:$D$8,IFERROR(MATCH(IF($B366="Robusta","Robusta",(IF($B366="","Arabica",$B366))&amp;" - "&amp;(IF($C366="","Commercial",$C366))),Variables!$B$1:$D$1,0),1))*BD366)+(W366*INDEX(Variables!$B$9:$D$9,IFERROR(MATCH(IF($B366="Robusta","Robusta",(IF($B366="","Arabica",$B366))&amp;" - "&amp;(IF($C366="","Commercial",$C366))),Variables!$B$1:$D$1,0),1))*BD366/365),""))</f>
        <v>334.49454155182417</v>
      </c>
      <c r="BJ366" s="44">
        <f t="shared" si="17"/>
        <v>12</v>
      </c>
      <c r="BK366" s="44">
        <f>IF($AX366="Cancelled","",IFERROR(IF(BJ366="","",(W366*INDEX(Variables!$B$7:$D$7,IFERROR(MATCH(IF($B366="Robusta","Robusta",(IF($B366="","Arabica",$B366))&amp;" - "&amp;(IF($C366="","Commercial",$C366))),Variables!$B$1:$D$1,0),1))*(BJ366/365))+(W366*INDEX(Variables!$B$9:$D$9,IFERROR(MATCH(IF($B366="Robusta","Robusta",(IF($B366="","Arabica",$B366))&amp;" - "&amp;(IF($C366="","Commercial",$C366))),Variables!$B$1:$D$1,0),1))*(BJ366/365))+(INDEX(Variables!$B$8:$D$8,IFERROR(MATCH(IF($B366="Robusta","Robusta",(IF($B366="","Arabica",$B366))&amp;" - "&amp;(IF($C366="","Commercial",$C366))),Variables!$B$1:$D$1,0),1))*L366/16.67)),""))</f>
        <v>607.48362465547245</v>
      </c>
    </row>
    <row r="367" spans="1:63">
      <c r="A367" s="13" t="s">
        <v>103</v>
      </c>
      <c r="B367" s="13" t="s">
        <v>104</v>
      </c>
      <c r="C367" s="13" t="s">
        <v>105</v>
      </c>
      <c r="D367" s="31">
        <v>45735</v>
      </c>
      <c r="E367" s="31">
        <v>45748</v>
      </c>
      <c r="F367" s="31">
        <v>45777</v>
      </c>
      <c r="G367" s="13">
        <v>3786853</v>
      </c>
      <c r="H367" s="13" t="s">
        <v>1105</v>
      </c>
      <c r="J367" s="13" t="s">
        <v>118</v>
      </c>
      <c r="K367" s="13" t="s">
        <v>1110</v>
      </c>
      <c r="L367" s="13">
        <v>720</v>
      </c>
      <c r="M367" s="13">
        <v>2</v>
      </c>
      <c r="N367" s="13" t="s">
        <v>1107</v>
      </c>
      <c r="O367" s="13" t="s">
        <v>179</v>
      </c>
      <c r="P367" s="13">
        <v>10110</v>
      </c>
      <c r="R367" s="13" t="s">
        <v>122</v>
      </c>
      <c r="S367" s="13" t="s">
        <v>138</v>
      </c>
      <c r="T367" s="13" t="s">
        <v>139</v>
      </c>
      <c r="U367" s="13" t="s">
        <v>125</v>
      </c>
      <c r="V367" s="13">
        <v>-11.3</v>
      </c>
      <c r="W367" s="44">
        <f>IF($AX367="Cancelled","",IFERROR(((V367+INDEX(Variables!$B$6:$D$6,IFERROR(MATCH(IF($B367="Robusta","Robusta",(IF($B367="","Arabica",$B367))&amp;" - "&amp;(IF($C367="","Commercial",$C367))),Variables!$B$1:$D$1,0),1)))*22.0462)*(L367/16.67),""))</f>
        <v>266141.40899820032</v>
      </c>
      <c r="X367" s="55" t="s">
        <v>37</v>
      </c>
      <c r="Y367" s="13" t="str">
        <f>IF($AX367="Cancelled","",IF(X367="","",IFERROR(IF(INDEX(Variables!$B$38:$B$47,MATCH(X367,Variables!$A$38:$A$47,0))="Yes","Yes","No"),"No")))</f>
        <v>Yes</v>
      </c>
      <c r="Z367" s="58">
        <v>45737</v>
      </c>
      <c r="AB367" s="31">
        <v>45748</v>
      </c>
      <c r="AC367" s="13" t="str">
        <f t="shared" si="15"/>
        <v>Approved</v>
      </c>
      <c r="AF367" s="71">
        <v>45751</v>
      </c>
      <c r="AG367" s="35">
        <f>IF($AX367="Cancelled","",IFERROR(IF(F367="","",F367-Variables!$B$13),""))</f>
        <v>45762</v>
      </c>
      <c r="AH367" s="13">
        <f>IF($AX367="Cancelled","",IFERROR(IF(AB367="","",(AVERAGE(E367:F367)-AB367)-Variables!$B$14),""))</f>
        <v>-15.5</v>
      </c>
      <c r="AJ367" s="47">
        <v>45754</v>
      </c>
      <c r="AK367" s="14">
        <f>IF($AX367="Cancelled","",IFERROR(IF(AJ367="","",IF(AND(AB367="",AF367=""),"",IF(AF367&gt;AB367,AF367+Variables!$B$15+Variables!$B$16+Variables!$B$17-AJ367,AB367+Variables!$B$16+Variables!$B$17-AJ367))),""))</f>
        <v>12</v>
      </c>
      <c r="AL367" s="48" t="s">
        <v>114</v>
      </c>
      <c r="AM367" s="13" t="s">
        <v>168</v>
      </c>
      <c r="AN367" s="13" t="s">
        <v>1108</v>
      </c>
      <c r="AP367" s="31">
        <v>45765</v>
      </c>
      <c r="AR367" s="13" t="s">
        <v>1109</v>
      </c>
      <c r="AS367" s="31">
        <v>45765</v>
      </c>
      <c r="AU367" s="31">
        <v>45771</v>
      </c>
      <c r="AV367" s="13" t="s">
        <v>865</v>
      </c>
      <c r="AW367" s="31">
        <v>45779</v>
      </c>
      <c r="AX367" s="13" t="str">
        <f>IF(ISNUMBER(SEARCH("cancel",#REF!)),"Cancelled",IF(AND(AS367&lt;&gt;"",AU367&lt;&gt;"",AW367&lt;&gt;""),"Closed","Open"))</f>
        <v>Closed</v>
      </c>
      <c r="AY367" s="15" t="str">
        <f t="shared" si="16"/>
        <v>All dates received</v>
      </c>
      <c r="BD367" s="13">
        <f>IF($AX367="Cancelled","",IFERROR(IF(OR(AS367="",AJ367=""),"",(AJ367+Variables!$B$18-AS367)),""))</f>
        <v>4</v>
      </c>
      <c r="BE367" s="13">
        <f>IF($AX367="Cancelled","",IFERROR(IF(OR(AW367="",AS367=""),"",(AS367+Variables!$B$19)-AW367),""))</f>
        <v>-9</v>
      </c>
      <c r="BF367" s="44">
        <f>IF($AX367="Cancelled","",IFERROR(W367*INDEX(Variables!$B$7:$D$7,IFERROR(MATCH(IF($B367="Robusta","Robusta",(IF($B367="","Arabica",$B367))&amp;" - "&amp;(IF($C367="","Commercial",$C367))),Variables!$B$1:$D$1,0),1))*(BE367/365),""))</f>
        <v>-423.15740293077744</v>
      </c>
      <c r="BG367" s="44">
        <f>IF($AX367="Cancelled","",IFERROR((W367*INDEX(Variables!$B$7:$D$7,IFERROR(MATCH(IF($B367="Robusta","Robusta",(IF($B367="","Arabica",$B367))&amp;" - "&amp;(IF($C367="","Commercial",$C367))),Variables!$B$1:$D$1,0),1))*IFERROR(IF(AB367="","",(AVERAGE(E367:F367)-AB367)-Variables!$B$14),"")/365)+(L367/16.67*INDEX(Variables!$B$8:$D$8,IFERROR(MATCH(IF($B367="Robusta","Robusta",(IF($B367="","Arabica",$B367))&amp;" - "&amp;(IF($C367="","Commercial",$C367))),Variables!$B$1:$D$1,0),1))*IFERROR(IF(AB367="","",(AVERAGE(E367:F367)-AB367)-Variables!$B$14),""))+(W367*INDEX(Variables!$B$9:$D$9,IFERROR(MATCH(IF($B367="Robusta","Robusta",(IF($B367="","Arabica",$B367))&amp;" - "&amp;(IF($C367="","Commercial",$C367))),Variables!$B$1:$D$1,0),1))*IFERROR(IF(AB367="","",(AVERAGE(E367:F367)-AB367)-Variables!$B$14),"")/365),""))</f>
        <v>-1296.1663485133188</v>
      </c>
      <c r="BH367" s="44">
        <f>IF($AX367="Cancelled","",IFERROR((W367*INDEX(Variables!$B$7:$D$7,IFERROR(MATCH(IF($B367="Robusta","Robusta",(IF($B367="","Arabica",$B367))&amp;" - "&amp;(IF($C367="","Commercial",$C367))),Variables!$B$1:$D$1,0),1))*AK367/365)+(L367/16.67*INDEX(Variables!$B$8:$D$8,IFERROR(MATCH(IF($B367="Robusta","Robusta",(IF($B367="","Arabica",$B367))&amp;" - "&amp;(IF($C367="","Commercial",$C367))),Variables!$B$1:$D$1,0),1))*AK367)+(W367*INDEX(Variables!$B$9:$D$9,IFERROR(MATCH(IF($B367="Robusta","Robusta",(IF($B367="","Arabica",$B367))&amp;" - "&amp;(IF($C367="","Commercial",$C367))),Variables!$B$1:$D$1,0),1))*AK367/365),""))</f>
        <v>1003.4836246554726</v>
      </c>
      <c r="BI367" s="44">
        <f>IF($AX367="Cancelled","",IFERROR((W367*INDEX(Variables!$B$7:$D$7,IFERROR(MATCH(IF($B367="Robusta","Robusta",(IF($B367="","Arabica",$B367))&amp;" - "&amp;(IF($C367="","Commercial",$C367))),Variables!$B$1:$D$1,0),1))*BD367/365)+(L367/16.67*INDEX(Variables!$B$8:$D$8,IFERROR(MATCH(IF($B367="Robusta","Robusta",(IF($B367="","Arabica",$B367))&amp;" - "&amp;(IF($C367="","Commercial",$C367))),Variables!$B$1:$D$1,0),1))*BD367)+(W367*INDEX(Variables!$B$9:$D$9,IFERROR(MATCH(IF($B367="Robusta","Robusta",(IF($B367="","Arabica",$B367))&amp;" - "&amp;(IF($C367="","Commercial",$C367))),Variables!$B$1:$D$1,0),1))*BD367/365),""))</f>
        <v>334.49454155182417</v>
      </c>
      <c r="BJ367" s="44">
        <f t="shared" si="17"/>
        <v>12</v>
      </c>
      <c r="BK367" s="44">
        <f>IF($AX367="Cancelled","",IFERROR(IF(BJ367="","",(W367*INDEX(Variables!$B$7:$D$7,IFERROR(MATCH(IF($B367="Robusta","Robusta",(IF($B367="","Arabica",$B367))&amp;" - "&amp;(IF($C367="","Commercial",$C367))),Variables!$B$1:$D$1,0),1))*(BJ367/365))+(W367*INDEX(Variables!$B$9:$D$9,IFERROR(MATCH(IF($B367="Robusta","Robusta",(IF($B367="","Arabica",$B367))&amp;" - "&amp;(IF($C367="","Commercial",$C367))),Variables!$B$1:$D$1,0),1))*(BJ367/365))+(INDEX(Variables!$B$8:$D$8,IFERROR(MATCH(IF($B367="Robusta","Robusta",(IF($B367="","Arabica",$B367))&amp;" - "&amp;(IF($C367="","Commercial",$C367))),Variables!$B$1:$D$1,0),1))*L367/16.67)),""))</f>
        <v>607.48362465547245</v>
      </c>
    </row>
    <row r="368" spans="1:63">
      <c r="A368" s="13" t="s">
        <v>103</v>
      </c>
      <c r="B368" s="13" t="s">
        <v>104</v>
      </c>
      <c r="C368" s="13" t="s">
        <v>292</v>
      </c>
      <c r="D368" s="31">
        <v>45735</v>
      </c>
      <c r="E368" s="31">
        <v>45717</v>
      </c>
      <c r="F368" s="31">
        <v>45747</v>
      </c>
      <c r="G368" s="13">
        <v>3786854</v>
      </c>
      <c r="J368" s="13" t="s">
        <v>447</v>
      </c>
      <c r="K368" s="13" t="s">
        <v>1111</v>
      </c>
      <c r="L368" s="13">
        <v>15</v>
      </c>
      <c r="M368" s="13">
        <v>0</v>
      </c>
      <c r="N368" s="13" t="s">
        <v>1112</v>
      </c>
      <c r="O368" s="13" t="s">
        <v>304</v>
      </c>
      <c r="P368" s="13">
        <v>10010</v>
      </c>
      <c r="R368" s="13" t="s">
        <v>384</v>
      </c>
      <c r="S368" s="13" t="s">
        <v>154</v>
      </c>
      <c r="T368" s="13" t="s">
        <v>155</v>
      </c>
      <c r="U368" s="13" t="s">
        <v>125</v>
      </c>
      <c r="V368" s="13">
        <v>140</v>
      </c>
      <c r="W368" s="44">
        <f>IF($AX368="Cancelled","",IFERROR(((V368+INDEX(Variables!$B$6:$D$6,IFERROR(MATCH(IF($B368="Robusta","Robusta",(IF($B368="","Arabica",$B368))&amp;" - "&amp;(IF($C368="","Commercial",$C368))),Variables!$B$1:$D$1,0),1)))*22.0462)*(L368/16.67),""))</f>
        <v>8546.0434553089381</v>
      </c>
      <c r="X368" s="55" t="s">
        <v>39</v>
      </c>
      <c r="Y368" s="13" t="str">
        <f>IF($AX368="Cancelled","",IF(X368="","",IFERROR(IF(INDEX(Variables!$B$38:$B$47,MATCH(X368,Variables!$A$38:$A$47,0))="Yes","Yes","No"),"No")))</f>
        <v>No</v>
      </c>
      <c r="Z368" s="31"/>
      <c r="AB368" s="31">
        <v>45702.875</v>
      </c>
      <c r="AC368" s="13" t="str">
        <f t="shared" si="15"/>
        <v>Approved</v>
      </c>
      <c r="AF368" s="71">
        <f>AJ368-7</f>
        <v>45779</v>
      </c>
      <c r="AG368" s="36">
        <f>IF($AX368="Cancelled","",IFERROR(IF(F368="","",F368-Variables!$B$13),""))</f>
        <v>45732</v>
      </c>
      <c r="AH368" s="13">
        <f>IF($AX368="Cancelled","",IFERROR(IF(AB368="","",(AVERAGE(E368:F368)-AB368)-Variables!$B$14),""))</f>
        <v>-0.875</v>
      </c>
      <c r="AJ368" s="47">
        <v>45786</v>
      </c>
      <c r="AK368" s="14">
        <f>IF($AX368="Cancelled","",IFERROR(IF(AJ368="","",IF(AND(AB368="",AF368=""),"",IF(AF368&gt;AB368,AF368+Variables!$B$15+Variables!$B$16+Variables!$B$17-AJ368,AB368+Variables!$B$16+Variables!$B$17-AJ368))),""))</f>
        <v>8</v>
      </c>
      <c r="AL368" s="48" t="s">
        <v>114</v>
      </c>
      <c r="AM368" s="13" t="s">
        <v>141</v>
      </c>
      <c r="AN368" s="13" t="s">
        <v>1096</v>
      </c>
      <c r="AP368" s="31">
        <v>45795</v>
      </c>
      <c r="AR368" s="13" t="s">
        <v>1208</v>
      </c>
      <c r="AS368" s="31">
        <v>45800</v>
      </c>
      <c r="AU368" s="31">
        <v>45806</v>
      </c>
      <c r="AV368" s="13" t="s">
        <v>865</v>
      </c>
      <c r="AW368" s="31">
        <v>45807</v>
      </c>
      <c r="AX368" s="13" t="str">
        <f>IF(ISNUMBER(SEARCH("cancel",#REF!)),"Cancelled",IF(AND(AS368&lt;&gt;"",AU368&lt;&gt;"",AW368&lt;&gt;""),"Closed","Open"))</f>
        <v>Closed</v>
      </c>
      <c r="AY368" s="15" t="str">
        <f t="shared" si="16"/>
        <v>All dates received</v>
      </c>
      <c r="BD368" s="13">
        <f>IF($AX368="Cancelled","",IFERROR(IF(OR(AS368="",AJ368=""),"",(AJ368+Variables!$B$18-AS368)),""))</f>
        <v>1</v>
      </c>
      <c r="BE368" s="13">
        <f>IF($AX368="Cancelled","",IFERROR(IF(OR(AW368="",AS368=""),"",(AS368+Variables!$B$19)-AW368),""))</f>
        <v>-2</v>
      </c>
      <c r="BF368" s="44">
        <f>IF($AX368="Cancelled","",IFERROR(W368*INDEX(Variables!$B$7:$D$7,IFERROR(MATCH(IF($B368="Robusta","Robusta",(IF($B368="","Arabica",$B368))&amp;" - "&amp;(IF($C368="","Commercial",$C368))),Variables!$B$1:$D$1,0),1))*(BE368/365),""))</f>
        <v>-3.0195489495557375</v>
      </c>
      <c r="BG368" s="44">
        <f>IF($AX368="Cancelled","",IFERROR((W368*INDEX(Variables!$B$7:$D$7,IFERROR(MATCH(IF($B368="Robusta","Robusta",(IF($B368="","Arabica",$B368))&amp;" - "&amp;(IF($C368="","Commercial",$C368))),Variables!$B$1:$D$1,0),1))*IFERROR(IF(AB368="","",(AVERAGE(E368:F368)-AB368)-Variables!$B$14),"")/365)+(L368/16.67*INDEX(Variables!$B$8:$D$8,IFERROR(MATCH(IF($B368="Robusta","Robusta",(IF($B368="","Arabica",$B368))&amp;" - "&amp;(IF($C368="","Commercial",$C368))),Variables!$B$1:$D$1,0),1))*IFERROR(IF(AB368="","",(AVERAGE(E368:F368)-AB368)-Variables!$B$14),""))+(W368*INDEX(Variables!$B$9:$D$9,IFERROR(MATCH(IF($B368="Robusta","Robusta",(IF($B368="","Arabica",$B368))&amp;" - "&amp;(IF($C368="","Commercial",$C368))),Variables!$B$1:$D$1,0),1))*IFERROR(IF(AB368="","",(AVERAGE(E368:F368)-AB368)-Variables!$B$14),"")/365),""))</f>
        <v>-1.9943335837425489</v>
      </c>
      <c r="BH368" s="44">
        <f>IF($AX368="Cancelled","",IFERROR((W368*INDEX(Variables!$B$7:$D$7,IFERROR(MATCH(IF($B368="Robusta","Robusta",(IF($B368="","Arabica",$B368))&amp;" - "&amp;(IF($C368="","Commercial",$C368))),Variables!$B$1:$D$1,0),1))*AK368/365)+(L368/16.67*INDEX(Variables!$B$8:$D$8,IFERROR(MATCH(IF($B368="Robusta","Robusta",(IF($B368="","Arabica",$B368))&amp;" - "&amp;(IF($C368="","Commercial",$C368))),Variables!$B$1:$D$1,0),1))*AK368)+(W368*INDEX(Variables!$B$9:$D$9,IFERROR(MATCH(IF($B368="Robusta","Robusta",(IF($B368="","Arabica",$B368))&amp;" - "&amp;(IF($C368="","Commercial",$C368))),Variables!$B$1:$D$1,0),1))*AK368/365),""))</f>
        <v>18.233907051360447</v>
      </c>
      <c r="BI368" s="44">
        <f>IF($AX368="Cancelled","",IFERROR((W368*INDEX(Variables!$B$7:$D$7,IFERROR(MATCH(IF($B368="Robusta","Robusta",(IF($B368="","Arabica",$B368))&amp;" - "&amp;(IF($C368="","Commercial",$C368))),Variables!$B$1:$D$1,0),1))*BD368/365)+(L368/16.67*INDEX(Variables!$B$8:$D$8,IFERROR(MATCH(IF($B368="Robusta","Robusta",(IF($B368="","Arabica",$B368))&amp;" - "&amp;(IF($C368="","Commercial",$C368))),Variables!$B$1:$D$1,0),1))*BD368)+(W368*INDEX(Variables!$B$9:$D$9,IFERROR(MATCH(IF($B368="Robusta","Robusta",(IF($B368="","Arabica",$B368))&amp;" - "&amp;(IF($C368="","Commercial",$C368))),Variables!$B$1:$D$1,0),1))*BD368/365),""))</f>
        <v>2.2792383814200559</v>
      </c>
      <c r="BJ368" s="44">
        <f t="shared" si="17"/>
        <v>-53</v>
      </c>
      <c r="BK368" s="44">
        <f>IF($AX368="Cancelled","",IFERROR(IF(BJ368="","",(W368*INDEX(Variables!$B$7:$D$7,IFERROR(MATCH(IF($B368="Robusta","Robusta",(IF($B368="","Arabica",$B368))&amp;" - "&amp;(IF($C368="","Commercial",$C368))),Variables!$B$1:$D$1,0),1))*(BJ368/365))+(W368*INDEX(Variables!$B$9:$D$9,IFERROR(MATCH(IF($B368="Robusta","Robusta",(IF($B368="","Arabica",$B368))&amp;" - "&amp;(IF($C368="","Commercial",$C368))),Variables!$B$1:$D$1,0),1))*(BJ368/365))+(INDEX(Variables!$B$8:$D$8,IFERROR(MATCH(IF($B368="Robusta","Robusta",(IF($B368="","Arabica",$B368))&amp;" - "&amp;(IF($C368="","Commercial",$C368))),Variables!$B$1:$D$1,0),1))*L368/16.67)),""))</f>
        <v>-80.299634215262955</v>
      </c>
    </row>
    <row r="369" spans="1:63">
      <c r="A369" s="13" t="s">
        <v>103</v>
      </c>
      <c r="B369" s="13" t="s">
        <v>104</v>
      </c>
      <c r="C369" s="13" t="s">
        <v>105</v>
      </c>
      <c r="D369" s="31">
        <v>45736</v>
      </c>
      <c r="E369" s="31">
        <v>45839</v>
      </c>
      <c r="F369" s="31">
        <v>45869</v>
      </c>
      <c r="G369" s="13">
        <v>3786855</v>
      </c>
      <c r="H369" s="13" t="s">
        <v>1113</v>
      </c>
      <c r="J369" s="13" t="s">
        <v>454</v>
      </c>
      <c r="K369" s="13">
        <v>5299</v>
      </c>
      <c r="L369" s="13">
        <v>1800</v>
      </c>
      <c r="M369" s="13">
        <v>5</v>
      </c>
      <c r="N369" s="13" t="s">
        <v>894</v>
      </c>
      <c r="O369" s="13" t="s">
        <v>1114</v>
      </c>
      <c r="P369" s="13">
        <v>10140</v>
      </c>
      <c r="R369" s="13" t="s">
        <v>122</v>
      </c>
      <c r="S369" s="13" t="s">
        <v>457</v>
      </c>
      <c r="T369" s="13" t="s">
        <v>458</v>
      </c>
      <c r="U369" s="13" t="s">
        <v>125</v>
      </c>
      <c r="V369" s="13">
        <v>-32</v>
      </c>
      <c r="W369" s="44">
        <f>IF($AX369="Cancelled","",IFERROR(((V369+INDEX(Variables!$B$6:$D$6,IFERROR(MATCH(IF($B369="Robusta","Robusta",(IF($B369="","Arabica",$B369))&amp;" - "&amp;(IF($C369="","Commercial",$C369))),Variables!$B$1:$D$1,0),1)))*22.0462)*(L369/16.67),""))</f>
        <v>616076.89310137962</v>
      </c>
      <c r="X369" s="55" t="s">
        <v>37</v>
      </c>
      <c r="Y369" s="13" t="str">
        <f>IF($AX369="Cancelled","",IF(X369="","",IFERROR(IF(INDEX(Variables!$B$38:$B$47,MATCH(X369,Variables!$A$38:$A$47,0))="Yes","Yes","No"),"No")))</f>
        <v>Yes</v>
      </c>
      <c r="Z369" s="58">
        <v>45832</v>
      </c>
      <c r="AB369" s="31">
        <v>37810</v>
      </c>
      <c r="AC369" s="13" t="str">
        <f t="shared" si="15"/>
        <v>Approved</v>
      </c>
      <c r="AF369" s="71">
        <f>AJ369-7</f>
        <v>45845</v>
      </c>
      <c r="AG369" s="35">
        <f>IF($AX369="Cancelled","",IFERROR(IF(F369="","",F369-Variables!$B$13),""))</f>
        <v>45854</v>
      </c>
      <c r="AH369" s="13">
        <f>IF($AX369="Cancelled","",IFERROR(IF(AB369="","",(AVERAGE(E369:F369)-AB369)-Variables!$B$14),""))</f>
        <v>8014</v>
      </c>
      <c r="AJ369" s="47">
        <v>45852</v>
      </c>
      <c r="AK369" s="14">
        <f>IF($AX369="Cancelled","",IFERROR(IF(AJ369="","",IF(AND(AB369="",AF369=""),"",IF(AF369&gt;AB369,AF369+Variables!$B$15+Variables!$B$16+Variables!$B$17-AJ369,AB369+Variables!$B$16+Variables!$B$17-AJ369))),""))</f>
        <v>8</v>
      </c>
      <c r="AL369" s="48" t="s">
        <v>114</v>
      </c>
      <c r="AM369" s="13" t="s">
        <v>115</v>
      </c>
      <c r="AN369" s="13" t="s">
        <v>174</v>
      </c>
      <c r="AP369" s="31">
        <v>45860</v>
      </c>
      <c r="AR369" s="13">
        <v>256573558</v>
      </c>
      <c r="AS369" s="31">
        <v>45860</v>
      </c>
      <c r="AU369" s="31">
        <v>45866</v>
      </c>
      <c r="AV369" s="13" t="s">
        <v>865</v>
      </c>
      <c r="AW369" s="31">
        <v>45866</v>
      </c>
      <c r="AX369" s="13" t="str">
        <f>IF(ISNUMBER(SEARCH("cancel",#REF!)),"Cancelled",IF(AND(AS369&lt;&gt;"",AU369&lt;&gt;"",AW369&lt;&gt;""),"Closed","Open"))</f>
        <v>Closed</v>
      </c>
      <c r="AY369" s="15" t="str">
        <f t="shared" si="16"/>
        <v>All dates received</v>
      </c>
      <c r="BD369" s="13">
        <f>IF($AX369="Cancelled","",IFERROR(IF(OR(AS369="",AJ369=""),"",(AJ369+Variables!$B$18-AS369)),""))</f>
        <v>7</v>
      </c>
      <c r="BE369" s="13">
        <f>IF($AX369="Cancelled","",IFERROR(IF(OR(AW369="",AS369=""),"",(AS369+Variables!$B$19)-AW369),""))</f>
        <v>-1</v>
      </c>
      <c r="BF369" s="44">
        <f>IF($AX369="Cancelled","",IFERROR(W369*INDEX(Variables!$B$7:$D$7,IFERROR(MATCH(IF($B369="Robusta","Robusta",(IF($B369="","Arabica",$B369))&amp;" - "&amp;(IF($C369="","Commercial",$C369))),Variables!$B$1:$D$1,0),1))*(BE369/365),""))</f>
        <v>-108.83833818175832</v>
      </c>
      <c r="BG369" s="44">
        <f>IF($AX369="Cancelled","",IFERROR((W369*INDEX(Variables!$B$7:$D$7,IFERROR(MATCH(IF($B369="Robusta","Robusta",(IF($B369="","Arabica",$B369))&amp;" - "&amp;(IF($C369="","Commercial",$C369))),Variables!$B$1:$D$1,0),1))*IFERROR(IF(AB369="","",(AVERAGE(E369:F369)-AB369)-Variables!$B$14),"")/365)+(L369/16.67*INDEX(Variables!$B$8:$D$8,IFERROR(MATCH(IF($B369="Robusta","Robusta",(IF($B369="","Arabica",$B369))&amp;" - "&amp;(IF($C369="","Commercial",$C369))),Variables!$B$1:$D$1,0),1))*IFERROR(IF(AB369="","",(AVERAGE(E369:F369)-AB369)-Variables!$B$14),""))+(W369*INDEX(Variables!$B$9:$D$9,IFERROR(MATCH(IF($B369="Robusta","Robusta",(IF($B369="","Arabica",$B369))&amp;" - "&amp;(IF($C369="","Commercial",$C369))),Variables!$B$1:$D$1,0),1))*IFERROR(IF(AB369="","",(AVERAGE(E369:F369)-AB369)-Variables!$B$14),"")/365),""))</f>
        <v>1604735.1758762242</v>
      </c>
      <c r="BH369" s="44">
        <f>IF($AX369="Cancelled","",IFERROR((W369*INDEX(Variables!$B$7:$D$7,IFERROR(MATCH(IF($B369="Robusta","Robusta",(IF($B369="","Arabica",$B369))&amp;" - "&amp;(IF($C369="","Commercial",$C369))),Variables!$B$1:$D$1,0),1))*AK369/365)+(L369/16.67*INDEX(Variables!$B$8:$D$8,IFERROR(MATCH(IF($B369="Robusta","Robusta",(IF($B369="","Arabica",$B369))&amp;" - "&amp;(IF($C369="","Commercial",$C369))),Variables!$B$1:$D$1,0),1))*AK369)+(W369*INDEX(Variables!$B$9:$D$9,IFERROR(MATCH(IF($B369="Robusta","Robusta",(IF($B369="","Arabica",$B369))&amp;" - "&amp;(IF($C369="","Commercial",$C369))),Variables!$B$1:$D$1,0),1))*AK369/365),""))</f>
        <v>1601.9317952345637</v>
      </c>
      <c r="BI369" s="44">
        <f>IF($AX369="Cancelled","",IFERROR((W369*INDEX(Variables!$B$7:$D$7,IFERROR(MATCH(IF($B369="Robusta","Robusta",(IF($B369="","Arabica",$B369))&amp;" - "&amp;(IF($C369="","Commercial",$C369))),Variables!$B$1:$D$1,0),1))*BD369/365)+(L369/16.67*INDEX(Variables!$B$8:$D$8,IFERROR(MATCH(IF($B369="Robusta","Robusta",(IF($B369="","Arabica",$B369))&amp;" - "&amp;(IF($C369="","Commercial",$C369))),Variables!$B$1:$D$1,0),1))*BD369)+(W369*INDEX(Variables!$B$9:$D$9,IFERROR(MATCH(IF($B369="Robusta","Robusta",(IF($B369="","Arabica",$B369))&amp;" - "&amp;(IF($C369="","Commercial",$C369))),Variables!$B$1:$D$1,0),1))*BD369/365),""))</f>
        <v>1401.6903208302431</v>
      </c>
      <c r="BJ369" s="44">
        <f t="shared" si="17"/>
        <v>9</v>
      </c>
      <c r="BK369" s="44">
        <f>IF($AX369="Cancelled","",IFERROR(IF(BJ369="","",(W369*INDEX(Variables!$B$7:$D$7,IFERROR(MATCH(IF($B369="Robusta","Robusta",(IF($B369="","Arabica",$B369))&amp;" - "&amp;(IF($C369="","Commercial",$C369))),Variables!$B$1:$D$1,0),1))*(BJ369/365))+(W369*INDEX(Variables!$B$9:$D$9,IFERROR(MATCH(IF($B369="Robusta","Robusta",(IF($B369="","Arabica",$B369))&amp;" - "&amp;(IF($C369="","Commercial",$C369))),Variables!$B$1:$D$1,0),1))*(BJ369/365))+(INDEX(Variables!$B$8:$D$8,IFERROR(MATCH(IF($B369="Robusta","Robusta",(IF($B369="","Arabica",$B369))&amp;" - "&amp;(IF($C369="","Commercial",$C369))),Variables!$B$1:$D$1,0),1))*L369/16.67)),""))</f>
        <v>1082.173269638884</v>
      </c>
    </row>
    <row r="370" spans="1:63">
      <c r="A370" s="13" t="s">
        <v>103</v>
      </c>
      <c r="B370" s="13" t="s">
        <v>104</v>
      </c>
      <c r="C370" s="13" t="s">
        <v>105</v>
      </c>
      <c r="D370" s="31">
        <v>45736</v>
      </c>
      <c r="E370" s="31">
        <v>45870</v>
      </c>
      <c r="F370" s="31">
        <v>45900</v>
      </c>
      <c r="G370" s="13">
        <v>3786856</v>
      </c>
      <c r="H370" s="13" t="s">
        <v>1115</v>
      </c>
      <c r="J370" s="13" t="s">
        <v>454</v>
      </c>
      <c r="K370" s="13">
        <v>5311</v>
      </c>
      <c r="L370" s="13">
        <v>1440</v>
      </c>
      <c r="M370" s="13">
        <v>4</v>
      </c>
      <c r="N370" s="13" t="s">
        <v>894</v>
      </c>
      <c r="O370" s="13" t="s">
        <v>1114</v>
      </c>
      <c r="P370" s="13">
        <v>10140</v>
      </c>
      <c r="R370" s="13" t="s">
        <v>122</v>
      </c>
      <c r="S370" s="13" t="s">
        <v>457</v>
      </c>
      <c r="T370" s="13" t="s">
        <v>458</v>
      </c>
      <c r="U370" s="13" t="s">
        <v>125</v>
      </c>
      <c r="V370" s="13">
        <v>-32</v>
      </c>
      <c r="W370" s="44">
        <f>IF($AX370="Cancelled","",IFERROR(((V370+INDEX(Variables!$B$6:$D$6,IFERROR(MATCH(IF($B370="Robusta","Robusta",(IF($B370="","Arabica",$B370))&amp;" - "&amp;(IF($C370="","Commercial",$C370))),Variables!$B$1:$D$1,0),1)))*22.0462)*(L370/16.67),""))</f>
        <v>492861.51448110375</v>
      </c>
      <c r="X370" s="55" t="s">
        <v>37</v>
      </c>
      <c r="Y370" s="13" t="str">
        <f>IF($AX370="Cancelled","",IF(X370="","",IFERROR(IF(INDEX(Variables!$B$38:$B$47,MATCH(X370,Variables!$A$38:$A$47,0))="Yes","Yes","No"),"No")))</f>
        <v>Yes</v>
      </c>
      <c r="Z370" s="58">
        <v>45841</v>
      </c>
      <c r="AB370" s="31">
        <v>45846</v>
      </c>
      <c r="AC370" s="13" t="str">
        <f t="shared" si="15"/>
        <v>Approved</v>
      </c>
      <c r="AF370" s="71">
        <f>AJ370-7</f>
        <v>45862</v>
      </c>
      <c r="AG370" s="35">
        <f>IF($AX370="Cancelled","",IFERROR(IF(F370="","",F370-Variables!$B$13),""))</f>
        <v>45885</v>
      </c>
      <c r="AH370" s="13">
        <f>IF($AX370="Cancelled","",IFERROR(IF(AB370="","",(AVERAGE(E370:F370)-AB370)-Variables!$B$14),""))</f>
        <v>9</v>
      </c>
      <c r="AJ370" s="47">
        <v>45869</v>
      </c>
      <c r="AK370" s="14">
        <f>IF($AX370="Cancelled","",IFERROR(IF(AJ370="","",IF(AND(AB370="",AF370=""),"",IF(AF370&gt;AB370,AF370+Variables!$B$15+Variables!$B$16+Variables!$B$17-AJ370,AB370+Variables!$B$16+Variables!$B$17-AJ370))),""))</f>
        <v>8</v>
      </c>
      <c r="AL370" s="48" t="s">
        <v>350</v>
      </c>
      <c r="AM370" s="13" t="s">
        <v>115</v>
      </c>
      <c r="AN370" s="13" t="s">
        <v>1045</v>
      </c>
      <c r="AP370" s="31">
        <v>45886</v>
      </c>
      <c r="AR370" s="13">
        <v>256502801</v>
      </c>
      <c r="AS370" s="31">
        <v>45886</v>
      </c>
      <c r="AU370" s="31">
        <v>45887</v>
      </c>
      <c r="AV370" s="13" t="s">
        <v>865</v>
      </c>
      <c r="AW370" s="31">
        <v>45889</v>
      </c>
      <c r="AX370" s="13" t="str">
        <f>IF(ISNUMBER(SEARCH("cancel",#REF!)),"Cancelled",IF(AND(AS370&lt;&gt;"",AU370&lt;&gt;"",AW370&lt;&gt;""),"Closed","Open"))</f>
        <v>Closed</v>
      </c>
      <c r="AY370" s="15" t="str">
        <f t="shared" si="16"/>
        <v>All dates received</v>
      </c>
      <c r="BD370" s="13">
        <f>IF($AX370="Cancelled","",IFERROR(IF(OR(AS370="",AJ370=""),"",(AJ370+Variables!$B$18-AS370)),""))</f>
        <v>-2</v>
      </c>
      <c r="BE370" s="13">
        <f>IF($AX370="Cancelled","",IFERROR(IF(OR(AW370="",AS370=""),"",(AS370+Variables!$B$19)-AW370),""))</f>
        <v>2</v>
      </c>
      <c r="BF370" s="44">
        <f>IF($AX370="Cancelled","",IFERROR(W370*INDEX(Variables!$B$7:$D$7,IFERROR(MATCH(IF($B370="Robusta","Robusta",(IF($B370="","Arabica",$B370))&amp;" - "&amp;(IF($C370="","Commercial",$C370))),Variables!$B$1:$D$1,0),1))*(BE370/365),""))</f>
        <v>174.14134109081331</v>
      </c>
      <c r="BG370" s="44">
        <f>IF($AX370="Cancelled","",IFERROR((W370*INDEX(Variables!$B$7:$D$7,IFERROR(MATCH(IF($B370="Robusta","Robusta",(IF($B370="","Arabica",$B370))&amp;" - "&amp;(IF($C370="","Commercial",$C370))),Variables!$B$1:$D$1,0),1))*IFERROR(IF(AB370="","",(AVERAGE(E370:F370)-AB370)-Variables!$B$14),"")/365)+(L370/16.67*INDEX(Variables!$B$8:$D$8,IFERROR(MATCH(IF($B370="Robusta","Robusta",(IF($B370="","Arabica",$B370))&amp;" - "&amp;(IF($C370="","Commercial",$C370))),Variables!$B$1:$D$1,0),1))*IFERROR(IF(AB370="","",(AVERAGE(E370:F370)-AB370)-Variables!$B$14),""))+(W370*INDEX(Variables!$B$9:$D$9,IFERROR(MATCH(IF($B370="Robusta","Robusta",(IF($B370="","Arabica",$B370))&amp;" - "&amp;(IF($C370="","Commercial",$C370))),Variables!$B$1:$D$1,0),1))*IFERROR(IF(AB370="","",(AVERAGE(E370:F370)-AB370)-Variables!$B$14),"")/365),""))</f>
        <v>1441.7386157111075</v>
      </c>
      <c r="BH370" s="44">
        <f>IF($AX370="Cancelled","",IFERROR((W370*INDEX(Variables!$B$7:$D$7,IFERROR(MATCH(IF($B370="Robusta","Robusta",(IF($B370="","Arabica",$B370))&amp;" - "&amp;(IF($C370="","Commercial",$C370))),Variables!$B$1:$D$1,0),1))*AK370/365)+(L370/16.67*INDEX(Variables!$B$8:$D$8,IFERROR(MATCH(IF($B370="Robusta","Robusta",(IF($B370="","Arabica",$B370))&amp;" - "&amp;(IF($C370="","Commercial",$C370))),Variables!$B$1:$D$1,0),1))*AK370)+(W370*INDEX(Variables!$B$9:$D$9,IFERROR(MATCH(IF($B370="Robusta","Robusta",(IF($B370="","Arabica",$B370))&amp;" - "&amp;(IF($C370="","Commercial",$C370))),Variables!$B$1:$D$1,0),1))*AK370/365),""))</f>
        <v>1281.5454361876509</v>
      </c>
      <c r="BI370" s="44">
        <f>IF($AX370="Cancelled","",IFERROR((W370*INDEX(Variables!$B$7:$D$7,IFERROR(MATCH(IF($B370="Robusta","Robusta",(IF($B370="","Arabica",$B370))&amp;" - "&amp;(IF($C370="","Commercial",$C370))),Variables!$B$1:$D$1,0),1))*BD370/365)+(L370/16.67*INDEX(Variables!$B$8:$D$8,IFERROR(MATCH(IF($B370="Robusta","Robusta",(IF($B370="","Arabica",$B370))&amp;" - "&amp;(IF($C370="","Commercial",$C370))),Variables!$B$1:$D$1,0),1))*BD370)+(W370*INDEX(Variables!$B$9:$D$9,IFERROR(MATCH(IF($B370="Robusta","Robusta",(IF($B370="","Arabica",$B370))&amp;" - "&amp;(IF($C370="","Commercial",$C370))),Variables!$B$1:$D$1,0),1))*BD370/365),""))</f>
        <v>-320.38635904691273</v>
      </c>
      <c r="BJ370" s="44">
        <f t="shared" si="17"/>
        <v>14</v>
      </c>
      <c r="BK370" s="44">
        <f>IF($AX370="Cancelled","",IFERROR(IF(BJ370="","",(W370*INDEX(Variables!$B$7:$D$7,IFERROR(MATCH(IF($B370="Robusta","Robusta",(IF($B370="","Arabica",$B370))&amp;" - "&amp;(IF($C370="","Commercial",$C370))),Variables!$B$1:$D$1,0),1))*(BJ370/365))+(W370*INDEX(Variables!$B$9:$D$9,IFERROR(MATCH(IF($B370="Robusta","Robusta",(IF($B370="","Arabica",$B370))&amp;" - "&amp;(IF($C370="","Commercial",$C370))),Variables!$B$1:$D$1,0),1))*(BJ370/365))+(INDEX(Variables!$B$8:$D$8,IFERROR(MATCH(IF($B370="Robusta","Robusta",(IF($B370="","Arabica",$B370))&amp;" - "&amp;(IF($C370="","Commercial",$C370))),Variables!$B$1:$D$1,0),1))*L370/16.67)),""))</f>
        <v>1306.7045133283891</v>
      </c>
    </row>
    <row r="371" spans="1:63">
      <c r="A371" s="13" t="s">
        <v>103</v>
      </c>
      <c r="B371" s="13" t="s">
        <v>104</v>
      </c>
      <c r="C371" s="13" t="s">
        <v>105</v>
      </c>
      <c r="D371" s="31">
        <v>45736</v>
      </c>
      <c r="E371" s="31">
        <v>45870</v>
      </c>
      <c r="F371" s="31">
        <v>45900</v>
      </c>
      <c r="G371" s="13">
        <v>3786856</v>
      </c>
      <c r="H371" s="13" t="s">
        <v>1115</v>
      </c>
      <c r="J371" s="13" t="s">
        <v>454</v>
      </c>
      <c r="K371" s="13">
        <v>5311</v>
      </c>
      <c r="L371" s="13">
        <v>360</v>
      </c>
      <c r="M371" s="13">
        <v>1</v>
      </c>
      <c r="N371" s="13" t="s">
        <v>894</v>
      </c>
      <c r="O371" s="13" t="s">
        <v>1114</v>
      </c>
      <c r="P371" s="13">
        <v>10140</v>
      </c>
      <c r="R371" s="13" t="s">
        <v>122</v>
      </c>
      <c r="S371" s="13" t="s">
        <v>457</v>
      </c>
      <c r="T371" s="13" t="s">
        <v>458</v>
      </c>
      <c r="U371" s="13" t="s">
        <v>125</v>
      </c>
      <c r="V371" s="13">
        <v>-32</v>
      </c>
      <c r="W371" s="44">
        <f>IF($AX371="Cancelled","",IFERROR(((V371+INDEX(Variables!$B$6:$D$6,IFERROR(MATCH(IF($B371="Robusta","Robusta",(IF($B371="","Arabica",$B371))&amp;" - "&amp;(IF($C371="","Commercial",$C371))),Variables!$B$1:$D$1,0),1)))*22.0462)*(L371/16.67),""))</f>
        <v>123215.37862027594</v>
      </c>
      <c r="X371" s="55" t="s">
        <v>37</v>
      </c>
      <c r="Y371" s="13" t="str">
        <f>IF($AX371="Cancelled","",IF(X371="","",IFERROR(IF(INDEX(Variables!$B$38:$B$47,MATCH(X371,Variables!$A$38:$A$47,0))="Yes","Yes","No"),"No")))</f>
        <v>Yes</v>
      </c>
      <c r="Z371" s="58">
        <v>45841</v>
      </c>
      <c r="AB371" s="31">
        <v>45846</v>
      </c>
      <c r="AC371" s="13" t="str">
        <f t="shared" si="15"/>
        <v>Approved</v>
      </c>
      <c r="AF371" s="71">
        <f>AJ371-7</f>
        <v>45862</v>
      </c>
      <c r="AG371" s="35">
        <f>IF($AX371="Cancelled","",IFERROR(IF(F371="","",F371-Variables!$B$13),""))</f>
        <v>45885</v>
      </c>
      <c r="AH371" s="13">
        <f>IF($AX371="Cancelled","",IFERROR(IF(AB371="","",(AVERAGE(E371:F371)-AB371)-Variables!$B$14),""))</f>
        <v>9</v>
      </c>
      <c r="AJ371" s="47">
        <v>45869</v>
      </c>
      <c r="AK371" s="14">
        <f>IF($AX371="Cancelled","",IFERROR(IF(AJ371="","",IF(AND(AB371="",AF371=""),"",IF(AF371&gt;AB371,AF371+Variables!$B$15+Variables!$B$16+Variables!$B$17-AJ371,AB371+Variables!$B$16+Variables!$B$17-AJ371))),""))</f>
        <v>8</v>
      </c>
      <c r="AL371" s="48" t="s">
        <v>350</v>
      </c>
      <c r="AM371" s="13" t="s">
        <v>115</v>
      </c>
      <c r="AN371" s="13" t="s">
        <v>1045</v>
      </c>
      <c r="AP371" s="31">
        <v>45886</v>
      </c>
      <c r="AR371" s="13">
        <v>256502801</v>
      </c>
      <c r="AS371" s="31">
        <v>45896</v>
      </c>
      <c r="AU371" s="31">
        <v>45896</v>
      </c>
      <c r="AV371" s="13" t="s">
        <v>865</v>
      </c>
      <c r="AW371" s="31">
        <v>45896</v>
      </c>
      <c r="AX371" s="13" t="str">
        <f>IF(ISNUMBER(SEARCH("cancel",#REF!)),"Cancelled",IF(AND(AS371&lt;&gt;"",AU371&lt;&gt;"",AW371&lt;&gt;""),"Closed","Open"))</f>
        <v>Closed</v>
      </c>
      <c r="AY371" s="15" t="str">
        <f t="shared" si="16"/>
        <v>All dates received</v>
      </c>
      <c r="BD371" s="13">
        <f>IF($AX371="Cancelled","",IFERROR(IF(OR(AS371="",AJ371=""),"",(AJ371+Variables!$B$18-AS371)),""))</f>
        <v>-12</v>
      </c>
      <c r="BE371" s="13">
        <f>IF($AX371="Cancelled","",IFERROR(IF(OR(AW371="",AS371=""),"",(AS371+Variables!$B$19)-AW371),""))</f>
        <v>5</v>
      </c>
      <c r="BF371" s="44">
        <f>IF($AX371="Cancelled","",IFERROR(W371*INDEX(Variables!$B$7:$D$7,IFERROR(MATCH(IF($B371="Robusta","Robusta",(IF($B371="","Arabica",$B371))&amp;" - "&amp;(IF($C371="","Commercial",$C371))),Variables!$B$1:$D$1,0),1))*(BE371/365),""))</f>
        <v>108.83833818175832</v>
      </c>
      <c r="BG371" s="44">
        <f>IF($AX371="Cancelled","",IFERROR((W371*INDEX(Variables!$B$7:$D$7,IFERROR(MATCH(IF($B371="Robusta","Robusta",(IF($B371="","Arabica",$B371))&amp;" - "&amp;(IF($C371="","Commercial",$C371))),Variables!$B$1:$D$1,0),1))*IFERROR(IF(AB371="","",(AVERAGE(E371:F371)-AB371)-Variables!$B$14),"")/365)+(L371/16.67*INDEX(Variables!$B$8:$D$8,IFERROR(MATCH(IF($B371="Robusta","Robusta",(IF($B371="","Arabica",$B371))&amp;" - "&amp;(IF($C371="","Commercial",$C371))),Variables!$B$1:$D$1,0),1))*IFERROR(IF(AB371="","",(AVERAGE(E371:F371)-AB371)-Variables!$B$14),""))+(W371*INDEX(Variables!$B$9:$D$9,IFERROR(MATCH(IF($B371="Robusta","Robusta",(IF($B371="","Arabica",$B371))&amp;" - "&amp;(IF($C371="","Commercial",$C371))),Variables!$B$1:$D$1,0),1))*IFERROR(IF(AB371="","",(AVERAGE(E371:F371)-AB371)-Variables!$B$14),"")/365),""))</f>
        <v>360.43465392777688</v>
      </c>
      <c r="BH371" s="44">
        <f>IF($AX371="Cancelled","",IFERROR((W371*INDEX(Variables!$B$7:$D$7,IFERROR(MATCH(IF($B371="Robusta","Robusta",(IF($B371="","Arabica",$B371))&amp;" - "&amp;(IF($C371="","Commercial",$C371))),Variables!$B$1:$D$1,0),1))*AK371/365)+(L371/16.67*INDEX(Variables!$B$8:$D$8,IFERROR(MATCH(IF($B371="Robusta","Robusta",(IF($B371="","Arabica",$B371))&amp;" - "&amp;(IF($C371="","Commercial",$C371))),Variables!$B$1:$D$1,0),1))*AK371)+(W371*INDEX(Variables!$B$9:$D$9,IFERROR(MATCH(IF($B371="Robusta","Robusta",(IF($B371="","Arabica",$B371))&amp;" - "&amp;(IF($C371="","Commercial",$C371))),Variables!$B$1:$D$1,0),1))*AK371/365),""))</f>
        <v>320.38635904691273</v>
      </c>
      <c r="BI371" s="44">
        <f>IF($AX371="Cancelled","",IFERROR((W371*INDEX(Variables!$B$7:$D$7,IFERROR(MATCH(IF($B371="Robusta","Robusta",(IF($B371="","Arabica",$B371))&amp;" - "&amp;(IF($C371="","Commercial",$C371))),Variables!$B$1:$D$1,0),1))*BD371/365)+(L371/16.67*INDEX(Variables!$B$8:$D$8,IFERROR(MATCH(IF($B371="Robusta","Robusta",(IF($B371="","Arabica",$B371))&amp;" - "&amp;(IF($C371="","Commercial",$C371))),Variables!$B$1:$D$1,0),1))*BD371)+(W371*INDEX(Variables!$B$9:$D$9,IFERROR(MATCH(IF($B371="Robusta","Robusta",(IF($B371="","Arabica",$B371))&amp;" - "&amp;(IF($C371="","Commercial",$C371))),Variables!$B$1:$D$1,0),1))*BD371/365),""))</f>
        <v>-480.57953857036915</v>
      </c>
      <c r="BJ371" s="44">
        <f t="shared" si="17"/>
        <v>4</v>
      </c>
      <c r="BK371" s="44">
        <f>IF($AX371="Cancelled","",IFERROR(IF(BJ371="","",(W371*INDEX(Variables!$B$7:$D$7,IFERROR(MATCH(IF($B371="Robusta","Robusta",(IF($B371="","Arabica",$B371))&amp;" - "&amp;(IF($C371="","Commercial",$C371))),Variables!$B$1:$D$1,0),1))*(BJ371/365))+(W371*INDEX(Variables!$B$9:$D$9,IFERROR(MATCH(IF($B371="Robusta","Robusta",(IF($B371="","Arabica",$B371))&amp;" - "&amp;(IF($C371="","Commercial",$C371))),Variables!$B$1:$D$1,0),1))*(BJ371/365))+(INDEX(Variables!$B$8:$D$8,IFERROR(MATCH(IF($B371="Robusta","Robusta",(IF($B371="","Arabica",$B371))&amp;" - "&amp;(IF($C371="","Commercial",$C371))),Variables!$B$1:$D$1,0),1))*L371/16.67)),""))</f>
        <v>106.19317952345637</v>
      </c>
    </row>
    <row r="372" spans="1:63">
      <c r="A372" s="13" t="s">
        <v>103</v>
      </c>
      <c r="B372" s="13" t="s">
        <v>104</v>
      </c>
      <c r="C372" s="13" t="s">
        <v>105</v>
      </c>
      <c r="D372" s="31">
        <v>45736</v>
      </c>
      <c r="E372" s="31">
        <v>45748</v>
      </c>
      <c r="F372" s="31">
        <v>45777</v>
      </c>
      <c r="G372" s="13">
        <v>3786857</v>
      </c>
      <c r="H372" s="13" t="s">
        <v>1116</v>
      </c>
      <c r="J372" s="13" t="s">
        <v>773</v>
      </c>
      <c r="K372" s="13">
        <v>5237</v>
      </c>
      <c r="L372" s="13">
        <v>960</v>
      </c>
      <c r="M372" s="13">
        <v>3</v>
      </c>
      <c r="N372" s="13" t="s">
        <v>1117</v>
      </c>
      <c r="O372" s="13" t="s">
        <v>120</v>
      </c>
      <c r="P372" s="13">
        <v>10070</v>
      </c>
      <c r="R372" s="13" t="s">
        <v>239</v>
      </c>
      <c r="S372" s="13" t="s">
        <v>776</v>
      </c>
      <c r="T372" s="13" t="s">
        <v>777</v>
      </c>
      <c r="U372" s="13" t="s">
        <v>125</v>
      </c>
      <c r="V372" s="13">
        <v>6</v>
      </c>
      <c r="W372" s="44">
        <f>IF($AX372="Cancelled","",IFERROR(((V372+INDEX(Variables!$B$6:$D$6,IFERROR(MATCH(IF($B372="Robusta","Robusta",(IF($B372="","Arabica",$B372))&amp;" - "&amp;(IF($C372="","Commercial",$C372))),Variables!$B$1:$D$1,0),1)))*22.0462)*(L372/16.67),""))</f>
        <v>376819.41653269337</v>
      </c>
      <c r="X372" s="55" t="s">
        <v>42</v>
      </c>
      <c r="Y372" s="13" t="str">
        <f>IF($AX372="Cancelled","",IF(X372="","",IFERROR(IF(INDEX(Variables!$B$38:$B$47,MATCH(X372,Variables!$A$38:$A$47,0))="Yes","Yes","No"),"No")))</f>
        <v>No</v>
      </c>
      <c r="Z372" s="31" t="s">
        <v>1118</v>
      </c>
      <c r="AB372" s="31" t="s">
        <v>1118</v>
      </c>
      <c r="AC372" s="13" t="str">
        <f t="shared" si="15"/>
        <v/>
      </c>
      <c r="AF372" s="71">
        <v>45758</v>
      </c>
      <c r="AG372" s="35">
        <f>IF($AX372="Cancelled","",IFERROR(IF(F372="","",F372-Variables!$B$13),""))</f>
        <v>45762</v>
      </c>
      <c r="AH372" s="13" t="str">
        <f>IF($AX372="Cancelled","",IFERROR(IF(AB372="","",(AVERAGE(E372:F372)-AB372)-Variables!$B$14),""))</f>
        <v/>
      </c>
      <c r="AJ372" s="47">
        <v>45761</v>
      </c>
      <c r="AK372" s="14" t="str">
        <f>IF($AX372="Cancelled","",IFERROR(IF(AJ372="","",IF(AND(AB372="",AF372=""),"",IF(AF372&gt;AB372,AF372+Variables!$B$15+Variables!$B$16+Variables!$B$17-AJ372,AB372+Variables!$B$16+Variables!$B$17-AJ372))),""))</f>
        <v/>
      </c>
      <c r="AL372" s="48" t="s">
        <v>114</v>
      </c>
      <c r="AM372" s="13" t="s">
        <v>115</v>
      </c>
      <c r="AN372" s="13" t="s">
        <v>116</v>
      </c>
      <c r="AP372" s="31">
        <v>45772</v>
      </c>
      <c r="AR372" s="13">
        <v>252407538</v>
      </c>
      <c r="AS372" s="31">
        <v>45772</v>
      </c>
      <c r="AU372" s="31">
        <v>45779</v>
      </c>
      <c r="AV372" s="13" t="s">
        <v>1119</v>
      </c>
      <c r="AW372" s="31">
        <v>45791</v>
      </c>
      <c r="AX372" s="13" t="str">
        <f>IF(ISNUMBER(SEARCH("cancel",#REF!)),"Cancelled",IF(AND(AS372&lt;&gt;"",AU372&lt;&gt;"",AW372&lt;&gt;""),"Closed","Open"))</f>
        <v>Closed</v>
      </c>
      <c r="AY372" s="15" t="str">
        <f t="shared" si="16"/>
        <v>All dates received</v>
      </c>
      <c r="BD372" s="13">
        <f>IF($AX372="Cancelled","",IFERROR(IF(OR(AS372="",AJ372=""),"",(AJ372+Variables!$B$18-AS372)),""))</f>
        <v>4</v>
      </c>
      <c r="BE372" s="13">
        <f>IF($AX372="Cancelled","",IFERROR(IF(OR(AW372="",AS372=""),"",(AS372+Variables!$B$19)-AW372),""))</f>
        <v>-14</v>
      </c>
      <c r="BF372" s="44">
        <f>IF($AX372="Cancelled","",IFERROR(W372*INDEX(Variables!$B$7:$D$7,IFERROR(MATCH(IF($B372="Robusta","Robusta",(IF($B372="","Arabica",$B372))&amp;" - "&amp;(IF($C372="","Commercial",$C372))),Variables!$B$1:$D$1,0),1))*(BE372/365),""))</f>
        <v>-931.98364309704709</v>
      </c>
      <c r="BG372" s="44" t="str">
        <f>IF($AX372="Cancelled","",IFERROR((W372*INDEX(Variables!$B$7:$D$7,IFERROR(MATCH(IF($B372="Robusta","Robusta",(IF($B372="","Arabica",$B372))&amp;" - "&amp;(IF($C372="","Commercial",$C372))),Variables!$B$1:$D$1,0),1))*IFERROR(IF(AB372="","",(AVERAGE(E372:F372)-AB372)-Variables!$B$14),"")/365)+(L372/16.67*INDEX(Variables!$B$8:$D$8,IFERROR(MATCH(IF($B372="Robusta","Robusta",(IF($B372="","Arabica",$B372))&amp;" - "&amp;(IF($C372="","Commercial",$C372))),Variables!$B$1:$D$1,0),1))*IFERROR(IF(AB372="","",(AVERAGE(E372:F372)-AB372)-Variables!$B$14),""))+(W372*INDEX(Variables!$B$9:$D$9,IFERROR(MATCH(IF($B372="Robusta","Robusta",(IF($B372="","Arabica",$B372))&amp;" - "&amp;(IF($C372="","Commercial",$C372))),Variables!$B$1:$D$1,0),1))*IFERROR(IF(AB372="","",(AVERAGE(E372:F372)-AB372)-Variables!$B$14),"")/365),""))</f>
        <v/>
      </c>
      <c r="BH372" s="44" t="str">
        <f>IF($AX372="Cancelled","",IFERROR((W372*INDEX(Variables!$B$7:$D$7,IFERROR(MATCH(IF($B372="Robusta","Robusta",(IF($B372="","Arabica",$B372))&amp;" - "&amp;(IF($C372="","Commercial",$C372))),Variables!$B$1:$D$1,0),1))*AK372/365)+(L372/16.67*INDEX(Variables!$B$8:$D$8,IFERROR(MATCH(IF($B372="Robusta","Robusta",(IF($B372="","Arabica",$B372))&amp;" - "&amp;(IF($C372="","Commercial",$C372))),Variables!$B$1:$D$1,0),1))*AK372)+(W372*INDEX(Variables!$B$9:$D$9,IFERROR(MATCH(IF($B372="Robusta","Robusta",(IF($B372="","Arabica",$B372))&amp;" - "&amp;(IF($C372="","Commercial",$C372))),Variables!$B$1:$D$1,0),1))*AK372/365),""))</f>
        <v/>
      </c>
      <c r="BI372" s="44">
        <f>IF($AX372="Cancelled","",IFERROR((W372*INDEX(Variables!$B$7:$D$7,IFERROR(MATCH(IF($B372="Robusta","Robusta",(IF($B372="","Arabica",$B372))&amp;" - "&amp;(IF($C372="","Commercial",$C372))),Variables!$B$1:$D$1,0),1))*BD372/365)+(L372/16.67*INDEX(Variables!$B$8:$D$8,IFERROR(MATCH(IF($B372="Robusta","Robusta",(IF($B372="","Arabica",$B372))&amp;" - "&amp;(IF($C372="","Commercial",$C372))),Variables!$B$1:$D$1,0),1))*BD372)+(W372*INDEX(Variables!$B$9:$D$9,IFERROR(MATCH(IF($B372="Robusta","Robusta",(IF($B372="","Arabica",$B372))&amp;" - "&amp;(IF($C372="","Commercial",$C372))),Variables!$B$1:$D$1,0),1))*BD372/365),""))</f>
        <v>461.71391738858159</v>
      </c>
      <c r="BJ372" s="44">
        <f t="shared" si="17"/>
        <v>5</v>
      </c>
      <c r="BK372" s="44">
        <f>IF($AX372="Cancelled","",IFERROR(IF(BJ372="","",(W372*INDEX(Variables!$B$7:$D$7,IFERROR(MATCH(IF($B372="Robusta","Robusta",(IF($B372="","Arabica",$B372))&amp;" - "&amp;(IF($C372="","Commercial",$C372))),Variables!$B$1:$D$1,0),1))*(BJ372/365))+(W372*INDEX(Variables!$B$9:$D$9,IFERROR(MATCH(IF($B372="Robusta","Robusta",(IF($B372="","Arabica",$B372))&amp;" - "&amp;(IF($C372="","Commercial",$C372))),Variables!$B$1:$D$1,0),1))*(BJ372/365))+(INDEX(Variables!$B$8:$D$8,IFERROR(MATCH(IF($B372="Robusta","Robusta",(IF($B372="","Arabica",$B372))&amp;" - "&amp;(IF($C372="","Commercial",$C372))),Variables!$B$1:$D$1,0),1))*L372/16.67)),""))</f>
        <v>385.14239673572695</v>
      </c>
    </row>
    <row r="373" spans="1:63">
      <c r="A373" s="13" t="s">
        <v>103</v>
      </c>
      <c r="B373" s="13" t="s">
        <v>104</v>
      </c>
      <c r="C373" s="13" t="s">
        <v>292</v>
      </c>
      <c r="D373" s="31">
        <v>45737</v>
      </c>
      <c r="E373" s="31">
        <v>45748</v>
      </c>
      <c r="F373" s="31">
        <v>45777</v>
      </c>
      <c r="G373" s="13">
        <v>3786858</v>
      </c>
      <c r="J373" s="13" t="s">
        <v>501</v>
      </c>
      <c r="K373" s="13" t="s">
        <v>1120</v>
      </c>
      <c r="L373" s="13">
        <v>5</v>
      </c>
      <c r="M373" s="13">
        <v>0</v>
      </c>
      <c r="N373" s="13" t="s">
        <v>1121</v>
      </c>
      <c r="O373" s="13" t="s">
        <v>304</v>
      </c>
      <c r="P373" s="13">
        <v>10010</v>
      </c>
      <c r="R373" s="13" t="s">
        <v>671</v>
      </c>
      <c r="S373" s="13" t="s">
        <v>437</v>
      </c>
      <c r="T373" s="13" t="s">
        <v>438</v>
      </c>
      <c r="U373" s="13" t="s">
        <v>182</v>
      </c>
      <c r="V373" s="13">
        <v>111</v>
      </c>
      <c r="W373" s="44">
        <f>IF($AX373="Cancelled","",IFERROR(((V373+INDEX(Variables!$B$6:$D$6,IFERROR(MATCH(IF($B373="Robusta","Robusta",(IF($B373="","Arabica",$B373))&amp;" - "&amp;(IF($C373="","Commercial",$C373))),Variables!$B$1:$D$1,0),1)))*22.0462)*(L373/16.67),""))</f>
        <v>2656.9175644871025</v>
      </c>
      <c r="X373" s="55" t="s">
        <v>39</v>
      </c>
      <c r="Y373" s="13" t="str">
        <f>IF($AX373="Cancelled","",IF(X373="","",IFERROR(IF(INDEX(Variables!$B$38:$B$47,MATCH(X373,Variables!$A$38:$A$47,0))="Yes","Yes","No"),"No")))</f>
        <v>No</v>
      </c>
      <c r="Z373" s="31"/>
      <c r="AB373" s="31">
        <v>45731.875</v>
      </c>
      <c r="AC373" s="13" t="str">
        <f t="shared" si="15"/>
        <v>Approved</v>
      </c>
      <c r="AF373" s="71">
        <f>AJ373-7</f>
        <v>45765</v>
      </c>
      <c r="AG373" s="36">
        <f>IF($AX373="Cancelled","",IFERROR(IF(F373="","",F373-Variables!$B$13),""))</f>
        <v>45762</v>
      </c>
      <c r="AH373" s="13">
        <f>IF($AX373="Cancelled","",IFERROR(IF(AB373="","",(AVERAGE(E373:F373)-AB373)-Variables!$B$14),""))</f>
        <v>0.625</v>
      </c>
      <c r="AJ373" s="47">
        <v>45772</v>
      </c>
      <c r="AK373" s="14">
        <f>IF($AX373="Cancelled","",IFERROR(IF(AJ373="","",IF(AND(AB373="",AF373=""),"",IF(AF373&gt;AB373,AF373+Variables!$B$15+Variables!$B$16+Variables!$B$17-AJ373,AB373+Variables!$B$16+Variables!$B$17-AJ373))),""))</f>
        <v>8</v>
      </c>
      <c r="AL373" s="48" t="s">
        <v>114</v>
      </c>
      <c r="AM373" s="13" t="s">
        <v>3243</v>
      </c>
      <c r="AN373" s="13" t="s">
        <v>195</v>
      </c>
      <c r="AP373" s="31">
        <v>45781</v>
      </c>
      <c r="AR373" s="13" t="s">
        <v>3260</v>
      </c>
      <c r="AS373" s="31">
        <v>45784</v>
      </c>
      <c r="AU373" s="31">
        <v>45793</v>
      </c>
      <c r="AV373" s="13" t="s">
        <v>3272</v>
      </c>
      <c r="AW373" s="31">
        <v>45797</v>
      </c>
      <c r="AX373" s="13" t="str">
        <f>IF(ISNUMBER(SEARCH("cancel",#REF!)),"Cancelled",IF(AND(AS373&lt;&gt;"",AU373&lt;&gt;"",AW373&lt;&gt;""),"Closed","Open"))</f>
        <v>Closed</v>
      </c>
      <c r="AY373" s="15" t="str">
        <f t="shared" si="16"/>
        <v>All dates received</v>
      </c>
      <c r="BD373" s="13">
        <f>IF($AX373="Cancelled","",IFERROR(IF(OR(AS373="",AJ373=""),"",(AJ373+Variables!$B$18-AS373)),""))</f>
        <v>3</v>
      </c>
      <c r="BE373" s="13">
        <f>IF($AX373="Cancelled","",IFERROR(IF(OR(AW373="",AS373=""),"",(AS373+Variables!$B$19)-AW373),""))</f>
        <v>-8</v>
      </c>
      <c r="BF373" s="44">
        <f>IF($AX373="Cancelled","",IFERROR(W373*INDEX(Variables!$B$7:$D$7,IFERROR(MATCH(IF($B373="Robusta","Robusta",(IF($B373="","Arabica",$B373))&amp;" - "&amp;(IF($C373="","Commercial",$C373))),Variables!$B$1:$D$1,0),1))*(BE373/365),""))</f>
        <v>-3.7550441594908546</v>
      </c>
      <c r="BG373" s="44">
        <f>IF($AX373="Cancelled","",IFERROR((W373*INDEX(Variables!$B$7:$D$7,IFERROR(MATCH(IF($B373="Robusta","Robusta",(IF($B373="","Arabica",$B373))&amp;" - "&amp;(IF($C373="","Commercial",$C373))),Variables!$B$1:$D$1,0),1))*IFERROR(IF(AB373="","",(AVERAGE(E373:F373)-AB373)-Variables!$B$14),"")/365)+(L373/16.67*INDEX(Variables!$B$8:$D$8,IFERROR(MATCH(IF($B373="Robusta","Robusta",(IF($B373="","Arabica",$B373))&amp;" - "&amp;(IF($C373="","Commercial",$C373))),Variables!$B$1:$D$1,0),1))*IFERROR(IF(AB373="","",(AVERAGE(E373:F373)-AB373)-Variables!$B$14),""))+(W373*INDEX(Variables!$B$9:$D$9,IFERROR(MATCH(IF($B373="Robusta","Robusta",(IF($B373="","Arabica",$B373))&amp;" - "&amp;(IF($C373="","Commercial",$C373))),Variables!$B$1:$D$1,0),1))*IFERROR(IF(AB373="","",(AVERAGE(E373:F373)-AB373)-Variables!$B$14),"")/365),""))</f>
        <v>0.45339483792487734</v>
      </c>
      <c r="BH373" s="44">
        <f>IF($AX373="Cancelled","",IFERROR((W373*INDEX(Variables!$B$7:$D$7,IFERROR(MATCH(IF($B373="Robusta","Robusta",(IF($B373="","Arabica",$B373))&amp;" - "&amp;(IF($C373="","Commercial",$C373))),Variables!$B$1:$D$1,0),1))*AK373/365)+(L373/16.67*INDEX(Variables!$B$8:$D$8,IFERROR(MATCH(IF($B373="Robusta","Robusta",(IF($B373="","Arabica",$B373))&amp;" - "&amp;(IF($C373="","Commercial",$C373))),Variables!$B$1:$D$1,0),1))*AK373)+(W373*INDEX(Variables!$B$9:$D$9,IFERROR(MATCH(IF($B373="Robusta","Robusta",(IF($B373="","Arabica",$B373))&amp;" - "&amp;(IF($C373="","Commercial",$C373))),Variables!$B$1:$D$1,0),1))*AK373/365),""))</f>
        <v>5.8034539254384292</v>
      </c>
      <c r="BI373" s="44">
        <f>IF($AX373="Cancelled","",IFERROR((W373*INDEX(Variables!$B$7:$D$7,IFERROR(MATCH(IF($B373="Robusta","Robusta",(IF($B373="","Arabica",$B373))&amp;" - "&amp;(IF($C373="","Commercial",$C373))),Variables!$B$1:$D$1,0),1))*BD373/365)+(L373/16.67*INDEX(Variables!$B$8:$D$8,IFERROR(MATCH(IF($B373="Robusta","Robusta",(IF($B373="","Arabica",$B373))&amp;" - "&amp;(IF($C373="","Commercial",$C373))),Variables!$B$1:$D$1,0),1))*BD373)+(W373*INDEX(Variables!$B$9:$D$9,IFERROR(MATCH(IF($B373="Robusta","Robusta",(IF($B373="","Arabica",$B373))&amp;" - "&amp;(IF($C373="","Commercial",$C373))),Variables!$B$1:$D$1,0),1))*BD373/365),""))</f>
        <v>2.1762952220394114</v>
      </c>
      <c r="BJ373" s="44">
        <f t="shared" si="17"/>
        <v>-7</v>
      </c>
      <c r="BK373" s="44">
        <f>IF($AX373="Cancelled","",IFERROR(IF(BJ373="","",(W373*INDEX(Variables!$B$7:$D$7,IFERROR(MATCH(IF($B373="Robusta","Robusta",(IF($B373="","Arabica",$B373))&amp;" - "&amp;(IF($C373="","Commercial",$C373))),Variables!$B$1:$D$1,0),1))*(BJ373/365))+(W373*INDEX(Variables!$B$9:$D$9,IFERROR(MATCH(IF($B373="Robusta","Robusta",(IF($B373="","Arabica",$B373))&amp;" - "&amp;(IF($C373="","Commercial",$C373))),Variables!$B$1:$D$1,0),1))*(BJ373/365))+(INDEX(Variables!$B$8:$D$8,IFERROR(MATCH(IF($B373="Robusta","Robusta",(IF($B373="","Arabica",$B373))&amp;" - "&amp;(IF($C373="","Commercial",$C373))),Variables!$B$1:$D$1,0),1))*L373/16.67)),""))</f>
        <v>-3.0780221847586264</v>
      </c>
    </row>
    <row r="374" spans="1:63">
      <c r="A374" s="13" t="s">
        <v>103</v>
      </c>
      <c r="B374" s="13" t="s">
        <v>104</v>
      </c>
      <c r="C374" s="13" t="s">
        <v>292</v>
      </c>
      <c r="D374" s="31">
        <v>45737</v>
      </c>
      <c r="E374" s="31">
        <v>45748</v>
      </c>
      <c r="F374" s="31">
        <v>45777</v>
      </c>
      <c r="G374" s="13">
        <v>3786859</v>
      </c>
      <c r="J374" s="13" t="s">
        <v>501</v>
      </c>
      <c r="K374" s="13" t="s">
        <v>1122</v>
      </c>
      <c r="L374" s="13">
        <v>5</v>
      </c>
      <c r="M374" s="13">
        <v>0</v>
      </c>
      <c r="N374" s="13" t="s">
        <v>1123</v>
      </c>
      <c r="O374" s="13" t="s">
        <v>304</v>
      </c>
      <c r="P374" s="13">
        <v>10010</v>
      </c>
      <c r="R374" s="13" t="s">
        <v>671</v>
      </c>
      <c r="S374" s="13" t="s">
        <v>437</v>
      </c>
      <c r="T374" s="13" t="s">
        <v>438</v>
      </c>
      <c r="U374" s="13" t="s">
        <v>182</v>
      </c>
      <c r="V374" s="13">
        <v>120</v>
      </c>
      <c r="W374" s="44">
        <f>IF($AX374="Cancelled","",IFERROR(((V374+INDEX(Variables!$B$6:$D$6,IFERROR(MATCH(IF($B374="Robusta","Robusta",(IF($B374="","Arabica",$B374))&amp;" - "&amp;(IF($C374="","Commercial",$C374))),Variables!$B$1:$D$1,0),1)))*22.0462)*(L374/16.67),""))</f>
        <v>2716.4304019196156</v>
      </c>
      <c r="X374" s="55" t="s">
        <v>39</v>
      </c>
      <c r="Y374" s="13" t="str">
        <f>IF($AX374="Cancelled","",IF(X374="","",IFERROR(IF(INDEX(Variables!$B$38:$B$47,MATCH(X374,Variables!$A$38:$A$47,0))="Yes","Yes","No"),"No")))</f>
        <v>No</v>
      </c>
      <c r="Z374" s="31"/>
      <c r="AB374" s="31">
        <v>45731.875</v>
      </c>
      <c r="AC374" s="13" t="str">
        <f t="shared" si="15"/>
        <v>Approved</v>
      </c>
      <c r="AF374" s="71">
        <f>AJ374-7</f>
        <v>45765</v>
      </c>
      <c r="AG374" s="36">
        <f>IF($AX374="Cancelled","",IFERROR(IF(F374="","",F374-Variables!$B$13),""))</f>
        <v>45762</v>
      </c>
      <c r="AH374" s="13">
        <f>IF($AX374="Cancelled","",IFERROR(IF(AB374="","",(AVERAGE(E374:F374)-AB374)-Variables!$B$14),""))</f>
        <v>0.625</v>
      </c>
      <c r="AJ374" s="47">
        <v>45772</v>
      </c>
      <c r="AK374" s="14">
        <f>IF($AX374="Cancelled","",IFERROR(IF(AJ374="","",IF(AND(AB374="",AF374=""),"",IF(AF374&gt;AB374,AF374+Variables!$B$15+Variables!$B$16+Variables!$B$17-AJ374,AB374+Variables!$B$16+Variables!$B$17-AJ374))),""))</f>
        <v>8</v>
      </c>
      <c r="AL374" s="48" t="s">
        <v>114</v>
      </c>
      <c r="AM374" s="13" t="s">
        <v>3243</v>
      </c>
      <c r="AN374" s="13" t="s">
        <v>195</v>
      </c>
      <c r="AP374" s="31">
        <v>45781</v>
      </c>
      <c r="AR374" s="13" t="s">
        <v>3260</v>
      </c>
      <c r="AS374" s="31">
        <v>45784</v>
      </c>
      <c r="AU374" s="31">
        <v>45793</v>
      </c>
      <c r="AV374" s="13" t="s">
        <v>3272</v>
      </c>
      <c r="AW374" s="31">
        <v>45797</v>
      </c>
      <c r="AX374" s="13" t="str">
        <f>IF(ISNUMBER(SEARCH("cancel",#REF!)),"Cancelled",IF(AND(AS374&lt;&gt;"",AU374&lt;&gt;"",AW374&lt;&gt;""),"Closed","Open"))</f>
        <v>Closed</v>
      </c>
      <c r="AY374" s="15" t="str">
        <f t="shared" si="16"/>
        <v>All dates received</v>
      </c>
      <c r="BD374" s="13">
        <f>IF($AX374="Cancelled","",IFERROR(IF(OR(AS374="",AJ374=""),"",(AJ374+Variables!$B$18-AS374)),""))</f>
        <v>3</v>
      </c>
      <c r="BE374" s="13">
        <f>IF($AX374="Cancelled","",IFERROR(IF(OR(AW374="",AS374=""),"",(AS374+Variables!$B$19)-AW374),""))</f>
        <v>-8</v>
      </c>
      <c r="BF374" s="44">
        <f>IF($AX374="Cancelled","",IFERROR(W374*INDEX(Variables!$B$7:$D$7,IFERROR(MATCH(IF($B374="Robusta","Robusta",(IF($B374="","Arabica",$B374))&amp;" - "&amp;(IF($C374="","Commercial",$C374))),Variables!$B$1:$D$1,0),1))*(BE374/365),""))</f>
        <v>-3.839154158085722</v>
      </c>
      <c r="BG374" s="44">
        <f>IF($AX374="Cancelled","",IFERROR((W374*INDEX(Variables!$B$7:$D$7,IFERROR(MATCH(IF($B374="Robusta","Robusta",(IF($B374="","Arabica",$B374))&amp;" - "&amp;(IF($C374="","Commercial",$C374))),Variables!$B$1:$D$1,0),1))*IFERROR(IF(AB374="","",(AVERAGE(E374:F374)-AB374)-Variables!$B$14),"")/365)+(L374/16.67*INDEX(Variables!$B$8:$D$8,IFERROR(MATCH(IF($B374="Robusta","Robusta",(IF($B374="","Arabica",$B374))&amp;" - "&amp;(IF($C374="","Commercial",$C374))),Variables!$B$1:$D$1,0),1))*IFERROR(IF(AB374="","",(AVERAGE(E374:F374)-AB374)-Variables!$B$14),""))+(W374*INDEX(Variables!$B$9:$D$9,IFERROR(MATCH(IF($B374="Robusta","Robusta",(IF($B374="","Arabica",$B374))&amp;" - "&amp;(IF($C374="","Commercial",$C374))),Variables!$B$1:$D$1,0),1))*IFERROR(IF(AB374="","",(AVERAGE(E374:F374)-AB374)-Variables!$B$14),"")/365),""))</f>
        <v>0.46005064564345344</v>
      </c>
      <c r="BH374" s="44">
        <f>IF($AX374="Cancelled","",IFERROR((W374*INDEX(Variables!$B$7:$D$7,IFERROR(MATCH(IF($B374="Robusta","Robusta",(IF($B374="","Arabica",$B374))&amp;" - "&amp;(IF($C374="","Commercial",$C374))),Variables!$B$1:$D$1,0),1))*AK374/365)+(L374/16.67*INDEX(Variables!$B$8:$D$8,IFERROR(MATCH(IF($B374="Robusta","Robusta",(IF($B374="","Arabica",$B374))&amp;" - "&amp;(IF($C374="","Commercial",$C374))),Variables!$B$1:$D$1,0),1))*AK374)+(W374*INDEX(Variables!$B$9:$D$9,IFERROR(MATCH(IF($B374="Robusta","Robusta",(IF($B374="","Arabica",$B374))&amp;" - "&amp;(IF($C374="","Commercial",$C374))),Variables!$B$1:$D$1,0),1))*AK374/365),""))</f>
        <v>5.8886482642362044</v>
      </c>
      <c r="BI374" s="44">
        <f>IF($AX374="Cancelled","",IFERROR((W374*INDEX(Variables!$B$7:$D$7,IFERROR(MATCH(IF($B374="Robusta","Robusta",(IF($B374="","Arabica",$B374))&amp;" - "&amp;(IF($C374="","Commercial",$C374))),Variables!$B$1:$D$1,0),1))*BD374/365)+(L374/16.67*INDEX(Variables!$B$8:$D$8,IFERROR(MATCH(IF($B374="Robusta","Robusta",(IF($B374="","Arabica",$B374))&amp;" - "&amp;(IF($C374="","Commercial",$C374))),Variables!$B$1:$D$1,0),1))*BD374)+(W374*INDEX(Variables!$B$9:$D$9,IFERROR(MATCH(IF($B374="Robusta","Robusta",(IF($B374="","Arabica",$B374))&amp;" - "&amp;(IF($C374="","Commercial",$C374))),Variables!$B$1:$D$1,0),1))*BD374/365),""))</f>
        <v>2.2082430990885769</v>
      </c>
      <c r="BJ374" s="44">
        <f t="shared" si="17"/>
        <v>-7</v>
      </c>
      <c r="BK374" s="44">
        <f>IF($AX374="Cancelled","",IFERROR(IF(BJ374="","",(W374*INDEX(Variables!$B$7:$D$7,IFERROR(MATCH(IF($B374="Robusta","Robusta",(IF($B374="","Arabica",$B374))&amp;" - "&amp;(IF($C374="","Commercial",$C374))),Variables!$B$1:$D$1,0),1))*(BJ374/365))+(W374*INDEX(Variables!$B$9:$D$9,IFERROR(MATCH(IF($B374="Robusta","Robusta",(IF($B374="","Arabica",$B374))&amp;" - "&amp;(IF($C374="","Commercial",$C374))),Variables!$B$1:$D$1,0),1))*(BJ374/365))+(INDEX(Variables!$B$8:$D$8,IFERROR(MATCH(IF($B374="Robusta","Robusta",(IF($B374="","Arabica",$B374))&amp;" - "&amp;(IF($C374="","Commercial",$C374))),Variables!$B$1:$D$1,0),1))*L374/16.67)),""))</f>
        <v>-3.152567231206679</v>
      </c>
    </row>
    <row r="375" spans="1:63">
      <c r="A375" s="13" t="s">
        <v>103</v>
      </c>
      <c r="B375" s="13" t="s">
        <v>104</v>
      </c>
      <c r="C375" s="13" t="s">
        <v>105</v>
      </c>
      <c r="D375" s="31">
        <v>45743</v>
      </c>
      <c r="E375" s="31">
        <v>45748</v>
      </c>
      <c r="F375" s="31">
        <v>45761</v>
      </c>
      <c r="G375" s="13">
        <v>3786860</v>
      </c>
      <c r="H375" s="13">
        <v>25.177</v>
      </c>
      <c r="J375" s="13" t="s">
        <v>1124</v>
      </c>
      <c r="K375" s="13">
        <v>5239</v>
      </c>
      <c r="L375" s="13">
        <v>640</v>
      </c>
      <c r="M375" s="13">
        <v>2</v>
      </c>
      <c r="N375" s="13" t="s">
        <v>1125</v>
      </c>
      <c r="O375" s="13" t="s">
        <v>179</v>
      </c>
      <c r="P375" s="13">
        <v>10110</v>
      </c>
      <c r="Q375" s="13" t="s">
        <v>745</v>
      </c>
      <c r="R375" s="13" t="s">
        <v>110</v>
      </c>
      <c r="S375" s="13" t="s">
        <v>816</v>
      </c>
      <c r="T375" s="13" t="s">
        <v>817</v>
      </c>
      <c r="U375" s="13" t="s">
        <v>125</v>
      </c>
      <c r="V375" s="13">
        <v>-9</v>
      </c>
      <c r="W375" s="44">
        <f>IF($AX375="Cancelled","",IFERROR(((V375+INDEX(Variables!$B$6:$D$6,IFERROR(MATCH(IF($B375="Robusta","Robusta",(IF($B375="","Arabica",$B375))&amp;" - "&amp;(IF($C375="","Commercial",$C375))),Variables!$B$1:$D$1,0),1)))*22.0462)*(L375/16.67),""))</f>
        <v>238516.87236952607</v>
      </c>
      <c r="X375" s="55" t="s">
        <v>37</v>
      </c>
      <c r="Y375" s="13" t="str">
        <f>IF($AX375="Cancelled","",IF(X375="","",IFERROR(IF(INDEX(Variables!$B$38:$B$47,MATCH(X375,Variables!$A$38:$A$47,0))="Yes","Yes","No"),"No")))</f>
        <v>Yes</v>
      </c>
      <c r="Z375" s="58">
        <v>45748</v>
      </c>
      <c r="AB375" s="31">
        <v>45758</v>
      </c>
      <c r="AC375" s="13" t="str">
        <f t="shared" si="15"/>
        <v>Approved</v>
      </c>
      <c r="AF375" s="71">
        <f>AJ375-7</f>
        <v>45755</v>
      </c>
      <c r="AG375" s="35">
        <f>IF($AX375="Cancelled","",IFERROR(IF(F375="","",F375-Variables!$B$13),""))</f>
        <v>45746</v>
      </c>
      <c r="AH375" s="13">
        <f>IF($AX375="Cancelled","",IFERROR(IF(AB375="","",(AVERAGE(E375:F375)-AB375)-Variables!$B$14),""))</f>
        <v>-33.5</v>
      </c>
      <c r="AJ375" s="47">
        <v>45762</v>
      </c>
      <c r="AK375" s="14">
        <f>IF($AX375="Cancelled","",IFERROR(IF(AJ375="","",IF(AND(AB375="",AF375=""),"",IF(AF375&gt;AB375,AF375+Variables!$B$15+Variables!$B$16+Variables!$B$17-AJ375,AB375+Variables!$B$16+Variables!$B$17-AJ375))),""))</f>
        <v>4</v>
      </c>
      <c r="AL375" s="48" t="s">
        <v>114</v>
      </c>
      <c r="AM375" s="13" t="s">
        <v>141</v>
      </c>
      <c r="AN375" s="13" t="s">
        <v>334</v>
      </c>
      <c r="AP375" s="31">
        <v>45774</v>
      </c>
      <c r="AR375" s="13" t="s">
        <v>1126</v>
      </c>
      <c r="AS375" s="31">
        <v>45774</v>
      </c>
      <c r="AU375" s="31">
        <v>45782</v>
      </c>
      <c r="AV375" s="13" t="s">
        <v>1127</v>
      </c>
      <c r="AW375" s="31">
        <v>45785</v>
      </c>
      <c r="AX375" s="13" t="str">
        <f>IF(ISNUMBER(SEARCH("cancel",#REF!)),"Cancelled",IF(AND(AS375&lt;&gt;"",AU375&lt;&gt;"",AW375&lt;&gt;""),"Closed","Open"))</f>
        <v>Closed</v>
      </c>
      <c r="AY375" s="15" t="str">
        <f t="shared" si="16"/>
        <v>All dates received</v>
      </c>
      <c r="BD375" s="13">
        <f>IF($AX375="Cancelled","",IFERROR(IF(OR(AS375="",AJ375=""),"",(AJ375+Variables!$B$18-AS375)),""))</f>
        <v>3</v>
      </c>
      <c r="BE375" s="13">
        <f>IF($AX375="Cancelled","",IFERROR(IF(OR(AW375="",AS375=""),"",(AS375+Variables!$B$19)-AW375),""))</f>
        <v>-6</v>
      </c>
      <c r="BF375" s="44">
        <f>IF($AX375="Cancelled","",IFERROR(W375*INDEX(Variables!$B$7:$D$7,IFERROR(MATCH(IF($B375="Robusta","Robusta",(IF($B375="","Arabica",$B375))&amp;" - "&amp;(IF($C375="","Commercial",$C375))),Variables!$B$1:$D$1,0),1))*(BE375/365),""))</f>
        <v>-252.82344110969183</v>
      </c>
      <c r="BG375" s="44">
        <f>IF($AX375="Cancelled","",IFERROR((W375*INDEX(Variables!$B$7:$D$7,IFERROR(MATCH(IF($B375="Robusta","Robusta",(IF($B375="","Arabica",$B375))&amp;" - "&amp;(IF($C375="","Commercial",$C375))),Variables!$B$1:$D$1,0),1))*IFERROR(IF(AB375="","",(AVERAGE(E375:F375)-AB375)-Variables!$B$14),"")/365)+(L375/16.67*INDEX(Variables!$B$8:$D$8,IFERROR(MATCH(IF($B375="Robusta","Robusta",(IF($B375="","Arabica",$B375))&amp;" - "&amp;(IF($C375="","Commercial",$C375))),Variables!$B$1:$D$1,0),1))*IFERROR(IF(AB375="","",(AVERAGE(E375:F375)-AB375)-Variables!$B$14),""))+(W375*INDEX(Variables!$B$9:$D$9,IFERROR(MATCH(IF($B375="Robusta","Robusta",(IF($B375="","Arabica",$B375))&amp;" - "&amp;(IF($C375="","Commercial",$C375))),Variables!$B$1:$D$1,0),1))*IFERROR(IF(AB375="","",(AVERAGE(E375:F375)-AB375)-Variables!$B$14),"")/365),""))</f>
        <v>-2501.7957627602354</v>
      </c>
      <c r="BH375" s="44">
        <f>IF($AX375="Cancelled","",IFERROR((W375*INDEX(Variables!$B$7:$D$7,IFERROR(MATCH(IF($B375="Robusta","Robusta",(IF($B375="","Arabica",$B375))&amp;" - "&amp;(IF($C375="","Commercial",$C375))),Variables!$B$1:$D$1,0),1))*AK375/365)+(L375/16.67*INDEX(Variables!$B$8:$D$8,IFERROR(MATCH(IF($B375="Robusta","Robusta",(IF($B375="","Arabica",$B375))&amp;" - "&amp;(IF($C375="","Commercial",$C375))),Variables!$B$1:$D$1,0),1))*AK375)+(W375*INDEX(Variables!$B$9:$D$9,IFERROR(MATCH(IF($B375="Robusta","Robusta",(IF($B375="","Arabica",$B375))&amp;" - "&amp;(IF($C375="","Commercial",$C375))),Variables!$B$1:$D$1,0),1))*AK375/365),""))</f>
        <v>298.72188212062508</v>
      </c>
      <c r="BI375" s="44">
        <f>IF($AX375="Cancelled","",IFERROR((W375*INDEX(Variables!$B$7:$D$7,IFERROR(MATCH(IF($B375="Robusta","Robusta",(IF($B375="","Arabica",$B375))&amp;" - "&amp;(IF($C375="","Commercial",$C375))),Variables!$B$1:$D$1,0),1))*BD375/365)+(L375/16.67*INDEX(Variables!$B$8:$D$8,IFERROR(MATCH(IF($B375="Robusta","Robusta",(IF($B375="","Arabica",$B375))&amp;" - "&amp;(IF($C375="","Commercial",$C375))),Variables!$B$1:$D$1,0),1))*BD375)+(W375*INDEX(Variables!$B$9:$D$9,IFERROR(MATCH(IF($B375="Robusta","Robusta",(IF($B375="","Arabica",$B375))&amp;" - "&amp;(IF($C375="","Commercial",$C375))),Variables!$B$1:$D$1,0),1))*BD375/365),""))</f>
        <v>224.04141159046884</v>
      </c>
      <c r="BJ375" s="44">
        <f t="shared" si="17"/>
        <v>-13</v>
      </c>
      <c r="BK375" s="44">
        <f>IF($AX375="Cancelled","",IFERROR(IF(BJ375="","",(W375*INDEX(Variables!$B$7:$D$7,IFERROR(MATCH(IF($B375="Robusta","Robusta",(IF($B375="","Arabica",$B375))&amp;" - "&amp;(IF($C375="","Commercial",$C375))),Variables!$B$1:$D$1,0),1))*(BJ375/365))+(W375*INDEX(Variables!$B$9:$D$9,IFERROR(MATCH(IF($B375="Robusta","Robusta",(IF($B375="","Arabica",$B375))&amp;" - "&amp;(IF($C375="","Commercial",$C375))),Variables!$B$1:$D$1,0),1))*(BJ375/365))+(INDEX(Variables!$B$8:$D$8,IFERROR(MATCH(IF($B375="Robusta","Robusta",(IF($B375="","Arabica",$B375))&amp;" - "&amp;(IF($C375="","Commercial",$C375))),Variables!$B$1:$D$1,0),1))*L375/16.67)),""))</f>
        <v>-522.84611689203166</v>
      </c>
    </row>
    <row r="376" spans="1:63">
      <c r="A376" s="13" t="s">
        <v>103</v>
      </c>
      <c r="B376" s="13" t="s">
        <v>104</v>
      </c>
      <c r="C376" s="13" t="s">
        <v>292</v>
      </c>
      <c r="D376" s="31">
        <v>45737</v>
      </c>
      <c r="E376" s="31">
        <v>45748</v>
      </c>
      <c r="F376" s="31">
        <v>45777</v>
      </c>
      <c r="G376" s="13">
        <v>3786861</v>
      </c>
      <c r="J376" s="13" t="s">
        <v>787</v>
      </c>
      <c r="K376" s="13" t="s">
        <v>1128</v>
      </c>
      <c r="L376" s="13">
        <v>15</v>
      </c>
      <c r="M376" s="13">
        <v>0</v>
      </c>
      <c r="N376" s="13" t="s">
        <v>1129</v>
      </c>
      <c r="O376" s="13" t="s">
        <v>304</v>
      </c>
      <c r="P376" s="13">
        <v>10010</v>
      </c>
      <c r="R376" s="13" t="s">
        <v>239</v>
      </c>
      <c r="S376" s="13" t="s">
        <v>442</v>
      </c>
      <c r="T376" s="13" t="s">
        <v>112</v>
      </c>
      <c r="U376" s="13" t="s">
        <v>113</v>
      </c>
      <c r="V376" s="13">
        <v>120</v>
      </c>
      <c r="W376" s="44">
        <f>IF($AX376="Cancelled","",IFERROR(((V376+INDEX(Variables!$B$6:$D$6,IFERROR(MATCH(IF($B376="Robusta","Robusta",(IF($B376="","Arabica",$B376))&amp;" - "&amp;(IF($C376="","Commercial",$C376))),Variables!$B$1:$D$1,0),1)))*22.0462)*(L376/16.67),""))</f>
        <v>8149.2912057588464</v>
      </c>
      <c r="X376" s="55" t="s">
        <v>39</v>
      </c>
      <c r="Y376" s="13" t="str">
        <f>IF($AX376="Cancelled","",IF(X376="","",IFERROR(IF(INDEX(Variables!$B$38:$B$47,MATCH(X376,Variables!$A$38:$A$47,0))="Yes","Yes","No"),"No")))</f>
        <v>No</v>
      </c>
      <c r="Z376" s="31"/>
      <c r="AB376" s="31">
        <v>45731.875</v>
      </c>
      <c r="AC376" s="13" t="str">
        <f t="shared" si="15"/>
        <v>Approved</v>
      </c>
      <c r="AF376" s="71">
        <f>AJ376-7</f>
        <v>45776</v>
      </c>
      <c r="AG376" s="36">
        <f>IF($AX376="Cancelled","",IFERROR(IF(F376="","",F376-Variables!$B$13),""))</f>
        <v>45762</v>
      </c>
      <c r="AH376" s="13">
        <f>IF($AX376="Cancelled","",IFERROR(IF(AB376="","",(AVERAGE(E376:F376)-AB376)-Variables!$B$14),""))</f>
        <v>0.625</v>
      </c>
      <c r="AJ376" s="47">
        <v>45783</v>
      </c>
      <c r="AK376" s="14">
        <f>IF($AX376="Cancelled","",IFERROR(IF(AJ376="","",IF(AND(AB376="",AF376=""),"",IF(AF376&gt;AB376,AF376+Variables!$B$15+Variables!$B$16+Variables!$B$17-AJ376,AB376+Variables!$B$16+Variables!$B$17-AJ376))),""))</f>
        <v>8</v>
      </c>
      <c r="AL376" s="48" t="s">
        <v>114</v>
      </c>
      <c r="AM376" s="13" t="s">
        <v>168</v>
      </c>
      <c r="AN376" s="13" t="s">
        <v>805</v>
      </c>
      <c r="AP376" s="31">
        <v>45786</v>
      </c>
      <c r="AR376" s="13" t="s">
        <v>3256</v>
      </c>
      <c r="AS376" s="31">
        <v>45791</v>
      </c>
      <c r="AU376" s="31">
        <v>45811</v>
      </c>
      <c r="AV376" s="13" t="s">
        <v>865</v>
      </c>
      <c r="AW376" s="31">
        <v>45818</v>
      </c>
      <c r="AX376" s="13" t="str">
        <f>IF(ISNUMBER(SEARCH("cancel",#REF!)),"Cancelled",IF(AND(AS376&lt;&gt;"",AU376&lt;&gt;"",AW376&lt;&gt;""),"Closed","Open"))</f>
        <v>Closed</v>
      </c>
      <c r="AY376" s="15" t="str">
        <f t="shared" si="16"/>
        <v>All dates received</v>
      </c>
      <c r="BD376" s="13">
        <f>IF($AX376="Cancelled","",IFERROR(IF(OR(AS376="",AJ376=""),"",(AJ376+Variables!$B$18-AS376)),""))</f>
        <v>7</v>
      </c>
      <c r="BE376" s="13">
        <f>IF($AX376="Cancelled","",IFERROR(IF(OR(AW376="",AS376=""),"",(AS376+Variables!$B$19)-AW376),""))</f>
        <v>-22</v>
      </c>
      <c r="BF376" s="44">
        <f>IF($AX376="Cancelled","",IFERROR(W376*INDEX(Variables!$B$7:$D$7,IFERROR(MATCH(IF($B376="Robusta","Robusta",(IF($B376="","Arabica",$B376))&amp;" - "&amp;(IF($C376="","Commercial",$C376))),Variables!$B$1:$D$1,0),1))*(BE376/365),""))</f>
        <v>-31.673021804207202</v>
      </c>
      <c r="BG376" s="44">
        <f>IF($AX376="Cancelled","",IFERROR((W376*INDEX(Variables!$B$7:$D$7,IFERROR(MATCH(IF($B376="Robusta","Robusta",(IF($B376="","Arabica",$B376))&amp;" - "&amp;(IF($C376="","Commercial",$C376))),Variables!$B$1:$D$1,0),1))*IFERROR(IF(AB376="","",(AVERAGE(E376:F376)-AB376)-Variables!$B$14),"")/365)+(L376/16.67*INDEX(Variables!$B$8:$D$8,IFERROR(MATCH(IF($B376="Robusta","Robusta",(IF($B376="","Arabica",$B376))&amp;" - "&amp;(IF($C376="","Commercial",$C376))),Variables!$B$1:$D$1,0),1))*IFERROR(IF(AB376="","",(AVERAGE(E376:F376)-AB376)-Variables!$B$14),""))+(W376*INDEX(Variables!$B$9:$D$9,IFERROR(MATCH(IF($B376="Robusta","Robusta",(IF($B376="","Arabica",$B376))&amp;" - "&amp;(IF($C376="","Commercial",$C376))),Variables!$B$1:$D$1,0),1))*IFERROR(IF(AB376="","",(AVERAGE(E376:F376)-AB376)-Variables!$B$14),"")/365),""))</f>
        <v>1.3801519369303605</v>
      </c>
      <c r="BH376" s="44">
        <f>IF($AX376="Cancelled","",IFERROR((W376*INDEX(Variables!$B$7:$D$7,IFERROR(MATCH(IF($B376="Robusta","Robusta",(IF($B376="","Arabica",$B376))&amp;" - "&amp;(IF($C376="","Commercial",$C376))),Variables!$B$1:$D$1,0),1))*AK376/365)+(L376/16.67*INDEX(Variables!$B$8:$D$8,IFERROR(MATCH(IF($B376="Robusta","Robusta",(IF($B376="","Arabica",$B376))&amp;" - "&amp;(IF($C376="","Commercial",$C376))),Variables!$B$1:$D$1,0),1))*AK376)+(W376*INDEX(Variables!$B$9:$D$9,IFERROR(MATCH(IF($B376="Robusta","Robusta",(IF($B376="","Arabica",$B376))&amp;" - "&amp;(IF($C376="","Commercial",$C376))),Variables!$B$1:$D$1,0),1))*AK376/365),""))</f>
        <v>17.665944792708615</v>
      </c>
      <c r="BI376" s="44">
        <f>IF($AX376="Cancelled","",IFERROR((W376*INDEX(Variables!$B$7:$D$7,IFERROR(MATCH(IF($B376="Robusta","Robusta",(IF($B376="","Arabica",$B376))&amp;" - "&amp;(IF($C376="","Commercial",$C376))),Variables!$B$1:$D$1,0),1))*BD376/365)+(L376/16.67*INDEX(Variables!$B$8:$D$8,IFERROR(MATCH(IF($B376="Robusta","Robusta",(IF($B376="","Arabica",$B376))&amp;" - "&amp;(IF($C376="","Commercial",$C376))),Variables!$B$1:$D$1,0),1))*BD376)+(W376*INDEX(Variables!$B$9:$D$9,IFERROR(MATCH(IF($B376="Robusta","Robusta",(IF($B376="","Arabica",$B376))&amp;" - "&amp;(IF($C376="","Commercial",$C376))),Variables!$B$1:$D$1,0),1))*BD376/365),""))</f>
        <v>15.457701693620034</v>
      </c>
      <c r="BJ376" s="44">
        <f t="shared" si="17"/>
        <v>-14</v>
      </c>
      <c r="BK376" s="44">
        <f>IF($AX376="Cancelled","",IFERROR(IF(BJ376="","",(W376*INDEX(Variables!$B$7:$D$7,IFERROR(MATCH(IF($B376="Robusta","Robusta",(IF($B376="","Arabica",$B376))&amp;" - "&amp;(IF($C376="","Commercial",$C376))),Variables!$B$1:$D$1,0),1))*(BJ376/365))+(W376*INDEX(Variables!$B$9:$D$9,IFERROR(MATCH(IF($B376="Robusta","Robusta",(IF($B376="","Arabica",$B376))&amp;" - "&amp;(IF($C376="","Commercial",$C376))),Variables!$B$1:$D$1,0),1))*(BJ376/365))+(INDEX(Variables!$B$8:$D$8,IFERROR(MATCH(IF($B376="Robusta","Robusta",(IF($B376="","Arabica",$B376))&amp;" - "&amp;(IF($C376="","Commercial",$C376))),Variables!$B$1:$D$1,0),1))*L376/16.67)),""))</f>
        <v>-19.665403387240072</v>
      </c>
    </row>
    <row r="377" spans="1:63">
      <c r="A377" s="13" t="s">
        <v>103</v>
      </c>
      <c r="B377" s="13" t="s">
        <v>104</v>
      </c>
      <c r="C377" s="13" t="s">
        <v>292</v>
      </c>
      <c r="D377" s="31">
        <v>45737</v>
      </c>
      <c r="E377" s="31">
        <v>45748</v>
      </c>
      <c r="F377" s="31">
        <v>45777</v>
      </c>
      <c r="G377" s="13">
        <v>3786862</v>
      </c>
      <c r="H377" s="13" t="s">
        <v>1130</v>
      </c>
      <c r="J377" s="13" t="s">
        <v>1131</v>
      </c>
      <c r="K377" s="13" t="s">
        <v>1132</v>
      </c>
      <c r="L377" s="13">
        <v>60</v>
      </c>
      <c r="M377" s="13">
        <v>1</v>
      </c>
      <c r="N377" s="13" t="s">
        <v>1133</v>
      </c>
      <c r="O377" s="13" t="s">
        <v>261</v>
      </c>
      <c r="P377" s="13">
        <v>10060</v>
      </c>
      <c r="R377" s="13" t="s">
        <v>239</v>
      </c>
      <c r="S377" s="13" t="s">
        <v>180</v>
      </c>
      <c r="T377" s="13" t="s">
        <v>253</v>
      </c>
      <c r="U377" s="13" t="s">
        <v>182</v>
      </c>
      <c r="V377" s="13">
        <v>44</v>
      </c>
      <c r="W377" s="44">
        <f>IF($AX377="Cancelled","",IFERROR(((V377+INDEX(Variables!$B$6:$D$6,IFERROR(MATCH(IF($B377="Robusta","Robusta",(IF($B377="","Arabica",$B377))&amp;" - "&amp;(IF($C377="","Commercial",$C377))),Variables!$B$1:$D$1,0),1)))*22.0462)*(L377/16.67),""))</f>
        <v>26566.530629874022</v>
      </c>
      <c r="X377" s="55" t="s">
        <v>37</v>
      </c>
      <c r="Y377" s="13" t="str">
        <f>IF($AX377="Cancelled","",IF(X377="","",IFERROR(IF(INDEX(Variables!$B$38:$B$47,MATCH(X377,Variables!$A$38:$A$47,0))="Yes","Yes","No"),"No")))</f>
        <v>Yes</v>
      </c>
      <c r="Z377" s="31">
        <v>45743.875</v>
      </c>
      <c r="AC377" s="13" t="str">
        <f t="shared" si="15"/>
        <v/>
      </c>
      <c r="AF377" s="71">
        <f>AJ377-7</f>
        <v>45778</v>
      </c>
      <c r="AG377" s="36">
        <f>IF($AX377="Cancelled","",IFERROR(IF(F377="","",F377-Variables!$B$13),""))</f>
        <v>45762</v>
      </c>
      <c r="AH377" s="13" t="str">
        <f>IF($AX377="Cancelled","",IFERROR(IF(AB377="","",(AVERAGE(E377:F377)-AB377)-Variables!$B$14),""))</f>
        <v/>
      </c>
      <c r="AJ377" s="47">
        <v>45785</v>
      </c>
      <c r="AK377" s="14">
        <f>IF($AX377="Cancelled","",IFERROR(IF(AJ377="","",IF(AND(AB377="",AF377=""),"",IF(AF377&gt;AB377,AF377+Variables!$B$15+Variables!$B$16+Variables!$B$17-AJ377,AB377+Variables!$B$16+Variables!$B$17-AJ377))),""))</f>
        <v>8</v>
      </c>
      <c r="AL377" s="48" t="s">
        <v>114</v>
      </c>
      <c r="AM377" s="13" t="s">
        <v>188</v>
      </c>
      <c r="AN377" s="13" t="s">
        <v>200</v>
      </c>
      <c r="AP377" s="31">
        <v>45804</v>
      </c>
      <c r="AR377" s="13" t="s">
        <v>3261</v>
      </c>
      <c r="AS377" s="31">
        <v>45807</v>
      </c>
      <c r="AU377" s="31">
        <v>45813</v>
      </c>
      <c r="AV377" s="13" t="s">
        <v>202</v>
      </c>
      <c r="AW377" s="31">
        <v>45821</v>
      </c>
      <c r="AX377" s="13" t="str">
        <f>IF(ISNUMBER(SEARCH("cancel",#REF!)),"Cancelled",IF(AND(AS377&lt;&gt;"",AU377&lt;&gt;"",AW377&lt;&gt;""),"Closed","Open"))</f>
        <v>Closed</v>
      </c>
      <c r="AY377" s="15" t="str">
        <f t="shared" si="16"/>
        <v>All dates received</v>
      </c>
      <c r="BD377" s="13">
        <f>IF($AX377="Cancelled","",IFERROR(IF(OR(AS377="",AJ377=""),"",(AJ377+Variables!$B$18-AS377)),""))</f>
        <v>-7</v>
      </c>
      <c r="BE377" s="13">
        <f>IF($AX377="Cancelled","",IFERROR(IF(OR(AW377="",AS377=""),"",(AS377+Variables!$B$19)-AW377),""))</f>
        <v>-9</v>
      </c>
      <c r="BF377" s="44">
        <f>IF($AX377="Cancelled","",IFERROR(W377*INDEX(Variables!$B$7:$D$7,IFERROR(MATCH(IF($B377="Robusta","Robusta",(IF($B377="","Arabica",$B377))&amp;" - "&amp;(IF($C377="","Commercial",$C377))),Variables!$B$1:$D$1,0),1))*(BE377/365),""))</f>
        <v>-42.240041294342369</v>
      </c>
      <c r="BG377" s="44" t="str">
        <f>IF($AX377="Cancelled","",IFERROR((W377*INDEX(Variables!$B$7:$D$7,IFERROR(MATCH(IF($B377="Robusta","Robusta",(IF($B377="","Arabica",$B377))&amp;" - "&amp;(IF($C377="","Commercial",$C377))),Variables!$B$1:$D$1,0),1))*IFERROR(IF(AB377="","",(AVERAGE(E377:F377)-AB377)-Variables!$B$14),"")/365)+(L377/16.67*INDEX(Variables!$B$8:$D$8,IFERROR(MATCH(IF($B377="Robusta","Robusta",(IF($B377="","Arabica",$B377))&amp;" - "&amp;(IF($C377="","Commercial",$C377))),Variables!$B$1:$D$1,0),1))*IFERROR(IF(AB377="","",(AVERAGE(E377:F377)-AB377)-Variables!$B$14),""))+(W377*INDEX(Variables!$B$9:$D$9,IFERROR(MATCH(IF($B377="Robusta","Robusta",(IF($B377="","Arabica",$B377))&amp;" - "&amp;(IF($C377="","Commercial",$C377))),Variables!$B$1:$D$1,0),1))*IFERROR(IF(AB377="","",(AVERAGE(E377:F377)-AB377)-Variables!$B$14),"")/365),""))</f>
        <v/>
      </c>
      <c r="BH377" s="44">
        <f>IF($AX377="Cancelled","",IFERROR((W377*INDEX(Variables!$B$7:$D$7,IFERROR(MATCH(IF($B377="Robusta","Robusta",(IF($B377="","Arabica",$B377))&amp;" - "&amp;(IF($C377="","Commercial",$C377))),Variables!$B$1:$D$1,0),1))*AK377/365)+(L377/16.67*INDEX(Variables!$B$8:$D$8,IFERROR(MATCH(IF($B377="Robusta","Robusta",(IF($B377="","Arabica",$B377))&amp;" - "&amp;(IF($C377="","Commercial",$C377))),Variables!$B$1:$D$1,0),1))*AK377)+(W377*INDEX(Variables!$B$9:$D$9,IFERROR(MATCH(IF($B377="Robusta","Robusta",(IF($B377="","Arabica",$B377))&amp;" - "&amp;(IF($C377="","Commercial",$C377))),Variables!$B$1:$D$1,0),1))*AK377/365),""))</f>
        <v>62.030752839326617</v>
      </c>
      <c r="BI377" s="44">
        <f>IF($AX377="Cancelled","",IFERROR((W377*INDEX(Variables!$B$7:$D$7,IFERROR(MATCH(IF($B377="Robusta","Robusta",(IF($B377="","Arabica",$B377))&amp;" - "&amp;(IF($C377="","Commercial",$C377))),Variables!$B$1:$D$1,0),1))*BD377/365)+(L377/16.67*INDEX(Variables!$B$8:$D$8,IFERROR(MATCH(IF($B377="Robusta","Robusta",(IF($B377="","Arabica",$B377))&amp;" - "&amp;(IF($C377="","Commercial",$C377))),Variables!$B$1:$D$1,0),1))*BD377)+(W377*INDEX(Variables!$B$9:$D$9,IFERROR(MATCH(IF($B377="Robusta","Robusta",(IF($B377="","Arabica",$B377))&amp;" - "&amp;(IF($C377="","Commercial",$C377))),Variables!$B$1:$D$1,0),1))*BD377/365),""))</f>
        <v>-54.276908734410796</v>
      </c>
      <c r="BJ377" s="44">
        <f t="shared" si="17"/>
        <v>-30</v>
      </c>
      <c r="BK377" s="44">
        <f>IF($AX377="Cancelled","",IFERROR(IF(BJ377="","",(W377*INDEX(Variables!$B$7:$D$7,IFERROR(MATCH(IF($B377="Robusta","Robusta",(IF($B377="","Arabica",$B377))&amp;" - "&amp;(IF($C377="","Commercial",$C377))),Variables!$B$1:$D$1,0),1))*(BJ377/365))+(W377*INDEX(Variables!$B$9:$D$9,IFERROR(MATCH(IF($B377="Robusta","Robusta",(IF($B377="","Arabica",$B377))&amp;" - "&amp;(IF($C377="","Commercial",$C377))),Variables!$B$1:$D$1,0),1))*(BJ377/365))+(INDEX(Variables!$B$8:$D$8,IFERROR(MATCH(IF($B377="Robusta","Robusta",(IF($B377="","Arabica",$B377))&amp;" - "&amp;(IF($C377="","Commercial",$C377))),Variables!$B$1:$D$1,0),1))*L377/16.67)),""))</f>
        <v>-139.61532314747484</v>
      </c>
    </row>
    <row r="378" spans="1:63">
      <c r="A378" s="13" t="s">
        <v>103</v>
      </c>
      <c r="B378" s="13" t="s">
        <v>104</v>
      </c>
      <c r="C378" s="13" t="s">
        <v>292</v>
      </c>
      <c r="D378" s="31">
        <v>45737</v>
      </c>
      <c r="E378" s="31">
        <v>45748</v>
      </c>
      <c r="F378" s="31">
        <v>45777</v>
      </c>
      <c r="G378" s="13">
        <v>3786863</v>
      </c>
      <c r="H378" s="13" t="s">
        <v>1134</v>
      </c>
      <c r="J378" s="13" t="s">
        <v>1131</v>
      </c>
      <c r="K378" s="13" t="s">
        <v>1135</v>
      </c>
      <c r="L378" s="13">
        <v>60</v>
      </c>
      <c r="M378" s="13">
        <v>0</v>
      </c>
      <c r="N378" s="13" t="s">
        <v>1136</v>
      </c>
      <c r="O378" s="13" t="s">
        <v>120</v>
      </c>
      <c r="P378" s="13">
        <v>10070</v>
      </c>
      <c r="R378" s="13" t="s">
        <v>239</v>
      </c>
      <c r="S378" s="13" t="s">
        <v>180</v>
      </c>
      <c r="T378" s="13" t="s">
        <v>253</v>
      </c>
      <c r="U378" s="13" t="s">
        <v>182</v>
      </c>
      <c r="V378" s="13">
        <v>44</v>
      </c>
      <c r="W378" s="44">
        <f>IF($AX378="Cancelled","",IFERROR(((V378+INDEX(Variables!$B$6:$D$6,IFERROR(MATCH(IF($B378="Robusta","Robusta",(IF($B378="","Arabica",$B378))&amp;" - "&amp;(IF($C378="","Commercial",$C378))),Variables!$B$1:$D$1,0),1)))*22.0462)*(L378/16.67),""))</f>
        <v>26566.530629874022</v>
      </c>
      <c r="X378" s="55" t="s">
        <v>37</v>
      </c>
      <c r="Y378" s="13" t="str">
        <f>IF($AX378="Cancelled","",IF(X378="","",IFERROR(IF(INDEX(Variables!$B$38:$B$47,MATCH(X378,Variables!$A$38:$A$47,0))="Yes","Yes","No"),"No")))</f>
        <v>Yes</v>
      </c>
      <c r="Z378" s="31">
        <v>45743.875</v>
      </c>
      <c r="AC378" s="13" t="str">
        <f t="shared" si="15"/>
        <v/>
      </c>
      <c r="AF378" s="71">
        <f>AJ378-7</f>
        <v>45778</v>
      </c>
      <c r="AG378" s="35">
        <f>IF($AX378="Cancelled","",IFERROR(IF(F378="","",F378-Variables!$B$13),""))</f>
        <v>45762</v>
      </c>
      <c r="AH378" s="13" t="str">
        <f>IF($AX378="Cancelled","",IFERROR(IF(AB378="","",(AVERAGE(E378:F378)-AB378)-Variables!$B$14),""))</f>
        <v/>
      </c>
      <c r="AJ378" s="47">
        <v>45785</v>
      </c>
      <c r="AK378" s="14">
        <f>IF($AX378="Cancelled","",IFERROR(IF(AJ378="","",IF(AND(AB378="",AF378=""),"",IF(AF378&gt;AB378,AF378+Variables!$B$15+Variables!$B$16+Variables!$B$17-AJ378,AB378+Variables!$B$16+Variables!$B$17-AJ378))),""))</f>
        <v>8</v>
      </c>
      <c r="AL378" s="48" t="s">
        <v>114</v>
      </c>
      <c r="AM378" s="13" t="s">
        <v>188</v>
      </c>
      <c r="AN378" s="13" t="s">
        <v>200</v>
      </c>
      <c r="AP378" s="31">
        <v>45804</v>
      </c>
      <c r="AR378" s="13" t="s">
        <v>3261</v>
      </c>
      <c r="AS378" s="31">
        <v>45807</v>
      </c>
      <c r="AU378" s="31">
        <v>45813</v>
      </c>
      <c r="AV378" s="13" t="s">
        <v>202</v>
      </c>
      <c r="AW378" s="31">
        <v>45821</v>
      </c>
      <c r="AX378" s="13" t="str">
        <f>IF(ISNUMBER(SEARCH("cancel",#REF!)),"Cancelled",IF(AND(AS378&lt;&gt;"",AU378&lt;&gt;"",AW378&lt;&gt;""),"Closed","Open"))</f>
        <v>Closed</v>
      </c>
      <c r="AY378" s="15" t="str">
        <f t="shared" si="16"/>
        <v>All dates received</v>
      </c>
      <c r="BD378" s="13">
        <f>IF($AX378="Cancelled","",IFERROR(IF(OR(AS378="",AJ378=""),"",(AJ378+Variables!$B$18-AS378)),""))</f>
        <v>-7</v>
      </c>
      <c r="BE378" s="13">
        <f>IF($AX378="Cancelled","",IFERROR(IF(OR(AW378="",AS378=""),"",(AS378+Variables!$B$19)-AW378),""))</f>
        <v>-9</v>
      </c>
      <c r="BF378" s="44">
        <f>IF($AX378="Cancelled","",IFERROR(W378*INDEX(Variables!$B$7:$D$7,IFERROR(MATCH(IF($B378="Robusta","Robusta",(IF($B378="","Arabica",$B378))&amp;" - "&amp;(IF($C378="","Commercial",$C378))),Variables!$B$1:$D$1,0),1))*(BE378/365),""))</f>
        <v>-42.240041294342369</v>
      </c>
      <c r="BG378" s="44" t="str">
        <f>IF($AX378="Cancelled","",IFERROR((W378*INDEX(Variables!$B$7:$D$7,IFERROR(MATCH(IF($B378="Robusta","Robusta",(IF($B378="","Arabica",$B378))&amp;" - "&amp;(IF($C378="","Commercial",$C378))),Variables!$B$1:$D$1,0),1))*IFERROR(IF(AB378="","",(AVERAGE(E378:F378)-AB378)-Variables!$B$14),"")/365)+(L378/16.67*INDEX(Variables!$B$8:$D$8,IFERROR(MATCH(IF($B378="Robusta","Robusta",(IF($B378="","Arabica",$B378))&amp;" - "&amp;(IF($C378="","Commercial",$C378))),Variables!$B$1:$D$1,0),1))*IFERROR(IF(AB378="","",(AVERAGE(E378:F378)-AB378)-Variables!$B$14),""))+(W378*INDEX(Variables!$B$9:$D$9,IFERROR(MATCH(IF($B378="Robusta","Robusta",(IF($B378="","Arabica",$B378))&amp;" - "&amp;(IF($C378="","Commercial",$C378))),Variables!$B$1:$D$1,0),1))*IFERROR(IF(AB378="","",(AVERAGE(E378:F378)-AB378)-Variables!$B$14),"")/365),""))</f>
        <v/>
      </c>
      <c r="BH378" s="44">
        <f>IF($AX378="Cancelled","",IFERROR((W378*INDEX(Variables!$B$7:$D$7,IFERROR(MATCH(IF($B378="Robusta","Robusta",(IF($B378="","Arabica",$B378))&amp;" - "&amp;(IF($C378="","Commercial",$C378))),Variables!$B$1:$D$1,0),1))*AK378/365)+(L378/16.67*INDEX(Variables!$B$8:$D$8,IFERROR(MATCH(IF($B378="Robusta","Robusta",(IF($B378="","Arabica",$B378))&amp;" - "&amp;(IF($C378="","Commercial",$C378))),Variables!$B$1:$D$1,0),1))*AK378)+(W378*INDEX(Variables!$B$9:$D$9,IFERROR(MATCH(IF($B378="Robusta","Robusta",(IF($B378="","Arabica",$B378))&amp;" - "&amp;(IF($C378="","Commercial",$C378))),Variables!$B$1:$D$1,0),1))*AK378/365),""))</f>
        <v>62.030752839326617</v>
      </c>
      <c r="BI378" s="44">
        <f>IF($AX378="Cancelled","",IFERROR((W378*INDEX(Variables!$B$7:$D$7,IFERROR(MATCH(IF($B378="Robusta","Robusta",(IF($B378="","Arabica",$B378))&amp;" - "&amp;(IF($C378="","Commercial",$C378))),Variables!$B$1:$D$1,0),1))*BD378/365)+(L378/16.67*INDEX(Variables!$B$8:$D$8,IFERROR(MATCH(IF($B378="Robusta","Robusta",(IF($B378="","Arabica",$B378))&amp;" - "&amp;(IF($C378="","Commercial",$C378))),Variables!$B$1:$D$1,0),1))*BD378)+(W378*INDEX(Variables!$B$9:$D$9,IFERROR(MATCH(IF($B378="Robusta","Robusta",(IF($B378="","Arabica",$B378))&amp;" - "&amp;(IF($C378="","Commercial",$C378))),Variables!$B$1:$D$1,0),1))*BD378/365),""))</f>
        <v>-54.276908734410796</v>
      </c>
      <c r="BJ378" s="44">
        <f t="shared" si="17"/>
        <v>-30</v>
      </c>
      <c r="BK378" s="44">
        <f>IF($AX378="Cancelled","",IFERROR(IF(BJ378="","",(W378*INDEX(Variables!$B$7:$D$7,IFERROR(MATCH(IF($B378="Robusta","Robusta",(IF($B378="","Arabica",$B378))&amp;" - "&amp;(IF($C378="","Commercial",$C378))),Variables!$B$1:$D$1,0),1))*(BJ378/365))+(W378*INDEX(Variables!$B$9:$D$9,IFERROR(MATCH(IF($B378="Robusta","Robusta",(IF($B378="","Arabica",$B378))&amp;" - "&amp;(IF($C378="","Commercial",$C378))),Variables!$B$1:$D$1,0),1))*(BJ378/365))+(INDEX(Variables!$B$8:$D$8,IFERROR(MATCH(IF($B378="Robusta","Robusta",(IF($B378="","Arabica",$B378))&amp;" - "&amp;(IF($C378="","Commercial",$C378))),Variables!$B$1:$D$1,0),1))*L378/16.67)),""))</f>
        <v>-139.61532314747484</v>
      </c>
    </row>
    <row r="379" spans="1:63">
      <c r="A379" s="13" t="s">
        <v>103</v>
      </c>
      <c r="B379" s="13" t="s">
        <v>104</v>
      </c>
      <c r="C379" s="13" t="s">
        <v>105</v>
      </c>
      <c r="D379" s="31">
        <v>45737</v>
      </c>
      <c r="E379" s="31">
        <v>45809</v>
      </c>
      <c r="F379" s="31">
        <v>45838</v>
      </c>
      <c r="G379" s="13">
        <v>3786864</v>
      </c>
      <c r="H379" s="13">
        <v>93665</v>
      </c>
      <c r="J379" s="13" t="s">
        <v>118</v>
      </c>
      <c r="K379" s="13" t="s">
        <v>1137</v>
      </c>
      <c r="L379" s="13">
        <v>720</v>
      </c>
      <c r="M379" s="13">
        <v>2</v>
      </c>
      <c r="N379" s="13" t="s">
        <v>1138</v>
      </c>
      <c r="O379" s="13" t="s">
        <v>332</v>
      </c>
      <c r="P379" s="13">
        <v>10120</v>
      </c>
      <c r="R379" s="13" t="s">
        <v>122</v>
      </c>
      <c r="S379" s="13" t="s">
        <v>167</v>
      </c>
      <c r="T379" s="13" t="s">
        <v>155</v>
      </c>
      <c r="U379" s="13" t="s">
        <v>125</v>
      </c>
      <c r="V379" s="13">
        <v>-39</v>
      </c>
      <c r="W379" s="44">
        <f>IF($AX379="Cancelled","",IFERROR(((V379+INDEX(Variables!$B$6:$D$6,IFERROR(MATCH(IF($B379="Robusta","Robusta",(IF($B379="","Arabica",$B379))&amp;" - "&amp;(IF($C379="","Commercial",$C379))),Variables!$B$1:$D$1,0),1)))*22.0462)*(L379/16.67),""))</f>
        <v>239765.31944811036</v>
      </c>
      <c r="X379" s="55" t="s">
        <v>37</v>
      </c>
      <c r="Y379" s="13" t="str">
        <f>IF($AX379="Cancelled","",IF(X379="","",IFERROR(IF(INDEX(Variables!$B$38:$B$47,MATCH(X379,Variables!$A$38:$A$47,0))="Yes","Yes","No"),"No")))</f>
        <v>Yes</v>
      </c>
      <c r="Z379" s="58">
        <v>45782</v>
      </c>
      <c r="AB379" s="31">
        <v>45792</v>
      </c>
      <c r="AC379" s="13" t="str">
        <f t="shared" si="15"/>
        <v>Approved</v>
      </c>
      <c r="AF379" s="71">
        <f>AJ379-7</f>
        <v>45813</v>
      </c>
      <c r="AG379" s="35">
        <f>IF($AX379="Cancelled","",IFERROR(IF(F379="","",F379-Variables!$B$13),""))</f>
        <v>45823</v>
      </c>
      <c r="AH379" s="13">
        <f>IF($AX379="Cancelled","",IFERROR(IF(AB379="","",(AVERAGE(E379:F379)-AB379)-Variables!$B$14),""))</f>
        <v>1.5</v>
      </c>
      <c r="AJ379" s="47">
        <v>45820</v>
      </c>
      <c r="AK379" s="14">
        <f>IF($AX379="Cancelled","",IFERROR(IF(AJ379="","",IF(AND(AB379="",AF379=""),"",IF(AF379&gt;AB379,AF379+Variables!$B$15+Variables!$B$16+Variables!$B$17-AJ379,AB379+Variables!$B$16+Variables!$B$17-AJ379))),""))</f>
        <v>8</v>
      </c>
      <c r="AL379" s="48" t="s">
        <v>114</v>
      </c>
      <c r="AM379" s="13" t="s">
        <v>613</v>
      </c>
      <c r="AN379" s="13" t="s">
        <v>273</v>
      </c>
      <c r="AP379" s="31">
        <v>45836</v>
      </c>
      <c r="AR379" s="13" t="s">
        <v>1139</v>
      </c>
      <c r="AS379" s="31">
        <v>45836</v>
      </c>
      <c r="AU379" s="31">
        <v>45841</v>
      </c>
      <c r="AV379" s="13" t="s">
        <v>865</v>
      </c>
      <c r="AW379" s="31">
        <v>45842</v>
      </c>
      <c r="AX379" s="13" t="str">
        <f>IF(ISNUMBER(SEARCH("cancel",#REF!)),"Cancelled",IF(AND(AS379&lt;&gt;"",AU379&lt;&gt;"",AW379&lt;&gt;""),"Closed","Open"))</f>
        <v>Closed</v>
      </c>
      <c r="AY379" s="15" t="str">
        <f t="shared" si="16"/>
        <v>All dates received</v>
      </c>
      <c r="BD379" s="13">
        <f>IF($AX379="Cancelled","",IFERROR(IF(OR(AS379="",AJ379=""),"",(AJ379+Variables!$B$18-AS379)),""))</f>
        <v>-1</v>
      </c>
      <c r="BE379" s="13">
        <f>IF($AX379="Cancelled","",IFERROR(IF(OR(AW379="",AS379=""),"",(AS379+Variables!$B$19)-AW379),""))</f>
        <v>-1</v>
      </c>
      <c r="BF379" s="44">
        <f>IF($AX379="Cancelled","",IFERROR(W379*INDEX(Variables!$B$7:$D$7,IFERROR(MATCH(IF($B379="Robusta","Robusta",(IF($B379="","Arabica",$B379))&amp;" - "&amp;(IF($C379="","Commercial",$C379))),Variables!$B$1:$D$1,0),1))*(BE379/365),""))</f>
        <v>-42.357795292375187</v>
      </c>
      <c r="BG379" s="44">
        <f>IF($AX379="Cancelled","",IFERROR((W379*INDEX(Variables!$B$7:$D$7,IFERROR(MATCH(IF($B379="Robusta","Robusta",(IF($B379="","Arabica",$B379))&amp;" - "&amp;(IF($C379="","Commercial",$C379))),Variables!$B$1:$D$1,0),1))*IFERROR(IF(AB379="","",(AVERAGE(E379:F379)-AB379)-Variables!$B$14),"")/365)+(L379/16.67*INDEX(Variables!$B$8:$D$8,IFERROR(MATCH(IF($B379="Robusta","Robusta",(IF($B379="","Arabica",$B379))&amp;" - "&amp;(IF($C379="","Commercial",$C379))),Variables!$B$1:$D$1,0),1))*IFERROR(IF(AB379="","",(AVERAGE(E379:F379)-AB379)-Variables!$B$14),""))+(W379*INDEX(Variables!$B$9:$D$9,IFERROR(MATCH(IF($B379="Robusta","Robusta",(IF($B379="","Arabica",$B379))&amp;" - "&amp;(IF($C379="","Commercial",$C379))),Variables!$B$1:$D$1,0),1))*IFERROR(IF(AB379="","",(AVERAGE(E379:F379)-AB379)-Variables!$B$14),"")/365),""))</f>
        <v>118.35580352783902</v>
      </c>
      <c r="BH379" s="44">
        <f>IF($AX379="Cancelled","",IFERROR((W379*INDEX(Variables!$B$7:$D$7,IFERROR(MATCH(IF($B379="Robusta","Robusta",(IF($B379="","Arabica",$B379))&amp;" - "&amp;(IF($C379="","Commercial",$C379))),Variables!$B$1:$D$1,0),1))*AK379/365)+(L379/16.67*INDEX(Variables!$B$8:$D$8,IFERROR(MATCH(IF($B379="Robusta","Robusta",(IF($B379="","Arabica",$B379))&amp;" - "&amp;(IF($C379="","Commercial",$C379))),Variables!$B$1:$D$1,0),1))*AK379)+(W379*INDEX(Variables!$B$9:$D$9,IFERROR(MATCH(IF($B379="Robusta","Robusta",(IF($B379="","Arabica",$B379))&amp;" - "&amp;(IF($C379="","Commercial",$C379))),Variables!$B$1:$D$1,0),1))*AK379/365),""))</f>
        <v>631.23095214847467</v>
      </c>
      <c r="BI379" s="44">
        <f>IF($AX379="Cancelled","",IFERROR((W379*INDEX(Variables!$B$7:$D$7,IFERROR(MATCH(IF($B379="Robusta","Robusta",(IF($B379="","Arabica",$B379))&amp;" - "&amp;(IF($C379="","Commercial",$C379))),Variables!$B$1:$D$1,0),1))*BD379/365)+(L379/16.67*INDEX(Variables!$B$8:$D$8,IFERROR(MATCH(IF($B379="Robusta","Robusta",(IF($B379="","Arabica",$B379))&amp;" - "&amp;(IF($C379="","Commercial",$C379))),Variables!$B$1:$D$1,0),1))*BD379)+(W379*INDEX(Variables!$B$9:$D$9,IFERROR(MATCH(IF($B379="Robusta","Robusta",(IF($B379="","Arabica",$B379))&amp;" - "&amp;(IF($C379="","Commercial",$C379))),Variables!$B$1:$D$1,0),1))*BD379/365),""))</f>
        <v>-78.903869018559334</v>
      </c>
      <c r="BJ379" s="44">
        <f t="shared" si="17"/>
        <v>2</v>
      </c>
      <c r="BK379" s="44">
        <f>IF($AX379="Cancelled","",IFERROR(IF(BJ379="","",(W379*INDEX(Variables!$B$7:$D$7,IFERROR(MATCH(IF($B379="Robusta","Robusta",(IF($B379="","Arabica",$B379))&amp;" - "&amp;(IF($C379="","Commercial",$C379))),Variables!$B$1:$D$1,0),1))*(BJ379/365))+(W379*INDEX(Variables!$B$9:$D$9,IFERROR(MATCH(IF($B379="Robusta","Robusta",(IF($B379="","Arabica",$B379))&amp;" - "&amp;(IF($C379="","Commercial",$C379))),Variables!$B$1:$D$1,0),1))*(BJ379/365))+(INDEX(Variables!$B$8:$D$8,IFERROR(MATCH(IF($B379="Robusta","Robusta",(IF($B379="","Arabica",$B379))&amp;" - "&amp;(IF($C379="","Commercial",$C379))),Variables!$B$1:$D$1,0),1))*L379/16.67)),""))</f>
        <v>121.80773803711867</v>
      </c>
    </row>
    <row r="380" spans="1:63">
      <c r="A380" s="13" t="s">
        <v>103</v>
      </c>
      <c r="B380" s="13" t="s">
        <v>104</v>
      </c>
      <c r="C380" s="13" t="s">
        <v>105</v>
      </c>
      <c r="D380" s="31">
        <v>45737</v>
      </c>
      <c r="E380" s="31">
        <v>45809</v>
      </c>
      <c r="F380" s="31">
        <v>45838</v>
      </c>
      <c r="G380" s="13">
        <v>3786864</v>
      </c>
      <c r="H380" s="13">
        <v>93665</v>
      </c>
      <c r="J380" s="13" t="s">
        <v>118</v>
      </c>
      <c r="K380" s="13" t="s">
        <v>1140</v>
      </c>
      <c r="L380" s="13">
        <v>2160</v>
      </c>
      <c r="M380" s="13">
        <v>6</v>
      </c>
      <c r="N380" s="13" t="s">
        <v>1138</v>
      </c>
      <c r="O380" s="13" t="s">
        <v>332</v>
      </c>
      <c r="P380" s="13">
        <v>10120</v>
      </c>
      <c r="R380" s="13" t="s">
        <v>122</v>
      </c>
      <c r="S380" s="13" t="s">
        <v>138</v>
      </c>
      <c r="T380" s="13" t="s">
        <v>139</v>
      </c>
      <c r="U380" s="13" t="s">
        <v>125</v>
      </c>
      <c r="V380" s="13">
        <v>-39</v>
      </c>
      <c r="W380" s="44">
        <f>IF($AX380="Cancelled","",IFERROR(((V380+INDEX(Variables!$B$6:$D$6,IFERROR(MATCH(IF($B380="Robusta","Robusta",(IF($B380="","Arabica",$B380))&amp;" - "&amp;(IF($C380="","Commercial",$C380))),Variables!$B$1:$D$1,0),1)))*22.0462)*(L380/16.67),""))</f>
        <v>719295.95834433101</v>
      </c>
      <c r="X380" s="55" t="s">
        <v>37</v>
      </c>
      <c r="Y380" s="13" t="str">
        <f>IF($AX380="Cancelled","",IF(X380="","",IFERROR(IF(INDEX(Variables!$B$38:$B$47,MATCH(X380,Variables!$A$38:$A$47,0))="Yes","Yes","No"),"No")))</f>
        <v>Yes</v>
      </c>
      <c r="Z380" s="58">
        <v>45803</v>
      </c>
      <c r="AB380" s="31">
        <v>45814</v>
      </c>
      <c r="AC380" s="13" t="str">
        <f t="shared" si="15"/>
        <v>Approved</v>
      </c>
      <c r="AF380" s="71">
        <f>AJ380-7</f>
        <v>45814</v>
      </c>
      <c r="AG380" s="35">
        <f>IF($AX380="Cancelled","",IFERROR(IF(F380="","",F380-Variables!$B$13),""))</f>
        <v>45823</v>
      </c>
      <c r="AH380" s="13">
        <f>IF($AX380="Cancelled","",IFERROR(IF(AB380="","",(AVERAGE(E380:F380)-AB380)-Variables!$B$14),""))</f>
        <v>-20.5</v>
      </c>
      <c r="AJ380" s="47">
        <v>45821</v>
      </c>
      <c r="AK380" s="14">
        <f>IF($AX380="Cancelled","",IFERROR(IF(AJ380="","",IF(AND(AB380="",AF380=""),"",IF(AF380&gt;AB380,AF380+Variables!$B$15+Variables!$B$16+Variables!$B$17-AJ380,AB380+Variables!$B$16+Variables!$B$17-AJ380))),""))</f>
        <v>1</v>
      </c>
      <c r="AL380" s="48" t="s">
        <v>114</v>
      </c>
      <c r="AM380" s="13" t="s">
        <v>613</v>
      </c>
      <c r="AN380" s="13" t="s">
        <v>273</v>
      </c>
      <c r="AP380" s="31">
        <v>45836</v>
      </c>
      <c r="AR380" s="13" t="s">
        <v>1139</v>
      </c>
      <c r="AS380" s="31">
        <v>45841</v>
      </c>
      <c r="AU380" s="31">
        <v>45847</v>
      </c>
      <c r="AV380" s="13" t="s">
        <v>865</v>
      </c>
      <c r="AW380" s="31">
        <v>45852</v>
      </c>
      <c r="AX380" s="13" t="str">
        <f>IF(ISNUMBER(SEARCH("cancel",#REF!)),"Cancelled",IF(AND(AS380&lt;&gt;"",AU380&lt;&gt;"",AW380&lt;&gt;""),"Closed","Open"))</f>
        <v>Closed</v>
      </c>
      <c r="AY380" s="15" t="str">
        <f t="shared" si="16"/>
        <v>All dates received</v>
      </c>
      <c r="BD380" s="13">
        <f>IF($AX380="Cancelled","",IFERROR(IF(OR(AS380="",AJ380=""),"",(AJ380+Variables!$B$18-AS380)),""))</f>
        <v>-5</v>
      </c>
      <c r="BE380" s="13">
        <f>IF($AX380="Cancelled","",IFERROR(IF(OR(AW380="",AS380=""),"",(AS380+Variables!$B$19)-AW380),""))</f>
        <v>-6</v>
      </c>
      <c r="BF380" s="44">
        <f>IF($AX380="Cancelled","",IFERROR(W380*INDEX(Variables!$B$7:$D$7,IFERROR(MATCH(IF($B380="Robusta","Robusta",(IF($B380="","Arabica",$B380))&amp;" - "&amp;(IF($C380="","Commercial",$C380))),Variables!$B$1:$D$1,0),1))*(BE380/365),""))</f>
        <v>-762.44031526275319</v>
      </c>
      <c r="BG380" s="44">
        <f>IF($AX380="Cancelled","",IFERROR((W380*INDEX(Variables!$B$7:$D$7,IFERROR(MATCH(IF($B380="Robusta","Robusta",(IF($B380="","Arabica",$B380))&amp;" - "&amp;(IF($C380="","Commercial",$C380))),Variables!$B$1:$D$1,0),1))*IFERROR(IF(AB380="","",(AVERAGE(E380:F380)-AB380)-Variables!$B$14),"")/365)+(L380/16.67*INDEX(Variables!$B$8:$D$8,IFERROR(MATCH(IF($B380="Robusta","Robusta",(IF($B380="","Arabica",$B380))&amp;" - "&amp;(IF($C380="","Commercial",$C380))),Variables!$B$1:$D$1,0),1))*IFERROR(IF(AB380="","",(AVERAGE(E380:F380)-AB380)-Variables!$B$14),""))+(W380*INDEX(Variables!$B$9:$D$9,IFERROR(MATCH(IF($B380="Robusta","Robusta",(IF($B380="","Arabica",$B380))&amp;" - "&amp;(IF($C380="","Commercial",$C380))),Variables!$B$1:$D$1,0),1))*IFERROR(IF(AB380="","",(AVERAGE(E380:F380)-AB380)-Variables!$B$14),"")/365),""))</f>
        <v>-4852.5879446413983</v>
      </c>
      <c r="BH380" s="44">
        <f>IF($AX380="Cancelled","",IFERROR((W380*INDEX(Variables!$B$7:$D$7,IFERROR(MATCH(IF($B380="Robusta","Robusta",(IF($B380="","Arabica",$B380))&amp;" - "&amp;(IF($C380="","Commercial",$C380))),Variables!$B$1:$D$1,0),1))*AK380/365)+(L380/16.67*INDEX(Variables!$B$8:$D$8,IFERROR(MATCH(IF($B380="Robusta","Robusta",(IF($B380="","Arabica",$B380))&amp;" - "&amp;(IF($C380="","Commercial",$C380))),Variables!$B$1:$D$1,0),1))*AK380)+(W380*INDEX(Variables!$B$9:$D$9,IFERROR(MATCH(IF($B380="Robusta","Robusta",(IF($B380="","Arabica",$B380))&amp;" - "&amp;(IF($C380="","Commercial",$C380))),Variables!$B$1:$D$1,0),1))*AK380/365),""))</f>
        <v>236.71160705567797</v>
      </c>
      <c r="BI380" s="44">
        <f>IF($AX380="Cancelled","",IFERROR((W380*INDEX(Variables!$B$7:$D$7,IFERROR(MATCH(IF($B380="Robusta","Robusta",(IF($B380="","Arabica",$B380))&amp;" - "&amp;(IF($C380="","Commercial",$C380))),Variables!$B$1:$D$1,0),1))*BD380/365)+(L380/16.67*INDEX(Variables!$B$8:$D$8,IFERROR(MATCH(IF($B380="Robusta","Robusta",(IF($B380="","Arabica",$B380))&amp;" - "&amp;(IF($C380="","Commercial",$C380))),Variables!$B$1:$D$1,0),1))*BD380)+(W380*INDEX(Variables!$B$9:$D$9,IFERROR(MATCH(IF($B380="Robusta","Robusta",(IF($B380="","Arabica",$B380))&amp;" - "&amp;(IF($C380="","Commercial",$C380))),Variables!$B$1:$D$1,0),1))*BD380/365),""))</f>
        <v>-1183.55803527839</v>
      </c>
      <c r="BJ380" s="44">
        <f t="shared" si="17"/>
        <v>-3</v>
      </c>
      <c r="BK380" s="44">
        <f>IF($AX380="Cancelled","",IFERROR(IF(BJ380="","",(W380*INDEX(Variables!$B$7:$D$7,IFERROR(MATCH(IF($B380="Robusta","Robusta",(IF($B380="","Arabica",$B380))&amp;" - "&amp;(IF($C380="","Commercial",$C380))),Variables!$B$1:$D$1,0),1))*(BJ380/365))+(W380*INDEX(Variables!$B$9:$D$9,IFERROR(MATCH(IF($B380="Robusta","Robusta",(IF($B380="","Arabica",$B380))&amp;" - "&amp;(IF($C380="","Commercial",$C380))),Variables!$B$1:$D$1,0),1))*(BJ380/365))+(INDEX(Variables!$B$8:$D$8,IFERROR(MATCH(IF($B380="Robusta","Robusta",(IF($B380="","Arabica",$B380))&amp;" - "&amp;(IF($C380="","Commercial",$C380))),Variables!$B$1:$D$1,0),1))*L380/16.67)),""))</f>
        <v>-278.13482116703392</v>
      </c>
    </row>
    <row r="381" spans="1:63">
      <c r="A381" s="13" t="s">
        <v>103</v>
      </c>
      <c r="B381" s="13" t="s">
        <v>104</v>
      </c>
      <c r="C381" s="13" t="s">
        <v>105</v>
      </c>
      <c r="D381" s="31">
        <v>45737</v>
      </c>
      <c r="E381" s="31">
        <v>45778</v>
      </c>
      <c r="F381" s="31">
        <v>45808</v>
      </c>
      <c r="G381" s="13">
        <v>3786865</v>
      </c>
      <c r="H381" s="13">
        <v>93663</v>
      </c>
      <c r="J381" s="13" t="s">
        <v>118</v>
      </c>
      <c r="K381" s="13">
        <v>5249</v>
      </c>
      <c r="L381" s="13">
        <v>1080</v>
      </c>
      <c r="M381" s="13">
        <v>3</v>
      </c>
      <c r="N381" s="13" t="s">
        <v>1141</v>
      </c>
      <c r="O381" s="13" t="s">
        <v>120</v>
      </c>
      <c r="P381" s="13">
        <v>10080</v>
      </c>
      <c r="R381" s="13" t="s">
        <v>122</v>
      </c>
      <c r="S381" s="13" t="s">
        <v>123</v>
      </c>
      <c r="T381" s="13" t="s">
        <v>124</v>
      </c>
      <c r="U381" s="13" t="s">
        <v>125</v>
      </c>
      <c r="V381" s="13">
        <v>-15</v>
      </c>
      <c r="W381" s="44">
        <f>IF($AX381="Cancelled","",IFERROR(((V381+INDEX(Variables!$B$6:$D$6,IFERROR(MATCH(IF($B381="Robusta","Robusta",(IF($B381="","Arabica",$B381))&amp;" - "&amp;(IF($C381="","Commercial",$C381))),Variables!$B$1:$D$1,0),1)))*22.0462)*(L381/16.67),""))</f>
        <v>393927.37353329326</v>
      </c>
      <c r="X381" s="55" t="s">
        <v>37</v>
      </c>
      <c r="Y381" s="13" t="str">
        <f>IF($AX381="Cancelled","",IF(X381="","",IFERROR(IF(INDEX(Variables!$B$38:$B$47,MATCH(X381,Variables!$A$38:$A$47,0))="Yes","Yes","No"),"No")))</f>
        <v>Yes</v>
      </c>
      <c r="Z381" s="58">
        <v>45764</v>
      </c>
      <c r="AB381" s="31">
        <v>45776</v>
      </c>
      <c r="AC381" s="13" t="str">
        <f t="shared" si="15"/>
        <v>Approved</v>
      </c>
      <c r="AF381" s="71">
        <v>45791</v>
      </c>
      <c r="AG381" s="35">
        <f>IF($AX381="Cancelled","",IFERROR(IF(F381="","",F381-Variables!$B$13),""))</f>
        <v>45793</v>
      </c>
      <c r="AH381" s="13">
        <f>IF($AX381="Cancelled","",IFERROR(IF(AB381="","",(AVERAGE(E381:F381)-AB381)-Variables!$B$14),""))</f>
        <v>-13</v>
      </c>
      <c r="AJ381" s="47">
        <v>45791</v>
      </c>
      <c r="AK381" s="14">
        <f>IF($AX381="Cancelled","",IFERROR(IF(AJ381="","",IF(AND(AB381="",AF381=""),"",IF(AF381&gt;AB381,AF381+Variables!$B$15+Variables!$B$16+Variables!$B$17-AJ381,AB381+Variables!$B$16+Variables!$B$17-AJ381))),""))</f>
        <v>15</v>
      </c>
      <c r="AL381" s="48" t="s">
        <v>114</v>
      </c>
      <c r="AM381" s="13" t="s">
        <v>115</v>
      </c>
      <c r="AN381" s="13" t="s">
        <v>517</v>
      </c>
      <c r="AP381" s="31">
        <v>45807</v>
      </c>
      <c r="AR381" s="13">
        <v>252936474</v>
      </c>
      <c r="AS381" s="31">
        <v>45807</v>
      </c>
      <c r="AU381" s="31">
        <v>45815</v>
      </c>
      <c r="AV381" s="13" t="s">
        <v>865</v>
      </c>
      <c r="AW381" s="31">
        <v>45815</v>
      </c>
      <c r="AX381" s="13" t="str">
        <f>IF(ISNUMBER(SEARCH("cancel",#REF!)),"Cancelled",IF(AND(AS381&lt;&gt;"",AU381&lt;&gt;"",AW381&lt;&gt;""),"Closed","Open"))</f>
        <v>Closed</v>
      </c>
      <c r="AY381" s="15" t="str">
        <f t="shared" si="16"/>
        <v>All dates received</v>
      </c>
      <c r="BD381" s="13">
        <f>IF($AX381="Cancelled","",IFERROR(IF(OR(AS381="",AJ381=""),"",(AJ381+Variables!$B$18-AS381)),""))</f>
        <v>-1</v>
      </c>
      <c r="BE381" s="13">
        <f>IF($AX381="Cancelled","",IFERROR(IF(OR(AW381="",AS381=""),"",(AS381+Variables!$B$19)-AW381),""))</f>
        <v>-3</v>
      </c>
      <c r="BF381" s="44">
        <f>IF($AX381="Cancelled","",IFERROR(W381*INDEX(Variables!$B$7:$D$7,IFERROR(MATCH(IF($B381="Robusta","Robusta",(IF($B381="","Arabica",$B381))&amp;" - "&amp;(IF($C381="","Commercial",$C381))),Variables!$B$1:$D$1,0),1))*(BE381/365),""))</f>
        <v>-208.77783851217961</v>
      </c>
      <c r="BG381" s="44">
        <f>IF($AX381="Cancelled","",IFERROR((W381*INDEX(Variables!$B$7:$D$7,IFERROR(MATCH(IF($B381="Robusta","Robusta",(IF($B381="","Arabica",$B381))&amp;" - "&amp;(IF($C381="","Commercial",$C381))),Variables!$B$1:$D$1,0),1))*IFERROR(IF(AB381="","",(AVERAGE(E381:F381)-AB381)-Variables!$B$14),"")/365)+(L381/16.67*INDEX(Variables!$B$8:$D$8,IFERROR(MATCH(IF($B381="Robusta","Robusta",(IF($B381="","Arabica",$B381))&amp;" - "&amp;(IF($C381="","Commercial",$C381))),Variables!$B$1:$D$1,0),1))*IFERROR(IF(AB381="","",(AVERAGE(E381:F381)-AB381)-Variables!$B$14),""))+(W381*INDEX(Variables!$B$9:$D$9,IFERROR(MATCH(IF($B381="Robusta","Robusta",(IF($B381="","Arabica",$B381))&amp;" - "&amp;(IF($C381="","Commercial",$C381))),Variables!$B$1:$D$1,0),1))*IFERROR(IF(AB381="","",(AVERAGE(E381:F381)-AB381)-Variables!$B$14),"")/365),""))</f>
        <v>-1618.3673469766238</v>
      </c>
      <c r="BH381" s="44">
        <f>IF($AX381="Cancelled","",IFERROR((W381*INDEX(Variables!$B$7:$D$7,IFERROR(MATCH(IF($B381="Robusta","Robusta",(IF($B381="","Arabica",$B381))&amp;" - "&amp;(IF($C381="","Commercial",$C381))),Variables!$B$1:$D$1,0),1))*AK381/365)+(L381/16.67*INDEX(Variables!$B$8:$D$8,IFERROR(MATCH(IF($B381="Robusta","Robusta",(IF($B381="","Arabica",$B381))&amp;" - "&amp;(IF($C381="","Commercial",$C381))),Variables!$B$1:$D$1,0),1))*AK381)+(W381*INDEX(Variables!$B$9:$D$9,IFERROR(MATCH(IF($B381="Robusta","Robusta",(IF($B381="","Arabica",$B381))&amp;" - "&amp;(IF($C381="","Commercial",$C381))),Variables!$B$1:$D$1,0),1))*AK381/365),""))</f>
        <v>1867.3469388191816</v>
      </c>
      <c r="BI381" s="44">
        <f>IF($AX381="Cancelled","",IFERROR((W381*INDEX(Variables!$B$7:$D$7,IFERROR(MATCH(IF($B381="Robusta","Robusta",(IF($B381="","Arabica",$B381))&amp;" - "&amp;(IF($C381="","Commercial",$C381))),Variables!$B$1:$D$1,0),1))*BD381/365)+(L381/16.67*INDEX(Variables!$B$8:$D$8,IFERROR(MATCH(IF($B381="Robusta","Robusta",(IF($B381="","Arabica",$B381))&amp;" - "&amp;(IF($C381="","Commercial",$C381))),Variables!$B$1:$D$1,0),1))*BD381)+(W381*INDEX(Variables!$B$9:$D$9,IFERROR(MATCH(IF($B381="Robusta","Robusta",(IF($B381="","Arabica",$B381))&amp;" - "&amp;(IF($C381="","Commercial",$C381))),Variables!$B$1:$D$1,0),1))*BD381/365),""))</f>
        <v>-124.48979592127877</v>
      </c>
      <c r="BJ381" s="44">
        <f t="shared" si="17"/>
        <v>1</v>
      </c>
      <c r="BK381" s="44">
        <f>IF($AX381="Cancelled","",IFERROR(IF(BJ381="","",(W381*INDEX(Variables!$B$7:$D$7,IFERROR(MATCH(IF($B381="Robusta","Robusta",(IF($B381="","Arabica",$B381))&amp;" - "&amp;(IF($C381="","Commercial",$C381))),Variables!$B$1:$D$1,0),1))*(BJ381/365))+(W381*INDEX(Variables!$B$9:$D$9,IFERROR(MATCH(IF($B381="Robusta","Robusta",(IF($B381="","Arabica",$B381))&amp;" - "&amp;(IF($C381="","Commercial",$C381))),Variables!$B$1:$D$1,0),1))*(BJ381/365))+(INDEX(Variables!$B$8:$D$8,IFERROR(MATCH(IF($B381="Robusta","Robusta",(IF($B381="","Arabica",$B381))&amp;" - "&amp;(IF($C381="","Commercial",$C381))),Variables!$B$1:$D$1,0),1))*L381/16.67)),""))</f>
        <v>124.48979592127878</v>
      </c>
    </row>
    <row r="382" spans="1:63">
      <c r="A382" s="13" t="s">
        <v>103</v>
      </c>
      <c r="B382" s="13" t="s">
        <v>104</v>
      </c>
      <c r="C382" s="13" t="s">
        <v>105</v>
      </c>
      <c r="D382" s="31">
        <v>45737</v>
      </c>
      <c r="E382" s="31">
        <v>45809</v>
      </c>
      <c r="F382" s="31">
        <v>45838</v>
      </c>
      <c r="G382" s="13">
        <v>3786866</v>
      </c>
      <c r="H382" s="13">
        <v>93664</v>
      </c>
      <c r="J382" s="13" t="s">
        <v>118</v>
      </c>
      <c r="K382" s="13">
        <v>5277</v>
      </c>
      <c r="L382" s="13">
        <v>1080</v>
      </c>
      <c r="M382" s="13">
        <v>3</v>
      </c>
      <c r="N382" s="13" t="s">
        <v>1141</v>
      </c>
      <c r="O382" s="13" t="s">
        <v>120</v>
      </c>
      <c r="P382" s="13">
        <v>10080</v>
      </c>
      <c r="R382" s="13" t="s">
        <v>122</v>
      </c>
      <c r="S382" s="13" t="s">
        <v>123</v>
      </c>
      <c r="T382" s="13" t="s">
        <v>124</v>
      </c>
      <c r="U382" s="13" t="s">
        <v>125</v>
      </c>
      <c r="V382" s="13">
        <v>-15</v>
      </c>
      <c r="W382" s="44">
        <f>IF($AX382="Cancelled","",IFERROR(((V382+INDEX(Variables!$B$6:$D$6,IFERROR(MATCH(IF($B382="Robusta","Robusta",(IF($B382="","Arabica",$B382))&amp;" - "&amp;(IF($C382="","Commercial",$C382))),Variables!$B$1:$D$1,0),1)))*22.0462)*(L382/16.67),""))</f>
        <v>393927.37353329326</v>
      </c>
      <c r="X382" s="55" t="s">
        <v>37</v>
      </c>
      <c r="Y382" s="13" t="str">
        <f>IF($AX382="Cancelled","",IF(X382="","",IFERROR(IF(INDEX(Variables!$B$38:$B$47,MATCH(X382,Variables!$A$38:$A$47,0))="Yes","Yes","No"),"No")))</f>
        <v>Yes</v>
      </c>
      <c r="Z382" s="58">
        <v>45764</v>
      </c>
      <c r="AB382" s="31">
        <v>45776</v>
      </c>
      <c r="AC382" s="13" t="str">
        <f t="shared" si="15"/>
        <v>Approved</v>
      </c>
      <c r="AF382" s="71">
        <f>AJ382-7</f>
        <v>45796</v>
      </c>
      <c r="AG382" s="35">
        <f>IF($AX382="Cancelled","",IFERROR(IF(F382="","",F382-Variables!$B$13),""))</f>
        <v>45823</v>
      </c>
      <c r="AH382" s="13">
        <f>IF($AX382="Cancelled","",IFERROR(IF(AB382="","",(AVERAGE(E382:F382)-AB382)-Variables!$B$14),""))</f>
        <v>17.5</v>
      </c>
      <c r="AJ382" s="47">
        <v>45803</v>
      </c>
      <c r="AK382" s="14">
        <f>IF($AX382="Cancelled","",IFERROR(IF(AJ382="","",IF(AND(AB382="",AF382=""),"",IF(AF382&gt;AB382,AF382+Variables!$B$15+Variables!$B$16+Variables!$B$17-AJ382,AB382+Variables!$B$16+Variables!$B$17-AJ382))),""))</f>
        <v>8</v>
      </c>
      <c r="AL382" s="48" t="s">
        <v>114</v>
      </c>
      <c r="AM382" s="13" t="s">
        <v>168</v>
      </c>
      <c r="AN382" s="13" t="s">
        <v>408</v>
      </c>
      <c r="AP382" s="31">
        <v>45818</v>
      </c>
      <c r="AR382" s="13" t="s">
        <v>1142</v>
      </c>
      <c r="AS382" s="31">
        <v>45818</v>
      </c>
      <c r="AU382" s="31">
        <v>45821</v>
      </c>
      <c r="AV382" s="13" t="s">
        <v>865</v>
      </c>
      <c r="AW382" s="31">
        <v>45821</v>
      </c>
      <c r="AX382" s="13" t="str">
        <f>IF(ISNUMBER(SEARCH("cancel",#REF!)),"Cancelled",IF(AND(AS382&lt;&gt;"",AU382&lt;&gt;"",AW382&lt;&gt;""),"Closed","Open"))</f>
        <v>Closed</v>
      </c>
      <c r="AY382" s="15" t="str">
        <f t="shared" si="16"/>
        <v>All dates received</v>
      </c>
      <c r="BD382" s="13">
        <f>IF($AX382="Cancelled","",IFERROR(IF(OR(AS382="",AJ382=""),"",(AJ382+Variables!$B$18-AS382)),""))</f>
        <v>0</v>
      </c>
      <c r="BE382" s="13">
        <f>IF($AX382="Cancelled","",IFERROR(IF(OR(AW382="",AS382=""),"",(AS382+Variables!$B$19)-AW382),""))</f>
        <v>2</v>
      </c>
      <c r="BF382" s="44">
        <f>IF($AX382="Cancelled","",IFERROR(W382*INDEX(Variables!$B$7:$D$7,IFERROR(MATCH(IF($B382="Robusta","Robusta",(IF($B382="","Arabica",$B382))&amp;" - "&amp;(IF($C382="","Commercial",$C382))),Variables!$B$1:$D$1,0),1))*(BE382/365),""))</f>
        <v>139.18522567478644</v>
      </c>
      <c r="BG382" s="44">
        <f>IF($AX382="Cancelled","",IFERROR((W382*INDEX(Variables!$B$7:$D$7,IFERROR(MATCH(IF($B382="Robusta","Robusta",(IF($B382="","Arabica",$B382))&amp;" - "&amp;(IF($C382="","Commercial",$C382))),Variables!$B$1:$D$1,0),1))*IFERROR(IF(AB382="","",(AVERAGE(E382:F382)-AB382)-Variables!$B$14),"")/365)+(L382/16.67*INDEX(Variables!$B$8:$D$8,IFERROR(MATCH(IF($B382="Robusta","Robusta",(IF($B382="","Arabica",$B382))&amp;" - "&amp;(IF($C382="","Commercial",$C382))),Variables!$B$1:$D$1,0),1))*IFERROR(IF(AB382="","",(AVERAGE(E382:F382)-AB382)-Variables!$B$14),""))+(W382*INDEX(Variables!$B$9:$D$9,IFERROR(MATCH(IF($B382="Robusta","Robusta",(IF($B382="","Arabica",$B382))&amp;" - "&amp;(IF($C382="","Commercial",$C382))),Variables!$B$1:$D$1,0),1))*IFERROR(IF(AB382="","",(AVERAGE(E382:F382)-AB382)-Variables!$B$14),"")/365),""))</f>
        <v>2178.5714286223783</v>
      </c>
      <c r="BH382" s="44">
        <f>IF($AX382="Cancelled","",IFERROR((W382*INDEX(Variables!$B$7:$D$7,IFERROR(MATCH(IF($B382="Robusta","Robusta",(IF($B382="","Arabica",$B382))&amp;" - "&amp;(IF($C382="","Commercial",$C382))),Variables!$B$1:$D$1,0),1))*AK382/365)+(L382/16.67*INDEX(Variables!$B$8:$D$8,IFERROR(MATCH(IF($B382="Robusta","Robusta",(IF($B382="","Arabica",$B382))&amp;" - "&amp;(IF($C382="","Commercial",$C382))),Variables!$B$1:$D$1,0),1))*AK382)+(W382*INDEX(Variables!$B$9:$D$9,IFERROR(MATCH(IF($B382="Robusta","Robusta",(IF($B382="","Arabica",$B382))&amp;" - "&amp;(IF($C382="","Commercial",$C382))),Variables!$B$1:$D$1,0),1))*AK382/365),""))</f>
        <v>995.91836737023016</v>
      </c>
      <c r="BI382" s="44">
        <f>IF($AX382="Cancelled","",IFERROR((W382*INDEX(Variables!$B$7:$D$7,IFERROR(MATCH(IF($B382="Robusta","Robusta",(IF($B382="","Arabica",$B382))&amp;" - "&amp;(IF($C382="","Commercial",$C382))),Variables!$B$1:$D$1,0),1))*BD382/365)+(L382/16.67*INDEX(Variables!$B$8:$D$8,IFERROR(MATCH(IF($B382="Robusta","Robusta",(IF($B382="","Arabica",$B382))&amp;" - "&amp;(IF($C382="","Commercial",$C382))),Variables!$B$1:$D$1,0),1))*BD382)+(W382*INDEX(Variables!$B$9:$D$9,IFERROR(MATCH(IF($B382="Robusta","Robusta",(IF($B382="","Arabica",$B382))&amp;" - "&amp;(IF($C382="","Commercial",$C382))),Variables!$B$1:$D$1,0),1))*BD382/365),""))</f>
        <v>0</v>
      </c>
      <c r="BJ382" s="44">
        <f t="shared" si="17"/>
        <v>20</v>
      </c>
      <c r="BK382" s="44">
        <f>IF($AX382="Cancelled","",IFERROR(IF(BJ382="","",(W382*INDEX(Variables!$B$7:$D$7,IFERROR(MATCH(IF($B382="Robusta","Robusta",(IF($B382="","Arabica",$B382))&amp;" - "&amp;(IF($C382="","Commercial",$C382))),Variables!$B$1:$D$1,0),1))*(BJ382/365))+(W382*INDEX(Variables!$B$9:$D$9,IFERROR(MATCH(IF($B382="Robusta","Robusta",(IF($B382="","Arabica",$B382))&amp;" - "&amp;(IF($C382="","Commercial",$C382))),Variables!$B$1:$D$1,0),1))*(BJ382/365))+(INDEX(Variables!$B$8:$D$8,IFERROR(MATCH(IF($B382="Robusta","Robusta",(IF($B382="","Arabica",$B382))&amp;" - "&amp;(IF($C382="","Commercial",$C382))),Variables!$B$1:$D$1,0),1))*L382/16.67)),""))</f>
        <v>1463.7959184255753</v>
      </c>
    </row>
    <row r="383" spans="1:63">
      <c r="A383" s="13" t="s">
        <v>103</v>
      </c>
      <c r="B383" s="13" t="s">
        <v>104</v>
      </c>
      <c r="C383" s="13" t="s">
        <v>105</v>
      </c>
      <c r="D383" s="31">
        <v>45737</v>
      </c>
      <c r="E383" s="31">
        <v>45809</v>
      </c>
      <c r="F383" s="31">
        <v>45838</v>
      </c>
      <c r="G383" s="13">
        <v>3786867</v>
      </c>
      <c r="H383" s="13">
        <v>93666</v>
      </c>
      <c r="J383" s="13" t="s">
        <v>118</v>
      </c>
      <c r="K383" s="13" t="s">
        <v>1143</v>
      </c>
      <c r="L383" s="13">
        <v>720</v>
      </c>
      <c r="M383" s="13">
        <v>2</v>
      </c>
      <c r="N383" s="13" t="s">
        <v>1144</v>
      </c>
      <c r="O383" s="13" t="s">
        <v>179</v>
      </c>
      <c r="P383" s="13">
        <v>10110</v>
      </c>
      <c r="R383" s="13" t="s">
        <v>122</v>
      </c>
      <c r="S383" s="13" t="s">
        <v>154</v>
      </c>
      <c r="T383" s="13" t="s">
        <v>155</v>
      </c>
      <c r="U383" s="13" t="s">
        <v>125</v>
      </c>
      <c r="V383" s="13">
        <v>-18</v>
      </c>
      <c r="W383" s="44">
        <f>IF($AX383="Cancelled","",IFERROR(((V383+INDEX(Variables!$B$6:$D$6,IFERROR(MATCH(IF($B383="Robusta","Robusta",(IF($B383="","Arabica",$B383))&amp;" - "&amp;(IF($C383="","Commercial",$C383))),Variables!$B$1:$D$1,0),1)))*22.0462)*(L383/16.67),""))</f>
        <v>259761.63282543488</v>
      </c>
      <c r="X383" s="55" t="s">
        <v>37</v>
      </c>
      <c r="Y383" s="13" t="str">
        <f>IF($AX383="Cancelled","",IF(X383="","",IFERROR(IF(INDEX(Variables!$B$38:$B$47,MATCH(X383,Variables!$A$38:$A$47,0))="Yes","Yes","No"),"No")))</f>
        <v>Yes</v>
      </c>
      <c r="Z383" s="58">
        <v>45764</v>
      </c>
      <c r="AB383" s="31">
        <v>45776</v>
      </c>
      <c r="AC383" s="13" t="str">
        <f t="shared" si="15"/>
        <v>Approved</v>
      </c>
      <c r="AF383" s="71">
        <f>AJ383-7</f>
        <v>45798</v>
      </c>
      <c r="AG383" s="35">
        <f>IF($AX383="Cancelled","",IFERROR(IF(F383="","",F383-Variables!$B$13),""))</f>
        <v>45823</v>
      </c>
      <c r="AH383" s="13">
        <f>IF($AX383="Cancelled","",IFERROR(IF(AB383="","",(AVERAGE(E383:F383)-AB383)-Variables!$B$14),""))</f>
        <v>17.5</v>
      </c>
      <c r="AJ383" s="47">
        <v>45805</v>
      </c>
      <c r="AK383" s="14">
        <f>IF($AX383="Cancelled","",IFERROR(IF(AJ383="","",IF(AND(AB383="",AF383=""),"",IF(AF383&gt;AB383,AF383+Variables!$B$15+Variables!$B$16+Variables!$B$17-AJ383,AB383+Variables!$B$16+Variables!$B$17-AJ383))),""))</f>
        <v>8</v>
      </c>
      <c r="AL383" s="48" t="s">
        <v>114</v>
      </c>
      <c r="AM383" s="13" t="s">
        <v>613</v>
      </c>
      <c r="AN383" s="13" t="s">
        <v>618</v>
      </c>
      <c r="AP383" s="31">
        <v>45827</v>
      </c>
      <c r="AR383" s="13" t="s">
        <v>1145</v>
      </c>
      <c r="AS383" s="31">
        <v>45827</v>
      </c>
      <c r="AU383" s="31">
        <v>45833</v>
      </c>
      <c r="AV383" s="13" t="s">
        <v>865</v>
      </c>
      <c r="AW383" s="31">
        <v>45842</v>
      </c>
      <c r="AX383" s="13" t="str">
        <f>IF(ISNUMBER(SEARCH("cancel",#REF!)),"Cancelled",IF(AND(AS383&lt;&gt;"",AU383&lt;&gt;"",AW383&lt;&gt;""),"Closed","Open"))</f>
        <v>Closed</v>
      </c>
      <c r="AY383" s="15" t="str">
        <f t="shared" si="16"/>
        <v>All dates received</v>
      </c>
      <c r="BD383" s="13">
        <f>IF($AX383="Cancelled","",IFERROR(IF(OR(AS383="",AJ383=""),"",(AJ383+Variables!$B$18-AS383)),""))</f>
        <v>-7</v>
      </c>
      <c r="BE383" s="13">
        <f>IF($AX383="Cancelled","",IFERROR(IF(OR(AW383="",AS383=""),"",(AS383+Variables!$B$19)-AW383),""))</f>
        <v>-10</v>
      </c>
      <c r="BF383" s="44">
        <f>IF($AX383="Cancelled","",IFERROR(W383*INDEX(Variables!$B$7:$D$7,IFERROR(MATCH(IF($B383="Robusta","Robusta",(IF($B383="","Arabica",$B383))&amp;" - "&amp;(IF($C383="","Commercial",$C383))),Variables!$B$1:$D$1,0),1))*(BE383/365),""))</f>
        <v>-458.90415233359607</v>
      </c>
      <c r="BG383" s="44">
        <f>IF($AX383="Cancelled","",IFERROR((W383*INDEX(Variables!$B$7:$D$7,IFERROR(MATCH(IF($B383="Robusta","Robusta",(IF($B383="","Arabica",$B383))&amp;" - "&amp;(IF($C383="","Commercial",$C383))),Variables!$B$1:$D$1,0),1))*IFERROR(IF(AB383="","",(AVERAGE(E383:F383)-AB383)-Variables!$B$14),"")/365)+(L383/16.67*INDEX(Variables!$B$8:$D$8,IFERROR(MATCH(IF($B383="Robusta","Robusta",(IF($B383="","Arabica",$B383))&amp;" - "&amp;(IF($C383="","Commercial",$C383))),Variables!$B$1:$D$1,0),1))*IFERROR(IF(AB383="","",(AVERAGE(E383:F383)-AB383)-Variables!$B$14),""))+(W383*INDEX(Variables!$B$9:$D$9,IFERROR(MATCH(IF($B383="Robusta","Robusta",(IF($B383="","Arabica",$B383))&amp;" - "&amp;(IF($C383="","Commercial",$C383))),Variables!$B$1:$D$1,0),1))*IFERROR(IF(AB383="","",(AVERAGE(E383:F383)-AB383)-Variables!$B$14),"")/365),""))</f>
        <v>1443.4355468411527</v>
      </c>
      <c r="BH383" s="44">
        <f>IF($AX383="Cancelled","",IFERROR((W383*INDEX(Variables!$B$7:$D$7,IFERROR(MATCH(IF($B383="Robusta","Robusta",(IF($B383="","Arabica",$B383))&amp;" - "&amp;(IF($C383="","Commercial",$C383))),Variables!$B$1:$D$1,0),1))*AK383/365)+(L383/16.67*INDEX(Variables!$B$8:$D$8,IFERROR(MATCH(IF($B383="Robusta","Robusta",(IF($B383="","Arabica",$B383))&amp;" - "&amp;(IF($C383="","Commercial",$C383))),Variables!$B$1:$D$1,0),1))*AK383)+(W383*INDEX(Variables!$B$9:$D$9,IFERROR(MATCH(IF($B383="Robusta","Robusta",(IF($B383="","Arabica",$B383))&amp;" - "&amp;(IF($C383="","Commercial",$C383))),Variables!$B$1:$D$1,0),1))*AK383/365),""))</f>
        <v>659.85624998452704</v>
      </c>
      <c r="BI383" s="44">
        <f>IF($AX383="Cancelled","",IFERROR((W383*INDEX(Variables!$B$7:$D$7,IFERROR(MATCH(IF($B383="Robusta","Robusta",(IF($B383="","Arabica",$B383))&amp;" - "&amp;(IF($C383="","Commercial",$C383))),Variables!$B$1:$D$1,0),1))*BD383/365)+(L383/16.67*INDEX(Variables!$B$8:$D$8,IFERROR(MATCH(IF($B383="Robusta","Robusta",(IF($B383="","Arabica",$B383))&amp;" - "&amp;(IF($C383="","Commercial",$C383))),Variables!$B$1:$D$1,0),1))*BD383)+(W383*INDEX(Variables!$B$9:$D$9,IFERROR(MATCH(IF($B383="Robusta","Robusta",(IF($B383="","Arabica",$B383))&amp;" - "&amp;(IF($C383="","Commercial",$C383))),Variables!$B$1:$D$1,0),1))*BD383/365),""))</f>
        <v>-577.37421873646122</v>
      </c>
      <c r="BJ383" s="44">
        <f t="shared" si="17"/>
        <v>11</v>
      </c>
      <c r="BK383" s="44">
        <f>IF($AX383="Cancelled","",IFERROR(IF(BJ383="","",(W383*INDEX(Variables!$B$7:$D$7,IFERROR(MATCH(IF($B383="Robusta","Robusta",(IF($B383="","Arabica",$B383))&amp;" - "&amp;(IF($C383="","Commercial",$C383))),Variables!$B$1:$D$1,0),1))*(BJ383/365))+(W383*INDEX(Variables!$B$9:$D$9,IFERROR(MATCH(IF($B383="Robusta","Robusta",(IF($B383="","Arabica",$B383))&amp;" - "&amp;(IF($C383="","Commercial",$C383))),Variables!$B$1:$D$1,0),1))*(BJ383/365))+(INDEX(Variables!$B$8:$D$8,IFERROR(MATCH(IF($B383="Robusta","Robusta",(IF($B383="","Arabica",$B383))&amp;" - "&amp;(IF($C383="","Commercial",$C383))),Variables!$B$1:$D$1,0),1))*L383/16.67)),""))</f>
        <v>547.30234372872451</v>
      </c>
    </row>
    <row r="384" spans="1:63">
      <c r="A384" s="13" t="s">
        <v>103</v>
      </c>
      <c r="B384" s="13" t="s">
        <v>104</v>
      </c>
      <c r="C384" s="13" t="s">
        <v>105</v>
      </c>
      <c r="D384" s="31">
        <v>45737</v>
      </c>
      <c r="E384" s="31">
        <v>45809</v>
      </c>
      <c r="F384" s="31">
        <v>45838</v>
      </c>
      <c r="G384" s="13">
        <v>3786867</v>
      </c>
      <c r="H384" s="13">
        <v>93666</v>
      </c>
      <c r="J384" s="13" t="s">
        <v>118</v>
      </c>
      <c r="K384" s="13" t="s">
        <v>1146</v>
      </c>
      <c r="L384" s="13">
        <v>360</v>
      </c>
      <c r="M384" s="13">
        <v>1</v>
      </c>
      <c r="N384" s="13" t="s">
        <v>1144</v>
      </c>
      <c r="O384" s="13" t="s">
        <v>179</v>
      </c>
      <c r="P384" s="13">
        <v>10110</v>
      </c>
      <c r="R384" s="13" t="s">
        <v>122</v>
      </c>
      <c r="S384" s="13" t="s">
        <v>1147</v>
      </c>
      <c r="T384" s="13" t="s">
        <v>133</v>
      </c>
      <c r="U384" s="13" t="s">
        <v>125</v>
      </c>
      <c r="V384" s="13">
        <v>-18</v>
      </c>
      <c r="W384" s="44">
        <f>IF($AX384="Cancelled","",IFERROR(((V384+INDEX(Variables!$B$6:$D$6,IFERROR(MATCH(IF($B384="Robusta","Robusta",(IF($B384="","Arabica",$B384))&amp;" - "&amp;(IF($C384="","Commercial",$C384))),Variables!$B$1:$D$1,0),1)))*22.0462)*(L384/16.67),""))</f>
        <v>129880.81641271744</v>
      </c>
      <c r="X384" s="55" t="s">
        <v>37</v>
      </c>
      <c r="Y384" s="13" t="str">
        <f>IF($AX384="Cancelled","",IF(X384="","",IFERROR(IF(INDEX(Variables!$B$38:$B$47,MATCH(X384,Variables!$A$38:$A$47,0))="Yes","Yes","No"),"No")))</f>
        <v>Yes</v>
      </c>
      <c r="Z384" s="58">
        <v>45764</v>
      </c>
      <c r="AB384" s="31">
        <v>45776</v>
      </c>
      <c r="AC384" s="13" t="str">
        <f t="shared" si="15"/>
        <v>Approved</v>
      </c>
      <c r="AF384" s="71">
        <f>AJ384-7</f>
        <v>45798</v>
      </c>
      <c r="AG384" s="35">
        <f>IF($AX384="Cancelled","",IFERROR(IF(F384="","",F384-Variables!$B$13),""))</f>
        <v>45823</v>
      </c>
      <c r="AH384" s="13">
        <f>IF($AX384="Cancelled","",IFERROR(IF(AB384="","",(AVERAGE(E384:F384)-AB384)-Variables!$B$14),""))</f>
        <v>17.5</v>
      </c>
      <c r="AJ384" s="47">
        <v>45805</v>
      </c>
      <c r="AK384" s="14">
        <f>IF($AX384="Cancelled","",IFERROR(IF(AJ384="","",IF(AND(AB384="",AF384=""),"",IF(AF384&gt;AB384,AF384+Variables!$B$15+Variables!$B$16+Variables!$B$17-AJ384,AB384+Variables!$B$16+Variables!$B$17-AJ384))),""))</f>
        <v>8</v>
      </c>
      <c r="AL384" s="48" t="s">
        <v>114</v>
      </c>
      <c r="AM384" s="13" t="s">
        <v>613</v>
      </c>
      <c r="AN384" s="13" t="s">
        <v>618</v>
      </c>
      <c r="AP384" s="31">
        <v>45827</v>
      </c>
      <c r="AR384" s="13" t="s">
        <v>1145</v>
      </c>
      <c r="AS384" s="31">
        <v>45814</v>
      </c>
      <c r="AU384" s="31">
        <v>45833</v>
      </c>
      <c r="AV384" s="13" t="s">
        <v>865</v>
      </c>
      <c r="AW384" s="31">
        <v>45833</v>
      </c>
      <c r="AX384" s="13" t="str">
        <f>IF(ISNUMBER(SEARCH("cancel",#REF!)),"Cancelled",IF(AND(AS384&lt;&gt;"",AU384&lt;&gt;"",AW384&lt;&gt;""),"Closed","Open"))</f>
        <v>Closed</v>
      </c>
      <c r="AY384" s="15" t="str">
        <f t="shared" si="16"/>
        <v>All dates received</v>
      </c>
      <c r="BD384" s="13">
        <f>IF($AX384="Cancelled","",IFERROR(IF(OR(AS384="",AJ384=""),"",(AJ384+Variables!$B$18-AS384)),""))</f>
        <v>6</v>
      </c>
      <c r="BE384" s="13">
        <f>IF($AX384="Cancelled","",IFERROR(IF(OR(AW384="",AS384=""),"",(AS384+Variables!$B$19)-AW384),""))</f>
        <v>-14</v>
      </c>
      <c r="BF384" s="44">
        <f>IF($AX384="Cancelled","",IFERROR(W384*INDEX(Variables!$B$7:$D$7,IFERROR(MATCH(IF($B384="Robusta","Robusta",(IF($B384="","Arabica",$B384))&amp;" - "&amp;(IF($C384="","Commercial",$C384))),Variables!$B$1:$D$1,0),1))*(BE384/365),""))</f>
        <v>-321.2329066335173</v>
      </c>
      <c r="BG384" s="44">
        <f>IF($AX384="Cancelled","",IFERROR((W384*INDEX(Variables!$B$7:$D$7,IFERROR(MATCH(IF($B384="Robusta","Robusta",(IF($B384="","Arabica",$B384))&amp;" - "&amp;(IF($C384="","Commercial",$C384))),Variables!$B$1:$D$1,0),1))*IFERROR(IF(AB384="","",(AVERAGE(E384:F384)-AB384)-Variables!$B$14),"")/365)+(L384/16.67*INDEX(Variables!$B$8:$D$8,IFERROR(MATCH(IF($B384="Robusta","Robusta",(IF($B384="","Arabica",$B384))&amp;" - "&amp;(IF($C384="","Commercial",$C384))),Variables!$B$1:$D$1,0),1))*IFERROR(IF(AB384="","",(AVERAGE(E384:F384)-AB384)-Variables!$B$14),""))+(W384*INDEX(Variables!$B$9:$D$9,IFERROR(MATCH(IF($B384="Robusta","Robusta",(IF($B384="","Arabica",$B384))&amp;" - "&amp;(IF($C384="","Commercial",$C384))),Variables!$B$1:$D$1,0),1))*IFERROR(IF(AB384="","",(AVERAGE(E384:F384)-AB384)-Variables!$B$14),"")/365),""))</f>
        <v>721.71777342057635</v>
      </c>
      <c r="BH384" s="44">
        <f>IF($AX384="Cancelled","",IFERROR((W384*INDEX(Variables!$B$7:$D$7,IFERROR(MATCH(IF($B384="Robusta","Robusta",(IF($B384="","Arabica",$B384))&amp;" - "&amp;(IF($C384="","Commercial",$C384))),Variables!$B$1:$D$1,0),1))*AK384/365)+(L384/16.67*INDEX(Variables!$B$8:$D$8,IFERROR(MATCH(IF($B384="Robusta","Robusta",(IF($B384="","Arabica",$B384))&amp;" - "&amp;(IF($C384="","Commercial",$C384))),Variables!$B$1:$D$1,0),1))*AK384)+(W384*INDEX(Variables!$B$9:$D$9,IFERROR(MATCH(IF($B384="Robusta","Robusta",(IF($B384="","Arabica",$B384))&amp;" - "&amp;(IF($C384="","Commercial",$C384))),Variables!$B$1:$D$1,0),1))*AK384/365),""))</f>
        <v>329.92812499226352</v>
      </c>
      <c r="BI384" s="44">
        <f>IF($AX384="Cancelled","",IFERROR((W384*INDEX(Variables!$B$7:$D$7,IFERROR(MATCH(IF($B384="Robusta","Robusta",(IF($B384="","Arabica",$B384))&amp;" - "&amp;(IF($C384="","Commercial",$C384))),Variables!$B$1:$D$1,0),1))*BD384/365)+(L384/16.67*INDEX(Variables!$B$8:$D$8,IFERROR(MATCH(IF($B384="Robusta","Robusta",(IF($B384="","Arabica",$B384))&amp;" - "&amp;(IF($C384="","Commercial",$C384))),Variables!$B$1:$D$1,0),1))*BD384)+(W384*INDEX(Variables!$B$9:$D$9,IFERROR(MATCH(IF($B384="Robusta","Robusta",(IF($B384="","Arabica",$B384))&amp;" - "&amp;(IF($C384="","Commercial",$C384))),Variables!$B$1:$D$1,0),1))*BD384/365),""))</f>
        <v>247.44609374419764</v>
      </c>
      <c r="BJ384" s="44">
        <f t="shared" si="17"/>
        <v>24</v>
      </c>
      <c r="BK384" s="44">
        <f>IF($AX384="Cancelled","",IFERROR(IF(BJ384="","",(W384*INDEX(Variables!$B$7:$D$7,IFERROR(MATCH(IF($B384="Robusta","Robusta",(IF($B384="","Arabica",$B384))&amp;" - "&amp;(IF($C384="","Commercial",$C384))),Variables!$B$1:$D$1,0),1))*(BJ384/365))+(W384*INDEX(Variables!$B$9:$D$9,IFERROR(MATCH(IF($B384="Robusta","Robusta",(IF($B384="","Arabica",$B384))&amp;" - "&amp;(IF($C384="","Commercial",$C384))),Variables!$B$1:$D$1,0),1))*(BJ384/365))+(INDEX(Variables!$B$8:$D$8,IFERROR(MATCH(IF($B384="Robusta","Robusta",(IF($B384="","Arabica",$B384))&amp;" - "&amp;(IF($C384="","Commercial",$C384))),Variables!$B$1:$D$1,0),1))*L384/16.67)),""))</f>
        <v>575.78437497679033</v>
      </c>
    </row>
    <row r="385" spans="1:63">
      <c r="A385" s="13" t="s">
        <v>103</v>
      </c>
      <c r="B385" s="13" t="s">
        <v>104</v>
      </c>
      <c r="C385" s="13" t="s">
        <v>105</v>
      </c>
      <c r="D385" s="31">
        <v>45737</v>
      </c>
      <c r="E385" s="31">
        <v>45809</v>
      </c>
      <c r="F385" s="31">
        <v>45838</v>
      </c>
      <c r="G385" s="13">
        <v>3786867</v>
      </c>
      <c r="H385" s="13">
        <v>93666</v>
      </c>
      <c r="J385" s="13" t="s">
        <v>118</v>
      </c>
      <c r="K385" s="13" t="s">
        <v>1148</v>
      </c>
      <c r="L385" s="13">
        <v>1080</v>
      </c>
      <c r="M385" s="13">
        <v>3</v>
      </c>
      <c r="N385" s="13" t="s">
        <v>1144</v>
      </c>
      <c r="O385" s="13" t="s">
        <v>179</v>
      </c>
      <c r="P385" s="13">
        <v>10110</v>
      </c>
      <c r="R385" s="13" t="s">
        <v>122</v>
      </c>
      <c r="S385" s="13" t="s">
        <v>372</v>
      </c>
      <c r="T385" s="13" t="s">
        <v>373</v>
      </c>
      <c r="U385" s="13" t="s">
        <v>125</v>
      </c>
      <c r="V385" s="13">
        <v>-18</v>
      </c>
      <c r="W385" s="44">
        <f>IF($AX385="Cancelled","",IFERROR(((V385+INDEX(Variables!$B$6:$D$6,IFERROR(MATCH(IF($B385="Robusta","Robusta",(IF($B385="","Arabica",$B385))&amp;" - "&amp;(IF($C385="","Commercial",$C385))),Variables!$B$1:$D$1,0),1)))*22.0462)*(L385/16.67),""))</f>
        <v>389642.4492381523</v>
      </c>
      <c r="X385" s="55" t="s">
        <v>37</v>
      </c>
      <c r="Y385" s="13" t="str">
        <f>IF($AX385="Cancelled","",IF(X385="","",IFERROR(IF(INDEX(Variables!$B$38:$B$47,MATCH(X385,Variables!$A$38:$A$47,0))="Yes","Yes","No"),"No")))</f>
        <v>Yes</v>
      </c>
      <c r="Z385" s="58">
        <v>45764</v>
      </c>
      <c r="AB385" s="31">
        <v>45776</v>
      </c>
      <c r="AC385" s="13" t="str">
        <f t="shared" si="15"/>
        <v>Approved</v>
      </c>
      <c r="AF385" s="71">
        <f>AJ385-7</f>
        <v>45798</v>
      </c>
      <c r="AG385" s="35">
        <f>IF($AX385="Cancelled","",IFERROR(IF(F385="","",F385-Variables!$B$13),""))</f>
        <v>45823</v>
      </c>
      <c r="AH385" s="13">
        <f>IF($AX385="Cancelled","",IFERROR(IF(AB385="","",(AVERAGE(E385:F385)-AB385)-Variables!$B$14),""))</f>
        <v>17.5</v>
      </c>
      <c r="AJ385" s="47">
        <v>45805</v>
      </c>
      <c r="AK385" s="14">
        <f>IF($AX385="Cancelled","",IFERROR(IF(AJ385="","",IF(AND(AB385="",AF385=""),"",IF(AF385&gt;AB385,AF385+Variables!$B$15+Variables!$B$16+Variables!$B$17-AJ385,AB385+Variables!$B$16+Variables!$B$17-AJ385))),""))</f>
        <v>8</v>
      </c>
      <c r="AL385" s="48" t="s">
        <v>114</v>
      </c>
      <c r="AM385" s="13" t="s">
        <v>613</v>
      </c>
      <c r="AN385" s="13" t="s">
        <v>618</v>
      </c>
      <c r="AP385" s="31">
        <v>45827</v>
      </c>
      <c r="AR385" s="13" t="s">
        <v>1145</v>
      </c>
      <c r="AS385" s="31">
        <v>45821</v>
      </c>
      <c r="AU385" s="31">
        <v>45833</v>
      </c>
      <c r="AV385" s="13" t="s">
        <v>865</v>
      </c>
      <c r="AW385" s="31">
        <v>45833</v>
      </c>
      <c r="AX385" s="13" t="str">
        <f>IF(ISNUMBER(SEARCH("cancel",#REF!)),"Cancelled",IF(AND(AS385&lt;&gt;"",AU385&lt;&gt;"",AW385&lt;&gt;""),"Closed","Open"))</f>
        <v>Closed</v>
      </c>
      <c r="AY385" s="15" t="str">
        <f t="shared" si="16"/>
        <v>All dates received</v>
      </c>
      <c r="BD385" s="13">
        <f>IF($AX385="Cancelled","",IFERROR(IF(OR(AS385="",AJ385=""),"",(AJ385+Variables!$B$18-AS385)),""))</f>
        <v>-1</v>
      </c>
      <c r="BE385" s="13">
        <f>IF($AX385="Cancelled","",IFERROR(IF(OR(AW385="",AS385=""),"",(AS385+Variables!$B$19)-AW385),""))</f>
        <v>-7</v>
      </c>
      <c r="BF385" s="44">
        <f>IF($AX385="Cancelled","",IFERROR(W385*INDEX(Variables!$B$7:$D$7,IFERROR(MATCH(IF($B385="Robusta","Robusta",(IF($B385="","Arabica",$B385))&amp;" - "&amp;(IF($C385="","Commercial",$C385))),Variables!$B$1:$D$1,0),1))*(BE385/365),""))</f>
        <v>-481.84935995027593</v>
      </c>
      <c r="BG385" s="44">
        <f>IF($AX385="Cancelled","",IFERROR((W385*INDEX(Variables!$B$7:$D$7,IFERROR(MATCH(IF($B385="Robusta","Robusta",(IF($B385="","Arabica",$B385))&amp;" - "&amp;(IF($C385="","Commercial",$C385))),Variables!$B$1:$D$1,0),1))*IFERROR(IF(AB385="","",(AVERAGE(E385:F385)-AB385)-Variables!$B$14),"")/365)+(L385/16.67*INDEX(Variables!$B$8:$D$8,IFERROR(MATCH(IF($B385="Robusta","Robusta",(IF($B385="","Arabica",$B385))&amp;" - "&amp;(IF($C385="","Commercial",$C385))),Variables!$B$1:$D$1,0),1))*IFERROR(IF(AB385="","",(AVERAGE(E385:F385)-AB385)-Variables!$B$14),""))+(W385*INDEX(Variables!$B$9:$D$9,IFERROR(MATCH(IF($B385="Robusta","Robusta",(IF($B385="","Arabica",$B385))&amp;" - "&amp;(IF($C385="","Commercial",$C385))),Variables!$B$1:$D$1,0),1))*IFERROR(IF(AB385="","",(AVERAGE(E385:F385)-AB385)-Variables!$B$14),"")/365),""))</f>
        <v>2165.1533202617288</v>
      </c>
      <c r="BH385" s="44">
        <f>IF($AX385="Cancelled","",IFERROR((W385*INDEX(Variables!$B$7:$D$7,IFERROR(MATCH(IF($B385="Robusta","Robusta",(IF($B385="","Arabica",$B385))&amp;" - "&amp;(IF($C385="","Commercial",$C385))),Variables!$B$1:$D$1,0),1))*AK385/365)+(L385/16.67*INDEX(Variables!$B$8:$D$8,IFERROR(MATCH(IF($B385="Robusta","Robusta",(IF($B385="","Arabica",$B385))&amp;" - "&amp;(IF($C385="","Commercial",$C385))),Variables!$B$1:$D$1,0),1))*AK385)+(W385*INDEX(Variables!$B$9:$D$9,IFERROR(MATCH(IF($B385="Robusta","Robusta",(IF($B385="","Arabica",$B385))&amp;" - "&amp;(IF($C385="","Commercial",$C385))),Variables!$B$1:$D$1,0),1))*AK385/365),""))</f>
        <v>989.78437497679045</v>
      </c>
      <c r="BI385" s="44">
        <f>IF($AX385="Cancelled","",IFERROR((W385*INDEX(Variables!$B$7:$D$7,IFERROR(MATCH(IF($B385="Robusta","Robusta",(IF($B385="","Arabica",$B385))&amp;" - "&amp;(IF($C385="","Commercial",$C385))),Variables!$B$1:$D$1,0),1))*BD385/365)+(L385/16.67*INDEX(Variables!$B$8:$D$8,IFERROR(MATCH(IF($B385="Robusta","Robusta",(IF($B385="","Arabica",$B385))&amp;" - "&amp;(IF($C385="","Commercial",$C385))),Variables!$B$1:$D$1,0),1))*BD385)+(W385*INDEX(Variables!$B$9:$D$9,IFERROR(MATCH(IF($B385="Robusta","Robusta",(IF($B385="","Arabica",$B385))&amp;" - "&amp;(IF($C385="","Commercial",$C385))),Variables!$B$1:$D$1,0),1))*BD385/365),""))</f>
        <v>-123.72304687209881</v>
      </c>
      <c r="BJ385" s="44">
        <f t="shared" si="17"/>
        <v>17</v>
      </c>
      <c r="BK385" s="44">
        <f>IF($AX385="Cancelled","",IFERROR(IF(BJ385="","",(W385*INDEX(Variables!$B$7:$D$7,IFERROR(MATCH(IF($B385="Robusta","Robusta",(IF($B385="","Arabica",$B385))&amp;" - "&amp;(IF($C385="","Commercial",$C385))),Variables!$B$1:$D$1,0),1))*(BJ385/365))+(W385*INDEX(Variables!$B$9:$D$9,IFERROR(MATCH(IF($B385="Robusta","Robusta",(IF($B385="","Arabica",$B385))&amp;" - "&amp;(IF($C385="","Commercial",$C385))),Variables!$B$1:$D$1,0),1))*(BJ385/365))+(INDEX(Variables!$B$8:$D$8,IFERROR(MATCH(IF($B385="Robusta","Robusta",(IF($B385="","Arabica",$B385))&amp;" - "&amp;(IF($C385="","Commercial",$C385))),Variables!$B$1:$D$1,0),1))*L385/16.67)),""))</f>
        <v>1239.2917968256797</v>
      </c>
    </row>
    <row r="386" spans="1:63">
      <c r="A386" s="13" t="s">
        <v>103</v>
      </c>
      <c r="B386" s="13" t="s">
        <v>104</v>
      </c>
      <c r="C386" s="13" t="s">
        <v>105</v>
      </c>
      <c r="D386" s="31">
        <v>45737</v>
      </c>
      <c r="E386" s="31">
        <v>45809</v>
      </c>
      <c r="F386" s="31">
        <v>45838</v>
      </c>
      <c r="G386" s="13">
        <v>3786867</v>
      </c>
      <c r="H386" s="13">
        <v>93666</v>
      </c>
      <c r="J386" s="13" t="s">
        <v>118</v>
      </c>
      <c r="K386" s="13" t="s">
        <v>1149</v>
      </c>
      <c r="L386" s="13">
        <v>720</v>
      </c>
      <c r="M386" s="13">
        <v>2</v>
      </c>
      <c r="N386" s="13" t="s">
        <v>1144</v>
      </c>
      <c r="O386" s="13" t="s">
        <v>179</v>
      </c>
      <c r="P386" s="13">
        <v>10110</v>
      </c>
      <c r="R386" s="13" t="s">
        <v>122</v>
      </c>
      <c r="S386" s="13" t="s">
        <v>218</v>
      </c>
      <c r="T386" s="13" t="s">
        <v>219</v>
      </c>
      <c r="U386" s="13" t="s">
        <v>125</v>
      </c>
      <c r="V386" s="13">
        <v>-18</v>
      </c>
      <c r="W386" s="44">
        <f>IF($AX386="Cancelled","",IFERROR(((V386+INDEX(Variables!$B$6:$D$6,IFERROR(MATCH(IF($B386="Robusta","Robusta",(IF($B386="","Arabica",$B386))&amp;" - "&amp;(IF($C386="","Commercial",$C386))),Variables!$B$1:$D$1,0),1)))*22.0462)*(L386/16.67),""))</f>
        <v>259761.63282543488</v>
      </c>
      <c r="X386" s="55" t="s">
        <v>37</v>
      </c>
      <c r="Y386" s="13" t="str">
        <f>IF($AX386="Cancelled","",IF(X386="","",IFERROR(IF(INDEX(Variables!$B$38:$B$47,MATCH(X386,Variables!$A$38:$A$47,0))="Yes","Yes","No"),"No")))</f>
        <v>Yes</v>
      </c>
      <c r="Z386" s="58">
        <v>45764</v>
      </c>
      <c r="AB386" s="31">
        <v>45776</v>
      </c>
      <c r="AC386" s="13" t="str">
        <f t="shared" ref="AC386:AC449" si="18">IF($AX386="Cancelled","",IF(ISNUMBER(AB386),"Approved",""))</f>
        <v>Approved</v>
      </c>
      <c r="AF386" s="71">
        <f>AJ386-7</f>
        <v>45799</v>
      </c>
      <c r="AG386" s="35">
        <f>IF($AX386="Cancelled","",IFERROR(IF(F386="","",F386-Variables!$B$13),""))</f>
        <v>45823</v>
      </c>
      <c r="AH386" s="13">
        <f>IF($AX386="Cancelled","",IFERROR(IF(AB386="","",(AVERAGE(E386:F386)-AB386)-Variables!$B$14),""))</f>
        <v>17.5</v>
      </c>
      <c r="AJ386" s="47">
        <v>45806</v>
      </c>
      <c r="AK386" s="14">
        <f>IF($AX386="Cancelled","",IFERROR(IF(AJ386="","",IF(AND(AB386="",AF386=""),"",IF(AF386&gt;AB386,AF386+Variables!$B$15+Variables!$B$16+Variables!$B$17-AJ386,AB386+Variables!$B$16+Variables!$B$17-AJ386))),""))</f>
        <v>8</v>
      </c>
      <c r="AL386" s="48" t="s">
        <v>114</v>
      </c>
      <c r="AM386" s="13" t="s">
        <v>613</v>
      </c>
      <c r="AN386" s="13" t="s">
        <v>618</v>
      </c>
      <c r="AP386" s="31">
        <v>45827</v>
      </c>
      <c r="AR386" s="13" t="s">
        <v>1145</v>
      </c>
      <c r="AS386" s="31">
        <v>45827</v>
      </c>
      <c r="AU386" s="31">
        <v>45833</v>
      </c>
      <c r="AV386" s="13" t="s">
        <v>865</v>
      </c>
      <c r="AW386" s="31">
        <v>45842</v>
      </c>
      <c r="AX386" s="13" t="str">
        <f>IF(ISNUMBER(SEARCH("cancel",#REF!)),"Cancelled",IF(AND(AS386&lt;&gt;"",AU386&lt;&gt;"",AW386&lt;&gt;""),"Closed","Open"))</f>
        <v>Closed</v>
      </c>
      <c r="AY386" s="15" t="str">
        <f t="shared" ref="AY386:AY449" si="19">IF($AX386="Cancelled","",IF(AND(AS386&lt;&gt;"",AU386&lt;&gt;"",AW386&lt;&gt;""),"All dates received",_xlfn.TEXTJOIN(" and ",TRUE(),IF(AS386="","No sailing date",""),IF(AU386="","No shipping advice sent",""),IF(AW386="","No docs dispatch date",""))))</f>
        <v>All dates received</v>
      </c>
      <c r="BD386" s="13">
        <f>IF($AX386="Cancelled","",IFERROR(IF(OR(AS386="",AJ386=""),"",(AJ386+Variables!$B$18-AS386)),""))</f>
        <v>-6</v>
      </c>
      <c r="BE386" s="13">
        <f>IF($AX386="Cancelled","",IFERROR(IF(OR(AW386="",AS386=""),"",(AS386+Variables!$B$19)-AW386),""))</f>
        <v>-10</v>
      </c>
      <c r="BF386" s="44">
        <f>IF($AX386="Cancelled","",IFERROR(W386*INDEX(Variables!$B$7:$D$7,IFERROR(MATCH(IF($B386="Robusta","Robusta",(IF($B386="","Arabica",$B386))&amp;" - "&amp;(IF($C386="","Commercial",$C386))),Variables!$B$1:$D$1,0),1))*(BE386/365),""))</f>
        <v>-458.90415233359607</v>
      </c>
      <c r="BG386" s="44">
        <f>IF($AX386="Cancelled","",IFERROR((W386*INDEX(Variables!$B$7:$D$7,IFERROR(MATCH(IF($B386="Robusta","Robusta",(IF($B386="","Arabica",$B386))&amp;" - "&amp;(IF($C386="","Commercial",$C386))),Variables!$B$1:$D$1,0),1))*IFERROR(IF(AB386="","",(AVERAGE(E386:F386)-AB386)-Variables!$B$14),"")/365)+(L386/16.67*INDEX(Variables!$B$8:$D$8,IFERROR(MATCH(IF($B386="Robusta","Robusta",(IF($B386="","Arabica",$B386))&amp;" - "&amp;(IF($C386="","Commercial",$C386))),Variables!$B$1:$D$1,0),1))*IFERROR(IF(AB386="","",(AVERAGE(E386:F386)-AB386)-Variables!$B$14),""))+(W386*INDEX(Variables!$B$9:$D$9,IFERROR(MATCH(IF($B386="Robusta","Robusta",(IF($B386="","Arabica",$B386))&amp;" - "&amp;(IF($C386="","Commercial",$C386))),Variables!$B$1:$D$1,0),1))*IFERROR(IF(AB386="","",(AVERAGE(E386:F386)-AB386)-Variables!$B$14),"")/365),""))</f>
        <v>1443.4355468411527</v>
      </c>
      <c r="BH386" s="44">
        <f>IF($AX386="Cancelled","",IFERROR((W386*INDEX(Variables!$B$7:$D$7,IFERROR(MATCH(IF($B386="Robusta","Robusta",(IF($B386="","Arabica",$B386))&amp;" - "&amp;(IF($C386="","Commercial",$C386))),Variables!$B$1:$D$1,0),1))*AK386/365)+(L386/16.67*INDEX(Variables!$B$8:$D$8,IFERROR(MATCH(IF($B386="Robusta","Robusta",(IF($B386="","Arabica",$B386))&amp;" - "&amp;(IF($C386="","Commercial",$C386))),Variables!$B$1:$D$1,0),1))*AK386)+(W386*INDEX(Variables!$B$9:$D$9,IFERROR(MATCH(IF($B386="Robusta","Robusta",(IF($B386="","Arabica",$B386))&amp;" - "&amp;(IF($C386="","Commercial",$C386))),Variables!$B$1:$D$1,0),1))*AK386/365),""))</f>
        <v>659.85624998452704</v>
      </c>
      <c r="BI386" s="44">
        <f>IF($AX386="Cancelled","",IFERROR((W386*INDEX(Variables!$B$7:$D$7,IFERROR(MATCH(IF($B386="Robusta","Robusta",(IF($B386="","Arabica",$B386))&amp;" - "&amp;(IF($C386="","Commercial",$C386))),Variables!$B$1:$D$1,0),1))*BD386/365)+(L386/16.67*INDEX(Variables!$B$8:$D$8,IFERROR(MATCH(IF($B386="Robusta","Robusta",(IF($B386="","Arabica",$B386))&amp;" - "&amp;(IF($C386="","Commercial",$C386))),Variables!$B$1:$D$1,0),1))*BD386)+(W386*INDEX(Variables!$B$9:$D$9,IFERROR(MATCH(IF($B386="Robusta","Robusta",(IF($B386="","Arabica",$B386))&amp;" - "&amp;(IF($C386="","Commercial",$C386))),Variables!$B$1:$D$1,0),1))*BD386/365),""))</f>
        <v>-494.89218748839528</v>
      </c>
      <c r="BJ386" s="44">
        <f t="shared" ref="BJ386:BJ449" si="20">IF($AX386="Cancelled","",IFERROR(IF(AS386="","",F386-AS386),""))</f>
        <v>11</v>
      </c>
      <c r="BK386" s="44">
        <f>IF($AX386="Cancelled","",IFERROR(IF(BJ386="","",(W386*INDEX(Variables!$B$7:$D$7,IFERROR(MATCH(IF($B386="Robusta","Robusta",(IF($B386="","Arabica",$B386))&amp;" - "&amp;(IF($C386="","Commercial",$C386))),Variables!$B$1:$D$1,0),1))*(BJ386/365))+(W386*INDEX(Variables!$B$9:$D$9,IFERROR(MATCH(IF($B386="Robusta","Robusta",(IF($B386="","Arabica",$B386))&amp;" - "&amp;(IF($C386="","Commercial",$C386))),Variables!$B$1:$D$1,0),1))*(BJ386/365))+(INDEX(Variables!$B$8:$D$8,IFERROR(MATCH(IF($B386="Robusta","Robusta",(IF($B386="","Arabica",$B386))&amp;" - "&amp;(IF($C386="","Commercial",$C386))),Variables!$B$1:$D$1,0),1))*L386/16.67)),""))</f>
        <v>547.30234372872451</v>
      </c>
    </row>
    <row r="387" spans="1:63">
      <c r="A387" s="13" t="s">
        <v>103</v>
      </c>
      <c r="B387" s="13" t="s">
        <v>104</v>
      </c>
      <c r="C387" s="13" t="s">
        <v>292</v>
      </c>
      <c r="D387" s="31">
        <v>45737</v>
      </c>
      <c r="E387" s="31">
        <v>45748</v>
      </c>
      <c r="F387" s="31">
        <v>45777</v>
      </c>
      <c r="G387" s="13">
        <v>3786868</v>
      </c>
      <c r="J387" s="13" t="s">
        <v>447</v>
      </c>
      <c r="K387" s="13" t="s">
        <v>1150</v>
      </c>
      <c r="L387" s="13">
        <v>4</v>
      </c>
      <c r="M387" s="13">
        <v>0</v>
      </c>
      <c r="N387" s="13" t="s">
        <v>1151</v>
      </c>
      <c r="O387" s="13" t="s">
        <v>304</v>
      </c>
      <c r="P387" s="13">
        <v>10010</v>
      </c>
      <c r="R387" s="13" t="s">
        <v>671</v>
      </c>
      <c r="S387" s="13" t="s">
        <v>154</v>
      </c>
      <c r="T387" s="13" t="s">
        <v>155</v>
      </c>
      <c r="U387" s="13" t="s">
        <v>125</v>
      </c>
      <c r="V387" s="13">
        <v>126</v>
      </c>
      <c r="W387" s="44">
        <f>IF($AX387="Cancelled","",IFERROR(((V387+INDEX(Variables!$B$6:$D$6,IFERROR(MATCH(IF($B387="Robusta","Robusta",(IF($B387="","Arabica",$B387))&amp;" - "&amp;(IF($C387="","Commercial",$C387))),Variables!$B$1:$D$1,0),1)))*22.0462)*(L387/16.67),""))</f>
        <v>2204.8845014996996</v>
      </c>
      <c r="X387" s="55" t="s">
        <v>39</v>
      </c>
      <c r="Y387" s="13" t="str">
        <f>IF($AX387="Cancelled","",IF(X387="","",IFERROR(IF(INDEX(Variables!$B$38:$B$47,MATCH(X387,Variables!$A$38:$A$47,0))="Yes","Yes","No"),"No")))</f>
        <v>No</v>
      </c>
      <c r="Z387" s="31"/>
      <c r="AB387" s="31">
        <v>45731.875</v>
      </c>
      <c r="AC387" s="13" t="str">
        <f t="shared" si="18"/>
        <v>Approved</v>
      </c>
      <c r="AF387" s="71">
        <v>45790</v>
      </c>
      <c r="AG387" s="36">
        <f>IF($AX387="Cancelled","",IFERROR(IF(F387="","",F387-Variables!$B$13),""))</f>
        <v>45762</v>
      </c>
      <c r="AH387" s="13">
        <f>IF($AX387="Cancelled","",IFERROR(IF(AB387="","",(AVERAGE(E387:F387)-AB387)-Variables!$B$14),""))</f>
        <v>0.625</v>
      </c>
      <c r="AJ387" s="47">
        <v>45786</v>
      </c>
      <c r="AK387" s="14">
        <f>IF($AX387="Cancelled","",IFERROR(IF(AJ387="","",IF(AND(AB387="",AF387=""),"",IF(AF387&gt;AB387,AF387+Variables!$B$15+Variables!$B$16+Variables!$B$17-AJ387,AB387+Variables!$B$16+Variables!$B$17-AJ387))),""))</f>
        <v>19</v>
      </c>
      <c r="AL387" s="48" t="s">
        <v>114</v>
      </c>
      <c r="AM387" s="13" t="s">
        <v>141</v>
      </c>
      <c r="AN387" s="13" t="s">
        <v>1096</v>
      </c>
      <c r="AP387" s="31">
        <v>45795</v>
      </c>
      <c r="AR387" s="13" t="s">
        <v>1208</v>
      </c>
      <c r="AS387" s="31">
        <v>45800</v>
      </c>
      <c r="AU387" s="31">
        <v>45806</v>
      </c>
      <c r="AV387" s="13" t="s">
        <v>865</v>
      </c>
      <c r="AW387" s="31">
        <v>45807</v>
      </c>
      <c r="AX387" s="13" t="str">
        <f>IF(ISNUMBER(SEARCH("cancel",#REF!)),"Cancelled",IF(AND(AS387&lt;&gt;"",AU387&lt;&gt;"",AW387&lt;&gt;""),"Closed","Open"))</f>
        <v>Closed</v>
      </c>
      <c r="AY387" s="15" t="str">
        <f t="shared" si="19"/>
        <v>All dates received</v>
      </c>
      <c r="BD387" s="13">
        <f>IF($AX387="Cancelled","",IFERROR(IF(OR(AS387="",AJ387=""),"",(AJ387+Variables!$B$18-AS387)),""))</f>
        <v>1</v>
      </c>
      <c r="BE387" s="13">
        <f>IF($AX387="Cancelled","",IFERROR(IF(OR(AW387="",AS387=""),"",(AS387+Variables!$B$19)-AW387),""))</f>
        <v>-2</v>
      </c>
      <c r="BF387" s="44">
        <f>IF($AX387="Cancelled","",IFERROR(W387*INDEX(Variables!$B$7:$D$7,IFERROR(MATCH(IF($B387="Robusta","Robusta",(IF($B387="","Arabica",$B387))&amp;" - "&amp;(IF($C387="","Commercial",$C387))),Variables!$B$1:$D$1,0),1))*(BE387/365),""))</f>
        <v>-0.77904549809645995</v>
      </c>
      <c r="BG387" s="44">
        <f>IF($AX387="Cancelled","",IFERROR((W387*INDEX(Variables!$B$7:$D$7,IFERROR(MATCH(IF($B387="Robusta","Robusta",(IF($B387="","Arabica",$B387))&amp;" - "&amp;(IF($C387="","Commercial",$C387))),Variables!$B$1:$D$1,0),1))*IFERROR(IF(AB387="","",(AVERAGE(E387:F387)-AB387)-Variables!$B$14),"")/365)+(L387/16.67*INDEX(Variables!$B$8:$D$8,IFERROR(MATCH(IF($B387="Robusta","Robusta",(IF($B387="","Arabica",$B387))&amp;" - "&amp;(IF($C387="","Commercial",$C387))),Variables!$B$1:$D$1,0),1))*IFERROR(IF(AB387="","",(AVERAGE(E387:F387)-AB387)-Variables!$B$14),""))+(W387*INDEX(Variables!$B$9:$D$9,IFERROR(MATCH(IF($B387="Robusta","Robusta",(IF($B387="","Arabica",$B387))&amp;" - "&amp;(IF($C387="","Commercial",$C387))),Variables!$B$1:$D$1,0),1))*IFERROR(IF(AB387="","",(AVERAGE(E387:F387)-AB387)-Variables!$B$14),"")/365),""))</f>
        <v>0.37159028063133676</v>
      </c>
      <c r="BH387" s="44">
        <f>IF($AX387="Cancelled","",IFERROR((W387*INDEX(Variables!$B$7:$D$7,IFERROR(MATCH(IF($B387="Robusta","Robusta",(IF($B387="","Arabica",$B387))&amp;" - "&amp;(IF($C387="","Commercial",$C387))),Variables!$B$1:$D$1,0),1))*AK387/365)+(L387/16.67*INDEX(Variables!$B$8:$D$8,IFERROR(MATCH(IF($B387="Robusta","Robusta",(IF($B387="","Arabica",$B387))&amp;" - "&amp;(IF($C387="","Commercial",$C387))),Variables!$B$1:$D$1,0),1))*AK387)+(W387*INDEX(Variables!$B$9:$D$9,IFERROR(MATCH(IF($B387="Robusta","Robusta",(IF($B387="","Arabica",$B387))&amp;" - "&amp;(IF($C387="","Commercial",$C387))),Variables!$B$1:$D$1,0),1))*AK387/365),""))</f>
        <v>11.296344531192638</v>
      </c>
      <c r="BI387" s="44">
        <f>IF($AX387="Cancelled","",IFERROR((W387*INDEX(Variables!$B$7:$D$7,IFERROR(MATCH(IF($B387="Robusta","Robusta",(IF($B387="","Arabica",$B387))&amp;" - "&amp;(IF($C387="","Commercial",$C387))),Variables!$B$1:$D$1,0),1))*BD387/365)+(L387/16.67*INDEX(Variables!$B$8:$D$8,IFERROR(MATCH(IF($B387="Robusta","Robusta",(IF($B387="","Arabica",$B387))&amp;" - "&amp;(IF($C387="","Commercial",$C387))),Variables!$B$1:$D$1,0),1))*BD387)+(W387*INDEX(Variables!$B$9:$D$9,IFERROR(MATCH(IF($B387="Robusta","Robusta",(IF($B387="","Arabica",$B387))&amp;" - "&amp;(IF($C387="","Commercial",$C387))),Variables!$B$1:$D$1,0),1))*BD387/365),""))</f>
        <v>0.59454444901013881</v>
      </c>
      <c r="BJ387" s="44">
        <f t="shared" si="20"/>
        <v>-23</v>
      </c>
      <c r="BK387" s="44">
        <f>IF($AX387="Cancelled","",IFERROR(IF(BJ387="","",(W387*INDEX(Variables!$B$7:$D$7,IFERROR(MATCH(IF($B387="Robusta","Robusta",(IF($B387="","Arabica",$B387))&amp;" - "&amp;(IF($C387="","Commercial",$C387))),Variables!$B$1:$D$1,0),1))*(BJ387/365))+(W387*INDEX(Variables!$B$9:$D$9,IFERROR(MATCH(IF($B387="Robusta","Robusta",(IF($B387="","Arabica",$B387))&amp;" - "&amp;(IF($C387="","Commercial",$C387))),Variables!$B$1:$D$1,0),1))*(BJ387/365))+(INDEX(Variables!$B$8:$D$8,IFERROR(MATCH(IF($B387="Robusta","Robusta",(IF($B387="","Arabica",$B387))&amp;" - "&amp;(IF($C387="","Commercial",$C387))),Variables!$B$1:$D$1,0),1))*L387/16.67)),""))</f>
        <v>-8.8745223272331923</v>
      </c>
    </row>
    <row r="388" spans="1:63">
      <c r="A388" s="13" t="s">
        <v>103</v>
      </c>
      <c r="B388" s="13" t="s">
        <v>104</v>
      </c>
      <c r="C388" s="13" t="s">
        <v>292</v>
      </c>
      <c r="D388" s="31">
        <v>45737</v>
      </c>
      <c r="E388" s="31">
        <v>45778</v>
      </c>
      <c r="F388" s="31">
        <v>45808</v>
      </c>
      <c r="G388" s="13">
        <v>3786869</v>
      </c>
      <c r="H388" s="13">
        <v>12614</v>
      </c>
      <c r="J388" s="13" t="s">
        <v>1152</v>
      </c>
      <c r="K388" s="13" t="s">
        <v>1153</v>
      </c>
      <c r="L388" s="13">
        <v>32</v>
      </c>
      <c r="M388" s="13">
        <v>1</v>
      </c>
      <c r="N388" s="13" t="s">
        <v>1154</v>
      </c>
      <c r="O388" s="13" t="s">
        <v>304</v>
      </c>
      <c r="P388" s="13">
        <v>10010</v>
      </c>
      <c r="R388" s="13" t="s">
        <v>671</v>
      </c>
      <c r="S388" s="13" t="s">
        <v>1155</v>
      </c>
      <c r="T388" s="13" t="s">
        <v>329</v>
      </c>
      <c r="U388" s="13" t="s">
        <v>330</v>
      </c>
      <c r="V388" s="13">
        <v>143</v>
      </c>
      <c r="W388" s="44">
        <f>IF($AX388="Cancelled","",IFERROR(((V388+INDEX(Variables!$B$6:$D$6,IFERROR(MATCH(IF($B388="Robusta","Robusta",(IF($B388="","Arabica",$B388))&amp;" - "&amp;(IF($C388="","Commercial",$C388))),Variables!$B$1:$D$1,0),1)))*22.0462)*(L388/16.67),""))</f>
        <v>18358.520091181763</v>
      </c>
      <c r="X388" s="55" t="s">
        <v>39</v>
      </c>
      <c r="Y388" s="13" t="str">
        <f>IF($AX388="Cancelled","",IF(X388="","",IFERROR(IF(INDEX(Variables!$B$38:$B$47,MATCH(X388,Variables!$A$38:$A$47,0))="Yes","Yes","No"),"No")))</f>
        <v>No</v>
      </c>
      <c r="Z388" s="31"/>
      <c r="AB388" s="31">
        <v>45762.875</v>
      </c>
      <c r="AC388" s="13" t="str">
        <f t="shared" si="18"/>
        <v>Approved</v>
      </c>
      <c r="AF388" s="71">
        <f>AJ388-7</f>
        <v>45812</v>
      </c>
      <c r="AG388" s="36">
        <f>IF($AX388="Cancelled","",IFERROR(IF(F388="","",F388-Variables!$B$13),""))</f>
        <v>45793</v>
      </c>
      <c r="AH388" s="13">
        <f>IF($AX388="Cancelled","",IFERROR(IF(AB388="","",(AVERAGE(E388:F388)-AB388)-Variables!$B$14),""))</f>
        <v>0.125</v>
      </c>
      <c r="AJ388" s="47">
        <v>45819</v>
      </c>
      <c r="AK388" s="14">
        <f>IF($AX388="Cancelled","",IFERROR(IF(AJ388="","",IF(AND(AB388="",AF388=""),"",IF(AF388&gt;AB388,AF388+Variables!$B$15+Variables!$B$16+Variables!$B$17-AJ388,AB388+Variables!$B$16+Variables!$B$17-AJ388))),""))</f>
        <v>8</v>
      </c>
      <c r="AL388" s="48" t="s">
        <v>114</v>
      </c>
      <c r="AM388" s="13" t="s">
        <v>115</v>
      </c>
      <c r="AN388" s="13" t="s">
        <v>510</v>
      </c>
      <c r="AP388" s="31">
        <v>45834</v>
      </c>
      <c r="AR388" s="13">
        <v>254966212</v>
      </c>
      <c r="AS388" s="31">
        <v>45839</v>
      </c>
      <c r="AU388" s="31">
        <v>45841</v>
      </c>
      <c r="AV388" s="13" t="s">
        <v>865</v>
      </c>
      <c r="AW388" s="31">
        <v>45852</v>
      </c>
      <c r="AX388" s="13" t="str">
        <f>IF(ISNUMBER(SEARCH("cancel",#REF!)),"Cancelled",IF(AND(AS388&lt;&gt;"",AU388&lt;&gt;"",AW388&lt;&gt;""),"Closed","Open"))</f>
        <v>Closed</v>
      </c>
      <c r="AY388" s="15" t="str">
        <f t="shared" si="19"/>
        <v>All dates received</v>
      </c>
      <c r="BD388" s="13">
        <f>IF($AX388="Cancelled","",IFERROR(IF(OR(AS388="",AJ388=""),"",(AJ388+Variables!$B$18-AS388)),""))</f>
        <v>-5</v>
      </c>
      <c r="BE388" s="13">
        <f>IF($AX388="Cancelled","",IFERROR(IF(OR(AW388="",AS388=""),"",(AS388+Variables!$B$19)-AW388),""))</f>
        <v>-8</v>
      </c>
      <c r="BF388" s="44">
        <f>IF($AX388="Cancelled","",IFERROR(W388*INDEX(Variables!$B$7:$D$7,IFERROR(MATCH(IF($B388="Robusta","Robusta",(IF($B388="","Arabica",$B388))&amp;" - "&amp;(IF($C388="","Commercial",$C388))),Variables!$B$1:$D$1,0),1))*(BE388/365),""))</f>
        <v>-25.946252366544673</v>
      </c>
      <c r="BG388" s="44">
        <f>IF($AX388="Cancelled","",IFERROR((W388*INDEX(Variables!$B$7:$D$7,IFERROR(MATCH(IF($B388="Robusta","Robusta",(IF($B388="","Arabica",$B388))&amp;" - "&amp;(IF($C388="","Commercial",$C388))),Variables!$B$1:$D$1,0),1))*IFERROR(IF(AB388="","",(AVERAGE(E388:F388)-AB388)-Variables!$B$14),"")/365)+(L388/16.67*INDEX(Variables!$B$8:$D$8,IFERROR(MATCH(IF($B388="Robusta","Robusta",(IF($B388="","Arabica",$B388))&amp;" - "&amp;(IF($C388="","Commercial",$C388))),Variables!$B$1:$D$1,0),1))*IFERROR(IF(AB388="","",(AVERAGE(E388:F388)-AB388)-Variables!$B$14),""))+(W388*INDEX(Variables!$B$9:$D$9,IFERROR(MATCH(IF($B388="Robusta","Robusta",(IF($B388="","Arabica",$B388))&amp;" - "&amp;(IF($C388="","Commercial",$C388))),Variables!$B$1:$D$1,0),1))*IFERROR(IF(AB388="","",(AVERAGE(E388:F388)-AB388)-Variables!$B$14),"")/365),""))</f>
        <v>0.610636713005274</v>
      </c>
      <c r="BH388" s="44">
        <f>IF($AX388="Cancelled","",IFERROR((W388*INDEX(Variables!$B$7:$D$7,IFERROR(MATCH(IF($B388="Robusta","Robusta",(IF($B388="","Arabica",$B388))&amp;" - "&amp;(IF($C388="","Commercial",$C388))),Variables!$B$1:$D$1,0),1))*AK388/365)+(L388/16.67*INDEX(Variables!$B$8:$D$8,IFERROR(MATCH(IF($B388="Robusta","Robusta",(IF($B388="","Arabica",$B388))&amp;" - "&amp;(IF($C388="","Commercial",$C388))),Variables!$B$1:$D$1,0),1))*AK388)+(W388*INDEX(Variables!$B$9:$D$9,IFERROR(MATCH(IF($B388="Robusta","Robusta",(IF($B388="","Arabica",$B388))&amp;" - "&amp;(IF($C388="","Commercial",$C388))),Variables!$B$1:$D$1,0),1))*AK388/365),""))</f>
        <v>39.080749632337536</v>
      </c>
      <c r="BI388" s="44">
        <f>IF($AX388="Cancelled","",IFERROR((W388*INDEX(Variables!$B$7:$D$7,IFERROR(MATCH(IF($B388="Robusta","Robusta",(IF($B388="","Arabica",$B388))&amp;" - "&amp;(IF($C388="","Commercial",$C388))),Variables!$B$1:$D$1,0),1))*BD388/365)+(L388/16.67*INDEX(Variables!$B$8:$D$8,IFERROR(MATCH(IF($B388="Robusta","Robusta",(IF($B388="","Arabica",$B388))&amp;" - "&amp;(IF($C388="","Commercial",$C388))),Variables!$B$1:$D$1,0),1))*BD388)+(W388*INDEX(Variables!$B$9:$D$9,IFERROR(MATCH(IF($B388="Robusta","Robusta",(IF($B388="","Arabica",$B388))&amp;" - "&amp;(IF($C388="","Commercial",$C388))),Variables!$B$1:$D$1,0),1))*BD388/365),""))</f>
        <v>-24.425468520210963</v>
      </c>
      <c r="BJ388" s="44">
        <f t="shared" si="20"/>
        <v>-31</v>
      </c>
      <c r="BK388" s="44">
        <f>IF($AX388="Cancelled","",IFERROR(IF(BJ388="","",(W388*INDEX(Variables!$B$7:$D$7,IFERROR(MATCH(IF($B388="Robusta","Robusta",(IF($B388="","Arabica",$B388))&amp;" - "&amp;(IF($C388="","Commercial",$C388))),Variables!$B$1:$D$1,0),1))*(BJ388/365))+(W388*INDEX(Variables!$B$9:$D$9,IFERROR(MATCH(IF($B388="Robusta","Robusta",(IF($B388="","Arabica",$B388))&amp;" - "&amp;(IF($C388="","Commercial",$C388))),Variables!$B$1:$D$1,0),1))*(BJ388/365))+(INDEX(Variables!$B$8:$D$8,IFERROR(MATCH(IF($B388="Robusta","Robusta",(IF($B388="","Arabica",$B388))&amp;" - "&amp;(IF($C388="","Commercial",$C388))),Variables!$B$1:$D$1,0),1))*L388/16.67)),""))</f>
        <v>-100.23790482530796</v>
      </c>
    </row>
    <row r="389" spans="1:63">
      <c r="A389" s="13" t="s">
        <v>103</v>
      </c>
      <c r="B389" s="13" t="s">
        <v>104</v>
      </c>
      <c r="C389" s="13" t="s">
        <v>292</v>
      </c>
      <c r="D389" s="31">
        <v>45737</v>
      </c>
      <c r="E389" s="31">
        <v>45778</v>
      </c>
      <c r="F389" s="31">
        <v>45808</v>
      </c>
      <c r="G389" s="13">
        <v>3786870</v>
      </c>
      <c r="H389" s="13">
        <v>12614</v>
      </c>
      <c r="J389" s="13" t="s">
        <v>1152</v>
      </c>
      <c r="K389" s="13" t="s">
        <v>1156</v>
      </c>
      <c r="L389" s="13">
        <v>32.5</v>
      </c>
      <c r="M389" s="13">
        <v>0</v>
      </c>
      <c r="N389" s="13" t="s">
        <v>1157</v>
      </c>
      <c r="O389" s="13" t="s">
        <v>297</v>
      </c>
      <c r="P389" s="13">
        <v>10020</v>
      </c>
      <c r="R389" s="13" t="s">
        <v>671</v>
      </c>
      <c r="S389" s="13" t="s">
        <v>1155</v>
      </c>
      <c r="T389" s="13" t="s">
        <v>329</v>
      </c>
      <c r="U389" s="13" t="s">
        <v>330</v>
      </c>
      <c r="V389" s="13">
        <v>97</v>
      </c>
      <c r="W389" s="44">
        <f>IF($AX389="Cancelled","",IFERROR(((V389+INDEX(Variables!$B$6:$D$6,IFERROR(MATCH(IF($B389="Robusta","Robusta",(IF($B389="","Arabica",$B389))&amp;" - "&amp;(IF($C389="","Commercial",$C389))),Variables!$B$1:$D$1,0),1)))*22.0462)*(L389/16.67),""))</f>
        <v>16668.223257348527</v>
      </c>
      <c r="X389" s="55" t="s">
        <v>39</v>
      </c>
      <c r="Y389" s="13" t="str">
        <f>IF($AX389="Cancelled","",IF(X389="","",IFERROR(IF(INDEX(Variables!$B$38:$B$47,MATCH(X389,Variables!$A$38:$A$47,0))="Yes","Yes","No"),"No")))</f>
        <v>No</v>
      </c>
      <c r="Z389" s="31"/>
      <c r="AB389" s="31">
        <v>45762.875</v>
      </c>
      <c r="AC389" s="13" t="str">
        <f t="shared" si="18"/>
        <v>Approved</v>
      </c>
      <c r="AF389" s="71">
        <f>AJ389-7</f>
        <v>45812</v>
      </c>
      <c r="AG389" s="36">
        <f>IF($AX389="Cancelled","",IFERROR(IF(F389="","",F389-Variables!$B$13),""))</f>
        <v>45793</v>
      </c>
      <c r="AH389" s="13">
        <f>IF($AX389="Cancelled","",IFERROR(IF(AB389="","",(AVERAGE(E389:F389)-AB389)-Variables!$B$14),""))</f>
        <v>0.125</v>
      </c>
      <c r="AJ389" s="47">
        <v>45819</v>
      </c>
      <c r="AK389" s="14">
        <f>IF($AX389="Cancelled","",IFERROR(IF(AJ389="","",IF(AND(AB389="",AF389=""),"",IF(AF389&gt;AB389,AF389+Variables!$B$15+Variables!$B$16+Variables!$B$17-AJ389,AB389+Variables!$B$16+Variables!$B$17-AJ389))),""))</f>
        <v>8</v>
      </c>
      <c r="AL389" s="48" t="s">
        <v>114</v>
      </c>
      <c r="AM389" s="13" t="s">
        <v>115</v>
      </c>
      <c r="AN389" s="13" t="s">
        <v>510</v>
      </c>
      <c r="AP389" s="31">
        <v>45834</v>
      </c>
      <c r="AR389" s="13">
        <v>254966212</v>
      </c>
      <c r="AS389" s="31">
        <v>45839</v>
      </c>
      <c r="AU389" s="31">
        <v>45841</v>
      </c>
      <c r="AV389" s="13" t="s">
        <v>865</v>
      </c>
      <c r="AW389" s="31">
        <v>45852</v>
      </c>
      <c r="AX389" s="13" t="str">
        <f>IF(ISNUMBER(SEARCH("cancel",#REF!)),"Cancelled",IF(AND(AS389&lt;&gt;"",AU389&lt;&gt;"",AW389&lt;&gt;""),"Closed","Open"))</f>
        <v>Closed</v>
      </c>
      <c r="AY389" s="15" t="str">
        <f t="shared" si="19"/>
        <v>All dates received</v>
      </c>
      <c r="BD389" s="13">
        <f>IF($AX389="Cancelled","",IFERROR(IF(OR(AS389="",AJ389=""),"",(AJ389+Variables!$B$18-AS389)),""))</f>
        <v>-5</v>
      </c>
      <c r="BE389" s="13">
        <f>IF($AX389="Cancelled","",IFERROR(IF(OR(AW389="",AS389=""),"",(AS389+Variables!$B$19)-AW389),""))</f>
        <v>-8</v>
      </c>
      <c r="BF389" s="44">
        <f>IF($AX389="Cancelled","",IFERROR(W389*INDEX(Variables!$B$7:$D$7,IFERROR(MATCH(IF($B389="Robusta","Robusta",(IF($B389="","Arabica",$B389))&amp;" - "&amp;(IF($C389="","Commercial",$C389))),Variables!$B$1:$D$1,0),1))*(BE389/365),""))</f>
        <v>-23.557341495342449</v>
      </c>
      <c r="BG389" s="44">
        <f>IF($AX389="Cancelled","",IFERROR((W389*INDEX(Variables!$B$7:$D$7,IFERROR(MATCH(IF($B389="Robusta","Robusta",(IF($B389="","Arabica",$B389))&amp;" - "&amp;(IF($C389="","Commercial",$C389))),Variables!$B$1:$D$1,0),1))*IFERROR(IF(AB389="","",(AVERAGE(E389:F389)-AB389)-Variables!$B$14),"")/365)+(L389/16.67*INDEX(Variables!$B$8:$D$8,IFERROR(MATCH(IF($B389="Robusta","Robusta",(IF($B389="","Arabica",$B389))&amp;" - "&amp;(IF($C389="","Commercial",$C389))),Variables!$B$1:$D$1,0),1))*IFERROR(IF(AB389="","",(AVERAGE(E389:F389)-AB389)-Variables!$B$14),""))+(W389*INDEX(Variables!$B$9:$D$9,IFERROR(MATCH(IF($B389="Robusta","Robusta",(IF($B389="","Arabica",$B389))&amp;" - "&amp;(IF($C389="","Commercial",$C389))),Variables!$B$1:$D$1,0),1))*IFERROR(IF(AB389="","",(AVERAGE(E389:F389)-AB389)-Variables!$B$14),"")/365),""))</f>
        <v>0.57595376702699763</v>
      </c>
      <c r="BH389" s="44">
        <f>IF($AX389="Cancelled","",IFERROR((W389*INDEX(Variables!$B$7:$D$7,IFERROR(MATCH(IF($B389="Robusta","Robusta",(IF($B389="","Arabica",$B389))&amp;" - "&amp;(IF($C389="","Commercial",$C389))),Variables!$B$1:$D$1,0),1))*AK389/365)+(L389/16.67*INDEX(Variables!$B$8:$D$8,IFERROR(MATCH(IF($B389="Robusta","Robusta",(IF($B389="","Arabica",$B389))&amp;" - "&amp;(IF($C389="","Commercial",$C389))),Variables!$B$1:$D$1,0),1))*AK389)+(W389*INDEX(Variables!$B$9:$D$9,IFERROR(MATCH(IF($B389="Robusta","Robusta",(IF($B389="","Arabica",$B389))&amp;" - "&amp;(IF($C389="","Commercial",$C389))),Variables!$B$1:$D$1,0),1))*AK389/365),""))</f>
        <v>36.861041089727848</v>
      </c>
      <c r="BI389" s="44">
        <f>IF($AX389="Cancelled","",IFERROR((W389*INDEX(Variables!$B$7:$D$7,IFERROR(MATCH(IF($B389="Robusta","Robusta",(IF($B389="","Arabica",$B389))&amp;" - "&amp;(IF($C389="","Commercial",$C389))),Variables!$B$1:$D$1,0),1))*BD389/365)+(L389/16.67*INDEX(Variables!$B$8:$D$8,IFERROR(MATCH(IF($B389="Robusta","Robusta",(IF($B389="","Arabica",$B389))&amp;" - "&amp;(IF($C389="","Commercial",$C389))),Variables!$B$1:$D$1,0),1))*BD389)+(W389*INDEX(Variables!$B$9:$D$9,IFERROR(MATCH(IF($B389="Robusta","Robusta",(IF($B389="","Arabica",$B389))&amp;" - "&amp;(IF($C389="","Commercial",$C389))),Variables!$B$1:$D$1,0),1))*BD389/365),""))</f>
        <v>-23.038150681079905</v>
      </c>
      <c r="BJ389" s="44">
        <f t="shared" si="20"/>
        <v>-31</v>
      </c>
      <c r="BK389" s="44">
        <f>IF($AX389="Cancelled","",IFERROR(IF(BJ389="","",(W389*INDEX(Variables!$B$7:$D$7,IFERROR(MATCH(IF($B389="Robusta","Robusta",(IF($B389="","Arabica",$B389))&amp;" - "&amp;(IF($C389="","Commercial",$C389))),Variables!$B$1:$D$1,0),1))*(BJ389/365))+(W389*INDEX(Variables!$B$9:$D$9,IFERROR(MATCH(IF($B389="Robusta","Robusta",(IF($B389="","Arabica",$B389))&amp;" - "&amp;(IF($C389="","Commercial",$C389))),Variables!$B$1:$D$1,0),1))*(BJ389/365))+(INDEX(Variables!$B$8:$D$8,IFERROR(MATCH(IF($B389="Robusta","Robusta",(IF($B389="","Arabica",$B389))&amp;" - "&amp;(IF($C389="","Commercial",$C389))),Variables!$B$1:$D$1,0),1))*L389/16.67)),""))</f>
        <v>-90.836534222695406</v>
      </c>
    </row>
    <row r="390" spans="1:63">
      <c r="A390" s="13" t="s">
        <v>103</v>
      </c>
      <c r="B390" s="13" t="s">
        <v>104</v>
      </c>
      <c r="C390" s="13" t="s">
        <v>292</v>
      </c>
      <c r="D390" s="31">
        <v>45737</v>
      </c>
      <c r="E390" s="31">
        <v>45778</v>
      </c>
      <c r="F390" s="31">
        <v>45808</v>
      </c>
      <c r="G390" s="13">
        <v>3786871</v>
      </c>
      <c r="H390" s="13">
        <v>12614</v>
      </c>
      <c r="J390" s="13" t="s">
        <v>1152</v>
      </c>
      <c r="K390" s="13" t="s">
        <v>1158</v>
      </c>
      <c r="L390" s="13">
        <v>16</v>
      </c>
      <c r="M390" s="13">
        <v>0</v>
      </c>
      <c r="N390" s="13" t="s">
        <v>1159</v>
      </c>
      <c r="O390" s="13" t="s">
        <v>304</v>
      </c>
      <c r="P390" s="13">
        <v>10010</v>
      </c>
      <c r="R390" s="13" t="s">
        <v>671</v>
      </c>
      <c r="S390" s="13" t="s">
        <v>1155</v>
      </c>
      <c r="T390" s="13" t="s">
        <v>329</v>
      </c>
      <c r="U390" s="13" t="s">
        <v>330</v>
      </c>
      <c r="V390" s="13">
        <v>121</v>
      </c>
      <c r="W390" s="44">
        <f>IF($AX390="Cancelled","",IFERROR(((V390+INDEX(Variables!$B$6:$D$6,IFERROR(MATCH(IF($B390="Robusta","Robusta",(IF($B390="","Arabica",$B390))&amp;" - "&amp;(IF($C390="","Commercial",$C390))),Variables!$B$1:$D$1,0),1)))*22.0462)*(L390/16.67),""))</f>
        <v>8713.7374061187747</v>
      </c>
      <c r="X390" s="55" t="s">
        <v>39</v>
      </c>
      <c r="Y390" s="13" t="str">
        <f>IF($AX390="Cancelled","",IF(X390="","",IFERROR(IF(INDEX(Variables!$B$38:$B$47,MATCH(X390,Variables!$A$38:$A$47,0))="Yes","Yes","No"),"No")))</f>
        <v>No</v>
      </c>
      <c r="Z390" s="31"/>
      <c r="AB390" s="31">
        <v>45762.875</v>
      </c>
      <c r="AC390" s="13" t="str">
        <f t="shared" si="18"/>
        <v>Approved</v>
      </c>
      <c r="AF390" s="71">
        <f>AJ390-7</f>
        <v>45812</v>
      </c>
      <c r="AG390" s="36">
        <f>IF($AX390="Cancelled","",IFERROR(IF(F390="","",F390-Variables!$B$13),""))</f>
        <v>45793</v>
      </c>
      <c r="AH390" s="13">
        <f>IF($AX390="Cancelled","",IFERROR(IF(AB390="","",(AVERAGE(E390:F390)-AB390)-Variables!$B$14),""))</f>
        <v>0.125</v>
      </c>
      <c r="AJ390" s="47">
        <v>45819</v>
      </c>
      <c r="AK390" s="14">
        <f>IF($AX390="Cancelled","",IFERROR(IF(AJ390="","",IF(AND(AB390="",AF390=""),"",IF(AF390&gt;AB390,AF390+Variables!$B$15+Variables!$B$16+Variables!$B$17-AJ390,AB390+Variables!$B$16+Variables!$B$17-AJ390))),""))</f>
        <v>8</v>
      </c>
      <c r="AL390" s="48" t="s">
        <v>114</v>
      </c>
      <c r="AM390" s="13" t="s">
        <v>115</v>
      </c>
      <c r="AN390" s="13" t="s">
        <v>510</v>
      </c>
      <c r="AP390" s="31">
        <v>45834</v>
      </c>
      <c r="AR390" s="13">
        <v>254966212</v>
      </c>
      <c r="AS390" s="31">
        <v>45839</v>
      </c>
      <c r="AU390" s="31">
        <v>45841</v>
      </c>
      <c r="AV390" s="13" t="s">
        <v>865</v>
      </c>
      <c r="AW390" s="31">
        <v>45852</v>
      </c>
      <c r="AX390" s="13" t="str">
        <f>IF(ISNUMBER(SEARCH("cancel",#REF!)),"Cancelled",IF(AND(AS390&lt;&gt;"",AU390&lt;&gt;"",AW390&lt;&gt;""),"Closed","Open"))</f>
        <v>Closed</v>
      </c>
      <c r="AY390" s="15" t="str">
        <f t="shared" si="19"/>
        <v>All dates received</v>
      </c>
      <c r="BD390" s="13">
        <f>IF($AX390="Cancelled","",IFERROR(IF(OR(AS390="",AJ390=""),"",(AJ390+Variables!$B$18-AS390)),""))</f>
        <v>-5</v>
      </c>
      <c r="BE390" s="13">
        <f>IF($AX390="Cancelled","",IFERROR(IF(OR(AW390="",AS390=""),"",(AS390+Variables!$B$19)-AW390),""))</f>
        <v>-8</v>
      </c>
      <c r="BF390" s="44">
        <f>IF($AX390="Cancelled","",IFERROR(W390*INDEX(Variables!$B$7:$D$7,IFERROR(MATCH(IF($B390="Robusta","Robusta",(IF($B390="","Arabica",$B390))&amp;" - "&amp;(IF($C390="","Commercial",$C390))),Variables!$B$1:$D$1,0),1))*(BE390/365),""))</f>
        <v>-12.315199083152484</v>
      </c>
      <c r="BG390" s="44">
        <f>IF($AX390="Cancelled","",IFERROR((W390*INDEX(Variables!$B$7:$D$7,IFERROR(MATCH(IF($B390="Robusta","Robusta",(IF($B390="","Arabica",$B390))&amp;" - "&amp;(IF($C390="","Commercial",$C390))),Variables!$B$1:$D$1,0),1))*IFERROR(IF(AB390="","",(AVERAGE(E390:F390)-AB390)-Variables!$B$14),"")/365)+(L390/16.67*INDEX(Variables!$B$8:$D$8,IFERROR(MATCH(IF($B390="Robusta","Robusta",(IF($B390="","Arabica",$B390))&amp;" - "&amp;(IF($C390="","Commercial",$C390))),Variables!$B$1:$D$1,0),1))*IFERROR(IF(AB390="","",(AVERAGE(E390:F390)-AB390)-Variables!$B$14),""))+(W390*INDEX(Variables!$B$9:$D$9,IFERROR(MATCH(IF($B390="Robusta","Robusta",(IF($B390="","Arabica",$B390))&amp;" - "&amp;(IF($C390="","Commercial",$C390))),Variables!$B$1:$D$1,0),1))*IFERROR(IF(AB390="","",(AVERAGE(E390:F390)-AB390)-Variables!$B$14),"")/365),""))</f>
        <v>0.29490571509402008</v>
      </c>
      <c r="BH390" s="44">
        <f>IF($AX390="Cancelled","",IFERROR((W390*INDEX(Variables!$B$7:$D$7,IFERROR(MATCH(IF($B390="Robusta","Robusta",(IF($B390="","Arabica",$B390))&amp;" - "&amp;(IF($C390="","Commercial",$C390))),Variables!$B$1:$D$1,0),1))*AK390/365)+(L390/16.67*INDEX(Variables!$B$8:$D$8,IFERROR(MATCH(IF($B390="Robusta","Robusta",(IF($B390="","Arabica",$B390))&amp;" - "&amp;(IF($C390="","Commercial",$C390))),Variables!$B$1:$D$1,0),1))*AK390)+(W390*INDEX(Variables!$B$9:$D$9,IFERROR(MATCH(IF($B390="Robusta","Robusta",(IF($B390="","Arabica",$B390))&amp;" - "&amp;(IF($C390="","Commercial",$C390))),Variables!$B$1:$D$1,0),1))*AK390/365),""))</f>
        <v>18.873965766017285</v>
      </c>
      <c r="BI390" s="44">
        <f>IF($AX390="Cancelled","",IFERROR((W390*INDEX(Variables!$B$7:$D$7,IFERROR(MATCH(IF($B390="Robusta","Robusta",(IF($B390="","Arabica",$B390))&amp;" - "&amp;(IF($C390="","Commercial",$C390))),Variables!$B$1:$D$1,0),1))*BD390/365)+(L390/16.67*INDEX(Variables!$B$8:$D$8,IFERROR(MATCH(IF($B390="Robusta","Robusta",(IF($B390="","Arabica",$B390))&amp;" - "&amp;(IF($C390="","Commercial",$C390))),Variables!$B$1:$D$1,0),1))*BD390)+(W390*INDEX(Variables!$B$9:$D$9,IFERROR(MATCH(IF($B390="Robusta","Robusta",(IF($B390="","Arabica",$B390))&amp;" - "&amp;(IF($C390="","Commercial",$C390))),Variables!$B$1:$D$1,0),1))*BD390/365),""))</f>
        <v>-11.796228603760802</v>
      </c>
      <c r="BJ390" s="44">
        <f t="shared" si="20"/>
        <v>-31</v>
      </c>
      <c r="BK390" s="44">
        <f>IF($AX390="Cancelled","",IFERROR(IF(BJ390="","",(W390*INDEX(Variables!$B$7:$D$7,IFERROR(MATCH(IF($B390="Robusta","Robusta",(IF($B390="","Arabica",$B390))&amp;" - "&amp;(IF($C390="","Commercial",$C390))),Variables!$B$1:$D$1,0),1))*(BJ390/365))+(W390*INDEX(Variables!$B$9:$D$9,IFERROR(MATCH(IF($B390="Robusta","Robusta",(IF($B390="","Arabica",$B390))&amp;" - "&amp;(IF($C390="","Commercial",$C390))),Variables!$B$1:$D$1,0),1))*(BJ390/365))+(INDEX(Variables!$B$8:$D$8,IFERROR(MATCH(IF($B390="Robusta","Robusta",(IF($B390="","Arabica",$B390))&amp;" - "&amp;(IF($C390="","Commercial",$C390))),Variables!$B$1:$D$1,0),1))*L390/16.67)),""))</f>
        <v>-47.536617343316976</v>
      </c>
    </row>
    <row r="391" spans="1:63">
      <c r="A391" s="13" t="s">
        <v>103</v>
      </c>
      <c r="B391" s="13" t="s">
        <v>104</v>
      </c>
      <c r="C391" s="13" t="s">
        <v>105</v>
      </c>
      <c r="D391" s="31">
        <v>45743</v>
      </c>
      <c r="E391" s="31">
        <v>45778</v>
      </c>
      <c r="F391" s="31">
        <v>45808</v>
      </c>
      <c r="G391" s="13">
        <v>3786872</v>
      </c>
      <c r="H391" s="13">
        <v>25.173999999999999</v>
      </c>
      <c r="J391" s="13" t="s">
        <v>1124</v>
      </c>
      <c r="K391" s="13">
        <v>5262</v>
      </c>
      <c r="L391" s="13">
        <v>640</v>
      </c>
      <c r="M391" s="13">
        <v>2</v>
      </c>
      <c r="N391" s="13" t="s">
        <v>1160</v>
      </c>
      <c r="O391" s="13" t="s">
        <v>179</v>
      </c>
      <c r="P391" s="13">
        <v>10110</v>
      </c>
      <c r="Q391" s="13" t="s">
        <v>745</v>
      </c>
      <c r="R391" s="13" t="s">
        <v>110</v>
      </c>
      <c r="S391" s="13" t="s">
        <v>299</v>
      </c>
      <c r="T391" s="13" t="s">
        <v>305</v>
      </c>
      <c r="U391" s="13" t="s">
        <v>125</v>
      </c>
      <c r="V391" s="13">
        <v>-4</v>
      </c>
      <c r="W391" s="44">
        <f>IF($AX391="Cancelled","",IFERROR(((V391+INDEX(Variables!$B$6:$D$6,IFERROR(MATCH(IF($B391="Robusta","Robusta",(IF($B391="","Arabica",$B391))&amp;" - "&amp;(IF($C391="","Commercial",$C391))),Variables!$B$1:$D$1,0),1)))*22.0462)*(L391/16.67),""))</f>
        <v>242748.89636472703</v>
      </c>
      <c r="X391" s="55" t="s">
        <v>37</v>
      </c>
      <c r="Y391" s="13" t="str">
        <f>IF($AX391="Cancelled","",IF(X391="","",IFERROR(IF(INDEX(Variables!$B$38:$B$47,MATCH(X391,Variables!$A$38:$A$47,0))="Yes","Yes","No"),"No")))</f>
        <v>Yes</v>
      </c>
      <c r="Z391" s="58">
        <v>45749</v>
      </c>
      <c r="AB391" s="31">
        <v>45758</v>
      </c>
      <c r="AC391" s="13" t="str">
        <f t="shared" si="18"/>
        <v>Approved</v>
      </c>
      <c r="AF391" s="71">
        <f>AJ391-7</f>
        <v>45784</v>
      </c>
      <c r="AG391" s="35">
        <f>IF($AX391="Cancelled","",IFERROR(IF(F391="","",F391-Variables!$B$13),""))</f>
        <v>45793</v>
      </c>
      <c r="AH391" s="13">
        <f>IF($AX391="Cancelled","",IFERROR(IF(AB391="","",(AVERAGE(E391:F391)-AB391)-Variables!$B$14),""))</f>
        <v>5</v>
      </c>
      <c r="AJ391" s="47">
        <v>45791</v>
      </c>
      <c r="AK391" s="14">
        <f>IF($AX391="Cancelled","",IFERROR(IF(AJ391="","",IF(AND(AB391="",AF391=""),"",IF(AF391&gt;AB391,AF391+Variables!$B$15+Variables!$B$16+Variables!$B$17-AJ391,AB391+Variables!$B$16+Variables!$B$17-AJ391))),""))</f>
        <v>8</v>
      </c>
      <c r="AL391" s="48" t="s">
        <v>114</v>
      </c>
      <c r="AM391" s="13" t="s">
        <v>141</v>
      </c>
      <c r="AN391" s="13" t="s">
        <v>1049</v>
      </c>
      <c r="AP391" s="31">
        <v>45799</v>
      </c>
      <c r="AR391" s="13" t="s">
        <v>1161</v>
      </c>
      <c r="AS391" s="31">
        <v>45799</v>
      </c>
      <c r="AU391" s="31">
        <v>45806</v>
      </c>
      <c r="AV391" s="13" t="s">
        <v>865</v>
      </c>
      <c r="AW391" s="31">
        <v>45807</v>
      </c>
      <c r="AX391" s="13" t="str">
        <f>IF(ISNUMBER(SEARCH("cancel",#REF!)),"Cancelled",IF(AND(AS391&lt;&gt;"",AU391&lt;&gt;"",AW391&lt;&gt;""),"Closed","Open"))</f>
        <v>Closed</v>
      </c>
      <c r="AY391" s="15" t="str">
        <f t="shared" si="19"/>
        <v>All dates received</v>
      </c>
      <c r="BD391" s="13">
        <f>IF($AX391="Cancelled","",IFERROR(IF(OR(AS391="",AJ391=""),"",(AJ391+Variables!$B$18-AS391)),""))</f>
        <v>7</v>
      </c>
      <c r="BE391" s="13">
        <f>IF($AX391="Cancelled","",IFERROR(IF(OR(AW391="",AS391=""),"",(AS391+Variables!$B$19)-AW391),""))</f>
        <v>-3</v>
      </c>
      <c r="BF391" s="44">
        <f>IF($AX391="Cancelled","",IFERROR(W391*INDEX(Variables!$B$7:$D$7,IFERROR(MATCH(IF($B391="Robusta","Robusta",(IF($B391="","Arabica",$B391))&amp;" - "&amp;(IF($C391="","Commercial",$C391))),Variables!$B$1:$D$1,0),1))*(BE391/365),""))</f>
        <v>-128.65465385070905</v>
      </c>
      <c r="BG391" s="44">
        <f>IF($AX391="Cancelled","",IFERROR((W391*INDEX(Variables!$B$7:$D$7,IFERROR(MATCH(IF($B391="Robusta","Robusta",(IF($B391="","Arabica",$B391))&amp;" - "&amp;(IF($C391="","Commercial",$C391))),Variables!$B$1:$D$1,0),1))*IFERROR(IF(AB391="","",(AVERAGE(E391:F391)-AB391)-Variables!$B$14),"")/365)+(L391/16.67*INDEX(Variables!$B$8:$D$8,IFERROR(MATCH(IF($B391="Robusta","Robusta",(IF($B391="","Arabica",$B391))&amp;" - "&amp;(IF($C391="","Commercial",$C391))),Variables!$B$1:$D$1,0),1))*IFERROR(IF(AB391="","",(AVERAGE(E391:F391)-AB391)-Variables!$B$14),""))+(W391*INDEX(Variables!$B$9:$D$9,IFERROR(MATCH(IF($B391="Robusta","Robusta",(IF($B391="","Arabica",$B391))&amp;" - "&amp;(IF($C391="","Commercial",$C391))),Variables!$B$1:$D$1,0),1))*IFERROR(IF(AB391="","",(AVERAGE(E391:F391)-AB391)-Variables!$B$14),"")/365),""))</f>
        <v>377.18876770846026</v>
      </c>
      <c r="BH391" s="44">
        <f>IF($AX391="Cancelled","",IFERROR((W391*INDEX(Variables!$B$7:$D$7,IFERROR(MATCH(IF($B391="Robusta","Robusta",(IF($B391="","Arabica",$B391))&amp;" - "&amp;(IF($C391="","Commercial",$C391))),Variables!$B$1:$D$1,0),1))*AK391/365)+(L391/16.67*INDEX(Variables!$B$8:$D$8,IFERROR(MATCH(IF($B391="Robusta","Robusta",(IF($B391="","Arabica",$B391))&amp;" - "&amp;(IF($C391="","Commercial",$C391))),Variables!$B$1:$D$1,0),1))*AK391)+(W391*INDEX(Variables!$B$9:$D$9,IFERROR(MATCH(IF($B391="Robusta","Robusta",(IF($B391="","Arabica",$B391))&amp;" - "&amp;(IF($C391="","Commercial",$C391))),Variables!$B$1:$D$1,0),1))*AK391/365),""))</f>
        <v>603.50202833353649</v>
      </c>
      <c r="BI391" s="44">
        <f>IF($AX391="Cancelled","",IFERROR((W391*INDEX(Variables!$B$7:$D$7,IFERROR(MATCH(IF($B391="Robusta","Robusta",(IF($B391="","Arabica",$B391))&amp;" - "&amp;(IF($C391="","Commercial",$C391))),Variables!$B$1:$D$1,0),1))*BD391/365)+(L391/16.67*INDEX(Variables!$B$8:$D$8,IFERROR(MATCH(IF($B391="Robusta","Robusta",(IF($B391="","Arabica",$B391))&amp;" - "&amp;(IF($C391="","Commercial",$C391))),Variables!$B$1:$D$1,0),1))*BD391)+(W391*INDEX(Variables!$B$9:$D$9,IFERROR(MATCH(IF($B391="Robusta","Robusta",(IF($B391="","Arabica",$B391))&amp;" - "&amp;(IF($C391="","Commercial",$C391))),Variables!$B$1:$D$1,0),1))*BD391/365),""))</f>
        <v>528.06427479184435</v>
      </c>
      <c r="BJ391" s="44">
        <f t="shared" si="20"/>
        <v>9</v>
      </c>
      <c r="BK391" s="44">
        <f>IF($AX391="Cancelled","",IFERROR(IF(BJ391="","",(W391*INDEX(Variables!$B$7:$D$7,IFERROR(MATCH(IF($B391="Robusta","Robusta",(IF($B391="","Arabica",$B391))&amp;" - "&amp;(IF($C391="","Commercial",$C391))),Variables!$B$1:$D$1,0),1))*(BJ391/365))+(W391*INDEX(Variables!$B$9:$D$9,IFERROR(MATCH(IF($B391="Robusta","Robusta",(IF($B391="","Arabica",$B391))&amp;" - "&amp;(IF($C391="","Commercial",$C391))),Variables!$B$1:$D$1,0),1))*(BJ391/365))+(INDEX(Variables!$B$8:$D$8,IFERROR(MATCH(IF($B391="Robusta","Robusta",(IF($B391="","Arabica",$B391))&amp;" - "&amp;(IF($C391="","Commercial",$C391))),Variables!$B$1:$D$1,0),1))*L391/16.67)),""))</f>
        <v>422.93978187522845</v>
      </c>
    </row>
    <row r="392" spans="1:63">
      <c r="A392" s="13" t="s">
        <v>103</v>
      </c>
      <c r="B392" s="13" t="s">
        <v>104</v>
      </c>
      <c r="C392" s="13" t="s">
        <v>105</v>
      </c>
      <c r="D392" s="31">
        <v>45743</v>
      </c>
      <c r="E392" s="31">
        <v>45809</v>
      </c>
      <c r="F392" s="31">
        <v>45838</v>
      </c>
      <c r="G392" s="13">
        <v>3786873</v>
      </c>
      <c r="H392" s="13">
        <v>93711</v>
      </c>
      <c r="J392" s="13" t="s">
        <v>118</v>
      </c>
      <c r="K392" s="13">
        <v>5290</v>
      </c>
      <c r="L392" s="13">
        <v>320</v>
      </c>
      <c r="M392" s="13">
        <v>1</v>
      </c>
      <c r="N392" s="13" t="s">
        <v>1162</v>
      </c>
      <c r="O392" s="13" t="s">
        <v>1163</v>
      </c>
      <c r="P392" s="13">
        <v>10310</v>
      </c>
      <c r="Q392" s="59" t="s">
        <v>270</v>
      </c>
      <c r="R392" s="13" t="s">
        <v>239</v>
      </c>
      <c r="S392" s="13" t="s">
        <v>429</v>
      </c>
      <c r="T392" s="13" t="s">
        <v>430</v>
      </c>
      <c r="U392" s="13" t="s">
        <v>182</v>
      </c>
      <c r="V392" s="13">
        <v>23</v>
      </c>
      <c r="W392" s="44">
        <f>IF($AX392="Cancelled","",IFERROR(((V392+INDEX(Variables!$B$6:$D$6,IFERROR(MATCH(IF($B392="Robusta","Robusta",(IF($B392="","Arabica",$B392))&amp;" - "&amp;(IF($C392="","Commercial",$C392))),Variables!$B$1:$D$1,0),1)))*22.0462)*(L392/16.67),""))</f>
        <v>132800.91296940611</v>
      </c>
      <c r="X392" s="55" t="s">
        <v>37</v>
      </c>
      <c r="Y392" s="13" t="str">
        <f>IF($AX392="Cancelled","",IF(X392="","",IFERROR(IF(INDEX(Variables!$B$38:$B$47,MATCH(X392,Variables!$A$38:$A$47,0))="Yes","Yes","No"),"No")))</f>
        <v>Yes</v>
      </c>
      <c r="Z392" s="58">
        <v>45772</v>
      </c>
      <c r="AB392" s="31">
        <v>45785</v>
      </c>
      <c r="AC392" s="13" t="str">
        <f t="shared" si="18"/>
        <v>Approved</v>
      </c>
      <c r="AF392" s="71">
        <f>AJ392-7</f>
        <v>45817</v>
      </c>
      <c r="AG392" s="35">
        <f>IF($AX392="Cancelled","",IFERROR(IF(F392="","",F392-Variables!$B$13),""))</f>
        <v>45823</v>
      </c>
      <c r="AH392" s="13">
        <f>IF($AX392="Cancelled","",IFERROR(IF(AB392="","",(AVERAGE(E392:F392)-AB392)-Variables!$B$14),""))</f>
        <v>8.5</v>
      </c>
      <c r="AJ392" s="47">
        <v>45824</v>
      </c>
      <c r="AK392" s="14">
        <f>IF($AX392="Cancelled","",IFERROR(IF(AJ392="","",IF(AND(AB392="",AF392=""),"",IF(AF392&gt;AB392,AF392+Variables!$B$15+Variables!$B$16+Variables!$B$17-AJ392,AB392+Variables!$B$16+Variables!$B$17-AJ392))),""))</f>
        <v>8</v>
      </c>
      <c r="AL392" s="48" t="s">
        <v>114</v>
      </c>
      <c r="AM392" s="13" t="s">
        <v>168</v>
      </c>
      <c r="AN392" s="13" t="s">
        <v>784</v>
      </c>
      <c r="AP392" s="31">
        <v>45841</v>
      </c>
      <c r="AR392" s="13" t="s">
        <v>1164</v>
      </c>
      <c r="AS392" s="31">
        <v>45841</v>
      </c>
      <c r="AU392" s="31">
        <v>45848</v>
      </c>
      <c r="AV392" s="13" t="s">
        <v>1165</v>
      </c>
      <c r="AW392" s="31">
        <v>45869</v>
      </c>
      <c r="AX392" s="13" t="str">
        <f>IF(ISNUMBER(SEARCH("cancel",#REF!)),"Cancelled",IF(AND(AS392&lt;&gt;"",AU392&lt;&gt;"",AW392&lt;&gt;""),"Closed","Open"))</f>
        <v>Closed</v>
      </c>
      <c r="AY392" s="15" t="str">
        <f t="shared" si="19"/>
        <v>All dates received</v>
      </c>
      <c r="BD392" s="13">
        <f>IF($AX392="Cancelled","",IFERROR(IF(OR(AS392="",AJ392=""),"",(AJ392+Variables!$B$18-AS392)),""))</f>
        <v>-2</v>
      </c>
      <c r="BE392" s="13">
        <f>IF($AX392="Cancelled","",IFERROR(IF(OR(AW392="",AS392=""),"",(AS392+Variables!$B$19)-AW392),""))</f>
        <v>-23</v>
      </c>
      <c r="BF392" s="44">
        <f>IF($AX392="Cancelled","",IFERROR(W392*INDEX(Variables!$B$7:$D$7,IFERROR(MATCH(IF($B392="Robusta","Robusta",(IF($B392="","Arabica",$B392))&amp;" - "&amp;(IF($C392="","Commercial",$C392))),Variables!$B$1:$D$1,0),1))*(BE392/365),""))</f>
        <v>-539.60489231875158</v>
      </c>
      <c r="BG392" s="44">
        <f>IF($AX392="Cancelled","",IFERROR((W392*INDEX(Variables!$B$7:$D$7,IFERROR(MATCH(IF($B392="Robusta","Robusta",(IF($B392="","Arabica",$B392))&amp;" - "&amp;(IF($C392="","Commercial",$C392))),Variables!$B$1:$D$1,0),1))*IFERROR(IF(AB392="","",(AVERAGE(E392:F392)-AB392)-Variables!$B$14),"")/365)+(L392/16.67*INDEX(Variables!$B$8:$D$8,IFERROR(MATCH(IF($B392="Robusta","Robusta",(IF($B392="","Arabica",$B392))&amp;" - "&amp;(IF($C392="","Commercial",$C392))),Variables!$B$1:$D$1,0),1))*IFERROR(IF(AB392="","",(AVERAGE(E392:F392)-AB392)-Variables!$B$14),""))+(W392*INDEX(Variables!$B$9:$D$9,IFERROR(MATCH(IF($B392="Robusta","Robusta",(IF($B392="","Arabica",$B392))&amp;" - "&amp;(IF($C392="","Commercial",$C392))),Variables!$B$1:$D$1,0),1))*IFERROR(IF(AB392="","",(AVERAGE(E392:F392)-AB392)-Variables!$B$14),"")/365),""))</f>
        <v>337.99009766693729</v>
      </c>
      <c r="BH392" s="44">
        <f>IF($AX392="Cancelled","",IFERROR((W392*INDEX(Variables!$B$7:$D$7,IFERROR(MATCH(IF($B392="Robusta","Robusta",(IF($B392="","Arabica",$B392))&amp;" - "&amp;(IF($C392="","Commercial",$C392))),Variables!$B$1:$D$1,0),1))*AK392/365)+(L392/16.67*INDEX(Variables!$B$8:$D$8,IFERROR(MATCH(IF($B392="Robusta","Robusta",(IF($B392="","Arabica",$B392))&amp;" - "&amp;(IF($C392="","Commercial",$C392))),Variables!$B$1:$D$1,0),1))*AK392)+(W392*INDEX(Variables!$B$9:$D$9,IFERROR(MATCH(IF($B392="Robusta","Robusta",(IF($B392="","Arabica",$B392))&amp;" - "&amp;(IF($C392="","Commercial",$C392))),Variables!$B$1:$D$1,0),1))*AK392/365),""))</f>
        <v>318.10832721594096</v>
      </c>
      <c r="BI392" s="44">
        <f>IF($AX392="Cancelled","",IFERROR((W392*INDEX(Variables!$B$7:$D$7,IFERROR(MATCH(IF($B392="Robusta","Robusta",(IF($B392="","Arabica",$B392))&amp;" - "&amp;(IF($C392="","Commercial",$C392))),Variables!$B$1:$D$1,0),1))*BD392/365)+(L392/16.67*INDEX(Variables!$B$8:$D$8,IFERROR(MATCH(IF($B392="Robusta","Robusta",(IF($B392="","Arabica",$B392))&amp;" - "&amp;(IF($C392="","Commercial",$C392))),Variables!$B$1:$D$1,0),1))*BD392)+(W392*INDEX(Variables!$B$9:$D$9,IFERROR(MATCH(IF($B392="Robusta","Robusta",(IF($B392="","Arabica",$B392))&amp;" - "&amp;(IF($C392="","Commercial",$C392))),Variables!$B$1:$D$1,0),1))*BD392/365),""))</f>
        <v>-79.52708180398524</v>
      </c>
      <c r="BJ392" s="44">
        <f t="shared" si="20"/>
        <v>-3</v>
      </c>
      <c r="BK392" s="44">
        <f>IF($AX392="Cancelled","",IFERROR(IF(BJ392="","",(W392*INDEX(Variables!$B$7:$D$7,IFERROR(MATCH(IF($B392="Robusta","Robusta",(IF($B392="","Arabica",$B392))&amp;" - "&amp;(IF($C392="","Commercial",$C392))),Variables!$B$1:$D$1,0),1))*(BJ392/365))+(W392*INDEX(Variables!$B$9:$D$9,IFERROR(MATCH(IF($B392="Robusta","Robusta",(IF($B392="","Arabica",$B392))&amp;" - "&amp;(IF($C392="","Commercial",$C392))),Variables!$B$1:$D$1,0),1))*(BJ392/365))+(INDEX(Variables!$B$8:$D$8,IFERROR(MATCH(IF($B392="Robusta","Robusta",(IF($B392="","Arabica",$B392))&amp;" - "&amp;(IF($C392="","Commercial",$C392))),Variables!$B$1:$D$1,0),1))*L392/16.67)),""))</f>
        <v>-55.290622705977867</v>
      </c>
    </row>
    <row r="393" spans="1:63">
      <c r="A393" s="13" t="s">
        <v>103</v>
      </c>
      <c r="B393" s="13" t="s">
        <v>104</v>
      </c>
      <c r="C393" s="13" t="s">
        <v>105</v>
      </c>
      <c r="D393" s="31">
        <v>45744</v>
      </c>
      <c r="E393" s="31">
        <v>45778</v>
      </c>
      <c r="F393" s="31">
        <v>45808</v>
      </c>
      <c r="G393" s="13">
        <v>3786874</v>
      </c>
      <c r="H393" s="13" t="s">
        <v>1166</v>
      </c>
      <c r="J393" s="13" t="s">
        <v>1167</v>
      </c>
      <c r="K393" s="13">
        <v>5267</v>
      </c>
      <c r="L393" s="13">
        <v>960</v>
      </c>
      <c r="M393" s="13">
        <v>3</v>
      </c>
      <c r="N393" s="13" t="s">
        <v>120</v>
      </c>
      <c r="O393" s="13" t="s">
        <v>418</v>
      </c>
      <c r="P393" s="13">
        <v>10070</v>
      </c>
      <c r="R393" s="13" t="s">
        <v>110</v>
      </c>
      <c r="S393" s="13" t="s">
        <v>262</v>
      </c>
      <c r="T393" s="13" t="s">
        <v>263</v>
      </c>
      <c r="U393" s="13" t="s">
        <v>125</v>
      </c>
      <c r="V393" s="13">
        <v>2</v>
      </c>
      <c r="W393" s="44">
        <f>IF($AX393="Cancelled","",IFERROR(((V393+INDEX(Variables!$B$6:$D$6,IFERROR(MATCH(IF($B393="Robusta","Robusta",(IF($B393="","Arabica",$B393))&amp;" - "&amp;(IF($C393="","Commercial",$C393))),Variables!$B$1:$D$1,0),1)))*22.0462)*(L393/16.67),""))</f>
        <v>371740.98773845227</v>
      </c>
      <c r="X393" s="55" t="s">
        <v>37</v>
      </c>
      <c r="Y393" s="13" t="str">
        <f>IF($AX393="Cancelled","",IF(X393="","",IFERROR(IF(INDEX(Variables!$B$38:$B$47,MATCH(X393,Variables!$A$38:$A$47,0))="Yes","Yes","No"),"No")))</f>
        <v>Yes</v>
      </c>
      <c r="Z393" s="31" t="s">
        <v>41</v>
      </c>
      <c r="AB393" s="31" t="s">
        <v>41</v>
      </c>
      <c r="AC393" s="13" t="str">
        <f t="shared" si="18"/>
        <v/>
      </c>
      <c r="AF393" s="71">
        <v>45786</v>
      </c>
      <c r="AG393" s="35">
        <f>IF($AX393="Cancelled","",IFERROR(IF(F393="","",F393-Variables!$B$13),""))</f>
        <v>45793</v>
      </c>
      <c r="AH393" s="13" t="str">
        <f>IF($AX393="Cancelled","",IFERROR(IF(AB393="","",(AVERAGE(E393:F393)-AB393)-Variables!$B$14),""))</f>
        <v/>
      </c>
      <c r="AJ393" s="47">
        <v>45782</v>
      </c>
      <c r="AK393" s="14" t="str">
        <f>IF($AX393="Cancelled","",IFERROR(IF(AJ393="","",IF(AND(AB393="",AF393=""),"",IF(AF393&gt;AB393,AF393+Variables!$B$15+Variables!$B$16+Variables!$B$17-AJ393,AB393+Variables!$B$16+Variables!$B$17-AJ393))),""))</f>
        <v/>
      </c>
      <c r="AL393" s="48" t="s">
        <v>114</v>
      </c>
      <c r="AM393" s="13" t="s">
        <v>1168</v>
      </c>
      <c r="AN393" s="13" t="s">
        <v>1169</v>
      </c>
      <c r="AP393" s="31">
        <v>45797</v>
      </c>
      <c r="AR393" s="13" t="s">
        <v>1170</v>
      </c>
      <c r="AS393" s="31">
        <v>45797</v>
      </c>
      <c r="AU393" s="31">
        <v>45798</v>
      </c>
      <c r="AV393" s="13" t="s">
        <v>865</v>
      </c>
      <c r="AW393" s="31">
        <v>45804</v>
      </c>
      <c r="AX393" s="13" t="str">
        <f>IF(ISNUMBER(SEARCH("cancel",#REF!)),"Cancelled",IF(AND(AS393&lt;&gt;"",AU393&lt;&gt;"",AW393&lt;&gt;""),"Closed","Open"))</f>
        <v>Closed</v>
      </c>
      <c r="AY393" s="15" t="str">
        <f t="shared" si="19"/>
        <v>All dates received</v>
      </c>
      <c r="BD393" s="13">
        <f>IF($AX393="Cancelled","",IFERROR(IF(OR(AS393="",AJ393=""),"",(AJ393+Variables!$B$18-AS393)),""))</f>
        <v>0</v>
      </c>
      <c r="BE393" s="13">
        <f>IF($AX393="Cancelled","",IFERROR(IF(OR(AW393="",AS393=""),"",(AS393+Variables!$B$19)-AW393),""))</f>
        <v>-2</v>
      </c>
      <c r="BF393" s="44">
        <f>IF($AX393="Cancelled","",IFERROR(W393*INDEX(Variables!$B$7:$D$7,IFERROR(MATCH(IF($B393="Robusta","Robusta",(IF($B393="","Arabica",$B393))&amp;" - "&amp;(IF($C393="","Commercial",$C393))),Variables!$B$1:$D$1,0),1))*(BE393/365),""))</f>
        <v>-131.34617380574483</v>
      </c>
      <c r="BG393" s="44" t="str">
        <f>IF($AX393="Cancelled","",IFERROR((W393*INDEX(Variables!$B$7:$D$7,IFERROR(MATCH(IF($B393="Robusta","Robusta",(IF($B393="","Arabica",$B393))&amp;" - "&amp;(IF($C393="","Commercial",$C393))),Variables!$B$1:$D$1,0),1))*IFERROR(IF(AB393="","",(AVERAGE(E393:F393)-AB393)-Variables!$B$14),"")/365)+(L393/16.67*INDEX(Variables!$B$8:$D$8,IFERROR(MATCH(IF($B393="Robusta","Robusta",(IF($B393="","Arabica",$B393))&amp;" - "&amp;(IF($C393="","Commercial",$C393))),Variables!$B$1:$D$1,0),1))*IFERROR(IF(AB393="","",(AVERAGE(E393:F393)-AB393)-Variables!$B$14),""))+(W393*INDEX(Variables!$B$9:$D$9,IFERROR(MATCH(IF($B393="Robusta","Robusta",(IF($B393="","Arabica",$B393))&amp;" - "&amp;(IF($C393="","Commercial",$C393))),Variables!$B$1:$D$1,0),1))*IFERROR(IF(AB393="","",(AVERAGE(E393:F393)-AB393)-Variables!$B$14),"")/365),""))</f>
        <v/>
      </c>
      <c r="BH393" s="44" t="str">
        <f>IF($AX393="Cancelled","",IFERROR((W393*INDEX(Variables!$B$7:$D$7,IFERROR(MATCH(IF($B393="Robusta","Robusta",(IF($B393="","Arabica",$B393))&amp;" - "&amp;(IF($C393="","Commercial",$C393))),Variables!$B$1:$D$1,0),1))*AK393/365)+(L393/16.67*INDEX(Variables!$B$8:$D$8,IFERROR(MATCH(IF($B393="Robusta","Robusta",(IF($B393="","Arabica",$B393))&amp;" - "&amp;(IF($C393="","Commercial",$C393))),Variables!$B$1:$D$1,0),1))*AK393)+(W393*INDEX(Variables!$B$9:$D$9,IFERROR(MATCH(IF($B393="Robusta","Robusta",(IF($B393="","Arabica",$B393))&amp;" - "&amp;(IF($C393="","Commercial",$C393))),Variables!$B$1:$D$1,0),1))*AK393/365),""))</f>
        <v/>
      </c>
      <c r="BI393" s="44">
        <f>IF($AX393="Cancelled","",IFERROR((W393*INDEX(Variables!$B$7:$D$7,IFERROR(MATCH(IF($B393="Robusta","Robusta",(IF($B393="","Arabica",$B393))&amp;" - "&amp;(IF($C393="","Commercial",$C393))),Variables!$B$1:$D$1,0),1))*BD393/365)+(L393/16.67*INDEX(Variables!$B$8:$D$8,IFERROR(MATCH(IF($B393="Robusta","Robusta",(IF($B393="","Arabica",$B393))&amp;" - "&amp;(IF($C393="","Commercial",$C393))),Variables!$B$1:$D$1,0),1))*BD393)+(W393*INDEX(Variables!$B$9:$D$9,IFERROR(MATCH(IF($B393="Robusta","Robusta",(IF($B393="","Arabica",$B393))&amp;" - "&amp;(IF($C393="","Commercial",$C393))),Variables!$B$1:$D$1,0),1))*BD393/365),""))</f>
        <v>0</v>
      </c>
      <c r="BJ393" s="44">
        <f t="shared" si="20"/>
        <v>11</v>
      </c>
      <c r="BK393" s="44">
        <f>IF($AX393="Cancelled","",IFERROR(IF(BJ393="","",(W393*INDEX(Variables!$B$7:$D$7,IFERROR(MATCH(IF($B393="Robusta","Robusta",(IF($B393="","Arabica",$B393))&amp;" - "&amp;(IF($C393="","Commercial",$C393))),Variables!$B$1:$D$1,0),1))*(BJ393/365))+(W393*INDEX(Variables!$B$9:$D$9,IFERROR(MATCH(IF($B393="Robusta","Robusta",(IF($B393="","Arabica",$B393))&amp;" - "&amp;(IF($C393="","Commercial",$C393))),Variables!$B$1:$D$1,0),1))*(BJ393/365))+(INDEX(Variables!$B$8:$D$8,IFERROR(MATCH(IF($B393="Robusta","Robusta",(IF($B393="","Arabica",$B393))&amp;" - "&amp;(IF($C393="","Commercial",$C393))),Variables!$B$1:$D$1,0),1))*L393/16.67)),""))</f>
        <v>779.71713706632715</v>
      </c>
    </row>
    <row r="394" spans="1:63">
      <c r="A394" s="13" t="s">
        <v>103</v>
      </c>
      <c r="B394" s="13" t="s">
        <v>104</v>
      </c>
      <c r="C394" s="13" t="s">
        <v>105</v>
      </c>
      <c r="D394" s="31">
        <v>45744</v>
      </c>
      <c r="E394" s="31">
        <v>45748</v>
      </c>
      <c r="F394" s="31">
        <v>45777</v>
      </c>
      <c r="G394" s="13">
        <v>3786875</v>
      </c>
      <c r="H394" s="13">
        <v>25.18</v>
      </c>
      <c r="J394" s="13" t="s">
        <v>1124</v>
      </c>
      <c r="K394" s="13">
        <v>5240</v>
      </c>
      <c r="L394" s="13">
        <v>1500</v>
      </c>
      <c r="M394" s="13">
        <v>5</v>
      </c>
      <c r="N394" s="13" t="s">
        <v>1171</v>
      </c>
      <c r="O394" s="13" t="s">
        <v>1172</v>
      </c>
      <c r="P394" s="13">
        <v>10260</v>
      </c>
      <c r="R394" s="13" t="s">
        <v>110</v>
      </c>
      <c r="S394" s="13" t="s">
        <v>154</v>
      </c>
      <c r="T394" s="13" t="s">
        <v>155</v>
      </c>
      <c r="U394" s="13" t="s">
        <v>125</v>
      </c>
      <c r="V394" s="13">
        <v>-204</v>
      </c>
      <c r="W394" s="44">
        <f>IF($AX394="Cancelled","",IFERROR(((V394+INDEX(Variables!$B$6:$D$6,IFERROR(MATCH(IF($B394="Robusta","Robusta",(IF($B394="","Arabica",$B394))&amp;" - "&amp;(IF($C394="","Commercial",$C394))),Variables!$B$1:$D$1,0),1)))*22.0462)*(L394/16.67),""))</f>
        <v>172190.47630473904</v>
      </c>
      <c r="X394" s="55" t="s">
        <v>39</v>
      </c>
      <c r="Y394" s="13" t="str">
        <f>IF($AX394="Cancelled","",IF(X394="","",IFERROR(IF(INDEX(Variables!$B$38:$B$47,MATCH(X394,Variables!$A$38:$A$47,0))="Yes","Yes","No"),"No")))</f>
        <v>No</v>
      </c>
      <c r="Z394" s="31" t="s">
        <v>39</v>
      </c>
      <c r="AB394" s="31" t="s">
        <v>39</v>
      </c>
      <c r="AC394" s="13" t="str">
        <f t="shared" si="18"/>
        <v/>
      </c>
      <c r="AF394" s="71">
        <v>45754</v>
      </c>
      <c r="AG394" s="35">
        <f>IF($AX394="Cancelled","",IFERROR(IF(F394="","",F394-Variables!$B$13),""))</f>
        <v>45762</v>
      </c>
      <c r="AH394" s="13" t="str">
        <f>IF($AX394="Cancelled","",IFERROR(IF(AB394="","",(AVERAGE(E394:F394)-AB394)-Variables!$B$14),""))</f>
        <v/>
      </c>
      <c r="AJ394" s="47">
        <v>45769</v>
      </c>
      <c r="AK394" s="14" t="str">
        <f>IF($AX394="Cancelled","",IFERROR(IF(AJ394="","",IF(AND(AB394="",AF394=""),"",IF(AF394&gt;AB394,AF394+Variables!$B$15+Variables!$B$16+Variables!$B$17-AJ394,AB394+Variables!$B$16+Variables!$B$17-AJ394))),""))</f>
        <v/>
      </c>
      <c r="AL394" s="48" t="s">
        <v>114</v>
      </c>
      <c r="AM394" s="13" t="s">
        <v>168</v>
      </c>
      <c r="AN394" s="13" t="s">
        <v>749</v>
      </c>
      <c r="AP394" s="31">
        <v>45773</v>
      </c>
      <c r="AR394" s="13" t="s">
        <v>1173</v>
      </c>
      <c r="AS394" s="31">
        <v>45773</v>
      </c>
      <c r="AU394" s="31">
        <v>45779</v>
      </c>
      <c r="AV394" s="13" t="s">
        <v>865</v>
      </c>
      <c r="AW394" s="31">
        <v>45785</v>
      </c>
      <c r="AX394" s="13" t="str">
        <f>IF(ISNUMBER(SEARCH("cancel",#REF!)),"Cancelled",IF(AND(AS394&lt;&gt;"",AU394&lt;&gt;"",AW394&lt;&gt;""),"Closed","Open"))</f>
        <v>Closed</v>
      </c>
      <c r="AY394" s="15" t="str">
        <f t="shared" si="19"/>
        <v>All dates received</v>
      </c>
      <c r="BD394" s="13">
        <f>IF($AX394="Cancelled","",IFERROR(IF(OR(AS394="",AJ394=""),"",(AJ394+Variables!$B$18-AS394)),""))</f>
        <v>11</v>
      </c>
      <c r="BE394" s="13">
        <f>IF($AX394="Cancelled","",IFERROR(IF(OR(AW394="",AS394=""),"",(AS394+Variables!$B$19)-AW394),""))</f>
        <v>-7</v>
      </c>
      <c r="BF394" s="44">
        <f>IF($AX394="Cancelled","",IFERROR(W394*INDEX(Variables!$B$7:$D$7,IFERROR(MATCH(IF($B394="Robusta","Robusta",(IF($B394="","Arabica",$B394))&amp;" - "&amp;(IF($C394="","Commercial",$C394))),Variables!$B$1:$D$1,0),1))*(BE394/365),""))</f>
        <v>-212.93847977600581</v>
      </c>
      <c r="BG394" s="44" t="str">
        <f>IF($AX394="Cancelled","",IFERROR((W394*INDEX(Variables!$B$7:$D$7,IFERROR(MATCH(IF($B394="Robusta","Robusta",(IF($B394="","Arabica",$B394))&amp;" - "&amp;(IF($C394="","Commercial",$C394))),Variables!$B$1:$D$1,0),1))*IFERROR(IF(AB394="","",(AVERAGE(E394:F394)-AB394)-Variables!$B$14),"")/365)+(L394/16.67*INDEX(Variables!$B$8:$D$8,IFERROR(MATCH(IF($B394="Robusta","Robusta",(IF($B394="","Arabica",$B394))&amp;" - "&amp;(IF($C394="","Commercial",$C394))),Variables!$B$1:$D$1,0),1))*IFERROR(IF(AB394="","",(AVERAGE(E394:F394)-AB394)-Variables!$B$14),""))+(W394*INDEX(Variables!$B$9:$D$9,IFERROR(MATCH(IF($B394="Robusta","Robusta",(IF($B394="","Arabica",$B394))&amp;" - "&amp;(IF($C394="","Commercial",$C394))),Variables!$B$1:$D$1,0),1))*IFERROR(IF(AB394="","",(AVERAGE(E394:F394)-AB394)-Variables!$B$14),"")/365),""))</f>
        <v/>
      </c>
      <c r="BH394" s="44" t="str">
        <f>IF($AX394="Cancelled","",IFERROR((W394*INDEX(Variables!$B$7:$D$7,IFERROR(MATCH(IF($B394="Robusta","Robusta",(IF($B394="","Arabica",$B394))&amp;" - "&amp;(IF($C394="","Commercial",$C394))),Variables!$B$1:$D$1,0),1))*AK394/365)+(L394/16.67*INDEX(Variables!$B$8:$D$8,IFERROR(MATCH(IF($B394="Robusta","Robusta",(IF($B394="","Arabica",$B394))&amp;" - "&amp;(IF($C394="","Commercial",$C394))),Variables!$B$1:$D$1,0),1))*AK394)+(W394*INDEX(Variables!$B$9:$D$9,IFERROR(MATCH(IF($B394="Robusta","Robusta",(IF($B394="","Arabica",$B394))&amp;" - "&amp;(IF($C394="","Commercial",$C394))),Variables!$B$1:$D$1,0),1))*AK394/365),""))</f>
        <v/>
      </c>
      <c r="BI394" s="44">
        <f>IF($AX394="Cancelled","",IFERROR((W394*INDEX(Variables!$B$7:$D$7,IFERROR(MATCH(IF($B394="Robusta","Robusta",(IF($B394="","Arabica",$B394))&amp;" - "&amp;(IF($C394="","Commercial",$C394))),Variables!$B$1:$D$1,0),1))*BD394/365)+(L394/16.67*INDEX(Variables!$B$8:$D$8,IFERROR(MATCH(IF($B394="Robusta","Robusta",(IF($B394="","Arabica",$B394))&amp;" - "&amp;(IF($C394="","Commercial",$C394))),Variables!$B$1:$D$1,0),1))*BD394)+(W394*INDEX(Variables!$B$9:$D$9,IFERROR(MATCH(IF($B394="Robusta","Robusta",(IF($B394="","Arabica",$B394))&amp;" - "&amp;(IF($C394="","Commercial",$C394))),Variables!$B$1:$D$1,0),1))*BD394/365),""))</f>
        <v>1163.9314778504802</v>
      </c>
      <c r="BJ394" s="44">
        <f t="shared" si="20"/>
        <v>4</v>
      </c>
      <c r="BK394" s="44">
        <f>IF($AX394="Cancelled","",IFERROR(IF(BJ394="","",(W394*INDEX(Variables!$B$7:$D$7,IFERROR(MATCH(IF($B394="Robusta","Robusta",(IF($B394="","Arabica",$B394))&amp;" - "&amp;(IF($C394="","Commercial",$C394))),Variables!$B$1:$D$1,0),1))*(BJ394/365))+(W394*INDEX(Variables!$B$9:$D$9,IFERROR(MATCH(IF($B394="Robusta","Robusta",(IF($B394="","Arabica",$B394))&amp;" - "&amp;(IF($C394="","Commercial",$C394))),Variables!$B$1:$D$1,0),1))*(BJ394/365))+(INDEX(Variables!$B$8:$D$8,IFERROR(MATCH(IF($B394="Robusta","Robusta",(IF($B394="","Arabica",$B394))&amp;" - "&amp;(IF($C394="","Commercial",$C394))),Variables!$B$1:$D$1,0),1))*L394/16.67)),""))</f>
        <v>198.24781012744739</v>
      </c>
    </row>
    <row r="395" spans="1:63">
      <c r="A395" s="13" t="s">
        <v>103</v>
      </c>
      <c r="B395" s="13" t="s">
        <v>104</v>
      </c>
      <c r="C395" s="13" t="s">
        <v>105</v>
      </c>
      <c r="D395" s="31">
        <v>45741</v>
      </c>
      <c r="E395" s="31">
        <v>45741</v>
      </c>
      <c r="F395" s="31">
        <v>45757</v>
      </c>
      <c r="G395" s="13">
        <v>3786876</v>
      </c>
      <c r="H395" s="13" t="s">
        <v>1174</v>
      </c>
      <c r="J395" s="13" t="s">
        <v>118</v>
      </c>
      <c r="K395" s="13">
        <v>5241</v>
      </c>
      <c r="L395" s="13">
        <v>320</v>
      </c>
      <c r="M395" s="13">
        <v>1</v>
      </c>
      <c r="N395" s="13" t="s">
        <v>1175</v>
      </c>
      <c r="O395" s="13" t="s">
        <v>456</v>
      </c>
      <c r="P395" s="13">
        <v>10140</v>
      </c>
      <c r="R395" s="13" t="s">
        <v>110</v>
      </c>
      <c r="S395" s="13" t="s">
        <v>154</v>
      </c>
      <c r="T395" s="13" t="s">
        <v>155</v>
      </c>
      <c r="U395" s="13" t="s">
        <v>125</v>
      </c>
      <c r="V395" s="13">
        <v>-87.4</v>
      </c>
      <c r="W395" s="44">
        <f>IF($AX395="Cancelled","",IFERROR(((V395+INDEX(Variables!$B$6:$D$6,IFERROR(MATCH(IF($B395="Robusta","Robusta",(IF($B395="","Arabica",$B395))&amp;" - "&amp;(IF($C395="","Commercial",$C395))),Variables!$B$1:$D$1,0),1)))*22.0462)*(L395/16.67),""))</f>
        <v>86079.368062387512</v>
      </c>
      <c r="X395" s="55" t="s">
        <v>39</v>
      </c>
      <c r="Y395" s="13" t="str">
        <f>IF($AX395="Cancelled","",IF(X395="","",IFERROR(IF(INDEX(Variables!$B$38:$B$47,MATCH(X395,Variables!$A$38:$A$47,0))="Yes","Yes","No"),"No")))</f>
        <v>No</v>
      </c>
      <c r="Z395" s="31" t="s">
        <v>39</v>
      </c>
      <c r="AB395" s="31" t="s">
        <v>39</v>
      </c>
      <c r="AC395" s="13" t="str">
        <f t="shared" si="18"/>
        <v/>
      </c>
      <c r="AF395" s="71">
        <v>45757</v>
      </c>
      <c r="AG395" s="37">
        <f>IF($AX395="Cancelled","",IFERROR(IF(F395="","",F395-Variables!$B$13),""))</f>
        <v>45742</v>
      </c>
      <c r="AH395" s="13" t="str">
        <f>IF($AX395="Cancelled","",IFERROR(IF(AB395="","",(AVERAGE(E395:F395)-AB395)-Variables!$B$14),""))</f>
        <v/>
      </c>
      <c r="AJ395" s="47">
        <v>45751</v>
      </c>
      <c r="AK395" s="14" t="str">
        <f>IF($AX395="Cancelled","",IFERROR(IF(AJ395="","",IF(AND(AB395="",AF395=""),"",IF(AF395&gt;AB395,AF395+Variables!$B$15+Variables!$B$16+Variables!$B$17-AJ395,AB395+Variables!$B$16+Variables!$B$17-AJ395))),""))</f>
        <v/>
      </c>
      <c r="AL395" s="48" t="s">
        <v>114</v>
      </c>
      <c r="AM395" s="13" t="s">
        <v>115</v>
      </c>
      <c r="AN395" s="13" t="s">
        <v>290</v>
      </c>
      <c r="AP395" s="31">
        <v>45771</v>
      </c>
      <c r="AR395" s="13">
        <v>252407640</v>
      </c>
      <c r="AS395" s="31">
        <v>45771</v>
      </c>
      <c r="AU395" s="31">
        <v>45779</v>
      </c>
      <c r="AV395" s="13" t="s">
        <v>865</v>
      </c>
      <c r="AW395" s="31">
        <v>45779</v>
      </c>
      <c r="AX395" s="13" t="str">
        <f>IF(ISNUMBER(SEARCH("cancel",#REF!)),"Cancelled",IF(AND(AS395&lt;&gt;"",AU395&lt;&gt;"",AW395&lt;&gt;""),"Closed","Open"))</f>
        <v>Closed</v>
      </c>
      <c r="AY395" s="15" t="str">
        <f t="shared" si="19"/>
        <v>All dates received</v>
      </c>
      <c r="BD395" s="13">
        <f>IF($AX395="Cancelled","",IFERROR(IF(OR(AS395="",AJ395=""),"",(AJ395+Variables!$B$18-AS395)),""))</f>
        <v>-5</v>
      </c>
      <c r="BE395" s="13">
        <f>IF($AX395="Cancelled","",IFERROR(IF(OR(AW395="",AS395=""),"",(AS395+Variables!$B$19)-AW395),""))</f>
        <v>-3</v>
      </c>
      <c r="BF395" s="44">
        <f>IF($AX395="Cancelled","",IFERROR(W395*INDEX(Variables!$B$7:$D$7,IFERROR(MATCH(IF($B395="Robusta","Robusta",(IF($B395="","Arabica",$B395))&amp;" - "&amp;(IF($C395="","Commercial",$C395))),Variables!$B$1:$D$1,0),1))*(BE395/365),""))</f>
        <v>-45.621263237856027</v>
      </c>
      <c r="BG395" s="44" t="str">
        <f>IF($AX395="Cancelled","",IFERROR((W395*INDEX(Variables!$B$7:$D$7,IFERROR(MATCH(IF($B395="Robusta","Robusta",(IF($B395="","Arabica",$B395))&amp;" - "&amp;(IF($C395="","Commercial",$C395))),Variables!$B$1:$D$1,0),1))*IFERROR(IF(AB395="","",(AVERAGE(E395:F395)-AB395)-Variables!$B$14),"")/365)+(L395/16.67*INDEX(Variables!$B$8:$D$8,IFERROR(MATCH(IF($B395="Robusta","Robusta",(IF($B395="","Arabica",$B395))&amp;" - "&amp;(IF($C395="","Commercial",$C395))),Variables!$B$1:$D$1,0),1))*IFERROR(IF(AB395="","",(AVERAGE(E395:F395)-AB395)-Variables!$B$14),""))+(W395*INDEX(Variables!$B$9:$D$9,IFERROR(MATCH(IF($B395="Robusta","Robusta",(IF($B395="","Arabica",$B395))&amp;" - "&amp;(IF($C395="","Commercial",$C395))),Variables!$B$1:$D$1,0),1))*IFERROR(IF(AB395="","",(AVERAGE(E395:F395)-AB395)-Variables!$B$14),"")/365),""))</f>
        <v/>
      </c>
      <c r="BH395" s="44" t="str">
        <f>IF($AX395="Cancelled","",IFERROR((W395*INDEX(Variables!$B$7:$D$7,IFERROR(MATCH(IF($B395="Robusta","Robusta",(IF($B395="","Arabica",$B395))&amp;" - "&amp;(IF($C395="","Commercial",$C395))),Variables!$B$1:$D$1,0),1))*AK395/365)+(L395/16.67*INDEX(Variables!$B$8:$D$8,IFERROR(MATCH(IF($B395="Robusta","Robusta",(IF($B395="","Arabica",$B395))&amp;" - "&amp;(IF($C395="","Commercial",$C395))),Variables!$B$1:$D$1,0),1))*AK395)+(W395*INDEX(Variables!$B$9:$D$9,IFERROR(MATCH(IF($B395="Robusta","Robusta",(IF($B395="","Arabica",$B395))&amp;" - "&amp;(IF($C395="","Commercial",$C395))),Variables!$B$1:$D$1,0),1))*AK395/365),""))</f>
        <v/>
      </c>
      <c r="BI395" s="44">
        <f>IF($AX395="Cancelled","",IFERROR((W395*INDEX(Variables!$B$7:$D$7,IFERROR(MATCH(IF($B395="Robusta","Robusta",(IF($B395="","Arabica",$B395))&amp;" - "&amp;(IF($C395="","Commercial",$C395))),Variables!$B$1:$D$1,0),1))*BD395/365)+(L395/16.67*INDEX(Variables!$B$8:$D$8,IFERROR(MATCH(IF($B395="Robusta","Robusta",(IF($B395="","Arabica",$B395))&amp;" - "&amp;(IF($C395="","Commercial",$C395))),Variables!$B$1:$D$1,0),1))*BD395)+(W395*INDEX(Variables!$B$9:$D$9,IFERROR(MATCH(IF($B395="Robusta","Robusta",(IF($B395="","Arabica",$B395))&amp;" - "&amp;(IF($C395="","Commercial",$C395))),Variables!$B$1:$D$1,0),1))*BD395/365),""))</f>
        <v>-157.01568227318833</v>
      </c>
      <c r="BJ395" s="44">
        <f t="shared" si="20"/>
        <v>-14</v>
      </c>
      <c r="BK395" s="44">
        <f>IF($AX395="Cancelled","",IFERROR(IF(BJ395="","",(W395*INDEX(Variables!$B$7:$D$7,IFERROR(MATCH(IF($B395="Robusta","Robusta",(IF($B395="","Arabica",$B395))&amp;" - "&amp;(IF($C395="","Commercial",$C395))),Variables!$B$1:$D$1,0),1))*(BJ395/365))+(W395*INDEX(Variables!$B$9:$D$9,IFERROR(MATCH(IF($B395="Robusta","Robusta",(IF($B395="","Arabica",$B395))&amp;" - "&amp;(IF($C395="","Commercial",$C395))),Variables!$B$1:$D$1,0),1))*(BJ395/365))+(INDEX(Variables!$B$8:$D$8,IFERROR(MATCH(IF($B395="Robusta","Robusta",(IF($B395="","Arabica",$B395))&amp;" - "&amp;(IF($C395="","Commercial",$C395))),Variables!$B$1:$D$1,0),1))*L395/16.67)),""))</f>
        <v>-199.64391036492731</v>
      </c>
    </row>
    <row r="396" spans="1:63">
      <c r="A396" s="13" t="s">
        <v>103</v>
      </c>
      <c r="B396" s="13" t="s">
        <v>104</v>
      </c>
      <c r="C396" s="13" t="s">
        <v>105</v>
      </c>
      <c r="D396" s="31">
        <v>45744</v>
      </c>
      <c r="E396" s="31">
        <v>45748</v>
      </c>
      <c r="F396" s="31">
        <v>45777</v>
      </c>
      <c r="G396" s="13">
        <v>3786877</v>
      </c>
      <c r="J396" s="13" t="s">
        <v>1124</v>
      </c>
      <c r="K396" s="13">
        <v>5255</v>
      </c>
      <c r="L396" s="13">
        <v>300</v>
      </c>
      <c r="M396" s="13">
        <v>1</v>
      </c>
      <c r="N396" s="13" t="s">
        <v>1171</v>
      </c>
      <c r="O396" s="13" t="s">
        <v>1172</v>
      </c>
      <c r="P396" s="13">
        <v>10260</v>
      </c>
      <c r="R396" s="13" t="s">
        <v>110</v>
      </c>
      <c r="S396" s="13" t="s">
        <v>1176</v>
      </c>
      <c r="T396" s="13" t="s">
        <v>263</v>
      </c>
      <c r="U396" s="13" t="s">
        <v>125</v>
      </c>
      <c r="V396" s="13">
        <v>-201</v>
      </c>
      <c r="W396" s="44">
        <f>IF($AX396="Cancelled","",IFERROR(((V396+INDEX(Variables!$B$6:$D$6,IFERROR(MATCH(IF($B396="Robusta","Robusta",(IF($B396="","Arabica",$B396))&amp;" - "&amp;(IF($C396="","Commercial",$C396))),Variables!$B$1:$D$1,0),1)))*22.0462)*(L396/16.67),""))</f>
        <v>35628.352009598078</v>
      </c>
      <c r="X396" s="55" t="s">
        <v>39</v>
      </c>
      <c r="Y396" s="13" t="str">
        <f>IF($AX396="Cancelled","",IF(X396="","",IFERROR(IF(INDEX(Variables!$B$38:$B$47,MATCH(X396,Variables!$A$38:$A$47,0))="Yes","Yes","No"),"No")))</f>
        <v>No</v>
      </c>
      <c r="Z396" s="31" t="s">
        <v>39</v>
      </c>
      <c r="AB396" s="31" t="s">
        <v>39</v>
      </c>
      <c r="AC396" s="13" t="str">
        <f t="shared" si="18"/>
        <v/>
      </c>
      <c r="AF396" s="71">
        <f>AJ396-7</f>
        <v>45769</v>
      </c>
      <c r="AG396" s="37">
        <f>IF($AX396="Cancelled","",IFERROR(IF(F396="","",F396-Variables!$B$13),""))</f>
        <v>45762</v>
      </c>
      <c r="AH396" s="13" t="str">
        <f>IF($AX396="Cancelled","",IFERROR(IF(AB396="","",(AVERAGE(E396:F396)-AB396)-Variables!$B$14),""))</f>
        <v/>
      </c>
      <c r="AJ396" s="47">
        <v>45776</v>
      </c>
      <c r="AK396" s="14" t="str">
        <f>IF($AX396="Cancelled","",IFERROR(IF(AJ396="","",IF(AND(AB396="",AF396=""),"",IF(AF396&gt;AB396,AF396+Variables!$B$15+Variables!$B$16+Variables!$B$17-AJ396,AB396+Variables!$B$16+Variables!$B$17-AJ396))),""))</f>
        <v/>
      </c>
      <c r="AL396" s="48" t="s">
        <v>114</v>
      </c>
      <c r="AM396" s="13" t="s">
        <v>168</v>
      </c>
      <c r="AN396" s="13" t="s">
        <v>233</v>
      </c>
      <c r="AP396" s="31">
        <v>45785</v>
      </c>
      <c r="AR396" s="13" t="s">
        <v>1177</v>
      </c>
      <c r="AS396" s="31">
        <v>45785</v>
      </c>
      <c r="AU396" s="31">
        <v>45797</v>
      </c>
      <c r="AV396" s="13" t="s">
        <v>865</v>
      </c>
      <c r="AW396" s="31">
        <v>45799</v>
      </c>
      <c r="AX396" s="13" t="str">
        <f>IF(ISNUMBER(SEARCH("cancel",#REF!)),"Cancelled",IF(AND(AS396&lt;&gt;"",AU396&lt;&gt;"",AW396&lt;&gt;""),"Closed","Open"))</f>
        <v>Closed</v>
      </c>
      <c r="AY396" s="15" t="str">
        <f t="shared" si="19"/>
        <v>All dates received</v>
      </c>
      <c r="BD396" s="13">
        <f>IF($AX396="Cancelled","",IFERROR(IF(OR(AS396="",AJ396=""),"",(AJ396+Variables!$B$18-AS396)),""))</f>
        <v>6</v>
      </c>
      <c r="BE396" s="13">
        <f>IF($AX396="Cancelled","",IFERROR(IF(OR(AW396="",AS396=""),"",(AS396+Variables!$B$19)-AW396),""))</f>
        <v>-9</v>
      </c>
      <c r="BF396" s="44">
        <f>IF($AX396="Cancelled","",IFERROR(W396*INDEX(Variables!$B$7:$D$7,IFERROR(MATCH(IF($B396="Robusta","Robusta",(IF($B396="","Arabica",$B396))&amp;" - "&amp;(IF($C396="","Commercial",$C396))),Variables!$B$1:$D$1,0),1))*(BE396/365),""))</f>
        <v>-56.648084053643146</v>
      </c>
      <c r="BG396" s="44" t="str">
        <f>IF($AX396="Cancelled","",IFERROR((W396*INDEX(Variables!$B$7:$D$7,IFERROR(MATCH(IF($B396="Robusta","Robusta",(IF($B396="","Arabica",$B396))&amp;" - "&amp;(IF($C396="","Commercial",$C396))),Variables!$B$1:$D$1,0),1))*IFERROR(IF(AB396="","",(AVERAGE(E396:F396)-AB396)-Variables!$B$14),"")/365)+(L396/16.67*INDEX(Variables!$B$8:$D$8,IFERROR(MATCH(IF($B396="Robusta","Robusta",(IF($B396="","Arabica",$B396))&amp;" - "&amp;(IF($C396="","Commercial",$C396))),Variables!$B$1:$D$1,0),1))*IFERROR(IF(AB396="","",(AVERAGE(E396:F396)-AB396)-Variables!$B$14),""))+(W396*INDEX(Variables!$B$9:$D$9,IFERROR(MATCH(IF($B396="Robusta","Robusta",(IF($B396="","Arabica",$B396))&amp;" - "&amp;(IF($C396="","Commercial",$C396))),Variables!$B$1:$D$1,0),1))*IFERROR(IF(AB396="","",(AVERAGE(E396:F396)-AB396)-Variables!$B$14),"")/365),""))</f>
        <v/>
      </c>
      <c r="BH396" s="44" t="str">
        <f>IF($AX396="Cancelled","",IFERROR((W396*INDEX(Variables!$B$7:$D$7,IFERROR(MATCH(IF($B396="Robusta","Robusta",(IF($B396="","Arabica",$B396))&amp;" - "&amp;(IF($C396="","Commercial",$C396))),Variables!$B$1:$D$1,0),1))*AK396/365)+(L396/16.67*INDEX(Variables!$B$8:$D$8,IFERROR(MATCH(IF($B396="Robusta","Robusta",(IF($B396="","Arabica",$B396))&amp;" - "&amp;(IF($C396="","Commercial",$C396))),Variables!$B$1:$D$1,0),1))*AK396)+(W396*INDEX(Variables!$B$9:$D$9,IFERROR(MATCH(IF($B396="Robusta","Robusta",(IF($B396="","Arabica",$B396))&amp;" - "&amp;(IF($C396="","Commercial",$C396))),Variables!$B$1:$D$1,0),1))*AK396/365),""))</f>
        <v/>
      </c>
      <c r="BI396" s="44">
        <f>IF($AX396="Cancelled","",IFERROR((W396*INDEX(Variables!$B$7:$D$7,IFERROR(MATCH(IF($B396="Robusta","Robusta",(IF($B396="","Arabica",$B396))&amp;" - "&amp;(IF($C396="","Commercial",$C396))),Variables!$B$1:$D$1,0),1))*BD396/365)+(L396/16.67*INDEX(Variables!$B$8:$D$8,IFERROR(MATCH(IF($B396="Robusta","Robusta",(IF($B396="","Arabica",$B396))&amp;" - "&amp;(IF($C396="","Commercial",$C396))),Variables!$B$1:$D$1,0),1))*BD396)+(W396*INDEX(Variables!$B$9:$D$9,IFERROR(MATCH(IF($B396="Robusta","Robusta",(IF($B396="","Arabica",$B396))&amp;" - "&amp;(IF($C396="","Commercial",$C396))),Variables!$B$1:$D$1,0),1))*BD396/365),""))</f>
        <v>128.25225812020085</v>
      </c>
      <c r="BJ396" s="44">
        <f t="shared" si="20"/>
        <v>-8</v>
      </c>
      <c r="BK396" s="44">
        <f>IF($AX396="Cancelled","",IFERROR(IF(BJ396="","",(W396*INDEX(Variables!$B$7:$D$7,IFERROR(MATCH(IF($B396="Robusta","Robusta",(IF($B396="","Arabica",$B396))&amp;" - "&amp;(IF($C396="","Commercial",$C396))),Variables!$B$1:$D$1,0),1))*(BJ396/365))+(W396*INDEX(Variables!$B$9:$D$9,IFERROR(MATCH(IF($B396="Robusta","Robusta",(IF($B396="","Arabica",$B396))&amp;" - "&amp;(IF($C396="","Commercial",$C396))),Variables!$B$1:$D$1,0),1))*(BJ396/365))+(INDEX(Variables!$B$8:$D$8,IFERROR(MATCH(IF($B396="Robusta","Robusta",(IF($B396="","Arabica",$B396))&amp;" - "&amp;(IF($C396="","Commercial",$C396))),Variables!$B$1:$D$1,0),1))*L396/16.67)),""))</f>
        <v>-36.003010826934457</v>
      </c>
    </row>
    <row r="397" spans="1:63">
      <c r="A397" s="13" t="s">
        <v>103</v>
      </c>
      <c r="B397" s="13" t="s">
        <v>104</v>
      </c>
      <c r="C397" s="13" t="s">
        <v>105</v>
      </c>
      <c r="D397" s="31">
        <v>45747</v>
      </c>
      <c r="E397" s="31">
        <v>45839</v>
      </c>
      <c r="F397" s="31">
        <v>45869</v>
      </c>
      <c r="G397" s="13">
        <v>3786878</v>
      </c>
      <c r="H397" s="13" t="s">
        <v>1178</v>
      </c>
      <c r="J397" s="13" t="s">
        <v>260</v>
      </c>
      <c r="K397" s="13">
        <v>5304</v>
      </c>
      <c r="L397" s="13">
        <v>320</v>
      </c>
      <c r="M397" s="13">
        <v>1</v>
      </c>
      <c r="N397" s="13" t="s">
        <v>404</v>
      </c>
      <c r="O397" s="13" t="s">
        <v>405</v>
      </c>
      <c r="P397" s="13">
        <v>10150</v>
      </c>
      <c r="R397" s="13" t="s">
        <v>110</v>
      </c>
      <c r="S397" s="13" t="s">
        <v>1048</v>
      </c>
      <c r="T397" s="13" t="s">
        <v>263</v>
      </c>
      <c r="U397" s="13" t="s">
        <v>125</v>
      </c>
      <c r="V397" s="13">
        <v>-100</v>
      </c>
      <c r="W397" s="44">
        <f>IF($AX397="Cancelled","",IFERROR(((V397+INDEX(Variables!$B$6:$D$6,IFERROR(MATCH(IF($B397="Robusta","Robusta",(IF($B397="","Arabica",$B397))&amp;" - "&amp;(IF($C397="","Commercial",$C397))),Variables!$B$1:$D$1,0),1)))*22.0462)*(L397/16.67),""))</f>
        <v>80747.017828434313</v>
      </c>
      <c r="X397" s="55" t="s">
        <v>37</v>
      </c>
      <c r="Y397" s="13" t="str">
        <f>IF($AX397="Cancelled","",IF(X397="","",IFERROR(IF(INDEX(Variables!$B$38:$B$47,MATCH(X397,Variables!$A$38:$A$47,0))="Yes","Yes","No"),"No")))</f>
        <v>Yes</v>
      </c>
      <c r="Z397" s="58">
        <v>45797</v>
      </c>
      <c r="AB397" s="31">
        <v>45826</v>
      </c>
      <c r="AC397" s="13" t="str">
        <f t="shared" si="18"/>
        <v>Approved</v>
      </c>
      <c r="AF397" s="71">
        <f>AJ397-7</f>
        <v>45831</v>
      </c>
      <c r="AG397" s="37">
        <f>IF($AX397="Cancelled","",IFERROR(IF(F397="","",F397-Variables!$B$13),""))</f>
        <v>45854</v>
      </c>
      <c r="AH397" s="13">
        <f>IF($AX397="Cancelled","",IFERROR(IF(AB397="","",(AVERAGE(E397:F397)-AB397)-Variables!$B$14),""))</f>
        <v>-2</v>
      </c>
      <c r="AJ397" s="47">
        <v>45838</v>
      </c>
      <c r="AK397" s="14">
        <f>IF($AX397="Cancelled","",IFERROR(IF(AJ397="","",IF(AND(AB397="",AF397=""),"",IF(AF397&gt;AB397,AF397+Variables!$B$15+Variables!$B$16+Variables!$B$17-AJ397,AB397+Variables!$B$16+Variables!$B$17-AJ397))),""))</f>
        <v>8</v>
      </c>
      <c r="AL397" s="48" t="s">
        <v>114</v>
      </c>
      <c r="AM397" s="13" t="s">
        <v>115</v>
      </c>
      <c r="AN397" s="13" t="s">
        <v>1179</v>
      </c>
      <c r="AP397" s="31">
        <v>45845</v>
      </c>
      <c r="AR397" s="13">
        <v>255691442</v>
      </c>
      <c r="AS397" s="31">
        <v>45845</v>
      </c>
      <c r="AU397" s="31">
        <v>45847</v>
      </c>
      <c r="AV397" s="13" t="s">
        <v>865</v>
      </c>
      <c r="AW397" s="31">
        <v>45852</v>
      </c>
      <c r="AX397" s="13" t="str">
        <f>IF(ISNUMBER(SEARCH("cancel",#REF!)),"Cancelled",IF(AND(AS397&lt;&gt;"",AU397&lt;&gt;"",AW397&lt;&gt;""),"Closed","Open"))</f>
        <v>Closed</v>
      </c>
      <c r="AY397" s="15" t="str">
        <f t="shared" si="19"/>
        <v>All dates received</v>
      </c>
      <c r="BD397" s="13">
        <f>IF($AX397="Cancelled","",IFERROR(IF(OR(AS397="",AJ397=""),"",(AJ397+Variables!$B$18-AS397)),""))</f>
        <v>8</v>
      </c>
      <c r="BE397" s="13">
        <f>IF($AX397="Cancelled","",IFERROR(IF(OR(AW397="",AS397=""),"",(AS397+Variables!$B$19)-AW397),""))</f>
        <v>-2</v>
      </c>
      <c r="BF397" s="44">
        <f>IF($AX397="Cancelled","",IFERROR(W397*INDEX(Variables!$B$7:$D$7,IFERROR(MATCH(IF($B397="Robusta","Robusta",(IF($B397="","Arabica",$B397))&amp;" - "&amp;(IF($C397="","Commercial",$C397))),Variables!$B$1:$D$1,0),1))*(BE397/365),""))</f>
        <v>-28.530111523379002</v>
      </c>
      <c r="BG397" s="44">
        <f>IF($AX397="Cancelled","",IFERROR((W397*INDEX(Variables!$B$7:$D$7,IFERROR(MATCH(IF($B397="Robusta","Robusta",(IF($B397="","Arabica",$B397))&amp;" - "&amp;(IF($C397="","Commercial",$C397))),Variables!$B$1:$D$1,0),1))*IFERROR(IF(AB397="","",(AVERAGE(E397:F397)-AB397)-Variables!$B$14),"")/365)+(L397/16.67*INDEX(Variables!$B$8:$D$8,IFERROR(MATCH(IF($B397="Robusta","Robusta",(IF($B397="","Arabica",$B397))&amp;" - "&amp;(IF($C397="","Commercial",$C397))),Variables!$B$1:$D$1,0),1))*IFERROR(IF(AB397="","",(AVERAGE(E397:F397)-AB397)-Variables!$B$14),""))+(W397*INDEX(Variables!$B$9:$D$9,IFERROR(MATCH(IF($B397="Robusta","Robusta",(IF($B397="","Arabica",$B397))&amp;" - "&amp;(IF($C397="","Commercial",$C397))),Variables!$B$1:$D$1,0),1))*IFERROR(IF(AB397="","",(AVERAGE(E397:F397)-AB397)-Variables!$B$14),"")/365),""))</f>
        <v>-60.897919720205181</v>
      </c>
      <c r="BH397" s="44">
        <f>IF($AX397="Cancelled","",IFERROR((W397*INDEX(Variables!$B$7:$D$7,IFERROR(MATCH(IF($B397="Robusta","Robusta",(IF($B397="","Arabica",$B397))&amp;" - "&amp;(IF($C397="","Commercial",$C397))),Variables!$B$1:$D$1,0),1))*AK397/365)+(L397/16.67*INDEX(Variables!$B$8:$D$8,IFERROR(MATCH(IF($B397="Robusta","Robusta",(IF($B397="","Arabica",$B397))&amp;" - "&amp;(IF($C397="","Commercial",$C397))),Variables!$B$1:$D$1,0),1))*AK397)+(W397*INDEX(Variables!$B$9:$D$9,IFERROR(MATCH(IF($B397="Robusta","Robusta",(IF($B397="","Arabica",$B397))&amp;" - "&amp;(IF($C397="","Commercial",$C397))),Variables!$B$1:$D$1,0),1))*AK397/365),""))</f>
        <v>243.59167888082072</v>
      </c>
      <c r="BI397" s="44">
        <f>IF($AX397="Cancelled","",IFERROR((W397*INDEX(Variables!$B$7:$D$7,IFERROR(MATCH(IF($B397="Robusta","Robusta",(IF($B397="","Arabica",$B397))&amp;" - "&amp;(IF($C397="","Commercial",$C397))),Variables!$B$1:$D$1,0),1))*BD397/365)+(L397/16.67*INDEX(Variables!$B$8:$D$8,IFERROR(MATCH(IF($B397="Robusta","Robusta",(IF($B397="","Arabica",$B397))&amp;" - "&amp;(IF($C397="","Commercial",$C397))),Variables!$B$1:$D$1,0),1))*BD397)+(W397*INDEX(Variables!$B$9:$D$9,IFERROR(MATCH(IF($B397="Robusta","Robusta",(IF($B397="","Arabica",$B397))&amp;" - "&amp;(IF($C397="","Commercial",$C397))),Variables!$B$1:$D$1,0),1))*BD397/365),""))</f>
        <v>243.59167888082072</v>
      </c>
      <c r="BJ397" s="44">
        <f t="shared" si="20"/>
        <v>24</v>
      </c>
      <c r="BK397" s="44">
        <f>IF($AX397="Cancelled","",IFERROR(IF(BJ397="","",(W397*INDEX(Variables!$B$7:$D$7,IFERROR(MATCH(IF($B397="Robusta","Robusta",(IF($B397="","Arabica",$B397))&amp;" - "&amp;(IF($C397="","Commercial",$C397))),Variables!$B$1:$D$1,0),1))*(BJ397/365))+(W397*INDEX(Variables!$B$9:$D$9,IFERROR(MATCH(IF($B397="Robusta","Robusta",(IF($B397="","Arabica",$B397))&amp;" - "&amp;(IF($C397="","Commercial",$C397))),Variables!$B$1:$D$1,0),1))*(BJ397/365))+(INDEX(Variables!$B$8:$D$8,IFERROR(MATCH(IF($B397="Robusta","Robusta",(IF($B397="","Arabica",$B397))&amp;" - "&amp;(IF($C397="","Commercial",$C397))),Variables!$B$1:$D$1,0),1))*L397/16.67)),""))</f>
        <v>362.77503664246211</v>
      </c>
    </row>
    <row r="398" spans="1:63">
      <c r="A398" s="13" t="s">
        <v>103</v>
      </c>
      <c r="B398" s="13" t="s">
        <v>104</v>
      </c>
      <c r="C398" s="13" t="s">
        <v>105</v>
      </c>
      <c r="D398" s="31">
        <v>45747</v>
      </c>
      <c r="E398" s="31">
        <v>45870</v>
      </c>
      <c r="F398" s="31">
        <v>45900</v>
      </c>
      <c r="G398" s="13">
        <v>3786879</v>
      </c>
      <c r="H398" s="13" t="s">
        <v>1180</v>
      </c>
      <c r="J398" s="13" t="s">
        <v>260</v>
      </c>
      <c r="K398" s="13">
        <v>5316</v>
      </c>
      <c r="L398" s="13">
        <v>320</v>
      </c>
      <c r="M398" s="13">
        <v>1</v>
      </c>
      <c r="N398" s="13" t="s">
        <v>404</v>
      </c>
      <c r="O398" s="13" t="s">
        <v>405</v>
      </c>
      <c r="P398" s="13">
        <v>10150</v>
      </c>
      <c r="R398" s="13" t="s">
        <v>110</v>
      </c>
      <c r="S398" s="13" t="s">
        <v>406</v>
      </c>
      <c r="T398" s="13" t="s">
        <v>263</v>
      </c>
      <c r="U398" s="13" t="s">
        <v>125</v>
      </c>
      <c r="V398" s="13">
        <v>-100</v>
      </c>
      <c r="W398" s="44">
        <f>IF($AX398="Cancelled","",IFERROR(((V398+INDEX(Variables!$B$6:$D$6,IFERROR(MATCH(IF($B398="Robusta","Robusta",(IF($B398="","Arabica",$B398))&amp;" - "&amp;(IF($C398="","Commercial",$C398))),Variables!$B$1:$D$1,0),1)))*22.0462)*(L398/16.67),""))</f>
        <v>80747.017828434313</v>
      </c>
      <c r="X398" s="55" t="s">
        <v>37</v>
      </c>
      <c r="Y398" s="13" t="str">
        <f>IF($AX398="Cancelled","",IF(X398="","",IFERROR(IF(INDEX(Variables!$B$38:$B$47,MATCH(X398,Variables!$A$38:$A$47,0))="Yes","Yes","No"),"No")))</f>
        <v>Yes</v>
      </c>
      <c r="Z398" s="58">
        <v>45839</v>
      </c>
      <c r="AB398" s="31" t="s">
        <v>42</v>
      </c>
      <c r="AC398" s="13" t="str">
        <f t="shared" si="18"/>
        <v/>
      </c>
      <c r="AF398" s="71">
        <f>AJ398-7</f>
        <v>45869</v>
      </c>
      <c r="AG398" s="37">
        <f>IF($AX398="Cancelled","",IFERROR(IF(F398="","",F398-Variables!$B$13),""))</f>
        <v>45885</v>
      </c>
      <c r="AH398" s="13" t="str">
        <f>IF($AX398="Cancelled","",IFERROR(IF(AB398="","",(AVERAGE(E398:F398)-AB398)-Variables!$B$14),""))</f>
        <v/>
      </c>
      <c r="AJ398" s="47">
        <v>45876</v>
      </c>
      <c r="AK398" s="14" t="str">
        <f>IF($AX398="Cancelled","",IFERROR(IF(AJ398="","",IF(AND(AB398="",AF398=""),"",IF(AF398&gt;AB398,AF398+Variables!$B$15+Variables!$B$16+Variables!$B$17-AJ398,AB398+Variables!$B$16+Variables!$B$17-AJ398))),""))</f>
        <v/>
      </c>
      <c r="AL398" s="48" t="s">
        <v>350</v>
      </c>
      <c r="AM398" s="13" t="s">
        <v>168</v>
      </c>
      <c r="AN398" s="13" t="s">
        <v>1096</v>
      </c>
      <c r="AP398" s="31">
        <v>45898</v>
      </c>
      <c r="AR398" s="13" t="s">
        <v>1181</v>
      </c>
      <c r="AS398" s="31">
        <v>45898</v>
      </c>
      <c r="AU398" s="31">
        <v>45901</v>
      </c>
      <c r="AV398" s="13" t="s">
        <v>865</v>
      </c>
      <c r="AW398" s="31">
        <v>45902</v>
      </c>
      <c r="AX398" s="13" t="str">
        <f>IF(ISNUMBER(SEARCH("cancel",#REF!)),"Cancelled",IF(AND(AS398&lt;&gt;"",AU398&lt;&gt;"",AW398&lt;&gt;""),"Closed","Open"))</f>
        <v>Closed</v>
      </c>
      <c r="AY398" s="15" t="str">
        <f t="shared" si="19"/>
        <v>All dates received</v>
      </c>
      <c r="BD398" s="13">
        <f>IF($AX398="Cancelled","",IFERROR(IF(OR(AS398="",AJ398=""),"",(AJ398+Variables!$B$18-AS398)),""))</f>
        <v>-7</v>
      </c>
      <c r="BE398" s="13">
        <f>IF($AX398="Cancelled","",IFERROR(IF(OR(AW398="",AS398=""),"",(AS398+Variables!$B$19)-AW398),""))</f>
        <v>1</v>
      </c>
      <c r="BF398" s="44">
        <f>IF($AX398="Cancelled","",IFERROR(W398*INDEX(Variables!$B$7:$D$7,IFERROR(MATCH(IF($B398="Robusta","Robusta",(IF($B398="","Arabica",$B398))&amp;" - "&amp;(IF($C398="","Commercial",$C398))),Variables!$B$1:$D$1,0),1))*(BE398/365),""))</f>
        <v>14.265055761689501</v>
      </c>
      <c r="BG398" s="44" t="str">
        <f>IF($AX398="Cancelled","",IFERROR((W398*INDEX(Variables!$B$7:$D$7,IFERROR(MATCH(IF($B398="Robusta","Robusta",(IF($B398="","Arabica",$B398))&amp;" - "&amp;(IF($C398="","Commercial",$C398))),Variables!$B$1:$D$1,0),1))*IFERROR(IF(AB398="","",(AVERAGE(E398:F398)-AB398)-Variables!$B$14),"")/365)+(L398/16.67*INDEX(Variables!$B$8:$D$8,IFERROR(MATCH(IF($B398="Robusta","Robusta",(IF($B398="","Arabica",$B398))&amp;" - "&amp;(IF($C398="","Commercial",$C398))),Variables!$B$1:$D$1,0),1))*IFERROR(IF(AB398="","",(AVERAGE(E398:F398)-AB398)-Variables!$B$14),""))+(W398*INDEX(Variables!$B$9:$D$9,IFERROR(MATCH(IF($B398="Robusta","Robusta",(IF($B398="","Arabica",$B398))&amp;" - "&amp;(IF($C398="","Commercial",$C398))),Variables!$B$1:$D$1,0),1))*IFERROR(IF(AB398="","",(AVERAGE(E398:F398)-AB398)-Variables!$B$14),"")/365),""))</f>
        <v/>
      </c>
      <c r="BH398" s="44" t="str">
        <f>IF($AX398="Cancelled","",IFERROR((W398*INDEX(Variables!$B$7:$D$7,IFERROR(MATCH(IF($B398="Robusta","Robusta",(IF($B398="","Arabica",$B398))&amp;" - "&amp;(IF($C398="","Commercial",$C398))),Variables!$B$1:$D$1,0),1))*AK398/365)+(L398/16.67*INDEX(Variables!$B$8:$D$8,IFERROR(MATCH(IF($B398="Robusta","Robusta",(IF($B398="","Arabica",$B398))&amp;" - "&amp;(IF($C398="","Commercial",$C398))),Variables!$B$1:$D$1,0),1))*AK398)+(W398*INDEX(Variables!$B$9:$D$9,IFERROR(MATCH(IF($B398="Robusta","Robusta",(IF($B398="","Arabica",$B398))&amp;" - "&amp;(IF($C398="","Commercial",$C398))),Variables!$B$1:$D$1,0),1))*AK398/365),""))</f>
        <v/>
      </c>
      <c r="BI398" s="44">
        <f>IF($AX398="Cancelled","",IFERROR((W398*INDEX(Variables!$B$7:$D$7,IFERROR(MATCH(IF($B398="Robusta","Robusta",(IF($B398="","Arabica",$B398))&amp;" - "&amp;(IF($C398="","Commercial",$C398))),Variables!$B$1:$D$1,0),1))*BD398/365)+(L398/16.67*INDEX(Variables!$B$8:$D$8,IFERROR(MATCH(IF($B398="Robusta","Robusta",(IF($B398="","Arabica",$B398))&amp;" - "&amp;(IF($C398="","Commercial",$C398))),Variables!$B$1:$D$1,0),1))*BD398)+(W398*INDEX(Variables!$B$9:$D$9,IFERROR(MATCH(IF($B398="Robusta","Robusta",(IF($B398="","Arabica",$B398))&amp;" - "&amp;(IF($C398="","Commercial",$C398))),Variables!$B$1:$D$1,0),1))*BD398/365),""))</f>
        <v>-213.14271902071812</v>
      </c>
      <c r="BJ398" s="44">
        <f t="shared" si="20"/>
        <v>2</v>
      </c>
      <c r="BK398" s="44">
        <f>IF($AX398="Cancelled","",IFERROR(IF(BJ398="","",(W398*INDEX(Variables!$B$7:$D$7,IFERROR(MATCH(IF($B398="Robusta","Robusta",(IF($B398="","Arabica",$B398))&amp;" - "&amp;(IF($C398="","Commercial",$C398))),Variables!$B$1:$D$1,0),1))*(BJ398/365))+(W398*INDEX(Variables!$B$9:$D$9,IFERROR(MATCH(IF($B398="Robusta","Robusta",(IF($B398="","Arabica",$B398))&amp;" - "&amp;(IF($C398="","Commercial",$C398))),Variables!$B$1:$D$1,0),1))*(BJ398/365))+(INDEX(Variables!$B$8:$D$8,IFERROR(MATCH(IF($B398="Robusta","Robusta",(IF($B398="","Arabica",$B398))&amp;" - "&amp;(IF($C398="","Commercial",$C398))),Variables!$B$1:$D$1,0),1))*L398/16.67)),""))</f>
        <v>44.897919720205181</v>
      </c>
    </row>
    <row r="399" spans="1:63">
      <c r="A399" s="13" t="s">
        <v>103</v>
      </c>
      <c r="B399" s="13" t="s">
        <v>104</v>
      </c>
      <c r="C399" s="13" t="s">
        <v>105</v>
      </c>
      <c r="D399" s="31">
        <v>45747</v>
      </c>
      <c r="E399" s="31">
        <v>45901</v>
      </c>
      <c r="F399" s="31">
        <v>45930</v>
      </c>
      <c r="G399" s="13">
        <v>3786880</v>
      </c>
      <c r="H399" s="13" t="s">
        <v>1182</v>
      </c>
      <c r="J399" s="13" t="s">
        <v>260</v>
      </c>
      <c r="K399" s="13">
        <v>5317</v>
      </c>
      <c r="L399" s="13">
        <v>320</v>
      </c>
      <c r="M399" s="13">
        <v>1</v>
      </c>
      <c r="N399" s="13" t="s">
        <v>404</v>
      </c>
      <c r="O399" s="13" t="s">
        <v>405</v>
      </c>
      <c r="P399" s="13">
        <v>10150</v>
      </c>
      <c r="R399" s="13" t="s">
        <v>110</v>
      </c>
      <c r="S399" s="13" t="s">
        <v>262</v>
      </c>
      <c r="T399" s="13" t="s">
        <v>263</v>
      </c>
      <c r="U399" s="13" t="s">
        <v>125</v>
      </c>
      <c r="V399" s="13">
        <v>-100</v>
      </c>
      <c r="W399" s="44">
        <f>IF($AX399="Cancelled","",IFERROR(((V399+INDEX(Variables!$B$6:$D$6,IFERROR(MATCH(IF($B399="Robusta","Robusta",(IF($B399="","Arabica",$B399))&amp;" - "&amp;(IF($C399="","Commercial",$C399))),Variables!$B$1:$D$1,0),1)))*22.0462)*(L399/16.67),""))</f>
        <v>80747.017828434313</v>
      </c>
      <c r="X399" s="55" t="s">
        <v>37</v>
      </c>
      <c r="Y399" s="13" t="str">
        <f>IF($AX399="Cancelled","",IF(X399="","",IFERROR(IF(INDEX(Variables!$B$38:$B$47,MATCH(X399,Variables!$A$38:$A$47,0))="Yes","Yes","No"),"No")))</f>
        <v>Yes</v>
      </c>
      <c r="Z399" s="58">
        <v>45861</v>
      </c>
      <c r="AB399" s="31">
        <v>45880</v>
      </c>
      <c r="AC399" s="13" t="str">
        <f t="shared" si="18"/>
        <v>Approved</v>
      </c>
      <c r="AF399" s="71">
        <f>AJ399-7</f>
        <v>45877</v>
      </c>
      <c r="AG399" s="35">
        <f>IF($AX399="Cancelled","",IFERROR(IF(F399="","",F399-Variables!$B$13),""))</f>
        <v>45915</v>
      </c>
      <c r="AH399" s="13">
        <f>IF($AX399="Cancelled","",IFERROR(IF(AB399="","",(AVERAGE(E399:F399)-AB399)-Variables!$B$14),""))</f>
        <v>5.5</v>
      </c>
      <c r="AJ399" s="47">
        <v>45884</v>
      </c>
      <c r="AK399" s="14">
        <f>IF($AX399="Cancelled","",IFERROR(IF(AJ399="","",IF(AND(AB399="",AF399=""),"",IF(AF399&gt;AB399,AF399+Variables!$B$15+Variables!$B$16+Variables!$B$17-AJ399,AB399+Variables!$B$16+Variables!$B$17-AJ399))),""))</f>
        <v>4</v>
      </c>
      <c r="AL399" s="48" t="s">
        <v>114</v>
      </c>
      <c r="AM399" s="13" t="s">
        <v>168</v>
      </c>
      <c r="AN399" s="13" t="s">
        <v>784</v>
      </c>
      <c r="AP399" s="31">
        <v>45900</v>
      </c>
      <c r="AR399" s="13" t="s">
        <v>1183</v>
      </c>
      <c r="AS399" s="31">
        <v>45900</v>
      </c>
      <c r="AU399" s="31">
        <v>45903</v>
      </c>
      <c r="AV399" s="13" t="s">
        <v>865</v>
      </c>
      <c r="AW399" s="31">
        <v>45905</v>
      </c>
      <c r="AX399" s="13" t="str">
        <f>IF(ISNUMBER(SEARCH("cancel",#REF!)),"Cancelled",IF(AND(AS399&lt;&gt;"",AU399&lt;&gt;"",AW399&lt;&gt;""),"Closed","Open"))</f>
        <v>Closed</v>
      </c>
      <c r="AY399" s="15" t="str">
        <f t="shared" si="19"/>
        <v>All dates received</v>
      </c>
      <c r="BD399" s="13">
        <f>IF($AX399="Cancelled","",IFERROR(IF(OR(AS399="",AJ399=""),"",(AJ399+Variables!$B$18-AS399)),""))</f>
        <v>-1</v>
      </c>
      <c r="BE399" s="13">
        <f>IF($AX399="Cancelled","",IFERROR(IF(OR(AW399="",AS399=""),"",(AS399+Variables!$B$19)-AW399),""))</f>
        <v>0</v>
      </c>
      <c r="BF399" s="44">
        <f>IF($AX399="Cancelled","",IFERROR(W399*INDEX(Variables!$B$7:$D$7,IFERROR(MATCH(IF($B399="Robusta","Robusta",(IF($B399="","Arabica",$B399))&amp;" - "&amp;(IF($C399="","Commercial",$C399))),Variables!$B$1:$D$1,0),1))*(BE399/365),""))</f>
        <v>0</v>
      </c>
      <c r="BG399" s="44">
        <f>IF($AX399="Cancelled","",IFERROR((W399*INDEX(Variables!$B$7:$D$7,IFERROR(MATCH(IF($B399="Robusta","Robusta",(IF($B399="","Arabica",$B399))&amp;" - "&amp;(IF($C399="","Commercial",$C399))),Variables!$B$1:$D$1,0),1))*IFERROR(IF(AB399="","",(AVERAGE(E399:F399)-AB399)-Variables!$B$14),"")/365)+(L399/16.67*INDEX(Variables!$B$8:$D$8,IFERROR(MATCH(IF($B399="Robusta","Robusta",(IF($B399="","Arabica",$B399))&amp;" - "&amp;(IF($C399="","Commercial",$C399))),Variables!$B$1:$D$1,0),1))*IFERROR(IF(AB399="","",(AVERAGE(E399:F399)-AB399)-Variables!$B$14),""))+(W399*INDEX(Variables!$B$9:$D$9,IFERROR(MATCH(IF($B399="Robusta","Robusta",(IF($B399="","Arabica",$B399))&amp;" - "&amp;(IF($C399="","Commercial",$C399))),Variables!$B$1:$D$1,0),1))*IFERROR(IF(AB399="","",(AVERAGE(E399:F399)-AB399)-Variables!$B$14),"")/365),""))</f>
        <v>167.46927923056424</v>
      </c>
      <c r="BH399" s="44">
        <f>IF($AX399="Cancelled","",IFERROR((W399*INDEX(Variables!$B$7:$D$7,IFERROR(MATCH(IF($B399="Robusta","Robusta",(IF($B399="","Arabica",$B399))&amp;" - "&amp;(IF($C399="","Commercial",$C399))),Variables!$B$1:$D$1,0),1))*AK399/365)+(L399/16.67*INDEX(Variables!$B$8:$D$8,IFERROR(MATCH(IF($B399="Robusta","Robusta",(IF($B399="","Arabica",$B399))&amp;" - "&amp;(IF($C399="","Commercial",$C399))),Variables!$B$1:$D$1,0),1))*AK399)+(W399*INDEX(Variables!$B$9:$D$9,IFERROR(MATCH(IF($B399="Robusta","Robusta",(IF($B399="","Arabica",$B399))&amp;" - "&amp;(IF($C399="","Commercial",$C399))),Variables!$B$1:$D$1,0),1))*AK399/365),""))</f>
        <v>121.79583944041036</v>
      </c>
      <c r="BI399" s="44">
        <f>IF($AX399="Cancelled","",IFERROR((W399*INDEX(Variables!$B$7:$D$7,IFERROR(MATCH(IF($B399="Robusta","Robusta",(IF($B399="","Arabica",$B399))&amp;" - "&amp;(IF($C399="","Commercial",$C399))),Variables!$B$1:$D$1,0),1))*BD399/365)+(L399/16.67*INDEX(Variables!$B$8:$D$8,IFERROR(MATCH(IF($B399="Robusta","Robusta",(IF($B399="","Arabica",$B399))&amp;" - "&amp;(IF($C399="","Commercial",$C399))),Variables!$B$1:$D$1,0),1))*BD399)+(W399*INDEX(Variables!$B$9:$D$9,IFERROR(MATCH(IF($B399="Robusta","Robusta",(IF($B399="","Arabica",$B399))&amp;" - "&amp;(IF($C399="","Commercial",$C399))),Variables!$B$1:$D$1,0),1))*BD399/365),""))</f>
        <v>-30.44895986010259</v>
      </c>
      <c r="BJ399" s="44">
        <f t="shared" si="20"/>
        <v>30</v>
      </c>
      <c r="BK399" s="44">
        <f>IF($AX399="Cancelled","",IFERROR(IF(BJ399="","",(W399*INDEX(Variables!$B$7:$D$7,IFERROR(MATCH(IF($B399="Robusta","Robusta",(IF($B399="","Arabica",$B399))&amp;" - "&amp;(IF($C399="","Commercial",$C399))),Variables!$B$1:$D$1,0),1))*(BJ399/365))+(W399*INDEX(Variables!$B$9:$D$9,IFERROR(MATCH(IF($B399="Robusta","Robusta",(IF($B399="","Arabica",$B399))&amp;" - "&amp;(IF($C399="","Commercial",$C399))),Variables!$B$1:$D$1,0),1))*(BJ399/365))+(INDEX(Variables!$B$8:$D$8,IFERROR(MATCH(IF($B399="Robusta","Robusta",(IF($B399="","Arabica",$B399))&amp;" - "&amp;(IF($C399="","Commercial",$C399))),Variables!$B$1:$D$1,0),1))*L399/16.67)),""))</f>
        <v>449.46879580307763</v>
      </c>
    </row>
    <row r="400" spans="1:63">
      <c r="A400" s="13" t="s">
        <v>103</v>
      </c>
      <c r="B400" s="13" t="s">
        <v>104</v>
      </c>
      <c r="C400" s="13" t="s">
        <v>292</v>
      </c>
      <c r="D400" s="31">
        <v>45747</v>
      </c>
      <c r="E400" s="31">
        <v>45748</v>
      </c>
      <c r="F400" s="31">
        <v>45777</v>
      </c>
      <c r="G400" s="13">
        <v>3786881</v>
      </c>
      <c r="J400" s="13" t="s">
        <v>501</v>
      </c>
      <c r="K400" s="13" t="s">
        <v>1184</v>
      </c>
      <c r="L400" s="13">
        <v>30</v>
      </c>
      <c r="M400" s="13">
        <v>0</v>
      </c>
      <c r="N400" s="13" t="s">
        <v>1185</v>
      </c>
      <c r="O400" s="13" t="s">
        <v>304</v>
      </c>
      <c r="P400" s="13">
        <v>10010</v>
      </c>
      <c r="R400" s="13" t="s">
        <v>239</v>
      </c>
      <c r="S400" s="13" t="s">
        <v>437</v>
      </c>
      <c r="T400" s="13" t="s">
        <v>438</v>
      </c>
      <c r="U400" s="13" t="s">
        <v>182</v>
      </c>
      <c r="V400" s="13">
        <v>132</v>
      </c>
      <c r="W400" s="44">
        <f>IF($AX400="Cancelled","",IFERROR(((V400+INDEX(Variables!$B$6:$D$6,IFERROR(MATCH(IF($B400="Robusta","Robusta",(IF($B400="","Arabica",$B400))&amp;" - "&amp;(IF($C400="","Commercial",$C400))),Variables!$B$1:$D$1,0),1)))*22.0462)*(L400/16.67),""))</f>
        <v>16774.685110977804</v>
      </c>
      <c r="X400" s="55" t="s">
        <v>39</v>
      </c>
      <c r="Y400" s="13" t="str">
        <f>IF($AX400="Cancelled","",IF(X400="","",IFERROR(IF(INDEX(Variables!$B$38:$B$47,MATCH(X400,Variables!$A$38:$A$47,0))="Yes","Yes","No"),"No")))</f>
        <v>No</v>
      </c>
      <c r="Z400" s="31"/>
      <c r="AB400" s="31">
        <v>45731.875</v>
      </c>
      <c r="AC400" s="13" t="str">
        <f t="shared" si="18"/>
        <v>Approved</v>
      </c>
      <c r="AF400" s="71">
        <f>AJ400-7</f>
        <v>45765</v>
      </c>
      <c r="AG400" s="31">
        <f>IF($AX400="Cancelled","",IFERROR(IF(F400="","",F400-Variables!$B$13),""))</f>
        <v>45762</v>
      </c>
      <c r="AH400" s="13">
        <f>IF($AX400="Cancelled","",IFERROR(IF(AB400="","",(AVERAGE(E400:F400)-AB400)-Variables!$B$14),""))</f>
        <v>0.625</v>
      </c>
      <c r="AJ400" s="47">
        <v>45772</v>
      </c>
      <c r="AK400" s="14">
        <f>IF($AX400="Cancelled","",IFERROR(IF(AJ400="","",IF(AND(AB400="",AF400=""),"",IF(AF400&gt;AB400,AF400+Variables!$B$15+Variables!$B$16+Variables!$B$17-AJ400,AB400+Variables!$B$16+Variables!$B$17-AJ400))),""))</f>
        <v>8</v>
      </c>
      <c r="AL400" s="48" t="s">
        <v>114</v>
      </c>
      <c r="AM400" s="13" t="s">
        <v>3243</v>
      </c>
      <c r="AN400" s="13" t="s">
        <v>195</v>
      </c>
      <c r="AP400" s="31">
        <v>45781</v>
      </c>
      <c r="AR400" s="13" t="s">
        <v>3260</v>
      </c>
      <c r="AS400" s="31">
        <v>45784</v>
      </c>
      <c r="AU400" s="31">
        <v>45793</v>
      </c>
      <c r="AV400" s="13" t="s">
        <v>3272</v>
      </c>
      <c r="AW400" s="31">
        <v>45797</v>
      </c>
      <c r="AX400" s="13" t="str">
        <f>IF(ISNUMBER(SEARCH("cancel",#REF!)),"Cancelled",IF(AND(AS400&lt;&gt;"",AU400&lt;&gt;"",AW400&lt;&gt;""),"Closed","Open"))</f>
        <v>Closed</v>
      </c>
      <c r="AY400" s="15" t="str">
        <f t="shared" si="19"/>
        <v>All dates received</v>
      </c>
      <c r="BD400" s="13">
        <f>IF($AX400="Cancelled","",IFERROR(IF(OR(AS400="",AJ400=""),"",(AJ400+Variables!$B$18-AS400)),""))</f>
        <v>3</v>
      </c>
      <c r="BE400" s="13">
        <f>IF($AX400="Cancelled","",IFERROR(IF(OR(AW400="",AS400=""),"",(AS400+Variables!$B$19)-AW400),""))</f>
        <v>-8</v>
      </c>
      <c r="BF400" s="44">
        <f>IF($AX400="Cancelled","",IFERROR(W400*INDEX(Variables!$B$7:$D$7,IFERROR(MATCH(IF($B400="Robusta","Robusta",(IF($B400="","Arabica",$B400))&amp;" - "&amp;(IF($C400="","Commercial",$C400))),Variables!$B$1:$D$1,0),1))*(BE400/365),""))</f>
        <v>-23.70780493727327</v>
      </c>
      <c r="BG400" s="44">
        <f>IF($AX400="Cancelled","",IFERROR((W400*INDEX(Variables!$B$7:$D$7,IFERROR(MATCH(IF($B400="Robusta","Robusta",(IF($B400="","Arabica",$B400))&amp;" - "&amp;(IF($C400="","Commercial",$C400))),Variables!$B$1:$D$1,0),1))*IFERROR(IF(AB400="","",(AVERAGE(E400:F400)-AB400)-Variables!$B$14),"")/365)+(L400/16.67*INDEX(Variables!$B$8:$D$8,IFERROR(MATCH(IF($B400="Robusta","Robusta",(IF($B400="","Arabica",$B400))&amp;" - "&amp;(IF($C400="","Commercial",$C400))),Variables!$B$1:$D$1,0),1))*IFERROR(IF(AB400="","",(AVERAGE(E400:F400)-AB400)-Variables!$B$14),""))+(W400*INDEX(Variables!$B$9:$D$9,IFERROR(MATCH(IF($B400="Robusta","Robusta",(IF($B400="","Arabica",$B400))&amp;" - "&amp;(IF($C400="","Commercial",$C400))),Variables!$B$1:$D$1,0),1))*IFERROR(IF(AB400="","",(AVERAGE(E400:F400)-AB400)-Variables!$B$14),"")/365),""))</f>
        <v>2.8135503356093303</v>
      </c>
      <c r="BH400" s="44">
        <f>IF($AX400="Cancelled","",IFERROR((W400*INDEX(Variables!$B$7:$D$7,IFERROR(MATCH(IF($B400="Robusta","Robusta",(IF($B400="","Arabica",$B400))&amp;" - "&amp;(IF($C400="","Commercial",$C400))),Variables!$B$1:$D$1,0),1))*AK400/365)+(L400/16.67*INDEX(Variables!$B$8:$D$8,IFERROR(MATCH(IF($B400="Robusta","Robusta",(IF($B400="","Arabica",$B400))&amp;" - "&amp;(IF($C400="","Commercial",$C400))),Variables!$B$1:$D$1,0),1))*AK400)+(W400*INDEX(Variables!$B$9:$D$9,IFERROR(MATCH(IF($B400="Robusta","Robusta",(IF($B400="","Arabica",$B400))&amp;" - "&amp;(IF($C400="","Commercial",$C400))),Variables!$B$1:$D$1,0),1))*AK400/365),""))</f>
        <v>36.013444295799424</v>
      </c>
      <c r="BI400" s="44">
        <f>IF($AX400="Cancelled","",IFERROR((W400*INDEX(Variables!$B$7:$D$7,IFERROR(MATCH(IF($B400="Robusta","Robusta",(IF($B400="","Arabica",$B400))&amp;" - "&amp;(IF($C400="","Commercial",$C400))),Variables!$B$1:$D$1,0),1))*BD400/365)+(L400/16.67*INDEX(Variables!$B$8:$D$8,IFERROR(MATCH(IF($B400="Robusta","Robusta",(IF($B400="","Arabica",$B400))&amp;" - "&amp;(IF($C400="","Commercial",$C400))),Variables!$B$1:$D$1,0),1))*BD400)+(W400*INDEX(Variables!$B$9:$D$9,IFERROR(MATCH(IF($B400="Robusta","Robusta",(IF($B400="","Arabica",$B400))&amp;" - "&amp;(IF($C400="","Commercial",$C400))),Variables!$B$1:$D$1,0),1))*BD400/365),""))</f>
        <v>13.505041610924783</v>
      </c>
      <c r="BJ400" s="44">
        <f t="shared" si="20"/>
        <v>-7</v>
      </c>
      <c r="BK400" s="44">
        <f>IF($AX400="Cancelled","",IFERROR(IF(BJ400="","",(W400*INDEX(Variables!$B$7:$D$7,IFERROR(MATCH(IF($B400="Robusta","Robusta",(IF($B400="","Arabica",$B400))&amp;" - "&amp;(IF($C400="","Commercial",$C400))),Variables!$B$1:$D$1,0),1))*(BJ400/365))+(W400*INDEX(Variables!$B$9:$D$9,IFERROR(MATCH(IF($B400="Robusta","Robusta",(IF($B400="","Arabica",$B400))&amp;" - "&amp;(IF($C400="","Commercial",$C400))),Variables!$B$1:$D$1,0),1))*(BJ400/365))+(INDEX(Variables!$B$8:$D$8,IFERROR(MATCH(IF($B400="Robusta","Robusta",(IF($B400="","Arabica",$B400))&amp;" - "&amp;(IF($C400="","Commercial",$C400))),Variables!$B$1:$D$1,0),1))*L400/16.67)),""))</f>
        <v>-19.511763758824497</v>
      </c>
    </row>
    <row r="401" spans="1:63">
      <c r="A401" s="13" t="s">
        <v>103</v>
      </c>
      <c r="B401" s="13" t="s">
        <v>104</v>
      </c>
      <c r="C401" s="13" t="s">
        <v>105</v>
      </c>
      <c r="D401" s="31">
        <v>45748</v>
      </c>
      <c r="E401" s="31">
        <v>45778</v>
      </c>
      <c r="F401" s="31">
        <v>45808</v>
      </c>
      <c r="G401" s="13">
        <v>3786882</v>
      </c>
      <c r="H401" s="13">
        <v>93715</v>
      </c>
      <c r="J401" s="13" t="s">
        <v>118</v>
      </c>
      <c r="K401" s="13">
        <v>5244</v>
      </c>
      <c r="L401" s="13">
        <v>320</v>
      </c>
      <c r="M401" s="13">
        <v>1</v>
      </c>
      <c r="N401" s="13" t="s">
        <v>456</v>
      </c>
      <c r="O401" s="13" t="s">
        <v>456</v>
      </c>
      <c r="P401" s="13">
        <v>10140</v>
      </c>
      <c r="R401" s="13" t="s">
        <v>110</v>
      </c>
      <c r="S401" s="13" t="s">
        <v>154</v>
      </c>
      <c r="T401" s="13" t="s">
        <v>155</v>
      </c>
      <c r="U401" s="13" t="s">
        <v>125</v>
      </c>
      <c r="V401" s="13">
        <v>-93.7</v>
      </c>
      <c r="W401" s="44">
        <f>IF($AX401="Cancelled","",IFERROR(((V401+INDEX(Variables!$B$6:$D$6,IFERROR(MATCH(IF($B401="Robusta","Robusta",(IF($B401="","Arabica",$B401))&amp;" - "&amp;(IF($C401="","Commercial",$C401))),Variables!$B$1:$D$1,0),1)))*22.0462)*(L401/16.67),""))</f>
        <v>83413.192945410905</v>
      </c>
      <c r="X401" s="55" t="s">
        <v>37</v>
      </c>
      <c r="Y401" s="13" t="str">
        <f>IF($AX401="Cancelled","",IF(X401="","",IFERROR(IF(INDEX(Variables!$B$38:$B$47,MATCH(X401,Variables!$A$38:$A$47,0))="Yes","Yes","No"),"No")))</f>
        <v>Yes</v>
      </c>
      <c r="Z401" s="58">
        <v>45720</v>
      </c>
      <c r="AB401" s="31">
        <v>45757</v>
      </c>
      <c r="AC401" s="13" t="str">
        <f t="shared" si="18"/>
        <v>Approved</v>
      </c>
      <c r="AF401" s="71">
        <v>45770</v>
      </c>
      <c r="AG401" s="37">
        <f>IF($AX401="Cancelled","",IFERROR(IF(F401="","",F401-Variables!$B$13),""))</f>
        <v>45793</v>
      </c>
      <c r="AH401" s="13">
        <f>IF($AX401="Cancelled","",IFERROR(IF(AB401="","",(AVERAGE(E401:F401)-AB401)-Variables!$B$14),""))</f>
        <v>6</v>
      </c>
      <c r="AJ401" s="47">
        <v>45769</v>
      </c>
      <c r="AK401" s="14">
        <f>IF($AX401="Cancelled","",IFERROR(IF(AJ401="","",IF(AND(AB401="",AF401=""),"",IF(AF401&gt;AB401,AF401+Variables!$B$15+Variables!$B$16+Variables!$B$17-AJ401,AB401+Variables!$B$16+Variables!$B$17-AJ401))),""))</f>
        <v>16</v>
      </c>
      <c r="AL401" s="48" t="s">
        <v>114</v>
      </c>
      <c r="AM401" s="13" t="s">
        <v>115</v>
      </c>
      <c r="AN401" s="13" t="s">
        <v>915</v>
      </c>
      <c r="AP401" s="31">
        <v>45776</v>
      </c>
      <c r="AR401" s="13">
        <v>252613875</v>
      </c>
      <c r="AS401" s="31">
        <v>45776</v>
      </c>
      <c r="AU401" s="31">
        <v>45785</v>
      </c>
      <c r="AV401" s="13" t="s">
        <v>865</v>
      </c>
      <c r="AW401" s="31">
        <v>45785</v>
      </c>
      <c r="AX401" s="13" t="str">
        <f>IF(ISNUMBER(SEARCH("cancel",#REF!)),"Cancelled",IF(AND(AS401&lt;&gt;"",AU401&lt;&gt;"",AW401&lt;&gt;""),"Closed","Open"))</f>
        <v>Closed</v>
      </c>
      <c r="AY401" s="15" t="str">
        <f t="shared" si="19"/>
        <v>All dates received</v>
      </c>
      <c r="BD401" s="13">
        <f>IF($AX401="Cancelled","",IFERROR(IF(OR(AS401="",AJ401=""),"",(AJ401+Variables!$B$18-AS401)),""))</f>
        <v>8</v>
      </c>
      <c r="BE401" s="13">
        <f>IF($AX401="Cancelled","",IFERROR(IF(OR(AW401="",AS401=""),"",(AS401+Variables!$B$19)-AW401),""))</f>
        <v>-4</v>
      </c>
      <c r="BF401" s="44">
        <f>IF($AX401="Cancelled","",IFERROR(W401*INDEX(Variables!$B$7:$D$7,IFERROR(MATCH(IF($B401="Robusta","Robusta",(IF($B401="","Arabica",$B401))&amp;" - "&amp;(IF($C401="","Commercial",$C401))),Variables!$B$1:$D$1,0),1))*(BE401/365),""))</f>
        <v>-58.944287015283017</v>
      </c>
      <c r="BG401" s="44">
        <f>IF($AX401="Cancelled","",IFERROR((W401*INDEX(Variables!$B$7:$D$7,IFERROR(MATCH(IF($B401="Robusta","Robusta",(IF($B401="","Arabica",$B401))&amp;" - "&amp;(IF($C401="","Commercial",$C401))),Variables!$B$1:$D$1,0),1))*IFERROR(IF(AB401="","",(AVERAGE(E401:F401)-AB401)-Variables!$B$14),"")/365)+(L401/16.67*INDEX(Variables!$B$8:$D$8,IFERROR(MATCH(IF($B401="Robusta","Robusta",(IF($B401="","Arabica",$B401))&amp;" - "&amp;(IF($C401="","Commercial",$C401))),Variables!$B$1:$D$1,0),1))*IFERROR(IF(AB401="","",(AVERAGE(E401:F401)-AB401)-Variables!$B$14),""))+(W401*INDEX(Variables!$B$9:$D$9,IFERROR(MATCH(IF($B401="Robusta","Robusta",(IF($B401="","Arabica",$B401))&amp;" - "&amp;(IF($C401="","Commercial",$C401))),Variables!$B$1:$D$1,0),1))*IFERROR(IF(AB401="","",(AVERAGE(E401:F401)-AB401)-Variables!$B$14),"")/365),""))</f>
        <v>185.55628894422074</v>
      </c>
      <c r="BH401" s="44">
        <f>IF($AX401="Cancelled","",IFERROR((W401*INDEX(Variables!$B$7:$D$7,IFERROR(MATCH(IF($B401="Robusta","Robusta",(IF($B401="","Arabica",$B401))&amp;" - "&amp;(IF($C401="","Commercial",$C401))),Variables!$B$1:$D$1,0),1))*AK401/365)+(L401/16.67*INDEX(Variables!$B$8:$D$8,IFERROR(MATCH(IF($B401="Robusta","Robusta",(IF($B401="","Arabica",$B401))&amp;" - "&amp;(IF($C401="","Commercial",$C401))),Variables!$B$1:$D$1,0),1))*AK401)+(W401*INDEX(Variables!$B$9:$D$9,IFERROR(MATCH(IF($B401="Robusta","Robusta",(IF($B401="","Arabica",$B401))&amp;" - "&amp;(IF($C401="","Commercial",$C401))),Variables!$B$1:$D$1,0),1))*AK401/365),""))</f>
        <v>494.81677051792195</v>
      </c>
      <c r="BI401" s="44">
        <f>IF($AX401="Cancelled","",IFERROR((W401*INDEX(Variables!$B$7:$D$7,IFERROR(MATCH(IF($B401="Robusta","Robusta",(IF($B401="","Arabica",$B401))&amp;" - "&amp;(IF($C401="","Commercial",$C401))),Variables!$B$1:$D$1,0),1))*BD401/365)+(L401/16.67*INDEX(Variables!$B$8:$D$8,IFERROR(MATCH(IF($B401="Robusta","Robusta",(IF($B401="","Arabica",$B401))&amp;" - "&amp;(IF($C401="","Commercial",$C401))),Variables!$B$1:$D$1,0),1))*BD401)+(W401*INDEX(Variables!$B$9:$D$9,IFERROR(MATCH(IF($B401="Robusta","Robusta",(IF($B401="","Arabica",$B401))&amp;" - "&amp;(IF($C401="","Commercial",$C401))),Variables!$B$1:$D$1,0),1))*BD401/365),""))</f>
        <v>247.40838525896098</v>
      </c>
      <c r="BJ401" s="44">
        <f t="shared" si="20"/>
        <v>32</v>
      </c>
      <c r="BK401" s="44">
        <f>IF($AX401="Cancelled","",IFERROR(IF(BJ401="","",(W401*INDEX(Variables!$B$7:$D$7,IFERROR(MATCH(IF($B401="Robusta","Robusta",(IF($B401="","Arabica",$B401))&amp;" - "&amp;(IF($C401="","Commercial",$C401))),Variables!$B$1:$D$1,0),1))*(BJ401/365))+(W401*INDEX(Variables!$B$9:$D$9,IFERROR(MATCH(IF($B401="Robusta","Robusta",(IF($B401="","Arabica",$B401))&amp;" - "&amp;(IF($C401="","Commercial",$C401))),Variables!$B$1:$D$1,0),1))*(BJ401/365))+(INDEX(Variables!$B$8:$D$8,IFERROR(MATCH(IF($B401="Robusta","Robusta",(IF($B401="","Arabica",$B401))&amp;" - "&amp;(IF($C401="","Commercial",$C401))),Variables!$B$1:$D$1,0),1))*L401/16.67)),""))</f>
        <v>493.63354103584396</v>
      </c>
    </row>
    <row r="402" spans="1:63">
      <c r="A402" s="13" t="s">
        <v>103</v>
      </c>
      <c r="B402" s="13" t="s">
        <v>104</v>
      </c>
      <c r="C402" s="13" t="s">
        <v>105</v>
      </c>
      <c r="D402" s="31">
        <v>45748</v>
      </c>
      <c r="E402" s="31">
        <v>45778</v>
      </c>
      <c r="F402" s="31">
        <v>45791</v>
      </c>
      <c r="G402" s="13">
        <v>3786883</v>
      </c>
      <c r="H402" s="13">
        <v>93716</v>
      </c>
      <c r="J402" s="13" t="s">
        <v>118</v>
      </c>
      <c r="K402" s="13">
        <v>5264</v>
      </c>
      <c r="L402" s="13">
        <v>1080</v>
      </c>
      <c r="M402" s="13">
        <v>3</v>
      </c>
      <c r="N402" s="13" t="s">
        <v>1186</v>
      </c>
      <c r="O402" s="13" t="s">
        <v>1095</v>
      </c>
      <c r="P402" s="13">
        <v>10120</v>
      </c>
      <c r="R402" s="13" t="s">
        <v>122</v>
      </c>
      <c r="S402" s="13" t="s">
        <v>154</v>
      </c>
      <c r="T402" s="13" t="s">
        <v>155</v>
      </c>
      <c r="U402" s="13" t="s">
        <v>125</v>
      </c>
      <c r="V402" s="13">
        <v>-45</v>
      </c>
      <c r="W402" s="44">
        <f>IF($AX402="Cancelled","",IFERROR(((V402+INDEX(Variables!$B$6:$D$6,IFERROR(MATCH(IF($B402="Robusta","Robusta",(IF($B402="","Arabica",$B402))&amp;" - "&amp;(IF($C402="","Commercial",$C402))),Variables!$B$1:$D$1,0),1)))*22.0462)*(L402/16.67),""))</f>
        <v>351078.1305818836</v>
      </c>
      <c r="X402" s="55" t="s">
        <v>39</v>
      </c>
      <c r="Y402" s="13" t="str">
        <f>IF($AX402="Cancelled","",IF(X402="","",IFERROR(IF(INDEX(Variables!$B$38:$B$47,MATCH(X402,Variables!$A$38:$A$47,0))="Yes","Yes","No"),"No")))</f>
        <v>No</v>
      </c>
      <c r="Z402" s="31" t="s">
        <v>39</v>
      </c>
      <c r="AB402" s="31" t="s">
        <v>39</v>
      </c>
      <c r="AC402" s="13" t="str">
        <f t="shared" si="18"/>
        <v/>
      </c>
      <c r="AF402" s="71">
        <v>45786</v>
      </c>
      <c r="AG402" s="37">
        <f>IF($AX402="Cancelled","",IFERROR(IF(F402="","",F402-Variables!$B$13),""))</f>
        <v>45776</v>
      </c>
      <c r="AH402" s="13" t="str">
        <f>IF($AX402="Cancelled","",IFERROR(IF(AB402="","",(AVERAGE(E402:F402)-AB402)-Variables!$B$14),""))</f>
        <v/>
      </c>
      <c r="AJ402" s="47">
        <v>45785</v>
      </c>
      <c r="AK402" s="14" t="str">
        <f>IF($AX402="Cancelled","",IFERROR(IF(AJ402="","",IF(AND(AB402="",AF402=""),"",IF(AF402&gt;AB402,AF402+Variables!$B$15+Variables!$B$16+Variables!$B$17-AJ402,AB402+Variables!$B$16+Variables!$B$17-AJ402))),""))</f>
        <v/>
      </c>
      <c r="AL402" s="48" t="s">
        <v>114</v>
      </c>
      <c r="AM402" s="13" t="s">
        <v>115</v>
      </c>
      <c r="AN402" s="13" t="s">
        <v>510</v>
      </c>
      <c r="AP402" s="31">
        <v>45795</v>
      </c>
      <c r="AR402" s="13">
        <v>253467290</v>
      </c>
      <c r="AS402" s="31">
        <v>45795</v>
      </c>
      <c r="AU402" s="31">
        <v>45797</v>
      </c>
      <c r="AV402" s="13" t="s">
        <v>865</v>
      </c>
      <c r="AW402" s="31">
        <v>45797</v>
      </c>
      <c r="AX402" s="13" t="str">
        <f>IF(ISNUMBER(SEARCH("cancel",#REF!)),"Cancelled",IF(AND(AS402&lt;&gt;"",AU402&lt;&gt;"",AW402&lt;&gt;""),"Closed","Open"))</f>
        <v>Closed</v>
      </c>
      <c r="AY402" s="15" t="str">
        <f t="shared" si="19"/>
        <v>All dates received</v>
      </c>
      <c r="BD402" s="13">
        <f>IF($AX402="Cancelled","",IFERROR(IF(OR(AS402="",AJ402=""),"",(AJ402+Variables!$B$18-AS402)),""))</f>
        <v>5</v>
      </c>
      <c r="BE402" s="13">
        <f>IF($AX402="Cancelled","",IFERROR(IF(OR(AW402="",AS402=""),"",(AS402+Variables!$B$19)-AW402),""))</f>
        <v>3</v>
      </c>
      <c r="BF402" s="44">
        <f>IF($AX402="Cancelled","",IFERROR(W402*INDEX(Variables!$B$7:$D$7,IFERROR(MATCH(IF($B402="Robusta","Robusta",(IF($B402="","Arabica",$B402))&amp;" - "&amp;(IF($C402="","Commercial",$C402))),Variables!$B$1:$D$1,0),1))*(BE402/365),""))</f>
        <v>186.06813889156547</v>
      </c>
      <c r="BG402" s="44" t="str">
        <f>IF($AX402="Cancelled","",IFERROR((W402*INDEX(Variables!$B$7:$D$7,IFERROR(MATCH(IF($B402="Robusta","Robusta",(IF($B402="","Arabica",$B402))&amp;" - "&amp;(IF($C402="","Commercial",$C402))),Variables!$B$1:$D$1,0),1))*IFERROR(IF(AB402="","",(AVERAGE(E402:F402)-AB402)-Variables!$B$14),"")/365)+(L402/16.67*INDEX(Variables!$B$8:$D$8,IFERROR(MATCH(IF($B402="Robusta","Robusta",(IF($B402="","Arabica",$B402))&amp;" - "&amp;(IF($C402="","Commercial",$C402))),Variables!$B$1:$D$1,0),1))*IFERROR(IF(AB402="","",(AVERAGE(E402:F402)-AB402)-Variables!$B$14),""))+(W402*INDEX(Variables!$B$9:$D$9,IFERROR(MATCH(IF($B402="Robusta","Robusta",(IF($B402="","Arabica",$B402))&amp;" - "&amp;(IF($C402="","Commercial",$C402))),Variables!$B$1:$D$1,0),1))*IFERROR(IF(AB402="","",(AVERAGE(E402:F402)-AB402)-Variables!$B$14),"")/365),""))</f>
        <v/>
      </c>
      <c r="BH402" s="44" t="str">
        <f>IF($AX402="Cancelled","",IFERROR((W402*INDEX(Variables!$B$7:$D$7,IFERROR(MATCH(IF($B402="Robusta","Robusta",(IF($B402="","Arabica",$B402))&amp;" - "&amp;(IF($C402="","Commercial",$C402))),Variables!$B$1:$D$1,0),1))*AK402/365)+(L402/16.67*INDEX(Variables!$B$8:$D$8,IFERROR(MATCH(IF($B402="Robusta","Robusta",(IF($B402="","Arabica",$B402))&amp;" - "&amp;(IF($C402="","Commercial",$C402))),Variables!$B$1:$D$1,0),1))*AK402)+(W402*INDEX(Variables!$B$9:$D$9,IFERROR(MATCH(IF($B402="Robusta","Robusta",(IF($B402="","Arabica",$B402))&amp;" - "&amp;(IF($C402="","Commercial",$C402))),Variables!$B$1:$D$1,0),1))*AK402/365),""))</f>
        <v/>
      </c>
      <c r="BI402" s="44">
        <f>IF($AX402="Cancelled","",IFERROR((W402*INDEX(Variables!$B$7:$D$7,IFERROR(MATCH(IF($B402="Robusta","Robusta",(IF($B402="","Arabica",$B402))&amp;" - "&amp;(IF($C402="","Commercial",$C402))),Variables!$B$1:$D$1,0),1))*BD402/365)+(L402/16.67*INDEX(Variables!$B$8:$D$8,IFERROR(MATCH(IF($B402="Robusta","Robusta",(IF($B402="","Arabica",$B402))&amp;" - "&amp;(IF($C402="","Commercial",$C402))),Variables!$B$1:$D$1,0),1))*BD402)+(W402*INDEX(Variables!$B$9:$D$9,IFERROR(MATCH(IF($B402="Robusta","Robusta",(IF($B402="","Arabica",$B402))&amp;" - "&amp;(IF($C402="","Commercial",$C402))),Variables!$B$1:$D$1,0),1))*BD402/365),""))</f>
        <v>584.11152714739524</v>
      </c>
      <c r="BJ402" s="44">
        <f t="shared" si="20"/>
        <v>-4</v>
      </c>
      <c r="BK402" s="44">
        <f>IF($AX402="Cancelled","",IFERROR(IF(BJ402="","",(W402*INDEX(Variables!$B$7:$D$7,IFERROR(MATCH(IF($B402="Robusta","Robusta",(IF($B402="","Arabica",$B402))&amp;" - "&amp;(IF($C402="","Commercial",$C402))),Variables!$B$1:$D$1,0),1))*(BJ402/365))+(W402*INDEX(Variables!$B$9:$D$9,IFERROR(MATCH(IF($B402="Robusta","Robusta",(IF($B402="","Arabica",$B402))&amp;" - "&amp;(IF($C402="","Commercial",$C402))),Variables!$B$1:$D$1,0),1))*(BJ402/365))+(INDEX(Variables!$B$8:$D$8,IFERROR(MATCH(IF($B402="Robusta","Robusta",(IF($B402="","Arabica",$B402))&amp;" - "&amp;(IF($C402="","Commercial",$C402))),Variables!$B$1:$D$1,0),1))*L402/16.67)),""))</f>
        <v>-197.28922171791621</v>
      </c>
    </row>
    <row r="403" spans="1:63">
      <c r="A403" s="13" t="s">
        <v>103</v>
      </c>
      <c r="B403" s="13" t="s">
        <v>104</v>
      </c>
      <c r="C403" s="13" t="s">
        <v>292</v>
      </c>
      <c r="D403" s="31">
        <v>45749</v>
      </c>
      <c r="E403" s="31">
        <v>45778</v>
      </c>
      <c r="F403" s="31">
        <v>45808</v>
      </c>
      <c r="G403" s="13">
        <v>3786884</v>
      </c>
      <c r="J403" s="13" t="s">
        <v>506</v>
      </c>
      <c r="K403" s="13" t="s">
        <v>1187</v>
      </c>
      <c r="L403" s="13">
        <v>16</v>
      </c>
      <c r="M403" s="13">
        <v>0</v>
      </c>
      <c r="N403" s="13" t="s">
        <v>1188</v>
      </c>
      <c r="O403" s="13" t="s">
        <v>775</v>
      </c>
      <c r="P403" s="13">
        <v>10030</v>
      </c>
      <c r="R403" s="13" t="s">
        <v>239</v>
      </c>
      <c r="S403" s="13" t="s">
        <v>509</v>
      </c>
      <c r="T403" s="13" t="s">
        <v>329</v>
      </c>
      <c r="U403" s="13" t="s">
        <v>330</v>
      </c>
      <c r="V403" s="13">
        <v>53</v>
      </c>
      <c r="W403" s="44">
        <f>IF($AX403="Cancelled","",IFERROR(((V403+INDEX(Variables!$B$6:$D$6,IFERROR(MATCH(IF($B403="Robusta","Robusta",(IF($B403="","Arabica",$B403))&amp;" - "&amp;(IF($C403="","Commercial",$C403))),Variables!$B$1:$D$1,0),1)))*22.0462)*(L403/16.67),""))</f>
        <v>7274.8492477504487</v>
      </c>
      <c r="X403" s="55" t="s">
        <v>39</v>
      </c>
      <c r="Y403" s="13" t="str">
        <f>IF($AX403="Cancelled","",IF(X403="","",IFERROR(IF(INDEX(Variables!$B$38:$B$47,MATCH(X403,Variables!$A$38:$A$47,0))="Yes","Yes","No"),"No")))</f>
        <v>No</v>
      </c>
      <c r="Z403" s="31"/>
      <c r="AB403" s="31">
        <v>45731.875</v>
      </c>
      <c r="AC403" s="13" t="str">
        <f t="shared" si="18"/>
        <v>Approved</v>
      </c>
      <c r="AF403" s="71">
        <v>45791</v>
      </c>
      <c r="AG403" s="31">
        <f>IF($AX403="Cancelled","",IFERROR(IF(F403="","",F403-Variables!$B$13),""))</f>
        <v>45793</v>
      </c>
      <c r="AH403" s="13">
        <f>IF($AX403="Cancelled","",IFERROR(IF(AB403="","",(AVERAGE(E403:F403)-AB403)-Variables!$B$14),""))</f>
        <v>31.125</v>
      </c>
      <c r="AJ403" s="47">
        <v>45789</v>
      </c>
      <c r="AK403" s="14">
        <f>IF($AX403="Cancelled","",IFERROR(IF(AJ403="","",IF(AND(AB403="",AF403=""),"",IF(AF403&gt;AB403,AF403+Variables!$B$15+Variables!$B$16+Variables!$B$17-AJ403,AB403+Variables!$B$16+Variables!$B$17-AJ403))),""))</f>
        <v>17</v>
      </c>
      <c r="AL403" s="48" t="s">
        <v>114</v>
      </c>
      <c r="AM403" s="13" t="s">
        <v>115</v>
      </c>
      <c r="AN403" s="13" t="s">
        <v>281</v>
      </c>
      <c r="AP403" s="31">
        <v>45793</v>
      </c>
      <c r="AR403" s="13">
        <v>253467055</v>
      </c>
      <c r="AS403" s="31">
        <v>45798</v>
      </c>
      <c r="AU403" s="31">
        <v>45807</v>
      </c>
      <c r="AV403" s="13" t="s">
        <v>865</v>
      </c>
      <c r="AW403" s="31">
        <v>45812</v>
      </c>
      <c r="AX403" s="13" t="str">
        <f>IF(ISNUMBER(SEARCH("cancel",#REF!)),"Cancelled",IF(AND(AS403&lt;&gt;"",AU403&lt;&gt;"",AW403&lt;&gt;""),"Closed","Open"))</f>
        <v>Closed</v>
      </c>
      <c r="AY403" s="15" t="str">
        <f t="shared" si="19"/>
        <v>All dates received</v>
      </c>
      <c r="BD403" s="13">
        <f>IF($AX403="Cancelled","",IFERROR(IF(OR(AS403="",AJ403=""),"",(AJ403+Variables!$B$18-AS403)),""))</f>
        <v>6</v>
      </c>
      <c r="BE403" s="13">
        <f>IF($AX403="Cancelled","",IFERROR(IF(OR(AW403="",AS403=""),"",(AS403+Variables!$B$19)-AW403),""))</f>
        <v>-9</v>
      </c>
      <c r="BF403" s="44">
        <f>IF($AX403="Cancelled","",IFERROR(W403*INDEX(Variables!$B$7:$D$7,IFERROR(MATCH(IF($B403="Robusta","Robusta",(IF($B403="","Arabica",$B403))&amp;" - "&amp;(IF($C403="","Commercial",$C403))),Variables!$B$1:$D$1,0),1))*(BE403/365),""))</f>
        <v>-11.566807006766153</v>
      </c>
      <c r="BG403" s="44">
        <f>IF($AX403="Cancelled","",IFERROR((W403*INDEX(Variables!$B$7:$D$7,IFERROR(MATCH(IF($B403="Robusta","Robusta",(IF($B403="","Arabica",$B403))&amp;" - "&amp;(IF($C403="","Commercial",$C403))),Variables!$B$1:$D$1,0),1))*IFERROR(IF(AB403="","",(AVERAGE(E403:F403)-AB403)-Variables!$B$14),"")/365)+(L403/16.67*INDEX(Variables!$B$8:$D$8,IFERROR(MATCH(IF($B403="Robusta","Robusta",(IF($B403="","Arabica",$B403))&amp;" - "&amp;(IF($C403="","Commercial",$C403))),Variables!$B$1:$D$1,0),1))*IFERROR(IF(AB403="","",(AVERAGE(E403:F403)-AB403)-Variables!$B$14),""))+(W403*INDEX(Variables!$B$9:$D$9,IFERROR(MATCH(IF($B403="Robusta","Robusta",(IF($B403="","Arabica",$B403))&amp;" - "&amp;(IF($C403="","Commercial",$C403))),Variables!$B$1:$D$1,0),1))*IFERROR(IF(AB403="","",(AVERAGE(E403:F403)-AB403)-Variables!$B$14),"")/365),""))</f>
        <v>65.417575588833657</v>
      </c>
      <c r="BH403" s="44">
        <f>IF($AX403="Cancelled","",IFERROR((W403*INDEX(Variables!$B$7:$D$7,IFERROR(MATCH(IF($B403="Robusta","Robusta",(IF($B403="","Arabica",$B403))&amp;" - "&amp;(IF($C403="","Commercial",$C403))),Variables!$B$1:$D$1,0),1))*AK403/365)+(L403/16.67*INDEX(Variables!$B$8:$D$8,IFERROR(MATCH(IF($B403="Robusta","Robusta",(IF($B403="","Arabica",$B403))&amp;" - "&amp;(IF($C403="","Commercial",$C403))),Variables!$B$1:$D$1,0),1))*AK403)+(W403*INDEX(Variables!$B$9:$D$9,IFERROR(MATCH(IF($B403="Robusta","Robusta",(IF($B403="","Arabica",$B403))&amp;" - "&amp;(IF($C403="","Commercial",$C403))),Variables!$B$1:$D$1,0),1))*AK403/365),""))</f>
        <v>35.730081446109949</v>
      </c>
      <c r="BI403" s="44">
        <f>IF($AX403="Cancelled","",IFERROR((W403*INDEX(Variables!$B$7:$D$7,IFERROR(MATCH(IF($B403="Robusta","Robusta",(IF($B403="","Arabica",$B403))&amp;" - "&amp;(IF($C403="","Commercial",$C403))),Variables!$B$1:$D$1,0),1))*BD403/365)+(L403/16.67*INDEX(Variables!$B$8:$D$8,IFERROR(MATCH(IF($B403="Robusta","Robusta",(IF($B403="","Arabica",$B403))&amp;" - "&amp;(IF($C403="","Commercial",$C403))),Variables!$B$1:$D$1,0),1))*BD403)+(W403*INDEX(Variables!$B$9:$D$9,IFERROR(MATCH(IF($B403="Robusta","Robusta",(IF($B403="","Arabica",$B403))&amp;" - "&amp;(IF($C403="","Commercial",$C403))),Variables!$B$1:$D$1,0),1))*BD403/365),""))</f>
        <v>12.610616980979984</v>
      </c>
      <c r="BJ403" s="44">
        <f t="shared" si="20"/>
        <v>10</v>
      </c>
      <c r="BK403" s="44">
        <f>IF($AX403="Cancelled","",IFERROR(IF(BJ403="","",(W403*INDEX(Variables!$B$7:$D$7,IFERROR(MATCH(IF($B403="Robusta","Robusta",(IF($B403="","Arabica",$B403))&amp;" - "&amp;(IF($C403="","Commercial",$C403))),Variables!$B$1:$D$1,0),1))*(BJ403/365))+(W403*INDEX(Variables!$B$9:$D$9,IFERROR(MATCH(IF($B403="Robusta","Robusta",(IF($B403="","Arabica",$B403))&amp;" - "&amp;(IF($C403="","Commercial",$C403))),Variables!$B$1:$D$1,0),1))*(BJ403/365))+(INDEX(Variables!$B$8:$D$8,IFERROR(MATCH(IF($B403="Robusta","Robusta",(IF($B403="","Arabica",$B403))&amp;" - "&amp;(IF($C403="","Commercial",$C403))),Variables!$B$1:$D$1,0),1))*L403/16.67)),""))</f>
        <v>13.817694968299971</v>
      </c>
    </row>
    <row r="404" spans="1:63">
      <c r="A404" s="13" t="s">
        <v>103</v>
      </c>
      <c r="B404" s="13" t="s">
        <v>104</v>
      </c>
      <c r="C404" s="13" t="s">
        <v>105</v>
      </c>
      <c r="D404" s="31">
        <v>45750</v>
      </c>
      <c r="E404" s="31">
        <v>45839</v>
      </c>
      <c r="F404" s="31">
        <v>45869</v>
      </c>
      <c r="G404" s="13">
        <v>3786885</v>
      </c>
      <c r="H404" s="13" t="s">
        <v>1189</v>
      </c>
      <c r="J404" s="13" t="s">
        <v>454</v>
      </c>
      <c r="K404" s="13">
        <v>5298</v>
      </c>
      <c r="L404" s="13">
        <v>720</v>
      </c>
      <c r="M404" s="13">
        <v>2</v>
      </c>
      <c r="N404" s="13" t="s">
        <v>1190</v>
      </c>
      <c r="O404" s="13" t="s">
        <v>456</v>
      </c>
      <c r="P404" s="13">
        <v>10140</v>
      </c>
      <c r="R404" s="13" t="s">
        <v>122</v>
      </c>
      <c r="S404" s="13" t="s">
        <v>896</v>
      </c>
      <c r="T404" s="13" t="s">
        <v>897</v>
      </c>
      <c r="U404" s="13" t="s">
        <v>125</v>
      </c>
      <c r="V404" s="13">
        <v>55</v>
      </c>
      <c r="W404" s="44">
        <f>IF($AX404="Cancelled","",IFERROR(((V404+INDEX(Variables!$B$6:$D$6,IFERROR(MATCH(IF($B404="Robusta","Robusta",(IF($B404="","Arabica",$B404))&amp;" - "&amp;(IF($C404="","Commercial",$C404))),Variables!$B$1:$D$1,0),1)))*22.0462)*(L404/16.67),""))</f>
        <v>329272.62694661069</v>
      </c>
      <c r="X404" s="55" t="s">
        <v>37</v>
      </c>
      <c r="Y404" s="13" t="str">
        <f>IF($AX404="Cancelled","",IF(X404="","",IFERROR(IF(INDEX(Variables!$B$38:$B$47,MATCH(X404,Variables!$A$38:$A$47,0))="Yes","Yes","No"),"No")))</f>
        <v>Yes</v>
      </c>
      <c r="Z404" s="58">
        <v>45790</v>
      </c>
      <c r="AB404" s="31">
        <v>45797</v>
      </c>
      <c r="AC404" s="13" t="str">
        <f t="shared" si="18"/>
        <v>Approved</v>
      </c>
      <c r="AF404" s="71">
        <v>45838</v>
      </c>
      <c r="AG404" s="35">
        <f>IF($AX404="Cancelled","",IFERROR(IF(F404="","",F404-Variables!$B$13),""))</f>
        <v>45854</v>
      </c>
      <c r="AH404" s="13">
        <f>IF($AX404="Cancelled","",IFERROR(IF(AB404="","",(AVERAGE(E404:F404)-AB404)-Variables!$B$14),""))</f>
        <v>27</v>
      </c>
      <c r="AJ404" s="47">
        <v>45835</v>
      </c>
      <c r="AK404" s="14">
        <f>IF($AX404="Cancelled","",IFERROR(IF(AJ404="","",IF(AND(AB404="",AF404=""),"",IF(AF404&gt;AB404,AF404+Variables!$B$15+Variables!$B$16+Variables!$B$17-AJ404,AB404+Variables!$B$16+Variables!$B$17-AJ404))),""))</f>
        <v>18</v>
      </c>
      <c r="AL404" s="48" t="s">
        <v>114</v>
      </c>
      <c r="AM404" s="13" t="s">
        <v>115</v>
      </c>
      <c r="AN404" s="13" t="s">
        <v>126</v>
      </c>
      <c r="AP404" s="31">
        <v>45843</v>
      </c>
      <c r="AR404" s="13">
        <v>254181680</v>
      </c>
      <c r="AS404" s="31">
        <v>45843</v>
      </c>
      <c r="AU404" s="31">
        <v>45846</v>
      </c>
      <c r="AV404" s="13" t="s">
        <v>865</v>
      </c>
      <c r="AW404" s="31">
        <v>45852</v>
      </c>
      <c r="AX404" s="13" t="str">
        <f>IF(ISNUMBER(SEARCH("cancel",#REF!)),"Cancelled",IF(AND(AS404&lt;&gt;"",AU404&lt;&gt;"",AW404&lt;&gt;""),"Closed","Open"))</f>
        <v>Closed</v>
      </c>
      <c r="AY404" s="15" t="str">
        <f t="shared" si="19"/>
        <v>All dates received</v>
      </c>
      <c r="BD404" s="13">
        <f>IF($AX404="Cancelled","",IFERROR(IF(OR(AS404="",AJ404=""),"",(AJ404+Variables!$B$18-AS404)),""))</f>
        <v>7</v>
      </c>
      <c r="BE404" s="13">
        <f>IF($AX404="Cancelled","",IFERROR(IF(OR(AW404="",AS404=""),"",(AS404+Variables!$B$19)-AW404),""))</f>
        <v>-4</v>
      </c>
      <c r="BF404" s="44">
        <f>IF($AX404="Cancelled","",IFERROR(W404*INDEX(Variables!$B$7:$D$7,IFERROR(MATCH(IF($B404="Robusta","Robusta",(IF($B404="","Arabica",$B404))&amp;" - "&amp;(IF($C404="","Commercial",$C404))),Variables!$B$1:$D$1,0),1))*(BE404/365),""))</f>
        <v>-232.68190011284099</v>
      </c>
      <c r="BG404" s="44">
        <f>IF($AX404="Cancelled","",IFERROR((W404*INDEX(Variables!$B$7:$D$7,IFERROR(MATCH(IF($B404="Robusta","Robusta",(IF($B404="","Arabica",$B404))&amp;" - "&amp;(IF($C404="","Commercial",$C404))),Variables!$B$1:$D$1,0),1))*IFERROR(IF(AB404="","",(AVERAGE(E404:F404)-AB404)-Variables!$B$14),"")/365)+(L404/16.67*INDEX(Variables!$B$8:$D$8,IFERROR(MATCH(IF($B404="Robusta","Robusta",(IF($B404="","Arabica",$B404))&amp;" - "&amp;(IF($C404="","Commercial",$C404))),Variables!$B$1:$D$1,0),1))*IFERROR(IF(AB404="","",(AVERAGE(E404:F404)-AB404)-Variables!$B$14),""))+(W404*INDEX(Variables!$B$9:$D$9,IFERROR(MATCH(IF($B404="Robusta","Robusta",(IF($B404="","Arabica",$B404))&amp;" - "&amp;(IF($C404="","Commercial",$C404))),Variables!$B$1:$D$1,0),1))*IFERROR(IF(AB404="","",(AVERAGE(E404:F404)-AB404)-Variables!$B$14),"")/365),""))</f>
        <v>2562.8509272386068</v>
      </c>
      <c r="BH404" s="44">
        <f>IF($AX404="Cancelled","",IFERROR((W404*INDEX(Variables!$B$7:$D$7,IFERROR(MATCH(IF($B404="Robusta","Robusta",(IF($B404="","Arabica",$B404))&amp;" - "&amp;(IF($C404="","Commercial",$C404))),Variables!$B$1:$D$1,0),1))*AK404/365)+(L404/16.67*INDEX(Variables!$B$8:$D$8,IFERROR(MATCH(IF($B404="Robusta","Robusta",(IF($B404="","Arabica",$B404))&amp;" - "&amp;(IF($C404="","Commercial",$C404))),Variables!$B$1:$D$1,0),1))*AK404)+(W404*INDEX(Variables!$B$9:$D$9,IFERROR(MATCH(IF($B404="Robusta","Robusta",(IF($B404="","Arabica",$B404))&amp;" - "&amp;(IF($C404="","Commercial",$C404))),Variables!$B$1:$D$1,0),1))*AK404/365),""))</f>
        <v>1708.5672848257377</v>
      </c>
      <c r="BI404" s="44">
        <f>IF($AX404="Cancelled","",IFERROR((W404*INDEX(Variables!$B$7:$D$7,IFERROR(MATCH(IF($B404="Robusta","Robusta",(IF($B404="","Arabica",$B404))&amp;" - "&amp;(IF($C404="","Commercial",$C404))),Variables!$B$1:$D$1,0),1))*BD404/365)+(L404/16.67*INDEX(Variables!$B$8:$D$8,IFERROR(MATCH(IF($B404="Robusta","Robusta",(IF($B404="","Arabica",$B404))&amp;" - "&amp;(IF($C404="","Commercial",$C404))),Variables!$B$1:$D$1,0),1))*BD404)+(W404*INDEX(Variables!$B$9:$D$9,IFERROR(MATCH(IF($B404="Robusta","Robusta",(IF($B404="","Arabica",$B404))&amp;" - "&amp;(IF($C404="","Commercial",$C404))),Variables!$B$1:$D$1,0),1))*BD404/365),""))</f>
        <v>664.4428329877868</v>
      </c>
      <c r="BJ404" s="44">
        <f t="shared" si="20"/>
        <v>26</v>
      </c>
      <c r="BK404" s="44">
        <f>IF($AX404="Cancelled","",IFERROR(IF(BJ404="","",(W404*INDEX(Variables!$B$7:$D$7,IFERROR(MATCH(IF($B404="Robusta","Robusta",(IF($B404="","Arabica",$B404))&amp;" - "&amp;(IF($C404="","Commercial",$C404))),Variables!$B$1:$D$1,0),1))*(BJ404/365))+(W404*INDEX(Variables!$B$9:$D$9,IFERROR(MATCH(IF($B404="Robusta","Robusta",(IF($B404="","Arabica",$B404))&amp;" - "&amp;(IF($C404="","Commercial",$C404))),Variables!$B$1:$D$1,0),1))*(BJ404/365))+(INDEX(Variables!$B$8:$D$8,IFERROR(MATCH(IF($B404="Robusta","Robusta",(IF($B404="","Arabica",$B404))&amp;" - "&amp;(IF($C404="","Commercial",$C404))),Variables!$B$1:$D$1,0),1))*L404/16.67)),""))</f>
        <v>1567.9305225260655</v>
      </c>
    </row>
    <row r="405" spans="1:63">
      <c r="A405" s="13" t="s">
        <v>103</v>
      </c>
      <c r="B405" s="13" t="s">
        <v>104</v>
      </c>
      <c r="C405" s="13" t="s">
        <v>105</v>
      </c>
      <c r="D405" s="31">
        <v>45750</v>
      </c>
      <c r="E405" s="31">
        <v>45870</v>
      </c>
      <c r="F405" s="31">
        <v>45900</v>
      </c>
      <c r="G405" s="13">
        <v>3786886</v>
      </c>
      <c r="H405" s="13" t="s">
        <v>1191</v>
      </c>
      <c r="J405" s="13" t="s">
        <v>454</v>
      </c>
      <c r="K405" s="13">
        <v>5310</v>
      </c>
      <c r="L405" s="13">
        <v>720</v>
      </c>
      <c r="M405" s="13">
        <v>2</v>
      </c>
      <c r="N405" s="13" t="s">
        <v>1190</v>
      </c>
      <c r="O405" s="13" t="s">
        <v>456</v>
      </c>
      <c r="P405" s="13">
        <v>10140</v>
      </c>
      <c r="R405" s="13" t="s">
        <v>122</v>
      </c>
      <c r="S405" s="13" t="s">
        <v>457</v>
      </c>
      <c r="T405" s="13" t="s">
        <v>458</v>
      </c>
      <c r="U405" s="13" t="s">
        <v>125</v>
      </c>
      <c r="V405" s="13">
        <v>55</v>
      </c>
      <c r="W405" s="44">
        <f>IF($AX405="Cancelled","",IFERROR(((V405+INDEX(Variables!$B$6:$D$6,IFERROR(MATCH(IF($B405="Robusta","Robusta",(IF($B405="","Arabica",$B405))&amp;" - "&amp;(IF($C405="","Commercial",$C405))),Variables!$B$1:$D$1,0),1)))*22.0462)*(L405/16.67),""))</f>
        <v>329272.62694661069</v>
      </c>
      <c r="X405" s="55" t="s">
        <v>37</v>
      </c>
      <c r="Y405" s="13" t="str">
        <f>IF($AX405="Cancelled","",IF(X405="","",IFERROR(IF(INDEX(Variables!$B$38:$B$47,MATCH(X405,Variables!$A$38:$A$47,0))="Yes","Yes","No"),"No")))</f>
        <v>Yes</v>
      </c>
      <c r="Z405" s="58">
        <v>45834</v>
      </c>
      <c r="AB405" s="31">
        <v>45846</v>
      </c>
      <c r="AC405" s="13" t="str">
        <f t="shared" si="18"/>
        <v>Approved</v>
      </c>
      <c r="AF405" s="71">
        <v>45875</v>
      </c>
      <c r="AG405" s="37">
        <f>IF($AX405="Cancelled","",IFERROR(IF(F405="","",F405-Variables!$B$13),""))</f>
        <v>45885</v>
      </c>
      <c r="AH405" s="13">
        <f>IF($AX405="Cancelled","",IFERROR(IF(AB405="","",(AVERAGE(E405:F405)-AB405)-Variables!$B$14),""))</f>
        <v>9</v>
      </c>
      <c r="AJ405" s="47">
        <v>45874</v>
      </c>
      <c r="AK405" s="14">
        <f>IF($AX405="Cancelled","",IFERROR(IF(AJ405="","",IF(AND(AB405="",AF405=""),"",IF(AF405&gt;AB405,AF405+Variables!$B$15+Variables!$B$16+Variables!$B$17-AJ405,AB405+Variables!$B$16+Variables!$B$17-AJ405))),""))</f>
        <v>16</v>
      </c>
      <c r="AL405" s="48" t="s">
        <v>350</v>
      </c>
      <c r="AM405" s="13" t="s">
        <v>115</v>
      </c>
      <c r="AN405" s="13" t="s">
        <v>370</v>
      </c>
      <c r="AP405" s="31">
        <v>45886</v>
      </c>
      <c r="AR405" s="13">
        <v>256502505</v>
      </c>
      <c r="AS405" s="31">
        <v>45886</v>
      </c>
      <c r="AU405" s="31">
        <v>45887</v>
      </c>
      <c r="AV405" s="13" t="s">
        <v>865</v>
      </c>
      <c r="AW405" s="31">
        <v>45888</v>
      </c>
      <c r="AX405" s="13" t="str">
        <f>IF(ISNUMBER(SEARCH("cancel",#REF!)),"Cancelled",IF(AND(AS405&lt;&gt;"",AU405&lt;&gt;"",AW405&lt;&gt;""),"Closed","Open"))</f>
        <v>Closed</v>
      </c>
      <c r="AY405" s="15" t="str">
        <f t="shared" si="19"/>
        <v>All dates received</v>
      </c>
      <c r="BD405" s="13">
        <f>IF($AX405="Cancelled","",IFERROR(IF(OR(AS405="",AJ405=""),"",(AJ405+Variables!$B$18-AS405)),""))</f>
        <v>3</v>
      </c>
      <c r="BE405" s="13">
        <f>IF($AX405="Cancelled","",IFERROR(IF(OR(AW405="",AS405=""),"",(AS405+Variables!$B$19)-AW405),""))</f>
        <v>3</v>
      </c>
      <c r="BF405" s="44">
        <f>IF($AX405="Cancelled","",IFERROR(W405*INDEX(Variables!$B$7:$D$7,IFERROR(MATCH(IF($B405="Robusta","Robusta",(IF($B405="","Arabica",$B405))&amp;" - "&amp;(IF($C405="","Commercial",$C405))),Variables!$B$1:$D$1,0),1))*(BE405/365),""))</f>
        <v>174.51142508463073</v>
      </c>
      <c r="BG405" s="44">
        <f>IF($AX405="Cancelled","",IFERROR((W405*INDEX(Variables!$B$7:$D$7,IFERROR(MATCH(IF($B405="Robusta","Robusta",(IF($B405="","Arabica",$B405))&amp;" - "&amp;(IF($C405="","Commercial",$C405))),Variables!$B$1:$D$1,0),1))*IFERROR(IF(AB405="","",(AVERAGE(E405:F405)-AB405)-Variables!$B$14),"")/365)+(L405/16.67*INDEX(Variables!$B$8:$D$8,IFERROR(MATCH(IF($B405="Robusta","Robusta",(IF($B405="","Arabica",$B405))&amp;" - "&amp;(IF($C405="","Commercial",$C405))),Variables!$B$1:$D$1,0),1))*IFERROR(IF(AB405="","",(AVERAGE(E405:F405)-AB405)-Variables!$B$14),""))+(W405*INDEX(Variables!$B$9:$D$9,IFERROR(MATCH(IF($B405="Robusta","Robusta",(IF($B405="","Arabica",$B405))&amp;" - "&amp;(IF($C405="","Commercial",$C405))),Variables!$B$1:$D$1,0),1))*IFERROR(IF(AB405="","",(AVERAGE(E405:F405)-AB405)-Variables!$B$14),"")/365),""))</f>
        <v>854.28364241286886</v>
      </c>
      <c r="BH405" s="44">
        <f>IF($AX405="Cancelled","",IFERROR((W405*INDEX(Variables!$B$7:$D$7,IFERROR(MATCH(IF($B405="Robusta","Robusta",(IF($B405="","Arabica",$B405))&amp;" - "&amp;(IF($C405="","Commercial",$C405))),Variables!$B$1:$D$1,0),1))*AK405/365)+(L405/16.67*INDEX(Variables!$B$8:$D$8,IFERROR(MATCH(IF($B405="Robusta","Robusta",(IF($B405="","Arabica",$B405))&amp;" - "&amp;(IF($C405="","Commercial",$C405))),Variables!$B$1:$D$1,0),1))*AK405)+(W405*INDEX(Variables!$B$9:$D$9,IFERROR(MATCH(IF($B405="Robusta","Robusta",(IF($B405="","Arabica",$B405))&amp;" - "&amp;(IF($C405="","Commercial",$C405))),Variables!$B$1:$D$1,0),1))*AK405/365),""))</f>
        <v>1518.726475400656</v>
      </c>
      <c r="BI405" s="44">
        <f>IF($AX405="Cancelled","",IFERROR((W405*INDEX(Variables!$B$7:$D$7,IFERROR(MATCH(IF($B405="Robusta","Robusta",(IF($B405="","Arabica",$B405))&amp;" - "&amp;(IF($C405="","Commercial",$C405))),Variables!$B$1:$D$1,0),1))*BD405/365)+(L405/16.67*INDEX(Variables!$B$8:$D$8,IFERROR(MATCH(IF($B405="Robusta","Robusta",(IF($B405="","Arabica",$B405))&amp;" - "&amp;(IF($C405="","Commercial",$C405))),Variables!$B$1:$D$1,0),1))*BD405)+(W405*INDEX(Variables!$B$9:$D$9,IFERROR(MATCH(IF($B405="Robusta","Robusta",(IF($B405="","Arabica",$B405))&amp;" - "&amp;(IF($C405="","Commercial",$C405))),Variables!$B$1:$D$1,0),1))*BD405/365),""))</f>
        <v>284.76121413762297</v>
      </c>
      <c r="BJ405" s="44">
        <f t="shared" si="20"/>
        <v>14</v>
      </c>
      <c r="BK405" s="44">
        <f>IF($AX405="Cancelled","",IFERROR(IF(BJ405="","",(W405*INDEX(Variables!$B$7:$D$7,IFERROR(MATCH(IF($B405="Robusta","Robusta",(IF($B405="","Arabica",$B405))&amp;" - "&amp;(IF($C405="","Commercial",$C405))),Variables!$B$1:$D$1,0),1))*(BJ405/365))+(W405*INDEX(Variables!$B$9:$D$9,IFERROR(MATCH(IF($B405="Robusta","Robusta",(IF($B405="","Arabica",$B405))&amp;" - "&amp;(IF($C405="","Commercial",$C405))),Variables!$B$1:$D$1,0),1))*(BJ405/365))+(INDEX(Variables!$B$8:$D$8,IFERROR(MATCH(IF($B405="Robusta","Robusta",(IF($B405="","Arabica",$B405))&amp;" - "&amp;(IF($C405="","Commercial",$C405))),Variables!$B$1:$D$1,0),1))*L405/16.67)),""))</f>
        <v>860.88566597557383</v>
      </c>
    </row>
    <row r="406" spans="1:63">
      <c r="A406" s="13" t="s">
        <v>103</v>
      </c>
      <c r="B406" s="13" t="s">
        <v>104</v>
      </c>
      <c r="C406" s="13" t="s">
        <v>105</v>
      </c>
      <c r="D406" s="31">
        <v>45750</v>
      </c>
      <c r="E406" s="31">
        <v>45748</v>
      </c>
      <c r="F406" s="31">
        <v>45777</v>
      </c>
      <c r="G406" s="13">
        <v>3786887</v>
      </c>
      <c r="H406" s="13">
        <v>93748</v>
      </c>
      <c r="J406" s="13" t="s">
        <v>118</v>
      </c>
      <c r="K406" s="13">
        <v>5246</v>
      </c>
      <c r="L406" s="13">
        <v>640</v>
      </c>
      <c r="M406" s="13">
        <v>2</v>
      </c>
      <c r="N406" s="13" t="s">
        <v>1192</v>
      </c>
      <c r="O406" s="13" t="s">
        <v>269</v>
      </c>
      <c r="P406" s="13">
        <v>10310</v>
      </c>
      <c r="Q406" s="13" t="s">
        <v>745</v>
      </c>
      <c r="R406" s="13" t="s">
        <v>110</v>
      </c>
      <c r="S406" s="13" t="s">
        <v>1193</v>
      </c>
      <c r="T406" s="13" t="s">
        <v>219</v>
      </c>
      <c r="U406" s="13" t="s">
        <v>125</v>
      </c>
      <c r="V406" s="13">
        <v>47</v>
      </c>
      <c r="W406" s="44">
        <f>IF($AX406="Cancelled","",IFERROR(((V406+INDEX(Variables!$B$6:$D$6,IFERROR(MATCH(IF($B406="Robusta","Robusta",(IF($B406="","Arabica",$B406))&amp;" - "&amp;(IF($C406="","Commercial",$C406))),Variables!$B$1:$D$1,0),1)))*22.0462)*(L406/16.67),""))</f>
        <v>285915.54111577681</v>
      </c>
      <c r="X406" s="55" t="s">
        <v>39</v>
      </c>
      <c r="Y406" s="13" t="str">
        <f>IF($AX406="Cancelled","",IF(X406="","",IFERROR(IF(INDEX(Variables!$B$38:$B$47,MATCH(X406,Variables!$A$38:$A$47,0))="Yes","Yes","No"),"No")))</f>
        <v>No</v>
      </c>
      <c r="Z406" s="31" t="s">
        <v>39</v>
      </c>
      <c r="AB406" s="31" t="s">
        <v>39</v>
      </c>
      <c r="AC406" s="13" t="str">
        <f t="shared" si="18"/>
        <v/>
      </c>
      <c r="AF406" s="71">
        <v>45771</v>
      </c>
      <c r="AG406" s="37">
        <f>IF($AX406="Cancelled","",IFERROR(IF(F406="","",F406-Variables!$B$13),""))</f>
        <v>45762</v>
      </c>
      <c r="AH406" s="13" t="str">
        <f>IF($AX406="Cancelled","",IFERROR(IF(AB406="","",(AVERAGE(E406:F406)-AB406)-Variables!$B$14),""))</f>
        <v/>
      </c>
      <c r="AJ406" s="47">
        <v>45771</v>
      </c>
      <c r="AK406" s="14" t="str">
        <f>IF($AX406="Cancelled","",IFERROR(IF(AJ406="","",IF(AND(AB406="",AF406=""),"",IF(AF406&gt;AB406,AF406+Variables!$B$15+Variables!$B$16+Variables!$B$17-AJ406,AB406+Variables!$B$16+Variables!$B$17-AJ406))),""))</f>
        <v/>
      </c>
      <c r="AL406" s="48" t="s">
        <v>350</v>
      </c>
      <c r="AM406" s="13" t="s">
        <v>141</v>
      </c>
      <c r="AN406" s="13" t="s">
        <v>408</v>
      </c>
      <c r="AP406" s="31">
        <v>45778</v>
      </c>
      <c r="AR406" s="13" t="s">
        <v>1194</v>
      </c>
      <c r="AS406" s="31">
        <v>45778</v>
      </c>
      <c r="AU406" s="31">
        <v>45790</v>
      </c>
      <c r="AV406" s="13" t="s">
        <v>865</v>
      </c>
      <c r="AW406" s="31">
        <v>45792</v>
      </c>
      <c r="AX406" s="13" t="str">
        <f>IF(ISNUMBER(SEARCH("cancel",#REF!)),"Cancelled",IF(AND(AS406&lt;&gt;"",AU406&lt;&gt;"",AW406&lt;&gt;""),"Closed","Open"))</f>
        <v>Closed</v>
      </c>
      <c r="AY406" s="15" t="str">
        <f t="shared" si="19"/>
        <v>All dates received</v>
      </c>
      <c r="BD406" s="13">
        <f>IF($AX406="Cancelled","",IFERROR(IF(OR(AS406="",AJ406=""),"",(AJ406+Variables!$B$18-AS406)),""))</f>
        <v>8</v>
      </c>
      <c r="BE406" s="13">
        <f>IF($AX406="Cancelled","",IFERROR(IF(OR(AW406="",AS406=""),"",(AS406+Variables!$B$19)-AW406),""))</f>
        <v>-9</v>
      </c>
      <c r="BF406" s="44">
        <f>IF($AX406="Cancelled","",IFERROR(W406*INDEX(Variables!$B$7:$D$7,IFERROR(MATCH(IF($B406="Robusta","Robusta",(IF($B406="","Arabica",$B406))&amp;" - "&amp;(IF($C406="","Commercial",$C406))),Variables!$B$1:$D$1,0),1))*(BE406/365),""))</f>
        <v>-454.59772040553889</v>
      </c>
      <c r="BG406" s="44" t="str">
        <f>IF($AX406="Cancelled","",IFERROR((W406*INDEX(Variables!$B$7:$D$7,IFERROR(MATCH(IF($B406="Robusta","Robusta",(IF($B406="","Arabica",$B406))&amp;" - "&amp;(IF($C406="","Commercial",$C406))),Variables!$B$1:$D$1,0),1))*IFERROR(IF(AB406="","",(AVERAGE(E406:F406)-AB406)-Variables!$B$14),"")/365)+(L406/16.67*INDEX(Variables!$B$8:$D$8,IFERROR(MATCH(IF($B406="Robusta","Robusta",(IF($B406="","Arabica",$B406))&amp;" - "&amp;(IF($C406="","Commercial",$C406))),Variables!$B$1:$D$1,0),1))*IFERROR(IF(AB406="","",(AVERAGE(E406:F406)-AB406)-Variables!$B$14),""))+(W406*INDEX(Variables!$B$9:$D$9,IFERROR(MATCH(IF($B406="Robusta","Robusta",(IF($B406="","Arabica",$B406))&amp;" - "&amp;(IF($C406="","Commercial",$C406))),Variables!$B$1:$D$1,0),1))*IFERROR(IF(AB406="","",(AVERAGE(E406:F406)-AB406)-Variables!$B$14),"")/365),""))</f>
        <v/>
      </c>
      <c r="BH406" s="44" t="str">
        <f>IF($AX406="Cancelled","",IFERROR((W406*INDEX(Variables!$B$7:$D$7,IFERROR(MATCH(IF($B406="Robusta","Robusta",(IF($B406="","Arabica",$B406))&amp;" - "&amp;(IF($C406="","Commercial",$C406))),Variables!$B$1:$D$1,0),1))*AK406/365)+(L406/16.67*INDEX(Variables!$B$8:$D$8,IFERROR(MATCH(IF($B406="Robusta","Robusta",(IF($B406="","Arabica",$B406))&amp;" - "&amp;(IF($C406="","Commercial",$C406))),Variables!$B$1:$D$1,0),1))*AK406)+(W406*INDEX(Variables!$B$9:$D$9,IFERROR(MATCH(IF($B406="Robusta","Robusta",(IF($B406="","Arabica",$B406))&amp;" - "&amp;(IF($C406="","Commercial",$C406))),Variables!$B$1:$D$1,0),1))*AK406/365),""))</f>
        <v/>
      </c>
      <c r="BI406" s="44">
        <f>IF($AX406="Cancelled","",IFERROR((W406*INDEX(Variables!$B$7:$D$7,IFERROR(MATCH(IF($B406="Robusta","Robusta",(IF($B406="","Arabica",$B406))&amp;" - "&amp;(IF($C406="","Commercial",$C406))),Variables!$B$1:$D$1,0),1))*BD406/365)+(L406/16.67*INDEX(Variables!$B$8:$D$8,IFERROR(MATCH(IF($B406="Robusta","Robusta",(IF($B406="","Arabica",$B406))&amp;" - "&amp;(IF($C406="","Commercial",$C406))),Variables!$B$1:$D$1,0),1))*BD406)+(W406*INDEX(Variables!$B$9:$D$9,IFERROR(MATCH(IF($B406="Robusta","Robusta",(IF($B406="","Arabica",$B406))&amp;" - "&amp;(IF($C406="","Commercial",$C406))),Variables!$B$1:$D$1,0),1))*BD406/365),""))</f>
        <v>665.29632207485577</v>
      </c>
      <c r="BJ406" s="44">
        <f t="shared" si="20"/>
        <v>-1</v>
      </c>
      <c r="BK406" s="44">
        <f>IF($AX406="Cancelled","",IFERROR(IF(BJ406="","",(W406*INDEX(Variables!$B$7:$D$7,IFERROR(MATCH(IF($B406="Robusta","Robusta",(IF($B406="","Arabica",$B406))&amp;" - "&amp;(IF($C406="","Commercial",$C406))),Variables!$B$1:$D$1,0),1))*(BJ406/365))+(W406*INDEX(Variables!$B$9:$D$9,IFERROR(MATCH(IF($B406="Robusta","Robusta",(IF($B406="","Arabica",$B406))&amp;" - "&amp;(IF($C406="","Commercial",$C406))),Variables!$B$1:$D$1,0),1))*(BJ406/365))+(INDEX(Variables!$B$8:$D$8,IFERROR(MATCH(IF($B406="Robusta","Robusta",(IF($B406="","Arabica",$B406))&amp;" - "&amp;(IF($C406="","Commercial",$C406))),Variables!$B$1:$D$1,0),1))*L406/16.67)),""))</f>
        <v>-19.162040259356957</v>
      </c>
    </row>
    <row r="407" spans="1:63">
      <c r="A407" s="13" t="s">
        <v>103</v>
      </c>
      <c r="B407" s="13" t="s">
        <v>104</v>
      </c>
      <c r="C407" s="13" t="s">
        <v>105</v>
      </c>
      <c r="D407" s="31">
        <v>45750</v>
      </c>
      <c r="E407" s="31">
        <v>45778</v>
      </c>
      <c r="F407" s="31">
        <v>45808</v>
      </c>
      <c r="G407" s="13">
        <v>3786888</v>
      </c>
      <c r="H407" s="13" t="s">
        <v>1195</v>
      </c>
      <c r="J407" s="13" t="s">
        <v>611</v>
      </c>
      <c r="K407" s="13">
        <v>5271</v>
      </c>
      <c r="L407" s="13">
        <v>320</v>
      </c>
      <c r="M407" s="13">
        <v>1</v>
      </c>
      <c r="N407" s="13" t="s">
        <v>1196</v>
      </c>
      <c r="O407" s="13" t="s">
        <v>607</v>
      </c>
      <c r="P407" s="13">
        <v>10100</v>
      </c>
      <c r="R407" s="13" t="s">
        <v>252</v>
      </c>
      <c r="S407" s="13" t="s">
        <v>553</v>
      </c>
      <c r="T407" s="13" t="s">
        <v>112</v>
      </c>
      <c r="U407" s="13" t="s">
        <v>113</v>
      </c>
      <c r="V407" s="13">
        <v>15</v>
      </c>
      <c r="W407" s="44">
        <f>IF($AX407="Cancelled","",IFERROR(((V407+INDEX(Variables!$B$6:$D$6,IFERROR(MATCH(IF($B407="Robusta","Robusta",(IF($B407="","Arabica",$B407))&amp;" - "&amp;(IF($C407="","Commercial",$C407))),Variables!$B$1:$D$1,0),1)))*22.0462)*(L407/16.67),""))</f>
        <v>129415.29377324534</v>
      </c>
      <c r="X407" s="55" t="s">
        <v>37</v>
      </c>
      <c r="Y407" s="13" t="str">
        <f>IF($AX407="Cancelled","",IF(X407="","",IFERROR(IF(INDEX(Variables!$B$38:$B$47,MATCH(X407,Variables!$A$38:$A$47,0))="Yes","Yes","No"),"No")))</f>
        <v>Yes</v>
      </c>
      <c r="Z407" s="58">
        <v>45758</v>
      </c>
      <c r="AB407" s="31">
        <v>45770</v>
      </c>
      <c r="AC407" s="13" t="str">
        <f t="shared" si="18"/>
        <v>Approved</v>
      </c>
      <c r="AF407" s="71">
        <v>45791</v>
      </c>
      <c r="AG407" s="35">
        <f>IF($AX407="Cancelled","",IFERROR(IF(F407="","",F407-Variables!$B$13),""))</f>
        <v>45793</v>
      </c>
      <c r="AH407" s="13">
        <f>IF($AX407="Cancelled","",IFERROR(IF(AB407="","",(AVERAGE(E407:F407)-AB407)-Variables!$B$14),""))</f>
        <v>-7</v>
      </c>
      <c r="AJ407" s="47">
        <v>45789</v>
      </c>
      <c r="AK407" s="14">
        <f>IF($AX407="Cancelled","",IFERROR(IF(AJ407="","",IF(AND(AB407="",AF407=""),"",IF(AF407&gt;AB407,AF407+Variables!$B$15+Variables!$B$16+Variables!$B$17-AJ407,AB407+Variables!$B$16+Variables!$B$17-AJ407))),""))</f>
        <v>17</v>
      </c>
      <c r="AL407" s="48" t="s">
        <v>114</v>
      </c>
      <c r="AM407" s="13" t="s">
        <v>613</v>
      </c>
      <c r="AN407" s="13" t="s">
        <v>614</v>
      </c>
      <c r="AP407" s="31">
        <v>45811</v>
      </c>
      <c r="AR407" s="13" t="s">
        <v>1197</v>
      </c>
      <c r="AS407" s="31">
        <v>45811</v>
      </c>
      <c r="AU407" s="31">
        <v>45815</v>
      </c>
      <c r="AV407" s="13" t="s">
        <v>865</v>
      </c>
      <c r="AW407" s="31">
        <v>45832</v>
      </c>
      <c r="AX407" s="13" t="str">
        <f>IF(ISNUMBER(SEARCH("cancel",#REF!)),"Cancelled",IF(AND(AS407&lt;&gt;"",AU407&lt;&gt;"",AW407&lt;&gt;""),"Closed","Open"))</f>
        <v>Closed</v>
      </c>
      <c r="AY407" s="15" t="str">
        <f t="shared" si="19"/>
        <v>All dates received</v>
      </c>
      <c r="BD407" s="13">
        <f>IF($AX407="Cancelled","",IFERROR(IF(OR(AS407="",AJ407=""),"",(AJ407+Variables!$B$18-AS407)),""))</f>
        <v>-7</v>
      </c>
      <c r="BE407" s="13">
        <f>IF($AX407="Cancelled","",IFERROR(IF(OR(AW407="",AS407=""),"",(AS407+Variables!$B$19)-AW407),""))</f>
        <v>-16</v>
      </c>
      <c r="BF407" s="44">
        <f>IF($AX407="Cancelled","",IFERROR(W407*INDEX(Variables!$B$7:$D$7,IFERROR(MATCH(IF($B407="Robusta","Robusta",(IF($B407="","Arabica",$B407))&amp;" - "&amp;(IF($C407="","Commercial",$C407))),Variables!$B$1:$D$1,0),1))*(BE407/365),""))</f>
        <v>-365.80746766663719</v>
      </c>
      <c r="BG407" s="44">
        <f>IF($AX407="Cancelled","",IFERROR((W407*INDEX(Variables!$B$7:$D$7,IFERROR(MATCH(IF($B407="Robusta","Robusta",(IF($B407="","Arabica",$B407))&amp;" - "&amp;(IF($C407="","Commercial",$C407))),Variables!$B$1:$D$1,0),1))*IFERROR(IF(AB407="","",(AVERAGE(E407:F407)-AB407)-Variables!$B$14),"")/365)+(L407/16.67*INDEX(Variables!$B$8:$D$8,IFERROR(MATCH(IF($B407="Robusta","Robusta",(IF($B407="","Arabica",$B407))&amp;" - "&amp;(IF($C407="","Commercial",$C407))),Variables!$B$1:$D$1,0),1))*IFERROR(IF(AB407="","",(AVERAGE(E407:F407)-AB407)-Variables!$B$14),""))+(W407*INDEX(Variables!$B$9:$D$9,IFERROR(MATCH(IF($B407="Robusta","Robusta",(IF($B407="","Arabica",$B407))&amp;" - "&amp;(IF($C407="","Commercial",$C407))),Variables!$B$1:$D$1,0),1))*IFERROR(IF(AB407="","",(AVERAGE(E407:F407)-AB407)-Variables!$B$14),"")/365),""))</f>
        <v>-274.10400144934806</v>
      </c>
      <c r="BH407" s="44">
        <f>IF($AX407="Cancelled","",IFERROR((W407*INDEX(Variables!$B$7:$D$7,IFERROR(MATCH(IF($B407="Robusta","Robusta",(IF($B407="","Arabica",$B407))&amp;" - "&amp;(IF($C407="","Commercial",$C407))),Variables!$B$1:$D$1,0),1))*AK407/365)+(L407/16.67*INDEX(Variables!$B$8:$D$8,IFERROR(MATCH(IF($B407="Robusta","Robusta",(IF($B407="","Arabica",$B407))&amp;" - "&amp;(IF($C407="","Commercial",$C407))),Variables!$B$1:$D$1,0),1))*AK407)+(W407*INDEX(Variables!$B$9:$D$9,IFERROR(MATCH(IF($B407="Robusta","Robusta",(IF($B407="","Arabica",$B407))&amp;" - "&amp;(IF($C407="","Commercial",$C407))),Variables!$B$1:$D$1,0),1))*AK407/365),""))</f>
        <v>665.68114637698795</v>
      </c>
      <c r="BI407" s="44">
        <f>IF($AX407="Cancelled","",IFERROR((W407*INDEX(Variables!$B$7:$D$7,IFERROR(MATCH(IF($B407="Robusta","Robusta",(IF($B407="","Arabica",$B407))&amp;" - "&amp;(IF($C407="","Commercial",$C407))),Variables!$B$1:$D$1,0),1))*BD407/365)+(L407/16.67*INDEX(Variables!$B$8:$D$8,IFERROR(MATCH(IF($B407="Robusta","Robusta",(IF($B407="","Arabica",$B407))&amp;" - "&amp;(IF($C407="","Commercial",$C407))),Variables!$B$1:$D$1,0),1))*BD407)+(W407*INDEX(Variables!$B$9:$D$9,IFERROR(MATCH(IF($B407="Robusta","Robusta",(IF($B407="","Arabica",$B407))&amp;" - "&amp;(IF($C407="","Commercial",$C407))),Variables!$B$1:$D$1,0),1))*BD407/365),""))</f>
        <v>-274.10400144934806</v>
      </c>
      <c r="BJ407" s="44">
        <f t="shared" si="20"/>
        <v>-3</v>
      </c>
      <c r="BK407" s="44">
        <f>IF($AX407="Cancelled","",IFERROR(IF(BJ407="","",(W407*INDEX(Variables!$B$7:$D$7,IFERROR(MATCH(IF($B407="Robusta","Robusta",(IF($B407="","Arabica",$B407))&amp;" - "&amp;(IF($C407="","Commercial",$C407))),Variables!$B$1:$D$1,0),1))*(BJ407/365))+(W407*INDEX(Variables!$B$9:$D$9,IFERROR(MATCH(IF($B407="Robusta","Robusta",(IF($B407="","Arabica",$B407))&amp;" - "&amp;(IF($C407="","Commercial",$C407))),Variables!$B$1:$D$1,0),1))*(BJ407/365))+(INDEX(Variables!$B$8:$D$8,IFERROR(MATCH(IF($B407="Robusta","Robusta",(IF($B407="","Arabica",$B407))&amp;" - "&amp;(IF($C407="","Commercial",$C407))),Variables!$B$1:$D$1,0),1))*L407/16.67)),""))</f>
        <v>-53.473143478292002</v>
      </c>
    </row>
    <row r="408" spans="1:63">
      <c r="A408" s="13" t="s">
        <v>103</v>
      </c>
      <c r="B408" s="13" t="s">
        <v>104</v>
      </c>
      <c r="C408" s="13" t="s">
        <v>105</v>
      </c>
      <c r="D408" s="31">
        <v>45751</v>
      </c>
      <c r="E408" s="31">
        <v>45778</v>
      </c>
      <c r="F408" s="31">
        <v>45791</v>
      </c>
      <c r="G408" s="13">
        <v>3786889</v>
      </c>
      <c r="H408" s="13">
        <v>4550911290</v>
      </c>
      <c r="J408" s="13" t="s">
        <v>230</v>
      </c>
      <c r="K408" s="13">
        <v>5243</v>
      </c>
      <c r="L408" s="13">
        <v>720</v>
      </c>
      <c r="M408" s="13">
        <v>2</v>
      </c>
      <c r="N408" s="13" t="s">
        <v>1198</v>
      </c>
      <c r="O408" s="13" t="s">
        <v>269</v>
      </c>
      <c r="P408" s="13">
        <v>10310</v>
      </c>
      <c r="R408" s="13" t="s">
        <v>122</v>
      </c>
      <c r="S408" s="13" t="s">
        <v>154</v>
      </c>
      <c r="T408" s="13" t="s">
        <v>155</v>
      </c>
      <c r="U408" s="13" t="s">
        <v>125</v>
      </c>
      <c r="V408" s="13">
        <v>18.5</v>
      </c>
      <c r="W408" s="44">
        <f>IF($AX408="Cancelled","",IFERROR(((V408+INDEX(Variables!$B$6:$D$6,IFERROR(MATCH(IF($B408="Robusta","Robusta",(IF($B408="","Arabica",$B408))&amp;" - "&amp;(IF($C408="","Commercial",$C408))),Variables!$B$1:$D$1,0),1)))*22.0462)*(L408/16.67),""))</f>
        <v>294517.12988602277</v>
      </c>
      <c r="X408" s="55" t="s">
        <v>39</v>
      </c>
      <c r="Y408" s="13" t="str">
        <f>IF($AX408="Cancelled","",IF(X408="","",IFERROR(IF(INDEX(Variables!$B$38:$B$47,MATCH(X408,Variables!$A$38:$A$47,0))="Yes","Yes","No"),"No")))</f>
        <v>No</v>
      </c>
      <c r="Z408" s="31" t="s">
        <v>39</v>
      </c>
      <c r="AB408" s="31" t="s">
        <v>39</v>
      </c>
      <c r="AC408" s="13" t="str">
        <f t="shared" si="18"/>
        <v/>
      </c>
      <c r="AF408" s="71">
        <v>45770</v>
      </c>
      <c r="AG408" s="37">
        <f>IF($AX408="Cancelled","",IFERROR(IF(F408="","",F408-Variables!$B$13),""))</f>
        <v>45776</v>
      </c>
      <c r="AH408" s="13" t="str">
        <f>IF($AX408="Cancelled","",IFERROR(IF(AB408="","",(AVERAGE(E408:F408)-AB408)-Variables!$B$14),""))</f>
        <v/>
      </c>
      <c r="AJ408" s="47">
        <v>45763</v>
      </c>
      <c r="AK408" s="14" t="str">
        <f>IF($AX408="Cancelled","",IFERROR(IF(AJ408="","",IF(AND(AB408="",AF408=""),"",IF(AF408&gt;AB408,AF408+Variables!$B$15+Variables!$B$16+Variables!$B$17-AJ408,AB408+Variables!$B$16+Variables!$B$17-AJ408))),""))</f>
        <v/>
      </c>
      <c r="AL408" s="48" t="s">
        <v>114</v>
      </c>
      <c r="AM408" s="13" t="s">
        <v>141</v>
      </c>
      <c r="AN408" s="13" t="s">
        <v>376</v>
      </c>
      <c r="AP408" s="31">
        <v>45778</v>
      </c>
      <c r="AR408" s="13" t="s">
        <v>1199</v>
      </c>
      <c r="AS408" s="31">
        <v>45778</v>
      </c>
      <c r="AU408" s="31">
        <v>45782</v>
      </c>
      <c r="AV408" s="13" t="s">
        <v>865</v>
      </c>
      <c r="AW408" s="31">
        <v>45784</v>
      </c>
      <c r="AX408" s="13" t="str">
        <f>IF(ISNUMBER(SEARCH("cancel",#REF!)),"Cancelled",IF(AND(AS408&lt;&gt;"",AU408&lt;&gt;"",AW408&lt;&gt;""),"Closed","Open"))</f>
        <v>Closed</v>
      </c>
      <c r="AY408" s="15" t="str">
        <f t="shared" si="19"/>
        <v>All dates received</v>
      </c>
      <c r="BD408" s="13">
        <f>IF($AX408="Cancelled","",IFERROR(IF(OR(AS408="",AJ408=""),"",(AJ408+Variables!$B$18-AS408)),""))</f>
        <v>0</v>
      </c>
      <c r="BE408" s="13">
        <f>IF($AX408="Cancelled","",IFERROR(IF(OR(AW408="",AS408=""),"",(AS408+Variables!$B$19)-AW408),""))</f>
        <v>-1</v>
      </c>
      <c r="BF408" s="44">
        <f>IF($AX408="Cancelled","",IFERROR(W408*INDEX(Variables!$B$7:$D$7,IFERROR(MATCH(IF($B408="Robusta","Robusta",(IF($B408="","Arabica",$B408))&amp;" - "&amp;(IF($C408="","Commercial",$C408))),Variables!$B$1:$D$1,0),1))*(BE408/365),""))</f>
        <v>-52.030445130784926</v>
      </c>
      <c r="BG408" s="44" t="str">
        <f>IF($AX408="Cancelled","",IFERROR((W408*INDEX(Variables!$B$7:$D$7,IFERROR(MATCH(IF($B408="Robusta","Robusta",(IF($B408="","Arabica",$B408))&amp;" - "&amp;(IF($C408="","Commercial",$C408))),Variables!$B$1:$D$1,0),1))*IFERROR(IF(AB408="","",(AVERAGE(E408:F408)-AB408)-Variables!$B$14),"")/365)+(L408/16.67*INDEX(Variables!$B$8:$D$8,IFERROR(MATCH(IF($B408="Robusta","Robusta",(IF($B408="","Arabica",$B408))&amp;" - "&amp;(IF($C408="","Commercial",$C408))),Variables!$B$1:$D$1,0),1))*IFERROR(IF(AB408="","",(AVERAGE(E408:F408)-AB408)-Variables!$B$14),""))+(W408*INDEX(Variables!$B$9:$D$9,IFERROR(MATCH(IF($B408="Robusta","Robusta",(IF($B408="","Arabica",$B408))&amp;" - "&amp;(IF($C408="","Commercial",$C408))),Variables!$B$1:$D$1,0),1))*IFERROR(IF(AB408="","",(AVERAGE(E408:F408)-AB408)-Variables!$B$14),"")/365),""))</f>
        <v/>
      </c>
      <c r="BH408" s="44" t="str">
        <f>IF($AX408="Cancelled","",IFERROR((W408*INDEX(Variables!$B$7:$D$7,IFERROR(MATCH(IF($B408="Robusta","Robusta",(IF($B408="","Arabica",$B408))&amp;" - "&amp;(IF($C408="","Commercial",$C408))),Variables!$B$1:$D$1,0),1))*AK408/365)+(L408/16.67*INDEX(Variables!$B$8:$D$8,IFERROR(MATCH(IF($B408="Robusta","Robusta",(IF($B408="","Arabica",$B408))&amp;" - "&amp;(IF($C408="","Commercial",$C408))),Variables!$B$1:$D$1,0),1))*AK408)+(W408*INDEX(Variables!$B$9:$D$9,IFERROR(MATCH(IF($B408="Robusta","Robusta",(IF($B408="","Arabica",$B408))&amp;" - "&amp;(IF($C408="","Commercial",$C408))),Variables!$B$1:$D$1,0),1))*AK408/365),""))</f>
        <v/>
      </c>
      <c r="BI408" s="44">
        <f>IF($AX408="Cancelled","",IFERROR((W408*INDEX(Variables!$B$7:$D$7,IFERROR(MATCH(IF($B408="Robusta","Robusta",(IF($B408="","Arabica",$B408))&amp;" - "&amp;(IF($C408="","Commercial",$C408))),Variables!$B$1:$D$1,0),1))*BD408/365)+(L408/16.67*INDEX(Variables!$B$8:$D$8,IFERROR(MATCH(IF($B408="Robusta","Robusta",(IF($B408="","Arabica",$B408))&amp;" - "&amp;(IF($C408="","Commercial",$C408))),Variables!$B$1:$D$1,0),1))*BD408)+(W408*INDEX(Variables!$B$9:$D$9,IFERROR(MATCH(IF($B408="Robusta","Robusta",(IF($B408="","Arabica",$B408))&amp;" - "&amp;(IF($C408="","Commercial",$C408))),Variables!$B$1:$D$1,0),1))*BD408/365),""))</f>
        <v>0</v>
      </c>
      <c r="BJ408" s="44">
        <f t="shared" si="20"/>
        <v>13</v>
      </c>
      <c r="BK408" s="44">
        <f>IF($AX408="Cancelled","",IFERROR(IF(BJ408="","",(W408*INDEX(Variables!$B$7:$D$7,IFERROR(MATCH(IF($B408="Robusta","Robusta",(IF($B408="","Arabica",$B408))&amp;" - "&amp;(IF($C408="","Commercial",$C408))),Variables!$B$1:$D$1,0),1))*(BJ408/365))+(W408*INDEX(Variables!$B$9:$D$9,IFERROR(MATCH(IF($B408="Robusta","Robusta",(IF($B408="","Arabica",$B408))&amp;" - "&amp;(IF($C408="","Commercial",$C408))),Variables!$B$1:$D$1,0),1))*(BJ408/365))+(INDEX(Variables!$B$8:$D$8,IFERROR(MATCH(IF($B408="Robusta","Robusta",(IF($B408="","Arabica",$B408))&amp;" - "&amp;(IF($C408="","Commercial",$C408))),Variables!$B$1:$D$1,0),1))*L408/16.67)),""))</f>
        <v>721.11583374394456</v>
      </c>
    </row>
    <row r="409" spans="1:63">
      <c r="A409" s="13" t="s">
        <v>103</v>
      </c>
      <c r="B409" s="13" t="s">
        <v>104</v>
      </c>
      <c r="C409" s="13" t="s">
        <v>292</v>
      </c>
      <c r="D409" s="31">
        <v>45751</v>
      </c>
      <c r="E409" s="31">
        <v>45778</v>
      </c>
      <c r="F409" s="31">
        <v>45808</v>
      </c>
      <c r="G409" s="13">
        <v>3786890</v>
      </c>
      <c r="J409" s="13" t="s">
        <v>1040</v>
      </c>
      <c r="K409" s="13" t="s">
        <v>1200</v>
      </c>
      <c r="L409" s="13">
        <v>9</v>
      </c>
      <c r="M409" s="13">
        <v>0</v>
      </c>
      <c r="N409" s="13" t="s">
        <v>1201</v>
      </c>
      <c r="O409" s="13" t="s">
        <v>304</v>
      </c>
      <c r="P409" s="13">
        <v>10010</v>
      </c>
      <c r="R409" s="13" t="s">
        <v>671</v>
      </c>
      <c r="S409" s="13" t="s">
        <v>288</v>
      </c>
      <c r="T409" s="13" t="s">
        <v>289</v>
      </c>
      <c r="U409" s="13" t="s">
        <v>182</v>
      </c>
      <c r="V409" s="13">
        <v>118</v>
      </c>
      <c r="W409" s="44">
        <f>IF($AX409="Cancelled","",IFERROR(((V409+INDEX(Variables!$B$6:$D$6,IFERROR(MATCH(IF($B409="Robusta","Robusta",(IF($B409="","Arabica",$B409))&amp;" - "&amp;(IF($C409="","Commercial",$C409))),Variables!$B$1:$D$1,0),1)))*22.0462)*(L409/16.67),""))</f>
        <v>4865.7695884823033</v>
      </c>
      <c r="X409" s="55" t="s">
        <v>39</v>
      </c>
      <c r="Y409" s="13" t="str">
        <f>IF($AX409="Cancelled","",IF(X409="","",IFERROR(IF(INDEX(Variables!$B$38:$B$47,MATCH(X409,Variables!$A$38:$A$47,0))="Yes","Yes","No"),"No")))</f>
        <v>No</v>
      </c>
      <c r="Z409" s="31"/>
      <c r="AB409" s="31">
        <v>45731.875</v>
      </c>
      <c r="AC409" s="13" t="str">
        <f t="shared" si="18"/>
        <v>Approved</v>
      </c>
      <c r="AF409" s="71">
        <v>45800</v>
      </c>
      <c r="AG409" s="36">
        <f>IF($AX409="Cancelled","",IFERROR(IF(F409="","",F409-Variables!$B$13),""))</f>
        <v>45793</v>
      </c>
      <c r="AH409" s="13">
        <f>IF($AX409="Cancelled","",IFERROR(IF(AB409="","",(AVERAGE(E409:F409)-AB409)-Variables!$B$14),""))</f>
        <v>31.125</v>
      </c>
      <c r="AJ409" s="47">
        <v>45798</v>
      </c>
      <c r="AK409" s="14">
        <f>IF($AX409="Cancelled","",IFERROR(IF(AJ409="","",IF(AND(AB409="",AF409=""),"",IF(AF409&gt;AB409,AF409+Variables!$B$15+Variables!$B$16+Variables!$B$17-AJ409,AB409+Variables!$B$16+Variables!$B$17-AJ409))),""))</f>
        <v>17</v>
      </c>
      <c r="AL409" s="48" t="s">
        <v>864</v>
      </c>
      <c r="AM409" s="13" t="s">
        <v>3242</v>
      </c>
      <c r="AN409" s="13" t="s">
        <v>3246</v>
      </c>
      <c r="AP409" s="31">
        <v>45808</v>
      </c>
      <c r="AR409" s="13" t="s">
        <v>3259</v>
      </c>
      <c r="AS409" s="31">
        <v>45811</v>
      </c>
      <c r="AU409" s="31">
        <v>45815</v>
      </c>
      <c r="AV409" s="13" t="s">
        <v>3271</v>
      </c>
      <c r="AW409" s="31">
        <v>45838</v>
      </c>
      <c r="AX409" s="13" t="str">
        <f>IF(ISNUMBER(SEARCH("cancel",#REF!)),"Cancelled",IF(AND(AS409&lt;&gt;"",AU409&lt;&gt;"",AW409&lt;&gt;""),"Closed","Open"))</f>
        <v>Closed</v>
      </c>
      <c r="AY409" s="15" t="str">
        <f t="shared" si="19"/>
        <v>All dates received</v>
      </c>
      <c r="BD409" s="13">
        <f>IF($AX409="Cancelled","",IFERROR(IF(OR(AS409="",AJ409=""),"",(AJ409+Variables!$B$18-AS409)),""))</f>
        <v>2</v>
      </c>
      <c r="BE409" s="13">
        <f>IF($AX409="Cancelled","",IFERROR(IF(OR(AW409="",AS409=""),"",(AS409+Variables!$B$19)-AW409),""))</f>
        <v>-22</v>
      </c>
      <c r="BF409" s="44">
        <f>IF($AX409="Cancelled","",IFERROR(W409*INDEX(Variables!$B$7:$D$7,IFERROR(MATCH(IF($B409="Robusta","Robusta",(IF($B409="","Arabica",$B409))&amp;" - "&amp;(IF($C409="","Commercial",$C409))),Variables!$B$1:$D$1,0),1))*(BE409/365),""))</f>
        <v>-18.91129208406997</v>
      </c>
      <c r="BG409" s="44">
        <f>IF($AX409="Cancelled","",IFERROR((W409*INDEX(Variables!$B$7:$D$7,IFERROR(MATCH(IF($B409="Robusta","Robusta",(IF($B409="","Arabica",$B409))&amp;" - "&amp;(IF($C409="","Commercial",$C409))),Variables!$B$1:$D$1,0),1))*IFERROR(IF(AB409="","",(AVERAGE(E409:F409)-AB409)-Variables!$B$14),"")/365)+(L409/16.67*INDEX(Variables!$B$8:$D$8,IFERROR(MATCH(IF($B409="Robusta","Robusta",(IF($B409="","Arabica",$B409))&amp;" - "&amp;(IF($C409="","Commercial",$C409))),Variables!$B$1:$D$1,0),1))*IFERROR(IF(AB409="","",(AVERAGE(E409:F409)-AB409)-Variables!$B$14),""))+(W409*INDEX(Variables!$B$9:$D$9,IFERROR(MATCH(IF($B409="Robusta","Robusta",(IF($B409="","Arabica",$B409))&amp;" - "&amp;(IF($C409="","Commercial",$C409))),Variables!$B$1:$D$1,0),1))*IFERROR(IF(AB409="","",(AVERAGE(E409:F409)-AB409)-Variables!$B$14),"")/365),""))</f>
        <v>41.106356185725133</v>
      </c>
      <c r="BH409" s="44">
        <f>IF($AX409="Cancelled","",IFERROR((W409*INDEX(Variables!$B$7:$D$7,IFERROR(MATCH(IF($B409="Robusta","Robusta",(IF($B409="","Arabica",$B409))&amp;" - "&amp;(IF($C409="","Commercial",$C409))),Variables!$B$1:$D$1,0),1))*AK409/365)+(L409/16.67*INDEX(Variables!$B$8:$D$8,IFERROR(MATCH(IF($B409="Robusta","Robusta",(IF($B409="","Arabica",$B409))&amp;" - "&amp;(IF($C409="","Commercial",$C409))),Variables!$B$1:$D$1,0),1))*AK409)+(W409*INDEX(Variables!$B$9:$D$9,IFERROR(MATCH(IF($B409="Robusta","Robusta",(IF($B409="","Arabica",$B409))&amp;" - "&amp;(IF($C409="","Commercial",$C409))),Variables!$B$1:$D$1,0),1))*AK409/365),""))</f>
        <v>22.451664422725376</v>
      </c>
      <c r="BI409" s="44">
        <f>IF($AX409="Cancelled","",IFERROR((W409*INDEX(Variables!$B$7:$D$7,IFERROR(MATCH(IF($B409="Robusta","Robusta",(IF($B409="","Arabica",$B409))&amp;" - "&amp;(IF($C409="","Commercial",$C409))),Variables!$B$1:$D$1,0),1))*BD409/365)+(L409/16.67*INDEX(Variables!$B$8:$D$8,IFERROR(MATCH(IF($B409="Robusta","Robusta",(IF($B409="","Arabica",$B409))&amp;" - "&amp;(IF($C409="","Commercial",$C409))),Variables!$B$1:$D$1,0),1))*BD409)+(W409*INDEX(Variables!$B$9:$D$9,IFERROR(MATCH(IF($B409="Robusta","Robusta",(IF($B409="","Arabica",$B409))&amp;" - "&amp;(IF($C409="","Commercial",$C409))),Variables!$B$1:$D$1,0),1))*BD409/365),""))</f>
        <v>2.6413722850265144</v>
      </c>
      <c r="BJ409" s="44">
        <f t="shared" si="20"/>
        <v>-3</v>
      </c>
      <c r="BK409" s="44">
        <f>IF($AX409="Cancelled","",IFERROR(IF(BJ409="","",(W409*INDEX(Variables!$B$7:$D$7,IFERROR(MATCH(IF($B409="Robusta","Robusta",(IF($B409="","Arabica",$B409))&amp;" - "&amp;(IF($C409="","Commercial",$C409))),Variables!$B$1:$D$1,0),1))*(BJ409/365))+(W409*INDEX(Variables!$B$9:$D$9,IFERROR(MATCH(IF($B409="Robusta","Robusta",(IF($B409="","Arabica",$B409))&amp;" - "&amp;(IF($C409="","Commercial",$C409))),Variables!$B$1:$D$1,0),1))*(BJ409/365))+(INDEX(Variables!$B$8:$D$8,IFERROR(MATCH(IF($B409="Robusta","Robusta",(IF($B409="","Arabica",$B409))&amp;" - "&amp;(IF($C409="","Commercial",$C409))),Variables!$B$1:$D$1,0),1))*L409/16.67)),""))</f>
        <v>-2.1620584275397712</v>
      </c>
    </row>
    <row r="410" spans="1:63">
      <c r="A410" s="13" t="s">
        <v>103</v>
      </c>
      <c r="B410" s="13" t="s">
        <v>104</v>
      </c>
      <c r="C410" s="13" t="s">
        <v>292</v>
      </c>
      <c r="D410" s="31">
        <v>45751</v>
      </c>
      <c r="E410" s="31">
        <v>45778</v>
      </c>
      <c r="F410" s="31">
        <v>45808</v>
      </c>
      <c r="G410" s="13">
        <v>3786891</v>
      </c>
      <c r="J410" s="13" t="s">
        <v>1040</v>
      </c>
      <c r="K410" s="13" t="s">
        <v>1202</v>
      </c>
      <c r="L410" s="13">
        <v>195</v>
      </c>
      <c r="M410" s="13">
        <v>1</v>
      </c>
      <c r="N410" s="13" t="s">
        <v>1203</v>
      </c>
      <c r="O410" s="13" t="s">
        <v>775</v>
      </c>
      <c r="P410" s="13">
        <v>10030</v>
      </c>
      <c r="R410" s="13" t="s">
        <v>384</v>
      </c>
      <c r="S410" s="13" t="s">
        <v>288</v>
      </c>
      <c r="T410" s="13" t="s">
        <v>289</v>
      </c>
      <c r="U410" s="13" t="s">
        <v>182</v>
      </c>
      <c r="V410" s="13">
        <v>87</v>
      </c>
      <c r="W410" s="44">
        <f>IF($AX410="Cancelled","",IFERROR(((V410+INDEX(Variables!$B$6:$D$6,IFERROR(MATCH(IF($B410="Robusta","Robusta",(IF($B410="","Arabica",$B410))&amp;" - "&amp;(IF($C410="","Commercial",$C410))),Variables!$B$1:$D$1,0),1)))*22.0462)*(L410/16.67),""))</f>
        <v>97430.449922015585</v>
      </c>
      <c r="X410" s="55" t="s">
        <v>39</v>
      </c>
      <c r="Y410" s="13" t="str">
        <f>IF($AX410="Cancelled","",IF(X410="","",IFERROR(IF(INDEX(Variables!$B$38:$B$47,MATCH(X410,Variables!$A$38:$A$47,0))="Yes","Yes","No"),"No")))</f>
        <v>No</v>
      </c>
      <c r="Z410" s="31"/>
      <c r="AB410" s="31">
        <v>45762.875</v>
      </c>
      <c r="AC410" s="13" t="str">
        <f t="shared" si="18"/>
        <v>Approved</v>
      </c>
      <c r="AF410" s="71">
        <v>45791</v>
      </c>
      <c r="AG410" s="36">
        <f>IF($AX410="Cancelled","",IFERROR(IF(F410="","",F410-Variables!$B$13),""))</f>
        <v>45793</v>
      </c>
      <c r="AH410" s="13">
        <f>IF($AX410="Cancelled","",IFERROR(IF(AB410="","",(AVERAGE(E410:F410)-AB410)-Variables!$B$14),""))</f>
        <v>0.125</v>
      </c>
      <c r="AJ410" s="47">
        <v>45798</v>
      </c>
      <c r="AK410" s="14">
        <f>IF($AX410="Cancelled","",IFERROR(IF(AJ410="","",IF(AND(AB410="",AF410=""),"",IF(AF410&gt;AB410,AF410+Variables!$B$15+Variables!$B$16+Variables!$B$17-AJ410,AB410+Variables!$B$16+Variables!$B$17-AJ410))),""))</f>
        <v>8</v>
      </c>
      <c r="AL410" s="48" t="s">
        <v>864</v>
      </c>
      <c r="AM410" s="13" t="s">
        <v>3242</v>
      </c>
      <c r="AN410" s="13" t="s">
        <v>3246</v>
      </c>
      <c r="AP410" s="31">
        <v>45808</v>
      </c>
      <c r="AR410" s="13" t="s">
        <v>3259</v>
      </c>
      <c r="AS410" s="31">
        <v>45811</v>
      </c>
      <c r="AU410" s="31">
        <v>45815</v>
      </c>
      <c r="AV410" s="13" t="s">
        <v>3271</v>
      </c>
      <c r="AW410" s="31">
        <v>45838</v>
      </c>
      <c r="AX410" s="13" t="str">
        <f>IF(ISNUMBER(SEARCH("cancel",#REF!)),"Cancelled",IF(AND(AS410&lt;&gt;"",AU410&lt;&gt;"",AW410&lt;&gt;""),"Closed","Open"))</f>
        <v>Closed</v>
      </c>
      <c r="AY410" s="15" t="str">
        <f t="shared" si="19"/>
        <v>All dates received</v>
      </c>
      <c r="BD410" s="13">
        <f>IF($AX410="Cancelled","",IFERROR(IF(OR(AS410="",AJ410=""),"",(AJ410+Variables!$B$18-AS410)),""))</f>
        <v>2</v>
      </c>
      <c r="BE410" s="13">
        <f>IF($AX410="Cancelled","",IFERROR(IF(OR(AW410="",AS410=""),"",(AS410+Variables!$B$19)-AW410),""))</f>
        <v>-22</v>
      </c>
      <c r="BF410" s="44">
        <f>IF($AX410="Cancelled","",IFERROR(W410*INDEX(Variables!$B$7:$D$7,IFERROR(MATCH(IF($B410="Robusta","Robusta",(IF($B410="","Arabica",$B410))&amp;" - "&amp;(IF($C410="","Commercial",$C410))),Variables!$B$1:$D$1,0),1))*(BE410/365),""))</f>
        <v>-378.67302650726208</v>
      </c>
      <c r="BG410" s="44">
        <f>IF($AX410="Cancelled","",IFERROR((W410*INDEX(Variables!$B$7:$D$7,IFERROR(MATCH(IF($B410="Robusta","Robusta",(IF($B410="","Arabica",$B410))&amp;" - "&amp;(IF($C410="","Commercial",$C410))),Variables!$B$1:$D$1,0),1))*IFERROR(IF(AB410="","",(AVERAGE(E410:F410)-AB410)-Variables!$B$14),"")/365)+(L410/16.67*INDEX(Variables!$B$8:$D$8,IFERROR(MATCH(IF($B410="Robusta","Robusta",(IF($B410="","Arabica",$B410))&amp;" - "&amp;(IF($C410="","Commercial",$C410))),Variables!$B$1:$D$1,0),1))*IFERROR(IF(AB410="","",(AVERAGE(E410:F410)-AB410)-Variables!$B$14),""))+(W410*INDEX(Variables!$B$9:$D$9,IFERROR(MATCH(IF($B410="Robusta","Robusta",(IF($B410="","Arabica",$B410))&amp;" - "&amp;(IF($C410="","Commercial",$C410))),Variables!$B$1:$D$1,0),1))*IFERROR(IF(AB410="","",(AVERAGE(E410:F410)-AB410)-Variables!$B$14),"")/365),""))</f>
        <v>3.3980389352676594</v>
      </c>
      <c r="BH410" s="44">
        <f>IF($AX410="Cancelled","",IFERROR((W410*INDEX(Variables!$B$7:$D$7,IFERROR(MATCH(IF($B410="Robusta","Robusta",(IF($B410="","Arabica",$B410))&amp;" - "&amp;(IF($C410="","Commercial",$C410))),Variables!$B$1:$D$1,0),1))*AK410/365)+(L410/16.67*INDEX(Variables!$B$8:$D$8,IFERROR(MATCH(IF($B410="Robusta","Robusta",(IF($B410="","Arabica",$B410))&amp;" - "&amp;(IF($C410="","Commercial",$C410))),Variables!$B$1:$D$1,0),1))*AK410)+(W410*INDEX(Variables!$B$9:$D$9,IFERROR(MATCH(IF($B410="Robusta","Robusta",(IF($B410="","Arabica",$B410))&amp;" - "&amp;(IF($C410="","Commercial",$C410))),Variables!$B$1:$D$1,0),1))*AK410/365),""))</f>
        <v>217.4744918571302</v>
      </c>
      <c r="BI410" s="44">
        <f>IF($AX410="Cancelled","",IFERROR((W410*INDEX(Variables!$B$7:$D$7,IFERROR(MATCH(IF($B410="Robusta","Robusta",(IF($B410="","Arabica",$B410))&amp;" - "&amp;(IF($C410="","Commercial",$C410))),Variables!$B$1:$D$1,0),1))*BD410/365)+(L410/16.67*INDEX(Variables!$B$8:$D$8,IFERROR(MATCH(IF($B410="Robusta","Robusta",(IF($B410="","Arabica",$B410))&amp;" - "&amp;(IF($C410="","Commercial",$C410))),Variables!$B$1:$D$1,0),1))*BD410)+(W410*INDEX(Variables!$B$9:$D$9,IFERROR(MATCH(IF($B410="Robusta","Robusta",(IF($B410="","Arabica",$B410))&amp;" - "&amp;(IF($C410="","Commercial",$C410))),Variables!$B$1:$D$1,0),1))*BD410/365),""))</f>
        <v>54.368622964282551</v>
      </c>
      <c r="BJ410" s="44">
        <f t="shared" si="20"/>
        <v>-3</v>
      </c>
      <c r="BK410" s="44">
        <f>IF($AX410="Cancelled","",IFERROR(IF(BJ410="","",(W410*INDEX(Variables!$B$7:$D$7,IFERROR(MATCH(IF($B410="Robusta","Robusta",(IF($B410="","Arabica",$B410))&amp;" - "&amp;(IF($C410="","Commercial",$C410))),Variables!$B$1:$D$1,0),1))*(BJ410/365))+(W410*INDEX(Variables!$B$9:$D$9,IFERROR(MATCH(IF($B410="Robusta","Robusta",(IF($B410="","Arabica",$B410))&amp;" - "&amp;(IF($C410="","Commercial",$C410))),Variables!$B$1:$D$1,0),1))*(BJ410/365))+(INDEX(Variables!$B$8:$D$8,IFERROR(MATCH(IF($B410="Robusta","Robusta",(IF($B410="","Arabica",$B410))&amp;" - "&amp;(IF($C410="","Commercial",$C410))),Variables!$B$1:$D$1,0),1))*L410/16.67)),""))</f>
        <v>-42.552934446423819</v>
      </c>
    </row>
    <row r="411" spans="1:63">
      <c r="A411" s="13" t="s">
        <v>103</v>
      </c>
      <c r="B411" s="13" t="s">
        <v>104</v>
      </c>
      <c r="C411" s="13" t="s">
        <v>105</v>
      </c>
      <c r="D411" s="31">
        <v>45754</v>
      </c>
      <c r="E411" s="31">
        <v>45748</v>
      </c>
      <c r="F411" s="31">
        <v>45777</v>
      </c>
      <c r="G411" s="13">
        <v>3786892</v>
      </c>
      <c r="J411" s="13" t="s">
        <v>611</v>
      </c>
      <c r="L411" s="13">
        <v>640</v>
      </c>
      <c r="M411" s="13">
        <v>2</v>
      </c>
      <c r="N411" s="13" t="s">
        <v>1204</v>
      </c>
      <c r="O411" s="13" t="s">
        <v>1205</v>
      </c>
      <c r="P411" s="13">
        <v>10080</v>
      </c>
      <c r="R411" s="13" t="s">
        <v>110</v>
      </c>
      <c r="S411" s="13" t="s">
        <v>1530</v>
      </c>
      <c r="T411" s="13" t="s">
        <v>1530</v>
      </c>
      <c r="U411" s="13" t="s">
        <v>1530</v>
      </c>
      <c r="V411" s="13">
        <v>5</v>
      </c>
      <c r="W411" s="44">
        <f>IF($AX411="Cancelled","",IFERROR(((V411+INDEX(Variables!$B$6:$D$6,IFERROR(MATCH(IF($B411="Robusta","Robusta",(IF($B411="","Arabica",$B411))&amp;" - "&amp;(IF($C411="","Commercial",$C411))),Variables!$B$1:$D$1,0),1)))*22.0462)*(L411/16.67),""))</f>
        <v>250366.53955608874</v>
      </c>
      <c r="X411" s="55" t="s">
        <v>37</v>
      </c>
      <c r="Y411" s="13" t="str">
        <f>IF($AX411="Cancelled","",IF(X411="","",IFERROR(IF(INDEX(Variables!$B$38:$B$47,MATCH(X411,Variables!$A$38:$A$47,0))="Yes","Yes","No"),"No")))</f>
        <v>Yes</v>
      </c>
      <c r="Z411" s="31" t="s">
        <v>443</v>
      </c>
      <c r="AB411" s="31" t="s">
        <v>443</v>
      </c>
      <c r="AC411" s="13" t="str">
        <f t="shared" si="18"/>
        <v/>
      </c>
      <c r="AF411" s="71"/>
      <c r="AG411" s="37">
        <f>IF($AX411="Cancelled","",IFERROR(IF(F411="","",F411-Variables!$B$13),""))</f>
        <v>45762</v>
      </c>
      <c r="AH411" s="13" t="str">
        <f>IF($AX411="Cancelled","",IFERROR(IF(AB411="","",(AVERAGE(E411:F411)-AB411)-Variables!$B$14),""))</f>
        <v/>
      </c>
      <c r="AK411" s="14" t="str">
        <f>IF($AX411="Cancelled","",IFERROR(IF(AJ411="","",IF(AND(AB411="",AF411=""),"",IF(AF411&gt;AB411,AF411+Variables!$B$15+Variables!$B$16+Variables!$B$17-AJ411,AB411+Variables!$B$16+Variables!$B$17-AJ411))),""))</f>
        <v/>
      </c>
      <c r="AL411" s="48" t="s">
        <v>114</v>
      </c>
      <c r="AM411" s="13" t="s">
        <v>8</v>
      </c>
      <c r="AN411" s="13" t="s">
        <v>8</v>
      </c>
      <c r="AP411" s="31">
        <v>45767</v>
      </c>
      <c r="AR411" s="13" t="s">
        <v>8</v>
      </c>
      <c r="AS411" s="31">
        <v>45772</v>
      </c>
      <c r="AU411" s="31">
        <v>45772</v>
      </c>
      <c r="AV411" s="13" t="s">
        <v>865</v>
      </c>
      <c r="AW411" s="31">
        <v>45772</v>
      </c>
      <c r="AX411" s="13" t="str">
        <f>IF(ISNUMBER(SEARCH("cancel",#REF!)),"Cancelled",IF(AND(AS411&lt;&gt;"",AU411&lt;&gt;"",AW411&lt;&gt;""),"Closed","Open"))</f>
        <v>Closed</v>
      </c>
      <c r="AY411" s="15" t="str">
        <f t="shared" si="19"/>
        <v>All dates received</v>
      </c>
      <c r="BD411" s="13" t="str">
        <f>IF($AX411="Cancelled","",IFERROR(IF(OR(AS411="",AJ411=""),"",(AJ411+Variables!$B$18-AS411)),""))</f>
        <v/>
      </c>
      <c r="BE411" s="13">
        <f>IF($AX411="Cancelled","",IFERROR(IF(OR(AW411="",AS411=""),"",(AS411+Variables!$B$19)-AW411),""))</f>
        <v>5</v>
      </c>
      <c r="BF411" s="44">
        <f>IF($AX411="Cancelled","",IFERROR(W411*INDEX(Variables!$B$7:$D$7,IFERROR(MATCH(IF($B411="Robusta","Robusta",(IF($B411="","Arabica",$B411))&amp;" - "&amp;(IF($C411="","Commercial",$C411))),Variables!$B$1:$D$1,0),1))*(BE411/365),""))</f>
        <v>221.15322297210446</v>
      </c>
      <c r="BG411" s="44" t="str">
        <f>IF($AX411="Cancelled","",IFERROR((W411*INDEX(Variables!$B$7:$D$7,IFERROR(MATCH(IF($B411="Robusta","Robusta",(IF($B411="","Arabica",$B411))&amp;" - "&amp;(IF($C411="","Commercial",$C411))),Variables!$B$1:$D$1,0),1))*IFERROR(IF(AB411="","",(AVERAGE(E411:F411)-AB411)-Variables!$B$14),"")/365)+(L411/16.67*INDEX(Variables!$B$8:$D$8,IFERROR(MATCH(IF($B411="Robusta","Robusta",(IF($B411="","Arabica",$B411))&amp;" - "&amp;(IF($C411="","Commercial",$C411))),Variables!$B$1:$D$1,0),1))*IFERROR(IF(AB411="","",(AVERAGE(E411:F411)-AB411)-Variables!$B$14),""))+(W411*INDEX(Variables!$B$9:$D$9,IFERROR(MATCH(IF($B411="Robusta","Robusta",(IF($B411="","Arabica",$B411))&amp;" - "&amp;(IF($C411="","Commercial",$C411))),Variables!$B$1:$D$1,0),1))*IFERROR(IF(AB411="","",(AVERAGE(E411:F411)-AB411)-Variables!$B$14),"")/365),""))</f>
        <v/>
      </c>
      <c r="BH411" s="44" t="str">
        <f>IF($AX411="Cancelled","",IFERROR((W411*INDEX(Variables!$B$7:$D$7,IFERROR(MATCH(IF($B411="Robusta","Robusta",(IF($B411="","Arabica",$B411))&amp;" - "&amp;(IF($C411="","Commercial",$C411))),Variables!$B$1:$D$1,0),1))*AK411/365)+(L411/16.67*INDEX(Variables!$B$8:$D$8,IFERROR(MATCH(IF($B411="Robusta","Robusta",(IF($B411="","Arabica",$B411))&amp;" - "&amp;(IF($C411="","Commercial",$C411))),Variables!$B$1:$D$1,0),1))*AK411)+(W411*INDEX(Variables!$B$9:$D$9,IFERROR(MATCH(IF($B411="Robusta","Robusta",(IF($B411="","Arabica",$B411))&amp;" - "&amp;(IF($C411="","Commercial",$C411))),Variables!$B$1:$D$1,0),1))*AK411/365),""))</f>
        <v/>
      </c>
      <c r="BI411" s="44" t="str">
        <f>IF($AX411="Cancelled","",IFERROR((W411*INDEX(Variables!$B$7:$D$7,IFERROR(MATCH(IF($B411="Robusta","Robusta",(IF($B411="","Arabica",$B411))&amp;" - "&amp;(IF($C411="","Commercial",$C411))),Variables!$B$1:$D$1,0),1))*BD411/365)+(L411/16.67*INDEX(Variables!$B$8:$D$8,IFERROR(MATCH(IF($B411="Robusta","Robusta",(IF($B411="","Arabica",$B411))&amp;" - "&amp;(IF($C411="","Commercial",$C411))),Variables!$B$1:$D$1,0),1))*BD411)+(W411*INDEX(Variables!$B$9:$D$9,IFERROR(MATCH(IF($B411="Robusta","Robusta",(IF($B411="","Arabica",$B411))&amp;" - "&amp;(IF($C411="","Commercial",$C411))),Variables!$B$1:$D$1,0),1))*BD411/365),""))</f>
        <v/>
      </c>
      <c r="BJ411" s="44">
        <f t="shared" si="20"/>
        <v>5</v>
      </c>
      <c r="BK411" s="44">
        <f>IF($AX411="Cancelled","",IFERROR(IF(BJ411="","",(W411*INDEX(Variables!$B$7:$D$7,IFERROR(MATCH(IF($B411="Robusta","Robusta",(IF($B411="","Arabica",$B411))&amp;" - "&amp;(IF($C411="","Commercial",$C411))),Variables!$B$1:$D$1,0),1))*(BJ411/365))+(W411*INDEX(Variables!$B$9:$D$9,IFERROR(MATCH(IF($B411="Robusta","Robusta",(IF($B411="","Arabica",$B411))&amp;" - "&amp;(IF($C411="","Commercial",$C411))),Variables!$B$1:$D$1,0),1))*(BJ411/365))+(INDEX(Variables!$B$8:$D$8,IFERROR(MATCH(IF($B411="Robusta","Robusta",(IF($B411="","Arabica",$B411))&amp;" - "&amp;(IF($C411="","Commercial",$C411))),Variables!$B$1:$D$1,0),1))*L411/16.67)),""))</f>
        <v>256.00431481228225</v>
      </c>
    </row>
    <row r="412" spans="1:63">
      <c r="A412" s="13" t="s">
        <v>103</v>
      </c>
      <c r="B412" s="13" t="s">
        <v>104</v>
      </c>
      <c r="C412" s="13" t="s">
        <v>105</v>
      </c>
      <c r="D412" s="31">
        <v>45756</v>
      </c>
      <c r="E412" s="31">
        <v>45748</v>
      </c>
      <c r="F412" s="31">
        <v>45808</v>
      </c>
      <c r="G412" s="13">
        <v>3786893</v>
      </c>
      <c r="H412" s="13">
        <v>48636</v>
      </c>
      <c r="J412" s="13" t="s">
        <v>447</v>
      </c>
      <c r="K412" s="13" t="s">
        <v>1206</v>
      </c>
      <c r="L412" s="13">
        <v>290</v>
      </c>
      <c r="M412" s="13">
        <v>1</v>
      </c>
      <c r="N412" s="13" t="s">
        <v>1207</v>
      </c>
      <c r="O412" s="13" t="s">
        <v>584</v>
      </c>
      <c r="P412" s="13">
        <v>10040</v>
      </c>
      <c r="R412" s="13" t="s">
        <v>239</v>
      </c>
      <c r="S412" s="13" t="s">
        <v>154</v>
      </c>
      <c r="T412" s="13" t="s">
        <v>155</v>
      </c>
      <c r="U412" s="13" t="s">
        <v>125</v>
      </c>
      <c r="V412" s="13">
        <v>42</v>
      </c>
      <c r="W412" s="44">
        <f>IF($AX412="Cancelled","",IFERROR(((V412+INDEX(Variables!$B$6:$D$6,IFERROR(MATCH(IF($B412="Robusta","Robusta",(IF($B412="","Arabica",$B412))&amp;" - "&amp;(IF($C412="","Commercial",$C412))),Variables!$B$1:$D$1,0),1)))*22.0462)*(L412/16.67),""))</f>
        <v>127637.84369526092</v>
      </c>
      <c r="X412" s="55" t="s">
        <v>37</v>
      </c>
      <c r="Y412" s="13" t="str">
        <f>IF($AX412="Cancelled","",IF(X412="","",IFERROR(IF(INDEX(Variables!$B$38:$B$47,MATCH(X412,Variables!$A$38:$A$47,0))="Yes","Yes","No"),"No")))</f>
        <v>Yes</v>
      </c>
      <c r="Z412" s="58">
        <v>45756</v>
      </c>
      <c r="AB412" s="31">
        <v>45762</v>
      </c>
      <c r="AC412" s="13" t="str">
        <f t="shared" si="18"/>
        <v>Approved</v>
      </c>
      <c r="AF412" s="71">
        <v>45790</v>
      </c>
      <c r="AG412" s="37">
        <f>IF($AX412="Cancelled","",IFERROR(IF(F412="","",F412-Variables!$B$13),""))</f>
        <v>45793</v>
      </c>
      <c r="AH412" s="13">
        <f>IF($AX412="Cancelled","",IFERROR(IF(AB412="","",(AVERAGE(E412:F412)-AB412)-Variables!$B$14),""))</f>
        <v>-14</v>
      </c>
      <c r="AJ412" s="47">
        <v>45786</v>
      </c>
      <c r="AK412" s="14">
        <f>IF($AX412="Cancelled","",IFERROR(IF(AJ412="","",IF(AND(AB412="",AF412=""),"",IF(AF412&gt;AB412,AF412+Variables!$B$15+Variables!$B$16+Variables!$B$17-AJ412,AB412+Variables!$B$16+Variables!$B$17-AJ412))),""))</f>
        <v>19</v>
      </c>
      <c r="AL412" s="48" t="s">
        <v>114</v>
      </c>
      <c r="AM412" s="13" t="s">
        <v>141</v>
      </c>
      <c r="AN412" s="13" t="s">
        <v>1096</v>
      </c>
      <c r="AP412" s="31">
        <v>45800</v>
      </c>
      <c r="AR412" s="13" t="s">
        <v>1208</v>
      </c>
      <c r="AS412" s="31">
        <v>45800</v>
      </c>
      <c r="AU412" s="31">
        <v>45806</v>
      </c>
      <c r="AV412" s="13" t="s">
        <v>865</v>
      </c>
      <c r="AW412" s="31">
        <v>45807</v>
      </c>
      <c r="AX412" s="13" t="str">
        <f>IF(ISNUMBER(SEARCH("cancel",#REF!)),"Cancelled",IF(AND(AS412&lt;&gt;"",AU412&lt;&gt;"",AW412&lt;&gt;""),"Closed","Open"))</f>
        <v>Closed</v>
      </c>
      <c r="AY412" s="15" t="str">
        <f t="shared" si="19"/>
        <v>All dates received</v>
      </c>
      <c r="BD412" s="13">
        <f>IF($AX412="Cancelled","",IFERROR(IF(OR(AS412="",AJ412=""),"",(AJ412+Variables!$B$18-AS412)),""))</f>
        <v>1</v>
      </c>
      <c r="BE412" s="13">
        <f>IF($AX412="Cancelled","",IFERROR(IF(OR(AW412="",AS412=""),"",(AS412+Variables!$B$19)-AW412),""))</f>
        <v>-2</v>
      </c>
      <c r="BF412" s="44">
        <f>IF($AX412="Cancelled","",IFERROR(W412*INDEX(Variables!$B$7:$D$7,IFERROR(MATCH(IF($B412="Robusta","Robusta",(IF($B412="","Arabica",$B412))&amp;" - "&amp;(IF($C412="","Commercial",$C412))),Variables!$B$1:$D$1,0),1))*(BE412/365),""))</f>
        <v>-45.097912135487974</v>
      </c>
      <c r="BG412" s="44">
        <f>IF($AX412="Cancelled","",IFERROR((W412*INDEX(Variables!$B$7:$D$7,IFERROR(MATCH(IF($B412="Robusta","Robusta",(IF($B412="","Arabica",$B412))&amp;" - "&amp;(IF($C412="","Commercial",$C412))),Variables!$B$1:$D$1,0),1))*IFERROR(IF(AB412="","",(AVERAGE(E412:F412)-AB412)-Variables!$B$14),"")/365)+(L412/16.67*INDEX(Variables!$B$8:$D$8,IFERROR(MATCH(IF($B412="Robusta","Robusta",(IF($B412="","Arabica",$B412))&amp;" - "&amp;(IF($C412="","Commercial",$C412))),Variables!$B$1:$D$1,0),1))*IFERROR(IF(AB412="","",(AVERAGE(E412:F412)-AB412)-Variables!$B$14),""))+(W412*INDEX(Variables!$B$9:$D$9,IFERROR(MATCH(IF($B412="Robusta","Robusta",(IF($B412="","Arabica",$B412))&amp;" - "&amp;(IF($C412="","Commercial",$C412))),Variables!$B$1:$D$1,0),1))*IFERROR(IF(AB412="","",(AVERAGE(E412:F412)-AB412)-Variables!$B$14),"")/365),""))</f>
        <v>-522.75517879086556</v>
      </c>
      <c r="BH412" s="44">
        <f>IF($AX412="Cancelled","",IFERROR((W412*INDEX(Variables!$B$7:$D$7,IFERROR(MATCH(IF($B412="Robusta","Robusta",(IF($B412="","Arabica",$B412))&amp;" - "&amp;(IF($C412="","Commercial",$C412))),Variables!$B$1:$D$1,0),1))*AK412/365)+(L412/16.67*INDEX(Variables!$B$8:$D$8,IFERROR(MATCH(IF($B412="Robusta","Robusta",(IF($B412="","Arabica",$B412))&amp;" - "&amp;(IF($C412="","Commercial",$C412))),Variables!$B$1:$D$1,0),1))*AK412)+(W412*INDEX(Variables!$B$9:$D$9,IFERROR(MATCH(IF($B412="Robusta","Robusta",(IF($B412="","Arabica",$B412))&amp;" - "&amp;(IF($C412="","Commercial",$C412))),Variables!$B$1:$D$1,0),1))*AK412/365),""))</f>
        <v>709.45345693046045</v>
      </c>
      <c r="BI412" s="44">
        <f>IF($AX412="Cancelled","",IFERROR((W412*INDEX(Variables!$B$7:$D$7,IFERROR(MATCH(IF($B412="Robusta","Robusta",(IF($B412="","Arabica",$B412))&amp;" - "&amp;(IF($C412="","Commercial",$C412))),Variables!$B$1:$D$1,0),1))*BD412/365)+(L412/16.67*INDEX(Variables!$B$8:$D$8,IFERROR(MATCH(IF($B412="Robusta","Robusta",(IF($B412="","Arabica",$B412))&amp;" - "&amp;(IF($C412="","Commercial",$C412))),Variables!$B$1:$D$1,0),1))*BD412)+(W412*INDEX(Variables!$B$9:$D$9,IFERROR(MATCH(IF($B412="Robusta","Robusta",(IF($B412="","Arabica",$B412))&amp;" - "&amp;(IF($C412="","Commercial",$C412))),Variables!$B$1:$D$1,0),1))*BD412/365),""))</f>
        <v>37.339655627918972</v>
      </c>
      <c r="BJ412" s="44">
        <f t="shared" si="20"/>
        <v>8</v>
      </c>
      <c r="BK412" s="44">
        <f>IF($AX412="Cancelled","",IFERROR(IF(BJ412="","",(W412*INDEX(Variables!$B$7:$D$7,IFERROR(MATCH(IF($B412="Robusta","Robusta",(IF($B412="","Arabica",$B412))&amp;" - "&amp;(IF($C412="","Commercial",$C412))),Variables!$B$1:$D$1,0),1))*(BJ412/365))+(W412*INDEX(Variables!$B$9:$D$9,IFERROR(MATCH(IF($B412="Robusta","Robusta",(IF($B412="","Arabica",$B412))&amp;" - "&amp;(IF($C412="","Commercial",$C412))),Variables!$B$1:$D$1,0),1))*(BJ412/365))+(INDEX(Variables!$B$8:$D$8,IFERROR(MATCH(IF($B412="Robusta","Robusta",(IF($B412="","Arabica",$B412))&amp;" - "&amp;(IF($C412="","Commercial",$C412))),Variables!$B$1:$D$1,0),1))*L412/16.67)),""))</f>
        <v>197.21724502335181</v>
      </c>
    </row>
    <row r="413" spans="1:63">
      <c r="A413" s="13" t="s">
        <v>103</v>
      </c>
      <c r="B413" s="13" t="s">
        <v>104</v>
      </c>
      <c r="C413" s="13" t="s">
        <v>105</v>
      </c>
      <c r="D413" s="31">
        <v>45757</v>
      </c>
      <c r="E413" s="31">
        <v>45809</v>
      </c>
      <c r="F413" s="31">
        <v>45838</v>
      </c>
      <c r="G413" s="13">
        <v>3786894</v>
      </c>
      <c r="H413" s="13" t="s">
        <v>1209</v>
      </c>
      <c r="J413" s="13" t="s">
        <v>260</v>
      </c>
      <c r="K413" s="13">
        <v>5296</v>
      </c>
      <c r="L413" s="13">
        <v>320</v>
      </c>
      <c r="M413" s="13">
        <v>1</v>
      </c>
      <c r="N413" s="13" t="s">
        <v>1210</v>
      </c>
      <c r="O413" s="13" t="s">
        <v>456</v>
      </c>
      <c r="P413" s="13">
        <v>10140</v>
      </c>
      <c r="R413" s="13" t="s">
        <v>110</v>
      </c>
      <c r="S413" s="13" t="s">
        <v>406</v>
      </c>
      <c r="T413" s="13" t="s">
        <v>263</v>
      </c>
      <c r="U413" s="13" t="s">
        <v>125</v>
      </c>
      <c r="V413" s="13">
        <v>-75</v>
      </c>
      <c r="W413" s="44">
        <f>IF($AX413="Cancelled","",IFERROR(((V413+INDEX(Variables!$B$6:$D$6,IFERROR(MATCH(IF($B413="Robusta","Robusta",(IF($B413="","Arabica",$B413))&amp;" - "&amp;(IF($C413="","Commercial",$C413))),Variables!$B$1:$D$1,0),1)))*22.0462)*(L413/16.67),""))</f>
        <v>91327.077816436708</v>
      </c>
      <c r="X413" s="55" t="s">
        <v>37</v>
      </c>
      <c r="Y413" s="13" t="str">
        <f>IF($AX413="Cancelled","",IF(X413="","",IFERROR(IF(INDEX(Variables!$B$38:$B$47,MATCH(X413,Variables!$A$38:$A$47,0))="Yes","Yes","No"),"No")))</f>
        <v>Yes</v>
      </c>
      <c r="Z413" s="58">
        <v>45764</v>
      </c>
      <c r="AB413" s="31">
        <v>45803</v>
      </c>
      <c r="AC413" s="13" t="str">
        <f t="shared" si="18"/>
        <v>Approved</v>
      </c>
      <c r="AF413" s="71">
        <v>45819</v>
      </c>
      <c r="AG413" s="37">
        <f>IF($AX413="Cancelled","",IFERROR(IF(F413="","",F413-Variables!$B$13),""))</f>
        <v>45823</v>
      </c>
      <c r="AH413" s="13">
        <f>IF($AX413="Cancelled","",IFERROR(IF(AB413="","",(AVERAGE(E413:F413)-AB413)-Variables!$B$14),""))</f>
        <v>-9.5</v>
      </c>
      <c r="AJ413" s="47">
        <v>45818</v>
      </c>
      <c r="AK413" s="14">
        <f>IF($AX413="Cancelled","",IFERROR(IF(AJ413="","",IF(AND(AB413="",AF413=""),"",IF(AF413&gt;AB413,AF413+Variables!$B$15+Variables!$B$16+Variables!$B$17-AJ413,AB413+Variables!$B$16+Variables!$B$17-AJ413))),""))</f>
        <v>16</v>
      </c>
      <c r="AL413" s="48" t="s">
        <v>114</v>
      </c>
      <c r="AM413" s="13" t="s">
        <v>168</v>
      </c>
      <c r="AN413" s="13" t="s">
        <v>1096</v>
      </c>
      <c r="AP413" s="31">
        <v>45828</v>
      </c>
      <c r="AR413" s="13" t="s">
        <v>1211</v>
      </c>
      <c r="AS413" s="31">
        <v>45828</v>
      </c>
      <c r="AU413" s="31">
        <v>45831</v>
      </c>
      <c r="AV413" s="13" t="s">
        <v>865</v>
      </c>
      <c r="AW413" s="31">
        <v>45835</v>
      </c>
      <c r="AX413" s="13" t="str">
        <f>IF(ISNUMBER(SEARCH("cancel",#REF!)),"Cancelled",IF(AND(AS413&lt;&gt;"",AU413&lt;&gt;"",AW413&lt;&gt;""),"Closed","Open"))</f>
        <v>Closed</v>
      </c>
      <c r="AY413" s="15" t="str">
        <f t="shared" si="19"/>
        <v>All dates received</v>
      </c>
      <c r="BD413" s="13">
        <f>IF($AX413="Cancelled","",IFERROR(IF(OR(AS413="",AJ413=""),"",(AJ413+Variables!$B$18-AS413)),""))</f>
        <v>5</v>
      </c>
      <c r="BE413" s="13">
        <f>IF($AX413="Cancelled","",IFERROR(IF(OR(AW413="",AS413=""),"",(AS413+Variables!$B$19)-AW413),""))</f>
        <v>-2</v>
      </c>
      <c r="BF413" s="44">
        <f>IF($AX413="Cancelled","",IFERROR(W413*INDEX(Variables!$B$7:$D$7,IFERROR(MATCH(IF($B413="Robusta","Robusta",(IF($B413="","Arabica",$B413))&amp;" - "&amp;(IF($C413="","Commercial",$C413))),Variables!$B$1:$D$1,0),1))*(BE413/365),""))</f>
        <v>-32.268333683150878</v>
      </c>
      <c r="BG413" s="44">
        <f>IF($AX413="Cancelled","",IFERROR((W413*INDEX(Variables!$B$7:$D$7,IFERROR(MATCH(IF($B413="Robusta","Robusta",(IF($B413="","Arabica",$B413))&amp;" - "&amp;(IF($C413="","Commercial",$C413))),Variables!$B$1:$D$1,0),1))*IFERROR(IF(AB413="","",(AVERAGE(E413:F413)-AB413)-Variables!$B$14),"")/365)+(L413/16.67*INDEX(Variables!$B$8:$D$8,IFERROR(MATCH(IF($B413="Robusta","Robusta",(IF($B413="","Arabica",$B413))&amp;" - "&amp;(IF($C413="","Commercial",$C413))),Variables!$B$1:$D$1,0),1))*IFERROR(IF(AB413="","",(AVERAGE(E413:F413)-AB413)-Variables!$B$14),""))+(W413*INDEX(Variables!$B$9:$D$9,IFERROR(MATCH(IF($B413="Robusta","Robusta",(IF($B413="","Arabica",$B413))&amp;" - "&amp;(IF($C413="","Commercial",$C413))),Variables!$B$1:$D$1,0),1))*IFERROR(IF(AB413="","",(AVERAGE(E413:F413)-AB413)-Variables!$B$14),"")/365),""))</f>
        <v>-307.25059019494927</v>
      </c>
      <c r="BH413" s="44">
        <f>IF($AX413="Cancelled","",IFERROR((W413*INDEX(Variables!$B$7:$D$7,IFERROR(MATCH(IF($B413="Robusta","Robusta",(IF($B413="","Arabica",$B413))&amp;" - "&amp;(IF($C413="","Commercial",$C413))),Variables!$B$1:$D$1,0),1))*AK413/365)+(L413/16.67*INDEX(Variables!$B$8:$D$8,IFERROR(MATCH(IF($B413="Robusta","Robusta",(IF($B413="","Arabica",$B413))&amp;" - "&amp;(IF($C413="","Commercial",$C413))),Variables!$B$1:$D$1,0),1))*AK413)+(W413*INDEX(Variables!$B$9:$D$9,IFERROR(MATCH(IF($B413="Robusta","Robusta",(IF($B413="","Arabica",$B413))&amp;" - "&amp;(IF($C413="","Commercial",$C413))),Variables!$B$1:$D$1,0),1))*AK413/365),""))</f>
        <v>517.47467822307237</v>
      </c>
      <c r="BI413" s="44">
        <f>IF($AX413="Cancelled","",IFERROR((W413*INDEX(Variables!$B$7:$D$7,IFERROR(MATCH(IF($B413="Robusta","Robusta",(IF($B413="","Arabica",$B413))&amp;" - "&amp;(IF($C413="","Commercial",$C413))),Variables!$B$1:$D$1,0),1))*BD413/365)+(L413/16.67*INDEX(Variables!$B$8:$D$8,IFERROR(MATCH(IF($B413="Robusta","Robusta",(IF($B413="","Arabica",$B413))&amp;" - "&amp;(IF($C413="","Commercial",$C413))),Variables!$B$1:$D$1,0),1))*BD413)+(W413*INDEX(Variables!$B$9:$D$9,IFERROR(MATCH(IF($B413="Robusta","Robusta",(IF($B413="","Arabica",$B413))&amp;" - "&amp;(IF($C413="","Commercial",$C413))),Variables!$B$1:$D$1,0),1))*BD413/365),""))</f>
        <v>161.71083694471011</v>
      </c>
      <c r="BJ413" s="44">
        <f t="shared" si="20"/>
        <v>10</v>
      </c>
      <c r="BK413" s="44">
        <f>IF($AX413="Cancelled","",IFERROR(IF(BJ413="","",(W413*INDEX(Variables!$B$7:$D$7,IFERROR(MATCH(IF($B413="Robusta","Robusta",(IF($B413="","Arabica",$B413))&amp;" - "&amp;(IF($C413="","Commercial",$C413))),Variables!$B$1:$D$1,0),1))*(BJ413/365))+(W413*INDEX(Variables!$B$9:$D$9,IFERROR(MATCH(IF($B413="Robusta","Robusta",(IF($B413="","Arabica",$B413))&amp;" - "&amp;(IF($C413="","Commercial",$C413))),Variables!$B$1:$D$1,0),1))*(BJ413/365))+(INDEX(Variables!$B$8:$D$8,IFERROR(MATCH(IF($B413="Robusta","Robusta",(IF($B413="","Arabica",$B413))&amp;" - "&amp;(IF($C413="","Commercial",$C413))),Variables!$B$1:$D$1,0),1))*L413/16.67)),""))</f>
        <v>179.42167388942025</v>
      </c>
    </row>
    <row r="414" spans="1:63">
      <c r="A414" s="13" t="s">
        <v>103</v>
      </c>
      <c r="B414" s="13" t="s">
        <v>104</v>
      </c>
      <c r="C414" s="13" t="s">
        <v>105</v>
      </c>
      <c r="D414" s="31">
        <v>45757</v>
      </c>
      <c r="E414" s="31">
        <v>45839</v>
      </c>
      <c r="F414" s="31">
        <v>45869</v>
      </c>
      <c r="G414" s="13">
        <v>3786895</v>
      </c>
      <c r="H414" s="13" t="s">
        <v>1212</v>
      </c>
      <c r="J414" s="13" t="s">
        <v>260</v>
      </c>
      <c r="K414" s="13">
        <v>5301</v>
      </c>
      <c r="L414" s="13">
        <v>320</v>
      </c>
      <c r="M414" s="13">
        <v>1</v>
      </c>
      <c r="N414" s="13" t="s">
        <v>1210</v>
      </c>
      <c r="O414" s="13" t="s">
        <v>456</v>
      </c>
      <c r="P414" s="13">
        <v>10140</v>
      </c>
      <c r="R414" s="13" t="s">
        <v>110</v>
      </c>
      <c r="S414" s="13" t="s">
        <v>406</v>
      </c>
      <c r="T414" s="13" t="s">
        <v>263</v>
      </c>
      <c r="U414" s="13" t="s">
        <v>125</v>
      </c>
      <c r="V414" s="13">
        <v>-75</v>
      </c>
      <c r="W414" s="44">
        <f>IF($AX414="Cancelled","",IFERROR(((V414+INDEX(Variables!$B$6:$D$6,IFERROR(MATCH(IF($B414="Robusta","Robusta",(IF($B414="","Arabica",$B414))&amp;" - "&amp;(IF($C414="","Commercial",$C414))),Variables!$B$1:$D$1,0),1)))*22.0462)*(L414/16.67),""))</f>
        <v>91327.077816436708</v>
      </c>
      <c r="X414" s="55" t="s">
        <v>37</v>
      </c>
      <c r="Y414" s="13" t="str">
        <f>IF($AX414="Cancelled","",IF(X414="","",IFERROR(IF(INDEX(Variables!$B$38:$B$47,MATCH(X414,Variables!$A$38:$A$47,0))="Yes","Yes","No"),"No")))</f>
        <v>Yes</v>
      </c>
      <c r="Z414" s="58">
        <v>45797</v>
      </c>
      <c r="AB414" s="31">
        <v>45821</v>
      </c>
      <c r="AC414" s="13" t="str">
        <f t="shared" si="18"/>
        <v>Approved</v>
      </c>
      <c r="AF414" s="71">
        <v>45838</v>
      </c>
      <c r="AG414" s="37">
        <f>IF($AX414="Cancelled","",IFERROR(IF(F414="","",F414-Variables!$B$13),""))</f>
        <v>45854</v>
      </c>
      <c r="AH414" s="13">
        <f>IF($AX414="Cancelled","",IFERROR(IF(AB414="","",(AVERAGE(E414:F414)-AB414)-Variables!$B$14),""))</f>
        <v>3</v>
      </c>
      <c r="AJ414" s="47">
        <v>45835</v>
      </c>
      <c r="AK414" s="14">
        <f>IF($AX414="Cancelled","",IFERROR(IF(AJ414="","",IF(AND(AB414="",AF414=""),"",IF(AF414&gt;AB414,AF414+Variables!$B$15+Variables!$B$16+Variables!$B$17-AJ414,AB414+Variables!$B$16+Variables!$B$17-AJ414))),""))</f>
        <v>18</v>
      </c>
      <c r="AL414" s="48" t="s">
        <v>114</v>
      </c>
      <c r="AM414" s="13" t="s">
        <v>168</v>
      </c>
      <c r="AN414" s="13" t="s">
        <v>408</v>
      </c>
      <c r="AP414" s="31">
        <v>45844</v>
      </c>
      <c r="AR414" s="13" t="s">
        <v>1213</v>
      </c>
      <c r="AS414" s="31">
        <v>45844</v>
      </c>
      <c r="AU414" s="31">
        <v>45847</v>
      </c>
      <c r="AV414" s="13" t="s">
        <v>865</v>
      </c>
      <c r="AW414" s="31">
        <v>45852</v>
      </c>
      <c r="AX414" s="13" t="str">
        <f>IF(ISNUMBER(SEARCH("cancel",#REF!)),"Cancelled",IF(AND(AS414&lt;&gt;"",AU414&lt;&gt;"",AW414&lt;&gt;""),"Closed","Open"))</f>
        <v>Closed</v>
      </c>
      <c r="AY414" s="15" t="str">
        <f t="shared" si="19"/>
        <v>All dates received</v>
      </c>
      <c r="BD414" s="13">
        <f>IF($AX414="Cancelled","",IFERROR(IF(OR(AS414="",AJ414=""),"",(AJ414+Variables!$B$18-AS414)),""))</f>
        <v>6</v>
      </c>
      <c r="BE414" s="13">
        <f>IF($AX414="Cancelled","",IFERROR(IF(OR(AW414="",AS414=""),"",(AS414+Variables!$B$19)-AW414),""))</f>
        <v>-3</v>
      </c>
      <c r="BF414" s="44">
        <f>IF($AX414="Cancelled","",IFERROR(W414*INDEX(Variables!$B$7:$D$7,IFERROR(MATCH(IF($B414="Robusta","Robusta",(IF($B414="","Arabica",$B414))&amp;" - "&amp;(IF($C414="","Commercial",$C414))),Variables!$B$1:$D$1,0),1))*(BE414/365),""))</f>
        <v>-48.402500524726314</v>
      </c>
      <c r="BG414" s="44">
        <f>IF($AX414="Cancelled","",IFERROR((W414*INDEX(Variables!$B$7:$D$7,IFERROR(MATCH(IF($B414="Robusta","Robusta",(IF($B414="","Arabica",$B414))&amp;" - "&amp;(IF($C414="","Commercial",$C414))),Variables!$B$1:$D$1,0),1))*IFERROR(IF(AB414="","",(AVERAGE(E414:F414)-AB414)-Variables!$B$14),"")/365)+(L414/16.67*INDEX(Variables!$B$8:$D$8,IFERROR(MATCH(IF($B414="Robusta","Robusta",(IF($B414="","Arabica",$B414))&amp;" - "&amp;(IF($C414="","Commercial",$C414))),Variables!$B$1:$D$1,0),1))*IFERROR(IF(AB414="","",(AVERAGE(E414:F414)-AB414)-Variables!$B$14),""))+(W414*INDEX(Variables!$B$9:$D$9,IFERROR(MATCH(IF($B414="Robusta","Robusta",(IF($B414="","Arabica",$B414))&amp;" - "&amp;(IF($C414="","Commercial",$C414))),Variables!$B$1:$D$1,0),1))*IFERROR(IF(AB414="","",(AVERAGE(E414:F414)-AB414)-Variables!$B$14),"")/365),""))</f>
        <v>97.026502166826077</v>
      </c>
      <c r="BH414" s="44">
        <f>IF($AX414="Cancelled","",IFERROR((W414*INDEX(Variables!$B$7:$D$7,IFERROR(MATCH(IF($B414="Robusta","Robusta",(IF($B414="","Arabica",$B414))&amp;" - "&amp;(IF($C414="","Commercial",$C414))),Variables!$B$1:$D$1,0),1))*AK414/365)+(L414/16.67*INDEX(Variables!$B$8:$D$8,IFERROR(MATCH(IF($B414="Robusta","Robusta",(IF($B414="","Arabica",$B414))&amp;" - "&amp;(IF($C414="","Commercial",$C414))),Variables!$B$1:$D$1,0),1))*AK414)+(W414*INDEX(Variables!$B$9:$D$9,IFERROR(MATCH(IF($B414="Robusta","Robusta",(IF($B414="","Arabica",$B414))&amp;" - "&amp;(IF($C414="","Commercial",$C414))),Variables!$B$1:$D$1,0),1))*AK414/365),""))</f>
        <v>582.15901300095652</v>
      </c>
      <c r="BI414" s="44">
        <f>IF($AX414="Cancelled","",IFERROR((W414*INDEX(Variables!$B$7:$D$7,IFERROR(MATCH(IF($B414="Robusta","Robusta",(IF($B414="","Arabica",$B414))&amp;" - "&amp;(IF($C414="","Commercial",$C414))),Variables!$B$1:$D$1,0),1))*BD414/365)+(L414/16.67*INDEX(Variables!$B$8:$D$8,IFERROR(MATCH(IF($B414="Robusta","Robusta",(IF($B414="","Arabica",$B414))&amp;" - "&amp;(IF($C414="","Commercial",$C414))),Variables!$B$1:$D$1,0),1))*BD414)+(W414*INDEX(Variables!$B$9:$D$9,IFERROR(MATCH(IF($B414="Robusta","Robusta",(IF($B414="","Arabica",$B414))&amp;" - "&amp;(IF($C414="","Commercial",$C414))),Variables!$B$1:$D$1,0),1))*BD414/365),""))</f>
        <v>194.05300433365215</v>
      </c>
      <c r="BJ414" s="44">
        <f t="shared" si="20"/>
        <v>25</v>
      </c>
      <c r="BK414" s="44">
        <f>IF($AX414="Cancelled","",IFERROR(IF(BJ414="","",(W414*INDEX(Variables!$B$7:$D$7,IFERROR(MATCH(IF($B414="Robusta","Robusta",(IF($B414="","Arabica",$B414))&amp;" - "&amp;(IF($C414="","Commercial",$C414))),Variables!$B$1:$D$1,0),1))*(BJ414/365))+(W414*INDEX(Variables!$B$9:$D$9,IFERROR(MATCH(IF($B414="Robusta","Robusta",(IF($B414="","Arabica",$B414))&amp;" - "&amp;(IF($C414="","Commercial",$C414))),Variables!$B$1:$D$1,0),1))*(BJ414/365))+(INDEX(Variables!$B$8:$D$8,IFERROR(MATCH(IF($B414="Robusta","Robusta",(IF($B414="","Arabica",$B414))&amp;" - "&amp;(IF($C414="","Commercial",$C414))),Variables!$B$1:$D$1,0),1))*L414/16.67)),""))</f>
        <v>424.55418472355063</v>
      </c>
    </row>
    <row r="415" spans="1:63">
      <c r="A415" s="13" t="s">
        <v>103</v>
      </c>
      <c r="B415" s="13" t="s">
        <v>104</v>
      </c>
      <c r="C415" s="13" t="s">
        <v>292</v>
      </c>
      <c r="D415" s="31">
        <v>45757</v>
      </c>
      <c r="E415" s="31">
        <v>45757</v>
      </c>
      <c r="F415" s="31">
        <v>45777</v>
      </c>
      <c r="G415" s="13">
        <v>3786896</v>
      </c>
      <c r="J415" s="13" t="s">
        <v>294</v>
      </c>
      <c r="K415" s="13" t="s">
        <v>1214</v>
      </c>
      <c r="L415" s="13">
        <v>3</v>
      </c>
      <c r="M415" s="13">
        <v>1</v>
      </c>
      <c r="N415" s="13" t="s">
        <v>1215</v>
      </c>
      <c r="O415" s="13" t="s">
        <v>297</v>
      </c>
      <c r="P415" s="13">
        <v>10020</v>
      </c>
      <c r="R415" s="13" t="s">
        <v>384</v>
      </c>
      <c r="S415" s="13" t="s">
        <v>288</v>
      </c>
      <c r="T415" s="13" t="s">
        <v>289</v>
      </c>
      <c r="U415" s="13" t="s">
        <v>182</v>
      </c>
      <c r="V415" s="13">
        <v>122</v>
      </c>
      <c r="W415" s="44">
        <f>IF($AX415="Cancelled","",IFERROR(((V415+INDEX(Variables!$B$6:$D$6,IFERROR(MATCH(IF($B415="Robusta","Robusta",(IF($B415="","Arabica",$B415))&amp;" - "&amp;(IF($C415="","Commercial",$C415))),Variables!$B$1:$D$1,0),1)))*22.0462)*(L415/16.67),""))</f>
        <v>1637.7932861427712</v>
      </c>
      <c r="X415" s="55" t="s">
        <v>39</v>
      </c>
      <c r="Y415" s="13" t="str">
        <f>IF($AX415="Cancelled","",IF(X415="","",IFERROR(IF(INDEX(Variables!$B$38:$B$47,MATCH(X415,Variables!$A$38:$A$47,0))="Yes","Yes","No"),"No")))</f>
        <v>No</v>
      </c>
      <c r="Z415" s="31"/>
      <c r="AB415" s="31">
        <v>45731.875</v>
      </c>
      <c r="AC415" s="13" t="str">
        <f t="shared" si="18"/>
        <v>Approved</v>
      </c>
      <c r="AF415" s="71">
        <v>45799</v>
      </c>
      <c r="AG415" s="31">
        <f>IF($AX415="Cancelled","",IFERROR(IF(F415="","",F415-Variables!$B$13),""))</f>
        <v>45762</v>
      </c>
      <c r="AH415" s="13">
        <f>IF($AX415="Cancelled","",IFERROR(IF(AB415="","",(AVERAGE(E415:F415)-AB415)-Variables!$B$14),""))</f>
        <v>5.125</v>
      </c>
      <c r="AJ415" s="47">
        <v>45797</v>
      </c>
      <c r="AK415" s="14">
        <f>IF($AX415="Cancelled","",IFERROR(IF(AJ415="","",IF(AND(AB415="",AF415=""),"",IF(AF415&gt;AB415,AF415+Variables!$B$15+Variables!$B$16+Variables!$B$17-AJ415,AB415+Variables!$B$16+Variables!$B$17-AJ415))),""))</f>
        <v>17</v>
      </c>
      <c r="AL415" s="48" t="s">
        <v>224</v>
      </c>
      <c r="AM415" s="13" t="s">
        <v>445</v>
      </c>
      <c r="AN415" s="13" t="s">
        <v>445</v>
      </c>
      <c r="AP415" s="31">
        <v>45800</v>
      </c>
      <c r="AR415" s="13" t="s">
        <v>3262</v>
      </c>
      <c r="AS415" s="31">
        <v>45805</v>
      </c>
      <c r="AU415" s="31">
        <v>45806</v>
      </c>
      <c r="AV415" s="13" t="s">
        <v>865</v>
      </c>
      <c r="AW415" s="31">
        <v>45806</v>
      </c>
      <c r="AX415" s="13" t="str">
        <f>IF(ISNUMBER(SEARCH("cancel",#REF!)),"Cancelled",IF(AND(AS415&lt;&gt;"",AU415&lt;&gt;"",AW415&lt;&gt;""),"Closed","Open"))</f>
        <v>Closed</v>
      </c>
      <c r="AY415" s="15" t="str">
        <f t="shared" si="19"/>
        <v>All dates received</v>
      </c>
      <c r="BD415" s="13">
        <f>IF($AX415="Cancelled","",IFERROR(IF(OR(AS415="",AJ415=""),"",(AJ415+Variables!$B$18-AS415)),""))</f>
        <v>7</v>
      </c>
      <c r="BE415" s="13">
        <f>IF($AX415="Cancelled","",IFERROR(IF(OR(AW415="",AS415=""),"",(AS415+Variables!$B$19)-AW415),""))</f>
        <v>4</v>
      </c>
      <c r="BF415" s="44">
        <f>IF($AX415="Cancelled","",IFERROR(W415*INDEX(Variables!$B$7:$D$7,IFERROR(MATCH(IF($B415="Robusta","Robusta",(IF($B415="","Arabica",$B415))&amp;" - "&amp;(IF($C415="","Commercial",$C415))),Variables!$B$1:$D$1,0),1))*(BE415/365),""))</f>
        <v>1.1573535806653743</v>
      </c>
      <c r="BG415" s="44">
        <f>IF($AX415="Cancelled","",IFERROR((W415*INDEX(Variables!$B$7:$D$7,IFERROR(MATCH(IF($B415="Robusta","Robusta",(IF($B415="","Arabica",$B415))&amp;" - "&amp;(IF($C415="","Commercial",$C415))),Variables!$B$1:$D$1,0),1))*IFERROR(IF(AB415="","",(AVERAGE(E415:F415)-AB415)-Variables!$B$14),"")/365)+(L415/16.67*INDEX(Variables!$B$8:$D$8,IFERROR(MATCH(IF($B415="Robusta","Robusta",(IF($B415="","Arabica",$B415))&amp;" - "&amp;(IF($C415="","Commercial",$C415))),Variables!$B$1:$D$1,0),1))*IFERROR(IF(AB415="","",(AVERAGE(E415:F415)-AB415)-Variables!$B$14),""))+(W415*INDEX(Variables!$B$9:$D$9,IFERROR(MATCH(IF($B415="Robusta","Robusta",(IF($B415="","Arabica",$B415))&amp;" - "&amp;(IF($C415="","Commercial",$C415))),Variables!$B$1:$D$1,0),1))*IFERROR(IF(AB415="","",(AVERAGE(E415:F415)-AB415)-Variables!$B$14),"")/365),""))</f>
        <v>2.2707261930047675</v>
      </c>
      <c r="BH415" s="44">
        <f>IF($AX415="Cancelled","",IFERROR((W415*INDEX(Variables!$B$7:$D$7,IFERROR(MATCH(IF($B415="Robusta","Robusta",(IF($B415="","Arabica",$B415))&amp;" - "&amp;(IF($C415="","Commercial",$C415))),Variables!$B$1:$D$1,0),1))*AK415/365)+(L415/16.67*INDEX(Variables!$B$8:$D$8,IFERROR(MATCH(IF($B415="Robusta","Robusta",(IF($B415="","Arabica",$B415))&amp;" - "&amp;(IF($C415="","Commercial",$C415))),Variables!$B$1:$D$1,0),1))*AK415)+(W415*INDEX(Variables!$B$9:$D$9,IFERROR(MATCH(IF($B415="Robusta","Robusta",(IF($B415="","Arabica",$B415))&amp;" - "&amp;(IF($C415="","Commercial",$C415))),Variables!$B$1:$D$1,0),1))*AK415/365),""))</f>
        <v>7.5321649328938625</v>
      </c>
      <c r="BI415" s="44">
        <f>IF($AX415="Cancelled","",IFERROR((W415*INDEX(Variables!$B$7:$D$7,IFERROR(MATCH(IF($B415="Robusta","Robusta",(IF($B415="","Arabica",$B415))&amp;" - "&amp;(IF($C415="","Commercial",$C415))),Variables!$B$1:$D$1,0),1))*BD415/365)+(L415/16.67*INDEX(Variables!$B$8:$D$8,IFERROR(MATCH(IF($B415="Robusta","Robusta",(IF($B415="","Arabica",$B415))&amp;" - "&amp;(IF($C415="","Commercial",$C415))),Variables!$B$1:$D$1,0),1))*BD415)+(W415*INDEX(Variables!$B$9:$D$9,IFERROR(MATCH(IF($B415="Robusta","Robusta",(IF($B415="","Arabica",$B415))&amp;" - "&amp;(IF($C415="","Commercial",$C415))),Variables!$B$1:$D$1,0),1))*BD415/365),""))</f>
        <v>3.1014796782504144</v>
      </c>
      <c r="BJ415" s="44">
        <f t="shared" si="20"/>
        <v>-28</v>
      </c>
      <c r="BK415" s="44">
        <f>IF($AX415="Cancelled","",IFERROR(IF(BJ415="","",(W415*INDEX(Variables!$B$7:$D$7,IFERROR(MATCH(IF($B415="Robusta","Robusta",(IF($B415="","Arabica",$B415))&amp;" - "&amp;(IF($C415="","Commercial",$C415))),Variables!$B$1:$D$1,0),1))*(BJ415/365))+(W415*INDEX(Variables!$B$9:$D$9,IFERROR(MATCH(IF($B415="Robusta","Robusta",(IF($B415="","Arabica",$B415))&amp;" - "&amp;(IF($C415="","Commercial",$C415))),Variables!$B$1:$D$1,0),1))*(BJ415/365))+(INDEX(Variables!$B$8:$D$8,IFERROR(MATCH(IF($B415="Robusta","Robusta",(IF($B415="","Arabica",$B415))&amp;" - "&amp;(IF($C415="","Commercial",$C415))),Variables!$B$1:$D$1,0),1))*L415/16.67)),""))</f>
        <v>-8.0559187130016578</v>
      </c>
    </row>
    <row r="416" spans="1:63">
      <c r="A416" s="13" t="s">
        <v>103</v>
      </c>
      <c r="B416" s="13" t="s">
        <v>104</v>
      </c>
      <c r="C416" s="13" t="s">
        <v>292</v>
      </c>
      <c r="D416" s="31">
        <v>45757</v>
      </c>
      <c r="E416" s="31">
        <v>45757</v>
      </c>
      <c r="F416" s="31">
        <v>45777</v>
      </c>
      <c r="G416" s="13">
        <v>3786897</v>
      </c>
      <c r="J416" s="13" t="s">
        <v>294</v>
      </c>
      <c r="K416" s="13" t="s">
        <v>1216</v>
      </c>
      <c r="L416" s="13">
        <v>38</v>
      </c>
      <c r="M416" s="13">
        <v>0</v>
      </c>
      <c r="N416" s="13" t="s">
        <v>1217</v>
      </c>
      <c r="O416" s="13" t="s">
        <v>304</v>
      </c>
      <c r="P416" s="13">
        <v>10010</v>
      </c>
      <c r="R416" s="13" t="s">
        <v>384</v>
      </c>
      <c r="S416" s="13" t="s">
        <v>288</v>
      </c>
      <c r="T416" s="13" t="s">
        <v>289</v>
      </c>
      <c r="U416" s="13" t="s">
        <v>182</v>
      </c>
      <c r="V416" s="13">
        <v>154</v>
      </c>
      <c r="W416" s="44">
        <f>IF($AX416="Cancelled","",IFERROR(((V416+INDEX(Variables!$B$6:$D$6,IFERROR(MATCH(IF($B416="Robusta","Robusta",(IF($B416="","Arabica",$B416))&amp;" - "&amp;(IF($C416="","Commercial",$C416))),Variables!$B$1:$D$1,0),1)))*22.0462)*(L416/16.67),""))</f>
        <v>22353.550742651471</v>
      </c>
      <c r="X416" s="55" t="s">
        <v>39</v>
      </c>
      <c r="Y416" s="13" t="str">
        <f>IF($AX416="Cancelled","",IF(X416="","",IFERROR(IF(INDEX(Variables!$B$38:$B$47,MATCH(X416,Variables!$A$38:$A$47,0))="Yes","Yes","No"),"No")))</f>
        <v>No</v>
      </c>
      <c r="Z416" s="31"/>
      <c r="AB416" s="31">
        <v>45731.875</v>
      </c>
      <c r="AC416" s="13" t="str">
        <f t="shared" si="18"/>
        <v>Approved</v>
      </c>
      <c r="AF416" s="71">
        <v>45791</v>
      </c>
      <c r="AG416" s="31">
        <f>IF($AX416="Cancelled","",IFERROR(IF(F416="","",F416-Variables!$B$13),""))</f>
        <v>45762</v>
      </c>
      <c r="AH416" s="13">
        <f>IF($AX416="Cancelled","",IFERROR(IF(AB416="","",(AVERAGE(E416:F416)-AB416)-Variables!$B$14),""))</f>
        <v>5.125</v>
      </c>
      <c r="AJ416" s="47">
        <v>45797</v>
      </c>
      <c r="AK416" s="14">
        <f>IF($AX416="Cancelled","",IFERROR(IF(AJ416="","",IF(AND(AB416="",AF416=""),"",IF(AF416&gt;AB416,AF416+Variables!$B$15+Variables!$B$16+Variables!$B$17-AJ416,AB416+Variables!$B$16+Variables!$B$17-AJ416))),""))</f>
        <v>9</v>
      </c>
      <c r="AL416" s="48" t="s">
        <v>224</v>
      </c>
      <c r="AM416" s="13" t="s">
        <v>445</v>
      </c>
      <c r="AN416" s="13" t="s">
        <v>445</v>
      </c>
      <c r="AP416" s="31">
        <v>45800</v>
      </c>
      <c r="AR416" s="13" t="s">
        <v>3262</v>
      </c>
      <c r="AS416" s="31">
        <v>45805</v>
      </c>
      <c r="AU416" s="31">
        <v>45806</v>
      </c>
      <c r="AV416" s="13" t="s">
        <v>865</v>
      </c>
      <c r="AW416" s="31">
        <v>45806</v>
      </c>
      <c r="AX416" s="13" t="str">
        <f>IF(ISNUMBER(SEARCH("cancel",#REF!)),"Cancelled",IF(AND(AS416&lt;&gt;"",AU416&lt;&gt;"",AW416&lt;&gt;""),"Closed","Open"))</f>
        <v>Closed</v>
      </c>
      <c r="AY416" s="15" t="str">
        <f t="shared" si="19"/>
        <v>All dates received</v>
      </c>
      <c r="BD416" s="13">
        <f>IF($AX416="Cancelled","",IFERROR(IF(OR(AS416="",AJ416=""),"",(AJ416+Variables!$B$18-AS416)),""))</f>
        <v>7</v>
      </c>
      <c r="BE416" s="13">
        <f>IF($AX416="Cancelled","",IFERROR(IF(OR(AW416="",AS416=""),"",(AS416+Variables!$B$19)-AW416),""))</f>
        <v>4</v>
      </c>
      <c r="BF416" s="44">
        <f>IF($AX416="Cancelled","",IFERROR(W416*INDEX(Variables!$B$7:$D$7,IFERROR(MATCH(IF($B416="Robusta","Robusta",(IF($B416="","Arabica",$B416))&amp;" - "&amp;(IF($C416="","Commercial",$C416))),Variables!$B$1:$D$1,0),1))*(BE416/365),""))</f>
        <v>15.796231558332062</v>
      </c>
      <c r="BG416" s="44">
        <f>IF($AX416="Cancelled","",IFERROR((W416*INDEX(Variables!$B$7:$D$7,IFERROR(MATCH(IF($B416="Robusta","Robusta",(IF($B416="","Arabica",$B416))&amp;" - "&amp;(IF($C416="","Commercial",$C416))),Variables!$B$1:$D$1,0),1))*IFERROR(IF(AB416="","",(AVERAGE(E416:F416)-AB416)-Variables!$B$14),"")/365)+(L416/16.67*INDEX(Variables!$B$8:$D$8,IFERROR(MATCH(IF($B416="Robusta","Robusta",(IF($B416="","Arabica",$B416))&amp;" - "&amp;(IF($C416="","Commercial",$C416))),Variables!$B$1:$D$1,0),1))*IFERROR(IF(AB416="","",(AVERAGE(E416:F416)-AB416)-Variables!$B$14),""))+(W416*INDEX(Variables!$B$9:$D$9,IFERROR(MATCH(IF($B416="Robusta","Robusta",(IF($B416="","Arabica",$B416))&amp;" - "&amp;(IF($C416="","Commercial",$C416))),Variables!$B$1:$D$1,0),1))*IFERROR(IF(AB416="","",(AVERAGE(E416:F416)-AB416)-Variables!$B$14),"")/365),""))</f>
        <v>30.237340443026316</v>
      </c>
      <c r="BH416" s="44">
        <f>IF($AX416="Cancelled","",IFERROR((W416*INDEX(Variables!$B$7:$D$7,IFERROR(MATCH(IF($B416="Robusta","Robusta",(IF($B416="","Arabica",$B416))&amp;" - "&amp;(IF($C416="","Commercial",$C416))),Variables!$B$1:$D$1,0),1))*AK416/365)+(L416/16.67*INDEX(Variables!$B$8:$D$8,IFERROR(MATCH(IF($B416="Robusta","Robusta",(IF($B416="","Arabica",$B416))&amp;" - "&amp;(IF($C416="","Commercial",$C416))),Variables!$B$1:$D$1,0),1))*AK416)+(W416*INDEX(Variables!$B$9:$D$9,IFERROR(MATCH(IF($B416="Robusta","Robusta",(IF($B416="","Arabica",$B416))&amp;" - "&amp;(IF($C416="","Commercial",$C416))),Variables!$B$1:$D$1,0),1))*AK416/365),""))</f>
        <v>53.099719802387675</v>
      </c>
      <c r="BI416" s="44">
        <f>IF($AX416="Cancelled","",IFERROR((W416*INDEX(Variables!$B$7:$D$7,IFERROR(MATCH(IF($B416="Robusta","Robusta",(IF($B416="","Arabica",$B416))&amp;" - "&amp;(IF($C416="","Commercial",$C416))),Variables!$B$1:$D$1,0),1))*BD416/365)+(L416/16.67*INDEX(Variables!$B$8:$D$8,IFERROR(MATCH(IF($B416="Robusta","Robusta",(IF($B416="","Arabica",$B416))&amp;" - "&amp;(IF($C416="","Commercial",$C416))),Variables!$B$1:$D$1,0),1))*BD416)+(W416*INDEX(Variables!$B$9:$D$9,IFERROR(MATCH(IF($B416="Robusta","Robusta",(IF($B416="","Arabica",$B416))&amp;" - "&amp;(IF($C416="","Commercial",$C416))),Variables!$B$1:$D$1,0),1))*BD416/365),""))</f>
        <v>41.299782068523754</v>
      </c>
      <c r="BJ416" s="44">
        <f t="shared" si="20"/>
        <v>-28</v>
      </c>
      <c r="BK416" s="44">
        <f>IF($AX416="Cancelled","",IFERROR(IF(BJ416="","",(W416*INDEX(Variables!$B$7:$D$7,IFERROR(MATCH(IF($B416="Robusta","Robusta",(IF($B416="","Arabica",$B416))&amp;" - "&amp;(IF($C416="","Commercial",$C416))),Variables!$B$1:$D$1,0),1))*(BJ416/365))+(W416*INDEX(Variables!$B$9:$D$9,IFERROR(MATCH(IF($B416="Robusta","Robusta",(IF($B416="","Arabica",$B416))&amp;" - "&amp;(IF($C416="","Commercial",$C416))),Variables!$B$1:$D$1,0),1))*(BJ416/365))+(INDEX(Variables!$B$8:$D$8,IFERROR(MATCH(IF($B416="Robusta","Robusta",(IF($B416="","Arabica",$B416))&amp;" - "&amp;(IF($C416="","Commercial",$C416))),Variables!$B$1:$D$1,0),1))*L416/16.67)),""))</f>
        <v>-110.09912827409499</v>
      </c>
    </row>
    <row r="417" spans="1:63">
      <c r="A417" s="13" t="s">
        <v>103</v>
      </c>
      <c r="B417" s="13" t="s">
        <v>104</v>
      </c>
      <c r="C417" s="13" t="s">
        <v>292</v>
      </c>
      <c r="D417" s="31">
        <v>45757</v>
      </c>
      <c r="E417" s="31">
        <v>45757</v>
      </c>
      <c r="F417" s="31">
        <v>45777</v>
      </c>
      <c r="G417" s="13">
        <v>3786898</v>
      </c>
      <c r="J417" s="13" t="s">
        <v>294</v>
      </c>
      <c r="K417" s="13" t="s">
        <v>1218</v>
      </c>
      <c r="L417" s="13">
        <v>17</v>
      </c>
      <c r="M417" s="13">
        <v>0</v>
      </c>
      <c r="N417" s="13" t="s">
        <v>1219</v>
      </c>
      <c r="O417" s="13" t="s">
        <v>304</v>
      </c>
      <c r="P417" s="13">
        <v>10010</v>
      </c>
      <c r="R417" s="13" t="s">
        <v>384</v>
      </c>
      <c r="S417" s="13" t="s">
        <v>288</v>
      </c>
      <c r="T417" s="13" t="s">
        <v>289</v>
      </c>
      <c r="U417" s="13" t="s">
        <v>182</v>
      </c>
      <c r="V417" s="13">
        <v>115</v>
      </c>
      <c r="W417" s="44">
        <f>IF($AX417="Cancelled","",IFERROR(((V417+INDEX(Variables!$B$6:$D$6,IFERROR(MATCH(IF($B417="Robusta","Robusta",(IF($B417="","Arabica",$B417))&amp;" - "&amp;(IF($C417="","Commercial",$C417))),Variables!$B$1:$D$1,0),1)))*22.0462)*(L417/16.67),""))</f>
        <v>9123.4502291541685</v>
      </c>
      <c r="X417" s="55" t="s">
        <v>39</v>
      </c>
      <c r="Y417" s="13" t="str">
        <f>IF($AX417="Cancelled","",IF(X417="","",IFERROR(IF(INDEX(Variables!$B$38:$B$47,MATCH(X417,Variables!$A$38:$A$47,0))="Yes","Yes","No"),"No")))</f>
        <v>No</v>
      </c>
      <c r="Z417" s="31"/>
      <c r="AB417" s="31">
        <v>45731.875</v>
      </c>
      <c r="AC417" s="13" t="str">
        <f t="shared" si="18"/>
        <v>Approved</v>
      </c>
      <c r="AF417" s="71">
        <v>45791</v>
      </c>
      <c r="AG417" s="31">
        <f>IF($AX417="Cancelled","",IFERROR(IF(F417="","",F417-Variables!$B$13),""))</f>
        <v>45762</v>
      </c>
      <c r="AH417" s="13">
        <f>IF($AX417="Cancelled","",IFERROR(IF(AB417="","",(AVERAGE(E417:F417)-AB417)-Variables!$B$14),""))</f>
        <v>5.125</v>
      </c>
      <c r="AJ417" s="47">
        <v>45797</v>
      </c>
      <c r="AK417" s="14">
        <f>IF($AX417="Cancelled","",IFERROR(IF(AJ417="","",IF(AND(AB417="",AF417=""),"",IF(AF417&gt;AB417,AF417+Variables!$B$15+Variables!$B$16+Variables!$B$17-AJ417,AB417+Variables!$B$16+Variables!$B$17-AJ417))),""))</f>
        <v>9</v>
      </c>
      <c r="AL417" s="48" t="s">
        <v>224</v>
      </c>
      <c r="AM417" s="13" t="s">
        <v>445</v>
      </c>
      <c r="AN417" s="13" t="s">
        <v>445</v>
      </c>
      <c r="AP417" s="31">
        <v>45800</v>
      </c>
      <c r="AR417" s="13" t="s">
        <v>3262</v>
      </c>
      <c r="AS417" s="31">
        <v>45805</v>
      </c>
      <c r="AU417" s="31">
        <v>45806</v>
      </c>
      <c r="AV417" s="13" t="s">
        <v>865</v>
      </c>
      <c r="AW417" s="31">
        <v>45806</v>
      </c>
      <c r="AX417" s="13" t="str">
        <f>IF(ISNUMBER(SEARCH("cancel",#REF!)),"Cancelled",IF(AND(AS417&lt;&gt;"",AU417&lt;&gt;"",AW417&lt;&gt;""),"Closed","Open"))</f>
        <v>Closed</v>
      </c>
      <c r="AY417" s="15" t="str">
        <f t="shared" si="19"/>
        <v>All dates received</v>
      </c>
      <c r="BD417" s="13">
        <f>IF($AX417="Cancelled","",IFERROR(IF(OR(AS417="",AJ417=""),"",(AJ417+Variables!$B$18-AS417)),""))</f>
        <v>7</v>
      </c>
      <c r="BE417" s="13">
        <f>IF($AX417="Cancelled","",IFERROR(IF(OR(AW417="",AS417=""),"",(AS417+Variables!$B$19)-AW417),""))</f>
        <v>4</v>
      </c>
      <c r="BF417" s="44">
        <f>IF($AX417="Cancelled","",IFERROR(W417*INDEX(Variables!$B$7:$D$7,IFERROR(MATCH(IF($B417="Robusta","Robusta",(IF($B417="","Arabica",$B417))&amp;" - "&amp;(IF($C417="","Commercial",$C417))),Variables!$B$1:$D$1,0),1))*(BE417/365),""))</f>
        <v>6.4471248478505752</v>
      </c>
      <c r="BG417" s="44">
        <f>IF($AX417="Cancelled","",IFERROR((W417*INDEX(Variables!$B$7:$D$7,IFERROR(MATCH(IF($B417="Robusta","Robusta",(IF($B417="","Arabica",$B417))&amp;" - "&amp;(IF($C417="","Commercial",$C417))),Variables!$B$1:$D$1,0),1))*IFERROR(IF(AB417="","",(AVERAGE(E417:F417)-AB417)-Variables!$B$14),"")/365)+(L417/16.67*INDEX(Variables!$B$8:$D$8,IFERROR(MATCH(IF($B417="Robusta","Robusta",(IF($B417="","Arabica",$B417))&amp;" - "&amp;(IF($C417="","Commercial",$C417))),Variables!$B$1:$D$1,0),1))*IFERROR(IF(AB417="","",(AVERAGE(E417:F417)-AB417)-Variables!$B$14),""))+(W417*INDEX(Variables!$B$9:$D$9,IFERROR(MATCH(IF($B417="Robusta","Robusta",(IF($B417="","Arabica",$B417))&amp;" - "&amp;(IF($C417="","Commercial",$C417))),Variables!$B$1:$D$1,0),1))*IFERROR(IF(AB417="","",(AVERAGE(E417:F417)-AB417)-Variables!$B$14),"")/365),""))</f>
        <v>12.723120934320649</v>
      </c>
      <c r="BH417" s="44">
        <f>IF($AX417="Cancelled","",IFERROR((W417*INDEX(Variables!$B$7:$D$7,IFERROR(MATCH(IF($B417="Robusta","Robusta",(IF($B417="","Arabica",$B417))&amp;" - "&amp;(IF($C417="","Commercial",$C417))),Variables!$B$1:$D$1,0),1))*AK417/365)+(L417/16.67*INDEX(Variables!$B$8:$D$8,IFERROR(MATCH(IF($B417="Robusta","Robusta",(IF($B417="","Arabica",$B417))&amp;" - "&amp;(IF($C417="","Commercial",$C417))),Variables!$B$1:$D$1,0),1))*AK417)+(W417*INDEX(Variables!$B$9:$D$9,IFERROR(MATCH(IF($B417="Robusta","Robusta",(IF($B417="","Arabica",$B417))&amp;" - "&amp;(IF($C417="","Commercial",$C417))),Variables!$B$1:$D$1,0),1))*AK417/365),""))</f>
        <v>22.343041640758209</v>
      </c>
      <c r="BI417" s="44">
        <f>IF($AX417="Cancelled","",IFERROR((W417*INDEX(Variables!$B$7:$D$7,IFERROR(MATCH(IF($B417="Robusta","Robusta",(IF($B417="","Arabica",$B417))&amp;" - "&amp;(IF($C417="","Commercial",$C417))),Variables!$B$1:$D$1,0),1))*BD417/365)+(L417/16.67*INDEX(Variables!$B$8:$D$8,IFERROR(MATCH(IF($B417="Robusta","Robusta",(IF($B417="","Arabica",$B417))&amp;" - "&amp;(IF($C417="","Commercial",$C417))),Variables!$B$1:$D$1,0),1))*BD417)+(W417*INDEX(Variables!$B$9:$D$9,IFERROR(MATCH(IF($B417="Robusta","Robusta",(IF($B417="","Arabica",$B417))&amp;" - "&amp;(IF($C417="","Commercial",$C417))),Variables!$B$1:$D$1,0),1))*BD417/365),""))</f>
        <v>17.377921276145276</v>
      </c>
      <c r="BJ417" s="44">
        <f t="shared" si="20"/>
        <v>-28</v>
      </c>
      <c r="BK417" s="44">
        <f>IF($AX417="Cancelled","",IFERROR(IF(BJ417="","",(W417*INDEX(Variables!$B$7:$D$7,IFERROR(MATCH(IF($B417="Robusta","Robusta",(IF($B417="","Arabica",$B417))&amp;" - "&amp;(IF($C417="","Commercial",$C417))),Variables!$B$1:$D$1,0),1))*(BJ417/365))+(W417*INDEX(Variables!$B$9:$D$9,IFERROR(MATCH(IF($B417="Robusta","Robusta",(IF($B417="","Arabica",$B417))&amp;" - "&amp;(IF($C417="","Commercial",$C417))),Variables!$B$1:$D$1,0),1))*(BJ417/365))+(INDEX(Variables!$B$8:$D$8,IFERROR(MATCH(IF($B417="Robusta","Robusta",(IF($B417="","Arabica",$B417))&amp;" - "&amp;(IF($C417="","Commercial",$C417))),Variables!$B$1:$D$1,0),1))*L417/16.67)),""))</f>
        <v>-44.861685104581106</v>
      </c>
    </row>
    <row r="418" spans="1:63">
      <c r="A418" s="13" t="s">
        <v>103</v>
      </c>
      <c r="B418" s="13" t="s">
        <v>104</v>
      </c>
      <c r="C418" s="13" t="s">
        <v>292</v>
      </c>
      <c r="D418" s="31">
        <v>45761</v>
      </c>
      <c r="E418" s="31">
        <v>45761</v>
      </c>
      <c r="F418" s="31">
        <v>45791</v>
      </c>
      <c r="G418" s="13">
        <v>3786899</v>
      </c>
      <c r="J418" s="13" t="s">
        <v>1220</v>
      </c>
      <c r="K418" s="13">
        <v>5257</v>
      </c>
      <c r="L418" s="13">
        <v>100</v>
      </c>
      <c r="M418" s="13">
        <v>1</v>
      </c>
      <c r="N418" s="13" t="s">
        <v>1221</v>
      </c>
      <c r="O418" s="13" t="s">
        <v>775</v>
      </c>
      <c r="P418" s="13">
        <v>10030</v>
      </c>
      <c r="R418" s="13" t="s">
        <v>671</v>
      </c>
      <c r="S418" s="13" t="s">
        <v>288</v>
      </c>
      <c r="T418" s="13" t="s">
        <v>289</v>
      </c>
      <c r="U418" s="13" t="s">
        <v>182</v>
      </c>
      <c r="V418" s="13">
        <v>85</v>
      </c>
      <c r="W418" s="44">
        <f>IF($AX418="Cancelled","",IFERROR(((V418+INDEX(Variables!$B$6:$D$6,IFERROR(MATCH(IF($B418="Robusta","Robusta",(IF($B418="","Arabica",$B418))&amp;" - "&amp;(IF($C418="","Commercial",$C418))),Variables!$B$1:$D$1,0),1)))*22.0462)*(L418/16.67),""))</f>
        <v>49699.831793641264</v>
      </c>
      <c r="X418" s="55" t="s">
        <v>39</v>
      </c>
      <c r="Y418" s="13" t="str">
        <f>IF($AX418="Cancelled","",IF(X418="","",IFERROR(IF(INDEX(Variables!$B$38:$B$47,MATCH(X418,Variables!$A$38:$A$47,0))="Yes","Yes","No"),"No")))</f>
        <v>No</v>
      </c>
      <c r="Z418" s="31"/>
      <c r="AB418" s="31">
        <v>45731.875</v>
      </c>
      <c r="AC418" s="13" t="str">
        <f t="shared" si="18"/>
        <v>Approved</v>
      </c>
      <c r="AF418" s="71">
        <v>45786</v>
      </c>
      <c r="AG418" s="36">
        <f>IF($AX418="Cancelled","",IFERROR(IF(F418="","",F418-Variables!$B$13),""))</f>
        <v>45776</v>
      </c>
      <c r="AH418" s="13">
        <f>IF($AX418="Cancelled","",IFERROR(IF(AB418="","",(AVERAGE(E418:F418)-AB418)-Variables!$B$14),""))</f>
        <v>14.125</v>
      </c>
      <c r="AJ418" s="47">
        <v>45776</v>
      </c>
      <c r="AK418" s="14">
        <f>IF($AX418="Cancelled","",IFERROR(IF(AJ418="","",IF(AND(AB418="",AF418=""),"",IF(AF418&gt;AB418,AF418+Variables!$B$15+Variables!$B$16+Variables!$B$17-AJ418,AB418+Variables!$B$16+Variables!$B$17-AJ418))),""))</f>
        <v>25</v>
      </c>
      <c r="AL418" s="48" t="s">
        <v>114</v>
      </c>
      <c r="AM418" s="13" t="s">
        <v>188</v>
      </c>
      <c r="AN418" s="13" t="s">
        <v>3247</v>
      </c>
      <c r="AP418" s="31">
        <v>45789</v>
      </c>
      <c r="AR418" s="13" t="s">
        <v>3263</v>
      </c>
      <c r="AS418" s="31">
        <v>45794</v>
      </c>
      <c r="AU418" s="31">
        <v>45797</v>
      </c>
      <c r="AV418" s="13" t="s">
        <v>865</v>
      </c>
      <c r="AW418" s="31">
        <v>45806</v>
      </c>
      <c r="AX418" s="13" t="str">
        <f>IF(ISNUMBER(SEARCH("cancel",#REF!)),"Cancelled",IF(AND(AS418&lt;&gt;"",AU418&lt;&gt;"",AW418&lt;&gt;""),"Closed","Open"))</f>
        <v>Closed</v>
      </c>
      <c r="AY418" s="15" t="str">
        <f t="shared" si="19"/>
        <v>All dates received</v>
      </c>
      <c r="BD418" s="13">
        <f>IF($AX418="Cancelled","",IFERROR(IF(OR(AS418="",AJ418=""),"",(AJ418+Variables!$B$18-AS418)),""))</f>
        <v>-3</v>
      </c>
      <c r="BE418" s="13">
        <f>IF($AX418="Cancelled","",IFERROR(IF(OR(AW418="",AS418=""),"",(AS418+Variables!$B$19)-AW418),""))</f>
        <v>-7</v>
      </c>
      <c r="BF418" s="44">
        <f>IF($AX418="Cancelled","",IFERROR(W418*INDEX(Variables!$B$7:$D$7,IFERROR(MATCH(IF($B418="Robusta","Robusta",(IF($B418="","Arabica",$B418))&amp;" - "&amp;(IF($C418="","Commercial",$C418))),Variables!$B$1:$D$1,0),1))*(BE418/365),""))</f>
        <v>-61.461045084349443</v>
      </c>
      <c r="BG418" s="44">
        <f>IF($AX418="Cancelled","",IFERROR((W418*INDEX(Variables!$B$7:$D$7,IFERROR(MATCH(IF($B418="Robusta","Robusta",(IF($B418="","Arabica",$B418))&amp;" - "&amp;(IF($C418="","Commercial",$C418))),Variables!$B$1:$D$1,0),1))*IFERROR(IF(AB418="","",(AVERAGE(E418:F418)-AB418)-Variables!$B$14),"")/365)+(L418/16.67*INDEX(Variables!$B$8:$D$8,IFERROR(MATCH(IF($B418="Robusta","Robusta",(IF($B418="","Arabica",$B418))&amp;" - "&amp;(IF($C418="","Commercial",$C418))),Variables!$B$1:$D$1,0),1))*IFERROR(IF(AB418="","",(AVERAGE(E418:F418)-AB418)-Variables!$B$14),""))+(W418*INDEX(Variables!$B$9:$D$9,IFERROR(MATCH(IF($B418="Robusta","Robusta",(IF($B418="","Arabica",$B418))&amp;" - "&amp;(IF($C418="","Commercial",$C418))),Variables!$B$1:$D$1,0),1))*IFERROR(IF(AB418="","",(AVERAGE(E418:F418)-AB418)-Variables!$B$14),"")/365),""))</f>
        <v>196.24346092996603</v>
      </c>
      <c r="BH418" s="44">
        <f>IF($AX418="Cancelled","",IFERROR((W418*INDEX(Variables!$B$7:$D$7,IFERROR(MATCH(IF($B418="Robusta","Robusta",(IF($B418="","Arabica",$B418))&amp;" - "&amp;(IF($C418="","Commercial",$C418))),Variables!$B$1:$D$1,0),1))*AK418/365)+(L418/16.67*INDEX(Variables!$B$8:$D$8,IFERROR(MATCH(IF($B418="Robusta","Robusta",(IF($B418="","Arabica",$B418))&amp;" - "&amp;(IF($C418="","Commercial",$C418))),Variables!$B$1:$D$1,0),1))*AK418)+(W418*INDEX(Variables!$B$9:$D$9,IFERROR(MATCH(IF($B418="Robusta","Robusta",(IF($B418="","Arabica",$B418))&amp;" - "&amp;(IF($C418="","Commercial",$C418))),Variables!$B$1:$D$1,0),1))*AK418/365),""))</f>
        <v>347.33355916808142</v>
      </c>
      <c r="BI418" s="44">
        <f>IF($AX418="Cancelled","",IFERROR((W418*INDEX(Variables!$B$7:$D$7,IFERROR(MATCH(IF($B418="Robusta","Robusta",(IF($B418="","Arabica",$B418))&amp;" - "&amp;(IF($C418="","Commercial",$C418))),Variables!$B$1:$D$1,0),1))*BD418/365)+(L418/16.67*INDEX(Variables!$B$8:$D$8,IFERROR(MATCH(IF($B418="Robusta","Robusta",(IF($B418="","Arabica",$B418))&amp;" - "&amp;(IF($C418="","Commercial",$C418))),Variables!$B$1:$D$1,0),1))*BD418)+(W418*INDEX(Variables!$B$9:$D$9,IFERROR(MATCH(IF($B418="Robusta","Robusta",(IF($B418="","Arabica",$B418))&amp;" - "&amp;(IF($C418="","Commercial",$C418))),Variables!$B$1:$D$1,0),1))*BD418/365),""))</f>
        <v>-41.680027100169774</v>
      </c>
      <c r="BJ418" s="44">
        <f t="shared" si="20"/>
        <v>-3</v>
      </c>
      <c r="BK418" s="44">
        <f>IF($AX418="Cancelled","",IFERROR(IF(BJ418="","",(W418*INDEX(Variables!$B$7:$D$7,IFERROR(MATCH(IF($B418="Robusta","Robusta",(IF($B418="","Arabica",$B418))&amp;" - "&amp;(IF($C418="","Commercial",$C418))),Variables!$B$1:$D$1,0),1))*(BJ418/365))+(W418*INDEX(Variables!$B$9:$D$9,IFERROR(MATCH(IF($B418="Robusta","Robusta",(IF($B418="","Arabica",$B418))&amp;" - "&amp;(IF($C418="","Commercial",$C418))),Variables!$B$1:$D$1,0),1))*(BJ418/365))+(INDEX(Variables!$B$8:$D$8,IFERROR(MATCH(IF($B418="Robusta","Robusta",(IF($B418="","Arabica",$B418))&amp;" - "&amp;(IF($C418="","Commercial",$C418))),Variables!$B$1:$D$1,0),1))*L418/16.67)),""))</f>
        <v>-21.68002710016977</v>
      </c>
    </row>
    <row r="419" spans="1:63">
      <c r="A419" s="13" t="s">
        <v>103</v>
      </c>
      <c r="B419" s="13" t="s">
        <v>104</v>
      </c>
      <c r="C419" s="13" t="s">
        <v>105</v>
      </c>
      <c r="D419" s="31">
        <v>45761</v>
      </c>
      <c r="E419" s="31">
        <v>45778</v>
      </c>
      <c r="F419" s="31">
        <v>45808</v>
      </c>
      <c r="G419" s="13">
        <v>3786900</v>
      </c>
      <c r="H419" s="13" t="s">
        <v>1222</v>
      </c>
      <c r="J419" s="13" t="s">
        <v>611</v>
      </c>
      <c r="K419" s="13" t="s">
        <v>1223</v>
      </c>
      <c r="L419" s="13">
        <v>265</v>
      </c>
      <c r="M419" s="13">
        <v>1</v>
      </c>
      <c r="N419" s="13" t="s">
        <v>1224</v>
      </c>
      <c r="O419" s="13" t="s">
        <v>775</v>
      </c>
      <c r="P419" s="13">
        <v>10030</v>
      </c>
      <c r="R419" s="13" t="s">
        <v>239</v>
      </c>
      <c r="S419" s="13" t="s">
        <v>553</v>
      </c>
      <c r="T419" s="13" t="s">
        <v>112</v>
      </c>
      <c r="U419" s="13" t="s">
        <v>113</v>
      </c>
      <c r="V419" s="13">
        <v>40</v>
      </c>
      <c r="W419" s="44">
        <f>IF($AX419="Cancelled","",IFERROR(((V419+INDEX(Variables!$B$6:$D$6,IFERROR(MATCH(IF($B419="Robusta","Robusta",(IF($B419="","Arabica",$B419))&amp;" - "&amp;(IF($C419="","Commercial",$C419))),Variables!$B$1:$D$1,0),1)))*22.0462)*(L419/16.67),""))</f>
        <v>115933.65233353329</v>
      </c>
      <c r="X419" s="55" t="s">
        <v>37</v>
      </c>
      <c r="Y419" s="13" t="str">
        <f>IF($AX419="Cancelled","",IF(X419="","",IFERROR(IF(INDEX(Variables!$B$38:$B$47,MATCH(X419,Variables!$A$38:$A$47,0))="Yes","Yes","No"),"No")))</f>
        <v>Yes</v>
      </c>
      <c r="Z419" s="58">
        <v>45764</v>
      </c>
      <c r="AB419" s="31">
        <v>45770</v>
      </c>
      <c r="AC419" s="13" t="str">
        <f t="shared" si="18"/>
        <v>Approved</v>
      </c>
      <c r="AF419" s="71">
        <v>45805</v>
      </c>
      <c r="AG419" s="35">
        <f>IF($AX419="Cancelled","",IFERROR(IF(F419="","",F419-Variables!$B$13),""))</f>
        <v>45793</v>
      </c>
      <c r="AH419" s="13">
        <f>IF($AX419="Cancelled","",IFERROR(IF(AB419="","",(AVERAGE(E419:F419)-AB419)-Variables!$B$14),""))</f>
        <v>-7</v>
      </c>
      <c r="AJ419" s="47">
        <v>45803</v>
      </c>
      <c r="AK419" s="14">
        <f>IF($AX419="Cancelled","",IFERROR(IF(AJ419="","",IF(AND(AB419="",AF419=""),"",IF(AF419&gt;AB419,AF419+Variables!$B$15+Variables!$B$16+Variables!$B$17-AJ419,AB419+Variables!$B$16+Variables!$B$17-AJ419))),""))</f>
        <v>17</v>
      </c>
      <c r="AL419" s="48" t="s">
        <v>114</v>
      </c>
      <c r="AM419" s="13" t="s">
        <v>134</v>
      </c>
      <c r="AN419" s="13" t="s">
        <v>696</v>
      </c>
      <c r="AP419" s="31">
        <v>45821</v>
      </c>
      <c r="AR419" s="13" t="s">
        <v>1225</v>
      </c>
      <c r="AS419" s="31">
        <v>45821</v>
      </c>
      <c r="AU419" s="31">
        <v>45832</v>
      </c>
      <c r="AV419" s="13" t="s">
        <v>865</v>
      </c>
      <c r="AW419" s="31">
        <v>45835</v>
      </c>
      <c r="AX419" s="13" t="str">
        <f>IF(ISNUMBER(SEARCH("cancel",#REF!)),"Cancelled",IF(AND(AS419&lt;&gt;"",AU419&lt;&gt;"",AW419&lt;&gt;""),"Closed","Open"))</f>
        <v>Closed</v>
      </c>
      <c r="AY419" s="15" t="str">
        <f t="shared" si="19"/>
        <v>All dates received</v>
      </c>
      <c r="BD419" s="13">
        <f>IF($AX419="Cancelled","",IFERROR(IF(OR(AS419="",AJ419=""),"",(AJ419+Variables!$B$18-AS419)),""))</f>
        <v>-3</v>
      </c>
      <c r="BE419" s="13">
        <f>IF($AX419="Cancelled","",IFERROR(IF(OR(AW419="",AS419=""),"",(AS419+Variables!$B$19)-AW419),""))</f>
        <v>-9</v>
      </c>
      <c r="BF419" s="44">
        <f>IF($AX419="Cancelled","",IFERROR(W419*INDEX(Variables!$B$7:$D$7,IFERROR(MATCH(IF($B419="Robusta","Robusta",(IF($B419="","Arabica",$B419))&amp;" - "&amp;(IF($C419="","Commercial",$C419))),Variables!$B$1:$D$1,0),1))*(BE419/365),""))</f>
        <v>-184.3312674205815</v>
      </c>
      <c r="BG419" s="44">
        <f>IF($AX419="Cancelled","",IFERROR((W419*INDEX(Variables!$B$7:$D$7,IFERROR(MATCH(IF($B419="Robusta","Robusta",(IF($B419="","Arabica",$B419))&amp;" - "&amp;(IF($C419="","Commercial",$C419))),Variables!$B$1:$D$1,0),1))*IFERROR(IF(AB419="","",(AVERAGE(E419:F419)-AB419)-Variables!$B$14),"")/365)+(L419/16.67*INDEX(Variables!$B$8:$D$8,IFERROR(MATCH(IF($B419="Robusta","Robusta",(IF($B419="","Arabica",$B419))&amp;" - "&amp;(IF($C419="","Commercial",$C419))),Variables!$B$1:$D$1,0),1))*IFERROR(IF(AB419="","",(AVERAGE(E419:F419)-AB419)-Variables!$B$14),""))+(W419*INDEX(Variables!$B$9:$D$9,IFERROR(MATCH(IF($B419="Robusta","Robusta",(IF($B419="","Arabica",$B419))&amp;" - "&amp;(IF($C419="","Commercial",$C419))),Variables!$B$1:$D$1,0),1))*IFERROR(IF(AB419="","",(AVERAGE(E419:F419)-AB419)-Variables!$B$14),"")/365),""))</f>
        <v>-237.96706359398243</v>
      </c>
      <c r="BH419" s="44">
        <f>IF($AX419="Cancelled","",IFERROR((W419*INDEX(Variables!$B$7:$D$7,IFERROR(MATCH(IF($B419="Robusta","Robusta",(IF($B419="","Arabica",$B419))&amp;" - "&amp;(IF($C419="","Commercial",$C419))),Variables!$B$1:$D$1,0),1))*AK419/365)+(L419/16.67*INDEX(Variables!$B$8:$D$8,IFERROR(MATCH(IF($B419="Robusta","Robusta",(IF($B419="","Arabica",$B419))&amp;" - "&amp;(IF($C419="","Commercial",$C419))),Variables!$B$1:$D$1,0),1))*AK419)+(W419*INDEX(Variables!$B$9:$D$9,IFERROR(MATCH(IF($B419="Robusta","Robusta",(IF($B419="","Arabica",$B419))&amp;" - "&amp;(IF($C419="","Commercial",$C419))),Variables!$B$1:$D$1,0),1))*AK419/365),""))</f>
        <v>577.92001158538596</v>
      </c>
      <c r="BI419" s="44">
        <f>IF($AX419="Cancelled","",IFERROR((W419*INDEX(Variables!$B$7:$D$7,IFERROR(MATCH(IF($B419="Robusta","Robusta",(IF($B419="","Arabica",$B419))&amp;" - "&amp;(IF($C419="","Commercial",$C419))),Variables!$B$1:$D$1,0),1))*BD419/365)+(L419/16.67*INDEX(Variables!$B$8:$D$8,IFERROR(MATCH(IF($B419="Robusta","Robusta",(IF($B419="","Arabica",$B419))&amp;" - "&amp;(IF($C419="","Commercial",$C419))),Variables!$B$1:$D$1,0),1))*BD419)+(W419*INDEX(Variables!$B$9:$D$9,IFERROR(MATCH(IF($B419="Robusta","Robusta",(IF($B419="","Arabica",$B419))&amp;" - "&amp;(IF($C419="","Commercial",$C419))),Variables!$B$1:$D$1,0),1))*BD419/365),""))</f>
        <v>-101.98588439742105</v>
      </c>
      <c r="BJ419" s="44">
        <f t="shared" si="20"/>
        <v>-13</v>
      </c>
      <c r="BK419" s="44">
        <f>IF($AX419="Cancelled","",IFERROR(IF(BJ419="","",(W419*INDEX(Variables!$B$7:$D$7,IFERROR(MATCH(IF($B419="Robusta","Robusta",(IF($B419="","Arabica",$B419))&amp;" - "&amp;(IF($C419="","Commercial",$C419))),Variables!$B$1:$D$1,0),1))*(BJ419/365))+(W419*INDEX(Variables!$B$9:$D$9,IFERROR(MATCH(IF($B419="Robusta","Robusta",(IF($B419="","Arabica",$B419))&amp;" - "&amp;(IF($C419="","Commercial",$C419))),Variables!$B$1:$D$1,0),1))*(BJ419/365))+(INDEX(Variables!$B$8:$D$8,IFERROR(MATCH(IF($B419="Robusta","Robusta",(IF($B419="","Arabica",$B419))&amp;" - "&amp;(IF($C419="","Commercial",$C419))),Variables!$B$1:$D$1,0),1))*L419/16.67)),""))</f>
        <v>-256.43883238882449</v>
      </c>
    </row>
    <row r="420" spans="1:63">
      <c r="A420" s="13" t="s">
        <v>103</v>
      </c>
      <c r="B420" s="13" t="s">
        <v>104</v>
      </c>
      <c r="C420" s="13" t="s">
        <v>105</v>
      </c>
      <c r="D420" s="31">
        <v>45763</v>
      </c>
      <c r="E420" s="31">
        <v>45778</v>
      </c>
      <c r="F420" s="31">
        <v>45808</v>
      </c>
      <c r="G420" s="13">
        <v>3786901</v>
      </c>
      <c r="H420" s="13">
        <v>93855</v>
      </c>
      <c r="J420" s="13" t="s">
        <v>118</v>
      </c>
      <c r="K420" s="13">
        <v>5273</v>
      </c>
      <c r="L420" s="13">
        <v>1440</v>
      </c>
      <c r="M420" s="13">
        <v>4</v>
      </c>
      <c r="N420" s="13" t="s">
        <v>1226</v>
      </c>
      <c r="O420" s="13" t="s">
        <v>456</v>
      </c>
      <c r="P420" s="13">
        <v>10140</v>
      </c>
      <c r="Q420" s="13" t="s">
        <v>745</v>
      </c>
      <c r="R420" s="13" t="s">
        <v>122</v>
      </c>
      <c r="S420" s="13" t="s">
        <v>154</v>
      </c>
      <c r="T420" s="13" t="s">
        <v>155</v>
      </c>
      <c r="U420" s="13" t="s">
        <v>125</v>
      </c>
      <c r="V420" s="13">
        <v>-49</v>
      </c>
      <c r="W420" s="44">
        <f>IF($AX420="Cancelled","",IFERROR(((V420+INDEX(Variables!$B$6:$D$6,IFERROR(MATCH(IF($B420="Robusta","Robusta",(IF($B420="","Arabica",$B420))&amp;" - "&amp;(IF($C420="","Commercial",$C420))),Variables!$B$1:$D$1,0),1)))*22.0462)*(L420/16.67),""))</f>
        <v>460486.53091781645</v>
      </c>
      <c r="X420" s="55" t="s">
        <v>37</v>
      </c>
      <c r="Y420" s="13" t="str">
        <f>IF($AX420="Cancelled","",IF(X420="","",IFERROR(IF(INDEX(Variables!$B$38:$B$47,MATCH(X420,Variables!$A$38:$A$47,0))="Yes","Yes","No"),"No")))</f>
        <v>Yes</v>
      </c>
      <c r="Z420" s="58">
        <v>45764</v>
      </c>
      <c r="AB420" s="31">
        <v>45770</v>
      </c>
      <c r="AC420" s="13" t="str">
        <f t="shared" si="18"/>
        <v>Approved</v>
      </c>
      <c r="AF420" s="71">
        <v>45803</v>
      </c>
      <c r="AG420" s="35">
        <f>IF($AX420="Cancelled","",IFERROR(IF(F420="","",F420-Variables!$B$13),""))</f>
        <v>45793</v>
      </c>
      <c r="AH420" s="13">
        <f>IF($AX420="Cancelled","",IFERROR(IF(AB420="","",(AVERAGE(E420:F420)-AB420)-Variables!$B$14),""))</f>
        <v>-7</v>
      </c>
      <c r="AJ420" s="47">
        <v>45800</v>
      </c>
      <c r="AK420" s="14">
        <f>IF($AX420="Cancelled","",IFERROR(IF(AJ420="","",IF(AND(AB420="",AF420=""),"",IF(AF420&gt;AB420,AF420+Variables!$B$15+Variables!$B$16+Variables!$B$17-AJ420,AB420+Variables!$B$16+Variables!$B$17-AJ420))),""))</f>
        <v>18</v>
      </c>
      <c r="AL420" s="48" t="s">
        <v>114</v>
      </c>
      <c r="AM420" s="13" t="s">
        <v>168</v>
      </c>
      <c r="AN420" s="13" t="s">
        <v>784</v>
      </c>
      <c r="AP420" s="31">
        <v>45818</v>
      </c>
      <c r="AR420" s="13" t="s">
        <v>1227</v>
      </c>
      <c r="AS420" s="31">
        <v>45818</v>
      </c>
      <c r="AU420" s="31">
        <v>45821</v>
      </c>
      <c r="AV420" s="13" t="s">
        <v>865</v>
      </c>
      <c r="AW420" s="31">
        <v>45821</v>
      </c>
      <c r="AX420" s="13" t="str">
        <f>IF(ISNUMBER(SEARCH("cancel",#REF!)),"Cancelled",IF(AND(AS420&lt;&gt;"",AU420&lt;&gt;"",AW420&lt;&gt;""),"Closed","Open"))</f>
        <v>Closed</v>
      </c>
      <c r="AY420" s="15" t="str">
        <f t="shared" si="19"/>
        <v>All dates received</v>
      </c>
      <c r="BD420" s="13">
        <f>IF($AX420="Cancelled","",IFERROR(IF(OR(AS420="",AJ420=""),"",(AJ420+Variables!$B$18-AS420)),""))</f>
        <v>-3</v>
      </c>
      <c r="BE420" s="13">
        <f>IF($AX420="Cancelled","",IFERROR(IF(OR(AW420="",AS420=""),"",(AS420+Variables!$B$19)-AW420),""))</f>
        <v>2</v>
      </c>
      <c r="BF420" s="44">
        <f>IF($AX420="Cancelled","",IFERROR(W420*INDEX(Variables!$B$7:$D$7,IFERROR(MATCH(IF($B420="Robusta","Robusta",(IF($B420="","Arabica",$B420))&amp;" - "&amp;(IF($C420="","Commercial",$C420))),Variables!$B$1:$D$1,0),1))*(BE420/365),""))</f>
        <v>162.70238128191139</v>
      </c>
      <c r="BG420" s="44">
        <f>IF($AX420="Cancelled","",IFERROR((W420*INDEX(Variables!$B$7:$D$7,IFERROR(MATCH(IF($B420="Robusta","Robusta",(IF($B420="","Arabica",$B420))&amp;" - "&amp;(IF($C420="","Commercial",$C420))),Variables!$B$1:$D$1,0),1))*IFERROR(IF(AB420="","",(AVERAGE(E420:F420)-AB420)-Variables!$B$14),"")/365)+(L420/16.67*INDEX(Variables!$B$8:$D$8,IFERROR(MATCH(IF($B420="Robusta","Robusta",(IF($B420="","Arabica",$B420))&amp;" - "&amp;(IF($C420="","Commercial",$C420))),Variables!$B$1:$D$1,0),1))*IFERROR(IF(AB420="","",(AVERAGE(E420:F420)-AB420)-Variables!$B$14),""))+(W420*INDEX(Variables!$B$9:$D$9,IFERROR(MATCH(IF($B420="Robusta","Robusta",(IF($B420="","Arabica",$B420))&amp;" - "&amp;(IF($C420="","Commercial",$C420))),Variables!$B$1:$D$1,0),1))*IFERROR(IF(AB420="","",(AVERAGE(E420:F420)-AB420)-Variables!$B$14),"")/365),""))</f>
        <v>-1080.799751396454</v>
      </c>
      <c r="BH420" s="44">
        <f>IF($AX420="Cancelled","",IFERROR((W420*INDEX(Variables!$B$7:$D$7,IFERROR(MATCH(IF($B420="Robusta","Robusta",(IF($B420="","Arabica",$B420))&amp;" - "&amp;(IF($C420="","Commercial",$C420))),Variables!$B$1:$D$1,0),1))*AK420/365)+(L420/16.67*INDEX(Variables!$B$8:$D$8,IFERROR(MATCH(IF($B420="Robusta","Robusta",(IF($B420="","Arabica",$B420))&amp;" - "&amp;(IF($C420="","Commercial",$C420))),Variables!$B$1:$D$1,0),1))*AK420)+(W420*INDEX(Variables!$B$9:$D$9,IFERROR(MATCH(IF($B420="Robusta","Robusta",(IF($B420="","Arabica",$B420))&amp;" - "&amp;(IF($C420="","Commercial",$C420))),Variables!$B$1:$D$1,0),1))*AK420/365),""))</f>
        <v>2779.1993607337386</v>
      </c>
      <c r="BI420" s="44">
        <f>IF($AX420="Cancelled","",IFERROR((W420*INDEX(Variables!$B$7:$D$7,IFERROR(MATCH(IF($B420="Robusta","Robusta",(IF($B420="","Arabica",$B420))&amp;" - "&amp;(IF($C420="","Commercial",$C420))),Variables!$B$1:$D$1,0),1))*BD420/365)+(L420/16.67*INDEX(Variables!$B$8:$D$8,IFERROR(MATCH(IF($B420="Robusta","Robusta",(IF($B420="","Arabica",$B420))&amp;" - "&amp;(IF($C420="","Commercial",$C420))),Variables!$B$1:$D$1,0),1))*BD420)+(W420*INDEX(Variables!$B$9:$D$9,IFERROR(MATCH(IF($B420="Robusta","Robusta",(IF($B420="","Arabica",$B420))&amp;" - "&amp;(IF($C420="","Commercial",$C420))),Variables!$B$1:$D$1,0),1))*BD420/365),""))</f>
        <v>-463.19989345562317</v>
      </c>
      <c r="BJ420" s="44">
        <f t="shared" si="20"/>
        <v>-10</v>
      </c>
      <c r="BK420" s="44">
        <f>IF($AX420="Cancelled","",IFERROR(IF(BJ420="","",(W420*INDEX(Variables!$B$7:$D$7,IFERROR(MATCH(IF($B420="Robusta","Robusta",(IF($B420="","Arabica",$B420))&amp;" - "&amp;(IF($C420="","Commercial",$C420))),Variables!$B$1:$D$1,0),1))*(BJ420/365))+(W420*INDEX(Variables!$B$9:$D$9,IFERROR(MATCH(IF($B420="Robusta","Robusta",(IF($B420="","Arabica",$B420))&amp;" - "&amp;(IF($C420="","Commercial",$C420))),Variables!$B$1:$D$1,0),1))*(BJ420/365))+(INDEX(Variables!$B$8:$D$8,IFERROR(MATCH(IF($B420="Robusta","Robusta",(IF($B420="","Arabica",$B420))&amp;" - "&amp;(IF($C420="","Commercial",$C420))),Variables!$B$1:$D$1,0),1))*L420/16.67)),""))</f>
        <v>-751.99964485207693</v>
      </c>
    </row>
    <row r="421" spans="1:63">
      <c r="A421" s="13" t="s">
        <v>103</v>
      </c>
      <c r="B421" s="13" t="s">
        <v>104</v>
      </c>
      <c r="C421" s="13" t="s">
        <v>105</v>
      </c>
      <c r="D421" s="31">
        <v>45764</v>
      </c>
      <c r="E421" s="31">
        <v>45778</v>
      </c>
      <c r="F421" s="31">
        <v>45808</v>
      </c>
      <c r="G421" s="13">
        <v>3786902</v>
      </c>
      <c r="H421" s="13">
        <v>93863</v>
      </c>
      <c r="J421" s="13" t="s">
        <v>118</v>
      </c>
      <c r="K421" s="13" t="s">
        <v>1228</v>
      </c>
      <c r="L421" s="13">
        <v>300</v>
      </c>
      <c r="M421" s="13">
        <v>1</v>
      </c>
      <c r="N421" s="13" t="s">
        <v>1229</v>
      </c>
      <c r="O421" s="13" t="s">
        <v>261</v>
      </c>
      <c r="P421" s="13">
        <v>10060</v>
      </c>
      <c r="R421" s="13" t="s">
        <v>239</v>
      </c>
      <c r="S421" s="13" t="s">
        <v>1230</v>
      </c>
      <c r="T421" s="13" t="s">
        <v>458</v>
      </c>
      <c r="U421" s="13" t="s">
        <v>125</v>
      </c>
      <c r="V421" s="13">
        <v>41</v>
      </c>
      <c r="W421" s="44">
        <f>IF($AX421="Cancelled","",IFERROR(((V421+INDEX(Variables!$B$6:$D$6,IFERROR(MATCH(IF($B421="Robusta","Robusta",(IF($B421="","Arabica",$B421))&amp;" - "&amp;(IF($C421="","Commercial",$C421))),Variables!$B$1:$D$1,0),1)))*22.0462)*(L421/16.67),""))</f>
        <v>131642.39640071982</v>
      </c>
      <c r="X421" s="55" t="s">
        <v>37</v>
      </c>
      <c r="Y421" s="13" t="str">
        <f>IF($AX421="Cancelled","",IF(X421="","",IFERROR(IF(INDEX(Variables!$B$38:$B$47,MATCH(X421,Variables!$A$38:$A$47,0))="Yes","Yes","No"),"No")))</f>
        <v>Yes</v>
      </c>
      <c r="Z421" s="58">
        <v>45770</v>
      </c>
      <c r="AB421" s="31">
        <v>45777</v>
      </c>
      <c r="AC421" s="13" t="str">
        <f t="shared" si="18"/>
        <v>Approved</v>
      </c>
      <c r="AF421" s="71">
        <v>45803</v>
      </c>
      <c r="AG421" s="35">
        <f>IF($AX421="Cancelled","",IFERROR(IF(F421="","",F421-Variables!$B$13),""))</f>
        <v>45793</v>
      </c>
      <c r="AH421" s="13">
        <f>IF($AX421="Cancelled","",IFERROR(IF(AB421="","",(AVERAGE(E421:F421)-AB421)-Variables!$B$14),""))</f>
        <v>-14</v>
      </c>
      <c r="AJ421" s="47">
        <v>45800</v>
      </c>
      <c r="AK421" s="14">
        <f>IF($AX421="Cancelled","",IFERROR(IF(AJ421="","",IF(AND(AB421="",AF421=""),"",IF(AF421&gt;AB421,AF421+Variables!$B$15+Variables!$B$16+Variables!$B$17-AJ421,AB421+Variables!$B$16+Variables!$B$17-AJ421))),""))</f>
        <v>18</v>
      </c>
      <c r="AL421" s="48" t="s">
        <v>114</v>
      </c>
      <c r="AM421" s="13" t="s">
        <v>168</v>
      </c>
      <c r="AN421" s="13" t="s">
        <v>1231</v>
      </c>
      <c r="AP421" s="31">
        <v>45813</v>
      </c>
      <c r="AR421" s="13" t="s">
        <v>1232</v>
      </c>
      <c r="AS421" s="31">
        <v>45813</v>
      </c>
      <c r="AU421" s="31">
        <v>45820</v>
      </c>
      <c r="AV421" s="13" t="s">
        <v>865</v>
      </c>
      <c r="AW421" s="31">
        <v>45820</v>
      </c>
      <c r="AX421" s="13" t="str">
        <f>IF(ISNUMBER(SEARCH("cancel",#REF!)),"Cancelled",IF(AND(AS421&lt;&gt;"",AU421&lt;&gt;"",AW421&lt;&gt;""),"Closed","Open"))</f>
        <v>Closed</v>
      </c>
      <c r="AY421" s="15" t="str">
        <f t="shared" si="19"/>
        <v>All dates received</v>
      </c>
      <c r="BD421" s="13">
        <f>IF($AX421="Cancelled","",IFERROR(IF(OR(AS421="",AJ421=""),"",(AJ421+Variables!$B$18-AS421)),""))</f>
        <v>2</v>
      </c>
      <c r="BE421" s="13">
        <f>IF($AX421="Cancelled","",IFERROR(IF(OR(AW421="",AS421=""),"",(AS421+Variables!$B$19)-AW421),""))</f>
        <v>-2</v>
      </c>
      <c r="BF421" s="44">
        <f>IF($AX421="Cancelled","",IFERROR(W421*INDEX(Variables!$B$7:$D$7,IFERROR(MATCH(IF($B421="Robusta","Robusta",(IF($B421="","Arabica",$B421))&amp;" - "&amp;(IF($C421="","Commercial",$C421))),Variables!$B$1:$D$1,0),1))*(BE421/365),""))</f>
        <v>-46.512829222961621</v>
      </c>
      <c r="BG421" s="44">
        <f>IF($AX421="Cancelled","",IFERROR((W421*INDEX(Variables!$B$7:$D$7,IFERROR(MATCH(IF($B421="Robusta","Robusta",(IF($B421="","Arabica",$B421))&amp;" - "&amp;(IF($C421="","Commercial",$C421))),Variables!$B$1:$D$1,0),1))*IFERROR(IF(AB421="","",(AVERAGE(E421:F421)-AB421)-Variables!$B$14),"")/365)+(L421/16.67*INDEX(Variables!$B$8:$D$8,IFERROR(MATCH(IF($B421="Robusta","Robusta",(IF($B421="","Arabica",$B421))&amp;" - "&amp;(IF($C421="","Commercial",$C421))),Variables!$B$1:$D$1,0),1))*IFERROR(IF(AB421="","",(AVERAGE(E421:F421)-AB421)-Variables!$B$14),""))+(W421*INDEX(Variables!$B$9:$D$9,IFERROR(MATCH(IF($B421="Robusta","Robusta",(IF($B421="","Arabica",$B421))&amp;" - "&amp;(IF($C421="","Commercial",$C421))),Variables!$B$1:$D$1,0),1))*IFERROR(IF(AB421="","",(AVERAGE(E421:F421)-AB421)-Variables!$B$14),"")/365),""))</f>
        <v>-539.78728548618585</v>
      </c>
      <c r="BH421" s="44">
        <f>IF($AX421="Cancelled","",IFERROR((W421*INDEX(Variables!$B$7:$D$7,IFERROR(MATCH(IF($B421="Robusta","Robusta",(IF($B421="","Arabica",$B421))&amp;" - "&amp;(IF($C421="","Commercial",$C421))),Variables!$B$1:$D$1,0),1))*AK421/365)+(L421/16.67*INDEX(Variables!$B$8:$D$8,IFERROR(MATCH(IF($B421="Robusta","Robusta",(IF($B421="","Arabica",$B421))&amp;" - "&amp;(IF($C421="","Commercial",$C421))),Variables!$B$1:$D$1,0),1))*AK421)+(W421*INDEX(Variables!$B$9:$D$9,IFERROR(MATCH(IF($B421="Robusta","Robusta",(IF($B421="","Arabica",$B421))&amp;" - "&amp;(IF($C421="","Commercial",$C421))),Variables!$B$1:$D$1,0),1))*AK421/365),""))</f>
        <v>694.01222419652458</v>
      </c>
      <c r="BI421" s="44">
        <f>IF($AX421="Cancelled","",IFERROR((W421*INDEX(Variables!$B$7:$D$7,IFERROR(MATCH(IF($B421="Robusta","Robusta",(IF($B421="","Arabica",$B421))&amp;" - "&amp;(IF($C421="","Commercial",$C421))),Variables!$B$1:$D$1,0),1))*BD421/365)+(L421/16.67*INDEX(Variables!$B$8:$D$8,IFERROR(MATCH(IF($B421="Robusta","Robusta",(IF($B421="","Arabica",$B421))&amp;" - "&amp;(IF($C421="","Commercial",$C421))),Variables!$B$1:$D$1,0),1))*BD421)+(W421*INDEX(Variables!$B$9:$D$9,IFERROR(MATCH(IF($B421="Robusta","Robusta",(IF($B421="","Arabica",$B421))&amp;" - "&amp;(IF($C421="","Commercial",$C421))),Variables!$B$1:$D$1,0),1))*BD421/365),""))</f>
        <v>77.112469355169381</v>
      </c>
      <c r="BJ421" s="44">
        <f t="shared" si="20"/>
        <v>-5</v>
      </c>
      <c r="BK421" s="44">
        <f>IF($AX421="Cancelled","",IFERROR(IF(BJ421="","",(W421*INDEX(Variables!$B$7:$D$7,IFERROR(MATCH(IF($B421="Robusta","Robusta",(IF($B421="","Arabica",$B421))&amp;" - "&amp;(IF($C421="","Commercial",$C421))),Variables!$B$1:$D$1,0),1))*(BJ421/365))+(W421*INDEX(Variables!$B$9:$D$9,IFERROR(MATCH(IF($B421="Robusta","Robusta",(IF($B421="","Arabica",$B421))&amp;" - "&amp;(IF($C421="","Commercial",$C421))),Variables!$B$1:$D$1,0),1))*(BJ421/365))+(INDEX(Variables!$B$8:$D$8,IFERROR(MATCH(IF($B421="Robusta","Robusta",(IF($B421="","Arabica",$B421))&amp;" - "&amp;(IF($C421="","Commercial",$C421))),Variables!$B$1:$D$1,0),1))*L421/16.67)),""))</f>
        <v>-102.78117338792347</v>
      </c>
    </row>
    <row r="422" spans="1:63">
      <c r="A422" s="13" t="s">
        <v>103</v>
      </c>
      <c r="B422" s="13" t="s">
        <v>104</v>
      </c>
      <c r="C422" s="13" t="s">
        <v>292</v>
      </c>
      <c r="D422" s="31">
        <v>45764</v>
      </c>
      <c r="E422" s="31">
        <v>45778</v>
      </c>
      <c r="F422" s="31">
        <v>45808</v>
      </c>
      <c r="G422" s="13">
        <v>3786903</v>
      </c>
      <c r="H422" s="13" t="s">
        <v>1233</v>
      </c>
      <c r="J422" s="13" t="s">
        <v>1234</v>
      </c>
      <c r="K422" s="13" t="s">
        <v>1235</v>
      </c>
      <c r="L422" s="13">
        <v>10</v>
      </c>
      <c r="M422" s="13">
        <v>0</v>
      </c>
      <c r="N422" s="13" t="s">
        <v>1236</v>
      </c>
      <c r="O422" s="13" t="s">
        <v>304</v>
      </c>
      <c r="P422" s="13">
        <v>10010</v>
      </c>
      <c r="R422" s="13" t="s">
        <v>671</v>
      </c>
      <c r="S422" s="13" t="s">
        <v>463</v>
      </c>
      <c r="T422" s="13" t="s">
        <v>458</v>
      </c>
      <c r="U422" s="13" t="s">
        <v>125</v>
      </c>
      <c r="V422" s="13">
        <v>105</v>
      </c>
      <c r="W422" s="44">
        <f>IF($AX422="Cancelled","",IFERROR(((V422+INDEX(Variables!$B$6:$D$6,IFERROR(MATCH(IF($B422="Robusta","Robusta",(IF($B422="","Arabica",$B422))&amp;" - "&amp;(IF($C422="","Commercial",$C422))),Variables!$B$1:$D$1,0),1)))*22.0462)*(L422/16.67),""))</f>
        <v>5234.4846790641868</v>
      </c>
      <c r="X422" s="55" t="s">
        <v>37</v>
      </c>
      <c r="Y422" s="13" t="str">
        <f>IF($AX422="Cancelled","",IF(X422="","",IFERROR(IF(INDEX(Variables!$B$38:$B$47,MATCH(X422,Variables!$A$38:$A$47,0))="Yes","Yes","No"),"No")))</f>
        <v>Yes</v>
      </c>
      <c r="Z422" s="31">
        <v>45769.875</v>
      </c>
      <c r="AB422" s="31">
        <v>45776.875</v>
      </c>
      <c r="AC422" s="13" t="str">
        <f t="shared" si="18"/>
        <v>Approved</v>
      </c>
      <c r="AF422" s="71">
        <v>45803</v>
      </c>
      <c r="AG422" s="36">
        <f>IF($AX422="Cancelled","",IFERROR(IF(F422="","",F422-Variables!$B$13),""))</f>
        <v>45793</v>
      </c>
      <c r="AH422" s="13">
        <f>IF($AX422="Cancelled","",IFERROR(IF(AB422="","",(AVERAGE(E422:F422)-AB422)-Variables!$B$14),""))</f>
        <v>-13.875</v>
      </c>
      <c r="AJ422" s="47">
        <v>45800</v>
      </c>
      <c r="AK422" s="14">
        <f>IF($AX422="Cancelled","",IFERROR(IF(AJ422="","",IF(AND(AB422="",AF422=""),"",IF(AF422&gt;AB422,AF422+Variables!$B$15+Variables!$B$16+Variables!$B$17-AJ422,AB422+Variables!$B$16+Variables!$B$17-AJ422))),""))</f>
        <v>18</v>
      </c>
      <c r="AL422" s="48" t="s">
        <v>114</v>
      </c>
      <c r="AM422" s="13" t="s">
        <v>168</v>
      </c>
      <c r="AN422" s="13" t="s">
        <v>1231</v>
      </c>
      <c r="AP422" s="31">
        <v>45808</v>
      </c>
      <c r="AR422" s="13" t="s">
        <v>1232</v>
      </c>
      <c r="AS422" s="31">
        <v>45813</v>
      </c>
      <c r="AU422" s="31">
        <v>45820</v>
      </c>
      <c r="AV422" s="13" t="s">
        <v>865</v>
      </c>
      <c r="AW422" s="31">
        <v>45820</v>
      </c>
      <c r="AX422" s="13" t="str">
        <f>IF(ISNUMBER(SEARCH("cancel",#REF!)),"Cancelled",IF(AND(AS422&lt;&gt;"",AU422&lt;&gt;"",AW422&lt;&gt;""),"Closed","Open"))</f>
        <v>Closed</v>
      </c>
      <c r="AY422" s="15" t="str">
        <f t="shared" si="19"/>
        <v>All dates received</v>
      </c>
      <c r="BD422" s="13">
        <f>IF($AX422="Cancelled","",IFERROR(IF(OR(AS422="",AJ422=""),"",(AJ422+Variables!$B$18-AS422)),""))</f>
        <v>2</v>
      </c>
      <c r="BE422" s="13">
        <f>IF($AX422="Cancelled","",IFERROR(IF(OR(AW422="",AS422=""),"",(AS422+Variables!$B$19)-AW422),""))</f>
        <v>-2</v>
      </c>
      <c r="BF422" s="44">
        <f>IF($AX422="Cancelled","",IFERROR(W422*INDEX(Variables!$B$7:$D$7,IFERROR(MATCH(IF($B422="Robusta","Robusta",(IF($B422="","Arabica",$B422))&amp;" - "&amp;(IF($C422="","Commercial",$C422))),Variables!$B$1:$D$1,0),1))*(BE422/365),""))</f>
        <v>-1.8494854135471384</v>
      </c>
      <c r="BG422" s="44">
        <f>IF($AX422="Cancelled","",IFERROR((W422*INDEX(Variables!$B$7:$D$7,IFERROR(MATCH(IF($B422="Robusta","Robusta",(IF($B422="","Arabica",$B422))&amp;" - "&amp;(IF($C422="","Commercial",$C422))),Variables!$B$1:$D$1,0),1))*IFERROR(IF(AB422="","",(AVERAGE(E422:F422)-AB422)-Variables!$B$14),"")/365)+(L422/16.67*INDEX(Variables!$B$8:$D$8,IFERROR(MATCH(IF($B422="Robusta","Robusta",(IF($B422="","Arabica",$B422))&amp;" - "&amp;(IF($C422="","Commercial",$C422))),Variables!$B$1:$D$1,0),1))*IFERROR(IF(AB422="","",(AVERAGE(E422:F422)-AB422)-Variables!$B$14),""))+(W422*INDEX(Variables!$B$9:$D$9,IFERROR(MATCH(IF($B422="Robusta","Robusta",(IF($B422="","Arabica",$B422))&amp;" - "&amp;(IF($C422="","Commercial",$C422))),Variables!$B$1:$D$1,0),1))*IFERROR(IF(AB422="","",(AVERAGE(E422:F422)-AB422)-Variables!$B$14),"")/365),""))</f>
        <v>-19.933718895394701</v>
      </c>
      <c r="BH422" s="44">
        <f>IF($AX422="Cancelled","",IFERROR((W422*INDEX(Variables!$B$7:$D$7,IFERROR(MATCH(IF($B422="Robusta","Robusta",(IF($B422="","Arabica",$B422))&amp;" - "&amp;(IF($C422="","Commercial",$C422))),Variables!$B$1:$D$1,0),1))*AK422/365)+(L422/16.67*INDEX(Variables!$B$8:$D$8,IFERROR(MATCH(IF($B422="Robusta","Robusta",(IF($B422="","Arabica",$B422))&amp;" - "&amp;(IF($C422="","Commercial",$C422))),Variables!$B$1:$D$1,0),1))*AK422)+(W422*INDEX(Variables!$B$9:$D$9,IFERROR(MATCH(IF($B422="Robusta","Robusta",(IF($B422="","Arabica",$B422))&amp;" - "&amp;(IF($C422="","Commercial",$C422))),Variables!$B$1:$D$1,0),1))*AK422/365),""))</f>
        <v>25.859959648079613</v>
      </c>
      <c r="BI422" s="44">
        <f>IF($AX422="Cancelled","",IFERROR((W422*INDEX(Variables!$B$7:$D$7,IFERROR(MATCH(IF($B422="Robusta","Robusta",(IF($B422="","Arabica",$B422))&amp;" - "&amp;(IF($C422="","Commercial",$C422))),Variables!$B$1:$D$1,0),1))*BD422/365)+(L422/16.67*INDEX(Variables!$B$8:$D$8,IFERROR(MATCH(IF($B422="Robusta","Robusta",(IF($B422="","Arabica",$B422))&amp;" - "&amp;(IF($C422="","Commercial",$C422))),Variables!$B$1:$D$1,0),1))*BD422)+(W422*INDEX(Variables!$B$9:$D$9,IFERROR(MATCH(IF($B422="Robusta","Robusta",(IF($B422="","Arabica",$B422))&amp;" - "&amp;(IF($C422="","Commercial",$C422))),Variables!$B$1:$D$1,0),1))*BD422/365),""))</f>
        <v>2.8733288497866236</v>
      </c>
      <c r="BJ422" s="44">
        <f t="shared" si="20"/>
        <v>-5</v>
      </c>
      <c r="BK422" s="44">
        <f>IF($AX422="Cancelled","",IFERROR(IF(BJ422="","",(W422*INDEX(Variables!$B$7:$D$7,IFERROR(MATCH(IF($B422="Robusta","Robusta",(IF($B422="","Arabica",$B422))&amp;" - "&amp;(IF($C422="","Commercial",$C422))),Variables!$B$1:$D$1,0),1))*(BJ422/365))+(W422*INDEX(Variables!$B$9:$D$9,IFERROR(MATCH(IF($B422="Robusta","Robusta",(IF($B422="","Arabica",$B422))&amp;" - "&amp;(IF($C422="","Commercial",$C422))),Variables!$B$1:$D$1,0),1))*(BJ422/365))+(INDEX(Variables!$B$8:$D$8,IFERROR(MATCH(IF($B422="Robusta","Robusta",(IF($B422="","Arabica",$B422))&amp;" - "&amp;(IF($C422="","Commercial",$C422))),Variables!$B$1:$D$1,0),1))*L422/16.67)),""))</f>
        <v>-4.1833221244665584</v>
      </c>
    </row>
    <row r="423" spans="1:63">
      <c r="A423" s="13" t="s">
        <v>103</v>
      </c>
      <c r="B423" s="13" t="s">
        <v>104</v>
      </c>
      <c r="C423" s="13" t="s">
        <v>292</v>
      </c>
      <c r="D423" s="31">
        <v>45764</v>
      </c>
      <c r="E423" s="31">
        <v>45778</v>
      </c>
      <c r="F423" s="31">
        <v>45808</v>
      </c>
      <c r="G423" s="13">
        <v>3786904</v>
      </c>
      <c r="H423" s="13" t="s">
        <v>1237</v>
      </c>
      <c r="J423" s="13" t="s">
        <v>1234</v>
      </c>
      <c r="K423" s="13" t="s">
        <v>1238</v>
      </c>
      <c r="L423" s="13">
        <v>10</v>
      </c>
      <c r="M423" s="13">
        <v>0</v>
      </c>
      <c r="N423" s="13" t="s">
        <v>1236</v>
      </c>
      <c r="O423" s="13" t="s">
        <v>304</v>
      </c>
      <c r="P423" s="13">
        <v>10010</v>
      </c>
      <c r="R423" s="13" t="s">
        <v>671</v>
      </c>
      <c r="S423" s="13" t="s">
        <v>463</v>
      </c>
      <c r="T423" s="13" t="s">
        <v>458</v>
      </c>
      <c r="U423" s="13" t="s">
        <v>125</v>
      </c>
      <c r="V423" s="13">
        <v>105</v>
      </c>
      <c r="W423" s="44">
        <f>IF($AX423="Cancelled","",IFERROR(((V423+INDEX(Variables!$B$6:$D$6,IFERROR(MATCH(IF($B423="Robusta","Robusta",(IF($B423="","Arabica",$B423))&amp;" - "&amp;(IF($C423="","Commercial",$C423))),Variables!$B$1:$D$1,0),1)))*22.0462)*(L423/16.67),""))</f>
        <v>5234.4846790641868</v>
      </c>
      <c r="X423" s="55" t="s">
        <v>39</v>
      </c>
      <c r="Y423" s="13" t="str">
        <f>IF($AX423="Cancelled","",IF(X423="","",IFERROR(IF(INDEX(Variables!$B$38:$B$47,MATCH(X423,Variables!$A$38:$A$47,0))="Yes","Yes","No"),"No")))</f>
        <v>No</v>
      </c>
      <c r="Z423" s="31"/>
      <c r="AB423" s="31">
        <v>45762.875</v>
      </c>
      <c r="AC423" s="13" t="str">
        <f t="shared" si="18"/>
        <v>Approved</v>
      </c>
      <c r="AF423" s="71">
        <v>45803</v>
      </c>
      <c r="AG423" s="31">
        <f>IF($AX423="Cancelled","",IFERROR(IF(F423="","",F423-Variables!$B$13),""))</f>
        <v>45793</v>
      </c>
      <c r="AH423" s="13">
        <f>IF($AX423="Cancelled","",IFERROR(IF(AB423="","",(AVERAGE(E423:F423)-AB423)-Variables!$B$14),""))</f>
        <v>0.125</v>
      </c>
      <c r="AJ423" s="47">
        <v>45800</v>
      </c>
      <c r="AK423" s="14">
        <f>IF($AX423="Cancelled","",IFERROR(IF(AJ423="","",IF(AND(AB423="",AF423=""),"",IF(AF423&gt;AB423,AF423+Variables!$B$15+Variables!$B$16+Variables!$B$17-AJ423,AB423+Variables!$B$16+Variables!$B$17-AJ423))),""))</f>
        <v>18</v>
      </c>
      <c r="AL423" s="48" t="s">
        <v>114</v>
      </c>
      <c r="AM423" s="13" t="s">
        <v>168</v>
      </c>
      <c r="AN423" s="13" t="s">
        <v>1231</v>
      </c>
      <c r="AP423" s="31">
        <v>45808</v>
      </c>
      <c r="AR423" s="13" t="s">
        <v>1232</v>
      </c>
      <c r="AS423" s="31">
        <v>45813</v>
      </c>
      <c r="AU423" s="31">
        <v>45820</v>
      </c>
      <c r="AV423" s="13" t="s">
        <v>865</v>
      </c>
      <c r="AW423" s="31">
        <v>45820</v>
      </c>
      <c r="AX423" s="13" t="str">
        <f>IF(ISNUMBER(SEARCH("cancel",#REF!)),"Cancelled",IF(AND(AS423&lt;&gt;"",AU423&lt;&gt;"",AW423&lt;&gt;""),"Closed","Open"))</f>
        <v>Closed</v>
      </c>
      <c r="AY423" s="15" t="str">
        <f t="shared" si="19"/>
        <v>All dates received</v>
      </c>
      <c r="BD423" s="13">
        <f>IF($AX423="Cancelled","",IFERROR(IF(OR(AS423="",AJ423=""),"",(AJ423+Variables!$B$18-AS423)),""))</f>
        <v>2</v>
      </c>
      <c r="BE423" s="13">
        <f>IF($AX423="Cancelled","",IFERROR(IF(OR(AW423="",AS423=""),"",(AS423+Variables!$B$19)-AW423),""))</f>
        <v>-2</v>
      </c>
      <c r="BF423" s="44">
        <f>IF($AX423="Cancelled","",IFERROR(W423*INDEX(Variables!$B$7:$D$7,IFERROR(MATCH(IF($B423="Robusta","Robusta",(IF($B423="","Arabica",$B423))&amp;" - "&amp;(IF($C423="","Commercial",$C423))),Variables!$B$1:$D$1,0),1))*(BE423/365),""))</f>
        <v>-1.8494854135471384</v>
      </c>
      <c r="BG423" s="44">
        <f>IF($AX423="Cancelled","",IFERROR((W423*INDEX(Variables!$B$7:$D$7,IFERROR(MATCH(IF($B423="Robusta","Robusta",(IF($B423="","Arabica",$B423))&amp;" - "&amp;(IF($C423="","Commercial",$C423))),Variables!$B$1:$D$1,0),1))*IFERROR(IF(AB423="","",(AVERAGE(E423:F423)-AB423)-Variables!$B$14),"")/365)+(L423/16.67*INDEX(Variables!$B$8:$D$8,IFERROR(MATCH(IF($B423="Robusta","Robusta",(IF($B423="","Arabica",$B423))&amp;" - "&amp;(IF($C423="","Commercial",$C423))),Variables!$B$1:$D$1,0),1))*IFERROR(IF(AB423="","",(AVERAGE(E423:F423)-AB423)-Variables!$B$14),""))+(W423*INDEX(Variables!$B$9:$D$9,IFERROR(MATCH(IF($B423="Robusta","Robusta",(IF($B423="","Arabica",$B423))&amp;" - "&amp;(IF($C423="","Commercial",$C423))),Variables!$B$1:$D$1,0),1))*IFERROR(IF(AB423="","",(AVERAGE(E423:F423)-AB423)-Variables!$B$14),"")/365),""))</f>
        <v>0.17958305311166398</v>
      </c>
      <c r="BH423" s="44">
        <f>IF($AX423="Cancelled","",IFERROR((W423*INDEX(Variables!$B$7:$D$7,IFERROR(MATCH(IF($B423="Robusta","Robusta",(IF($B423="","Arabica",$B423))&amp;" - "&amp;(IF($C423="","Commercial",$C423))),Variables!$B$1:$D$1,0),1))*AK423/365)+(L423/16.67*INDEX(Variables!$B$8:$D$8,IFERROR(MATCH(IF($B423="Robusta","Robusta",(IF($B423="","Arabica",$B423))&amp;" - "&amp;(IF($C423="","Commercial",$C423))),Variables!$B$1:$D$1,0),1))*AK423)+(W423*INDEX(Variables!$B$9:$D$9,IFERROR(MATCH(IF($B423="Robusta","Robusta",(IF($B423="","Arabica",$B423))&amp;" - "&amp;(IF($C423="","Commercial",$C423))),Variables!$B$1:$D$1,0),1))*AK423/365),""))</f>
        <v>25.859959648079613</v>
      </c>
      <c r="BI423" s="44">
        <f>IF($AX423="Cancelled","",IFERROR((W423*INDEX(Variables!$B$7:$D$7,IFERROR(MATCH(IF($B423="Robusta","Robusta",(IF($B423="","Arabica",$B423))&amp;" - "&amp;(IF($C423="","Commercial",$C423))),Variables!$B$1:$D$1,0),1))*BD423/365)+(L423/16.67*INDEX(Variables!$B$8:$D$8,IFERROR(MATCH(IF($B423="Robusta","Robusta",(IF($B423="","Arabica",$B423))&amp;" - "&amp;(IF($C423="","Commercial",$C423))),Variables!$B$1:$D$1,0),1))*BD423)+(W423*INDEX(Variables!$B$9:$D$9,IFERROR(MATCH(IF($B423="Robusta","Robusta",(IF($B423="","Arabica",$B423))&amp;" - "&amp;(IF($C423="","Commercial",$C423))),Variables!$B$1:$D$1,0),1))*BD423/365),""))</f>
        <v>2.8733288497866236</v>
      </c>
      <c r="BJ423" s="44">
        <f t="shared" si="20"/>
        <v>-5</v>
      </c>
      <c r="BK423" s="44">
        <f>IF($AX423="Cancelled","",IFERROR(IF(BJ423="","",(W423*INDEX(Variables!$B$7:$D$7,IFERROR(MATCH(IF($B423="Robusta","Robusta",(IF($B423="","Arabica",$B423))&amp;" - "&amp;(IF($C423="","Commercial",$C423))),Variables!$B$1:$D$1,0),1))*(BJ423/365))+(W423*INDEX(Variables!$B$9:$D$9,IFERROR(MATCH(IF($B423="Robusta","Robusta",(IF($B423="","Arabica",$B423))&amp;" - "&amp;(IF($C423="","Commercial",$C423))),Variables!$B$1:$D$1,0),1))*(BJ423/365))+(INDEX(Variables!$B$8:$D$8,IFERROR(MATCH(IF($B423="Robusta","Robusta",(IF($B423="","Arabica",$B423))&amp;" - "&amp;(IF($C423="","Commercial",$C423))),Variables!$B$1:$D$1,0),1))*L423/16.67)),""))</f>
        <v>-4.1833221244665584</v>
      </c>
    </row>
    <row r="424" spans="1:63">
      <c r="A424" s="13" t="s">
        <v>103</v>
      </c>
      <c r="B424" s="13" t="s">
        <v>104</v>
      </c>
      <c r="C424" s="13" t="s">
        <v>292</v>
      </c>
      <c r="D424" s="31">
        <v>45769</v>
      </c>
      <c r="E424" s="31">
        <v>45748</v>
      </c>
      <c r="F424" s="31">
        <v>45777</v>
      </c>
      <c r="G424" s="13">
        <v>3786905</v>
      </c>
      <c r="J424" s="13" t="s">
        <v>294</v>
      </c>
      <c r="K424" s="13" t="s">
        <v>1239</v>
      </c>
      <c r="L424" s="13">
        <v>41</v>
      </c>
      <c r="M424" s="13">
        <v>0</v>
      </c>
      <c r="N424" s="13" t="s">
        <v>1240</v>
      </c>
      <c r="O424" s="13" t="s">
        <v>304</v>
      </c>
      <c r="P424" s="13">
        <v>10010</v>
      </c>
      <c r="R424" s="13" t="s">
        <v>384</v>
      </c>
      <c r="S424" s="13" t="s">
        <v>299</v>
      </c>
      <c r="T424" s="13" t="s">
        <v>305</v>
      </c>
      <c r="U424" s="13" t="s">
        <v>125</v>
      </c>
      <c r="V424" s="13">
        <v>149</v>
      </c>
      <c r="W424" s="44">
        <f>IF($AX424="Cancelled","",IFERROR(((V424+INDEX(Variables!$B$6:$D$6,IFERROR(MATCH(IF($B424="Robusta","Robusta",(IF($B424="","Arabica",$B424))&amp;" - "&amp;(IF($C424="","Commercial",$C424))),Variables!$B$1:$D$1,0),1)))*22.0462)*(L424/16.67),""))</f>
        <v>23847.190711457704</v>
      </c>
      <c r="X424" s="55" t="s">
        <v>39</v>
      </c>
      <c r="Y424" s="13" t="str">
        <f>IF($AX424="Cancelled","",IF(X424="","",IFERROR(IF(INDEX(Variables!$B$38:$B$47,MATCH(X424,Variables!$A$38:$A$47,0))="Yes","Yes","No"),"No")))</f>
        <v>No</v>
      </c>
      <c r="Z424" s="31"/>
      <c r="AB424" s="31">
        <v>45731.875</v>
      </c>
      <c r="AC424" s="13" t="str">
        <f t="shared" si="18"/>
        <v>Approved</v>
      </c>
      <c r="AF424" s="71">
        <v>45797</v>
      </c>
      <c r="AG424" s="36">
        <f>IF($AX424="Cancelled","",IFERROR(IF(F424="","",F424-Variables!$B$13),""))</f>
        <v>45762</v>
      </c>
      <c r="AH424" s="13">
        <f>IF($AX424="Cancelled","",IFERROR(IF(AB424="","",(AVERAGE(E424:F424)-AB424)-Variables!$B$14),""))</f>
        <v>0.625</v>
      </c>
      <c r="AJ424" s="47">
        <v>45791</v>
      </c>
      <c r="AK424" s="14">
        <f>IF($AX424="Cancelled","",IFERROR(IF(AJ424="","",IF(AND(AB424="",AF424=""),"",IF(AF424&gt;AB424,AF424+Variables!$B$15+Variables!$B$16+Variables!$B$17-AJ424,AB424+Variables!$B$16+Variables!$B$17-AJ424))),""))</f>
        <v>21</v>
      </c>
      <c r="AL424" s="48" t="s">
        <v>864</v>
      </c>
      <c r="AM424" s="13" t="s">
        <v>168</v>
      </c>
      <c r="AN424" s="13" t="s">
        <v>334</v>
      </c>
      <c r="AP424" s="31">
        <v>45810</v>
      </c>
      <c r="AR424" s="13" t="s">
        <v>3257</v>
      </c>
      <c r="AS424" s="31">
        <v>45813</v>
      </c>
      <c r="AU424" s="31">
        <v>45818</v>
      </c>
      <c r="AV424" s="13" t="s">
        <v>3270</v>
      </c>
      <c r="AW424" s="31">
        <v>45820</v>
      </c>
      <c r="AX424" s="13" t="str">
        <f>IF(ISNUMBER(SEARCH("cancel",#REF!)),"Cancelled",IF(AND(AS424&lt;&gt;"",AU424&lt;&gt;"",AW424&lt;&gt;""),"Closed","Open"))</f>
        <v>Closed</v>
      </c>
      <c r="AY424" s="15" t="str">
        <f t="shared" si="19"/>
        <v>All dates received</v>
      </c>
      <c r="BD424" s="13">
        <f>IF($AX424="Cancelled","",IFERROR(IF(OR(AS424="",AJ424=""),"",(AJ424+Variables!$B$18-AS424)),""))</f>
        <v>-7</v>
      </c>
      <c r="BE424" s="13">
        <f>IF($AX424="Cancelled","",IFERROR(IF(OR(AW424="",AS424=""),"",(AS424+Variables!$B$19)-AW424),""))</f>
        <v>-2</v>
      </c>
      <c r="BF424" s="44">
        <f>IF($AX424="Cancelled","",IFERROR(W424*INDEX(Variables!$B$7:$D$7,IFERROR(MATCH(IF($B424="Robusta","Robusta",(IF($B424="","Arabica",$B424))&amp;" - "&amp;(IF($C424="","Commercial",$C424))),Variables!$B$1:$D$1,0),1))*(BE424/365),""))</f>
        <v>-8.4258592925718254</v>
      </c>
      <c r="BG424" s="44">
        <f>IF($AX424="Cancelled","",IFERROR((W424*INDEX(Variables!$B$7:$D$7,IFERROR(MATCH(IF($B424="Robusta","Robusta",(IF($B424="","Arabica",$B424))&amp;" - "&amp;(IF($C424="","Commercial",$C424))),Variables!$B$1:$D$1,0),1))*IFERROR(IF(AB424="","",(AVERAGE(E424:F424)-AB424)-Variables!$B$14),"")/365)+(L424/16.67*INDEX(Variables!$B$8:$D$8,IFERROR(MATCH(IF($B424="Robusta","Robusta",(IF($B424="","Arabica",$B424))&amp;" - "&amp;(IF($C424="","Commercial",$C424))),Variables!$B$1:$D$1,0),1))*IFERROR(IF(AB424="","",(AVERAGE(E424:F424)-AB424)-Variables!$B$14),""))+(W424*INDEX(Variables!$B$9:$D$9,IFERROR(MATCH(IF($B424="Robusta","Robusta",(IF($B424="","Arabica",$B424))&amp;" - "&amp;(IF($C424="","Commercial",$C424))),Variables!$B$1:$D$1,0),1))*IFERROR(IF(AB424="","",(AVERAGE(E424:F424)-AB424)-Variables!$B$14),"")/365),""))</f>
        <v>3.948276524884919</v>
      </c>
      <c r="BH424" s="44">
        <f>IF($AX424="Cancelled","",IFERROR((W424*INDEX(Variables!$B$7:$D$7,IFERROR(MATCH(IF($B424="Robusta","Robusta",(IF($B424="","Arabica",$B424))&amp;" - "&amp;(IF($C424="","Commercial",$C424))),Variables!$B$1:$D$1,0),1))*AK424/365)+(L424/16.67*INDEX(Variables!$B$8:$D$8,IFERROR(MATCH(IF($B424="Robusta","Robusta",(IF($B424="","Arabica",$B424))&amp;" - "&amp;(IF($C424="","Commercial",$C424))),Variables!$B$1:$D$1,0),1))*AK424)+(W424*INDEX(Variables!$B$9:$D$9,IFERROR(MATCH(IF($B424="Robusta","Robusta",(IF($B424="","Arabica",$B424))&amp;" - "&amp;(IF($C424="","Commercial",$C424))),Variables!$B$1:$D$1,0),1))*AK424/365),""))</f>
        <v>132.66209123613328</v>
      </c>
      <c r="BI424" s="44">
        <f>IF($AX424="Cancelled","",IFERROR((W424*INDEX(Variables!$B$7:$D$7,IFERROR(MATCH(IF($B424="Robusta","Robusta",(IF($B424="","Arabica",$B424))&amp;" - "&amp;(IF($C424="","Commercial",$C424))),Variables!$B$1:$D$1,0),1))*BD424/365)+(L424/16.67*INDEX(Variables!$B$8:$D$8,IFERROR(MATCH(IF($B424="Robusta","Robusta",(IF($B424="","Arabica",$B424))&amp;" - "&amp;(IF($C424="","Commercial",$C424))),Variables!$B$1:$D$1,0),1))*BD424)+(W424*INDEX(Variables!$B$9:$D$9,IFERROR(MATCH(IF($B424="Robusta","Robusta",(IF($B424="","Arabica",$B424))&amp;" - "&amp;(IF($C424="","Commercial",$C424))),Variables!$B$1:$D$1,0),1))*BD424/365),""))</f>
        <v>-44.220697078711098</v>
      </c>
      <c r="BJ424" s="44">
        <f t="shared" si="20"/>
        <v>-36</v>
      </c>
      <c r="BK424" s="44">
        <f>IF($AX424="Cancelled","",IFERROR(IF(BJ424="","",(W424*INDEX(Variables!$B$7:$D$7,IFERROR(MATCH(IF($B424="Robusta","Robusta",(IF($B424="","Arabica",$B424))&amp;" - "&amp;(IF($C424="","Commercial",$C424))),Variables!$B$1:$D$1,0),1))*(BJ424/365))+(W424*INDEX(Variables!$B$9:$D$9,IFERROR(MATCH(IF($B424="Robusta","Robusta",(IF($B424="","Arabica",$B424))&amp;" - "&amp;(IF($C424="","Commercial",$C424))),Variables!$B$1:$D$1,0),1))*(BJ424/365))+(INDEX(Variables!$B$8:$D$8,IFERROR(MATCH(IF($B424="Robusta","Robusta",(IF($B424="","Arabica",$B424))&amp;" - "&amp;(IF($C424="","Commercial",$C424))),Variables!$B$1:$D$1,0),1))*L424/16.67)),""))</f>
        <v>-151.57072783337136</v>
      </c>
    </row>
    <row r="425" spans="1:63">
      <c r="A425" s="13" t="s">
        <v>103</v>
      </c>
      <c r="B425" s="13" t="s">
        <v>104</v>
      </c>
      <c r="C425" s="13" t="s">
        <v>292</v>
      </c>
      <c r="D425" s="31">
        <v>45769</v>
      </c>
      <c r="E425" s="31">
        <v>45778</v>
      </c>
      <c r="F425" s="31">
        <v>45808</v>
      </c>
      <c r="G425" s="13">
        <v>3786906</v>
      </c>
      <c r="H425" s="13" t="s">
        <v>1241</v>
      </c>
      <c r="J425" s="13" t="s">
        <v>611</v>
      </c>
      <c r="K425" s="13" t="s">
        <v>1242</v>
      </c>
      <c r="L425" s="13">
        <v>10</v>
      </c>
      <c r="M425" s="13">
        <v>0</v>
      </c>
      <c r="N425" s="13" t="s">
        <v>1243</v>
      </c>
      <c r="O425" s="13" t="s">
        <v>297</v>
      </c>
      <c r="P425" s="13">
        <v>10020</v>
      </c>
      <c r="R425" s="13" t="s">
        <v>384</v>
      </c>
      <c r="S425" s="13" t="s">
        <v>553</v>
      </c>
      <c r="T425" s="13" t="s">
        <v>112</v>
      </c>
      <c r="U425" s="13" t="s">
        <v>113</v>
      </c>
      <c r="V425" s="13">
        <v>144</v>
      </c>
      <c r="W425" s="44">
        <f>IF($AX425="Cancelled","",IFERROR(((V425+INDEX(Variables!$B$6:$D$6,IFERROR(MATCH(IF($B425="Robusta","Robusta",(IF($B425="","Arabica",$B425))&amp;" - "&amp;(IF($C425="","Commercial",$C425))),Variables!$B$1:$D$1,0),1)))*22.0462)*(L425/16.67),""))</f>
        <v>5750.2626034793029</v>
      </c>
      <c r="X425" s="55" t="s">
        <v>39</v>
      </c>
      <c r="Y425" s="13" t="str">
        <f>IF($AX425="Cancelled","",IF(X425="","",IFERROR(IF(INDEX(Variables!$B$38:$B$47,MATCH(X425,Variables!$A$38:$A$47,0))="Yes","Yes","No"),"No")))</f>
        <v>No</v>
      </c>
      <c r="Z425" s="31"/>
      <c r="AB425" s="31">
        <v>45762.875</v>
      </c>
      <c r="AC425" s="13" t="str">
        <f t="shared" si="18"/>
        <v>Approved</v>
      </c>
      <c r="AF425" s="71">
        <v>45803</v>
      </c>
      <c r="AG425" s="36">
        <f>IF($AX425="Cancelled","",IFERROR(IF(F425="","",F425-Variables!$B$13),""))</f>
        <v>45793</v>
      </c>
      <c r="AH425" s="13">
        <f>IF($AX425="Cancelled","",IFERROR(IF(AB425="","",(AVERAGE(E425:F425)-AB425)-Variables!$B$14),""))</f>
        <v>0.125</v>
      </c>
      <c r="AJ425" s="47">
        <v>45803</v>
      </c>
      <c r="AK425" s="14">
        <f>IF($AX425="Cancelled","",IFERROR(IF(AJ425="","",IF(AND(AB425="",AF425=""),"",IF(AF425&gt;AB425,AF425+Variables!$B$15+Variables!$B$16+Variables!$B$17-AJ425,AB425+Variables!$B$16+Variables!$B$17-AJ425))),""))</f>
        <v>15</v>
      </c>
      <c r="AL425" s="48" t="s">
        <v>114</v>
      </c>
      <c r="AM425" s="13" t="s">
        <v>134</v>
      </c>
      <c r="AN425" s="13" t="s">
        <v>696</v>
      </c>
      <c r="AP425" s="31">
        <v>45816</v>
      </c>
      <c r="AR425" s="13" t="s">
        <v>1225</v>
      </c>
      <c r="AS425" s="31">
        <v>45821</v>
      </c>
      <c r="AU425" s="31">
        <v>45832</v>
      </c>
      <c r="AV425" s="13" t="s">
        <v>865</v>
      </c>
      <c r="AW425" s="31">
        <v>45835</v>
      </c>
      <c r="AX425" s="13" t="str">
        <f>IF(ISNUMBER(SEARCH("cancel",#REF!)),"Cancelled",IF(AND(AS425&lt;&gt;"",AU425&lt;&gt;"",AW425&lt;&gt;""),"Closed","Open"))</f>
        <v>Closed</v>
      </c>
      <c r="AY425" s="15" t="str">
        <f t="shared" si="19"/>
        <v>All dates received</v>
      </c>
      <c r="BD425" s="13">
        <f>IF($AX425="Cancelled","",IFERROR(IF(OR(AS425="",AJ425=""),"",(AJ425+Variables!$B$18-AS425)),""))</f>
        <v>-3</v>
      </c>
      <c r="BE425" s="13">
        <f>IF($AX425="Cancelled","",IFERROR(IF(OR(AW425="",AS425=""),"",(AS425+Variables!$B$19)-AW425),""))</f>
        <v>-9</v>
      </c>
      <c r="BF425" s="44">
        <f>IF($AX425="Cancelled","",IFERROR(W425*INDEX(Variables!$B$7:$D$7,IFERROR(MATCH(IF($B425="Robusta","Robusta",(IF($B425="","Arabica",$B425))&amp;" - "&amp;(IF($C425="","Commercial",$C425))),Variables!$B$1:$D$1,0),1))*(BE425/365),""))</f>
        <v>-9.1427568472620759</v>
      </c>
      <c r="BG425" s="44">
        <f>IF($AX425="Cancelled","",IFERROR((W425*INDEX(Variables!$B$7:$D$7,IFERROR(MATCH(IF($B425="Robusta","Robusta",(IF($B425="","Arabica",$B425))&amp;" - "&amp;(IF($C425="","Commercial",$C425))),Variables!$B$1:$D$1,0),1))*IFERROR(IF(AB425="","",(AVERAGE(E425:F425)-AB425)-Variables!$B$14),"")/365)+(L425/16.67*INDEX(Variables!$B$8:$D$8,IFERROR(MATCH(IF($B425="Robusta","Robusta",(IF($B425="","Arabica",$B425))&amp;" - "&amp;(IF($C425="","Commercial",$C425))),Variables!$B$1:$D$1,0),1))*IFERROR(IF(AB425="","",(AVERAGE(E425:F425)-AB425)-Variables!$B$14),""))+(W425*INDEX(Variables!$B$9:$D$9,IFERROR(MATCH(IF($B425="Robusta","Robusta",(IF($B425="","Arabica",$B425))&amp;" - "&amp;(IF($C425="","Commercial",$C425))),Variables!$B$1:$D$1,0),1))*IFERROR(IF(AB425="","",(AVERAGE(E425:F425)-AB425)-Variables!$B$14),"")/365),""))</f>
        <v>0.19111978649052927</v>
      </c>
      <c r="BH425" s="44">
        <f>IF($AX425="Cancelled","",IFERROR((W425*INDEX(Variables!$B$7:$D$7,IFERROR(MATCH(IF($B425="Robusta","Robusta",(IF($B425="","Arabica",$B425))&amp;" - "&amp;(IF($C425="","Commercial",$C425))),Variables!$B$1:$D$1,0),1))*AK425/365)+(L425/16.67*INDEX(Variables!$B$8:$D$8,IFERROR(MATCH(IF($B425="Robusta","Robusta",(IF($B425="","Arabica",$B425))&amp;" - "&amp;(IF($C425="","Commercial",$C425))),Variables!$B$1:$D$1,0),1))*AK425)+(W425*INDEX(Variables!$B$9:$D$9,IFERROR(MATCH(IF($B425="Robusta","Robusta",(IF($B425="","Arabica",$B425))&amp;" - "&amp;(IF($C425="","Commercial",$C425))),Variables!$B$1:$D$1,0),1))*AK425/365),""))</f>
        <v>22.934374378863509</v>
      </c>
      <c r="BI425" s="44">
        <f>IF($AX425="Cancelled","",IFERROR((W425*INDEX(Variables!$B$7:$D$7,IFERROR(MATCH(IF($B425="Robusta","Robusta",(IF($B425="","Arabica",$B425))&amp;" - "&amp;(IF($C425="","Commercial",$C425))),Variables!$B$1:$D$1,0),1))*BD425/365)+(L425/16.67*INDEX(Variables!$B$8:$D$8,IFERROR(MATCH(IF($B425="Robusta","Robusta",(IF($B425="","Arabica",$B425))&amp;" - "&amp;(IF($C425="","Commercial",$C425))),Variables!$B$1:$D$1,0),1))*BD425)+(W425*INDEX(Variables!$B$9:$D$9,IFERROR(MATCH(IF($B425="Robusta","Robusta",(IF($B425="","Arabica",$B425))&amp;" - "&amp;(IF($C425="","Commercial",$C425))),Variables!$B$1:$D$1,0),1))*BD425/365),""))</f>
        <v>-4.5868748757727023</v>
      </c>
      <c r="BJ425" s="44">
        <f t="shared" si="20"/>
        <v>-13</v>
      </c>
      <c r="BK425" s="44">
        <f>IF($AX425="Cancelled","",IFERROR(IF(BJ425="","",(W425*INDEX(Variables!$B$7:$D$7,IFERROR(MATCH(IF($B425="Robusta","Robusta",(IF($B425="","Arabica",$B425))&amp;" - "&amp;(IF($C425="","Commercial",$C425))),Variables!$B$1:$D$1,0),1))*(BJ425/365))+(W425*INDEX(Variables!$B$9:$D$9,IFERROR(MATCH(IF($B425="Robusta","Robusta",(IF($B425="","Arabica",$B425))&amp;" - "&amp;(IF($C425="","Commercial",$C425))),Variables!$B$1:$D$1,0),1))*(BJ425/365))+(INDEX(Variables!$B$8:$D$8,IFERROR(MATCH(IF($B425="Robusta","Robusta",(IF($B425="","Arabica",$B425))&amp;" - "&amp;(IF($C425="","Commercial",$C425))),Variables!$B$1:$D$1,0),1))*L425/16.67)),""))</f>
        <v>-12.876457795015043</v>
      </c>
    </row>
    <row r="426" spans="1:63">
      <c r="A426" s="13" t="s">
        <v>103</v>
      </c>
      <c r="B426" s="13" t="s">
        <v>104</v>
      </c>
      <c r="C426" s="13" t="s">
        <v>292</v>
      </c>
      <c r="D426" s="31">
        <v>45769</v>
      </c>
      <c r="E426" s="31">
        <v>45778</v>
      </c>
      <c r="F426" s="31">
        <v>45808</v>
      </c>
      <c r="G426" s="13">
        <v>3786907</v>
      </c>
      <c r="H426" s="13" t="s">
        <v>1244</v>
      </c>
      <c r="J426" s="13" t="s">
        <v>611</v>
      </c>
      <c r="K426" s="13" t="s">
        <v>1245</v>
      </c>
      <c r="L426" s="13">
        <v>15</v>
      </c>
      <c r="M426" s="13">
        <v>0</v>
      </c>
      <c r="N426" s="13" t="s">
        <v>1246</v>
      </c>
      <c r="O426" s="13" t="s">
        <v>304</v>
      </c>
      <c r="P426" s="13">
        <v>10010</v>
      </c>
      <c r="R426" s="13" t="s">
        <v>384</v>
      </c>
      <c r="S426" s="13" t="s">
        <v>553</v>
      </c>
      <c r="T426" s="13" t="s">
        <v>112</v>
      </c>
      <c r="U426" s="13" t="s">
        <v>113</v>
      </c>
      <c r="V426" s="13">
        <v>176</v>
      </c>
      <c r="W426" s="44">
        <f>IF($AX426="Cancelled","",IFERROR(((V426+INDEX(Variables!$B$6:$D$6,IFERROR(MATCH(IF($B426="Robusta","Robusta",(IF($B426="","Arabica",$B426))&amp;" - "&amp;(IF($C426="","Commercial",$C426))),Variables!$B$1:$D$1,0),1)))*22.0462)*(L426/16.67),""))</f>
        <v>9260.1975044990977</v>
      </c>
      <c r="X426" s="55" t="s">
        <v>39</v>
      </c>
      <c r="Y426" s="13" t="str">
        <f>IF($AX426="Cancelled","",IF(X426="","",IFERROR(IF(INDEX(Variables!$B$38:$B$47,MATCH(X426,Variables!$A$38:$A$47,0))="Yes","Yes","No"),"No")))</f>
        <v>No</v>
      </c>
      <c r="Z426" s="31"/>
      <c r="AB426" s="31">
        <v>45762.875</v>
      </c>
      <c r="AC426" s="13" t="str">
        <f t="shared" si="18"/>
        <v>Approved</v>
      </c>
      <c r="AF426" s="71">
        <v>45803</v>
      </c>
      <c r="AG426" s="31">
        <f>IF($AX426="Cancelled","",IFERROR(IF(F426="","",F426-Variables!$B$13),""))</f>
        <v>45793</v>
      </c>
      <c r="AH426" s="13">
        <f>IF($AX426="Cancelled","",IFERROR(IF(AB426="","",(AVERAGE(E426:F426)-AB426)-Variables!$B$14),""))</f>
        <v>0.125</v>
      </c>
      <c r="AJ426" s="47">
        <v>45803</v>
      </c>
      <c r="AK426" s="14">
        <f>IF($AX426="Cancelled","",IFERROR(IF(AJ426="","",IF(AND(AB426="",AF426=""),"",IF(AF426&gt;AB426,AF426+Variables!$B$15+Variables!$B$16+Variables!$B$17-AJ426,AB426+Variables!$B$16+Variables!$B$17-AJ426))),""))</f>
        <v>15</v>
      </c>
      <c r="AL426" s="48" t="s">
        <v>114</v>
      </c>
      <c r="AM426" s="13" t="s">
        <v>134</v>
      </c>
      <c r="AN426" s="13" t="s">
        <v>696</v>
      </c>
      <c r="AP426" s="31">
        <v>45816</v>
      </c>
      <c r="AR426" s="13" t="s">
        <v>1225</v>
      </c>
      <c r="AS426" s="31">
        <v>45821</v>
      </c>
      <c r="AU426" s="31">
        <v>45832</v>
      </c>
      <c r="AV426" s="13" t="s">
        <v>865</v>
      </c>
      <c r="AW426" s="31">
        <v>45835</v>
      </c>
      <c r="AX426" s="13" t="str">
        <f>IF(ISNUMBER(SEARCH("cancel",#REF!)),"Cancelled",IF(AND(AS426&lt;&gt;"",AU426&lt;&gt;"",AW426&lt;&gt;""),"Closed","Open"))</f>
        <v>Closed</v>
      </c>
      <c r="AY426" s="15" t="str">
        <f t="shared" si="19"/>
        <v>All dates received</v>
      </c>
      <c r="BD426" s="13">
        <f>IF($AX426="Cancelled","",IFERROR(IF(OR(AS426="",AJ426=""),"",(AJ426+Variables!$B$18-AS426)),""))</f>
        <v>-3</v>
      </c>
      <c r="BE426" s="13">
        <f>IF($AX426="Cancelled","",IFERROR(IF(OR(AW426="",AS426=""),"",(AS426+Variables!$B$19)-AW426),""))</f>
        <v>-9</v>
      </c>
      <c r="BF426" s="44">
        <f>IF($AX426="Cancelled","",IFERROR(W426*INDEX(Variables!$B$7:$D$7,IFERROR(MATCH(IF($B426="Robusta","Robusta",(IF($B426="","Arabica",$B426))&amp;" - "&amp;(IF($C426="","Commercial",$C426))),Variables!$B$1:$D$1,0),1))*(BE426/365),""))</f>
        <v>-14.723455254031521</v>
      </c>
      <c r="BG426" s="44">
        <f>IF($AX426="Cancelled","",IFERROR((W426*INDEX(Variables!$B$7:$D$7,IFERROR(MATCH(IF($B426="Robusta","Robusta",(IF($B426="","Arabica",$B426))&amp;" - "&amp;(IF($C426="","Commercial",$C426))),Variables!$B$1:$D$1,0),1))*IFERROR(IF(AB426="","",(AVERAGE(E426:F426)-AB426)-Variables!$B$14),"")/365)+(L426/16.67*INDEX(Variables!$B$8:$D$8,IFERROR(MATCH(IF($B426="Robusta","Robusta",(IF($B426="","Arabica",$B426))&amp;" - "&amp;(IF($C426="","Commercial",$C426))),Variables!$B$1:$D$1,0),1))*IFERROR(IF(AB426="","",(AVERAGE(E426:F426)-AB426)-Variables!$B$14),""))+(W426*INDEX(Variables!$B$9:$D$9,IFERROR(MATCH(IF($B426="Robusta","Robusta",(IF($B426="","Arabica",$B426))&amp;" - "&amp;(IF($C426="","Commercial",$C426))),Variables!$B$1:$D$1,0),1))*IFERROR(IF(AB426="","",(AVERAGE(E426:F426)-AB426)-Variables!$B$14),"")/365),""))</f>
        <v>0.30087873620208966</v>
      </c>
      <c r="BH426" s="44">
        <f>IF($AX426="Cancelled","",IFERROR((W426*INDEX(Variables!$B$7:$D$7,IFERROR(MATCH(IF($B426="Robusta","Robusta",(IF($B426="","Arabica",$B426))&amp;" - "&amp;(IF($C426="","Commercial",$C426))),Variables!$B$1:$D$1,0),1))*AK426/365)+(L426/16.67*INDEX(Variables!$B$8:$D$8,IFERROR(MATCH(IF($B426="Robusta","Robusta",(IF($B426="","Arabica",$B426))&amp;" - "&amp;(IF($C426="","Commercial",$C426))),Variables!$B$1:$D$1,0),1))*AK426)+(W426*INDEX(Variables!$B$9:$D$9,IFERROR(MATCH(IF($B426="Robusta","Robusta",(IF($B426="","Arabica",$B426))&amp;" - "&amp;(IF($C426="","Commercial",$C426))),Variables!$B$1:$D$1,0),1))*AK426/365),""))</f>
        <v>36.10544834425076</v>
      </c>
      <c r="BI426" s="44">
        <f>IF($AX426="Cancelled","",IFERROR((W426*INDEX(Variables!$B$7:$D$7,IFERROR(MATCH(IF($B426="Robusta","Robusta",(IF($B426="","Arabica",$B426))&amp;" - "&amp;(IF($C426="","Commercial",$C426))),Variables!$B$1:$D$1,0),1))*BD426/365)+(L426/16.67*INDEX(Variables!$B$8:$D$8,IFERROR(MATCH(IF($B426="Robusta","Robusta",(IF($B426="","Arabica",$B426))&amp;" - "&amp;(IF($C426="","Commercial",$C426))),Variables!$B$1:$D$1,0),1))*BD426)+(W426*INDEX(Variables!$B$9:$D$9,IFERROR(MATCH(IF($B426="Robusta","Robusta",(IF($B426="","Arabica",$B426))&amp;" - "&amp;(IF($C426="","Commercial",$C426))),Variables!$B$1:$D$1,0),1))*BD426/365),""))</f>
        <v>-7.2210896688501514</v>
      </c>
      <c r="BJ426" s="44">
        <f t="shared" si="20"/>
        <v>-13</v>
      </c>
      <c r="BK426" s="44">
        <f>IF($AX426="Cancelled","",IFERROR(IF(BJ426="","",(W426*INDEX(Variables!$B$7:$D$7,IFERROR(MATCH(IF($B426="Robusta","Robusta",(IF($B426="","Arabica",$B426))&amp;" - "&amp;(IF($C426="","Commercial",$C426))),Variables!$B$1:$D$1,0),1))*(BJ426/365))+(W426*INDEX(Variables!$B$9:$D$9,IFERROR(MATCH(IF($B426="Robusta","Robusta",(IF($B426="","Arabica",$B426))&amp;" - "&amp;(IF($C426="","Commercial",$C426))),Variables!$B$1:$D$1,0),1))*(BJ426/365))+(INDEX(Variables!$B$8:$D$8,IFERROR(MATCH(IF($B426="Robusta","Robusta",(IF($B426="","Arabica",$B426))&amp;" - "&amp;(IF($C426="","Commercial",$C426))),Variables!$B$1:$D$1,0),1))*L426/16.67)),""))</f>
        <v>-20.791388565017325</v>
      </c>
    </row>
    <row r="427" spans="1:63">
      <c r="A427" s="13" t="s">
        <v>103</v>
      </c>
      <c r="B427" s="13" t="s">
        <v>104</v>
      </c>
      <c r="C427" s="13" t="s">
        <v>292</v>
      </c>
      <c r="D427" s="31">
        <v>45770</v>
      </c>
      <c r="E427" s="31">
        <v>45778</v>
      </c>
      <c r="F427" s="31">
        <v>45808</v>
      </c>
      <c r="G427" s="13">
        <v>3786908</v>
      </c>
      <c r="H427" s="13" t="s">
        <v>1247</v>
      </c>
      <c r="J427" s="13" t="s">
        <v>611</v>
      </c>
      <c r="K427" s="13" t="s">
        <v>1248</v>
      </c>
      <c r="L427" s="13">
        <v>30</v>
      </c>
      <c r="M427" s="13">
        <v>0</v>
      </c>
      <c r="N427" s="13" t="s">
        <v>1249</v>
      </c>
      <c r="O427" s="13" t="s">
        <v>304</v>
      </c>
      <c r="P427" s="13">
        <v>10010</v>
      </c>
      <c r="R427" s="13" t="s">
        <v>239</v>
      </c>
      <c r="S427" s="13" t="s">
        <v>553</v>
      </c>
      <c r="T427" s="13" t="s">
        <v>112</v>
      </c>
      <c r="U427" s="13" t="s">
        <v>113</v>
      </c>
      <c r="V427" s="13">
        <v>60</v>
      </c>
      <c r="W427" s="44">
        <f>IF($AX427="Cancelled","",IFERROR(((V427+INDEX(Variables!$B$6:$D$6,IFERROR(MATCH(IF($B427="Robusta","Robusta",(IF($B427="","Arabica",$B427))&amp;" - "&amp;(IF($C427="","Commercial",$C427))),Variables!$B$1:$D$1,0),1)))*22.0462)*(L427/16.67),""))</f>
        <v>13918.068914217156</v>
      </c>
      <c r="X427" s="55" t="s">
        <v>37</v>
      </c>
      <c r="Y427" s="13" t="str">
        <f>IF($AX427="Cancelled","",IF(X427="","",IFERROR(IF(INDEX(Variables!$B$38:$B$47,MATCH(X427,Variables!$A$38:$A$47,0))="Yes","Yes","No"),"No")))</f>
        <v>Yes</v>
      </c>
      <c r="Z427" s="31">
        <v>45771.875</v>
      </c>
      <c r="AB427" s="31">
        <v>45775.875</v>
      </c>
      <c r="AC427" s="13" t="str">
        <f t="shared" si="18"/>
        <v>Approved</v>
      </c>
      <c r="AF427" s="71">
        <v>45803</v>
      </c>
      <c r="AG427" s="36">
        <f>IF($AX427="Cancelled","",IFERROR(IF(F427="","",F427-Variables!$B$13),""))</f>
        <v>45793</v>
      </c>
      <c r="AH427" s="13">
        <f>IF($AX427="Cancelled","",IFERROR(IF(AB427="","",(AVERAGE(E427:F427)-AB427)-Variables!$B$14),""))</f>
        <v>-12.875</v>
      </c>
      <c r="AJ427" s="47">
        <v>45803</v>
      </c>
      <c r="AK427" s="14">
        <f>IF($AX427="Cancelled","",IFERROR(IF(AJ427="","",IF(AND(AB427="",AF427=""),"",IF(AF427&gt;AB427,AF427+Variables!$B$15+Variables!$B$16+Variables!$B$17-AJ427,AB427+Variables!$B$16+Variables!$B$17-AJ427))),""))</f>
        <v>15</v>
      </c>
      <c r="AL427" s="48" t="s">
        <v>114</v>
      </c>
      <c r="AM427" s="13" t="s">
        <v>134</v>
      </c>
      <c r="AN427" s="13" t="s">
        <v>696</v>
      </c>
      <c r="AP427" s="31">
        <v>45816</v>
      </c>
      <c r="AR427" s="13" t="s">
        <v>1225</v>
      </c>
      <c r="AS427" s="31">
        <v>45821</v>
      </c>
      <c r="AU427" s="31">
        <v>45832</v>
      </c>
      <c r="AV427" s="13" t="s">
        <v>865</v>
      </c>
      <c r="AW427" s="31">
        <v>45835</v>
      </c>
      <c r="AX427" s="13" t="str">
        <f>IF(ISNUMBER(SEARCH("cancel",#REF!)),"Cancelled",IF(AND(AS427&lt;&gt;"",AU427&lt;&gt;"",AW427&lt;&gt;""),"Closed","Open"))</f>
        <v>Closed</v>
      </c>
      <c r="AY427" s="15" t="str">
        <f t="shared" si="19"/>
        <v>All dates received</v>
      </c>
      <c r="BD427" s="13">
        <f>IF($AX427="Cancelled","",IFERROR(IF(OR(AS427="",AJ427=""),"",(AJ427+Variables!$B$18-AS427)),""))</f>
        <v>-3</v>
      </c>
      <c r="BE427" s="13">
        <f>IF($AX427="Cancelled","",IFERROR(IF(OR(AW427="",AS427=""),"",(AS427+Variables!$B$19)-AW427),""))</f>
        <v>-9</v>
      </c>
      <c r="BF427" s="44">
        <f>IF($AX427="Cancelled","",IFERROR(W427*INDEX(Variables!$B$7:$D$7,IFERROR(MATCH(IF($B427="Robusta","Robusta",(IF($B427="","Arabica",$B427))&amp;" - "&amp;(IF($C427="","Commercial",$C427))),Variables!$B$1:$D$1,0),1))*(BE427/365),""))</f>
        <v>-22.129340630309592</v>
      </c>
      <c r="BG427" s="44">
        <f>IF($AX427="Cancelled","",IFERROR((W427*INDEX(Variables!$B$7:$D$7,IFERROR(MATCH(IF($B427="Robusta","Robusta",(IF($B427="","Arabica",$B427))&amp;" - "&amp;(IF($C427="","Commercial",$C427))),Variables!$B$1:$D$1,0),1))*IFERROR(IF(AB427="","",(AVERAGE(E427:F427)-AB427)-Variables!$B$14),"")/365)+(L427/16.67*INDEX(Variables!$B$8:$D$8,IFERROR(MATCH(IF($B427="Robusta","Robusta",(IF($B427="","Arabica",$B427))&amp;" - "&amp;(IF($C427="","Commercial",$C427))),Variables!$B$1:$D$1,0),1))*IFERROR(IF(AB427="","",(AVERAGE(E427:F427)-AB427)-Variables!$B$14),""))+(W427*INDEX(Variables!$B$9:$D$9,IFERROR(MATCH(IF($B427="Robusta","Robusta",(IF($B427="","Arabica",$B427))&amp;" - "&amp;(IF($C427="","Commercial",$C427))),Variables!$B$1:$D$1,0),1))*IFERROR(IF(AB427="","",(AVERAGE(E427:F427)-AB427)-Variables!$B$14),"")/365),""))</f>
        <v>-51.377874241424109</v>
      </c>
      <c r="BH427" s="44">
        <f>IF($AX427="Cancelled","",IFERROR((W427*INDEX(Variables!$B$7:$D$7,IFERROR(MATCH(IF($B427="Robusta","Robusta",(IF($B427="","Arabica",$B427))&amp;" - "&amp;(IF($C427="","Commercial",$C427))),Variables!$B$1:$D$1,0),1))*AK427/365)+(L427/16.67*INDEX(Variables!$B$8:$D$8,IFERROR(MATCH(IF($B427="Robusta","Robusta",(IF($B427="","Arabica",$B427))&amp;" - "&amp;(IF($C427="","Commercial",$C427))),Variables!$B$1:$D$1,0),1))*AK427)+(W427*INDEX(Variables!$B$9:$D$9,IFERROR(MATCH(IF($B427="Robusta","Robusta",(IF($B427="","Arabica",$B427))&amp;" - "&amp;(IF($C427="","Commercial",$C427))),Variables!$B$1:$D$1,0),1))*AK427/365),""))</f>
        <v>59.857717562824199</v>
      </c>
      <c r="BI427" s="44">
        <f>IF($AX427="Cancelled","",IFERROR((W427*INDEX(Variables!$B$7:$D$7,IFERROR(MATCH(IF($B427="Robusta","Robusta",(IF($B427="","Arabica",$B427))&amp;" - "&amp;(IF($C427="","Commercial",$C427))),Variables!$B$1:$D$1,0),1))*BD427/365)+(L427/16.67*INDEX(Variables!$B$8:$D$8,IFERROR(MATCH(IF($B427="Robusta","Robusta",(IF($B427="","Arabica",$B427))&amp;" - "&amp;(IF($C427="","Commercial",$C427))),Variables!$B$1:$D$1,0),1))*BD427)+(W427*INDEX(Variables!$B$9:$D$9,IFERROR(MATCH(IF($B427="Robusta","Robusta",(IF($B427="","Arabica",$B427))&amp;" - "&amp;(IF($C427="","Commercial",$C427))),Variables!$B$1:$D$1,0),1))*BD427/365),""))</f>
        <v>-11.971543512564841</v>
      </c>
      <c r="BJ427" s="44">
        <f t="shared" si="20"/>
        <v>-13</v>
      </c>
      <c r="BK427" s="44">
        <f>IF($AX427="Cancelled","",IFERROR(IF(BJ427="","",(W427*INDEX(Variables!$B$7:$D$7,IFERROR(MATCH(IF($B427="Robusta","Robusta",(IF($B427="","Arabica",$B427))&amp;" - "&amp;(IF($C427="","Commercial",$C427))),Variables!$B$1:$D$1,0),1))*(BJ427/365))+(W427*INDEX(Variables!$B$9:$D$9,IFERROR(MATCH(IF($B427="Robusta","Robusta",(IF($B427="","Arabica",$B427))&amp;" - "&amp;(IF($C427="","Commercial",$C427))),Variables!$B$1:$D$1,0),1))*(BJ427/365))+(INDEX(Variables!$B$8:$D$8,IFERROR(MATCH(IF($B427="Robusta","Robusta",(IF($B427="","Arabica",$B427))&amp;" - "&amp;(IF($C427="","Commercial",$C427))),Variables!$B$1:$D$1,0),1))*L427/16.67)),""))</f>
        <v>-30.876688554447639</v>
      </c>
    </row>
    <row r="428" spans="1:63">
      <c r="A428" s="13" t="s">
        <v>103</v>
      </c>
      <c r="B428" s="13" t="s">
        <v>104</v>
      </c>
      <c r="C428" s="13" t="s">
        <v>105</v>
      </c>
      <c r="D428" s="31">
        <v>45771</v>
      </c>
      <c r="E428" s="31">
        <v>45778</v>
      </c>
      <c r="F428" s="31">
        <v>45808</v>
      </c>
      <c r="G428" s="13">
        <v>3786909</v>
      </c>
      <c r="H428" s="13" t="s">
        <v>1250</v>
      </c>
      <c r="J428" s="13" t="s">
        <v>1124</v>
      </c>
      <c r="K428" s="13" t="s">
        <v>1251</v>
      </c>
      <c r="L428" s="13">
        <v>320</v>
      </c>
      <c r="M428" s="13">
        <v>1</v>
      </c>
      <c r="N428" s="13" t="s">
        <v>1252</v>
      </c>
      <c r="O428" s="13" t="s">
        <v>1253</v>
      </c>
      <c r="P428" s="13">
        <v>10260</v>
      </c>
      <c r="R428" s="13" t="s">
        <v>110</v>
      </c>
      <c r="S428" s="13" t="s">
        <v>553</v>
      </c>
      <c r="T428" s="13" t="s">
        <v>112</v>
      </c>
      <c r="U428" s="13" t="s">
        <v>113</v>
      </c>
      <c r="V428" s="13">
        <v>-186</v>
      </c>
      <c r="W428" s="44">
        <f>IF($AX428="Cancelled","",IFERROR(((V428+INDEX(Variables!$B$6:$D$6,IFERROR(MATCH(IF($B428="Robusta","Robusta",(IF($B428="","Arabica",$B428))&amp;" - "&amp;(IF($C428="","Commercial",$C428))),Variables!$B$1:$D$1,0),1)))*22.0462)*(L428/16.67),""))</f>
        <v>44351.611469706055</v>
      </c>
      <c r="X428" s="55" t="s">
        <v>39</v>
      </c>
      <c r="Y428" s="13" t="str">
        <f>IF($AX428="Cancelled","",IF(X428="","",IFERROR(IF(INDEX(Variables!$B$38:$B$47,MATCH(X428,Variables!$A$38:$A$47,0))="Yes","Yes","No"),"No")))</f>
        <v>No</v>
      </c>
      <c r="Z428" s="31" t="s">
        <v>39</v>
      </c>
      <c r="AB428" s="31" t="s">
        <v>39</v>
      </c>
      <c r="AC428" s="13" t="str">
        <f t="shared" si="18"/>
        <v/>
      </c>
      <c r="AF428" s="71">
        <v>45789</v>
      </c>
      <c r="AG428" s="35">
        <f>IF($AX428="Cancelled","",IFERROR(IF(F428="","",F428-Variables!$B$13),""))</f>
        <v>45793</v>
      </c>
      <c r="AH428" s="13" t="str">
        <f>IF($AX428="Cancelled","",IFERROR(IF(AB428="","",(AVERAGE(E428:F428)-AB428)-Variables!$B$14),""))</f>
        <v/>
      </c>
      <c r="AJ428" s="47">
        <v>45785</v>
      </c>
      <c r="AK428" s="14" t="str">
        <f>IF($AX428="Cancelled","",IFERROR(IF(AJ428="","",IF(AND(AB428="",AF428=""),"",IF(AF428&gt;AB428,AF428+Variables!$B$15+Variables!$B$16+Variables!$B$17-AJ428,AB428+Variables!$B$16+Variables!$B$17-AJ428))),""))</f>
        <v/>
      </c>
      <c r="AL428" s="48" t="s">
        <v>114</v>
      </c>
      <c r="AM428" s="13" t="s">
        <v>168</v>
      </c>
      <c r="AN428" s="13" t="s">
        <v>1049</v>
      </c>
      <c r="AP428" s="31">
        <v>45799</v>
      </c>
      <c r="AR428" s="13" t="s">
        <v>1254</v>
      </c>
      <c r="AS428" s="31">
        <v>45799</v>
      </c>
      <c r="AU428" s="31">
        <v>45807</v>
      </c>
      <c r="AV428" s="13" t="s">
        <v>1255</v>
      </c>
      <c r="AW428" s="31">
        <v>45807</v>
      </c>
      <c r="AX428" s="13" t="str">
        <f>IF(ISNUMBER(SEARCH("cancel",#REF!)),"Cancelled",IF(AND(AS428&lt;&gt;"",AU428&lt;&gt;"",AW428&lt;&gt;""),"Closed","Open"))</f>
        <v>Closed</v>
      </c>
      <c r="AY428" s="15" t="str">
        <f t="shared" si="19"/>
        <v>All dates received</v>
      </c>
      <c r="BD428" s="13">
        <f>IF($AX428="Cancelled","",IFERROR(IF(OR(AS428="",AJ428=""),"",(AJ428+Variables!$B$18-AS428)),""))</f>
        <v>1</v>
      </c>
      <c r="BE428" s="13">
        <f>IF($AX428="Cancelled","",IFERROR(IF(OR(AW428="",AS428=""),"",(AS428+Variables!$B$19)-AW428),""))</f>
        <v>-3</v>
      </c>
      <c r="BF428" s="44">
        <f>IF($AX428="Cancelled","",IFERROR(W428*INDEX(Variables!$B$7:$D$7,IFERROR(MATCH(IF($B428="Robusta","Robusta",(IF($B428="","Arabica",$B428))&amp;" - "&amp;(IF($C428="","Commercial",$C428))),Variables!$B$1:$D$1,0),1))*(BE428/365),""))</f>
        <v>-23.505940940645587</v>
      </c>
      <c r="BG428" s="44" t="str">
        <f>IF($AX428="Cancelled","",IFERROR((W428*INDEX(Variables!$B$7:$D$7,IFERROR(MATCH(IF($B428="Robusta","Robusta",(IF($B428="","Arabica",$B428))&amp;" - "&amp;(IF($C428="","Commercial",$C428))),Variables!$B$1:$D$1,0),1))*IFERROR(IF(AB428="","",(AVERAGE(E428:F428)-AB428)-Variables!$B$14),"")/365)+(L428/16.67*INDEX(Variables!$B$8:$D$8,IFERROR(MATCH(IF($B428="Robusta","Robusta",(IF($B428="","Arabica",$B428))&amp;" - "&amp;(IF($C428="","Commercial",$C428))),Variables!$B$1:$D$1,0),1))*IFERROR(IF(AB428="","",(AVERAGE(E428:F428)-AB428)-Variables!$B$14),""))+(W428*INDEX(Variables!$B$9:$D$9,IFERROR(MATCH(IF($B428="Robusta","Robusta",(IF($B428="","Arabica",$B428))&amp;" - "&amp;(IF($C428="","Commercial",$C428))),Variables!$B$1:$D$1,0),1))*IFERROR(IF(AB428="","",(AVERAGE(E428:F428)-AB428)-Variables!$B$14),"")/365),""))</f>
        <v/>
      </c>
      <c r="BH428" s="44" t="str">
        <f>IF($AX428="Cancelled","",IFERROR((W428*INDEX(Variables!$B$7:$D$7,IFERROR(MATCH(IF($B428="Robusta","Robusta",(IF($B428="","Arabica",$B428))&amp;" - "&amp;(IF($C428="","Commercial",$C428))),Variables!$B$1:$D$1,0),1))*AK428/365)+(L428/16.67*INDEX(Variables!$B$8:$D$8,IFERROR(MATCH(IF($B428="Robusta","Robusta",(IF($B428="","Arabica",$B428))&amp;" - "&amp;(IF($C428="","Commercial",$C428))),Variables!$B$1:$D$1,0),1))*AK428)+(W428*INDEX(Variables!$B$9:$D$9,IFERROR(MATCH(IF($B428="Robusta","Robusta",(IF($B428="","Arabica",$B428))&amp;" - "&amp;(IF($C428="","Commercial",$C428))),Variables!$B$1:$D$1,0),1))*AK428/365),""))</f>
        <v/>
      </c>
      <c r="BI428" s="44">
        <f>IF($AX428="Cancelled","",IFERROR((W428*INDEX(Variables!$B$7:$D$7,IFERROR(MATCH(IF($B428="Robusta","Robusta",(IF($B428="","Arabica",$B428))&amp;" - "&amp;(IF($C428="","Commercial",$C428))),Variables!$B$1:$D$1,0),1))*BD428/365)+(L428/16.67*INDEX(Variables!$B$8:$D$8,IFERROR(MATCH(IF($B428="Robusta","Robusta",(IF($B428="","Arabica",$B428))&amp;" - "&amp;(IF($C428="","Commercial",$C428))),Variables!$B$1:$D$1,0),1))*BD428)+(W428*INDEX(Variables!$B$9:$D$9,IFERROR(MATCH(IF($B428="Robusta","Robusta",(IF($B428="","Arabica",$B428))&amp;" - "&amp;(IF($C428="","Commercial",$C428))),Variables!$B$1:$D$1,0),1))*BD428/365),""))</f>
        <v>23.936325960894923</v>
      </c>
      <c r="BJ428" s="44">
        <f t="shared" si="20"/>
        <v>9</v>
      </c>
      <c r="BK428" s="44">
        <f>IF($AX428="Cancelled","",IFERROR(IF(BJ428="","",(W428*INDEX(Variables!$B$7:$D$7,IFERROR(MATCH(IF($B428="Robusta","Robusta",(IF($B428="","Arabica",$B428))&amp;" - "&amp;(IF($C428="","Commercial",$C428))),Variables!$B$1:$D$1,0),1))*(BJ428/365))+(W428*INDEX(Variables!$B$9:$D$9,IFERROR(MATCH(IF($B428="Robusta","Robusta",(IF($B428="","Arabica",$B428))&amp;" - "&amp;(IF($C428="","Commercial",$C428))),Variables!$B$1:$D$1,0),1))*(BJ428/365))+(INDEX(Variables!$B$8:$D$8,IFERROR(MATCH(IF($B428="Robusta","Robusta",(IF($B428="","Arabica",$B428))&amp;" - "&amp;(IF($C428="","Commercial",$C428))),Variables!$B$1:$D$1,0),1))*L428/16.67)),""))</f>
        <v>87.426933648054302</v>
      </c>
    </row>
    <row r="429" spans="1:63">
      <c r="A429" s="13" t="s">
        <v>103</v>
      </c>
      <c r="B429" s="13" t="s">
        <v>104</v>
      </c>
      <c r="C429" s="13" t="s">
        <v>105</v>
      </c>
      <c r="D429" s="31">
        <v>45771</v>
      </c>
      <c r="E429" s="31">
        <v>45778</v>
      </c>
      <c r="F429" s="31">
        <v>45808</v>
      </c>
      <c r="G429" s="13">
        <v>3786909</v>
      </c>
      <c r="H429" s="13" t="s">
        <v>1256</v>
      </c>
      <c r="J429" s="13" t="s">
        <v>1124</v>
      </c>
      <c r="K429" s="13" t="s">
        <v>1257</v>
      </c>
      <c r="L429" s="13">
        <v>320</v>
      </c>
      <c r="M429" s="13">
        <v>1</v>
      </c>
      <c r="N429" s="13" t="s">
        <v>1252</v>
      </c>
      <c r="O429" s="13" t="s">
        <v>1253</v>
      </c>
      <c r="P429" s="13">
        <v>10260</v>
      </c>
      <c r="R429" s="13" t="s">
        <v>110</v>
      </c>
      <c r="S429" s="13" t="s">
        <v>1258</v>
      </c>
      <c r="T429" s="13" t="s">
        <v>112</v>
      </c>
      <c r="U429" s="13" t="s">
        <v>113</v>
      </c>
      <c r="V429" s="13">
        <v>-186</v>
      </c>
      <c r="W429" s="44">
        <f>IF($AX429="Cancelled","",IFERROR(((V429+INDEX(Variables!$B$6:$D$6,IFERROR(MATCH(IF($B429="Robusta","Robusta",(IF($B429="","Arabica",$B429))&amp;" - "&amp;(IF($C429="","Commercial",$C429))),Variables!$B$1:$D$1,0),1)))*22.0462)*(L429/16.67),""))</f>
        <v>44351.611469706055</v>
      </c>
      <c r="X429" s="55" t="s">
        <v>39</v>
      </c>
      <c r="Y429" s="13" t="str">
        <f>IF($AX429="Cancelled","",IF(X429="","",IFERROR(IF(INDEX(Variables!$B$38:$B$47,MATCH(X429,Variables!$A$38:$A$47,0))="Yes","Yes","No"),"No")))</f>
        <v>No</v>
      </c>
      <c r="Z429" s="31" t="s">
        <v>39</v>
      </c>
      <c r="AB429" s="31" t="s">
        <v>39</v>
      </c>
      <c r="AC429" s="13" t="str">
        <f t="shared" si="18"/>
        <v/>
      </c>
      <c r="AF429" s="71">
        <v>45789</v>
      </c>
      <c r="AG429" s="35">
        <f>IF($AX429="Cancelled","",IFERROR(IF(F429="","",F429-Variables!$B$13),""))</f>
        <v>45793</v>
      </c>
      <c r="AH429" s="13" t="str">
        <f>IF($AX429="Cancelled","",IFERROR(IF(AB429="","",(AVERAGE(E429:F429)-AB429)-Variables!$B$14),""))</f>
        <v/>
      </c>
      <c r="AJ429" s="47">
        <v>45785</v>
      </c>
      <c r="AK429" s="14" t="str">
        <f>IF($AX429="Cancelled","",IFERROR(IF(AJ429="","",IF(AND(AB429="",AF429=""),"",IF(AF429&gt;AB429,AF429+Variables!$B$15+Variables!$B$16+Variables!$B$17-AJ429,AB429+Variables!$B$16+Variables!$B$17-AJ429))),""))</f>
        <v/>
      </c>
      <c r="AL429" s="48" t="s">
        <v>114</v>
      </c>
      <c r="AM429" s="13" t="s">
        <v>168</v>
      </c>
      <c r="AN429" s="13" t="s">
        <v>1049</v>
      </c>
      <c r="AP429" s="31">
        <v>45799</v>
      </c>
      <c r="AR429" s="13" t="s">
        <v>1254</v>
      </c>
      <c r="AS429" s="31">
        <v>45799</v>
      </c>
      <c r="AU429" s="31">
        <v>45807</v>
      </c>
      <c r="AV429" s="13" t="s">
        <v>1255</v>
      </c>
      <c r="AW429" s="31">
        <v>45807</v>
      </c>
      <c r="AX429" s="13" t="str">
        <f>IF(ISNUMBER(SEARCH("cancel",#REF!)),"Cancelled",IF(AND(AS429&lt;&gt;"",AU429&lt;&gt;"",AW429&lt;&gt;""),"Closed","Open"))</f>
        <v>Closed</v>
      </c>
      <c r="AY429" s="15" t="str">
        <f t="shared" si="19"/>
        <v>All dates received</v>
      </c>
      <c r="BD429" s="13">
        <f>IF($AX429="Cancelled","",IFERROR(IF(OR(AS429="",AJ429=""),"",(AJ429+Variables!$B$18-AS429)),""))</f>
        <v>1</v>
      </c>
      <c r="BE429" s="13">
        <f>IF($AX429="Cancelled","",IFERROR(IF(OR(AW429="",AS429=""),"",(AS429+Variables!$B$19)-AW429),""))</f>
        <v>-3</v>
      </c>
      <c r="BF429" s="44">
        <f>IF($AX429="Cancelled","",IFERROR(W429*INDEX(Variables!$B$7:$D$7,IFERROR(MATCH(IF($B429="Robusta","Robusta",(IF($B429="","Arabica",$B429))&amp;" - "&amp;(IF($C429="","Commercial",$C429))),Variables!$B$1:$D$1,0),1))*(BE429/365),""))</f>
        <v>-23.505940940645587</v>
      </c>
      <c r="BG429" s="44" t="str">
        <f>IF($AX429="Cancelled","",IFERROR((W429*INDEX(Variables!$B$7:$D$7,IFERROR(MATCH(IF($B429="Robusta","Robusta",(IF($B429="","Arabica",$B429))&amp;" - "&amp;(IF($C429="","Commercial",$C429))),Variables!$B$1:$D$1,0),1))*IFERROR(IF(AB429="","",(AVERAGE(E429:F429)-AB429)-Variables!$B$14),"")/365)+(L429/16.67*INDEX(Variables!$B$8:$D$8,IFERROR(MATCH(IF($B429="Robusta","Robusta",(IF($B429="","Arabica",$B429))&amp;" - "&amp;(IF($C429="","Commercial",$C429))),Variables!$B$1:$D$1,0),1))*IFERROR(IF(AB429="","",(AVERAGE(E429:F429)-AB429)-Variables!$B$14),""))+(W429*INDEX(Variables!$B$9:$D$9,IFERROR(MATCH(IF($B429="Robusta","Robusta",(IF($B429="","Arabica",$B429))&amp;" - "&amp;(IF($C429="","Commercial",$C429))),Variables!$B$1:$D$1,0),1))*IFERROR(IF(AB429="","",(AVERAGE(E429:F429)-AB429)-Variables!$B$14),"")/365),""))</f>
        <v/>
      </c>
      <c r="BH429" s="44" t="str">
        <f>IF($AX429="Cancelled","",IFERROR((W429*INDEX(Variables!$B$7:$D$7,IFERROR(MATCH(IF($B429="Robusta","Robusta",(IF($B429="","Arabica",$B429))&amp;" - "&amp;(IF($C429="","Commercial",$C429))),Variables!$B$1:$D$1,0),1))*AK429/365)+(L429/16.67*INDEX(Variables!$B$8:$D$8,IFERROR(MATCH(IF($B429="Robusta","Robusta",(IF($B429="","Arabica",$B429))&amp;" - "&amp;(IF($C429="","Commercial",$C429))),Variables!$B$1:$D$1,0),1))*AK429)+(W429*INDEX(Variables!$B$9:$D$9,IFERROR(MATCH(IF($B429="Robusta","Robusta",(IF($B429="","Arabica",$B429))&amp;" - "&amp;(IF($C429="","Commercial",$C429))),Variables!$B$1:$D$1,0),1))*AK429/365),""))</f>
        <v/>
      </c>
      <c r="BI429" s="44">
        <f>IF($AX429="Cancelled","",IFERROR((W429*INDEX(Variables!$B$7:$D$7,IFERROR(MATCH(IF($B429="Robusta","Robusta",(IF($B429="","Arabica",$B429))&amp;" - "&amp;(IF($C429="","Commercial",$C429))),Variables!$B$1:$D$1,0),1))*BD429/365)+(L429/16.67*INDEX(Variables!$B$8:$D$8,IFERROR(MATCH(IF($B429="Robusta","Robusta",(IF($B429="","Arabica",$B429))&amp;" - "&amp;(IF($C429="","Commercial",$C429))),Variables!$B$1:$D$1,0),1))*BD429)+(W429*INDEX(Variables!$B$9:$D$9,IFERROR(MATCH(IF($B429="Robusta","Robusta",(IF($B429="","Arabica",$B429))&amp;" - "&amp;(IF($C429="","Commercial",$C429))),Variables!$B$1:$D$1,0),1))*BD429/365),""))</f>
        <v>23.936325960894923</v>
      </c>
      <c r="BJ429" s="44">
        <f t="shared" si="20"/>
        <v>9</v>
      </c>
      <c r="BK429" s="44">
        <f>IF($AX429="Cancelled","",IFERROR(IF(BJ429="","",(W429*INDEX(Variables!$B$7:$D$7,IFERROR(MATCH(IF($B429="Robusta","Robusta",(IF($B429="","Arabica",$B429))&amp;" - "&amp;(IF($C429="","Commercial",$C429))),Variables!$B$1:$D$1,0),1))*(BJ429/365))+(W429*INDEX(Variables!$B$9:$D$9,IFERROR(MATCH(IF($B429="Robusta","Robusta",(IF($B429="","Arabica",$B429))&amp;" - "&amp;(IF($C429="","Commercial",$C429))),Variables!$B$1:$D$1,0),1))*(BJ429/365))+(INDEX(Variables!$B$8:$D$8,IFERROR(MATCH(IF($B429="Robusta","Robusta",(IF($B429="","Arabica",$B429))&amp;" - "&amp;(IF($C429="","Commercial",$C429))),Variables!$B$1:$D$1,0),1))*L429/16.67)),""))</f>
        <v>87.426933648054302</v>
      </c>
    </row>
    <row r="430" spans="1:63">
      <c r="A430" s="13" t="s">
        <v>103</v>
      </c>
      <c r="B430" s="13" t="s">
        <v>104</v>
      </c>
      <c r="C430" s="13" t="s">
        <v>292</v>
      </c>
      <c r="D430" s="31">
        <v>45772</v>
      </c>
      <c r="E430" s="31">
        <v>45778</v>
      </c>
      <c r="F430" s="31">
        <v>45808</v>
      </c>
      <c r="G430" s="13">
        <v>3786910</v>
      </c>
      <c r="H430" s="13" t="s">
        <v>1259</v>
      </c>
      <c r="J430" s="13" t="s">
        <v>611</v>
      </c>
      <c r="K430" s="13" t="s">
        <v>1260</v>
      </c>
      <c r="L430" s="13">
        <v>20</v>
      </c>
      <c r="M430" s="13">
        <v>0</v>
      </c>
      <c r="N430" s="13" t="s">
        <v>1261</v>
      </c>
      <c r="O430" s="13" t="s">
        <v>304</v>
      </c>
      <c r="P430" s="13">
        <v>10010</v>
      </c>
      <c r="R430" s="13" t="s">
        <v>239</v>
      </c>
      <c r="S430" s="13" t="s">
        <v>283</v>
      </c>
      <c r="T430" s="13" t="s">
        <v>112</v>
      </c>
      <c r="U430" s="13" t="s">
        <v>113</v>
      </c>
      <c r="V430" s="13">
        <v>40</v>
      </c>
      <c r="W430" s="44">
        <f>IF($AX430="Cancelled","",IFERROR(((V430+INDEX(Variables!$B$6:$D$6,IFERROR(MATCH(IF($B430="Robusta","Robusta",(IF($B430="","Arabica",$B430))&amp;" - "&amp;(IF($C430="","Commercial",$C430))),Variables!$B$1:$D$1,0),1)))*22.0462)*(L430/16.67),""))</f>
        <v>8749.7096100779836</v>
      </c>
      <c r="X430" s="55" t="s">
        <v>39</v>
      </c>
      <c r="Y430" s="13" t="str">
        <f>IF($AX430="Cancelled","",IF(X430="","",IFERROR(IF(INDEX(Variables!$B$38:$B$47,MATCH(X430,Variables!$A$38:$A$47,0))="Yes","Yes","No"),"No")))</f>
        <v>No</v>
      </c>
      <c r="Z430" s="31"/>
      <c r="AB430" s="31">
        <v>45762.875</v>
      </c>
      <c r="AC430" s="13" t="str">
        <f t="shared" si="18"/>
        <v>Approved</v>
      </c>
      <c r="AF430" s="71">
        <v>45803</v>
      </c>
      <c r="AG430" s="36">
        <f>IF($AX430="Cancelled","",IFERROR(IF(F430="","",F430-Variables!$B$13),""))</f>
        <v>45793</v>
      </c>
      <c r="AH430" s="13">
        <f>IF($AX430="Cancelled","",IFERROR(IF(AB430="","",(AVERAGE(E430:F430)-AB430)-Variables!$B$14),""))</f>
        <v>0.125</v>
      </c>
      <c r="AJ430" s="47">
        <v>45800</v>
      </c>
      <c r="AK430" s="14">
        <f>IF($AX430="Cancelled","",IFERROR(IF(AJ430="","",IF(AND(AB430="",AF430=""),"",IF(AF430&gt;AB430,AF430+Variables!$B$15+Variables!$B$16+Variables!$B$17-AJ430,AB430+Variables!$B$16+Variables!$B$17-AJ430))),""))</f>
        <v>18</v>
      </c>
      <c r="AL430" s="48" t="s">
        <v>114</v>
      </c>
      <c r="AM430" s="13" t="s">
        <v>168</v>
      </c>
      <c r="AN430" s="13" t="s">
        <v>3248</v>
      </c>
      <c r="AP430" s="31">
        <v>45815</v>
      </c>
      <c r="AR430" s="13" t="s">
        <v>3264</v>
      </c>
      <c r="AS430" s="31">
        <v>45820</v>
      </c>
      <c r="AU430" s="31">
        <v>45821</v>
      </c>
      <c r="AV430" s="13" t="s">
        <v>865</v>
      </c>
      <c r="AW430" s="31">
        <v>45821</v>
      </c>
      <c r="AX430" s="13" t="str">
        <f>IF(ISNUMBER(SEARCH("cancel",#REF!)),"Cancelled",IF(AND(AS430&lt;&gt;"",AU430&lt;&gt;"",AW430&lt;&gt;""),"Closed","Open"))</f>
        <v>Closed</v>
      </c>
      <c r="AY430" s="15" t="str">
        <f t="shared" si="19"/>
        <v>All dates received</v>
      </c>
      <c r="BD430" s="13">
        <f>IF($AX430="Cancelled","",IFERROR(IF(OR(AS430="",AJ430=""),"",(AJ430+Variables!$B$18-AS430)),""))</f>
        <v>-5</v>
      </c>
      <c r="BE430" s="13">
        <f>IF($AX430="Cancelled","",IFERROR(IF(OR(AW430="",AS430=""),"",(AS430+Variables!$B$19)-AW430),""))</f>
        <v>4</v>
      </c>
      <c r="BF430" s="44">
        <f>IF($AX430="Cancelled","",IFERROR(W430*INDEX(Variables!$B$7:$D$7,IFERROR(MATCH(IF($B430="Robusta","Robusta",(IF($B430="","Arabica",$B430))&amp;" - "&amp;(IF($C430="","Commercial",$C430))),Variables!$B$1:$D$1,0),1))*(BE430/365),""))</f>
        <v>6.1830194522626911</v>
      </c>
      <c r="BG430" s="44">
        <f>IF($AX430="Cancelled","",IFERROR((W430*INDEX(Variables!$B$7:$D$7,IFERROR(MATCH(IF($B430="Robusta","Robusta",(IF($B430="","Arabica",$B430))&amp;" - "&amp;(IF($C430="","Commercial",$C430))),Variables!$B$1:$D$1,0),1))*IFERROR(IF(AB430="","",(AVERAGE(E430:F430)-AB430)-Variables!$B$14),"")/365)+(L430/16.67*INDEX(Variables!$B$8:$D$8,IFERROR(MATCH(IF($B430="Robusta","Robusta",(IF($B430="","Arabica",$B430))&amp;" - "&amp;(IF($C430="","Commercial",$C430))),Variables!$B$1:$D$1,0),1))*IFERROR(IF(AB430="","",(AVERAGE(E430:F430)-AB430)-Variables!$B$14),""))+(W430*INDEX(Variables!$B$9:$D$9,IFERROR(MATCH(IF($B430="Robusta","Robusta",(IF($B430="","Arabica",$B430))&amp;" - "&amp;(IF($C430="","Commercial",$C430))),Variables!$B$1:$D$1,0),1))*IFERROR(IF(AB430="","",(AVERAGE(E430:F430)-AB430)-Variables!$B$14),"")/365),""))</f>
        <v>0.32071032829377683</v>
      </c>
      <c r="BH430" s="44">
        <f>IF($AX430="Cancelled","",IFERROR((W430*INDEX(Variables!$B$7:$D$7,IFERROR(MATCH(IF($B430="Robusta","Robusta",(IF($B430="","Arabica",$B430))&amp;" - "&amp;(IF($C430="","Commercial",$C430))),Variables!$B$1:$D$1,0),1))*AK430/365)+(L430/16.67*INDEX(Variables!$B$8:$D$8,IFERROR(MATCH(IF($B430="Robusta","Robusta",(IF($B430="","Arabica",$B430))&amp;" - "&amp;(IF($C430="","Commercial",$C430))),Variables!$B$1:$D$1,0),1))*AK430)+(W430*INDEX(Variables!$B$9:$D$9,IFERROR(MATCH(IF($B430="Robusta","Robusta",(IF($B430="","Arabica",$B430))&amp;" - "&amp;(IF($C430="","Commercial",$C430))),Variables!$B$1:$D$1,0),1))*AK430/365),""))</f>
        <v>46.182287274303867</v>
      </c>
      <c r="BI430" s="44">
        <f>IF($AX430="Cancelled","",IFERROR((W430*INDEX(Variables!$B$7:$D$7,IFERROR(MATCH(IF($B430="Robusta","Robusta",(IF($B430="","Arabica",$B430))&amp;" - "&amp;(IF($C430="","Commercial",$C430))),Variables!$B$1:$D$1,0),1))*BD430/365)+(L430/16.67*INDEX(Variables!$B$8:$D$8,IFERROR(MATCH(IF($B430="Robusta","Robusta",(IF($B430="","Arabica",$B430))&amp;" - "&amp;(IF($C430="","Commercial",$C430))),Variables!$B$1:$D$1,0),1))*BD430)+(W430*INDEX(Variables!$B$9:$D$9,IFERROR(MATCH(IF($B430="Robusta","Robusta",(IF($B430="","Arabica",$B430))&amp;" - "&amp;(IF($C430="","Commercial",$C430))),Variables!$B$1:$D$1,0),1))*BD430/365),""))</f>
        <v>-12.828413131751072</v>
      </c>
      <c r="BJ430" s="44">
        <f t="shared" si="20"/>
        <v>-12</v>
      </c>
      <c r="BK430" s="44">
        <f>IF($AX430="Cancelled","",IFERROR(IF(BJ430="","",(W430*INDEX(Variables!$B$7:$D$7,IFERROR(MATCH(IF($B430="Robusta","Robusta",(IF($B430="","Arabica",$B430))&amp;" - "&amp;(IF($C430="","Commercial",$C430))),Variables!$B$1:$D$1,0),1))*(BJ430/365))+(W430*INDEX(Variables!$B$9:$D$9,IFERROR(MATCH(IF($B430="Robusta","Robusta",(IF($B430="","Arabica",$B430))&amp;" - "&amp;(IF($C430="","Commercial",$C430))),Variables!$B$1:$D$1,0),1))*(BJ430/365))+(INDEX(Variables!$B$8:$D$8,IFERROR(MATCH(IF($B430="Robusta","Robusta",(IF($B430="","Arabica",$B430))&amp;" - "&amp;(IF($C430="","Commercial",$C430))),Variables!$B$1:$D$1,0),1))*L430/16.67)),""))</f>
        <v>-17.788191516202573</v>
      </c>
    </row>
    <row r="431" spans="1:63">
      <c r="A431" s="13" t="s">
        <v>103</v>
      </c>
      <c r="B431" s="13" t="s">
        <v>104</v>
      </c>
      <c r="C431" s="13" t="s">
        <v>292</v>
      </c>
      <c r="D431" s="31">
        <v>45772</v>
      </c>
      <c r="E431" s="31">
        <v>45778</v>
      </c>
      <c r="F431" s="31">
        <v>45808</v>
      </c>
      <c r="G431" s="13">
        <v>3786911</v>
      </c>
      <c r="H431" s="13" t="s">
        <v>1262</v>
      </c>
      <c r="J431" s="13" t="s">
        <v>611</v>
      </c>
      <c r="K431" s="13" t="s">
        <v>1263</v>
      </c>
      <c r="L431" s="13">
        <v>245</v>
      </c>
      <c r="M431" s="13">
        <v>1</v>
      </c>
      <c r="N431" s="13" t="s">
        <v>1264</v>
      </c>
      <c r="O431" s="13" t="s">
        <v>775</v>
      </c>
      <c r="P431" s="13">
        <v>10030</v>
      </c>
      <c r="R431" s="13" t="s">
        <v>239</v>
      </c>
      <c r="S431" s="13" t="s">
        <v>283</v>
      </c>
      <c r="T431" s="13" t="s">
        <v>112</v>
      </c>
      <c r="U431" s="13" t="s">
        <v>113</v>
      </c>
      <c r="V431" s="13">
        <v>59</v>
      </c>
      <c r="W431" s="44">
        <f>IF($AX431="Cancelled","",IFERROR(((V431+INDEX(Variables!$B$6:$D$6,IFERROR(MATCH(IF($B431="Robusta","Robusta",(IF($B431="","Arabica",$B431))&amp;" - "&amp;(IF($C431="","Commercial",$C431))),Variables!$B$1:$D$1,0),1)))*22.0462)*(L431/16.67),""))</f>
        <v>113340.2151289742</v>
      </c>
      <c r="X431" s="55" t="s">
        <v>37</v>
      </c>
      <c r="Y431" s="13" t="str">
        <f>IF($AX431="Cancelled","",IF(X431="","",IFERROR(IF(INDEX(Variables!$B$38:$B$47,MATCH(X431,Variables!$A$38:$A$47,0))="Yes","Yes","No"),"No")))</f>
        <v>Yes</v>
      </c>
      <c r="Z431" s="31">
        <v>45781.875</v>
      </c>
      <c r="AB431" s="31">
        <v>45783.875</v>
      </c>
      <c r="AC431" s="13" t="str">
        <f t="shared" si="18"/>
        <v>Approved</v>
      </c>
      <c r="AF431" s="71">
        <v>45803</v>
      </c>
      <c r="AG431" s="31">
        <f>IF($AX431="Cancelled","",IFERROR(IF(F431="","",F431-Variables!$B$13),""))</f>
        <v>45793</v>
      </c>
      <c r="AH431" s="13">
        <f>IF($AX431="Cancelled","",IFERROR(IF(AB431="","",(AVERAGE(E431:F431)-AB431)-Variables!$B$14),""))</f>
        <v>-20.875</v>
      </c>
      <c r="AJ431" s="47">
        <v>45800</v>
      </c>
      <c r="AK431" s="14">
        <f>IF($AX431="Cancelled","",IFERROR(IF(AJ431="","",IF(AND(AB431="",AF431=""),"",IF(AF431&gt;AB431,AF431+Variables!$B$15+Variables!$B$16+Variables!$B$17-AJ431,AB431+Variables!$B$16+Variables!$B$17-AJ431))),""))</f>
        <v>18</v>
      </c>
      <c r="AL431" s="48" t="s">
        <v>114</v>
      </c>
      <c r="AM431" s="13" t="s">
        <v>168</v>
      </c>
      <c r="AN431" s="13" t="s">
        <v>3248</v>
      </c>
      <c r="AP431" s="31">
        <v>45815</v>
      </c>
      <c r="AR431" s="13" t="s">
        <v>3264</v>
      </c>
      <c r="AS431" s="31">
        <v>45820</v>
      </c>
      <c r="AU431" s="31">
        <v>45821</v>
      </c>
      <c r="AV431" s="13" t="s">
        <v>865</v>
      </c>
      <c r="AW431" s="31">
        <v>45821</v>
      </c>
      <c r="AX431" s="13" t="str">
        <f>IF(ISNUMBER(SEARCH("cancel",#REF!)),"Cancelled",IF(AND(AS431&lt;&gt;"",AU431&lt;&gt;"",AW431&lt;&gt;""),"Closed","Open"))</f>
        <v>Closed</v>
      </c>
      <c r="AY431" s="15" t="str">
        <f t="shared" si="19"/>
        <v>All dates received</v>
      </c>
      <c r="BD431" s="13">
        <f>IF($AX431="Cancelled","",IFERROR(IF(OR(AS431="",AJ431=""),"",(AJ431+Variables!$B$18-AS431)),""))</f>
        <v>-5</v>
      </c>
      <c r="BE431" s="13">
        <f>IF($AX431="Cancelled","",IFERROR(IF(OR(AW431="",AS431=""),"",(AS431+Variables!$B$19)-AW431),""))</f>
        <v>4</v>
      </c>
      <c r="BF431" s="44">
        <f>IF($AX431="Cancelled","",IFERROR(W431*INDEX(Variables!$B$7:$D$7,IFERROR(MATCH(IF($B431="Robusta","Robusta",(IF($B431="","Arabica",$B431))&amp;" - "&amp;(IF($C431="","Commercial",$C431))),Variables!$B$1:$D$1,0),1))*(BE431/365),""))</f>
        <v>80.092344328652501</v>
      </c>
      <c r="BG431" s="44">
        <f>IF($AX431="Cancelled","",IFERROR((W431*INDEX(Variables!$B$7:$D$7,IFERROR(MATCH(IF($B431="Robusta","Robusta",(IF($B431="","Arabica",$B431))&amp;" - "&amp;(IF($C431="","Commercial",$C431))),Variables!$B$1:$D$1,0),1))*IFERROR(IF(AB431="","",(AVERAGE(E431:F431)-AB431)-Variables!$B$14),"")/365)+(L431/16.67*INDEX(Variables!$B$8:$D$8,IFERROR(MATCH(IF($B431="Robusta","Robusta",(IF($B431="","Arabica",$B431))&amp;" - "&amp;(IF($C431="","Commercial",$C431))),Variables!$B$1:$D$1,0),1))*IFERROR(IF(AB431="","",(AVERAGE(E431:F431)-AB431)-Variables!$B$14),""))+(W431*INDEX(Variables!$B$9:$D$9,IFERROR(MATCH(IF($B431="Robusta","Robusta",(IF($B431="","Arabica",$B431))&amp;" - "&amp;(IF($C431="","Commercial",$C431))),Variables!$B$1:$D$1,0),1))*IFERROR(IF(AB431="","",(AVERAGE(E431:F431)-AB431)-Variables!$B$14),"")/365),""))</f>
        <v>-679.08926558835105</v>
      </c>
      <c r="BH431" s="44">
        <f>IF($AX431="Cancelled","",IFERROR((W431*INDEX(Variables!$B$7:$D$7,IFERROR(MATCH(IF($B431="Robusta","Robusta",(IF($B431="","Arabica",$B431))&amp;" - "&amp;(IF($C431="","Commercial",$C431))),Variables!$B$1:$D$1,0),1))*AK431/365)+(L431/16.67*INDEX(Variables!$B$8:$D$8,IFERROR(MATCH(IF($B431="Robusta","Robusta",(IF($B431="","Arabica",$B431))&amp;" - "&amp;(IF($C431="","Commercial",$C431))),Variables!$B$1:$D$1,0),1))*AK431)+(W431*INDEX(Variables!$B$9:$D$9,IFERROR(MATCH(IF($B431="Robusta","Robusta",(IF($B431="","Arabica",$B431))&amp;" - "&amp;(IF($C431="","Commercial",$C431))),Variables!$B$1:$D$1,0),1))*AK431/365),""))</f>
        <v>585.56200146540448</v>
      </c>
      <c r="BI431" s="44">
        <f>IF($AX431="Cancelled","",IFERROR((W431*INDEX(Variables!$B$7:$D$7,IFERROR(MATCH(IF($B431="Robusta","Robusta",(IF($B431="","Arabica",$B431))&amp;" - "&amp;(IF($C431="","Commercial",$C431))),Variables!$B$1:$D$1,0),1))*BD431/365)+(L431/16.67*INDEX(Variables!$B$8:$D$8,IFERROR(MATCH(IF($B431="Robusta","Robusta",(IF($B431="","Arabica",$B431))&amp;" - "&amp;(IF($C431="","Commercial",$C431))),Variables!$B$1:$D$1,0),1))*BD431)+(W431*INDEX(Variables!$B$9:$D$9,IFERROR(MATCH(IF($B431="Robusta","Robusta",(IF($B431="","Arabica",$B431))&amp;" - "&amp;(IF($C431="","Commercial",$C431))),Variables!$B$1:$D$1,0),1))*BD431/365),""))</f>
        <v>-162.6561115181679</v>
      </c>
      <c r="BJ431" s="44">
        <f t="shared" si="20"/>
        <v>-12</v>
      </c>
      <c r="BK431" s="44">
        <f>IF($AX431="Cancelled","",IFERROR(IF(BJ431="","",(W431*INDEX(Variables!$B$7:$D$7,IFERROR(MATCH(IF($B431="Robusta","Robusta",(IF($B431="","Arabica",$B431))&amp;" - "&amp;(IF($C431="","Commercial",$C431))),Variables!$B$1:$D$1,0),1))*(BJ431/365))+(W431*INDEX(Variables!$B$9:$D$9,IFERROR(MATCH(IF($B431="Robusta","Robusta",(IF($B431="","Arabica",$B431))&amp;" - "&amp;(IF($C431="","Commercial",$C431))),Variables!$B$1:$D$1,0),1))*(BJ431/365))+(INDEX(Variables!$B$8:$D$8,IFERROR(MATCH(IF($B431="Robusta","Robusta",(IF($B431="","Arabica",$B431))&amp;" - "&amp;(IF($C431="","Commercial",$C431))),Variables!$B$1:$D$1,0),1))*L431/16.67)),""))</f>
        <v>-231.12466764360295</v>
      </c>
    </row>
    <row r="432" spans="1:63">
      <c r="A432" s="13" t="s">
        <v>103</v>
      </c>
      <c r="B432" s="13" t="s">
        <v>104</v>
      </c>
      <c r="C432" s="13" t="s">
        <v>292</v>
      </c>
      <c r="D432" s="31">
        <v>45772</v>
      </c>
      <c r="E432" s="31">
        <v>45778</v>
      </c>
      <c r="F432" s="31">
        <v>45808</v>
      </c>
      <c r="G432" s="13">
        <v>3786912</v>
      </c>
      <c r="H432" s="13" t="s">
        <v>1265</v>
      </c>
      <c r="J432" s="13" t="s">
        <v>611</v>
      </c>
      <c r="K432" s="13" t="s">
        <v>1266</v>
      </c>
      <c r="L432" s="13">
        <v>55</v>
      </c>
      <c r="M432" s="13">
        <v>0</v>
      </c>
      <c r="N432" s="13" t="s">
        <v>1267</v>
      </c>
      <c r="O432" s="13" t="s">
        <v>775</v>
      </c>
      <c r="P432" s="13">
        <v>10030</v>
      </c>
      <c r="R432" s="13" t="s">
        <v>239</v>
      </c>
      <c r="S432" s="13" t="s">
        <v>283</v>
      </c>
      <c r="T432" s="13" t="s">
        <v>112</v>
      </c>
      <c r="U432" s="13" t="s">
        <v>113</v>
      </c>
      <c r="V432" s="13">
        <v>40</v>
      </c>
      <c r="W432" s="44">
        <f>IF($AX432="Cancelled","",IFERROR(((V432+INDEX(Variables!$B$6:$D$6,IFERROR(MATCH(IF($B432="Robusta","Robusta",(IF($B432="","Arabica",$B432))&amp;" - "&amp;(IF($C432="","Commercial",$C432))),Variables!$B$1:$D$1,0),1)))*22.0462)*(L432/16.67),""))</f>
        <v>24061.701427714455</v>
      </c>
      <c r="X432" s="55" t="s">
        <v>39</v>
      </c>
      <c r="Y432" s="13" t="str">
        <f>IF($AX432="Cancelled","",IF(X432="","",IFERROR(IF(INDEX(Variables!$B$38:$B$47,MATCH(X432,Variables!$A$38:$A$47,0))="Yes","Yes","No"),"No")))</f>
        <v>No</v>
      </c>
      <c r="Z432" s="31"/>
      <c r="AB432" s="31">
        <v>45762.875</v>
      </c>
      <c r="AC432" s="13" t="str">
        <f t="shared" si="18"/>
        <v>Approved</v>
      </c>
      <c r="AF432" s="71">
        <v>45803</v>
      </c>
      <c r="AG432" s="31">
        <f>IF($AX432="Cancelled","",IFERROR(IF(F432="","",F432-Variables!$B$13),""))</f>
        <v>45793</v>
      </c>
      <c r="AH432" s="13">
        <f>IF($AX432="Cancelled","",IFERROR(IF(AB432="","",(AVERAGE(E432:F432)-AB432)-Variables!$B$14),""))</f>
        <v>0.125</v>
      </c>
      <c r="AJ432" s="47">
        <v>45800</v>
      </c>
      <c r="AK432" s="14">
        <f>IF($AX432="Cancelled","",IFERROR(IF(AJ432="","",IF(AND(AB432="",AF432=""),"",IF(AF432&gt;AB432,AF432+Variables!$B$15+Variables!$B$16+Variables!$B$17-AJ432,AB432+Variables!$B$16+Variables!$B$17-AJ432))),""))</f>
        <v>18</v>
      </c>
      <c r="AL432" s="48" t="s">
        <v>114</v>
      </c>
      <c r="AM432" s="13" t="s">
        <v>168</v>
      </c>
      <c r="AN432" s="13" t="s">
        <v>3248</v>
      </c>
      <c r="AP432" s="31">
        <v>45815</v>
      </c>
      <c r="AR432" s="13" t="s">
        <v>3264</v>
      </c>
      <c r="AS432" s="31">
        <v>45820</v>
      </c>
      <c r="AU432" s="31">
        <v>45821</v>
      </c>
      <c r="AV432" s="13" t="s">
        <v>865</v>
      </c>
      <c r="AW432" s="31">
        <v>45821</v>
      </c>
      <c r="AX432" s="13" t="str">
        <f>IF(ISNUMBER(SEARCH("cancel",#REF!)),"Cancelled",IF(AND(AS432&lt;&gt;"",AU432&lt;&gt;"",AW432&lt;&gt;""),"Closed","Open"))</f>
        <v>Closed</v>
      </c>
      <c r="AY432" s="15" t="str">
        <f t="shared" si="19"/>
        <v>All dates received</v>
      </c>
      <c r="BD432" s="13">
        <f>IF($AX432="Cancelled","",IFERROR(IF(OR(AS432="",AJ432=""),"",(AJ432+Variables!$B$18-AS432)),""))</f>
        <v>-5</v>
      </c>
      <c r="BE432" s="13">
        <f>IF($AX432="Cancelled","",IFERROR(IF(OR(AW432="",AS432=""),"",(AS432+Variables!$B$19)-AW432),""))</f>
        <v>4</v>
      </c>
      <c r="BF432" s="44">
        <f>IF($AX432="Cancelled","",IFERROR(W432*INDEX(Variables!$B$7:$D$7,IFERROR(MATCH(IF($B432="Robusta","Robusta",(IF($B432="","Arabica",$B432))&amp;" - "&amp;(IF($C432="","Commercial",$C432))),Variables!$B$1:$D$1,0),1))*(BE432/365),""))</f>
        <v>17.003303493722402</v>
      </c>
      <c r="BG432" s="44">
        <f>IF($AX432="Cancelled","",IFERROR((W432*INDEX(Variables!$B$7:$D$7,IFERROR(MATCH(IF($B432="Robusta","Robusta",(IF($B432="","Arabica",$B432))&amp;" - "&amp;(IF($C432="","Commercial",$C432))),Variables!$B$1:$D$1,0),1))*IFERROR(IF(AB432="","",(AVERAGE(E432:F432)-AB432)-Variables!$B$14),"")/365)+(L432/16.67*INDEX(Variables!$B$8:$D$8,IFERROR(MATCH(IF($B432="Robusta","Robusta",(IF($B432="","Arabica",$B432))&amp;" - "&amp;(IF($C432="","Commercial",$C432))),Variables!$B$1:$D$1,0),1))*IFERROR(IF(AB432="","",(AVERAGE(E432:F432)-AB432)-Variables!$B$14),""))+(W432*INDEX(Variables!$B$9:$D$9,IFERROR(MATCH(IF($B432="Robusta","Robusta",(IF($B432="","Arabica",$B432))&amp;" - "&amp;(IF($C432="","Commercial",$C432))),Variables!$B$1:$D$1,0),1))*IFERROR(IF(AB432="","",(AVERAGE(E432:F432)-AB432)-Variables!$B$14),"")/365),""))</f>
        <v>0.88195340280788637</v>
      </c>
      <c r="BH432" s="44">
        <f>IF($AX432="Cancelled","",IFERROR((W432*INDEX(Variables!$B$7:$D$7,IFERROR(MATCH(IF($B432="Robusta","Robusta",(IF($B432="","Arabica",$B432))&amp;" - "&amp;(IF($C432="","Commercial",$C432))),Variables!$B$1:$D$1,0),1))*AK432/365)+(L432/16.67*INDEX(Variables!$B$8:$D$8,IFERROR(MATCH(IF($B432="Robusta","Robusta",(IF($B432="","Arabica",$B432))&amp;" - "&amp;(IF($C432="","Commercial",$C432))),Variables!$B$1:$D$1,0),1))*AK432)+(W432*INDEX(Variables!$B$9:$D$9,IFERROR(MATCH(IF($B432="Robusta","Robusta",(IF($B432="","Arabica",$B432))&amp;" - "&amp;(IF($C432="","Commercial",$C432))),Variables!$B$1:$D$1,0),1))*AK432/365),""))</f>
        <v>127.00129000433564</v>
      </c>
      <c r="BI432" s="44">
        <f>IF($AX432="Cancelled","",IFERROR((W432*INDEX(Variables!$B$7:$D$7,IFERROR(MATCH(IF($B432="Robusta","Robusta",(IF($B432="","Arabica",$B432))&amp;" - "&amp;(IF($C432="","Commercial",$C432))),Variables!$B$1:$D$1,0),1))*BD432/365)+(L432/16.67*INDEX(Variables!$B$8:$D$8,IFERROR(MATCH(IF($B432="Robusta","Robusta",(IF($B432="","Arabica",$B432))&amp;" - "&amp;(IF($C432="","Commercial",$C432))),Variables!$B$1:$D$1,0),1))*BD432)+(W432*INDEX(Variables!$B$9:$D$9,IFERROR(MATCH(IF($B432="Robusta","Robusta",(IF($B432="","Arabica",$B432))&amp;" - "&amp;(IF($C432="","Commercial",$C432))),Variables!$B$1:$D$1,0),1))*BD432/365),""))</f>
        <v>-35.278136112315451</v>
      </c>
      <c r="BJ432" s="44">
        <f t="shared" si="20"/>
        <v>-12</v>
      </c>
      <c r="BK432" s="44">
        <f>IF($AX432="Cancelled","",IFERROR(IF(BJ432="","",(W432*INDEX(Variables!$B$7:$D$7,IFERROR(MATCH(IF($B432="Robusta","Robusta",(IF($B432="","Arabica",$B432))&amp;" - "&amp;(IF($C432="","Commercial",$C432))),Variables!$B$1:$D$1,0),1))*(BJ432/365))+(W432*INDEX(Variables!$B$9:$D$9,IFERROR(MATCH(IF($B432="Robusta","Robusta",(IF($B432="","Arabica",$B432))&amp;" - "&amp;(IF($C432="","Commercial",$C432))),Variables!$B$1:$D$1,0),1))*(BJ432/365))+(INDEX(Variables!$B$8:$D$8,IFERROR(MATCH(IF($B432="Robusta","Robusta",(IF($B432="","Arabica",$B432))&amp;" - "&amp;(IF($C432="","Commercial",$C432))),Variables!$B$1:$D$1,0),1))*L432/16.67)),""))</f>
        <v>-48.917526669557091</v>
      </c>
    </row>
    <row r="433" spans="1:63">
      <c r="A433" s="13" t="s">
        <v>103</v>
      </c>
      <c r="B433" s="13" t="s">
        <v>104</v>
      </c>
      <c r="C433" s="13" t="s">
        <v>105</v>
      </c>
      <c r="D433" s="31">
        <v>45776</v>
      </c>
      <c r="E433" s="31">
        <v>45839</v>
      </c>
      <c r="F433" s="31">
        <v>45869</v>
      </c>
      <c r="G433" s="13">
        <v>3786913</v>
      </c>
      <c r="H433" s="13" t="s">
        <v>1268</v>
      </c>
      <c r="J433" s="13" t="s">
        <v>260</v>
      </c>
      <c r="K433" s="13">
        <v>5300</v>
      </c>
      <c r="L433" s="13">
        <v>320</v>
      </c>
      <c r="M433" s="13">
        <v>1</v>
      </c>
      <c r="N433" s="13" t="s">
        <v>1210</v>
      </c>
      <c r="O433" s="13" t="s">
        <v>456</v>
      </c>
      <c r="P433" s="13">
        <v>10140</v>
      </c>
      <c r="R433" s="13" t="s">
        <v>110</v>
      </c>
      <c r="S433" s="13" t="s">
        <v>1048</v>
      </c>
      <c r="T433" s="13" t="s">
        <v>263</v>
      </c>
      <c r="U433" s="13" t="s">
        <v>125</v>
      </c>
      <c r="V433" s="13">
        <v>-69</v>
      </c>
      <c r="W433" s="44">
        <f>IF($AX433="Cancelled","",IFERROR(((V433+INDEX(Variables!$B$6:$D$6,IFERROR(MATCH(IF($B433="Robusta","Robusta",(IF($B433="","Arabica",$B433))&amp;" - "&amp;(IF($C433="","Commercial",$C433))),Variables!$B$1:$D$1,0),1)))*22.0462)*(L433/16.67),""))</f>
        <v>93866.292213557288</v>
      </c>
      <c r="X433" s="55" t="s">
        <v>37</v>
      </c>
      <c r="Y433" s="13" t="str">
        <f>IF($AX433="Cancelled","",IF(X433="","",IFERROR(IF(INDEX(Variables!$B$38:$B$47,MATCH(X433,Variables!$A$38:$A$47,0))="Yes","Yes","No"),"No")))</f>
        <v>Yes</v>
      </c>
      <c r="Z433" s="58">
        <v>45806</v>
      </c>
      <c r="AB433" s="31">
        <v>45826</v>
      </c>
      <c r="AC433" s="13" t="str">
        <f t="shared" si="18"/>
        <v>Approved</v>
      </c>
      <c r="AF433" s="71">
        <v>45838</v>
      </c>
      <c r="AG433" s="37">
        <f>IF($AX433="Cancelled","",IFERROR(IF(F433="","",F433-Variables!$B$13),""))</f>
        <v>45854</v>
      </c>
      <c r="AH433" s="13">
        <f>IF($AX433="Cancelled","",IFERROR(IF(AB433="","",(AVERAGE(E433:F433)-AB433)-Variables!$B$14),""))</f>
        <v>-2</v>
      </c>
      <c r="AJ433" s="47">
        <v>45838</v>
      </c>
      <c r="AK433" s="14">
        <f>IF($AX433="Cancelled","",IFERROR(IF(AJ433="","",IF(AND(AB433="",AF433=""),"",IF(AF433&gt;AB433,AF433+Variables!$B$15+Variables!$B$16+Variables!$B$17-AJ433,AB433+Variables!$B$16+Variables!$B$17-AJ433))),""))</f>
        <v>15</v>
      </c>
      <c r="AL433" s="48" t="s">
        <v>114</v>
      </c>
      <c r="AM433" s="13" t="s">
        <v>115</v>
      </c>
      <c r="AN433" s="13" t="s">
        <v>1179</v>
      </c>
      <c r="AP433" s="31">
        <v>45845</v>
      </c>
      <c r="AR433" s="13">
        <v>255691441</v>
      </c>
      <c r="AS433" s="31">
        <v>45845</v>
      </c>
      <c r="AU433" s="31">
        <v>45847</v>
      </c>
      <c r="AV433" s="13" t="s">
        <v>865</v>
      </c>
      <c r="AW433" s="31">
        <v>45852</v>
      </c>
      <c r="AX433" s="13" t="str">
        <f>IF(ISNUMBER(SEARCH("cancel",#REF!)),"Cancelled",IF(AND(AS433&lt;&gt;"",AU433&lt;&gt;"",AW433&lt;&gt;""),"Closed","Open"))</f>
        <v>Closed</v>
      </c>
      <c r="AY433" s="15" t="str">
        <f t="shared" si="19"/>
        <v>All dates received</v>
      </c>
      <c r="BD433" s="13">
        <f>IF($AX433="Cancelled","",IFERROR(IF(OR(AS433="",AJ433=""),"",(AJ433+Variables!$B$18-AS433)),""))</f>
        <v>8</v>
      </c>
      <c r="BE433" s="13">
        <f>IF($AX433="Cancelled","",IFERROR(IF(OR(AW433="",AS433=""),"",(AS433+Variables!$B$19)-AW433),""))</f>
        <v>-2</v>
      </c>
      <c r="BF433" s="44">
        <f>IF($AX433="Cancelled","",IFERROR(W433*INDEX(Variables!$B$7:$D$7,IFERROR(MATCH(IF($B433="Robusta","Robusta",(IF($B433="","Arabica",$B433))&amp;" - "&amp;(IF($C433="","Commercial",$C433))),Variables!$B$1:$D$1,0),1))*(BE433/365),""))</f>
        <v>-33.165507001496131</v>
      </c>
      <c r="BG433" s="44">
        <f>IF($AX433="Cancelled","",IFERROR((W433*INDEX(Variables!$B$7:$D$7,IFERROR(MATCH(IF($B433="Robusta","Robusta",(IF($B433="","Arabica",$B433))&amp;" - "&amp;(IF($C433="","Commercial",$C433))),Variables!$B$1:$D$1,0),1))*IFERROR(IF(AB433="","",(AVERAGE(E433:F433)-AB433)-Variables!$B$14),"")/365)+(L433/16.67*INDEX(Variables!$B$8:$D$8,IFERROR(MATCH(IF($B433="Robusta","Robusta",(IF($B433="","Arabica",$B433))&amp;" - "&amp;(IF($C433="","Commercial",$C433))),Variables!$B$1:$D$1,0),1))*IFERROR(IF(AB433="","",(AVERAGE(E433:F433)-AB433)-Variables!$B$14),""))+(W433*INDEX(Variables!$B$9:$D$9,IFERROR(MATCH(IF($B433="Robusta","Robusta",(IF($B433="","Arabica",$B433))&amp;" - "&amp;(IF($C433="","Commercial",$C433))),Variables!$B$1:$D$1,0),1))*IFERROR(IF(AB433="","",(AVERAGE(E433:F433)-AB433)-Variables!$B$14),"")/365),""))</f>
        <v>-65.593074391726987</v>
      </c>
      <c r="BH433" s="44">
        <f>IF($AX433="Cancelled","",IFERROR((W433*INDEX(Variables!$B$7:$D$7,IFERROR(MATCH(IF($B433="Robusta","Robusta",(IF($B433="","Arabica",$B433))&amp;" - "&amp;(IF($C433="","Commercial",$C433))),Variables!$B$1:$D$1,0),1))*AK433/365)+(L433/16.67*INDEX(Variables!$B$8:$D$8,IFERROR(MATCH(IF($B433="Robusta","Robusta",(IF($B433="","Arabica",$B433))&amp;" - "&amp;(IF($C433="","Commercial",$C433))),Variables!$B$1:$D$1,0),1))*AK433)+(W433*INDEX(Variables!$B$9:$D$9,IFERROR(MATCH(IF($B433="Robusta","Robusta",(IF($B433="","Arabica",$B433))&amp;" - "&amp;(IF($C433="","Commercial",$C433))),Variables!$B$1:$D$1,0),1))*AK433/365),""))</f>
        <v>491.94805793795234</v>
      </c>
      <c r="BI433" s="44">
        <f>IF($AX433="Cancelled","",IFERROR((W433*INDEX(Variables!$B$7:$D$7,IFERROR(MATCH(IF($B433="Robusta","Robusta",(IF($B433="","Arabica",$B433))&amp;" - "&amp;(IF($C433="","Commercial",$C433))),Variables!$B$1:$D$1,0),1))*BD433/365)+(L433/16.67*INDEX(Variables!$B$8:$D$8,IFERROR(MATCH(IF($B433="Robusta","Robusta",(IF($B433="","Arabica",$B433))&amp;" - "&amp;(IF($C433="","Commercial",$C433))),Variables!$B$1:$D$1,0),1))*BD433)+(W433*INDEX(Variables!$B$9:$D$9,IFERROR(MATCH(IF($B433="Robusta","Robusta",(IF($B433="","Arabica",$B433))&amp;" - "&amp;(IF($C433="","Commercial",$C433))),Variables!$B$1:$D$1,0),1))*BD433/365),""))</f>
        <v>262.37229756690795</v>
      </c>
      <c r="BJ433" s="44">
        <f t="shared" si="20"/>
        <v>24</v>
      </c>
      <c r="BK433" s="44">
        <f>IF($AX433="Cancelled","",IFERROR(IF(BJ433="","",(W433*INDEX(Variables!$B$7:$D$7,IFERROR(MATCH(IF($B433="Robusta","Robusta",(IF($B433="","Arabica",$B433))&amp;" - "&amp;(IF($C433="","Commercial",$C433))),Variables!$B$1:$D$1,0),1))*(BJ433/365))+(W433*INDEX(Variables!$B$9:$D$9,IFERROR(MATCH(IF($B433="Robusta","Robusta",(IF($B433="","Arabica",$B433))&amp;" - "&amp;(IF($C433="","Commercial",$C433))),Variables!$B$1:$D$1,0),1))*(BJ433/365))+(INDEX(Variables!$B$8:$D$8,IFERROR(MATCH(IF($B433="Robusta","Robusta",(IF($B433="","Arabica",$B433))&amp;" - "&amp;(IF($C433="","Commercial",$C433))),Variables!$B$1:$D$1,0),1))*L433/16.67)),""))</f>
        <v>419.11689270072372</v>
      </c>
    </row>
    <row r="434" spans="1:63">
      <c r="A434" s="13" t="s">
        <v>103</v>
      </c>
      <c r="B434" s="13" t="s">
        <v>104</v>
      </c>
      <c r="C434" s="13" t="s">
        <v>105</v>
      </c>
      <c r="D434" s="31">
        <v>45777</v>
      </c>
      <c r="E434" s="31">
        <v>45778</v>
      </c>
      <c r="F434" s="31">
        <v>45808</v>
      </c>
      <c r="G434" s="13">
        <v>3786914</v>
      </c>
      <c r="H434" s="13" t="s">
        <v>1269</v>
      </c>
      <c r="J434" s="13" t="s">
        <v>118</v>
      </c>
      <c r="K434" s="13">
        <v>5280</v>
      </c>
      <c r="L434" s="13">
        <v>2160</v>
      </c>
      <c r="M434" s="13">
        <v>6</v>
      </c>
      <c r="N434" s="13" t="s">
        <v>1226</v>
      </c>
      <c r="O434" s="13" t="s">
        <v>456</v>
      </c>
      <c r="P434" s="13">
        <v>10140</v>
      </c>
      <c r="Q434" s="13" t="s">
        <v>745</v>
      </c>
      <c r="R434" s="13" t="s">
        <v>122</v>
      </c>
      <c r="S434" s="13" t="s">
        <v>154</v>
      </c>
      <c r="T434" s="13" t="s">
        <v>155</v>
      </c>
      <c r="U434" s="13" t="s">
        <v>125</v>
      </c>
      <c r="V434" s="13">
        <v>-52</v>
      </c>
      <c r="W434" s="44">
        <f>IF($AX434="Cancelled","",IFERROR(((V434+INDEX(Variables!$B$6:$D$6,IFERROR(MATCH(IF($B434="Robusta","Robusta",(IF($B434="","Arabica",$B434))&amp;" - "&amp;(IF($C434="","Commercial",$C434))),Variables!$B$1:$D$1,0),1)))*22.0462)*(L434/16.67),""))</f>
        <v>682159.94778644259</v>
      </c>
      <c r="X434" s="55" t="s">
        <v>37</v>
      </c>
      <c r="Y434" s="13" t="str">
        <f>IF($AX434="Cancelled","",IF(X434="","",IFERROR(IF(INDEX(Variables!$B$38:$B$47,MATCH(X434,Variables!$A$38:$A$47,0))="Yes","Yes","No"),"No")))</f>
        <v>Yes</v>
      </c>
      <c r="Z434" s="58">
        <v>45782</v>
      </c>
      <c r="AB434" s="31">
        <v>45784</v>
      </c>
      <c r="AC434" s="13" t="str">
        <f t="shared" si="18"/>
        <v>Approved</v>
      </c>
      <c r="AF434" s="71">
        <v>45803</v>
      </c>
      <c r="AG434" s="37">
        <f>IF($AX434="Cancelled","",IFERROR(IF(F434="","",F434-Variables!$B$13),""))</f>
        <v>45793</v>
      </c>
      <c r="AH434" s="13">
        <f>IF($AX434="Cancelled","",IFERROR(IF(AB434="","",(AVERAGE(E434:F434)-AB434)-Variables!$B$14),""))</f>
        <v>-21</v>
      </c>
      <c r="AJ434" s="47">
        <v>45798</v>
      </c>
      <c r="AK434" s="14">
        <f>IF($AX434="Cancelled","",IFERROR(IF(AJ434="","",IF(AND(AB434="",AF434=""),"",IF(AF434&gt;AB434,AF434+Variables!$B$15+Variables!$B$16+Variables!$B$17-AJ434,AB434+Variables!$B$16+Variables!$B$17-AJ434))),""))</f>
        <v>20</v>
      </c>
      <c r="AL434" s="48" t="s">
        <v>114</v>
      </c>
      <c r="AM434" s="13" t="s">
        <v>168</v>
      </c>
      <c r="AN434" s="13" t="s">
        <v>784</v>
      </c>
      <c r="AP434" s="31">
        <v>45818</v>
      </c>
      <c r="AR434" s="13" t="s">
        <v>1270</v>
      </c>
      <c r="AS434" s="31">
        <v>45818</v>
      </c>
      <c r="AU434" s="31">
        <v>45821</v>
      </c>
      <c r="AV434" s="13" t="s">
        <v>865</v>
      </c>
      <c r="AW434" s="31">
        <v>45821</v>
      </c>
      <c r="AX434" s="13" t="str">
        <f>IF(ISNUMBER(SEARCH("cancel",#REF!)),"Cancelled",IF(AND(AS434&lt;&gt;"",AU434&lt;&gt;"",AW434&lt;&gt;""),"Closed","Open"))</f>
        <v>Closed</v>
      </c>
      <c r="AY434" s="15" t="str">
        <f t="shared" si="19"/>
        <v>All dates received</v>
      </c>
      <c r="BD434" s="13">
        <f>IF($AX434="Cancelled","",IFERROR(IF(OR(AS434="",AJ434=""),"",(AJ434+Variables!$B$18-AS434)),""))</f>
        <v>-5</v>
      </c>
      <c r="BE434" s="13">
        <f>IF($AX434="Cancelled","",IFERROR(IF(OR(AW434="",AS434=""),"",(AS434+Variables!$B$19)-AW434),""))</f>
        <v>2</v>
      </c>
      <c r="BF434" s="44">
        <f>IF($AX434="Cancelled","",IFERROR(W434*INDEX(Variables!$B$7:$D$7,IFERROR(MATCH(IF($B434="Robusta","Robusta",(IF($B434="","Arabica",$B434))&amp;" - "&amp;(IF($C434="","Commercial",$C434))),Variables!$B$1:$D$1,0),1))*(BE434/365),""))</f>
        <v>241.02561197345179</v>
      </c>
      <c r="BG434" s="44">
        <f>IF($AX434="Cancelled","",IFERROR((W434*INDEX(Variables!$B$7:$D$7,IFERROR(MATCH(IF($B434="Robusta","Robusta",(IF($B434="","Arabica",$B434))&amp;" - "&amp;(IF($C434="","Commercial",$C434))),Variables!$B$1:$D$1,0),1))*IFERROR(IF(AB434="","",(AVERAGE(E434:F434)-AB434)-Variables!$B$14),"")/365)+(L434/16.67*INDEX(Variables!$B$8:$D$8,IFERROR(MATCH(IF($B434="Robusta","Robusta",(IF($B434="","Arabica",$B434))&amp;" - "&amp;(IF($C434="","Commercial",$C434))),Variables!$B$1:$D$1,0),1))*IFERROR(IF(AB434="","",(AVERAGE(E434:F434)-AB434)-Variables!$B$14),""))+(W434*INDEX(Variables!$B$9:$D$9,IFERROR(MATCH(IF($B434="Robusta","Robusta",(IF($B434="","Arabica",$B434))&amp;" - "&amp;(IF($C434="","Commercial",$C434))),Variables!$B$1:$D$1,0),1))*IFERROR(IF(AB434="","",(AVERAGE(E434:F434)-AB434)-Variables!$B$14),"")/365),""))</f>
        <v>-4831.3954212184835</v>
      </c>
      <c r="BH434" s="44">
        <f>IF($AX434="Cancelled","",IFERROR((W434*INDEX(Variables!$B$7:$D$7,IFERROR(MATCH(IF($B434="Robusta","Robusta",(IF($B434="","Arabica",$B434))&amp;" - "&amp;(IF($C434="","Commercial",$C434))),Variables!$B$1:$D$1,0),1))*AK434/365)+(L434/16.67*INDEX(Variables!$B$8:$D$8,IFERROR(MATCH(IF($B434="Robusta","Robusta",(IF($B434="","Arabica",$B434))&amp;" - "&amp;(IF($C434="","Commercial",$C434))),Variables!$B$1:$D$1,0),1))*AK434)+(W434*INDEX(Variables!$B$9:$D$9,IFERROR(MATCH(IF($B434="Robusta","Robusta",(IF($B434="","Arabica",$B434))&amp;" - "&amp;(IF($C434="","Commercial",$C434))),Variables!$B$1:$D$1,0),1))*AK434/365),""))</f>
        <v>4601.3289725890318</v>
      </c>
      <c r="BI434" s="44">
        <f>IF($AX434="Cancelled","",IFERROR((W434*INDEX(Variables!$B$7:$D$7,IFERROR(MATCH(IF($B434="Robusta","Robusta",(IF($B434="","Arabica",$B434))&amp;" - "&amp;(IF($C434="","Commercial",$C434))),Variables!$B$1:$D$1,0),1))*BD434/365)+(L434/16.67*INDEX(Variables!$B$8:$D$8,IFERROR(MATCH(IF($B434="Robusta","Robusta",(IF($B434="","Arabica",$B434))&amp;" - "&amp;(IF($C434="","Commercial",$C434))),Variables!$B$1:$D$1,0),1))*BD434)+(W434*INDEX(Variables!$B$9:$D$9,IFERROR(MATCH(IF($B434="Robusta","Robusta",(IF($B434="","Arabica",$B434))&amp;" - "&amp;(IF($C434="","Commercial",$C434))),Variables!$B$1:$D$1,0),1))*BD434/365),""))</f>
        <v>-1150.3322431472579</v>
      </c>
      <c r="BJ434" s="44">
        <f t="shared" si="20"/>
        <v>-10</v>
      </c>
      <c r="BK434" s="44">
        <f>IF($AX434="Cancelled","",IFERROR(IF(BJ434="","",(W434*INDEX(Variables!$B$7:$D$7,IFERROR(MATCH(IF($B434="Robusta","Robusta",(IF($B434="","Arabica",$B434))&amp;" - "&amp;(IF($C434="","Commercial",$C434))),Variables!$B$1:$D$1,0),1))*(BJ434/365))+(W434*INDEX(Variables!$B$9:$D$9,IFERROR(MATCH(IF($B434="Robusta","Robusta",(IF($B434="","Arabica",$B434))&amp;" - "&amp;(IF($C434="","Commercial",$C434))),Variables!$B$1:$D$1,0),1))*(BJ434/365))+(INDEX(Variables!$B$8:$D$8,IFERROR(MATCH(IF($B434="Robusta","Robusta",(IF($B434="","Arabica",$B434))&amp;" - "&amp;(IF($C434="","Commercial",$C434))),Variables!$B$1:$D$1,0),1))*L434/16.67)),""))</f>
        <v>-1112.6644862945154</v>
      </c>
    </row>
    <row r="435" spans="1:63">
      <c r="A435" s="13" t="s">
        <v>103</v>
      </c>
      <c r="B435" s="13" t="s">
        <v>104</v>
      </c>
      <c r="C435" s="13" t="s">
        <v>105</v>
      </c>
      <c r="D435" s="31">
        <v>45784</v>
      </c>
      <c r="E435" s="31">
        <v>45809</v>
      </c>
      <c r="F435" s="31">
        <v>45838</v>
      </c>
      <c r="G435" s="13">
        <v>3786915</v>
      </c>
      <c r="H435" s="13">
        <v>4592300</v>
      </c>
      <c r="J435" s="13" t="s">
        <v>916</v>
      </c>
      <c r="K435" s="13">
        <v>24148</v>
      </c>
      <c r="L435" s="13">
        <v>320</v>
      </c>
      <c r="M435" s="13">
        <v>1</v>
      </c>
      <c r="N435" s="13" t="s">
        <v>1271</v>
      </c>
      <c r="O435" s="13" t="s">
        <v>1037</v>
      </c>
      <c r="P435" s="13">
        <v>37030</v>
      </c>
      <c r="R435" s="13" t="s">
        <v>110</v>
      </c>
      <c r="S435" s="13" t="s">
        <v>299</v>
      </c>
      <c r="T435" s="13" t="s">
        <v>305</v>
      </c>
      <c r="U435" s="13" t="s">
        <v>125</v>
      </c>
      <c r="V435" s="13">
        <v>6</v>
      </c>
      <c r="W435" s="44">
        <f>IF($AX435="Cancelled","",IFERROR(((V435+INDEX(Variables!$B$6:$D$6,IFERROR(MATCH(IF($B435="Robusta","Robusta",(IF($B435="","Arabica",$B435))&amp;" - "&amp;(IF($C435="","Commercial",$C435))),Variables!$B$1:$D$1,0),1)))*22.0462)*(L435/16.67),""))</f>
        <v>125606.47217756447</v>
      </c>
      <c r="X435" s="55" t="s">
        <v>37</v>
      </c>
      <c r="Y435" s="13" t="str">
        <f>IF($AX435="Cancelled","",IF(X435="","",IFERROR(IF(INDEX(Variables!$B$38:$B$47,MATCH(X435,Variables!$A$38:$A$47,0))="Yes","Yes","No"),"No")))</f>
        <v>Yes</v>
      </c>
      <c r="Z435" s="58">
        <v>45786</v>
      </c>
      <c r="AB435" s="31">
        <v>45793</v>
      </c>
      <c r="AC435" s="13" t="str">
        <f t="shared" si="18"/>
        <v>Approved</v>
      </c>
      <c r="AF435" s="71"/>
      <c r="AG435" s="37">
        <f>IF($AX435="Cancelled","",IFERROR(IF(F435="","",F435-Variables!$B$13),""))</f>
        <v>45823</v>
      </c>
      <c r="AH435" s="13">
        <f>IF($AX435="Cancelled","",IFERROR(IF(AB435="","",(AVERAGE(E435:F435)-AB435)-Variables!$B$14),""))</f>
        <v>0.5</v>
      </c>
      <c r="AK435" s="14" t="str">
        <f>IF($AX435="Cancelled","",IFERROR(IF(AJ435="","",IF(AND(AB435="",AF435=""),"",IF(AF435&gt;AB435,AF435+Variables!$B$15+Variables!$B$16+Variables!$B$17-AJ435,AB435+Variables!$B$16+Variables!$B$17-AJ435))),""))</f>
        <v/>
      </c>
      <c r="AL435" s="48" t="s">
        <v>114</v>
      </c>
      <c r="AM435" s="13" t="s">
        <v>141</v>
      </c>
      <c r="AN435" s="13" t="s">
        <v>233</v>
      </c>
      <c r="AP435" s="31">
        <v>45834</v>
      </c>
      <c r="AR435" s="13" t="s">
        <v>1272</v>
      </c>
      <c r="AS435" s="31">
        <v>45834</v>
      </c>
      <c r="AU435" s="31">
        <v>45839</v>
      </c>
      <c r="AV435" s="13" t="s">
        <v>1039</v>
      </c>
      <c r="AW435" s="31">
        <v>45856</v>
      </c>
      <c r="AX435" s="13" t="str">
        <f>IF(ISNUMBER(SEARCH("cancel",#REF!)),"Cancelled",IF(AND(AS435&lt;&gt;"",AU435&lt;&gt;"",AW435&lt;&gt;""),"Closed","Open"))</f>
        <v>Closed</v>
      </c>
      <c r="AY435" s="15" t="str">
        <f t="shared" si="19"/>
        <v>All dates received</v>
      </c>
      <c r="BD435" s="13" t="str">
        <f>IF($AX435="Cancelled","",IFERROR(IF(OR(AS435="",AJ435=""),"",(AJ435+Variables!$B$18-AS435)),""))</f>
        <v/>
      </c>
      <c r="BE435" s="13">
        <f>IF($AX435="Cancelled","",IFERROR(IF(OR(AW435="",AS435=""),"",(AS435+Variables!$B$19)-AW435),""))</f>
        <v>-17</v>
      </c>
      <c r="BF435" s="44">
        <f>IF($AX435="Cancelled","",IFERROR(W435*INDEX(Variables!$B$7:$D$7,IFERROR(MATCH(IF($B435="Robusta","Robusta",(IF($B435="","Arabica",$B435))&amp;" - "&amp;(IF($C435="","Commercial",$C435))),Variables!$B$1:$D$1,0),1))*(BE435/365),""))</f>
        <v>-377.23147458690011</v>
      </c>
      <c r="BG435" s="44">
        <f>IF($AX435="Cancelled","",IFERROR((W435*INDEX(Variables!$B$7:$D$7,IFERROR(MATCH(IF($B435="Robusta","Robusta",(IF($B435="","Arabica",$B435))&amp;" - "&amp;(IF($C435="","Commercial",$C435))),Variables!$B$1:$D$1,0),1))*IFERROR(IF(AB435="","",(AVERAGE(E435:F435)-AB435)-Variables!$B$14),"")/365)+(L435/16.67*INDEX(Variables!$B$8:$D$8,IFERROR(MATCH(IF($B435="Robusta","Robusta",(IF($B435="","Arabica",$B435))&amp;" - "&amp;(IF($C435="","Commercial",$C435))),Variables!$B$1:$D$1,0),1))*IFERROR(IF(AB435="","",(AVERAGE(E435:F435)-AB435)-Variables!$B$14),""))+(W435*INDEX(Variables!$B$9:$D$9,IFERROR(MATCH(IF($B435="Robusta","Robusta",(IF($B435="","Arabica",$B435))&amp;" - "&amp;(IF($C435="","Commercial",$C435))),Variables!$B$1:$D$1,0),1))*IFERROR(IF(AB435="","",(AVERAGE(E435:F435)-AB435)-Variables!$B$14),"")/365),""))</f>
        <v>19.238079891190903</v>
      </c>
      <c r="BH435" s="44" t="str">
        <f>IF($AX435="Cancelled","",IFERROR((W435*INDEX(Variables!$B$7:$D$7,IFERROR(MATCH(IF($B435="Robusta","Robusta",(IF($B435="","Arabica",$B435))&amp;" - "&amp;(IF($C435="","Commercial",$C435))),Variables!$B$1:$D$1,0),1))*AK435/365)+(L435/16.67*INDEX(Variables!$B$8:$D$8,IFERROR(MATCH(IF($B435="Robusta","Robusta",(IF($B435="","Arabica",$B435))&amp;" - "&amp;(IF($C435="","Commercial",$C435))),Variables!$B$1:$D$1,0),1))*AK435)+(W435*INDEX(Variables!$B$9:$D$9,IFERROR(MATCH(IF($B435="Robusta","Robusta",(IF($B435="","Arabica",$B435))&amp;" - "&amp;(IF($C435="","Commercial",$C435))),Variables!$B$1:$D$1,0),1))*AK435/365),""))</f>
        <v/>
      </c>
      <c r="BI435" s="44" t="str">
        <f>IF($AX435="Cancelled","",IFERROR((W435*INDEX(Variables!$B$7:$D$7,IFERROR(MATCH(IF($B435="Robusta","Robusta",(IF($B435="","Arabica",$B435))&amp;" - "&amp;(IF($C435="","Commercial",$C435))),Variables!$B$1:$D$1,0),1))*BD435/365)+(L435/16.67*INDEX(Variables!$B$8:$D$8,IFERROR(MATCH(IF($B435="Robusta","Robusta",(IF($B435="","Arabica",$B435))&amp;" - "&amp;(IF($C435="","Commercial",$C435))),Variables!$B$1:$D$1,0),1))*BD435)+(W435*INDEX(Variables!$B$9:$D$9,IFERROR(MATCH(IF($B435="Robusta","Robusta",(IF($B435="","Arabica",$B435))&amp;" - "&amp;(IF($C435="","Commercial",$C435))),Variables!$B$1:$D$1,0),1))*BD435/365),""))</f>
        <v/>
      </c>
      <c r="BJ435" s="44">
        <f t="shared" si="20"/>
        <v>4</v>
      </c>
      <c r="BK435" s="44">
        <f>IF($AX435="Cancelled","",IFERROR(IF(BJ435="","",(W435*INDEX(Variables!$B$7:$D$7,IFERROR(MATCH(IF($B435="Robusta","Robusta",(IF($B435="","Arabica",$B435))&amp;" - "&amp;(IF($C435="","Commercial",$C435))),Variables!$B$1:$D$1,0),1))*(BJ435/365))+(W435*INDEX(Variables!$B$9:$D$9,IFERROR(MATCH(IF($B435="Robusta","Robusta",(IF($B435="","Arabica",$B435))&amp;" - "&amp;(IF($C435="","Commercial",$C435))),Variables!$B$1:$D$1,0),1))*(BJ435/365))+(INDEX(Variables!$B$8:$D$8,IFERROR(MATCH(IF($B435="Robusta","Robusta",(IF($B435="","Arabica",$B435))&amp;" - "&amp;(IF($C435="","Commercial",$C435))),Variables!$B$1:$D$1,0),1))*L435/16.67)),""))</f>
        <v>105.9046391295272</v>
      </c>
    </row>
    <row r="436" spans="1:63">
      <c r="A436" s="13" t="s">
        <v>103</v>
      </c>
      <c r="B436" s="13" t="s">
        <v>104</v>
      </c>
      <c r="C436" s="13" t="s">
        <v>292</v>
      </c>
      <c r="D436" s="31">
        <v>45791</v>
      </c>
      <c r="E436" s="31">
        <v>45809</v>
      </c>
      <c r="F436" s="31">
        <v>45838</v>
      </c>
      <c r="G436" s="13">
        <v>3786916</v>
      </c>
      <c r="H436" s="13">
        <v>12614</v>
      </c>
      <c r="J436" s="13" t="s">
        <v>1152</v>
      </c>
      <c r="K436" s="13" t="s">
        <v>1273</v>
      </c>
      <c r="L436" s="13">
        <v>50</v>
      </c>
      <c r="M436" s="13">
        <v>0</v>
      </c>
      <c r="N436" s="13" t="s">
        <v>1274</v>
      </c>
      <c r="O436" s="13" t="s">
        <v>261</v>
      </c>
      <c r="P436" s="13">
        <v>10060</v>
      </c>
      <c r="R436" s="13" t="s">
        <v>239</v>
      </c>
      <c r="S436" s="13" t="s">
        <v>1155</v>
      </c>
      <c r="T436" s="13" t="s">
        <v>329</v>
      </c>
      <c r="U436" s="13" t="s">
        <v>330</v>
      </c>
      <c r="V436" s="13">
        <v>35</v>
      </c>
      <c r="W436" s="44">
        <f>IF($AX436="Cancelled","",IFERROR(((V436+INDEX(Variables!$B$6:$D$6,IFERROR(MATCH(IF($B436="Robusta","Robusta",(IF($B436="","Arabica",$B436))&amp;" - "&amp;(IF($C436="","Commercial",$C436))),Variables!$B$1:$D$1,0),1)))*22.0462)*(L436/16.67),""))</f>
        <v>21543.647150569883</v>
      </c>
      <c r="X436" s="55" t="s">
        <v>37</v>
      </c>
      <c r="Y436" s="13" t="str">
        <f>IF($AX436="Cancelled","",IF(X436="","",IFERROR(IF(INDEX(Variables!$B$38:$B$47,MATCH(X436,Variables!$A$38:$A$47,0))="Yes","Yes","No"),"No")))</f>
        <v>Yes</v>
      </c>
      <c r="Z436" s="31">
        <v>45796.875</v>
      </c>
      <c r="AB436" s="31">
        <v>45804.875</v>
      </c>
      <c r="AC436" s="13" t="str">
        <f t="shared" si="18"/>
        <v>Approved</v>
      </c>
      <c r="AF436" s="71">
        <v>45819</v>
      </c>
      <c r="AG436" s="31">
        <f>IF($AX436="Cancelled","",IFERROR(IF(F436="","",F436-Variables!$B$13),""))</f>
        <v>45823</v>
      </c>
      <c r="AH436" s="13">
        <f>IF($AX436="Cancelled","",IFERROR(IF(AB436="","",(AVERAGE(E436:F436)-AB436)-Variables!$B$14),""))</f>
        <v>-11.375</v>
      </c>
      <c r="AJ436" s="47">
        <v>45819</v>
      </c>
      <c r="AK436" s="14">
        <f>IF($AX436="Cancelled","",IFERROR(IF(AJ436="","",IF(AND(AB436="",AF436=""),"",IF(AF436&gt;AB436,AF436+Variables!$B$15+Variables!$B$16+Variables!$B$17-AJ436,AB436+Variables!$B$16+Variables!$B$17-AJ436))),""))</f>
        <v>15</v>
      </c>
      <c r="AL436" s="48" t="s">
        <v>114</v>
      </c>
      <c r="AM436" s="13" t="s">
        <v>115</v>
      </c>
      <c r="AN436" s="13" t="s">
        <v>510</v>
      </c>
      <c r="AP436" s="31">
        <v>45834</v>
      </c>
      <c r="AR436" s="13">
        <v>254966212</v>
      </c>
      <c r="AS436" s="31">
        <v>45839</v>
      </c>
      <c r="AU436" s="31">
        <v>45841</v>
      </c>
      <c r="AV436" s="13" t="s">
        <v>865</v>
      </c>
      <c r="AW436" s="31">
        <v>45852</v>
      </c>
      <c r="AX436" s="13" t="str">
        <f>IF(ISNUMBER(SEARCH("cancel",#REF!)),"Cancelled",IF(AND(AS436&lt;&gt;"",AU436&lt;&gt;"",AW436&lt;&gt;""),"Closed","Open"))</f>
        <v>Closed</v>
      </c>
      <c r="AY436" s="15" t="str">
        <f t="shared" si="19"/>
        <v>All dates received</v>
      </c>
      <c r="BD436" s="13">
        <f>IF($AX436="Cancelled","",IFERROR(IF(OR(AS436="",AJ436=""),"",(AJ436+Variables!$B$18-AS436)),""))</f>
        <v>-5</v>
      </c>
      <c r="BE436" s="13">
        <f>IF($AX436="Cancelled","",IFERROR(IF(OR(AW436="",AS436=""),"",(AS436+Variables!$B$19)-AW436),""))</f>
        <v>-8</v>
      </c>
      <c r="BF436" s="44">
        <f>IF($AX436="Cancelled","",IFERROR(W436*INDEX(Variables!$B$7:$D$7,IFERROR(MATCH(IF($B436="Robusta","Robusta",(IF($B436="","Arabica",$B436))&amp;" - "&amp;(IF($C436="","Commercial",$C436))),Variables!$B$1:$D$1,0),1))*(BE436/365),""))</f>
        <v>-30.447819491341967</v>
      </c>
      <c r="BG436" s="44">
        <f>IF($AX436="Cancelled","",IFERROR((W436*INDEX(Variables!$B$7:$D$7,IFERROR(MATCH(IF($B436="Robusta","Robusta",(IF($B436="","Arabica",$B436))&amp;" - "&amp;(IF($C436="","Commercial",$C436))),Variables!$B$1:$D$1,0),1))*IFERROR(IF(AB436="","",(AVERAGE(E436:F436)-AB436)-Variables!$B$14),"")/365)+(L436/16.67*INDEX(Variables!$B$8:$D$8,IFERROR(MATCH(IF($B436="Robusta","Robusta",(IF($B436="","Arabica",$B436))&amp;" - "&amp;(IF($C436="","Commercial",$C436))),Variables!$B$1:$D$1,0),1))*IFERROR(IF(AB436="","",(AVERAGE(E436:F436)-AB436)-Variables!$B$14),""))+(W436*INDEX(Variables!$B$9:$D$9,IFERROR(MATCH(IF($B436="Robusta","Robusta",(IF($B436="","Arabica",$B436))&amp;" - "&amp;(IF($C436="","Commercial",$C436))),Variables!$B$1:$D$1,0),1))*IFERROR(IF(AB436="","",(AVERAGE(E436:F436)-AB436)-Variables!$B$14),"")/365),""))</f>
        <v>-72.288623573067085</v>
      </c>
      <c r="BH436" s="44">
        <f>IF($AX436="Cancelled","",IFERROR((W436*INDEX(Variables!$B$7:$D$7,IFERROR(MATCH(IF($B436="Robusta","Robusta",(IF($B436="","Arabica",$B436))&amp;" - "&amp;(IF($C436="","Commercial",$C436))),Variables!$B$1:$D$1,0),1))*AK436/365)+(L436/16.67*INDEX(Variables!$B$8:$D$8,IFERROR(MATCH(IF($B436="Robusta","Robusta",(IF($B436="","Arabica",$B436))&amp;" - "&amp;(IF($C436="","Commercial",$C436))),Variables!$B$1:$D$1,0),1))*AK436)+(W436*INDEX(Variables!$B$9:$D$9,IFERROR(MATCH(IF($B436="Robusta","Robusta",(IF($B436="","Arabica",$B436))&amp;" - "&amp;(IF($C436="","Commercial",$C436))),Variables!$B$1:$D$1,0),1))*AK436/365),""))</f>
        <v>95.325657458989568</v>
      </c>
      <c r="BI436" s="44">
        <f>IF($AX436="Cancelled","",IFERROR((W436*INDEX(Variables!$B$7:$D$7,IFERROR(MATCH(IF($B436="Robusta","Robusta",(IF($B436="","Arabica",$B436))&amp;" - "&amp;(IF($C436="","Commercial",$C436))),Variables!$B$1:$D$1,0),1))*BD436/365)+(L436/16.67*INDEX(Variables!$B$8:$D$8,IFERROR(MATCH(IF($B436="Robusta","Robusta",(IF($B436="","Arabica",$B436))&amp;" - "&amp;(IF($C436="","Commercial",$C436))),Variables!$B$1:$D$1,0),1))*BD436)+(W436*INDEX(Variables!$B$9:$D$9,IFERROR(MATCH(IF($B436="Robusta","Robusta",(IF($B436="","Arabica",$B436))&amp;" - "&amp;(IF($C436="","Commercial",$C436))),Variables!$B$1:$D$1,0),1))*BD436/365),""))</f>
        <v>-31.77521915299652</v>
      </c>
      <c r="BJ436" s="44">
        <f t="shared" si="20"/>
        <v>-1</v>
      </c>
      <c r="BK436" s="44">
        <f>IF($AX436="Cancelled","",IFERROR(IF(BJ436="","",(W436*INDEX(Variables!$B$7:$D$7,IFERROR(MATCH(IF($B436="Robusta","Robusta",(IF($B436="","Arabica",$B436))&amp;" - "&amp;(IF($C436="","Commercial",$C436))),Variables!$B$1:$D$1,0),1))*(BJ436/365))+(W436*INDEX(Variables!$B$9:$D$9,IFERROR(MATCH(IF($B436="Robusta","Robusta",(IF($B436="","Arabica",$B436))&amp;" - "&amp;(IF($C436="","Commercial",$C436))),Variables!$B$1:$D$1,0),1))*(BJ436/365))+(INDEX(Variables!$B$8:$D$8,IFERROR(MATCH(IF($B436="Robusta","Robusta",(IF($B436="","Arabica",$B436))&amp;" - "&amp;(IF($C436="","Commercial",$C436))),Variables!$B$1:$D$1,0),1))*L436/16.67)),""))</f>
        <v>-1.3550438305993042</v>
      </c>
    </row>
    <row r="437" spans="1:63">
      <c r="A437" s="13" t="s">
        <v>103</v>
      </c>
      <c r="B437" s="13" t="s">
        <v>104</v>
      </c>
      <c r="C437" s="13" t="s">
        <v>292</v>
      </c>
      <c r="D437" s="31">
        <v>45791</v>
      </c>
      <c r="E437" s="31">
        <v>45809</v>
      </c>
      <c r="F437" s="31">
        <v>45838</v>
      </c>
      <c r="G437" s="13">
        <v>3786917</v>
      </c>
      <c r="H437" s="13">
        <v>12614</v>
      </c>
      <c r="J437" s="13" t="s">
        <v>1152</v>
      </c>
      <c r="K437" s="13" t="s">
        <v>1275</v>
      </c>
      <c r="L437" s="13">
        <v>50</v>
      </c>
      <c r="M437" s="13">
        <v>0</v>
      </c>
      <c r="N437" s="13" t="s">
        <v>1276</v>
      </c>
      <c r="O437" s="13" t="s">
        <v>109</v>
      </c>
      <c r="P437" s="13">
        <v>10080</v>
      </c>
      <c r="R437" s="13" t="s">
        <v>239</v>
      </c>
      <c r="S437" s="13" t="s">
        <v>1155</v>
      </c>
      <c r="T437" s="13" t="s">
        <v>329</v>
      </c>
      <c r="U437" s="13" t="s">
        <v>330</v>
      </c>
      <c r="V437" s="13">
        <v>19</v>
      </c>
      <c r="W437" s="44">
        <f>IF($AX437="Cancelled","",IFERROR(((V437+INDEX(Variables!$B$6:$D$6,IFERROR(MATCH(IF($B437="Robusta","Robusta",(IF($B437="","Arabica",$B437))&amp;" - "&amp;(IF($C437="","Commercial",$C437))),Variables!$B$1:$D$1,0),1)))*22.0462)*(L437/16.67),""))</f>
        <v>20485.641151769643</v>
      </c>
      <c r="X437" s="55" t="s">
        <v>37</v>
      </c>
      <c r="Y437" s="13" t="str">
        <f>IF($AX437="Cancelled","",IF(X437="","",IFERROR(IF(INDEX(Variables!$B$38:$B$47,MATCH(X437,Variables!$A$38:$A$47,0))="Yes","Yes","No"),"No")))</f>
        <v>Yes</v>
      </c>
      <c r="Z437" s="31">
        <v>45796.875</v>
      </c>
      <c r="AB437" s="31">
        <v>45804.875</v>
      </c>
      <c r="AC437" s="13" t="str">
        <f t="shared" si="18"/>
        <v>Approved</v>
      </c>
      <c r="AF437" s="71">
        <v>45819</v>
      </c>
      <c r="AG437" s="31">
        <f>IF($AX437="Cancelled","",IFERROR(IF(F437="","",F437-Variables!$B$13),""))</f>
        <v>45823</v>
      </c>
      <c r="AH437" s="13">
        <f>IF($AX437="Cancelled","",IFERROR(IF(AB437="","",(AVERAGE(E437:F437)-AB437)-Variables!$B$14),""))</f>
        <v>-11.375</v>
      </c>
      <c r="AJ437" s="47">
        <v>45819</v>
      </c>
      <c r="AK437" s="14">
        <f>IF($AX437="Cancelled","",IFERROR(IF(AJ437="","",IF(AND(AB437="",AF437=""),"",IF(AF437&gt;AB437,AF437+Variables!$B$15+Variables!$B$16+Variables!$B$17-AJ437,AB437+Variables!$B$16+Variables!$B$17-AJ437))),""))</f>
        <v>15</v>
      </c>
      <c r="AL437" s="48" t="s">
        <v>114</v>
      </c>
      <c r="AM437" s="13" t="s">
        <v>115</v>
      </c>
      <c r="AN437" s="13" t="s">
        <v>510</v>
      </c>
      <c r="AP437" s="31">
        <v>45834</v>
      </c>
      <c r="AR437" s="13">
        <v>254966212</v>
      </c>
      <c r="AS437" s="31">
        <v>45839</v>
      </c>
      <c r="AU437" s="31">
        <v>45841</v>
      </c>
      <c r="AV437" s="13" t="s">
        <v>865</v>
      </c>
      <c r="AW437" s="31">
        <v>45852</v>
      </c>
      <c r="AX437" s="13" t="str">
        <f>IF(ISNUMBER(SEARCH("cancel",#REF!)),"Cancelled",IF(AND(AS437&lt;&gt;"",AU437&lt;&gt;"",AW437&lt;&gt;""),"Closed","Open"))</f>
        <v>Closed</v>
      </c>
      <c r="AY437" s="15" t="str">
        <f t="shared" si="19"/>
        <v>All dates received</v>
      </c>
      <c r="BD437" s="13">
        <f>IF($AX437="Cancelled","",IFERROR(IF(OR(AS437="",AJ437=""),"",(AJ437+Variables!$B$18-AS437)),""))</f>
        <v>-5</v>
      </c>
      <c r="BE437" s="13">
        <f>IF($AX437="Cancelled","",IFERROR(IF(OR(AW437="",AS437=""),"",(AS437+Variables!$B$19)-AW437),""))</f>
        <v>-8</v>
      </c>
      <c r="BF437" s="44">
        <f>IF($AX437="Cancelled","",IFERROR(W437*INDEX(Variables!$B$7:$D$7,IFERROR(MATCH(IF($B437="Robusta","Robusta",(IF($B437="","Arabica",$B437))&amp;" - "&amp;(IF($C437="","Commercial",$C437))),Variables!$B$1:$D$1,0),1))*(BE437/365),""))</f>
        <v>-28.952530627433219</v>
      </c>
      <c r="BG437" s="44">
        <f>IF($AX437="Cancelled","",IFERROR((W437*INDEX(Variables!$B$7:$D$7,IFERROR(MATCH(IF($B437="Robusta","Robusta",(IF($B437="","Arabica",$B437))&amp;" - "&amp;(IF($C437="","Commercial",$C437))),Variables!$B$1:$D$1,0),1))*IFERROR(IF(AB437="","",(AVERAGE(E437:F437)-AB437)-Variables!$B$14),"")/365)+(L437/16.67*INDEX(Variables!$B$8:$D$8,IFERROR(MATCH(IF($B437="Robusta","Robusta",(IF($B437="","Arabica",$B437))&amp;" - "&amp;(IF($C437="","Commercial",$C437))),Variables!$B$1:$D$1,0),1))*IFERROR(IF(AB437="","",(AVERAGE(E437:F437)-AB437)-Variables!$B$14),""))+(W437*INDEX(Variables!$B$9:$D$9,IFERROR(MATCH(IF($B437="Robusta","Robusta",(IF($B437="","Arabica",$B437))&amp;" - "&amp;(IF($C437="","Commercial",$C437))),Variables!$B$1:$D$1,0),1))*IFERROR(IF(AB437="","",(AVERAGE(E437:F437)-AB437)-Variables!$B$14),"")/365),""))</f>
        <v>-70.135100009012234</v>
      </c>
      <c r="BH437" s="44">
        <f>IF($AX437="Cancelled","",IFERROR((W437*INDEX(Variables!$B$7:$D$7,IFERROR(MATCH(IF($B437="Robusta","Robusta",(IF($B437="","Arabica",$B437))&amp;" - "&amp;(IF($C437="","Commercial",$C437))),Variables!$B$1:$D$1,0),1))*AK437/365)+(L437/16.67*INDEX(Variables!$B$8:$D$8,IFERROR(MATCH(IF($B437="Robusta","Robusta",(IF($B437="","Arabica",$B437))&amp;" - "&amp;(IF($C437="","Commercial",$C437))),Variables!$B$1:$D$1,0),1))*AK437)+(W437*INDEX(Variables!$B$9:$D$9,IFERROR(MATCH(IF($B437="Robusta","Robusta",(IF($B437="","Arabica",$B437))&amp;" - "&amp;(IF($C437="","Commercial",$C437))),Variables!$B$1:$D$1,0),1))*AK437/365),""))</f>
        <v>92.485846165730422</v>
      </c>
      <c r="BI437" s="44">
        <f>IF($AX437="Cancelled","",IFERROR((W437*INDEX(Variables!$B$7:$D$7,IFERROR(MATCH(IF($B437="Robusta","Robusta",(IF($B437="","Arabica",$B437))&amp;" - "&amp;(IF($C437="","Commercial",$C437))),Variables!$B$1:$D$1,0),1))*BD437/365)+(L437/16.67*INDEX(Variables!$B$8:$D$8,IFERROR(MATCH(IF($B437="Robusta","Robusta",(IF($B437="","Arabica",$B437))&amp;" - "&amp;(IF($C437="","Commercial",$C437))),Variables!$B$1:$D$1,0),1))*BD437)+(W437*INDEX(Variables!$B$9:$D$9,IFERROR(MATCH(IF($B437="Robusta","Robusta",(IF($B437="","Arabica",$B437))&amp;" - "&amp;(IF($C437="","Commercial",$C437))),Variables!$B$1:$D$1,0),1))*BD437/365),""))</f>
        <v>-30.828615388576804</v>
      </c>
      <c r="BJ437" s="44">
        <f t="shared" si="20"/>
        <v>-1</v>
      </c>
      <c r="BK437" s="44">
        <f>IF($AX437="Cancelled","",IFERROR(IF(BJ437="","",(W437*INDEX(Variables!$B$7:$D$7,IFERROR(MATCH(IF($B437="Robusta","Robusta",(IF($B437="","Arabica",$B437))&amp;" - "&amp;(IF($C437="","Commercial",$C437))),Variables!$B$1:$D$1,0),1))*(BJ437/365))+(W437*INDEX(Variables!$B$9:$D$9,IFERROR(MATCH(IF($B437="Robusta","Robusta",(IF($B437="","Arabica",$B437))&amp;" - "&amp;(IF($C437="","Commercial",$C437))),Variables!$B$1:$D$1,0),1))*(BJ437/365))+(INDEX(Variables!$B$8:$D$8,IFERROR(MATCH(IF($B437="Robusta","Robusta",(IF($B437="","Arabica",$B437))&amp;" - "&amp;(IF($C437="","Commercial",$C437))),Variables!$B$1:$D$1,0),1))*L437/16.67)),""))</f>
        <v>-1.1657230777153611</v>
      </c>
    </row>
    <row r="438" spans="1:63">
      <c r="A438" s="13" t="s">
        <v>103</v>
      </c>
      <c r="B438" s="13" t="s">
        <v>104</v>
      </c>
      <c r="C438" s="13" t="s">
        <v>292</v>
      </c>
      <c r="D438" s="31">
        <v>45791</v>
      </c>
      <c r="E438" s="31">
        <v>45809</v>
      </c>
      <c r="F438" s="31">
        <v>45838</v>
      </c>
      <c r="G438" s="13">
        <v>3786918</v>
      </c>
      <c r="J438" s="13" t="s">
        <v>294</v>
      </c>
      <c r="K438" s="13">
        <v>5276</v>
      </c>
      <c r="L438" s="13">
        <v>85</v>
      </c>
      <c r="M438" s="13">
        <v>1</v>
      </c>
      <c r="N438" s="13" t="s">
        <v>1277</v>
      </c>
      <c r="O438" s="13" t="s">
        <v>304</v>
      </c>
      <c r="P438" s="13">
        <v>10010</v>
      </c>
      <c r="R438" s="13" t="s">
        <v>110</v>
      </c>
      <c r="S438" s="13" t="s">
        <v>1278</v>
      </c>
      <c r="T438" s="13" t="s">
        <v>1279</v>
      </c>
      <c r="U438" s="13" t="s">
        <v>182</v>
      </c>
      <c r="V438" s="13">
        <v>98.65</v>
      </c>
      <c r="W438" s="44">
        <f>IF($AX438="Cancelled","",IFERROR(((V438+INDEX(Variables!$B$6:$D$6,IFERROR(MATCH(IF($B438="Robusta","Robusta",(IF($B438="","Arabica",$B438))&amp;" - "&amp;(IF($C438="","Commercial",$C438))),Variables!$B$1:$D$1,0),1)))*22.0462)*(L438/16.67),""))</f>
        <v>43779.296349730059</v>
      </c>
      <c r="X438" s="55" t="s">
        <v>37</v>
      </c>
      <c r="Y438" s="13" t="str">
        <f>IF($AX438="Cancelled","",IF(X438="","",IFERROR(IF(INDEX(Variables!$B$38:$B$47,MATCH(X438,Variables!$A$38:$A$47,0))="Yes","Yes","No"),"No")))</f>
        <v>Yes</v>
      </c>
      <c r="Z438" s="31">
        <v>45792.875</v>
      </c>
      <c r="AB438" s="31">
        <v>45802.875</v>
      </c>
      <c r="AC438" s="13" t="str">
        <f t="shared" si="18"/>
        <v>Approved</v>
      </c>
      <c r="AF438" s="71">
        <v>45824</v>
      </c>
      <c r="AG438" s="31">
        <f>IF($AX438="Cancelled","",IFERROR(IF(F438="","",F438-Variables!$B$13),""))</f>
        <v>45823</v>
      </c>
      <c r="AH438" s="13">
        <f>IF($AX438="Cancelled","",IFERROR(IF(AB438="","",(AVERAGE(E438:F438)-AB438)-Variables!$B$14),""))</f>
        <v>-9.375</v>
      </c>
      <c r="AJ438" s="47">
        <v>45824</v>
      </c>
      <c r="AK438" s="14">
        <f>IF($AX438="Cancelled","",IFERROR(IF(AJ438="","",IF(AND(AB438="",AF438=""),"",IF(AF438&gt;AB438,AF438+Variables!$B$15+Variables!$B$16+Variables!$B$17-AJ438,AB438+Variables!$B$16+Variables!$B$17-AJ438))),""))</f>
        <v>15</v>
      </c>
      <c r="AL438" s="48" t="s">
        <v>114</v>
      </c>
      <c r="AM438" s="13" t="s">
        <v>168</v>
      </c>
      <c r="AN438" s="13" t="s">
        <v>408</v>
      </c>
      <c r="AP438" s="31">
        <v>45839</v>
      </c>
      <c r="AR438" s="13" t="s">
        <v>3265</v>
      </c>
      <c r="AS438" s="31">
        <v>45844</v>
      </c>
      <c r="AU438" s="31">
        <v>45847</v>
      </c>
      <c r="AV438" s="13" t="s">
        <v>865</v>
      </c>
      <c r="AW438" s="31">
        <v>45853</v>
      </c>
      <c r="AX438" s="13" t="str">
        <f>IF(ISNUMBER(SEARCH("cancel",#REF!)),"Cancelled",IF(AND(AS438&lt;&gt;"",AU438&lt;&gt;"",AW438&lt;&gt;""),"Closed","Open"))</f>
        <v>Closed</v>
      </c>
      <c r="AY438" s="15" t="str">
        <f t="shared" si="19"/>
        <v>All dates received</v>
      </c>
      <c r="BD438" s="13">
        <f>IF($AX438="Cancelled","",IFERROR(IF(OR(AS438="",AJ438=""),"",(AJ438+Variables!$B$18-AS438)),""))</f>
        <v>-5</v>
      </c>
      <c r="BE438" s="13">
        <f>IF($AX438="Cancelled","",IFERROR(IF(OR(AW438="",AS438=""),"",(AS438+Variables!$B$19)-AW438),""))</f>
        <v>-4</v>
      </c>
      <c r="BF438" s="44">
        <f>IF($AX438="Cancelled","",IFERROR(W438*INDEX(Variables!$B$7:$D$7,IFERROR(MATCH(IF($B438="Robusta","Robusta",(IF($B438="","Arabica",$B438))&amp;" - "&amp;(IF($C438="","Commercial",$C438))),Variables!$B$1:$D$1,0),1))*(BE438/365),""))</f>
        <v>-30.936825677617136</v>
      </c>
      <c r="BG438" s="44">
        <f>IF($AX438="Cancelled","",IFERROR((W438*INDEX(Variables!$B$7:$D$7,IFERROR(MATCH(IF($B438="Robusta","Robusta",(IF($B438="","Arabica",$B438))&amp;" - "&amp;(IF($C438="","Commercial",$C438))),Variables!$B$1:$D$1,0),1))*IFERROR(IF(AB438="","",(AVERAGE(E438:F438)-AB438)-Variables!$B$14),"")/365)+(L438/16.67*INDEX(Variables!$B$8:$D$8,IFERROR(MATCH(IF($B438="Robusta","Robusta",(IF($B438="","Arabica",$B438))&amp;" - "&amp;(IF($C438="","Commercial",$C438))),Variables!$B$1:$D$1,0),1))*IFERROR(IF(AB438="","",(AVERAGE(E438:F438)-AB438)-Variables!$B$14),""))+(W438*INDEX(Variables!$B$9:$D$9,IFERROR(MATCH(IF($B438="Robusta","Robusta",(IF($B438="","Arabica",$B438))&amp;" - "&amp;(IF($C438="","Commercial",$C438))),Variables!$B$1:$D$1,0),1))*IFERROR(IF(AB438="","",(AVERAGE(E438:F438)-AB438)-Variables!$B$14),"")/365),""))</f>
        <v>-113.2867056199853</v>
      </c>
      <c r="BH438" s="44">
        <f>IF($AX438="Cancelled","",IFERROR((W438*INDEX(Variables!$B$7:$D$7,IFERROR(MATCH(IF($B438="Robusta","Robusta",(IF($B438="","Arabica",$B438))&amp;" - "&amp;(IF($C438="","Commercial",$C438))),Variables!$B$1:$D$1,0),1))*AK438/365)+(L438/16.67*INDEX(Variables!$B$8:$D$8,IFERROR(MATCH(IF($B438="Robusta","Robusta",(IF($B438="","Arabica",$B438))&amp;" - "&amp;(IF($C438="","Commercial",$C438))),Variables!$B$1:$D$1,0),1))*AK438)+(W438*INDEX(Variables!$B$9:$D$9,IFERROR(MATCH(IF($B438="Robusta","Robusta",(IF($B438="","Arabica",$B438))&amp;" - "&amp;(IF($C438="","Commercial",$C438))),Variables!$B$1:$D$1,0),1))*AK438/365),""))</f>
        <v>181.25872899197648</v>
      </c>
      <c r="BI438" s="44">
        <f>IF($AX438="Cancelled","",IFERROR((W438*INDEX(Variables!$B$7:$D$7,IFERROR(MATCH(IF($B438="Robusta","Robusta",(IF($B438="","Arabica",$B438))&amp;" - "&amp;(IF($C438="","Commercial",$C438))),Variables!$B$1:$D$1,0),1))*BD438/365)+(L438/16.67*INDEX(Variables!$B$8:$D$8,IFERROR(MATCH(IF($B438="Robusta","Robusta",(IF($B438="","Arabica",$B438))&amp;" - "&amp;(IF($C438="","Commercial",$C438))),Variables!$B$1:$D$1,0),1))*BD438)+(W438*INDEX(Variables!$B$9:$D$9,IFERROR(MATCH(IF($B438="Robusta","Robusta",(IF($B438="","Arabica",$B438))&amp;" - "&amp;(IF($C438="","Commercial",$C438))),Variables!$B$1:$D$1,0),1))*BD438/365),""))</f>
        <v>-60.419576330658828</v>
      </c>
      <c r="BJ438" s="44">
        <f t="shared" si="20"/>
        <v>-6</v>
      </c>
      <c r="BK438" s="44">
        <f>IF($AX438="Cancelled","",IFERROR(IF(BJ438="","",(W438*INDEX(Variables!$B$7:$D$7,IFERROR(MATCH(IF($B438="Robusta","Robusta",(IF($B438="","Arabica",$B438))&amp;" - "&amp;(IF($C438="","Commercial",$C438))),Variables!$B$1:$D$1,0),1))*(BJ438/365))+(W438*INDEX(Variables!$B$9:$D$9,IFERROR(MATCH(IF($B438="Robusta","Robusta",(IF($B438="","Arabica",$B438))&amp;" - "&amp;(IF($C438="","Commercial",$C438))),Variables!$B$1:$D$1,0),1))*(BJ438/365))+(INDEX(Variables!$B$8:$D$8,IFERROR(MATCH(IF($B438="Robusta","Robusta",(IF($B438="","Arabica",$B438))&amp;" - "&amp;(IF($C438="","Commercial",$C438))),Variables!$B$1:$D$1,0),1))*L438/16.67)),""))</f>
        <v>-42.753491596790589</v>
      </c>
    </row>
    <row r="439" spans="1:63">
      <c r="A439" s="13" t="s">
        <v>103</v>
      </c>
      <c r="B439" s="13" t="s">
        <v>104</v>
      </c>
      <c r="C439" s="13" t="s">
        <v>105</v>
      </c>
      <c r="D439" s="31">
        <v>45793</v>
      </c>
      <c r="E439" s="31">
        <v>45809</v>
      </c>
      <c r="F439" s="31">
        <v>45838</v>
      </c>
      <c r="G439" s="13">
        <v>3786919</v>
      </c>
      <c r="H439" s="13">
        <v>25.274999999999999</v>
      </c>
      <c r="J439" s="13" t="s">
        <v>1124</v>
      </c>
      <c r="K439" s="13">
        <v>5291</v>
      </c>
      <c r="L439" s="13">
        <v>1200</v>
      </c>
      <c r="M439" s="13">
        <v>4</v>
      </c>
      <c r="N439" s="13" t="s">
        <v>1280</v>
      </c>
      <c r="O439" s="13" t="s">
        <v>1172</v>
      </c>
      <c r="P439" s="13">
        <v>10260</v>
      </c>
      <c r="R439" s="13" t="s">
        <v>110</v>
      </c>
      <c r="S439" s="13" t="s">
        <v>154</v>
      </c>
      <c r="T439" s="13" t="s">
        <v>155</v>
      </c>
      <c r="U439" s="13" t="s">
        <v>125</v>
      </c>
      <c r="V439" s="13">
        <v>-195</v>
      </c>
      <c r="W439" s="44">
        <f>IF($AX439="Cancelled","",IFERROR(((V439+INDEX(Variables!$B$6:$D$6,IFERROR(MATCH(IF($B439="Robusta","Robusta",(IF($B439="","Arabica",$B439))&amp;" - "&amp;(IF($C439="","Commercial",$C439))),Variables!$B$1:$D$1,0),1)))*22.0462)*(L439/16.67),""))</f>
        <v>152035.46202759445</v>
      </c>
      <c r="X439" s="55" t="s">
        <v>39</v>
      </c>
      <c r="Y439" s="13" t="str">
        <f>IF($AX439="Cancelled","",IF(X439="","",IFERROR(IF(INDEX(Variables!$B$38:$B$47,MATCH(X439,Variables!$A$38:$A$47,0))="Yes","Yes","No"),"No")))</f>
        <v>No</v>
      </c>
      <c r="Z439" s="31" t="s">
        <v>39</v>
      </c>
      <c r="AB439" s="31" t="s">
        <v>39</v>
      </c>
      <c r="AC439" s="13" t="str">
        <f t="shared" si="18"/>
        <v/>
      </c>
      <c r="AF439" s="71">
        <v>45825</v>
      </c>
      <c r="AG439" s="37">
        <f>IF($AX439="Cancelled","",IFERROR(IF(F439="","",F439-Variables!$B$13),""))</f>
        <v>45823</v>
      </c>
      <c r="AH439" s="13" t="str">
        <f>IF($AX439="Cancelled","",IFERROR(IF(AB439="","",(AVERAGE(E439:F439)-AB439)-Variables!$B$14),""))</f>
        <v/>
      </c>
      <c r="AJ439" s="47">
        <v>45825</v>
      </c>
      <c r="AK439" s="14" t="str">
        <f>IF($AX439="Cancelled","",IFERROR(IF(AJ439="","",IF(AND(AB439="",AF439=""),"",IF(AF439&gt;AB439,AF439+Variables!$B$15+Variables!$B$16+Variables!$B$17-AJ439,AB439+Variables!$B$16+Variables!$B$17-AJ439))),""))</f>
        <v/>
      </c>
      <c r="AL439" s="48" t="s">
        <v>350</v>
      </c>
      <c r="AM439" s="13" t="s">
        <v>141</v>
      </c>
      <c r="AN439" s="13" t="s">
        <v>1049</v>
      </c>
      <c r="AP439" s="31">
        <v>45841</v>
      </c>
      <c r="AR439" s="13" t="s">
        <v>1281</v>
      </c>
      <c r="AS439" s="31">
        <v>45841</v>
      </c>
      <c r="AU439" s="31">
        <v>45842</v>
      </c>
      <c r="AV439" s="13" t="s">
        <v>786</v>
      </c>
      <c r="AW439" s="31">
        <v>45853</v>
      </c>
      <c r="AX439" s="13" t="str">
        <f>IF(ISNUMBER(SEARCH("cancel",#REF!)),"Cancelled",IF(AND(AS439&lt;&gt;"",AU439&lt;&gt;"",AW439&lt;&gt;""),"Closed","Open"))</f>
        <v>Closed</v>
      </c>
      <c r="AY439" s="15" t="str">
        <f t="shared" si="19"/>
        <v>All dates received</v>
      </c>
      <c r="BD439" s="13">
        <f>IF($AX439="Cancelled","",IFERROR(IF(OR(AS439="",AJ439=""),"",(AJ439+Variables!$B$18-AS439)),""))</f>
        <v>-1</v>
      </c>
      <c r="BE439" s="13">
        <f>IF($AX439="Cancelled","",IFERROR(IF(OR(AW439="",AS439=""),"",(AS439+Variables!$B$19)-AW439),""))</f>
        <v>-7</v>
      </c>
      <c r="BF439" s="44">
        <f>IF($AX439="Cancelled","",IFERROR(W439*INDEX(Variables!$B$7:$D$7,IFERROR(MATCH(IF($B439="Robusta","Robusta",(IF($B439="","Arabica",$B439))&amp;" - "&amp;(IF($C439="","Commercial",$C439))),Variables!$B$1:$D$1,0),1))*(BE439/365),""))</f>
        <v>-188.01388352572675</v>
      </c>
      <c r="BG439" s="44" t="str">
        <f>IF($AX439="Cancelled","",IFERROR((W439*INDEX(Variables!$B$7:$D$7,IFERROR(MATCH(IF($B439="Robusta","Robusta",(IF($B439="","Arabica",$B439))&amp;" - "&amp;(IF($C439="","Commercial",$C439))),Variables!$B$1:$D$1,0),1))*IFERROR(IF(AB439="","",(AVERAGE(E439:F439)-AB439)-Variables!$B$14),"")/365)+(L439/16.67*INDEX(Variables!$B$8:$D$8,IFERROR(MATCH(IF($B439="Robusta","Robusta",(IF($B439="","Arabica",$B439))&amp;" - "&amp;(IF($C439="","Commercial",$C439))),Variables!$B$1:$D$1,0),1))*IFERROR(IF(AB439="","",(AVERAGE(E439:F439)-AB439)-Variables!$B$14),""))+(W439*INDEX(Variables!$B$9:$D$9,IFERROR(MATCH(IF($B439="Robusta","Robusta",(IF($B439="","Arabica",$B439))&amp;" - "&amp;(IF($C439="","Commercial",$C439))),Variables!$B$1:$D$1,0),1))*IFERROR(IF(AB439="","",(AVERAGE(E439:F439)-AB439)-Variables!$B$14),"")/365),""))</f>
        <v/>
      </c>
      <c r="BH439" s="44" t="str">
        <f>IF($AX439="Cancelled","",IFERROR((W439*INDEX(Variables!$B$7:$D$7,IFERROR(MATCH(IF($B439="Robusta","Robusta",(IF($B439="","Arabica",$B439))&amp;" - "&amp;(IF($C439="","Commercial",$C439))),Variables!$B$1:$D$1,0),1))*AK439/365)+(L439/16.67*INDEX(Variables!$B$8:$D$8,IFERROR(MATCH(IF($B439="Robusta","Robusta",(IF($B439="","Arabica",$B439))&amp;" - "&amp;(IF($C439="","Commercial",$C439))),Variables!$B$1:$D$1,0),1))*AK439)+(W439*INDEX(Variables!$B$9:$D$9,IFERROR(MATCH(IF($B439="Robusta","Robusta",(IF($B439="","Arabica",$B439))&amp;" - "&amp;(IF($C439="","Commercial",$C439))),Variables!$B$1:$D$1,0),1))*AK439/365),""))</f>
        <v/>
      </c>
      <c r="BI439" s="44">
        <f>IF($AX439="Cancelled","",IFERROR((W439*INDEX(Variables!$B$7:$D$7,IFERROR(MATCH(IF($B439="Robusta","Robusta",(IF($B439="","Arabica",$B439))&amp;" - "&amp;(IF($C439="","Commercial",$C439))),Variables!$B$1:$D$1,0),1))*BD439/365)+(L439/16.67*INDEX(Variables!$B$8:$D$8,IFERROR(MATCH(IF($B439="Robusta","Robusta",(IF($B439="","Arabica",$B439))&amp;" - "&amp;(IF($C439="","Commercial",$C439))),Variables!$B$1:$D$1,0),1))*BD439)+(W439*INDEX(Variables!$B$9:$D$9,IFERROR(MATCH(IF($B439="Robusta","Robusta",(IF($B439="","Arabica",$B439))&amp;" - "&amp;(IF($C439="","Commercial",$C439))),Variables!$B$1:$D$1,0),1))*BD439/365),""))</f>
        <v>-87.20539218942271</v>
      </c>
      <c r="BJ439" s="44">
        <f t="shared" si="20"/>
        <v>-3</v>
      </c>
      <c r="BK439" s="44">
        <f>IF($AX439="Cancelled","",IFERROR(IF(BJ439="","",(W439*INDEX(Variables!$B$7:$D$7,IFERROR(MATCH(IF($B439="Robusta","Robusta",(IF($B439="","Arabica",$B439))&amp;" - "&amp;(IF($C439="","Commercial",$C439))),Variables!$B$1:$D$1,0),1))*(BJ439/365))+(W439*INDEX(Variables!$B$9:$D$9,IFERROR(MATCH(IF($B439="Robusta","Robusta",(IF($B439="","Arabica",$B439))&amp;" - "&amp;(IF($C439="","Commercial",$C439))),Variables!$B$1:$D$1,0),1))*(BJ439/365))+(INDEX(Variables!$B$8:$D$8,IFERROR(MATCH(IF($B439="Robusta","Robusta",(IF($B439="","Arabica",$B439))&amp;" - "&amp;(IF($C439="","Commercial",$C439))),Variables!$B$1:$D$1,0),1))*L439/16.67)),""))</f>
        <v>-21.616176568268145</v>
      </c>
    </row>
    <row r="440" spans="1:63">
      <c r="A440" s="13" t="s">
        <v>103</v>
      </c>
      <c r="B440" s="13" t="s">
        <v>104</v>
      </c>
      <c r="C440" s="13" t="s">
        <v>105</v>
      </c>
      <c r="D440" s="31">
        <v>45798</v>
      </c>
      <c r="E440" s="31">
        <v>45809</v>
      </c>
      <c r="F440" s="31">
        <v>45838</v>
      </c>
      <c r="G440" s="13">
        <v>3786920</v>
      </c>
      <c r="H440" s="13">
        <v>25.286000000000001</v>
      </c>
      <c r="J440" s="13" t="s">
        <v>1124</v>
      </c>
      <c r="K440" s="13">
        <v>5292</v>
      </c>
      <c r="L440" s="13">
        <v>1533</v>
      </c>
      <c r="M440" s="13">
        <v>5</v>
      </c>
      <c r="N440" s="13" t="s">
        <v>1282</v>
      </c>
      <c r="O440" s="13" t="s">
        <v>1172</v>
      </c>
      <c r="P440" s="13">
        <v>10260</v>
      </c>
      <c r="R440" s="13" t="s">
        <v>110</v>
      </c>
      <c r="S440" s="13" t="s">
        <v>154</v>
      </c>
      <c r="T440" s="13" t="s">
        <v>155</v>
      </c>
      <c r="U440" s="13" t="s">
        <v>125</v>
      </c>
      <c r="V440" s="13">
        <v>-197</v>
      </c>
      <c r="W440" s="44">
        <f>IF($AX440="Cancelled","",IFERROR(((V440+INDEX(Variables!$B$6:$D$6,IFERROR(MATCH(IF($B440="Robusta","Robusta",(IF($B440="","Arabica",$B440))&amp;" - "&amp;(IF($C440="","Commercial",$C440))),Variables!$B$1:$D$1,0),1)))*22.0462)*(L440/16.67),""))</f>
        <v>190170.49474985001</v>
      </c>
      <c r="X440" s="55" t="s">
        <v>39</v>
      </c>
      <c r="Y440" s="13" t="str">
        <f>IF($AX440="Cancelled","",IF(X440="","",IFERROR(IF(INDEX(Variables!$B$38:$B$47,MATCH(X440,Variables!$A$38:$A$47,0))="Yes","Yes","No"),"No")))</f>
        <v>No</v>
      </c>
      <c r="Z440" s="31" t="s">
        <v>39</v>
      </c>
      <c r="AB440" s="31" t="s">
        <v>39</v>
      </c>
      <c r="AC440" s="13" t="str">
        <f t="shared" si="18"/>
        <v/>
      </c>
      <c r="AF440" s="71">
        <v>45831</v>
      </c>
      <c r="AG440" s="37">
        <f>IF($AX440="Cancelled","",IFERROR(IF(F440="","",F440-Variables!$B$13),""))</f>
        <v>45823</v>
      </c>
      <c r="AH440" s="13" t="str">
        <f>IF($AX440="Cancelled","",IFERROR(IF(AB440="","",(AVERAGE(E440:F440)-AB440)-Variables!$B$14),""))</f>
        <v/>
      </c>
      <c r="AJ440" s="47">
        <v>45832</v>
      </c>
      <c r="AK440" s="14" t="str">
        <f>IF($AX440="Cancelled","",IFERROR(IF(AJ440="","",IF(AND(AB440="",AF440=""),"",IF(AF440&gt;AB440,AF440+Variables!$B$15+Variables!$B$16+Variables!$B$17-AJ440,AB440+Variables!$B$16+Variables!$B$17-AJ440))),""))</f>
        <v/>
      </c>
      <c r="AL440" s="48" t="s">
        <v>350</v>
      </c>
      <c r="AM440" s="13" t="s">
        <v>141</v>
      </c>
      <c r="AN440" s="13" t="s">
        <v>1049</v>
      </c>
      <c r="AP440" s="31">
        <v>45841</v>
      </c>
      <c r="AR440" s="13" t="s">
        <v>1283</v>
      </c>
      <c r="AS440" s="31">
        <v>45841</v>
      </c>
      <c r="AU440" s="31">
        <v>45842</v>
      </c>
      <c r="AV440" s="13" t="s">
        <v>786</v>
      </c>
      <c r="AW440" s="31">
        <v>45853</v>
      </c>
      <c r="AX440" s="13" t="str">
        <f>IF(ISNUMBER(SEARCH("cancel",#REF!)),"Cancelled",IF(AND(AS440&lt;&gt;"",AU440&lt;&gt;"",AW440&lt;&gt;""),"Closed","Open"))</f>
        <v>Closed</v>
      </c>
      <c r="AY440" s="15" t="str">
        <f t="shared" si="19"/>
        <v>All dates received</v>
      </c>
      <c r="BD440" s="13">
        <f>IF($AX440="Cancelled","",IFERROR(IF(OR(AS440="",AJ440=""),"",(AJ440+Variables!$B$18-AS440)),""))</f>
        <v>6</v>
      </c>
      <c r="BE440" s="13">
        <f>IF($AX440="Cancelled","",IFERROR(IF(OR(AW440="",AS440=""),"",(AS440+Variables!$B$19)-AW440),""))</f>
        <v>-7</v>
      </c>
      <c r="BF440" s="44">
        <f>IF($AX440="Cancelled","",IFERROR(W440*INDEX(Variables!$B$7:$D$7,IFERROR(MATCH(IF($B440="Robusta","Robusta",(IF($B440="","Arabica",$B440))&amp;" - "&amp;(IF($C440="","Commercial",$C440))),Variables!$B$1:$D$1,0),1))*(BE440/365),""))</f>
        <v>-235.17337845455197</v>
      </c>
      <c r="BG440" s="44" t="str">
        <f>IF($AX440="Cancelled","",IFERROR((W440*INDEX(Variables!$B$7:$D$7,IFERROR(MATCH(IF($B440="Robusta","Robusta",(IF($B440="","Arabica",$B440))&amp;" - "&amp;(IF($C440="","Commercial",$C440))),Variables!$B$1:$D$1,0),1))*IFERROR(IF(AB440="","",(AVERAGE(E440:F440)-AB440)-Variables!$B$14),"")/365)+(L440/16.67*INDEX(Variables!$B$8:$D$8,IFERROR(MATCH(IF($B440="Robusta","Robusta",(IF($B440="","Arabica",$B440))&amp;" - "&amp;(IF($C440="","Commercial",$C440))),Variables!$B$1:$D$1,0),1))*IFERROR(IF(AB440="","",(AVERAGE(E440:F440)-AB440)-Variables!$B$14),""))+(W440*INDEX(Variables!$B$9:$D$9,IFERROR(MATCH(IF($B440="Robusta","Robusta",(IF($B440="","Arabica",$B440))&amp;" - "&amp;(IF($C440="","Commercial",$C440))),Variables!$B$1:$D$1,0),1))*IFERROR(IF(AB440="","",(AVERAGE(E440:F440)-AB440)-Variables!$B$14),"")/365),""))</f>
        <v/>
      </c>
      <c r="BH440" s="44" t="str">
        <f>IF($AX440="Cancelled","",IFERROR((W440*INDEX(Variables!$B$7:$D$7,IFERROR(MATCH(IF($B440="Robusta","Robusta",(IF($B440="","Arabica",$B440))&amp;" - "&amp;(IF($C440="","Commercial",$C440))),Variables!$B$1:$D$1,0),1))*AK440/365)+(L440/16.67*INDEX(Variables!$B$8:$D$8,IFERROR(MATCH(IF($B440="Robusta","Robusta",(IF($B440="","Arabica",$B440))&amp;" - "&amp;(IF($C440="","Commercial",$C440))),Variables!$B$1:$D$1,0),1))*AK440)+(W440*INDEX(Variables!$B$9:$D$9,IFERROR(MATCH(IF($B440="Robusta","Robusta",(IF($B440="","Arabica",$B440))&amp;" - "&amp;(IF($C440="","Commercial",$C440))),Variables!$B$1:$D$1,0),1))*AK440/365),""))</f>
        <v/>
      </c>
      <c r="BI440" s="44">
        <f>IF($AX440="Cancelled","",IFERROR((W440*INDEX(Variables!$B$7:$D$7,IFERROR(MATCH(IF($B440="Robusta","Robusta",(IF($B440="","Arabica",$B440))&amp;" - "&amp;(IF($C440="","Commercial",$C440))),Variables!$B$1:$D$1,0),1))*BD440/365)+(L440/16.67*INDEX(Variables!$B$8:$D$8,IFERROR(MATCH(IF($B440="Robusta","Robusta",(IF($B440="","Arabica",$B440))&amp;" - "&amp;(IF($C440="","Commercial",$C440))),Variables!$B$1:$D$1,0),1))*BD440)+(W440*INDEX(Variables!$B$9:$D$9,IFERROR(MATCH(IF($B440="Robusta","Robusta",(IF($B440="","Arabica",$B440))&amp;" - "&amp;(IF($C440="","Commercial",$C440))),Variables!$B$1:$D$1,0),1))*BD440/365),""))</f>
        <v>664.07590041935885</v>
      </c>
      <c r="BJ440" s="44">
        <f t="shared" si="20"/>
        <v>-3</v>
      </c>
      <c r="BK440" s="44">
        <f>IF($AX440="Cancelled","",IFERROR(IF(BJ440="","",(W440*INDEX(Variables!$B$7:$D$7,IFERROR(MATCH(IF($B440="Robusta","Robusta",(IF($B440="","Arabica",$B440))&amp;" - "&amp;(IF($C440="","Commercial",$C440))),Variables!$B$1:$D$1,0),1))*(BJ440/365))+(W440*INDEX(Variables!$B$9:$D$9,IFERROR(MATCH(IF($B440="Robusta","Robusta",(IF($B440="","Arabica",$B440))&amp;" - "&amp;(IF($C440="","Commercial",$C440))),Variables!$B$1:$D$1,0),1))*(BJ440/365))+(INDEX(Variables!$B$8:$D$8,IFERROR(MATCH(IF($B440="Robusta","Robusta",(IF($B440="","Arabica",$B440))&amp;" - "&amp;(IF($C440="","Commercial",$C440))),Variables!$B$1:$D$1,0),1))*L440/16.67)),""))</f>
        <v>-25.437950209679414</v>
      </c>
    </row>
    <row r="441" spans="1:63">
      <c r="A441" s="13" t="s">
        <v>103</v>
      </c>
      <c r="B441" s="13" t="s">
        <v>104</v>
      </c>
      <c r="C441" s="13" t="s">
        <v>105</v>
      </c>
      <c r="D441" s="31">
        <v>45800</v>
      </c>
      <c r="E441" s="31">
        <v>46023</v>
      </c>
      <c r="F441" s="31">
        <v>46053</v>
      </c>
      <c r="G441" s="13">
        <v>3786921</v>
      </c>
      <c r="H441" s="13" t="s">
        <v>1284</v>
      </c>
      <c r="J441" s="13" t="s">
        <v>1285</v>
      </c>
      <c r="K441" s="13">
        <v>5355</v>
      </c>
      <c r="L441" s="13">
        <v>320</v>
      </c>
      <c r="M441" s="13">
        <v>1</v>
      </c>
      <c r="N441" s="13" t="s">
        <v>1286</v>
      </c>
      <c r="O441" s="13" t="s">
        <v>120</v>
      </c>
      <c r="P441" s="13">
        <v>10070</v>
      </c>
      <c r="R441" s="13" t="s">
        <v>239</v>
      </c>
      <c r="S441" s="13" t="s">
        <v>288</v>
      </c>
      <c r="T441" s="13" t="s">
        <v>289</v>
      </c>
      <c r="U441" s="13" t="s">
        <v>182</v>
      </c>
      <c r="V441" s="23">
        <v>39</v>
      </c>
      <c r="W441" s="44">
        <f>IF($AX441="Cancelled","",IFERROR(((V441+INDEX(Variables!$B$6:$D$6,IFERROR(MATCH(IF($B441="Robusta","Robusta",(IF($B441="","Arabica",$B441))&amp;" - "&amp;(IF($C441="","Commercial",$C441))),Variables!$B$1:$D$1,0),1)))*22.0462)*(L441/16.67),""))</f>
        <v>139572.15136172765</v>
      </c>
      <c r="X441" s="55" t="s">
        <v>37</v>
      </c>
      <c r="Y441" s="13" t="str">
        <f>IF($AX441="Cancelled","",IF(X441="","",IFERROR(IF(INDEX(Variables!$B$38:$B$47,MATCH(X441,Variables!$A$38:$A$47,0))="Yes","Yes","No"),"No")))</f>
        <v>Yes</v>
      </c>
      <c r="Z441" s="58">
        <v>45974</v>
      </c>
      <c r="AB441" s="31">
        <v>45985</v>
      </c>
      <c r="AC441" s="13" t="str">
        <f t="shared" si="18"/>
        <v>Approved</v>
      </c>
      <c r="AF441" s="71">
        <v>45986</v>
      </c>
      <c r="AG441" s="35">
        <f>IF($AX441="Cancelled","",IFERROR(IF(F441="","",F441-Variables!$B$13),""))</f>
        <v>46038</v>
      </c>
      <c r="AH441" s="13">
        <f>IF($AX441="Cancelled","",IFERROR(IF(AB441="","",(AVERAGE(E441:F441)-AB441)-Variables!$B$14),""))</f>
        <v>23</v>
      </c>
      <c r="AJ441" s="47">
        <v>45994</v>
      </c>
      <c r="AK441" s="14">
        <f>IF($AX441="Cancelled","",IFERROR(IF(AJ441="","",IF(AND(AB441="",AF441=""),"",IF(AF441&gt;AB441,AF441+Variables!$B$15+Variables!$B$16+Variables!$B$17-AJ441,AB441+Variables!$B$16+Variables!$B$17-AJ441))),""))</f>
        <v>7</v>
      </c>
      <c r="AL441" s="48" t="s">
        <v>114</v>
      </c>
      <c r="AM441" s="13" t="s">
        <v>115</v>
      </c>
      <c r="AN441" s="13" t="s">
        <v>1287</v>
      </c>
      <c r="AP441" s="31">
        <v>46004</v>
      </c>
      <c r="AR441" s="13">
        <v>262623505</v>
      </c>
      <c r="AS441" s="31">
        <v>46004</v>
      </c>
      <c r="AU441" s="31">
        <v>46007</v>
      </c>
      <c r="AV441" s="13" t="s">
        <v>1288</v>
      </c>
      <c r="AW441" s="31">
        <v>46022</v>
      </c>
      <c r="AX441" s="13" t="str">
        <f>IF(ISNUMBER(SEARCH("cancel",#REF!)),"Cancelled",IF(AND(AS441&lt;&gt;"",AU441&lt;&gt;"",AW441&lt;&gt;""),"Closed","Open"))</f>
        <v>Closed</v>
      </c>
      <c r="AY441" s="15" t="str">
        <f t="shared" si="19"/>
        <v>All dates received</v>
      </c>
      <c r="BD441" s="13">
        <f>IF($AX441="Cancelled","",IFERROR(IF(OR(AS441="",AJ441=""),"",(AJ441+Variables!$B$18-AS441)),""))</f>
        <v>5</v>
      </c>
      <c r="BE441" s="13">
        <f>IF($AX441="Cancelled","",IFERROR(IF(OR(AW441="",AS441=""),"",(AS441+Variables!$B$19)-AW441),""))</f>
        <v>-13</v>
      </c>
      <c r="BF441" s="44">
        <f>IF($AX441="Cancelled","",IFERROR(W441*INDEX(Variables!$B$7:$D$7,IFERROR(MATCH(IF($B441="Robusta","Robusta",(IF($B441="","Arabica",$B441))&amp;" - "&amp;(IF($C441="","Commercial",$C441))),Variables!$B$1:$D$1,0),1))*(BE441/365),""))</f>
        <v>-320.54507375611928</v>
      </c>
      <c r="BG441" s="44">
        <f>IF($AX441="Cancelled","",IFERROR((W441*INDEX(Variables!$B$7:$D$7,IFERROR(MATCH(IF($B441="Robusta","Robusta",(IF($B441="","Arabica",$B441))&amp;" - "&amp;(IF($C441="","Commercial",$C441))),Variables!$B$1:$D$1,0),1))*IFERROR(IF(AB441="","",(AVERAGE(E441:F441)-AB441)-Variables!$B$14),"")/365)+(L441/16.67*INDEX(Variables!$B$8:$D$8,IFERROR(MATCH(IF($B441="Robusta","Robusta",(IF($B441="","Arabica",$B441))&amp;" - "&amp;(IF($C441="","Commercial",$C441))),Variables!$B$1:$D$1,0),1))*IFERROR(IF(AB441="","",(AVERAGE(E441:F441)-AB441)-Variables!$B$14),""))+(W441*INDEX(Variables!$B$9:$D$9,IFERROR(MATCH(IF($B441="Robusta","Robusta",(IF($B441="","Arabica",$B441))&amp;" - "&amp;(IF($C441="","Commercial",$C441))),Variables!$B$1:$D$1,0),1))*IFERROR(IF(AB441="","",(AVERAGE(E441:F441)-AB441)-Variables!$B$14),"")/365),""))</f>
        <v>942.42945557034682</v>
      </c>
      <c r="BH441" s="44">
        <f>IF($AX441="Cancelled","",IFERROR((W441*INDEX(Variables!$B$7:$D$7,IFERROR(MATCH(IF($B441="Robusta","Robusta",(IF($B441="","Arabica",$B441))&amp;" - "&amp;(IF($C441="","Commercial",$C441))),Variables!$B$1:$D$1,0),1))*AK441/365)+(L441/16.67*INDEX(Variables!$B$8:$D$8,IFERROR(MATCH(IF($B441="Robusta","Robusta",(IF($B441="","Arabica",$B441))&amp;" - "&amp;(IF($C441="","Commercial",$C441))),Variables!$B$1:$D$1,0),1))*AK441)+(W441*INDEX(Variables!$B$9:$D$9,IFERROR(MATCH(IF($B441="Robusta","Robusta",(IF($B441="","Arabica",$B441))&amp;" - "&amp;(IF($C441="","Commercial",$C441))),Variables!$B$1:$D$1,0),1))*AK441/365),""))</f>
        <v>286.82635604314908</v>
      </c>
      <c r="BI441" s="44">
        <f>IF($AX441="Cancelled","",IFERROR((W441*INDEX(Variables!$B$7:$D$7,IFERROR(MATCH(IF($B441="Robusta","Robusta",(IF($B441="","Arabica",$B441))&amp;" - "&amp;(IF($C441="","Commercial",$C441))),Variables!$B$1:$D$1,0),1))*BD441/365)+(L441/16.67*INDEX(Variables!$B$8:$D$8,IFERROR(MATCH(IF($B441="Robusta","Robusta",(IF($B441="","Arabica",$B441))&amp;" - "&amp;(IF($C441="","Commercial",$C441))),Variables!$B$1:$D$1,0),1))*BD441)+(W441*INDEX(Variables!$B$9:$D$9,IFERROR(MATCH(IF($B441="Robusta","Robusta",(IF($B441="","Arabica",$B441))&amp;" - "&amp;(IF($C441="","Commercial",$C441))),Variables!$B$1:$D$1,0),1))*BD441/365),""))</f>
        <v>204.87596860224929</v>
      </c>
      <c r="BJ441" s="44">
        <f t="shared" si="20"/>
        <v>49</v>
      </c>
      <c r="BK441" s="44">
        <f>IF($AX441="Cancelled","",IFERROR(IF(BJ441="","",(W441*INDEX(Variables!$B$7:$D$7,IFERROR(MATCH(IF($B441="Robusta","Robusta",(IF($B441="","Arabica",$B441))&amp;" - "&amp;(IF($C441="","Commercial",$C441))),Variables!$B$1:$D$1,0),1))*(BJ441/365))+(W441*INDEX(Variables!$B$9:$D$9,IFERROR(MATCH(IF($B441="Robusta","Robusta",(IF($B441="","Arabica",$B441))&amp;" - "&amp;(IF($C441="","Commercial",$C441))),Variables!$B$1:$D$1,0),1))*(BJ441/365))+(INDEX(Variables!$B$8:$D$8,IFERROR(MATCH(IF($B441="Robusta","Robusta",(IF($B441="","Arabica",$B441))&amp;" - "&amp;(IF($C441="","Commercial",$C441))),Variables!$B$1:$D$1,0),1))*L441/16.67)),""))</f>
        <v>1239.7844923020432</v>
      </c>
    </row>
    <row r="442" spans="1:63">
      <c r="A442" s="13" t="s">
        <v>103</v>
      </c>
      <c r="B442" s="13" t="s">
        <v>104</v>
      </c>
      <c r="C442" s="13" t="s">
        <v>105</v>
      </c>
      <c r="D442" s="31">
        <v>45804</v>
      </c>
      <c r="E442" s="31">
        <v>45901</v>
      </c>
      <c r="F442" s="31">
        <v>45930</v>
      </c>
      <c r="G442" s="13">
        <v>3786922</v>
      </c>
      <c r="H442" s="13" t="s">
        <v>1289</v>
      </c>
      <c r="J442" s="13" t="s">
        <v>415</v>
      </c>
      <c r="K442" s="13">
        <v>5319</v>
      </c>
      <c r="L442" s="13">
        <v>333</v>
      </c>
      <c r="M442" s="13">
        <v>1</v>
      </c>
      <c r="N442" s="13" t="s">
        <v>1290</v>
      </c>
      <c r="O442" s="13" t="s">
        <v>1172</v>
      </c>
      <c r="P442" s="13">
        <v>10260</v>
      </c>
      <c r="R442" s="13" t="s">
        <v>271</v>
      </c>
      <c r="S442" s="13" t="s">
        <v>1291</v>
      </c>
      <c r="T442" s="13" t="s">
        <v>373</v>
      </c>
      <c r="U442" s="13" t="s">
        <v>125</v>
      </c>
      <c r="V442" s="13">
        <v>-116</v>
      </c>
      <c r="W442" s="44">
        <f>IF($AX442="Cancelled","",IFERROR(((V442+INDEX(Variables!$B$6:$D$6,IFERROR(MATCH(IF($B442="Robusta","Robusta",(IF($B442="","Arabica",$B442))&amp;" - "&amp;(IF($C442="","Commercial",$C442))),Variables!$B$1:$D$1,0),1)))*22.0462)*(L442/16.67),""))</f>
        <v>76981.045475704857</v>
      </c>
      <c r="X442" s="55" t="s">
        <v>37</v>
      </c>
      <c r="Y442" s="13" t="str">
        <f>IF($AX442="Cancelled","",IF(X442="","",IFERROR(IF(INDEX(Variables!$B$38:$B$47,MATCH(X442,Variables!$A$38:$A$47,0))="Yes","Yes","No"),"No")))</f>
        <v>Yes</v>
      </c>
      <c r="Z442" s="58">
        <v>45860</v>
      </c>
      <c r="AB442" s="31">
        <v>45869</v>
      </c>
      <c r="AC442" s="13" t="str">
        <f t="shared" si="18"/>
        <v>Approved</v>
      </c>
      <c r="AF442" s="71">
        <v>45888</v>
      </c>
      <c r="AG442" s="37">
        <f>IF($AX442="Cancelled","",IFERROR(IF(F442="","",F442-Variables!$B$13),""))</f>
        <v>45915</v>
      </c>
      <c r="AH442" s="13">
        <f>IF($AX442="Cancelled","",IFERROR(IF(AB442="","",(AVERAGE(E442:F442)-AB442)-Variables!$B$14),""))</f>
        <v>16.5</v>
      </c>
      <c r="AJ442" s="47">
        <v>45883</v>
      </c>
      <c r="AK442" s="14">
        <f>IF($AX442="Cancelled","",IFERROR(IF(AJ442="","",IF(AND(AB442="",AF442=""),"",IF(AF442&gt;AB442,AF442+Variables!$B$15+Variables!$B$16+Variables!$B$17-AJ442,AB442+Variables!$B$16+Variables!$B$17-AJ442))),""))</f>
        <v>20</v>
      </c>
      <c r="AL442" s="48" t="s">
        <v>114</v>
      </c>
      <c r="AM442" s="13" t="s">
        <v>141</v>
      </c>
      <c r="AN442" s="13" t="s">
        <v>408</v>
      </c>
      <c r="AP442" s="31">
        <v>45900</v>
      </c>
      <c r="AR442" s="13" t="s">
        <v>1292</v>
      </c>
      <c r="AS442" s="31">
        <v>45900</v>
      </c>
      <c r="AU442" s="31">
        <v>45902</v>
      </c>
      <c r="AV442" s="13" t="s">
        <v>865</v>
      </c>
      <c r="AW442" s="31">
        <v>45909</v>
      </c>
      <c r="AX442" s="13" t="str">
        <f>IF(ISNUMBER(SEARCH("cancel",#REF!)),"Cancelled",IF(AND(AS442&lt;&gt;"",AU442&lt;&gt;"",AW442&lt;&gt;""),"Closed","Open"))</f>
        <v>Closed</v>
      </c>
      <c r="AY442" s="15" t="str">
        <f t="shared" si="19"/>
        <v>All dates received</v>
      </c>
      <c r="BD442" s="13">
        <f>IF($AX442="Cancelled","",IFERROR(IF(OR(AS442="",AJ442=""),"",(AJ442+Variables!$B$18-AS442)),""))</f>
        <v>-2</v>
      </c>
      <c r="BE442" s="13">
        <f>IF($AX442="Cancelled","",IFERROR(IF(OR(AW442="",AS442=""),"",(AS442+Variables!$B$19)-AW442),""))</f>
        <v>-4</v>
      </c>
      <c r="BF442" s="44">
        <f>IF($AX442="Cancelled","",IFERROR(W442*INDEX(Variables!$B$7:$D$7,IFERROR(MATCH(IF($B442="Robusta","Robusta",(IF($B442="","Arabica",$B442))&amp;" - "&amp;(IF($C442="","Commercial",$C442))),Variables!$B$1:$D$1,0),1))*(BE442/365),""))</f>
        <v>-54.398982691216396</v>
      </c>
      <c r="BG442" s="44">
        <f>IF($AX442="Cancelled","",IFERROR((W442*INDEX(Variables!$B$7:$D$7,IFERROR(MATCH(IF($B442="Robusta","Robusta",(IF($B442="","Arabica",$B442))&amp;" - "&amp;(IF($C442="","Commercial",$C442))),Variables!$B$1:$D$1,0),1))*IFERROR(IF(AB442="","",(AVERAGE(E442:F442)-AB442)-Variables!$B$14),"")/365)+(L442/16.67*INDEX(Variables!$B$8:$D$8,IFERROR(MATCH(IF($B442="Robusta","Robusta",(IF($B442="","Arabica",$B442))&amp;" - "&amp;(IF($C442="","Commercial",$C442))),Variables!$B$1:$D$1,0),1))*IFERROR(IF(AB442="","",(AVERAGE(E442:F442)-AB442)-Variables!$B$14),""))+(W442*INDEX(Variables!$B$9:$D$9,IFERROR(MATCH(IF($B442="Robusta","Robusta",(IF($B442="","Arabica",$B442))&amp;" - "&amp;(IF($C442="","Commercial",$C442))),Variables!$B$1:$D$1,0),1))*IFERROR(IF(AB442="","",(AVERAGE(E442:F442)-AB442)-Variables!$B$14),"")/365),""))</f>
        <v>502.01369856350118</v>
      </c>
      <c r="BH442" s="44">
        <f>IF($AX442="Cancelled","",IFERROR((W442*INDEX(Variables!$B$7:$D$7,IFERROR(MATCH(IF($B442="Robusta","Robusta",(IF($B442="","Arabica",$B442))&amp;" - "&amp;(IF($C442="","Commercial",$C442))),Variables!$B$1:$D$1,0),1))*AK442/365)+(L442/16.67*INDEX(Variables!$B$8:$D$8,IFERROR(MATCH(IF($B442="Robusta","Robusta",(IF($B442="","Arabica",$B442))&amp;" - "&amp;(IF($C442="","Commercial",$C442))),Variables!$B$1:$D$1,0),1))*AK442)+(W442*INDEX(Variables!$B$9:$D$9,IFERROR(MATCH(IF($B442="Robusta","Robusta",(IF($B442="","Arabica",$B442))&amp;" - "&amp;(IF($C442="","Commercial",$C442))),Variables!$B$1:$D$1,0),1))*AK442/365),""))</f>
        <v>608.50145280424385</v>
      </c>
      <c r="BI442" s="44">
        <f>IF($AX442="Cancelled","",IFERROR((W442*INDEX(Variables!$B$7:$D$7,IFERROR(MATCH(IF($B442="Robusta","Robusta",(IF($B442="","Arabica",$B442))&amp;" - "&amp;(IF($C442="","Commercial",$C442))),Variables!$B$1:$D$1,0),1))*BD442/365)+(L442/16.67*INDEX(Variables!$B$8:$D$8,IFERROR(MATCH(IF($B442="Robusta","Robusta",(IF($B442="","Arabica",$B442))&amp;" - "&amp;(IF($C442="","Commercial",$C442))),Variables!$B$1:$D$1,0),1))*BD442)+(W442*INDEX(Variables!$B$9:$D$9,IFERROR(MATCH(IF($B442="Robusta","Robusta",(IF($B442="","Arabica",$B442))&amp;" - "&amp;(IF($C442="","Commercial",$C442))),Variables!$B$1:$D$1,0),1))*BD442/365),""))</f>
        <v>-60.850145280424393</v>
      </c>
      <c r="BJ442" s="44">
        <f t="shared" si="20"/>
        <v>30</v>
      </c>
      <c r="BK442" s="44">
        <f>IF($AX442="Cancelled","",IFERROR(IF(BJ442="","",(W442*INDEX(Variables!$B$7:$D$7,IFERROR(MATCH(IF($B442="Robusta","Robusta",(IF($B442="","Arabica",$B442))&amp;" - "&amp;(IF($C442="","Commercial",$C442))),Variables!$B$1:$D$1,0),1))*(BJ442/365))+(W442*INDEX(Variables!$B$9:$D$9,IFERROR(MATCH(IF($B442="Robusta","Robusta",(IF($B442="","Arabica",$B442))&amp;" - "&amp;(IF($C442="","Commercial",$C442))),Variables!$B$1:$D$1,0),1))*(BJ442/365))+(INDEX(Variables!$B$8:$D$8,IFERROR(MATCH(IF($B442="Robusta","Robusta",(IF($B442="","Arabica",$B442))&amp;" - "&amp;(IF($C442="","Commercial",$C442))),Variables!$B$1:$D$1,0),1))*L442/16.67)),""))</f>
        <v>429.90217920636564</v>
      </c>
    </row>
    <row r="443" spans="1:63">
      <c r="A443" s="13" t="s">
        <v>103</v>
      </c>
      <c r="B443" s="13" t="s">
        <v>104</v>
      </c>
      <c r="C443" s="13" t="s">
        <v>105</v>
      </c>
      <c r="D443" s="31">
        <v>45805</v>
      </c>
      <c r="E443" s="31">
        <v>45809</v>
      </c>
      <c r="F443" s="31">
        <v>45838</v>
      </c>
      <c r="G443" s="13">
        <v>3786923</v>
      </c>
      <c r="H443" s="13">
        <v>94136</v>
      </c>
      <c r="J443" s="13" t="s">
        <v>118</v>
      </c>
      <c r="K443" s="13">
        <v>5295</v>
      </c>
      <c r="L443" s="13">
        <v>1800</v>
      </c>
      <c r="M443" s="13">
        <v>5</v>
      </c>
      <c r="N443" s="13" t="s">
        <v>1293</v>
      </c>
      <c r="O443" s="13" t="s">
        <v>456</v>
      </c>
      <c r="P443" s="13">
        <v>10140</v>
      </c>
      <c r="Q443" s="13" t="s">
        <v>745</v>
      </c>
      <c r="R443" s="13" t="s">
        <v>122</v>
      </c>
      <c r="S443" s="13" t="s">
        <v>154</v>
      </c>
      <c r="T443" s="13" t="s">
        <v>155</v>
      </c>
      <c r="U443" s="13" t="s">
        <v>125</v>
      </c>
      <c r="V443" s="13">
        <v>-58</v>
      </c>
      <c r="W443" s="44">
        <f>IF($AX443="Cancelled","",IFERROR(((V443+INDEX(Variables!$B$6:$D$6,IFERROR(MATCH(IF($B443="Robusta","Robusta",(IF($B443="","Arabica",$B443))&amp;" - "&amp;(IF($C443="","Commercial",$C443))),Variables!$B$1:$D$1,0),1)))*22.0462)*(L443/16.67),""))</f>
        <v>554183.54217156558</v>
      </c>
      <c r="X443" s="55" t="s">
        <v>39</v>
      </c>
      <c r="Y443" s="13" t="str">
        <f>IF($AX443="Cancelled","",IF(X443="","",IFERROR(IF(INDEX(Variables!$B$38:$B$47,MATCH(X443,Variables!$A$38:$A$47,0))="Yes","Yes","No"),"No")))</f>
        <v>No</v>
      </c>
      <c r="Z443" s="31" t="s">
        <v>39</v>
      </c>
      <c r="AB443" s="31" t="s">
        <v>39</v>
      </c>
      <c r="AC443" s="13" t="str">
        <f t="shared" si="18"/>
        <v/>
      </c>
      <c r="AF443" s="71">
        <v>45831</v>
      </c>
      <c r="AG443" s="37">
        <f>IF($AX443="Cancelled","",IFERROR(IF(F443="","",F443-Variables!$B$13),""))</f>
        <v>45823</v>
      </c>
      <c r="AH443" s="13" t="str">
        <f>IF($AX443="Cancelled","",IFERROR(IF(AB443="","",(AVERAGE(E443:F443)-AB443)-Variables!$B$14),""))</f>
        <v/>
      </c>
      <c r="AJ443" s="47">
        <v>45828</v>
      </c>
      <c r="AK443" s="14" t="str">
        <f>IF($AX443="Cancelled","",IFERROR(IF(AJ443="","",IF(AND(AB443="",AF443=""),"",IF(AF443&gt;AB443,AF443+Variables!$B$15+Variables!$B$16+Variables!$B$17-AJ443,AB443+Variables!$B$16+Variables!$B$17-AJ443))),""))</f>
        <v/>
      </c>
      <c r="AL443" s="48" t="s">
        <v>114</v>
      </c>
      <c r="AM443" s="13" t="s">
        <v>168</v>
      </c>
      <c r="AN443" s="13" t="s">
        <v>784</v>
      </c>
      <c r="AP443" s="31">
        <v>45841</v>
      </c>
      <c r="AR443" s="13" t="s">
        <v>1294</v>
      </c>
      <c r="AS443" s="31">
        <v>45841</v>
      </c>
      <c r="AU443" s="31">
        <v>45847</v>
      </c>
      <c r="AV443" s="13" t="s">
        <v>865</v>
      </c>
      <c r="AW443" s="31">
        <v>45853</v>
      </c>
      <c r="AX443" s="13" t="str">
        <f>IF(ISNUMBER(SEARCH("cancel",#REF!)),"Cancelled",IF(AND(AS443&lt;&gt;"",AU443&lt;&gt;"",AW443&lt;&gt;""),"Closed","Open"))</f>
        <v>Closed</v>
      </c>
      <c r="AY443" s="15" t="str">
        <f t="shared" si="19"/>
        <v>All dates received</v>
      </c>
      <c r="BD443" s="13">
        <f>IF($AX443="Cancelled","",IFERROR(IF(OR(AS443="",AJ443=""),"",(AJ443+Variables!$B$18-AS443)),""))</f>
        <v>2</v>
      </c>
      <c r="BE443" s="13">
        <f>IF($AX443="Cancelled","",IFERROR(IF(OR(AW443="",AS443=""),"",(AS443+Variables!$B$19)-AW443),""))</f>
        <v>-7</v>
      </c>
      <c r="BF443" s="44">
        <f>IF($AX443="Cancelled","",IFERROR(W443*INDEX(Variables!$B$7:$D$7,IFERROR(MATCH(IF($B443="Robusta","Robusta",(IF($B443="","Arabica",$B443))&amp;" - "&amp;(IF($C443="","Commercial",$C443))),Variables!$B$1:$D$1,0),1))*(BE443/365),""))</f>
        <v>-685.32826855097892</v>
      </c>
      <c r="BG443" s="44" t="str">
        <f>IF($AX443="Cancelled","",IFERROR((W443*INDEX(Variables!$B$7:$D$7,IFERROR(MATCH(IF($B443="Robusta","Robusta",(IF($B443="","Arabica",$B443))&amp;" - "&amp;(IF($C443="","Commercial",$C443))),Variables!$B$1:$D$1,0),1))*IFERROR(IF(AB443="","",(AVERAGE(E443:F443)-AB443)-Variables!$B$14),"")/365)+(L443/16.67*INDEX(Variables!$B$8:$D$8,IFERROR(MATCH(IF($B443="Robusta","Robusta",(IF($B443="","Arabica",$B443))&amp;" - "&amp;(IF($C443="","Commercial",$C443))),Variables!$B$1:$D$1,0),1))*IFERROR(IF(AB443="","",(AVERAGE(E443:F443)-AB443)-Variables!$B$14),""))+(W443*INDEX(Variables!$B$9:$D$9,IFERROR(MATCH(IF($B443="Robusta","Robusta",(IF($B443="","Arabica",$B443))&amp;" - "&amp;(IF($C443="","Commercial",$C443))),Variables!$B$1:$D$1,0),1))*IFERROR(IF(AB443="","",(AVERAGE(E443:F443)-AB443)-Variables!$B$14),"")/365),""))</f>
        <v/>
      </c>
      <c r="BH443" s="44" t="str">
        <f>IF($AX443="Cancelled","",IFERROR((W443*INDEX(Variables!$B$7:$D$7,IFERROR(MATCH(IF($B443="Robusta","Robusta",(IF($B443="","Arabica",$B443))&amp;" - "&amp;(IF($C443="","Commercial",$C443))),Variables!$B$1:$D$1,0),1))*AK443/365)+(L443/16.67*INDEX(Variables!$B$8:$D$8,IFERROR(MATCH(IF($B443="Robusta","Robusta",(IF($B443="","Arabica",$B443))&amp;" - "&amp;(IF($C443="","Commercial",$C443))),Variables!$B$1:$D$1,0),1))*AK443)+(W443*INDEX(Variables!$B$9:$D$9,IFERROR(MATCH(IF($B443="Robusta","Robusta",(IF($B443="","Arabica",$B443))&amp;" - "&amp;(IF($C443="","Commercial",$C443))),Variables!$B$1:$D$1,0),1))*AK443/365),""))</f>
        <v/>
      </c>
      <c r="BI443" s="44">
        <f>IF($AX443="Cancelled","",IFERROR((W443*INDEX(Variables!$B$7:$D$7,IFERROR(MATCH(IF($B443="Robusta","Robusta",(IF($B443="","Arabica",$B443))&amp;" - "&amp;(IF($C443="","Commercial",$C443))),Variables!$B$1:$D$1,0),1))*BD443/365)+(L443/16.67*INDEX(Variables!$B$8:$D$8,IFERROR(MATCH(IF($B443="Robusta","Robusta",(IF($B443="","Arabica",$B443))&amp;" - "&amp;(IF($C443="","Commercial",$C443))),Variables!$B$1:$D$1,0),1))*BD443)+(W443*INDEX(Variables!$B$9:$D$9,IFERROR(MATCH(IF($B443="Robusta","Robusta",(IF($B443="","Arabica",$B443))&amp;" - "&amp;(IF($C443="","Commercial",$C443))),Variables!$B$1:$D$1,0),1))*BD443/365),""))</f>
        <v>378.33242072121948</v>
      </c>
      <c r="BJ443" s="44">
        <f t="shared" si="20"/>
        <v>-3</v>
      </c>
      <c r="BK443" s="44">
        <f>IF($AX443="Cancelled","",IFERROR(IF(BJ443="","",(W443*INDEX(Variables!$B$7:$D$7,IFERROR(MATCH(IF($B443="Robusta","Robusta",(IF($B443="","Arabica",$B443))&amp;" - "&amp;(IF($C443="","Commercial",$C443))),Variables!$B$1:$D$1,0),1))*(BJ443/365))+(W443*INDEX(Variables!$B$9:$D$9,IFERROR(MATCH(IF($B443="Robusta","Robusta",(IF($B443="","Arabica",$B443))&amp;" - "&amp;(IF($C443="","Commercial",$C443))),Variables!$B$1:$D$1,0),1))*(BJ443/365))+(INDEX(Variables!$B$8:$D$8,IFERROR(MATCH(IF($B443="Robusta","Robusta",(IF($B443="","Arabica",$B443))&amp;" - "&amp;(IF($C443="","Commercial",$C443))),Variables!$B$1:$D$1,0),1))*L443/16.67)),""))</f>
        <v>-207.49863108182916</v>
      </c>
    </row>
    <row r="444" spans="1:63">
      <c r="A444" s="13" t="s">
        <v>103</v>
      </c>
      <c r="B444" s="13" t="s">
        <v>104</v>
      </c>
      <c r="C444" s="13" t="s">
        <v>105</v>
      </c>
      <c r="D444" s="31">
        <v>45805</v>
      </c>
      <c r="E444" s="31">
        <v>45901</v>
      </c>
      <c r="F444" s="31">
        <v>45930</v>
      </c>
      <c r="G444" s="13">
        <v>3786924</v>
      </c>
      <c r="H444" s="13" t="s">
        <v>1295</v>
      </c>
      <c r="J444" s="13" t="s">
        <v>1285</v>
      </c>
      <c r="K444" s="13" t="s">
        <v>1296</v>
      </c>
      <c r="L444" s="13">
        <v>640</v>
      </c>
      <c r="M444" s="13">
        <v>2</v>
      </c>
      <c r="N444" s="13" t="s">
        <v>261</v>
      </c>
      <c r="O444" s="13" t="s">
        <v>261</v>
      </c>
      <c r="P444" s="13">
        <v>10060</v>
      </c>
      <c r="R444" s="13" t="s">
        <v>110</v>
      </c>
      <c r="S444" s="13" t="s">
        <v>283</v>
      </c>
      <c r="T444" s="13" t="s">
        <v>112</v>
      </c>
      <c r="U444" s="13" t="s">
        <v>113</v>
      </c>
      <c r="V444" s="13">
        <v>41</v>
      </c>
      <c r="W444" s="44">
        <f>IF($AX444="Cancelled","",IFERROR(((V444+INDEX(Variables!$B$6:$D$6,IFERROR(MATCH(IF($B444="Robusta","Robusta",(IF($B444="","Arabica",$B444))&amp;" - "&amp;(IF($C444="","Commercial",$C444))),Variables!$B$1:$D$1,0),1)))*22.0462)*(L444/16.67),""))</f>
        <v>280837.11232153565</v>
      </c>
      <c r="X444" s="55" t="s">
        <v>37</v>
      </c>
      <c r="Y444" s="13" t="str">
        <f>IF($AX444="Cancelled","",IF(X444="","",IFERROR(IF(INDEX(Variables!$B$38:$B$47,MATCH(X444,Variables!$A$38:$A$47,0))="Yes","Yes","No"),"No")))</f>
        <v>Yes</v>
      </c>
      <c r="Z444" s="58">
        <v>45884</v>
      </c>
      <c r="AB444" s="31">
        <v>45892</v>
      </c>
      <c r="AC444" s="13" t="str">
        <f t="shared" si="18"/>
        <v>Approved</v>
      </c>
      <c r="AF444" s="71">
        <v>45919</v>
      </c>
      <c r="AG444" s="35">
        <f>IF($AX444="Cancelled","",IFERROR(IF(F444="","",F444-Variables!$B$13),""))</f>
        <v>45915</v>
      </c>
      <c r="AH444" s="13">
        <f>IF($AX444="Cancelled","",IFERROR(IF(AB444="","",(AVERAGE(E444:F444)-AB444)-Variables!$B$14),""))</f>
        <v>-6.5</v>
      </c>
      <c r="AJ444" s="47">
        <v>45919</v>
      </c>
      <c r="AK444" s="14">
        <f>IF($AX444="Cancelled","",IFERROR(IF(AJ444="","",IF(AND(AB444="",AF444=""),"",IF(AF444&gt;AB444,AF444+Variables!$B$15+Variables!$B$16+Variables!$B$17-AJ444,AB444+Variables!$B$16+Variables!$B$17-AJ444))),""))</f>
        <v>15</v>
      </c>
      <c r="AL444" s="48" t="s">
        <v>114</v>
      </c>
      <c r="AM444" s="13" t="s">
        <v>115</v>
      </c>
      <c r="AN444" s="13" t="s">
        <v>1297</v>
      </c>
      <c r="AP444" s="31">
        <v>45936</v>
      </c>
      <c r="AR444" s="13">
        <v>258909630</v>
      </c>
      <c r="AS444" s="31">
        <v>45936</v>
      </c>
      <c r="AU444" s="31">
        <v>45937</v>
      </c>
      <c r="AV444" s="13" t="s">
        <v>865</v>
      </c>
      <c r="AW444" s="31">
        <v>45937</v>
      </c>
      <c r="AX444" s="13" t="str">
        <f>IF(ISNUMBER(SEARCH("cancel",#REF!)),"Cancelled",IF(AND(AS444&lt;&gt;"",AU444&lt;&gt;"",AW444&lt;&gt;""),"Closed","Open"))</f>
        <v>Closed</v>
      </c>
      <c r="AY444" s="15" t="str">
        <f t="shared" si="19"/>
        <v>All dates received</v>
      </c>
      <c r="BD444" s="13">
        <f>IF($AX444="Cancelled","",IFERROR(IF(OR(AS444="",AJ444=""),"",(AJ444+Variables!$B$18-AS444)),""))</f>
        <v>-2</v>
      </c>
      <c r="BE444" s="13">
        <f>IF($AX444="Cancelled","",IFERROR(IF(OR(AW444="",AS444=""),"",(AS444+Variables!$B$19)-AW444),""))</f>
        <v>4</v>
      </c>
      <c r="BF444" s="44">
        <f>IF($AX444="Cancelled","",IFERROR(W444*INDEX(Variables!$B$7:$D$7,IFERROR(MATCH(IF($B444="Robusta","Robusta",(IF($B444="","Arabica",$B444))&amp;" - "&amp;(IF($C444="","Commercial",$C444))),Variables!$B$1:$D$1,0),1))*(BE444/365),""))</f>
        <v>198.45473801796962</v>
      </c>
      <c r="BG444" s="44">
        <f>IF($AX444="Cancelled","",IFERROR((W444*INDEX(Variables!$B$7:$D$7,IFERROR(MATCH(IF($B444="Robusta","Robusta",(IF($B444="","Arabica",$B444))&amp;" - "&amp;(IF($C444="","Commercial",$C444))),Variables!$B$1:$D$1,0),1))*IFERROR(IF(AB444="","",(AVERAGE(E444:F444)-AB444)-Variables!$B$14),"")/365)+(L444/16.67*INDEX(Variables!$B$8:$D$8,IFERROR(MATCH(IF($B444="Robusta","Robusta",(IF($B444="","Arabica",$B444))&amp;" - "&amp;(IF($C444="","Commercial",$C444))),Variables!$B$1:$D$1,0),1))*IFERROR(IF(AB444="","",(AVERAGE(E444:F444)-AB444)-Variables!$B$14),""))+(W444*INDEX(Variables!$B$9:$D$9,IFERROR(MATCH(IF($B444="Robusta","Robusta",(IF($B444="","Arabica",$B444))&amp;" - "&amp;(IF($C444="","Commercial",$C444))),Variables!$B$1:$D$1,0),1))*IFERROR(IF(AB444="","",(AVERAGE(E444:F444)-AB444)-Variables!$B$14),"")/365),""))</f>
        <v>-534.6464541958411</v>
      </c>
      <c r="BH444" s="44">
        <f>IF($AX444="Cancelled","",IFERROR((W444*INDEX(Variables!$B$7:$D$7,IFERROR(MATCH(IF($B444="Robusta","Robusta",(IF($B444="","Arabica",$B444))&amp;" - "&amp;(IF($C444="","Commercial",$C444))),Variables!$B$1:$D$1,0),1))*AK444/365)+(L444/16.67*INDEX(Variables!$B$8:$D$8,IFERROR(MATCH(IF($B444="Robusta","Robusta",(IF($B444="","Arabica",$B444))&amp;" - "&amp;(IF($C444="","Commercial",$C444))),Variables!$B$1:$D$1,0),1))*AK444)+(W444*INDEX(Variables!$B$9:$D$9,IFERROR(MATCH(IF($B444="Robusta","Robusta",(IF($B444="","Arabica",$B444))&amp;" - "&amp;(IF($C444="","Commercial",$C444))),Variables!$B$1:$D$1,0),1))*AK444/365),""))</f>
        <v>1233.7995096827103</v>
      </c>
      <c r="BI444" s="44">
        <f>IF($AX444="Cancelled","",IFERROR((W444*INDEX(Variables!$B$7:$D$7,IFERROR(MATCH(IF($B444="Robusta","Robusta",(IF($B444="","Arabica",$B444))&amp;" - "&amp;(IF($C444="","Commercial",$C444))),Variables!$B$1:$D$1,0),1))*BD444/365)+(L444/16.67*INDEX(Variables!$B$8:$D$8,IFERROR(MATCH(IF($B444="Robusta","Robusta",(IF($B444="","Arabica",$B444))&amp;" - "&amp;(IF($C444="","Commercial",$C444))),Variables!$B$1:$D$1,0),1))*BD444)+(W444*INDEX(Variables!$B$9:$D$9,IFERROR(MATCH(IF($B444="Robusta","Robusta",(IF($B444="","Arabica",$B444))&amp;" - "&amp;(IF($C444="","Commercial",$C444))),Variables!$B$1:$D$1,0),1))*BD444/365),""))</f>
        <v>-164.50660129102803</v>
      </c>
      <c r="BJ444" s="44">
        <f t="shared" si="20"/>
        <v>-6</v>
      </c>
      <c r="BK444" s="44">
        <f>IF($AX444="Cancelled","",IFERROR(IF(BJ444="","",(W444*INDEX(Variables!$B$7:$D$7,IFERROR(MATCH(IF($B444="Robusta","Robusta",(IF($B444="","Arabica",$B444))&amp;" - "&amp;(IF($C444="","Commercial",$C444))),Variables!$B$1:$D$1,0),1))*(BJ444/365))+(W444*INDEX(Variables!$B$9:$D$9,IFERROR(MATCH(IF($B444="Robusta","Robusta",(IF($B444="","Arabica",$B444))&amp;" - "&amp;(IF($C444="","Commercial",$C444))),Variables!$B$1:$D$1,0),1))*(BJ444/365))+(INDEX(Variables!$B$8:$D$8,IFERROR(MATCH(IF($B444="Robusta","Robusta",(IF($B444="","Arabica",$B444))&amp;" - "&amp;(IF($C444="","Commercial",$C444))),Variables!$B$1:$D$1,0),1))*L444/16.67)),""))</f>
        <v>-269.51980387308413</v>
      </c>
    </row>
    <row r="445" spans="1:63">
      <c r="A445" s="13" t="s">
        <v>103</v>
      </c>
      <c r="B445" s="13" t="s">
        <v>104</v>
      </c>
      <c r="C445" s="13" t="s">
        <v>105</v>
      </c>
      <c r="D445" s="31">
        <v>45817</v>
      </c>
      <c r="E445" s="31">
        <v>45901</v>
      </c>
      <c r="F445" s="31">
        <v>45930</v>
      </c>
      <c r="G445" s="13">
        <v>3786925</v>
      </c>
      <c r="H445" s="13" t="s">
        <v>1298</v>
      </c>
      <c r="J445" s="13" t="s">
        <v>611</v>
      </c>
      <c r="K445" s="13">
        <v>5324</v>
      </c>
      <c r="L445" s="13">
        <v>320</v>
      </c>
      <c r="M445" s="13">
        <v>1</v>
      </c>
      <c r="N445" s="13" t="s">
        <v>1299</v>
      </c>
      <c r="O445" s="13" t="s">
        <v>120</v>
      </c>
      <c r="P445" s="13">
        <v>10070</v>
      </c>
      <c r="R445" s="13" t="s">
        <v>252</v>
      </c>
      <c r="S445" s="13" t="s">
        <v>283</v>
      </c>
      <c r="T445" s="13" t="s">
        <v>112</v>
      </c>
      <c r="U445" s="13" t="s">
        <v>113</v>
      </c>
      <c r="V445" s="13">
        <v>35</v>
      </c>
      <c r="W445" s="44">
        <f>IF($AX445="Cancelled","",IFERROR(((V445+INDEX(Variables!$B$6:$D$6,IFERROR(MATCH(IF($B445="Robusta","Robusta",(IF($B445="","Arabica",$B445))&amp;" - "&amp;(IF($C445="","Commercial",$C445))),Variables!$B$1:$D$1,0),1)))*22.0462)*(L445/16.67),""))</f>
        <v>137879.34176364727</v>
      </c>
      <c r="X445" s="55" t="s">
        <v>37</v>
      </c>
      <c r="Y445" s="13" t="str">
        <f>IF($AX445="Cancelled","",IF(X445="","",IFERROR(IF(INDEX(Variables!$B$38:$B$47,MATCH(X445,Variables!$A$38:$A$47,0))="Yes","Yes","No"),"No")))</f>
        <v>Yes</v>
      </c>
      <c r="Z445" s="58">
        <v>45870</v>
      </c>
      <c r="AB445" s="31">
        <v>45884.875</v>
      </c>
      <c r="AC445" s="13" t="str">
        <f t="shared" si="18"/>
        <v>Approved</v>
      </c>
      <c r="AF445" s="71">
        <v>45898</v>
      </c>
      <c r="AG445" s="35">
        <f>IF($AX445="Cancelled","",IFERROR(IF(F445="","",F445-Variables!$B$13),""))</f>
        <v>45915</v>
      </c>
      <c r="AH445" s="13">
        <f>IF($AX445="Cancelled","",IFERROR(IF(AB445="","",(AVERAGE(E445:F445)-AB445)-Variables!$B$14),""))</f>
        <v>0.625</v>
      </c>
      <c r="AJ445" s="47">
        <v>45897</v>
      </c>
      <c r="AK445" s="14">
        <f>IF($AX445="Cancelled","",IFERROR(IF(AJ445="","",IF(AND(AB445="",AF445=""),"",IF(AF445&gt;AB445,AF445+Variables!$B$15+Variables!$B$16+Variables!$B$17-AJ445,AB445+Variables!$B$16+Variables!$B$17-AJ445))),""))</f>
        <v>16</v>
      </c>
      <c r="AL445" s="48" t="s">
        <v>350</v>
      </c>
      <c r="AM445" s="13" t="s">
        <v>115</v>
      </c>
      <c r="AN445" s="13" t="s">
        <v>174</v>
      </c>
      <c r="AP445" s="31">
        <v>45909</v>
      </c>
      <c r="AR445" s="13">
        <v>258708870</v>
      </c>
      <c r="AS445" s="31">
        <v>45909</v>
      </c>
      <c r="AU445" s="31">
        <v>45910</v>
      </c>
      <c r="AV445" s="13" t="s">
        <v>865</v>
      </c>
      <c r="AW445" s="31">
        <v>45912</v>
      </c>
      <c r="AX445" s="13" t="str">
        <f>IF(ISNUMBER(SEARCH("cancel",#REF!)),"Cancelled",IF(AND(AS445&lt;&gt;"",AU445&lt;&gt;"",AW445&lt;&gt;""),"Closed","Open"))</f>
        <v>Closed</v>
      </c>
      <c r="AY445" s="15" t="str">
        <f t="shared" si="19"/>
        <v>All dates received</v>
      </c>
      <c r="BD445" s="13">
        <f>IF($AX445="Cancelled","",IFERROR(IF(OR(AS445="",AJ445=""),"",(AJ445+Variables!$B$18-AS445)),""))</f>
        <v>3</v>
      </c>
      <c r="BE445" s="13">
        <f>IF($AX445="Cancelled","",IFERROR(IF(OR(AW445="",AS445=""),"",(AS445+Variables!$B$19)-AW445),""))</f>
        <v>2</v>
      </c>
      <c r="BF445" s="44">
        <f>IF($AX445="Cancelled","",IFERROR(W445*INDEX(Variables!$B$7:$D$7,IFERROR(MATCH(IF($B445="Robusta","Robusta",(IF($B445="","Arabica",$B445))&amp;" - "&amp;(IF($C445="","Commercial",$C445))),Variables!$B$1:$D$1,0),1))*(BE445/365),""))</f>
        <v>48.716511186147159</v>
      </c>
      <c r="BG445" s="44">
        <f>IF($AX445="Cancelled","",IFERROR((W445*INDEX(Variables!$B$7:$D$7,IFERROR(MATCH(IF($B445="Robusta","Robusta",(IF($B445="","Arabica",$B445))&amp;" - "&amp;(IF($C445="","Commercial",$C445))),Variables!$B$1:$D$1,0),1))*IFERROR(IF(AB445="","",(AVERAGE(E445:F445)-AB445)-Variables!$B$14),"")/365)+(L445/16.67*INDEX(Variables!$B$8:$D$8,IFERROR(MATCH(IF($B445="Robusta","Robusta",(IF($B445="","Arabica",$B445))&amp;" - "&amp;(IF($C445="","Commercial",$C445))),Variables!$B$1:$D$1,0),1))*IFERROR(IF(AB445="","",(AVERAGE(E445:F445)-AB445)-Variables!$B$14),""))+(W445*INDEX(Variables!$B$9:$D$9,IFERROR(MATCH(IF($B445="Robusta","Robusta",(IF($B445="","Arabica",$B445))&amp;" - "&amp;(IF($C445="","Commercial",$C445))),Variables!$B$1:$D$1,0),1))*IFERROR(IF(AB445="","",(AVERAGE(E445:F445)-AB445)-Variables!$B$14),"")/365),""))</f>
        <v>25.42017532239722</v>
      </c>
      <c r="BH445" s="44">
        <f>IF($AX445="Cancelled","",IFERROR((W445*INDEX(Variables!$B$7:$D$7,IFERROR(MATCH(IF($B445="Robusta","Robusta",(IF($B445="","Arabica",$B445))&amp;" - "&amp;(IF($C445="","Commercial",$C445))),Variables!$B$1:$D$1,0),1))*AK445/365)+(L445/16.67*INDEX(Variables!$B$8:$D$8,IFERROR(MATCH(IF($B445="Robusta","Robusta",(IF($B445="","Arabica",$B445))&amp;" - "&amp;(IF($C445="","Commercial",$C445))),Variables!$B$1:$D$1,0),1))*AK445)+(W445*INDEX(Variables!$B$9:$D$9,IFERROR(MATCH(IF($B445="Robusta","Robusta",(IF($B445="","Arabica",$B445))&amp;" - "&amp;(IF($C445="","Commercial",$C445))),Variables!$B$1:$D$1,0),1))*AK445/365),""))</f>
        <v>650.75648825336884</v>
      </c>
      <c r="BI445" s="44">
        <f>IF($AX445="Cancelled","",IFERROR((W445*INDEX(Variables!$B$7:$D$7,IFERROR(MATCH(IF($B445="Robusta","Robusta",(IF($B445="","Arabica",$B445))&amp;" - "&amp;(IF($C445="","Commercial",$C445))),Variables!$B$1:$D$1,0),1))*BD445/365)+(L445/16.67*INDEX(Variables!$B$8:$D$8,IFERROR(MATCH(IF($B445="Robusta","Robusta",(IF($B445="","Arabica",$B445))&amp;" - "&amp;(IF($C445="","Commercial",$C445))),Variables!$B$1:$D$1,0),1))*BD445)+(W445*INDEX(Variables!$B$9:$D$9,IFERROR(MATCH(IF($B445="Robusta","Robusta",(IF($B445="","Arabica",$B445))&amp;" - "&amp;(IF($C445="","Commercial",$C445))),Variables!$B$1:$D$1,0),1))*BD445/365),""))</f>
        <v>122.01684154750666</v>
      </c>
      <c r="BJ445" s="44">
        <f t="shared" si="20"/>
        <v>21</v>
      </c>
      <c r="BK445" s="44">
        <f>IF($AX445="Cancelled","",IFERROR(IF(BJ445="","",(W445*INDEX(Variables!$B$7:$D$7,IFERROR(MATCH(IF($B445="Robusta","Robusta",(IF($B445="","Arabica",$B445))&amp;" - "&amp;(IF($C445="","Commercial",$C445))),Variables!$B$1:$D$1,0),1))*(BJ445/365))+(W445*INDEX(Variables!$B$9:$D$9,IFERROR(MATCH(IF($B445="Robusta","Robusta",(IF($B445="","Arabica",$B445))&amp;" - "&amp;(IF($C445="","Commercial",$C445))),Variables!$B$1:$D$1,0),1))*(BJ445/365))+(INDEX(Variables!$B$8:$D$8,IFERROR(MATCH(IF($B445="Robusta","Robusta",(IF($B445="","Arabica",$B445))&amp;" - "&amp;(IF($C445="","Commercial",$C445))),Variables!$B$1:$D$1,0),1))*L445/16.67)),""))</f>
        <v>534.11789083254655</v>
      </c>
    </row>
    <row r="446" spans="1:63">
      <c r="A446" s="13" t="s">
        <v>103</v>
      </c>
      <c r="B446" s="13" t="s">
        <v>104</v>
      </c>
      <c r="C446" s="13" t="s">
        <v>105</v>
      </c>
      <c r="D446" s="31">
        <v>45817</v>
      </c>
      <c r="E446" s="31">
        <v>45931</v>
      </c>
      <c r="F446" s="31">
        <v>45961</v>
      </c>
      <c r="G446" s="13">
        <v>3786926</v>
      </c>
      <c r="H446" s="13" t="s">
        <v>1300</v>
      </c>
      <c r="J446" s="13" t="s">
        <v>611</v>
      </c>
      <c r="K446" s="13">
        <v>5334</v>
      </c>
      <c r="L446" s="13">
        <v>320</v>
      </c>
      <c r="M446" s="13">
        <v>1</v>
      </c>
      <c r="N446" s="13" t="s">
        <v>1299</v>
      </c>
      <c r="O446" s="13" t="s">
        <v>120</v>
      </c>
      <c r="P446" s="13">
        <v>10070</v>
      </c>
      <c r="R446" s="13" t="s">
        <v>252</v>
      </c>
      <c r="S446" s="13" t="s">
        <v>283</v>
      </c>
      <c r="T446" s="13" t="s">
        <v>112</v>
      </c>
      <c r="U446" s="13" t="s">
        <v>113</v>
      </c>
      <c r="V446" s="13">
        <v>35</v>
      </c>
      <c r="W446" s="44">
        <f>IF($AX446="Cancelled","",IFERROR(((V446+INDEX(Variables!$B$6:$D$6,IFERROR(MATCH(IF($B446="Robusta","Robusta",(IF($B446="","Arabica",$B446))&amp;" - "&amp;(IF($C446="","Commercial",$C446))),Variables!$B$1:$D$1,0),1)))*22.0462)*(L446/16.67),""))</f>
        <v>137879.34176364727</v>
      </c>
      <c r="X446" s="55" t="s">
        <v>37</v>
      </c>
      <c r="Y446" s="13" t="str">
        <f>IF($AX446="Cancelled","",IF(X446="","",IFERROR(IF(INDEX(Variables!$B$38:$B$47,MATCH(X446,Variables!$A$38:$A$47,0))="Yes","Yes","No"),"No")))</f>
        <v>Yes</v>
      </c>
      <c r="Z446" s="58">
        <v>45898</v>
      </c>
      <c r="AC446" s="13" t="str">
        <f t="shared" si="18"/>
        <v/>
      </c>
      <c r="AF446" s="71">
        <v>45930</v>
      </c>
      <c r="AG446" s="37">
        <f>IF($AX446="Cancelled","",IFERROR(IF(F446="","",F446-Variables!$B$13),""))</f>
        <v>45946</v>
      </c>
      <c r="AH446" s="13" t="str">
        <f>IF($AX446="Cancelled","",IFERROR(IF(AB446="","",(AVERAGE(E446:F446)-AB446)-Variables!$B$14),""))</f>
        <v/>
      </c>
      <c r="AJ446" s="47">
        <v>45929</v>
      </c>
      <c r="AK446" s="14">
        <f>IF($AX446="Cancelled","",IFERROR(IF(AJ446="","",IF(AND(AB446="",AF446=""),"",IF(AF446&gt;AB446,AF446+Variables!$B$15+Variables!$B$16+Variables!$B$17-AJ446,AB446+Variables!$B$16+Variables!$B$17-AJ446))),""))</f>
        <v>16</v>
      </c>
      <c r="AL446" s="48" t="s">
        <v>114</v>
      </c>
      <c r="AM446" s="13" t="s">
        <v>168</v>
      </c>
      <c r="AN446" s="13" t="s">
        <v>1301</v>
      </c>
      <c r="AP446" s="31">
        <v>45947</v>
      </c>
      <c r="AR446" s="13" t="s">
        <v>1302</v>
      </c>
      <c r="AS446" s="31">
        <v>45947</v>
      </c>
      <c r="AU446" s="31">
        <v>45954</v>
      </c>
      <c r="AV446" s="13" t="s">
        <v>865</v>
      </c>
      <c r="AW446" s="31">
        <v>45954</v>
      </c>
      <c r="AX446" s="13" t="str">
        <f>IF(ISNUMBER(SEARCH("cancel",#REF!)),"Cancelled",IF(AND(AS446&lt;&gt;"",AU446&lt;&gt;"",AW446&lt;&gt;""),"Closed","Open"))</f>
        <v>Closed</v>
      </c>
      <c r="AY446" s="15" t="str">
        <f t="shared" si="19"/>
        <v>All dates received</v>
      </c>
      <c r="BD446" s="13">
        <f>IF($AX446="Cancelled","",IFERROR(IF(OR(AS446="",AJ446=""),"",(AJ446+Variables!$B$18-AS446)),""))</f>
        <v>-3</v>
      </c>
      <c r="BE446" s="13">
        <f>IF($AX446="Cancelled","",IFERROR(IF(OR(AW446="",AS446=""),"",(AS446+Variables!$B$19)-AW446),""))</f>
        <v>-2</v>
      </c>
      <c r="BF446" s="44">
        <f>IF($AX446="Cancelled","",IFERROR(W446*INDEX(Variables!$B$7:$D$7,IFERROR(MATCH(IF($B446="Robusta","Robusta",(IF($B446="","Arabica",$B446))&amp;" - "&amp;(IF($C446="","Commercial",$C446))),Variables!$B$1:$D$1,0),1))*(BE446/365),""))</f>
        <v>-48.716511186147159</v>
      </c>
      <c r="BG446" s="44" t="str">
        <f>IF($AX446="Cancelled","",IFERROR((W446*INDEX(Variables!$B$7:$D$7,IFERROR(MATCH(IF($B446="Robusta","Robusta",(IF($B446="","Arabica",$B446))&amp;" - "&amp;(IF($C446="","Commercial",$C446))),Variables!$B$1:$D$1,0),1))*IFERROR(IF(AB446="","",(AVERAGE(E446:F446)-AB446)-Variables!$B$14),"")/365)+(L446/16.67*INDEX(Variables!$B$8:$D$8,IFERROR(MATCH(IF($B446="Robusta","Robusta",(IF($B446="","Arabica",$B446))&amp;" - "&amp;(IF($C446="","Commercial",$C446))),Variables!$B$1:$D$1,0),1))*IFERROR(IF(AB446="","",(AVERAGE(E446:F446)-AB446)-Variables!$B$14),""))+(W446*INDEX(Variables!$B$9:$D$9,IFERROR(MATCH(IF($B446="Robusta","Robusta",(IF($B446="","Arabica",$B446))&amp;" - "&amp;(IF($C446="","Commercial",$C446))),Variables!$B$1:$D$1,0),1))*IFERROR(IF(AB446="","",(AVERAGE(E446:F446)-AB446)-Variables!$B$14),"")/365),""))</f>
        <v/>
      </c>
      <c r="BH446" s="44">
        <f>IF($AX446="Cancelled","",IFERROR((W446*INDEX(Variables!$B$7:$D$7,IFERROR(MATCH(IF($B446="Robusta","Robusta",(IF($B446="","Arabica",$B446))&amp;" - "&amp;(IF($C446="","Commercial",$C446))),Variables!$B$1:$D$1,0),1))*AK446/365)+(L446/16.67*INDEX(Variables!$B$8:$D$8,IFERROR(MATCH(IF($B446="Robusta","Robusta",(IF($B446="","Arabica",$B446))&amp;" - "&amp;(IF($C446="","Commercial",$C446))),Variables!$B$1:$D$1,0),1))*AK446)+(W446*INDEX(Variables!$B$9:$D$9,IFERROR(MATCH(IF($B446="Robusta","Robusta",(IF($B446="","Arabica",$B446))&amp;" - "&amp;(IF($C446="","Commercial",$C446))),Variables!$B$1:$D$1,0),1))*AK446/365),""))</f>
        <v>650.75648825336884</v>
      </c>
      <c r="BI446" s="44">
        <f>IF($AX446="Cancelled","",IFERROR((W446*INDEX(Variables!$B$7:$D$7,IFERROR(MATCH(IF($B446="Robusta","Robusta",(IF($B446="","Arabica",$B446))&amp;" - "&amp;(IF($C446="","Commercial",$C446))),Variables!$B$1:$D$1,0),1))*BD446/365)+(L446/16.67*INDEX(Variables!$B$8:$D$8,IFERROR(MATCH(IF($B446="Robusta","Robusta",(IF($B446="","Arabica",$B446))&amp;" - "&amp;(IF($C446="","Commercial",$C446))),Variables!$B$1:$D$1,0),1))*BD446)+(W446*INDEX(Variables!$B$9:$D$9,IFERROR(MATCH(IF($B446="Robusta","Robusta",(IF($B446="","Arabica",$B446))&amp;" - "&amp;(IF($C446="","Commercial",$C446))),Variables!$B$1:$D$1,0),1))*BD446/365),""))</f>
        <v>-122.01684154750666</v>
      </c>
      <c r="BJ446" s="44">
        <f t="shared" si="20"/>
        <v>14</v>
      </c>
      <c r="BK446" s="44">
        <f>IF($AX446="Cancelled","",IFERROR(IF(BJ446="","",(W446*INDEX(Variables!$B$7:$D$7,IFERROR(MATCH(IF($B446="Robusta","Robusta",(IF($B446="","Arabica",$B446))&amp;" - "&amp;(IF($C446="","Commercial",$C446))),Variables!$B$1:$D$1,0),1))*(BJ446/365))+(W446*INDEX(Variables!$B$9:$D$9,IFERROR(MATCH(IF($B446="Robusta","Robusta",(IF($B446="","Arabica",$B446))&amp;" - "&amp;(IF($C446="","Commercial",$C446))),Variables!$B$1:$D$1,0),1))*(BJ446/365))+(INDEX(Variables!$B$8:$D$8,IFERROR(MATCH(IF($B446="Robusta","Robusta",(IF($B446="","Arabica",$B446))&amp;" - "&amp;(IF($C446="","Commercial",$C446))),Variables!$B$1:$D$1,0),1))*L446/16.67)),""))</f>
        <v>361.41192722169774</v>
      </c>
    </row>
    <row r="447" spans="1:63">
      <c r="A447" s="13" t="s">
        <v>103</v>
      </c>
      <c r="B447" s="13" t="s">
        <v>104</v>
      </c>
      <c r="C447" s="13" t="s">
        <v>292</v>
      </c>
      <c r="D447" s="31">
        <v>45818</v>
      </c>
      <c r="E447" s="31">
        <v>45809</v>
      </c>
      <c r="F447" s="31">
        <v>45838</v>
      </c>
      <c r="G447" s="13">
        <v>3786927</v>
      </c>
      <c r="H447" s="13" t="s">
        <v>1303</v>
      </c>
      <c r="J447" s="13" t="s">
        <v>447</v>
      </c>
      <c r="K447" s="13" t="s">
        <v>1304</v>
      </c>
      <c r="L447" s="13">
        <v>16</v>
      </c>
      <c r="M447" s="13">
        <v>0</v>
      </c>
      <c r="N447" s="13" t="s">
        <v>1305</v>
      </c>
      <c r="O447" s="13" t="s">
        <v>304</v>
      </c>
      <c r="P447" s="13">
        <v>10010</v>
      </c>
      <c r="R447" s="13" t="s">
        <v>384</v>
      </c>
      <c r="S447" s="13" t="s">
        <v>154</v>
      </c>
      <c r="T447" s="13" t="s">
        <v>155</v>
      </c>
      <c r="U447" s="13" t="s">
        <v>125</v>
      </c>
      <c r="V447" s="13">
        <v>146</v>
      </c>
      <c r="W447" s="44">
        <f>IF($AX447="Cancelled","",IFERROR(((V447+INDEX(Variables!$B$6:$D$6,IFERROR(MATCH(IF($B447="Robusta","Robusta",(IF($B447="","Arabica",$B447))&amp;" - "&amp;(IF($C447="","Commercial",$C447))),Variables!$B$1:$D$1,0),1)))*22.0462)*(L447/16.67),""))</f>
        <v>9242.7404055188963</v>
      </c>
      <c r="X447" s="55" t="s">
        <v>39</v>
      </c>
      <c r="Y447" s="13" t="str">
        <f>IF($AX447="Cancelled","",IF(X447="","",IFERROR(IF(INDEX(Variables!$B$38:$B$47,MATCH(X447,Variables!$A$38:$A$47,0))="Yes","Yes","No"),"No")))</f>
        <v>No</v>
      </c>
      <c r="Z447" s="31"/>
      <c r="AB447" s="31">
        <v>45796.875</v>
      </c>
      <c r="AC447" s="13" t="str">
        <f t="shared" si="18"/>
        <v>Approved</v>
      </c>
      <c r="AF447" s="71">
        <v>45842</v>
      </c>
      <c r="AG447" s="31">
        <f>IF($AX447="Cancelled","",IFERROR(IF(F447="","",F447-Variables!$B$13),""))</f>
        <v>45823</v>
      </c>
      <c r="AH447" s="13">
        <f>IF($AX447="Cancelled","",IFERROR(IF(AB447="","",(AVERAGE(E447:F447)-AB447)-Variables!$B$14),""))</f>
        <v>-3.375</v>
      </c>
      <c r="AJ447" s="47">
        <v>45841</v>
      </c>
      <c r="AK447" s="14">
        <f>IF($AX447="Cancelled","",IFERROR(IF(AJ447="","",IF(AND(AB447="",AF447=""),"",IF(AF447&gt;AB447,AF447+Variables!$B$15+Variables!$B$16+Variables!$B$17-AJ447,AB447+Variables!$B$16+Variables!$B$17-AJ447))),""))</f>
        <v>16</v>
      </c>
      <c r="AL447" s="48" t="s">
        <v>114</v>
      </c>
      <c r="AM447" s="13" t="s">
        <v>141</v>
      </c>
      <c r="AN447" s="13" t="s">
        <v>376</v>
      </c>
      <c r="AP447" s="31">
        <v>45852</v>
      </c>
      <c r="AR447" s="13" t="s">
        <v>3253</v>
      </c>
      <c r="AS447" s="31">
        <v>45857</v>
      </c>
      <c r="AU447" s="31">
        <v>45867</v>
      </c>
      <c r="AV447" s="13" t="s">
        <v>865</v>
      </c>
      <c r="AW447" s="31">
        <v>45867</v>
      </c>
      <c r="AX447" s="13" t="str">
        <f>IF(ISNUMBER(SEARCH("cancel",#REF!)),"Cancelled",IF(AND(AS447&lt;&gt;"",AU447&lt;&gt;"",AW447&lt;&gt;""),"Closed","Open"))</f>
        <v>Closed</v>
      </c>
      <c r="AY447" s="15" t="str">
        <f t="shared" si="19"/>
        <v>All dates received</v>
      </c>
      <c r="BD447" s="13">
        <f>IF($AX447="Cancelled","",IFERROR(IF(OR(AS447="",AJ447=""),"",(AJ447+Variables!$B$18-AS447)),""))</f>
        <v>-1</v>
      </c>
      <c r="BE447" s="13">
        <f>IF($AX447="Cancelled","",IFERROR(IF(OR(AW447="",AS447=""),"",(AS447+Variables!$B$19)-AW447),""))</f>
        <v>-5</v>
      </c>
      <c r="BF447" s="44">
        <f>IF($AX447="Cancelled","",IFERROR(W447*INDEX(Variables!$B$7:$D$7,IFERROR(MATCH(IF($B447="Robusta","Robusta",(IF($B447="","Arabica",$B447))&amp;" - "&amp;(IF($C447="","Commercial",$C447))),Variables!$B$1:$D$1,0),1))*(BE447/365),""))</f>
        <v>-8.1642771969417893</v>
      </c>
      <c r="BG447" s="44">
        <f>IF($AX447="Cancelled","",IFERROR((W447*INDEX(Variables!$B$7:$D$7,IFERROR(MATCH(IF($B447="Robusta","Robusta",(IF($B447="","Arabica",$B447))&amp;" - "&amp;(IF($C447="","Commercial",$C447))),Variables!$B$1:$D$1,0),1))*IFERROR(IF(AB447="","",(AVERAGE(E447:F447)-AB447)-Variables!$B$14),"")/365)+(L447/16.67*INDEX(Variables!$B$8:$D$8,IFERROR(MATCH(IF($B447="Robusta","Robusta",(IF($B447="","Arabica",$B447))&amp;" - "&amp;(IF($C447="","Commercial",$C447))),Variables!$B$1:$D$1,0),1))*IFERROR(IF(AB447="","",(AVERAGE(E447:F447)-AB447)-Variables!$B$14),""))+(W447*INDEX(Variables!$B$9:$D$9,IFERROR(MATCH(IF($B447="Robusta","Robusta",(IF($B447="","Arabica",$B447))&amp;" - "&amp;(IF($C447="","Commercial",$C447))),Variables!$B$1:$D$1,0),1))*IFERROR(IF(AB447="","",(AVERAGE(E447:F447)-AB447)-Variables!$B$14),"")/365),""))</f>
        <v>-8.2819330780301978</v>
      </c>
      <c r="BH447" s="44">
        <f>IF($AX447="Cancelled","",IFERROR((W447*INDEX(Variables!$B$7:$D$7,IFERROR(MATCH(IF($B447="Robusta","Robusta",(IF($B447="","Arabica",$B447))&amp;" - "&amp;(IF($C447="","Commercial",$C447))),Variables!$B$1:$D$1,0),1))*AK447/365)+(L447/16.67*INDEX(Variables!$B$8:$D$8,IFERROR(MATCH(IF($B447="Robusta","Robusta",(IF($B447="","Arabica",$B447))&amp;" - "&amp;(IF($C447="","Commercial",$C447))),Variables!$B$1:$D$1,0),1))*AK447)+(W447*INDEX(Variables!$B$9:$D$9,IFERROR(MATCH(IF($B447="Robusta","Robusta",(IF($B447="","Arabica",$B447))&amp;" - "&amp;(IF($C447="","Commercial",$C447))),Variables!$B$1:$D$1,0),1))*AK447/365),""))</f>
        <v>39.262497555106123</v>
      </c>
      <c r="BI447" s="44">
        <f>IF($AX447="Cancelled","",IFERROR((W447*INDEX(Variables!$B$7:$D$7,IFERROR(MATCH(IF($B447="Robusta","Robusta",(IF($B447="","Arabica",$B447))&amp;" - "&amp;(IF($C447="","Commercial",$C447))),Variables!$B$1:$D$1,0),1))*BD447/365)+(L447/16.67*INDEX(Variables!$B$8:$D$8,IFERROR(MATCH(IF($B447="Robusta","Robusta",(IF($B447="","Arabica",$B447))&amp;" - "&amp;(IF($C447="","Commercial",$C447))),Variables!$B$1:$D$1,0),1))*BD447)+(W447*INDEX(Variables!$B$9:$D$9,IFERROR(MATCH(IF($B447="Robusta","Robusta",(IF($B447="","Arabica",$B447))&amp;" - "&amp;(IF($C447="","Commercial",$C447))),Variables!$B$1:$D$1,0),1))*BD447/365),""))</f>
        <v>-2.4539060971941327</v>
      </c>
      <c r="BJ447" s="44">
        <f t="shared" si="20"/>
        <v>-19</v>
      </c>
      <c r="BK447" s="44">
        <f>IF($AX447="Cancelled","",IFERROR(IF(BJ447="","",(W447*INDEX(Variables!$B$7:$D$7,IFERROR(MATCH(IF($B447="Robusta","Robusta",(IF($B447="","Arabica",$B447))&amp;" - "&amp;(IF($C447="","Commercial",$C447))),Variables!$B$1:$D$1,0),1))*(BJ447/365))+(W447*INDEX(Variables!$B$9:$D$9,IFERROR(MATCH(IF($B447="Robusta","Robusta",(IF($B447="","Arabica",$B447))&amp;" - "&amp;(IF($C447="","Commercial",$C447))),Variables!$B$1:$D$1,0),1))*(BJ447/365))+(INDEX(Variables!$B$8:$D$8,IFERROR(MATCH(IF($B447="Robusta","Robusta",(IF($B447="","Arabica",$B447))&amp;" - "&amp;(IF($C447="","Commercial",$C447))),Variables!$B$1:$D$1,0),1))*L447/16.67)),""))</f>
        <v>-30.624215846688521</v>
      </c>
    </row>
    <row r="448" spans="1:63">
      <c r="A448" s="13" t="s">
        <v>103</v>
      </c>
      <c r="B448" s="13" t="s">
        <v>104</v>
      </c>
      <c r="C448" s="13" t="s">
        <v>292</v>
      </c>
      <c r="D448" s="31">
        <v>45818</v>
      </c>
      <c r="E448" s="31">
        <v>45809</v>
      </c>
      <c r="F448" s="31">
        <v>45838</v>
      </c>
      <c r="G448" s="13">
        <v>3786928</v>
      </c>
      <c r="H448" s="13" t="s">
        <v>1306</v>
      </c>
      <c r="J448" s="13" t="s">
        <v>447</v>
      </c>
      <c r="K448" s="13" t="s">
        <v>1307</v>
      </c>
      <c r="L448" s="13">
        <v>50</v>
      </c>
      <c r="M448" s="13">
        <v>0</v>
      </c>
      <c r="N448" s="13" t="s">
        <v>1308</v>
      </c>
      <c r="O448" s="13" t="s">
        <v>297</v>
      </c>
      <c r="P448" s="13">
        <v>10020</v>
      </c>
      <c r="R448" s="13" t="s">
        <v>239</v>
      </c>
      <c r="S448" s="13" t="s">
        <v>154</v>
      </c>
      <c r="T448" s="13" t="s">
        <v>155</v>
      </c>
      <c r="U448" s="13" t="s">
        <v>125</v>
      </c>
      <c r="V448" s="13">
        <v>108</v>
      </c>
      <c r="W448" s="44">
        <f>IF($AX448="Cancelled","",IFERROR(((V448+INDEX(Variables!$B$6:$D$6,IFERROR(MATCH(IF($B448="Robusta","Robusta",(IF($B448="","Arabica",$B448))&amp;" - "&amp;(IF($C448="","Commercial",$C448))),Variables!$B$1:$D$1,0),1)))*22.0462)*(L448/16.67),""))</f>
        <v>26370.799520095978</v>
      </c>
      <c r="X448" s="55" t="s">
        <v>39</v>
      </c>
      <c r="Y448" s="13" t="str">
        <f>IF($AX448="Cancelled","",IF(X448="","",IFERROR(IF(INDEX(Variables!$B$38:$B$47,MATCH(X448,Variables!$A$38:$A$47,0))="Yes","Yes","No"),"No")))</f>
        <v>No</v>
      </c>
      <c r="Z448" s="31"/>
      <c r="AB448" s="31">
        <v>45796.875</v>
      </c>
      <c r="AC448" s="13" t="str">
        <f t="shared" si="18"/>
        <v>Approved</v>
      </c>
      <c r="AF448" s="71">
        <v>45842</v>
      </c>
      <c r="AG448" s="31">
        <f>IF($AX448="Cancelled","",IFERROR(IF(F448="","",F448-Variables!$B$13),""))</f>
        <v>45823</v>
      </c>
      <c r="AH448" s="13">
        <f>IF($AX448="Cancelled","",IFERROR(IF(AB448="","",(AVERAGE(E448:F448)-AB448)-Variables!$B$14),""))</f>
        <v>-3.375</v>
      </c>
      <c r="AJ448" s="47">
        <v>45841</v>
      </c>
      <c r="AK448" s="14">
        <f>IF($AX448="Cancelled","",IFERROR(IF(AJ448="","",IF(AND(AB448="",AF448=""),"",IF(AF448&gt;AB448,AF448+Variables!$B$15+Variables!$B$16+Variables!$B$17-AJ448,AB448+Variables!$B$16+Variables!$B$17-AJ448))),""))</f>
        <v>16</v>
      </c>
      <c r="AL448" s="48" t="s">
        <v>114</v>
      </c>
      <c r="AM448" s="13" t="s">
        <v>141</v>
      </c>
      <c r="AN448" s="13" t="s">
        <v>376</v>
      </c>
      <c r="AP448" s="31">
        <v>45852</v>
      </c>
      <c r="AR448" s="13" t="s">
        <v>3253</v>
      </c>
      <c r="AS448" s="31">
        <v>45857</v>
      </c>
      <c r="AU448" s="31">
        <v>45867</v>
      </c>
      <c r="AV448" s="13" t="s">
        <v>865</v>
      </c>
      <c r="AW448" s="31">
        <v>45867</v>
      </c>
      <c r="AX448" s="13" t="str">
        <f>IF(ISNUMBER(SEARCH("cancel",#REF!)),"Cancelled",IF(AND(AS448&lt;&gt;"",AU448&lt;&gt;"",AW448&lt;&gt;""),"Closed","Open"))</f>
        <v>Closed</v>
      </c>
      <c r="AY448" s="15" t="str">
        <f t="shared" si="19"/>
        <v>All dates received</v>
      </c>
      <c r="BD448" s="13">
        <f>IF($AX448="Cancelled","",IFERROR(IF(OR(AS448="",AJ448=""),"",(AJ448+Variables!$B$18-AS448)),""))</f>
        <v>-1</v>
      </c>
      <c r="BE448" s="13">
        <f>IF($AX448="Cancelled","",IFERROR(IF(OR(AW448="",AS448=""),"",(AS448+Variables!$B$19)-AW448),""))</f>
        <v>-5</v>
      </c>
      <c r="BF448" s="44">
        <f>IF($AX448="Cancelled","",IFERROR(W448*INDEX(Variables!$B$7:$D$7,IFERROR(MATCH(IF($B448="Robusta","Robusta",(IF($B448="","Arabica",$B448))&amp;" - "&amp;(IF($C448="","Commercial",$C448))),Variables!$B$1:$D$1,0),1))*(BE448/365),""))</f>
        <v>-23.293796833078535</v>
      </c>
      <c r="BG448" s="44">
        <f>IF($AX448="Cancelled","",IFERROR((W448*INDEX(Variables!$B$7:$D$7,IFERROR(MATCH(IF($B448="Robusta","Robusta",(IF($B448="","Arabica",$B448))&amp;" - "&amp;(IF($C448="","Commercial",$C448))),Variables!$B$1:$D$1,0),1))*IFERROR(IF(AB448="","",(AVERAGE(E448:F448)-AB448)-Variables!$B$14),"")/365)+(L448/16.67*INDEX(Variables!$B$8:$D$8,IFERROR(MATCH(IF($B448="Robusta","Robusta",(IF($B448="","Arabica",$B448))&amp;" - "&amp;(IF($C448="","Commercial",$C448))),Variables!$B$1:$D$1,0),1))*IFERROR(IF(AB448="","",(AVERAGE(E448:F448)-AB448)-Variables!$B$14),""))+(W448*INDEX(Variables!$B$9:$D$9,IFERROR(MATCH(IF($B448="Robusta","Robusta",(IF($B448="","Arabica",$B448))&amp;" - "&amp;(IF($C448="","Commercial",$C448))),Variables!$B$1:$D$1,0),1))*IFERROR(IF(AB448="","",(AVERAGE(E448:F448)-AB448)-Variables!$B$14),"")/365),""))</f>
        <v>-24.363516709009009</v>
      </c>
      <c r="BH448" s="44">
        <f>IF($AX448="Cancelled","",IFERROR((W448*INDEX(Variables!$B$7:$D$7,IFERROR(MATCH(IF($B448="Robusta","Robusta",(IF($B448="","Arabica",$B448))&amp;" - "&amp;(IF($C448="","Commercial",$C448))),Variables!$B$1:$D$1,0),1))*AK448/365)+(L448/16.67*INDEX(Variables!$B$8:$D$8,IFERROR(MATCH(IF($B448="Robusta","Robusta",(IF($B448="","Arabica",$B448))&amp;" - "&amp;(IF($C448="","Commercial",$C448))),Variables!$B$1:$D$1,0),1))*AK448)+(W448*INDEX(Variables!$B$9:$D$9,IFERROR(MATCH(IF($B448="Robusta","Robusta",(IF($B448="","Arabica",$B448))&amp;" - "&amp;(IF($C448="","Commercial",$C448))),Variables!$B$1:$D$1,0),1))*AK448/365),""))</f>
        <v>115.50111625011677</v>
      </c>
      <c r="BI448" s="44">
        <f>IF($AX448="Cancelled","",IFERROR((W448*INDEX(Variables!$B$7:$D$7,IFERROR(MATCH(IF($B448="Robusta","Robusta",(IF($B448="","Arabica",$B448))&amp;" - "&amp;(IF($C448="","Commercial",$C448))),Variables!$B$1:$D$1,0),1))*BD448/365)+(L448/16.67*INDEX(Variables!$B$8:$D$8,IFERROR(MATCH(IF($B448="Robusta","Robusta",(IF($B448="","Arabica",$B448))&amp;" - "&amp;(IF($C448="","Commercial",$C448))),Variables!$B$1:$D$1,0),1))*BD448)+(W448*INDEX(Variables!$B$9:$D$9,IFERROR(MATCH(IF($B448="Robusta","Robusta",(IF($B448="","Arabica",$B448))&amp;" - "&amp;(IF($C448="","Commercial",$C448))),Variables!$B$1:$D$1,0),1))*BD448/365),""))</f>
        <v>-7.2188197656322979</v>
      </c>
      <c r="BJ448" s="44">
        <f t="shared" si="20"/>
        <v>-19</v>
      </c>
      <c r="BK448" s="44">
        <f>IF($AX448="Cancelled","",IFERROR(IF(BJ448="","",(W448*INDEX(Variables!$B$7:$D$7,IFERROR(MATCH(IF($B448="Robusta","Robusta",(IF($B448="","Arabica",$B448))&amp;" - "&amp;(IF($C448="","Commercial",$C448))),Variables!$B$1:$D$1,0),1))*(BJ448/365))+(W448*INDEX(Variables!$B$9:$D$9,IFERROR(MATCH(IF($B448="Robusta","Robusta",(IF($B448="","Arabica",$B448))&amp;" - "&amp;(IF($C448="","Commercial",$C448))),Variables!$B$1:$D$1,0),1))*(BJ448/365))+(INDEX(Variables!$B$8:$D$8,IFERROR(MATCH(IF($B448="Robusta","Robusta",(IF($B448="","Arabica",$B448))&amp;" - "&amp;(IF($C448="","Commercial",$C448))),Variables!$B$1:$D$1,0),1))*L448/16.67)),""))</f>
        <v>-87.157575547013664</v>
      </c>
    </row>
    <row r="449" spans="1:63">
      <c r="A449" s="13" t="s">
        <v>103</v>
      </c>
      <c r="B449" s="13" t="s">
        <v>104</v>
      </c>
      <c r="C449" s="13" t="s">
        <v>292</v>
      </c>
      <c r="D449" s="31">
        <v>45818</v>
      </c>
      <c r="E449" s="31">
        <v>45809</v>
      </c>
      <c r="F449" s="31">
        <v>45838</v>
      </c>
      <c r="G449" s="13">
        <v>3786929</v>
      </c>
      <c r="H449" s="13" t="s">
        <v>1309</v>
      </c>
      <c r="J449" s="13" t="s">
        <v>447</v>
      </c>
      <c r="K449" s="13" t="s">
        <v>1310</v>
      </c>
      <c r="L449" s="13">
        <v>100</v>
      </c>
      <c r="M449" s="13">
        <v>1</v>
      </c>
      <c r="N449" s="13" t="s">
        <v>1311</v>
      </c>
      <c r="O449" s="13" t="s">
        <v>1312</v>
      </c>
      <c r="P449" s="13">
        <v>10040</v>
      </c>
      <c r="R449" s="13" t="s">
        <v>239</v>
      </c>
      <c r="S449" s="13" t="s">
        <v>154</v>
      </c>
      <c r="T449" s="13" t="s">
        <v>155</v>
      </c>
      <c r="U449" s="13" t="s">
        <v>125</v>
      </c>
      <c r="V449" s="13">
        <v>43</v>
      </c>
      <c r="W449" s="44">
        <f>IF($AX449="Cancelled","",IFERROR(((V449+INDEX(Variables!$B$6:$D$6,IFERROR(MATCH(IF($B449="Robusta","Robusta",(IF($B449="","Arabica",$B449))&amp;" - "&amp;(IF($C449="","Commercial",$C449))),Variables!$B$1:$D$1,0),1)))*22.0462)*(L449/16.67),""))</f>
        <v>44145.300299940005</v>
      </c>
      <c r="X449" s="55" t="s">
        <v>43</v>
      </c>
      <c r="Y449" s="13" t="str">
        <f>IF($AX449="Cancelled","",IF(X449="","",IFERROR(IF(INDEX(Variables!$B$38:$B$47,MATCH(X449,Variables!$A$38:$A$47,0))="Yes","Yes","No"),"No")))</f>
        <v>Yes</v>
      </c>
      <c r="Z449" s="31">
        <v>45820.875</v>
      </c>
      <c r="AB449" s="31">
        <v>45825.875</v>
      </c>
      <c r="AC449" s="13" t="str">
        <f t="shared" si="18"/>
        <v>Approved</v>
      </c>
      <c r="AF449" s="71">
        <v>45842</v>
      </c>
      <c r="AG449" s="31">
        <f>IF($AX449="Cancelled","",IFERROR(IF(F449="","",F449-Variables!$B$13),""))</f>
        <v>45823</v>
      </c>
      <c r="AH449" s="13">
        <f>IF($AX449="Cancelled","",IFERROR(IF(AB449="","",(AVERAGE(E449:F449)-AB449)-Variables!$B$14),""))</f>
        <v>-32.375</v>
      </c>
      <c r="AJ449" s="47">
        <v>45841</v>
      </c>
      <c r="AK449" s="14">
        <f>IF($AX449="Cancelled","",IFERROR(IF(AJ449="","",IF(AND(AB449="",AF449=""),"",IF(AF449&gt;AB449,AF449+Variables!$B$15+Variables!$B$16+Variables!$B$17-AJ449,AB449+Variables!$B$16+Variables!$B$17-AJ449))),""))</f>
        <v>16</v>
      </c>
      <c r="AL449" s="48" t="s">
        <v>114</v>
      </c>
      <c r="AM449" s="13" t="s">
        <v>141</v>
      </c>
      <c r="AN449" s="13" t="s">
        <v>376</v>
      </c>
      <c r="AP449" s="31">
        <v>45852</v>
      </c>
      <c r="AR449" s="13" t="s">
        <v>3253</v>
      </c>
      <c r="AS449" s="31">
        <v>45857</v>
      </c>
      <c r="AU449" s="31">
        <v>45867</v>
      </c>
      <c r="AV449" s="13" t="s">
        <v>865</v>
      </c>
      <c r="AW449" s="31">
        <v>45867</v>
      </c>
      <c r="AX449" s="13" t="str">
        <f>IF(ISNUMBER(SEARCH("cancel",#REF!)),"Cancelled",IF(AND(AS449&lt;&gt;"",AU449&lt;&gt;"",AW449&lt;&gt;""),"Closed","Open"))</f>
        <v>Closed</v>
      </c>
      <c r="AY449" s="15" t="str">
        <f t="shared" si="19"/>
        <v>All dates received</v>
      </c>
      <c r="BD449" s="13">
        <f>IF($AX449="Cancelled","",IFERROR(IF(OR(AS449="",AJ449=""),"",(AJ449+Variables!$B$18-AS449)),""))</f>
        <v>-1</v>
      </c>
      <c r="BE449" s="13">
        <f>IF($AX449="Cancelled","",IFERROR(IF(OR(AW449="",AS449=""),"",(AS449+Variables!$B$19)-AW449),""))</f>
        <v>-5</v>
      </c>
      <c r="BF449" s="44">
        <f>IF($AX449="Cancelled","",IFERROR(W449*INDEX(Variables!$B$7:$D$7,IFERROR(MATCH(IF($B449="Robusta","Robusta",(IF($B449="","Arabica",$B449))&amp;" - "&amp;(IF($C449="","Commercial",$C449))),Variables!$B$1:$D$1,0),1))*(BE449/365),""))</f>
        <v>-38.994329904120427</v>
      </c>
      <c r="BG449" s="44">
        <f>IF($AX449="Cancelled","",IFERROR((W449*INDEX(Variables!$B$7:$D$7,IFERROR(MATCH(IF($B449="Robusta","Robusta",(IF($B449="","Arabica",$B449))&amp;" - "&amp;(IF($C449="","Commercial",$C449))),Variables!$B$1:$D$1,0),1))*IFERROR(IF(AB449="","",(AVERAGE(E449:F449)-AB449)-Variables!$B$14),"")/365)+(L449/16.67*INDEX(Variables!$B$8:$D$8,IFERROR(MATCH(IF($B449="Robusta","Robusta",(IF($B449="","Arabica",$B449))&amp;" - "&amp;(IF($C449="","Commercial",$C449))),Variables!$B$1:$D$1,0),1))*IFERROR(IF(AB449="","",(AVERAGE(E449:F449)-AB449)-Variables!$B$14),""))+(W449*INDEX(Variables!$B$9:$D$9,IFERROR(MATCH(IF($B449="Robusta","Robusta",(IF($B449="","Arabica",$B449))&amp;" - "&amp;(IF($C449="","Commercial",$C449))),Variables!$B$1:$D$1,0),1))*IFERROR(IF(AB449="","",(AVERAGE(E449:F449)-AB449)-Variables!$B$14),"")/365),""))</f>
        <v>-417.61834740592258</v>
      </c>
      <c r="BH449" s="44">
        <f>IF($AX449="Cancelled","",IFERROR((W449*INDEX(Variables!$B$7:$D$7,IFERROR(MATCH(IF($B449="Robusta","Robusta",(IF($B449="","Arabica",$B449))&amp;" - "&amp;(IF($C449="","Commercial",$C449))),Variables!$B$1:$D$1,0),1))*AK449/365)+(L449/16.67*INDEX(Variables!$B$8:$D$8,IFERROR(MATCH(IF($B449="Robusta","Robusta",(IF($B449="","Arabica",$B449))&amp;" - "&amp;(IF($C449="","Commercial",$C449))),Variables!$B$1:$D$1,0),1))*AK449)+(W449*INDEX(Variables!$B$9:$D$9,IFERROR(MATCH(IF($B449="Robusta","Robusta",(IF($B449="","Arabica",$B449))&amp;" - "&amp;(IF($C449="","Commercial",$C449))),Variables!$B$1:$D$1,0),1))*AK449/365),""))</f>
        <v>206.39053462532084</v>
      </c>
      <c r="BI449" s="44">
        <f>IF($AX449="Cancelled","",IFERROR((W449*INDEX(Variables!$B$7:$D$7,IFERROR(MATCH(IF($B449="Robusta","Robusta",(IF($B449="","Arabica",$B449))&amp;" - "&amp;(IF($C449="","Commercial",$C449))),Variables!$B$1:$D$1,0),1))*BD449/365)+(L449/16.67*INDEX(Variables!$B$8:$D$8,IFERROR(MATCH(IF($B449="Robusta","Robusta",(IF($B449="","Arabica",$B449))&amp;" - "&amp;(IF($C449="","Commercial",$C449))),Variables!$B$1:$D$1,0),1))*BD449)+(W449*INDEX(Variables!$B$9:$D$9,IFERROR(MATCH(IF($B449="Robusta","Robusta",(IF($B449="","Arabica",$B449))&amp;" - "&amp;(IF($C449="","Commercial",$C449))),Variables!$B$1:$D$1,0),1))*BD449/365),""))</f>
        <v>-12.899408414082552</v>
      </c>
      <c r="BJ449" s="44">
        <f t="shared" si="20"/>
        <v>-19</v>
      </c>
      <c r="BK449" s="44">
        <f>IF($AX449="Cancelled","",IFERROR(IF(BJ449="","",(W449*INDEX(Variables!$B$7:$D$7,IFERROR(MATCH(IF($B449="Robusta","Robusta",(IF($B449="","Arabica",$B449))&amp;" - "&amp;(IF($C449="","Commercial",$C449))),Variables!$B$1:$D$1,0),1))*(BJ449/365))+(W449*INDEX(Variables!$B$9:$D$9,IFERROR(MATCH(IF($B449="Robusta","Robusta",(IF($B449="","Arabica",$B449))&amp;" - "&amp;(IF($C449="","Commercial",$C449))),Variables!$B$1:$D$1,0),1))*(BJ449/365))+(INDEX(Variables!$B$8:$D$8,IFERROR(MATCH(IF($B449="Robusta","Robusta",(IF($B449="","Arabica",$B449))&amp;" - "&amp;(IF($C449="","Commercial",$C449))),Variables!$B$1:$D$1,0),1))*L449/16.67)),""))</f>
        <v>-145.08875986756848</v>
      </c>
    </row>
    <row r="450" spans="1:63">
      <c r="A450" s="13" t="s">
        <v>103</v>
      </c>
      <c r="B450" s="13" t="s">
        <v>104</v>
      </c>
      <c r="C450" s="13" t="s">
        <v>105</v>
      </c>
      <c r="D450" s="31">
        <v>45819</v>
      </c>
      <c r="E450" s="31">
        <v>45839</v>
      </c>
      <c r="F450" s="31">
        <v>45900</v>
      </c>
      <c r="G450" s="13">
        <v>3786930</v>
      </c>
      <c r="H450" s="13" t="s">
        <v>1313</v>
      </c>
      <c r="J450" s="13" t="s">
        <v>260</v>
      </c>
      <c r="K450" s="13">
        <v>24179</v>
      </c>
      <c r="L450" s="13">
        <v>320</v>
      </c>
      <c r="M450" s="13">
        <v>1</v>
      </c>
      <c r="N450" s="13" t="s">
        <v>1314</v>
      </c>
      <c r="O450" s="13" t="s">
        <v>1037</v>
      </c>
      <c r="P450" s="13">
        <v>37030</v>
      </c>
      <c r="Q450" s="13" t="s">
        <v>121</v>
      </c>
      <c r="R450" s="13" t="s">
        <v>110</v>
      </c>
      <c r="S450" s="13" t="s">
        <v>406</v>
      </c>
      <c r="T450" s="13" t="s">
        <v>263</v>
      </c>
      <c r="U450" s="13" t="s">
        <v>125</v>
      </c>
      <c r="V450" s="13">
        <v>-7</v>
      </c>
      <c r="W450" s="44">
        <f>IF($AX450="Cancelled","",IFERROR(((V450+INDEX(Variables!$B$6:$D$6,IFERROR(MATCH(IF($B450="Robusta","Robusta",(IF($B450="","Arabica",$B450))&amp;" - "&amp;(IF($C450="","Commercial",$C450))),Variables!$B$1:$D$1,0),1)))*22.0462)*(L450/16.67),""))</f>
        <v>120104.84098380322</v>
      </c>
      <c r="X450" s="55" t="s">
        <v>39</v>
      </c>
      <c r="Y450" s="13" t="str">
        <f>IF($AX450="Cancelled","",IF(X450="","",IFERROR(IF(INDEX(Variables!$B$38:$B$47,MATCH(X450,Variables!$A$38:$A$47,0))="Yes","Yes","No"),"No")))</f>
        <v>No</v>
      </c>
      <c r="Z450" s="31" t="s">
        <v>39</v>
      </c>
      <c r="AB450" s="31" t="s">
        <v>39</v>
      </c>
      <c r="AC450" s="13" t="str">
        <f t="shared" ref="AC450:AC513" si="21">IF($AX450="Cancelled","",IF(ISNUMBER(AB450),"Approved",""))</f>
        <v/>
      </c>
      <c r="AF450" s="71"/>
      <c r="AG450" s="37">
        <f>IF($AX450="Cancelled","",IFERROR(IF(F450="","",F450-Variables!$B$13),""))</f>
        <v>45885</v>
      </c>
      <c r="AH450" s="13" t="str">
        <f>IF($AX450="Cancelled","",IFERROR(IF(AB450="","",(AVERAGE(E450:F450)-AB450)-Variables!$B$14),""))</f>
        <v/>
      </c>
      <c r="AK450" s="14" t="str">
        <f>IF($AX450="Cancelled","",IFERROR(IF(AJ450="","",IF(AND(AB450="",AF450=""),"",IF(AF450&gt;AB450,AF450+Variables!$B$15+Variables!$B$16+Variables!$B$17-AJ450,AB450+Variables!$B$16+Variables!$B$17-AJ450))),""))</f>
        <v/>
      </c>
      <c r="AL450" s="48" t="s">
        <v>114</v>
      </c>
      <c r="AM450" s="13" t="s">
        <v>115</v>
      </c>
      <c r="AN450" s="13" t="s">
        <v>1315</v>
      </c>
      <c r="AP450" s="31">
        <v>45861</v>
      </c>
      <c r="AR450" s="13">
        <v>255454690</v>
      </c>
      <c r="AS450" s="31">
        <v>45861</v>
      </c>
      <c r="AU450" s="31">
        <v>45867</v>
      </c>
      <c r="AV450" s="13" t="s">
        <v>865</v>
      </c>
      <c r="AW450" s="31">
        <v>45883</v>
      </c>
      <c r="AX450" s="13" t="str">
        <f>IF(ISNUMBER(SEARCH("cancel",#REF!)),"Cancelled",IF(AND(AS450&lt;&gt;"",AU450&lt;&gt;"",AW450&lt;&gt;""),"Closed","Open"))</f>
        <v>Closed</v>
      </c>
      <c r="AY450" s="15" t="str">
        <f t="shared" ref="AY450:AY513" si="22">IF($AX450="Cancelled","",IF(AND(AS450&lt;&gt;"",AU450&lt;&gt;"",AW450&lt;&gt;""),"All dates received",_xlfn.TEXTJOIN(" and ",TRUE(),IF(AS450="","No sailing date",""),IF(AU450="","No shipping advice sent",""),IF(AW450="","No docs dispatch date",""))))</f>
        <v>All dates received</v>
      </c>
      <c r="BD450" s="13" t="str">
        <f>IF($AX450="Cancelled","",IFERROR(IF(OR(AS450="",AJ450=""),"",(AJ450+Variables!$B$18-AS450)),""))</f>
        <v/>
      </c>
      <c r="BE450" s="13">
        <f>IF($AX450="Cancelled","",IFERROR(IF(OR(AW450="",AS450=""),"",(AS450+Variables!$B$19)-AW450),""))</f>
        <v>-17</v>
      </c>
      <c r="BF450" s="44">
        <f>IF($AX450="Cancelled","",IFERROR(W450*INDEX(Variables!$B$7:$D$7,IFERROR(MATCH(IF($B450="Robusta","Robusta",(IF($B450="","Arabica",$B450))&amp;" - "&amp;(IF($C450="","Commercial",$C450))),Variables!$B$1:$D$1,0),1))*(BE450/365),""))</f>
        <v>-360.70853264070837</v>
      </c>
      <c r="BG450" s="44" t="str">
        <f>IF($AX450="Cancelled","",IFERROR((W450*INDEX(Variables!$B$7:$D$7,IFERROR(MATCH(IF($B450="Robusta","Robusta",(IF($B450="","Arabica",$B450))&amp;" - "&amp;(IF($C450="","Commercial",$C450))),Variables!$B$1:$D$1,0),1))*IFERROR(IF(AB450="","",(AVERAGE(E450:F450)-AB450)-Variables!$B$14),"")/365)+(L450/16.67*INDEX(Variables!$B$8:$D$8,IFERROR(MATCH(IF($B450="Robusta","Robusta",(IF($B450="","Arabica",$B450))&amp;" - "&amp;(IF($C450="","Commercial",$C450))),Variables!$B$1:$D$1,0),1))*IFERROR(IF(AB450="","",(AVERAGE(E450:F450)-AB450)-Variables!$B$14),""))+(W450*INDEX(Variables!$B$9:$D$9,IFERROR(MATCH(IF($B450="Robusta","Robusta",(IF($B450="","Arabica",$B450))&amp;" - "&amp;(IF($C450="","Commercial",$C450))),Variables!$B$1:$D$1,0),1))*IFERROR(IF(AB450="","",(AVERAGE(E450:F450)-AB450)-Variables!$B$14),"")/365),""))</f>
        <v/>
      </c>
      <c r="BH450" s="44" t="str">
        <f>IF($AX450="Cancelled","",IFERROR((W450*INDEX(Variables!$B$7:$D$7,IFERROR(MATCH(IF($B450="Robusta","Robusta",(IF($B450="","Arabica",$B450))&amp;" - "&amp;(IF($C450="","Commercial",$C450))),Variables!$B$1:$D$1,0),1))*AK450/365)+(L450/16.67*INDEX(Variables!$B$8:$D$8,IFERROR(MATCH(IF($B450="Robusta","Robusta",(IF($B450="","Arabica",$B450))&amp;" - "&amp;(IF($C450="","Commercial",$C450))),Variables!$B$1:$D$1,0),1))*AK450)+(W450*INDEX(Variables!$B$9:$D$9,IFERROR(MATCH(IF($B450="Robusta","Robusta",(IF($B450="","Arabica",$B450))&amp;" - "&amp;(IF($C450="","Commercial",$C450))),Variables!$B$1:$D$1,0),1))*AK450/365),""))</f>
        <v/>
      </c>
      <c r="BI450" s="44" t="str">
        <f>IF($AX450="Cancelled","",IFERROR((W450*INDEX(Variables!$B$7:$D$7,IFERROR(MATCH(IF($B450="Robusta","Robusta",(IF($B450="","Arabica",$B450))&amp;" - "&amp;(IF($C450="","Commercial",$C450))),Variables!$B$1:$D$1,0),1))*BD450/365)+(L450/16.67*INDEX(Variables!$B$8:$D$8,IFERROR(MATCH(IF($B450="Robusta","Robusta",(IF($B450="","Arabica",$B450))&amp;" - "&amp;(IF($C450="","Commercial",$C450))),Variables!$B$1:$D$1,0),1))*BD450)+(W450*INDEX(Variables!$B$9:$D$9,IFERROR(MATCH(IF($B450="Robusta","Robusta",(IF($B450="","Arabica",$B450))&amp;" - "&amp;(IF($C450="","Commercial",$C450))),Variables!$B$1:$D$1,0),1))*BD450/365),""))</f>
        <v/>
      </c>
      <c r="BJ450" s="44">
        <f t="shared" ref="BJ450:BJ513" si="23">IF($AX450="Cancelled","",IFERROR(IF(AS450="","",F450-AS450),""))</f>
        <v>39</v>
      </c>
      <c r="BK450" s="44">
        <f>IF($AX450="Cancelled","",IFERROR(IF(BJ450="","",(W450*INDEX(Variables!$B$7:$D$7,IFERROR(MATCH(IF($B450="Robusta","Robusta",(IF($B450="","Arabica",$B450))&amp;" - "&amp;(IF($C450="","Commercial",$C450))),Variables!$B$1:$D$1,0),1))*(BJ450/365))+(W450*INDEX(Variables!$B$9:$D$9,IFERROR(MATCH(IF($B450="Robusta","Robusta",(IF($B450="","Arabica",$B450))&amp;" - "&amp;(IF($C450="","Commercial",$C450))),Variables!$B$1:$D$1,0),1))*(BJ450/365))+(INDEX(Variables!$B$8:$D$8,IFERROR(MATCH(IF($B450="Robusta","Robusta",(IF($B450="","Arabica",$B450))&amp;" - "&amp;(IF($C450="","Commercial",$C450))),Variables!$B$1:$D$1,0),1))*L450/16.67)),""))</f>
        <v>854.17598282802658</v>
      </c>
    </row>
    <row r="451" spans="1:63">
      <c r="A451" s="13" t="s">
        <v>103</v>
      </c>
      <c r="B451" s="13" t="s">
        <v>104</v>
      </c>
      <c r="C451" s="13" t="s">
        <v>105</v>
      </c>
      <c r="D451" s="31">
        <v>45821</v>
      </c>
      <c r="E451" s="31">
        <v>45821</v>
      </c>
      <c r="F451" s="31">
        <v>45869</v>
      </c>
      <c r="G451" s="13">
        <v>3786931</v>
      </c>
      <c r="H451" s="13">
        <v>45995</v>
      </c>
      <c r="J451" s="13" t="s">
        <v>916</v>
      </c>
      <c r="K451" s="13">
        <v>5306</v>
      </c>
      <c r="L451" s="13">
        <v>320</v>
      </c>
      <c r="M451" s="13">
        <v>1</v>
      </c>
      <c r="N451" s="13" t="s">
        <v>1316</v>
      </c>
      <c r="O451" s="13" t="s">
        <v>456</v>
      </c>
      <c r="P451" s="13">
        <v>10140</v>
      </c>
      <c r="R451" s="13" t="s">
        <v>110</v>
      </c>
      <c r="S451" s="13" t="s">
        <v>918</v>
      </c>
      <c r="T451" s="13" t="s">
        <v>124</v>
      </c>
      <c r="U451" s="13" t="s">
        <v>125</v>
      </c>
      <c r="V451" s="13">
        <v>-48</v>
      </c>
      <c r="W451" s="44">
        <f>IF($AX451="Cancelled","",IFERROR(((V451+INDEX(Variables!$B$6:$D$6,IFERROR(MATCH(IF($B451="Robusta","Robusta",(IF($B451="","Arabica",$B451))&amp;" - "&amp;(IF($C451="","Commercial",$C451))),Variables!$B$1:$D$1,0),1)))*22.0462)*(L451/16.67),""))</f>
        <v>102753.54260347929</v>
      </c>
      <c r="X451" s="55" t="s">
        <v>37</v>
      </c>
      <c r="Y451" s="13" t="str">
        <f>IF($AX451="Cancelled","",IF(X451="","",IFERROR(IF(INDEX(Variables!$B$38:$B$47,MATCH(X451,Variables!$A$38:$A$47,0))="Yes","Yes","No"),"No")))</f>
        <v>Yes</v>
      </c>
      <c r="Z451" s="58">
        <v>45826</v>
      </c>
      <c r="AB451" s="31">
        <v>45832</v>
      </c>
      <c r="AC451" s="13" t="str">
        <f t="shared" si="21"/>
        <v>Approved</v>
      </c>
      <c r="AF451" s="71">
        <v>45842</v>
      </c>
      <c r="AG451" s="37">
        <f>IF($AX451="Cancelled","",IFERROR(IF(F451="","",F451-Variables!$B$13),""))</f>
        <v>45854</v>
      </c>
      <c r="AH451" s="13">
        <f>IF($AX451="Cancelled","",IFERROR(IF(AB451="","",(AVERAGE(E451:F451)-AB451)-Variables!$B$14),""))</f>
        <v>-17</v>
      </c>
      <c r="AJ451" s="47">
        <v>45839</v>
      </c>
      <c r="AK451" s="14">
        <f>IF($AX451="Cancelled","",IFERROR(IF(AJ451="","",IF(AND(AB451="",AF451=""),"",IF(AF451&gt;AB451,AF451+Variables!$B$15+Variables!$B$16+Variables!$B$17-AJ451,AB451+Variables!$B$16+Variables!$B$17-AJ451))),""))</f>
        <v>18</v>
      </c>
      <c r="AL451" s="48" t="s">
        <v>114</v>
      </c>
      <c r="AM451" s="13" t="s">
        <v>141</v>
      </c>
      <c r="AN451" s="13" t="s">
        <v>376</v>
      </c>
      <c r="AP451" s="31">
        <v>45857</v>
      </c>
      <c r="AR451" s="13" t="s">
        <v>1317</v>
      </c>
      <c r="AS451" s="31">
        <v>45857</v>
      </c>
      <c r="AU451" s="31">
        <v>45867</v>
      </c>
      <c r="AV451" s="13" t="s">
        <v>1318</v>
      </c>
      <c r="AW451" s="31">
        <v>45867</v>
      </c>
      <c r="AX451" s="13" t="str">
        <f>IF(ISNUMBER(SEARCH("cancel",#REF!)),"Cancelled",IF(AND(AS451&lt;&gt;"",AU451&lt;&gt;"",AW451&lt;&gt;""),"Closed","Open"))</f>
        <v>Closed</v>
      </c>
      <c r="AY451" s="15" t="str">
        <f t="shared" si="22"/>
        <v>All dates received</v>
      </c>
      <c r="BD451" s="13">
        <f>IF($AX451="Cancelled","",IFERROR(IF(OR(AS451="",AJ451=""),"",(AJ451+Variables!$B$18-AS451)),""))</f>
        <v>-3</v>
      </c>
      <c r="BE451" s="13">
        <f>IF($AX451="Cancelled","",IFERROR(IF(OR(AW451="",AS451=""),"",(AS451+Variables!$B$19)-AW451),""))</f>
        <v>-5</v>
      </c>
      <c r="BF451" s="44">
        <f>IF($AX451="Cancelled","",IFERROR(W451*INDEX(Variables!$B$7:$D$7,IFERROR(MATCH(IF($B451="Robusta","Robusta",(IF($B451="","Arabica",$B451))&amp;" - "&amp;(IF($C451="","Commercial",$C451))),Variables!$B$1:$D$1,0),1))*(BE451/365),""))</f>
        <v>-90.764034039261261</v>
      </c>
      <c r="BG451" s="44">
        <f>IF($AX451="Cancelled","",IFERROR((W451*INDEX(Variables!$B$7:$D$7,IFERROR(MATCH(IF($B451="Robusta","Robusta",(IF($B451="","Arabica",$B451))&amp;" - "&amp;(IF($C451="","Commercial",$C451))),Variables!$B$1:$D$1,0),1))*IFERROR(IF(AB451="","",(AVERAGE(E451:F451)-AB451)-Variables!$B$14),"")/365)+(L451/16.67*INDEX(Variables!$B$8:$D$8,IFERROR(MATCH(IF($B451="Robusta","Robusta",(IF($B451="","Arabica",$B451))&amp;" - "&amp;(IF($C451="","Commercial",$C451))),Variables!$B$1:$D$1,0),1))*IFERROR(IF(AB451="","",(AVERAGE(E451:F451)-AB451)-Variables!$B$14),""))+(W451*INDEX(Variables!$B$9:$D$9,IFERROR(MATCH(IF($B451="Robusta","Robusta",(IF($B451="","Arabica",$B451))&amp;" - "&amp;(IF($C451="","Commercial",$C451))),Variables!$B$1:$D$1,0),1))*IFERROR(IF(AB451="","",(AVERAGE(E451:F451)-AB451)-Variables!$B$14),"")/365),""))</f>
        <v>-584.57613584150647</v>
      </c>
      <c r="BH451" s="44">
        <f>IF($AX451="Cancelled","",IFERROR((W451*INDEX(Variables!$B$7:$D$7,IFERROR(MATCH(IF($B451="Robusta","Robusta",(IF($B451="","Arabica",$B451))&amp;" - "&amp;(IF($C451="","Commercial",$C451))),Variables!$B$1:$D$1,0),1))*AK451/365)+(L451/16.67*INDEX(Variables!$B$8:$D$8,IFERROR(MATCH(IF($B451="Robusta","Robusta",(IF($B451="","Arabica",$B451))&amp;" - "&amp;(IF($C451="","Commercial",$C451))),Variables!$B$1:$D$1,0),1))*AK451)+(W451*INDEX(Variables!$B$9:$D$9,IFERROR(MATCH(IF($B451="Robusta","Robusta",(IF($B451="","Arabica",$B451))&amp;" - "&amp;(IF($C451="","Commercial",$C451))),Variables!$B$1:$D$1,0),1))*AK451/365),""))</f>
        <v>618.96296736159513</v>
      </c>
      <c r="BI451" s="44">
        <f>IF($AX451="Cancelled","",IFERROR((W451*INDEX(Variables!$B$7:$D$7,IFERROR(MATCH(IF($B451="Robusta","Robusta",(IF($B451="","Arabica",$B451))&amp;" - "&amp;(IF($C451="","Commercial",$C451))),Variables!$B$1:$D$1,0),1))*BD451/365)+(L451/16.67*INDEX(Variables!$B$8:$D$8,IFERROR(MATCH(IF($B451="Robusta","Robusta",(IF($B451="","Arabica",$B451))&amp;" - "&amp;(IF($C451="","Commercial",$C451))),Variables!$B$1:$D$1,0),1))*BD451)+(W451*INDEX(Variables!$B$9:$D$9,IFERROR(MATCH(IF($B451="Robusta","Robusta",(IF($B451="","Arabica",$B451))&amp;" - "&amp;(IF($C451="","Commercial",$C451))),Variables!$B$1:$D$1,0),1))*BD451/365),""))</f>
        <v>-103.16049456026585</v>
      </c>
      <c r="BJ451" s="44">
        <f t="shared" si="23"/>
        <v>12</v>
      </c>
      <c r="BK451" s="44">
        <f>IF($AX451="Cancelled","",IFERROR(IF(BJ451="","",(W451*INDEX(Variables!$B$7:$D$7,IFERROR(MATCH(IF($B451="Robusta","Robusta",(IF($B451="","Arabica",$B451))&amp;" - "&amp;(IF($C451="","Commercial",$C451))),Variables!$B$1:$D$1,0),1))*(BJ451/365))+(W451*INDEX(Variables!$B$9:$D$9,IFERROR(MATCH(IF($B451="Robusta","Robusta",(IF($B451="","Arabica",$B451))&amp;" - "&amp;(IF($C451="","Commercial",$C451))),Variables!$B$1:$D$1,0),1))*(BJ451/365))+(INDEX(Variables!$B$8:$D$8,IFERROR(MATCH(IF($B451="Robusta","Robusta",(IF($B451="","Arabica",$B451))&amp;" - "&amp;(IF($C451="","Commercial",$C451))),Variables!$B$1:$D$1,0),1))*L451/16.67)),""))</f>
        <v>236.64197824106336</v>
      </c>
    </row>
    <row r="452" spans="1:63">
      <c r="A452" s="13" t="s">
        <v>103</v>
      </c>
      <c r="B452" s="13" t="s">
        <v>104</v>
      </c>
      <c r="C452" s="13" t="s">
        <v>105</v>
      </c>
      <c r="D452" s="31">
        <v>45821</v>
      </c>
      <c r="E452" s="31">
        <v>45901</v>
      </c>
      <c r="F452" s="31">
        <v>45930</v>
      </c>
      <c r="G452" s="13">
        <v>3786932</v>
      </c>
      <c r="H452" s="13">
        <v>45996</v>
      </c>
      <c r="J452" s="13" t="s">
        <v>916</v>
      </c>
      <c r="K452" s="13">
        <v>5322</v>
      </c>
      <c r="L452" s="13">
        <v>640</v>
      </c>
      <c r="M452" s="13">
        <v>2</v>
      </c>
      <c r="N452" s="13" t="s">
        <v>1319</v>
      </c>
      <c r="O452" s="13" t="s">
        <v>456</v>
      </c>
      <c r="P452" s="13">
        <v>10140</v>
      </c>
      <c r="Q452" s="13" t="s">
        <v>121</v>
      </c>
      <c r="R452" s="13" t="s">
        <v>110</v>
      </c>
      <c r="S452" s="13" t="s">
        <v>918</v>
      </c>
      <c r="T452" s="13" t="s">
        <v>124</v>
      </c>
      <c r="U452" s="13" t="s">
        <v>125</v>
      </c>
      <c r="V452" s="13">
        <v>-45</v>
      </c>
      <c r="W452" s="44">
        <f>IF($AX452="Cancelled","",IFERROR(((V452+INDEX(Variables!$B$6:$D$6,IFERROR(MATCH(IF($B452="Robusta","Robusta",(IF($B452="","Arabica",$B452))&amp;" - "&amp;(IF($C452="","Commercial",$C452))),Variables!$B$1:$D$1,0),1)))*22.0462)*(L452/16.67),""))</f>
        <v>208046.29960407916</v>
      </c>
      <c r="X452" s="55" t="s">
        <v>37</v>
      </c>
      <c r="Y452" s="13" t="str">
        <f>IF($AX452="Cancelled","",IF(X452="","",IFERROR(IF(INDEX(Variables!$B$38:$B$47,MATCH(X452,Variables!$A$38:$A$47,0))="Yes","Yes","No"),"No")))</f>
        <v>Yes</v>
      </c>
      <c r="Z452" s="58">
        <v>45862</v>
      </c>
      <c r="AB452" s="31">
        <v>45868</v>
      </c>
      <c r="AC452" s="13" t="str">
        <f t="shared" si="21"/>
        <v>Approved</v>
      </c>
      <c r="AF452" s="71">
        <v>45889</v>
      </c>
      <c r="AG452" s="37">
        <f>IF($AX452="Cancelled","",IFERROR(IF(F452="","",F452-Variables!$B$13),""))</f>
        <v>45915</v>
      </c>
      <c r="AH452" s="13">
        <f>IF($AX452="Cancelled","",IFERROR(IF(AB452="","",(AVERAGE(E452:F452)-AB452)-Variables!$B$14),""))</f>
        <v>17.5</v>
      </c>
      <c r="AJ452" s="47">
        <v>45888</v>
      </c>
      <c r="AK452" s="14">
        <f>IF($AX452="Cancelled","",IFERROR(IF(AJ452="","",IF(AND(AB452="",AF452=""),"",IF(AF452&gt;AB452,AF452+Variables!$B$15+Variables!$B$16+Variables!$B$17-AJ452,AB452+Variables!$B$16+Variables!$B$17-AJ452))),""))</f>
        <v>16</v>
      </c>
      <c r="AL452" s="48" t="s">
        <v>114</v>
      </c>
      <c r="AM452" s="13" t="s">
        <v>168</v>
      </c>
      <c r="AN452" s="13" t="s">
        <v>408</v>
      </c>
      <c r="AP452" s="31">
        <v>45900</v>
      </c>
      <c r="AR452" s="13" t="s">
        <v>1320</v>
      </c>
      <c r="AS452" s="31">
        <v>45900</v>
      </c>
      <c r="AU452" s="31">
        <v>45903</v>
      </c>
      <c r="AV452" s="13" t="s">
        <v>1321</v>
      </c>
      <c r="AW452" s="31">
        <v>45905</v>
      </c>
      <c r="AX452" s="13" t="str">
        <f>IF(ISNUMBER(SEARCH("cancel",#REF!)),"Cancelled",IF(AND(AS452&lt;&gt;"",AU452&lt;&gt;"",AW452&lt;&gt;""),"Closed","Open"))</f>
        <v>Closed</v>
      </c>
      <c r="AY452" s="15" t="str">
        <f t="shared" si="22"/>
        <v>All dates received</v>
      </c>
      <c r="BD452" s="13">
        <f>IF($AX452="Cancelled","",IFERROR(IF(OR(AS452="",AJ452=""),"",(AJ452+Variables!$B$18-AS452)),""))</f>
        <v>3</v>
      </c>
      <c r="BE452" s="13">
        <f>IF($AX452="Cancelled","",IFERROR(IF(OR(AW452="",AS452=""),"",(AS452+Variables!$B$19)-AW452),""))</f>
        <v>0</v>
      </c>
      <c r="BF452" s="44">
        <f>IF($AX452="Cancelled","",IFERROR(W452*INDEX(Variables!$B$7:$D$7,IFERROR(MATCH(IF($B452="Robusta","Robusta",(IF($B452="","Arabica",$B452))&amp;" - "&amp;(IF($C452="","Commercial",$C452))),Variables!$B$1:$D$1,0),1))*(BE452/365),""))</f>
        <v>0</v>
      </c>
      <c r="BG452" s="44">
        <f>IF($AX452="Cancelled","",IFERROR((W452*INDEX(Variables!$B$7:$D$7,IFERROR(MATCH(IF($B452="Robusta","Robusta",(IF($B452="","Arabica",$B452))&amp;" - "&amp;(IF($C452="","Commercial",$C452))),Variables!$B$1:$D$1,0),1))*IFERROR(IF(AB452="","",(AVERAGE(E452:F452)-AB452)-Variables!$B$14),"")/365)+(L452/16.67*INDEX(Variables!$B$8:$D$8,IFERROR(MATCH(IF($B452="Robusta","Robusta",(IF($B452="","Arabica",$B452))&amp;" - "&amp;(IF($C452="","Commercial",$C452))),Variables!$B$1:$D$1,0),1))*IFERROR(IF(AB452="","",(AVERAGE(E452:F452)-AB452)-Variables!$B$14),""))+(W452*INDEX(Variables!$B$9:$D$9,IFERROR(MATCH(IF($B452="Robusta","Robusta",(IF($B452="","Arabica",$B452))&amp;" - "&amp;(IF($C452="","Commercial",$C452))),Variables!$B$1:$D$1,0),1))*IFERROR(IF(AB452="","",(AVERAGE(E452:F452)-AB452)-Variables!$B$14),"")/365),""))</f>
        <v>1211.490574824227</v>
      </c>
      <c r="BH452" s="44">
        <f>IF($AX452="Cancelled","",IFERROR((W452*INDEX(Variables!$B$7:$D$7,IFERROR(MATCH(IF($B452="Robusta","Robusta",(IF($B452="","Arabica",$B452))&amp;" - "&amp;(IF($C452="","Commercial",$C452))),Variables!$B$1:$D$1,0),1))*AK452/365)+(L452/16.67*INDEX(Variables!$B$8:$D$8,IFERROR(MATCH(IF($B452="Robusta","Robusta",(IF($B452="","Arabica",$B452))&amp;" - "&amp;(IF($C452="","Commercial",$C452))),Variables!$B$1:$D$1,0),1))*AK452)+(W452*INDEX(Variables!$B$9:$D$9,IFERROR(MATCH(IF($B452="Robusta","Robusta",(IF($B452="","Arabica",$B452))&amp;" - "&amp;(IF($C452="","Commercial",$C452))),Variables!$B$1:$D$1,0),1))*AK452/365),""))</f>
        <v>1107.6485255535792</v>
      </c>
      <c r="BI452" s="44">
        <f>IF($AX452="Cancelled","",IFERROR((W452*INDEX(Variables!$B$7:$D$7,IFERROR(MATCH(IF($B452="Robusta","Robusta",(IF($B452="","Arabica",$B452))&amp;" - "&amp;(IF($C452="","Commercial",$C452))),Variables!$B$1:$D$1,0),1))*BD452/365)+(L452/16.67*INDEX(Variables!$B$8:$D$8,IFERROR(MATCH(IF($B452="Robusta","Robusta",(IF($B452="","Arabica",$B452))&amp;" - "&amp;(IF($C452="","Commercial",$C452))),Variables!$B$1:$D$1,0),1))*BD452)+(W452*INDEX(Variables!$B$9:$D$9,IFERROR(MATCH(IF($B452="Robusta","Robusta",(IF($B452="","Arabica",$B452))&amp;" - "&amp;(IF($C452="","Commercial",$C452))),Variables!$B$1:$D$1,0),1))*BD452/365),""))</f>
        <v>207.68409854129612</v>
      </c>
      <c r="BJ452" s="44">
        <f t="shared" si="23"/>
        <v>30</v>
      </c>
      <c r="BK452" s="44">
        <f>IF($AX452="Cancelled","",IFERROR(IF(BJ452="","",(W452*INDEX(Variables!$B$7:$D$7,IFERROR(MATCH(IF($B452="Robusta","Robusta",(IF($B452="","Arabica",$B452))&amp;" - "&amp;(IF($C452="","Commercial",$C452))),Variables!$B$1:$D$1,0),1))*(BJ452/365))+(W452*INDEX(Variables!$B$9:$D$9,IFERROR(MATCH(IF($B452="Robusta","Robusta",(IF($B452="","Arabica",$B452))&amp;" - "&amp;(IF($C452="","Commercial",$C452))),Variables!$B$1:$D$1,0),1))*(BJ452/365))+(INDEX(Variables!$B$8:$D$8,IFERROR(MATCH(IF($B452="Robusta","Robusta",(IF($B452="","Arabica",$B452))&amp;" - "&amp;(IF($C452="","Commercial",$C452))),Variables!$B$1:$D$1,0),1))*L452/16.67)),""))</f>
        <v>1148.8409854129611</v>
      </c>
    </row>
    <row r="453" spans="1:63">
      <c r="A453" s="13" t="s">
        <v>103</v>
      </c>
      <c r="B453" s="13" t="s">
        <v>104</v>
      </c>
      <c r="C453" s="13" t="s">
        <v>105</v>
      </c>
      <c r="D453" s="31">
        <v>45824</v>
      </c>
      <c r="E453" s="31">
        <v>45931</v>
      </c>
      <c r="F453" s="31">
        <v>45961</v>
      </c>
      <c r="G453" s="13">
        <v>3786933</v>
      </c>
      <c r="H453" s="13" t="s">
        <v>1322</v>
      </c>
      <c r="J453" s="13" t="s">
        <v>1131</v>
      </c>
      <c r="K453" s="13">
        <v>5336</v>
      </c>
      <c r="L453" s="13">
        <v>320</v>
      </c>
      <c r="M453" s="13">
        <v>1</v>
      </c>
      <c r="N453" s="13" t="s">
        <v>1323</v>
      </c>
      <c r="O453" s="13" t="s">
        <v>261</v>
      </c>
      <c r="P453" s="13">
        <v>10060</v>
      </c>
      <c r="R453" s="13" t="s">
        <v>239</v>
      </c>
      <c r="S453" s="13" t="s">
        <v>180</v>
      </c>
      <c r="T453" s="13" t="s">
        <v>253</v>
      </c>
      <c r="U453" s="13" t="s">
        <v>182</v>
      </c>
      <c r="V453" s="13">
        <v>45</v>
      </c>
      <c r="W453" s="44">
        <f>IF($AX453="Cancelled","",IFERROR(((V453+INDEX(Variables!$B$6:$D$6,IFERROR(MATCH(IF($B453="Robusta","Robusta",(IF($B453="","Arabica",$B453))&amp;" - "&amp;(IF($C453="","Commercial",$C453))),Variables!$B$1:$D$1,0),1)))*22.0462)*(L453/16.67),""))</f>
        <v>142111.3657588482</v>
      </c>
      <c r="X453" s="55" t="s">
        <v>37</v>
      </c>
      <c r="Y453" s="13" t="str">
        <f>IF($AX453="Cancelled","",IF(X453="","",IFERROR(IF(INDEX(Variables!$B$38:$B$47,MATCH(X453,Variables!$A$38:$A$47,0))="Yes","Yes","No"),"No")))</f>
        <v>Yes</v>
      </c>
      <c r="Z453" s="58">
        <v>45904</v>
      </c>
      <c r="AB453" s="31">
        <v>45916</v>
      </c>
      <c r="AC453" s="13" t="str">
        <f t="shared" si="21"/>
        <v>Approved</v>
      </c>
      <c r="AF453" s="71">
        <v>45939</v>
      </c>
      <c r="AG453" s="37">
        <f>IF($AX453="Cancelled","",IFERROR(IF(F453="","",F453-Variables!$B$13),""))</f>
        <v>45946</v>
      </c>
      <c r="AH453" s="13">
        <f>IF($AX453="Cancelled","",IFERROR(IF(AB453="","",(AVERAGE(E453:F453)-AB453)-Variables!$B$14),""))</f>
        <v>0</v>
      </c>
      <c r="AJ453" s="47">
        <v>45938</v>
      </c>
      <c r="AK453" s="14">
        <f>IF($AX453="Cancelled","",IFERROR(IF(AJ453="","",IF(AND(AB453="",AF453=""),"",IF(AF453&gt;AB453,AF453+Variables!$B$15+Variables!$B$16+Variables!$B$17-AJ453,AB453+Variables!$B$16+Variables!$B$17-AJ453))),""))</f>
        <v>16</v>
      </c>
      <c r="AL453" s="48" t="s">
        <v>114</v>
      </c>
      <c r="AM453" s="13" t="s">
        <v>188</v>
      </c>
      <c r="AN453" s="13" t="s">
        <v>195</v>
      </c>
      <c r="AP453" s="31">
        <v>45951</v>
      </c>
      <c r="AR453" s="13" t="s">
        <v>1324</v>
      </c>
      <c r="AS453" s="31">
        <v>45951</v>
      </c>
      <c r="AU453" s="31">
        <v>45954</v>
      </c>
      <c r="AV453" s="13" t="s">
        <v>865</v>
      </c>
      <c r="AW453" s="31">
        <v>45959</v>
      </c>
      <c r="AX453" s="13" t="str">
        <f>IF(ISNUMBER(SEARCH("cancel",#REF!)),"Cancelled",IF(AND(AS453&lt;&gt;"",AU453&lt;&gt;"",AW453&lt;&gt;""),"Closed","Open"))</f>
        <v>Closed</v>
      </c>
      <c r="AY453" s="15" t="str">
        <f t="shared" si="22"/>
        <v>All dates received</v>
      </c>
      <c r="BD453" s="13">
        <f>IF($AX453="Cancelled","",IFERROR(IF(OR(AS453="",AJ453=""),"",(AJ453+Variables!$B$18-AS453)),""))</f>
        <v>2</v>
      </c>
      <c r="BE453" s="13">
        <f>IF($AX453="Cancelled","",IFERROR(IF(OR(AW453="",AS453=""),"",(AS453+Variables!$B$19)-AW453),""))</f>
        <v>-3</v>
      </c>
      <c r="BF453" s="44">
        <f>IF($AX453="Cancelled","",IFERROR(W453*INDEX(Variables!$B$7:$D$7,IFERROR(MATCH(IF($B453="Robusta","Robusta",(IF($B453="","Arabica",$B453))&amp;" - "&amp;(IF($C453="","Commercial",$C453))),Variables!$B$1:$D$1,0),1))*(BE453/365),""))</f>
        <v>-75.317700075083835</v>
      </c>
      <c r="BG453" s="44">
        <f>IF($AX453="Cancelled","",IFERROR((W453*INDEX(Variables!$B$7:$D$7,IFERROR(MATCH(IF($B453="Robusta","Robusta",(IF($B453="","Arabica",$B453))&amp;" - "&amp;(IF($C453="","Commercial",$C453))),Variables!$B$1:$D$1,0),1))*IFERROR(IF(AB453="","",(AVERAGE(E453:F453)-AB453)-Variables!$B$14),"")/365)+(L453/16.67*INDEX(Variables!$B$8:$D$8,IFERROR(MATCH(IF($B453="Robusta","Robusta",(IF($B453="","Arabica",$B453))&amp;" - "&amp;(IF($C453="","Commercial",$C453))),Variables!$B$1:$D$1,0),1))*IFERROR(IF(AB453="","",(AVERAGE(E453:F453)-AB453)-Variables!$B$14),""))+(W453*INDEX(Variables!$B$9:$D$9,IFERROR(MATCH(IF($B453="Robusta","Robusta",(IF($B453="","Arabica",$B453))&amp;" - "&amp;(IF($C453="","Commercial",$C453))),Variables!$B$1:$D$1,0),1))*IFERROR(IF(AB453="","",(AVERAGE(E453:F453)-AB453)-Variables!$B$14),"")/365),""))</f>
        <v>0</v>
      </c>
      <c r="BH453" s="44">
        <f>IF($AX453="Cancelled","",IFERROR((W453*INDEX(Variables!$B$7:$D$7,IFERROR(MATCH(IF($B453="Robusta","Robusta",(IF($B453="","Arabica",$B453))&amp;" - "&amp;(IF($C453="","Commercial",$C453))),Variables!$B$1:$D$1,0),1))*AK453/365)+(L453/16.67*INDEX(Variables!$B$8:$D$8,IFERROR(MATCH(IF($B453="Robusta","Robusta",(IF($B453="","Arabica",$B453))&amp;" - "&amp;(IF($C453="","Commercial",$C453))),Variables!$B$1:$D$1,0),1))*AK453)+(W453*INDEX(Variables!$B$9:$D$9,IFERROR(MATCH(IF($B453="Robusta","Robusta",(IF($B453="","Arabica",$B453))&amp;" - "&amp;(IF($C453="","Commercial",$C453))),Variables!$B$1:$D$1,0),1))*AK453/365),""))</f>
        <v>662.87301643794115</v>
      </c>
      <c r="BI453" s="44">
        <f>IF($AX453="Cancelled","",IFERROR((W453*INDEX(Variables!$B$7:$D$7,IFERROR(MATCH(IF($B453="Robusta","Robusta",(IF($B453="","Arabica",$B453))&amp;" - "&amp;(IF($C453="","Commercial",$C453))),Variables!$B$1:$D$1,0),1))*BD453/365)+(L453/16.67*INDEX(Variables!$B$8:$D$8,IFERROR(MATCH(IF($B453="Robusta","Robusta",(IF($B453="","Arabica",$B453))&amp;" - "&amp;(IF($C453="","Commercial",$C453))),Variables!$B$1:$D$1,0),1))*BD453)+(W453*INDEX(Variables!$B$9:$D$9,IFERROR(MATCH(IF($B453="Robusta","Robusta",(IF($B453="","Arabica",$B453))&amp;" - "&amp;(IF($C453="","Commercial",$C453))),Variables!$B$1:$D$1,0),1))*BD453/365),""))</f>
        <v>82.859127054742643</v>
      </c>
      <c r="BJ453" s="44">
        <f t="shared" si="23"/>
        <v>10</v>
      </c>
      <c r="BK453" s="44">
        <f>IF($AX453="Cancelled","",IFERROR(IF(BJ453="","",(W453*INDEX(Variables!$B$7:$D$7,IFERROR(MATCH(IF($B453="Robusta","Robusta",(IF($B453="","Arabica",$B453))&amp;" - "&amp;(IF($C453="","Commercial",$C453))),Variables!$B$1:$D$1,0),1))*(BJ453/365))+(W453*INDEX(Variables!$B$9:$D$9,IFERROR(MATCH(IF($B453="Robusta","Robusta",(IF($B453="","Arabica",$B453))&amp;" - "&amp;(IF($C453="","Commercial",$C453))),Variables!$B$1:$D$1,0),1))*(BJ453/365))+(INDEX(Variables!$B$8:$D$8,IFERROR(MATCH(IF($B453="Robusta","Robusta",(IF($B453="","Arabica",$B453))&amp;" - "&amp;(IF($C453="","Commercial",$C453))),Variables!$B$1:$D$1,0),1))*L453/16.67)),""))</f>
        <v>270.29563527371317</v>
      </c>
    </row>
    <row r="454" spans="1:63">
      <c r="A454" s="13" t="s">
        <v>103</v>
      </c>
      <c r="B454" s="13" t="s">
        <v>104</v>
      </c>
      <c r="C454" s="13" t="s">
        <v>105</v>
      </c>
      <c r="D454" s="31">
        <v>45828</v>
      </c>
      <c r="E454" s="31">
        <v>45870</v>
      </c>
      <c r="F454" s="31">
        <v>45900</v>
      </c>
      <c r="G454" s="13">
        <v>3786934</v>
      </c>
      <c r="H454" s="13">
        <v>46023</v>
      </c>
      <c r="J454" s="13" t="s">
        <v>916</v>
      </c>
      <c r="K454" s="13">
        <v>5309</v>
      </c>
      <c r="L454" s="13">
        <v>320</v>
      </c>
      <c r="M454" s="13">
        <v>1</v>
      </c>
      <c r="N454" s="13" t="s">
        <v>1325</v>
      </c>
      <c r="O454" s="13" t="s">
        <v>261</v>
      </c>
      <c r="P454" s="13">
        <v>10060</v>
      </c>
      <c r="R454" s="13" t="s">
        <v>110</v>
      </c>
      <c r="S454" s="13" t="s">
        <v>918</v>
      </c>
      <c r="T454" s="13" t="s">
        <v>124</v>
      </c>
      <c r="U454" s="13" t="s">
        <v>125</v>
      </c>
      <c r="V454" s="13">
        <v>40</v>
      </c>
      <c r="W454" s="44">
        <f>IF($AX454="Cancelled","",IFERROR(((V454+INDEX(Variables!$B$6:$D$6,IFERROR(MATCH(IF($B454="Robusta","Robusta",(IF($B454="","Arabica",$B454))&amp;" - "&amp;(IF($C454="","Commercial",$C454))),Variables!$B$1:$D$1,0),1)))*22.0462)*(L454/16.67),""))</f>
        <v>139995.35376124774</v>
      </c>
      <c r="X454" s="55" t="s">
        <v>37</v>
      </c>
      <c r="Y454" s="13" t="str">
        <f>IF($AX454="Cancelled","",IF(X454="","",IFERROR(IF(INDEX(Variables!$B$38:$B$47,MATCH(X454,Variables!$A$38:$A$47,0))="Yes","Yes","No"),"No")))</f>
        <v>Yes</v>
      </c>
      <c r="Z454" s="58">
        <v>45848</v>
      </c>
      <c r="AB454" s="31">
        <v>45854</v>
      </c>
      <c r="AC454" s="13" t="str">
        <f t="shared" si="21"/>
        <v>Approved</v>
      </c>
      <c r="AF454" s="71">
        <v>45888</v>
      </c>
      <c r="AG454" s="37">
        <f>IF($AX454="Cancelled","",IFERROR(IF(F454="","",F454-Variables!$B$13),""))</f>
        <v>45885</v>
      </c>
      <c r="AH454" s="13">
        <f>IF($AX454="Cancelled","",IFERROR(IF(AB454="","",(AVERAGE(E454:F454)-AB454)-Variables!$B$14),""))</f>
        <v>1</v>
      </c>
      <c r="AJ454" s="47">
        <v>45888</v>
      </c>
      <c r="AK454" s="14">
        <f>IF($AX454="Cancelled","",IFERROR(IF(AJ454="","",IF(AND(AB454="",AF454=""),"",IF(AF454&gt;AB454,AF454+Variables!$B$15+Variables!$B$16+Variables!$B$17-AJ454,AB454+Variables!$B$16+Variables!$B$17-AJ454))),""))</f>
        <v>15</v>
      </c>
      <c r="AL454" s="48" t="s">
        <v>114</v>
      </c>
      <c r="AM454" s="13" t="s">
        <v>168</v>
      </c>
      <c r="AN454" s="13" t="s">
        <v>408</v>
      </c>
      <c r="AP454" s="31">
        <v>45900</v>
      </c>
      <c r="AR454" s="13" t="s">
        <v>1326</v>
      </c>
      <c r="AS454" s="31">
        <v>45900</v>
      </c>
      <c r="AU454" s="31">
        <v>45903</v>
      </c>
      <c r="AV454" s="13" t="s">
        <v>1321</v>
      </c>
      <c r="AW454" s="31">
        <v>45905</v>
      </c>
      <c r="AX454" s="13" t="str">
        <f>IF(ISNUMBER(SEARCH("cancel",#REF!)),"Cancelled",IF(AND(AS454&lt;&gt;"",AU454&lt;&gt;"",AW454&lt;&gt;""),"Closed","Open"))</f>
        <v>Closed</v>
      </c>
      <c r="AY454" s="15" t="str">
        <f t="shared" si="22"/>
        <v>All dates received</v>
      </c>
      <c r="BD454" s="13">
        <f>IF($AX454="Cancelled","",IFERROR(IF(OR(AS454="",AJ454=""),"",(AJ454+Variables!$B$18-AS454)),""))</f>
        <v>3</v>
      </c>
      <c r="BE454" s="13">
        <f>IF($AX454="Cancelled","",IFERROR(IF(OR(AW454="",AS454=""),"",(AS454+Variables!$B$19)-AW454),""))</f>
        <v>0</v>
      </c>
      <c r="BF454" s="44">
        <f>IF($AX454="Cancelled","",IFERROR(W454*INDEX(Variables!$B$7:$D$7,IFERROR(MATCH(IF($B454="Robusta","Robusta",(IF($B454="","Arabica",$B454))&amp;" - "&amp;(IF($C454="","Commercial",$C454))),Variables!$B$1:$D$1,0),1))*(BE454/365),""))</f>
        <v>0</v>
      </c>
      <c r="BG454" s="44">
        <f>IF($AX454="Cancelled","",IFERROR((W454*INDEX(Variables!$B$7:$D$7,IFERROR(MATCH(IF($B454="Robusta","Robusta",(IF($B454="","Arabica",$B454))&amp;" - "&amp;(IF($C454="","Commercial",$C454))),Variables!$B$1:$D$1,0),1))*IFERROR(IF(AB454="","",(AVERAGE(E454:F454)-AB454)-Variables!$B$14),"")/365)+(L454/16.67*INDEX(Variables!$B$8:$D$8,IFERROR(MATCH(IF($B454="Robusta","Robusta",(IF($B454="","Arabica",$B454))&amp;" - "&amp;(IF($C454="","Commercial",$C454))),Variables!$B$1:$D$1,0),1))*IFERROR(IF(AB454="","",(AVERAGE(E454:F454)-AB454)-Variables!$B$14),""))+(W454*INDEX(Variables!$B$9:$D$9,IFERROR(MATCH(IF($B454="Robusta","Robusta",(IF($B454="","Arabica",$B454))&amp;" - "&amp;(IF($C454="","Commercial",$C454))),Variables!$B$1:$D$1,0),1))*IFERROR(IF(AB454="","",(AVERAGE(E454:F454)-AB454)-Variables!$B$14),"")/365),""))</f>
        <v>41.050922021603434</v>
      </c>
      <c r="BH454" s="44">
        <f>IF($AX454="Cancelled","",IFERROR((W454*INDEX(Variables!$B$7:$D$7,IFERROR(MATCH(IF($B454="Robusta","Robusta",(IF($B454="","Arabica",$B454))&amp;" - "&amp;(IF($C454="","Commercial",$C454))),Variables!$B$1:$D$1,0),1))*AK454/365)+(L454/16.67*INDEX(Variables!$B$8:$D$8,IFERROR(MATCH(IF($B454="Robusta","Robusta",(IF($B454="","Arabica",$B454))&amp;" - "&amp;(IF($C454="","Commercial",$C454))),Variables!$B$1:$D$1,0),1))*AK454)+(W454*INDEX(Variables!$B$9:$D$9,IFERROR(MATCH(IF($B454="Robusta","Robusta",(IF($B454="","Arabica",$B454))&amp;" - "&amp;(IF($C454="","Commercial",$C454))),Variables!$B$1:$D$1,0),1))*AK454/365),""))</f>
        <v>615.76383032405147</v>
      </c>
      <c r="BI454" s="44">
        <f>IF($AX454="Cancelled","",IFERROR((W454*INDEX(Variables!$B$7:$D$7,IFERROR(MATCH(IF($B454="Robusta","Robusta",(IF($B454="","Arabica",$B454))&amp;" - "&amp;(IF($C454="","Commercial",$C454))),Variables!$B$1:$D$1,0),1))*BD454/365)+(L454/16.67*INDEX(Variables!$B$8:$D$8,IFERROR(MATCH(IF($B454="Robusta","Robusta",(IF($B454="","Arabica",$B454))&amp;" - "&amp;(IF($C454="","Commercial",$C454))),Variables!$B$1:$D$1,0),1))*BD454)+(W454*INDEX(Variables!$B$9:$D$9,IFERROR(MATCH(IF($B454="Robusta","Robusta",(IF($B454="","Arabica",$B454))&amp;" - "&amp;(IF($C454="","Commercial",$C454))),Variables!$B$1:$D$1,0),1))*BD454/365),""))</f>
        <v>123.15276606481031</v>
      </c>
      <c r="BJ454" s="44">
        <f t="shared" si="23"/>
        <v>0</v>
      </c>
      <c r="BK454" s="44">
        <f>IF($AX454="Cancelled","",IFERROR(IF(BJ454="","",(W454*INDEX(Variables!$B$7:$D$7,IFERROR(MATCH(IF($B454="Robusta","Robusta",(IF($B454="","Arabica",$B454))&amp;" - "&amp;(IF($C454="","Commercial",$C454))),Variables!$B$1:$D$1,0),1))*(BJ454/365))+(W454*INDEX(Variables!$B$9:$D$9,IFERROR(MATCH(IF($B454="Robusta","Robusta",(IF($B454="","Arabica",$B454))&amp;" - "&amp;(IF($C454="","Commercial",$C454))),Variables!$B$1:$D$1,0),1))*(BJ454/365))+(INDEX(Variables!$B$8:$D$8,IFERROR(MATCH(IF($B454="Robusta","Robusta",(IF($B454="","Arabica",$B454))&amp;" - "&amp;(IF($C454="","Commercial",$C454))),Variables!$B$1:$D$1,0),1))*L454/16.67)),""))</f>
        <v>16</v>
      </c>
    </row>
    <row r="455" spans="1:63">
      <c r="A455" s="13" t="s">
        <v>103</v>
      </c>
      <c r="B455" s="13" t="s">
        <v>104</v>
      </c>
      <c r="C455" s="13" t="s">
        <v>105</v>
      </c>
      <c r="D455" s="31">
        <v>45835</v>
      </c>
      <c r="E455" s="31">
        <v>45870</v>
      </c>
      <c r="F455" s="31">
        <v>45900</v>
      </c>
      <c r="G455" s="13">
        <v>3786935</v>
      </c>
      <c r="H455" s="13" t="s">
        <v>1327</v>
      </c>
      <c r="J455" s="13" t="s">
        <v>118</v>
      </c>
      <c r="K455" s="13">
        <v>5313</v>
      </c>
      <c r="L455" s="13">
        <v>720</v>
      </c>
      <c r="M455" s="13">
        <v>2</v>
      </c>
      <c r="N455" s="13" t="s">
        <v>1328</v>
      </c>
      <c r="O455" s="13" t="s">
        <v>538</v>
      </c>
      <c r="P455" s="13">
        <v>10080</v>
      </c>
      <c r="Q455" s="13" t="s">
        <v>745</v>
      </c>
      <c r="R455" s="13" t="s">
        <v>122</v>
      </c>
      <c r="S455" s="13" t="s">
        <v>154</v>
      </c>
      <c r="T455" s="13" t="s">
        <v>155</v>
      </c>
      <c r="U455" s="13" t="s">
        <v>125</v>
      </c>
      <c r="V455" s="13">
        <v>42</v>
      </c>
      <c r="W455" s="44">
        <f>IF($AX455="Cancelled","",IFERROR(((V455+INDEX(Variables!$B$6:$D$6,IFERROR(MATCH(IF($B455="Robusta","Robusta",(IF($B455="","Arabica",$B455))&amp;" - "&amp;(IF($C455="","Commercial",$C455))),Variables!$B$1:$D$1,0),1)))*22.0462)*(L455/16.67),""))</f>
        <v>316893.95676064782</v>
      </c>
      <c r="X455" s="55" t="s">
        <v>37</v>
      </c>
      <c r="Y455" s="13" t="str">
        <f>IF($AX455="Cancelled","",IF(X455="","",IFERROR(IF(INDEX(Variables!$B$38:$B$47,MATCH(X455,Variables!$A$38:$A$47,0))="Yes","Yes","No"),"No")))</f>
        <v>Yes</v>
      </c>
      <c r="Z455" s="58">
        <v>45848</v>
      </c>
      <c r="AB455" s="31">
        <v>45856</v>
      </c>
      <c r="AC455" s="13" t="str">
        <f t="shared" si="21"/>
        <v>Approved</v>
      </c>
      <c r="AF455" s="71">
        <v>45869</v>
      </c>
      <c r="AG455" s="37">
        <f>IF($AX455="Cancelled","",IFERROR(IF(F455="","",F455-Variables!$B$13),""))</f>
        <v>45885</v>
      </c>
      <c r="AH455" s="13">
        <f>IF($AX455="Cancelled","",IFERROR(IF(AB455="","",(AVERAGE(E455:F455)-AB455)-Variables!$B$14),""))</f>
        <v>-1</v>
      </c>
      <c r="AJ455" s="47">
        <v>45868</v>
      </c>
      <c r="AK455" s="14">
        <f>IF($AX455="Cancelled","",IFERROR(IF(AJ455="","",IF(AND(AB455="",AF455=""),"",IF(AF455&gt;AB455,AF455+Variables!$B$15+Variables!$B$16+Variables!$B$17-AJ455,AB455+Variables!$B$16+Variables!$B$17-AJ455))),""))</f>
        <v>16</v>
      </c>
      <c r="AL455" s="48" t="s">
        <v>350</v>
      </c>
      <c r="AM455" s="13" t="s">
        <v>115</v>
      </c>
      <c r="AN455" s="13" t="s">
        <v>116</v>
      </c>
      <c r="AP455" s="31">
        <v>45883</v>
      </c>
      <c r="AR455" s="13">
        <v>257524138</v>
      </c>
      <c r="AS455" s="31">
        <v>45883</v>
      </c>
      <c r="AU455" s="31">
        <v>45884</v>
      </c>
      <c r="AV455" s="13" t="s">
        <v>865</v>
      </c>
      <c r="AW455" s="31">
        <v>45884</v>
      </c>
      <c r="AX455" s="13" t="str">
        <f>IF(ISNUMBER(SEARCH("cancel",#REF!)),"Cancelled",IF(AND(AS455&lt;&gt;"",AU455&lt;&gt;"",AW455&lt;&gt;""),"Closed","Open"))</f>
        <v>Closed</v>
      </c>
      <c r="AY455" s="15" t="str">
        <f t="shared" si="22"/>
        <v>All dates received</v>
      </c>
      <c r="BD455" s="13">
        <f>IF($AX455="Cancelled","",IFERROR(IF(OR(AS455="",AJ455=""),"",(AJ455+Variables!$B$18-AS455)),""))</f>
        <v>0</v>
      </c>
      <c r="BE455" s="13">
        <f>IF($AX455="Cancelled","",IFERROR(IF(OR(AW455="",AS455=""),"",(AS455+Variables!$B$19)-AW455),""))</f>
        <v>4</v>
      </c>
      <c r="BF455" s="44">
        <f>IF($AX455="Cancelled","",IFERROR(W455*INDEX(Variables!$B$7:$D$7,IFERROR(MATCH(IF($B455="Robusta","Robusta",(IF($B455="","Arabica",$B455))&amp;" - "&amp;(IF($C455="","Commercial",$C455))),Variables!$B$1:$D$1,0),1))*(BE455/365),""))</f>
        <v>223.93446025897475</v>
      </c>
      <c r="BG455" s="44">
        <f>IF($AX455="Cancelled","",IFERROR((W455*INDEX(Variables!$B$7:$D$7,IFERROR(MATCH(IF($B455="Robusta","Robusta",(IF($B455="","Arabica",$B455))&amp;" - "&amp;(IF($C455="","Commercial",$C455))),Variables!$B$1:$D$1,0),1))*IFERROR(IF(AB455="","",(AVERAGE(E455:F455)-AB455)-Variables!$B$14),"")/365)+(L455/16.67*INDEX(Variables!$B$8:$D$8,IFERROR(MATCH(IF($B455="Robusta","Robusta",(IF($B455="","Arabica",$B455))&amp;" - "&amp;(IF($C455="","Commercial",$C455))),Variables!$B$1:$D$1,0),1))*IFERROR(IF(AB455="","",(AVERAGE(E455:F455)-AB455)-Variables!$B$14),""))+(W455*INDEX(Variables!$B$9:$D$9,IFERROR(MATCH(IF($B455="Robusta","Robusta",(IF($B455="","Arabica",$B455))&amp;" - "&amp;(IF($C455="","Commercial",$C455))),Variables!$B$1:$D$1,0),1))*IFERROR(IF(AB455="","",(AVERAGE(E455:F455)-AB455)-Variables!$B$14),"")/365),""))</f>
        <v>-92.705351903798842</v>
      </c>
      <c r="BH455" s="44">
        <f>IF($AX455="Cancelled","",IFERROR((W455*INDEX(Variables!$B$7:$D$7,IFERROR(MATCH(IF($B455="Robusta","Robusta",(IF($B455="","Arabica",$B455))&amp;" - "&amp;(IF($C455="","Commercial",$C455))),Variables!$B$1:$D$1,0),1))*AK455/365)+(L455/16.67*INDEX(Variables!$B$8:$D$8,IFERROR(MATCH(IF($B455="Robusta","Robusta",(IF($B455="","Arabica",$B455))&amp;" - "&amp;(IF($C455="","Commercial",$C455))),Variables!$B$1:$D$1,0),1))*AK455)+(W455*INDEX(Variables!$B$9:$D$9,IFERROR(MATCH(IF($B455="Robusta","Robusta",(IF($B455="","Arabica",$B455))&amp;" - "&amp;(IF($C455="","Commercial",$C455))),Variables!$B$1:$D$1,0),1))*AK455/365),""))</f>
        <v>1483.2856304607815</v>
      </c>
      <c r="BI455" s="44">
        <f>IF($AX455="Cancelled","",IFERROR((W455*INDEX(Variables!$B$7:$D$7,IFERROR(MATCH(IF($B455="Robusta","Robusta",(IF($B455="","Arabica",$B455))&amp;" - "&amp;(IF($C455="","Commercial",$C455))),Variables!$B$1:$D$1,0),1))*BD455/365)+(L455/16.67*INDEX(Variables!$B$8:$D$8,IFERROR(MATCH(IF($B455="Robusta","Robusta",(IF($B455="","Arabica",$B455))&amp;" - "&amp;(IF($C455="","Commercial",$C455))),Variables!$B$1:$D$1,0),1))*BD455)+(W455*INDEX(Variables!$B$9:$D$9,IFERROR(MATCH(IF($B455="Robusta","Robusta",(IF($B455="","Arabica",$B455))&amp;" - "&amp;(IF($C455="","Commercial",$C455))),Variables!$B$1:$D$1,0),1))*BD455/365),""))</f>
        <v>0</v>
      </c>
      <c r="BJ455" s="44">
        <f t="shared" si="23"/>
        <v>17</v>
      </c>
      <c r="BK455" s="44">
        <f>IF($AX455="Cancelled","",IFERROR(IF(BJ455="","",(W455*INDEX(Variables!$B$7:$D$7,IFERROR(MATCH(IF($B455="Robusta","Robusta",(IF($B455="","Arabica",$B455))&amp;" - "&amp;(IF($C455="","Commercial",$C455))),Variables!$B$1:$D$1,0),1))*(BJ455/365))+(W455*INDEX(Variables!$B$9:$D$9,IFERROR(MATCH(IF($B455="Robusta","Robusta",(IF($B455="","Arabica",$B455))&amp;" - "&amp;(IF($C455="","Commercial",$C455))),Variables!$B$1:$D$1,0),1))*(BJ455/365))+(INDEX(Variables!$B$8:$D$8,IFERROR(MATCH(IF($B455="Robusta","Robusta",(IF($B455="","Arabica",$B455))&amp;" - "&amp;(IF($C455="","Commercial",$C455))),Variables!$B$1:$D$1,0),1))*L455/16.67)),""))</f>
        <v>999.99098236458019</v>
      </c>
    </row>
    <row r="456" spans="1:63">
      <c r="A456" s="13" t="s">
        <v>103</v>
      </c>
      <c r="B456" s="13" t="s">
        <v>104</v>
      </c>
      <c r="C456" s="13" t="s">
        <v>105</v>
      </c>
      <c r="D456" s="31">
        <v>45835</v>
      </c>
      <c r="E456" s="31">
        <v>45870</v>
      </c>
      <c r="F456" s="31">
        <v>45900</v>
      </c>
      <c r="G456" s="13">
        <v>3786936</v>
      </c>
      <c r="H456" s="13" t="s">
        <v>1327</v>
      </c>
      <c r="J456" s="13" t="s">
        <v>118</v>
      </c>
      <c r="K456" s="13" t="s">
        <v>1329</v>
      </c>
      <c r="L456" s="13">
        <v>360</v>
      </c>
      <c r="M456" s="13">
        <v>1</v>
      </c>
      <c r="N456" s="13" t="s">
        <v>1330</v>
      </c>
      <c r="O456" s="13" t="s">
        <v>538</v>
      </c>
      <c r="P456" s="13">
        <v>10080</v>
      </c>
      <c r="R456" s="13" t="s">
        <v>122</v>
      </c>
      <c r="S456" s="13" t="s">
        <v>138</v>
      </c>
      <c r="T456" s="13" t="s">
        <v>139</v>
      </c>
      <c r="U456" s="13" t="s">
        <v>125</v>
      </c>
      <c r="V456" s="13">
        <v>30</v>
      </c>
      <c r="W456" s="44">
        <f>IF($AX456="Cancelled","",IFERROR(((V456+INDEX(Variables!$B$6:$D$6,IFERROR(MATCH(IF($B456="Robusta","Robusta",(IF($B456="","Arabica",$B456))&amp;" - "&amp;(IF($C456="","Commercial",$C456))),Variables!$B$1:$D$1,0),1)))*22.0462)*(L456/16.67),""))</f>
        <v>152733.74598680262</v>
      </c>
      <c r="X456" s="55" t="s">
        <v>37</v>
      </c>
      <c r="Y456" s="13" t="str">
        <f>IF($AX456="Cancelled","",IF(X456="","",IFERROR(IF(INDEX(Variables!$B$38:$B$47,MATCH(X456,Variables!$A$38:$A$47,0))="Yes","Yes","No"),"No")))</f>
        <v>Yes</v>
      </c>
      <c r="Z456" s="58">
        <v>45848</v>
      </c>
      <c r="AB456" s="31">
        <v>45859</v>
      </c>
      <c r="AC456" s="13" t="str">
        <f t="shared" si="21"/>
        <v>Approved</v>
      </c>
      <c r="AF456" s="71">
        <v>45868</v>
      </c>
      <c r="AG456" s="37">
        <f>IF($AX456="Cancelled","",IFERROR(IF(F456="","",F456-Variables!$B$13),""))</f>
        <v>45885</v>
      </c>
      <c r="AH456" s="13">
        <f>IF($AX456="Cancelled","",IFERROR(IF(AB456="","",(AVERAGE(E456:F456)-AB456)-Variables!$B$14),""))</f>
        <v>-4</v>
      </c>
      <c r="AJ456" s="47">
        <v>45866</v>
      </c>
      <c r="AK456" s="14">
        <f>IF($AX456="Cancelled","",IFERROR(IF(AJ456="","",IF(AND(AB456="",AF456=""),"",IF(AF456&gt;AB456,AF456+Variables!$B$15+Variables!$B$16+Variables!$B$17-AJ456,AB456+Variables!$B$16+Variables!$B$17-AJ456))),""))</f>
        <v>17</v>
      </c>
      <c r="AL456" s="48" t="s">
        <v>224</v>
      </c>
      <c r="AM456" s="13" t="s">
        <v>168</v>
      </c>
      <c r="AN456" s="13" t="s">
        <v>1331</v>
      </c>
      <c r="AP456" s="31">
        <v>45888</v>
      </c>
      <c r="AR456" s="13" t="s">
        <v>1332</v>
      </c>
      <c r="AS456" s="31">
        <v>45888</v>
      </c>
      <c r="AU456" s="31">
        <v>45891</v>
      </c>
      <c r="AV456" s="13" t="s">
        <v>865</v>
      </c>
      <c r="AW456" s="31">
        <v>45891</v>
      </c>
      <c r="AX456" s="13" t="str">
        <f>IF(ISNUMBER(SEARCH("cancel",#REF!)),"Cancelled",IF(AND(AS456&lt;&gt;"",AU456&lt;&gt;"",AW456&lt;&gt;""),"Closed","Open"))</f>
        <v>Closed</v>
      </c>
      <c r="AY456" s="15" t="str">
        <f t="shared" si="22"/>
        <v>All dates received</v>
      </c>
      <c r="BD456" s="13">
        <f>IF($AX456="Cancelled","",IFERROR(IF(OR(AS456="",AJ456=""),"",(AJ456+Variables!$B$18-AS456)),""))</f>
        <v>-7</v>
      </c>
      <c r="BE456" s="13">
        <f>IF($AX456="Cancelled","",IFERROR(IF(OR(AW456="",AS456=""),"",(AS456+Variables!$B$19)-AW456),""))</f>
        <v>2</v>
      </c>
      <c r="BF456" s="44">
        <f>IF($AX456="Cancelled","",IFERROR(W456*INDEX(Variables!$B$7:$D$7,IFERROR(MATCH(IF($B456="Robusta","Robusta",(IF($B456="","Arabica",$B456))&amp;" - "&amp;(IF($C456="","Commercial",$C456))),Variables!$B$1:$D$1,0),1))*(BE456/365),""))</f>
        <v>53.964975098466873</v>
      </c>
      <c r="BG456" s="44">
        <f>IF($AX456="Cancelled","",IFERROR((W456*INDEX(Variables!$B$7:$D$7,IFERROR(MATCH(IF($B456="Robusta","Robusta",(IF($B456="","Arabica",$B456))&amp;" - "&amp;(IF($C456="","Commercial",$C456))),Variables!$B$1:$D$1,0),1))*IFERROR(IF(AB456="","",(AVERAGE(E456:F456)-AB456)-Variables!$B$14),"")/365)+(L456/16.67*INDEX(Variables!$B$8:$D$8,IFERROR(MATCH(IF($B456="Robusta","Robusta",(IF($B456="","Arabica",$B456))&amp;" - "&amp;(IF($C456="","Commercial",$C456))),Variables!$B$1:$D$1,0),1))*IFERROR(IF(AB456="","",(AVERAGE(E456:F456)-AB456)-Variables!$B$14),""))+(W456*INDEX(Variables!$B$9:$D$9,IFERROR(MATCH(IF($B456="Robusta","Robusta",(IF($B456="","Arabica",$B456))&amp;" - "&amp;(IF($C456="","Commercial",$C456))),Variables!$B$1:$D$1,0),1))*IFERROR(IF(AB456="","",(AVERAGE(E456:F456)-AB456)-Variables!$B$14),"")/365),""))</f>
        <v>-181.32137554530448</v>
      </c>
      <c r="BH456" s="44">
        <f>IF($AX456="Cancelled","",IFERROR((W456*INDEX(Variables!$B$7:$D$7,IFERROR(MATCH(IF($B456="Robusta","Robusta",(IF($B456="","Arabica",$B456))&amp;" - "&amp;(IF($C456="","Commercial",$C456))),Variables!$B$1:$D$1,0),1))*AK456/365)+(L456/16.67*INDEX(Variables!$B$8:$D$8,IFERROR(MATCH(IF($B456="Robusta","Robusta",(IF($B456="","Arabica",$B456))&amp;" - "&amp;(IF($C456="","Commercial",$C456))),Variables!$B$1:$D$1,0),1))*AK456)+(W456*INDEX(Variables!$B$9:$D$9,IFERROR(MATCH(IF($B456="Robusta","Robusta",(IF($B456="","Arabica",$B456))&amp;" - "&amp;(IF($C456="","Commercial",$C456))),Variables!$B$1:$D$1,0),1))*AK456/365),""))</f>
        <v>770.61584606754411</v>
      </c>
      <c r="BI456" s="44">
        <f>IF($AX456="Cancelled","",IFERROR((W456*INDEX(Variables!$B$7:$D$7,IFERROR(MATCH(IF($B456="Robusta","Robusta",(IF($B456="","Arabica",$B456))&amp;" - "&amp;(IF($C456="","Commercial",$C456))),Variables!$B$1:$D$1,0),1))*BD456/365)+(L456/16.67*INDEX(Variables!$B$8:$D$8,IFERROR(MATCH(IF($B456="Robusta","Robusta",(IF($B456="","Arabica",$B456))&amp;" - "&amp;(IF($C456="","Commercial",$C456))),Variables!$B$1:$D$1,0),1))*BD456)+(W456*INDEX(Variables!$B$9:$D$9,IFERROR(MATCH(IF($B456="Robusta","Robusta",(IF($B456="","Arabica",$B456))&amp;" - "&amp;(IF($C456="","Commercial",$C456))),Variables!$B$1:$D$1,0),1))*BD456/365),""))</f>
        <v>-317.31240720428292</v>
      </c>
      <c r="BJ456" s="44">
        <f t="shared" si="23"/>
        <v>12</v>
      </c>
      <c r="BK456" s="44">
        <f>IF($AX456="Cancelled","",IFERROR(IF(BJ456="","",(W456*INDEX(Variables!$B$7:$D$7,IFERROR(MATCH(IF($B456="Robusta","Robusta",(IF($B456="","Arabica",$B456))&amp;" - "&amp;(IF($C456="","Commercial",$C456))),Variables!$B$1:$D$1,0),1))*(BJ456/365))+(W456*INDEX(Variables!$B$9:$D$9,IFERROR(MATCH(IF($B456="Robusta","Robusta",(IF($B456="","Arabica",$B456))&amp;" - "&amp;(IF($C456="","Commercial",$C456))),Variables!$B$1:$D$1,0),1))*(BJ456/365))+(INDEX(Variables!$B$8:$D$8,IFERROR(MATCH(IF($B456="Robusta","Robusta",(IF($B456="","Arabica",$B456))&amp;" - "&amp;(IF($C456="","Commercial",$C456))),Variables!$B$1:$D$1,0),1))*L456/16.67)),""))</f>
        <v>345.96412663591343</v>
      </c>
    </row>
    <row r="457" spans="1:63">
      <c r="A457" s="13" t="s">
        <v>103</v>
      </c>
      <c r="B457" s="13" t="s">
        <v>104</v>
      </c>
      <c r="C457" s="13" t="s">
        <v>105</v>
      </c>
      <c r="D457" s="31">
        <v>45835</v>
      </c>
      <c r="E457" s="31">
        <v>45870</v>
      </c>
      <c r="F457" s="31">
        <v>45900</v>
      </c>
      <c r="G457" s="13">
        <v>3786936</v>
      </c>
      <c r="H457" s="13" t="s">
        <v>1333</v>
      </c>
      <c r="J457" s="13" t="s">
        <v>118</v>
      </c>
      <c r="K457" s="13" t="s">
        <v>1334</v>
      </c>
      <c r="L457" s="13">
        <v>360</v>
      </c>
      <c r="M457" s="13">
        <v>1</v>
      </c>
      <c r="N457" s="13" t="s">
        <v>1330</v>
      </c>
      <c r="O457" s="13" t="s">
        <v>538</v>
      </c>
      <c r="P457" s="13">
        <v>10080</v>
      </c>
      <c r="R457" s="13" t="s">
        <v>122</v>
      </c>
      <c r="S457" s="13" t="s">
        <v>123</v>
      </c>
      <c r="T457" s="13" t="s">
        <v>124</v>
      </c>
      <c r="U457" s="13" t="s">
        <v>125</v>
      </c>
      <c r="V457" s="13">
        <v>30</v>
      </c>
      <c r="W457" s="44">
        <f>IF($AX457="Cancelled","",IFERROR(((V457+INDEX(Variables!$B$6:$D$6,IFERROR(MATCH(IF($B457="Robusta","Robusta",(IF($B457="","Arabica",$B457))&amp;" - "&amp;(IF($C457="","Commercial",$C457))),Variables!$B$1:$D$1,0),1)))*22.0462)*(L457/16.67),""))</f>
        <v>152733.74598680262</v>
      </c>
      <c r="X457" s="55" t="s">
        <v>37</v>
      </c>
      <c r="Y457" s="13" t="str">
        <f>IF($AX457="Cancelled","",IF(X457="","",IFERROR(IF(INDEX(Variables!$B$38:$B$47,MATCH(X457,Variables!$A$38:$A$47,0))="Yes","Yes","No"),"No")))</f>
        <v>Yes</v>
      </c>
      <c r="Z457" s="58">
        <v>45848</v>
      </c>
      <c r="AB457" s="31">
        <v>45856</v>
      </c>
      <c r="AC457" s="13" t="str">
        <f t="shared" si="21"/>
        <v>Approved</v>
      </c>
      <c r="AF457" s="71">
        <v>45868</v>
      </c>
      <c r="AG457" s="37">
        <f>IF($AX457="Cancelled","",IFERROR(IF(F457="","",F457-Variables!$B$13),""))</f>
        <v>45885</v>
      </c>
      <c r="AH457" s="13">
        <f>IF($AX457="Cancelled","",IFERROR(IF(AB457="","",(AVERAGE(E457:F457)-AB457)-Variables!$B$14),""))</f>
        <v>-1</v>
      </c>
      <c r="AJ457" s="47">
        <v>45867</v>
      </c>
      <c r="AK457" s="14">
        <f>IF($AX457="Cancelled","",IFERROR(IF(AJ457="","",IF(AND(AB457="",AF457=""),"",IF(AF457&gt;AB457,AF457+Variables!$B$15+Variables!$B$16+Variables!$B$17-AJ457,AB457+Variables!$B$16+Variables!$B$17-AJ457))),""))</f>
        <v>16</v>
      </c>
      <c r="AL457" s="48" t="s">
        <v>224</v>
      </c>
      <c r="AM457" s="13" t="s">
        <v>168</v>
      </c>
      <c r="AN457" s="13" t="s">
        <v>1331</v>
      </c>
      <c r="AP457" s="31">
        <v>45888</v>
      </c>
      <c r="AR457" s="13" t="s">
        <v>1332</v>
      </c>
      <c r="AS457" s="31">
        <v>45878</v>
      </c>
      <c r="AU457" s="31">
        <v>45881</v>
      </c>
      <c r="AV457" s="13" t="s">
        <v>865</v>
      </c>
      <c r="AW457" s="31">
        <v>45881</v>
      </c>
      <c r="AX457" s="13" t="str">
        <f>IF(ISNUMBER(SEARCH("cancel",#REF!)),"Cancelled",IF(AND(AS457&lt;&gt;"",AU457&lt;&gt;"",AW457&lt;&gt;""),"Closed","Open"))</f>
        <v>Closed</v>
      </c>
      <c r="AY457" s="15" t="str">
        <f t="shared" si="22"/>
        <v>All dates received</v>
      </c>
      <c r="BD457" s="13">
        <f>IF($AX457="Cancelled","",IFERROR(IF(OR(AS457="",AJ457=""),"",(AJ457+Variables!$B$18-AS457)),""))</f>
        <v>4</v>
      </c>
      <c r="BE457" s="13">
        <f>IF($AX457="Cancelled","",IFERROR(IF(OR(AW457="",AS457=""),"",(AS457+Variables!$B$19)-AW457),""))</f>
        <v>2</v>
      </c>
      <c r="BF457" s="44">
        <f>IF($AX457="Cancelled","",IFERROR(W457*INDEX(Variables!$B$7:$D$7,IFERROR(MATCH(IF($B457="Robusta","Robusta",(IF($B457="","Arabica",$B457))&amp;" - "&amp;(IF($C457="","Commercial",$C457))),Variables!$B$1:$D$1,0),1))*(BE457/365),""))</f>
        <v>53.964975098466873</v>
      </c>
      <c r="BG457" s="44">
        <f>IF($AX457="Cancelled","",IFERROR((W457*INDEX(Variables!$B$7:$D$7,IFERROR(MATCH(IF($B457="Robusta","Robusta",(IF($B457="","Arabica",$B457))&amp;" - "&amp;(IF($C457="","Commercial",$C457))),Variables!$B$1:$D$1,0),1))*IFERROR(IF(AB457="","",(AVERAGE(E457:F457)-AB457)-Variables!$B$14),"")/365)+(L457/16.67*INDEX(Variables!$B$8:$D$8,IFERROR(MATCH(IF($B457="Robusta","Robusta",(IF($B457="","Arabica",$B457))&amp;" - "&amp;(IF($C457="","Commercial",$C457))),Variables!$B$1:$D$1,0),1))*IFERROR(IF(AB457="","",(AVERAGE(E457:F457)-AB457)-Variables!$B$14),""))+(W457*INDEX(Variables!$B$9:$D$9,IFERROR(MATCH(IF($B457="Robusta","Robusta",(IF($B457="","Arabica",$B457))&amp;" - "&amp;(IF($C457="","Commercial",$C457))),Variables!$B$1:$D$1,0),1))*IFERROR(IF(AB457="","",(AVERAGE(E457:F457)-AB457)-Variables!$B$14),"")/365),""))</f>
        <v>-45.330343886326119</v>
      </c>
      <c r="BH457" s="44">
        <f>IF($AX457="Cancelled","",IFERROR((W457*INDEX(Variables!$B$7:$D$7,IFERROR(MATCH(IF($B457="Robusta","Robusta",(IF($B457="","Arabica",$B457))&amp;" - "&amp;(IF($C457="","Commercial",$C457))),Variables!$B$1:$D$1,0),1))*AK457/365)+(L457/16.67*INDEX(Variables!$B$8:$D$8,IFERROR(MATCH(IF($B457="Robusta","Robusta",(IF($B457="","Arabica",$B457))&amp;" - "&amp;(IF($C457="","Commercial",$C457))),Variables!$B$1:$D$1,0),1))*AK457)+(W457*INDEX(Variables!$B$9:$D$9,IFERROR(MATCH(IF($B457="Robusta","Robusta",(IF($B457="","Arabica",$B457))&amp;" - "&amp;(IF($C457="","Commercial",$C457))),Variables!$B$1:$D$1,0),1))*AK457/365),""))</f>
        <v>725.28550218121791</v>
      </c>
      <c r="BI457" s="44">
        <f>IF($AX457="Cancelled","",IFERROR((W457*INDEX(Variables!$B$7:$D$7,IFERROR(MATCH(IF($B457="Robusta","Robusta",(IF($B457="","Arabica",$B457))&amp;" - "&amp;(IF($C457="","Commercial",$C457))),Variables!$B$1:$D$1,0),1))*BD457/365)+(L457/16.67*INDEX(Variables!$B$8:$D$8,IFERROR(MATCH(IF($B457="Robusta","Robusta",(IF($B457="","Arabica",$B457))&amp;" - "&amp;(IF($C457="","Commercial",$C457))),Variables!$B$1:$D$1,0),1))*BD457)+(W457*INDEX(Variables!$B$9:$D$9,IFERROR(MATCH(IF($B457="Robusta","Robusta",(IF($B457="","Arabica",$B457))&amp;" - "&amp;(IF($C457="","Commercial",$C457))),Variables!$B$1:$D$1,0),1))*BD457/365),""))</f>
        <v>181.32137554530448</v>
      </c>
      <c r="BJ457" s="44">
        <f t="shared" si="23"/>
        <v>22</v>
      </c>
      <c r="BK457" s="44">
        <f>IF($AX457="Cancelled","",IFERROR(IF(BJ457="","",(W457*INDEX(Variables!$B$7:$D$7,IFERROR(MATCH(IF($B457="Robusta","Robusta",(IF($B457="","Arabica",$B457))&amp;" - "&amp;(IF($C457="","Commercial",$C457))),Variables!$B$1:$D$1,0),1))*(BJ457/365))+(W457*INDEX(Variables!$B$9:$D$9,IFERROR(MATCH(IF($B457="Robusta","Robusta",(IF($B457="","Arabica",$B457))&amp;" - "&amp;(IF($C457="","Commercial",$C457))),Variables!$B$1:$D$1,0),1))*(BJ457/365))+(INDEX(Variables!$B$8:$D$8,IFERROR(MATCH(IF($B457="Robusta","Robusta",(IF($B457="","Arabica",$B457))&amp;" - "&amp;(IF($C457="","Commercial",$C457))),Variables!$B$1:$D$1,0),1))*L457/16.67)),""))</f>
        <v>619.26756549917468</v>
      </c>
    </row>
    <row r="458" spans="1:63">
      <c r="A458" s="13" t="s">
        <v>103</v>
      </c>
      <c r="B458" s="13" t="s">
        <v>104</v>
      </c>
      <c r="C458" s="13" t="s">
        <v>105</v>
      </c>
      <c r="D458" s="31">
        <v>45835</v>
      </c>
      <c r="E458" s="31">
        <v>45870</v>
      </c>
      <c r="F458" s="31">
        <v>45900</v>
      </c>
      <c r="G458" s="13">
        <v>3786936</v>
      </c>
      <c r="H458" s="13" t="s">
        <v>1333</v>
      </c>
      <c r="J458" s="13" t="s">
        <v>118</v>
      </c>
      <c r="K458" s="13" t="s">
        <v>1334</v>
      </c>
      <c r="L458" s="13">
        <v>360</v>
      </c>
      <c r="M458" s="13">
        <v>1</v>
      </c>
      <c r="N458" s="13" t="s">
        <v>1330</v>
      </c>
      <c r="O458" s="13" t="s">
        <v>538</v>
      </c>
      <c r="P458" s="13">
        <v>10080</v>
      </c>
      <c r="R458" s="13" t="s">
        <v>122</v>
      </c>
      <c r="S458" s="13" t="s">
        <v>123</v>
      </c>
      <c r="T458" s="13" t="s">
        <v>124</v>
      </c>
      <c r="U458" s="13" t="s">
        <v>125</v>
      </c>
      <c r="V458" s="13">
        <v>30</v>
      </c>
      <c r="W458" s="44">
        <f>IF($AX458="Cancelled","",IFERROR(((V458+INDEX(Variables!$B$6:$D$6,IFERROR(MATCH(IF($B458="Robusta","Robusta",(IF($B458="","Arabica",$B458))&amp;" - "&amp;(IF($C458="","Commercial",$C458))),Variables!$B$1:$D$1,0),1)))*22.0462)*(L458/16.67),""))</f>
        <v>152733.74598680262</v>
      </c>
      <c r="X458" s="55" t="s">
        <v>37</v>
      </c>
      <c r="Y458" s="13" t="str">
        <f>IF($AX458="Cancelled","",IF(X458="","",IFERROR(IF(INDEX(Variables!$B$38:$B$47,MATCH(X458,Variables!$A$38:$A$47,0))="Yes","Yes","No"),"No")))</f>
        <v>Yes</v>
      </c>
      <c r="Z458" s="58">
        <v>45848</v>
      </c>
      <c r="AB458" s="31">
        <v>45856</v>
      </c>
      <c r="AC458" s="13" t="str">
        <f t="shared" si="21"/>
        <v>Approved</v>
      </c>
      <c r="AF458" s="71">
        <v>45868</v>
      </c>
      <c r="AG458" s="37">
        <f>IF($AX458="Cancelled","",IFERROR(IF(F458="","",F458-Variables!$B$13),""))</f>
        <v>45885</v>
      </c>
      <c r="AH458" s="13">
        <f>IF($AX458="Cancelled","",IFERROR(IF(AB458="","",(AVERAGE(E458:F458)-AB458)-Variables!$B$14),""))</f>
        <v>-1</v>
      </c>
      <c r="AJ458" s="47">
        <v>45867</v>
      </c>
      <c r="AK458" s="14">
        <f>IF($AX458="Cancelled","",IFERROR(IF(AJ458="","",IF(AND(AB458="",AF458=""),"",IF(AF458&gt;AB458,AF458+Variables!$B$15+Variables!$B$16+Variables!$B$17-AJ458,AB458+Variables!$B$16+Variables!$B$17-AJ458))),""))</f>
        <v>16</v>
      </c>
      <c r="AL458" s="48" t="s">
        <v>224</v>
      </c>
      <c r="AM458" s="13" t="s">
        <v>168</v>
      </c>
      <c r="AN458" s="13" t="s">
        <v>1331</v>
      </c>
      <c r="AP458" s="31">
        <v>45888</v>
      </c>
      <c r="AR458" s="13" t="s">
        <v>1332</v>
      </c>
      <c r="AS458" s="31">
        <v>45890</v>
      </c>
      <c r="AU458" s="31">
        <v>45895</v>
      </c>
      <c r="AV458" s="13" t="s">
        <v>865</v>
      </c>
      <c r="AW458" s="31">
        <v>45896</v>
      </c>
      <c r="AX458" s="13" t="str">
        <f>IF(ISNUMBER(SEARCH("cancel",#REF!)),"Cancelled",IF(AND(AS458&lt;&gt;"",AU458&lt;&gt;"",AW458&lt;&gt;""),"Closed","Open"))</f>
        <v>Closed</v>
      </c>
      <c r="AY458" s="15" t="str">
        <f t="shared" si="22"/>
        <v>All dates received</v>
      </c>
      <c r="BD458" s="13">
        <f>IF($AX458="Cancelled","",IFERROR(IF(OR(AS458="",AJ458=""),"",(AJ458+Variables!$B$18-AS458)),""))</f>
        <v>-8</v>
      </c>
      <c r="BE458" s="13">
        <f>IF($AX458="Cancelled","",IFERROR(IF(OR(AW458="",AS458=""),"",(AS458+Variables!$B$19)-AW458),""))</f>
        <v>-1</v>
      </c>
      <c r="BF458" s="44">
        <f>IF($AX458="Cancelled","",IFERROR(W458*INDEX(Variables!$B$7:$D$7,IFERROR(MATCH(IF($B458="Robusta","Robusta",(IF($B458="","Arabica",$B458))&amp;" - "&amp;(IF($C458="","Commercial",$C458))),Variables!$B$1:$D$1,0),1))*(BE458/365),""))</f>
        <v>-26.982487549233436</v>
      </c>
      <c r="BG458" s="44">
        <f>IF($AX458="Cancelled","",IFERROR((W458*INDEX(Variables!$B$7:$D$7,IFERROR(MATCH(IF($B458="Robusta","Robusta",(IF($B458="","Arabica",$B458))&amp;" - "&amp;(IF($C458="","Commercial",$C458))),Variables!$B$1:$D$1,0),1))*IFERROR(IF(AB458="","",(AVERAGE(E458:F458)-AB458)-Variables!$B$14),"")/365)+(L458/16.67*INDEX(Variables!$B$8:$D$8,IFERROR(MATCH(IF($B458="Robusta","Robusta",(IF($B458="","Arabica",$B458))&amp;" - "&amp;(IF($C458="","Commercial",$C458))),Variables!$B$1:$D$1,0),1))*IFERROR(IF(AB458="","",(AVERAGE(E458:F458)-AB458)-Variables!$B$14),""))+(W458*INDEX(Variables!$B$9:$D$9,IFERROR(MATCH(IF($B458="Robusta","Robusta",(IF($B458="","Arabica",$B458))&amp;" - "&amp;(IF($C458="","Commercial",$C458))),Variables!$B$1:$D$1,0),1))*IFERROR(IF(AB458="","",(AVERAGE(E458:F458)-AB458)-Variables!$B$14),"")/365),""))</f>
        <v>-45.330343886326119</v>
      </c>
      <c r="BH458" s="44">
        <f>IF($AX458="Cancelled","",IFERROR((W458*INDEX(Variables!$B$7:$D$7,IFERROR(MATCH(IF($B458="Robusta","Robusta",(IF($B458="","Arabica",$B458))&amp;" - "&amp;(IF($C458="","Commercial",$C458))),Variables!$B$1:$D$1,0),1))*AK458/365)+(L458/16.67*INDEX(Variables!$B$8:$D$8,IFERROR(MATCH(IF($B458="Robusta","Robusta",(IF($B458="","Arabica",$B458))&amp;" - "&amp;(IF($C458="","Commercial",$C458))),Variables!$B$1:$D$1,0),1))*AK458)+(W458*INDEX(Variables!$B$9:$D$9,IFERROR(MATCH(IF($B458="Robusta","Robusta",(IF($B458="","Arabica",$B458))&amp;" - "&amp;(IF($C458="","Commercial",$C458))),Variables!$B$1:$D$1,0),1))*AK458/365),""))</f>
        <v>725.28550218121791</v>
      </c>
      <c r="BI458" s="44">
        <f>IF($AX458="Cancelled","",IFERROR((W458*INDEX(Variables!$B$7:$D$7,IFERROR(MATCH(IF($B458="Robusta","Robusta",(IF($B458="","Arabica",$B458))&amp;" - "&amp;(IF($C458="","Commercial",$C458))),Variables!$B$1:$D$1,0),1))*BD458/365)+(L458/16.67*INDEX(Variables!$B$8:$D$8,IFERROR(MATCH(IF($B458="Robusta","Robusta",(IF($B458="","Arabica",$B458))&amp;" - "&amp;(IF($C458="","Commercial",$C458))),Variables!$B$1:$D$1,0),1))*BD458)+(W458*INDEX(Variables!$B$9:$D$9,IFERROR(MATCH(IF($B458="Robusta","Robusta",(IF($B458="","Arabica",$B458))&amp;" - "&amp;(IF($C458="","Commercial",$C458))),Variables!$B$1:$D$1,0),1))*BD458/365),""))</f>
        <v>-362.64275109060895</v>
      </c>
      <c r="BJ458" s="44">
        <f t="shared" si="23"/>
        <v>10</v>
      </c>
      <c r="BK458" s="44">
        <f>IF($AX458="Cancelled","",IFERROR(IF(BJ458="","",(W458*INDEX(Variables!$B$7:$D$7,IFERROR(MATCH(IF($B458="Robusta","Robusta",(IF($B458="","Arabica",$B458))&amp;" - "&amp;(IF($C458="","Commercial",$C458))),Variables!$B$1:$D$1,0),1))*(BJ458/365))+(W458*INDEX(Variables!$B$9:$D$9,IFERROR(MATCH(IF($B458="Robusta","Robusta",(IF($B458="","Arabica",$B458))&amp;" - "&amp;(IF($C458="","Commercial",$C458))),Variables!$B$1:$D$1,0),1))*(BJ458/365))+(INDEX(Variables!$B$8:$D$8,IFERROR(MATCH(IF($B458="Robusta","Robusta",(IF($B458="","Arabica",$B458))&amp;" - "&amp;(IF($C458="","Commercial",$C458))),Variables!$B$1:$D$1,0),1))*L458/16.67)),""))</f>
        <v>291.30343886326119</v>
      </c>
    </row>
    <row r="459" spans="1:63">
      <c r="A459" s="13" t="s">
        <v>103</v>
      </c>
      <c r="B459" s="13" t="s">
        <v>104</v>
      </c>
      <c r="C459" s="13" t="s">
        <v>105</v>
      </c>
      <c r="D459" s="31">
        <v>45847</v>
      </c>
      <c r="E459" s="31">
        <v>45870</v>
      </c>
      <c r="F459" s="31">
        <v>45900</v>
      </c>
      <c r="G459" s="13">
        <v>3786937</v>
      </c>
      <c r="H459" s="13" t="s">
        <v>1335</v>
      </c>
      <c r="J459" s="13" t="s">
        <v>1124</v>
      </c>
      <c r="K459" s="13">
        <v>5315</v>
      </c>
      <c r="L459" s="13">
        <v>300</v>
      </c>
      <c r="M459" s="13">
        <v>1</v>
      </c>
      <c r="N459" s="13" t="s">
        <v>1336</v>
      </c>
      <c r="O459" s="13" t="s">
        <v>1337</v>
      </c>
      <c r="P459" s="13">
        <v>10260</v>
      </c>
      <c r="R459" s="13" t="s">
        <v>110</v>
      </c>
      <c r="S459" s="13" t="s">
        <v>299</v>
      </c>
      <c r="T459" s="13" t="s">
        <v>305</v>
      </c>
      <c r="U459" s="13" t="s">
        <v>125</v>
      </c>
      <c r="V459" s="13">
        <v>-147</v>
      </c>
      <c r="W459" s="44">
        <f>IF($AX459="Cancelled","",IFERROR(((V459+INDEX(Variables!$B$6:$D$6,IFERROR(MATCH(IF($B459="Robusta","Robusta",(IF($B459="","Arabica",$B459))&amp;" - "&amp;(IF($C459="","Commercial",$C459))),Variables!$B$1:$D$1,0),1)))*22.0462)*(L459/16.67),""))</f>
        <v>57052.973485302929</v>
      </c>
      <c r="X459" s="55" t="s">
        <v>37</v>
      </c>
      <c r="Y459" s="13" t="str">
        <f>IF($AX459="Cancelled","",IF(X459="","",IFERROR(IF(INDEX(Variables!$B$38:$B$47,MATCH(X459,Variables!$A$38:$A$47,0))="Yes","Yes","No"),"No")))</f>
        <v>Yes</v>
      </c>
      <c r="Z459" s="58">
        <v>45848</v>
      </c>
      <c r="AC459" s="13" t="str">
        <f t="shared" si="21"/>
        <v/>
      </c>
      <c r="AF459" s="71">
        <v>45861</v>
      </c>
      <c r="AG459" s="37">
        <f>IF($AX459="Cancelled","",IFERROR(IF(F459="","",F459-Variables!$B$13),""))</f>
        <v>45885</v>
      </c>
      <c r="AH459" s="13" t="str">
        <f>IF($AX459="Cancelled","",IFERROR(IF(AB459="","",(AVERAGE(E459:F459)-AB459)-Variables!$B$14),""))</f>
        <v/>
      </c>
      <c r="AJ459" s="47">
        <v>45863</v>
      </c>
      <c r="AK459" s="14">
        <f>IF($AX459="Cancelled","",IFERROR(IF(AJ459="","",IF(AND(AB459="",AF459=""),"",IF(AF459&gt;AB459,AF459+Variables!$B$15+Variables!$B$16+Variables!$B$17-AJ459,AB459+Variables!$B$16+Variables!$B$17-AJ459))),""))</f>
        <v>13</v>
      </c>
      <c r="AL459" s="48" t="s">
        <v>224</v>
      </c>
      <c r="AM459" s="13" t="s">
        <v>141</v>
      </c>
      <c r="AN459" s="13" t="s">
        <v>1049</v>
      </c>
      <c r="AP459" s="31">
        <v>45888</v>
      </c>
      <c r="AR459" s="13" t="s">
        <v>1338</v>
      </c>
      <c r="AS459" s="31">
        <v>45888</v>
      </c>
      <c r="AU459" s="31">
        <v>45891</v>
      </c>
      <c r="AV459" s="13" t="s">
        <v>1339</v>
      </c>
      <c r="AW459" s="31">
        <v>45896</v>
      </c>
      <c r="AX459" s="13" t="str">
        <f>IF(ISNUMBER(SEARCH("cancel",#REF!)),"Cancelled",IF(AND(AS459&lt;&gt;"",AU459&lt;&gt;"",AW459&lt;&gt;""),"Closed","Open"))</f>
        <v>Closed</v>
      </c>
      <c r="AY459" s="15" t="str">
        <f t="shared" si="22"/>
        <v>All dates received</v>
      </c>
      <c r="BD459" s="13">
        <f>IF($AX459="Cancelled","",IFERROR(IF(OR(AS459="",AJ459=""),"",(AJ459+Variables!$B$18-AS459)),""))</f>
        <v>-10</v>
      </c>
      <c r="BE459" s="13">
        <f>IF($AX459="Cancelled","",IFERROR(IF(OR(AW459="",AS459=""),"",(AS459+Variables!$B$19)-AW459),""))</f>
        <v>-3</v>
      </c>
      <c r="BF459" s="44">
        <f>IF($AX459="Cancelled","",IFERROR(W459*INDEX(Variables!$B$7:$D$7,IFERROR(MATCH(IF($B459="Robusta","Robusta",(IF($B459="","Arabica",$B459))&amp;" - "&amp;(IF($C459="","Commercial",$C459))),Variables!$B$1:$D$1,0),1))*(BE459/365),""))</f>
        <v>-30.237544494854799</v>
      </c>
      <c r="BG459" s="44" t="str">
        <f>IF($AX459="Cancelled","",IFERROR((W459*INDEX(Variables!$B$7:$D$7,IFERROR(MATCH(IF($B459="Robusta","Robusta",(IF($B459="","Arabica",$B459))&amp;" - "&amp;(IF($C459="","Commercial",$C459))),Variables!$B$1:$D$1,0),1))*IFERROR(IF(AB459="","",(AVERAGE(E459:F459)-AB459)-Variables!$B$14),"")/365)+(L459/16.67*INDEX(Variables!$B$8:$D$8,IFERROR(MATCH(IF($B459="Robusta","Robusta",(IF($B459="","Arabica",$B459))&amp;" - "&amp;(IF($C459="","Commercial",$C459))),Variables!$B$1:$D$1,0),1))*IFERROR(IF(AB459="","",(AVERAGE(E459:F459)-AB459)-Variables!$B$14),""))+(W459*INDEX(Variables!$B$9:$D$9,IFERROR(MATCH(IF($B459="Robusta","Robusta",(IF($B459="","Arabica",$B459))&amp;" - "&amp;(IF($C459="","Commercial",$C459))),Variables!$B$1:$D$1,0),1))*IFERROR(IF(AB459="","",(AVERAGE(E459:F459)-AB459)-Variables!$B$14),"")/365),""))</f>
        <v/>
      </c>
      <c r="BH459" s="44">
        <f>IF($AX459="Cancelled","",IFERROR((W459*INDEX(Variables!$B$7:$D$7,IFERROR(MATCH(IF($B459="Robusta","Robusta",(IF($B459="","Arabica",$B459))&amp;" - "&amp;(IF($C459="","Commercial",$C459))),Variables!$B$1:$D$1,0),1))*AK459/365)+(L459/16.67*INDEX(Variables!$B$8:$D$8,IFERROR(MATCH(IF($B459="Robusta","Robusta",(IF($B459="","Arabica",$B459))&amp;" - "&amp;(IF($C459="","Commercial",$C459))),Variables!$B$1:$D$1,0),1))*AK459)+(W459*INDEX(Variables!$B$9:$D$9,IFERROR(MATCH(IF($B459="Robusta","Robusta",(IF($B459="","Arabica",$B459))&amp;" - "&amp;(IF($C459="","Commercial",$C459))),Variables!$B$1:$D$1,0),1))*AK459/365),""))</f>
        <v>327.71858079046666</v>
      </c>
      <c r="BI459" s="44">
        <f>IF($AX459="Cancelled","",IFERROR((W459*INDEX(Variables!$B$7:$D$7,IFERROR(MATCH(IF($B459="Robusta","Robusta",(IF($B459="","Arabica",$B459))&amp;" - "&amp;(IF($C459="","Commercial",$C459))),Variables!$B$1:$D$1,0),1))*BD459/365)+(L459/16.67*INDEX(Variables!$B$8:$D$8,IFERROR(MATCH(IF($B459="Robusta","Robusta",(IF($B459="","Arabica",$B459))&amp;" - "&amp;(IF($C459="","Commercial",$C459))),Variables!$B$1:$D$1,0),1))*BD459)+(W459*INDEX(Variables!$B$9:$D$9,IFERROR(MATCH(IF($B459="Robusta","Robusta",(IF($B459="","Arabica",$B459))&amp;" - "&amp;(IF($C459="","Commercial",$C459))),Variables!$B$1:$D$1,0),1))*BD459/365),""))</f>
        <v>-252.09121599266669</v>
      </c>
      <c r="BJ459" s="44">
        <f t="shared" si="23"/>
        <v>12</v>
      </c>
      <c r="BK459" s="44">
        <f>IF($AX459="Cancelled","",IFERROR(IF(BJ459="","",(W459*INDEX(Variables!$B$7:$D$7,IFERROR(MATCH(IF($B459="Robusta","Robusta",(IF($B459="","Arabica",$B459))&amp;" - "&amp;(IF($C459="","Commercial",$C459))),Variables!$B$1:$D$1,0),1))*(BJ459/365))+(W459*INDEX(Variables!$B$9:$D$9,IFERROR(MATCH(IF($B459="Robusta","Robusta",(IF($B459="","Arabica",$B459))&amp;" - "&amp;(IF($C459="","Commercial",$C459))),Variables!$B$1:$D$1,0),1))*(BJ459/365))+(INDEX(Variables!$B$8:$D$8,IFERROR(MATCH(IF($B459="Robusta","Robusta",(IF($B459="","Arabica",$B459))&amp;" - "&amp;(IF($C459="","Commercial",$C459))),Variables!$B$1:$D$1,0),1))*L459/16.67)),""))</f>
        <v>137.50945919119999</v>
      </c>
    </row>
    <row r="460" spans="1:63">
      <c r="A460" s="13" t="s">
        <v>103</v>
      </c>
      <c r="B460" s="13" t="s">
        <v>104</v>
      </c>
      <c r="C460" s="13" t="s">
        <v>105</v>
      </c>
      <c r="D460" s="31">
        <v>45848</v>
      </c>
      <c r="E460" s="31">
        <v>45901</v>
      </c>
      <c r="F460" s="31">
        <v>45914</v>
      </c>
      <c r="G460" s="13">
        <v>3786938</v>
      </c>
      <c r="H460" s="13" t="s">
        <v>1340</v>
      </c>
      <c r="J460" s="13" t="s">
        <v>415</v>
      </c>
      <c r="K460" s="13">
        <v>5320</v>
      </c>
      <c r="L460" s="13">
        <v>700</v>
      </c>
      <c r="M460" s="13">
        <v>2</v>
      </c>
      <c r="N460" s="13" t="s">
        <v>1341</v>
      </c>
      <c r="O460" s="13" t="s">
        <v>1172</v>
      </c>
      <c r="P460" s="13">
        <v>10260</v>
      </c>
      <c r="R460" s="13" t="s">
        <v>110</v>
      </c>
      <c r="S460" s="13" t="s">
        <v>154</v>
      </c>
      <c r="T460" s="13" t="s">
        <v>155</v>
      </c>
      <c r="U460" s="13" t="s">
        <v>125</v>
      </c>
      <c r="V460" s="13">
        <v>-100</v>
      </c>
      <c r="W460" s="44">
        <f>IF($AX460="Cancelled","",IFERROR(((V460+INDEX(Variables!$B$6:$D$6,IFERROR(MATCH(IF($B460="Robusta","Robusta",(IF($B460="","Arabica",$B460))&amp;" - "&amp;(IF($C460="","Commercial",$C460))),Variables!$B$1:$D$1,0),1)))*22.0462)*(L460/16.67),""))</f>
        <v>176634.10149970005</v>
      </c>
      <c r="X460" s="55" t="s">
        <v>43</v>
      </c>
      <c r="Y460" s="13" t="str">
        <f>IF($AX460="Cancelled","",IF(X460="","",IFERROR(IF(INDEX(Variables!$B$38:$B$47,MATCH(X460,Variables!$A$38:$A$47,0))="Yes","Yes","No"),"No")))</f>
        <v>Yes</v>
      </c>
      <c r="Z460" s="58">
        <v>45852</v>
      </c>
      <c r="AB460" s="31">
        <v>45857</v>
      </c>
      <c r="AC460" s="13" t="str">
        <f t="shared" si="21"/>
        <v>Approved</v>
      </c>
      <c r="AF460" s="71">
        <v>45888</v>
      </c>
      <c r="AG460" s="37">
        <f>IF($AX460="Cancelled","",IFERROR(IF(F460="","",F460-Variables!$B$13),""))</f>
        <v>45899</v>
      </c>
      <c r="AH460" s="13">
        <f>IF($AX460="Cancelled","",IFERROR(IF(AB460="","",(AVERAGE(E460:F460)-AB460)-Variables!$B$14),""))</f>
        <v>20.5</v>
      </c>
      <c r="AJ460" s="47">
        <v>45883</v>
      </c>
      <c r="AK460" s="14">
        <f>IF($AX460="Cancelled","",IFERROR(IF(AJ460="","",IF(AND(AB460="",AF460=""),"",IF(AF460&gt;AB460,AF460+Variables!$B$15+Variables!$B$16+Variables!$B$17-AJ460,AB460+Variables!$B$16+Variables!$B$17-AJ460))),""))</f>
        <v>20</v>
      </c>
      <c r="AL460" s="48" t="s">
        <v>114</v>
      </c>
      <c r="AM460" s="13" t="s">
        <v>115</v>
      </c>
      <c r="AN460" s="13" t="s">
        <v>281</v>
      </c>
      <c r="AP460" s="31">
        <v>45901</v>
      </c>
      <c r="AR460" s="13">
        <v>258256180</v>
      </c>
      <c r="AS460" s="31">
        <v>45901</v>
      </c>
      <c r="AU460" s="31">
        <v>45901</v>
      </c>
      <c r="AV460" s="13" t="s">
        <v>1342</v>
      </c>
      <c r="AW460" s="31">
        <v>45905</v>
      </c>
      <c r="AX460" s="13" t="str">
        <f>IF(ISNUMBER(SEARCH("cancel",#REF!)),"Cancelled",IF(AND(AS460&lt;&gt;"",AU460&lt;&gt;"",AW460&lt;&gt;""),"Closed","Open"))</f>
        <v>Closed</v>
      </c>
      <c r="AY460" s="15" t="str">
        <f t="shared" si="22"/>
        <v>All dates received</v>
      </c>
      <c r="BD460" s="13">
        <f>IF($AX460="Cancelled","",IFERROR(IF(OR(AS460="",AJ460=""),"",(AJ460+Variables!$B$18-AS460)),""))</f>
        <v>-3</v>
      </c>
      <c r="BE460" s="13">
        <f>IF($AX460="Cancelled","",IFERROR(IF(OR(AW460="",AS460=""),"",(AS460+Variables!$B$19)-AW460),""))</f>
        <v>1</v>
      </c>
      <c r="BF460" s="44">
        <f>IF($AX460="Cancelled","",IFERROR(W460*INDEX(Variables!$B$7:$D$7,IFERROR(MATCH(IF($B460="Robusta","Robusta",(IF($B460="","Arabica",$B460))&amp;" - "&amp;(IF($C460="","Commercial",$C460))),Variables!$B$1:$D$1,0),1))*(BE460/365),""))</f>
        <v>31.204809478695779</v>
      </c>
      <c r="BG460" s="44">
        <f>IF($AX460="Cancelled","",IFERROR((W460*INDEX(Variables!$B$7:$D$7,IFERROR(MATCH(IF($B460="Robusta","Robusta",(IF($B460="","Arabica",$B460))&amp;" - "&amp;(IF($C460="","Commercial",$C460))),Variables!$B$1:$D$1,0),1))*IFERROR(IF(AB460="","",(AVERAGE(E460:F460)-AB460)-Variables!$B$14),"")/365)+(L460/16.67*INDEX(Variables!$B$8:$D$8,IFERROR(MATCH(IF($B460="Robusta","Robusta",(IF($B460="","Arabica",$B460))&amp;" - "&amp;(IF($C460="","Commercial",$C460))),Variables!$B$1:$D$1,0),1))*IFERROR(IF(AB460="","",(AVERAGE(E460:F460)-AB460)-Variables!$B$14),""))+(W460*INDEX(Variables!$B$9:$D$9,IFERROR(MATCH(IF($B460="Robusta","Robusta",(IF($B460="","Arabica",$B460))&amp;" - "&amp;(IF($C460="","Commercial",$C460))),Variables!$B$1:$D$1,0),1))*IFERROR(IF(AB460="","",(AVERAGE(E460:F460)-AB460)-Variables!$B$14),"")/365),""))</f>
        <v>1365.4455437264755</v>
      </c>
      <c r="BH460" s="44">
        <f>IF($AX460="Cancelled","",IFERROR((W460*INDEX(Variables!$B$7:$D$7,IFERROR(MATCH(IF($B460="Robusta","Robusta",(IF($B460="","Arabica",$B460))&amp;" - "&amp;(IF($C460="","Commercial",$C460))),Variables!$B$1:$D$1,0),1))*AK460/365)+(L460/16.67*INDEX(Variables!$B$8:$D$8,IFERROR(MATCH(IF($B460="Robusta","Robusta",(IF($B460="","Arabica",$B460))&amp;" - "&amp;(IF($C460="","Commercial",$C460))),Variables!$B$1:$D$1,0),1))*AK460)+(W460*INDEX(Variables!$B$9:$D$9,IFERROR(MATCH(IF($B460="Robusta","Robusta",(IF($B460="","Arabica",$B460))&amp;" - "&amp;(IF($C460="","Commercial",$C460))),Variables!$B$1:$D$1,0),1))*AK460/365),""))</f>
        <v>1332.1419938794882</v>
      </c>
      <c r="BI460" s="44">
        <f>IF($AX460="Cancelled","",IFERROR((W460*INDEX(Variables!$B$7:$D$7,IFERROR(MATCH(IF($B460="Robusta","Robusta",(IF($B460="","Arabica",$B460))&amp;" - "&amp;(IF($C460="","Commercial",$C460))),Variables!$B$1:$D$1,0),1))*BD460/365)+(L460/16.67*INDEX(Variables!$B$8:$D$8,IFERROR(MATCH(IF($B460="Robusta","Robusta",(IF($B460="","Arabica",$B460))&amp;" - "&amp;(IF($C460="","Commercial",$C460))),Variables!$B$1:$D$1,0),1))*BD460)+(W460*INDEX(Variables!$B$9:$D$9,IFERROR(MATCH(IF($B460="Robusta","Robusta",(IF($B460="","Arabica",$B460))&amp;" - "&amp;(IF($C460="","Commercial",$C460))),Variables!$B$1:$D$1,0),1))*BD460/365),""))</f>
        <v>-199.82129908192323</v>
      </c>
      <c r="BJ460" s="44">
        <f t="shared" si="23"/>
        <v>13</v>
      </c>
      <c r="BK460" s="44">
        <f>IF($AX460="Cancelled","",IFERROR(IF(BJ460="","",(W460*INDEX(Variables!$B$7:$D$7,IFERROR(MATCH(IF($B460="Robusta","Robusta",(IF($B460="","Arabica",$B460))&amp;" - "&amp;(IF($C460="","Commercial",$C460))),Variables!$B$1:$D$1,0),1))*(BJ460/365))+(W460*INDEX(Variables!$B$9:$D$9,IFERROR(MATCH(IF($B460="Robusta","Robusta",(IF($B460="","Arabica",$B460))&amp;" - "&amp;(IF($C460="","Commercial",$C460))),Variables!$B$1:$D$1,0),1))*(BJ460/365))+(INDEX(Variables!$B$8:$D$8,IFERROR(MATCH(IF($B460="Robusta","Robusta",(IF($B460="","Arabica",$B460))&amp;" - "&amp;(IF($C460="","Commercial",$C460))),Variables!$B$1:$D$1,0),1))*L460/16.67)),""))</f>
        <v>445.89229602166733</v>
      </c>
    </row>
    <row r="461" spans="1:63">
      <c r="A461" s="13" t="s">
        <v>103</v>
      </c>
      <c r="B461" s="13" t="s">
        <v>104</v>
      </c>
      <c r="C461" s="13" t="s">
        <v>105</v>
      </c>
      <c r="D461" s="31">
        <v>45821</v>
      </c>
      <c r="E461" s="31">
        <v>45901</v>
      </c>
      <c r="F461" s="31">
        <v>45930</v>
      </c>
      <c r="G461" s="13">
        <v>3786939</v>
      </c>
      <c r="H461" s="13" t="s">
        <v>1343</v>
      </c>
      <c r="J461" s="13" t="s">
        <v>447</v>
      </c>
      <c r="K461" s="13">
        <v>5329</v>
      </c>
      <c r="L461" s="13">
        <v>320</v>
      </c>
      <c r="M461" s="13">
        <v>1</v>
      </c>
      <c r="N461" s="13" t="s">
        <v>1344</v>
      </c>
      <c r="O461" s="13" t="s">
        <v>261</v>
      </c>
      <c r="P461" s="13">
        <v>10040</v>
      </c>
      <c r="Q461" s="13" t="s">
        <v>121</v>
      </c>
      <c r="R461" s="13" t="s">
        <v>239</v>
      </c>
      <c r="S461" s="13" t="s">
        <v>154</v>
      </c>
      <c r="T461" s="13" t="s">
        <v>155</v>
      </c>
      <c r="U461" s="13" t="s">
        <v>125</v>
      </c>
      <c r="V461" s="13">
        <v>68</v>
      </c>
      <c r="W461" s="44">
        <f>IF($AX461="Cancelled","",IFERROR(((V461+INDEX(Variables!$B$6:$D$6,IFERROR(MATCH(IF($B461="Robusta","Robusta",(IF($B461="","Arabica",$B461))&amp;" - "&amp;(IF($C461="","Commercial",$C461))),Variables!$B$1:$D$1,0),1)))*22.0462)*(L461/16.67),""))</f>
        <v>151845.02094781041</v>
      </c>
      <c r="X461" s="55" t="s">
        <v>37</v>
      </c>
      <c r="Y461" s="13" t="str">
        <f>IF($AX461="Cancelled","",IF(X461="","",IFERROR(IF(INDEX(Variables!$B$38:$B$47,MATCH(X461,Variables!$A$38:$A$47,0))="Yes","Yes","No"),"No")))</f>
        <v>Yes</v>
      </c>
      <c r="Z461" s="58">
        <v>45892</v>
      </c>
      <c r="AB461" s="31">
        <v>45898</v>
      </c>
      <c r="AC461" s="13" t="str">
        <f t="shared" si="21"/>
        <v>Approved</v>
      </c>
      <c r="AF461" s="71">
        <v>45919</v>
      </c>
      <c r="AG461" s="37">
        <f>IF($AX461="Cancelled","",IFERROR(IF(F461="","",F461-Variables!$B$13),""))</f>
        <v>45915</v>
      </c>
      <c r="AH461" s="13">
        <f>IF($AX461="Cancelled","",IFERROR(IF(AB461="","",(AVERAGE(E461:F461)-AB461)-Variables!$B$14),""))</f>
        <v>-12.5</v>
      </c>
      <c r="AJ461" s="47">
        <v>45918</v>
      </c>
      <c r="AK461" s="14">
        <f>IF($AX461="Cancelled","",IFERROR(IF(AJ461="","",IF(AND(AB461="",AF461=""),"",IF(AF461&gt;AB461,AF461+Variables!$B$15+Variables!$B$16+Variables!$B$17-AJ461,AB461+Variables!$B$16+Variables!$B$17-AJ461))),""))</f>
        <v>16</v>
      </c>
      <c r="AL461" s="48" t="s">
        <v>114</v>
      </c>
      <c r="AM461" s="13" t="s">
        <v>141</v>
      </c>
      <c r="AN461" s="13" t="s">
        <v>784</v>
      </c>
      <c r="AP461" s="31">
        <v>45928</v>
      </c>
      <c r="AR461" s="13" t="s">
        <v>1345</v>
      </c>
      <c r="AS461" s="31">
        <v>45928</v>
      </c>
      <c r="AU461" s="31">
        <v>45930</v>
      </c>
      <c r="AV461" s="13" t="s">
        <v>865</v>
      </c>
      <c r="AW461" s="31">
        <v>45930</v>
      </c>
      <c r="AX461" s="13" t="str">
        <f>IF(ISNUMBER(SEARCH("cancel",#REF!)),"Cancelled",IF(AND(AS461&lt;&gt;"",AU461&lt;&gt;"",AW461&lt;&gt;""),"Closed","Open"))</f>
        <v>Closed</v>
      </c>
      <c r="AY461" s="15" t="str">
        <f t="shared" si="22"/>
        <v>All dates received</v>
      </c>
      <c r="BD461" s="13">
        <f>IF($AX461="Cancelled","",IFERROR(IF(OR(AS461="",AJ461=""),"",(AJ461+Variables!$B$18-AS461)),""))</f>
        <v>5</v>
      </c>
      <c r="BE461" s="13">
        <f>IF($AX461="Cancelled","",IFERROR(IF(OR(AW461="",AS461=""),"",(AS461+Variables!$B$19)-AW461),""))</f>
        <v>3</v>
      </c>
      <c r="BF461" s="44">
        <f>IF($AX461="Cancelled","",IFERROR(W461*INDEX(Variables!$B$7:$D$7,IFERROR(MATCH(IF($B461="Robusta","Robusta",(IF($B461="","Arabica",$B461))&amp;" - "&amp;(IF($C461="","Commercial",$C461))),Variables!$B$1:$D$1,0),1))*(BE461/365),""))</f>
        <v>80.476446655569035</v>
      </c>
      <c r="BG461" s="44">
        <f>IF($AX461="Cancelled","",IFERROR((W461*INDEX(Variables!$B$7:$D$7,IFERROR(MATCH(IF($B461="Robusta","Robusta",(IF($B461="","Arabica",$B461))&amp;" - "&amp;(IF($C461="","Commercial",$C461))),Variables!$B$1:$D$1,0),1))*IFERROR(IF(AB461="","",(AVERAGE(E461:F461)-AB461)-Variables!$B$14),"")/365)+(L461/16.67*INDEX(Variables!$B$8:$D$8,IFERROR(MATCH(IF($B461="Robusta","Robusta",(IF($B461="","Arabica",$B461))&amp;" - "&amp;(IF($C461="","Commercial",$C461))),Variables!$B$1:$D$1,0),1))*IFERROR(IF(AB461="","",(AVERAGE(E461:F461)-AB461)-Variables!$B$14),""))+(W461*INDEX(Variables!$B$9:$D$9,IFERROR(MATCH(IF($B461="Robusta","Robusta",(IF($B461="","Arabica",$B461))&amp;" - "&amp;(IF($C461="","Commercial",$C461))),Variables!$B$1:$D$1,0),1))*IFERROR(IF(AB461="","",(AVERAGE(E461:F461)-AB461)-Variables!$B$14),"")/365),""))</f>
        <v>-539.64143067379496</v>
      </c>
      <c r="BH461" s="44">
        <f>IF($AX461="Cancelled","",IFERROR((W461*INDEX(Variables!$B$7:$D$7,IFERROR(MATCH(IF($B461="Robusta","Robusta",(IF($B461="","Arabica",$B461))&amp;" - "&amp;(IF($C461="","Commercial",$C461))),Variables!$B$1:$D$1,0),1))*AK461/365)+(L461/16.67*INDEX(Variables!$B$8:$D$8,IFERROR(MATCH(IF($B461="Robusta","Robusta",(IF($B461="","Arabica",$B461))&amp;" - "&amp;(IF($C461="","Commercial",$C461))),Variables!$B$1:$D$1,0),1))*AK461)+(W461*INDEX(Variables!$B$9:$D$9,IFERROR(MATCH(IF($B461="Robusta","Robusta",(IF($B461="","Arabica",$B461))&amp;" - "&amp;(IF($C461="","Commercial",$C461))),Variables!$B$1:$D$1,0),1))*AK461/365),""))</f>
        <v>690.74103126245768</v>
      </c>
      <c r="BI461" s="44">
        <f>IF($AX461="Cancelled","",IFERROR((W461*INDEX(Variables!$B$7:$D$7,IFERROR(MATCH(IF($B461="Robusta","Robusta",(IF($B461="","Arabica",$B461))&amp;" - "&amp;(IF($C461="","Commercial",$C461))),Variables!$B$1:$D$1,0),1))*BD461/365)+(L461/16.67*INDEX(Variables!$B$8:$D$8,IFERROR(MATCH(IF($B461="Robusta","Robusta",(IF($B461="","Arabica",$B461))&amp;" - "&amp;(IF($C461="","Commercial",$C461))),Variables!$B$1:$D$1,0),1))*BD461)+(W461*INDEX(Variables!$B$9:$D$9,IFERROR(MATCH(IF($B461="Robusta","Robusta",(IF($B461="","Arabica",$B461))&amp;" - "&amp;(IF($C461="","Commercial",$C461))),Variables!$B$1:$D$1,0),1))*BD461/365),""))</f>
        <v>215.85657226951801</v>
      </c>
      <c r="BJ461" s="44">
        <f t="shared" si="23"/>
        <v>2</v>
      </c>
      <c r="BK461" s="44">
        <f>IF($AX461="Cancelled","",IFERROR(IF(BJ461="","",(W461*INDEX(Variables!$B$7:$D$7,IFERROR(MATCH(IF($B461="Robusta","Robusta",(IF($B461="","Arabica",$B461))&amp;" - "&amp;(IF($C461="","Commercial",$C461))),Variables!$B$1:$D$1,0),1))*(BJ461/365))+(W461*INDEX(Variables!$B$9:$D$9,IFERROR(MATCH(IF($B461="Robusta","Robusta",(IF($B461="","Arabica",$B461))&amp;" - "&amp;(IF($C461="","Commercial",$C461))),Variables!$B$1:$D$1,0),1))*(BJ461/365))+(INDEX(Variables!$B$8:$D$8,IFERROR(MATCH(IF($B461="Robusta","Robusta",(IF($B461="","Arabica",$B461))&amp;" - "&amp;(IF($C461="","Commercial",$C461))),Variables!$B$1:$D$1,0),1))*L461/16.67)),""))</f>
        <v>70.34262890780721</v>
      </c>
    </row>
    <row r="462" spans="1:63">
      <c r="A462" s="13" t="s">
        <v>103</v>
      </c>
      <c r="B462" s="13" t="s">
        <v>104</v>
      </c>
      <c r="C462" s="13" t="s">
        <v>105</v>
      </c>
      <c r="D462" s="31">
        <v>45854</v>
      </c>
      <c r="E462" s="31">
        <v>45901</v>
      </c>
      <c r="F462" s="31">
        <v>45930</v>
      </c>
      <c r="G462" s="13">
        <v>3786940</v>
      </c>
      <c r="H462" s="13" t="s">
        <v>1346</v>
      </c>
      <c r="J462" s="13" t="s">
        <v>506</v>
      </c>
      <c r="K462" s="13">
        <v>5321</v>
      </c>
      <c r="L462" s="13">
        <v>320</v>
      </c>
      <c r="M462" s="13">
        <v>1</v>
      </c>
      <c r="N462" s="13" t="s">
        <v>649</v>
      </c>
      <c r="O462" s="13" t="s">
        <v>120</v>
      </c>
      <c r="P462" s="13">
        <v>10070</v>
      </c>
      <c r="R462" s="13" t="s">
        <v>239</v>
      </c>
      <c r="S462" s="13" t="s">
        <v>509</v>
      </c>
      <c r="T462" s="13" t="s">
        <v>329</v>
      </c>
      <c r="U462" s="13" t="s">
        <v>330</v>
      </c>
      <c r="V462" s="13">
        <v>60</v>
      </c>
      <c r="W462" s="44">
        <f>IF($AX462="Cancelled","",IFERROR(((V462+INDEX(Variables!$B$6:$D$6,IFERROR(MATCH(IF($B462="Robusta","Robusta",(IF($B462="","Arabica",$B462))&amp;" - "&amp;(IF($C462="","Commercial",$C462))),Variables!$B$1:$D$1,0),1)))*22.0462)*(L462/16.67),""))</f>
        <v>148459.40175164965</v>
      </c>
      <c r="X462" s="55" t="s">
        <v>37</v>
      </c>
      <c r="Y462" s="13" t="str">
        <f>IF($AX462="Cancelled","",IF(X462="","",IFERROR(IF(INDEX(Variables!$B$38:$B$47,MATCH(X462,Variables!$A$38:$A$47,0))="Yes","Yes","No"),"No")))</f>
        <v>Yes</v>
      </c>
      <c r="Z462" s="58">
        <v>45866</v>
      </c>
      <c r="AB462" s="31">
        <v>45875</v>
      </c>
      <c r="AC462" s="13" t="str">
        <f t="shared" si="21"/>
        <v>Approved</v>
      </c>
      <c r="AF462" s="71">
        <v>45888</v>
      </c>
      <c r="AG462" s="37">
        <f>IF($AX462="Cancelled","",IFERROR(IF(F462="","",F462-Variables!$B$13),""))</f>
        <v>45915</v>
      </c>
      <c r="AH462" s="13">
        <f>IF($AX462="Cancelled","",IFERROR(IF(AB462="","",(AVERAGE(E462:F462)-AB462)-Variables!$B$14),""))</f>
        <v>10.5</v>
      </c>
      <c r="AJ462" s="47">
        <v>45887</v>
      </c>
      <c r="AK462" s="14">
        <f>IF($AX462="Cancelled","",IFERROR(IF(AJ462="","",IF(AND(AB462="",AF462=""),"",IF(AF462&gt;AB462,AF462+Variables!$B$15+Variables!$B$16+Variables!$B$17-AJ462,AB462+Variables!$B$16+Variables!$B$17-AJ462))),""))</f>
        <v>16</v>
      </c>
      <c r="AL462" s="48" t="s">
        <v>114</v>
      </c>
      <c r="AM462" s="13" t="s">
        <v>115</v>
      </c>
      <c r="AN462" s="13" t="s">
        <v>281</v>
      </c>
      <c r="AP462" s="31">
        <v>45901</v>
      </c>
      <c r="AR462" s="13">
        <v>258255010</v>
      </c>
      <c r="AS462" s="31">
        <v>45901</v>
      </c>
      <c r="AU462" s="31">
        <v>45901</v>
      </c>
      <c r="AV462" s="13" t="s">
        <v>865</v>
      </c>
      <c r="AW462" s="31">
        <v>45902</v>
      </c>
      <c r="AX462" s="13" t="str">
        <f>IF(ISNUMBER(SEARCH("cancel",#REF!)),"Cancelled",IF(AND(AS462&lt;&gt;"",AU462&lt;&gt;"",AW462&lt;&gt;""),"Closed","Open"))</f>
        <v>Closed</v>
      </c>
      <c r="AY462" s="15" t="str">
        <f t="shared" si="22"/>
        <v>All dates received</v>
      </c>
      <c r="BD462" s="13">
        <f>IF($AX462="Cancelled","",IFERROR(IF(OR(AS462="",AJ462=""),"",(AJ462+Variables!$B$18-AS462)),""))</f>
        <v>1</v>
      </c>
      <c r="BE462" s="13">
        <f>IF($AX462="Cancelled","",IFERROR(IF(OR(AW462="",AS462=""),"",(AS462+Variables!$B$19)-AW462),""))</f>
        <v>4</v>
      </c>
      <c r="BF462" s="44">
        <f>IF($AX462="Cancelled","",IFERROR(W462*INDEX(Variables!$B$7:$D$7,IFERROR(MATCH(IF($B462="Robusta","Robusta",(IF($B462="","Arabica",$B462))&amp;" - "&amp;(IF($C462="","Commercial",$C462))),Variables!$B$1:$D$1,0),1))*(BE462/365),""))</f>
        <v>104.90946669183806</v>
      </c>
      <c r="BG462" s="44">
        <f>IF($AX462="Cancelled","",IFERROR((W462*INDEX(Variables!$B$7:$D$7,IFERROR(MATCH(IF($B462="Robusta","Robusta",(IF($B462="","Arabica",$B462))&amp;" - "&amp;(IF($C462="","Commercial",$C462))),Variables!$B$1:$D$1,0),1))*IFERROR(IF(AB462="","",(AVERAGE(E462:F462)-AB462)-Variables!$B$14),"")/365)+(L462/16.67*INDEX(Variables!$B$8:$D$8,IFERROR(MATCH(IF($B462="Robusta","Robusta",(IF($B462="","Arabica",$B462))&amp;" - "&amp;(IF($C462="","Commercial",$C462))),Variables!$B$1:$D$1,0),1))*IFERROR(IF(AB462="","",(AVERAGE(E462:F462)-AB462)-Variables!$B$14),""))+(W462*INDEX(Variables!$B$9:$D$9,IFERROR(MATCH(IF($B462="Robusta","Robusta",(IF($B462="","Arabica",$B462))&amp;" - "&amp;(IF($C462="","Commercial",$C462))),Variables!$B$1:$D$1,0),1))*IFERROR(IF(AB462="","",(AVERAGE(E462:F462)-AB462)-Variables!$B$14),"")/365),""))</f>
        <v>446.93762446908738</v>
      </c>
      <c r="BH462" s="44">
        <f>IF($AX462="Cancelled","",IFERROR((W462*INDEX(Variables!$B$7:$D$7,IFERROR(MATCH(IF($B462="Robusta","Robusta",(IF($B462="","Arabica",$B462))&amp;" - "&amp;(IF($C462="","Commercial",$C462))),Variables!$B$1:$D$1,0),1))*AK462/365)+(L462/16.67*INDEX(Variables!$B$8:$D$8,IFERROR(MATCH(IF($B462="Robusta","Robusta",(IF($B462="","Arabica",$B462))&amp;" - "&amp;(IF($C462="","Commercial",$C462))),Variables!$B$1:$D$1,0),1))*AK462)+(W462*INDEX(Variables!$B$9:$D$9,IFERROR(MATCH(IF($B462="Robusta","Robusta",(IF($B462="","Arabica",$B462))&amp;" - "&amp;(IF($C462="","Commercial",$C462))),Variables!$B$1:$D$1,0),1))*AK462/365),""))</f>
        <v>681.04780871479977</v>
      </c>
      <c r="BI462" s="44">
        <f>IF($AX462="Cancelled","",IFERROR((W462*INDEX(Variables!$B$7:$D$7,IFERROR(MATCH(IF($B462="Robusta","Robusta",(IF($B462="","Arabica",$B462))&amp;" - "&amp;(IF($C462="","Commercial",$C462))),Variables!$B$1:$D$1,0),1))*BD462/365)+(L462/16.67*INDEX(Variables!$B$8:$D$8,IFERROR(MATCH(IF($B462="Robusta","Robusta",(IF($B462="","Arabica",$B462))&amp;" - "&amp;(IF($C462="","Commercial",$C462))),Variables!$B$1:$D$1,0),1))*BD462)+(W462*INDEX(Variables!$B$9:$D$9,IFERROR(MATCH(IF($B462="Robusta","Robusta",(IF($B462="","Arabica",$B462))&amp;" - "&amp;(IF($C462="","Commercial",$C462))),Variables!$B$1:$D$1,0),1))*BD462/365),""))</f>
        <v>42.565488044674986</v>
      </c>
      <c r="BJ462" s="44">
        <f t="shared" si="23"/>
        <v>29</v>
      </c>
      <c r="BK462" s="44">
        <f>IF($AX462="Cancelled","",IFERROR(IF(BJ462="","",(W462*INDEX(Variables!$B$7:$D$7,IFERROR(MATCH(IF($B462="Robusta","Robusta",(IF($B462="","Arabica",$B462))&amp;" - "&amp;(IF($C462="","Commercial",$C462))),Variables!$B$1:$D$1,0),1))*(BJ462/365))+(W462*INDEX(Variables!$B$9:$D$9,IFERROR(MATCH(IF($B462="Robusta","Robusta",(IF($B462="","Arabica",$B462))&amp;" - "&amp;(IF($C462="","Commercial",$C462))),Variables!$B$1:$D$1,0),1))*(BJ462/365))+(INDEX(Variables!$B$8:$D$8,IFERROR(MATCH(IF($B462="Robusta","Robusta",(IF($B462="","Arabica",$B462))&amp;" - "&amp;(IF($C462="","Commercial",$C462))),Variables!$B$1:$D$1,0),1))*L462/16.67)),""))</f>
        <v>786.39915329557459</v>
      </c>
    </row>
    <row r="463" spans="1:63">
      <c r="A463" s="13" t="s">
        <v>103</v>
      </c>
      <c r="B463" s="13" t="s">
        <v>104</v>
      </c>
      <c r="C463" s="13" t="s">
        <v>105</v>
      </c>
      <c r="D463" s="31">
        <v>45858</v>
      </c>
      <c r="E463" s="31">
        <v>45870</v>
      </c>
      <c r="F463" s="31">
        <v>45930</v>
      </c>
      <c r="G463" s="13">
        <v>3786941</v>
      </c>
      <c r="H463" s="13" t="s">
        <v>1347</v>
      </c>
      <c r="J463" s="13" t="s">
        <v>260</v>
      </c>
      <c r="K463" s="13">
        <v>5318</v>
      </c>
      <c r="L463" s="13">
        <v>320</v>
      </c>
      <c r="M463" s="13">
        <v>1</v>
      </c>
      <c r="N463" s="13" t="s">
        <v>1348</v>
      </c>
      <c r="O463" s="13" t="s">
        <v>179</v>
      </c>
      <c r="P463" s="13">
        <v>10110</v>
      </c>
      <c r="R463" s="13" t="s">
        <v>110</v>
      </c>
      <c r="S463" s="13" t="s">
        <v>262</v>
      </c>
      <c r="T463" s="13" t="s">
        <v>263</v>
      </c>
      <c r="U463" s="13" t="s">
        <v>125</v>
      </c>
      <c r="V463" s="13">
        <v>15</v>
      </c>
      <c r="W463" s="44">
        <f>IF($AX463="Cancelled","",IFERROR(((V463+INDEX(Variables!$B$6:$D$6,IFERROR(MATCH(IF($B463="Robusta","Robusta",(IF($B463="","Arabica",$B463))&amp;" - "&amp;(IF($C463="","Commercial",$C463))),Variables!$B$1:$D$1,0),1)))*22.0462)*(L463/16.67),""))</f>
        <v>129415.29377324534</v>
      </c>
      <c r="X463" s="55" t="s">
        <v>37</v>
      </c>
      <c r="Y463" s="13" t="str">
        <f>IF($AX463="Cancelled","",IF(X463="","",IFERROR(IF(INDEX(Variables!$B$38:$B$47,MATCH(X463,Variables!$A$38:$A$47,0))="Yes","Yes","No"),"No")))</f>
        <v>Yes</v>
      </c>
      <c r="Z463" s="58">
        <v>45861</v>
      </c>
      <c r="AB463" s="31">
        <v>45880</v>
      </c>
      <c r="AC463" s="13" t="str">
        <f t="shared" si="21"/>
        <v>Approved</v>
      </c>
      <c r="AF463" s="71">
        <v>45888</v>
      </c>
      <c r="AG463" s="37">
        <f>IF($AX463="Cancelled","",IFERROR(IF(F463="","",F463-Variables!$B$13),""))</f>
        <v>45915</v>
      </c>
      <c r="AH463" s="13">
        <f>IF($AX463="Cancelled","",IFERROR(IF(AB463="","",(AVERAGE(E463:F463)-AB463)-Variables!$B$14),""))</f>
        <v>-10</v>
      </c>
      <c r="AJ463" s="47">
        <v>45884</v>
      </c>
      <c r="AK463" s="14">
        <f>IF($AX463="Cancelled","",IFERROR(IF(AJ463="","",IF(AND(AB463="",AF463=""),"",IF(AF463&gt;AB463,AF463+Variables!$B$15+Variables!$B$16+Variables!$B$17-AJ463,AB463+Variables!$B$16+Variables!$B$17-AJ463))),""))</f>
        <v>19</v>
      </c>
      <c r="AL463" s="48" t="s">
        <v>114</v>
      </c>
      <c r="AM463" s="13" t="s">
        <v>168</v>
      </c>
      <c r="AN463" s="13" t="s">
        <v>408</v>
      </c>
      <c r="AP463" s="31">
        <v>45900</v>
      </c>
      <c r="AR463" s="13" t="s">
        <v>1349</v>
      </c>
      <c r="AS463" s="31">
        <v>45900</v>
      </c>
      <c r="AU463" s="31">
        <v>45903</v>
      </c>
      <c r="AV463" s="13" t="s">
        <v>865</v>
      </c>
      <c r="AW463" s="31">
        <v>45905</v>
      </c>
      <c r="AX463" s="13" t="str">
        <f>IF(ISNUMBER(SEARCH("cancel",#REF!)),"Cancelled",IF(AND(AS463&lt;&gt;"",AU463&lt;&gt;"",AW463&lt;&gt;""),"Closed","Open"))</f>
        <v>Closed</v>
      </c>
      <c r="AY463" s="15" t="str">
        <f t="shared" si="22"/>
        <v>All dates received</v>
      </c>
      <c r="BD463" s="13">
        <f>IF($AX463="Cancelled","",IFERROR(IF(OR(AS463="",AJ463=""),"",(AJ463+Variables!$B$18-AS463)),""))</f>
        <v>-1</v>
      </c>
      <c r="BE463" s="13">
        <f>IF($AX463="Cancelled","",IFERROR(IF(OR(AW463="",AS463=""),"",(AS463+Variables!$B$19)-AW463),""))</f>
        <v>0</v>
      </c>
      <c r="BF463" s="44">
        <f>IF($AX463="Cancelled","",IFERROR(W463*INDEX(Variables!$B$7:$D$7,IFERROR(MATCH(IF($B463="Robusta","Robusta",(IF($B463="","Arabica",$B463))&amp;" - "&amp;(IF($C463="","Commercial",$C463))),Variables!$B$1:$D$1,0),1))*(BE463/365),""))</f>
        <v>0</v>
      </c>
      <c r="BG463" s="44">
        <f>IF($AX463="Cancelled","",IFERROR((W463*INDEX(Variables!$B$7:$D$7,IFERROR(MATCH(IF($B463="Robusta","Robusta",(IF($B463="","Arabica",$B463))&amp;" - "&amp;(IF($C463="","Commercial",$C463))),Variables!$B$1:$D$1,0),1))*IFERROR(IF(AB463="","",(AVERAGE(E463:F463)-AB463)-Variables!$B$14),"")/365)+(L463/16.67*INDEX(Variables!$B$8:$D$8,IFERROR(MATCH(IF($B463="Robusta","Robusta",(IF($B463="","Arabica",$B463))&amp;" - "&amp;(IF($C463="","Commercial",$C463))),Variables!$B$1:$D$1,0),1))*IFERROR(IF(AB463="","",(AVERAGE(E463:F463)-AB463)-Variables!$B$14),""))+(W463*INDEX(Variables!$B$9:$D$9,IFERROR(MATCH(IF($B463="Robusta","Robusta",(IF($B463="","Arabica",$B463))&amp;" - "&amp;(IF($C463="","Commercial",$C463))),Variables!$B$1:$D$1,0),1))*IFERROR(IF(AB463="","",(AVERAGE(E463:F463)-AB463)-Variables!$B$14),"")/365),""))</f>
        <v>-391.57714492764001</v>
      </c>
      <c r="BH463" s="44">
        <f>IF($AX463="Cancelled","",IFERROR((W463*INDEX(Variables!$B$7:$D$7,IFERROR(MATCH(IF($B463="Robusta","Robusta",(IF($B463="","Arabica",$B463))&amp;" - "&amp;(IF($C463="","Commercial",$C463))),Variables!$B$1:$D$1,0),1))*AK463/365)+(L463/16.67*INDEX(Variables!$B$8:$D$8,IFERROR(MATCH(IF($B463="Robusta","Robusta",(IF($B463="","Arabica",$B463))&amp;" - "&amp;(IF($C463="","Commercial",$C463))),Variables!$B$1:$D$1,0),1))*AK463)+(W463*INDEX(Variables!$B$9:$D$9,IFERROR(MATCH(IF($B463="Robusta","Robusta",(IF($B463="","Arabica",$B463))&amp;" - "&amp;(IF($C463="","Commercial",$C463))),Variables!$B$1:$D$1,0),1))*AK463/365),""))</f>
        <v>743.99657536251596</v>
      </c>
      <c r="BI463" s="44">
        <f>IF($AX463="Cancelled","",IFERROR((W463*INDEX(Variables!$B$7:$D$7,IFERROR(MATCH(IF($B463="Robusta","Robusta",(IF($B463="","Arabica",$B463))&amp;" - "&amp;(IF($C463="","Commercial",$C463))),Variables!$B$1:$D$1,0),1))*BD463/365)+(L463/16.67*INDEX(Variables!$B$8:$D$8,IFERROR(MATCH(IF($B463="Robusta","Robusta",(IF($B463="","Arabica",$B463))&amp;" - "&amp;(IF($C463="","Commercial",$C463))),Variables!$B$1:$D$1,0),1))*BD463)+(W463*INDEX(Variables!$B$9:$D$9,IFERROR(MATCH(IF($B463="Robusta","Robusta",(IF($B463="","Arabica",$B463))&amp;" - "&amp;(IF($C463="","Commercial",$C463))),Variables!$B$1:$D$1,0),1))*BD463/365),""))</f>
        <v>-39.157714492764001</v>
      </c>
      <c r="BJ463" s="44">
        <f t="shared" si="23"/>
        <v>30</v>
      </c>
      <c r="BK463" s="44">
        <f>IF($AX463="Cancelled","",IFERROR(IF(BJ463="","",(W463*INDEX(Variables!$B$7:$D$7,IFERROR(MATCH(IF($B463="Robusta","Robusta",(IF($B463="","Arabica",$B463))&amp;" - "&amp;(IF($C463="","Commercial",$C463))),Variables!$B$1:$D$1,0),1))*(BJ463/365))+(W463*INDEX(Variables!$B$9:$D$9,IFERROR(MATCH(IF($B463="Robusta","Robusta",(IF($B463="","Arabica",$B463))&amp;" - "&amp;(IF($C463="","Commercial",$C463))),Variables!$B$1:$D$1,0),1))*(BJ463/365))+(INDEX(Variables!$B$8:$D$8,IFERROR(MATCH(IF($B463="Robusta","Robusta",(IF($B463="","Arabica",$B463))&amp;" - "&amp;(IF($C463="","Commercial",$C463))),Variables!$B$1:$D$1,0),1))*L463/16.67)),""))</f>
        <v>710.73143478291991</v>
      </c>
    </row>
    <row r="464" spans="1:63">
      <c r="A464" s="13" t="s">
        <v>103</v>
      </c>
      <c r="B464" s="13" t="s">
        <v>104</v>
      </c>
      <c r="C464" s="13" t="s">
        <v>105</v>
      </c>
      <c r="D464" s="31">
        <v>45869</v>
      </c>
      <c r="E464" s="31">
        <v>45901</v>
      </c>
      <c r="F464" s="31">
        <v>45930</v>
      </c>
      <c r="G464" s="13">
        <v>3786942</v>
      </c>
      <c r="H464" s="13" t="s">
        <v>1350</v>
      </c>
      <c r="J464" s="13" t="s">
        <v>118</v>
      </c>
      <c r="K464" s="13">
        <v>5325</v>
      </c>
      <c r="L464" s="13">
        <v>320</v>
      </c>
      <c r="M464" s="13">
        <v>1</v>
      </c>
      <c r="N464" s="13" t="s">
        <v>1351</v>
      </c>
      <c r="O464" s="13" t="s">
        <v>1163</v>
      </c>
      <c r="P464" s="13">
        <v>10310</v>
      </c>
      <c r="Q464" s="59" t="s">
        <v>270</v>
      </c>
      <c r="R464" s="13" t="s">
        <v>239</v>
      </c>
      <c r="S464" s="13" t="s">
        <v>429</v>
      </c>
      <c r="T464" s="13" t="s">
        <v>430</v>
      </c>
      <c r="U464" s="13" t="s">
        <v>182</v>
      </c>
      <c r="V464" s="13">
        <v>74.81</v>
      </c>
      <c r="W464" s="44">
        <f>IF($AX464="Cancelled","",IFERROR(((V464+INDEX(Variables!$B$6:$D$6,IFERROR(MATCH(IF($B464="Robusta","Robusta",(IF($B464="","Arabica",$B464))&amp;" - "&amp;(IF($C464="","Commercial",$C464))),Variables!$B$1:$D$1,0),1)))*22.0462)*(L464/16.67),""))</f>
        <v>154727.02928854225</v>
      </c>
      <c r="X464" s="55" t="s">
        <v>37</v>
      </c>
      <c r="Y464" s="13" t="str">
        <f>IF($AX464="Cancelled","",IF(X464="","",IFERROR(IF(INDEX(Variables!$B$38:$B$47,MATCH(X464,Variables!$A$38:$A$47,0))="Yes","Yes","No"),"No")))</f>
        <v>Yes</v>
      </c>
      <c r="Z464" s="58">
        <v>45877</v>
      </c>
      <c r="AB464" s="31">
        <v>45887</v>
      </c>
      <c r="AC464" s="13" t="str">
        <f t="shared" si="21"/>
        <v>Approved</v>
      </c>
      <c r="AF464" s="71">
        <v>45897</v>
      </c>
      <c r="AG464" s="37">
        <f>IF($AX464="Cancelled","",IFERROR(IF(F464="","",F464-Variables!$B$13),""))</f>
        <v>45915</v>
      </c>
      <c r="AH464" s="13">
        <f>IF($AX464="Cancelled","",IFERROR(IF(AB464="","",(AVERAGE(E464:F464)-AB464)-Variables!$B$14),""))</f>
        <v>-1.5</v>
      </c>
      <c r="AJ464" s="47">
        <v>45896</v>
      </c>
      <c r="AK464" s="14">
        <f>IF($AX464="Cancelled","",IFERROR(IF(AJ464="","",IF(AND(AB464="",AF464=""),"",IF(AF464&gt;AB464,AF464+Variables!$B$15+Variables!$B$16+Variables!$B$17-AJ464,AB464+Variables!$B$16+Variables!$B$17-AJ464))),""))</f>
        <v>16</v>
      </c>
      <c r="AL464" s="48" t="s">
        <v>114</v>
      </c>
      <c r="AM464" s="13" t="s">
        <v>168</v>
      </c>
      <c r="AN464" s="13" t="s">
        <v>1352</v>
      </c>
      <c r="AP464" s="31">
        <v>45913</v>
      </c>
      <c r="AR464" s="13" t="s">
        <v>1353</v>
      </c>
      <c r="AS464" s="31">
        <v>45913</v>
      </c>
      <c r="AU464" s="31">
        <v>45916</v>
      </c>
      <c r="AV464" s="13" t="s">
        <v>1354</v>
      </c>
      <c r="AW464" s="31">
        <v>45919</v>
      </c>
      <c r="AX464" s="13" t="str">
        <f>IF(ISNUMBER(SEARCH("cancel",#REF!)),"Cancelled",IF(AND(AS464&lt;&gt;"",AU464&lt;&gt;"",AW464&lt;&gt;""),"Closed","Open"))</f>
        <v>Closed</v>
      </c>
      <c r="AY464" s="15" t="str">
        <f t="shared" si="22"/>
        <v>All dates received</v>
      </c>
      <c r="BD464" s="13">
        <f>IF($AX464="Cancelled","",IFERROR(IF(OR(AS464="",AJ464=""),"",(AJ464+Variables!$B$18-AS464)),""))</f>
        <v>-2</v>
      </c>
      <c r="BE464" s="13">
        <f>IF($AX464="Cancelled","",IFERROR(IF(OR(AW464="",AS464=""),"",(AS464+Variables!$B$19)-AW464),""))</f>
        <v>-1</v>
      </c>
      <c r="BF464" s="44">
        <f>IF($AX464="Cancelled","",IFERROR(W464*INDEX(Variables!$B$7:$D$7,IFERROR(MATCH(IF($B464="Robusta","Robusta",(IF($B464="","Arabica",$B464))&amp;" - "&amp;(IF($C464="","Commercial",$C464))),Variables!$B$1:$D$1,0),1))*(BE464/365),""))</f>
        <v>-27.334628076683945</v>
      </c>
      <c r="BG464" s="44">
        <f>IF($AX464="Cancelled","",IFERROR((W464*INDEX(Variables!$B$7:$D$7,IFERROR(MATCH(IF($B464="Robusta","Robusta",(IF($B464="","Arabica",$B464))&amp;" - "&amp;(IF($C464="","Commercial",$C464))),Variables!$B$1:$D$1,0),1))*IFERROR(IF(AB464="","",(AVERAGE(E464:F464)-AB464)-Variables!$B$14),"")/365)+(L464/16.67*INDEX(Variables!$B$8:$D$8,IFERROR(MATCH(IF($B464="Robusta","Robusta",(IF($B464="","Arabica",$B464))&amp;" - "&amp;(IF($C464="","Commercial",$C464))),Variables!$B$1:$D$1,0),1))*IFERROR(IF(AB464="","",(AVERAGE(E464:F464)-AB464)-Variables!$B$14),""))+(W464*INDEX(Variables!$B$9:$D$9,IFERROR(MATCH(IF($B464="Robusta","Robusta",(IF($B464="","Arabica",$B464))&amp;" - "&amp;(IF($C464="","Commercial",$C464))),Variables!$B$1:$D$1,0),1))*IFERROR(IF(AB464="","",(AVERAGE(E464:F464)-AB464)-Variables!$B$14),"")/365),""))</f>
        <v>-65.530536277139191</v>
      </c>
      <c r="BH464" s="44">
        <f>IF($AX464="Cancelled","",IFERROR((W464*INDEX(Variables!$B$7:$D$7,IFERROR(MATCH(IF($B464="Robusta","Robusta",(IF($B464="","Arabica",$B464))&amp;" - "&amp;(IF($C464="","Commercial",$C464))),Variables!$B$1:$D$1,0),1))*AK464/365)+(L464/16.67*INDEX(Variables!$B$8:$D$8,IFERROR(MATCH(IF($B464="Robusta","Robusta",(IF($B464="","Arabica",$B464))&amp;" - "&amp;(IF($C464="","Commercial",$C464))),Variables!$B$1:$D$1,0),1))*AK464)+(W464*INDEX(Variables!$B$9:$D$9,IFERROR(MATCH(IF($B464="Robusta","Robusta",(IF($B464="","Arabica",$B464))&amp;" - "&amp;(IF($C464="","Commercial",$C464))),Variables!$B$1:$D$1,0),1))*AK464/365),""))</f>
        <v>698.99238695615145</v>
      </c>
      <c r="BI464" s="44">
        <f>IF($AX464="Cancelled","",IFERROR((W464*INDEX(Variables!$B$7:$D$7,IFERROR(MATCH(IF($B464="Robusta","Robusta",(IF($B464="","Arabica",$B464))&amp;" - "&amp;(IF($C464="","Commercial",$C464))),Variables!$B$1:$D$1,0),1))*BD464/365)+(L464/16.67*INDEX(Variables!$B$8:$D$8,IFERROR(MATCH(IF($B464="Robusta","Robusta",(IF($B464="","Arabica",$B464))&amp;" - "&amp;(IF($C464="","Commercial",$C464))),Variables!$B$1:$D$1,0),1))*BD464)+(W464*INDEX(Variables!$B$9:$D$9,IFERROR(MATCH(IF($B464="Robusta","Robusta",(IF($B464="","Arabica",$B464))&amp;" - "&amp;(IF($C464="","Commercial",$C464))),Variables!$B$1:$D$1,0),1))*BD464/365),""))</f>
        <v>-87.374048369518931</v>
      </c>
      <c r="BJ464" s="44">
        <f t="shared" si="23"/>
        <v>17</v>
      </c>
      <c r="BK464" s="44">
        <f>IF($AX464="Cancelled","",IFERROR(IF(BJ464="","",(W464*INDEX(Variables!$B$7:$D$7,IFERROR(MATCH(IF($B464="Robusta","Robusta",(IF($B464="","Arabica",$B464))&amp;" - "&amp;(IF($C464="","Commercial",$C464))),Variables!$B$1:$D$1,0),1))*(BJ464/365))+(W464*INDEX(Variables!$B$9:$D$9,IFERROR(MATCH(IF($B464="Robusta","Robusta",(IF($B464="","Arabica",$B464))&amp;" - "&amp;(IF($C464="","Commercial",$C464))),Variables!$B$1:$D$1,0),1))*(BJ464/365))+(INDEX(Variables!$B$8:$D$8,IFERROR(MATCH(IF($B464="Robusta","Robusta",(IF($B464="","Arabica",$B464))&amp;" - "&amp;(IF($C464="","Commercial",$C464))),Variables!$B$1:$D$1,0),1))*L464/16.67)),""))</f>
        <v>486.67941114091099</v>
      </c>
    </row>
    <row r="465" spans="1:63">
      <c r="A465" s="13" t="s">
        <v>103</v>
      </c>
      <c r="B465" s="13" t="s">
        <v>104</v>
      </c>
      <c r="C465" s="13" t="s">
        <v>105</v>
      </c>
      <c r="D465" s="31">
        <v>45870</v>
      </c>
      <c r="E465" s="31">
        <v>45901</v>
      </c>
      <c r="F465" s="31">
        <v>45930</v>
      </c>
      <c r="G465" s="13">
        <v>3786943</v>
      </c>
      <c r="H465" s="13" t="s">
        <v>1355</v>
      </c>
      <c r="J465" s="13" t="s">
        <v>1356</v>
      </c>
      <c r="K465" s="13" t="s">
        <v>1357</v>
      </c>
      <c r="L465" s="13">
        <v>100</v>
      </c>
      <c r="M465" s="13">
        <v>1</v>
      </c>
      <c r="N465" s="13" t="s">
        <v>1358</v>
      </c>
      <c r="O465" s="13" t="s">
        <v>1359</v>
      </c>
      <c r="P465" s="13">
        <v>10100</v>
      </c>
      <c r="R465" s="13" t="s">
        <v>239</v>
      </c>
      <c r="S465" s="13" t="s">
        <v>595</v>
      </c>
      <c r="T465" s="13" t="s">
        <v>596</v>
      </c>
      <c r="U465" s="13" t="s">
        <v>125</v>
      </c>
      <c r="V465" s="13">
        <v>38</v>
      </c>
      <c r="W465" s="44">
        <f>IF($AX465="Cancelled","",IFERROR(((V465+INDEX(Variables!$B$6:$D$6,IFERROR(MATCH(IF($B465="Robusta","Robusta",(IF($B465="","Arabica",$B465))&amp;" - "&amp;(IF($C465="","Commercial",$C465))),Variables!$B$1:$D$1,0),1)))*22.0462)*(L465/16.67),""))</f>
        <v>43484.046550689854</v>
      </c>
      <c r="X465" s="55" t="s">
        <v>37</v>
      </c>
      <c r="Y465" s="13" t="str">
        <f>IF($AX465="Cancelled","",IF(X465="","",IFERROR(IF(INDEX(Variables!$B$38:$B$47,MATCH(X465,Variables!$A$38:$A$47,0))="Yes","Yes","No"),"No")))</f>
        <v>Yes</v>
      </c>
      <c r="Z465" s="58">
        <v>45884</v>
      </c>
      <c r="AB465" s="31">
        <v>45889</v>
      </c>
      <c r="AC465" s="13" t="str">
        <f t="shared" si="21"/>
        <v>Approved</v>
      </c>
      <c r="AF465" s="71">
        <v>45908</v>
      </c>
      <c r="AG465" s="37">
        <f>IF($AX465="Cancelled","",IFERROR(IF(F465="","",F465-Variables!$B$13),""))</f>
        <v>45915</v>
      </c>
      <c r="AH465" s="13">
        <f>IF($AX465="Cancelled","",IFERROR(IF(AB465="","",(AVERAGE(E465:F465)-AB465)-Variables!$B$14),""))</f>
        <v>-3.5</v>
      </c>
      <c r="AJ465" s="47">
        <v>45905</v>
      </c>
      <c r="AK465" s="14">
        <f>IF($AX465="Cancelled","",IFERROR(IF(AJ465="","",IF(AND(AB465="",AF465=""),"",IF(AF465&gt;AB465,AF465+Variables!$B$15+Variables!$B$16+Variables!$B$17-AJ465,AB465+Variables!$B$16+Variables!$B$17-AJ465))),""))</f>
        <v>18</v>
      </c>
      <c r="AL465" s="48" t="s">
        <v>114</v>
      </c>
      <c r="AM465" s="13" t="s">
        <v>141</v>
      </c>
      <c r="AN465" s="13" t="s">
        <v>1096</v>
      </c>
      <c r="AP465" s="31">
        <v>45920</v>
      </c>
      <c r="AR465" s="13" t="s">
        <v>1360</v>
      </c>
      <c r="AS465" s="31">
        <v>45920</v>
      </c>
      <c r="AU465" s="31">
        <v>45923</v>
      </c>
      <c r="AV465" s="13" t="s">
        <v>865</v>
      </c>
      <c r="AW465" s="31">
        <v>45923</v>
      </c>
      <c r="AX465" s="13" t="str">
        <f>IF(ISNUMBER(SEARCH("cancel",#REF!)),"Cancelled",IF(AND(AS465&lt;&gt;"",AU465&lt;&gt;"",AW465&lt;&gt;""),"Closed","Open"))</f>
        <v>Closed</v>
      </c>
      <c r="AY465" s="15" t="str">
        <f t="shared" si="22"/>
        <v>All dates received</v>
      </c>
      <c r="BD465" s="13">
        <f>IF($AX465="Cancelled","",IFERROR(IF(OR(AS465="",AJ465=""),"",(AJ465+Variables!$B$18-AS465)),""))</f>
        <v>0</v>
      </c>
      <c r="BE465" s="13">
        <f>IF($AX465="Cancelled","",IFERROR(IF(OR(AW465="",AS465=""),"",(AS465+Variables!$B$19)-AW465),""))</f>
        <v>2</v>
      </c>
      <c r="BF465" s="44">
        <f>IF($AX465="Cancelled","",IFERROR(W465*INDEX(Variables!$B$7:$D$7,IFERROR(MATCH(IF($B465="Robusta","Robusta",(IF($B465="","Arabica",$B465))&amp;" - "&amp;(IF($C465="","Commercial",$C465))),Variables!$B$1:$D$1,0),1))*(BE465/365),""))</f>
        <v>15.36409307666243</v>
      </c>
      <c r="BG465" s="44">
        <f>IF($AX465="Cancelled","",IFERROR((W465*INDEX(Variables!$B$7:$D$7,IFERROR(MATCH(IF($B465="Robusta","Robusta",(IF($B465="","Arabica",$B465))&amp;" - "&amp;(IF($C465="","Commercial",$C465))),Variables!$B$1:$D$1,0),1))*IFERROR(IF(AB465="","",(AVERAGE(E465:F465)-AB465)-Variables!$B$14),"")/365)+(L465/16.67*INDEX(Variables!$B$8:$D$8,IFERROR(MATCH(IF($B465="Robusta","Robusta",(IF($B465="","Arabica",$B465))&amp;" - "&amp;(IF($C465="","Commercial",$C465))),Variables!$B$1:$D$1,0),1))*IFERROR(IF(AB465="","",(AVERAGE(E465:F465)-AB465)-Variables!$B$14),""))+(W465*INDEX(Variables!$B$9:$D$9,IFERROR(MATCH(IF($B465="Robusta","Robusta",(IF($B465="","Arabica",$B465))&amp;" - "&amp;(IF($C465="","Commercial",$C465))),Variables!$B$1:$D$1,0),1))*IFERROR(IF(AB465="","",(AVERAGE(E465:F465)-AB465)-Variables!$B$14),"")/365),""))</f>
        <v>-44.73379030235531</v>
      </c>
      <c r="BH465" s="44">
        <f>IF($AX465="Cancelled","",IFERROR((W465*INDEX(Variables!$B$7:$D$7,IFERROR(MATCH(IF($B465="Robusta","Robusta",(IF($B465="","Arabica",$B465))&amp;" - "&amp;(IF($C465="","Commercial",$C465))),Variables!$B$1:$D$1,0),1))*AK465/365)+(L465/16.67*INDEX(Variables!$B$8:$D$8,IFERROR(MATCH(IF($B465="Robusta","Robusta",(IF($B465="","Arabica",$B465))&amp;" - "&amp;(IF($C465="","Commercial",$C465))),Variables!$B$1:$D$1,0),1))*AK465)+(W465*INDEX(Variables!$B$9:$D$9,IFERROR(MATCH(IF($B465="Robusta","Robusta",(IF($B465="","Arabica",$B465))&amp;" - "&amp;(IF($C465="","Commercial",$C465))),Variables!$B$1:$D$1,0),1))*AK465/365),""))</f>
        <v>230.05949298354156</v>
      </c>
      <c r="BI465" s="44">
        <f>IF($AX465="Cancelled","",IFERROR((W465*INDEX(Variables!$B$7:$D$7,IFERROR(MATCH(IF($B465="Robusta","Robusta",(IF($B465="","Arabica",$B465))&amp;" - "&amp;(IF($C465="","Commercial",$C465))),Variables!$B$1:$D$1,0),1))*BD465/365)+(L465/16.67*INDEX(Variables!$B$8:$D$8,IFERROR(MATCH(IF($B465="Robusta","Robusta",(IF($B465="","Arabica",$B465))&amp;" - "&amp;(IF($C465="","Commercial",$C465))),Variables!$B$1:$D$1,0),1))*BD465)+(W465*INDEX(Variables!$B$9:$D$9,IFERROR(MATCH(IF($B465="Robusta","Robusta",(IF($B465="","Arabica",$B465))&amp;" - "&amp;(IF($C465="","Commercial",$C465))),Variables!$B$1:$D$1,0),1))*BD465/365),""))</f>
        <v>0</v>
      </c>
      <c r="BJ465" s="44">
        <f t="shared" si="23"/>
        <v>10</v>
      </c>
      <c r="BK465" s="44">
        <f>IF($AX465="Cancelled","",IFERROR(IF(BJ465="","",(W465*INDEX(Variables!$B$7:$D$7,IFERROR(MATCH(IF($B465="Robusta","Robusta",(IF($B465="","Arabica",$B465))&amp;" - "&amp;(IF($C465="","Commercial",$C465))),Variables!$B$1:$D$1,0),1))*(BJ465/365))+(W465*INDEX(Variables!$B$9:$D$9,IFERROR(MATCH(IF($B465="Robusta","Robusta",(IF($B465="","Arabica",$B465))&amp;" - "&amp;(IF($C465="","Commercial",$C465))),Variables!$B$1:$D$1,0),1))*(BJ465/365))+(INDEX(Variables!$B$8:$D$8,IFERROR(MATCH(IF($B465="Robusta","Robusta",(IF($B465="","Arabica",$B465))&amp;" - "&amp;(IF($C465="","Commercial",$C465))),Variables!$B$1:$D$1,0),1))*L465/16.67)),""))</f>
        <v>82.81082943530086</v>
      </c>
    </row>
    <row r="466" spans="1:63">
      <c r="A466" s="13" t="s">
        <v>103</v>
      </c>
      <c r="B466" s="13" t="s">
        <v>104</v>
      </c>
      <c r="C466" s="13" t="s">
        <v>105</v>
      </c>
      <c r="D466" s="31">
        <v>45870</v>
      </c>
      <c r="E466" s="31">
        <v>45901</v>
      </c>
      <c r="F466" s="31">
        <v>45930</v>
      </c>
      <c r="G466" s="13">
        <v>3786944</v>
      </c>
      <c r="H466" s="13" t="s">
        <v>1361</v>
      </c>
      <c r="J466" s="13" t="s">
        <v>1356</v>
      </c>
      <c r="K466" s="13" t="s">
        <v>1362</v>
      </c>
      <c r="L466" s="13">
        <v>120</v>
      </c>
      <c r="M466" s="13">
        <v>0</v>
      </c>
      <c r="N466" s="13" t="s">
        <v>1363</v>
      </c>
      <c r="O466" s="13" t="s">
        <v>238</v>
      </c>
      <c r="P466" s="13">
        <v>10090</v>
      </c>
      <c r="R466" s="13" t="s">
        <v>239</v>
      </c>
      <c r="S466" s="13" t="s">
        <v>595</v>
      </c>
      <c r="T466" s="13" t="s">
        <v>596</v>
      </c>
      <c r="U466" s="13" t="s">
        <v>125</v>
      </c>
      <c r="V466" s="13">
        <v>54</v>
      </c>
      <c r="W466" s="44">
        <f>IF($AX466="Cancelled","",IFERROR(((V466+INDEX(Variables!$B$6:$D$6,IFERROR(MATCH(IF($B466="Robusta","Robusta",(IF($B466="","Arabica",$B466))&amp;" - "&amp;(IF($C466="","Commercial",$C466))),Variables!$B$1:$D$1,0),1)))*22.0462)*(L466/16.67),""))</f>
        <v>54720.070257948399</v>
      </c>
      <c r="X466" s="55" t="s">
        <v>37</v>
      </c>
      <c r="Y466" s="13" t="str">
        <f>IF($AX466="Cancelled","",IF(X466="","",IFERROR(IF(INDEX(Variables!$B$38:$B$47,MATCH(X466,Variables!$A$38:$A$47,0))="Yes","Yes","No"),"No")))</f>
        <v>Yes</v>
      </c>
      <c r="Z466" s="58">
        <v>45884</v>
      </c>
      <c r="AB466" s="31">
        <v>45889</v>
      </c>
      <c r="AC466" s="13" t="str">
        <f t="shared" si="21"/>
        <v>Approved</v>
      </c>
      <c r="AF466" s="71">
        <v>45908</v>
      </c>
      <c r="AG466" s="37">
        <f>IF($AX466="Cancelled","",IFERROR(IF(F466="","",F466-Variables!$B$13),""))</f>
        <v>45915</v>
      </c>
      <c r="AH466" s="13">
        <f>IF($AX466="Cancelled","",IFERROR(IF(AB466="","",(AVERAGE(E466:F466)-AB466)-Variables!$B$14),""))</f>
        <v>-3.5</v>
      </c>
      <c r="AJ466" s="47">
        <v>45905</v>
      </c>
      <c r="AK466" s="14">
        <f>IF($AX466="Cancelled","",IFERROR(IF(AJ466="","",IF(AND(AB466="",AF466=""),"",IF(AF466&gt;AB466,AF466+Variables!$B$15+Variables!$B$16+Variables!$B$17-AJ466,AB466+Variables!$B$16+Variables!$B$17-AJ466))),""))</f>
        <v>18</v>
      </c>
      <c r="AL466" s="48" t="s">
        <v>114</v>
      </c>
      <c r="AM466" s="13" t="s">
        <v>141</v>
      </c>
      <c r="AN466" s="13" t="s">
        <v>1096</v>
      </c>
      <c r="AP466" s="31">
        <v>45920</v>
      </c>
      <c r="AR466" s="13" t="s">
        <v>1360</v>
      </c>
      <c r="AS466" s="31">
        <v>45920</v>
      </c>
      <c r="AU466" s="31">
        <v>45923</v>
      </c>
      <c r="AV466" s="13" t="s">
        <v>865</v>
      </c>
      <c r="AW466" s="31">
        <v>45923</v>
      </c>
      <c r="AX466" s="13" t="str">
        <f>IF(ISNUMBER(SEARCH("cancel",#REF!)),"Cancelled",IF(AND(AS466&lt;&gt;"",AU466&lt;&gt;"",AW466&lt;&gt;""),"Closed","Open"))</f>
        <v>Closed</v>
      </c>
      <c r="AY466" s="15" t="str">
        <f t="shared" si="22"/>
        <v>All dates received</v>
      </c>
      <c r="BD466" s="13">
        <f>IF($AX466="Cancelled","",IFERROR(IF(OR(AS466="",AJ466=""),"",(AJ466+Variables!$B$18-AS466)),""))</f>
        <v>0</v>
      </c>
      <c r="BE466" s="13">
        <f>IF($AX466="Cancelled","",IFERROR(IF(OR(AW466="",AS466=""),"",(AS466+Variables!$B$19)-AW466),""))</f>
        <v>2</v>
      </c>
      <c r="BF466" s="44">
        <f>IF($AX466="Cancelled","",IFERROR(W466*INDEX(Variables!$B$7:$D$7,IFERROR(MATCH(IF($B466="Robusta","Robusta",(IF($B466="","Arabica",$B466))&amp;" - "&amp;(IF($C466="","Commercial",$C466))),Variables!$B$1:$D$1,0),1))*(BE466/365),""))</f>
        <v>19.334085010340168</v>
      </c>
      <c r="BG466" s="44">
        <f>IF($AX466="Cancelled","",IFERROR((W466*INDEX(Variables!$B$7:$D$7,IFERROR(MATCH(IF($B466="Robusta","Robusta",(IF($B466="","Arabica",$B466))&amp;" - "&amp;(IF($C466="","Commercial",$C466))),Variables!$B$1:$D$1,0),1))*IFERROR(IF(AB466="","",(AVERAGE(E466:F466)-AB466)-Variables!$B$14),"")/365)+(L466/16.67*INDEX(Variables!$B$8:$D$8,IFERROR(MATCH(IF($B466="Robusta","Robusta",(IF($B466="","Arabica",$B466))&amp;" - "&amp;(IF($C466="","Commercial",$C466))),Variables!$B$1:$D$1,0),1))*IFERROR(IF(AB466="","",(AVERAGE(E466:F466)-AB466)-Variables!$B$14),""))+(W466*INDEX(Variables!$B$9:$D$9,IFERROR(MATCH(IF($B466="Robusta","Robusta",(IF($B466="","Arabica",$B466))&amp;" - "&amp;(IF($C466="","Commercial",$C466))),Variables!$B$1:$D$1,0),1))*IFERROR(IF(AB466="","",(AVERAGE(E466:F466)-AB466)-Variables!$B$14),"")/365),""))</f>
        <v>-55.270842687051491</v>
      </c>
      <c r="BH466" s="44">
        <f>IF($AX466="Cancelled","",IFERROR((W466*INDEX(Variables!$B$7:$D$7,IFERROR(MATCH(IF($B466="Robusta","Robusta",(IF($B466="","Arabica",$B466))&amp;" - "&amp;(IF($C466="","Commercial",$C466))),Variables!$B$1:$D$1,0),1))*AK466/365)+(L466/16.67*INDEX(Variables!$B$8:$D$8,IFERROR(MATCH(IF($B466="Robusta","Robusta",(IF($B466="","Arabica",$B466))&amp;" - "&amp;(IF($C466="","Commercial",$C466))),Variables!$B$1:$D$1,0),1))*AK466)+(W466*INDEX(Variables!$B$9:$D$9,IFERROR(MATCH(IF($B466="Robusta","Robusta",(IF($B466="","Arabica",$B466))&amp;" - "&amp;(IF($C466="","Commercial",$C466))),Variables!$B$1:$D$1,0),1))*AK466/365),""))</f>
        <v>284.25004810483625</v>
      </c>
      <c r="BI466" s="44">
        <f>IF($AX466="Cancelled","",IFERROR((W466*INDEX(Variables!$B$7:$D$7,IFERROR(MATCH(IF($B466="Robusta","Robusta",(IF($B466="","Arabica",$B466))&amp;" - "&amp;(IF($C466="","Commercial",$C466))),Variables!$B$1:$D$1,0),1))*BD466/365)+(L466/16.67*INDEX(Variables!$B$8:$D$8,IFERROR(MATCH(IF($B466="Robusta","Robusta",(IF($B466="","Arabica",$B466))&amp;" - "&amp;(IF($C466="","Commercial",$C466))),Variables!$B$1:$D$1,0),1))*BD466)+(W466*INDEX(Variables!$B$9:$D$9,IFERROR(MATCH(IF($B466="Robusta","Robusta",(IF($B466="","Arabica",$B466))&amp;" - "&amp;(IF($C466="","Commercial",$C466))),Variables!$B$1:$D$1,0),1))*BD466/365),""))</f>
        <v>0</v>
      </c>
      <c r="BJ466" s="44">
        <f t="shared" si="23"/>
        <v>10</v>
      </c>
      <c r="BK466" s="44">
        <f>IF($AX466="Cancelled","",IFERROR(IF(BJ466="","",(W466*INDEX(Variables!$B$7:$D$7,IFERROR(MATCH(IF($B466="Robusta","Robusta",(IF($B466="","Arabica",$B466))&amp;" - "&amp;(IF($C466="","Commercial",$C466))),Variables!$B$1:$D$1,0),1))*(BJ466/365))+(W466*INDEX(Variables!$B$9:$D$9,IFERROR(MATCH(IF($B466="Robusta","Robusta",(IF($B466="","Arabica",$B466))&amp;" - "&amp;(IF($C466="","Commercial",$C466))),Variables!$B$1:$D$1,0),1))*(BJ466/365))+(INDEX(Variables!$B$8:$D$8,IFERROR(MATCH(IF($B466="Robusta","Robusta",(IF($B466="","Arabica",$B466))&amp;" - "&amp;(IF($C466="","Commercial",$C466))),Variables!$B$1:$D$1,0),1))*L466/16.67)),""))</f>
        <v>103.91669339157569</v>
      </c>
    </row>
    <row r="467" spans="1:63">
      <c r="A467" s="13" t="s">
        <v>103</v>
      </c>
      <c r="B467" s="13" t="s">
        <v>104</v>
      </c>
      <c r="C467" s="13" t="s">
        <v>105</v>
      </c>
      <c r="D467" s="31">
        <v>45870</v>
      </c>
      <c r="E467" s="31">
        <v>45901</v>
      </c>
      <c r="F467" s="31">
        <v>45930</v>
      </c>
      <c r="G467" s="13">
        <v>3786945</v>
      </c>
      <c r="H467" s="13" t="s">
        <v>1364</v>
      </c>
      <c r="J467" s="13" t="s">
        <v>1356</v>
      </c>
      <c r="K467" s="13" t="s">
        <v>1365</v>
      </c>
      <c r="L467" s="13">
        <v>100</v>
      </c>
      <c r="M467" s="13">
        <v>0</v>
      </c>
      <c r="N467" s="13" t="s">
        <v>1366</v>
      </c>
      <c r="O467" s="13" t="s">
        <v>1367</v>
      </c>
      <c r="P467" s="13">
        <v>10070</v>
      </c>
      <c r="R467" s="13" t="s">
        <v>239</v>
      </c>
      <c r="S467" s="13" t="s">
        <v>595</v>
      </c>
      <c r="T467" s="13" t="s">
        <v>596</v>
      </c>
      <c r="U467" s="13" t="s">
        <v>125</v>
      </c>
      <c r="V467" s="13">
        <v>51</v>
      </c>
      <c r="W467" s="44">
        <f>IF($AX467="Cancelled","",IFERROR(((V467+INDEX(Variables!$B$6:$D$6,IFERROR(MATCH(IF($B467="Robusta","Robusta",(IF($B467="","Arabica",$B467))&amp;" - "&amp;(IF($C467="","Commercial",$C467))),Variables!$B$1:$D$1,0),1)))*22.0462)*(L467/16.67),""))</f>
        <v>45203.306298740245</v>
      </c>
      <c r="X467" s="55" t="s">
        <v>37</v>
      </c>
      <c r="Y467" s="13" t="str">
        <f>IF($AX467="Cancelled","",IF(X467="","",IFERROR(IF(INDEX(Variables!$B$38:$B$47,MATCH(X467,Variables!$A$38:$A$47,0))="Yes","Yes","No"),"No")))</f>
        <v>Yes</v>
      </c>
      <c r="Z467" s="58">
        <v>45884</v>
      </c>
      <c r="AB467" s="31">
        <v>45889</v>
      </c>
      <c r="AC467" s="13" t="str">
        <f t="shared" si="21"/>
        <v>Approved</v>
      </c>
      <c r="AF467" s="71">
        <v>45908</v>
      </c>
      <c r="AG467" s="37">
        <f>IF($AX467="Cancelled","",IFERROR(IF(F467="","",F467-Variables!$B$13),""))</f>
        <v>45915</v>
      </c>
      <c r="AH467" s="13">
        <f>IF($AX467="Cancelled","",IFERROR(IF(AB467="","",(AVERAGE(E467:F467)-AB467)-Variables!$B$14),""))</f>
        <v>-3.5</v>
      </c>
      <c r="AJ467" s="47">
        <v>45905</v>
      </c>
      <c r="AK467" s="14">
        <f>IF($AX467="Cancelled","",IFERROR(IF(AJ467="","",IF(AND(AB467="",AF467=""),"",IF(AF467&gt;AB467,AF467+Variables!$B$15+Variables!$B$16+Variables!$B$17-AJ467,AB467+Variables!$B$16+Variables!$B$17-AJ467))),""))</f>
        <v>18</v>
      </c>
      <c r="AL467" s="48" t="s">
        <v>114</v>
      </c>
      <c r="AM467" s="13" t="s">
        <v>141</v>
      </c>
      <c r="AN467" s="13" t="s">
        <v>1096</v>
      </c>
      <c r="AP467" s="31">
        <v>45920</v>
      </c>
      <c r="AR467" s="13" t="s">
        <v>1360</v>
      </c>
      <c r="AS467" s="31">
        <v>45920</v>
      </c>
      <c r="AU467" s="31">
        <v>45923</v>
      </c>
      <c r="AV467" s="13" t="s">
        <v>865</v>
      </c>
      <c r="AW467" s="31">
        <v>45923</v>
      </c>
      <c r="AX467" s="13" t="str">
        <f>IF(ISNUMBER(SEARCH("cancel",#REF!)),"Cancelled",IF(AND(AS467&lt;&gt;"",AU467&lt;&gt;"",AW467&lt;&gt;""),"Closed","Open"))</f>
        <v>Closed</v>
      </c>
      <c r="AY467" s="15" t="str">
        <f t="shared" si="22"/>
        <v>All dates received</v>
      </c>
      <c r="BD467" s="13">
        <f>IF($AX467="Cancelled","",IFERROR(IF(OR(AS467="",AJ467=""),"",(AJ467+Variables!$B$18-AS467)),""))</f>
        <v>0</v>
      </c>
      <c r="BE467" s="13">
        <f>IF($AX467="Cancelled","",IFERROR(IF(OR(AW467="",AS467=""),"",(AS467+Variables!$B$19)-AW467),""))</f>
        <v>2</v>
      </c>
      <c r="BF467" s="44">
        <f>IF($AX467="Cancelled","",IFERROR(W467*INDEX(Variables!$B$7:$D$7,IFERROR(MATCH(IF($B467="Robusta","Robusta",(IF($B467="","Arabica",$B467))&amp;" - "&amp;(IF($C467="","Commercial",$C467))),Variables!$B$1:$D$1,0),1))*(BE467/365),""))</f>
        <v>15.971554177625361</v>
      </c>
      <c r="BG467" s="44">
        <f>IF($AX467="Cancelled","",IFERROR((W467*INDEX(Variables!$B$7:$D$7,IFERROR(MATCH(IF($B467="Robusta","Robusta",(IF($B467="","Arabica",$B467))&amp;" - "&amp;(IF($C467="","Commercial",$C467))),Variables!$B$1:$D$1,0),1))*IFERROR(IF(AB467="","",(AVERAGE(E467:F467)-AB467)-Variables!$B$14),"")/365)+(L467/16.67*INDEX(Variables!$B$8:$D$8,IFERROR(MATCH(IF($B467="Robusta","Robusta",(IF($B467="","Arabica",$B467))&amp;" - "&amp;(IF($C467="","Commercial",$C467))),Variables!$B$1:$D$1,0),1))*IFERROR(IF(AB467="","",(AVERAGE(E467:F467)-AB467)-Variables!$B$14),""))+(W467*INDEX(Variables!$B$9:$D$9,IFERROR(MATCH(IF($B467="Robusta","Robusta",(IF($B467="","Arabica",$B467))&amp;" - "&amp;(IF($C467="","Commercial",$C467))),Variables!$B$1:$D$1,0),1))*IFERROR(IF(AB467="","",(AVERAGE(E467:F467)-AB467)-Variables!$B$14),"")/365),""))</f>
        <v>-45.810552084382735</v>
      </c>
      <c r="BH467" s="44">
        <f>IF($AX467="Cancelled","",IFERROR((W467*INDEX(Variables!$B$7:$D$7,IFERROR(MATCH(IF($B467="Robusta","Robusta",(IF($B467="","Arabica",$B467))&amp;" - "&amp;(IF($C467="","Commercial",$C467))),Variables!$B$1:$D$1,0),1))*AK467/365)+(L467/16.67*INDEX(Variables!$B$8:$D$8,IFERROR(MATCH(IF($B467="Robusta","Robusta",(IF($B467="","Arabica",$B467))&amp;" - "&amp;(IF($C467="","Commercial",$C467))),Variables!$B$1:$D$1,0),1))*AK467)+(W467*INDEX(Variables!$B$9:$D$9,IFERROR(MATCH(IF($B467="Robusta","Robusta",(IF($B467="","Arabica",$B467))&amp;" - "&amp;(IF($C467="","Commercial",$C467))),Variables!$B$1:$D$1,0),1))*AK467/365),""))</f>
        <v>235.59712500539692</v>
      </c>
      <c r="BI467" s="44">
        <f>IF($AX467="Cancelled","",IFERROR((W467*INDEX(Variables!$B$7:$D$7,IFERROR(MATCH(IF($B467="Robusta","Robusta",(IF($B467="","Arabica",$B467))&amp;" - "&amp;(IF($C467="","Commercial",$C467))),Variables!$B$1:$D$1,0),1))*BD467/365)+(L467/16.67*INDEX(Variables!$B$8:$D$8,IFERROR(MATCH(IF($B467="Robusta","Robusta",(IF($B467="","Arabica",$B467))&amp;" - "&amp;(IF($C467="","Commercial",$C467))),Variables!$B$1:$D$1,0),1))*BD467)+(W467*INDEX(Variables!$B$9:$D$9,IFERROR(MATCH(IF($B467="Robusta","Robusta",(IF($B467="","Arabica",$B467))&amp;" - "&amp;(IF($C467="","Commercial",$C467))),Variables!$B$1:$D$1,0),1))*BD467/365),""))</f>
        <v>0</v>
      </c>
      <c r="BJ467" s="44">
        <f t="shared" si="23"/>
        <v>10</v>
      </c>
      <c r="BK467" s="44">
        <f>IF($AX467="Cancelled","",IFERROR(IF(BJ467="","",(W467*INDEX(Variables!$B$7:$D$7,IFERROR(MATCH(IF($B467="Robusta","Robusta",(IF($B467="","Arabica",$B467))&amp;" - "&amp;(IF($C467="","Commercial",$C467))),Variables!$B$1:$D$1,0),1))*(BJ467/365))+(W467*INDEX(Variables!$B$9:$D$9,IFERROR(MATCH(IF($B467="Robusta","Robusta",(IF($B467="","Arabica",$B467))&amp;" - "&amp;(IF($C467="","Commercial",$C467))),Variables!$B$1:$D$1,0),1))*(BJ467/365))+(INDEX(Variables!$B$8:$D$8,IFERROR(MATCH(IF($B467="Robusta","Robusta",(IF($B467="","Arabica",$B467))&amp;" - "&amp;(IF($C467="","Commercial",$C467))),Variables!$B$1:$D$1,0),1))*L467/16.67)),""))</f>
        <v>85.887291669664947</v>
      </c>
    </row>
    <row r="468" spans="1:63">
      <c r="A468" s="13" t="s">
        <v>103</v>
      </c>
      <c r="B468" s="13" t="s">
        <v>104</v>
      </c>
      <c r="C468" s="13" t="s">
        <v>105</v>
      </c>
      <c r="D468" s="31">
        <v>45876</v>
      </c>
      <c r="E468" s="31">
        <v>45901</v>
      </c>
      <c r="F468" s="31">
        <v>45930</v>
      </c>
      <c r="G468" s="13">
        <v>3786946</v>
      </c>
      <c r="H468" s="13" t="s">
        <v>1368</v>
      </c>
      <c r="J468" s="13" t="s">
        <v>236</v>
      </c>
      <c r="K468" s="13">
        <v>5333</v>
      </c>
      <c r="L468" s="13">
        <v>320</v>
      </c>
      <c r="M468" s="13">
        <v>1</v>
      </c>
      <c r="N468" s="13" t="s">
        <v>120</v>
      </c>
      <c r="O468" s="13" t="s">
        <v>109</v>
      </c>
      <c r="P468" s="13">
        <v>10080</v>
      </c>
      <c r="R468" s="13" t="s">
        <v>110</v>
      </c>
      <c r="S468" s="13" t="s">
        <v>180</v>
      </c>
      <c r="T468" s="13" t="s">
        <v>253</v>
      </c>
      <c r="U468" s="13" t="s">
        <v>182</v>
      </c>
      <c r="V468" s="13">
        <v>50</v>
      </c>
      <c r="W468" s="44">
        <f>IF($AX468="Cancelled","",IFERROR(((V468+INDEX(Variables!$B$6:$D$6,IFERROR(MATCH(IF($B468="Robusta","Robusta",(IF($B468="","Arabica",$B468))&amp;" - "&amp;(IF($C468="","Commercial",$C468))),Variables!$B$1:$D$1,0),1)))*22.0462)*(L468/16.67),""))</f>
        <v>144227.3777564487</v>
      </c>
      <c r="X468" s="55" t="s">
        <v>37</v>
      </c>
      <c r="Y468" s="13" t="str">
        <f>IF($AX468="Cancelled","",IF(X468="","",IFERROR(IF(INDEX(Variables!$B$38:$B$47,MATCH(X468,Variables!$A$38:$A$47,0))="Yes","Yes","No"),"No")))</f>
        <v>Yes</v>
      </c>
      <c r="Z468" s="58">
        <v>45887</v>
      </c>
      <c r="AB468" s="31">
        <v>45916</v>
      </c>
      <c r="AC468" s="13" t="str">
        <f t="shared" si="21"/>
        <v>Approved</v>
      </c>
      <c r="AF468" s="71">
        <v>45925</v>
      </c>
      <c r="AG468" s="37">
        <f>IF($AX468="Cancelled","",IFERROR(IF(F468="","",F468-Variables!$B$13),""))</f>
        <v>45915</v>
      </c>
      <c r="AH468" s="13">
        <f>IF($AX468="Cancelled","",IFERROR(IF(AB468="","",(AVERAGE(E468:F468)-AB468)-Variables!$B$14),""))</f>
        <v>-30.5</v>
      </c>
      <c r="AJ468" s="47">
        <v>45925</v>
      </c>
      <c r="AK468" s="14">
        <f>IF($AX468="Cancelled","",IFERROR(IF(AJ468="","",IF(AND(AB468="",AF468=""),"",IF(AF468&gt;AB468,AF468+Variables!$B$15+Variables!$B$16+Variables!$B$17-AJ468,AB468+Variables!$B$16+Variables!$B$17-AJ468))),""))</f>
        <v>15</v>
      </c>
      <c r="AL468" s="48" t="s">
        <v>114</v>
      </c>
      <c r="AM468" s="13" t="s">
        <v>188</v>
      </c>
      <c r="AN468" s="13" t="s">
        <v>195</v>
      </c>
      <c r="AP468" s="31">
        <v>45951</v>
      </c>
      <c r="AR468" s="13" t="s">
        <v>1369</v>
      </c>
      <c r="AS468" s="31">
        <v>45951</v>
      </c>
      <c r="AU468" s="31">
        <v>45954</v>
      </c>
      <c r="AV468" s="13" t="s">
        <v>865</v>
      </c>
      <c r="AW468" s="31">
        <v>45959</v>
      </c>
      <c r="AX468" s="13" t="str">
        <f>IF(ISNUMBER(SEARCH("cancel",#REF!)),"Cancelled",IF(AND(AS468&lt;&gt;"",AU468&lt;&gt;"",AW468&lt;&gt;""),"Closed","Open"))</f>
        <v>Closed</v>
      </c>
      <c r="AY468" s="15" t="str">
        <f t="shared" si="22"/>
        <v>All dates received</v>
      </c>
      <c r="BD468" s="13">
        <f>IF($AX468="Cancelled","",IFERROR(IF(OR(AS468="",AJ468=""),"",(AJ468+Variables!$B$18-AS468)),""))</f>
        <v>-11</v>
      </c>
      <c r="BE468" s="13">
        <f>IF($AX468="Cancelled","",IFERROR(IF(OR(AW468="",AS468=""),"",(AS468+Variables!$B$19)-AW468),""))</f>
        <v>-3</v>
      </c>
      <c r="BF468" s="44">
        <f>IF($AX468="Cancelled","",IFERROR(W468*INDEX(Variables!$B$7:$D$7,IFERROR(MATCH(IF($B468="Robusta","Robusta",(IF($B468="","Arabica",$B468))&amp;" - "&amp;(IF($C468="","Commercial",$C468))),Variables!$B$1:$D$1,0),1))*(BE468/365),""))</f>
        <v>-76.439166723015418</v>
      </c>
      <c r="BG468" s="44">
        <f>IF($AX468="Cancelled","",IFERROR((W468*INDEX(Variables!$B$7:$D$7,IFERROR(MATCH(IF($B468="Robusta","Robusta",(IF($B468="","Arabica",$B468))&amp;" - "&amp;(IF($C468="","Commercial",$C468))),Variables!$B$1:$D$1,0),1))*IFERROR(IF(AB468="","",(AVERAGE(E468:F468)-AB468)-Variables!$B$14),"")/365)+(L468/16.67*INDEX(Variables!$B$8:$D$8,IFERROR(MATCH(IF($B468="Robusta","Robusta",(IF($B468="","Arabica",$B468))&amp;" - "&amp;(IF($C468="","Commercial",$C468))),Variables!$B$1:$D$1,0),1))*IFERROR(IF(AB468="","",(AVERAGE(E468:F468)-AB468)-Variables!$B$14),""))+(W468*INDEX(Variables!$B$9:$D$9,IFERROR(MATCH(IF($B468="Robusta","Robusta",(IF($B468="","Arabica",$B468))&amp;" - "&amp;(IF($C468="","Commercial",$C468))),Variables!$B$1:$D$1,0),1))*IFERROR(IF(AB468="","",(AVERAGE(E468:F468)-AB468)-Variables!$B$14),"")/365),""))</f>
        <v>-1275.1502535107461</v>
      </c>
      <c r="BH468" s="44">
        <f>IF($AX468="Cancelled","",IFERROR((W468*INDEX(Variables!$B$7:$D$7,IFERROR(MATCH(IF($B468="Robusta","Robusta",(IF($B468="","Arabica",$B468))&amp;" - "&amp;(IF($C468="","Commercial",$C468))),Variables!$B$1:$D$1,0),1))*AK468/365)+(L468/16.67*INDEX(Variables!$B$8:$D$8,IFERROR(MATCH(IF($B468="Robusta","Robusta",(IF($B468="","Arabica",$B468))&amp;" - "&amp;(IF($C468="","Commercial",$C468))),Variables!$B$1:$D$1,0),1))*AK468)+(W468*INDEX(Variables!$B$9:$D$9,IFERROR(MATCH(IF($B468="Robusta","Robusta",(IF($B468="","Arabica",$B468))&amp;" - "&amp;(IF($C468="","Commercial",$C468))),Variables!$B$1:$D$1,0),1))*AK468/365),""))</f>
        <v>627.12307549708817</v>
      </c>
      <c r="BI468" s="44">
        <f>IF($AX468="Cancelled","",IFERROR((W468*INDEX(Variables!$B$7:$D$7,IFERROR(MATCH(IF($B468="Robusta","Robusta",(IF($B468="","Arabica",$B468))&amp;" - "&amp;(IF($C468="","Commercial",$C468))),Variables!$B$1:$D$1,0),1))*BD468/365)+(L468/16.67*INDEX(Variables!$B$8:$D$8,IFERROR(MATCH(IF($B468="Robusta","Robusta",(IF($B468="","Arabica",$B468))&amp;" - "&amp;(IF($C468="","Commercial",$C468))),Variables!$B$1:$D$1,0),1))*BD468)+(W468*INDEX(Variables!$B$9:$D$9,IFERROR(MATCH(IF($B468="Robusta","Robusta",(IF($B468="","Arabica",$B468))&amp;" - "&amp;(IF($C468="","Commercial",$C468))),Variables!$B$1:$D$1,0),1))*BD468/365),""))</f>
        <v>-459.89025536453136</v>
      </c>
      <c r="BJ468" s="44">
        <f t="shared" si="23"/>
        <v>-21</v>
      </c>
      <c r="BK468" s="44">
        <f>IF($AX468="Cancelled","",IFERROR(IF(BJ468="","",(W468*INDEX(Variables!$B$7:$D$7,IFERROR(MATCH(IF($B468="Robusta","Robusta",(IF($B468="","Arabica",$B468))&amp;" - "&amp;(IF($C468="","Commercial",$C468))),Variables!$B$1:$D$1,0),1))*(BJ468/365))+(W468*INDEX(Variables!$B$9:$D$9,IFERROR(MATCH(IF($B468="Robusta","Robusta",(IF($B468="","Arabica",$B468))&amp;" - "&amp;(IF($C468="","Commercial",$C468))),Variables!$B$1:$D$1,0),1))*(BJ468/365))+(INDEX(Variables!$B$8:$D$8,IFERROR(MATCH(IF($B468="Robusta","Robusta",(IF($B468="","Arabica",$B468))&amp;" - "&amp;(IF($C468="","Commercial",$C468))),Variables!$B$1:$D$1,0),1))*L468/16.67)),""))</f>
        <v>-525.97230569592341</v>
      </c>
    </row>
    <row r="469" spans="1:63">
      <c r="A469" s="13" t="s">
        <v>103</v>
      </c>
      <c r="B469" s="13" t="s">
        <v>104</v>
      </c>
      <c r="C469" s="13" t="s">
        <v>105</v>
      </c>
      <c r="D469" s="31">
        <v>45883</v>
      </c>
      <c r="E469" s="31">
        <v>45931</v>
      </c>
      <c r="F469" s="31">
        <v>45961</v>
      </c>
      <c r="G469" s="13">
        <v>3786947</v>
      </c>
      <c r="H469" s="13" t="s">
        <v>1370</v>
      </c>
      <c r="J469" s="13" t="s">
        <v>447</v>
      </c>
      <c r="K469" s="13">
        <v>5337</v>
      </c>
      <c r="L469" s="13">
        <v>320</v>
      </c>
      <c r="M469" s="13">
        <v>1</v>
      </c>
      <c r="N469" s="13" t="s">
        <v>1371</v>
      </c>
      <c r="O469" s="13" t="s">
        <v>1372</v>
      </c>
      <c r="P469" s="13">
        <v>10040</v>
      </c>
      <c r="Q469" s="13" t="s">
        <v>121</v>
      </c>
      <c r="R469" s="13" t="s">
        <v>239</v>
      </c>
      <c r="S469" s="13" t="s">
        <v>154</v>
      </c>
      <c r="T469" s="13" t="s">
        <v>155</v>
      </c>
      <c r="U469" s="13" t="s">
        <v>125</v>
      </c>
      <c r="V469" s="13">
        <v>68</v>
      </c>
      <c r="W469" s="44">
        <f>IF($AX469="Cancelled","",IFERROR(((V469+INDEX(Variables!$B$6:$D$6,IFERROR(MATCH(IF($B469="Robusta","Robusta",(IF($B469="","Arabica",$B469))&amp;" - "&amp;(IF($C469="","Commercial",$C469))),Variables!$B$1:$D$1,0),1)))*22.0462)*(L469/16.67),""))</f>
        <v>151845.02094781041</v>
      </c>
      <c r="X469" s="55" t="s">
        <v>37</v>
      </c>
      <c r="Y469" s="13" t="str">
        <f>IF($AX469="Cancelled","",IF(X469="","",IFERROR(IF(INDEX(Variables!$B$38:$B$47,MATCH(X469,Variables!$A$38:$A$47,0))="Yes","Yes","No"),"No")))</f>
        <v>Yes</v>
      </c>
      <c r="Z469" s="58">
        <v>45904</v>
      </c>
      <c r="AB469" s="31">
        <v>45908</v>
      </c>
      <c r="AC469" s="13" t="str">
        <f t="shared" si="21"/>
        <v>Approved</v>
      </c>
      <c r="AF469" s="71">
        <v>45944</v>
      </c>
      <c r="AG469" s="37">
        <f>IF($AX469="Cancelled","",IFERROR(IF(F469="","",F469-Variables!$B$13),""))</f>
        <v>45946</v>
      </c>
      <c r="AH469" s="13">
        <f>IF($AX469="Cancelled","",IFERROR(IF(AB469="","",(AVERAGE(E469:F469)-AB469)-Variables!$B$14),""))</f>
        <v>8</v>
      </c>
      <c r="AJ469" s="47">
        <v>45944</v>
      </c>
      <c r="AK469" s="14">
        <f>IF($AX469="Cancelled","",IFERROR(IF(AJ469="","",IF(AND(AB469="",AF469=""),"",IF(AF469&gt;AB469,AF469+Variables!$B$15+Variables!$B$16+Variables!$B$17-AJ469,AB469+Variables!$B$16+Variables!$B$17-AJ469))),""))</f>
        <v>15</v>
      </c>
      <c r="AL469" s="48" t="s">
        <v>114</v>
      </c>
      <c r="AM469" s="13" t="s">
        <v>141</v>
      </c>
      <c r="AN469" s="13" t="s">
        <v>784</v>
      </c>
      <c r="AP469" s="31">
        <v>45958</v>
      </c>
      <c r="AR469" s="13" t="s">
        <v>1373</v>
      </c>
      <c r="AS469" s="31">
        <v>45958</v>
      </c>
      <c r="AU469" s="31">
        <v>45960</v>
      </c>
      <c r="AV469" s="13" t="s">
        <v>865</v>
      </c>
      <c r="AW469" s="31">
        <v>45960</v>
      </c>
      <c r="AX469" s="13" t="str">
        <f>IF(ISNUMBER(SEARCH("cancel",#REF!)),"Cancelled",IF(AND(AS469&lt;&gt;"",AU469&lt;&gt;"",AW469&lt;&gt;""),"Closed","Open"))</f>
        <v>Closed</v>
      </c>
      <c r="AY469" s="15" t="str">
        <f t="shared" si="22"/>
        <v>All dates received</v>
      </c>
      <c r="BD469" s="13">
        <f>IF($AX469="Cancelled","",IFERROR(IF(OR(AS469="",AJ469=""),"",(AJ469+Variables!$B$18-AS469)),""))</f>
        <v>1</v>
      </c>
      <c r="BE469" s="13">
        <f>IF($AX469="Cancelled","",IFERROR(IF(OR(AW469="",AS469=""),"",(AS469+Variables!$B$19)-AW469),""))</f>
        <v>3</v>
      </c>
      <c r="BF469" s="44">
        <f>IF($AX469="Cancelled","",IFERROR(W469*INDEX(Variables!$B$7:$D$7,IFERROR(MATCH(IF($B469="Robusta","Robusta",(IF($B469="","Arabica",$B469))&amp;" - "&amp;(IF($C469="","Commercial",$C469))),Variables!$B$1:$D$1,0),1))*(BE469/365),""))</f>
        <v>80.476446655569035</v>
      </c>
      <c r="BG469" s="44">
        <f>IF($AX469="Cancelled","",IFERROR((W469*INDEX(Variables!$B$7:$D$7,IFERROR(MATCH(IF($B469="Robusta","Robusta",(IF($B469="","Arabica",$B469))&amp;" - "&amp;(IF($C469="","Commercial",$C469))),Variables!$B$1:$D$1,0),1))*IFERROR(IF(AB469="","",(AVERAGE(E469:F469)-AB469)-Variables!$B$14),"")/365)+(L469/16.67*INDEX(Variables!$B$8:$D$8,IFERROR(MATCH(IF($B469="Robusta","Robusta",(IF($B469="","Arabica",$B469))&amp;" - "&amp;(IF($C469="","Commercial",$C469))),Variables!$B$1:$D$1,0),1))*IFERROR(IF(AB469="","",(AVERAGE(E469:F469)-AB469)-Variables!$B$14),""))+(W469*INDEX(Variables!$B$9:$D$9,IFERROR(MATCH(IF($B469="Robusta","Robusta",(IF($B469="","Arabica",$B469))&amp;" - "&amp;(IF($C469="","Commercial",$C469))),Variables!$B$1:$D$1,0),1))*IFERROR(IF(AB469="","",(AVERAGE(E469:F469)-AB469)-Variables!$B$14),"")/365),""))</f>
        <v>345.37051563122884</v>
      </c>
      <c r="BH469" s="44">
        <f>IF($AX469="Cancelled","",IFERROR((W469*INDEX(Variables!$B$7:$D$7,IFERROR(MATCH(IF($B469="Robusta","Robusta",(IF($B469="","Arabica",$B469))&amp;" - "&amp;(IF($C469="","Commercial",$C469))),Variables!$B$1:$D$1,0),1))*AK469/365)+(L469/16.67*INDEX(Variables!$B$8:$D$8,IFERROR(MATCH(IF($B469="Robusta","Robusta",(IF($B469="","Arabica",$B469))&amp;" - "&amp;(IF($C469="","Commercial",$C469))),Variables!$B$1:$D$1,0),1))*AK469)+(W469*INDEX(Variables!$B$9:$D$9,IFERROR(MATCH(IF($B469="Robusta","Robusta",(IF($B469="","Arabica",$B469))&amp;" - "&amp;(IF($C469="","Commercial",$C469))),Variables!$B$1:$D$1,0),1))*AK469/365),""))</f>
        <v>647.56971680855406</v>
      </c>
      <c r="BI469" s="44">
        <f>IF($AX469="Cancelled","",IFERROR((W469*INDEX(Variables!$B$7:$D$7,IFERROR(MATCH(IF($B469="Robusta","Robusta",(IF($B469="","Arabica",$B469))&amp;" - "&amp;(IF($C469="","Commercial",$C469))),Variables!$B$1:$D$1,0),1))*BD469/365)+(L469/16.67*INDEX(Variables!$B$8:$D$8,IFERROR(MATCH(IF($B469="Robusta","Robusta",(IF($B469="","Arabica",$B469))&amp;" - "&amp;(IF($C469="","Commercial",$C469))),Variables!$B$1:$D$1,0),1))*BD469)+(W469*INDEX(Variables!$B$9:$D$9,IFERROR(MATCH(IF($B469="Robusta","Robusta",(IF($B469="","Arabica",$B469))&amp;" - "&amp;(IF($C469="","Commercial",$C469))),Variables!$B$1:$D$1,0),1))*BD469/365),""))</f>
        <v>43.171314453903605</v>
      </c>
      <c r="BJ469" s="44">
        <f t="shared" si="23"/>
        <v>3</v>
      </c>
      <c r="BK469" s="44">
        <f>IF($AX469="Cancelled","",IFERROR(IF(BJ469="","",(W469*INDEX(Variables!$B$7:$D$7,IFERROR(MATCH(IF($B469="Robusta","Robusta",(IF($B469="","Arabica",$B469))&amp;" - "&amp;(IF($C469="","Commercial",$C469))),Variables!$B$1:$D$1,0),1))*(BJ469/365))+(W469*INDEX(Variables!$B$9:$D$9,IFERROR(MATCH(IF($B469="Robusta","Robusta",(IF($B469="","Arabica",$B469))&amp;" - "&amp;(IF($C469="","Commercial",$C469))),Variables!$B$1:$D$1,0),1))*(BJ469/365))+(INDEX(Variables!$B$8:$D$8,IFERROR(MATCH(IF($B469="Robusta","Robusta",(IF($B469="","Arabica",$B469))&amp;" - "&amp;(IF($C469="","Commercial",$C469))),Variables!$B$1:$D$1,0),1))*L469/16.67)),""))</f>
        <v>97.513943361710801</v>
      </c>
    </row>
    <row r="470" spans="1:63">
      <c r="A470" s="13" t="s">
        <v>103</v>
      </c>
      <c r="B470" s="13" t="s">
        <v>104</v>
      </c>
      <c r="C470" s="13" t="s">
        <v>105</v>
      </c>
      <c r="D470" s="31">
        <v>45884</v>
      </c>
      <c r="E470" s="31">
        <v>45901</v>
      </c>
      <c r="F470" s="31">
        <v>45930</v>
      </c>
      <c r="G470" s="13">
        <v>3786948</v>
      </c>
      <c r="H470" s="13">
        <v>4552294656</v>
      </c>
      <c r="J470" s="13" t="s">
        <v>230</v>
      </c>
      <c r="K470" s="13">
        <v>5326</v>
      </c>
      <c r="L470" s="13">
        <v>3600</v>
      </c>
      <c r="M470" s="13">
        <v>10</v>
      </c>
      <c r="N470" s="13" t="s">
        <v>1374</v>
      </c>
      <c r="O470" s="13" t="s">
        <v>179</v>
      </c>
      <c r="P470" s="13">
        <v>10110</v>
      </c>
      <c r="R470" s="13" t="s">
        <v>122</v>
      </c>
      <c r="S470" s="13" t="s">
        <v>154</v>
      </c>
      <c r="T470" s="13" t="s">
        <v>155</v>
      </c>
      <c r="U470" s="13" t="s">
        <v>125</v>
      </c>
      <c r="V470" s="13">
        <v>12</v>
      </c>
      <c r="W470" s="44">
        <f>IF($AX470="Cancelled","",IFERROR(((V470+INDEX(Variables!$B$6:$D$6,IFERROR(MATCH(IF($B470="Robusta","Robusta",(IF($B470="","Arabica",$B470))&amp;" - "&amp;(IF($C470="","Commercial",$C470))),Variables!$B$1:$D$1,0),1)))*22.0462)*(L470/16.67),""))</f>
        <v>1441638.9739652069</v>
      </c>
      <c r="X470" s="55" t="s">
        <v>37</v>
      </c>
      <c r="Y470" s="13" t="str">
        <f>IF($AX470="Cancelled","",IF(X470="","",IFERROR(IF(INDEX(Variables!$B$38:$B$47,MATCH(X470,Variables!$A$38:$A$47,0))="Yes","Yes","No"),"No")))</f>
        <v>Yes</v>
      </c>
      <c r="Z470" s="58">
        <v>45887</v>
      </c>
      <c r="AB470" s="31">
        <v>45894</v>
      </c>
      <c r="AC470" s="13" t="str">
        <f t="shared" si="21"/>
        <v>Approved</v>
      </c>
      <c r="AF470" s="71">
        <v>45911</v>
      </c>
      <c r="AG470" s="37">
        <f>IF($AX470="Cancelled","",IFERROR(IF(F470="","",F470-Variables!$B$13),""))</f>
        <v>45915</v>
      </c>
      <c r="AH470" s="13">
        <f>IF($AX470="Cancelled","",IFERROR(IF(AB470="","",(AVERAGE(E470:F470)-AB470)-Variables!$B$14),""))</f>
        <v>-8.5</v>
      </c>
      <c r="AJ470" s="47">
        <v>45909</v>
      </c>
      <c r="AK470" s="14">
        <f>IF($AX470="Cancelled","",IFERROR(IF(AJ470="","",IF(AND(AB470="",AF470=""),"",IF(AF470&gt;AB470,AF470+Variables!$B$15+Variables!$B$16+Variables!$B$17-AJ470,AB470+Variables!$B$16+Variables!$B$17-AJ470))),""))</f>
        <v>17</v>
      </c>
      <c r="AL470" s="48" t="s">
        <v>114</v>
      </c>
      <c r="AM470" s="13" t="s">
        <v>141</v>
      </c>
      <c r="AN470" s="13" t="s">
        <v>408</v>
      </c>
      <c r="AP470" s="31">
        <v>45928</v>
      </c>
      <c r="AR470" s="13" t="s">
        <v>1375</v>
      </c>
      <c r="AS470" s="31">
        <v>45928</v>
      </c>
      <c r="AU470" s="31">
        <v>45930</v>
      </c>
      <c r="AV470" s="13" t="s">
        <v>865</v>
      </c>
      <c r="AW470" s="31">
        <v>45930</v>
      </c>
      <c r="AX470" s="13" t="str">
        <f>IF(ISNUMBER(SEARCH("cancel",#REF!)),"Cancelled",IF(AND(AS470&lt;&gt;"",AU470&lt;&gt;"",AW470&lt;&gt;""),"Closed","Open"))</f>
        <v>Closed</v>
      </c>
      <c r="AY470" s="15" t="str">
        <f t="shared" si="22"/>
        <v>All dates received</v>
      </c>
      <c r="BD470" s="13">
        <f>IF($AX470="Cancelled","",IFERROR(IF(OR(AS470="",AJ470=""),"",(AJ470+Variables!$B$18-AS470)),""))</f>
        <v>-4</v>
      </c>
      <c r="BE470" s="13">
        <f>IF($AX470="Cancelled","",IFERROR(IF(OR(AW470="",AS470=""),"",(AS470+Variables!$B$19)-AW470),""))</f>
        <v>3</v>
      </c>
      <c r="BF470" s="44">
        <f>IF($AX470="Cancelled","",IFERROR(W470*INDEX(Variables!$B$7:$D$7,IFERROR(MATCH(IF($B470="Robusta","Robusta",(IF($B470="","Arabica",$B470))&amp;" - "&amp;(IF($C470="","Commercial",$C470))),Variables!$B$1:$D$1,0),1))*(BE470/365),""))</f>
        <v>764.05522723577474</v>
      </c>
      <c r="BG470" s="44">
        <f>IF($AX470="Cancelled","",IFERROR((W470*INDEX(Variables!$B$7:$D$7,IFERROR(MATCH(IF($B470="Robusta","Robusta",(IF($B470="","Arabica",$B470))&amp;" - "&amp;(IF($C470="","Commercial",$C470))),Variables!$B$1:$D$1,0),1))*IFERROR(IF(AB470="","",(AVERAGE(E470:F470)-AB470)-Variables!$B$14),"")/365)+(L470/16.67*INDEX(Variables!$B$8:$D$8,IFERROR(MATCH(IF($B470="Robusta","Robusta",(IF($B470="","Arabica",$B470))&amp;" - "&amp;(IF($C470="","Commercial",$C470))),Variables!$B$1:$D$1,0),1))*IFERROR(IF(AB470="","",(AVERAGE(E470:F470)-AB470)-Variables!$B$14),""))+(W470*INDEX(Variables!$B$9:$D$9,IFERROR(MATCH(IF($B470="Robusta","Robusta",(IF($B470="","Arabica",$B470))&amp;" - "&amp;(IF($C470="","Commercial",$C470))),Variables!$B$1:$D$1,0),1))*IFERROR(IF(AB470="","",(AVERAGE(E470:F470)-AB470)-Variables!$B$14),"")/365),""))</f>
        <v>-3722.7318919771251</v>
      </c>
      <c r="BH470" s="44">
        <f>IF($AX470="Cancelled","",IFERROR((W470*INDEX(Variables!$B$7:$D$7,IFERROR(MATCH(IF($B470="Robusta","Robusta",(IF($B470="","Arabica",$B470))&amp;" - "&amp;(IF($C470="","Commercial",$C470))),Variables!$B$1:$D$1,0),1))*AK470/365)+(L470/16.67*INDEX(Variables!$B$8:$D$8,IFERROR(MATCH(IF($B470="Robusta","Robusta",(IF($B470="","Arabica",$B470))&amp;" - "&amp;(IF($C470="","Commercial",$C470))),Variables!$B$1:$D$1,0),1))*AK470)+(W470*INDEX(Variables!$B$9:$D$9,IFERROR(MATCH(IF($B470="Robusta","Robusta",(IF($B470="","Arabica",$B470))&amp;" - "&amp;(IF($C470="","Commercial",$C470))),Variables!$B$1:$D$1,0),1))*AK470/365),""))</f>
        <v>7445.4637839542502</v>
      </c>
      <c r="BI470" s="44">
        <f>IF($AX470="Cancelled","",IFERROR((W470*INDEX(Variables!$B$7:$D$7,IFERROR(MATCH(IF($B470="Robusta","Robusta",(IF($B470="","Arabica",$B470))&amp;" - "&amp;(IF($C470="","Commercial",$C470))),Variables!$B$1:$D$1,0),1))*BD470/365)+(L470/16.67*INDEX(Variables!$B$8:$D$8,IFERROR(MATCH(IF($B470="Robusta","Robusta",(IF($B470="","Arabica",$B470))&amp;" - "&amp;(IF($C470="","Commercial",$C470))),Variables!$B$1:$D$1,0),1))*BD470)+(W470*INDEX(Variables!$B$9:$D$9,IFERROR(MATCH(IF($B470="Robusta","Robusta",(IF($B470="","Arabica",$B470))&amp;" - "&amp;(IF($C470="","Commercial",$C470))),Variables!$B$1:$D$1,0),1))*BD470/365),""))</f>
        <v>-1751.873831518647</v>
      </c>
      <c r="BJ470" s="44">
        <f t="shared" si="23"/>
        <v>2</v>
      </c>
      <c r="BK470" s="44">
        <f>IF($AX470="Cancelled","",IFERROR(IF(BJ470="","",(W470*INDEX(Variables!$B$7:$D$7,IFERROR(MATCH(IF($B470="Robusta","Robusta",(IF($B470="","Arabica",$B470))&amp;" - "&amp;(IF($C470="","Commercial",$C470))),Variables!$B$1:$D$1,0),1))*(BJ470/365))+(W470*INDEX(Variables!$B$9:$D$9,IFERROR(MATCH(IF($B470="Robusta","Robusta",(IF($B470="","Arabica",$B470))&amp;" - "&amp;(IF($C470="","Commercial",$C470))),Variables!$B$1:$D$1,0),1))*(BJ470/365))+(INDEX(Variables!$B$8:$D$8,IFERROR(MATCH(IF($B470="Robusta","Robusta",(IF($B470="","Arabica",$B470))&amp;" - "&amp;(IF($C470="","Commercial",$C470))),Variables!$B$1:$D$1,0),1))*L470/16.67)),""))</f>
        <v>695.9369157593236</v>
      </c>
    </row>
    <row r="471" spans="1:63">
      <c r="A471" s="13" t="s">
        <v>103</v>
      </c>
      <c r="B471" s="13" t="s">
        <v>104</v>
      </c>
      <c r="C471" s="13" t="s">
        <v>105</v>
      </c>
      <c r="D471" s="31">
        <v>45884</v>
      </c>
      <c r="E471" s="31">
        <v>45931</v>
      </c>
      <c r="F471" s="31">
        <v>45944</v>
      </c>
      <c r="G471" s="13">
        <v>3786949</v>
      </c>
      <c r="H471" s="13">
        <v>4552294725</v>
      </c>
      <c r="J471" s="13" t="s">
        <v>230</v>
      </c>
      <c r="K471" s="13">
        <v>5330</v>
      </c>
      <c r="L471" s="13">
        <v>3600</v>
      </c>
      <c r="M471" s="13">
        <v>10</v>
      </c>
      <c r="N471" s="13" t="s">
        <v>1376</v>
      </c>
      <c r="O471" s="13" t="s">
        <v>179</v>
      </c>
      <c r="P471" s="13">
        <v>10110</v>
      </c>
      <c r="Q471" s="13" t="s">
        <v>121</v>
      </c>
      <c r="R471" s="13" t="s">
        <v>122</v>
      </c>
      <c r="S471" s="13" t="s">
        <v>154</v>
      </c>
      <c r="T471" s="13" t="s">
        <v>155</v>
      </c>
      <c r="U471" s="13" t="s">
        <v>125</v>
      </c>
      <c r="V471" s="13">
        <v>12</v>
      </c>
      <c r="W471" s="44">
        <f>IF($AX471="Cancelled","",IFERROR(((V471+INDEX(Variables!$B$6:$D$6,IFERROR(MATCH(IF($B471="Robusta","Robusta",(IF($B471="","Arabica",$B471))&amp;" - "&amp;(IF($C471="","Commercial",$C471))),Variables!$B$1:$D$1,0),1)))*22.0462)*(L471/16.67),""))</f>
        <v>1441638.9739652069</v>
      </c>
      <c r="X471" s="55" t="s">
        <v>37</v>
      </c>
      <c r="Y471" s="13" t="str">
        <f>IF($AX471="Cancelled","",IF(X471="","",IFERROR(IF(INDEX(Variables!$B$38:$B$47,MATCH(X471,Variables!$A$38:$A$47,0))="Yes","Yes","No"),"No")))</f>
        <v>Yes</v>
      </c>
      <c r="Z471" s="58">
        <v>45908</v>
      </c>
      <c r="AC471" s="13" t="str">
        <f t="shared" si="21"/>
        <v/>
      </c>
      <c r="AF471" s="71">
        <v>45917</v>
      </c>
      <c r="AG471" s="37">
        <f>IF($AX471="Cancelled","",IFERROR(IF(F471="","",F471-Variables!$B$13),""))</f>
        <v>45929</v>
      </c>
      <c r="AH471" s="13" t="str">
        <f>IF($AX471="Cancelled","",IFERROR(IF(AB471="","",(AVERAGE(E471:F471)-AB471)-Variables!$B$14),""))</f>
        <v/>
      </c>
      <c r="AJ471" s="47">
        <v>45917</v>
      </c>
      <c r="AK471" s="14">
        <f>IF($AX471="Cancelled","",IFERROR(IF(AJ471="","",IF(AND(AB471="",AF471=""),"",IF(AF471&gt;AB471,AF471+Variables!$B$15+Variables!$B$16+Variables!$B$17-AJ471,AB471+Variables!$B$16+Variables!$B$17-AJ471))),""))</f>
        <v>15</v>
      </c>
      <c r="AL471" s="48" t="s">
        <v>114</v>
      </c>
      <c r="AM471" s="13" t="s">
        <v>141</v>
      </c>
      <c r="AN471" s="13" t="s">
        <v>408</v>
      </c>
      <c r="AP471" s="31">
        <v>45928</v>
      </c>
      <c r="AR471" s="13" t="s">
        <v>1377</v>
      </c>
      <c r="AS471" s="31">
        <v>45928</v>
      </c>
      <c r="AU471" s="31">
        <v>45930</v>
      </c>
      <c r="AV471" s="13" t="s">
        <v>865</v>
      </c>
      <c r="AW471" s="31">
        <v>45930</v>
      </c>
      <c r="AX471" s="13" t="str">
        <f>IF(ISNUMBER(SEARCH("cancel",#REF!)),"Cancelled",IF(AND(AS471&lt;&gt;"",AU471&lt;&gt;"",AW471&lt;&gt;""),"Closed","Open"))</f>
        <v>Closed</v>
      </c>
      <c r="AY471" s="15" t="str">
        <f t="shared" si="22"/>
        <v>All dates received</v>
      </c>
      <c r="BD471" s="13">
        <f>IF($AX471="Cancelled","",IFERROR(IF(OR(AS471="",AJ471=""),"",(AJ471+Variables!$B$18-AS471)),""))</f>
        <v>4</v>
      </c>
      <c r="BE471" s="13">
        <f>IF($AX471="Cancelled","",IFERROR(IF(OR(AW471="",AS471=""),"",(AS471+Variables!$B$19)-AW471),""))</f>
        <v>3</v>
      </c>
      <c r="BF471" s="44">
        <f>IF($AX471="Cancelled","",IFERROR(W471*INDEX(Variables!$B$7:$D$7,IFERROR(MATCH(IF($B471="Robusta","Robusta",(IF($B471="","Arabica",$B471))&amp;" - "&amp;(IF($C471="","Commercial",$C471))),Variables!$B$1:$D$1,0),1))*(BE471/365),""))</f>
        <v>764.05522723577474</v>
      </c>
      <c r="BG471" s="44" t="str">
        <f>IF($AX471="Cancelled","",IFERROR((W471*INDEX(Variables!$B$7:$D$7,IFERROR(MATCH(IF($B471="Robusta","Robusta",(IF($B471="","Arabica",$B471))&amp;" - "&amp;(IF($C471="","Commercial",$C471))),Variables!$B$1:$D$1,0),1))*IFERROR(IF(AB471="","",(AVERAGE(E471:F471)-AB471)-Variables!$B$14),"")/365)+(L471/16.67*INDEX(Variables!$B$8:$D$8,IFERROR(MATCH(IF($B471="Robusta","Robusta",(IF($B471="","Arabica",$B471))&amp;" - "&amp;(IF($C471="","Commercial",$C471))),Variables!$B$1:$D$1,0),1))*IFERROR(IF(AB471="","",(AVERAGE(E471:F471)-AB471)-Variables!$B$14),""))+(W471*INDEX(Variables!$B$9:$D$9,IFERROR(MATCH(IF($B471="Robusta","Robusta",(IF($B471="","Arabica",$B471))&amp;" - "&amp;(IF($C471="","Commercial",$C471))),Variables!$B$1:$D$1,0),1))*IFERROR(IF(AB471="","",(AVERAGE(E471:F471)-AB471)-Variables!$B$14),"")/365),""))</f>
        <v/>
      </c>
      <c r="BH471" s="44">
        <f>IF($AX471="Cancelled","",IFERROR((W471*INDEX(Variables!$B$7:$D$7,IFERROR(MATCH(IF($B471="Robusta","Robusta",(IF($B471="","Arabica",$B471))&amp;" - "&amp;(IF($C471="","Commercial",$C471))),Variables!$B$1:$D$1,0),1))*AK471/365)+(L471/16.67*INDEX(Variables!$B$8:$D$8,IFERROR(MATCH(IF($B471="Robusta","Robusta",(IF($B471="","Arabica",$B471))&amp;" - "&amp;(IF($C471="","Commercial",$C471))),Variables!$B$1:$D$1,0),1))*AK471)+(W471*INDEX(Variables!$B$9:$D$9,IFERROR(MATCH(IF($B471="Robusta","Robusta",(IF($B471="","Arabica",$B471))&amp;" - "&amp;(IF($C471="","Commercial",$C471))),Variables!$B$1:$D$1,0),1))*AK471/365),""))</f>
        <v>6569.5268681949265</v>
      </c>
      <c r="BI471" s="44">
        <f>IF($AX471="Cancelled","",IFERROR((W471*INDEX(Variables!$B$7:$D$7,IFERROR(MATCH(IF($B471="Robusta","Robusta",(IF($B471="","Arabica",$B471))&amp;" - "&amp;(IF($C471="","Commercial",$C471))),Variables!$B$1:$D$1,0),1))*BD471/365)+(L471/16.67*INDEX(Variables!$B$8:$D$8,IFERROR(MATCH(IF($B471="Robusta","Robusta",(IF($B471="","Arabica",$B471))&amp;" - "&amp;(IF($C471="","Commercial",$C471))),Variables!$B$1:$D$1,0),1))*BD471)+(W471*INDEX(Variables!$B$9:$D$9,IFERROR(MATCH(IF($B471="Robusta","Robusta",(IF($B471="","Arabica",$B471))&amp;" - "&amp;(IF($C471="","Commercial",$C471))),Variables!$B$1:$D$1,0),1))*BD471/365),""))</f>
        <v>1751.873831518647</v>
      </c>
      <c r="BJ471" s="44">
        <f t="shared" si="23"/>
        <v>16</v>
      </c>
      <c r="BK471" s="44">
        <f>IF($AX471="Cancelled","",IFERROR(IF(BJ471="","",(W471*INDEX(Variables!$B$7:$D$7,IFERROR(MATCH(IF($B471="Robusta","Robusta",(IF($B471="","Arabica",$B471))&amp;" - "&amp;(IF($C471="","Commercial",$C471))),Variables!$B$1:$D$1,0),1))*(BJ471/365))+(W471*INDEX(Variables!$B$9:$D$9,IFERROR(MATCH(IF($B471="Robusta","Robusta",(IF($B471="","Arabica",$B471))&amp;" - "&amp;(IF($C471="","Commercial",$C471))),Variables!$B$1:$D$1,0),1))*(BJ471/365))+(INDEX(Variables!$B$8:$D$8,IFERROR(MATCH(IF($B471="Robusta","Robusta",(IF($B471="","Arabica",$B471))&amp;" - "&amp;(IF($C471="","Commercial",$C471))),Variables!$B$1:$D$1,0),1))*L471/16.67)),""))</f>
        <v>4307.4953260745888</v>
      </c>
    </row>
    <row r="472" spans="1:63">
      <c r="A472" s="13" t="s">
        <v>103</v>
      </c>
      <c r="B472" s="13" t="s">
        <v>104</v>
      </c>
      <c r="C472" s="13" t="s">
        <v>105</v>
      </c>
      <c r="D472" s="31">
        <v>45890</v>
      </c>
      <c r="E472" s="31">
        <v>45901</v>
      </c>
      <c r="F472" s="31">
        <v>45961</v>
      </c>
      <c r="G472" s="13">
        <v>3786950</v>
      </c>
      <c r="H472" s="13" t="s">
        <v>1378</v>
      </c>
      <c r="J472" s="13" t="s">
        <v>447</v>
      </c>
      <c r="L472" s="13">
        <v>320</v>
      </c>
      <c r="M472" s="13">
        <v>0</v>
      </c>
      <c r="N472" s="13" t="s">
        <v>467</v>
      </c>
      <c r="P472" s="13">
        <v>37030</v>
      </c>
      <c r="R472" s="13" t="s">
        <v>467</v>
      </c>
      <c r="S472" s="13" t="s">
        <v>467</v>
      </c>
      <c r="T472" s="13" t="s">
        <v>467</v>
      </c>
      <c r="U472" s="13" t="s">
        <v>467</v>
      </c>
      <c r="V472" s="23">
        <v>46</v>
      </c>
      <c r="W472" s="44">
        <f>IF($AX472="Cancelled","",IFERROR(((V472+INDEX(Variables!$B$6:$D$6,IFERROR(MATCH(IF($B472="Robusta","Robusta",(IF($B472="","Arabica",$B472))&amp;" - "&amp;(IF($C472="","Commercial",$C472))),Variables!$B$1:$D$1,0),1)))*22.0462)*(L472/16.67),""))</f>
        <v>142534.56815836829</v>
      </c>
      <c r="Y472" s="13" t="str">
        <f>IF($AX472="Cancelled","",IF(X472="","",IFERROR(IF(INDEX(Variables!$B$38:$B$47,MATCH(X472,Variables!$A$38:$A$47,0))="Yes","Yes","No"),"No")))</f>
        <v/>
      </c>
      <c r="Z472" s="31">
        <v>45890</v>
      </c>
      <c r="AB472" s="31">
        <v>45890</v>
      </c>
      <c r="AC472" s="13" t="str">
        <f t="shared" si="21"/>
        <v>Approved</v>
      </c>
      <c r="AD472" s="31">
        <v>45890</v>
      </c>
      <c r="AF472" s="71">
        <f>AJ472-7</f>
        <v>45883</v>
      </c>
      <c r="AG472" s="37">
        <f>IF($AX472="Cancelled","",IFERROR(IF(F472="","",F472-Variables!$B$13),""))</f>
        <v>45946</v>
      </c>
      <c r="AH472" s="13">
        <f>IF($AX472="Cancelled","",IFERROR(IF(AB472="","",(AVERAGE(E472:F472)-AB472)-Variables!$B$14),""))</f>
        <v>11</v>
      </c>
      <c r="AI472" s="13">
        <v>45890</v>
      </c>
      <c r="AJ472" s="47">
        <v>45890</v>
      </c>
      <c r="AK472" s="14">
        <f>IF($AX472="Cancelled","",IFERROR(IF(AJ472="","",IF(AND(AB472="",AF472=""),"",IF(AF472&gt;AB472,AF472+Variables!$B$15+Variables!$B$16+Variables!$B$17-AJ472,AB472+Variables!$B$16+Variables!$B$17-AJ472))),""))</f>
        <v>8</v>
      </c>
      <c r="AL472" s="48" t="s">
        <v>114</v>
      </c>
      <c r="AM472" s="13" t="s">
        <v>467</v>
      </c>
      <c r="AN472" s="13" t="s">
        <v>467</v>
      </c>
      <c r="AO472" s="31">
        <v>45890</v>
      </c>
      <c r="AP472" s="31">
        <v>45890</v>
      </c>
      <c r="AQ472" s="31">
        <v>45890</v>
      </c>
      <c r="AR472" s="13" t="s">
        <v>467</v>
      </c>
      <c r="AS472" s="31">
        <v>45890</v>
      </c>
      <c r="AU472" s="31">
        <v>45890</v>
      </c>
      <c r="AV472" s="13" t="s">
        <v>467</v>
      </c>
      <c r="AW472" s="31">
        <v>45890</v>
      </c>
      <c r="AX472" s="13" t="str">
        <f>IF(ISNUMBER(SEARCH("cancel",#REF!)),"Cancelled",IF(AND(AS472&lt;&gt;"",AU472&lt;&gt;"",AW472&lt;&gt;""),"Closed","Open"))</f>
        <v>Closed</v>
      </c>
      <c r="AY472" s="15" t="str">
        <f t="shared" si="22"/>
        <v>All dates received</v>
      </c>
      <c r="BD472" s="13">
        <f>IF($AX472="Cancelled","",IFERROR(IF(OR(AS472="",AJ472=""),"",(AJ472+Variables!$B$18-AS472)),""))</f>
        <v>15</v>
      </c>
      <c r="BE472" s="13">
        <f>IF($AX472="Cancelled","",IFERROR(IF(OR(AW472="",AS472=""),"",(AS472+Variables!$B$19)-AW472),""))</f>
        <v>5</v>
      </c>
      <c r="BF472" s="44">
        <f>IF($AX472="Cancelled","",IFERROR(W472*INDEX(Variables!$B$7:$D$7,IFERROR(MATCH(IF($B472="Robusta","Robusta",(IF($B472="","Arabica",$B472))&amp;" - "&amp;(IF($C472="","Commercial",$C472))),Variables!$B$1:$D$1,0),1))*(BE472/365),""))</f>
        <v>125.90332234111693</v>
      </c>
      <c r="BG472" s="44">
        <f>IF($AX472="Cancelled","",IFERROR((W472*INDEX(Variables!$B$7:$D$7,IFERROR(MATCH(IF($B472="Robusta","Robusta",(IF($B472="","Arabica",$B472))&amp;" - "&amp;(IF($C472="","Commercial",$C472))),Variables!$B$1:$D$1,0),1))*IFERROR(IF(AB472="","",(AVERAGE(E472:F472)-AB472)-Variables!$B$14),"")/365)+(L472/16.67*INDEX(Variables!$B$8:$D$8,IFERROR(MATCH(IF($B472="Robusta","Robusta",(IF($B472="","Arabica",$B472))&amp;" - "&amp;(IF($C472="","Commercial",$C472))),Variables!$B$1:$D$1,0),1))*IFERROR(IF(AB472="","",(AVERAGE(E472:F472)-AB472)-Variables!$B$14),""))+(W472*INDEX(Variables!$B$9:$D$9,IFERROR(MATCH(IF($B472="Robusta","Robusta",(IF($B472="","Arabica",$B472))&amp;" - "&amp;(IF($C472="","Commercial",$C472))),Variables!$B$1:$D$1,0),1))*IFERROR(IF(AB472="","",(AVERAGE(E472:F472)-AB472)-Variables!$B$14),"")/365),""))</f>
        <v>456.55821011377384</v>
      </c>
      <c r="BH472" s="44">
        <f>IF($AX472="Cancelled","",IFERROR((W472*INDEX(Variables!$B$7:$D$7,IFERROR(MATCH(IF($B472="Robusta","Robusta",(IF($B472="","Arabica",$B472))&amp;" - "&amp;(IF($C472="","Commercial",$C472))),Variables!$B$1:$D$1,0),1))*AK472/365)+(L472/16.67*INDEX(Variables!$B$8:$D$8,IFERROR(MATCH(IF($B472="Robusta","Robusta",(IF($B472="","Arabica",$B472))&amp;" - "&amp;(IF($C472="","Commercial",$C472))),Variables!$B$1:$D$1,0),1))*AK472)+(W472*INDEX(Variables!$B$9:$D$9,IFERROR(MATCH(IF($B472="Robusta","Robusta",(IF($B472="","Arabica",$B472))&amp;" - "&amp;(IF($C472="","Commercial",$C472))),Variables!$B$1:$D$1,0),1))*AK472/365),""))</f>
        <v>332.04233462819917</v>
      </c>
      <c r="BI472" s="44">
        <f>IF($AX472="Cancelled","",IFERROR((W472*INDEX(Variables!$B$7:$D$7,IFERROR(MATCH(IF($B472="Robusta","Robusta",(IF($B472="","Arabica",$B472))&amp;" - "&amp;(IF($C472="","Commercial",$C472))),Variables!$B$1:$D$1,0),1))*BD472/365)+(L472/16.67*INDEX(Variables!$B$8:$D$8,IFERROR(MATCH(IF($B472="Robusta","Robusta",(IF($B472="","Arabica",$B472))&amp;" - "&amp;(IF($C472="","Commercial",$C472))),Variables!$B$1:$D$1,0),1))*BD472)+(W472*INDEX(Variables!$B$9:$D$9,IFERROR(MATCH(IF($B472="Robusta","Robusta",(IF($B472="","Arabica",$B472))&amp;" - "&amp;(IF($C472="","Commercial",$C472))),Variables!$B$1:$D$1,0),1))*BD472/365),""))</f>
        <v>622.57937742787351</v>
      </c>
      <c r="BJ472" s="44">
        <f t="shared" si="23"/>
        <v>71</v>
      </c>
      <c r="BK472" s="44">
        <f>IF($AX472="Cancelled","",IFERROR(IF(BJ472="","",(W472*INDEX(Variables!$B$7:$D$7,IFERROR(MATCH(IF($B472="Robusta","Robusta",(IF($B472="","Arabica",$B472))&amp;" - "&amp;(IF($C472="","Commercial",$C472))),Variables!$B$1:$D$1,0),1))*(BJ472/365))+(W472*INDEX(Variables!$B$9:$D$9,IFERROR(MATCH(IF($B472="Robusta","Robusta",(IF($B472="","Arabica",$B472))&amp;" - "&amp;(IF($C472="","Commercial",$C472))),Variables!$B$1:$D$1,0),1))*(BJ472/365))+(INDEX(Variables!$B$8:$D$8,IFERROR(MATCH(IF($B472="Robusta","Robusta",(IF($B472="","Arabica",$B472))&amp;" - "&amp;(IF($C472="","Commercial",$C472))),Variables!$B$1:$D$1,0),1))*L472/16.67)),""))</f>
        <v>1826.8757198252679</v>
      </c>
    </row>
    <row r="473" spans="1:63">
      <c r="A473" s="13" t="s">
        <v>103</v>
      </c>
      <c r="B473" s="13" t="s">
        <v>104</v>
      </c>
      <c r="C473" s="13" t="s">
        <v>105</v>
      </c>
      <c r="D473" s="31">
        <v>45891</v>
      </c>
      <c r="E473" s="31">
        <v>45901</v>
      </c>
      <c r="F473" s="31">
        <v>45930</v>
      </c>
      <c r="G473" s="13">
        <v>3786951</v>
      </c>
      <c r="H473" s="13" t="s">
        <v>1379</v>
      </c>
      <c r="J473" s="13" t="s">
        <v>118</v>
      </c>
      <c r="L473" s="13">
        <v>1376</v>
      </c>
      <c r="M473" s="13">
        <v>4</v>
      </c>
      <c r="N473" s="13" t="s">
        <v>1380</v>
      </c>
      <c r="O473" s="13" t="s">
        <v>1381</v>
      </c>
      <c r="P473" s="13">
        <v>37100</v>
      </c>
      <c r="R473" s="13" t="s">
        <v>110</v>
      </c>
      <c r="S473" s="13" t="s">
        <v>154</v>
      </c>
      <c r="T473" s="13" t="s">
        <v>155</v>
      </c>
      <c r="U473" s="13" t="s">
        <v>125</v>
      </c>
      <c r="V473" s="13">
        <v>-39.5</v>
      </c>
      <c r="W473" s="44">
        <f>IF($AX473="Cancelled","",IFERROR(((V473+INDEX(Variables!$B$6:$D$6,IFERROR(MATCH(IF($B473="Robusta","Robusta",(IF($B473="","Arabica",$B473))&amp;" - "&amp;(IF($C473="","Commercial",$C473))),Variables!$B$1:$D$1,0),1)))*22.0462)*(L473/16.67),""))</f>
        <v>457308.28089742054</v>
      </c>
      <c r="X473" s="55" t="s">
        <v>37</v>
      </c>
      <c r="Y473" s="13" t="str">
        <f>IF($AX473="Cancelled","",IF(X473="","",IFERROR(IF(INDEX(Variables!$B$38:$B$47,MATCH(X473,Variables!$A$38:$A$47,0))="Yes","Yes","No"),"No")))</f>
        <v>Yes</v>
      </c>
      <c r="Z473" s="58">
        <v>45922</v>
      </c>
      <c r="AC473" s="13" t="str">
        <f t="shared" si="21"/>
        <v/>
      </c>
      <c r="AF473" s="71"/>
      <c r="AG473" s="35">
        <f>IF($AX473="Cancelled","",IFERROR(IF(F473="","",F473-Variables!$B$13),""))</f>
        <v>45915</v>
      </c>
      <c r="AH473" s="13" t="str">
        <f>IF($AX473="Cancelled","",IFERROR(IF(AB473="","",(AVERAGE(E473:F473)-AB473)-Variables!$B$14),""))</f>
        <v/>
      </c>
      <c r="AK473" s="14" t="str">
        <f>IF($AX473="Cancelled","",IFERROR(IF(AJ473="","",IF(AND(AB473="",AF473=""),"",IF(AF473&gt;AB473,AF473+Variables!$B$15+Variables!$B$16+Variables!$B$17-AJ473,AB473+Variables!$B$16+Variables!$B$17-AJ473))),""))</f>
        <v/>
      </c>
      <c r="AL473" s="48" t="s">
        <v>114</v>
      </c>
      <c r="AM473" s="13" t="s">
        <v>141</v>
      </c>
      <c r="AN473" s="13" t="s">
        <v>1096</v>
      </c>
      <c r="AP473" s="31">
        <v>45920</v>
      </c>
      <c r="AR473" s="13" t="s">
        <v>1382</v>
      </c>
      <c r="AS473" s="31">
        <v>45920</v>
      </c>
      <c r="AU473" s="31">
        <v>45923</v>
      </c>
      <c r="AV473" s="13" t="s">
        <v>865</v>
      </c>
      <c r="AW473" s="31">
        <v>45924</v>
      </c>
      <c r="AX473" s="13" t="str">
        <f>IF(ISNUMBER(SEARCH("cancel",#REF!)),"Cancelled",IF(AND(AS473&lt;&gt;"",AU473&lt;&gt;"",AW473&lt;&gt;""),"Closed","Open"))</f>
        <v>Closed</v>
      </c>
      <c r="AY473" s="15" t="str">
        <f t="shared" si="22"/>
        <v>All dates received</v>
      </c>
      <c r="BD473" s="13" t="str">
        <f>IF($AX473="Cancelled","",IFERROR(IF(OR(AS473="",AJ473=""),"",(AJ473+Variables!$B$18-AS473)),""))</f>
        <v/>
      </c>
      <c r="BE473" s="13">
        <f>IF($AX473="Cancelled","",IFERROR(IF(OR(AW473="",AS473=""),"",(AS473+Variables!$B$19)-AW473),""))</f>
        <v>1</v>
      </c>
      <c r="BF473" s="44">
        <f>IF($AX473="Cancelled","",IFERROR(W473*INDEX(Variables!$B$7:$D$7,IFERROR(MATCH(IF($B473="Robusta","Robusta",(IF($B473="","Arabica",$B473))&amp;" - "&amp;(IF($C473="","Commercial",$C473))),Variables!$B$1:$D$1,0),1))*(BE473/365),""))</f>
        <v>80.789709672557947</v>
      </c>
      <c r="BG473" s="44" t="str">
        <f>IF($AX473="Cancelled","",IFERROR((W473*INDEX(Variables!$B$7:$D$7,IFERROR(MATCH(IF($B473="Robusta","Robusta",(IF($B473="","Arabica",$B473))&amp;" - "&amp;(IF($C473="","Commercial",$C473))),Variables!$B$1:$D$1,0),1))*IFERROR(IF(AB473="","",(AVERAGE(E473:F473)-AB473)-Variables!$B$14),"")/365)+(L473/16.67*INDEX(Variables!$B$8:$D$8,IFERROR(MATCH(IF($B473="Robusta","Robusta",(IF($B473="","Arabica",$B473))&amp;" - "&amp;(IF($C473="","Commercial",$C473))),Variables!$B$1:$D$1,0),1))*IFERROR(IF(AB473="","",(AVERAGE(E473:F473)-AB473)-Variables!$B$14),""))+(W473*INDEX(Variables!$B$9:$D$9,IFERROR(MATCH(IF($B473="Robusta","Robusta",(IF($B473="","Arabica",$B473))&amp;" - "&amp;(IF($C473="","Commercial",$C473))),Variables!$B$1:$D$1,0),1))*IFERROR(IF(AB473="","",(AVERAGE(E473:F473)-AB473)-Variables!$B$14),"")/365),""))</f>
        <v/>
      </c>
      <c r="BH473" s="44" t="str">
        <f>IF($AX473="Cancelled","",IFERROR((W473*INDEX(Variables!$B$7:$D$7,IFERROR(MATCH(IF($B473="Robusta","Robusta",(IF($B473="","Arabica",$B473))&amp;" - "&amp;(IF($C473="","Commercial",$C473))),Variables!$B$1:$D$1,0),1))*AK473/365)+(L473/16.67*INDEX(Variables!$B$8:$D$8,IFERROR(MATCH(IF($B473="Robusta","Robusta",(IF($B473="","Arabica",$B473))&amp;" - "&amp;(IF($C473="","Commercial",$C473))),Variables!$B$1:$D$1,0),1))*AK473)+(W473*INDEX(Variables!$B$9:$D$9,IFERROR(MATCH(IF($B473="Robusta","Robusta",(IF($B473="","Arabica",$B473))&amp;" - "&amp;(IF($C473="","Commercial",$C473))),Variables!$B$1:$D$1,0),1))*AK473/365),""))</f>
        <v/>
      </c>
      <c r="BI473" s="44" t="str">
        <f>IF($AX473="Cancelled","",IFERROR((W473*INDEX(Variables!$B$7:$D$7,IFERROR(MATCH(IF($B473="Robusta","Robusta",(IF($B473="","Arabica",$B473))&amp;" - "&amp;(IF($C473="","Commercial",$C473))),Variables!$B$1:$D$1,0),1))*BD473/365)+(L473/16.67*INDEX(Variables!$B$8:$D$8,IFERROR(MATCH(IF($B473="Robusta","Robusta",(IF($B473="","Arabica",$B473))&amp;" - "&amp;(IF($C473="","Commercial",$C473))),Variables!$B$1:$D$1,0),1))*BD473)+(W473*INDEX(Variables!$B$9:$D$9,IFERROR(MATCH(IF($B473="Robusta","Robusta",(IF($B473="","Arabica",$B473))&amp;" - "&amp;(IF($C473="","Commercial",$C473))),Variables!$B$1:$D$1,0),1))*BD473/365),""))</f>
        <v/>
      </c>
      <c r="BJ473" s="44">
        <f t="shared" si="23"/>
        <v>10</v>
      </c>
      <c r="BK473" s="44">
        <f>IF($AX473="Cancelled","",IFERROR(IF(BJ473="","",(W473*INDEX(Variables!$B$7:$D$7,IFERROR(MATCH(IF($B473="Robusta","Robusta",(IF($B473="","Arabica",$B473))&amp;" - "&amp;(IF($C473="","Commercial",$C473))),Variables!$B$1:$D$1,0),1))*(BJ473/365))+(W473*INDEX(Variables!$B$9:$D$9,IFERROR(MATCH(IF($B473="Robusta","Robusta",(IF($B473="","Arabica",$B473))&amp;" - "&amp;(IF($C473="","Commercial",$C473))),Variables!$B$1:$D$1,0),1))*(BJ473/365))+(INDEX(Variables!$B$8:$D$8,IFERROR(MATCH(IF($B473="Robusta","Robusta",(IF($B473="","Arabica",$B473))&amp;" - "&amp;(IF($C473="","Commercial",$C473))),Variables!$B$1:$D$1,0),1))*L473/16.67)),""))</f>
        <v>887.11244943544307</v>
      </c>
    </row>
    <row r="474" spans="1:63">
      <c r="A474" s="13" t="s">
        <v>103</v>
      </c>
      <c r="B474" s="13" t="s">
        <v>104</v>
      </c>
      <c r="C474" s="13" t="s">
        <v>105</v>
      </c>
      <c r="D474" s="31">
        <v>45910</v>
      </c>
      <c r="E474" s="31">
        <v>45931</v>
      </c>
      <c r="F474" s="31">
        <v>45961</v>
      </c>
      <c r="G474" s="13">
        <v>3786952</v>
      </c>
      <c r="H474" s="13">
        <v>4552533645</v>
      </c>
      <c r="J474" s="13" t="s">
        <v>230</v>
      </c>
      <c r="K474" s="13">
        <v>5331</v>
      </c>
      <c r="L474" s="13">
        <v>2160</v>
      </c>
      <c r="M474" s="13">
        <v>6</v>
      </c>
      <c r="N474" s="13" t="s">
        <v>1383</v>
      </c>
      <c r="O474" s="13" t="s">
        <v>179</v>
      </c>
      <c r="P474" s="13">
        <v>10110</v>
      </c>
      <c r="Q474" s="13" t="s">
        <v>121</v>
      </c>
      <c r="R474" s="13" t="s">
        <v>122</v>
      </c>
      <c r="S474" s="13" t="s">
        <v>154</v>
      </c>
      <c r="T474" s="13" t="s">
        <v>155</v>
      </c>
      <c r="U474" s="13" t="s">
        <v>125</v>
      </c>
      <c r="V474" s="13">
        <v>12</v>
      </c>
      <c r="W474" s="44">
        <f>IF($AX474="Cancelled","",IFERROR(((V474+INDEX(Variables!$B$6:$D$6,IFERROR(MATCH(IF($B474="Robusta","Robusta",(IF($B474="","Arabica",$B474))&amp;" - "&amp;(IF($C474="","Commercial",$C474))),Variables!$B$1:$D$1,0),1)))*22.0462)*(L474/16.67),""))</f>
        <v>864983.38437912404</v>
      </c>
      <c r="X474" s="55" t="s">
        <v>37</v>
      </c>
      <c r="Y474" s="13" t="str">
        <f>IF($AX474="Cancelled","",IF(X474="","",IFERROR(IF(INDEX(Variables!$B$38:$B$47,MATCH(X474,Variables!$A$38:$A$47,0))="Yes","Yes","No"),"No")))</f>
        <v>Yes</v>
      </c>
      <c r="Z474" s="58">
        <v>45912</v>
      </c>
      <c r="AB474" s="31">
        <v>45918</v>
      </c>
      <c r="AC474" s="13" t="str">
        <f t="shared" si="21"/>
        <v>Approved</v>
      </c>
      <c r="AF474" s="71">
        <v>45930</v>
      </c>
      <c r="AG474" s="37">
        <f>IF($AX474="Cancelled","",IFERROR(IF(F474="","",F474-Variables!$B$13),""))</f>
        <v>45946</v>
      </c>
      <c r="AH474" s="13">
        <f>IF($AX474="Cancelled","",IFERROR(IF(AB474="","",(AVERAGE(E474:F474)-AB474)-Variables!$B$14),""))</f>
        <v>-2</v>
      </c>
      <c r="AJ474" s="47">
        <v>45930</v>
      </c>
      <c r="AK474" s="14">
        <f>IF($AX474="Cancelled","",IFERROR(IF(AJ474="","",IF(AND(AB474="",AF474=""),"",IF(AF474&gt;AB474,AF474+Variables!$B$15+Variables!$B$16+Variables!$B$17-AJ474,AB474+Variables!$B$16+Variables!$B$17-AJ474))),""))</f>
        <v>15</v>
      </c>
      <c r="AL474" s="48" t="s">
        <v>114</v>
      </c>
      <c r="AM474" s="13" t="s">
        <v>141</v>
      </c>
      <c r="AN474" s="13" t="s">
        <v>1096</v>
      </c>
      <c r="AP474" s="31">
        <v>45945</v>
      </c>
      <c r="AR474" s="13" t="s">
        <v>1384</v>
      </c>
      <c r="AS474" s="31">
        <v>45945</v>
      </c>
      <c r="AU474" s="31">
        <v>45946</v>
      </c>
      <c r="AV474" s="13" t="s">
        <v>865</v>
      </c>
      <c r="AW474" s="31">
        <v>45951</v>
      </c>
      <c r="AX474" s="13" t="str">
        <f>IF(ISNUMBER(SEARCH("cancel",#REF!)),"Cancelled",IF(AND(AS474&lt;&gt;"",AU474&lt;&gt;"",AW474&lt;&gt;""),"Closed","Open"))</f>
        <v>Closed</v>
      </c>
      <c r="AY474" s="15" t="str">
        <f t="shared" si="22"/>
        <v>All dates received</v>
      </c>
      <c r="BD474" s="13">
        <f>IF($AX474="Cancelled","",IFERROR(IF(OR(AS474="",AJ474=""),"",(AJ474+Variables!$B$18-AS474)),""))</f>
        <v>0</v>
      </c>
      <c r="BE474" s="13">
        <f>IF($AX474="Cancelled","",IFERROR(IF(OR(AW474="",AS474=""),"",(AS474+Variables!$B$19)-AW474),""))</f>
        <v>-1</v>
      </c>
      <c r="BF474" s="44">
        <f>IF($AX474="Cancelled","",IFERROR(W474*INDEX(Variables!$B$7:$D$7,IFERROR(MATCH(IF($B474="Robusta","Robusta",(IF($B474="","Arabica",$B474))&amp;" - "&amp;(IF($C474="","Commercial",$C474))),Variables!$B$1:$D$1,0),1))*(BE474/365),""))</f>
        <v>-152.81104544715495</v>
      </c>
      <c r="BG474" s="44">
        <f>IF($AX474="Cancelled","",IFERROR((W474*INDEX(Variables!$B$7:$D$7,IFERROR(MATCH(IF($B474="Robusta","Robusta",(IF($B474="","Arabica",$B474))&amp;" - "&amp;(IF($C474="","Commercial",$C474))),Variables!$B$1:$D$1,0),1))*IFERROR(IF(AB474="","",(AVERAGE(E474:F474)-AB474)-Variables!$B$14),"")/365)+(L474/16.67*INDEX(Variables!$B$8:$D$8,IFERROR(MATCH(IF($B474="Robusta","Robusta",(IF($B474="","Arabica",$B474))&amp;" - "&amp;(IF($C474="","Commercial",$C474))),Variables!$B$1:$D$1,0),1))*IFERROR(IF(AB474="","",(AVERAGE(E474:F474)-AB474)-Variables!$B$14),""))+(W474*INDEX(Variables!$B$9:$D$9,IFERROR(MATCH(IF($B474="Robusta","Robusta",(IF($B474="","Arabica",$B474))&amp;" - "&amp;(IF($C474="","Commercial",$C474))),Variables!$B$1:$D$1,0),1))*IFERROR(IF(AB474="","",(AVERAGE(E474:F474)-AB474)-Variables!$B$14),"")/365),""))</f>
        <v>-525.56214945559407</v>
      </c>
      <c r="BH474" s="44">
        <f>IF($AX474="Cancelled","",IFERROR((W474*INDEX(Variables!$B$7:$D$7,IFERROR(MATCH(IF($B474="Robusta","Robusta",(IF($B474="","Arabica",$B474))&amp;" - "&amp;(IF($C474="","Commercial",$C474))),Variables!$B$1:$D$1,0),1))*AK474/365)+(L474/16.67*INDEX(Variables!$B$8:$D$8,IFERROR(MATCH(IF($B474="Robusta","Robusta",(IF($B474="","Arabica",$B474))&amp;" - "&amp;(IF($C474="","Commercial",$C474))),Variables!$B$1:$D$1,0),1))*AK474)+(W474*INDEX(Variables!$B$9:$D$9,IFERROR(MATCH(IF($B474="Robusta","Robusta",(IF($B474="","Arabica",$B474))&amp;" - "&amp;(IF($C474="","Commercial",$C474))),Variables!$B$1:$D$1,0),1))*AK474/365),""))</f>
        <v>3941.7161209169553</v>
      </c>
      <c r="BI474" s="44">
        <f>IF($AX474="Cancelled","",IFERROR((W474*INDEX(Variables!$B$7:$D$7,IFERROR(MATCH(IF($B474="Robusta","Robusta",(IF($B474="","Arabica",$B474))&amp;" - "&amp;(IF($C474="","Commercial",$C474))),Variables!$B$1:$D$1,0),1))*BD474/365)+(L474/16.67*INDEX(Variables!$B$8:$D$8,IFERROR(MATCH(IF($B474="Robusta","Robusta",(IF($B474="","Arabica",$B474))&amp;" - "&amp;(IF($C474="","Commercial",$C474))),Variables!$B$1:$D$1,0),1))*BD474)+(W474*INDEX(Variables!$B$9:$D$9,IFERROR(MATCH(IF($B474="Robusta","Robusta",(IF($B474="","Arabica",$B474))&amp;" - "&amp;(IF($C474="","Commercial",$C474))),Variables!$B$1:$D$1,0),1))*BD474/365),""))</f>
        <v>0</v>
      </c>
      <c r="BJ474" s="44">
        <f t="shared" si="23"/>
        <v>16</v>
      </c>
      <c r="BK474" s="44">
        <f>IF($AX474="Cancelled","",IFERROR(IF(BJ474="","",(W474*INDEX(Variables!$B$7:$D$7,IFERROR(MATCH(IF($B474="Robusta","Robusta",(IF($B474="","Arabica",$B474))&amp;" - "&amp;(IF($C474="","Commercial",$C474))),Variables!$B$1:$D$1,0),1))*(BJ474/365))+(W474*INDEX(Variables!$B$9:$D$9,IFERROR(MATCH(IF($B474="Robusta","Robusta",(IF($B474="","Arabica",$B474))&amp;" - "&amp;(IF($C474="","Commercial",$C474))),Variables!$B$1:$D$1,0),1))*(BJ474/365))+(INDEX(Variables!$B$8:$D$8,IFERROR(MATCH(IF($B474="Robusta","Robusta",(IF($B474="","Arabica",$B474))&amp;" - "&amp;(IF($C474="","Commercial",$C474))),Variables!$B$1:$D$1,0),1))*L474/16.67)),""))</f>
        <v>2584.497195644753</v>
      </c>
    </row>
    <row r="475" spans="1:63">
      <c r="A475" s="13" t="s">
        <v>103</v>
      </c>
      <c r="B475" s="13" t="s">
        <v>104</v>
      </c>
      <c r="C475" s="13" t="s">
        <v>105</v>
      </c>
      <c r="D475" s="31">
        <v>45908</v>
      </c>
      <c r="E475" s="31">
        <v>45962</v>
      </c>
      <c r="F475" s="31">
        <v>45991</v>
      </c>
      <c r="G475" s="13">
        <v>3786953</v>
      </c>
      <c r="H475" s="13">
        <v>95025</v>
      </c>
      <c r="J475" s="13" t="s">
        <v>118</v>
      </c>
      <c r="K475" s="13" t="s">
        <v>1385</v>
      </c>
      <c r="L475" s="13">
        <v>1334</v>
      </c>
      <c r="M475" s="13">
        <v>4</v>
      </c>
      <c r="N475" s="13" t="s">
        <v>1386</v>
      </c>
      <c r="O475" s="13" t="s">
        <v>269</v>
      </c>
      <c r="P475" s="13">
        <v>10310</v>
      </c>
      <c r="Q475" s="59" t="s">
        <v>270</v>
      </c>
      <c r="R475" s="13" t="s">
        <v>271</v>
      </c>
      <c r="S475" s="13" t="s">
        <v>138</v>
      </c>
      <c r="T475" s="13" t="s">
        <v>139</v>
      </c>
      <c r="U475" s="13" t="s">
        <v>125</v>
      </c>
      <c r="V475" s="13">
        <v>52</v>
      </c>
      <c r="W475" s="44">
        <f>IF($AX475="Cancelled","",IFERROR(((V475+INDEX(Variables!$B$6:$D$6,IFERROR(MATCH(IF($B475="Robusta","Robusta",(IF($B475="","Arabica",$B475))&amp;" - "&amp;(IF($C475="","Commercial",$C475))),Variables!$B$1:$D$1,0),1)))*22.0462)*(L475/16.67),""))</f>
        <v>604776.33102819428</v>
      </c>
      <c r="X475" s="55" t="s">
        <v>37</v>
      </c>
      <c r="Y475" s="13" t="str">
        <f>IF($AX475="Cancelled","",IF(X475="","",IFERROR(IF(INDEX(Variables!$B$38:$B$47,MATCH(X475,Variables!$A$38:$A$47,0))="Yes","Yes","No"),"No")))</f>
        <v>Yes</v>
      </c>
      <c r="Z475" s="58">
        <v>45938</v>
      </c>
      <c r="AB475" s="31">
        <v>45945</v>
      </c>
      <c r="AC475" s="13" t="str">
        <f t="shared" si="21"/>
        <v>Approved</v>
      </c>
      <c r="AF475" s="71">
        <v>45996</v>
      </c>
      <c r="AG475" s="37">
        <f>IF($AX475="Cancelled","",IFERROR(IF(F475="","",F475-Variables!$B$13),""))</f>
        <v>45976</v>
      </c>
      <c r="AH475" s="13">
        <f>IF($AX475="Cancelled","",IFERROR(IF(AB475="","",(AVERAGE(E475:F475)-AB475)-Variables!$B$14),""))</f>
        <v>1.5</v>
      </c>
      <c r="AJ475" s="47">
        <v>45960</v>
      </c>
      <c r="AK475" s="14">
        <f>IF($AX475="Cancelled","",IFERROR(IF(AJ475="","",IF(AND(AB475="",AF475=""),"",IF(AF475&gt;AB475,AF475+Variables!$B$15+Variables!$B$16+Variables!$B$17-AJ475,AB475+Variables!$B$16+Variables!$B$17-AJ475))),""))</f>
        <v>51</v>
      </c>
      <c r="AL475" s="48" t="s">
        <v>114</v>
      </c>
      <c r="AM475" s="13" t="s">
        <v>115</v>
      </c>
      <c r="AN475" s="13" t="s">
        <v>116</v>
      </c>
      <c r="AP475" s="31">
        <v>45969</v>
      </c>
      <c r="AR475" s="13">
        <v>261120683</v>
      </c>
      <c r="AS475" s="31">
        <v>45969</v>
      </c>
      <c r="AU475" s="31">
        <v>45972</v>
      </c>
      <c r="AV475" s="13" t="s">
        <v>865</v>
      </c>
      <c r="AW475" s="31">
        <v>45972</v>
      </c>
      <c r="AX475" s="13" t="str">
        <f>IF(ISNUMBER(SEARCH("cancel",#REF!)),"Cancelled",IF(AND(AS475&lt;&gt;"",AU475&lt;&gt;"",AW475&lt;&gt;""),"Closed","Open"))</f>
        <v>Closed</v>
      </c>
      <c r="AY475" s="15" t="str">
        <f t="shared" si="22"/>
        <v>All dates received</v>
      </c>
      <c r="BD475" s="13">
        <f>IF($AX475="Cancelled","",IFERROR(IF(OR(AS475="",AJ475=""),"",(AJ475+Variables!$B$18-AS475)),""))</f>
        <v>6</v>
      </c>
      <c r="BE475" s="13">
        <f>IF($AX475="Cancelled","",IFERROR(IF(OR(AW475="",AS475=""),"",(AS475+Variables!$B$19)-AW475),""))</f>
        <v>2</v>
      </c>
      <c r="BF475" s="44">
        <f>IF($AX475="Cancelled","",IFERROR(W475*INDEX(Variables!$B$7:$D$7,IFERROR(MATCH(IF($B475="Robusta","Robusta",(IF($B475="","Arabica",$B475))&amp;" - "&amp;(IF($C475="","Commercial",$C475))),Variables!$B$1:$D$1,0),1))*(BE475/365),""))</f>
        <v>213.68388127466432</v>
      </c>
      <c r="BG475" s="44">
        <f>IF($AX475="Cancelled","",IFERROR((W475*INDEX(Variables!$B$7:$D$7,IFERROR(MATCH(IF($B475="Robusta","Robusta",(IF($B475="","Arabica",$B475))&amp;" - "&amp;(IF($C475="","Commercial",$C475))),Variables!$B$1:$D$1,0),1))*IFERROR(IF(AB475="","",(AVERAGE(E475:F475)-AB475)-Variables!$B$14),"")/365)+(L475/16.67*INDEX(Variables!$B$8:$D$8,IFERROR(MATCH(IF($B475="Robusta","Robusta",(IF($B475="","Arabica",$B475))&amp;" - "&amp;(IF($C475="","Commercial",$C475))),Variables!$B$1:$D$1,0),1))*IFERROR(IF(AB475="","",(AVERAGE(E475:F475)-AB475)-Variables!$B$14),""))+(W475*INDEX(Variables!$B$9:$D$9,IFERROR(MATCH(IF($B475="Robusta","Robusta",(IF($B475="","Arabica",$B475))&amp;" - "&amp;(IF($C475="","Commercial",$C475))),Variables!$B$1:$D$1,0),1))*IFERROR(IF(AB475="","",(AVERAGE(E475:F475)-AB475)-Variables!$B$14),"")/365),""))</f>
        <v>262.3790091641506</v>
      </c>
      <c r="BH475" s="44">
        <f>IF($AX475="Cancelled","",IFERROR((W475*INDEX(Variables!$B$7:$D$7,IFERROR(MATCH(IF($B475="Robusta","Robusta",(IF($B475="","Arabica",$B475))&amp;" - "&amp;(IF($C475="","Commercial",$C475))),Variables!$B$1:$D$1,0),1))*AK475/365)+(L475/16.67*INDEX(Variables!$B$8:$D$8,IFERROR(MATCH(IF($B475="Robusta","Robusta",(IF($B475="","Arabica",$B475))&amp;" - "&amp;(IF($C475="","Commercial",$C475))),Variables!$B$1:$D$1,0),1))*AK475)+(W475*INDEX(Variables!$B$9:$D$9,IFERROR(MATCH(IF($B475="Robusta","Robusta",(IF($B475="","Arabica",$B475))&amp;" - "&amp;(IF($C475="","Commercial",$C475))),Variables!$B$1:$D$1,0),1))*AK475/365),""))</f>
        <v>8920.8863115811182</v>
      </c>
      <c r="BI475" s="44">
        <f>IF($AX475="Cancelled","",IFERROR((W475*INDEX(Variables!$B$7:$D$7,IFERROR(MATCH(IF($B475="Robusta","Robusta",(IF($B475="","Arabica",$B475))&amp;" - "&amp;(IF($C475="","Commercial",$C475))),Variables!$B$1:$D$1,0),1))*BD475/365)+(L475/16.67*INDEX(Variables!$B$8:$D$8,IFERROR(MATCH(IF($B475="Robusta","Robusta",(IF($B475="","Arabica",$B475))&amp;" - "&amp;(IF($C475="","Commercial",$C475))),Variables!$B$1:$D$1,0),1))*BD475)+(W475*INDEX(Variables!$B$9:$D$9,IFERROR(MATCH(IF($B475="Robusta","Robusta",(IF($B475="","Arabica",$B475))&amp;" - "&amp;(IF($C475="","Commercial",$C475))),Variables!$B$1:$D$1,0),1))*BD475/365),""))</f>
        <v>1049.5160366566024</v>
      </c>
      <c r="BJ475" s="44">
        <f t="shared" si="23"/>
        <v>22</v>
      </c>
      <c r="BK475" s="44">
        <f>IF($AX475="Cancelled","",IFERROR(IF(BJ475="","",(W475*INDEX(Variables!$B$7:$D$7,IFERROR(MATCH(IF($B475="Robusta","Robusta",(IF($B475="","Arabica",$B475))&amp;" - "&amp;(IF($C475="","Commercial",$C475))),Variables!$B$1:$D$1,0),1))*(BJ475/365))+(W475*INDEX(Variables!$B$9:$D$9,IFERROR(MATCH(IF($B475="Robusta","Robusta",(IF($B475="","Arabica",$B475))&amp;" - "&amp;(IF($C475="","Commercial",$C475))),Variables!$B$1:$D$1,0),1))*(BJ475/365))+(INDEX(Variables!$B$8:$D$8,IFERROR(MATCH(IF($B475="Robusta","Robusta",(IF($B475="","Arabica",$B475))&amp;" - "&amp;(IF($C475="","Commercial",$C475))),Variables!$B$1:$D$1,0),1))*L475/16.67)),""))</f>
        <v>2447.5254677408748</v>
      </c>
    </row>
    <row r="476" spans="1:63">
      <c r="A476" s="13" t="s">
        <v>103</v>
      </c>
      <c r="B476" s="13" t="s">
        <v>104</v>
      </c>
      <c r="C476" s="13" t="s">
        <v>105</v>
      </c>
      <c r="D476" s="31">
        <v>45908</v>
      </c>
      <c r="E476" s="31">
        <v>45962</v>
      </c>
      <c r="F476" s="31">
        <v>45991</v>
      </c>
      <c r="G476" s="13">
        <v>3786953</v>
      </c>
      <c r="H476" s="13">
        <v>95025</v>
      </c>
      <c r="J476" s="13" t="s">
        <v>118</v>
      </c>
      <c r="K476" s="13" t="s">
        <v>1387</v>
      </c>
      <c r="L476" s="13">
        <v>333</v>
      </c>
      <c r="M476" s="13">
        <v>1</v>
      </c>
      <c r="N476" s="13" t="s">
        <v>1386</v>
      </c>
      <c r="O476" s="13" t="s">
        <v>269</v>
      </c>
      <c r="P476" s="13">
        <v>10310</v>
      </c>
      <c r="Q476" s="59" t="s">
        <v>270</v>
      </c>
      <c r="R476" s="13" t="s">
        <v>271</v>
      </c>
      <c r="S476" s="13" t="s">
        <v>138</v>
      </c>
      <c r="T476" s="13" t="s">
        <v>139</v>
      </c>
      <c r="U476" s="13" t="s">
        <v>125</v>
      </c>
      <c r="V476" s="13">
        <v>52</v>
      </c>
      <c r="W476" s="44">
        <f>IF($AX476="Cancelled","",IFERROR(((V476+INDEX(Variables!$B$6:$D$6,IFERROR(MATCH(IF($B476="Robusta","Robusta",(IF($B476="","Arabica",$B476))&amp;" - "&amp;(IF($C476="","Commercial",$C476))),Variables!$B$1:$D$1,0),1)))*22.0462)*(L476/16.67),""))</f>
        <v>150967.40497180563</v>
      </c>
      <c r="X476" s="55" t="s">
        <v>37</v>
      </c>
      <c r="Y476" s="13" t="str">
        <f>IF($AX476="Cancelled","",IF(X476="","",IFERROR(IF(INDEX(Variables!$B$38:$B$47,MATCH(X476,Variables!$A$38:$A$47,0))="Yes","Yes","No"),"No")))</f>
        <v>Yes</v>
      </c>
      <c r="Z476" s="58">
        <v>45938</v>
      </c>
      <c r="AB476" s="31">
        <v>45945</v>
      </c>
      <c r="AC476" s="13" t="str">
        <f t="shared" si="21"/>
        <v>Approved</v>
      </c>
      <c r="AF476" s="71">
        <v>45996</v>
      </c>
      <c r="AG476" s="37">
        <f>IF($AX476="Cancelled","",IFERROR(IF(F476="","",F476-Variables!$B$13),""))</f>
        <v>45976</v>
      </c>
      <c r="AH476" s="13">
        <f>IF($AX476="Cancelled","",IFERROR(IF(AB476="","",(AVERAGE(E476:F476)-AB476)-Variables!$B$14),""))</f>
        <v>1.5</v>
      </c>
      <c r="AJ476" s="47">
        <v>46000</v>
      </c>
      <c r="AK476" s="14">
        <f>IF($AX476="Cancelled","",IFERROR(IF(AJ476="","",IF(AND(AB476="",AF476=""),"",IF(AF476&gt;AB476,AF476+Variables!$B$15+Variables!$B$16+Variables!$B$17-AJ476,AB476+Variables!$B$16+Variables!$B$17-AJ476))),""))</f>
        <v>11</v>
      </c>
      <c r="AL476" s="48" t="s">
        <v>114</v>
      </c>
      <c r="AM476" s="13" t="s">
        <v>115</v>
      </c>
      <c r="AN476" s="13" t="s">
        <v>116</v>
      </c>
      <c r="AP476" s="31">
        <v>45969</v>
      </c>
      <c r="AR476" s="13">
        <v>261120683</v>
      </c>
      <c r="AS476" s="31">
        <v>46007</v>
      </c>
      <c r="AU476" s="31">
        <v>46014</v>
      </c>
      <c r="AV476" s="13" t="s">
        <v>865</v>
      </c>
      <c r="AW476" s="31">
        <v>46014</v>
      </c>
      <c r="AX476" s="13" t="str">
        <f>IF(ISNUMBER(SEARCH("cancel",#REF!)),"Cancelled",IF(AND(AS476&lt;&gt;"",AU476&lt;&gt;"",AW476&lt;&gt;""),"Closed","Open"))</f>
        <v>Closed</v>
      </c>
      <c r="AY476" s="15" t="str">
        <f t="shared" si="22"/>
        <v>All dates received</v>
      </c>
      <c r="BD476" s="13">
        <f>IF($AX476="Cancelled","",IFERROR(IF(OR(AS476="",AJ476=""),"",(AJ476+Variables!$B$18-AS476)),""))</f>
        <v>8</v>
      </c>
      <c r="BE476" s="13">
        <f>IF($AX476="Cancelled","",IFERROR(IF(OR(AW476="",AS476=""),"",(AS476+Variables!$B$19)-AW476),""))</f>
        <v>-2</v>
      </c>
      <c r="BF476" s="44">
        <f>IF($AX476="Cancelled","",IFERROR(W476*INDEX(Variables!$B$7:$D$7,IFERROR(MATCH(IF($B476="Robusta","Robusta",(IF($B476="","Arabica",$B476))&amp;" - "&amp;(IF($C476="","Commercial",$C476))),Variables!$B$1:$D$1,0),1))*(BE476/365),""))</f>
        <v>-53.340878908892961</v>
      </c>
      <c r="BG476" s="44">
        <f>IF($AX476="Cancelled","",IFERROR((W476*INDEX(Variables!$B$7:$D$7,IFERROR(MATCH(IF($B476="Robusta","Robusta",(IF($B476="","Arabica",$B476))&amp;" - "&amp;(IF($C476="","Commercial",$C476))),Variables!$B$1:$D$1,0),1))*IFERROR(IF(AB476="","",(AVERAGE(E476:F476)-AB476)-Variables!$B$14),"")/365)+(L476/16.67*INDEX(Variables!$B$8:$D$8,IFERROR(MATCH(IF($B476="Robusta","Robusta",(IF($B476="","Arabica",$B476))&amp;" - "&amp;(IF($C476="","Commercial",$C476))),Variables!$B$1:$D$1,0),1))*IFERROR(IF(AB476="","",(AVERAGE(E476:F476)-AB476)-Variables!$B$14),""))+(W476*INDEX(Variables!$B$9:$D$9,IFERROR(MATCH(IF($B476="Robusta","Robusta",(IF($B476="","Arabica",$B476))&amp;" - "&amp;(IF($C476="","Commercial",$C476))),Variables!$B$1:$D$1,0),1))*IFERROR(IF(AB476="","",(AVERAGE(E476:F476)-AB476)-Variables!$B$14),"")/365),""))</f>
        <v>65.496409334079573</v>
      </c>
      <c r="BH476" s="44">
        <f>IF($AX476="Cancelled","",IFERROR((W476*INDEX(Variables!$B$7:$D$7,IFERROR(MATCH(IF($B476="Robusta","Robusta",(IF($B476="","Arabica",$B476))&amp;" - "&amp;(IF($C476="","Commercial",$C476))),Variables!$B$1:$D$1,0),1))*AK476/365)+(L476/16.67*INDEX(Variables!$B$8:$D$8,IFERROR(MATCH(IF($B476="Robusta","Robusta",(IF($B476="","Arabica",$B476))&amp;" - "&amp;(IF($C476="","Commercial",$C476))),Variables!$B$1:$D$1,0),1))*AK476)+(W476*INDEX(Variables!$B$9:$D$9,IFERROR(MATCH(IF($B476="Robusta","Robusta",(IF($B476="","Arabica",$B476))&amp;" - "&amp;(IF($C476="","Commercial",$C476))),Variables!$B$1:$D$1,0),1))*AK476/365),""))</f>
        <v>480.3070017832502</v>
      </c>
      <c r="BI476" s="44">
        <f>IF($AX476="Cancelled","",IFERROR((W476*INDEX(Variables!$B$7:$D$7,IFERROR(MATCH(IF($B476="Robusta","Robusta",(IF($B476="","Arabica",$B476))&amp;" - "&amp;(IF($C476="","Commercial",$C476))),Variables!$B$1:$D$1,0),1))*BD476/365)+(L476/16.67*INDEX(Variables!$B$8:$D$8,IFERROR(MATCH(IF($B476="Robusta","Robusta",(IF($B476="","Arabica",$B476))&amp;" - "&amp;(IF($C476="","Commercial",$C476))),Variables!$B$1:$D$1,0),1))*BD476)+(W476*INDEX(Variables!$B$9:$D$9,IFERROR(MATCH(IF($B476="Robusta","Robusta",(IF($B476="","Arabica",$B476))&amp;" - "&amp;(IF($C476="","Commercial",$C476))),Variables!$B$1:$D$1,0),1))*BD476/365),""))</f>
        <v>349.31418311509105</v>
      </c>
      <c r="BJ476" s="44">
        <f t="shared" si="23"/>
        <v>-16</v>
      </c>
      <c r="BK476" s="44">
        <f>IF($AX476="Cancelled","",IFERROR(IF(BJ476="","",(W476*INDEX(Variables!$B$7:$D$7,IFERROR(MATCH(IF($B476="Robusta","Robusta",(IF($B476="","Arabica",$B476))&amp;" - "&amp;(IF($C476="","Commercial",$C476))),Variables!$B$1:$D$1,0),1))*(BJ476/365))+(W476*INDEX(Variables!$B$9:$D$9,IFERROR(MATCH(IF($B476="Robusta","Robusta",(IF($B476="","Arabica",$B476))&amp;" - "&amp;(IF($C476="","Commercial",$C476))),Variables!$B$1:$D$1,0),1))*(BJ476/365))+(INDEX(Variables!$B$8:$D$8,IFERROR(MATCH(IF($B476="Robusta","Robusta",(IF($B476="","Arabica",$B476))&amp;" - "&amp;(IF($C476="","Commercial",$C476))),Variables!$B$1:$D$1,0),1))*L476/16.67)),""))</f>
        <v>-415.57836623018204</v>
      </c>
    </row>
    <row r="477" spans="1:63">
      <c r="A477" s="13" t="s">
        <v>103</v>
      </c>
      <c r="B477" s="13" t="s">
        <v>104</v>
      </c>
      <c r="C477" s="13" t="s">
        <v>292</v>
      </c>
      <c r="D477" s="31">
        <v>45910</v>
      </c>
      <c r="E477" s="31">
        <v>45910</v>
      </c>
      <c r="F477" s="31">
        <v>45930</v>
      </c>
      <c r="G477" s="13">
        <v>3786954</v>
      </c>
      <c r="H477" s="13" t="s">
        <v>1388</v>
      </c>
      <c r="J477" s="13" t="s">
        <v>294</v>
      </c>
      <c r="K477" s="13" t="s">
        <v>1389</v>
      </c>
      <c r="L477" s="13">
        <v>30</v>
      </c>
      <c r="M477" s="13">
        <v>1</v>
      </c>
      <c r="N477" s="13" t="s">
        <v>1390</v>
      </c>
      <c r="O477" s="13" t="s">
        <v>1391</v>
      </c>
      <c r="P477" s="13">
        <v>10040</v>
      </c>
      <c r="R477" s="13" t="s">
        <v>384</v>
      </c>
      <c r="S477" s="13" t="s">
        <v>299</v>
      </c>
      <c r="T477" s="13" t="s">
        <v>305</v>
      </c>
      <c r="U477" s="13" t="s">
        <v>125</v>
      </c>
      <c r="V477" s="13">
        <v>152.19999999999999</v>
      </c>
      <c r="W477" s="44">
        <f>IF($AX477="Cancelled","",IFERROR(((V477+INDEX(Variables!$B$6:$D$6,IFERROR(MATCH(IF($B477="Robusta","Robusta",(IF($B477="","Arabica",$B477))&amp;" - "&amp;(IF($C477="","Commercial",$C477))),Variables!$B$1:$D$1,0),1)))*22.0462)*(L477/16.67),""))</f>
        <v>17576.124655068983</v>
      </c>
      <c r="X477" s="55" t="s">
        <v>39</v>
      </c>
      <c r="Y477" s="13" t="str">
        <f>IF($AX477="Cancelled","",IF(X477="","",IFERROR(IF(INDEX(Variables!$B$38:$B$47,MATCH(X477,Variables!$A$38:$A$47,0))="Yes","Yes","No"),"No")))</f>
        <v>No</v>
      </c>
      <c r="Z477" s="31"/>
      <c r="AB477" s="31">
        <v>45888.875</v>
      </c>
      <c r="AC477" s="13" t="str">
        <f t="shared" si="21"/>
        <v>Approved</v>
      </c>
      <c r="AF477" s="71">
        <v>45925</v>
      </c>
      <c r="AG477" s="31">
        <f>IF($AX477="Cancelled","",IFERROR(IF(F477="","",F477-Variables!$B$13),""))</f>
        <v>45915</v>
      </c>
      <c r="AH477" s="13">
        <f>IF($AX477="Cancelled","",IFERROR(IF(AB477="","",(AVERAGE(E477:F477)-AB477)-Variables!$B$14),""))</f>
        <v>1.125</v>
      </c>
      <c r="AJ477" s="47">
        <v>45925</v>
      </c>
      <c r="AK477" s="14">
        <f>IF($AX477="Cancelled","",IFERROR(IF(AJ477="","",IF(AND(AB477="",AF477=""),"",IF(AF477&gt;AB477,AF477+Variables!$B$15+Variables!$B$16+Variables!$B$17-AJ477,AB477+Variables!$B$16+Variables!$B$17-AJ477))),""))</f>
        <v>15</v>
      </c>
      <c r="AL477" s="48" t="s">
        <v>114</v>
      </c>
      <c r="AM477" s="13" t="s">
        <v>115</v>
      </c>
      <c r="AN477" s="13" t="s">
        <v>370</v>
      </c>
      <c r="AP477" s="31">
        <v>45930</v>
      </c>
      <c r="AR477" s="13">
        <v>259551192</v>
      </c>
      <c r="AS477" s="31">
        <v>45933</v>
      </c>
      <c r="AU477" s="31">
        <v>45936</v>
      </c>
      <c r="AV477" s="13" t="s">
        <v>3273</v>
      </c>
      <c r="AW477" s="31">
        <v>45936</v>
      </c>
      <c r="AX477" s="13" t="str">
        <f>IF(ISNUMBER(SEARCH("cancel",#REF!)),"Cancelled",IF(AND(AS477&lt;&gt;"",AU477&lt;&gt;"",AW477&lt;&gt;""),"Closed","Open"))</f>
        <v>Closed</v>
      </c>
      <c r="AY477" s="15" t="str">
        <f t="shared" si="22"/>
        <v>All dates received</v>
      </c>
      <c r="BD477" s="13">
        <f>IF($AX477="Cancelled","",IFERROR(IF(OR(AS477="",AJ477=""),"",(AJ477+Variables!$B$18-AS477)),""))</f>
        <v>7</v>
      </c>
      <c r="BE477" s="13">
        <f>IF($AX477="Cancelled","",IFERROR(IF(OR(AW477="",AS477=""),"",(AS477+Variables!$B$19)-AW477),""))</f>
        <v>2</v>
      </c>
      <c r="BF477" s="44">
        <f>IF($AX477="Cancelled","",IFERROR(W477*INDEX(Variables!$B$7:$D$7,IFERROR(MATCH(IF($B477="Robusta","Robusta",(IF($B477="","Arabica",$B477))&amp;" - "&amp;(IF($C477="","Commercial",$C477))),Variables!$B$1:$D$1,0),1))*(BE477/365),""))</f>
        <v>6.2101215629210369</v>
      </c>
      <c r="BG477" s="44">
        <f>IF($AX477="Cancelled","",IFERROR((W477*INDEX(Variables!$B$7:$D$7,IFERROR(MATCH(IF($B477="Robusta","Robusta",(IF($B477="","Arabica",$B477))&amp;" - "&amp;(IF($C477="","Commercial",$C477))),Variables!$B$1:$D$1,0),1))*IFERROR(IF(AB477="","",(AVERAGE(E477:F477)-AB477)-Variables!$B$14),"")/365)+(L477/16.67*INDEX(Variables!$B$8:$D$8,IFERROR(MATCH(IF($B477="Robusta","Robusta",(IF($B477="","Arabica",$B477))&amp;" - "&amp;(IF($C477="","Commercial",$C477))),Variables!$B$1:$D$1,0),1))*IFERROR(IF(AB477="","",(AVERAGE(E477:F477)-AB477)-Variables!$B$14),""))+(W477*INDEX(Variables!$B$9:$D$9,IFERROR(MATCH(IF($B477="Robusta","Robusta",(IF($B477="","Arabica",$B477))&amp;" - "&amp;(IF($C477="","Commercial",$C477))),Variables!$B$1:$D$1,0),1))*IFERROR(IF(AB477="","",(AVERAGE(E477:F477)-AB477)-Variables!$B$14),"")/365),""))</f>
        <v>5.2257273831950792</v>
      </c>
      <c r="BH477" s="44">
        <f>IF($AX477="Cancelled","",IFERROR((W477*INDEX(Variables!$B$7:$D$7,IFERROR(MATCH(IF($B477="Robusta","Robusta",(IF($B477="","Arabica",$B477))&amp;" - "&amp;(IF($C477="","Commercial",$C477))),Variables!$B$1:$D$1,0),1))*AK477/365)+(L477/16.67*INDEX(Variables!$B$8:$D$8,IFERROR(MATCH(IF($B477="Robusta","Robusta",(IF($B477="","Arabica",$B477))&amp;" - "&amp;(IF($C477="","Commercial",$C477))),Variables!$B$1:$D$1,0),1))*AK477)+(W477*INDEX(Variables!$B$9:$D$9,IFERROR(MATCH(IF($B477="Robusta","Robusta",(IF($B477="","Arabica",$B477))&amp;" - "&amp;(IF($C477="","Commercial",$C477))),Variables!$B$1:$D$1,0),1))*AK477/365),""))</f>
        <v>69.676365109267721</v>
      </c>
      <c r="BI477" s="44">
        <f>IF($AX477="Cancelled","",IFERROR((W477*INDEX(Variables!$B$7:$D$7,IFERROR(MATCH(IF($B477="Robusta","Robusta",(IF($B477="","Arabica",$B477))&amp;" - "&amp;(IF($C477="","Commercial",$C477))),Variables!$B$1:$D$1,0),1))*BD477/365)+(L477/16.67*INDEX(Variables!$B$8:$D$8,IFERROR(MATCH(IF($B477="Robusta","Robusta",(IF($B477="","Arabica",$B477))&amp;" - "&amp;(IF($C477="","Commercial",$C477))),Variables!$B$1:$D$1,0),1))*BD477)+(W477*INDEX(Variables!$B$9:$D$9,IFERROR(MATCH(IF($B477="Robusta","Robusta",(IF($B477="","Arabica",$B477))&amp;" - "&amp;(IF($C477="","Commercial",$C477))),Variables!$B$1:$D$1,0),1))*BD477/365),""))</f>
        <v>32.515637050991607</v>
      </c>
      <c r="BJ477" s="44">
        <f t="shared" si="23"/>
        <v>-3</v>
      </c>
      <c r="BK477" s="44">
        <f>IF($AX477="Cancelled","",IFERROR(IF(BJ477="","",(W477*INDEX(Variables!$B$7:$D$7,IFERROR(MATCH(IF($B477="Robusta","Robusta",(IF($B477="","Arabica",$B477))&amp;" - "&amp;(IF($C477="","Commercial",$C477))),Variables!$B$1:$D$1,0),1))*(BJ477/365))+(W477*INDEX(Variables!$B$9:$D$9,IFERROR(MATCH(IF($B477="Robusta","Robusta",(IF($B477="","Arabica",$B477))&amp;" - "&amp;(IF($C477="","Commercial",$C477))),Variables!$B$1:$D$1,0),1))*(BJ477/365))+(INDEX(Variables!$B$8:$D$8,IFERROR(MATCH(IF($B477="Robusta","Robusta",(IF($B477="","Arabica",$B477))&amp;" - "&amp;(IF($C477="","Commercial",$C477))),Variables!$B$1:$D$1,0),1))*L477/16.67)),""))</f>
        <v>-7.9352730218535452</v>
      </c>
    </row>
    <row r="478" spans="1:63">
      <c r="A478" s="13" t="s">
        <v>103</v>
      </c>
      <c r="B478" s="13" t="s">
        <v>104</v>
      </c>
      <c r="C478" s="13" t="s">
        <v>292</v>
      </c>
      <c r="D478" s="31">
        <v>45910</v>
      </c>
      <c r="E478" s="31">
        <v>45910</v>
      </c>
      <c r="F478" s="31">
        <v>45930</v>
      </c>
      <c r="G478" s="13">
        <v>3786955</v>
      </c>
      <c r="H478" s="13" t="s">
        <v>1392</v>
      </c>
      <c r="J478" s="13" t="s">
        <v>294</v>
      </c>
      <c r="K478" s="13" t="s">
        <v>1393</v>
      </c>
      <c r="L478" s="13">
        <v>9</v>
      </c>
      <c r="M478" s="13">
        <v>0</v>
      </c>
      <c r="N478" s="13" t="s">
        <v>1394</v>
      </c>
      <c r="O478" s="13" t="s">
        <v>775</v>
      </c>
      <c r="P478" s="13">
        <v>10030</v>
      </c>
      <c r="R478" s="13" t="s">
        <v>384</v>
      </c>
      <c r="S478" s="13" t="s">
        <v>299</v>
      </c>
      <c r="T478" s="13" t="s">
        <v>305</v>
      </c>
      <c r="U478" s="13" t="s">
        <v>125</v>
      </c>
      <c r="V478" s="13">
        <v>136.19999999999999</v>
      </c>
      <c r="W478" s="44">
        <f>IF($AX478="Cancelled","",IFERROR(((V478+INDEX(Variables!$B$6:$D$6,IFERROR(MATCH(IF($B478="Robusta","Robusta",(IF($B478="","Arabica",$B478))&amp;" - "&amp;(IF($C478="","Commercial",$C478))),Variables!$B$1:$D$1,0),1)))*22.0462)*(L478/16.67),""))</f>
        <v>5082.3963167366519</v>
      </c>
      <c r="X478" s="55" t="s">
        <v>39</v>
      </c>
      <c r="Y478" s="13" t="str">
        <f>IF($AX478="Cancelled","",IF(X478="","",IFERROR(IF(INDEX(Variables!$B$38:$B$47,MATCH(X478,Variables!$A$38:$A$47,0))="Yes","Yes","No"),"No")))</f>
        <v>No</v>
      </c>
      <c r="Z478" s="31"/>
      <c r="AB478" s="31">
        <v>45888.875</v>
      </c>
      <c r="AC478" s="13" t="str">
        <f t="shared" si="21"/>
        <v>Approved</v>
      </c>
      <c r="AF478" s="71">
        <v>45925</v>
      </c>
      <c r="AG478" s="31">
        <f>IF($AX478="Cancelled","",IFERROR(IF(F478="","",F478-Variables!$B$13),""))</f>
        <v>45915</v>
      </c>
      <c r="AH478" s="13">
        <f>IF($AX478="Cancelled","",IFERROR(IF(AB478="","",(AVERAGE(E478:F478)-AB478)-Variables!$B$14),""))</f>
        <v>1.125</v>
      </c>
      <c r="AJ478" s="47">
        <v>45925</v>
      </c>
      <c r="AK478" s="14">
        <f>IF($AX478="Cancelled","",IFERROR(IF(AJ478="","",IF(AND(AB478="",AF478=""),"",IF(AF478&gt;AB478,AF478+Variables!$B$15+Variables!$B$16+Variables!$B$17-AJ478,AB478+Variables!$B$16+Variables!$B$17-AJ478))),""))</f>
        <v>15</v>
      </c>
      <c r="AL478" s="48" t="s">
        <v>114</v>
      </c>
      <c r="AM478" s="13" t="s">
        <v>115</v>
      </c>
      <c r="AN478" s="13" t="s">
        <v>370</v>
      </c>
      <c r="AP478" s="31">
        <v>45930</v>
      </c>
      <c r="AR478" s="13">
        <v>259551192</v>
      </c>
      <c r="AS478" s="31">
        <v>45933</v>
      </c>
      <c r="AU478" s="31">
        <v>45936</v>
      </c>
      <c r="AV478" s="13" t="s">
        <v>3273</v>
      </c>
      <c r="AW478" s="31">
        <v>45936</v>
      </c>
      <c r="AX478" s="13" t="str">
        <f>IF(ISNUMBER(SEARCH("cancel",#REF!)),"Cancelled",IF(AND(AS478&lt;&gt;"",AU478&lt;&gt;"",AW478&lt;&gt;""),"Closed","Open"))</f>
        <v>Closed</v>
      </c>
      <c r="AY478" s="15" t="str">
        <f t="shared" si="22"/>
        <v>All dates received</v>
      </c>
      <c r="BD478" s="13">
        <f>IF($AX478="Cancelled","",IFERROR(IF(OR(AS478="",AJ478=""),"",(AJ478+Variables!$B$18-AS478)),""))</f>
        <v>7</v>
      </c>
      <c r="BE478" s="13">
        <f>IF($AX478="Cancelled","",IFERROR(IF(OR(AW478="",AS478=""),"",(AS478+Variables!$B$19)-AW478),""))</f>
        <v>2</v>
      </c>
      <c r="BF478" s="44">
        <f>IF($AX478="Cancelled","",IFERROR(W478*INDEX(Variables!$B$7:$D$7,IFERROR(MATCH(IF($B478="Robusta","Robusta",(IF($B478="","Arabica",$B478))&amp;" - "&amp;(IF($C478="","Commercial",$C478))),Variables!$B$1:$D$1,0),1))*(BE478/365),""))</f>
        <v>1.7957484700004172</v>
      </c>
      <c r="BG478" s="44">
        <f>IF($AX478="Cancelled","",IFERROR((W478*INDEX(Variables!$B$7:$D$7,IFERROR(MATCH(IF($B478="Robusta","Robusta",(IF($B478="","Arabica",$B478))&amp;" - "&amp;(IF($C478="","Commercial",$C478))),Variables!$B$1:$D$1,0),1))*IFERROR(IF(AB478="","",(AVERAGE(E478:F478)-AB478)-Variables!$B$14),"")/365)+(L478/16.67*INDEX(Variables!$B$8:$D$8,IFERROR(MATCH(IF($B478="Robusta","Robusta",(IF($B478="","Arabica",$B478))&amp;" - "&amp;(IF($C478="","Commercial",$C478))),Variables!$B$1:$D$1,0),1))*IFERROR(IF(AB478="","",(AVERAGE(E478:F478)-AB478)-Variables!$B$14),""))+(W478*INDEX(Variables!$B$9:$D$9,IFERROR(MATCH(IF($B478="Robusta","Robusta",(IF($B478="","Arabica",$B478))&amp;" - "&amp;(IF($C478="","Commercial",$C478))),Variables!$B$1:$D$1,0),1))*IFERROR(IF(AB478="","",(AVERAGE(E478:F478)-AB478)-Variables!$B$14),"")/365),""))</f>
        <v>1.5293807624995253</v>
      </c>
      <c r="BH478" s="44">
        <f>IF($AX478="Cancelled","",IFERROR((W478*INDEX(Variables!$B$7:$D$7,IFERROR(MATCH(IF($B478="Robusta","Robusta",(IF($B478="","Arabica",$B478))&amp;" - "&amp;(IF($C478="","Commercial",$C478))),Variables!$B$1:$D$1,0),1))*AK478/365)+(L478/16.67*INDEX(Variables!$B$8:$D$8,IFERROR(MATCH(IF($B478="Robusta","Robusta",(IF($B478="","Arabica",$B478))&amp;" - "&amp;(IF($C478="","Commercial",$C478))),Variables!$B$1:$D$1,0),1))*AK478)+(W478*INDEX(Variables!$B$9:$D$9,IFERROR(MATCH(IF($B478="Robusta","Robusta",(IF($B478="","Arabica",$B478))&amp;" - "&amp;(IF($C478="","Commercial",$C478))),Variables!$B$1:$D$1,0),1))*AK478/365),""))</f>
        <v>20.39174349999367</v>
      </c>
      <c r="BI478" s="44">
        <f>IF($AX478="Cancelled","",IFERROR((W478*INDEX(Variables!$B$7:$D$7,IFERROR(MATCH(IF($B478="Robusta","Robusta",(IF($B478="","Arabica",$B478))&amp;" - "&amp;(IF($C478="","Commercial",$C478))),Variables!$B$1:$D$1,0),1))*BD478/365)+(L478/16.67*INDEX(Variables!$B$8:$D$8,IFERROR(MATCH(IF($B478="Robusta","Robusta",(IF($B478="","Arabica",$B478))&amp;" - "&amp;(IF($C478="","Commercial",$C478))),Variables!$B$1:$D$1,0),1))*BD478)+(W478*INDEX(Variables!$B$9:$D$9,IFERROR(MATCH(IF($B478="Robusta","Robusta",(IF($B478="","Arabica",$B478))&amp;" - "&amp;(IF($C478="","Commercial",$C478))),Variables!$B$1:$D$1,0),1))*BD478/365),""))</f>
        <v>9.5161469666637135</v>
      </c>
      <c r="BJ478" s="44">
        <f t="shared" si="23"/>
        <v>-3</v>
      </c>
      <c r="BK478" s="44">
        <f>IF($AX478="Cancelled","",IFERROR(IF(BJ478="","",(W478*INDEX(Variables!$B$7:$D$7,IFERROR(MATCH(IF($B478="Robusta","Robusta",(IF($B478="","Arabica",$B478))&amp;" - "&amp;(IF($C478="","Commercial",$C478))),Variables!$B$1:$D$1,0),1))*(BJ478/365))+(W478*INDEX(Variables!$B$9:$D$9,IFERROR(MATCH(IF($B478="Robusta","Robusta",(IF($B478="","Arabica",$B478))&amp;" - "&amp;(IF($C478="","Commercial",$C478))),Variables!$B$1:$D$1,0),1))*(BJ478/365))+(INDEX(Variables!$B$8:$D$8,IFERROR(MATCH(IF($B478="Robusta","Robusta",(IF($B478="","Arabica",$B478))&amp;" - "&amp;(IF($C478="","Commercial",$C478))),Variables!$B$1:$D$1,0),1))*L478/16.67)),""))</f>
        <v>-2.2783486999987335</v>
      </c>
    </row>
    <row r="479" spans="1:63">
      <c r="A479" s="13" t="s">
        <v>103</v>
      </c>
      <c r="B479" s="13" t="s">
        <v>104</v>
      </c>
      <c r="C479" s="13" t="s">
        <v>292</v>
      </c>
      <c r="D479" s="31">
        <v>45910</v>
      </c>
      <c r="E479" s="31">
        <v>45910</v>
      </c>
      <c r="F479" s="31">
        <v>45930</v>
      </c>
      <c r="G479" s="13">
        <v>3786956</v>
      </c>
      <c r="H479" s="13" t="s">
        <v>1395</v>
      </c>
      <c r="J479" s="13" t="s">
        <v>294</v>
      </c>
      <c r="K479" s="13" t="s">
        <v>1396</v>
      </c>
      <c r="L479" s="13">
        <v>30</v>
      </c>
      <c r="M479" s="13">
        <v>0</v>
      </c>
      <c r="N479" s="13" t="s">
        <v>1397</v>
      </c>
      <c r="O479" s="13" t="s">
        <v>1391</v>
      </c>
      <c r="P479" s="13">
        <v>10040</v>
      </c>
      <c r="R479" s="13" t="s">
        <v>384</v>
      </c>
      <c r="S479" s="13" t="s">
        <v>299</v>
      </c>
      <c r="T479" s="13" t="s">
        <v>305</v>
      </c>
      <c r="U479" s="13" t="s">
        <v>125</v>
      </c>
      <c r="V479" s="13">
        <v>115.2</v>
      </c>
      <c r="W479" s="44">
        <f>IF($AX479="Cancelled","",IFERROR(((V479+INDEX(Variables!$B$6:$D$6,IFERROR(MATCH(IF($B479="Robusta","Robusta",(IF($B479="","Arabica",$B479))&amp;" - "&amp;(IF($C479="","Commercial",$C479))),Variables!$B$1:$D$1,0),1)))*22.0462)*(L479/16.67),""))</f>
        <v>16108.141331733652</v>
      </c>
      <c r="X479" s="55" t="s">
        <v>39</v>
      </c>
      <c r="Y479" s="13" t="str">
        <f>IF($AX479="Cancelled","",IF(X479="","",IFERROR(IF(INDEX(Variables!$B$38:$B$47,MATCH(X479,Variables!$A$38:$A$47,0))="Yes","Yes","No"),"No")))</f>
        <v>No</v>
      </c>
      <c r="Z479" s="31"/>
      <c r="AB479" s="31">
        <v>45888.875</v>
      </c>
      <c r="AC479" s="13" t="str">
        <f t="shared" si="21"/>
        <v>Approved</v>
      </c>
      <c r="AF479" s="71">
        <v>45925</v>
      </c>
      <c r="AG479" s="31">
        <f>IF($AX479="Cancelled","",IFERROR(IF(F479="","",F479-Variables!$B$13),""))</f>
        <v>45915</v>
      </c>
      <c r="AH479" s="13">
        <f>IF($AX479="Cancelled","",IFERROR(IF(AB479="","",(AVERAGE(E479:F479)-AB479)-Variables!$B$14),""))</f>
        <v>1.125</v>
      </c>
      <c r="AJ479" s="47">
        <v>45925</v>
      </c>
      <c r="AK479" s="14">
        <f>IF($AX479="Cancelled","",IFERROR(IF(AJ479="","",IF(AND(AB479="",AF479=""),"",IF(AF479&gt;AB479,AF479+Variables!$B$15+Variables!$B$16+Variables!$B$17-AJ479,AB479+Variables!$B$16+Variables!$B$17-AJ479))),""))</f>
        <v>15</v>
      </c>
      <c r="AL479" s="48" t="s">
        <v>114</v>
      </c>
      <c r="AM479" s="13" t="s">
        <v>115</v>
      </c>
      <c r="AN479" s="13" t="s">
        <v>370</v>
      </c>
      <c r="AP479" s="31">
        <v>45930</v>
      </c>
      <c r="AR479" s="13">
        <v>259551192</v>
      </c>
      <c r="AS479" s="31">
        <v>45933</v>
      </c>
      <c r="AU479" s="31">
        <v>45936</v>
      </c>
      <c r="AV479" s="13" t="s">
        <v>3273</v>
      </c>
      <c r="AW479" s="31">
        <v>45936</v>
      </c>
      <c r="AX479" s="13" t="str">
        <f>IF(ISNUMBER(SEARCH("cancel",#REF!)),"Cancelled",IF(AND(AS479&lt;&gt;"",AU479&lt;&gt;"",AW479&lt;&gt;""),"Closed","Open"))</f>
        <v>Closed</v>
      </c>
      <c r="AY479" s="15" t="str">
        <f t="shared" si="22"/>
        <v>All dates received</v>
      </c>
      <c r="BD479" s="13">
        <f>IF($AX479="Cancelled","",IFERROR(IF(OR(AS479="",AJ479=""),"",(AJ479+Variables!$B$18-AS479)),""))</f>
        <v>7</v>
      </c>
      <c r="BE479" s="13">
        <f>IF($AX479="Cancelled","",IFERROR(IF(OR(AW479="",AS479=""),"",(AS479+Variables!$B$19)-AW479),""))</f>
        <v>2</v>
      </c>
      <c r="BF479" s="44">
        <f>IF($AX479="Cancelled","",IFERROR(W479*INDEX(Variables!$B$7:$D$7,IFERROR(MATCH(IF($B479="Robusta","Robusta",(IF($B479="","Arabica",$B479))&amp;" - "&amp;(IF($C479="","Commercial",$C479))),Variables!$B$1:$D$1,0),1))*(BE479/365),""))</f>
        <v>5.6914432382526892</v>
      </c>
      <c r="BG479" s="44">
        <f>IF($AX479="Cancelled","",IFERROR((W479*INDEX(Variables!$B$7:$D$7,IFERROR(MATCH(IF($B479="Robusta","Robusta",(IF($B479="","Arabica",$B479))&amp;" - "&amp;(IF($C479="","Commercial",$C479))),Variables!$B$1:$D$1,0),1))*IFERROR(IF(AB479="","",(AVERAGE(E479:F479)-AB479)-Variables!$B$14),"")/365)+(L479/16.67*INDEX(Variables!$B$8:$D$8,IFERROR(MATCH(IF($B479="Robusta","Robusta",(IF($B479="","Arabica",$B479))&amp;" - "&amp;(IF($C479="","Commercial",$C479))),Variables!$B$1:$D$1,0),1))*IFERROR(IF(AB479="","",(AVERAGE(E479:F479)-AB479)-Variables!$B$14),""))+(W479*INDEX(Variables!$B$9:$D$9,IFERROR(MATCH(IF($B479="Robusta","Robusta",(IF($B479="","Arabica",$B479))&amp;" - "&amp;(IF($C479="","Commercial",$C479))),Variables!$B$1:$D$1,0),1))*IFERROR(IF(AB479="","",(AVERAGE(E479:F479)-AB479)-Variables!$B$14),"")/365),""))</f>
        <v>4.9302095204902994</v>
      </c>
      <c r="BH479" s="44">
        <f>IF($AX479="Cancelled","",IFERROR((W479*INDEX(Variables!$B$7:$D$7,IFERROR(MATCH(IF($B479="Robusta","Robusta",(IF($B479="","Arabica",$B479))&amp;" - "&amp;(IF($C479="","Commercial",$C479))),Variables!$B$1:$D$1,0),1))*AK479/365)+(L479/16.67*INDEX(Variables!$B$8:$D$8,IFERROR(MATCH(IF($B479="Robusta","Robusta",(IF($B479="","Arabica",$B479))&amp;" - "&amp;(IF($C479="","Commercial",$C479))),Variables!$B$1:$D$1,0),1))*AK479)+(W479*INDEX(Variables!$B$9:$D$9,IFERROR(MATCH(IF($B479="Robusta","Robusta",(IF($B479="","Arabica",$B479))&amp;" - "&amp;(IF($C479="","Commercial",$C479))),Variables!$B$1:$D$1,0),1))*AK479/365),""))</f>
        <v>65.736126939870672</v>
      </c>
      <c r="BI479" s="44">
        <f>IF($AX479="Cancelled","",IFERROR((W479*INDEX(Variables!$B$7:$D$7,IFERROR(MATCH(IF($B479="Robusta","Robusta",(IF($B479="","Arabica",$B479))&amp;" - "&amp;(IF($C479="","Commercial",$C479))),Variables!$B$1:$D$1,0),1))*BD479/365)+(L479/16.67*INDEX(Variables!$B$8:$D$8,IFERROR(MATCH(IF($B479="Robusta","Robusta",(IF($B479="","Arabica",$B479))&amp;" - "&amp;(IF($C479="","Commercial",$C479))),Variables!$B$1:$D$1,0),1))*BD479)+(W479*INDEX(Variables!$B$9:$D$9,IFERROR(MATCH(IF($B479="Robusta","Robusta",(IF($B479="","Arabica",$B479))&amp;" - "&amp;(IF($C479="","Commercial",$C479))),Variables!$B$1:$D$1,0),1))*BD479/365),""))</f>
        <v>30.676859238606305</v>
      </c>
      <c r="BJ479" s="44">
        <f t="shared" si="23"/>
        <v>-3</v>
      </c>
      <c r="BK479" s="44">
        <f>IF($AX479="Cancelled","",IFERROR(IF(BJ479="","",(W479*INDEX(Variables!$B$7:$D$7,IFERROR(MATCH(IF($B479="Robusta","Robusta",(IF($B479="","Arabica",$B479))&amp;" - "&amp;(IF($C479="","Commercial",$C479))),Variables!$B$1:$D$1,0),1))*(BJ479/365))+(W479*INDEX(Variables!$B$9:$D$9,IFERROR(MATCH(IF($B479="Robusta","Robusta",(IF($B479="","Arabica",$B479))&amp;" - "&amp;(IF($C479="","Commercial",$C479))),Variables!$B$1:$D$1,0),1))*(BJ479/365))+(INDEX(Variables!$B$8:$D$8,IFERROR(MATCH(IF($B479="Robusta","Robusta",(IF($B479="","Arabica",$B479))&amp;" - "&amp;(IF($C479="","Commercial",$C479))),Variables!$B$1:$D$1,0),1))*L479/16.67)),""))</f>
        <v>-7.1472253879741316</v>
      </c>
    </row>
    <row r="480" spans="1:63">
      <c r="A480" s="13" t="s">
        <v>103</v>
      </c>
      <c r="B480" s="13" t="s">
        <v>104</v>
      </c>
      <c r="C480" s="13" t="s">
        <v>292</v>
      </c>
      <c r="D480" s="31">
        <v>45910</v>
      </c>
      <c r="E480" s="31">
        <v>45910</v>
      </c>
      <c r="F480" s="31">
        <v>45930</v>
      </c>
      <c r="G480" s="13">
        <v>3786957</v>
      </c>
      <c r="H480" s="13" t="s">
        <v>1398</v>
      </c>
      <c r="J480" s="13" t="s">
        <v>294</v>
      </c>
      <c r="K480" s="13" t="s">
        <v>1399</v>
      </c>
      <c r="L480" s="13">
        <v>17</v>
      </c>
      <c r="M480" s="13">
        <v>0</v>
      </c>
      <c r="N480" s="13" t="s">
        <v>1400</v>
      </c>
      <c r="O480" s="13" t="s">
        <v>775</v>
      </c>
      <c r="P480" s="13">
        <v>10030</v>
      </c>
      <c r="R480" s="13" t="s">
        <v>384</v>
      </c>
      <c r="S480" s="13" t="s">
        <v>299</v>
      </c>
      <c r="T480" s="13" t="s">
        <v>305</v>
      </c>
      <c r="U480" s="13" t="s">
        <v>125</v>
      </c>
      <c r="V480" s="13">
        <v>132.19999999999999</v>
      </c>
      <c r="W480" s="44">
        <f>IF($AX480="Cancelled","",IFERROR(((V480+INDEX(Variables!$B$6:$D$6,IFERROR(MATCH(IF($B480="Robusta","Robusta",(IF($B480="","Arabica",$B480))&amp;" - "&amp;(IF($C480="","Commercial",$C480))),Variables!$B$1:$D$1,0),1)))*22.0462)*(L480/16.67),""))</f>
        <v>9510.1514217156546</v>
      </c>
      <c r="X480" s="55" t="s">
        <v>39</v>
      </c>
      <c r="Y480" s="13" t="str">
        <f>IF($AX480="Cancelled","",IF(X480="","",IFERROR(IF(INDEX(Variables!$B$38:$B$47,MATCH(X480,Variables!$A$38:$A$47,0))="Yes","Yes","No"),"No")))</f>
        <v>No</v>
      </c>
      <c r="Z480" s="31"/>
      <c r="AB480" s="31">
        <v>45888.875</v>
      </c>
      <c r="AC480" s="13" t="str">
        <f t="shared" si="21"/>
        <v>Approved</v>
      </c>
      <c r="AF480" s="71">
        <v>45925</v>
      </c>
      <c r="AG480" s="31">
        <f>IF($AX480="Cancelled","",IFERROR(IF(F480="","",F480-Variables!$B$13),""))</f>
        <v>45915</v>
      </c>
      <c r="AH480" s="13">
        <f>IF($AX480="Cancelled","",IFERROR(IF(AB480="","",(AVERAGE(E480:F480)-AB480)-Variables!$B$14),""))</f>
        <v>1.125</v>
      </c>
      <c r="AJ480" s="47">
        <v>45925</v>
      </c>
      <c r="AK480" s="14">
        <f>IF($AX480="Cancelled","",IFERROR(IF(AJ480="","",IF(AND(AB480="",AF480=""),"",IF(AF480&gt;AB480,AF480+Variables!$B$15+Variables!$B$16+Variables!$B$17-AJ480,AB480+Variables!$B$16+Variables!$B$17-AJ480))),""))</f>
        <v>15</v>
      </c>
      <c r="AL480" s="48" t="s">
        <v>114</v>
      </c>
      <c r="AM480" s="13" t="s">
        <v>115</v>
      </c>
      <c r="AN480" s="13" t="s">
        <v>370</v>
      </c>
      <c r="AP480" s="31">
        <v>45930</v>
      </c>
      <c r="AR480" s="13">
        <v>259551192</v>
      </c>
      <c r="AS480" s="31">
        <v>45933</v>
      </c>
      <c r="AU480" s="31">
        <v>45936</v>
      </c>
      <c r="AV480" s="13" t="s">
        <v>3273</v>
      </c>
      <c r="AW480" s="31">
        <v>45936</v>
      </c>
      <c r="AX480" s="13" t="str">
        <f>IF(ISNUMBER(SEARCH("cancel",#REF!)),"Cancelled",IF(AND(AS480&lt;&gt;"",AU480&lt;&gt;"",AW480&lt;&gt;""),"Closed","Open"))</f>
        <v>Closed</v>
      </c>
      <c r="AY480" s="15" t="str">
        <f t="shared" si="22"/>
        <v>All dates received</v>
      </c>
      <c r="BD480" s="13">
        <f>IF($AX480="Cancelled","",IFERROR(IF(OR(AS480="",AJ480=""),"",(AJ480+Variables!$B$18-AS480)),""))</f>
        <v>7</v>
      </c>
      <c r="BE480" s="13">
        <f>IF($AX480="Cancelled","",IFERROR(IF(OR(AW480="",AS480=""),"",(AS480+Variables!$B$19)-AW480),""))</f>
        <v>2</v>
      </c>
      <c r="BF480" s="44">
        <f>IF($AX480="Cancelled","",IFERROR(W480*INDEX(Variables!$B$7:$D$7,IFERROR(MATCH(IF($B480="Robusta","Robusta",(IF($B480="","Arabica",$B480))&amp;" - "&amp;(IF($C480="","Commercial",$C480))),Variables!$B$1:$D$1,0),1))*(BE480/365),""))</f>
        <v>3.3601944438649491</v>
      </c>
      <c r="BG480" s="44">
        <f>IF($AX480="Cancelled","",IFERROR((W480*INDEX(Variables!$B$7:$D$7,IFERROR(MATCH(IF($B480="Robusta","Robusta",(IF($B480="","Arabica",$B480))&amp;" - "&amp;(IF($C480="","Commercial",$C480))),Variables!$B$1:$D$1,0),1))*IFERROR(IF(AB480="","",(AVERAGE(E480:F480)-AB480)-Variables!$B$14),"")/365)+(L480/16.67*INDEX(Variables!$B$8:$D$8,IFERROR(MATCH(IF($B480="Robusta","Robusta",(IF($B480="","Arabica",$B480))&amp;" - "&amp;(IF($C480="","Commercial",$C480))),Variables!$B$1:$D$1,0),1))*IFERROR(IF(AB480="","",(AVERAGE(E480:F480)-AB480)-Variables!$B$14),""))+(W480*INDEX(Variables!$B$9:$D$9,IFERROR(MATCH(IF($B480="Robusta","Robusta",(IF($B480="","Arabica",$B480))&amp;" - "&amp;(IF($C480="","Commercial",$C480))),Variables!$B$1:$D$1,0),1))*IFERROR(IF(AB480="","",(AVERAGE(E480:F480)-AB480)-Variables!$B$14),"")/365),""))</f>
        <v>2.8707265321712425</v>
      </c>
      <c r="BH480" s="44">
        <f>IF($AX480="Cancelled","",IFERROR((W480*INDEX(Variables!$B$7:$D$7,IFERROR(MATCH(IF($B480="Robusta","Robusta",(IF($B480="","Arabica",$B480))&amp;" - "&amp;(IF($C480="","Commercial",$C480))),Variables!$B$1:$D$1,0),1))*AK480/365)+(L480/16.67*INDEX(Variables!$B$8:$D$8,IFERROR(MATCH(IF($B480="Robusta","Robusta",(IF($B480="","Arabica",$B480))&amp;" - "&amp;(IF($C480="","Commercial",$C480))),Variables!$B$1:$D$1,0),1))*AK480)+(W480*INDEX(Variables!$B$9:$D$9,IFERROR(MATCH(IF($B480="Robusta","Robusta",(IF($B480="","Arabica",$B480))&amp;" - "&amp;(IF($C480="","Commercial",$C480))),Variables!$B$1:$D$1,0),1))*AK480/365),""))</f>
        <v>38.276353762283243</v>
      </c>
      <c r="BI480" s="44">
        <f>IF($AX480="Cancelled","",IFERROR((W480*INDEX(Variables!$B$7:$D$7,IFERROR(MATCH(IF($B480="Robusta","Robusta",(IF($B480="","Arabica",$B480))&amp;" - "&amp;(IF($C480="","Commercial",$C480))),Variables!$B$1:$D$1,0),1))*BD480/365)+(L480/16.67*INDEX(Variables!$B$8:$D$8,IFERROR(MATCH(IF($B480="Robusta","Robusta",(IF($B480="","Arabica",$B480))&amp;" - "&amp;(IF($C480="","Commercial",$C480))),Variables!$B$1:$D$1,0),1))*BD480)+(W480*INDEX(Variables!$B$9:$D$9,IFERROR(MATCH(IF($B480="Robusta","Robusta",(IF($B480="","Arabica",$B480))&amp;" - "&amp;(IF($C480="","Commercial",$C480))),Variables!$B$1:$D$1,0),1))*BD480/365),""))</f>
        <v>17.862298422398847</v>
      </c>
      <c r="BJ480" s="44">
        <f t="shared" si="23"/>
        <v>-3</v>
      </c>
      <c r="BK480" s="44">
        <f>IF($AX480="Cancelled","",IFERROR(IF(BJ480="","",(W480*INDEX(Variables!$B$7:$D$7,IFERROR(MATCH(IF($B480="Robusta","Robusta",(IF($B480="","Arabica",$B480))&amp;" - "&amp;(IF($C480="","Commercial",$C480))),Variables!$B$1:$D$1,0),1))*(BJ480/365))+(W480*INDEX(Variables!$B$9:$D$9,IFERROR(MATCH(IF($B480="Robusta","Robusta",(IF($B480="","Arabica",$B480))&amp;" - "&amp;(IF($C480="","Commercial",$C480))),Variables!$B$1:$D$1,0),1))*(BJ480/365))+(INDEX(Variables!$B$8:$D$8,IFERROR(MATCH(IF($B480="Robusta","Robusta",(IF($B480="","Arabica",$B480))&amp;" - "&amp;(IF($C480="","Commercial",$C480))),Variables!$B$1:$D$1,0),1))*L480/16.67)),""))</f>
        <v>-4.2552707524566475</v>
      </c>
    </row>
    <row r="481" spans="1:63">
      <c r="A481" s="13" t="s">
        <v>103</v>
      </c>
      <c r="B481" s="13" t="s">
        <v>104</v>
      </c>
      <c r="C481" s="13" t="s">
        <v>292</v>
      </c>
      <c r="D481" s="31">
        <v>45910</v>
      </c>
      <c r="E481" s="31">
        <v>45910</v>
      </c>
      <c r="F481" s="31">
        <v>45930</v>
      </c>
      <c r="G481" s="13">
        <v>3786958</v>
      </c>
      <c r="H481" s="13" t="s">
        <v>1401</v>
      </c>
      <c r="J481" s="13" t="s">
        <v>294</v>
      </c>
      <c r="K481" s="13" t="s">
        <v>1402</v>
      </c>
      <c r="L481" s="13">
        <v>13</v>
      </c>
      <c r="M481" s="13">
        <v>0</v>
      </c>
      <c r="N481" s="13" t="s">
        <v>1403</v>
      </c>
      <c r="O481" s="13" t="s">
        <v>1391</v>
      </c>
      <c r="P481" s="13">
        <v>10040</v>
      </c>
      <c r="R481" s="13" t="s">
        <v>384</v>
      </c>
      <c r="S481" s="13" t="s">
        <v>299</v>
      </c>
      <c r="T481" s="13" t="s">
        <v>305</v>
      </c>
      <c r="U481" s="13" t="s">
        <v>125</v>
      </c>
      <c r="V481" s="13">
        <v>115.2</v>
      </c>
      <c r="W481" s="44">
        <f>IF($AX481="Cancelled","",IFERROR(((V481+INDEX(Variables!$B$6:$D$6,IFERROR(MATCH(IF($B481="Robusta","Robusta",(IF($B481="","Arabica",$B481))&amp;" - "&amp;(IF($C481="","Commercial",$C481))),Variables!$B$1:$D$1,0),1)))*22.0462)*(L481/16.67),""))</f>
        <v>6980.1945770845832</v>
      </c>
      <c r="X481" s="55" t="s">
        <v>39</v>
      </c>
      <c r="Y481" s="13" t="str">
        <f>IF($AX481="Cancelled","",IF(X481="","",IFERROR(IF(INDEX(Variables!$B$38:$B$47,MATCH(X481,Variables!$A$38:$A$47,0))="Yes","Yes","No"),"No")))</f>
        <v>No</v>
      </c>
      <c r="Z481" s="31"/>
      <c r="AB481" s="31">
        <v>45888.875</v>
      </c>
      <c r="AC481" s="13" t="str">
        <f t="shared" si="21"/>
        <v>Approved</v>
      </c>
      <c r="AF481" s="71">
        <v>45925</v>
      </c>
      <c r="AG481" s="31">
        <f>IF($AX481="Cancelled","",IFERROR(IF(F481="","",F481-Variables!$B$13),""))</f>
        <v>45915</v>
      </c>
      <c r="AH481" s="13">
        <f>IF($AX481="Cancelled","",IFERROR(IF(AB481="","",(AVERAGE(E481:F481)-AB481)-Variables!$B$14),""))</f>
        <v>1.125</v>
      </c>
      <c r="AJ481" s="47">
        <v>45925</v>
      </c>
      <c r="AK481" s="14">
        <f>IF($AX481="Cancelled","",IFERROR(IF(AJ481="","",IF(AND(AB481="",AF481=""),"",IF(AF481&gt;AB481,AF481+Variables!$B$15+Variables!$B$16+Variables!$B$17-AJ481,AB481+Variables!$B$16+Variables!$B$17-AJ481))),""))</f>
        <v>15</v>
      </c>
      <c r="AL481" s="48" t="s">
        <v>114</v>
      </c>
      <c r="AM481" s="13" t="s">
        <v>115</v>
      </c>
      <c r="AN481" s="13" t="s">
        <v>370</v>
      </c>
      <c r="AP481" s="31">
        <v>45930</v>
      </c>
      <c r="AR481" s="13">
        <v>259551192</v>
      </c>
      <c r="AS481" s="31">
        <v>45933</v>
      </c>
      <c r="AU481" s="31">
        <v>45936</v>
      </c>
      <c r="AV481" s="13" t="s">
        <v>3273</v>
      </c>
      <c r="AW481" s="31">
        <v>45936</v>
      </c>
      <c r="AX481" s="13" t="str">
        <f>IF(ISNUMBER(SEARCH("cancel",#REF!)),"Cancelled",IF(AND(AS481&lt;&gt;"",AU481&lt;&gt;"",AW481&lt;&gt;""),"Closed","Open"))</f>
        <v>Closed</v>
      </c>
      <c r="AY481" s="15" t="str">
        <f t="shared" si="22"/>
        <v>All dates received</v>
      </c>
      <c r="BD481" s="13">
        <f>IF($AX481="Cancelled","",IFERROR(IF(OR(AS481="",AJ481=""),"",(AJ481+Variables!$B$18-AS481)),""))</f>
        <v>7</v>
      </c>
      <c r="BE481" s="13">
        <f>IF($AX481="Cancelled","",IFERROR(IF(OR(AW481="",AS481=""),"",(AS481+Variables!$B$19)-AW481),""))</f>
        <v>2</v>
      </c>
      <c r="BF481" s="44">
        <f>IF($AX481="Cancelled","",IFERROR(W481*INDEX(Variables!$B$7:$D$7,IFERROR(MATCH(IF($B481="Robusta","Robusta",(IF($B481="","Arabica",$B481))&amp;" - "&amp;(IF($C481="","Commercial",$C481))),Variables!$B$1:$D$1,0),1))*(BE481/365),""))</f>
        <v>2.4662920699094988</v>
      </c>
      <c r="BG481" s="44">
        <f>IF($AX481="Cancelled","",IFERROR((W481*INDEX(Variables!$B$7:$D$7,IFERROR(MATCH(IF($B481="Robusta","Robusta",(IF($B481="","Arabica",$B481))&amp;" - "&amp;(IF($C481="","Commercial",$C481))),Variables!$B$1:$D$1,0),1))*IFERROR(IF(AB481="","",(AVERAGE(E481:F481)-AB481)-Variables!$B$14),"")/365)+(L481/16.67*INDEX(Variables!$B$8:$D$8,IFERROR(MATCH(IF($B481="Robusta","Robusta",(IF($B481="","Arabica",$B481))&amp;" - "&amp;(IF($C481="","Commercial",$C481))),Variables!$B$1:$D$1,0),1))*IFERROR(IF(AB481="","",(AVERAGE(E481:F481)-AB481)-Variables!$B$14),""))+(W481*INDEX(Variables!$B$9:$D$9,IFERROR(MATCH(IF($B481="Robusta","Robusta",(IF($B481="","Arabica",$B481))&amp;" - "&amp;(IF($C481="","Commercial",$C481))),Variables!$B$1:$D$1,0),1))*IFERROR(IF(AB481="","",(AVERAGE(E481:F481)-AB481)-Variables!$B$14),"")/365),""))</f>
        <v>2.1364241255457967</v>
      </c>
      <c r="BH481" s="44">
        <f>IF($AX481="Cancelled","",IFERROR((W481*INDEX(Variables!$B$7:$D$7,IFERROR(MATCH(IF($B481="Robusta","Robusta",(IF($B481="","Arabica",$B481))&amp;" - "&amp;(IF($C481="","Commercial",$C481))),Variables!$B$1:$D$1,0),1))*AK481/365)+(L481/16.67*INDEX(Variables!$B$8:$D$8,IFERROR(MATCH(IF($B481="Robusta","Robusta",(IF($B481="","Arabica",$B481))&amp;" - "&amp;(IF($C481="","Commercial",$C481))),Variables!$B$1:$D$1,0),1))*AK481)+(W481*INDEX(Variables!$B$9:$D$9,IFERROR(MATCH(IF($B481="Robusta","Robusta",(IF($B481="","Arabica",$B481))&amp;" - "&amp;(IF($C481="","Commercial",$C481))),Variables!$B$1:$D$1,0),1))*AK481/365),""))</f>
        <v>28.485655007277291</v>
      </c>
      <c r="BI481" s="44">
        <f>IF($AX481="Cancelled","",IFERROR((W481*INDEX(Variables!$B$7:$D$7,IFERROR(MATCH(IF($B481="Robusta","Robusta",(IF($B481="","Arabica",$B481))&amp;" - "&amp;(IF($C481="","Commercial",$C481))),Variables!$B$1:$D$1,0),1))*BD481/365)+(L481/16.67*INDEX(Variables!$B$8:$D$8,IFERROR(MATCH(IF($B481="Robusta","Robusta",(IF($B481="","Arabica",$B481))&amp;" - "&amp;(IF($C481="","Commercial",$C481))),Variables!$B$1:$D$1,0),1))*BD481)+(W481*INDEX(Variables!$B$9:$D$9,IFERROR(MATCH(IF($B481="Robusta","Robusta",(IF($B481="","Arabica",$B481))&amp;" - "&amp;(IF($C481="","Commercial",$C481))),Variables!$B$1:$D$1,0),1))*BD481/365),""))</f>
        <v>13.293305670062734</v>
      </c>
      <c r="BJ481" s="44">
        <f t="shared" si="23"/>
        <v>-3</v>
      </c>
      <c r="BK481" s="44">
        <f>IF($AX481="Cancelled","",IFERROR(IF(BJ481="","",(W481*INDEX(Variables!$B$7:$D$7,IFERROR(MATCH(IF($B481="Robusta","Robusta",(IF($B481="","Arabica",$B481))&amp;" - "&amp;(IF($C481="","Commercial",$C481))),Variables!$B$1:$D$1,0),1))*(BJ481/365))+(W481*INDEX(Variables!$B$9:$D$9,IFERROR(MATCH(IF($B481="Robusta","Robusta",(IF($B481="","Arabica",$B481))&amp;" - "&amp;(IF($C481="","Commercial",$C481))),Variables!$B$1:$D$1,0),1))*(BJ481/365))+(INDEX(Variables!$B$8:$D$8,IFERROR(MATCH(IF($B481="Robusta","Robusta",(IF($B481="","Arabica",$B481))&amp;" - "&amp;(IF($C481="","Commercial",$C481))),Variables!$B$1:$D$1,0),1))*L481/16.67)),""))</f>
        <v>-3.0971310014554572</v>
      </c>
    </row>
    <row r="482" spans="1:63">
      <c r="A482" s="13" t="s">
        <v>103</v>
      </c>
      <c r="B482" s="13" t="s">
        <v>104</v>
      </c>
      <c r="C482" s="13" t="s">
        <v>292</v>
      </c>
      <c r="D482" s="31">
        <v>45910</v>
      </c>
      <c r="E482" s="31">
        <v>45910</v>
      </c>
      <c r="F482" s="31">
        <v>45930</v>
      </c>
      <c r="G482" s="13">
        <v>3786959</v>
      </c>
      <c r="H482" s="13" t="s">
        <v>1404</v>
      </c>
      <c r="J482" s="13" t="s">
        <v>294</v>
      </c>
      <c r="K482" s="13" t="s">
        <v>1405</v>
      </c>
      <c r="L482" s="13">
        <v>12</v>
      </c>
      <c r="M482" s="13">
        <v>0</v>
      </c>
      <c r="N482" s="13" t="s">
        <v>1406</v>
      </c>
      <c r="O482" s="13" t="s">
        <v>775</v>
      </c>
      <c r="P482" s="13">
        <v>10030</v>
      </c>
      <c r="R482" s="13" t="s">
        <v>384</v>
      </c>
      <c r="S482" s="13" t="s">
        <v>299</v>
      </c>
      <c r="T482" s="13" t="s">
        <v>305</v>
      </c>
      <c r="U482" s="13" t="s">
        <v>125</v>
      </c>
      <c r="V482" s="13">
        <v>183.2</v>
      </c>
      <c r="W482" s="44">
        <f>IF($AX482="Cancelled","",IFERROR(((V482+INDEX(Variables!$B$6:$D$6,IFERROR(MATCH(IF($B482="Robusta","Robusta",(IF($B482="","Arabica",$B482))&amp;" - "&amp;(IF($C482="","Commercial",$C482))),Variables!$B$1:$D$1,0),1)))*22.0462)*(L482/16.67),""))</f>
        <v>7522.4226514697039</v>
      </c>
      <c r="X482" s="55" t="s">
        <v>39</v>
      </c>
      <c r="Y482" s="13" t="str">
        <f>IF($AX482="Cancelled","",IF(X482="","",IFERROR(IF(INDEX(Variables!$B$38:$B$47,MATCH(X482,Variables!$A$38:$A$47,0))="Yes","Yes","No"),"No")))</f>
        <v>No</v>
      </c>
      <c r="Z482" s="31"/>
      <c r="AB482" s="31">
        <v>45888.875</v>
      </c>
      <c r="AC482" s="13" t="str">
        <f t="shared" si="21"/>
        <v>Approved</v>
      </c>
      <c r="AF482" s="71">
        <v>45925</v>
      </c>
      <c r="AG482" s="31">
        <f>IF($AX482="Cancelled","",IFERROR(IF(F482="","",F482-Variables!$B$13),""))</f>
        <v>45915</v>
      </c>
      <c r="AH482" s="13">
        <f>IF($AX482="Cancelled","",IFERROR(IF(AB482="","",(AVERAGE(E482:F482)-AB482)-Variables!$B$14),""))</f>
        <v>1.125</v>
      </c>
      <c r="AJ482" s="47">
        <v>45925</v>
      </c>
      <c r="AK482" s="14">
        <f>IF($AX482="Cancelled","",IFERROR(IF(AJ482="","",IF(AND(AB482="",AF482=""),"",IF(AF482&gt;AB482,AF482+Variables!$B$15+Variables!$B$16+Variables!$B$17-AJ482,AB482+Variables!$B$16+Variables!$B$17-AJ482))),""))</f>
        <v>15</v>
      </c>
      <c r="AL482" s="48" t="s">
        <v>114</v>
      </c>
      <c r="AM482" s="13" t="s">
        <v>115</v>
      </c>
      <c r="AN482" s="13" t="s">
        <v>370</v>
      </c>
      <c r="AP482" s="31">
        <v>45930</v>
      </c>
      <c r="AR482" s="13">
        <v>259551192</v>
      </c>
      <c r="AS482" s="31">
        <v>45933</v>
      </c>
      <c r="AU482" s="31">
        <v>45936</v>
      </c>
      <c r="AV482" s="13" t="s">
        <v>3273</v>
      </c>
      <c r="AW482" s="31">
        <v>45936</v>
      </c>
      <c r="AX482" s="13" t="str">
        <f>IF(ISNUMBER(SEARCH("cancel",#REF!)),"Cancelled",IF(AND(AS482&lt;&gt;"",AU482&lt;&gt;"",AW482&lt;&gt;""),"Closed","Open"))</f>
        <v>Closed</v>
      </c>
      <c r="AY482" s="15" t="str">
        <f t="shared" si="22"/>
        <v>All dates received</v>
      </c>
      <c r="BD482" s="13">
        <f>IF($AX482="Cancelled","",IFERROR(IF(OR(AS482="",AJ482=""),"",(AJ482+Variables!$B$18-AS482)),""))</f>
        <v>7</v>
      </c>
      <c r="BE482" s="13">
        <f>IF($AX482="Cancelled","",IFERROR(IF(OR(AW482="",AS482=""),"",(AS482+Variables!$B$19)-AW482),""))</f>
        <v>2</v>
      </c>
      <c r="BF482" s="44">
        <f>IF($AX482="Cancelled","",IFERROR(W482*INDEX(Variables!$B$7:$D$7,IFERROR(MATCH(IF($B482="Robusta","Robusta",(IF($B482="","Arabica",$B482))&amp;" - "&amp;(IF($C482="","Commercial",$C482))),Variables!$B$1:$D$1,0),1))*(BE482/365),""))</f>
        <v>2.6578759555978069</v>
      </c>
      <c r="BG482" s="44">
        <f>IF($AX482="Cancelled","",IFERROR((W482*INDEX(Variables!$B$7:$D$7,IFERROR(MATCH(IF($B482="Robusta","Robusta",(IF($B482="","Arabica",$B482))&amp;" - "&amp;(IF($C482="","Commercial",$C482))),Variables!$B$1:$D$1,0),1))*IFERROR(IF(AB482="","",(AVERAGE(E482:F482)-AB482)-Variables!$B$14),"")/365)+(L482/16.67*INDEX(Variables!$B$8:$D$8,IFERROR(MATCH(IF($B482="Robusta","Robusta",(IF($B482="","Arabica",$B482))&amp;" - "&amp;(IF($C482="","Commercial",$C482))),Variables!$B$1:$D$1,0),1))*IFERROR(IF(AB482="","",(AVERAGE(E482:F482)-AB482)-Variables!$B$14),""))+(W482*INDEX(Variables!$B$9:$D$9,IFERROR(MATCH(IF($B482="Robusta","Robusta",(IF($B482="","Arabica",$B482))&amp;" - "&amp;(IF($C482="","Commercial",$C482))),Variables!$B$1:$D$1,0),1))*IFERROR(IF(AB482="","",(AVERAGE(E482:F482)-AB482)-Variables!$B$14),"")/365),""))</f>
        <v>2.1893293721304445</v>
      </c>
      <c r="BH482" s="44">
        <f>IF($AX482="Cancelled","",IFERROR((W482*INDEX(Variables!$B$7:$D$7,IFERROR(MATCH(IF($B482="Robusta","Robusta",(IF($B482="","Arabica",$B482))&amp;" - "&amp;(IF($C482="","Commercial",$C482))),Variables!$B$1:$D$1,0),1))*AK482/365)+(L482/16.67*INDEX(Variables!$B$8:$D$8,IFERROR(MATCH(IF($B482="Robusta","Robusta",(IF($B482="","Arabica",$B482))&amp;" - "&amp;(IF($C482="","Commercial",$C482))),Variables!$B$1:$D$1,0),1))*AK482)+(W482*INDEX(Variables!$B$9:$D$9,IFERROR(MATCH(IF($B482="Robusta","Robusta",(IF($B482="","Arabica",$B482))&amp;" - "&amp;(IF($C482="","Commercial",$C482))),Variables!$B$1:$D$1,0),1))*AK482/365),""))</f>
        <v>29.191058295072594</v>
      </c>
      <c r="BI482" s="44">
        <f>IF($AX482="Cancelled","",IFERROR((W482*INDEX(Variables!$B$7:$D$7,IFERROR(MATCH(IF($B482="Robusta","Robusta",(IF($B482="","Arabica",$B482))&amp;" - "&amp;(IF($C482="","Commercial",$C482))),Variables!$B$1:$D$1,0),1))*BD482/365)+(L482/16.67*INDEX(Variables!$B$8:$D$8,IFERROR(MATCH(IF($B482="Robusta","Robusta",(IF($B482="","Arabica",$B482))&amp;" - "&amp;(IF($C482="","Commercial",$C482))),Variables!$B$1:$D$1,0),1))*BD482)+(W482*INDEX(Variables!$B$9:$D$9,IFERROR(MATCH(IF($B482="Robusta","Robusta",(IF($B482="","Arabica",$B482))&amp;" - "&amp;(IF($C482="","Commercial",$C482))),Variables!$B$1:$D$1,0),1))*BD482/365),""))</f>
        <v>13.62249387103388</v>
      </c>
      <c r="BJ482" s="44">
        <f t="shared" si="23"/>
        <v>-3</v>
      </c>
      <c r="BK482" s="44">
        <f>IF($AX482="Cancelled","",IFERROR(IF(BJ482="","",(W482*INDEX(Variables!$B$7:$D$7,IFERROR(MATCH(IF($B482="Robusta","Robusta",(IF($B482="","Arabica",$B482))&amp;" - "&amp;(IF($C482="","Commercial",$C482))),Variables!$B$1:$D$1,0),1))*(BJ482/365))+(W482*INDEX(Variables!$B$9:$D$9,IFERROR(MATCH(IF($B482="Robusta","Robusta",(IF($B482="","Arabica",$B482))&amp;" - "&amp;(IF($C482="","Commercial",$C482))),Variables!$B$1:$D$1,0),1))*(BJ482/365))+(INDEX(Variables!$B$8:$D$8,IFERROR(MATCH(IF($B482="Robusta","Robusta",(IF($B482="","Arabica",$B482))&amp;" - "&amp;(IF($C482="","Commercial",$C482))),Variables!$B$1:$D$1,0),1))*L482/16.67)),""))</f>
        <v>-3.4382116590145189</v>
      </c>
    </row>
    <row r="483" spans="1:63">
      <c r="A483" s="13" t="s">
        <v>103</v>
      </c>
      <c r="B483" s="13" t="s">
        <v>104</v>
      </c>
      <c r="C483" s="13" t="s">
        <v>292</v>
      </c>
      <c r="D483" s="31">
        <v>45910</v>
      </c>
      <c r="E483" s="31">
        <v>45910</v>
      </c>
      <c r="F483" s="31">
        <v>45930</v>
      </c>
      <c r="G483" s="13">
        <v>3786960</v>
      </c>
      <c r="H483" s="13" t="s">
        <v>1407</v>
      </c>
      <c r="J483" s="13" t="s">
        <v>294</v>
      </c>
      <c r="K483" s="13" t="s">
        <v>1408</v>
      </c>
      <c r="L483" s="13">
        <v>10</v>
      </c>
      <c r="M483" s="13">
        <v>0</v>
      </c>
      <c r="N483" s="13" t="s">
        <v>1409</v>
      </c>
      <c r="O483" s="13" t="s">
        <v>775</v>
      </c>
      <c r="P483" s="13">
        <v>10030</v>
      </c>
      <c r="R483" s="13" t="s">
        <v>384</v>
      </c>
      <c r="S483" s="13" t="s">
        <v>299</v>
      </c>
      <c r="T483" s="13" t="s">
        <v>305</v>
      </c>
      <c r="U483" s="13" t="s">
        <v>125</v>
      </c>
      <c r="V483" s="13">
        <v>218.2</v>
      </c>
      <c r="W483" s="44">
        <f>IF($AX483="Cancelled","",IFERROR(((V483+INDEX(Variables!$B$6:$D$6,IFERROR(MATCH(IF($B483="Robusta","Robusta",(IF($B483="","Arabica",$B483))&amp;" - "&amp;(IF($C483="","Commercial",$C483))),Variables!$B$1:$D$1,0),1)))*22.0462)*(L483/16.67),""))</f>
        <v>6731.5631673665257</v>
      </c>
      <c r="X483" s="55" t="s">
        <v>39</v>
      </c>
      <c r="Y483" s="13" t="str">
        <f>IF($AX483="Cancelled","",IF(X483="","",IFERROR(IF(INDEX(Variables!$B$38:$B$47,MATCH(X483,Variables!$A$38:$A$47,0))="Yes","Yes","No"),"No")))</f>
        <v>No</v>
      </c>
      <c r="Z483" s="31"/>
      <c r="AB483" s="31">
        <v>45888.875</v>
      </c>
      <c r="AC483" s="13" t="str">
        <f t="shared" si="21"/>
        <v>Approved</v>
      </c>
      <c r="AF483" s="71">
        <v>45925</v>
      </c>
      <c r="AG483" s="31">
        <f>IF($AX483="Cancelled","",IFERROR(IF(F483="","",F483-Variables!$B$13),""))</f>
        <v>45915</v>
      </c>
      <c r="AH483" s="13">
        <f>IF($AX483="Cancelled","",IFERROR(IF(AB483="","",(AVERAGE(E483:F483)-AB483)-Variables!$B$14),""))</f>
        <v>1.125</v>
      </c>
      <c r="AJ483" s="47">
        <v>45925</v>
      </c>
      <c r="AK483" s="14">
        <f>IF($AX483="Cancelled","",IFERROR(IF(AJ483="","",IF(AND(AB483="",AF483=""),"",IF(AF483&gt;AB483,AF483+Variables!$B$15+Variables!$B$16+Variables!$B$17-AJ483,AB483+Variables!$B$16+Variables!$B$17-AJ483))),""))</f>
        <v>15</v>
      </c>
      <c r="AL483" s="48" t="s">
        <v>114</v>
      </c>
      <c r="AM483" s="13" t="s">
        <v>115</v>
      </c>
      <c r="AN483" s="13" t="s">
        <v>370</v>
      </c>
      <c r="AP483" s="31">
        <v>45930</v>
      </c>
      <c r="AR483" s="13">
        <v>259551192</v>
      </c>
      <c r="AS483" s="31">
        <v>45933</v>
      </c>
      <c r="AU483" s="31">
        <v>45936</v>
      </c>
      <c r="AV483" s="13" t="s">
        <v>3273</v>
      </c>
      <c r="AW483" s="31">
        <v>45936</v>
      </c>
      <c r="AX483" s="13" t="str">
        <f>IF(ISNUMBER(SEARCH("cancel",#REF!)),"Cancelled",IF(AND(AS483&lt;&gt;"",AU483&lt;&gt;"",AW483&lt;&gt;""),"Closed","Open"))</f>
        <v>Closed</v>
      </c>
      <c r="AY483" s="15" t="str">
        <f t="shared" si="22"/>
        <v>All dates received</v>
      </c>
      <c r="BD483" s="13">
        <f>IF($AX483="Cancelled","",IFERROR(IF(OR(AS483="",AJ483=""),"",(AJ483+Variables!$B$18-AS483)),""))</f>
        <v>7</v>
      </c>
      <c r="BE483" s="13">
        <f>IF($AX483="Cancelled","",IFERROR(IF(OR(AW483="",AS483=""),"",(AS483+Variables!$B$19)-AW483),""))</f>
        <v>2</v>
      </c>
      <c r="BF483" s="44">
        <f>IF($AX483="Cancelled","",IFERROR(W483*INDEX(Variables!$B$7:$D$7,IFERROR(MATCH(IF($B483="Robusta","Robusta",(IF($B483="","Arabica",$B483))&amp;" - "&amp;(IF($C483="","Commercial",$C483))),Variables!$B$1:$D$1,0),1))*(BE483/365),""))</f>
        <v>2.3784438491548592</v>
      </c>
      <c r="BG483" s="44">
        <f>IF($AX483="Cancelled","",IFERROR((W483*INDEX(Variables!$B$7:$D$7,IFERROR(MATCH(IF($B483="Robusta","Robusta",(IF($B483="","Arabica",$B483))&amp;" - "&amp;(IF($C483="","Commercial",$C483))),Variables!$B$1:$D$1,0),1))*IFERROR(IF(AB483="","",(AVERAGE(E483:F483)-AB483)-Variables!$B$14),"")/365)+(L483/16.67*INDEX(Variables!$B$8:$D$8,IFERROR(MATCH(IF($B483="Robusta","Robusta",(IF($B483="","Arabica",$B483))&amp;" - "&amp;(IF($C483="","Commercial",$C483))),Variables!$B$1:$D$1,0),1))*IFERROR(IF(AB483="","",(AVERAGE(E483:F483)-AB483)-Variables!$B$14),""))+(W483*INDEX(Variables!$B$9:$D$9,IFERROR(MATCH(IF($B483="Robusta","Robusta",(IF($B483="","Arabica",$B483))&amp;" - "&amp;(IF($C483="","Commercial",$C483))),Variables!$B$1:$D$1,0),1))*IFERROR(IF(AB483="","",(AVERAGE(E483:F483)-AB483)-Variables!$B$14),"")/365),""))</f>
        <v>1.9176224515021036</v>
      </c>
      <c r="BH483" s="44">
        <f>IF($AX483="Cancelled","",IFERROR((W483*INDEX(Variables!$B$7:$D$7,IFERROR(MATCH(IF($B483="Robusta","Robusta",(IF($B483="","Arabica",$B483))&amp;" - "&amp;(IF($C483="","Commercial",$C483))),Variables!$B$1:$D$1,0),1))*AK483/365)+(L483/16.67*INDEX(Variables!$B$8:$D$8,IFERROR(MATCH(IF($B483="Robusta","Robusta",(IF($B483="","Arabica",$B483))&amp;" - "&amp;(IF($C483="","Commercial",$C483))),Variables!$B$1:$D$1,0),1))*AK483)+(W483*INDEX(Variables!$B$9:$D$9,IFERROR(MATCH(IF($B483="Robusta","Robusta",(IF($B483="","Arabica",$B483))&amp;" - "&amp;(IF($C483="","Commercial",$C483))),Variables!$B$1:$D$1,0),1))*AK483/365),""))</f>
        <v>25.568299353361379</v>
      </c>
      <c r="BI483" s="44">
        <f>IF($AX483="Cancelled","",IFERROR((W483*INDEX(Variables!$B$7:$D$7,IFERROR(MATCH(IF($B483="Robusta","Robusta",(IF($B483="","Arabica",$B483))&amp;" - "&amp;(IF($C483="","Commercial",$C483))),Variables!$B$1:$D$1,0),1))*BD483/365)+(L483/16.67*INDEX(Variables!$B$8:$D$8,IFERROR(MATCH(IF($B483="Robusta","Robusta",(IF($B483="","Arabica",$B483))&amp;" - "&amp;(IF($C483="","Commercial",$C483))),Variables!$B$1:$D$1,0),1))*BD483)+(W483*INDEX(Variables!$B$9:$D$9,IFERROR(MATCH(IF($B483="Robusta","Robusta",(IF($B483="","Arabica",$B483))&amp;" - "&amp;(IF($C483="","Commercial",$C483))),Variables!$B$1:$D$1,0),1))*BD483/365),""))</f>
        <v>11.931873031568644</v>
      </c>
      <c r="BJ483" s="44">
        <f t="shared" si="23"/>
        <v>-3</v>
      </c>
      <c r="BK483" s="44">
        <f>IF($AX483="Cancelled","",IFERROR(IF(BJ483="","",(W483*INDEX(Variables!$B$7:$D$7,IFERROR(MATCH(IF($B483="Robusta","Robusta",(IF($B483="","Arabica",$B483))&amp;" - "&amp;(IF($C483="","Commercial",$C483))),Variables!$B$1:$D$1,0),1))*(BJ483/365))+(W483*INDEX(Variables!$B$9:$D$9,IFERROR(MATCH(IF($B483="Robusta","Robusta",(IF($B483="","Arabica",$B483))&amp;" - "&amp;(IF($C483="","Commercial",$C483))),Variables!$B$1:$D$1,0),1))*(BJ483/365))+(INDEX(Variables!$B$8:$D$8,IFERROR(MATCH(IF($B483="Robusta","Robusta",(IF($B483="","Arabica",$B483))&amp;" - "&amp;(IF($C483="","Commercial",$C483))),Variables!$B$1:$D$1,0),1))*L483/16.67)),""))</f>
        <v>-3.1136598706722762</v>
      </c>
    </row>
    <row r="484" spans="1:63">
      <c r="A484" s="13" t="s">
        <v>103</v>
      </c>
      <c r="B484" s="13" t="s">
        <v>104</v>
      </c>
      <c r="C484" s="13" t="s">
        <v>292</v>
      </c>
      <c r="D484" s="31">
        <v>45910</v>
      </c>
      <c r="E484" s="31">
        <v>45910</v>
      </c>
      <c r="F484" s="31">
        <v>45930</v>
      </c>
      <c r="G484" s="13">
        <v>3786961</v>
      </c>
      <c r="H484" s="13" t="s">
        <v>1410</v>
      </c>
      <c r="J484" s="13" t="s">
        <v>294</v>
      </c>
      <c r="K484" s="13" t="s">
        <v>1411</v>
      </c>
      <c r="L484" s="13">
        <v>6</v>
      </c>
      <c r="M484" s="13">
        <v>0</v>
      </c>
      <c r="N484" s="13" t="s">
        <v>1412</v>
      </c>
      <c r="O484" s="13" t="s">
        <v>1391</v>
      </c>
      <c r="P484" s="13">
        <v>10040</v>
      </c>
      <c r="R484" s="13" t="s">
        <v>384</v>
      </c>
      <c r="S484" s="13" t="s">
        <v>299</v>
      </c>
      <c r="T484" s="13" t="s">
        <v>305</v>
      </c>
      <c r="U484" s="13" t="s">
        <v>125</v>
      </c>
      <c r="V484" s="13">
        <v>162.19999999999999</v>
      </c>
      <c r="W484" s="44">
        <f>IF($AX484="Cancelled","",IFERROR(((V484+INDEX(Variables!$B$6:$D$6,IFERROR(MATCH(IF($B484="Robusta","Robusta",(IF($B484="","Arabica",$B484))&amp;" - "&amp;(IF($C484="","Commercial",$C484))),Variables!$B$1:$D$1,0),1)))*22.0462)*(L484/16.67),""))</f>
        <v>3594.5753809238145</v>
      </c>
      <c r="X484" s="55" t="s">
        <v>39</v>
      </c>
      <c r="Y484" s="13" t="str">
        <f>IF($AX484="Cancelled","",IF(X484="","",IFERROR(IF(INDEX(Variables!$B$38:$B$47,MATCH(X484,Variables!$A$38:$A$47,0))="Yes","Yes","No"),"No")))</f>
        <v>No</v>
      </c>
      <c r="Z484" s="31"/>
      <c r="AB484" s="31">
        <v>45888.875</v>
      </c>
      <c r="AC484" s="13" t="str">
        <f t="shared" si="21"/>
        <v>Approved</v>
      </c>
      <c r="AF484" s="71">
        <v>45925</v>
      </c>
      <c r="AG484" s="31">
        <f>IF($AX484="Cancelled","",IFERROR(IF(F484="","",F484-Variables!$B$13),""))</f>
        <v>45915</v>
      </c>
      <c r="AH484" s="13">
        <f>IF($AX484="Cancelled","",IFERROR(IF(AB484="","",(AVERAGE(E484:F484)-AB484)-Variables!$B$14),""))</f>
        <v>1.125</v>
      </c>
      <c r="AJ484" s="47">
        <v>45925</v>
      </c>
      <c r="AK484" s="14">
        <f>IF($AX484="Cancelled","",IFERROR(IF(AJ484="","",IF(AND(AB484="",AF484=""),"",IF(AF484&gt;AB484,AF484+Variables!$B$15+Variables!$B$16+Variables!$B$17-AJ484,AB484+Variables!$B$16+Variables!$B$17-AJ484))),""))</f>
        <v>15</v>
      </c>
      <c r="AL484" s="48" t="s">
        <v>114</v>
      </c>
      <c r="AM484" s="13" t="s">
        <v>115</v>
      </c>
      <c r="AN484" s="13" t="s">
        <v>370</v>
      </c>
      <c r="AP484" s="31">
        <v>45930</v>
      </c>
      <c r="AR484" s="13">
        <v>259551192</v>
      </c>
      <c r="AS484" s="31">
        <v>45933</v>
      </c>
      <c r="AU484" s="31">
        <v>45936</v>
      </c>
      <c r="AV484" s="13" t="s">
        <v>3273</v>
      </c>
      <c r="AW484" s="31">
        <v>45936</v>
      </c>
      <c r="AX484" s="13" t="str">
        <f>IF(ISNUMBER(SEARCH("cancel",#REF!)),"Cancelled",IF(AND(AS484&lt;&gt;"",AU484&lt;&gt;"",AW484&lt;&gt;""),"Closed","Open"))</f>
        <v>Closed</v>
      </c>
      <c r="AY484" s="15" t="str">
        <f t="shared" si="22"/>
        <v>All dates received</v>
      </c>
      <c r="BD484" s="13">
        <f>IF($AX484="Cancelled","",IFERROR(IF(OR(AS484="",AJ484=""),"",(AJ484+Variables!$B$18-AS484)),""))</f>
        <v>7</v>
      </c>
      <c r="BE484" s="13">
        <f>IF($AX484="Cancelled","",IFERROR(IF(OR(AW484="",AS484=""),"",(AS484+Variables!$B$19)-AW484),""))</f>
        <v>2</v>
      </c>
      <c r="BF484" s="44">
        <f>IF($AX484="Cancelled","",IFERROR(W484*INDEX(Variables!$B$7:$D$7,IFERROR(MATCH(IF($B484="Robusta","Robusta",(IF($B484="","Arabica",$B484))&amp;" - "&amp;(IF($C484="","Commercial",$C484))),Variables!$B$1:$D$1,0),1))*(BE484/365),""))</f>
        <v>1.2700609787824964</v>
      </c>
      <c r="BG484" s="44">
        <f>IF($AX484="Cancelled","",IFERROR((W484*INDEX(Variables!$B$7:$D$7,IFERROR(MATCH(IF($B484="Robusta","Robusta",(IF($B484="","Arabica",$B484))&amp;" - "&amp;(IF($C484="","Commercial",$C484))),Variables!$B$1:$D$1,0),1))*IFERROR(IF(AB484="","",(AVERAGE(E484:F484)-AB484)-Variables!$B$14),"")/365)+(L484/16.67*INDEX(Variables!$B$8:$D$8,IFERROR(MATCH(IF($B484="Robusta","Robusta",(IF($B484="","Arabica",$B484))&amp;" - "&amp;(IF($C484="","Commercial",$C484))),Variables!$B$1:$D$1,0),1))*IFERROR(IF(AB484="","",(AVERAGE(E484:F484)-AB484)-Variables!$B$14),""))+(W484*INDEX(Variables!$B$9:$D$9,IFERROR(MATCH(IF($B484="Robusta","Robusta",(IF($B484="","Arabica",$B484))&amp;" - "&amp;(IF($C484="","Commercial",$C484))),Variables!$B$1:$D$1,0),1))*IFERROR(IF(AB484="","",(AVERAGE(E484:F484)-AB484)-Variables!$B$14),"")/365),""))</f>
        <v>1.0611194151635985</v>
      </c>
      <c r="BH484" s="44">
        <f>IF($AX484="Cancelled","",IFERROR((W484*INDEX(Variables!$B$7:$D$7,IFERROR(MATCH(IF($B484="Robusta","Robusta",(IF($B484="","Arabica",$B484))&amp;" - "&amp;(IF($C484="","Commercial",$C484))),Variables!$B$1:$D$1,0),1))*AK484/365)+(L484/16.67*INDEX(Variables!$B$8:$D$8,IFERROR(MATCH(IF($B484="Robusta","Robusta",(IF($B484="","Arabica",$B484))&amp;" - "&amp;(IF($C484="","Commercial",$C484))),Variables!$B$1:$D$1,0),1))*AK484)+(W484*INDEX(Variables!$B$9:$D$9,IFERROR(MATCH(IF($B484="Robusta","Robusta",(IF($B484="","Arabica",$B484))&amp;" - "&amp;(IF($C484="","Commercial",$C484))),Variables!$B$1:$D$1,0),1))*AK484/365),""))</f>
        <v>14.148258868847982</v>
      </c>
      <c r="BI484" s="44">
        <f>IF($AX484="Cancelled","",IFERROR((W484*INDEX(Variables!$B$7:$D$7,IFERROR(MATCH(IF($B484="Robusta","Robusta",(IF($B484="","Arabica",$B484))&amp;" - "&amp;(IF($C484="","Commercial",$C484))),Variables!$B$1:$D$1,0),1))*BD484/365)+(L484/16.67*INDEX(Variables!$B$8:$D$8,IFERROR(MATCH(IF($B484="Robusta","Robusta",(IF($B484="","Arabica",$B484))&amp;" - "&amp;(IF($C484="","Commercial",$C484))),Variables!$B$1:$D$1,0),1))*BD484)+(W484*INDEX(Variables!$B$9:$D$9,IFERROR(MATCH(IF($B484="Robusta","Robusta",(IF($B484="","Arabica",$B484))&amp;" - "&amp;(IF($C484="","Commercial",$C484))),Variables!$B$1:$D$1,0),1))*BD484/365),""))</f>
        <v>6.6025208054623912</v>
      </c>
      <c r="BJ484" s="44">
        <f t="shared" si="23"/>
        <v>-3</v>
      </c>
      <c r="BK484" s="44">
        <f>IF($AX484="Cancelled","",IFERROR(IF(BJ484="","",(W484*INDEX(Variables!$B$7:$D$7,IFERROR(MATCH(IF($B484="Robusta","Robusta",(IF($B484="","Arabica",$B484))&amp;" - "&amp;(IF($C484="","Commercial",$C484))),Variables!$B$1:$D$1,0),1))*(BJ484/365))+(W484*INDEX(Variables!$B$9:$D$9,IFERROR(MATCH(IF($B484="Robusta","Robusta",(IF($B484="","Arabica",$B484))&amp;" - "&amp;(IF($C484="","Commercial",$C484))),Variables!$B$1:$D$1,0),1))*(BJ484/365))+(INDEX(Variables!$B$8:$D$8,IFERROR(MATCH(IF($B484="Robusta","Robusta",(IF($B484="","Arabica",$B484))&amp;" - "&amp;(IF($C484="","Commercial",$C484))),Variables!$B$1:$D$1,0),1))*L484/16.67)),""))</f>
        <v>-1.6296517737695964</v>
      </c>
    </row>
    <row r="485" spans="1:63">
      <c r="A485" s="13" t="s">
        <v>103</v>
      </c>
      <c r="B485" s="13" t="s">
        <v>104</v>
      </c>
      <c r="C485" s="13" t="s">
        <v>292</v>
      </c>
      <c r="D485" s="31">
        <v>45910</v>
      </c>
      <c r="E485" s="31">
        <v>45910</v>
      </c>
      <c r="F485" s="31">
        <v>45930</v>
      </c>
      <c r="G485" s="13">
        <v>3786962</v>
      </c>
      <c r="H485" s="13" t="s">
        <v>1413</v>
      </c>
      <c r="J485" s="13" t="s">
        <v>294</v>
      </c>
      <c r="K485" s="13" t="s">
        <v>1414</v>
      </c>
      <c r="L485" s="13">
        <v>30</v>
      </c>
      <c r="M485" s="13">
        <v>0</v>
      </c>
      <c r="N485" s="13" t="s">
        <v>1415</v>
      </c>
      <c r="O485" s="13" t="s">
        <v>1391</v>
      </c>
      <c r="P485" s="13">
        <v>10040</v>
      </c>
      <c r="R485" s="13" t="s">
        <v>384</v>
      </c>
      <c r="S485" s="13" t="s">
        <v>299</v>
      </c>
      <c r="T485" s="13" t="s">
        <v>305</v>
      </c>
      <c r="U485" s="13" t="s">
        <v>125</v>
      </c>
      <c r="V485" s="13">
        <v>162.19999999999999</v>
      </c>
      <c r="W485" s="44">
        <f>IF($AX485="Cancelled","",IFERROR(((V485+INDEX(Variables!$B$6:$D$6,IFERROR(MATCH(IF($B485="Robusta","Robusta",(IF($B485="","Arabica",$B485))&amp;" - "&amp;(IF($C485="","Commercial",$C485))),Variables!$B$1:$D$1,0),1)))*22.0462)*(L485/16.67),""))</f>
        <v>17972.876904619072</v>
      </c>
      <c r="X485" s="55" t="s">
        <v>39</v>
      </c>
      <c r="Y485" s="13" t="str">
        <f>IF($AX485="Cancelled","",IF(X485="","",IFERROR(IF(INDEX(Variables!$B$38:$B$47,MATCH(X485,Variables!$A$38:$A$47,0))="Yes","Yes","No"),"No")))</f>
        <v>No</v>
      </c>
      <c r="Z485" s="31"/>
      <c r="AB485" s="31">
        <v>45888.875</v>
      </c>
      <c r="AC485" s="13" t="str">
        <f t="shared" si="21"/>
        <v>Approved</v>
      </c>
      <c r="AF485" s="71">
        <v>45925</v>
      </c>
      <c r="AG485" s="31">
        <f>IF($AX485="Cancelled","",IFERROR(IF(F485="","",F485-Variables!$B$13),""))</f>
        <v>45915</v>
      </c>
      <c r="AH485" s="13">
        <f>IF($AX485="Cancelled","",IFERROR(IF(AB485="","",(AVERAGE(E485:F485)-AB485)-Variables!$B$14),""))</f>
        <v>1.125</v>
      </c>
      <c r="AJ485" s="47">
        <v>45925</v>
      </c>
      <c r="AK485" s="14">
        <f>IF($AX485="Cancelled","",IFERROR(IF(AJ485="","",IF(AND(AB485="",AF485=""),"",IF(AF485&gt;AB485,AF485+Variables!$B$15+Variables!$B$16+Variables!$B$17-AJ485,AB485+Variables!$B$16+Variables!$B$17-AJ485))),""))</f>
        <v>15</v>
      </c>
      <c r="AL485" s="48" t="s">
        <v>114</v>
      </c>
      <c r="AM485" s="13" t="s">
        <v>115</v>
      </c>
      <c r="AN485" s="13" t="s">
        <v>370</v>
      </c>
      <c r="AP485" s="31">
        <v>45930</v>
      </c>
      <c r="AR485" s="13">
        <v>259551192</v>
      </c>
      <c r="AS485" s="31">
        <v>45933</v>
      </c>
      <c r="AU485" s="31">
        <v>45936</v>
      </c>
      <c r="AV485" s="13" t="s">
        <v>3273</v>
      </c>
      <c r="AW485" s="31">
        <v>45936</v>
      </c>
      <c r="AX485" s="13" t="str">
        <f>IF(ISNUMBER(SEARCH("cancel",#REF!)),"Cancelled",IF(AND(AS485&lt;&gt;"",AU485&lt;&gt;"",AW485&lt;&gt;""),"Closed","Open"))</f>
        <v>Closed</v>
      </c>
      <c r="AY485" s="15" t="str">
        <f t="shared" si="22"/>
        <v>All dates received</v>
      </c>
      <c r="BD485" s="13">
        <f>IF($AX485="Cancelled","",IFERROR(IF(OR(AS485="",AJ485=""),"",(AJ485+Variables!$B$18-AS485)),""))</f>
        <v>7</v>
      </c>
      <c r="BE485" s="13">
        <f>IF($AX485="Cancelled","",IFERROR(IF(OR(AW485="",AS485=""),"",(AS485+Variables!$B$19)-AW485),""))</f>
        <v>2</v>
      </c>
      <c r="BF485" s="44">
        <f>IF($AX485="Cancelled","",IFERROR(W485*INDEX(Variables!$B$7:$D$7,IFERROR(MATCH(IF($B485="Robusta","Robusta",(IF($B485="","Arabica",$B485))&amp;" - "&amp;(IF($C485="","Commercial",$C485))),Variables!$B$1:$D$1,0),1))*(BE485/365),""))</f>
        <v>6.3503048939124822</v>
      </c>
      <c r="BG485" s="44">
        <f>IF($AX485="Cancelled","",IFERROR((W485*INDEX(Variables!$B$7:$D$7,IFERROR(MATCH(IF($B485="Robusta","Robusta",(IF($B485="","Arabica",$B485))&amp;" - "&amp;(IF($C485="","Commercial",$C485))),Variables!$B$1:$D$1,0),1))*IFERROR(IF(AB485="","",(AVERAGE(E485:F485)-AB485)-Variables!$B$14),"")/365)+(L485/16.67*INDEX(Variables!$B$8:$D$8,IFERROR(MATCH(IF($B485="Robusta","Robusta",(IF($B485="","Arabica",$B485))&amp;" - "&amp;(IF($C485="","Commercial",$C485))),Variables!$B$1:$D$1,0),1))*IFERROR(IF(AB485="","",(AVERAGE(E485:F485)-AB485)-Variables!$B$14),""))+(W485*INDEX(Variables!$B$9:$D$9,IFERROR(MATCH(IF($B485="Robusta","Robusta",(IF($B485="","Arabica",$B485))&amp;" - "&amp;(IF($C485="","Commercial",$C485))),Variables!$B$1:$D$1,0),1))*IFERROR(IF(AB485="","",(AVERAGE(E485:F485)-AB485)-Variables!$B$14),"")/365),""))</f>
        <v>5.3055970758179933</v>
      </c>
      <c r="BH485" s="44">
        <f>IF($AX485="Cancelled","",IFERROR((W485*INDEX(Variables!$B$7:$D$7,IFERROR(MATCH(IF($B485="Robusta","Robusta",(IF($B485="","Arabica",$B485))&amp;" - "&amp;(IF($C485="","Commercial",$C485))),Variables!$B$1:$D$1,0),1))*AK485/365)+(L485/16.67*INDEX(Variables!$B$8:$D$8,IFERROR(MATCH(IF($B485="Robusta","Robusta",(IF($B485="","Arabica",$B485))&amp;" - "&amp;(IF($C485="","Commercial",$C485))),Variables!$B$1:$D$1,0),1))*AK485)+(W485*INDEX(Variables!$B$9:$D$9,IFERROR(MATCH(IF($B485="Robusta","Robusta",(IF($B485="","Arabica",$B485))&amp;" - "&amp;(IF($C485="","Commercial",$C485))),Variables!$B$1:$D$1,0),1))*AK485/365),""))</f>
        <v>70.741294344239918</v>
      </c>
      <c r="BI485" s="44">
        <f>IF($AX485="Cancelled","",IFERROR((W485*INDEX(Variables!$B$7:$D$7,IFERROR(MATCH(IF($B485="Robusta","Robusta",(IF($B485="","Arabica",$B485))&amp;" - "&amp;(IF($C485="","Commercial",$C485))),Variables!$B$1:$D$1,0),1))*BD485/365)+(L485/16.67*INDEX(Variables!$B$8:$D$8,IFERROR(MATCH(IF($B485="Robusta","Robusta",(IF($B485="","Arabica",$B485))&amp;" - "&amp;(IF($C485="","Commercial",$C485))),Variables!$B$1:$D$1,0),1))*BD485)+(W485*INDEX(Variables!$B$9:$D$9,IFERROR(MATCH(IF($B485="Robusta","Robusta",(IF($B485="","Arabica",$B485))&amp;" - "&amp;(IF($C485="","Commercial",$C485))),Variables!$B$1:$D$1,0),1))*BD485/365),""))</f>
        <v>33.012604027311959</v>
      </c>
      <c r="BJ485" s="44">
        <f t="shared" si="23"/>
        <v>-3</v>
      </c>
      <c r="BK485" s="44">
        <f>IF($AX485="Cancelled","",IFERROR(IF(BJ485="","",(W485*INDEX(Variables!$B$7:$D$7,IFERROR(MATCH(IF($B485="Robusta","Robusta",(IF($B485="","Arabica",$B485))&amp;" - "&amp;(IF($C485="","Commercial",$C485))),Variables!$B$1:$D$1,0),1))*(BJ485/365))+(W485*INDEX(Variables!$B$9:$D$9,IFERROR(MATCH(IF($B485="Robusta","Robusta",(IF($B485="","Arabica",$B485))&amp;" - "&amp;(IF($C485="","Commercial",$C485))),Variables!$B$1:$D$1,0),1))*(BJ485/365))+(INDEX(Variables!$B$8:$D$8,IFERROR(MATCH(IF($B485="Robusta","Robusta",(IF($B485="","Arabica",$B485))&amp;" - "&amp;(IF($C485="","Commercial",$C485))),Variables!$B$1:$D$1,0),1))*L485/16.67)),""))</f>
        <v>-8.1482588688479822</v>
      </c>
    </row>
    <row r="486" spans="1:63">
      <c r="A486" s="13" t="s">
        <v>103</v>
      </c>
      <c r="B486" s="13" t="s">
        <v>104</v>
      </c>
      <c r="C486" s="13" t="s">
        <v>105</v>
      </c>
      <c r="D486" s="31">
        <v>45911</v>
      </c>
      <c r="E486" s="31">
        <v>45931</v>
      </c>
      <c r="F486" s="31">
        <v>45961</v>
      </c>
      <c r="G486" s="13">
        <v>3786963</v>
      </c>
      <c r="H486" s="13" t="s">
        <v>1416</v>
      </c>
      <c r="J486" s="13" t="s">
        <v>1131</v>
      </c>
      <c r="K486" s="13">
        <v>5340</v>
      </c>
      <c r="L486" s="13">
        <v>320</v>
      </c>
      <c r="M486" s="13">
        <v>1</v>
      </c>
      <c r="N486" s="13" t="s">
        <v>1417</v>
      </c>
      <c r="O486" s="13" t="s">
        <v>261</v>
      </c>
      <c r="P486" s="13">
        <v>10060</v>
      </c>
      <c r="R486" s="13" t="s">
        <v>239</v>
      </c>
      <c r="S486" s="13" t="s">
        <v>180</v>
      </c>
      <c r="T486" s="13" t="s">
        <v>253</v>
      </c>
      <c r="U486" s="13" t="s">
        <v>182</v>
      </c>
      <c r="V486" s="13">
        <v>70</v>
      </c>
      <c r="W486" s="44">
        <f>IF($AX486="Cancelled","",IFERROR(((V486+INDEX(Variables!$B$6:$D$6,IFERROR(MATCH(IF($B486="Robusta","Robusta",(IF($B486="","Arabica",$B486))&amp;" - "&amp;(IF($C486="","Commercial",$C486))),Variables!$B$1:$D$1,0),1)))*22.0462)*(L486/16.67),""))</f>
        <v>152691.42574685061</v>
      </c>
      <c r="X486" s="55" t="s">
        <v>37</v>
      </c>
      <c r="Y486" s="13" t="str">
        <f>IF($AX486="Cancelled","",IF(X486="","",IFERROR(IF(INDEX(Variables!$B$38:$B$47,MATCH(X486,Variables!$A$38:$A$47,0))="Yes","Yes","No"),"No")))</f>
        <v>Yes</v>
      </c>
      <c r="Z486" s="58">
        <v>45919</v>
      </c>
      <c r="AB486" s="31">
        <v>45932</v>
      </c>
      <c r="AC486" s="13" t="str">
        <f t="shared" si="21"/>
        <v>Approved</v>
      </c>
      <c r="AF486" s="71">
        <v>45960</v>
      </c>
      <c r="AG486" s="37">
        <f>IF($AX486="Cancelled","",IFERROR(IF(F486="","",F486-Variables!$B$13),""))</f>
        <v>45946</v>
      </c>
      <c r="AH486" s="13">
        <f>IF($AX486="Cancelled","",IFERROR(IF(AB486="","",(AVERAGE(E486:F486)-AB486)-Variables!$B$14),""))</f>
        <v>-16</v>
      </c>
      <c r="AJ486" s="47">
        <v>45958</v>
      </c>
      <c r="AK486" s="14">
        <f>IF($AX486="Cancelled","",IFERROR(IF(AJ486="","",IF(AND(AB486="",AF486=""),"",IF(AF486&gt;AB486,AF486+Variables!$B$15+Variables!$B$16+Variables!$B$17-AJ486,AB486+Variables!$B$16+Variables!$B$17-AJ486))),""))</f>
        <v>17</v>
      </c>
      <c r="AL486" s="48" t="s">
        <v>114</v>
      </c>
      <c r="AM486" s="13" t="s">
        <v>188</v>
      </c>
      <c r="AN486" s="13" t="s">
        <v>1418</v>
      </c>
      <c r="AP486" s="31">
        <v>45970</v>
      </c>
      <c r="AR486" s="13" t="s">
        <v>1419</v>
      </c>
      <c r="AS486" s="31">
        <v>45970</v>
      </c>
      <c r="AU486" s="31">
        <v>45972</v>
      </c>
      <c r="AV486" s="13" t="s">
        <v>1420</v>
      </c>
      <c r="AW486" s="31">
        <v>45974</v>
      </c>
      <c r="AX486" s="13" t="str">
        <f>IF(ISNUMBER(SEARCH("cancel",#REF!)),"Cancelled",IF(AND(AS486&lt;&gt;"",AU486&lt;&gt;"",AW486&lt;&gt;""),"Closed","Open"))</f>
        <v>Closed</v>
      </c>
      <c r="AY486" s="15" t="str">
        <f t="shared" si="22"/>
        <v>All dates received</v>
      </c>
      <c r="BD486" s="13">
        <f>IF($AX486="Cancelled","",IFERROR(IF(OR(AS486="",AJ486=""),"",(AJ486+Variables!$B$18-AS486)),""))</f>
        <v>3</v>
      </c>
      <c r="BE486" s="13">
        <f>IF($AX486="Cancelled","",IFERROR(IF(OR(AW486="",AS486=""),"",(AS486+Variables!$B$19)-AW486),""))</f>
        <v>1</v>
      </c>
      <c r="BF486" s="44">
        <f>IF($AX486="Cancelled","",IFERROR(W486*INDEX(Variables!$B$7:$D$7,IFERROR(MATCH(IF($B486="Robusta","Robusta",(IF($B486="","Arabica",$B486))&amp;" - "&amp;(IF($C486="","Commercial",$C486))),Variables!$B$1:$D$1,0),1))*(BE486/365),""))</f>
        <v>26.975011104913893</v>
      </c>
      <c r="BG486" s="44">
        <f>IF($AX486="Cancelled","",IFERROR((W486*INDEX(Variables!$B$7:$D$7,IFERROR(MATCH(IF($B486="Robusta","Robusta",(IF($B486="","Arabica",$B486))&amp;" - "&amp;(IF($C486="","Commercial",$C486))),Variables!$B$1:$D$1,0),1))*IFERROR(IF(AB486="","",(AVERAGE(E486:F486)-AB486)-Variables!$B$14),"")/365)+(L486/16.67*INDEX(Variables!$B$8:$D$8,IFERROR(MATCH(IF($B486="Robusta","Robusta",(IF($B486="","Arabica",$B486))&amp;" - "&amp;(IF($C486="","Commercial",$C486))),Variables!$B$1:$D$1,0),1))*IFERROR(IF(AB486="","",(AVERAGE(E486:F486)-AB486)-Variables!$B$14),""))+(W486*INDEX(Variables!$B$9:$D$9,IFERROR(MATCH(IF($B486="Robusta","Robusta",(IF($B486="","Arabica",$B486))&amp;" - "&amp;(IF($C486="","Commercial",$C486))),Variables!$B$1:$D$1,0),1))*IFERROR(IF(AB486="","",(AVERAGE(E486:F486)-AB486)-Variables!$B$14),"")/365),""))</f>
        <v>-693.16433689937207</v>
      </c>
      <c r="BH486" s="44">
        <f>IF($AX486="Cancelled","",IFERROR((W486*INDEX(Variables!$B$7:$D$7,IFERROR(MATCH(IF($B486="Robusta","Robusta",(IF($B486="","Arabica",$B486))&amp;" - "&amp;(IF($C486="","Commercial",$C486))),Variables!$B$1:$D$1,0),1))*AK486/365)+(L486/16.67*INDEX(Variables!$B$8:$D$8,IFERROR(MATCH(IF($B486="Robusta","Robusta",(IF($B486="","Arabica",$B486))&amp;" - "&amp;(IF($C486="","Commercial",$C486))),Variables!$B$1:$D$1,0),1))*AK486)+(W486*INDEX(Variables!$B$9:$D$9,IFERROR(MATCH(IF($B486="Robusta","Robusta",(IF($B486="","Arabica",$B486))&amp;" - "&amp;(IF($C486="","Commercial",$C486))),Variables!$B$1:$D$1,0),1))*AK486/365),""))</f>
        <v>736.48710795558293</v>
      </c>
      <c r="BI486" s="44">
        <f>IF($AX486="Cancelled","",IFERROR((W486*INDEX(Variables!$B$7:$D$7,IFERROR(MATCH(IF($B486="Robusta","Robusta",(IF($B486="","Arabica",$B486))&amp;" - "&amp;(IF($C486="","Commercial",$C486))),Variables!$B$1:$D$1,0),1))*BD486/365)+(L486/16.67*INDEX(Variables!$B$8:$D$8,IFERROR(MATCH(IF($B486="Robusta","Robusta",(IF($B486="","Arabica",$B486))&amp;" - "&amp;(IF($C486="","Commercial",$C486))),Variables!$B$1:$D$1,0),1))*BD486)+(W486*INDEX(Variables!$B$9:$D$9,IFERROR(MATCH(IF($B486="Robusta","Robusta",(IF($B486="","Arabica",$B486))&amp;" - "&amp;(IF($C486="","Commercial",$C486))),Variables!$B$1:$D$1,0),1))*BD486/365),""))</f>
        <v>129.96831316863228</v>
      </c>
      <c r="BJ486" s="44">
        <f t="shared" si="23"/>
        <v>-9</v>
      </c>
      <c r="BK486" s="44">
        <f>IF($AX486="Cancelled","",IFERROR(IF(BJ486="","",(W486*INDEX(Variables!$B$7:$D$7,IFERROR(MATCH(IF($B486="Robusta","Robusta",(IF($B486="","Arabica",$B486))&amp;" - "&amp;(IF($C486="","Commercial",$C486))),Variables!$B$1:$D$1,0),1))*(BJ486/365))+(W486*INDEX(Variables!$B$9:$D$9,IFERROR(MATCH(IF($B486="Robusta","Robusta",(IF($B486="","Arabica",$B486))&amp;" - "&amp;(IF($C486="","Commercial",$C486))),Variables!$B$1:$D$1,0),1))*(BJ486/365))+(INDEX(Variables!$B$8:$D$8,IFERROR(MATCH(IF($B486="Robusta","Robusta",(IF($B486="","Arabica",$B486))&amp;" - "&amp;(IF($C486="","Commercial",$C486))),Variables!$B$1:$D$1,0),1))*L486/16.67)),""))</f>
        <v>-229.90493950589683</v>
      </c>
    </row>
    <row r="487" spans="1:63">
      <c r="A487" s="13" t="s">
        <v>103</v>
      </c>
      <c r="B487" s="13" t="s">
        <v>104</v>
      </c>
      <c r="C487" s="13" t="s">
        <v>105</v>
      </c>
      <c r="D487" s="31">
        <v>45915</v>
      </c>
      <c r="E487" s="31">
        <v>45931</v>
      </c>
      <c r="F487" s="31">
        <v>45961</v>
      </c>
      <c r="G487" s="13">
        <v>3786964</v>
      </c>
      <c r="H487" s="13">
        <v>95092</v>
      </c>
      <c r="J487" s="13" t="s">
        <v>118</v>
      </c>
      <c r="K487" s="13">
        <v>5338</v>
      </c>
      <c r="L487" s="13">
        <v>1440</v>
      </c>
      <c r="M487" s="13">
        <v>4</v>
      </c>
      <c r="N487" s="13" t="s">
        <v>1141</v>
      </c>
      <c r="O487" s="13" t="s">
        <v>109</v>
      </c>
      <c r="P487" s="13">
        <v>10080</v>
      </c>
      <c r="R487" s="13" t="s">
        <v>122</v>
      </c>
      <c r="S487" s="13" t="s">
        <v>123</v>
      </c>
      <c r="T487" s="13" t="s">
        <v>124</v>
      </c>
      <c r="U487" s="13" t="s">
        <v>125</v>
      </c>
      <c r="V487" s="13">
        <v>23</v>
      </c>
      <c r="W487" s="44">
        <f>IF($AX487="Cancelled","",IFERROR(((V487+INDEX(Variables!$B$6:$D$6,IFERROR(MATCH(IF($B487="Robusta","Robusta",(IF($B487="","Arabica",$B487))&amp;" - "&amp;(IF($C487="","Commercial",$C487))),Variables!$B$1:$D$1,0),1)))*22.0462)*(L487/16.67),""))</f>
        <v>597604.10836232756</v>
      </c>
      <c r="X487" s="55" t="s">
        <v>37</v>
      </c>
      <c r="Y487" s="13" t="str">
        <f>IF($AX487="Cancelled","",IF(X487="","",IFERROR(IF(INDEX(Variables!$B$38:$B$47,MATCH(X487,Variables!$A$38:$A$47,0))="Yes","Yes","No"),"No")))</f>
        <v>Yes</v>
      </c>
      <c r="Z487" s="58">
        <v>45922</v>
      </c>
      <c r="AC487" s="13" t="str">
        <f t="shared" si="21"/>
        <v/>
      </c>
      <c r="AF487" s="71">
        <v>45939</v>
      </c>
      <c r="AG487" s="37">
        <f>IF($AX487="Cancelled","",IFERROR(IF(F487="","",F487-Variables!$B$13),""))</f>
        <v>45946</v>
      </c>
      <c r="AH487" s="13" t="str">
        <f>IF($AX487="Cancelled","",IFERROR(IF(AB487="","",(AVERAGE(E487:F487)-AB487)-Variables!$B$14),""))</f>
        <v/>
      </c>
      <c r="AJ487" s="47">
        <v>45938</v>
      </c>
      <c r="AK487" s="14">
        <f>IF($AX487="Cancelled","",IFERROR(IF(AJ487="","",IF(AND(AB487="",AF487=""),"",IF(AF487&gt;AB487,AF487+Variables!$B$15+Variables!$B$16+Variables!$B$17-AJ487,AB487+Variables!$B$16+Variables!$B$17-AJ487))),""))</f>
        <v>16</v>
      </c>
      <c r="AL487" s="48" t="s">
        <v>114</v>
      </c>
      <c r="AM487" s="13" t="s">
        <v>115</v>
      </c>
      <c r="AN487" s="13" t="s">
        <v>517</v>
      </c>
      <c r="AP487" s="31">
        <v>45947</v>
      </c>
      <c r="AR487" s="13">
        <v>259974822</v>
      </c>
      <c r="AS487" s="31">
        <v>45947</v>
      </c>
      <c r="AU487" s="31">
        <v>45952</v>
      </c>
      <c r="AV487" s="13" t="s">
        <v>865</v>
      </c>
      <c r="AW487" s="31">
        <v>45952</v>
      </c>
      <c r="AX487" s="13" t="str">
        <f>IF(ISNUMBER(SEARCH("cancel",#REF!)),"Cancelled",IF(AND(AS487&lt;&gt;"",AU487&lt;&gt;"",AW487&lt;&gt;""),"Closed","Open"))</f>
        <v>Closed</v>
      </c>
      <c r="AY487" s="15" t="str">
        <f t="shared" si="22"/>
        <v>All dates received</v>
      </c>
      <c r="BD487" s="13">
        <f>IF($AX487="Cancelled","",IFERROR(IF(OR(AS487="",AJ487=""),"",(AJ487+Variables!$B$18-AS487)),""))</f>
        <v>6</v>
      </c>
      <c r="BE487" s="13">
        <f>IF($AX487="Cancelled","",IFERROR(IF(OR(AW487="",AS487=""),"",(AS487+Variables!$B$19)-AW487),""))</f>
        <v>0</v>
      </c>
      <c r="BF487" s="44">
        <f>IF($AX487="Cancelled","",IFERROR(W487*INDEX(Variables!$B$7:$D$7,IFERROR(MATCH(IF($B487="Robusta","Robusta",(IF($B487="","Arabica",$B487))&amp;" - "&amp;(IF($C487="","Commercial",$C487))),Variables!$B$1:$D$1,0),1))*(BE487/365),""))</f>
        <v>0</v>
      </c>
      <c r="BG487" s="44" t="str">
        <f>IF($AX487="Cancelled","",IFERROR((W487*INDEX(Variables!$B$7:$D$7,IFERROR(MATCH(IF($B487="Robusta","Robusta",(IF($B487="","Arabica",$B487))&amp;" - "&amp;(IF($C487="","Commercial",$C487))),Variables!$B$1:$D$1,0),1))*IFERROR(IF(AB487="","",(AVERAGE(E487:F487)-AB487)-Variables!$B$14),"")/365)+(L487/16.67*INDEX(Variables!$B$8:$D$8,IFERROR(MATCH(IF($B487="Robusta","Robusta",(IF($B487="","Arabica",$B487))&amp;" - "&amp;(IF($C487="","Commercial",$C487))),Variables!$B$1:$D$1,0),1))*IFERROR(IF(AB487="","",(AVERAGE(E487:F487)-AB487)-Variables!$B$14),""))+(W487*INDEX(Variables!$B$9:$D$9,IFERROR(MATCH(IF($B487="Robusta","Robusta",(IF($B487="","Arabica",$B487))&amp;" - "&amp;(IF($C487="","Commercial",$C487))),Variables!$B$1:$D$1,0),1))*IFERROR(IF(AB487="","",(AVERAGE(E487:F487)-AB487)-Variables!$B$14),"")/365),""))</f>
        <v/>
      </c>
      <c r="BH487" s="44">
        <f>IF($AX487="Cancelled","",IFERROR((W487*INDEX(Variables!$B$7:$D$7,IFERROR(MATCH(IF($B487="Robusta","Robusta",(IF($B487="","Arabica",$B487))&amp;" - "&amp;(IF($C487="","Commercial",$C487))),Variables!$B$1:$D$1,0),1))*AK487/365)+(L487/16.67*INDEX(Variables!$B$8:$D$8,IFERROR(MATCH(IF($B487="Robusta","Robusta",(IF($B487="","Arabica",$B487))&amp;" - "&amp;(IF($C487="","Commercial",$C487))),Variables!$B$1:$D$1,0),1))*AK487)+(W487*INDEX(Variables!$B$9:$D$9,IFERROR(MATCH(IF($B487="Robusta","Robusta",(IF($B487="","Arabica",$B487))&amp;" - "&amp;(IF($C487="","Commercial",$C487))),Variables!$B$1:$D$1,0),1))*AK487/365),""))</f>
        <v>2862.9749449434689</v>
      </c>
      <c r="BI487" s="44">
        <f>IF($AX487="Cancelled","",IFERROR((W487*INDEX(Variables!$B$7:$D$7,IFERROR(MATCH(IF($B487="Robusta","Robusta",(IF($B487="","Arabica",$B487))&amp;" - "&amp;(IF($C487="","Commercial",$C487))),Variables!$B$1:$D$1,0),1))*BD487/365)+(L487/16.67*INDEX(Variables!$B$8:$D$8,IFERROR(MATCH(IF($B487="Robusta","Robusta",(IF($B487="","Arabica",$B487))&amp;" - "&amp;(IF($C487="","Commercial",$C487))),Variables!$B$1:$D$1,0),1))*BD487)+(W487*INDEX(Variables!$B$9:$D$9,IFERROR(MATCH(IF($B487="Robusta","Robusta",(IF($B487="","Arabica",$B487))&amp;" - "&amp;(IF($C487="","Commercial",$C487))),Variables!$B$1:$D$1,0),1))*BD487/365),""))</f>
        <v>1073.615604353801</v>
      </c>
      <c r="BJ487" s="44">
        <f t="shared" si="23"/>
        <v>14</v>
      </c>
      <c r="BK487" s="44">
        <f>IF($AX487="Cancelled","",IFERROR(IF(BJ487="","",(W487*INDEX(Variables!$B$7:$D$7,IFERROR(MATCH(IF($B487="Robusta","Robusta",(IF($B487="","Arabica",$B487))&amp;" - "&amp;(IF($C487="","Commercial",$C487))),Variables!$B$1:$D$1,0),1))*(BJ487/365))+(W487*INDEX(Variables!$B$9:$D$9,IFERROR(MATCH(IF($B487="Robusta","Robusta",(IF($B487="","Arabica",$B487))&amp;" - "&amp;(IF($C487="","Commercial",$C487))),Variables!$B$1:$D$1,0),1))*(BJ487/365))+(INDEX(Variables!$B$8:$D$8,IFERROR(MATCH(IF($B487="Robusta","Robusta",(IF($B487="","Arabica",$B487))&amp;" - "&amp;(IF($C487="","Commercial",$C487))),Variables!$B$1:$D$1,0),1))*L487/16.67)),""))</f>
        <v>1569.1030768255353</v>
      </c>
    </row>
    <row r="488" spans="1:63">
      <c r="A488" s="13" t="s">
        <v>103</v>
      </c>
      <c r="B488" s="13" t="s">
        <v>104</v>
      </c>
      <c r="C488" s="13" t="s">
        <v>105</v>
      </c>
      <c r="D488" s="31">
        <v>45915</v>
      </c>
      <c r="E488" s="31">
        <v>45931</v>
      </c>
      <c r="F488" s="31">
        <v>45961</v>
      </c>
      <c r="G488" s="13">
        <v>3786964</v>
      </c>
      <c r="H488" s="13">
        <v>95092</v>
      </c>
      <c r="J488" s="13" t="s">
        <v>118</v>
      </c>
      <c r="K488" s="13">
        <v>5338</v>
      </c>
      <c r="L488" s="13">
        <v>360</v>
      </c>
      <c r="M488" s="13">
        <v>1</v>
      </c>
      <c r="N488" s="13" t="s">
        <v>1141</v>
      </c>
      <c r="O488" s="13" t="s">
        <v>109</v>
      </c>
      <c r="P488" s="13">
        <v>10080</v>
      </c>
      <c r="R488" s="13" t="s">
        <v>122</v>
      </c>
      <c r="S488" s="13" t="s">
        <v>123</v>
      </c>
      <c r="T488" s="13" t="s">
        <v>124</v>
      </c>
      <c r="U488" s="13" t="s">
        <v>125</v>
      </c>
      <c r="V488" s="13">
        <v>23</v>
      </c>
      <c r="W488" s="44">
        <f>IF($AX488="Cancelled","",IFERROR(((V488+INDEX(Variables!$B$6:$D$6,IFERROR(MATCH(IF($B488="Robusta","Robusta",(IF($B488="","Arabica",$B488))&amp;" - "&amp;(IF($C488="","Commercial",$C488))),Variables!$B$1:$D$1,0),1)))*22.0462)*(L488/16.67),""))</f>
        <v>149401.02709058189</v>
      </c>
      <c r="X488" s="55" t="s">
        <v>37</v>
      </c>
      <c r="Y488" s="13" t="str">
        <f>IF($AX488="Cancelled","",IF(X488="","",IFERROR(IF(INDEX(Variables!$B$38:$B$47,MATCH(X488,Variables!$A$38:$A$47,0))="Yes","Yes","No"),"No")))</f>
        <v>Yes</v>
      </c>
      <c r="Z488" s="58">
        <v>45922</v>
      </c>
      <c r="AC488" s="13" t="str">
        <f t="shared" si="21"/>
        <v/>
      </c>
      <c r="AF488" s="71">
        <v>45939</v>
      </c>
      <c r="AG488" s="37">
        <f>IF($AX488="Cancelled","",IFERROR(IF(F488="","",F488-Variables!$B$13),""))</f>
        <v>45946</v>
      </c>
      <c r="AH488" s="13" t="str">
        <f>IF($AX488="Cancelled","",IFERROR(IF(AB488="","",(AVERAGE(E488:F488)-AB488)-Variables!$B$14),""))</f>
        <v/>
      </c>
      <c r="AJ488" s="47">
        <v>45938</v>
      </c>
      <c r="AK488" s="14">
        <f>IF($AX488="Cancelled","",IFERROR(IF(AJ488="","",IF(AND(AB488="",AF488=""),"",IF(AF488&gt;AB488,AF488+Variables!$B$15+Variables!$B$16+Variables!$B$17-AJ488,AB488+Variables!$B$16+Variables!$B$17-AJ488))),""))</f>
        <v>16</v>
      </c>
      <c r="AL488" s="48" t="s">
        <v>114</v>
      </c>
      <c r="AM488" s="13" t="s">
        <v>115</v>
      </c>
      <c r="AN488" s="13" t="s">
        <v>517</v>
      </c>
      <c r="AP488" s="31">
        <v>45947</v>
      </c>
      <c r="AR488" s="13">
        <v>259974822</v>
      </c>
      <c r="AS488" s="31">
        <v>45955</v>
      </c>
      <c r="AU488" s="31">
        <v>45957</v>
      </c>
      <c r="AV488" s="13" t="s">
        <v>865</v>
      </c>
      <c r="AW488" s="31">
        <v>45957</v>
      </c>
      <c r="AX488" s="13" t="str">
        <f>IF(ISNUMBER(SEARCH("cancel",#REF!)),"Cancelled",IF(AND(AS488&lt;&gt;"",AU488&lt;&gt;"",AW488&lt;&gt;""),"Closed","Open"))</f>
        <v>Closed</v>
      </c>
      <c r="AY488" s="15" t="str">
        <f t="shared" si="22"/>
        <v>All dates received</v>
      </c>
      <c r="BD488" s="13">
        <f>IF($AX488="Cancelled","",IFERROR(IF(OR(AS488="",AJ488=""),"",(AJ488+Variables!$B$18-AS488)),""))</f>
        <v>-2</v>
      </c>
      <c r="BE488" s="13">
        <f>IF($AX488="Cancelled","",IFERROR(IF(OR(AW488="",AS488=""),"",(AS488+Variables!$B$19)-AW488),""))</f>
        <v>3</v>
      </c>
      <c r="BF488" s="44">
        <f>IF($AX488="Cancelled","",IFERROR(W488*INDEX(Variables!$B$7:$D$7,IFERROR(MATCH(IF($B488="Robusta","Robusta",(IF($B488="","Arabica",$B488))&amp;" - "&amp;(IF($C488="","Commercial",$C488))),Variables!$B$1:$D$1,0),1))*(BE488/365),""))</f>
        <v>79.181152677208104</v>
      </c>
      <c r="BG488" s="44" t="str">
        <f>IF($AX488="Cancelled","",IFERROR((W488*INDEX(Variables!$B$7:$D$7,IFERROR(MATCH(IF($B488="Robusta","Robusta",(IF($B488="","Arabica",$B488))&amp;" - "&amp;(IF($C488="","Commercial",$C488))),Variables!$B$1:$D$1,0),1))*IFERROR(IF(AB488="","",(AVERAGE(E488:F488)-AB488)-Variables!$B$14),"")/365)+(L488/16.67*INDEX(Variables!$B$8:$D$8,IFERROR(MATCH(IF($B488="Robusta","Robusta",(IF($B488="","Arabica",$B488))&amp;" - "&amp;(IF($C488="","Commercial",$C488))),Variables!$B$1:$D$1,0),1))*IFERROR(IF(AB488="","",(AVERAGE(E488:F488)-AB488)-Variables!$B$14),""))+(W488*INDEX(Variables!$B$9:$D$9,IFERROR(MATCH(IF($B488="Robusta","Robusta",(IF($B488="","Arabica",$B488))&amp;" - "&amp;(IF($C488="","Commercial",$C488))),Variables!$B$1:$D$1,0),1))*IFERROR(IF(AB488="","",(AVERAGE(E488:F488)-AB488)-Variables!$B$14),"")/365),""))</f>
        <v/>
      </c>
      <c r="BH488" s="44">
        <f>IF($AX488="Cancelled","",IFERROR((W488*INDEX(Variables!$B$7:$D$7,IFERROR(MATCH(IF($B488="Robusta","Robusta",(IF($B488="","Arabica",$B488))&amp;" - "&amp;(IF($C488="","Commercial",$C488))),Variables!$B$1:$D$1,0),1))*AK488/365)+(L488/16.67*INDEX(Variables!$B$8:$D$8,IFERROR(MATCH(IF($B488="Robusta","Robusta",(IF($B488="","Arabica",$B488))&amp;" - "&amp;(IF($C488="","Commercial",$C488))),Variables!$B$1:$D$1,0),1))*AK488)+(W488*INDEX(Variables!$B$9:$D$9,IFERROR(MATCH(IF($B488="Robusta","Robusta",(IF($B488="","Arabica",$B488))&amp;" - "&amp;(IF($C488="","Commercial",$C488))),Variables!$B$1:$D$1,0),1))*AK488/365),""))</f>
        <v>715.74373623586723</v>
      </c>
      <c r="BI488" s="44">
        <f>IF($AX488="Cancelled","",IFERROR((W488*INDEX(Variables!$B$7:$D$7,IFERROR(MATCH(IF($B488="Robusta","Robusta",(IF($B488="","Arabica",$B488))&amp;" - "&amp;(IF($C488="","Commercial",$C488))),Variables!$B$1:$D$1,0),1))*BD488/365)+(L488/16.67*INDEX(Variables!$B$8:$D$8,IFERROR(MATCH(IF($B488="Robusta","Robusta",(IF($B488="","Arabica",$B488))&amp;" - "&amp;(IF($C488="","Commercial",$C488))),Variables!$B$1:$D$1,0),1))*BD488)+(W488*INDEX(Variables!$B$9:$D$9,IFERROR(MATCH(IF($B488="Robusta","Robusta",(IF($B488="","Arabica",$B488))&amp;" - "&amp;(IF($C488="","Commercial",$C488))),Variables!$B$1:$D$1,0),1))*BD488/365),""))</f>
        <v>-89.467967029483404</v>
      </c>
      <c r="BJ488" s="44">
        <f t="shared" si="23"/>
        <v>6</v>
      </c>
      <c r="BK488" s="44">
        <f>IF($AX488="Cancelled","",IFERROR(IF(BJ488="","",(W488*INDEX(Variables!$B$7:$D$7,IFERROR(MATCH(IF($B488="Robusta","Robusta",(IF($B488="","Arabica",$B488))&amp;" - "&amp;(IF($C488="","Commercial",$C488))),Variables!$B$1:$D$1,0),1))*(BJ488/365))+(W488*INDEX(Variables!$B$9:$D$9,IFERROR(MATCH(IF($B488="Robusta","Robusta",(IF($B488="","Arabica",$B488))&amp;" - "&amp;(IF($C488="","Commercial",$C488))),Variables!$B$1:$D$1,0),1))*(BJ488/365))+(INDEX(Variables!$B$8:$D$8,IFERROR(MATCH(IF($B488="Robusta","Robusta",(IF($B488="","Arabica",$B488))&amp;" - "&amp;(IF($C488="","Commercial",$C488))),Variables!$B$1:$D$1,0),1))*L488/16.67)),""))</f>
        <v>178.4039010884502</v>
      </c>
    </row>
    <row r="489" spans="1:63">
      <c r="A489" s="13" t="s">
        <v>103</v>
      </c>
      <c r="B489" s="13" t="s">
        <v>104</v>
      </c>
      <c r="C489" s="13" t="s">
        <v>105</v>
      </c>
      <c r="D489" s="31">
        <v>45915</v>
      </c>
      <c r="E489" s="31">
        <v>45962</v>
      </c>
      <c r="F489" s="31">
        <v>45991</v>
      </c>
      <c r="G489" s="13">
        <v>3786965</v>
      </c>
      <c r="H489" s="13">
        <v>95093</v>
      </c>
      <c r="J489" s="13" t="s">
        <v>118</v>
      </c>
      <c r="K489" s="13">
        <v>5345</v>
      </c>
      <c r="L489" s="13">
        <v>1800</v>
      </c>
      <c r="M489" s="13">
        <v>5</v>
      </c>
      <c r="N489" s="13" t="s">
        <v>1141</v>
      </c>
      <c r="O489" s="13" t="s">
        <v>109</v>
      </c>
      <c r="P489" s="13">
        <v>10080</v>
      </c>
      <c r="R489" s="13" t="s">
        <v>122</v>
      </c>
      <c r="S489" s="13" t="s">
        <v>123</v>
      </c>
      <c r="T489" s="13" t="s">
        <v>124</v>
      </c>
      <c r="U489" s="13" t="s">
        <v>125</v>
      </c>
      <c r="V489" s="13">
        <v>23</v>
      </c>
      <c r="W489" s="44">
        <f>IF($AX489="Cancelled","",IFERROR(((V489+INDEX(Variables!$B$6:$D$6,IFERROR(MATCH(IF($B489="Robusta","Robusta",(IF($B489="","Arabica",$B489))&amp;" - "&amp;(IF($C489="","Commercial",$C489))),Variables!$B$1:$D$1,0),1)))*22.0462)*(L489/16.67),""))</f>
        <v>747005.1354529094</v>
      </c>
      <c r="X489" s="55" t="s">
        <v>37</v>
      </c>
      <c r="Y489" s="13" t="str">
        <f>IF($AX489="Cancelled","",IF(X489="","",IFERROR(IF(INDEX(Variables!$B$38:$B$47,MATCH(X489,Variables!$A$38:$A$47,0))="Yes","Yes","No"),"No")))</f>
        <v>Yes</v>
      </c>
      <c r="Z489" s="58">
        <v>45926</v>
      </c>
      <c r="AB489" s="31">
        <v>45953</v>
      </c>
      <c r="AC489" s="13" t="str">
        <f t="shared" si="21"/>
        <v>Approved</v>
      </c>
      <c r="AF489" s="71">
        <v>45960</v>
      </c>
      <c r="AG489" s="37">
        <f>IF($AX489="Cancelled","",IFERROR(IF(F489="","",F489-Variables!$B$13),""))</f>
        <v>45976</v>
      </c>
      <c r="AH489" s="13">
        <f>IF($AX489="Cancelled","",IFERROR(IF(AB489="","",(AVERAGE(E489:F489)-AB489)-Variables!$B$14),""))</f>
        <v>-6.5</v>
      </c>
      <c r="AJ489" s="47">
        <v>45959</v>
      </c>
      <c r="AK489" s="14">
        <f>IF($AX489="Cancelled","",IFERROR(IF(AJ489="","",IF(AND(AB489="",AF489=""),"",IF(AF489&gt;AB489,AF489+Variables!$B$15+Variables!$B$16+Variables!$B$17-AJ489,AB489+Variables!$B$16+Variables!$B$17-AJ489))),""))</f>
        <v>16</v>
      </c>
      <c r="AL489" s="48" t="s">
        <v>114</v>
      </c>
      <c r="AM489" s="13" t="s">
        <v>115</v>
      </c>
      <c r="AN489" s="13" t="s">
        <v>116</v>
      </c>
      <c r="AP489" s="31">
        <v>45969</v>
      </c>
      <c r="AR489" s="13">
        <v>260812660</v>
      </c>
      <c r="AS489" s="31">
        <v>45969</v>
      </c>
      <c r="AU489" s="31">
        <v>45972</v>
      </c>
      <c r="AV489" s="13" t="s">
        <v>865</v>
      </c>
      <c r="AW489" s="31">
        <v>45972</v>
      </c>
      <c r="AX489" s="13" t="str">
        <f>IF(ISNUMBER(SEARCH("cancel",#REF!)),"Cancelled",IF(AND(AS489&lt;&gt;"",AU489&lt;&gt;"",AW489&lt;&gt;""),"Closed","Open"))</f>
        <v>Closed</v>
      </c>
      <c r="AY489" s="15" t="str">
        <f t="shared" si="22"/>
        <v>All dates received</v>
      </c>
      <c r="BD489" s="13">
        <f>IF($AX489="Cancelled","",IFERROR(IF(OR(AS489="",AJ489=""),"",(AJ489+Variables!$B$18-AS489)),""))</f>
        <v>5</v>
      </c>
      <c r="BE489" s="13">
        <f>IF($AX489="Cancelled","",IFERROR(IF(OR(AW489="",AS489=""),"",(AS489+Variables!$B$19)-AW489),""))</f>
        <v>2</v>
      </c>
      <c r="BF489" s="44">
        <f>IF($AX489="Cancelled","",IFERROR(W489*INDEX(Variables!$B$7:$D$7,IFERROR(MATCH(IF($B489="Robusta","Robusta",(IF($B489="","Arabica",$B489))&amp;" - "&amp;(IF($C489="","Commercial",$C489))),Variables!$B$1:$D$1,0),1))*(BE489/365),""))</f>
        <v>263.9371755906937</v>
      </c>
      <c r="BG489" s="44">
        <f>IF($AX489="Cancelled","",IFERROR((W489*INDEX(Variables!$B$7:$D$7,IFERROR(MATCH(IF($B489="Robusta","Robusta",(IF($B489="","Arabica",$B489))&amp;" - "&amp;(IF($C489="","Commercial",$C489))),Variables!$B$1:$D$1,0),1))*IFERROR(IF(AB489="","",(AVERAGE(E489:F489)-AB489)-Variables!$B$14),"")/365)+(L489/16.67*INDEX(Variables!$B$8:$D$8,IFERROR(MATCH(IF($B489="Robusta","Robusta",(IF($B489="","Arabica",$B489))&amp;" - "&amp;(IF($C489="","Commercial",$C489))),Variables!$B$1:$D$1,0),1))*IFERROR(IF(AB489="","",(AVERAGE(E489:F489)-AB489)-Variables!$B$14),""))+(W489*INDEX(Variables!$B$9:$D$9,IFERROR(MATCH(IF($B489="Robusta","Robusta",(IF($B489="","Arabica",$B489))&amp;" - "&amp;(IF($C489="","Commercial",$C489))),Variables!$B$1:$D$1,0),1))*IFERROR(IF(AB489="","",(AVERAGE(E489:F489)-AB489)-Variables!$B$14),"")/365),""))</f>
        <v>-1453.8544642291051</v>
      </c>
      <c r="BH489" s="44">
        <f>IF($AX489="Cancelled","",IFERROR((W489*INDEX(Variables!$B$7:$D$7,IFERROR(MATCH(IF($B489="Robusta","Robusta",(IF($B489="","Arabica",$B489))&amp;" - "&amp;(IF($C489="","Commercial",$C489))),Variables!$B$1:$D$1,0),1))*AK489/365)+(L489/16.67*INDEX(Variables!$B$8:$D$8,IFERROR(MATCH(IF($B489="Robusta","Robusta",(IF($B489="","Arabica",$B489))&amp;" - "&amp;(IF($C489="","Commercial",$C489))),Variables!$B$1:$D$1,0),1))*AK489)+(W489*INDEX(Variables!$B$9:$D$9,IFERROR(MATCH(IF($B489="Robusta","Robusta",(IF($B489="","Arabica",$B489))&amp;" - "&amp;(IF($C489="","Commercial",$C489))),Variables!$B$1:$D$1,0),1))*AK489/365),""))</f>
        <v>3578.7186811793363</v>
      </c>
      <c r="BI489" s="44">
        <f>IF($AX489="Cancelled","",IFERROR((W489*INDEX(Variables!$B$7:$D$7,IFERROR(MATCH(IF($B489="Robusta","Robusta",(IF($B489="","Arabica",$B489))&amp;" - "&amp;(IF($C489="","Commercial",$C489))),Variables!$B$1:$D$1,0),1))*BD489/365)+(L489/16.67*INDEX(Variables!$B$8:$D$8,IFERROR(MATCH(IF($B489="Robusta","Robusta",(IF($B489="","Arabica",$B489))&amp;" - "&amp;(IF($C489="","Commercial",$C489))),Variables!$B$1:$D$1,0),1))*BD489)+(W489*INDEX(Variables!$B$9:$D$9,IFERROR(MATCH(IF($B489="Robusta","Robusta",(IF($B489="","Arabica",$B489))&amp;" - "&amp;(IF($C489="","Commercial",$C489))),Variables!$B$1:$D$1,0),1))*BD489/365),""))</f>
        <v>1118.3495878685426</v>
      </c>
      <c r="BJ489" s="44">
        <f t="shared" si="23"/>
        <v>22</v>
      </c>
      <c r="BK489" s="44">
        <f>IF($AX489="Cancelled","",IFERROR(IF(BJ489="","",(W489*INDEX(Variables!$B$7:$D$7,IFERROR(MATCH(IF($B489="Robusta","Robusta",(IF($B489="","Arabica",$B489))&amp;" - "&amp;(IF($C489="","Commercial",$C489))),Variables!$B$1:$D$1,0),1))*(BJ489/365))+(W489*INDEX(Variables!$B$9:$D$9,IFERROR(MATCH(IF($B489="Robusta","Robusta",(IF($B489="","Arabica",$B489))&amp;" - "&amp;(IF($C489="","Commercial",$C489))),Variables!$B$1:$D$1,0),1))*(BJ489/365))+(INDEX(Variables!$B$8:$D$8,IFERROR(MATCH(IF($B489="Robusta","Robusta",(IF($B489="","Arabica",$B489))&amp;" - "&amp;(IF($C489="","Commercial",$C489))),Variables!$B$1:$D$1,0),1))*L489/16.67)),""))</f>
        <v>3030.7381866215869</v>
      </c>
    </row>
    <row r="490" spans="1:63">
      <c r="A490" s="13" t="s">
        <v>103</v>
      </c>
      <c r="B490" s="13" t="s">
        <v>104</v>
      </c>
      <c r="C490" s="13" t="s">
        <v>105</v>
      </c>
      <c r="D490" s="31">
        <v>45915</v>
      </c>
      <c r="E490" s="31">
        <v>45931</v>
      </c>
      <c r="F490" s="31">
        <v>45961</v>
      </c>
      <c r="G490" s="13">
        <v>3786966</v>
      </c>
      <c r="H490" s="13">
        <v>95094</v>
      </c>
      <c r="J490" s="13" t="s">
        <v>118</v>
      </c>
      <c r="K490" s="13">
        <v>5339</v>
      </c>
      <c r="L490" s="13">
        <v>360</v>
      </c>
      <c r="M490" s="13">
        <v>1</v>
      </c>
      <c r="N490" s="13" t="s">
        <v>1421</v>
      </c>
      <c r="O490" s="13" t="s">
        <v>120</v>
      </c>
      <c r="P490" s="13">
        <v>10070</v>
      </c>
      <c r="R490" s="13" t="s">
        <v>122</v>
      </c>
      <c r="S490" s="13" t="s">
        <v>123</v>
      </c>
      <c r="T490" s="13" t="s">
        <v>124</v>
      </c>
      <c r="U490" s="13" t="s">
        <v>125</v>
      </c>
      <c r="V490" s="13">
        <v>35.5</v>
      </c>
      <c r="W490" s="44">
        <f>IF($AX490="Cancelled","",IFERROR(((V490+INDEX(Variables!$B$6:$D$6,IFERROR(MATCH(IF($B490="Robusta","Robusta",(IF($B490="","Arabica",$B490))&amp;" - "&amp;(IF($C490="","Commercial",$C490))),Variables!$B$1:$D$1,0),1)))*22.0462)*(L490/16.67),""))</f>
        <v>155352.31083383321</v>
      </c>
      <c r="X490" s="55" t="s">
        <v>37</v>
      </c>
      <c r="Y490" s="13" t="str">
        <f>IF($AX490="Cancelled","",IF(X490="","",IFERROR(IF(INDEX(Variables!$B$38:$B$47,MATCH(X490,Variables!$A$38:$A$47,0))="Yes","Yes","No"),"No")))</f>
        <v>Yes</v>
      </c>
      <c r="Z490" s="58">
        <v>45922</v>
      </c>
      <c r="AB490" s="31">
        <v>45915.875</v>
      </c>
      <c r="AC490" s="13" t="str">
        <f t="shared" si="21"/>
        <v>Approved</v>
      </c>
      <c r="AF490" s="71">
        <v>45936</v>
      </c>
      <c r="AG490" s="37">
        <f>IF($AX490="Cancelled","",IFERROR(IF(F490="","",F490-Variables!$B$13),""))</f>
        <v>45946</v>
      </c>
      <c r="AH490" s="13">
        <f>IF($AX490="Cancelled","",IFERROR(IF(AB490="","",(AVERAGE(E490:F490)-AB490)-Variables!$B$14),""))</f>
        <v>0.125</v>
      </c>
      <c r="AJ490" s="47">
        <v>45933</v>
      </c>
      <c r="AK490" s="14">
        <f>IF($AX490="Cancelled","",IFERROR(IF(AJ490="","",IF(AND(AB490="",AF490=""),"",IF(AF490&gt;AB490,AF490+Variables!$B$15+Variables!$B$16+Variables!$B$17-AJ490,AB490+Variables!$B$16+Variables!$B$17-AJ490))),""))</f>
        <v>18</v>
      </c>
      <c r="AL490" s="48" t="s">
        <v>114</v>
      </c>
      <c r="AM490" s="13" t="s">
        <v>115</v>
      </c>
      <c r="AN490" s="13" t="s">
        <v>116</v>
      </c>
      <c r="AP490" s="31">
        <v>45940</v>
      </c>
      <c r="AR490" s="13">
        <v>259974808</v>
      </c>
      <c r="AS490" s="31">
        <v>45940</v>
      </c>
      <c r="AU490" s="31">
        <v>45943</v>
      </c>
      <c r="AV490" s="13" t="s">
        <v>865</v>
      </c>
      <c r="AW490" s="31">
        <v>45943</v>
      </c>
      <c r="AX490" s="13" t="str">
        <f>IF(ISNUMBER(SEARCH("cancel",#REF!)),"Cancelled",IF(AND(AS490&lt;&gt;"",AU490&lt;&gt;"",AW490&lt;&gt;""),"Closed","Open"))</f>
        <v>Closed</v>
      </c>
      <c r="AY490" s="15" t="str">
        <f t="shared" si="22"/>
        <v>All dates received</v>
      </c>
      <c r="BD490" s="13">
        <f>IF($AX490="Cancelled","",IFERROR(IF(OR(AS490="",AJ490=""),"",(AJ490+Variables!$B$18-AS490)),""))</f>
        <v>8</v>
      </c>
      <c r="BE490" s="13">
        <f>IF($AX490="Cancelled","",IFERROR(IF(OR(AW490="",AS490=""),"",(AS490+Variables!$B$19)-AW490),""))</f>
        <v>2</v>
      </c>
      <c r="BF490" s="44">
        <f>IF($AX490="Cancelled","",IFERROR(W490*INDEX(Variables!$B$7:$D$7,IFERROR(MATCH(IF($B490="Robusta","Robusta",(IF($B490="","Arabica",$B490))&amp;" - "&amp;(IF($C490="","Commercial",$C490))),Variables!$B$1:$D$1,0),1))*(BE490/365),""))</f>
        <v>54.890185083010415</v>
      </c>
      <c r="BG490" s="44">
        <f>IF($AX490="Cancelled","",IFERROR((W490*INDEX(Variables!$B$7:$D$7,IFERROR(MATCH(IF($B490="Robusta","Robusta",(IF($B490="","Arabica",$B490))&amp;" - "&amp;(IF($C490="","Commercial",$C490))),Variables!$B$1:$D$1,0),1))*IFERROR(IF(AB490="","",(AVERAGE(E490:F490)-AB490)-Variables!$B$14),"")/365)+(L490/16.67*INDEX(Variables!$B$8:$D$8,IFERROR(MATCH(IF($B490="Robusta","Robusta",(IF($B490="","Arabica",$B490))&amp;" - "&amp;(IF($C490="","Commercial",$C490))),Variables!$B$1:$D$1,0),1))*IFERROR(IF(AB490="","",(AVERAGE(E490:F490)-AB490)-Variables!$B$14),""))+(W490*INDEX(Variables!$B$9:$D$9,IFERROR(MATCH(IF($B490="Robusta","Robusta",(IF($B490="","Arabica",$B490))&amp;" - "&amp;(IF($C490="","Commercial",$C490))),Variables!$B$1:$D$1,0),1))*IFERROR(IF(AB490="","",(AVERAGE(E490:F490)-AB490)-Variables!$B$14),"")/365),""))</f>
        <v>5.7248640937142357</v>
      </c>
      <c r="BH490" s="44">
        <f>IF($AX490="Cancelled","",IFERROR((W490*INDEX(Variables!$B$7:$D$7,IFERROR(MATCH(IF($B490="Robusta","Robusta",(IF($B490="","Arabica",$B490))&amp;" - "&amp;(IF($C490="","Commercial",$C490))),Variables!$B$1:$D$1,0),1))*AK490/365)+(L490/16.67*INDEX(Variables!$B$8:$D$8,IFERROR(MATCH(IF($B490="Robusta","Robusta",(IF($B490="","Arabica",$B490))&amp;" - "&amp;(IF($C490="","Commercial",$C490))),Variables!$B$1:$D$1,0),1))*AK490)+(W490*INDEX(Variables!$B$9:$D$9,IFERROR(MATCH(IF($B490="Robusta","Robusta",(IF($B490="","Arabica",$B490))&amp;" - "&amp;(IF($C490="","Commercial",$C490))),Variables!$B$1:$D$1,0),1))*AK490/365),""))</f>
        <v>824.38042949484986</v>
      </c>
      <c r="BI490" s="44">
        <f>IF($AX490="Cancelled","",IFERROR((W490*INDEX(Variables!$B$7:$D$7,IFERROR(MATCH(IF($B490="Robusta","Robusta",(IF($B490="","Arabica",$B490))&amp;" - "&amp;(IF($C490="","Commercial",$C490))),Variables!$B$1:$D$1,0),1))*BD490/365)+(L490/16.67*INDEX(Variables!$B$8:$D$8,IFERROR(MATCH(IF($B490="Robusta","Robusta",(IF($B490="","Arabica",$B490))&amp;" - "&amp;(IF($C490="","Commercial",$C490))),Variables!$B$1:$D$1,0),1))*BD490)+(W490*INDEX(Variables!$B$9:$D$9,IFERROR(MATCH(IF($B490="Robusta","Robusta",(IF($B490="","Arabica",$B490))&amp;" - "&amp;(IF($C490="","Commercial",$C490))),Variables!$B$1:$D$1,0),1))*BD490/365),""))</f>
        <v>366.39130199771108</v>
      </c>
      <c r="BJ490" s="44">
        <f t="shared" si="23"/>
        <v>21</v>
      </c>
      <c r="BK490" s="44">
        <f>IF($AX490="Cancelled","",IFERROR(IF(BJ490="","",(W490*INDEX(Variables!$B$7:$D$7,IFERROR(MATCH(IF($B490="Robusta","Robusta",(IF($B490="","Arabica",$B490))&amp;" - "&amp;(IF($C490="","Commercial",$C490))),Variables!$B$1:$D$1,0),1))*(BJ490/365))+(W490*INDEX(Variables!$B$9:$D$9,IFERROR(MATCH(IF($B490="Robusta","Robusta",(IF($B490="","Arabica",$B490))&amp;" - "&amp;(IF($C490="","Commercial",$C490))),Variables!$B$1:$D$1,0),1))*(BJ490/365))+(INDEX(Variables!$B$8:$D$8,IFERROR(MATCH(IF($B490="Robusta","Robusta",(IF($B490="","Arabica",$B490))&amp;" - "&amp;(IF($C490="","Commercial",$C490))),Variables!$B$1:$D$1,0),1))*L490/16.67)),""))</f>
        <v>601.77716774399141</v>
      </c>
    </row>
    <row r="491" spans="1:63">
      <c r="A491" s="13" t="s">
        <v>103</v>
      </c>
      <c r="B491" s="13" t="s">
        <v>104</v>
      </c>
      <c r="C491" s="13" t="s">
        <v>105</v>
      </c>
      <c r="D491" s="31">
        <v>45915</v>
      </c>
      <c r="E491" s="31">
        <v>45962</v>
      </c>
      <c r="F491" s="31">
        <v>45991</v>
      </c>
      <c r="G491" s="13">
        <v>3786967</v>
      </c>
      <c r="H491" s="13">
        <v>95095</v>
      </c>
      <c r="J491" s="13" t="s">
        <v>118</v>
      </c>
      <c r="K491" s="13">
        <v>5344</v>
      </c>
      <c r="L491" s="13">
        <v>360</v>
      </c>
      <c r="M491" s="13">
        <v>1</v>
      </c>
      <c r="N491" s="13" t="s">
        <v>1421</v>
      </c>
      <c r="O491" s="13" t="s">
        <v>120</v>
      </c>
      <c r="P491" s="13">
        <v>10070</v>
      </c>
      <c r="R491" s="13" t="s">
        <v>122</v>
      </c>
      <c r="S491" s="13" t="s">
        <v>123</v>
      </c>
      <c r="T491" s="13" t="s">
        <v>124</v>
      </c>
      <c r="U491" s="13" t="s">
        <v>125</v>
      </c>
      <c r="V491" s="13">
        <v>35.5</v>
      </c>
      <c r="W491" s="44">
        <f>IF($AX491="Cancelled","",IFERROR(((V491+INDEX(Variables!$B$6:$D$6,IFERROR(MATCH(IF($B491="Robusta","Robusta",(IF($B491="","Arabica",$B491))&amp;" - "&amp;(IF($C491="","Commercial",$C491))),Variables!$B$1:$D$1,0),1)))*22.0462)*(L491/16.67),""))</f>
        <v>155352.31083383321</v>
      </c>
      <c r="X491" s="55" t="s">
        <v>37</v>
      </c>
      <c r="Y491" s="13" t="str">
        <f>IF($AX491="Cancelled","",IF(X491="","",IFERROR(IF(INDEX(Variables!$B$38:$B$47,MATCH(X491,Variables!$A$38:$A$47,0))="Yes","Yes","No"),"No")))</f>
        <v>Yes</v>
      </c>
      <c r="Z491" s="58">
        <v>45926</v>
      </c>
      <c r="AB491" s="31">
        <v>45940</v>
      </c>
      <c r="AC491" s="13" t="str">
        <f t="shared" si="21"/>
        <v>Approved</v>
      </c>
      <c r="AF491" s="71">
        <v>45957</v>
      </c>
      <c r="AG491" s="37">
        <f>IF($AX491="Cancelled","",IFERROR(IF(F491="","",F491-Variables!$B$13),""))</f>
        <v>45976</v>
      </c>
      <c r="AH491" s="13">
        <f>IF($AX491="Cancelled","",IFERROR(IF(AB491="","",(AVERAGE(E491:F491)-AB491)-Variables!$B$14),""))</f>
        <v>6.5</v>
      </c>
      <c r="AJ491" s="47">
        <v>45957</v>
      </c>
      <c r="AK491" s="14">
        <f>IF($AX491="Cancelled","",IFERROR(IF(AJ491="","",IF(AND(AB491="",AF491=""),"",IF(AF491&gt;AB491,AF491+Variables!$B$15+Variables!$B$16+Variables!$B$17-AJ491,AB491+Variables!$B$16+Variables!$B$17-AJ491))),""))</f>
        <v>15</v>
      </c>
      <c r="AL491" s="48" t="s">
        <v>114</v>
      </c>
      <c r="AM491" s="13" t="s">
        <v>115</v>
      </c>
      <c r="AN491" s="13" t="s">
        <v>116</v>
      </c>
      <c r="AP491" s="31">
        <v>45969</v>
      </c>
      <c r="AR491" s="13">
        <v>260945962</v>
      </c>
      <c r="AS491" s="31">
        <v>45969</v>
      </c>
      <c r="AU491" s="31">
        <v>45972</v>
      </c>
      <c r="AV491" s="13" t="s">
        <v>865</v>
      </c>
      <c r="AW491" s="31">
        <v>45972</v>
      </c>
      <c r="AX491" s="13" t="str">
        <f>IF(ISNUMBER(SEARCH("cancel",#REF!)),"Cancelled",IF(AND(AS491&lt;&gt;"",AU491&lt;&gt;"",AW491&lt;&gt;""),"Closed","Open"))</f>
        <v>Closed</v>
      </c>
      <c r="AY491" s="15" t="str">
        <f t="shared" si="22"/>
        <v>All dates received</v>
      </c>
      <c r="BD491" s="13">
        <f>IF($AX491="Cancelled","",IFERROR(IF(OR(AS491="",AJ491=""),"",(AJ491+Variables!$B$18-AS491)),""))</f>
        <v>3</v>
      </c>
      <c r="BE491" s="13">
        <f>IF($AX491="Cancelled","",IFERROR(IF(OR(AW491="",AS491=""),"",(AS491+Variables!$B$19)-AW491),""))</f>
        <v>2</v>
      </c>
      <c r="BF491" s="44">
        <f>IF($AX491="Cancelled","",IFERROR(W491*INDEX(Variables!$B$7:$D$7,IFERROR(MATCH(IF($B491="Robusta","Robusta",(IF($B491="","Arabica",$B491))&amp;" - "&amp;(IF($C491="","Commercial",$C491))),Variables!$B$1:$D$1,0),1))*(BE491/365),""))</f>
        <v>54.890185083010415</v>
      </c>
      <c r="BG491" s="44">
        <f>IF($AX491="Cancelled","",IFERROR((W491*INDEX(Variables!$B$7:$D$7,IFERROR(MATCH(IF($B491="Robusta","Robusta",(IF($B491="","Arabica",$B491))&amp;" - "&amp;(IF($C491="","Commercial",$C491))),Variables!$B$1:$D$1,0),1))*IFERROR(IF(AB491="","",(AVERAGE(E491:F491)-AB491)-Variables!$B$14),"")/365)+(L491/16.67*INDEX(Variables!$B$8:$D$8,IFERROR(MATCH(IF($B491="Robusta","Robusta",(IF($B491="","Arabica",$B491))&amp;" - "&amp;(IF($C491="","Commercial",$C491))),Variables!$B$1:$D$1,0),1))*IFERROR(IF(AB491="","",(AVERAGE(E491:F491)-AB491)-Variables!$B$14),""))+(W491*INDEX(Variables!$B$9:$D$9,IFERROR(MATCH(IF($B491="Robusta","Robusta",(IF($B491="","Arabica",$B491))&amp;" - "&amp;(IF($C491="","Commercial",$C491))),Variables!$B$1:$D$1,0),1))*IFERROR(IF(AB491="","",(AVERAGE(E491:F491)-AB491)-Variables!$B$14),"")/365),""))</f>
        <v>297.69293287314019</v>
      </c>
      <c r="BH491" s="44">
        <f>IF($AX491="Cancelled","",IFERROR((W491*INDEX(Variables!$B$7:$D$7,IFERROR(MATCH(IF($B491="Robusta","Robusta",(IF($B491="","Arabica",$B491))&amp;" - "&amp;(IF($C491="","Commercial",$C491))),Variables!$B$1:$D$1,0),1))*AK491/365)+(L491/16.67*INDEX(Variables!$B$8:$D$8,IFERROR(MATCH(IF($B491="Robusta","Robusta",(IF($B491="","Arabica",$B491))&amp;" - "&amp;(IF($C491="","Commercial",$C491))),Variables!$B$1:$D$1,0),1))*AK491)+(W491*INDEX(Variables!$B$9:$D$9,IFERROR(MATCH(IF($B491="Robusta","Robusta",(IF($B491="","Arabica",$B491))&amp;" - "&amp;(IF($C491="","Commercial",$C491))),Variables!$B$1:$D$1,0),1))*AK491/365),""))</f>
        <v>686.9836912457082</v>
      </c>
      <c r="BI491" s="44">
        <f>IF($AX491="Cancelled","",IFERROR((W491*INDEX(Variables!$B$7:$D$7,IFERROR(MATCH(IF($B491="Robusta","Robusta",(IF($B491="","Arabica",$B491))&amp;" - "&amp;(IF($C491="","Commercial",$C491))),Variables!$B$1:$D$1,0),1))*BD491/365)+(L491/16.67*INDEX(Variables!$B$8:$D$8,IFERROR(MATCH(IF($B491="Robusta","Robusta",(IF($B491="","Arabica",$B491))&amp;" - "&amp;(IF($C491="","Commercial",$C491))),Variables!$B$1:$D$1,0),1))*BD491)+(W491*INDEX(Variables!$B$9:$D$9,IFERROR(MATCH(IF($B491="Robusta","Robusta",(IF($B491="","Arabica",$B491))&amp;" - "&amp;(IF($C491="","Commercial",$C491))),Variables!$B$1:$D$1,0),1))*BD491/365),""))</f>
        <v>137.39673824914166</v>
      </c>
      <c r="BJ491" s="44">
        <f t="shared" si="23"/>
        <v>22</v>
      </c>
      <c r="BK491" s="44">
        <f>IF($AX491="Cancelled","",IFERROR(IF(BJ491="","",(W491*INDEX(Variables!$B$7:$D$7,IFERROR(MATCH(IF($B491="Robusta","Robusta",(IF($B491="","Arabica",$B491))&amp;" - "&amp;(IF($C491="","Commercial",$C491))),Variables!$B$1:$D$1,0),1))*(BJ491/365))+(W491*INDEX(Variables!$B$9:$D$9,IFERROR(MATCH(IF($B491="Robusta","Robusta",(IF($B491="","Arabica",$B491))&amp;" - "&amp;(IF($C491="","Commercial",$C491))),Variables!$B$1:$D$1,0),1))*(BJ491/365))+(INDEX(Variables!$B$8:$D$8,IFERROR(MATCH(IF($B491="Robusta","Robusta",(IF($B491="","Arabica",$B491))&amp;" - "&amp;(IF($C491="","Commercial",$C491))),Variables!$B$1:$D$1,0),1))*L491/16.67)),""))</f>
        <v>629.57608049370538</v>
      </c>
    </row>
    <row r="492" spans="1:63">
      <c r="A492" s="13" t="s">
        <v>103</v>
      </c>
      <c r="B492" s="13" t="s">
        <v>104</v>
      </c>
      <c r="C492" s="13" t="s">
        <v>105</v>
      </c>
      <c r="D492" s="31">
        <v>45916</v>
      </c>
      <c r="E492" s="31">
        <v>45962</v>
      </c>
      <c r="F492" s="31">
        <v>46022</v>
      </c>
      <c r="G492" s="13">
        <v>3786968</v>
      </c>
      <c r="H492" s="13">
        <v>4552621870</v>
      </c>
      <c r="J492" s="13" t="s">
        <v>230</v>
      </c>
      <c r="K492" s="13">
        <v>5346</v>
      </c>
      <c r="L492" s="13">
        <v>2520</v>
      </c>
      <c r="M492" s="13">
        <v>7</v>
      </c>
      <c r="N492" s="13" t="s">
        <v>1422</v>
      </c>
      <c r="O492" s="13" t="s">
        <v>179</v>
      </c>
      <c r="P492" s="13">
        <v>10110</v>
      </c>
      <c r="Q492" s="13" t="s">
        <v>121</v>
      </c>
      <c r="R492" s="13" t="s">
        <v>122</v>
      </c>
      <c r="S492" s="13" t="s">
        <v>154</v>
      </c>
      <c r="T492" s="13" t="s">
        <v>155</v>
      </c>
      <c r="U492" s="13" t="s">
        <v>125</v>
      </c>
      <c r="V492" s="13">
        <v>10</v>
      </c>
      <c r="W492" s="44">
        <f>IF($AX492="Cancelled","",IFERROR(((V492+INDEX(Variables!$B$6:$D$6,IFERROR(MATCH(IF($B492="Robusta","Robusta",(IF($B492="","Arabica",$B492))&amp;" - "&amp;(IF($C492="","Commercial",$C492))),Variables!$B$1:$D$1,0),1)))*22.0462)*(L492/16.67),""))</f>
        <v>1002481.8439832031</v>
      </c>
      <c r="X492" s="55" t="s">
        <v>37</v>
      </c>
      <c r="Y492" s="13" t="str">
        <f>IF($AX492="Cancelled","",IF(X492="","",IFERROR(IF(INDEX(Variables!$B$38:$B$47,MATCH(X492,Variables!$A$38:$A$47,0))="Yes","Yes","No"),"No")))</f>
        <v>Yes</v>
      </c>
      <c r="Z492" s="58">
        <v>45939</v>
      </c>
      <c r="AB492" s="31">
        <v>45946</v>
      </c>
      <c r="AC492" s="13" t="str">
        <f t="shared" si="21"/>
        <v>Approved</v>
      </c>
      <c r="AF492" s="71">
        <v>45971</v>
      </c>
      <c r="AG492" s="37">
        <f>IF($AX492="Cancelled","",IFERROR(IF(F492="","",F492-Variables!$B$13),""))</f>
        <v>46007</v>
      </c>
      <c r="AH492" s="13">
        <f>IF($AX492="Cancelled","",IFERROR(IF(AB492="","",(AVERAGE(E492:F492)-AB492)-Variables!$B$14),""))</f>
        <v>16</v>
      </c>
      <c r="AJ492" s="47">
        <v>45968</v>
      </c>
      <c r="AK492" s="14">
        <f>IF($AX492="Cancelled","",IFERROR(IF(AJ492="","",IF(AND(AB492="",AF492=""),"",IF(AF492&gt;AB492,AF492+Variables!$B$15+Variables!$B$16+Variables!$B$17-AJ492,AB492+Variables!$B$16+Variables!$B$17-AJ492))),""))</f>
        <v>18</v>
      </c>
      <c r="AL492" s="48" t="s">
        <v>114</v>
      </c>
      <c r="AM492" s="13" t="s">
        <v>141</v>
      </c>
      <c r="AN492" s="13" t="s">
        <v>408</v>
      </c>
      <c r="AP492" s="31">
        <v>45993</v>
      </c>
      <c r="AR492" s="13" t="s">
        <v>1423</v>
      </c>
      <c r="AS492" s="31">
        <v>45993</v>
      </c>
      <c r="AU492" s="31">
        <v>45995</v>
      </c>
      <c r="AV492" s="13" t="s">
        <v>865</v>
      </c>
      <c r="AW492" s="31">
        <v>45996</v>
      </c>
      <c r="AX492" s="13" t="str">
        <f>IF(ISNUMBER(SEARCH("cancel",#REF!)),"Cancelled",IF(AND(AS492&lt;&gt;"",AU492&lt;&gt;"",AW492&lt;&gt;""),"Closed","Open"))</f>
        <v>Closed</v>
      </c>
      <c r="AY492" s="15" t="str">
        <f t="shared" si="22"/>
        <v>All dates received</v>
      </c>
      <c r="BD492" s="13">
        <f>IF($AX492="Cancelled","",IFERROR(IF(OR(AS492="",AJ492=""),"",(AJ492+Variables!$B$18-AS492)),""))</f>
        <v>-10</v>
      </c>
      <c r="BE492" s="13">
        <f>IF($AX492="Cancelled","",IFERROR(IF(OR(AW492="",AS492=""),"",(AS492+Variables!$B$19)-AW492),""))</f>
        <v>2</v>
      </c>
      <c r="BF492" s="44">
        <f>IF($AX492="Cancelled","",IFERROR(W492*INDEX(Variables!$B$7:$D$7,IFERROR(MATCH(IF($B492="Robusta","Robusta",(IF($B492="","Arabica",$B492))&amp;" - "&amp;(IF($C492="","Commercial",$C492))),Variables!$B$1:$D$1,0),1))*(BE492/365),""))</f>
        <v>354.20402608270518</v>
      </c>
      <c r="BG492" s="44">
        <f>IF($AX492="Cancelled","",IFERROR((W492*INDEX(Variables!$B$7:$D$7,IFERROR(MATCH(IF($B492="Robusta","Robusta",(IF($B492="","Arabica",$B492))&amp;" - "&amp;(IF($C492="","Commercial",$C492))),Variables!$B$1:$D$1,0),1))*IFERROR(IF(AB492="","",(AVERAGE(E492:F492)-AB492)-Variables!$B$14),"")/365)+(L492/16.67*INDEX(Variables!$B$8:$D$8,IFERROR(MATCH(IF($B492="Robusta","Robusta",(IF($B492="","Arabica",$B492))&amp;" - "&amp;(IF($C492="","Commercial",$C492))),Variables!$B$1:$D$1,0),1))*IFERROR(IF(AB492="","",(AVERAGE(E492:F492)-AB492)-Variables!$B$14),""))+(W492*INDEX(Variables!$B$9:$D$9,IFERROR(MATCH(IF($B492="Robusta","Robusta",(IF($B492="","Arabica",$B492))&amp;" - "&amp;(IF($C492="","Commercial",$C492))),Variables!$B$1:$D$1,0),1))*IFERROR(IF(AB492="","",(AVERAGE(E492:F492)-AB492)-Variables!$B$14),"")/365),""))</f>
        <v>4886.16319636151</v>
      </c>
      <c r="BH492" s="44">
        <f>IF($AX492="Cancelled","",IFERROR((W492*INDEX(Variables!$B$7:$D$7,IFERROR(MATCH(IF($B492="Robusta","Robusta",(IF($B492="","Arabica",$B492))&amp;" - "&amp;(IF($C492="","Commercial",$C492))),Variables!$B$1:$D$1,0),1))*AK492/365)+(L492/16.67*INDEX(Variables!$B$8:$D$8,IFERROR(MATCH(IF($B492="Robusta","Robusta",(IF($B492="","Arabica",$B492))&amp;" - "&amp;(IF($C492="","Commercial",$C492))),Variables!$B$1:$D$1,0),1))*AK492)+(W492*INDEX(Variables!$B$9:$D$9,IFERROR(MATCH(IF($B492="Robusta","Robusta",(IF($B492="","Arabica",$B492))&amp;" - "&amp;(IF($C492="","Commercial",$C492))),Variables!$B$1:$D$1,0),1))*AK492/365),""))</f>
        <v>5496.9335959066984</v>
      </c>
      <c r="BI492" s="44">
        <f>IF($AX492="Cancelled","",IFERROR((W492*INDEX(Variables!$B$7:$D$7,IFERROR(MATCH(IF($B492="Robusta","Robusta",(IF($B492="","Arabica",$B492))&amp;" - "&amp;(IF($C492="","Commercial",$C492))),Variables!$B$1:$D$1,0),1))*BD492/365)+(L492/16.67*INDEX(Variables!$B$8:$D$8,IFERROR(MATCH(IF($B492="Robusta","Robusta",(IF($B492="","Arabica",$B492))&amp;" - "&amp;(IF($C492="","Commercial",$C492))),Variables!$B$1:$D$1,0),1))*BD492)+(W492*INDEX(Variables!$B$9:$D$9,IFERROR(MATCH(IF($B492="Robusta","Robusta",(IF($B492="","Arabica",$B492))&amp;" - "&amp;(IF($C492="","Commercial",$C492))),Variables!$B$1:$D$1,0),1))*BD492/365),""))</f>
        <v>-3053.8519977259434</v>
      </c>
      <c r="BJ492" s="44">
        <f t="shared" si="23"/>
        <v>29</v>
      </c>
      <c r="BK492" s="44">
        <f>IF($AX492="Cancelled","",IFERROR(IF(BJ492="","",(W492*INDEX(Variables!$B$7:$D$7,IFERROR(MATCH(IF($B492="Robusta","Robusta",(IF($B492="","Arabica",$B492))&amp;" - "&amp;(IF($C492="","Commercial",$C492))),Variables!$B$1:$D$1,0),1))*(BJ492/365))+(W492*INDEX(Variables!$B$9:$D$9,IFERROR(MATCH(IF($B492="Robusta","Robusta",(IF($B492="","Arabica",$B492))&amp;" - "&amp;(IF($C492="","Commercial",$C492))),Variables!$B$1:$D$1,0),1))*(BJ492/365))+(INDEX(Variables!$B$8:$D$8,IFERROR(MATCH(IF($B492="Robusta","Robusta",(IF($B492="","Arabica",$B492))&amp;" - "&amp;(IF($C492="","Commercial",$C492))),Variables!$B$1:$D$1,0),1))*L492/16.67)),""))</f>
        <v>5328.1707934052365</v>
      </c>
    </row>
    <row r="493" spans="1:63">
      <c r="A493" s="13" t="s">
        <v>103</v>
      </c>
      <c r="B493" s="13" t="s">
        <v>104</v>
      </c>
      <c r="C493" s="13" t="s">
        <v>105</v>
      </c>
      <c r="D493" s="31">
        <v>45918</v>
      </c>
      <c r="E493" s="31">
        <v>45931</v>
      </c>
      <c r="F493" s="31">
        <v>45961</v>
      </c>
      <c r="G493" s="13">
        <v>3786969</v>
      </c>
      <c r="H493" s="13" t="s">
        <v>1424</v>
      </c>
      <c r="J493" s="13" t="s">
        <v>325</v>
      </c>
      <c r="K493" s="13">
        <v>5342</v>
      </c>
      <c r="L493" s="13">
        <v>1280</v>
      </c>
      <c r="M493" s="13">
        <v>4</v>
      </c>
      <c r="N493" s="13" t="s">
        <v>1425</v>
      </c>
      <c r="O493" s="13" t="s">
        <v>179</v>
      </c>
      <c r="P493" s="13">
        <v>10110</v>
      </c>
      <c r="R493" s="13" t="s">
        <v>110</v>
      </c>
      <c r="S493" s="13" t="s">
        <v>553</v>
      </c>
      <c r="T493" s="13" t="s">
        <v>112</v>
      </c>
      <c r="U493" s="13" t="s">
        <v>113</v>
      </c>
      <c r="V493" s="13">
        <v>-6</v>
      </c>
      <c r="W493" s="44">
        <f>IF($AX493="Cancelled","",IFERROR(((V493+INDEX(Variables!$B$6:$D$6,IFERROR(MATCH(IF($B493="Robusta","Robusta",(IF($B493="","Arabica",$B493))&amp;" - "&amp;(IF($C493="","Commercial",$C493))),Variables!$B$1:$D$1,0),1)))*22.0462)*(L493/16.67),""))</f>
        <v>482112.17353329324</v>
      </c>
      <c r="X493" s="55" t="s">
        <v>43</v>
      </c>
      <c r="Y493" s="13" t="str">
        <f>IF($AX493="Cancelled","",IF(X493="","",IFERROR(IF(INDEX(Variables!$B$38:$B$47,MATCH(X493,Variables!$A$38:$A$47,0))="Yes","Yes","No"),"No")))</f>
        <v>Yes</v>
      </c>
      <c r="Z493" s="58">
        <v>45922</v>
      </c>
      <c r="AB493" s="31">
        <v>45929</v>
      </c>
      <c r="AC493" s="13" t="str">
        <f t="shared" si="21"/>
        <v>Approved</v>
      </c>
      <c r="AF493" s="71">
        <v>45968</v>
      </c>
      <c r="AG493" s="37">
        <f>IF($AX493="Cancelled","",IFERROR(IF(F493="","",F493-Variables!$B$13),""))</f>
        <v>45946</v>
      </c>
      <c r="AH493" s="13">
        <f>IF($AX493="Cancelled","",IFERROR(IF(AB493="","",(AVERAGE(E493:F493)-AB493)-Variables!$B$14),""))</f>
        <v>-13</v>
      </c>
      <c r="AJ493" s="47">
        <v>45967</v>
      </c>
      <c r="AK493" s="14">
        <f>IF($AX493="Cancelled","",IFERROR(IF(AJ493="","",IF(AND(AB493="",AF493=""),"",IF(AF493&gt;AB493,AF493+Variables!$B$15+Variables!$B$16+Variables!$B$17-AJ493,AB493+Variables!$B$16+Variables!$B$17-AJ493))),""))</f>
        <v>16</v>
      </c>
      <c r="AL493" s="48" t="s">
        <v>114</v>
      </c>
      <c r="AM493" s="13" t="s">
        <v>134</v>
      </c>
      <c r="AN493" s="13" t="s">
        <v>643</v>
      </c>
      <c r="AP493" s="31">
        <v>45989</v>
      </c>
      <c r="AR493" s="13" t="s">
        <v>1426</v>
      </c>
      <c r="AS493" s="31">
        <v>45989</v>
      </c>
      <c r="AU493" s="31">
        <v>45992</v>
      </c>
      <c r="AV493" s="13" t="s">
        <v>865</v>
      </c>
      <c r="AW493" s="31">
        <v>45992</v>
      </c>
      <c r="AX493" s="13" t="str">
        <f>IF(ISNUMBER(SEARCH("cancel",#REF!)),"Cancelled",IF(AND(AS493&lt;&gt;"",AU493&lt;&gt;"",AW493&lt;&gt;""),"Closed","Open"))</f>
        <v>Closed</v>
      </c>
      <c r="AY493" s="15" t="str">
        <f t="shared" si="22"/>
        <v>All dates received</v>
      </c>
      <c r="BD493" s="13">
        <f>IF($AX493="Cancelled","",IFERROR(IF(OR(AS493="",AJ493=""),"",(AJ493+Variables!$B$18-AS493)),""))</f>
        <v>-7</v>
      </c>
      <c r="BE493" s="13">
        <f>IF($AX493="Cancelled","",IFERROR(IF(OR(AW493="",AS493=""),"",(AS493+Variables!$B$19)-AW493),""))</f>
        <v>2</v>
      </c>
      <c r="BF493" s="44">
        <f>IF($AX493="Cancelled","",IFERROR(W493*INDEX(Variables!$B$7:$D$7,IFERROR(MATCH(IF($B493="Robusta","Robusta",(IF($B493="","Arabica",$B493))&amp;" - "&amp;(IF($C493="","Commercial",$C493))),Variables!$B$1:$D$1,0),1))*(BE493/365),""))</f>
        <v>170.34330737648506</v>
      </c>
      <c r="BG493" s="44">
        <f>IF($AX493="Cancelled","",IFERROR((W493*INDEX(Variables!$B$7:$D$7,IFERROR(MATCH(IF($B493="Robusta","Robusta",(IF($B493="","Arabica",$B493))&amp;" - "&amp;(IF($C493="","Commercial",$C493))),Variables!$B$1:$D$1,0),1))*IFERROR(IF(AB493="","",(AVERAGE(E493:F493)-AB493)-Variables!$B$14),"")/365)+(L493/16.67*INDEX(Variables!$B$8:$D$8,IFERROR(MATCH(IF($B493="Robusta","Robusta",(IF($B493="","Arabica",$B493))&amp;" - "&amp;(IF($C493="","Commercial",$C493))),Variables!$B$1:$D$1,0),1))*IFERROR(IF(AB493="","",(AVERAGE(E493:F493)-AB493)-Variables!$B$14),""))+(W493*INDEX(Variables!$B$9:$D$9,IFERROR(MATCH(IF($B493="Robusta","Robusta",(IF($B493="","Arabica",$B493))&amp;" - "&amp;(IF($C493="","Commercial",$C493))),Variables!$B$1:$D$1,0),1))*IFERROR(IF(AB493="","",(AVERAGE(E493:F493)-AB493)-Variables!$B$14),"")/365),""))</f>
        <v>-1953.505848764021</v>
      </c>
      <c r="BH493" s="44">
        <f>IF($AX493="Cancelled","",IFERROR((W493*INDEX(Variables!$B$7:$D$7,IFERROR(MATCH(IF($B493="Robusta","Robusta",(IF($B493="","Arabica",$B493))&amp;" - "&amp;(IF($C493="","Commercial",$C493))),Variables!$B$1:$D$1,0),1))*AK493/365)+(L493/16.67*INDEX(Variables!$B$8:$D$8,IFERROR(MATCH(IF($B493="Robusta","Robusta",(IF($B493="","Arabica",$B493))&amp;" - "&amp;(IF($C493="","Commercial",$C493))),Variables!$B$1:$D$1,0),1))*AK493)+(W493*INDEX(Variables!$B$9:$D$9,IFERROR(MATCH(IF($B493="Robusta","Robusta",(IF($B493="","Arabica",$B493))&amp;" - "&amp;(IF($C493="","Commercial",$C493))),Variables!$B$1:$D$1,0),1))*AK493/365),""))</f>
        <v>2404.3148907864879</v>
      </c>
      <c r="BI493" s="44">
        <f>IF($AX493="Cancelled","",IFERROR((W493*INDEX(Variables!$B$7:$D$7,IFERROR(MATCH(IF($B493="Robusta","Robusta",(IF($B493="","Arabica",$B493))&amp;" - "&amp;(IF($C493="","Commercial",$C493))),Variables!$B$1:$D$1,0),1))*BD493/365)+(L493/16.67*INDEX(Variables!$B$8:$D$8,IFERROR(MATCH(IF($B493="Robusta","Robusta",(IF($B493="","Arabica",$B493))&amp;" - "&amp;(IF($C493="","Commercial",$C493))),Variables!$B$1:$D$1,0),1))*BD493)+(W493*INDEX(Variables!$B$9:$D$9,IFERROR(MATCH(IF($B493="Robusta","Robusta",(IF($B493="","Arabica",$B493))&amp;" - "&amp;(IF($C493="","Commercial",$C493))),Variables!$B$1:$D$1,0),1))*BD493/365),""))</f>
        <v>-1051.8877647190882</v>
      </c>
      <c r="BJ493" s="44">
        <f t="shared" si="23"/>
        <v>-28</v>
      </c>
      <c r="BK493" s="44">
        <f>IF($AX493="Cancelled","",IFERROR(IF(BJ493="","",(W493*INDEX(Variables!$B$7:$D$7,IFERROR(MATCH(IF($B493="Robusta","Robusta",(IF($B493="","Arabica",$B493))&amp;" - "&amp;(IF($C493="","Commercial",$C493))),Variables!$B$1:$D$1,0),1))*(BJ493/365))+(W493*INDEX(Variables!$B$9:$D$9,IFERROR(MATCH(IF($B493="Robusta","Robusta",(IF($B493="","Arabica",$B493))&amp;" - "&amp;(IF($C493="","Commercial",$C493))),Variables!$B$1:$D$1,0),1))*(BJ493/365))+(INDEX(Variables!$B$8:$D$8,IFERROR(MATCH(IF($B493="Robusta","Robusta",(IF($B493="","Arabica",$B493))&amp;" - "&amp;(IF($C493="","Commercial",$C493))),Variables!$B$1:$D$1,0),1))*L493/16.67)),""))</f>
        <v>-2351.5510588763536</v>
      </c>
    </row>
    <row r="494" spans="1:63">
      <c r="A494" s="13" t="s">
        <v>103</v>
      </c>
      <c r="B494" s="13" t="s">
        <v>104</v>
      </c>
      <c r="C494" s="13" t="s">
        <v>105</v>
      </c>
      <c r="D494" s="31">
        <v>45918</v>
      </c>
      <c r="E494" s="31">
        <v>45931</v>
      </c>
      <c r="F494" s="31">
        <v>45961</v>
      </c>
      <c r="G494" s="13">
        <v>3786970</v>
      </c>
      <c r="H494" s="13" t="s">
        <v>1427</v>
      </c>
      <c r="J494" s="13" t="s">
        <v>325</v>
      </c>
      <c r="K494" s="13">
        <v>5343</v>
      </c>
      <c r="L494" s="13">
        <v>640</v>
      </c>
      <c r="M494" s="13">
        <v>2</v>
      </c>
      <c r="N494" s="13" t="s">
        <v>1428</v>
      </c>
      <c r="O494" s="13" t="s">
        <v>179</v>
      </c>
      <c r="P494" s="13">
        <v>10110</v>
      </c>
      <c r="R494" s="13" t="s">
        <v>110</v>
      </c>
      <c r="S494" s="13" t="s">
        <v>553</v>
      </c>
      <c r="T494" s="13" t="s">
        <v>112</v>
      </c>
      <c r="U494" s="13" t="s">
        <v>113</v>
      </c>
      <c r="V494" s="13">
        <v>-1</v>
      </c>
      <c r="W494" s="44">
        <f>IF($AX494="Cancelled","",IFERROR(((V494+INDEX(Variables!$B$6:$D$6,IFERROR(MATCH(IF($B494="Robusta","Robusta",(IF($B494="","Arabica",$B494))&amp;" - "&amp;(IF($C494="","Commercial",$C494))),Variables!$B$1:$D$1,0),1)))*22.0462)*(L494/16.67),""))</f>
        <v>245288.11076184761</v>
      </c>
      <c r="X494" s="55" t="s">
        <v>43</v>
      </c>
      <c r="Y494" s="13" t="str">
        <f>IF($AX494="Cancelled","",IF(X494="","",IFERROR(IF(INDEX(Variables!$B$38:$B$47,MATCH(X494,Variables!$A$38:$A$47,0))="Yes","Yes","No"),"No")))</f>
        <v>Yes</v>
      </c>
      <c r="Z494" s="58">
        <v>45922</v>
      </c>
      <c r="AB494" s="31">
        <v>45929</v>
      </c>
      <c r="AC494" s="13" t="str">
        <f t="shared" si="21"/>
        <v>Approved</v>
      </c>
      <c r="AF494" s="71">
        <v>45968</v>
      </c>
      <c r="AG494" s="37">
        <f>IF($AX494="Cancelled","",IFERROR(IF(F494="","",F494-Variables!$B$13),""))</f>
        <v>45946</v>
      </c>
      <c r="AH494" s="13">
        <f>IF($AX494="Cancelled","",IFERROR(IF(AB494="","",(AVERAGE(E494:F494)-AB494)-Variables!$B$14),""))</f>
        <v>-13</v>
      </c>
      <c r="AJ494" s="47">
        <v>45967</v>
      </c>
      <c r="AK494" s="14">
        <f>IF($AX494="Cancelled","",IFERROR(IF(AJ494="","",IF(AND(AB494="",AF494=""),"",IF(AF494&gt;AB494,AF494+Variables!$B$15+Variables!$B$16+Variables!$B$17-AJ494,AB494+Variables!$B$16+Variables!$B$17-AJ494))),""))</f>
        <v>16</v>
      </c>
      <c r="AL494" s="48" t="s">
        <v>114</v>
      </c>
      <c r="AM494" s="13" t="s">
        <v>134</v>
      </c>
      <c r="AN494" s="13" t="s">
        <v>643</v>
      </c>
      <c r="AP494" s="31">
        <v>45989</v>
      </c>
      <c r="AR494" s="13" t="s">
        <v>1429</v>
      </c>
      <c r="AS494" s="31">
        <v>45989</v>
      </c>
      <c r="AU494" s="31">
        <v>45992</v>
      </c>
      <c r="AV494" s="13" t="s">
        <v>865</v>
      </c>
      <c r="AW494" s="31">
        <v>45992</v>
      </c>
      <c r="AX494" s="13" t="str">
        <f>IF(ISNUMBER(SEARCH("cancel",#REF!)),"Cancelled",IF(AND(AS494&lt;&gt;"",AU494&lt;&gt;"",AW494&lt;&gt;""),"Closed","Open"))</f>
        <v>Closed</v>
      </c>
      <c r="AY494" s="15" t="str">
        <f t="shared" si="22"/>
        <v>All dates received</v>
      </c>
      <c r="BD494" s="13">
        <f>IF($AX494="Cancelled","",IFERROR(IF(OR(AS494="",AJ494=""),"",(AJ494+Variables!$B$18-AS494)),""))</f>
        <v>-7</v>
      </c>
      <c r="BE494" s="13">
        <f>IF($AX494="Cancelled","",IFERROR(IF(OR(AW494="",AS494=""),"",(AS494+Variables!$B$19)-AW494),""))</f>
        <v>2</v>
      </c>
      <c r="BF494" s="44">
        <f>IF($AX494="Cancelled","",IFERROR(W494*INDEX(Variables!$B$7:$D$7,IFERROR(MATCH(IF($B494="Robusta","Robusta",(IF($B494="","Arabica",$B494))&amp;" - "&amp;(IF($C494="","Commercial",$C494))),Variables!$B$1:$D$1,0),1))*(BE494/365),""))</f>
        <v>86.666942552151284</v>
      </c>
      <c r="BG494" s="44">
        <f>IF($AX494="Cancelled","",IFERROR((W494*INDEX(Variables!$B$7:$D$7,IFERROR(MATCH(IF($B494="Robusta","Robusta",(IF($B494="","Arabica",$B494))&amp;" - "&amp;(IF($C494="","Commercial",$C494))),Variables!$B$1:$D$1,0),1))*IFERROR(IF(AB494="","",(AVERAGE(E494:F494)-AB494)-Variables!$B$14),"")/365)+(L494/16.67*INDEX(Variables!$B$8:$D$8,IFERROR(MATCH(IF($B494="Robusta","Robusta",(IF($B494="","Arabica",$B494))&amp;" - "&amp;(IF($C494="","Commercial",$C494))),Variables!$B$1:$D$1,0),1))*IFERROR(IF(AB494="","",(AVERAGE(E494:F494)-AB494)-Variables!$B$14),""))+(W494*INDEX(Variables!$B$9:$D$9,IFERROR(MATCH(IF($B494="Robusta","Robusta",(IF($B494="","Arabica",$B494))&amp;" - "&amp;(IF($C494="","Commercial",$C494))),Variables!$B$1:$D$1,0),1))*IFERROR(IF(AB494="","",(AVERAGE(E494:F494)-AB494)-Variables!$B$14),"")/365),""))</f>
        <v>-986.59760353197578</v>
      </c>
      <c r="BH494" s="44">
        <f>IF($AX494="Cancelled","",IFERROR((W494*INDEX(Variables!$B$7:$D$7,IFERROR(MATCH(IF($B494="Robusta","Robusta",(IF($B494="","Arabica",$B494))&amp;" - "&amp;(IF($C494="","Commercial",$C494))),Variables!$B$1:$D$1,0),1))*AK494/365)+(L494/16.67*INDEX(Variables!$B$8:$D$8,IFERROR(MATCH(IF($B494="Robusta","Robusta",(IF($B494="","Arabica",$B494))&amp;" - "&amp;(IF($C494="","Commercial",$C494))),Variables!$B$1:$D$1,0),1))*AK494)+(W494*INDEX(Variables!$B$9:$D$9,IFERROR(MATCH(IF($B494="Robusta","Robusta",(IF($B494="","Arabica",$B494))&amp;" - "&amp;(IF($C494="","Commercial",$C494))),Variables!$B$1:$D$1,0),1))*AK494/365),""))</f>
        <v>1214.2739735778162</v>
      </c>
      <c r="BI494" s="44">
        <f>IF($AX494="Cancelled","",IFERROR((W494*INDEX(Variables!$B$7:$D$7,IFERROR(MATCH(IF($B494="Robusta","Robusta",(IF($B494="","Arabica",$B494))&amp;" - "&amp;(IF($C494="","Commercial",$C494))),Variables!$B$1:$D$1,0),1))*BD494/365)+(L494/16.67*INDEX(Variables!$B$8:$D$8,IFERROR(MATCH(IF($B494="Robusta","Robusta",(IF($B494="","Arabica",$B494))&amp;" - "&amp;(IF($C494="","Commercial",$C494))),Variables!$B$1:$D$1,0),1))*BD494)+(W494*INDEX(Variables!$B$9:$D$9,IFERROR(MATCH(IF($B494="Robusta","Robusta",(IF($B494="","Arabica",$B494))&amp;" - "&amp;(IF($C494="","Commercial",$C494))),Variables!$B$1:$D$1,0),1))*BD494/365),""))</f>
        <v>-531.24486344029458</v>
      </c>
      <c r="BJ494" s="44">
        <f t="shared" si="23"/>
        <v>-28</v>
      </c>
      <c r="BK494" s="44">
        <f>IF($AX494="Cancelled","",IFERROR(IF(BJ494="","",(W494*INDEX(Variables!$B$7:$D$7,IFERROR(MATCH(IF($B494="Robusta","Robusta",(IF($B494="","Arabica",$B494))&amp;" - "&amp;(IF($C494="","Commercial",$C494))),Variables!$B$1:$D$1,0),1))*(BJ494/365))+(W494*INDEX(Variables!$B$9:$D$9,IFERROR(MATCH(IF($B494="Robusta","Robusta",(IF($B494="","Arabica",$B494))&amp;" - "&amp;(IF($C494="","Commercial",$C494))),Variables!$B$1:$D$1,0),1))*(BJ494/365))+(INDEX(Variables!$B$8:$D$8,IFERROR(MATCH(IF($B494="Robusta","Robusta",(IF($B494="","Arabica",$B494))&amp;" - "&amp;(IF($C494="","Commercial",$C494))),Variables!$B$1:$D$1,0),1))*L494/16.67)),""))</f>
        <v>-1196.9794537611785</v>
      </c>
    </row>
    <row r="495" spans="1:63">
      <c r="A495" s="13" t="s">
        <v>103</v>
      </c>
      <c r="B495" s="13" t="s">
        <v>104</v>
      </c>
      <c r="C495" s="13" t="s">
        <v>105</v>
      </c>
      <c r="D495" s="31">
        <v>45932</v>
      </c>
      <c r="E495" s="31">
        <v>45992</v>
      </c>
      <c r="F495" s="31">
        <v>46022</v>
      </c>
      <c r="G495" s="13">
        <v>3786971</v>
      </c>
      <c r="H495" s="13">
        <v>4552863994</v>
      </c>
      <c r="J495" s="13" t="s">
        <v>230</v>
      </c>
      <c r="K495" s="13">
        <v>5349</v>
      </c>
      <c r="L495" s="13">
        <v>1440</v>
      </c>
      <c r="M495" s="13">
        <v>4</v>
      </c>
      <c r="N495" s="13" t="s">
        <v>1430</v>
      </c>
      <c r="O495" s="13" t="s">
        <v>179</v>
      </c>
      <c r="P495" s="13">
        <v>10110</v>
      </c>
      <c r="R495" s="13" t="s">
        <v>122</v>
      </c>
      <c r="S495" s="13" t="s">
        <v>154</v>
      </c>
      <c r="T495" s="13" t="s">
        <v>155</v>
      </c>
      <c r="U495" s="13" t="s">
        <v>125</v>
      </c>
      <c r="V495" s="13">
        <v>11</v>
      </c>
      <c r="W495" s="44">
        <f>IF($AX495="Cancelled","",IFERROR(((V495+INDEX(Variables!$B$6:$D$6,IFERROR(MATCH(IF($B495="Robusta","Robusta",(IF($B495="","Arabica",$B495))&amp;" - "&amp;(IF($C495="","Commercial",$C495))),Variables!$B$1:$D$1,0),1)))*22.0462)*(L495/16.67),""))</f>
        <v>574751.1787882424</v>
      </c>
      <c r="X495" s="55" t="s">
        <v>37</v>
      </c>
      <c r="Y495" s="13" t="str">
        <f>IF($AX495="Cancelled","",IF(X495="","",IFERROR(IF(INDEX(Variables!$B$38:$B$47,MATCH(X495,Variables!$A$38:$A$47,0))="Yes","Yes","No"),"No")))</f>
        <v>Yes</v>
      </c>
      <c r="Z495" s="58">
        <v>45953</v>
      </c>
      <c r="AB495" s="31">
        <v>45961</v>
      </c>
      <c r="AC495" s="13" t="str">
        <f t="shared" si="21"/>
        <v>Approved</v>
      </c>
      <c r="AF495" s="71">
        <v>45974</v>
      </c>
      <c r="AG495" s="37">
        <f>IF($AX495="Cancelled","",IFERROR(IF(F495="","",F495-Variables!$B$13),""))</f>
        <v>46007</v>
      </c>
      <c r="AH495" s="13">
        <f>IF($AX495="Cancelled","",IFERROR(IF(AB495="","",(AVERAGE(E495:F495)-AB495)-Variables!$B$14),""))</f>
        <v>16</v>
      </c>
      <c r="AJ495" s="47">
        <v>45974</v>
      </c>
      <c r="AK495" s="14">
        <f>IF($AX495="Cancelled","",IFERROR(IF(AJ495="","",IF(AND(AB495="",AF495=""),"",IF(AF495&gt;AB495,AF495+Variables!$B$15+Variables!$B$16+Variables!$B$17-AJ495,AB495+Variables!$B$16+Variables!$B$17-AJ495))),""))</f>
        <v>15</v>
      </c>
      <c r="AL495" s="48" t="s">
        <v>114</v>
      </c>
      <c r="AM495" s="13" t="s">
        <v>141</v>
      </c>
      <c r="AN495" s="13" t="s">
        <v>408</v>
      </c>
      <c r="AP495" s="31">
        <v>45993</v>
      </c>
      <c r="AR495" s="13" t="s">
        <v>1431</v>
      </c>
      <c r="AS495" s="31">
        <v>45993</v>
      </c>
      <c r="AU495" s="31">
        <v>45995</v>
      </c>
      <c r="AV495" s="13" t="s">
        <v>865</v>
      </c>
      <c r="AW495" s="31">
        <v>45996</v>
      </c>
      <c r="AX495" s="13" t="str">
        <f>IF(ISNUMBER(SEARCH("cancel",#REF!)),"Cancelled",IF(AND(AS495&lt;&gt;"",AU495&lt;&gt;"",AW495&lt;&gt;""),"Closed","Open"))</f>
        <v>Closed</v>
      </c>
      <c r="AY495" s="15" t="str">
        <f t="shared" si="22"/>
        <v>All dates received</v>
      </c>
      <c r="BD495" s="13">
        <f>IF($AX495="Cancelled","",IFERROR(IF(OR(AS495="",AJ495=""),"",(AJ495+Variables!$B$18-AS495)),""))</f>
        <v>-4</v>
      </c>
      <c r="BE495" s="13">
        <f>IF($AX495="Cancelled","",IFERROR(IF(OR(AW495="",AS495=""),"",(AS495+Variables!$B$19)-AW495),""))</f>
        <v>2</v>
      </c>
      <c r="BF495" s="44">
        <f>IF($AX495="Cancelled","",IFERROR(W495*INDEX(Variables!$B$7:$D$7,IFERROR(MATCH(IF($B495="Robusta","Robusta",(IF($B495="","Arabica",$B495))&amp;" - "&amp;(IF($C495="","Commercial",$C495))),Variables!$B$1:$D$1,0),1))*(BE495/365),""))</f>
        <v>203.07518060744772</v>
      </c>
      <c r="BG495" s="44">
        <f>IF($AX495="Cancelled","",IFERROR((W495*INDEX(Variables!$B$7:$D$7,IFERROR(MATCH(IF($B495="Robusta","Robusta",(IF($B495="","Arabica",$B495))&amp;" - "&amp;(IF($C495="","Commercial",$C495))),Variables!$B$1:$D$1,0),1))*IFERROR(IF(AB495="","",(AVERAGE(E495:F495)-AB495)-Variables!$B$14),"")/365)+(L495/16.67*INDEX(Variables!$B$8:$D$8,IFERROR(MATCH(IF($B495="Robusta","Robusta",(IF($B495="","Arabica",$B495))&amp;" - "&amp;(IF($C495="","Commercial",$C495))),Variables!$B$1:$D$1,0),1))*IFERROR(IF(AB495="","",(AVERAGE(E495:F495)-AB495)-Variables!$B$14),""))+(W495*INDEX(Variables!$B$9:$D$9,IFERROR(MATCH(IF($B495="Robusta","Robusta",(IF($B495="","Arabica",$B495))&amp;" - "&amp;(IF($C495="","Commercial",$C495))),Variables!$B$1:$D$1,0),1))*IFERROR(IF(AB495="","",(AVERAGE(E495:F495)-AB495)-Variables!$B$14),"")/365),""))</f>
        <v>2797.5456927467785</v>
      </c>
      <c r="BH495" s="44">
        <f>IF($AX495="Cancelled","",IFERROR((W495*INDEX(Variables!$B$7:$D$7,IFERROR(MATCH(IF($B495="Robusta","Robusta",(IF($B495="","Arabica",$B495))&amp;" - "&amp;(IF($C495="","Commercial",$C495))),Variables!$B$1:$D$1,0),1))*AK495/365)+(L495/16.67*INDEX(Variables!$B$8:$D$8,IFERROR(MATCH(IF($B495="Robusta","Robusta",(IF($B495="","Arabica",$B495))&amp;" - "&amp;(IF($C495="","Commercial",$C495))),Variables!$B$1:$D$1,0),1))*AK495)+(W495*INDEX(Variables!$B$9:$D$9,IFERROR(MATCH(IF($B495="Robusta","Robusta",(IF($B495="","Arabica",$B495))&amp;" - "&amp;(IF($C495="","Commercial",$C495))),Variables!$B$1:$D$1,0),1))*AK495/365),""))</f>
        <v>2622.6990869501042</v>
      </c>
      <c r="BI495" s="44">
        <f>IF($AX495="Cancelled","",IFERROR((W495*INDEX(Variables!$B$7:$D$7,IFERROR(MATCH(IF($B495="Robusta","Robusta",(IF($B495="","Arabica",$B495))&amp;" - "&amp;(IF($C495="","Commercial",$C495))),Variables!$B$1:$D$1,0),1))*BD495/365)+(L495/16.67*INDEX(Variables!$B$8:$D$8,IFERROR(MATCH(IF($B495="Robusta","Robusta",(IF($B495="","Arabica",$B495))&amp;" - "&amp;(IF($C495="","Commercial",$C495))),Variables!$B$1:$D$1,0),1))*BD495)+(W495*INDEX(Variables!$B$9:$D$9,IFERROR(MATCH(IF($B495="Robusta","Robusta",(IF($B495="","Arabica",$B495))&amp;" - "&amp;(IF($C495="","Commercial",$C495))),Variables!$B$1:$D$1,0),1))*BD495/365),""))</f>
        <v>-699.38642318669463</v>
      </c>
      <c r="BJ495" s="44">
        <f t="shared" si="23"/>
        <v>29</v>
      </c>
      <c r="BK495" s="44">
        <f>IF($AX495="Cancelled","",IFERROR(IF(BJ495="","",(W495*INDEX(Variables!$B$7:$D$7,IFERROR(MATCH(IF($B495="Robusta","Robusta",(IF($B495="","Arabica",$B495))&amp;" - "&amp;(IF($C495="","Commercial",$C495))),Variables!$B$1:$D$1,0),1))*(BJ495/365))+(W495*INDEX(Variables!$B$9:$D$9,IFERROR(MATCH(IF($B495="Robusta","Robusta",(IF($B495="","Arabica",$B495))&amp;" - "&amp;(IF($C495="","Commercial",$C495))),Variables!$B$1:$D$1,0),1))*(BJ495/365))+(INDEX(Variables!$B$8:$D$8,IFERROR(MATCH(IF($B495="Robusta","Robusta",(IF($B495="","Arabica",$B495))&amp;" - "&amp;(IF($C495="","Commercial",$C495))),Variables!$B$1:$D$1,0),1))*L495/16.67)),""))</f>
        <v>3054.5515681035354</v>
      </c>
    </row>
    <row r="496" spans="1:63">
      <c r="A496" s="13" t="s">
        <v>103</v>
      </c>
      <c r="B496" s="13" t="s">
        <v>104</v>
      </c>
      <c r="C496" s="13" t="s">
        <v>105</v>
      </c>
      <c r="D496" s="31">
        <v>45938</v>
      </c>
      <c r="E496" s="31">
        <v>45992</v>
      </c>
      <c r="F496" s="31">
        <v>46022</v>
      </c>
      <c r="G496" s="13">
        <v>3786972</v>
      </c>
      <c r="H496" s="13" t="s">
        <v>1432</v>
      </c>
      <c r="J496" s="13" t="s">
        <v>611</v>
      </c>
      <c r="K496" s="13">
        <v>5350</v>
      </c>
      <c r="L496" s="13">
        <v>320</v>
      </c>
      <c r="M496" s="13">
        <v>1</v>
      </c>
      <c r="N496" s="13" t="s">
        <v>1433</v>
      </c>
      <c r="O496" s="13" t="s">
        <v>120</v>
      </c>
      <c r="P496" s="13">
        <v>10070</v>
      </c>
      <c r="R496" s="13" t="s">
        <v>252</v>
      </c>
      <c r="S496" s="13" t="s">
        <v>553</v>
      </c>
      <c r="T496" s="13" t="s">
        <v>112</v>
      </c>
      <c r="U496" s="13" t="s">
        <v>113</v>
      </c>
      <c r="V496" s="13">
        <v>40</v>
      </c>
      <c r="W496" s="44">
        <f>IF($AX496="Cancelled","",IFERROR(((V496+INDEX(Variables!$B$6:$D$6,IFERROR(MATCH(IF($B496="Robusta","Robusta",(IF($B496="","Arabica",$B496))&amp;" - "&amp;(IF($C496="","Commercial",$C496))),Variables!$B$1:$D$1,0),1)))*22.0462)*(L496/16.67),""))</f>
        <v>139995.35376124774</v>
      </c>
      <c r="X496" s="55" t="s">
        <v>37</v>
      </c>
      <c r="Y496" s="13" t="str">
        <f>IF($AX496="Cancelled","",IF(X496="","",IFERROR(IF(INDEX(Variables!$B$38:$B$47,MATCH(X496,Variables!$A$38:$A$47,0))="Yes","Yes","No"),"No")))</f>
        <v>Yes</v>
      </c>
      <c r="Z496" s="58">
        <v>45953</v>
      </c>
      <c r="AB496" s="31">
        <v>45964</v>
      </c>
      <c r="AC496" s="13" t="str">
        <f t="shared" si="21"/>
        <v>Approved</v>
      </c>
      <c r="AF496" s="71">
        <v>45974</v>
      </c>
      <c r="AG496" s="37">
        <f>IF($AX496="Cancelled","",IFERROR(IF(F496="","",F496-Variables!$B$13),""))</f>
        <v>46007</v>
      </c>
      <c r="AH496" s="13">
        <f>IF($AX496="Cancelled","",IFERROR(IF(AB496="","",(AVERAGE(E496:F496)-AB496)-Variables!$B$14),""))</f>
        <v>13</v>
      </c>
      <c r="AJ496" s="47">
        <v>45974</v>
      </c>
      <c r="AK496" s="14">
        <f>IF($AX496="Cancelled","",IFERROR(IF(AJ496="","",IF(AND(AB496="",AF496=""),"",IF(AF496&gt;AB496,AF496+Variables!$B$15+Variables!$B$16+Variables!$B$17-AJ496,AB496+Variables!$B$16+Variables!$B$17-AJ496))),""))</f>
        <v>15</v>
      </c>
      <c r="AL496" s="48" t="s">
        <v>114</v>
      </c>
      <c r="AM496" s="13" t="s">
        <v>613</v>
      </c>
      <c r="AN496" s="13" t="s">
        <v>1434</v>
      </c>
      <c r="AP496" s="31">
        <v>45987</v>
      </c>
      <c r="AR496" s="13" t="s">
        <v>1435</v>
      </c>
      <c r="AS496" s="31">
        <v>45987</v>
      </c>
      <c r="AU496" s="31">
        <v>45988</v>
      </c>
      <c r="AV496" s="13" t="s">
        <v>865</v>
      </c>
      <c r="AW496" s="31">
        <v>45993</v>
      </c>
      <c r="AX496" s="13" t="str">
        <f>IF(ISNUMBER(SEARCH("cancel",#REF!)),"Cancelled",IF(AND(AS496&lt;&gt;"",AU496&lt;&gt;"",AW496&lt;&gt;""),"Closed","Open"))</f>
        <v>Closed</v>
      </c>
      <c r="AY496" s="15" t="str">
        <f t="shared" si="22"/>
        <v>All dates received</v>
      </c>
      <c r="BD496" s="13">
        <f>IF($AX496="Cancelled","",IFERROR(IF(OR(AS496="",AJ496=""),"",(AJ496+Variables!$B$18-AS496)),""))</f>
        <v>2</v>
      </c>
      <c r="BE496" s="13">
        <f>IF($AX496="Cancelled","",IFERROR(IF(OR(AW496="",AS496=""),"",(AS496+Variables!$B$19)-AW496),""))</f>
        <v>-1</v>
      </c>
      <c r="BF496" s="44">
        <f>IF($AX496="Cancelled","",IFERROR(W496*INDEX(Variables!$B$7:$D$7,IFERROR(MATCH(IF($B496="Robusta","Robusta",(IF($B496="","Arabica",$B496))&amp;" - "&amp;(IF($C496="","Commercial",$C496))),Variables!$B$1:$D$1,0),1))*(BE496/365),""))</f>
        <v>-24.732077809050764</v>
      </c>
      <c r="BG496" s="44">
        <f>IF($AX496="Cancelled","",IFERROR((W496*INDEX(Variables!$B$7:$D$7,IFERROR(MATCH(IF($B496="Robusta","Robusta",(IF($B496="","Arabica",$B496))&amp;" - "&amp;(IF($C496="","Commercial",$C496))),Variables!$B$1:$D$1,0),1))*IFERROR(IF(AB496="","",(AVERAGE(E496:F496)-AB496)-Variables!$B$14),"")/365)+(L496/16.67*INDEX(Variables!$B$8:$D$8,IFERROR(MATCH(IF($B496="Robusta","Robusta",(IF($B496="","Arabica",$B496))&amp;" - "&amp;(IF($C496="","Commercial",$C496))),Variables!$B$1:$D$1,0),1))*IFERROR(IF(AB496="","",(AVERAGE(E496:F496)-AB496)-Variables!$B$14),""))+(W496*INDEX(Variables!$B$9:$D$9,IFERROR(MATCH(IF($B496="Robusta","Robusta",(IF($B496="","Arabica",$B496))&amp;" - "&amp;(IF($C496="","Commercial",$C496))),Variables!$B$1:$D$1,0),1))*IFERROR(IF(AB496="","",(AVERAGE(E496:F496)-AB496)-Variables!$B$14),"")/365),""))</f>
        <v>533.66198628084476</v>
      </c>
      <c r="BH496" s="44">
        <f>IF($AX496="Cancelled","",IFERROR((W496*INDEX(Variables!$B$7:$D$7,IFERROR(MATCH(IF($B496="Robusta","Robusta",(IF($B496="","Arabica",$B496))&amp;" - "&amp;(IF($C496="","Commercial",$C496))),Variables!$B$1:$D$1,0),1))*AK496/365)+(L496/16.67*INDEX(Variables!$B$8:$D$8,IFERROR(MATCH(IF($B496="Robusta","Robusta",(IF($B496="","Arabica",$B496))&amp;" - "&amp;(IF($C496="","Commercial",$C496))),Variables!$B$1:$D$1,0),1))*AK496)+(W496*INDEX(Variables!$B$9:$D$9,IFERROR(MATCH(IF($B496="Robusta","Robusta",(IF($B496="","Arabica",$B496))&amp;" - "&amp;(IF($C496="","Commercial",$C496))),Variables!$B$1:$D$1,0),1))*AK496/365),""))</f>
        <v>615.76383032405147</v>
      </c>
      <c r="BI496" s="44">
        <f>IF($AX496="Cancelled","",IFERROR((W496*INDEX(Variables!$B$7:$D$7,IFERROR(MATCH(IF($B496="Robusta","Robusta",(IF($B496="","Arabica",$B496))&amp;" - "&amp;(IF($C496="","Commercial",$C496))),Variables!$B$1:$D$1,0),1))*BD496/365)+(L496/16.67*INDEX(Variables!$B$8:$D$8,IFERROR(MATCH(IF($B496="Robusta","Robusta",(IF($B496="","Arabica",$B496))&amp;" - "&amp;(IF($C496="","Commercial",$C496))),Variables!$B$1:$D$1,0),1))*BD496)+(W496*INDEX(Variables!$B$9:$D$9,IFERROR(MATCH(IF($B496="Robusta","Robusta",(IF($B496="","Arabica",$B496))&amp;" - "&amp;(IF($C496="","Commercial",$C496))),Variables!$B$1:$D$1,0),1))*BD496/365),""))</f>
        <v>82.101844043206867</v>
      </c>
      <c r="BJ496" s="44">
        <f t="shared" si="23"/>
        <v>35</v>
      </c>
      <c r="BK496" s="44">
        <f>IF($AX496="Cancelled","",IFERROR(IF(BJ496="","",(W496*INDEX(Variables!$B$7:$D$7,IFERROR(MATCH(IF($B496="Robusta","Robusta",(IF($B496="","Arabica",$B496))&amp;" - "&amp;(IF($C496="","Commercial",$C496))),Variables!$B$1:$D$1,0),1))*(BJ496/365))+(W496*INDEX(Variables!$B$9:$D$9,IFERROR(MATCH(IF($B496="Robusta","Robusta",(IF($B496="","Arabica",$B496))&amp;" - "&amp;(IF($C496="","Commercial",$C496))),Variables!$B$1:$D$1,0),1))*(BJ496/365))+(INDEX(Variables!$B$8:$D$8,IFERROR(MATCH(IF($B496="Robusta","Robusta",(IF($B496="","Arabica",$B496))&amp;" - "&amp;(IF($C496="","Commercial",$C496))),Variables!$B$1:$D$1,0),1))*L496/16.67)),""))</f>
        <v>892.78227075612028</v>
      </c>
    </row>
    <row r="497" spans="1:63">
      <c r="A497" s="13" t="s">
        <v>103</v>
      </c>
      <c r="B497" s="13" t="s">
        <v>104</v>
      </c>
      <c r="C497" s="13" t="s">
        <v>105</v>
      </c>
      <c r="D497" s="31">
        <v>45939</v>
      </c>
      <c r="E497" s="31">
        <v>46023</v>
      </c>
      <c r="F497" s="31">
        <v>46053</v>
      </c>
      <c r="G497" s="13">
        <v>3786973</v>
      </c>
      <c r="H497" s="13">
        <v>95310</v>
      </c>
      <c r="J497" s="13" t="s">
        <v>118</v>
      </c>
      <c r="K497" s="13">
        <v>5369</v>
      </c>
      <c r="L497" s="13">
        <v>333</v>
      </c>
      <c r="M497" s="13">
        <v>1</v>
      </c>
      <c r="N497" s="13" t="s">
        <v>1436</v>
      </c>
      <c r="O497" s="13" t="s">
        <v>1372</v>
      </c>
      <c r="P497" s="13">
        <v>10040</v>
      </c>
      <c r="Q497" s="13" t="s">
        <v>121</v>
      </c>
      <c r="R497" s="13" t="s">
        <v>271</v>
      </c>
      <c r="S497" s="13" t="s">
        <v>154</v>
      </c>
      <c r="T497" s="13" t="s">
        <v>155</v>
      </c>
      <c r="U497" s="13" t="s">
        <v>125</v>
      </c>
      <c r="V497" s="13">
        <v>47</v>
      </c>
      <c r="W497" s="44">
        <f>IF($AX497="Cancelled","",IFERROR(((V497+INDEX(Variables!$B$6:$D$6,IFERROR(MATCH(IF($B497="Robusta","Robusta",(IF($B497="","Arabica",$B497))&amp;" - "&amp;(IF($C497="","Commercial",$C497))),Variables!$B$1:$D$1,0),1)))*22.0462)*(L497/16.67),""))</f>
        <v>148765.42998680263</v>
      </c>
      <c r="X497" s="55" t="s">
        <v>37</v>
      </c>
      <c r="Y497" s="13" t="str">
        <f>IF($AX497="Cancelled","",IF(X497="","",IFERROR(IF(INDEX(Variables!$B$38:$B$47,MATCH(X497,Variables!$A$38:$A$47,0))="Yes","Yes","No"),"No")))</f>
        <v>Yes</v>
      </c>
      <c r="Z497" s="58">
        <v>45989</v>
      </c>
      <c r="AB497" s="31">
        <v>45995</v>
      </c>
      <c r="AC497" s="13" t="str">
        <f t="shared" si="21"/>
        <v>Approved</v>
      </c>
      <c r="AF497" s="71">
        <v>46027</v>
      </c>
      <c r="AG497" s="37">
        <f>IF($AX497="Cancelled","",IFERROR(IF(F497="","",F497-Variables!$B$13),""))</f>
        <v>46038</v>
      </c>
      <c r="AH497" s="13">
        <f>IF($AX497="Cancelled","",IFERROR(IF(AB497="","",(AVERAGE(E497:F497)-AB497)-Variables!$B$14),""))</f>
        <v>13</v>
      </c>
      <c r="AJ497" s="47">
        <v>46037</v>
      </c>
      <c r="AK497" s="14">
        <f>IF($AX497="Cancelled","",IFERROR(IF(AJ497="","",IF(AND(AB497="",AF497=""),"",IF(AF497&gt;AB497,AF497+Variables!$B$15+Variables!$B$16+Variables!$B$17-AJ497,AB497+Variables!$B$16+Variables!$B$17-AJ497))),""))</f>
        <v>5</v>
      </c>
      <c r="AL497" s="48" t="s">
        <v>114</v>
      </c>
      <c r="AM497" s="13" t="s">
        <v>115</v>
      </c>
      <c r="AN497" s="13" t="s">
        <v>1437</v>
      </c>
      <c r="AP497" s="31">
        <v>46045</v>
      </c>
      <c r="AR497" s="13">
        <v>265161587</v>
      </c>
      <c r="AS497" s="31">
        <v>46045</v>
      </c>
      <c r="AU497" s="31">
        <v>46057</v>
      </c>
      <c r="AV497" s="13" t="s">
        <v>865</v>
      </c>
      <c r="AW497" s="31">
        <v>46064</v>
      </c>
      <c r="AX497" s="13" t="str">
        <f>IF(ISNUMBER(SEARCH("cancel",#REF!)),"Cancelled",IF(AND(AS497&lt;&gt;"",AU497&lt;&gt;"",AW497&lt;&gt;""),"Closed","Open"))</f>
        <v>Closed</v>
      </c>
      <c r="AY497" s="15" t="str">
        <f t="shared" si="22"/>
        <v>All dates received</v>
      </c>
      <c r="BD497" s="13">
        <f>IF($AX497="Cancelled","",IFERROR(IF(OR(AS497="",AJ497=""),"",(AJ497+Variables!$B$18-AS497)),""))</f>
        <v>7</v>
      </c>
      <c r="BE497" s="13">
        <f>IF($AX497="Cancelled","",IFERROR(IF(OR(AW497="",AS497=""),"",(AS497+Variables!$B$19)-AW497),""))</f>
        <v>-14</v>
      </c>
      <c r="BF497" s="44">
        <f>IF($AX497="Cancelled","",IFERROR(W497*INDEX(Variables!$B$7:$D$7,IFERROR(MATCH(IF($B497="Robusta","Robusta",(IF($B497="","Arabica",$B497))&amp;" - "&amp;(IF($C497="","Commercial",$C497))),Variables!$B$1:$D$1,0),1))*(BE497/365),""))</f>
        <v>-367.94002995323308</v>
      </c>
      <c r="BG497" s="44">
        <f>IF($AX497="Cancelled","",IFERROR((W497*INDEX(Variables!$B$7:$D$7,IFERROR(MATCH(IF($B497="Robusta","Robusta",(IF($B497="","Arabica",$B497))&amp;" - "&amp;(IF($C497="","Commercial",$C497))),Variables!$B$1:$D$1,0),1))*IFERROR(IF(AB497="","",(AVERAGE(E497:F497)-AB497)-Variables!$B$14),"")/365)+(L497/16.67*INDEX(Variables!$B$8:$D$8,IFERROR(MATCH(IF($B497="Robusta","Robusta",(IF($B497="","Arabica",$B497))&amp;" - "&amp;(IF($C497="","Commercial",$C497))),Variables!$B$1:$D$1,0),1))*IFERROR(IF(AB497="","",(AVERAGE(E497:F497)-AB497)-Variables!$B$14),""))+(W497*INDEX(Variables!$B$9:$D$9,IFERROR(MATCH(IF($B497="Robusta","Robusta",(IF($B497="","Arabica",$B497))&amp;" - "&amp;(IF($C497="","Commercial",$C497))),Variables!$B$1:$D$1,0),1))*IFERROR(IF(AB497="","",(AVERAGE(E497:F497)-AB497)-Variables!$B$14),"")/365),""))</f>
        <v>562.51323794180666</v>
      </c>
      <c r="BH497" s="44">
        <f>IF($AX497="Cancelled","",IFERROR((W497*INDEX(Variables!$B$7:$D$7,IFERROR(MATCH(IF($B497="Robusta","Robusta",(IF($B497="","Arabica",$B497))&amp;" - "&amp;(IF($C497="","Commercial",$C497))),Variables!$B$1:$D$1,0),1))*AK497/365)+(L497/16.67*INDEX(Variables!$B$8:$D$8,IFERROR(MATCH(IF($B497="Robusta","Robusta",(IF($B497="","Arabica",$B497))&amp;" - "&amp;(IF($C497="","Commercial",$C497))),Variables!$B$1:$D$1,0),1))*AK497)+(W497*INDEX(Variables!$B$9:$D$9,IFERROR(MATCH(IF($B497="Robusta","Robusta",(IF($B497="","Arabica",$B497))&amp;" - "&amp;(IF($C497="","Commercial",$C497))),Variables!$B$1:$D$1,0),1))*AK497/365),""))</f>
        <v>216.35124536223336</v>
      </c>
      <c r="BI497" s="44">
        <f>IF($AX497="Cancelled","",IFERROR((W497*INDEX(Variables!$B$7:$D$7,IFERROR(MATCH(IF($B497="Robusta","Robusta",(IF($B497="","Arabica",$B497))&amp;" - "&amp;(IF($C497="","Commercial",$C497))),Variables!$B$1:$D$1,0),1))*BD497/365)+(L497/16.67*INDEX(Variables!$B$8:$D$8,IFERROR(MATCH(IF($B497="Robusta","Robusta",(IF($B497="","Arabica",$B497))&amp;" - "&amp;(IF($C497="","Commercial",$C497))),Variables!$B$1:$D$1,0),1))*BD497)+(W497*INDEX(Variables!$B$9:$D$9,IFERROR(MATCH(IF($B497="Robusta","Robusta",(IF($B497="","Arabica",$B497))&amp;" - "&amp;(IF($C497="","Commercial",$C497))),Variables!$B$1:$D$1,0),1))*BD497/365),""))</f>
        <v>302.89174350712671</v>
      </c>
      <c r="BJ497" s="44">
        <f t="shared" si="23"/>
        <v>8</v>
      </c>
      <c r="BK497" s="44">
        <f>IF($AX497="Cancelled","",IFERROR(IF(BJ497="","",(W497*INDEX(Variables!$B$7:$D$7,IFERROR(MATCH(IF($B497="Robusta","Robusta",(IF($B497="","Arabica",$B497))&amp;" - "&amp;(IF($C497="","Commercial",$C497))),Variables!$B$1:$D$1,0),1))*(BJ497/365))+(W497*INDEX(Variables!$B$9:$D$9,IFERROR(MATCH(IF($B497="Robusta","Robusta",(IF($B497="","Arabica",$B497))&amp;" - "&amp;(IF($C497="","Commercial",$C497))),Variables!$B$1:$D$1,0),1))*(BJ497/365))+(INDEX(Variables!$B$8:$D$8,IFERROR(MATCH(IF($B497="Robusta","Robusta",(IF($B497="","Arabica",$B497))&amp;" - "&amp;(IF($C497="","Commercial",$C497))),Variables!$B$1:$D$1,0),1))*L497/16.67)),""))</f>
        <v>229.61199257957335</v>
      </c>
    </row>
    <row r="498" spans="1:63">
      <c r="A498" s="13" t="s">
        <v>103</v>
      </c>
      <c r="B498" s="13" t="s">
        <v>104</v>
      </c>
      <c r="C498" s="13" t="s">
        <v>105</v>
      </c>
      <c r="D498" s="31">
        <v>45939</v>
      </c>
      <c r="E498" s="31">
        <v>45962</v>
      </c>
      <c r="F498" s="31">
        <v>45991</v>
      </c>
      <c r="G498" s="13">
        <v>3786974</v>
      </c>
      <c r="H498" s="13">
        <v>95309</v>
      </c>
      <c r="J498" s="13" t="s">
        <v>118</v>
      </c>
      <c r="K498" s="13">
        <v>5347</v>
      </c>
      <c r="L498" s="13">
        <v>1440</v>
      </c>
      <c r="M498" s="13">
        <v>4</v>
      </c>
      <c r="N498" s="13" t="s">
        <v>1438</v>
      </c>
      <c r="O498" s="13" t="s">
        <v>153</v>
      </c>
      <c r="P498" s="13">
        <v>10110</v>
      </c>
      <c r="R498" s="13" t="s">
        <v>122</v>
      </c>
      <c r="S498" s="13" t="s">
        <v>1439</v>
      </c>
      <c r="T498" s="13" t="s">
        <v>1440</v>
      </c>
      <c r="U498" s="13" t="s">
        <v>125</v>
      </c>
      <c r="V498" s="13">
        <v>15</v>
      </c>
      <c r="W498" s="44">
        <f>IF($AX498="Cancelled","",IFERROR(((V498+INDEX(Variables!$B$6:$D$6,IFERROR(MATCH(IF($B498="Robusta","Robusta",(IF($B498="","Arabica",$B498))&amp;" - "&amp;(IF($C498="","Commercial",$C498))),Variables!$B$1:$D$1,0),1)))*22.0462)*(L498/16.67),""))</f>
        <v>582368.82197960408</v>
      </c>
      <c r="X498" s="55" t="s">
        <v>37</v>
      </c>
      <c r="Y498" s="13" t="str">
        <f>IF($AX498="Cancelled","",IF(X498="","",IFERROR(IF(INDEX(Variables!$B$38:$B$47,MATCH(X498,Variables!$A$38:$A$47,0))="Yes","Yes","No"),"No")))</f>
        <v>Yes</v>
      </c>
      <c r="Z498" s="58">
        <v>45944</v>
      </c>
      <c r="AB498" s="31">
        <v>45945.875</v>
      </c>
      <c r="AC498" s="13" t="str">
        <f t="shared" si="21"/>
        <v>Approved</v>
      </c>
      <c r="AF498" s="71">
        <v>45961</v>
      </c>
      <c r="AG498" s="37">
        <f>IF($AX498="Cancelled","",IFERROR(IF(F498="","",F498-Variables!$B$13),""))</f>
        <v>45976</v>
      </c>
      <c r="AH498" s="13">
        <f>IF($AX498="Cancelled","",IFERROR(IF(AB498="","",(AVERAGE(E498:F498)-AB498)-Variables!$B$14),""))</f>
        <v>0.625</v>
      </c>
      <c r="AJ498" s="47">
        <v>45961</v>
      </c>
      <c r="AK498" s="14">
        <f>IF($AX498="Cancelled","",IFERROR(IF(AJ498="","",IF(AND(AB498="",AF498=""),"",IF(AF498&gt;AB498,AF498+Variables!$B$15+Variables!$B$16+Variables!$B$17-AJ498,AB498+Variables!$B$16+Variables!$B$17-AJ498))),""))</f>
        <v>15</v>
      </c>
      <c r="AL498" s="48" t="s">
        <v>114</v>
      </c>
      <c r="AM498" s="13" t="s">
        <v>168</v>
      </c>
      <c r="AN498" s="13" t="s">
        <v>1096</v>
      </c>
      <c r="AP498" s="31">
        <v>45978</v>
      </c>
      <c r="AR498" s="13" t="s">
        <v>1441</v>
      </c>
      <c r="AS498" s="31">
        <v>45978</v>
      </c>
      <c r="AU498" s="31">
        <v>45979</v>
      </c>
      <c r="AV498" s="13" t="s">
        <v>865</v>
      </c>
      <c r="AW498" s="31">
        <v>46014</v>
      </c>
      <c r="AX498" s="13" t="str">
        <f>IF(ISNUMBER(SEARCH("cancel",#REF!)),"Cancelled",IF(AND(AS498&lt;&gt;"",AU498&lt;&gt;"",AW498&lt;&gt;""),"Closed","Open"))</f>
        <v>Closed</v>
      </c>
      <c r="AY498" s="15" t="str">
        <f t="shared" si="22"/>
        <v>All dates received</v>
      </c>
      <c r="BD498" s="13">
        <f>IF($AX498="Cancelled","",IFERROR(IF(OR(AS498="",AJ498=""),"",(AJ498+Variables!$B$18-AS498)),""))</f>
        <v>-2</v>
      </c>
      <c r="BE498" s="13">
        <f>IF($AX498="Cancelled","",IFERROR(IF(OR(AW498="",AS498=""),"",(AS498+Variables!$B$19)-AW498),""))</f>
        <v>-31</v>
      </c>
      <c r="BF498" s="44">
        <f>IF($AX498="Cancelled","",IFERROR(W498*INDEX(Variables!$B$7:$D$7,IFERROR(MATCH(IF($B498="Robusta","Robusta",(IF($B498="","Arabica",$B498))&amp;" - "&amp;(IF($C498="","Commercial",$C498))),Variables!$B$1:$D$1,0),1))*(BE498/365),""))</f>
        <v>-3189.3838587184937</v>
      </c>
      <c r="BG498" s="44">
        <f>IF($AX498="Cancelled","",IFERROR((W498*INDEX(Variables!$B$7:$D$7,IFERROR(MATCH(IF($B498="Robusta","Robusta",(IF($B498="","Arabica",$B498))&amp;" - "&amp;(IF($C498="","Commercial",$C498))),Variables!$B$1:$D$1,0),1))*IFERROR(IF(AB498="","",(AVERAGE(E498:F498)-AB498)-Variables!$B$14),"")/365)+(L498/16.67*INDEX(Variables!$B$8:$D$8,IFERROR(MATCH(IF($B498="Robusta","Robusta",(IF($B498="","Arabica",$B498))&amp;" - "&amp;(IF($C498="","Commercial",$C498))),Variables!$B$1:$D$1,0),1))*IFERROR(IF(AB498="","",(AVERAGE(E498:F498)-AB498)-Variables!$B$14),""))+(W498*INDEX(Variables!$B$9:$D$9,IFERROR(MATCH(IF($B498="Robusta","Robusta",(IF($B498="","Arabica",$B498))&amp;" - "&amp;(IF($C498="","Commercial",$C498))),Variables!$B$1:$D$1,0),1))*IFERROR(IF(AB498="","",(AVERAGE(E498:F498)-AB498)-Variables!$B$14),"")/365),""))</f>
        <v>110.13107201089878</v>
      </c>
      <c r="BH498" s="44">
        <f>IF($AX498="Cancelled","",IFERROR((W498*INDEX(Variables!$B$7:$D$7,IFERROR(MATCH(IF($B498="Robusta","Robusta",(IF($B498="","Arabica",$B498))&amp;" - "&amp;(IF($C498="","Commercial",$C498))),Variables!$B$1:$D$1,0),1))*AK498/365)+(L498/16.67*INDEX(Variables!$B$8:$D$8,IFERROR(MATCH(IF($B498="Robusta","Robusta",(IF($B498="","Arabica",$B498))&amp;" - "&amp;(IF($C498="","Commercial",$C498))),Variables!$B$1:$D$1,0),1))*AK498)+(W498*INDEX(Variables!$B$9:$D$9,IFERROR(MATCH(IF($B498="Robusta","Robusta",(IF($B498="","Arabica",$B498))&amp;" - "&amp;(IF($C498="","Commercial",$C498))),Variables!$B$1:$D$1,0),1))*AK498/365),""))</f>
        <v>2643.1457282615706</v>
      </c>
      <c r="BI498" s="44">
        <f>IF($AX498="Cancelled","",IFERROR((W498*INDEX(Variables!$B$7:$D$7,IFERROR(MATCH(IF($B498="Robusta","Robusta",(IF($B498="","Arabica",$B498))&amp;" - "&amp;(IF($C498="","Commercial",$C498))),Variables!$B$1:$D$1,0),1))*BD498/365)+(L498/16.67*INDEX(Variables!$B$8:$D$8,IFERROR(MATCH(IF($B498="Robusta","Robusta",(IF($B498="","Arabica",$B498))&amp;" - "&amp;(IF($C498="","Commercial",$C498))),Variables!$B$1:$D$1,0),1))*BD498)+(W498*INDEX(Variables!$B$9:$D$9,IFERROR(MATCH(IF($B498="Robusta","Robusta",(IF($B498="","Arabica",$B498))&amp;" - "&amp;(IF($C498="","Commercial",$C498))),Variables!$B$1:$D$1,0),1))*BD498/365),""))</f>
        <v>-352.41943043487606</v>
      </c>
      <c r="BJ498" s="44">
        <f t="shared" si="23"/>
        <v>13</v>
      </c>
      <c r="BK498" s="44">
        <f>IF($AX498="Cancelled","",IFERROR(IF(BJ498="","",(W498*INDEX(Variables!$B$7:$D$7,IFERROR(MATCH(IF($B498="Robusta","Robusta",(IF($B498="","Arabica",$B498))&amp;" - "&amp;(IF($C498="","Commercial",$C498))),Variables!$B$1:$D$1,0),1))*(BJ498/365))+(W498*INDEX(Variables!$B$9:$D$9,IFERROR(MATCH(IF($B498="Robusta","Robusta",(IF($B498="","Arabica",$B498))&amp;" - "&amp;(IF($C498="","Commercial",$C498))),Variables!$B$1:$D$1,0),1))*(BJ498/365))+(INDEX(Variables!$B$8:$D$8,IFERROR(MATCH(IF($B498="Robusta","Robusta",(IF($B498="","Arabica",$B498))&amp;" - "&amp;(IF($C498="","Commercial",$C498))),Variables!$B$1:$D$1,0),1))*L498/16.67)),""))</f>
        <v>1426.7262978266942</v>
      </c>
    </row>
    <row r="499" spans="1:63">
      <c r="A499" s="13" t="s">
        <v>103</v>
      </c>
      <c r="B499" s="13" t="s">
        <v>104</v>
      </c>
      <c r="C499" s="13" t="s">
        <v>105</v>
      </c>
      <c r="D499" s="31">
        <v>45946</v>
      </c>
      <c r="E499" s="31">
        <v>45992</v>
      </c>
      <c r="F499" s="31">
        <v>46022</v>
      </c>
      <c r="G499" s="13">
        <v>3786975</v>
      </c>
      <c r="H499" s="13">
        <v>95461</v>
      </c>
      <c r="J499" s="13" t="s">
        <v>118</v>
      </c>
      <c r="K499" s="13">
        <v>5352</v>
      </c>
      <c r="L499" s="13">
        <v>3600</v>
      </c>
      <c r="M499" s="13">
        <v>10</v>
      </c>
      <c r="N499" s="13" t="s">
        <v>1442</v>
      </c>
      <c r="O499" s="13" t="s">
        <v>332</v>
      </c>
      <c r="P499" s="13">
        <v>10120</v>
      </c>
      <c r="Q499" s="13" t="s">
        <v>121</v>
      </c>
      <c r="R499" s="13" t="s">
        <v>122</v>
      </c>
      <c r="S499" s="13" t="s">
        <v>167</v>
      </c>
      <c r="T499" s="13" t="s">
        <v>155</v>
      </c>
      <c r="U499" s="13" t="s">
        <v>125</v>
      </c>
      <c r="V499" s="13">
        <v>-17.5</v>
      </c>
      <c r="W499" s="44">
        <f>IF($AX499="Cancelled","",IFERROR(((V499+INDEX(Variables!$B$6:$D$6,IFERROR(MATCH(IF($B499="Robusta","Robusta",(IF($B499="","Arabica",$B499))&amp;" - "&amp;(IF($C499="","Commercial",$C499))),Variables!$B$1:$D$1,0),1)))*22.0462)*(L499/16.67),""))</f>
        <v>1301188.677624475</v>
      </c>
      <c r="X499" s="55" t="s">
        <v>37</v>
      </c>
      <c r="Y499" s="13" t="str">
        <f>IF($AX499="Cancelled","",IF(X499="","",IFERROR(IF(INDEX(Variables!$B$38:$B$47,MATCH(X499,Variables!$A$38:$A$47,0))="Yes","Yes","No"),"No")))</f>
        <v>Yes</v>
      </c>
      <c r="Z499" s="58">
        <v>45972</v>
      </c>
      <c r="AB499" s="31">
        <v>45976.875</v>
      </c>
      <c r="AC499" s="13" t="str">
        <f t="shared" si="21"/>
        <v>Approved</v>
      </c>
      <c r="AF499" s="71">
        <v>45987</v>
      </c>
      <c r="AG499" s="37">
        <f>IF($AX499="Cancelled","",IFERROR(IF(F499="","",F499-Variables!$B$13),""))</f>
        <v>46007</v>
      </c>
      <c r="AH499" s="13">
        <f>IF($AX499="Cancelled","",IFERROR(IF(AB499="","",(AVERAGE(E499:F499)-AB499)-Variables!$B$14),""))</f>
        <v>0.125</v>
      </c>
      <c r="AJ499" s="47">
        <v>45986</v>
      </c>
      <c r="AK499" s="14">
        <f>IF($AX499="Cancelled","",IFERROR(IF(AJ499="","",IF(AND(AB499="",AF499=""),"",IF(AF499&gt;AB499,AF499+Variables!$B$15+Variables!$B$16+Variables!$B$17-AJ499,AB499+Variables!$B$16+Variables!$B$17-AJ499))),""))</f>
        <v>16</v>
      </c>
      <c r="AL499" s="48" t="s">
        <v>114</v>
      </c>
      <c r="AM499" s="13" t="s">
        <v>115</v>
      </c>
      <c r="AN499" s="13" t="s">
        <v>1443</v>
      </c>
      <c r="AP499" s="31">
        <v>45997</v>
      </c>
      <c r="AR499" s="13">
        <v>262190339</v>
      </c>
      <c r="AS499" s="31">
        <v>45997</v>
      </c>
      <c r="AU499" s="31">
        <v>45999</v>
      </c>
      <c r="AV499" s="13" t="s">
        <v>865</v>
      </c>
      <c r="AW499" s="31">
        <v>45999</v>
      </c>
      <c r="AX499" s="13" t="str">
        <f>IF(ISNUMBER(SEARCH("cancel",#REF!)),"Cancelled",IF(AND(AS499&lt;&gt;"",AU499&lt;&gt;"",AW499&lt;&gt;""),"Closed","Open"))</f>
        <v>Closed</v>
      </c>
      <c r="AY499" s="15" t="str">
        <f t="shared" si="22"/>
        <v>All dates received</v>
      </c>
      <c r="BD499" s="13">
        <f>IF($AX499="Cancelled","",IFERROR(IF(OR(AS499="",AJ499=""),"",(AJ499+Variables!$B$18-AS499)),""))</f>
        <v>4</v>
      </c>
      <c r="BE499" s="13">
        <f>IF($AX499="Cancelled","",IFERROR(IF(OR(AW499="",AS499=""),"",(AS499+Variables!$B$19)-AW499),""))</f>
        <v>3</v>
      </c>
      <c r="BF499" s="44">
        <f>IF($AX499="Cancelled","",IFERROR(W499*INDEX(Variables!$B$7:$D$7,IFERROR(MATCH(IF($B499="Robusta","Robusta",(IF($B499="","Arabica",$B499))&amp;" - "&amp;(IF($C499="","Commercial",$C499))),Variables!$B$1:$D$1,0),1))*(BE499/365),""))</f>
        <v>689.61787847931714</v>
      </c>
      <c r="BG499" s="44">
        <f>IF($AX499="Cancelled","",IFERROR((W499*INDEX(Variables!$B$7:$D$7,IFERROR(MATCH(IF($B499="Robusta","Robusta",(IF($B499="","Arabica",$B499))&amp;" - "&amp;(IF($C499="","Commercial",$C499))),Variables!$B$1:$D$1,0),1))*IFERROR(IF(AB499="","",(AVERAGE(E499:F499)-AB499)-Variables!$B$14),"")/365)+(L499/16.67*INDEX(Variables!$B$8:$D$8,IFERROR(MATCH(IF($B499="Robusta","Robusta",(IF($B499="","Arabica",$B499))&amp;" - "&amp;(IF($C499="","Commercial",$C499))),Variables!$B$1:$D$1,0),1))*IFERROR(IF(AB499="","",(AVERAGE(E499:F499)-AB499)-Variables!$B$14),""))+(W499*INDEX(Variables!$B$9:$D$9,IFERROR(MATCH(IF($B499="Robusta","Robusta",(IF($B499="","Arabica",$B499))&amp;" - "&amp;(IF($C499="","Commercial",$C499))),Variables!$B$1:$D$1,0),1))*IFERROR(IF(AB499="","",(AVERAGE(E499:F499)-AB499)-Variables!$B$14),"")/365),""))</f>
        <v>51.604515991789775</v>
      </c>
      <c r="BH499" s="44">
        <f>IF($AX499="Cancelled","",IFERROR((W499*INDEX(Variables!$B$7:$D$7,IFERROR(MATCH(IF($B499="Robusta","Robusta",(IF($B499="","Arabica",$B499))&amp;" - "&amp;(IF($C499="","Commercial",$C499))),Variables!$B$1:$D$1,0),1))*AK499/365)+(L499/16.67*INDEX(Variables!$B$8:$D$8,IFERROR(MATCH(IF($B499="Robusta","Robusta",(IF($B499="","Arabica",$B499))&amp;" - "&amp;(IF($C499="","Commercial",$C499))),Variables!$B$1:$D$1,0),1))*AK499)+(W499*INDEX(Variables!$B$9:$D$9,IFERROR(MATCH(IF($B499="Robusta","Robusta",(IF($B499="","Arabica",$B499))&amp;" - "&amp;(IF($C499="","Commercial",$C499))),Variables!$B$1:$D$1,0),1))*AK499/365),""))</f>
        <v>6605.3780469490912</v>
      </c>
      <c r="BI499" s="44">
        <f>IF($AX499="Cancelled","",IFERROR((W499*INDEX(Variables!$B$7:$D$7,IFERROR(MATCH(IF($B499="Robusta","Robusta",(IF($B499="","Arabica",$B499))&amp;" - "&amp;(IF($C499="","Commercial",$C499))),Variables!$B$1:$D$1,0),1))*BD499/365)+(L499/16.67*INDEX(Variables!$B$8:$D$8,IFERROR(MATCH(IF($B499="Robusta","Robusta",(IF($B499="","Arabica",$B499))&amp;" - "&amp;(IF($C499="","Commercial",$C499))),Variables!$B$1:$D$1,0),1))*BD499)+(W499*INDEX(Variables!$B$9:$D$9,IFERROR(MATCH(IF($B499="Robusta","Robusta",(IF($B499="","Arabica",$B499))&amp;" - "&amp;(IF($C499="","Commercial",$C499))),Variables!$B$1:$D$1,0),1))*BD499/365),""))</f>
        <v>1651.3445117372728</v>
      </c>
      <c r="BJ499" s="44">
        <f t="shared" si="23"/>
        <v>25</v>
      </c>
      <c r="BK499" s="44">
        <f>IF($AX499="Cancelled","",IFERROR(IF(BJ499="","",(W499*INDEX(Variables!$B$7:$D$7,IFERROR(MATCH(IF($B499="Robusta","Robusta",(IF($B499="","Arabica",$B499))&amp;" - "&amp;(IF($C499="","Commercial",$C499))),Variables!$B$1:$D$1,0),1))*(BJ499/365))+(W499*INDEX(Variables!$B$9:$D$9,IFERROR(MATCH(IF($B499="Robusta","Robusta",(IF($B499="","Arabica",$B499))&amp;" - "&amp;(IF($C499="","Commercial",$C499))),Variables!$B$1:$D$1,0),1))*(BJ499/365))+(INDEX(Variables!$B$8:$D$8,IFERROR(MATCH(IF($B499="Robusta","Robusta",(IF($B499="","Arabica",$B499))&amp;" - "&amp;(IF($C499="","Commercial",$C499))),Variables!$B$1:$D$1,0),1))*L499/16.67)),""))</f>
        <v>6000.9031983579553</v>
      </c>
    </row>
    <row r="500" spans="1:63">
      <c r="A500" s="13" t="s">
        <v>103</v>
      </c>
      <c r="B500" s="13" t="s">
        <v>104</v>
      </c>
      <c r="C500" s="13" t="s">
        <v>105</v>
      </c>
      <c r="D500" s="31">
        <v>45946</v>
      </c>
      <c r="E500" s="31">
        <v>46023</v>
      </c>
      <c r="F500" s="31">
        <v>46053</v>
      </c>
      <c r="G500" s="13">
        <v>3786976</v>
      </c>
      <c r="H500" s="13">
        <v>95463</v>
      </c>
      <c r="J500" s="13" t="s">
        <v>118</v>
      </c>
      <c r="K500" s="13" t="s">
        <v>1444</v>
      </c>
      <c r="L500" s="13">
        <v>1080</v>
      </c>
      <c r="M500" s="13">
        <v>3</v>
      </c>
      <c r="N500" s="13" t="s">
        <v>1445</v>
      </c>
      <c r="O500" s="13" t="s">
        <v>332</v>
      </c>
      <c r="P500" s="13">
        <v>10120</v>
      </c>
      <c r="R500" s="13" t="s">
        <v>122</v>
      </c>
      <c r="S500" s="13" t="s">
        <v>138</v>
      </c>
      <c r="T500" s="13" t="s">
        <v>139</v>
      </c>
      <c r="U500" s="13" t="s">
        <v>125</v>
      </c>
      <c r="V500" s="13">
        <v>-20.5</v>
      </c>
      <c r="W500" s="44">
        <f>IF($AX500="Cancelled","",IFERROR(((V500+INDEX(Variables!$B$6:$D$6,IFERROR(MATCH(IF($B500="Robusta","Robusta",(IF($B500="","Arabica",$B500))&amp;" - "&amp;(IF($C500="","Commercial",$C500))),Variables!$B$1:$D$1,0),1)))*22.0462)*(L500/16.67),""))</f>
        <v>386071.67899220146</v>
      </c>
      <c r="X500" s="55" t="s">
        <v>37</v>
      </c>
      <c r="Y500" s="13" t="str">
        <f>IF($AX500="Cancelled","",IF(X500="","",IFERROR(IF(INDEX(Variables!$B$38:$B$47,MATCH(X500,Variables!$A$38:$A$47,0))="Yes","Yes","No"),"No")))</f>
        <v>Yes</v>
      </c>
      <c r="Z500" s="58">
        <v>45982</v>
      </c>
      <c r="AB500" s="31">
        <v>45996</v>
      </c>
      <c r="AC500" s="13" t="str">
        <f t="shared" si="21"/>
        <v>Approved</v>
      </c>
      <c r="AF500" s="71">
        <v>46006</v>
      </c>
      <c r="AG500" s="37">
        <f>IF($AX500="Cancelled","",IFERROR(IF(F500="","",F500-Variables!$B$13),""))</f>
        <v>46038</v>
      </c>
      <c r="AH500" s="13">
        <f>IF($AX500="Cancelled","",IFERROR(IF(AB500="","",(AVERAGE(E500:F500)-AB500)-Variables!$B$14),""))</f>
        <v>12</v>
      </c>
      <c r="AJ500" s="47">
        <v>46008</v>
      </c>
      <c r="AK500" s="14">
        <f>IF($AX500="Cancelled","",IFERROR(IF(AJ500="","",IF(AND(AB500="",AF500=""),"",IF(AF500&gt;AB500,AF500+Variables!$B$15+Variables!$B$16+Variables!$B$17-AJ500,AB500+Variables!$B$16+Variables!$B$17-AJ500))),""))</f>
        <v>13</v>
      </c>
      <c r="AL500" s="48" t="s">
        <v>114</v>
      </c>
      <c r="AM500" s="13" t="s">
        <v>168</v>
      </c>
      <c r="AN500" s="13" t="s">
        <v>1446</v>
      </c>
      <c r="AP500" s="31">
        <v>46029</v>
      </c>
      <c r="AR500" s="13" t="s">
        <v>1447</v>
      </c>
      <c r="AS500" s="31">
        <v>46029</v>
      </c>
      <c r="AU500" s="31">
        <v>46036</v>
      </c>
      <c r="AV500" s="13" t="s">
        <v>865</v>
      </c>
      <c r="AW500" s="31">
        <v>46037</v>
      </c>
      <c r="AX500" s="13" t="str">
        <f>IF(ISNUMBER(SEARCH("cancel",#REF!)),"Cancelled",IF(AND(AS500&lt;&gt;"",AU500&lt;&gt;"",AW500&lt;&gt;""),"Closed","Open"))</f>
        <v>Closed</v>
      </c>
      <c r="AY500" s="15" t="str">
        <f t="shared" si="22"/>
        <v>All dates received</v>
      </c>
      <c r="BD500" s="13">
        <f>IF($AX500="Cancelled","",IFERROR(IF(OR(AS500="",AJ500=""),"",(AJ500+Variables!$B$18-AS500)),""))</f>
        <v>-6</v>
      </c>
      <c r="BE500" s="13">
        <f>IF($AX500="Cancelled","",IFERROR(IF(OR(AW500="",AS500=""),"",(AS500+Variables!$B$19)-AW500),""))</f>
        <v>-3</v>
      </c>
      <c r="BF500" s="44">
        <f>IF($AX500="Cancelled","",IFERROR(W500*INDEX(Variables!$B$7:$D$7,IFERROR(MATCH(IF($B500="Robusta","Robusta",(IF($B500="","Arabica",$B500))&amp;" - "&amp;(IF($C500="","Commercial",$C500))),Variables!$B$1:$D$1,0),1))*(BE500/365),""))</f>
        <v>-204.61439358173368</v>
      </c>
      <c r="BG500" s="44">
        <f>IF($AX500="Cancelled","",IFERROR((W500*INDEX(Variables!$B$7:$D$7,IFERROR(MATCH(IF($B500="Robusta","Robusta",(IF($B500="","Arabica",$B500))&amp;" - "&amp;(IF($C500="","Commercial",$C500))),Variables!$B$1:$D$1,0),1))*IFERROR(IF(AB500="","",(AVERAGE(E500:F500)-AB500)-Variables!$B$14),"")/365)+(L500/16.67*INDEX(Variables!$B$8:$D$8,IFERROR(MATCH(IF($B500="Robusta","Robusta",(IF($B500="","Arabica",$B500))&amp;" - "&amp;(IF($C500="","Commercial",$C500))),Variables!$B$1:$D$1,0),1))*IFERROR(IF(AB500="","",(AVERAGE(E500:F500)-AB500)-Variables!$B$14),""))+(W500*INDEX(Variables!$B$9:$D$9,IFERROR(MATCH(IF($B500="Robusta","Robusta",(IF($B500="","Arabica",$B500))&amp;" - "&amp;(IF($C500="","Commercial",$C500))),Variables!$B$1:$D$1,0),1))*IFERROR(IF(AB500="","",(AVERAGE(E500:F500)-AB500)-Variables!$B$14),"")/365),""))</f>
        <v>1477.0090719733857</v>
      </c>
      <c r="BH500" s="44">
        <f>IF($AX500="Cancelled","",IFERROR((W500*INDEX(Variables!$B$7:$D$7,IFERROR(MATCH(IF($B500="Robusta","Robusta",(IF($B500="","Arabica",$B500))&amp;" - "&amp;(IF($C500="","Commercial",$C500))),Variables!$B$1:$D$1,0),1))*AK500/365)+(L500/16.67*INDEX(Variables!$B$8:$D$8,IFERROR(MATCH(IF($B500="Robusta","Robusta",(IF($B500="","Arabica",$B500))&amp;" - "&amp;(IF($C500="","Commercial",$C500))),Variables!$B$1:$D$1,0),1))*AK500)+(W500*INDEX(Variables!$B$9:$D$9,IFERROR(MATCH(IF($B500="Robusta","Robusta",(IF($B500="","Arabica",$B500))&amp;" - "&amp;(IF($C500="","Commercial",$C500))),Variables!$B$1:$D$1,0),1))*AK500/365),""))</f>
        <v>1600.0931613045013</v>
      </c>
      <c r="BI500" s="44">
        <f>IF($AX500="Cancelled","",IFERROR((W500*INDEX(Variables!$B$7:$D$7,IFERROR(MATCH(IF($B500="Robusta","Robusta",(IF($B500="","Arabica",$B500))&amp;" - "&amp;(IF($C500="","Commercial",$C500))),Variables!$B$1:$D$1,0),1))*BD500/365)+(L500/16.67*INDEX(Variables!$B$8:$D$8,IFERROR(MATCH(IF($B500="Robusta","Robusta",(IF($B500="","Arabica",$B500))&amp;" - "&amp;(IF($C500="","Commercial",$C500))),Variables!$B$1:$D$1,0),1))*BD500)+(W500*INDEX(Variables!$B$9:$D$9,IFERROR(MATCH(IF($B500="Robusta","Robusta",(IF($B500="","Arabica",$B500))&amp;" - "&amp;(IF($C500="","Commercial",$C500))),Variables!$B$1:$D$1,0),1))*BD500/365),""))</f>
        <v>-738.50453598669287</v>
      </c>
      <c r="BJ500" s="44">
        <f t="shared" si="23"/>
        <v>24</v>
      </c>
      <c r="BK500" s="44">
        <f>IF($AX500="Cancelled","",IFERROR(IF(BJ500="","",(W500*INDEX(Variables!$B$7:$D$7,IFERROR(MATCH(IF($B500="Robusta","Robusta",(IF($B500="","Arabica",$B500))&amp;" - "&amp;(IF($C500="","Commercial",$C500))),Variables!$B$1:$D$1,0),1))*(BJ500/365))+(W500*INDEX(Variables!$B$9:$D$9,IFERROR(MATCH(IF($B500="Robusta","Robusta",(IF($B500="","Arabica",$B500))&amp;" - "&amp;(IF($C500="","Commercial",$C500))),Variables!$B$1:$D$1,0),1))*(BJ500/365))+(INDEX(Variables!$B$8:$D$8,IFERROR(MATCH(IF($B500="Robusta","Robusta",(IF($B500="","Arabica",$B500))&amp;" - "&amp;(IF($C500="","Commercial",$C500))),Variables!$B$1:$D$1,0),1))*L500/16.67)),""))</f>
        <v>1712.0181439467715</v>
      </c>
    </row>
    <row r="501" spans="1:63">
      <c r="A501" s="13" t="s">
        <v>103</v>
      </c>
      <c r="B501" s="13" t="s">
        <v>104</v>
      </c>
      <c r="C501" s="13" t="s">
        <v>105</v>
      </c>
      <c r="D501" s="31">
        <v>45946</v>
      </c>
      <c r="E501" s="31">
        <v>46023</v>
      </c>
      <c r="F501" s="31">
        <v>46053</v>
      </c>
      <c r="G501" s="13">
        <v>3786976</v>
      </c>
      <c r="H501" s="13">
        <v>95463</v>
      </c>
      <c r="J501" s="13" t="s">
        <v>118</v>
      </c>
      <c r="K501" s="13" t="s">
        <v>1448</v>
      </c>
      <c r="L501" s="13">
        <v>1800</v>
      </c>
      <c r="M501" s="13">
        <v>5</v>
      </c>
      <c r="N501" s="13" t="s">
        <v>1442</v>
      </c>
      <c r="O501" s="13" t="s">
        <v>332</v>
      </c>
      <c r="P501" s="13">
        <v>10120</v>
      </c>
      <c r="Q501" s="13" t="s">
        <v>121</v>
      </c>
      <c r="R501" s="13" t="s">
        <v>122</v>
      </c>
      <c r="S501" s="13" t="s">
        <v>154</v>
      </c>
      <c r="T501" s="13" t="s">
        <v>155</v>
      </c>
      <c r="U501" s="13" t="s">
        <v>125</v>
      </c>
      <c r="V501" s="13">
        <v>-20.5</v>
      </c>
      <c r="W501" s="44">
        <f>IF($AX501="Cancelled","",IFERROR(((V501+INDEX(Variables!$B$6:$D$6,IFERROR(MATCH(IF($B501="Robusta","Robusta",(IF($B501="","Arabica",$B501))&amp;" - "&amp;(IF($C501="","Commercial",$C501))),Variables!$B$1:$D$1,0),1)))*22.0462)*(L501/16.67),""))</f>
        <v>643452.7983203358</v>
      </c>
      <c r="X501" s="55" t="s">
        <v>37</v>
      </c>
      <c r="Y501" s="13" t="str">
        <f>IF($AX501="Cancelled","",IF(X501="","",IFERROR(IF(INDEX(Variables!$B$38:$B$47,MATCH(X501,Variables!$A$38:$A$47,0))="Yes","Yes","No"),"No")))</f>
        <v>Yes</v>
      </c>
      <c r="Z501" s="58">
        <v>45982</v>
      </c>
      <c r="AB501" s="31">
        <v>45996</v>
      </c>
      <c r="AC501" s="13" t="str">
        <f t="shared" si="21"/>
        <v>Approved</v>
      </c>
      <c r="AF501" s="71">
        <v>46006</v>
      </c>
      <c r="AG501" s="37">
        <f>IF($AX501="Cancelled","",IFERROR(IF(F501="","",F501-Variables!$B$13),""))</f>
        <v>46038</v>
      </c>
      <c r="AH501" s="13">
        <f>IF($AX501="Cancelled","",IFERROR(IF(AB501="","",(AVERAGE(E501:F501)-AB501)-Variables!$B$14),""))</f>
        <v>12</v>
      </c>
      <c r="AJ501" s="47">
        <v>46009</v>
      </c>
      <c r="AK501" s="14">
        <f>IF($AX501="Cancelled","",IFERROR(IF(AJ501="","",IF(AND(AB501="",AF501=""),"",IF(AF501&gt;AB501,AF501+Variables!$B$15+Variables!$B$16+Variables!$B$17-AJ501,AB501+Variables!$B$16+Variables!$B$17-AJ501))),""))</f>
        <v>12</v>
      </c>
      <c r="AL501" s="48" t="s">
        <v>114</v>
      </c>
      <c r="AM501" s="13" t="s">
        <v>168</v>
      </c>
      <c r="AN501" s="13" t="s">
        <v>1446</v>
      </c>
      <c r="AP501" s="31">
        <v>46029</v>
      </c>
      <c r="AR501" s="13" t="s">
        <v>1447</v>
      </c>
      <c r="AS501" s="31">
        <v>46021</v>
      </c>
      <c r="AU501" s="31">
        <v>46031</v>
      </c>
      <c r="AV501" s="13" t="s">
        <v>865</v>
      </c>
      <c r="AW501" s="31">
        <v>46036</v>
      </c>
      <c r="AX501" s="13" t="str">
        <f>IF(ISNUMBER(SEARCH("cancel",#REF!)),"Cancelled",IF(AND(AS501&lt;&gt;"",AU501&lt;&gt;"",AW501&lt;&gt;""),"Closed","Open"))</f>
        <v>Closed</v>
      </c>
      <c r="AY501" s="15" t="str">
        <f t="shared" si="22"/>
        <v>All dates received</v>
      </c>
      <c r="BD501" s="13">
        <f>IF($AX501="Cancelled","",IFERROR(IF(OR(AS501="",AJ501=""),"",(AJ501+Variables!$B$18-AS501)),""))</f>
        <v>3</v>
      </c>
      <c r="BE501" s="13">
        <f>IF($AX501="Cancelled","",IFERROR(IF(OR(AW501="",AS501=""),"",(AS501+Variables!$B$19)-AW501),""))</f>
        <v>-10</v>
      </c>
      <c r="BF501" s="44">
        <f>IF($AX501="Cancelled","",IFERROR(W501*INDEX(Variables!$B$7:$D$7,IFERROR(MATCH(IF($B501="Robusta","Robusta",(IF($B501="","Arabica",$B501))&amp;" - "&amp;(IF($C501="","Commercial",$C501))),Variables!$B$1:$D$1,0),1))*(BE501/365),""))</f>
        <v>-1136.7466310096318</v>
      </c>
      <c r="BG501" s="44">
        <f>IF($AX501="Cancelled","",IFERROR((W501*INDEX(Variables!$B$7:$D$7,IFERROR(MATCH(IF($B501="Robusta","Robusta",(IF($B501="","Arabica",$B501))&amp;" - "&amp;(IF($C501="","Commercial",$C501))),Variables!$B$1:$D$1,0),1))*IFERROR(IF(AB501="","",(AVERAGE(E501:F501)-AB501)-Variables!$B$14),"")/365)+(L501/16.67*INDEX(Variables!$B$8:$D$8,IFERROR(MATCH(IF($B501="Robusta","Robusta",(IF($B501="","Arabica",$B501))&amp;" - "&amp;(IF($C501="","Commercial",$C501))),Variables!$B$1:$D$1,0),1))*IFERROR(IF(AB501="","",(AVERAGE(E501:F501)-AB501)-Variables!$B$14),""))+(W501*INDEX(Variables!$B$9:$D$9,IFERROR(MATCH(IF($B501="Robusta","Robusta",(IF($B501="","Arabica",$B501))&amp;" - "&amp;(IF($C501="","Commercial",$C501))),Variables!$B$1:$D$1,0),1))*IFERROR(IF(AB501="","",(AVERAGE(E501:F501)-AB501)-Variables!$B$14),"")/365),""))</f>
        <v>2461.6817866223096</v>
      </c>
      <c r="BH501" s="44">
        <f>IF($AX501="Cancelled","",IFERROR((W501*INDEX(Variables!$B$7:$D$7,IFERROR(MATCH(IF($B501="Robusta","Robusta",(IF($B501="","Arabica",$B501))&amp;" - "&amp;(IF($C501="","Commercial",$C501))),Variables!$B$1:$D$1,0),1))*AK501/365)+(L501/16.67*INDEX(Variables!$B$8:$D$8,IFERROR(MATCH(IF($B501="Robusta","Robusta",(IF($B501="","Arabica",$B501))&amp;" - "&amp;(IF($C501="","Commercial",$C501))),Variables!$B$1:$D$1,0),1))*AK501)+(W501*INDEX(Variables!$B$9:$D$9,IFERROR(MATCH(IF($B501="Robusta","Robusta",(IF($B501="","Arabica",$B501))&amp;" - "&amp;(IF($C501="","Commercial",$C501))),Variables!$B$1:$D$1,0),1))*AK501/365),""))</f>
        <v>2461.6817866223096</v>
      </c>
      <c r="BI501" s="44">
        <f>IF($AX501="Cancelled","",IFERROR((W501*INDEX(Variables!$B$7:$D$7,IFERROR(MATCH(IF($B501="Robusta","Robusta",(IF($B501="","Arabica",$B501))&amp;" - "&amp;(IF($C501="","Commercial",$C501))),Variables!$B$1:$D$1,0),1))*BD501/365)+(L501/16.67*INDEX(Variables!$B$8:$D$8,IFERROR(MATCH(IF($B501="Robusta","Robusta",(IF($B501="","Arabica",$B501))&amp;" - "&amp;(IF($C501="","Commercial",$C501))),Variables!$B$1:$D$1,0),1))*BD501)+(W501*INDEX(Variables!$B$9:$D$9,IFERROR(MATCH(IF($B501="Robusta","Robusta",(IF($B501="","Arabica",$B501))&amp;" - "&amp;(IF($C501="","Commercial",$C501))),Variables!$B$1:$D$1,0),1))*BD501/365),""))</f>
        <v>615.42044665557739</v>
      </c>
      <c r="BJ501" s="44">
        <f t="shared" si="23"/>
        <v>32</v>
      </c>
      <c r="BK501" s="44">
        <f>IF($AX501="Cancelled","",IFERROR(IF(BJ501="","",(W501*INDEX(Variables!$B$7:$D$7,IFERROR(MATCH(IF($B501="Robusta","Robusta",(IF($B501="","Arabica",$B501))&amp;" - "&amp;(IF($C501="","Commercial",$C501))),Variables!$B$1:$D$1,0),1))*(BJ501/365))+(W501*INDEX(Variables!$B$9:$D$9,IFERROR(MATCH(IF($B501="Robusta","Robusta",(IF($B501="","Arabica",$B501))&amp;" - "&amp;(IF($C501="","Commercial",$C501))),Variables!$B$1:$D$1,0),1))*(BJ501/365))+(INDEX(Variables!$B$8:$D$8,IFERROR(MATCH(IF($B501="Robusta","Robusta",(IF($B501="","Arabica",$B501))&amp;" - "&amp;(IF($C501="","Commercial",$C501))),Variables!$B$1:$D$1,0),1))*L501/16.67)),""))</f>
        <v>3774.4847643261592</v>
      </c>
    </row>
    <row r="502" spans="1:63">
      <c r="A502" s="13" t="s">
        <v>103</v>
      </c>
      <c r="B502" s="13" t="s">
        <v>104</v>
      </c>
      <c r="C502" s="13" t="s">
        <v>105</v>
      </c>
      <c r="D502" s="31">
        <v>45946</v>
      </c>
      <c r="E502" s="31">
        <v>46023</v>
      </c>
      <c r="F502" s="31">
        <v>46053</v>
      </c>
      <c r="G502" s="13">
        <v>3786976</v>
      </c>
      <c r="H502" s="13">
        <v>95463</v>
      </c>
      <c r="J502" s="13" t="s">
        <v>118</v>
      </c>
      <c r="K502" s="13" t="s">
        <v>1449</v>
      </c>
      <c r="L502" s="13">
        <v>720</v>
      </c>
      <c r="M502" s="13">
        <v>2</v>
      </c>
      <c r="N502" s="13" t="s">
        <v>1442</v>
      </c>
      <c r="O502" s="13" t="s">
        <v>332</v>
      </c>
      <c r="P502" s="13">
        <v>10120</v>
      </c>
      <c r="Q502" s="13" t="s">
        <v>121</v>
      </c>
      <c r="R502" s="13" t="s">
        <v>122</v>
      </c>
      <c r="S502" s="13" t="s">
        <v>123</v>
      </c>
      <c r="T502" s="13" t="s">
        <v>124</v>
      </c>
      <c r="U502" s="13" t="s">
        <v>125</v>
      </c>
      <c r="V502" s="13">
        <v>-20.5</v>
      </c>
      <c r="W502" s="44">
        <f>IF($AX502="Cancelled","",IFERROR(((V502+INDEX(Variables!$B$6:$D$6,IFERROR(MATCH(IF($B502="Robusta","Robusta",(IF($B502="","Arabica",$B502))&amp;" - "&amp;(IF($C502="","Commercial",$C502))),Variables!$B$1:$D$1,0),1)))*22.0462)*(L502/16.67),""))</f>
        <v>257381.11932813434</v>
      </c>
      <c r="X502" s="55" t="s">
        <v>37</v>
      </c>
      <c r="Y502" s="13" t="str">
        <f>IF($AX502="Cancelled","",IF(X502="","",IFERROR(IF(INDEX(Variables!$B$38:$B$47,MATCH(X502,Variables!$A$38:$A$47,0))="Yes","Yes","No"),"No")))</f>
        <v>Yes</v>
      </c>
      <c r="Z502" s="58">
        <v>45982</v>
      </c>
      <c r="AB502" s="31">
        <v>45996</v>
      </c>
      <c r="AC502" s="13" t="str">
        <f t="shared" si="21"/>
        <v>Approved</v>
      </c>
      <c r="AF502" s="71">
        <v>46006</v>
      </c>
      <c r="AG502" s="37">
        <f>IF($AX502="Cancelled","",IFERROR(IF(F502="","",F502-Variables!$B$13),""))</f>
        <v>46038</v>
      </c>
      <c r="AH502" s="13">
        <f>IF($AX502="Cancelled","",IFERROR(IF(AB502="","",(AVERAGE(E502:F502)-AB502)-Variables!$B$14),""))</f>
        <v>12</v>
      </c>
      <c r="AJ502" s="47">
        <v>46007</v>
      </c>
      <c r="AK502" s="14">
        <f>IF($AX502="Cancelled","",IFERROR(IF(AJ502="","",IF(AND(AB502="",AF502=""),"",IF(AF502&gt;AB502,AF502+Variables!$B$15+Variables!$B$16+Variables!$B$17-AJ502,AB502+Variables!$B$16+Variables!$B$17-AJ502))),""))</f>
        <v>14</v>
      </c>
      <c r="AL502" s="48" t="s">
        <v>114</v>
      </c>
      <c r="AM502" s="13" t="s">
        <v>168</v>
      </c>
      <c r="AN502" s="13" t="s">
        <v>1446</v>
      </c>
      <c r="AP502" s="31">
        <v>46029</v>
      </c>
      <c r="AR502" s="13" t="s">
        <v>1447</v>
      </c>
      <c r="AS502" s="31">
        <v>46017</v>
      </c>
      <c r="AU502" s="31">
        <v>46031</v>
      </c>
      <c r="AV502" s="13" t="s">
        <v>865</v>
      </c>
      <c r="AW502" s="31">
        <v>46036</v>
      </c>
      <c r="AX502" s="13" t="str">
        <f>IF(ISNUMBER(SEARCH("cancel",#REF!)),"Cancelled",IF(AND(AS502&lt;&gt;"",AU502&lt;&gt;"",AW502&lt;&gt;""),"Closed","Open"))</f>
        <v>Closed</v>
      </c>
      <c r="AY502" s="15" t="str">
        <f t="shared" si="22"/>
        <v>All dates received</v>
      </c>
      <c r="BD502" s="13">
        <f>IF($AX502="Cancelled","",IFERROR(IF(OR(AS502="",AJ502=""),"",(AJ502+Variables!$B$18-AS502)),""))</f>
        <v>5</v>
      </c>
      <c r="BE502" s="13">
        <f>IF($AX502="Cancelled","",IFERROR(IF(OR(AW502="",AS502=""),"",(AS502+Variables!$B$19)-AW502),""))</f>
        <v>-14</v>
      </c>
      <c r="BF502" s="44">
        <f>IF($AX502="Cancelled","",IFERROR(W502*INDEX(Variables!$B$7:$D$7,IFERROR(MATCH(IF($B502="Robusta","Robusta",(IF($B502="","Arabica",$B502))&amp;" - "&amp;(IF($C502="","Commercial",$C502))),Variables!$B$1:$D$1,0),1))*(BE502/365),""))</f>
        <v>-636.57811336539385</v>
      </c>
      <c r="BG502" s="44">
        <f>IF($AX502="Cancelled","",IFERROR((W502*INDEX(Variables!$B$7:$D$7,IFERROR(MATCH(IF($B502="Robusta","Robusta",(IF($B502="","Arabica",$B502))&amp;" - "&amp;(IF($C502="","Commercial",$C502))),Variables!$B$1:$D$1,0),1))*IFERROR(IF(AB502="","",(AVERAGE(E502:F502)-AB502)-Variables!$B$14),"")/365)+(L502/16.67*INDEX(Variables!$B$8:$D$8,IFERROR(MATCH(IF($B502="Robusta","Robusta",(IF($B502="","Arabica",$B502))&amp;" - "&amp;(IF($C502="","Commercial",$C502))),Variables!$B$1:$D$1,0),1))*IFERROR(IF(AB502="","",(AVERAGE(E502:F502)-AB502)-Variables!$B$14),""))+(W502*INDEX(Variables!$B$9:$D$9,IFERROR(MATCH(IF($B502="Robusta","Robusta",(IF($B502="","Arabica",$B502))&amp;" - "&amp;(IF($C502="","Commercial",$C502))),Variables!$B$1:$D$1,0),1))*IFERROR(IF(AB502="","",(AVERAGE(E502:F502)-AB502)-Variables!$B$14),"")/365),""))</f>
        <v>984.67271464892406</v>
      </c>
      <c r="BH502" s="44">
        <f>IF($AX502="Cancelled","",IFERROR((W502*INDEX(Variables!$B$7:$D$7,IFERROR(MATCH(IF($B502="Robusta","Robusta",(IF($B502="","Arabica",$B502))&amp;" - "&amp;(IF($C502="","Commercial",$C502))),Variables!$B$1:$D$1,0),1))*AK502/365)+(L502/16.67*INDEX(Variables!$B$8:$D$8,IFERROR(MATCH(IF($B502="Robusta","Robusta",(IF($B502="","Arabica",$B502))&amp;" - "&amp;(IF($C502="","Commercial",$C502))),Variables!$B$1:$D$1,0),1))*AK502)+(W502*INDEX(Variables!$B$9:$D$9,IFERROR(MATCH(IF($B502="Robusta","Robusta",(IF($B502="","Arabica",$B502))&amp;" - "&amp;(IF($C502="","Commercial",$C502))),Variables!$B$1:$D$1,0),1))*AK502/365),""))</f>
        <v>1148.7848337570781</v>
      </c>
      <c r="BI502" s="44">
        <f>IF($AX502="Cancelled","",IFERROR((W502*INDEX(Variables!$B$7:$D$7,IFERROR(MATCH(IF($B502="Robusta","Robusta",(IF($B502="","Arabica",$B502))&amp;" - "&amp;(IF($C502="","Commercial",$C502))),Variables!$B$1:$D$1,0),1))*BD502/365)+(L502/16.67*INDEX(Variables!$B$8:$D$8,IFERROR(MATCH(IF($B502="Robusta","Robusta",(IF($B502="","Arabica",$B502))&amp;" - "&amp;(IF($C502="","Commercial",$C502))),Variables!$B$1:$D$1,0),1))*BD502)+(W502*INDEX(Variables!$B$9:$D$9,IFERROR(MATCH(IF($B502="Robusta","Robusta",(IF($B502="","Arabica",$B502))&amp;" - "&amp;(IF($C502="","Commercial",$C502))),Variables!$B$1:$D$1,0),1))*BD502/365),""))</f>
        <v>410.280297770385</v>
      </c>
      <c r="BJ502" s="44">
        <f t="shared" si="23"/>
        <v>36</v>
      </c>
      <c r="BK502" s="44">
        <f>IF($AX502="Cancelled","",IFERROR(IF(BJ502="","",(W502*INDEX(Variables!$B$7:$D$7,IFERROR(MATCH(IF($B502="Robusta","Robusta",(IF($B502="","Arabica",$B502))&amp;" - "&amp;(IF($C502="","Commercial",$C502))),Variables!$B$1:$D$1,0),1))*(BJ502/365))+(W502*INDEX(Variables!$B$9:$D$9,IFERROR(MATCH(IF($B502="Robusta","Robusta",(IF($B502="","Arabica",$B502))&amp;" - "&amp;(IF($C502="","Commercial",$C502))),Variables!$B$1:$D$1,0),1))*(BJ502/365))+(INDEX(Variables!$B$8:$D$8,IFERROR(MATCH(IF($B502="Robusta","Robusta",(IF($B502="","Arabica",$B502))&amp;" - "&amp;(IF($C502="","Commercial",$C502))),Variables!$B$1:$D$1,0),1))*L502/16.67)),""))</f>
        <v>1694.0181439467719</v>
      </c>
    </row>
    <row r="503" spans="1:63">
      <c r="A503" s="13" t="s">
        <v>103</v>
      </c>
      <c r="B503" s="13" t="s">
        <v>104</v>
      </c>
      <c r="C503" s="13" t="s">
        <v>105</v>
      </c>
      <c r="D503" s="31">
        <v>45946</v>
      </c>
      <c r="E503" s="31">
        <v>45992</v>
      </c>
      <c r="F503" s="31">
        <v>46022</v>
      </c>
      <c r="G503" s="13">
        <v>3786977</v>
      </c>
      <c r="H503" s="13">
        <v>95464</v>
      </c>
      <c r="J503" s="13" t="s">
        <v>118</v>
      </c>
      <c r="K503" s="13">
        <v>5353</v>
      </c>
      <c r="L503" s="13">
        <v>1080</v>
      </c>
      <c r="M503" s="13">
        <v>3</v>
      </c>
      <c r="N503" s="13" t="s">
        <v>1450</v>
      </c>
      <c r="O503" s="13" t="s">
        <v>109</v>
      </c>
      <c r="P503" s="13">
        <v>10080</v>
      </c>
      <c r="Q503" s="13" t="s">
        <v>121</v>
      </c>
      <c r="R503" s="13" t="s">
        <v>122</v>
      </c>
      <c r="S503" s="13" t="s">
        <v>123</v>
      </c>
      <c r="T503" s="13" t="s">
        <v>124</v>
      </c>
      <c r="U503" s="13" t="s">
        <v>125</v>
      </c>
      <c r="V503" s="13">
        <v>18</v>
      </c>
      <c r="W503" s="44">
        <f>IF($AX503="Cancelled","",IFERROR(((V503+INDEX(Variables!$B$6:$D$6,IFERROR(MATCH(IF($B503="Robusta","Robusta",(IF($B503="","Arabica",$B503))&amp;" - "&amp;(IF($C503="","Commercial",$C503))),Variables!$B$1:$D$1,0),1)))*22.0462)*(L503/16.67),""))</f>
        <v>441061.54077984393</v>
      </c>
      <c r="X503" s="55" t="s">
        <v>37</v>
      </c>
      <c r="Y503" s="13" t="str">
        <f>IF($AX503="Cancelled","",IF(X503="","",IFERROR(IF(INDEX(Variables!$B$38:$B$47,MATCH(X503,Variables!$A$38:$A$47,0))="Yes","Yes","No"),"No")))</f>
        <v>Yes</v>
      </c>
      <c r="Z503" s="58">
        <v>45960</v>
      </c>
      <c r="AB503" s="31">
        <v>45976.875</v>
      </c>
      <c r="AC503" s="13" t="str">
        <f t="shared" si="21"/>
        <v>Approved</v>
      </c>
      <c r="AF503" s="71">
        <v>45985</v>
      </c>
      <c r="AG503" s="37">
        <f>IF($AX503="Cancelled","",IFERROR(IF(F503="","",F503-Variables!$B$13),""))</f>
        <v>46007</v>
      </c>
      <c r="AH503" s="13">
        <f>IF($AX503="Cancelled","",IFERROR(IF(AB503="","",(AVERAGE(E503:F503)-AB503)-Variables!$B$14),""))</f>
        <v>0.125</v>
      </c>
      <c r="AJ503" s="47">
        <v>45982</v>
      </c>
      <c r="AK503" s="14">
        <f>IF($AX503="Cancelled","",IFERROR(IF(AJ503="","",IF(AND(AB503="",AF503=""),"",IF(AF503&gt;AB503,AF503+Variables!$B$15+Variables!$B$16+Variables!$B$17-AJ503,AB503+Variables!$B$16+Variables!$B$17-AJ503))),""))</f>
        <v>18</v>
      </c>
      <c r="AL503" s="48" t="s">
        <v>114</v>
      </c>
      <c r="AM503" s="13" t="s">
        <v>115</v>
      </c>
      <c r="AN503" s="13" t="s">
        <v>116</v>
      </c>
      <c r="AP503" s="31">
        <v>45995</v>
      </c>
      <c r="AR503" s="13">
        <v>262190542</v>
      </c>
      <c r="AS503" s="31">
        <v>45995</v>
      </c>
      <c r="AU503" s="31">
        <v>46001</v>
      </c>
      <c r="AV503" s="13" t="s">
        <v>865</v>
      </c>
      <c r="AW503" s="31">
        <v>46001</v>
      </c>
      <c r="AX503" s="13" t="str">
        <f>IF(ISNUMBER(SEARCH("cancel",#REF!)),"Cancelled",IF(AND(AS503&lt;&gt;"",AU503&lt;&gt;"",AW503&lt;&gt;""),"Closed","Open"))</f>
        <v>Closed</v>
      </c>
      <c r="AY503" s="15" t="str">
        <f t="shared" si="22"/>
        <v>All dates received</v>
      </c>
      <c r="BD503" s="13">
        <f>IF($AX503="Cancelled","",IFERROR(IF(OR(AS503="",AJ503=""),"",(AJ503+Variables!$B$18-AS503)),""))</f>
        <v>2</v>
      </c>
      <c r="BE503" s="13">
        <f>IF($AX503="Cancelled","",IFERROR(IF(OR(AW503="",AS503=""),"",(AS503+Variables!$B$19)-AW503),""))</f>
        <v>-1</v>
      </c>
      <c r="BF503" s="44">
        <f>IF($AX503="Cancelled","",IFERROR(W503*INDEX(Variables!$B$7:$D$7,IFERROR(MATCH(IF($B503="Robusta","Robusta",(IF($B503="","Arabica",$B503))&amp;" - "&amp;(IF($C503="","Commercial",$C503))),Variables!$B$1:$D$1,0),1))*(BE503/365),""))</f>
        <v>-77.919502698285072</v>
      </c>
      <c r="BG503" s="44">
        <f>IF($AX503="Cancelled","",IFERROR((W503*INDEX(Variables!$B$7:$D$7,IFERROR(MATCH(IF($B503="Robusta","Robusta",(IF($B503="","Arabica",$B503))&amp;" - "&amp;(IF($C503="","Commercial",$C503))),Variables!$B$1:$D$1,0),1))*IFERROR(IF(AB503="","",(AVERAGE(E503:F503)-AB503)-Variables!$B$14),"")/365)+(L503/16.67*INDEX(Variables!$B$8:$D$8,IFERROR(MATCH(IF($B503="Robusta","Robusta",(IF($B503="","Arabica",$B503))&amp;" - "&amp;(IF($C503="","Commercial",$C503))),Variables!$B$1:$D$1,0),1))*IFERROR(IF(AB503="","",(AVERAGE(E503:F503)-AB503)-Variables!$B$14),""))+(W503*INDEX(Variables!$B$9:$D$9,IFERROR(MATCH(IF($B503="Robusta","Robusta",(IF($B503="","Arabica",$B503))&amp;" - "&amp;(IF($C503="","Commercial",$C503))),Variables!$B$1:$D$1,0),1))*IFERROR(IF(AB503="","",(AVERAGE(E503:F503)-AB503)-Variables!$B$14),"")/365),""))</f>
        <v>16.615504432782306</v>
      </c>
      <c r="BH503" s="44">
        <f>IF($AX503="Cancelled","",IFERROR((W503*INDEX(Variables!$B$7:$D$7,IFERROR(MATCH(IF($B503="Robusta","Robusta",(IF($B503="","Arabica",$B503))&amp;" - "&amp;(IF($C503="","Commercial",$C503))),Variables!$B$1:$D$1,0),1))*AK503/365)+(L503/16.67*INDEX(Variables!$B$8:$D$8,IFERROR(MATCH(IF($B503="Robusta","Robusta",(IF($B503="","Arabica",$B503))&amp;" - "&amp;(IF($C503="","Commercial",$C503))),Variables!$B$1:$D$1,0),1))*AK503)+(W503*INDEX(Variables!$B$9:$D$9,IFERROR(MATCH(IF($B503="Robusta","Robusta",(IF($B503="","Arabica",$B503))&amp;" - "&amp;(IF($C503="","Commercial",$C503))),Variables!$B$1:$D$1,0),1))*AK503/365),""))</f>
        <v>2392.6326383206519</v>
      </c>
      <c r="BI503" s="44">
        <f>IF($AX503="Cancelled","",IFERROR((W503*INDEX(Variables!$B$7:$D$7,IFERROR(MATCH(IF($B503="Robusta","Robusta",(IF($B503="","Arabica",$B503))&amp;" - "&amp;(IF($C503="","Commercial",$C503))),Variables!$B$1:$D$1,0),1))*BD503/365)+(L503/16.67*INDEX(Variables!$B$8:$D$8,IFERROR(MATCH(IF($B503="Robusta","Robusta",(IF($B503="","Arabica",$B503))&amp;" - "&amp;(IF($C503="","Commercial",$C503))),Variables!$B$1:$D$1,0),1))*BD503)+(W503*INDEX(Variables!$B$9:$D$9,IFERROR(MATCH(IF($B503="Robusta","Robusta",(IF($B503="","Arabica",$B503))&amp;" - "&amp;(IF($C503="","Commercial",$C503))),Variables!$B$1:$D$1,0),1))*BD503/365),""))</f>
        <v>265.84807092451689</v>
      </c>
      <c r="BJ503" s="44">
        <f t="shared" si="23"/>
        <v>27</v>
      </c>
      <c r="BK503" s="44">
        <f>IF($AX503="Cancelled","",IFERROR(IF(BJ503="","",(W503*INDEX(Variables!$B$7:$D$7,IFERROR(MATCH(IF($B503="Robusta","Robusta",(IF($B503="","Arabica",$B503))&amp;" - "&amp;(IF($C503="","Commercial",$C503))),Variables!$B$1:$D$1,0),1))*(BJ503/365))+(W503*INDEX(Variables!$B$9:$D$9,IFERROR(MATCH(IF($B503="Robusta","Robusta",(IF($B503="","Arabica",$B503))&amp;" - "&amp;(IF($C503="","Commercial",$C503))),Variables!$B$1:$D$1,0),1))*(BJ503/365))+(INDEX(Variables!$B$8:$D$8,IFERROR(MATCH(IF($B503="Robusta","Robusta",(IF($B503="","Arabica",$B503))&amp;" - "&amp;(IF($C503="","Commercial",$C503))),Variables!$B$1:$D$1,0),1))*L503/16.67)),""))</f>
        <v>2184.9489574809786</v>
      </c>
    </row>
    <row r="504" spans="1:63">
      <c r="A504" s="13" t="s">
        <v>103</v>
      </c>
      <c r="B504" s="13" t="s">
        <v>104</v>
      </c>
      <c r="C504" s="13" t="s">
        <v>105</v>
      </c>
      <c r="D504" s="31">
        <v>45946</v>
      </c>
      <c r="E504" s="31">
        <v>46023</v>
      </c>
      <c r="F504" s="31">
        <v>46053</v>
      </c>
      <c r="G504" s="13">
        <v>3786978</v>
      </c>
      <c r="H504" s="13">
        <v>95465</v>
      </c>
      <c r="J504" s="13" t="s">
        <v>118</v>
      </c>
      <c r="K504" s="13" t="s">
        <v>1451</v>
      </c>
      <c r="L504" s="13">
        <v>1440</v>
      </c>
      <c r="M504" s="13">
        <v>4</v>
      </c>
      <c r="N504" s="13" t="s">
        <v>1450</v>
      </c>
      <c r="O504" s="13" t="s">
        <v>109</v>
      </c>
      <c r="P504" s="13">
        <v>10080</v>
      </c>
      <c r="Q504" s="13" t="s">
        <v>121</v>
      </c>
      <c r="R504" s="13" t="s">
        <v>122</v>
      </c>
      <c r="S504" s="13" t="s">
        <v>123</v>
      </c>
      <c r="T504" s="13" t="s">
        <v>124</v>
      </c>
      <c r="U504" s="13" t="s">
        <v>125</v>
      </c>
      <c r="V504" s="13">
        <v>15</v>
      </c>
      <c r="W504" s="44">
        <f>IF($AX504="Cancelled","",IFERROR(((V504+INDEX(Variables!$B$6:$D$6,IFERROR(MATCH(IF($B504="Robusta","Robusta",(IF($B504="","Arabica",$B504))&amp;" - "&amp;(IF($C504="","Commercial",$C504))),Variables!$B$1:$D$1,0),1)))*22.0462)*(L504/16.67),""))</f>
        <v>582368.82197960408</v>
      </c>
      <c r="X504" s="55" t="s">
        <v>37</v>
      </c>
      <c r="Y504" s="13" t="str">
        <f>IF($AX504="Cancelled","",IF(X504="","",IFERROR(IF(INDEX(Variables!$B$38:$B$47,MATCH(X504,Variables!$A$38:$A$47,0))="Yes","Yes","No"),"No")))</f>
        <v>Yes</v>
      </c>
      <c r="Z504" s="58">
        <v>45982</v>
      </c>
      <c r="AB504" s="31">
        <v>45996</v>
      </c>
      <c r="AC504" s="13" t="str">
        <f t="shared" si="21"/>
        <v>Approved</v>
      </c>
      <c r="AF504" s="71">
        <v>46001</v>
      </c>
      <c r="AG504" s="37">
        <f>IF($AX504="Cancelled","",IFERROR(IF(F504="","",F504-Variables!$B$13),""))</f>
        <v>46038</v>
      </c>
      <c r="AH504" s="13">
        <f>IF($AX504="Cancelled","",IFERROR(IF(AB504="","",(AVERAGE(E504:F504)-AB504)-Variables!$B$14),""))</f>
        <v>12</v>
      </c>
      <c r="AJ504" s="47">
        <v>46007</v>
      </c>
      <c r="AK504" s="14">
        <f>IF($AX504="Cancelled","",IFERROR(IF(AJ504="","",IF(AND(AB504="",AF504=""),"",IF(AF504&gt;AB504,AF504+Variables!$B$15+Variables!$B$16+Variables!$B$17-AJ504,AB504+Variables!$B$16+Variables!$B$17-AJ504))),""))</f>
        <v>9</v>
      </c>
      <c r="AL504" s="48" t="s">
        <v>114</v>
      </c>
      <c r="AM504" s="13" t="s">
        <v>168</v>
      </c>
      <c r="AN504" s="13" t="s">
        <v>1446</v>
      </c>
      <c r="AP504" s="31">
        <v>46029</v>
      </c>
      <c r="AR504" s="13" t="s">
        <v>1452</v>
      </c>
      <c r="AS504" s="31">
        <v>46029</v>
      </c>
      <c r="AU504" s="31">
        <v>46031</v>
      </c>
      <c r="AV504" s="13" t="s">
        <v>865</v>
      </c>
      <c r="AW504" s="31">
        <v>46031</v>
      </c>
      <c r="AX504" s="13" t="str">
        <f>IF(ISNUMBER(SEARCH("cancel",#REF!)),"Cancelled",IF(AND(AS504&lt;&gt;"",AU504&lt;&gt;"",AW504&lt;&gt;""),"Closed","Open"))</f>
        <v>Closed</v>
      </c>
      <c r="AY504" s="15" t="str">
        <f t="shared" si="22"/>
        <v>All dates received</v>
      </c>
      <c r="BD504" s="13">
        <f>IF($AX504="Cancelled","",IFERROR(IF(OR(AS504="",AJ504=""),"",(AJ504+Variables!$B$18-AS504)),""))</f>
        <v>-7</v>
      </c>
      <c r="BE504" s="13">
        <f>IF($AX504="Cancelled","",IFERROR(IF(OR(AW504="",AS504=""),"",(AS504+Variables!$B$19)-AW504),""))</f>
        <v>3</v>
      </c>
      <c r="BF504" s="44">
        <f>IF($AX504="Cancelled","",IFERROR(W504*INDEX(Variables!$B$7:$D$7,IFERROR(MATCH(IF($B504="Robusta","Robusta",(IF($B504="","Arabica",$B504))&amp;" - "&amp;(IF($C504="","Commercial",$C504))),Variables!$B$1:$D$1,0),1))*(BE504/365),""))</f>
        <v>308.65005084372518</v>
      </c>
      <c r="BG504" s="44">
        <f>IF($AX504="Cancelled","",IFERROR((W504*INDEX(Variables!$B$7:$D$7,IFERROR(MATCH(IF($B504="Robusta","Robusta",(IF($B504="","Arabica",$B504))&amp;" - "&amp;(IF($C504="","Commercial",$C504))),Variables!$B$1:$D$1,0),1))*IFERROR(IF(AB504="","",(AVERAGE(E504:F504)-AB504)-Variables!$B$14),"")/365)+(L504/16.67*INDEX(Variables!$B$8:$D$8,IFERROR(MATCH(IF($B504="Robusta","Robusta",(IF($B504="","Arabica",$B504))&amp;" - "&amp;(IF($C504="","Commercial",$C504))),Variables!$B$1:$D$1,0),1))*IFERROR(IF(AB504="","",(AVERAGE(E504:F504)-AB504)-Variables!$B$14),""))+(W504*INDEX(Variables!$B$9:$D$9,IFERROR(MATCH(IF($B504="Robusta","Robusta",(IF($B504="","Arabica",$B504))&amp;" - "&amp;(IF($C504="","Commercial",$C504))),Variables!$B$1:$D$1,0),1))*IFERROR(IF(AB504="","",(AVERAGE(E504:F504)-AB504)-Variables!$B$14),"")/365),""))</f>
        <v>2114.5165826092566</v>
      </c>
      <c r="BH504" s="44">
        <f>IF($AX504="Cancelled","",IFERROR((W504*INDEX(Variables!$B$7:$D$7,IFERROR(MATCH(IF($B504="Robusta","Robusta",(IF($B504="","Arabica",$B504))&amp;" - "&amp;(IF($C504="","Commercial",$C504))),Variables!$B$1:$D$1,0),1))*AK504/365)+(L504/16.67*INDEX(Variables!$B$8:$D$8,IFERROR(MATCH(IF($B504="Robusta","Robusta",(IF($B504="","Arabica",$B504))&amp;" - "&amp;(IF($C504="","Commercial",$C504))),Variables!$B$1:$D$1,0),1))*AK504)+(W504*INDEX(Variables!$B$9:$D$9,IFERROR(MATCH(IF($B504="Robusta","Robusta",(IF($B504="","Arabica",$B504))&amp;" - "&amp;(IF($C504="","Commercial",$C504))),Variables!$B$1:$D$1,0),1))*AK504/365),""))</f>
        <v>1585.8874369569423</v>
      </c>
      <c r="BI504" s="44">
        <f>IF($AX504="Cancelled","",IFERROR((W504*INDEX(Variables!$B$7:$D$7,IFERROR(MATCH(IF($B504="Robusta","Robusta",(IF($B504="","Arabica",$B504))&amp;" - "&amp;(IF($C504="","Commercial",$C504))),Variables!$B$1:$D$1,0),1))*BD504/365)+(L504/16.67*INDEX(Variables!$B$8:$D$8,IFERROR(MATCH(IF($B504="Robusta","Robusta",(IF($B504="","Arabica",$B504))&amp;" - "&amp;(IF($C504="","Commercial",$C504))),Variables!$B$1:$D$1,0),1))*BD504)+(W504*INDEX(Variables!$B$9:$D$9,IFERROR(MATCH(IF($B504="Robusta","Robusta",(IF($B504="","Arabica",$B504))&amp;" - "&amp;(IF($C504="","Commercial",$C504))),Variables!$B$1:$D$1,0),1))*BD504/365),""))</f>
        <v>-1233.4680065220662</v>
      </c>
      <c r="BJ504" s="44">
        <f t="shared" si="23"/>
        <v>24</v>
      </c>
      <c r="BK504" s="44">
        <f>IF($AX504="Cancelled","",IFERROR(IF(BJ504="","",(W504*INDEX(Variables!$B$7:$D$7,IFERROR(MATCH(IF($B504="Robusta","Robusta",(IF($B504="","Arabica",$B504))&amp;" - "&amp;(IF($C504="","Commercial",$C504))),Variables!$B$1:$D$1,0),1))*(BJ504/365))+(W504*INDEX(Variables!$B$9:$D$9,IFERROR(MATCH(IF($B504="Robusta","Robusta",(IF($B504="","Arabica",$B504))&amp;" - "&amp;(IF($C504="","Commercial",$C504))),Variables!$B$1:$D$1,0),1))*(BJ504/365))+(INDEX(Variables!$B$8:$D$8,IFERROR(MATCH(IF($B504="Robusta","Robusta",(IF($B504="","Arabica",$B504))&amp;" - "&amp;(IF($C504="","Commercial",$C504))),Variables!$B$1:$D$1,0),1))*L504/16.67)),""))</f>
        <v>2573.0331652185123</v>
      </c>
    </row>
    <row r="505" spans="1:63">
      <c r="A505" s="13" t="s">
        <v>103</v>
      </c>
      <c r="B505" s="13" t="s">
        <v>104</v>
      </c>
      <c r="C505" s="13" t="s">
        <v>105</v>
      </c>
      <c r="D505" s="31">
        <v>45946</v>
      </c>
      <c r="E505" s="31">
        <v>46023</v>
      </c>
      <c r="F505" s="31">
        <v>46053</v>
      </c>
      <c r="G505" s="13">
        <v>3786978</v>
      </c>
      <c r="H505" s="13">
        <v>95465</v>
      </c>
      <c r="J505" s="13" t="s">
        <v>118</v>
      </c>
      <c r="K505" s="13" t="s">
        <v>1453</v>
      </c>
      <c r="L505" s="13">
        <v>360</v>
      </c>
      <c r="M505" s="13">
        <v>1</v>
      </c>
      <c r="N505" s="13" t="s">
        <v>1450</v>
      </c>
      <c r="O505" s="13" t="s">
        <v>109</v>
      </c>
      <c r="P505" s="13">
        <v>10080</v>
      </c>
      <c r="Q505" s="13" t="s">
        <v>121</v>
      </c>
      <c r="R505" s="13" t="s">
        <v>122</v>
      </c>
      <c r="S505" s="13" t="s">
        <v>123</v>
      </c>
      <c r="T505" s="13" t="s">
        <v>124</v>
      </c>
      <c r="U505" s="13" t="s">
        <v>125</v>
      </c>
      <c r="V505" s="13">
        <v>15</v>
      </c>
      <c r="W505" s="44">
        <f>IF($AX505="Cancelled","",IFERROR(((V505+INDEX(Variables!$B$6:$D$6,IFERROR(MATCH(IF($B505="Robusta","Robusta",(IF($B505="","Arabica",$B505))&amp;" - "&amp;(IF($C505="","Commercial",$C505))),Variables!$B$1:$D$1,0),1)))*22.0462)*(L505/16.67),""))</f>
        <v>145592.20549490102</v>
      </c>
      <c r="X505" s="55" t="s">
        <v>37</v>
      </c>
      <c r="Y505" s="13" t="str">
        <f>IF($AX505="Cancelled","",IF(X505="","",IFERROR(IF(INDEX(Variables!$B$38:$B$47,MATCH(X505,Variables!$A$38:$A$47,0))="Yes","Yes","No"),"No")))</f>
        <v>Yes</v>
      </c>
      <c r="Z505" s="58">
        <v>45982</v>
      </c>
      <c r="AB505" s="31">
        <v>45996</v>
      </c>
      <c r="AC505" s="13" t="str">
        <f t="shared" si="21"/>
        <v>Approved</v>
      </c>
      <c r="AF505" s="71">
        <v>46001</v>
      </c>
      <c r="AG505" s="37">
        <f>IF($AX505="Cancelled","",IFERROR(IF(F505="","",F505-Variables!$B$13),""))</f>
        <v>46038</v>
      </c>
      <c r="AH505" s="13">
        <f>IF($AX505="Cancelled","",IFERROR(IF(AB505="","",(AVERAGE(E505:F505)-AB505)-Variables!$B$14),""))</f>
        <v>12</v>
      </c>
      <c r="AJ505" s="47">
        <v>46006</v>
      </c>
      <c r="AK505" s="14">
        <f>IF($AX505="Cancelled","",IFERROR(IF(AJ505="","",IF(AND(AB505="",AF505=""),"",IF(AF505&gt;AB505,AF505+Variables!$B$15+Variables!$B$16+Variables!$B$17-AJ505,AB505+Variables!$B$16+Variables!$B$17-AJ505))),""))</f>
        <v>10</v>
      </c>
      <c r="AL505" s="48" t="s">
        <v>114</v>
      </c>
      <c r="AM505" s="13" t="s">
        <v>168</v>
      </c>
      <c r="AN505" s="13" t="s">
        <v>1446</v>
      </c>
      <c r="AP505" s="31">
        <v>46029</v>
      </c>
      <c r="AR505" s="13" t="s">
        <v>1452</v>
      </c>
      <c r="AS505" s="31" t="s">
        <v>1454</v>
      </c>
      <c r="AU505" s="31">
        <v>46031</v>
      </c>
      <c r="AV505" s="13" t="s">
        <v>865</v>
      </c>
      <c r="AW505" s="31">
        <v>46037</v>
      </c>
      <c r="AX505" s="13" t="str">
        <f>IF(ISNUMBER(SEARCH("cancel",#REF!)),"Cancelled",IF(AND(AS505&lt;&gt;"",AU505&lt;&gt;"",AW505&lt;&gt;""),"Closed","Open"))</f>
        <v>Closed</v>
      </c>
      <c r="AY505" s="15" t="str">
        <f t="shared" si="22"/>
        <v>All dates received</v>
      </c>
      <c r="BD505" s="13" t="str">
        <f>IF($AX505="Cancelled","",IFERROR(IF(OR(AS505="",AJ505=""),"",(AJ505+Variables!$B$18-AS505)),""))</f>
        <v/>
      </c>
      <c r="BE505" s="13" t="str">
        <f>IF($AX505="Cancelled","",IFERROR(IF(OR(AW505="",AS505=""),"",(AS505+Variables!$B$19)-AW505),""))</f>
        <v/>
      </c>
      <c r="BF505" s="44" t="str">
        <f>IF($AX505="Cancelled","",IFERROR(W505*INDEX(Variables!$B$7:$D$7,IFERROR(MATCH(IF($B505="Robusta","Robusta",(IF($B505="","Arabica",$B505))&amp;" - "&amp;(IF($C505="","Commercial",$C505))),Variables!$B$1:$D$1,0),1))*(BE505/365),""))</f>
        <v/>
      </c>
      <c r="BG505" s="44">
        <f>IF($AX505="Cancelled","",IFERROR((W505*INDEX(Variables!$B$7:$D$7,IFERROR(MATCH(IF($B505="Robusta","Robusta",(IF($B505="","Arabica",$B505))&amp;" - "&amp;(IF($C505="","Commercial",$C505))),Variables!$B$1:$D$1,0),1))*IFERROR(IF(AB505="","",(AVERAGE(E505:F505)-AB505)-Variables!$B$14),"")/365)+(L505/16.67*INDEX(Variables!$B$8:$D$8,IFERROR(MATCH(IF($B505="Robusta","Robusta",(IF($B505="","Arabica",$B505))&amp;" - "&amp;(IF($C505="","Commercial",$C505))),Variables!$B$1:$D$1,0),1))*IFERROR(IF(AB505="","",(AVERAGE(E505:F505)-AB505)-Variables!$B$14),""))+(W505*INDEX(Variables!$B$9:$D$9,IFERROR(MATCH(IF($B505="Robusta","Robusta",(IF($B505="","Arabica",$B505))&amp;" - "&amp;(IF($C505="","Commercial",$C505))),Variables!$B$1:$D$1,0),1))*IFERROR(IF(AB505="","",(AVERAGE(E505:F505)-AB505)-Variables!$B$14),"")/365),""))</f>
        <v>528.62914565231415</v>
      </c>
      <c r="BH505" s="44">
        <f>IF($AX505="Cancelled","",IFERROR((W505*INDEX(Variables!$B$7:$D$7,IFERROR(MATCH(IF($B505="Robusta","Robusta",(IF($B505="","Arabica",$B505))&amp;" - "&amp;(IF($C505="","Commercial",$C505))),Variables!$B$1:$D$1,0),1))*AK505/365)+(L505/16.67*INDEX(Variables!$B$8:$D$8,IFERROR(MATCH(IF($B505="Robusta","Robusta",(IF($B505="","Arabica",$B505))&amp;" - "&amp;(IF($C505="","Commercial",$C505))),Variables!$B$1:$D$1,0),1))*AK505)+(W505*INDEX(Variables!$B$9:$D$9,IFERROR(MATCH(IF($B505="Robusta","Robusta",(IF($B505="","Arabica",$B505))&amp;" - "&amp;(IF($C505="","Commercial",$C505))),Variables!$B$1:$D$1,0),1))*AK505/365),""))</f>
        <v>440.52428804359511</v>
      </c>
      <c r="BI505" s="44" t="str">
        <f>IF($AX505="Cancelled","",IFERROR((W505*INDEX(Variables!$B$7:$D$7,IFERROR(MATCH(IF($B505="Robusta","Robusta",(IF($B505="","Arabica",$B505))&amp;" - "&amp;(IF($C505="","Commercial",$C505))),Variables!$B$1:$D$1,0),1))*BD505/365)+(L505/16.67*INDEX(Variables!$B$8:$D$8,IFERROR(MATCH(IF($B505="Robusta","Robusta",(IF($B505="","Arabica",$B505))&amp;" - "&amp;(IF($C505="","Commercial",$C505))),Variables!$B$1:$D$1,0),1))*BD505)+(W505*INDEX(Variables!$B$9:$D$9,IFERROR(MATCH(IF($B505="Robusta","Robusta",(IF($B505="","Arabica",$B505))&amp;" - "&amp;(IF($C505="","Commercial",$C505))),Variables!$B$1:$D$1,0),1))*BD505/365),""))</f>
        <v/>
      </c>
      <c r="BJ505" s="44" t="str">
        <f t="shared" si="23"/>
        <v/>
      </c>
      <c r="BK505" s="44" t="str">
        <f>IF($AX505="Cancelled","",IFERROR(IF(BJ505="","",(W505*INDEX(Variables!$B$7:$D$7,IFERROR(MATCH(IF($B505="Robusta","Robusta",(IF($B505="","Arabica",$B505))&amp;" - "&amp;(IF($C505="","Commercial",$C505))),Variables!$B$1:$D$1,0),1))*(BJ505/365))+(W505*INDEX(Variables!$B$9:$D$9,IFERROR(MATCH(IF($B505="Robusta","Robusta",(IF($B505="","Arabica",$B505))&amp;" - "&amp;(IF($C505="","Commercial",$C505))),Variables!$B$1:$D$1,0),1))*(BJ505/365))+(INDEX(Variables!$B$8:$D$8,IFERROR(MATCH(IF($B505="Robusta","Robusta",(IF($B505="","Arabica",$B505))&amp;" - "&amp;(IF($C505="","Commercial",$C505))),Variables!$B$1:$D$1,0),1))*L505/16.67)),""))</f>
        <v/>
      </c>
    </row>
    <row r="506" spans="1:63">
      <c r="A506" s="13" t="s">
        <v>103</v>
      </c>
      <c r="B506" s="13" t="s">
        <v>104</v>
      </c>
      <c r="C506" s="13" t="s">
        <v>105</v>
      </c>
      <c r="D506" s="31">
        <v>45951</v>
      </c>
      <c r="E506" s="31">
        <v>45992</v>
      </c>
      <c r="F506" s="31">
        <v>46053</v>
      </c>
      <c r="G506" s="13">
        <v>3786979</v>
      </c>
      <c r="H506" s="13" t="s">
        <v>1455</v>
      </c>
      <c r="J506" s="13" t="s">
        <v>611</v>
      </c>
      <c r="K506" s="13" t="s">
        <v>1456</v>
      </c>
      <c r="L506" s="13">
        <v>200</v>
      </c>
      <c r="M506" s="13">
        <v>1</v>
      </c>
      <c r="N506" s="13" t="s">
        <v>120</v>
      </c>
      <c r="O506" s="13" t="s">
        <v>120</v>
      </c>
      <c r="P506" s="13">
        <v>10070</v>
      </c>
      <c r="R506" s="13" t="s">
        <v>110</v>
      </c>
      <c r="S506" s="13" t="s">
        <v>1457</v>
      </c>
      <c r="T506" s="13" t="s">
        <v>112</v>
      </c>
      <c r="U506" s="13" t="s">
        <v>113</v>
      </c>
      <c r="V506" s="13">
        <v>43</v>
      </c>
      <c r="W506" s="44">
        <f>IF($AX506="Cancelled","",IFERROR(((V506+INDEX(Variables!$B$6:$D$6,IFERROR(MATCH(IF($B506="Robusta","Robusta",(IF($B506="","Arabica",$B506))&amp;" - "&amp;(IF($C506="","Commercial",$C506))),Variables!$B$1:$D$1,0),1)))*22.0462)*(L506/16.67),""))</f>
        <v>88290.60059988001</v>
      </c>
      <c r="X506" s="55" t="s">
        <v>37</v>
      </c>
      <c r="Y506" s="13" t="str">
        <f>IF($AX506="Cancelled","",IF(X506="","",IFERROR(IF(INDEX(Variables!$B$38:$B$47,MATCH(X506,Variables!$A$38:$A$47,0))="Yes","Yes","No"),"No")))</f>
        <v>Yes</v>
      </c>
      <c r="Z506" s="58">
        <v>45974</v>
      </c>
      <c r="AB506" s="31">
        <v>45979</v>
      </c>
      <c r="AC506" s="13" t="str">
        <f t="shared" si="21"/>
        <v>Approved</v>
      </c>
      <c r="AF506" s="71">
        <v>45982</v>
      </c>
      <c r="AG506" s="37">
        <f>IF($AX506="Cancelled","",IFERROR(IF(F506="","",F506-Variables!$B$13),""))</f>
        <v>46038</v>
      </c>
      <c r="AH506" s="13">
        <f>IF($AX506="Cancelled","",IFERROR(IF(AB506="","",(AVERAGE(E506:F506)-AB506)-Variables!$B$14),""))</f>
        <v>13.5</v>
      </c>
      <c r="AJ506" s="47">
        <v>45992</v>
      </c>
      <c r="AK506" s="14">
        <f>IF($AX506="Cancelled","",IFERROR(IF(AJ506="","",IF(AND(AB506="",AF506=""),"",IF(AF506&gt;AB506,AF506+Variables!$B$15+Variables!$B$16+Variables!$B$17-AJ506,AB506+Variables!$B$16+Variables!$B$17-AJ506))),""))</f>
        <v>5</v>
      </c>
      <c r="AL506" s="48" t="s">
        <v>114</v>
      </c>
      <c r="AM506" s="13" t="s">
        <v>134</v>
      </c>
      <c r="AN506" s="13" t="s">
        <v>1458</v>
      </c>
      <c r="AP506" s="31">
        <v>46015</v>
      </c>
      <c r="AR506" s="13" t="s">
        <v>1459</v>
      </c>
      <c r="AS506" s="31">
        <v>46015</v>
      </c>
      <c r="AU506" s="31">
        <v>46030</v>
      </c>
      <c r="AV506" s="13" t="s">
        <v>8</v>
      </c>
      <c r="AW506" s="31">
        <v>46048</v>
      </c>
      <c r="AX506" s="13" t="str">
        <f>IF(ISNUMBER(SEARCH("cancel",#REF!)),"Cancelled",IF(AND(AS506&lt;&gt;"",AU506&lt;&gt;"",AW506&lt;&gt;""),"Closed","Open"))</f>
        <v>Closed</v>
      </c>
      <c r="AY506" s="15" t="str">
        <f t="shared" si="22"/>
        <v>All dates received</v>
      </c>
      <c r="BD506" s="13">
        <f>IF($AX506="Cancelled","",IFERROR(IF(OR(AS506="",AJ506=""),"",(AJ506+Variables!$B$18-AS506)),""))</f>
        <v>-8</v>
      </c>
      <c r="BE506" s="13">
        <f>IF($AX506="Cancelled","",IFERROR(IF(OR(AW506="",AS506=""),"",(AS506+Variables!$B$19)-AW506),""))</f>
        <v>-28</v>
      </c>
      <c r="BF506" s="44">
        <f>IF($AX506="Cancelled","",IFERROR(W506*INDEX(Variables!$B$7:$D$7,IFERROR(MATCH(IF($B506="Robusta","Robusta",(IF($B506="","Arabica",$B506))&amp;" - "&amp;(IF($C506="","Commercial",$C506))),Variables!$B$1:$D$1,0),1))*(BE506/365),""))</f>
        <v>-436.73649492614885</v>
      </c>
      <c r="BG506" s="44">
        <f>IF($AX506="Cancelled","",IFERROR((W506*INDEX(Variables!$B$7:$D$7,IFERROR(MATCH(IF($B506="Robusta","Robusta",(IF($B506="","Arabica",$B506))&amp;" - "&amp;(IF($C506="","Commercial",$C506))),Variables!$B$1:$D$1,0),1))*IFERROR(IF(AB506="","",(AVERAGE(E506:F506)-AB506)-Variables!$B$14),"")/365)+(L506/16.67*INDEX(Variables!$B$8:$D$8,IFERROR(MATCH(IF($B506="Robusta","Robusta",(IF($B506="","Arabica",$B506))&amp;" - "&amp;(IF($C506="","Commercial",$C506))),Variables!$B$1:$D$1,0),1))*IFERROR(IF(AB506="","",(AVERAGE(E506:F506)-AB506)-Variables!$B$14),""))+(W506*INDEX(Variables!$B$9:$D$9,IFERROR(MATCH(IF($B506="Robusta","Robusta",(IF($B506="","Arabica",$B506))&amp;" - "&amp;(IF($C506="","Commercial",$C506))),Variables!$B$1:$D$1,0),1))*IFERROR(IF(AB506="","",(AVERAGE(E506:F506)-AB506)-Variables!$B$14),"")/365),""))</f>
        <v>348.28402718022892</v>
      </c>
      <c r="BH506" s="44">
        <f>IF($AX506="Cancelled","",IFERROR((W506*INDEX(Variables!$B$7:$D$7,IFERROR(MATCH(IF($B506="Robusta","Robusta",(IF($B506="","Arabica",$B506))&amp;" - "&amp;(IF($C506="","Commercial",$C506))),Variables!$B$1:$D$1,0),1))*AK506/365)+(L506/16.67*INDEX(Variables!$B$8:$D$8,IFERROR(MATCH(IF($B506="Robusta","Robusta",(IF($B506="","Arabica",$B506))&amp;" - "&amp;(IF($C506="","Commercial",$C506))),Variables!$B$1:$D$1,0),1))*AK506)+(W506*INDEX(Variables!$B$9:$D$9,IFERROR(MATCH(IF($B506="Robusta","Robusta",(IF($B506="","Arabica",$B506))&amp;" - "&amp;(IF($C506="","Commercial",$C506))),Variables!$B$1:$D$1,0),1))*AK506/365),""))</f>
        <v>128.99408414082552</v>
      </c>
      <c r="BI506" s="44">
        <f>IF($AX506="Cancelled","",IFERROR((W506*INDEX(Variables!$B$7:$D$7,IFERROR(MATCH(IF($B506="Robusta","Robusta",(IF($B506="","Arabica",$B506))&amp;" - "&amp;(IF($C506="","Commercial",$C506))),Variables!$B$1:$D$1,0),1))*BD506/365)+(L506/16.67*INDEX(Variables!$B$8:$D$8,IFERROR(MATCH(IF($B506="Robusta","Robusta",(IF($B506="","Arabica",$B506))&amp;" - "&amp;(IF($C506="","Commercial",$C506))),Variables!$B$1:$D$1,0),1))*BD506)+(W506*INDEX(Variables!$B$9:$D$9,IFERROR(MATCH(IF($B506="Robusta","Robusta",(IF($B506="","Arabica",$B506))&amp;" - "&amp;(IF($C506="","Commercial",$C506))),Variables!$B$1:$D$1,0),1))*BD506/365),""))</f>
        <v>-206.39053462532084</v>
      </c>
      <c r="BJ506" s="44">
        <f t="shared" si="23"/>
        <v>38</v>
      </c>
      <c r="BK506" s="44">
        <f>IF($AX506="Cancelled","",IFERROR(IF(BJ506="","",(W506*INDEX(Variables!$B$7:$D$7,IFERROR(MATCH(IF($B506="Robusta","Robusta",(IF($B506="","Arabica",$B506))&amp;" - "&amp;(IF($C506="","Commercial",$C506))),Variables!$B$1:$D$1,0),1))*(BJ506/365))+(W506*INDEX(Variables!$B$9:$D$9,IFERROR(MATCH(IF($B506="Robusta","Robusta",(IF($B506="","Arabica",$B506))&amp;" - "&amp;(IF($C506="","Commercial",$C506))),Variables!$B$1:$D$1,0),1))*(BJ506/365))+(INDEX(Variables!$B$8:$D$8,IFERROR(MATCH(IF($B506="Robusta","Robusta",(IF($B506="","Arabica",$B506))&amp;" - "&amp;(IF($C506="","Commercial",$C506))),Variables!$B$1:$D$1,0),1))*L506/16.67)),""))</f>
        <v>610.35503947027394</v>
      </c>
    </row>
    <row r="507" spans="1:63">
      <c r="A507" s="13" t="s">
        <v>103</v>
      </c>
      <c r="B507" s="13" t="s">
        <v>104</v>
      </c>
      <c r="C507" s="13" t="s">
        <v>105</v>
      </c>
      <c r="D507" s="31">
        <v>45958</v>
      </c>
      <c r="E507" s="31">
        <v>45992</v>
      </c>
      <c r="F507" s="31">
        <v>46022</v>
      </c>
      <c r="G507" s="13">
        <v>3786980</v>
      </c>
      <c r="H507" s="13">
        <v>95561</v>
      </c>
      <c r="J507" s="13" t="s">
        <v>118</v>
      </c>
      <c r="K507" s="13">
        <v>5351</v>
      </c>
      <c r="L507" s="13">
        <v>720</v>
      </c>
      <c r="M507" s="13">
        <v>2</v>
      </c>
      <c r="N507" s="13" t="s">
        <v>1460</v>
      </c>
      <c r="O507" s="13" t="s">
        <v>456</v>
      </c>
      <c r="P507" s="13">
        <v>10140</v>
      </c>
      <c r="Q507" s="13" t="s">
        <v>1461</v>
      </c>
      <c r="R507" s="13" t="s">
        <v>122</v>
      </c>
      <c r="S507" s="13" t="s">
        <v>154</v>
      </c>
      <c r="T507" s="13" t="s">
        <v>155</v>
      </c>
      <c r="U507" s="13" t="s">
        <v>125</v>
      </c>
      <c r="V507" s="13">
        <v>-25</v>
      </c>
      <c r="W507" s="44">
        <f>IF($AX507="Cancelled","",IFERROR(((V507+INDEX(Variables!$B$6:$D$6,IFERROR(MATCH(IF($B507="Robusta","Robusta",(IF($B507="","Arabica",$B507))&amp;" - "&amp;(IF($C507="","Commercial",$C507))),Variables!$B$1:$D$1,0),1)))*22.0462)*(L507/16.67),""))</f>
        <v>253096.19503299339</v>
      </c>
      <c r="X507" s="55" t="s">
        <v>37</v>
      </c>
      <c r="Y507" s="13" t="str">
        <f>IF($AX507="Cancelled","",IF(X507="","",IFERROR(IF(INDEX(Variables!$B$38:$B$47,MATCH(X507,Variables!$A$38:$A$47,0))="Yes","Yes","No"),"No")))</f>
        <v>Yes</v>
      </c>
      <c r="Z507" s="58">
        <v>45965</v>
      </c>
      <c r="AB507" s="31">
        <v>45976.875</v>
      </c>
      <c r="AC507" s="13" t="str">
        <f t="shared" si="21"/>
        <v>Approved</v>
      </c>
      <c r="AF507" s="71">
        <v>45975</v>
      </c>
      <c r="AG507" s="37">
        <f>IF($AX507="Cancelled","",IFERROR(IF(F507="","",F507-Variables!$B$13),""))</f>
        <v>46007</v>
      </c>
      <c r="AH507" s="13">
        <f>IF($AX507="Cancelled","",IFERROR(IF(AB507="","",(AVERAGE(E507:F507)-AB507)-Variables!$B$14),""))</f>
        <v>0.125</v>
      </c>
      <c r="AJ507" s="47">
        <v>45975</v>
      </c>
      <c r="AK507" s="14">
        <f>IF($AX507="Cancelled","",IFERROR(IF(AJ507="","",IF(AND(AB507="",AF507=""),"",IF(AF507&gt;AB507,AF507+Variables!$B$15+Variables!$B$16+Variables!$B$17-AJ507,AB507+Variables!$B$16+Variables!$B$17-AJ507))),""))</f>
        <v>9.875</v>
      </c>
      <c r="AL507" s="48" t="s">
        <v>350</v>
      </c>
      <c r="AM507" s="13" t="s">
        <v>168</v>
      </c>
      <c r="AN507" s="13" t="s">
        <v>408</v>
      </c>
      <c r="AP507" s="31">
        <v>45993</v>
      </c>
      <c r="AR507" s="13" t="s">
        <v>1462</v>
      </c>
      <c r="AS507" s="31">
        <v>45993</v>
      </c>
      <c r="AU507" s="31">
        <v>45995</v>
      </c>
      <c r="AV507" s="13" t="s">
        <v>865</v>
      </c>
      <c r="AW507" s="31">
        <v>45996</v>
      </c>
      <c r="AX507" s="13" t="str">
        <f>IF(ISNUMBER(SEARCH("cancel",#REF!)),"Cancelled",IF(AND(AS507&lt;&gt;"",AU507&lt;&gt;"",AW507&lt;&gt;""),"Closed","Open"))</f>
        <v>Closed</v>
      </c>
      <c r="AY507" s="15" t="str">
        <f t="shared" si="22"/>
        <v>All dates received</v>
      </c>
      <c r="BD507" s="13">
        <f>IF($AX507="Cancelled","",IFERROR(IF(OR(AS507="",AJ507=""),"",(AJ507+Variables!$B$18-AS507)),""))</f>
        <v>-3</v>
      </c>
      <c r="BE507" s="13">
        <f>IF($AX507="Cancelled","",IFERROR(IF(OR(AW507="",AS507=""),"",(AS507+Variables!$B$19)-AW507),""))</f>
        <v>2</v>
      </c>
      <c r="BF507" s="44">
        <f>IF($AX507="Cancelled","",IFERROR(W507*INDEX(Variables!$B$7:$D$7,IFERROR(MATCH(IF($B507="Robusta","Robusta",(IF($B507="","Arabica",$B507))&amp;" - "&amp;(IF($C507="","Commercial",$C507))),Variables!$B$1:$D$1,0),1))*(BE507/365),""))</f>
        <v>89.425750506062954</v>
      </c>
      <c r="BG507" s="44">
        <f>IF($AX507="Cancelled","",IFERROR((W507*INDEX(Variables!$B$7:$D$7,IFERROR(MATCH(IF($B507="Robusta","Robusta",(IF($B507="","Arabica",$B507))&amp;" - "&amp;(IF($C507="","Commercial",$C507))),Variables!$B$1:$D$1,0),1))*IFERROR(IF(AB507="","",(AVERAGE(E507:F507)-AB507)-Variables!$B$14),"")/365)+(L507/16.67*INDEX(Variables!$B$8:$D$8,IFERROR(MATCH(IF($B507="Robusta","Robusta",(IF($B507="","Arabica",$B507))&amp;" - "&amp;(IF($C507="","Commercial",$C507))),Variables!$B$1:$D$1,0),1))*IFERROR(IF(AB507="","",(AVERAGE(E507:F507)-AB507)-Variables!$B$14),""))+(W507*INDEX(Variables!$B$9:$D$9,IFERROR(MATCH(IF($B507="Robusta","Robusta",(IF($B507="","Arabica",$B507))&amp;" - "&amp;(IF($C507="","Commercial",$C507))),Variables!$B$1:$D$1,0),1))*IFERROR(IF(AB507="","",(AVERAGE(E507:F507)-AB507)-Variables!$B$14),"")/365),""))</f>
        <v>10.161163813112131</v>
      </c>
      <c r="BH507" s="44">
        <f>IF($AX507="Cancelled","",IFERROR((W507*INDEX(Variables!$B$7:$D$7,IFERROR(MATCH(IF($B507="Robusta","Robusta",(IF($B507="","Arabica",$B507))&amp;" - "&amp;(IF($C507="","Commercial",$C507))),Variables!$B$1:$D$1,0),1))*AK507/365)+(L507/16.67*INDEX(Variables!$B$8:$D$8,IFERROR(MATCH(IF($B507="Robusta","Robusta",(IF($B507="","Arabica",$B507))&amp;" - "&amp;(IF($C507="","Commercial",$C507))),Variables!$B$1:$D$1,0),1))*AK507)+(W507*INDEX(Variables!$B$9:$D$9,IFERROR(MATCH(IF($B507="Robusta","Robusta",(IF($B507="","Arabica",$B507))&amp;" - "&amp;(IF($C507="","Commercial",$C507))),Variables!$B$1:$D$1,0),1))*AK507/365),""))</f>
        <v>802.73194123585824</v>
      </c>
      <c r="BI507" s="44">
        <f>IF($AX507="Cancelled","",IFERROR((W507*INDEX(Variables!$B$7:$D$7,IFERROR(MATCH(IF($B507="Robusta","Robusta",(IF($B507="","Arabica",$B507))&amp;" - "&amp;(IF($C507="","Commercial",$C507))),Variables!$B$1:$D$1,0),1))*BD507/365)+(L507/16.67*INDEX(Variables!$B$8:$D$8,IFERROR(MATCH(IF($B507="Robusta","Robusta",(IF($B507="","Arabica",$B507))&amp;" - "&amp;(IF($C507="","Commercial",$C507))),Variables!$B$1:$D$1,0),1))*BD507)+(W507*INDEX(Variables!$B$9:$D$9,IFERROR(MATCH(IF($B507="Robusta","Robusta",(IF($B507="","Arabica",$B507))&amp;" - "&amp;(IF($C507="","Commercial",$C507))),Variables!$B$1:$D$1,0),1))*BD507/365),""))</f>
        <v>-243.86793151469109</v>
      </c>
      <c r="BJ507" s="44">
        <f t="shared" si="23"/>
        <v>29</v>
      </c>
      <c r="BK507" s="44">
        <f>IF($AX507="Cancelled","",IFERROR(IF(BJ507="","",(W507*INDEX(Variables!$B$7:$D$7,IFERROR(MATCH(IF($B507="Robusta","Robusta",(IF($B507="","Arabica",$B507))&amp;" - "&amp;(IF($C507="","Commercial",$C507))),Variables!$B$1:$D$1,0),1))*(BJ507/365))+(W507*INDEX(Variables!$B$9:$D$9,IFERROR(MATCH(IF($B507="Robusta","Robusta",(IF($B507="","Arabica",$B507))&amp;" - "&amp;(IF($C507="","Commercial",$C507))),Variables!$B$1:$D$1,0),1))*(BJ507/365))+(INDEX(Variables!$B$8:$D$8,IFERROR(MATCH(IF($B507="Robusta","Robusta",(IF($B507="","Arabica",$B507))&amp;" - "&amp;(IF($C507="","Commercial",$C507))),Variables!$B$1:$D$1,0),1))*L507/16.67)),""))</f>
        <v>1349.390004642014</v>
      </c>
    </row>
    <row r="508" spans="1:63">
      <c r="A508" s="13" t="s">
        <v>103</v>
      </c>
      <c r="B508" s="13" t="s">
        <v>104</v>
      </c>
      <c r="C508" s="13" t="s">
        <v>105</v>
      </c>
      <c r="D508" s="31">
        <v>45958</v>
      </c>
      <c r="E508" s="31">
        <v>46023</v>
      </c>
      <c r="F508" s="31">
        <v>46053</v>
      </c>
      <c r="G508" s="13">
        <v>3786981</v>
      </c>
      <c r="H508" s="13">
        <v>95562</v>
      </c>
      <c r="J508" s="13" t="s">
        <v>118</v>
      </c>
      <c r="K508" s="13">
        <v>5360</v>
      </c>
      <c r="L508" s="13">
        <v>720</v>
      </c>
      <c r="M508" s="13">
        <v>2</v>
      </c>
      <c r="N508" s="13" t="s">
        <v>1460</v>
      </c>
      <c r="O508" s="13" t="s">
        <v>456</v>
      </c>
      <c r="P508" s="13">
        <v>10140</v>
      </c>
      <c r="Q508" s="13" t="s">
        <v>1461</v>
      </c>
      <c r="R508" s="13" t="s">
        <v>122</v>
      </c>
      <c r="S508" s="13" t="s">
        <v>154</v>
      </c>
      <c r="T508" s="13" t="s">
        <v>155</v>
      </c>
      <c r="U508" s="13" t="s">
        <v>125</v>
      </c>
      <c r="V508" s="13">
        <v>-25</v>
      </c>
      <c r="W508" s="44">
        <f>IF($AX508="Cancelled","",IFERROR(((V508+INDEX(Variables!$B$6:$D$6,IFERROR(MATCH(IF($B508="Robusta","Robusta",(IF($B508="","Arabica",$B508))&amp;" - "&amp;(IF($C508="","Commercial",$C508))),Variables!$B$1:$D$1,0),1)))*22.0462)*(L508/16.67),""))</f>
        <v>253096.19503299339</v>
      </c>
      <c r="X508" s="55" t="s">
        <v>37</v>
      </c>
      <c r="Y508" s="13" t="str">
        <f>IF($AX508="Cancelled","",IF(X508="","",IFERROR(IF(INDEX(Variables!$B$38:$B$47,MATCH(X508,Variables!$A$38:$A$47,0))="Yes","Yes","No"),"No")))</f>
        <v>Yes</v>
      </c>
      <c r="Z508" s="58">
        <v>45974</v>
      </c>
      <c r="AC508" s="13" t="str">
        <f t="shared" si="21"/>
        <v/>
      </c>
      <c r="AF508" s="71">
        <v>45982</v>
      </c>
      <c r="AG508" s="37">
        <f>IF($AX508="Cancelled","",IFERROR(IF(F508="","",F508-Variables!$B$13),""))</f>
        <v>46038</v>
      </c>
      <c r="AH508" s="13" t="str">
        <f>IF($AX508="Cancelled","",IFERROR(IF(AB508="","",(AVERAGE(E508:F508)-AB508)-Variables!$B$14),""))</f>
        <v/>
      </c>
      <c r="AJ508" s="47">
        <v>45993</v>
      </c>
      <c r="AK508" s="14">
        <f>IF($AX508="Cancelled","",IFERROR(IF(AJ508="","",IF(AND(AB508="",AF508=""),"",IF(AF508&gt;AB508,AF508+Variables!$B$15+Variables!$B$16+Variables!$B$17-AJ508,AB508+Variables!$B$16+Variables!$B$17-AJ508))),""))</f>
        <v>4</v>
      </c>
      <c r="AL508" s="48" t="s">
        <v>114</v>
      </c>
      <c r="AM508" s="13" t="s">
        <v>115</v>
      </c>
      <c r="AN508" s="13" t="s">
        <v>1463</v>
      </c>
      <c r="AP508" s="31">
        <v>46002</v>
      </c>
      <c r="AR508" s="13">
        <v>262438001</v>
      </c>
      <c r="AS508" s="31">
        <v>46002</v>
      </c>
      <c r="AU508" s="31">
        <v>46007</v>
      </c>
      <c r="AV508" s="13" t="s">
        <v>865</v>
      </c>
      <c r="AW508" s="31">
        <v>46010</v>
      </c>
      <c r="AX508" s="13" t="str">
        <f>IF(ISNUMBER(SEARCH("cancel",#REF!)),"Cancelled",IF(AND(AS508&lt;&gt;"",AU508&lt;&gt;"",AW508&lt;&gt;""),"Closed","Open"))</f>
        <v>Closed</v>
      </c>
      <c r="AY508" s="15" t="str">
        <f t="shared" si="22"/>
        <v>All dates received</v>
      </c>
      <c r="BD508" s="13">
        <f>IF($AX508="Cancelled","",IFERROR(IF(OR(AS508="",AJ508=""),"",(AJ508+Variables!$B$18-AS508)),""))</f>
        <v>6</v>
      </c>
      <c r="BE508" s="13">
        <f>IF($AX508="Cancelled","",IFERROR(IF(OR(AW508="",AS508=""),"",(AS508+Variables!$B$19)-AW508),""))</f>
        <v>-3</v>
      </c>
      <c r="BF508" s="44">
        <f>IF($AX508="Cancelled","",IFERROR(W508*INDEX(Variables!$B$7:$D$7,IFERROR(MATCH(IF($B508="Robusta","Robusta",(IF($B508="","Arabica",$B508))&amp;" - "&amp;(IF($C508="","Commercial",$C508))),Variables!$B$1:$D$1,0),1))*(BE508/365),""))</f>
        <v>-134.1386257590944</v>
      </c>
      <c r="BG508" s="44" t="str">
        <f>IF($AX508="Cancelled","",IFERROR((W508*INDEX(Variables!$B$7:$D$7,IFERROR(MATCH(IF($B508="Robusta","Robusta",(IF($B508="","Arabica",$B508))&amp;" - "&amp;(IF($C508="","Commercial",$C508))),Variables!$B$1:$D$1,0),1))*IFERROR(IF(AB508="","",(AVERAGE(E508:F508)-AB508)-Variables!$B$14),"")/365)+(L508/16.67*INDEX(Variables!$B$8:$D$8,IFERROR(MATCH(IF($B508="Robusta","Robusta",(IF($B508="","Arabica",$B508))&amp;" - "&amp;(IF($C508="","Commercial",$C508))),Variables!$B$1:$D$1,0),1))*IFERROR(IF(AB508="","",(AVERAGE(E508:F508)-AB508)-Variables!$B$14),""))+(W508*INDEX(Variables!$B$9:$D$9,IFERROR(MATCH(IF($B508="Robusta","Robusta",(IF($B508="","Arabica",$B508))&amp;" - "&amp;(IF($C508="","Commercial",$C508))),Variables!$B$1:$D$1,0),1))*IFERROR(IF(AB508="","",(AVERAGE(E508:F508)-AB508)-Variables!$B$14),"")/365),""))</f>
        <v/>
      </c>
      <c r="BH508" s="44">
        <f>IF($AX508="Cancelled","",IFERROR((W508*INDEX(Variables!$B$7:$D$7,IFERROR(MATCH(IF($B508="Robusta","Robusta",(IF($B508="","Arabica",$B508))&amp;" - "&amp;(IF($C508="","Commercial",$C508))),Variables!$B$1:$D$1,0),1))*AK508/365)+(L508/16.67*INDEX(Variables!$B$8:$D$8,IFERROR(MATCH(IF($B508="Robusta","Robusta",(IF($B508="","Arabica",$B508))&amp;" - "&amp;(IF($C508="","Commercial",$C508))),Variables!$B$1:$D$1,0),1))*AK508)+(W508*INDEX(Variables!$B$9:$D$9,IFERROR(MATCH(IF($B508="Robusta","Robusta",(IF($B508="","Arabica",$B508))&amp;" - "&amp;(IF($C508="","Commercial",$C508))),Variables!$B$1:$D$1,0),1))*AK508/365),""))</f>
        <v>325.15724201958818</v>
      </c>
      <c r="BI508" s="44">
        <f>IF($AX508="Cancelled","",IFERROR((W508*INDEX(Variables!$B$7:$D$7,IFERROR(MATCH(IF($B508="Robusta","Robusta",(IF($B508="","Arabica",$B508))&amp;" - "&amp;(IF($C508="","Commercial",$C508))),Variables!$B$1:$D$1,0),1))*BD508/365)+(L508/16.67*INDEX(Variables!$B$8:$D$8,IFERROR(MATCH(IF($B508="Robusta","Robusta",(IF($B508="","Arabica",$B508))&amp;" - "&amp;(IF($C508="","Commercial",$C508))),Variables!$B$1:$D$1,0),1))*BD508)+(W508*INDEX(Variables!$B$9:$D$9,IFERROR(MATCH(IF($B508="Robusta","Robusta",(IF($B508="","Arabica",$B508))&amp;" - "&amp;(IF($C508="","Commercial",$C508))),Variables!$B$1:$D$1,0),1))*BD508/365),""))</f>
        <v>487.73586302938219</v>
      </c>
      <c r="BJ508" s="44">
        <f t="shared" si="23"/>
        <v>51</v>
      </c>
      <c r="BK508" s="44">
        <f>IF($AX508="Cancelled","",IFERROR(IF(BJ508="","",(W508*INDEX(Variables!$B$7:$D$7,IFERROR(MATCH(IF($B508="Robusta","Robusta",(IF($B508="","Arabica",$B508))&amp;" - "&amp;(IF($C508="","Commercial",$C508))),Variables!$B$1:$D$1,0),1))*(BJ508/365))+(W508*INDEX(Variables!$B$9:$D$9,IFERROR(MATCH(IF($B508="Robusta","Robusta",(IF($B508="","Arabica",$B508))&amp;" - "&amp;(IF($C508="","Commercial",$C508))),Variables!$B$1:$D$1,0),1))*(BJ508/365))+(INDEX(Variables!$B$8:$D$8,IFERROR(MATCH(IF($B508="Robusta","Robusta",(IF($B508="","Arabica",$B508))&amp;" - "&amp;(IF($C508="","Commercial",$C508))),Variables!$B$1:$D$1,0),1))*L508/16.67)),""))</f>
        <v>2345.7548357497485</v>
      </c>
    </row>
    <row r="509" spans="1:63">
      <c r="A509" s="13" t="s">
        <v>103</v>
      </c>
      <c r="B509" s="13" t="s">
        <v>104</v>
      </c>
      <c r="C509" s="13" t="s">
        <v>105</v>
      </c>
      <c r="D509" s="31">
        <v>45959</v>
      </c>
      <c r="E509" s="31">
        <v>46023</v>
      </c>
      <c r="F509" s="31">
        <v>46053</v>
      </c>
      <c r="G509" s="13">
        <v>3786982</v>
      </c>
      <c r="H509" s="13">
        <v>4509839</v>
      </c>
      <c r="J509" s="13" t="s">
        <v>236</v>
      </c>
      <c r="K509" s="13">
        <v>5357</v>
      </c>
      <c r="L509" s="13">
        <v>667</v>
      </c>
      <c r="M509" s="13">
        <v>2</v>
      </c>
      <c r="N509" s="13" t="s">
        <v>1464</v>
      </c>
      <c r="O509" s="13" t="s">
        <v>456</v>
      </c>
      <c r="P509" s="13">
        <v>10140</v>
      </c>
      <c r="R509" s="13" t="s">
        <v>271</v>
      </c>
      <c r="S509" s="13" t="s">
        <v>1465</v>
      </c>
      <c r="T509" s="13" t="s">
        <v>253</v>
      </c>
      <c r="U509" s="13" t="s">
        <v>182</v>
      </c>
      <c r="V509" s="13">
        <v>-25</v>
      </c>
      <c r="W509" s="44">
        <f>IF($AX509="Cancelled","",IFERROR(((V509+INDEX(Variables!$B$6:$D$6,IFERROR(MATCH(IF($B509="Robusta","Robusta",(IF($B509="","Arabica",$B509))&amp;" - "&amp;(IF($C509="","Commercial",$C509))),Variables!$B$1:$D$1,0),1)))*22.0462)*(L509/16.67),""))</f>
        <v>234465.50289862027</v>
      </c>
      <c r="X509" s="55" t="s">
        <v>37</v>
      </c>
      <c r="Y509" s="13" t="str">
        <f>IF($AX509="Cancelled","",IF(X509="","",IFERROR(IF(INDEX(Variables!$B$38:$B$47,MATCH(X509,Variables!$A$38:$A$47,0))="Yes","Yes","No"),"No")))</f>
        <v>Yes</v>
      </c>
      <c r="Z509" s="58">
        <v>45982</v>
      </c>
      <c r="AB509" s="31">
        <v>46031</v>
      </c>
      <c r="AC509" s="13" t="str">
        <f t="shared" si="21"/>
        <v>Approved</v>
      </c>
      <c r="AF509" s="71">
        <v>46036</v>
      </c>
      <c r="AG509" s="37">
        <f>IF($AX509="Cancelled","",IFERROR(IF(F509="","",F509-Variables!$B$13),""))</f>
        <v>46038</v>
      </c>
      <c r="AH509" s="13">
        <f>IF($AX509="Cancelled","",IFERROR(IF(AB509="","",(AVERAGE(E509:F509)-AB509)-Variables!$B$14),""))</f>
        <v>-23</v>
      </c>
      <c r="AJ509" s="47">
        <v>46042</v>
      </c>
      <c r="AK509" s="14">
        <f>IF($AX509="Cancelled","",IFERROR(IF(AJ509="","",IF(AND(AB509="",AF509=""),"",IF(AF509&gt;AB509,AF509+Variables!$B$15+Variables!$B$16+Variables!$B$17-AJ509,AB509+Variables!$B$16+Variables!$B$17-AJ509))),""))</f>
        <v>9</v>
      </c>
      <c r="AL509" s="48" t="s">
        <v>114</v>
      </c>
      <c r="AM509" s="13" t="s">
        <v>183</v>
      </c>
      <c r="AN509" s="13" t="s">
        <v>1466</v>
      </c>
      <c r="AP509" s="31">
        <v>46063</v>
      </c>
      <c r="AR509" s="13" t="s">
        <v>1467</v>
      </c>
      <c r="AS509" s="31">
        <v>46063</v>
      </c>
      <c r="AU509" s="31">
        <v>46080</v>
      </c>
      <c r="AV509" s="13" t="s">
        <v>1468</v>
      </c>
      <c r="AW509" s="31">
        <v>46087</v>
      </c>
      <c r="AX509" s="13" t="str">
        <f>IF(ISNUMBER(SEARCH("cancel",#REF!)),"Cancelled",IF(AND(AS509&lt;&gt;"",AU509&lt;&gt;"",AW509&lt;&gt;""),"Closed","Open"))</f>
        <v>Closed</v>
      </c>
      <c r="AY509" s="15" t="str">
        <f t="shared" si="22"/>
        <v>All dates received</v>
      </c>
      <c r="BD509" s="13">
        <f>IF($AX509="Cancelled","",IFERROR(IF(OR(AS509="",AJ509=""),"",(AJ509+Variables!$B$18-AS509)),""))</f>
        <v>-6</v>
      </c>
      <c r="BE509" s="13">
        <f>IF($AX509="Cancelled","",IFERROR(IF(OR(AW509="",AS509=""),"",(AS509+Variables!$B$19)-AW509),""))</f>
        <v>-19</v>
      </c>
      <c r="BF509" s="44">
        <f>IF($AX509="Cancelled","",IFERROR(W509*INDEX(Variables!$B$7:$D$7,IFERROR(MATCH(IF($B509="Robusta","Robusta",(IF($B509="","Arabica",$B509))&amp;" - "&amp;(IF($C509="","Commercial",$C509))),Variables!$B$1:$D$1,0),1))*(BE509/365),""))</f>
        <v>-787.00870566898311</v>
      </c>
      <c r="BG509" s="44">
        <f>IF($AX509="Cancelled","",IFERROR((W509*INDEX(Variables!$B$7:$D$7,IFERROR(MATCH(IF($B509="Robusta","Robusta",(IF($B509="","Arabica",$B509))&amp;" - "&amp;(IF($C509="","Commercial",$C509))),Variables!$B$1:$D$1,0),1))*IFERROR(IF(AB509="","",(AVERAGE(E509:F509)-AB509)-Variables!$B$14),"")/365)+(L509/16.67*INDEX(Variables!$B$8:$D$8,IFERROR(MATCH(IF($B509="Robusta","Robusta",(IF($B509="","Arabica",$B509))&amp;" - "&amp;(IF($C509="","Commercial",$C509))),Variables!$B$1:$D$1,0),1))*IFERROR(IF(AB509="","",(AVERAGE(E509:F509)-AB509)-Variables!$B$14),""))+(W509*INDEX(Variables!$B$9:$D$9,IFERROR(MATCH(IF($B509="Robusta","Robusta",(IF($B509="","Arabica",$B509))&amp;" - "&amp;(IF($C509="","Commercial",$C509))),Variables!$B$1:$D$1,0),1))*IFERROR(IF(AB509="","",(AVERAGE(E509:F509)-AB509)-Variables!$B$14),"")/365),""))</f>
        <v>-1732.0268228550351</v>
      </c>
      <c r="BH509" s="44">
        <f>IF($AX509="Cancelled","",IFERROR((W509*INDEX(Variables!$B$7:$D$7,IFERROR(MATCH(IF($B509="Robusta","Robusta",(IF($B509="","Arabica",$B509))&amp;" - "&amp;(IF($C509="","Commercial",$C509))),Variables!$B$1:$D$1,0),1))*AK509/365)+(L509/16.67*INDEX(Variables!$B$8:$D$8,IFERROR(MATCH(IF($B509="Robusta","Robusta",(IF($B509="","Arabica",$B509))&amp;" - "&amp;(IF($C509="","Commercial",$C509))),Variables!$B$1:$D$1,0),1))*AK509)+(W509*INDEX(Variables!$B$9:$D$9,IFERROR(MATCH(IF($B509="Robusta","Robusta",(IF($B509="","Arabica",$B509))&amp;" - "&amp;(IF($C509="","Commercial",$C509))),Variables!$B$1:$D$1,0),1))*AK509/365),""))</f>
        <v>677.74962633457892</v>
      </c>
      <c r="BI509" s="44">
        <f>IF($AX509="Cancelled","",IFERROR((W509*INDEX(Variables!$B$7:$D$7,IFERROR(MATCH(IF($B509="Robusta","Robusta",(IF($B509="","Arabica",$B509))&amp;" - "&amp;(IF($C509="","Commercial",$C509))),Variables!$B$1:$D$1,0),1))*BD509/365)+(L509/16.67*INDEX(Variables!$B$8:$D$8,IFERROR(MATCH(IF($B509="Robusta","Robusta",(IF($B509="","Arabica",$B509))&amp;" - "&amp;(IF($C509="","Commercial",$C509))),Variables!$B$1:$D$1,0),1))*BD509)+(W509*INDEX(Variables!$B$9:$D$9,IFERROR(MATCH(IF($B509="Robusta","Robusta",(IF($B509="","Arabica",$B509))&amp;" - "&amp;(IF($C509="","Commercial",$C509))),Variables!$B$1:$D$1,0),1))*BD509/365),""))</f>
        <v>-451.83308422305271</v>
      </c>
      <c r="BJ509" s="44">
        <f t="shared" si="23"/>
        <v>-10</v>
      </c>
      <c r="BK509" s="44">
        <f>IF($AX509="Cancelled","",IFERROR(IF(BJ509="","",(W509*INDEX(Variables!$B$7:$D$7,IFERROR(MATCH(IF($B509="Robusta","Robusta",(IF($B509="","Arabica",$B509))&amp;" - "&amp;(IF($C509="","Commercial",$C509))),Variables!$B$1:$D$1,0),1))*(BJ509/365))+(W509*INDEX(Variables!$B$9:$D$9,IFERROR(MATCH(IF($B509="Robusta","Robusta",(IF($B509="","Arabica",$B509))&amp;" - "&amp;(IF($C509="","Commercial",$C509))),Variables!$B$1:$D$1,0),1))*(BJ509/365))+(INDEX(Variables!$B$8:$D$8,IFERROR(MATCH(IF($B509="Robusta","Robusta",(IF($B509="","Arabica",$B509))&amp;" - "&amp;(IF($C509="","Commercial",$C509))),Variables!$B$1:$D$1,0),1))*L509/16.67)),""))</f>
        <v>-386.20514037175428</v>
      </c>
    </row>
    <row r="510" spans="1:63">
      <c r="A510" s="13" t="s">
        <v>103</v>
      </c>
      <c r="B510" s="13" t="s">
        <v>104</v>
      </c>
      <c r="C510" s="13" t="s">
        <v>105</v>
      </c>
      <c r="D510" s="31">
        <v>45959</v>
      </c>
      <c r="E510" s="31">
        <v>46068</v>
      </c>
      <c r="F510" s="31">
        <v>46088</v>
      </c>
      <c r="G510" s="13">
        <v>3786983</v>
      </c>
      <c r="H510" s="13">
        <v>5407</v>
      </c>
      <c r="J510" s="13" t="s">
        <v>107</v>
      </c>
      <c r="K510" s="13">
        <v>5407</v>
      </c>
      <c r="L510" s="13">
        <v>320</v>
      </c>
      <c r="M510" s="13">
        <v>1</v>
      </c>
      <c r="N510" s="13" t="s">
        <v>1469</v>
      </c>
      <c r="O510" s="13" t="s">
        <v>538</v>
      </c>
      <c r="P510" s="13">
        <v>10080</v>
      </c>
      <c r="R510" s="13" t="s">
        <v>110</v>
      </c>
      <c r="S510" s="13" t="s">
        <v>553</v>
      </c>
      <c r="T510" s="13" t="s">
        <v>112</v>
      </c>
      <c r="U510" s="13" t="s">
        <v>113</v>
      </c>
      <c r="V510" s="13">
        <v>24</v>
      </c>
      <c r="W510" s="44">
        <f>IF($AX510="Cancelled","",IFERROR(((V510+INDEX(Variables!$B$6:$D$6,IFERROR(MATCH(IF($B510="Robusta","Robusta",(IF($B510="","Arabica",$B510))&amp;" - "&amp;(IF($C510="","Commercial",$C510))),Variables!$B$1:$D$1,0),1)))*22.0462)*(L510/16.67),""))</f>
        <v>133224.1153689262</v>
      </c>
      <c r="X510" s="55" t="s">
        <v>37</v>
      </c>
      <c r="Y510" s="13" t="str">
        <f>IF($AX510="Cancelled","",IF(X510="","",IFERROR(IF(INDEX(Variables!$B$38:$B$47,MATCH(X510,Variables!$A$38:$A$47,0))="Yes","Yes","No"),"No")))</f>
        <v>Yes</v>
      </c>
      <c r="Z510" s="58">
        <v>46051</v>
      </c>
      <c r="AB510" s="31">
        <v>46059</v>
      </c>
      <c r="AC510" s="13" t="str">
        <f t="shared" si="21"/>
        <v>Approved</v>
      </c>
      <c r="AF510" s="71">
        <v>46072</v>
      </c>
      <c r="AG510" s="37">
        <f>IF($AX510="Cancelled","",IFERROR(IF(F510="","",F510-Variables!$B$13),""))</f>
        <v>46073</v>
      </c>
      <c r="AH510" s="13">
        <f>IF($AX510="Cancelled","",IFERROR(IF(AB510="","",(AVERAGE(E510:F510)-AB510)-Variables!$B$14),""))</f>
        <v>-11</v>
      </c>
      <c r="AJ510" s="47">
        <v>46088</v>
      </c>
      <c r="AK510" s="14">
        <f>IF($AX510="Cancelled","",IFERROR(IF(AJ510="","",IF(AND(AB510="",AF510=""),"",IF(AF510&gt;AB510,AF510+Variables!$B$15+Variables!$B$16+Variables!$B$17-AJ510,AB510+Variables!$B$16+Variables!$B$17-AJ510))),""))</f>
        <v>-1</v>
      </c>
      <c r="AL510" s="48" t="s">
        <v>114</v>
      </c>
      <c r="AM510" s="13" t="s">
        <v>168</v>
      </c>
      <c r="AN510" s="13" t="s">
        <v>1470</v>
      </c>
      <c r="AP510" s="31">
        <v>46117</v>
      </c>
      <c r="AR510" s="13" t="s">
        <v>1471</v>
      </c>
      <c r="AS510" s="31">
        <v>46117</v>
      </c>
      <c r="AU510" s="31">
        <v>46163</v>
      </c>
      <c r="AV510" s="13" t="s">
        <v>865</v>
      </c>
      <c r="AW510" s="31">
        <v>46163</v>
      </c>
      <c r="AX510" s="13" t="str">
        <f>IF(ISNUMBER(SEARCH("cancel",#REF!)),"Cancelled",IF(AND(AS510&lt;&gt;"",AU510&lt;&gt;"",AW510&lt;&gt;""),"Closed","Open"))</f>
        <v>Closed</v>
      </c>
      <c r="AY510" s="15" t="str">
        <f t="shared" si="22"/>
        <v>All dates received</v>
      </c>
      <c r="BD510" s="13">
        <f>IF($AX510="Cancelled","",IFERROR(IF(OR(AS510="",AJ510=""),"",(AJ510+Variables!$B$18-AS510)),""))</f>
        <v>-14</v>
      </c>
      <c r="BE510" s="13">
        <f>IF($AX510="Cancelled","",IFERROR(IF(OR(AW510="",AS510=""),"",(AS510+Variables!$B$19)-AW510),""))</f>
        <v>-41</v>
      </c>
      <c r="BF510" s="44">
        <f>IF($AX510="Cancelled","",IFERROR(W510*INDEX(Variables!$B$7:$D$7,IFERROR(MATCH(IF($B510="Robusta","Robusta",(IF($B510="","Arabica",$B510))&amp;" - "&amp;(IF($C510="","Commercial",$C510))),Variables!$B$1:$D$1,0),1))*(BE510/365),""))</f>
        <v>-964.96971543487427</v>
      </c>
      <c r="BG510" s="44">
        <f>IF($AX510="Cancelled","",IFERROR((W510*INDEX(Variables!$B$7:$D$7,IFERROR(MATCH(IF($B510="Robusta","Robusta",(IF($B510="","Arabica",$B510))&amp;" - "&amp;(IF($C510="","Commercial",$C510))),Variables!$B$1:$D$1,0),1))*IFERROR(IF(AB510="","",(AVERAGE(E510:F510)-AB510)-Variables!$B$14),"")/365)+(L510/16.67*INDEX(Variables!$B$8:$D$8,IFERROR(MATCH(IF($B510="Robusta","Robusta",(IF($B510="","Arabica",$B510))&amp;" - "&amp;(IF($C510="","Commercial",$C510))),Variables!$B$1:$D$1,0),1))*IFERROR(IF(AB510="","",(AVERAGE(E510:F510)-AB510)-Variables!$B$14),""))+(W510*INDEX(Variables!$B$9:$D$9,IFERROR(MATCH(IF($B510="Robusta","Robusta",(IF($B510="","Arabica",$B510))&amp;" - "&amp;(IF($C510="","Commercial",$C510))),Variables!$B$1:$D$1,0),1))*IFERROR(IF(AB510="","",(AVERAGE(E510:F510)-AB510)-Variables!$B$14),"")/365),""))</f>
        <v>-438.23196123460815</v>
      </c>
      <c r="BH510" s="44">
        <f>IF($AX510="Cancelled","",IFERROR((W510*INDEX(Variables!$B$7:$D$7,IFERROR(MATCH(IF($B510="Robusta","Robusta",(IF($B510="","Arabica",$B510))&amp;" - "&amp;(IF($C510="","Commercial",$C510))),Variables!$B$1:$D$1,0),1))*AK510/365)+(L510/16.67*INDEX(Variables!$B$8:$D$8,IFERROR(MATCH(IF($B510="Robusta","Robusta",(IF($B510="","Arabica",$B510))&amp;" - "&amp;(IF($C510="","Commercial",$C510))),Variables!$B$1:$D$1,0),1))*AK510)+(W510*INDEX(Variables!$B$9:$D$9,IFERROR(MATCH(IF($B510="Robusta","Robusta",(IF($B510="","Arabica",$B510))&amp;" - "&amp;(IF($C510="","Commercial",$C510))),Variables!$B$1:$D$1,0),1))*AK510/365),""))</f>
        <v>-39.839269203146195</v>
      </c>
      <c r="BI510" s="44">
        <f>IF($AX510="Cancelled","",IFERROR((W510*INDEX(Variables!$B$7:$D$7,IFERROR(MATCH(IF($B510="Robusta","Robusta",(IF($B510="","Arabica",$B510))&amp;" - "&amp;(IF($C510="","Commercial",$C510))),Variables!$B$1:$D$1,0),1))*BD510/365)+(L510/16.67*INDEX(Variables!$B$8:$D$8,IFERROR(MATCH(IF($B510="Robusta","Robusta",(IF($B510="","Arabica",$B510))&amp;" - "&amp;(IF($C510="","Commercial",$C510))),Variables!$B$1:$D$1,0),1))*BD510)+(W510*INDEX(Variables!$B$9:$D$9,IFERROR(MATCH(IF($B510="Robusta","Robusta",(IF($B510="","Arabica",$B510))&amp;" - "&amp;(IF($C510="","Commercial",$C510))),Variables!$B$1:$D$1,0),1))*BD510/365),""))</f>
        <v>-557.7497688440468</v>
      </c>
      <c r="BJ510" s="44">
        <f t="shared" si="23"/>
        <v>-29</v>
      </c>
      <c r="BK510" s="44">
        <f>IF($AX510="Cancelled","",IFERROR(IF(BJ510="","",(W510*INDEX(Variables!$B$7:$D$7,IFERROR(MATCH(IF($B510="Robusta","Robusta",(IF($B510="","Arabica",$B510))&amp;" - "&amp;(IF($C510="","Commercial",$C510))),Variables!$B$1:$D$1,0),1))*(BJ510/365))+(W510*INDEX(Variables!$B$9:$D$9,IFERROR(MATCH(IF($B510="Robusta","Robusta",(IF($B510="","Arabica",$B510))&amp;" - "&amp;(IF($C510="","Commercial",$C510))),Variables!$B$1:$D$1,0),1))*(BJ510/365))+(INDEX(Variables!$B$8:$D$8,IFERROR(MATCH(IF($B510="Robusta","Robusta",(IF($B510="","Arabica",$B510))&amp;" - "&amp;(IF($C510="","Commercial",$C510))),Variables!$B$1:$D$1,0),1))*L510/16.67)),""))</f>
        <v>-675.33880689123976</v>
      </c>
    </row>
    <row r="511" spans="1:63">
      <c r="A511" s="13" t="s">
        <v>103</v>
      </c>
      <c r="B511" s="13" t="s">
        <v>104</v>
      </c>
      <c r="C511" s="13" t="s">
        <v>105</v>
      </c>
      <c r="D511" s="31">
        <v>45968</v>
      </c>
      <c r="E511" s="31">
        <v>45992</v>
      </c>
      <c r="F511" s="31">
        <v>46022</v>
      </c>
      <c r="G511" s="13">
        <v>3786984</v>
      </c>
      <c r="H511" s="13">
        <v>95647</v>
      </c>
      <c r="J511" s="13" t="s">
        <v>118</v>
      </c>
      <c r="K511" s="13">
        <v>5361</v>
      </c>
      <c r="L511" s="13">
        <v>667</v>
      </c>
      <c r="M511" s="13">
        <v>2</v>
      </c>
      <c r="N511" s="13" t="s">
        <v>1472</v>
      </c>
      <c r="O511" s="13" t="s">
        <v>269</v>
      </c>
      <c r="P511" s="13">
        <v>10310</v>
      </c>
      <c r="Q511" s="59" t="s">
        <v>270</v>
      </c>
      <c r="R511" s="13" t="s">
        <v>271</v>
      </c>
      <c r="S511" s="13" t="s">
        <v>272</v>
      </c>
      <c r="T511" s="13" t="s">
        <v>112</v>
      </c>
      <c r="U511" s="13" t="s">
        <v>113</v>
      </c>
      <c r="V511" s="13">
        <v>58</v>
      </c>
      <c r="W511" s="44">
        <f>IF($AX511="Cancelled","",IFERROR(((V511+INDEX(Variables!$B$6:$D$6,IFERROR(MATCH(IF($B511="Robusta","Robusta",(IF($B511="","Arabica",$B511))&amp;" - "&amp;(IF($C511="","Commercial",$C511))),Variables!$B$1:$D$1,0),1)))*22.0462)*(L511/16.67),""))</f>
        <v>307680.84052309534</v>
      </c>
      <c r="X511" s="55" t="s">
        <v>37</v>
      </c>
      <c r="Y511" s="13" t="str">
        <f>IF($AX511="Cancelled","",IF(X511="","",IFERROR(IF(INDEX(Variables!$B$38:$B$47,MATCH(X511,Variables!$A$38:$A$47,0))="Yes","Yes","No"),"No")))</f>
        <v>Yes</v>
      </c>
      <c r="Z511" s="58">
        <v>45980</v>
      </c>
      <c r="AB511" s="31">
        <v>45993</v>
      </c>
      <c r="AC511" s="13" t="str">
        <f t="shared" si="21"/>
        <v>Approved</v>
      </c>
      <c r="AF511" s="71">
        <v>46001</v>
      </c>
      <c r="AG511" s="37">
        <f>IF($AX511="Cancelled","",IFERROR(IF(F511="","",F511-Variables!$B$13),""))</f>
        <v>46007</v>
      </c>
      <c r="AH511" s="13">
        <f>IF($AX511="Cancelled","",IFERROR(IF(AB511="","",(AVERAGE(E511:F511)-AB511)-Variables!$B$14),""))</f>
        <v>-16</v>
      </c>
      <c r="AJ511" s="47">
        <v>46001</v>
      </c>
      <c r="AK511" s="14">
        <f>IF($AX511="Cancelled","",IFERROR(IF(AJ511="","",IF(AND(AB511="",AF511=""),"",IF(AF511&gt;AB511,AF511+Variables!$B$15+Variables!$B$16+Variables!$B$17-AJ511,AB511+Variables!$B$16+Variables!$B$17-AJ511))),""))</f>
        <v>15</v>
      </c>
      <c r="AL511" s="48" t="s">
        <v>114</v>
      </c>
      <c r="AM511" s="13" t="s">
        <v>134</v>
      </c>
      <c r="AN511" s="13" t="s">
        <v>1473</v>
      </c>
      <c r="AP511" s="31">
        <v>46015</v>
      </c>
      <c r="AR511" s="13" t="s">
        <v>1474</v>
      </c>
      <c r="AS511" s="31">
        <v>46015</v>
      </c>
      <c r="AU511" s="31">
        <v>46030</v>
      </c>
      <c r="AV511" s="13" t="s">
        <v>865</v>
      </c>
      <c r="AW511" s="31">
        <v>46042</v>
      </c>
      <c r="AX511" s="13" t="str">
        <f>IF(ISNUMBER(SEARCH("cancel",#REF!)),"Cancelled",IF(AND(AS511&lt;&gt;"",AU511&lt;&gt;"",AW511&lt;&gt;""),"Closed","Open"))</f>
        <v>Closed</v>
      </c>
      <c r="AY511" s="15" t="str">
        <f t="shared" si="22"/>
        <v>All dates received</v>
      </c>
      <c r="BD511" s="13">
        <f>IF($AX511="Cancelled","",IFERROR(IF(OR(AS511="",AJ511=""),"",(AJ511+Variables!$B$18-AS511)),""))</f>
        <v>1</v>
      </c>
      <c r="BE511" s="13">
        <f>IF($AX511="Cancelled","",IFERROR(IF(OR(AW511="",AS511=""),"",(AS511+Variables!$B$19)-AW511),""))</f>
        <v>-22</v>
      </c>
      <c r="BF511" s="44">
        <f>IF($AX511="Cancelled","",IFERROR(W511*INDEX(Variables!$B$7:$D$7,IFERROR(MATCH(IF($B511="Robusta","Robusta",(IF($B511="","Arabica",$B511))&amp;" - "&amp;(IF($C511="","Commercial",$C511))),Variables!$B$1:$D$1,0),1))*(BE511/365),""))</f>
        <v>-1195.8318490003383</v>
      </c>
      <c r="BG511" s="44">
        <f>IF($AX511="Cancelled","",IFERROR((W511*INDEX(Variables!$B$7:$D$7,IFERROR(MATCH(IF($B511="Robusta","Robusta",(IF($B511="","Arabica",$B511))&amp;" - "&amp;(IF($C511="","Commercial",$C511))),Variables!$B$1:$D$1,0),1))*IFERROR(IF(AB511="","",(AVERAGE(E511:F511)-AB511)-Variables!$B$14),"")/365)+(L511/16.67*INDEX(Variables!$B$8:$D$8,IFERROR(MATCH(IF($B511="Robusta","Robusta",(IF($B511="","Arabica",$B511))&amp;" - "&amp;(IF($C511="","Commercial",$C511))),Variables!$B$1:$D$1,0),1))*IFERROR(IF(AB511="","",(AVERAGE(E511:F511)-AB511)-Variables!$B$14),""))+(W511*INDEX(Variables!$B$9:$D$9,IFERROR(MATCH(IF($B511="Robusta","Robusta",(IF($B511="","Arabica",$B511))&amp;" - "&amp;(IF($C511="","Commercial",$C511))),Variables!$B$1:$D$1,0),1))*IFERROR(IF(AB511="","",(AVERAGE(E511:F511)-AB511)-Variables!$B$14),"")/365),""))</f>
        <v>-1414.5079486029674</v>
      </c>
      <c r="BH511" s="44">
        <f>IF($AX511="Cancelled","",IFERROR((W511*INDEX(Variables!$B$7:$D$7,IFERROR(MATCH(IF($B511="Robusta","Robusta",(IF($B511="","Arabica",$B511))&amp;" - "&amp;(IF($C511="","Commercial",$C511))),Variables!$B$1:$D$1,0),1))*AK511/365)+(L511/16.67*INDEX(Variables!$B$8:$D$8,IFERROR(MATCH(IF($B511="Robusta","Robusta",(IF($B511="","Arabica",$B511))&amp;" - "&amp;(IF($C511="","Commercial",$C511))),Variables!$B$1:$D$1,0),1))*AK511)+(W511*INDEX(Variables!$B$9:$D$9,IFERROR(MATCH(IF($B511="Robusta","Robusta",(IF($B511="","Arabica",$B511))&amp;" - "&amp;(IF($C511="","Commercial",$C511))),Variables!$B$1:$D$1,0),1))*AK511/365),""))</f>
        <v>1326.1012018152817</v>
      </c>
      <c r="BI511" s="44">
        <f>IF($AX511="Cancelled","",IFERROR((W511*INDEX(Variables!$B$7:$D$7,IFERROR(MATCH(IF($B511="Robusta","Robusta",(IF($B511="","Arabica",$B511))&amp;" - "&amp;(IF($C511="","Commercial",$C511))),Variables!$B$1:$D$1,0),1))*BD511/365)+(L511/16.67*INDEX(Variables!$B$8:$D$8,IFERROR(MATCH(IF($B511="Robusta","Robusta",(IF($B511="","Arabica",$B511))&amp;" - "&amp;(IF($C511="","Commercial",$C511))),Variables!$B$1:$D$1,0),1))*BD511)+(W511*INDEX(Variables!$B$9:$D$9,IFERROR(MATCH(IF($B511="Robusta","Robusta",(IF($B511="","Arabica",$B511))&amp;" - "&amp;(IF($C511="","Commercial",$C511))),Variables!$B$1:$D$1,0),1))*BD511/365),""))</f>
        <v>88.406746787685464</v>
      </c>
      <c r="BJ511" s="44">
        <f t="shared" si="23"/>
        <v>7</v>
      </c>
      <c r="BK511" s="44">
        <f>IF($AX511="Cancelled","",IFERROR(IF(BJ511="","",(W511*INDEX(Variables!$B$7:$D$7,IFERROR(MATCH(IF($B511="Robusta","Robusta",(IF($B511="","Arabica",$B511))&amp;" - "&amp;(IF($C511="","Commercial",$C511))),Variables!$B$1:$D$1,0),1))*(BJ511/365))+(W511*INDEX(Variables!$B$9:$D$9,IFERROR(MATCH(IF($B511="Robusta","Robusta",(IF($B511="","Arabica",$B511))&amp;" - "&amp;(IF($C511="","Commercial",$C511))),Variables!$B$1:$D$1,0),1))*(BJ511/365))+(INDEX(Variables!$B$8:$D$8,IFERROR(MATCH(IF($B511="Robusta","Robusta",(IF($B511="","Arabica",$B511))&amp;" - "&amp;(IF($C511="","Commercial",$C511))),Variables!$B$1:$D$1,0),1))*L511/16.67)),""))</f>
        <v>418.74722751379818</v>
      </c>
    </row>
    <row r="512" spans="1:63">
      <c r="A512" s="13" t="s">
        <v>103</v>
      </c>
      <c r="B512" s="13" t="s">
        <v>104</v>
      </c>
      <c r="C512" s="13" t="s">
        <v>105</v>
      </c>
      <c r="D512" s="31">
        <v>45973</v>
      </c>
      <c r="E512" s="31">
        <v>46023</v>
      </c>
      <c r="F512" s="31">
        <v>46053</v>
      </c>
      <c r="G512" s="13">
        <v>3786985</v>
      </c>
      <c r="H512" s="13">
        <v>28245</v>
      </c>
      <c r="J512" s="13" t="s">
        <v>236</v>
      </c>
      <c r="K512" s="13">
        <v>5373</v>
      </c>
      <c r="L512" s="13">
        <v>320</v>
      </c>
      <c r="M512" s="13">
        <v>1</v>
      </c>
      <c r="N512" s="13" t="s">
        <v>1417</v>
      </c>
      <c r="O512" s="13" t="s">
        <v>355</v>
      </c>
      <c r="P512" s="13">
        <v>10060</v>
      </c>
      <c r="R512" s="13" t="s">
        <v>239</v>
      </c>
      <c r="S512" s="13" t="s">
        <v>180</v>
      </c>
      <c r="T512" s="13" t="s">
        <v>253</v>
      </c>
      <c r="U512" s="13" t="s">
        <v>182</v>
      </c>
      <c r="V512" s="13">
        <v>38</v>
      </c>
      <c r="W512" s="44">
        <f>IF($AX512="Cancelled","",IFERROR(((V512+INDEX(Variables!$B$6:$D$6,IFERROR(MATCH(IF($B512="Robusta","Robusta",(IF($B512="","Arabica",$B512))&amp;" - "&amp;(IF($C512="","Commercial",$C512))),Variables!$B$1:$D$1,0),1)))*22.0462)*(L512/16.67),""))</f>
        <v>139148.94896220753</v>
      </c>
      <c r="X512" s="55" t="s">
        <v>37</v>
      </c>
      <c r="Y512" s="13" t="str">
        <f>IF($AX512="Cancelled","",IF(X512="","",IFERROR(IF(INDEX(Variables!$B$38:$B$47,MATCH(X512,Variables!$A$38:$A$47,0))="Yes","Yes","No"),"No")))</f>
        <v>Yes</v>
      </c>
      <c r="Z512" s="58">
        <v>45982</v>
      </c>
      <c r="AC512" s="13" t="str">
        <f t="shared" si="21"/>
        <v/>
      </c>
      <c r="AF512" s="71">
        <v>46007</v>
      </c>
      <c r="AG512" s="37">
        <f>IF($AX512="Cancelled","",IFERROR(IF(F512="","",F512-Variables!$B$13),""))</f>
        <v>46038</v>
      </c>
      <c r="AH512" s="13" t="str">
        <f>IF($AX512="Cancelled","",IFERROR(IF(AB512="","",(AVERAGE(E512:F512)-AB512)-Variables!$B$14),""))</f>
        <v/>
      </c>
      <c r="AJ512" s="47">
        <v>46013</v>
      </c>
      <c r="AK512" s="14">
        <f>IF($AX512="Cancelled","",IFERROR(IF(AJ512="","",IF(AND(AB512="",AF512=""),"",IF(AF512&gt;AB512,AF512+Variables!$B$15+Variables!$B$16+Variables!$B$17-AJ512,AB512+Variables!$B$16+Variables!$B$17-AJ512))),""))</f>
        <v>9</v>
      </c>
      <c r="AL512" s="48" t="s">
        <v>114</v>
      </c>
      <c r="AM512" s="13" t="s">
        <v>183</v>
      </c>
      <c r="AN512" s="13" t="s">
        <v>1475</v>
      </c>
      <c r="AP512" s="31">
        <v>46026</v>
      </c>
      <c r="AR512" s="13" t="s">
        <v>1476</v>
      </c>
      <c r="AS512" s="31">
        <v>46026</v>
      </c>
      <c r="AU512" s="31">
        <v>46030</v>
      </c>
      <c r="AV512" s="13" t="s">
        <v>1477</v>
      </c>
      <c r="AW512" s="31">
        <v>46048</v>
      </c>
      <c r="AX512" s="13" t="str">
        <f>IF(ISNUMBER(SEARCH("cancel",#REF!)),"Cancelled",IF(AND(AS512&lt;&gt;"",AU512&lt;&gt;"",AW512&lt;&gt;""),"Closed","Open"))</f>
        <v>Closed</v>
      </c>
      <c r="AY512" s="15" t="str">
        <f t="shared" si="22"/>
        <v>All dates received</v>
      </c>
      <c r="BD512" s="13">
        <f>IF($AX512="Cancelled","",IFERROR(IF(OR(AS512="",AJ512=""),"",(AJ512+Variables!$B$18-AS512)),""))</f>
        <v>2</v>
      </c>
      <c r="BE512" s="13">
        <f>IF($AX512="Cancelled","",IFERROR(IF(OR(AW512="",AS512=""),"",(AS512+Variables!$B$19)-AW512),""))</f>
        <v>-17</v>
      </c>
      <c r="BF512" s="44">
        <f>IF($AX512="Cancelled","",IFERROR(W512*INDEX(Variables!$B$7:$D$7,IFERROR(MATCH(IF($B512="Robusta","Robusta",(IF($B512="","Arabica",$B512))&amp;" - "&amp;(IF($C512="","Commercial",$C512))),Variables!$B$1:$D$1,0),1))*(BE512/365),""))</f>
        <v>-417.90333168521806</v>
      </c>
      <c r="BG512" s="44" t="str">
        <f>IF($AX512="Cancelled","",IFERROR((W512*INDEX(Variables!$B$7:$D$7,IFERROR(MATCH(IF($B512="Robusta","Robusta",(IF($B512="","Arabica",$B512))&amp;" - "&amp;(IF($C512="","Commercial",$C512))),Variables!$B$1:$D$1,0),1))*IFERROR(IF(AB512="","",(AVERAGE(E512:F512)-AB512)-Variables!$B$14),"")/365)+(L512/16.67*INDEX(Variables!$B$8:$D$8,IFERROR(MATCH(IF($B512="Robusta","Robusta",(IF($B512="","Arabica",$B512))&amp;" - "&amp;(IF($C512="","Commercial",$C512))),Variables!$B$1:$D$1,0),1))*IFERROR(IF(AB512="","",(AVERAGE(E512:F512)-AB512)-Variables!$B$14),""))+(W512*INDEX(Variables!$B$9:$D$9,IFERROR(MATCH(IF($B512="Robusta","Robusta",(IF($B512="","Arabica",$B512))&amp;" - "&amp;(IF($C512="","Commercial",$C512))),Variables!$B$1:$D$1,0),1))*IFERROR(IF(AB512="","",(AVERAGE(E512:F512)-AB512)-Variables!$B$14),"")/365),""))</f>
        <v/>
      </c>
      <c r="BH512" s="44">
        <f>IF($AX512="Cancelled","",IFERROR((W512*INDEX(Variables!$B$7:$D$7,IFERROR(MATCH(IF($B512="Robusta","Robusta",(IF($B512="","Arabica",$B512))&amp;" - "&amp;(IF($C512="","Commercial",$C512))),Variables!$B$1:$D$1,0),1))*AK512/365)+(L512/16.67*INDEX(Variables!$B$8:$D$8,IFERROR(MATCH(IF($B512="Robusta","Robusta",(IF($B512="","Arabica",$B512))&amp;" - "&amp;(IF($C512="","Commercial",$C512))),Variables!$B$1:$D$1,0),1))*AK512)+(W512*INDEX(Variables!$B$9:$D$9,IFERROR(MATCH(IF($B512="Robusta","Robusta",(IF($B512="","Arabica",$B512))&amp;" - "&amp;(IF($C512="","Commercial",$C512))),Variables!$B$1:$D$1,0),1))*AK512/365),""))</f>
        <v>368.09518877366651</v>
      </c>
      <c r="BI512" s="44">
        <f>IF($AX512="Cancelled","",IFERROR((W512*INDEX(Variables!$B$7:$D$7,IFERROR(MATCH(IF($B512="Robusta","Robusta",(IF($B512="","Arabica",$B512))&amp;" - "&amp;(IF($C512="","Commercial",$C512))),Variables!$B$1:$D$1,0),1))*BD512/365)+(L512/16.67*INDEX(Variables!$B$8:$D$8,IFERROR(MATCH(IF($B512="Robusta","Robusta",(IF($B512="","Arabica",$B512))&amp;" - "&amp;(IF($C512="","Commercial",$C512))),Variables!$B$1:$D$1,0),1))*BD512)+(W512*INDEX(Variables!$B$9:$D$9,IFERROR(MATCH(IF($B512="Robusta","Robusta",(IF($B512="","Arabica",$B512))&amp;" - "&amp;(IF($C512="","Commercial",$C512))),Variables!$B$1:$D$1,0),1))*BD512/365),""))</f>
        <v>81.798930838592554</v>
      </c>
      <c r="BJ512" s="44">
        <f t="shared" si="23"/>
        <v>27</v>
      </c>
      <c r="BK512" s="44">
        <f>IF($AX512="Cancelled","",IFERROR(IF(BJ512="","",(W512*INDEX(Variables!$B$7:$D$7,IFERROR(MATCH(IF($B512="Robusta","Robusta",(IF($B512="","Arabica",$B512))&amp;" - "&amp;(IF($C512="","Commercial",$C512))),Variables!$B$1:$D$1,0),1))*(BJ512/365))+(W512*INDEX(Variables!$B$9:$D$9,IFERROR(MATCH(IF($B512="Robusta","Robusta",(IF($B512="","Arabica",$B512))&amp;" - "&amp;(IF($C512="","Commercial",$C512))),Variables!$B$1:$D$1,0),1))*(BJ512/365))+(INDEX(Variables!$B$8:$D$8,IFERROR(MATCH(IF($B512="Robusta","Robusta",(IF($B512="","Arabica",$B512))&amp;" - "&amp;(IF($C512="","Commercial",$C512))),Variables!$B$1:$D$1,0),1))*L512/16.67)),""))</f>
        <v>688.28556632099946</v>
      </c>
    </row>
    <row r="513" spans="1:63">
      <c r="A513" s="13" t="s">
        <v>103</v>
      </c>
      <c r="B513" s="13" t="s">
        <v>104</v>
      </c>
      <c r="C513" s="13" t="s">
        <v>105</v>
      </c>
      <c r="D513" s="31">
        <v>45973</v>
      </c>
      <c r="E513" s="31">
        <v>45992</v>
      </c>
      <c r="F513" s="31">
        <v>46022</v>
      </c>
      <c r="G513" s="13">
        <v>3786986</v>
      </c>
      <c r="H513" s="13">
        <v>95655</v>
      </c>
      <c r="J513" s="13" t="s">
        <v>118</v>
      </c>
      <c r="K513" s="13">
        <v>5354</v>
      </c>
      <c r="L513" s="13">
        <v>720</v>
      </c>
      <c r="M513" s="13">
        <v>2</v>
      </c>
      <c r="N513" s="13" t="s">
        <v>1460</v>
      </c>
      <c r="O513" s="13" t="s">
        <v>456</v>
      </c>
      <c r="P513" s="13">
        <v>10140</v>
      </c>
      <c r="Q513" s="13" t="s">
        <v>1461</v>
      </c>
      <c r="R513" s="13" t="s">
        <v>122</v>
      </c>
      <c r="S513" s="13" t="s">
        <v>154</v>
      </c>
      <c r="T513" s="13" t="s">
        <v>155</v>
      </c>
      <c r="U513" s="13" t="s">
        <v>125</v>
      </c>
      <c r="V513" s="13">
        <v>-30</v>
      </c>
      <c r="W513" s="44">
        <f>IF($AX513="Cancelled","",IFERROR(((V513+INDEX(Variables!$B$6:$D$6,IFERROR(MATCH(IF($B513="Robusta","Robusta",(IF($B513="","Arabica",$B513))&amp;" - "&amp;(IF($C513="","Commercial",$C513))),Variables!$B$1:$D$1,0),1)))*22.0462)*(L513/16.67),""))</f>
        <v>248335.16803839229</v>
      </c>
      <c r="X513" s="55" t="s">
        <v>37</v>
      </c>
      <c r="Y513" s="13" t="str">
        <f>IF($AX513="Cancelled","",IF(X513="","",IFERROR(IF(INDEX(Variables!$B$38:$B$47,MATCH(X513,Variables!$A$38:$A$47,0))="Yes","Yes","No"),"No")))</f>
        <v>Yes</v>
      </c>
      <c r="Z513" s="58">
        <v>45975</v>
      </c>
      <c r="AB513" s="31">
        <v>45975.875</v>
      </c>
      <c r="AC513" s="13" t="str">
        <f t="shared" si="21"/>
        <v>Approved</v>
      </c>
      <c r="AF513" s="71">
        <v>45987</v>
      </c>
      <c r="AG513" s="35">
        <f>IF($AX513="Cancelled","",IFERROR(IF(F513="","",F513-Variables!$B$13),""))</f>
        <v>46007</v>
      </c>
      <c r="AH513" s="13">
        <f>IF($AX513="Cancelled","",IFERROR(IF(AB513="","",(AVERAGE(E513:F513)-AB513)-Variables!$B$14),""))</f>
        <v>1.125</v>
      </c>
      <c r="AJ513" s="47">
        <v>45987</v>
      </c>
      <c r="AK513" s="14">
        <f>IF($AX513="Cancelled","",IFERROR(IF(AJ513="","",IF(AND(AB513="",AF513=""),"",IF(AF513&gt;AB513,AF513+Variables!$B$15+Variables!$B$16+Variables!$B$17-AJ513,AB513+Variables!$B$16+Variables!$B$17-AJ513))),""))</f>
        <v>15</v>
      </c>
      <c r="AL513" s="48" t="s">
        <v>114</v>
      </c>
      <c r="AM513" s="13" t="s">
        <v>115</v>
      </c>
      <c r="AN513" s="13" t="s">
        <v>1443</v>
      </c>
      <c r="AP513" s="31">
        <v>45997</v>
      </c>
      <c r="AR513" s="13">
        <v>262225662</v>
      </c>
      <c r="AS513" s="31">
        <v>45997</v>
      </c>
      <c r="AU513" s="31">
        <v>45999</v>
      </c>
      <c r="AV513" s="13" t="s">
        <v>865</v>
      </c>
      <c r="AW513" s="31">
        <v>45999</v>
      </c>
      <c r="AX513" s="13" t="str">
        <f>IF(ISNUMBER(SEARCH("cancel",#REF!)),"Cancelled",IF(AND(AS513&lt;&gt;"",AU513&lt;&gt;"",AW513&lt;&gt;""),"Closed","Open"))</f>
        <v>Closed</v>
      </c>
      <c r="AY513" s="15" t="str">
        <f t="shared" si="22"/>
        <v>All dates received</v>
      </c>
      <c r="BD513" s="13">
        <f>IF($AX513="Cancelled","",IFERROR(IF(OR(AS513="",AJ513=""),"",(AJ513+Variables!$B$18-AS513)),""))</f>
        <v>5</v>
      </c>
      <c r="BE513" s="13">
        <f>IF($AX513="Cancelled","",IFERROR(IF(OR(AW513="",AS513=""),"",(AS513+Variables!$B$19)-AW513),""))</f>
        <v>3</v>
      </c>
      <c r="BF513" s="44">
        <f>IF($AX513="Cancelled","",IFERROR(W513*INDEX(Variables!$B$7:$D$7,IFERROR(MATCH(IF($B513="Robusta","Robusta",(IF($B513="","Arabica",$B513))&amp;" - "&amp;(IF($C513="","Commercial",$C513))),Variables!$B$1:$D$1,0),1))*(BE513/365),""))</f>
        <v>131.61532580124839</v>
      </c>
      <c r="BG513" s="44">
        <f>IF($AX513="Cancelled","",IFERROR((W513*INDEX(Variables!$B$7:$D$7,IFERROR(MATCH(IF($B513="Robusta","Robusta",(IF($B513="","Arabica",$B513))&amp;" - "&amp;(IF($C513="","Commercial",$C513))),Variables!$B$1:$D$1,0),1))*IFERROR(IF(AB513="","",(AVERAGE(E513:F513)-AB513)-Variables!$B$14),"")/365)+(L513/16.67*INDEX(Variables!$B$8:$D$8,IFERROR(MATCH(IF($B513="Robusta","Robusta",(IF($B513="","Arabica",$B513))&amp;" - "&amp;(IF($C513="","Commercial",$C513))),Variables!$B$1:$D$1,0),1))*IFERROR(IF(AB513="","",(AVERAGE(E513:F513)-AB513)-Variables!$B$14),""))+(W513*INDEX(Variables!$B$9:$D$9,IFERROR(MATCH(IF($B513="Robusta","Robusta",(IF($B513="","Arabica",$B513))&amp;" - "&amp;(IF($C513="","Commercial",$C513))),Variables!$B$1:$D$1,0),1))*IFERROR(IF(AB513="","",(AVERAGE(E513:F513)-AB513)-Variables!$B$14),"")/365),""))</f>
        <v>90.492038006534187</v>
      </c>
      <c r="BH513" s="44">
        <f>IF($AX513="Cancelled","",IFERROR((W513*INDEX(Variables!$B$7:$D$7,IFERROR(MATCH(IF($B513="Robusta","Robusta",(IF($B513="","Arabica",$B513))&amp;" - "&amp;(IF($C513="","Commercial",$C513))),Variables!$B$1:$D$1,0),1))*AK513/365)+(L513/16.67*INDEX(Variables!$B$8:$D$8,IFERROR(MATCH(IF($B513="Robusta","Robusta",(IF($B513="","Arabica",$B513))&amp;" - "&amp;(IF($C513="","Commercial",$C513))),Variables!$B$1:$D$1,0),1))*AK513)+(W513*INDEX(Variables!$B$9:$D$9,IFERROR(MATCH(IF($B513="Robusta","Robusta",(IF($B513="","Arabica",$B513))&amp;" - "&amp;(IF($C513="","Commercial",$C513))),Variables!$B$1:$D$1,0),1))*AK513/365),""))</f>
        <v>1206.5605067537892</v>
      </c>
      <c r="BI513" s="44">
        <f>IF($AX513="Cancelled","",IFERROR((W513*INDEX(Variables!$B$7:$D$7,IFERROR(MATCH(IF($B513="Robusta","Robusta",(IF($B513="","Arabica",$B513))&amp;" - "&amp;(IF($C513="","Commercial",$C513))),Variables!$B$1:$D$1,0),1))*BD513/365)+(L513/16.67*INDEX(Variables!$B$8:$D$8,IFERROR(MATCH(IF($B513="Robusta","Robusta",(IF($B513="","Arabica",$B513))&amp;" - "&amp;(IF($C513="","Commercial",$C513))),Variables!$B$1:$D$1,0),1))*BD513)+(W513*INDEX(Variables!$B$9:$D$9,IFERROR(MATCH(IF($B513="Robusta","Robusta",(IF($B513="","Arabica",$B513))&amp;" - "&amp;(IF($C513="","Commercial",$C513))),Variables!$B$1:$D$1,0),1))*BD513/365),""))</f>
        <v>402.18683558459639</v>
      </c>
      <c r="BJ513" s="44">
        <f t="shared" si="23"/>
        <v>25</v>
      </c>
      <c r="BK513" s="44">
        <f>IF($AX513="Cancelled","",IFERROR(IF(BJ513="","",(W513*INDEX(Variables!$B$7:$D$7,IFERROR(MATCH(IF($B513="Robusta","Robusta",(IF($B513="","Arabica",$B513))&amp;" - "&amp;(IF($C513="","Commercial",$C513))),Variables!$B$1:$D$1,0),1))*(BJ513/365))+(W513*INDEX(Variables!$B$9:$D$9,IFERROR(MATCH(IF($B513="Robusta","Robusta",(IF($B513="","Arabica",$B513))&amp;" - "&amp;(IF($C513="","Commercial",$C513))),Variables!$B$1:$D$1,0),1))*(BJ513/365))+(INDEX(Variables!$B$8:$D$8,IFERROR(MATCH(IF($B513="Robusta","Robusta",(IF($B513="","Arabica",$B513))&amp;" - "&amp;(IF($C513="","Commercial",$C513))),Variables!$B$1:$D$1,0),1))*L513/16.67)),""))</f>
        <v>1146.9341779229819</v>
      </c>
    </row>
    <row r="514" spans="1:63">
      <c r="A514" s="13" t="s">
        <v>103</v>
      </c>
      <c r="B514" s="13" t="s">
        <v>104</v>
      </c>
      <c r="C514" s="13" t="s">
        <v>105</v>
      </c>
      <c r="D514" s="31">
        <v>45973</v>
      </c>
      <c r="E514" s="31">
        <v>45962</v>
      </c>
      <c r="F514" s="31">
        <v>46022</v>
      </c>
      <c r="G514" s="13">
        <v>3786987</v>
      </c>
      <c r="H514" s="13" t="s">
        <v>1478</v>
      </c>
      <c r="J514" s="13" t="s">
        <v>415</v>
      </c>
      <c r="K514" s="13">
        <v>5358</v>
      </c>
      <c r="L514" s="13">
        <v>250</v>
      </c>
      <c r="M514" s="13">
        <v>1</v>
      </c>
      <c r="N514" s="13" t="s">
        <v>1479</v>
      </c>
      <c r="O514" s="13" t="s">
        <v>355</v>
      </c>
      <c r="P514" s="13">
        <v>10060</v>
      </c>
      <c r="Q514" s="13" t="s">
        <v>121</v>
      </c>
      <c r="R514" s="13" t="s">
        <v>110</v>
      </c>
      <c r="S514" s="13" t="s">
        <v>372</v>
      </c>
      <c r="T514" s="13" t="s">
        <v>373</v>
      </c>
      <c r="U514" s="13" t="s">
        <v>125</v>
      </c>
      <c r="V514" s="13">
        <v>60</v>
      </c>
      <c r="W514" s="44">
        <f>IF($AX514="Cancelled","",IFERROR(((V514+INDEX(Variables!$B$6:$D$6,IFERROR(MATCH(IF($B514="Robusta","Robusta",(IF($B514="","Arabica",$B514))&amp;" - "&amp;(IF($C514="","Commercial",$C514))),Variables!$B$1:$D$1,0),1)))*22.0462)*(L514/16.67),""))</f>
        <v>115983.9076184763</v>
      </c>
      <c r="X514" s="55" t="s">
        <v>37</v>
      </c>
      <c r="Y514" s="13" t="str">
        <f>IF($AX514="Cancelled","",IF(X514="","",IFERROR(IF(INDEX(Variables!$B$38:$B$47,MATCH(X514,Variables!$A$38:$A$47,0))="Yes","Yes","No"),"No")))</f>
        <v>Yes</v>
      </c>
      <c r="Z514" s="58">
        <v>45974</v>
      </c>
      <c r="AB514" s="31">
        <v>45987</v>
      </c>
      <c r="AC514" s="13" t="str">
        <f t="shared" ref="AC514:AC577" si="24">IF($AX514="Cancelled","",IF(ISNUMBER(AB514),"Approved",""))</f>
        <v>Approved</v>
      </c>
      <c r="AF514" s="71">
        <v>45994</v>
      </c>
      <c r="AG514" s="37">
        <f>IF($AX514="Cancelled","",IFERROR(IF(F514="","",F514-Variables!$B$13),""))</f>
        <v>46007</v>
      </c>
      <c r="AH514" s="13">
        <f>IF($AX514="Cancelled","",IFERROR(IF(AB514="","",(AVERAGE(E514:F514)-AB514)-Variables!$B$14),""))</f>
        <v>-25</v>
      </c>
      <c r="AJ514" s="47">
        <v>45994</v>
      </c>
      <c r="AK514" s="14">
        <f>IF($AX514="Cancelled","",IFERROR(IF(AJ514="","",IF(AND(AB514="",AF514=""),"",IF(AF514&gt;AB514,AF514+Variables!$B$15+Variables!$B$16+Variables!$B$17-AJ514,AB514+Variables!$B$16+Variables!$B$17-AJ514))),""))</f>
        <v>15</v>
      </c>
      <c r="AL514" s="48" t="s">
        <v>114</v>
      </c>
      <c r="AM514" s="13" t="s">
        <v>141</v>
      </c>
      <c r="AN514" s="13" t="s">
        <v>1096</v>
      </c>
      <c r="AP514" s="31">
        <v>46009</v>
      </c>
      <c r="AR514" s="13" t="s">
        <v>1480</v>
      </c>
      <c r="AS514" s="31">
        <v>46009</v>
      </c>
      <c r="AU514" s="31">
        <v>46014</v>
      </c>
      <c r="AV514" s="13" t="s">
        <v>865</v>
      </c>
      <c r="AW514" s="31">
        <v>46014</v>
      </c>
      <c r="AX514" s="13" t="str">
        <f>IF(ISNUMBER(SEARCH("cancel",#REF!)),"Cancelled",IF(AND(AS514&lt;&gt;"",AU514&lt;&gt;"",AW514&lt;&gt;""),"Closed","Open"))</f>
        <v>Closed</v>
      </c>
      <c r="AY514" s="15" t="str">
        <f t="shared" ref="AY514:AY577" si="25">IF($AX514="Cancelled","",IF(AND(AS514&lt;&gt;"",AU514&lt;&gt;"",AW514&lt;&gt;""),"All dates received",_xlfn.TEXTJOIN(" and ",TRUE(),IF(AS514="","No sailing date",""),IF(AU514="","No shipping advice sent",""),IF(AW514="","No docs dispatch date",""))))</f>
        <v>All dates received</v>
      </c>
      <c r="BD514" s="13">
        <f>IF($AX514="Cancelled","",IFERROR(IF(OR(AS514="",AJ514=""),"",(AJ514+Variables!$B$18-AS514)),""))</f>
        <v>0</v>
      </c>
      <c r="BE514" s="13">
        <f>IF($AX514="Cancelled","",IFERROR(IF(OR(AW514="",AS514=""),"",(AS514+Variables!$B$19)-AW514),""))</f>
        <v>0</v>
      </c>
      <c r="BF514" s="44">
        <f>IF($AX514="Cancelled","",IFERROR(W514*INDEX(Variables!$B$7:$D$7,IFERROR(MATCH(IF($B514="Robusta","Robusta",(IF($B514="","Arabica",$B514))&amp;" - "&amp;(IF($C514="","Commercial",$C514))),Variables!$B$1:$D$1,0),1))*(BE514/365),""))</f>
        <v>0</v>
      </c>
      <c r="BG514" s="44">
        <f>IF($AX514="Cancelled","",IFERROR((W514*INDEX(Variables!$B$7:$D$7,IFERROR(MATCH(IF($B514="Robusta","Robusta",(IF($B514="","Arabica",$B514))&amp;" - "&amp;(IF($C514="","Commercial",$C514))),Variables!$B$1:$D$1,0),1))*IFERROR(IF(AB514="","",(AVERAGE(E514:F514)-AB514)-Variables!$B$14),"")/365)+(L514/16.67*INDEX(Variables!$B$8:$D$8,IFERROR(MATCH(IF($B514="Robusta","Robusta",(IF($B514="","Arabica",$B514))&amp;" - "&amp;(IF($C514="","Commercial",$C514))),Variables!$B$1:$D$1,0),1))*IFERROR(IF(AB514="","",(AVERAGE(E514:F514)-AB514)-Variables!$B$14),""))+(W514*INDEX(Variables!$B$9:$D$9,IFERROR(MATCH(IF($B514="Robusta","Robusta",(IF($B514="","Arabica",$B514))&amp;" - "&amp;(IF($C514="","Commercial",$C514))),Variables!$B$1:$D$1,0),1))*IFERROR(IF(AB514="","",(AVERAGE(E514:F514)-AB514)-Variables!$B$14),"")/365),""))</f>
        <v>-831.35718837255831</v>
      </c>
      <c r="BH514" s="44">
        <f>IF($AX514="Cancelled","",IFERROR((W514*INDEX(Variables!$B$7:$D$7,IFERROR(MATCH(IF($B514="Robusta","Robusta",(IF($B514="","Arabica",$B514))&amp;" - "&amp;(IF($C514="","Commercial",$C514))),Variables!$B$1:$D$1,0),1))*AK514/365)+(L514/16.67*INDEX(Variables!$B$8:$D$8,IFERROR(MATCH(IF($B514="Robusta","Robusta",(IF($B514="","Arabica",$B514))&amp;" - "&amp;(IF($C514="","Commercial",$C514))),Variables!$B$1:$D$1,0),1))*AK514)+(W514*INDEX(Variables!$B$9:$D$9,IFERROR(MATCH(IF($B514="Robusta","Robusta",(IF($B514="","Arabica",$B514))&amp;" - "&amp;(IF($C514="","Commercial",$C514))),Variables!$B$1:$D$1,0),1))*AK514/365),""))</f>
        <v>498.81431302353502</v>
      </c>
      <c r="BI514" s="44">
        <f>IF($AX514="Cancelled","",IFERROR((W514*INDEX(Variables!$B$7:$D$7,IFERROR(MATCH(IF($B514="Robusta","Robusta",(IF($B514="","Arabica",$B514))&amp;" - "&amp;(IF($C514="","Commercial",$C514))),Variables!$B$1:$D$1,0),1))*BD514/365)+(L514/16.67*INDEX(Variables!$B$8:$D$8,IFERROR(MATCH(IF($B514="Robusta","Robusta",(IF($B514="","Arabica",$B514))&amp;" - "&amp;(IF($C514="","Commercial",$C514))),Variables!$B$1:$D$1,0),1))*BD514)+(W514*INDEX(Variables!$B$9:$D$9,IFERROR(MATCH(IF($B514="Robusta","Robusta",(IF($B514="","Arabica",$B514))&amp;" - "&amp;(IF($C514="","Commercial",$C514))),Variables!$B$1:$D$1,0),1))*BD514/365),""))</f>
        <v>0</v>
      </c>
      <c r="BJ514" s="44">
        <f t="shared" ref="BJ514:BJ577" si="26">IF($AX514="Cancelled","",IFERROR(IF(AS514="","",F514-AS514),""))</f>
        <v>13</v>
      </c>
      <c r="BK514" s="44">
        <f>IF($AX514="Cancelled","",IFERROR(IF(BJ514="","",(W514*INDEX(Variables!$B$7:$D$7,IFERROR(MATCH(IF($B514="Robusta","Robusta",(IF($B514="","Arabica",$B514))&amp;" - "&amp;(IF($C514="","Commercial",$C514))),Variables!$B$1:$D$1,0),1))*(BJ514/365))+(W514*INDEX(Variables!$B$9:$D$9,IFERROR(MATCH(IF($B514="Robusta","Robusta",(IF($B514="","Arabica",$B514))&amp;" - "&amp;(IF($C514="","Commercial",$C514))),Variables!$B$1:$D$1,0),1))*(BJ514/365))+(INDEX(Variables!$B$8:$D$8,IFERROR(MATCH(IF($B514="Robusta","Robusta",(IF($B514="","Arabica",$B514))&amp;" - "&amp;(IF($C514="","Commercial",$C514))),Variables!$B$1:$D$1,0),1))*L514/16.67)),""))</f>
        <v>282.30573795373033</v>
      </c>
    </row>
    <row r="515" spans="1:63">
      <c r="A515" s="13" t="s">
        <v>103</v>
      </c>
      <c r="B515" s="13" t="s">
        <v>104</v>
      </c>
      <c r="C515" s="13" t="s">
        <v>105</v>
      </c>
      <c r="D515" s="31">
        <v>45972</v>
      </c>
      <c r="E515" s="31">
        <v>46037</v>
      </c>
      <c r="F515" s="31">
        <v>46067</v>
      </c>
      <c r="G515" s="13">
        <v>3786988</v>
      </c>
      <c r="H515" s="13">
        <v>28270</v>
      </c>
      <c r="J515" s="13" t="s">
        <v>236</v>
      </c>
      <c r="K515" s="13" t="s">
        <v>1481</v>
      </c>
      <c r="L515" s="13">
        <v>280</v>
      </c>
      <c r="M515" s="13">
        <v>1</v>
      </c>
      <c r="N515" s="13" t="s">
        <v>1417</v>
      </c>
      <c r="O515" s="13" t="s">
        <v>355</v>
      </c>
      <c r="P515" s="13">
        <v>10060</v>
      </c>
      <c r="R515" s="13" t="s">
        <v>239</v>
      </c>
      <c r="S515" s="13" t="s">
        <v>180</v>
      </c>
      <c r="T515" s="13" t="s">
        <v>253</v>
      </c>
      <c r="U515" s="13" t="s">
        <v>182</v>
      </c>
      <c r="V515" s="13">
        <v>38</v>
      </c>
      <c r="W515" s="44">
        <f>IF($AX515="Cancelled","",IFERROR(((V515+INDEX(Variables!$B$6:$D$6,IFERROR(MATCH(IF($B515="Robusta","Robusta",(IF($B515="","Arabica",$B515))&amp;" - "&amp;(IF($C515="","Commercial",$C515))),Variables!$B$1:$D$1,0),1)))*22.0462)*(L515/16.67),""))</f>
        <v>121755.33034193159</v>
      </c>
      <c r="X515" s="55" t="s">
        <v>37</v>
      </c>
      <c r="Y515" s="13" t="str">
        <f>IF($AX515="Cancelled","",IF(X515="","",IFERROR(IF(INDEX(Variables!$B$38:$B$47,MATCH(X515,Variables!$A$38:$A$47,0))="Yes","Yes","No"),"No")))</f>
        <v>Yes</v>
      </c>
      <c r="Z515" s="58">
        <v>45994</v>
      </c>
      <c r="AB515" s="31">
        <v>46020.875</v>
      </c>
      <c r="AC515" s="13" t="str">
        <f t="shared" si="24"/>
        <v>Approved</v>
      </c>
      <c r="AF515" s="71">
        <v>46007</v>
      </c>
      <c r="AG515" s="37">
        <f>IF($AX515="Cancelled","",IFERROR(IF(F515="","",F515-Variables!$B$13),""))</f>
        <v>46052</v>
      </c>
      <c r="AH515" s="13">
        <f>IF($AX515="Cancelled","",IFERROR(IF(AB515="","",(AVERAGE(E515:F515)-AB515)-Variables!$B$14),""))</f>
        <v>1.125</v>
      </c>
      <c r="AJ515" s="47">
        <v>46037</v>
      </c>
      <c r="AK515" s="14">
        <f>IF($AX515="Cancelled","",IFERROR(IF(AJ515="","",IF(AND(AB515="",AF515=""),"",IF(AF515&gt;AB515,AF515+Variables!$B$15+Variables!$B$16+Variables!$B$17-AJ515,AB515+Variables!$B$16+Variables!$B$17-AJ515))),""))</f>
        <v>-8.125</v>
      </c>
      <c r="AL515" s="48" t="s">
        <v>114</v>
      </c>
      <c r="AM515" s="13" t="s">
        <v>1482</v>
      </c>
      <c r="AN515" s="13" t="s">
        <v>1418</v>
      </c>
      <c r="AP515" s="31">
        <v>46047</v>
      </c>
      <c r="AR515" s="13" t="s">
        <v>1483</v>
      </c>
      <c r="AS515" s="31">
        <v>46047</v>
      </c>
      <c r="AU515" s="31">
        <v>46052</v>
      </c>
      <c r="AV515" s="13" t="s">
        <v>1484</v>
      </c>
      <c r="AW515" s="31">
        <v>46073</v>
      </c>
      <c r="AX515" s="13" t="str">
        <f>IF(ISNUMBER(SEARCH("cancel",#REF!)),"Cancelled",IF(AND(AS515&lt;&gt;"",AU515&lt;&gt;"",AW515&lt;&gt;""),"Closed","Open"))</f>
        <v>Closed</v>
      </c>
      <c r="AY515" s="15" t="str">
        <f t="shared" si="25"/>
        <v>All dates received</v>
      </c>
      <c r="BD515" s="13">
        <f>IF($AX515="Cancelled","",IFERROR(IF(OR(AS515="",AJ515=""),"",(AJ515+Variables!$B$18-AS515)),""))</f>
        <v>5</v>
      </c>
      <c r="BE515" s="13">
        <f>IF($AX515="Cancelled","",IFERROR(IF(OR(AW515="",AS515=""),"",(AS515+Variables!$B$19)-AW515),""))</f>
        <v>-21</v>
      </c>
      <c r="BF515" s="44">
        <f>IF($AX515="Cancelled","",IFERROR(W515*INDEX(Variables!$B$7:$D$7,IFERROR(MATCH(IF($B515="Robusta","Robusta",(IF($B515="","Arabica",$B515))&amp;" - "&amp;(IF($C515="","Commercial",$C515))),Variables!$B$1:$D$1,0),1))*(BE515/365),""))</f>
        <v>-451.70433645387544</v>
      </c>
      <c r="BG515" s="44">
        <f>IF($AX515="Cancelled","",IFERROR((W515*INDEX(Variables!$B$7:$D$7,IFERROR(MATCH(IF($B515="Robusta","Robusta",(IF($B515="","Arabica",$B515))&amp;" - "&amp;(IF($C515="","Commercial",$C515))),Variables!$B$1:$D$1,0),1))*IFERROR(IF(AB515="","",(AVERAGE(E515:F515)-AB515)-Variables!$B$14),"")/365)+(L515/16.67*INDEX(Variables!$B$8:$D$8,IFERROR(MATCH(IF($B515="Robusta","Robusta",(IF($B515="","Arabica",$B515))&amp;" - "&amp;(IF($C515="","Commercial",$C515))),Variables!$B$1:$D$1,0),1))*IFERROR(IF(AB515="","",(AVERAGE(E515:F515)-AB515)-Variables!$B$14),""))+(W515*INDEX(Variables!$B$9:$D$9,IFERROR(MATCH(IF($B515="Robusta","Robusta",(IF($B515="","Arabica",$B515))&amp;" - "&amp;(IF($C515="","Commercial",$C515))),Variables!$B$1:$D$1,0),1))*IFERROR(IF(AB515="","",(AVERAGE(E515:F515)-AB515)-Variables!$B$14),"")/365),""))</f>
        <v>40.260411272119775</v>
      </c>
      <c r="BH515" s="44">
        <f>IF($AX515="Cancelled","",IFERROR((W515*INDEX(Variables!$B$7:$D$7,IFERROR(MATCH(IF($B515="Robusta","Robusta",(IF($B515="","Arabica",$B515))&amp;" - "&amp;(IF($C515="","Commercial",$C515))),Variables!$B$1:$D$1,0),1))*AK515/365)+(L515/16.67*INDEX(Variables!$B$8:$D$8,IFERROR(MATCH(IF($B515="Robusta","Robusta",(IF($B515="","Arabica",$B515))&amp;" - "&amp;(IF($C515="","Commercial",$C515))),Variables!$B$1:$D$1,0),1))*AK515)+(W515*INDEX(Variables!$B$9:$D$9,IFERROR(MATCH(IF($B515="Robusta","Robusta",(IF($B515="","Arabica",$B515))&amp;" - "&amp;(IF($C515="","Commercial",$C515))),Variables!$B$1:$D$1,0),1))*AK515/365),""))</f>
        <v>-290.76963696530947</v>
      </c>
      <c r="BI515" s="44">
        <f>IF($AX515="Cancelled","",IFERROR((W515*INDEX(Variables!$B$7:$D$7,IFERROR(MATCH(IF($B515="Robusta","Robusta",(IF($B515="","Arabica",$B515))&amp;" - "&amp;(IF($C515="","Commercial",$C515))),Variables!$B$1:$D$1,0),1))*BD515/365)+(L515/16.67*INDEX(Variables!$B$8:$D$8,IFERROR(MATCH(IF($B515="Robusta","Robusta",(IF($B515="","Arabica",$B515))&amp;" - "&amp;(IF($C515="","Commercial",$C515))),Variables!$B$1:$D$1,0),1))*BD515)+(W515*INDEX(Variables!$B$9:$D$9,IFERROR(MATCH(IF($B515="Robusta","Robusta",(IF($B515="","Arabica",$B515))&amp;" - "&amp;(IF($C515="","Commercial",$C515))),Variables!$B$1:$D$1,0),1))*BD515/365),""))</f>
        <v>178.93516120942124</v>
      </c>
      <c r="BJ515" s="44">
        <f t="shared" si="26"/>
        <v>20</v>
      </c>
      <c r="BK515" s="44">
        <f>IF($AX515="Cancelled","",IFERROR(IF(BJ515="","",(W515*INDEX(Variables!$B$7:$D$7,IFERROR(MATCH(IF($B515="Robusta","Robusta",(IF($B515="","Arabica",$B515))&amp;" - "&amp;(IF($C515="","Commercial",$C515))),Variables!$B$1:$D$1,0),1))*(BJ515/365))+(W515*INDEX(Variables!$B$9:$D$9,IFERROR(MATCH(IF($B515="Robusta","Robusta",(IF($B515="","Arabica",$B515))&amp;" - "&amp;(IF($C515="","Commercial",$C515))),Variables!$B$1:$D$1,0),1))*(BJ515/365))+(INDEX(Variables!$B$8:$D$8,IFERROR(MATCH(IF($B515="Robusta","Robusta",(IF($B515="","Arabica",$B515))&amp;" - "&amp;(IF($C515="","Commercial",$C515))),Variables!$B$1:$D$1,0),1))*L515/16.67)),""))</f>
        <v>449.7406448376849</v>
      </c>
    </row>
    <row r="516" spans="1:63">
      <c r="A516" s="13" t="s">
        <v>103</v>
      </c>
      <c r="B516" s="13" t="s">
        <v>104</v>
      </c>
      <c r="C516" s="13" t="s">
        <v>105</v>
      </c>
      <c r="D516" s="31">
        <v>45972</v>
      </c>
      <c r="E516" s="31">
        <v>46037</v>
      </c>
      <c r="F516" s="31">
        <v>46067</v>
      </c>
      <c r="G516" s="13">
        <v>3786989</v>
      </c>
      <c r="H516" s="13">
        <v>28271</v>
      </c>
      <c r="J516" s="13" t="s">
        <v>236</v>
      </c>
      <c r="K516" s="13" t="s">
        <v>1485</v>
      </c>
      <c r="L516" s="13">
        <v>40</v>
      </c>
      <c r="M516" s="13">
        <v>0</v>
      </c>
      <c r="N516" s="13" t="s">
        <v>1486</v>
      </c>
      <c r="O516" s="13" t="s">
        <v>418</v>
      </c>
      <c r="P516" s="13">
        <v>10070</v>
      </c>
      <c r="R516" s="13" t="s">
        <v>239</v>
      </c>
      <c r="S516" s="13" t="s">
        <v>180</v>
      </c>
      <c r="T516" s="13" t="s">
        <v>253</v>
      </c>
      <c r="U516" s="13" t="s">
        <v>182</v>
      </c>
      <c r="V516" s="13">
        <v>23</v>
      </c>
      <c r="W516" s="44">
        <f>IF($AX516="Cancelled","",IFERROR(((V516+INDEX(Variables!$B$6:$D$6,IFERROR(MATCH(IF($B516="Robusta","Robusta",(IF($B516="","Arabica",$B516))&amp;" - "&amp;(IF($C516="","Commercial",$C516))),Variables!$B$1:$D$1,0),1)))*22.0462)*(L516/16.67),""))</f>
        <v>16600.114121175764</v>
      </c>
      <c r="X516" s="55" t="s">
        <v>37</v>
      </c>
      <c r="Y516" s="13" t="str">
        <f>IF($AX516="Cancelled","",IF(X516="","",IFERROR(IF(INDEX(Variables!$B$38:$B$47,MATCH(X516,Variables!$A$38:$A$47,0))="Yes","Yes","No"),"No")))</f>
        <v>Yes</v>
      </c>
      <c r="Z516" s="58">
        <v>45994</v>
      </c>
      <c r="AB516" s="31">
        <v>46020.875</v>
      </c>
      <c r="AC516" s="13" t="str">
        <f t="shared" si="24"/>
        <v>Approved</v>
      </c>
      <c r="AF516" s="71">
        <v>46009</v>
      </c>
      <c r="AG516" s="37">
        <f>IF($AX516="Cancelled","",IFERROR(IF(F516="","",F516-Variables!$B$13),""))</f>
        <v>46052</v>
      </c>
      <c r="AH516" s="13">
        <f>IF($AX516="Cancelled","",IFERROR(IF(AB516="","",(AVERAGE(E516:F516)-AB516)-Variables!$B$14),""))</f>
        <v>1.125</v>
      </c>
      <c r="AJ516" s="47">
        <v>46037</v>
      </c>
      <c r="AK516" s="14">
        <f>IF($AX516="Cancelled","",IFERROR(IF(AJ516="","",IF(AND(AB516="",AF516=""),"",IF(AF516&gt;AB516,AF516+Variables!$B$15+Variables!$B$16+Variables!$B$17-AJ516,AB516+Variables!$B$16+Variables!$B$17-AJ516))),""))</f>
        <v>-8.125</v>
      </c>
      <c r="AL516" s="48" t="s">
        <v>114</v>
      </c>
      <c r="AM516" s="13" t="s">
        <v>1482</v>
      </c>
      <c r="AN516" s="13" t="s">
        <v>1418</v>
      </c>
      <c r="AP516" s="31">
        <v>46047</v>
      </c>
      <c r="AR516" s="13" t="s">
        <v>1483</v>
      </c>
      <c r="AS516" s="31">
        <v>46047</v>
      </c>
      <c r="AU516" s="31">
        <v>46052</v>
      </c>
      <c r="AV516" s="13" t="s">
        <v>1484</v>
      </c>
      <c r="AW516" s="31">
        <v>46073</v>
      </c>
      <c r="AX516" s="13" t="str">
        <f>IF(ISNUMBER(SEARCH("cancel",#REF!)),"Cancelled",IF(AND(AS516&lt;&gt;"",AU516&lt;&gt;"",AW516&lt;&gt;""),"Closed","Open"))</f>
        <v>Closed</v>
      </c>
      <c r="AY516" s="15" t="str">
        <f t="shared" si="25"/>
        <v>All dates received</v>
      </c>
      <c r="BD516" s="13">
        <f>IF($AX516="Cancelled","",IFERROR(IF(OR(AS516="",AJ516=""),"",(AJ516+Variables!$B$18-AS516)),""))</f>
        <v>5</v>
      </c>
      <c r="BE516" s="13">
        <f>IF($AX516="Cancelled","",IFERROR(IF(OR(AW516="",AS516=""),"",(AS516+Variables!$B$19)-AW516),""))</f>
        <v>-21</v>
      </c>
      <c r="BF516" s="44">
        <f>IF($AX516="Cancelled","",IFERROR(W516*INDEX(Variables!$B$7:$D$7,IFERROR(MATCH(IF($B516="Robusta","Robusta",(IF($B516="","Arabica",$B516))&amp;" - "&amp;(IF($C516="","Commercial",$C516))),Variables!$B$1:$D$1,0),1))*(BE516/365),""))</f>
        <v>-61.585340971161862</v>
      </c>
      <c r="BG516" s="44">
        <f>IF($AX516="Cancelled","",IFERROR((W516*INDEX(Variables!$B$7:$D$7,IFERROR(MATCH(IF($B516="Robusta","Robusta",(IF($B516="","Arabica",$B516))&amp;" - "&amp;(IF($C516="","Commercial",$C516))),Variables!$B$1:$D$1,0),1))*IFERROR(IF(AB516="","",(AVERAGE(E516:F516)-AB516)-Variables!$B$14),"")/365)+(L516/16.67*INDEX(Variables!$B$8:$D$8,IFERROR(MATCH(IF($B516="Robusta","Robusta",(IF($B516="","Arabica",$B516))&amp;" - "&amp;(IF($C516="","Commercial",$C516))),Variables!$B$1:$D$1,0),1))*IFERROR(IF(AB516="","",(AVERAGE(E516:F516)-AB516)-Variables!$B$14),""))+(W516*INDEX(Variables!$B$9:$D$9,IFERROR(MATCH(IF($B516="Robusta","Robusta",(IF($B516="","Arabica",$B516))&amp;" - "&amp;(IF($C516="","Commercial",$C516))),Variables!$B$1:$D$1,0),1))*IFERROR(IF(AB516="","",(AVERAGE(E516:F516)-AB516)-Variables!$B$14),"")/365),""))</f>
        <v>5.5917479393427127</v>
      </c>
      <c r="BH516" s="44">
        <f>IF($AX516="Cancelled","",IFERROR((W516*INDEX(Variables!$B$7:$D$7,IFERROR(MATCH(IF($B516="Robusta","Robusta",(IF($B516="","Arabica",$B516))&amp;" - "&amp;(IF($C516="","Commercial",$C516))),Variables!$B$1:$D$1,0),1))*AK516/365)+(L516/16.67*INDEX(Variables!$B$8:$D$8,IFERROR(MATCH(IF($B516="Robusta","Robusta",(IF($B516="","Arabica",$B516))&amp;" - "&amp;(IF($C516="","Commercial",$C516))),Variables!$B$1:$D$1,0),1))*AK516)+(W516*INDEX(Variables!$B$9:$D$9,IFERROR(MATCH(IF($B516="Robusta","Robusta",(IF($B516="","Arabica",$B516))&amp;" - "&amp;(IF($C516="","Commercial",$C516))),Variables!$B$1:$D$1,0),1))*AK516/365),""))</f>
        <v>-40.384846228586255</v>
      </c>
      <c r="BI516" s="44">
        <f>IF($AX516="Cancelled","",IFERROR((W516*INDEX(Variables!$B$7:$D$7,IFERROR(MATCH(IF($B516="Robusta","Robusta",(IF($B516="","Arabica",$B516))&amp;" - "&amp;(IF($C516="","Commercial",$C516))),Variables!$B$1:$D$1,0),1))*BD516/365)+(L516/16.67*INDEX(Variables!$B$8:$D$8,IFERROR(MATCH(IF($B516="Robusta","Robusta",(IF($B516="","Arabica",$B516))&amp;" - "&amp;(IF($C516="","Commercial",$C516))),Variables!$B$1:$D$1,0),1))*BD516)+(W516*INDEX(Variables!$B$9:$D$9,IFERROR(MATCH(IF($B516="Robusta","Robusta",(IF($B516="","Arabica",$B516))&amp;" - "&amp;(IF($C516="","Commercial",$C516))),Variables!$B$1:$D$1,0),1))*BD516/365),""))</f>
        <v>24.852213063745388</v>
      </c>
      <c r="BJ516" s="44">
        <f t="shared" si="26"/>
        <v>20</v>
      </c>
      <c r="BK516" s="44">
        <f>IF($AX516="Cancelled","",IFERROR(IF(BJ516="","",(W516*INDEX(Variables!$B$7:$D$7,IFERROR(MATCH(IF($B516="Robusta","Robusta",(IF($B516="","Arabica",$B516))&amp;" - "&amp;(IF($C516="","Commercial",$C516))),Variables!$B$1:$D$1,0),1))*(BJ516/365))+(W516*INDEX(Variables!$B$9:$D$9,IFERROR(MATCH(IF($B516="Robusta","Robusta",(IF($B516="","Arabica",$B516))&amp;" - "&amp;(IF($C516="","Commercial",$C516))),Variables!$B$1:$D$1,0),1))*(BJ516/365))+(INDEX(Variables!$B$8:$D$8,IFERROR(MATCH(IF($B516="Robusta","Robusta",(IF($B516="","Arabica",$B516))&amp;" - "&amp;(IF($C516="","Commercial",$C516))),Variables!$B$1:$D$1,0),1))*L516/16.67)),""))</f>
        <v>61.408852254981554</v>
      </c>
    </row>
    <row r="517" spans="1:63">
      <c r="A517" s="13" t="s">
        <v>103</v>
      </c>
      <c r="B517" s="13" t="s">
        <v>104</v>
      </c>
      <c r="C517" s="13" t="s">
        <v>105</v>
      </c>
      <c r="D517" s="31">
        <v>45974</v>
      </c>
      <c r="E517" s="31">
        <v>46023</v>
      </c>
      <c r="F517" s="31">
        <v>46053</v>
      </c>
      <c r="G517" s="13">
        <v>3786990</v>
      </c>
      <c r="H517" s="13" t="s">
        <v>1487</v>
      </c>
      <c r="J517" s="13" t="s">
        <v>1131</v>
      </c>
      <c r="K517" s="13">
        <v>5380</v>
      </c>
      <c r="L517" s="13">
        <v>320</v>
      </c>
      <c r="M517" s="13">
        <v>1</v>
      </c>
      <c r="N517" s="13" t="s">
        <v>1417</v>
      </c>
      <c r="O517" s="13" t="s">
        <v>261</v>
      </c>
      <c r="P517" s="13">
        <v>10060</v>
      </c>
      <c r="R517" s="13" t="s">
        <v>239</v>
      </c>
      <c r="S517" s="13" t="s">
        <v>180</v>
      </c>
      <c r="T517" s="13" t="s">
        <v>253</v>
      </c>
      <c r="U517" s="13" t="s">
        <v>182</v>
      </c>
      <c r="V517" s="13">
        <v>48</v>
      </c>
      <c r="W517" s="44">
        <f>IF($AX517="Cancelled","",IFERROR(((V517+INDEX(Variables!$B$6:$D$6,IFERROR(MATCH(IF($B517="Robusta","Robusta",(IF($B517="","Arabica",$B517))&amp;" - "&amp;(IF($C517="","Commercial",$C517))),Variables!$B$1:$D$1,0),1)))*22.0462)*(L517/16.67),""))</f>
        <v>143380.97295740849</v>
      </c>
      <c r="X517" s="55" t="s">
        <v>37</v>
      </c>
      <c r="Y517" s="13" t="str">
        <f>IF($AX517="Cancelled","",IF(X517="","",IFERROR(IF(INDEX(Variables!$B$38:$B$47,MATCH(X517,Variables!$A$38:$A$47,0))="Yes","Yes","No"),"No")))</f>
        <v>Yes</v>
      </c>
      <c r="Z517" s="58">
        <v>46007</v>
      </c>
      <c r="AB517" s="31">
        <v>46005.875</v>
      </c>
      <c r="AC517" s="13" t="str">
        <f t="shared" si="24"/>
        <v>Approved</v>
      </c>
      <c r="AF517" s="71">
        <v>46035</v>
      </c>
      <c r="AG517" s="37">
        <f>IF($AX517="Cancelled","",IFERROR(IF(F517="","",F517-Variables!$B$13),""))</f>
        <v>46038</v>
      </c>
      <c r="AH517" s="13">
        <f>IF($AX517="Cancelled","",IFERROR(IF(AB517="","",(AVERAGE(E517:F517)-AB517)-Variables!$B$14),""))</f>
        <v>2.125</v>
      </c>
      <c r="AJ517" s="47">
        <v>46037</v>
      </c>
      <c r="AK517" s="14">
        <f>IF($AX517="Cancelled","",IFERROR(IF(AJ517="","",IF(AND(AB517="",AF517=""),"",IF(AF517&gt;AB517,AF517+Variables!$B$15+Variables!$B$16+Variables!$B$17-AJ517,AB517+Variables!$B$16+Variables!$B$17-AJ517))),""))</f>
        <v>13</v>
      </c>
      <c r="AL517" s="48" t="s">
        <v>114</v>
      </c>
      <c r="AM517" s="13" t="s">
        <v>183</v>
      </c>
      <c r="AN517" s="13" t="s">
        <v>1488</v>
      </c>
      <c r="AP517" s="31">
        <v>46056</v>
      </c>
      <c r="AR517" s="13" t="s">
        <v>1489</v>
      </c>
      <c r="AS517" s="31">
        <v>46056</v>
      </c>
      <c r="AU517" s="31">
        <v>46059</v>
      </c>
      <c r="AV517" s="13">
        <v>4569968200</v>
      </c>
      <c r="AW517" s="31">
        <v>46090</v>
      </c>
      <c r="AX517" s="13" t="str">
        <f>IF(ISNUMBER(SEARCH("cancel",#REF!)),"Cancelled",IF(AND(AS517&lt;&gt;"",AU517&lt;&gt;"",AW517&lt;&gt;""),"Closed","Open"))</f>
        <v>Closed</v>
      </c>
      <c r="AY517" s="15" t="str">
        <f t="shared" si="25"/>
        <v>All dates received</v>
      </c>
      <c r="BD517" s="13">
        <f>IF($AX517="Cancelled","",IFERROR(IF(OR(AS517="",AJ517=""),"",(AJ517+Variables!$B$18-AS517)),""))</f>
        <v>-4</v>
      </c>
      <c r="BE517" s="13">
        <f>IF($AX517="Cancelled","",IFERROR(IF(OR(AW517="",AS517=""),"",(AS517+Variables!$B$19)-AW517),""))</f>
        <v>-29</v>
      </c>
      <c r="BF517" s="44">
        <f>IF($AX517="Cancelled","",IFERROR(W517*INDEX(Variables!$B$7:$D$7,IFERROR(MATCH(IF($B517="Robusta","Robusta",(IF($B517="","Arabica",$B517))&amp;" - "&amp;(IF($C517="","Commercial",$C517))),Variables!$B$1:$D$1,0),1))*(BE517/365),""))</f>
        <v>-734.57560728381361</v>
      </c>
      <c r="BG517" s="44">
        <f>IF($AX517="Cancelled","",IFERROR((W517*INDEX(Variables!$B$7:$D$7,IFERROR(MATCH(IF($B517="Robusta","Robusta",(IF($B517="","Arabica",$B517))&amp;" - "&amp;(IF($C517="","Commercial",$C517))),Variables!$B$1:$D$1,0),1))*IFERROR(IF(AB517="","",(AVERAGE(E517:F517)-AB517)-Variables!$B$14),"")/365)+(L517/16.67*INDEX(Variables!$B$8:$D$8,IFERROR(MATCH(IF($B517="Robusta","Robusta",(IF($B517="","Arabica",$B517))&amp;" - "&amp;(IF($C517="","Commercial",$C517))),Variables!$B$1:$D$1,0),1))*IFERROR(IF(AB517="","",(AVERAGE(E517:F517)-AB517)-Variables!$B$14),""))+(W517*INDEX(Variables!$B$9:$D$9,IFERROR(MATCH(IF($B517="Robusta","Robusta",(IF($B517="","Arabica",$B517))&amp;" - "&amp;(IF($C517="","Commercial",$C517))),Variables!$B$1:$D$1,0),1))*IFERROR(IF(AB517="","",(AVERAGE(E517:F517)-AB517)-Variables!$B$14),"")/365),""))</f>
        <v>88.520590415518114</v>
      </c>
      <c r="BH517" s="44">
        <f>IF($AX517="Cancelled","",IFERROR((W517*INDEX(Variables!$B$7:$D$7,IFERROR(MATCH(IF($B517="Robusta","Robusta",(IF($B517="","Arabica",$B517))&amp;" - "&amp;(IF($C517="","Commercial",$C517))),Variables!$B$1:$D$1,0),1))*AK517/365)+(L517/16.67*INDEX(Variables!$B$8:$D$8,IFERROR(MATCH(IF($B517="Robusta","Robusta",(IF($B517="","Arabica",$B517))&amp;" - "&amp;(IF($C517="","Commercial",$C517))),Variables!$B$1:$D$1,0),1))*AK517)+(W517*INDEX(Variables!$B$9:$D$9,IFERROR(MATCH(IF($B517="Robusta","Robusta",(IF($B517="","Arabica",$B517))&amp;" - "&amp;(IF($C517="","Commercial",$C517))),Variables!$B$1:$D$1,0),1))*AK517/365),""))</f>
        <v>541.53772960081676</v>
      </c>
      <c r="BI517" s="44">
        <f>IF($AX517="Cancelled","",IFERROR((W517*INDEX(Variables!$B$7:$D$7,IFERROR(MATCH(IF($B517="Robusta","Robusta",(IF($B517="","Arabica",$B517))&amp;" - "&amp;(IF($C517="","Commercial",$C517))),Variables!$B$1:$D$1,0),1))*BD517/365)+(L517/16.67*INDEX(Variables!$B$8:$D$8,IFERROR(MATCH(IF($B517="Robusta","Robusta",(IF($B517="","Arabica",$B517))&amp;" - "&amp;(IF($C517="","Commercial",$C517))),Variables!$B$1:$D$1,0),1))*BD517)+(W517*INDEX(Variables!$B$9:$D$9,IFERROR(MATCH(IF($B517="Robusta","Robusta",(IF($B517="","Arabica",$B517))&amp;" - "&amp;(IF($C517="","Commercial",$C517))),Variables!$B$1:$D$1,0),1))*BD517/365),""))</f>
        <v>-166.62699372332824</v>
      </c>
      <c r="BJ517" s="44">
        <f t="shared" si="26"/>
        <v>-3</v>
      </c>
      <c r="BK517" s="44">
        <f>IF($AX517="Cancelled","",IFERROR(IF(BJ517="","",(W517*INDEX(Variables!$B$7:$D$7,IFERROR(MATCH(IF($B517="Robusta","Robusta",(IF($B517="","Arabica",$B517))&amp;" - "&amp;(IF($C517="","Commercial",$C517))),Variables!$B$1:$D$1,0),1))*(BJ517/365))+(W517*INDEX(Variables!$B$9:$D$9,IFERROR(MATCH(IF($B517="Robusta","Robusta",(IF($B517="","Arabica",$B517))&amp;" - "&amp;(IF($C517="","Commercial",$C517))),Variables!$B$1:$D$1,0),1))*(BJ517/365))+(INDEX(Variables!$B$8:$D$8,IFERROR(MATCH(IF($B517="Robusta","Robusta",(IF($B517="","Arabica",$B517))&amp;" - "&amp;(IF($C517="","Commercial",$C517))),Variables!$B$1:$D$1,0),1))*L517/16.67)),""))</f>
        <v>-60.970245292496159</v>
      </c>
    </row>
    <row r="518" spans="1:63">
      <c r="A518" s="13" t="s">
        <v>103</v>
      </c>
      <c r="B518" s="13" t="s">
        <v>104</v>
      </c>
      <c r="C518" s="13" t="s">
        <v>105</v>
      </c>
      <c r="D518" s="31">
        <v>45980</v>
      </c>
      <c r="E518" s="31">
        <v>45992</v>
      </c>
      <c r="F518" s="31">
        <v>46022</v>
      </c>
      <c r="G518" s="13">
        <v>3786991</v>
      </c>
      <c r="H518" s="13">
        <v>95718</v>
      </c>
      <c r="J518" s="13" t="s">
        <v>118</v>
      </c>
      <c r="K518" s="13" t="s">
        <v>1490</v>
      </c>
      <c r="L518" s="13">
        <v>333</v>
      </c>
      <c r="M518" s="13">
        <v>1</v>
      </c>
      <c r="N518" s="13" t="s">
        <v>1472</v>
      </c>
      <c r="O518" s="13" t="s">
        <v>269</v>
      </c>
      <c r="P518" s="13">
        <v>10310</v>
      </c>
      <c r="Q518" s="59" t="s">
        <v>270</v>
      </c>
      <c r="R518" s="13" t="s">
        <v>271</v>
      </c>
      <c r="S518" s="13" t="s">
        <v>272</v>
      </c>
      <c r="T518" s="13" t="s">
        <v>112</v>
      </c>
      <c r="U518" s="13" t="s">
        <v>113</v>
      </c>
      <c r="V518" s="13">
        <v>53</v>
      </c>
      <c r="W518" s="44">
        <f>IF($AX518="Cancelled","",IFERROR(((V518+INDEX(Variables!$B$6:$D$6,IFERROR(MATCH(IF($B518="Robusta","Robusta",(IF($B518="","Arabica",$B518))&amp;" - "&amp;(IF($C518="","Commercial",$C518))),Variables!$B$1:$D$1,0),1)))*22.0462)*(L518/16.67),""))</f>
        <v>151407.79996880621</v>
      </c>
      <c r="X518" s="55" t="s">
        <v>37</v>
      </c>
      <c r="Y518" s="13" t="str">
        <f>IF($AX518="Cancelled","",IF(X518="","",IFERROR(IF(INDEX(Variables!$B$38:$B$47,MATCH(X518,Variables!$A$38:$A$47,0))="Yes","Yes","No"),"No")))</f>
        <v>Yes</v>
      </c>
      <c r="Z518" s="58">
        <v>45989</v>
      </c>
      <c r="AC518" s="13" t="str">
        <f t="shared" si="24"/>
        <v/>
      </c>
      <c r="AF518" s="71">
        <v>46013</v>
      </c>
      <c r="AG518" s="37">
        <f>IF($AX518="Cancelled","",IFERROR(IF(F518="","",F518-Variables!$B$13),""))</f>
        <v>46007</v>
      </c>
      <c r="AH518" s="13" t="str">
        <f>IF($AX518="Cancelled","",IFERROR(IF(AB518="","",(AVERAGE(E518:F518)-AB518)-Variables!$B$14),""))</f>
        <v/>
      </c>
      <c r="AJ518" s="47">
        <v>46035</v>
      </c>
      <c r="AK518" s="14">
        <f>IF($AX518="Cancelled","",IFERROR(IF(AJ518="","",IF(AND(AB518="",AF518=""),"",IF(AF518&gt;AB518,AF518+Variables!$B$15+Variables!$B$16+Variables!$B$17-AJ518,AB518+Variables!$B$16+Variables!$B$17-AJ518))),""))</f>
        <v>-7</v>
      </c>
      <c r="AL518" s="48" t="s">
        <v>114</v>
      </c>
      <c r="AM518" s="13" t="s">
        <v>134</v>
      </c>
      <c r="AN518" s="13" t="s">
        <v>1491</v>
      </c>
      <c r="AP518" s="31">
        <v>46044</v>
      </c>
      <c r="AR518" s="13" t="s">
        <v>1492</v>
      </c>
      <c r="AS518" s="31">
        <v>46044</v>
      </c>
      <c r="AU518" s="31">
        <v>46057</v>
      </c>
      <c r="AV518" s="13" t="s">
        <v>865</v>
      </c>
      <c r="AW518" s="31">
        <v>46057</v>
      </c>
      <c r="AX518" s="13" t="str">
        <f>IF(ISNUMBER(SEARCH("cancel",#REF!)),"Cancelled",IF(AND(AS518&lt;&gt;"",AU518&lt;&gt;"",AW518&lt;&gt;""),"Closed","Open"))</f>
        <v>Closed</v>
      </c>
      <c r="AY518" s="15" t="str">
        <f t="shared" si="25"/>
        <v>All dates received</v>
      </c>
      <c r="BD518" s="13">
        <f>IF($AX518="Cancelled","",IFERROR(IF(OR(AS518="",AJ518=""),"",(AJ518+Variables!$B$18-AS518)),""))</f>
        <v>6</v>
      </c>
      <c r="BE518" s="13">
        <f>IF($AX518="Cancelled","",IFERROR(IF(OR(AW518="",AS518=""),"",(AS518+Variables!$B$19)-AW518),""))</f>
        <v>-8</v>
      </c>
      <c r="BF518" s="44">
        <f>IF($AX518="Cancelled","",IFERROR(W518*INDEX(Variables!$B$7:$D$7,IFERROR(MATCH(IF($B518="Robusta","Robusta",(IF($B518="","Arabica",$B518))&amp;" - "&amp;(IF($C518="","Commercial",$C518))),Variables!$B$1:$D$1,0),1))*(BE518/365),""))</f>
        <v>-213.98592962517384</v>
      </c>
      <c r="BG518" s="44" t="str">
        <f>IF($AX518="Cancelled","",IFERROR((W518*INDEX(Variables!$B$7:$D$7,IFERROR(MATCH(IF($B518="Robusta","Robusta",(IF($B518="","Arabica",$B518))&amp;" - "&amp;(IF($C518="","Commercial",$C518))),Variables!$B$1:$D$1,0),1))*IFERROR(IF(AB518="","",(AVERAGE(E518:F518)-AB518)-Variables!$B$14),"")/365)+(L518/16.67*INDEX(Variables!$B$8:$D$8,IFERROR(MATCH(IF($B518="Robusta","Robusta",(IF($B518="","Arabica",$B518))&amp;" - "&amp;(IF($C518="","Commercial",$C518))),Variables!$B$1:$D$1,0),1))*IFERROR(IF(AB518="","",(AVERAGE(E518:F518)-AB518)-Variables!$B$14),""))+(W518*INDEX(Variables!$B$9:$D$9,IFERROR(MATCH(IF($B518="Robusta","Robusta",(IF($B518="","Arabica",$B518))&amp;" - "&amp;(IF($C518="","Commercial",$C518))),Variables!$B$1:$D$1,0),1))*IFERROR(IF(AB518="","",(AVERAGE(E518:F518)-AB518)-Variables!$B$14),"")/365),""))</f>
        <v/>
      </c>
      <c r="BH518" s="44">
        <f>IF($AX518="Cancelled","",IFERROR((W518*INDEX(Variables!$B$7:$D$7,IFERROR(MATCH(IF($B518="Robusta","Robusta",(IF($B518="","Arabica",$B518))&amp;" - "&amp;(IF($C518="","Commercial",$C518))),Variables!$B$1:$D$1,0),1))*AK518/365)+(L518/16.67*INDEX(Variables!$B$8:$D$8,IFERROR(MATCH(IF($B518="Robusta","Robusta",(IF($B518="","Arabica",$B518))&amp;" - "&amp;(IF($C518="","Commercial",$C518))),Variables!$B$1:$D$1,0),1))*AK518)+(W518*INDEX(Variables!$B$9:$D$9,IFERROR(MATCH(IF($B518="Robusta","Robusta",(IF($B518="","Arabica",$B518))&amp;" - "&amp;(IF($C518="","Commercial",$C518))),Variables!$B$1:$D$1,0),1))*AK518/365),""))</f>
        <v>-306.20154356942021</v>
      </c>
      <c r="BI518" s="44">
        <f>IF($AX518="Cancelled","",IFERROR((W518*INDEX(Variables!$B$7:$D$7,IFERROR(MATCH(IF($B518="Robusta","Robusta",(IF($B518="","Arabica",$B518))&amp;" - "&amp;(IF($C518="","Commercial",$C518))),Variables!$B$1:$D$1,0),1))*BD518/365)+(L518/16.67*INDEX(Variables!$B$8:$D$8,IFERROR(MATCH(IF($B518="Robusta","Robusta",(IF($B518="","Arabica",$B518))&amp;" - "&amp;(IF($C518="","Commercial",$C518))),Variables!$B$1:$D$1,0),1))*BD518)+(W518*INDEX(Variables!$B$9:$D$9,IFERROR(MATCH(IF($B518="Robusta","Robusta",(IF($B518="","Arabica",$B518))&amp;" - "&amp;(IF($C518="","Commercial",$C518))),Variables!$B$1:$D$1,0),1))*BD518/365),""))</f>
        <v>262.45846591664588</v>
      </c>
      <c r="BJ518" s="44">
        <f t="shared" si="26"/>
        <v>-22</v>
      </c>
      <c r="BK518" s="44">
        <f>IF($AX518="Cancelled","",IFERROR(IF(BJ518="","",(W518*INDEX(Variables!$B$7:$D$7,IFERROR(MATCH(IF($B518="Robusta","Robusta",(IF($B518="","Arabica",$B518))&amp;" - "&amp;(IF($C518="","Commercial",$C518))),Variables!$B$1:$D$1,0),1))*(BJ518/365))+(W518*INDEX(Variables!$B$9:$D$9,IFERROR(MATCH(IF($B518="Robusta","Robusta",(IF($B518="","Arabica",$B518))&amp;" - "&amp;(IF($C518="","Commercial",$C518))),Variables!$B$1:$D$1,0),1))*(BJ518/365))+(INDEX(Variables!$B$8:$D$8,IFERROR(MATCH(IF($B518="Robusta","Robusta",(IF($B518="","Arabica",$B518))&amp;" - "&amp;(IF($C518="","Commercial",$C518))),Variables!$B$1:$D$1,0),1))*L518/16.67)),""))</f>
        <v>-579.39770836103492</v>
      </c>
    </row>
    <row r="519" spans="1:63">
      <c r="A519" s="13" t="s">
        <v>103</v>
      </c>
      <c r="B519" s="13" t="s">
        <v>104</v>
      </c>
      <c r="C519" s="13" t="s">
        <v>105</v>
      </c>
      <c r="D519" s="31">
        <v>45980</v>
      </c>
      <c r="E519" s="31">
        <v>45992</v>
      </c>
      <c r="F519" s="31">
        <v>46022</v>
      </c>
      <c r="G519" s="13">
        <v>3786991</v>
      </c>
      <c r="H519" s="13">
        <v>95718</v>
      </c>
      <c r="J519" s="13" t="s">
        <v>118</v>
      </c>
      <c r="K519" s="13" t="s">
        <v>1493</v>
      </c>
      <c r="L519" s="13">
        <v>334</v>
      </c>
      <c r="M519" s="13">
        <v>1</v>
      </c>
      <c r="N519" s="13" t="s">
        <v>1472</v>
      </c>
      <c r="O519" s="13" t="s">
        <v>269</v>
      </c>
      <c r="P519" s="13">
        <v>10310</v>
      </c>
      <c r="Q519" s="59" t="s">
        <v>270</v>
      </c>
      <c r="R519" s="13" t="s">
        <v>271</v>
      </c>
      <c r="S519" s="13" t="s">
        <v>276</v>
      </c>
      <c r="T519" s="13" t="s">
        <v>112</v>
      </c>
      <c r="U519" s="13" t="s">
        <v>113</v>
      </c>
      <c r="V519" s="13">
        <v>53</v>
      </c>
      <c r="W519" s="44">
        <f>IF($AX519="Cancelled","",IFERROR(((V519+INDEX(Variables!$B$6:$D$6,IFERROR(MATCH(IF($B519="Robusta","Robusta",(IF($B519="","Arabica",$B519))&amp;" - "&amp;(IF($C519="","Commercial",$C519))),Variables!$B$1:$D$1,0),1)))*22.0462)*(L519/16.67),""))</f>
        <v>151862.47804679064</v>
      </c>
      <c r="X519" s="55" t="s">
        <v>37</v>
      </c>
      <c r="Y519" s="13" t="str">
        <f>IF($AX519="Cancelled","",IF(X519="","",IFERROR(IF(INDEX(Variables!$B$38:$B$47,MATCH(X519,Variables!$A$38:$A$47,0))="Yes","Yes","No"),"No")))</f>
        <v>Yes</v>
      </c>
      <c r="Z519" s="58">
        <v>45989</v>
      </c>
      <c r="AC519" s="13" t="str">
        <f t="shared" si="24"/>
        <v/>
      </c>
      <c r="AF519" s="71">
        <v>46013</v>
      </c>
      <c r="AG519" s="37">
        <f>IF($AX519="Cancelled","",IFERROR(IF(F519="","",F519-Variables!$B$13),""))</f>
        <v>46007</v>
      </c>
      <c r="AH519" s="13" t="str">
        <f>IF($AX519="Cancelled","",IFERROR(IF(AB519="","",(AVERAGE(E519:F519)-AB519)-Variables!$B$14),""))</f>
        <v/>
      </c>
      <c r="AJ519" s="47">
        <v>46035</v>
      </c>
      <c r="AK519" s="14">
        <f>IF($AX519="Cancelled","",IFERROR(IF(AJ519="","",IF(AND(AB519="",AF519=""),"",IF(AF519&gt;AB519,AF519+Variables!$B$15+Variables!$B$16+Variables!$B$17-AJ519,AB519+Variables!$B$16+Variables!$B$17-AJ519))),""))</f>
        <v>-7</v>
      </c>
      <c r="AL519" s="48" t="s">
        <v>114</v>
      </c>
      <c r="AM519" s="13" t="s">
        <v>134</v>
      </c>
      <c r="AN519" s="13" t="s">
        <v>1491</v>
      </c>
      <c r="AP519" s="31">
        <v>46044</v>
      </c>
      <c r="AR519" s="13" t="s">
        <v>1492</v>
      </c>
      <c r="AS519" s="31">
        <v>46045</v>
      </c>
      <c r="AU519" s="31">
        <v>46057</v>
      </c>
      <c r="AV519" s="13" t="s">
        <v>865</v>
      </c>
      <c r="AW519" s="31">
        <v>46057</v>
      </c>
      <c r="AX519" s="13" t="str">
        <f>IF(ISNUMBER(SEARCH("cancel",#REF!)),"Cancelled",IF(AND(AS519&lt;&gt;"",AU519&lt;&gt;"",AW519&lt;&gt;""),"Closed","Open"))</f>
        <v>Closed</v>
      </c>
      <c r="AY519" s="15" t="str">
        <f t="shared" si="25"/>
        <v>All dates received</v>
      </c>
      <c r="BD519" s="13">
        <f>IF($AX519="Cancelled","",IFERROR(IF(OR(AS519="",AJ519=""),"",(AJ519+Variables!$B$18-AS519)),""))</f>
        <v>5</v>
      </c>
      <c r="BE519" s="13">
        <f>IF($AX519="Cancelled","",IFERROR(IF(OR(AW519="",AS519=""),"",(AS519+Variables!$B$19)-AW519),""))</f>
        <v>-7</v>
      </c>
      <c r="BF519" s="44">
        <f>IF($AX519="Cancelled","",IFERROR(W519*INDEX(Variables!$B$7:$D$7,IFERROR(MATCH(IF($B519="Robusta","Robusta",(IF($B519="","Arabica",$B519))&amp;" - "&amp;(IF($C519="","Commercial",$C519))),Variables!$B$1:$D$1,0),1))*(BE519/365),""))</f>
        <v>-187.79996376263384</v>
      </c>
      <c r="BG519" s="44" t="str">
        <f>IF($AX519="Cancelled","",IFERROR((W519*INDEX(Variables!$B$7:$D$7,IFERROR(MATCH(IF($B519="Robusta","Robusta",(IF($B519="","Arabica",$B519))&amp;" - "&amp;(IF($C519="","Commercial",$C519))),Variables!$B$1:$D$1,0),1))*IFERROR(IF(AB519="","",(AVERAGE(E519:F519)-AB519)-Variables!$B$14),"")/365)+(L519/16.67*INDEX(Variables!$B$8:$D$8,IFERROR(MATCH(IF($B519="Robusta","Robusta",(IF($B519="","Arabica",$B519))&amp;" - "&amp;(IF($C519="","Commercial",$C519))),Variables!$B$1:$D$1,0),1))*IFERROR(IF(AB519="","",(AVERAGE(E519:F519)-AB519)-Variables!$B$14),""))+(W519*INDEX(Variables!$B$9:$D$9,IFERROR(MATCH(IF($B519="Robusta","Robusta",(IF($B519="","Arabica",$B519))&amp;" - "&amp;(IF($C519="","Commercial",$C519))),Variables!$B$1:$D$1,0),1))*IFERROR(IF(AB519="","",(AVERAGE(E519:F519)-AB519)-Variables!$B$14),"")/365),""))</f>
        <v/>
      </c>
      <c r="BH519" s="44">
        <f>IF($AX519="Cancelled","",IFERROR((W519*INDEX(Variables!$B$7:$D$7,IFERROR(MATCH(IF($B519="Robusta","Robusta",(IF($B519="","Arabica",$B519))&amp;" - "&amp;(IF($C519="","Commercial",$C519))),Variables!$B$1:$D$1,0),1))*AK519/365)+(L519/16.67*INDEX(Variables!$B$8:$D$8,IFERROR(MATCH(IF($B519="Robusta","Robusta",(IF($B519="","Arabica",$B519))&amp;" - "&amp;(IF($C519="","Commercial",$C519))),Variables!$B$1:$D$1,0),1))*AK519)+(W519*INDEX(Variables!$B$9:$D$9,IFERROR(MATCH(IF($B519="Robusta","Robusta",(IF($B519="","Arabica",$B519))&amp;" - "&amp;(IF($C519="","Commercial",$C519))),Variables!$B$1:$D$1,0),1))*AK519/365),""))</f>
        <v>-307.12106772428336</v>
      </c>
      <c r="BI519" s="44">
        <f>IF($AX519="Cancelled","",IFERROR((W519*INDEX(Variables!$B$7:$D$7,IFERROR(MATCH(IF($B519="Robusta","Robusta",(IF($B519="","Arabica",$B519))&amp;" - "&amp;(IF($C519="","Commercial",$C519))),Variables!$B$1:$D$1,0),1))*BD519/365)+(L519/16.67*INDEX(Variables!$B$8:$D$8,IFERROR(MATCH(IF($B519="Robusta","Robusta",(IF($B519="","Arabica",$B519))&amp;" - "&amp;(IF($C519="","Commercial",$C519))),Variables!$B$1:$D$1,0),1))*BD519)+(W519*INDEX(Variables!$B$9:$D$9,IFERROR(MATCH(IF($B519="Robusta","Robusta",(IF($B519="","Arabica",$B519))&amp;" - "&amp;(IF($C519="","Commercial",$C519))),Variables!$B$1:$D$1,0),1))*BD519/365),""))</f>
        <v>219.37219123163101</v>
      </c>
      <c r="BJ519" s="44">
        <f t="shared" si="26"/>
        <v>-23</v>
      </c>
      <c r="BK519" s="44">
        <f>IF($AX519="Cancelled","",IFERROR(IF(BJ519="","",(W519*INDEX(Variables!$B$7:$D$7,IFERROR(MATCH(IF($B519="Robusta","Robusta",(IF($B519="","Arabica",$B519))&amp;" - "&amp;(IF($C519="","Commercial",$C519))),Variables!$B$1:$D$1,0),1))*(BJ519/365))+(W519*INDEX(Variables!$B$9:$D$9,IFERROR(MATCH(IF($B519="Robusta","Robusta",(IF($B519="","Arabica",$B519))&amp;" - "&amp;(IF($C519="","Commercial",$C519))),Variables!$B$1:$D$1,0),1))*(BJ519/365))+(INDEX(Variables!$B$8:$D$8,IFERROR(MATCH(IF($B519="Robusta","Robusta",(IF($B519="","Arabica",$B519))&amp;" - "&amp;(IF($C519="","Commercial",$C519))),Variables!$B$1:$D$1,0),1))*L519/16.67)),""))</f>
        <v>-608.31207966550255</v>
      </c>
    </row>
    <row r="520" spans="1:63">
      <c r="A520" s="13" t="s">
        <v>103</v>
      </c>
      <c r="B520" s="13" t="s">
        <v>104</v>
      </c>
      <c r="C520" s="13" t="s">
        <v>105</v>
      </c>
      <c r="D520" s="31">
        <v>45980</v>
      </c>
      <c r="E520" s="31">
        <v>46023</v>
      </c>
      <c r="F520" s="31">
        <v>46053</v>
      </c>
      <c r="G520" s="13">
        <v>3786992</v>
      </c>
      <c r="H520" s="13">
        <v>95715</v>
      </c>
      <c r="J520" s="13" t="s">
        <v>118</v>
      </c>
      <c r="K520" s="13" t="s">
        <v>1494</v>
      </c>
      <c r="L520" s="13">
        <v>1000</v>
      </c>
      <c r="M520" s="13">
        <v>3</v>
      </c>
      <c r="N520" s="13" t="s">
        <v>1495</v>
      </c>
      <c r="O520" s="13" t="s">
        <v>269</v>
      </c>
      <c r="P520" s="13">
        <v>10310</v>
      </c>
      <c r="Q520" s="59" t="s">
        <v>270</v>
      </c>
      <c r="R520" s="13" t="s">
        <v>271</v>
      </c>
      <c r="S520" s="13" t="s">
        <v>524</v>
      </c>
      <c r="T520" s="13" t="s">
        <v>112</v>
      </c>
      <c r="U520" s="13" t="s">
        <v>113</v>
      </c>
      <c r="V520" s="13">
        <v>53</v>
      </c>
      <c r="W520" s="44">
        <f>IF($AX520="Cancelled","",IFERROR(((V520+INDEX(Variables!$B$6:$D$6,IFERROR(MATCH(IF($B520="Robusta","Robusta",(IF($B520="","Arabica",$B520))&amp;" - "&amp;(IF($C520="","Commercial",$C520))),Variables!$B$1:$D$1,0),1)))*22.0462)*(L520/16.67),""))</f>
        <v>454678.07798440306</v>
      </c>
      <c r="X520" s="55" t="s">
        <v>37</v>
      </c>
      <c r="Y520" s="13" t="str">
        <f>IF($AX520="Cancelled","",IF(X520="","",IFERROR(IF(INDEX(Variables!$B$38:$B$47,MATCH(X520,Variables!$A$38:$A$47,0))="Yes","Yes","No"),"No")))</f>
        <v>Yes</v>
      </c>
      <c r="Z520" s="58">
        <v>45989</v>
      </c>
      <c r="AC520" s="13" t="str">
        <f t="shared" si="24"/>
        <v/>
      </c>
      <c r="AF520" s="71">
        <v>46038</v>
      </c>
      <c r="AG520" s="37">
        <f>IF($AX520="Cancelled","",IFERROR(IF(F520="","",F520-Variables!$B$13),""))</f>
        <v>46038</v>
      </c>
      <c r="AH520" s="13" t="str">
        <f>IF($AX520="Cancelled","",IFERROR(IF(AB520="","",(AVERAGE(E520:F520)-AB520)-Variables!$B$14),""))</f>
        <v/>
      </c>
      <c r="AJ520" s="47">
        <v>46043</v>
      </c>
      <c r="AK520" s="14">
        <f>IF($AX520="Cancelled","",IFERROR(IF(AJ520="","",IF(AND(AB520="",AF520=""),"",IF(AF520&gt;AB520,AF520+Variables!$B$15+Variables!$B$16+Variables!$B$17-AJ520,AB520+Variables!$B$16+Variables!$B$17-AJ520))),""))</f>
        <v>10</v>
      </c>
      <c r="AL520" s="48" t="s">
        <v>114</v>
      </c>
      <c r="AM520" s="13" t="s">
        <v>115</v>
      </c>
      <c r="AN520" s="13" t="s">
        <v>1496</v>
      </c>
      <c r="AP520" s="31">
        <v>46053</v>
      </c>
      <c r="AR520" s="13">
        <v>264153748</v>
      </c>
      <c r="AS520" s="31" t="s">
        <v>1497</v>
      </c>
      <c r="AU520" s="31">
        <v>46059</v>
      </c>
      <c r="AV520" s="13" t="s">
        <v>865</v>
      </c>
      <c r="AW520" s="31">
        <v>46087</v>
      </c>
      <c r="AX520" s="13" t="str">
        <f>IF(ISNUMBER(SEARCH("cancel",#REF!)),"Cancelled",IF(AND(AS520&lt;&gt;"",AU520&lt;&gt;"",AW520&lt;&gt;""),"Closed","Open"))</f>
        <v>Closed</v>
      </c>
      <c r="AY520" s="15" t="str">
        <f t="shared" si="25"/>
        <v>All dates received</v>
      </c>
      <c r="BD520" s="13" t="str">
        <f>IF($AX520="Cancelled","",IFERROR(IF(OR(AS520="",AJ520=""),"",(AJ520+Variables!$B$18-AS520)),""))</f>
        <v/>
      </c>
      <c r="BE520" s="13" t="str">
        <f>IF($AX520="Cancelled","",IFERROR(IF(OR(AW520="",AS520=""),"",(AS520+Variables!$B$19)-AW520),""))</f>
        <v/>
      </c>
      <c r="BF520" s="44" t="str">
        <f>IF($AX520="Cancelled","",IFERROR(W520*INDEX(Variables!$B$7:$D$7,IFERROR(MATCH(IF($B520="Robusta","Robusta",(IF($B520="","Arabica",$B520))&amp;" - "&amp;(IF($C520="","Commercial",$C520))),Variables!$B$1:$D$1,0),1))*(BE520/365),""))</f>
        <v/>
      </c>
      <c r="BG520" s="44" t="str">
        <f>IF($AX520="Cancelled","",IFERROR((W520*INDEX(Variables!$B$7:$D$7,IFERROR(MATCH(IF($B520="Robusta","Robusta",(IF($B520="","Arabica",$B520))&amp;" - "&amp;(IF($C520="","Commercial",$C520))),Variables!$B$1:$D$1,0),1))*IFERROR(IF(AB520="","",(AVERAGE(E520:F520)-AB520)-Variables!$B$14),"")/365)+(L520/16.67*INDEX(Variables!$B$8:$D$8,IFERROR(MATCH(IF($B520="Robusta","Robusta",(IF($B520="","Arabica",$B520))&amp;" - "&amp;(IF($C520="","Commercial",$C520))),Variables!$B$1:$D$1,0),1))*IFERROR(IF(AB520="","",(AVERAGE(E520:F520)-AB520)-Variables!$B$14),""))+(W520*INDEX(Variables!$B$9:$D$9,IFERROR(MATCH(IF($B520="Robusta","Robusta",(IF($B520="","Arabica",$B520))&amp;" - "&amp;(IF($C520="","Commercial",$C520))),Variables!$B$1:$D$1,0),1))*IFERROR(IF(AB520="","",(AVERAGE(E520:F520)-AB520)-Variables!$B$14),"")/365),""))</f>
        <v/>
      </c>
      <c r="BH520" s="44">
        <f>IF($AX520="Cancelled","",IFERROR((W520*INDEX(Variables!$B$7:$D$7,IFERROR(MATCH(IF($B520="Robusta","Robusta",(IF($B520="","Arabica",$B520))&amp;" - "&amp;(IF($C520="","Commercial",$C520))),Variables!$B$1:$D$1,0),1))*AK520/365)+(L520/16.67*INDEX(Variables!$B$8:$D$8,IFERROR(MATCH(IF($B520="Robusta","Robusta",(IF($B520="","Arabica",$B520))&amp;" - "&amp;(IF($C520="","Commercial",$C520))),Variables!$B$1:$D$1,0),1))*AK520)+(W520*INDEX(Variables!$B$9:$D$9,IFERROR(MATCH(IF($B520="Robusta","Robusta",(IF($B520="","Arabica",$B520))&amp;" - "&amp;(IF($C520="","Commercial",$C520))),Variables!$B$1:$D$1,0),1))*AK520/365),""))</f>
        <v>1313.6059355187481</v>
      </c>
      <c r="BI520" s="44" t="str">
        <f>IF($AX520="Cancelled","",IFERROR((W520*INDEX(Variables!$B$7:$D$7,IFERROR(MATCH(IF($B520="Robusta","Robusta",(IF($B520="","Arabica",$B520))&amp;" - "&amp;(IF($C520="","Commercial",$C520))),Variables!$B$1:$D$1,0),1))*BD520/365)+(L520/16.67*INDEX(Variables!$B$8:$D$8,IFERROR(MATCH(IF($B520="Robusta","Robusta",(IF($B520="","Arabica",$B520))&amp;" - "&amp;(IF($C520="","Commercial",$C520))),Variables!$B$1:$D$1,0),1))*BD520)+(W520*INDEX(Variables!$B$9:$D$9,IFERROR(MATCH(IF($B520="Robusta","Robusta",(IF($B520="","Arabica",$B520))&amp;" - "&amp;(IF($C520="","Commercial",$C520))),Variables!$B$1:$D$1,0),1))*BD520/365),""))</f>
        <v/>
      </c>
      <c r="BJ520" s="44" t="str">
        <f t="shared" si="26"/>
        <v/>
      </c>
      <c r="BK520" s="44" t="str">
        <f>IF($AX520="Cancelled","",IFERROR(IF(BJ520="","",(W520*INDEX(Variables!$B$7:$D$7,IFERROR(MATCH(IF($B520="Robusta","Robusta",(IF($B520="","Arabica",$B520))&amp;" - "&amp;(IF($C520="","Commercial",$C520))),Variables!$B$1:$D$1,0),1))*(BJ520/365))+(W520*INDEX(Variables!$B$9:$D$9,IFERROR(MATCH(IF($B520="Robusta","Robusta",(IF($B520="","Arabica",$B520))&amp;" - "&amp;(IF($C520="","Commercial",$C520))),Variables!$B$1:$D$1,0),1))*(BJ520/365))+(INDEX(Variables!$B$8:$D$8,IFERROR(MATCH(IF($B520="Robusta","Robusta",(IF($B520="","Arabica",$B520))&amp;" - "&amp;(IF($C520="","Commercial",$C520))),Variables!$B$1:$D$1,0),1))*L520/16.67)),""))</f>
        <v/>
      </c>
    </row>
    <row r="521" spans="1:63">
      <c r="A521" s="13" t="s">
        <v>103</v>
      </c>
      <c r="B521" s="13" t="s">
        <v>104</v>
      </c>
      <c r="C521" s="13" t="s">
        <v>105</v>
      </c>
      <c r="D521" s="31">
        <v>45980</v>
      </c>
      <c r="E521" s="31">
        <v>46023</v>
      </c>
      <c r="F521" s="31">
        <v>46053</v>
      </c>
      <c r="G521" s="13">
        <v>3786992</v>
      </c>
      <c r="H521" s="13">
        <v>95715</v>
      </c>
      <c r="J521" s="13" t="s">
        <v>118</v>
      </c>
      <c r="K521" s="13" t="s">
        <v>1498</v>
      </c>
      <c r="L521" s="13">
        <v>333</v>
      </c>
      <c r="M521" s="13">
        <v>1</v>
      </c>
      <c r="N521" s="13" t="s">
        <v>1495</v>
      </c>
      <c r="O521" s="13" t="s">
        <v>269</v>
      </c>
      <c r="P521" s="13">
        <v>10310</v>
      </c>
      <c r="Q521" s="59" t="s">
        <v>270</v>
      </c>
      <c r="R521" s="13" t="s">
        <v>271</v>
      </c>
      <c r="S521" s="13" t="s">
        <v>276</v>
      </c>
      <c r="T521" s="13" t="s">
        <v>112</v>
      </c>
      <c r="U521" s="13" t="s">
        <v>113</v>
      </c>
      <c r="V521" s="13">
        <v>53</v>
      </c>
      <c r="W521" s="44">
        <f>IF($AX521="Cancelled","",IFERROR(((V521+INDEX(Variables!$B$6:$D$6,IFERROR(MATCH(IF($B521="Robusta","Robusta",(IF($B521="","Arabica",$B521))&amp;" - "&amp;(IF($C521="","Commercial",$C521))),Variables!$B$1:$D$1,0),1)))*22.0462)*(L521/16.67),""))</f>
        <v>151407.79996880621</v>
      </c>
      <c r="X521" s="55" t="s">
        <v>37</v>
      </c>
      <c r="Y521" s="13" t="str">
        <f>IF($AX521="Cancelled","",IF(X521="","",IFERROR(IF(INDEX(Variables!$B$38:$B$47,MATCH(X521,Variables!$A$38:$A$47,0))="Yes","Yes","No"),"No")))</f>
        <v>Yes</v>
      </c>
      <c r="Z521" s="58">
        <v>45989</v>
      </c>
      <c r="AC521" s="13" t="str">
        <f t="shared" si="24"/>
        <v/>
      </c>
      <c r="AF521" s="71">
        <v>46038</v>
      </c>
      <c r="AG521" s="37">
        <f>IF($AX521="Cancelled","",IFERROR(IF(F521="","",F521-Variables!$B$13),""))</f>
        <v>46038</v>
      </c>
      <c r="AH521" s="13" t="str">
        <f>IF($AX521="Cancelled","",IFERROR(IF(AB521="","",(AVERAGE(E521:F521)-AB521)-Variables!$B$14),""))</f>
        <v/>
      </c>
      <c r="AJ521" s="47">
        <v>46044</v>
      </c>
      <c r="AK521" s="14">
        <f>IF($AX521="Cancelled","",IFERROR(IF(AJ521="","",IF(AND(AB521="",AF521=""),"",IF(AF521&gt;AB521,AF521+Variables!$B$15+Variables!$B$16+Variables!$B$17-AJ521,AB521+Variables!$B$16+Variables!$B$17-AJ521))),""))</f>
        <v>9</v>
      </c>
      <c r="AL521" s="48" t="s">
        <v>114</v>
      </c>
      <c r="AM521" s="13" t="s">
        <v>115</v>
      </c>
      <c r="AN521" s="13" t="s">
        <v>1496</v>
      </c>
      <c r="AP521" s="31">
        <v>46053</v>
      </c>
      <c r="AR521" s="13">
        <v>264153748</v>
      </c>
      <c r="AS521" s="31">
        <v>46060</v>
      </c>
      <c r="AU521" s="31">
        <v>46064</v>
      </c>
      <c r="AV521" s="13" t="s">
        <v>865</v>
      </c>
      <c r="AW521" s="31">
        <v>46087</v>
      </c>
      <c r="AX521" s="13" t="str">
        <f>IF(ISNUMBER(SEARCH("cancel",#REF!)),"Cancelled",IF(AND(AS521&lt;&gt;"",AU521&lt;&gt;"",AW521&lt;&gt;""),"Closed","Open"))</f>
        <v>Closed</v>
      </c>
      <c r="AY521" s="15" t="str">
        <f t="shared" si="25"/>
        <v>All dates received</v>
      </c>
      <c r="BD521" s="13">
        <f>IF($AX521="Cancelled","",IFERROR(IF(OR(AS521="",AJ521=""),"",(AJ521+Variables!$B$18-AS521)),""))</f>
        <v>-1</v>
      </c>
      <c r="BE521" s="13">
        <f>IF($AX521="Cancelled","",IFERROR(IF(OR(AW521="",AS521=""),"",(AS521+Variables!$B$19)-AW521),""))</f>
        <v>-22</v>
      </c>
      <c r="BF521" s="44">
        <f>IF($AX521="Cancelled","",IFERROR(W521*INDEX(Variables!$B$7:$D$7,IFERROR(MATCH(IF($B521="Robusta","Robusta",(IF($B521="","Arabica",$B521))&amp;" - "&amp;(IF($C521="","Commercial",$C521))),Variables!$B$1:$D$1,0),1))*(BE521/365),""))</f>
        <v>-588.46130646922802</v>
      </c>
      <c r="BG521" s="44" t="str">
        <f>IF($AX521="Cancelled","",IFERROR((W521*INDEX(Variables!$B$7:$D$7,IFERROR(MATCH(IF($B521="Robusta","Robusta",(IF($B521="","Arabica",$B521))&amp;" - "&amp;(IF($C521="","Commercial",$C521))),Variables!$B$1:$D$1,0),1))*IFERROR(IF(AB521="","",(AVERAGE(E521:F521)-AB521)-Variables!$B$14),"")/365)+(L521/16.67*INDEX(Variables!$B$8:$D$8,IFERROR(MATCH(IF($B521="Robusta","Robusta",(IF($B521="","Arabica",$B521))&amp;" - "&amp;(IF($C521="","Commercial",$C521))),Variables!$B$1:$D$1,0),1))*IFERROR(IF(AB521="","",(AVERAGE(E521:F521)-AB521)-Variables!$B$14),""))+(W521*INDEX(Variables!$B$9:$D$9,IFERROR(MATCH(IF($B521="Robusta","Robusta",(IF($B521="","Arabica",$B521))&amp;" - "&amp;(IF($C521="","Commercial",$C521))),Variables!$B$1:$D$1,0),1))*IFERROR(IF(AB521="","",(AVERAGE(E521:F521)-AB521)-Variables!$B$14),"")/365),""))</f>
        <v/>
      </c>
      <c r="BH521" s="44">
        <f>IF($AX521="Cancelled","",IFERROR((W521*INDEX(Variables!$B$7:$D$7,IFERROR(MATCH(IF($B521="Robusta","Robusta",(IF($B521="","Arabica",$B521))&amp;" - "&amp;(IF($C521="","Commercial",$C521))),Variables!$B$1:$D$1,0),1))*AK521/365)+(L521/16.67*INDEX(Variables!$B$8:$D$8,IFERROR(MATCH(IF($B521="Robusta","Robusta",(IF($B521="","Arabica",$B521))&amp;" - "&amp;(IF($C521="","Commercial",$C521))),Variables!$B$1:$D$1,0),1))*AK521)+(W521*INDEX(Variables!$B$9:$D$9,IFERROR(MATCH(IF($B521="Robusta","Robusta",(IF($B521="","Arabica",$B521))&amp;" - "&amp;(IF($C521="","Commercial",$C521))),Variables!$B$1:$D$1,0),1))*AK521/365),""))</f>
        <v>393.68769887496882</v>
      </c>
      <c r="BI521" s="44">
        <f>IF($AX521="Cancelled","",IFERROR((W521*INDEX(Variables!$B$7:$D$7,IFERROR(MATCH(IF($B521="Robusta","Robusta",(IF($B521="","Arabica",$B521))&amp;" - "&amp;(IF($C521="","Commercial",$C521))),Variables!$B$1:$D$1,0),1))*BD521/365)+(L521/16.67*INDEX(Variables!$B$8:$D$8,IFERROR(MATCH(IF($B521="Robusta","Robusta",(IF($B521="","Arabica",$B521))&amp;" - "&amp;(IF($C521="","Commercial",$C521))),Variables!$B$1:$D$1,0),1))*BD521)+(W521*INDEX(Variables!$B$9:$D$9,IFERROR(MATCH(IF($B521="Robusta","Robusta",(IF($B521="","Arabica",$B521))&amp;" - "&amp;(IF($C521="","Commercial",$C521))),Variables!$B$1:$D$1,0),1))*BD521/365),""))</f>
        <v>-43.743077652774311</v>
      </c>
      <c r="BJ521" s="44">
        <f t="shared" si="26"/>
        <v>-7</v>
      </c>
      <c r="BK521" s="44">
        <f>IF($AX521="Cancelled","",IFERROR(IF(BJ521="","",(W521*INDEX(Variables!$B$7:$D$7,IFERROR(MATCH(IF($B521="Robusta","Robusta",(IF($B521="","Arabica",$B521))&amp;" - "&amp;(IF($C521="","Commercial",$C521))),Variables!$B$1:$D$1,0),1))*(BJ521/365))+(W521*INDEX(Variables!$B$9:$D$9,IFERROR(MATCH(IF($B521="Robusta","Robusta",(IF($B521="","Arabica",$B521))&amp;" - "&amp;(IF($C521="","Commercial",$C521))),Variables!$B$1:$D$1,0),1))*(BJ521/365))+(INDEX(Variables!$B$8:$D$8,IFERROR(MATCH(IF($B521="Robusta","Robusta",(IF($B521="","Arabica",$B521))&amp;" - "&amp;(IF($C521="","Commercial",$C521))),Variables!$B$1:$D$1,0),1))*L521/16.67)),""))</f>
        <v>-173.00154356942019</v>
      </c>
    </row>
    <row r="522" spans="1:63">
      <c r="A522" s="13" t="s">
        <v>103</v>
      </c>
      <c r="B522" s="13" t="s">
        <v>104</v>
      </c>
      <c r="C522" s="13" t="s">
        <v>105</v>
      </c>
      <c r="D522" s="31">
        <v>45980</v>
      </c>
      <c r="E522" s="31">
        <v>46054</v>
      </c>
      <c r="F522" s="31">
        <v>46081</v>
      </c>
      <c r="G522" s="13">
        <v>3786993</v>
      </c>
      <c r="H522" s="13">
        <v>95716</v>
      </c>
      <c r="J522" s="13" t="s">
        <v>118</v>
      </c>
      <c r="K522" s="13" t="s">
        <v>1499</v>
      </c>
      <c r="L522" s="13">
        <v>333</v>
      </c>
      <c r="M522" s="13">
        <v>1</v>
      </c>
      <c r="N522" s="13" t="s">
        <v>1495</v>
      </c>
      <c r="O522" s="13" t="s">
        <v>269</v>
      </c>
      <c r="P522" s="13">
        <v>10310</v>
      </c>
      <c r="Q522" s="59" t="s">
        <v>270</v>
      </c>
      <c r="R522" s="13" t="s">
        <v>271</v>
      </c>
      <c r="S522" s="13" t="s">
        <v>276</v>
      </c>
      <c r="T522" s="13" t="s">
        <v>112</v>
      </c>
      <c r="U522" s="13" t="s">
        <v>113</v>
      </c>
      <c r="V522" s="13">
        <v>53</v>
      </c>
      <c r="W522" s="44">
        <f>IF($AX522="Cancelled","",IFERROR(((V522+INDEX(Variables!$B$6:$D$6,IFERROR(MATCH(IF($B522="Robusta","Robusta",(IF($B522="","Arabica",$B522))&amp;" - "&amp;(IF($C522="","Commercial",$C522))),Variables!$B$1:$D$1,0),1)))*22.0462)*(L522/16.67),""))</f>
        <v>151407.79996880621</v>
      </c>
      <c r="X522" s="55" t="s">
        <v>37</v>
      </c>
      <c r="Y522" s="13" t="str">
        <f>IF($AX522="Cancelled","",IF(X522="","",IFERROR(IF(INDEX(Variables!$B$38:$B$47,MATCH(X522,Variables!$A$38:$A$47,0))="Yes","Yes","No"),"No")))</f>
        <v>Yes</v>
      </c>
      <c r="Z522" s="58">
        <v>46034</v>
      </c>
      <c r="AC522" s="13" t="str">
        <f t="shared" si="24"/>
        <v/>
      </c>
      <c r="AF522" s="71">
        <v>46059</v>
      </c>
      <c r="AG522" s="37">
        <f>IF($AX522="Cancelled","",IFERROR(IF(F522="","",F522-Variables!$B$13),""))</f>
        <v>46066</v>
      </c>
      <c r="AH522" s="13" t="str">
        <f>IF($AX522="Cancelled","",IFERROR(IF(AB522="","",(AVERAGE(E522:F522)-AB522)-Variables!$B$14),""))</f>
        <v/>
      </c>
      <c r="AJ522" s="47">
        <v>46069</v>
      </c>
      <c r="AK522" s="14">
        <f>IF($AX522="Cancelled","",IFERROR(IF(AJ522="","",IF(AND(AB522="",AF522=""),"",IF(AF522&gt;AB522,AF522+Variables!$B$15+Variables!$B$16+Variables!$B$17-AJ522,AB522+Variables!$B$16+Variables!$B$17-AJ522))),""))</f>
        <v>5</v>
      </c>
      <c r="AL522" s="48" t="s">
        <v>114</v>
      </c>
      <c r="AM522" s="13" t="s">
        <v>115</v>
      </c>
      <c r="AN522" s="13" t="s">
        <v>1500</v>
      </c>
      <c r="AP522" s="31">
        <v>46081</v>
      </c>
      <c r="AR522" s="13">
        <v>265932748</v>
      </c>
      <c r="AS522" s="31" t="s">
        <v>1501</v>
      </c>
      <c r="AU522" s="31">
        <v>46105</v>
      </c>
      <c r="AV522" s="13" t="s">
        <v>865</v>
      </c>
      <c r="AW522" s="31">
        <v>46105</v>
      </c>
      <c r="AX522" s="13" t="str">
        <f>IF(ISNUMBER(SEARCH("cancel",#REF!)),"Cancelled",IF(AND(AS522&lt;&gt;"",AU522&lt;&gt;"",AW522&lt;&gt;""),"Closed","Open"))</f>
        <v>Closed</v>
      </c>
      <c r="AY522" s="15" t="str">
        <f t="shared" si="25"/>
        <v>All dates received</v>
      </c>
      <c r="BD522" s="13" t="str">
        <f>IF($AX522="Cancelled","",IFERROR(IF(OR(AS522="",AJ522=""),"",(AJ522+Variables!$B$18-AS522)),""))</f>
        <v/>
      </c>
      <c r="BE522" s="13" t="str">
        <f>IF($AX522="Cancelled","",IFERROR(IF(OR(AW522="",AS522=""),"",(AS522+Variables!$B$19)-AW522),""))</f>
        <v/>
      </c>
      <c r="BF522" s="44" t="str">
        <f>IF($AX522="Cancelled","",IFERROR(W522*INDEX(Variables!$B$7:$D$7,IFERROR(MATCH(IF($B522="Robusta","Robusta",(IF($B522="","Arabica",$B522))&amp;" - "&amp;(IF($C522="","Commercial",$C522))),Variables!$B$1:$D$1,0),1))*(BE522/365),""))</f>
        <v/>
      </c>
      <c r="BG522" s="44" t="str">
        <f>IF($AX522="Cancelled","",IFERROR((W522*INDEX(Variables!$B$7:$D$7,IFERROR(MATCH(IF($B522="Robusta","Robusta",(IF($B522="","Arabica",$B522))&amp;" - "&amp;(IF($C522="","Commercial",$C522))),Variables!$B$1:$D$1,0),1))*IFERROR(IF(AB522="","",(AVERAGE(E522:F522)-AB522)-Variables!$B$14),"")/365)+(L522/16.67*INDEX(Variables!$B$8:$D$8,IFERROR(MATCH(IF($B522="Robusta","Robusta",(IF($B522="","Arabica",$B522))&amp;" - "&amp;(IF($C522="","Commercial",$C522))),Variables!$B$1:$D$1,0),1))*IFERROR(IF(AB522="","",(AVERAGE(E522:F522)-AB522)-Variables!$B$14),""))+(W522*INDEX(Variables!$B$9:$D$9,IFERROR(MATCH(IF($B522="Robusta","Robusta",(IF($B522="","Arabica",$B522))&amp;" - "&amp;(IF($C522="","Commercial",$C522))),Variables!$B$1:$D$1,0),1))*IFERROR(IF(AB522="","",(AVERAGE(E522:F522)-AB522)-Variables!$B$14),"")/365),""))</f>
        <v/>
      </c>
      <c r="BH522" s="44">
        <f>IF($AX522="Cancelled","",IFERROR((W522*INDEX(Variables!$B$7:$D$7,IFERROR(MATCH(IF($B522="Robusta","Robusta",(IF($B522="","Arabica",$B522))&amp;" - "&amp;(IF($C522="","Commercial",$C522))),Variables!$B$1:$D$1,0),1))*AK522/365)+(L522/16.67*INDEX(Variables!$B$8:$D$8,IFERROR(MATCH(IF($B522="Robusta","Robusta",(IF($B522="","Arabica",$B522))&amp;" - "&amp;(IF($C522="","Commercial",$C522))),Variables!$B$1:$D$1,0),1))*AK522)+(W522*INDEX(Variables!$B$9:$D$9,IFERROR(MATCH(IF($B522="Robusta","Robusta",(IF($B522="","Arabica",$B522))&amp;" - "&amp;(IF($C522="","Commercial",$C522))),Variables!$B$1:$D$1,0),1))*AK522/365),""))</f>
        <v>218.7153882638716</v>
      </c>
      <c r="BI522" s="44" t="str">
        <f>IF($AX522="Cancelled","",IFERROR((W522*INDEX(Variables!$B$7:$D$7,IFERROR(MATCH(IF($B522="Robusta","Robusta",(IF($B522="","Arabica",$B522))&amp;" - "&amp;(IF($C522="","Commercial",$C522))),Variables!$B$1:$D$1,0),1))*BD522/365)+(L522/16.67*INDEX(Variables!$B$8:$D$8,IFERROR(MATCH(IF($B522="Robusta","Robusta",(IF($B522="","Arabica",$B522))&amp;" - "&amp;(IF($C522="","Commercial",$C522))),Variables!$B$1:$D$1,0),1))*BD522)+(W522*INDEX(Variables!$B$9:$D$9,IFERROR(MATCH(IF($B522="Robusta","Robusta",(IF($B522="","Arabica",$B522))&amp;" - "&amp;(IF($C522="","Commercial",$C522))),Variables!$B$1:$D$1,0),1))*BD522/365),""))</f>
        <v/>
      </c>
      <c r="BJ522" s="44" t="str">
        <f t="shared" si="26"/>
        <v/>
      </c>
      <c r="BK522" s="44" t="str">
        <f>IF($AX522="Cancelled","",IFERROR(IF(BJ522="","",(W522*INDEX(Variables!$B$7:$D$7,IFERROR(MATCH(IF($B522="Robusta","Robusta",(IF($B522="","Arabica",$B522))&amp;" - "&amp;(IF($C522="","Commercial",$C522))),Variables!$B$1:$D$1,0),1))*(BJ522/365))+(W522*INDEX(Variables!$B$9:$D$9,IFERROR(MATCH(IF($B522="Robusta","Robusta",(IF($B522="","Arabica",$B522))&amp;" - "&amp;(IF($C522="","Commercial",$C522))),Variables!$B$1:$D$1,0),1))*(BJ522/365))+(INDEX(Variables!$B$8:$D$8,IFERROR(MATCH(IF($B522="Robusta","Robusta",(IF($B522="","Arabica",$B522))&amp;" - "&amp;(IF($C522="","Commercial",$C522))),Variables!$B$1:$D$1,0),1))*L522/16.67)),""))</f>
        <v/>
      </c>
    </row>
    <row r="523" spans="1:63">
      <c r="A523" s="13" t="s">
        <v>103</v>
      </c>
      <c r="B523" s="13" t="s">
        <v>104</v>
      </c>
      <c r="C523" s="13" t="s">
        <v>105</v>
      </c>
      <c r="D523" s="31">
        <v>45980</v>
      </c>
      <c r="E523" s="31">
        <v>46054</v>
      </c>
      <c r="F523" s="31">
        <v>46081</v>
      </c>
      <c r="G523" s="13">
        <v>3786993</v>
      </c>
      <c r="H523" s="13">
        <v>95716</v>
      </c>
      <c r="J523" s="13" t="s">
        <v>118</v>
      </c>
      <c r="K523" s="13" t="s">
        <v>1502</v>
      </c>
      <c r="L523" s="13">
        <v>1000</v>
      </c>
      <c r="M523" s="13">
        <v>3</v>
      </c>
      <c r="N523" s="13" t="s">
        <v>1495</v>
      </c>
      <c r="O523" s="13" t="s">
        <v>269</v>
      </c>
      <c r="P523" s="13">
        <v>10310</v>
      </c>
      <c r="Q523" s="59" t="s">
        <v>270</v>
      </c>
      <c r="R523" s="13" t="s">
        <v>271</v>
      </c>
      <c r="S523" s="13" t="s">
        <v>283</v>
      </c>
      <c r="T523" s="13" t="s">
        <v>112</v>
      </c>
      <c r="U523" s="13" t="s">
        <v>113</v>
      </c>
      <c r="V523" s="13">
        <v>53</v>
      </c>
      <c r="W523" s="44">
        <f>IF($AX523="Cancelled","",IFERROR(((V523+INDEX(Variables!$B$6:$D$6,IFERROR(MATCH(IF($B523="Robusta","Robusta",(IF($B523="","Arabica",$B523))&amp;" - "&amp;(IF($C523="","Commercial",$C523))),Variables!$B$1:$D$1,0),1)))*22.0462)*(L523/16.67),""))</f>
        <v>454678.07798440306</v>
      </c>
      <c r="X523" s="55" t="s">
        <v>37</v>
      </c>
      <c r="Y523" s="13" t="str">
        <f>IF($AX523="Cancelled","",IF(X523="","",IFERROR(IF(INDEX(Variables!$B$38:$B$47,MATCH(X523,Variables!$A$38:$A$47,0))="Yes","Yes","No"),"No")))</f>
        <v>Yes</v>
      </c>
      <c r="Z523" s="58">
        <v>46034</v>
      </c>
      <c r="AB523" s="31">
        <v>46037.875</v>
      </c>
      <c r="AC523" s="13" t="str">
        <f t="shared" si="24"/>
        <v>Approved</v>
      </c>
      <c r="AF523" s="71">
        <v>46059</v>
      </c>
      <c r="AG523" s="37">
        <f>IF($AX523="Cancelled","",IFERROR(IF(F523="","",F523-Variables!$B$13),""))</f>
        <v>46066</v>
      </c>
      <c r="AH523" s="13">
        <f>IF($AX523="Cancelled","",IFERROR(IF(AB523="","",(AVERAGE(E523:F523)-AB523)-Variables!$B$14),""))</f>
        <v>-0.375</v>
      </c>
      <c r="AJ523" s="47">
        <v>46063</v>
      </c>
      <c r="AK523" s="14">
        <f>IF($AX523="Cancelled","",IFERROR(IF(AJ523="","",IF(AND(AB523="",AF523=""),"",IF(AF523&gt;AB523,AF523+Variables!$B$15+Variables!$B$16+Variables!$B$17-AJ523,AB523+Variables!$B$16+Variables!$B$17-AJ523))),""))</f>
        <v>11</v>
      </c>
      <c r="AL523" s="48" t="s">
        <v>114</v>
      </c>
      <c r="AM523" s="13" t="s">
        <v>115</v>
      </c>
      <c r="AN523" s="13" t="s">
        <v>1500</v>
      </c>
      <c r="AP523" s="31">
        <v>46081</v>
      </c>
      <c r="AR523" s="13">
        <v>265932748</v>
      </c>
      <c r="AS523" s="31">
        <v>46077</v>
      </c>
      <c r="AU523" s="31">
        <v>46105</v>
      </c>
      <c r="AV523" s="13" t="s">
        <v>865</v>
      </c>
      <c r="AW523" s="31">
        <v>46105</v>
      </c>
      <c r="AX523" s="13" t="str">
        <f>IF(ISNUMBER(SEARCH("cancel",#REF!)),"Cancelled",IF(AND(AS523&lt;&gt;"",AU523&lt;&gt;"",AW523&lt;&gt;""),"Closed","Open"))</f>
        <v>Closed</v>
      </c>
      <c r="AY523" s="15" t="str">
        <f t="shared" si="25"/>
        <v>All dates received</v>
      </c>
      <c r="BD523" s="13">
        <f>IF($AX523="Cancelled","",IFERROR(IF(OR(AS523="",AJ523=""),"",(AJ523+Variables!$B$18-AS523)),""))</f>
        <v>1</v>
      </c>
      <c r="BE523" s="13">
        <f>IF($AX523="Cancelled","",IFERROR(IF(OR(AW523="",AS523=""),"",(AS523+Variables!$B$19)-AW523),""))</f>
        <v>-23</v>
      </c>
      <c r="BF523" s="44">
        <f>IF($AX523="Cancelled","",IFERROR(W523*INDEX(Variables!$B$7:$D$7,IFERROR(MATCH(IF($B523="Robusta","Robusta",(IF($B523="","Arabica",$B523))&amp;" - "&amp;(IF($C523="","Commercial",$C523))),Variables!$B$1:$D$1,0),1))*(BE523/365),""))</f>
        <v>-1847.4761191362609</v>
      </c>
      <c r="BG523" s="44">
        <f>IF($AX523="Cancelled","",IFERROR((W523*INDEX(Variables!$B$7:$D$7,IFERROR(MATCH(IF($B523="Robusta","Robusta",(IF($B523="","Arabica",$B523))&amp;" - "&amp;(IF($C523="","Commercial",$C523))),Variables!$B$1:$D$1,0),1))*IFERROR(IF(AB523="","",(AVERAGE(E523:F523)-AB523)-Variables!$B$14),"")/365)+(L523/16.67*INDEX(Variables!$B$8:$D$8,IFERROR(MATCH(IF($B523="Robusta","Robusta",(IF($B523="","Arabica",$B523))&amp;" - "&amp;(IF($C523="","Commercial",$C523))),Variables!$B$1:$D$1,0),1))*IFERROR(IF(AB523="","",(AVERAGE(E523:F523)-AB523)-Variables!$B$14),""))+(W523*INDEX(Variables!$B$9:$D$9,IFERROR(MATCH(IF($B523="Robusta","Robusta",(IF($B523="","Arabica",$B523))&amp;" - "&amp;(IF($C523="","Commercial",$C523))),Variables!$B$1:$D$1,0),1))*IFERROR(IF(AB523="","",(AVERAGE(E523:F523)-AB523)-Variables!$B$14),"")/365),""))</f>
        <v>-49.260222581953066</v>
      </c>
      <c r="BH523" s="44">
        <f>IF($AX523="Cancelled","",IFERROR((W523*INDEX(Variables!$B$7:$D$7,IFERROR(MATCH(IF($B523="Robusta","Robusta",(IF($B523="","Arabica",$B523))&amp;" - "&amp;(IF($C523="","Commercial",$C523))),Variables!$B$1:$D$1,0),1))*AK523/365)+(L523/16.67*INDEX(Variables!$B$8:$D$8,IFERROR(MATCH(IF($B523="Robusta","Robusta",(IF($B523="","Arabica",$B523))&amp;" - "&amp;(IF($C523="","Commercial",$C523))),Variables!$B$1:$D$1,0),1))*AK523)+(W523*INDEX(Variables!$B$9:$D$9,IFERROR(MATCH(IF($B523="Robusta","Robusta",(IF($B523="","Arabica",$B523))&amp;" - "&amp;(IF($C523="","Commercial",$C523))),Variables!$B$1:$D$1,0),1))*AK523/365),""))</f>
        <v>1444.9665290706232</v>
      </c>
      <c r="BI523" s="44">
        <f>IF($AX523="Cancelled","",IFERROR((W523*INDEX(Variables!$B$7:$D$7,IFERROR(MATCH(IF($B523="Robusta","Robusta",(IF($B523="","Arabica",$B523))&amp;" - "&amp;(IF($C523="","Commercial",$C523))),Variables!$B$1:$D$1,0),1))*BD523/365)+(L523/16.67*INDEX(Variables!$B$8:$D$8,IFERROR(MATCH(IF($B523="Robusta","Robusta",(IF($B523="","Arabica",$B523))&amp;" - "&amp;(IF($C523="","Commercial",$C523))),Variables!$B$1:$D$1,0),1))*BD523)+(W523*INDEX(Variables!$B$9:$D$9,IFERROR(MATCH(IF($B523="Robusta","Robusta",(IF($B523="","Arabica",$B523))&amp;" - "&amp;(IF($C523="","Commercial",$C523))),Variables!$B$1:$D$1,0),1))*BD523/365),""))</f>
        <v>131.36059355187484</v>
      </c>
      <c r="BJ523" s="44">
        <f t="shared" si="26"/>
        <v>4</v>
      </c>
      <c r="BK523" s="44">
        <f>IF($AX523="Cancelled","",IFERROR(IF(BJ523="","",(W523*INDEX(Variables!$B$7:$D$7,IFERROR(MATCH(IF($B523="Robusta","Robusta",(IF($B523="","Arabica",$B523))&amp;" - "&amp;(IF($C523="","Commercial",$C523))),Variables!$B$1:$D$1,0),1))*(BJ523/365))+(W523*INDEX(Variables!$B$9:$D$9,IFERROR(MATCH(IF($B523="Robusta","Robusta",(IF($B523="","Arabica",$B523))&amp;" - "&amp;(IF($C523="","Commercial",$C523))),Variables!$B$1:$D$1,0),1))*(BJ523/365))+(INDEX(Variables!$B$8:$D$8,IFERROR(MATCH(IF($B523="Robusta","Robusta",(IF($B523="","Arabica",$B523))&amp;" - "&amp;(IF($C523="","Commercial",$C523))),Variables!$B$1:$D$1,0),1))*L523/16.67)),""))</f>
        <v>375.44237420749931</v>
      </c>
    </row>
    <row r="524" spans="1:63">
      <c r="A524" s="13" t="s">
        <v>103</v>
      </c>
      <c r="B524" s="13" t="s">
        <v>104</v>
      </c>
      <c r="C524" s="13" t="s">
        <v>105</v>
      </c>
      <c r="D524" s="31">
        <v>45980</v>
      </c>
      <c r="E524" s="31">
        <v>46082</v>
      </c>
      <c r="F524" s="31">
        <v>46112</v>
      </c>
      <c r="G524" s="13">
        <v>3786994</v>
      </c>
      <c r="H524" s="13" t="s">
        <v>1503</v>
      </c>
      <c r="J524" s="13" t="s">
        <v>118</v>
      </c>
      <c r="K524" s="13" t="s">
        <v>1503</v>
      </c>
      <c r="L524" s="13">
        <v>333</v>
      </c>
      <c r="M524" s="13">
        <v>1</v>
      </c>
      <c r="N524" s="13" t="s">
        <v>1495</v>
      </c>
      <c r="O524" s="13" t="s">
        <v>269</v>
      </c>
      <c r="P524" s="13">
        <v>10310</v>
      </c>
      <c r="Q524" s="59" t="s">
        <v>270</v>
      </c>
      <c r="R524" s="13" t="s">
        <v>271</v>
      </c>
      <c r="S524" s="13" t="s">
        <v>280</v>
      </c>
      <c r="T524" s="13" t="s">
        <v>112</v>
      </c>
      <c r="U524" s="13" t="s">
        <v>113</v>
      </c>
      <c r="V524" s="13">
        <v>53</v>
      </c>
      <c r="W524" s="44">
        <f>IF($AX524="Cancelled","",IFERROR(((V524+INDEX(Variables!$B$6:$D$6,IFERROR(MATCH(IF($B524="Robusta","Robusta",(IF($B524="","Arabica",$B524))&amp;" - "&amp;(IF($C524="","Commercial",$C524))),Variables!$B$1:$D$1,0),1)))*22.0462)*(L524/16.67),""))</f>
        <v>151407.79996880621</v>
      </c>
      <c r="X524" s="55" t="s">
        <v>37</v>
      </c>
      <c r="Y524" s="13" t="str">
        <f>IF($AX524="Cancelled","",IF(X524="","",IFERROR(IF(INDEX(Variables!$B$38:$B$47,MATCH(X524,Variables!$A$38:$A$47,0))="Yes","Yes","No"),"No")))</f>
        <v>Yes</v>
      </c>
      <c r="Z524" s="58">
        <v>46051</v>
      </c>
      <c r="AB524" s="31">
        <v>46058</v>
      </c>
      <c r="AC524" s="13" t="str">
        <f t="shared" si="24"/>
        <v>Approved</v>
      </c>
      <c r="AF524" s="71">
        <v>46079</v>
      </c>
      <c r="AG524" s="37">
        <f>IF($AX524="Cancelled","",IFERROR(IF(F524="","",F524-Variables!$B$13),""))</f>
        <v>46097</v>
      </c>
      <c r="AH524" s="13">
        <f>IF($AX524="Cancelled","",IFERROR(IF(AB524="","",(AVERAGE(E524:F524)-AB524)-Variables!$B$14),""))</f>
        <v>9</v>
      </c>
      <c r="AJ524" s="47">
        <v>46086</v>
      </c>
      <c r="AK524" s="14">
        <f>IF($AX524="Cancelled","",IFERROR(IF(AJ524="","",IF(AND(AB524="",AF524=""),"",IF(AF524&gt;AB524,AF524+Variables!$B$15+Variables!$B$16+Variables!$B$17-AJ524,AB524+Variables!$B$16+Variables!$B$17-AJ524))),""))</f>
        <v>8</v>
      </c>
      <c r="AL524" s="48" t="s">
        <v>114</v>
      </c>
      <c r="AM524" s="13" t="s">
        <v>115</v>
      </c>
      <c r="AN524" s="13" t="s">
        <v>1504</v>
      </c>
      <c r="AP524" s="31">
        <v>46098</v>
      </c>
      <c r="AR524" s="13">
        <v>266896517</v>
      </c>
      <c r="AS524" s="31">
        <v>46098</v>
      </c>
      <c r="AU524" s="31">
        <v>46108</v>
      </c>
      <c r="AV524" s="13" t="s">
        <v>865</v>
      </c>
      <c r="AW524" s="31">
        <v>46142</v>
      </c>
      <c r="AX524" s="13" t="str">
        <f>IF(ISNUMBER(SEARCH("cancel",#REF!)),"Cancelled",IF(AND(AS524&lt;&gt;"",AU524&lt;&gt;"",AW524&lt;&gt;""),"Closed","Open"))</f>
        <v>Closed</v>
      </c>
      <c r="AY524" s="15" t="str">
        <f t="shared" si="25"/>
        <v>All dates received</v>
      </c>
      <c r="BD524" s="13">
        <f>IF($AX524="Cancelled","",IFERROR(IF(OR(AS524="",AJ524=""),"",(AJ524+Variables!$B$18-AS524)),""))</f>
        <v>3</v>
      </c>
      <c r="BE524" s="13">
        <f>IF($AX524="Cancelled","",IFERROR(IF(OR(AW524="",AS524=""),"",(AS524+Variables!$B$19)-AW524),""))</f>
        <v>-39</v>
      </c>
      <c r="BF524" s="44">
        <f>IF($AX524="Cancelled","",IFERROR(W524*INDEX(Variables!$B$7:$D$7,IFERROR(MATCH(IF($B524="Robusta","Robusta",(IF($B524="","Arabica",$B524))&amp;" - "&amp;(IF($C524="","Commercial",$C524))),Variables!$B$1:$D$1,0),1))*(BE524/365),""))</f>
        <v>-1043.1814069227225</v>
      </c>
      <c r="BG524" s="44">
        <f>IF($AX524="Cancelled","",IFERROR((W524*INDEX(Variables!$B$7:$D$7,IFERROR(MATCH(IF($B524="Robusta","Robusta",(IF($B524="","Arabica",$B524))&amp;" - "&amp;(IF($C524="","Commercial",$C524))),Variables!$B$1:$D$1,0),1))*IFERROR(IF(AB524="","",(AVERAGE(E524:F524)-AB524)-Variables!$B$14),"")/365)+(L524/16.67*INDEX(Variables!$B$8:$D$8,IFERROR(MATCH(IF($B524="Robusta","Robusta",(IF($B524="","Arabica",$B524))&amp;" - "&amp;(IF($C524="","Commercial",$C524))),Variables!$B$1:$D$1,0),1))*IFERROR(IF(AB524="","",(AVERAGE(E524:F524)-AB524)-Variables!$B$14),""))+(W524*INDEX(Variables!$B$9:$D$9,IFERROR(MATCH(IF($B524="Robusta","Robusta",(IF($B524="","Arabica",$B524))&amp;" - "&amp;(IF($C524="","Commercial",$C524))),Variables!$B$1:$D$1,0),1))*IFERROR(IF(AB524="","",(AVERAGE(E524:F524)-AB524)-Variables!$B$14),"")/365),""))</f>
        <v>393.68769887496882</v>
      </c>
      <c r="BH524" s="44">
        <f>IF($AX524="Cancelled","",IFERROR((W524*INDEX(Variables!$B$7:$D$7,IFERROR(MATCH(IF($B524="Robusta","Robusta",(IF($B524="","Arabica",$B524))&amp;" - "&amp;(IF($C524="","Commercial",$C524))),Variables!$B$1:$D$1,0),1))*AK524/365)+(L524/16.67*INDEX(Variables!$B$8:$D$8,IFERROR(MATCH(IF($B524="Robusta","Robusta",(IF($B524="","Arabica",$B524))&amp;" - "&amp;(IF($C524="","Commercial",$C524))),Variables!$B$1:$D$1,0),1))*AK524)+(W524*INDEX(Variables!$B$9:$D$9,IFERROR(MATCH(IF($B524="Robusta","Robusta",(IF($B524="","Arabica",$B524))&amp;" - "&amp;(IF($C524="","Commercial",$C524))),Variables!$B$1:$D$1,0),1))*AK524/365),""))</f>
        <v>349.94462122219448</v>
      </c>
      <c r="BI524" s="44">
        <f>IF($AX524="Cancelled","",IFERROR((W524*INDEX(Variables!$B$7:$D$7,IFERROR(MATCH(IF($B524="Robusta","Robusta",(IF($B524="","Arabica",$B524))&amp;" - "&amp;(IF($C524="","Commercial",$C524))),Variables!$B$1:$D$1,0),1))*BD524/365)+(L524/16.67*INDEX(Variables!$B$8:$D$8,IFERROR(MATCH(IF($B524="Robusta","Robusta",(IF($B524="","Arabica",$B524))&amp;" - "&amp;(IF($C524="","Commercial",$C524))),Variables!$B$1:$D$1,0),1))*BD524)+(W524*INDEX(Variables!$B$9:$D$9,IFERROR(MATCH(IF($B524="Robusta","Robusta",(IF($B524="","Arabica",$B524))&amp;" - "&amp;(IF($C524="","Commercial",$C524))),Variables!$B$1:$D$1,0),1))*BD524/365),""))</f>
        <v>131.22923295832294</v>
      </c>
      <c r="BJ524" s="44">
        <f t="shared" si="26"/>
        <v>14</v>
      </c>
      <c r="BK524" s="44">
        <f>IF($AX524="Cancelled","",IFERROR(IF(BJ524="","",(W524*INDEX(Variables!$B$7:$D$7,IFERROR(MATCH(IF($B524="Robusta","Robusta",(IF($B524="","Arabica",$B524))&amp;" - "&amp;(IF($C524="","Commercial",$C524))),Variables!$B$1:$D$1,0),1))*(BJ524/365))+(W524*INDEX(Variables!$B$9:$D$9,IFERROR(MATCH(IF($B524="Robusta","Robusta",(IF($B524="","Arabica",$B524))&amp;" - "&amp;(IF($C524="","Commercial",$C524))),Variables!$B$1:$D$1,0),1))*(BJ524/365))+(INDEX(Variables!$B$8:$D$8,IFERROR(MATCH(IF($B524="Robusta","Robusta",(IF($B524="","Arabica",$B524))&amp;" - "&amp;(IF($C524="","Commercial",$C524))),Variables!$B$1:$D$1,0),1))*L524/16.67)),""))</f>
        <v>395.95308713884037</v>
      </c>
    </row>
    <row r="525" spans="1:63">
      <c r="A525" s="13" t="s">
        <v>103</v>
      </c>
      <c r="B525" s="13" t="s">
        <v>104</v>
      </c>
      <c r="C525" s="13" t="s">
        <v>105</v>
      </c>
      <c r="D525" s="31">
        <v>45980</v>
      </c>
      <c r="E525" s="31">
        <v>46082</v>
      </c>
      <c r="F525" s="31">
        <v>46112</v>
      </c>
      <c r="G525" s="13">
        <v>3786994</v>
      </c>
      <c r="H525" s="13" t="s">
        <v>1505</v>
      </c>
      <c r="J525" s="13" t="s">
        <v>118</v>
      </c>
      <c r="K525" s="13" t="s">
        <v>1505</v>
      </c>
      <c r="L525" s="13">
        <v>333</v>
      </c>
      <c r="M525" s="13">
        <v>1</v>
      </c>
      <c r="N525" s="13" t="s">
        <v>1495</v>
      </c>
      <c r="O525" s="13" t="s">
        <v>269</v>
      </c>
      <c r="P525" s="13">
        <v>10310</v>
      </c>
      <c r="Q525" s="59" t="s">
        <v>270</v>
      </c>
      <c r="R525" s="13" t="s">
        <v>271</v>
      </c>
      <c r="S525" s="13" t="s">
        <v>524</v>
      </c>
      <c r="T525" s="13" t="s">
        <v>112</v>
      </c>
      <c r="U525" s="13" t="s">
        <v>113</v>
      </c>
      <c r="V525" s="13">
        <v>53</v>
      </c>
      <c r="W525" s="44">
        <f>IF($AX525="Cancelled","",IFERROR(((V525+INDEX(Variables!$B$6:$D$6,IFERROR(MATCH(IF($B525="Robusta","Robusta",(IF($B525="","Arabica",$B525))&amp;" - "&amp;(IF($C525="","Commercial",$C525))),Variables!$B$1:$D$1,0),1)))*22.0462)*(L525/16.67),""))</f>
        <v>151407.79996880621</v>
      </c>
      <c r="X525" s="55" t="s">
        <v>37</v>
      </c>
      <c r="Y525" s="13" t="str">
        <f>IF($AX525="Cancelled","",IF(X525="","",IFERROR(IF(INDEX(Variables!$B$38:$B$47,MATCH(X525,Variables!$A$38:$A$47,0))="Yes","Yes","No"),"No")))</f>
        <v>Yes</v>
      </c>
      <c r="Z525" s="58">
        <v>46051</v>
      </c>
      <c r="AB525" s="31">
        <v>46058</v>
      </c>
      <c r="AC525" s="13" t="str">
        <f t="shared" si="24"/>
        <v>Approved</v>
      </c>
      <c r="AF525" s="71">
        <v>46079</v>
      </c>
      <c r="AG525" s="37">
        <f>IF($AX525="Cancelled","",IFERROR(IF(F525="","",F525-Variables!$B$13),""))</f>
        <v>46097</v>
      </c>
      <c r="AH525" s="13">
        <f>IF($AX525="Cancelled","",IFERROR(IF(AB525="","",(AVERAGE(E525:F525)-AB525)-Variables!$B$14),""))</f>
        <v>9</v>
      </c>
      <c r="AJ525" s="47">
        <v>46085</v>
      </c>
      <c r="AK525" s="14">
        <f>IF($AX525="Cancelled","",IFERROR(IF(AJ525="","",IF(AND(AB525="",AF525=""),"",IF(AF525&gt;AB525,AF525+Variables!$B$15+Variables!$B$16+Variables!$B$17-AJ525,AB525+Variables!$B$16+Variables!$B$17-AJ525))),""))</f>
        <v>9</v>
      </c>
      <c r="AL525" s="48" t="s">
        <v>114</v>
      </c>
      <c r="AM525" s="13" t="s">
        <v>115</v>
      </c>
      <c r="AN525" s="13" t="s">
        <v>1504</v>
      </c>
      <c r="AP525" s="31">
        <v>46098</v>
      </c>
      <c r="AR525" s="13" t="s">
        <v>1506</v>
      </c>
      <c r="AS525" s="31">
        <v>46101</v>
      </c>
      <c r="AU525" s="31">
        <v>46108</v>
      </c>
      <c r="AV525" s="13" t="s">
        <v>865</v>
      </c>
      <c r="AW525" s="31">
        <v>46142</v>
      </c>
      <c r="AX525" s="13" t="str">
        <f>IF(ISNUMBER(SEARCH("cancel",#REF!)),"Cancelled",IF(AND(AS525&lt;&gt;"",AU525&lt;&gt;"",AW525&lt;&gt;""),"Closed","Open"))</f>
        <v>Closed</v>
      </c>
      <c r="AY525" s="15" t="str">
        <f t="shared" si="25"/>
        <v>All dates received</v>
      </c>
      <c r="BD525" s="13">
        <f>IF($AX525="Cancelled","",IFERROR(IF(OR(AS525="",AJ525=""),"",(AJ525+Variables!$B$18-AS525)),""))</f>
        <v>-1</v>
      </c>
      <c r="BE525" s="13">
        <f>IF($AX525="Cancelled","",IFERROR(IF(OR(AW525="",AS525=""),"",(AS525+Variables!$B$19)-AW525),""))</f>
        <v>-36</v>
      </c>
      <c r="BF525" s="44">
        <f>IF($AX525="Cancelled","",IFERROR(W525*INDEX(Variables!$B$7:$D$7,IFERROR(MATCH(IF($B525="Robusta","Robusta",(IF($B525="","Arabica",$B525))&amp;" - "&amp;(IF($C525="","Commercial",$C525))),Variables!$B$1:$D$1,0),1))*(BE525/365),""))</f>
        <v>-962.93668331328217</v>
      </c>
      <c r="BG525" s="44">
        <f>IF($AX525="Cancelled","",IFERROR((W525*INDEX(Variables!$B$7:$D$7,IFERROR(MATCH(IF($B525="Robusta","Robusta",(IF($B525="","Arabica",$B525))&amp;" - "&amp;(IF($C525="","Commercial",$C525))),Variables!$B$1:$D$1,0),1))*IFERROR(IF(AB525="","",(AVERAGE(E525:F525)-AB525)-Variables!$B$14),"")/365)+(L525/16.67*INDEX(Variables!$B$8:$D$8,IFERROR(MATCH(IF($B525="Robusta","Robusta",(IF($B525="","Arabica",$B525))&amp;" - "&amp;(IF($C525="","Commercial",$C525))),Variables!$B$1:$D$1,0),1))*IFERROR(IF(AB525="","",(AVERAGE(E525:F525)-AB525)-Variables!$B$14),""))+(W525*INDEX(Variables!$B$9:$D$9,IFERROR(MATCH(IF($B525="Robusta","Robusta",(IF($B525="","Arabica",$B525))&amp;" - "&amp;(IF($C525="","Commercial",$C525))),Variables!$B$1:$D$1,0),1))*IFERROR(IF(AB525="","",(AVERAGE(E525:F525)-AB525)-Variables!$B$14),"")/365),""))</f>
        <v>393.68769887496882</v>
      </c>
      <c r="BH525" s="44">
        <f>IF($AX525="Cancelled","",IFERROR((W525*INDEX(Variables!$B$7:$D$7,IFERROR(MATCH(IF($B525="Robusta","Robusta",(IF($B525="","Arabica",$B525))&amp;" - "&amp;(IF($C525="","Commercial",$C525))),Variables!$B$1:$D$1,0),1))*AK525/365)+(L525/16.67*INDEX(Variables!$B$8:$D$8,IFERROR(MATCH(IF($B525="Robusta","Robusta",(IF($B525="","Arabica",$B525))&amp;" - "&amp;(IF($C525="","Commercial",$C525))),Variables!$B$1:$D$1,0),1))*AK525)+(W525*INDEX(Variables!$B$9:$D$9,IFERROR(MATCH(IF($B525="Robusta","Robusta",(IF($B525="","Arabica",$B525))&amp;" - "&amp;(IF($C525="","Commercial",$C525))),Variables!$B$1:$D$1,0),1))*AK525/365),""))</f>
        <v>393.68769887496882</v>
      </c>
      <c r="BI525" s="44">
        <f>IF($AX525="Cancelled","",IFERROR((W525*INDEX(Variables!$B$7:$D$7,IFERROR(MATCH(IF($B525="Robusta","Robusta",(IF($B525="","Arabica",$B525))&amp;" - "&amp;(IF($C525="","Commercial",$C525))),Variables!$B$1:$D$1,0),1))*BD525/365)+(L525/16.67*INDEX(Variables!$B$8:$D$8,IFERROR(MATCH(IF($B525="Robusta","Robusta",(IF($B525="","Arabica",$B525))&amp;" - "&amp;(IF($C525="","Commercial",$C525))),Variables!$B$1:$D$1,0),1))*BD525)+(W525*INDEX(Variables!$B$9:$D$9,IFERROR(MATCH(IF($B525="Robusta","Robusta",(IF($B525="","Arabica",$B525))&amp;" - "&amp;(IF($C525="","Commercial",$C525))),Variables!$B$1:$D$1,0),1))*BD525/365),""))</f>
        <v>-43.743077652774311</v>
      </c>
      <c r="BJ525" s="44">
        <f t="shared" si="26"/>
        <v>11</v>
      </c>
      <c r="BK525" s="44">
        <f>IF($AX525="Cancelled","",IFERROR(IF(BJ525="","",(W525*INDEX(Variables!$B$7:$D$7,IFERROR(MATCH(IF($B525="Robusta","Robusta",(IF($B525="","Arabica",$B525))&amp;" - "&amp;(IF($C525="","Commercial",$C525))),Variables!$B$1:$D$1,0),1))*(BJ525/365))+(W525*INDEX(Variables!$B$9:$D$9,IFERROR(MATCH(IF($B525="Robusta","Robusta",(IF($B525="","Arabica",$B525))&amp;" - "&amp;(IF($C525="","Commercial",$C525))),Variables!$B$1:$D$1,0),1))*(BJ525/365))+(INDEX(Variables!$B$8:$D$8,IFERROR(MATCH(IF($B525="Robusta","Robusta",(IF($B525="","Arabica",$B525))&amp;" - "&amp;(IF($C525="","Commercial",$C525))),Variables!$B$1:$D$1,0),1))*L525/16.67)),""))</f>
        <v>314.67385418051742</v>
      </c>
    </row>
    <row r="526" spans="1:63">
      <c r="A526" s="13" t="s">
        <v>103</v>
      </c>
      <c r="B526" s="13" t="s">
        <v>104</v>
      </c>
      <c r="C526" s="13" t="s">
        <v>105</v>
      </c>
      <c r="D526" s="31">
        <v>45980</v>
      </c>
      <c r="E526" s="31">
        <v>46082</v>
      </c>
      <c r="F526" s="31">
        <v>46112</v>
      </c>
      <c r="G526" s="13">
        <v>3786994</v>
      </c>
      <c r="H526" s="13" t="s">
        <v>1507</v>
      </c>
      <c r="J526" s="13" t="s">
        <v>118</v>
      </c>
      <c r="K526" s="13" t="s">
        <v>1507</v>
      </c>
      <c r="L526" s="13">
        <v>333</v>
      </c>
      <c r="M526" s="13">
        <v>1</v>
      </c>
      <c r="N526" s="13" t="s">
        <v>1495</v>
      </c>
      <c r="O526" s="13" t="s">
        <v>269</v>
      </c>
      <c r="P526" s="13">
        <v>10310</v>
      </c>
      <c r="Q526" s="59" t="s">
        <v>270</v>
      </c>
      <c r="R526" s="13" t="s">
        <v>271</v>
      </c>
      <c r="S526" s="13" t="s">
        <v>272</v>
      </c>
      <c r="T526" s="13" t="s">
        <v>112</v>
      </c>
      <c r="U526" s="13" t="s">
        <v>113</v>
      </c>
      <c r="V526" s="13">
        <v>53</v>
      </c>
      <c r="W526" s="44">
        <f>IF($AX526="Cancelled","",IFERROR(((V526+INDEX(Variables!$B$6:$D$6,IFERROR(MATCH(IF($B526="Robusta","Robusta",(IF($B526="","Arabica",$B526))&amp;" - "&amp;(IF($C526="","Commercial",$C526))),Variables!$B$1:$D$1,0),1)))*22.0462)*(L526/16.67),""))</f>
        <v>151407.79996880621</v>
      </c>
      <c r="X526" s="55" t="s">
        <v>37</v>
      </c>
      <c r="Y526" s="13" t="str">
        <f>IF($AX526="Cancelled","",IF(X526="","",IFERROR(IF(INDEX(Variables!$B$38:$B$47,MATCH(X526,Variables!$A$38:$A$47,0))="Yes","Yes","No"),"No")))</f>
        <v>Yes</v>
      </c>
      <c r="Z526" s="58">
        <v>46051</v>
      </c>
      <c r="AB526" s="31">
        <v>46058</v>
      </c>
      <c r="AC526" s="13" t="str">
        <f t="shared" si="24"/>
        <v>Approved</v>
      </c>
      <c r="AF526" s="71">
        <v>46079</v>
      </c>
      <c r="AG526" s="37">
        <f>IF($AX526="Cancelled","",IFERROR(IF(F526="","",F526-Variables!$B$13),""))</f>
        <v>46097</v>
      </c>
      <c r="AH526" s="13">
        <f>IF($AX526="Cancelled","",IFERROR(IF(AB526="","",(AVERAGE(E526:F526)-AB526)-Variables!$B$14),""))</f>
        <v>9</v>
      </c>
      <c r="AJ526" s="47">
        <v>46086</v>
      </c>
      <c r="AK526" s="14">
        <f>IF($AX526="Cancelled","",IFERROR(IF(AJ526="","",IF(AND(AB526="",AF526=""),"",IF(AF526&gt;AB526,AF526+Variables!$B$15+Variables!$B$16+Variables!$B$17-AJ526,AB526+Variables!$B$16+Variables!$B$17-AJ526))),""))</f>
        <v>8</v>
      </c>
      <c r="AL526" s="48" t="s">
        <v>114</v>
      </c>
      <c r="AM526" s="13" t="s">
        <v>115</v>
      </c>
      <c r="AN526" s="13" t="s">
        <v>1504</v>
      </c>
      <c r="AP526" s="31">
        <v>46098</v>
      </c>
      <c r="AR526" s="13">
        <v>266895568</v>
      </c>
      <c r="AS526" s="31">
        <v>46095</v>
      </c>
      <c r="AU526" s="31">
        <v>46108</v>
      </c>
      <c r="AV526" s="13" t="s">
        <v>865</v>
      </c>
      <c r="AW526" s="31">
        <v>46142</v>
      </c>
      <c r="AX526" s="13" t="str">
        <f>IF(ISNUMBER(SEARCH("cancel",#REF!)),"Cancelled",IF(AND(AS526&lt;&gt;"",AU526&lt;&gt;"",AW526&lt;&gt;""),"Closed","Open"))</f>
        <v>Closed</v>
      </c>
      <c r="AY526" s="15" t="str">
        <f t="shared" si="25"/>
        <v>All dates received</v>
      </c>
      <c r="BD526" s="13">
        <f>IF($AX526="Cancelled","",IFERROR(IF(OR(AS526="",AJ526=""),"",(AJ526+Variables!$B$18-AS526)),""))</f>
        <v>6</v>
      </c>
      <c r="BE526" s="13">
        <f>IF($AX526="Cancelled","",IFERROR(IF(OR(AW526="",AS526=""),"",(AS526+Variables!$B$19)-AW526),""))</f>
        <v>-42</v>
      </c>
      <c r="BF526" s="44">
        <f>IF($AX526="Cancelled","",IFERROR(W526*INDEX(Variables!$B$7:$D$7,IFERROR(MATCH(IF($B526="Robusta","Robusta",(IF($B526="","Arabica",$B526))&amp;" - "&amp;(IF($C526="","Commercial",$C526))),Variables!$B$1:$D$1,0),1))*(BE526/365),""))</f>
        <v>-1123.4261305321625</v>
      </c>
      <c r="BG526" s="44">
        <f>IF($AX526="Cancelled","",IFERROR((W526*INDEX(Variables!$B$7:$D$7,IFERROR(MATCH(IF($B526="Robusta","Robusta",(IF($B526="","Arabica",$B526))&amp;" - "&amp;(IF($C526="","Commercial",$C526))),Variables!$B$1:$D$1,0),1))*IFERROR(IF(AB526="","",(AVERAGE(E526:F526)-AB526)-Variables!$B$14),"")/365)+(L526/16.67*INDEX(Variables!$B$8:$D$8,IFERROR(MATCH(IF($B526="Robusta","Robusta",(IF($B526="","Arabica",$B526))&amp;" - "&amp;(IF($C526="","Commercial",$C526))),Variables!$B$1:$D$1,0),1))*IFERROR(IF(AB526="","",(AVERAGE(E526:F526)-AB526)-Variables!$B$14),""))+(W526*INDEX(Variables!$B$9:$D$9,IFERROR(MATCH(IF($B526="Robusta","Robusta",(IF($B526="","Arabica",$B526))&amp;" - "&amp;(IF($C526="","Commercial",$C526))),Variables!$B$1:$D$1,0),1))*IFERROR(IF(AB526="","",(AVERAGE(E526:F526)-AB526)-Variables!$B$14),"")/365),""))</f>
        <v>393.68769887496882</v>
      </c>
      <c r="BH526" s="44">
        <f>IF($AX526="Cancelled","",IFERROR((W526*INDEX(Variables!$B$7:$D$7,IFERROR(MATCH(IF($B526="Robusta","Robusta",(IF($B526="","Arabica",$B526))&amp;" - "&amp;(IF($C526="","Commercial",$C526))),Variables!$B$1:$D$1,0),1))*AK526/365)+(L526/16.67*INDEX(Variables!$B$8:$D$8,IFERROR(MATCH(IF($B526="Robusta","Robusta",(IF($B526="","Arabica",$B526))&amp;" - "&amp;(IF($C526="","Commercial",$C526))),Variables!$B$1:$D$1,0),1))*AK526)+(W526*INDEX(Variables!$B$9:$D$9,IFERROR(MATCH(IF($B526="Robusta","Robusta",(IF($B526="","Arabica",$B526))&amp;" - "&amp;(IF($C526="","Commercial",$C526))),Variables!$B$1:$D$1,0),1))*AK526/365),""))</f>
        <v>349.94462122219448</v>
      </c>
      <c r="BI526" s="44">
        <f>IF($AX526="Cancelled","",IFERROR((W526*INDEX(Variables!$B$7:$D$7,IFERROR(MATCH(IF($B526="Robusta","Robusta",(IF($B526="","Arabica",$B526))&amp;" - "&amp;(IF($C526="","Commercial",$C526))),Variables!$B$1:$D$1,0),1))*BD526/365)+(L526/16.67*INDEX(Variables!$B$8:$D$8,IFERROR(MATCH(IF($B526="Robusta","Robusta",(IF($B526="","Arabica",$B526))&amp;" - "&amp;(IF($C526="","Commercial",$C526))),Variables!$B$1:$D$1,0),1))*BD526)+(W526*INDEX(Variables!$B$9:$D$9,IFERROR(MATCH(IF($B526="Robusta","Robusta",(IF($B526="","Arabica",$B526))&amp;" - "&amp;(IF($C526="","Commercial",$C526))),Variables!$B$1:$D$1,0),1))*BD526/365),""))</f>
        <v>262.45846591664588</v>
      </c>
      <c r="BJ526" s="44">
        <f t="shared" si="26"/>
        <v>17</v>
      </c>
      <c r="BK526" s="44">
        <f>IF($AX526="Cancelled","",IFERROR(IF(BJ526="","",(W526*INDEX(Variables!$B$7:$D$7,IFERROR(MATCH(IF($B526="Robusta","Robusta",(IF($B526="","Arabica",$B526))&amp;" - "&amp;(IF($C526="","Commercial",$C526))),Variables!$B$1:$D$1,0),1))*(BJ526/365))+(W526*INDEX(Variables!$B$9:$D$9,IFERROR(MATCH(IF($B526="Robusta","Robusta",(IF($B526="","Arabica",$B526))&amp;" - "&amp;(IF($C526="","Commercial",$C526))),Variables!$B$1:$D$1,0),1))*(BJ526/365))+(INDEX(Variables!$B$8:$D$8,IFERROR(MATCH(IF($B526="Robusta","Robusta",(IF($B526="","Arabica",$B526))&amp;" - "&amp;(IF($C526="","Commercial",$C526))),Variables!$B$1:$D$1,0),1))*L526/16.67)),""))</f>
        <v>477.23232009716332</v>
      </c>
    </row>
    <row r="527" spans="1:63">
      <c r="A527" s="13" t="s">
        <v>103</v>
      </c>
      <c r="B527" s="13" t="s">
        <v>104</v>
      </c>
      <c r="C527" s="13" t="s">
        <v>105</v>
      </c>
      <c r="D527" s="31">
        <v>45980</v>
      </c>
      <c r="E527" s="31">
        <v>46082</v>
      </c>
      <c r="F527" s="31">
        <v>46112</v>
      </c>
      <c r="G527" s="13">
        <v>3786994</v>
      </c>
      <c r="H527" s="13" t="s">
        <v>1508</v>
      </c>
      <c r="J527" s="13" t="s">
        <v>118</v>
      </c>
      <c r="K527" s="13" t="s">
        <v>1508</v>
      </c>
      <c r="L527" s="13">
        <v>334</v>
      </c>
      <c r="M527" s="13">
        <v>1</v>
      </c>
      <c r="N527" s="13" t="s">
        <v>1495</v>
      </c>
      <c r="O527" s="13" t="s">
        <v>269</v>
      </c>
      <c r="P527" s="13">
        <v>10310</v>
      </c>
      <c r="Q527" s="59" t="s">
        <v>270</v>
      </c>
      <c r="R527" s="13" t="s">
        <v>271</v>
      </c>
      <c r="S527" s="13" t="s">
        <v>276</v>
      </c>
      <c r="T527" s="13" t="s">
        <v>112</v>
      </c>
      <c r="U527" s="13" t="s">
        <v>113</v>
      </c>
      <c r="V527" s="13">
        <v>53</v>
      </c>
      <c r="W527" s="44">
        <f>IF($AX527="Cancelled","",IFERROR(((V527+INDEX(Variables!$B$6:$D$6,IFERROR(MATCH(IF($B527="Robusta","Robusta",(IF($B527="","Arabica",$B527))&amp;" - "&amp;(IF($C527="","Commercial",$C527))),Variables!$B$1:$D$1,0),1)))*22.0462)*(L527/16.67),""))</f>
        <v>151862.47804679064</v>
      </c>
      <c r="X527" s="55" t="s">
        <v>37</v>
      </c>
      <c r="Y527" s="13" t="str">
        <f>IF($AX527="Cancelled","",IF(X527="","",IFERROR(IF(INDEX(Variables!$B$38:$B$47,MATCH(X527,Variables!$A$38:$A$47,0))="Yes","Yes","No"),"No")))</f>
        <v>Yes</v>
      </c>
      <c r="Z527" s="58">
        <v>46051</v>
      </c>
      <c r="AB527" s="31">
        <v>46058</v>
      </c>
      <c r="AC527" s="13" t="str">
        <f t="shared" si="24"/>
        <v>Approved</v>
      </c>
      <c r="AF527" s="71">
        <v>46079</v>
      </c>
      <c r="AG527" s="37">
        <f>IF($AX527="Cancelled","",IFERROR(IF(F527="","",F527-Variables!$B$13),""))</f>
        <v>46097</v>
      </c>
      <c r="AH527" s="13">
        <f>IF($AX527="Cancelled","",IFERROR(IF(AB527="","",(AVERAGE(E527:F527)-AB527)-Variables!$B$14),""))</f>
        <v>9</v>
      </c>
      <c r="AJ527" s="47">
        <v>46086</v>
      </c>
      <c r="AK527" s="14">
        <f>IF($AX527="Cancelled","",IFERROR(IF(AJ527="","",IF(AND(AB527="",AF527=""),"",IF(AF527&gt;AB527,AF527+Variables!$B$15+Variables!$B$16+Variables!$B$17-AJ527,AB527+Variables!$B$16+Variables!$B$17-AJ527))),""))</f>
        <v>8</v>
      </c>
      <c r="AL527" s="48" t="s">
        <v>114</v>
      </c>
      <c r="AM527" s="13" t="s">
        <v>115</v>
      </c>
      <c r="AN527" s="13" t="s">
        <v>1504</v>
      </c>
      <c r="AP527" s="31">
        <v>46098</v>
      </c>
      <c r="AR527" s="13">
        <v>266895293</v>
      </c>
      <c r="AS527" s="31">
        <v>46092</v>
      </c>
      <c r="AU527" s="31">
        <v>46108</v>
      </c>
      <c r="AV527" s="13" t="s">
        <v>865</v>
      </c>
      <c r="AW527" s="31">
        <v>46142</v>
      </c>
      <c r="AX527" s="13" t="str">
        <f>IF(ISNUMBER(SEARCH("cancel",#REF!)),"Cancelled",IF(AND(AS527&lt;&gt;"",AU527&lt;&gt;"",AW527&lt;&gt;""),"Closed","Open"))</f>
        <v>Closed</v>
      </c>
      <c r="AY527" s="15" t="str">
        <f t="shared" si="25"/>
        <v>All dates received</v>
      </c>
      <c r="BD527" s="13">
        <f>IF($AX527="Cancelled","",IFERROR(IF(OR(AS527="",AJ527=""),"",(AJ527+Variables!$B$18-AS527)),""))</f>
        <v>9</v>
      </c>
      <c r="BE527" s="13">
        <f>IF($AX527="Cancelled","",IFERROR(IF(OR(AW527="",AS527=""),"",(AS527+Variables!$B$19)-AW527),""))</f>
        <v>-45</v>
      </c>
      <c r="BF527" s="44">
        <f>IF($AX527="Cancelled","",IFERROR(W527*INDEX(Variables!$B$7:$D$7,IFERROR(MATCH(IF($B527="Robusta","Robusta",(IF($B527="","Arabica",$B527))&amp;" - "&amp;(IF($C527="","Commercial",$C527))),Variables!$B$1:$D$1,0),1))*(BE527/365),""))</f>
        <v>-1207.2854813312174</v>
      </c>
      <c r="BG527" s="44">
        <f>IF($AX527="Cancelled","",IFERROR((W527*INDEX(Variables!$B$7:$D$7,IFERROR(MATCH(IF($B527="Robusta","Robusta",(IF($B527="","Arabica",$B527))&amp;" - "&amp;(IF($C527="","Commercial",$C527))),Variables!$B$1:$D$1,0),1))*IFERROR(IF(AB527="","",(AVERAGE(E527:F527)-AB527)-Variables!$B$14),"")/365)+(L527/16.67*INDEX(Variables!$B$8:$D$8,IFERROR(MATCH(IF($B527="Robusta","Robusta",(IF($B527="","Arabica",$B527))&amp;" - "&amp;(IF($C527="","Commercial",$C527))),Variables!$B$1:$D$1,0),1))*IFERROR(IF(AB527="","",(AVERAGE(E527:F527)-AB527)-Variables!$B$14),""))+(W527*INDEX(Variables!$B$9:$D$9,IFERROR(MATCH(IF($B527="Robusta","Robusta",(IF($B527="","Arabica",$B527))&amp;" - "&amp;(IF($C527="","Commercial",$C527))),Variables!$B$1:$D$1,0),1))*IFERROR(IF(AB527="","",(AVERAGE(E527:F527)-AB527)-Variables!$B$14),"")/365),""))</f>
        <v>394.86994421693572</v>
      </c>
      <c r="BH527" s="44">
        <f>IF($AX527="Cancelled","",IFERROR((W527*INDEX(Variables!$B$7:$D$7,IFERROR(MATCH(IF($B527="Robusta","Robusta",(IF($B527="","Arabica",$B527))&amp;" - "&amp;(IF($C527="","Commercial",$C527))),Variables!$B$1:$D$1,0),1))*AK527/365)+(L527/16.67*INDEX(Variables!$B$8:$D$8,IFERROR(MATCH(IF($B527="Robusta","Robusta",(IF($B527="","Arabica",$B527))&amp;" - "&amp;(IF($C527="","Commercial",$C527))),Variables!$B$1:$D$1,0),1))*AK527)+(W527*INDEX(Variables!$B$9:$D$9,IFERROR(MATCH(IF($B527="Robusta","Robusta",(IF($B527="","Arabica",$B527))&amp;" - "&amp;(IF($C527="","Commercial",$C527))),Variables!$B$1:$D$1,0),1))*AK527/365),""))</f>
        <v>350.99550597060954</v>
      </c>
      <c r="BI527" s="44">
        <f>IF($AX527="Cancelled","",IFERROR((W527*INDEX(Variables!$B$7:$D$7,IFERROR(MATCH(IF($B527="Robusta","Robusta",(IF($B527="","Arabica",$B527))&amp;" - "&amp;(IF($C527="","Commercial",$C527))),Variables!$B$1:$D$1,0),1))*BD527/365)+(L527/16.67*INDEX(Variables!$B$8:$D$8,IFERROR(MATCH(IF($B527="Robusta","Robusta",(IF($B527="","Arabica",$B527))&amp;" - "&amp;(IF($C527="","Commercial",$C527))),Variables!$B$1:$D$1,0),1))*BD527)+(W527*INDEX(Variables!$B$9:$D$9,IFERROR(MATCH(IF($B527="Robusta","Robusta",(IF($B527="","Arabica",$B527))&amp;" - "&amp;(IF($C527="","Commercial",$C527))),Variables!$B$1:$D$1,0),1))*BD527/365),""))</f>
        <v>394.86994421693572</v>
      </c>
      <c r="BJ527" s="44">
        <f t="shared" si="26"/>
        <v>20</v>
      </c>
      <c r="BK527" s="44">
        <f>IF($AX527="Cancelled","",IFERROR(IF(BJ527="","",(W527*INDEX(Variables!$B$7:$D$7,IFERROR(MATCH(IF($B527="Robusta","Robusta",(IF($B527="","Arabica",$B527))&amp;" - "&amp;(IF($C527="","Commercial",$C527))),Variables!$B$1:$D$1,0),1))*(BJ527/365))+(W527*INDEX(Variables!$B$9:$D$9,IFERROR(MATCH(IF($B527="Robusta","Robusta",(IF($B527="","Arabica",$B527))&amp;" - "&amp;(IF($C527="","Commercial",$C527))),Variables!$B$1:$D$1,0),1))*(BJ527/365))+(INDEX(Variables!$B$8:$D$8,IFERROR(MATCH(IF($B527="Robusta","Robusta",(IF($B527="","Arabica",$B527))&amp;" - "&amp;(IF($C527="","Commercial",$C527))),Variables!$B$1:$D$1,0),1))*L527/16.67)),""))</f>
        <v>560.18876492652385</v>
      </c>
    </row>
    <row r="528" spans="1:63">
      <c r="A528" s="13" t="s">
        <v>103</v>
      </c>
      <c r="B528" s="13" t="s">
        <v>104</v>
      </c>
      <c r="C528" s="13" t="s">
        <v>105</v>
      </c>
      <c r="D528" s="31">
        <v>45981</v>
      </c>
      <c r="E528" s="31">
        <v>45992</v>
      </c>
      <c r="F528" s="31">
        <v>46022</v>
      </c>
      <c r="G528" s="13">
        <v>3786995</v>
      </c>
      <c r="H528" s="13" t="s">
        <v>1509</v>
      </c>
      <c r="J528" s="13" t="s">
        <v>1510</v>
      </c>
      <c r="K528" s="13">
        <v>5364</v>
      </c>
      <c r="L528" s="13">
        <v>320</v>
      </c>
      <c r="M528" s="13">
        <v>1</v>
      </c>
      <c r="N528" s="13" t="s">
        <v>1417</v>
      </c>
      <c r="O528" s="13" t="s">
        <v>355</v>
      </c>
      <c r="P528" s="13">
        <v>10060</v>
      </c>
      <c r="R528" s="13" t="s">
        <v>239</v>
      </c>
      <c r="S528" s="13" t="s">
        <v>1511</v>
      </c>
      <c r="T528" s="13" t="s">
        <v>1512</v>
      </c>
      <c r="U528" s="13" t="s">
        <v>182</v>
      </c>
      <c r="V528" s="13">
        <v>45</v>
      </c>
      <c r="W528" s="44">
        <f>IF($AX528="Cancelled","",IFERROR(((V528+INDEX(Variables!$B$6:$D$6,IFERROR(MATCH(IF($B528="Robusta","Robusta",(IF($B528="","Arabica",$B528))&amp;" - "&amp;(IF($C528="","Commercial",$C528))),Variables!$B$1:$D$1,0),1)))*22.0462)*(L528/16.67),""))</f>
        <v>142111.3657588482</v>
      </c>
      <c r="X528" s="55" t="s">
        <v>37</v>
      </c>
      <c r="Y528" s="13" t="str">
        <f>IF($AX528="Cancelled","",IF(X528="","",IFERROR(IF(INDEX(Variables!$B$38:$B$47,MATCH(X528,Variables!$A$38:$A$47,0))="Yes","Yes","No"),"No")))</f>
        <v>Yes</v>
      </c>
      <c r="Z528" s="58">
        <v>45985</v>
      </c>
      <c r="AC528" s="13" t="str">
        <f t="shared" si="24"/>
        <v/>
      </c>
      <c r="AF528" s="71">
        <v>46010</v>
      </c>
      <c r="AG528" s="37">
        <f>IF($AX528="Cancelled","",IFERROR(IF(F528="","",F528-Variables!$B$13),""))</f>
        <v>46007</v>
      </c>
      <c r="AH528" s="13" t="str">
        <f>IF($AX528="Cancelled","",IFERROR(IF(AB528="","",(AVERAGE(E528:F528)-AB528)-Variables!$B$14),""))</f>
        <v/>
      </c>
      <c r="AJ528" s="47">
        <v>46010</v>
      </c>
      <c r="AK528" s="14">
        <f>IF($AX528="Cancelled","",IFERROR(IF(AJ528="","",IF(AND(AB528="",AF528=""),"",IF(AF528&gt;AB528,AF528+Variables!$B$15+Variables!$B$16+Variables!$B$17-AJ528,AB528+Variables!$B$16+Variables!$B$17-AJ528))),""))</f>
        <v>15</v>
      </c>
      <c r="AL528" s="48" t="s">
        <v>114</v>
      </c>
      <c r="AM528" s="13" t="s">
        <v>188</v>
      </c>
      <c r="AN528" s="13" t="s">
        <v>1513</v>
      </c>
      <c r="AP528" s="31">
        <v>46039</v>
      </c>
      <c r="AR528" s="13" t="s">
        <v>1514</v>
      </c>
      <c r="AS528" s="31">
        <v>46039</v>
      </c>
      <c r="AU528" s="31">
        <v>46043</v>
      </c>
      <c r="AV528" s="13" t="s">
        <v>1515</v>
      </c>
      <c r="AW528" s="31">
        <v>46055</v>
      </c>
      <c r="AX528" s="13" t="str">
        <f>IF(ISNUMBER(SEARCH("cancel",#REF!)),"Cancelled",IF(AND(AS528&lt;&gt;"",AU528&lt;&gt;"",AW528&lt;&gt;""),"Closed","Open"))</f>
        <v>Closed</v>
      </c>
      <c r="AY528" s="15" t="str">
        <f t="shared" si="25"/>
        <v>All dates received</v>
      </c>
      <c r="BD528" s="13">
        <f>IF($AX528="Cancelled","",IFERROR(IF(OR(AS528="",AJ528=""),"",(AJ528+Variables!$B$18-AS528)),""))</f>
        <v>-14</v>
      </c>
      <c r="BE528" s="13">
        <f>IF($AX528="Cancelled","",IFERROR(IF(OR(AW528="",AS528=""),"",(AS528+Variables!$B$19)-AW528),""))</f>
        <v>-11</v>
      </c>
      <c r="BF528" s="44">
        <f>IF($AX528="Cancelled","",IFERROR(W528*INDEX(Variables!$B$7:$D$7,IFERROR(MATCH(IF($B528="Robusta","Robusta",(IF($B528="","Arabica",$B528))&amp;" - "&amp;(IF($C528="","Commercial",$C528))),Variables!$B$1:$D$1,0),1))*(BE528/365),""))</f>
        <v>-276.16490027530745</v>
      </c>
      <c r="BG528" s="44" t="str">
        <f>IF($AX528="Cancelled","",IFERROR((W528*INDEX(Variables!$B$7:$D$7,IFERROR(MATCH(IF($B528="Robusta","Robusta",(IF($B528="","Arabica",$B528))&amp;" - "&amp;(IF($C528="","Commercial",$C528))),Variables!$B$1:$D$1,0),1))*IFERROR(IF(AB528="","",(AVERAGE(E528:F528)-AB528)-Variables!$B$14),"")/365)+(L528/16.67*INDEX(Variables!$B$8:$D$8,IFERROR(MATCH(IF($B528="Robusta","Robusta",(IF($B528="","Arabica",$B528))&amp;" - "&amp;(IF($C528="","Commercial",$C528))),Variables!$B$1:$D$1,0),1))*IFERROR(IF(AB528="","",(AVERAGE(E528:F528)-AB528)-Variables!$B$14),""))+(W528*INDEX(Variables!$B$9:$D$9,IFERROR(MATCH(IF($B528="Robusta","Robusta",(IF($B528="","Arabica",$B528))&amp;" - "&amp;(IF($C528="","Commercial",$C528))),Variables!$B$1:$D$1,0),1))*IFERROR(IF(AB528="","",(AVERAGE(E528:F528)-AB528)-Variables!$B$14),"")/365),""))</f>
        <v/>
      </c>
      <c r="BH528" s="44">
        <f>IF($AX528="Cancelled","",IFERROR((W528*INDEX(Variables!$B$7:$D$7,IFERROR(MATCH(IF($B528="Robusta","Robusta",(IF($B528="","Arabica",$B528))&amp;" - "&amp;(IF($C528="","Commercial",$C528))),Variables!$B$1:$D$1,0),1))*AK528/365)+(L528/16.67*INDEX(Variables!$B$8:$D$8,IFERROR(MATCH(IF($B528="Robusta","Robusta",(IF($B528="","Arabica",$B528))&amp;" - "&amp;(IF($C528="","Commercial",$C528))),Variables!$B$1:$D$1,0),1))*AK528)+(W528*INDEX(Variables!$B$9:$D$9,IFERROR(MATCH(IF($B528="Robusta","Robusta",(IF($B528="","Arabica",$B528))&amp;" - "&amp;(IF($C528="","Commercial",$C528))),Variables!$B$1:$D$1,0),1))*AK528/365),""))</f>
        <v>621.44345291056982</v>
      </c>
      <c r="BI528" s="44">
        <f>IF($AX528="Cancelled","",IFERROR((W528*INDEX(Variables!$B$7:$D$7,IFERROR(MATCH(IF($B528="Robusta","Robusta",(IF($B528="","Arabica",$B528))&amp;" - "&amp;(IF($C528="","Commercial",$C528))),Variables!$B$1:$D$1,0),1))*BD528/365)+(L528/16.67*INDEX(Variables!$B$8:$D$8,IFERROR(MATCH(IF($B528="Robusta","Robusta",(IF($B528="","Arabica",$B528))&amp;" - "&amp;(IF($C528="","Commercial",$C528))),Variables!$B$1:$D$1,0),1))*BD528)+(W528*INDEX(Variables!$B$9:$D$9,IFERROR(MATCH(IF($B528="Robusta","Robusta",(IF($B528="","Arabica",$B528))&amp;" - "&amp;(IF($C528="","Commercial",$C528))),Variables!$B$1:$D$1,0),1))*BD528/365),""))</f>
        <v>-580.01388938319849</v>
      </c>
      <c r="BJ528" s="44">
        <f t="shared" si="26"/>
        <v>-17</v>
      </c>
      <c r="BK528" s="44">
        <f>IF($AX528="Cancelled","",IFERROR(IF(BJ528="","",(W528*INDEX(Variables!$B$7:$D$7,IFERROR(MATCH(IF($B528="Robusta","Robusta",(IF($B528="","Arabica",$B528))&amp;" - "&amp;(IF($C528="","Commercial",$C528))),Variables!$B$1:$D$1,0),1))*(BJ528/365))+(W528*INDEX(Variables!$B$9:$D$9,IFERROR(MATCH(IF($B528="Robusta","Robusta",(IF($B528="","Arabica",$B528))&amp;" - "&amp;(IF($C528="","Commercial",$C528))),Variables!$B$1:$D$1,0),1))*(BJ528/365))+(INDEX(Variables!$B$8:$D$8,IFERROR(MATCH(IF($B528="Robusta","Robusta",(IF($B528="","Arabica",$B528))&amp;" - "&amp;(IF($C528="","Commercial",$C528))),Variables!$B$1:$D$1,0),1))*L528/16.67)),""))</f>
        <v>-416.30257996531247</v>
      </c>
    </row>
    <row r="529" spans="1:63">
      <c r="A529" s="13" t="s">
        <v>103</v>
      </c>
      <c r="B529" s="13" t="s">
        <v>104</v>
      </c>
      <c r="C529" s="13" t="s">
        <v>105</v>
      </c>
      <c r="D529" s="31">
        <v>45981</v>
      </c>
      <c r="E529" s="31">
        <v>45992</v>
      </c>
      <c r="F529" s="31">
        <v>46022</v>
      </c>
      <c r="G529" s="13">
        <v>3786996</v>
      </c>
      <c r="H529" s="13" t="s">
        <v>1516</v>
      </c>
      <c r="J529" s="13" t="s">
        <v>1510</v>
      </c>
      <c r="K529" s="13">
        <v>5365</v>
      </c>
      <c r="L529" s="13">
        <v>320</v>
      </c>
      <c r="M529" s="13">
        <v>1</v>
      </c>
      <c r="N529" s="13" t="s">
        <v>1517</v>
      </c>
      <c r="O529" s="13" t="s">
        <v>355</v>
      </c>
      <c r="P529" s="13">
        <v>10060</v>
      </c>
      <c r="Q529" s="13" t="s">
        <v>121</v>
      </c>
      <c r="R529" s="13" t="s">
        <v>239</v>
      </c>
      <c r="S529" s="13" t="s">
        <v>1518</v>
      </c>
      <c r="T529" s="13" t="s">
        <v>1519</v>
      </c>
      <c r="U529" s="13" t="s">
        <v>125</v>
      </c>
      <c r="V529" s="13">
        <v>48</v>
      </c>
      <c r="W529" s="44">
        <f>IF($AX529="Cancelled","",IFERROR(((V529+INDEX(Variables!$B$6:$D$6,IFERROR(MATCH(IF($B529="Robusta","Robusta",(IF($B529="","Arabica",$B529))&amp;" - "&amp;(IF($C529="","Commercial",$C529))),Variables!$B$1:$D$1,0),1)))*22.0462)*(L529/16.67),""))</f>
        <v>143380.97295740849</v>
      </c>
      <c r="X529" s="55" t="s">
        <v>37</v>
      </c>
      <c r="Y529" s="13" t="str">
        <f>IF($AX529="Cancelled","",IF(X529="","",IFERROR(IF(INDEX(Variables!$B$38:$B$47,MATCH(X529,Variables!$A$38:$A$47,0))="Yes","Yes","No"),"No")))</f>
        <v>Yes</v>
      </c>
      <c r="Z529" s="58">
        <v>45985</v>
      </c>
      <c r="AC529" s="13" t="str">
        <f t="shared" si="24"/>
        <v/>
      </c>
      <c r="AF529" s="71">
        <v>46011</v>
      </c>
      <c r="AG529" s="37">
        <f>IF($AX529="Cancelled","",IFERROR(IF(F529="","",F529-Variables!$B$13),""))</f>
        <v>46007</v>
      </c>
      <c r="AH529" s="13" t="str">
        <f>IF($AX529="Cancelled","",IFERROR(IF(AB529="","",(AVERAGE(E529:F529)-AB529)-Variables!$B$14),""))</f>
        <v/>
      </c>
      <c r="AJ529" s="47">
        <v>46011</v>
      </c>
      <c r="AK529" s="14">
        <f>IF($AX529="Cancelled","",IFERROR(IF(AJ529="","",IF(AND(AB529="",AF529=""),"",IF(AF529&gt;AB529,AF529+Variables!$B$15+Variables!$B$16+Variables!$B$17-AJ529,AB529+Variables!$B$16+Variables!$B$17-AJ529))),""))</f>
        <v>15</v>
      </c>
      <c r="AL529" s="48" t="s">
        <v>114</v>
      </c>
      <c r="AM529" s="13" t="s">
        <v>115</v>
      </c>
      <c r="AN529" s="13" t="s">
        <v>126</v>
      </c>
      <c r="AP529" s="31">
        <v>46037</v>
      </c>
      <c r="AR529" s="13">
        <v>263327998</v>
      </c>
      <c r="AS529" s="31">
        <v>46037</v>
      </c>
      <c r="AU529" s="31">
        <v>46042</v>
      </c>
      <c r="AV529" s="13" t="s">
        <v>1520</v>
      </c>
      <c r="AW529" s="31">
        <v>46058</v>
      </c>
      <c r="AX529" s="13" t="str">
        <f>IF(ISNUMBER(SEARCH("cancel",#REF!)),"Cancelled",IF(AND(AS529&lt;&gt;"",AU529&lt;&gt;"",AW529&lt;&gt;""),"Closed","Open"))</f>
        <v>Closed</v>
      </c>
      <c r="AY529" s="15" t="str">
        <f t="shared" si="25"/>
        <v>All dates received</v>
      </c>
      <c r="BD529" s="13">
        <f>IF($AX529="Cancelled","",IFERROR(IF(OR(AS529="",AJ529=""),"",(AJ529+Variables!$B$18-AS529)),""))</f>
        <v>-11</v>
      </c>
      <c r="BE529" s="13">
        <f>IF($AX529="Cancelled","",IFERROR(IF(OR(AW529="",AS529=""),"",(AS529+Variables!$B$19)-AW529),""))</f>
        <v>-16</v>
      </c>
      <c r="BF529" s="44">
        <f>IF($AX529="Cancelled","",IFERROR(W529*INDEX(Variables!$B$7:$D$7,IFERROR(MATCH(IF($B529="Robusta","Robusta",(IF($B529="","Arabica",$B529))&amp;" - "&amp;(IF($C529="","Commercial",$C529))),Variables!$B$1:$D$1,0),1))*(BE529/365),""))</f>
        <v>-405.2830936738282</v>
      </c>
      <c r="BG529" s="44" t="str">
        <f>IF($AX529="Cancelled","",IFERROR((W529*INDEX(Variables!$B$7:$D$7,IFERROR(MATCH(IF($B529="Robusta","Robusta",(IF($B529="","Arabica",$B529))&amp;" - "&amp;(IF($C529="","Commercial",$C529))),Variables!$B$1:$D$1,0),1))*IFERROR(IF(AB529="","",(AVERAGE(E529:F529)-AB529)-Variables!$B$14),"")/365)+(L529/16.67*INDEX(Variables!$B$8:$D$8,IFERROR(MATCH(IF($B529="Robusta","Robusta",(IF($B529="","Arabica",$B529))&amp;" - "&amp;(IF($C529="","Commercial",$C529))),Variables!$B$1:$D$1,0),1))*IFERROR(IF(AB529="","",(AVERAGE(E529:F529)-AB529)-Variables!$B$14),""))+(W529*INDEX(Variables!$B$9:$D$9,IFERROR(MATCH(IF($B529="Robusta","Robusta",(IF($B529="","Arabica",$B529))&amp;" - "&amp;(IF($C529="","Commercial",$C529))),Variables!$B$1:$D$1,0),1))*IFERROR(IF(AB529="","",(AVERAGE(E529:F529)-AB529)-Variables!$B$14),"")/365),""))</f>
        <v/>
      </c>
      <c r="BH529" s="44">
        <f>IF($AX529="Cancelled","",IFERROR((W529*INDEX(Variables!$B$7:$D$7,IFERROR(MATCH(IF($B529="Robusta","Robusta",(IF($B529="","Arabica",$B529))&amp;" - "&amp;(IF($C529="","Commercial",$C529))),Variables!$B$1:$D$1,0),1))*AK529/365)+(L529/16.67*INDEX(Variables!$B$8:$D$8,IFERROR(MATCH(IF($B529="Robusta","Robusta",(IF($B529="","Arabica",$B529))&amp;" - "&amp;(IF($C529="","Commercial",$C529))),Variables!$B$1:$D$1,0),1))*AK529)+(W529*INDEX(Variables!$B$9:$D$9,IFERROR(MATCH(IF($B529="Robusta","Robusta",(IF($B529="","Arabica",$B529))&amp;" - "&amp;(IF($C529="","Commercial",$C529))),Variables!$B$1:$D$1,0),1))*AK529/365),""))</f>
        <v>624.85122646248089</v>
      </c>
      <c r="BI529" s="44">
        <f>IF($AX529="Cancelled","",IFERROR((W529*INDEX(Variables!$B$7:$D$7,IFERROR(MATCH(IF($B529="Robusta","Robusta",(IF($B529="","Arabica",$B529))&amp;" - "&amp;(IF($C529="","Commercial",$C529))),Variables!$B$1:$D$1,0),1))*BD529/365)+(L529/16.67*INDEX(Variables!$B$8:$D$8,IFERROR(MATCH(IF($B529="Robusta","Robusta",(IF($B529="","Arabica",$B529))&amp;" - "&amp;(IF($C529="","Commercial",$C529))),Variables!$B$1:$D$1,0),1))*BD529)+(W529*INDEX(Variables!$B$9:$D$9,IFERROR(MATCH(IF($B529="Robusta","Robusta",(IF($B529="","Arabica",$B529))&amp;" - "&amp;(IF($C529="","Commercial",$C529))),Variables!$B$1:$D$1,0),1))*BD529/365),""))</f>
        <v>-458.22423273915257</v>
      </c>
      <c r="BJ529" s="44">
        <f t="shared" si="26"/>
        <v>-15</v>
      </c>
      <c r="BK529" s="44">
        <f>IF($AX529="Cancelled","",IFERROR(IF(BJ529="","",(W529*INDEX(Variables!$B$7:$D$7,IFERROR(MATCH(IF($B529="Robusta","Robusta",(IF($B529="","Arabica",$B529))&amp;" - "&amp;(IF($C529="","Commercial",$C529))),Variables!$B$1:$D$1,0),1))*(BJ529/365))+(W529*INDEX(Variables!$B$9:$D$9,IFERROR(MATCH(IF($B529="Robusta","Robusta",(IF($B529="","Arabica",$B529))&amp;" - "&amp;(IF($C529="","Commercial",$C529))),Variables!$B$1:$D$1,0),1))*(BJ529/365))+(INDEX(Variables!$B$8:$D$8,IFERROR(MATCH(IF($B529="Robusta","Robusta",(IF($B529="","Arabica",$B529))&amp;" - "&amp;(IF($C529="","Commercial",$C529))),Variables!$B$1:$D$1,0),1))*L529/16.67)),""))</f>
        <v>-368.85122646248072</v>
      </c>
    </row>
    <row r="530" spans="1:63">
      <c r="A530" s="13" t="s">
        <v>103</v>
      </c>
      <c r="B530" s="13" t="s">
        <v>104</v>
      </c>
      <c r="C530" s="13" t="s">
        <v>105</v>
      </c>
      <c r="D530" s="31">
        <v>45981</v>
      </c>
      <c r="E530" s="31">
        <v>45992</v>
      </c>
      <c r="F530" s="31">
        <v>46053</v>
      </c>
      <c r="G530" s="13">
        <v>3786997</v>
      </c>
      <c r="H530" s="13" t="s">
        <v>1521</v>
      </c>
      <c r="J530" s="13" t="s">
        <v>611</v>
      </c>
      <c r="K530" s="13" t="s">
        <v>1522</v>
      </c>
      <c r="L530" s="13">
        <v>120</v>
      </c>
      <c r="M530" s="13">
        <v>0</v>
      </c>
      <c r="N530" s="13" t="s">
        <v>1523</v>
      </c>
      <c r="O530" s="13" t="s">
        <v>355</v>
      </c>
      <c r="P530" s="13">
        <v>10060</v>
      </c>
      <c r="R530" s="13" t="s">
        <v>239</v>
      </c>
      <c r="S530" s="13" t="s">
        <v>1457</v>
      </c>
      <c r="T530" s="13" t="s">
        <v>112</v>
      </c>
      <c r="U530" s="13" t="s">
        <v>113</v>
      </c>
      <c r="V530" s="13">
        <v>58</v>
      </c>
      <c r="W530" s="44">
        <f>IF($AX530="Cancelled","",IFERROR(((V530+INDEX(Variables!$B$6:$D$6,IFERROR(MATCH(IF($B530="Robusta","Robusta",(IF($B530="","Arabica",$B530))&amp;" - "&amp;(IF($C530="","Commercial",$C530))),Variables!$B$1:$D$1,0),1)))*22.0462)*(L530/16.67),""))</f>
        <v>55354.873857228544</v>
      </c>
      <c r="X530" s="55" t="s">
        <v>37</v>
      </c>
      <c r="Y530" s="13" t="str">
        <f>IF($AX530="Cancelled","",IF(X530="","",IFERROR(IF(INDEX(Variables!$B$38:$B$47,MATCH(X530,Variables!$A$38:$A$47,0))="Yes","Yes","No"),"No")))</f>
        <v>Yes</v>
      </c>
      <c r="Z530" s="58">
        <v>45982</v>
      </c>
      <c r="AB530" s="31">
        <v>45986</v>
      </c>
      <c r="AC530" s="13" t="str">
        <f t="shared" si="24"/>
        <v>Approved</v>
      </c>
      <c r="AF530" s="71">
        <v>45989</v>
      </c>
      <c r="AG530" s="37">
        <f>IF($AX530="Cancelled","",IFERROR(IF(F530="","",F530-Variables!$B$13),""))</f>
        <v>46038</v>
      </c>
      <c r="AH530" s="13">
        <f>IF($AX530="Cancelled","",IFERROR(IF(AB530="","",(AVERAGE(E530:F530)-AB530)-Variables!$B$14),""))</f>
        <v>6.5</v>
      </c>
      <c r="AJ530" s="47">
        <v>45992</v>
      </c>
      <c r="AK530" s="14">
        <f>IF($AX530="Cancelled","",IFERROR(IF(AJ530="","",IF(AND(AB530="",AF530=""),"",IF(AF530&gt;AB530,AF530+Variables!$B$15+Variables!$B$16+Variables!$B$17-AJ530,AB530+Variables!$B$16+Variables!$B$17-AJ530))),""))</f>
        <v>12</v>
      </c>
      <c r="AL530" s="48" t="s">
        <v>114</v>
      </c>
      <c r="AM530" s="13" t="s">
        <v>134</v>
      </c>
      <c r="AN530" s="13" t="s">
        <v>1458</v>
      </c>
      <c r="AP530" s="31">
        <v>46015</v>
      </c>
      <c r="AR530" s="13" t="s">
        <v>1459</v>
      </c>
      <c r="AS530" s="31">
        <v>46015</v>
      </c>
      <c r="AU530" s="31">
        <v>46030</v>
      </c>
      <c r="AV530" s="13" t="s">
        <v>8</v>
      </c>
      <c r="AW530" s="31">
        <v>46048</v>
      </c>
      <c r="AX530" s="13" t="str">
        <f>IF(ISNUMBER(SEARCH("cancel",#REF!)),"Cancelled",IF(AND(AS530&lt;&gt;"",AU530&lt;&gt;"",AW530&lt;&gt;""),"Closed","Open"))</f>
        <v>Closed</v>
      </c>
      <c r="AY530" s="15" t="str">
        <f t="shared" si="25"/>
        <v>All dates received</v>
      </c>
      <c r="BD530" s="13">
        <f>IF($AX530="Cancelled","",IFERROR(IF(OR(AS530="",AJ530=""),"",(AJ530+Variables!$B$18-AS530)),""))</f>
        <v>-8</v>
      </c>
      <c r="BE530" s="13">
        <f>IF($AX530="Cancelled","",IFERROR(IF(OR(AW530="",AS530=""),"",(AS530+Variables!$B$19)-AW530),""))</f>
        <v>-28</v>
      </c>
      <c r="BF530" s="44">
        <f>IF($AX530="Cancelled","",IFERROR(W530*INDEX(Variables!$B$7:$D$7,IFERROR(MATCH(IF($B530="Robusta","Robusta",(IF($B530="","Arabica",$B530))&amp;" - "&amp;(IF($C530="","Commercial",$C530))),Variables!$B$1:$D$1,0),1))*(BE530/365),""))</f>
        <v>-273.81729675897071</v>
      </c>
      <c r="BG530" s="44">
        <f>IF($AX530="Cancelled","",IFERROR((W530*INDEX(Variables!$B$7:$D$7,IFERROR(MATCH(IF($B530="Robusta","Robusta",(IF($B530="","Arabica",$B530))&amp;" - "&amp;(IF($C530="","Commercial",$C530))),Variables!$B$1:$D$1,0),1))*IFERROR(IF(AB530="","",(AVERAGE(E530:F530)-AB530)-Variables!$B$14),"")/365)+(L530/16.67*INDEX(Variables!$B$8:$D$8,IFERROR(MATCH(IF($B530="Robusta","Robusta",(IF($B530="","Arabica",$B530))&amp;" - "&amp;(IF($C530="","Commercial",$C530))),Variables!$B$1:$D$1,0),1))*IFERROR(IF(AB530="","",(AVERAGE(E530:F530)-AB530)-Variables!$B$14),""))+(W530*INDEX(Variables!$B$9:$D$9,IFERROR(MATCH(IF($B530="Robusta","Robusta",(IF($B530="","Arabica",$B530))&amp;" - "&amp;(IF($C530="","Commercial",$C530))),Variables!$B$1:$D$1,0),1))*IFERROR(IF(AB530="","",(AVERAGE(E530:F530)-AB530)-Variables!$B$14),"")/365),""))</f>
        <v>103.38420164077158</v>
      </c>
      <c r="BH530" s="44">
        <f>IF($AX530="Cancelled","",IFERROR((W530*INDEX(Variables!$B$7:$D$7,IFERROR(MATCH(IF($B530="Robusta","Robusta",(IF($B530="","Arabica",$B530))&amp;" - "&amp;(IF($C530="","Commercial",$C530))),Variables!$B$1:$D$1,0),1))*AK530/365)+(L530/16.67*INDEX(Variables!$B$8:$D$8,IFERROR(MATCH(IF($B530="Robusta","Robusta",(IF($B530="","Arabica",$B530))&amp;" - "&amp;(IF($C530="","Commercial",$C530))),Variables!$B$1:$D$1,0),1))*AK530)+(W530*INDEX(Variables!$B$9:$D$9,IFERROR(MATCH(IF($B530="Robusta","Robusta",(IF($B530="","Arabica",$B530))&amp;" - "&amp;(IF($C530="","Commercial",$C530))),Variables!$B$1:$D$1,0),1))*AK530/365),""))</f>
        <v>190.86314149065521</v>
      </c>
      <c r="BI530" s="44">
        <f>IF($AX530="Cancelled","",IFERROR((W530*INDEX(Variables!$B$7:$D$7,IFERROR(MATCH(IF($B530="Robusta","Robusta",(IF($B530="","Arabica",$B530))&amp;" - "&amp;(IF($C530="","Commercial",$C530))),Variables!$B$1:$D$1,0),1))*BD530/365)+(L530/16.67*INDEX(Variables!$B$8:$D$8,IFERROR(MATCH(IF($B530="Robusta","Robusta",(IF($B530="","Arabica",$B530))&amp;" - "&amp;(IF($C530="","Commercial",$C530))),Variables!$B$1:$D$1,0),1))*BD530)+(W530*INDEX(Variables!$B$9:$D$9,IFERROR(MATCH(IF($B530="Robusta","Robusta",(IF($B530="","Arabica",$B530))&amp;" - "&amp;(IF($C530="","Commercial",$C530))),Variables!$B$1:$D$1,0),1))*BD530/365),""))</f>
        <v>-127.24209432710349</v>
      </c>
      <c r="BJ530" s="44">
        <f t="shared" si="26"/>
        <v>38</v>
      </c>
      <c r="BK530" s="44">
        <f>IF($AX530="Cancelled","",IFERROR(IF(BJ530="","",(W530*INDEX(Variables!$B$7:$D$7,IFERROR(MATCH(IF($B530="Robusta","Robusta",(IF($B530="","Arabica",$B530))&amp;" - "&amp;(IF($C530="","Commercial",$C530))),Variables!$B$1:$D$1,0),1))*(BJ530/365))+(W530*INDEX(Variables!$B$9:$D$9,IFERROR(MATCH(IF($B530="Robusta","Robusta",(IF($B530="","Arabica",$B530))&amp;" - "&amp;(IF($C530="","Commercial",$C530))),Variables!$B$1:$D$1,0),1))*(BJ530/365))+(INDEX(Variables!$B$8:$D$8,IFERROR(MATCH(IF($B530="Robusta","Robusta",(IF($B530="","Arabica",$B530))&amp;" - "&amp;(IF($C530="","Commercial",$C530))),Variables!$B$1:$D$1,0),1))*L530/16.67)),""))</f>
        <v>382.39994805374158</v>
      </c>
    </row>
    <row r="531" spans="1:63">
      <c r="A531" s="13" t="s">
        <v>103</v>
      </c>
      <c r="B531" s="13" t="s">
        <v>104</v>
      </c>
      <c r="C531" s="13" t="s">
        <v>105</v>
      </c>
      <c r="D531" s="31">
        <v>45982</v>
      </c>
      <c r="E531" s="31">
        <v>46082</v>
      </c>
      <c r="F531" s="31">
        <v>46112</v>
      </c>
      <c r="G531" s="13">
        <v>3786998</v>
      </c>
      <c r="H531" s="13">
        <v>5411</v>
      </c>
      <c r="J531" s="13" t="s">
        <v>415</v>
      </c>
      <c r="K531" s="13">
        <v>5411</v>
      </c>
      <c r="L531" s="13">
        <v>333</v>
      </c>
      <c r="M531" s="13">
        <v>1</v>
      </c>
      <c r="N531" s="13" t="s">
        <v>1524</v>
      </c>
      <c r="O531" s="13" t="s">
        <v>1172</v>
      </c>
      <c r="P531" s="13">
        <v>10260</v>
      </c>
      <c r="Q531" s="13" t="s">
        <v>121</v>
      </c>
      <c r="R531" s="13" t="s">
        <v>271</v>
      </c>
      <c r="S531" s="13" t="s">
        <v>1291</v>
      </c>
      <c r="T531" s="13" t="s">
        <v>373</v>
      </c>
      <c r="U531" s="13" t="s">
        <v>125</v>
      </c>
      <c r="V531" s="23">
        <v>-115</v>
      </c>
      <c r="W531" s="44">
        <f>IF($AX531="Cancelled","",IFERROR(((V531+INDEX(Variables!$B$6:$D$6,IFERROR(MATCH(IF($B531="Robusta","Robusta",(IF($B531="","Arabica",$B531))&amp;" - "&amp;(IF($C531="","Commercial",$C531))),Variables!$B$1:$D$1,0),1)))*22.0462)*(L531/16.67),""))</f>
        <v>77421.44047270545</v>
      </c>
      <c r="X531" s="55" t="s">
        <v>37</v>
      </c>
      <c r="Y531" s="13" t="str">
        <f>IF($AX531="Cancelled","",IF(X531="","",IFERROR(IF(INDEX(Variables!$B$38:$B$47,MATCH(X531,Variables!$A$38:$A$47,0))="Yes","Yes","No"),"No")))</f>
        <v>Yes</v>
      </c>
      <c r="Z531" s="58" t="s">
        <v>1525</v>
      </c>
      <c r="AB531" s="31">
        <v>46048</v>
      </c>
      <c r="AC531" s="13" t="str">
        <f t="shared" si="24"/>
        <v>Approved</v>
      </c>
      <c r="AF531" s="71">
        <v>46077</v>
      </c>
      <c r="AG531" s="37">
        <f>IF($AX531="Cancelled","",IFERROR(IF(F531="","",F531-Variables!$B$13),""))</f>
        <v>46097</v>
      </c>
      <c r="AH531" s="13">
        <f>IF($AX531="Cancelled","",IFERROR(IF(AB531="","",(AVERAGE(E531:F531)-AB531)-Variables!$B$14),""))</f>
        <v>19</v>
      </c>
      <c r="AJ531" s="47">
        <v>46077</v>
      </c>
      <c r="AK531" s="14">
        <f>IF($AX531="Cancelled","",IFERROR(IF(AJ531="","",IF(AND(AB531="",AF531=""),"",IF(AF531&gt;AB531,AF531+Variables!$B$15+Variables!$B$16+Variables!$B$17-AJ531,AB531+Variables!$B$16+Variables!$B$17-AJ531))),""))</f>
        <v>15</v>
      </c>
      <c r="AL531" s="48" t="s">
        <v>114</v>
      </c>
      <c r="AM531" s="13" t="s">
        <v>1526</v>
      </c>
      <c r="AN531" s="13" t="s">
        <v>1527</v>
      </c>
      <c r="AR531" s="13" t="s">
        <v>1528</v>
      </c>
      <c r="AS531" s="31">
        <v>46093</v>
      </c>
      <c r="AU531" s="31">
        <v>46116</v>
      </c>
      <c r="AV531" s="13" t="s">
        <v>865</v>
      </c>
      <c r="AW531" s="31">
        <v>46116</v>
      </c>
      <c r="AX531" s="13" t="str">
        <f>IF(ISNUMBER(SEARCH("cancel",#REF!)),"Cancelled",IF(AND(AS531&lt;&gt;"",AU531&lt;&gt;"",AW531&lt;&gt;""),"Closed","Open"))</f>
        <v>Closed</v>
      </c>
      <c r="AY531" s="15" t="str">
        <f t="shared" si="25"/>
        <v>All dates received</v>
      </c>
      <c r="BD531" s="13">
        <f>IF($AX531="Cancelled","",IFERROR(IF(OR(AS531="",AJ531=""),"",(AJ531+Variables!$B$18-AS531)),""))</f>
        <v>-1</v>
      </c>
      <c r="BE531" s="13">
        <f>IF($AX531="Cancelled","",IFERROR(IF(OR(AW531="",AS531=""),"",(AS531+Variables!$B$19)-AW531),""))</f>
        <v>-18</v>
      </c>
      <c r="BF531" s="44">
        <f>IF($AX531="Cancelled","",IFERROR(W531*INDEX(Variables!$B$7:$D$7,IFERROR(MATCH(IF($B531="Robusta","Robusta",(IF($B531="","Arabica",$B531))&amp;" - "&amp;(IF($C531="","Commercial",$C531))),Variables!$B$1:$D$1,0),1))*(BE531/365),""))</f>
        <v>-246.19585358707829</v>
      </c>
      <c r="BG531" s="44">
        <f>IF($AX531="Cancelled","",IFERROR((W531*INDEX(Variables!$B$7:$D$7,IFERROR(MATCH(IF($B531="Robusta","Robusta",(IF($B531="","Arabica",$B531))&amp;" - "&amp;(IF($C531="","Commercial",$C531))),Variables!$B$1:$D$1,0),1))*IFERROR(IF(AB531="","",(AVERAGE(E531:F531)-AB531)-Variables!$B$14),"")/365)+(L531/16.67*INDEX(Variables!$B$8:$D$8,IFERROR(MATCH(IF($B531="Robusta","Robusta",(IF($B531="","Arabica",$B531))&amp;" - "&amp;(IF($C531="","Commercial",$C531))),Variables!$B$1:$D$1,0),1))*IFERROR(IF(AB531="","",(AVERAGE(E531:F531)-AB531)-Variables!$B$14),""))+(W531*INDEX(Variables!$B$9:$D$9,IFERROR(MATCH(IF($B531="Robusta","Robusta",(IF($B531="","Arabica",$B531))&amp;" - "&amp;(IF($C531="","Commercial",$C531))),Variables!$B$1:$D$1,0),1))*IFERROR(IF(AB531="","",(AVERAGE(E531:F531)-AB531)-Variables!$B$14),"")/365),""))</f>
        <v>579.57367066840243</v>
      </c>
      <c r="BH531" s="44">
        <f>IF($AX531="Cancelled","",IFERROR((W531*INDEX(Variables!$B$7:$D$7,IFERROR(MATCH(IF($B531="Robusta","Robusta",(IF($B531="","Arabica",$B531))&amp;" - "&amp;(IF($C531="","Commercial",$C531))),Variables!$B$1:$D$1,0),1))*AK531/365)+(L531/16.67*INDEX(Variables!$B$8:$D$8,IFERROR(MATCH(IF($B531="Robusta","Robusta",(IF($B531="","Arabica",$B531))&amp;" - "&amp;(IF($C531="","Commercial",$C531))),Variables!$B$1:$D$1,0),1))*AK531)+(W531*INDEX(Variables!$B$9:$D$9,IFERROR(MATCH(IF($B531="Robusta","Robusta",(IF($B531="","Arabica",$B531))&amp;" - "&amp;(IF($C531="","Commercial",$C531))),Variables!$B$1:$D$1,0),1))*AK531/365),""))</f>
        <v>457.55816105400203</v>
      </c>
      <c r="BI531" s="44">
        <f>IF($AX531="Cancelled","",IFERROR((W531*INDEX(Variables!$B$7:$D$7,IFERROR(MATCH(IF($B531="Robusta","Robusta",(IF($B531="","Arabica",$B531))&amp;" - "&amp;(IF($C531="","Commercial",$C531))),Variables!$B$1:$D$1,0),1))*BD531/365)+(L531/16.67*INDEX(Variables!$B$8:$D$8,IFERROR(MATCH(IF($B531="Robusta","Robusta",(IF($B531="","Arabica",$B531))&amp;" - "&amp;(IF($C531="","Commercial",$C531))),Variables!$B$1:$D$1,0),1))*BD531)+(W531*INDEX(Variables!$B$9:$D$9,IFERROR(MATCH(IF($B531="Robusta","Robusta",(IF($B531="","Arabica",$B531))&amp;" - "&amp;(IF($C531="","Commercial",$C531))),Variables!$B$1:$D$1,0),1))*BD531/365),""))</f>
        <v>-30.503877403600132</v>
      </c>
      <c r="BJ531" s="44">
        <f t="shared" si="26"/>
        <v>19</v>
      </c>
      <c r="BK531" s="44">
        <f>IF($AX531="Cancelled","",IFERROR(IF(BJ531="","",(W531*INDEX(Variables!$B$7:$D$7,IFERROR(MATCH(IF($B531="Robusta","Robusta",(IF($B531="","Arabica",$B531))&amp;" - "&amp;(IF($C531="","Commercial",$C531))),Variables!$B$1:$D$1,0),1))*(BJ531/365))+(W531*INDEX(Variables!$B$9:$D$9,IFERROR(MATCH(IF($B531="Robusta","Robusta",(IF($B531="","Arabica",$B531))&amp;" - "&amp;(IF($C531="","Commercial",$C531))),Variables!$B$1:$D$1,0),1))*(BJ531/365))+(INDEX(Variables!$B$8:$D$8,IFERROR(MATCH(IF($B531="Robusta","Robusta",(IF($B531="","Arabica",$B531))&amp;" - "&amp;(IF($C531="","Commercial",$C531))),Variables!$B$1:$D$1,0),1))*L531/16.67)),""))</f>
        <v>279.8736706684025</v>
      </c>
    </row>
    <row r="532" spans="1:63">
      <c r="A532" s="13" t="s">
        <v>103</v>
      </c>
      <c r="B532" s="13" t="s">
        <v>104</v>
      </c>
      <c r="C532" s="13" t="s">
        <v>105</v>
      </c>
      <c r="D532" s="31">
        <v>45985</v>
      </c>
      <c r="E532" s="31">
        <v>45962</v>
      </c>
      <c r="F532" s="31">
        <v>46022</v>
      </c>
      <c r="G532" s="13">
        <v>3786999</v>
      </c>
      <c r="J532" s="13" t="s">
        <v>611</v>
      </c>
      <c r="L532" s="13">
        <v>50</v>
      </c>
      <c r="M532" s="13">
        <v>1</v>
      </c>
      <c r="N532" s="13" t="s">
        <v>1529</v>
      </c>
      <c r="O532" s="13" t="s">
        <v>297</v>
      </c>
      <c r="P532" s="13">
        <v>10020</v>
      </c>
      <c r="R532" s="13" t="s">
        <v>239</v>
      </c>
      <c r="S532" s="13" t="s">
        <v>1530</v>
      </c>
      <c r="T532" s="13" t="s">
        <v>1530</v>
      </c>
      <c r="U532" s="13" t="s">
        <v>1530</v>
      </c>
      <c r="V532" s="13">
        <v>48.45</v>
      </c>
      <c r="W532" s="44">
        <f>IF($AX532="Cancelled","",IFERROR(((V532+INDEX(Variables!$B$6:$D$6,IFERROR(MATCH(IF($B532="Robusta","Robusta",(IF($B532="","Arabica",$B532))&amp;" - "&amp;(IF($C532="","Commercial",$C532))),Variables!$B$1:$D$1,0),1)))*22.0462)*(L532/16.67),""))</f>
        <v>22433.033443311335</v>
      </c>
      <c r="X532" s="55" t="s">
        <v>39</v>
      </c>
      <c r="Y532" s="13" t="str">
        <f>IF($AX532="Cancelled","",IF(X532="","",IFERROR(IF(INDEX(Variables!$B$38:$B$47,MATCH(X532,Variables!$A$38:$A$47,0))="Yes","Yes","No"),"No")))</f>
        <v>No</v>
      </c>
      <c r="Z532" s="31"/>
      <c r="AC532" s="13" t="str">
        <f t="shared" si="24"/>
        <v/>
      </c>
      <c r="AF532" s="71"/>
      <c r="AG532" s="37">
        <f>IF($AX532="Cancelled","",IFERROR(IF(F532="","",F532-Variables!$B$13),""))</f>
        <v>46007</v>
      </c>
      <c r="AH532" s="13" t="str">
        <f>IF($AX532="Cancelled","",IFERROR(IF(AB532="","",(AVERAGE(E532:F532)-AB532)-Variables!$B$14),""))</f>
        <v/>
      </c>
      <c r="AK532" s="14" t="str">
        <f>IF($AX532="Cancelled","",IFERROR(IF(AJ532="","",IF(AND(AB532="",AF532=""),"",IF(AF532&gt;AB532,AF532+Variables!$B$15+Variables!$B$16+Variables!$B$17-AJ532,AB532+Variables!$B$16+Variables!$B$17-AJ532))),""))</f>
        <v/>
      </c>
      <c r="AL532" s="48" t="s">
        <v>114</v>
      </c>
      <c r="AM532" s="13" t="s">
        <v>8</v>
      </c>
      <c r="AN532" s="13" t="s">
        <v>8</v>
      </c>
      <c r="AP532" s="31">
        <v>46017</v>
      </c>
      <c r="AR532" s="13" t="s">
        <v>8</v>
      </c>
      <c r="AS532" s="31">
        <v>46022</v>
      </c>
      <c r="AU532" s="31">
        <v>46022</v>
      </c>
      <c r="AV532" s="13" t="s">
        <v>865</v>
      </c>
      <c r="AW532" s="31">
        <v>46022</v>
      </c>
      <c r="AX532" s="13" t="str">
        <f>IF(ISNUMBER(SEARCH("cancel",#REF!)),"Cancelled",IF(AND(AS532&lt;&gt;"",AU532&lt;&gt;"",AW532&lt;&gt;""),"Closed","Open"))</f>
        <v>Closed</v>
      </c>
      <c r="AY532" s="15" t="str">
        <f t="shared" si="25"/>
        <v>All dates received</v>
      </c>
      <c r="BD532" s="13" t="str">
        <f>IF($AX532="Cancelled","",IFERROR(IF(OR(AS532="",AJ532=""),"",(AJ532+Variables!$B$18-AS532)),""))</f>
        <v/>
      </c>
      <c r="BE532" s="13">
        <f>IF($AX532="Cancelled","",IFERROR(IF(OR(AW532="",AS532=""),"",(AS532+Variables!$B$19)-AW532),""))</f>
        <v>5</v>
      </c>
      <c r="BF532" s="44">
        <f>IF($AX532="Cancelled","",IFERROR(W532*INDEX(Variables!$B$7:$D$7,IFERROR(MATCH(IF($B532="Robusta","Robusta",(IF($B532="","Arabica",$B532))&amp;" - "&amp;(IF($C532="","Commercial",$C532))),Variables!$B$1:$D$1,0),1))*(BE532/365),""))</f>
        <v>19.81549793285329</v>
      </c>
      <c r="BG532" s="44" t="str">
        <f>IF($AX532="Cancelled","",IFERROR((W532*INDEX(Variables!$B$7:$D$7,IFERROR(MATCH(IF($B532="Robusta","Robusta",(IF($B532="","Arabica",$B532))&amp;" - "&amp;(IF($C532="","Commercial",$C532))),Variables!$B$1:$D$1,0),1))*IFERROR(IF(AB532="","",(AVERAGE(E532:F532)-AB532)-Variables!$B$14),"")/365)+(L532/16.67*INDEX(Variables!$B$8:$D$8,IFERROR(MATCH(IF($B532="Robusta","Robusta",(IF($B532="","Arabica",$B532))&amp;" - "&amp;(IF($C532="","Commercial",$C532))),Variables!$B$1:$D$1,0),1))*IFERROR(IF(AB532="","",(AVERAGE(E532:F532)-AB532)-Variables!$B$14),""))+(W532*INDEX(Variables!$B$9:$D$9,IFERROR(MATCH(IF($B532="Robusta","Robusta",(IF($B532="","Arabica",$B532))&amp;" - "&amp;(IF($C532="","Commercial",$C532))),Variables!$B$1:$D$1,0),1))*IFERROR(IF(AB532="","",(AVERAGE(E532:F532)-AB532)-Variables!$B$14),"")/365),""))</f>
        <v/>
      </c>
      <c r="BH532" s="44" t="str">
        <f>IF($AX532="Cancelled","",IFERROR((W532*INDEX(Variables!$B$7:$D$7,IFERROR(MATCH(IF($B532="Robusta","Robusta",(IF($B532="","Arabica",$B532))&amp;" - "&amp;(IF($C532="","Commercial",$C532))),Variables!$B$1:$D$1,0),1))*AK532/365)+(L532/16.67*INDEX(Variables!$B$8:$D$8,IFERROR(MATCH(IF($B532="Robusta","Robusta",(IF($B532="","Arabica",$B532))&amp;" - "&amp;(IF($C532="","Commercial",$C532))),Variables!$B$1:$D$1,0),1))*AK532)+(W532*INDEX(Variables!$B$9:$D$9,IFERROR(MATCH(IF($B532="Robusta","Robusta",(IF($B532="","Arabica",$B532))&amp;" - "&amp;(IF($C532="","Commercial",$C532))),Variables!$B$1:$D$1,0),1))*AK532/365),""))</f>
        <v/>
      </c>
      <c r="BI532" s="44" t="str">
        <f>IF($AX532="Cancelled","",IFERROR((W532*INDEX(Variables!$B$7:$D$7,IFERROR(MATCH(IF($B532="Robusta","Robusta",(IF($B532="","Arabica",$B532))&amp;" - "&amp;(IF($C532="","Commercial",$C532))),Variables!$B$1:$D$1,0),1))*BD532/365)+(L532/16.67*INDEX(Variables!$B$8:$D$8,IFERROR(MATCH(IF($B532="Robusta","Robusta",(IF($B532="","Arabica",$B532))&amp;" - "&amp;(IF($C532="","Commercial",$C532))),Variables!$B$1:$D$1,0),1))*BD532)+(W532*INDEX(Variables!$B$9:$D$9,IFERROR(MATCH(IF($B532="Robusta","Robusta",(IF($B532="","Arabica",$B532))&amp;" - "&amp;(IF($C532="","Commercial",$C532))),Variables!$B$1:$D$1,0),1))*BD532/365),""))</f>
        <v/>
      </c>
      <c r="BJ532" s="44">
        <f t="shared" si="26"/>
        <v>0</v>
      </c>
      <c r="BK532" s="44">
        <f>IF($AX532="Cancelled","",IFERROR(IF(BJ532="","",(W532*INDEX(Variables!$B$7:$D$7,IFERROR(MATCH(IF($B532="Robusta","Robusta",(IF($B532="","Arabica",$B532))&amp;" - "&amp;(IF($C532="","Commercial",$C532))),Variables!$B$1:$D$1,0),1))*(BJ532/365))+(W532*INDEX(Variables!$B$9:$D$9,IFERROR(MATCH(IF($B532="Robusta","Robusta",(IF($B532="","Arabica",$B532))&amp;" - "&amp;(IF($C532="","Commercial",$C532))),Variables!$B$1:$D$1,0),1))*(BJ532/365))+(INDEX(Variables!$B$8:$D$8,IFERROR(MATCH(IF($B532="Robusta","Robusta",(IF($B532="","Arabica",$B532))&amp;" - "&amp;(IF($C532="","Commercial",$C532))),Variables!$B$1:$D$1,0),1))*L532/16.67)),""))</f>
        <v>2.5</v>
      </c>
    </row>
    <row r="533" spans="1:63">
      <c r="A533" s="13" t="s">
        <v>103</v>
      </c>
      <c r="B533" s="13" t="s">
        <v>104</v>
      </c>
      <c r="C533" s="13" t="s">
        <v>105</v>
      </c>
      <c r="D533" s="31">
        <v>45986</v>
      </c>
      <c r="E533" s="31">
        <v>46054</v>
      </c>
      <c r="F533" s="31">
        <v>46081</v>
      </c>
      <c r="G533" s="13">
        <v>3787000</v>
      </c>
      <c r="J533" s="13" t="s">
        <v>118</v>
      </c>
      <c r="K533" s="13" t="s">
        <v>1531</v>
      </c>
      <c r="L533" s="13">
        <v>360</v>
      </c>
      <c r="M533" s="13">
        <v>1</v>
      </c>
      <c r="N533" s="13" t="s">
        <v>809</v>
      </c>
      <c r="O533" s="13" t="s">
        <v>120</v>
      </c>
      <c r="P533" s="13">
        <v>10070</v>
      </c>
      <c r="R533" s="13" t="s">
        <v>122</v>
      </c>
      <c r="S533" s="13" t="s">
        <v>167</v>
      </c>
      <c r="T533" s="13" t="s">
        <v>155</v>
      </c>
      <c r="U533" s="13" t="s">
        <v>125</v>
      </c>
      <c r="V533" s="13">
        <v>18.5</v>
      </c>
      <c r="W533" s="44">
        <f>IF($AX533="Cancelled","",IFERROR(((V533+INDEX(Variables!$B$6:$D$6,IFERROR(MATCH(IF($B533="Robusta","Robusta",(IF($B533="","Arabica",$B533))&amp;" - "&amp;(IF($C533="","Commercial",$C533))),Variables!$B$1:$D$1,0),1)))*22.0462)*(L533/16.67),""))</f>
        <v>147258.56494301138</v>
      </c>
      <c r="X533" s="55" t="s">
        <v>37</v>
      </c>
      <c r="Y533" s="13" t="str">
        <f>IF($AX533="Cancelled","",IF(X533="","",IFERROR(IF(INDEX(Variables!$B$38:$B$47,MATCH(X533,Variables!$A$38:$A$47,0))="Yes","Yes","No"),"No")))</f>
        <v>Yes</v>
      </c>
      <c r="Z533" s="58">
        <v>46034</v>
      </c>
      <c r="AC533" s="13" t="str">
        <f t="shared" si="24"/>
        <v/>
      </c>
      <c r="AF533" s="71">
        <v>46044</v>
      </c>
      <c r="AG533" s="37">
        <f>IF($AX533="Cancelled","",IFERROR(IF(F533="","",F533-Variables!$B$13),""))</f>
        <v>46066</v>
      </c>
      <c r="AH533" s="13" t="str">
        <f>IF($AX533="Cancelled","",IFERROR(IF(AB533="","",(AVERAGE(E533:F533)-AB533)-Variables!$B$14),""))</f>
        <v/>
      </c>
      <c r="AJ533" s="47">
        <v>46049</v>
      </c>
      <c r="AK533" s="14">
        <f>IF($AX533="Cancelled","",IFERROR(IF(AJ533="","",IF(AND(AB533="",AF533=""),"",IF(AF533&gt;AB533,AF533+Variables!$B$15+Variables!$B$16+Variables!$B$17-AJ533,AB533+Variables!$B$16+Variables!$B$17-AJ533))),""))</f>
        <v>10</v>
      </c>
      <c r="AL533" s="48" t="s">
        <v>114</v>
      </c>
      <c r="AM533" s="13" t="s">
        <v>141</v>
      </c>
      <c r="AN533" s="13" t="s">
        <v>408</v>
      </c>
      <c r="AP533" s="31">
        <v>46061</v>
      </c>
      <c r="AR533" s="13" t="s">
        <v>1532</v>
      </c>
      <c r="AS533" s="31">
        <v>46061</v>
      </c>
      <c r="AU533" s="31">
        <v>46070</v>
      </c>
      <c r="AV533" s="13" t="s">
        <v>865</v>
      </c>
      <c r="AW533" s="31">
        <v>46070</v>
      </c>
      <c r="AX533" s="13" t="str">
        <f>IF(ISNUMBER(SEARCH("cancel",#REF!)),"Cancelled",IF(AND(AS533&lt;&gt;"",AU533&lt;&gt;"",AW533&lt;&gt;""),"Closed","Open"))</f>
        <v>Closed</v>
      </c>
      <c r="AY533" s="15" t="str">
        <f t="shared" si="25"/>
        <v>All dates received</v>
      </c>
      <c r="BD533" s="13">
        <f>IF($AX533="Cancelled","",IFERROR(IF(OR(AS533="",AJ533=""),"",(AJ533+Variables!$B$18-AS533)),""))</f>
        <v>3</v>
      </c>
      <c r="BE533" s="13">
        <f>IF($AX533="Cancelled","",IFERROR(IF(OR(AW533="",AS533=""),"",(AS533+Variables!$B$19)-AW533),""))</f>
        <v>-4</v>
      </c>
      <c r="BF533" s="44">
        <f>IF($AX533="Cancelled","",IFERROR(W533*INDEX(Variables!$B$7:$D$7,IFERROR(MATCH(IF($B533="Robusta","Robusta",(IF($B533="","Arabica",$B533))&amp;" - "&amp;(IF($C533="","Commercial",$C533))),Variables!$B$1:$D$1,0),1))*(BE533/365),""))</f>
        <v>-104.06089026156985</v>
      </c>
      <c r="BG533" s="44" t="str">
        <f>IF($AX533="Cancelled","",IFERROR((W533*INDEX(Variables!$B$7:$D$7,IFERROR(MATCH(IF($B533="Robusta","Robusta",(IF($B533="","Arabica",$B533))&amp;" - "&amp;(IF($C533="","Commercial",$C533))),Variables!$B$1:$D$1,0),1))*IFERROR(IF(AB533="","",(AVERAGE(E533:F533)-AB533)-Variables!$B$14),"")/365)+(L533/16.67*INDEX(Variables!$B$8:$D$8,IFERROR(MATCH(IF($B533="Robusta","Robusta",(IF($B533="","Arabica",$B533))&amp;" - "&amp;(IF($C533="","Commercial",$C533))),Variables!$B$1:$D$1,0),1))*IFERROR(IF(AB533="","",(AVERAGE(E533:F533)-AB533)-Variables!$B$14),""))+(W533*INDEX(Variables!$B$9:$D$9,IFERROR(MATCH(IF($B533="Robusta","Robusta",(IF($B533="","Arabica",$B533))&amp;" - "&amp;(IF($C533="","Commercial",$C533))),Variables!$B$1:$D$1,0),1))*IFERROR(IF(AB533="","",(AVERAGE(E533:F533)-AB533)-Variables!$B$14),"")/365),""))</f>
        <v/>
      </c>
      <c r="BH533" s="44">
        <f>IF($AX533="Cancelled","",IFERROR((W533*INDEX(Variables!$B$7:$D$7,IFERROR(MATCH(IF($B533="Robusta","Robusta",(IF($B533="","Arabica",$B533))&amp;" - "&amp;(IF($C533="","Commercial",$C533))),Variables!$B$1:$D$1,0),1))*AK533/365)+(L533/16.67*INDEX(Variables!$B$8:$D$8,IFERROR(MATCH(IF($B533="Robusta","Robusta",(IF($B533="","Arabica",$B533))&amp;" - "&amp;(IF($C533="","Commercial",$C533))),Variables!$B$1:$D$1,0),1))*AK533)+(W533*INDEX(Variables!$B$9:$D$9,IFERROR(MATCH(IF($B533="Robusta","Robusta",(IF($B533="","Arabica",$B533))&amp;" - "&amp;(IF($C533="","Commercial",$C533))),Variables!$B$1:$D$1,0),1))*AK533/365),""))</f>
        <v>443.50608990151716</v>
      </c>
      <c r="BI533" s="44">
        <f>IF($AX533="Cancelled","",IFERROR((W533*INDEX(Variables!$B$7:$D$7,IFERROR(MATCH(IF($B533="Robusta","Robusta",(IF($B533="","Arabica",$B533))&amp;" - "&amp;(IF($C533="","Commercial",$C533))),Variables!$B$1:$D$1,0),1))*BD533/365)+(L533/16.67*INDEX(Variables!$B$8:$D$8,IFERROR(MATCH(IF($B533="Robusta","Robusta",(IF($B533="","Arabica",$B533))&amp;" - "&amp;(IF($C533="","Commercial",$C533))),Variables!$B$1:$D$1,0),1))*BD533)+(W533*INDEX(Variables!$B$9:$D$9,IFERROR(MATCH(IF($B533="Robusta","Robusta",(IF($B533="","Arabica",$B533))&amp;" - "&amp;(IF($C533="","Commercial",$C533))),Variables!$B$1:$D$1,0),1))*BD533/365),""))</f>
        <v>133.05182697045515</v>
      </c>
      <c r="BJ533" s="44">
        <f t="shared" si="26"/>
        <v>20</v>
      </c>
      <c r="BK533" s="44">
        <f>IF($AX533="Cancelled","",IFERROR(IF(BJ533="","",(W533*INDEX(Variables!$B$7:$D$7,IFERROR(MATCH(IF($B533="Robusta","Robusta",(IF($B533="","Arabica",$B533))&amp;" - "&amp;(IF($C533="","Commercial",$C533))),Variables!$B$1:$D$1,0),1))*(BJ533/365))+(W533*INDEX(Variables!$B$9:$D$9,IFERROR(MATCH(IF($B533="Robusta","Robusta",(IF($B533="","Arabica",$B533))&amp;" - "&amp;(IF($C533="","Commercial",$C533))),Variables!$B$1:$D$1,0),1))*(BJ533/365))+(INDEX(Variables!$B$8:$D$8,IFERROR(MATCH(IF($B533="Robusta","Robusta",(IF($B533="","Arabica",$B533))&amp;" - "&amp;(IF($C533="","Commercial",$C533))),Variables!$B$1:$D$1,0),1))*L533/16.67)),""))</f>
        <v>545.0121798030342</v>
      </c>
    </row>
    <row r="534" spans="1:63">
      <c r="A534" s="13" t="s">
        <v>103</v>
      </c>
      <c r="B534" s="13" t="s">
        <v>104</v>
      </c>
      <c r="C534" s="13" t="s">
        <v>105</v>
      </c>
      <c r="D534" s="31">
        <v>45986</v>
      </c>
      <c r="E534" s="31">
        <v>46054</v>
      </c>
      <c r="F534" s="31">
        <v>46081</v>
      </c>
      <c r="G534" s="13">
        <v>3787000</v>
      </c>
      <c r="J534" s="13" t="s">
        <v>118</v>
      </c>
      <c r="K534" s="13" t="s">
        <v>1533</v>
      </c>
      <c r="L534" s="13">
        <v>360</v>
      </c>
      <c r="M534" s="13">
        <v>1</v>
      </c>
      <c r="N534" s="13" t="s">
        <v>809</v>
      </c>
      <c r="O534" s="13" t="s">
        <v>120</v>
      </c>
      <c r="P534" s="13">
        <v>10070</v>
      </c>
      <c r="R534" s="13" t="s">
        <v>122</v>
      </c>
      <c r="S534" s="13" t="s">
        <v>167</v>
      </c>
      <c r="T534" s="13" t="s">
        <v>155</v>
      </c>
      <c r="U534" s="13" t="s">
        <v>125</v>
      </c>
      <c r="V534" s="13">
        <v>18.5</v>
      </c>
      <c r="W534" s="44">
        <f>IF($AX534="Cancelled","",IFERROR(((V534+INDEX(Variables!$B$6:$D$6,IFERROR(MATCH(IF($B534="Robusta","Robusta",(IF($B534="","Arabica",$B534))&amp;" - "&amp;(IF($C534="","Commercial",$C534))),Variables!$B$1:$D$1,0),1)))*22.0462)*(L534/16.67),""))</f>
        <v>147258.56494301138</v>
      </c>
      <c r="X534" s="55" t="s">
        <v>37</v>
      </c>
      <c r="Y534" s="13" t="str">
        <f>IF($AX534="Cancelled","",IF(X534="","",IFERROR(IF(INDEX(Variables!$B$38:$B$47,MATCH(X534,Variables!$A$38:$A$47,0))="Yes","Yes","No"),"No")))</f>
        <v>Yes</v>
      </c>
      <c r="Z534" s="58">
        <v>46034</v>
      </c>
      <c r="AC534" s="13" t="str">
        <f t="shared" si="24"/>
        <v/>
      </c>
      <c r="AF534" s="71">
        <v>46044</v>
      </c>
      <c r="AG534" s="37">
        <f>IF($AX534="Cancelled","",IFERROR(IF(F534="","",F534-Variables!$B$13),""))</f>
        <v>46066</v>
      </c>
      <c r="AH534" s="13" t="str">
        <f>IF($AX534="Cancelled","",IFERROR(IF(AB534="","",(AVERAGE(E534:F534)-AB534)-Variables!$B$14),""))</f>
        <v/>
      </c>
      <c r="AJ534" s="47">
        <v>46049</v>
      </c>
      <c r="AK534" s="14">
        <f>IF($AX534="Cancelled","",IFERROR(IF(AJ534="","",IF(AND(AB534="",AF534=""),"",IF(AF534&gt;AB534,AF534+Variables!$B$15+Variables!$B$16+Variables!$B$17-AJ534,AB534+Variables!$B$16+Variables!$B$17-AJ534))),""))</f>
        <v>10</v>
      </c>
      <c r="AL534" s="48" t="s">
        <v>114</v>
      </c>
      <c r="AM534" s="13" t="s">
        <v>141</v>
      </c>
      <c r="AN534" s="13" t="s">
        <v>408</v>
      </c>
      <c r="AP534" s="31">
        <v>46061</v>
      </c>
      <c r="AR534" s="13" t="s">
        <v>1532</v>
      </c>
      <c r="AS534" s="31">
        <v>46060</v>
      </c>
      <c r="AU534" s="31">
        <v>46070</v>
      </c>
      <c r="AV534" s="13" t="s">
        <v>865</v>
      </c>
      <c r="AW534" s="31">
        <v>46070</v>
      </c>
      <c r="AX534" s="13" t="str">
        <f>IF(ISNUMBER(SEARCH("cancel",#REF!)),"Cancelled",IF(AND(AS534&lt;&gt;"",AU534&lt;&gt;"",AW534&lt;&gt;""),"Closed","Open"))</f>
        <v>Closed</v>
      </c>
      <c r="AY534" s="15" t="str">
        <f t="shared" si="25"/>
        <v>All dates received</v>
      </c>
      <c r="BD534" s="13">
        <f>IF($AX534="Cancelled","",IFERROR(IF(OR(AS534="",AJ534=""),"",(AJ534+Variables!$B$18-AS534)),""))</f>
        <v>4</v>
      </c>
      <c r="BE534" s="13">
        <f>IF($AX534="Cancelled","",IFERROR(IF(OR(AW534="",AS534=""),"",(AS534+Variables!$B$19)-AW534),""))</f>
        <v>-5</v>
      </c>
      <c r="BF534" s="44">
        <f>IF($AX534="Cancelled","",IFERROR(W534*INDEX(Variables!$B$7:$D$7,IFERROR(MATCH(IF($B534="Robusta","Robusta",(IF($B534="","Arabica",$B534))&amp;" - "&amp;(IF($C534="","Commercial",$C534))),Variables!$B$1:$D$1,0),1))*(BE534/365),""))</f>
        <v>-130.07611282696232</v>
      </c>
      <c r="BG534" s="44" t="str">
        <f>IF($AX534="Cancelled","",IFERROR((W534*INDEX(Variables!$B$7:$D$7,IFERROR(MATCH(IF($B534="Robusta","Robusta",(IF($B534="","Arabica",$B534))&amp;" - "&amp;(IF($C534="","Commercial",$C534))),Variables!$B$1:$D$1,0),1))*IFERROR(IF(AB534="","",(AVERAGE(E534:F534)-AB534)-Variables!$B$14),"")/365)+(L534/16.67*INDEX(Variables!$B$8:$D$8,IFERROR(MATCH(IF($B534="Robusta","Robusta",(IF($B534="","Arabica",$B534))&amp;" - "&amp;(IF($C534="","Commercial",$C534))),Variables!$B$1:$D$1,0),1))*IFERROR(IF(AB534="","",(AVERAGE(E534:F534)-AB534)-Variables!$B$14),""))+(W534*INDEX(Variables!$B$9:$D$9,IFERROR(MATCH(IF($B534="Robusta","Robusta",(IF($B534="","Arabica",$B534))&amp;" - "&amp;(IF($C534="","Commercial",$C534))),Variables!$B$1:$D$1,0),1))*IFERROR(IF(AB534="","",(AVERAGE(E534:F534)-AB534)-Variables!$B$14),"")/365),""))</f>
        <v/>
      </c>
      <c r="BH534" s="44">
        <f>IF($AX534="Cancelled","",IFERROR((W534*INDEX(Variables!$B$7:$D$7,IFERROR(MATCH(IF($B534="Robusta","Robusta",(IF($B534="","Arabica",$B534))&amp;" - "&amp;(IF($C534="","Commercial",$C534))),Variables!$B$1:$D$1,0),1))*AK534/365)+(L534/16.67*INDEX(Variables!$B$8:$D$8,IFERROR(MATCH(IF($B534="Robusta","Robusta",(IF($B534="","Arabica",$B534))&amp;" - "&amp;(IF($C534="","Commercial",$C534))),Variables!$B$1:$D$1,0),1))*AK534)+(W534*INDEX(Variables!$B$9:$D$9,IFERROR(MATCH(IF($B534="Robusta","Robusta",(IF($B534="","Arabica",$B534))&amp;" - "&amp;(IF($C534="","Commercial",$C534))),Variables!$B$1:$D$1,0),1))*AK534/365),""))</f>
        <v>443.50608990151716</v>
      </c>
      <c r="BI534" s="44">
        <f>IF($AX534="Cancelled","",IFERROR((W534*INDEX(Variables!$B$7:$D$7,IFERROR(MATCH(IF($B534="Robusta","Robusta",(IF($B534="","Arabica",$B534))&amp;" - "&amp;(IF($C534="","Commercial",$C534))),Variables!$B$1:$D$1,0),1))*BD534/365)+(L534/16.67*INDEX(Variables!$B$8:$D$8,IFERROR(MATCH(IF($B534="Robusta","Robusta",(IF($B534="","Arabica",$B534))&amp;" - "&amp;(IF($C534="","Commercial",$C534))),Variables!$B$1:$D$1,0),1))*BD534)+(W534*INDEX(Variables!$B$9:$D$9,IFERROR(MATCH(IF($B534="Robusta","Robusta",(IF($B534="","Arabica",$B534))&amp;" - "&amp;(IF($C534="","Commercial",$C534))),Variables!$B$1:$D$1,0),1))*BD534/365),""))</f>
        <v>177.40243596060685</v>
      </c>
      <c r="BJ534" s="44">
        <f t="shared" si="26"/>
        <v>21</v>
      </c>
      <c r="BK534" s="44">
        <f>IF($AX534="Cancelled","",IFERROR(IF(BJ534="","",(W534*INDEX(Variables!$B$7:$D$7,IFERROR(MATCH(IF($B534="Robusta","Robusta",(IF($B534="","Arabica",$B534))&amp;" - "&amp;(IF($C534="","Commercial",$C534))),Variables!$B$1:$D$1,0),1))*(BJ534/365))+(W534*INDEX(Variables!$B$9:$D$9,IFERROR(MATCH(IF($B534="Robusta","Robusta",(IF($B534="","Arabica",$B534))&amp;" - "&amp;(IF($C534="","Commercial",$C534))),Variables!$B$1:$D$1,0),1))*(BJ534/365))+(INDEX(Variables!$B$8:$D$8,IFERROR(MATCH(IF($B534="Robusta","Robusta",(IF($B534="","Arabica",$B534))&amp;" - "&amp;(IF($C534="","Commercial",$C534))),Variables!$B$1:$D$1,0),1))*L534/16.67)),""))</f>
        <v>571.36278879318593</v>
      </c>
    </row>
    <row r="535" spans="1:63">
      <c r="A535" s="13" t="s">
        <v>103</v>
      </c>
      <c r="B535" s="13" t="s">
        <v>104</v>
      </c>
      <c r="C535" s="13" t="s">
        <v>105</v>
      </c>
      <c r="D535" s="31">
        <v>45986</v>
      </c>
      <c r="E535" s="31">
        <v>45992</v>
      </c>
      <c r="F535" s="31">
        <v>46022</v>
      </c>
      <c r="G535" s="13">
        <v>3787001</v>
      </c>
      <c r="H535" s="13" t="s">
        <v>1534</v>
      </c>
      <c r="J535" s="13" t="s">
        <v>107</v>
      </c>
      <c r="K535" s="13">
        <v>5372</v>
      </c>
      <c r="L535" s="13">
        <v>320</v>
      </c>
      <c r="M535" s="13">
        <v>1</v>
      </c>
      <c r="N535" s="13" t="s">
        <v>1535</v>
      </c>
      <c r="O535" s="13" t="s">
        <v>120</v>
      </c>
      <c r="P535" s="13">
        <v>10070</v>
      </c>
      <c r="R535" s="13" t="s">
        <v>239</v>
      </c>
      <c r="S535" s="13" t="s">
        <v>553</v>
      </c>
      <c r="T535" s="13" t="s">
        <v>112</v>
      </c>
      <c r="U535" s="13" t="s">
        <v>113</v>
      </c>
      <c r="V535" s="13">
        <v>8</v>
      </c>
      <c r="W535" s="44">
        <f>IF($AX535="Cancelled","",IFERROR(((V535+INDEX(Variables!$B$6:$D$6,IFERROR(MATCH(IF($B535="Robusta","Robusta",(IF($B535="","Arabica",$B535))&amp;" - "&amp;(IF($C535="","Commercial",$C535))),Variables!$B$1:$D$1,0),1)))*22.0462)*(L535/16.67),""))</f>
        <v>126452.87697660466</v>
      </c>
      <c r="X535" s="55" t="s">
        <v>37</v>
      </c>
      <c r="Y535" s="13" t="str">
        <f>IF($AX535="Cancelled","",IF(X535="","",IFERROR(IF(INDEX(Variables!$B$38:$B$47,MATCH(X535,Variables!$A$38:$A$47,0))="Yes","Yes","No"),"No")))</f>
        <v>Yes</v>
      </c>
      <c r="Z535" s="58">
        <v>45995</v>
      </c>
      <c r="AB535" s="31">
        <v>45976.875</v>
      </c>
      <c r="AC535" s="13" t="str">
        <f t="shared" si="24"/>
        <v>Approved</v>
      </c>
      <c r="AF535" s="71">
        <v>46010</v>
      </c>
      <c r="AG535" s="37">
        <f>IF($AX535="Cancelled","",IFERROR(IF(F535="","",F535-Variables!$B$13),""))</f>
        <v>46007</v>
      </c>
      <c r="AH535" s="13">
        <f>IF($AX535="Cancelled","",IFERROR(IF(AB535="","",(AVERAGE(E535:F535)-AB535)-Variables!$B$14),""))</f>
        <v>0.125</v>
      </c>
      <c r="AJ535" s="47">
        <v>46010</v>
      </c>
      <c r="AK535" s="14">
        <f>IF($AX535="Cancelled","",IFERROR(IF(AJ535="","",IF(AND(AB535="",AF535=""),"",IF(AF535&gt;AB535,AF535+Variables!$B$15+Variables!$B$16+Variables!$B$17-AJ535,AB535+Variables!$B$16+Variables!$B$17-AJ535))),""))</f>
        <v>15</v>
      </c>
      <c r="AL535" s="48" t="s">
        <v>114</v>
      </c>
      <c r="AM535" s="13" t="s">
        <v>115</v>
      </c>
      <c r="AN535" s="13" t="s">
        <v>517</v>
      </c>
      <c r="AP535" s="31">
        <v>46031</v>
      </c>
      <c r="AR535" s="13">
        <v>263283893</v>
      </c>
      <c r="AS535" s="31">
        <v>46031</v>
      </c>
      <c r="AU535" s="31">
        <v>46042</v>
      </c>
      <c r="AV535" s="13" t="s">
        <v>865</v>
      </c>
      <c r="AW535" s="31">
        <v>46058</v>
      </c>
      <c r="AX535" s="13" t="str">
        <f>IF(ISNUMBER(SEARCH("cancel",#REF!)),"Cancelled",IF(AND(AS535&lt;&gt;"",AU535&lt;&gt;"",AW535&lt;&gt;""),"Closed","Open"))</f>
        <v>Closed</v>
      </c>
      <c r="AY535" s="15" t="str">
        <f t="shared" si="25"/>
        <v>All dates received</v>
      </c>
      <c r="BD535" s="13">
        <f>IF($AX535="Cancelled","",IFERROR(IF(OR(AS535="",AJ535=""),"",(AJ535+Variables!$B$18-AS535)),""))</f>
        <v>-6</v>
      </c>
      <c r="BE535" s="13">
        <f>IF($AX535="Cancelled","",IFERROR(IF(OR(AW535="",AS535=""),"",(AS535+Variables!$B$19)-AW535),""))</f>
        <v>-22</v>
      </c>
      <c r="BF535" s="44">
        <f>IF($AX535="Cancelled","",IFERROR(W535*INDEX(Variables!$B$7:$D$7,IFERROR(MATCH(IF($B535="Robusta","Robusta",(IF($B535="","Arabica",$B535))&amp;" - "&amp;(IF($C535="","Commercial",$C535))),Variables!$B$1:$D$1,0),1))*(BE535/365),""))</f>
        <v>-491.47154378952871</v>
      </c>
      <c r="BG535" s="44">
        <f>IF($AX535="Cancelled","",IFERROR((W535*INDEX(Variables!$B$7:$D$7,IFERROR(MATCH(IF($B535="Robusta","Robusta",(IF($B535="","Arabica",$B535))&amp;" - "&amp;(IF($C535="","Commercial",$C535))),Variables!$B$1:$D$1,0),1))*IFERROR(IF(AB535="","",(AVERAGE(E535:F535)-AB535)-Variables!$B$14),"")/365)+(L535/16.67*INDEX(Variables!$B$8:$D$8,IFERROR(MATCH(IF($B535="Robusta","Robusta",(IF($B535="","Arabica",$B535))&amp;" - "&amp;(IF($C535="","Commercial",$C535))),Variables!$B$1:$D$1,0),1))*IFERROR(IF(AB535="","",(AVERAGE(E535:F535)-AB535)-Variables!$B$14),""))+(W535*INDEX(Variables!$B$9:$D$9,IFERROR(MATCH(IF($B535="Robusta","Robusta",(IF($B535="","Arabica",$B535))&amp;" - "&amp;(IF($C535="","Commercial",$C535))),Variables!$B$1:$D$1,0),1))*IFERROR(IF(AB535="","",(AVERAGE(E535:F535)-AB535)-Variables!$B$14),"")/365),""))</f>
        <v>4.8284520480861195</v>
      </c>
      <c r="BH535" s="44">
        <f>IF($AX535="Cancelled","",IFERROR((W535*INDEX(Variables!$B$7:$D$7,IFERROR(MATCH(IF($B535="Robusta","Robusta",(IF($B535="","Arabica",$B535))&amp;" - "&amp;(IF($C535="","Commercial",$C535))),Variables!$B$1:$D$1,0),1))*AK535/365)+(L535/16.67*INDEX(Variables!$B$8:$D$8,IFERROR(MATCH(IF($B535="Robusta","Robusta",(IF($B535="","Arabica",$B535))&amp;" - "&amp;(IF($C535="","Commercial",$C535))),Variables!$B$1:$D$1,0),1))*AK535)+(W535*INDEX(Variables!$B$9:$D$9,IFERROR(MATCH(IF($B535="Robusta","Robusta",(IF($B535="","Arabica",$B535))&amp;" - "&amp;(IF($C535="","Commercial",$C535))),Variables!$B$1:$D$1,0),1))*AK535/365),""))</f>
        <v>579.41424577033422</v>
      </c>
      <c r="BI535" s="44">
        <f>IF($AX535="Cancelled","",IFERROR((W535*INDEX(Variables!$B$7:$D$7,IFERROR(MATCH(IF($B535="Robusta","Robusta",(IF($B535="","Arabica",$B535))&amp;" - "&amp;(IF($C535="","Commercial",$C535))),Variables!$B$1:$D$1,0),1))*BD535/365)+(L535/16.67*INDEX(Variables!$B$8:$D$8,IFERROR(MATCH(IF($B535="Robusta","Robusta",(IF($B535="","Arabica",$B535))&amp;" - "&amp;(IF($C535="","Commercial",$C535))),Variables!$B$1:$D$1,0),1))*BD535)+(W535*INDEX(Variables!$B$9:$D$9,IFERROR(MATCH(IF($B535="Robusta","Robusta",(IF($B535="","Arabica",$B535))&amp;" - "&amp;(IF($C535="","Commercial",$C535))),Variables!$B$1:$D$1,0),1))*BD535/365),""))</f>
        <v>-231.76569830813375</v>
      </c>
      <c r="BJ535" s="44">
        <f t="shared" si="26"/>
        <v>-9</v>
      </c>
      <c r="BK535" s="44">
        <f>IF($AX535="Cancelled","",IFERROR(IF(BJ535="","",(W535*INDEX(Variables!$B$7:$D$7,IFERROR(MATCH(IF($B535="Robusta","Robusta",(IF($B535="","Arabica",$B535))&amp;" - "&amp;(IF($C535="","Commercial",$C535))),Variables!$B$1:$D$1,0),1))*(BJ535/365))+(W535*INDEX(Variables!$B$9:$D$9,IFERROR(MATCH(IF($B535="Robusta","Robusta",(IF($B535="","Arabica",$B535))&amp;" - "&amp;(IF($C535="","Commercial",$C535))),Variables!$B$1:$D$1,0),1))*(BJ535/365))+(INDEX(Variables!$B$8:$D$8,IFERROR(MATCH(IF($B535="Robusta","Robusta",(IF($B535="","Arabica",$B535))&amp;" - "&amp;(IF($C535="","Commercial",$C535))),Variables!$B$1:$D$1,0),1))*L535/16.67)),""))</f>
        <v>-187.64854746220061</v>
      </c>
    </row>
    <row r="536" spans="1:63">
      <c r="A536" s="13" t="s">
        <v>103</v>
      </c>
      <c r="B536" s="13" t="s">
        <v>104</v>
      </c>
      <c r="C536" s="13" t="s">
        <v>105</v>
      </c>
      <c r="D536" s="31">
        <v>45986</v>
      </c>
      <c r="E536" s="31">
        <v>46023</v>
      </c>
      <c r="F536" s="31">
        <v>46053</v>
      </c>
      <c r="G536" s="13">
        <v>3787002</v>
      </c>
      <c r="H536" s="13">
        <v>95802</v>
      </c>
      <c r="J536" s="13" t="s">
        <v>118</v>
      </c>
      <c r="K536" s="13">
        <v>5383</v>
      </c>
      <c r="L536" s="13">
        <v>1440</v>
      </c>
      <c r="M536" s="13">
        <v>4</v>
      </c>
      <c r="N536" s="13" t="s">
        <v>1460</v>
      </c>
      <c r="O536" s="13" t="s">
        <v>456</v>
      </c>
      <c r="P536" s="13">
        <v>10140</v>
      </c>
      <c r="Q536" s="13" t="s">
        <v>1461</v>
      </c>
      <c r="R536" s="13" t="s">
        <v>122</v>
      </c>
      <c r="S536" s="13" t="s">
        <v>154</v>
      </c>
      <c r="T536" s="13" t="s">
        <v>155</v>
      </c>
      <c r="U536" s="13" t="s">
        <v>125</v>
      </c>
      <c r="V536" s="13">
        <v>-50</v>
      </c>
      <c r="W536" s="44">
        <f>IF($AX536="Cancelled","",IFERROR(((V536+INDEX(Variables!$B$6:$D$6,IFERROR(MATCH(IF($B536="Robusta","Robusta",(IF($B536="","Arabica",$B536))&amp;" - "&amp;(IF($C536="","Commercial",$C536))),Variables!$B$1:$D$1,0),1)))*22.0462)*(L536/16.67),""))</f>
        <v>458582.12011997594</v>
      </c>
      <c r="X536" s="55" t="s">
        <v>37</v>
      </c>
      <c r="Y536" s="13" t="str">
        <f>IF($AX536="Cancelled","",IF(X536="","",IFERROR(IF(INDEX(Variables!$B$38:$B$47,MATCH(X536,Variables!$A$38:$A$47,0))="Yes","Yes","No"),"No")))</f>
        <v>Yes</v>
      </c>
      <c r="Z536" s="58">
        <v>46013</v>
      </c>
      <c r="AC536" s="13" t="str">
        <f t="shared" si="24"/>
        <v/>
      </c>
      <c r="AF536" s="71">
        <v>46036</v>
      </c>
      <c r="AG536" s="37">
        <f>IF($AX536="Cancelled","",IFERROR(IF(F536="","",F536-Variables!$B$13),""))</f>
        <v>46038</v>
      </c>
      <c r="AH536" s="13" t="str">
        <f>IF($AX536="Cancelled","",IFERROR(IF(AB536="","",(AVERAGE(E536:F536)-AB536)-Variables!$B$14),""))</f>
        <v/>
      </c>
      <c r="AJ536" s="47">
        <v>46039</v>
      </c>
      <c r="AK536" s="14">
        <f>IF($AX536="Cancelled","",IFERROR(IF(AJ536="","",IF(AND(AB536="",AF536=""),"",IF(AF536&gt;AB536,AF536+Variables!$B$15+Variables!$B$16+Variables!$B$17-AJ536,AB536+Variables!$B$16+Variables!$B$17-AJ536))),""))</f>
        <v>12</v>
      </c>
      <c r="AL536" s="48" t="s">
        <v>350</v>
      </c>
      <c r="AM536" s="13" t="s">
        <v>168</v>
      </c>
      <c r="AN536" s="13" t="s">
        <v>1496</v>
      </c>
      <c r="AP536" s="31">
        <v>46053</v>
      </c>
      <c r="AR536" s="13">
        <v>265161588</v>
      </c>
      <c r="AS536" s="31" t="s">
        <v>1497</v>
      </c>
      <c r="AU536" s="31">
        <v>46059</v>
      </c>
      <c r="AV536" s="13" t="s">
        <v>865</v>
      </c>
      <c r="AW536" s="31">
        <v>46087</v>
      </c>
      <c r="AX536" s="13" t="str">
        <f>IF(ISNUMBER(SEARCH("cancel",#REF!)),"Cancelled",IF(AND(AS536&lt;&gt;"",AU536&lt;&gt;"",AW536&lt;&gt;""),"Closed","Open"))</f>
        <v>Closed</v>
      </c>
      <c r="AY536" s="15" t="str">
        <f t="shared" si="25"/>
        <v>All dates received</v>
      </c>
      <c r="BD536" s="13" t="str">
        <f>IF($AX536="Cancelled","",IFERROR(IF(OR(AS536="",AJ536=""),"",(AJ536+Variables!$B$18-AS536)),""))</f>
        <v/>
      </c>
      <c r="BE536" s="13" t="str">
        <f>IF($AX536="Cancelled","",IFERROR(IF(OR(AW536="",AS536=""),"",(AS536+Variables!$B$19)-AW536),""))</f>
        <v/>
      </c>
      <c r="BF536" s="44" t="str">
        <f>IF($AX536="Cancelled","",IFERROR(W536*INDEX(Variables!$B$7:$D$7,IFERROR(MATCH(IF($B536="Robusta","Robusta",(IF($B536="","Arabica",$B536))&amp;" - "&amp;(IF($C536="","Commercial",$C536))),Variables!$B$1:$D$1,0),1))*(BE536/365),""))</f>
        <v/>
      </c>
      <c r="BG536" s="44" t="str">
        <f>IF($AX536="Cancelled","",IFERROR((W536*INDEX(Variables!$B$7:$D$7,IFERROR(MATCH(IF($B536="Robusta","Robusta",(IF($B536="","Arabica",$B536))&amp;" - "&amp;(IF($C536="","Commercial",$C536))),Variables!$B$1:$D$1,0),1))*IFERROR(IF(AB536="","",(AVERAGE(E536:F536)-AB536)-Variables!$B$14),"")/365)+(L536/16.67*INDEX(Variables!$B$8:$D$8,IFERROR(MATCH(IF($B536="Robusta","Robusta",(IF($B536="","Arabica",$B536))&amp;" - "&amp;(IF($C536="","Commercial",$C536))),Variables!$B$1:$D$1,0),1))*IFERROR(IF(AB536="","",(AVERAGE(E536:F536)-AB536)-Variables!$B$14),""))+(W536*INDEX(Variables!$B$9:$D$9,IFERROR(MATCH(IF($B536="Robusta","Robusta",(IF($B536="","Arabica",$B536))&amp;" - "&amp;(IF($C536="","Commercial",$C536))),Variables!$B$1:$D$1,0),1))*IFERROR(IF(AB536="","",(AVERAGE(E536:F536)-AB536)-Variables!$B$14),"")/365),""))</f>
        <v/>
      </c>
      <c r="BH536" s="44">
        <f>IF($AX536="Cancelled","",IFERROR((W536*INDEX(Variables!$B$7:$D$7,IFERROR(MATCH(IF($B536="Robusta","Robusta",(IF($B536="","Arabica",$B536))&amp;" - "&amp;(IF($C536="","Commercial",$C536))),Variables!$B$1:$D$1,0),1))*AK536/365)+(L536/16.67*INDEX(Variables!$B$8:$D$8,IFERROR(MATCH(IF($B536="Robusta","Robusta",(IF($B536="","Arabica",$B536))&amp;" - "&amp;(IF($C536="","Commercial",$C536))),Variables!$B$1:$D$1,0),1))*AK536)+(W536*INDEX(Variables!$B$9:$D$9,IFERROR(MATCH(IF($B536="Robusta","Robusta",(IF($B536="","Arabica",$B536))&amp;" - "&amp;(IF($C536="","Commercial",$C536))),Variables!$B$1:$D$1,0),1))*AK536/365),""))</f>
        <v>1848.7102455601989</v>
      </c>
      <c r="BI536" s="44" t="str">
        <f>IF($AX536="Cancelled","",IFERROR((W536*INDEX(Variables!$B$7:$D$7,IFERROR(MATCH(IF($B536="Robusta","Robusta",(IF($B536="","Arabica",$B536))&amp;" - "&amp;(IF($C536="","Commercial",$C536))),Variables!$B$1:$D$1,0),1))*BD536/365)+(L536/16.67*INDEX(Variables!$B$8:$D$8,IFERROR(MATCH(IF($B536="Robusta","Robusta",(IF($B536="","Arabica",$B536))&amp;" - "&amp;(IF($C536="","Commercial",$C536))),Variables!$B$1:$D$1,0),1))*BD536)+(W536*INDEX(Variables!$B$9:$D$9,IFERROR(MATCH(IF($B536="Robusta","Robusta",(IF($B536="","Arabica",$B536))&amp;" - "&amp;(IF($C536="","Commercial",$C536))),Variables!$B$1:$D$1,0),1))*BD536/365),""))</f>
        <v/>
      </c>
      <c r="BJ536" s="44" t="str">
        <f t="shared" si="26"/>
        <v/>
      </c>
      <c r="BK536" s="44" t="str">
        <f>IF($AX536="Cancelled","",IFERROR(IF(BJ536="","",(W536*INDEX(Variables!$B$7:$D$7,IFERROR(MATCH(IF($B536="Robusta","Robusta",(IF($B536="","Arabica",$B536))&amp;" - "&amp;(IF($C536="","Commercial",$C536))),Variables!$B$1:$D$1,0),1))*(BJ536/365))+(W536*INDEX(Variables!$B$9:$D$9,IFERROR(MATCH(IF($B536="Robusta","Robusta",(IF($B536="","Arabica",$B536))&amp;" - "&amp;(IF($C536="","Commercial",$C536))),Variables!$B$1:$D$1,0),1))*(BJ536/365))+(INDEX(Variables!$B$8:$D$8,IFERROR(MATCH(IF($B536="Robusta","Robusta",(IF($B536="","Arabica",$B536))&amp;" - "&amp;(IF($C536="","Commercial",$C536))),Variables!$B$1:$D$1,0),1))*L536/16.67)),""))</f>
        <v/>
      </c>
    </row>
    <row r="537" spans="1:63">
      <c r="A537" s="13" t="s">
        <v>103</v>
      </c>
      <c r="B537" s="13" t="s">
        <v>104</v>
      </c>
      <c r="C537" s="13" t="s">
        <v>105</v>
      </c>
      <c r="D537" s="31">
        <v>45986</v>
      </c>
      <c r="E537" s="31">
        <v>46082</v>
      </c>
      <c r="F537" s="31">
        <v>46112</v>
      </c>
      <c r="G537" s="13">
        <v>3787003</v>
      </c>
      <c r="H537" s="13">
        <v>5405</v>
      </c>
      <c r="J537" s="13" t="s">
        <v>118</v>
      </c>
      <c r="K537" s="13">
        <v>5405</v>
      </c>
      <c r="L537" s="13">
        <v>34</v>
      </c>
      <c r="M537" s="13">
        <v>0</v>
      </c>
      <c r="N537" s="13" t="s">
        <v>1536</v>
      </c>
      <c r="O537" s="13" t="s">
        <v>1372</v>
      </c>
      <c r="P537" s="13">
        <v>10310</v>
      </c>
      <c r="Q537" s="13" t="s">
        <v>121</v>
      </c>
      <c r="R537" s="13" t="s">
        <v>110</v>
      </c>
      <c r="S537" s="13" t="s">
        <v>154</v>
      </c>
      <c r="T537" s="13" t="s">
        <v>155</v>
      </c>
      <c r="U537" s="13" t="s">
        <v>125</v>
      </c>
      <c r="V537" s="13">
        <v>117.3</v>
      </c>
      <c r="W537" s="44">
        <f>IF($AX537="Cancelled","",IFERROR(((V537+INDEX(Variables!$B$6:$D$6,IFERROR(MATCH(IF($B537="Robusta","Robusta",(IF($B537="","Arabica",$B537))&amp;" - "&amp;(IF($C537="","Commercial",$C537))),Variables!$B$1:$D$1,0),1)))*22.0462)*(L537/16.67),""))</f>
        <v>18350.320544691062</v>
      </c>
      <c r="X537" s="55" t="s">
        <v>37</v>
      </c>
      <c r="Y537" s="13" t="str">
        <f>IF($AX537="Cancelled","",IF(X537="","",IFERROR(IF(INDEX(Variables!$B$38:$B$47,MATCH(X537,Variables!$A$38:$A$47,0))="Yes","Yes","No"),"No")))</f>
        <v>Yes</v>
      </c>
      <c r="Z537" s="58">
        <v>46051</v>
      </c>
      <c r="AB537" s="31">
        <v>46065</v>
      </c>
      <c r="AC537" s="13" t="str">
        <f t="shared" si="24"/>
        <v>Approved</v>
      </c>
      <c r="AF537" s="71">
        <v>46071</v>
      </c>
      <c r="AG537" s="37">
        <f>IF($AX537="Cancelled","",IFERROR(IF(F537="","",F537-Variables!$B$13),""))</f>
        <v>46097</v>
      </c>
      <c r="AH537" s="13">
        <f>IF($AX537="Cancelled","",IFERROR(IF(AB537="","",(AVERAGE(E537:F537)-AB537)-Variables!$B$14),""))</f>
        <v>2</v>
      </c>
      <c r="AJ537" s="47">
        <v>46081</v>
      </c>
      <c r="AK537" s="14">
        <f>IF($AX537="Cancelled","",IFERROR(IF(AJ537="","",IF(AND(AB537="",AF537=""),"",IF(AF537&gt;AB537,AF537+Variables!$B$15+Variables!$B$16+Variables!$B$17-AJ537,AB537+Variables!$B$16+Variables!$B$17-AJ537))),""))</f>
        <v>5</v>
      </c>
      <c r="AL537" s="48" t="s">
        <v>114</v>
      </c>
      <c r="AM537" s="13" t="s">
        <v>115</v>
      </c>
      <c r="AN537" s="13" t="s">
        <v>1537</v>
      </c>
      <c r="AP537" s="31">
        <v>46095</v>
      </c>
      <c r="AR537" s="13">
        <v>266588433</v>
      </c>
      <c r="AS537" s="31">
        <v>46095</v>
      </c>
      <c r="AU537" s="31">
        <v>46134</v>
      </c>
      <c r="AV537" s="13" t="s">
        <v>865</v>
      </c>
      <c r="AW537" s="31">
        <v>46134</v>
      </c>
      <c r="AX537" s="13" t="str">
        <f>IF(ISNUMBER(SEARCH("cancel",#REF!)),"Cancelled",IF(AND(AS537&lt;&gt;"",AU537&lt;&gt;"",AW537&lt;&gt;""),"Closed","Open"))</f>
        <v>Closed</v>
      </c>
      <c r="AY537" s="15" t="str">
        <f t="shared" si="25"/>
        <v>All dates received</v>
      </c>
      <c r="BD537" s="13">
        <f>IF($AX537="Cancelled","",IFERROR(IF(OR(AS537="",AJ537=""),"",(AJ537+Variables!$B$18-AS537)),""))</f>
        <v>1</v>
      </c>
      <c r="BE537" s="13">
        <f>IF($AX537="Cancelled","",IFERROR(IF(OR(AW537="",AS537=""),"",(AS537+Variables!$B$19)-AW537),""))</f>
        <v>-34</v>
      </c>
      <c r="BF537" s="44">
        <f>IF($AX537="Cancelled","",IFERROR(W537*INDEX(Variables!$B$7:$D$7,IFERROR(MATCH(IF($B537="Robusta","Robusta",(IF($B537="","Arabica",$B537))&amp;" - "&amp;(IF($C537="","Commercial",$C537))),Variables!$B$1:$D$1,0),1))*(BE537/365),""))</f>
        <v>-110.22232148085988</v>
      </c>
      <c r="BG537" s="44">
        <f>IF($AX537="Cancelled","",IFERROR((W537*INDEX(Variables!$B$7:$D$7,IFERROR(MATCH(IF($B537="Robusta","Robusta",(IF($B537="","Arabica",$B537))&amp;" - "&amp;(IF($C537="","Commercial",$C537))),Variables!$B$1:$D$1,0),1))*IFERROR(IF(AB537="","",(AVERAGE(E537:F537)-AB537)-Variables!$B$14),"")/365)+(L537/16.67*INDEX(Variables!$B$8:$D$8,IFERROR(MATCH(IF($B537="Robusta","Robusta",(IF($B537="","Arabica",$B537))&amp;" - "&amp;(IF($C537="","Commercial",$C537))),Variables!$B$1:$D$1,0),1))*IFERROR(IF(AB537="","",(AVERAGE(E537:F537)-AB537)-Variables!$B$14),""))+(W537*INDEX(Variables!$B$9:$D$9,IFERROR(MATCH(IF($B537="Robusta","Robusta",(IF($B537="","Arabica",$B537))&amp;" - "&amp;(IF($C537="","Commercial",$C537))),Variables!$B$1:$D$1,0),1))*IFERROR(IF(AB537="","",(AVERAGE(E537:F537)-AB537)-Variables!$B$14),"")/365),""))</f>
        <v>9.9672529364146829</v>
      </c>
      <c r="BH537" s="44">
        <f>IF($AX537="Cancelled","",IFERROR((W537*INDEX(Variables!$B$7:$D$7,IFERROR(MATCH(IF($B537="Robusta","Robusta",(IF($B537="","Arabica",$B537))&amp;" - "&amp;(IF($C537="","Commercial",$C537))),Variables!$B$1:$D$1,0),1))*AK537/365)+(L537/16.67*INDEX(Variables!$B$8:$D$8,IFERROR(MATCH(IF($B537="Robusta","Robusta",(IF($B537="","Arabica",$B537))&amp;" - "&amp;(IF($C537="","Commercial",$C537))),Variables!$B$1:$D$1,0),1))*AK537)+(W537*INDEX(Variables!$B$9:$D$9,IFERROR(MATCH(IF($B537="Robusta","Robusta",(IF($B537="","Arabica",$B537))&amp;" - "&amp;(IF($C537="","Commercial",$C537))),Variables!$B$1:$D$1,0),1))*AK537/365),""))</f>
        <v>24.918132341036706</v>
      </c>
      <c r="BI537" s="44">
        <f>IF($AX537="Cancelled","",IFERROR((W537*INDEX(Variables!$B$7:$D$7,IFERROR(MATCH(IF($B537="Robusta","Robusta",(IF($B537="","Arabica",$B537))&amp;" - "&amp;(IF($C537="","Commercial",$C537))),Variables!$B$1:$D$1,0),1))*BD537/365)+(L537/16.67*INDEX(Variables!$B$8:$D$8,IFERROR(MATCH(IF($B537="Robusta","Robusta",(IF($B537="","Arabica",$B537))&amp;" - "&amp;(IF($C537="","Commercial",$C537))),Variables!$B$1:$D$1,0),1))*BD537)+(W537*INDEX(Variables!$B$9:$D$9,IFERROR(MATCH(IF($B537="Robusta","Robusta",(IF($B537="","Arabica",$B537))&amp;" - "&amp;(IF($C537="","Commercial",$C537))),Variables!$B$1:$D$1,0),1))*BD537/365),""))</f>
        <v>4.9836264682073415</v>
      </c>
      <c r="BJ537" s="44">
        <f t="shared" si="26"/>
        <v>17</v>
      </c>
      <c r="BK537" s="44">
        <f>IF($AX537="Cancelled","",IFERROR(IF(BJ537="","",(W537*INDEX(Variables!$B$7:$D$7,IFERROR(MATCH(IF($B537="Robusta","Robusta",(IF($B537="","Arabica",$B537))&amp;" - "&amp;(IF($C537="","Commercial",$C537))),Variables!$B$1:$D$1,0),1))*(BJ537/365))+(W537*INDEX(Variables!$B$9:$D$9,IFERROR(MATCH(IF($B537="Robusta","Robusta",(IF($B537="","Arabica",$B537))&amp;" - "&amp;(IF($C537="","Commercial",$C537))),Variables!$B$1:$D$1,0),1))*(BJ537/365))+(INDEX(Variables!$B$8:$D$8,IFERROR(MATCH(IF($B537="Robusta","Robusta",(IF($B537="","Arabica",$B537))&amp;" - "&amp;(IF($C537="","Commercial",$C537))),Variables!$B$1:$D$1,0),1))*L537/16.67)),""))</f>
        <v>57.521649959524815</v>
      </c>
    </row>
    <row r="538" spans="1:63">
      <c r="A538" s="13" t="s">
        <v>103</v>
      </c>
      <c r="B538" s="13" t="s">
        <v>104</v>
      </c>
      <c r="C538" s="13" t="s">
        <v>105</v>
      </c>
      <c r="D538" s="31">
        <v>45986</v>
      </c>
      <c r="E538" s="31">
        <v>46082</v>
      </c>
      <c r="F538" s="31">
        <v>46112</v>
      </c>
      <c r="G538" s="13">
        <v>3787003</v>
      </c>
      <c r="H538" s="13" t="s">
        <v>1538</v>
      </c>
      <c r="J538" s="13" t="s">
        <v>118</v>
      </c>
      <c r="K538" s="13" t="s">
        <v>1538</v>
      </c>
      <c r="L538" s="13">
        <v>168</v>
      </c>
      <c r="M538" s="13">
        <v>1</v>
      </c>
      <c r="N538" s="13" t="s">
        <v>1536</v>
      </c>
      <c r="O538" s="13" t="s">
        <v>1372</v>
      </c>
      <c r="P538" s="13">
        <v>10310</v>
      </c>
      <c r="Q538" s="13" t="s">
        <v>121</v>
      </c>
      <c r="R538" s="13" t="s">
        <v>110</v>
      </c>
      <c r="S538" s="13" t="s">
        <v>154</v>
      </c>
      <c r="T538" s="13" t="s">
        <v>155</v>
      </c>
      <c r="U538" s="13" t="s">
        <v>125</v>
      </c>
      <c r="V538" s="13">
        <v>117.3</v>
      </c>
      <c r="W538" s="44">
        <f>IF($AX538="Cancelled","",IFERROR(((V538+INDEX(Variables!$B$6:$D$6,IFERROR(MATCH(IF($B538="Robusta","Robusta",(IF($B538="","Arabica",$B538))&amp;" - "&amp;(IF($C538="","Commercial",$C538))),Variables!$B$1:$D$1,0),1)))*22.0462)*(L538/16.67),""))</f>
        <v>90672.172103179357</v>
      </c>
      <c r="X538" s="55" t="s">
        <v>37</v>
      </c>
      <c r="Y538" s="13" t="str">
        <f>IF($AX538="Cancelled","",IF(X538="","",IFERROR(IF(INDEX(Variables!$B$38:$B$47,MATCH(X538,Variables!$A$38:$A$47,0))="Yes","Yes","No"),"No")))</f>
        <v>Yes</v>
      </c>
      <c r="Z538" s="58">
        <v>46051</v>
      </c>
      <c r="AB538" s="31">
        <v>46065</v>
      </c>
      <c r="AC538" s="13" t="str">
        <f t="shared" si="24"/>
        <v>Approved</v>
      </c>
      <c r="AF538" s="71">
        <v>46071</v>
      </c>
      <c r="AG538" s="37">
        <f>IF($AX538="Cancelled","",IFERROR(IF(F538="","",F538-Variables!$B$13),""))</f>
        <v>46097</v>
      </c>
      <c r="AH538" s="13">
        <f>IF($AX538="Cancelled","",IFERROR(IF(AB538="","",(AVERAGE(E538:F538)-AB538)-Variables!$B$14),""))</f>
        <v>2</v>
      </c>
      <c r="AJ538" s="47">
        <v>46100</v>
      </c>
      <c r="AK538" s="14">
        <f>IF($AX538="Cancelled","",IFERROR(IF(AJ538="","",IF(AND(AB538="",AF538=""),"",IF(AF538&gt;AB538,AF538+Variables!$B$15+Variables!$B$16+Variables!$B$17-AJ538,AB538+Variables!$B$16+Variables!$B$17-AJ538))),""))</f>
        <v>-14</v>
      </c>
      <c r="AL538" s="48" t="s">
        <v>114</v>
      </c>
      <c r="AM538" s="13" t="s">
        <v>115</v>
      </c>
      <c r="AN538" s="13" t="s">
        <v>1537</v>
      </c>
      <c r="AP538" s="31">
        <v>46095</v>
      </c>
      <c r="AR538" s="13">
        <v>266588433</v>
      </c>
      <c r="AS538" s="31">
        <v>46095</v>
      </c>
      <c r="AU538" s="31">
        <v>46134</v>
      </c>
      <c r="AV538" s="13" t="s">
        <v>865</v>
      </c>
      <c r="AW538" s="31">
        <v>46134</v>
      </c>
      <c r="AX538" s="13" t="str">
        <f>IF(ISNUMBER(SEARCH("cancel",#REF!)),"Cancelled",IF(AND(AS538&lt;&gt;"",AU538&lt;&gt;"",AW538&lt;&gt;""),"Closed","Open"))</f>
        <v>Closed</v>
      </c>
      <c r="AY538" s="15" t="str">
        <f t="shared" si="25"/>
        <v>All dates received</v>
      </c>
      <c r="BD538" s="13">
        <f>IF($AX538="Cancelled","",IFERROR(IF(OR(AS538="",AJ538=""),"",(AJ538+Variables!$B$18-AS538)),""))</f>
        <v>20</v>
      </c>
      <c r="BE538" s="13">
        <f>IF($AX538="Cancelled","",IFERROR(IF(OR(AW538="",AS538=""),"",(AS538+Variables!$B$19)-AW538),""))</f>
        <v>-34</v>
      </c>
      <c r="BF538" s="44">
        <f>IF($AX538="Cancelled","",IFERROR(W538*INDEX(Variables!$B$7:$D$7,IFERROR(MATCH(IF($B538="Robusta","Robusta",(IF($B538="","Arabica",$B538))&amp;" - "&amp;(IF($C538="","Commercial",$C538))),Variables!$B$1:$D$1,0),1))*(BE538/365),""))</f>
        <v>-544.627941434837</v>
      </c>
      <c r="BG538" s="44">
        <f>IF($AX538="Cancelled","",IFERROR((W538*INDEX(Variables!$B$7:$D$7,IFERROR(MATCH(IF($B538="Robusta","Robusta",(IF($B538="","Arabica",$B538))&amp;" - "&amp;(IF($C538="","Commercial",$C538))),Variables!$B$1:$D$1,0),1))*IFERROR(IF(AB538="","",(AVERAGE(E538:F538)-AB538)-Variables!$B$14),"")/365)+(L538/16.67*INDEX(Variables!$B$8:$D$8,IFERROR(MATCH(IF($B538="Robusta","Robusta",(IF($B538="","Arabica",$B538))&amp;" - "&amp;(IF($C538="","Commercial",$C538))),Variables!$B$1:$D$1,0),1))*IFERROR(IF(AB538="","",(AVERAGE(E538:F538)-AB538)-Variables!$B$14),""))+(W538*INDEX(Variables!$B$9:$D$9,IFERROR(MATCH(IF($B538="Robusta","Robusta",(IF($B538="","Arabica",$B538))&amp;" - "&amp;(IF($C538="","Commercial",$C538))),Variables!$B$1:$D$1,0),1))*IFERROR(IF(AB538="","",(AVERAGE(E538:F538)-AB538)-Variables!$B$14),"")/365),""))</f>
        <v>49.249955685813738</v>
      </c>
      <c r="BH538" s="44">
        <f>IF($AX538="Cancelled","",IFERROR((W538*INDEX(Variables!$B$7:$D$7,IFERROR(MATCH(IF($B538="Robusta","Robusta",(IF($B538="","Arabica",$B538))&amp;" - "&amp;(IF($C538="","Commercial",$C538))),Variables!$B$1:$D$1,0),1))*AK538/365)+(L538/16.67*INDEX(Variables!$B$8:$D$8,IFERROR(MATCH(IF($B538="Robusta","Robusta",(IF($B538="","Arabica",$B538))&amp;" - "&amp;(IF($C538="","Commercial",$C538))),Variables!$B$1:$D$1,0),1))*AK538)+(W538*INDEX(Variables!$B$9:$D$9,IFERROR(MATCH(IF($B538="Robusta","Robusta",(IF($B538="","Arabica",$B538))&amp;" - "&amp;(IF($C538="","Commercial",$C538))),Variables!$B$1:$D$1,0),1))*AK538/365),""))</f>
        <v>-344.7496898006961</v>
      </c>
      <c r="BI538" s="44">
        <f>IF($AX538="Cancelled","",IFERROR((W538*INDEX(Variables!$B$7:$D$7,IFERROR(MATCH(IF($B538="Robusta","Robusta",(IF($B538="","Arabica",$B538))&amp;" - "&amp;(IF($C538="","Commercial",$C538))),Variables!$B$1:$D$1,0),1))*BD538/365)+(L538/16.67*INDEX(Variables!$B$8:$D$8,IFERROR(MATCH(IF($B538="Robusta","Robusta",(IF($B538="","Arabica",$B538))&amp;" - "&amp;(IF($C538="","Commercial",$C538))),Variables!$B$1:$D$1,0),1))*BD538)+(W538*INDEX(Variables!$B$9:$D$9,IFERROR(MATCH(IF($B538="Robusta","Robusta",(IF($B538="","Arabica",$B538))&amp;" - "&amp;(IF($C538="","Commercial",$C538))),Variables!$B$1:$D$1,0),1))*BD538/365),""))</f>
        <v>492.49955685813728</v>
      </c>
      <c r="BJ538" s="44">
        <f t="shared" si="26"/>
        <v>17</v>
      </c>
      <c r="BK538" s="44">
        <f>IF($AX538="Cancelled","",IFERROR(IF(BJ538="","",(W538*INDEX(Variables!$B$7:$D$7,IFERROR(MATCH(IF($B538="Robusta","Robusta",(IF($B538="","Arabica",$B538))&amp;" - "&amp;(IF($C538="","Commercial",$C538))),Variables!$B$1:$D$1,0),1))*(BJ538/365))+(W538*INDEX(Variables!$B$9:$D$9,IFERROR(MATCH(IF($B538="Robusta","Robusta",(IF($B538="","Arabica",$B538))&amp;" - "&amp;(IF($C538="","Commercial",$C538))),Variables!$B$1:$D$1,0),1))*(BJ538/365))+(INDEX(Variables!$B$8:$D$8,IFERROR(MATCH(IF($B538="Robusta","Robusta",(IF($B538="","Arabica",$B538))&amp;" - "&amp;(IF($C538="","Commercial",$C538))),Variables!$B$1:$D$1,0),1))*L538/16.67)),""))</f>
        <v>284.22462332941666</v>
      </c>
    </row>
    <row r="539" spans="1:63">
      <c r="A539" s="13" t="s">
        <v>103</v>
      </c>
      <c r="B539" s="13" t="s">
        <v>104</v>
      </c>
      <c r="C539" s="13" t="s">
        <v>292</v>
      </c>
      <c r="D539" s="31">
        <v>45987</v>
      </c>
      <c r="E539" s="31">
        <v>46082</v>
      </c>
      <c r="F539" s="31">
        <v>46112</v>
      </c>
      <c r="G539" s="13">
        <v>3787004</v>
      </c>
      <c r="J539" s="13" t="s">
        <v>506</v>
      </c>
      <c r="K539" s="13" t="s">
        <v>1539</v>
      </c>
      <c r="L539" s="13">
        <v>16</v>
      </c>
      <c r="M539" s="13">
        <v>1</v>
      </c>
      <c r="N539" s="13" t="s">
        <v>1540</v>
      </c>
      <c r="O539" s="13" t="s">
        <v>771</v>
      </c>
      <c r="P539" s="13">
        <v>10010</v>
      </c>
      <c r="R539" s="13" t="s">
        <v>384</v>
      </c>
      <c r="S539" s="13" t="s">
        <v>509</v>
      </c>
      <c r="T539" s="13" t="s">
        <v>329</v>
      </c>
      <c r="U539" s="13" t="s">
        <v>330</v>
      </c>
      <c r="V539" s="13">
        <v>193</v>
      </c>
      <c r="W539" s="44">
        <f>IF($AX539="Cancelled","",IFERROR(((V539+INDEX(Variables!$B$6:$D$6,IFERROR(MATCH(IF($B539="Robusta","Robusta",(IF($B539="","Arabica",$B539))&amp;" - "&amp;(IF($C539="","Commercial",$C539))),Variables!$B$1:$D$1,0),1)))*22.0462)*(L539/16.67),""))</f>
        <v>10237.266044391121</v>
      </c>
      <c r="X539" s="55" t="s">
        <v>39</v>
      </c>
      <c r="Y539" s="13" t="str">
        <f>IF($AX539="Cancelled","",IF(X539="","",IFERROR(IF(INDEX(Variables!$B$38:$B$47,MATCH(X539,Variables!$A$38:$A$47,0))="Yes","Yes","No"),"No")))</f>
        <v>No</v>
      </c>
      <c r="Z539" s="31"/>
      <c r="AC539" s="13" t="str">
        <f t="shared" si="24"/>
        <v/>
      </c>
      <c r="AF539" s="71">
        <v>46098</v>
      </c>
      <c r="AG539" s="31">
        <f>IF($AX539="Cancelled","",IFERROR(IF(F539="","",F539-Variables!$B$13),""))</f>
        <v>46097</v>
      </c>
      <c r="AH539" s="13" t="str">
        <f>IF($AX539="Cancelled","",IFERROR(IF(AB539="","",(AVERAGE(E539:F539)-AB539)-Variables!$B$14),""))</f>
        <v/>
      </c>
      <c r="AJ539" s="47">
        <v>46120</v>
      </c>
      <c r="AK539" s="14">
        <f>IF($AX539="Cancelled","",IFERROR(IF(AJ539="","",IF(AND(AB539="",AF539=""),"",IF(AF539&gt;AB539,AF539+Variables!$B$15+Variables!$B$16+Variables!$B$17-AJ539,AB539+Variables!$B$16+Variables!$B$17-AJ539))),""))</f>
        <v>-7</v>
      </c>
      <c r="AL539" s="48" t="s">
        <v>114</v>
      </c>
      <c r="AM539" s="13" t="s">
        <v>115</v>
      </c>
      <c r="AN539" s="13" t="s">
        <v>1541</v>
      </c>
      <c r="AP539" s="31" t="e">
        <v>#N/A</v>
      </c>
      <c r="AR539" s="13">
        <v>267559943</v>
      </c>
      <c r="AS539" s="31">
        <v>46095</v>
      </c>
      <c r="AU539" s="31">
        <v>46147</v>
      </c>
      <c r="AV539" s="13" t="s">
        <v>865</v>
      </c>
      <c r="AW539" s="31">
        <v>46162</v>
      </c>
      <c r="AX539" s="13" t="str">
        <f>IF(ISNUMBER(SEARCH("cancel",#REF!)),"Cancelled",IF(AND(AS539&lt;&gt;"",AU539&lt;&gt;"",AW539&lt;&gt;""),"Closed","Open"))</f>
        <v>Closed</v>
      </c>
      <c r="AY539" s="15" t="str">
        <f t="shared" si="25"/>
        <v>All dates received</v>
      </c>
      <c r="BD539" s="13">
        <f>IF($AX539="Cancelled","",IFERROR(IF(OR(AS539="",AJ539=""),"",(AJ539+Variables!$B$18-AS539)),""))</f>
        <v>40</v>
      </c>
      <c r="BE539" s="13">
        <f>IF($AX539="Cancelled","",IFERROR(IF(OR(AW539="",AS539=""),"",(AS539+Variables!$B$19)-AW539),""))</f>
        <v>-62</v>
      </c>
      <c r="BF539" s="44">
        <f>IF($AX539="Cancelled","",IFERROR(W539*INDEX(Variables!$B$7:$D$7,IFERROR(MATCH(IF($B539="Robusta","Robusta",(IF($B539="","Arabica",$B539))&amp;" - "&amp;(IF($C539="","Commercial",$C539))),Variables!$B$1:$D$1,0),1))*(BE539/365),""))</f>
        <v>-112.13021661565342</v>
      </c>
      <c r="BG539" s="44" t="str">
        <f>IF($AX539="Cancelled","",IFERROR((W539*INDEX(Variables!$B$7:$D$7,IFERROR(MATCH(IF($B539="Robusta","Robusta",(IF($B539="","Arabica",$B539))&amp;" - "&amp;(IF($C539="","Commercial",$C539))),Variables!$B$1:$D$1,0),1))*IFERROR(IF(AB539="","",(AVERAGE(E539:F539)-AB539)-Variables!$B$14),"")/365)+(L539/16.67*INDEX(Variables!$B$8:$D$8,IFERROR(MATCH(IF($B539="Robusta","Robusta",(IF($B539="","Arabica",$B539))&amp;" - "&amp;(IF($C539="","Commercial",$C539))),Variables!$B$1:$D$1,0),1))*IFERROR(IF(AB539="","",(AVERAGE(E539:F539)-AB539)-Variables!$B$14),""))+(W539*INDEX(Variables!$B$9:$D$9,IFERROR(MATCH(IF($B539="Robusta","Robusta",(IF($B539="","Arabica",$B539))&amp;" - "&amp;(IF($C539="","Commercial",$C539))),Variables!$B$1:$D$1,0),1))*IFERROR(IF(AB539="","",(AVERAGE(E539:F539)-AB539)-Variables!$B$14),"")/365),""))</f>
        <v/>
      </c>
      <c r="BH539" s="44">
        <f>IF($AX539="Cancelled","",IFERROR((W539*INDEX(Variables!$B$7:$D$7,IFERROR(MATCH(IF($B539="Robusta","Robusta",(IF($B539="","Arabica",$B539))&amp;" - "&amp;(IF($C539="","Commercial",$C539))),Variables!$B$1:$D$1,0),1))*AK539/365)+(L539/16.67*INDEX(Variables!$B$8:$D$8,IFERROR(MATCH(IF($B539="Robusta","Robusta",(IF($B539="","Arabica",$B539))&amp;" - "&amp;(IF($C539="","Commercial",$C539))),Variables!$B$1:$D$1,0),1))*AK539)+(W539*INDEX(Variables!$B$9:$D$9,IFERROR(MATCH(IF($B539="Robusta","Robusta",(IF($B539="","Arabica",$B539))&amp;" - "&amp;(IF($C539="","Commercial",$C539))),Variables!$B$1:$D$1,0),1))*AK539/365),""))</f>
        <v>-18.423073234335277</v>
      </c>
      <c r="BI539" s="44">
        <f>IF($AX539="Cancelled","",IFERROR((W539*INDEX(Variables!$B$7:$D$7,IFERROR(MATCH(IF($B539="Robusta","Robusta",(IF($B539="","Arabica",$B539))&amp;" - "&amp;(IF($C539="","Commercial",$C539))),Variables!$B$1:$D$1,0),1))*BD539/365)+(L539/16.67*INDEX(Variables!$B$8:$D$8,IFERROR(MATCH(IF($B539="Robusta","Robusta",(IF($B539="","Arabica",$B539))&amp;" - "&amp;(IF($C539="","Commercial",$C539))),Variables!$B$1:$D$1,0),1))*BD539)+(W539*INDEX(Variables!$B$9:$D$9,IFERROR(MATCH(IF($B539="Robusta","Robusta",(IF($B539="","Arabica",$B539))&amp;" - "&amp;(IF($C539="","Commercial",$C539))),Variables!$B$1:$D$1,0),1))*BD539/365),""))</f>
        <v>105.27470419620158</v>
      </c>
      <c r="BJ539" s="44">
        <f t="shared" si="26"/>
        <v>17</v>
      </c>
      <c r="BK539" s="44">
        <f>IF($AX539="Cancelled","",IFERROR(IF(BJ539="","",(W539*INDEX(Variables!$B$7:$D$7,IFERROR(MATCH(IF($B539="Robusta","Robusta",(IF($B539="","Arabica",$B539))&amp;" - "&amp;(IF($C539="","Commercial",$C539))),Variables!$B$1:$D$1,0),1))*(BJ539/365))+(W539*INDEX(Variables!$B$9:$D$9,IFERROR(MATCH(IF($B539="Robusta","Robusta",(IF($B539="","Arabica",$B539))&amp;" - "&amp;(IF($C539="","Commercial",$C539))),Variables!$B$1:$D$1,0),1))*(BJ539/365))+(INDEX(Variables!$B$8:$D$8,IFERROR(MATCH(IF($B539="Robusta","Robusta",(IF($B539="","Arabica",$B539))&amp;" - "&amp;(IF($C539="","Commercial",$C539))),Variables!$B$1:$D$1,0),1))*L539/16.67)),""))</f>
        <v>31.941749283385679</v>
      </c>
    </row>
    <row r="540" spans="1:63">
      <c r="A540" s="13" t="s">
        <v>103</v>
      </c>
      <c r="B540" s="13" t="s">
        <v>104</v>
      </c>
      <c r="C540" s="13" t="s">
        <v>292</v>
      </c>
      <c r="D540" s="31">
        <v>45987</v>
      </c>
      <c r="E540" s="31">
        <v>46082</v>
      </c>
      <c r="F540" s="31">
        <v>46112</v>
      </c>
      <c r="G540" s="13">
        <v>3787005</v>
      </c>
      <c r="J540" s="13" t="s">
        <v>506</v>
      </c>
      <c r="K540" s="13" t="s">
        <v>1542</v>
      </c>
      <c r="L540" s="13">
        <v>16</v>
      </c>
      <c r="M540" s="13">
        <v>0</v>
      </c>
      <c r="N540" s="13" t="s">
        <v>1543</v>
      </c>
      <c r="O540" s="13" t="s">
        <v>771</v>
      </c>
      <c r="P540" s="13">
        <v>10010</v>
      </c>
      <c r="R540" s="13" t="s">
        <v>384</v>
      </c>
      <c r="S540" s="13" t="s">
        <v>509</v>
      </c>
      <c r="T540" s="13" t="s">
        <v>329</v>
      </c>
      <c r="U540" s="13" t="s">
        <v>330</v>
      </c>
      <c r="V540" s="13">
        <v>138</v>
      </c>
      <c r="W540" s="44">
        <f>IF($AX540="Cancelled","",IFERROR(((V540+INDEX(Variables!$B$6:$D$6,IFERROR(MATCH(IF($B540="Robusta","Robusta",(IF($B540="","Arabica",$B540))&amp;" - "&amp;(IF($C540="","Commercial",$C540))),Variables!$B$1:$D$1,0),1)))*22.0462)*(L540/16.67),""))</f>
        <v>9073.4594457108578</v>
      </c>
      <c r="X540" s="55" t="s">
        <v>39</v>
      </c>
      <c r="Y540" s="13" t="str">
        <f>IF($AX540="Cancelled","",IF(X540="","",IFERROR(IF(INDEX(Variables!$B$38:$B$47,MATCH(X540,Variables!$A$38:$A$47,0))="Yes","Yes","No"),"No")))</f>
        <v>No</v>
      </c>
      <c r="Z540" s="31"/>
      <c r="AC540" s="13" t="str">
        <f t="shared" si="24"/>
        <v/>
      </c>
      <c r="AF540" s="71">
        <v>46105</v>
      </c>
      <c r="AG540" s="36">
        <f>IF($AX540="Cancelled","",IFERROR(IF(F540="","",F540-Variables!$B$13),""))</f>
        <v>46097</v>
      </c>
      <c r="AH540" s="13" t="str">
        <f>IF($AX540="Cancelled","",IFERROR(IF(AB540="","",(AVERAGE(E540:F540)-AB540)-Variables!$B$14),""))</f>
        <v/>
      </c>
      <c r="AJ540" s="47">
        <v>46120</v>
      </c>
      <c r="AK540" s="14">
        <f>IF($AX540="Cancelled","",IFERROR(IF(AJ540="","",IF(AND(AB540="",AF540=""),"",IF(AF540&gt;AB540,AF540+Variables!$B$15+Variables!$B$16+Variables!$B$17-AJ540,AB540+Variables!$B$16+Variables!$B$17-AJ540))),""))</f>
        <v>0</v>
      </c>
      <c r="AL540" s="48" t="s">
        <v>114</v>
      </c>
      <c r="AM540" s="13" t="s">
        <v>115</v>
      </c>
      <c r="AN540" s="13" t="s">
        <v>1541</v>
      </c>
      <c r="AP540" s="31" t="e">
        <v>#N/A</v>
      </c>
      <c r="AR540" s="13">
        <v>267559943</v>
      </c>
      <c r="AS540" s="31">
        <v>46095</v>
      </c>
      <c r="AU540" s="31">
        <v>46147</v>
      </c>
      <c r="AV540" s="13" t="s">
        <v>865</v>
      </c>
      <c r="AW540" s="31">
        <v>46162</v>
      </c>
      <c r="AX540" s="13" t="str">
        <f>IF(ISNUMBER(SEARCH("cancel",#REF!)),"Cancelled",IF(AND(AS540&lt;&gt;"",AU540&lt;&gt;"",AW540&lt;&gt;""),"Closed","Open"))</f>
        <v>Closed</v>
      </c>
      <c r="AY540" s="15" t="str">
        <f t="shared" si="25"/>
        <v>All dates received</v>
      </c>
      <c r="BD540" s="13">
        <f>IF($AX540="Cancelled","",IFERROR(IF(OR(AS540="",AJ540=""),"",(AJ540+Variables!$B$18-AS540)),""))</f>
        <v>40</v>
      </c>
      <c r="BE540" s="13">
        <f>IF($AX540="Cancelled","",IFERROR(IF(OR(AW540="",AS540=""),"",(AS540+Variables!$B$19)-AW540),""))</f>
        <v>-62</v>
      </c>
      <c r="BF540" s="44">
        <f>IF($AX540="Cancelled","",IFERROR(W540*INDEX(Variables!$B$7:$D$7,IFERROR(MATCH(IF($B540="Robusta","Robusta",(IF($B540="","Arabica",$B540))&amp;" - "&amp;(IF($C540="","Commercial",$C540))),Variables!$B$1:$D$1,0),1))*(BE540/365),""))</f>
        <v>-99.38287905083132</v>
      </c>
      <c r="BG540" s="44" t="str">
        <f>IF($AX540="Cancelled","",IFERROR((W540*INDEX(Variables!$B$7:$D$7,IFERROR(MATCH(IF($B540="Robusta","Robusta",(IF($B540="","Arabica",$B540))&amp;" - "&amp;(IF($C540="","Commercial",$C540))),Variables!$B$1:$D$1,0),1))*IFERROR(IF(AB540="","",(AVERAGE(E540:F540)-AB540)-Variables!$B$14),"")/365)+(L540/16.67*INDEX(Variables!$B$8:$D$8,IFERROR(MATCH(IF($B540="Robusta","Robusta",(IF($B540="","Arabica",$B540))&amp;" - "&amp;(IF($C540="","Commercial",$C540))),Variables!$B$1:$D$1,0),1))*IFERROR(IF(AB540="","",(AVERAGE(E540:F540)-AB540)-Variables!$B$14),""))+(W540*INDEX(Variables!$B$9:$D$9,IFERROR(MATCH(IF($B540="Robusta","Robusta",(IF($B540="","Arabica",$B540))&amp;" - "&amp;(IF($C540="","Commercial",$C540))),Variables!$B$1:$D$1,0),1))*IFERROR(IF(AB540="","",(AVERAGE(E540:F540)-AB540)-Variables!$B$14),"")/365),""))</f>
        <v/>
      </c>
      <c r="BH540" s="44">
        <f>IF($AX540="Cancelled","",IFERROR((W540*INDEX(Variables!$B$7:$D$7,IFERROR(MATCH(IF($B540="Robusta","Robusta",(IF($B540="","Arabica",$B540))&amp;" - "&amp;(IF($C540="","Commercial",$C540))),Variables!$B$1:$D$1,0),1))*AK540/365)+(L540/16.67*INDEX(Variables!$B$8:$D$8,IFERROR(MATCH(IF($B540="Robusta","Robusta",(IF($B540="","Arabica",$B540))&amp;" - "&amp;(IF($C540="","Commercial",$C540))),Variables!$B$1:$D$1,0),1))*AK540)+(W540*INDEX(Variables!$B$9:$D$9,IFERROR(MATCH(IF($B540="Robusta","Robusta",(IF($B540="","Arabica",$B540))&amp;" - "&amp;(IF($C540="","Commercial",$C540))),Variables!$B$1:$D$1,0),1))*AK540/365),""))</f>
        <v>0</v>
      </c>
      <c r="BI540" s="44">
        <f>IF($AX540="Cancelled","",IFERROR((W540*INDEX(Variables!$B$7:$D$7,IFERROR(MATCH(IF($B540="Robusta","Robusta",(IF($B540="","Arabica",$B540))&amp;" - "&amp;(IF($C540="","Commercial",$C540))),Variables!$B$1:$D$1,0),1))*BD540/365)+(L540/16.67*INDEX(Variables!$B$8:$D$8,IFERROR(MATCH(IF($B540="Robusta","Robusta",(IF($B540="","Arabica",$B540))&amp;" - "&amp;(IF($C540="","Commercial",$C540))),Variables!$B$1:$D$1,0),1))*BD540)+(W540*INDEX(Variables!$B$9:$D$9,IFERROR(MATCH(IF($B540="Robusta","Robusta",(IF($B540="","Arabica",$B540))&amp;" - "&amp;(IF($C540="","Commercial",$C540))),Variables!$B$1:$D$1,0),1))*BD540/365),""))</f>
        <v>96.944591069308075</v>
      </c>
      <c r="BJ540" s="44">
        <f t="shared" si="26"/>
        <v>17</v>
      </c>
      <c r="BK540" s="44">
        <f>IF($AX540="Cancelled","",IFERROR(IF(BJ540="","",(W540*INDEX(Variables!$B$7:$D$7,IFERROR(MATCH(IF($B540="Robusta","Robusta",(IF($B540="","Arabica",$B540))&amp;" - "&amp;(IF($C540="","Commercial",$C540))),Variables!$B$1:$D$1,0),1))*(BJ540/365))+(W540*INDEX(Variables!$B$9:$D$9,IFERROR(MATCH(IF($B540="Robusta","Robusta",(IF($B540="","Arabica",$B540))&amp;" - "&amp;(IF($C540="","Commercial",$C540))),Variables!$B$1:$D$1,0),1))*(BJ540/365))+(INDEX(Variables!$B$8:$D$8,IFERROR(MATCH(IF($B540="Robusta","Robusta",(IF($B540="","Arabica",$B540))&amp;" - "&amp;(IF($C540="","Commercial",$C540))),Variables!$B$1:$D$1,0),1))*L540/16.67)),""))</f>
        <v>28.401451204455931</v>
      </c>
    </row>
    <row r="541" spans="1:63">
      <c r="A541" s="13" t="s">
        <v>103</v>
      </c>
      <c r="B541" s="13" t="s">
        <v>104</v>
      </c>
      <c r="C541" s="13" t="s">
        <v>105</v>
      </c>
      <c r="D541" s="31">
        <v>45988</v>
      </c>
      <c r="E541" s="31">
        <v>46023</v>
      </c>
      <c r="F541" s="31">
        <v>46053</v>
      </c>
      <c r="G541" s="13">
        <v>3787006</v>
      </c>
      <c r="H541" s="13">
        <v>95804</v>
      </c>
      <c r="J541" s="13" t="s">
        <v>118</v>
      </c>
      <c r="K541" s="13" t="s">
        <v>1544</v>
      </c>
      <c r="L541" s="13">
        <v>667</v>
      </c>
      <c r="M541" s="13">
        <v>2</v>
      </c>
      <c r="N541" s="13" t="s">
        <v>1495</v>
      </c>
      <c r="O541" s="13" t="s">
        <v>269</v>
      </c>
      <c r="P541" s="13">
        <v>10310</v>
      </c>
      <c r="Q541" s="59" t="s">
        <v>270</v>
      </c>
      <c r="R541" s="13" t="s">
        <v>271</v>
      </c>
      <c r="S541" s="13" t="s">
        <v>283</v>
      </c>
      <c r="T541" s="13" t="s">
        <v>112</v>
      </c>
      <c r="U541" s="13" t="s">
        <v>113</v>
      </c>
      <c r="V541" s="13">
        <v>48</v>
      </c>
      <c r="W541" s="44">
        <f>IF($AX541="Cancelled","",IFERROR(((V541+INDEX(Variables!$B$6:$D$6,IFERROR(MATCH(IF($B541="Robusta","Robusta",(IF($B541="","Arabica",$B541))&amp;" - "&amp;(IF($C541="","Commercial",$C541))),Variables!$B$1:$D$1,0),1)))*22.0462)*(L541/16.67),""))</f>
        <v>298859.71550809836</v>
      </c>
      <c r="X541" s="55" t="s">
        <v>37</v>
      </c>
      <c r="Y541" s="13" t="str">
        <f>IF($AX541="Cancelled","",IF(X541="","",IFERROR(IF(INDEX(Variables!$B$38:$B$47,MATCH(X541,Variables!$A$38:$A$47,0))="Yes","Yes","No"),"No")))</f>
        <v>Yes</v>
      </c>
      <c r="Z541" s="58">
        <v>46000</v>
      </c>
      <c r="AB541" s="31">
        <v>46005.875</v>
      </c>
      <c r="AC541" s="13" t="str">
        <f t="shared" si="24"/>
        <v>Approved</v>
      </c>
      <c r="AF541" s="71">
        <v>46038</v>
      </c>
      <c r="AG541" s="37">
        <f>IF($AX541="Cancelled","",IFERROR(IF(F541="","",F541-Variables!$B$13),""))</f>
        <v>46038</v>
      </c>
      <c r="AH541" s="13">
        <f>IF($AX541="Cancelled","",IFERROR(IF(AB541="","",(AVERAGE(E541:F541)-AB541)-Variables!$B$14),""))</f>
        <v>2.125</v>
      </c>
      <c r="AJ541" s="47">
        <v>46041</v>
      </c>
      <c r="AK541" s="14">
        <f>IF($AX541="Cancelled","",IFERROR(IF(AJ541="","",IF(AND(AB541="",AF541=""),"",IF(AF541&gt;AB541,AF541+Variables!$B$15+Variables!$B$16+Variables!$B$17-AJ541,AB541+Variables!$B$16+Variables!$B$17-AJ541))),""))</f>
        <v>12</v>
      </c>
      <c r="AL541" s="48" t="s">
        <v>114</v>
      </c>
      <c r="AM541" s="13" t="s">
        <v>134</v>
      </c>
      <c r="AN541" s="13" t="s">
        <v>1545</v>
      </c>
      <c r="AP541" s="31">
        <v>46061</v>
      </c>
      <c r="AR541" s="13" t="s">
        <v>1546</v>
      </c>
      <c r="AS541" s="31">
        <v>46061</v>
      </c>
      <c r="AU541" s="31">
        <v>46064</v>
      </c>
      <c r="AV541" s="13" t="s">
        <v>865</v>
      </c>
      <c r="AW541" s="31">
        <v>46087</v>
      </c>
      <c r="AX541" s="13" t="str">
        <f>IF(ISNUMBER(SEARCH("cancel",#REF!)),"Cancelled",IF(AND(AS541&lt;&gt;"",AU541&lt;&gt;"",AW541&lt;&gt;""),"Closed","Open"))</f>
        <v>Closed</v>
      </c>
      <c r="AY541" s="15" t="str">
        <f t="shared" si="25"/>
        <v>All dates received</v>
      </c>
      <c r="BD541" s="13">
        <f>IF($AX541="Cancelled","",IFERROR(IF(OR(AS541="",AJ541=""),"",(AJ541+Variables!$B$18-AS541)),""))</f>
        <v>-5</v>
      </c>
      <c r="BE541" s="13">
        <f>IF($AX541="Cancelled","",IFERROR(IF(OR(AW541="",AS541=""),"",(AS541+Variables!$B$19)-AW541),""))</f>
        <v>-21</v>
      </c>
      <c r="BF541" s="44">
        <f>IF($AX541="Cancelled","",IFERROR(W541*INDEX(Variables!$B$7:$D$7,IFERROR(MATCH(IF($B541="Robusta","Robusta",(IF($B541="","Arabica",$B541))&amp;" - "&amp;(IF($C541="","Commercial",$C541))),Variables!$B$1:$D$1,0),1))*(BE541/365),""))</f>
        <v>-1108.7500572440063</v>
      </c>
      <c r="BG541" s="44">
        <f>IF($AX541="Cancelled","",IFERROR((W541*INDEX(Variables!$B$7:$D$7,IFERROR(MATCH(IF($B541="Robusta","Robusta",(IF($B541="","Arabica",$B541))&amp;" - "&amp;(IF($C541="","Commercial",$C541))),Variables!$B$1:$D$1,0),1))*IFERROR(IF(AB541="","",(AVERAGE(E541:F541)-AB541)-Variables!$B$14),"")/365)+(L541/16.67*INDEX(Variables!$B$8:$D$8,IFERROR(MATCH(IF($B541="Robusta","Robusta",(IF($B541="","Arabica",$B541))&amp;" - "&amp;(IF($C541="","Commercial",$C541))),Variables!$B$1:$D$1,0),1))*IFERROR(IF(AB541="","",(AVERAGE(E541:F541)-AB541)-Variables!$B$14),""))+(W541*INDEX(Variables!$B$9:$D$9,IFERROR(MATCH(IF($B541="Robusta","Robusta",(IF($B541="","Arabica",$B541))&amp;" - "&amp;(IF($C541="","Commercial",$C541))),Variables!$B$1:$D$1,0),1))*IFERROR(IF(AB541="","",(AVERAGE(E541:F541)-AB541)-Variables!$B$14),"")/365),""))</f>
        <v>184.5101056473456</v>
      </c>
      <c r="BH541" s="44">
        <f>IF($AX541="Cancelled","",IFERROR((W541*INDEX(Variables!$B$7:$D$7,IFERROR(MATCH(IF($B541="Robusta","Robusta",(IF($B541="","Arabica",$B541))&amp;" - "&amp;(IF($C541="","Commercial",$C541))),Variables!$B$1:$D$1,0),1))*AK541/365)+(L541/16.67*INDEX(Variables!$B$8:$D$8,IFERROR(MATCH(IF($B541="Robusta","Robusta",(IF($B541="","Arabica",$B541))&amp;" - "&amp;(IF($C541="","Commercial",$C541))),Variables!$B$1:$D$1,0),1))*AK541)+(W541*INDEX(Variables!$B$9:$D$9,IFERROR(MATCH(IF($B541="Robusta","Robusta",(IF($B541="","Arabica",$B541))&amp;" - "&amp;(IF($C541="","Commercial",$C541))),Variables!$B$1:$D$1,0),1))*AK541/365),""))</f>
        <v>1041.9394201261866</v>
      </c>
      <c r="BI541" s="44">
        <f>IF($AX541="Cancelled","",IFERROR((W541*INDEX(Variables!$B$7:$D$7,IFERROR(MATCH(IF($B541="Robusta","Robusta",(IF($B541="","Arabica",$B541))&amp;" - "&amp;(IF($C541="","Commercial",$C541))),Variables!$B$1:$D$1,0),1))*BD541/365)+(L541/16.67*INDEX(Variables!$B$8:$D$8,IFERROR(MATCH(IF($B541="Robusta","Robusta",(IF($B541="","Arabica",$B541))&amp;" - "&amp;(IF($C541="","Commercial",$C541))),Variables!$B$1:$D$1,0),1))*BD541)+(W541*INDEX(Variables!$B$9:$D$9,IFERROR(MATCH(IF($B541="Robusta","Robusta",(IF($B541="","Arabica",$B541))&amp;" - "&amp;(IF($C541="","Commercial",$C541))),Variables!$B$1:$D$1,0),1))*BD541/365),""))</f>
        <v>-434.14142505257786</v>
      </c>
      <c r="BJ541" s="44">
        <f t="shared" si="26"/>
        <v>-8</v>
      </c>
      <c r="BK541" s="44">
        <f>IF($AX541="Cancelled","",IFERROR(IF(BJ541="","",(W541*INDEX(Variables!$B$7:$D$7,IFERROR(MATCH(IF($B541="Robusta","Robusta",(IF($B541="","Arabica",$B541))&amp;" - "&amp;(IF($C541="","Commercial",$C541))),Variables!$B$1:$D$1,0),1))*(BJ541/365))+(W541*INDEX(Variables!$B$9:$D$9,IFERROR(MATCH(IF($B541="Robusta","Robusta",(IF($B541="","Arabica",$B541))&amp;" - "&amp;(IF($C541="","Commercial",$C541))),Variables!$B$1:$D$1,0),1))*(BJ541/365))+(INDEX(Variables!$B$8:$D$8,IFERROR(MATCH(IF($B541="Robusta","Robusta",(IF($B541="","Arabica",$B541))&amp;" - "&amp;(IF($C541="","Commercial",$C541))),Variables!$B$1:$D$1,0),1))*L541/16.67)),""))</f>
        <v>-394.47628008412454</v>
      </c>
    </row>
    <row r="542" spans="1:63">
      <c r="A542" s="13" t="s">
        <v>103</v>
      </c>
      <c r="B542" s="13" t="s">
        <v>104</v>
      </c>
      <c r="C542" s="13" t="s">
        <v>105</v>
      </c>
      <c r="D542" s="31">
        <v>45988</v>
      </c>
      <c r="E542" s="31">
        <v>46023</v>
      </c>
      <c r="F542" s="31">
        <v>46053</v>
      </c>
      <c r="G542" s="13">
        <v>3787006</v>
      </c>
      <c r="H542" s="13">
        <v>95804</v>
      </c>
      <c r="J542" s="13" t="s">
        <v>118</v>
      </c>
      <c r="K542" s="13" t="s">
        <v>1547</v>
      </c>
      <c r="L542" s="13">
        <v>667</v>
      </c>
      <c r="M542" s="13">
        <v>2</v>
      </c>
      <c r="N542" s="13" t="s">
        <v>1495</v>
      </c>
      <c r="O542" s="13" t="s">
        <v>269</v>
      </c>
      <c r="P542" s="13">
        <v>10310</v>
      </c>
      <c r="Q542" s="59" t="s">
        <v>270</v>
      </c>
      <c r="R542" s="13" t="s">
        <v>271</v>
      </c>
      <c r="S542" s="13" t="s">
        <v>272</v>
      </c>
      <c r="T542" s="13" t="s">
        <v>112</v>
      </c>
      <c r="U542" s="13" t="s">
        <v>113</v>
      </c>
      <c r="V542" s="13">
        <v>48</v>
      </c>
      <c r="W542" s="44">
        <f>IF($AX542="Cancelled","",IFERROR(((V542+INDEX(Variables!$B$6:$D$6,IFERROR(MATCH(IF($B542="Robusta","Robusta",(IF($B542="","Arabica",$B542))&amp;" - "&amp;(IF($C542="","Commercial",$C542))),Variables!$B$1:$D$1,0),1)))*22.0462)*(L542/16.67),""))</f>
        <v>298859.71550809836</v>
      </c>
      <c r="X542" s="55" t="s">
        <v>37</v>
      </c>
      <c r="Y542" s="13" t="str">
        <f>IF($AX542="Cancelled","",IF(X542="","",IFERROR(IF(INDEX(Variables!$B$38:$B$47,MATCH(X542,Variables!$A$38:$A$47,0))="Yes","Yes","No"),"No")))</f>
        <v>Yes</v>
      </c>
      <c r="Z542" s="58">
        <v>46000</v>
      </c>
      <c r="AB542" s="31">
        <v>46005.875</v>
      </c>
      <c r="AC542" s="13" t="str">
        <f t="shared" si="24"/>
        <v>Approved</v>
      </c>
      <c r="AF542" s="71">
        <v>46038</v>
      </c>
      <c r="AG542" s="37">
        <f>IF($AX542="Cancelled","",IFERROR(IF(F542="","",F542-Variables!$B$13),""))</f>
        <v>46038</v>
      </c>
      <c r="AH542" s="13">
        <f>IF($AX542="Cancelled","",IFERROR(IF(AB542="","",(AVERAGE(E542:F542)-AB542)-Variables!$B$14),""))</f>
        <v>2.125</v>
      </c>
      <c r="AJ542" s="47">
        <v>46043</v>
      </c>
      <c r="AK542" s="14">
        <f>IF($AX542="Cancelled","",IFERROR(IF(AJ542="","",IF(AND(AB542="",AF542=""),"",IF(AF542&gt;AB542,AF542+Variables!$B$15+Variables!$B$16+Variables!$B$17-AJ542,AB542+Variables!$B$16+Variables!$B$17-AJ542))),""))</f>
        <v>10</v>
      </c>
      <c r="AL542" s="48" t="s">
        <v>114</v>
      </c>
      <c r="AM542" s="13" t="s">
        <v>134</v>
      </c>
      <c r="AN542" s="13" t="s">
        <v>1545</v>
      </c>
      <c r="AP542" s="31">
        <v>46061</v>
      </c>
      <c r="AR542" s="13" t="s">
        <v>1546</v>
      </c>
      <c r="AS542" s="31">
        <v>46061</v>
      </c>
      <c r="AU542" s="31">
        <v>46064</v>
      </c>
      <c r="AV542" s="13" t="s">
        <v>865</v>
      </c>
      <c r="AW542" s="31">
        <v>46087</v>
      </c>
      <c r="AX542" s="13" t="str">
        <f>IF(ISNUMBER(SEARCH("cancel",#REF!)),"Cancelled",IF(AND(AS542&lt;&gt;"",AU542&lt;&gt;"",AW542&lt;&gt;""),"Closed","Open"))</f>
        <v>Closed</v>
      </c>
      <c r="AY542" s="15" t="str">
        <f t="shared" si="25"/>
        <v>All dates received</v>
      </c>
      <c r="BD542" s="13">
        <f>IF($AX542="Cancelled","",IFERROR(IF(OR(AS542="",AJ542=""),"",(AJ542+Variables!$B$18-AS542)),""))</f>
        <v>-3</v>
      </c>
      <c r="BE542" s="13">
        <f>IF($AX542="Cancelled","",IFERROR(IF(OR(AW542="",AS542=""),"",(AS542+Variables!$B$19)-AW542),""))</f>
        <v>-21</v>
      </c>
      <c r="BF542" s="44">
        <f>IF($AX542="Cancelled","",IFERROR(W542*INDEX(Variables!$B$7:$D$7,IFERROR(MATCH(IF($B542="Robusta","Robusta",(IF($B542="","Arabica",$B542))&amp;" - "&amp;(IF($C542="","Commercial",$C542))),Variables!$B$1:$D$1,0),1))*(BE542/365),""))</f>
        <v>-1108.7500572440063</v>
      </c>
      <c r="BG542" s="44">
        <f>IF($AX542="Cancelled","",IFERROR((W542*INDEX(Variables!$B$7:$D$7,IFERROR(MATCH(IF($B542="Robusta","Robusta",(IF($B542="","Arabica",$B542))&amp;" - "&amp;(IF($C542="","Commercial",$C542))),Variables!$B$1:$D$1,0),1))*IFERROR(IF(AB542="","",(AVERAGE(E542:F542)-AB542)-Variables!$B$14),"")/365)+(L542/16.67*INDEX(Variables!$B$8:$D$8,IFERROR(MATCH(IF($B542="Robusta","Robusta",(IF($B542="","Arabica",$B542))&amp;" - "&amp;(IF($C542="","Commercial",$C542))),Variables!$B$1:$D$1,0),1))*IFERROR(IF(AB542="","",(AVERAGE(E542:F542)-AB542)-Variables!$B$14),""))+(W542*INDEX(Variables!$B$9:$D$9,IFERROR(MATCH(IF($B542="Robusta","Robusta",(IF($B542="","Arabica",$B542))&amp;" - "&amp;(IF($C542="","Commercial",$C542))),Variables!$B$1:$D$1,0),1))*IFERROR(IF(AB542="","",(AVERAGE(E542:F542)-AB542)-Variables!$B$14),"")/365),""))</f>
        <v>184.5101056473456</v>
      </c>
      <c r="BH542" s="44">
        <f>IF($AX542="Cancelled","",IFERROR((W542*INDEX(Variables!$B$7:$D$7,IFERROR(MATCH(IF($B542="Robusta","Robusta",(IF($B542="","Arabica",$B542))&amp;" - "&amp;(IF($C542="","Commercial",$C542))),Variables!$B$1:$D$1,0),1))*AK542/365)+(L542/16.67*INDEX(Variables!$B$8:$D$8,IFERROR(MATCH(IF($B542="Robusta","Robusta",(IF($B542="","Arabica",$B542))&amp;" - "&amp;(IF($C542="","Commercial",$C542))),Variables!$B$1:$D$1,0),1))*AK542)+(W542*INDEX(Variables!$B$9:$D$9,IFERROR(MATCH(IF($B542="Robusta","Robusta",(IF($B542="","Arabica",$B542))&amp;" - "&amp;(IF($C542="","Commercial",$C542))),Variables!$B$1:$D$1,0),1))*AK542/365),""))</f>
        <v>868.28285010515572</v>
      </c>
      <c r="BI542" s="44">
        <f>IF($AX542="Cancelled","",IFERROR((W542*INDEX(Variables!$B$7:$D$7,IFERROR(MATCH(IF($B542="Robusta","Robusta",(IF($B542="","Arabica",$B542))&amp;" - "&amp;(IF($C542="","Commercial",$C542))),Variables!$B$1:$D$1,0),1))*BD542/365)+(L542/16.67*INDEX(Variables!$B$8:$D$8,IFERROR(MATCH(IF($B542="Robusta","Robusta",(IF($B542="","Arabica",$B542))&amp;" - "&amp;(IF($C542="","Commercial",$C542))),Variables!$B$1:$D$1,0),1))*BD542)+(W542*INDEX(Variables!$B$9:$D$9,IFERROR(MATCH(IF($B542="Robusta","Robusta",(IF($B542="","Arabica",$B542))&amp;" - "&amp;(IF($C542="","Commercial",$C542))),Variables!$B$1:$D$1,0),1))*BD542/365),""))</f>
        <v>-260.48485503154666</v>
      </c>
      <c r="BJ542" s="44">
        <f t="shared" si="26"/>
        <v>-8</v>
      </c>
      <c r="BK542" s="44">
        <f>IF($AX542="Cancelled","",IFERROR(IF(BJ542="","",(W542*INDEX(Variables!$B$7:$D$7,IFERROR(MATCH(IF($B542="Robusta","Robusta",(IF($B542="","Arabica",$B542))&amp;" - "&amp;(IF($C542="","Commercial",$C542))),Variables!$B$1:$D$1,0),1))*(BJ542/365))+(W542*INDEX(Variables!$B$9:$D$9,IFERROR(MATCH(IF($B542="Robusta","Robusta",(IF($B542="","Arabica",$B542))&amp;" - "&amp;(IF($C542="","Commercial",$C542))),Variables!$B$1:$D$1,0),1))*(BJ542/365))+(INDEX(Variables!$B$8:$D$8,IFERROR(MATCH(IF($B542="Robusta","Robusta",(IF($B542="","Arabica",$B542))&amp;" - "&amp;(IF($C542="","Commercial",$C542))),Variables!$B$1:$D$1,0),1))*L542/16.67)),""))</f>
        <v>-394.47628008412454</v>
      </c>
    </row>
    <row r="543" spans="1:63">
      <c r="A543" s="13" t="s">
        <v>103</v>
      </c>
      <c r="B543" s="13" t="s">
        <v>104</v>
      </c>
      <c r="C543" s="13" t="s">
        <v>105</v>
      </c>
      <c r="D543" s="31">
        <v>45988</v>
      </c>
      <c r="E543" s="31">
        <v>46054</v>
      </c>
      <c r="F543" s="31">
        <v>46081</v>
      </c>
      <c r="G543" s="13">
        <v>3787007</v>
      </c>
      <c r="J543" s="13" t="s">
        <v>118</v>
      </c>
      <c r="K543" s="13" t="s">
        <v>1548</v>
      </c>
      <c r="L543" s="13">
        <v>334</v>
      </c>
      <c r="M543" s="13">
        <v>1</v>
      </c>
      <c r="N543" s="13" t="s">
        <v>1549</v>
      </c>
      <c r="O543" s="13" t="s">
        <v>269</v>
      </c>
      <c r="P543" s="13">
        <v>10310</v>
      </c>
      <c r="Q543" s="59" t="s">
        <v>270</v>
      </c>
      <c r="R543" s="13" t="s">
        <v>271</v>
      </c>
      <c r="S543" s="13" t="s">
        <v>524</v>
      </c>
      <c r="T543" s="13" t="s">
        <v>112</v>
      </c>
      <c r="U543" s="13" t="s">
        <v>113</v>
      </c>
      <c r="V543" s="13">
        <v>48</v>
      </c>
      <c r="W543" s="44">
        <f>IF($AX543="Cancelled","",IFERROR(((V543+INDEX(Variables!$B$6:$D$6,IFERROR(MATCH(IF($B543="Robusta","Robusta",(IF($B543="","Arabica",$B543))&amp;" - "&amp;(IF($C543="","Commercial",$C543))),Variables!$B$1:$D$1,0),1)))*22.0462)*(L543/16.67),""))</f>
        <v>149653.89052429513</v>
      </c>
      <c r="X543" s="55" t="s">
        <v>37</v>
      </c>
      <c r="Y543" s="13" t="str">
        <f>IF($AX543="Cancelled","",IF(X543="","",IFERROR(IF(INDEX(Variables!$B$38:$B$47,MATCH(X543,Variables!$A$38:$A$47,0))="Yes","Yes","No"),"No")))</f>
        <v>Yes</v>
      </c>
      <c r="Z543" s="58">
        <v>46034</v>
      </c>
      <c r="AC543" s="13" t="str">
        <f t="shared" si="24"/>
        <v/>
      </c>
      <c r="AF543" s="71">
        <v>46069</v>
      </c>
      <c r="AG543" s="37">
        <f>IF($AX543="Cancelled","",IFERROR(IF(F543="","",F543-Variables!$B$13),""))</f>
        <v>46066</v>
      </c>
      <c r="AH543" s="13" t="str">
        <f>IF($AX543="Cancelled","",IFERROR(IF(AB543="","",(AVERAGE(E543:F543)-AB543)-Variables!$B$14),""))</f>
        <v/>
      </c>
      <c r="AJ543" s="47">
        <v>46072</v>
      </c>
      <c r="AK543" s="14">
        <f>IF($AX543="Cancelled","",IFERROR(IF(AJ543="","",IF(AND(AB543="",AF543=""),"",IF(AF543&gt;AB543,AF543+Variables!$B$15+Variables!$B$16+Variables!$B$17-AJ543,AB543+Variables!$B$16+Variables!$B$17-AJ543))),""))</f>
        <v>12</v>
      </c>
      <c r="AL543" s="48" t="s">
        <v>114</v>
      </c>
      <c r="AM543" s="13" t="s">
        <v>134</v>
      </c>
      <c r="AN543" s="13" t="s">
        <v>1550</v>
      </c>
      <c r="AP543" s="31">
        <v>46092</v>
      </c>
      <c r="AR543" s="13" t="s">
        <v>1551</v>
      </c>
      <c r="AS543" s="31">
        <v>46092</v>
      </c>
      <c r="AU543" s="31">
        <v>46142</v>
      </c>
      <c r="AV543" s="13" t="s">
        <v>865</v>
      </c>
      <c r="AW543" s="31">
        <v>46142</v>
      </c>
      <c r="AX543" s="13" t="str">
        <f>IF(ISNUMBER(SEARCH("cancel",#REF!)),"Cancelled",IF(AND(AS543&lt;&gt;"",AU543&lt;&gt;"",AW543&lt;&gt;""),"Closed","Open"))</f>
        <v>Closed</v>
      </c>
      <c r="AY543" s="15" t="str">
        <f t="shared" si="25"/>
        <v>All dates received</v>
      </c>
      <c r="BD543" s="13">
        <f>IF($AX543="Cancelled","",IFERROR(IF(OR(AS543="",AJ543=""),"",(AJ543+Variables!$B$18-AS543)),""))</f>
        <v>-5</v>
      </c>
      <c r="BE543" s="13">
        <f>IF($AX543="Cancelled","",IFERROR(IF(OR(AW543="",AS543=""),"",(AS543+Variables!$B$19)-AW543),""))</f>
        <v>-45</v>
      </c>
      <c r="BF543" s="44">
        <f>IF($AX543="Cancelled","",IFERROR(W543*INDEX(Variables!$B$7:$D$7,IFERROR(MATCH(IF($B543="Robusta","Robusta",(IF($B543="","Arabica",$B543))&amp;" - "&amp;(IF($C543="","Commercial",$C543))),Variables!$B$1:$D$1,0),1))*(BE543/365),""))</f>
        <v>-1189.7275191245387</v>
      </c>
      <c r="BG543" s="44" t="str">
        <f>IF($AX543="Cancelled","",IFERROR((W543*INDEX(Variables!$B$7:$D$7,IFERROR(MATCH(IF($B543="Robusta","Robusta",(IF($B543="","Arabica",$B543))&amp;" - "&amp;(IF($C543="","Commercial",$C543))),Variables!$B$1:$D$1,0),1))*IFERROR(IF(AB543="","",(AVERAGE(E543:F543)-AB543)-Variables!$B$14),"")/365)+(L543/16.67*INDEX(Variables!$B$8:$D$8,IFERROR(MATCH(IF($B543="Robusta","Robusta",(IF($B543="","Arabica",$B543))&amp;" - "&amp;(IF($C543="","Commercial",$C543))),Variables!$B$1:$D$1,0),1))*IFERROR(IF(AB543="","",(AVERAGE(E543:F543)-AB543)-Variables!$B$14),""))+(W543*INDEX(Variables!$B$9:$D$9,IFERROR(MATCH(IF($B543="Robusta","Robusta",(IF($B543="","Arabica",$B543))&amp;" - "&amp;(IF($C543="","Commercial",$C543))),Variables!$B$1:$D$1,0),1))*IFERROR(IF(AB543="","",(AVERAGE(E543:F543)-AB543)-Variables!$B$14),"")/365),""))</f>
        <v/>
      </c>
      <c r="BH543" s="44">
        <f>IF($AX543="Cancelled","",IFERROR((W543*INDEX(Variables!$B$7:$D$7,IFERROR(MATCH(IF($B543="Robusta","Robusta",(IF($B543="","Arabica",$B543))&amp;" - "&amp;(IF($C543="","Commercial",$C543))),Variables!$B$1:$D$1,0),1))*AK543/365)+(L543/16.67*INDEX(Variables!$B$8:$D$8,IFERROR(MATCH(IF($B543="Robusta","Robusta",(IF($B543="","Arabica",$B543))&amp;" - "&amp;(IF($C543="","Commercial",$C543))),Variables!$B$1:$D$1,0),1))*AK543)+(W543*INDEX(Variables!$B$9:$D$9,IFERROR(MATCH(IF($B543="Robusta","Robusta",(IF($B543="","Arabica",$B543))&amp;" - "&amp;(IF($C543="","Commercial",$C543))),Variables!$B$1:$D$1,0),1))*AK543/365),""))</f>
        <v>521.75077409617154</v>
      </c>
      <c r="BI543" s="44">
        <f>IF($AX543="Cancelled","",IFERROR((W543*INDEX(Variables!$B$7:$D$7,IFERROR(MATCH(IF($B543="Robusta","Robusta",(IF($B543="","Arabica",$B543))&amp;" - "&amp;(IF($C543="","Commercial",$C543))),Variables!$B$1:$D$1,0),1))*BD543/365)+(L543/16.67*INDEX(Variables!$B$8:$D$8,IFERROR(MATCH(IF($B543="Robusta","Robusta",(IF($B543="","Arabica",$B543))&amp;" - "&amp;(IF($C543="","Commercial",$C543))),Variables!$B$1:$D$1,0),1))*BD543)+(W543*INDEX(Variables!$B$9:$D$9,IFERROR(MATCH(IF($B543="Robusta","Robusta",(IF($B543="","Arabica",$B543))&amp;" - "&amp;(IF($C543="","Commercial",$C543))),Variables!$B$1:$D$1,0),1))*BD543/365),""))</f>
        <v>-217.39615587340481</v>
      </c>
      <c r="BJ543" s="44">
        <f t="shared" si="26"/>
        <v>-11</v>
      </c>
      <c r="BK543" s="44">
        <f>IF($AX543="Cancelled","",IFERROR(IF(BJ543="","",(W543*INDEX(Variables!$B$7:$D$7,IFERROR(MATCH(IF($B543="Robusta","Robusta",(IF($B543="","Arabica",$B543))&amp;" - "&amp;(IF($C543="","Commercial",$C543))),Variables!$B$1:$D$1,0),1))*(BJ543/365))+(W543*INDEX(Variables!$B$9:$D$9,IFERROR(MATCH(IF($B543="Robusta","Robusta",(IF($B543="","Arabica",$B543))&amp;" - "&amp;(IF($C543="","Commercial",$C543))),Variables!$B$1:$D$1,0),1))*(BJ543/365))+(INDEX(Variables!$B$8:$D$8,IFERROR(MATCH(IF($B543="Robusta","Robusta",(IF($B543="","Arabica",$B543))&amp;" - "&amp;(IF($C543="","Commercial",$C543))),Variables!$B$1:$D$1,0),1))*L543/16.67)),""))</f>
        <v>-277.87154292149057</v>
      </c>
    </row>
    <row r="544" spans="1:63">
      <c r="A544" s="13" t="s">
        <v>103</v>
      </c>
      <c r="B544" s="13" t="s">
        <v>104</v>
      </c>
      <c r="C544" s="13" t="s">
        <v>105</v>
      </c>
      <c r="D544" s="31">
        <v>45988</v>
      </c>
      <c r="E544" s="31">
        <v>46054</v>
      </c>
      <c r="F544" s="31">
        <v>46081</v>
      </c>
      <c r="G544" s="13">
        <v>3787007</v>
      </c>
      <c r="J544" s="13" t="s">
        <v>118</v>
      </c>
      <c r="K544" s="13" t="s">
        <v>1552</v>
      </c>
      <c r="L544" s="13">
        <v>334</v>
      </c>
      <c r="M544" s="13">
        <v>1</v>
      </c>
      <c r="N544" s="13" t="s">
        <v>1549</v>
      </c>
      <c r="O544" s="13" t="s">
        <v>269</v>
      </c>
      <c r="P544" s="13">
        <v>10310</v>
      </c>
      <c r="Q544" s="59" t="s">
        <v>270</v>
      </c>
      <c r="R544" s="13" t="s">
        <v>271</v>
      </c>
      <c r="S544" s="13" t="s">
        <v>272</v>
      </c>
      <c r="T544" s="13" t="s">
        <v>112</v>
      </c>
      <c r="U544" s="13" t="s">
        <v>113</v>
      </c>
      <c r="V544" s="13">
        <v>48</v>
      </c>
      <c r="W544" s="44">
        <f>IF($AX544="Cancelled","",IFERROR(((V544+INDEX(Variables!$B$6:$D$6,IFERROR(MATCH(IF($B544="Robusta","Robusta",(IF($B544="","Arabica",$B544))&amp;" - "&amp;(IF($C544="","Commercial",$C544))),Variables!$B$1:$D$1,0),1)))*22.0462)*(L544/16.67),""))</f>
        <v>149653.89052429513</v>
      </c>
      <c r="X544" s="55" t="s">
        <v>37</v>
      </c>
      <c r="Y544" s="13" t="str">
        <f>IF($AX544="Cancelled","",IF(X544="","",IFERROR(IF(INDEX(Variables!$B$38:$B$47,MATCH(X544,Variables!$A$38:$A$47,0))="Yes","Yes","No"),"No")))</f>
        <v>Yes</v>
      </c>
      <c r="Z544" s="58">
        <v>46034</v>
      </c>
      <c r="AC544" s="13" t="str">
        <f t="shared" si="24"/>
        <v/>
      </c>
      <c r="AF544" s="71">
        <v>46069</v>
      </c>
      <c r="AG544" s="37">
        <f>IF($AX544="Cancelled","",IFERROR(IF(F544="","",F544-Variables!$B$13),""))</f>
        <v>46066</v>
      </c>
      <c r="AH544" s="13" t="str">
        <f>IF($AX544="Cancelled","",IFERROR(IF(AB544="","",(AVERAGE(E544:F544)-AB544)-Variables!$B$14),""))</f>
        <v/>
      </c>
      <c r="AJ544" s="47">
        <v>46070</v>
      </c>
      <c r="AK544" s="14">
        <f>IF($AX544="Cancelled","",IFERROR(IF(AJ544="","",IF(AND(AB544="",AF544=""),"",IF(AF544&gt;AB544,AF544+Variables!$B$15+Variables!$B$16+Variables!$B$17-AJ544,AB544+Variables!$B$16+Variables!$B$17-AJ544))),""))</f>
        <v>14</v>
      </c>
      <c r="AL544" s="48" t="s">
        <v>114</v>
      </c>
      <c r="AM544" s="13" t="s">
        <v>134</v>
      </c>
      <c r="AN544" s="13" t="s">
        <v>1550</v>
      </c>
      <c r="AP544" s="31">
        <v>46092</v>
      </c>
      <c r="AR544" s="13" t="s">
        <v>1551</v>
      </c>
      <c r="AS544" s="31">
        <v>46092</v>
      </c>
      <c r="AU544" s="31">
        <v>46092</v>
      </c>
      <c r="AV544" s="13" t="s">
        <v>865</v>
      </c>
      <c r="AW544" s="31">
        <v>46092</v>
      </c>
      <c r="AX544" s="13" t="str">
        <f>IF(ISNUMBER(SEARCH("cancel",#REF!)),"Cancelled",IF(AND(AS544&lt;&gt;"",AU544&lt;&gt;"",AW544&lt;&gt;""),"Closed","Open"))</f>
        <v>Closed</v>
      </c>
      <c r="AY544" s="15" t="str">
        <f t="shared" si="25"/>
        <v>All dates received</v>
      </c>
      <c r="BD544" s="13">
        <f>IF($AX544="Cancelled","",IFERROR(IF(OR(AS544="",AJ544=""),"",(AJ544+Variables!$B$18-AS544)),""))</f>
        <v>-7</v>
      </c>
      <c r="BE544" s="13">
        <f>IF($AX544="Cancelled","",IFERROR(IF(OR(AW544="",AS544=""),"",(AS544+Variables!$B$19)-AW544),""))</f>
        <v>5</v>
      </c>
      <c r="BF544" s="44">
        <f>IF($AX544="Cancelled","",IFERROR(W544*INDEX(Variables!$B$7:$D$7,IFERROR(MATCH(IF($B544="Robusta","Robusta",(IF($B544="","Arabica",$B544))&amp;" - "&amp;(IF($C544="","Commercial",$C544))),Variables!$B$1:$D$1,0),1))*(BE544/365),""))</f>
        <v>132.1919465693932</v>
      </c>
      <c r="BG544" s="44" t="str">
        <f>IF($AX544="Cancelled","",IFERROR((W544*INDEX(Variables!$B$7:$D$7,IFERROR(MATCH(IF($B544="Robusta","Robusta",(IF($B544="","Arabica",$B544))&amp;" - "&amp;(IF($C544="","Commercial",$C544))),Variables!$B$1:$D$1,0),1))*IFERROR(IF(AB544="","",(AVERAGE(E544:F544)-AB544)-Variables!$B$14),"")/365)+(L544/16.67*INDEX(Variables!$B$8:$D$8,IFERROR(MATCH(IF($B544="Robusta","Robusta",(IF($B544="","Arabica",$B544))&amp;" - "&amp;(IF($C544="","Commercial",$C544))),Variables!$B$1:$D$1,0),1))*IFERROR(IF(AB544="","",(AVERAGE(E544:F544)-AB544)-Variables!$B$14),""))+(W544*INDEX(Variables!$B$9:$D$9,IFERROR(MATCH(IF($B544="Robusta","Robusta",(IF($B544="","Arabica",$B544))&amp;" - "&amp;(IF($C544="","Commercial",$C544))),Variables!$B$1:$D$1,0),1))*IFERROR(IF(AB544="","",(AVERAGE(E544:F544)-AB544)-Variables!$B$14),"")/365),""))</f>
        <v/>
      </c>
      <c r="BH544" s="44">
        <f>IF($AX544="Cancelled","",IFERROR((W544*INDEX(Variables!$B$7:$D$7,IFERROR(MATCH(IF($B544="Robusta","Robusta",(IF($B544="","Arabica",$B544))&amp;" - "&amp;(IF($C544="","Commercial",$C544))),Variables!$B$1:$D$1,0),1))*AK544/365)+(L544/16.67*INDEX(Variables!$B$8:$D$8,IFERROR(MATCH(IF($B544="Robusta","Robusta",(IF($B544="","Arabica",$B544))&amp;" - "&amp;(IF($C544="","Commercial",$C544))),Variables!$B$1:$D$1,0),1))*AK544)+(W544*INDEX(Variables!$B$9:$D$9,IFERROR(MATCH(IF($B544="Robusta","Robusta",(IF($B544="","Arabica",$B544))&amp;" - "&amp;(IF($C544="","Commercial",$C544))),Variables!$B$1:$D$1,0),1))*AK544/365),""))</f>
        <v>608.70923644553341</v>
      </c>
      <c r="BI544" s="44">
        <f>IF($AX544="Cancelled","",IFERROR((W544*INDEX(Variables!$B$7:$D$7,IFERROR(MATCH(IF($B544="Robusta","Robusta",(IF($B544="","Arabica",$B544))&amp;" - "&amp;(IF($C544="","Commercial",$C544))),Variables!$B$1:$D$1,0),1))*BD544/365)+(L544/16.67*INDEX(Variables!$B$8:$D$8,IFERROR(MATCH(IF($B544="Robusta","Robusta",(IF($B544="","Arabica",$B544))&amp;" - "&amp;(IF($C544="","Commercial",$C544))),Variables!$B$1:$D$1,0),1))*BD544)+(W544*INDEX(Variables!$B$9:$D$9,IFERROR(MATCH(IF($B544="Robusta","Robusta",(IF($B544="","Arabica",$B544))&amp;" - "&amp;(IF($C544="","Commercial",$C544))),Variables!$B$1:$D$1,0),1))*BD544/365),""))</f>
        <v>-304.3546182227667</v>
      </c>
      <c r="BJ544" s="44">
        <f t="shared" si="26"/>
        <v>-11</v>
      </c>
      <c r="BK544" s="44">
        <f>IF($AX544="Cancelled","",IFERROR(IF(BJ544="","",(W544*INDEX(Variables!$B$7:$D$7,IFERROR(MATCH(IF($B544="Robusta","Robusta",(IF($B544="","Arabica",$B544))&amp;" - "&amp;(IF($C544="","Commercial",$C544))),Variables!$B$1:$D$1,0),1))*(BJ544/365))+(W544*INDEX(Variables!$B$9:$D$9,IFERROR(MATCH(IF($B544="Robusta","Robusta",(IF($B544="","Arabica",$B544))&amp;" - "&amp;(IF($C544="","Commercial",$C544))),Variables!$B$1:$D$1,0),1))*(BJ544/365))+(INDEX(Variables!$B$8:$D$8,IFERROR(MATCH(IF($B544="Robusta","Robusta",(IF($B544="","Arabica",$B544))&amp;" - "&amp;(IF($C544="","Commercial",$C544))),Variables!$B$1:$D$1,0),1))*L544/16.67)),""))</f>
        <v>-277.87154292149057</v>
      </c>
    </row>
    <row r="545" spans="1:63">
      <c r="A545" s="13" t="s">
        <v>103</v>
      </c>
      <c r="B545" s="13" t="s">
        <v>104</v>
      </c>
      <c r="C545" s="13" t="s">
        <v>105</v>
      </c>
      <c r="D545" s="31">
        <v>45988</v>
      </c>
      <c r="E545" s="31">
        <v>46054</v>
      </c>
      <c r="F545" s="31">
        <v>46081</v>
      </c>
      <c r="G545" s="13">
        <v>3787007</v>
      </c>
      <c r="J545" s="13" t="s">
        <v>118</v>
      </c>
      <c r="K545" s="13" t="s">
        <v>1553</v>
      </c>
      <c r="L545" s="13">
        <v>666</v>
      </c>
      <c r="M545" s="13">
        <v>2</v>
      </c>
      <c r="N545" s="13" t="s">
        <v>1549</v>
      </c>
      <c r="O545" s="13" t="s">
        <v>269</v>
      </c>
      <c r="P545" s="13">
        <v>10310</v>
      </c>
      <c r="Q545" s="59" t="s">
        <v>270</v>
      </c>
      <c r="R545" s="13" t="s">
        <v>271</v>
      </c>
      <c r="S545" s="13" t="s">
        <v>280</v>
      </c>
      <c r="T545" s="13" t="s">
        <v>112</v>
      </c>
      <c r="U545" s="13" t="s">
        <v>113</v>
      </c>
      <c r="V545" s="13">
        <v>48</v>
      </c>
      <c r="W545" s="44">
        <f>IF($AX545="Cancelled","",IFERROR(((V545+INDEX(Variables!$B$6:$D$6,IFERROR(MATCH(IF($B545="Robusta","Robusta",(IF($B545="","Arabica",$B545))&amp;" - "&amp;(IF($C545="","Commercial",$C545))),Variables!$B$1:$D$1,0),1)))*22.0462)*(L545/16.67),""))</f>
        <v>298411.64996760647</v>
      </c>
      <c r="X545" s="55" t="s">
        <v>37</v>
      </c>
      <c r="Y545" s="13" t="str">
        <f>IF($AX545="Cancelled","",IF(X545="","",IFERROR(IF(INDEX(Variables!$B$38:$B$47,MATCH(X545,Variables!$A$38:$A$47,0))="Yes","Yes","No"),"No")))</f>
        <v>Yes</v>
      </c>
      <c r="Z545" s="58">
        <v>46034</v>
      </c>
      <c r="AC545" s="13" t="str">
        <f t="shared" si="24"/>
        <v/>
      </c>
      <c r="AF545" s="71">
        <v>46069</v>
      </c>
      <c r="AG545" s="37">
        <f>IF($AX545="Cancelled","",IFERROR(IF(F545="","",F545-Variables!$B$13),""))</f>
        <v>46066</v>
      </c>
      <c r="AH545" s="13" t="str">
        <f>IF($AX545="Cancelled","",IFERROR(IF(AB545="","",(AVERAGE(E545:F545)-AB545)-Variables!$B$14),""))</f>
        <v/>
      </c>
      <c r="AJ545" s="47">
        <v>46071</v>
      </c>
      <c r="AK545" s="14">
        <f>IF($AX545="Cancelled","",IFERROR(IF(AJ545="","",IF(AND(AB545="",AF545=""),"",IF(AF545&gt;AB545,AF545+Variables!$B$15+Variables!$B$16+Variables!$B$17-AJ545,AB545+Variables!$B$16+Variables!$B$17-AJ545))),""))</f>
        <v>13</v>
      </c>
      <c r="AL545" s="48" t="s">
        <v>114</v>
      </c>
      <c r="AM545" s="13" t="s">
        <v>134</v>
      </c>
      <c r="AN545" s="13" t="s">
        <v>1550</v>
      </c>
      <c r="AP545" s="31">
        <v>46092</v>
      </c>
      <c r="AR545" s="13" t="s">
        <v>1551</v>
      </c>
      <c r="AS545" s="31">
        <v>46092</v>
      </c>
      <c r="AU545" s="31">
        <v>46092</v>
      </c>
      <c r="AV545" s="13" t="s">
        <v>865</v>
      </c>
      <c r="AW545" s="31">
        <v>46092</v>
      </c>
      <c r="AX545" s="13" t="str">
        <f>IF(ISNUMBER(SEARCH("cancel",#REF!)),"Cancelled",IF(AND(AS545&lt;&gt;"",AU545&lt;&gt;"",AW545&lt;&gt;""),"Closed","Open"))</f>
        <v>Closed</v>
      </c>
      <c r="AY545" s="15" t="str">
        <f t="shared" si="25"/>
        <v>All dates received</v>
      </c>
      <c r="BD545" s="13">
        <f>IF($AX545="Cancelled","",IFERROR(IF(OR(AS545="",AJ545=""),"",(AJ545+Variables!$B$18-AS545)),""))</f>
        <v>-6</v>
      </c>
      <c r="BE545" s="13">
        <f>IF($AX545="Cancelled","",IFERROR(IF(OR(AW545="",AS545=""),"",(AS545+Variables!$B$19)-AW545),""))</f>
        <v>5</v>
      </c>
      <c r="BF545" s="44">
        <f>IF($AX545="Cancelled","",IFERROR(W545*INDEX(Variables!$B$7:$D$7,IFERROR(MATCH(IF($B545="Robusta","Robusta",(IF($B545="","Arabica",$B545))&amp;" - "&amp;(IF($C545="","Commercial",$C545))),Variables!$B$1:$D$1,0),1))*(BE545/365),""))</f>
        <v>263.59232459645466</v>
      </c>
      <c r="BG545" s="44" t="str">
        <f>IF($AX545="Cancelled","",IFERROR((W545*INDEX(Variables!$B$7:$D$7,IFERROR(MATCH(IF($B545="Robusta","Robusta",(IF($B545="","Arabica",$B545))&amp;" - "&amp;(IF($C545="","Commercial",$C545))),Variables!$B$1:$D$1,0),1))*IFERROR(IF(AB545="","",(AVERAGE(E545:F545)-AB545)-Variables!$B$14),"")/365)+(L545/16.67*INDEX(Variables!$B$8:$D$8,IFERROR(MATCH(IF($B545="Robusta","Robusta",(IF($B545="","Arabica",$B545))&amp;" - "&amp;(IF($C545="","Commercial",$C545))),Variables!$B$1:$D$1,0),1))*IFERROR(IF(AB545="","",(AVERAGE(E545:F545)-AB545)-Variables!$B$14),""))+(W545*INDEX(Variables!$B$9:$D$9,IFERROR(MATCH(IF($B545="Robusta","Robusta",(IF($B545="","Arabica",$B545))&amp;" - "&amp;(IF($C545="","Commercial",$C545))),Variables!$B$1:$D$1,0),1))*IFERROR(IF(AB545="","",(AVERAGE(E545:F545)-AB545)-Variables!$B$14),"")/365),""))</f>
        <v/>
      </c>
      <c r="BH545" s="44">
        <f>IF($AX545="Cancelled","",IFERROR((W545*INDEX(Variables!$B$7:$D$7,IFERROR(MATCH(IF($B545="Robusta","Robusta",(IF($B545="","Arabica",$B545))&amp;" - "&amp;(IF($C545="","Commercial",$C545))),Variables!$B$1:$D$1,0),1))*AK545/365)+(L545/16.67*INDEX(Variables!$B$8:$D$8,IFERROR(MATCH(IF($B545="Robusta","Robusta",(IF($B545="","Arabica",$B545))&amp;" - "&amp;(IF($C545="","Commercial",$C545))),Variables!$B$1:$D$1,0),1))*AK545)+(W545*INDEX(Variables!$B$9:$D$9,IFERROR(MATCH(IF($B545="Robusta","Robusta",(IF($B545="","Arabica",$B545))&amp;" - "&amp;(IF($C545="","Commercial",$C545))),Variables!$B$1:$D$1,0),1))*AK545/365),""))</f>
        <v>1127.0753997316999</v>
      </c>
      <c r="BI545" s="44">
        <f>IF($AX545="Cancelled","",IFERROR((W545*INDEX(Variables!$B$7:$D$7,IFERROR(MATCH(IF($B545="Robusta","Robusta",(IF($B545="","Arabica",$B545))&amp;" - "&amp;(IF($C545="","Commercial",$C545))),Variables!$B$1:$D$1,0),1))*BD545/365)+(L545/16.67*INDEX(Variables!$B$8:$D$8,IFERROR(MATCH(IF($B545="Robusta","Robusta",(IF($B545="","Arabica",$B545))&amp;" - "&amp;(IF($C545="","Commercial",$C545))),Variables!$B$1:$D$1,0),1))*BD545)+(W545*INDEX(Variables!$B$9:$D$9,IFERROR(MATCH(IF($B545="Robusta","Robusta",(IF($B545="","Arabica",$B545))&amp;" - "&amp;(IF($C545="","Commercial",$C545))),Variables!$B$1:$D$1,0),1))*BD545/365),""))</f>
        <v>-520.18864603001532</v>
      </c>
      <c r="BJ545" s="44">
        <f t="shared" si="26"/>
        <v>-11</v>
      </c>
      <c r="BK545" s="44">
        <f>IF($AX545="Cancelled","",IFERROR(IF(BJ545="","",(W545*INDEX(Variables!$B$7:$D$7,IFERROR(MATCH(IF($B545="Robusta","Robusta",(IF($B545="","Arabica",$B545))&amp;" - "&amp;(IF($C545="","Commercial",$C545))),Variables!$B$1:$D$1,0),1))*(BJ545/365))+(W545*INDEX(Variables!$B$9:$D$9,IFERROR(MATCH(IF($B545="Robusta","Robusta",(IF($B545="","Arabica",$B545))&amp;" - "&amp;(IF($C545="","Commercial",$C545))),Variables!$B$1:$D$1,0),1))*(BJ545/365))+(INDEX(Variables!$B$8:$D$8,IFERROR(MATCH(IF($B545="Robusta","Robusta",(IF($B545="","Arabica",$B545))&amp;" - "&amp;(IF($C545="","Commercial",$C545))),Variables!$B$1:$D$1,0),1))*L545/16.67)),""))</f>
        <v>-554.07918438836145</v>
      </c>
    </row>
    <row r="546" spans="1:63">
      <c r="A546" s="13" t="s">
        <v>103</v>
      </c>
      <c r="B546" s="13" t="s">
        <v>104</v>
      </c>
      <c r="C546" s="13" t="s">
        <v>105</v>
      </c>
      <c r="D546" s="31">
        <v>45988</v>
      </c>
      <c r="E546" s="31">
        <v>46054</v>
      </c>
      <c r="F546" s="31">
        <v>46081</v>
      </c>
      <c r="G546" s="13">
        <v>3787007</v>
      </c>
      <c r="J546" s="13" t="s">
        <v>118</v>
      </c>
      <c r="K546" s="13" t="s">
        <v>1554</v>
      </c>
      <c r="L546" s="13">
        <v>1667</v>
      </c>
      <c r="M546" s="13">
        <v>5</v>
      </c>
      <c r="N546" s="13" t="s">
        <v>1549</v>
      </c>
      <c r="O546" s="13" t="s">
        <v>269</v>
      </c>
      <c r="P546" s="13">
        <v>10310</v>
      </c>
      <c r="Q546" s="59" t="s">
        <v>270</v>
      </c>
      <c r="R546" s="13" t="s">
        <v>271</v>
      </c>
      <c r="S546" s="13" t="s">
        <v>283</v>
      </c>
      <c r="T546" s="13" t="s">
        <v>112</v>
      </c>
      <c r="U546" s="13" t="s">
        <v>113</v>
      </c>
      <c r="V546" s="13">
        <v>48</v>
      </c>
      <c r="W546" s="44">
        <f>IF($AX546="Cancelled","",IFERROR(((V546+INDEX(Variables!$B$6:$D$6,IFERROR(MATCH(IF($B546="Robusta","Robusta",(IF($B546="","Arabica",$B546))&amp;" - "&amp;(IF($C546="","Commercial",$C546))),Variables!$B$1:$D$1,0),1)))*22.0462)*(L546/16.67),""))</f>
        <v>746925.25599999994</v>
      </c>
      <c r="X546" s="55" t="s">
        <v>37</v>
      </c>
      <c r="Y546" s="13" t="str">
        <f>IF($AX546="Cancelled","",IF(X546="","",IFERROR(IF(INDEX(Variables!$B$38:$B$47,MATCH(X546,Variables!$A$38:$A$47,0))="Yes","Yes","No"),"No")))</f>
        <v>Yes</v>
      </c>
      <c r="Z546" s="58">
        <v>46034</v>
      </c>
      <c r="AC546" s="13" t="str">
        <f t="shared" si="24"/>
        <v/>
      </c>
      <c r="AF546" s="71">
        <v>46069</v>
      </c>
      <c r="AG546" s="37">
        <f>IF($AX546="Cancelled","",IFERROR(IF(F546="","",F546-Variables!$B$13),""))</f>
        <v>46066</v>
      </c>
      <c r="AH546" s="13" t="str">
        <f>IF($AX546="Cancelled","",IFERROR(IF(AB546="","",(AVERAGE(E546:F546)-AB546)-Variables!$B$14),""))</f>
        <v/>
      </c>
      <c r="AJ546" s="47">
        <v>46073</v>
      </c>
      <c r="AK546" s="14">
        <f>IF($AX546="Cancelled","",IFERROR(IF(AJ546="","",IF(AND(AB546="",AF546=""),"",IF(AF546&gt;AB546,AF546+Variables!$B$15+Variables!$B$16+Variables!$B$17-AJ546,AB546+Variables!$B$16+Variables!$B$17-AJ546))),""))</f>
        <v>11</v>
      </c>
      <c r="AL546" s="48" t="s">
        <v>114</v>
      </c>
      <c r="AM546" s="13" t="s">
        <v>134</v>
      </c>
      <c r="AN546" s="13" t="s">
        <v>1550</v>
      </c>
      <c r="AP546" s="31">
        <v>46092</v>
      </c>
      <c r="AR546" s="13" t="s">
        <v>1551</v>
      </c>
      <c r="AS546" s="31">
        <v>46092</v>
      </c>
      <c r="AU546" s="31">
        <v>46092</v>
      </c>
      <c r="AV546" s="13" t="s">
        <v>865</v>
      </c>
      <c r="AW546" s="31">
        <v>46092</v>
      </c>
      <c r="AX546" s="13" t="str">
        <f>IF(ISNUMBER(SEARCH("cancel",#REF!)),"Cancelled",IF(AND(AS546&lt;&gt;"",AU546&lt;&gt;"",AW546&lt;&gt;""),"Closed","Open"))</f>
        <v>Closed</v>
      </c>
      <c r="AY546" s="15" t="str">
        <f t="shared" si="25"/>
        <v>All dates received</v>
      </c>
      <c r="BD546" s="13">
        <f>IF($AX546="Cancelled","",IFERROR(IF(OR(AS546="",AJ546=""),"",(AJ546+Variables!$B$18-AS546)),""))</f>
        <v>-4</v>
      </c>
      <c r="BE546" s="13">
        <f>IF($AX546="Cancelled","",IFERROR(IF(OR(AW546="",AS546=""),"",(AS546+Variables!$B$19)-AW546),""))</f>
        <v>5</v>
      </c>
      <c r="BF546" s="44">
        <f>IF($AX546="Cancelled","",IFERROR(W546*INDEX(Variables!$B$7:$D$7,IFERROR(MATCH(IF($B546="Robusta","Robusta",(IF($B546="","Arabica",$B546))&amp;" - "&amp;(IF($C546="","Commercial",$C546))),Variables!$B$1:$D$1,0),1))*(BE546/365),""))</f>
        <v>659.77238003346838</v>
      </c>
      <c r="BG546" s="44" t="str">
        <f>IF($AX546="Cancelled","",IFERROR((W546*INDEX(Variables!$B$7:$D$7,IFERROR(MATCH(IF($B546="Robusta","Robusta",(IF($B546="","Arabica",$B546))&amp;" - "&amp;(IF($C546="","Commercial",$C546))),Variables!$B$1:$D$1,0),1))*IFERROR(IF(AB546="","",(AVERAGE(E546:F546)-AB546)-Variables!$B$14),"")/365)+(L546/16.67*INDEX(Variables!$B$8:$D$8,IFERROR(MATCH(IF($B546="Robusta","Robusta",(IF($B546="","Arabica",$B546))&amp;" - "&amp;(IF($C546="","Commercial",$C546))),Variables!$B$1:$D$1,0),1))*IFERROR(IF(AB546="","",(AVERAGE(E546:F546)-AB546)-Variables!$B$14),""))+(W546*INDEX(Variables!$B$9:$D$9,IFERROR(MATCH(IF($B546="Robusta","Robusta",(IF($B546="","Arabica",$B546))&amp;" - "&amp;(IF($C546="","Commercial",$C546))),Variables!$B$1:$D$1,0),1))*IFERROR(IF(AB546="","",(AVERAGE(E546:F546)-AB546)-Variables!$B$14),"")/365),""))</f>
        <v/>
      </c>
      <c r="BH546" s="44">
        <f>IF($AX546="Cancelled","",IFERROR((W546*INDEX(Variables!$B$7:$D$7,IFERROR(MATCH(IF($B546="Robusta","Robusta",(IF($B546="","Arabica",$B546))&amp;" - "&amp;(IF($C546="","Commercial",$C546))),Variables!$B$1:$D$1,0),1))*AK546/365)+(L546/16.67*INDEX(Variables!$B$8:$D$8,IFERROR(MATCH(IF($B546="Robusta","Robusta",(IF($B546="","Arabica",$B546))&amp;" - "&amp;(IF($C546="","Commercial",$C546))),Variables!$B$1:$D$1,0),1))*AK546)+(W546*INDEX(Variables!$B$9:$D$9,IFERROR(MATCH(IF($B546="Robusta","Robusta",(IF($B546="","Arabica",$B546))&amp;" - "&amp;(IF($C546="","Commercial",$C546))),Variables!$B$1:$D$1,0),1))*AK546/365),""))</f>
        <v>2387.0618624255235</v>
      </c>
      <c r="BI546" s="44">
        <f>IF($AX546="Cancelled","",IFERROR((W546*INDEX(Variables!$B$7:$D$7,IFERROR(MATCH(IF($B546="Robusta","Robusta",(IF($B546="","Arabica",$B546))&amp;" - "&amp;(IF($C546="","Commercial",$C546))),Variables!$B$1:$D$1,0),1))*BD546/365)+(L546/16.67*INDEX(Variables!$B$8:$D$8,IFERROR(MATCH(IF($B546="Robusta","Robusta",(IF($B546="","Arabica",$B546))&amp;" - "&amp;(IF($C546="","Commercial",$C546))),Variables!$B$1:$D$1,0),1))*BD546)+(W546*INDEX(Variables!$B$9:$D$9,IFERROR(MATCH(IF($B546="Robusta","Robusta",(IF($B546="","Arabica",$B546))&amp;" - "&amp;(IF($C546="","Commercial",$C546))),Variables!$B$1:$D$1,0),1))*BD546/365),""))</f>
        <v>-868.0224954274629</v>
      </c>
      <c r="BJ546" s="44">
        <f t="shared" si="26"/>
        <v>-11</v>
      </c>
      <c r="BK546" s="44">
        <f>IF($AX546="Cancelled","",IFERROR(IF(BJ546="","",(W546*INDEX(Variables!$B$7:$D$7,IFERROR(MATCH(IF($B546="Robusta","Robusta",(IF($B546="","Arabica",$B546))&amp;" - "&amp;(IF($C546="","Commercial",$C546))),Variables!$B$1:$D$1,0),1))*(BJ546/365))+(W546*INDEX(Variables!$B$9:$D$9,IFERROR(MATCH(IF($B546="Robusta","Robusta",(IF($B546="","Arabica",$B546))&amp;" - "&amp;(IF($C546="","Commercial",$C546))),Variables!$B$1:$D$1,0),1))*(BJ546/365))+(INDEX(Variables!$B$8:$D$8,IFERROR(MATCH(IF($B546="Robusta","Robusta",(IF($B546="","Arabica",$B546))&amp;" - "&amp;(IF($C546="","Commercial",$C546))),Variables!$B$1:$D$1,0),1))*L546/16.67)),""))</f>
        <v>-1386.8618624255234</v>
      </c>
    </row>
    <row r="547" spans="1:63">
      <c r="A547" s="13" t="s">
        <v>103</v>
      </c>
      <c r="B547" s="13" t="s">
        <v>104</v>
      </c>
      <c r="C547" s="13" t="s">
        <v>105</v>
      </c>
      <c r="D547" s="31">
        <v>45988</v>
      </c>
      <c r="E547" s="31">
        <v>46054</v>
      </c>
      <c r="F547" s="31">
        <v>46081</v>
      </c>
      <c r="G547" s="13">
        <v>3787007</v>
      </c>
      <c r="J547" s="13" t="s">
        <v>118</v>
      </c>
      <c r="K547" s="13" t="s">
        <v>1555</v>
      </c>
      <c r="L547" s="13">
        <v>666</v>
      </c>
      <c r="M547" s="13">
        <v>2</v>
      </c>
      <c r="N547" s="13" t="s">
        <v>1549</v>
      </c>
      <c r="O547" s="13" t="s">
        <v>269</v>
      </c>
      <c r="P547" s="13">
        <v>10310</v>
      </c>
      <c r="Q547" s="59" t="s">
        <v>270</v>
      </c>
      <c r="R547" s="13" t="s">
        <v>271</v>
      </c>
      <c r="S547" s="13" t="s">
        <v>276</v>
      </c>
      <c r="T547" s="13" t="s">
        <v>112</v>
      </c>
      <c r="U547" s="13" t="s">
        <v>113</v>
      </c>
      <c r="V547" s="13">
        <v>48</v>
      </c>
      <c r="W547" s="44">
        <f>IF($AX547="Cancelled","",IFERROR(((V547+INDEX(Variables!$B$6:$D$6,IFERROR(MATCH(IF($B547="Robusta","Robusta",(IF($B547="","Arabica",$B547))&amp;" - "&amp;(IF($C547="","Commercial",$C547))),Variables!$B$1:$D$1,0),1)))*22.0462)*(L547/16.67),""))</f>
        <v>298411.64996760647</v>
      </c>
      <c r="X547" s="55" t="s">
        <v>37</v>
      </c>
      <c r="Y547" s="13" t="str">
        <f>IF($AX547="Cancelled","",IF(X547="","",IFERROR(IF(INDEX(Variables!$B$38:$B$47,MATCH(X547,Variables!$A$38:$A$47,0))="Yes","Yes","No"),"No")))</f>
        <v>Yes</v>
      </c>
      <c r="Z547" s="58">
        <v>46034</v>
      </c>
      <c r="AC547" s="13" t="str">
        <f t="shared" si="24"/>
        <v/>
      </c>
      <c r="AF547" s="71">
        <v>46069</v>
      </c>
      <c r="AG547" s="37">
        <f>IF($AX547="Cancelled","",IFERROR(IF(F547="","",F547-Variables!$B$13),""))</f>
        <v>46066</v>
      </c>
      <c r="AH547" s="13" t="str">
        <f>IF($AX547="Cancelled","",IFERROR(IF(AB547="","",(AVERAGE(E547:F547)-AB547)-Variables!$B$14),""))</f>
        <v/>
      </c>
      <c r="AJ547" s="47">
        <v>46071</v>
      </c>
      <c r="AK547" s="14">
        <f>IF($AX547="Cancelled","",IFERROR(IF(AJ547="","",IF(AND(AB547="",AF547=""),"",IF(AF547&gt;AB547,AF547+Variables!$B$15+Variables!$B$16+Variables!$B$17-AJ547,AB547+Variables!$B$16+Variables!$B$17-AJ547))),""))</f>
        <v>13</v>
      </c>
      <c r="AL547" s="48" t="s">
        <v>114</v>
      </c>
      <c r="AM547" s="13" t="s">
        <v>134</v>
      </c>
      <c r="AN547" s="13" t="s">
        <v>1550</v>
      </c>
      <c r="AP547" s="31">
        <v>46092</v>
      </c>
      <c r="AR547" s="13" t="s">
        <v>1551</v>
      </c>
      <c r="AS547" s="31">
        <v>46092</v>
      </c>
      <c r="AU547" s="31">
        <v>46092</v>
      </c>
      <c r="AV547" s="13" t="s">
        <v>865</v>
      </c>
      <c r="AW547" s="31">
        <v>46092</v>
      </c>
      <c r="AX547" s="13" t="str">
        <f>IF(ISNUMBER(SEARCH("cancel",#REF!)),"Cancelled",IF(AND(AS547&lt;&gt;"",AU547&lt;&gt;"",AW547&lt;&gt;""),"Closed","Open"))</f>
        <v>Closed</v>
      </c>
      <c r="AY547" s="15" t="str">
        <f t="shared" si="25"/>
        <v>All dates received</v>
      </c>
      <c r="BD547" s="13">
        <f>IF($AX547="Cancelled","",IFERROR(IF(OR(AS547="",AJ547=""),"",(AJ547+Variables!$B$18-AS547)),""))</f>
        <v>-6</v>
      </c>
      <c r="BE547" s="13">
        <f>IF($AX547="Cancelled","",IFERROR(IF(OR(AW547="",AS547=""),"",(AS547+Variables!$B$19)-AW547),""))</f>
        <v>5</v>
      </c>
      <c r="BF547" s="44">
        <f>IF($AX547="Cancelled","",IFERROR(W547*INDEX(Variables!$B$7:$D$7,IFERROR(MATCH(IF($B547="Robusta","Robusta",(IF($B547="","Arabica",$B547))&amp;" - "&amp;(IF($C547="","Commercial",$C547))),Variables!$B$1:$D$1,0),1))*(BE547/365),""))</f>
        <v>263.59232459645466</v>
      </c>
      <c r="BG547" s="44" t="str">
        <f>IF($AX547="Cancelled","",IFERROR((W547*INDEX(Variables!$B$7:$D$7,IFERROR(MATCH(IF($B547="Robusta","Robusta",(IF($B547="","Arabica",$B547))&amp;" - "&amp;(IF($C547="","Commercial",$C547))),Variables!$B$1:$D$1,0),1))*IFERROR(IF(AB547="","",(AVERAGE(E547:F547)-AB547)-Variables!$B$14),"")/365)+(L547/16.67*INDEX(Variables!$B$8:$D$8,IFERROR(MATCH(IF($B547="Robusta","Robusta",(IF($B547="","Arabica",$B547))&amp;" - "&amp;(IF($C547="","Commercial",$C547))),Variables!$B$1:$D$1,0),1))*IFERROR(IF(AB547="","",(AVERAGE(E547:F547)-AB547)-Variables!$B$14),""))+(W547*INDEX(Variables!$B$9:$D$9,IFERROR(MATCH(IF($B547="Robusta","Robusta",(IF($B547="","Arabica",$B547))&amp;" - "&amp;(IF($C547="","Commercial",$C547))),Variables!$B$1:$D$1,0),1))*IFERROR(IF(AB547="","",(AVERAGE(E547:F547)-AB547)-Variables!$B$14),"")/365),""))</f>
        <v/>
      </c>
      <c r="BH547" s="44">
        <f>IF($AX547="Cancelled","",IFERROR((W547*INDEX(Variables!$B$7:$D$7,IFERROR(MATCH(IF($B547="Robusta","Robusta",(IF($B547="","Arabica",$B547))&amp;" - "&amp;(IF($C547="","Commercial",$C547))),Variables!$B$1:$D$1,0),1))*AK547/365)+(L547/16.67*INDEX(Variables!$B$8:$D$8,IFERROR(MATCH(IF($B547="Robusta","Robusta",(IF($B547="","Arabica",$B547))&amp;" - "&amp;(IF($C547="","Commercial",$C547))),Variables!$B$1:$D$1,0),1))*AK547)+(W547*INDEX(Variables!$B$9:$D$9,IFERROR(MATCH(IF($B547="Robusta","Robusta",(IF($B547="","Arabica",$B547))&amp;" - "&amp;(IF($C547="","Commercial",$C547))),Variables!$B$1:$D$1,0),1))*AK547/365),""))</f>
        <v>1127.0753997316999</v>
      </c>
      <c r="BI547" s="44">
        <f>IF($AX547="Cancelled","",IFERROR((W547*INDEX(Variables!$B$7:$D$7,IFERROR(MATCH(IF($B547="Robusta","Robusta",(IF($B547="","Arabica",$B547))&amp;" - "&amp;(IF($C547="","Commercial",$C547))),Variables!$B$1:$D$1,0),1))*BD547/365)+(L547/16.67*INDEX(Variables!$B$8:$D$8,IFERROR(MATCH(IF($B547="Robusta","Robusta",(IF($B547="","Arabica",$B547))&amp;" - "&amp;(IF($C547="","Commercial",$C547))),Variables!$B$1:$D$1,0),1))*BD547)+(W547*INDEX(Variables!$B$9:$D$9,IFERROR(MATCH(IF($B547="Robusta","Robusta",(IF($B547="","Arabica",$B547))&amp;" - "&amp;(IF($C547="","Commercial",$C547))),Variables!$B$1:$D$1,0),1))*BD547/365),""))</f>
        <v>-520.18864603001532</v>
      </c>
      <c r="BJ547" s="44">
        <f t="shared" si="26"/>
        <v>-11</v>
      </c>
      <c r="BK547" s="44">
        <f>IF($AX547="Cancelled","",IFERROR(IF(BJ547="","",(W547*INDEX(Variables!$B$7:$D$7,IFERROR(MATCH(IF($B547="Robusta","Robusta",(IF($B547="","Arabica",$B547))&amp;" - "&amp;(IF($C547="","Commercial",$C547))),Variables!$B$1:$D$1,0),1))*(BJ547/365))+(W547*INDEX(Variables!$B$9:$D$9,IFERROR(MATCH(IF($B547="Robusta","Robusta",(IF($B547="","Arabica",$B547))&amp;" - "&amp;(IF($C547="","Commercial",$C547))),Variables!$B$1:$D$1,0),1))*(BJ547/365))+(INDEX(Variables!$B$8:$D$8,IFERROR(MATCH(IF($B547="Robusta","Robusta",(IF($B547="","Arabica",$B547))&amp;" - "&amp;(IF($C547="","Commercial",$C547))),Variables!$B$1:$D$1,0),1))*L547/16.67)),""))</f>
        <v>-554.07918438836145</v>
      </c>
    </row>
    <row r="548" spans="1:63">
      <c r="A548" s="13" t="s">
        <v>103</v>
      </c>
      <c r="B548" s="13" t="s">
        <v>104</v>
      </c>
      <c r="C548" s="13" t="s">
        <v>105</v>
      </c>
      <c r="D548" s="31">
        <v>45988</v>
      </c>
      <c r="E548" s="31">
        <v>46082</v>
      </c>
      <c r="F548" s="31">
        <v>46112</v>
      </c>
      <c r="G548" s="13">
        <v>3787008</v>
      </c>
      <c r="H548" s="13" t="s">
        <v>1556</v>
      </c>
      <c r="J548" s="13" t="s">
        <v>118</v>
      </c>
      <c r="K548" s="13" t="s">
        <v>1556</v>
      </c>
      <c r="L548" s="13">
        <v>1667</v>
      </c>
      <c r="M548" s="13">
        <v>5</v>
      </c>
      <c r="N548" s="13" t="s">
        <v>1549</v>
      </c>
      <c r="O548" s="13" t="s">
        <v>269</v>
      </c>
      <c r="P548" s="13">
        <v>10310</v>
      </c>
      <c r="Q548" s="59" t="s">
        <v>270</v>
      </c>
      <c r="R548" s="13" t="s">
        <v>271</v>
      </c>
      <c r="S548" s="13" t="s">
        <v>1557</v>
      </c>
      <c r="T548" s="13" t="s">
        <v>112</v>
      </c>
      <c r="U548" s="13" t="s">
        <v>113</v>
      </c>
      <c r="V548" s="13">
        <v>48</v>
      </c>
      <c r="W548" s="44">
        <f>IF($AX548="Cancelled","",IFERROR(((V548+INDEX(Variables!$B$6:$D$6,IFERROR(MATCH(IF($B548="Robusta","Robusta",(IF($B548="","Arabica",$B548))&amp;" - "&amp;(IF($C548="","Commercial",$C548))),Variables!$B$1:$D$1,0),1)))*22.0462)*(L548/16.67),""))</f>
        <v>746925.25599999994</v>
      </c>
      <c r="X548" s="55" t="s">
        <v>37</v>
      </c>
      <c r="Y548" s="13" t="str">
        <f>IF($AX548="Cancelled","",IF(X548="","",IFERROR(IF(INDEX(Variables!$B$38:$B$47,MATCH(X548,Variables!$A$38:$A$47,0))="Yes","Yes","No"),"No")))</f>
        <v>Yes</v>
      </c>
      <c r="Z548" s="58">
        <v>46051</v>
      </c>
      <c r="AB548" s="31">
        <v>46059</v>
      </c>
      <c r="AC548" s="13" t="str">
        <f t="shared" si="24"/>
        <v>Approved</v>
      </c>
      <c r="AF548" s="71">
        <v>46098</v>
      </c>
      <c r="AG548" s="37">
        <f>IF($AX548="Cancelled","",IFERROR(IF(F548="","",F548-Variables!$B$13),""))</f>
        <v>46097</v>
      </c>
      <c r="AH548" s="13">
        <f>IF($AX548="Cancelled","",IFERROR(IF(AB548="","",(AVERAGE(E548:F548)-AB548)-Variables!$B$14),""))</f>
        <v>8</v>
      </c>
      <c r="AJ548" s="47">
        <v>46106</v>
      </c>
      <c r="AK548" s="14">
        <f>IF($AX548="Cancelled","",IFERROR(IF(AJ548="","",IF(AND(AB548="",AF548=""),"",IF(AF548&gt;AB548,AF548+Variables!$B$15+Variables!$B$16+Variables!$B$17-AJ548,AB548+Variables!$B$16+Variables!$B$17-AJ548))),""))</f>
        <v>7</v>
      </c>
      <c r="AL548" s="48" t="s">
        <v>114</v>
      </c>
      <c r="AM548" s="13" t="s">
        <v>115</v>
      </c>
      <c r="AN548" s="13" t="s">
        <v>1558</v>
      </c>
      <c r="AP548" s="31">
        <v>46112</v>
      </c>
      <c r="AR548" s="13">
        <v>267423281</v>
      </c>
      <c r="AS548" s="31">
        <v>46112</v>
      </c>
      <c r="AU548" s="31">
        <v>46135</v>
      </c>
      <c r="AV548" s="13" t="s">
        <v>865</v>
      </c>
      <c r="AW548" s="31">
        <v>46135</v>
      </c>
      <c r="AX548" s="13" t="str">
        <f>IF(ISNUMBER(SEARCH("cancel",#REF!)),"Cancelled",IF(AND(AS548&lt;&gt;"",AU548&lt;&gt;"",AW548&lt;&gt;""),"Closed","Open"))</f>
        <v>Closed</v>
      </c>
      <c r="AY548" s="15" t="str">
        <f t="shared" si="25"/>
        <v>All dates received</v>
      </c>
      <c r="BD548" s="13">
        <f>IF($AX548="Cancelled","",IFERROR(IF(OR(AS548="",AJ548=""),"",(AJ548+Variables!$B$18-AS548)),""))</f>
        <v>9</v>
      </c>
      <c r="BE548" s="13">
        <f>IF($AX548="Cancelled","",IFERROR(IF(OR(AW548="",AS548=""),"",(AS548+Variables!$B$19)-AW548),""))</f>
        <v>-18</v>
      </c>
      <c r="BF548" s="44">
        <f>IF($AX548="Cancelled","",IFERROR(W548*INDEX(Variables!$B$7:$D$7,IFERROR(MATCH(IF($B548="Robusta","Robusta",(IF($B548="","Arabica",$B548))&amp;" - "&amp;(IF($C548="","Commercial",$C548))),Variables!$B$1:$D$1,0),1))*(BE548/365),""))</f>
        <v>-2375.1805681204864</v>
      </c>
      <c r="BG548" s="44">
        <f>IF($AX548="Cancelled","",IFERROR((W548*INDEX(Variables!$B$7:$D$7,IFERROR(MATCH(IF($B548="Robusta","Robusta",(IF($B548="","Arabica",$B548))&amp;" - "&amp;(IF($C548="","Commercial",$C548))),Variables!$B$1:$D$1,0),1))*IFERROR(IF(AB548="","",(AVERAGE(E548:F548)-AB548)-Variables!$B$14),"")/365)+(L548/16.67*INDEX(Variables!$B$8:$D$8,IFERROR(MATCH(IF($B548="Robusta","Robusta",(IF($B548="","Arabica",$B548))&amp;" - "&amp;(IF($C548="","Commercial",$C548))),Variables!$B$1:$D$1,0),1))*IFERROR(IF(AB548="","",(AVERAGE(E548:F548)-AB548)-Variables!$B$14),""))+(W548*INDEX(Variables!$B$9:$D$9,IFERROR(MATCH(IF($B548="Robusta","Robusta",(IF($B548="","Arabica",$B548))&amp;" - "&amp;(IF($C548="","Commercial",$C548))),Variables!$B$1:$D$1,0),1))*IFERROR(IF(AB548="","",(AVERAGE(E548:F548)-AB548)-Variables!$B$14),"")/365),""))</f>
        <v>1736.0449908549258</v>
      </c>
      <c r="BH548" s="44">
        <f>IF($AX548="Cancelled","",IFERROR((W548*INDEX(Variables!$B$7:$D$7,IFERROR(MATCH(IF($B548="Robusta","Robusta",(IF($B548="","Arabica",$B548))&amp;" - "&amp;(IF($C548="","Commercial",$C548))),Variables!$B$1:$D$1,0),1))*AK548/365)+(L548/16.67*INDEX(Variables!$B$8:$D$8,IFERROR(MATCH(IF($B548="Robusta","Robusta",(IF($B548="","Arabica",$B548))&amp;" - "&amp;(IF($C548="","Commercial",$C548))),Variables!$B$1:$D$1,0),1))*AK548)+(W548*INDEX(Variables!$B$9:$D$9,IFERROR(MATCH(IF($B548="Robusta","Robusta",(IF($B548="","Arabica",$B548))&amp;" - "&amp;(IF($C548="","Commercial",$C548))),Variables!$B$1:$D$1,0),1))*AK548/365),""))</f>
        <v>1519.0393669980601</v>
      </c>
      <c r="BI548" s="44">
        <f>IF($AX548="Cancelled","",IFERROR((W548*INDEX(Variables!$B$7:$D$7,IFERROR(MATCH(IF($B548="Robusta","Robusta",(IF($B548="","Arabica",$B548))&amp;" - "&amp;(IF($C548="","Commercial",$C548))),Variables!$B$1:$D$1,0),1))*BD548/365)+(L548/16.67*INDEX(Variables!$B$8:$D$8,IFERROR(MATCH(IF($B548="Robusta","Robusta",(IF($B548="","Arabica",$B548))&amp;" - "&amp;(IF($C548="","Commercial",$C548))),Variables!$B$1:$D$1,0),1))*BD548)+(W548*INDEX(Variables!$B$9:$D$9,IFERROR(MATCH(IF($B548="Robusta","Robusta",(IF($B548="","Arabica",$B548))&amp;" - "&amp;(IF($C548="","Commercial",$C548))),Variables!$B$1:$D$1,0),1))*BD548/365),""))</f>
        <v>1953.0506147117915</v>
      </c>
      <c r="BJ548" s="44">
        <f t="shared" si="26"/>
        <v>0</v>
      </c>
      <c r="BK548" s="44">
        <f>IF($AX548="Cancelled","",IFERROR(IF(BJ548="","",(W548*INDEX(Variables!$B$7:$D$7,IFERROR(MATCH(IF($B548="Robusta","Robusta",(IF($B548="","Arabica",$B548))&amp;" - "&amp;(IF($C548="","Commercial",$C548))),Variables!$B$1:$D$1,0),1))*(BJ548/365))+(W548*INDEX(Variables!$B$9:$D$9,IFERROR(MATCH(IF($B548="Robusta","Robusta",(IF($B548="","Arabica",$B548))&amp;" - "&amp;(IF($C548="","Commercial",$C548))),Variables!$B$1:$D$1,0),1))*(BJ548/365))+(INDEX(Variables!$B$8:$D$8,IFERROR(MATCH(IF($B548="Robusta","Robusta",(IF($B548="","Arabica",$B548))&amp;" - "&amp;(IF($C548="","Commercial",$C548))),Variables!$B$1:$D$1,0),1))*L548/16.67)),""))</f>
        <v>83.350000000000009</v>
      </c>
    </row>
    <row r="549" spans="1:63">
      <c r="A549" s="13" t="s">
        <v>103</v>
      </c>
      <c r="B549" s="13" t="s">
        <v>104</v>
      </c>
      <c r="C549" s="13" t="s">
        <v>105</v>
      </c>
      <c r="D549" s="31">
        <v>45988</v>
      </c>
      <c r="E549" s="31">
        <v>46082</v>
      </c>
      <c r="F549" s="31">
        <v>46112</v>
      </c>
      <c r="G549" s="13">
        <v>3787008</v>
      </c>
      <c r="H549" s="13" t="s">
        <v>1559</v>
      </c>
      <c r="J549" s="13" t="s">
        <v>118</v>
      </c>
      <c r="K549" s="13" t="s">
        <v>1559</v>
      </c>
      <c r="L549" s="13">
        <v>1000</v>
      </c>
      <c r="M549" s="13">
        <v>3</v>
      </c>
      <c r="N549" s="13" t="s">
        <v>1549</v>
      </c>
      <c r="O549" s="13" t="s">
        <v>269</v>
      </c>
      <c r="P549" s="13">
        <v>10310</v>
      </c>
      <c r="Q549" s="59" t="s">
        <v>270</v>
      </c>
      <c r="R549" s="13" t="s">
        <v>271</v>
      </c>
      <c r="S549" s="13" t="s">
        <v>524</v>
      </c>
      <c r="T549" s="13" t="s">
        <v>112</v>
      </c>
      <c r="U549" s="13" t="s">
        <v>113</v>
      </c>
      <c r="V549" s="13">
        <v>48</v>
      </c>
      <c r="W549" s="44">
        <f>IF($AX549="Cancelled","",IFERROR(((V549+INDEX(Variables!$B$6:$D$6,IFERROR(MATCH(IF($B549="Robusta","Robusta",(IF($B549="","Arabica",$B549))&amp;" - "&amp;(IF($C549="","Commercial",$C549))),Variables!$B$1:$D$1,0),1)))*22.0462)*(L549/16.67),""))</f>
        <v>448065.54049190157</v>
      </c>
      <c r="X549" s="55" t="s">
        <v>37</v>
      </c>
      <c r="Y549" s="13" t="str">
        <f>IF($AX549="Cancelled","",IF(X549="","",IFERROR(IF(INDEX(Variables!$B$38:$B$47,MATCH(X549,Variables!$A$38:$A$47,0))="Yes","Yes","No"),"No")))</f>
        <v>Yes</v>
      </c>
      <c r="Z549" s="58">
        <v>46051</v>
      </c>
      <c r="AB549" s="31">
        <v>46059</v>
      </c>
      <c r="AC549" s="13" t="str">
        <f t="shared" si="24"/>
        <v>Approved</v>
      </c>
      <c r="AF549" s="71">
        <v>46098</v>
      </c>
      <c r="AG549" s="37">
        <f>IF($AX549="Cancelled","",IFERROR(IF(F549="","",F549-Variables!$B$13),""))</f>
        <v>46097</v>
      </c>
      <c r="AH549" s="13">
        <f>IF($AX549="Cancelled","",IFERROR(IF(AB549="","",(AVERAGE(E549:F549)-AB549)-Variables!$B$14),""))</f>
        <v>8</v>
      </c>
      <c r="AJ549" s="47">
        <v>46104</v>
      </c>
      <c r="AK549" s="14">
        <f>IF($AX549="Cancelled","",IFERROR(IF(AJ549="","",IF(AND(AB549="",AF549=""),"",IF(AF549&gt;AB549,AF549+Variables!$B$15+Variables!$B$16+Variables!$B$17-AJ549,AB549+Variables!$B$16+Variables!$B$17-AJ549))),""))</f>
        <v>9</v>
      </c>
      <c r="AL549" s="48" t="s">
        <v>114</v>
      </c>
      <c r="AM549" s="13" t="s">
        <v>115</v>
      </c>
      <c r="AN549" s="13" t="s">
        <v>1558</v>
      </c>
      <c r="AP549" s="31">
        <v>46112</v>
      </c>
      <c r="AR549" s="13">
        <v>267423281</v>
      </c>
      <c r="AS549" s="31">
        <v>46112</v>
      </c>
      <c r="AU549" s="31">
        <v>46142</v>
      </c>
      <c r="AV549" s="13" t="s">
        <v>865</v>
      </c>
      <c r="AW549" s="31">
        <v>46142</v>
      </c>
      <c r="AX549" s="13" t="str">
        <f>IF(ISNUMBER(SEARCH("cancel",#REF!)),"Cancelled",IF(AND(AS549&lt;&gt;"",AU549&lt;&gt;"",AW549&lt;&gt;""),"Closed","Open"))</f>
        <v>Closed</v>
      </c>
      <c r="AY549" s="15" t="str">
        <f t="shared" si="25"/>
        <v>All dates received</v>
      </c>
      <c r="BD549" s="13">
        <f>IF($AX549="Cancelled","",IFERROR(IF(OR(AS549="",AJ549=""),"",(AJ549+Variables!$B$18-AS549)),""))</f>
        <v>7</v>
      </c>
      <c r="BE549" s="13">
        <f>IF($AX549="Cancelled","",IFERROR(IF(OR(AW549="",AS549=""),"",(AS549+Variables!$B$19)-AW549),""))</f>
        <v>-25</v>
      </c>
      <c r="BF549" s="44">
        <f>IF($AX549="Cancelled","",IFERROR(W549*INDEX(Variables!$B$7:$D$7,IFERROR(MATCH(IF($B549="Robusta","Robusta",(IF($B549="","Arabica",$B549))&amp;" - "&amp;(IF($C549="","Commercial",$C549))),Variables!$B$1:$D$1,0),1))*(BE549/365),""))</f>
        <v>-1978.9213558292395</v>
      </c>
      <c r="BG549" s="44">
        <f>IF($AX549="Cancelled","",IFERROR((W549*INDEX(Variables!$B$7:$D$7,IFERROR(MATCH(IF($B549="Robusta","Robusta",(IF($B549="","Arabica",$B549))&amp;" - "&amp;(IF($C549="","Commercial",$C549))),Variables!$B$1:$D$1,0),1))*IFERROR(IF(AB549="","",(AVERAGE(E549:F549)-AB549)-Variables!$B$14),"")/365)+(L549/16.67*INDEX(Variables!$B$8:$D$8,IFERROR(MATCH(IF($B549="Robusta","Robusta",(IF($B549="","Arabica",$B549))&amp;" - "&amp;(IF($C549="","Commercial",$C549))),Variables!$B$1:$D$1,0),1))*IFERROR(IF(AB549="","",(AVERAGE(E549:F549)-AB549)-Variables!$B$14),""))+(W549*INDEX(Variables!$B$9:$D$9,IFERROR(MATCH(IF($B549="Robusta","Robusta",(IF($B549="","Arabica",$B549))&amp;" - "&amp;(IF($C549="","Commercial",$C549))),Variables!$B$1:$D$1,0),1))*IFERROR(IF(AB549="","",(AVERAGE(E549:F549)-AB549)-Variables!$B$14),"")/365),""))</f>
        <v>1041.4187107708015</v>
      </c>
      <c r="BH549" s="44">
        <f>IF($AX549="Cancelled","",IFERROR((W549*INDEX(Variables!$B$7:$D$7,IFERROR(MATCH(IF($B549="Robusta","Robusta",(IF($B549="","Arabica",$B549))&amp;" - "&amp;(IF($C549="","Commercial",$C549))),Variables!$B$1:$D$1,0),1))*AK549/365)+(L549/16.67*INDEX(Variables!$B$8:$D$8,IFERROR(MATCH(IF($B549="Robusta","Robusta",(IF($B549="","Arabica",$B549))&amp;" - "&amp;(IF($C549="","Commercial",$C549))),Variables!$B$1:$D$1,0),1))*AK549)+(W549*INDEX(Variables!$B$9:$D$9,IFERROR(MATCH(IF($B549="Robusta","Robusta",(IF($B549="","Arabica",$B549))&amp;" - "&amp;(IF($C549="","Commercial",$C549))),Variables!$B$1:$D$1,0),1))*AK549/365),""))</f>
        <v>1171.5960496171517</v>
      </c>
      <c r="BI549" s="44">
        <f>IF($AX549="Cancelled","",IFERROR((W549*INDEX(Variables!$B$7:$D$7,IFERROR(MATCH(IF($B549="Robusta","Robusta",(IF($B549="","Arabica",$B549))&amp;" - "&amp;(IF($C549="","Commercial",$C549))),Variables!$B$1:$D$1,0),1))*BD549/365)+(L549/16.67*INDEX(Variables!$B$8:$D$8,IFERROR(MATCH(IF($B549="Robusta","Robusta",(IF($B549="","Arabica",$B549))&amp;" - "&amp;(IF($C549="","Commercial",$C549))),Variables!$B$1:$D$1,0),1))*BD549)+(W549*INDEX(Variables!$B$9:$D$9,IFERROR(MATCH(IF($B549="Robusta","Robusta",(IF($B549="","Arabica",$B549))&amp;" - "&amp;(IF($C549="","Commercial",$C549))),Variables!$B$1:$D$1,0),1))*BD549/365),""))</f>
        <v>911.2413719244513</v>
      </c>
      <c r="BJ549" s="44">
        <f t="shared" si="26"/>
        <v>0</v>
      </c>
      <c r="BK549" s="44">
        <f>IF($AX549="Cancelled","",IFERROR(IF(BJ549="","",(W549*INDEX(Variables!$B$7:$D$7,IFERROR(MATCH(IF($B549="Robusta","Robusta",(IF($B549="","Arabica",$B549))&amp;" - "&amp;(IF($C549="","Commercial",$C549))),Variables!$B$1:$D$1,0),1))*(BJ549/365))+(W549*INDEX(Variables!$B$9:$D$9,IFERROR(MATCH(IF($B549="Robusta","Robusta",(IF($B549="","Arabica",$B549))&amp;" - "&amp;(IF($C549="","Commercial",$C549))),Variables!$B$1:$D$1,0),1))*(BJ549/365))+(INDEX(Variables!$B$8:$D$8,IFERROR(MATCH(IF($B549="Robusta","Robusta",(IF($B549="","Arabica",$B549))&amp;" - "&amp;(IF($C549="","Commercial",$C549))),Variables!$B$1:$D$1,0),1))*L549/16.67)),""))</f>
        <v>50</v>
      </c>
    </row>
    <row r="550" spans="1:63">
      <c r="A550" s="13" t="s">
        <v>103</v>
      </c>
      <c r="B550" s="13" t="s">
        <v>104</v>
      </c>
      <c r="C550" s="13" t="s">
        <v>105</v>
      </c>
      <c r="D550" s="31">
        <v>45988</v>
      </c>
      <c r="E550" s="31">
        <v>46082</v>
      </c>
      <c r="F550" s="31">
        <v>46112</v>
      </c>
      <c r="G550" s="13">
        <v>3787008</v>
      </c>
      <c r="H550" s="13" t="s">
        <v>1560</v>
      </c>
      <c r="J550" s="13" t="s">
        <v>118</v>
      </c>
      <c r="K550" s="13" t="s">
        <v>1560</v>
      </c>
      <c r="L550" s="13">
        <v>667</v>
      </c>
      <c r="M550" s="13">
        <v>2</v>
      </c>
      <c r="N550" s="13" t="s">
        <v>1549</v>
      </c>
      <c r="O550" s="13" t="s">
        <v>269</v>
      </c>
      <c r="P550" s="13">
        <v>10310</v>
      </c>
      <c r="Q550" s="59" t="s">
        <v>270</v>
      </c>
      <c r="R550" s="13" t="s">
        <v>271</v>
      </c>
      <c r="S550" s="13" t="s">
        <v>276</v>
      </c>
      <c r="T550" s="13" t="s">
        <v>112</v>
      </c>
      <c r="U550" s="13" t="s">
        <v>113</v>
      </c>
      <c r="V550" s="13">
        <v>48</v>
      </c>
      <c r="W550" s="44">
        <f>IF($AX550="Cancelled","",IFERROR(((V550+INDEX(Variables!$B$6:$D$6,IFERROR(MATCH(IF($B550="Robusta","Robusta",(IF($B550="","Arabica",$B550))&amp;" - "&amp;(IF($C550="","Commercial",$C550))),Variables!$B$1:$D$1,0),1)))*22.0462)*(L550/16.67),""))</f>
        <v>298859.71550809836</v>
      </c>
      <c r="X550" s="55" t="s">
        <v>37</v>
      </c>
      <c r="Y550" s="13" t="str">
        <f>IF($AX550="Cancelled","",IF(X550="","",IFERROR(IF(INDEX(Variables!$B$38:$B$47,MATCH(X550,Variables!$A$38:$A$47,0))="Yes","Yes","No"),"No")))</f>
        <v>Yes</v>
      </c>
      <c r="Z550" s="58">
        <v>46051</v>
      </c>
      <c r="AB550" s="31">
        <v>46059</v>
      </c>
      <c r="AC550" s="13" t="str">
        <f t="shared" si="24"/>
        <v>Approved</v>
      </c>
      <c r="AF550" s="71">
        <v>46098</v>
      </c>
      <c r="AG550" s="37">
        <f>IF($AX550="Cancelled","",IFERROR(IF(F550="","",F550-Variables!$B$13),""))</f>
        <v>46097</v>
      </c>
      <c r="AH550" s="13">
        <f>IF($AX550="Cancelled","",IFERROR(IF(AB550="","",(AVERAGE(E550:F550)-AB550)-Variables!$B$14),""))</f>
        <v>8</v>
      </c>
      <c r="AJ550" s="47">
        <v>46104</v>
      </c>
      <c r="AK550" s="14">
        <f>IF($AX550="Cancelled","",IFERROR(IF(AJ550="","",IF(AND(AB550="",AF550=""),"",IF(AF550&gt;AB550,AF550+Variables!$B$15+Variables!$B$16+Variables!$B$17-AJ550,AB550+Variables!$B$16+Variables!$B$17-AJ550))),""))</f>
        <v>9</v>
      </c>
      <c r="AL550" s="48" t="s">
        <v>114</v>
      </c>
      <c r="AM550" s="13" t="s">
        <v>115</v>
      </c>
      <c r="AN550" s="13" t="s">
        <v>1558</v>
      </c>
      <c r="AP550" s="31">
        <v>46112</v>
      </c>
      <c r="AR550" s="13">
        <v>267423281</v>
      </c>
      <c r="AS550" s="31">
        <v>46112</v>
      </c>
      <c r="AU550" s="31">
        <v>46142</v>
      </c>
      <c r="AV550" s="13" t="s">
        <v>865</v>
      </c>
      <c r="AW550" s="31">
        <v>46142</v>
      </c>
      <c r="AX550" s="13" t="str">
        <f>IF(ISNUMBER(SEARCH("cancel",#REF!)),"Cancelled",IF(AND(AS550&lt;&gt;"",AU550&lt;&gt;"",AW550&lt;&gt;""),"Closed","Open"))</f>
        <v>Closed</v>
      </c>
      <c r="AY550" s="15" t="str">
        <f t="shared" si="25"/>
        <v>All dates received</v>
      </c>
      <c r="BD550" s="13">
        <f>IF($AX550="Cancelled","",IFERROR(IF(OR(AS550="",AJ550=""),"",(AJ550+Variables!$B$18-AS550)),""))</f>
        <v>7</v>
      </c>
      <c r="BE550" s="13">
        <f>IF($AX550="Cancelled","",IFERROR(IF(OR(AW550="",AS550=""),"",(AS550+Variables!$B$19)-AW550),""))</f>
        <v>-25</v>
      </c>
      <c r="BF550" s="44">
        <f>IF($AX550="Cancelled","",IFERROR(W550*INDEX(Variables!$B$7:$D$7,IFERROR(MATCH(IF($B550="Robusta","Robusta",(IF($B550="","Arabica",$B550))&amp;" - "&amp;(IF($C550="","Commercial",$C550))),Variables!$B$1:$D$1,0),1))*(BE550/365),""))</f>
        <v>-1319.9405443381027</v>
      </c>
      <c r="BG550" s="44">
        <f>IF($AX550="Cancelled","",IFERROR((W550*INDEX(Variables!$B$7:$D$7,IFERROR(MATCH(IF($B550="Robusta","Robusta",(IF($B550="","Arabica",$B550))&amp;" - "&amp;(IF($C550="","Commercial",$C550))),Variables!$B$1:$D$1,0),1))*IFERROR(IF(AB550="","",(AVERAGE(E550:F550)-AB550)-Variables!$B$14),"")/365)+(L550/16.67*INDEX(Variables!$B$8:$D$8,IFERROR(MATCH(IF($B550="Robusta","Robusta",(IF($B550="","Arabica",$B550))&amp;" - "&amp;(IF($C550="","Commercial",$C550))),Variables!$B$1:$D$1,0),1))*IFERROR(IF(AB550="","",(AVERAGE(E550:F550)-AB550)-Variables!$B$14),""))+(W550*INDEX(Variables!$B$9:$D$9,IFERROR(MATCH(IF($B550="Robusta","Robusta",(IF($B550="","Arabica",$B550))&amp;" - "&amp;(IF($C550="","Commercial",$C550))),Variables!$B$1:$D$1,0),1))*IFERROR(IF(AB550="","",(AVERAGE(E550:F550)-AB550)-Variables!$B$14),"")/365),""))</f>
        <v>694.62628008412457</v>
      </c>
      <c r="BH550" s="44">
        <f>IF($AX550="Cancelled","",IFERROR((W550*INDEX(Variables!$B$7:$D$7,IFERROR(MATCH(IF($B550="Robusta","Robusta",(IF($B550="","Arabica",$B550))&amp;" - "&amp;(IF($C550="","Commercial",$C550))),Variables!$B$1:$D$1,0),1))*AK550/365)+(L550/16.67*INDEX(Variables!$B$8:$D$8,IFERROR(MATCH(IF($B550="Robusta","Robusta",(IF($B550="","Arabica",$B550))&amp;" - "&amp;(IF($C550="","Commercial",$C550))),Variables!$B$1:$D$1,0),1))*AK550)+(W550*INDEX(Variables!$B$9:$D$9,IFERROR(MATCH(IF($B550="Robusta","Robusta",(IF($B550="","Arabica",$B550))&amp;" - "&amp;(IF($C550="","Commercial",$C550))),Variables!$B$1:$D$1,0),1))*AK550/365),""))</f>
        <v>781.4545650946402</v>
      </c>
      <c r="BI550" s="44">
        <f>IF($AX550="Cancelled","",IFERROR((W550*INDEX(Variables!$B$7:$D$7,IFERROR(MATCH(IF($B550="Robusta","Robusta",(IF($B550="","Arabica",$B550))&amp;" - "&amp;(IF($C550="","Commercial",$C550))),Variables!$B$1:$D$1,0),1))*BD550/365)+(L550/16.67*INDEX(Variables!$B$8:$D$8,IFERROR(MATCH(IF($B550="Robusta","Robusta",(IF($B550="","Arabica",$B550))&amp;" - "&amp;(IF($C550="","Commercial",$C550))),Variables!$B$1:$D$1,0),1))*BD550)+(W550*INDEX(Variables!$B$9:$D$9,IFERROR(MATCH(IF($B550="Robusta","Robusta",(IF($B550="","Arabica",$B550))&amp;" - "&amp;(IF($C550="","Commercial",$C550))),Variables!$B$1:$D$1,0),1))*BD550/365),""))</f>
        <v>607.79799507360906</v>
      </c>
      <c r="BJ550" s="44">
        <f t="shared" si="26"/>
        <v>0</v>
      </c>
      <c r="BK550" s="44">
        <f>IF($AX550="Cancelled","",IFERROR(IF(BJ550="","",(W550*INDEX(Variables!$B$7:$D$7,IFERROR(MATCH(IF($B550="Robusta","Robusta",(IF($B550="","Arabica",$B550))&amp;" - "&amp;(IF($C550="","Commercial",$C550))),Variables!$B$1:$D$1,0),1))*(BJ550/365))+(W550*INDEX(Variables!$B$9:$D$9,IFERROR(MATCH(IF($B550="Robusta","Robusta",(IF($B550="","Arabica",$B550))&amp;" - "&amp;(IF($C550="","Commercial",$C550))),Variables!$B$1:$D$1,0),1))*(BJ550/365))+(INDEX(Variables!$B$8:$D$8,IFERROR(MATCH(IF($B550="Robusta","Robusta",(IF($B550="","Arabica",$B550))&amp;" - "&amp;(IF($C550="","Commercial",$C550))),Variables!$B$1:$D$1,0),1))*L550/16.67)),""))</f>
        <v>33.35</v>
      </c>
    </row>
    <row r="551" spans="1:63">
      <c r="A551" s="13" t="s">
        <v>103</v>
      </c>
      <c r="B551" s="13" t="s">
        <v>104</v>
      </c>
      <c r="C551" s="13" t="s">
        <v>105</v>
      </c>
      <c r="D551" s="31">
        <v>45988</v>
      </c>
      <c r="E551" s="31">
        <v>46082</v>
      </c>
      <c r="F551" s="31">
        <v>46112</v>
      </c>
      <c r="G551" s="13">
        <v>3787008</v>
      </c>
      <c r="H551" s="13" t="s">
        <v>1561</v>
      </c>
      <c r="J551" s="13" t="s">
        <v>118</v>
      </c>
      <c r="K551" s="13" t="s">
        <v>1561</v>
      </c>
      <c r="L551" s="13">
        <v>334</v>
      </c>
      <c r="M551" s="13">
        <v>1</v>
      </c>
      <c r="N551" s="13" t="s">
        <v>1549</v>
      </c>
      <c r="O551" s="13" t="s">
        <v>269</v>
      </c>
      <c r="P551" s="13">
        <v>10310</v>
      </c>
      <c r="Q551" s="59" t="s">
        <v>270</v>
      </c>
      <c r="R551" s="13" t="s">
        <v>271</v>
      </c>
      <c r="S551" s="13" t="s">
        <v>272</v>
      </c>
      <c r="T551" s="13" t="s">
        <v>112</v>
      </c>
      <c r="U551" s="13" t="s">
        <v>113</v>
      </c>
      <c r="V551" s="13">
        <v>48</v>
      </c>
      <c r="W551" s="44">
        <f>IF($AX551="Cancelled","",IFERROR(((V551+INDEX(Variables!$B$6:$D$6,IFERROR(MATCH(IF($B551="Robusta","Robusta",(IF($B551="","Arabica",$B551))&amp;" - "&amp;(IF($C551="","Commercial",$C551))),Variables!$B$1:$D$1,0),1)))*22.0462)*(L551/16.67),""))</f>
        <v>149653.89052429513</v>
      </c>
      <c r="X551" s="55" t="s">
        <v>37</v>
      </c>
      <c r="Y551" s="13" t="str">
        <f>IF($AX551="Cancelled","",IF(X551="","",IFERROR(IF(INDEX(Variables!$B$38:$B$47,MATCH(X551,Variables!$A$38:$A$47,0))="Yes","Yes","No"),"No")))</f>
        <v>Yes</v>
      </c>
      <c r="Z551" s="58">
        <v>46051</v>
      </c>
      <c r="AB551" s="31">
        <v>46059</v>
      </c>
      <c r="AC551" s="13" t="str">
        <f t="shared" si="24"/>
        <v>Approved</v>
      </c>
      <c r="AF551" s="71">
        <v>46098</v>
      </c>
      <c r="AG551" s="37">
        <f>IF($AX551="Cancelled","",IFERROR(IF(F551="","",F551-Variables!$B$13),""))</f>
        <v>46097</v>
      </c>
      <c r="AH551" s="13">
        <f>IF($AX551="Cancelled","",IFERROR(IF(AB551="","",(AVERAGE(E551:F551)-AB551)-Variables!$B$14),""))</f>
        <v>8</v>
      </c>
      <c r="AJ551" s="47">
        <v>46104</v>
      </c>
      <c r="AK551" s="14">
        <f>IF($AX551="Cancelled","",IFERROR(IF(AJ551="","",IF(AND(AB551="",AF551=""),"",IF(AF551&gt;AB551,AF551+Variables!$B$15+Variables!$B$16+Variables!$B$17-AJ551,AB551+Variables!$B$16+Variables!$B$17-AJ551))),""))</f>
        <v>9</v>
      </c>
      <c r="AL551" s="48" t="s">
        <v>114</v>
      </c>
      <c r="AM551" s="13" t="s">
        <v>115</v>
      </c>
      <c r="AN551" s="13" t="s">
        <v>1558</v>
      </c>
      <c r="AP551" s="31">
        <v>46112</v>
      </c>
      <c r="AR551" s="13">
        <v>267423281</v>
      </c>
      <c r="AS551" s="31">
        <v>46112</v>
      </c>
      <c r="AU551" s="31">
        <v>46142</v>
      </c>
      <c r="AV551" s="13" t="s">
        <v>865</v>
      </c>
      <c r="AW551" s="31">
        <v>46142</v>
      </c>
      <c r="AX551" s="13" t="str">
        <f>IF(ISNUMBER(SEARCH("cancel",#REF!)),"Cancelled",IF(AND(AS551&lt;&gt;"",AU551&lt;&gt;"",AW551&lt;&gt;""),"Closed","Open"))</f>
        <v>Closed</v>
      </c>
      <c r="AY551" s="15" t="str">
        <f t="shared" si="25"/>
        <v>All dates received</v>
      </c>
      <c r="BD551" s="13">
        <f>IF($AX551="Cancelled","",IFERROR(IF(OR(AS551="",AJ551=""),"",(AJ551+Variables!$B$18-AS551)),""))</f>
        <v>7</v>
      </c>
      <c r="BE551" s="13">
        <f>IF($AX551="Cancelled","",IFERROR(IF(OR(AW551="",AS551=""),"",(AS551+Variables!$B$19)-AW551),""))</f>
        <v>-25</v>
      </c>
      <c r="BF551" s="44">
        <f>IF($AX551="Cancelled","",IFERROR(W551*INDEX(Variables!$B$7:$D$7,IFERROR(MATCH(IF($B551="Robusta","Robusta",(IF($B551="","Arabica",$B551))&amp;" - "&amp;(IF($C551="","Commercial",$C551))),Variables!$B$1:$D$1,0),1))*(BE551/365),""))</f>
        <v>-660.95973284696595</v>
      </c>
      <c r="BG551" s="44">
        <f>IF($AX551="Cancelled","",IFERROR((W551*INDEX(Variables!$B$7:$D$7,IFERROR(MATCH(IF($B551="Robusta","Robusta",(IF($B551="","Arabica",$B551))&amp;" - "&amp;(IF($C551="","Commercial",$C551))),Variables!$B$1:$D$1,0),1))*IFERROR(IF(AB551="","",(AVERAGE(E551:F551)-AB551)-Variables!$B$14),"")/365)+(L551/16.67*INDEX(Variables!$B$8:$D$8,IFERROR(MATCH(IF($B551="Robusta","Robusta",(IF($B551="","Arabica",$B551))&amp;" - "&amp;(IF($C551="","Commercial",$C551))),Variables!$B$1:$D$1,0),1))*IFERROR(IF(AB551="","",(AVERAGE(E551:F551)-AB551)-Variables!$B$14),""))+(W551*INDEX(Variables!$B$9:$D$9,IFERROR(MATCH(IF($B551="Robusta","Robusta",(IF($B551="","Arabica",$B551))&amp;" - "&amp;(IF($C551="","Commercial",$C551))),Variables!$B$1:$D$1,0),1))*IFERROR(IF(AB551="","",(AVERAGE(E551:F551)-AB551)-Variables!$B$14),"")/365),""))</f>
        <v>347.83384939744775</v>
      </c>
      <c r="BH551" s="44">
        <f>IF($AX551="Cancelled","",IFERROR((W551*INDEX(Variables!$B$7:$D$7,IFERROR(MATCH(IF($B551="Robusta","Robusta",(IF($B551="","Arabica",$B551))&amp;" - "&amp;(IF($C551="","Commercial",$C551))),Variables!$B$1:$D$1,0),1))*AK551/365)+(L551/16.67*INDEX(Variables!$B$8:$D$8,IFERROR(MATCH(IF($B551="Robusta","Robusta",(IF($B551="","Arabica",$B551))&amp;" - "&amp;(IF($C551="","Commercial",$C551))),Variables!$B$1:$D$1,0),1))*AK551)+(W551*INDEX(Variables!$B$9:$D$9,IFERROR(MATCH(IF($B551="Robusta","Robusta",(IF($B551="","Arabica",$B551))&amp;" - "&amp;(IF($C551="","Commercial",$C551))),Variables!$B$1:$D$1,0),1))*AK551/365),""))</f>
        <v>391.31308057212868</v>
      </c>
      <c r="BI551" s="44">
        <f>IF($AX551="Cancelled","",IFERROR((W551*INDEX(Variables!$B$7:$D$7,IFERROR(MATCH(IF($B551="Robusta","Robusta",(IF($B551="","Arabica",$B551))&amp;" - "&amp;(IF($C551="","Commercial",$C551))),Variables!$B$1:$D$1,0),1))*BD551/365)+(L551/16.67*INDEX(Variables!$B$8:$D$8,IFERROR(MATCH(IF($B551="Robusta","Robusta",(IF($B551="","Arabica",$B551))&amp;" - "&amp;(IF($C551="","Commercial",$C551))),Variables!$B$1:$D$1,0),1))*BD551)+(W551*INDEX(Variables!$B$9:$D$9,IFERROR(MATCH(IF($B551="Robusta","Robusta",(IF($B551="","Arabica",$B551))&amp;" - "&amp;(IF($C551="","Commercial",$C551))),Variables!$B$1:$D$1,0),1))*BD551/365),""))</f>
        <v>304.3546182227667</v>
      </c>
      <c r="BJ551" s="44">
        <f t="shared" si="26"/>
        <v>0</v>
      </c>
      <c r="BK551" s="44">
        <f>IF($AX551="Cancelled","",IFERROR(IF(BJ551="","",(W551*INDEX(Variables!$B$7:$D$7,IFERROR(MATCH(IF($B551="Robusta","Robusta",(IF($B551="","Arabica",$B551))&amp;" - "&amp;(IF($C551="","Commercial",$C551))),Variables!$B$1:$D$1,0),1))*(BJ551/365))+(W551*INDEX(Variables!$B$9:$D$9,IFERROR(MATCH(IF($B551="Robusta","Robusta",(IF($B551="","Arabica",$B551))&amp;" - "&amp;(IF($C551="","Commercial",$C551))),Variables!$B$1:$D$1,0),1))*(BJ551/365))+(INDEX(Variables!$B$8:$D$8,IFERROR(MATCH(IF($B551="Robusta","Robusta",(IF($B551="","Arabica",$B551))&amp;" - "&amp;(IF($C551="","Commercial",$C551))),Variables!$B$1:$D$1,0),1))*L551/16.67)),""))</f>
        <v>16.700000000000003</v>
      </c>
    </row>
    <row r="552" spans="1:63">
      <c r="A552" s="13" t="s">
        <v>103</v>
      </c>
      <c r="B552" s="13" t="s">
        <v>104</v>
      </c>
      <c r="C552" s="13" t="s">
        <v>292</v>
      </c>
      <c r="D552" s="31">
        <v>45989</v>
      </c>
      <c r="E552" s="31">
        <v>45992</v>
      </c>
      <c r="F552" s="31">
        <v>46022</v>
      </c>
      <c r="G552" s="13">
        <v>3787009</v>
      </c>
      <c r="H552" s="13" t="s">
        <v>1562</v>
      </c>
      <c r="J552" s="13" t="s">
        <v>294</v>
      </c>
      <c r="K552" s="13" t="s">
        <v>1563</v>
      </c>
      <c r="L552" s="13">
        <v>37</v>
      </c>
      <c r="M552" s="13">
        <v>1</v>
      </c>
      <c r="N552" s="13" t="s">
        <v>1564</v>
      </c>
      <c r="O552" s="13" t="s">
        <v>297</v>
      </c>
      <c r="P552" s="13">
        <v>10020</v>
      </c>
      <c r="Q552" s="13" t="s">
        <v>121</v>
      </c>
      <c r="R552" s="13" t="s">
        <v>384</v>
      </c>
      <c r="S552" s="13" t="s">
        <v>299</v>
      </c>
      <c r="T552" s="13" t="s">
        <v>305</v>
      </c>
      <c r="U552" s="13" t="s">
        <v>125</v>
      </c>
      <c r="V552" s="13">
        <v>130</v>
      </c>
      <c r="W552" s="44">
        <f>IF($AX552="Cancelled","",IFERROR(((V552+INDEX(Variables!$B$6:$D$6,IFERROR(MATCH(IF($B552="Robusta","Robusta",(IF($B552="","Arabica",$B552))&amp;" - "&amp;(IF($C552="","Commercial",$C552))),Variables!$B$1:$D$1,0),1)))*22.0462)*(L552/16.67),""))</f>
        <v>20590.912748650266</v>
      </c>
      <c r="X552" s="55" t="s">
        <v>39</v>
      </c>
      <c r="Y552" s="13" t="str">
        <f>IF($AX552="Cancelled","",IF(X552="","",IFERROR(IF(INDEX(Variables!$B$38:$B$47,MATCH(X552,Variables!$A$38:$A$47,0))="Yes","Yes","No"),"No")))</f>
        <v>No</v>
      </c>
      <c r="Z552" s="31"/>
      <c r="AB552" s="31">
        <v>45975.875</v>
      </c>
      <c r="AC552" s="13" t="str">
        <f t="shared" si="24"/>
        <v>Approved</v>
      </c>
      <c r="AF552" s="71">
        <v>45996</v>
      </c>
      <c r="AG552" s="31">
        <f>IF($AX552="Cancelled","",IFERROR(IF(F552="","",F552-Variables!$B$13),""))</f>
        <v>46007</v>
      </c>
      <c r="AH552" s="13">
        <f>IF($AX552="Cancelled","",IFERROR(IF(AB552="","",(AVERAGE(E552:F552)-AB552)-Variables!$B$14),""))</f>
        <v>1.125</v>
      </c>
      <c r="AJ552" s="47">
        <v>46006</v>
      </c>
      <c r="AK552" s="14">
        <f>IF($AX552="Cancelled","",IFERROR(IF(AJ552="","",IF(AND(AB552="",AF552=""),"",IF(AF552&gt;AB552,AF552+Variables!$B$15+Variables!$B$16+Variables!$B$17-AJ552,AB552+Variables!$B$16+Variables!$B$17-AJ552))),""))</f>
        <v>5</v>
      </c>
      <c r="AL552" s="48" t="s">
        <v>114</v>
      </c>
      <c r="AM552" s="13" t="s">
        <v>613</v>
      </c>
      <c r="AN552" s="13" t="s">
        <v>1621</v>
      </c>
      <c r="AP552" s="31">
        <v>46016</v>
      </c>
      <c r="AR552" s="13" t="s">
        <v>3238</v>
      </c>
      <c r="AS552" s="31">
        <v>46019</v>
      </c>
      <c r="AU552" s="31">
        <v>46030</v>
      </c>
      <c r="AV552" s="13" t="s">
        <v>3239</v>
      </c>
      <c r="AW552" s="31">
        <v>46045</v>
      </c>
      <c r="AX552" s="13" t="str">
        <f>IF(ISNUMBER(SEARCH("cancel",#REF!)),"Cancelled",IF(AND(AS552&lt;&gt;"",AU552&lt;&gt;"",AW552&lt;&gt;""),"Closed","Open"))</f>
        <v>Closed</v>
      </c>
      <c r="AY552" s="15" t="str">
        <f t="shared" si="25"/>
        <v>All dates received</v>
      </c>
      <c r="BD552" s="13">
        <f>IF($AX552="Cancelled","",IFERROR(IF(OR(AS552="",AJ552=""),"",(AJ552+Variables!$B$18-AS552)),""))</f>
        <v>2</v>
      </c>
      <c r="BE552" s="13">
        <f>IF($AX552="Cancelled","",IFERROR(IF(OR(AW552="",AS552=""),"",(AS552+Variables!$B$19)-AW552),""))</f>
        <v>-21</v>
      </c>
      <c r="BF552" s="44">
        <f>IF($AX552="Cancelled","",IFERROR(W552*INDEX(Variables!$B$7:$D$7,IFERROR(MATCH(IF($B552="Robusta","Robusta",(IF($B552="","Arabica",$B552))&amp;" - "&amp;(IF($C552="","Commercial",$C552))),Variables!$B$1:$D$1,0),1))*(BE552/365),""))</f>
        <v>-76.390943657154352</v>
      </c>
      <c r="BG552" s="44">
        <f>IF($AX552="Cancelled","",IFERROR((W552*INDEX(Variables!$B$7:$D$7,IFERROR(MATCH(IF($B552="Robusta","Robusta",(IF($B552="","Arabica",$B552))&amp;" - "&amp;(IF($C552="","Commercial",$C552))),Variables!$B$1:$D$1,0),1))*IFERROR(IF(AB552="","",(AVERAGE(E552:F552)-AB552)-Variables!$B$14),"")/365)+(L552/16.67*INDEX(Variables!$B$8:$D$8,IFERROR(MATCH(IF($B552="Robusta","Robusta",(IF($B552="","Arabica",$B552))&amp;" - "&amp;(IF($C552="","Commercial",$C552))),Variables!$B$1:$D$1,0),1))*IFERROR(IF(AB552="","",(AVERAGE(E552:F552)-AB552)-Variables!$B$14),""))+(W552*INDEX(Variables!$B$9:$D$9,IFERROR(MATCH(IF($B552="Robusta","Robusta",(IF($B552="","Arabica",$B552))&amp;" - "&amp;(IF($C552="","Commercial",$C552))),Variables!$B$1:$D$1,0),1))*IFERROR(IF(AB552="","",(AVERAGE(E552:F552)-AB552)-Variables!$B$14),"")/365),""))</f>
        <v>6.2263805542057273</v>
      </c>
      <c r="BH552" s="44">
        <f>IF($AX552="Cancelled","",IFERROR((W552*INDEX(Variables!$B$7:$D$7,IFERROR(MATCH(IF($B552="Robusta","Robusta",(IF($B552="","Arabica",$B552))&amp;" - "&amp;(IF($C552="","Commercial",$C552))),Variables!$B$1:$D$1,0),1))*AK552/365)+(L552/16.67*INDEX(Variables!$B$8:$D$8,IFERROR(MATCH(IF($B552="Robusta","Robusta",(IF($B552="","Arabica",$B552))&amp;" - "&amp;(IF($C552="","Commercial",$C552))),Variables!$B$1:$D$1,0),1))*AK552)+(W552*INDEX(Variables!$B$9:$D$9,IFERROR(MATCH(IF($B552="Robusta","Robusta",(IF($B552="","Arabica",$B552))&amp;" - "&amp;(IF($C552="","Commercial",$C552))),Variables!$B$1:$D$1,0),1))*AK552/365),""))</f>
        <v>27.672802463136566</v>
      </c>
      <c r="BI552" s="44">
        <f>IF($AX552="Cancelled","",IFERROR((W552*INDEX(Variables!$B$7:$D$7,IFERROR(MATCH(IF($B552="Robusta","Robusta",(IF($B552="","Arabica",$B552))&amp;" - "&amp;(IF($C552="","Commercial",$C552))),Variables!$B$1:$D$1,0),1))*BD552/365)+(L552/16.67*INDEX(Variables!$B$8:$D$8,IFERROR(MATCH(IF($B552="Robusta","Robusta",(IF($B552="","Arabica",$B552))&amp;" - "&amp;(IF($C552="","Commercial",$C552))),Variables!$B$1:$D$1,0),1))*BD552)+(W552*INDEX(Variables!$B$9:$D$9,IFERROR(MATCH(IF($B552="Robusta","Robusta",(IF($B552="","Arabica",$B552))&amp;" - "&amp;(IF($C552="","Commercial",$C552))),Variables!$B$1:$D$1,0),1))*BD552/365),""))</f>
        <v>11.069120985254626</v>
      </c>
      <c r="BJ552" s="44">
        <f t="shared" si="26"/>
        <v>3</v>
      </c>
      <c r="BK552" s="44">
        <f>IF($AX552="Cancelled","",IFERROR(IF(BJ552="","",(W552*INDEX(Variables!$B$7:$D$7,IFERROR(MATCH(IF($B552="Robusta","Robusta",(IF($B552="","Arabica",$B552))&amp;" - "&amp;(IF($C552="","Commercial",$C552))),Variables!$B$1:$D$1,0),1))*(BJ552/365))+(W552*INDEX(Variables!$B$9:$D$9,IFERROR(MATCH(IF($B552="Robusta","Robusta",(IF($B552="","Arabica",$B552))&amp;" - "&amp;(IF($C552="","Commercial",$C552))),Variables!$B$1:$D$1,0),1))*(BJ552/365))+(INDEX(Variables!$B$8:$D$8,IFERROR(MATCH(IF($B552="Robusta","Robusta",(IF($B552="","Arabica",$B552))&amp;" - "&amp;(IF($C552="","Commercial",$C552))),Variables!$B$1:$D$1,0),1))*L552/16.67)),""))</f>
        <v>12.903681477881937</v>
      </c>
    </row>
    <row r="553" spans="1:63">
      <c r="A553" s="13" t="s">
        <v>103</v>
      </c>
      <c r="B553" s="13" t="s">
        <v>104</v>
      </c>
      <c r="C553" s="13" t="s">
        <v>292</v>
      </c>
      <c r="D553" s="31">
        <v>45989</v>
      </c>
      <c r="E553" s="31">
        <v>45992</v>
      </c>
      <c r="F553" s="31">
        <v>46022</v>
      </c>
      <c r="G553" s="13">
        <v>3787010</v>
      </c>
      <c r="H553" s="13" t="s">
        <v>1565</v>
      </c>
      <c r="J553" s="13" t="s">
        <v>294</v>
      </c>
      <c r="K553" s="13" t="s">
        <v>1566</v>
      </c>
      <c r="L553" s="13">
        <v>18</v>
      </c>
      <c r="M553" s="13">
        <v>0</v>
      </c>
      <c r="N553" s="13" t="s">
        <v>1567</v>
      </c>
      <c r="O553" s="13" t="s">
        <v>771</v>
      </c>
      <c r="P553" s="13">
        <v>10010</v>
      </c>
      <c r="Q553" s="13" t="s">
        <v>121</v>
      </c>
      <c r="R553" s="13" t="s">
        <v>384</v>
      </c>
      <c r="S553" s="13" t="s">
        <v>299</v>
      </c>
      <c r="T553" s="13" t="s">
        <v>305</v>
      </c>
      <c r="U553" s="13" t="s">
        <v>125</v>
      </c>
      <c r="V553" s="13">
        <v>146</v>
      </c>
      <c r="W553" s="44">
        <f>IF($AX553="Cancelled","",IFERROR(((V553+INDEX(Variables!$B$6:$D$6,IFERROR(MATCH(IF($B553="Robusta","Robusta",(IF($B553="","Arabica",$B553))&amp;" - "&amp;(IF($C553="","Commercial",$C553))),Variables!$B$1:$D$1,0),1)))*22.0462)*(L553/16.67),""))</f>
        <v>10398.082956208758</v>
      </c>
      <c r="X553" s="55" t="s">
        <v>39</v>
      </c>
      <c r="Y553" s="13" t="str">
        <f>IF($AX553="Cancelled","",IF(X553="","",IFERROR(IF(INDEX(Variables!$B$38:$B$47,MATCH(X553,Variables!$A$38:$A$47,0))="Yes","Yes","No"),"No")))</f>
        <v>No</v>
      </c>
      <c r="Z553" s="31"/>
      <c r="AB553" s="31">
        <v>45975.875</v>
      </c>
      <c r="AC553" s="13" t="str">
        <f t="shared" si="24"/>
        <v>Approved</v>
      </c>
      <c r="AF553" s="71">
        <v>45996</v>
      </c>
      <c r="AG553" s="31">
        <f>IF($AX553="Cancelled","",IFERROR(IF(F553="","",F553-Variables!$B$13),""))</f>
        <v>46007</v>
      </c>
      <c r="AH553" s="13">
        <f>IF($AX553="Cancelled","",IFERROR(IF(AB553="","",(AVERAGE(E553:F553)-AB553)-Variables!$B$14),""))</f>
        <v>1.125</v>
      </c>
      <c r="AJ553" s="47">
        <v>46006</v>
      </c>
      <c r="AK553" s="14">
        <f>IF($AX553="Cancelled","",IFERROR(IF(AJ553="","",IF(AND(AB553="",AF553=""),"",IF(AF553&gt;AB553,AF553+Variables!$B$15+Variables!$B$16+Variables!$B$17-AJ553,AB553+Variables!$B$16+Variables!$B$17-AJ553))),""))</f>
        <v>5</v>
      </c>
      <c r="AL553" s="48" t="s">
        <v>114</v>
      </c>
      <c r="AM553" s="13" t="s">
        <v>613</v>
      </c>
      <c r="AN553" s="13" t="s">
        <v>1621</v>
      </c>
      <c r="AP553" s="31">
        <v>46016</v>
      </c>
      <c r="AR553" s="13" t="s">
        <v>3238</v>
      </c>
      <c r="AS553" s="31">
        <v>46019</v>
      </c>
      <c r="AU553" s="31">
        <v>46030</v>
      </c>
      <c r="AV553" s="13" t="s">
        <v>3239</v>
      </c>
      <c r="AW553" s="31">
        <v>46045</v>
      </c>
      <c r="AX553" s="13" t="str">
        <f>IF(ISNUMBER(SEARCH("cancel",#REF!)),"Cancelled",IF(AND(AS553&lt;&gt;"",AU553&lt;&gt;"",AW553&lt;&gt;""),"Closed","Open"))</f>
        <v>Closed</v>
      </c>
      <c r="AY553" s="15" t="str">
        <f t="shared" si="25"/>
        <v>All dates received</v>
      </c>
      <c r="BD553" s="13">
        <f>IF($AX553="Cancelled","",IFERROR(IF(OR(AS553="",AJ553=""),"",(AJ553+Variables!$B$18-AS553)),""))</f>
        <v>2</v>
      </c>
      <c r="BE553" s="13">
        <f>IF($AX553="Cancelled","",IFERROR(IF(OR(AW553="",AS553=""),"",(AS553+Variables!$B$19)-AW553),""))</f>
        <v>-21</v>
      </c>
      <c r="BF553" s="44">
        <f>IF($AX553="Cancelled","",IFERROR(W553*INDEX(Variables!$B$7:$D$7,IFERROR(MATCH(IF($B553="Robusta","Robusta",(IF($B553="","Arabica",$B553))&amp;" - "&amp;(IF($C553="","Commercial",$C553))),Variables!$B$1:$D$1,0),1))*(BE553/365),""))</f>
        <v>-38.576209755549954</v>
      </c>
      <c r="BG553" s="44">
        <f>IF($AX553="Cancelled","",IFERROR((W553*INDEX(Variables!$B$7:$D$7,IFERROR(MATCH(IF($B553="Robusta","Robusta",(IF($B553="","Arabica",$B553))&amp;" - "&amp;(IF($C553="","Commercial",$C553))),Variables!$B$1:$D$1,0),1))*IFERROR(IF(AB553="","",(AVERAGE(E553:F553)-AB553)-Variables!$B$14),"")/365)+(L553/16.67*INDEX(Variables!$B$8:$D$8,IFERROR(MATCH(IF($B553="Robusta","Robusta",(IF($B553="","Arabica",$B553))&amp;" - "&amp;(IF($C553="","Commercial",$C553))),Variables!$B$1:$D$1,0),1))*IFERROR(IF(AB553="","",(AVERAGE(E553:F553)-AB553)-Variables!$B$14),""))+(W553*INDEX(Variables!$B$9:$D$9,IFERROR(MATCH(IF($B553="Robusta","Robusta",(IF($B553="","Arabica",$B553))&amp;" - "&amp;(IF($C553="","Commercial",$C553))),Variables!$B$1:$D$1,0),1))*IFERROR(IF(AB553="","",(AVERAGE(E553:F553)-AB553)-Variables!$B$14),"")/365),""))</f>
        <v>3.1057249042613244</v>
      </c>
      <c r="BH553" s="44">
        <f>IF($AX553="Cancelled","",IFERROR((W553*INDEX(Variables!$B$7:$D$7,IFERROR(MATCH(IF($B553="Robusta","Robusta",(IF($B553="","Arabica",$B553))&amp;" - "&amp;(IF($C553="","Commercial",$C553))),Variables!$B$1:$D$1,0),1))*AK553/365)+(L553/16.67*INDEX(Variables!$B$8:$D$8,IFERROR(MATCH(IF($B553="Robusta","Robusta",(IF($B553="","Arabica",$B553))&amp;" - "&amp;(IF($C553="","Commercial",$C553))),Variables!$B$1:$D$1,0),1))*AK553)+(W553*INDEX(Variables!$B$9:$D$9,IFERROR(MATCH(IF($B553="Robusta","Robusta",(IF($B553="","Arabica",$B553))&amp;" - "&amp;(IF($C553="","Commercial",$C553))),Variables!$B$1:$D$1,0),1))*AK553/365),""))</f>
        <v>13.803221796716997</v>
      </c>
      <c r="BI553" s="44">
        <f>IF($AX553="Cancelled","",IFERROR((W553*INDEX(Variables!$B$7:$D$7,IFERROR(MATCH(IF($B553="Robusta","Robusta",(IF($B553="","Arabica",$B553))&amp;" - "&amp;(IF($C553="","Commercial",$C553))),Variables!$B$1:$D$1,0),1))*BD553/365)+(L553/16.67*INDEX(Variables!$B$8:$D$8,IFERROR(MATCH(IF($B553="Robusta","Robusta",(IF($B553="","Arabica",$B553))&amp;" - "&amp;(IF($C553="","Commercial",$C553))),Variables!$B$1:$D$1,0),1))*BD553)+(W553*INDEX(Variables!$B$9:$D$9,IFERROR(MATCH(IF($B553="Robusta","Robusta",(IF($B553="","Arabica",$B553))&amp;" - "&amp;(IF($C553="","Commercial",$C553))),Variables!$B$1:$D$1,0),1))*BD553/365),""))</f>
        <v>5.5212887186867992</v>
      </c>
      <c r="BJ553" s="44">
        <f t="shared" si="26"/>
        <v>3</v>
      </c>
      <c r="BK553" s="44">
        <f>IF($AX553="Cancelled","",IFERROR(IF(BJ553="","",(W553*INDEX(Variables!$B$7:$D$7,IFERROR(MATCH(IF($B553="Robusta","Robusta",(IF($B553="","Arabica",$B553))&amp;" - "&amp;(IF($C553="","Commercial",$C553))),Variables!$B$1:$D$1,0),1))*(BJ553/365))+(W553*INDEX(Variables!$B$9:$D$9,IFERROR(MATCH(IF($B553="Robusta","Robusta",(IF($B553="","Arabica",$B553))&amp;" - "&amp;(IF($C553="","Commercial",$C553))),Variables!$B$1:$D$1,0),1))*(BJ553/365))+(INDEX(Variables!$B$8:$D$8,IFERROR(MATCH(IF($B553="Robusta","Robusta",(IF($B553="","Arabica",$B553))&amp;" - "&amp;(IF($C553="","Commercial",$C553))),Variables!$B$1:$D$1,0),1))*L553/16.67)),""))</f>
        <v>6.481933078030198</v>
      </c>
    </row>
    <row r="554" spans="1:63">
      <c r="A554" s="13" t="s">
        <v>103</v>
      </c>
      <c r="B554" s="13" t="s">
        <v>104</v>
      </c>
      <c r="C554" s="13" t="s">
        <v>292</v>
      </c>
      <c r="D554" s="31">
        <v>45989</v>
      </c>
      <c r="E554" s="31">
        <v>45992</v>
      </c>
      <c r="F554" s="31">
        <v>46022</v>
      </c>
      <c r="G554" s="13">
        <v>3787011</v>
      </c>
      <c r="H554" s="13" t="s">
        <v>1568</v>
      </c>
      <c r="J554" s="13" t="s">
        <v>294</v>
      </c>
      <c r="K554" s="13" t="s">
        <v>3236</v>
      </c>
      <c r="L554" s="13">
        <v>18</v>
      </c>
      <c r="M554" s="13">
        <v>0</v>
      </c>
      <c r="N554" s="13" t="s">
        <v>1569</v>
      </c>
      <c r="O554" s="13" t="s">
        <v>771</v>
      </c>
      <c r="P554" s="13">
        <v>0</v>
      </c>
      <c r="Q554" s="13" t="s">
        <v>121</v>
      </c>
      <c r="R554" s="13" t="s">
        <v>384</v>
      </c>
      <c r="S554" s="13" t="s">
        <v>299</v>
      </c>
      <c r="T554" s="13" t="s">
        <v>305</v>
      </c>
      <c r="U554" s="13" t="s">
        <v>125</v>
      </c>
      <c r="V554" s="13">
        <v>188</v>
      </c>
      <c r="W554" s="44">
        <f>IF($AX554="Cancelled","",IFERROR(((V554+INDEX(Variables!$B$6:$D$6,IFERROR(MATCH(IF($B554="Robusta","Robusta",(IF($B554="","Arabica",$B554))&amp;" - "&amp;(IF($C554="","Commercial",$C554))),Variables!$B$1:$D$1,0),1)))*22.0462)*(L554/16.67),""))</f>
        <v>11397.898625074984</v>
      </c>
      <c r="X554" s="55" t="s">
        <v>39</v>
      </c>
      <c r="Y554" s="13" t="str">
        <f>IF($AX554="Cancelled","",IF(X554="","",IFERROR(IF(INDEX(Variables!$B$38:$B$47,MATCH(X554,Variables!$A$38:$A$47,0))="Yes","Yes","No"),"No")))</f>
        <v>No</v>
      </c>
      <c r="Z554" s="31"/>
      <c r="AC554" s="13" t="str">
        <f t="shared" si="24"/>
        <v/>
      </c>
      <c r="AF554" s="71">
        <v>45996</v>
      </c>
      <c r="AG554" s="37">
        <f>IF($AX554="Cancelled","",IFERROR(IF(F554="","",F554-Variables!$B$13),""))</f>
        <v>46007</v>
      </c>
      <c r="AH554" s="13" t="str">
        <f>IF($AX554="Cancelled","",IFERROR(IF(AB554="","",(AVERAGE(E554:F554)-AB554)-Variables!$B$14),""))</f>
        <v/>
      </c>
      <c r="AJ554" s="47">
        <v>46006</v>
      </c>
      <c r="AK554" s="14">
        <f>IF($AX554="Cancelled","",IFERROR(IF(AJ554="","",IF(AND(AB554="",AF554=""),"",IF(AF554&gt;AB554,AF554+Variables!$B$15+Variables!$B$16+Variables!$B$17-AJ554,AB554+Variables!$B$16+Variables!$B$17-AJ554))),""))</f>
        <v>5</v>
      </c>
      <c r="AL554" s="48" t="s">
        <v>114</v>
      </c>
      <c r="AM554" s="13" t="s">
        <v>613</v>
      </c>
      <c r="AN554" s="13" t="s">
        <v>1621</v>
      </c>
      <c r="AP554" s="31">
        <v>46016</v>
      </c>
      <c r="AR554" s="13" t="s">
        <v>3238</v>
      </c>
      <c r="AS554" s="31">
        <v>46019</v>
      </c>
      <c r="AU554" s="31">
        <v>46030</v>
      </c>
      <c r="AV554" s="13" t="s">
        <v>3239</v>
      </c>
      <c r="AW554" s="31">
        <v>46045</v>
      </c>
      <c r="AX554" s="13" t="str">
        <f>IF(ISNUMBER(SEARCH("cancel",#REF!)),"Cancelled",IF(AND(AS554&lt;&gt;"",AU554&lt;&gt;"",AW554&lt;&gt;""),"Closed","Open"))</f>
        <v>Closed</v>
      </c>
      <c r="AY554" s="15" t="str">
        <f t="shared" si="25"/>
        <v>All dates received</v>
      </c>
      <c r="BD554" s="13">
        <f>IF($AX554="Cancelled","",IFERROR(IF(OR(AS554="",AJ554=""),"",(AJ554+Variables!$B$18-AS554)),""))</f>
        <v>2</v>
      </c>
      <c r="BE554" s="13">
        <f>IF($AX554="Cancelled","",IFERROR(IF(OR(AW554="",AS554=""),"",(AS554+Variables!$B$19)-AW554),""))</f>
        <v>-21</v>
      </c>
      <c r="BF554" s="44">
        <f>IF($AX554="Cancelled","",IFERROR(W554*INDEX(Variables!$B$7:$D$7,IFERROR(MATCH(IF($B554="Robusta","Robusta",(IF($B554="","Arabica",$B554))&amp;" - "&amp;(IF($C554="","Commercial",$C554))),Variables!$B$1:$D$1,0),1))*(BE554/365),""))</f>
        <v>-42.285460693583595</v>
      </c>
      <c r="BG554" s="44" t="str">
        <f>IF($AX554="Cancelled","",IFERROR((W554*INDEX(Variables!$B$7:$D$7,IFERROR(MATCH(IF($B554="Robusta","Robusta",(IF($B554="","Arabica",$B554))&amp;" - "&amp;(IF($C554="","Commercial",$C554))),Variables!$B$1:$D$1,0),1))*IFERROR(IF(AB554="","",(AVERAGE(E554:F554)-AB554)-Variables!$B$14),"")/365)+(L554/16.67*INDEX(Variables!$B$8:$D$8,IFERROR(MATCH(IF($B554="Robusta","Robusta",(IF($B554="","Arabica",$B554))&amp;" - "&amp;(IF($C554="","Commercial",$C554))),Variables!$B$1:$D$1,0),1))*IFERROR(IF(AB554="","",(AVERAGE(E554:F554)-AB554)-Variables!$B$14),""))+(W554*INDEX(Variables!$B$9:$D$9,IFERROR(MATCH(IF($B554="Robusta","Robusta",(IF($B554="","Arabica",$B554))&amp;" - "&amp;(IF($C554="","Commercial",$C554))),Variables!$B$1:$D$1,0),1))*IFERROR(IF(AB554="","",(AVERAGE(E554:F554)-AB554)-Variables!$B$14),"")/365),""))</f>
        <v/>
      </c>
      <c r="BH554" s="44">
        <f>IF($AX554="Cancelled","",IFERROR((W554*INDEX(Variables!$B$7:$D$7,IFERROR(MATCH(IF($B554="Robusta","Robusta",(IF($B554="","Arabica",$B554))&amp;" - "&amp;(IF($C554="","Commercial",$C554))),Variables!$B$1:$D$1,0),1))*AK554/365)+(L554/16.67*INDEX(Variables!$B$8:$D$8,IFERROR(MATCH(IF($B554="Robusta","Robusta",(IF($B554="","Arabica",$B554))&amp;" - "&amp;(IF($C554="","Commercial",$C554))),Variables!$B$1:$D$1,0),1))*AK554)+(W554*INDEX(Variables!$B$9:$D$9,IFERROR(MATCH(IF($B554="Robusta","Robusta",(IF($B554="","Arabica",$B554))&amp;" - "&amp;(IF($C554="","Commercial",$C554))),Variables!$B$1:$D$1,0),1))*AK554/365),""))</f>
        <v>14.697762354093632</v>
      </c>
      <c r="BI554" s="44">
        <f>IF($AX554="Cancelled","",IFERROR((W554*INDEX(Variables!$B$7:$D$7,IFERROR(MATCH(IF($B554="Robusta","Robusta",(IF($B554="","Arabica",$B554))&amp;" - "&amp;(IF($C554="","Commercial",$C554))),Variables!$B$1:$D$1,0),1))*BD554/365)+(L554/16.67*INDEX(Variables!$B$8:$D$8,IFERROR(MATCH(IF($B554="Robusta","Robusta",(IF($B554="","Arabica",$B554))&amp;" - "&amp;(IF($C554="","Commercial",$C554))),Variables!$B$1:$D$1,0),1))*BD554)+(W554*INDEX(Variables!$B$9:$D$9,IFERROR(MATCH(IF($B554="Robusta","Robusta",(IF($B554="","Arabica",$B554))&amp;" - "&amp;(IF($C554="","Commercial",$C554))),Variables!$B$1:$D$1,0),1))*BD554/365),""))</f>
        <v>5.8791049416374532</v>
      </c>
      <c r="BJ554" s="44">
        <f t="shared" si="26"/>
        <v>3</v>
      </c>
      <c r="BK554" s="44">
        <f>IF($AX554="Cancelled","",IFERROR(IF(BJ554="","",(W554*INDEX(Variables!$B$7:$D$7,IFERROR(MATCH(IF($B554="Robusta","Robusta",(IF($B554="","Arabica",$B554))&amp;" - "&amp;(IF($C554="","Commercial",$C554))),Variables!$B$1:$D$1,0),1))*(BJ554/365))+(W554*INDEX(Variables!$B$9:$D$9,IFERROR(MATCH(IF($B554="Robusta","Robusta",(IF($B554="","Arabica",$B554))&amp;" - "&amp;(IF($C554="","Commercial",$C554))),Variables!$B$1:$D$1,0),1))*(BJ554/365))+(INDEX(Variables!$B$8:$D$8,IFERROR(MATCH(IF($B554="Robusta","Robusta",(IF($B554="","Arabica",$B554))&amp;" - "&amp;(IF($C554="","Commercial",$C554))),Variables!$B$1:$D$1,0),1))*L554/16.67)),""))</f>
        <v>7.0186574124561778</v>
      </c>
    </row>
    <row r="555" spans="1:63">
      <c r="A555" s="13" t="s">
        <v>103</v>
      </c>
      <c r="B555" s="13" t="s">
        <v>104</v>
      </c>
      <c r="C555" s="13" t="s">
        <v>292</v>
      </c>
      <c r="D555" s="31">
        <v>45989</v>
      </c>
      <c r="E555" s="31">
        <v>45992</v>
      </c>
      <c r="F555" s="31">
        <v>46022</v>
      </c>
      <c r="G555" s="13">
        <v>3787012</v>
      </c>
      <c r="H555" s="13" t="s">
        <v>1570</v>
      </c>
      <c r="J555" s="13" t="s">
        <v>294</v>
      </c>
      <c r="K555" s="13" t="s">
        <v>1571</v>
      </c>
      <c r="L555" s="13">
        <v>39</v>
      </c>
      <c r="M555" s="13">
        <v>0</v>
      </c>
      <c r="N555" s="13" t="s">
        <v>1572</v>
      </c>
      <c r="O555" s="13" t="s">
        <v>771</v>
      </c>
      <c r="P555" s="13">
        <v>10010</v>
      </c>
      <c r="Q555" s="13" t="s">
        <v>121</v>
      </c>
      <c r="R555" s="13" t="s">
        <v>384</v>
      </c>
      <c r="S555" s="13" t="s">
        <v>299</v>
      </c>
      <c r="T555" s="13" t="s">
        <v>305</v>
      </c>
      <c r="U555" s="13" t="s">
        <v>125</v>
      </c>
      <c r="V555" s="13">
        <v>146</v>
      </c>
      <c r="W555" s="44">
        <f>IF($AX555="Cancelled","",IFERROR(((V555+INDEX(Variables!$B$6:$D$6,IFERROR(MATCH(IF($B555="Robusta","Robusta",(IF($B555="","Arabica",$B555))&amp;" - "&amp;(IF($C555="","Commercial",$C555))),Variables!$B$1:$D$1,0),1)))*22.0462)*(L555/16.67),""))</f>
        <v>22529.179738452305</v>
      </c>
      <c r="X555" s="55" t="s">
        <v>39</v>
      </c>
      <c r="Y555" s="13" t="str">
        <f>IF($AX555="Cancelled","",IF(X555="","",IFERROR(IF(INDEX(Variables!$B$38:$B$47,MATCH(X555,Variables!$A$38:$A$47,0))="Yes","Yes","No"),"No")))</f>
        <v>No</v>
      </c>
      <c r="Z555" s="31"/>
      <c r="AB555" s="31">
        <v>45975.875</v>
      </c>
      <c r="AC555" s="13" t="str">
        <f t="shared" si="24"/>
        <v>Approved</v>
      </c>
      <c r="AF555" s="71">
        <v>45996</v>
      </c>
      <c r="AG555" s="31">
        <f>IF($AX555="Cancelled","",IFERROR(IF(F555="","",F555-Variables!$B$13),""))</f>
        <v>46007</v>
      </c>
      <c r="AH555" s="13">
        <f>IF($AX555="Cancelled","",IFERROR(IF(AB555="","",(AVERAGE(E555:F555)-AB555)-Variables!$B$14),""))</f>
        <v>1.125</v>
      </c>
      <c r="AJ555" s="47">
        <v>46006</v>
      </c>
      <c r="AK555" s="14">
        <f>IF($AX555="Cancelled","",IFERROR(IF(AJ555="","",IF(AND(AB555="",AF555=""),"",IF(AF555&gt;AB555,AF555+Variables!$B$15+Variables!$B$16+Variables!$B$17-AJ555,AB555+Variables!$B$16+Variables!$B$17-AJ555))),""))</f>
        <v>5</v>
      </c>
      <c r="AL555" s="48" t="s">
        <v>114</v>
      </c>
      <c r="AM555" s="13" t="s">
        <v>613</v>
      </c>
      <c r="AN555" s="13" t="s">
        <v>1621</v>
      </c>
      <c r="AP555" s="31">
        <v>46016</v>
      </c>
      <c r="AR555" s="13" t="s">
        <v>3238</v>
      </c>
      <c r="AS555" s="31">
        <v>46019</v>
      </c>
      <c r="AU555" s="31">
        <v>46030</v>
      </c>
      <c r="AV555" s="13" t="s">
        <v>3239</v>
      </c>
      <c r="AW555" s="31">
        <v>46045</v>
      </c>
      <c r="AX555" s="13" t="str">
        <f>IF(ISNUMBER(SEARCH("cancel",#REF!)),"Cancelled",IF(AND(AS555&lt;&gt;"",AU555&lt;&gt;"",AW555&lt;&gt;""),"Closed","Open"))</f>
        <v>Closed</v>
      </c>
      <c r="AY555" s="15" t="str">
        <f t="shared" si="25"/>
        <v>All dates received</v>
      </c>
      <c r="BD555" s="13">
        <f>IF($AX555="Cancelled","",IFERROR(IF(OR(AS555="",AJ555=""),"",(AJ555+Variables!$B$18-AS555)),""))</f>
        <v>2</v>
      </c>
      <c r="BE555" s="13">
        <f>IF($AX555="Cancelled","",IFERROR(IF(OR(AW555="",AS555=""),"",(AS555+Variables!$B$19)-AW555),""))</f>
        <v>-21</v>
      </c>
      <c r="BF555" s="44">
        <f>IF($AX555="Cancelled","",IFERROR(W555*INDEX(Variables!$B$7:$D$7,IFERROR(MATCH(IF($B555="Robusta","Robusta",(IF($B555="","Arabica",$B555))&amp;" - "&amp;(IF($C555="","Commercial",$C555))),Variables!$B$1:$D$1,0),1))*(BE555/365),""))</f>
        <v>-83.581787803691554</v>
      </c>
      <c r="BG555" s="44">
        <f>IF($AX555="Cancelled","",IFERROR((W555*INDEX(Variables!$B$7:$D$7,IFERROR(MATCH(IF($B555="Robusta","Robusta",(IF($B555="","Arabica",$B555))&amp;" - "&amp;(IF($C555="","Commercial",$C555))),Variables!$B$1:$D$1,0),1))*IFERROR(IF(AB555="","",(AVERAGE(E555:F555)-AB555)-Variables!$B$14),"")/365)+(L555/16.67*INDEX(Variables!$B$8:$D$8,IFERROR(MATCH(IF($B555="Robusta","Robusta",(IF($B555="","Arabica",$B555))&amp;" - "&amp;(IF($C555="","Commercial",$C555))),Variables!$B$1:$D$1,0),1))*IFERROR(IF(AB555="","",(AVERAGE(E555:F555)-AB555)-Variables!$B$14),""))+(W555*INDEX(Variables!$B$9:$D$9,IFERROR(MATCH(IF($B555="Robusta","Robusta",(IF($B555="","Arabica",$B555))&amp;" - "&amp;(IF($C555="","Commercial",$C555))),Variables!$B$1:$D$1,0),1))*IFERROR(IF(AB555="","",(AVERAGE(E555:F555)-AB555)-Variables!$B$14),"")/365),""))</f>
        <v>6.7290706258995359</v>
      </c>
      <c r="BH555" s="44">
        <f>IF($AX555="Cancelled","",IFERROR((W555*INDEX(Variables!$B$7:$D$7,IFERROR(MATCH(IF($B555="Robusta","Robusta",(IF($B555="","Arabica",$B555))&amp;" - "&amp;(IF($C555="","Commercial",$C555))),Variables!$B$1:$D$1,0),1))*AK555/365)+(L555/16.67*INDEX(Variables!$B$8:$D$8,IFERROR(MATCH(IF($B555="Robusta","Robusta",(IF($B555="","Arabica",$B555))&amp;" - "&amp;(IF($C555="","Commercial",$C555))),Variables!$B$1:$D$1,0),1))*AK555)+(W555*INDEX(Variables!$B$9:$D$9,IFERROR(MATCH(IF($B555="Robusta","Robusta",(IF($B555="","Arabica",$B555))&amp;" - "&amp;(IF($C555="","Commercial",$C555))),Variables!$B$1:$D$1,0),1))*AK555/365),""))</f>
        <v>29.906980559553489</v>
      </c>
      <c r="BI555" s="44">
        <f>IF($AX555="Cancelled","",IFERROR((W555*INDEX(Variables!$B$7:$D$7,IFERROR(MATCH(IF($B555="Robusta","Robusta",(IF($B555="","Arabica",$B555))&amp;" - "&amp;(IF($C555="","Commercial",$C555))),Variables!$B$1:$D$1,0),1))*BD555/365)+(L555/16.67*INDEX(Variables!$B$8:$D$8,IFERROR(MATCH(IF($B555="Robusta","Robusta",(IF($B555="","Arabica",$B555))&amp;" - "&amp;(IF($C555="","Commercial",$C555))),Variables!$B$1:$D$1,0),1))*BD555)+(W555*INDEX(Variables!$B$9:$D$9,IFERROR(MATCH(IF($B555="Robusta","Robusta",(IF($B555="","Arabica",$B555))&amp;" - "&amp;(IF($C555="","Commercial",$C555))),Variables!$B$1:$D$1,0),1))*BD555/365),""))</f>
        <v>11.962792223821396</v>
      </c>
      <c r="BJ555" s="44">
        <f t="shared" si="26"/>
        <v>3</v>
      </c>
      <c r="BK555" s="44">
        <f>IF($AX555="Cancelled","",IFERROR(IF(BJ555="","",(W555*INDEX(Variables!$B$7:$D$7,IFERROR(MATCH(IF($B555="Robusta","Robusta",(IF($B555="","Arabica",$B555))&amp;" - "&amp;(IF($C555="","Commercial",$C555))),Variables!$B$1:$D$1,0),1))*(BJ555/365))+(W555*INDEX(Variables!$B$9:$D$9,IFERROR(MATCH(IF($B555="Robusta","Robusta",(IF($B555="","Arabica",$B555))&amp;" - "&amp;(IF($C555="","Commercial",$C555))),Variables!$B$1:$D$1,0),1))*(BJ555/365))+(INDEX(Variables!$B$8:$D$8,IFERROR(MATCH(IF($B555="Robusta","Robusta",(IF($B555="","Arabica",$B555))&amp;" - "&amp;(IF($C555="","Commercial",$C555))),Variables!$B$1:$D$1,0),1))*L555/16.67)),""))</f>
        <v>14.044188335732091</v>
      </c>
    </row>
    <row r="556" spans="1:63">
      <c r="A556" s="13" t="s">
        <v>103</v>
      </c>
      <c r="B556" s="13" t="s">
        <v>104</v>
      </c>
      <c r="C556" s="13" t="s">
        <v>292</v>
      </c>
      <c r="D556" s="31">
        <v>45989</v>
      </c>
      <c r="E556" s="31">
        <v>45992</v>
      </c>
      <c r="F556" s="31">
        <v>46022</v>
      </c>
      <c r="G556" s="13">
        <v>3787013</v>
      </c>
      <c r="H556" s="13" t="s">
        <v>1573</v>
      </c>
      <c r="J556" s="13" t="s">
        <v>294</v>
      </c>
      <c r="K556" s="13" t="s">
        <v>3237</v>
      </c>
      <c r="L556" s="13">
        <v>21</v>
      </c>
      <c r="M556" s="13">
        <v>0</v>
      </c>
      <c r="N556" s="13" t="s">
        <v>1574</v>
      </c>
      <c r="O556" s="13" t="s">
        <v>297</v>
      </c>
      <c r="P556" s="13">
        <v>0</v>
      </c>
      <c r="Q556" s="13" t="s">
        <v>121</v>
      </c>
      <c r="R556" s="13" t="s">
        <v>384</v>
      </c>
      <c r="S556" s="13" t="s">
        <v>299</v>
      </c>
      <c r="T556" s="13" t="s">
        <v>305</v>
      </c>
      <c r="U556" s="13" t="s">
        <v>125</v>
      </c>
      <c r="V556" s="13">
        <v>145</v>
      </c>
      <c r="W556" s="44">
        <f>IF($AX556="Cancelled","",IFERROR(((V556+INDEX(Variables!$B$6:$D$6,IFERROR(MATCH(IF($B556="Robusta","Robusta",(IF($B556="","Arabica",$B556))&amp;" - "&amp;(IF($C556="","Commercial",$C556))),Variables!$B$1:$D$1,0),1)))*22.0462)*(L556/16.67),""))</f>
        <v>12103.324124775043</v>
      </c>
      <c r="X556" s="55" t="s">
        <v>39</v>
      </c>
      <c r="Y556" s="13" t="str">
        <f>IF($AX556="Cancelled","",IF(X556="","",IFERROR(IF(INDEX(Variables!$B$38:$B$47,MATCH(X556,Variables!$A$38:$A$47,0))="Yes","Yes","No"),"No")))</f>
        <v>No</v>
      </c>
      <c r="Z556" s="31"/>
      <c r="AC556" s="13" t="str">
        <f t="shared" si="24"/>
        <v/>
      </c>
      <c r="AF556" s="71">
        <v>45996</v>
      </c>
      <c r="AG556" s="37">
        <f>IF($AX556="Cancelled","",IFERROR(IF(F556="","",F556-Variables!$B$13),""))</f>
        <v>46007</v>
      </c>
      <c r="AH556" s="13" t="str">
        <f>IF($AX556="Cancelled","",IFERROR(IF(AB556="","",(AVERAGE(E556:F556)-AB556)-Variables!$B$14),""))</f>
        <v/>
      </c>
      <c r="AJ556" s="47">
        <v>46006</v>
      </c>
      <c r="AK556" s="14">
        <f>IF($AX556="Cancelled","",IFERROR(IF(AJ556="","",IF(AND(AB556="",AF556=""),"",IF(AF556&gt;AB556,AF556+Variables!$B$15+Variables!$B$16+Variables!$B$17-AJ556,AB556+Variables!$B$16+Variables!$B$17-AJ556))),""))</f>
        <v>5</v>
      </c>
      <c r="AL556" s="48" t="s">
        <v>114</v>
      </c>
      <c r="AM556" s="13" t="s">
        <v>613</v>
      </c>
      <c r="AN556" s="13" t="s">
        <v>1621</v>
      </c>
      <c r="AP556" s="31">
        <v>46016</v>
      </c>
      <c r="AR556" s="13" t="s">
        <v>3238</v>
      </c>
      <c r="AS556" s="31">
        <v>46019</v>
      </c>
      <c r="AU556" s="31">
        <v>46030</v>
      </c>
      <c r="AV556" s="13" t="s">
        <v>3239</v>
      </c>
      <c r="AW556" s="31">
        <v>46045</v>
      </c>
      <c r="AX556" s="13" t="str">
        <f>IF(ISNUMBER(SEARCH("cancel",#REF!)),"Cancelled",IF(AND(AS556&lt;&gt;"",AU556&lt;&gt;"",AW556&lt;&gt;""),"Closed","Open"))</f>
        <v>Closed</v>
      </c>
      <c r="AY556" s="15" t="str">
        <f t="shared" si="25"/>
        <v>All dates received</v>
      </c>
      <c r="BD556" s="13">
        <f>IF($AX556="Cancelled","",IFERROR(IF(OR(AS556="",AJ556=""),"",(AJ556+Variables!$B$18-AS556)),""))</f>
        <v>2</v>
      </c>
      <c r="BE556" s="13">
        <f>IF($AX556="Cancelled","",IFERROR(IF(OR(AW556="",AS556=""),"",(AS556+Variables!$B$19)-AW556),""))</f>
        <v>-21</v>
      </c>
      <c r="BF556" s="44">
        <f>IF($AX556="Cancelled","",IFERROR(W556*INDEX(Variables!$B$7:$D$7,IFERROR(MATCH(IF($B556="Robusta","Robusta",(IF($B556="","Arabica",$B556))&amp;" - "&amp;(IF($C556="","Commercial",$C556))),Variables!$B$1:$D$1,0),1))*(BE556/365),""))</f>
        <v>-44.902543299862892</v>
      </c>
      <c r="BG556" s="44" t="str">
        <f>IF($AX556="Cancelled","",IFERROR((W556*INDEX(Variables!$B$7:$D$7,IFERROR(MATCH(IF($B556="Robusta","Robusta",(IF($B556="","Arabica",$B556))&amp;" - "&amp;(IF($C556="","Commercial",$C556))),Variables!$B$1:$D$1,0),1))*IFERROR(IF(AB556="","",(AVERAGE(E556:F556)-AB556)-Variables!$B$14),"")/365)+(L556/16.67*INDEX(Variables!$B$8:$D$8,IFERROR(MATCH(IF($B556="Robusta","Robusta",(IF($B556="","Arabica",$B556))&amp;" - "&amp;(IF($C556="","Commercial",$C556))),Variables!$B$1:$D$1,0),1))*IFERROR(IF(AB556="","",(AVERAGE(E556:F556)-AB556)-Variables!$B$14),""))+(W556*INDEX(Variables!$B$9:$D$9,IFERROR(MATCH(IF($B556="Robusta","Robusta",(IF($B556="","Arabica",$B556))&amp;" - "&amp;(IF($C556="","Commercial",$C556))),Variables!$B$1:$D$1,0),1))*IFERROR(IF(AB556="","",(AVERAGE(E556:F556)-AB556)-Variables!$B$14),"")/365),""))</f>
        <v/>
      </c>
      <c r="BH556" s="44">
        <f>IF($AX556="Cancelled","",IFERROR((W556*INDEX(Variables!$B$7:$D$7,IFERROR(MATCH(IF($B556="Robusta","Robusta",(IF($B556="","Arabica",$B556))&amp;" - "&amp;(IF($C556="","Commercial",$C556))),Variables!$B$1:$D$1,0),1))*AK556/365)+(L556/16.67*INDEX(Variables!$B$8:$D$8,IFERROR(MATCH(IF($B556="Robusta","Robusta",(IF($B556="","Arabica",$B556))&amp;" - "&amp;(IF($C556="","Commercial",$C556))),Variables!$B$1:$D$1,0),1))*AK556)+(W556*INDEX(Variables!$B$9:$D$9,IFERROR(MATCH(IF($B556="Robusta","Robusta",(IF($B556="","Arabica",$B556))&amp;" - "&amp;(IF($C556="","Commercial",$C556))),Variables!$B$1:$D$1,0),1))*AK556/365),""))</f>
        <v>16.078910414020477</v>
      </c>
      <c r="BI556" s="44">
        <f>IF($AX556="Cancelled","",IFERROR((W556*INDEX(Variables!$B$7:$D$7,IFERROR(MATCH(IF($B556="Robusta","Robusta",(IF($B556="","Arabica",$B556))&amp;" - "&amp;(IF($C556="","Commercial",$C556))),Variables!$B$1:$D$1,0),1))*BD556/365)+(L556/16.67*INDEX(Variables!$B$8:$D$8,IFERROR(MATCH(IF($B556="Robusta","Robusta",(IF($B556="","Arabica",$B556))&amp;" - "&amp;(IF($C556="","Commercial",$C556))),Variables!$B$1:$D$1,0),1))*BD556)+(W556*INDEX(Variables!$B$9:$D$9,IFERROR(MATCH(IF($B556="Robusta","Robusta",(IF($B556="","Arabica",$B556))&amp;" - "&amp;(IF($C556="","Commercial",$C556))),Variables!$B$1:$D$1,0),1))*BD556/365),""))</f>
        <v>6.431564165608191</v>
      </c>
      <c r="BJ556" s="44">
        <f t="shared" si="26"/>
        <v>3</v>
      </c>
      <c r="BK556" s="44">
        <f>IF($AX556="Cancelled","",IFERROR(IF(BJ556="","",(W556*INDEX(Variables!$B$7:$D$7,IFERROR(MATCH(IF($B556="Robusta","Robusta",(IF($B556="","Arabica",$B556))&amp;" - "&amp;(IF($C556="","Commercial",$C556))),Variables!$B$1:$D$1,0),1))*(BJ556/365))+(W556*INDEX(Variables!$B$9:$D$9,IFERROR(MATCH(IF($B556="Robusta","Robusta",(IF($B556="","Arabica",$B556))&amp;" - "&amp;(IF($C556="","Commercial",$C556))),Variables!$B$1:$D$1,0),1))*(BJ556/365))+(INDEX(Variables!$B$8:$D$8,IFERROR(MATCH(IF($B556="Robusta","Robusta",(IF($B556="","Arabica",$B556))&amp;" - "&amp;(IF($C556="","Commercial",$C556))),Variables!$B$1:$D$1,0),1))*L556/16.67)),""))</f>
        <v>7.5473462484122855</v>
      </c>
    </row>
    <row r="557" spans="1:63">
      <c r="A557" s="13" t="s">
        <v>103</v>
      </c>
      <c r="B557" s="13" t="s">
        <v>104</v>
      </c>
      <c r="C557" s="13" t="s">
        <v>292</v>
      </c>
      <c r="D557" s="31">
        <v>45989</v>
      </c>
      <c r="E557" s="31">
        <v>45992</v>
      </c>
      <c r="F557" s="31">
        <v>46022</v>
      </c>
      <c r="G557" s="13">
        <v>3787014</v>
      </c>
      <c r="H557" s="13" t="s">
        <v>1575</v>
      </c>
      <c r="J557" s="13" t="s">
        <v>294</v>
      </c>
      <c r="K557" s="13" t="s">
        <v>1576</v>
      </c>
      <c r="L557" s="13">
        <v>37</v>
      </c>
      <c r="M557" s="13">
        <v>0</v>
      </c>
      <c r="N557" s="13" t="s">
        <v>1577</v>
      </c>
      <c r="O557" s="13" t="s">
        <v>297</v>
      </c>
      <c r="P557" s="13">
        <v>10020</v>
      </c>
      <c r="Q557" s="13" t="s">
        <v>121</v>
      </c>
      <c r="R557" s="13" t="s">
        <v>384</v>
      </c>
      <c r="S557" s="13" t="s">
        <v>299</v>
      </c>
      <c r="T557" s="13" t="s">
        <v>305</v>
      </c>
      <c r="U557" s="13" t="s">
        <v>125</v>
      </c>
      <c r="V557" s="13">
        <v>117</v>
      </c>
      <c r="W557" s="44">
        <f>IF($AX557="Cancelled","",IFERROR(((V557+INDEX(Variables!$B$6:$D$6,IFERROR(MATCH(IF($B557="Robusta","Robusta",(IF($B557="","Arabica",$B557))&amp;" - "&amp;(IF($C557="","Commercial",$C557))),Variables!$B$1:$D$1,0),1)))*22.0462)*(L557/16.67),""))</f>
        <v>19954.786641871622</v>
      </c>
      <c r="X557" s="55" t="s">
        <v>39</v>
      </c>
      <c r="Y557" s="13" t="str">
        <f>IF($AX557="Cancelled","",IF(X557="","",IFERROR(IF(INDEX(Variables!$B$38:$B$47,MATCH(X557,Variables!$A$38:$A$47,0))="Yes","Yes","No"),"No")))</f>
        <v>No</v>
      </c>
      <c r="Z557" s="31"/>
      <c r="AB557" s="31">
        <v>45888.875</v>
      </c>
      <c r="AC557" s="13" t="str">
        <f t="shared" si="24"/>
        <v>Approved</v>
      </c>
      <c r="AF557" s="71">
        <v>45996</v>
      </c>
      <c r="AG557" s="31">
        <f>IF($AX557="Cancelled","",IFERROR(IF(F557="","",F557-Variables!$B$13),""))</f>
        <v>46007</v>
      </c>
      <c r="AH557" s="13">
        <f>IF($AX557="Cancelled","",IFERROR(IF(AB557="","",(AVERAGE(E557:F557)-AB557)-Variables!$B$14),""))</f>
        <v>88.125</v>
      </c>
      <c r="AJ557" s="47">
        <v>46006</v>
      </c>
      <c r="AK557" s="14">
        <f>IF($AX557="Cancelled","",IFERROR(IF(AJ557="","",IF(AND(AB557="",AF557=""),"",IF(AF557&gt;AB557,AF557+Variables!$B$15+Variables!$B$16+Variables!$B$17-AJ557,AB557+Variables!$B$16+Variables!$B$17-AJ557))),""))</f>
        <v>5</v>
      </c>
      <c r="AL557" s="48" t="s">
        <v>114</v>
      </c>
      <c r="AM557" s="13" t="s">
        <v>613</v>
      </c>
      <c r="AN557" s="13" t="s">
        <v>1621</v>
      </c>
      <c r="AP557" s="31">
        <v>46016</v>
      </c>
      <c r="AR557" s="13" t="s">
        <v>3238</v>
      </c>
      <c r="AS557" s="31">
        <v>46019</v>
      </c>
      <c r="AU557" s="31">
        <v>46030</v>
      </c>
      <c r="AV557" s="13" t="s">
        <v>3239</v>
      </c>
      <c r="AW557" s="31">
        <v>46045</v>
      </c>
      <c r="AX557" s="13" t="str">
        <f>IF(ISNUMBER(SEARCH("cancel",#REF!)),"Cancelled",IF(AND(AS557&lt;&gt;"",AU557&lt;&gt;"",AW557&lt;&gt;""),"Closed","Open"))</f>
        <v>Closed</v>
      </c>
      <c r="AY557" s="15" t="str">
        <f t="shared" si="25"/>
        <v>All dates received</v>
      </c>
      <c r="BD557" s="13">
        <f>IF($AX557="Cancelled","",IFERROR(IF(OR(AS557="",AJ557=""),"",(AJ557+Variables!$B$18-AS557)),""))</f>
        <v>2</v>
      </c>
      <c r="BE557" s="13">
        <f>IF($AX557="Cancelled","",IFERROR(IF(OR(AW557="",AS557=""),"",(AS557+Variables!$B$19)-AW557),""))</f>
        <v>-21</v>
      </c>
      <c r="BF557" s="44">
        <f>IF($AX557="Cancelled","",IFERROR(W557*INDEX(Variables!$B$7:$D$7,IFERROR(MATCH(IF($B557="Robusta","Robusta",(IF($B557="","Arabica",$B557))&amp;" - "&amp;(IF($C557="","Commercial",$C557))),Variables!$B$1:$D$1,0),1))*(BE557/365),""))</f>
        <v>-74.03095727991338</v>
      </c>
      <c r="BG557" s="44">
        <f>IF($AX557="Cancelled","",IFERROR((W557*INDEX(Variables!$B$7:$D$7,IFERROR(MATCH(IF($B557="Robusta","Robusta",(IF($B557="","Arabica",$B557))&amp;" - "&amp;(IF($C557="","Commercial",$C557))),Variables!$B$1:$D$1,0),1))*IFERROR(IF(AB557="","",(AVERAGE(E557:F557)-AB557)-Variables!$B$14),"")/365)+(L557/16.67*INDEX(Variables!$B$8:$D$8,IFERROR(MATCH(IF($B557="Robusta","Robusta",(IF($B557="","Arabica",$B557))&amp;" - "&amp;(IF($C557="","Commercial",$C557))),Variables!$B$1:$D$1,0),1))*IFERROR(IF(AB557="","",(AVERAGE(E557:F557)-AB557)-Variables!$B$14),""))+(W557*INDEX(Variables!$B$9:$D$9,IFERROR(MATCH(IF($B557="Robusta","Robusta",(IF($B557="","Arabica",$B557))&amp;" - "&amp;(IF($C557="","Commercial",$C557))),Variables!$B$1:$D$1,0),1))*IFERROR(IF(AB557="","",(AVERAGE(E557:F557)-AB557)-Variables!$B$14),"")/365),""))</f>
        <v>477.70195373985854</v>
      </c>
      <c r="BH557" s="44">
        <f>IF($AX557="Cancelled","",IFERROR((W557*INDEX(Variables!$B$7:$D$7,IFERROR(MATCH(IF($B557="Robusta","Robusta",(IF($B557="","Arabica",$B557))&amp;" - "&amp;(IF($C557="","Commercial",$C557))),Variables!$B$1:$D$1,0),1))*AK557/365)+(L557/16.67*INDEX(Variables!$B$8:$D$8,IFERROR(MATCH(IF($B557="Robusta","Robusta",(IF($B557="","Arabica",$B557))&amp;" - "&amp;(IF($C557="","Commercial",$C557))),Variables!$B$1:$D$1,0),1))*AK557)+(W557*INDEX(Variables!$B$9:$D$9,IFERROR(MATCH(IF($B557="Robusta","Robusta",(IF($B557="","Arabica",$B557))&amp;" - "&amp;(IF($C557="","Commercial",$C557))),Variables!$B$1:$D$1,0),1))*AK557/365),""))</f>
        <v>27.103656949779211</v>
      </c>
      <c r="BI557" s="44">
        <f>IF($AX557="Cancelled","",IFERROR((W557*INDEX(Variables!$B$7:$D$7,IFERROR(MATCH(IF($B557="Robusta","Robusta",(IF($B557="","Arabica",$B557))&amp;" - "&amp;(IF($C557="","Commercial",$C557))),Variables!$B$1:$D$1,0),1))*BD557/365)+(L557/16.67*INDEX(Variables!$B$8:$D$8,IFERROR(MATCH(IF($B557="Robusta","Robusta",(IF($B557="","Arabica",$B557))&amp;" - "&amp;(IF($C557="","Commercial",$C557))),Variables!$B$1:$D$1,0),1))*BD557)+(W557*INDEX(Variables!$B$9:$D$9,IFERROR(MATCH(IF($B557="Robusta","Robusta",(IF($B557="","Arabica",$B557))&amp;" - "&amp;(IF($C557="","Commercial",$C557))),Variables!$B$1:$D$1,0),1))*BD557/365),""))</f>
        <v>10.841462779911684</v>
      </c>
      <c r="BJ557" s="44">
        <f t="shared" si="26"/>
        <v>3</v>
      </c>
      <c r="BK557" s="44">
        <f>IF($AX557="Cancelled","",IFERROR(IF(BJ557="","",(W557*INDEX(Variables!$B$7:$D$7,IFERROR(MATCH(IF($B557="Robusta","Robusta",(IF($B557="","Arabica",$B557))&amp;" - "&amp;(IF($C557="","Commercial",$C557))),Variables!$B$1:$D$1,0),1))*(BJ557/365))+(W557*INDEX(Variables!$B$9:$D$9,IFERROR(MATCH(IF($B557="Robusta","Robusta",(IF($B557="","Arabica",$B557))&amp;" - "&amp;(IF($C557="","Commercial",$C557))),Variables!$B$1:$D$1,0),1))*(BJ557/365))+(INDEX(Variables!$B$8:$D$8,IFERROR(MATCH(IF($B557="Robusta","Robusta",(IF($B557="","Arabica",$B557))&amp;" - "&amp;(IF($C557="","Commercial",$C557))),Variables!$B$1:$D$1,0),1))*L557/16.67)),""))</f>
        <v>12.562194169867524</v>
      </c>
    </row>
    <row r="558" spans="1:63">
      <c r="A558" s="13" t="s">
        <v>103</v>
      </c>
      <c r="B558" s="13" t="s">
        <v>104</v>
      </c>
      <c r="C558" s="13" t="s">
        <v>292</v>
      </c>
      <c r="D558" s="31">
        <v>45989</v>
      </c>
      <c r="E558" s="31">
        <v>45992</v>
      </c>
      <c r="F558" s="31">
        <v>46022</v>
      </c>
      <c r="G558" s="13">
        <v>3787015</v>
      </c>
      <c r="H558" s="13" t="s">
        <v>1578</v>
      </c>
      <c r="J558" s="13" t="s">
        <v>294</v>
      </c>
      <c r="K558" s="13" t="s">
        <v>1579</v>
      </c>
      <c r="L558" s="13">
        <v>40</v>
      </c>
      <c r="M558" s="13">
        <v>0</v>
      </c>
      <c r="N558" s="13" t="s">
        <v>1580</v>
      </c>
      <c r="O558" s="13" t="s">
        <v>771</v>
      </c>
      <c r="P558" s="13">
        <v>10010</v>
      </c>
      <c r="Q558" s="13" t="s">
        <v>121</v>
      </c>
      <c r="R558" s="13" t="s">
        <v>384</v>
      </c>
      <c r="S558" s="13" t="s">
        <v>299</v>
      </c>
      <c r="T558" s="13" t="s">
        <v>305</v>
      </c>
      <c r="U558" s="13" t="s">
        <v>125</v>
      </c>
      <c r="V558" s="13">
        <v>149</v>
      </c>
      <c r="W558" s="44">
        <f>IF($AX558="Cancelled","",IFERROR(((V558+INDEX(Variables!$B$6:$D$6,IFERROR(MATCH(IF($B558="Robusta","Robusta",(IF($B558="","Arabica",$B558))&amp;" - "&amp;(IF($C558="","Commercial",$C558))),Variables!$B$1:$D$1,0),1)))*22.0462)*(L558/16.67),""))</f>
        <v>23265.551913617277</v>
      </c>
      <c r="X558" s="55" t="s">
        <v>39</v>
      </c>
      <c r="Y558" s="13" t="str">
        <f>IF($AX558="Cancelled","",IF(X558="","",IFERROR(IF(INDEX(Variables!$B$38:$B$47,MATCH(X558,Variables!$A$38:$A$47,0))="Yes","Yes","No"),"No")))</f>
        <v>No</v>
      </c>
      <c r="Z558" s="31"/>
      <c r="AB558" s="31">
        <v>45888.875</v>
      </c>
      <c r="AC558" s="13" t="str">
        <f t="shared" si="24"/>
        <v>Approved</v>
      </c>
      <c r="AF558" s="71">
        <v>45996</v>
      </c>
      <c r="AG558" s="31">
        <f>IF($AX558="Cancelled","",IFERROR(IF(F558="","",F558-Variables!$B$13),""))</f>
        <v>46007</v>
      </c>
      <c r="AH558" s="13">
        <f>IF($AX558="Cancelled","",IFERROR(IF(AB558="","",(AVERAGE(E558:F558)-AB558)-Variables!$B$14),""))</f>
        <v>88.125</v>
      </c>
      <c r="AJ558" s="47">
        <v>46006</v>
      </c>
      <c r="AK558" s="14">
        <f>IF($AX558="Cancelled","",IFERROR(IF(AJ558="","",IF(AND(AB558="",AF558=""),"",IF(AF558&gt;AB558,AF558+Variables!$B$15+Variables!$B$16+Variables!$B$17-AJ558,AB558+Variables!$B$16+Variables!$B$17-AJ558))),""))</f>
        <v>5</v>
      </c>
      <c r="AL558" s="48" t="s">
        <v>114</v>
      </c>
      <c r="AM558" s="13" t="s">
        <v>613</v>
      </c>
      <c r="AN558" s="13" t="s">
        <v>1621</v>
      </c>
      <c r="AP558" s="31">
        <v>46016</v>
      </c>
      <c r="AR558" s="13" t="s">
        <v>3238</v>
      </c>
      <c r="AS558" s="31">
        <v>46019</v>
      </c>
      <c r="AU558" s="31">
        <v>46030</v>
      </c>
      <c r="AV558" s="13" t="s">
        <v>3239</v>
      </c>
      <c r="AW558" s="31">
        <v>46045</v>
      </c>
      <c r="AX558" s="13" t="str">
        <f>IF(ISNUMBER(SEARCH("cancel",#REF!)),"Cancelled",IF(AND(AS558&lt;&gt;"",AU558&lt;&gt;"",AW558&lt;&gt;""),"Closed","Open"))</f>
        <v>Closed</v>
      </c>
      <c r="AY558" s="15" t="str">
        <f t="shared" si="25"/>
        <v>All dates received</v>
      </c>
      <c r="BD558" s="13">
        <f>IF($AX558="Cancelled","",IFERROR(IF(OR(AS558="",AJ558=""),"",(AJ558+Variables!$B$18-AS558)),""))</f>
        <v>2</v>
      </c>
      <c r="BE558" s="13">
        <f>IF($AX558="Cancelled","",IFERROR(IF(OR(AW558="",AS558=""),"",(AS558+Variables!$B$19)-AW558),""))</f>
        <v>-21</v>
      </c>
      <c r="BF558" s="44">
        <f>IF($AX558="Cancelled","",IFERROR(W558*INDEX(Variables!$B$7:$D$7,IFERROR(MATCH(IF($B558="Robusta","Robusta",(IF($B558="","Arabica",$B558))&amp;" - "&amp;(IF($C558="","Commercial",$C558))),Variables!$B$1:$D$1,0),1))*(BE558/365),""))</f>
        <v>-86.313680558052852</v>
      </c>
      <c r="BG558" s="44">
        <f>IF($AX558="Cancelled","",IFERROR((W558*INDEX(Variables!$B$7:$D$7,IFERROR(MATCH(IF($B558="Robusta","Robusta",(IF($B558="","Arabica",$B558))&amp;" - "&amp;(IF($C558="","Commercial",$C558))),Variables!$B$1:$D$1,0),1))*IFERROR(IF(AB558="","",(AVERAGE(E558:F558)-AB558)-Variables!$B$14),"")/365)+(L558/16.67*INDEX(Variables!$B$8:$D$8,IFERROR(MATCH(IF($B558="Robusta","Robusta",(IF($B558="","Arabica",$B558))&amp;" - "&amp;(IF($C558="","Commercial",$C558))),Variables!$B$1:$D$1,0),1))*IFERROR(IF(AB558="","",(AVERAGE(E558:F558)-AB558)-Variables!$B$14),""))+(W558*INDEX(Variables!$B$9:$D$9,IFERROR(MATCH(IF($B558="Robusta","Robusta",(IF($B558="","Arabica",$B558))&amp;" - "&amp;(IF($C558="","Commercial",$C558))),Variables!$B$1:$D$1,0),1))*IFERROR(IF(AB558="","",(AVERAGE(E558:F558)-AB558)-Variables!$B$14),"")/365),""))</f>
        <v>543.12877074026699</v>
      </c>
      <c r="BH558" s="44">
        <f>IF($AX558="Cancelled","",IFERROR((W558*INDEX(Variables!$B$7:$D$7,IFERROR(MATCH(IF($B558="Robusta","Robusta",(IF($B558="","Arabica",$B558))&amp;" - "&amp;(IF($C558="","Commercial",$C558))),Variables!$B$1:$D$1,0),1))*AK558/365)+(L558/16.67*INDEX(Variables!$B$8:$D$8,IFERROR(MATCH(IF($B558="Robusta","Robusta",(IF($B558="","Arabica",$B558))&amp;" - "&amp;(IF($C558="","Commercial",$C558))),Variables!$B$1:$D$1,0),1))*AK558)+(W558*INDEX(Variables!$B$9:$D$9,IFERROR(MATCH(IF($B558="Robusta","Robusta",(IF($B558="","Arabica",$B558))&amp;" - "&amp;(IF($C558="","Commercial",$C558))),Variables!$B$1:$D$1,0),1))*AK558/365),""))</f>
        <v>30.815816779589618</v>
      </c>
      <c r="BI558" s="44">
        <f>IF($AX558="Cancelled","",IFERROR((W558*INDEX(Variables!$B$7:$D$7,IFERROR(MATCH(IF($B558="Robusta","Robusta",(IF($B558="","Arabica",$B558))&amp;" - "&amp;(IF($C558="","Commercial",$C558))),Variables!$B$1:$D$1,0),1))*BD558/365)+(L558/16.67*INDEX(Variables!$B$8:$D$8,IFERROR(MATCH(IF($B558="Robusta","Robusta",(IF($B558="","Arabica",$B558))&amp;" - "&amp;(IF($C558="","Commercial",$C558))),Variables!$B$1:$D$1,0),1))*BD558)+(W558*INDEX(Variables!$B$9:$D$9,IFERROR(MATCH(IF($B558="Robusta","Robusta",(IF($B558="","Arabica",$B558))&amp;" - "&amp;(IF($C558="","Commercial",$C558))),Variables!$B$1:$D$1,0),1))*BD558/365),""))</f>
        <v>12.326326711835847</v>
      </c>
      <c r="BJ558" s="44">
        <f t="shared" si="26"/>
        <v>3</v>
      </c>
      <c r="BK558" s="44">
        <f>IF($AX558="Cancelled","",IFERROR(IF(BJ558="","",(W558*INDEX(Variables!$B$7:$D$7,IFERROR(MATCH(IF($B558="Robusta","Robusta",(IF($B558="","Arabica",$B558))&amp;" - "&amp;(IF($C558="","Commercial",$C558))),Variables!$B$1:$D$1,0),1))*(BJ558/365))+(W558*INDEX(Variables!$B$9:$D$9,IFERROR(MATCH(IF($B558="Robusta","Robusta",(IF($B558="","Arabica",$B558))&amp;" - "&amp;(IF($C558="","Commercial",$C558))),Variables!$B$1:$D$1,0),1))*(BJ558/365))+(INDEX(Variables!$B$8:$D$8,IFERROR(MATCH(IF($B558="Robusta","Robusta",(IF($B558="","Arabica",$B558))&amp;" - "&amp;(IF($C558="","Commercial",$C558))),Variables!$B$1:$D$1,0),1))*L558/16.67)),""))</f>
        <v>14.489490067753769</v>
      </c>
    </row>
    <row r="559" spans="1:63">
      <c r="A559" s="13" t="s">
        <v>103</v>
      </c>
      <c r="B559" s="13" t="s">
        <v>104</v>
      </c>
      <c r="C559" s="13" t="s">
        <v>292</v>
      </c>
      <c r="D559" s="31">
        <v>45989</v>
      </c>
      <c r="E559" s="31">
        <v>45992</v>
      </c>
      <c r="F559" s="31">
        <v>46022</v>
      </c>
      <c r="G559" s="13">
        <v>3787016</v>
      </c>
      <c r="H559" s="13" t="s">
        <v>1581</v>
      </c>
      <c r="J559" s="13" t="s">
        <v>294</v>
      </c>
      <c r="K559" s="13" t="s">
        <v>1582</v>
      </c>
      <c r="L559" s="13">
        <v>57</v>
      </c>
      <c r="M559" s="13">
        <v>0</v>
      </c>
      <c r="N559" s="13" t="s">
        <v>1583</v>
      </c>
      <c r="O559" s="13" t="s">
        <v>771</v>
      </c>
      <c r="P559" s="13">
        <v>10010</v>
      </c>
      <c r="Q559" s="13" t="s">
        <v>121</v>
      </c>
      <c r="R559" s="13" t="s">
        <v>384</v>
      </c>
      <c r="S559" s="13" t="s">
        <v>299</v>
      </c>
      <c r="T559" s="13" t="s">
        <v>305</v>
      </c>
      <c r="U559" s="13" t="s">
        <v>125</v>
      </c>
      <c r="V559" s="13">
        <v>144</v>
      </c>
      <c r="W559" s="44">
        <f>IF($AX559="Cancelled","",IFERROR(((V559+INDEX(Variables!$B$6:$D$6,IFERROR(MATCH(IF($B559="Robusta","Robusta",(IF($B559="","Arabica",$B559))&amp;" - "&amp;(IF($C559="","Commercial",$C559))),Variables!$B$1:$D$1,0),1)))*22.0462)*(L559/16.67),""))</f>
        <v>32776.496839832027</v>
      </c>
      <c r="X559" s="55" t="s">
        <v>39</v>
      </c>
      <c r="Y559" s="13" t="str">
        <f>IF($AX559="Cancelled","",IF(X559="","",IFERROR(IF(INDEX(Variables!$B$38:$B$47,MATCH(X559,Variables!$A$38:$A$47,0))="Yes","Yes","No"),"No")))</f>
        <v>No</v>
      </c>
      <c r="Z559" s="31"/>
      <c r="AB559" s="31">
        <v>45888.875</v>
      </c>
      <c r="AC559" s="13" t="str">
        <f t="shared" si="24"/>
        <v>Approved</v>
      </c>
      <c r="AF559" s="71">
        <v>45996</v>
      </c>
      <c r="AG559" s="31">
        <f>IF($AX559="Cancelled","",IFERROR(IF(F559="","",F559-Variables!$B$13),""))</f>
        <v>46007</v>
      </c>
      <c r="AH559" s="13">
        <f>IF($AX559="Cancelled","",IFERROR(IF(AB559="","",(AVERAGE(E559:F559)-AB559)-Variables!$B$14),""))</f>
        <v>88.125</v>
      </c>
      <c r="AJ559" s="47">
        <v>46006</v>
      </c>
      <c r="AK559" s="14">
        <f>IF($AX559="Cancelled","",IFERROR(IF(AJ559="","",IF(AND(AB559="",AF559=""),"",IF(AF559&gt;AB559,AF559+Variables!$B$15+Variables!$B$16+Variables!$B$17-AJ559,AB559+Variables!$B$16+Variables!$B$17-AJ559))),""))</f>
        <v>5</v>
      </c>
      <c r="AL559" s="48" t="s">
        <v>114</v>
      </c>
      <c r="AM559" s="13" t="s">
        <v>613</v>
      </c>
      <c r="AN559" s="13" t="s">
        <v>1621</v>
      </c>
      <c r="AP559" s="31">
        <v>46016</v>
      </c>
      <c r="AR559" s="13" t="s">
        <v>3238</v>
      </c>
      <c r="AS559" s="31">
        <v>46019</v>
      </c>
      <c r="AU559" s="31">
        <v>46030</v>
      </c>
      <c r="AV559" s="13" t="s">
        <v>3239</v>
      </c>
      <c r="AW559" s="31">
        <v>46045</v>
      </c>
      <c r="AX559" s="13" t="str">
        <f>IF(ISNUMBER(SEARCH("cancel",#REF!)),"Cancelled",IF(AND(AS559&lt;&gt;"",AU559&lt;&gt;"",AW559&lt;&gt;""),"Closed","Open"))</f>
        <v>Closed</v>
      </c>
      <c r="AY559" s="15" t="str">
        <f t="shared" si="25"/>
        <v>All dates received</v>
      </c>
      <c r="BD559" s="13">
        <f>IF($AX559="Cancelled","",IFERROR(IF(OR(AS559="",AJ559=""),"",(AJ559+Variables!$B$18-AS559)),""))</f>
        <v>2</v>
      </c>
      <c r="BE559" s="13">
        <f>IF($AX559="Cancelled","",IFERROR(IF(OR(AW559="",AS559=""),"",(AS559+Variables!$B$19)-AW559),""))</f>
        <v>-21</v>
      </c>
      <c r="BF559" s="44">
        <f>IF($AX559="Cancelled","",IFERROR(W559*INDEX(Variables!$B$7:$D$7,IFERROR(MATCH(IF($B559="Robusta","Robusta",(IF($B559="","Arabica",$B559))&amp;" - "&amp;(IF($C559="","Commercial",$C559))),Variables!$B$1:$D$1,0),1))*(BE559/365),""))</f>
        <v>-121.59866606858562</v>
      </c>
      <c r="BG559" s="44">
        <f>IF($AX559="Cancelled","",IFERROR((W559*INDEX(Variables!$B$7:$D$7,IFERROR(MATCH(IF($B559="Robusta","Robusta",(IF($B559="","Arabica",$B559))&amp;" - "&amp;(IF($C559="","Commercial",$C559))),Variables!$B$1:$D$1,0),1))*IFERROR(IF(AB559="","",(AVERAGE(E559:F559)-AB559)-Variables!$B$14),"")/365)+(L559/16.67*INDEX(Variables!$B$8:$D$8,IFERROR(MATCH(IF($B559="Robusta","Robusta",(IF($B559="","Arabica",$B559))&amp;" - "&amp;(IF($C559="","Commercial",$C559))),Variables!$B$1:$D$1,0),1))*IFERROR(IF(AB559="","",(AVERAGE(E559:F559)-AB559)-Variables!$B$14),""))+(W559*INDEX(Variables!$B$9:$D$9,IFERROR(MATCH(IF($B559="Robusta","Robusta",(IF($B559="","Arabica",$B559))&amp;" - "&amp;(IF($C559="","Commercial",$C559))),Variables!$B$1:$D$1,0),1))*IFERROR(IF(AB559="","",(AVERAGE(E559:F559)-AB559)-Variables!$B$14),"")/365),""))</f>
        <v>768.01486201219177</v>
      </c>
      <c r="BH559" s="44">
        <f>IF($AX559="Cancelled","",IFERROR((W559*INDEX(Variables!$B$7:$D$7,IFERROR(MATCH(IF($B559="Robusta","Robusta",(IF($B559="","Arabica",$B559))&amp;" - "&amp;(IF($C559="","Commercial",$C559))),Variables!$B$1:$D$1,0),1))*AK559/365)+(L559/16.67*INDEX(Variables!$B$8:$D$8,IFERROR(MATCH(IF($B559="Robusta","Robusta",(IF($B559="","Arabica",$B559))&amp;" - "&amp;(IF($C559="","Commercial",$C559))),Variables!$B$1:$D$1,0),1))*AK559)+(W559*INDEX(Variables!$B$9:$D$9,IFERROR(MATCH(IF($B559="Robusta","Robusta",(IF($B559="","Arabica",$B559))&amp;" - "&amp;(IF($C559="","Commercial",$C559))),Variables!$B$1:$D$1,0),1))*AK559/365),""))</f>
        <v>43.575311319840679</v>
      </c>
      <c r="BI559" s="44">
        <f>IF($AX559="Cancelled","",IFERROR((W559*INDEX(Variables!$B$7:$D$7,IFERROR(MATCH(IF($B559="Robusta","Robusta",(IF($B559="","Arabica",$B559))&amp;" - "&amp;(IF($C559="","Commercial",$C559))),Variables!$B$1:$D$1,0),1))*BD559/365)+(L559/16.67*INDEX(Variables!$B$8:$D$8,IFERROR(MATCH(IF($B559="Robusta","Robusta",(IF($B559="","Arabica",$B559))&amp;" - "&amp;(IF($C559="","Commercial",$C559))),Variables!$B$1:$D$1,0),1))*BD559)+(W559*INDEX(Variables!$B$9:$D$9,IFERROR(MATCH(IF($B559="Robusta","Robusta",(IF($B559="","Arabica",$B559))&amp;" - "&amp;(IF($C559="","Commercial",$C559))),Variables!$B$1:$D$1,0),1))*BD559/365),""))</f>
        <v>17.430124527936272</v>
      </c>
      <c r="BJ559" s="44">
        <f t="shared" si="26"/>
        <v>3</v>
      </c>
      <c r="BK559" s="44">
        <f>IF($AX559="Cancelled","",IFERROR(IF(BJ559="","",(W559*INDEX(Variables!$B$7:$D$7,IFERROR(MATCH(IF($B559="Robusta","Robusta",(IF($B559="","Arabica",$B559))&amp;" - "&amp;(IF($C559="","Commercial",$C559))),Variables!$B$1:$D$1,0),1))*(BJ559/365))+(W559*INDEX(Variables!$B$9:$D$9,IFERROR(MATCH(IF($B559="Robusta","Robusta",(IF($B559="","Arabica",$B559))&amp;" - "&amp;(IF($C559="","Commercial",$C559))),Variables!$B$1:$D$1,0),1))*(BJ559/365))+(INDEX(Variables!$B$8:$D$8,IFERROR(MATCH(IF($B559="Robusta","Robusta",(IF($B559="","Arabica",$B559))&amp;" - "&amp;(IF($C559="","Commercial",$C559))),Variables!$B$1:$D$1,0),1))*L559/16.67)),""))</f>
        <v>20.445186791904405</v>
      </c>
    </row>
    <row r="560" spans="1:63">
      <c r="A560" s="13" t="s">
        <v>103</v>
      </c>
      <c r="B560" s="13" t="s">
        <v>104</v>
      </c>
      <c r="C560" s="13" t="s">
        <v>105</v>
      </c>
      <c r="D560" s="31">
        <v>45989</v>
      </c>
      <c r="E560" s="31">
        <v>46054</v>
      </c>
      <c r="F560" s="31">
        <v>46081</v>
      </c>
      <c r="G560" s="13">
        <v>3787017</v>
      </c>
      <c r="H560" s="13" t="s">
        <v>1584</v>
      </c>
      <c r="J560" s="13" t="s">
        <v>506</v>
      </c>
      <c r="K560" s="13">
        <v>5392</v>
      </c>
      <c r="L560" s="13">
        <v>320</v>
      </c>
      <c r="M560" s="13">
        <v>1</v>
      </c>
      <c r="N560" s="13" t="s">
        <v>1585</v>
      </c>
      <c r="O560" s="13" t="s">
        <v>120</v>
      </c>
      <c r="P560" s="13">
        <v>10070</v>
      </c>
      <c r="R560" s="13" t="s">
        <v>239</v>
      </c>
      <c r="S560" s="13" t="s">
        <v>509</v>
      </c>
      <c r="T560" s="13" t="s">
        <v>329</v>
      </c>
      <c r="U560" s="13" t="s">
        <v>330</v>
      </c>
      <c r="V560" s="13">
        <v>18</v>
      </c>
      <c r="W560" s="44">
        <f>IF($AX560="Cancelled","",IFERROR(((V560+INDEX(Variables!$B$6:$D$6,IFERROR(MATCH(IF($B560="Robusta","Robusta",(IF($B560="","Arabica",$B560))&amp;" - "&amp;(IF($C560="","Commercial",$C560))),Variables!$B$1:$D$1,0),1)))*22.0462)*(L560/16.67),""))</f>
        <v>130684.90097180562</v>
      </c>
      <c r="X560" s="55" t="s">
        <v>37</v>
      </c>
      <c r="Y560" s="13" t="str">
        <f>IF($AX560="Cancelled","",IF(X560="","",IFERROR(IF(INDEX(Variables!$B$38:$B$47,MATCH(X560,Variables!$A$38:$A$47,0))="Yes","Yes","No"),"No")))</f>
        <v>Yes</v>
      </c>
      <c r="Z560" s="58">
        <v>46015</v>
      </c>
      <c r="AC560" s="13" t="str">
        <f t="shared" si="24"/>
        <v/>
      </c>
      <c r="AF560" s="71">
        <v>46048</v>
      </c>
      <c r="AG560" s="37">
        <f>IF($AX560="Cancelled","",IFERROR(IF(F560="","",F560-Variables!$B$13),""))</f>
        <v>46066</v>
      </c>
      <c r="AH560" s="13" t="str">
        <f>IF($AX560="Cancelled","",IFERROR(IF(AB560="","",(AVERAGE(E560:F560)-AB560)-Variables!$B$14),""))</f>
        <v/>
      </c>
      <c r="AJ560" s="47">
        <v>46070</v>
      </c>
      <c r="AK560" s="14">
        <f>IF($AX560="Cancelled","",IFERROR(IF(AJ560="","",IF(AND(AB560="",AF560=""),"",IF(AF560&gt;AB560,AF560+Variables!$B$15+Variables!$B$16+Variables!$B$17-AJ560,AB560+Variables!$B$16+Variables!$B$17-AJ560))),""))</f>
        <v>-7</v>
      </c>
      <c r="AL560" s="48" t="s">
        <v>114</v>
      </c>
      <c r="AM560" s="13" t="s">
        <v>115</v>
      </c>
      <c r="AN560" s="13" t="s">
        <v>1586</v>
      </c>
      <c r="AP560" s="31">
        <v>46084</v>
      </c>
      <c r="AR560" s="13">
        <v>266490036</v>
      </c>
      <c r="AS560" s="31">
        <v>46085</v>
      </c>
      <c r="AU560" s="31">
        <v>46085</v>
      </c>
      <c r="AV560" s="13" t="s">
        <v>865</v>
      </c>
      <c r="AW560" s="31">
        <v>46085</v>
      </c>
      <c r="AX560" s="13" t="str">
        <f>IF(ISNUMBER(SEARCH("cancel",#REF!)),"Cancelled",IF(AND(AS560&lt;&gt;"",AU560&lt;&gt;"",AW560&lt;&gt;""),"Closed","Open"))</f>
        <v>Closed</v>
      </c>
      <c r="AY560" s="15" t="str">
        <f t="shared" si="25"/>
        <v>All dates received</v>
      </c>
      <c r="BD560" s="13">
        <f>IF($AX560="Cancelled","",IFERROR(IF(OR(AS560="",AJ560=""),"",(AJ560+Variables!$B$18-AS560)),""))</f>
        <v>0</v>
      </c>
      <c r="BE560" s="13">
        <f>IF($AX560="Cancelled","",IFERROR(IF(OR(AW560="",AS560=""),"",(AS560+Variables!$B$19)-AW560),""))</f>
        <v>5</v>
      </c>
      <c r="BF560" s="44">
        <f>IF($AX560="Cancelled","",IFERROR(W560*INDEX(Variables!$B$7:$D$7,IFERROR(MATCH(IF($B560="Robusta","Robusta",(IF($B560="","Arabica",$B560))&amp;" - "&amp;(IF($C560="","Commercial",$C560))),Variables!$B$1:$D$1,0),1))*(BE560/365),""))</f>
        <v>115.43630029375568</v>
      </c>
      <c r="BG560" s="44" t="str">
        <f>IF($AX560="Cancelled","",IFERROR((W560*INDEX(Variables!$B$7:$D$7,IFERROR(MATCH(IF($B560="Robusta","Robusta",(IF($B560="","Arabica",$B560))&amp;" - "&amp;(IF($C560="","Commercial",$C560))),Variables!$B$1:$D$1,0),1))*IFERROR(IF(AB560="","",(AVERAGE(E560:F560)-AB560)-Variables!$B$14),"")/365)+(L560/16.67*INDEX(Variables!$B$8:$D$8,IFERROR(MATCH(IF($B560="Robusta","Robusta",(IF($B560="","Arabica",$B560))&amp;" - "&amp;(IF($C560="","Commercial",$C560))),Variables!$B$1:$D$1,0),1))*IFERROR(IF(AB560="","",(AVERAGE(E560:F560)-AB560)-Variables!$B$14),""))+(W560*INDEX(Variables!$B$9:$D$9,IFERROR(MATCH(IF($B560="Robusta","Robusta",(IF($B560="","Arabica",$B560))&amp;" - "&amp;(IF($C560="","Commercial",$C560))),Variables!$B$1:$D$1,0),1))*IFERROR(IF(AB560="","",(AVERAGE(E560:F560)-AB560)-Variables!$B$14),"")/365),""))</f>
        <v/>
      </c>
      <c r="BH560" s="44">
        <f>IF($AX560="Cancelled","",IFERROR((W560*INDEX(Variables!$B$7:$D$7,IFERROR(MATCH(IF($B560="Robusta","Robusta",(IF($B560="","Arabica",$B560))&amp;" - "&amp;(IF($C560="","Commercial",$C560))),Variables!$B$1:$D$1,0),1))*AK560/365)+(L560/16.67*INDEX(Variables!$B$8:$D$8,IFERROR(MATCH(IF($B560="Robusta","Robusta",(IF($B560="","Arabica",$B560))&amp;" - "&amp;(IF($C560="","Commercial",$C560))),Variables!$B$1:$D$1,0),1))*AK560)+(W560*INDEX(Variables!$B$9:$D$9,IFERROR(MATCH(IF($B560="Robusta","Robusta",(IF($B560="","Arabica",$B560))&amp;" - "&amp;(IF($C560="","Commercial",$C560))),Variables!$B$1:$D$1,0),1))*AK560/365),""))</f>
        <v>-275.69429577357306</v>
      </c>
      <c r="BI560" s="44">
        <f>IF($AX560="Cancelled","",IFERROR((W560*INDEX(Variables!$B$7:$D$7,IFERROR(MATCH(IF($B560="Robusta","Robusta",(IF($B560="","Arabica",$B560))&amp;" - "&amp;(IF($C560="","Commercial",$C560))),Variables!$B$1:$D$1,0),1))*BD560/365)+(L560/16.67*INDEX(Variables!$B$8:$D$8,IFERROR(MATCH(IF($B560="Robusta","Robusta",(IF($B560="","Arabica",$B560))&amp;" - "&amp;(IF($C560="","Commercial",$C560))),Variables!$B$1:$D$1,0),1))*BD560)+(W560*INDEX(Variables!$B$9:$D$9,IFERROR(MATCH(IF($B560="Robusta","Robusta",(IF($B560="","Arabica",$B560))&amp;" - "&amp;(IF($C560="","Commercial",$C560))),Variables!$B$1:$D$1,0),1))*BD560/365),""))</f>
        <v>0</v>
      </c>
      <c r="BJ560" s="44">
        <f t="shared" si="26"/>
        <v>-4</v>
      </c>
      <c r="BK560" s="44">
        <f>IF($AX560="Cancelled","",IFERROR(IF(BJ560="","",(W560*INDEX(Variables!$B$7:$D$7,IFERROR(MATCH(IF($B560="Robusta","Robusta",(IF($B560="","Arabica",$B560))&amp;" - "&amp;(IF($C560="","Commercial",$C560))),Variables!$B$1:$D$1,0),1))*(BJ560/365))+(W560*INDEX(Variables!$B$9:$D$9,IFERROR(MATCH(IF($B560="Robusta","Robusta",(IF($B560="","Arabica",$B560))&amp;" - "&amp;(IF($C560="","Commercial",$C560))),Variables!$B$1:$D$1,0),1))*(BJ560/365))+(INDEX(Variables!$B$8:$D$8,IFERROR(MATCH(IF($B560="Robusta","Robusta",(IF($B560="","Arabica",$B560))&amp;" - "&amp;(IF($C560="","Commercial",$C560))),Variables!$B$1:$D$1,0),1))*L560/16.67)),""))</f>
        <v>-77.539597584898928</v>
      </c>
    </row>
    <row r="561" spans="1:63">
      <c r="A561" s="13" t="s">
        <v>103</v>
      </c>
      <c r="B561" s="13" t="s">
        <v>104</v>
      </c>
      <c r="C561" s="13" t="s">
        <v>105</v>
      </c>
      <c r="D561" s="31">
        <v>45994</v>
      </c>
      <c r="E561" s="31">
        <v>46082</v>
      </c>
      <c r="F561" s="31">
        <v>46112</v>
      </c>
      <c r="G561" s="13">
        <v>3787018</v>
      </c>
      <c r="H561" s="13" t="s">
        <v>1587</v>
      </c>
      <c r="J561" s="13" t="s">
        <v>118</v>
      </c>
      <c r="K561" s="13" t="s">
        <v>1587</v>
      </c>
      <c r="L561" s="13">
        <v>1</v>
      </c>
      <c r="M561" s="13">
        <v>0</v>
      </c>
      <c r="N561" s="13" t="s">
        <v>1588</v>
      </c>
      <c r="O561" s="13" t="s">
        <v>1372</v>
      </c>
      <c r="P561" s="13">
        <v>10310</v>
      </c>
      <c r="Q561" s="13" t="s">
        <v>121</v>
      </c>
      <c r="R561" s="13" t="s">
        <v>239</v>
      </c>
      <c r="S561" s="13" t="s">
        <v>442</v>
      </c>
      <c r="T561" s="13" t="s">
        <v>112</v>
      </c>
      <c r="U561" s="13" t="s">
        <v>113</v>
      </c>
      <c r="V561" s="13">
        <v>38.950000000000003</v>
      </c>
      <c r="W561" s="44">
        <f>IF($AX561="Cancelled","",IFERROR(((V561+INDEX(Variables!$B$6:$D$6,IFERROR(MATCH(IF($B561="Robusta","Robusta",(IF($B561="","Arabica",$B561))&amp;" - "&amp;(IF($C561="","Commercial",$C561))),Variables!$B$1:$D$1,0),1)))*22.0462)*(L561/16.67),""))</f>
        <v>436.09684763047386</v>
      </c>
      <c r="X561" s="55" t="s">
        <v>37</v>
      </c>
      <c r="Y561" s="13" t="str">
        <f>IF($AX561="Cancelled","",IF(X561="","",IFERROR(IF(INDEX(Variables!$B$38:$B$47,MATCH(X561,Variables!$A$38:$A$47,0))="Yes","Yes","No"),"No")))</f>
        <v>Yes</v>
      </c>
      <c r="Z561" s="58">
        <v>46051</v>
      </c>
      <c r="AB561" s="31">
        <v>46083</v>
      </c>
      <c r="AC561" s="13" t="str">
        <f t="shared" si="24"/>
        <v>Approved</v>
      </c>
      <c r="AF561" s="71">
        <v>46071</v>
      </c>
      <c r="AG561" s="37">
        <f>IF($AX561="Cancelled","",IFERROR(IF(F561="","",F561-Variables!$B$13),""))</f>
        <v>46097</v>
      </c>
      <c r="AH561" s="13">
        <f>IF($AX561="Cancelled","",IFERROR(IF(AB561="","",(AVERAGE(E561:F561)-AB561)-Variables!$B$14),""))</f>
        <v>-16</v>
      </c>
      <c r="AJ561" s="47">
        <v>46090</v>
      </c>
      <c r="AK561" s="14">
        <f>IF($AX561="Cancelled","",IFERROR(IF(AJ561="","",IF(AND(AB561="",AF561=""),"",IF(AF561&gt;AB561,AF561+Variables!$B$15+Variables!$B$16+Variables!$B$17-AJ561,AB561+Variables!$B$16+Variables!$B$17-AJ561))),""))</f>
        <v>1</v>
      </c>
      <c r="AL561" s="48" t="s">
        <v>114</v>
      </c>
      <c r="AM561" s="13" t="s">
        <v>1589</v>
      </c>
      <c r="AN561" s="13" t="s">
        <v>1589</v>
      </c>
      <c r="AO561" s="31">
        <v>46113</v>
      </c>
      <c r="AP561" s="31">
        <v>46113</v>
      </c>
      <c r="AQ561" s="31">
        <v>46113</v>
      </c>
      <c r="AR561" s="13" t="s">
        <v>1589</v>
      </c>
      <c r="AS561" s="31">
        <v>46113</v>
      </c>
      <c r="AU561" s="31">
        <v>46113</v>
      </c>
      <c r="AV561" s="13" t="s">
        <v>1589</v>
      </c>
      <c r="AW561" s="31">
        <v>46113</v>
      </c>
      <c r="AX561" s="13" t="str">
        <f>IF(ISNUMBER(SEARCH("cancel",#REF!)),"Cancelled",IF(AND(AS561&lt;&gt;"",AU561&lt;&gt;"",AW561&lt;&gt;""),"Closed","Open"))</f>
        <v>Closed</v>
      </c>
      <c r="AY561" s="15" t="str">
        <f t="shared" si="25"/>
        <v>All dates received</v>
      </c>
      <c r="BD561" s="13">
        <f>IF($AX561="Cancelled","",IFERROR(IF(OR(AS561="",AJ561=""),"",(AJ561+Variables!$B$18-AS561)),""))</f>
        <v>-8</v>
      </c>
      <c r="BE561" s="13">
        <f>IF($AX561="Cancelled","",IFERROR(IF(OR(AW561="",AS561=""),"",(AS561+Variables!$B$19)-AW561),""))</f>
        <v>5</v>
      </c>
      <c r="BF561" s="44">
        <f>IF($AX561="Cancelled","",IFERROR(W561*INDEX(Variables!$B$7:$D$7,IFERROR(MATCH(IF($B561="Robusta","Robusta",(IF($B561="","Arabica",$B561))&amp;" - "&amp;(IF($C561="","Commercial",$C561))),Variables!$B$1:$D$1,0),1))*(BE561/365),""))</f>
        <v>0.38521211162024305</v>
      </c>
      <c r="BG561" s="44">
        <f>IF($AX561="Cancelled","",IFERROR((W561*INDEX(Variables!$B$7:$D$7,IFERROR(MATCH(IF($B561="Robusta","Robusta",(IF($B561="","Arabica",$B561))&amp;" - "&amp;(IF($C561="","Commercial",$C561))),Variables!$B$1:$D$1,0),1))*IFERROR(IF(AB561="","",(AVERAGE(E561:F561)-AB561)-Variables!$B$14),"")/365)+(L561/16.67*INDEX(Variables!$B$8:$D$8,IFERROR(MATCH(IF($B561="Robusta","Robusta",(IF($B561="","Arabica",$B561))&amp;" - "&amp;(IF($C561="","Commercial",$C561))),Variables!$B$1:$D$1,0),1))*IFERROR(IF(AB561="","",(AVERAGE(E561:F561)-AB561)-Variables!$B$14),""))+(W561*INDEX(Variables!$B$9:$D$9,IFERROR(MATCH(IF($B561="Robusta","Robusta",(IF($B561="","Arabica",$B561))&amp;" - "&amp;(IF($C561="","Commercial",$C561))),Variables!$B$1:$D$1,0),1))*IFERROR(IF(AB561="","",(AVERAGE(E561:F561)-AB561)-Variables!$B$14),"")/365),""))</f>
        <v>-2.048570365269609</v>
      </c>
      <c r="BH561" s="44">
        <f>IF($AX561="Cancelled","",IFERROR((W561*INDEX(Variables!$B$7:$D$7,IFERROR(MATCH(IF($B561="Robusta","Robusta",(IF($B561="","Arabica",$B561))&amp;" - "&amp;(IF($C561="","Commercial",$C561))),Variables!$B$1:$D$1,0),1))*AK561/365)+(L561/16.67*INDEX(Variables!$B$8:$D$8,IFERROR(MATCH(IF($B561="Robusta","Robusta",(IF($B561="","Arabica",$B561))&amp;" - "&amp;(IF($C561="","Commercial",$C561))),Variables!$B$1:$D$1,0),1))*AK561)+(W561*INDEX(Variables!$B$9:$D$9,IFERROR(MATCH(IF($B561="Robusta","Robusta",(IF($B561="","Arabica",$B561))&amp;" - "&amp;(IF($C561="","Commercial",$C561))),Variables!$B$1:$D$1,0),1))*AK561/365),""))</f>
        <v>0.12803564782935056</v>
      </c>
      <c r="BI561" s="44">
        <f>IF($AX561="Cancelled","",IFERROR((W561*INDEX(Variables!$B$7:$D$7,IFERROR(MATCH(IF($B561="Robusta","Robusta",(IF($B561="","Arabica",$B561))&amp;" - "&amp;(IF($C561="","Commercial",$C561))),Variables!$B$1:$D$1,0),1))*BD561/365)+(L561/16.67*INDEX(Variables!$B$8:$D$8,IFERROR(MATCH(IF($B561="Robusta","Robusta",(IF($B561="","Arabica",$B561))&amp;" - "&amp;(IF($C561="","Commercial",$C561))),Variables!$B$1:$D$1,0),1))*BD561)+(W561*INDEX(Variables!$B$9:$D$9,IFERROR(MATCH(IF($B561="Robusta","Robusta",(IF($B561="","Arabica",$B561))&amp;" - "&amp;(IF($C561="","Commercial",$C561))),Variables!$B$1:$D$1,0),1))*BD561/365),""))</f>
        <v>-1.0242851826348045</v>
      </c>
      <c r="BJ561" s="44">
        <f t="shared" si="26"/>
        <v>-1</v>
      </c>
      <c r="BK561" s="44">
        <f>IF($AX561="Cancelled","",IFERROR(IF(BJ561="","",(W561*INDEX(Variables!$B$7:$D$7,IFERROR(MATCH(IF($B561="Robusta","Robusta",(IF($B561="","Arabica",$B561))&amp;" - "&amp;(IF($C561="","Commercial",$C561))),Variables!$B$1:$D$1,0),1))*(BJ561/365))+(W561*INDEX(Variables!$B$9:$D$9,IFERROR(MATCH(IF($B561="Robusta","Robusta",(IF($B561="","Arabica",$B561))&amp;" - "&amp;(IF($C561="","Commercial",$C561))),Variables!$B$1:$D$1,0),1))*(BJ561/365))+(INDEX(Variables!$B$8:$D$8,IFERROR(MATCH(IF($B561="Robusta","Robusta",(IF($B561="","Arabica",$B561))&amp;" - "&amp;(IF($C561="","Commercial",$C561))),Variables!$B$1:$D$1,0),1))*L561/16.67)),""))</f>
        <v>-2.8035647829350557E-2</v>
      </c>
    </row>
    <row r="562" spans="1:63">
      <c r="A562" s="13" t="s">
        <v>103</v>
      </c>
      <c r="B562" s="13" t="s">
        <v>104</v>
      </c>
      <c r="C562" s="13" t="s">
        <v>105</v>
      </c>
      <c r="D562" s="31">
        <v>45996</v>
      </c>
      <c r="E562" s="31">
        <v>45992</v>
      </c>
      <c r="F562" s="31">
        <v>46022</v>
      </c>
      <c r="G562" s="13">
        <v>3787019</v>
      </c>
      <c r="H562" s="13">
        <v>28297</v>
      </c>
      <c r="J562" s="13" t="s">
        <v>236</v>
      </c>
      <c r="K562" s="13">
        <v>5366</v>
      </c>
      <c r="L562" s="13">
        <v>320</v>
      </c>
      <c r="M562" s="13">
        <v>1</v>
      </c>
      <c r="N562" s="13" t="s">
        <v>1590</v>
      </c>
      <c r="O562" s="13" t="s">
        <v>120</v>
      </c>
      <c r="P562" s="13">
        <v>10070</v>
      </c>
      <c r="R562" s="13" t="s">
        <v>239</v>
      </c>
      <c r="S562" s="13" t="s">
        <v>288</v>
      </c>
      <c r="T562" s="13" t="s">
        <v>289</v>
      </c>
      <c r="U562" s="13" t="s">
        <v>182</v>
      </c>
      <c r="V562" s="13">
        <v>18</v>
      </c>
      <c r="W562" s="44">
        <f>IF($AX562="Cancelled","",IFERROR(((V562+INDEX(Variables!$B$6:$D$6,IFERROR(MATCH(IF($B562="Robusta","Robusta",(IF($B562="","Arabica",$B562))&amp;" - "&amp;(IF($C562="","Commercial",$C562))),Variables!$B$1:$D$1,0),1)))*22.0462)*(L562/16.67),""))</f>
        <v>130684.90097180562</v>
      </c>
      <c r="X562" s="55" t="s">
        <v>37</v>
      </c>
      <c r="Y562" s="13" t="str">
        <f>IF($AX562="Cancelled","",IF(X562="","",IFERROR(IF(INDEX(Variables!$B$38:$B$47,MATCH(X562,Variables!$A$38:$A$47,0))="Yes","Yes","No"),"No")))</f>
        <v>Yes</v>
      </c>
      <c r="Z562" s="58">
        <v>46010</v>
      </c>
      <c r="AB562" s="31">
        <v>46027</v>
      </c>
      <c r="AC562" s="13" t="str">
        <f t="shared" si="24"/>
        <v>Approved</v>
      </c>
      <c r="AF562" s="71">
        <f>AJ562-7</f>
        <v>46037</v>
      </c>
      <c r="AG562" s="37">
        <f>IF($AX562="Cancelled","",IFERROR(IF(F562="","",F562-Variables!$B$13),""))</f>
        <v>46007</v>
      </c>
      <c r="AH562" s="13">
        <f>IF($AX562="Cancelled","",IFERROR(IF(AB562="","",(AVERAGE(E562:F562)-AB562)-Variables!$B$14),""))</f>
        <v>-50</v>
      </c>
      <c r="AJ562" s="47">
        <v>46044</v>
      </c>
      <c r="AK562" s="14">
        <f>IF($AX562="Cancelled","",IFERROR(IF(AJ562="","",IF(AND(AB562="",AF562=""),"",IF(AF562&gt;AB562,AF562+Variables!$B$15+Variables!$B$16+Variables!$B$17-AJ562,AB562+Variables!$B$16+Variables!$B$17-AJ562))),""))</f>
        <v>8</v>
      </c>
      <c r="AL562" s="48" t="s">
        <v>114</v>
      </c>
      <c r="AM562" s="13" t="s">
        <v>183</v>
      </c>
      <c r="AN562" s="13" t="s">
        <v>184</v>
      </c>
      <c r="AP562" s="31">
        <v>46056</v>
      </c>
      <c r="AR562" s="13" t="s">
        <v>1591</v>
      </c>
      <c r="AS562" s="31">
        <v>46056</v>
      </c>
      <c r="AU562" s="31">
        <v>46059</v>
      </c>
      <c r="AV562" s="13" t="s">
        <v>1592</v>
      </c>
      <c r="AW562" s="31">
        <v>46059</v>
      </c>
      <c r="AX562" s="13" t="str">
        <f>IF(ISNUMBER(SEARCH("cancel",#REF!)),"Cancelled",IF(AND(AS562&lt;&gt;"",AU562&lt;&gt;"",AW562&lt;&gt;""),"Closed","Open"))</f>
        <v>Closed</v>
      </c>
      <c r="AY562" s="15" t="str">
        <f t="shared" si="25"/>
        <v>All dates received</v>
      </c>
      <c r="BD562" s="13">
        <f>IF($AX562="Cancelled","",IFERROR(IF(OR(AS562="",AJ562=""),"",(AJ562+Variables!$B$18-AS562)),""))</f>
        <v>3</v>
      </c>
      <c r="BE562" s="13">
        <f>IF($AX562="Cancelled","",IFERROR(IF(OR(AW562="",AS562=""),"",(AS562+Variables!$B$19)-AW562),""))</f>
        <v>2</v>
      </c>
      <c r="BF562" s="44">
        <f>IF($AX562="Cancelled","",IFERROR(W562*INDEX(Variables!$B$7:$D$7,IFERROR(MATCH(IF($B562="Robusta","Robusta",(IF($B562="","Arabica",$B562))&amp;" - "&amp;(IF($C562="","Commercial",$C562))),Variables!$B$1:$D$1,0),1))*(BE562/365),""))</f>
        <v>46.174520117502276</v>
      </c>
      <c r="BG562" s="44">
        <f>IF($AX562="Cancelled","",IFERROR((W562*INDEX(Variables!$B$7:$D$7,IFERROR(MATCH(IF($B562="Robusta","Robusta",(IF($B562="","Arabica",$B562))&amp;" - "&amp;(IF($C562="","Commercial",$C562))),Variables!$B$1:$D$1,0),1))*IFERROR(IF(AB562="","",(AVERAGE(E562:F562)-AB562)-Variables!$B$14),"")/365)+(L562/16.67*INDEX(Variables!$B$8:$D$8,IFERROR(MATCH(IF($B562="Robusta","Robusta",(IF($B562="","Arabica",$B562))&amp;" - "&amp;(IF($C562="","Commercial",$C562))),Variables!$B$1:$D$1,0),1))*IFERROR(IF(AB562="","",(AVERAGE(E562:F562)-AB562)-Variables!$B$14),""))+(W562*INDEX(Variables!$B$9:$D$9,IFERROR(MATCH(IF($B562="Robusta","Robusta",(IF($B562="","Arabica",$B562))&amp;" - "&amp;(IF($C562="","Commercial",$C562))),Variables!$B$1:$D$1,0),1))*IFERROR(IF(AB562="","",(AVERAGE(E562:F562)-AB562)-Variables!$B$14),"")/365),""))</f>
        <v>-1969.2449698112366</v>
      </c>
      <c r="BH562" s="44">
        <f>IF($AX562="Cancelled","",IFERROR((W562*INDEX(Variables!$B$7:$D$7,IFERROR(MATCH(IF($B562="Robusta","Robusta",(IF($B562="","Arabica",$B562))&amp;" - "&amp;(IF($C562="","Commercial",$C562))),Variables!$B$1:$D$1,0),1))*AK562/365)+(L562/16.67*INDEX(Variables!$B$8:$D$8,IFERROR(MATCH(IF($B562="Robusta","Robusta",(IF($B562="","Arabica",$B562))&amp;" - "&amp;(IF($C562="","Commercial",$C562))),Variables!$B$1:$D$1,0),1))*AK562)+(W562*INDEX(Variables!$B$9:$D$9,IFERROR(MATCH(IF($B562="Robusta","Robusta",(IF($B562="","Arabica",$B562))&amp;" - "&amp;(IF($C562="","Commercial",$C562))),Variables!$B$1:$D$1,0),1))*AK562/365),""))</f>
        <v>315.07919516979791</v>
      </c>
      <c r="BI562" s="44">
        <f>IF($AX562="Cancelled","",IFERROR((W562*INDEX(Variables!$B$7:$D$7,IFERROR(MATCH(IF($B562="Robusta","Robusta",(IF($B562="","Arabica",$B562))&amp;" - "&amp;(IF($C562="","Commercial",$C562))),Variables!$B$1:$D$1,0),1))*BD562/365)+(L562/16.67*INDEX(Variables!$B$8:$D$8,IFERROR(MATCH(IF($B562="Robusta","Robusta",(IF($B562="","Arabica",$B562))&amp;" - "&amp;(IF($C562="","Commercial",$C562))),Variables!$B$1:$D$1,0),1))*BD562)+(W562*INDEX(Variables!$B$9:$D$9,IFERROR(MATCH(IF($B562="Robusta","Robusta",(IF($B562="","Arabica",$B562))&amp;" - "&amp;(IF($C562="","Commercial",$C562))),Variables!$B$1:$D$1,0),1))*BD562/365),""))</f>
        <v>118.15469818867419</v>
      </c>
      <c r="BJ562" s="44">
        <f t="shared" si="26"/>
        <v>-34</v>
      </c>
      <c r="BK562" s="44">
        <f>IF($AX562="Cancelled","",IFERROR(IF(BJ562="","",(W562*INDEX(Variables!$B$7:$D$7,IFERROR(MATCH(IF($B562="Robusta","Robusta",(IF($B562="","Arabica",$B562))&amp;" - "&amp;(IF($C562="","Commercial",$C562))),Variables!$B$1:$D$1,0),1))*(BJ562/365))+(W562*INDEX(Variables!$B$9:$D$9,IFERROR(MATCH(IF($B562="Robusta","Robusta",(IF($B562="","Arabica",$B562))&amp;" - "&amp;(IF($C562="","Commercial",$C562))),Variables!$B$1:$D$1,0),1))*(BJ562/365))+(INDEX(Variables!$B$8:$D$8,IFERROR(MATCH(IF($B562="Robusta","Robusta",(IF($B562="","Arabica",$B562))&amp;" - "&amp;(IF($C562="","Commercial",$C562))),Variables!$B$1:$D$1,0),1))*L562/16.67)),""))</f>
        <v>-779.0865794716409</v>
      </c>
    </row>
    <row r="563" spans="1:63">
      <c r="A563" s="13" t="s">
        <v>103</v>
      </c>
      <c r="B563" s="13" t="s">
        <v>104</v>
      </c>
      <c r="C563" s="13" t="s">
        <v>105</v>
      </c>
      <c r="D563" s="31">
        <v>45993</v>
      </c>
      <c r="E563" s="31">
        <v>46023</v>
      </c>
      <c r="F563" s="31">
        <v>46053</v>
      </c>
      <c r="G563" s="13">
        <v>3787020</v>
      </c>
      <c r="H563" s="13">
        <v>4553635554</v>
      </c>
      <c r="J563" s="13" t="s">
        <v>230</v>
      </c>
      <c r="K563" s="13">
        <v>5375</v>
      </c>
      <c r="L563" s="13">
        <v>1440</v>
      </c>
      <c r="M563" s="13">
        <v>4</v>
      </c>
      <c r="N563" s="13" t="s">
        <v>1593</v>
      </c>
      <c r="O563" s="13" t="s">
        <v>179</v>
      </c>
      <c r="P563" s="13">
        <v>10110</v>
      </c>
      <c r="R563" s="13" t="s">
        <v>122</v>
      </c>
      <c r="S563" s="13" t="s">
        <v>154</v>
      </c>
      <c r="T563" s="13" t="s">
        <v>155</v>
      </c>
      <c r="U563" s="13" t="s">
        <v>125</v>
      </c>
      <c r="V563" s="13">
        <v>4</v>
      </c>
      <c r="W563" s="44">
        <f>IF($AX563="Cancelled","",IFERROR(((V563+INDEX(Variables!$B$6:$D$6,IFERROR(MATCH(IF($B563="Robusta","Robusta",(IF($B563="","Arabica",$B563))&amp;" - "&amp;(IF($C563="","Commercial",$C563))),Variables!$B$1:$D$1,0),1)))*22.0462)*(L563/16.67),""))</f>
        <v>561420.30320335925</v>
      </c>
      <c r="X563" s="55" t="s">
        <v>37</v>
      </c>
      <c r="Y563" s="13" t="str">
        <f>IF($AX563="Cancelled","",IF(X563="","",IFERROR(IF(INDEX(Variables!$B$38:$B$47,MATCH(X563,Variables!$A$38:$A$47,0))="Yes","Yes","No"),"No")))</f>
        <v>Yes</v>
      </c>
      <c r="Z563" s="58">
        <v>45973</v>
      </c>
      <c r="AB563" s="31">
        <v>46005.875</v>
      </c>
      <c r="AC563" s="13" t="str">
        <f t="shared" si="24"/>
        <v>Approved</v>
      </c>
      <c r="AF563" s="71">
        <v>46037</v>
      </c>
      <c r="AG563" s="37">
        <f>IF($AX563="Cancelled","",IFERROR(IF(F563="","",F563-Variables!$B$13),""))</f>
        <v>46038</v>
      </c>
      <c r="AH563" s="13">
        <f>IF($AX563="Cancelled","",IFERROR(IF(AB563="","",(AVERAGE(E563:F563)-AB563)-Variables!$B$14),""))</f>
        <v>2.125</v>
      </c>
      <c r="AJ563" s="47">
        <v>46038</v>
      </c>
      <c r="AK563" s="14">
        <f>IF($AX563="Cancelled","",IFERROR(IF(AJ563="","",IF(AND(AB563="",AF563=""),"",IF(AF563&gt;AB563,AF563+Variables!$B$15+Variables!$B$16+Variables!$B$17-AJ563,AB563+Variables!$B$16+Variables!$B$17-AJ563))),""))</f>
        <v>14</v>
      </c>
      <c r="AL563" s="48" t="s">
        <v>114</v>
      </c>
      <c r="AM563" s="13" t="s">
        <v>1526</v>
      </c>
      <c r="AN563" s="13" t="s">
        <v>1594</v>
      </c>
      <c r="AP563" s="31">
        <v>46061</v>
      </c>
      <c r="AR563" s="13">
        <v>911913</v>
      </c>
      <c r="AS563" s="31">
        <v>46061</v>
      </c>
      <c r="AU563" s="31">
        <v>46070</v>
      </c>
      <c r="AV563" s="13" t="s">
        <v>865</v>
      </c>
      <c r="AW563" s="31" t="s">
        <v>1595</v>
      </c>
      <c r="AX563" s="13" t="str">
        <f>IF(ISNUMBER(SEARCH("cancel",#REF!)),"Cancelled",IF(AND(AS563&lt;&gt;"",AU563&lt;&gt;"",AW563&lt;&gt;""),"Closed","Open"))</f>
        <v>Closed</v>
      </c>
      <c r="AY563" s="15" t="str">
        <f t="shared" si="25"/>
        <v>All dates received</v>
      </c>
      <c r="BD563" s="13">
        <f>IF($AX563="Cancelled","",IFERROR(IF(OR(AS563="",AJ563=""),"",(AJ563+Variables!$B$18-AS563)),""))</f>
        <v>-8</v>
      </c>
      <c r="BE563" s="13">
        <f>IF($AX563="Cancelled","",IFERROR(IF(OR(AW563="",AS563=""),"",(AS563+Variables!$B$19)-AW563),""))</f>
        <v>-14</v>
      </c>
      <c r="BF563" s="44">
        <f>IF($AX563="Cancelled","",IFERROR(W563*INDEX(Variables!$B$7:$D$7,IFERROR(MATCH(IF($B563="Robusta","Robusta",(IF($B563="","Arabica",$B563))&amp;" - "&amp;(IF($C563="","Commercial",$C563))),Variables!$B$1:$D$1,0),1))*(BE563/365),""))</f>
        <v>-1388.5551448029457</v>
      </c>
      <c r="BG563" s="44">
        <f>IF($AX563="Cancelled","",IFERROR((W563*INDEX(Variables!$B$7:$D$7,IFERROR(MATCH(IF($B563="Robusta","Robusta",(IF($B563="","Arabica",$B563))&amp;" - "&amp;(IF($C563="","Commercial",$C563))),Variables!$B$1:$D$1,0),1))*IFERROR(IF(AB563="","",(AVERAGE(E563:F563)-AB563)-Variables!$B$14),"")/365)+(L563/16.67*INDEX(Variables!$B$8:$D$8,IFERROR(MATCH(IF($B563="Robusta","Robusta",(IF($B563="","Arabica",$B563))&amp;" - "&amp;(IF($C563="","Commercial",$C563))),Variables!$B$1:$D$1,0),1))*IFERROR(IF(AB563="","",(AVERAGE(E563:F563)-AB563)-Variables!$B$14),""))+(W563*INDEX(Variables!$B$9:$D$9,IFERROR(MATCH(IF($B563="Robusta","Robusta",(IF($B563="","Arabica",$B563))&amp;" - "&amp;(IF($C563="","Commercial",$C563))),Variables!$B$1:$D$1,0),1))*IFERROR(IF(AB563="","",(AVERAGE(E563:F563)-AB563)-Variables!$B$14),"")/365),""))</f>
        <v>366.47997415946384</v>
      </c>
      <c r="BH563" s="44">
        <f>IF($AX563="Cancelled","",IFERROR((W563*INDEX(Variables!$B$7:$D$7,IFERROR(MATCH(IF($B563="Robusta","Robusta",(IF($B563="","Arabica",$B563))&amp;" - "&amp;(IF($C563="","Commercial",$C563))),Variables!$B$1:$D$1,0),1))*AK563/365)+(L563/16.67*INDEX(Variables!$B$8:$D$8,IFERROR(MATCH(IF($B563="Robusta","Robusta",(IF($B563="","Arabica",$B563))&amp;" - "&amp;(IF($C563="","Commercial",$C563))),Variables!$B$1:$D$1,0),1))*AK563)+(W563*INDEX(Variables!$B$9:$D$9,IFERROR(MATCH(IF($B563="Robusta","Robusta",(IF($B563="","Arabica",$B563))&amp;" - "&amp;(IF($C563="","Commercial",$C563))),Variables!$B$1:$D$1,0),1))*AK563/365),""))</f>
        <v>2414.4563003447029</v>
      </c>
      <c r="BI563" s="44">
        <f>IF($AX563="Cancelled","",IFERROR((W563*INDEX(Variables!$B$7:$D$7,IFERROR(MATCH(IF($B563="Robusta","Robusta",(IF($B563="","Arabica",$B563))&amp;" - "&amp;(IF($C563="","Commercial",$C563))),Variables!$B$1:$D$1,0),1))*BD563/365)+(L563/16.67*INDEX(Variables!$B$8:$D$8,IFERROR(MATCH(IF($B563="Robusta","Robusta",(IF($B563="","Arabica",$B563))&amp;" - "&amp;(IF($C563="","Commercial",$C563))),Variables!$B$1:$D$1,0),1))*BD563)+(W563*INDEX(Variables!$B$9:$D$9,IFERROR(MATCH(IF($B563="Robusta","Robusta",(IF($B563="","Arabica",$B563))&amp;" - "&amp;(IF($C563="","Commercial",$C563))),Variables!$B$1:$D$1,0),1))*BD563/365),""))</f>
        <v>-1379.6893144826875</v>
      </c>
      <c r="BJ563" s="44">
        <f t="shared" si="26"/>
        <v>-8</v>
      </c>
      <c r="BK563" s="44">
        <f>IF($AX563="Cancelled","",IFERROR(IF(BJ563="","",(W563*INDEX(Variables!$B$7:$D$7,IFERROR(MATCH(IF($B563="Robusta","Robusta",(IF($B563="","Arabica",$B563))&amp;" - "&amp;(IF($C563="","Commercial",$C563))),Variables!$B$1:$D$1,0),1))*(BJ563/365))+(W563*INDEX(Variables!$B$9:$D$9,IFERROR(MATCH(IF($B563="Robusta","Robusta",(IF($B563="","Arabica",$B563))&amp;" - "&amp;(IF($C563="","Commercial",$C563))),Variables!$B$1:$D$1,0),1))*(BJ563/365))+(INDEX(Variables!$B$8:$D$8,IFERROR(MATCH(IF($B563="Robusta","Robusta",(IF($B563="","Arabica",$B563))&amp;" - "&amp;(IF($C563="","Commercial",$C563))),Variables!$B$1:$D$1,0),1))*L563/16.67)),""))</f>
        <v>-731.68931448268734</v>
      </c>
    </row>
    <row r="564" spans="1:63">
      <c r="A564" s="13" t="s">
        <v>103</v>
      </c>
      <c r="B564" s="13" t="s">
        <v>104</v>
      </c>
      <c r="C564" s="13" t="s">
        <v>105</v>
      </c>
      <c r="D564" s="31">
        <v>45996</v>
      </c>
      <c r="E564" s="31">
        <v>46054</v>
      </c>
      <c r="F564" s="31">
        <v>46081</v>
      </c>
      <c r="G564" s="13">
        <v>3787021</v>
      </c>
      <c r="H564" s="13" t="s">
        <v>1596</v>
      </c>
      <c r="J564" s="13" t="s">
        <v>506</v>
      </c>
      <c r="K564" s="13">
        <v>5393</v>
      </c>
      <c r="L564" s="13">
        <v>320</v>
      </c>
      <c r="M564" s="13">
        <v>1</v>
      </c>
      <c r="N564" s="13" t="s">
        <v>1585</v>
      </c>
      <c r="O564" s="13" t="s">
        <v>120</v>
      </c>
      <c r="P564" s="13">
        <v>10070</v>
      </c>
      <c r="R564" s="13" t="s">
        <v>239</v>
      </c>
      <c r="S564" s="13" t="s">
        <v>1155</v>
      </c>
      <c r="T564" s="13" t="s">
        <v>329</v>
      </c>
      <c r="U564" s="13" t="s">
        <v>330</v>
      </c>
      <c r="V564" s="13">
        <v>15</v>
      </c>
      <c r="W564" s="44">
        <f>IF($AX564="Cancelled","",IFERROR(((V564+INDEX(Variables!$B$6:$D$6,IFERROR(MATCH(IF($B564="Robusta","Robusta",(IF($B564="","Arabica",$B564))&amp;" - "&amp;(IF($C564="","Commercial",$C564))),Variables!$B$1:$D$1,0),1)))*22.0462)*(L564/16.67),""))</f>
        <v>129415.29377324534</v>
      </c>
      <c r="X564" s="55" t="s">
        <v>37</v>
      </c>
      <c r="Y564" s="13" t="str">
        <f>IF($AX564="Cancelled","",IF(X564="","",IFERROR(IF(INDEX(Variables!$B$38:$B$47,MATCH(X564,Variables!$A$38:$A$47,0))="Yes","Yes","No"),"No")))</f>
        <v>Yes</v>
      </c>
      <c r="Z564" s="58">
        <v>46015</v>
      </c>
      <c r="AC564" s="13" t="str">
        <f t="shared" si="24"/>
        <v/>
      </c>
      <c r="AF564" s="71">
        <v>46044</v>
      </c>
      <c r="AG564" s="37">
        <f>IF($AX564="Cancelled","",IFERROR(IF(F564="","",F564-Variables!$B$13),""))</f>
        <v>46066</v>
      </c>
      <c r="AH564" s="13" t="str">
        <f>IF($AX564="Cancelled","",IFERROR(IF(AB564="","",(AVERAGE(E564:F564)-AB564)-Variables!$B$14),""))</f>
        <v/>
      </c>
      <c r="AJ564" s="47">
        <v>46063</v>
      </c>
      <c r="AK564" s="14">
        <f>IF($AX564="Cancelled","",IFERROR(IF(AJ564="","",IF(AND(AB564="",AF564=""),"",IF(AF564&gt;AB564,AF564+Variables!$B$15+Variables!$B$16+Variables!$B$17-AJ564,AB564+Variables!$B$16+Variables!$B$17-AJ564))),""))</f>
        <v>-4</v>
      </c>
      <c r="AL564" s="48" t="s">
        <v>114</v>
      </c>
      <c r="AM564" s="13" t="s">
        <v>168</v>
      </c>
      <c r="AN564" s="13" t="s">
        <v>1597</v>
      </c>
      <c r="AP564" s="31">
        <v>46083</v>
      </c>
      <c r="AR564" s="13" t="s">
        <v>1598</v>
      </c>
      <c r="AS564" s="31">
        <v>46083</v>
      </c>
      <c r="AU564" s="31">
        <v>46094</v>
      </c>
      <c r="AV564" s="13" t="s">
        <v>865</v>
      </c>
      <c r="AW564" s="31">
        <v>46094</v>
      </c>
      <c r="AX564" s="13" t="str">
        <f>IF(ISNUMBER(SEARCH("cancel",#REF!)),"Cancelled",IF(AND(AS564&lt;&gt;"",AU564&lt;&gt;"",AW564&lt;&gt;""),"Closed","Open"))</f>
        <v>Closed</v>
      </c>
      <c r="AY564" s="15" t="str">
        <f t="shared" si="25"/>
        <v>All dates received</v>
      </c>
      <c r="BD564" s="13">
        <f>IF($AX564="Cancelled","",IFERROR(IF(OR(AS564="",AJ564=""),"",(AJ564+Variables!$B$18-AS564)),""))</f>
        <v>-5</v>
      </c>
      <c r="BE564" s="13">
        <f>IF($AX564="Cancelled","",IFERROR(IF(OR(AW564="",AS564=""),"",(AS564+Variables!$B$19)-AW564),""))</f>
        <v>-6</v>
      </c>
      <c r="BF564" s="44">
        <f>IF($AX564="Cancelled","",IFERROR(W564*INDEX(Variables!$B$7:$D$7,IFERROR(MATCH(IF($B564="Robusta","Robusta",(IF($B564="","Arabica",$B564))&amp;" - "&amp;(IF($C564="","Commercial",$C564))),Variables!$B$1:$D$1,0),1))*(BE564/365),""))</f>
        <v>-137.17780037498895</v>
      </c>
      <c r="BG564" s="44" t="str">
        <f>IF($AX564="Cancelled","",IFERROR((W564*INDEX(Variables!$B$7:$D$7,IFERROR(MATCH(IF($B564="Robusta","Robusta",(IF($B564="","Arabica",$B564))&amp;" - "&amp;(IF($C564="","Commercial",$C564))),Variables!$B$1:$D$1,0),1))*IFERROR(IF(AB564="","",(AVERAGE(E564:F564)-AB564)-Variables!$B$14),"")/365)+(L564/16.67*INDEX(Variables!$B$8:$D$8,IFERROR(MATCH(IF($B564="Robusta","Robusta",(IF($B564="","Arabica",$B564))&amp;" - "&amp;(IF($C564="","Commercial",$C564))),Variables!$B$1:$D$1,0),1))*IFERROR(IF(AB564="","",(AVERAGE(E564:F564)-AB564)-Variables!$B$14),""))+(W564*INDEX(Variables!$B$9:$D$9,IFERROR(MATCH(IF($B564="Robusta","Robusta",(IF($B564="","Arabica",$B564))&amp;" - "&amp;(IF($C564="","Commercial",$C564))),Variables!$B$1:$D$1,0),1))*IFERROR(IF(AB564="","",(AVERAGE(E564:F564)-AB564)-Variables!$B$14),"")/365),""))</f>
        <v/>
      </c>
      <c r="BH564" s="44">
        <f>IF($AX564="Cancelled","",IFERROR((W564*INDEX(Variables!$B$7:$D$7,IFERROR(MATCH(IF($B564="Robusta","Robusta",(IF($B564="","Arabica",$B564))&amp;" - "&amp;(IF($C564="","Commercial",$C564))),Variables!$B$1:$D$1,0),1))*AK564/365)+(L564/16.67*INDEX(Variables!$B$8:$D$8,IFERROR(MATCH(IF($B564="Robusta","Robusta",(IF($B564="","Arabica",$B564))&amp;" - "&amp;(IF($C564="","Commercial",$C564))),Variables!$B$1:$D$1,0),1))*AK564)+(W564*INDEX(Variables!$B$9:$D$9,IFERROR(MATCH(IF($B564="Robusta","Robusta",(IF($B564="","Arabica",$B564))&amp;" - "&amp;(IF($C564="","Commercial",$C564))),Variables!$B$1:$D$1,0),1))*AK564/365),""))</f>
        <v>-156.630857971056</v>
      </c>
      <c r="BI564" s="44">
        <f>IF($AX564="Cancelled","",IFERROR((W564*INDEX(Variables!$B$7:$D$7,IFERROR(MATCH(IF($B564="Robusta","Robusta",(IF($B564="","Arabica",$B564))&amp;" - "&amp;(IF($C564="","Commercial",$C564))),Variables!$B$1:$D$1,0),1))*BD564/365)+(L564/16.67*INDEX(Variables!$B$8:$D$8,IFERROR(MATCH(IF($B564="Robusta","Robusta",(IF($B564="","Arabica",$B564))&amp;" - "&amp;(IF($C564="","Commercial",$C564))),Variables!$B$1:$D$1,0),1))*BD564)+(W564*INDEX(Variables!$B$9:$D$9,IFERROR(MATCH(IF($B564="Robusta","Robusta",(IF($B564="","Arabica",$B564))&amp;" - "&amp;(IF($C564="","Commercial",$C564))),Variables!$B$1:$D$1,0),1))*BD564/365),""))</f>
        <v>-195.78857246382</v>
      </c>
      <c r="BJ564" s="44">
        <f t="shared" si="26"/>
        <v>-2</v>
      </c>
      <c r="BK564" s="44">
        <f>IF($AX564="Cancelled","",IFERROR(IF(BJ564="","",(W564*INDEX(Variables!$B$7:$D$7,IFERROR(MATCH(IF($B564="Robusta","Robusta",(IF($B564="","Arabica",$B564))&amp;" - "&amp;(IF($C564="","Commercial",$C564))),Variables!$B$1:$D$1,0),1))*(BJ564/365))+(W564*INDEX(Variables!$B$9:$D$9,IFERROR(MATCH(IF($B564="Robusta","Robusta",(IF($B564="","Arabica",$B564))&amp;" - "&amp;(IF($C564="","Commercial",$C564))),Variables!$B$1:$D$1,0),1))*(BJ564/365))+(INDEX(Variables!$B$8:$D$8,IFERROR(MATCH(IF($B564="Robusta","Robusta",(IF($B564="","Arabica",$B564))&amp;" - "&amp;(IF($C564="","Commercial",$C564))),Variables!$B$1:$D$1,0),1))*L564/16.67)),""))</f>
        <v>-30.315428985528001</v>
      </c>
    </row>
    <row r="565" spans="1:63">
      <c r="A565" s="13" t="s">
        <v>103</v>
      </c>
      <c r="B565" s="13" t="s">
        <v>104</v>
      </c>
      <c r="C565" s="13" t="s">
        <v>105</v>
      </c>
      <c r="D565" s="31">
        <v>45994</v>
      </c>
      <c r="E565" s="31">
        <v>46023</v>
      </c>
      <c r="F565" s="31">
        <v>46053</v>
      </c>
      <c r="G565" s="13">
        <v>3787022</v>
      </c>
      <c r="J565" s="13" t="s">
        <v>506</v>
      </c>
      <c r="K565" s="13">
        <v>5382</v>
      </c>
      <c r="L565" s="13">
        <v>320</v>
      </c>
      <c r="M565" s="13">
        <v>1</v>
      </c>
      <c r="N565" s="13" t="s">
        <v>1585</v>
      </c>
      <c r="O565" s="13" t="s">
        <v>418</v>
      </c>
      <c r="P565" s="13">
        <v>10070</v>
      </c>
      <c r="R565" s="13" t="s">
        <v>239</v>
      </c>
      <c r="S565" s="13" t="s">
        <v>1155</v>
      </c>
      <c r="T565" s="13" t="s">
        <v>329</v>
      </c>
      <c r="U565" s="13" t="s">
        <v>330</v>
      </c>
      <c r="V565" s="13">
        <v>15</v>
      </c>
      <c r="W565" s="44">
        <f>IF($AX565="Cancelled","",IFERROR(((V565+INDEX(Variables!$B$6:$D$6,IFERROR(MATCH(IF($B565="Robusta","Robusta",(IF($B565="","Arabica",$B565))&amp;" - "&amp;(IF($C565="","Commercial",$C565))),Variables!$B$1:$D$1,0),1)))*22.0462)*(L565/16.67),""))</f>
        <v>129415.29377324534</v>
      </c>
      <c r="X565" s="55" t="s">
        <v>37</v>
      </c>
      <c r="Y565" s="13" t="str">
        <f>IF($AX565="Cancelled","",IF(X565="","",IFERROR(IF(INDEX(Variables!$B$38:$B$47,MATCH(X565,Variables!$A$38:$A$47,0))="Yes","Yes","No"),"No")))</f>
        <v>Yes</v>
      </c>
      <c r="Z565" s="58">
        <v>46002</v>
      </c>
      <c r="AB565" s="31">
        <v>46007</v>
      </c>
      <c r="AC565" s="13" t="str">
        <f t="shared" si="24"/>
        <v>Approved</v>
      </c>
      <c r="AF565" s="71">
        <v>46045</v>
      </c>
      <c r="AG565" s="37">
        <f>IF($AX565="Cancelled","",IFERROR(IF(F565="","",F565-Variables!$B$13),""))</f>
        <v>46038</v>
      </c>
      <c r="AH565" s="13">
        <f>IF($AX565="Cancelled","",IFERROR(IF(AB565="","",(AVERAGE(E565:F565)-AB565)-Variables!$B$14),""))</f>
        <v>1</v>
      </c>
      <c r="AJ565" s="47">
        <v>46049</v>
      </c>
      <c r="AK565" s="14">
        <f>IF($AX565="Cancelled","",IFERROR(IF(AJ565="","",IF(AND(AB565="",AF565=""),"",IF(AF565&gt;AB565,AF565+Variables!$B$15+Variables!$B$16+Variables!$B$17-AJ565,AB565+Variables!$B$16+Variables!$B$17-AJ565))),""))</f>
        <v>11</v>
      </c>
      <c r="AL565" s="48" t="s">
        <v>114</v>
      </c>
      <c r="AM565" s="13" t="s">
        <v>115</v>
      </c>
      <c r="AN565" s="13" t="s">
        <v>1599</v>
      </c>
      <c r="AP565" s="31">
        <v>46075</v>
      </c>
      <c r="AR565" s="13">
        <v>265416296</v>
      </c>
      <c r="AS565" s="31">
        <v>46075</v>
      </c>
      <c r="AU565" s="31">
        <v>46075</v>
      </c>
      <c r="AV565" s="13" t="s">
        <v>865</v>
      </c>
      <c r="AW565" s="31">
        <v>46075</v>
      </c>
      <c r="AX565" s="13" t="str">
        <f>IF(ISNUMBER(SEARCH("cancel",#REF!)),"Cancelled",IF(AND(AS565&lt;&gt;"",AU565&lt;&gt;"",AW565&lt;&gt;""),"Closed","Open"))</f>
        <v>Closed</v>
      </c>
      <c r="AY565" s="15" t="str">
        <f t="shared" si="25"/>
        <v>All dates received</v>
      </c>
      <c r="BD565" s="13">
        <f>IF($AX565="Cancelled","",IFERROR(IF(OR(AS565="",AJ565=""),"",(AJ565+Variables!$B$18-AS565)),""))</f>
        <v>-11</v>
      </c>
      <c r="BE565" s="13">
        <f>IF($AX565="Cancelled","",IFERROR(IF(OR(AW565="",AS565=""),"",(AS565+Variables!$B$19)-AW565),""))</f>
        <v>5</v>
      </c>
      <c r="BF565" s="44">
        <f>IF($AX565="Cancelled","",IFERROR(W565*INDEX(Variables!$B$7:$D$7,IFERROR(MATCH(IF($B565="Robusta","Robusta",(IF($B565="","Arabica",$B565))&amp;" - "&amp;(IF($C565="","Commercial",$C565))),Variables!$B$1:$D$1,0),1))*(BE565/365),""))</f>
        <v>114.31483364582412</v>
      </c>
      <c r="BG565" s="44">
        <f>IF($AX565="Cancelled","",IFERROR((W565*INDEX(Variables!$B$7:$D$7,IFERROR(MATCH(IF($B565="Robusta","Robusta",(IF($B565="","Arabica",$B565))&amp;" - "&amp;(IF($C565="","Commercial",$C565))),Variables!$B$1:$D$1,0),1))*IFERROR(IF(AB565="","",(AVERAGE(E565:F565)-AB565)-Variables!$B$14),"")/365)+(L565/16.67*INDEX(Variables!$B$8:$D$8,IFERROR(MATCH(IF($B565="Robusta","Robusta",(IF($B565="","Arabica",$B565))&amp;" - "&amp;(IF($C565="","Commercial",$C565))),Variables!$B$1:$D$1,0),1))*IFERROR(IF(AB565="","",(AVERAGE(E565:F565)-AB565)-Variables!$B$14),""))+(W565*INDEX(Variables!$B$9:$D$9,IFERROR(MATCH(IF($B565="Robusta","Robusta",(IF($B565="","Arabica",$B565))&amp;" - "&amp;(IF($C565="","Commercial",$C565))),Variables!$B$1:$D$1,0),1))*IFERROR(IF(AB565="","",(AVERAGE(E565:F565)-AB565)-Variables!$B$14),"")/365),""))</f>
        <v>39.157714492764001</v>
      </c>
      <c r="BH565" s="44">
        <f>IF($AX565="Cancelled","",IFERROR((W565*INDEX(Variables!$B$7:$D$7,IFERROR(MATCH(IF($B565="Robusta","Robusta",(IF($B565="","Arabica",$B565))&amp;" - "&amp;(IF($C565="","Commercial",$C565))),Variables!$B$1:$D$1,0),1))*AK565/365)+(L565/16.67*INDEX(Variables!$B$8:$D$8,IFERROR(MATCH(IF($B565="Robusta","Robusta",(IF($B565="","Arabica",$B565))&amp;" - "&amp;(IF($C565="","Commercial",$C565))),Variables!$B$1:$D$1,0),1))*AK565)+(W565*INDEX(Variables!$B$9:$D$9,IFERROR(MATCH(IF($B565="Robusta","Robusta",(IF($B565="","Arabica",$B565))&amp;" - "&amp;(IF($C565="","Commercial",$C565))),Variables!$B$1:$D$1,0),1))*AK565/365),""))</f>
        <v>430.73485942040401</v>
      </c>
      <c r="BI565" s="44">
        <f>IF($AX565="Cancelled","",IFERROR((W565*INDEX(Variables!$B$7:$D$7,IFERROR(MATCH(IF($B565="Robusta","Robusta",(IF($B565="","Arabica",$B565))&amp;" - "&amp;(IF($C565="","Commercial",$C565))),Variables!$B$1:$D$1,0),1))*BD565/365)+(L565/16.67*INDEX(Variables!$B$8:$D$8,IFERROR(MATCH(IF($B565="Robusta","Robusta",(IF($B565="","Arabica",$B565))&amp;" - "&amp;(IF($C565="","Commercial",$C565))),Variables!$B$1:$D$1,0),1))*BD565)+(W565*INDEX(Variables!$B$9:$D$9,IFERROR(MATCH(IF($B565="Robusta","Robusta",(IF($B565="","Arabica",$B565))&amp;" - "&amp;(IF($C565="","Commercial",$C565))),Variables!$B$1:$D$1,0),1))*BD565/365),""))</f>
        <v>-430.73485942040401</v>
      </c>
      <c r="BJ565" s="44">
        <f t="shared" si="26"/>
        <v>-22</v>
      </c>
      <c r="BK565" s="44">
        <f>IF($AX565="Cancelled","",IFERROR(IF(BJ565="","",(W565*INDEX(Variables!$B$7:$D$7,IFERROR(MATCH(IF($B565="Robusta","Robusta",(IF($B565="","Arabica",$B565))&amp;" - "&amp;(IF($C565="","Commercial",$C565))),Variables!$B$1:$D$1,0),1))*(BJ565/365))+(W565*INDEX(Variables!$B$9:$D$9,IFERROR(MATCH(IF($B565="Robusta","Robusta",(IF($B565="","Arabica",$B565))&amp;" - "&amp;(IF($C565="","Commercial",$C565))),Variables!$B$1:$D$1,0),1))*(BJ565/365))+(INDEX(Variables!$B$8:$D$8,IFERROR(MATCH(IF($B565="Robusta","Robusta",(IF($B565="","Arabica",$B565))&amp;" - "&amp;(IF($C565="","Commercial",$C565))),Variables!$B$1:$D$1,0),1))*L565/16.67)),""))</f>
        <v>-493.46971884080801</v>
      </c>
    </row>
    <row r="566" spans="1:63">
      <c r="A566" s="13" t="s">
        <v>103</v>
      </c>
      <c r="B566" s="13" t="s">
        <v>104</v>
      </c>
      <c r="C566" s="13" t="s">
        <v>105</v>
      </c>
      <c r="D566" s="31">
        <v>45994</v>
      </c>
      <c r="E566" s="31">
        <v>46054</v>
      </c>
      <c r="F566" s="31">
        <v>46081</v>
      </c>
      <c r="G566" s="13">
        <v>3787023</v>
      </c>
      <c r="J566" s="13" t="s">
        <v>118</v>
      </c>
      <c r="K566" s="13">
        <v>5403</v>
      </c>
      <c r="L566" s="13">
        <v>1667</v>
      </c>
      <c r="M566" s="13">
        <v>5</v>
      </c>
      <c r="N566" s="13" t="s">
        <v>1600</v>
      </c>
      <c r="O566" s="13" t="s">
        <v>269</v>
      </c>
      <c r="P566" s="13">
        <v>10310</v>
      </c>
      <c r="Q566" s="59" t="s">
        <v>270</v>
      </c>
      <c r="R566" s="13" t="s">
        <v>271</v>
      </c>
      <c r="S566" s="13" t="s">
        <v>288</v>
      </c>
      <c r="T566" s="13" t="s">
        <v>289</v>
      </c>
      <c r="U566" s="13" t="s">
        <v>182</v>
      </c>
      <c r="V566" s="13">
        <v>53</v>
      </c>
      <c r="W566" s="44">
        <f>IF($AX566="Cancelled","",IFERROR(((V566+INDEX(Variables!$B$6:$D$6,IFERROR(MATCH(IF($B566="Robusta","Robusta",(IF($B566="","Arabica",$B566))&amp;" - "&amp;(IF($C566="","Commercial",$C566))),Variables!$B$1:$D$1,0),1)))*22.0462)*(L566/16.67),""))</f>
        <v>757948.35599999991</v>
      </c>
      <c r="X566" s="55" t="s">
        <v>37</v>
      </c>
      <c r="Y566" s="13" t="str">
        <f>IF($AX566="Cancelled","",IF(X566="","",IFERROR(IF(INDEX(Variables!$B$38:$B$47,MATCH(X566,Variables!$A$38:$A$47,0))="Yes","Yes","No"),"No")))</f>
        <v>Yes</v>
      </c>
      <c r="Z566" s="58">
        <v>46034</v>
      </c>
      <c r="AC566" s="13" t="str">
        <f t="shared" si="24"/>
        <v/>
      </c>
      <c r="AF566" s="71">
        <v>46072</v>
      </c>
      <c r="AG566" s="37">
        <f>IF($AX566="Cancelled","",IFERROR(IF(F566="","",F566-Variables!$B$13),""))</f>
        <v>46066</v>
      </c>
      <c r="AH566" s="13" t="str">
        <f>IF($AX566="Cancelled","",IFERROR(IF(AB566="","",(AVERAGE(E566:F566)-AB566)-Variables!$B$14),""))</f>
        <v/>
      </c>
      <c r="AJ566" s="47">
        <v>46076</v>
      </c>
      <c r="AK566" s="14">
        <f>IF($AX566="Cancelled","",IFERROR(IF(AJ566="","",IF(AND(AB566="",AF566=""),"",IF(AF566&gt;AB566,AF566+Variables!$B$15+Variables!$B$16+Variables!$B$17-AJ566,AB566+Variables!$B$16+Variables!$B$17-AJ566))),""))</f>
        <v>11</v>
      </c>
      <c r="AL566" s="48" t="s">
        <v>114</v>
      </c>
      <c r="AM566" s="13" t="s">
        <v>115</v>
      </c>
      <c r="AN566" s="13" t="s">
        <v>1601</v>
      </c>
      <c r="AP566" s="31">
        <v>46085</v>
      </c>
      <c r="AR566" s="13">
        <v>266307816</v>
      </c>
      <c r="AS566" s="31">
        <v>46085</v>
      </c>
      <c r="AU566" s="31">
        <v>46111</v>
      </c>
      <c r="AV566" s="13">
        <v>4913723345</v>
      </c>
      <c r="AW566" s="31">
        <v>46111</v>
      </c>
      <c r="AX566" s="13" t="str">
        <f>IF(ISNUMBER(SEARCH("cancel",#REF!)),"Cancelled",IF(AND(AS566&lt;&gt;"",AU566&lt;&gt;"",AW566&lt;&gt;""),"Closed","Open"))</f>
        <v>Closed</v>
      </c>
      <c r="AY566" s="15" t="str">
        <f t="shared" si="25"/>
        <v>All dates received</v>
      </c>
      <c r="BD566" s="13">
        <f>IF($AX566="Cancelled","",IFERROR(IF(OR(AS566="",AJ566=""),"",(AJ566+Variables!$B$18-AS566)),""))</f>
        <v>6</v>
      </c>
      <c r="BE566" s="13">
        <f>IF($AX566="Cancelled","",IFERROR(IF(OR(AW566="",AS566=""),"",(AS566+Variables!$B$19)-AW566),""))</f>
        <v>-21</v>
      </c>
      <c r="BF566" s="44">
        <f>IF($AX566="Cancelled","",IFERROR(W566*INDEX(Variables!$B$7:$D$7,IFERROR(MATCH(IF($B566="Robusta","Robusta",(IF($B566="","Arabica",$B566))&amp;" - "&amp;(IF($C566="","Commercial",$C566))),Variables!$B$1:$D$1,0),1))*(BE566/365),""))</f>
        <v>-2811.9389783740471</v>
      </c>
      <c r="BG566" s="44" t="str">
        <f>IF($AX566="Cancelled","",IFERROR((W566*INDEX(Variables!$B$7:$D$7,IFERROR(MATCH(IF($B566="Robusta","Robusta",(IF($B566="","Arabica",$B566))&amp;" - "&amp;(IF($C566="","Commercial",$C566))),Variables!$B$1:$D$1,0),1))*IFERROR(IF(AB566="","",(AVERAGE(E566:F566)-AB566)-Variables!$B$14),"")/365)+(L566/16.67*INDEX(Variables!$B$8:$D$8,IFERROR(MATCH(IF($B566="Robusta","Robusta",(IF($B566="","Arabica",$B566))&amp;" - "&amp;(IF($C566="","Commercial",$C566))),Variables!$B$1:$D$1,0),1))*IFERROR(IF(AB566="","",(AVERAGE(E566:F566)-AB566)-Variables!$B$14),""))+(W566*INDEX(Variables!$B$9:$D$9,IFERROR(MATCH(IF($B566="Robusta","Robusta",(IF($B566="","Arabica",$B566))&amp;" - "&amp;(IF($C566="","Commercial",$C566))),Variables!$B$1:$D$1,0),1))*IFERROR(IF(AB566="","",(AVERAGE(E566:F566)-AB566)-Variables!$B$14),"")/365),""))</f>
        <v/>
      </c>
      <c r="BH566" s="44">
        <f>IF($AX566="Cancelled","",IFERROR((W566*INDEX(Variables!$B$7:$D$7,IFERROR(MATCH(IF($B566="Robusta","Robusta",(IF($B566="","Arabica",$B566))&amp;" - "&amp;(IF($C566="","Commercial",$C566))),Variables!$B$1:$D$1,0),1))*AK566/365)+(L566/16.67*INDEX(Variables!$B$8:$D$8,IFERROR(MATCH(IF($B566="Robusta","Robusta",(IF($B566="","Arabica",$B566))&amp;" - "&amp;(IF($C566="","Commercial",$C566))),Variables!$B$1:$D$1,0),1))*AK566)+(W566*INDEX(Variables!$B$9:$D$9,IFERROR(MATCH(IF($B566="Robusta","Robusta",(IF($B566="","Arabica",$B566))&amp;" - "&amp;(IF($C566="","Commercial",$C566))),Variables!$B$1:$D$1,0),1))*AK566/365),""))</f>
        <v>2408.7592039607284</v>
      </c>
      <c r="BI566" s="44">
        <f>IF($AX566="Cancelled","",IFERROR((W566*INDEX(Variables!$B$7:$D$7,IFERROR(MATCH(IF($B566="Robusta","Robusta",(IF($B566="","Arabica",$B566))&amp;" - "&amp;(IF($C566="","Commercial",$C566))),Variables!$B$1:$D$1,0),1))*BD566/365)+(L566/16.67*INDEX(Variables!$B$8:$D$8,IFERROR(MATCH(IF($B566="Robusta","Robusta",(IF($B566="","Arabica",$B566))&amp;" - "&amp;(IF($C566="","Commercial",$C566))),Variables!$B$1:$D$1,0),1))*BD566)+(W566*INDEX(Variables!$B$9:$D$9,IFERROR(MATCH(IF($B566="Robusta","Robusta",(IF($B566="","Arabica",$B566))&amp;" - "&amp;(IF($C566="","Commercial",$C566))),Variables!$B$1:$D$1,0),1))*BD566/365),""))</f>
        <v>1313.8686567058521</v>
      </c>
      <c r="BJ566" s="44">
        <f t="shared" si="26"/>
        <v>-4</v>
      </c>
      <c r="BK566" s="44">
        <f>IF($AX566="Cancelled","",IFERROR(IF(BJ566="","",(W566*INDEX(Variables!$B$7:$D$7,IFERROR(MATCH(IF($B566="Robusta","Robusta",(IF($B566="","Arabica",$B566))&amp;" - "&amp;(IF($C566="","Commercial",$C566))),Variables!$B$1:$D$1,0),1))*(BJ566/365))+(W566*INDEX(Variables!$B$9:$D$9,IFERROR(MATCH(IF($B566="Robusta","Robusta",(IF($B566="","Arabica",$B566))&amp;" - "&amp;(IF($C566="","Commercial",$C566))),Variables!$B$1:$D$1,0),1))*(BJ566/365))+(INDEX(Variables!$B$8:$D$8,IFERROR(MATCH(IF($B566="Robusta","Robusta",(IF($B566="","Arabica",$B566))&amp;" - "&amp;(IF($C566="","Commercial",$C566))),Variables!$B$1:$D$1,0),1))*L566/16.67)),""))</f>
        <v>-459.1624378039013</v>
      </c>
    </row>
    <row r="567" spans="1:63">
      <c r="A567" s="13" t="s">
        <v>103</v>
      </c>
      <c r="B567" s="13" t="s">
        <v>104</v>
      </c>
      <c r="C567" s="13" t="s">
        <v>105</v>
      </c>
      <c r="D567" s="31">
        <v>45994</v>
      </c>
      <c r="E567" s="31">
        <v>46082</v>
      </c>
      <c r="F567" s="31">
        <v>46112</v>
      </c>
      <c r="G567" s="13">
        <v>3787024</v>
      </c>
      <c r="H567" s="13">
        <v>5426</v>
      </c>
      <c r="J567" s="13" t="s">
        <v>118</v>
      </c>
      <c r="K567" s="13">
        <v>5426</v>
      </c>
      <c r="L567" s="13">
        <v>1667</v>
      </c>
      <c r="M567" s="13">
        <v>5</v>
      </c>
      <c r="N567" s="13" t="s">
        <v>1602</v>
      </c>
      <c r="O567" s="13" t="s">
        <v>269</v>
      </c>
      <c r="P567" s="13">
        <v>10310</v>
      </c>
      <c r="Q567" s="59" t="s">
        <v>270</v>
      </c>
      <c r="R567" s="13" t="s">
        <v>271</v>
      </c>
      <c r="S567" s="13" t="s">
        <v>288</v>
      </c>
      <c r="T567" s="13" t="s">
        <v>289</v>
      </c>
      <c r="U567" s="13" t="s">
        <v>182</v>
      </c>
      <c r="V567" s="13">
        <v>53</v>
      </c>
      <c r="W567" s="44">
        <f>IF($AX567="Cancelled","",IFERROR(((V567+INDEX(Variables!$B$6:$D$6,IFERROR(MATCH(IF($B567="Robusta","Robusta",(IF($B567="","Arabica",$B567))&amp;" - "&amp;(IF($C567="","Commercial",$C567))),Variables!$B$1:$D$1,0),1)))*22.0462)*(L567/16.67),""))</f>
        <v>757948.35599999991</v>
      </c>
      <c r="X567" s="55" t="s">
        <v>37</v>
      </c>
      <c r="Y567" s="13" t="str">
        <f>IF($AX567="Cancelled","",IF(X567="","",IFERROR(IF(INDEX(Variables!$B$38:$B$47,MATCH(X567,Variables!$A$38:$A$47,0))="Yes","Yes","No"),"No")))</f>
        <v>Yes</v>
      </c>
      <c r="Z567" s="58">
        <v>46051</v>
      </c>
      <c r="AB567" s="31">
        <v>46059</v>
      </c>
      <c r="AC567" s="13" t="str">
        <f t="shared" si="24"/>
        <v>Approved</v>
      </c>
      <c r="AF567" s="71">
        <v>46080</v>
      </c>
      <c r="AG567" s="37">
        <f>IF($AX567="Cancelled","",IFERROR(IF(F567="","",F567-Variables!$B$13),""))</f>
        <v>46097</v>
      </c>
      <c r="AH567" s="13">
        <f>IF($AX567="Cancelled","",IFERROR(IF(AB567="","",(AVERAGE(E567:F567)-AB567)-Variables!$B$14),""))</f>
        <v>8</v>
      </c>
      <c r="AJ567" s="47">
        <v>46092</v>
      </c>
      <c r="AK567" s="14">
        <f>IF($AX567="Cancelled","",IFERROR(IF(AJ567="","",IF(AND(AB567="",AF567=""),"",IF(AF567&gt;AB567,AF567+Variables!$B$15+Variables!$B$16+Variables!$B$17-AJ567,AB567+Variables!$B$16+Variables!$B$17-AJ567))),""))</f>
        <v>3</v>
      </c>
      <c r="AL567" s="48" t="s">
        <v>114</v>
      </c>
      <c r="AM567" s="13" t="s">
        <v>115</v>
      </c>
      <c r="AN567" s="13" t="s">
        <v>1504</v>
      </c>
      <c r="AP567" s="31">
        <v>46098</v>
      </c>
      <c r="AR567" s="13">
        <v>267086823</v>
      </c>
      <c r="AS567" s="31">
        <v>46098</v>
      </c>
      <c r="AU567" s="31">
        <v>46107</v>
      </c>
      <c r="AV567" s="13">
        <v>9672833096</v>
      </c>
      <c r="AW567" s="31">
        <v>46127</v>
      </c>
      <c r="AX567" s="13" t="str">
        <f>IF(ISNUMBER(SEARCH("cancel",#REF!)),"Cancelled",IF(AND(AS567&lt;&gt;"",AU567&lt;&gt;"",AW567&lt;&gt;""),"Closed","Open"))</f>
        <v>Closed</v>
      </c>
      <c r="AY567" s="15" t="str">
        <f t="shared" si="25"/>
        <v>All dates received</v>
      </c>
      <c r="BD567" s="13">
        <f>IF($AX567="Cancelled","",IFERROR(IF(OR(AS567="",AJ567=""),"",(AJ567+Variables!$B$18-AS567)),""))</f>
        <v>9</v>
      </c>
      <c r="BE567" s="13">
        <f>IF($AX567="Cancelled","",IFERROR(IF(OR(AW567="",AS567=""),"",(AS567+Variables!$B$19)-AW567),""))</f>
        <v>-24</v>
      </c>
      <c r="BF567" s="44">
        <f>IF($AX567="Cancelled","",IFERROR(W567*INDEX(Variables!$B$7:$D$7,IFERROR(MATCH(IF($B567="Robusta","Robusta",(IF($B567="","Arabica",$B567))&amp;" - "&amp;(IF($C567="","Commercial",$C567))),Variables!$B$1:$D$1,0),1))*(BE567/365),""))</f>
        <v>-3213.6445467131962</v>
      </c>
      <c r="BG567" s="44">
        <f>IF($AX567="Cancelled","",IFERROR((W567*INDEX(Variables!$B$7:$D$7,IFERROR(MATCH(IF($B567="Robusta","Robusta",(IF($B567="","Arabica",$B567))&amp;" - "&amp;(IF($C567="","Commercial",$C567))),Variables!$B$1:$D$1,0),1))*IFERROR(IF(AB567="","",(AVERAGE(E567:F567)-AB567)-Variables!$B$14),"")/365)+(L567/16.67*INDEX(Variables!$B$8:$D$8,IFERROR(MATCH(IF($B567="Robusta","Robusta",(IF($B567="","Arabica",$B567))&amp;" - "&amp;(IF($C567="","Commercial",$C567))),Variables!$B$1:$D$1,0),1))*IFERROR(IF(AB567="","",(AVERAGE(E567:F567)-AB567)-Variables!$B$14),""))+(W567*INDEX(Variables!$B$9:$D$9,IFERROR(MATCH(IF($B567="Robusta","Robusta",(IF($B567="","Arabica",$B567))&amp;" - "&amp;(IF($C567="","Commercial",$C567))),Variables!$B$1:$D$1,0),1))*IFERROR(IF(AB567="","",(AVERAGE(E567:F567)-AB567)-Variables!$B$14),"")/365),""))</f>
        <v>1751.8248756078026</v>
      </c>
      <c r="BH567" s="44">
        <f>IF($AX567="Cancelled","",IFERROR((W567*INDEX(Variables!$B$7:$D$7,IFERROR(MATCH(IF($B567="Robusta","Robusta",(IF($B567="","Arabica",$B567))&amp;" - "&amp;(IF($C567="","Commercial",$C567))),Variables!$B$1:$D$1,0),1))*AK567/365)+(L567/16.67*INDEX(Variables!$B$8:$D$8,IFERROR(MATCH(IF($B567="Robusta","Robusta",(IF($B567="","Arabica",$B567))&amp;" - "&amp;(IF($C567="","Commercial",$C567))),Variables!$B$1:$D$1,0),1))*AK567)+(W567*INDEX(Variables!$B$9:$D$9,IFERROR(MATCH(IF($B567="Robusta","Robusta",(IF($B567="","Arabica",$B567))&amp;" - "&amp;(IF($C567="","Commercial",$C567))),Variables!$B$1:$D$1,0),1))*AK567/365),""))</f>
        <v>656.93432835292606</v>
      </c>
      <c r="BI567" s="44">
        <f>IF($AX567="Cancelled","",IFERROR((W567*INDEX(Variables!$B$7:$D$7,IFERROR(MATCH(IF($B567="Robusta","Robusta",(IF($B567="","Arabica",$B567))&amp;" - "&amp;(IF($C567="","Commercial",$C567))),Variables!$B$1:$D$1,0),1))*BD567/365)+(L567/16.67*INDEX(Variables!$B$8:$D$8,IFERROR(MATCH(IF($B567="Robusta","Robusta",(IF($B567="","Arabica",$B567))&amp;" - "&amp;(IF($C567="","Commercial",$C567))),Variables!$B$1:$D$1,0),1))*BD567)+(W567*INDEX(Variables!$B$9:$D$9,IFERROR(MATCH(IF($B567="Robusta","Robusta",(IF($B567="","Arabica",$B567))&amp;" - "&amp;(IF($C567="","Commercial",$C567))),Variables!$B$1:$D$1,0),1))*BD567/365),""))</f>
        <v>1970.8029850587779</v>
      </c>
      <c r="BJ567" s="44">
        <f t="shared" si="26"/>
        <v>14</v>
      </c>
      <c r="BK567" s="44">
        <f>IF($AX567="Cancelled","",IFERROR(IF(BJ567="","",(W567*INDEX(Variables!$B$7:$D$7,IFERROR(MATCH(IF($B567="Robusta","Robusta",(IF($B567="","Arabica",$B567))&amp;" - "&amp;(IF($C567="","Commercial",$C567))),Variables!$B$1:$D$1,0),1))*(BJ567/365))+(W567*INDEX(Variables!$B$9:$D$9,IFERROR(MATCH(IF($B567="Robusta","Robusta",(IF($B567="","Arabica",$B567))&amp;" - "&amp;(IF($C567="","Commercial",$C567))),Variables!$B$1:$D$1,0),1))*(BJ567/365))+(INDEX(Variables!$B$8:$D$8,IFERROR(MATCH(IF($B567="Robusta","Robusta",(IF($B567="","Arabica",$B567))&amp;" - "&amp;(IF($C567="","Commercial",$C567))),Variables!$B$1:$D$1,0),1))*L567/16.67)),""))</f>
        <v>1982.1435323136548</v>
      </c>
    </row>
    <row r="568" spans="1:63">
      <c r="A568" s="13" t="s">
        <v>103</v>
      </c>
      <c r="B568" s="13" t="s">
        <v>104</v>
      </c>
      <c r="C568" s="13" t="s">
        <v>105</v>
      </c>
      <c r="D568" s="31">
        <v>45994</v>
      </c>
      <c r="E568" s="31">
        <v>46113</v>
      </c>
      <c r="F568" s="31">
        <v>46142</v>
      </c>
      <c r="G568" s="13">
        <v>3787025</v>
      </c>
      <c r="H568" s="13">
        <v>5469</v>
      </c>
      <c r="J568" s="13" t="s">
        <v>118</v>
      </c>
      <c r="K568" s="13">
        <v>5469</v>
      </c>
      <c r="L568" s="13">
        <v>334</v>
      </c>
      <c r="M568" s="13">
        <v>1</v>
      </c>
      <c r="N568" s="13" t="s">
        <v>1602</v>
      </c>
      <c r="O568" s="13" t="s">
        <v>269</v>
      </c>
      <c r="P568" s="13">
        <v>10310</v>
      </c>
      <c r="Q568" s="59" t="s">
        <v>270</v>
      </c>
      <c r="R568" s="13" t="s">
        <v>271</v>
      </c>
      <c r="S568" s="13" t="s">
        <v>276</v>
      </c>
      <c r="T568" s="13" t="s">
        <v>112</v>
      </c>
      <c r="U568" s="13" t="s">
        <v>113</v>
      </c>
      <c r="V568" s="23">
        <v>53</v>
      </c>
      <c r="W568" s="44">
        <f>IF($AX568="Cancelled","",IFERROR(((V568+INDEX(Variables!$B$6:$D$6,IFERROR(MATCH(IF($B568="Robusta","Robusta",(IF($B568="","Arabica",$B568))&amp;" - "&amp;(IF($C568="","Commercial",$C568))),Variables!$B$1:$D$1,0),1)))*22.0462)*(L568/16.67),""))</f>
        <v>151862.47804679064</v>
      </c>
      <c r="X568" s="55" t="s">
        <v>37</v>
      </c>
      <c r="Y568" s="13" t="str">
        <f>IF($AX568="Cancelled","",IF(X568="","",IFERROR(IF(INDEX(Variables!$B$38:$B$47,MATCH(X568,Variables!$A$38:$A$47,0))="Yes","Yes","No"),"No")))</f>
        <v>Yes</v>
      </c>
      <c r="Z568" s="58">
        <v>46080</v>
      </c>
      <c r="AB568" s="31">
        <v>46097</v>
      </c>
      <c r="AC568" s="13" t="str">
        <f t="shared" si="24"/>
        <v>Approved</v>
      </c>
      <c r="AF568" s="71">
        <v>46128</v>
      </c>
      <c r="AG568" s="37">
        <f>IF($AX568="Cancelled","",IFERROR(IF(F568="","",F568-Variables!$B$13),""))</f>
        <v>46127</v>
      </c>
      <c r="AH568" s="13">
        <f>IF($AX568="Cancelled","",IFERROR(IF(AB568="","",(AVERAGE(E568:F568)-AB568)-Variables!$B$14),""))</f>
        <v>0.5</v>
      </c>
      <c r="AJ568" s="47">
        <v>46129</v>
      </c>
      <c r="AK568" s="14">
        <f>IF($AX568="Cancelled","",IFERROR(IF(AJ568="","",IF(AND(AB568="",AF568=""),"",IF(AF568&gt;AB568,AF568+Variables!$B$15+Variables!$B$16+Variables!$B$17-AJ568,AB568+Variables!$B$16+Variables!$B$17-AJ568))),""))</f>
        <v>14</v>
      </c>
      <c r="AL568" s="48" t="s">
        <v>350</v>
      </c>
      <c r="AM568" s="13" t="s">
        <v>115</v>
      </c>
      <c r="AN568" s="13" t="s">
        <v>1603</v>
      </c>
      <c r="AP568" s="31">
        <v>46178</v>
      </c>
      <c r="AR568" s="13">
        <v>270990491</v>
      </c>
      <c r="AS568" s="31">
        <v>46178</v>
      </c>
      <c r="AU568" s="31">
        <v>46211</v>
      </c>
      <c r="AV568" s="13" t="s">
        <v>8</v>
      </c>
      <c r="AW568" s="31">
        <v>46211</v>
      </c>
      <c r="AX568" s="13" t="str">
        <f>IF(ISNUMBER(SEARCH("cancel",#REF!)),"Cancelled",IF(AND(AS568&lt;&gt;"",AU568&lt;&gt;"",AW568&lt;&gt;""),"Closed","Open"))</f>
        <v>Closed</v>
      </c>
      <c r="AY568" s="15" t="str">
        <f t="shared" si="25"/>
        <v>All dates received</v>
      </c>
      <c r="BD568" s="13">
        <f>IF($AX568="Cancelled","",IFERROR(IF(OR(AS568="",AJ568=""),"",(AJ568+Variables!$B$18-AS568)),""))</f>
        <v>-34</v>
      </c>
      <c r="BE568" s="13">
        <f>IF($AX568="Cancelled","",IFERROR(IF(OR(AW568="",AS568=""),"",(AS568+Variables!$B$19)-AW568),""))</f>
        <v>-28</v>
      </c>
      <c r="BF568" s="44">
        <f>IF($AX568="Cancelled","",IFERROR(W568*INDEX(Variables!$B$7:$D$7,IFERROR(MATCH(IF($B568="Robusta","Robusta",(IF($B568="","Arabica",$B568))&amp;" - "&amp;(IF($C568="","Commercial",$C568))),Variables!$B$1:$D$1,0),1))*(BE568/365),""))</f>
        <v>-751.19985505053535</v>
      </c>
      <c r="BG568" s="44">
        <f>IF($AX568="Cancelled","",IFERROR((W568*INDEX(Variables!$B$7:$D$7,IFERROR(MATCH(IF($B568="Robusta","Robusta",(IF($B568="","Arabica",$B568))&amp;" - "&amp;(IF($C568="","Commercial",$C568))),Variables!$B$1:$D$1,0),1))*IFERROR(IF(AB568="","",(AVERAGE(E568:F568)-AB568)-Variables!$B$14),"")/365)+(L568/16.67*INDEX(Variables!$B$8:$D$8,IFERROR(MATCH(IF($B568="Robusta","Robusta",(IF($B568="","Arabica",$B568))&amp;" - "&amp;(IF($C568="","Commercial",$C568))),Variables!$B$1:$D$1,0),1))*IFERROR(IF(AB568="","",(AVERAGE(E568:F568)-AB568)-Variables!$B$14),""))+(W568*INDEX(Variables!$B$9:$D$9,IFERROR(MATCH(IF($B568="Robusta","Robusta",(IF($B568="","Arabica",$B568))&amp;" - "&amp;(IF($C568="","Commercial",$C568))),Variables!$B$1:$D$1,0),1))*IFERROR(IF(AB568="","",(AVERAGE(E568:F568)-AB568)-Variables!$B$14),"")/365),""))</f>
        <v>21.937219123163096</v>
      </c>
      <c r="BH568" s="44">
        <f>IF($AX568="Cancelled","",IFERROR((W568*INDEX(Variables!$B$7:$D$7,IFERROR(MATCH(IF($B568="Robusta","Robusta",(IF($B568="","Arabica",$B568))&amp;" - "&amp;(IF($C568="","Commercial",$C568))),Variables!$B$1:$D$1,0),1))*AK568/365)+(L568/16.67*INDEX(Variables!$B$8:$D$8,IFERROR(MATCH(IF($B568="Robusta","Robusta",(IF($B568="","Arabica",$B568))&amp;" - "&amp;(IF($C568="","Commercial",$C568))),Variables!$B$1:$D$1,0),1))*AK568)+(W568*INDEX(Variables!$B$9:$D$9,IFERROR(MATCH(IF($B568="Robusta","Robusta",(IF($B568="","Arabica",$B568))&amp;" - "&amp;(IF($C568="","Commercial",$C568))),Variables!$B$1:$D$1,0),1))*AK568/365),""))</f>
        <v>614.24213544856673</v>
      </c>
      <c r="BI568" s="44">
        <f>IF($AX568="Cancelled","",IFERROR((W568*INDEX(Variables!$B$7:$D$7,IFERROR(MATCH(IF($B568="Robusta","Robusta",(IF($B568="","Arabica",$B568))&amp;" - "&amp;(IF($C568="","Commercial",$C568))),Variables!$B$1:$D$1,0),1))*BD568/365)+(L568/16.67*INDEX(Variables!$B$8:$D$8,IFERROR(MATCH(IF($B568="Robusta","Robusta",(IF($B568="","Arabica",$B568))&amp;" - "&amp;(IF($C568="","Commercial",$C568))),Variables!$B$1:$D$1,0),1))*BD568)+(W568*INDEX(Variables!$B$9:$D$9,IFERROR(MATCH(IF($B568="Robusta","Robusta",(IF($B568="","Arabica",$B568))&amp;" - "&amp;(IF($C568="","Commercial",$C568))),Variables!$B$1:$D$1,0),1))*BD568/365),""))</f>
        <v>-1491.7309003750909</v>
      </c>
      <c r="BJ568" s="44">
        <f t="shared" si="26"/>
        <v>-36</v>
      </c>
      <c r="BK568" s="44">
        <f>IF($AX568="Cancelled","",IFERROR(IF(BJ568="","",(W568*INDEX(Variables!$B$7:$D$7,IFERROR(MATCH(IF($B568="Robusta","Robusta",(IF($B568="","Arabica",$B568))&amp;" - "&amp;(IF($C568="","Commercial",$C568))),Variables!$B$1:$D$1,0),1))*(BJ568/365))+(W568*INDEX(Variables!$B$9:$D$9,IFERROR(MATCH(IF($B568="Robusta","Robusta",(IF($B568="","Arabica",$B568))&amp;" - "&amp;(IF($C568="","Commercial",$C568))),Variables!$B$1:$D$1,0),1))*(BJ568/365))+(INDEX(Variables!$B$8:$D$8,IFERROR(MATCH(IF($B568="Robusta","Robusta",(IF($B568="","Arabica",$B568))&amp;" - "&amp;(IF($C568="","Commercial",$C568))),Variables!$B$1:$D$1,0),1))*L568/16.67)),""))</f>
        <v>-961.57977686774302</v>
      </c>
    </row>
    <row r="569" spans="1:63">
      <c r="A569" s="13" t="s">
        <v>103</v>
      </c>
      <c r="B569" s="13" t="s">
        <v>104</v>
      </c>
      <c r="C569" s="13" t="s">
        <v>105</v>
      </c>
      <c r="D569" s="31">
        <v>45994</v>
      </c>
      <c r="E569" s="31">
        <v>46113</v>
      </c>
      <c r="F569" s="31">
        <v>46142</v>
      </c>
      <c r="G569" s="13">
        <v>3787025</v>
      </c>
      <c r="H569" s="13">
        <v>5469</v>
      </c>
      <c r="J569" s="13" t="s">
        <v>118</v>
      </c>
      <c r="K569" s="13">
        <v>5469</v>
      </c>
      <c r="L569" s="13">
        <v>1333</v>
      </c>
      <c r="M569" s="13">
        <v>4</v>
      </c>
      <c r="N569" s="13" t="s">
        <v>1602</v>
      </c>
      <c r="O569" s="13" t="s">
        <v>269</v>
      </c>
      <c r="P569" s="13">
        <v>10310</v>
      </c>
      <c r="Q569" s="59" t="s">
        <v>270</v>
      </c>
      <c r="R569" s="13" t="s">
        <v>271</v>
      </c>
      <c r="S569" s="13" t="s">
        <v>276</v>
      </c>
      <c r="T569" s="13" t="s">
        <v>112</v>
      </c>
      <c r="U569" s="13" t="s">
        <v>113</v>
      </c>
      <c r="V569" s="23">
        <v>53</v>
      </c>
      <c r="W569" s="44">
        <f>IF($AX569="Cancelled","",IFERROR(((V569+INDEX(Variables!$B$6:$D$6,IFERROR(MATCH(IF($B569="Robusta","Robusta",(IF($B569="","Arabica",$B569))&amp;" - "&amp;(IF($C569="","Commercial",$C569))),Variables!$B$1:$D$1,0),1)))*22.0462)*(L569/16.67),""))</f>
        <v>606085.87795320933</v>
      </c>
      <c r="X569" s="55" t="s">
        <v>37</v>
      </c>
      <c r="Y569" s="13" t="str">
        <f>IF($AX569="Cancelled","",IF(X569="","",IFERROR(IF(INDEX(Variables!$B$38:$B$47,MATCH(X569,Variables!$A$38:$A$47,0))="Yes","Yes","No"),"No")))</f>
        <v>Yes</v>
      </c>
      <c r="Z569" s="58">
        <v>46080</v>
      </c>
      <c r="AB569" s="31">
        <v>46097</v>
      </c>
      <c r="AC569" s="13" t="str">
        <f t="shared" si="24"/>
        <v>Approved</v>
      </c>
      <c r="AF569" s="71">
        <v>46128</v>
      </c>
      <c r="AG569" s="37">
        <f>IF($AX569="Cancelled","",IFERROR(IF(F569="","",F569-Variables!$B$13),""))</f>
        <v>46127</v>
      </c>
      <c r="AH569" s="13">
        <f>IF($AX569="Cancelled","",IFERROR(IF(AB569="","",(AVERAGE(E569:F569)-AB569)-Variables!$B$14),""))</f>
        <v>0.5</v>
      </c>
      <c r="AJ569" s="47">
        <v>46164</v>
      </c>
      <c r="AK569" s="14">
        <f>IF($AX569="Cancelled","",IFERROR(IF(AJ569="","",IF(AND(AB569="",AF569=""),"",IF(AF569&gt;AB569,AF569+Variables!$B$15+Variables!$B$16+Variables!$B$17-AJ569,AB569+Variables!$B$16+Variables!$B$17-AJ569))),""))</f>
        <v>-21</v>
      </c>
      <c r="AL569" s="48" t="s">
        <v>350</v>
      </c>
      <c r="AM569" s="13" t="s">
        <v>115</v>
      </c>
      <c r="AN569" s="13" t="s">
        <v>1603</v>
      </c>
      <c r="AP569" s="31">
        <v>46178</v>
      </c>
      <c r="AR569" s="13">
        <v>270990491</v>
      </c>
      <c r="AS569" s="31">
        <v>46178</v>
      </c>
      <c r="AU569" s="31">
        <v>46211</v>
      </c>
      <c r="AV569" s="13" t="s">
        <v>8</v>
      </c>
      <c r="AW569" s="31">
        <v>46211</v>
      </c>
      <c r="AX569" s="13" t="str">
        <f>IF(ISNUMBER(SEARCH("cancel",#REF!)),"Cancelled",IF(AND(AS569&lt;&gt;"",AU569&lt;&gt;"",AW569&lt;&gt;""),"Closed","Open"))</f>
        <v>Closed</v>
      </c>
      <c r="AY569" s="15" t="str">
        <f t="shared" si="25"/>
        <v>All dates received</v>
      </c>
      <c r="BD569" s="13">
        <f>IF($AX569="Cancelled","",IFERROR(IF(OR(AS569="",AJ569=""),"",(AJ569+Variables!$B$18-AS569)),""))</f>
        <v>1</v>
      </c>
      <c r="BE569" s="13">
        <f>IF($AX569="Cancelled","",IFERROR(IF(OR(AW569="",AS569=""),"",(AS569+Variables!$B$19)-AW569),""))</f>
        <v>-28</v>
      </c>
      <c r="BF569" s="44">
        <f>IF($AX569="Cancelled","",IFERROR(W569*INDEX(Variables!$B$7:$D$7,IFERROR(MATCH(IF($B569="Robusta","Robusta",(IF($B569="","Arabica",$B569))&amp;" - "&amp;(IF($C569="","Commercial",$C569))),Variables!$B$1:$D$1,0),1))*(BE569/365),""))</f>
        <v>-2998.0521161148608</v>
      </c>
      <c r="BG569" s="44">
        <f>IF($AX569="Cancelled","",IFERROR((W569*INDEX(Variables!$B$7:$D$7,IFERROR(MATCH(IF($B569="Robusta","Robusta",(IF($B569="","Arabica",$B569))&amp;" - "&amp;(IF($C569="","Commercial",$C569))),Variables!$B$1:$D$1,0),1))*IFERROR(IF(AB569="","",(AVERAGE(E569:F569)-AB569)-Variables!$B$14),"")/365)+(L569/16.67*INDEX(Variables!$B$8:$D$8,IFERROR(MATCH(IF($B569="Robusta","Robusta",(IF($B569="","Arabica",$B569))&amp;" - "&amp;(IF($C569="","Commercial",$C569))),Variables!$B$1:$D$1,0),1))*IFERROR(IF(AB569="","",(AVERAGE(E569:F569)-AB569)-Variables!$B$14),""))+(W569*INDEX(Variables!$B$9:$D$9,IFERROR(MATCH(IF($B569="Robusta","Robusta",(IF($B569="","Arabica",$B569))&amp;" - "&amp;(IF($C569="","Commercial",$C569))),Variables!$B$1:$D$1,0),1))*IFERROR(IF(AB569="","",(AVERAGE(E569:F569)-AB569)-Variables!$B$14),"")/365),""))</f>
        <v>87.551835602324573</v>
      </c>
      <c r="BH569" s="44">
        <f>IF($AX569="Cancelled","",IFERROR((W569*INDEX(Variables!$B$7:$D$7,IFERROR(MATCH(IF($B569="Robusta","Robusta",(IF($B569="","Arabica",$B569))&amp;" - "&amp;(IF($C569="","Commercial",$C569))),Variables!$B$1:$D$1,0),1))*AK569/365)+(L569/16.67*INDEX(Variables!$B$8:$D$8,IFERROR(MATCH(IF($B569="Robusta","Robusta",(IF($B569="","Arabica",$B569))&amp;" - "&amp;(IF($C569="","Commercial",$C569))),Variables!$B$1:$D$1,0),1))*AK569)+(W569*INDEX(Variables!$B$9:$D$9,IFERROR(MATCH(IF($B569="Robusta","Robusta",(IF($B569="","Arabica",$B569))&amp;" - "&amp;(IF($C569="","Commercial",$C569))),Variables!$B$1:$D$1,0),1))*AK569/365),""))</f>
        <v>-3677.1770952976321</v>
      </c>
      <c r="BI569" s="44">
        <f>IF($AX569="Cancelled","",IFERROR((W569*INDEX(Variables!$B$7:$D$7,IFERROR(MATCH(IF($B569="Robusta","Robusta",(IF($B569="","Arabica",$B569))&amp;" - "&amp;(IF($C569="","Commercial",$C569))),Variables!$B$1:$D$1,0),1))*BD569/365)+(L569/16.67*INDEX(Variables!$B$8:$D$8,IFERROR(MATCH(IF($B569="Robusta","Robusta",(IF($B569="","Arabica",$B569))&amp;" - "&amp;(IF($C569="","Commercial",$C569))),Variables!$B$1:$D$1,0),1))*BD569)+(W569*INDEX(Variables!$B$9:$D$9,IFERROR(MATCH(IF($B569="Robusta","Robusta",(IF($B569="","Arabica",$B569))&amp;" - "&amp;(IF($C569="","Commercial",$C569))),Variables!$B$1:$D$1,0),1))*BD569/365),""))</f>
        <v>175.10367120464915</v>
      </c>
      <c r="BJ569" s="44">
        <f t="shared" si="26"/>
        <v>-36</v>
      </c>
      <c r="BK569" s="44">
        <f>IF($AX569="Cancelled","",IFERROR(IF(BJ569="","",(W569*INDEX(Variables!$B$7:$D$7,IFERROR(MATCH(IF($B569="Robusta","Robusta",(IF($B569="","Arabica",$B569))&amp;" - "&amp;(IF($C569="","Commercial",$C569))),Variables!$B$1:$D$1,0),1))*(BJ569/365))+(W569*INDEX(Variables!$B$9:$D$9,IFERROR(MATCH(IF($B569="Robusta","Robusta",(IF($B569="","Arabica",$B569))&amp;" - "&amp;(IF($C569="","Commercial",$C569))),Variables!$B$1:$D$1,0),1))*(BJ569/365))+(INDEX(Variables!$B$8:$D$8,IFERROR(MATCH(IF($B569="Robusta","Robusta",(IF($B569="","Arabica",$B569))&amp;" - "&amp;(IF($C569="","Commercial",$C569))),Variables!$B$1:$D$1,0),1))*L569/16.67)),""))</f>
        <v>-3837.6821633673694</v>
      </c>
    </row>
    <row r="570" spans="1:63">
      <c r="A570" s="13" t="s">
        <v>103</v>
      </c>
      <c r="B570" s="13" t="s">
        <v>104</v>
      </c>
      <c r="C570" s="13" t="s">
        <v>105</v>
      </c>
      <c r="D570" s="31">
        <v>45995</v>
      </c>
      <c r="E570" s="31">
        <v>45992</v>
      </c>
      <c r="F570" s="31">
        <v>46022</v>
      </c>
      <c r="G570" s="13">
        <v>3787026</v>
      </c>
      <c r="H570" s="13">
        <v>95825</v>
      </c>
      <c r="J570" s="13" t="s">
        <v>118</v>
      </c>
      <c r="K570" s="13">
        <v>5371</v>
      </c>
      <c r="L570" s="13">
        <v>1280</v>
      </c>
      <c r="M570" s="13">
        <v>4</v>
      </c>
      <c r="N570" s="13" t="s">
        <v>1604</v>
      </c>
      <c r="O570" s="13" t="s">
        <v>802</v>
      </c>
      <c r="P570" s="13">
        <v>10111</v>
      </c>
      <c r="R570" s="13" t="s">
        <v>110</v>
      </c>
      <c r="S570" s="13" t="s">
        <v>154</v>
      </c>
      <c r="T570" s="13" t="s">
        <v>155</v>
      </c>
      <c r="U570" s="13" t="s">
        <v>125</v>
      </c>
      <c r="V570" s="13">
        <v>-20</v>
      </c>
      <c r="W570" s="44">
        <f>IF($AX570="Cancelled","",IFERROR(((V570+INDEX(Variables!$B$6:$D$6,IFERROR(MATCH(IF($B570="Robusta","Robusta",(IF($B570="","Arabica",$B570))&amp;" - "&amp;(IF($C570="","Commercial",$C570))),Variables!$B$1:$D$1,0),1)))*22.0462)*(L570/16.67),""))</f>
        <v>458412.8391601679</v>
      </c>
      <c r="X570" s="55" t="s">
        <v>37</v>
      </c>
      <c r="Y570" s="13" t="str">
        <f>IF($AX570="Cancelled","",IF(X570="","",IFERROR(IF(INDEX(Variables!$B$38:$B$47,MATCH(X570,Variables!$A$38:$A$47,0))="Yes","Yes","No"),"No")))</f>
        <v>Yes</v>
      </c>
      <c r="Z570" s="58">
        <v>45995</v>
      </c>
      <c r="AB570" s="31">
        <v>45976.875</v>
      </c>
      <c r="AC570" s="13" t="str">
        <f t="shared" si="24"/>
        <v>Approved</v>
      </c>
      <c r="AF570" s="71">
        <v>46011</v>
      </c>
      <c r="AG570" s="37">
        <f>IF($AX570="Cancelled","",IFERROR(IF(F570="","",F570-Variables!$B$13),""))</f>
        <v>46007</v>
      </c>
      <c r="AH570" s="13">
        <f>IF($AX570="Cancelled","",IFERROR(IF(AB570="","",(AVERAGE(E570:F570)-AB570)-Variables!$B$14),""))</f>
        <v>0.125</v>
      </c>
      <c r="AJ570" s="47">
        <v>46010</v>
      </c>
      <c r="AK570" s="14">
        <f>IF($AX570="Cancelled","",IFERROR(IF(AJ570="","",IF(AND(AB570="",AF570=""),"",IF(AF570&gt;AB570,AF570+Variables!$B$15+Variables!$B$16+Variables!$B$17-AJ570,AB570+Variables!$B$16+Variables!$B$17-AJ570))),""))</f>
        <v>16</v>
      </c>
      <c r="AL570" s="48" t="s">
        <v>114</v>
      </c>
      <c r="AM570" s="13" t="s">
        <v>141</v>
      </c>
      <c r="AN570" s="13" t="s">
        <v>408</v>
      </c>
      <c r="AP570" s="31">
        <v>46029</v>
      </c>
      <c r="AR570" s="13" t="s">
        <v>1605</v>
      </c>
      <c r="AS570" s="31">
        <v>46029</v>
      </c>
      <c r="AU570" s="31">
        <v>46031</v>
      </c>
      <c r="AV570" s="13" t="s">
        <v>865</v>
      </c>
      <c r="AW570" s="31">
        <v>46045</v>
      </c>
      <c r="AX570" s="13" t="str">
        <f>IF(ISNUMBER(SEARCH("cancel",#REF!)),"Cancelled",IF(AND(AS570&lt;&gt;"",AU570&lt;&gt;"",AW570&lt;&gt;""),"Closed","Open"))</f>
        <v>Closed</v>
      </c>
      <c r="AY570" s="15" t="str">
        <f t="shared" si="25"/>
        <v>All dates received</v>
      </c>
      <c r="BD570" s="13">
        <f>IF($AX570="Cancelled","",IFERROR(IF(OR(AS570="",AJ570=""),"",(AJ570+Variables!$B$18-AS570)),""))</f>
        <v>-4</v>
      </c>
      <c r="BE570" s="13">
        <f>IF($AX570="Cancelled","",IFERROR(IF(OR(AW570="",AS570=""),"",(AS570+Variables!$B$19)-AW570),""))</f>
        <v>-11</v>
      </c>
      <c r="BF570" s="44">
        <f>IF($AX570="Cancelled","",IFERROR(W570*INDEX(Variables!$B$7:$D$7,IFERROR(MATCH(IF($B570="Robusta","Robusta",(IF($B570="","Arabica",$B570))&amp;" - "&amp;(IF($C570="","Commercial",$C570))),Variables!$B$1:$D$1,0),1))*(BE570/365),""))</f>
        <v>-890.8332935622783</v>
      </c>
      <c r="BG570" s="44">
        <f>IF($AX570="Cancelled","",IFERROR((W570*INDEX(Variables!$B$7:$D$7,IFERROR(MATCH(IF($B570="Robusta","Robusta",(IF($B570="","Arabica",$B570))&amp;" - "&amp;(IF($C570="","Commercial",$C570))),Variables!$B$1:$D$1,0),1))*IFERROR(IF(AB570="","",(AVERAGE(E570:F570)-AB570)-Variables!$B$14),"")/365)+(L570/16.67*INDEX(Variables!$B$8:$D$8,IFERROR(MATCH(IF($B570="Robusta","Robusta",(IF($B570="","Arabica",$B570))&amp;" - "&amp;(IF($C570="","Commercial",$C570))),Variables!$B$1:$D$1,0),1))*IFERROR(IF(AB570="","",(AVERAGE(E570:F570)-AB570)-Variables!$B$14),""))+(W570*INDEX(Variables!$B$9:$D$9,IFERROR(MATCH(IF($B570="Robusta","Robusta",(IF($B570="","Arabica",$B570))&amp;" - "&amp;(IF($C570="","Commercial",$C570))),Variables!$B$1:$D$1,0),1))*IFERROR(IF(AB570="","",(AVERAGE(E570:F570)-AB570)-Variables!$B$14),"")/365),""))</f>
        <v>18.253611976194392</v>
      </c>
      <c r="BH570" s="44">
        <f>IF($AX570="Cancelled","",IFERROR((W570*INDEX(Variables!$B$7:$D$7,IFERROR(MATCH(IF($B570="Robusta","Robusta",(IF($B570="","Arabica",$B570))&amp;" - "&amp;(IF($C570="","Commercial",$C570))),Variables!$B$1:$D$1,0),1))*AK570/365)+(L570/16.67*INDEX(Variables!$B$8:$D$8,IFERROR(MATCH(IF($B570="Robusta","Robusta",(IF($B570="","Arabica",$B570))&amp;" - "&amp;(IF($C570="","Commercial",$C570))),Variables!$B$1:$D$1,0),1))*AK570)+(W570*INDEX(Variables!$B$9:$D$9,IFERROR(MATCH(IF($B570="Robusta","Robusta",(IF($B570="","Arabica",$B570))&amp;" - "&amp;(IF($C570="","Commercial",$C570))),Variables!$B$1:$D$1,0),1))*AK570/365),""))</f>
        <v>2336.4623329528822</v>
      </c>
      <c r="BI570" s="44">
        <f>IF($AX570="Cancelled","",IFERROR((W570*INDEX(Variables!$B$7:$D$7,IFERROR(MATCH(IF($B570="Robusta","Robusta",(IF($B570="","Arabica",$B570))&amp;" - "&amp;(IF($C570="","Commercial",$C570))),Variables!$B$1:$D$1,0),1))*BD570/365)+(L570/16.67*INDEX(Variables!$B$8:$D$8,IFERROR(MATCH(IF($B570="Robusta","Robusta",(IF($B570="","Arabica",$B570))&amp;" - "&amp;(IF($C570="","Commercial",$C570))),Variables!$B$1:$D$1,0),1))*BD570)+(W570*INDEX(Variables!$B$9:$D$9,IFERROR(MATCH(IF($B570="Robusta","Robusta",(IF($B570="","Arabica",$B570))&amp;" - "&amp;(IF($C570="","Commercial",$C570))),Variables!$B$1:$D$1,0),1))*BD570/365),""))</f>
        <v>-584.11558323822055</v>
      </c>
      <c r="BJ570" s="44">
        <f t="shared" si="26"/>
        <v>-7</v>
      </c>
      <c r="BK570" s="44">
        <f>IF($AX570="Cancelled","",IFERROR(IF(BJ570="","",(W570*INDEX(Variables!$B$7:$D$7,IFERROR(MATCH(IF($B570="Robusta","Robusta",(IF($B570="","Arabica",$B570))&amp;" - "&amp;(IF($C570="","Commercial",$C570))),Variables!$B$1:$D$1,0),1))*(BJ570/365))+(W570*INDEX(Variables!$B$9:$D$9,IFERROR(MATCH(IF($B570="Robusta","Robusta",(IF($B570="","Arabica",$B570))&amp;" - "&amp;(IF($C570="","Commercial",$C570))),Variables!$B$1:$D$1,0),1))*(BJ570/365))+(INDEX(Variables!$B$8:$D$8,IFERROR(MATCH(IF($B570="Robusta","Robusta",(IF($B570="","Arabica",$B570))&amp;" - "&amp;(IF($C570="","Commercial",$C570))),Variables!$B$1:$D$1,0),1))*L570/16.67)),""))</f>
        <v>-510.20227066688597</v>
      </c>
    </row>
    <row r="571" spans="1:63">
      <c r="A571" s="13" t="s">
        <v>103</v>
      </c>
      <c r="B571" s="13" t="s">
        <v>104</v>
      </c>
      <c r="C571" s="13" t="s">
        <v>105</v>
      </c>
      <c r="D571" s="31">
        <v>45995</v>
      </c>
      <c r="E571" s="31">
        <v>45992</v>
      </c>
      <c r="F571" s="31">
        <v>46022</v>
      </c>
      <c r="G571" s="13">
        <v>3787027</v>
      </c>
      <c r="J571" s="13" t="s">
        <v>118</v>
      </c>
      <c r="K571" s="13">
        <v>5370</v>
      </c>
      <c r="L571" s="13">
        <v>720</v>
      </c>
      <c r="M571" s="13">
        <v>2</v>
      </c>
      <c r="N571" s="13" t="s">
        <v>1606</v>
      </c>
      <c r="O571" s="13" t="s">
        <v>456</v>
      </c>
      <c r="P571" s="13">
        <v>10140</v>
      </c>
      <c r="Q571" s="13" t="s">
        <v>745</v>
      </c>
      <c r="R571" s="13" t="s">
        <v>122</v>
      </c>
      <c r="S571" s="13" t="s">
        <v>154</v>
      </c>
      <c r="T571" s="13" t="s">
        <v>155</v>
      </c>
      <c r="U571" s="13" t="s">
        <v>125</v>
      </c>
      <c r="V571" s="13">
        <v>-60</v>
      </c>
      <c r="W571" s="44">
        <f>IF($AX571="Cancelled","",IFERROR(((V571+INDEX(Variables!$B$6:$D$6,IFERROR(MATCH(IF($B571="Robusta","Robusta",(IF($B571="","Arabica",$B571))&amp;" - "&amp;(IF($C571="","Commercial",$C571))),Variables!$B$1:$D$1,0),1)))*22.0462)*(L571/16.67),""))</f>
        <v>219769.00607078584</v>
      </c>
      <c r="X571" s="55" t="s">
        <v>37</v>
      </c>
      <c r="Y571" s="13" t="str">
        <f>IF($AX571="Cancelled","",IF(X571="","",IFERROR(IF(INDEX(Variables!$B$38:$B$47,MATCH(X571,Variables!$A$38:$A$47,0))="Yes","Yes","No"),"No")))</f>
        <v>Yes</v>
      </c>
      <c r="Z571" s="58">
        <v>46360</v>
      </c>
      <c r="AB571" s="31">
        <v>46000</v>
      </c>
      <c r="AC571" s="13" t="str">
        <f t="shared" si="24"/>
        <v>Approved</v>
      </c>
      <c r="AF571" s="71">
        <v>46008</v>
      </c>
      <c r="AG571" s="37">
        <f>IF($AX571="Cancelled","",IFERROR(IF(F571="","",F571-Variables!$B$13),""))</f>
        <v>46007</v>
      </c>
      <c r="AH571" s="13">
        <f>IF($AX571="Cancelled","",IFERROR(IF(AB571="","",(AVERAGE(E571:F571)-AB571)-Variables!$B$14),""))</f>
        <v>-23</v>
      </c>
      <c r="AJ571" s="47">
        <v>46007</v>
      </c>
      <c r="AK571" s="14">
        <f>IF($AX571="Cancelled","",IFERROR(IF(AJ571="","",IF(AND(AB571="",AF571=""),"",IF(AF571&gt;AB571,AF571+Variables!$B$15+Variables!$B$16+Variables!$B$17-AJ571,AB571+Variables!$B$16+Variables!$B$17-AJ571))),""))</f>
        <v>16</v>
      </c>
      <c r="AL571" s="48" t="s">
        <v>114</v>
      </c>
      <c r="AM571" s="13" t="s">
        <v>141</v>
      </c>
      <c r="AN571" s="13" t="s">
        <v>408</v>
      </c>
      <c r="AP571" s="31">
        <v>46029</v>
      </c>
      <c r="AR571" s="13" t="s">
        <v>1607</v>
      </c>
      <c r="AS571" s="31">
        <v>46029</v>
      </c>
      <c r="AU571" s="31">
        <v>46031</v>
      </c>
      <c r="AV571" s="13" t="s">
        <v>865</v>
      </c>
      <c r="AW571" s="31">
        <v>46045</v>
      </c>
      <c r="AX571" s="13" t="str">
        <f>IF(ISNUMBER(SEARCH("cancel",#REF!)),"Cancelled",IF(AND(AS571&lt;&gt;"",AU571&lt;&gt;"",AW571&lt;&gt;""),"Closed","Open"))</f>
        <v>Closed</v>
      </c>
      <c r="AY571" s="15" t="str">
        <f t="shared" si="25"/>
        <v>All dates received</v>
      </c>
      <c r="BD571" s="13">
        <f>IF($AX571="Cancelled","",IFERROR(IF(OR(AS571="",AJ571=""),"",(AJ571+Variables!$B$18-AS571)),""))</f>
        <v>-7</v>
      </c>
      <c r="BE571" s="13">
        <f>IF($AX571="Cancelled","",IFERROR(IF(OR(AW571="",AS571=""),"",(AS571+Variables!$B$19)-AW571),""))</f>
        <v>-11</v>
      </c>
      <c r="BF571" s="44">
        <f>IF($AX571="Cancelled","",IFERROR(W571*INDEX(Variables!$B$7:$D$7,IFERROR(MATCH(IF($B571="Robusta","Robusta",(IF($B571="","Arabica",$B571))&amp;" - "&amp;(IF($C571="","Commercial",$C571))),Variables!$B$1:$D$1,0),1))*(BE571/365),""))</f>
        <v>-427.07692886529833</v>
      </c>
      <c r="BG571" s="44">
        <f>IF($AX571="Cancelled","",IFERROR((W571*INDEX(Variables!$B$7:$D$7,IFERROR(MATCH(IF($B571="Robusta","Robusta",(IF($B571="","Arabica",$B571))&amp;" - "&amp;(IF($C571="","Commercial",$C571))),Variables!$B$1:$D$1,0),1))*IFERROR(IF(AB571="","",(AVERAGE(E571:F571)-AB571)-Variables!$B$14),"")/365)+(L571/16.67*INDEX(Variables!$B$8:$D$8,IFERROR(MATCH(IF($B571="Robusta","Robusta",(IF($B571="","Arabica",$B571))&amp;" - "&amp;(IF($C571="","Commercial",$C571))),Variables!$B$1:$D$1,0),1))*IFERROR(IF(AB571="","",(AVERAGE(E571:F571)-AB571)-Variables!$B$14),""))+(W571*INDEX(Variables!$B$9:$D$9,IFERROR(MATCH(IF($B571="Robusta","Robusta",(IF($B571="","Arabica",$B571))&amp;" - "&amp;(IF($C571="","Commercial",$C571))),Variables!$B$1:$D$1,0),1))*IFERROR(IF(AB571="","",(AVERAGE(E571:F571)-AB571)-Variables!$B$14),"")/365),""))</f>
        <v>-1732.4912561482145</v>
      </c>
      <c r="BH571" s="44">
        <f>IF($AX571="Cancelled","",IFERROR((W571*INDEX(Variables!$B$7:$D$7,IFERROR(MATCH(IF($B571="Robusta","Robusta",(IF($B571="","Arabica",$B571))&amp;" - "&amp;(IF($C571="","Commercial",$C571))),Variables!$B$1:$D$1,0),1))*AK571/365)+(L571/16.67*INDEX(Variables!$B$8:$D$8,IFERROR(MATCH(IF($B571="Robusta","Robusta",(IF($B571="","Arabica",$B571))&amp;" - "&amp;(IF($C571="","Commercial",$C571))),Variables!$B$1:$D$1,0),1))*AK571)+(W571*INDEX(Variables!$B$9:$D$9,IFERROR(MATCH(IF($B571="Robusta","Robusta",(IF($B571="","Arabica",$B571))&amp;" - "&amp;(IF($C571="","Commercial",$C571))),Variables!$B$1:$D$1,0),1))*AK571/365),""))</f>
        <v>1205.2113086248446</v>
      </c>
      <c r="BI571" s="44">
        <f>IF($AX571="Cancelled","",IFERROR((W571*INDEX(Variables!$B$7:$D$7,IFERROR(MATCH(IF($B571="Robusta","Robusta",(IF($B571="","Arabica",$B571))&amp;" - "&amp;(IF($C571="","Commercial",$C571))),Variables!$B$1:$D$1,0),1))*BD571/365)+(L571/16.67*INDEX(Variables!$B$8:$D$8,IFERROR(MATCH(IF($B571="Robusta","Robusta",(IF($B571="","Arabica",$B571))&amp;" - "&amp;(IF($C571="","Commercial",$C571))),Variables!$B$1:$D$1,0),1))*BD571)+(W571*INDEX(Variables!$B$9:$D$9,IFERROR(MATCH(IF($B571="Robusta","Robusta",(IF($B571="","Arabica",$B571))&amp;" - "&amp;(IF($C571="","Commercial",$C571))),Variables!$B$1:$D$1,0),1))*BD571/365),""))</f>
        <v>-527.27994752336963</v>
      </c>
      <c r="BJ571" s="44">
        <f t="shared" si="26"/>
        <v>-7</v>
      </c>
      <c r="BK571" s="44">
        <f>IF($AX571="Cancelled","",IFERROR(IF(BJ571="","",(W571*INDEX(Variables!$B$7:$D$7,IFERROR(MATCH(IF($B571="Robusta","Robusta",(IF($B571="","Arabica",$B571))&amp;" - "&amp;(IF($C571="","Commercial",$C571))),Variables!$B$1:$D$1,0),1))*(BJ571/365))+(W571*INDEX(Variables!$B$9:$D$9,IFERROR(MATCH(IF($B571="Robusta","Robusta",(IF($B571="","Arabica",$B571))&amp;" - "&amp;(IF($C571="","Commercial",$C571))),Variables!$B$1:$D$1,0),1))*(BJ571/365))+(INDEX(Variables!$B$8:$D$8,IFERROR(MATCH(IF($B571="Robusta","Robusta",(IF($B571="","Arabica",$B571))&amp;" - "&amp;(IF($C571="","Commercial",$C571))),Variables!$B$1:$D$1,0),1))*L571/16.67)),""))</f>
        <v>-239.27994752336957</v>
      </c>
    </row>
    <row r="572" spans="1:63">
      <c r="A572" s="13" t="s">
        <v>103</v>
      </c>
      <c r="B572" s="13" t="s">
        <v>104</v>
      </c>
      <c r="C572" s="13" t="s">
        <v>105</v>
      </c>
      <c r="D572" s="31">
        <v>46000</v>
      </c>
      <c r="E572" s="31">
        <v>46082</v>
      </c>
      <c r="F572" s="31">
        <v>46112</v>
      </c>
      <c r="G572" s="13">
        <v>3787028</v>
      </c>
      <c r="H572" s="13" t="s">
        <v>1608</v>
      </c>
      <c r="J572" s="13" t="s">
        <v>506</v>
      </c>
      <c r="L572" s="13">
        <v>32</v>
      </c>
      <c r="M572" s="13">
        <v>0</v>
      </c>
      <c r="N572" s="13" t="s">
        <v>1609</v>
      </c>
      <c r="O572" s="13" t="s">
        <v>297</v>
      </c>
      <c r="P572" s="13">
        <v>10020</v>
      </c>
      <c r="R572" s="13" t="s">
        <v>239</v>
      </c>
      <c r="S572" s="13" t="s">
        <v>509</v>
      </c>
      <c r="T572" s="13" t="s">
        <v>329</v>
      </c>
      <c r="U572" s="13" t="s">
        <v>330</v>
      </c>
      <c r="V572" s="13">
        <v>70</v>
      </c>
      <c r="W572" s="44">
        <f>IF($AX572="Cancelled","",IFERROR(((V572+INDEX(Variables!$B$6:$D$6,IFERROR(MATCH(IF($B572="Robusta","Robusta",(IF($B572="","Arabica",$B572))&amp;" - "&amp;(IF($C572="","Commercial",$C572))),Variables!$B$1:$D$1,0),1)))*22.0462)*(L572/16.67),""))</f>
        <v>15269.14257468506</v>
      </c>
      <c r="X572" s="55" t="s">
        <v>37</v>
      </c>
      <c r="Y572" s="13" t="str">
        <f>IF($AX572="Cancelled","",IF(X572="","",IFERROR(IF(INDEX(Variables!$B$38:$B$47,MATCH(X572,Variables!$A$38:$A$47,0))="Yes","Yes","No"),"No")))</f>
        <v>Yes</v>
      </c>
      <c r="Z572" s="58">
        <v>46055</v>
      </c>
      <c r="AB572" s="31">
        <v>46107</v>
      </c>
      <c r="AC572" s="13" t="str">
        <f t="shared" si="24"/>
        <v>Approved</v>
      </c>
      <c r="AF572" s="71">
        <v>46105</v>
      </c>
      <c r="AG572" s="37">
        <f>IF($AX572="Cancelled","",IFERROR(IF(F572="","",F572-Variables!$B$13),""))</f>
        <v>46097</v>
      </c>
      <c r="AH572" s="13">
        <f>IF($AX572="Cancelled","",IFERROR(IF(AB572="","",(AVERAGE(E572:F572)-AB572)-Variables!$B$14),""))</f>
        <v>-40</v>
      </c>
      <c r="AJ572" s="47">
        <v>46120</v>
      </c>
      <c r="AK572" s="14">
        <f>IF($AX572="Cancelled","",IFERROR(IF(AJ572="","",IF(AND(AB572="",AF572=""),"",IF(AF572&gt;AB572,AF572+Variables!$B$15+Variables!$B$16+Variables!$B$17-AJ572,AB572+Variables!$B$16+Variables!$B$17-AJ572))),""))</f>
        <v>-5</v>
      </c>
      <c r="AL572" s="48" t="s">
        <v>114</v>
      </c>
      <c r="AM572" s="13" t="s">
        <v>115</v>
      </c>
      <c r="AN572" s="13" t="s">
        <v>1541</v>
      </c>
      <c r="AP572" s="31">
        <v>46134</v>
      </c>
      <c r="AR572" s="13">
        <v>267559943</v>
      </c>
      <c r="AS572" s="31" t="s">
        <v>1610</v>
      </c>
      <c r="AU572" s="31">
        <v>46147</v>
      </c>
      <c r="AV572" s="13" t="s">
        <v>865</v>
      </c>
      <c r="AW572" s="31">
        <v>46147</v>
      </c>
      <c r="AX572" s="13" t="str">
        <f>IF(ISNUMBER(SEARCH("cancel",#REF!)),"Cancelled",IF(AND(AS572&lt;&gt;"",AU572&lt;&gt;"",AW572&lt;&gt;""),"Closed","Open"))</f>
        <v>Closed</v>
      </c>
      <c r="AY572" s="15" t="str">
        <f t="shared" si="25"/>
        <v>All dates received</v>
      </c>
      <c r="BD572" s="13" t="str">
        <f>IF($AX572="Cancelled","",IFERROR(IF(OR(AS572="",AJ572=""),"",(AJ572+Variables!$B$18-AS572)),""))</f>
        <v/>
      </c>
      <c r="BE572" s="13" t="str">
        <f>IF($AX572="Cancelled","",IFERROR(IF(OR(AW572="",AS572=""),"",(AS572+Variables!$B$19)-AW572),""))</f>
        <v/>
      </c>
      <c r="BF572" s="44" t="str">
        <f>IF($AX572="Cancelled","",IFERROR(W572*INDEX(Variables!$B$7:$D$7,IFERROR(MATCH(IF($B572="Robusta","Robusta",(IF($B572="","Arabica",$B572))&amp;" - "&amp;(IF($C572="","Commercial",$C572))),Variables!$B$1:$D$1,0),1))*(BE572/365),""))</f>
        <v/>
      </c>
      <c r="BG572" s="44">
        <f>IF($AX572="Cancelled","",IFERROR((W572*INDEX(Variables!$B$7:$D$7,IFERROR(MATCH(IF($B572="Robusta","Robusta",(IF($B572="","Arabica",$B572))&amp;" - "&amp;(IF($C572="","Commercial",$C572))),Variables!$B$1:$D$1,0),1))*IFERROR(IF(AB572="","",(AVERAGE(E572:F572)-AB572)-Variables!$B$14),"")/365)+(L572/16.67*INDEX(Variables!$B$8:$D$8,IFERROR(MATCH(IF($B572="Robusta","Robusta",(IF($B572="","Arabica",$B572))&amp;" - "&amp;(IF($C572="","Commercial",$C572))),Variables!$B$1:$D$1,0),1))*IFERROR(IF(AB572="","",(AVERAGE(E572:F572)-AB572)-Variables!$B$14),""))+(W572*INDEX(Variables!$B$9:$D$9,IFERROR(MATCH(IF($B572="Robusta","Robusta",(IF($B572="","Arabica",$B572))&amp;" - "&amp;(IF($C572="","Commercial",$C572))),Variables!$B$1:$D$1,0),1))*IFERROR(IF(AB572="","",(AVERAGE(E572:F572)-AB572)-Variables!$B$14),"")/365),""))</f>
        <v>-173.29108422484302</v>
      </c>
      <c r="BH572" s="44">
        <f>IF($AX572="Cancelled","",IFERROR((W572*INDEX(Variables!$B$7:$D$7,IFERROR(MATCH(IF($B572="Robusta","Robusta",(IF($B572="","Arabica",$B572))&amp;" - "&amp;(IF($C572="","Commercial",$C572))),Variables!$B$1:$D$1,0),1))*AK572/365)+(L572/16.67*INDEX(Variables!$B$8:$D$8,IFERROR(MATCH(IF($B572="Robusta","Robusta",(IF($B572="","Arabica",$B572))&amp;" - "&amp;(IF($C572="","Commercial",$C572))),Variables!$B$1:$D$1,0),1))*AK572)+(W572*INDEX(Variables!$B$9:$D$9,IFERROR(MATCH(IF($B572="Robusta","Robusta",(IF($B572="","Arabica",$B572))&amp;" - "&amp;(IF($C572="","Commercial",$C572))),Variables!$B$1:$D$1,0),1))*AK572/365),""))</f>
        <v>-21.661385528105377</v>
      </c>
      <c r="BI572" s="44" t="str">
        <f>IF($AX572="Cancelled","",IFERROR((W572*INDEX(Variables!$B$7:$D$7,IFERROR(MATCH(IF($B572="Robusta","Robusta",(IF($B572="","Arabica",$B572))&amp;" - "&amp;(IF($C572="","Commercial",$C572))),Variables!$B$1:$D$1,0),1))*BD572/365)+(L572/16.67*INDEX(Variables!$B$8:$D$8,IFERROR(MATCH(IF($B572="Robusta","Robusta",(IF($B572="","Arabica",$B572))&amp;" - "&amp;(IF($C572="","Commercial",$C572))),Variables!$B$1:$D$1,0),1))*BD572)+(W572*INDEX(Variables!$B$9:$D$9,IFERROR(MATCH(IF($B572="Robusta","Robusta",(IF($B572="","Arabica",$B572))&amp;" - "&amp;(IF($C572="","Commercial",$C572))),Variables!$B$1:$D$1,0),1))*BD572/365),""))</f>
        <v/>
      </c>
      <c r="BJ572" s="44" t="str">
        <f t="shared" si="26"/>
        <v/>
      </c>
      <c r="BK572" s="44" t="str">
        <f>IF($AX572="Cancelled","",IFERROR(IF(BJ572="","",(W572*INDEX(Variables!$B$7:$D$7,IFERROR(MATCH(IF($B572="Robusta","Robusta",(IF($B572="","Arabica",$B572))&amp;" - "&amp;(IF($C572="","Commercial",$C572))),Variables!$B$1:$D$1,0),1))*(BJ572/365))+(W572*INDEX(Variables!$B$9:$D$9,IFERROR(MATCH(IF($B572="Robusta","Robusta",(IF($B572="","Arabica",$B572))&amp;" - "&amp;(IF($C572="","Commercial",$C572))),Variables!$B$1:$D$1,0),1))*(BJ572/365))+(INDEX(Variables!$B$8:$D$8,IFERROR(MATCH(IF($B572="Robusta","Robusta",(IF($B572="","Arabica",$B572))&amp;" - "&amp;(IF($C572="","Commercial",$C572))),Variables!$B$1:$D$1,0),1))*L572/16.67)),""))</f>
        <v/>
      </c>
    </row>
    <row r="573" spans="1:63">
      <c r="A573" s="13" t="s">
        <v>103</v>
      </c>
      <c r="B573" s="13" t="s">
        <v>104</v>
      </c>
      <c r="C573" s="13" t="s">
        <v>292</v>
      </c>
      <c r="D573" s="31">
        <v>46000</v>
      </c>
      <c r="E573" s="31">
        <v>46082</v>
      </c>
      <c r="F573" s="31">
        <v>46112</v>
      </c>
      <c r="G573" s="13">
        <v>3787028</v>
      </c>
      <c r="J573" s="13" t="s">
        <v>506</v>
      </c>
      <c r="K573" s="13" t="s">
        <v>1611</v>
      </c>
      <c r="L573" s="13">
        <v>32</v>
      </c>
      <c r="M573" s="13">
        <v>0</v>
      </c>
      <c r="N573" s="13" t="s">
        <v>1609</v>
      </c>
      <c r="O573" s="13" t="s">
        <v>297</v>
      </c>
      <c r="P573" s="13">
        <v>10020</v>
      </c>
      <c r="R573" s="13" t="s">
        <v>239</v>
      </c>
      <c r="S573" s="13" t="s">
        <v>509</v>
      </c>
      <c r="T573" s="13" t="s">
        <v>329</v>
      </c>
      <c r="U573" s="13" t="s">
        <v>330</v>
      </c>
      <c r="V573" s="13">
        <v>70</v>
      </c>
      <c r="W573" s="44">
        <f>IF($AX573="Cancelled","",IFERROR(((V573+INDEX(Variables!$B$6:$D$6,IFERROR(MATCH(IF($B573="Robusta","Robusta",(IF($B573="","Arabica",$B573))&amp;" - "&amp;(IF($C573="","Commercial",$C573))),Variables!$B$1:$D$1,0),1)))*22.0462)*(L573/16.67),""))</f>
        <v>15269.14257468506</v>
      </c>
      <c r="X573" s="55" t="s">
        <v>39</v>
      </c>
      <c r="Y573" s="13" t="str">
        <f>IF($AX573="Cancelled","",IF(X573="","",IFERROR(IF(INDEX(Variables!$B$38:$B$47,MATCH(X573,Variables!$A$38:$A$47,0))="Yes","Yes","No"),"No")))</f>
        <v>No</v>
      </c>
      <c r="Z573" s="58">
        <v>46055</v>
      </c>
      <c r="AC573" s="13" t="str">
        <f t="shared" si="24"/>
        <v/>
      </c>
      <c r="AF573" s="71">
        <v>46105</v>
      </c>
      <c r="AG573" s="31">
        <f>IF($AX573="Cancelled","",IFERROR(IF(F573="","",F573-Variables!$B$13),""))</f>
        <v>46097</v>
      </c>
      <c r="AH573" s="13" t="str">
        <f>IF($AX573="Cancelled","",IFERROR(IF(AB573="","",(AVERAGE(E573:F573)-AB573)-Variables!$B$14),""))</f>
        <v/>
      </c>
      <c r="AJ573" s="47">
        <v>46120</v>
      </c>
      <c r="AK573" s="14">
        <f>IF($AX573="Cancelled","",IFERROR(IF(AJ573="","",IF(AND(AB573="",AF573=""),"",IF(AF573&gt;AB573,AF573+Variables!$B$15+Variables!$B$16+Variables!$B$17-AJ573,AB573+Variables!$B$16+Variables!$B$17-AJ573))),""))</f>
        <v>0</v>
      </c>
      <c r="AL573" s="48" t="s">
        <v>114</v>
      </c>
      <c r="AM573" s="13" t="s">
        <v>115</v>
      </c>
      <c r="AN573" s="13" t="s">
        <v>1541</v>
      </c>
      <c r="AP573" s="31">
        <v>46134</v>
      </c>
      <c r="AR573" s="13">
        <v>267559943</v>
      </c>
      <c r="AS573" s="31" t="s">
        <v>1610</v>
      </c>
      <c r="AU573" s="31">
        <v>46147</v>
      </c>
      <c r="AV573" s="13" t="s">
        <v>865</v>
      </c>
      <c r="AW573" s="31">
        <v>46162</v>
      </c>
      <c r="AX573" s="13" t="str">
        <f>IF(ISNUMBER(SEARCH("cancel",#REF!)),"Cancelled",IF(AND(AS573&lt;&gt;"",AU573&lt;&gt;"",AW573&lt;&gt;""),"Closed","Open"))</f>
        <v>Closed</v>
      </c>
      <c r="AY573" s="15" t="str">
        <f t="shared" si="25"/>
        <v>All dates received</v>
      </c>
      <c r="BD573" s="13" t="str">
        <f>IF($AX573="Cancelled","",IFERROR(IF(OR(AS573="",AJ573=""),"",(AJ573+Variables!$B$18-AS573)),""))</f>
        <v/>
      </c>
      <c r="BE573" s="13" t="str">
        <f>IF($AX573="Cancelled","",IFERROR(IF(OR(AW573="",AS573=""),"",(AS573+Variables!$B$19)-AW573),""))</f>
        <v/>
      </c>
      <c r="BF573" s="44" t="str">
        <f>IF($AX573="Cancelled","",IFERROR(W573*INDEX(Variables!$B$7:$D$7,IFERROR(MATCH(IF($B573="Robusta","Robusta",(IF($B573="","Arabica",$B573))&amp;" - "&amp;(IF($C573="","Commercial",$C573))),Variables!$B$1:$D$1,0),1))*(BE573/365),""))</f>
        <v/>
      </c>
      <c r="BG573" s="44" t="str">
        <f>IF($AX573="Cancelled","",IFERROR((W573*INDEX(Variables!$B$7:$D$7,IFERROR(MATCH(IF($B573="Robusta","Robusta",(IF($B573="","Arabica",$B573))&amp;" - "&amp;(IF($C573="","Commercial",$C573))),Variables!$B$1:$D$1,0),1))*IFERROR(IF(AB573="","",(AVERAGE(E573:F573)-AB573)-Variables!$B$14),"")/365)+(L573/16.67*INDEX(Variables!$B$8:$D$8,IFERROR(MATCH(IF($B573="Robusta","Robusta",(IF($B573="","Arabica",$B573))&amp;" - "&amp;(IF($C573="","Commercial",$C573))),Variables!$B$1:$D$1,0),1))*IFERROR(IF(AB573="","",(AVERAGE(E573:F573)-AB573)-Variables!$B$14),""))+(W573*INDEX(Variables!$B$9:$D$9,IFERROR(MATCH(IF($B573="Robusta","Robusta",(IF($B573="","Arabica",$B573))&amp;" - "&amp;(IF($C573="","Commercial",$C573))),Variables!$B$1:$D$1,0),1))*IFERROR(IF(AB573="","",(AVERAGE(E573:F573)-AB573)-Variables!$B$14),"")/365),""))</f>
        <v/>
      </c>
      <c r="BH573" s="44">
        <f>IF($AX573="Cancelled","",IFERROR((W573*INDEX(Variables!$B$7:$D$7,IFERROR(MATCH(IF($B573="Robusta","Robusta",(IF($B573="","Arabica",$B573))&amp;" - "&amp;(IF($C573="","Commercial",$C573))),Variables!$B$1:$D$1,0),1))*AK573/365)+(L573/16.67*INDEX(Variables!$B$8:$D$8,IFERROR(MATCH(IF($B573="Robusta","Robusta",(IF($B573="","Arabica",$B573))&amp;" - "&amp;(IF($C573="","Commercial",$C573))),Variables!$B$1:$D$1,0),1))*AK573)+(W573*INDEX(Variables!$B$9:$D$9,IFERROR(MATCH(IF($B573="Robusta","Robusta",(IF($B573="","Arabica",$B573))&amp;" - "&amp;(IF($C573="","Commercial",$C573))),Variables!$B$1:$D$1,0),1))*AK573/365),""))</f>
        <v>0</v>
      </c>
      <c r="BI573" s="44" t="str">
        <f>IF($AX573="Cancelled","",IFERROR((W573*INDEX(Variables!$B$7:$D$7,IFERROR(MATCH(IF($B573="Robusta","Robusta",(IF($B573="","Arabica",$B573))&amp;" - "&amp;(IF($C573="","Commercial",$C573))),Variables!$B$1:$D$1,0),1))*BD573/365)+(L573/16.67*INDEX(Variables!$B$8:$D$8,IFERROR(MATCH(IF($B573="Robusta","Robusta",(IF($B573="","Arabica",$B573))&amp;" - "&amp;(IF($C573="","Commercial",$C573))),Variables!$B$1:$D$1,0),1))*BD573)+(W573*INDEX(Variables!$B$9:$D$9,IFERROR(MATCH(IF($B573="Robusta","Robusta",(IF($B573="","Arabica",$B573))&amp;" - "&amp;(IF($C573="","Commercial",$C573))),Variables!$B$1:$D$1,0),1))*BD573/365),""))</f>
        <v/>
      </c>
      <c r="BJ573" s="44" t="str">
        <f t="shared" si="26"/>
        <v/>
      </c>
      <c r="BK573" s="44" t="str">
        <f>IF($AX573="Cancelled","",IFERROR(IF(BJ573="","",(W573*INDEX(Variables!$B$7:$D$7,IFERROR(MATCH(IF($B573="Robusta","Robusta",(IF($B573="","Arabica",$B573))&amp;" - "&amp;(IF($C573="","Commercial",$C573))),Variables!$B$1:$D$1,0),1))*(BJ573/365))+(W573*INDEX(Variables!$B$9:$D$9,IFERROR(MATCH(IF($B573="Robusta","Robusta",(IF($B573="","Arabica",$B573))&amp;" - "&amp;(IF($C573="","Commercial",$C573))),Variables!$B$1:$D$1,0),1))*(BJ573/365))+(INDEX(Variables!$B$8:$D$8,IFERROR(MATCH(IF($B573="Robusta","Robusta",(IF($B573="","Arabica",$B573))&amp;" - "&amp;(IF($C573="","Commercial",$C573))),Variables!$B$1:$D$1,0),1))*L573/16.67)),""))</f>
        <v/>
      </c>
    </row>
    <row r="574" spans="1:63">
      <c r="A574" s="13" t="s">
        <v>103</v>
      </c>
      <c r="B574" s="13" t="s">
        <v>104</v>
      </c>
      <c r="C574" s="13" t="s">
        <v>105</v>
      </c>
      <c r="D574" s="31">
        <v>46000</v>
      </c>
      <c r="E574" s="31">
        <v>45992</v>
      </c>
      <c r="F574" s="31">
        <v>46053</v>
      </c>
      <c r="G574" s="13">
        <v>3787029</v>
      </c>
      <c r="H574" s="13">
        <v>25.605</v>
      </c>
      <c r="J574" s="13" t="s">
        <v>1124</v>
      </c>
      <c r="K574" s="13">
        <v>5376</v>
      </c>
      <c r="L574" s="13">
        <v>548</v>
      </c>
      <c r="M574" s="13">
        <v>2</v>
      </c>
      <c r="N574" s="13" t="s">
        <v>1612</v>
      </c>
      <c r="O574" s="13" t="s">
        <v>1172</v>
      </c>
      <c r="P574" s="13">
        <v>10260</v>
      </c>
      <c r="R574" s="13" t="s">
        <v>110</v>
      </c>
      <c r="S574" s="13" t="s">
        <v>154</v>
      </c>
      <c r="T574" s="13" t="s">
        <v>155</v>
      </c>
      <c r="U574" s="13" t="s">
        <v>125</v>
      </c>
      <c r="V574" s="13">
        <v>-183.75</v>
      </c>
      <c r="W574" s="44">
        <f>IF($AX574="Cancelled","",IFERROR(((V574+INDEX(Variables!$B$6:$D$6,IFERROR(MATCH(IF($B574="Robusta","Robusta",(IF($B574="","Arabica",$B574))&amp;" - "&amp;(IF($C574="","Commercial",$C574))),Variables!$B$1:$D$1,0),1)))*22.0462)*(L574/16.67),""))</f>
        <v>77582.786387522501</v>
      </c>
      <c r="X574" s="55" t="s">
        <v>37</v>
      </c>
      <c r="Y574" s="13" t="str">
        <f>IF($AX574="Cancelled","",IF(X574="","",IFERROR(IF(INDEX(Variables!$B$38:$B$47,MATCH(X574,Variables!$A$38:$A$47,0))="Yes","Yes","No"),"No")))</f>
        <v>Yes</v>
      </c>
      <c r="Z574" s="58">
        <v>46010</v>
      </c>
      <c r="AB574" s="31">
        <v>45990.875</v>
      </c>
      <c r="AC574" s="13" t="str">
        <f t="shared" si="24"/>
        <v>Approved</v>
      </c>
      <c r="AF574" s="71">
        <v>46007</v>
      </c>
      <c r="AG574" s="37">
        <f>IF($AX574="Cancelled","",IFERROR(IF(F574="","",F574-Variables!$B$13),""))</f>
        <v>46038</v>
      </c>
      <c r="AH574" s="13">
        <f>IF($AX574="Cancelled","",IFERROR(IF(AB574="","",(AVERAGE(E574:F574)-AB574)-Variables!$B$14),""))</f>
        <v>1.625</v>
      </c>
      <c r="AJ574" s="47">
        <v>46035</v>
      </c>
      <c r="AK574" s="14">
        <f>IF($AX574="Cancelled","",IFERROR(IF(AJ574="","",IF(AND(AB574="",AF574=""),"",IF(AF574&gt;AB574,AF574+Variables!$B$15+Variables!$B$16+Variables!$B$17-AJ574,AB574+Variables!$B$16+Variables!$B$17-AJ574))),""))</f>
        <v>-13</v>
      </c>
      <c r="AL574" s="48" t="s">
        <v>114</v>
      </c>
      <c r="AM574" s="13" t="e">
        <v>#REF!</v>
      </c>
      <c r="AN574" s="13">
        <v>0</v>
      </c>
      <c r="AR574" s="13" t="e">
        <v>#REF!</v>
      </c>
      <c r="AS574" s="31">
        <v>46026.875</v>
      </c>
      <c r="AU574" s="31">
        <v>46027.875</v>
      </c>
      <c r="AV574" s="13" t="e">
        <v>#REF!</v>
      </c>
      <c r="AW574" s="31">
        <v>46080</v>
      </c>
      <c r="AX574" s="13" t="str">
        <f>IF(ISNUMBER(SEARCH("cancel",#REF!)),"Cancelled",IF(AND(AS574&lt;&gt;"",AU574&lt;&gt;"",AW574&lt;&gt;""),"Closed","Open"))</f>
        <v>Closed</v>
      </c>
      <c r="AY574" s="15" t="str">
        <f t="shared" si="25"/>
        <v>All dates received</v>
      </c>
      <c r="BD574" s="13">
        <f>IF($AX574="Cancelled","",IFERROR(IF(OR(AS574="",AJ574=""),"",(AJ574+Variables!$B$18-AS574)),""))</f>
        <v>23.125</v>
      </c>
      <c r="BE574" s="13">
        <f>IF($AX574="Cancelled","",IFERROR(IF(OR(AW574="",AS574=""),"",(AS574+Variables!$B$19)-AW574),""))</f>
        <v>-48.125</v>
      </c>
      <c r="BF574" s="44">
        <f>IF($AX574="Cancelled","",IFERROR(W574*INDEX(Variables!$B$7:$D$7,IFERROR(MATCH(IF($B574="Robusta","Robusta",(IF($B574="","Arabica",$B574))&amp;" - "&amp;(IF($C574="","Commercial",$C574))),Variables!$B$1:$D$1,0),1))*(BE574/365),""))</f>
        <v>-659.60372196336948</v>
      </c>
      <c r="BG574" s="44">
        <f>IF($AX574="Cancelled","",IFERROR((W574*INDEX(Variables!$B$7:$D$7,IFERROR(MATCH(IF($B574="Robusta","Robusta",(IF($B574="","Arabica",$B574))&amp;" - "&amp;(IF($C574="","Commercial",$C574))),Variables!$B$1:$D$1,0),1))*IFERROR(IF(AB574="","",(AVERAGE(E574:F574)-AB574)-Variables!$B$14),"")/365)+(L574/16.67*INDEX(Variables!$B$8:$D$8,IFERROR(MATCH(IF($B574="Robusta","Robusta",(IF($B574="","Arabica",$B574))&amp;" - "&amp;(IF($C574="","Commercial",$C574))),Variables!$B$1:$D$1,0),1))*IFERROR(IF(AB574="","",(AVERAGE(E574:F574)-AB574)-Variables!$B$14),""))+(W574*INDEX(Variables!$B$9:$D$9,IFERROR(MATCH(IF($B574="Robusta","Robusta",(IF($B574="","Arabica",$B574))&amp;" - "&amp;(IF($C574="","Commercial",$C574))),Variables!$B$1:$D$1,0),1))*IFERROR(IF(AB574="","",(AVERAGE(E574:F574)-AB574)-Variables!$B$14),"")/365),""))</f>
        <v>67.084466829924267</v>
      </c>
      <c r="BH574" s="44">
        <f>IF($AX574="Cancelled","",IFERROR((W574*INDEX(Variables!$B$7:$D$7,IFERROR(MATCH(IF($B574="Robusta","Robusta",(IF($B574="","Arabica",$B574))&amp;" - "&amp;(IF($C574="","Commercial",$C574))),Variables!$B$1:$D$1,0),1))*AK574/365)+(L574/16.67*INDEX(Variables!$B$8:$D$8,IFERROR(MATCH(IF($B574="Robusta","Robusta",(IF($B574="","Arabica",$B574))&amp;" - "&amp;(IF($C574="","Commercial",$C574))),Variables!$B$1:$D$1,0),1))*AK574)+(W574*INDEX(Variables!$B$9:$D$9,IFERROR(MATCH(IF($B574="Robusta","Robusta",(IF($B574="","Arabica",$B574))&amp;" - "&amp;(IF($C574="","Commercial",$C574))),Variables!$B$1:$D$1,0),1))*AK574/365),""))</f>
        <v>-536.67573463939414</v>
      </c>
      <c r="BI574" s="44">
        <f>IF($AX574="Cancelled","",IFERROR((W574*INDEX(Variables!$B$7:$D$7,IFERROR(MATCH(IF($B574="Robusta","Robusta",(IF($B574="","Arabica",$B574))&amp;" - "&amp;(IF($C574="","Commercial",$C574))),Variables!$B$1:$D$1,0),1))*BD574/365)+(L574/16.67*INDEX(Variables!$B$8:$D$8,IFERROR(MATCH(IF($B574="Robusta","Robusta",(IF($B574="","Arabica",$B574))&amp;" - "&amp;(IF($C574="","Commercial",$C574))),Variables!$B$1:$D$1,0),1))*BD574)+(W574*INDEX(Variables!$B$9:$D$9,IFERROR(MATCH(IF($B574="Robusta","Robusta",(IF($B574="","Arabica",$B574))&amp;" - "&amp;(IF($C574="","Commercial",$C574))),Variables!$B$1:$D$1,0),1))*BD574/365),""))</f>
        <v>954.66356642584537</v>
      </c>
      <c r="BJ574" s="44">
        <f t="shared" si="26"/>
        <v>26.125</v>
      </c>
      <c r="BK574" s="44">
        <f>IF($AX574="Cancelled","",IFERROR(IF(BJ574="","",(W574*INDEX(Variables!$B$7:$D$7,IFERROR(MATCH(IF($B574="Robusta","Robusta",(IF($B574="","Arabica",$B574))&amp;" - "&amp;(IF($C574="","Commercial",$C574))),Variables!$B$1:$D$1,0),1))*(BJ574/365))+(W574*INDEX(Variables!$B$9:$D$9,IFERROR(MATCH(IF($B574="Robusta","Robusta",(IF($B574="","Arabica",$B574))&amp;" - "&amp;(IF($C574="","Commercial",$C574))),Variables!$B$1:$D$1,0),1))*(BJ574/365))+(INDEX(Variables!$B$8:$D$8,IFERROR(MATCH(IF($B574="Robusta","Robusta",(IF($B574="","Arabica",$B574))&amp;" - "&amp;(IF($C574="","Commercial",$C574))),Variables!$B$1:$D$1,0),1))*L574/16.67)),""))</f>
        <v>390.08681288109017</v>
      </c>
    </row>
    <row r="575" spans="1:63">
      <c r="A575" s="13" t="s">
        <v>103</v>
      </c>
      <c r="B575" s="13" t="s">
        <v>104</v>
      </c>
      <c r="C575" s="13" t="s">
        <v>105</v>
      </c>
      <c r="D575" s="31">
        <v>46000</v>
      </c>
      <c r="E575" s="31">
        <v>45992</v>
      </c>
      <c r="F575" s="31">
        <v>46053</v>
      </c>
      <c r="G575" s="13">
        <v>3787030</v>
      </c>
      <c r="H575" s="13">
        <v>25.606000000000002</v>
      </c>
      <c r="J575" s="13" t="s">
        <v>1124</v>
      </c>
      <c r="K575" s="13">
        <v>5377</v>
      </c>
      <c r="L575" s="13">
        <v>900</v>
      </c>
      <c r="M575" s="13">
        <v>3</v>
      </c>
      <c r="N575" s="13" t="s">
        <v>1613</v>
      </c>
      <c r="O575" s="13" t="s">
        <v>1172</v>
      </c>
      <c r="P575" s="13">
        <v>10260</v>
      </c>
      <c r="R575" s="13" t="s">
        <v>110</v>
      </c>
      <c r="S575" s="13" t="s">
        <v>154</v>
      </c>
      <c r="T575" s="13" t="s">
        <v>155</v>
      </c>
      <c r="U575" s="13" t="s">
        <v>125</v>
      </c>
      <c r="V575" s="13">
        <v>-178.75</v>
      </c>
      <c r="W575" s="44">
        <f>IF($AX575="Cancelled","",IFERROR(((V575+INDEX(Variables!$B$6:$D$6,IFERROR(MATCH(IF($B575="Robusta","Robusta",(IF($B575="","Arabica",$B575))&amp;" - "&amp;(IF($C575="","Commercial",$C575))),Variables!$B$1:$D$1,0),1)))*22.0462)*(L575/16.67),""))</f>
        <v>133368.26868626275</v>
      </c>
      <c r="X575" s="55" t="s">
        <v>37</v>
      </c>
      <c r="Y575" s="13" t="str">
        <f>IF($AX575="Cancelled","",IF(X575="","",IFERROR(IF(INDEX(Variables!$B$38:$B$47,MATCH(X575,Variables!$A$38:$A$47,0))="Yes","Yes","No"),"No")))</f>
        <v>Yes</v>
      </c>
      <c r="Z575" s="58">
        <v>46010</v>
      </c>
      <c r="AB575" s="31">
        <v>45990.875</v>
      </c>
      <c r="AC575" s="13" t="str">
        <f t="shared" si="24"/>
        <v>Approved</v>
      </c>
      <c r="AF575" s="71">
        <v>46007</v>
      </c>
      <c r="AG575" s="37">
        <f>IF($AX575="Cancelled","",IFERROR(IF(F575="","",F575-Variables!$B$13),""))</f>
        <v>46038</v>
      </c>
      <c r="AH575" s="13">
        <f>IF($AX575="Cancelled","",IFERROR(IF(AB575="","",(AVERAGE(E575:F575)-AB575)-Variables!$B$14),""))</f>
        <v>1.625</v>
      </c>
      <c r="AJ575" s="47">
        <v>46035</v>
      </c>
      <c r="AK575" s="14">
        <f>IF($AX575="Cancelled","",IFERROR(IF(AJ575="","",IF(AND(AB575="",AF575=""),"",IF(AF575&gt;AB575,AF575+Variables!$B$15+Variables!$B$16+Variables!$B$17-AJ575,AB575+Variables!$B$16+Variables!$B$17-AJ575))),""))</f>
        <v>-13</v>
      </c>
      <c r="AL575" s="48" t="s">
        <v>114</v>
      </c>
      <c r="AM575" s="13" t="e">
        <v>#REF!</v>
      </c>
      <c r="AN575" s="13">
        <v>0</v>
      </c>
      <c r="AR575" s="13" t="e">
        <v>#REF!</v>
      </c>
      <c r="AS575" s="31">
        <v>46026.875</v>
      </c>
      <c r="AU575" s="31">
        <v>46027.875</v>
      </c>
      <c r="AV575" s="13" t="e">
        <v>#REF!</v>
      </c>
      <c r="AW575" s="31">
        <v>46080</v>
      </c>
      <c r="AX575" s="13" t="str">
        <f>IF(ISNUMBER(SEARCH("cancel",#REF!)),"Cancelled",IF(AND(AS575&lt;&gt;"",AU575&lt;&gt;"",AW575&lt;&gt;""),"Closed","Open"))</f>
        <v>Closed</v>
      </c>
      <c r="AY575" s="15" t="str">
        <f t="shared" si="25"/>
        <v>All dates received</v>
      </c>
      <c r="BD575" s="13">
        <f>IF($AX575="Cancelled","",IFERROR(IF(OR(AS575="",AJ575=""),"",(AJ575+Variables!$B$18-AS575)),""))</f>
        <v>23.125</v>
      </c>
      <c r="BE575" s="13">
        <f>IF($AX575="Cancelled","",IFERROR(IF(OR(AW575="",AS575=""),"",(AS575+Variables!$B$19)-AW575),""))</f>
        <v>-48.125</v>
      </c>
      <c r="BF575" s="44">
        <f>IF($AX575="Cancelled","",IFERROR(W575*INDEX(Variables!$B$7:$D$7,IFERROR(MATCH(IF($B575="Robusta","Robusta",(IF($B575="","Arabica",$B575))&amp;" - "&amp;(IF($C575="","Commercial",$C575))),Variables!$B$1:$D$1,0),1))*(BE575/365),""))</f>
        <v>-1133.8882052761346</v>
      </c>
      <c r="BG575" s="44">
        <f>IF($AX575="Cancelled","",IFERROR((W575*INDEX(Variables!$B$7:$D$7,IFERROR(MATCH(IF($B575="Robusta","Robusta",(IF($B575="","Arabica",$B575))&amp;" - "&amp;(IF($C575="","Commercial",$C575))),Variables!$B$1:$D$1,0),1))*IFERROR(IF(AB575="","",(AVERAGE(E575:F575)-AB575)-Variables!$B$14),"")/365)+(L575/16.67*INDEX(Variables!$B$8:$D$8,IFERROR(MATCH(IF($B575="Robusta","Robusta",(IF($B575="","Arabica",$B575))&amp;" - "&amp;(IF($C575="","Commercial",$C575))),Variables!$B$1:$D$1,0),1))*IFERROR(IF(AB575="","",(AVERAGE(E575:F575)-AB575)-Variables!$B$14),""))+(W575*INDEX(Variables!$B$9:$D$9,IFERROR(MATCH(IF($B575="Robusta","Robusta",(IF($B575="","Arabica",$B575))&amp;" - "&amp;(IF($C575="","Commercial",$C575))),Variables!$B$1:$D$1,0),1))*IFERROR(IF(AB575="","",(AVERAGE(E575:F575)-AB575)-Variables!$B$14),"")/365),""))</f>
        <v>111.90572925305578</v>
      </c>
      <c r="BH575" s="44">
        <f>IF($AX575="Cancelled","",IFERROR((W575*INDEX(Variables!$B$7:$D$7,IFERROR(MATCH(IF($B575="Robusta","Robusta",(IF($B575="","Arabica",$B575))&amp;" - "&amp;(IF($C575="","Commercial",$C575))),Variables!$B$1:$D$1,0),1))*AK575/365)+(L575/16.67*INDEX(Variables!$B$8:$D$8,IFERROR(MATCH(IF($B575="Robusta","Robusta",(IF($B575="","Arabica",$B575))&amp;" - "&amp;(IF($C575="","Commercial",$C575))),Variables!$B$1:$D$1,0),1))*AK575)+(W575*INDEX(Variables!$B$9:$D$9,IFERROR(MATCH(IF($B575="Robusta","Robusta",(IF($B575="","Arabica",$B575))&amp;" - "&amp;(IF($C575="","Commercial",$C575))),Variables!$B$1:$D$1,0),1))*AK575/365),""))</f>
        <v>-895.24583402444625</v>
      </c>
      <c r="BI575" s="44">
        <f>IF($AX575="Cancelled","",IFERROR((W575*INDEX(Variables!$B$7:$D$7,IFERROR(MATCH(IF($B575="Robusta","Robusta",(IF($B575="","Arabica",$B575))&amp;" - "&amp;(IF($C575="","Commercial",$C575))),Variables!$B$1:$D$1,0),1))*BD575/365)+(L575/16.67*INDEX(Variables!$B$8:$D$8,IFERROR(MATCH(IF($B575="Robusta","Robusta",(IF($B575="","Arabica",$B575))&amp;" - "&amp;(IF($C575="","Commercial",$C575))),Variables!$B$1:$D$1,0),1))*BD575)+(W575*INDEX(Variables!$B$9:$D$9,IFERROR(MATCH(IF($B575="Robusta","Robusta",(IF($B575="","Arabica",$B575))&amp;" - "&amp;(IF($C575="","Commercial",$C575))),Variables!$B$1:$D$1,0),1))*BD575/365),""))</f>
        <v>1592.5046086011785</v>
      </c>
      <c r="BJ575" s="44">
        <f t="shared" si="26"/>
        <v>26.125</v>
      </c>
      <c r="BK575" s="44">
        <f>IF($AX575="Cancelled","",IFERROR(IF(BJ575="","",(W575*INDEX(Variables!$B$7:$D$7,IFERROR(MATCH(IF($B575="Robusta","Robusta",(IF($B575="","Arabica",$B575))&amp;" - "&amp;(IF($C575="","Commercial",$C575))),Variables!$B$1:$D$1,0),1))*(BJ575/365))+(W575*INDEX(Variables!$B$9:$D$9,IFERROR(MATCH(IF($B575="Robusta","Robusta",(IF($B575="","Arabica",$B575))&amp;" - "&amp;(IF($C575="","Commercial",$C575))),Variables!$B$1:$D$1,0),1))*(BJ575/365))+(INDEX(Variables!$B$8:$D$8,IFERROR(MATCH(IF($B575="Robusta","Robusta",(IF($B575="","Arabica",$B575))&amp;" - "&amp;(IF($C575="","Commercial",$C575))),Variables!$B$1:$D$1,0),1))*L575/16.67)),""))</f>
        <v>668.47480106835837</v>
      </c>
    </row>
    <row r="576" spans="1:63">
      <c r="A576" s="13" t="s">
        <v>103</v>
      </c>
      <c r="B576" s="13" t="s">
        <v>104</v>
      </c>
      <c r="C576" s="13" t="s">
        <v>105</v>
      </c>
      <c r="D576" s="31">
        <v>46001</v>
      </c>
      <c r="E576" s="31">
        <v>46054</v>
      </c>
      <c r="F576" s="31">
        <v>46081</v>
      </c>
      <c r="G576" s="13">
        <v>3787031</v>
      </c>
      <c r="H576" s="13" t="s">
        <v>1614</v>
      </c>
      <c r="J576" s="13" t="s">
        <v>506</v>
      </c>
      <c r="K576" s="13">
        <v>5394</v>
      </c>
      <c r="L576" s="13">
        <v>320</v>
      </c>
      <c r="M576" s="13">
        <v>1</v>
      </c>
      <c r="N576" s="13" t="s">
        <v>1585</v>
      </c>
      <c r="O576" s="13" t="s">
        <v>120</v>
      </c>
      <c r="P576" s="13">
        <v>10070</v>
      </c>
      <c r="R576" s="13" t="s">
        <v>239</v>
      </c>
      <c r="S576" s="13" t="s">
        <v>1615</v>
      </c>
      <c r="T576" s="13" t="s">
        <v>329</v>
      </c>
      <c r="U576" s="13" t="s">
        <v>330</v>
      </c>
      <c r="V576" s="13">
        <v>18</v>
      </c>
      <c r="W576" s="44">
        <f>IF($AX576="Cancelled","",IFERROR(((V576+INDEX(Variables!$B$6:$D$6,IFERROR(MATCH(IF($B576="Robusta","Robusta",(IF($B576="","Arabica",$B576))&amp;" - "&amp;(IF($C576="","Commercial",$C576))),Variables!$B$1:$D$1,0),1)))*22.0462)*(L576/16.67),""))</f>
        <v>130684.90097180562</v>
      </c>
      <c r="X576" s="55" t="s">
        <v>37</v>
      </c>
      <c r="Y576" s="13" t="str">
        <f>IF($AX576="Cancelled","",IF(X576="","",IFERROR(IF(INDEX(Variables!$B$38:$B$47,MATCH(X576,Variables!$A$38:$A$47,0))="Yes","Yes","No"),"No")))</f>
        <v>Yes</v>
      </c>
      <c r="Z576" s="58">
        <v>46015</v>
      </c>
      <c r="AC576" s="13" t="str">
        <f t="shared" si="24"/>
        <v/>
      </c>
      <c r="AF576" s="71">
        <v>46048</v>
      </c>
      <c r="AG576" s="37">
        <f>IF($AX576="Cancelled","",IFERROR(IF(F576="","",F576-Variables!$B$13),""))</f>
        <v>46066</v>
      </c>
      <c r="AH576" s="13" t="str">
        <f>IF($AX576="Cancelled","",IFERROR(IF(AB576="","",(AVERAGE(E576:F576)-AB576)-Variables!$B$14),""))</f>
        <v/>
      </c>
      <c r="AJ576" s="47">
        <v>46063</v>
      </c>
      <c r="AK576" s="14">
        <f>IF($AX576="Cancelled","",IFERROR(IF(AJ576="","",IF(AND(AB576="",AF576=""),"",IF(AF576&gt;AB576,AF576+Variables!$B$15+Variables!$B$16+Variables!$B$17-AJ576,AB576+Variables!$B$16+Variables!$B$17-AJ576))),""))</f>
        <v>0</v>
      </c>
      <c r="AL576" s="48" t="s">
        <v>114</v>
      </c>
      <c r="AM576" s="13" t="s">
        <v>1616</v>
      </c>
      <c r="AN576" s="13" t="s">
        <v>1617</v>
      </c>
      <c r="AP576" s="31">
        <v>46076</v>
      </c>
      <c r="AR576" s="13" t="s">
        <v>1618</v>
      </c>
      <c r="AS576" s="31">
        <v>46076</v>
      </c>
      <c r="AU576" s="31">
        <v>46094</v>
      </c>
      <c r="AV576" s="13" t="s">
        <v>865</v>
      </c>
      <c r="AW576" s="31">
        <v>46094</v>
      </c>
      <c r="AX576" s="13" t="str">
        <f>IF(ISNUMBER(SEARCH("cancel",#REF!)),"Cancelled",IF(AND(AS576&lt;&gt;"",AU576&lt;&gt;"",AW576&lt;&gt;""),"Closed","Open"))</f>
        <v>Closed</v>
      </c>
      <c r="AY576" s="15" t="str">
        <f t="shared" si="25"/>
        <v>All dates received</v>
      </c>
      <c r="BD576" s="13">
        <f>IF($AX576="Cancelled","",IFERROR(IF(OR(AS576="",AJ576=""),"",(AJ576+Variables!$B$18-AS576)),""))</f>
        <v>2</v>
      </c>
      <c r="BE576" s="13">
        <f>IF($AX576="Cancelled","",IFERROR(IF(OR(AW576="",AS576=""),"",(AS576+Variables!$B$19)-AW576),""))</f>
        <v>-13</v>
      </c>
      <c r="BF576" s="44">
        <f>IF($AX576="Cancelled","",IFERROR(W576*INDEX(Variables!$B$7:$D$7,IFERROR(MATCH(IF($B576="Robusta","Robusta",(IF($B576="","Arabica",$B576))&amp;" - "&amp;(IF($C576="","Commercial",$C576))),Variables!$B$1:$D$1,0),1))*(BE576/365),""))</f>
        <v>-300.1343807637648</v>
      </c>
      <c r="BG576" s="44" t="str">
        <f>IF($AX576="Cancelled","",IFERROR((W576*INDEX(Variables!$B$7:$D$7,IFERROR(MATCH(IF($B576="Robusta","Robusta",(IF($B576="","Arabica",$B576))&amp;" - "&amp;(IF($C576="","Commercial",$C576))),Variables!$B$1:$D$1,0),1))*IFERROR(IF(AB576="","",(AVERAGE(E576:F576)-AB576)-Variables!$B$14),"")/365)+(L576/16.67*INDEX(Variables!$B$8:$D$8,IFERROR(MATCH(IF($B576="Robusta","Robusta",(IF($B576="","Arabica",$B576))&amp;" - "&amp;(IF($C576="","Commercial",$C576))),Variables!$B$1:$D$1,0),1))*IFERROR(IF(AB576="","",(AVERAGE(E576:F576)-AB576)-Variables!$B$14),""))+(W576*INDEX(Variables!$B$9:$D$9,IFERROR(MATCH(IF($B576="Robusta","Robusta",(IF($B576="","Arabica",$B576))&amp;" - "&amp;(IF($C576="","Commercial",$C576))),Variables!$B$1:$D$1,0),1))*IFERROR(IF(AB576="","",(AVERAGE(E576:F576)-AB576)-Variables!$B$14),"")/365),""))</f>
        <v/>
      </c>
      <c r="BH576" s="44">
        <f>IF($AX576="Cancelled","",IFERROR((W576*INDEX(Variables!$B$7:$D$7,IFERROR(MATCH(IF($B576="Robusta","Robusta",(IF($B576="","Arabica",$B576))&amp;" - "&amp;(IF($C576="","Commercial",$C576))),Variables!$B$1:$D$1,0),1))*AK576/365)+(L576/16.67*INDEX(Variables!$B$8:$D$8,IFERROR(MATCH(IF($B576="Robusta","Robusta",(IF($B576="","Arabica",$B576))&amp;" - "&amp;(IF($C576="","Commercial",$C576))),Variables!$B$1:$D$1,0),1))*AK576)+(W576*INDEX(Variables!$B$9:$D$9,IFERROR(MATCH(IF($B576="Robusta","Robusta",(IF($B576="","Arabica",$B576))&amp;" - "&amp;(IF($C576="","Commercial",$C576))),Variables!$B$1:$D$1,0),1))*AK576/365),""))</f>
        <v>0</v>
      </c>
      <c r="BI576" s="44">
        <f>IF($AX576="Cancelled","",IFERROR((W576*INDEX(Variables!$B$7:$D$7,IFERROR(MATCH(IF($B576="Robusta","Robusta",(IF($B576="","Arabica",$B576))&amp;" - "&amp;(IF($C576="","Commercial",$C576))),Variables!$B$1:$D$1,0),1))*BD576/365)+(L576/16.67*INDEX(Variables!$B$8:$D$8,IFERROR(MATCH(IF($B576="Robusta","Robusta",(IF($B576="","Arabica",$B576))&amp;" - "&amp;(IF($C576="","Commercial",$C576))),Variables!$B$1:$D$1,0),1))*BD576)+(W576*INDEX(Variables!$B$9:$D$9,IFERROR(MATCH(IF($B576="Robusta","Robusta",(IF($B576="","Arabica",$B576))&amp;" - "&amp;(IF($C576="","Commercial",$C576))),Variables!$B$1:$D$1,0),1))*BD576/365),""))</f>
        <v>78.769798792449478</v>
      </c>
      <c r="BJ576" s="44">
        <f t="shared" si="26"/>
        <v>5</v>
      </c>
      <c r="BK576" s="44">
        <f>IF($AX576="Cancelled","",IFERROR(IF(BJ576="","",(W576*INDEX(Variables!$B$7:$D$7,IFERROR(MATCH(IF($B576="Robusta","Robusta",(IF($B576="","Arabica",$B576))&amp;" - "&amp;(IF($C576="","Commercial",$C576))),Variables!$B$1:$D$1,0),1))*(BJ576/365))+(W576*INDEX(Variables!$B$9:$D$9,IFERROR(MATCH(IF($B576="Robusta","Robusta",(IF($B576="","Arabica",$B576))&amp;" - "&amp;(IF($C576="","Commercial",$C576))),Variables!$B$1:$D$1,0),1))*(BJ576/365))+(INDEX(Variables!$B$8:$D$8,IFERROR(MATCH(IF($B576="Robusta","Robusta",(IF($B576="","Arabica",$B576))&amp;" - "&amp;(IF($C576="","Commercial",$C576))),Variables!$B$1:$D$1,0),1))*L576/16.67)),""))</f>
        <v>132.92449698112364</v>
      </c>
    </row>
    <row r="577" spans="1:63">
      <c r="A577" s="13" t="s">
        <v>103</v>
      </c>
      <c r="B577" s="13" t="s">
        <v>104</v>
      </c>
      <c r="C577" s="13" t="s">
        <v>105</v>
      </c>
      <c r="D577" s="31">
        <v>46001</v>
      </c>
      <c r="E577" s="31">
        <v>45992</v>
      </c>
      <c r="F577" s="31">
        <v>46022</v>
      </c>
      <c r="G577" s="13">
        <v>3787032</v>
      </c>
      <c r="H577" s="13" t="s">
        <v>1619</v>
      </c>
      <c r="J577" s="13" t="s">
        <v>550</v>
      </c>
      <c r="K577" s="13">
        <v>5384</v>
      </c>
      <c r="L577" s="13">
        <v>320</v>
      </c>
      <c r="M577" s="13">
        <v>1</v>
      </c>
      <c r="N577" s="13" t="s">
        <v>1620</v>
      </c>
      <c r="O577" s="13" t="s">
        <v>261</v>
      </c>
      <c r="P577" s="13">
        <v>10060</v>
      </c>
      <c r="R577" s="13" t="s">
        <v>239</v>
      </c>
      <c r="S577" s="13" t="s">
        <v>553</v>
      </c>
      <c r="T577" s="13" t="s">
        <v>112</v>
      </c>
      <c r="U577" s="13" t="s">
        <v>113</v>
      </c>
      <c r="V577" s="13">
        <v>32</v>
      </c>
      <c r="W577" s="44">
        <f>IF($AX577="Cancelled","",IFERROR(((V577+INDEX(Variables!$B$6:$D$6,IFERROR(MATCH(IF($B577="Robusta","Robusta",(IF($B577="","Arabica",$B577))&amp;" - "&amp;(IF($C577="","Commercial",$C577))),Variables!$B$1:$D$1,0),1)))*22.0462)*(L577/16.67),""))</f>
        <v>136609.73456508698</v>
      </c>
      <c r="X577" s="55" t="s">
        <v>37</v>
      </c>
      <c r="Y577" s="13" t="str">
        <f>IF($AX577="Cancelled","",IF(X577="","",IFERROR(IF(INDEX(Variables!$B$38:$B$47,MATCH(X577,Variables!$A$38:$A$47,0))="Yes","Yes","No"),"No")))</f>
        <v>Yes</v>
      </c>
      <c r="Z577" s="58">
        <v>46010</v>
      </c>
      <c r="AB577" s="31">
        <v>45976.875</v>
      </c>
      <c r="AC577" s="13" t="str">
        <f t="shared" si="24"/>
        <v>Approved</v>
      </c>
      <c r="AF577" s="71">
        <f>AJ577-7</f>
        <v>46030</v>
      </c>
      <c r="AG577" s="37">
        <f>IF($AX577="Cancelled","",IFERROR(IF(F577="","",F577-Variables!$B$13),""))</f>
        <v>46007</v>
      </c>
      <c r="AH577" s="13">
        <f>IF($AX577="Cancelled","",IFERROR(IF(AB577="","",(AVERAGE(E577:F577)-AB577)-Variables!$B$14),""))</f>
        <v>0.125</v>
      </c>
      <c r="AJ577" s="47">
        <v>46037</v>
      </c>
      <c r="AK577" s="14">
        <f>IF($AX577="Cancelled","",IFERROR(IF(AJ577="","",IF(AND(AB577="",AF577=""),"",IF(AF577&gt;AB577,AF577+Variables!$B$15+Variables!$B$16+Variables!$B$17-AJ577,AB577+Variables!$B$16+Variables!$B$17-AJ577))),""))</f>
        <v>8</v>
      </c>
      <c r="AL577" s="48" t="s">
        <v>114</v>
      </c>
      <c r="AM577" s="13" t="s">
        <v>613</v>
      </c>
      <c r="AN577" s="13" t="s">
        <v>1621</v>
      </c>
      <c r="AP577" s="31">
        <v>46053</v>
      </c>
      <c r="AR577" s="13" t="s">
        <v>1622</v>
      </c>
      <c r="AS577" s="31">
        <v>46053</v>
      </c>
      <c r="AU577" s="31">
        <v>46059</v>
      </c>
      <c r="AV577" s="13" t="s">
        <v>865</v>
      </c>
      <c r="AW577" s="31">
        <v>46059</v>
      </c>
      <c r="AX577" s="13" t="str">
        <f>IF(ISNUMBER(SEARCH("cancel",#REF!)),"Cancelled",IF(AND(AS577&lt;&gt;"",AU577&lt;&gt;"",AW577&lt;&gt;""),"Closed","Open"))</f>
        <v>Closed</v>
      </c>
      <c r="AY577" s="15" t="str">
        <f t="shared" si="25"/>
        <v>All dates received</v>
      </c>
      <c r="BD577" s="13">
        <f>IF($AX577="Cancelled","",IFERROR(IF(OR(AS577="",AJ577=""),"",(AJ577+Variables!$B$18-AS577)),""))</f>
        <v>-1</v>
      </c>
      <c r="BE577" s="13">
        <f>IF($AX577="Cancelled","",IFERROR(IF(OR(AW577="",AS577=""),"",(AS577+Variables!$B$19)-AW577),""))</f>
        <v>-1</v>
      </c>
      <c r="BF577" s="44">
        <f>IF($AX577="Cancelled","",IFERROR(W577*INDEX(Variables!$B$7:$D$7,IFERROR(MATCH(IF($B577="Robusta","Robusta",(IF($B577="","Arabica",$B577))&amp;" - "&amp;(IF($C577="","Commercial",$C577))),Variables!$B$1:$D$1,0),1))*(BE577/365),""))</f>
        <v>-24.133962263487266</v>
      </c>
      <c r="BG577" s="44">
        <f>IF($AX577="Cancelled","",IFERROR((W577*INDEX(Variables!$B$7:$D$7,IFERROR(MATCH(IF($B577="Robusta","Robusta",(IF($B577="","Arabica",$B577))&amp;" - "&amp;(IF($C577="","Commercial",$C577))),Variables!$B$1:$D$1,0),1))*IFERROR(IF(AB577="","",(AVERAGE(E577:F577)-AB577)-Variables!$B$14),"")/365)+(L577/16.67*INDEX(Variables!$B$8:$D$8,IFERROR(MATCH(IF($B577="Robusta","Robusta",(IF($B577="","Arabica",$B577))&amp;" - "&amp;(IF($C577="","Commercial",$C577))),Variables!$B$1:$D$1,0),1))*IFERROR(IF(AB577="","",(AVERAGE(E577:F577)-AB577)-Variables!$B$14),""))+(W577*INDEX(Variables!$B$9:$D$9,IFERROR(MATCH(IF($B577="Robusta","Robusta",(IF($B577="","Arabica",$B577))&amp;" - "&amp;(IF($C577="","Commercial",$C577))),Variables!$B$1:$D$1,0),1))*IFERROR(IF(AB577="","",(AVERAGE(E577:F577)-AB577)-Variables!$B$14),"")/365),""))</f>
        <v>5.0556369515468518</v>
      </c>
      <c r="BH577" s="44">
        <f>IF($AX577="Cancelled","",IFERROR((W577*INDEX(Variables!$B$7:$D$7,IFERROR(MATCH(IF($B577="Robusta","Robusta",(IF($B577="","Arabica",$B577))&amp;" - "&amp;(IF($C577="","Commercial",$C577))),Variables!$B$1:$D$1,0),1))*AK577/365)+(L577/16.67*INDEX(Variables!$B$8:$D$8,IFERROR(MATCH(IF($B577="Robusta","Robusta",(IF($B577="","Arabica",$B577))&amp;" - "&amp;(IF($C577="","Commercial",$C577))),Variables!$B$1:$D$1,0),1))*AK577)+(W577*INDEX(Variables!$B$9:$D$9,IFERROR(MATCH(IF($B577="Robusta","Robusta",(IF($B577="","Arabica",$B577))&amp;" - "&amp;(IF($C577="","Commercial",$C577))),Variables!$B$1:$D$1,0),1))*AK577/365),""))</f>
        <v>323.56076489899851</v>
      </c>
      <c r="BI577" s="44">
        <f>IF($AX577="Cancelled","",IFERROR((W577*INDEX(Variables!$B$7:$D$7,IFERROR(MATCH(IF($B577="Robusta","Robusta",(IF($B577="","Arabica",$B577))&amp;" - "&amp;(IF($C577="","Commercial",$C577))),Variables!$B$1:$D$1,0),1))*BD577/365)+(L577/16.67*INDEX(Variables!$B$8:$D$8,IFERROR(MATCH(IF($B577="Robusta","Robusta",(IF($B577="","Arabica",$B577))&amp;" - "&amp;(IF($C577="","Commercial",$C577))),Variables!$B$1:$D$1,0),1))*BD577)+(W577*INDEX(Variables!$B$9:$D$9,IFERROR(MATCH(IF($B577="Robusta","Robusta",(IF($B577="","Arabica",$B577))&amp;" - "&amp;(IF($C577="","Commercial",$C577))),Variables!$B$1:$D$1,0),1))*BD577/365),""))</f>
        <v>-40.445095612374814</v>
      </c>
      <c r="BJ577" s="44">
        <f t="shared" si="26"/>
        <v>-31</v>
      </c>
      <c r="BK577" s="44">
        <f>IF($AX577="Cancelled","",IFERROR(IF(BJ577="","",(W577*INDEX(Variables!$B$7:$D$7,IFERROR(MATCH(IF($B577="Robusta","Robusta",(IF($B577="","Arabica",$B577))&amp;" - "&amp;(IF($C577="","Commercial",$C577))),Variables!$B$1:$D$1,0),1))*(BJ577/365))+(W577*INDEX(Variables!$B$9:$D$9,IFERROR(MATCH(IF($B577="Robusta","Robusta",(IF($B577="","Arabica",$B577))&amp;" - "&amp;(IF($C577="","Commercial",$C577))),Variables!$B$1:$D$1,0),1))*(BJ577/365))+(INDEX(Variables!$B$8:$D$8,IFERROR(MATCH(IF($B577="Robusta","Robusta",(IF($B577="","Arabica",$B577))&amp;" - "&amp;(IF($C577="","Commercial",$C577))),Variables!$B$1:$D$1,0),1))*L577/16.67)),""))</f>
        <v>-741.7979639836193</v>
      </c>
    </row>
    <row r="578" spans="1:63">
      <c r="A578" s="13" t="s">
        <v>103</v>
      </c>
      <c r="B578" s="13" t="s">
        <v>104</v>
      </c>
      <c r="C578" s="13" t="s">
        <v>105</v>
      </c>
      <c r="D578" s="31">
        <v>45993</v>
      </c>
      <c r="E578" s="31">
        <v>45992</v>
      </c>
      <c r="F578" s="31">
        <v>46053</v>
      </c>
      <c r="G578" s="13">
        <v>3787033</v>
      </c>
      <c r="J578" s="13" t="s">
        <v>260</v>
      </c>
      <c r="L578" s="13">
        <v>320</v>
      </c>
      <c r="M578" s="13">
        <v>1</v>
      </c>
      <c r="N578" s="13" t="s">
        <v>1623</v>
      </c>
      <c r="O578" s="13" t="s">
        <v>1037</v>
      </c>
      <c r="P578" s="13">
        <v>37030</v>
      </c>
      <c r="Q578" s="13" t="s">
        <v>121</v>
      </c>
      <c r="R578" s="13" t="s">
        <v>110</v>
      </c>
      <c r="S578" s="13" t="s">
        <v>406</v>
      </c>
      <c r="T578" s="13" t="s">
        <v>263</v>
      </c>
      <c r="U578" s="13" t="s">
        <v>125</v>
      </c>
      <c r="V578" s="13">
        <v>13.5</v>
      </c>
      <c r="W578" s="44">
        <f>IF($AX578="Cancelled","",IFERROR(((V578+INDEX(Variables!$B$6:$D$6,IFERROR(MATCH(IF($B578="Robusta","Robusta",(IF($B578="","Arabica",$B578))&amp;" - "&amp;(IF($C578="","Commercial",$C578))),Variables!$B$1:$D$1,0),1)))*22.0462)*(L578/16.67),""))</f>
        <v>128780.4901739652</v>
      </c>
      <c r="X578" s="55" t="s">
        <v>37</v>
      </c>
      <c r="Y578" s="13" t="str">
        <f>IF($AX578="Cancelled","",IF(X578="","",IFERROR(IF(INDEX(Variables!$B$38:$B$47,MATCH(X578,Variables!$A$38:$A$47,0))="Yes","Yes","No"),"No")))</f>
        <v>Yes</v>
      </c>
      <c r="Z578" s="58">
        <v>46014</v>
      </c>
      <c r="AC578" s="13" t="str">
        <f t="shared" ref="AC578:AC641" si="27">IF($AX578="Cancelled","",IF(ISNUMBER(AB578),"Approved",""))</f>
        <v/>
      </c>
      <c r="AF578" s="71"/>
      <c r="AG578" s="37">
        <f>IF($AX578="Cancelled","",IFERROR(IF(F578="","",F578-Variables!$B$13),""))</f>
        <v>46038</v>
      </c>
      <c r="AH578" s="13" t="str">
        <f>IF($AX578="Cancelled","",IFERROR(IF(AB578="","",(AVERAGE(E578:F578)-AB578)-Variables!$B$14),""))</f>
        <v/>
      </c>
      <c r="AK578" s="14" t="str">
        <f>IF($AX578="Cancelled","",IFERROR(IF(AJ578="","",IF(AND(AB578="",AF578=""),"",IF(AF578&gt;AB578,AF578+Variables!$B$15+Variables!$B$16+Variables!$B$17-AJ578,AB578+Variables!$B$16+Variables!$B$17-AJ578))),""))</f>
        <v/>
      </c>
      <c r="AL578" s="48" t="s">
        <v>114</v>
      </c>
      <c r="AM578" s="13" t="s">
        <v>168</v>
      </c>
      <c r="AN578" s="13" t="s">
        <v>1624</v>
      </c>
      <c r="AR578" s="13" t="s">
        <v>1625</v>
      </c>
      <c r="AS578" s="31">
        <v>46069</v>
      </c>
      <c r="AU578" s="31">
        <v>46075</v>
      </c>
      <c r="AV578" s="13" t="s">
        <v>1626</v>
      </c>
      <c r="AW578" s="31">
        <v>46075</v>
      </c>
      <c r="AX578" s="13" t="str">
        <f>IF(ISNUMBER(SEARCH("cancel",#REF!)),"Cancelled",IF(AND(AS578&lt;&gt;"",AU578&lt;&gt;"",AW578&lt;&gt;""),"Closed","Open"))</f>
        <v>Closed</v>
      </c>
      <c r="AY578" s="15" t="str">
        <f t="shared" ref="AY578:AY639" si="28">IF($AX578="Cancelled","",IF(AND(AS578&lt;&gt;"",AU578&lt;&gt;"",AW578&lt;&gt;""),"All dates received",_xlfn.TEXTJOIN(" and ",TRUE(),IF(AS578="","No sailing date",""),IF(AU578="","No shipping advice sent",""),IF(AW578="","No docs dispatch date",""))))</f>
        <v>All dates received</v>
      </c>
      <c r="BD578" s="13" t="str">
        <f>IF($AX578="Cancelled","",IFERROR(IF(OR(AS578="",AJ578=""),"",(AJ578+Variables!$B$18-AS578)),""))</f>
        <v/>
      </c>
      <c r="BE578" s="13">
        <f>IF($AX578="Cancelled","",IFERROR(IF(OR(AW578="",AS578=""),"",(AS578+Variables!$B$19)-AW578),""))</f>
        <v>-1</v>
      </c>
      <c r="BF578" s="44">
        <f>IF($AX578="Cancelled","",IFERROR(W578*INDEX(Variables!$B$7:$D$7,IFERROR(MATCH(IF($B578="Robusta","Robusta",(IF($B578="","Arabica",$B578))&amp;" - "&amp;(IF($C578="","Commercial",$C578))),Variables!$B$1:$D$1,0),1))*(BE578/365),""))</f>
        <v>-22.75082006437167</v>
      </c>
      <c r="BG578" s="44" t="str">
        <f>IF($AX578="Cancelled","",IFERROR((W578*INDEX(Variables!$B$7:$D$7,IFERROR(MATCH(IF($B578="Robusta","Robusta",(IF($B578="","Arabica",$B578))&amp;" - "&amp;(IF($C578="","Commercial",$C578))),Variables!$B$1:$D$1,0),1))*IFERROR(IF(AB578="","",(AVERAGE(E578:F578)-AB578)-Variables!$B$14),"")/365)+(L578/16.67*INDEX(Variables!$B$8:$D$8,IFERROR(MATCH(IF($B578="Robusta","Robusta",(IF($B578="","Arabica",$B578))&amp;" - "&amp;(IF($C578="","Commercial",$C578))),Variables!$B$1:$D$1,0),1))*IFERROR(IF(AB578="","",(AVERAGE(E578:F578)-AB578)-Variables!$B$14),""))+(W578*INDEX(Variables!$B$9:$D$9,IFERROR(MATCH(IF($B578="Robusta","Robusta",(IF($B578="","Arabica",$B578))&amp;" - "&amp;(IF($C578="","Commercial",$C578))),Variables!$B$1:$D$1,0),1))*IFERROR(IF(AB578="","",(AVERAGE(E578:F578)-AB578)-Variables!$B$14),"")/365),""))</f>
        <v/>
      </c>
      <c r="BH578" s="44" t="str">
        <f>IF($AX578="Cancelled","",IFERROR((W578*INDEX(Variables!$B$7:$D$7,IFERROR(MATCH(IF($B578="Robusta","Robusta",(IF($B578="","Arabica",$B578))&amp;" - "&amp;(IF($C578="","Commercial",$C578))),Variables!$B$1:$D$1,0),1))*AK578/365)+(L578/16.67*INDEX(Variables!$B$8:$D$8,IFERROR(MATCH(IF($B578="Robusta","Robusta",(IF($B578="","Arabica",$B578))&amp;" - "&amp;(IF($C578="","Commercial",$C578))),Variables!$B$1:$D$1,0),1))*AK578)+(W578*INDEX(Variables!$B$9:$D$9,IFERROR(MATCH(IF($B578="Robusta","Robusta",(IF($B578="","Arabica",$B578))&amp;" - "&amp;(IF($C578="","Commercial",$C578))),Variables!$B$1:$D$1,0),1))*AK578/365),""))</f>
        <v/>
      </c>
      <c r="BI578" s="44" t="str">
        <f>IF($AX578="Cancelled","",IFERROR((W578*INDEX(Variables!$B$7:$D$7,IFERROR(MATCH(IF($B578="Robusta","Robusta",(IF($B578="","Arabica",$B578))&amp;" - "&amp;(IF($C578="","Commercial",$C578))),Variables!$B$1:$D$1,0),1))*BD578/365)+(L578/16.67*INDEX(Variables!$B$8:$D$8,IFERROR(MATCH(IF($B578="Robusta","Robusta",(IF($B578="","Arabica",$B578))&amp;" - "&amp;(IF($C578="","Commercial",$C578))),Variables!$B$1:$D$1,0),1))*BD578)+(W578*INDEX(Variables!$B$9:$D$9,IFERROR(MATCH(IF($B578="Robusta","Robusta",(IF($B578="","Arabica",$B578))&amp;" - "&amp;(IF($C578="","Commercial",$C578))),Variables!$B$1:$D$1,0),1))*BD578/365),""))</f>
        <v/>
      </c>
      <c r="BJ578" s="44">
        <f t="shared" ref="BJ578:BJ641" si="29">IF($AX578="Cancelled","",IFERROR(IF(AS578="","",F578-AS578),""))</f>
        <v>-16</v>
      </c>
      <c r="BK578" s="44">
        <f>IF($AX578="Cancelled","",IFERROR(IF(BJ578="","",(W578*INDEX(Variables!$B$7:$D$7,IFERROR(MATCH(IF($B578="Robusta","Robusta",(IF($B578="","Arabica",$B578))&amp;" - "&amp;(IF($C578="","Commercial",$C578))),Variables!$B$1:$D$1,0),1))*(BJ578/365))+(W578*INDEX(Variables!$B$9:$D$9,IFERROR(MATCH(IF($B578="Robusta","Robusta",(IF($B578="","Arabica",$B578))&amp;" - "&amp;(IF($C578="","Commercial",$C578))),Variables!$B$1:$D$1,0),1))*(BJ578/365))+(INDEX(Variables!$B$8:$D$8,IFERROR(MATCH(IF($B578="Robusta","Robusta",(IF($B578="","Arabica",$B578))&amp;" - "&amp;(IF($C578="","Commercial",$C578))),Variables!$B$1:$D$1,0),1))*L578/16.67)),""))</f>
        <v>-352.70595265653816</v>
      </c>
    </row>
    <row r="579" spans="1:63">
      <c r="A579" s="13" t="s">
        <v>103</v>
      </c>
      <c r="B579" s="13" t="s">
        <v>104</v>
      </c>
      <c r="C579" s="13" t="s">
        <v>105</v>
      </c>
      <c r="D579" s="31">
        <v>45993</v>
      </c>
      <c r="E579" s="31">
        <v>46054</v>
      </c>
      <c r="F579" s="31">
        <v>46081</v>
      </c>
      <c r="G579" s="13">
        <v>3787034</v>
      </c>
      <c r="J579" s="13" t="s">
        <v>260</v>
      </c>
      <c r="L579" s="13">
        <v>320</v>
      </c>
      <c r="M579" s="13">
        <v>1</v>
      </c>
      <c r="N579" s="13" t="s">
        <v>1623</v>
      </c>
      <c r="O579" s="13" t="s">
        <v>1037</v>
      </c>
      <c r="P579" s="13">
        <v>37030</v>
      </c>
      <c r="Q579" s="13" t="s">
        <v>121</v>
      </c>
      <c r="R579" s="13" t="s">
        <v>110</v>
      </c>
      <c r="S579" s="13" t="s">
        <v>406</v>
      </c>
      <c r="T579" s="13" t="s">
        <v>263</v>
      </c>
      <c r="U579" s="13" t="s">
        <v>125</v>
      </c>
      <c r="V579" s="13">
        <v>13.5</v>
      </c>
      <c r="W579" s="44">
        <f>IF($AX579="Cancelled","",IFERROR(((V579+INDEX(Variables!$B$6:$D$6,IFERROR(MATCH(IF($B579="Robusta","Robusta",(IF($B579="","Arabica",$B579))&amp;" - "&amp;(IF($C579="","Commercial",$C579))),Variables!$B$1:$D$1,0),1)))*22.0462)*(L579/16.67),""))</f>
        <v>128780.4901739652</v>
      </c>
      <c r="X579" s="55" t="s">
        <v>37</v>
      </c>
      <c r="Y579" s="13" t="str">
        <f>IF($AX579="Cancelled","",IF(X579="","",IFERROR(IF(INDEX(Variables!$B$38:$B$47,MATCH(X579,Variables!$A$38:$A$47,0))="Yes","Yes","No"),"No")))</f>
        <v>Yes</v>
      </c>
      <c r="Z579" s="58">
        <v>46045</v>
      </c>
      <c r="AB579" s="31">
        <v>46057</v>
      </c>
      <c r="AC579" s="13" t="str">
        <f t="shared" si="27"/>
        <v>Approved</v>
      </c>
      <c r="AF579" s="71"/>
      <c r="AG579" s="37">
        <f>IF($AX579="Cancelled","",IFERROR(IF(F579="","",F579-Variables!$B$13),""))</f>
        <v>46066</v>
      </c>
      <c r="AH579" s="13">
        <f>IF($AX579="Cancelled","",IFERROR(IF(AB579="","",(AVERAGE(E579:F579)-AB579)-Variables!$B$14),""))</f>
        <v>-19.5</v>
      </c>
      <c r="AJ579" s="47">
        <v>46078</v>
      </c>
      <c r="AK579" s="14">
        <f>IF($AX579="Cancelled","",IFERROR(IF(AJ579="","",IF(AND(AB579="",AF579=""),"",IF(AF579&gt;AB579,AF579+Variables!$B$15+Variables!$B$16+Variables!$B$17-AJ579,AB579+Variables!$B$16+Variables!$B$17-AJ579))),""))</f>
        <v>-13</v>
      </c>
      <c r="AL579" s="48" t="s">
        <v>114</v>
      </c>
      <c r="AM579" s="13" t="s">
        <v>168</v>
      </c>
      <c r="AN579" s="13" t="s">
        <v>1627</v>
      </c>
      <c r="AP579" s="31">
        <v>46112</v>
      </c>
      <c r="AR579" s="13" t="s">
        <v>1628</v>
      </c>
      <c r="AS579" s="31">
        <v>46112</v>
      </c>
      <c r="AU579" s="31">
        <v>46129</v>
      </c>
      <c r="AV579" s="13" t="s">
        <v>865</v>
      </c>
      <c r="AW579" s="31">
        <v>46132</v>
      </c>
      <c r="AX579" s="13" t="str">
        <f>IF(ISNUMBER(SEARCH("cancel",#REF!)),"Cancelled",IF(AND(AS579&lt;&gt;"",AU579&lt;&gt;"",AW579&lt;&gt;""),"Closed","Open"))</f>
        <v>Closed</v>
      </c>
      <c r="AY579" s="15" t="str">
        <f t="shared" si="28"/>
        <v>All dates received</v>
      </c>
      <c r="BD579" s="13">
        <f>IF($AX579="Cancelled","",IFERROR(IF(OR(AS579="",AJ579=""),"",(AJ579+Variables!$B$18-AS579)),""))</f>
        <v>-19</v>
      </c>
      <c r="BE579" s="13">
        <f>IF($AX579="Cancelled","",IFERROR(IF(OR(AW579="",AS579=""),"",(AS579+Variables!$B$19)-AW579),""))</f>
        <v>-15</v>
      </c>
      <c r="BF579" s="44">
        <f>IF($AX579="Cancelled","",IFERROR(W579*INDEX(Variables!$B$7:$D$7,IFERROR(MATCH(IF($B579="Robusta","Robusta",(IF($B579="","Arabica",$B579))&amp;" - "&amp;(IF($C579="","Commercial",$C579))),Variables!$B$1:$D$1,0),1))*(BE579/365),""))</f>
        <v>-341.26230096557504</v>
      </c>
      <c r="BG579" s="44">
        <f>IF($AX579="Cancelled","",IFERROR((W579*INDEX(Variables!$B$7:$D$7,IFERROR(MATCH(IF($B579="Robusta","Robusta",(IF($B579="","Arabica",$B579))&amp;" - "&amp;(IF($C579="","Commercial",$C579))),Variables!$B$1:$D$1,0),1))*IFERROR(IF(AB579="","",(AVERAGE(E579:F579)-AB579)-Variables!$B$14),"")/365)+(L579/16.67*INDEX(Variables!$B$8:$D$8,IFERROR(MATCH(IF($B579="Robusta","Robusta",(IF($B579="","Arabica",$B579))&amp;" - "&amp;(IF($C579="","Commercial",$C579))),Variables!$B$1:$D$1,0),1))*IFERROR(IF(AB579="","",(AVERAGE(E579:F579)-AB579)-Variables!$B$14),""))+(W579*INDEX(Variables!$B$9:$D$9,IFERROR(MATCH(IF($B579="Robusta","Robusta",(IF($B579="","Arabica",$B579))&amp;" - "&amp;(IF($C579="","Commercial",$C579))),Variables!$B$1:$D$1,0),1))*IFERROR(IF(AB579="","",(AVERAGE(E579:F579)-AB579)-Variables!$B$14),"")/365),""))</f>
        <v>-761.3603798001559</v>
      </c>
      <c r="BH579" s="44">
        <f>IF($AX579="Cancelled","",IFERROR((W579*INDEX(Variables!$B$7:$D$7,IFERROR(MATCH(IF($B579="Robusta","Robusta",(IF($B579="","Arabica",$B579))&amp;" - "&amp;(IF($C579="","Commercial",$C579))),Variables!$B$1:$D$1,0),1))*AK579/365)+(L579/16.67*INDEX(Variables!$B$8:$D$8,IFERROR(MATCH(IF($B579="Robusta","Robusta",(IF($B579="","Arabica",$B579))&amp;" - "&amp;(IF($C579="","Commercial",$C579))),Variables!$B$1:$D$1,0),1))*AK579)+(W579*INDEX(Variables!$B$9:$D$9,IFERROR(MATCH(IF($B579="Robusta","Robusta",(IF($B579="","Arabica",$B579))&amp;" - "&amp;(IF($C579="","Commercial",$C579))),Variables!$B$1:$D$1,0),1))*AK579/365),""))</f>
        <v>-507.57358653343721</v>
      </c>
      <c r="BI579" s="44">
        <f>IF($AX579="Cancelled","",IFERROR((W579*INDEX(Variables!$B$7:$D$7,IFERROR(MATCH(IF($B579="Robusta","Robusta",(IF($B579="","Arabica",$B579))&amp;" - "&amp;(IF($C579="","Commercial",$C579))),Variables!$B$1:$D$1,0),1))*BD579/365)+(L579/16.67*INDEX(Variables!$B$8:$D$8,IFERROR(MATCH(IF($B579="Robusta","Robusta",(IF($B579="","Arabica",$B579))&amp;" - "&amp;(IF($C579="","Commercial",$C579))),Variables!$B$1:$D$1,0),1))*BD579)+(W579*INDEX(Variables!$B$9:$D$9,IFERROR(MATCH(IF($B579="Robusta","Robusta",(IF($B579="","Arabica",$B579))&amp;" - "&amp;(IF($C579="","Commercial",$C579))),Variables!$B$1:$D$1,0),1))*BD579/365),""))</f>
        <v>-741.83831877963905</v>
      </c>
      <c r="BJ579" s="44">
        <f t="shared" si="29"/>
        <v>-31</v>
      </c>
      <c r="BK579" s="44">
        <f>IF($AX579="Cancelled","",IFERROR(IF(BJ579="","",(W579*INDEX(Variables!$B$7:$D$7,IFERROR(MATCH(IF($B579="Robusta","Robusta",(IF($B579="","Arabica",$B579))&amp;" - "&amp;(IF($C579="","Commercial",$C579))),Variables!$B$1:$D$1,0),1))*(BJ579/365))+(W579*INDEX(Variables!$B$9:$D$9,IFERROR(MATCH(IF($B579="Robusta","Robusta",(IF($B579="","Arabica",$B579))&amp;" - "&amp;(IF($C579="","Commercial",$C579))),Variables!$B$1:$D$1,0),1))*(BJ579/365))+(INDEX(Variables!$B$8:$D$8,IFERROR(MATCH(IF($B579="Robusta","Robusta",(IF($B579="","Arabica",$B579))&amp;" - "&amp;(IF($C579="","Commercial",$C579))),Variables!$B$1:$D$1,0),1))*L579/16.67)),""))</f>
        <v>-698.36778327204263</v>
      </c>
    </row>
    <row r="580" spans="1:63">
      <c r="A580" s="13" t="s">
        <v>103</v>
      </c>
      <c r="B580" s="13" t="s">
        <v>104</v>
      </c>
      <c r="C580" s="13" t="s">
        <v>105</v>
      </c>
      <c r="D580" s="31">
        <v>45970</v>
      </c>
      <c r="E580" s="31">
        <v>46082</v>
      </c>
      <c r="F580" s="31">
        <v>46112</v>
      </c>
      <c r="G580" s="13">
        <v>3787035</v>
      </c>
      <c r="H580" s="13" t="s">
        <v>1629</v>
      </c>
      <c r="J580" s="13" t="s">
        <v>118</v>
      </c>
      <c r="K580" s="13" t="s">
        <v>1629</v>
      </c>
      <c r="L580" s="13">
        <v>334</v>
      </c>
      <c r="M580" s="13">
        <v>1</v>
      </c>
      <c r="N580" s="13" t="s">
        <v>1602</v>
      </c>
      <c r="O580" s="13" t="s">
        <v>269</v>
      </c>
      <c r="P580" s="13">
        <v>10310</v>
      </c>
      <c r="Q580" s="59" t="s">
        <v>270</v>
      </c>
      <c r="R580" s="13" t="s">
        <v>271</v>
      </c>
      <c r="S580" s="13" t="s">
        <v>276</v>
      </c>
      <c r="T580" s="13" t="s">
        <v>112</v>
      </c>
      <c r="U580" s="13" t="s">
        <v>113</v>
      </c>
      <c r="V580" s="13">
        <v>53.5</v>
      </c>
      <c r="W580" s="44">
        <f>IF($AX580="Cancelled","",IFERROR(((V580+INDEX(Variables!$B$6:$D$6,IFERROR(MATCH(IF($B580="Robusta","Robusta",(IF($B580="","Arabica",$B580))&amp;" - "&amp;(IF($C580="","Commercial",$C580))),Variables!$B$1:$D$1,0),1)))*22.0462)*(L580/16.67),""))</f>
        <v>152083.33679904017</v>
      </c>
      <c r="X580" s="55" t="s">
        <v>37</v>
      </c>
      <c r="Y580" s="13" t="str">
        <f>IF($AX580="Cancelled","",IF(X580="","",IFERROR(IF(INDEX(Variables!$B$38:$B$47,MATCH(X580,Variables!$A$38:$A$47,0))="Yes","Yes","No"),"No")))</f>
        <v>Yes</v>
      </c>
      <c r="Z580" s="58">
        <v>46052</v>
      </c>
      <c r="AB580" s="31">
        <v>46059</v>
      </c>
      <c r="AC580" s="13" t="str">
        <f t="shared" si="27"/>
        <v>Approved</v>
      </c>
      <c r="AF580" s="71">
        <v>46076</v>
      </c>
      <c r="AG580" s="37">
        <f>IF($AX580="Cancelled","",IFERROR(IF(F580="","",F580-Variables!$B$13),""))</f>
        <v>46097</v>
      </c>
      <c r="AH580" s="13">
        <f>IF($AX580="Cancelled","",IFERROR(IF(AB580="","",(AVERAGE(E580:F580)-AB580)-Variables!$B$14),""))</f>
        <v>8</v>
      </c>
      <c r="AJ580" s="47">
        <v>46079</v>
      </c>
      <c r="AK580" s="14">
        <f>IF($AX580="Cancelled","",IFERROR(IF(AJ580="","",IF(AND(AB580="",AF580=""),"",IF(AF580&gt;AB580,AF580+Variables!$B$15+Variables!$B$16+Variables!$B$17-AJ580,AB580+Variables!$B$16+Variables!$B$17-AJ580))),""))</f>
        <v>12</v>
      </c>
      <c r="AL580" s="48" t="s">
        <v>114</v>
      </c>
      <c r="AM580" s="13" t="s">
        <v>115</v>
      </c>
      <c r="AN580" s="13" t="s">
        <v>1630</v>
      </c>
      <c r="AP580" s="31">
        <v>46089</v>
      </c>
      <c r="AR580" s="13">
        <v>266531389</v>
      </c>
      <c r="AS580" s="31" t="s">
        <v>1631</v>
      </c>
      <c r="AU580" s="31">
        <v>46112</v>
      </c>
      <c r="AV580" s="13" t="s">
        <v>865</v>
      </c>
      <c r="AW580" s="31">
        <v>46128</v>
      </c>
      <c r="AX580" s="13" t="str">
        <f>IF(ISNUMBER(SEARCH("cancel",#REF!)),"Cancelled",IF(AND(AS580&lt;&gt;"",AU580&lt;&gt;"",AW580&lt;&gt;""),"Closed","Open"))</f>
        <v>Closed</v>
      </c>
      <c r="AY580" s="15" t="str">
        <f t="shared" si="28"/>
        <v>All dates received</v>
      </c>
      <c r="BD580" s="13" t="str">
        <f>IF($AX580="Cancelled","",IFERROR(IF(OR(AS580="",AJ580=""),"",(AJ580+Variables!$B$18-AS580)),""))</f>
        <v/>
      </c>
      <c r="BE580" s="13" t="str">
        <f>IF($AX580="Cancelled","",IFERROR(IF(OR(AW580="",AS580=""),"",(AS580+Variables!$B$19)-AW580),""))</f>
        <v/>
      </c>
      <c r="BF580" s="44" t="str">
        <f>IF($AX580="Cancelled","",IFERROR(W580*INDEX(Variables!$B$7:$D$7,IFERROR(MATCH(IF($B580="Robusta","Robusta",(IF($B580="","Arabica",$B580))&amp;" - "&amp;(IF($C580="","Commercial",$C580))),Variables!$B$1:$D$1,0),1))*(BE580/365),""))</f>
        <v/>
      </c>
      <c r="BG580" s="44">
        <f>IF($AX580="Cancelled","",IFERROR((W580*INDEX(Variables!$B$7:$D$7,IFERROR(MATCH(IF($B580="Robusta","Robusta",(IF($B580="","Arabica",$B580))&amp;" - "&amp;(IF($C580="","Commercial",$C580))),Variables!$B$1:$D$1,0),1))*IFERROR(IF(AB580="","",(AVERAGE(E580:F580)-AB580)-Variables!$B$14),"")/365)+(L580/16.67*INDEX(Variables!$B$8:$D$8,IFERROR(MATCH(IF($B580="Robusta","Robusta",(IF($B580="","Arabica",$B580))&amp;" - "&amp;(IF($C580="","Commercial",$C580))),Variables!$B$1:$D$1,0),1))*IFERROR(IF(AB580="","",(AVERAGE(E580:F580)-AB580)-Variables!$B$14),""))+(W580*INDEX(Variables!$B$9:$D$9,IFERROR(MATCH(IF($B580="Robusta","Robusta",(IF($B580="","Arabica",$B580))&amp;" - "&amp;(IF($C580="","Commercial",$C580))),Variables!$B$1:$D$1,0),1))*IFERROR(IF(AB580="","",(AVERAGE(E580:F580)-AB580)-Variables!$B$14),"")/365),""))</f>
        <v>351.3116716279257</v>
      </c>
      <c r="BH580" s="44">
        <f>IF($AX580="Cancelled","",IFERROR((W580*INDEX(Variables!$B$7:$D$7,IFERROR(MATCH(IF($B580="Robusta","Robusta",(IF($B580="","Arabica",$B580))&amp;" - "&amp;(IF($C580="","Commercial",$C580))),Variables!$B$1:$D$1,0),1))*AK580/365)+(L580/16.67*INDEX(Variables!$B$8:$D$8,IFERROR(MATCH(IF($B580="Robusta","Robusta",(IF($B580="","Arabica",$B580))&amp;" - "&amp;(IF($C580="","Commercial",$C580))),Variables!$B$1:$D$1,0),1))*AK580)+(W580*INDEX(Variables!$B$9:$D$9,IFERROR(MATCH(IF($B580="Robusta","Robusta",(IF($B580="","Arabica",$B580))&amp;" - "&amp;(IF($C580="","Commercial",$C580))),Variables!$B$1:$D$1,0),1))*AK580/365),""))</f>
        <v>526.96750744188853</v>
      </c>
      <c r="BI580" s="44" t="str">
        <f>IF($AX580="Cancelled","",IFERROR((W580*INDEX(Variables!$B$7:$D$7,IFERROR(MATCH(IF($B580="Robusta","Robusta",(IF($B580="","Arabica",$B580))&amp;" - "&amp;(IF($C580="","Commercial",$C580))),Variables!$B$1:$D$1,0),1))*BD580/365)+(L580/16.67*INDEX(Variables!$B$8:$D$8,IFERROR(MATCH(IF($B580="Robusta","Robusta",(IF($B580="","Arabica",$B580))&amp;" - "&amp;(IF($C580="","Commercial",$C580))),Variables!$B$1:$D$1,0),1))*BD580)+(W580*INDEX(Variables!$B$9:$D$9,IFERROR(MATCH(IF($B580="Robusta","Robusta",(IF($B580="","Arabica",$B580))&amp;" - "&amp;(IF($C580="","Commercial",$C580))),Variables!$B$1:$D$1,0),1))*BD580/365),""))</f>
        <v/>
      </c>
      <c r="BJ580" s="44" t="str">
        <f t="shared" si="29"/>
        <v/>
      </c>
      <c r="BK580" s="44" t="str">
        <f>IF($AX580="Cancelled","",IFERROR(IF(BJ580="","",(W580*INDEX(Variables!$B$7:$D$7,IFERROR(MATCH(IF($B580="Robusta","Robusta",(IF($B580="","Arabica",$B580))&amp;" - "&amp;(IF($C580="","Commercial",$C580))),Variables!$B$1:$D$1,0),1))*(BJ580/365))+(W580*INDEX(Variables!$B$9:$D$9,IFERROR(MATCH(IF($B580="Robusta","Robusta",(IF($B580="","Arabica",$B580))&amp;" - "&amp;(IF($C580="","Commercial",$C580))),Variables!$B$1:$D$1,0),1))*(BJ580/365))+(INDEX(Variables!$B$8:$D$8,IFERROR(MATCH(IF($B580="Robusta","Robusta",(IF($B580="","Arabica",$B580))&amp;" - "&amp;(IF($C580="","Commercial",$C580))),Variables!$B$1:$D$1,0),1))*L580/16.67)),""))</f>
        <v/>
      </c>
    </row>
    <row r="581" spans="1:63">
      <c r="A581" s="13" t="s">
        <v>103</v>
      </c>
      <c r="B581" s="13" t="s">
        <v>104</v>
      </c>
      <c r="C581" s="13" t="s">
        <v>105</v>
      </c>
      <c r="D581" s="31">
        <v>46000</v>
      </c>
      <c r="E581" s="31">
        <v>46082</v>
      </c>
      <c r="F581" s="31">
        <v>46112</v>
      </c>
      <c r="G581" s="13">
        <v>3787035</v>
      </c>
      <c r="H581" s="13" t="s">
        <v>1632</v>
      </c>
      <c r="J581" s="13" t="s">
        <v>118</v>
      </c>
      <c r="K581" s="13" t="s">
        <v>1632</v>
      </c>
      <c r="L581" s="13">
        <v>334</v>
      </c>
      <c r="M581" s="13">
        <v>1</v>
      </c>
      <c r="N581" s="13" t="s">
        <v>1602</v>
      </c>
      <c r="O581" s="13" t="s">
        <v>269</v>
      </c>
      <c r="P581" s="13">
        <v>10310</v>
      </c>
      <c r="Q581" s="59" t="s">
        <v>270</v>
      </c>
      <c r="R581" s="13" t="s">
        <v>271</v>
      </c>
      <c r="S581" s="13" t="s">
        <v>272</v>
      </c>
      <c r="T581" s="13" t="s">
        <v>112</v>
      </c>
      <c r="U581" s="13" t="s">
        <v>113</v>
      </c>
      <c r="V581" s="13">
        <v>53.5</v>
      </c>
      <c r="W581" s="44">
        <f>IF($AX581="Cancelled","",IFERROR(((V581+INDEX(Variables!$B$6:$D$6,IFERROR(MATCH(IF($B581="Robusta","Robusta",(IF($B581="","Arabica",$B581))&amp;" - "&amp;(IF($C581="","Commercial",$C581))),Variables!$B$1:$D$1,0),1)))*22.0462)*(L581/16.67),""))</f>
        <v>152083.33679904017</v>
      </c>
      <c r="X581" s="55" t="s">
        <v>37</v>
      </c>
      <c r="Y581" s="13" t="str">
        <f>IF($AX581="Cancelled","",IF(X581="","",IFERROR(IF(INDEX(Variables!$B$38:$B$47,MATCH(X581,Variables!$A$38:$A$47,0))="Yes","Yes","No"),"No")))</f>
        <v>Yes</v>
      </c>
      <c r="Z581" s="58">
        <v>46052</v>
      </c>
      <c r="AB581" s="31">
        <v>46059</v>
      </c>
      <c r="AC581" s="13" t="str">
        <f t="shared" si="27"/>
        <v>Approved</v>
      </c>
      <c r="AF581" s="71">
        <v>46076</v>
      </c>
      <c r="AG581" s="37">
        <f>IF($AX581="Cancelled","",IFERROR(IF(F581="","",F581-Variables!$B$13),""))</f>
        <v>46097</v>
      </c>
      <c r="AH581" s="13">
        <f>IF($AX581="Cancelled","",IFERROR(IF(AB581="","",(AVERAGE(E581:F581)-AB581)-Variables!$B$14),""))</f>
        <v>8</v>
      </c>
      <c r="AJ581" s="47">
        <v>46077</v>
      </c>
      <c r="AK581" s="14">
        <f>IF($AX581="Cancelled","",IFERROR(IF(AJ581="","",IF(AND(AB581="",AF581=""),"",IF(AF581&gt;AB581,AF581+Variables!$B$15+Variables!$B$16+Variables!$B$17-AJ581,AB581+Variables!$B$16+Variables!$B$17-AJ581))),""))</f>
        <v>14</v>
      </c>
      <c r="AL581" s="48" t="s">
        <v>114</v>
      </c>
      <c r="AM581" s="13" t="s">
        <v>115</v>
      </c>
      <c r="AN581" s="13" t="s">
        <v>1630</v>
      </c>
      <c r="AP581" s="31">
        <v>46089</v>
      </c>
      <c r="AR581" s="13">
        <v>266531389</v>
      </c>
      <c r="AS581" s="31" t="s">
        <v>1631</v>
      </c>
      <c r="AU581" s="31">
        <v>46112</v>
      </c>
      <c r="AV581" s="13" t="s">
        <v>865</v>
      </c>
      <c r="AW581" s="31">
        <v>46128</v>
      </c>
      <c r="AX581" s="13" t="str">
        <f>IF(ISNUMBER(SEARCH("cancel",#REF!)),"Cancelled",IF(AND(AS581&lt;&gt;"",AU581&lt;&gt;"",AW581&lt;&gt;""),"Closed","Open"))</f>
        <v>Closed</v>
      </c>
      <c r="AY581" s="15" t="str">
        <f t="shared" si="28"/>
        <v>All dates received</v>
      </c>
      <c r="BD581" s="13" t="str">
        <f>IF($AX581="Cancelled","",IFERROR(IF(OR(AS581="",AJ581=""),"",(AJ581+Variables!$B$18-AS581)),""))</f>
        <v/>
      </c>
      <c r="BE581" s="13" t="str">
        <f>IF($AX581="Cancelled","",IFERROR(IF(OR(AW581="",AS581=""),"",(AS581+Variables!$B$19)-AW581),""))</f>
        <v/>
      </c>
      <c r="BF581" s="44" t="str">
        <f>IF($AX581="Cancelled","",IFERROR(W581*INDEX(Variables!$B$7:$D$7,IFERROR(MATCH(IF($B581="Robusta","Robusta",(IF($B581="","Arabica",$B581))&amp;" - "&amp;(IF($C581="","Commercial",$C581))),Variables!$B$1:$D$1,0),1))*(BE581/365),""))</f>
        <v/>
      </c>
      <c r="BG581" s="44">
        <f>IF($AX581="Cancelled","",IFERROR((W581*INDEX(Variables!$B$7:$D$7,IFERROR(MATCH(IF($B581="Robusta","Robusta",(IF($B581="","Arabica",$B581))&amp;" - "&amp;(IF($C581="","Commercial",$C581))),Variables!$B$1:$D$1,0),1))*IFERROR(IF(AB581="","",(AVERAGE(E581:F581)-AB581)-Variables!$B$14),"")/365)+(L581/16.67*INDEX(Variables!$B$8:$D$8,IFERROR(MATCH(IF($B581="Robusta","Robusta",(IF($B581="","Arabica",$B581))&amp;" - "&amp;(IF($C581="","Commercial",$C581))),Variables!$B$1:$D$1,0),1))*IFERROR(IF(AB581="","",(AVERAGE(E581:F581)-AB581)-Variables!$B$14),""))+(W581*INDEX(Variables!$B$9:$D$9,IFERROR(MATCH(IF($B581="Robusta","Robusta",(IF($B581="","Arabica",$B581))&amp;" - "&amp;(IF($C581="","Commercial",$C581))),Variables!$B$1:$D$1,0),1))*IFERROR(IF(AB581="","",(AVERAGE(E581:F581)-AB581)-Variables!$B$14),"")/365),""))</f>
        <v>351.3116716279257</v>
      </c>
      <c r="BH581" s="44">
        <f>IF($AX581="Cancelled","",IFERROR((W581*INDEX(Variables!$B$7:$D$7,IFERROR(MATCH(IF($B581="Robusta","Robusta",(IF($B581="","Arabica",$B581))&amp;" - "&amp;(IF($C581="","Commercial",$C581))),Variables!$B$1:$D$1,0),1))*AK581/365)+(L581/16.67*INDEX(Variables!$B$8:$D$8,IFERROR(MATCH(IF($B581="Robusta","Robusta",(IF($B581="","Arabica",$B581))&amp;" - "&amp;(IF($C581="","Commercial",$C581))),Variables!$B$1:$D$1,0),1))*AK581)+(W581*INDEX(Variables!$B$9:$D$9,IFERROR(MATCH(IF($B581="Robusta","Robusta",(IF($B581="","Arabica",$B581))&amp;" - "&amp;(IF($C581="","Commercial",$C581))),Variables!$B$1:$D$1,0),1))*AK581/365),""))</f>
        <v>614.79542534887003</v>
      </c>
      <c r="BI581" s="44" t="str">
        <f>IF($AX581="Cancelled","",IFERROR((W581*INDEX(Variables!$B$7:$D$7,IFERROR(MATCH(IF($B581="Robusta","Robusta",(IF($B581="","Arabica",$B581))&amp;" - "&amp;(IF($C581="","Commercial",$C581))),Variables!$B$1:$D$1,0),1))*BD581/365)+(L581/16.67*INDEX(Variables!$B$8:$D$8,IFERROR(MATCH(IF($B581="Robusta","Robusta",(IF($B581="","Arabica",$B581))&amp;" - "&amp;(IF($C581="","Commercial",$C581))),Variables!$B$1:$D$1,0),1))*BD581)+(W581*INDEX(Variables!$B$9:$D$9,IFERROR(MATCH(IF($B581="Robusta","Robusta",(IF($B581="","Arabica",$B581))&amp;" - "&amp;(IF($C581="","Commercial",$C581))),Variables!$B$1:$D$1,0),1))*BD581/365),""))</f>
        <v/>
      </c>
      <c r="BJ581" s="44" t="str">
        <f t="shared" si="29"/>
        <v/>
      </c>
      <c r="BK581" s="44" t="str">
        <f>IF($AX581="Cancelled","",IFERROR(IF(BJ581="","",(W581*INDEX(Variables!$B$7:$D$7,IFERROR(MATCH(IF($B581="Robusta","Robusta",(IF($B581="","Arabica",$B581))&amp;" - "&amp;(IF($C581="","Commercial",$C581))),Variables!$B$1:$D$1,0),1))*(BJ581/365))+(W581*INDEX(Variables!$B$9:$D$9,IFERROR(MATCH(IF($B581="Robusta","Robusta",(IF($B581="","Arabica",$B581))&amp;" - "&amp;(IF($C581="","Commercial",$C581))),Variables!$B$1:$D$1,0),1))*(BJ581/365))+(INDEX(Variables!$B$8:$D$8,IFERROR(MATCH(IF($B581="Robusta","Robusta",(IF($B581="","Arabica",$B581))&amp;" - "&amp;(IF($C581="","Commercial",$C581))),Variables!$B$1:$D$1,0),1))*L581/16.67)),""))</f>
        <v/>
      </c>
    </row>
    <row r="582" spans="1:63">
      <c r="A582" s="13" t="s">
        <v>103</v>
      </c>
      <c r="B582" s="13" t="s">
        <v>104</v>
      </c>
      <c r="C582" s="13" t="s">
        <v>105</v>
      </c>
      <c r="D582" s="31">
        <v>46000</v>
      </c>
      <c r="E582" s="31">
        <v>46082</v>
      </c>
      <c r="F582" s="31">
        <v>46112</v>
      </c>
      <c r="G582" s="13">
        <v>3787035</v>
      </c>
      <c r="H582" s="13" t="s">
        <v>1633</v>
      </c>
      <c r="J582" s="13" t="s">
        <v>118</v>
      </c>
      <c r="K582" s="13" t="s">
        <v>1633</v>
      </c>
      <c r="L582" s="13">
        <v>334</v>
      </c>
      <c r="M582" s="13">
        <v>1</v>
      </c>
      <c r="N582" s="13" t="s">
        <v>1602</v>
      </c>
      <c r="O582" s="13" t="s">
        <v>269</v>
      </c>
      <c r="P582" s="13">
        <v>10310</v>
      </c>
      <c r="Q582" s="59" t="s">
        <v>270</v>
      </c>
      <c r="R582" s="13" t="s">
        <v>271</v>
      </c>
      <c r="S582" s="13" t="s">
        <v>524</v>
      </c>
      <c r="T582" s="13" t="s">
        <v>112</v>
      </c>
      <c r="U582" s="13" t="s">
        <v>113</v>
      </c>
      <c r="V582" s="13">
        <v>53.5</v>
      </c>
      <c r="W582" s="44">
        <f>IF($AX582="Cancelled","",IFERROR(((V582+INDEX(Variables!$B$6:$D$6,IFERROR(MATCH(IF($B582="Robusta","Robusta",(IF($B582="","Arabica",$B582))&amp;" - "&amp;(IF($C582="","Commercial",$C582))),Variables!$B$1:$D$1,0),1)))*22.0462)*(L582/16.67),""))</f>
        <v>152083.33679904017</v>
      </c>
      <c r="X582" s="55" t="s">
        <v>37</v>
      </c>
      <c r="Y582" s="13" t="str">
        <f>IF($AX582="Cancelled","",IF(X582="","",IFERROR(IF(INDEX(Variables!$B$38:$B$47,MATCH(X582,Variables!$A$38:$A$47,0))="Yes","Yes","No"),"No")))</f>
        <v>Yes</v>
      </c>
      <c r="Z582" s="58">
        <v>46052</v>
      </c>
      <c r="AB582" s="31">
        <v>46059</v>
      </c>
      <c r="AC582" s="13" t="str">
        <f t="shared" si="27"/>
        <v>Approved</v>
      </c>
      <c r="AF582" s="71">
        <v>46076</v>
      </c>
      <c r="AG582" s="37">
        <f>IF($AX582="Cancelled","",IFERROR(IF(F582="","",F582-Variables!$B$13),""))</f>
        <v>46097</v>
      </c>
      <c r="AH582" s="13">
        <f>IF($AX582="Cancelled","",IFERROR(IF(AB582="","",(AVERAGE(E582:F582)-AB582)-Variables!$B$14),""))</f>
        <v>8</v>
      </c>
      <c r="AJ582" s="47">
        <v>46077</v>
      </c>
      <c r="AK582" s="14">
        <f>IF($AX582="Cancelled","",IFERROR(IF(AJ582="","",IF(AND(AB582="",AF582=""),"",IF(AF582&gt;AB582,AF582+Variables!$B$15+Variables!$B$16+Variables!$B$17-AJ582,AB582+Variables!$B$16+Variables!$B$17-AJ582))),""))</f>
        <v>14</v>
      </c>
      <c r="AL582" s="48" t="s">
        <v>114</v>
      </c>
      <c r="AM582" s="13" t="s">
        <v>115</v>
      </c>
      <c r="AN582" s="13" t="s">
        <v>1630</v>
      </c>
      <c r="AP582" s="31">
        <v>46089</v>
      </c>
      <c r="AR582" s="13">
        <v>266531389</v>
      </c>
      <c r="AS582" s="31" t="s">
        <v>1631</v>
      </c>
      <c r="AU582" s="31">
        <v>46112</v>
      </c>
      <c r="AV582" s="13" t="s">
        <v>865</v>
      </c>
      <c r="AW582" s="31">
        <v>46128</v>
      </c>
      <c r="AX582" s="13" t="str">
        <f>IF(ISNUMBER(SEARCH("cancel",#REF!)),"Cancelled",IF(AND(AS582&lt;&gt;"",AU582&lt;&gt;"",AW582&lt;&gt;""),"Closed","Open"))</f>
        <v>Closed</v>
      </c>
      <c r="AY582" s="15" t="str">
        <f t="shared" si="28"/>
        <v>All dates received</v>
      </c>
      <c r="BD582" s="13" t="str">
        <f>IF($AX582="Cancelled","",IFERROR(IF(OR(AS582="",AJ582=""),"",(AJ582+Variables!$B$18-AS582)),""))</f>
        <v/>
      </c>
      <c r="BE582" s="13" t="str">
        <f>IF($AX582="Cancelled","",IFERROR(IF(OR(AW582="",AS582=""),"",(AS582+Variables!$B$19)-AW582),""))</f>
        <v/>
      </c>
      <c r="BF582" s="44" t="str">
        <f>IF($AX582="Cancelled","",IFERROR(W582*INDEX(Variables!$B$7:$D$7,IFERROR(MATCH(IF($B582="Robusta","Robusta",(IF($B582="","Arabica",$B582))&amp;" - "&amp;(IF($C582="","Commercial",$C582))),Variables!$B$1:$D$1,0),1))*(BE582/365),""))</f>
        <v/>
      </c>
      <c r="BG582" s="44">
        <f>IF($AX582="Cancelled","",IFERROR((W582*INDEX(Variables!$B$7:$D$7,IFERROR(MATCH(IF($B582="Robusta","Robusta",(IF($B582="","Arabica",$B582))&amp;" - "&amp;(IF($C582="","Commercial",$C582))),Variables!$B$1:$D$1,0),1))*IFERROR(IF(AB582="","",(AVERAGE(E582:F582)-AB582)-Variables!$B$14),"")/365)+(L582/16.67*INDEX(Variables!$B$8:$D$8,IFERROR(MATCH(IF($B582="Robusta","Robusta",(IF($B582="","Arabica",$B582))&amp;" - "&amp;(IF($C582="","Commercial",$C582))),Variables!$B$1:$D$1,0),1))*IFERROR(IF(AB582="","",(AVERAGE(E582:F582)-AB582)-Variables!$B$14),""))+(W582*INDEX(Variables!$B$9:$D$9,IFERROR(MATCH(IF($B582="Robusta","Robusta",(IF($B582="","Arabica",$B582))&amp;" - "&amp;(IF($C582="","Commercial",$C582))),Variables!$B$1:$D$1,0),1))*IFERROR(IF(AB582="","",(AVERAGE(E582:F582)-AB582)-Variables!$B$14),"")/365),""))</f>
        <v>351.3116716279257</v>
      </c>
      <c r="BH582" s="44">
        <f>IF($AX582="Cancelled","",IFERROR((W582*INDEX(Variables!$B$7:$D$7,IFERROR(MATCH(IF($B582="Robusta","Robusta",(IF($B582="","Arabica",$B582))&amp;" - "&amp;(IF($C582="","Commercial",$C582))),Variables!$B$1:$D$1,0),1))*AK582/365)+(L582/16.67*INDEX(Variables!$B$8:$D$8,IFERROR(MATCH(IF($B582="Robusta","Robusta",(IF($B582="","Arabica",$B582))&amp;" - "&amp;(IF($C582="","Commercial",$C582))),Variables!$B$1:$D$1,0),1))*AK582)+(W582*INDEX(Variables!$B$9:$D$9,IFERROR(MATCH(IF($B582="Robusta","Robusta",(IF($B582="","Arabica",$B582))&amp;" - "&amp;(IF($C582="","Commercial",$C582))),Variables!$B$1:$D$1,0),1))*AK582/365),""))</f>
        <v>614.79542534887003</v>
      </c>
      <c r="BI582" s="44" t="str">
        <f>IF($AX582="Cancelled","",IFERROR((W582*INDEX(Variables!$B$7:$D$7,IFERROR(MATCH(IF($B582="Robusta","Robusta",(IF($B582="","Arabica",$B582))&amp;" - "&amp;(IF($C582="","Commercial",$C582))),Variables!$B$1:$D$1,0),1))*BD582/365)+(L582/16.67*INDEX(Variables!$B$8:$D$8,IFERROR(MATCH(IF($B582="Robusta","Robusta",(IF($B582="","Arabica",$B582))&amp;" - "&amp;(IF($C582="","Commercial",$C582))),Variables!$B$1:$D$1,0),1))*BD582)+(W582*INDEX(Variables!$B$9:$D$9,IFERROR(MATCH(IF($B582="Robusta","Robusta",(IF($B582="","Arabica",$B582))&amp;" - "&amp;(IF($C582="","Commercial",$C582))),Variables!$B$1:$D$1,0),1))*BD582/365),""))</f>
        <v/>
      </c>
      <c r="BJ582" s="44" t="str">
        <f t="shared" si="29"/>
        <v/>
      </c>
      <c r="BK582" s="44" t="str">
        <f>IF($AX582="Cancelled","",IFERROR(IF(BJ582="","",(W582*INDEX(Variables!$B$7:$D$7,IFERROR(MATCH(IF($B582="Robusta","Robusta",(IF($B582="","Arabica",$B582))&amp;" - "&amp;(IF($C582="","Commercial",$C582))),Variables!$B$1:$D$1,0),1))*(BJ582/365))+(W582*INDEX(Variables!$B$9:$D$9,IFERROR(MATCH(IF($B582="Robusta","Robusta",(IF($B582="","Arabica",$B582))&amp;" - "&amp;(IF($C582="","Commercial",$C582))),Variables!$B$1:$D$1,0),1))*(BJ582/365))+(INDEX(Variables!$B$8:$D$8,IFERROR(MATCH(IF($B582="Robusta","Robusta",(IF($B582="","Arabica",$B582))&amp;" - "&amp;(IF($C582="","Commercial",$C582))),Variables!$B$1:$D$1,0),1))*L582/16.67)),""))</f>
        <v/>
      </c>
    </row>
    <row r="583" spans="1:63">
      <c r="A583" s="13" t="s">
        <v>103</v>
      </c>
      <c r="B583" s="13" t="s">
        <v>104</v>
      </c>
      <c r="C583" s="13" t="s">
        <v>105</v>
      </c>
      <c r="D583" s="31">
        <v>46000</v>
      </c>
      <c r="E583" s="31">
        <v>46082</v>
      </c>
      <c r="F583" s="31">
        <v>46112</v>
      </c>
      <c r="G583" s="13">
        <v>3787035</v>
      </c>
      <c r="H583" s="13" t="s">
        <v>1634</v>
      </c>
      <c r="J583" s="13" t="s">
        <v>118</v>
      </c>
      <c r="K583" s="13" t="s">
        <v>1634</v>
      </c>
      <c r="L583" s="13">
        <v>667</v>
      </c>
      <c r="M583" s="13">
        <v>2</v>
      </c>
      <c r="N583" s="13" t="s">
        <v>1602</v>
      </c>
      <c r="O583" s="13" t="s">
        <v>269</v>
      </c>
      <c r="P583" s="13">
        <v>10310</v>
      </c>
      <c r="Q583" s="59" t="s">
        <v>270</v>
      </c>
      <c r="R583" s="13" t="s">
        <v>271</v>
      </c>
      <c r="S583" s="13" t="s">
        <v>283</v>
      </c>
      <c r="T583" s="13" t="s">
        <v>112</v>
      </c>
      <c r="U583" s="13" t="s">
        <v>113</v>
      </c>
      <c r="V583" s="13">
        <v>53.5</v>
      </c>
      <c r="W583" s="44">
        <f>IF($AX583="Cancelled","",IFERROR(((V583+INDEX(Variables!$B$6:$D$6,IFERROR(MATCH(IF($B583="Robusta","Robusta",(IF($B583="","Arabica",$B583))&amp;" - "&amp;(IF($C583="","Commercial",$C583))),Variables!$B$1:$D$1,0),1)))*22.0462)*(L583/16.67),""))</f>
        <v>303711.3342663467</v>
      </c>
      <c r="X583" s="55" t="s">
        <v>37</v>
      </c>
      <c r="Y583" s="13" t="str">
        <f>IF($AX583="Cancelled","",IF(X583="","",IFERROR(IF(INDEX(Variables!$B$38:$B$47,MATCH(X583,Variables!$A$38:$A$47,0))="Yes","Yes","No"),"No")))</f>
        <v>Yes</v>
      </c>
      <c r="Z583" s="58">
        <v>46052</v>
      </c>
      <c r="AB583" s="31">
        <v>46059</v>
      </c>
      <c r="AC583" s="13" t="str">
        <f t="shared" si="27"/>
        <v>Approved</v>
      </c>
      <c r="AF583" s="71">
        <v>46076</v>
      </c>
      <c r="AG583" s="37">
        <f>IF($AX583="Cancelled","",IFERROR(IF(F583="","",F583-Variables!$B$13),""))</f>
        <v>46097</v>
      </c>
      <c r="AH583" s="13">
        <f>IF($AX583="Cancelled","",IFERROR(IF(AB583="","",(AVERAGE(E583:F583)-AB583)-Variables!$B$14),""))</f>
        <v>8</v>
      </c>
      <c r="AJ583" s="47">
        <v>46078</v>
      </c>
      <c r="AK583" s="14">
        <f>IF($AX583="Cancelled","",IFERROR(IF(AJ583="","",IF(AND(AB583="",AF583=""),"",IF(AF583&gt;AB583,AF583+Variables!$B$15+Variables!$B$16+Variables!$B$17-AJ583,AB583+Variables!$B$16+Variables!$B$17-AJ583))),""))</f>
        <v>13</v>
      </c>
      <c r="AL583" s="48" t="s">
        <v>114</v>
      </c>
      <c r="AM583" s="13" t="s">
        <v>115</v>
      </c>
      <c r="AN583" s="13" t="s">
        <v>1630</v>
      </c>
      <c r="AP583" s="31">
        <v>46089</v>
      </c>
      <c r="AR583" s="13">
        <v>266531389</v>
      </c>
      <c r="AS583" s="31" t="s">
        <v>1631</v>
      </c>
      <c r="AU583" s="31">
        <v>46112</v>
      </c>
      <c r="AV583" s="13" t="s">
        <v>865</v>
      </c>
      <c r="AW583" s="31">
        <v>46128</v>
      </c>
      <c r="AX583" s="13" t="str">
        <f>IF(ISNUMBER(SEARCH("cancel",#REF!)),"Cancelled",IF(AND(AS583&lt;&gt;"",AU583&lt;&gt;"",AW583&lt;&gt;""),"Closed","Open"))</f>
        <v>Closed</v>
      </c>
      <c r="AY583" s="15" t="str">
        <f t="shared" si="28"/>
        <v>All dates received</v>
      </c>
      <c r="BD583" s="13" t="str">
        <f>IF($AX583="Cancelled","",IFERROR(IF(OR(AS583="",AJ583=""),"",(AJ583+Variables!$B$18-AS583)),""))</f>
        <v/>
      </c>
      <c r="BE583" s="13" t="str">
        <f>IF($AX583="Cancelled","",IFERROR(IF(OR(AW583="",AS583=""),"",(AS583+Variables!$B$19)-AW583),""))</f>
        <v/>
      </c>
      <c r="BF583" s="44" t="str">
        <f>IF($AX583="Cancelled","",IFERROR(W583*INDEX(Variables!$B$7:$D$7,IFERROR(MATCH(IF($B583="Robusta","Robusta",(IF($B583="","Arabica",$B583))&amp;" - "&amp;(IF($C583="","Commercial",$C583))),Variables!$B$1:$D$1,0),1))*(BE583/365),""))</f>
        <v/>
      </c>
      <c r="BG583" s="44">
        <f>IF($AX583="Cancelled","",IFERROR((W583*INDEX(Variables!$B$7:$D$7,IFERROR(MATCH(IF($B583="Robusta","Robusta",(IF($B583="","Arabica",$B583))&amp;" - "&amp;(IF($C583="","Commercial",$C583))),Variables!$B$1:$D$1,0),1))*IFERROR(IF(AB583="","",(AVERAGE(E583:F583)-AB583)-Variables!$B$14),"")/365)+(L583/16.67*INDEX(Variables!$B$8:$D$8,IFERROR(MATCH(IF($B583="Robusta","Robusta",(IF($B583="","Arabica",$B583))&amp;" - "&amp;(IF($C583="","Commercial",$C583))),Variables!$B$1:$D$1,0),1))*IFERROR(IF(AB583="","",(AVERAGE(E583:F583)-AB583)-Variables!$B$14),""))+(W583*INDEX(Variables!$B$9:$D$9,IFERROR(MATCH(IF($B583="Robusta","Robusta",(IF($B583="","Arabica",$B583))&amp;" - "&amp;(IF($C583="","Commercial",$C583))),Variables!$B$1:$D$1,0),1))*IFERROR(IF(AB583="","",(AVERAGE(E583:F583)-AB583)-Variables!$B$14),"")/365),""))</f>
        <v>701.57151190367199</v>
      </c>
      <c r="BH583" s="44">
        <f>IF($AX583="Cancelled","",IFERROR((W583*INDEX(Variables!$B$7:$D$7,IFERROR(MATCH(IF($B583="Robusta","Robusta",(IF($B583="","Arabica",$B583))&amp;" - "&amp;(IF($C583="","Commercial",$C583))),Variables!$B$1:$D$1,0),1))*AK583/365)+(L583/16.67*INDEX(Variables!$B$8:$D$8,IFERROR(MATCH(IF($B583="Robusta","Robusta",(IF($B583="","Arabica",$B583))&amp;" - "&amp;(IF($C583="","Commercial",$C583))),Variables!$B$1:$D$1,0),1))*AK583)+(W583*INDEX(Variables!$B$9:$D$9,IFERROR(MATCH(IF($B583="Robusta","Robusta",(IF($B583="","Arabica",$B583))&amp;" - "&amp;(IF($C583="","Commercial",$C583))),Variables!$B$1:$D$1,0),1))*AK583/365),""))</f>
        <v>1140.0537068434671</v>
      </c>
      <c r="BI583" s="44" t="str">
        <f>IF($AX583="Cancelled","",IFERROR((W583*INDEX(Variables!$B$7:$D$7,IFERROR(MATCH(IF($B583="Robusta","Robusta",(IF($B583="","Arabica",$B583))&amp;" - "&amp;(IF($C583="","Commercial",$C583))),Variables!$B$1:$D$1,0),1))*BD583/365)+(L583/16.67*INDEX(Variables!$B$8:$D$8,IFERROR(MATCH(IF($B583="Robusta","Robusta",(IF($B583="","Arabica",$B583))&amp;" - "&amp;(IF($C583="","Commercial",$C583))),Variables!$B$1:$D$1,0),1))*BD583)+(W583*INDEX(Variables!$B$9:$D$9,IFERROR(MATCH(IF($B583="Robusta","Robusta",(IF($B583="","Arabica",$B583))&amp;" - "&amp;(IF($C583="","Commercial",$C583))),Variables!$B$1:$D$1,0),1))*BD583/365),""))</f>
        <v/>
      </c>
      <c r="BJ583" s="44" t="str">
        <f t="shared" si="29"/>
        <v/>
      </c>
      <c r="BK583" s="44" t="str">
        <f>IF($AX583="Cancelled","",IFERROR(IF(BJ583="","",(W583*INDEX(Variables!$B$7:$D$7,IFERROR(MATCH(IF($B583="Robusta","Robusta",(IF($B583="","Arabica",$B583))&amp;" - "&amp;(IF($C583="","Commercial",$C583))),Variables!$B$1:$D$1,0),1))*(BJ583/365))+(W583*INDEX(Variables!$B$9:$D$9,IFERROR(MATCH(IF($B583="Robusta","Robusta",(IF($B583="","Arabica",$B583))&amp;" - "&amp;(IF($C583="","Commercial",$C583))),Variables!$B$1:$D$1,0),1))*(BJ583/365))+(INDEX(Variables!$B$8:$D$8,IFERROR(MATCH(IF($B583="Robusta","Robusta",(IF($B583="","Arabica",$B583))&amp;" - "&amp;(IF($C583="","Commercial",$C583))),Variables!$B$1:$D$1,0),1))*L583/16.67)),""))</f>
        <v/>
      </c>
    </row>
    <row r="584" spans="1:63">
      <c r="A584" s="13" t="s">
        <v>103</v>
      </c>
      <c r="B584" s="13" t="s">
        <v>104</v>
      </c>
      <c r="C584" s="13" t="s">
        <v>105</v>
      </c>
      <c r="D584" s="31">
        <v>46002</v>
      </c>
      <c r="E584" s="31">
        <v>45992</v>
      </c>
      <c r="F584" s="31">
        <v>46053</v>
      </c>
      <c r="G584" s="13">
        <v>3787036</v>
      </c>
      <c r="H584" s="13">
        <v>28320</v>
      </c>
      <c r="J584" s="13" t="s">
        <v>236</v>
      </c>
      <c r="K584" s="13">
        <v>5374</v>
      </c>
      <c r="L584" s="13">
        <v>320</v>
      </c>
      <c r="M584" s="13">
        <v>1</v>
      </c>
      <c r="N584" s="13" t="s">
        <v>1590</v>
      </c>
      <c r="O584" s="13" t="s">
        <v>120</v>
      </c>
      <c r="P584" s="13">
        <v>10070</v>
      </c>
      <c r="R584" s="13" t="s">
        <v>239</v>
      </c>
      <c r="S584" s="13" t="s">
        <v>288</v>
      </c>
      <c r="T584" s="13" t="s">
        <v>289</v>
      </c>
      <c r="U584" s="13" t="s">
        <v>182</v>
      </c>
      <c r="V584" s="13">
        <v>20</v>
      </c>
      <c r="W584" s="44">
        <f>IF($AX584="Cancelled","",IFERROR(((V584+INDEX(Variables!$B$6:$D$6,IFERROR(MATCH(IF($B584="Robusta","Robusta",(IF($B584="","Arabica",$B584))&amp;" - "&amp;(IF($C584="","Commercial",$C584))),Variables!$B$1:$D$1,0),1)))*22.0462)*(L584/16.67),""))</f>
        <v>131531.30577084582</v>
      </c>
      <c r="X584" s="55" t="s">
        <v>37</v>
      </c>
      <c r="Y584" s="13" t="str">
        <f>IF($AX584="Cancelled","",IF(X584="","",IFERROR(IF(INDEX(Variables!$B$38:$B$47,MATCH(X584,Variables!$A$38:$A$47,0))="Yes","Yes","No"),"No")))</f>
        <v>Yes</v>
      </c>
      <c r="Z584" s="58">
        <v>46008</v>
      </c>
      <c r="AB584" s="31">
        <v>45990.875</v>
      </c>
      <c r="AC584" s="13" t="str">
        <f t="shared" si="27"/>
        <v>Approved</v>
      </c>
      <c r="AF584" s="71">
        <v>46038</v>
      </c>
      <c r="AG584" s="37">
        <f>IF($AX584="Cancelled","",IFERROR(IF(F584="","",F584-Variables!$B$13),""))</f>
        <v>46038</v>
      </c>
      <c r="AH584" s="13">
        <f>IF($AX584="Cancelled","",IFERROR(IF(AB584="","",(AVERAGE(E584:F584)-AB584)-Variables!$B$14),""))</f>
        <v>1.625</v>
      </c>
      <c r="AJ584" s="47">
        <v>46044</v>
      </c>
      <c r="AK584" s="14">
        <f>IF($AX584="Cancelled","",IFERROR(IF(AJ584="","",IF(AND(AB584="",AF584=""),"",IF(AF584&gt;AB584,AF584+Variables!$B$15+Variables!$B$16+Variables!$B$17-AJ584,AB584+Variables!$B$16+Variables!$B$17-AJ584))),""))</f>
        <v>9</v>
      </c>
      <c r="AL584" s="48" t="s">
        <v>114</v>
      </c>
      <c r="AM584" s="13" t="s">
        <v>183</v>
      </c>
      <c r="AN584" s="13" t="s">
        <v>1488</v>
      </c>
      <c r="AP584" s="31">
        <v>46056</v>
      </c>
      <c r="AR584" s="13" t="s">
        <v>1635</v>
      </c>
      <c r="AS584" s="31">
        <v>46056</v>
      </c>
      <c r="AU584" s="31">
        <v>46059</v>
      </c>
      <c r="AV584" s="13" t="s">
        <v>1592</v>
      </c>
      <c r="AW584" s="31">
        <v>46086</v>
      </c>
      <c r="AX584" s="13" t="str">
        <f>IF(ISNUMBER(SEARCH("cancel",#REF!)),"Cancelled",IF(AND(AS584&lt;&gt;"",AU584&lt;&gt;"",AW584&lt;&gt;""),"Closed","Open"))</f>
        <v>Closed</v>
      </c>
      <c r="AY584" s="15" t="str">
        <f t="shared" si="28"/>
        <v>All dates received</v>
      </c>
      <c r="BD584" s="13">
        <f>IF($AX584="Cancelled","",IFERROR(IF(OR(AS584="",AJ584=""),"",(AJ584+Variables!$B$18-AS584)),""))</f>
        <v>3</v>
      </c>
      <c r="BE584" s="13">
        <f>IF($AX584="Cancelled","",IFERROR(IF(OR(AW584="",AS584=""),"",(AS584+Variables!$B$19)-AW584),""))</f>
        <v>-25</v>
      </c>
      <c r="BF584" s="44">
        <f>IF($AX584="Cancelled","",IFERROR(W584*INDEX(Variables!$B$7:$D$7,IFERROR(MATCH(IF($B584="Robusta","Robusta",(IF($B584="","Arabica",$B584))&amp;" - "&amp;(IF($C584="","Commercial",$C584))),Variables!$B$1:$D$1,0),1))*(BE584/365),""))</f>
        <v>-580.91972362855029</v>
      </c>
      <c r="BG584" s="44">
        <f>IF($AX584="Cancelled","",IFERROR((W584*INDEX(Variables!$B$7:$D$7,IFERROR(MATCH(IF($B584="Robusta","Robusta",(IF($B584="","Arabica",$B584))&amp;" - "&amp;(IF($C584="","Commercial",$C584))),Variables!$B$1:$D$1,0),1))*IFERROR(IF(AB584="","",(AVERAGE(E584:F584)-AB584)-Variables!$B$14),"")/365)+(L584/16.67*INDEX(Variables!$B$8:$D$8,IFERROR(MATCH(IF($B584="Robusta","Robusta",(IF($B584="","Arabica",$B584))&amp;" - "&amp;(IF($C584="","Commercial",$C584))),Variables!$B$1:$D$1,0),1))*IFERROR(IF(AB584="","",(AVERAGE(E584:F584)-AB584)-Variables!$B$14),""))+(W584*INDEX(Variables!$B$9:$D$9,IFERROR(MATCH(IF($B584="Robusta","Robusta",(IF($B584="","Arabica",$B584))&amp;" - "&amp;(IF($C584="","Commercial",$C584))),Variables!$B$1:$D$1,0),1))*IFERROR(IF(AB584="","",(AVERAGE(E584:F584)-AB584)-Variables!$B$14),"")/365),""))</f>
        <v>64.246578497614323</v>
      </c>
      <c r="BH584" s="44">
        <f>IF($AX584="Cancelled","",IFERROR((W584*INDEX(Variables!$B$7:$D$7,IFERROR(MATCH(IF($B584="Robusta","Robusta",(IF($B584="","Arabica",$B584))&amp;" - "&amp;(IF($C584="","Commercial",$C584))),Variables!$B$1:$D$1,0),1))*AK584/365)+(L584/16.67*INDEX(Variables!$B$8:$D$8,IFERROR(MATCH(IF($B584="Robusta","Robusta",(IF($B584="","Arabica",$B584))&amp;" - "&amp;(IF($C584="","Commercial",$C584))),Variables!$B$1:$D$1,0),1))*AK584)+(W584*INDEX(Variables!$B$9:$D$9,IFERROR(MATCH(IF($B584="Robusta","Robusta",(IF($B584="","Arabica",$B584))&amp;" - "&amp;(IF($C584="","Commercial",$C584))),Variables!$B$1:$D$1,0),1))*AK584/365),""))</f>
        <v>355.82720398678697</v>
      </c>
      <c r="BI584" s="44">
        <f>IF($AX584="Cancelled","",IFERROR((W584*INDEX(Variables!$B$7:$D$7,IFERROR(MATCH(IF($B584="Robusta","Robusta",(IF($B584="","Arabica",$B584))&amp;" - "&amp;(IF($C584="","Commercial",$C584))),Variables!$B$1:$D$1,0),1))*BD584/365)+(L584/16.67*INDEX(Variables!$B$8:$D$8,IFERROR(MATCH(IF($B584="Robusta","Robusta",(IF($B584="","Arabica",$B584))&amp;" - "&amp;(IF($C584="","Commercial",$C584))),Variables!$B$1:$D$1,0),1))*BD584)+(W584*INDEX(Variables!$B$9:$D$9,IFERROR(MATCH(IF($B584="Robusta","Robusta",(IF($B584="","Arabica",$B584))&amp;" - "&amp;(IF($C584="","Commercial",$C584))),Variables!$B$1:$D$1,0),1))*BD584/365),""))</f>
        <v>118.60906799559565</v>
      </c>
      <c r="BJ584" s="44">
        <f t="shared" si="29"/>
        <v>-3</v>
      </c>
      <c r="BK584" s="44">
        <f>IF($AX584="Cancelled","",IFERROR(IF(BJ584="","",(W584*INDEX(Variables!$B$7:$D$7,IFERROR(MATCH(IF($B584="Robusta","Robusta",(IF($B584="","Arabica",$B584))&amp;" - "&amp;(IF($C584="","Commercial",$C584))),Variables!$B$1:$D$1,0),1))*(BJ584/365))+(W584*INDEX(Variables!$B$9:$D$9,IFERROR(MATCH(IF($B584="Robusta","Robusta",(IF($B584="","Arabica",$B584))&amp;" - "&amp;(IF($C584="","Commercial",$C584))),Variables!$B$1:$D$1,0),1))*(BJ584/365))+(INDEX(Variables!$B$8:$D$8,IFERROR(MATCH(IF($B584="Robusta","Robusta",(IF($B584="","Arabica",$B584))&amp;" - "&amp;(IF($C584="","Commercial",$C584))),Variables!$B$1:$D$1,0),1))*L584/16.67)),""))</f>
        <v>-54.609067995595652</v>
      </c>
    </row>
    <row r="585" spans="1:63">
      <c r="A585" s="13" t="s">
        <v>103</v>
      </c>
      <c r="B585" s="13" t="s">
        <v>104</v>
      </c>
      <c r="C585" s="13" t="s">
        <v>105</v>
      </c>
      <c r="D585" s="31">
        <v>46002</v>
      </c>
      <c r="E585" s="31">
        <v>46054</v>
      </c>
      <c r="F585" s="31">
        <v>46112</v>
      </c>
      <c r="G585" s="13">
        <v>3787037</v>
      </c>
      <c r="H585" s="13">
        <v>5425</v>
      </c>
      <c r="J585" s="13" t="s">
        <v>236</v>
      </c>
      <c r="K585" s="13">
        <v>5425</v>
      </c>
      <c r="L585" s="13">
        <v>320</v>
      </c>
      <c r="M585" s="13">
        <v>1</v>
      </c>
      <c r="N585" s="13" t="s">
        <v>1636</v>
      </c>
      <c r="O585" s="13" t="s">
        <v>120</v>
      </c>
      <c r="P585" s="13">
        <v>10070</v>
      </c>
      <c r="R585" s="13" t="s">
        <v>239</v>
      </c>
      <c r="S585" s="13" t="s">
        <v>288</v>
      </c>
      <c r="T585" s="13" t="s">
        <v>289</v>
      </c>
      <c r="U585" s="13" t="s">
        <v>182</v>
      </c>
      <c r="V585" s="13">
        <v>23</v>
      </c>
      <c r="W585" s="44">
        <f>IF($AX585="Cancelled","",IFERROR(((V585+INDEX(Variables!$B$6:$D$6,IFERROR(MATCH(IF($B585="Robusta","Robusta",(IF($B585="","Arabica",$B585))&amp;" - "&amp;(IF($C585="","Commercial",$C585))),Variables!$B$1:$D$1,0),1)))*22.0462)*(L585/16.67),""))</f>
        <v>132800.91296940611</v>
      </c>
      <c r="X585" s="55" t="s">
        <v>37</v>
      </c>
      <c r="Y585" s="13" t="str">
        <f>IF($AX585="Cancelled","",IF(X585="","",IFERROR(IF(INDEX(Variables!$B$38:$B$47,MATCH(X585,Variables!$A$38:$A$47,0))="Yes","Yes","No"),"No")))</f>
        <v>Yes</v>
      </c>
      <c r="Z585" s="58">
        <v>46028</v>
      </c>
      <c r="AB585" s="31">
        <v>46057</v>
      </c>
      <c r="AC585" s="13" t="str">
        <f t="shared" si="27"/>
        <v>Approved</v>
      </c>
      <c r="AF585" s="71">
        <v>46079</v>
      </c>
      <c r="AG585" s="37">
        <f>IF($AX585="Cancelled","",IFERROR(IF(F585="","",F585-Variables!$B$13),""))</f>
        <v>46097</v>
      </c>
      <c r="AH585" s="13">
        <f>IF($AX585="Cancelled","",IFERROR(IF(AB585="","",(AVERAGE(E585:F585)-AB585)-Variables!$B$14),""))</f>
        <v>-4</v>
      </c>
      <c r="AJ585" s="47">
        <v>46080</v>
      </c>
      <c r="AK585" s="14">
        <f>IF($AX585="Cancelled","",IFERROR(IF(AJ585="","",IF(AND(AB585="",AF585=""),"",IF(AF585&gt;AB585,AF585+Variables!$B$15+Variables!$B$16+Variables!$B$17-AJ585,AB585+Variables!$B$16+Variables!$B$17-AJ585))),""))</f>
        <v>14</v>
      </c>
      <c r="AL585" s="48" t="s">
        <v>114</v>
      </c>
      <c r="AM585" s="13" t="s">
        <v>183</v>
      </c>
      <c r="AN585" s="13" t="s">
        <v>1637</v>
      </c>
      <c r="AP585" s="31">
        <v>46089</v>
      </c>
      <c r="AR585" s="13">
        <v>321600000862</v>
      </c>
      <c r="AS585" s="31">
        <v>46089</v>
      </c>
      <c r="AU585" s="31">
        <v>46094</v>
      </c>
      <c r="AV585" s="13">
        <v>4478889844</v>
      </c>
      <c r="AW585" s="31">
        <v>46108</v>
      </c>
      <c r="AX585" s="13" t="str">
        <f>IF(ISNUMBER(SEARCH("cancel",#REF!)),"Cancelled",IF(AND(AS585&lt;&gt;"",AU585&lt;&gt;"",AW585&lt;&gt;""),"Closed","Open"))</f>
        <v>Closed</v>
      </c>
      <c r="AY585" s="15" t="str">
        <f t="shared" si="28"/>
        <v>All dates received</v>
      </c>
      <c r="BD585" s="13">
        <f>IF($AX585="Cancelled","",IFERROR(IF(OR(AS585="",AJ585=""),"",(AJ585+Variables!$B$18-AS585)),""))</f>
        <v>6</v>
      </c>
      <c r="BE585" s="13">
        <f>IF($AX585="Cancelled","",IFERROR(IF(OR(AW585="",AS585=""),"",(AS585+Variables!$B$19)-AW585),""))</f>
        <v>-14</v>
      </c>
      <c r="BF585" s="44">
        <f>IF($AX585="Cancelled","",IFERROR(W585*INDEX(Variables!$B$7:$D$7,IFERROR(MATCH(IF($B585="Robusta","Robusta",(IF($B585="","Arabica",$B585))&amp;" - "&amp;(IF($C585="","Commercial",$C585))),Variables!$B$1:$D$1,0),1))*(BE585/365),""))</f>
        <v>-328.4551518461966</v>
      </c>
      <c r="BG585" s="44">
        <f>IF($AX585="Cancelled","",IFERROR((W585*INDEX(Variables!$B$7:$D$7,IFERROR(MATCH(IF($B585="Robusta","Robusta",(IF($B585="","Arabica",$B585))&amp;" - "&amp;(IF($C585="","Commercial",$C585))),Variables!$B$1:$D$1,0),1))*IFERROR(IF(AB585="","",(AVERAGE(E585:F585)-AB585)-Variables!$B$14),"")/365)+(L585/16.67*INDEX(Variables!$B$8:$D$8,IFERROR(MATCH(IF($B585="Robusta","Robusta",(IF($B585="","Arabica",$B585))&amp;" - "&amp;(IF($C585="","Commercial",$C585))),Variables!$B$1:$D$1,0),1))*IFERROR(IF(AB585="","",(AVERAGE(E585:F585)-AB585)-Variables!$B$14),""))+(W585*INDEX(Variables!$B$9:$D$9,IFERROR(MATCH(IF($B585="Robusta","Robusta",(IF($B585="","Arabica",$B585))&amp;" - "&amp;(IF($C585="","Commercial",$C585))),Variables!$B$1:$D$1,0),1))*IFERROR(IF(AB585="","",(AVERAGE(E585:F585)-AB585)-Variables!$B$14),"")/365),""))</f>
        <v>-159.05416360797048</v>
      </c>
      <c r="BH585" s="44">
        <f>IF($AX585="Cancelled","",IFERROR((W585*INDEX(Variables!$B$7:$D$7,IFERROR(MATCH(IF($B585="Robusta","Robusta",(IF($B585="","Arabica",$B585))&amp;" - "&amp;(IF($C585="","Commercial",$C585))),Variables!$B$1:$D$1,0),1))*AK585/365)+(L585/16.67*INDEX(Variables!$B$8:$D$8,IFERROR(MATCH(IF($B585="Robusta","Robusta",(IF($B585="","Arabica",$B585))&amp;" - "&amp;(IF($C585="","Commercial",$C585))),Variables!$B$1:$D$1,0),1))*AK585)+(W585*INDEX(Variables!$B$9:$D$9,IFERROR(MATCH(IF($B585="Robusta","Robusta",(IF($B585="","Arabica",$B585))&amp;" - "&amp;(IF($C585="","Commercial",$C585))),Variables!$B$1:$D$1,0),1))*AK585/365),""))</f>
        <v>556.68957262789672</v>
      </c>
      <c r="BI585" s="44">
        <f>IF($AX585="Cancelled","",IFERROR((W585*INDEX(Variables!$B$7:$D$7,IFERROR(MATCH(IF($B585="Robusta","Robusta",(IF($B585="","Arabica",$B585))&amp;" - "&amp;(IF($C585="","Commercial",$C585))),Variables!$B$1:$D$1,0),1))*BD585/365)+(L585/16.67*INDEX(Variables!$B$8:$D$8,IFERROR(MATCH(IF($B585="Robusta","Robusta",(IF($B585="","Arabica",$B585))&amp;" - "&amp;(IF($C585="","Commercial",$C585))),Variables!$B$1:$D$1,0),1))*BD585)+(W585*INDEX(Variables!$B$9:$D$9,IFERROR(MATCH(IF($B585="Robusta","Robusta",(IF($B585="","Arabica",$B585))&amp;" - "&amp;(IF($C585="","Commercial",$C585))),Variables!$B$1:$D$1,0),1))*BD585/365),""))</f>
        <v>238.58124541195573</v>
      </c>
      <c r="BJ585" s="44">
        <f t="shared" si="29"/>
        <v>23</v>
      </c>
      <c r="BK585" s="44">
        <f>IF($AX585="Cancelled","",IFERROR(IF(BJ585="","",(W585*INDEX(Variables!$B$7:$D$7,IFERROR(MATCH(IF($B585="Robusta","Robusta",(IF($B585="","Arabica",$B585))&amp;" - "&amp;(IF($C585="","Commercial",$C585))),Variables!$B$1:$D$1,0),1))*(BJ585/365))+(W585*INDEX(Variables!$B$9:$D$9,IFERROR(MATCH(IF($B585="Robusta","Robusta",(IF($B585="","Arabica",$B585))&amp;" - "&amp;(IF($C585="","Commercial",$C585))),Variables!$B$1:$D$1,0),1))*(BJ585/365))+(INDEX(Variables!$B$8:$D$8,IFERROR(MATCH(IF($B585="Robusta","Robusta",(IF($B585="","Arabica",$B585))&amp;" - "&amp;(IF($C585="","Commercial",$C585))),Variables!$B$1:$D$1,0),1))*L585/16.67)),""))</f>
        <v>562.5614407458304</v>
      </c>
    </row>
    <row r="586" spans="1:63">
      <c r="A586" s="13" t="s">
        <v>103</v>
      </c>
      <c r="B586" s="13" t="s">
        <v>104</v>
      </c>
      <c r="C586" s="13" t="s">
        <v>105</v>
      </c>
      <c r="D586" s="31">
        <v>46002</v>
      </c>
      <c r="E586" s="31">
        <v>46143</v>
      </c>
      <c r="F586" s="31">
        <v>46173</v>
      </c>
      <c r="G586" s="13">
        <v>3787038</v>
      </c>
      <c r="H586" s="13">
        <v>4509918</v>
      </c>
      <c r="J586" s="13" t="s">
        <v>236</v>
      </c>
      <c r="K586" s="13">
        <v>5518</v>
      </c>
      <c r="L586" s="13">
        <v>320</v>
      </c>
      <c r="M586" s="13">
        <v>1</v>
      </c>
      <c r="N586" s="13" t="s">
        <v>1636</v>
      </c>
      <c r="O586" s="13" t="s">
        <v>120</v>
      </c>
      <c r="P586" s="13">
        <v>10070</v>
      </c>
      <c r="R586" s="13" t="s">
        <v>239</v>
      </c>
      <c r="S586" s="13" t="s">
        <v>288</v>
      </c>
      <c r="T586" s="13" t="s">
        <v>289</v>
      </c>
      <c r="U586" s="13" t="s">
        <v>182</v>
      </c>
      <c r="V586" s="23">
        <v>23</v>
      </c>
      <c r="W586" s="44">
        <f>IF($AX586="Cancelled","",IFERROR(((V586+INDEX(Variables!$B$6:$D$6,IFERROR(MATCH(IF($B586="Robusta","Robusta",(IF($B586="","Arabica",$B586))&amp;" - "&amp;(IF($C586="","Commercial",$C586))),Variables!$B$1:$D$1,0),1)))*22.0462)*(L586/16.67),""))</f>
        <v>132800.91296940611</v>
      </c>
      <c r="X586" s="55" t="s">
        <v>37</v>
      </c>
      <c r="Y586" s="13" t="str">
        <f>IF($AX586="Cancelled","",IF(X586="","",IFERROR(IF(INDEX(Variables!$B$38:$B$47,MATCH(X586,Variables!$A$38:$A$47,0))="Yes","Yes","No"),"No")))</f>
        <v>Yes</v>
      </c>
      <c r="Z586" s="58">
        <v>46114</v>
      </c>
      <c r="AB586" s="31">
        <v>46120</v>
      </c>
      <c r="AC586" s="13" t="str">
        <f t="shared" si="27"/>
        <v>Approved</v>
      </c>
      <c r="AF586" s="71">
        <v>46163</v>
      </c>
      <c r="AG586" s="37">
        <f>IF($AX586="Cancelled","",IFERROR(IF(F586="","",F586-Variables!$B$13),""))</f>
        <v>46158</v>
      </c>
      <c r="AH586" s="13">
        <f>IF($AX586="Cancelled","",IFERROR(IF(AB586="","",(AVERAGE(E586:F586)-AB586)-Variables!$B$14),""))</f>
        <v>8</v>
      </c>
      <c r="AJ586" s="47">
        <v>46167</v>
      </c>
      <c r="AK586" s="14">
        <f>IF($AX586="Cancelled","",IFERROR(IF(AJ586="","",IF(AND(AB586="",AF586=""),"",IF(AF586&gt;AB586,AF586+Variables!$B$15+Variables!$B$16+Variables!$B$17-AJ586,AB586+Variables!$B$16+Variables!$B$17-AJ586))),""))</f>
        <v>11</v>
      </c>
      <c r="AL586" s="48" t="s">
        <v>114</v>
      </c>
      <c r="AM586" s="13" t="s">
        <v>183</v>
      </c>
      <c r="AN586" s="13" t="s">
        <v>1638</v>
      </c>
      <c r="AP586" s="31">
        <v>46186</v>
      </c>
      <c r="AR586" s="13">
        <v>321600002317</v>
      </c>
      <c r="AS586" s="31" t="s">
        <v>1639</v>
      </c>
      <c r="AU586" s="31">
        <v>46204</v>
      </c>
      <c r="AV586" s="13">
        <v>1206234050</v>
      </c>
      <c r="AW586" s="31">
        <v>46204</v>
      </c>
      <c r="AX586" s="13" t="str">
        <f>IF(ISNUMBER(SEARCH("cancel",#REF!)),"Cancelled",IF(AND(AS586&lt;&gt;"",AU586&lt;&gt;"",AW586&lt;&gt;""),"Closed","Open"))</f>
        <v>Closed</v>
      </c>
      <c r="AY586" s="15" t="str">
        <f t="shared" si="28"/>
        <v>All dates received</v>
      </c>
      <c r="BD586" s="13" t="str">
        <f>IF($AX586="Cancelled","",IFERROR(IF(OR(AS586="",AJ586=""),"",(AJ586+Variables!$B$18-AS586)),""))</f>
        <v/>
      </c>
      <c r="BE586" s="13" t="str">
        <f>IF($AX586="Cancelled","",IFERROR(IF(OR(AW586="",AS586=""),"",(AS586+Variables!$B$19)-AW586),""))</f>
        <v/>
      </c>
      <c r="BF586" s="44" t="str">
        <f>IF($AX586="Cancelled","",IFERROR(W586*INDEX(Variables!$B$7:$D$7,IFERROR(MATCH(IF($B586="Robusta","Robusta",(IF($B586="","Arabica",$B586))&amp;" - "&amp;(IF($C586="","Commercial",$C586))),Variables!$B$1:$D$1,0),1))*(BE586/365),""))</f>
        <v/>
      </c>
      <c r="BG586" s="44">
        <f>IF($AX586="Cancelled","",IFERROR((W586*INDEX(Variables!$B$7:$D$7,IFERROR(MATCH(IF($B586="Robusta","Robusta",(IF($B586="","Arabica",$B586))&amp;" - "&amp;(IF($C586="","Commercial",$C586))),Variables!$B$1:$D$1,0),1))*IFERROR(IF(AB586="","",(AVERAGE(E586:F586)-AB586)-Variables!$B$14),"")/365)+(L586/16.67*INDEX(Variables!$B$8:$D$8,IFERROR(MATCH(IF($B586="Robusta","Robusta",(IF($B586="","Arabica",$B586))&amp;" - "&amp;(IF($C586="","Commercial",$C586))),Variables!$B$1:$D$1,0),1))*IFERROR(IF(AB586="","",(AVERAGE(E586:F586)-AB586)-Variables!$B$14),""))+(W586*INDEX(Variables!$B$9:$D$9,IFERROR(MATCH(IF($B586="Robusta","Robusta",(IF($B586="","Arabica",$B586))&amp;" - "&amp;(IF($C586="","Commercial",$C586))),Variables!$B$1:$D$1,0),1))*IFERROR(IF(AB586="","",(AVERAGE(E586:F586)-AB586)-Variables!$B$14),"")/365),""))</f>
        <v>318.10832721594096</v>
      </c>
      <c r="BH586" s="44">
        <f>IF($AX586="Cancelled","",IFERROR((W586*INDEX(Variables!$B$7:$D$7,IFERROR(MATCH(IF($B586="Robusta","Robusta",(IF($B586="","Arabica",$B586))&amp;" - "&amp;(IF($C586="","Commercial",$C586))),Variables!$B$1:$D$1,0),1))*AK586/365)+(L586/16.67*INDEX(Variables!$B$8:$D$8,IFERROR(MATCH(IF($B586="Robusta","Robusta",(IF($B586="","Arabica",$B586))&amp;" - "&amp;(IF($C586="","Commercial",$C586))),Variables!$B$1:$D$1,0),1))*AK586)+(W586*INDEX(Variables!$B$9:$D$9,IFERROR(MATCH(IF($B586="Robusta","Robusta",(IF($B586="","Arabica",$B586))&amp;" - "&amp;(IF($C586="","Commercial",$C586))),Variables!$B$1:$D$1,0),1))*AK586/365),""))</f>
        <v>437.39894992191881</v>
      </c>
      <c r="BI586" s="44" t="str">
        <f>IF($AX586="Cancelled","",IFERROR((W586*INDEX(Variables!$B$7:$D$7,IFERROR(MATCH(IF($B586="Robusta","Robusta",(IF($B586="","Arabica",$B586))&amp;" - "&amp;(IF($C586="","Commercial",$C586))),Variables!$B$1:$D$1,0),1))*BD586/365)+(L586/16.67*INDEX(Variables!$B$8:$D$8,IFERROR(MATCH(IF($B586="Robusta","Robusta",(IF($B586="","Arabica",$B586))&amp;" - "&amp;(IF($C586="","Commercial",$C586))),Variables!$B$1:$D$1,0),1))*BD586)+(W586*INDEX(Variables!$B$9:$D$9,IFERROR(MATCH(IF($B586="Robusta","Robusta",(IF($B586="","Arabica",$B586))&amp;" - "&amp;(IF($C586="","Commercial",$C586))),Variables!$B$1:$D$1,0),1))*BD586/365),""))</f>
        <v/>
      </c>
      <c r="BJ586" s="44" t="str">
        <f t="shared" si="29"/>
        <v/>
      </c>
      <c r="BK586" s="44" t="str">
        <f>IF($AX586="Cancelled","",IFERROR(IF(BJ586="","",(W586*INDEX(Variables!$B$7:$D$7,IFERROR(MATCH(IF($B586="Robusta","Robusta",(IF($B586="","Arabica",$B586))&amp;" - "&amp;(IF($C586="","Commercial",$C586))),Variables!$B$1:$D$1,0),1))*(BJ586/365))+(W586*INDEX(Variables!$B$9:$D$9,IFERROR(MATCH(IF($B586="Robusta","Robusta",(IF($B586="","Arabica",$B586))&amp;" - "&amp;(IF($C586="","Commercial",$C586))),Variables!$B$1:$D$1,0),1))*(BJ586/365))+(INDEX(Variables!$B$8:$D$8,IFERROR(MATCH(IF($B586="Robusta","Robusta",(IF($B586="","Arabica",$B586))&amp;" - "&amp;(IF($C586="","Commercial",$C586))),Variables!$B$1:$D$1,0),1))*L586/16.67)),""))</f>
        <v/>
      </c>
    </row>
    <row r="587" spans="1:63" s="33" customFormat="1">
      <c r="A587" s="33" t="s">
        <v>103</v>
      </c>
      <c r="B587" s="13" t="s">
        <v>104</v>
      </c>
      <c r="C587" s="13" t="s">
        <v>105</v>
      </c>
      <c r="D587" s="31">
        <v>46002</v>
      </c>
      <c r="E587" s="31">
        <v>46266</v>
      </c>
      <c r="F587" s="31">
        <v>46295</v>
      </c>
      <c r="G587" s="33">
        <v>3787039</v>
      </c>
      <c r="H587" s="13"/>
      <c r="I587" s="13"/>
      <c r="J587" s="13" t="s">
        <v>236</v>
      </c>
      <c r="K587" s="13">
        <v>5626</v>
      </c>
      <c r="L587" s="13">
        <v>320</v>
      </c>
      <c r="M587" s="13">
        <v>1</v>
      </c>
      <c r="N587" s="13" t="s">
        <v>1636</v>
      </c>
      <c r="O587" s="13" t="s">
        <v>120</v>
      </c>
      <c r="P587" s="13">
        <v>10070</v>
      </c>
      <c r="Q587" s="13"/>
      <c r="R587" s="13" t="s">
        <v>239</v>
      </c>
      <c r="S587" s="13" t="s">
        <v>288</v>
      </c>
      <c r="T587" s="13" t="s">
        <v>289</v>
      </c>
      <c r="U587" s="13" t="s">
        <v>182</v>
      </c>
      <c r="V587" s="23">
        <v>23</v>
      </c>
      <c r="W587" s="44">
        <f>IF($AX587="Cancelled","",IFERROR(((V587+INDEX(Variables!$B$6:$D$6,IFERROR(MATCH(IF($B587="Robusta","Robusta",(IF($B587="","Arabica",$B587))&amp;" - "&amp;(IF($C587="","Commercial",$C587))),Variables!$B$1:$D$1,0),1)))*22.0462)*(L587/16.67),""))</f>
        <v>132800.91296940611</v>
      </c>
      <c r="X587" s="55" t="s">
        <v>37</v>
      </c>
      <c r="Y587" s="13" t="str">
        <f>IF($AX587="Cancelled","",IF(X587="","",IFERROR(IF(INDEX(Variables!$B$38:$B$47,MATCH(X587,Variables!$A$38:$A$47,0))="Yes","Yes","No"),"No")))</f>
        <v>Yes</v>
      </c>
      <c r="Z587" s="58">
        <v>46227</v>
      </c>
      <c r="AA587" s="13"/>
      <c r="AB587" s="31">
        <v>46239</v>
      </c>
      <c r="AC587" s="13" t="str">
        <f t="shared" si="27"/>
        <v>Approved</v>
      </c>
      <c r="AD587" s="31">
        <v>46216</v>
      </c>
      <c r="AE587" s="31"/>
      <c r="AF587" s="71">
        <v>46261</v>
      </c>
      <c r="AG587" s="37">
        <f>IF($AX587="Cancelled","",IFERROR(IF(F587="","",F587-Variables!$B$13),""))</f>
        <v>46280</v>
      </c>
      <c r="AH587" s="13">
        <f>IF($AX587="Cancelled","",IFERROR(IF(AB587="","",(AVERAGE(E587:F587)-AB587)-Variables!$B$14),""))</f>
        <v>11.5</v>
      </c>
      <c r="AI587" s="13"/>
      <c r="AJ587" s="47">
        <v>46265</v>
      </c>
      <c r="AK587" s="14">
        <f>IF($AX587="Cancelled","",IFERROR(IF(AJ587="","",IF(AND(AB587="",AF587=""),"",IF(AF587&gt;AB587,AF587+Variables!$B$15+Variables!$B$16+Variables!$B$17-AJ587,AB587+Variables!$B$16+Variables!$B$17-AJ587))),""))</f>
        <v>11</v>
      </c>
      <c r="AL587" s="48" t="s">
        <v>114</v>
      </c>
      <c r="AM587" s="33" t="s">
        <v>183</v>
      </c>
      <c r="AN587" s="33" t="s">
        <v>1640</v>
      </c>
      <c r="AO587" s="39">
        <v>46269</v>
      </c>
      <c r="AP587" s="39">
        <v>46278</v>
      </c>
      <c r="AQ587" s="39">
        <v>46329</v>
      </c>
      <c r="AR587" s="33">
        <v>321600003542</v>
      </c>
      <c r="AS587" s="39">
        <v>46278</v>
      </c>
      <c r="AT587" s="39"/>
      <c r="AU587" s="39">
        <v>46304</v>
      </c>
      <c r="AV587" s="73">
        <v>6976090273</v>
      </c>
      <c r="AW587" s="39">
        <v>46297</v>
      </c>
      <c r="AX587" s="33" t="str">
        <f>IF(ISNUMBER(SEARCH("cancel",#REF!)),"Cancelled",IF(AND(AS587&lt;&gt;"",AU587&lt;&gt;"",AW587&lt;&gt;""),"Closed","Open"))</f>
        <v>Closed</v>
      </c>
      <c r="AY587" s="15" t="str">
        <f t="shared" si="28"/>
        <v>All dates received</v>
      </c>
      <c r="BD587" s="33">
        <f>IF($AX587="Cancelled","",IFERROR(IF(OR(AS587="",AJ587=""),"",(AJ587+Variables!$B$18-AS587)),""))</f>
        <v>2</v>
      </c>
      <c r="BE587" s="33">
        <f>IF($AX587="Cancelled","",IFERROR(IF(OR(AW587="",AS587=""),"",(AS587+Variables!$B$19)-AW587),""))</f>
        <v>-14</v>
      </c>
      <c r="BF587" s="43">
        <f>IF($AX587="Cancelled","",IFERROR(W587*INDEX(Variables!$B$7:$D$7,IFERROR(MATCH(IF($B587="Robusta","Robusta",(IF($B587="","Arabica",$B587))&amp;" - "&amp;(IF($C587="","Commercial",$C587))),Variables!$B$1:$D$1,0),1))*(BE587/365),""))</f>
        <v>-328.4551518461966</v>
      </c>
      <c r="BG587" s="43">
        <f>IF($AX587="Cancelled","",IFERROR((W587*INDEX(Variables!$B$7:$D$7,IFERROR(MATCH(IF($B587="Robusta","Robusta",(IF($B587="","Arabica",$B587))&amp;" - "&amp;(IF($C587="","Commercial",$C587))),Variables!$B$1:$D$1,0),1))*IFERROR(IF(AB587="","",(AVERAGE(E587:F587)-AB587)-Variables!$B$14),"")/365)+(L587/16.67*INDEX(Variables!$B$8:$D$8,IFERROR(MATCH(IF($B587="Robusta","Robusta",(IF($B587="","Arabica",$B587))&amp;" - "&amp;(IF($C587="","Commercial",$C587))),Variables!$B$1:$D$1,0),1))*IFERROR(IF(AB587="","",(AVERAGE(E587:F587)-AB587)-Variables!$B$14),""))+(W587*INDEX(Variables!$B$9:$D$9,IFERROR(MATCH(IF($B587="Robusta","Robusta",(IF($B587="","Arabica",$B587))&amp;" - "&amp;(IF($C587="","Commercial",$C587))),Variables!$B$1:$D$1,0),1))*IFERROR(IF(AB587="","",(AVERAGE(E587:F587)-AB587)-Variables!$B$14),"")/365),""))</f>
        <v>457.2807203729152</v>
      </c>
      <c r="BH587" s="43">
        <f>IF($AX587="Cancelled","",IFERROR((W587*INDEX(Variables!$B$7:$D$7,IFERROR(MATCH(IF($B587="Robusta","Robusta",(IF($B587="","Arabica",$B587))&amp;" - "&amp;(IF($C587="","Commercial",$C587))),Variables!$B$1:$D$1,0),1))*AK587/365)+(L587/16.67*INDEX(Variables!$B$8:$D$8,IFERROR(MATCH(IF($B587="Robusta","Robusta",(IF($B587="","Arabica",$B587))&amp;" - "&amp;(IF($C587="","Commercial",$C587))),Variables!$B$1:$D$1,0),1))*AK587)+(W587*INDEX(Variables!$B$9:$D$9,IFERROR(MATCH(IF($B587="Robusta","Robusta",(IF($B587="","Arabica",$B587))&amp;" - "&amp;(IF($C587="","Commercial",$C587))),Variables!$B$1:$D$1,0),1))*AK587/365),""))</f>
        <v>437.39894992191881</v>
      </c>
      <c r="BI587" s="43">
        <f>IF($AX587="Cancelled","",IFERROR((W587*INDEX(Variables!$B$7:$D$7,IFERROR(MATCH(IF($B587="Robusta","Robusta",(IF($B587="","Arabica",$B587))&amp;" - "&amp;(IF($C587="","Commercial",$C587))),Variables!$B$1:$D$1,0),1))*BD587/365)+(L587/16.67*INDEX(Variables!$B$8:$D$8,IFERROR(MATCH(IF($B587="Robusta","Robusta",(IF($B587="","Arabica",$B587))&amp;" - "&amp;(IF($C587="","Commercial",$C587))),Variables!$B$1:$D$1,0),1))*BD587)+(W587*INDEX(Variables!$B$9:$D$9,IFERROR(MATCH(IF($B587="Robusta","Robusta",(IF($B587="","Arabica",$B587))&amp;" - "&amp;(IF($C587="","Commercial",$C587))),Variables!$B$1:$D$1,0),1))*BD587/365),""))</f>
        <v>79.52708180398524</v>
      </c>
      <c r="BJ587" s="43">
        <f t="shared" si="29"/>
        <v>17</v>
      </c>
      <c r="BK587" s="43">
        <f>IF($AX587="Cancelled","",IFERROR(IF(BJ587="","",(W587*INDEX(Variables!$B$7:$D$7,IFERROR(MATCH(IF($B587="Robusta","Robusta",(IF($B587="","Arabica",$B587))&amp;" - "&amp;(IF($C587="","Commercial",$C587))),Variables!$B$1:$D$1,0),1))*(BJ587/365))+(W587*INDEX(Variables!$B$9:$D$9,IFERROR(MATCH(IF($B587="Robusta","Robusta",(IF($B587="","Arabica",$B587))&amp;" - "&amp;(IF($C587="","Commercial",$C587))),Variables!$B$1:$D$1,0),1))*(BJ587/365))+(INDEX(Variables!$B$8:$D$8,IFERROR(MATCH(IF($B587="Robusta","Robusta",(IF($B587="","Arabica",$B587))&amp;" - "&amp;(IF($C587="","Commercial",$C587))),Variables!$B$1:$D$1,0),1))*L587/16.67)),""))</f>
        <v>419.98019533387458</v>
      </c>
    </row>
    <row r="588" spans="1:63">
      <c r="A588" s="13" t="s">
        <v>103</v>
      </c>
      <c r="B588" s="13" t="s">
        <v>104</v>
      </c>
      <c r="C588" s="13" t="s">
        <v>292</v>
      </c>
      <c r="D588" s="31">
        <v>46002</v>
      </c>
      <c r="E588" s="31">
        <v>46023</v>
      </c>
      <c r="F588" s="31">
        <v>46053</v>
      </c>
      <c r="G588" s="13">
        <v>3787040</v>
      </c>
      <c r="J588" s="13" t="s">
        <v>1641</v>
      </c>
      <c r="K588" s="13" t="s">
        <v>1642</v>
      </c>
      <c r="L588" s="13">
        <v>29</v>
      </c>
      <c r="M588" s="13">
        <v>1</v>
      </c>
      <c r="N588" s="13" t="s">
        <v>1643</v>
      </c>
      <c r="O588" s="13" t="s">
        <v>771</v>
      </c>
      <c r="P588" s="13">
        <v>10010</v>
      </c>
      <c r="R588" s="13" t="s">
        <v>239</v>
      </c>
      <c r="S588" s="13" t="s">
        <v>776</v>
      </c>
      <c r="T588" s="13" t="s">
        <v>777</v>
      </c>
      <c r="U588" s="13" t="s">
        <v>125</v>
      </c>
      <c r="V588" s="13">
        <v>150</v>
      </c>
      <c r="W588" s="44">
        <f>IF($AX588="Cancelled","",IFERROR(((V588+INDEX(Variables!$B$6:$D$6,IFERROR(MATCH(IF($B588="Robusta","Robusta",(IF($B588="","Arabica",$B588))&amp;" - "&amp;(IF($C588="","Commercial",$C588))),Variables!$B$1:$D$1,0),1)))*22.0462)*(L588/16.67),""))</f>
        <v>16905.877854829032</v>
      </c>
      <c r="X588" s="55" t="s">
        <v>39</v>
      </c>
      <c r="Y588" s="13" t="str">
        <f>IF($AX588="Cancelled","",IF(X588="","",IFERROR(IF(INDEX(Variables!$B$38:$B$47,MATCH(X588,Variables!$A$38:$A$47,0))="Yes","Yes","No"),"No")))</f>
        <v>No</v>
      </c>
      <c r="Z588" s="31"/>
      <c r="AB588" s="31">
        <v>46005.875</v>
      </c>
      <c r="AC588" s="13" t="str">
        <f t="shared" si="27"/>
        <v>Approved</v>
      </c>
      <c r="AF588" s="71">
        <v>46041</v>
      </c>
      <c r="AG588" s="31">
        <f>IF($AX588="Cancelled","",IFERROR(IF(F588="","",F588-Variables!$B$13),""))</f>
        <v>46038</v>
      </c>
      <c r="AH588" s="13">
        <f>IF($AX588="Cancelled","",IFERROR(IF(AB588="","",(AVERAGE(E588:F588)-AB588)-Variables!$B$14),""))</f>
        <v>2.125</v>
      </c>
      <c r="AJ588" s="47">
        <v>46044</v>
      </c>
      <c r="AK588" s="14">
        <f>IF($AX588="Cancelled","",IFERROR(IF(AJ588="","",IF(AND(AB588="",AF588=""),"",IF(AF588&gt;AB588,AF588+Variables!$B$15+Variables!$B$16+Variables!$B$17-AJ588,AB588+Variables!$B$16+Variables!$B$17-AJ588))),""))</f>
        <v>12</v>
      </c>
      <c r="AL588" s="48" t="s">
        <v>114</v>
      </c>
      <c r="AM588" s="13" t="s">
        <v>1644</v>
      </c>
      <c r="AN588" s="13" t="s">
        <v>1645</v>
      </c>
      <c r="AP588" s="31">
        <v>46061</v>
      </c>
      <c r="AR588" s="13" t="s">
        <v>1646</v>
      </c>
      <c r="AS588" s="31">
        <v>46061</v>
      </c>
      <c r="AU588" s="31">
        <v>46087</v>
      </c>
      <c r="AV588" s="13" t="s">
        <v>1647</v>
      </c>
      <c r="AW588" s="31">
        <v>46087</v>
      </c>
      <c r="AX588" s="13" t="str">
        <f>IF(ISNUMBER(SEARCH("cancel",#REF!)),"Cancelled",IF(AND(AS588&lt;&gt;"",AU588&lt;&gt;"",AW588&lt;&gt;""),"Closed","Open"))</f>
        <v>Closed</v>
      </c>
      <c r="AY588" s="15" t="str">
        <f t="shared" si="28"/>
        <v>All dates received</v>
      </c>
      <c r="BD588" s="13">
        <f>IF($AX588="Cancelled","",IFERROR(IF(OR(AS588="",AJ588=""),"",(AJ588+Variables!$B$18-AS588)),""))</f>
        <v>-2</v>
      </c>
      <c r="BE588" s="13">
        <f>IF($AX588="Cancelled","",IFERROR(IF(OR(AW588="",AS588=""),"",(AS588+Variables!$B$19)-AW588),""))</f>
        <v>-21</v>
      </c>
      <c r="BF588" s="44">
        <f>IF($AX588="Cancelled","",IFERROR(W588*INDEX(Variables!$B$7:$D$7,IFERROR(MATCH(IF($B588="Robusta","Robusta",(IF($B588="","Arabica",$B588))&amp;" - "&amp;(IF($C588="","Commercial",$C588))),Variables!$B$1:$D$1,0),1))*(BE588/365),""))</f>
        <v>-62.719704485544639</v>
      </c>
      <c r="BG588" s="44">
        <f>IF($AX588="Cancelled","",IFERROR((W588*INDEX(Variables!$B$7:$D$7,IFERROR(MATCH(IF($B588="Robusta","Robusta",(IF($B588="","Arabica",$B588))&amp;" - "&amp;(IF($C588="","Commercial",$C588))),Variables!$B$1:$D$1,0),1))*IFERROR(IF(AB588="","",(AVERAGE(E588:F588)-AB588)-Variables!$B$14),"")/365)+(L588/16.67*INDEX(Variables!$B$8:$D$8,IFERROR(MATCH(IF($B588="Robusta","Robusta",(IF($B588="","Arabica",$B588))&amp;" - "&amp;(IF($C588="","Commercial",$C588))),Variables!$B$1:$D$1,0),1))*IFERROR(IF(AB588="","",(AVERAGE(E588:F588)-AB588)-Variables!$B$14),""))+(W588*INDEX(Variables!$B$9:$D$9,IFERROR(MATCH(IF($B588="Robusta","Robusta",(IF($B588="","Arabica",$B588))&amp;" - "&amp;(IF($C588="","Commercial",$C588))),Variables!$B$1:$D$1,0),1))*IFERROR(IF(AB588="","",(AVERAGE(E588:F588)-AB588)-Variables!$B$14),"")/365),""))</f>
        <v>9.5097071594566422</v>
      </c>
      <c r="BH588" s="44">
        <f>IF($AX588="Cancelled","",IFERROR((W588*INDEX(Variables!$B$7:$D$7,IFERROR(MATCH(IF($B588="Robusta","Robusta",(IF($B588="","Arabica",$B588))&amp;" - "&amp;(IF($C588="","Commercial",$C588))),Variables!$B$1:$D$1,0),1))*AK588/365)+(L588/16.67*INDEX(Variables!$B$8:$D$8,IFERROR(MATCH(IF($B588="Robusta","Robusta",(IF($B588="","Arabica",$B588))&amp;" - "&amp;(IF($C588="","Commercial",$C588))),Variables!$B$1:$D$1,0),1))*AK588)+(W588*INDEX(Variables!$B$9:$D$9,IFERROR(MATCH(IF($B588="Robusta","Robusta",(IF($B588="","Arabica",$B588))&amp;" - "&amp;(IF($C588="","Commercial",$C588))),Variables!$B$1:$D$1,0),1))*AK588/365),""))</f>
        <v>53.701875723990455</v>
      </c>
      <c r="BI588" s="44">
        <f>IF($AX588="Cancelled","",IFERROR((W588*INDEX(Variables!$B$7:$D$7,IFERROR(MATCH(IF($B588="Robusta","Robusta",(IF($B588="","Arabica",$B588))&amp;" - "&amp;(IF($C588="","Commercial",$C588))),Variables!$B$1:$D$1,0),1))*BD588/365)+(L588/16.67*INDEX(Variables!$B$8:$D$8,IFERROR(MATCH(IF($B588="Robusta","Robusta",(IF($B588="","Arabica",$B588))&amp;" - "&amp;(IF($C588="","Commercial",$C588))),Variables!$B$1:$D$1,0),1))*BD588)+(W588*INDEX(Variables!$B$9:$D$9,IFERROR(MATCH(IF($B588="Robusta","Robusta",(IF($B588="","Arabica",$B588))&amp;" - "&amp;(IF($C588="","Commercial",$C588))),Variables!$B$1:$D$1,0),1))*BD588/365),""))</f>
        <v>-8.9503126206650752</v>
      </c>
      <c r="BJ588" s="44">
        <f t="shared" si="29"/>
        <v>-8</v>
      </c>
      <c r="BK588" s="44">
        <f>IF($AX588="Cancelled","",IFERROR(IF(BJ588="","",(W588*INDEX(Variables!$B$7:$D$7,IFERROR(MATCH(IF($B588="Robusta","Robusta",(IF($B588="","Arabica",$B588))&amp;" - "&amp;(IF($C588="","Commercial",$C588))),Variables!$B$1:$D$1,0),1))*(BJ588/365))+(W588*INDEX(Variables!$B$9:$D$9,IFERROR(MATCH(IF($B588="Robusta","Robusta",(IF($B588="","Arabica",$B588))&amp;" - "&amp;(IF($C588="","Commercial",$C588))),Variables!$B$1:$D$1,0),1))*(BJ588/365))+(INDEX(Variables!$B$8:$D$8,IFERROR(MATCH(IF($B588="Robusta","Robusta",(IF($B588="","Arabica",$B588))&amp;" - "&amp;(IF($C588="","Commercial",$C588))),Variables!$B$1:$D$1,0),1))*L588/16.67)),""))</f>
        <v>-22.7512504826603</v>
      </c>
    </row>
    <row r="589" spans="1:63">
      <c r="A589" s="13" t="s">
        <v>103</v>
      </c>
      <c r="B589" s="13" t="s">
        <v>104</v>
      </c>
      <c r="C589" s="13" t="s">
        <v>292</v>
      </c>
      <c r="D589" s="31">
        <v>46002</v>
      </c>
      <c r="E589" s="31">
        <v>46023</v>
      </c>
      <c r="F589" s="31">
        <v>46053</v>
      </c>
      <c r="G589" s="13">
        <v>3787041</v>
      </c>
      <c r="J589" s="13" t="s">
        <v>1641</v>
      </c>
      <c r="K589" s="13" t="s">
        <v>1648</v>
      </c>
      <c r="L589" s="13">
        <v>31</v>
      </c>
      <c r="M589" s="13">
        <v>0</v>
      </c>
      <c r="N589" s="13" t="s">
        <v>1649</v>
      </c>
      <c r="O589" s="13" t="s">
        <v>771</v>
      </c>
      <c r="P589" s="13">
        <v>10010</v>
      </c>
      <c r="R589" s="13" t="s">
        <v>239</v>
      </c>
      <c r="S589" s="13" t="s">
        <v>776</v>
      </c>
      <c r="T589" s="13" t="s">
        <v>777</v>
      </c>
      <c r="U589" s="13" t="s">
        <v>125</v>
      </c>
      <c r="V589" s="13">
        <v>137</v>
      </c>
      <c r="W589" s="44">
        <f>IF($AX589="Cancelled","",IFERROR(((V589+INDEX(Variables!$B$6:$D$6,IFERROR(MATCH(IF($B589="Robusta","Robusta",(IF($B589="","Arabica",$B589))&amp;" - "&amp;(IF($C589="","Commercial",$C589))),Variables!$B$1:$D$1,0),1)))*22.0462)*(L589/16.67),""))</f>
        <v>17538.829943611276</v>
      </c>
      <c r="X589" s="55" t="s">
        <v>39</v>
      </c>
      <c r="Y589" s="13" t="str">
        <f>IF($AX589="Cancelled","",IF(X589="","",IFERROR(IF(INDEX(Variables!$B$38:$B$47,MATCH(X589,Variables!$A$38:$A$47,0))="Yes","Yes","No"),"No")))</f>
        <v>No</v>
      </c>
      <c r="Z589" s="31"/>
      <c r="AB589" s="31">
        <v>46005.875</v>
      </c>
      <c r="AC589" s="13" t="str">
        <f t="shared" si="27"/>
        <v>Approved</v>
      </c>
      <c r="AF589" s="71">
        <v>46041</v>
      </c>
      <c r="AG589" s="31">
        <f>IF($AX589="Cancelled","",IFERROR(IF(F589="","",F589-Variables!$B$13),""))</f>
        <v>46038</v>
      </c>
      <c r="AH589" s="13">
        <f>IF($AX589="Cancelled","",IFERROR(IF(AB589="","",(AVERAGE(E589:F589)-AB589)-Variables!$B$14),""))</f>
        <v>2.125</v>
      </c>
      <c r="AJ589" s="47">
        <v>46044</v>
      </c>
      <c r="AK589" s="14">
        <f>IF($AX589="Cancelled","",IFERROR(IF(AJ589="","",IF(AND(AB589="",AF589=""),"",IF(AF589&gt;AB589,AF589+Variables!$B$15+Variables!$B$16+Variables!$B$17-AJ589,AB589+Variables!$B$16+Variables!$B$17-AJ589))),""))</f>
        <v>12</v>
      </c>
      <c r="AL589" s="48" t="s">
        <v>114</v>
      </c>
      <c r="AM589" s="13" t="s">
        <v>1644</v>
      </c>
      <c r="AN589" s="13" t="s">
        <v>1645</v>
      </c>
      <c r="AP589" s="31">
        <v>46061</v>
      </c>
      <c r="AR589" s="13" t="s">
        <v>1646</v>
      </c>
      <c r="AS589" s="31">
        <v>46061</v>
      </c>
      <c r="AU589" s="31">
        <v>46087</v>
      </c>
      <c r="AV589" s="13" t="s">
        <v>1647</v>
      </c>
      <c r="AW589" s="31">
        <v>46087</v>
      </c>
      <c r="AX589" s="13" t="str">
        <f>IF(ISNUMBER(SEARCH("cancel",#REF!)),"Cancelled",IF(AND(AS589&lt;&gt;"",AU589&lt;&gt;"",AW589&lt;&gt;""),"Closed","Open"))</f>
        <v>Closed</v>
      </c>
      <c r="AY589" s="15" t="str">
        <f t="shared" si="28"/>
        <v>All dates received</v>
      </c>
      <c r="BD589" s="13">
        <f>IF($AX589="Cancelled","",IFERROR(IF(OR(AS589="",AJ589=""),"",(AJ589+Variables!$B$18-AS589)),""))</f>
        <v>-2</v>
      </c>
      <c r="BE589" s="13">
        <f>IF($AX589="Cancelled","",IFERROR(IF(OR(AW589="",AS589=""),"",(AS589+Variables!$B$19)-AW589),""))</f>
        <v>-21</v>
      </c>
      <c r="BF589" s="44">
        <f>IF($AX589="Cancelled","",IFERROR(W589*INDEX(Variables!$B$7:$D$7,IFERROR(MATCH(IF($B589="Robusta","Robusta",(IF($B589="","Arabica",$B589))&amp;" - "&amp;(IF($C589="","Commercial",$C589))),Variables!$B$1:$D$1,0),1))*(BE589/365),""))</f>
        <v>-65.067915462982327</v>
      </c>
      <c r="BG589" s="44">
        <f>IF($AX589="Cancelled","",IFERROR((W589*INDEX(Variables!$B$7:$D$7,IFERROR(MATCH(IF($B589="Robusta","Robusta",(IF($B589="","Arabica",$B589))&amp;" - "&amp;(IF($C589="","Commercial",$C589))),Variables!$B$1:$D$1,0),1))*IFERROR(IF(AB589="","",(AVERAGE(E589:F589)-AB589)-Variables!$B$14),"")/365)+(L589/16.67*INDEX(Variables!$B$8:$D$8,IFERROR(MATCH(IF($B589="Robusta","Robusta",(IF($B589="","Arabica",$B589))&amp;" - "&amp;(IF($C589="","Commercial",$C589))),Variables!$B$1:$D$1,0),1))*IFERROR(IF(AB589="","",(AVERAGE(E589:F589)-AB589)-Variables!$B$14),""))+(W589*INDEX(Variables!$B$9:$D$9,IFERROR(MATCH(IF($B589="Robusta","Robusta",(IF($B589="","Arabica",$B589))&amp;" - "&amp;(IF($C589="","Commercial",$C589))),Variables!$B$1:$D$1,0),1))*IFERROR(IF(AB589="","",(AVERAGE(E589:F589)-AB589)-Variables!$B$14),"")/365),""))</f>
        <v>9.9628870828338805</v>
      </c>
      <c r="BH589" s="44">
        <f>IF($AX589="Cancelled","",IFERROR((W589*INDEX(Variables!$B$7:$D$7,IFERROR(MATCH(IF($B589="Robusta","Robusta",(IF($B589="","Arabica",$B589))&amp;" - "&amp;(IF($C589="","Commercial",$C589))),Variables!$B$1:$D$1,0),1))*AK589/365)+(L589/16.67*INDEX(Variables!$B$8:$D$8,IFERROR(MATCH(IF($B589="Robusta","Robusta",(IF($B589="","Arabica",$B589))&amp;" - "&amp;(IF($C589="","Commercial",$C589))),Variables!$B$1:$D$1,0),1))*AK589)+(W589*INDEX(Variables!$B$9:$D$9,IFERROR(MATCH(IF($B589="Robusta","Robusta",(IF($B589="","Arabica",$B589))&amp;" - "&amp;(IF($C589="","Commercial",$C589))),Variables!$B$1:$D$1,0),1))*AK589/365),""))</f>
        <v>56.261009408944275</v>
      </c>
      <c r="BI589" s="44">
        <f>IF($AX589="Cancelled","",IFERROR((W589*INDEX(Variables!$B$7:$D$7,IFERROR(MATCH(IF($B589="Robusta","Robusta",(IF($B589="","Arabica",$B589))&amp;" - "&amp;(IF($C589="","Commercial",$C589))),Variables!$B$1:$D$1,0),1))*BD589/365)+(L589/16.67*INDEX(Variables!$B$8:$D$8,IFERROR(MATCH(IF($B589="Robusta","Robusta",(IF($B589="","Arabica",$B589))&amp;" - "&amp;(IF($C589="","Commercial",$C589))),Variables!$B$1:$D$1,0),1))*BD589)+(W589*INDEX(Variables!$B$9:$D$9,IFERROR(MATCH(IF($B589="Robusta","Robusta",(IF($B589="","Arabica",$B589))&amp;" - "&amp;(IF($C589="","Commercial",$C589))),Variables!$B$1:$D$1,0),1))*BD589/365),""))</f>
        <v>-9.3768349014907137</v>
      </c>
      <c r="BJ589" s="44">
        <f t="shared" si="29"/>
        <v>-8</v>
      </c>
      <c r="BK589" s="44">
        <f>IF($AX589="Cancelled","",IFERROR(IF(BJ589="","",(W589*INDEX(Variables!$B$7:$D$7,IFERROR(MATCH(IF($B589="Robusta","Robusta",(IF($B589="","Arabica",$B589))&amp;" - "&amp;(IF($C589="","Commercial",$C589))),Variables!$B$1:$D$1,0),1))*(BJ589/365))+(W589*INDEX(Variables!$B$9:$D$9,IFERROR(MATCH(IF($B589="Robusta","Robusta",(IF($B589="","Arabica",$B589))&amp;" - "&amp;(IF($C589="","Commercial",$C589))),Variables!$B$1:$D$1,0),1))*(BJ589/365))+(INDEX(Variables!$B$8:$D$8,IFERROR(MATCH(IF($B589="Robusta","Robusta",(IF($B589="","Arabica",$B589))&amp;" - "&amp;(IF($C589="","Commercial",$C589))),Variables!$B$1:$D$1,0),1))*L589/16.67)),""))</f>
        <v>-23.557339605962849</v>
      </c>
    </row>
    <row r="590" spans="1:63">
      <c r="A590" s="13" t="s">
        <v>103</v>
      </c>
      <c r="B590" s="13" t="s">
        <v>104</v>
      </c>
      <c r="C590" s="13" t="s">
        <v>292</v>
      </c>
      <c r="D590" s="31">
        <v>46002</v>
      </c>
      <c r="E590" s="31">
        <v>46023</v>
      </c>
      <c r="F590" s="31">
        <v>46053</v>
      </c>
      <c r="G590" s="13">
        <v>3787042</v>
      </c>
      <c r="J590" s="13" t="s">
        <v>1641</v>
      </c>
      <c r="K590" s="13" t="s">
        <v>1650</v>
      </c>
      <c r="L590" s="13">
        <v>30</v>
      </c>
      <c r="M590" s="13">
        <v>0</v>
      </c>
      <c r="N590" s="13" t="s">
        <v>1651</v>
      </c>
      <c r="O590" s="13" t="s">
        <v>771</v>
      </c>
      <c r="P590" s="13">
        <v>10010</v>
      </c>
      <c r="R590" s="13" t="s">
        <v>239</v>
      </c>
      <c r="S590" s="13" t="s">
        <v>776</v>
      </c>
      <c r="T590" s="13" t="s">
        <v>777</v>
      </c>
      <c r="U590" s="13" t="s">
        <v>125</v>
      </c>
      <c r="V590" s="13">
        <v>156</v>
      </c>
      <c r="W590" s="44">
        <f>IF($AX590="Cancelled","",IFERROR(((V590+INDEX(Variables!$B$6:$D$6,IFERROR(MATCH(IF($B590="Robusta","Robusta",(IF($B590="","Arabica",$B590))&amp;" - "&amp;(IF($C590="","Commercial",$C590))),Variables!$B$1:$D$1,0),1)))*22.0462)*(L590/16.67),""))</f>
        <v>17726.890509898018</v>
      </c>
      <c r="X590" s="55" t="s">
        <v>39</v>
      </c>
      <c r="Y590" s="13" t="str">
        <f>IF($AX590="Cancelled","",IF(X590="","",IFERROR(IF(INDEX(Variables!$B$38:$B$47,MATCH(X590,Variables!$A$38:$A$47,0))="Yes","Yes","No"),"No")))</f>
        <v>No</v>
      </c>
      <c r="Z590" s="31"/>
      <c r="AB590" s="31">
        <v>46005.875</v>
      </c>
      <c r="AC590" s="13" t="str">
        <f t="shared" si="27"/>
        <v>Approved</v>
      </c>
      <c r="AF590" s="71">
        <v>46041</v>
      </c>
      <c r="AG590" s="31">
        <f>IF($AX590="Cancelled","",IFERROR(IF(F590="","",F590-Variables!$B$13),""))</f>
        <v>46038</v>
      </c>
      <c r="AH590" s="13">
        <f>IF($AX590="Cancelled","",IFERROR(IF(AB590="","",(AVERAGE(E590:F590)-AB590)-Variables!$B$14),""))</f>
        <v>2.125</v>
      </c>
      <c r="AJ590" s="47">
        <v>46044</v>
      </c>
      <c r="AK590" s="14">
        <f>IF($AX590="Cancelled","",IFERROR(IF(AJ590="","",IF(AND(AB590="",AF590=""),"",IF(AF590&gt;AB590,AF590+Variables!$B$15+Variables!$B$16+Variables!$B$17-AJ590,AB590+Variables!$B$16+Variables!$B$17-AJ590))),""))</f>
        <v>12</v>
      </c>
      <c r="AL590" s="48" t="s">
        <v>114</v>
      </c>
      <c r="AM590" s="13" t="s">
        <v>1644</v>
      </c>
      <c r="AN590" s="13" t="s">
        <v>1645</v>
      </c>
      <c r="AP590" s="31">
        <v>46061</v>
      </c>
      <c r="AR590" s="13" t="s">
        <v>1646</v>
      </c>
      <c r="AS590" s="31">
        <v>46061</v>
      </c>
      <c r="AU590" s="31">
        <v>46087</v>
      </c>
      <c r="AV590" s="13" t="s">
        <v>1647</v>
      </c>
      <c r="AW590" s="31">
        <v>46087</v>
      </c>
      <c r="AX590" s="13" t="str">
        <f>IF(ISNUMBER(SEARCH("cancel",#REF!)),"Cancelled",IF(AND(AS590&lt;&gt;"",AU590&lt;&gt;"",AW590&lt;&gt;""),"Closed","Open"))</f>
        <v>Closed</v>
      </c>
      <c r="AY590" s="15" t="str">
        <f t="shared" si="28"/>
        <v>All dates received</v>
      </c>
      <c r="BD590" s="13">
        <f>IF($AX590="Cancelled","",IFERROR(IF(OR(AS590="",AJ590=""),"",(AJ590+Variables!$B$18-AS590)),""))</f>
        <v>-2</v>
      </c>
      <c r="BE590" s="13">
        <f>IF($AX590="Cancelled","",IFERROR(IF(OR(AW590="",AS590=""),"",(AS590+Variables!$B$19)-AW590),""))</f>
        <v>-21</v>
      </c>
      <c r="BF590" s="44">
        <f>IF($AX590="Cancelled","",IFERROR(W590*INDEX(Variables!$B$7:$D$7,IFERROR(MATCH(IF($B590="Robusta","Robusta",(IF($B590="","Arabica",$B590))&amp;" - "&amp;(IF($C590="","Commercial",$C590))),Variables!$B$1:$D$1,0),1))*(BE590/365),""))</f>
        <v>-65.765607901326746</v>
      </c>
      <c r="BG590" s="44">
        <f>IF($AX590="Cancelled","",IFERROR((W590*INDEX(Variables!$B$7:$D$7,IFERROR(MATCH(IF($B590="Robusta","Robusta",(IF($B590="","Arabica",$B590))&amp;" - "&amp;(IF($C590="","Commercial",$C590))),Variables!$B$1:$D$1,0),1))*IFERROR(IF(AB590="","",(AVERAGE(E590:F590)-AB590)-Variables!$B$14),"")/365)+(L590/16.67*INDEX(Variables!$B$8:$D$8,IFERROR(MATCH(IF($B590="Robusta","Robusta",(IF($B590="","Arabica",$B590))&amp;" - "&amp;(IF($C590="","Commercial",$C590))),Variables!$B$1:$D$1,0),1))*IFERROR(IF(AB590="","",(AVERAGE(E590:F590)-AB590)-Variables!$B$14),""))+(W590*INDEX(Variables!$B$9:$D$9,IFERROR(MATCH(IF($B590="Robusta","Robusta",(IF($B590="","Arabica",$B590))&amp;" - "&amp;(IF($C590="","Commercial",$C590))),Variables!$B$1:$D$1,0),1))*IFERROR(IF(AB590="","",(AVERAGE(E590:F590)-AB590)-Variables!$B$14),"")/365),""))</f>
        <v>9.9281470809622636</v>
      </c>
      <c r="BH590" s="44">
        <f>IF($AX590="Cancelled","",IFERROR((W590*INDEX(Variables!$B$7:$D$7,IFERROR(MATCH(IF($B590="Robusta","Robusta",(IF($B590="","Arabica",$B590))&amp;" - "&amp;(IF($C590="","Commercial",$C590))),Variables!$B$1:$D$1,0),1))*AK590/365)+(L590/16.67*INDEX(Variables!$B$8:$D$8,IFERROR(MATCH(IF($B590="Robusta","Robusta",(IF($B590="","Arabica",$B590))&amp;" - "&amp;(IF($C590="","Commercial",$C590))),Variables!$B$1:$D$1,0),1))*AK590)+(W590*INDEX(Variables!$B$9:$D$9,IFERROR(MATCH(IF($B590="Robusta","Robusta",(IF($B590="","Arabica",$B590))&amp;" - "&amp;(IF($C590="","Commercial",$C590))),Variables!$B$1:$D$1,0),1))*AK590/365),""))</f>
        <v>56.064830574845722</v>
      </c>
      <c r="BI590" s="44">
        <f>IF($AX590="Cancelled","",IFERROR((W590*INDEX(Variables!$B$7:$D$7,IFERROR(MATCH(IF($B590="Robusta","Robusta",(IF($B590="","Arabica",$B590))&amp;" - "&amp;(IF($C590="","Commercial",$C590))),Variables!$B$1:$D$1,0),1))*BD590/365)+(L590/16.67*INDEX(Variables!$B$8:$D$8,IFERROR(MATCH(IF($B590="Robusta","Robusta",(IF($B590="","Arabica",$B590))&amp;" - "&amp;(IF($C590="","Commercial",$C590))),Variables!$B$1:$D$1,0),1))*BD590)+(W590*INDEX(Variables!$B$9:$D$9,IFERROR(MATCH(IF($B590="Robusta","Robusta",(IF($B590="","Arabica",$B590))&amp;" - "&amp;(IF($C590="","Commercial",$C590))),Variables!$B$1:$D$1,0),1))*BD590/365),""))</f>
        <v>-9.3441384291409531</v>
      </c>
      <c r="BJ590" s="44">
        <f t="shared" si="29"/>
        <v>-8</v>
      </c>
      <c r="BK590" s="44">
        <f>IF($AX590="Cancelled","",IFERROR(IF(BJ590="","",(W590*INDEX(Variables!$B$7:$D$7,IFERROR(MATCH(IF($B590="Robusta","Robusta",(IF($B590="","Arabica",$B590))&amp;" - "&amp;(IF($C590="","Commercial",$C590))),Variables!$B$1:$D$1,0),1))*(BJ590/365))+(W590*INDEX(Variables!$B$9:$D$9,IFERROR(MATCH(IF($B590="Robusta","Robusta",(IF($B590="","Arabica",$B590))&amp;" - "&amp;(IF($C590="","Commercial",$C590))),Variables!$B$1:$D$1,0),1))*(BJ590/365))+(INDEX(Variables!$B$8:$D$8,IFERROR(MATCH(IF($B590="Robusta","Robusta",(IF($B590="","Arabica",$B590))&amp;" - "&amp;(IF($C590="","Commercial",$C590))),Variables!$B$1:$D$1,0),1))*L590/16.67)),""))</f>
        <v>-23.876553716563819</v>
      </c>
    </row>
    <row r="591" spans="1:63">
      <c r="A591" s="13" t="s">
        <v>103</v>
      </c>
      <c r="B591" s="13" t="s">
        <v>104</v>
      </c>
      <c r="C591" s="13" t="s">
        <v>292</v>
      </c>
      <c r="D591" s="31">
        <v>46002</v>
      </c>
      <c r="E591" s="31">
        <v>46023</v>
      </c>
      <c r="F591" s="31">
        <v>46053</v>
      </c>
      <c r="G591" s="13">
        <v>3787043</v>
      </c>
      <c r="J591" s="13" t="s">
        <v>1641</v>
      </c>
      <c r="K591" s="13" t="s">
        <v>1652</v>
      </c>
      <c r="L591" s="13">
        <v>25</v>
      </c>
      <c r="M591" s="13">
        <v>0</v>
      </c>
      <c r="N591" s="13" t="s">
        <v>1653</v>
      </c>
      <c r="O591" s="13" t="s">
        <v>771</v>
      </c>
      <c r="P591" s="13">
        <v>10010</v>
      </c>
      <c r="R591" s="13" t="s">
        <v>239</v>
      </c>
      <c r="S591" s="13" t="s">
        <v>776</v>
      </c>
      <c r="T591" s="13" t="s">
        <v>777</v>
      </c>
      <c r="U591" s="13" t="s">
        <v>125</v>
      </c>
      <c r="V591" s="13">
        <v>155</v>
      </c>
      <c r="W591" s="44">
        <f>IF($AX591="Cancelled","",IFERROR(((V591+INDEX(Variables!$B$6:$D$6,IFERROR(MATCH(IF($B591="Robusta","Robusta",(IF($B591="","Arabica",$B591))&amp;" - "&amp;(IF($C591="","Commercial",$C591))),Variables!$B$1:$D$1,0),1)))*22.0462)*(L591/16.67),""))</f>
        <v>14739.346070785839</v>
      </c>
      <c r="X591" s="55" t="s">
        <v>39</v>
      </c>
      <c r="Y591" s="13" t="str">
        <f>IF($AX591="Cancelled","",IF(X591="","",IFERROR(IF(INDEX(Variables!$B$38:$B$47,MATCH(X591,Variables!$A$38:$A$47,0))="Yes","Yes","No"),"No")))</f>
        <v>No</v>
      </c>
      <c r="Z591" s="31"/>
      <c r="AB591" s="31">
        <v>46005.875</v>
      </c>
      <c r="AC591" s="13" t="str">
        <f t="shared" si="27"/>
        <v>Approved</v>
      </c>
      <c r="AF591" s="71">
        <v>46041</v>
      </c>
      <c r="AG591" s="31">
        <f>IF($AX591="Cancelled","",IFERROR(IF(F591="","",F591-Variables!$B$13),""))</f>
        <v>46038</v>
      </c>
      <c r="AH591" s="13">
        <f>IF($AX591="Cancelled","",IFERROR(IF(AB591="","",(AVERAGE(E591:F591)-AB591)-Variables!$B$14),""))</f>
        <v>2.125</v>
      </c>
      <c r="AJ591" s="47">
        <v>46044</v>
      </c>
      <c r="AK591" s="14">
        <f>IF($AX591="Cancelled","",IFERROR(IF(AJ591="","",IF(AND(AB591="",AF591=""),"",IF(AF591&gt;AB591,AF591+Variables!$B$15+Variables!$B$16+Variables!$B$17-AJ591,AB591+Variables!$B$16+Variables!$B$17-AJ591))),""))</f>
        <v>12</v>
      </c>
      <c r="AL591" s="48" t="s">
        <v>114</v>
      </c>
      <c r="AM591" s="13" t="s">
        <v>1644</v>
      </c>
      <c r="AN591" s="13" t="s">
        <v>1645</v>
      </c>
      <c r="AP591" s="31">
        <v>46061</v>
      </c>
      <c r="AR591" s="13" t="s">
        <v>1646</v>
      </c>
      <c r="AS591" s="31">
        <v>46061</v>
      </c>
      <c r="AU591" s="31">
        <v>46087</v>
      </c>
      <c r="AV591" s="13" t="s">
        <v>1647</v>
      </c>
      <c r="AW591" s="31">
        <v>46087</v>
      </c>
      <c r="AX591" s="13" t="str">
        <f>IF(ISNUMBER(SEARCH("cancel",#REF!)),"Cancelled",IF(AND(AS591&lt;&gt;"",AU591&lt;&gt;"",AW591&lt;&gt;""),"Closed","Open"))</f>
        <v>Closed</v>
      </c>
      <c r="AY591" s="15" t="str">
        <f t="shared" si="28"/>
        <v>All dates received</v>
      </c>
      <c r="BD591" s="13">
        <f>IF($AX591="Cancelled","",IFERROR(IF(OR(AS591="",AJ591=""),"",(AJ591+Variables!$B$18-AS591)),""))</f>
        <v>-2</v>
      </c>
      <c r="BE591" s="13">
        <f>IF($AX591="Cancelled","",IFERROR(IF(OR(AW591="",AS591=""),"",(AS591+Variables!$B$19)-AW591),""))</f>
        <v>-21</v>
      </c>
      <c r="BF591" s="44">
        <f>IF($AX591="Cancelled","",IFERROR(W591*INDEX(Variables!$B$7:$D$7,IFERROR(MATCH(IF($B591="Robusta","Robusta",(IF($B591="","Arabica",$B591))&amp;" - "&amp;(IF($C591="","Commercial",$C591))),Variables!$B$1:$D$1,0),1))*(BE591/365),""))</f>
        <v>-54.682012836488113</v>
      </c>
      <c r="BG591" s="44">
        <f>IF($AX591="Cancelled","",IFERROR((W591*INDEX(Variables!$B$7:$D$7,IFERROR(MATCH(IF($B591="Robusta","Robusta",(IF($B591="","Arabica",$B591))&amp;" - "&amp;(IF($C591="","Commercial",$C591))),Variables!$B$1:$D$1,0),1))*IFERROR(IF(AB591="","",(AVERAGE(E591:F591)-AB591)-Variables!$B$14),"")/365)+(L591/16.67*INDEX(Variables!$B$8:$D$8,IFERROR(MATCH(IF($B591="Robusta","Robusta",(IF($B591="","Arabica",$B591))&amp;" - "&amp;(IF($C591="","Commercial",$C591))),Variables!$B$1:$D$1,0),1))*IFERROR(IF(AB591="","",(AVERAGE(E591:F591)-AB591)-Variables!$B$14),""))+(W591*INDEX(Variables!$B$9:$D$9,IFERROR(MATCH(IF($B591="Robusta","Robusta",(IF($B591="","Arabica",$B591))&amp;" - "&amp;(IF($C591="","Commercial",$C591))),Variables!$B$1:$D$1,0),1))*IFERROR(IF(AB591="","",(AVERAGE(E591:F591)-AB591)-Variables!$B$14),"")/365),""))</f>
        <v>8.2608838195556853</v>
      </c>
      <c r="BH591" s="44">
        <f>IF($AX591="Cancelled","",IFERROR((W591*INDEX(Variables!$B$7:$D$7,IFERROR(MATCH(IF($B591="Robusta","Robusta",(IF($B591="","Arabica",$B591))&amp;" - "&amp;(IF($C591="","Commercial",$C591))),Variables!$B$1:$D$1,0),1))*AK591/365)+(L591/16.67*INDEX(Variables!$B$8:$D$8,IFERROR(MATCH(IF($B591="Robusta","Robusta",(IF($B591="","Arabica",$B591))&amp;" - "&amp;(IF($C591="","Commercial",$C591))),Variables!$B$1:$D$1,0),1))*AK591)+(W591*INDEX(Variables!$B$9:$D$9,IFERROR(MATCH(IF($B591="Robusta","Robusta",(IF($B591="","Arabica",$B591))&amp;" - "&amp;(IF($C591="","Commercial",$C591))),Variables!$B$1:$D$1,0),1))*AK591/365),""))</f>
        <v>46.649696863373293</v>
      </c>
      <c r="BI591" s="44">
        <f>IF($AX591="Cancelled","",IFERROR((W591*INDEX(Variables!$B$7:$D$7,IFERROR(MATCH(IF($B591="Robusta","Robusta",(IF($B591="","Arabica",$B591))&amp;" - "&amp;(IF($C591="","Commercial",$C591))),Variables!$B$1:$D$1,0),1))*BD591/365)+(L591/16.67*INDEX(Variables!$B$8:$D$8,IFERROR(MATCH(IF($B591="Robusta","Robusta",(IF($B591="","Arabica",$B591))&amp;" - "&amp;(IF($C591="","Commercial",$C591))),Variables!$B$1:$D$1,0),1))*BD591)+(W591*INDEX(Variables!$B$9:$D$9,IFERROR(MATCH(IF($B591="Robusta","Robusta",(IF($B591="","Arabica",$B591))&amp;" - "&amp;(IF($C591="","Commercial",$C591))),Variables!$B$1:$D$1,0),1))*BD591/365),""))</f>
        <v>-7.7749494772288816</v>
      </c>
      <c r="BJ591" s="44">
        <f t="shared" si="29"/>
        <v>-8</v>
      </c>
      <c r="BK591" s="44">
        <f>IF($AX591="Cancelled","",IFERROR(IF(BJ591="","",(W591*INDEX(Variables!$B$7:$D$7,IFERROR(MATCH(IF($B591="Robusta","Robusta",(IF($B591="","Arabica",$B591))&amp;" - "&amp;(IF($C591="","Commercial",$C591))),Variables!$B$1:$D$1,0),1))*(BJ591/365))+(W591*INDEX(Variables!$B$9:$D$9,IFERROR(MATCH(IF($B591="Robusta","Robusta",(IF($B591="","Arabica",$B591))&amp;" - "&amp;(IF($C591="","Commercial",$C591))),Variables!$B$1:$D$1,0),1))*(BJ591/365))+(INDEX(Variables!$B$8:$D$8,IFERROR(MATCH(IF($B591="Robusta","Robusta",(IF($B591="","Arabica",$B591))&amp;" - "&amp;(IF($C591="","Commercial",$C591))),Variables!$B$1:$D$1,0),1))*L591/16.67)),""))</f>
        <v>-19.849797908915527</v>
      </c>
    </row>
    <row r="592" spans="1:63">
      <c r="A592" s="13" t="s">
        <v>103</v>
      </c>
      <c r="B592" s="13" t="s">
        <v>104</v>
      </c>
      <c r="C592" s="13" t="s">
        <v>292</v>
      </c>
      <c r="D592" s="31">
        <v>46002</v>
      </c>
      <c r="E592" s="31">
        <v>46023</v>
      </c>
      <c r="F592" s="31">
        <v>46053</v>
      </c>
      <c r="G592" s="13">
        <v>3787044</v>
      </c>
      <c r="J592" s="13" t="s">
        <v>1641</v>
      </c>
      <c r="K592" s="13" t="s">
        <v>1654</v>
      </c>
      <c r="L592" s="13">
        <v>25</v>
      </c>
      <c r="M592" s="13">
        <v>0</v>
      </c>
      <c r="N592" s="13" t="s">
        <v>1655</v>
      </c>
      <c r="O592" s="13" t="s">
        <v>771</v>
      </c>
      <c r="P592" s="13">
        <v>10010</v>
      </c>
      <c r="R592" s="13" t="s">
        <v>239</v>
      </c>
      <c r="S592" s="13" t="s">
        <v>776</v>
      </c>
      <c r="T592" s="13" t="s">
        <v>777</v>
      </c>
      <c r="U592" s="13" t="s">
        <v>125</v>
      </c>
      <c r="V592" s="13">
        <v>148</v>
      </c>
      <c r="W592" s="44">
        <f>IF($AX592="Cancelled","",IFERROR(((V592+INDEX(Variables!$B$6:$D$6,IFERROR(MATCH(IF($B592="Robusta","Robusta",(IF($B592="","Arabica",$B592))&amp;" - "&amp;(IF($C592="","Commercial",$C592))),Variables!$B$1:$D$1,0),1)))*22.0462)*(L592/16.67),""))</f>
        <v>14507.907258548288</v>
      </c>
      <c r="X592" s="55" t="s">
        <v>39</v>
      </c>
      <c r="Y592" s="13" t="str">
        <f>IF($AX592="Cancelled","",IF(X592="","",IFERROR(IF(INDEX(Variables!$B$38:$B$47,MATCH(X592,Variables!$A$38:$A$47,0))="Yes","Yes","No"),"No")))</f>
        <v>No</v>
      </c>
      <c r="Z592" s="31"/>
      <c r="AB592" s="31">
        <v>46005.875</v>
      </c>
      <c r="AC592" s="13" t="str">
        <f t="shared" si="27"/>
        <v>Approved</v>
      </c>
      <c r="AF592" s="71">
        <v>46041</v>
      </c>
      <c r="AG592" s="31">
        <f>IF($AX592="Cancelled","",IFERROR(IF(F592="","",F592-Variables!$B$13),""))</f>
        <v>46038</v>
      </c>
      <c r="AH592" s="13">
        <f>IF($AX592="Cancelled","",IFERROR(IF(AB592="","",(AVERAGE(E592:F592)-AB592)-Variables!$B$14),""))</f>
        <v>2.125</v>
      </c>
      <c r="AJ592" s="47">
        <v>46044</v>
      </c>
      <c r="AK592" s="14">
        <f>IF($AX592="Cancelled","",IFERROR(IF(AJ592="","",IF(AND(AB592="",AF592=""),"",IF(AF592&gt;AB592,AF592+Variables!$B$15+Variables!$B$16+Variables!$B$17-AJ592,AB592+Variables!$B$16+Variables!$B$17-AJ592))),""))</f>
        <v>12</v>
      </c>
      <c r="AL592" s="48" t="s">
        <v>114</v>
      </c>
      <c r="AM592" s="13" t="s">
        <v>1644</v>
      </c>
      <c r="AN592" s="13" t="s">
        <v>1645</v>
      </c>
      <c r="AP592" s="31">
        <v>46061</v>
      </c>
      <c r="AR592" s="13" t="s">
        <v>1646</v>
      </c>
      <c r="AS592" s="31">
        <v>46061</v>
      </c>
      <c r="AU592" s="31">
        <v>46087</v>
      </c>
      <c r="AV592" s="13" t="s">
        <v>1647</v>
      </c>
      <c r="AW592" s="31">
        <v>46087</v>
      </c>
      <c r="AX592" s="13" t="str">
        <f>IF(ISNUMBER(SEARCH("cancel",#REF!)),"Cancelled",IF(AND(AS592&lt;&gt;"",AU592&lt;&gt;"",AW592&lt;&gt;""),"Closed","Open"))</f>
        <v>Closed</v>
      </c>
      <c r="AY592" s="15" t="str">
        <f t="shared" si="28"/>
        <v>All dates received</v>
      </c>
      <c r="BD592" s="13">
        <f>IF($AX592="Cancelled","",IFERROR(IF(OR(AS592="",AJ592=""),"",(AJ592+Variables!$B$18-AS592)),""))</f>
        <v>-2</v>
      </c>
      <c r="BE592" s="13">
        <f>IF($AX592="Cancelled","",IFERROR(IF(OR(AW592="",AS592=""),"",(AS592+Variables!$B$19)-AW592),""))</f>
        <v>-21</v>
      </c>
      <c r="BF592" s="44">
        <f>IF($AX592="Cancelled","",IFERROR(W592*INDEX(Variables!$B$7:$D$7,IFERROR(MATCH(IF($B592="Robusta","Robusta",(IF($B592="","Arabica",$B592))&amp;" - "&amp;(IF($C592="","Commercial",$C592))),Variables!$B$1:$D$1,0),1))*(BE592/365),""))</f>
        <v>-53.823389934165512</v>
      </c>
      <c r="BG592" s="44">
        <f>IF($AX592="Cancelled","",IFERROR((W592*INDEX(Variables!$B$7:$D$7,IFERROR(MATCH(IF($B592="Robusta","Robusta",(IF($B592="","Arabica",$B592))&amp;" - "&amp;(IF($C592="","Commercial",$C592))),Variables!$B$1:$D$1,0),1))*IFERROR(IF(AB592="","",(AVERAGE(E592:F592)-AB592)-Variables!$B$14),"")/365)+(L592/16.67*INDEX(Variables!$B$8:$D$8,IFERROR(MATCH(IF($B592="Robusta","Robusta",(IF($B592="","Arabica",$B592))&amp;" - "&amp;(IF($C592="","Commercial",$C592))),Variables!$B$1:$D$1,0),1))*IFERROR(IF(AB592="","",(AVERAGE(E592:F592)-AB592)-Variables!$B$14),""))+(W592*INDEX(Variables!$B$9:$D$9,IFERROR(MATCH(IF($B592="Robusta","Robusta",(IF($B592="","Arabica",$B592))&amp;" - "&amp;(IF($C592="","Commercial",$C592))),Variables!$B$1:$D$1,0),1))*IFERROR(IF(AB592="","",(AVERAGE(E592:F592)-AB592)-Variables!$B$14),"")/365),""))</f>
        <v>8.1728792508322918</v>
      </c>
      <c r="BH592" s="44">
        <f>IF($AX592="Cancelled","",IFERROR((W592*INDEX(Variables!$B$7:$D$7,IFERROR(MATCH(IF($B592="Robusta","Robusta",(IF($B592="","Arabica",$B592))&amp;" - "&amp;(IF($C592="","Commercial",$C592))),Variables!$B$1:$D$1,0),1))*AK592/365)+(L592/16.67*INDEX(Variables!$B$8:$D$8,IFERROR(MATCH(IF($B592="Robusta","Robusta",(IF($B592="","Arabica",$B592))&amp;" - "&amp;(IF($C592="","Commercial",$C592))),Variables!$B$1:$D$1,0),1))*AK592)+(W592*INDEX(Variables!$B$9:$D$9,IFERROR(MATCH(IF($B592="Robusta","Robusta",(IF($B592="","Arabica",$B592))&amp;" - "&amp;(IF($C592="","Commercial",$C592))),Variables!$B$1:$D$1,0),1))*AK592/365),""))</f>
        <v>46.152729887052935</v>
      </c>
      <c r="BI592" s="44">
        <f>IF($AX592="Cancelled","",IFERROR((W592*INDEX(Variables!$B$7:$D$7,IFERROR(MATCH(IF($B592="Robusta","Robusta",(IF($B592="","Arabica",$B592))&amp;" - "&amp;(IF($C592="","Commercial",$C592))),Variables!$B$1:$D$1,0),1))*BD592/365)+(L592/16.67*INDEX(Variables!$B$8:$D$8,IFERROR(MATCH(IF($B592="Robusta","Robusta",(IF($B592="","Arabica",$B592))&amp;" - "&amp;(IF($C592="","Commercial",$C592))),Variables!$B$1:$D$1,0),1))*BD592)+(W592*INDEX(Variables!$B$9:$D$9,IFERROR(MATCH(IF($B592="Robusta","Robusta",(IF($B592="","Arabica",$B592))&amp;" - "&amp;(IF($C592="","Commercial",$C592))),Variables!$B$1:$D$1,0),1))*BD592/365),""))</f>
        <v>-7.692121647842157</v>
      </c>
      <c r="BJ592" s="44">
        <f t="shared" si="29"/>
        <v>-8</v>
      </c>
      <c r="BK592" s="44">
        <f>IF($AX592="Cancelled","",IFERROR(IF(BJ592="","",(W592*INDEX(Variables!$B$7:$D$7,IFERROR(MATCH(IF($B592="Robusta","Robusta",(IF($B592="","Arabica",$B592))&amp;" - "&amp;(IF($C592="","Commercial",$C592))),Variables!$B$1:$D$1,0),1))*(BJ592/365))+(W592*INDEX(Variables!$B$9:$D$9,IFERROR(MATCH(IF($B592="Robusta","Robusta",(IF($B592="","Arabica",$B592))&amp;" - "&amp;(IF($C592="","Commercial",$C592))),Variables!$B$1:$D$1,0),1))*(BJ592/365))+(INDEX(Variables!$B$8:$D$8,IFERROR(MATCH(IF($B592="Robusta","Robusta",(IF($B592="","Arabica",$B592))&amp;" - "&amp;(IF($C592="","Commercial",$C592))),Variables!$B$1:$D$1,0),1))*L592/16.67)),""))</f>
        <v>-19.518486591368628</v>
      </c>
    </row>
    <row r="593" spans="1:63">
      <c r="A593" s="13" t="s">
        <v>103</v>
      </c>
      <c r="B593" s="13" t="s">
        <v>104</v>
      </c>
      <c r="C593" s="13" t="s">
        <v>292</v>
      </c>
      <c r="D593" s="31">
        <v>46002</v>
      </c>
      <c r="E593" s="31">
        <v>46023</v>
      </c>
      <c r="F593" s="31">
        <v>46053</v>
      </c>
      <c r="G593" s="13">
        <v>3787045</v>
      </c>
      <c r="J593" s="13" t="s">
        <v>1641</v>
      </c>
      <c r="K593" s="13" t="s">
        <v>1656</v>
      </c>
      <c r="L593" s="13">
        <v>30</v>
      </c>
      <c r="M593" s="13">
        <v>0</v>
      </c>
      <c r="N593" s="13" t="s">
        <v>1657</v>
      </c>
      <c r="O593" s="13" t="s">
        <v>771</v>
      </c>
      <c r="P593" s="13">
        <v>10010</v>
      </c>
      <c r="R593" s="13" t="s">
        <v>239</v>
      </c>
      <c r="S593" s="13" t="s">
        <v>776</v>
      </c>
      <c r="T593" s="13" t="s">
        <v>777</v>
      </c>
      <c r="U593" s="13" t="s">
        <v>125</v>
      </c>
      <c r="V593" s="13">
        <v>135</v>
      </c>
      <c r="W593" s="44">
        <f>IF($AX593="Cancelled","",IFERROR(((V593+INDEX(Variables!$B$6:$D$6,IFERROR(MATCH(IF($B593="Robusta","Robusta",(IF($B593="","Arabica",$B593))&amp;" - "&amp;(IF($C593="","Commercial",$C593))),Variables!$B$1:$D$1,0),1)))*22.0462)*(L593/16.67),""))</f>
        <v>16893.710785842832</v>
      </c>
      <c r="X593" s="55" t="s">
        <v>39</v>
      </c>
      <c r="Y593" s="13" t="str">
        <f>IF($AX593="Cancelled","",IF(X593="","",IFERROR(IF(INDEX(Variables!$B$38:$B$47,MATCH(X593,Variables!$A$38:$A$47,0))="Yes","Yes","No"),"No")))</f>
        <v>No</v>
      </c>
      <c r="Z593" s="31"/>
      <c r="AB593" s="31">
        <v>46005.875</v>
      </c>
      <c r="AC593" s="13" t="str">
        <f t="shared" si="27"/>
        <v>Approved</v>
      </c>
      <c r="AF593" s="71">
        <v>46041</v>
      </c>
      <c r="AG593" s="31">
        <f>IF($AX593="Cancelled","",IFERROR(IF(F593="","",F593-Variables!$B$13),""))</f>
        <v>46038</v>
      </c>
      <c r="AH593" s="13">
        <f>IF($AX593="Cancelled","",IFERROR(IF(AB593="","",(AVERAGE(E593:F593)-AB593)-Variables!$B$14),""))</f>
        <v>2.125</v>
      </c>
      <c r="AJ593" s="47">
        <v>46044</v>
      </c>
      <c r="AK593" s="14">
        <f>IF($AX593="Cancelled","",IFERROR(IF(AJ593="","",IF(AND(AB593="",AF593=""),"",IF(AF593&gt;AB593,AF593+Variables!$B$15+Variables!$B$16+Variables!$B$17-AJ593,AB593+Variables!$B$16+Variables!$B$17-AJ593))),""))</f>
        <v>12</v>
      </c>
      <c r="AL593" s="48" t="s">
        <v>114</v>
      </c>
      <c r="AM593" s="13" t="s">
        <v>1644</v>
      </c>
      <c r="AN593" s="13" t="s">
        <v>1645</v>
      </c>
      <c r="AP593" s="31">
        <v>46061</v>
      </c>
      <c r="AR593" s="13" t="s">
        <v>1646</v>
      </c>
      <c r="AS593" s="31">
        <v>46061</v>
      </c>
      <c r="AU593" s="31">
        <v>46087</v>
      </c>
      <c r="AV593" s="13" t="s">
        <v>1647</v>
      </c>
      <c r="AW593" s="31">
        <v>46087</v>
      </c>
      <c r="AX593" s="13" t="str">
        <f>IF(ISNUMBER(SEARCH("cancel",#REF!)),"Cancelled",IF(AND(AS593&lt;&gt;"",AU593&lt;&gt;"",AW593&lt;&gt;""),"Closed","Open"))</f>
        <v>Closed</v>
      </c>
      <c r="AY593" s="15" t="str">
        <f t="shared" si="28"/>
        <v>All dates received</v>
      </c>
      <c r="BD593" s="13">
        <f>IF($AX593="Cancelled","",IFERROR(IF(OR(AS593="",AJ593=""),"",(AJ593+Variables!$B$18-AS593)),""))</f>
        <v>-2</v>
      </c>
      <c r="BE593" s="13">
        <f>IF($AX593="Cancelled","",IFERROR(IF(OR(AW593="",AS593=""),"",(AS593+Variables!$B$19)-AW593),""))</f>
        <v>-21</v>
      </c>
      <c r="BF593" s="44">
        <f>IF($AX593="Cancelled","",IFERROR(W593*INDEX(Variables!$B$7:$D$7,IFERROR(MATCH(IF($B593="Robusta","Robusta",(IF($B593="","Arabica",$B593))&amp;" - "&amp;(IF($C593="","Commercial",$C593))),Variables!$B$1:$D$1,0),1))*(BE593/365),""))</f>
        <v>-62.674565452965396</v>
      </c>
      <c r="BG593" s="44">
        <f>IF($AX593="Cancelled","",IFERROR((W593*INDEX(Variables!$B$7:$D$7,IFERROR(MATCH(IF($B593="Robusta","Robusta",(IF($B593="","Arabica",$B593))&amp;" - "&amp;(IF($C593="","Commercial",$C593))),Variables!$B$1:$D$1,0),1))*IFERROR(IF(AB593="","",(AVERAGE(E593:F593)-AB593)-Variables!$B$14),"")/365)+(L593/16.67*INDEX(Variables!$B$8:$D$8,IFERROR(MATCH(IF($B593="Robusta","Robusta",(IF($B593="","Arabica",$B593))&amp;" - "&amp;(IF($C593="","Commercial",$C593))),Variables!$B$1:$D$1,0),1))*IFERROR(IF(AB593="","",(AVERAGE(E593:F593)-AB593)-Variables!$B$14),""))+(W593*INDEX(Variables!$B$9:$D$9,IFERROR(MATCH(IF($B593="Robusta","Robusta",(IF($B593="","Arabica",$B593))&amp;" - "&amp;(IF($C593="","Commercial",$C593))),Variables!$B$1:$D$1,0),1))*IFERROR(IF(AB593="","",(AVERAGE(E593:F593)-AB593)-Variables!$B$14),"")/365),""))</f>
        <v>9.6113306335580422</v>
      </c>
      <c r="BH593" s="44">
        <f>IF($AX593="Cancelled","",IFERROR((W593*INDEX(Variables!$B$7:$D$7,IFERROR(MATCH(IF($B593="Robusta","Robusta",(IF($B593="","Arabica",$B593))&amp;" - "&amp;(IF($C593="","Commercial",$C593))),Variables!$B$1:$D$1,0),1))*AK593/365)+(L593/16.67*INDEX(Variables!$B$8:$D$8,IFERROR(MATCH(IF($B593="Robusta","Robusta",(IF($B593="","Arabica",$B593))&amp;" - "&amp;(IF($C593="","Commercial",$C593))),Variables!$B$1:$D$1,0),1))*AK593)+(W593*INDEX(Variables!$B$9:$D$9,IFERROR(MATCH(IF($B593="Robusta","Robusta",(IF($B593="","Arabica",$B593))&amp;" - "&amp;(IF($C593="","Commercial",$C593))),Variables!$B$1:$D$1,0),1))*AK593/365),""))</f>
        <v>54.27574946009247</v>
      </c>
      <c r="BI593" s="44">
        <f>IF($AX593="Cancelled","",IFERROR((W593*INDEX(Variables!$B$7:$D$7,IFERROR(MATCH(IF($B593="Robusta","Robusta",(IF($B593="","Arabica",$B593))&amp;" - "&amp;(IF($C593="","Commercial",$C593))),Variables!$B$1:$D$1,0),1))*BD593/365)+(L593/16.67*INDEX(Variables!$B$8:$D$8,IFERROR(MATCH(IF($B593="Robusta","Robusta",(IF($B593="","Arabica",$B593))&amp;" - "&amp;(IF($C593="","Commercial",$C593))),Variables!$B$1:$D$1,0),1))*BD593)+(W593*INDEX(Variables!$B$9:$D$9,IFERROR(MATCH(IF($B593="Robusta","Robusta",(IF($B593="","Arabica",$B593))&amp;" - "&amp;(IF($C593="","Commercial",$C593))),Variables!$B$1:$D$1,0),1))*BD593/365),""))</f>
        <v>-9.0459582433487444</v>
      </c>
      <c r="BJ593" s="44">
        <f t="shared" si="29"/>
        <v>-8</v>
      </c>
      <c r="BK593" s="44">
        <f>IF($AX593="Cancelled","",IFERROR(IF(BJ593="","",(W593*INDEX(Variables!$B$7:$D$7,IFERROR(MATCH(IF($B593="Robusta","Robusta",(IF($B593="","Arabica",$B593))&amp;" - "&amp;(IF($C593="","Commercial",$C593))),Variables!$B$1:$D$1,0),1))*(BJ593/365))+(W593*INDEX(Variables!$B$9:$D$9,IFERROR(MATCH(IF($B593="Robusta","Robusta",(IF($B593="","Arabica",$B593))&amp;" - "&amp;(IF($C593="","Commercial",$C593))),Variables!$B$1:$D$1,0),1))*(BJ593/365))+(INDEX(Variables!$B$8:$D$8,IFERROR(MATCH(IF($B593="Robusta","Robusta",(IF($B593="","Arabica",$B593))&amp;" - "&amp;(IF($C593="","Commercial",$C593))),Variables!$B$1:$D$1,0),1))*L593/16.67)),""))</f>
        <v>-22.683832973394978</v>
      </c>
    </row>
    <row r="594" spans="1:63">
      <c r="A594" s="13" t="s">
        <v>103</v>
      </c>
      <c r="B594" s="13" t="s">
        <v>104</v>
      </c>
      <c r="C594" s="13" t="s">
        <v>292</v>
      </c>
      <c r="D594" s="31">
        <v>46002</v>
      </c>
      <c r="E594" s="31">
        <v>46023</v>
      </c>
      <c r="F594" s="31">
        <v>46053</v>
      </c>
      <c r="G594" s="13">
        <v>3787046</v>
      </c>
      <c r="J594" s="13" t="s">
        <v>1641</v>
      </c>
      <c r="K594" s="13" t="s">
        <v>1658</v>
      </c>
      <c r="L594" s="13">
        <v>30</v>
      </c>
      <c r="M594" s="13">
        <v>0</v>
      </c>
      <c r="N594" s="13" t="s">
        <v>1659</v>
      </c>
      <c r="O594" s="13" t="s">
        <v>771</v>
      </c>
      <c r="P594" s="13">
        <v>10010</v>
      </c>
      <c r="R594" s="13" t="s">
        <v>239</v>
      </c>
      <c r="S594" s="13" t="s">
        <v>776</v>
      </c>
      <c r="T594" s="13" t="s">
        <v>777</v>
      </c>
      <c r="U594" s="13" t="s">
        <v>125</v>
      </c>
      <c r="V594" s="13">
        <v>133</v>
      </c>
      <c r="W594" s="44">
        <f>IF($AX594="Cancelled","",IFERROR(((V594+INDEX(Variables!$B$6:$D$6,IFERROR(MATCH(IF($B594="Robusta","Robusta",(IF($B594="","Arabica",$B594))&amp;" - "&amp;(IF($C594="","Commercial",$C594))),Variables!$B$1:$D$1,0),1)))*22.0462)*(L594/16.67),""))</f>
        <v>16814.360335932812</v>
      </c>
      <c r="X594" s="55" t="s">
        <v>39</v>
      </c>
      <c r="Y594" s="13" t="str">
        <f>IF($AX594="Cancelled","",IF(X594="","",IFERROR(IF(INDEX(Variables!$B$38:$B$47,MATCH(X594,Variables!$A$38:$A$47,0))="Yes","Yes","No"),"No")))</f>
        <v>No</v>
      </c>
      <c r="Z594" s="31"/>
      <c r="AC594" s="13" t="str">
        <f t="shared" si="27"/>
        <v/>
      </c>
      <c r="AF594" s="71">
        <v>46041</v>
      </c>
      <c r="AG594" s="31">
        <f>IF($AX594="Cancelled","",IFERROR(IF(F594="","",F594-Variables!$B$13),""))</f>
        <v>46038</v>
      </c>
      <c r="AH594" s="13" t="str">
        <f>IF($AX594="Cancelled","",IFERROR(IF(AB594="","",(AVERAGE(E594:F594)-AB594)-Variables!$B$14),""))</f>
        <v/>
      </c>
      <c r="AJ594" s="47">
        <v>46044</v>
      </c>
      <c r="AK594" s="14">
        <f>IF($AX594="Cancelled","",IFERROR(IF(AJ594="","",IF(AND(AB594="",AF594=""),"",IF(AF594&gt;AB594,AF594+Variables!$B$15+Variables!$B$16+Variables!$B$17-AJ594,AB594+Variables!$B$16+Variables!$B$17-AJ594))),""))</f>
        <v>12</v>
      </c>
      <c r="AL594" s="48" t="s">
        <v>114</v>
      </c>
      <c r="AM594" s="13" t="s">
        <v>1644</v>
      </c>
      <c r="AN594" s="13" t="s">
        <v>1645</v>
      </c>
      <c r="AP594" s="31">
        <v>46061</v>
      </c>
      <c r="AR594" s="13" t="s">
        <v>1646</v>
      </c>
      <c r="AS594" s="31">
        <v>46061</v>
      </c>
      <c r="AU594" s="31">
        <v>46087</v>
      </c>
      <c r="AV594" s="13" t="s">
        <v>1647</v>
      </c>
      <c r="AW594" s="31">
        <v>46087</v>
      </c>
      <c r="AX594" s="13" t="str">
        <f>IF(ISNUMBER(SEARCH("cancel",#REF!)),"Cancelled",IF(AND(AS594&lt;&gt;"",AU594&lt;&gt;"",AW594&lt;&gt;""),"Closed","Open"))</f>
        <v>Closed</v>
      </c>
      <c r="AY594" s="15" t="str">
        <f t="shared" si="28"/>
        <v>All dates received</v>
      </c>
      <c r="BD594" s="13">
        <f>IF($AX594="Cancelled","",IFERROR(IF(OR(AS594="",AJ594=""),"",(AJ594+Variables!$B$18-AS594)),""))</f>
        <v>-2</v>
      </c>
      <c r="BE594" s="13">
        <f>IF($AX594="Cancelled","",IFERROR(IF(OR(AW594="",AS594=""),"",(AS594+Variables!$B$19)-AW594),""))</f>
        <v>-21</v>
      </c>
      <c r="BF594" s="44">
        <f>IF($AX594="Cancelled","",IFERROR(W594*INDEX(Variables!$B$7:$D$7,IFERROR(MATCH(IF($B594="Robusta","Robusta",(IF($B594="","Arabica",$B594))&amp;" - "&amp;(IF($C594="","Commercial",$C594))),Variables!$B$1:$D$1,0),1))*(BE594/365),""))</f>
        <v>-62.380180457883348</v>
      </c>
      <c r="BG594" s="44" t="str">
        <f>IF($AX594="Cancelled","",IFERROR((W594*INDEX(Variables!$B$7:$D$7,IFERROR(MATCH(IF($B594="Robusta","Robusta",(IF($B594="","Arabica",$B594))&amp;" - "&amp;(IF($C594="","Commercial",$C594))),Variables!$B$1:$D$1,0),1))*IFERROR(IF(AB594="","",(AVERAGE(E594:F594)-AB594)-Variables!$B$14),"")/365)+(L594/16.67*INDEX(Variables!$B$8:$D$8,IFERROR(MATCH(IF($B594="Robusta","Robusta",(IF($B594="","Arabica",$B594))&amp;" - "&amp;(IF($C594="","Commercial",$C594))),Variables!$B$1:$D$1,0),1))*IFERROR(IF(AB594="","",(AVERAGE(E594:F594)-AB594)-Variables!$B$14),""))+(W594*INDEX(Variables!$B$9:$D$9,IFERROR(MATCH(IF($B594="Robusta","Robusta",(IF($B594="","Arabica",$B594))&amp;" - "&amp;(IF($C594="","Commercial",$C594))),Variables!$B$1:$D$1,0),1))*IFERROR(IF(AB594="","",(AVERAGE(E594:F594)-AB594)-Variables!$B$14),"")/365),""))</f>
        <v/>
      </c>
      <c r="BH594" s="44">
        <f>IF($AX594="Cancelled","",IFERROR((W594*INDEX(Variables!$B$7:$D$7,IFERROR(MATCH(IF($B594="Robusta","Robusta",(IF($B594="","Arabica",$B594))&amp;" - "&amp;(IF($C594="","Commercial",$C594))),Variables!$B$1:$D$1,0),1))*AK594/365)+(L594/16.67*INDEX(Variables!$B$8:$D$8,IFERROR(MATCH(IF($B594="Robusta","Robusta",(IF($B594="","Arabica",$B594))&amp;" - "&amp;(IF($C594="","Commercial",$C594))),Variables!$B$1:$D$1,0),1))*AK594)+(W594*INDEX(Variables!$B$9:$D$9,IFERROR(MATCH(IF($B594="Robusta","Robusta",(IF($B594="","Arabica",$B594))&amp;" - "&amp;(IF($C594="","Commercial",$C594))),Variables!$B$1:$D$1,0),1))*AK594/365),""))</f>
        <v>54.105360782496909</v>
      </c>
      <c r="BI594" s="44">
        <f>IF($AX594="Cancelled","",IFERROR((W594*INDEX(Variables!$B$7:$D$7,IFERROR(MATCH(IF($B594="Robusta","Robusta",(IF($B594="","Arabica",$B594))&amp;" - "&amp;(IF($C594="","Commercial",$C594))),Variables!$B$1:$D$1,0),1))*BD594/365)+(L594/16.67*INDEX(Variables!$B$8:$D$8,IFERROR(MATCH(IF($B594="Robusta","Robusta",(IF($B594="","Arabica",$B594))&amp;" - "&amp;(IF($C594="","Commercial",$C594))),Variables!$B$1:$D$1,0),1))*BD594)+(W594*INDEX(Variables!$B$9:$D$9,IFERROR(MATCH(IF($B594="Robusta","Robusta",(IF($B594="","Arabica",$B594))&amp;" - "&amp;(IF($C594="","Commercial",$C594))),Variables!$B$1:$D$1,0),1))*BD594/365),""))</f>
        <v>-9.0175601304161521</v>
      </c>
      <c r="BJ594" s="44">
        <f t="shared" si="29"/>
        <v>-8</v>
      </c>
      <c r="BK594" s="44">
        <f>IF($AX594="Cancelled","",IFERROR(IF(BJ594="","",(W594*INDEX(Variables!$B$7:$D$7,IFERROR(MATCH(IF($B594="Robusta","Robusta",(IF($B594="","Arabica",$B594))&amp;" - "&amp;(IF($C594="","Commercial",$C594))),Variables!$B$1:$D$1,0),1))*(BJ594/365))+(W594*INDEX(Variables!$B$9:$D$9,IFERROR(MATCH(IF($B594="Robusta","Robusta",(IF($B594="","Arabica",$B594))&amp;" - "&amp;(IF($C594="","Commercial",$C594))),Variables!$B$1:$D$1,0),1))*(BJ594/365))+(INDEX(Variables!$B$8:$D$8,IFERROR(MATCH(IF($B594="Robusta","Robusta",(IF($B594="","Arabica",$B594))&amp;" - "&amp;(IF($C594="","Commercial",$C594))),Variables!$B$1:$D$1,0),1))*L594/16.67)),""))</f>
        <v>-22.570240521664608</v>
      </c>
    </row>
    <row r="595" spans="1:63">
      <c r="A595" s="13" t="s">
        <v>103</v>
      </c>
      <c r="B595" s="13" t="s">
        <v>104</v>
      </c>
      <c r="C595" s="13" t="s">
        <v>292</v>
      </c>
      <c r="D595" s="31">
        <v>46002</v>
      </c>
      <c r="E595" s="31">
        <v>46023</v>
      </c>
      <c r="F595" s="31">
        <v>46053</v>
      </c>
      <c r="G595" s="13">
        <v>3787047</v>
      </c>
      <c r="J595" s="13" t="s">
        <v>1641</v>
      </c>
      <c r="K595" s="13" t="s">
        <v>1660</v>
      </c>
      <c r="L595" s="13">
        <v>30</v>
      </c>
      <c r="M595" s="13">
        <v>0</v>
      </c>
      <c r="N595" s="13" t="s">
        <v>1661</v>
      </c>
      <c r="O595" s="13" t="s">
        <v>297</v>
      </c>
      <c r="P595" s="13">
        <v>10020</v>
      </c>
      <c r="R595" s="13" t="s">
        <v>239</v>
      </c>
      <c r="S595" s="13" t="s">
        <v>776</v>
      </c>
      <c r="T595" s="13" t="s">
        <v>777</v>
      </c>
      <c r="U595" s="13" t="s">
        <v>125</v>
      </c>
      <c r="V595" s="13">
        <v>118</v>
      </c>
      <c r="W595" s="44">
        <f>IF($AX595="Cancelled","",IFERROR(((V595+INDEX(Variables!$B$6:$D$6,IFERROR(MATCH(IF($B595="Robusta","Robusta",(IF($B595="","Arabica",$B595))&amp;" - "&amp;(IF($C595="","Commercial",$C595))),Variables!$B$1:$D$1,0),1)))*22.0462)*(L595/16.67),""))</f>
        <v>16219.231961607677</v>
      </c>
      <c r="X595" s="55" t="s">
        <v>39</v>
      </c>
      <c r="Y595" s="13" t="str">
        <f>IF($AX595="Cancelled","",IF(X595="","",IFERROR(IF(INDEX(Variables!$B$38:$B$47,MATCH(X595,Variables!$A$38:$A$47,0))="Yes","Yes","No"),"No")))</f>
        <v>No</v>
      </c>
      <c r="Z595" s="31"/>
      <c r="AB595" s="31">
        <v>46005.875</v>
      </c>
      <c r="AC595" s="13" t="str">
        <f t="shared" si="27"/>
        <v>Approved</v>
      </c>
      <c r="AF595" s="71">
        <v>46041</v>
      </c>
      <c r="AG595" s="31">
        <f>IF($AX595="Cancelled","",IFERROR(IF(F595="","",F595-Variables!$B$13),""))</f>
        <v>46038</v>
      </c>
      <c r="AH595" s="13">
        <f>IF($AX595="Cancelled","",IFERROR(IF(AB595="","",(AVERAGE(E595:F595)-AB595)-Variables!$B$14),""))</f>
        <v>2.125</v>
      </c>
      <c r="AJ595" s="47">
        <v>46044</v>
      </c>
      <c r="AK595" s="14">
        <f>IF($AX595="Cancelled","",IFERROR(IF(AJ595="","",IF(AND(AB595="",AF595=""),"",IF(AF595&gt;AB595,AF595+Variables!$B$15+Variables!$B$16+Variables!$B$17-AJ595,AB595+Variables!$B$16+Variables!$B$17-AJ595))),""))</f>
        <v>12</v>
      </c>
      <c r="AL595" s="48" t="s">
        <v>114</v>
      </c>
      <c r="AM595" s="13" t="s">
        <v>1644</v>
      </c>
      <c r="AN595" s="13" t="s">
        <v>1645</v>
      </c>
      <c r="AP595" s="31">
        <v>46061</v>
      </c>
      <c r="AR595" s="13" t="s">
        <v>1646</v>
      </c>
      <c r="AS595" s="31">
        <v>46061</v>
      </c>
      <c r="AU595" s="31">
        <v>46087</v>
      </c>
      <c r="AV595" s="13" t="s">
        <v>1647</v>
      </c>
      <c r="AW595" s="31">
        <v>46087</v>
      </c>
      <c r="AX595" s="13" t="str">
        <f>IF(ISNUMBER(SEARCH("cancel",#REF!)),"Cancelled",IF(AND(AS595&lt;&gt;"",AU595&lt;&gt;"",AW595&lt;&gt;""),"Closed","Open"))</f>
        <v>Closed</v>
      </c>
      <c r="AY595" s="15" t="str">
        <f t="shared" si="28"/>
        <v>All dates received</v>
      </c>
      <c r="BD595" s="13">
        <f>IF($AX595="Cancelled","",IFERROR(IF(OR(AS595="",AJ595=""),"",(AJ595+Variables!$B$18-AS595)),""))</f>
        <v>-2</v>
      </c>
      <c r="BE595" s="13">
        <f>IF($AX595="Cancelled","",IFERROR(IF(OR(AW595="",AS595=""),"",(AS595+Variables!$B$19)-AW595),""))</f>
        <v>-21</v>
      </c>
      <c r="BF595" s="44">
        <f>IF($AX595="Cancelled","",IFERROR(W595*INDEX(Variables!$B$7:$D$7,IFERROR(MATCH(IF($B595="Robusta","Robusta",(IF($B595="","Arabica",$B595))&amp;" - "&amp;(IF($C595="","Commercial",$C595))),Variables!$B$1:$D$1,0),1))*(BE595/365),""))</f>
        <v>-60.172292994768085</v>
      </c>
      <c r="BG595" s="44">
        <f>IF($AX595="Cancelled","",IFERROR((W595*INDEX(Variables!$B$7:$D$7,IFERROR(MATCH(IF($B595="Robusta","Robusta",(IF($B595="","Arabica",$B595))&amp;" - "&amp;(IF($C595="","Commercial",$C595))),Variables!$B$1:$D$1,0),1))*IFERROR(IF(AB595="","",(AVERAGE(E595:F595)-AB595)-Variables!$B$14),"")/365)+(L595/16.67*INDEX(Variables!$B$8:$D$8,IFERROR(MATCH(IF($B595="Robusta","Robusta",(IF($B595="","Arabica",$B595))&amp;" - "&amp;(IF($C595="","Commercial",$C595))),Variables!$B$1:$D$1,0),1))*IFERROR(IF(AB595="","",(AVERAGE(E595:F595)-AB595)-Variables!$B$14),""))+(W595*INDEX(Variables!$B$9:$D$9,IFERROR(MATCH(IF($B595="Robusta","Robusta",(IF($B595="","Arabica",$B595))&amp;" - "&amp;(IF($C595="","Commercial",$C595))),Variables!$B$1:$D$1,0),1))*IFERROR(IF(AB595="","",(AVERAGE(E595:F595)-AB595)-Variables!$B$14),"")/365),""))</f>
        <v>9.3548601761355741</v>
      </c>
      <c r="BH595" s="44">
        <f>IF($AX595="Cancelled","",IFERROR((W595*INDEX(Variables!$B$7:$D$7,IFERROR(MATCH(IF($B595="Robusta","Robusta",(IF($B595="","Arabica",$B595))&amp;" - "&amp;(IF($C595="","Commercial",$C595))),Variables!$B$1:$D$1,0),1))*AK595/365)+(L595/16.67*INDEX(Variables!$B$8:$D$8,IFERROR(MATCH(IF($B595="Robusta","Robusta",(IF($B595="","Arabica",$B595))&amp;" - "&amp;(IF($C595="","Commercial",$C595))),Variables!$B$1:$D$1,0),1))*AK595)+(W595*INDEX(Variables!$B$9:$D$9,IFERROR(MATCH(IF($B595="Robusta","Robusta",(IF($B595="","Arabica",$B595))&amp;" - "&amp;(IF($C595="","Commercial",$C595))),Variables!$B$1:$D$1,0),1))*AK595/365),""))</f>
        <v>52.827445700530298</v>
      </c>
      <c r="BI595" s="44">
        <f>IF($AX595="Cancelled","",IFERROR((W595*INDEX(Variables!$B$7:$D$7,IFERROR(MATCH(IF($B595="Robusta","Robusta",(IF($B595="","Arabica",$B595))&amp;" - "&amp;(IF($C595="","Commercial",$C595))),Variables!$B$1:$D$1,0),1))*BD595/365)+(L595/16.67*INDEX(Variables!$B$8:$D$8,IFERROR(MATCH(IF($B595="Robusta","Robusta",(IF($B595="","Arabica",$B595))&amp;" - "&amp;(IF($C595="","Commercial",$C595))),Variables!$B$1:$D$1,0),1))*BD595)+(W595*INDEX(Variables!$B$9:$D$9,IFERROR(MATCH(IF($B595="Robusta","Robusta",(IF($B595="","Arabica",$B595))&amp;" - "&amp;(IF($C595="","Commercial",$C595))),Variables!$B$1:$D$1,0),1))*BD595/365),""))</f>
        <v>-8.8045742834217151</v>
      </c>
      <c r="BJ595" s="44">
        <f t="shared" si="29"/>
        <v>-8</v>
      </c>
      <c r="BK595" s="44">
        <f>IF($AX595="Cancelled","",IFERROR(IF(BJ595="","",(W595*INDEX(Variables!$B$7:$D$7,IFERROR(MATCH(IF($B595="Robusta","Robusta",(IF($B595="","Arabica",$B595))&amp;" - "&amp;(IF($C595="","Commercial",$C595))),Variables!$B$1:$D$1,0),1))*(BJ595/365))+(W595*INDEX(Variables!$B$9:$D$9,IFERROR(MATCH(IF($B595="Robusta","Robusta",(IF($B595="","Arabica",$B595))&amp;" - "&amp;(IF($C595="","Commercial",$C595))),Variables!$B$1:$D$1,0),1))*(BJ595/365))+(INDEX(Variables!$B$8:$D$8,IFERROR(MATCH(IF($B595="Robusta","Robusta",(IF($B595="","Arabica",$B595))&amp;" - "&amp;(IF($C595="","Commercial",$C595))),Variables!$B$1:$D$1,0),1))*L595/16.67)),""))</f>
        <v>-21.718297133686864</v>
      </c>
    </row>
    <row r="596" spans="1:63">
      <c r="A596" s="13" t="s">
        <v>103</v>
      </c>
      <c r="B596" s="13" t="s">
        <v>104</v>
      </c>
      <c r="C596" s="13" t="s">
        <v>292</v>
      </c>
      <c r="D596" s="31">
        <v>46002</v>
      </c>
      <c r="E596" s="31">
        <v>46023</v>
      </c>
      <c r="F596" s="31">
        <v>46053</v>
      </c>
      <c r="G596" s="13">
        <v>3787048</v>
      </c>
      <c r="J596" s="13" t="s">
        <v>1641</v>
      </c>
      <c r="K596" s="13" t="s">
        <v>1662</v>
      </c>
      <c r="L596" s="13">
        <v>30</v>
      </c>
      <c r="M596" s="13">
        <v>0</v>
      </c>
      <c r="N596" s="13" t="s">
        <v>1663</v>
      </c>
      <c r="O596" s="13" t="s">
        <v>297</v>
      </c>
      <c r="P596" s="13">
        <v>10020</v>
      </c>
      <c r="R596" s="13" t="s">
        <v>239</v>
      </c>
      <c r="S596" s="13" t="s">
        <v>776</v>
      </c>
      <c r="T596" s="13" t="s">
        <v>777</v>
      </c>
      <c r="U596" s="13" t="s">
        <v>125</v>
      </c>
      <c r="V596" s="13">
        <v>119</v>
      </c>
      <c r="W596" s="44">
        <f>IF($AX596="Cancelled","",IFERROR(((V596+INDEX(Variables!$B$6:$D$6,IFERROR(MATCH(IF($B596="Robusta","Robusta",(IF($B596="","Arabica",$B596))&amp;" - "&amp;(IF($C596="","Commercial",$C596))),Variables!$B$1:$D$1,0),1)))*22.0462)*(L596/16.67),""))</f>
        <v>16258.907186562687</v>
      </c>
      <c r="X596" s="55" t="s">
        <v>39</v>
      </c>
      <c r="Y596" s="13" t="str">
        <f>IF($AX596="Cancelled","",IF(X596="","",IFERROR(IF(INDEX(Variables!$B$38:$B$47,MATCH(X596,Variables!$A$38:$A$47,0))="Yes","Yes","No"),"No")))</f>
        <v>No</v>
      </c>
      <c r="Z596" s="31"/>
      <c r="AB596" s="31">
        <v>46005.875</v>
      </c>
      <c r="AC596" s="13" t="str">
        <f t="shared" si="27"/>
        <v>Approved</v>
      </c>
      <c r="AF596" s="71">
        <v>46041</v>
      </c>
      <c r="AG596" s="31">
        <f>IF($AX596="Cancelled","",IFERROR(IF(F596="","",F596-Variables!$B$13),""))</f>
        <v>46038</v>
      </c>
      <c r="AH596" s="13">
        <f>IF($AX596="Cancelled","",IFERROR(IF(AB596="","",(AVERAGE(E596:F596)-AB596)-Variables!$B$14),""))</f>
        <v>2.125</v>
      </c>
      <c r="AJ596" s="47">
        <v>46044</v>
      </c>
      <c r="AK596" s="14">
        <f>IF($AX596="Cancelled","",IFERROR(IF(AJ596="","",IF(AND(AB596="",AF596=""),"",IF(AF596&gt;AB596,AF596+Variables!$B$15+Variables!$B$16+Variables!$B$17-AJ596,AB596+Variables!$B$16+Variables!$B$17-AJ596))),""))</f>
        <v>12</v>
      </c>
      <c r="AL596" s="48" t="s">
        <v>114</v>
      </c>
      <c r="AM596" s="13" t="s">
        <v>1644</v>
      </c>
      <c r="AN596" s="13" t="s">
        <v>1645</v>
      </c>
      <c r="AP596" s="31">
        <v>46061</v>
      </c>
      <c r="AR596" s="13" t="s">
        <v>1646</v>
      </c>
      <c r="AS596" s="31">
        <v>46061</v>
      </c>
      <c r="AU596" s="31">
        <v>46087</v>
      </c>
      <c r="AV596" s="13" t="s">
        <v>1647</v>
      </c>
      <c r="AW596" s="31">
        <v>46087</v>
      </c>
      <c r="AX596" s="13" t="str">
        <f>IF(ISNUMBER(SEARCH("cancel",#REF!)),"Cancelled",IF(AND(AS596&lt;&gt;"",AU596&lt;&gt;"",AW596&lt;&gt;""),"Closed","Open"))</f>
        <v>Closed</v>
      </c>
      <c r="AY596" s="15" t="str">
        <f t="shared" si="28"/>
        <v>All dates received</v>
      </c>
      <c r="BD596" s="13">
        <f>IF($AX596="Cancelled","",IFERROR(IF(OR(AS596="",AJ596=""),"",(AJ596+Variables!$B$18-AS596)),""))</f>
        <v>-2</v>
      </c>
      <c r="BE596" s="13">
        <f>IF($AX596="Cancelled","",IFERROR(IF(OR(AW596="",AS596=""),"",(AS596+Variables!$B$19)-AW596),""))</f>
        <v>-21</v>
      </c>
      <c r="BF596" s="44">
        <f>IF($AX596="Cancelled","",IFERROR(W596*INDEX(Variables!$B$7:$D$7,IFERROR(MATCH(IF($B596="Robusta","Robusta",(IF($B596="","Arabica",$B596))&amp;" - "&amp;(IF($C596="","Commercial",$C596))),Variables!$B$1:$D$1,0),1))*(BE596/365),""))</f>
        <v>-60.319485492309106</v>
      </c>
      <c r="BG596" s="44">
        <f>IF($AX596="Cancelled","",IFERROR((W596*INDEX(Variables!$B$7:$D$7,IFERROR(MATCH(IF($B596="Robusta","Robusta",(IF($B596="","Arabica",$B596))&amp;" - "&amp;(IF($C596="","Commercial",$C596))),Variables!$B$1:$D$1,0),1))*IFERROR(IF(AB596="","",(AVERAGE(E596:F596)-AB596)-Variables!$B$14),"")/365)+(L596/16.67*INDEX(Variables!$B$8:$D$8,IFERROR(MATCH(IF($B596="Robusta","Robusta",(IF($B596="","Arabica",$B596))&amp;" - "&amp;(IF($C596="","Commercial",$C596))),Variables!$B$1:$D$1,0),1))*IFERROR(IF(AB596="","",(AVERAGE(E596:F596)-AB596)-Variables!$B$14),""))+(W596*INDEX(Variables!$B$9:$D$9,IFERROR(MATCH(IF($B596="Robusta","Robusta",(IF($B596="","Arabica",$B596))&amp;" - "&amp;(IF($C596="","Commercial",$C596))),Variables!$B$1:$D$1,0),1))*IFERROR(IF(AB596="","",(AVERAGE(E596:F596)-AB596)-Variables!$B$14),"")/365),""))</f>
        <v>9.3699466736310111</v>
      </c>
      <c r="BH596" s="44">
        <f>IF($AX596="Cancelled","",IFERROR((W596*INDEX(Variables!$B$7:$D$7,IFERROR(MATCH(IF($B596="Robusta","Robusta",(IF($B596="","Arabica",$B596))&amp;" - "&amp;(IF($C596="","Commercial",$C596))),Variables!$B$1:$D$1,0),1))*AK596/365)+(L596/16.67*INDEX(Variables!$B$8:$D$8,IFERROR(MATCH(IF($B596="Robusta","Robusta",(IF($B596="","Arabica",$B596))&amp;" - "&amp;(IF($C596="","Commercial",$C596))),Variables!$B$1:$D$1,0),1))*AK596)+(W596*INDEX(Variables!$B$9:$D$9,IFERROR(MATCH(IF($B596="Robusta","Robusta",(IF($B596="","Arabica",$B596))&amp;" - "&amp;(IF($C596="","Commercial",$C596))),Variables!$B$1:$D$1,0),1))*AK596/365),""))</f>
        <v>52.912640039328075</v>
      </c>
      <c r="BI596" s="44">
        <f>IF($AX596="Cancelled","",IFERROR((W596*INDEX(Variables!$B$7:$D$7,IFERROR(MATCH(IF($B596="Robusta","Robusta",(IF($B596="","Arabica",$B596))&amp;" - "&amp;(IF($C596="","Commercial",$C596))),Variables!$B$1:$D$1,0),1))*BD596/365)+(L596/16.67*INDEX(Variables!$B$8:$D$8,IFERROR(MATCH(IF($B596="Robusta","Robusta",(IF($B596="","Arabica",$B596))&amp;" - "&amp;(IF($C596="","Commercial",$C596))),Variables!$B$1:$D$1,0),1))*BD596)+(W596*INDEX(Variables!$B$9:$D$9,IFERROR(MATCH(IF($B596="Robusta","Robusta",(IF($B596="","Arabica",$B596))&amp;" - "&amp;(IF($C596="","Commercial",$C596))),Variables!$B$1:$D$1,0),1))*BD596/365),""))</f>
        <v>-8.8187733398880113</v>
      </c>
      <c r="BJ596" s="44">
        <f t="shared" si="29"/>
        <v>-8</v>
      </c>
      <c r="BK596" s="44">
        <f>IF($AX596="Cancelled","",IFERROR(IF(BJ596="","",(W596*INDEX(Variables!$B$7:$D$7,IFERROR(MATCH(IF($B596="Robusta","Robusta",(IF($B596="","Arabica",$B596))&amp;" - "&amp;(IF($C596="","Commercial",$C596))),Variables!$B$1:$D$1,0),1))*(BJ596/365))+(W596*INDEX(Variables!$B$9:$D$9,IFERROR(MATCH(IF($B596="Robusta","Robusta",(IF($B596="","Arabica",$B596))&amp;" - "&amp;(IF($C596="","Commercial",$C596))),Variables!$B$1:$D$1,0),1))*(BJ596/365))+(INDEX(Variables!$B$8:$D$8,IFERROR(MATCH(IF($B596="Robusta","Robusta",(IF($B596="","Arabica",$B596))&amp;" - "&amp;(IF($C596="","Commercial",$C596))),Variables!$B$1:$D$1,0),1))*L596/16.67)),""))</f>
        <v>-21.775093359552045</v>
      </c>
    </row>
    <row r="597" spans="1:63">
      <c r="A597" s="13" t="s">
        <v>103</v>
      </c>
      <c r="B597" s="13" t="s">
        <v>104</v>
      </c>
      <c r="C597" s="13" t="s">
        <v>292</v>
      </c>
      <c r="D597" s="31">
        <v>46002</v>
      </c>
      <c r="E597" s="31">
        <v>46023</v>
      </c>
      <c r="F597" s="31">
        <v>46053</v>
      </c>
      <c r="G597" s="13">
        <v>3787049</v>
      </c>
      <c r="J597" s="13" t="s">
        <v>1641</v>
      </c>
      <c r="K597" s="13" t="s">
        <v>1664</v>
      </c>
      <c r="L597" s="13">
        <v>38</v>
      </c>
      <c r="M597" s="13">
        <v>0</v>
      </c>
      <c r="N597" s="13" t="s">
        <v>1665</v>
      </c>
      <c r="O597" s="13" t="s">
        <v>297</v>
      </c>
      <c r="P597" s="13">
        <v>10020</v>
      </c>
      <c r="R597" s="13" t="s">
        <v>239</v>
      </c>
      <c r="S597" s="13" t="s">
        <v>776</v>
      </c>
      <c r="T597" s="13" t="s">
        <v>777</v>
      </c>
      <c r="U597" s="13" t="s">
        <v>125</v>
      </c>
      <c r="V597" s="13">
        <v>121</v>
      </c>
      <c r="W597" s="44">
        <f>IF($AX597="Cancelled","",IFERROR(((V597+INDEX(Variables!$B$6:$D$6,IFERROR(MATCH(IF($B597="Robusta","Robusta",(IF($B597="","Arabica",$B597))&amp;" - "&amp;(IF($C597="","Commercial",$C597))),Variables!$B$1:$D$1,0),1)))*22.0462)*(L597/16.67),""))</f>
        <v>20695.126339532093</v>
      </c>
      <c r="X597" s="55" t="s">
        <v>39</v>
      </c>
      <c r="Y597" s="13" t="str">
        <f>IF($AX597="Cancelled","",IF(X597="","",IFERROR(IF(INDEX(Variables!$B$38:$B$47,MATCH(X597,Variables!$A$38:$A$47,0))="Yes","Yes","No"),"No")))</f>
        <v>No</v>
      </c>
      <c r="Z597" s="31"/>
      <c r="AB597" s="31">
        <v>46005.875</v>
      </c>
      <c r="AC597" s="13" t="str">
        <f t="shared" si="27"/>
        <v>Approved</v>
      </c>
      <c r="AF597" s="71">
        <v>46041</v>
      </c>
      <c r="AG597" s="31">
        <f>IF($AX597="Cancelled","",IFERROR(IF(F597="","",F597-Variables!$B$13),""))</f>
        <v>46038</v>
      </c>
      <c r="AH597" s="13">
        <f>IF($AX597="Cancelled","",IFERROR(IF(AB597="","",(AVERAGE(E597:F597)-AB597)-Variables!$B$14),""))</f>
        <v>2.125</v>
      </c>
      <c r="AJ597" s="47">
        <v>46044</v>
      </c>
      <c r="AK597" s="14">
        <f>IF($AX597="Cancelled","",IFERROR(IF(AJ597="","",IF(AND(AB597="",AF597=""),"",IF(AF597&gt;AB597,AF597+Variables!$B$15+Variables!$B$16+Variables!$B$17-AJ597,AB597+Variables!$B$16+Variables!$B$17-AJ597))),""))</f>
        <v>12</v>
      </c>
      <c r="AL597" s="48" t="s">
        <v>114</v>
      </c>
      <c r="AM597" s="13" t="s">
        <v>1644</v>
      </c>
      <c r="AN597" s="13" t="s">
        <v>1645</v>
      </c>
      <c r="AP597" s="31">
        <v>46061</v>
      </c>
      <c r="AR597" s="13" t="s">
        <v>1646</v>
      </c>
      <c r="AS597" s="31">
        <v>46061</v>
      </c>
      <c r="AU597" s="31">
        <v>46087</v>
      </c>
      <c r="AV597" s="13" t="s">
        <v>1647</v>
      </c>
      <c r="AW597" s="31">
        <v>46087</v>
      </c>
      <c r="AX597" s="13" t="str">
        <f>IF(ISNUMBER(SEARCH("cancel",#REF!)),"Cancelled",IF(AND(AS597&lt;&gt;"",AU597&lt;&gt;"",AW597&lt;&gt;""),"Closed","Open"))</f>
        <v>Closed</v>
      </c>
      <c r="AY597" s="15" t="str">
        <f t="shared" si="28"/>
        <v>All dates received</v>
      </c>
      <c r="BD597" s="13">
        <f>IF($AX597="Cancelled","",IFERROR(IF(OR(AS597="",AJ597=""),"",(AJ597+Variables!$B$18-AS597)),""))</f>
        <v>-2</v>
      </c>
      <c r="BE597" s="13">
        <f>IF($AX597="Cancelled","",IFERROR(IF(OR(AW597="",AS597=""),"",(AS597+Variables!$B$19)-AW597),""))</f>
        <v>-21</v>
      </c>
      <c r="BF597" s="44">
        <f>IF($AX597="Cancelled","",IFERROR(W597*INDEX(Variables!$B$7:$D$7,IFERROR(MATCH(IF($B597="Robusta","Robusta",(IF($B597="","Arabica",$B597))&amp;" - "&amp;(IF($C597="","Commercial",$C597))),Variables!$B$1:$D$1,0),1))*(BE597/365),""))</f>
        <v>-76.777569284028786</v>
      </c>
      <c r="BG597" s="44">
        <f>IF($AX597="Cancelled","",IFERROR((W597*INDEX(Variables!$B$7:$D$7,IFERROR(MATCH(IF($B597="Robusta","Robusta",(IF($B597="","Arabica",$B597))&amp;" - "&amp;(IF($C597="","Commercial",$C597))),Variables!$B$1:$D$1,0),1))*IFERROR(IF(AB597="","",(AVERAGE(E597:F597)-AB597)-Variables!$B$14),"")/365)+(L597/16.67*INDEX(Variables!$B$8:$D$8,IFERROR(MATCH(IF($B597="Robusta","Robusta",(IF($B597="","Arabica",$B597))&amp;" - "&amp;(IF($C597="","Commercial",$C597))),Variables!$B$1:$D$1,0),1))*IFERROR(IF(AB597="","",(AVERAGE(E597:F597)-AB597)-Variables!$B$14),""))+(W597*INDEX(Variables!$B$9:$D$9,IFERROR(MATCH(IF($B597="Robusta","Robusta",(IF($B597="","Arabica",$B597))&amp;" - "&amp;(IF($C597="","Commercial",$C597))),Variables!$B$1:$D$1,0),1))*IFERROR(IF(AB597="","",(AVERAGE(E597:F597)-AB597)-Variables!$B$14),"")/365),""))</f>
        <v>11.906818246921061</v>
      </c>
      <c r="BH597" s="44">
        <f>IF($AX597="Cancelled","",IFERROR((W597*INDEX(Variables!$B$7:$D$7,IFERROR(MATCH(IF($B597="Robusta","Robusta",(IF($B597="","Arabica",$B597))&amp;" - "&amp;(IF($C597="","Commercial",$C597))),Variables!$B$1:$D$1,0),1))*AK597/365)+(L597/16.67*INDEX(Variables!$B$8:$D$8,IFERROR(MATCH(IF($B597="Robusta","Robusta",(IF($B597="","Arabica",$B597))&amp;" - "&amp;(IF($C597="","Commercial",$C597))),Variables!$B$1:$D$1,0),1))*AK597)+(W597*INDEX(Variables!$B$9:$D$9,IFERROR(MATCH(IF($B597="Robusta","Robusta",(IF($B597="","Arabica",$B597))&amp;" - "&amp;(IF($C597="","Commercial",$C597))),Variables!$B$1:$D$1,0),1))*AK597/365),""))</f>
        <v>67.238503041436587</v>
      </c>
      <c r="BI597" s="44">
        <f>IF($AX597="Cancelled","",IFERROR((W597*INDEX(Variables!$B$7:$D$7,IFERROR(MATCH(IF($B597="Robusta","Robusta",(IF($B597="","Arabica",$B597))&amp;" - "&amp;(IF($C597="","Commercial",$C597))),Variables!$B$1:$D$1,0),1))*BD597/365)+(L597/16.67*INDEX(Variables!$B$8:$D$8,IFERROR(MATCH(IF($B597="Robusta","Robusta",(IF($B597="","Arabica",$B597))&amp;" - "&amp;(IF($C597="","Commercial",$C597))),Variables!$B$1:$D$1,0),1))*BD597)+(W597*INDEX(Variables!$B$9:$D$9,IFERROR(MATCH(IF($B597="Robusta","Robusta",(IF($B597="","Arabica",$B597))&amp;" - "&amp;(IF($C597="","Commercial",$C597))),Variables!$B$1:$D$1,0),1))*BD597/365),""))</f>
        <v>-11.206417173572765</v>
      </c>
      <c r="BJ597" s="44">
        <f t="shared" si="29"/>
        <v>-8</v>
      </c>
      <c r="BK597" s="44">
        <f>IF($AX597="Cancelled","",IFERROR(IF(BJ597="","",(W597*INDEX(Variables!$B$7:$D$7,IFERROR(MATCH(IF($B597="Robusta","Robusta",(IF($B597="","Arabica",$B597))&amp;" - "&amp;(IF($C597="","Commercial",$C597))),Variables!$B$1:$D$1,0),1))*(BJ597/365))+(W597*INDEX(Variables!$B$9:$D$9,IFERROR(MATCH(IF($B597="Robusta","Robusta",(IF($B597="","Arabica",$B597))&amp;" - "&amp;(IF($C597="","Commercial",$C597))),Variables!$B$1:$D$1,0),1))*(BJ597/365))+(INDEX(Variables!$B$8:$D$8,IFERROR(MATCH(IF($B597="Robusta","Robusta",(IF($B597="","Arabica",$B597))&amp;" - "&amp;(IF($C597="","Commercial",$C597))),Variables!$B$1:$D$1,0),1))*L597/16.67)),""))</f>
        <v>-27.725668694291059</v>
      </c>
    </row>
    <row r="598" spans="1:63">
      <c r="A598" s="13" t="s">
        <v>103</v>
      </c>
      <c r="B598" s="13" t="s">
        <v>104</v>
      </c>
      <c r="C598" s="13" t="s">
        <v>292</v>
      </c>
      <c r="D598" s="31">
        <v>46002</v>
      </c>
      <c r="E598" s="31">
        <v>46023</v>
      </c>
      <c r="F598" s="31">
        <v>46053</v>
      </c>
      <c r="G598" s="13">
        <v>3787050</v>
      </c>
      <c r="J598" s="13" t="s">
        <v>1641</v>
      </c>
      <c r="K598" s="13" t="s">
        <v>1666</v>
      </c>
      <c r="L598" s="13">
        <v>22</v>
      </c>
      <c r="M598" s="13">
        <v>0</v>
      </c>
      <c r="N598" s="13" t="s">
        <v>1667</v>
      </c>
      <c r="O598" s="13" t="s">
        <v>297</v>
      </c>
      <c r="P598" s="13">
        <v>10020</v>
      </c>
      <c r="R598" s="13" t="s">
        <v>239</v>
      </c>
      <c r="S598" s="13" t="s">
        <v>776</v>
      </c>
      <c r="T598" s="13" t="s">
        <v>777</v>
      </c>
      <c r="U598" s="13" t="s">
        <v>125</v>
      </c>
      <c r="V598" s="13">
        <v>118</v>
      </c>
      <c r="W598" s="44">
        <f>IF($AX598="Cancelled","",IFERROR(((V598+INDEX(Variables!$B$6:$D$6,IFERROR(MATCH(IF($B598="Robusta","Robusta",(IF($B598="","Arabica",$B598))&amp;" - "&amp;(IF($C598="","Commercial",$C598))),Variables!$B$1:$D$1,0),1)))*22.0462)*(L598/16.67),""))</f>
        <v>11894.103438512295</v>
      </c>
      <c r="X598" s="55" t="s">
        <v>39</v>
      </c>
      <c r="Y598" s="13" t="str">
        <f>IF($AX598="Cancelled","",IF(X598="","",IFERROR(IF(INDEX(Variables!$B$38:$B$47,MATCH(X598,Variables!$A$38:$A$47,0))="Yes","Yes","No"),"No")))</f>
        <v>No</v>
      </c>
      <c r="Z598" s="31"/>
      <c r="AB598" s="31">
        <v>46005.875</v>
      </c>
      <c r="AC598" s="13" t="str">
        <f t="shared" si="27"/>
        <v>Approved</v>
      </c>
      <c r="AF598" s="71">
        <v>46041</v>
      </c>
      <c r="AG598" s="31">
        <f>IF($AX598="Cancelled","",IFERROR(IF(F598="","",F598-Variables!$B$13),""))</f>
        <v>46038</v>
      </c>
      <c r="AH598" s="13">
        <f>IF($AX598="Cancelled","",IFERROR(IF(AB598="","",(AVERAGE(E598:F598)-AB598)-Variables!$B$14),""))</f>
        <v>2.125</v>
      </c>
      <c r="AJ598" s="47">
        <v>46044</v>
      </c>
      <c r="AK598" s="14">
        <f>IF($AX598="Cancelled","",IFERROR(IF(AJ598="","",IF(AND(AB598="",AF598=""),"",IF(AF598&gt;AB598,AF598+Variables!$B$15+Variables!$B$16+Variables!$B$17-AJ598,AB598+Variables!$B$16+Variables!$B$17-AJ598))),""))</f>
        <v>12</v>
      </c>
      <c r="AL598" s="48" t="s">
        <v>114</v>
      </c>
      <c r="AM598" s="13" t="s">
        <v>1644</v>
      </c>
      <c r="AN598" s="13" t="s">
        <v>1645</v>
      </c>
      <c r="AP598" s="31">
        <v>46061</v>
      </c>
      <c r="AR598" s="13" t="s">
        <v>1646</v>
      </c>
      <c r="AS598" s="31">
        <v>46061</v>
      </c>
      <c r="AU598" s="31">
        <v>46087</v>
      </c>
      <c r="AV598" s="13" t="s">
        <v>1647</v>
      </c>
      <c r="AW598" s="31">
        <v>46087</v>
      </c>
      <c r="AX598" s="13" t="str">
        <f>IF(ISNUMBER(SEARCH("cancel",#REF!)),"Cancelled",IF(AND(AS598&lt;&gt;"",AU598&lt;&gt;"",AW598&lt;&gt;""),"Closed","Open"))</f>
        <v>Closed</v>
      </c>
      <c r="AY598" s="15" t="str">
        <f t="shared" si="28"/>
        <v>All dates received</v>
      </c>
      <c r="BD598" s="13">
        <f>IF($AX598="Cancelled","",IFERROR(IF(OR(AS598="",AJ598=""),"",(AJ598+Variables!$B$18-AS598)),""))</f>
        <v>-2</v>
      </c>
      <c r="BE598" s="13">
        <f>IF($AX598="Cancelled","",IFERROR(IF(OR(AW598="",AS598=""),"",(AS598+Variables!$B$19)-AW598),""))</f>
        <v>-21</v>
      </c>
      <c r="BF598" s="44">
        <f>IF($AX598="Cancelled","",IFERROR(W598*INDEX(Variables!$B$7:$D$7,IFERROR(MATCH(IF($B598="Robusta","Robusta",(IF($B598="","Arabica",$B598))&amp;" - "&amp;(IF($C598="","Commercial",$C598))),Variables!$B$1:$D$1,0),1))*(BE598/365),""))</f>
        <v>-44.126348196163249</v>
      </c>
      <c r="BG598" s="44">
        <f>IF($AX598="Cancelled","",IFERROR((W598*INDEX(Variables!$B$7:$D$7,IFERROR(MATCH(IF($B598="Robusta","Robusta",(IF($B598="","Arabica",$B598))&amp;" - "&amp;(IF($C598="","Commercial",$C598))),Variables!$B$1:$D$1,0),1))*IFERROR(IF(AB598="","",(AVERAGE(E598:F598)-AB598)-Variables!$B$14),"")/365)+(L598/16.67*INDEX(Variables!$B$8:$D$8,IFERROR(MATCH(IF($B598="Robusta","Robusta",(IF($B598="","Arabica",$B598))&amp;" - "&amp;(IF($C598="","Commercial",$C598))),Variables!$B$1:$D$1,0),1))*IFERROR(IF(AB598="","",(AVERAGE(E598:F598)-AB598)-Variables!$B$14),""))+(W598*INDEX(Variables!$B$9:$D$9,IFERROR(MATCH(IF($B598="Robusta","Robusta",(IF($B598="","Arabica",$B598))&amp;" - "&amp;(IF($C598="","Commercial",$C598))),Variables!$B$1:$D$1,0),1))*IFERROR(IF(AB598="","",(AVERAGE(E598:F598)-AB598)-Variables!$B$14),"")/365),""))</f>
        <v>6.8602307958327522</v>
      </c>
      <c r="BH598" s="44">
        <f>IF($AX598="Cancelled","",IFERROR((W598*INDEX(Variables!$B$7:$D$7,IFERROR(MATCH(IF($B598="Robusta","Robusta",(IF($B598="","Arabica",$B598))&amp;" - "&amp;(IF($C598="","Commercial",$C598))),Variables!$B$1:$D$1,0),1))*AK598/365)+(L598/16.67*INDEX(Variables!$B$8:$D$8,IFERROR(MATCH(IF($B598="Robusta","Robusta",(IF($B598="","Arabica",$B598))&amp;" - "&amp;(IF($C598="","Commercial",$C598))),Variables!$B$1:$D$1,0),1))*AK598)+(W598*INDEX(Variables!$B$9:$D$9,IFERROR(MATCH(IF($B598="Robusta","Robusta",(IF($B598="","Arabica",$B598))&amp;" - "&amp;(IF($C598="","Commercial",$C598))),Variables!$B$1:$D$1,0),1))*AK598/365),""))</f>
        <v>38.740126847055542</v>
      </c>
      <c r="BI598" s="44">
        <f>IF($AX598="Cancelled","",IFERROR((W598*INDEX(Variables!$B$7:$D$7,IFERROR(MATCH(IF($B598="Robusta","Robusta",(IF($B598="","Arabica",$B598))&amp;" - "&amp;(IF($C598="","Commercial",$C598))),Variables!$B$1:$D$1,0),1))*BD598/365)+(L598/16.67*INDEX(Variables!$B$8:$D$8,IFERROR(MATCH(IF($B598="Robusta","Robusta",(IF($B598="","Arabica",$B598))&amp;" - "&amp;(IF($C598="","Commercial",$C598))),Variables!$B$1:$D$1,0),1))*BD598)+(W598*INDEX(Variables!$B$9:$D$9,IFERROR(MATCH(IF($B598="Robusta","Robusta",(IF($B598="","Arabica",$B598))&amp;" - "&amp;(IF($C598="","Commercial",$C598))),Variables!$B$1:$D$1,0),1))*BD598/365),""))</f>
        <v>-6.4566878078425907</v>
      </c>
      <c r="BJ598" s="44">
        <f t="shared" si="29"/>
        <v>-8</v>
      </c>
      <c r="BK598" s="44">
        <f>IF($AX598="Cancelled","",IFERROR(IF(BJ598="","",(W598*INDEX(Variables!$B$7:$D$7,IFERROR(MATCH(IF($B598="Robusta","Robusta",(IF($B598="","Arabica",$B598))&amp;" - "&amp;(IF($C598="","Commercial",$C598))),Variables!$B$1:$D$1,0),1))*(BJ598/365))+(W598*INDEX(Variables!$B$9:$D$9,IFERROR(MATCH(IF($B598="Robusta","Robusta",(IF($B598="","Arabica",$B598))&amp;" - "&amp;(IF($C598="","Commercial",$C598))),Variables!$B$1:$D$1,0),1))*(BJ598/365))+(INDEX(Variables!$B$8:$D$8,IFERROR(MATCH(IF($B598="Robusta","Robusta",(IF($B598="","Arabica",$B598))&amp;" - "&amp;(IF($C598="","Commercial",$C598))),Variables!$B$1:$D$1,0),1))*L598/16.67)),""))</f>
        <v>-15.926751231370362</v>
      </c>
    </row>
    <row r="599" spans="1:63">
      <c r="A599" s="13" t="s">
        <v>103</v>
      </c>
      <c r="B599" s="13" t="s">
        <v>104</v>
      </c>
      <c r="C599" s="13" t="s">
        <v>105</v>
      </c>
      <c r="D599" s="31">
        <v>46003</v>
      </c>
      <c r="E599" s="31">
        <v>46023</v>
      </c>
      <c r="F599" s="31">
        <v>46053</v>
      </c>
      <c r="G599" s="13">
        <v>3787051</v>
      </c>
      <c r="H599" s="13" t="s">
        <v>1668</v>
      </c>
      <c r="J599" s="13" t="s">
        <v>1669</v>
      </c>
      <c r="K599" s="13">
        <v>5402</v>
      </c>
      <c r="L599" s="13">
        <v>320</v>
      </c>
      <c r="M599" s="13">
        <v>1</v>
      </c>
      <c r="N599" s="13" t="s">
        <v>261</v>
      </c>
      <c r="O599" s="13" t="s">
        <v>355</v>
      </c>
      <c r="P599" s="13">
        <v>10060</v>
      </c>
      <c r="R599" s="13" t="s">
        <v>110</v>
      </c>
      <c r="S599" s="13" t="s">
        <v>1457</v>
      </c>
      <c r="T599" s="13" t="s">
        <v>112</v>
      </c>
      <c r="U599" s="13" t="s">
        <v>113</v>
      </c>
      <c r="V599" s="13">
        <v>20</v>
      </c>
      <c r="W599" s="44">
        <f>IF($AX599="Cancelled","",IFERROR(((V599+INDEX(Variables!$B$6:$D$6,IFERROR(MATCH(IF($B599="Robusta","Robusta",(IF($B599="","Arabica",$B599))&amp;" - "&amp;(IF($C599="","Commercial",$C599))),Variables!$B$1:$D$1,0),1)))*22.0462)*(L599/16.67),""))</f>
        <v>131531.30577084582</v>
      </c>
      <c r="X599" s="55" t="s">
        <v>37</v>
      </c>
      <c r="Y599" s="13" t="str">
        <f>IF($AX599="Cancelled","",IF(X599="","",IFERROR(IF(INDEX(Variables!$B$38:$B$47,MATCH(X599,Variables!$A$38:$A$47,0))="Yes","Yes","No"),"No")))</f>
        <v>Yes</v>
      </c>
      <c r="Z599" s="58">
        <v>46055</v>
      </c>
      <c r="AB599" s="31">
        <v>46005.875</v>
      </c>
      <c r="AC599" s="13" t="str">
        <f t="shared" si="27"/>
        <v>Approved</v>
      </c>
      <c r="AF599" s="71">
        <v>46056</v>
      </c>
      <c r="AG599" s="37">
        <f>IF($AX599="Cancelled","",IFERROR(IF(F599="","",F599-Variables!$B$13),""))</f>
        <v>46038</v>
      </c>
      <c r="AH599" s="13">
        <f>IF($AX599="Cancelled","",IFERROR(IF(AB599="","",(AVERAGE(E599:F599)-AB599)-Variables!$B$14),""))</f>
        <v>2.125</v>
      </c>
      <c r="AJ599" s="47">
        <v>46059</v>
      </c>
      <c r="AK599" s="14">
        <f>IF($AX599="Cancelled","",IFERROR(IF(AJ599="","",IF(AND(AB599="",AF599=""),"",IF(AF599&gt;AB599,AF599+Variables!$B$15+Variables!$B$16+Variables!$B$17-AJ599,AB599+Variables!$B$16+Variables!$B$17-AJ599))),""))</f>
        <v>12</v>
      </c>
      <c r="AL599" s="48" t="s">
        <v>114</v>
      </c>
      <c r="AM599" s="13" t="s">
        <v>134</v>
      </c>
      <c r="AN599" s="13" t="s">
        <v>1670</v>
      </c>
      <c r="AP599" s="31">
        <v>46077</v>
      </c>
      <c r="AR599" s="13" t="s">
        <v>1671</v>
      </c>
      <c r="AS599" s="31">
        <v>46077</v>
      </c>
      <c r="AU599" s="31">
        <v>46083</v>
      </c>
      <c r="AV599" s="13" t="s">
        <v>865</v>
      </c>
      <c r="AW599" s="31">
        <v>46107</v>
      </c>
      <c r="AX599" s="13" t="str">
        <f>IF(ISNUMBER(SEARCH("cancel",#REF!)),"Cancelled",IF(AND(AS599&lt;&gt;"",AU599&lt;&gt;"",AW599&lt;&gt;""),"Closed","Open"))</f>
        <v>Closed</v>
      </c>
      <c r="AY599" s="15" t="str">
        <f t="shared" si="28"/>
        <v>All dates received</v>
      </c>
      <c r="BD599" s="13">
        <f>IF($AX599="Cancelled","",IFERROR(IF(OR(AS599="",AJ599=""),"",(AJ599+Variables!$B$18-AS599)),""))</f>
        <v>-3</v>
      </c>
      <c r="BE599" s="13">
        <f>IF($AX599="Cancelled","",IFERROR(IF(OR(AW599="",AS599=""),"",(AS599+Variables!$B$19)-AW599),""))</f>
        <v>-25</v>
      </c>
      <c r="BF599" s="44">
        <f>IF($AX599="Cancelled","",IFERROR(W599*INDEX(Variables!$B$7:$D$7,IFERROR(MATCH(IF($B599="Robusta","Robusta",(IF($B599="","Arabica",$B599))&amp;" - "&amp;(IF($C599="","Commercial",$C599))),Variables!$B$1:$D$1,0),1))*(BE599/365),""))</f>
        <v>-580.91972362855029</v>
      </c>
      <c r="BG599" s="44">
        <f>IF($AX599="Cancelled","",IFERROR((W599*INDEX(Variables!$B$7:$D$7,IFERROR(MATCH(IF($B599="Robusta","Robusta",(IF($B599="","Arabica",$B599))&amp;" - "&amp;(IF($C599="","Commercial",$C599))),Variables!$B$1:$D$1,0),1))*IFERROR(IF(AB599="","",(AVERAGE(E599:F599)-AB599)-Variables!$B$14),"")/365)+(L599/16.67*INDEX(Variables!$B$8:$D$8,IFERROR(MATCH(IF($B599="Robusta","Robusta",(IF($B599="","Arabica",$B599))&amp;" - "&amp;(IF($C599="","Commercial",$C599))),Variables!$B$1:$D$1,0),1))*IFERROR(IF(AB599="","",(AVERAGE(E599:F599)-AB599)-Variables!$B$14),""))+(W599*INDEX(Variables!$B$9:$D$9,IFERROR(MATCH(IF($B599="Robusta","Robusta",(IF($B599="","Arabica",$B599))&amp;" - "&amp;(IF($C599="","Commercial",$C599))),Variables!$B$1:$D$1,0),1))*IFERROR(IF(AB599="","",(AVERAGE(E599:F599)-AB599)-Variables!$B$14),"")/365),""))</f>
        <v>84.014756496880253</v>
      </c>
      <c r="BH599" s="44">
        <f>IF($AX599="Cancelled","",IFERROR((W599*INDEX(Variables!$B$7:$D$7,IFERROR(MATCH(IF($B599="Robusta","Robusta",(IF($B599="","Arabica",$B599))&amp;" - "&amp;(IF($C599="","Commercial",$C599))),Variables!$B$1:$D$1,0),1))*AK599/365)+(L599/16.67*INDEX(Variables!$B$8:$D$8,IFERROR(MATCH(IF($B599="Robusta","Robusta",(IF($B599="","Arabica",$B599))&amp;" - "&amp;(IF($C599="","Commercial",$C599))),Variables!$B$1:$D$1,0),1))*AK599)+(W599*INDEX(Variables!$B$9:$D$9,IFERROR(MATCH(IF($B599="Robusta","Robusta",(IF($B599="","Arabica",$B599))&amp;" - "&amp;(IF($C599="","Commercial",$C599))),Variables!$B$1:$D$1,0),1))*AK599/365),""))</f>
        <v>474.43627198238261</v>
      </c>
      <c r="BI599" s="44">
        <f>IF($AX599="Cancelled","",IFERROR((W599*INDEX(Variables!$B$7:$D$7,IFERROR(MATCH(IF($B599="Robusta","Robusta",(IF($B599="","Arabica",$B599))&amp;" - "&amp;(IF($C599="","Commercial",$C599))),Variables!$B$1:$D$1,0),1))*BD599/365)+(L599/16.67*INDEX(Variables!$B$8:$D$8,IFERROR(MATCH(IF($B599="Robusta","Robusta",(IF($B599="","Arabica",$B599))&amp;" - "&amp;(IF($C599="","Commercial",$C599))),Variables!$B$1:$D$1,0),1))*BD599)+(W599*INDEX(Variables!$B$9:$D$9,IFERROR(MATCH(IF($B599="Robusta","Robusta",(IF($B599="","Arabica",$B599))&amp;" - "&amp;(IF($C599="","Commercial",$C599))),Variables!$B$1:$D$1,0),1))*BD599/365),""))</f>
        <v>-118.60906799559565</v>
      </c>
      <c r="BJ599" s="44">
        <f t="shared" si="29"/>
        <v>-24</v>
      </c>
      <c r="BK599" s="44">
        <f>IF($AX599="Cancelled","",IFERROR(IF(BJ599="","",(W599*INDEX(Variables!$B$7:$D$7,IFERROR(MATCH(IF($B599="Robusta","Robusta",(IF($B599="","Arabica",$B599))&amp;" - "&amp;(IF($C599="","Commercial",$C599))),Variables!$B$1:$D$1,0),1))*(BJ599/365))+(W599*INDEX(Variables!$B$9:$D$9,IFERROR(MATCH(IF($B599="Robusta","Robusta",(IF($B599="","Arabica",$B599))&amp;" - "&amp;(IF($C599="","Commercial",$C599))),Variables!$B$1:$D$1,0),1))*(BJ599/365))+(INDEX(Variables!$B$8:$D$8,IFERROR(MATCH(IF($B599="Robusta","Robusta",(IF($B599="","Arabica",$B599))&amp;" - "&amp;(IF($C599="","Commercial",$C599))),Variables!$B$1:$D$1,0),1))*L599/16.67)),""))</f>
        <v>-548.87254396476521</v>
      </c>
    </row>
    <row r="600" spans="1:63">
      <c r="A600" s="13" t="s">
        <v>103</v>
      </c>
      <c r="B600" s="13" t="s">
        <v>104</v>
      </c>
      <c r="C600" s="13" t="s">
        <v>292</v>
      </c>
      <c r="D600" s="31">
        <v>46006</v>
      </c>
      <c r="E600" s="31">
        <v>46023</v>
      </c>
      <c r="F600" s="31">
        <v>46081</v>
      </c>
      <c r="G600" s="13">
        <v>3787052</v>
      </c>
      <c r="J600" s="13" t="s">
        <v>447</v>
      </c>
      <c r="K600" s="13" t="s">
        <v>1672</v>
      </c>
      <c r="L600" s="13">
        <v>25</v>
      </c>
      <c r="M600" s="13">
        <v>1</v>
      </c>
      <c r="N600" s="13" t="s">
        <v>1673</v>
      </c>
      <c r="O600" s="13" t="s">
        <v>297</v>
      </c>
      <c r="P600" s="13">
        <v>10020</v>
      </c>
      <c r="R600" s="13" t="s">
        <v>239</v>
      </c>
      <c r="S600" s="13" t="s">
        <v>154</v>
      </c>
      <c r="T600" s="13" t="s">
        <v>155</v>
      </c>
      <c r="U600" s="13" t="s">
        <v>125</v>
      </c>
      <c r="V600" s="13">
        <v>147</v>
      </c>
      <c r="W600" s="44">
        <f>IF($AX600="Cancelled","",IFERROR(((V600+INDEX(Variables!$B$6:$D$6,IFERROR(MATCH(IF($B600="Robusta","Robusta",(IF($B600="","Arabica",$B600))&amp;" - "&amp;(IF($C600="","Commercial",$C600))),Variables!$B$1:$D$1,0),1)))*22.0462)*(L600/16.67),""))</f>
        <v>14474.84457108578</v>
      </c>
      <c r="X600" s="55" t="s">
        <v>39</v>
      </c>
      <c r="Y600" s="13" t="str">
        <f>IF($AX600="Cancelled","",IF(X600="","",IFERROR(IF(INDEX(Variables!$B$38:$B$47,MATCH(X600,Variables!$A$38:$A$47,0))="Yes","Yes","No"),"No")))</f>
        <v>No</v>
      </c>
      <c r="Z600" s="31"/>
      <c r="AB600" s="31">
        <v>46022.875</v>
      </c>
      <c r="AC600" s="13" t="str">
        <f t="shared" si="27"/>
        <v>Approved</v>
      </c>
      <c r="AF600" s="71">
        <v>46048</v>
      </c>
      <c r="AG600" s="31">
        <f>IF($AX600="Cancelled","",IFERROR(IF(F600="","",F600-Variables!$B$13),""))</f>
        <v>46066</v>
      </c>
      <c r="AH600" s="13">
        <f>IF($AX600="Cancelled","",IFERROR(IF(AB600="","",(AVERAGE(E600:F600)-AB600)-Variables!$B$14),""))</f>
        <v>-0.875</v>
      </c>
      <c r="AJ600" s="47">
        <v>46093</v>
      </c>
      <c r="AK600" s="14">
        <f>IF($AX600="Cancelled","",IFERROR(IF(AJ600="","",IF(AND(AB600="",AF600=""),"",IF(AF600&gt;AB600,AF600+Variables!$B$15+Variables!$B$16+Variables!$B$17-AJ600,AB600+Variables!$B$16+Variables!$B$17-AJ600))),""))</f>
        <v>-30</v>
      </c>
      <c r="AL600" s="48" t="s">
        <v>114</v>
      </c>
      <c r="AM600" s="13" t="s">
        <v>168</v>
      </c>
      <c r="AN600" s="13" t="s">
        <v>1674</v>
      </c>
      <c r="AP600" s="31">
        <v>46103</v>
      </c>
      <c r="AR600" s="13" t="s">
        <v>1675</v>
      </c>
      <c r="AS600" s="31">
        <v>46103</v>
      </c>
      <c r="AU600" s="31">
        <v>46140</v>
      </c>
      <c r="AV600" s="13" t="s">
        <v>865</v>
      </c>
      <c r="AW600" s="31">
        <v>46142</v>
      </c>
      <c r="AX600" s="13" t="str">
        <f>IF(ISNUMBER(SEARCH("cancel",#REF!)),"Cancelled",IF(AND(AS600&lt;&gt;"",AU600&lt;&gt;"",AW600&lt;&gt;""),"Closed","Open"))</f>
        <v>Closed</v>
      </c>
      <c r="AY600" s="15" t="str">
        <f t="shared" si="28"/>
        <v>All dates received</v>
      </c>
      <c r="BD600" s="13">
        <f>IF($AX600="Cancelled","",IFERROR(IF(OR(AS600="",AJ600=""),"",(AJ600+Variables!$B$18-AS600)),""))</f>
        <v>5</v>
      </c>
      <c r="BE600" s="13">
        <f>IF($AX600="Cancelled","",IFERROR(IF(OR(AW600="",AS600=""),"",(AS600+Variables!$B$19)-AW600),""))</f>
        <v>-34</v>
      </c>
      <c r="BF600" s="44">
        <f>IF($AX600="Cancelled","",IFERROR(W600*INDEX(Variables!$B$7:$D$7,IFERROR(MATCH(IF($B600="Robusta","Robusta",(IF($B600="","Arabica",$B600))&amp;" - "&amp;(IF($C600="","Commercial",$C600))),Variables!$B$1:$D$1,0),1))*(BE600/365),""))</f>
        <v>-86.944038269744368</v>
      </c>
      <c r="BG600" s="44">
        <f>IF($AX600="Cancelled","",IFERROR((W600*INDEX(Variables!$B$7:$D$7,IFERROR(MATCH(IF($B600="Robusta","Robusta",(IF($B600="","Arabica",$B600))&amp;" - "&amp;(IF($C600="","Commercial",$C600))),Variables!$B$1:$D$1,0),1))*IFERROR(IF(AB600="","",(AVERAGE(E600:F600)-AB600)-Variables!$B$14),"")/365)+(L600/16.67*INDEX(Variables!$B$8:$D$8,IFERROR(MATCH(IF($B600="Robusta","Robusta",(IF($B600="","Arabica",$B600))&amp;" - "&amp;(IF($C600="","Commercial",$C600))),Variables!$B$1:$D$1,0),1))*IFERROR(IF(AB600="","",(AVERAGE(E600:F600)-AB600)-Variables!$B$14),""))+(W600*INDEX(Variables!$B$9:$D$9,IFERROR(MATCH(IF($B600="Robusta","Robusta",(IF($B600="","Arabica",$B600))&amp;" - "&amp;(IF($C600="","Commercial",$C600))),Variables!$B$1:$D$1,0),1))*IFERROR(IF(AB600="","",(AVERAGE(E600:F600)-AB600)-Variables!$B$14),"")/365),""))</f>
        <v>-3.3601264815942731</v>
      </c>
      <c r="BH600" s="44">
        <f>IF($AX600="Cancelled","",IFERROR((W600*INDEX(Variables!$B$7:$D$7,IFERROR(MATCH(IF($B600="Robusta","Robusta",(IF($B600="","Arabica",$B600))&amp;" - "&amp;(IF($C600="","Commercial",$C600))),Variables!$B$1:$D$1,0),1))*AK600/365)+(L600/16.67*INDEX(Variables!$B$8:$D$8,IFERROR(MATCH(IF($B600="Robusta","Robusta",(IF($B600="","Arabica",$B600))&amp;" - "&amp;(IF($C600="","Commercial",$C600))),Variables!$B$1:$D$1,0),1))*AK600)+(W600*INDEX(Variables!$B$9:$D$9,IFERROR(MATCH(IF($B600="Robusta","Robusta",(IF($B600="","Arabica",$B600))&amp;" - "&amp;(IF($C600="","Commercial",$C600))),Variables!$B$1:$D$1,0),1))*AK600/365),""))</f>
        <v>-115.20433651180365</v>
      </c>
      <c r="BI600" s="44">
        <f>IF($AX600="Cancelled","",IFERROR((W600*INDEX(Variables!$B$7:$D$7,IFERROR(MATCH(IF($B600="Robusta","Robusta",(IF($B600="","Arabica",$B600))&amp;" - "&amp;(IF($C600="","Commercial",$C600))),Variables!$B$1:$D$1,0),1))*BD600/365)+(L600/16.67*INDEX(Variables!$B$8:$D$8,IFERROR(MATCH(IF($B600="Robusta","Robusta",(IF($B600="","Arabica",$B600))&amp;" - "&amp;(IF($C600="","Commercial",$C600))),Variables!$B$1:$D$1,0),1))*BD600)+(W600*INDEX(Variables!$B$9:$D$9,IFERROR(MATCH(IF($B600="Robusta","Robusta",(IF($B600="","Arabica",$B600))&amp;" - "&amp;(IF($C600="","Commercial",$C600))),Variables!$B$1:$D$1,0),1))*BD600/365),""))</f>
        <v>19.200722751967277</v>
      </c>
      <c r="BJ600" s="44">
        <f t="shared" si="29"/>
        <v>-22</v>
      </c>
      <c r="BK600" s="44">
        <f>IF($AX600="Cancelled","",IFERROR(IF(BJ600="","",(W600*INDEX(Variables!$B$7:$D$7,IFERROR(MATCH(IF($B600="Robusta","Robusta",(IF($B600="","Arabica",$B600))&amp;" - "&amp;(IF($C600="","Commercial",$C600))),Variables!$B$1:$D$1,0),1))*(BJ600/365))+(W600*INDEX(Variables!$B$9:$D$9,IFERROR(MATCH(IF($B600="Robusta","Robusta",(IF($B600="","Arabica",$B600))&amp;" - "&amp;(IF($C600="","Commercial",$C600))),Variables!$B$1:$D$1,0),1))*(BJ600/365))+(INDEX(Variables!$B$8:$D$8,IFERROR(MATCH(IF($B600="Robusta","Robusta",(IF($B600="","Arabica",$B600))&amp;" - "&amp;(IF($C600="","Commercial",$C600))),Variables!$B$1:$D$1,0),1))*L600/16.67)),""))</f>
        <v>-55.733180108656015</v>
      </c>
    </row>
    <row r="601" spans="1:63">
      <c r="A601" s="13" t="s">
        <v>103</v>
      </c>
      <c r="B601" s="13" t="s">
        <v>104</v>
      </c>
      <c r="C601" s="13" t="s">
        <v>292</v>
      </c>
      <c r="D601" s="31">
        <v>46006</v>
      </c>
      <c r="E601" s="31">
        <v>46023</v>
      </c>
      <c r="F601" s="31">
        <v>46081</v>
      </c>
      <c r="G601" s="13">
        <v>3787053</v>
      </c>
      <c r="J601" s="13" t="s">
        <v>447</v>
      </c>
      <c r="K601" s="13" t="s">
        <v>1676</v>
      </c>
      <c r="L601" s="13">
        <v>50</v>
      </c>
      <c r="M601" s="13">
        <v>0</v>
      </c>
      <c r="N601" s="13" t="s">
        <v>1677</v>
      </c>
      <c r="O601" s="13" t="s">
        <v>304</v>
      </c>
      <c r="P601" s="13">
        <v>10010</v>
      </c>
      <c r="R601" s="13" t="s">
        <v>239</v>
      </c>
      <c r="S601" s="13" t="s">
        <v>154</v>
      </c>
      <c r="T601" s="13" t="s">
        <v>155</v>
      </c>
      <c r="U601" s="13" t="s">
        <v>125</v>
      </c>
      <c r="V601" s="13">
        <v>164</v>
      </c>
      <c r="W601" s="44">
        <f>IF($AX601="Cancelled","",IFERROR(((V601+INDEX(Variables!$B$6:$D$6,IFERROR(MATCH(IF($B601="Robusta","Robusta",(IF($B601="","Arabica",$B601))&amp;" - "&amp;(IF($C601="","Commercial",$C601))),Variables!$B$1:$D$1,0),1)))*22.0462)*(L601/16.67),""))</f>
        <v>30073.820515896816</v>
      </c>
      <c r="X601" s="55" t="s">
        <v>39</v>
      </c>
      <c r="Y601" s="13" t="str">
        <f>IF($AX601="Cancelled","",IF(X601="","",IFERROR(IF(INDEX(Variables!$B$38:$B$47,MATCH(X601,Variables!$A$38:$A$47,0))="Yes","Yes","No"),"No")))</f>
        <v>No</v>
      </c>
      <c r="Z601" s="31"/>
      <c r="AB601" s="31">
        <v>46022.875</v>
      </c>
      <c r="AC601" s="13" t="str">
        <f t="shared" si="27"/>
        <v>Approved</v>
      </c>
      <c r="AF601" s="71">
        <v>46048</v>
      </c>
      <c r="AG601" s="31">
        <f>IF($AX601="Cancelled","",IFERROR(IF(F601="","",F601-Variables!$B$13),""))</f>
        <v>46066</v>
      </c>
      <c r="AH601" s="13">
        <f>IF($AX601="Cancelled","",IFERROR(IF(AB601="","",(AVERAGE(E601:F601)-AB601)-Variables!$B$14),""))</f>
        <v>-0.875</v>
      </c>
      <c r="AJ601" s="47">
        <v>46093</v>
      </c>
      <c r="AK601" s="14">
        <f>IF($AX601="Cancelled","",IFERROR(IF(AJ601="","",IF(AND(AB601="",AF601=""),"",IF(AF601&gt;AB601,AF601+Variables!$B$15+Variables!$B$16+Variables!$B$17-AJ601,AB601+Variables!$B$16+Variables!$B$17-AJ601))),""))</f>
        <v>-30</v>
      </c>
      <c r="AL601" s="48" t="s">
        <v>114</v>
      </c>
      <c r="AM601" s="13" t="s">
        <v>168</v>
      </c>
      <c r="AN601" s="13" t="s">
        <v>1674</v>
      </c>
      <c r="AP601" s="31">
        <v>46103</v>
      </c>
      <c r="AR601" s="13" t="s">
        <v>1675</v>
      </c>
      <c r="AS601" s="31">
        <v>46103</v>
      </c>
      <c r="AU601" s="31">
        <v>46140</v>
      </c>
      <c r="AV601" s="13" t="s">
        <v>865</v>
      </c>
      <c r="AW601" s="31">
        <v>46142</v>
      </c>
      <c r="AX601" s="13" t="str">
        <f>IF(ISNUMBER(SEARCH("cancel",#REF!)),"Cancelled",IF(AND(AS601&lt;&gt;"",AU601&lt;&gt;"",AW601&lt;&gt;""),"Closed","Open"))</f>
        <v>Closed</v>
      </c>
      <c r="AY601" s="15" t="str">
        <f t="shared" si="28"/>
        <v>All dates received</v>
      </c>
      <c r="BD601" s="13">
        <f>IF($AX601="Cancelled","",IFERROR(IF(OR(AS601="",AJ601=""),"",(AJ601+Variables!$B$18-AS601)),""))</f>
        <v>5</v>
      </c>
      <c r="BE601" s="13">
        <f>IF($AX601="Cancelled","",IFERROR(IF(OR(AW601="",AS601=""),"",(AS601+Variables!$B$19)-AW601),""))</f>
        <v>-34</v>
      </c>
      <c r="BF601" s="44">
        <f>IF($AX601="Cancelled","",IFERROR(W601*INDEX(Variables!$B$7:$D$7,IFERROR(MATCH(IF($B601="Robusta","Robusta",(IF($B601="","Arabica",$B601))&amp;" - "&amp;(IF($C601="","Commercial",$C601))),Variables!$B$1:$D$1,0),1))*(BE601/365),""))</f>
        <v>-180.64024031557673</v>
      </c>
      <c r="BG601" s="44">
        <f>IF($AX601="Cancelled","",IFERROR((W601*INDEX(Variables!$B$7:$D$7,IFERROR(MATCH(IF($B601="Robusta","Robusta",(IF($B601="","Arabica",$B601))&amp;" - "&amp;(IF($C601="","Commercial",$C601))),Variables!$B$1:$D$1,0),1))*IFERROR(IF(AB601="","",(AVERAGE(E601:F601)-AB601)-Variables!$B$14),"")/365)+(L601/16.67*INDEX(Variables!$B$8:$D$8,IFERROR(MATCH(IF($B601="Robusta","Robusta",(IF($B601="","Arabica",$B601))&amp;" - "&amp;(IF($C601="","Commercial",$C601))),Variables!$B$1:$D$1,0),1))*IFERROR(IF(AB601="","",(AVERAGE(E601:F601)-AB601)-Variables!$B$14),""))+(W601*INDEX(Variables!$B$9:$D$9,IFERROR(MATCH(IF($B601="Robusta","Robusta",(IF($B601="","Arabica",$B601))&amp;" - "&amp;(IF($C601="","Commercial",$C601))),Variables!$B$1:$D$1,0),1))*IFERROR(IF(AB601="","",(AVERAGE(E601:F601)-AB601)-Variables!$B$14),"")/365),""))</f>
        <v>-6.8962621006353384</v>
      </c>
      <c r="BH601" s="44">
        <f>IF($AX601="Cancelled","",IFERROR((W601*INDEX(Variables!$B$7:$D$7,IFERROR(MATCH(IF($B601="Robusta","Robusta",(IF($B601="","Arabica",$B601))&amp;" - "&amp;(IF($C601="","Commercial",$C601))),Variables!$B$1:$D$1,0),1))*AK601/365)+(L601/16.67*INDEX(Variables!$B$8:$D$8,IFERROR(MATCH(IF($B601="Robusta","Robusta",(IF($B601="","Arabica",$B601))&amp;" - "&amp;(IF($C601="","Commercial",$C601))),Variables!$B$1:$D$1,0),1))*AK601)+(W601*INDEX(Variables!$B$9:$D$9,IFERROR(MATCH(IF($B601="Robusta","Robusta",(IF($B601="","Arabica",$B601))&amp;" - "&amp;(IF($C601="","Commercial",$C601))),Variables!$B$1:$D$1,0),1))*AK601/365),""))</f>
        <v>-236.443272021783</v>
      </c>
      <c r="BI601" s="44">
        <f>IF($AX601="Cancelled","",IFERROR((W601*INDEX(Variables!$B$7:$D$7,IFERROR(MATCH(IF($B601="Robusta","Robusta",(IF($B601="","Arabica",$B601))&amp;" - "&amp;(IF($C601="","Commercial",$C601))),Variables!$B$1:$D$1,0),1))*BD601/365)+(L601/16.67*INDEX(Variables!$B$8:$D$8,IFERROR(MATCH(IF($B601="Robusta","Robusta",(IF($B601="","Arabica",$B601))&amp;" - "&amp;(IF($C601="","Commercial",$C601))),Variables!$B$1:$D$1,0),1))*BD601)+(W601*INDEX(Variables!$B$9:$D$9,IFERROR(MATCH(IF($B601="Robusta","Robusta",(IF($B601="","Arabica",$B601))&amp;" - "&amp;(IF($C601="","Commercial",$C601))),Variables!$B$1:$D$1,0),1))*BD601/365),""))</f>
        <v>39.407212003630505</v>
      </c>
      <c r="BJ601" s="44">
        <f t="shared" si="29"/>
        <v>-22</v>
      </c>
      <c r="BK601" s="44">
        <f>IF($AX601="Cancelled","",IFERROR(IF(BJ601="","",(W601*INDEX(Variables!$B$7:$D$7,IFERROR(MATCH(IF($B601="Robusta","Robusta",(IF($B601="","Arabica",$B601))&amp;" - "&amp;(IF($C601="","Commercial",$C601))),Variables!$B$1:$D$1,0),1))*(BJ601/365))+(W601*INDEX(Variables!$B$9:$D$9,IFERROR(MATCH(IF($B601="Robusta","Robusta",(IF($B601="","Arabica",$B601))&amp;" - "&amp;(IF($C601="","Commercial",$C601))),Variables!$B$1:$D$1,0),1))*(BJ601/365))+(INDEX(Variables!$B$8:$D$8,IFERROR(MATCH(IF($B601="Robusta","Robusta",(IF($B601="","Arabica",$B601))&amp;" - "&amp;(IF($C601="","Commercial",$C601))),Variables!$B$1:$D$1,0),1))*L601/16.67)),""))</f>
        <v>-115.89173281597422</v>
      </c>
    </row>
    <row r="602" spans="1:63">
      <c r="A602" s="13" t="s">
        <v>103</v>
      </c>
      <c r="B602" s="13" t="s">
        <v>104</v>
      </c>
      <c r="C602" s="13" t="s">
        <v>105</v>
      </c>
      <c r="D602" s="31">
        <v>46006</v>
      </c>
      <c r="E602" s="31">
        <v>46235</v>
      </c>
      <c r="F602" s="31">
        <v>46265</v>
      </c>
      <c r="G602" s="13">
        <v>3787054</v>
      </c>
      <c r="H602" s="13">
        <v>5443</v>
      </c>
      <c r="J602" s="13" t="s">
        <v>118</v>
      </c>
      <c r="K602" s="13">
        <v>5443</v>
      </c>
      <c r="L602" s="13">
        <v>720</v>
      </c>
      <c r="M602" s="13">
        <v>2</v>
      </c>
      <c r="N602" s="13" t="s">
        <v>1678</v>
      </c>
      <c r="O602" s="13" t="s">
        <v>1372</v>
      </c>
      <c r="P602" s="13">
        <v>10040</v>
      </c>
      <c r="Q602" s="13" t="s">
        <v>745</v>
      </c>
      <c r="R602" s="13" t="s">
        <v>1679</v>
      </c>
      <c r="S602" s="13" t="s">
        <v>1193</v>
      </c>
      <c r="T602" s="13" t="s">
        <v>219</v>
      </c>
      <c r="U602" s="13" t="s">
        <v>125</v>
      </c>
      <c r="V602" s="13">
        <v>86.5</v>
      </c>
      <c r="W602" s="44">
        <f>IF($AX602="Cancelled","",IFERROR(((V602+INDEX(Variables!$B$6:$D$6,IFERROR(MATCH(IF($B602="Robusta","Robusta",(IF($B602="","Arabica",$B602))&amp;" - "&amp;(IF($C602="","Commercial",$C602))),Variables!$B$1:$D$1,0),1)))*22.0462)*(L602/16.67),""))</f>
        <v>359267.09701259743</v>
      </c>
      <c r="X602" s="55" t="s">
        <v>37</v>
      </c>
      <c r="Y602" s="13" t="str">
        <f>IF($AX602="Cancelled","",IF(X602="","",IFERROR(IF(INDEX(Variables!$B$38:$B$47,MATCH(X602,Variables!$A$38:$A$47,0))="Yes","Yes","No"),"No")))</f>
        <v>Yes</v>
      </c>
      <c r="Z602" s="58">
        <v>46126</v>
      </c>
      <c r="AB602" s="31">
        <v>46182</v>
      </c>
      <c r="AC602" s="13" t="str">
        <f t="shared" si="27"/>
        <v>Approved</v>
      </c>
      <c r="AF602" s="71">
        <v>46048</v>
      </c>
      <c r="AG602" s="37">
        <f>IF($AX602="Cancelled","",IFERROR(IF(F602="","",F602-Variables!$B$13),""))</f>
        <v>46250</v>
      </c>
      <c r="AH602" s="13">
        <f>IF($AX602="Cancelled","",IFERROR(IF(AB602="","",(AVERAGE(E602:F602)-AB602)-Variables!$B$14),""))</f>
        <v>38</v>
      </c>
      <c r="AJ602" s="47">
        <v>46218</v>
      </c>
      <c r="AK602" s="14">
        <f>IF($AX602="Cancelled","",IFERROR(IF(AJ602="","",IF(AND(AB602="",AF602=""),"",IF(AF602&gt;AB602,AF602+Variables!$B$15+Variables!$B$16+Variables!$B$17-AJ602,AB602+Variables!$B$16+Variables!$B$17-AJ602))),""))</f>
        <v>-28</v>
      </c>
      <c r="AL602" s="48" t="s">
        <v>114</v>
      </c>
      <c r="AM602" s="13" t="s">
        <v>1526</v>
      </c>
      <c r="AN602" s="13" t="s">
        <v>1680</v>
      </c>
      <c r="AP602" s="31">
        <v>46227</v>
      </c>
      <c r="AR602" s="13">
        <v>937871</v>
      </c>
      <c r="AS602" s="31">
        <v>46227</v>
      </c>
      <c r="AU602" s="39">
        <v>46253</v>
      </c>
      <c r="AV602" s="13" t="s">
        <v>865</v>
      </c>
      <c r="AW602" s="39">
        <v>46253</v>
      </c>
      <c r="AX602" s="13" t="str">
        <f>IF(ISNUMBER(SEARCH("cancel",#REF!)),"Cancelled",IF(AND(AS602&lt;&gt;"",AU602&lt;&gt;"",AW602&lt;&gt;""),"Closed","Open"))</f>
        <v>Closed</v>
      </c>
      <c r="AY602" s="15" t="str">
        <f t="shared" si="28"/>
        <v>All dates received</v>
      </c>
      <c r="BD602" s="13">
        <f>IF($AX602="Cancelled","",IFERROR(IF(OR(AS602="",AJ602=""),"",(AJ602+Variables!$B$18-AS602)),""))</f>
        <v>6</v>
      </c>
      <c r="BE602" s="13">
        <f>IF($AX602="Cancelled","",IFERROR(IF(OR(AW602="",AS602=""),"",(AS602+Variables!$B$19)-AW602),""))</f>
        <v>-21</v>
      </c>
      <c r="BF602" s="44">
        <f>IF($AX602="Cancelled","",IFERROR(W602*INDEX(Variables!$B$7:$D$7,IFERROR(MATCH(IF($B602="Robusta","Robusta",(IF($B602="","Arabica",$B602))&amp;" - "&amp;(IF($C602="","Commercial",$C602))),Variables!$B$1:$D$1,0),1))*(BE602/365),""))</f>
        <v>-1332.8575037334244</v>
      </c>
      <c r="BG602" s="44">
        <f>IF($AX602="Cancelled","",IFERROR((W602*INDEX(Variables!$B$7:$D$7,IFERROR(MATCH(IF($B602="Robusta","Robusta",(IF($B602="","Arabica",$B602))&amp;" - "&amp;(IF($C602="","Commercial",$C602))),Variables!$B$1:$D$1,0),1))*IFERROR(IF(AB602="","",(AVERAGE(E602:F602)-AB602)-Variables!$B$14),"")/365)+(L602/16.67*INDEX(Variables!$B$8:$D$8,IFERROR(MATCH(IF($B602="Robusta","Robusta",(IF($B602="","Arabica",$B602))&amp;" - "&amp;(IF($C602="","Commercial",$C602))),Variables!$B$1:$D$1,0),1))*IFERROR(IF(AB602="","",(AVERAGE(E602:F602)-AB602)-Variables!$B$14),""))+(W602*INDEX(Variables!$B$9:$D$9,IFERROR(MATCH(IF($B602="Robusta","Robusta",(IF($B602="","Arabica",$B602))&amp;" - "&amp;(IF($C602="","Commercial",$C602))),Variables!$B$1:$D$1,0),1))*IFERROR(IF(AB602="","",(AVERAGE(E602:F602)-AB602)-Variables!$B$14),"")/365),""))</f>
        <v>3810.9306261584302</v>
      </c>
      <c r="BH602" s="44">
        <f>IF($AX602="Cancelled","",IFERROR((W602*INDEX(Variables!$B$7:$D$7,IFERROR(MATCH(IF($B602="Robusta","Robusta",(IF($B602="","Arabica",$B602))&amp;" - "&amp;(IF($C602="","Commercial",$C602))),Variables!$B$1:$D$1,0),1))*AK602/365)+(L602/16.67*INDEX(Variables!$B$8:$D$8,IFERROR(MATCH(IF($B602="Robusta","Robusta",(IF($B602="","Arabica",$B602))&amp;" - "&amp;(IF($C602="","Commercial",$C602))),Variables!$B$1:$D$1,0),1))*AK602)+(W602*INDEX(Variables!$B$9:$D$9,IFERROR(MATCH(IF($B602="Robusta","Robusta",(IF($B602="","Arabica",$B602))&amp;" - "&amp;(IF($C602="","Commercial",$C602))),Variables!$B$1:$D$1,0),1))*AK602/365),""))</f>
        <v>-2808.0541455904217</v>
      </c>
      <c r="BI602" s="44">
        <f>IF($AX602="Cancelled","",IFERROR((W602*INDEX(Variables!$B$7:$D$7,IFERROR(MATCH(IF($B602="Robusta","Robusta",(IF($B602="","Arabica",$B602))&amp;" - "&amp;(IF($C602="","Commercial",$C602))),Variables!$B$1:$D$1,0),1))*BD602/365)+(L602/16.67*INDEX(Variables!$B$8:$D$8,IFERROR(MATCH(IF($B602="Robusta","Robusta",(IF($B602="","Arabica",$B602))&amp;" - "&amp;(IF($C602="","Commercial",$C602))),Variables!$B$1:$D$1,0),1))*BD602)+(W602*INDEX(Variables!$B$9:$D$9,IFERROR(MATCH(IF($B602="Robusta","Robusta",(IF($B602="","Arabica",$B602))&amp;" - "&amp;(IF($C602="","Commercial",$C602))),Variables!$B$1:$D$1,0),1))*BD602/365),""))</f>
        <v>601.72588834080477</v>
      </c>
      <c r="BJ602" s="44">
        <f t="shared" si="29"/>
        <v>38</v>
      </c>
      <c r="BK602" s="44">
        <f>IF($AX602="Cancelled","",IFERROR(IF(BJ602="","",(W602*INDEX(Variables!$B$7:$D$7,IFERROR(MATCH(IF($B602="Robusta","Robusta",(IF($B602="","Arabica",$B602))&amp;" - "&amp;(IF($C602="","Commercial",$C602))),Variables!$B$1:$D$1,0),1))*(BJ602/365))+(W602*INDEX(Variables!$B$9:$D$9,IFERROR(MATCH(IF($B602="Robusta","Robusta",(IF($B602="","Arabica",$B602))&amp;" - "&amp;(IF($C602="","Commercial",$C602))),Variables!$B$1:$D$1,0),1))*(BJ602/365))+(INDEX(Variables!$B$8:$D$8,IFERROR(MATCH(IF($B602="Robusta","Robusta",(IF($B602="","Arabica",$B602))&amp;" - "&amp;(IF($C602="","Commercial",$C602))),Variables!$B$1:$D$1,0),1))*L602/16.67)),""))</f>
        <v>2478.9306261584297</v>
      </c>
    </row>
    <row r="603" spans="1:63">
      <c r="A603" s="13" t="s">
        <v>103</v>
      </c>
      <c r="B603" s="13" t="s">
        <v>104</v>
      </c>
      <c r="C603" s="13" t="s">
        <v>105</v>
      </c>
      <c r="D603" s="31">
        <v>46006</v>
      </c>
      <c r="E603" s="31">
        <v>46235</v>
      </c>
      <c r="F603" s="31">
        <v>46265</v>
      </c>
      <c r="G603" s="13">
        <v>3787055</v>
      </c>
      <c r="H603" s="13">
        <v>5597</v>
      </c>
      <c r="J603" s="13" t="s">
        <v>118</v>
      </c>
      <c r="K603" s="13">
        <v>5597</v>
      </c>
      <c r="L603" s="13">
        <v>720</v>
      </c>
      <c r="M603" s="13">
        <v>2</v>
      </c>
      <c r="N603" s="13" t="s">
        <v>1678</v>
      </c>
      <c r="O603" s="13" t="s">
        <v>1372</v>
      </c>
      <c r="P603" s="13">
        <v>10040</v>
      </c>
      <c r="Q603" s="13" t="s">
        <v>745</v>
      </c>
      <c r="R603" s="13" t="s">
        <v>1679</v>
      </c>
      <c r="S603" s="13" t="s">
        <v>1193</v>
      </c>
      <c r="T603" s="13" t="s">
        <v>219</v>
      </c>
      <c r="U603" s="13" t="s">
        <v>125</v>
      </c>
      <c r="V603" s="23">
        <v>87</v>
      </c>
      <c r="W603" s="44">
        <f>IF($AX603="Cancelled","",IFERROR(((V603+INDEX(Variables!$B$6:$D$6,IFERROR(MATCH(IF($B603="Robusta","Robusta",(IF($B603="","Arabica",$B603))&amp;" - "&amp;(IF($C603="","Commercial",$C603))),Variables!$B$1:$D$1,0),1)))*22.0462)*(L603/16.67),""))</f>
        <v>359743.1997120576</v>
      </c>
      <c r="X603" s="55" t="s">
        <v>37</v>
      </c>
      <c r="Y603" s="13" t="str">
        <f>IF($AX603="Cancelled","",IF(X603="","",IFERROR(IF(INDEX(Variables!$B$38:$B$47,MATCH(X603,Variables!$A$38:$A$47,0))="Yes","Yes","No"),"No")))</f>
        <v>Yes</v>
      </c>
      <c r="Z603" s="58">
        <v>46153</v>
      </c>
      <c r="AB603" s="31">
        <v>46199</v>
      </c>
      <c r="AC603" s="13" t="str">
        <f t="shared" si="27"/>
        <v>Approved</v>
      </c>
      <c r="AF603" s="71">
        <v>46048</v>
      </c>
      <c r="AG603" s="37">
        <f>IF($AX603="Cancelled","",IFERROR(IF(F603="","",F603-Variables!$B$13),""))</f>
        <v>46250</v>
      </c>
      <c r="AH603" s="13">
        <f>IF($AX603="Cancelled","",IFERROR(IF(AB603="","",(AVERAGE(E603:F603)-AB603)-Variables!$B$14),""))</f>
        <v>21</v>
      </c>
      <c r="AJ603" s="47">
        <v>46239</v>
      </c>
      <c r="AK603" s="14">
        <f>IF($AX603="Cancelled","",IFERROR(IF(AJ603="","",IF(AND(AB603="",AF603=""),"",IF(AF603&gt;AB603,AF603+Variables!$B$15+Variables!$B$16+Variables!$B$17-AJ603,AB603+Variables!$B$16+Variables!$B$17-AJ603))),""))</f>
        <v>-32</v>
      </c>
      <c r="AL603" s="48" t="s">
        <v>114</v>
      </c>
      <c r="AM603" s="13" t="s">
        <v>168</v>
      </c>
      <c r="AN603" s="13" t="s">
        <v>1681</v>
      </c>
      <c r="AP603" s="31">
        <v>46251</v>
      </c>
      <c r="AR603" s="13" t="s">
        <v>1682</v>
      </c>
      <c r="AS603" s="31">
        <v>46251</v>
      </c>
      <c r="AU603" s="39">
        <v>46281</v>
      </c>
      <c r="AV603" s="13" t="s">
        <v>865</v>
      </c>
      <c r="AW603" s="39">
        <v>46281</v>
      </c>
      <c r="AX603" s="13" t="str">
        <f>IF(ISNUMBER(SEARCH("cancel",#REF!)),"Cancelled",IF(AND(AS603&lt;&gt;"",AU603&lt;&gt;"",AW603&lt;&gt;""),"Closed","Open"))</f>
        <v>Closed</v>
      </c>
      <c r="AY603" s="15" t="str">
        <f t="shared" si="28"/>
        <v>All dates received</v>
      </c>
      <c r="BD603" s="13">
        <f>IF($AX603="Cancelled","",IFERROR(IF(OR(AS603="",AJ603=""),"",(AJ603+Variables!$B$18-AS603)),""))</f>
        <v>3</v>
      </c>
      <c r="BE603" s="13">
        <f>IF($AX603="Cancelled","",IFERROR(IF(OR(AW603="",AS603=""),"",(AS603+Variables!$B$19)-AW603),""))</f>
        <v>-25</v>
      </c>
      <c r="BF603" s="44">
        <f>IF($AX603="Cancelled","",IFERROR(W603*INDEX(Variables!$B$7:$D$7,IFERROR(MATCH(IF($B603="Robusta","Robusta",(IF($B603="","Arabica",$B603))&amp;" - "&amp;(IF($C603="","Commercial",$C603))),Variables!$B$1:$D$1,0),1))*(BE603/365),""))</f>
        <v>-1588.8378734570438</v>
      </c>
      <c r="BG603" s="44">
        <f>IF($AX603="Cancelled","",IFERROR((W603*INDEX(Variables!$B$7:$D$7,IFERROR(MATCH(IF($B603="Robusta","Robusta",(IF($B603="","Arabica",$B603))&amp;" - "&amp;(IF($C603="","Commercial",$C603))),Variables!$B$1:$D$1,0),1))*IFERROR(IF(AB603="","",(AVERAGE(E603:F603)-AB603)-Variables!$B$14),"")/365)+(L603/16.67*INDEX(Variables!$B$8:$D$8,IFERROR(MATCH(IF($B603="Robusta","Robusta",(IF($B603="","Arabica",$B603))&amp;" - "&amp;(IF($C603="","Commercial",$C603))),Variables!$B$1:$D$1,0),1))*IFERROR(IF(AB603="","",(AVERAGE(E603:F603)-AB603)-Variables!$B$14),""))+(W603*INDEX(Variables!$B$9:$D$9,IFERROR(MATCH(IF($B603="Robusta","Robusta",(IF($B603="","Arabica",$B603))&amp;" - "&amp;(IF($C603="","Commercial",$C603))),Variables!$B$1:$D$1,0),1))*IFERROR(IF(AB603="","",(AVERAGE(E603:F603)-AB603)-Variables!$B$14),"")/365),""))</f>
        <v>2107.8296903075698</v>
      </c>
      <c r="BH603" s="44">
        <f>IF($AX603="Cancelled","",IFERROR((W603*INDEX(Variables!$B$7:$D$7,IFERROR(MATCH(IF($B603="Robusta","Robusta",(IF($B603="","Arabica",$B603))&amp;" - "&amp;(IF($C603="","Commercial",$C603))),Variables!$B$1:$D$1,0),1))*AK603/365)+(L603/16.67*INDEX(Variables!$B$8:$D$8,IFERROR(MATCH(IF($B603="Robusta","Robusta",(IF($B603="","Arabica",$B603))&amp;" - "&amp;(IF($C603="","Commercial",$C603))),Variables!$B$1:$D$1,0),1))*AK603)+(W603*INDEX(Variables!$B$9:$D$9,IFERROR(MATCH(IF($B603="Robusta","Robusta",(IF($B603="","Arabica",$B603))&amp;" - "&amp;(IF($C603="","Commercial",$C603))),Variables!$B$1:$D$1,0),1))*AK603/365),""))</f>
        <v>-3211.9309566591542</v>
      </c>
      <c r="BI603" s="44">
        <f>IF($AX603="Cancelled","",IFERROR((W603*INDEX(Variables!$B$7:$D$7,IFERROR(MATCH(IF($B603="Robusta","Robusta",(IF($B603="","Arabica",$B603))&amp;" - "&amp;(IF($C603="","Commercial",$C603))),Variables!$B$1:$D$1,0),1))*BD603/365)+(L603/16.67*INDEX(Variables!$B$8:$D$8,IFERROR(MATCH(IF($B603="Robusta","Robusta",(IF($B603="","Arabica",$B603))&amp;" - "&amp;(IF($C603="","Commercial",$C603))),Variables!$B$1:$D$1,0),1))*BD603)+(W603*INDEX(Variables!$B$9:$D$9,IFERROR(MATCH(IF($B603="Robusta","Robusta",(IF($B603="","Arabica",$B603))&amp;" - "&amp;(IF($C603="","Commercial",$C603))),Variables!$B$1:$D$1,0),1))*BD603/365),""))</f>
        <v>301.11852718679569</v>
      </c>
      <c r="BJ603" s="44">
        <f t="shared" si="29"/>
        <v>14</v>
      </c>
      <c r="BK603" s="44">
        <f>IF($AX603="Cancelled","",IFERROR(IF(BJ603="","",(W603*INDEX(Variables!$B$7:$D$7,IFERROR(MATCH(IF($B603="Robusta","Robusta",(IF($B603="","Arabica",$B603))&amp;" - "&amp;(IF($C603="","Commercial",$C603))),Variables!$B$1:$D$1,0),1))*(BJ603/365))+(W603*INDEX(Variables!$B$9:$D$9,IFERROR(MATCH(IF($B603="Robusta","Robusta",(IF($B603="","Arabica",$B603))&amp;" - "&amp;(IF($C603="","Commercial",$C603))),Variables!$B$1:$D$1,0),1))*(BJ603/365))+(INDEX(Variables!$B$8:$D$8,IFERROR(MATCH(IF($B603="Robusta","Robusta",(IF($B603="","Arabica",$B603))&amp;" - "&amp;(IF($C603="","Commercial",$C603))),Variables!$B$1:$D$1,0),1))*L603/16.67)),""))</f>
        <v>937.21979353837992</v>
      </c>
    </row>
    <row r="604" spans="1:63">
      <c r="A604" s="13" t="s">
        <v>103</v>
      </c>
      <c r="B604" s="13" t="s">
        <v>104</v>
      </c>
      <c r="C604" s="13" t="s">
        <v>105</v>
      </c>
      <c r="D604" s="31">
        <v>46006</v>
      </c>
      <c r="E604" s="31">
        <v>46235</v>
      </c>
      <c r="F604" s="31">
        <v>46265</v>
      </c>
      <c r="G604" s="13">
        <v>3787056</v>
      </c>
      <c r="J604" s="13" t="s">
        <v>118</v>
      </c>
      <c r="K604" s="13">
        <v>5612</v>
      </c>
      <c r="L604" s="13">
        <v>720</v>
      </c>
      <c r="M604" s="13">
        <v>2</v>
      </c>
      <c r="N604" s="13" t="s">
        <v>1678</v>
      </c>
      <c r="O604" s="13" t="s">
        <v>1372</v>
      </c>
      <c r="P604" s="13">
        <v>10040</v>
      </c>
      <c r="Q604" s="13" t="s">
        <v>1461</v>
      </c>
      <c r="R604" s="13" t="s">
        <v>1679</v>
      </c>
      <c r="S604" s="13" t="s">
        <v>1193</v>
      </c>
      <c r="T604" s="13" t="s">
        <v>219</v>
      </c>
      <c r="U604" s="13" t="s">
        <v>125</v>
      </c>
      <c r="V604" s="23">
        <v>87</v>
      </c>
      <c r="W604" s="44">
        <f>IF($AX604="Cancelled","",IFERROR(((V604+INDEX(Variables!$B$6:$D$6,IFERROR(MATCH(IF($B604="Robusta","Robusta",(IF($B604="","Arabica",$B604))&amp;" - "&amp;(IF($C604="","Commercial",$C604))),Variables!$B$1:$D$1,0),1)))*22.0462)*(L604/16.67),""))</f>
        <v>359743.1997120576</v>
      </c>
      <c r="X604" s="55" t="s">
        <v>37</v>
      </c>
      <c r="Y604" s="13" t="str">
        <f>IF($AX604="Cancelled","",IF(X604="","",IFERROR(IF(INDEX(Variables!$B$38:$B$47,MATCH(X604,Variables!$A$38:$A$47,0))="Yes","Yes","No"),"No")))</f>
        <v>Yes</v>
      </c>
      <c r="Z604" s="58">
        <v>46227</v>
      </c>
      <c r="AB604" s="31">
        <v>46239</v>
      </c>
      <c r="AC604" s="13" t="str">
        <f t="shared" si="27"/>
        <v>Approved</v>
      </c>
      <c r="AF604" s="71">
        <v>46048</v>
      </c>
      <c r="AG604" s="37">
        <f>IF($AX604="Cancelled","",IFERROR(IF(F604="","",F604-Variables!$B$13),""))</f>
        <v>46250</v>
      </c>
      <c r="AH604" s="13">
        <f>IF($AX604="Cancelled","",IFERROR(IF(AB604="","",(AVERAGE(E604:F604)-AB604)-Variables!$B$14),""))</f>
        <v>-19</v>
      </c>
      <c r="AJ604" s="47">
        <v>46247</v>
      </c>
      <c r="AK604" s="14">
        <f>IF($AX604="Cancelled","",IFERROR(IF(AJ604="","",IF(AND(AB604="",AF604=""),"",IF(AF604&gt;AB604,AF604+Variables!$B$15+Variables!$B$16+Variables!$B$17-AJ604,AB604+Variables!$B$16+Variables!$B$17-AJ604))),""))</f>
        <v>0</v>
      </c>
      <c r="AL604" s="48" t="s">
        <v>114</v>
      </c>
      <c r="AM604" s="13" t="s">
        <v>168</v>
      </c>
      <c r="AN604" s="13" t="s">
        <v>1683</v>
      </c>
      <c r="AP604" s="31">
        <v>46273</v>
      </c>
      <c r="AR604" s="13" t="s">
        <v>1684</v>
      </c>
      <c r="AS604" s="31">
        <v>46273</v>
      </c>
      <c r="AU604" s="39">
        <v>46282</v>
      </c>
      <c r="AV604" s="13" t="s">
        <v>865</v>
      </c>
      <c r="AW604" s="39">
        <v>46282</v>
      </c>
      <c r="AX604" s="13" t="str">
        <f>IF(ISNUMBER(SEARCH("cancel",#REF!)),"Cancelled",IF(AND(AS604&lt;&gt;"",AU604&lt;&gt;"",AW604&lt;&gt;""),"Closed","Open"))</f>
        <v>Closed</v>
      </c>
      <c r="AY604" s="15" t="str">
        <f t="shared" si="28"/>
        <v>All dates received</v>
      </c>
      <c r="AZ604" s="13" t="s">
        <v>3053</v>
      </c>
      <c r="BA604" s="13" t="s">
        <v>3048</v>
      </c>
      <c r="BB604" s="13" t="s">
        <v>3049</v>
      </c>
      <c r="BC604" s="13" t="s">
        <v>3048</v>
      </c>
      <c r="BD604" s="13">
        <f>IF($AX604="Cancelled","",IFERROR(IF(OR(AS604="",AJ604=""),"",(AJ604+Variables!$B$18-AS604)),""))</f>
        <v>-11</v>
      </c>
      <c r="BE604" s="13">
        <f>IF($AX604="Cancelled","",IFERROR(IF(OR(AW604="",AS604=""),"",(AS604+Variables!$B$19)-AW604),""))</f>
        <v>-4</v>
      </c>
      <c r="BF604" s="44">
        <f>IF($AX604="Cancelled","",IFERROR(W604*INDEX(Variables!$B$7:$D$7,IFERROR(MATCH(IF($B604="Robusta","Robusta",(IF($B604="","Arabica",$B604))&amp;" - "&amp;(IF($C604="","Commercial",$C604))),Variables!$B$1:$D$1,0),1))*(BE604/365),""))</f>
        <v>-254.21405975312703</v>
      </c>
      <c r="BG604" s="44">
        <f>IF($AX604="Cancelled","",IFERROR((W604*INDEX(Variables!$B$7:$D$7,IFERROR(MATCH(IF($B604="Robusta","Robusta",(IF($B604="","Arabica",$B604))&amp;" - "&amp;(IF($C604="","Commercial",$C604))),Variables!$B$1:$D$1,0),1))*IFERROR(IF(AB604="","",(AVERAGE(E604:F604)-AB604)-Variables!$B$14),"")/365)+(L604/16.67*INDEX(Variables!$B$8:$D$8,IFERROR(MATCH(IF($B604="Robusta","Robusta",(IF($B604="","Arabica",$B604))&amp;" - "&amp;(IF($C604="","Commercial",$C604))),Variables!$B$1:$D$1,0),1))*IFERROR(IF(AB604="","",(AVERAGE(E604:F604)-AB604)-Variables!$B$14),""))+(W604*INDEX(Variables!$B$9:$D$9,IFERROR(MATCH(IF($B604="Robusta","Robusta",(IF($B604="","Arabica",$B604))&amp;" - "&amp;(IF($C604="","Commercial",$C604))),Variables!$B$1:$D$1,0),1))*IFERROR(IF(AB604="","",(AVERAGE(E604:F604)-AB604)-Variables!$B$14),"")/365),""))</f>
        <v>-1907.0840055163726</v>
      </c>
      <c r="BH604" s="44">
        <f>IF($AX604="Cancelled","",IFERROR((W604*INDEX(Variables!$B$7:$D$7,IFERROR(MATCH(IF($B604="Robusta","Robusta",(IF($B604="","Arabica",$B604))&amp;" - "&amp;(IF($C604="","Commercial",$C604))),Variables!$B$1:$D$1,0),1))*AK604/365)+(L604/16.67*INDEX(Variables!$B$8:$D$8,IFERROR(MATCH(IF($B604="Robusta","Robusta",(IF($B604="","Arabica",$B604))&amp;" - "&amp;(IF($C604="","Commercial",$C604))),Variables!$B$1:$D$1,0),1))*AK604)+(W604*INDEX(Variables!$B$9:$D$9,IFERROR(MATCH(IF($B604="Robusta","Robusta",(IF($B604="","Arabica",$B604))&amp;" - "&amp;(IF($C604="","Commercial",$C604))),Variables!$B$1:$D$1,0),1))*AK604/365),""))</f>
        <v>0</v>
      </c>
      <c r="BI604" s="44">
        <f>IF($AX604="Cancelled","",IFERROR((W604*INDEX(Variables!$B$7:$D$7,IFERROR(MATCH(IF($B604="Robusta","Robusta",(IF($B604="","Arabica",$B604))&amp;" - "&amp;(IF($C604="","Commercial",$C604))),Variables!$B$1:$D$1,0),1))*BD604/365)+(L604/16.67*INDEX(Variables!$B$8:$D$8,IFERROR(MATCH(IF($B604="Robusta","Robusta",(IF($B604="","Arabica",$B604))&amp;" - "&amp;(IF($C604="","Commercial",$C604))),Variables!$B$1:$D$1,0),1))*BD604)+(W604*INDEX(Variables!$B$9:$D$9,IFERROR(MATCH(IF($B604="Robusta","Robusta",(IF($B604="","Arabica",$B604))&amp;" - "&amp;(IF($C604="","Commercial",$C604))),Variables!$B$1:$D$1,0),1))*BD604/365),""))</f>
        <v>-1104.1012663515842</v>
      </c>
      <c r="BJ604" s="44">
        <f t="shared" si="29"/>
        <v>-8</v>
      </c>
      <c r="BK604" s="44">
        <f>IF($AX604="Cancelled","",IFERROR(IF(BJ604="","",(W604*INDEX(Variables!$B$7:$D$7,IFERROR(MATCH(IF($B604="Robusta","Robusta",(IF($B604="","Arabica",$B604))&amp;" - "&amp;(IF($C604="","Commercial",$C604))),Variables!$B$1:$D$1,0),1))*(BJ604/365))+(W604*INDEX(Variables!$B$9:$D$9,IFERROR(MATCH(IF($B604="Robusta","Robusta",(IF($B604="","Arabica",$B604))&amp;" - "&amp;(IF($C604="","Commercial",$C604))),Variables!$B$1:$D$1,0),1))*(BJ604/365))+(INDEX(Variables!$B$8:$D$8,IFERROR(MATCH(IF($B604="Robusta","Robusta",(IF($B604="","Arabica",$B604))&amp;" - "&amp;(IF($C604="","Commercial",$C604))),Variables!$B$1:$D$1,0),1))*L604/16.67)),""))</f>
        <v>-478.98273916478854</v>
      </c>
    </row>
    <row r="605" spans="1:63">
      <c r="A605" s="13" t="s">
        <v>103</v>
      </c>
      <c r="B605" s="13" t="s">
        <v>104</v>
      </c>
      <c r="C605" s="13" t="s">
        <v>292</v>
      </c>
      <c r="D605" s="31">
        <v>46006</v>
      </c>
      <c r="E605" s="31">
        <v>46023</v>
      </c>
      <c r="F605" s="31">
        <v>46081</v>
      </c>
      <c r="G605" s="13">
        <v>3787057</v>
      </c>
      <c r="J605" s="13" t="s">
        <v>447</v>
      </c>
      <c r="K605" s="13" t="s">
        <v>1685</v>
      </c>
      <c r="L605" s="13">
        <v>20</v>
      </c>
      <c r="M605" s="13">
        <v>0</v>
      </c>
      <c r="N605" s="13" t="s">
        <v>1686</v>
      </c>
      <c r="O605" s="13" t="s">
        <v>297</v>
      </c>
      <c r="P605" s="13">
        <v>10020</v>
      </c>
      <c r="R605" s="13" t="s">
        <v>239</v>
      </c>
      <c r="S605" s="13" t="s">
        <v>154</v>
      </c>
      <c r="T605" s="13" t="s">
        <v>155</v>
      </c>
      <c r="U605" s="13" t="s">
        <v>125</v>
      </c>
      <c r="V605" s="13">
        <v>118</v>
      </c>
      <c r="W605" s="44">
        <f>IF($AX605="Cancelled","",IFERROR(((V605+INDEX(Variables!$B$6:$D$6,IFERROR(MATCH(IF($B605="Robusta","Robusta",(IF($B605="","Arabica",$B605))&amp;" - "&amp;(IF($C605="","Commercial",$C605))),Variables!$B$1:$D$1,0),1)))*22.0462)*(L605/16.67),""))</f>
        <v>10812.82130773845</v>
      </c>
      <c r="X605" s="55" t="s">
        <v>39</v>
      </c>
      <c r="Y605" s="13" t="str">
        <f>IF($AX605="Cancelled","",IF(X605="","",IFERROR(IF(INDEX(Variables!$B$38:$B$47,MATCH(X605,Variables!$A$38:$A$47,0))="Yes","Yes","No"),"No")))</f>
        <v>No</v>
      </c>
      <c r="Z605" s="31"/>
      <c r="AB605" s="31">
        <v>46022.875</v>
      </c>
      <c r="AC605" s="13" t="str">
        <f t="shared" si="27"/>
        <v>Approved</v>
      </c>
      <c r="AF605" s="71">
        <v>46048</v>
      </c>
      <c r="AG605" s="31">
        <f>IF($AX605="Cancelled","",IFERROR(IF(F605="","",F605-Variables!$B$13),""))</f>
        <v>46066</v>
      </c>
      <c r="AH605" s="13">
        <f>IF($AX605="Cancelled","",IFERROR(IF(AB605="","",(AVERAGE(E605:F605)-AB605)-Variables!$B$14),""))</f>
        <v>-0.875</v>
      </c>
      <c r="AJ605" s="47">
        <v>46093</v>
      </c>
      <c r="AK605" s="14">
        <f>IF($AX605="Cancelled","",IFERROR(IF(AJ605="","",IF(AND(AB605="",AF605=""),"",IF(AF605&gt;AB605,AF605+Variables!$B$15+Variables!$B$16+Variables!$B$17-AJ605,AB605+Variables!$B$16+Variables!$B$17-AJ605))),""))</f>
        <v>-30</v>
      </c>
      <c r="AL605" s="48" t="s">
        <v>114</v>
      </c>
      <c r="AM605" s="13" t="s">
        <v>168</v>
      </c>
      <c r="AN605" s="13" t="s">
        <v>1674</v>
      </c>
      <c r="AP605" s="31">
        <v>46103</v>
      </c>
      <c r="AR605" s="13" t="s">
        <v>1675</v>
      </c>
      <c r="AS605" s="31">
        <v>46103</v>
      </c>
      <c r="AU605" s="31">
        <v>46140</v>
      </c>
      <c r="AV605" s="13" t="s">
        <v>865</v>
      </c>
      <c r="AW605" s="31">
        <v>46142</v>
      </c>
      <c r="AX605" s="13" t="str">
        <f>IF(ISNUMBER(SEARCH("cancel",#REF!)),"Cancelled",IF(AND(AS605&lt;&gt;"",AU605&lt;&gt;"",AW605&lt;&gt;""),"Closed","Open"))</f>
        <v>Closed</v>
      </c>
      <c r="AY605" s="15" t="str">
        <f t="shared" si="28"/>
        <v>All dates received</v>
      </c>
      <c r="BD605" s="13">
        <f>IF($AX605="Cancelled","",IFERROR(IF(OR(AS605="",AJ605=""),"",(AJ605+Variables!$B$18-AS605)),""))</f>
        <v>5</v>
      </c>
      <c r="BE605" s="13">
        <f>IF($AX605="Cancelled","",IFERROR(IF(OR(AW605="",AS605=""),"",(AS605+Variables!$B$19)-AW605),""))</f>
        <v>-34</v>
      </c>
      <c r="BF605" s="44">
        <f>IF($AX605="Cancelled","",IFERROR(W605*INDEX(Variables!$B$7:$D$7,IFERROR(MATCH(IF($B605="Robusta","Robusta",(IF($B605="","Arabica",$B605))&amp;" - "&amp;(IF($C605="","Commercial",$C605))),Variables!$B$1:$D$1,0),1))*(BE605/365),""))</f>
        <v>-64.947871803876652</v>
      </c>
      <c r="BG605" s="44">
        <f>IF($AX605="Cancelled","",IFERROR((W605*INDEX(Variables!$B$7:$D$7,IFERROR(MATCH(IF($B605="Robusta","Robusta",(IF($B605="","Arabica",$B605))&amp;" - "&amp;(IF($C605="","Commercial",$C605))),Variables!$B$1:$D$1,0),1))*IFERROR(IF(AB605="","",(AVERAGE(E605:F605)-AB605)-Variables!$B$14),"")/365)+(L605/16.67*INDEX(Variables!$B$8:$D$8,IFERROR(MATCH(IF($B605="Robusta","Robusta",(IF($B605="","Arabica",$B605))&amp;" - "&amp;(IF($C605="","Commercial",$C605))),Variables!$B$1:$D$1,0),1))*IFERROR(IF(AB605="","",(AVERAGE(E605:F605)-AB605)-Variables!$B$14),""))+(W605*INDEX(Variables!$B$9:$D$9,IFERROR(MATCH(IF($B605="Robusta","Robusta",(IF($B605="","Arabica",$B605))&amp;" - "&amp;(IF($C605="","Commercial",$C605))),Variables!$B$1:$D$1,0),1))*IFERROR(IF(AB605="","",(AVERAGE(E605:F605)-AB605)-Variables!$B$14),"")/365),""))</f>
        <v>-2.5680008326646671</v>
      </c>
      <c r="BH605" s="44">
        <f>IF($AX605="Cancelled","",IFERROR((W605*INDEX(Variables!$B$7:$D$7,IFERROR(MATCH(IF($B605="Robusta","Robusta",(IF($B605="","Arabica",$B605))&amp;" - "&amp;(IF($C605="","Commercial",$C605))),Variables!$B$1:$D$1,0),1))*AK605/365)+(L605/16.67*INDEX(Variables!$B$8:$D$8,IFERROR(MATCH(IF($B605="Robusta","Robusta",(IF($B605="","Arabica",$B605))&amp;" - "&amp;(IF($C605="","Commercial",$C605))),Variables!$B$1:$D$1,0),1))*AK605)+(W605*INDEX(Variables!$B$9:$D$9,IFERROR(MATCH(IF($B605="Robusta","Robusta",(IF($B605="","Arabica",$B605))&amp;" - "&amp;(IF($C605="","Commercial",$C605))),Variables!$B$1:$D$1,0),1))*AK605/365),""))</f>
        <v>-88.045742834217151</v>
      </c>
      <c r="BI605" s="44">
        <f>IF($AX605="Cancelled","",IFERROR((W605*INDEX(Variables!$B$7:$D$7,IFERROR(MATCH(IF($B605="Robusta","Robusta",(IF($B605="","Arabica",$B605))&amp;" - "&amp;(IF($C605="","Commercial",$C605))),Variables!$B$1:$D$1,0),1))*BD605/365)+(L605/16.67*INDEX(Variables!$B$8:$D$8,IFERROR(MATCH(IF($B605="Robusta","Robusta",(IF($B605="","Arabica",$B605))&amp;" - "&amp;(IF($C605="","Commercial",$C605))),Variables!$B$1:$D$1,0),1))*BD605)+(W605*INDEX(Variables!$B$9:$D$9,IFERROR(MATCH(IF($B605="Robusta","Robusta",(IF($B605="","Arabica",$B605))&amp;" - "&amp;(IF($C605="","Commercial",$C605))),Variables!$B$1:$D$1,0),1))*BD605/365),""))</f>
        <v>14.674290472369526</v>
      </c>
      <c r="BJ605" s="44">
        <f t="shared" si="29"/>
        <v>-22</v>
      </c>
      <c r="BK605" s="44">
        <f>IF($AX605="Cancelled","",IFERROR(IF(BJ605="","",(W605*INDEX(Variables!$B$7:$D$7,IFERROR(MATCH(IF($B605="Robusta","Robusta",(IF($B605="","Arabica",$B605))&amp;" - "&amp;(IF($C605="","Commercial",$C605))),Variables!$B$1:$D$1,0),1))*(BJ605/365))+(W605*INDEX(Variables!$B$9:$D$9,IFERROR(MATCH(IF($B605="Robusta","Robusta",(IF($B605="","Arabica",$B605))&amp;" - "&amp;(IF($C605="","Commercial",$C605))),Variables!$B$1:$D$1,0),1))*(BJ605/365))+(INDEX(Variables!$B$8:$D$8,IFERROR(MATCH(IF($B605="Robusta","Robusta",(IF($B605="","Arabica",$B605))&amp;" - "&amp;(IF($C605="","Commercial",$C605))),Variables!$B$1:$D$1,0),1))*L605/16.67)),""))</f>
        <v>-41.566878078425916</v>
      </c>
    </row>
    <row r="606" spans="1:63">
      <c r="A606" s="13" t="s">
        <v>103</v>
      </c>
      <c r="B606" s="13" t="s">
        <v>104</v>
      </c>
      <c r="C606" s="13" t="s">
        <v>292</v>
      </c>
      <c r="D606" s="31">
        <v>46006</v>
      </c>
      <c r="E606" s="31">
        <v>46023</v>
      </c>
      <c r="F606" s="31">
        <v>46081</v>
      </c>
      <c r="G606" s="13">
        <v>3787058</v>
      </c>
      <c r="J606" s="13" t="s">
        <v>447</v>
      </c>
      <c r="K606" s="13" t="s">
        <v>1687</v>
      </c>
      <c r="L606" s="13">
        <v>37</v>
      </c>
      <c r="M606" s="13">
        <v>0</v>
      </c>
      <c r="N606" s="13" t="s">
        <v>1688</v>
      </c>
      <c r="O606" s="13" t="s">
        <v>297</v>
      </c>
      <c r="P606" s="13">
        <v>10020</v>
      </c>
      <c r="R606" s="13" t="s">
        <v>239</v>
      </c>
      <c r="S606" s="13" t="s">
        <v>154</v>
      </c>
      <c r="T606" s="13" t="s">
        <v>155</v>
      </c>
      <c r="U606" s="13" t="s">
        <v>125</v>
      </c>
      <c r="V606" s="13">
        <v>141</v>
      </c>
      <c r="W606" s="44">
        <f>IF($AX606="Cancelled","",IFERROR(((V606+INDEX(Variables!$B$6:$D$6,IFERROR(MATCH(IF($B606="Robusta","Robusta",(IF($B606="","Arabica",$B606))&amp;" - "&amp;(IF($C606="","Commercial",$C606))),Variables!$B$1:$D$1,0),1)))*22.0462)*(L606/16.67),""))</f>
        <v>21129.173300539889</v>
      </c>
      <c r="X606" s="55" t="s">
        <v>39</v>
      </c>
      <c r="Y606" s="13" t="str">
        <f>IF($AX606="Cancelled","",IF(X606="","",IFERROR(IF(INDEX(Variables!$B$38:$B$47,MATCH(X606,Variables!$A$38:$A$47,0))="Yes","Yes","No"),"No")))</f>
        <v>No</v>
      </c>
      <c r="Z606" s="31"/>
      <c r="AB606" s="31">
        <v>46022.875</v>
      </c>
      <c r="AC606" s="13" t="str">
        <f t="shared" si="27"/>
        <v>Approved</v>
      </c>
      <c r="AF606" s="71">
        <v>46048</v>
      </c>
      <c r="AG606" s="36">
        <f>IF($AX606="Cancelled","",IFERROR(IF(F606="","",F606-Variables!$B$13),""))</f>
        <v>46066</v>
      </c>
      <c r="AH606" s="13">
        <f>IF($AX606="Cancelled","",IFERROR(IF(AB606="","",(AVERAGE(E606:F606)-AB606)-Variables!$B$14),""))</f>
        <v>-0.875</v>
      </c>
      <c r="AJ606" s="47">
        <v>46093</v>
      </c>
      <c r="AK606" s="14">
        <f>IF($AX606="Cancelled","",IFERROR(IF(AJ606="","",IF(AND(AB606="",AF606=""),"",IF(AF606&gt;AB606,AF606+Variables!$B$15+Variables!$B$16+Variables!$B$17-AJ606,AB606+Variables!$B$16+Variables!$B$17-AJ606))),""))</f>
        <v>-30</v>
      </c>
      <c r="AL606" s="48" t="s">
        <v>114</v>
      </c>
      <c r="AM606" s="13" t="s">
        <v>168</v>
      </c>
      <c r="AN606" s="13" t="s">
        <v>1674</v>
      </c>
      <c r="AP606" s="31">
        <v>46100</v>
      </c>
      <c r="AR606" s="13" t="s">
        <v>1675</v>
      </c>
      <c r="AS606" s="31">
        <v>46100</v>
      </c>
      <c r="AU606" s="31">
        <v>46140</v>
      </c>
      <c r="AV606" s="13" t="s">
        <v>865</v>
      </c>
      <c r="AW606" s="31">
        <v>46142</v>
      </c>
      <c r="AX606" s="13" t="str">
        <f>IF(ISNUMBER(SEARCH("cancel",#REF!)),"Cancelled",IF(AND(AS606&lt;&gt;"",AU606&lt;&gt;"",AW606&lt;&gt;""),"Closed","Open"))</f>
        <v>Closed</v>
      </c>
      <c r="AY606" s="15" t="str">
        <f t="shared" si="28"/>
        <v>All dates received</v>
      </c>
      <c r="BD606" s="13">
        <f>IF($AX606="Cancelled","",IFERROR(IF(OR(AS606="",AJ606=""),"",(AJ606+Variables!$B$18-AS606)),""))</f>
        <v>8</v>
      </c>
      <c r="BE606" s="13">
        <f>IF($AX606="Cancelled","",IFERROR(IF(OR(AW606="",AS606=""),"",(AS606+Variables!$B$19)-AW606),""))</f>
        <v>-37</v>
      </c>
      <c r="BF606" s="44">
        <f>IF($AX606="Cancelled","",IFERROR(W606*INDEX(Variables!$B$7:$D$7,IFERROR(MATCH(IF($B606="Robusta","Robusta",(IF($B606="","Arabica",$B606))&amp;" - "&amp;(IF($C606="","Commercial",$C606))),Variables!$B$1:$D$1,0),1))*(BE606/365),""))</f>
        <v>-138.11193536493894</v>
      </c>
      <c r="BG606" s="44">
        <f>IF($AX606="Cancelled","",IFERROR((W606*INDEX(Variables!$B$7:$D$7,IFERROR(MATCH(IF($B606="Robusta","Robusta",(IF($B606="","Arabica",$B606))&amp;" - "&amp;(IF($C606="","Commercial",$C606))),Variables!$B$1:$D$1,0),1))*IFERROR(IF(AB606="","",(AVERAGE(E606:F606)-AB606)-Variables!$B$14),"")/365)+(L606/16.67*INDEX(Variables!$B$8:$D$8,IFERROR(MATCH(IF($B606="Robusta","Robusta",(IF($B606="","Arabica",$B606))&amp;" - "&amp;(IF($C606="","Commercial",$C606))),Variables!$B$1:$D$1,0),1))*IFERROR(IF(AB606="","",(AVERAGE(E606:F606)-AB606)-Variables!$B$14),""))+(W606*INDEX(Variables!$B$9:$D$9,IFERROR(MATCH(IF($B606="Robusta","Robusta",(IF($B606="","Arabica",$B606))&amp;" - "&amp;(IF($C606="","Commercial",$C606))),Variables!$B$1:$D$1,0),1))*IFERROR(IF(AB606="","",(AVERAGE(E606:F606)-AB606)-Variables!$B$14),"")/365),""))</f>
        <v>-4.9270177474498924</v>
      </c>
      <c r="BH606" s="44">
        <f>IF($AX606="Cancelled","",IFERROR((W606*INDEX(Variables!$B$7:$D$7,IFERROR(MATCH(IF($B606="Robusta","Robusta",(IF($B606="","Arabica",$B606))&amp;" - "&amp;(IF($C606="","Commercial",$C606))),Variables!$B$1:$D$1,0),1))*AK606/365)+(L606/16.67*INDEX(Variables!$B$8:$D$8,IFERROR(MATCH(IF($B606="Robusta","Robusta",(IF($B606="","Arabica",$B606))&amp;" - "&amp;(IF($C606="","Commercial",$C606))),Variables!$B$1:$D$1,0),1))*AK606)+(W606*INDEX(Variables!$B$9:$D$9,IFERROR(MATCH(IF($B606="Robusta","Robusta",(IF($B606="","Arabica",$B606))&amp;" - "&amp;(IF($C606="","Commercial",$C606))),Variables!$B$1:$D$1,0),1))*AK606/365),""))</f>
        <v>-168.92632276971059</v>
      </c>
      <c r="BI606" s="44">
        <f>IF($AX606="Cancelled","",IFERROR((W606*INDEX(Variables!$B$7:$D$7,IFERROR(MATCH(IF($B606="Robusta","Robusta",(IF($B606="","Arabica",$B606))&amp;" - "&amp;(IF($C606="","Commercial",$C606))),Variables!$B$1:$D$1,0),1))*BD606/365)+(L606/16.67*INDEX(Variables!$B$8:$D$8,IFERROR(MATCH(IF($B606="Robusta","Robusta",(IF($B606="","Arabica",$B606))&amp;" - "&amp;(IF($C606="","Commercial",$C606))),Variables!$B$1:$D$1,0),1))*BD606)+(W606*INDEX(Variables!$B$9:$D$9,IFERROR(MATCH(IF($B606="Robusta","Robusta",(IF($B606="","Arabica",$B606))&amp;" - "&amp;(IF($C606="","Commercial",$C606))),Variables!$B$1:$D$1,0),1))*BD606/365),""))</f>
        <v>45.047019405256158</v>
      </c>
      <c r="BJ606" s="44">
        <f t="shared" si="29"/>
        <v>-19</v>
      </c>
      <c r="BK606" s="44">
        <f>IF($AX606="Cancelled","",IFERROR(IF(BJ606="","",(W606*INDEX(Variables!$B$7:$D$7,IFERROR(MATCH(IF($B606="Robusta","Robusta",(IF($B606="","Arabica",$B606))&amp;" - "&amp;(IF($C606="","Commercial",$C606))),Variables!$B$1:$D$1,0),1))*(BJ606/365))+(W606*INDEX(Variables!$B$9:$D$9,IFERROR(MATCH(IF($B606="Robusta","Robusta",(IF($B606="","Arabica",$B606))&amp;" - "&amp;(IF($C606="","Commercial",$C606))),Variables!$B$1:$D$1,0),1))*(BJ606/365))+(INDEX(Variables!$B$8:$D$8,IFERROR(MATCH(IF($B606="Robusta","Robusta",(IF($B606="","Arabica",$B606))&amp;" - "&amp;(IF($C606="","Commercial",$C606))),Variables!$B$1:$D$1,0),1))*L606/16.67)),""))</f>
        <v>-69.986671087483373</v>
      </c>
    </row>
    <row r="607" spans="1:63">
      <c r="A607" s="13" t="s">
        <v>103</v>
      </c>
      <c r="B607" s="13" t="s">
        <v>104</v>
      </c>
      <c r="C607" s="13" t="s">
        <v>292</v>
      </c>
      <c r="D607" s="31">
        <v>46006</v>
      </c>
      <c r="E607" s="31">
        <v>46023</v>
      </c>
      <c r="F607" s="31">
        <v>46081</v>
      </c>
      <c r="G607" s="13">
        <v>3787059</v>
      </c>
      <c r="J607" s="13" t="s">
        <v>447</v>
      </c>
      <c r="K607" s="13" t="s">
        <v>1689</v>
      </c>
      <c r="L607" s="13">
        <v>30</v>
      </c>
      <c r="M607" s="13">
        <v>0</v>
      </c>
      <c r="N607" s="13" t="s">
        <v>1690</v>
      </c>
      <c r="O607" s="13" t="s">
        <v>304</v>
      </c>
      <c r="P607" s="13">
        <v>10010</v>
      </c>
      <c r="R607" s="13" t="s">
        <v>239</v>
      </c>
      <c r="S607" s="13" t="s">
        <v>154</v>
      </c>
      <c r="T607" s="13" t="s">
        <v>155</v>
      </c>
      <c r="U607" s="13" t="s">
        <v>125</v>
      </c>
      <c r="V607" s="13">
        <v>163</v>
      </c>
      <c r="W607" s="44">
        <f>IF($AX607="Cancelled","",IFERROR(((V607+INDEX(Variables!$B$6:$D$6,IFERROR(MATCH(IF($B607="Robusta","Robusta",(IF($B607="","Arabica",$B607))&amp;" - "&amp;(IF($C607="","Commercial",$C607))),Variables!$B$1:$D$1,0),1)))*22.0462)*(L607/16.67),""))</f>
        <v>18004.617084583078</v>
      </c>
      <c r="X607" s="55" t="s">
        <v>39</v>
      </c>
      <c r="Y607" s="13" t="str">
        <f>IF($AX607="Cancelled","",IF(X607="","",IFERROR(IF(INDEX(Variables!$B$38:$B$47,MATCH(X607,Variables!$A$38:$A$47,0))="Yes","Yes","No"),"No")))</f>
        <v>No</v>
      </c>
      <c r="Z607" s="31"/>
      <c r="AB607" s="31">
        <v>46022.875</v>
      </c>
      <c r="AC607" s="13" t="str">
        <f t="shared" si="27"/>
        <v>Approved</v>
      </c>
      <c r="AF607" s="71">
        <v>46048</v>
      </c>
      <c r="AG607" s="36">
        <f>IF($AX607="Cancelled","",IFERROR(IF(F607="","",F607-Variables!$B$13),""))</f>
        <v>46066</v>
      </c>
      <c r="AH607" s="13">
        <f>IF($AX607="Cancelled","",IFERROR(IF(AB607="","",(AVERAGE(E607:F607)-AB607)-Variables!$B$14),""))</f>
        <v>-0.875</v>
      </c>
      <c r="AJ607" s="47">
        <v>46093</v>
      </c>
      <c r="AK607" s="14">
        <f>IF($AX607="Cancelled","",IFERROR(IF(AJ607="","",IF(AND(AB607="",AF607=""),"",IF(AF607&gt;AB607,AF607+Variables!$B$15+Variables!$B$16+Variables!$B$17-AJ607,AB607+Variables!$B$16+Variables!$B$17-AJ607))),""))</f>
        <v>-30</v>
      </c>
      <c r="AL607" s="48" t="s">
        <v>114</v>
      </c>
      <c r="AM607" s="13" t="s">
        <v>168</v>
      </c>
      <c r="AN607" s="13" t="s">
        <v>1674</v>
      </c>
      <c r="AP607" s="31">
        <v>46103</v>
      </c>
      <c r="AR607" s="13" t="s">
        <v>1675</v>
      </c>
      <c r="AS607" s="31">
        <v>46103</v>
      </c>
      <c r="AU607" s="31">
        <v>46140</v>
      </c>
      <c r="AV607" s="13" t="s">
        <v>865</v>
      </c>
      <c r="AW607" s="31">
        <v>46142</v>
      </c>
      <c r="AX607" s="13" t="str">
        <f>IF(ISNUMBER(SEARCH("cancel",#REF!)),"Cancelled",IF(AND(AS607&lt;&gt;"",AU607&lt;&gt;"",AW607&lt;&gt;""),"Closed","Open"))</f>
        <v>Closed</v>
      </c>
      <c r="AY607" s="15" t="str">
        <f t="shared" si="28"/>
        <v>All dates received</v>
      </c>
      <c r="BD607" s="13">
        <f>IF($AX607="Cancelled","",IFERROR(IF(OR(AS607="",AJ607=""),"",(AJ607+Variables!$B$18-AS607)),""))</f>
        <v>5</v>
      </c>
      <c r="BE607" s="13">
        <f>IF($AX607="Cancelled","",IFERROR(IF(OR(AW607="",AS607=""),"",(AS607+Variables!$B$19)-AW607),""))</f>
        <v>-34</v>
      </c>
      <c r="BF607" s="44">
        <f>IF($AX607="Cancelled","",IFERROR(W607*INDEX(Variables!$B$7:$D$7,IFERROR(MATCH(IF($B607="Robusta","Robusta",(IF($B607="","Arabica",$B607))&amp;" - "&amp;(IF($C607="","Commercial",$C607))),Variables!$B$1:$D$1,0),1))*(BE607/365),""))</f>
        <v>-108.14583252666057</v>
      </c>
      <c r="BG607" s="44">
        <f>IF($AX607="Cancelled","",IFERROR((W607*INDEX(Variables!$B$7:$D$7,IFERROR(MATCH(IF($B607="Robusta","Robusta",(IF($B607="","Arabica",$B607))&amp;" - "&amp;(IF($C607="","Commercial",$C607))),Variables!$B$1:$D$1,0),1))*IFERROR(IF(AB607="","",(AVERAGE(E607:F607)-AB607)-Variables!$B$14),"")/365)+(L607/16.67*INDEX(Variables!$B$8:$D$8,IFERROR(MATCH(IF($B607="Robusta","Robusta",(IF($B607="","Arabica",$B607))&amp;" - "&amp;(IF($C607="","Commercial",$C607))),Variables!$B$1:$D$1,0),1))*IFERROR(IF(AB607="","",(AVERAGE(E607:F607)-AB607)-Variables!$B$14),""))+(W607*INDEX(Variables!$B$9:$D$9,IFERROR(MATCH(IF($B607="Robusta","Robusta",(IF($B607="","Arabica",$B607))&amp;" - "&amp;(IF($C607="","Commercial",$C607))),Variables!$B$1:$D$1,0),1))*IFERROR(IF(AB607="","",(AVERAGE(E607:F607)-AB607)-Variables!$B$14),"")/365),""))</f>
        <v>-4.1315451731771988</v>
      </c>
      <c r="BH607" s="44">
        <f>IF($AX607="Cancelled","",IFERROR((W607*INDEX(Variables!$B$7:$D$7,IFERROR(MATCH(IF($B607="Robusta","Robusta",(IF($B607="","Arabica",$B607))&amp;" - "&amp;(IF($C607="","Commercial",$C607))),Variables!$B$1:$D$1,0),1))*AK607/365)+(L607/16.67*INDEX(Variables!$B$8:$D$8,IFERROR(MATCH(IF($B607="Robusta","Robusta",(IF($B607="","Arabica",$B607))&amp;" - "&amp;(IF($C607="","Commercial",$C607))),Variables!$B$1:$D$1,0),1))*AK607)+(W607*INDEX(Variables!$B$9:$D$9,IFERROR(MATCH(IF($B607="Robusta","Robusta",(IF($B607="","Arabica",$B607))&amp;" - "&amp;(IF($C607="","Commercial",$C607))),Variables!$B$1:$D$1,0),1))*AK607/365),""))</f>
        <v>-141.65297736607539</v>
      </c>
      <c r="BI607" s="44">
        <f>IF($AX607="Cancelled","",IFERROR((W607*INDEX(Variables!$B$7:$D$7,IFERROR(MATCH(IF($B607="Robusta","Robusta",(IF($B607="","Arabica",$B607))&amp;" - "&amp;(IF($C607="","Commercial",$C607))),Variables!$B$1:$D$1,0),1))*BD607/365)+(L607/16.67*INDEX(Variables!$B$8:$D$8,IFERROR(MATCH(IF($B607="Robusta","Robusta",(IF($B607="","Arabica",$B607))&amp;" - "&amp;(IF($C607="","Commercial",$C607))),Variables!$B$1:$D$1,0),1))*BD607)+(W607*INDEX(Variables!$B$9:$D$9,IFERROR(MATCH(IF($B607="Robusta","Robusta",(IF($B607="","Arabica",$B607))&amp;" - "&amp;(IF($C607="","Commercial",$C607))),Variables!$B$1:$D$1,0),1))*BD607/365),""))</f>
        <v>23.608829561012563</v>
      </c>
      <c r="BJ607" s="44">
        <f t="shared" si="29"/>
        <v>-22</v>
      </c>
      <c r="BK607" s="44">
        <f>IF($AX607="Cancelled","",IFERROR(IF(BJ607="","",(W607*INDEX(Variables!$B$7:$D$7,IFERROR(MATCH(IF($B607="Robusta","Robusta",(IF($B607="","Arabica",$B607))&amp;" - "&amp;(IF($C607="","Commercial",$C607))),Variables!$B$1:$D$1,0),1))*(BJ607/365))+(W607*INDEX(Variables!$B$9:$D$9,IFERROR(MATCH(IF($B607="Robusta","Robusta",(IF($B607="","Arabica",$B607))&amp;" - "&amp;(IF($C607="","Commercial",$C607))),Variables!$B$1:$D$1,0),1))*(BJ607/365))+(INDEX(Variables!$B$8:$D$8,IFERROR(MATCH(IF($B607="Robusta","Robusta",(IF($B607="","Arabica",$B607))&amp;" - "&amp;(IF($C607="","Commercial",$C607))),Variables!$B$1:$D$1,0),1))*L607/16.67)),""))</f>
        <v>-69.378850068455279</v>
      </c>
    </row>
    <row r="608" spans="1:63">
      <c r="A608" s="13" t="s">
        <v>103</v>
      </c>
      <c r="B608" s="13" t="s">
        <v>104</v>
      </c>
      <c r="C608" s="13" t="s">
        <v>105</v>
      </c>
      <c r="D608" s="31">
        <v>46008</v>
      </c>
      <c r="E608" s="31">
        <v>46054</v>
      </c>
      <c r="F608" s="31">
        <v>46081</v>
      </c>
      <c r="G608" s="13">
        <v>3787060</v>
      </c>
      <c r="H608" s="13">
        <v>95990</v>
      </c>
      <c r="J608" s="13" t="s">
        <v>118</v>
      </c>
      <c r="K608" s="13">
        <v>5387</v>
      </c>
      <c r="L608" s="13">
        <v>3600</v>
      </c>
      <c r="M608" s="13">
        <v>10</v>
      </c>
      <c r="N608" s="13" t="s">
        <v>1141</v>
      </c>
      <c r="O608" s="13" t="s">
        <v>109</v>
      </c>
      <c r="P608" s="13">
        <v>10080</v>
      </c>
      <c r="R608" s="13" t="s">
        <v>122</v>
      </c>
      <c r="S608" s="13" t="s">
        <v>123</v>
      </c>
      <c r="T608" s="13" t="s">
        <v>124</v>
      </c>
      <c r="U608" s="13" t="s">
        <v>125</v>
      </c>
      <c r="V608" s="13">
        <v>14</v>
      </c>
      <c r="W608" s="44">
        <f>IF($AX608="Cancelled","",IFERROR(((V608+INDEX(Variables!$B$6:$D$6,IFERROR(MATCH(IF($B608="Robusta","Robusta",(IF($B608="","Arabica",$B608))&amp;" - "&amp;(IF($C608="","Commercial",$C608))),Variables!$B$1:$D$1,0),1)))*22.0462)*(L608/16.67),""))</f>
        <v>1451161.0279544089</v>
      </c>
      <c r="X608" s="55" t="s">
        <v>37</v>
      </c>
      <c r="Y608" s="13" t="str">
        <f>IF($AX608="Cancelled","",IF(X608="","",IFERROR(IF(INDEX(Variables!$B$38:$B$47,MATCH(X608,Variables!$A$38:$A$47,0))="Yes","Yes","No"),"No")))</f>
        <v>Yes</v>
      </c>
      <c r="Z608" s="58">
        <v>46034</v>
      </c>
      <c r="AC608" s="13" t="str">
        <f t="shared" si="27"/>
        <v/>
      </c>
      <c r="AF608" s="71">
        <v>46056</v>
      </c>
      <c r="AG608" s="35">
        <f>IF($AX608="Cancelled","",IFERROR(IF(F608="","",F608-Variables!$B$13),""))</f>
        <v>46066</v>
      </c>
      <c r="AH608" s="13" t="str">
        <f>IF($AX608="Cancelled","",IFERROR(IF(AB608="","",(AVERAGE(E608:F608)-AB608)-Variables!$B$14),""))</f>
        <v/>
      </c>
      <c r="AJ608" s="47">
        <v>46065</v>
      </c>
      <c r="AK608" s="14">
        <f>IF($AX608="Cancelled","",IFERROR(IF(AJ608="","",IF(AND(AB608="",AF608=""),"",IF(AF608&gt;AB608,AF608+Variables!$B$15+Variables!$B$16+Variables!$B$17-AJ608,AB608+Variables!$B$16+Variables!$B$17-AJ608))),""))</f>
        <v>6</v>
      </c>
      <c r="AL608" s="48" t="s">
        <v>114</v>
      </c>
      <c r="AM608" s="13" t="s">
        <v>115</v>
      </c>
      <c r="AN608" s="13" t="s">
        <v>1691</v>
      </c>
      <c r="AP608" s="31">
        <v>46074</v>
      </c>
      <c r="AR608" s="13">
        <v>265571694</v>
      </c>
      <c r="AS608" s="31">
        <v>46074</v>
      </c>
      <c r="AU608" s="31">
        <v>46127</v>
      </c>
      <c r="AV608" s="13" t="s">
        <v>865</v>
      </c>
      <c r="AW608" s="31">
        <v>46085</v>
      </c>
      <c r="AX608" s="13" t="str">
        <f>IF(ISNUMBER(SEARCH("cancel",#REF!)),"Cancelled",IF(AND(AS608&lt;&gt;"",AU608&lt;&gt;"",AW608&lt;&gt;""),"Closed","Open"))</f>
        <v>Closed</v>
      </c>
      <c r="AY608" s="15" t="str">
        <f t="shared" si="28"/>
        <v>All dates received</v>
      </c>
      <c r="BD608" s="13">
        <f>IF($AX608="Cancelled","",IFERROR(IF(OR(AS608="",AJ608=""),"",(AJ608+Variables!$B$18-AS608)),""))</f>
        <v>6</v>
      </c>
      <c r="BE608" s="13">
        <f>IF($AX608="Cancelled","",IFERROR(IF(OR(AW608="",AS608=""),"",(AS608+Variables!$B$19)-AW608),""))</f>
        <v>-6</v>
      </c>
      <c r="BF608" s="44">
        <f>IF($AX608="Cancelled","",IFERROR(W608*INDEX(Variables!$B$7:$D$7,IFERROR(MATCH(IF($B608="Robusta","Robusta",(IF($B608="","Arabica",$B608))&amp;" - "&amp;(IF($C608="","Commercial",$C608))),Variables!$B$1:$D$1,0),1))*(BE608/365),""))</f>
        <v>-1538.2036543029335</v>
      </c>
      <c r="BG608" s="44" t="str">
        <f>IF($AX608="Cancelled","",IFERROR((W608*INDEX(Variables!$B$7:$D$7,IFERROR(MATCH(IF($B608="Robusta","Robusta",(IF($B608="","Arabica",$B608))&amp;" - "&amp;(IF($C608="","Commercial",$C608))),Variables!$B$1:$D$1,0),1))*IFERROR(IF(AB608="","",(AVERAGE(E608:F608)-AB608)-Variables!$B$14),"")/365)+(L608/16.67*INDEX(Variables!$B$8:$D$8,IFERROR(MATCH(IF($B608="Robusta","Robusta",(IF($B608="","Arabica",$B608))&amp;" - "&amp;(IF($C608="","Commercial",$C608))),Variables!$B$1:$D$1,0),1))*IFERROR(IF(AB608="","",(AVERAGE(E608:F608)-AB608)-Variables!$B$14),""))+(W608*INDEX(Variables!$B$9:$D$9,IFERROR(MATCH(IF($B608="Robusta","Robusta",(IF($B608="","Arabica",$B608))&amp;" - "&amp;(IF($C608="","Commercial",$C608))),Variables!$B$1:$D$1,0),1))*IFERROR(IF(AB608="","",(AVERAGE(E608:F608)-AB608)-Variables!$B$14),"")/365),""))</f>
        <v/>
      </c>
      <c r="BH608" s="44">
        <f>IF($AX608="Cancelled","",IFERROR((W608*INDEX(Variables!$B$7:$D$7,IFERROR(MATCH(IF($B608="Robusta","Robusta",(IF($B608="","Arabica",$B608))&amp;" - "&amp;(IF($C608="","Commercial",$C608))),Variables!$B$1:$D$1,0),1))*AK608/365)+(L608/16.67*INDEX(Variables!$B$8:$D$8,IFERROR(MATCH(IF($B608="Robusta","Robusta",(IF($B608="","Arabica",$B608))&amp;" - "&amp;(IF($C608="","Commercial",$C608))),Variables!$B$1:$D$1,0),1))*AK608)+(W608*INDEX(Variables!$B$9:$D$9,IFERROR(MATCH(IF($B608="Robusta","Robusta",(IF($B608="","Arabica",$B608))&amp;" - "&amp;(IF($C608="","Commercial",$C608))),Variables!$B$1:$D$1,0),1))*AK608/365),""))</f>
        <v>2638.0340679337032</v>
      </c>
      <c r="BI608" s="44">
        <f>IF($AX608="Cancelled","",IFERROR((W608*INDEX(Variables!$B$7:$D$7,IFERROR(MATCH(IF($B608="Robusta","Robusta",(IF($B608="","Arabica",$B608))&amp;" - "&amp;(IF($C608="","Commercial",$C608))),Variables!$B$1:$D$1,0),1))*BD608/365)+(L608/16.67*INDEX(Variables!$B$8:$D$8,IFERROR(MATCH(IF($B608="Robusta","Robusta",(IF($B608="","Arabica",$B608))&amp;" - "&amp;(IF($C608="","Commercial",$C608))),Variables!$B$1:$D$1,0),1))*BD608)+(W608*INDEX(Variables!$B$9:$D$9,IFERROR(MATCH(IF($B608="Robusta","Robusta",(IF($B608="","Arabica",$B608))&amp;" - "&amp;(IF($C608="","Commercial",$C608))),Variables!$B$1:$D$1,0),1))*BD608/365),""))</f>
        <v>2638.0340679337032</v>
      </c>
      <c r="BJ608" s="44">
        <f t="shared" si="29"/>
        <v>7</v>
      </c>
      <c r="BK608" s="44">
        <f>IF($AX608="Cancelled","",IFERROR(IF(BJ608="","",(W608*INDEX(Variables!$B$7:$D$7,IFERROR(MATCH(IF($B608="Robusta","Robusta",(IF($B608="","Arabica",$B608))&amp;" - "&amp;(IF($C608="","Commercial",$C608))),Variables!$B$1:$D$1,0),1))*(BJ608/365))+(W608*INDEX(Variables!$B$9:$D$9,IFERROR(MATCH(IF($B608="Robusta","Robusta",(IF($B608="","Arabica",$B608))&amp;" - "&amp;(IF($C608="","Commercial",$C608))),Variables!$B$1:$D$1,0),1))*(BJ608/365))+(INDEX(Variables!$B$8:$D$8,IFERROR(MATCH(IF($B608="Robusta","Robusta",(IF($B608="","Arabica",$B608))&amp;" - "&amp;(IF($C608="","Commercial",$C608))),Variables!$B$1:$D$1,0),1))*L608/16.67)),""))</f>
        <v>1997.706412589321</v>
      </c>
    </row>
    <row r="609" spans="1:63">
      <c r="A609" s="13" t="s">
        <v>103</v>
      </c>
      <c r="B609" s="13" t="s">
        <v>104</v>
      </c>
      <c r="C609" s="13" t="s">
        <v>105</v>
      </c>
      <c r="D609" s="31">
        <v>46008</v>
      </c>
      <c r="E609" s="31">
        <v>46054</v>
      </c>
      <c r="F609" s="31">
        <v>46081</v>
      </c>
      <c r="G609" s="13">
        <v>3787061</v>
      </c>
      <c r="H609" s="13">
        <v>95999</v>
      </c>
      <c r="J609" s="13" t="s">
        <v>118</v>
      </c>
      <c r="K609" s="13" t="s">
        <v>1692</v>
      </c>
      <c r="L609" s="13">
        <v>360</v>
      </c>
      <c r="M609" s="13">
        <v>1</v>
      </c>
      <c r="N609" s="13" t="s">
        <v>1693</v>
      </c>
      <c r="O609" s="13" t="s">
        <v>179</v>
      </c>
      <c r="P609" s="13">
        <v>10110</v>
      </c>
      <c r="R609" s="13" t="s">
        <v>122</v>
      </c>
      <c r="S609" s="13" t="s">
        <v>138</v>
      </c>
      <c r="T609" s="13" t="s">
        <v>139</v>
      </c>
      <c r="U609" s="13" t="s">
        <v>125</v>
      </c>
      <c r="V609" s="13">
        <v>-9</v>
      </c>
      <c r="W609" s="44">
        <f>IF($AX609="Cancelled","",IFERROR(((V609+INDEX(Variables!$B$6:$D$6,IFERROR(MATCH(IF($B609="Robusta","Robusta",(IF($B609="","Arabica",$B609))&amp;" - "&amp;(IF($C609="","Commercial",$C609))),Variables!$B$1:$D$1,0),1)))*22.0462)*(L609/16.67),""))</f>
        <v>134165.74070785844</v>
      </c>
      <c r="X609" s="55" t="s">
        <v>37</v>
      </c>
      <c r="Y609" s="13" t="str">
        <f>IF($AX609="Cancelled","",IF(X609="","",IFERROR(IF(INDEX(Variables!$B$38:$B$47,MATCH(X609,Variables!$A$38:$A$47,0))="Yes","Yes","No"),"No")))</f>
        <v>Yes</v>
      </c>
      <c r="Z609" s="58">
        <v>46037</v>
      </c>
      <c r="AC609" s="13" t="str">
        <f t="shared" si="27"/>
        <v/>
      </c>
      <c r="AF609" s="71">
        <v>46065</v>
      </c>
      <c r="AG609" s="37">
        <f>IF($AX609="Cancelled","",IFERROR(IF(F609="","",F609-Variables!$B$13),""))</f>
        <v>46066</v>
      </c>
      <c r="AH609" s="13" t="str">
        <f>IF($AX609="Cancelled","",IFERROR(IF(AB609="","",(AVERAGE(E609:F609)-AB609)-Variables!$B$14),""))</f>
        <v/>
      </c>
      <c r="AJ609" s="47">
        <v>46066</v>
      </c>
      <c r="AK609" s="14">
        <f>IF($AX609="Cancelled","",IFERROR(IF(AJ609="","",IF(AND(AB609="",AF609=""),"",IF(AF609&gt;AB609,AF609+Variables!$B$15+Variables!$B$16+Variables!$B$17-AJ609,AB609+Variables!$B$16+Variables!$B$17-AJ609))),""))</f>
        <v>14</v>
      </c>
      <c r="AL609" s="48" t="s">
        <v>114</v>
      </c>
      <c r="AM609" s="13" t="s">
        <v>1526</v>
      </c>
      <c r="AN609" s="13" t="s">
        <v>1694</v>
      </c>
      <c r="AP609" s="31">
        <v>46093</v>
      </c>
      <c r="AR609" s="13" t="s">
        <v>1695</v>
      </c>
      <c r="AS609" s="31">
        <v>46093</v>
      </c>
      <c r="AU609" s="31">
        <v>46097</v>
      </c>
      <c r="AV609" s="13" t="s">
        <v>865</v>
      </c>
      <c r="AW609" s="31">
        <v>46300</v>
      </c>
      <c r="AX609" s="13" t="str">
        <f>IF(ISNUMBER(SEARCH("cancel",#REF!)),"Cancelled",IF(AND(AS609&lt;&gt;"",AU609&lt;&gt;"",AW609&lt;&gt;""),"Closed","Open"))</f>
        <v>Closed</v>
      </c>
      <c r="AY609" s="15" t="str">
        <f t="shared" si="28"/>
        <v>All dates received</v>
      </c>
      <c r="BD609" s="13">
        <f>IF($AX609="Cancelled","",IFERROR(IF(OR(AS609="",AJ609=""),"",(AJ609+Variables!$B$18-AS609)),""))</f>
        <v>-12</v>
      </c>
      <c r="BE609" s="13">
        <f>IF($AX609="Cancelled","",IFERROR(IF(OR(AW609="",AS609=""),"",(AS609+Variables!$B$19)-AW609),""))</f>
        <v>-202</v>
      </c>
      <c r="BF609" s="44">
        <f>IF($AX609="Cancelled","",IFERROR(W609*INDEX(Variables!$B$7:$D$7,IFERROR(MATCH(IF($B609="Robusta","Robusta",(IF($B609="","Arabica",$B609))&amp;" - "&amp;(IF($C609="","Commercial",$C609))),Variables!$B$1:$D$1,0),1))*(BE609/365),""))</f>
        <v>-4787.84391601479</v>
      </c>
      <c r="BG609" s="44" t="str">
        <f>IF($AX609="Cancelled","",IFERROR((W609*INDEX(Variables!$B$7:$D$7,IFERROR(MATCH(IF($B609="Robusta","Robusta",(IF($B609="","Arabica",$B609))&amp;" - "&amp;(IF($C609="","Commercial",$C609))),Variables!$B$1:$D$1,0),1))*IFERROR(IF(AB609="","",(AVERAGE(E609:F609)-AB609)-Variables!$B$14),"")/365)+(L609/16.67*INDEX(Variables!$B$8:$D$8,IFERROR(MATCH(IF($B609="Robusta","Robusta",(IF($B609="","Arabica",$B609))&amp;" - "&amp;(IF($C609="","Commercial",$C609))),Variables!$B$1:$D$1,0),1))*IFERROR(IF(AB609="","",(AVERAGE(E609:F609)-AB609)-Variables!$B$14),""))+(W609*INDEX(Variables!$B$9:$D$9,IFERROR(MATCH(IF($B609="Robusta","Robusta",(IF($B609="","Arabica",$B609))&amp;" - "&amp;(IF($C609="","Commercial",$C609))),Variables!$B$1:$D$1,0),1))*IFERROR(IF(AB609="","",(AVERAGE(E609:F609)-AB609)-Variables!$B$14),"")/365),""))</f>
        <v/>
      </c>
      <c r="BH609" s="44">
        <f>IF($AX609="Cancelled","",IFERROR((W609*INDEX(Variables!$B$7:$D$7,IFERROR(MATCH(IF($B609="Robusta","Robusta",(IF($B609="","Arabica",$B609))&amp;" - "&amp;(IF($C609="","Commercial",$C609))),Variables!$B$1:$D$1,0),1))*AK609/365)+(L609/16.67*INDEX(Variables!$B$8:$D$8,IFERROR(MATCH(IF($B609="Robusta","Robusta",(IF($B609="","Arabica",$B609))&amp;" - "&amp;(IF($C609="","Commercial",$C609))),Variables!$B$1:$D$1,0),1))*AK609)+(W609*INDEX(Variables!$B$9:$D$9,IFERROR(MATCH(IF($B609="Robusta","Robusta",(IF($B609="","Arabica",$B609))&amp;" - "&amp;(IF($C609="","Commercial",$C609))),Variables!$B$1:$D$1,0),1))*AK609/365),""))</f>
        <v>588.10870542498083</v>
      </c>
      <c r="BI609" s="44">
        <f>IF($AX609="Cancelled","",IFERROR((W609*INDEX(Variables!$B$7:$D$7,IFERROR(MATCH(IF($B609="Robusta","Robusta",(IF($B609="","Arabica",$B609))&amp;" - "&amp;(IF($C609="","Commercial",$C609))),Variables!$B$1:$D$1,0),1))*BD609/365)+(L609/16.67*INDEX(Variables!$B$8:$D$8,IFERROR(MATCH(IF($B609="Robusta","Robusta",(IF($B609="","Arabica",$B609))&amp;" - "&amp;(IF($C609="","Commercial",$C609))),Variables!$B$1:$D$1,0),1))*BD609)+(W609*INDEX(Variables!$B$9:$D$9,IFERROR(MATCH(IF($B609="Robusta","Robusta",(IF($B609="","Arabica",$B609))&amp;" - "&amp;(IF($C609="","Commercial",$C609))),Variables!$B$1:$D$1,0),1))*BD609/365),""))</f>
        <v>-504.09317607855496</v>
      </c>
      <c r="BJ609" s="44">
        <f t="shared" si="29"/>
        <v>-12</v>
      </c>
      <c r="BK609" s="44">
        <f>IF($AX609="Cancelled","",IFERROR(IF(BJ609="","",(W609*INDEX(Variables!$B$7:$D$7,IFERROR(MATCH(IF($B609="Robusta","Robusta",(IF($B609="","Arabica",$B609))&amp;" - "&amp;(IF($C609="","Commercial",$C609))),Variables!$B$1:$D$1,0),1))*(BJ609/365))+(W609*INDEX(Variables!$B$9:$D$9,IFERROR(MATCH(IF($B609="Robusta","Robusta",(IF($B609="","Arabica",$B609))&amp;" - "&amp;(IF($C609="","Commercial",$C609))),Variables!$B$1:$D$1,0),1))*(BJ609/365))+(INDEX(Variables!$B$8:$D$8,IFERROR(MATCH(IF($B609="Robusta","Robusta",(IF($B609="","Arabica",$B609))&amp;" - "&amp;(IF($C609="","Commercial",$C609))),Variables!$B$1:$D$1,0),1))*L609/16.67)),""))</f>
        <v>-270.0931760785549</v>
      </c>
    </row>
    <row r="610" spans="1:63">
      <c r="A610" s="13" t="s">
        <v>103</v>
      </c>
      <c r="B610" s="13" t="s">
        <v>104</v>
      </c>
      <c r="C610" s="13" t="s">
        <v>105</v>
      </c>
      <c r="D610" s="31">
        <v>46008</v>
      </c>
      <c r="E610" s="31">
        <v>46054</v>
      </c>
      <c r="F610" s="31">
        <v>46081</v>
      </c>
      <c r="G610" s="13">
        <v>3787061</v>
      </c>
      <c r="H610" s="13">
        <v>95999</v>
      </c>
      <c r="J610" s="13" t="s">
        <v>118</v>
      </c>
      <c r="K610" s="13" t="s">
        <v>1696</v>
      </c>
      <c r="L610" s="13">
        <v>2160</v>
      </c>
      <c r="M610" s="13">
        <v>6</v>
      </c>
      <c r="N610" s="13" t="s">
        <v>1693</v>
      </c>
      <c r="O610" s="13" t="s">
        <v>179</v>
      </c>
      <c r="P610" s="13">
        <v>10110</v>
      </c>
      <c r="R610" s="13" t="s">
        <v>122</v>
      </c>
      <c r="S610" s="13" t="s">
        <v>154</v>
      </c>
      <c r="T610" s="13" t="s">
        <v>155</v>
      </c>
      <c r="U610" s="13" t="s">
        <v>125</v>
      </c>
      <c r="V610" s="13">
        <v>-9</v>
      </c>
      <c r="W610" s="44">
        <f>IF($AX610="Cancelled","",IFERROR(((V610+INDEX(Variables!$B$6:$D$6,IFERROR(MATCH(IF($B610="Robusta","Robusta",(IF($B610="","Arabica",$B610))&amp;" - "&amp;(IF($C610="","Commercial",$C610))),Variables!$B$1:$D$1,0),1)))*22.0462)*(L610/16.67),""))</f>
        <v>804994.44424715044</v>
      </c>
      <c r="X610" s="55" t="s">
        <v>37</v>
      </c>
      <c r="Y610" s="13" t="str">
        <f>IF($AX610="Cancelled","",IF(X610="","",IFERROR(IF(INDEX(Variables!$B$38:$B$47,MATCH(X610,Variables!$A$38:$A$47,0))="Yes","Yes","No"),"No")))</f>
        <v>Yes</v>
      </c>
      <c r="Z610" s="58">
        <v>46037</v>
      </c>
      <c r="AC610" s="13" t="str">
        <f t="shared" si="27"/>
        <v/>
      </c>
      <c r="AF610" s="71">
        <v>46065</v>
      </c>
      <c r="AG610" s="37">
        <f>IF($AX610="Cancelled","",IFERROR(IF(F610="","",F610-Variables!$B$13),""))</f>
        <v>46066</v>
      </c>
      <c r="AH610" s="13" t="str">
        <f>IF($AX610="Cancelled","",IFERROR(IF(AB610="","",(AVERAGE(E610:F610)-AB610)-Variables!$B$14),""))</f>
        <v/>
      </c>
      <c r="AJ610" s="47">
        <v>46070</v>
      </c>
      <c r="AK610" s="14">
        <f>IF($AX610="Cancelled","",IFERROR(IF(AJ610="","",IF(AND(AB610="",AF610=""),"",IF(AF610&gt;AB610,AF610+Variables!$B$15+Variables!$B$16+Variables!$B$17-AJ610,AB610+Variables!$B$16+Variables!$B$17-AJ610))),""))</f>
        <v>10</v>
      </c>
      <c r="AL610" s="48" t="s">
        <v>114</v>
      </c>
      <c r="AM610" s="13" t="s">
        <v>1526</v>
      </c>
      <c r="AN610" s="13" t="s">
        <v>1694</v>
      </c>
      <c r="AP610" s="31">
        <v>46093</v>
      </c>
      <c r="AR610" s="13" t="s">
        <v>1695</v>
      </c>
      <c r="AS610" s="31">
        <v>46093</v>
      </c>
      <c r="AU610" s="31">
        <v>46097</v>
      </c>
      <c r="AV610" s="13" t="s">
        <v>865</v>
      </c>
      <c r="AW610" s="31">
        <v>46307</v>
      </c>
      <c r="AX610" s="13" t="str">
        <f>IF(ISNUMBER(SEARCH("cancel",#REF!)),"Cancelled",IF(AND(AS610&lt;&gt;"",AU610&lt;&gt;"",AW610&lt;&gt;""),"Closed","Open"))</f>
        <v>Closed</v>
      </c>
      <c r="AY610" s="15" t="str">
        <f t="shared" si="28"/>
        <v>All dates received</v>
      </c>
      <c r="BD610" s="13">
        <f>IF($AX610="Cancelled","",IFERROR(IF(OR(AS610="",AJ610=""),"",(AJ610+Variables!$B$18-AS610)),""))</f>
        <v>-8</v>
      </c>
      <c r="BE610" s="13">
        <f>IF($AX610="Cancelled","",IFERROR(IF(OR(AW610="",AS610=""),"",(AS610+Variables!$B$19)-AW610),""))</f>
        <v>-209</v>
      </c>
      <c r="BF610" s="44">
        <f>IF($AX610="Cancelled","",IFERROR(W610*INDEX(Variables!$B$7:$D$7,IFERROR(MATCH(IF($B610="Robusta","Robusta",(IF($B610="","Arabica",$B610))&amp;" - "&amp;(IF($C610="","Commercial",$C610))),Variables!$B$1:$D$1,0),1))*(BE610/365),""))</f>
        <v>-29722.555795458145</v>
      </c>
      <c r="BG610" s="44" t="str">
        <f>IF($AX610="Cancelled","",IFERROR((W610*INDEX(Variables!$B$7:$D$7,IFERROR(MATCH(IF($B610="Robusta","Robusta",(IF($B610="","Arabica",$B610))&amp;" - "&amp;(IF($C610="","Commercial",$C610))),Variables!$B$1:$D$1,0),1))*IFERROR(IF(AB610="","",(AVERAGE(E610:F610)-AB610)-Variables!$B$14),"")/365)+(L610/16.67*INDEX(Variables!$B$8:$D$8,IFERROR(MATCH(IF($B610="Robusta","Robusta",(IF($B610="","Arabica",$B610))&amp;" - "&amp;(IF($C610="","Commercial",$C610))),Variables!$B$1:$D$1,0),1))*IFERROR(IF(AB610="","",(AVERAGE(E610:F610)-AB610)-Variables!$B$14),""))+(W610*INDEX(Variables!$B$9:$D$9,IFERROR(MATCH(IF($B610="Robusta","Robusta",(IF($B610="","Arabica",$B610))&amp;" - "&amp;(IF($C610="","Commercial",$C610))),Variables!$B$1:$D$1,0),1))*IFERROR(IF(AB610="","",(AVERAGE(E610:F610)-AB610)-Variables!$B$14),"")/365),""))</f>
        <v/>
      </c>
      <c r="BH610" s="44">
        <f>IF($AX610="Cancelled","",IFERROR((W610*INDEX(Variables!$B$7:$D$7,IFERROR(MATCH(IF($B610="Robusta","Robusta",(IF($B610="","Arabica",$B610))&amp;" - "&amp;(IF($C610="","Commercial",$C610))),Variables!$B$1:$D$1,0),1))*AK610/365)+(L610/16.67*INDEX(Variables!$B$8:$D$8,IFERROR(MATCH(IF($B610="Robusta","Robusta",(IF($B610="","Arabica",$B610))&amp;" - "&amp;(IF($C610="","Commercial",$C610))),Variables!$B$1:$D$1,0),1))*AK610)+(W610*INDEX(Variables!$B$9:$D$9,IFERROR(MATCH(IF($B610="Robusta","Robusta",(IF($B610="","Arabica",$B610))&amp;" - "&amp;(IF($C610="","Commercial",$C610))),Variables!$B$1:$D$1,0),1))*AK610/365),""))</f>
        <v>2520.4658803927741</v>
      </c>
      <c r="BI610" s="44">
        <f>IF($AX610="Cancelled","",IFERROR((W610*INDEX(Variables!$B$7:$D$7,IFERROR(MATCH(IF($B610="Robusta","Robusta",(IF($B610="","Arabica",$B610))&amp;" - "&amp;(IF($C610="","Commercial",$C610))),Variables!$B$1:$D$1,0),1))*BD610/365)+(L610/16.67*INDEX(Variables!$B$8:$D$8,IFERROR(MATCH(IF($B610="Robusta","Robusta",(IF($B610="","Arabica",$B610))&amp;" - "&amp;(IF($C610="","Commercial",$C610))),Variables!$B$1:$D$1,0),1))*BD610)+(W610*INDEX(Variables!$B$9:$D$9,IFERROR(MATCH(IF($B610="Robusta","Robusta",(IF($B610="","Arabica",$B610))&amp;" - "&amp;(IF($C610="","Commercial",$C610))),Variables!$B$1:$D$1,0),1))*BD610/365),""))</f>
        <v>-2016.3727043142194</v>
      </c>
      <c r="BJ610" s="44">
        <f t="shared" si="29"/>
        <v>-12</v>
      </c>
      <c r="BK610" s="44">
        <f>IF($AX610="Cancelled","",IFERROR(IF(BJ610="","",(W610*INDEX(Variables!$B$7:$D$7,IFERROR(MATCH(IF($B610="Robusta","Robusta",(IF($B610="","Arabica",$B610))&amp;" - "&amp;(IF($C610="","Commercial",$C610))),Variables!$B$1:$D$1,0),1))*(BJ610/365))+(W610*INDEX(Variables!$B$9:$D$9,IFERROR(MATCH(IF($B610="Robusta","Robusta",(IF($B610="","Arabica",$B610))&amp;" - "&amp;(IF($C610="","Commercial",$C610))),Variables!$B$1:$D$1,0),1))*(BJ610/365))+(INDEX(Variables!$B$8:$D$8,IFERROR(MATCH(IF($B610="Robusta","Robusta",(IF($B610="","Arabica",$B610))&amp;" - "&amp;(IF($C610="","Commercial",$C610))),Variables!$B$1:$D$1,0),1))*L610/16.67)),""))</f>
        <v>-1620.5590564713291</v>
      </c>
    </row>
    <row r="611" spans="1:63">
      <c r="A611" s="13" t="s">
        <v>103</v>
      </c>
      <c r="B611" s="13" t="s">
        <v>104</v>
      </c>
      <c r="C611" s="13" t="s">
        <v>105</v>
      </c>
      <c r="D611" s="31">
        <v>46008</v>
      </c>
      <c r="E611" s="31">
        <v>46054</v>
      </c>
      <c r="F611" s="31">
        <v>46081</v>
      </c>
      <c r="G611" s="13">
        <v>3787061</v>
      </c>
      <c r="H611" s="13">
        <v>95999</v>
      </c>
      <c r="J611" s="13" t="s">
        <v>118</v>
      </c>
      <c r="K611" s="13" t="s">
        <v>1697</v>
      </c>
      <c r="L611" s="13">
        <v>720</v>
      </c>
      <c r="M611" s="13">
        <v>2</v>
      </c>
      <c r="N611" s="13" t="s">
        <v>1693</v>
      </c>
      <c r="O611" s="13" t="s">
        <v>179</v>
      </c>
      <c r="P611" s="13">
        <v>10110</v>
      </c>
      <c r="R611" s="13" t="s">
        <v>122</v>
      </c>
      <c r="S611" s="13" t="s">
        <v>218</v>
      </c>
      <c r="T611" s="13" t="s">
        <v>219</v>
      </c>
      <c r="U611" s="13" t="s">
        <v>125</v>
      </c>
      <c r="V611" s="13">
        <v>-9</v>
      </c>
      <c r="W611" s="44">
        <f>IF($AX611="Cancelled","",IFERROR(((V611+INDEX(Variables!$B$6:$D$6,IFERROR(MATCH(IF($B611="Robusta","Robusta",(IF($B611="","Arabica",$B611))&amp;" - "&amp;(IF($C611="","Commercial",$C611))),Variables!$B$1:$D$1,0),1)))*22.0462)*(L611/16.67),""))</f>
        <v>268331.48141571687</v>
      </c>
      <c r="X611" s="55" t="s">
        <v>37</v>
      </c>
      <c r="Y611" s="13" t="str">
        <f>IF($AX611="Cancelled","",IF(X611="","",IFERROR(IF(INDEX(Variables!$B$38:$B$47,MATCH(X611,Variables!$A$38:$A$47,0))="Yes","Yes","No"),"No")))</f>
        <v>Yes</v>
      </c>
      <c r="Z611" s="58">
        <v>46037</v>
      </c>
      <c r="AC611" s="13" t="str">
        <f t="shared" si="27"/>
        <v/>
      </c>
      <c r="AF611" s="71">
        <v>46065</v>
      </c>
      <c r="AG611" s="37">
        <f>IF($AX611="Cancelled","",IFERROR(IF(F611="","",F611-Variables!$B$13),""))</f>
        <v>46066</v>
      </c>
      <c r="AH611" s="13" t="str">
        <f>IF($AX611="Cancelled","",IFERROR(IF(AB611="","",(AVERAGE(E611:F611)-AB611)-Variables!$B$14),""))</f>
        <v/>
      </c>
      <c r="AJ611" s="47">
        <v>46070</v>
      </c>
      <c r="AK611" s="14">
        <f>IF($AX611="Cancelled","",IFERROR(IF(AJ611="","",IF(AND(AB611="",AF611=""),"",IF(AF611&gt;AB611,AF611+Variables!$B$15+Variables!$B$16+Variables!$B$17-AJ611,AB611+Variables!$B$16+Variables!$B$17-AJ611))),""))</f>
        <v>10</v>
      </c>
      <c r="AL611" s="48" t="s">
        <v>114</v>
      </c>
      <c r="AM611" s="13" t="s">
        <v>1526</v>
      </c>
      <c r="AN611" s="13" t="s">
        <v>1694</v>
      </c>
      <c r="AP611" s="31">
        <v>46093</v>
      </c>
      <c r="AR611" s="13" t="s">
        <v>1695</v>
      </c>
      <c r="AS611" s="31">
        <v>46090</v>
      </c>
      <c r="AU611" s="31">
        <v>46097</v>
      </c>
      <c r="AV611" s="13" t="s">
        <v>865</v>
      </c>
      <c r="AW611" s="31">
        <v>46294</v>
      </c>
      <c r="AX611" s="13" t="str">
        <f>IF(ISNUMBER(SEARCH("cancel",#REF!)),"Cancelled",IF(AND(AS611&lt;&gt;"",AU611&lt;&gt;"",AW611&lt;&gt;""),"Closed","Open"))</f>
        <v>Closed</v>
      </c>
      <c r="AY611" s="15" t="str">
        <f t="shared" si="28"/>
        <v>All dates received</v>
      </c>
      <c r="BD611" s="13">
        <f>IF($AX611="Cancelled","",IFERROR(IF(OR(AS611="",AJ611=""),"",(AJ611+Variables!$B$18-AS611)),""))</f>
        <v>-5</v>
      </c>
      <c r="BE611" s="13">
        <f>IF($AX611="Cancelled","",IFERROR(IF(OR(AW611="",AS611=""),"",(AS611+Variables!$B$19)-AW611),""))</f>
        <v>-199</v>
      </c>
      <c r="BF611" s="44">
        <f>IF($AX611="Cancelled","",IFERROR(W611*INDEX(Variables!$B$7:$D$7,IFERROR(MATCH(IF($B611="Robusta","Robusta",(IF($B611="","Arabica",$B611))&amp;" - "&amp;(IF($C611="","Commercial",$C611))),Variables!$B$1:$D$1,0),1))*(BE611/365),""))</f>
        <v>-9433.4746464053787</v>
      </c>
      <c r="BG611" s="44" t="str">
        <f>IF($AX611="Cancelled","",IFERROR((W611*INDEX(Variables!$B$7:$D$7,IFERROR(MATCH(IF($B611="Robusta","Robusta",(IF($B611="","Arabica",$B611))&amp;" - "&amp;(IF($C611="","Commercial",$C611))),Variables!$B$1:$D$1,0),1))*IFERROR(IF(AB611="","",(AVERAGE(E611:F611)-AB611)-Variables!$B$14),"")/365)+(L611/16.67*INDEX(Variables!$B$8:$D$8,IFERROR(MATCH(IF($B611="Robusta","Robusta",(IF($B611="","Arabica",$B611))&amp;" - "&amp;(IF($C611="","Commercial",$C611))),Variables!$B$1:$D$1,0),1))*IFERROR(IF(AB611="","",(AVERAGE(E611:F611)-AB611)-Variables!$B$14),""))+(W611*INDEX(Variables!$B$9:$D$9,IFERROR(MATCH(IF($B611="Robusta","Robusta",(IF($B611="","Arabica",$B611))&amp;" - "&amp;(IF($C611="","Commercial",$C611))),Variables!$B$1:$D$1,0),1))*IFERROR(IF(AB611="","",(AVERAGE(E611:F611)-AB611)-Variables!$B$14),"")/365),""))</f>
        <v/>
      </c>
      <c r="BH611" s="44">
        <f>IF($AX611="Cancelled","",IFERROR((W611*INDEX(Variables!$B$7:$D$7,IFERROR(MATCH(IF($B611="Robusta","Robusta",(IF($B611="","Arabica",$B611))&amp;" - "&amp;(IF($C611="","Commercial",$C611))),Variables!$B$1:$D$1,0),1))*AK611/365)+(L611/16.67*INDEX(Variables!$B$8:$D$8,IFERROR(MATCH(IF($B611="Robusta","Robusta",(IF($B611="","Arabica",$B611))&amp;" - "&amp;(IF($C611="","Commercial",$C611))),Variables!$B$1:$D$1,0),1))*AK611)+(W611*INDEX(Variables!$B$9:$D$9,IFERROR(MATCH(IF($B611="Robusta","Robusta",(IF($B611="","Arabica",$B611))&amp;" - "&amp;(IF($C611="","Commercial",$C611))),Variables!$B$1:$D$1,0),1))*AK611/365),""))</f>
        <v>840.15529346425831</v>
      </c>
      <c r="BI611" s="44">
        <f>IF($AX611="Cancelled","",IFERROR((W611*INDEX(Variables!$B$7:$D$7,IFERROR(MATCH(IF($B611="Robusta","Robusta",(IF($B611="","Arabica",$B611))&amp;" - "&amp;(IF($C611="","Commercial",$C611))),Variables!$B$1:$D$1,0),1))*BD611/365)+(L611/16.67*INDEX(Variables!$B$8:$D$8,IFERROR(MATCH(IF($B611="Robusta","Robusta",(IF($B611="","Arabica",$B611))&amp;" - "&amp;(IF($C611="","Commercial",$C611))),Variables!$B$1:$D$1,0),1))*BD611)+(W611*INDEX(Variables!$B$9:$D$9,IFERROR(MATCH(IF($B611="Robusta","Robusta",(IF($B611="","Arabica",$B611))&amp;" - "&amp;(IF($C611="","Commercial",$C611))),Variables!$B$1:$D$1,0),1))*BD611/365),""))</f>
        <v>-420.07764673212915</v>
      </c>
      <c r="BJ611" s="44">
        <f t="shared" si="29"/>
        <v>-9</v>
      </c>
      <c r="BK611" s="44">
        <f>IF($AX611="Cancelled","",IFERROR(IF(BJ611="","",(W611*INDEX(Variables!$B$7:$D$7,IFERROR(MATCH(IF($B611="Robusta","Robusta",(IF($B611="","Arabica",$B611))&amp;" - "&amp;(IF($C611="","Commercial",$C611))),Variables!$B$1:$D$1,0),1))*(BJ611/365))+(W611*INDEX(Variables!$B$9:$D$9,IFERROR(MATCH(IF($B611="Robusta","Robusta",(IF($B611="","Arabica",$B611))&amp;" - "&amp;(IF($C611="","Commercial",$C611))),Variables!$B$1:$D$1,0),1))*(BJ611/365))+(INDEX(Variables!$B$8:$D$8,IFERROR(MATCH(IF($B611="Robusta","Robusta",(IF($B611="","Arabica",$B611))&amp;" - "&amp;(IF($C611="","Commercial",$C611))),Variables!$B$1:$D$1,0),1))*L611/16.67)),""))</f>
        <v>-396.13976411783239</v>
      </c>
    </row>
    <row r="612" spans="1:63">
      <c r="A612" s="13" t="s">
        <v>103</v>
      </c>
      <c r="B612" s="13" t="s">
        <v>104</v>
      </c>
      <c r="C612" s="13" t="s">
        <v>105</v>
      </c>
      <c r="D612" s="31">
        <v>46008</v>
      </c>
      <c r="E612" s="31">
        <v>46054</v>
      </c>
      <c r="F612" s="31">
        <v>46081</v>
      </c>
      <c r="G612" s="13">
        <v>3787061</v>
      </c>
      <c r="H612" s="13">
        <v>95999</v>
      </c>
      <c r="J612" s="13" t="s">
        <v>118</v>
      </c>
      <c r="K612" s="13" t="s">
        <v>1698</v>
      </c>
      <c r="L612" s="13">
        <v>360</v>
      </c>
      <c r="M612" s="13">
        <v>1</v>
      </c>
      <c r="N612" s="13" t="s">
        <v>1693</v>
      </c>
      <c r="O612" s="13" t="s">
        <v>179</v>
      </c>
      <c r="P612" s="13">
        <v>10110</v>
      </c>
      <c r="R612" s="13" t="s">
        <v>122</v>
      </c>
      <c r="S612" s="13" t="s">
        <v>372</v>
      </c>
      <c r="T612" s="13" t="s">
        <v>373</v>
      </c>
      <c r="U612" s="13" t="s">
        <v>125</v>
      </c>
      <c r="V612" s="13">
        <v>-9</v>
      </c>
      <c r="W612" s="44">
        <f>IF($AX612="Cancelled","",IFERROR(((V612+INDEX(Variables!$B$6:$D$6,IFERROR(MATCH(IF($B612="Robusta","Robusta",(IF($B612="","Arabica",$B612))&amp;" - "&amp;(IF($C612="","Commercial",$C612))),Variables!$B$1:$D$1,0),1)))*22.0462)*(L612/16.67),""))</f>
        <v>134165.74070785844</v>
      </c>
      <c r="X612" s="55" t="s">
        <v>37</v>
      </c>
      <c r="Y612" s="13" t="str">
        <f>IF($AX612="Cancelled","",IF(X612="","",IFERROR(IF(INDEX(Variables!$B$38:$B$47,MATCH(X612,Variables!$A$38:$A$47,0))="Yes","Yes","No"),"No")))</f>
        <v>Yes</v>
      </c>
      <c r="Z612" s="58">
        <v>46037</v>
      </c>
      <c r="AC612" s="13" t="str">
        <f t="shared" si="27"/>
        <v/>
      </c>
      <c r="AF612" s="71">
        <v>46065</v>
      </c>
      <c r="AG612" s="37">
        <f>IF($AX612="Cancelled","",IFERROR(IF(F612="","",F612-Variables!$B$13),""))</f>
        <v>46066</v>
      </c>
      <c r="AH612" s="13" t="str">
        <f>IF($AX612="Cancelled","",IFERROR(IF(AB612="","",(AVERAGE(E612:F612)-AB612)-Variables!$B$14),""))</f>
        <v/>
      </c>
      <c r="AJ612" s="47">
        <v>46069</v>
      </c>
      <c r="AK612" s="14">
        <f>IF($AX612="Cancelled","",IFERROR(IF(AJ612="","",IF(AND(AB612="",AF612=""),"",IF(AF612&gt;AB612,AF612+Variables!$B$15+Variables!$B$16+Variables!$B$17-AJ612,AB612+Variables!$B$16+Variables!$B$17-AJ612))),""))</f>
        <v>11</v>
      </c>
      <c r="AL612" s="48" t="s">
        <v>114</v>
      </c>
      <c r="AM612" s="13" t="s">
        <v>1526</v>
      </c>
      <c r="AN612" s="13" t="s">
        <v>1694</v>
      </c>
      <c r="AP612" s="31">
        <v>46093</v>
      </c>
      <c r="AR612" s="13" t="s">
        <v>1695</v>
      </c>
      <c r="AS612" s="31">
        <v>46093</v>
      </c>
      <c r="AU612" s="31">
        <v>46097</v>
      </c>
      <c r="AV612" s="13" t="s">
        <v>865</v>
      </c>
      <c r="AW612" s="31">
        <v>46307</v>
      </c>
      <c r="AX612" s="13" t="str">
        <f>IF(ISNUMBER(SEARCH("cancel",#REF!)),"Cancelled",IF(AND(AS612&lt;&gt;"",AU612&lt;&gt;"",AW612&lt;&gt;""),"Closed","Open"))</f>
        <v>Closed</v>
      </c>
      <c r="AY612" s="15" t="str">
        <f t="shared" si="28"/>
        <v>All dates received</v>
      </c>
      <c r="BD612" s="13">
        <f>IF($AX612="Cancelled","",IFERROR(IF(OR(AS612="",AJ612=""),"",(AJ612+Variables!$B$18-AS612)),""))</f>
        <v>-9</v>
      </c>
      <c r="BE612" s="13">
        <f>IF($AX612="Cancelled","",IFERROR(IF(OR(AW612="",AS612=""),"",(AS612+Variables!$B$19)-AW612),""))</f>
        <v>-209</v>
      </c>
      <c r="BF612" s="44">
        <f>IF($AX612="Cancelled","",IFERROR(W612*INDEX(Variables!$B$7:$D$7,IFERROR(MATCH(IF($B612="Robusta","Robusta",(IF($B612="","Arabica",$B612))&amp;" - "&amp;(IF($C612="","Commercial",$C612))),Variables!$B$1:$D$1,0),1))*(BE612/365),""))</f>
        <v>-4953.7592992430255</v>
      </c>
      <c r="BG612" s="44" t="str">
        <f>IF($AX612="Cancelled","",IFERROR((W612*INDEX(Variables!$B$7:$D$7,IFERROR(MATCH(IF($B612="Robusta","Robusta",(IF($B612="","Arabica",$B612))&amp;" - "&amp;(IF($C612="","Commercial",$C612))),Variables!$B$1:$D$1,0),1))*IFERROR(IF(AB612="","",(AVERAGE(E612:F612)-AB612)-Variables!$B$14),"")/365)+(L612/16.67*INDEX(Variables!$B$8:$D$8,IFERROR(MATCH(IF($B612="Robusta","Robusta",(IF($B612="","Arabica",$B612))&amp;" - "&amp;(IF($C612="","Commercial",$C612))),Variables!$B$1:$D$1,0),1))*IFERROR(IF(AB612="","",(AVERAGE(E612:F612)-AB612)-Variables!$B$14),""))+(W612*INDEX(Variables!$B$9:$D$9,IFERROR(MATCH(IF($B612="Robusta","Robusta",(IF($B612="","Arabica",$B612))&amp;" - "&amp;(IF($C612="","Commercial",$C612))),Variables!$B$1:$D$1,0),1))*IFERROR(IF(AB612="","",(AVERAGE(E612:F612)-AB612)-Variables!$B$14),"")/365),""))</f>
        <v/>
      </c>
      <c r="BH612" s="44">
        <f>IF($AX612="Cancelled","",IFERROR((W612*INDEX(Variables!$B$7:$D$7,IFERROR(MATCH(IF($B612="Robusta","Robusta",(IF($B612="","Arabica",$B612))&amp;" - "&amp;(IF($C612="","Commercial",$C612))),Variables!$B$1:$D$1,0),1))*AK612/365)+(L612/16.67*INDEX(Variables!$B$8:$D$8,IFERROR(MATCH(IF($B612="Robusta","Robusta",(IF($B612="","Arabica",$B612))&amp;" - "&amp;(IF($C612="","Commercial",$C612))),Variables!$B$1:$D$1,0),1))*AK612)+(W612*INDEX(Variables!$B$9:$D$9,IFERROR(MATCH(IF($B612="Robusta","Robusta",(IF($B612="","Arabica",$B612))&amp;" - "&amp;(IF($C612="","Commercial",$C612))),Variables!$B$1:$D$1,0),1))*AK612/365),""))</f>
        <v>462.08541140534203</v>
      </c>
      <c r="BI612" s="44">
        <f>IF($AX612="Cancelled","",IFERROR((W612*INDEX(Variables!$B$7:$D$7,IFERROR(MATCH(IF($B612="Robusta","Robusta",(IF($B612="","Arabica",$B612))&amp;" - "&amp;(IF($C612="","Commercial",$C612))),Variables!$B$1:$D$1,0),1))*BD612/365)+(L612/16.67*INDEX(Variables!$B$8:$D$8,IFERROR(MATCH(IF($B612="Robusta","Robusta",(IF($B612="","Arabica",$B612))&amp;" - "&amp;(IF($C612="","Commercial",$C612))),Variables!$B$1:$D$1,0),1))*BD612)+(W612*INDEX(Variables!$B$9:$D$9,IFERROR(MATCH(IF($B612="Robusta","Robusta",(IF($B612="","Arabica",$B612))&amp;" - "&amp;(IF($C612="","Commercial",$C612))),Variables!$B$1:$D$1,0),1))*BD612/365),""))</f>
        <v>-378.06988205891628</v>
      </c>
      <c r="BJ612" s="44">
        <f t="shared" si="29"/>
        <v>-12</v>
      </c>
      <c r="BK612" s="44">
        <f>IF($AX612="Cancelled","",IFERROR(IF(BJ612="","",(W612*INDEX(Variables!$B$7:$D$7,IFERROR(MATCH(IF($B612="Robusta","Robusta",(IF($B612="","Arabica",$B612))&amp;" - "&amp;(IF($C612="","Commercial",$C612))),Variables!$B$1:$D$1,0),1))*(BJ612/365))+(W612*INDEX(Variables!$B$9:$D$9,IFERROR(MATCH(IF($B612="Robusta","Robusta",(IF($B612="","Arabica",$B612))&amp;" - "&amp;(IF($C612="","Commercial",$C612))),Variables!$B$1:$D$1,0),1))*(BJ612/365))+(INDEX(Variables!$B$8:$D$8,IFERROR(MATCH(IF($B612="Robusta","Robusta",(IF($B612="","Arabica",$B612))&amp;" - "&amp;(IF($C612="","Commercial",$C612))),Variables!$B$1:$D$1,0),1))*L612/16.67)),""))</f>
        <v>-270.0931760785549</v>
      </c>
    </row>
    <row r="613" spans="1:63">
      <c r="A613" s="13" t="s">
        <v>103</v>
      </c>
      <c r="B613" s="13" t="s">
        <v>104</v>
      </c>
      <c r="C613" s="13" t="s">
        <v>105</v>
      </c>
      <c r="D613" s="31">
        <v>46008</v>
      </c>
      <c r="E613" s="31">
        <v>46054</v>
      </c>
      <c r="F613" s="31">
        <v>46081</v>
      </c>
      <c r="G613" s="13">
        <v>3787062</v>
      </c>
      <c r="H613" s="13">
        <v>96001</v>
      </c>
      <c r="J613" s="13" t="s">
        <v>118</v>
      </c>
      <c r="K613" s="13" t="s">
        <v>1699</v>
      </c>
      <c r="L613" s="13">
        <v>1080</v>
      </c>
      <c r="M613" s="13">
        <v>3</v>
      </c>
      <c r="N613" s="13" t="s">
        <v>1700</v>
      </c>
      <c r="O613" s="13" t="s">
        <v>332</v>
      </c>
      <c r="P613" s="13">
        <v>10120</v>
      </c>
      <c r="R613" s="13" t="s">
        <v>122</v>
      </c>
      <c r="S613" s="13" t="s">
        <v>138</v>
      </c>
      <c r="T613" s="13" t="s">
        <v>139</v>
      </c>
      <c r="U613" s="13" t="s">
        <v>125</v>
      </c>
      <c r="V613" s="13">
        <v>-9</v>
      </c>
      <c r="W613" s="44">
        <f>IF($AX613="Cancelled","",IFERROR(((V613+INDEX(Variables!$B$6:$D$6,IFERROR(MATCH(IF($B613="Robusta","Robusta",(IF($B613="","Arabica",$B613))&amp;" - "&amp;(IF($C613="","Commercial",$C613))),Variables!$B$1:$D$1,0),1)))*22.0462)*(L613/16.67),""))</f>
        <v>402497.22212357522</v>
      </c>
      <c r="X613" s="55" t="s">
        <v>37</v>
      </c>
      <c r="Y613" s="13" t="str">
        <f>IF($AX613="Cancelled","",IF(X613="","",IFERROR(IF(INDEX(Variables!$B$38:$B$47,MATCH(X613,Variables!$A$38:$A$47,0))="Yes","Yes","No"),"No")))</f>
        <v>Yes</v>
      </c>
      <c r="Z613" s="58">
        <v>46038</v>
      </c>
      <c r="AB613" s="31">
        <v>46036.875</v>
      </c>
      <c r="AC613" s="13" t="str">
        <f t="shared" si="27"/>
        <v>Approved</v>
      </c>
      <c r="AF613" s="71">
        <v>46063</v>
      </c>
      <c r="AG613" s="37">
        <f>IF($AX613="Cancelled","",IFERROR(IF(F613="","",F613-Variables!$B$13),""))</f>
        <v>46066</v>
      </c>
      <c r="AH613" s="13">
        <f>IF($AX613="Cancelled","",IFERROR(IF(AB613="","",(AVERAGE(E613:F613)-AB613)-Variables!$B$14),""))</f>
        <v>0.625</v>
      </c>
      <c r="AJ613" s="47">
        <v>46065</v>
      </c>
      <c r="AK613" s="14">
        <f>IF($AX613="Cancelled","",IFERROR(IF(AJ613="","",IF(AND(AB613="",AF613=""),"",IF(AF613&gt;AB613,AF613+Variables!$B$15+Variables!$B$16+Variables!$B$17-AJ613,AB613+Variables!$B$16+Variables!$B$17-AJ613))),""))</f>
        <v>13</v>
      </c>
      <c r="AL613" s="48" t="s">
        <v>114</v>
      </c>
      <c r="AM613" s="13" t="s">
        <v>1526</v>
      </c>
      <c r="AN613" s="13" t="s">
        <v>1701</v>
      </c>
      <c r="AP613" s="31">
        <v>46093</v>
      </c>
      <c r="AR613" s="13" t="s">
        <v>1702</v>
      </c>
      <c r="AS613" s="31">
        <v>46060</v>
      </c>
      <c r="AU613" s="31">
        <v>46097</v>
      </c>
      <c r="AV613" s="13" t="s">
        <v>865</v>
      </c>
      <c r="AW613" s="31">
        <v>46100</v>
      </c>
      <c r="AX613" s="13" t="str">
        <f>IF(ISNUMBER(SEARCH("cancel",#REF!)),"Cancelled",IF(AND(AS613&lt;&gt;"",AU613&lt;&gt;"",AW613&lt;&gt;""),"Closed","Open"))</f>
        <v>Closed</v>
      </c>
      <c r="AY613" s="15" t="str">
        <f t="shared" si="28"/>
        <v>All dates received</v>
      </c>
      <c r="BD613" s="13">
        <f>IF($AX613="Cancelled","",IFERROR(IF(OR(AS613="",AJ613=""),"",(AJ613+Variables!$B$18-AS613)),""))</f>
        <v>20</v>
      </c>
      <c r="BE613" s="13">
        <f>IF($AX613="Cancelled","",IFERROR(IF(OR(AW613="",AS613=""),"",(AS613+Variables!$B$19)-AW613),""))</f>
        <v>-35</v>
      </c>
      <c r="BF613" s="44">
        <f>IF($AX613="Cancelled","",IFERROR(W613*INDEX(Variables!$B$7:$D$7,IFERROR(MATCH(IF($B613="Robusta","Robusta",(IF($B613="","Arabica",$B613))&amp;" - "&amp;(IF($C613="","Commercial",$C613))),Variables!$B$1:$D$1,0),1))*(BE613/365),""))</f>
        <v>-2488.7307484235289</v>
      </c>
      <c r="BG613" s="44">
        <f>IF($AX613="Cancelled","",IFERROR((W613*INDEX(Variables!$B$7:$D$7,IFERROR(MATCH(IF($B613="Robusta","Robusta",(IF($B613="","Arabica",$B613))&amp;" - "&amp;(IF($C613="","Commercial",$C613))),Variables!$B$1:$D$1,0),1))*IFERROR(IF(AB613="","",(AVERAGE(E613:F613)-AB613)-Variables!$B$14),"")/365)+(L613/16.67*INDEX(Variables!$B$8:$D$8,IFERROR(MATCH(IF($B613="Robusta","Robusta",(IF($B613="","Arabica",$B613))&amp;" - "&amp;(IF($C613="","Commercial",$C613))),Variables!$B$1:$D$1,0),1))*IFERROR(IF(AB613="","",(AVERAGE(E613:F613)-AB613)-Variables!$B$14),""))+(W613*INDEX(Variables!$B$9:$D$9,IFERROR(MATCH(IF($B613="Robusta","Robusta",(IF($B613="","Arabica",$B613))&amp;" - "&amp;(IF($C613="","Commercial",$C613))),Variables!$B$1:$D$1,0),1))*IFERROR(IF(AB613="","",(AVERAGE(E613:F613)-AB613)-Variables!$B$14),"")/365),""))</f>
        <v>78.764558762274191</v>
      </c>
      <c r="BH613" s="44">
        <f>IF($AX613="Cancelled","",IFERROR((W613*INDEX(Variables!$B$7:$D$7,IFERROR(MATCH(IF($B613="Robusta","Robusta",(IF($B613="","Arabica",$B613))&amp;" - "&amp;(IF($C613="","Commercial",$C613))),Variables!$B$1:$D$1,0),1))*AK613/365)+(L613/16.67*INDEX(Variables!$B$8:$D$8,IFERROR(MATCH(IF($B613="Robusta","Robusta",(IF($B613="","Arabica",$B613))&amp;" - "&amp;(IF($C613="","Commercial",$C613))),Variables!$B$1:$D$1,0),1))*AK613)+(W613*INDEX(Variables!$B$9:$D$9,IFERROR(MATCH(IF($B613="Robusta","Robusta",(IF($B613="","Arabica",$B613))&amp;" - "&amp;(IF($C613="","Commercial",$C613))),Variables!$B$1:$D$1,0),1))*AK613/365),""))</f>
        <v>1638.3028222553035</v>
      </c>
      <c r="BI613" s="44">
        <f>IF($AX613="Cancelled","",IFERROR((W613*INDEX(Variables!$B$7:$D$7,IFERROR(MATCH(IF($B613="Robusta","Robusta",(IF($B613="","Arabica",$B613))&amp;" - "&amp;(IF($C613="","Commercial",$C613))),Variables!$B$1:$D$1,0),1))*BD613/365)+(L613/16.67*INDEX(Variables!$B$8:$D$8,IFERROR(MATCH(IF($B613="Robusta","Robusta",(IF($B613="","Arabica",$B613))&amp;" - "&amp;(IF($C613="","Commercial",$C613))),Variables!$B$1:$D$1,0),1))*BD613)+(W613*INDEX(Variables!$B$9:$D$9,IFERROR(MATCH(IF($B613="Robusta","Robusta",(IF($B613="","Arabica",$B613))&amp;" - "&amp;(IF($C613="","Commercial",$C613))),Variables!$B$1:$D$1,0),1))*BD613/365),""))</f>
        <v>2520.4658803927741</v>
      </c>
      <c r="BJ613" s="44">
        <f t="shared" si="29"/>
        <v>21</v>
      </c>
      <c r="BK613" s="44">
        <f>IF($AX613="Cancelled","",IFERROR(IF(BJ613="","",(W613*INDEX(Variables!$B$7:$D$7,IFERROR(MATCH(IF($B613="Robusta","Robusta",(IF($B613="","Arabica",$B613))&amp;" - "&amp;(IF($C613="","Commercial",$C613))),Variables!$B$1:$D$1,0),1))*(BJ613/365))+(W613*INDEX(Variables!$B$9:$D$9,IFERROR(MATCH(IF($B613="Robusta","Robusta",(IF($B613="","Arabica",$B613))&amp;" - "&amp;(IF($C613="","Commercial",$C613))),Variables!$B$1:$D$1,0),1))*(BJ613/365))+(INDEX(Variables!$B$8:$D$8,IFERROR(MATCH(IF($B613="Robusta","Robusta",(IF($B613="","Arabica",$B613))&amp;" - "&amp;(IF($C613="","Commercial",$C613))),Variables!$B$1:$D$1,0),1))*L613/16.67)),""))</f>
        <v>1566.4891744124129</v>
      </c>
    </row>
    <row r="614" spans="1:63">
      <c r="A614" s="13" t="s">
        <v>103</v>
      </c>
      <c r="B614" s="13" t="s">
        <v>104</v>
      </c>
      <c r="C614" s="13" t="s">
        <v>105</v>
      </c>
      <c r="D614" s="31">
        <v>46008</v>
      </c>
      <c r="E614" s="31">
        <v>46054</v>
      </c>
      <c r="F614" s="31">
        <v>46081</v>
      </c>
      <c r="G614" s="13">
        <v>3787062</v>
      </c>
      <c r="H614" s="13">
        <v>96001</v>
      </c>
      <c r="J614" s="13" t="s">
        <v>118</v>
      </c>
      <c r="K614" s="13" t="s">
        <v>1703</v>
      </c>
      <c r="L614" s="13">
        <v>720</v>
      </c>
      <c r="M614" s="13">
        <v>2</v>
      </c>
      <c r="N614" s="13" t="s">
        <v>1700</v>
      </c>
      <c r="O614" s="13" t="s">
        <v>332</v>
      </c>
      <c r="P614" s="13">
        <v>10120</v>
      </c>
      <c r="R614" s="13" t="s">
        <v>122</v>
      </c>
      <c r="S614" s="13" t="s">
        <v>123</v>
      </c>
      <c r="T614" s="13" t="s">
        <v>124</v>
      </c>
      <c r="U614" s="13" t="s">
        <v>125</v>
      </c>
      <c r="V614" s="13">
        <v>-9</v>
      </c>
      <c r="W614" s="44">
        <f>IF($AX614="Cancelled","",IFERROR(((V614+INDEX(Variables!$B$6:$D$6,IFERROR(MATCH(IF($B614="Robusta","Robusta",(IF($B614="","Arabica",$B614))&amp;" - "&amp;(IF($C614="","Commercial",$C614))),Variables!$B$1:$D$1,0),1)))*22.0462)*(L614/16.67),""))</f>
        <v>268331.48141571687</v>
      </c>
      <c r="X614" s="55" t="s">
        <v>37</v>
      </c>
      <c r="Y614" s="13" t="str">
        <f>IF($AX614="Cancelled","",IF(X614="","",IFERROR(IF(INDEX(Variables!$B$38:$B$47,MATCH(X614,Variables!$A$38:$A$47,0))="Yes","Yes","No"),"No")))</f>
        <v>Yes</v>
      </c>
      <c r="Z614" s="58">
        <v>46038</v>
      </c>
      <c r="AB614" s="31">
        <v>46036.875</v>
      </c>
      <c r="AC614" s="13" t="str">
        <f t="shared" si="27"/>
        <v>Approved</v>
      </c>
      <c r="AF614" s="71">
        <v>46063</v>
      </c>
      <c r="AG614" s="37">
        <f>IF($AX614="Cancelled","",IFERROR(IF(F614="","",F614-Variables!$B$13),""))</f>
        <v>46066</v>
      </c>
      <c r="AH614" s="13">
        <f>IF($AX614="Cancelled","",IFERROR(IF(AB614="","",(AVERAGE(E614:F614)-AB614)-Variables!$B$14),""))</f>
        <v>0.625</v>
      </c>
      <c r="AJ614" s="47">
        <v>46066</v>
      </c>
      <c r="AK614" s="14">
        <f>IF($AX614="Cancelled","",IFERROR(IF(AJ614="","",IF(AND(AB614="",AF614=""),"",IF(AF614&gt;AB614,AF614+Variables!$B$15+Variables!$B$16+Variables!$B$17-AJ614,AB614+Variables!$B$16+Variables!$B$17-AJ614))),""))</f>
        <v>12</v>
      </c>
      <c r="AL614" s="48" t="s">
        <v>114</v>
      </c>
      <c r="AM614" s="13" t="s">
        <v>1526</v>
      </c>
      <c r="AN614" s="13" t="s">
        <v>1694</v>
      </c>
      <c r="AP614" s="31">
        <v>46093</v>
      </c>
      <c r="AR614" s="13" t="s">
        <v>1704</v>
      </c>
      <c r="AS614" s="31">
        <v>46093</v>
      </c>
      <c r="AU614" s="31">
        <v>46097</v>
      </c>
      <c r="AV614" s="13" t="s">
        <v>865</v>
      </c>
      <c r="AW614" s="31">
        <v>46100</v>
      </c>
      <c r="AX614" s="13" t="str">
        <f>IF(ISNUMBER(SEARCH("cancel",#REF!)),"Cancelled",IF(AND(AS614&lt;&gt;"",AU614&lt;&gt;"",AW614&lt;&gt;""),"Closed","Open"))</f>
        <v>Closed</v>
      </c>
      <c r="AY614" s="15" t="str">
        <f t="shared" si="28"/>
        <v>All dates received</v>
      </c>
      <c r="BD614" s="13">
        <f>IF($AX614="Cancelled","",IFERROR(IF(OR(AS614="",AJ614=""),"",(AJ614+Variables!$B$18-AS614)),""))</f>
        <v>-12</v>
      </c>
      <c r="BE614" s="13">
        <f>IF($AX614="Cancelled","",IFERROR(IF(OR(AW614="",AS614=""),"",(AS614+Variables!$B$19)-AW614),""))</f>
        <v>-2</v>
      </c>
      <c r="BF614" s="44">
        <f>IF($AX614="Cancelled","",IFERROR(W614*INDEX(Variables!$B$7:$D$7,IFERROR(MATCH(IF($B614="Robusta","Robusta",(IF($B614="","Arabica",$B614))&amp;" - "&amp;(IF($C614="","Commercial",$C614))),Variables!$B$1:$D$1,0),1))*(BE614/365),""))</f>
        <v>-94.808790416134471</v>
      </c>
      <c r="BG614" s="44">
        <f>IF($AX614="Cancelled","",IFERROR((W614*INDEX(Variables!$B$7:$D$7,IFERROR(MATCH(IF($B614="Robusta","Robusta",(IF($B614="","Arabica",$B614))&amp;" - "&amp;(IF($C614="","Commercial",$C614))),Variables!$B$1:$D$1,0),1))*IFERROR(IF(AB614="","",(AVERAGE(E614:F614)-AB614)-Variables!$B$14),"")/365)+(L614/16.67*INDEX(Variables!$B$8:$D$8,IFERROR(MATCH(IF($B614="Robusta","Robusta",(IF($B614="","Arabica",$B614))&amp;" - "&amp;(IF($C614="","Commercial",$C614))),Variables!$B$1:$D$1,0),1))*IFERROR(IF(AB614="","",(AVERAGE(E614:F614)-AB614)-Variables!$B$14),""))+(W614*INDEX(Variables!$B$9:$D$9,IFERROR(MATCH(IF($B614="Robusta","Robusta",(IF($B614="","Arabica",$B614))&amp;" - "&amp;(IF($C614="","Commercial",$C614))),Variables!$B$1:$D$1,0),1))*IFERROR(IF(AB614="","",(AVERAGE(E614:F614)-AB614)-Variables!$B$14),"")/365),""))</f>
        <v>52.509705841516144</v>
      </c>
      <c r="BH614" s="44">
        <f>IF($AX614="Cancelled","",IFERROR((W614*INDEX(Variables!$B$7:$D$7,IFERROR(MATCH(IF($B614="Robusta","Robusta",(IF($B614="","Arabica",$B614))&amp;" - "&amp;(IF($C614="","Commercial",$C614))),Variables!$B$1:$D$1,0),1))*AK614/365)+(L614/16.67*INDEX(Variables!$B$8:$D$8,IFERROR(MATCH(IF($B614="Robusta","Robusta",(IF($B614="","Arabica",$B614))&amp;" - "&amp;(IF($C614="","Commercial",$C614))),Variables!$B$1:$D$1,0),1))*AK614)+(W614*INDEX(Variables!$B$9:$D$9,IFERROR(MATCH(IF($B614="Robusta","Robusta",(IF($B614="","Arabica",$B614))&amp;" - "&amp;(IF($C614="","Commercial",$C614))),Variables!$B$1:$D$1,0),1))*AK614/365),""))</f>
        <v>1008.1863521571099</v>
      </c>
      <c r="BI614" s="44">
        <f>IF($AX614="Cancelled","",IFERROR((W614*INDEX(Variables!$B$7:$D$7,IFERROR(MATCH(IF($B614="Robusta","Robusta",(IF($B614="","Arabica",$B614))&amp;" - "&amp;(IF($C614="","Commercial",$C614))),Variables!$B$1:$D$1,0),1))*BD614/365)+(L614/16.67*INDEX(Variables!$B$8:$D$8,IFERROR(MATCH(IF($B614="Robusta","Robusta",(IF($B614="","Arabica",$B614))&amp;" - "&amp;(IF($C614="","Commercial",$C614))),Variables!$B$1:$D$1,0),1))*BD614)+(W614*INDEX(Variables!$B$9:$D$9,IFERROR(MATCH(IF($B614="Robusta","Robusta",(IF($B614="","Arabica",$B614))&amp;" - "&amp;(IF($C614="","Commercial",$C614))),Variables!$B$1:$D$1,0),1))*BD614/365),""))</f>
        <v>-1008.1863521571099</v>
      </c>
      <c r="BJ614" s="44">
        <f t="shared" si="29"/>
        <v>-12</v>
      </c>
      <c r="BK614" s="44">
        <f>IF($AX614="Cancelled","",IFERROR(IF(BJ614="","",(W614*INDEX(Variables!$B$7:$D$7,IFERROR(MATCH(IF($B614="Robusta","Robusta",(IF($B614="","Arabica",$B614))&amp;" - "&amp;(IF($C614="","Commercial",$C614))),Variables!$B$1:$D$1,0),1))*(BJ614/365))+(W614*INDEX(Variables!$B$9:$D$9,IFERROR(MATCH(IF($B614="Robusta","Robusta",(IF($B614="","Arabica",$B614))&amp;" - "&amp;(IF($C614="","Commercial",$C614))),Variables!$B$1:$D$1,0),1))*(BJ614/365))+(INDEX(Variables!$B$8:$D$8,IFERROR(MATCH(IF($B614="Robusta","Robusta",(IF($B614="","Arabica",$B614))&amp;" - "&amp;(IF($C614="","Commercial",$C614))),Variables!$B$1:$D$1,0),1))*L614/16.67)),""))</f>
        <v>-540.18635215710981</v>
      </c>
    </row>
    <row r="615" spans="1:63">
      <c r="A615" s="13" t="s">
        <v>103</v>
      </c>
      <c r="B615" s="13" t="s">
        <v>104</v>
      </c>
      <c r="C615" s="13" t="s">
        <v>105</v>
      </c>
      <c r="D615" s="31">
        <v>46009</v>
      </c>
      <c r="E615" s="31">
        <v>46082</v>
      </c>
      <c r="F615" s="31">
        <v>46112</v>
      </c>
      <c r="G615" s="13">
        <v>3787063</v>
      </c>
      <c r="H615" s="13" t="s">
        <v>1705</v>
      </c>
      <c r="J615" s="13" t="s">
        <v>506</v>
      </c>
      <c r="K615" s="13" t="s">
        <v>1705</v>
      </c>
      <c r="L615" s="13">
        <v>160</v>
      </c>
      <c r="M615" s="13">
        <v>0</v>
      </c>
      <c r="N615" s="13" t="s">
        <v>1706</v>
      </c>
      <c r="O615" s="13" t="s">
        <v>120</v>
      </c>
      <c r="P615" s="13">
        <v>10070</v>
      </c>
      <c r="R615" s="13" t="s">
        <v>239</v>
      </c>
      <c r="S615" s="13" t="s">
        <v>509</v>
      </c>
      <c r="T615" s="13" t="s">
        <v>329</v>
      </c>
      <c r="U615" s="13" t="s">
        <v>330</v>
      </c>
      <c r="V615" s="13">
        <v>38</v>
      </c>
      <c r="W615" s="44">
        <f>IF($AX615="Cancelled","",IFERROR(((V615+INDEX(Variables!$B$6:$D$6,IFERROR(MATCH(IF($B615="Robusta","Robusta",(IF($B615="","Arabica",$B615))&amp;" - "&amp;(IF($C615="","Commercial",$C615))),Variables!$B$1:$D$1,0),1)))*22.0462)*(L615/16.67),""))</f>
        <v>69574.474481103767</v>
      </c>
      <c r="X615" s="55" t="s">
        <v>37</v>
      </c>
      <c r="Y615" s="13" t="str">
        <f>IF($AX615="Cancelled","",IF(X615="","",IFERROR(IF(INDEX(Variables!$B$38:$B$47,MATCH(X615,Variables!$A$38:$A$47,0))="Yes","Yes","No"),"No")))</f>
        <v>Yes</v>
      </c>
      <c r="Z615" s="58">
        <v>46063</v>
      </c>
      <c r="AB615" s="31">
        <v>46107</v>
      </c>
      <c r="AC615" s="13" t="str">
        <f t="shared" si="27"/>
        <v>Approved</v>
      </c>
      <c r="AF615" s="71">
        <v>46105</v>
      </c>
      <c r="AG615" s="37">
        <f>IF($AX615="Cancelled","",IFERROR(IF(F615="","",F615-Variables!$B$13),""))</f>
        <v>46097</v>
      </c>
      <c r="AH615" s="13">
        <f>IF($AX615="Cancelled","",IFERROR(IF(AB615="","",(AVERAGE(E615:F615)-AB615)-Variables!$B$14),""))</f>
        <v>-40</v>
      </c>
      <c r="AJ615" s="47">
        <v>46120</v>
      </c>
      <c r="AK615" s="14">
        <f>IF($AX615="Cancelled","",IFERROR(IF(AJ615="","",IF(AND(AB615="",AF615=""),"",IF(AF615&gt;AB615,AF615+Variables!$B$15+Variables!$B$16+Variables!$B$17-AJ615,AB615+Variables!$B$16+Variables!$B$17-AJ615))),""))</f>
        <v>-5</v>
      </c>
      <c r="AL615" s="48" t="s">
        <v>114</v>
      </c>
      <c r="AM615" s="13" t="s">
        <v>115</v>
      </c>
      <c r="AN615" s="13" t="s">
        <v>1541</v>
      </c>
      <c r="AP615" s="31">
        <v>46134</v>
      </c>
      <c r="AR615" s="13">
        <v>267559943</v>
      </c>
      <c r="AS615" s="31" t="s">
        <v>1610</v>
      </c>
      <c r="AU615" s="31">
        <v>46147</v>
      </c>
      <c r="AV615" s="13" t="s">
        <v>865</v>
      </c>
      <c r="AW615" s="31">
        <v>46162</v>
      </c>
      <c r="AX615" s="13" t="str">
        <f>IF(ISNUMBER(SEARCH("cancel",#REF!)),"Cancelled",IF(AND(AS615&lt;&gt;"",AU615&lt;&gt;"",AW615&lt;&gt;""),"Closed","Open"))</f>
        <v>Closed</v>
      </c>
      <c r="AY615" s="15" t="str">
        <f t="shared" si="28"/>
        <v>All dates received</v>
      </c>
      <c r="BD615" s="13" t="str">
        <f>IF($AX615="Cancelled","",IFERROR(IF(OR(AS615="",AJ615=""),"",(AJ615+Variables!$B$18-AS615)),""))</f>
        <v/>
      </c>
      <c r="BE615" s="13" t="str">
        <f>IF($AX615="Cancelled","",IFERROR(IF(OR(AW615="",AS615=""),"",(AS615+Variables!$B$19)-AW615),""))</f>
        <v/>
      </c>
      <c r="BF615" s="44" t="str">
        <f>IF($AX615="Cancelled","",IFERROR(W615*INDEX(Variables!$B$7:$D$7,IFERROR(MATCH(IF($B615="Robusta","Robusta",(IF($B615="","Arabica",$B615))&amp;" - "&amp;(IF($C615="","Commercial",$C615))),Variables!$B$1:$D$1,0),1))*(BE615/365),""))</f>
        <v/>
      </c>
      <c r="BG615" s="44">
        <f>IF($AX615="Cancelled","",IFERROR((W615*INDEX(Variables!$B$7:$D$7,IFERROR(MATCH(IF($B615="Robusta","Robusta",(IF($B615="","Arabica",$B615))&amp;" - "&amp;(IF($C615="","Commercial",$C615))),Variables!$B$1:$D$1,0),1))*IFERROR(IF(AB615="","",(AVERAGE(E615:F615)-AB615)-Variables!$B$14),"")/365)+(L615/16.67*INDEX(Variables!$B$8:$D$8,IFERROR(MATCH(IF($B615="Robusta","Robusta",(IF($B615="","Arabica",$B615))&amp;" - "&amp;(IF($C615="","Commercial",$C615))),Variables!$B$1:$D$1,0),1))*IFERROR(IF(AB615="","",(AVERAGE(E615:F615)-AB615)-Variables!$B$14),""))+(W615*INDEX(Variables!$B$9:$D$9,IFERROR(MATCH(IF($B615="Robusta","Robusta",(IF($B615="","Arabica",$B615))&amp;" - "&amp;(IF($C615="","Commercial",$C615))),Variables!$B$1:$D$1,0),1))*IFERROR(IF(AB615="","",(AVERAGE(E615:F615)-AB615)-Variables!$B$14),"")/365),""))</f>
        <v>-817.98930838592548</v>
      </c>
      <c r="BH615" s="44">
        <f>IF($AX615="Cancelled","",IFERROR((W615*INDEX(Variables!$B$7:$D$7,IFERROR(MATCH(IF($B615="Robusta","Robusta",(IF($B615="","Arabica",$B615))&amp;" - "&amp;(IF($C615="","Commercial",$C615))),Variables!$B$1:$D$1,0),1))*AK615/365)+(L615/16.67*INDEX(Variables!$B$8:$D$8,IFERROR(MATCH(IF($B615="Robusta","Robusta",(IF($B615="","Arabica",$B615))&amp;" - "&amp;(IF($C615="","Commercial",$C615))),Variables!$B$1:$D$1,0),1))*AK615)+(W615*INDEX(Variables!$B$9:$D$9,IFERROR(MATCH(IF($B615="Robusta","Robusta",(IF($B615="","Arabica",$B615))&amp;" - "&amp;(IF($C615="","Commercial",$C615))),Variables!$B$1:$D$1,0),1))*AK615/365),""))</f>
        <v>-102.24866354824069</v>
      </c>
      <c r="BI615" s="44" t="str">
        <f>IF($AX615="Cancelled","",IFERROR((W615*INDEX(Variables!$B$7:$D$7,IFERROR(MATCH(IF($B615="Robusta","Robusta",(IF($B615="","Arabica",$B615))&amp;" - "&amp;(IF($C615="","Commercial",$C615))),Variables!$B$1:$D$1,0),1))*BD615/365)+(L615/16.67*INDEX(Variables!$B$8:$D$8,IFERROR(MATCH(IF($B615="Robusta","Robusta",(IF($B615="","Arabica",$B615))&amp;" - "&amp;(IF($C615="","Commercial",$C615))),Variables!$B$1:$D$1,0),1))*BD615)+(W615*INDEX(Variables!$B$9:$D$9,IFERROR(MATCH(IF($B615="Robusta","Robusta",(IF($B615="","Arabica",$B615))&amp;" - "&amp;(IF($C615="","Commercial",$C615))),Variables!$B$1:$D$1,0),1))*BD615/365),""))</f>
        <v/>
      </c>
      <c r="BJ615" s="44" t="str">
        <f t="shared" si="29"/>
        <v/>
      </c>
      <c r="BK615" s="44" t="str">
        <f>IF($AX615="Cancelled","",IFERROR(IF(BJ615="","",(W615*INDEX(Variables!$B$7:$D$7,IFERROR(MATCH(IF($B615="Robusta","Robusta",(IF($B615="","Arabica",$B615))&amp;" - "&amp;(IF($C615="","Commercial",$C615))),Variables!$B$1:$D$1,0),1))*(BJ615/365))+(W615*INDEX(Variables!$B$9:$D$9,IFERROR(MATCH(IF($B615="Robusta","Robusta",(IF($B615="","Arabica",$B615))&amp;" - "&amp;(IF($C615="","Commercial",$C615))),Variables!$B$1:$D$1,0),1))*(BJ615/365))+(INDEX(Variables!$B$8:$D$8,IFERROR(MATCH(IF($B615="Robusta","Robusta",(IF($B615="","Arabica",$B615))&amp;" - "&amp;(IF($C615="","Commercial",$C615))),Variables!$B$1:$D$1,0),1))*L615/16.67)),""))</f>
        <v/>
      </c>
    </row>
    <row r="616" spans="1:63">
      <c r="A616" s="13" t="s">
        <v>103</v>
      </c>
      <c r="B616" s="13" t="s">
        <v>104</v>
      </c>
      <c r="C616" s="13" t="s">
        <v>105</v>
      </c>
      <c r="D616" s="31">
        <v>45994</v>
      </c>
      <c r="E616" s="31">
        <v>46023</v>
      </c>
      <c r="F616" s="31">
        <v>46053</v>
      </c>
      <c r="G616" s="13">
        <v>3787064</v>
      </c>
      <c r="J616" s="13" t="s">
        <v>118</v>
      </c>
      <c r="K616" s="13">
        <v>5391</v>
      </c>
      <c r="L616" s="13">
        <v>320</v>
      </c>
      <c r="M616" s="13">
        <v>1</v>
      </c>
      <c r="N616" s="13" t="s">
        <v>1162</v>
      </c>
      <c r="O616" s="13" t="s">
        <v>269</v>
      </c>
      <c r="P616" s="13">
        <v>10310</v>
      </c>
      <c r="Q616" s="59" t="s">
        <v>270</v>
      </c>
      <c r="R616" s="13" t="s">
        <v>239</v>
      </c>
      <c r="S616" s="13" t="s">
        <v>429</v>
      </c>
      <c r="T616" s="13" t="s">
        <v>430</v>
      </c>
      <c r="U616" s="13" t="s">
        <v>182</v>
      </c>
      <c r="V616" s="13">
        <v>95.75</v>
      </c>
      <c r="W616" s="44">
        <f>IF($AX616="Cancelled","",IFERROR(((V616+INDEX(Variables!$B$6:$D$6,IFERROR(MATCH(IF($B616="Robusta","Robusta",(IF($B616="","Arabica",$B616))&amp;" - "&amp;(IF($C616="","Commercial",$C616))),Variables!$B$1:$D$1,0),1)))*22.0462)*(L616/16.67),""))</f>
        <v>163588.88753449309</v>
      </c>
      <c r="X616" s="55" t="s">
        <v>37</v>
      </c>
      <c r="Y616" s="13" t="str">
        <f>IF($AX616="Cancelled","",IF(X616="","",IFERROR(IF(INDEX(Variables!$B$38:$B$47,MATCH(X616,Variables!$A$38:$A$47,0))="Yes","Yes","No"),"No")))</f>
        <v>Yes</v>
      </c>
      <c r="Z616" s="58">
        <v>46028</v>
      </c>
      <c r="AB616" s="31">
        <v>46044</v>
      </c>
      <c r="AC616" s="13" t="str">
        <f t="shared" si="27"/>
        <v>Approved</v>
      </c>
      <c r="AF616" s="71">
        <v>46045</v>
      </c>
      <c r="AG616" s="37">
        <f>IF($AX616="Cancelled","",IFERROR(IF(F616="","",F616-Variables!$B$13),""))</f>
        <v>46038</v>
      </c>
      <c r="AH616" s="13">
        <f>IF($AX616="Cancelled","",IFERROR(IF(AB616="","",(AVERAGE(E616:F616)-AB616)-Variables!$B$14),""))</f>
        <v>-36</v>
      </c>
      <c r="AJ616" s="47">
        <v>46050</v>
      </c>
      <c r="AK616" s="14">
        <f>IF($AX616="Cancelled","",IFERROR(IF(AJ616="","",IF(AND(AB616="",AF616=""),"",IF(AF616&gt;AB616,AF616+Variables!$B$15+Variables!$B$16+Variables!$B$17-AJ616,AB616+Variables!$B$16+Variables!$B$17-AJ616))),""))</f>
        <v>10</v>
      </c>
      <c r="AL616" s="48" t="s">
        <v>114</v>
      </c>
      <c r="AM616" s="13" t="s">
        <v>168</v>
      </c>
      <c r="AN616" s="13" t="s">
        <v>1597</v>
      </c>
      <c r="AP616" s="31">
        <v>46083</v>
      </c>
      <c r="AR616" s="13" t="s">
        <v>1707</v>
      </c>
      <c r="AS616" s="31">
        <v>46083</v>
      </c>
      <c r="AU616" s="31">
        <v>46112</v>
      </c>
      <c r="AV616" s="13">
        <v>4913778796</v>
      </c>
      <c r="AW616" s="31">
        <v>46112</v>
      </c>
      <c r="AX616" s="13" t="str">
        <f>IF(ISNUMBER(SEARCH("cancel",#REF!)),"Cancelled",IF(AND(AS616&lt;&gt;"",AU616&lt;&gt;"",AW616&lt;&gt;""),"Closed","Open"))</f>
        <v>Closed</v>
      </c>
      <c r="AY616" s="15" t="str">
        <f t="shared" si="28"/>
        <v>All dates received</v>
      </c>
      <c r="BD616" s="13">
        <f>IF($AX616="Cancelled","",IFERROR(IF(OR(AS616="",AJ616=""),"",(AJ616+Variables!$B$18-AS616)),""))</f>
        <v>-18</v>
      </c>
      <c r="BE616" s="13">
        <f>IF($AX616="Cancelled","",IFERROR(IF(OR(AW616="",AS616=""),"",(AS616+Variables!$B$19)-AW616),""))</f>
        <v>-24</v>
      </c>
      <c r="BF616" s="44">
        <f>IF($AX616="Cancelled","",IFERROR(W616*INDEX(Variables!$B$7:$D$7,IFERROR(MATCH(IF($B616="Robusta","Robusta",(IF($B616="","Arabica",$B616))&amp;" - "&amp;(IF($C616="","Commercial",$C616))),Variables!$B$1:$D$1,0),1))*(BE616/365),""))</f>
        <v>-693.60469241271392</v>
      </c>
      <c r="BG616" s="44">
        <f>IF($AX616="Cancelled","",IFERROR((W616*INDEX(Variables!$B$7:$D$7,IFERROR(MATCH(IF($B616="Robusta","Robusta",(IF($B616="","Arabica",$B616))&amp;" - "&amp;(IF($C616="","Commercial",$C616))),Variables!$B$1:$D$1,0),1))*IFERROR(IF(AB616="","",(AVERAGE(E616:F616)-AB616)-Variables!$B$14),"")/365)+(L616/16.67*INDEX(Variables!$B$8:$D$8,IFERROR(MATCH(IF($B616="Robusta","Robusta",(IF($B616="","Arabica",$B616))&amp;" - "&amp;(IF($C616="","Commercial",$C616))),Variables!$B$1:$D$1,0),1))*IFERROR(IF(AB616="","",(AVERAGE(E616:F616)-AB616)-Variables!$B$14),""))+(W616*INDEX(Variables!$B$9:$D$9,IFERROR(MATCH(IF($B616="Robusta","Robusta",(IF($B616="","Arabica",$B616))&amp;" - "&amp;(IF($C616="","Commercial",$C616))),Variables!$B$1:$D$1,0),1))*IFERROR(IF(AB616="","",(AVERAGE(E616:F616)-AB616)-Variables!$B$14),"")/365),""))</f>
        <v>-1629.8198931929537</v>
      </c>
      <c r="BH616" s="44">
        <f>IF($AX616="Cancelled","",IFERROR((W616*INDEX(Variables!$B$7:$D$7,IFERROR(MATCH(IF($B616="Robusta","Robusta",(IF($B616="","Arabica",$B616))&amp;" - "&amp;(IF($C616="","Commercial",$C616))),Variables!$B$1:$D$1,0),1))*AK616/365)+(L616/16.67*INDEX(Variables!$B$8:$D$8,IFERROR(MATCH(IF($B616="Robusta","Robusta",(IF($B616="","Arabica",$B616))&amp;" - "&amp;(IF($C616="","Commercial",$C616))),Variables!$B$1:$D$1,0),1))*AK616)+(W616*INDEX(Variables!$B$9:$D$9,IFERROR(MATCH(IF($B616="Robusta","Robusta",(IF($B616="","Arabica",$B616))&amp;" - "&amp;(IF($C616="","Commercial",$C616))),Variables!$B$1:$D$1,0),1))*AK616/365),""))</f>
        <v>452.72774810915382</v>
      </c>
      <c r="BI616" s="44">
        <f>IF($AX616="Cancelled","",IFERROR((W616*INDEX(Variables!$B$7:$D$7,IFERROR(MATCH(IF($B616="Robusta","Robusta",(IF($B616="","Arabica",$B616))&amp;" - "&amp;(IF($C616="","Commercial",$C616))),Variables!$B$1:$D$1,0),1))*BD616/365)+(L616/16.67*INDEX(Variables!$B$8:$D$8,IFERROR(MATCH(IF($B616="Robusta","Robusta",(IF($B616="","Arabica",$B616))&amp;" - "&amp;(IF($C616="","Commercial",$C616))),Variables!$B$1:$D$1,0),1))*BD616)+(W616*INDEX(Variables!$B$9:$D$9,IFERROR(MATCH(IF($B616="Robusta","Robusta",(IF($B616="","Arabica",$B616))&amp;" - "&amp;(IF($C616="","Commercial",$C616))),Variables!$B$1:$D$1,0),1))*BD616/365),""))</f>
        <v>-814.90994659647686</v>
      </c>
      <c r="BJ616" s="44">
        <f t="shared" si="29"/>
        <v>-30</v>
      </c>
      <c r="BK616" s="44">
        <f>IF($AX616="Cancelled","",IFERROR(IF(BJ616="","",(W616*INDEX(Variables!$B$7:$D$7,IFERROR(MATCH(IF($B616="Robusta","Robusta",(IF($B616="","Arabica",$B616))&amp;" - "&amp;(IF($C616="","Commercial",$C616))),Variables!$B$1:$D$1,0),1))*(BJ616/365))+(W616*INDEX(Variables!$B$9:$D$9,IFERROR(MATCH(IF($B616="Robusta","Robusta",(IF($B616="","Arabica",$B616))&amp;" - "&amp;(IF($C616="","Commercial",$C616))),Variables!$B$1:$D$1,0),1))*(BJ616/365))+(INDEX(Variables!$B$8:$D$8,IFERROR(MATCH(IF($B616="Robusta","Robusta",(IF($B616="","Arabica",$B616))&amp;" - "&amp;(IF($C616="","Commercial",$C616))),Variables!$B$1:$D$1,0),1))*L616/16.67)),""))</f>
        <v>-862.18324432746158</v>
      </c>
    </row>
    <row r="617" spans="1:63">
      <c r="A617" s="13" t="s">
        <v>103</v>
      </c>
      <c r="B617" s="13" t="s">
        <v>104</v>
      </c>
      <c r="C617" s="13" t="s">
        <v>292</v>
      </c>
      <c r="D617" s="31">
        <v>46013</v>
      </c>
      <c r="E617" s="31">
        <v>46023</v>
      </c>
      <c r="F617" s="31">
        <v>46053</v>
      </c>
      <c r="G617" s="13">
        <v>3787065</v>
      </c>
      <c r="J617" s="13" t="s">
        <v>294</v>
      </c>
      <c r="K617" s="13" t="s">
        <v>1708</v>
      </c>
      <c r="L617" s="13">
        <v>25</v>
      </c>
      <c r="M617" s="13">
        <v>0</v>
      </c>
      <c r="N617" s="13" t="s">
        <v>467</v>
      </c>
      <c r="P617" s="13">
        <v>0</v>
      </c>
      <c r="R617" s="13" t="s">
        <v>467</v>
      </c>
      <c r="S617" s="13" t="s">
        <v>467</v>
      </c>
      <c r="T617" s="13" t="s">
        <v>467</v>
      </c>
      <c r="U617" s="13" t="s">
        <v>467</v>
      </c>
      <c r="W617" s="44">
        <f>IF($AX617="Cancelled","",IFERROR(((V617+INDEX(Variables!$B$6:$D$6,IFERROR(MATCH(IF($B617="Robusta","Robusta",(IF($B617="","Arabica",$B617))&amp;" - "&amp;(IF($C617="","Commercial",$C617))),Variables!$B$1:$D$1,0),1)))*22.0462)*(L617/16.67),""))</f>
        <v>9614.6295140971797</v>
      </c>
      <c r="Y617" s="13" t="str">
        <f>IF($AX617="Cancelled","",IF(X617="","",IFERROR(IF(INDEX(Variables!$B$38:$B$47,MATCH(X617,Variables!$A$38:$A$47,0))="Yes","Yes","No"),"No")))</f>
        <v/>
      </c>
      <c r="Z617" s="31">
        <v>46013</v>
      </c>
      <c r="AB617" s="31">
        <v>46013</v>
      </c>
      <c r="AC617" s="13" t="str">
        <f t="shared" si="27"/>
        <v>Approved</v>
      </c>
      <c r="AD617" s="31">
        <v>46013</v>
      </c>
      <c r="AF617" s="71">
        <v>46013</v>
      </c>
      <c r="AG617" s="37">
        <f>IF($AX617="Cancelled","",IFERROR(IF(F617="","",F617-Variables!$B$13),""))</f>
        <v>46038</v>
      </c>
      <c r="AH617" s="13">
        <f>IF($AX617="Cancelled","",IFERROR(IF(AB617="","",(AVERAGE(E617:F617)-AB617)-Variables!$B$14),""))</f>
        <v>-5</v>
      </c>
      <c r="AJ617" s="47">
        <v>46013</v>
      </c>
      <c r="AK617" s="14">
        <f>IF($AX617="Cancelled","",IFERROR(IF(AJ617="","",IF(AND(AB617="",AF617=""),"",IF(AF617&gt;AB617,AF617+Variables!$B$15+Variables!$B$16+Variables!$B$17-AJ617,AB617+Variables!$B$16+Variables!$B$17-AJ617))),""))</f>
        <v>8</v>
      </c>
      <c r="AL617" s="48" t="s">
        <v>114</v>
      </c>
      <c r="AM617" s="13" t="s">
        <v>467</v>
      </c>
      <c r="AN617" s="13" t="s">
        <v>467</v>
      </c>
      <c r="AO617" s="31">
        <v>46013</v>
      </c>
      <c r="AP617" s="31">
        <v>46013</v>
      </c>
      <c r="AQ617" s="31">
        <v>46013</v>
      </c>
      <c r="AR617" s="13" t="s">
        <v>467</v>
      </c>
      <c r="AS617" s="31">
        <v>46013</v>
      </c>
      <c r="AU617" s="31">
        <v>46013</v>
      </c>
      <c r="AV617" s="13" t="s">
        <v>467</v>
      </c>
      <c r="AW617" s="31">
        <v>46013</v>
      </c>
      <c r="AX617" s="13" t="str">
        <f>IF(ISNUMBER(SEARCH("cancel",#REF!)),"Cancelled",IF(AND(AS617&lt;&gt;"",AU617&lt;&gt;"",AW617&lt;&gt;""),"Closed","Open"))</f>
        <v>Closed</v>
      </c>
      <c r="AY617" s="15" t="str">
        <f t="shared" si="28"/>
        <v>All dates received</v>
      </c>
      <c r="BD617" s="13">
        <f>IF($AX617="Cancelled","",IFERROR(IF(OR(AS617="",AJ617=""),"",(AJ617+Variables!$B$18-AS617)),""))</f>
        <v>15</v>
      </c>
      <c r="BE617" s="13">
        <f>IF($AX617="Cancelled","",IFERROR(IF(OR(AW617="",AS617=""),"",(AS617+Variables!$B$19)-AW617),""))</f>
        <v>5</v>
      </c>
      <c r="BF617" s="44">
        <f>IF($AX617="Cancelled","",IFERROR(W617*INDEX(Variables!$B$7:$D$7,IFERROR(MATCH(IF($B617="Robusta","Robusta",(IF($B617="","Arabica",$B617))&amp;" - "&amp;(IF($C617="","Commercial",$C617))),Variables!$B$1:$D$1,0),1))*(BE617/365),""))</f>
        <v>8.4927734692317429</v>
      </c>
      <c r="BG617" s="44">
        <f>IF($AX617="Cancelled","",IFERROR((W617*INDEX(Variables!$B$7:$D$7,IFERROR(MATCH(IF($B617="Robusta","Robusta",(IF($B617="","Arabica",$B617))&amp;" - "&amp;(IF($C617="","Commercial",$C617))),Variables!$B$1:$D$1,0),1))*IFERROR(IF(AB617="","",(AVERAGE(E617:F617)-AB617)-Variables!$B$14),"")/365)+(L617/16.67*INDEX(Variables!$B$8:$D$8,IFERROR(MATCH(IF($B617="Robusta","Robusta",(IF($B617="","Arabica",$B617))&amp;" - "&amp;(IF($C617="","Commercial",$C617))),Variables!$B$1:$D$1,0),1))*IFERROR(IF(AB617="","",(AVERAGE(E617:F617)-AB617)-Variables!$B$14),""))+(W617*INDEX(Variables!$B$9:$D$9,IFERROR(MATCH(IF($B617="Robusta","Robusta",(IF($B617="","Arabica",$B617))&amp;" - "&amp;(IF($C617="","Commercial",$C617))),Variables!$B$1:$D$1,0),1))*IFERROR(IF(AB617="","",(AVERAGE(E617:F617)-AB617)-Variables!$B$14),"")/365),""))</f>
        <v>-14.852261709164194</v>
      </c>
      <c r="BH617" s="44">
        <f>IF($AX617="Cancelled","",IFERROR((W617*INDEX(Variables!$B$7:$D$7,IFERROR(MATCH(IF($B617="Robusta","Robusta",(IF($B617="","Arabica",$B617))&amp;" - "&amp;(IF($C617="","Commercial",$C617))),Variables!$B$1:$D$1,0),1))*AK617/365)+(L617/16.67*INDEX(Variables!$B$8:$D$8,IFERROR(MATCH(IF($B617="Robusta","Robusta",(IF($B617="","Arabica",$B617))&amp;" - "&amp;(IF($C617="","Commercial",$C617))),Variables!$B$1:$D$1,0),1))*AK617)+(W617*INDEX(Variables!$B$9:$D$9,IFERROR(MATCH(IF($B617="Robusta","Robusta",(IF($B617="","Arabica",$B617))&amp;" - "&amp;(IF($C617="","Commercial",$C617))),Variables!$B$1:$D$1,0),1))*AK617/365),""))</f>
        <v>23.76361873466271</v>
      </c>
      <c r="BI617" s="44">
        <f>IF($AX617="Cancelled","",IFERROR((W617*INDEX(Variables!$B$7:$D$7,IFERROR(MATCH(IF($B617="Robusta","Robusta",(IF($B617="","Arabica",$B617))&amp;" - "&amp;(IF($C617="","Commercial",$C617))),Variables!$B$1:$D$1,0),1))*BD617/365)+(L617/16.67*INDEX(Variables!$B$8:$D$8,IFERROR(MATCH(IF($B617="Robusta","Robusta",(IF($B617="","Arabica",$B617))&amp;" - "&amp;(IF($C617="","Commercial",$C617))),Variables!$B$1:$D$1,0),1))*BD617)+(W617*INDEX(Variables!$B$9:$D$9,IFERROR(MATCH(IF($B617="Robusta","Robusta",(IF($B617="","Arabica",$B617))&amp;" - "&amp;(IF($C617="","Commercial",$C617))),Variables!$B$1:$D$1,0),1))*BD617/365),""))</f>
        <v>44.556785127492589</v>
      </c>
      <c r="BJ617" s="44">
        <f t="shared" si="29"/>
        <v>40</v>
      </c>
      <c r="BK617" s="44">
        <f>IF($AX617="Cancelled","",IFERROR(IF(BJ617="","",(W617*INDEX(Variables!$B$7:$D$7,IFERROR(MATCH(IF($B617="Robusta","Robusta",(IF($B617="","Arabica",$B617))&amp;" - "&amp;(IF($C617="","Commercial",$C617))),Variables!$B$1:$D$1,0),1))*(BJ617/365))+(W617*INDEX(Variables!$B$9:$D$9,IFERROR(MATCH(IF($B617="Robusta","Robusta",(IF($B617="","Arabica",$B617))&amp;" - "&amp;(IF($C617="","Commercial",$C617))),Variables!$B$1:$D$1,0),1))*(BJ617/365))+(INDEX(Variables!$B$8:$D$8,IFERROR(MATCH(IF($B617="Robusta","Robusta",(IF($B617="","Arabica",$B617))&amp;" - "&amp;(IF($C617="","Commercial",$C617))),Variables!$B$1:$D$1,0),1))*L617/16.67)),""))</f>
        <v>70.068093673313555</v>
      </c>
    </row>
    <row r="618" spans="1:63">
      <c r="A618" s="13" t="s">
        <v>103</v>
      </c>
      <c r="B618" s="13" t="s">
        <v>104</v>
      </c>
      <c r="C618" s="13" t="s">
        <v>292</v>
      </c>
      <c r="D618" s="31">
        <v>46013</v>
      </c>
      <c r="E618" s="31">
        <v>46023</v>
      </c>
      <c r="F618" s="31">
        <v>46053</v>
      </c>
      <c r="G618" s="13">
        <v>3787066</v>
      </c>
      <c r="J618" s="13" t="s">
        <v>294</v>
      </c>
      <c r="K618" s="13" t="s">
        <v>1709</v>
      </c>
      <c r="L618" s="13">
        <v>25</v>
      </c>
      <c r="M618" s="13">
        <v>0</v>
      </c>
      <c r="N618" s="13" t="s">
        <v>467</v>
      </c>
      <c r="P618" s="13">
        <v>0</v>
      </c>
      <c r="R618" s="13" t="s">
        <v>467</v>
      </c>
      <c r="S618" s="13" t="s">
        <v>467</v>
      </c>
      <c r="T618" s="13" t="s">
        <v>467</v>
      </c>
      <c r="U618" s="13" t="s">
        <v>467</v>
      </c>
      <c r="W618" s="44">
        <f>IF($AX618="Cancelled","",IFERROR(((V618+INDEX(Variables!$B$6:$D$6,IFERROR(MATCH(IF($B618="Robusta","Robusta",(IF($B618="","Arabica",$B618))&amp;" - "&amp;(IF($C618="","Commercial",$C618))),Variables!$B$1:$D$1,0),1)))*22.0462)*(L618/16.67),""))</f>
        <v>9614.6295140971797</v>
      </c>
      <c r="Y618" s="13" t="str">
        <f>IF($AX618="Cancelled","",IF(X618="","",IFERROR(IF(INDEX(Variables!$B$38:$B$47,MATCH(X618,Variables!$A$38:$A$47,0))="Yes","Yes","No"),"No")))</f>
        <v/>
      </c>
      <c r="Z618" s="31">
        <v>46013</v>
      </c>
      <c r="AB618" s="31">
        <v>46013</v>
      </c>
      <c r="AC618" s="13" t="str">
        <f t="shared" si="27"/>
        <v>Approved</v>
      </c>
      <c r="AD618" s="31">
        <v>46013</v>
      </c>
      <c r="AF618" s="71">
        <v>46013</v>
      </c>
      <c r="AG618" s="37">
        <f>IF($AX618="Cancelled","",IFERROR(IF(F618="","",F618-Variables!$B$13),""))</f>
        <v>46038</v>
      </c>
      <c r="AH618" s="13">
        <f>IF($AX618="Cancelled","",IFERROR(IF(AB618="","",(AVERAGE(E618:F618)-AB618)-Variables!$B$14),""))</f>
        <v>-5</v>
      </c>
      <c r="AJ618" s="47">
        <v>46013</v>
      </c>
      <c r="AK618" s="14">
        <f>IF($AX618="Cancelled","",IFERROR(IF(AJ618="","",IF(AND(AB618="",AF618=""),"",IF(AF618&gt;AB618,AF618+Variables!$B$15+Variables!$B$16+Variables!$B$17-AJ618,AB618+Variables!$B$16+Variables!$B$17-AJ618))),""))</f>
        <v>8</v>
      </c>
      <c r="AL618" s="48" t="s">
        <v>114</v>
      </c>
      <c r="AM618" s="13" t="s">
        <v>467</v>
      </c>
      <c r="AN618" s="13" t="s">
        <v>467</v>
      </c>
      <c r="AO618" s="31">
        <v>46013</v>
      </c>
      <c r="AP618" s="31">
        <v>46013</v>
      </c>
      <c r="AQ618" s="31">
        <v>46013</v>
      </c>
      <c r="AR618" s="13" t="s">
        <v>467</v>
      </c>
      <c r="AS618" s="31">
        <v>46013</v>
      </c>
      <c r="AU618" s="31">
        <v>46013</v>
      </c>
      <c r="AV618" s="13" t="s">
        <v>467</v>
      </c>
      <c r="AW618" s="31">
        <v>46013</v>
      </c>
      <c r="AX618" s="13" t="str">
        <f>IF(ISNUMBER(SEARCH("cancel",#REF!)),"Cancelled",IF(AND(AS618&lt;&gt;"",AU618&lt;&gt;"",AW618&lt;&gt;""),"Closed","Open"))</f>
        <v>Closed</v>
      </c>
      <c r="AY618" s="15" t="str">
        <f t="shared" si="28"/>
        <v>All dates received</v>
      </c>
      <c r="BD618" s="13">
        <f>IF($AX618="Cancelled","",IFERROR(IF(OR(AS618="",AJ618=""),"",(AJ618+Variables!$B$18-AS618)),""))</f>
        <v>15</v>
      </c>
      <c r="BE618" s="13">
        <f>IF($AX618="Cancelled","",IFERROR(IF(OR(AW618="",AS618=""),"",(AS618+Variables!$B$19)-AW618),""))</f>
        <v>5</v>
      </c>
      <c r="BF618" s="44">
        <f>IF($AX618="Cancelled","",IFERROR(W618*INDEX(Variables!$B$7:$D$7,IFERROR(MATCH(IF($B618="Robusta","Robusta",(IF($B618="","Arabica",$B618))&amp;" - "&amp;(IF($C618="","Commercial",$C618))),Variables!$B$1:$D$1,0),1))*(BE618/365),""))</f>
        <v>8.4927734692317429</v>
      </c>
      <c r="BG618" s="44">
        <f>IF($AX618="Cancelled","",IFERROR((W618*INDEX(Variables!$B$7:$D$7,IFERROR(MATCH(IF($B618="Robusta","Robusta",(IF($B618="","Arabica",$B618))&amp;" - "&amp;(IF($C618="","Commercial",$C618))),Variables!$B$1:$D$1,0),1))*IFERROR(IF(AB618="","",(AVERAGE(E618:F618)-AB618)-Variables!$B$14),"")/365)+(L618/16.67*INDEX(Variables!$B$8:$D$8,IFERROR(MATCH(IF($B618="Robusta","Robusta",(IF($B618="","Arabica",$B618))&amp;" - "&amp;(IF($C618="","Commercial",$C618))),Variables!$B$1:$D$1,0),1))*IFERROR(IF(AB618="","",(AVERAGE(E618:F618)-AB618)-Variables!$B$14),""))+(W618*INDEX(Variables!$B$9:$D$9,IFERROR(MATCH(IF($B618="Robusta","Robusta",(IF($B618="","Arabica",$B618))&amp;" - "&amp;(IF($C618="","Commercial",$C618))),Variables!$B$1:$D$1,0),1))*IFERROR(IF(AB618="","",(AVERAGE(E618:F618)-AB618)-Variables!$B$14),"")/365),""))</f>
        <v>-14.852261709164194</v>
      </c>
      <c r="BH618" s="44">
        <f>IF($AX618="Cancelled","",IFERROR((W618*INDEX(Variables!$B$7:$D$7,IFERROR(MATCH(IF($B618="Robusta","Robusta",(IF($B618="","Arabica",$B618))&amp;" - "&amp;(IF($C618="","Commercial",$C618))),Variables!$B$1:$D$1,0),1))*AK618/365)+(L618/16.67*INDEX(Variables!$B$8:$D$8,IFERROR(MATCH(IF($B618="Robusta","Robusta",(IF($B618="","Arabica",$B618))&amp;" - "&amp;(IF($C618="","Commercial",$C618))),Variables!$B$1:$D$1,0),1))*AK618)+(W618*INDEX(Variables!$B$9:$D$9,IFERROR(MATCH(IF($B618="Robusta","Robusta",(IF($B618="","Arabica",$B618))&amp;" - "&amp;(IF($C618="","Commercial",$C618))),Variables!$B$1:$D$1,0),1))*AK618/365),""))</f>
        <v>23.76361873466271</v>
      </c>
      <c r="BI618" s="44">
        <f>IF($AX618="Cancelled","",IFERROR((W618*INDEX(Variables!$B$7:$D$7,IFERROR(MATCH(IF($B618="Robusta","Robusta",(IF($B618="","Arabica",$B618))&amp;" - "&amp;(IF($C618="","Commercial",$C618))),Variables!$B$1:$D$1,0),1))*BD618/365)+(L618/16.67*INDEX(Variables!$B$8:$D$8,IFERROR(MATCH(IF($B618="Robusta","Robusta",(IF($B618="","Arabica",$B618))&amp;" - "&amp;(IF($C618="","Commercial",$C618))),Variables!$B$1:$D$1,0),1))*BD618)+(W618*INDEX(Variables!$B$9:$D$9,IFERROR(MATCH(IF($B618="Robusta","Robusta",(IF($B618="","Arabica",$B618))&amp;" - "&amp;(IF($C618="","Commercial",$C618))),Variables!$B$1:$D$1,0),1))*BD618/365),""))</f>
        <v>44.556785127492589</v>
      </c>
      <c r="BJ618" s="44">
        <f t="shared" si="29"/>
        <v>40</v>
      </c>
      <c r="BK618" s="44">
        <f>IF($AX618="Cancelled","",IFERROR(IF(BJ618="","",(W618*INDEX(Variables!$B$7:$D$7,IFERROR(MATCH(IF($B618="Robusta","Robusta",(IF($B618="","Arabica",$B618))&amp;" - "&amp;(IF($C618="","Commercial",$C618))),Variables!$B$1:$D$1,0),1))*(BJ618/365))+(W618*INDEX(Variables!$B$9:$D$9,IFERROR(MATCH(IF($B618="Robusta","Robusta",(IF($B618="","Arabica",$B618))&amp;" - "&amp;(IF($C618="","Commercial",$C618))),Variables!$B$1:$D$1,0),1))*(BJ618/365))+(INDEX(Variables!$B$8:$D$8,IFERROR(MATCH(IF($B618="Robusta","Robusta",(IF($B618="","Arabica",$B618))&amp;" - "&amp;(IF($C618="","Commercial",$C618))),Variables!$B$1:$D$1,0),1))*L618/16.67)),""))</f>
        <v>70.068093673313555</v>
      </c>
    </row>
    <row r="619" spans="1:63">
      <c r="A619" s="13" t="s">
        <v>103</v>
      </c>
      <c r="B619" s="13" t="s">
        <v>104</v>
      </c>
      <c r="C619" s="13" t="s">
        <v>105</v>
      </c>
      <c r="D619" s="31">
        <v>46013</v>
      </c>
      <c r="E619" s="31">
        <v>46023</v>
      </c>
      <c r="F619" s="31">
        <v>46053</v>
      </c>
      <c r="G619" s="13">
        <v>3787067</v>
      </c>
      <c r="J619" s="13" t="s">
        <v>236</v>
      </c>
      <c r="K619" s="13">
        <v>5379</v>
      </c>
      <c r="L619" s="13">
        <v>640</v>
      </c>
      <c r="M619" s="13">
        <v>2</v>
      </c>
      <c r="N619" s="13" t="s">
        <v>120</v>
      </c>
      <c r="O619" s="13" t="s">
        <v>120</v>
      </c>
      <c r="P619" s="13">
        <v>10070</v>
      </c>
      <c r="R619" s="13" t="s">
        <v>110</v>
      </c>
      <c r="S619" s="13" t="s">
        <v>180</v>
      </c>
      <c r="T619" s="13" t="s">
        <v>253</v>
      </c>
      <c r="U619" s="13" t="s">
        <v>182</v>
      </c>
      <c r="V619" s="13">
        <v>21</v>
      </c>
      <c r="W619" s="44">
        <f>IF($AX619="Cancelled","",IFERROR(((V619+INDEX(Variables!$B$6:$D$6,IFERROR(MATCH(IF($B619="Robusta","Robusta",(IF($B619="","Arabica",$B619))&amp;" - "&amp;(IF($C619="","Commercial",$C619))),Variables!$B$1:$D$1,0),1)))*22.0462)*(L619/16.67),""))</f>
        <v>263909.01634073182</v>
      </c>
      <c r="X619" s="55" t="s">
        <v>37</v>
      </c>
      <c r="Y619" s="13" t="str">
        <f>IF($AX619="Cancelled","",IF(X619="","",IFERROR(IF(INDEX(Variables!$B$38:$B$47,MATCH(X619,Variables!$A$38:$A$47,0))="Yes","Yes","No"),"No")))</f>
        <v>Yes</v>
      </c>
      <c r="Z619" s="58">
        <v>46028</v>
      </c>
      <c r="AB619" s="31">
        <v>46048</v>
      </c>
      <c r="AC619" s="13" t="str">
        <f t="shared" si="27"/>
        <v>Approved</v>
      </c>
      <c r="AF619" s="71">
        <v>46041</v>
      </c>
      <c r="AG619" s="37">
        <f>IF($AX619="Cancelled","",IFERROR(IF(F619="","",F619-Variables!$B$13),""))</f>
        <v>46038</v>
      </c>
      <c r="AH619" s="13">
        <f>IF($AX619="Cancelled","",IFERROR(IF(AB619="","",(AVERAGE(E619:F619)-AB619)-Variables!$B$14),""))</f>
        <v>-40</v>
      </c>
      <c r="AJ619" s="47">
        <v>46049</v>
      </c>
      <c r="AK619" s="14">
        <f>IF($AX619="Cancelled","",IFERROR(IF(AJ619="","",IF(AND(AB619="",AF619=""),"",IF(AF619&gt;AB619,AF619+Variables!$B$15+Variables!$B$16+Variables!$B$17-AJ619,AB619+Variables!$B$16+Variables!$B$17-AJ619))),""))</f>
        <v>7</v>
      </c>
      <c r="AL619" s="48" t="s">
        <v>114</v>
      </c>
      <c r="AM619" s="13" t="s">
        <v>1482</v>
      </c>
      <c r="AN619" s="13" t="s">
        <v>1710</v>
      </c>
      <c r="AR619" s="13" t="s">
        <v>1711</v>
      </c>
      <c r="AS619" s="31">
        <v>46070</v>
      </c>
      <c r="AU619" s="31">
        <v>46084</v>
      </c>
      <c r="AV619" s="13" t="s">
        <v>865</v>
      </c>
      <c r="AW619" s="31">
        <v>46084</v>
      </c>
      <c r="AX619" s="13" t="str">
        <f>IF(ISNUMBER(SEARCH("cancel",#REF!)),"Cancelled",IF(AND(AS619&lt;&gt;"",AU619&lt;&gt;"",AW619&lt;&gt;""),"Closed","Open"))</f>
        <v>Closed</v>
      </c>
      <c r="AY619" s="15" t="str">
        <f t="shared" si="28"/>
        <v>All dates received</v>
      </c>
      <c r="BD619" s="13">
        <f>IF($AX619="Cancelled","",IFERROR(IF(OR(AS619="",AJ619=""),"",(AJ619+Variables!$B$18-AS619)),""))</f>
        <v>-6</v>
      </c>
      <c r="BE619" s="13">
        <f>IF($AX619="Cancelled","",IFERROR(IF(OR(AW619="",AS619=""),"",(AS619+Variables!$B$19)-AW619),""))</f>
        <v>-9</v>
      </c>
      <c r="BF619" s="44">
        <f>IF($AX619="Cancelled","",IFERROR(W619*INDEX(Variables!$B$7:$D$7,IFERROR(MATCH(IF($B619="Robusta","Robusta",(IF($B619="","Arabica",$B619))&amp;" - "&amp;(IF($C619="","Commercial",$C619))),Variables!$B$1:$D$1,0),1))*(BE619/365),""))</f>
        <v>-419.6079609900741</v>
      </c>
      <c r="BG619" s="44">
        <f>IF($AX619="Cancelled","",IFERROR((W619*INDEX(Variables!$B$7:$D$7,IFERROR(MATCH(IF($B619="Robusta","Robusta",(IF($B619="","Arabica",$B619))&amp;" - "&amp;(IF($C619="","Commercial",$C619))),Variables!$B$1:$D$1,0),1))*IFERROR(IF(AB619="","",(AVERAGE(E619:F619)-AB619)-Variables!$B$14),"")/365)+(L619/16.67*INDEX(Variables!$B$8:$D$8,IFERROR(MATCH(IF($B619="Robusta","Robusta",(IF($B619="","Arabica",$B619))&amp;" - "&amp;(IF($C619="","Commercial",$C619))),Variables!$B$1:$D$1,0),1))*IFERROR(IF(AB619="","",(AVERAGE(E619:F619)-AB619)-Variables!$B$14),""))+(W619*INDEX(Variables!$B$9:$D$9,IFERROR(MATCH(IF($B619="Robusta","Robusta",(IF($B619="","Arabica",$B619))&amp;" - "&amp;(IF($C619="","Commercial",$C619))),Variables!$B$1:$D$1,0),1))*IFERROR(IF(AB619="","",(AVERAGE(E619:F619)-AB619)-Variables!$B$14),"")/365),""))</f>
        <v>-3168.9667439748373</v>
      </c>
      <c r="BH619" s="44">
        <f>IF($AX619="Cancelled","",IFERROR((W619*INDEX(Variables!$B$7:$D$7,IFERROR(MATCH(IF($B619="Robusta","Robusta",(IF($B619="","Arabica",$B619))&amp;" - "&amp;(IF($C619="","Commercial",$C619))),Variables!$B$1:$D$1,0),1))*AK619/365)+(L619/16.67*INDEX(Variables!$B$8:$D$8,IFERROR(MATCH(IF($B619="Robusta","Robusta",(IF($B619="","Arabica",$B619))&amp;" - "&amp;(IF($C619="","Commercial",$C619))),Variables!$B$1:$D$1,0),1))*AK619)+(W619*INDEX(Variables!$B$9:$D$9,IFERROR(MATCH(IF($B619="Robusta","Robusta",(IF($B619="","Arabica",$B619))&amp;" - "&amp;(IF($C619="","Commercial",$C619))),Variables!$B$1:$D$1,0),1))*AK619/365),""))</f>
        <v>554.56918019559646</v>
      </c>
      <c r="BI619" s="44">
        <f>IF($AX619="Cancelled","",IFERROR((W619*INDEX(Variables!$B$7:$D$7,IFERROR(MATCH(IF($B619="Robusta","Robusta",(IF($B619="","Arabica",$B619))&amp;" - "&amp;(IF($C619="","Commercial",$C619))),Variables!$B$1:$D$1,0),1))*BD619/365)+(L619/16.67*INDEX(Variables!$B$8:$D$8,IFERROR(MATCH(IF($B619="Robusta","Robusta",(IF($B619="","Arabica",$B619))&amp;" - "&amp;(IF($C619="","Commercial",$C619))),Variables!$B$1:$D$1,0),1))*BD619)+(W619*INDEX(Variables!$B$9:$D$9,IFERROR(MATCH(IF($B619="Robusta","Robusta",(IF($B619="","Arabica",$B619))&amp;" - "&amp;(IF($C619="","Commercial",$C619))),Variables!$B$1:$D$1,0),1))*BD619/365),""))</f>
        <v>-475.34501159622556</v>
      </c>
      <c r="BJ619" s="44">
        <f t="shared" si="29"/>
        <v>-17</v>
      </c>
      <c r="BK619" s="44">
        <f>IF($AX619="Cancelled","",IFERROR(IF(BJ619="","",(W619*INDEX(Variables!$B$7:$D$7,IFERROR(MATCH(IF($B619="Robusta","Robusta",(IF($B619="","Arabica",$B619))&amp;" - "&amp;(IF($C619="","Commercial",$C619))),Variables!$B$1:$D$1,0),1))*(BJ619/365))+(W619*INDEX(Variables!$B$9:$D$9,IFERROR(MATCH(IF($B619="Robusta","Robusta",(IF($B619="","Arabica",$B619))&amp;" - "&amp;(IF($C619="","Commercial",$C619))),Variables!$B$1:$D$1,0),1))*(BJ619/365))+(INDEX(Variables!$B$8:$D$8,IFERROR(MATCH(IF($B619="Robusta","Robusta",(IF($B619="","Arabica",$B619))&amp;" - "&amp;(IF($C619="","Commercial",$C619))),Variables!$B$1:$D$1,0),1))*L619/16.67)),""))</f>
        <v>-770.8108661893059</v>
      </c>
    </row>
    <row r="620" spans="1:63">
      <c r="A620" s="13" t="s">
        <v>103</v>
      </c>
      <c r="B620" s="13" t="s">
        <v>104</v>
      </c>
      <c r="C620" s="13" t="s">
        <v>292</v>
      </c>
      <c r="D620" s="31">
        <v>46013</v>
      </c>
      <c r="E620" s="31">
        <v>46023</v>
      </c>
      <c r="F620" s="31">
        <v>46053</v>
      </c>
      <c r="G620" s="13">
        <v>3787068</v>
      </c>
      <c r="J620" s="13" t="s">
        <v>294</v>
      </c>
      <c r="K620" s="13" t="s">
        <v>1712</v>
      </c>
      <c r="L620" s="13">
        <v>16</v>
      </c>
      <c r="M620" s="13">
        <v>0</v>
      </c>
      <c r="N620" s="13" t="s">
        <v>1713</v>
      </c>
      <c r="O620" s="13" t="s">
        <v>297</v>
      </c>
      <c r="P620" s="13">
        <v>10020</v>
      </c>
      <c r="R620" s="13" t="s">
        <v>384</v>
      </c>
      <c r="S620" s="13" t="s">
        <v>299</v>
      </c>
      <c r="T620" s="13" t="s">
        <v>305</v>
      </c>
      <c r="U620" s="13" t="s">
        <v>125</v>
      </c>
      <c r="V620" s="13">
        <v>152</v>
      </c>
      <c r="W620" s="44">
        <f>IF($AX620="Cancelled","",IFERROR(((V620+INDEX(Variables!$B$6:$D$6,IFERROR(MATCH(IF($B620="Robusta","Robusta",(IF($B620="","Arabica",$B620))&amp;" - "&amp;(IF($C620="","Commercial",$C620))),Variables!$B$1:$D$1,0),1)))*22.0462)*(L620/16.67),""))</f>
        <v>9369.7011253749224</v>
      </c>
      <c r="X620" s="55" t="s">
        <v>39</v>
      </c>
      <c r="Y620" s="13" t="str">
        <f>IF($AX620="Cancelled","",IF(X620="","",IFERROR(IF(INDEX(Variables!$B$38:$B$47,MATCH(X620,Variables!$A$38:$A$47,0))="Yes","Yes","No"),"No")))</f>
        <v>No</v>
      </c>
      <c r="Z620" s="31"/>
      <c r="AB620" s="31">
        <v>46005.875</v>
      </c>
      <c r="AC620" s="13" t="str">
        <f t="shared" si="27"/>
        <v>Approved</v>
      </c>
      <c r="AF620" s="71">
        <v>46041</v>
      </c>
      <c r="AG620" s="31">
        <f>IF($AX620="Cancelled","",IFERROR(IF(F620="","",F620-Variables!$B$13),""))</f>
        <v>46038</v>
      </c>
      <c r="AH620" s="13">
        <f>IF($AX620="Cancelled","",IFERROR(IF(AB620="","",(AVERAGE(E620:F620)-AB620)-Variables!$B$14),""))</f>
        <v>2.125</v>
      </c>
      <c r="AJ620" s="47">
        <v>46050</v>
      </c>
      <c r="AK620" s="14">
        <f>IF($AX620="Cancelled","",IFERROR(IF(AJ620="","",IF(AND(AB620="",AF620=""),"",IF(AF620&gt;AB620,AF620+Variables!$B$15+Variables!$B$16+Variables!$B$17-AJ620,AB620+Variables!$B$16+Variables!$B$17-AJ620))),""))</f>
        <v>6</v>
      </c>
      <c r="AL620" s="48" t="s">
        <v>114</v>
      </c>
      <c r="AM620" s="13" t="s">
        <v>115</v>
      </c>
      <c r="AN620" s="13" t="s">
        <v>1714</v>
      </c>
      <c r="AP620" s="31">
        <v>46067</v>
      </c>
      <c r="AR620" s="13">
        <v>265455806</v>
      </c>
      <c r="AS620" s="31">
        <v>46067</v>
      </c>
      <c r="AU620" s="31">
        <v>46087</v>
      </c>
      <c r="AV620" s="13" t="s">
        <v>865</v>
      </c>
      <c r="AW620" s="31">
        <v>46084</v>
      </c>
      <c r="AX620" s="13" t="str">
        <f>IF(ISNUMBER(SEARCH("cancel",#REF!)),"Cancelled",IF(AND(AS620&lt;&gt;"",AU620&lt;&gt;"",AW620&lt;&gt;""),"Closed","Open"))</f>
        <v>Closed</v>
      </c>
      <c r="AY620" s="15" t="str">
        <f t="shared" si="28"/>
        <v>All dates received</v>
      </c>
      <c r="BD620" s="13">
        <f>IF($AX620="Cancelled","",IFERROR(IF(OR(AS620="",AJ620=""),"",(AJ620+Variables!$B$18-AS620)),""))</f>
        <v>-2</v>
      </c>
      <c r="BE620" s="13">
        <f>IF($AX620="Cancelled","",IFERROR(IF(OR(AW620="",AS620=""),"",(AS620+Variables!$B$19)-AW620),""))</f>
        <v>-12</v>
      </c>
      <c r="BF620" s="44">
        <f>IF($AX620="Cancelled","",IFERROR(W620*INDEX(Variables!$B$7:$D$7,IFERROR(MATCH(IF($B620="Robusta","Robusta",(IF($B620="","Arabica",$B620))&amp;" - "&amp;(IF($C620="","Commercial",$C620))),Variables!$B$1:$D$1,0),1))*(BE620/365),""))</f>
        <v>-19.863417268163861</v>
      </c>
      <c r="BG620" s="44">
        <f>IF($AX620="Cancelled","",IFERROR((W620*INDEX(Variables!$B$7:$D$7,IFERROR(MATCH(IF($B620="Robusta","Robusta",(IF($B620="","Arabica",$B620))&amp;" - "&amp;(IF($C620="","Commercial",$C620))),Variables!$B$1:$D$1,0),1))*IFERROR(IF(AB620="","",(AVERAGE(E620:F620)-AB620)-Variables!$B$14),"")/365)+(L620/16.67*INDEX(Variables!$B$8:$D$8,IFERROR(MATCH(IF($B620="Robusta","Robusta",(IF($B620="","Arabica",$B620))&amp;" - "&amp;(IF($C620="","Commercial",$C620))),Variables!$B$1:$D$1,0),1))*IFERROR(IF(AB620="","",(AVERAGE(E620:F620)-AB620)-Variables!$B$14),""))+(W620*INDEX(Variables!$B$9:$D$9,IFERROR(MATCH(IF($B620="Robusta","Robusta",(IF($B620="","Arabica",$B620))&amp;" - "&amp;(IF($C620="","Commercial",$C620))),Variables!$B$1:$D$1,0),1))*IFERROR(IF(AB620="","",(AVERAGE(E620:F620)-AB620)-Variables!$B$14),"")/365),""))</f>
        <v>5.262827248522937</v>
      </c>
      <c r="BH620" s="44">
        <f>IF($AX620="Cancelled","",IFERROR((W620*INDEX(Variables!$B$7:$D$7,IFERROR(MATCH(IF($B620="Robusta","Robusta",(IF($B620="","Arabica",$B620))&amp;" - "&amp;(IF($C620="","Commercial",$C620))),Variables!$B$1:$D$1,0),1))*AK620/365)+(L620/16.67*INDEX(Variables!$B$8:$D$8,IFERROR(MATCH(IF($B620="Robusta","Robusta",(IF($B620="","Arabica",$B620))&amp;" - "&amp;(IF($C620="","Commercial",$C620))),Variables!$B$1:$D$1,0),1))*AK620)+(W620*INDEX(Variables!$B$9:$D$9,IFERROR(MATCH(IF($B620="Robusta","Robusta",(IF($B620="","Arabica",$B620))&amp;" - "&amp;(IF($C620="","Commercial",$C620))),Variables!$B$1:$D$1,0),1))*AK620/365),""))</f>
        <v>14.859747525241234</v>
      </c>
      <c r="BI620" s="44">
        <f>IF($AX620="Cancelled","",IFERROR((W620*INDEX(Variables!$B$7:$D$7,IFERROR(MATCH(IF($B620="Robusta","Robusta",(IF($B620="","Arabica",$B620))&amp;" - "&amp;(IF($C620="","Commercial",$C620))),Variables!$B$1:$D$1,0),1))*BD620/365)+(L620/16.67*INDEX(Variables!$B$8:$D$8,IFERROR(MATCH(IF($B620="Robusta","Robusta",(IF($B620="","Arabica",$B620))&amp;" - "&amp;(IF($C620="","Commercial",$C620))),Variables!$B$1:$D$1,0),1))*BD620)+(W620*INDEX(Variables!$B$9:$D$9,IFERROR(MATCH(IF($B620="Robusta","Robusta",(IF($B620="","Arabica",$B620))&amp;" - "&amp;(IF($C620="","Commercial",$C620))),Variables!$B$1:$D$1,0),1))*BD620/365),""))</f>
        <v>-4.9532491750804111</v>
      </c>
      <c r="BJ620" s="44">
        <f t="shared" si="29"/>
        <v>-14</v>
      </c>
      <c r="BK620" s="44">
        <f>IF($AX620="Cancelled","",IFERROR(IF(BJ620="","",(W620*INDEX(Variables!$B$7:$D$7,IFERROR(MATCH(IF($B620="Robusta","Robusta",(IF($B620="","Arabica",$B620))&amp;" - "&amp;(IF($C620="","Commercial",$C620))),Variables!$B$1:$D$1,0),1))*(BJ620/365))+(W620*INDEX(Variables!$B$9:$D$9,IFERROR(MATCH(IF($B620="Robusta","Robusta",(IF($B620="","Arabica",$B620))&amp;" - "&amp;(IF($C620="","Commercial",$C620))),Variables!$B$1:$D$1,0),1))*(BJ620/365))+(INDEX(Variables!$B$8:$D$8,IFERROR(MATCH(IF($B620="Robusta","Robusta",(IF($B620="","Arabica",$B620))&amp;" - "&amp;(IF($C620="","Commercial",$C620))),Variables!$B$1:$D$1,0),1))*L620/16.67)),""))</f>
        <v>-22.672744225562877</v>
      </c>
    </row>
    <row r="621" spans="1:63">
      <c r="A621" s="13" t="s">
        <v>103</v>
      </c>
      <c r="B621" s="13" t="s">
        <v>104</v>
      </c>
      <c r="C621" s="13" t="s">
        <v>292</v>
      </c>
      <c r="D621" s="31">
        <v>46013</v>
      </c>
      <c r="E621" s="31">
        <v>46023</v>
      </c>
      <c r="F621" s="31">
        <v>46053</v>
      </c>
      <c r="G621" s="13">
        <v>3787069</v>
      </c>
      <c r="J621" s="13" t="s">
        <v>294</v>
      </c>
      <c r="K621" s="13" t="s">
        <v>1715</v>
      </c>
      <c r="L621" s="13">
        <v>44</v>
      </c>
      <c r="M621" s="13">
        <v>0</v>
      </c>
      <c r="N621" s="13" t="s">
        <v>1716</v>
      </c>
      <c r="O621" s="13" t="s">
        <v>297</v>
      </c>
      <c r="P621" s="13">
        <v>10020</v>
      </c>
      <c r="R621" s="13" t="s">
        <v>384</v>
      </c>
      <c r="S621" s="13" t="s">
        <v>299</v>
      </c>
      <c r="T621" s="13" t="s">
        <v>305</v>
      </c>
      <c r="U621" s="13" t="s">
        <v>125</v>
      </c>
      <c r="V621" s="13">
        <v>162</v>
      </c>
      <c r="W621" s="44">
        <f>IF($AX621="Cancelled","",IFERROR(((V621+INDEX(Variables!$B$6:$D$6,IFERROR(MATCH(IF($B621="Robusta","Robusta",(IF($B621="","Arabica",$B621))&amp;" - "&amp;(IF($C621="","Commercial",$C621))),Variables!$B$1:$D$1,0),1)))*22.0462)*(L621/16.67),""))</f>
        <v>26348.581394121175</v>
      </c>
      <c r="X621" s="55" t="s">
        <v>39</v>
      </c>
      <c r="Y621" s="13" t="str">
        <f>IF($AX621="Cancelled","",IF(X621="","",IFERROR(IF(INDEX(Variables!$B$38:$B$47,MATCH(X621,Variables!$A$38:$A$47,0))="Yes","Yes","No"),"No")))</f>
        <v>No</v>
      </c>
      <c r="Z621" s="31"/>
      <c r="AB621" s="31">
        <v>46005.875</v>
      </c>
      <c r="AC621" s="13" t="str">
        <f t="shared" si="27"/>
        <v>Approved</v>
      </c>
      <c r="AF621" s="71">
        <v>46042</v>
      </c>
      <c r="AG621" s="31">
        <f>IF($AX621="Cancelled","",IFERROR(IF(F621="","",F621-Variables!$B$13),""))</f>
        <v>46038</v>
      </c>
      <c r="AH621" s="13">
        <f>IF($AX621="Cancelled","",IFERROR(IF(AB621="","",(AVERAGE(E621:F621)-AB621)-Variables!$B$14),""))</f>
        <v>2.125</v>
      </c>
      <c r="AJ621" s="47">
        <v>46050</v>
      </c>
      <c r="AK621" s="14">
        <f>IF($AX621="Cancelled","",IFERROR(IF(AJ621="","",IF(AND(AB621="",AF621=""),"",IF(AF621&gt;AB621,AF621+Variables!$B$15+Variables!$B$16+Variables!$B$17-AJ621,AB621+Variables!$B$16+Variables!$B$17-AJ621))),""))</f>
        <v>7</v>
      </c>
      <c r="AL621" s="48" t="s">
        <v>114</v>
      </c>
      <c r="AM621" s="13" t="s">
        <v>115</v>
      </c>
      <c r="AN621" s="13" t="s">
        <v>1714</v>
      </c>
      <c r="AP621" s="31">
        <v>46067</v>
      </c>
      <c r="AR621" s="13">
        <v>265455806</v>
      </c>
      <c r="AS621" s="31">
        <v>46067</v>
      </c>
      <c r="AU621" s="31">
        <v>46087</v>
      </c>
      <c r="AV621" s="13" t="s">
        <v>865</v>
      </c>
      <c r="AW621" s="31">
        <v>46084</v>
      </c>
      <c r="AX621" s="13" t="str">
        <f>IF(ISNUMBER(SEARCH("cancel",#REF!)),"Cancelled",IF(AND(AS621&lt;&gt;"",AU621&lt;&gt;"",AW621&lt;&gt;""),"Closed","Open"))</f>
        <v>Closed</v>
      </c>
      <c r="AY621" s="15" t="str">
        <f t="shared" si="28"/>
        <v>All dates received</v>
      </c>
      <c r="BD621" s="13">
        <f>IF($AX621="Cancelled","",IFERROR(IF(OR(AS621="",AJ621=""),"",(AJ621+Variables!$B$18-AS621)),""))</f>
        <v>-2</v>
      </c>
      <c r="BE621" s="13">
        <f>IF($AX621="Cancelled","",IFERROR(IF(OR(AW621="",AS621=""),"",(AS621+Variables!$B$19)-AW621),""))</f>
        <v>-12</v>
      </c>
      <c r="BF621" s="44">
        <f>IF($AX621="Cancelled","",IFERROR(W621*INDEX(Variables!$B$7:$D$7,IFERROR(MATCH(IF($B621="Robusta","Robusta",(IF($B621="","Arabica",$B621))&amp;" - "&amp;(IF($C621="","Commercial",$C621))),Variables!$B$1:$D$1,0),1))*(BE621/365),""))</f>
        <v>-55.858010800175357</v>
      </c>
      <c r="BG621" s="44">
        <f>IF($AX621="Cancelled","",IFERROR((W621*INDEX(Variables!$B$7:$D$7,IFERROR(MATCH(IF($B621="Robusta","Robusta",(IF($B621="","Arabica",$B621))&amp;" - "&amp;(IF($C621="","Commercial",$C621))),Variables!$B$1:$D$1,0),1))*IFERROR(IF(AB621="","",(AVERAGE(E621:F621)-AB621)-Variables!$B$14),"")/365)+(L621/16.67*INDEX(Variables!$B$8:$D$8,IFERROR(MATCH(IF($B621="Robusta","Robusta",(IF($B621="","Arabica",$B621))&amp;" - "&amp;(IF($C621="","Commercial",$C621))),Variables!$B$1:$D$1,0),1))*IFERROR(IF(AB621="","",(AVERAGE(E621:F621)-AB621)-Variables!$B$14),""))+(W621*INDEX(Variables!$B$9:$D$9,IFERROR(MATCH(IF($B621="Robusta","Robusta",(IF($B621="","Arabica",$B621))&amp;" - "&amp;(IF($C621="","Commercial",$C621))),Variables!$B$1:$D$1,0),1))*IFERROR(IF(AB621="","",(AVERAGE(E621:F621)-AB621)-Variables!$B$14),"")/365),""))</f>
        <v>14.694043563371189</v>
      </c>
      <c r="BH621" s="44">
        <f>IF($AX621="Cancelled","",IFERROR((W621*INDEX(Variables!$B$7:$D$7,IFERROR(MATCH(IF($B621="Robusta","Robusta",(IF($B621="","Arabica",$B621))&amp;" - "&amp;(IF($C621="","Commercial",$C621))),Variables!$B$1:$D$1,0),1))*AK621/365)+(L621/16.67*INDEX(Variables!$B$8:$D$8,IFERROR(MATCH(IF($B621="Robusta","Robusta",(IF($B621="","Arabica",$B621))&amp;" - "&amp;(IF($C621="","Commercial",$C621))),Variables!$B$1:$D$1,0),1))*AK621)+(W621*INDEX(Variables!$B$9:$D$9,IFERROR(MATCH(IF($B621="Robusta","Robusta",(IF($B621="","Arabica",$B621))&amp;" - "&amp;(IF($C621="","Commercial",$C621))),Variables!$B$1:$D$1,0),1))*AK621/365),""))</f>
        <v>48.403908208752142</v>
      </c>
      <c r="BI621" s="44">
        <f>IF($AX621="Cancelled","",IFERROR((W621*INDEX(Variables!$B$7:$D$7,IFERROR(MATCH(IF($B621="Robusta","Robusta",(IF($B621="","Arabica",$B621))&amp;" - "&amp;(IF($C621="","Commercial",$C621))),Variables!$B$1:$D$1,0),1))*BD621/365)+(L621/16.67*INDEX(Variables!$B$8:$D$8,IFERROR(MATCH(IF($B621="Robusta","Robusta",(IF($B621="","Arabica",$B621))&amp;" - "&amp;(IF($C621="","Commercial",$C621))),Variables!$B$1:$D$1,0),1))*BD621)+(W621*INDEX(Variables!$B$9:$D$9,IFERROR(MATCH(IF($B621="Robusta","Robusta",(IF($B621="","Arabica",$B621))&amp;" - "&amp;(IF($C621="","Commercial",$C621))),Variables!$B$1:$D$1,0),1))*BD621/365),""))</f>
        <v>-13.829688059643471</v>
      </c>
      <c r="BJ621" s="44">
        <f t="shared" si="29"/>
        <v>-14</v>
      </c>
      <c r="BK621" s="44">
        <f>IF($AX621="Cancelled","",IFERROR(IF(BJ621="","",(W621*INDEX(Variables!$B$7:$D$7,IFERROR(MATCH(IF($B621="Robusta","Robusta",(IF($B621="","Arabica",$B621))&amp;" - "&amp;(IF($C621="","Commercial",$C621))),Variables!$B$1:$D$1,0),1))*(BJ621/365))+(W621*INDEX(Variables!$B$9:$D$9,IFERROR(MATCH(IF($B621="Robusta","Robusta",(IF($B621="","Arabica",$B621))&amp;" - "&amp;(IF($C621="","Commercial",$C621))),Variables!$B$1:$D$1,0),1))*(BJ621/365))+(INDEX(Variables!$B$8:$D$8,IFERROR(MATCH(IF($B621="Robusta","Robusta",(IF($B621="","Arabica",$B621))&amp;" - "&amp;(IF($C621="","Commercial",$C621))),Variables!$B$1:$D$1,0),1))*L621/16.67)),""))</f>
        <v>-63.807816417504299</v>
      </c>
    </row>
    <row r="622" spans="1:63">
      <c r="A622" s="13" t="s">
        <v>103</v>
      </c>
      <c r="B622" s="13" t="s">
        <v>104</v>
      </c>
      <c r="C622" s="13" t="s">
        <v>292</v>
      </c>
      <c r="D622" s="31">
        <v>46013</v>
      </c>
      <c r="E622" s="31">
        <v>46023</v>
      </c>
      <c r="F622" s="31">
        <v>46053</v>
      </c>
      <c r="G622" s="13">
        <v>3787070</v>
      </c>
      <c r="J622" s="13" t="s">
        <v>294</v>
      </c>
      <c r="K622" s="13" t="s">
        <v>1717</v>
      </c>
      <c r="L622" s="13">
        <v>25</v>
      </c>
      <c r="M622" s="13">
        <v>0</v>
      </c>
      <c r="N622" s="13" t="s">
        <v>1718</v>
      </c>
      <c r="O622" s="13" t="s">
        <v>771</v>
      </c>
      <c r="P622" s="13">
        <v>10010</v>
      </c>
      <c r="R622" s="13" t="s">
        <v>384</v>
      </c>
      <c r="S622" s="13" t="s">
        <v>299</v>
      </c>
      <c r="T622" s="13" t="s">
        <v>305</v>
      </c>
      <c r="U622" s="13" t="s">
        <v>125</v>
      </c>
      <c r="V622" s="13">
        <v>187</v>
      </c>
      <c r="W622" s="44">
        <f>IF($AX622="Cancelled","",IFERROR(((V622+INDEX(Variables!$B$6:$D$6,IFERROR(MATCH(IF($B622="Robusta","Robusta",(IF($B622="","Arabica",$B622))&amp;" - "&amp;(IF($C622="","Commercial",$C622))),Variables!$B$1:$D$1,0),1)))*22.0462)*(L622/16.67),""))</f>
        <v>15797.352069586079</v>
      </c>
      <c r="X622" s="55" t="s">
        <v>39</v>
      </c>
      <c r="Y622" s="13" t="str">
        <f>IF($AX622="Cancelled","",IF(X622="","",IFERROR(IF(INDEX(Variables!$B$38:$B$47,MATCH(X622,Variables!$A$38:$A$47,0))="Yes","Yes","No"),"No")))</f>
        <v>No</v>
      </c>
      <c r="Z622" s="31"/>
      <c r="AB622" s="31">
        <v>46005.875</v>
      </c>
      <c r="AC622" s="13" t="str">
        <f t="shared" si="27"/>
        <v>Approved</v>
      </c>
      <c r="AF622" s="71">
        <v>46041</v>
      </c>
      <c r="AG622" s="31">
        <f>IF($AX622="Cancelled","",IFERROR(IF(F622="","",F622-Variables!$B$13),""))</f>
        <v>46038</v>
      </c>
      <c r="AH622" s="13">
        <f>IF($AX622="Cancelled","",IFERROR(IF(AB622="","",(AVERAGE(E622:F622)-AB622)-Variables!$B$14),""))</f>
        <v>2.125</v>
      </c>
      <c r="AJ622" s="47">
        <v>46050</v>
      </c>
      <c r="AK622" s="14">
        <f>IF($AX622="Cancelled","",IFERROR(IF(AJ622="","",IF(AND(AB622="",AF622=""),"",IF(AF622&gt;AB622,AF622+Variables!$B$15+Variables!$B$16+Variables!$B$17-AJ622,AB622+Variables!$B$16+Variables!$B$17-AJ622))),""))</f>
        <v>6</v>
      </c>
      <c r="AL622" s="48" t="s">
        <v>114</v>
      </c>
      <c r="AM622" s="13" t="s">
        <v>115</v>
      </c>
      <c r="AN622" s="13" t="s">
        <v>1714</v>
      </c>
      <c r="AP622" s="31">
        <v>46067</v>
      </c>
      <c r="AR622" s="13">
        <v>265455806</v>
      </c>
      <c r="AS622" s="31">
        <v>46067</v>
      </c>
      <c r="AU622" s="31">
        <v>46087</v>
      </c>
      <c r="AV622" s="13" t="s">
        <v>865</v>
      </c>
      <c r="AW622" s="31">
        <v>46084</v>
      </c>
      <c r="AX622" s="13" t="str">
        <f>IF(ISNUMBER(SEARCH("cancel",#REF!)),"Cancelled",IF(AND(AS622&lt;&gt;"",AU622&lt;&gt;"",AW622&lt;&gt;""),"Closed","Open"))</f>
        <v>Closed</v>
      </c>
      <c r="AY622" s="15" t="str">
        <f t="shared" si="28"/>
        <v>All dates received</v>
      </c>
      <c r="BD622" s="13">
        <f>IF($AX622="Cancelled","",IFERROR(IF(OR(AS622="",AJ622=""),"",(AJ622+Variables!$B$18-AS622)),""))</f>
        <v>-2</v>
      </c>
      <c r="BE622" s="13">
        <f>IF($AX622="Cancelled","",IFERROR(IF(OR(AW622="",AS622=""),"",(AS622+Variables!$B$19)-AW622),""))</f>
        <v>-12</v>
      </c>
      <c r="BF622" s="44">
        <f>IF($AX622="Cancelled","",IFERROR(W622*INDEX(Variables!$B$7:$D$7,IFERROR(MATCH(IF($B622="Robusta","Robusta",(IF($B622="","Arabica",$B622))&amp;" - "&amp;(IF($C622="","Commercial",$C622))),Variables!$B$1:$D$1,0),1))*(BE622/365),""))</f>
        <v>-33.489797773856331</v>
      </c>
      <c r="BG622" s="44">
        <f>IF($AX622="Cancelled","",IFERROR((W622*INDEX(Variables!$B$7:$D$7,IFERROR(MATCH(IF($B622="Robusta","Robusta",(IF($B622="","Arabica",$B622))&amp;" - "&amp;(IF($C622="","Commercial",$C622))),Variables!$B$1:$D$1,0),1))*IFERROR(IF(AB622="","",(AVERAGE(E622:F622)-AB622)-Variables!$B$14),"")/365)+(L622/16.67*INDEX(Variables!$B$8:$D$8,IFERROR(MATCH(IF($B622="Robusta","Robusta",(IF($B622="","Arabica",$B622))&amp;" - "&amp;(IF($C622="","Commercial",$C622))),Variables!$B$1:$D$1,0),1))*IFERROR(IF(AB622="","",(AVERAGE(E622:F622)-AB622)-Variables!$B$14),""))+(W622*INDEX(Variables!$B$9:$D$9,IFERROR(MATCH(IF($B622="Robusta","Robusta",(IF($B622="","Arabica",$B622))&amp;" - "&amp;(IF($C622="","Commercial",$C622))),Variables!$B$1:$D$1,0),1))*IFERROR(IF(AB622="","",(AVERAGE(E622:F622)-AB622)-Variables!$B$14),"")/365),""))</f>
        <v>8.6631904194340663</v>
      </c>
      <c r="BH622" s="44">
        <f>IF($AX622="Cancelled","",IFERROR((W622*INDEX(Variables!$B$7:$D$7,IFERROR(MATCH(IF($B622="Robusta","Robusta",(IF($B622="","Arabica",$B622))&amp;" - "&amp;(IF($C622="","Commercial",$C622))),Variables!$B$1:$D$1,0),1))*AK622/365)+(L622/16.67*INDEX(Variables!$B$8:$D$8,IFERROR(MATCH(IF($B622="Robusta","Robusta",(IF($B622="","Arabica",$B622))&amp;" - "&amp;(IF($C622="","Commercial",$C622))),Variables!$B$1:$D$1,0),1))*AK622)+(W622*INDEX(Variables!$B$9:$D$9,IFERROR(MATCH(IF($B622="Robusta","Robusta",(IF($B622="","Arabica",$B622))&amp;" - "&amp;(IF($C622="","Commercial",$C622))),Variables!$B$1:$D$1,0),1))*AK622/365),""))</f>
        <v>24.460772948990311</v>
      </c>
      <c r="BI622" s="44">
        <f>IF($AX622="Cancelled","",IFERROR((W622*INDEX(Variables!$B$7:$D$7,IFERROR(MATCH(IF($B622="Robusta","Robusta",(IF($B622="","Arabica",$B622))&amp;" - "&amp;(IF($C622="","Commercial",$C622))),Variables!$B$1:$D$1,0),1))*BD622/365)+(L622/16.67*INDEX(Variables!$B$8:$D$8,IFERROR(MATCH(IF($B622="Robusta","Robusta",(IF($B622="","Arabica",$B622))&amp;" - "&amp;(IF($C622="","Commercial",$C622))),Variables!$B$1:$D$1,0),1))*BD622)+(W622*INDEX(Variables!$B$9:$D$9,IFERROR(MATCH(IF($B622="Robusta","Robusta",(IF($B622="","Arabica",$B622))&amp;" - "&amp;(IF($C622="","Commercial",$C622))),Variables!$B$1:$D$1,0),1))*BD622/365),""))</f>
        <v>-8.1535909829967697</v>
      </c>
      <c r="BJ622" s="44">
        <f t="shared" si="29"/>
        <v>-14</v>
      </c>
      <c r="BK622" s="44">
        <f>IF($AX622="Cancelled","",IFERROR(IF(BJ622="","",(W622*INDEX(Variables!$B$7:$D$7,IFERROR(MATCH(IF($B622="Robusta","Robusta",(IF($B622="","Arabica",$B622))&amp;" - "&amp;(IF($C622="","Commercial",$C622))),Variables!$B$1:$D$1,0),1))*(BJ622/365))+(W622*INDEX(Variables!$B$9:$D$9,IFERROR(MATCH(IF($B622="Robusta","Robusta",(IF($B622="","Arabica",$B622))&amp;" - "&amp;(IF($C622="","Commercial",$C622))),Variables!$B$1:$D$1,0),1))*(BJ622/365))+(INDEX(Variables!$B$8:$D$8,IFERROR(MATCH(IF($B622="Robusta","Robusta",(IF($B622="","Arabica",$B622))&amp;" - "&amp;(IF($C622="","Commercial",$C622))),Variables!$B$1:$D$1,0),1))*L622/16.67)),""))</f>
        <v>-38.325136880977382</v>
      </c>
    </row>
    <row r="623" spans="1:63">
      <c r="A623" s="13" t="s">
        <v>103</v>
      </c>
      <c r="B623" s="13" t="s">
        <v>104</v>
      </c>
      <c r="C623" s="13" t="s">
        <v>292</v>
      </c>
      <c r="D623" s="31">
        <v>46013</v>
      </c>
      <c r="E623" s="31">
        <v>46023</v>
      </c>
      <c r="F623" s="31">
        <v>46053</v>
      </c>
      <c r="G623" s="13">
        <v>3787071</v>
      </c>
      <c r="J623" s="13" t="s">
        <v>294</v>
      </c>
      <c r="K623" s="13" t="s">
        <v>1719</v>
      </c>
      <c r="L623" s="13">
        <v>20</v>
      </c>
      <c r="M623" s="13">
        <v>0</v>
      </c>
      <c r="N623" s="13" t="s">
        <v>1720</v>
      </c>
      <c r="O623" s="13" t="s">
        <v>771</v>
      </c>
      <c r="P623" s="13">
        <v>10020</v>
      </c>
      <c r="R623" s="13" t="s">
        <v>384</v>
      </c>
      <c r="S623" s="13" t="s">
        <v>299</v>
      </c>
      <c r="T623" s="13" t="s">
        <v>305</v>
      </c>
      <c r="U623" s="13" t="s">
        <v>125</v>
      </c>
      <c r="V623" s="13">
        <v>166</v>
      </c>
      <c r="W623" s="44">
        <f>IF($AX623="Cancelled","",IFERROR(((V623+INDEX(Variables!$B$6:$D$6,IFERROR(MATCH(IF($B623="Robusta","Robusta",(IF($B623="","Arabica",$B623))&amp;" - "&amp;(IF($C623="","Commercial",$C623))),Variables!$B$1:$D$1,0),1)))*22.0462)*(L623/16.67),""))</f>
        <v>12082.428506298738</v>
      </c>
      <c r="X623" s="55" t="s">
        <v>39</v>
      </c>
      <c r="Y623" s="13" t="str">
        <f>IF($AX623="Cancelled","",IF(X623="","",IFERROR(IF(INDEX(Variables!$B$38:$B$47,MATCH(X623,Variables!$A$38:$A$47,0))="Yes","Yes","No"),"No")))</f>
        <v>No</v>
      </c>
      <c r="Z623" s="31"/>
      <c r="AB623" s="31">
        <v>46005.875</v>
      </c>
      <c r="AC623" s="13" t="str">
        <f t="shared" si="27"/>
        <v>Approved</v>
      </c>
      <c r="AF623" s="71">
        <v>46041</v>
      </c>
      <c r="AG623" s="31">
        <f>IF($AX623="Cancelled","",IFERROR(IF(F623="","",F623-Variables!$B$13),""))</f>
        <v>46038</v>
      </c>
      <c r="AH623" s="13">
        <f>IF($AX623="Cancelled","",IFERROR(IF(AB623="","",(AVERAGE(E623:F623)-AB623)-Variables!$B$14),""))</f>
        <v>2.125</v>
      </c>
      <c r="AJ623" s="47">
        <v>46050</v>
      </c>
      <c r="AK623" s="14">
        <f>IF($AX623="Cancelled","",IFERROR(IF(AJ623="","",IF(AND(AB623="",AF623=""),"",IF(AF623&gt;AB623,AF623+Variables!$B$15+Variables!$B$16+Variables!$B$17-AJ623,AB623+Variables!$B$16+Variables!$B$17-AJ623))),""))</f>
        <v>6</v>
      </c>
      <c r="AL623" s="48" t="s">
        <v>114</v>
      </c>
      <c r="AM623" s="13" t="s">
        <v>115</v>
      </c>
      <c r="AN623" s="13" t="s">
        <v>1714</v>
      </c>
      <c r="AP623" s="31">
        <v>46067</v>
      </c>
      <c r="AR623" s="13">
        <v>265455806</v>
      </c>
      <c r="AS623" s="31">
        <v>46067</v>
      </c>
      <c r="AU623" s="31">
        <v>46087</v>
      </c>
      <c r="AV623" s="13" t="s">
        <v>865</v>
      </c>
      <c r="AW623" s="31">
        <v>46084</v>
      </c>
      <c r="AX623" s="13" t="str">
        <f>IF(ISNUMBER(SEARCH("cancel",#REF!)),"Cancelled",IF(AND(AS623&lt;&gt;"",AU623&lt;&gt;"",AW623&lt;&gt;""),"Closed","Open"))</f>
        <v>Closed</v>
      </c>
      <c r="AY623" s="15" t="str">
        <f t="shared" si="28"/>
        <v>All dates received</v>
      </c>
      <c r="BD623" s="13">
        <f>IF($AX623="Cancelled","",IFERROR(IF(OR(AS623="",AJ623=""),"",(AJ623+Variables!$B$18-AS623)),""))</f>
        <v>-2</v>
      </c>
      <c r="BE623" s="13">
        <f>IF($AX623="Cancelled","",IFERROR(IF(OR(AW623="",AS623=""),"",(AS623+Variables!$B$19)-AW623),""))</f>
        <v>-12</v>
      </c>
      <c r="BF623" s="44">
        <f>IF($AX623="Cancelled","",IFERROR(W623*INDEX(Variables!$B$7:$D$7,IFERROR(MATCH(IF($B623="Robusta","Robusta",(IF($B623="","Arabica",$B623))&amp;" - "&amp;(IF($C623="","Commercial",$C623))),Variables!$B$1:$D$1,0),1))*(BE623/365),""))</f>
        <v>-25.614298238756927</v>
      </c>
      <c r="BG623" s="44">
        <f>IF($AX623="Cancelled","",IFERROR((W623*INDEX(Variables!$B$7:$D$7,IFERROR(MATCH(IF($B623="Robusta","Robusta",(IF($B623="","Arabica",$B623))&amp;" - "&amp;(IF($C623="","Commercial",$C623))),Variables!$B$1:$D$1,0),1))*IFERROR(IF(AB623="","",(AVERAGE(E623:F623)-AB623)-Variables!$B$14),"")/365)+(L623/16.67*INDEX(Variables!$B$8:$D$8,IFERROR(MATCH(IF($B623="Robusta","Robusta",(IF($B623="","Arabica",$B623))&amp;" - "&amp;(IF($C623="","Commercial",$C623))),Variables!$B$1:$D$1,0),1))*IFERROR(IF(AB623="","",(AVERAGE(E623:F623)-AB623)-Variables!$B$14),""))+(W623*INDEX(Variables!$B$9:$D$9,IFERROR(MATCH(IF($B623="Robusta","Robusta",(IF($B623="","Arabica",$B623))&amp;" - "&amp;(IF($C623="","Commercial",$C623))),Variables!$B$1:$D$1,0),1))*IFERROR(IF(AB623="","",(AVERAGE(E623:F623)-AB623)-Variables!$B$14),"")/365),""))</f>
        <v>6.7193413706111045</v>
      </c>
      <c r="BH623" s="44">
        <f>IF($AX623="Cancelled","",IFERROR((W623*INDEX(Variables!$B$7:$D$7,IFERROR(MATCH(IF($B623="Robusta","Robusta",(IF($B623="","Arabica",$B623))&amp;" - "&amp;(IF($C623="","Commercial",$C623))),Variables!$B$1:$D$1,0),1))*AK623/365)+(L623/16.67*INDEX(Variables!$B$8:$D$8,IFERROR(MATCH(IF($B623="Robusta","Robusta",(IF($B623="","Arabica",$B623))&amp;" - "&amp;(IF($C623="","Commercial",$C623))),Variables!$B$1:$D$1,0),1))*AK623)+(W623*INDEX(Variables!$B$9:$D$9,IFERROR(MATCH(IF($B623="Robusta","Robusta",(IF($B623="","Arabica",$B623))&amp;" - "&amp;(IF($C623="","Commercial",$C623))),Variables!$B$1:$D$1,0),1))*AK623/365),""))</f>
        <v>18.972257987607826</v>
      </c>
      <c r="BI623" s="44">
        <f>IF($AX623="Cancelled","",IFERROR((W623*INDEX(Variables!$B$7:$D$7,IFERROR(MATCH(IF($B623="Robusta","Robusta",(IF($B623="","Arabica",$B623))&amp;" - "&amp;(IF($C623="","Commercial",$C623))),Variables!$B$1:$D$1,0),1))*BD623/365)+(L623/16.67*INDEX(Variables!$B$8:$D$8,IFERROR(MATCH(IF($B623="Robusta","Robusta",(IF($B623="","Arabica",$B623))&amp;" - "&amp;(IF($C623="","Commercial",$C623))),Variables!$B$1:$D$1,0),1))*BD623)+(W623*INDEX(Variables!$B$9:$D$9,IFERROR(MATCH(IF($B623="Robusta","Robusta",(IF($B623="","Arabica",$B623))&amp;" - "&amp;(IF($C623="","Commercial",$C623))),Variables!$B$1:$D$1,0),1))*BD623/365),""))</f>
        <v>-6.3240859958692752</v>
      </c>
      <c r="BJ623" s="44">
        <f t="shared" si="29"/>
        <v>-14</v>
      </c>
      <c r="BK623" s="44">
        <f>IF($AX623="Cancelled","",IFERROR(IF(BJ623="","",(W623*INDEX(Variables!$B$7:$D$7,IFERROR(MATCH(IF($B623="Robusta","Robusta",(IF($B623="","Arabica",$B623))&amp;" - "&amp;(IF($C623="","Commercial",$C623))),Variables!$B$1:$D$1,0),1))*(BJ623/365))+(W623*INDEX(Variables!$B$9:$D$9,IFERROR(MATCH(IF($B623="Robusta","Robusta",(IF($B623="","Arabica",$B623))&amp;" - "&amp;(IF($C623="","Commercial",$C623))),Variables!$B$1:$D$1,0),1))*(BJ623/365))+(INDEX(Variables!$B$8:$D$8,IFERROR(MATCH(IF($B623="Robusta","Robusta",(IF($B623="","Arabica",$B623))&amp;" - "&amp;(IF($C623="","Commercial",$C623))),Variables!$B$1:$D$1,0),1))*L623/16.67)),""))</f>
        <v>-29.268601971084927</v>
      </c>
    </row>
    <row r="624" spans="1:63">
      <c r="A624" s="13" t="s">
        <v>103</v>
      </c>
      <c r="B624" s="13" t="s">
        <v>104</v>
      </c>
      <c r="C624" s="13" t="s">
        <v>292</v>
      </c>
      <c r="D624" s="31">
        <v>46013</v>
      </c>
      <c r="E624" s="31">
        <v>46023</v>
      </c>
      <c r="F624" s="31">
        <v>46053</v>
      </c>
      <c r="G624" s="13">
        <v>3787072</v>
      </c>
      <c r="J624" s="13" t="s">
        <v>294</v>
      </c>
      <c r="K624" s="13" t="s">
        <v>1721</v>
      </c>
      <c r="L624" s="13">
        <v>10</v>
      </c>
      <c r="M624" s="13">
        <v>0</v>
      </c>
      <c r="N624" s="13" t="s">
        <v>1722</v>
      </c>
      <c r="O624" s="13" t="s">
        <v>1723</v>
      </c>
      <c r="P624" s="13">
        <v>10020</v>
      </c>
      <c r="R624" s="13" t="s">
        <v>384</v>
      </c>
      <c r="S624" s="13" t="s">
        <v>299</v>
      </c>
      <c r="T624" s="13" t="s">
        <v>305</v>
      </c>
      <c r="U624" s="13" t="s">
        <v>125</v>
      </c>
      <c r="V624" s="13">
        <v>154</v>
      </c>
      <c r="W624" s="44">
        <f>IF($AX624="Cancelled","",IFERROR(((V624+INDEX(Variables!$B$6:$D$6,IFERROR(MATCH(IF($B624="Robusta","Robusta",(IF($B624="","Arabica",$B624))&amp;" - "&amp;(IF($C624="","Commercial",$C624))),Variables!$B$1:$D$1,0),1)))*22.0462)*(L624/16.67),""))</f>
        <v>5882.5133533293338</v>
      </c>
      <c r="X624" s="55" t="s">
        <v>39</v>
      </c>
      <c r="Y624" s="13" t="str">
        <f>IF($AX624="Cancelled","",IF(X624="","",IFERROR(IF(INDEX(Variables!$B$38:$B$47,MATCH(X624,Variables!$A$38:$A$47,0))="Yes","Yes","No"),"No")))</f>
        <v>No</v>
      </c>
      <c r="Z624" s="31"/>
      <c r="AB624" s="31">
        <v>46005.875</v>
      </c>
      <c r="AC624" s="13" t="str">
        <f t="shared" si="27"/>
        <v>Approved</v>
      </c>
      <c r="AF624" s="71">
        <v>46041</v>
      </c>
      <c r="AG624" s="31">
        <f>IF($AX624="Cancelled","",IFERROR(IF(F624="","",F624-Variables!$B$13),""))</f>
        <v>46038</v>
      </c>
      <c r="AH624" s="13">
        <f>IF($AX624="Cancelled","",IFERROR(IF(AB624="","",(AVERAGE(E624:F624)-AB624)-Variables!$B$14),""))</f>
        <v>2.125</v>
      </c>
      <c r="AJ624" s="47">
        <v>46050</v>
      </c>
      <c r="AK624" s="14">
        <f>IF($AX624="Cancelled","",IFERROR(IF(AJ624="","",IF(AND(AB624="",AF624=""),"",IF(AF624&gt;AB624,AF624+Variables!$B$15+Variables!$B$16+Variables!$B$17-AJ624,AB624+Variables!$B$16+Variables!$B$17-AJ624))),""))</f>
        <v>6</v>
      </c>
      <c r="AL624" s="48" t="s">
        <v>114</v>
      </c>
      <c r="AM624" s="13" t="s">
        <v>115</v>
      </c>
      <c r="AN624" s="13" t="s">
        <v>1714</v>
      </c>
      <c r="AP624" s="31">
        <v>46067</v>
      </c>
      <c r="AR624" s="13">
        <v>265455806</v>
      </c>
      <c r="AS624" s="31">
        <v>46067</v>
      </c>
      <c r="AU624" s="31">
        <v>46087</v>
      </c>
      <c r="AV624" s="13" t="s">
        <v>865</v>
      </c>
      <c r="AW624" s="31">
        <v>46084</v>
      </c>
      <c r="AX624" s="13" t="str">
        <f>IF(ISNUMBER(SEARCH("cancel",#REF!)),"Cancelled",IF(AND(AS624&lt;&gt;"",AU624&lt;&gt;"",AW624&lt;&gt;""),"Closed","Open"))</f>
        <v>Closed</v>
      </c>
      <c r="AY624" s="15" t="str">
        <f t="shared" si="28"/>
        <v>All dates received</v>
      </c>
      <c r="BD624" s="13">
        <f>IF($AX624="Cancelled","",IFERROR(IF(OR(AS624="",AJ624=""),"",(AJ624+Variables!$B$18-AS624)),""))</f>
        <v>-2</v>
      </c>
      <c r="BE624" s="13">
        <f>IF($AX624="Cancelled","",IFERROR(IF(OR(AW624="",AS624=""),"",(AS624+Variables!$B$19)-AW624),""))</f>
        <v>-12</v>
      </c>
      <c r="BF624" s="44">
        <f>IF($AX624="Cancelled","",IFERROR(W624*INDEX(Variables!$B$7:$D$7,IFERROR(MATCH(IF($B624="Robusta","Robusta",(IF($B624="","Arabica",$B624))&amp;" - "&amp;(IF($C624="","Commercial",$C624))),Variables!$B$1:$D$1,0),1))*(BE624/365),""))</f>
        <v>-12.470709124998994</v>
      </c>
      <c r="BG624" s="44">
        <f>IF($AX624="Cancelled","",IFERROR((W624*INDEX(Variables!$B$7:$D$7,IFERROR(MATCH(IF($B624="Robusta","Robusta",(IF($B624="","Arabica",$B624))&amp;" - "&amp;(IF($C624="","Commercial",$C624))),Variables!$B$1:$D$1,0),1))*IFERROR(IF(AB624="","",(AVERAGE(E624:F624)-AB624)-Variables!$B$14),"")/365)+(L624/16.67*INDEX(Variables!$B$8:$D$8,IFERROR(MATCH(IF($B624="Robusta","Robusta",(IF($B624="","Arabica",$B624))&amp;" - "&amp;(IF($C624="","Commercial",$C624))),Variables!$B$1:$D$1,0),1))*IFERROR(IF(AB624="","",(AVERAGE(E624:F624)-AB624)-Variables!$B$14),""))+(W624*INDEX(Variables!$B$9:$D$9,IFERROR(MATCH(IF($B624="Robusta","Robusta",(IF($B624="","Arabica",$B624))&amp;" - "&amp;(IF($C624="","Commercial",$C624))),Variables!$B$1:$D$1,0),1))*IFERROR(IF(AB624="","",(AVERAGE(E624:F624)-AB624)-Variables!$B$14),"")/365),""))</f>
        <v>3.2993246953237954</v>
      </c>
      <c r="BH624" s="44">
        <f>IF($AX624="Cancelled","",IFERROR((W624*INDEX(Variables!$B$7:$D$7,IFERROR(MATCH(IF($B624="Robusta","Robusta",(IF($B624="","Arabica",$B624))&amp;" - "&amp;(IF($C624="","Commercial",$C624))),Variables!$B$1:$D$1,0),1))*AK624/365)+(L624/16.67*INDEX(Variables!$B$8:$D$8,IFERROR(MATCH(IF($B624="Robusta","Robusta",(IF($B624="","Arabica",$B624))&amp;" - "&amp;(IF($C624="","Commercial",$C624))),Variables!$B$1:$D$1,0),1))*AK624)+(W624*INDEX(Variables!$B$9:$D$9,IFERROR(MATCH(IF($B624="Robusta","Robusta",(IF($B624="","Arabica",$B624))&amp;" - "&amp;(IF($C624="","Commercial",$C624))),Variables!$B$1:$D$1,0),1))*AK624/365),""))</f>
        <v>9.3157403162083643</v>
      </c>
      <c r="BI624" s="44">
        <f>IF($AX624="Cancelled","",IFERROR((W624*INDEX(Variables!$B$7:$D$7,IFERROR(MATCH(IF($B624="Robusta","Robusta",(IF($B624="","Arabica",$B624))&amp;" - "&amp;(IF($C624="","Commercial",$C624))),Variables!$B$1:$D$1,0),1))*BD624/365)+(L624/16.67*INDEX(Variables!$B$8:$D$8,IFERROR(MATCH(IF($B624="Robusta","Robusta",(IF($B624="","Arabica",$B624))&amp;" - "&amp;(IF($C624="","Commercial",$C624))),Variables!$B$1:$D$1,0),1))*BD624)+(W624*INDEX(Variables!$B$9:$D$9,IFERROR(MATCH(IF($B624="Robusta","Robusta",(IF($B624="","Arabica",$B624))&amp;" - "&amp;(IF($C624="","Commercial",$C624))),Variables!$B$1:$D$1,0),1))*BD624/365),""))</f>
        <v>-3.1052467720694543</v>
      </c>
      <c r="BJ624" s="44">
        <f t="shared" si="29"/>
        <v>-14</v>
      </c>
      <c r="BK624" s="44">
        <f>IF($AX624="Cancelled","",IFERROR(IF(BJ624="","",(W624*INDEX(Variables!$B$7:$D$7,IFERROR(MATCH(IF($B624="Robusta","Robusta",(IF($B624="","Arabica",$B624))&amp;" - "&amp;(IF($C624="","Commercial",$C624))),Variables!$B$1:$D$1,0),1))*(BJ624/365))+(W624*INDEX(Variables!$B$9:$D$9,IFERROR(MATCH(IF($B624="Robusta","Robusta",(IF($B624="","Arabica",$B624))&amp;" - "&amp;(IF($C624="","Commercial",$C624))),Variables!$B$1:$D$1,0),1))*(BJ624/365))+(INDEX(Variables!$B$8:$D$8,IFERROR(MATCH(IF($B624="Robusta","Robusta",(IF($B624="","Arabica",$B624))&amp;" - "&amp;(IF($C624="","Commercial",$C624))),Variables!$B$1:$D$1,0),1))*L624/16.67)),""))</f>
        <v>-14.236727404486182</v>
      </c>
    </row>
    <row r="625" spans="1:63">
      <c r="A625" s="13" t="s">
        <v>103</v>
      </c>
      <c r="B625" s="13" t="s">
        <v>104</v>
      </c>
      <c r="C625" s="13" t="s">
        <v>292</v>
      </c>
      <c r="D625" s="31">
        <v>46013</v>
      </c>
      <c r="E625" s="31">
        <v>46023</v>
      </c>
      <c r="F625" s="31">
        <v>46053</v>
      </c>
      <c r="G625" s="13">
        <v>3787073</v>
      </c>
      <c r="J625" s="13" t="s">
        <v>294</v>
      </c>
      <c r="K625" s="13" t="s">
        <v>1724</v>
      </c>
      <c r="L625" s="13">
        <v>22</v>
      </c>
      <c r="M625" s="13">
        <v>0</v>
      </c>
      <c r="N625" s="13" t="s">
        <v>1725</v>
      </c>
      <c r="O625" s="13" t="s">
        <v>297</v>
      </c>
      <c r="P625" s="13">
        <v>10020</v>
      </c>
      <c r="R625" s="13" t="s">
        <v>384</v>
      </c>
      <c r="S625" s="13" t="s">
        <v>299</v>
      </c>
      <c r="T625" s="13" t="s">
        <v>305</v>
      </c>
      <c r="U625" s="13" t="s">
        <v>125</v>
      </c>
      <c r="V625" s="13">
        <v>147</v>
      </c>
      <c r="W625" s="44">
        <f>IF($AX625="Cancelled","",IFERROR(((V625+INDEX(Variables!$B$6:$D$6,IFERROR(MATCH(IF($B625="Robusta","Robusta",(IF($B625="","Arabica",$B625))&amp;" - "&amp;(IF($C625="","Commercial",$C625))),Variables!$B$1:$D$1,0),1)))*22.0462)*(L625/16.67),""))</f>
        <v>12737.863222555487</v>
      </c>
      <c r="X625" s="55" t="s">
        <v>39</v>
      </c>
      <c r="Y625" s="13" t="str">
        <f>IF($AX625="Cancelled","",IF(X625="","",IFERROR(IF(INDEX(Variables!$B$38:$B$47,MATCH(X625,Variables!$A$38:$A$47,0))="Yes","Yes","No"),"No")))</f>
        <v>No</v>
      </c>
      <c r="Z625" s="31"/>
      <c r="AB625" s="31">
        <v>46005.875</v>
      </c>
      <c r="AC625" s="13" t="str">
        <f t="shared" si="27"/>
        <v>Approved</v>
      </c>
      <c r="AF625" s="71">
        <v>46041</v>
      </c>
      <c r="AG625" s="31">
        <f>IF($AX625="Cancelled","",IFERROR(IF(F625="","",F625-Variables!$B$13),""))</f>
        <v>46038</v>
      </c>
      <c r="AH625" s="13">
        <f>IF($AX625="Cancelled","",IFERROR(IF(AB625="","",(AVERAGE(E625:F625)-AB625)-Variables!$B$14),""))</f>
        <v>2.125</v>
      </c>
      <c r="AJ625" s="47">
        <v>46050</v>
      </c>
      <c r="AK625" s="14">
        <f>IF($AX625="Cancelled","",IFERROR(IF(AJ625="","",IF(AND(AB625="",AF625=""),"",IF(AF625&gt;AB625,AF625+Variables!$B$15+Variables!$B$16+Variables!$B$17-AJ625,AB625+Variables!$B$16+Variables!$B$17-AJ625))),""))</f>
        <v>6</v>
      </c>
      <c r="AL625" s="48" t="s">
        <v>114</v>
      </c>
      <c r="AM625" s="13" t="s">
        <v>115</v>
      </c>
      <c r="AN625" s="13" t="s">
        <v>1714</v>
      </c>
      <c r="AP625" s="31">
        <v>46067</v>
      </c>
      <c r="AR625" s="13">
        <v>265455806</v>
      </c>
      <c r="AS625" s="31">
        <v>46067</v>
      </c>
      <c r="AU625" s="31">
        <v>46087</v>
      </c>
      <c r="AV625" s="13" t="s">
        <v>865</v>
      </c>
      <c r="AW625" s="31">
        <v>46084</v>
      </c>
      <c r="AX625" s="13" t="str">
        <f>IF(ISNUMBER(SEARCH("cancel",#REF!)),"Cancelled",IF(AND(AS625&lt;&gt;"",AU625&lt;&gt;"",AW625&lt;&gt;""),"Closed","Open"))</f>
        <v>Closed</v>
      </c>
      <c r="AY625" s="15" t="str">
        <f t="shared" si="28"/>
        <v>All dates received</v>
      </c>
      <c r="BD625" s="13">
        <f>IF($AX625="Cancelled","",IFERROR(IF(OR(AS625="",AJ625=""),"",(AJ625+Variables!$B$18-AS625)),""))</f>
        <v>-2</v>
      </c>
      <c r="BE625" s="13">
        <f>IF($AX625="Cancelled","",IFERROR(IF(OR(AW625="",AS625=""),"",(AS625+Variables!$B$19)-AW625),""))</f>
        <v>-12</v>
      </c>
      <c r="BF625" s="44">
        <f>IF($AX625="Cancelled","",IFERROR(W625*INDEX(Variables!$B$7:$D$7,IFERROR(MATCH(IF($B625="Robusta","Robusta",(IF($B625="","Arabica",$B625))&amp;" - "&amp;(IF($C625="","Commercial",$C625))),Variables!$B$1:$D$1,0),1))*(BE625/365),""))</f>
        <v>-27.003795415544133</v>
      </c>
      <c r="BG625" s="44">
        <f>IF($AX625="Cancelled","",IFERROR((W625*INDEX(Variables!$B$7:$D$7,IFERROR(MATCH(IF($B625="Robusta","Robusta",(IF($B625="","Arabica",$B625))&amp;" - "&amp;(IF($C625="","Commercial",$C625))),Variables!$B$1:$D$1,0),1))*IFERROR(IF(AB625="","",(AVERAGE(E625:F625)-AB625)-Variables!$B$14),"")/365)+(L625/16.67*INDEX(Variables!$B$8:$D$8,IFERROR(MATCH(IF($B625="Robusta","Robusta",(IF($B625="","Arabica",$B625))&amp;" - "&amp;(IF($C625="","Commercial",$C625))),Variables!$B$1:$D$1,0),1))*IFERROR(IF(AB625="","",(AVERAGE(E625:F625)-AB625)-Variables!$B$14),""))+(W625*INDEX(Variables!$B$9:$D$9,IFERROR(MATCH(IF($B625="Robusta","Robusta",(IF($B625="","Arabica",$B625))&amp;" - "&amp;(IF($C625="","Commercial",$C625))),Variables!$B$1:$D$1,0),1))*IFERROR(IF(AB625="","",(AVERAGE(E625:F625)-AB625)-Variables!$B$14),"")/365),""))</f>
        <v>7.1810703092357615</v>
      </c>
      <c r="BH625" s="44">
        <f>IF($AX625="Cancelled","",IFERROR((W625*INDEX(Variables!$B$7:$D$7,IFERROR(MATCH(IF($B625="Robusta","Robusta",(IF($B625="","Arabica",$B625))&amp;" - "&amp;(IF($C625="","Commercial",$C625))),Variables!$B$1:$D$1,0),1))*AK625/365)+(L625/16.67*INDEX(Variables!$B$8:$D$8,IFERROR(MATCH(IF($B625="Robusta","Robusta",(IF($B625="","Arabica",$B625))&amp;" - "&amp;(IF($C625="","Commercial",$C625))),Variables!$B$1:$D$1,0),1))*AK625)+(W625*INDEX(Variables!$B$9:$D$9,IFERROR(MATCH(IF($B625="Robusta","Robusta",(IF($B625="","Arabica",$B625))&amp;" - "&amp;(IF($C625="","Commercial",$C625))),Variables!$B$1:$D$1,0),1))*AK625/365),""))</f>
        <v>20.275963226077444</v>
      </c>
      <c r="BI625" s="44">
        <f>IF($AX625="Cancelled","",IFERROR((W625*INDEX(Variables!$B$7:$D$7,IFERROR(MATCH(IF($B625="Robusta","Robusta",(IF($B625="","Arabica",$B625))&amp;" - "&amp;(IF($C625="","Commercial",$C625))),Variables!$B$1:$D$1,0),1))*BD625/365)+(L625/16.67*INDEX(Variables!$B$8:$D$8,IFERROR(MATCH(IF($B625="Robusta","Robusta",(IF($B625="","Arabica",$B625))&amp;" - "&amp;(IF($C625="","Commercial",$C625))),Variables!$B$1:$D$1,0),1))*BD625)+(W625*INDEX(Variables!$B$9:$D$9,IFERROR(MATCH(IF($B625="Robusta","Robusta",(IF($B625="","Arabica",$B625))&amp;" - "&amp;(IF($C625="","Commercial",$C625))),Variables!$B$1:$D$1,0),1))*BD625/365),""))</f>
        <v>-6.7586544086924807</v>
      </c>
      <c r="BJ625" s="44">
        <f t="shared" si="29"/>
        <v>-14</v>
      </c>
      <c r="BK625" s="44">
        <f>IF($AX625="Cancelled","",IFERROR(IF(BJ625="","",(W625*INDEX(Variables!$B$7:$D$7,IFERROR(MATCH(IF($B625="Robusta","Robusta",(IF($B625="","Arabica",$B625))&amp;" - "&amp;(IF($C625="","Commercial",$C625))),Variables!$B$1:$D$1,0),1))*(BJ625/365))+(W625*INDEX(Variables!$B$9:$D$9,IFERROR(MATCH(IF($B625="Robusta","Robusta",(IF($B625="","Arabica",$B625))&amp;" - "&amp;(IF($C625="","Commercial",$C625))),Variables!$B$1:$D$1,0),1))*(BJ625/365))+(INDEX(Variables!$B$8:$D$8,IFERROR(MATCH(IF($B625="Robusta","Robusta",(IF($B625="","Arabica",$B625))&amp;" - "&amp;(IF($C625="","Commercial",$C625))),Variables!$B$1:$D$1,0),1))*L625/16.67)),""))</f>
        <v>-30.810580860847367</v>
      </c>
    </row>
    <row r="626" spans="1:63">
      <c r="A626" s="13" t="s">
        <v>103</v>
      </c>
      <c r="B626" s="13" t="s">
        <v>104</v>
      </c>
      <c r="C626" s="13" t="s">
        <v>292</v>
      </c>
      <c r="D626" s="31">
        <v>46013</v>
      </c>
      <c r="E626" s="31">
        <v>46023</v>
      </c>
      <c r="F626" s="31">
        <v>46053</v>
      </c>
      <c r="G626" s="13">
        <v>3787074</v>
      </c>
      <c r="J626" s="13" t="s">
        <v>294</v>
      </c>
      <c r="K626" s="13" t="s">
        <v>1726</v>
      </c>
      <c r="L626" s="13">
        <v>40</v>
      </c>
      <c r="M626" s="13">
        <v>0</v>
      </c>
      <c r="N626" s="13" t="s">
        <v>1727</v>
      </c>
      <c r="O626" s="13" t="s">
        <v>771</v>
      </c>
      <c r="P626" s="13">
        <v>10010</v>
      </c>
      <c r="R626" s="13" t="s">
        <v>384</v>
      </c>
      <c r="S626" s="13" t="s">
        <v>299</v>
      </c>
      <c r="T626" s="13" t="s">
        <v>305</v>
      </c>
      <c r="U626" s="13" t="s">
        <v>125</v>
      </c>
      <c r="V626" s="13">
        <v>182</v>
      </c>
      <c r="W626" s="44">
        <f>IF($AX626="Cancelled","",IFERROR(((V626+INDEX(Variables!$B$6:$D$6,IFERROR(MATCH(IF($B626="Robusta","Robusta",(IF($B626="","Arabica",$B626))&amp;" - "&amp;(IF($C626="","Commercial",$C626))),Variables!$B$1:$D$1,0),1)))*22.0462)*(L626/16.67),""))</f>
        <v>25011.261811637669</v>
      </c>
      <c r="X626" s="55" t="s">
        <v>39</v>
      </c>
      <c r="Y626" s="13" t="str">
        <f>IF($AX626="Cancelled","",IF(X626="","",IFERROR(IF(INDEX(Variables!$B$38:$B$47,MATCH(X626,Variables!$A$38:$A$47,0))="Yes","Yes","No"),"No")))</f>
        <v>No</v>
      </c>
      <c r="Z626" s="31"/>
      <c r="AB626" s="31">
        <v>46005.875</v>
      </c>
      <c r="AC626" s="13" t="str">
        <f t="shared" si="27"/>
        <v>Approved</v>
      </c>
      <c r="AF626" s="71">
        <v>46041</v>
      </c>
      <c r="AG626" s="31">
        <f>IF($AX626="Cancelled","",IFERROR(IF(F626="","",F626-Variables!$B$13),""))</f>
        <v>46038</v>
      </c>
      <c r="AH626" s="13">
        <f>IF($AX626="Cancelled","",IFERROR(IF(AB626="","",(AVERAGE(E626:F626)-AB626)-Variables!$B$14),""))</f>
        <v>2.125</v>
      </c>
      <c r="AJ626" s="47">
        <v>46050</v>
      </c>
      <c r="AK626" s="14">
        <f>IF($AX626="Cancelled","",IFERROR(IF(AJ626="","",IF(AND(AB626="",AF626=""),"",IF(AF626&gt;AB626,AF626+Variables!$B$15+Variables!$B$16+Variables!$B$17-AJ626,AB626+Variables!$B$16+Variables!$B$17-AJ626))),""))</f>
        <v>6</v>
      </c>
      <c r="AL626" s="48" t="s">
        <v>114</v>
      </c>
      <c r="AM626" s="13" t="s">
        <v>115</v>
      </c>
      <c r="AN626" s="13" t="s">
        <v>1714</v>
      </c>
      <c r="AP626" s="31">
        <v>46067</v>
      </c>
      <c r="AR626" s="13">
        <v>265455806</v>
      </c>
      <c r="AS626" s="31">
        <v>46067</v>
      </c>
      <c r="AU626" s="31">
        <v>46087</v>
      </c>
      <c r="AV626" s="13" t="s">
        <v>865</v>
      </c>
      <c r="AW626" s="31">
        <v>46084</v>
      </c>
      <c r="AX626" s="13" t="str">
        <f>IF(ISNUMBER(SEARCH("cancel",#REF!)),"Cancelled",IF(AND(AS626&lt;&gt;"",AU626&lt;&gt;"",AW626&lt;&gt;""),"Closed","Open"))</f>
        <v>Closed</v>
      </c>
      <c r="AY626" s="15" t="str">
        <f t="shared" si="28"/>
        <v>All dates received</v>
      </c>
      <c r="BD626" s="13">
        <f>IF($AX626="Cancelled","",IFERROR(IF(OR(AS626="",AJ626=""),"",(AJ626+Variables!$B$18-AS626)),""))</f>
        <v>-2</v>
      </c>
      <c r="BE626" s="13">
        <f>IF($AX626="Cancelled","",IFERROR(IF(OR(AW626="",AS626=""),"",(AS626+Variables!$B$19)-AW626),""))</f>
        <v>-12</v>
      </c>
      <c r="BF626" s="44">
        <f>IF($AX626="Cancelled","",IFERROR(W626*INDEX(Variables!$B$7:$D$7,IFERROR(MATCH(IF($B626="Robusta","Robusta",(IF($B626="","Arabica",$B626))&amp;" - "&amp;(IF($C626="","Commercial",$C626))),Variables!$B$1:$D$1,0),1))*(BE626/365),""))</f>
        <v>-53.022943114204352</v>
      </c>
      <c r="BG626" s="44">
        <f>IF($AX626="Cancelled","",IFERROR((W626*INDEX(Variables!$B$7:$D$7,IFERROR(MATCH(IF($B626="Robusta","Robusta",(IF($B626="","Arabica",$B626))&amp;" - "&amp;(IF($C626="","Commercial",$C626))),Variables!$B$1:$D$1,0),1))*IFERROR(IF(AB626="","",(AVERAGE(E626:F626)-AB626)-Variables!$B$14),"")/365)+(L626/16.67*INDEX(Variables!$B$8:$D$8,IFERROR(MATCH(IF($B626="Robusta","Robusta",(IF($B626="","Arabica",$B626))&amp;" - "&amp;(IF($C626="","Commercial",$C626))),Variables!$B$1:$D$1,0),1))*IFERROR(IF(AB626="","",(AVERAGE(E626:F626)-AB626)-Variables!$B$14),""))+(W626*INDEX(Variables!$B$9:$D$9,IFERROR(MATCH(IF($B626="Robusta","Robusta",(IF($B626="","Arabica",$B626))&amp;" - "&amp;(IF($C626="","Commercial",$C626))),Variables!$B$1:$D$1,0),1))*IFERROR(IF(AB626="","",(AVERAGE(E626:F626)-AB626)-Variables!$B$14),"")/365),""))</f>
        <v>13.760528021124914</v>
      </c>
      <c r="BH626" s="44">
        <f>IF($AX626="Cancelled","",IFERROR((W626*INDEX(Variables!$B$7:$D$7,IFERROR(MATCH(IF($B626="Robusta","Robusta",(IF($B626="","Arabica",$B626))&amp;" - "&amp;(IF($C626="","Commercial",$C626))),Variables!$B$1:$D$1,0),1))*AK626/365)+(L626/16.67*INDEX(Variables!$B$8:$D$8,IFERROR(MATCH(IF($B626="Robusta","Robusta",(IF($B626="","Arabica",$B626))&amp;" - "&amp;(IF($C626="","Commercial",$C626))),Variables!$B$1:$D$1,0),1))*AK626)+(W626*INDEX(Variables!$B$9:$D$9,IFERROR(MATCH(IF($B626="Robusta","Robusta",(IF($B626="","Arabica",$B626))&amp;" - "&amp;(IF($C626="","Commercial",$C626))),Variables!$B$1:$D$1,0),1))*AK626/365),""))</f>
        <v>38.853255589058584</v>
      </c>
      <c r="BI626" s="44">
        <f>IF($AX626="Cancelled","",IFERROR((W626*INDEX(Variables!$B$7:$D$7,IFERROR(MATCH(IF($B626="Robusta","Robusta",(IF($B626="","Arabica",$B626))&amp;" - "&amp;(IF($C626="","Commercial",$C626))),Variables!$B$1:$D$1,0),1))*BD626/365)+(L626/16.67*INDEX(Variables!$B$8:$D$8,IFERROR(MATCH(IF($B626="Robusta","Robusta",(IF($B626="","Arabica",$B626))&amp;" - "&amp;(IF($C626="","Commercial",$C626))),Variables!$B$1:$D$1,0),1))*BD626)+(W626*INDEX(Variables!$B$9:$D$9,IFERROR(MATCH(IF($B626="Robusta","Robusta",(IF($B626="","Arabica",$B626))&amp;" - "&amp;(IF($C626="","Commercial",$C626))),Variables!$B$1:$D$1,0),1))*BD626/365),""))</f>
        <v>-12.95108519635286</v>
      </c>
      <c r="BJ626" s="44">
        <f t="shared" si="29"/>
        <v>-14</v>
      </c>
      <c r="BK626" s="44">
        <f>IF($AX626="Cancelled","",IFERROR(IF(BJ626="","",(W626*INDEX(Variables!$B$7:$D$7,IFERROR(MATCH(IF($B626="Robusta","Robusta",(IF($B626="","Arabica",$B626))&amp;" - "&amp;(IF($C626="","Commercial",$C626))),Variables!$B$1:$D$1,0),1))*(BJ626/365))+(W626*INDEX(Variables!$B$9:$D$9,IFERROR(MATCH(IF($B626="Robusta","Robusta",(IF($B626="","Arabica",$B626))&amp;" - "&amp;(IF($C626="","Commercial",$C626))),Variables!$B$1:$D$1,0),1))*(BJ626/365))+(INDEX(Variables!$B$8:$D$8,IFERROR(MATCH(IF($B626="Robusta","Robusta",(IF($B626="","Arabica",$B626))&amp;" - "&amp;(IF($C626="","Commercial",$C626))),Variables!$B$1:$D$1,0),1))*L626/16.67)),""))</f>
        <v>-60.657596374470018</v>
      </c>
    </row>
    <row r="627" spans="1:63">
      <c r="A627" s="13" t="s">
        <v>103</v>
      </c>
      <c r="B627" s="13" t="s">
        <v>104</v>
      </c>
      <c r="C627" s="13" t="s">
        <v>292</v>
      </c>
      <c r="D627" s="31">
        <v>46013</v>
      </c>
      <c r="E627" s="31">
        <v>46023</v>
      </c>
      <c r="F627" s="31">
        <v>46053</v>
      </c>
      <c r="G627" s="13">
        <v>3787075</v>
      </c>
      <c r="J627" s="13" t="s">
        <v>294</v>
      </c>
      <c r="K627" s="13" t="s">
        <v>1728</v>
      </c>
      <c r="L627" s="13">
        <v>6</v>
      </c>
      <c r="M627" s="13">
        <v>0</v>
      </c>
      <c r="N627" s="13" t="s">
        <v>1729</v>
      </c>
      <c r="O627" s="13" t="s">
        <v>771</v>
      </c>
      <c r="P627" s="13">
        <v>10010</v>
      </c>
      <c r="R627" s="13" t="s">
        <v>384</v>
      </c>
      <c r="S627" s="13" t="s">
        <v>299</v>
      </c>
      <c r="T627" s="13" t="s">
        <v>305</v>
      </c>
      <c r="U627" s="13" t="s">
        <v>125</v>
      </c>
      <c r="V627" s="13">
        <v>167</v>
      </c>
      <c r="W627" s="44">
        <f>IF($AX627="Cancelled","",IFERROR(((V627+INDEX(Variables!$B$6:$D$6,IFERROR(MATCH(IF($B627="Robusta","Robusta",(IF($B627="","Arabica",$B627))&amp;" - "&amp;(IF($C627="","Commercial",$C627))),Variables!$B$1:$D$1,0),1)))*22.0462)*(L627/16.67),""))</f>
        <v>3632.6635968806231</v>
      </c>
      <c r="X627" s="55" t="s">
        <v>39</v>
      </c>
      <c r="Y627" s="13" t="str">
        <f>IF($AX627="Cancelled","",IF(X627="","",IFERROR(IF(INDEX(Variables!$B$38:$B$47,MATCH(X627,Variables!$A$38:$A$47,0))="Yes","Yes","No"),"No")))</f>
        <v>No</v>
      </c>
      <c r="Z627" s="31"/>
      <c r="AB627" s="31">
        <v>46005.875</v>
      </c>
      <c r="AC627" s="13" t="str">
        <f t="shared" si="27"/>
        <v>Approved</v>
      </c>
      <c r="AF627" s="71">
        <v>46042</v>
      </c>
      <c r="AG627" s="31">
        <f>IF($AX627="Cancelled","",IFERROR(IF(F627="","",F627-Variables!$B$13),""))</f>
        <v>46038</v>
      </c>
      <c r="AH627" s="13">
        <f>IF($AX627="Cancelled","",IFERROR(IF(AB627="","",(AVERAGE(E627:F627)-AB627)-Variables!$B$14),""))</f>
        <v>2.125</v>
      </c>
      <c r="AJ627" s="47">
        <v>46050</v>
      </c>
      <c r="AK627" s="14">
        <f>IF($AX627="Cancelled","",IFERROR(IF(AJ627="","",IF(AND(AB627="",AF627=""),"",IF(AF627&gt;AB627,AF627+Variables!$B$15+Variables!$B$16+Variables!$B$17-AJ627,AB627+Variables!$B$16+Variables!$B$17-AJ627))),""))</f>
        <v>7</v>
      </c>
      <c r="AL627" s="48" t="s">
        <v>114</v>
      </c>
      <c r="AM627" s="13" t="s">
        <v>115</v>
      </c>
      <c r="AN627" s="13" t="s">
        <v>1714</v>
      </c>
      <c r="AP627" s="31">
        <v>46067</v>
      </c>
      <c r="AR627" s="13">
        <v>265455806</v>
      </c>
      <c r="AS627" s="31">
        <v>46067</v>
      </c>
      <c r="AU627" s="31">
        <v>46087</v>
      </c>
      <c r="AV627" s="13" t="s">
        <v>865</v>
      </c>
      <c r="AW627" s="31">
        <v>46084</v>
      </c>
      <c r="AX627" s="13" t="str">
        <f>IF(ISNUMBER(SEARCH("cancel",#REF!)),"Cancelled",IF(AND(AS627&lt;&gt;"",AU627&lt;&gt;"",AW627&lt;&gt;""),"Closed","Open"))</f>
        <v>Closed</v>
      </c>
      <c r="AY627" s="15" t="str">
        <f t="shared" si="28"/>
        <v>All dates received</v>
      </c>
      <c r="BD627" s="13">
        <f>IF($AX627="Cancelled","",IFERROR(IF(OR(AS627="",AJ627=""),"",(AJ627+Variables!$B$18-AS627)),""))</f>
        <v>-2</v>
      </c>
      <c r="BE627" s="13">
        <f>IF($AX627="Cancelled","",IFERROR(IF(OR(AW627="",AS627=""),"",(AS627+Variables!$B$19)-AW627),""))</f>
        <v>-12</v>
      </c>
      <c r="BF627" s="44">
        <f>IF($AX627="Cancelled","",IFERROR(W627*INDEX(Variables!$B$7:$D$7,IFERROR(MATCH(IF($B627="Robusta","Robusta",(IF($B627="","Arabica",$B627))&amp;" - "&amp;(IF($C627="","Commercial",$C627))),Variables!$B$1:$D$1,0),1))*(BE627/365),""))</f>
        <v>-7.7011114713460502</v>
      </c>
      <c r="BG627" s="44">
        <f>IF($AX627="Cancelled","",IFERROR((W627*INDEX(Variables!$B$7:$D$7,IFERROR(MATCH(IF($B627="Robusta","Robusta",(IF($B627="","Arabica",$B627))&amp;" - "&amp;(IF($C627="","Commercial",$C627))),Variables!$B$1:$D$1,0),1))*IFERROR(IF(AB627="","",(AVERAGE(E627:F627)-AB627)-Variables!$B$14),"")/365)+(L627/16.67*INDEX(Variables!$B$8:$D$8,IFERROR(MATCH(IF($B627="Robusta","Robusta",(IF($B627="","Arabica",$B627))&amp;" - "&amp;(IF($C627="","Commercial",$C627))),Variables!$B$1:$D$1,0),1))*IFERROR(IF(AB627="","",(AVERAGE(E627:F627)-AB627)-Variables!$B$14),""))+(W627*INDEX(Variables!$B$9:$D$9,IFERROR(MATCH(IF($B627="Robusta","Robusta",(IF($B627="","Arabica",$B627))&amp;" - "&amp;(IF($C627="","Commercial",$C627))),Variables!$B$1:$D$1,0),1))*IFERROR(IF(AB627="","",(AVERAGE(E627:F627)-AB627)-Variables!$B$14),"")/365),""))</f>
        <v>2.0188197106824193</v>
      </c>
      <c r="BH627" s="44">
        <f>IF($AX627="Cancelled","",IFERROR((W627*INDEX(Variables!$B$7:$D$7,IFERROR(MATCH(IF($B627="Robusta","Robusta",(IF($B627="","Arabica",$B627))&amp;" - "&amp;(IF($C627="","Commercial",$C627))),Variables!$B$1:$D$1,0),1))*AK627/365)+(L627/16.67*INDEX(Variables!$B$8:$D$8,IFERROR(MATCH(IF($B627="Robusta","Robusta",(IF($B627="","Arabica",$B627))&amp;" - "&amp;(IF($C627="","Commercial",$C627))),Variables!$B$1:$D$1,0),1))*AK627)+(W627*INDEX(Variables!$B$9:$D$9,IFERROR(MATCH(IF($B627="Robusta","Robusta",(IF($B627="","Arabica",$B627))&amp;" - "&amp;(IF($C627="","Commercial",$C627))),Variables!$B$1:$D$1,0),1))*AK627/365),""))</f>
        <v>6.6502296351891461</v>
      </c>
      <c r="BI627" s="44">
        <f>IF($AX627="Cancelled","",IFERROR((W627*INDEX(Variables!$B$7:$D$7,IFERROR(MATCH(IF($B627="Robusta","Robusta",(IF($B627="","Arabica",$B627))&amp;" - "&amp;(IF($C627="","Commercial",$C627))),Variables!$B$1:$D$1,0),1))*BD627/365)+(L627/16.67*INDEX(Variables!$B$8:$D$8,IFERROR(MATCH(IF($B627="Robusta","Robusta",(IF($B627="","Arabica",$B627))&amp;" - "&amp;(IF($C627="","Commercial",$C627))),Variables!$B$1:$D$1,0),1))*BD627)+(W627*INDEX(Variables!$B$9:$D$9,IFERROR(MATCH(IF($B627="Robusta","Robusta",(IF($B627="","Arabica",$B627))&amp;" - "&amp;(IF($C627="","Commercial",$C627))),Variables!$B$1:$D$1,0),1))*BD627/365),""))</f>
        <v>-1.9000656100540414</v>
      </c>
      <c r="BJ627" s="44">
        <f t="shared" si="29"/>
        <v>-14</v>
      </c>
      <c r="BK627" s="44">
        <f>IF($AX627="Cancelled","",IFERROR(IF(BJ627="","",(W627*INDEX(Variables!$B$7:$D$7,IFERROR(MATCH(IF($B627="Robusta","Robusta",(IF($B627="","Arabica",$B627))&amp;" - "&amp;(IF($C627="","Commercial",$C627))),Variables!$B$1:$D$1,0),1))*(BJ627/365))+(W627*INDEX(Variables!$B$9:$D$9,IFERROR(MATCH(IF($B627="Robusta","Robusta",(IF($B627="","Arabica",$B627))&amp;" - "&amp;(IF($C627="","Commercial",$C627))),Variables!$B$1:$D$1,0),1))*(BJ627/365))+(INDEX(Variables!$B$8:$D$8,IFERROR(MATCH(IF($B627="Robusta","Robusta",(IF($B627="","Arabica",$B627))&amp;" - "&amp;(IF($C627="","Commercial",$C627))),Variables!$B$1:$D$1,0),1))*L627/16.67)),""))</f>
        <v>-8.8004592703782905</v>
      </c>
    </row>
    <row r="628" spans="1:63">
      <c r="A628" s="13" t="s">
        <v>103</v>
      </c>
      <c r="B628" s="13" t="s">
        <v>104</v>
      </c>
      <c r="C628" s="13" t="s">
        <v>105</v>
      </c>
      <c r="D628" s="31">
        <v>46014</v>
      </c>
      <c r="E628" s="31">
        <v>46054</v>
      </c>
      <c r="F628" s="31">
        <v>46081</v>
      </c>
      <c r="G628" s="13">
        <v>3787076</v>
      </c>
      <c r="H628" s="13" t="s">
        <v>1730</v>
      </c>
      <c r="J628" s="13" t="s">
        <v>1731</v>
      </c>
      <c r="K628" s="13">
        <v>5401</v>
      </c>
      <c r="L628" s="13">
        <v>320</v>
      </c>
      <c r="M628" s="13">
        <v>1</v>
      </c>
      <c r="N628" s="13" t="s">
        <v>1732</v>
      </c>
      <c r="O628" s="13" t="s">
        <v>261</v>
      </c>
      <c r="P628" s="13">
        <v>10060</v>
      </c>
      <c r="R628" s="13" t="s">
        <v>239</v>
      </c>
      <c r="S628" s="13" t="s">
        <v>180</v>
      </c>
      <c r="T628" s="13" t="s">
        <v>181</v>
      </c>
      <c r="U628" s="13" t="s">
        <v>182</v>
      </c>
      <c r="V628" s="13">
        <v>26</v>
      </c>
      <c r="W628" s="44">
        <f>IF($AX628="Cancelled","",IFERROR(((V628+INDEX(Variables!$B$6:$D$6,IFERROR(MATCH(IF($B628="Robusta","Robusta",(IF($B628="","Arabica",$B628))&amp;" - "&amp;(IF($C628="","Commercial",$C628))),Variables!$B$1:$D$1,0),1)))*22.0462)*(L628/16.67),""))</f>
        <v>134070.52016796637</v>
      </c>
      <c r="X628" s="55" t="s">
        <v>37</v>
      </c>
      <c r="Y628" s="13" t="str">
        <f>IF($AX628="Cancelled","",IF(X628="","",IFERROR(IF(INDEX(Variables!$B$38:$B$47,MATCH(X628,Variables!$A$38:$A$47,0))="Yes","Yes","No"),"No")))</f>
        <v>Yes</v>
      </c>
      <c r="Z628" s="58">
        <v>46031</v>
      </c>
      <c r="AC628" s="13" t="str">
        <f t="shared" si="27"/>
        <v/>
      </c>
      <c r="AF628" s="71">
        <v>46057</v>
      </c>
      <c r="AG628" s="37">
        <f>IF($AX628="Cancelled","",IFERROR(IF(F628="","",F628-Variables!$B$13),""))</f>
        <v>46066</v>
      </c>
      <c r="AH628" s="13" t="str">
        <f>IF($AX628="Cancelled","",IFERROR(IF(AB628="","",(AVERAGE(E628:F628)-AB628)-Variables!$B$14),""))</f>
        <v/>
      </c>
      <c r="AJ628" s="47">
        <v>46059</v>
      </c>
      <c r="AK628" s="14">
        <f>IF($AX628="Cancelled","",IFERROR(IF(AJ628="","",IF(AND(AB628="",AF628=""),"",IF(AF628&gt;AB628,AF628+Variables!$B$15+Variables!$B$16+Variables!$B$17-AJ628,AB628+Variables!$B$16+Variables!$B$17-AJ628))),""))</f>
        <v>13</v>
      </c>
      <c r="AL628" s="48" t="s">
        <v>114</v>
      </c>
      <c r="AM628" s="13" t="s">
        <v>168</v>
      </c>
      <c r="AN628" s="13" t="s">
        <v>1733</v>
      </c>
      <c r="AP628" s="31">
        <v>46071</v>
      </c>
      <c r="AR628" s="13" t="s">
        <v>1734</v>
      </c>
      <c r="AS628" s="31">
        <v>46071</v>
      </c>
      <c r="AU628" s="31">
        <v>46090</v>
      </c>
      <c r="AV628" s="13" t="s">
        <v>865</v>
      </c>
      <c r="AW628" s="31">
        <v>46090</v>
      </c>
      <c r="AX628" s="13" t="str">
        <f>IF(ISNUMBER(SEARCH("cancel",#REF!)),"Cancelled",IF(AND(AS628&lt;&gt;"",AU628&lt;&gt;"",AW628&lt;&gt;""),"Closed","Open"))</f>
        <v>Closed</v>
      </c>
      <c r="AY628" s="15" t="str">
        <f t="shared" si="28"/>
        <v>All dates received</v>
      </c>
      <c r="BD628" s="13">
        <f>IF($AX628="Cancelled","",IFERROR(IF(OR(AS628="",AJ628=""),"",(AJ628+Variables!$B$18-AS628)),""))</f>
        <v>3</v>
      </c>
      <c r="BE628" s="13">
        <f>IF($AX628="Cancelled","",IFERROR(IF(OR(AW628="",AS628=""),"",(AS628+Variables!$B$19)-AW628),""))</f>
        <v>-14</v>
      </c>
      <c r="BF628" s="44">
        <f>IF($AX628="Cancelled","",IFERROR(W628*INDEX(Variables!$B$7:$D$7,IFERROR(MATCH(IF($B628="Robusta","Robusta",(IF($B628="","Arabica",$B628))&amp;" - "&amp;(IF($C628="","Commercial",$C628))),Variables!$B$1:$D$1,0),1))*(BE628/365),""))</f>
        <v>-331.59525846040492</v>
      </c>
      <c r="BG628" s="44" t="str">
        <f>IF($AX628="Cancelled","",IFERROR((W628*INDEX(Variables!$B$7:$D$7,IFERROR(MATCH(IF($B628="Robusta","Robusta",(IF($B628="","Arabica",$B628))&amp;" - "&amp;(IF($C628="","Commercial",$C628))),Variables!$B$1:$D$1,0),1))*IFERROR(IF(AB628="","",(AVERAGE(E628:F628)-AB628)-Variables!$B$14),"")/365)+(L628/16.67*INDEX(Variables!$B$8:$D$8,IFERROR(MATCH(IF($B628="Robusta","Robusta",(IF($B628="","Arabica",$B628))&amp;" - "&amp;(IF($C628="","Commercial",$C628))),Variables!$B$1:$D$1,0),1))*IFERROR(IF(AB628="","",(AVERAGE(E628:F628)-AB628)-Variables!$B$14),""))+(W628*INDEX(Variables!$B$9:$D$9,IFERROR(MATCH(IF($B628="Robusta","Robusta",(IF($B628="","Arabica",$B628))&amp;" - "&amp;(IF($C628="","Commercial",$C628))),Variables!$B$1:$D$1,0),1))*IFERROR(IF(AB628="","",(AVERAGE(E628:F628)-AB628)-Variables!$B$14),"")/365),""))</f>
        <v/>
      </c>
      <c r="BH628" s="44">
        <f>IF($AX628="Cancelled","",IFERROR((W628*INDEX(Variables!$B$7:$D$7,IFERROR(MATCH(IF($B628="Robusta","Robusta",(IF($B628="","Arabica",$B628))&amp;" - "&amp;(IF($C628="","Commercial",$C628))),Variables!$B$1:$D$1,0),1))*AK628/365)+(L628/16.67*INDEX(Variables!$B$8:$D$8,IFERROR(MATCH(IF($B628="Robusta","Robusta",(IF($B628="","Arabica",$B628))&amp;" - "&amp;(IF($C628="","Commercial",$C628))),Variables!$B$1:$D$1,0),1))*AK628)+(W628*INDEX(Variables!$B$9:$D$9,IFERROR(MATCH(IF($B628="Robusta","Robusta",(IF($B628="","Arabica",$B628))&amp;" - "&amp;(IF($C628="","Commercial",$C628))),Variables!$B$1:$D$1,0),1))*AK628/365),""))</f>
        <v>519.87943547089355</v>
      </c>
      <c r="BI628" s="44">
        <f>IF($AX628="Cancelled","",IFERROR((W628*INDEX(Variables!$B$7:$D$7,IFERROR(MATCH(IF($B628="Robusta","Robusta",(IF($B628="","Arabica",$B628))&amp;" - "&amp;(IF($C628="","Commercial",$C628))),Variables!$B$1:$D$1,0),1))*BD628/365)+(L628/16.67*INDEX(Variables!$B$8:$D$8,IFERROR(MATCH(IF($B628="Robusta","Robusta",(IF($B628="","Arabica",$B628))&amp;" - "&amp;(IF($C628="","Commercial",$C628))),Variables!$B$1:$D$1,0),1))*BD628)+(W628*INDEX(Variables!$B$9:$D$9,IFERROR(MATCH(IF($B628="Robusta","Robusta",(IF($B628="","Arabica",$B628))&amp;" - "&amp;(IF($C628="","Commercial",$C628))),Variables!$B$1:$D$1,0),1))*BD628/365),""))</f>
        <v>119.97217741636004</v>
      </c>
      <c r="BJ628" s="44">
        <f t="shared" si="29"/>
        <v>10</v>
      </c>
      <c r="BK628" s="44">
        <f>IF($AX628="Cancelled","",IFERROR(IF(BJ628="","",(W628*INDEX(Variables!$B$7:$D$7,IFERROR(MATCH(IF($B628="Robusta","Robusta",(IF($B628="","Arabica",$B628))&amp;" - "&amp;(IF($C628="","Commercial",$C628))),Variables!$B$1:$D$1,0),1))*(BJ628/365))+(W628*INDEX(Variables!$B$9:$D$9,IFERROR(MATCH(IF($B628="Robusta","Robusta",(IF($B628="","Arabica",$B628))&amp;" - "&amp;(IF($C628="","Commercial",$C628))),Variables!$B$1:$D$1,0),1))*(BJ628/365))+(INDEX(Variables!$B$8:$D$8,IFERROR(MATCH(IF($B628="Robusta","Robusta",(IF($B628="","Arabica",$B628))&amp;" - "&amp;(IF($C628="","Commercial",$C628))),Variables!$B$1:$D$1,0),1))*L628/16.67)),""))</f>
        <v>255.90725805453349</v>
      </c>
    </row>
    <row r="629" spans="1:63">
      <c r="A629" s="13" t="s">
        <v>103</v>
      </c>
      <c r="B629" s="13" t="s">
        <v>104</v>
      </c>
      <c r="C629" s="13" t="s">
        <v>292</v>
      </c>
      <c r="D629" s="31">
        <v>46014</v>
      </c>
      <c r="E629" s="31">
        <v>46023</v>
      </c>
      <c r="F629" s="31">
        <v>46053</v>
      </c>
      <c r="G629" s="13">
        <v>3787077</v>
      </c>
      <c r="J629" s="13" t="s">
        <v>1735</v>
      </c>
      <c r="K629" s="13" t="s">
        <v>1736</v>
      </c>
      <c r="L629" s="13">
        <v>138</v>
      </c>
      <c r="M629" s="13">
        <v>1</v>
      </c>
      <c r="N629" s="13" t="s">
        <v>1737</v>
      </c>
      <c r="O629" s="13" t="s">
        <v>261</v>
      </c>
      <c r="P629" s="13">
        <v>10060</v>
      </c>
      <c r="R629" s="13" t="s">
        <v>671</v>
      </c>
      <c r="S629" s="13" t="s">
        <v>1738</v>
      </c>
      <c r="T629" s="13" t="s">
        <v>1739</v>
      </c>
      <c r="U629" s="13" t="s">
        <v>182</v>
      </c>
      <c r="V629" s="23">
        <v>49</v>
      </c>
      <c r="W629" s="44">
        <f>IF($AX629="Cancelled","",IFERROR(((V629+INDEX(Variables!$B$6:$D$6,IFERROR(MATCH(IF($B629="Robusta","Robusta",(IF($B629="","Arabica",$B629))&amp;" - "&amp;(IF($C629="","Commercial",$C629))),Variables!$B$1:$D$1,0),1)))*22.0462)*(L629/16.67),""))</f>
        <v>62015.550622675451</v>
      </c>
      <c r="Y629" s="13" t="str">
        <f>IF($AX629="Cancelled","",IF(X629="","",IFERROR(IF(INDEX(Variables!$B$38:$B$47,MATCH(X629,Variables!$A$38:$A$47,0))="Yes","Yes","No"),"No")))</f>
        <v/>
      </c>
      <c r="Z629" s="31"/>
      <c r="AC629" s="13" t="str">
        <f t="shared" si="27"/>
        <v/>
      </c>
      <c r="AF629" s="71">
        <v>46084</v>
      </c>
      <c r="AG629" s="31">
        <f>IF($AX629="Cancelled","",IFERROR(IF(F629="","",F629-Variables!$B$13),""))</f>
        <v>46038</v>
      </c>
      <c r="AH629" s="13" t="str">
        <f>IF($AX629="Cancelled","",IFERROR(IF(AB629="","",(AVERAGE(E629:F629)-AB629)-Variables!$B$14),""))</f>
        <v/>
      </c>
      <c r="AJ629" s="47">
        <v>46092</v>
      </c>
      <c r="AK629" s="14">
        <f>IF($AX629="Cancelled","",IFERROR(IF(AJ629="","",IF(AND(AB629="",AF629=""),"",IF(AF629&gt;AB629,AF629+Variables!$B$15+Variables!$B$16+Variables!$B$17-AJ629,AB629+Variables!$B$16+Variables!$B$17-AJ629))),""))</f>
        <v>7</v>
      </c>
      <c r="AL629" s="48" t="s">
        <v>114</v>
      </c>
      <c r="AM629" s="13" t="s">
        <v>183</v>
      </c>
      <c r="AN629" s="13" t="s">
        <v>1740</v>
      </c>
      <c r="AP629" s="31">
        <v>46111</v>
      </c>
      <c r="AR629" s="50">
        <v>321600000900</v>
      </c>
      <c r="AS629" s="31">
        <v>46111</v>
      </c>
      <c r="AU629" s="31">
        <v>46128</v>
      </c>
      <c r="AV629" s="13" t="s">
        <v>1741</v>
      </c>
      <c r="AW629" s="31">
        <v>46129</v>
      </c>
      <c r="AX629" s="13" t="str">
        <f>IF(ISNUMBER(SEARCH("cancel",#REF!)),"Cancelled",IF(AND(AS629&lt;&gt;"",AU629&lt;&gt;"",AW629&lt;&gt;""),"Closed","Open"))</f>
        <v>Closed</v>
      </c>
      <c r="AY629" s="15" t="str">
        <f t="shared" si="28"/>
        <v>All dates received</v>
      </c>
      <c r="BD629" s="13">
        <f>IF($AX629="Cancelled","",IFERROR(IF(OR(AS629="",AJ629=""),"",(AJ629+Variables!$B$18-AS629)),""))</f>
        <v>-4</v>
      </c>
      <c r="BE629" s="13">
        <f>IF($AX629="Cancelled","",IFERROR(IF(OR(AW629="",AS629=""),"",(AS629+Variables!$B$19)-AW629),""))</f>
        <v>-13</v>
      </c>
      <c r="BF629" s="44">
        <f>IF($AX629="Cancelled","",IFERROR(W629*INDEX(Variables!$B$7:$D$7,IFERROR(MATCH(IF($B629="Robusta","Robusta",(IF($B629="","Arabica",$B629))&amp;" - "&amp;(IF($C629="","Commercial",$C629))),Variables!$B$1:$D$1,0),1))*(BE629/365),""))</f>
        <v>-142.42654465397064</v>
      </c>
      <c r="BG629" s="44" t="str">
        <f>IF($AX629="Cancelled","",IFERROR((W629*INDEX(Variables!$B$7:$D$7,IFERROR(MATCH(IF($B629="Robusta","Robusta",(IF($B629="","Arabica",$B629))&amp;" - "&amp;(IF($C629="","Commercial",$C629))),Variables!$B$1:$D$1,0),1))*IFERROR(IF(AB629="","",(AVERAGE(E629:F629)-AB629)-Variables!$B$14),"")/365)+(L629/16.67*INDEX(Variables!$B$8:$D$8,IFERROR(MATCH(IF($B629="Robusta","Robusta",(IF($B629="","Arabica",$B629))&amp;" - "&amp;(IF($C629="","Commercial",$C629))),Variables!$B$1:$D$1,0),1))*IFERROR(IF(AB629="","",(AVERAGE(E629:F629)-AB629)-Variables!$B$14),""))+(W629*INDEX(Variables!$B$9:$D$9,IFERROR(MATCH(IF($B629="Robusta","Robusta",(IF($B629="","Arabica",$B629))&amp;" - "&amp;(IF($C629="","Commercial",$C629))),Variables!$B$1:$D$1,0),1))*IFERROR(IF(AB629="","",(AVERAGE(E629:F629)-AB629)-Variables!$B$14),"")/365),""))</f>
        <v/>
      </c>
      <c r="BH629" s="44">
        <f>IF($AX629="Cancelled","",IFERROR((W629*INDEX(Variables!$B$7:$D$7,IFERROR(MATCH(IF($B629="Robusta","Robusta",(IF($B629="","Arabica",$B629))&amp;" - "&amp;(IF($C629="","Commercial",$C629))),Variables!$B$1:$D$1,0),1))*AK629/365)+(L629/16.67*INDEX(Variables!$B$8:$D$8,IFERROR(MATCH(IF($B629="Robusta","Robusta",(IF($B629="","Arabica",$B629))&amp;" - "&amp;(IF($C629="","Commercial",$C629))),Variables!$B$1:$D$1,0),1))*AK629)+(W629*INDEX(Variables!$B$9:$D$9,IFERROR(MATCH(IF($B629="Robusta","Robusta",(IF($B629="","Arabica",$B629))&amp;" - "&amp;(IF($C629="","Commercial",$C629))),Variables!$B$1:$D$1,0),1))*AK629/365),""))</f>
        <v>125.97991413468162</v>
      </c>
      <c r="BI629" s="44">
        <f>IF($AX629="Cancelled","",IFERROR((W629*INDEX(Variables!$B$7:$D$7,IFERROR(MATCH(IF($B629="Robusta","Robusta",(IF($B629="","Arabica",$B629))&amp;" - "&amp;(IF($C629="","Commercial",$C629))),Variables!$B$1:$D$1,0),1))*BD629/365)+(L629/16.67*INDEX(Variables!$B$8:$D$8,IFERROR(MATCH(IF($B629="Robusta","Robusta",(IF($B629="","Arabica",$B629))&amp;" - "&amp;(IF($C629="","Commercial",$C629))),Variables!$B$1:$D$1,0),1))*BD629)+(W629*INDEX(Variables!$B$9:$D$9,IFERROR(MATCH(IF($B629="Robusta","Robusta",(IF($B629="","Arabica",$B629))&amp;" - "&amp;(IF($C629="","Commercial",$C629))),Variables!$B$1:$D$1,0),1))*BD629/365),""))</f>
        <v>-71.988522362675212</v>
      </c>
      <c r="BJ629" s="44">
        <f t="shared" si="29"/>
        <v>-58</v>
      </c>
      <c r="BK629" s="44">
        <f>IF($AX629="Cancelled","",IFERROR(IF(BJ629="","",(W629*INDEX(Variables!$B$7:$D$7,IFERROR(MATCH(IF($B629="Robusta","Robusta",(IF($B629="","Arabica",$B629))&amp;" - "&amp;(IF($C629="","Commercial",$C629))),Variables!$B$1:$D$1,0),1))*(BJ629/365))+(W629*INDEX(Variables!$B$9:$D$9,IFERROR(MATCH(IF($B629="Robusta","Robusta",(IF($B629="","Arabica",$B629))&amp;" - "&amp;(IF($C629="","Commercial",$C629))),Variables!$B$1:$D$1,0),1))*(BJ629/365))+(INDEX(Variables!$B$8:$D$8,IFERROR(MATCH(IF($B629="Robusta","Robusta",(IF($B629="","Arabica",$B629))&amp;" - "&amp;(IF($C629="","Commercial",$C629))),Variables!$B$1:$D$1,0),1))*L629/16.67)),""))</f>
        <v>-636.73357425879067</v>
      </c>
    </row>
    <row r="630" spans="1:63">
      <c r="A630" s="13" t="s">
        <v>103</v>
      </c>
      <c r="B630" s="13" t="s">
        <v>104</v>
      </c>
      <c r="C630" s="13" t="s">
        <v>292</v>
      </c>
      <c r="D630" s="31">
        <v>46014</v>
      </c>
      <c r="E630" s="31">
        <v>46023</v>
      </c>
      <c r="F630" s="31">
        <v>46053</v>
      </c>
      <c r="G630" s="13">
        <v>3787078</v>
      </c>
      <c r="J630" s="13" t="s">
        <v>1735</v>
      </c>
      <c r="K630" s="13" t="s">
        <v>1742</v>
      </c>
      <c r="L630" s="13">
        <v>88</v>
      </c>
      <c r="M630" s="13">
        <v>0</v>
      </c>
      <c r="N630" s="13" t="s">
        <v>1743</v>
      </c>
      <c r="O630" s="13" t="s">
        <v>261</v>
      </c>
      <c r="P630" s="13">
        <v>10060</v>
      </c>
      <c r="R630" s="13" t="s">
        <v>671</v>
      </c>
      <c r="S630" s="13" t="s">
        <v>1738</v>
      </c>
      <c r="T630" s="13" t="s">
        <v>1739</v>
      </c>
      <c r="U630" s="13" t="s">
        <v>182</v>
      </c>
      <c r="V630" s="23">
        <v>49</v>
      </c>
      <c r="W630" s="44">
        <f>IF($AX630="Cancelled","",IFERROR(((V630+INDEX(Variables!$B$6:$D$6,IFERROR(MATCH(IF($B630="Robusta","Robusta",(IF($B630="","Arabica",$B630))&amp;" - "&amp;(IF($C630="","Commercial",$C630))),Variables!$B$1:$D$1,0),1)))*22.0462)*(L630/16.67),""))</f>
        <v>39546.14822315536</v>
      </c>
      <c r="Y630" s="13" t="str">
        <f>IF($AX630="Cancelled","",IF(X630="","",IFERROR(IF(INDEX(Variables!$B$38:$B$47,MATCH(X630,Variables!$A$38:$A$47,0))="Yes","Yes","No"),"No")))</f>
        <v/>
      </c>
      <c r="Z630" s="31"/>
      <c r="AC630" s="13" t="str">
        <f t="shared" si="27"/>
        <v/>
      </c>
      <c r="AF630" s="71">
        <v>46084</v>
      </c>
      <c r="AG630" s="31">
        <f>IF($AX630="Cancelled","",IFERROR(IF(F630="","",F630-Variables!$B$13),""))</f>
        <v>46038</v>
      </c>
      <c r="AH630" s="13" t="str">
        <f>IF($AX630="Cancelled","",IFERROR(IF(AB630="","",(AVERAGE(E630:F630)-AB630)-Variables!$B$14),""))</f>
        <v/>
      </c>
      <c r="AJ630" s="47">
        <v>46092</v>
      </c>
      <c r="AK630" s="14">
        <f>IF($AX630="Cancelled","",IFERROR(IF(AJ630="","",IF(AND(AB630="",AF630=""),"",IF(AF630&gt;AB630,AF630+Variables!$B$15+Variables!$B$16+Variables!$B$17-AJ630,AB630+Variables!$B$16+Variables!$B$17-AJ630))),""))</f>
        <v>7</v>
      </c>
      <c r="AL630" s="48" t="s">
        <v>114</v>
      </c>
      <c r="AM630" s="13" t="s">
        <v>183</v>
      </c>
      <c r="AN630" s="13" t="s">
        <v>1740</v>
      </c>
      <c r="AP630" s="31">
        <v>46111</v>
      </c>
      <c r="AR630" s="50">
        <v>321600000900</v>
      </c>
      <c r="AS630" s="31">
        <v>46111</v>
      </c>
      <c r="AU630" s="31">
        <v>46128</v>
      </c>
      <c r="AV630" s="13" t="s">
        <v>1741</v>
      </c>
      <c r="AW630" s="31">
        <v>46129</v>
      </c>
      <c r="AX630" s="13" t="str">
        <f>IF(ISNUMBER(SEARCH("cancel",#REF!)),"Cancelled",IF(AND(AS630&lt;&gt;"",AU630&lt;&gt;"",AW630&lt;&gt;""),"Closed","Open"))</f>
        <v>Closed</v>
      </c>
      <c r="AY630" s="15" t="str">
        <f t="shared" si="28"/>
        <v>All dates received</v>
      </c>
      <c r="BD630" s="13">
        <f>IF($AX630="Cancelled","",IFERROR(IF(OR(AS630="",AJ630=""),"",(AJ630+Variables!$B$18-AS630)),""))</f>
        <v>-4</v>
      </c>
      <c r="BE630" s="13">
        <f>IF($AX630="Cancelled","",IFERROR(IF(OR(AW630="",AS630=""),"",(AS630+Variables!$B$19)-AW630),""))</f>
        <v>-13</v>
      </c>
      <c r="BF630" s="44">
        <f>IF($AX630="Cancelled","",IFERROR(W630*INDEX(Variables!$B$7:$D$7,IFERROR(MATCH(IF($B630="Robusta","Robusta",(IF($B630="","Arabica",$B630))&amp;" - "&amp;(IF($C630="","Commercial",$C630))),Variables!$B$1:$D$1,0),1))*(BE630/365),""))</f>
        <v>-90.822724127169678</v>
      </c>
      <c r="BG630" s="44" t="str">
        <f>IF($AX630="Cancelled","",IFERROR((W630*INDEX(Variables!$B$7:$D$7,IFERROR(MATCH(IF($B630="Robusta","Robusta",(IF($B630="","Arabica",$B630))&amp;" - "&amp;(IF($C630="","Commercial",$C630))),Variables!$B$1:$D$1,0),1))*IFERROR(IF(AB630="","",(AVERAGE(E630:F630)-AB630)-Variables!$B$14),"")/365)+(L630/16.67*INDEX(Variables!$B$8:$D$8,IFERROR(MATCH(IF($B630="Robusta","Robusta",(IF($B630="","Arabica",$B630))&amp;" - "&amp;(IF($C630="","Commercial",$C630))),Variables!$B$1:$D$1,0),1))*IFERROR(IF(AB630="","",(AVERAGE(E630:F630)-AB630)-Variables!$B$14),""))+(W630*INDEX(Variables!$B$9:$D$9,IFERROR(MATCH(IF($B630="Robusta","Robusta",(IF($B630="","Arabica",$B630))&amp;" - "&amp;(IF($C630="","Commercial",$C630))),Variables!$B$1:$D$1,0),1))*IFERROR(IF(AB630="","",(AVERAGE(E630:F630)-AB630)-Variables!$B$14),"")/365),""))</f>
        <v/>
      </c>
      <c r="BH630" s="44">
        <f>IF($AX630="Cancelled","",IFERROR((W630*INDEX(Variables!$B$7:$D$7,IFERROR(MATCH(IF($B630="Robusta","Robusta",(IF($B630="","Arabica",$B630))&amp;" - "&amp;(IF($C630="","Commercial",$C630))),Variables!$B$1:$D$1,0),1))*AK630/365)+(L630/16.67*INDEX(Variables!$B$8:$D$8,IFERROR(MATCH(IF($B630="Robusta","Robusta",(IF($B630="","Arabica",$B630))&amp;" - "&amp;(IF($C630="","Commercial",$C630))),Variables!$B$1:$D$1,0),1))*AK630)+(W630*INDEX(Variables!$B$9:$D$9,IFERROR(MATCH(IF($B630="Robusta","Robusta",(IF($B630="","Arabica",$B630))&amp;" - "&amp;(IF($C630="","Commercial",$C630))),Variables!$B$1:$D$1,0),1))*AK630/365),""))</f>
        <v>80.335017709072346</v>
      </c>
      <c r="BI630" s="44">
        <f>IF($AX630="Cancelled","",IFERROR((W630*INDEX(Variables!$B$7:$D$7,IFERROR(MATCH(IF($B630="Robusta","Robusta",(IF($B630="","Arabica",$B630))&amp;" - "&amp;(IF($C630="","Commercial",$C630))),Variables!$B$1:$D$1,0),1))*BD630/365)+(L630/16.67*INDEX(Variables!$B$8:$D$8,IFERROR(MATCH(IF($B630="Robusta","Robusta",(IF($B630="","Arabica",$B630))&amp;" - "&amp;(IF($C630="","Commercial",$C630))),Variables!$B$1:$D$1,0),1))*BD630)+(W630*INDEX(Variables!$B$9:$D$9,IFERROR(MATCH(IF($B630="Robusta","Robusta",(IF($B630="","Arabica",$B630))&amp;" - "&amp;(IF($C630="","Commercial",$C630))),Variables!$B$1:$D$1,0),1))*BD630/365),""))</f>
        <v>-45.905724405184195</v>
      </c>
      <c r="BJ630" s="44">
        <f t="shared" si="29"/>
        <v>-58</v>
      </c>
      <c r="BK630" s="44">
        <f>IF($AX630="Cancelled","",IFERROR(IF(BJ630="","",(W630*INDEX(Variables!$B$7:$D$7,IFERROR(MATCH(IF($B630="Robusta","Robusta",(IF($B630="","Arabica",$B630))&amp;" - "&amp;(IF($C630="","Commercial",$C630))),Variables!$B$1:$D$1,0),1))*(BJ630/365))+(W630*INDEX(Variables!$B$9:$D$9,IFERROR(MATCH(IF($B630="Robusta","Robusta",(IF($B630="","Arabica",$B630))&amp;" - "&amp;(IF($C630="","Commercial",$C630))),Variables!$B$1:$D$1,0),1))*(BJ630/365))+(INDEX(Variables!$B$8:$D$8,IFERROR(MATCH(IF($B630="Robusta","Robusta",(IF($B630="","Arabica",$B630))&amp;" - "&amp;(IF($C630="","Commercial",$C630))),Variables!$B$1:$D$1,0),1))*L630/16.67)),""))</f>
        <v>-406.03300387517083</v>
      </c>
    </row>
    <row r="631" spans="1:63">
      <c r="A631" s="13" t="s">
        <v>103</v>
      </c>
      <c r="B631" s="13" t="s">
        <v>104</v>
      </c>
      <c r="C631" s="13" t="s">
        <v>105</v>
      </c>
      <c r="D631" s="31">
        <v>46022</v>
      </c>
      <c r="E631" s="31">
        <v>46113</v>
      </c>
      <c r="F631" s="31">
        <v>46142</v>
      </c>
      <c r="G631" s="13">
        <v>3787079</v>
      </c>
      <c r="H631" s="13">
        <v>5476</v>
      </c>
      <c r="J631" s="13" t="s">
        <v>1731</v>
      </c>
      <c r="K631" s="13">
        <v>5476</v>
      </c>
      <c r="L631" s="13">
        <v>320</v>
      </c>
      <c r="M631" s="13">
        <v>1</v>
      </c>
      <c r="N631" s="13" t="s">
        <v>1085</v>
      </c>
      <c r="O631" s="13" t="s">
        <v>332</v>
      </c>
      <c r="P631" s="13">
        <v>10120</v>
      </c>
      <c r="Q631" s="13" t="s">
        <v>745</v>
      </c>
      <c r="R631" s="13" t="s">
        <v>110</v>
      </c>
      <c r="S631" s="13" t="s">
        <v>1457</v>
      </c>
      <c r="T631" s="13" t="s">
        <v>112</v>
      </c>
      <c r="U631" s="13" t="s">
        <v>113</v>
      </c>
      <c r="V631" s="23">
        <v>-9</v>
      </c>
      <c r="W631" s="44">
        <f>IF($AX631="Cancelled","",IFERROR(((V631+INDEX(Variables!$B$6:$D$6,IFERROR(MATCH(IF($B631="Robusta","Robusta",(IF($B631="","Arabica",$B631))&amp;" - "&amp;(IF($C631="","Commercial",$C631))),Variables!$B$1:$D$1,0),1)))*22.0462)*(L631/16.67),""))</f>
        <v>119258.43618476304</v>
      </c>
      <c r="X631" s="55" t="s">
        <v>37</v>
      </c>
      <c r="Y631" s="13" t="str">
        <f>IF($AX631="Cancelled","",IF(X631="","",IFERROR(IF(INDEX(Variables!$B$38:$B$47,MATCH(X631,Variables!$A$38:$A$47,0))="Yes","Yes","No"),"No")))</f>
        <v>Yes</v>
      </c>
      <c r="Z631" s="58">
        <v>46094</v>
      </c>
      <c r="AB631" s="31">
        <v>46099</v>
      </c>
      <c r="AC631" s="13" t="str">
        <f t="shared" si="27"/>
        <v>Approved</v>
      </c>
      <c r="AF631" s="71">
        <v>46122</v>
      </c>
      <c r="AG631" s="37">
        <f>IF($AX631="Cancelled","",IFERROR(IF(F631="","",F631-Variables!$B$13),""))</f>
        <v>46127</v>
      </c>
      <c r="AH631" s="13">
        <f>IF($AX631="Cancelled","",IFERROR(IF(AB631="","",(AVERAGE(E631:F631)-AB631)-Variables!$B$14),""))</f>
        <v>-1.5</v>
      </c>
      <c r="AJ631" s="47">
        <v>46125</v>
      </c>
      <c r="AK631" s="14">
        <f>IF($AX631="Cancelled","",IFERROR(IF(AJ631="","",IF(AND(AB631="",AF631=""),"",IF(AF631&gt;AB631,AF631+Variables!$B$15+Variables!$B$16+Variables!$B$17-AJ631,AB631+Variables!$B$16+Variables!$B$17-AJ631))),""))</f>
        <v>12</v>
      </c>
      <c r="AL631" s="48" t="s">
        <v>114</v>
      </c>
      <c r="AM631" s="13" t="s">
        <v>168</v>
      </c>
      <c r="AN631" s="13" t="s">
        <v>1744</v>
      </c>
      <c r="AP631" s="31">
        <v>46150</v>
      </c>
      <c r="AR631" s="13" t="s">
        <v>1745</v>
      </c>
      <c r="AS631" s="31">
        <v>46150</v>
      </c>
      <c r="AU631" s="31">
        <v>46164</v>
      </c>
      <c r="AV631" s="13" t="e">
        <v>#REF!</v>
      </c>
      <c r="AW631" s="31">
        <v>46164</v>
      </c>
      <c r="AX631" s="13" t="str">
        <f>IF(ISNUMBER(SEARCH("cancel",#REF!)),"Cancelled",IF(AND(AS631&lt;&gt;"",AU631&lt;&gt;"",AW631&lt;&gt;""),"Closed","Open"))</f>
        <v>Closed</v>
      </c>
      <c r="AY631" s="15" t="str">
        <f t="shared" si="28"/>
        <v>All dates received</v>
      </c>
      <c r="BD631" s="13">
        <f>IF($AX631="Cancelled","",IFERROR(IF(OR(AS631="",AJ631=""),"",(AJ631+Variables!$B$18-AS631)),""))</f>
        <v>-10</v>
      </c>
      <c r="BE631" s="13">
        <f>IF($AX631="Cancelled","",IFERROR(IF(OR(AW631="",AS631=""),"",(AS631+Variables!$B$19)-AW631),""))</f>
        <v>-9</v>
      </c>
      <c r="BF631" s="44">
        <f>IF($AX631="Cancelled","",IFERROR(W631*INDEX(Variables!$B$7:$D$7,IFERROR(MATCH(IF($B631="Robusta","Robusta",(IF($B631="","Arabica",$B631))&amp;" - "&amp;(IF($C631="","Commercial",$C631))),Variables!$B$1:$D$1,0),1))*(BE631/365),""))</f>
        <v>-189.61758083226889</v>
      </c>
      <c r="BG631" s="44">
        <f>IF($AX631="Cancelled","",IFERROR((W631*INDEX(Variables!$B$7:$D$7,IFERROR(MATCH(IF($B631="Robusta","Robusta",(IF($B631="","Arabica",$B631))&amp;" - "&amp;(IF($C631="","Commercial",$C631))),Variables!$B$1:$D$1,0),1))*IFERROR(IF(AB631="","",(AVERAGE(E631:F631)-AB631)-Variables!$B$14),"")/365)+(L631/16.67*INDEX(Variables!$B$8:$D$8,IFERROR(MATCH(IF($B631="Robusta","Robusta",(IF($B631="","Arabica",$B631))&amp;" - "&amp;(IF($C631="","Commercial",$C631))),Variables!$B$1:$D$1,0),1))*IFERROR(IF(AB631="","",(AVERAGE(E631:F631)-AB631)-Variables!$B$14),""))+(W631*INDEX(Variables!$B$9:$D$9,IFERROR(MATCH(IF($B631="Robusta","Robusta",(IF($B631="","Arabica",$B631))&amp;" - "&amp;(IF($C631="","Commercial",$C631))),Variables!$B$1:$D$1,0),1))*IFERROR(IF(AB631="","",(AVERAGE(E631:F631)-AB631)-Variables!$B$14),"")/365),""))</f>
        <v>-56.01035289761721</v>
      </c>
      <c r="BH631" s="44">
        <f>IF($AX631="Cancelled","",IFERROR((W631*INDEX(Variables!$B$7:$D$7,IFERROR(MATCH(IF($B631="Robusta","Robusta",(IF($B631="","Arabica",$B631))&amp;" - "&amp;(IF($C631="","Commercial",$C631))),Variables!$B$1:$D$1,0),1))*AK631/365)+(L631/16.67*INDEX(Variables!$B$8:$D$8,IFERROR(MATCH(IF($B631="Robusta","Robusta",(IF($B631="","Arabica",$B631))&amp;" - "&amp;(IF($C631="","Commercial",$C631))),Variables!$B$1:$D$1,0),1))*AK631)+(W631*INDEX(Variables!$B$9:$D$9,IFERROR(MATCH(IF($B631="Robusta","Robusta",(IF($B631="","Arabica",$B631))&amp;" - "&amp;(IF($C631="","Commercial",$C631))),Variables!$B$1:$D$1,0),1))*AK631/365),""))</f>
        <v>448.08282318093768</v>
      </c>
      <c r="BI631" s="44">
        <f>IF($AX631="Cancelled","",IFERROR((W631*INDEX(Variables!$B$7:$D$7,IFERROR(MATCH(IF($B631="Robusta","Robusta",(IF($B631="","Arabica",$B631))&amp;" - "&amp;(IF($C631="","Commercial",$C631))),Variables!$B$1:$D$1,0),1))*BD631/365)+(L631/16.67*INDEX(Variables!$B$8:$D$8,IFERROR(MATCH(IF($B631="Robusta","Robusta",(IF($B631="","Arabica",$B631))&amp;" - "&amp;(IF($C631="","Commercial",$C631))),Variables!$B$1:$D$1,0),1))*BD631)+(W631*INDEX(Variables!$B$9:$D$9,IFERROR(MATCH(IF($B631="Robusta","Robusta",(IF($B631="","Arabica",$B631))&amp;" - "&amp;(IF($C631="","Commercial",$C631))),Variables!$B$1:$D$1,0),1))*BD631/365),""))</f>
        <v>-373.40235265078138</v>
      </c>
      <c r="BJ631" s="44">
        <f t="shared" si="29"/>
        <v>-8</v>
      </c>
      <c r="BK631" s="44">
        <f>IF($AX631="Cancelled","",IFERROR(IF(BJ631="","",(W631*INDEX(Variables!$B$7:$D$7,IFERROR(MATCH(IF($B631="Robusta","Robusta",(IF($B631="","Arabica",$B631))&amp;" - "&amp;(IF($C631="","Commercial",$C631))),Variables!$B$1:$D$1,0),1))*(BJ631/365))+(W631*INDEX(Variables!$B$9:$D$9,IFERROR(MATCH(IF($B631="Robusta","Robusta",(IF($B631="","Arabica",$B631))&amp;" - "&amp;(IF($C631="","Commercial",$C631))),Variables!$B$1:$D$1,0),1))*(BJ631/365))+(INDEX(Variables!$B$8:$D$8,IFERROR(MATCH(IF($B631="Robusta","Robusta",(IF($B631="","Arabica",$B631))&amp;" - "&amp;(IF($C631="","Commercial",$C631))),Variables!$B$1:$D$1,0),1))*L631/16.67)),""))</f>
        <v>-154.72188212062511</v>
      </c>
    </row>
    <row r="632" spans="1:63">
      <c r="A632" s="13" t="s">
        <v>103</v>
      </c>
      <c r="B632" s="13" t="s">
        <v>104</v>
      </c>
      <c r="C632" s="13" t="s">
        <v>292</v>
      </c>
      <c r="D632" s="31">
        <v>46022</v>
      </c>
      <c r="E632" s="31">
        <v>46023</v>
      </c>
      <c r="F632" s="31">
        <v>46053</v>
      </c>
      <c r="G632" s="13">
        <v>3787080</v>
      </c>
      <c r="J632" s="13" t="s">
        <v>1746</v>
      </c>
      <c r="K632" s="13" t="s">
        <v>1747</v>
      </c>
      <c r="L632" s="13">
        <v>35</v>
      </c>
      <c r="M632" s="13">
        <v>1</v>
      </c>
      <c r="N632" s="13" t="s">
        <v>1748</v>
      </c>
      <c r="O632" s="13" t="s">
        <v>297</v>
      </c>
      <c r="P632" s="13">
        <v>10020</v>
      </c>
      <c r="R632" s="13" t="s">
        <v>384</v>
      </c>
      <c r="S632" s="13" t="s">
        <v>437</v>
      </c>
      <c r="T632" s="13" t="s">
        <v>438</v>
      </c>
      <c r="U632" s="13" t="s">
        <v>182</v>
      </c>
      <c r="V632" s="23">
        <v>131</v>
      </c>
      <c r="W632" s="44">
        <f>IF($AX632="Cancelled","",IFERROR(((V632+INDEX(Variables!$B$6:$D$6,IFERROR(MATCH(IF($B632="Robusta","Robusta",(IF($B632="","Arabica",$B632))&amp;" - "&amp;(IF($C632="","Commercial",$C632))),Variables!$B$1:$D$1,0),1)))*22.0462)*(L632/16.67),""))</f>
        <v>19524.178200359922</v>
      </c>
      <c r="Y632" s="13" t="str">
        <f>IF($AX632="Cancelled","",IF(X632="","",IFERROR(IF(INDEX(Variables!$B$38:$B$47,MATCH(X632,Variables!$A$38:$A$47,0))="Yes","Yes","No"),"No")))</f>
        <v/>
      </c>
      <c r="Z632" s="31"/>
      <c r="AC632" s="13" t="str">
        <f t="shared" si="27"/>
        <v/>
      </c>
      <c r="AF632" s="71">
        <v>46059</v>
      </c>
      <c r="AG632" s="31">
        <f>IF($AX632="Cancelled","",IFERROR(IF(F632="","",F632-Variables!$B$13),""))</f>
        <v>46038</v>
      </c>
      <c r="AH632" s="13" t="str">
        <f>IF($AX632="Cancelled","",IFERROR(IF(AB632="","",(AVERAGE(E632:F632)-AB632)-Variables!$B$14),""))</f>
        <v/>
      </c>
      <c r="AJ632" s="47">
        <v>46094</v>
      </c>
      <c r="AK632" s="14">
        <f>IF($AX632="Cancelled","",IFERROR(IF(AJ632="","",IF(AND(AB632="",AF632=""),"",IF(AF632&gt;AB632,AF632+Variables!$B$15+Variables!$B$16+Variables!$B$17-AJ632,AB632+Variables!$B$16+Variables!$B$17-AJ632))),""))</f>
        <v>-20</v>
      </c>
      <c r="AL632" s="48" t="s">
        <v>114</v>
      </c>
      <c r="AM632" s="13" t="s">
        <v>115</v>
      </c>
      <c r="AN632" s="13" t="s">
        <v>1749</v>
      </c>
      <c r="AP632" s="31">
        <v>46104</v>
      </c>
      <c r="AR632" s="13">
        <v>267265120</v>
      </c>
      <c r="AS632" s="31">
        <v>46104</v>
      </c>
      <c r="AU632" s="31">
        <v>46113</v>
      </c>
      <c r="AV632" s="13" t="s">
        <v>865</v>
      </c>
      <c r="AW632" s="31">
        <v>46127</v>
      </c>
      <c r="AX632" s="13" t="str">
        <f>IF(ISNUMBER(SEARCH("cancel",#REF!)),"Cancelled",IF(AND(AS632&lt;&gt;"",AU632&lt;&gt;"",AW632&lt;&gt;""),"Closed","Open"))</f>
        <v>Closed</v>
      </c>
      <c r="AY632" s="15" t="str">
        <f t="shared" si="28"/>
        <v>All dates received</v>
      </c>
      <c r="BD632" s="13">
        <f>IF($AX632="Cancelled","",IFERROR(IF(OR(AS632="",AJ632=""),"",(AJ632+Variables!$B$18-AS632)),""))</f>
        <v>5</v>
      </c>
      <c r="BE632" s="13">
        <f>IF($AX632="Cancelled","",IFERROR(IF(OR(AW632="",AS632=""),"",(AS632+Variables!$B$19)-AW632),""))</f>
        <v>-18</v>
      </c>
      <c r="BF632" s="44">
        <f>IF($AX632="Cancelled","",IFERROR(W632*INDEX(Variables!$B$7:$D$7,IFERROR(MATCH(IF($B632="Robusta","Robusta",(IF($B632="","Arabica",$B632))&amp;" - "&amp;(IF($C632="","Commercial",$C632))),Variables!$B$1:$D$1,0),1))*(BE632/365),""))</f>
        <v>-62.0857954628013</v>
      </c>
      <c r="BG632" s="44" t="str">
        <f>IF($AX632="Cancelled","",IFERROR((W632*INDEX(Variables!$B$7:$D$7,IFERROR(MATCH(IF($B632="Robusta","Robusta",(IF($B632="","Arabica",$B632))&amp;" - "&amp;(IF($C632="","Commercial",$C632))),Variables!$B$1:$D$1,0),1))*IFERROR(IF(AB632="","",(AVERAGE(E632:F632)-AB632)-Variables!$B$14),"")/365)+(L632/16.67*INDEX(Variables!$B$8:$D$8,IFERROR(MATCH(IF($B632="Robusta","Robusta",(IF($B632="","Arabica",$B632))&amp;" - "&amp;(IF($C632="","Commercial",$C632))),Variables!$B$1:$D$1,0),1))*IFERROR(IF(AB632="","",(AVERAGE(E632:F632)-AB632)-Variables!$B$14),""))+(W632*INDEX(Variables!$B$9:$D$9,IFERROR(MATCH(IF($B632="Robusta","Robusta",(IF($B632="","Arabica",$B632))&amp;" - "&amp;(IF($C632="","Commercial",$C632))),Variables!$B$1:$D$1,0),1))*IFERROR(IF(AB632="","",(AVERAGE(E632:F632)-AB632)-Variables!$B$14),"")/365),""))</f>
        <v/>
      </c>
      <c r="BH632" s="44">
        <f>IF($AX632="Cancelled","",IFERROR((W632*INDEX(Variables!$B$7:$D$7,IFERROR(MATCH(IF($B632="Robusta","Robusta",(IF($B632="","Arabica",$B632))&amp;" - "&amp;(IF($C632="","Commercial",$C632))),Variables!$B$1:$D$1,0),1))*AK632/365)+(L632/16.67*INDEX(Variables!$B$8:$D$8,IFERROR(MATCH(IF($B632="Robusta","Robusta",(IF($B632="","Arabica",$B632))&amp;" - "&amp;(IF($C632="","Commercial",$C632))),Variables!$B$1:$D$1,0),1))*AK632)+(W632*INDEX(Variables!$B$9:$D$9,IFERROR(MATCH(IF($B632="Robusta","Robusta",(IF($B632="","Arabica",$B632))&amp;" - "&amp;(IF($C632="","Commercial",$C632))),Variables!$B$1:$D$1,0),1))*AK632/365),""))</f>
        <v>-104.87355687064152</v>
      </c>
      <c r="BI632" s="44">
        <f>IF($AX632="Cancelled","",IFERROR((W632*INDEX(Variables!$B$7:$D$7,IFERROR(MATCH(IF($B632="Robusta","Robusta",(IF($B632="","Arabica",$B632))&amp;" - "&amp;(IF($C632="","Commercial",$C632))),Variables!$B$1:$D$1,0),1))*BD632/365)+(L632/16.67*INDEX(Variables!$B$8:$D$8,IFERROR(MATCH(IF($B632="Robusta","Robusta",(IF($B632="","Arabica",$B632))&amp;" - "&amp;(IF($C632="","Commercial",$C632))),Variables!$B$1:$D$1,0),1))*BD632)+(W632*INDEX(Variables!$B$9:$D$9,IFERROR(MATCH(IF($B632="Robusta","Robusta",(IF($B632="","Arabica",$B632))&amp;" - "&amp;(IF($C632="","Commercial",$C632))),Variables!$B$1:$D$1,0),1))*BD632/365),""))</f>
        <v>26.218389217660381</v>
      </c>
      <c r="BJ632" s="44">
        <f t="shared" si="29"/>
        <v>-51</v>
      </c>
      <c r="BK632" s="44">
        <f>IF($AX632="Cancelled","",IFERROR(IF(BJ632="","",(W632*INDEX(Variables!$B$7:$D$7,IFERROR(MATCH(IF($B632="Robusta","Robusta",(IF($B632="","Arabica",$B632))&amp;" - "&amp;(IF($C632="","Commercial",$C632))),Variables!$B$1:$D$1,0),1))*(BJ632/365))+(W632*INDEX(Variables!$B$9:$D$9,IFERROR(MATCH(IF($B632="Robusta","Robusta",(IF($B632="","Arabica",$B632))&amp;" - "&amp;(IF($C632="","Commercial",$C632))),Variables!$B$1:$D$1,0),1))*(BJ632/365))+(INDEX(Variables!$B$8:$D$8,IFERROR(MATCH(IF($B632="Robusta","Robusta",(IF($B632="","Arabica",$B632))&amp;" - "&amp;(IF($C632="","Commercial",$C632))),Variables!$B$1:$D$1,0),1))*L632/16.67)),""))</f>
        <v>-176.42757002013587</v>
      </c>
    </row>
    <row r="633" spans="1:63">
      <c r="A633" s="13" t="s">
        <v>103</v>
      </c>
      <c r="B633" s="13" t="s">
        <v>104</v>
      </c>
      <c r="C633" s="13" t="s">
        <v>292</v>
      </c>
      <c r="D633" s="31">
        <v>46022</v>
      </c>
      <c r="E633" s="31">
        <v>46023</v>
      </c>
      <c r="F633" s="31">
        <v>46053</v>
      </c>
      <c r="G633" s="13">
        <v>3787081</v>
      </c>
      <c r="J633" s="13" t="s">
        <v>1746</v>
      </c>
      <c r="K633" s="13" t="s">
        <v>1750</v>
      </c>
      <c r="L633" s="13">
        <v>17</v>
      </c>
      <c r="M633" s="13">
        <v>0</v>
      </c>
      <c r="N633" s="13" t="s">
        <v>1751</v>
      </c>
      <c r="O633" s="13" t="s">
        <v>297</v>
      </c>
      <c r="P633" s="13">
        <v>10020</v>
      </c>
      <c r="R633" s="13" t="s">
        <v>384</v>
      </c>
      <c r="S633" s="13" t="s">
        <v>437</v>
      </c>
      <c r="T633" s="13" t="s">
        <v>438</v>
      </c>
      <c r="U633" s="13" t="s">
        <v>182</v>
      </c>
      <c r="V633" s="23">
        <v>156</v>
      </c>
      <c r="W633" s="44">
        <f>IF($AX633="Cancelled","",IFERROR(((V633+INDEX(Variables!$B$6:$D$6,IFERROR(MATCH(IF($B633="Robusta","Robusta",(IF($B633="","Arabica",$B633))&amp;" - "&amp;(IF($C633="","Commercial",$C633))),Variables!$B$1:$D$1,0),1)))*22.0462)*(L633/16.67),""))</f>
        <v>10045.237955608878</v>
      </c>
      <c r="Y633" s="13" t="str">
        <f>IF($AX633="Cancelled","",IF(X633="","",IFERROR(IF(INDEX(Variables!$B$38:$B$47,MATCH(X633,Variables!$A$38:$A$47,0))="Yes","Yes","No"),"No")))</f>
        <v/>
      </c>
      <c r="Z633" s="31"/>
      <c r="AC633" s="13" t="str">
        <f t="shared" si="27"/>
        <v/>
      </c>
      <c r="AF633" s="71">
        <v>46056</v>
      </c>
      <c r="AG633" s="31">
        <f>IF($AX633="Cancelled","",IFERROR(IF(F633="","",F633-Variables!$B$13),""))</f>
        <v>46038</v>
      </c>
      <c r="AH633" s="13" t="str">
        <f>IF($AX633="Cancelled","",IFERROR(IF(AB633="","",(AVERAGE(E633:F633)-AB633)-Variables!$B$14),""))</f>
        <v/>
      </c>
      <c r="AJ633" s="47">
        <v>46094</v>
      </c>
      <c r="AK633" s="14">
        <f>IF($AX633="Cancelled","",IFERROR(IF(AJ633="","",IF(AND(AB633="",AF633=""),"",IF(AF633&gt;AB633,AF633+Variables!$B$15+Variables!$B$16+Variables!$B$17-AJ633,AB633+Variables!$B$16+Variables!$B$17-AJ633))),""))</f>
        <v>-23</v>
      </c>
      <c r="AL633" s="48" t="s">
        <v>114</v>
      </c>
      <c r="AM633" s="13" t="s">
        <v>115</v>
      </c>
      <c r="AN633" s="13" t="s">
        <v>1749</v>
      </c>
      <c r="AP633" s="31">
        <v>46104</v>
      </c>
      <c r="AR633" s="13">
        <v>267265120</v>
      </c>
      <c r="AS633" s="31">
        <v>46104</v>
      </c>
      <c r="AU633" s="31">
        <v>46113</v>
      </c>
      <c r="AV633" s="13" t="s">
        <v>865</v>
      </c>
      <c r="AW633" s="31">
        <v>46127</v>
      </c>
      <c r="AX633" s="13" t="str">
        <f>IF(ISNUMBER(SEARCH("cancel",#REF!)),"Cancelled",IF(AND(AS633&lt;&gt;"",AU633&lt;&gt;"",AW633&lt;&gt;""),"Closed","Open"))</f>
        <v>Closed</v>
      </c>
      <c r="AY633" s="15" t="str">
        <f t="shared" si="28"/>
        <v>All dates received</v>
      </c>
      <c r="BD633" s="13">
        <f>IF($AX633="Cancelled","",IFERROR(IF(OR(AS633="",AJ633=""),"",(AJ633+Variables!$B$18-AS633)),""))</f>
        <v>5</v>
      </c>
      <c r="BE633" s="13">
        <f>IF($AX633="Cancelled","",IFERROR(IF(OR(AW633="",AS633=""),"",(AS633+Variables!$B$19)-AW633),""))</f>
        <v>-18</v>
      </c>
      <c r="BF633" s="44">
        <f>IF($AX633="Cancelled","",IFERROR(W633*INDEX(Variables!$B$7:$D$7,IFERROR(MATCH(IF($B633="Robusta","Robusta",(IF($B633="","Arabica",$B633))&amp;" - "&amp;(IF($C633="","Commercial",$C633))),Variables!$B$1:$D$1,0),1))*(BE633/365),""))</f>
        <v>-31.943295266358717</v>
      </c>
      <c r="BG633" s="44" t="str">
        <f>IF($AX633="Cancelled","",IFERROR((W633*INDEX(Variables!$B$7:$D$7,IFERROR(MATCH(IF($B633="Robusta","Robusta",(IF($B633="","Arabica",$B633))&amp;" - "&amp;(IF($C633="","Commercial",$C633))),Variables!$B$1:$D$1,0),1))*IFERROR(IF(AB633="","",(AVERAGE(E633:F633)-AB633)-Variables!$B$14),"")/365)+(L633/16.67*INDEX(Variables!$B$8:$D$8,IFERROR(MATCH(IF($B633="Robusta","Robusta",(IF($B633="","Arabica",$B633))&amp;" - "&amp;(IF($C633="","Commercial",$C633))),Variables!$B$1:$D$1,0),1))*IFERROR(IF(AB633="","",(AVERAGE(E633:F633)-AB633)-Variables!$B$14),""))+(W633*INDEX(Variables!$B$9:$D$9,IFERROR(MATCH(IF($B633="Robusta","Robusta",(IF($B633="","Arabica",$B633))&amp;" - "&amp;(IF($C633="","Commercial",$C633))),Variables!$B$1:$D$1,0),1))*IFERROR(IF(AB633="","",(AVERAGE(E633:F633)-AB633)-Variables!$B$14),"")/365),""))</f>
        <v/>
      </c>
      <c r="BH633" s="44">
        <f>IF($AX633="Cancelled","",IFERROR((W633*INDEX(Variables!$B$7:$D$7,IFERROR(MATCH(IF($B633="Robusta","Robusta",(IF($B633="","Arabica",$B633))&amp;" - "&amp;(IF($C633="","Commercial",$C633))),Variables!$B$1:$D$1,0),1))*AK633/365)+(L633/16.67*INDEX(Variables!$B$8:$D$8,IFERROR(MATCH(IF($B633="Robusta","Robusta",(IF($B633="","Arabica",$B633))&amp;" - "&amp;(IF($C633="","Commercial",$C633))),Variables!$B$1:$D$1,0),1))*AK633)+(W633*INDEX(Variables!$B$9:$D$9,IFERROR(MATCH(IF($B633="Robusta","Robusta",(IF($B633="","Arabica",$B633))&amp;" - "&amp;(IF($C633="","Commercial",$C633))),Variables!$B$1:$D$1,0),1))*AK633/365),""))</f>
        <v>-60.892635429901908</v>
      </c>
      <c r="BI633" s="44">
        <f>IF($AX633="Cancelled","",IFERROR((W633*INDEX(Variables!$B$7:$D$7,IFERROR(MATCH(IF($B633="Robusta","Robusta",(IF($B633="","Arabica",$B633))&amp;" - "&amp;(IF($C633="","Commercial",$C633))),Variables!$B$1:$D$1,0),1))*BD633/365)+(L633/16.67*INDEX(Variables!$B$8:$D$8,IFERROR(MATCH(IF($B633="Robusta","Robusta",(IF($B633="","Arabica",$B633))&amp;" - "&amp;(IF($C633="","Commercial",$C633))),Variables!$B$1:$D$1,0),1))*BD633)+(W633*INDEX(Variables!$B$9:$D$9,IFERROR(MATCH(IF($B633="Robusta","Robusta",(IF($B633="","Arabica",$B633))&amp;" - "&amp;(IF($C633="","Commercial",$C633))),Variables!$B$1:$D$1,0),1))*BD633/365),""))</f>
        <v>13.237529441283021</v>
      </c>
      <c r="BJ633" s="44">
        <f t="shared" si="29"/>
        <v>-51</v>
      </c>
      <c r="BK633" s="44">
        <f>IF($AX633="Cancelled","",IFERROR(IF(BJ633="","",(W633*INDEX(Variables!$B$7:$D$7,IFERROR(MATCH(IF($B633="Robusta","Robusta",(IF($B633="","Arabica",$B633))&amp;" - "&amp;(IF($C633="","Commercial",$C633))),Variables!$B$1:$D$1,0),1))*(BJ633/365))+(W633*INDEX(Variables!$B$9:$D$9,IFERROR(MATCH(IF($B633="Robusta","Robusta",(IF($B633="","Arabica",$B633))&amp;" - "&amp;(IF($C633="","Commercial",$C633))),Variables!$B$1:$D$1,0),1))*(BJ633/365))+(INDEX(Variables!$B$8:$D$8,IFERROR(MATCH(IF($B633="Robusta","Robusta",(IF($B633="","Arabica",$B633))&amp;" - "&amp;(IF($C633="","Commercial",$C633))),Variables!$B$1:$D$1,0),1))*L633/16.67)),""))</f>
        <v>-90.822800301086829</v>
      </c>
    </row>
    <row r="634" spans="1:63">
      <c r="A634" s="13" t="s">
        <v>103</v>
      </c>
      <c r="B634" s="13" t="s">
        <v>104</v>
      </c>
      <c r="C634" s="13" t="s">
        <v>292</v>
      </c>
      <c r="D634" s="31">
        <v>46022</v>
      </c>
      <c r="E634" s="31">
        <v>46023</v>
      </c>
      <c r="F634" s="31">
        <v>46053</v>
      </c>
      <c r="G634" s="13">
        <v>3787082</v>
      </c>
      <c r="J634" s="13" t="s">
        <v>1746</v>
      </c>
      <c r="K634" s="13" t="s">
        <v>1752</v>
      </c>
      <c r="L634" s="13">
        <v>99</v>
      </c>
      <c r="M634" s="13">
        <v>0</v>
      </c>
      <c r="N634" s="13" t="s">
        <v>1753</v>
      </c>
      <c r="O634" s="13" t="s">
        <v>304</v>
      </c>
      <c r="P634" s="13">
        <v>10010</v>
      </c>
      <c r="R634" s="13" t="s">
        <v>384</v>
      </c>
      <c r="S634" s="13" t="s">
        <v>437</v>
      </c>
      <c r="T634" s="13" t="s">
        <v>438</v>
      </c>
      <c r="U634" s="13" t="s">
        <v>182</v>
      </c>
      <c r="V634" s="23">
        <v>147</v>
      </c>
      <c r="W634" s="44">
        <f>IF($AX634="Cancelled","",IFERROR(((V634+INDEX(Variables!$B$6:$D$6,IFERROR(MATCH(IF($B634="Robusta","Robusta",(IF($B634="","Arabica",$B634))&amp;" - "&amp;(IF($C634="","Commercial",$C634))),Variables!$B$1:$D$1,0),1)))*22.0462)*(L634/16.67),""))</f>
        <v>57320.384501499691</v>
      </c>
      <c r="Y634" s="13" t="str">
        <f>IF($AX634="Cancelled","",IF(X634="","",IFERROR(IF(INDEX(Variables!$B$38:$B$47,MATCH(X634,Variables!$A$38:$A$47,0))="Yes","Yes","No"),"No")))</f>
        <v/>
      </c>
      <c r="Z634" s="31"/>
      <c r="AC634" s="13" t="str">
        <f t="shared" si="27"/>
        <v/>
      </c>
      <c r="AF634" s="71">
        <v>46087</v>
      </c>
      <c r="AG634" s="31">
        <f>IF($AX634="Cancelled","",IFERROR(IF(F634="","",F634-Variables!$B$13),""))</f>
        <v>46038</v>
      </c>
      <c r="AH634" s="13" t="str">
        <f>IF($AX634="Cancelled","",IFERROR(IF(AB634="","",(AVERAGE(E634:F634)-AB634)-Variables!$B$14),""))</f>
        <v/>
      </c>
      <c r="AJ634" s="47">
        <v>46094</v>
      </c>
      <c r="AK634" s="14">
        <f>IF($AX634="Cancelled","",IFERROR(IF(AJ634="","",IF(AND(AB634="",AF634=""),"",IF(AF634&gt;AB634,AF634+Variables!$B$15+Variables!$B$16+Variables!$B$17-AJ634,AB634+Variables!$B$16+Variables!$B$17-AJ634))),""))</f>
        <v>8</v>
      </c>
      <c r="AL634" s="48" t="s">
        <v>114</v>
      </c>
      <c r="AM634" s="13" t="s">
        <v>115</v>
      </c>
      <c r="AN634" s="13" t="s">
        <v>1749</v>
      </c>
      <c r="AP634" s="31">
        <v>46104</v>
      </c>
      <c r="AR634" s="13">
        <v>267265120</v>
      </c>
      <c r="AS634" s="31">
        <v>46104</v>
      </c>
      <c r="AU634" s="31">
        <v>46113</v>
      </c>
      <c r="AV634" s="13" t="s">
        <v>865</v>
      </c>
      <c r="AW634" s="31">
        <v>46127</v>
      </c>
      <c r="AX634" s="13" t="str">
        <f>IF(ISNUMBER(SEARCH("cancel",#REF!)),"Cancelled",IF(AND(AS634&lt;&gt;"",AU634&lt;&gt;"",AW634&lt;&gt;""),"Closed","Open"))</f>
        <v>Closed</v>
      </c>
      <c r="AY634" s="15" t="str">
        <f t="shared" si="28"/>
        <v>All dates received</v>
      </c>
      <c r="BD634" s="13">
        <f>IF($AX634="Cancelled","",IFERROR(IF(OR(AS634="",AJ634=""),"",(AJ634+Variables!$B$18-AS634)),""))</f>
        <v>5</v>
      </c>
      <c r="BE634" s="13">
        <f>IF($AX634="Cancelled","",IFERROR(IF(OR(AW634="",AS634=""),"",(AS634+Variables!$B$19)-AW634),""))</f>
        <v>-18</v>
      </c>
      <c r="BF634" s="44">
        <f>IF($AX634="Cancelled","",IFERROR(W634*INDEX(Variables!$B$7:$D$7,IFERROR(MATCH(IF($B634="Robusta","Robusta",(IF($B634="","Arabica",$B634))&amp;" - "&amp;(IF($C634="","Commercial",$C634))),Variables!$B$1:$D$1,0),1))*(BE634/365),""))</f>
        <v>-182.27561905492291</v>
      </c>
      <c r="BG634" s="44" t="str">
        <f>IF($AX634="Cancelled","",IFERROR((W634*INDEX(Variables!$B$7:$D$7,IFERROR(MATCH(IF($B634="Robusta","Robusta",(IF($B634="","Arabica",$B634))&amp;" - "&amp;(IF($C634="","Commercial",$C634))),Variables!$B$1:$D$1,0),1))*IFERROR(IF(AB634="","",(AVERAGE(E634:F634)-AB634)-Variables!$B$14),"")/365)+(L634/16.67*INDEX(Variables!$B$8:$D$8,IFERROR(MATCH(IF($B634="Robusta","Robusta",(IF($B634="","Arabica",$B634))&amp;" - "&amp;(IF($C634="","Commercial",$C634))),Variables!$B$1:$D$1,0),1))*IFERROR(IF(AB634="","",(AVERAGE(E634:F634)-AB634)-Variables!$B$14),""))+(W634*INDEX(Variables!$B$9:$D$9,IFERROR(MATCH(IF($B634="Robusta","Robusta",(IF($B634="","Arabica",$B634))&amp;" - "&amp;(IF($C634="","Commercial",$C634))),Variables!$B$1:$D$1,0),1))*IFERROR(IF(AB634="","",(AVERAGE(E634:F634)-AB634)-Variables!$B$14),"")/365),""))</f>
        <v/>
      </c>
      <c r="BH634" s="44">
        <f>IF($AX634="Cancelled","",IFERROR((W634*INDEX(Variables!$B$7:$D$7,IFERROR(MATCH(IF($B634="Robusta","Robusta",(IF($B634="","Arabica",$B634))&amp;" - "&amp;(IF($C634="","Commercial",$C634))),Variables!$B$1:$D$1,0),1))*AK634/365)+(L634/16.67*INDEX(Variables!$B$8:$D$8,IFERROR(MATCH(IF($B634="Robusta","Robusta",(IF($B634="","Arabica",$B634))&amp;" - "&amp;(IF($C634="","Commercial",$C634))),Variables!$B$1:$D$1,0),1))*AK634)+(W634*INDEX(Variables!$B$9:$D$9,IFERROR(MATCH(IF($B634="Robusta","Robusta",(IF($B634="","Arabica",$B634))&amp;" - "&amp;(IF($C634="","Commercial",$C634))),Variables!$B$1:$D$1,0),1))*AK634/365),""))</f>
        <v>121.65577935646466</v>
      </c>
      <c r="BI634" s="44">
        <f>IF($AX634="Cancelled","",IFERROR((W634*INDEX(Variables!$B$7:$D$7,IFERROR(MATCH(IF($B634="Robusta","Robusta",(IF($B634="","Arabica",$B634))&amp;" - "&amp;(IF($C634="","Commercial",$C634))),Variables!$B$1:$D$1,0),1))*BD634/365)+(L634/16.67*INDEX(Variables!$B$8:$D$8,IFERROR(MATCH(IF($B634="Robusta","Robusta",(IF($B634="","Arabica",$B634))&amp;" - "&amp;(IF($C634="","Commercial",$C634))),Variables!$B$1:$D$1,0),1))*BD634)+(W634*INDEX(Variables!$B$9:$D$9,IFERROR(MATCH(IF($B634="Robusta","Robusta",(IF($B634="","Arabica",$B634))&amp;" - "&amp;(IF($C634="","Commercial",$C634))),Variables!$B$1:$D$1,0),1))*BD634/365),""))</f>
        <v>76.034862097790409</v>
      </c>
      <c r="BJ634" s="44">
        <f t="shared" si="29"/>
        <v>-51</v>
      </c>
      <c r="BK634" s="44">
        <f>IF($AX634="Cancelled","",IFERROR(IF(BJ634="","",(W634*INDEX(Variables!$B$7:$D$7,IFERROR(MATCH(IF($B634="Robusta","Robusta",(IF($B634="","Arabica",$B634))&amp;" - "&amp;(IF($C634="","Commercial",$C634))),Variables!$B$1:$D$1,0),1))*(BJ634/365))+(W634*INDEX(Variables!$B$9:$D$9,IFERROR(MATCH(IF($B634="Robusta","Robusta",(IF($B634="","Arabica",$B634))&amp;" - "&amp;(IF($C634="","Commercial",$C634))),Variables!$B$1:$D$1,0),1))*(BJ634/365))+(INDEX(Variables!$B$8:$D$8,IFERROR(MATCH(IF($B634="Robusta","Robusta",(IF($B634="","Arabica",$B634))&amp;" - "&amp;(IF($C634="","Commercial",$C634))),Variables!$B$1:$D$1,0),1))*L634/16.67)),""))</f>
        <v>-518.15559339746221</v>
      </c>
    </row>
    <row r="635" spans="1:63">
      <c r="A635" s="13" t="s">
        <v>103</v>
      </c>
      <c r="B635" s="13" t="s">
        <v>104</v>
      </c>
      <c r="C635" s="13" t="s">
        <v>292</v>
      </c>
      <c r="D635" s="31">
        <v>46022</v>
      </c>
      <c r="E635" s="31">
        <v>46023</v>
      </c>
      <c r="F635" s="31">
        <v>46053</v>
      </c>
      <c r="G635" s="13">
        <v>3787083</v>
      </c>
      <c r="J635" s="13" t="s">
        <v>1746</v>
      </c>
      <c r="K635" s="13" t="s">
        <v>1754</v>
      </c>
      <c r="L635" s="13">
        <v>50</v>
      </c>
      <c r="M635" s="13">
        <v>0</v>
      </c>
      <c r="N635" s="13" t="s">
        <v>1755</v>
      </c>
      <c r="O635" s="13" t="s">
        <v>771</v>
      </c>
      <c r="P635" s="13">
        <v>10010</v>
      </c>
      <c r="R635" s="13" t="s">
        <v>384</v>
      </c>
      <c r="S635" s="13" t="s">
        <v>437</v>
      </c>
      <c r="T635" s="13" t="s">
        <v>438</v>
      </c>
      <c r="U635" s="13" t="s">
        <v>182</v>
      </c>
      <c r="V635" s="23">
        <v>147</v>
      </c>
      <c r="W635" s="44">
        <f>IF($AX635="Cancelled","",IFERROR(((V635+INDEX(Variables!$B$6:$D$6,IFERROR(MATCH(IF($B635="Robusta","Robusta",(IF($B635="","Arabica",$B635))&amp;" - "&amp;(IF($C635="","Commercial",$C635))),Variables!$B$1:$D$1,0),1)))*22.0462)*(L635/16.67),""))</f>
        <v>28949.689142171559</v>
      </c>
      <c r="Y635" s="13" t="str">
        <f>IF($AX635="Cancelled","",IF(X635="","",IFERROR(IF(INDEX(Variables!$B$38:$B$47,MATCH(X635,Variables!$A$38:$A$47,0))="Yes","Yes","No"),"No")))</f>
        <v/>
      </c>
      <c r="Z635" s="31"/>
      <c r="AC635" s="13" t="str">
        <f t="shared" si="27"/>
        <v/>
      </c>
      <c r="AF635" s="71">
        <v>46056</v>
      </c>
      <c r="AG635" s="31">
        <f>IF($AX635="Cancelled","",IFERROR(IF(F635="","",F635-Variables!$B$13),""))</f>
        <v>46038</v>
      </c>
      <c r="AH635" s="13" t="str">
        <f>IF($AX635="Cancelled","",IFERROR(IF(AB635="","",(AVERAGE(E635:F635)-AB635)-Variables!$B$14),""))</f>
        <v/>
      </c>
      <c r="AJ635" s="47">
        <v>46094</v>
      </c>
      <c r="AK635" s="14">
        <f>IF($AX635="Cancelled","",IFERROR(IF(AJ635="","",IF(AND(AB635="",AF635=""),"",IF(AF635&gt;AB635,AF635+Variables!$B$15+Variables!$B$16+Variables!$B$17-AJ635,AB635+Variables!$B$16+Variables!$B$17-AJ635))),""))</f>
        <v>-23</v>
      </c>
      <c r="AL635" s="48" t="s">
        <v>114</v>
      </c>
      <c r="AM635" s="13" t="s">
        <v>115</v>
      </c>
      <c r="AN635" s="13" t="s">
        <v>1749</v>
      </c>
      <c r="AP635" s="31">
        <v>46104</v>
      </c>
      <c r="AR635" s="13">
        <v>267265120</v>
      </c>
      <c r="AS635" s="31">
        <v>46104</v>
      </c>
      <c r="AU635" s="31">
        <v>46113</v>
      </c>
      <c r="AV635" s="13" t="s">
        <v>865</v>
      </c>
      <c r="AW635" s="31">
        <v>46127</v>
      </c>
      <c r="AX635" s="13" t="str">
        <f>IF(ISNUMBER(SEARCH("cancel",#REF!)),"Cancelled",IF(AND(AS635&lt;&gt;"",AU635&lt;&gt;"",AW635&lt;&gt;""),"Closed","Open"))</f>
        <v>Closed</v>
      </c>
      <c r="AY635" s="15" t="str">
        <f t="shared" si="28"/>
        <v>All dates received</v>
      </c>
      <c r="BD635" s="13">
        <f>IF($AX635="Cancelled","",IFERROR(IF(OR(AS635="",AJ635=""),"",(AJ635+Variables!$B$18-AS635)),""))</f>
        <v>5</v>
      </c>
      <c r="BE635" s="13">
        <f>IF($AX635="Cancelled","",IFERROR(IF(OR(AW635="",AS635=""),"",(AS635+Variables!$B$19)-AW635),""))</f>
        <v>-18</v>
      </c>
      <c r="BF635" s="44">
        <f>IF($AX635="Cancelled","",IFERROR(W635*INDEX(Variables!$B$7:$D$7,IFERROR(MATCH(IF($B635="Robusta","Robusta",(IF($B635="","Arabica",$B635))&amp;" - "&amp;(IF($C635="","Commercial",$C635))),Variables!$B$1:$D$1,0),1))*(BE635/365),""))</f>
        <v>-92.058393462082265</v>
      </c>
      <c r="BG635" s="44" t="str">
        <f>IF($AX635="Cancelled","",IFERROR((W635*INDEX(Variables!$B$7:$D$7,IFERROR(MATCH(IF($B635="Robusta","Robusta",(IF($B635="","Arabica",$B635))&amp;" - "&amp;(IF($C635="","Commercial",$C635))),Variables!$B$1:$D$1,0),1))*IFERROR(IF(AB635="","",(AVERAGE(E635:F635)-AB635)-Variables!$B$14),"")/365)+(L635/16.67*INDEX(Variables!$B$8:$D$8,IFERROR(MATCH(IF($B635="Robusta","Robusta",(IF($B635="","Arabica",$B635))&amp;" - "&amp;(IF($C635="","Commercial",$C635))),Variables!$B$1:$D$1,0),1))*IFERROR(IF(AB635="","",(AVERAGE(E635:F635)-AB635)-Variables!$B$14),""))+(W635*INDEX(Variables!$B$9:$D$9,IFERROR(MATCH(IF($B635="Robusta","Robusta",(IF($B635="","Arabica",$B635))&amp;" - "&amp;(IF($C635="","Commercial",$C635))),Variables!$B$1:$D$1,0),1))*IFERROR(IF(AB635="","",(AVERAGE(E635:F635)-AB635)-Variables!$B$14),"")/365),""))</f>
        <v/>
      </c>
      <c r="BH635" s="44">
        <f>IF($AX635="Cancelled","",IFERROR((W635*INDEX(Variables!$B$7:$D$7,IFERROR(MATCH(IF($B635="Robusta","Robusta",(IF($B635="","Arabica",$B635))&amp;" - "&amp;(IF($C635="","Commercial",$C635))),Variables!$B$1:$D$1,0),1))*AK635/365)+(L635/16.67*INDEX(Variables!$B$8:$D$8,IFERROR(MATCH(IF($B635="Robusta","Robusta",(IF($B635="","Arabica",$B635))&amp;" - "&amp;(IF($C635="","Commercial",$C635))),Variables!$B$1:$D$1,0),1))*AK635)+(W635*INDEX(Variables!$B$9:$D$9,IFERROR(MATCH(IF($B635="Robusta","Robusta",(IF($B635="","Arabica",$B635))&amp;" - "&amp;(IF($C635="","Commercial",$C635))),Variables!$B$1:$D$1,0),1))*AK635/365),""))</f>
        <v>-176.64664931809895</v>
      </c>
      <c r="BI635" s="44">
        <f>IF($AX635="Cancelled","",IFERROR((W635*INDEX(Variables!$B$7:$D$7,IFERROR(MATCH(IF($B635="Robusta","Robusta",(IF($B635="","Arabica",$B635))&amp;" - "&amp;(IF($C635="","Commercial",$C635))),Variables!$B$1:$D$1,0),1))*BD635/365)+(L635/16.67*INDEX(Variables!$B$8:$D$8,IFERROR(MATCH(IF($B635="Robusta","Robusta",(IF($B635="","Arabica",$B635))&amp;" - "&amp;(IF($C635="","Commercial",$C635))),Variables!$B$1:$D$1,0),1))*BD635)+(W635*INDEX(Variables!$B$9:$D$9,IFERROR(MATCH(IF($B635="Robusta","Robusta",(IF($B635="","Arabica",$B635))&amp;" - "&amp;(IF($C635="","Commercial",$C635))),Variables!$B$1:$D$1,0),1))*BD635/365),""))</f>
        <v>38.401445503934553</v>
      </c>
      <c r="BJ635" s="44">
        <f t="shared" si="29"/>
        <v>-51</v>
      </c>
      <c r="BK635" s="44">
        <f>IF($AX635="Cancelled","",IFERROR(IF(BJ635="","",(W635*INDEX(Variables!$B$7:$D$7,IFERROR(MATCH(IF($B635="Robusta","Robusta",(IF($B635="","Arabica",$B635))&amp;" - "&amp;(IF($C635="","Commercial",$C635))),Variables!$B$1:$D$1,0),1))*(BJ635/365))+(W635*INDEX(Variables!$B$9:$D$9,IFERROR(MATCH(IF($B635="Robusta","Robusta",(IF($B635="","Arabica",$B635))&amp;" - "&amp;(IF($C635="","Commercial",$C635))),Variables!$B$1:$D$1,0),1))*(BJ635/365))+(INDEX(Variables!$B$8:$D$8,IFERROR(MATCH(IF($B635="Robusta","Robusta",(IF($B635="","Arabica",$B635))&amp;" - "&amp;(IF($C635="","Commercial",$C635))),Variables!$B$1:$D$1,0),1))*L635/16.67)),""))</f>
        <v>-261.69474414013246</v>
      </c>
    </row>
    <row r="636" spans="1:63">
      <c r="A636" s="13" t="s">
        <v>103</v>
      </c>
      <c r="B636" s="13" t="s">
        <v>104</v>
      </c>
      <c r="C636" s="13" t="s">
        <v>292</v>
      </c>
      <c r="D636" s="31">
        <v>46022</v>
      </c>
      <c r="E636" s="31">
        <v>46023</v>
      </c>
      <c r="F636" s="31">
        <v>46053</v>
      </c>
      <c r="G636" s="13">
        <v>3787084</v>
      </c>
      <c r="J636" s="13" t="s">
        <v>1746</v>
      </c>
      <c r="K636" s="13" t="s">
        <v>1756</v>
      </c>
      <c r="L636" s="13">
        <v>44</v>
      </c>
      <c r="M636" s="13">
        <v>0</v>
      </c>
      <c r="N636" s="13" t="s">
        <v>1757</v>
      </c>
      <c r="O636" s="13" t="s">
        <v>304</v>
      </c>
      <c r="P636" s="13">
        <v>10010</v>
      </c>
      <c r="R636" s="13" t="s">
        <v>384</v>
      </c>
      <c r="S636" s="13" t="s">
        <v>437</v>
      </c>
      <c r="T636" s="13" t="s">
        <v>438</v>
      </c>
      <c r="U636" s="13" t="s">
        <v>182</v>
      </c>
      <c r="V636" s="23">
        <v>156</v>
      </c>
      <c r="W636" s="44">
        <f>IF($AX636="Cancelled","",IFERROR(((V636+INDEX(Variables!$B$6:$D$6,IFERROR(MATCH(IF($B636="Robusta","Robusta",(IF($B636="","Arabica",$B636))&amp;" - "&amp;(IF($C636="","Commercial",$C636))),Variables!$B$1:$D$1,0),1)))*22.0462)*(L636/16.67),""))</f>
        <v>25999.439414517092</v>
      </c>
      <c r="Y636" s="13" t="str">
        <f>IF($AX636="Cancelled","",IF(X636="","",IFERROR(IF(INDEX(Variables!$B$38:$B$47,MATCH(X636,Variables!$A$38:$A$47,0))="Yes","Yes","No"),"No")))</f>
        <v/>
      </c>
      <c r="Z636" s="31"/>
      <c r="AC636" s="13" t="str">
        <f t="shared" si="27"/>
        <v/>
      </c>
      <c r="AF636" s="71">
        <v>46056</v>
      </c>
      <c r="AG636" s="31">
        <f>IF($AX636="Cancelled","",IFERROR(IF(F636="","",F636-Variables!$B$13),""))</f>
        <v>46038</v>
      </c>
      <c r="AH636" s="13" t="str">
        <f>IF($AX636="Cancelled","",IFERROR(IF(AB636="","",(AVERAGE(E636:F636)-AB636)-Variables!$B$14),""))</f>
        <v/>
      </c>
      <c r="AJ636" s="47">
        <v>46094</v>
      </c>
      <c r="AK636" s="14">
        <f>IF($AX636="Cancelled","",IFERROR(IF(AJ636="","",IF(AND(AB636="",AF636=""),"",IF(AF636&gt;AB636,AF636+Variables!$B$15+Variables!$B$16+Variables!$B$17-AJ636,AB636+Variables!$B$16+Variables!$B$17-AJ636))),""))</f>
        <v>-23</v>
      </c>
      <c r="AL636" s="48" t="s">
        <v>114</v>
      </c>
      <c r="AM636" s="13" t="s">
        <v>115</v>
      </c>
      <c r="AN636" s="13" t="s">
        <v>1749</v>
      </c>
      <c r="AP636" s="31">
        <v>46104</v>
      </c>
      <c r="AR636" s="13">
        <v>267265120</v>
      </c>
      <c r="AS636" s="31">
        <v>46104</v>
      </c>
      <c r="AU636" s="31">
        <v>46113</v>
      </c>
      <c r="AV636" s="13" t="s">
        <v>865</v>
      </c>
      <c r="AW636" s="31">
        <v>46127</v>
      </c>
      <c r="AX636" s="13" t="str">
        <f>IF(ISNUMBER(SEARCH("cancel",#REF!)),"Cancelled",IF(AND(AS636&lt;&gt;"",AU636&lt;&gt;"",AW636&lt;&gt;""),"Closed","Open"))</f>
        <v>Closed</v>
      </c>
      <c r="AY636" s="15" t="str">
        <f t="shared" si="28"/>
        <v>All dates received</v>
      </c>
      <c r="BD636" s="13">
        <f>IF($AX636="Cancelled","",IFERROR(IF(OR(AS636="",AJ636=""),"",(AJ636+Variables!$B$18-AS636)),""))</f>
        <v>5</v>
      </c>
      <c r="BE636" s="13">
        <f>IF($AX636="Cancelled","",IFERROR(IF(OR(AW636="",AS636=""),"",(AS636+Variables!$B$19)-AW636),""))</f>
        <v>-18</v>
      </c>
      <c r="BF636" s="44">
        <f>IF($AX636="Cancelled","",IFERROR(W636*INDEX(Variables!$B$7:$D$7,IFERROR(MATCH(IF($B636="Robusta","Robusta",(IF($B636="","Arabica",$B636))&amp;" - "&amp;(IF($C636="","Commercial",$C636))),Variables!$B$1:$D$1,0),1))*(BE636/365),""))</f>
        <v>-82.676764218810774</v>
      </c>
      <c r="BG636" s="44" t="str">
        <f>IF($AX636="Cancelled","",IFERROR((W636*INDEX(Variables!$B$7:$D$7,IFERROR(MATCH(IF($B636="Robusta","Robusta",(IF($B636="","Arabica",$B636))&amp;" - "&amp;(IF($C636="","Commercial",$C636))),Variables!$B$1:$D$1,0),1))*IFERROR(IF(AB636="","",(AVERAGE(E636:F636)-AB636)-Variables!$B$14),"")/365)+(L636/16.67*INDEX(Variables!$B$8:$D$8,IFERROR(MATCH(IF($B636="Robusta","Robusta",(IF($B636="","Arabica",$B636))&amp;" - "&amp;(IF($C636="","Commercial",$C636))),Variables!$B$1:$D$1,0),1))*IFERROR(IF(AB636="","",(AVERAGE(E636:F636)-AB636)-Variables!$B$14),""))+(W636*INDEX(Variables!$B$9:$D$9,IFERROR(MATCH(IF($B636="Robusta","Robusta",(IF($B636="","Arabica",$B636))&amp;" - "&amp;(IF($C636="","Commercial",$C636))),Variables!$B$1:$D$1,0),1))*IFERROR(IF(AB636="","",(AVERAGE(E636:F636)-AB636)-Variables!$B$14),"")/365),""))</f>
        <v/>
      </c>
      <c r="BH636" s="44">
        <f>IF($AX636="Cancelled","",IFERROR((W636*INDEX(Variables!$B$7:$D$7,IFERROR(MATCH(IF($B636="Robusta","Robusta",(IF($B636="","Arabica",$B636))&amp;" - "&amp;(IF($C636="","Commercial",$C636))),Variables!$B$1:$D$1,0),1))*AK636/365)+(L636/16.67*INDEX(Variables!$B$8:$D$8,IFERROR(MATCH(IF($B636="Robusta","Robusta",(IF($B636="","Arabica",$B636))&amp;" - "&amp;(IF($C636="","Commercial",$C636))),Variables!$B$1:$D$1,0),1))*AK636)+(W636*INDEX(Variables!$B$9:$D$9,IFERROR(MATCH(IF($B636="Robusta","Robusta",(IF($B636="","Arabica",$B636))&amp;" - "&amp;(IF($C636="","Commercial",$C636))),Variables!$B$1:$D$1,0),1))*AK636/365),""))</f>
        <v>-157.60446817151077</v>
      </c>
      <c r="BI636" s="44">
        <f>IF($AX636="Cancelled","",IFERROR((W636*INDEX(Variables!$B$7:$D$7,IFERROR(MATCH(IF($B636="Robusta","Robusta",(IF($B636="","Arabica",$B636))&amp;" - "&amp;(IF($C636="","Commercial",$C636))),Variables!$B$1:$D$1,0),1))*BD636/365)+(L636/16.67*INDEX(Variables!$B$8:$D$8,IFERROR(MATCH(IF($B636="Robusta","Robusta",(IF($B636="","Arabica",$B636))&amp;" - "&amp;(IF($C636="","Commercial",$C636))),Variables!$B$1:$D$1,0),1))*BD636)+(W636*INDEX(Variables!$B$9:$D$9,IFERROR(MATCH(IF($B636="Robusta","Robusta",(IF($B636="","Arabica",$B636))&amp;" - "&amp;(IF($C636="","Commercial",$C636))),Variables!$B$1:$D$1,0),1))*BD636/365),""))</f>
        <v>34.261840906850168</v>
      </c>
      <c r="BJ636" s="44">
        <f t="shared" si="29"/>
        <v>-51</v>
      </c>
      <c r="BK636" s="44">
        <f>IF($AX636="Cancelled","",IFERROR(IF(BJ636="","",(W636*INDEX(Variables!$B$7:$D$7,IFERROR(MATCH(IF($B636="Robusta","Robusta",(IF($B636="","Arabica",$B636))&amp;" - "&amp;(IF($C636="","Commercial",$C636))),Variables!$B$1:$D$1,0),1))*(BJ636/365))+(W636*INDEX(Variables!$B$9:$D$9,IFERROR(MATCH(IF($B636="Robusta","Robusta",(IF($B636="","Arabica",$B636))&amp;" - "&amp;(IF($C636="","Commercial",$C636))),Variables!$B$1:$D$1,0),1))*(BJ636/365))+(INDEX(Variables!$B$8:$D$8,IFERROR(MATCH(IF($B636="Robusta","Robusta",(IF($B636="","Arabica",$B636))&amp;" - "&amp;(IF($C636="","Commercial",$C636))),Variables!$B$1:$D$1,0),1))*L636/16.67)),""))</f>
        <v>-235.07077724987172</v>
      </c>
    </row>
    <row r="637" spans="1:63">
      <c r="A637" s="13" t="s">
        <v>103</v>
      </c>
      <c r="B637" s="13" t="s">
        <v>104</v>
      </c>
      <c r="C637" s="13" t="s">
        <v>292</v>
      </c>
      <c r="D637" s="31">
        <v>46022</v>
      </c>
      <c r="E637" s="31">
        <v>46023</v>
      </c>
      <c r="F637" s="31">
        <v>46053</v>
      </c>
      <c r="G637" s="13">
        <v>3787085</v>
      </c>
      <c r="J637" s="13" t="s">
        <v>1746</v>
      </c>
      <c r="K637" s="13" t="s">
        <v>1758</v>
      </c>
      <c r="L637" s="13">
        <v>24</v>
      </c>
      <c r="M637" s="13">
        <v>0</v>
      </c>
      <c r="N637" s="13" t="s">
        <v>1759</v>
      </c>
      <c r="O637" s="13" t="s">
        <v>297</v>
      </c>
      <c r="P637" s="13">
        <v>10020</v>
      </c>
      <c r="R637" s="13" t="s">
        <v>384</v>
      </c>
      <c r="S637" s="13" t="s">
        <v>437</v>
      </c>
      <c r="T637" s="13" t="s">
        <v>438</v>
      </c>
      <c r="U637" s="13" t="s">
        <v>182</v>
      </c>
      <c r="V637" s="23">
        <v>133</v>
      </c>
      <c r="W637" s="44">
        <f>IF($AX637="Cancelled","",IFERROR(((V637+INDEX(Variables!$B$6:$D$6,IFERROR(MATCH(IF($B637="Robusta","Robusta",(IF($B637="","Arabica",$B637))&amp;" - "&amp;(IF($C637="","Commercial",$C637))),Variables!$B$1:$D$1,0),1)))*22.0462)*(L637/16.67),""))</f>
        <v>13451.488268746249</v>
      </c>
      <c r="Y637" s="13" t="str">
        <f>IF($AX637="Cancelled","",IF(X637="","",IFERROR(IF(INDEX(Variables!$B$38:$B$47,MATCH(X637,Variables!$A$38:$A$47,0))="Yes","Yes","No"),"No")))</f>
        <v/>
      </c>
      <c r="Z637" s="31"/>
      <c r="AC637" s="13" t="str">
        <f t="shared" si="27"/>
        <v/>
      </c>
      <c r="AF637" s="71">
        <v>46059</v>
      </c>
      <c r="AG637" s="31">
        <f>IF($AX637="Cancelled","",IFERROR(IF(F637="","",F637-Variables!$B$13),""))</f>
        <v>46038</v>
      </c>
      <c r="AH637" s="13" t="str">
        <f>IF($AX637="Cancelled","",IFERROR(IF(AB637="","",(AVERAGE(E637:F637)-AB637)-Variables!$B$14),""))</f>
        <v/>
      </c>
      <c r="AJ637" s="47">
        <v>46094</v>
      </c>
      <c r="AK637" s="14">
        <f>IF($AX637="Cancelled","",IFERROR(IF(AJ637="","",IF(AND(AB637="",AF637=""),"",IF(AF637&gt;AB637,AF637+Variables!$B$15+Variables!$B$16+Variables!$B$17-AJ637,AB637+Variables!$B$16+Variables!$B$17-AJ637))),""))</f>
        <v>-20</v>
      </c>
      <c r="AL637" s="48" t="s">
        <v>114</v>
      </c>
      <c r="AM637" s="13" t="s">
        <v>115</v>
      </c>
      <c r="AN637" s="13" t="s">
        <v>1749</v>
      </c>
      <c r="AP637" s="31">
        <v>46104</v>
      </c>
      <c r="AR637" s="13">
        <v>267265120</v>
      </c>
      <c r="AS637" s="31">
        <v>46104</v>
      </c>
      <c r="AU637" s="31">
        <v>46113</v>
      </c>
      <c r="AV637" s="13" t="s">
        <v>865</v>
      </c>
      <c r="AW637" s="31">
        <v>46127</v>
      </c>
      <c r="AX637" s="13" t="str">
        <f>IF(ISNUMBER(SEARCH("cancel",#REF!)),"Cancelled",IF(AND(AS637&lt;&gt;"",AU637&lt;&gt;"",AW637&lt;&gt;""),"Closed","Open"))</f>
        <v>Closed</v>
      </c>
      <c r="AY637" s="15" t="str">
        <f t="shared" si="28"/>
        <v>All dates received</v>
      </c>
      <c r="BD637" s="13">
        <f>IF($AX637="Cancelled","",IFERROR(IF(OR(AS637="",AJ637=""),"",(AJ637+Variables!$B$18-AS637)),""))</f>
        <v>5</v>
      </c>
      <c r="BE637" s="13">
        <f>IF($AX637="Cancelled","",IFERROR(IF(OR(AW637="",AS637=""),"",(AS637+Variables!$B$19)-AW637),""))</f>
        <v>-18</v>
      </c>
      <c r="BF637" s="44">
        <f>IF($AX637="Cancelled","",IFERROR(W637*INDEX(Variables!$B$7:$D$7,IFERROR(MATCH(IF($B637="Robusta","Robusta",(IF($B637="","Arabica",$B637))&amp;" - "&amp;(IF($C637="","Commercial",$C637))),Variables!$B$1:$D$1,0),1))*(BE637/365),""))</f>
        <v>-42.774980885405725</v>
      </c>
      <c r="BG637" s="44" t="str">
        <f>IF($AX637="Cancelled","",IFERROR((W637*INDEX(Variables!$B$7:$D$7,IFERROR(MATCH(IF($B637="Robusta","Robusta",(IF($B637="","Arabica",$B637))&amp;" - "&amp;(IF($C637="","Commercial",$C637))),Variables!$B$1:$D$1,0),1))*IFERROR(IF(AB637="","",(AVERAGE(E637:F637)-AB637)-Variables!$B$14),"")/365)+(L637/16.67*INDEX(Variables!$B$8:$D$8,IFERROR(MATCH(IF($B637="Robusta","Robusta",(IF($B637="","Arabica",$B637))&amp;" - "&amp;(IF($C637="","Commercial",$C637))),Variables!$B$1:$D$1,0),1))*IFERROR(IF(AB637="","",(AVERAGE(E637:F637)-AB637)-Variables!$B$14),""))+(W637*INDEX(Variables!$B$9:$D$9,IFERROR(MATCH(IF($B637="Robusta","Robusta",(IF($B637="","Arabica",$B637))&amp;" - "&amp;(IF($C637="","Commercial",$C637))),Variables!$B$1:$D$1,0),1))*IFERROR(IF(AB637="","",(AVERAGE(E637:F637)-AB637)-Variables!$B$14),"")/365),""))</f>
        <v/>
      </c>
      <c r="BH637" s="44">
        <f>IF($AX637="Cancelled","",IFERROR((W637*INDEX(Variables!$B$7:$D$7,IFERROR(MATCH(IF($B637="Robusta","Robusta",(IF($B637="","Arabica",$B637))&amp;" - "&amp;(IF($C637="","Commercial",$C637))),Variables!$B$1:$D$1,0),1))*AK637/365)+(L637/16.67*INDEX(Variables!$B$8:$D$8,IFERROR(MATCH(IF($B637="Robusta","Robusta",(IF($B637="","Arabica",$B637))&amp;" - "&amp;(IF($C637="","Commercial",$C637))),Variables!$B$1:$D$1,0),1))*AK637)+(W637*INDEX(Variables!$B$9:$D$9,IFERROR(MATCH(IF($B637="Robusta","Robusta",(IF($B637="","Arabica",$B637))&amp;" - "&amp;(IF($C637="","Commercial",$C637))),Variables!$B$1:$D$1,0),1))*AK637/365),""))</f>
        <v>-72.140481043329217</v>
      </c>
      <c r="BI637" s="44">
        <f>IF($AX637="Cancelled","",IFERROR((W637*INDEX(Variables!$B$7:$D$7,IFERROR(MATCH(IF($B637="Robusta","Robusta",(IF($B637="","Arabica",$B637))&amp;" - "&amp;(IF($C637="","Commercial",$C637))),Variables!$B$1:$D$1,0),1))*BD637/365)+(L637/16.67*INDEX(Variables!$B$8:$D$8,IFERROR(MATCH(IF($B637="Robusta","Robusta",(IF($B637="","Arabica",$B637))&amp;" - "&amp;(IF($C637="","Commercial",$C637))),Variables!$B$1:$D$1,0),1))*BD637)+(W637*INDEX(Variables!$B$9:$D$9,IFERROR(MATCH(IF($B637="Robusta","Robusta",(IF($B637="","Arabica",$B637))&amp;" - "&amp;(IF($C637="","Commercial",$C637))),Variables!$B$1:$D$1,0),1))*BD637/365),""))</f>
        <v>18.035120260832304</v>
      </c>
      <c r="BJ637" s="44">
        <f t="shared" si="29"/>
        <v>-51</v>
      </c>
      <c r="BK637" s="44">
        <f>IF($AX637="Cancelled","",IFERROR(IF(BJ637="","",(W637*INDEX(Variables!$B$7:$D$7,IFERROR(MATCH(IF($B637="Robusta","Robusta",(IF($B637="","Arabica",$B637))&amp;" - "&amp;(IF($C637="","Commercial",$C637))),Variables!$B$1:$D$1,0),1))*(BJ637/365))+(W637*INDEX(Variables!$B$9:$D$9,IFERROR(MATCH(IF($B637="Robusta","Robusta",(IF($B637="","Arabica",$B637))&amp;" - "&amp;(IF($C637="","Commercial",$C637))),Variables!$B$1:$D$1,0),1))*(BJ637/365))+(INDEX(Variables!$B$8:$D$8,IFERROR(MATCH(IF($B637="Robusta","Robusta",(IF($B637="","Arabica",$B637))&amp;" - "&amp;(IF($C637="","Commercial",$C637))),Variables!$B$1:$D$1,0),1))*L637/16.67)),""))</f>
        <v>-121.55822666048951</v>
      </c>
    </row>
    <row r="638" spans="1:63">
      <c r="A638" s="13" t="s">
        <v>103</v>
      </c>
      <c r="B638" s="13" t="s">
        <v>104</v>
      </c>
      <c r="C638" s="13" t="s">
        <v>292</v>
      </c>
      <c r="D638" s="31">
        <v>46022</v>
      </c>
      <c r="E638" s="31">
        <v>46023</v>
      </c>
      <c r="F638" s="31">
        <v>46053</v>
      </c>
      <c r="G638" s="13">
        <v>3787086</v>
      </c>
      <c r="J638" s="13" t="s">
        <v>1746</v>
      </c>
      <c r="K638" s="13" t="s">
        <v>1760</v>
      </c>
      <c r="L638" s="13">
        <v>34</v>
      </c>
      <c r="M638" s="13">
        <v>0</v>
      </c>
      <c r="N638" s="13" t="s">
        <v>1761</v>
      </c>
      <c r="O638" s="13" t="s">
        <v>304</v>
      </c>
      <c r="P638" s="13">
        <v>10010</v>
      </c>
      <c r="R638" s="13" t="s">
        <v>384</v>
      </c>
      <c r="S638" s="13" t="s">
        <v>437</v>
      </c>
      <c r="T638" s="13" t="s">
        <v>438</v>
      </c>
      <c r="U638" s="13" t="s">
        <v>182</v>
      </c>
      <c r="V638" s="23">
        <v>169</v>
      </c>
      <c r="W638" s="44">
        <f>IF($AX638="Cancelled","",IFERROR(((V638+INDEX(Variables!$B$6:$D$6,IFERROR(MATCH(IF($B638="Robusta","Robusta",(IF($B638="","Arabica",$B638))&amp;" - "&amp;(IF($C638="","Commercial",$C638))),Variables!$B$1:$D$1,0),1)))*22.0462)*(L638/16.67),""))</f>
        <v>20675.024225554887</v>
      </c>
      <c r="Y638" s="13" t="str">
        <f>IF($AX638="Cancelled","",IF(X638="","",IFERROR(IF(INDEX(Variables!$B$38:$B$47,MATCH(X638,Variables!$A$38:$A$47,0))="Yes","Yes","No"),"No")))</f>
        <v/>
      </c>
      <c r="Z638" s="31"/>
      <c r="AC638" s="13" t="str">
        <f t="shared" si="27"/>
        <v/>
      </c>
      <c r="AF638" s="71">
        <v>46086</v>
      </c>
      <c r="AG638" s="31">
        <f>IF($AX638="Cancelled","",IFERROR(IF(F638="","",F638-Variables!$B$13),""))</f>
        <v>46038</v>
      </c>
      <c r="AH638" s="13" t="str">
        <f>IF($AX638="Cancelled","",IFERROR(IF(AB638="","",(AVERAGE(E638:F638)-AB638)-Variables!$B$14),""))</f>
        <v/>
      </c>
      <c r="AJ638" s="47">
        <v>46094</v>
      </c>
      <c r="AK638" s="14">
        <f>IF($AX638="Cancelled","",IFERROR(IF(AJ638="","",IF(AND(AB638="",AF638=""),"",IF(AF638&gt;AB638,AF638+Variables!$B$15+Variables!$B$16+Variables!$B$17-AJ638,AB638+Variables!$B$16+Variables!$B$17-AJ638))),""))</f>
        <v>7</v>
      </c>
      <c r="AL638" s="48" t="s">
        <v>114</v>
      </c>
      <c r="AM638" s="13" t="s">
        <v>115</v>
      </c>
      <c r="AN638" s="13" t="s">
        <v>1749</v>
      </c>
      <c r="AP638" s="31">
        <v>46104</v>
      </c>
      <c r="AR638" s="13">
        <v>267265120</v>
      </c>
      <c r="AS638" s="31">
        <v>46104</v>
      </c>
      <c r="AU638" s="31">
        <v>46113</v>
      </c>
      <c r="AV638" s="13" t="s">
        <v>865</v>
      </c>
      <c r="AW638" s="31">
        <v>46127</v>
      </c>
      <c r="AX638" s="13" t="str">
        <f>IF(ISNUMBER(SEARCH("cancel",#REF!)),"Cancelled",IF(AND(AS638&lt;&gt;"",AU638&lt;&gt;"",AW638&lt;&gt;""),"Closed","Open"))</f>
        <v>Closed</v>
      </c>
      <c r="AY638" s="15" t="str">
        <f t="shared" si="28"/>
        <v>All dates received</v>
      </c>
      <c r="BD638" s="13">
        <f>IF($AX638="Cancelled","",IFERROR(IF(OR(AS638="",AJ638=""),"",(AJ638+Variables!$B$18-AS638)),""))</f>
        <v>5</v>
      </c>
      <c r="BE638" s="13">
        <f>IF($AX638="Cancelled","",IFERROR(IF(OR(AW638="",AS638=""),"",(AS638+Variables!$B$19)-AW638),""))</f>
        <v>-18</v>
      </c>
      <c r="BF638" s="44">
        <f>IF($AX638="Cancelled","",IFERROR(W638*INDEX(Variables!$B$7:$D$7,IFERROR(MATCH(IF($B638="Robusta","Robusta",(IF($B638="","Arabica",$B638))&amp;" - "&amp;(IF($C638="","Commercial",$C638))),Variables!$B$1:$D$1,0),1))*(BE638/365),""))</f>
        <v>-65.745421501663998</v>
      </c>
      <c r="BG638" s="44" t="str">
        <f>IF($AX638="Cancelled","",IFERROR((W638*INDEX(Variables!$B$7:$D$7,IFERROR(MATCH(IF($B638="Robusta","Robusta",(IF($B638="","Arabica",$B638))&amp;" - "&amp;(IF($C638="","Commercial",$C638))),Variables!$B$1:$D$1,0),1))*IFERROR(IF(AB638="","",(AVERAGE(E638:F638)-AB638)-Variables!$B$14),"")/365)+(L638/16.67*INDEX(Variables!$B$8:$D$8,IFERROR(MATCH(IF($B638="Robusta","Robusta",(IF($B638="","Arabica",$B638))&amp;" - "&amp;(IF($C638="","Commercial",$C638))),Variables!$B$1:$D$1,0),1))*IFERROR(IF(AB638="","",(AVERAGE(E638:F638)-AB638)-Variables!$B$14),""))+(W638*INDEX(Variables!$B$9:$D$9,IFERROR(MATCH(IF($B638="Robusta","Robusta",(IF($B638="","Arabica",$B638))&amp;" - "&amp;(IF($C638="","Commercial",$C638))),Variables!$B$1:$D$1,0),1))*IFERROR(IF(AB638="","",(AVERAGE(E638:F638)-AB638)-Variables!$B$14),"")/365),""))</f>
        <v/>
      </c>
      <c r="BH638" s="44">
        <f>IF($AX638="Cancelled","",IFERROR((W638*INDEX(Variables!$B$7:$D$7,IFERROR(MATCH(IF($B638="Robusta","Robusta",(IF($B638="","Arabica",$B638))&amp;" - "&amp;(IF($C638="","Commercial",$C638))),Variables!$B$1:$D$1,0),1))*AK638/365)+(L638/16.67*INDEX(Variables!$B$8:$D$8,IFERROR(MATCH(IF($B638="Robusta","Robusta",(IF($B638="","Arabica",$B638))&amp;" - "&amp;(IF($C638="","Commercial",$C638))),Variables!$B$1:$D$1,0),1))*AK638)+(W638*INDEX(Variables!$B$9:$D$9,IFERROR(MATCH(IF($B638="Robusta","Robusta",(IF($B638="","Arabica",$B638))&amp;" - "&amp;(IF($C638="","Commercial",$C638))),Variables!$B$1:$D$1,0),1))*AK638/365),""))</f>
        <v>37.797280447371108</v>
      </c>
      <c r="BI638" s="44">
        <f>IF($AX638="Cancelled","",IFERROR((W638*INDEX(Variables!$B$7:$D$7,IFERROR(MATCH(IF($B638="Robusta","Robusta",(IF($B638="","Arabica",$B638))&amp;" - "&amp;(IF($C638="","Commercial",$C638))),Variables!$B$1:$D$1,0),1))*BD638/365)+(L638/16.67*INDEX(Variables!$B$8:$D$8,IFERROR(MATCH(IF($B638="Robusta","Robusta",(IF($B638="","Arabica",$B638))&amp;" - "&amp;(IF($C638="","Commercial",$C638))),Variables!$B$1:$D$1,0),1))*BD638)+(W638*INDEX(Variables!$B$9:$D$9,IFERROR(MATCH(IF($B638="Robusta","Robusta",(IF($B638="","Arabica",$B638))&amp;" - "&amp;(IF($C638="","Commercial",$C638))),Variables!$B$1:$D$1,0),1))*BD638/365),""))</f>
        <v>26.998057462407935</v>
      </c>
      <c r="BJ638" s="44">
        <f t="shared" si="29"/>
        <v>-51</v>
      </c>
      <c r="BK638" s="44">
        <f>IF($AX638="Cancelled","",IFERROR(IF(BJ638="","",(W638*INDEX(Variables!$B$7:$D$7,IFERROR(MATCH(IF($B638="Robusta","Robusta",(IF($B638="","Arabica",$B638))&amp;" - "&amp;(IF($C638="","Commercial",$C638))),Variables!$B$1:$D$1,0),1))*(BJ638/365))+(W638*INDEX(Variables!$B$9:$D$9,IFERROR(MATCH(IF($B638="Robusta","Robusta",(IF($B638="","Arabica",$B638))&amp;" - "&amp;(IF($C638="","Commercial",$C638))),Variables!$B$1:$D$1,0),1))*(BJ638/365))+(INDEX(Variables!$B$8:$D$8,IFERROR(MATCH(IF($B638="Robusta","Robusta",(IF($B638="","Arabica",$B638))&amp;" - "&amp;(IF($C638="","Commercial",$C638))),Variables!$B$1:$D$1,0),1))*L638/16.67)),""))</f>
        <v>-186.98018611656096</v>
      </c>
    </row>
    <row r="639" spans="1:63">
      <c r="A639" s="13" t="s">
        <v>103</v>
      </c>
      <c r="B639" s="13" t="s">
        <v>104</v>
      </c>
      <c r="C639" s="13" t="s">
        <v>292</v>
      </c>
      <c r="D639" s="31">
        <v>46022</v>
      </c>
      <c r="E639" s="31">
        <v>46023</v>
      </c>
      <c r="F639" s="31">
        <v>46053</v>
      </c>
      <c r="G639" s="13">
        <v>3787087</v>
      </c>
      <c r="J639" s="13" t="s">
        <v>1746</v>
      </c>
      <c r="K639" s="13" t="s">
        <v>1762</v>
      </c>
      <c r="L639" s="13">
        <v>34</v>
      </c>
      <c r="M639" s="13">
        <v>0</v>
      </c>
      <c r="N639" s="13" t="s">
        <v>1763</v>
      </c>
      <c r="O639" s="13" t="s">
        <v>297</v>
      </c>
      <c r="P639" s="13">
        <v>10020</v>
      </c>
      <c r="R639" s="13" t="s">
        <v>384</v>
      </c>
      <c r="S639" s="13" t="s">
        <v>437</v>
      </c>
      <c r="T639" s="13" t="s">
        <v>438</v>
      </c>
      <c r="U639" s="13" t="s">
        <v>182</v>
      </c>
      <c r="V639" s="23">
        <v>135</v>
      </c>
      <c r="W639" s="44">
        <f>IF($AX639="Cancelled","",IFERROR(((V639+INDEX(Variables!$B$6:$D$6,IFERROR(MATCH(IF($B639="Robusta","Robusta",(IF($B639="","Arabica",$B639))&amp;" - "&amp;(IF($C639="","Commercial",$C639))),Variables!$B$1:$D$1,0),1)))*22.0462)*(L639/16.67),""))</f>
        <v>19146.20555728854</v>
      </c>
      <c r="Y639" s="13" t="str">
        <f>IF($AX639="Cancelled","",IF(X639="","",IFERROR(IF(INDEX(Variables!$B$38:$B$47,MATCH(X639,Variables!$A$38:$A$47,0))="Yes","Yes","No"),"No")))</f>
        <v/>
      </c>
      <c r="Z639" s="31"/>
      <c r="AC639" s="13" t="str">
        <f t="shared" si="27"/>
        <v/>
      </c>
      <c r="AF639" s="71">
        <v>46056</v>
      </c>
      <c r="AG639" s="31">
        <f>IF($AX639="Cancelled","",IFERROR(IF(F639="","",F639-Variables!$B$13),""))</f>
        <v>46038</v>
      </c>
      <c r="AH639" s="13" t="str">
        <f>IF($AX639="Cancelled","",IFERROR(IF(AB639="","",(AVERAGE(E639:F639)-AB639)-Variables!$B$14),""))</f>
        <v/>
      </c>
      <c r="AJ639" s="47">
        <v>46094</v>
      </c>
      <c r="AK639" s="14">
        <f>IF($AX639="Cancelled","",IFERROR(IF(AJ639="","",IF(AND(AB639="",AF639=""),"",IF(AF639&gt;AB639,AF639+Variables!$B$15+Variables!$B$16+Variables!$B$17-AJ639,AB639+Variables!$B$16+Variables!$B$17-AJ639))),""))</f>
        <v>-23</v>
      </c>
      <c r="AL639" s="48" t="s">
        <v>114</v>
      </c>
      <c r="AM639" s="13" t="s">
        <v>115</v>
      </c>
      <c r="AN639" s="13" t="s">
        <v>1749</v>
      </c>
      <c r="AP639" s="31">
        <v>46104</v>
      </c>
      <c r="AR639" s="13">
        <v>267265120</v>
      </c>
      <c r="AS639" s="31">
        <v>46104</v>
      </c>
      <c r="AU639" s="31">
        <v>46113</v>
      </c>
      <c r="AV639" s="13" t="s">
        <v>865</v>
      </c>
      <c r="AW639" s="31">
        <v>46127</v>
      </c>
      <c r="AX639" s="13" t="str">
        <f>IF(ISNUMBER(SEARCH("cancel",#REF!)),"Cancelled",IF(AND(AS639&lt;&gt;"",AU639&lt;&gt;"",AW639&lt;&gt;""),"Closed","Open"))</f>
        <v>Closed</v>
      </c>
      <c r="AY639" s="15" t="str">
        <f t="shared" si="28"/>
        <v>All dates received</v>
      </c>
      <c r="BD639" s="13">
        <f>IF($AX639="Cancelled","",IFERROR(IF(OR(AS639="",AJ639=""),"",(AJ639+Variables!$B$18-AS639)),""))</f>
        <v>5</v>
      </c>
      <c r="BE639" s="13">
        <f>IF($AX639="Cancelled","",IFERROR(IF(OR(AW639="",AS639=""),"",(AS639+Variables!$B$19)-AW639),""))</f>
        <v>-18</v>
      </c>
      <c r="BF639" s="44">
        <f>IF($AX639="Cancelled","",IFERROR(W639*INDEX(Variables!$B$7:$D$7,IFERROR(MATCH(IF($B639="Robusta","Robusta",(IF($B639="","Arabica",$B639))&amp;" - "&amp;(IF($C639="","Commercial",$C639))),Variables!$B$1:$D$1,0),1))*(BE639/365),""))</f>
        <v>-60.88386358288065</v>
      </c>
      <c r="BG639" s="44" t="str">
        <f>IF($AX639="Cancelled","",IFERROR((W639*INDEX(Variables!$B$7:$D$7,IFERROR(MATCH(IF($B639="Robusta","Robusta",(IF($B639="","Arabica",$B639))&amp;" - "&amp;(IF($C639="","Commercial",$C639))),Variables!$B$1:$D$1,0),1))*IFERROR(IF(AB639="","",(AVERAGE(E639:F639)-AB639)-Variables!$B$14),"")/365)+(L639/16.67*INDEX(Variables!$B$8:$D$8,IFERROR(MATCH(IF($B639="Robusta","Robusta",(IF($B639="","Arabica",$B639))&amp;" - "&amp;(IF($C639="","Commercial",$C639))),Variables!$B$1:$D$1,0),1))*IFERROR(IF(AB639="","",(AVERAGE(E639:F639)-AB639)-Variables!$B$14),""))+(W639*INDEX(Variables!$B$9:$D$9,IFERROR(MATCH(IF($B639="Robusta","Robusta",(IF($B639="","Arabica",$B639))&amp;" - "&amp;(IF($C639="","Commercial",$C639))),Variables!$B$1:$D$1,0),1))*IFERROR(IF(AB639="","",(AVERAGE(E639:F639)-AB639)-Variables!$B$14),"")/365),""))</f>
        <v/>
      </c>
      <c r="BH639" s="44">
        <f>IF($AX639="Cancelled","",IFERROR((W639*INDEX(Variables!$B$7:$D$7,IFERROR(MATCH(IF($B639="Robusta","Robusta",(IF($B639="","Arabica",$B639))&amp;" - "&amp;(IF($C639="","Commercial",$C639))),Variables!$B$1:$D$1,0),1))*AK639/365)+(L639/16.67*INDEX(Variables!$B$8:$D$8,IFERROR(MATCH(IF($B639="Robusta","Robusta",(IF($B639="","Arabica",$B639))&amp;" - "&amp;(IF($C639="","Commercial",$C639))),Variables!$B$1:$D$1,0),1))*AK639)+(W639*INDEX(Variables!$B$9:$D$9,IFERROR(MATCH(IF($B639="Robusta","Robusta",(IF($B639="","Arabica",$B639))&amp;" - "&amp;(IF($C639="","Commercial",$C639))),Variables!$B$1:$D$1,0),1))*AK639/365),""))</f>
        <v>-117.89898910497863</v>
      </c>
      <c r="BI639" s="44">
        <f>IF($AX639="Cancelled","",IFERROR((W639*INDEX(Variables!$B$7:$D$7,IFERROR(MATCH(IF($B639="Robusta","Robusta",(IF($B639="","Arabica",$B639))&amp;" - "&amp;(IF($C639="","Commercial",$C639))),Variables!$B$1:$D$1,0),1))*BD639/365)+(L639/16.67*INDEX(Variables!$B$8:$D$8,IFERROR(MATCH(IF($B639="Robusta","Robusta",(IF($B639="","Arabica",$B639))&amp;" - "&amp;(IF($C639="","Commercial",$C639))),Variables!$B$1:$D$1,0),1))*BD639)+(W639*INDEX(Variables!$B$9:$D$9,IFERROR(MATCH(IF($B639="Robusta","Robusta",(IF($B639="","Arabica",$B639))&amp;" - "&amp;(IF($C639="","Commercial",$C639))),Variables!$B$1:$D$1,0),1))*BD639/365),""))</f>
        <v>25.630215022821435</v>
      </c>
      <c r="BJ639" s="44">
        <f t="shared" si="29"/>
        <v>-51</v>
      </c>
      <c r="BK639" s="44">
        <f>IF($AX639="Cancelled","",IFERROR(IF(BJ639="","",(W639*INDEX(Variables!$B$7:$D$7,IFERROR(MATCH(IF($B639="Robusta","Robusta",(IF($B639="","Arabica",$B639))&amp;" - "&amp;(IF($C639="","Commercial",$C639))),Variables!$B$1:$D$1,0),1))*(BJ639/365))+(W639*INDEX(Variables!$B$9:$D$9,IFERROR(MATCH(IF($B639="Robusta","Robusta",(IF($B639="","Arabica",$B639))&amp;" - "&amp;(IF($C639="","Commercial",$C639))),Variables!$B$1:$D$1,0),1))*(BJ639/365))+(INDEX(Variables!$B$8:$D$8,IFERROR(MATCH(IF($B639="Robusta","Robusta",(IF($B639="","Arabica",$B639))&amp;" - "&amp;(IF($C639="","Commercial",$C639))),Variables!$B$1:$D$1,0),1))*L639/16.67)),""))</f>
        <v>-173.0281932327787</v>
      </c>
    </row>
    <row r="640" spans="1:63">
      <c r="A640" s="13" t="s">
        <v>103</v>
      </c>
      <c r="B640" s="13" t="s">
        <v>104</v>
      </c>
      <c r="C640" s="13" t="s">
        <v>105</v>
      </c>
      <c r="D640" s="31">
        <v>46029</v>
      </c>
      <c r="E640" s="31">
        <v>46054</v>
      </c>
      <c r="F640" s="31">
        <v>46081</v>
      </c>
      <c r="G640" s="13">
        <v>3787088</v>
      </c>
      <c r="H640" s="13">
        <v>5395</v>
      </c>
      <c r="J640" s="13" t="s">
        <v>447</v>
      </c>
      <c r="K640" s="13">
        <v>5395</v>
      </c>
      <c r="L640" s="13">
        <v>320</v>
      </c>
      <c r="M640" s="13">
        <v>1</v>
      </c>
      <c r="N640" s="13" t="s">
        <v>1764</v>
      </c>
      <c r="O640" s="13" t="s">
        <v>775</v>
      </c>
      <c r="P640" s="13">
        <v>10030</v>
      </c>
      <c r="R640" s="13" t="s">
        <v>239</v>
      </c>
      <c r="S640" s="13" t="s">
        <v>154</v>
      </c>
      <c r="T640" s="13" t="s">
        <v>155</v>
      </c>
      <c r="U640" s="13" t="s">
        <v>125</v>
      </c>
      <c r="V640" s="13">
        <v>50</v>
      </c>
      <c r="W640" s="44">
        <f>IF($AX640="Cancelled","",IFERROR(((V640+INDEX(Variables!$B$6:$D$6,IFERROR(MATCH(IF($B640="Robusta","Robusta",(IF($B640="","Arabica",$B640))&amp;" - "&amp;(IF($C640="","Commercial",$C640))),Variables!$B$1:$D$1,0),1)))*22.0462)*(L640/16.67),""))</f>
        <v>144227.3777564487</v>
      </c>
      <c r="X640" s="55" t="s">
        <v>37</v>
      </c>
      <c r="Y640" s="13" t="str">
        <f>IF($AX640="Cancelled","",IF(X640="","",IFERROR(IF(INDEX(Variables!$B$38:$B$47,MATCH(X640,Variables!$A$38:$A$47,0))="Yes","Yes","No"),"No")))</f>
        <v>Yes</v>
      </c>
      <c r="Z640" s="58">
        <v>46030</v>
      </c>
      <c r="AC640" s="13" t="str">
        <f t="shared" si="27"/>
        <v/>
      </c>
      <c r="AF640" s="71">
        <v>46052</v>
      </c>
      <c r="AG640" s="37">
        <f>IF($AX640="Cancelled","",IFERROR(IF(F640="","",F640-Variables!$B$13),""))</f>
        <v>46066</v>
      </c>
      <c r="AH640" s="13" t="str">
        <f>IF($AX640="Cancelled","",IFERROR(IF(AB640="","",(AVERAGE(E640:F640)-AB640)-Variables!$B$14),""))</f>
        <v/>
      </c>
      <c r="AJ640" s="47">
        <v>46057</v>
      </c>
      <c r="AK640" s="14">
        <f>IF($AX640="Cancelled","",IFERROR(IF(AJ640="","",IF(AND(AB640="",AF640=""),"",IF(AF640&gt;AB640,AF640+Variables!$B$15+Variables!$B$16+Variables!$B$17-AJ640,AB640+Variables!$B$16+Variables!$B$17-AJ640))),""))</f>
        <v>10</v>
      </c>
      <c r="AL640" s="48" t="s">
        <v>114</v>
      </c>
      <c r="AM640" s="13" t="s">
        <v>168</v>
      </c>
      <c r="AN640" s="13" t="s">
        <v>1765</v>
      </c>
      <c r="AR640" s="13" t="s">
        <v>1766</v>
      </c>
      <c r="AS640" s="31">
        <v>46072</v>
      </c>
      <c r="AU640" s="31">
        <v>46072</v>
      </c>
      <c r="AV640" s="13" t="s">
        <v>865</v>
      </c>
      <c r="AW640" s="31">
        <v>46072</v>
      </c>
      <c r="AX640" s="13" t="str">
        <f>IF(ISNUMBER(SEARCH("cancel",#REF!)),"Cancelled",IF(AND(AS640&lt;&gt;"",AU640&lt;&gt;"",AW640&lt;&gt;""),"Closed","Open"))</f>
        <v>Closed</v>
      </c>
      <c r="AY640" s="15" t="str">
        <f t="shared" ref="AY640:AY703" si="30">IF($AX640="Cancelled","",IF(AND(AS640&lt;&gt;"",AU640&lt;&gt;"",AW640&lt;&gt;""),"All dates received",_xlfn.TEXTJOIN(" and ",TRUE(),IF(AS640="","No sailing date",""),IF(AU640="","No shipping advice sent",""),IF(AW640="","No docs dispatch date",""))))</f>
        <v>All dates received</v>
      </c>
      <c r="BD640" s="13">
        <f>IF($AX640="Cancelled","",IFERROR(IF(OR(AS640="",AJ640=""),"",(AJ640+Variables!$B$18-AS640)),""))</f>
        <v>0</v>
      </c>
      <c r="BE640" s="13">
        <f>IF($AX640="Cancelled","",IFERROR(IF(OR(AW640="",AS640=""),"",(AS640+Variables!$B$19)-AW640),""))</f>
        <v>5</v>
      </c>
      <c r="BF640" s="44">
        <f>IF($AX640="Cancelled","",IFERROR(W640*INDEX(Variables!$B$7:$D$7,IFERROR(MATCH(IF($B640="Robusta","Robusta",(IF($B640="","Arabica",$B640))&amp;" - "&amp;(IF($C640="","Commercial",$C640))),Variables!$B$1:$D$1,0),1))*(BE640/365),""))</f>
        <v>127.39861120502569</v>
      </c>
      <c r="BG640" s="44" t="str">
        <f>IF($AX640="Cancelled","",IFERROR((W640*INDEX(Variables!$B$7:$D$7,IFERROR(MATCH(IF($B640="Robusta","Robusta",(IF($B640="","Arabica",$B640))&amp;" - "&amp;(IF($C640="","Commercial",$C640))),Variables!$B$1:$D$1,0),1))*IFERROR(IF(AB640="","",(AVERAGE(E640:F640)-AB640)-Variables!$B$14),"")/365)+(L640/16.67*INDEX(Variables!$B$8:$D$8,IFERROR(MATCH(IF($B640="Robusta","Robusta",(IF($B640="","Arabica",$B640))&amp;" - "&amp;(IF($C640="","Commercial",$C640))),Variables!$B$1:$D$1,0),1))*IFERROR(IF(AB640="","",(AVERAGE(E640:F640)-AB640)-Variables!$B$14),""))+(W640*INDEX(Variables!$B$9:$D$9,IFERROR(MATCH(IF($B640="Robusta","Robusta",(IF($B640="","Arabica",$B640))&amp;" - "&amp;(IF($C640="","Commercial",$C640))),Variables!$B$1:$D$1,0),1))*IFERROR(IF(AB640="","",(AVERAGE(E640:F640)-AB640)-Variables!$B$14),"")/365),""))</f>
        <v/>
      </c>
      <c r="BH640" s="44">
        <f>IF($AX640="Cancelled","",IFERROR((W640*INDEX(Variables!$B$7:$D$7,IFERROR(MATCH(IF($B640="Robusta","Robusta",(IF($B640="","Arabica",$B640))&amp;" - "&amp;(IF($C640="","Commercial",$C640))),Variables!$B$1:$D$1,0),1))*AK640/365)+(L640/16.67*INDEX(Variables!$B$8:$D$8,IFERROR(MATCH(IF($B640="Robusta","Robusta",(IF($B640="","Arabica",$B640))&amp;" - "&amp;(IF($C640="","Commercial",$C640))),Variables!$B$1:$D$1,0),1))*AK640)+(W640*INDEX(Variables!$B$9:$D$9,IFERROR(MATCH(IF($B640="Robusta","Robusta",(IF($B640="","Arabica",$B640))&amp;" - "&amp;(IF($C640="","Commercial",$C640))),Variables!$B$1:$D$1,0),1))*AK640/365),""))</f>
        <v>418.08205033139211</v>
      </c>
      <c r="BI640" s="44">
        <f>IF($AX640="Cancelled","",IFERROR((W640*INDEX(Variables!$B$7:$D$7,IFERROR(MATCH(IF($B640="Robusta","Robusta",(IF($B640="","Arabica",$B640))&amp;" - "&amp;(IF($C640="","Commercial",$C640))),Variables!$B$1:$D$1,0),1))*BD640/365)+(L640/16.67*INDEX(Variables!$B$8:$D$8,IFERROR(MATCH(IF($B640="Robusta","Robusta",(IF($B640="","Arabica",$B640))&amp;" - "&amp;(IF($C640="","Commercial",$C640))),Variables!$B$1:$D$1,0),1))*BD640)+(W640*INDEX(Variables!$B$9:$D$9,IFERROR(MATCH(IF($B640="Robusta","Robusta",(IF($B640="","Arabica",$B640))&amp;" - "&amp;(IF($C640="","Commercial",$C640))),Variables!$B$1:$D$1,0),1))*BD640/365),""))</f>
        <v>0</v>
      </c>
      <c r="BJ640" s="44">
        <f t="shared" si="29"/>
        <v>9</v>
      </c>
      <c r="BK640" s="44">
        <f>IF($AX640="Cancelled","",IFERROR(IF(BJ640="","",(W640*INDEX(Variables!$B$7:$D$7,IFERROR(MATCH(IF($B640="Robusta","Robusta",(IF($B640="","Arabica",$B640))&amp;" - "&amp;(IF($C640="","Commercial",$C640))),Variables!$B$1:$D$1,0),1))*(BJ640/365))+(W640*INDEX(Variables!$B$9:$D$9,IFERROR(MATCH(IF($B640="Robusta","Robusta",(IF($B640="","Arabica",$B640))&amp;" - "&amp;(IF($C640="","Commercial",$C640))),Variables!$B$1:$D$1,0),1))*(BJ640/365))+(INDEX(Variables!$B$8:$D$8,IFERROR(MATCH(IF($B640="Robusta","Robusta",(IF($B640="","Arabica",$B640))&amp;" - "&amp;(IF($C640="","Commercial",$C640))),Variables!$B$1:$D$1,0),1))*L640/16.67)),""))</f>
        <v>248.27384529825289</v>
      </c>
    </row>
    <row r="641" spans="1:63">
      <c r="A641" s="13" t="s">
        <v>103</v>
      </c>
      <c r="B641" s="13" t="s">
        <v>104</v>
      </c>
      <c r="C641" s="13" t="s">
        <v>105</v>
      </c>
      <c r="D641" s="31">
        <v>46029</v>
      </c>
      <c r="E641" s="31">
        <v>46082</v>
      </c>
      <c r="F641" s="31">
        <v>46112</v>
      </c>
      <c r="G641" s="13">
        <v>3787089</v>
      </c>
      <c r="J641" s="13" t="s">
        <v>260</v>
      </c>
      <c r="L641" s="13">
        <v>320</v>
      </c>
      <c r="M641" s="13">
        <v>1</v>
      </c>
      <c r="N641" s="13" t="s">
        <v>1767</v>
      </c>
      <c r="O641" s="13" t="s">
        <v>1037</v>
      </c>
      <c r="P641" s="13">
        <v>37030</v>
      </c>
      <c r="Q641" s="13" t="s">
        <v>121</v>
      </c>
      <c r="R641" s="13" t="s">
        <v>110</v>
      </c>
      <c r="S641" s="13" t="s">
        <v>406</v>
      </c>
      <c r="T641" s="13" t="s">
        <v>263</v>
      </c>
      <c r="U641" s="13" t="s">
        <v>125</v>
      </c>
      <c r="V641" s="13">
        <v>13</v>
      </c>
      <c r="W641" s="44">
        <f>IF($AX641="Cancelled","",IFERROR(((V641+INDEX(Variables!$B$6:$D$6,IFERROR(MATCH(IF($B641="Robusta","Robusta",(IF($B641="","Arabica",$B641))&amp;" - "&amp;(IF($C641="","Commercial",$C641))),Variables!$B$1:$D$1,0),1)))*22.0462)*(L641/16.67),""))</f>
        <v>128568.88897420514</v>
      </c>
      <c r="X641" s="55" t="s">
        <v>37</v>
      </c>
      <c r="Y641" s="13" t="str">
        <f>IF($AX641="Cancelled","",IF(X641="","",IFERROR(IF(INDEX(Variables!$B$38:$B$47,MATCH(X641,Variables!$A$38:$A$47,0))="Yes","Yes","No"),"No")))</f>
        <v>Yes</v>
      </c>
      <c r="Z641" s="58">
        <v>46072</v>
      </c>
      <c r="AB641" s="31">
        <v>46090</v>
      </c>
      <c r="AC641" s="13" t="str">
        <f t="shared" si="27"/>
        <v>Approved</v>
      </c>
      <c r="AF641" s="71"/>
      <c r="AG641" s="37">
        <f>IF($AX641="Cancelled","",IFERROR(IF(F641="","",F641-Variables!$B$13),""))</f>
        <v>46097</v>
      </c>
      <c r="AH641" s="13">
        <f>IF($AX641="Cancelled","",IFERROR(IF(AB641="","",(AVERAGE(E641:F641)-AB641)-Variables!$B$14),""))</f>
        <v>-23</v>
      </c>
      <c r="AJ641" s="47">
        <v>46127</v>
      </c>
      <c r="AK641" s="14">
        <f>IF($AX641="Cancelled","",IFERROR(IF(AJ641="","",IF(AND(AB641="",AF641=""),"",IF(AF641&gt;AB641,AF641+Variables!$B$15+Variables!$B$16+Variables!$B$17-AJ641,AB641+Variables!$B$16+Variables!$B$17-AJ641))),""))</f>
        <v>-29</v>
      </c>
      <c r="AL641" s="48" t="s">
        <v>114</v>
      </c>
      <c r="AM641" s="13" t="s">
        <v>168</v>
      </c>
      <c r="AN641" s="13" t="s">
        <v>1768</v>
      </c>
      <c r="AP641" s="31">
        <v>46140</v>
      </c>
      <c r="AR641" s="13" t="s">
        <v>1769</v>
      </c>
      <c r="AS641" s="31">
        <v>46140</v>
      </c>
      <c r="AU641" s="31">
        <v>46144</v>
      </c>
      <c r="AV641" s="13" t="s">
        <v>865</v>
      </c>
      <c r="AW641" s="31">
        <v>46148</v>
      </c>
      <c r="AX641" s="13" t="str">
        <f>IF(ISNUMBER(SEARCH("cancel",#REF!)),"Cancelled",IF(AND(AS641&lt;&gt;"",AU641&lt;&gt;"",AW641&lt;&gt;""),"Closed","Open"))</f>
        <v>Closed</v>
      </c>
      <c r="AY641" s="15" t="str">
        <f t="shared" si="30"/>
        <v>All dates received</v>
      </c>
      <c r="BD641" s="13">
        <f>IF($AX641="Cancelled","",IFERROR(IF(OR(AS641="",AJ641=""),"",(AJ641+Variables!$B$18-AS641)),""))</f>
        <v>2</v>
      </c>
      <c r="BE641" s="13">
        <f>IF($AX641="Cancelled","",IFERROR(IF(OR(AW641="",AS641=""),"",(AS641+Variables!$B$19)-AW641),""))</f>
        <v>-3</v>
      </c>
      <c r="BF641" s="44">
        <f>IF($AX641="Cancelled","",IFERROR(W641*INDEX(Variables!$B$7:$D$7,IFERROR(MATCH(IF($B641="Robusta","Robusta",(IF($B641="","Arabica",$B641))&amp;" - "&amp;(IF($C641="","Commercial",$C641))),Variables!$B$1:$D$1,0),1))*(BE641/365),""))</f>
        <v>-68.14031352832184</v>
      </c>
      <c r="BG641" s="44">
        <f>IF($AX641="Cancelled","",IFERROR((W641*INDEX(Variables!$B$7:$D$7,IFERROR(MATCH(IF($B641="Robusta","Robusta",(IF($B641="","Arabica",$B641))&amp;" - "&amp;(IF($C641="","Commercial",$C641))),Variables!$B$1:$D$1,0),1))*IFERROR(IF(AB641="","",(AVERAGE(E641:F641)-AB641)-Variables!$B$14),"")/365)+(L641/16.67*INDEX(Variables!$B$8:$D$8,IFERROR(MATCH(IF($B641="Robusta","Robusta",(IF($B641="","Arabica",$B641))&amp;" - "&amp;(IF($C641="","Commercial",$C641))),Variables!$B$1:$D$1,0),1))*IFERROR(IF(AB641="","",(AVERAGE(E641:F641)-AB641)-Variables!$B$14),""))+(W641*INDEX(Variables!$B$9:$D$9,IFERROR(MATCH(IF($B641="Robusta","Robusta",(IF($B641="","Arabica",$B641))&amp;" - "&amp;(IF($C641="","Commercial",$C641))),Variables!$B$1:$D$1,0),1))*IFERROR(IF(AB641="","",(AVERAGE(E641:F641)-AB641)-Variables!$B$14),"")/365),""))</f>
        <v>-897.14393148050738</v>
      </c>
      <c r="BH641" s="44">
        <f>IF($AX641="Cancelled","",IFERROR((W641*INDEX(Variables!$B$7:$D$7,IFERROR(MATCH(IF($B641="Robusta","Robusta",(IF($B641="","Arabica",$B641))&amp;" - "&amp;(IF($C641="","Commercial",$C641))),Variables!$B$1:$D$1,0),1))*AK641/365)+(L641/16.67*INDEX(Variables!$B$8:$D$8,IFERROR(MATCH(IF($B641="Robusta","Robusta",(IF($B641="","Arabica",$B641))&amp;" - "&amp;(IF($C641="","Commercial",$C641))),Variables!$B$1:$D$1,0),1))*AK641)+(W641*INDEX(Variables!$B$9:$D$9,IFERROR(MATCH(IF($B641="Robusta","Robusta",(IF($B641="","Arabica",$B641))&amp;" - "&amp;(IF($C641="","Commercial",$C641))),Variables!$B$1:$D$1,0),1))*AK641/365),""))</f>
        <v>-1131.1814788232484</v>
      </c>
      <c r="BI641" s="44">
        <f>IF($AX641="Cancelled","",IFERROR((W641*INDEX(Variables!$B$7:$D$7,IFERROR(MATCH(IF($B641="Robusta","Robusta",(IF($B641="","Arabica",$B641))&amp;" - "&amp;(IF($C641="","Commercial",$C641))),Variables!$B$1:$D$1,0),1))*BD641/365)+(L641/16.67*INDEX(Variables!$B$8:$D$8,IFERROR(MATCH(IF($B641="Robusta","Robusta",(IF($B641="","Arabica",$B641))&amp;" - "&amp;(IF($C641="","Commercial",$C641))),Variables!$B$1:$D$1,0),1))*BD641)+(W641*INDEX(Variables!$B$9:$D$9,IFERROR(MATCH(IF($B641="Robusta","Robusta",(IF($B641="","Arabica",$B641))&amp;" - "&amp;(IF($C641="","Commercial",$C641))),Variables!$B$1:$D$1,0),1))*BD641/365),""))</f>
        <v>78.012515780913674</v>
      </c>
      <c r="BJ641" s="44">
        <f t="shared" si="29"/>
        <v>-28</v>
      </c>
      <c r="BK641" s="44">
        <f>IF($AX641="Cancelled","",IFERROR(IF(BJ641="","",(W641*INDEX(Variables!$B$7:$D$7,IFERROR(MATCH(IF($B641="Robusta","Robusta",(IF($B641="","Arabica",$B641))&amp;" - "&amp;(IF($C641="","Commercial",$C641))),Variables!$B$1:$D$1,0),1))*(BJ641/365))+(W641*INDEX(Variables!$B$9:$D$9,IFERROR(MATCH(IF($B641="Robusta","Robusta",(IF($B641="","Arabica",$B641))&amp;" - "&amp;(IF($C641="","Commercial",$C641))),Variables!$B$1:$D$1,0),1))*(BJ641/365))+(INDEX(Variables!$B$8:$D$8,IFERROR(MATCH(IF($B641="Robusta","Robusta",(IF($B641="","Arabica",$B641))&amp;" - "&amp;(IF($C641="","Commercial",$C641))),Variables!$B$1:$D$1,0),1))*L641/16.67)),""))</f>
        <v>-628.17522093279172</v>
      </c>
    </row>
    <row r="642" spans="1:63">
      <c r="A642" s="13" t="s">
        <v>103</v>
      </c>
      <c r="B642" s="13" t="s">
        <v>104</v>
      </c>
      <c r="C642" s="13" t="s">
        <v>105</v>
      </c>
      <c r="D642" s="31">
        <v>46029</v>
      </c>
      <c r="E642" s="31">
        <v>46113</v>
      </c>
      <c r="F642" s="31">
        <v>46142</v>
      </c>
      <c r="G642" s="13">
        <v>3787090</v>
      </c>
      <c r="J642" s="13" t="s">
        <v>260</v>
      </c>
      <c r="L642" s="13">
        <v>320</v>
      </c>
      <c r="M642" s="13">
        <v>1</v>
      </c>
      <c r="N642" s="13" t="s">
        <v>1767</v>
      </c>
      <c r="O642" s="13" t="s">
        <v>1770</v>
      </c>
      <c r="P642" s="13">
        <v>37030</v>
      </c>
      <c r="Q642" s="13" t="s">
        <v>121</v>
      </c>
      <c r="R642" s="13" t="s">
        <v>110</v>
      </c>
      <c r="S642" s="13" t="s">
        <v>406</v>
      </c>
      <c r="T642" s="13" t="s">
        <v>263</v>
      </c>
      <c r="U642" s="13" t="s">
        <v>125</v>
      </c>
      <c r="V642" s="23">
        <v>13</v>
      </c>
      <c r="W642" s="44">
        <f>IF($AX642="Cancelled","",IFERROR(((V642+INDEX(Variables!$B$6:$D$6,IFERROR(MATCH(IF($B642="Robusta","Robusta",(IF($B642="","Arabica",$B642))&amp;" - "&amp;(IF($C642="","Commercial",$C642))),Variables!$B$1:$D$1,0),1)))*22.0462)*(L642/16.67),""))</f>
        <v>128568.88897420514</v>
      </c>
      <c r="X642" s="55" t="s">
        <v>37</v>
      </c>
      <c r="Y642" s="13" t="str">
        <f>IF($AX642="Cancelled","",IF(X642="","",IFERROR(IF(INDEX(Variables!$B$38:$B$47,MATCH(X642,Variables!$A$38:$A$47,0))="Yes","Yes","No"),"No")))</f>
        <v>Yes</v>
      </c>
      <c r="Z642" s="58">
        <v>46080</v>
      </c>
      <c r="AB642" s="31">
        <v>46093</v>
      </c>
      <c r="AC642" s="13" t="str">
        <f t="shared" ref="AC642:AC705" si="31">IF($AX642="Cancelled","",IF(ISNUMBER(AB642),"Approved",""))</f>
        <v>Approved</v>
      </c>
      <c r="AF642" s="71"/>
      <c r="AG642" s="37">
        <f>IF($AX642="Cancelled","",IFERROR(IF(F642="","",F642-Variables!$B$13),""))</f>
        <v>46127</v>
      </c>
      <c r="AH642" s="13">
        <f>IF($AX642="Cancelled","",IFERROR(IF(AB642="","",(AVERAGE(E642:F642)-AB642)-Variables!$B$14),""))</f>
        <v>4.5</v>
      </c>
      <c r="AJ642" s="47">
        <v>46127</v>
      </c>
      <c r="AK642" s="14">
        <f>IF($AX642="Cancelled","",IFERROR(IF(AJ642="","",IF(AND(AB642="",AF642=""),"",IF(AF642&gt;AB642,AF642+Variables!$B$15+Variables!$B$16+Variables!$B$17-AJ642,AB642+Variables!$B$16+Variables!$B$17-AJ642))),""))</f>
        <v>-26</v>
      </c>
      <c r="AL642" s="48" t="s">
        <v>114</v>
      </c>
      <c r="AM642" s="13" t="s">
        <v>168</v>
      </c>
      <c r="AN642" s="13" t="s">
        <v>1768</v>
      </c>
      <c r="AP642" s="31">
        <v>46140</v>
      </c>
      <c r="AR642" s="13" t="s">
        <v>1771</v>
      </c>
      <c r="AS642" s="31">
        <v>46140</v>
      </c>
      <c r="AU642" s="31">
        <v>46144</v>
      </c>
      <c r="AV642" s="13" t="s">
        <v>1626</v>
      </c>
      <c r="AW642" s="31">
        <v>46148</v>
      </c>
      <c r="AX642" s="13" t="str">
        <f>IF(ISNUMBER(SEARCH("cancel",#REF!)),"Cancelled",IF(AND(AS642&lt;&gt;"",AU642&lt;&gt;"",AW642&lt;&gt;""),"Closed","Open"))</f>
        <v>Closed</v>
      </c>
      <c r="AY642" s="15" t="str">
        <f t="shared" si="30"/>
        <v>All dates received</v>
      </c>
      <c r="BD642" s="13">
        <f>IF($AX642="Cancelled","",IFERROR(IF(OR(AS642="",AJ642=""),"",(AJ642+Variables!$B$18-AS642)),""))</f>
        <v>2</v>
      </c>
      <c r="BE642" s="13">
        <f>IF($AX642="Cancelled","",IFERROR(IF(OR(AW642="",AS642=""),"",(AS642+Variables!$B$19)-AW642),""))</f>
        <v>-3</v>
      </c>
      <c r="BF642" s="44">
        <f>IF($AX642="Cancelled","",IFERROR(W642*INDEX(Variables!$B$7:$D$7,IFERROR(MATCH(IF($B642="Robusta","Robusta",(IF($B642="","Arabica",$B642))&amp;" - "&amp;(IF($C642="","Commercial",$C642))),Variables!$B$1:$D$1,0),1))*(BE642/365),""))</f>
        <v>-68.14031352832184</v>
      </c>
      <c r="BG642" s="44">
        <f>IF($AX642="Cancelled","",IFERROR((W642*INDEX(Variables!$B$7:$D$7,IFERROR(MATCH(IF($B642="Robusta","Robusta",(IF($B642="","Arabica",$B642))&amp;" - "&amp;(IF($C642="","Commercial",$C642))),Variables!$B$1:$D$1,0),1))*IFERROR(IF(AB642="","",(AVERAGE(E642:F642)-AB642)-Variables!$B$14),"")/365)+(L642/16.67*INDEX(Variables!$B$8:$D$8,IFERROR(MATCH(IF($B642="Robusta","Robusta",(IF($B642="","Arabica",$B642))&amp;" - "&amp;(IF($C642="","Commercial",$C642))),Variables!$B$1:$D$1,0),1))*IFERROR(IF(AB642="","",(AVERAGE(E642:F642)-AB642)-Variables!$B$14),""))+(W642*INDEX(Variables!$B$9:$D$9,IFERROR(MATCH(IF($B642="Robusta","Robusta",(IF($B642="","Arabica",$B642))&amp;" - "&amp;(IF($C642="","Commercial",$C642))),Variables!$B$1:$D$1,0),1))*IFERROR(IF(AB642="","",(AVERAGE(E642:F642)-AB642)-Variables!$B$14),"")/365),""))</f>
        <v>175.52816050705576</v>
      </c>
      <c r="BH642" s="44">
        <f>IF($AX642="Cancelled","",IFERROR((W642*INDEX(Variables!$B$7:$D$7,IFERROR(MATCH(IF($B642="Robusta","Robusta",(IF($B642="","Arabica",$B642))&amp;" - "&amp;(IF($C642="","Commercial",$C642))),Variables!$B$1:$D$1,0),1))*AK642/365)+(L642/16.67*INDEX(Variables!$B$8:$D$8,IFERROR(MATCH(IF($B642="Robusta","Robusta",(IF($B642="","Arabica",$B642))&amp;" - "&amp;(IF($C642="","Commercial",$C642))),Variables!$B$1:$D$1,0),1))*AK642)+(W642*INDEX(Variables!$B$9:$D$9,IFERROR(MATCH(IF($B642="Robusta","Robusta",(IF($B642="","Arabica",$B642))&amp;" - "&amp;(IF($C642="","Commercial",$C642))),Variables!$B$1:$D$1,0),1))*AK642/365),""))</f>
        <v>-1014.1627051518778</v>
      </c>
      <c r="BI642" s="44">
        <f>IF($AX642="Cancelled","",IFERROR((W642*INDEX(Variables!$B$7:$D$7,IFERROR(MATCH(IF($B642="Robusta","Robusta",(IF($B642="","Arabica",$B642))&amp;" - "&amp;(IF($C642="","Commercial",$C642))),Variables!$B$1:$D$1,0),1))*BD642/365)+(L642/16.67*INDEX(Variables!$B$8:$D$8,IFERROR(MATCH(IF($B642="Robusta","Robusta",(IF($B642="","Arabica",$B642))&amp;" - "&amp;(IF($C642="","Commercial",$C642))),Variables!$B$1:$D$1,0),1))*BD642)+(W642*INDEX(Variables!$B$9:$D$9,IFERROR(MATCH(IF($B642="Robusta","Robusta",(IF($B642="","Arabica",$B642))&amp;" - "&amp;(IF($C642="","Commercial",$C642))),Variables!$B$1:$D$1,0),1))*BD642/365),""))</f>
        <v>78.012515780913674</v>
      </c>
      <c r="BJ642" s="44">
        <f t="shared" ref="BJ642:BJ705" si="32">IF($AX642="Cancelled","",IFERROR(IF(AS642="","",F642-AS642),""))</f>
        <v>2</v>
      </c>
      <c r="BK642" s="44">
        <f>IF($AX642="Cancelled","",IFERROR(IF(BJ642="","",(W642*INDEX(Variables!$B$7:$D$7,IFERROR(MATCH(IF($B642="Robusta","Robusta",(IF($B642="","Arabica",$B642))&amp;" - "&amp;(IF($C642="","Commercial",$C642))),Variables!$B$1:$D$1,0),1))*(BJ642/365))+(W642*INDEX(Variables!$B$9:$D$9,IFERROR(MATCH(IF($B642="Robusta","Robusta",(IF($B642="","Arabica",$B642))&amp;" - "&amp;(IF($C642="","Commercial",$C642))),Variables!$B$1:$D$1,0),1))*(BJ642/365))+(INDEX(Variables!$B$8:$D$8,IFERROR(MATCH(IF($B642="Robusta","Robusta",(IF($B642="","Arabica",$B642))&amp;" - "&amp;(IF($C642="","Commercial",$C642))),Variables!$B$1:$D$1,0),1))*L642/16.67)),""))</f>
        <v>62.012515780913688</v>
      </c>
    </row>
    <row r="643" spans="1:63">
      <c r="A643" s="13" t="s">
        <v>103</v>
      </c>
      <c r="B643" s="13" t="s">
        <v>104</v>
      </c>
      <c r="C643" s="13" t="s">
        <v>292</v>
      </c>
      <c r="D643" s="31">
        <v>46031</v>
      </c>
      <c r="E643" s="31">
        <v>46023</v>
      </c>
      <c r="F643" s="31">
        <v>46053</v>
      </c>
      <c r="G643" s="13">
        <v>3787091</v>
      </c>
      <c r="J643" s="13" t="s">
        <v>773</v>
      </c>
      <c r="L643" s="13">
        <v>79</v>
      </c>
      <c r="M643" s="13">
        <v>0</v>
      </c>
      <c r="N643" s="13" t="s">
        <v>1772</v>
      </c>
      <c r="O643" s="13" t="s">
        <v>261</v>
      </c>
      <c r="P643" s="13">
        <v>10060</v>
      </c>
      <c r="R643" s="13" t="s">
        <v>384</v>
      </c>
      <c r="S643" s="13" t="s">
        <v>776</v>
      </c>
      <c r="T643" s="13" t="e" vm="1">
        <v>#VALUE!</v>
      </c>
      <c r="U643" s="13" t="s">
        <v>125</v>
      </c>
      <c r="V643" s="13">
        <v>61.75</v>
      </c>
      <c r="W643" s="44">
        <f>IF($AX643="Cancelled","",IFERROR(((V643+INDEX(Variables!$B$6:$D$6,IFERROR(MATCH(IF($B643="Robusta","Robusta",(IF($B643="","Arabica",$B643))&amp;" - "&amp;(IF($C643="","Commercial",$C643))),Variables!$B$1:$D$1,0),1)))*22.0462)*(L643/16.67),""))</f>
        <v>36833.751469106173</v>
      </c>
      <c r="X643" s="55" t="s">
        <v>37</v>
      </c>
      <c r="Y643" s="13" t="str">
        <f>IF($AX643="Cancelled","",IF(X643="","",IFERROR(IF(INDEX(Variables!$B$38:$B$47,MATCH(X643,Variables!$A$38:$A$47,0))="Yes","Yes","No"),"No")))</f>
        <v>Yes</v>
      </c>
      <c r="Z643" s="31">
        <v>46031</v>
      </c>
      <c r="AB643" s="31">
        <v>46031</v>
      </c>
      <c r="AC643" s="13" t="str">
        <f t="shared" si="31"/>
        <v>Approved</v>
      </c>
      <c r="AD643" s="31">
        <v>46031</v>
      </c>
      <c r="AF643" s="71">
        <v>46031</v>
      </c>
      <c r="AG643" s="37">
        <f>IF($AX643="Cancelled","",IFERROR(IF(F643="","",F643-Variables!$B$13),""))</f>
        <v>46038</v>
      </c>
      <c r="AH643" s="13">
        <f>IF($AX643="Cancelled","",IFERROR(IF(AB643="","",(AVERAGE(E643:F643)-AB643)-Variables!$B$14),""))</f>
        <v>-23</v>
      </c>
      <c r="AJ643" s="47">
        <v>46031</v>
      </c>
      <c r="AK643" s="14">
        <f>IF($AX643="Cancelled","",IFERROR(IF(AJ643="","",IF(AND(AB643="",AF643=""),"",IF(AF643&gt;AB643,AF643+Variables!$B$15+Variables!$B$16+Variables!$B$17-AJ643,AB643+Variables!$B$16+Variables!$B$17-AJ643))),""))</f>
        <v>8</v>
      </c>
      <c r="AL643" s="48" t="s">
        <v>114</v>
      </c>
      <c r="AM643" s="13" t="s">
        <v>8</v>
      </c>
      <c r="AN643" s="13" t="s">
        <v>8</v>
      </c>
      <c r="AO643" s="31">
        <v>46031</v>
      </c>
      <c r="AP643" s="31">
        <v>46031</v>
      </c>
      <c r="AQ643" s="31">
        <v>46031</v>
      </c>
      <c r="AR643" s="13" t="s">
        <v>8</v>
      </c>
      <c r="AS643" s="31">
        <v>46031</v>
      </c>
      <c r="AU643" s="31">
        <v>46031</v>
      </c>
      <c r="AV643" s="13" t="s">
        <v>865</v>
      </c>
      <c r="AW643" s="31">
        <v>46031</v>
      </c>
      <c r="AX643" s="13" t="str">
        <f>IF(ISNUMBER(SEARCH("cancel",#REF!)),"Cancelled",IF(AND(AS643&lt;&gt;"",AU643&lt;&gt;"",AW643&lt;&gt;""),"Closed","Open"))</f>
        <v>Closed</v>
      </c>
      <c r="AY643" s="15" t="str">
        <f t="shared" si="30"/>
        <v>All dates received</v>
      </c>
      <c r="BD643" s="13">
        <f>IF($AX643="Cancelled","",IFERROR(IF(OR(AS643="",AJ643=""),"",(AJ643+Variables!$B$18-AS643)),""))</f>
        <v>15</v>
      </c>
      <c r="BE643" s="13">
        <f>IF($AX643="Cancelled","",IFERROR(IF(OR(AW643="",AS643=""),"",(AS643+Variables!$B$19)-AW643),""))</f>
        <v>5</v>
      </c>
      <c r="BF643" s="44">
        <f>IF($AX643="Cancelled","",IFERROR(W643*INDEX(Variables!$B$7:$D$7,IFERROR(MATCH(IF($B643="Robusta","Robusta",(IF($B643="","Arabica",$B643))&amp;" - "&amp;(IF($C643="","Commercial",$C643))),Variables!$B$1:$D$1,0),1))*(BE643/365),""))</f>
        <v>32.535908616180791</v>
      </c>
      <c r="BG643" s="44">
        <f>IF($AX643="Cancelled","",IFERROR((W643*INDEX(Variables!$B$7:$D$7,IFERROR(MATCH(IF($B643="Robusta","Robusta",(IF($B643="","Arabica",$B643))&amp;" - "&amp;(IF($C643="","Commercial",$C643))),Variables!$B$1:$D$1,0),1))*IFERROR(IF(AB643="","",(AVERAGE(E643:F643)-AB643)-Variables!$B$14),"")/365)+(L643/16.67*INDEX(Variables!$B$8:$D$8,IFERROR(MATCH(IF($B643="Robusta","Robusta",(IF($B643="","Arabica",$B643))&amp;" - "&amp;(IF($C643="","Commercial",$C643))),Variables!$B$1:$D$1,0),1))*IFERROR(IF(AB643="","",(AVERAGE(E643:F643)-AB643)-Variables!$B$14),""))+(W643*INDEX(Variables!$B$9:$D$9,IFERROR(MATCH(IF($B643="Robusta","Robusta",(IF($B643="","Arabica",$B643))&amp;" - "&amp;(IF($C643="","Commercial",$C643))),Variables!$B$1:$D$1,0),1))*IFERROR(IF(AB643="","",(AVERAGE(E643:F643)-AB643)-Variables!$B$14),"")/365),""))</f>
        <v>-242.44465263364856</v>
      </c>
      <c r="BH643" s="44">
        <f>IF($AX643="Cancelled","",IFERROR((W643*INDEX(Variables!$B$7:$D$7,IFERROR(MATCH(IF($B643="Robusta","Robusta",(IF($B643="","Arabica",$B643))&amp;" - "&amp;(IF($C643="","Commercial",$C643))),Variables!$B$1:$D$1,0),1))*AK643/365)+(L643/16.67*INDEX(Variables!$B$8:$D$8,IFERROR(MATCH(IF($B643="Robusta","Robusta",(IF($B643="","Arabica",$B643))&amp;" - "&amp;(IF($C643="","Commercial",$C643))),Variables!$B$1:$D$1,0),1))*AK643)+(W643*INDEX(Variables!$B$9:$D$9,IFERROR(MATCH(IF($B643="Robusta","Robusta",(IF($B643="","Arabica",$B643))&amp;" - "&amp;(IF($C643="","Commercial",$C643))),Variables!$B$1:$D$1,0),1))*AK643/365),""))</f>
        <v>84.328574829095146</v>
      </c>
      <c r="BI643" s="44">
        <f>IF($AX643="Cancelled","",IFERROR((W643*INDEX(Variables!$B$7:$D$7,IFERROR(MATCH(IF($B643="Robusta","Robusta",(IF($B643="","Arabica",$B643))&amp;" - "&amp;(IF($C643="","Commercial",$C643))),Variables!$B$1:$D$1,0),1))*BD643/365)+(L643/16.67*INDEX(Variables!$B$8:$D$8,IFERROR(MATCH(IF($B643="Robusta","Robusta",(IF($B643="","Arabica",$B643))&amp;" - "&amp;(IF($C643="","Commercial",$C643))),Variables!$B$1:$D$1,0),1))*BD643)+(W643*INDEX(Variables!$B$9:$D$9,IFERROR(MATCH(IF($B643="Robusta","Robusta",(IF($B643="","Arabica",$B643))&amp;" - "&amp;(IF($C643="","Commercial",$C643))),Variables!$B$1:$D$1,0),1))*BD643/365),""))</f>
        <v>158.11607780455338</v>
      </c>
      <c r="BJ643" s="44">
        <f t="shared" si="32"/>
        <v>22</v>
      </c>
      <c r="BK643" s="44">
        <f>IF($AX643="Cancelled","",IFERROR(IF(BJ643="","",(W643*INDEX(Variables!$B$7:$D$7,IFERROR(MATCH(IF($B643="Robusta","Robusta",(IF($B643="","Arabica",$B643))&amp;" - "&amp;(IF($C643="","Commercial",$C643))),Variables!$B$1:$D$1,0),1))*(BJ643/365))+(W643*INDEX(Variables!$B$9:$D$9,IFERROR(MATCH(IF($B643="Robusta","Robusta",(IF($B643="","Arabica",$B643))&amp;" - "&amp;(IF($C643="","Commercial",$C643))),Variables!$B$1:$D$1,0),1))*(BJ643/365))+(INDEX(Variables!$B$8:$D$8,IFERROR(MATCH(IF($B643="Robusta","Robusta",(IF($B643="","Arabica",$B643))&amp;" - "&amp;(IF($C643="","Commercial",$C643))),Variables!$B$1:$D$1,0),1))*L643/16.67)),""))</f>
        <v>148.95358078001163</v>
      </c>
    </row>
    <row r="644" spans="1:63">
      <c r="A644" s="13" t="s">
        <v>103</v>
      </c>
      <c r="B644" s="13" t="s">
        <v>104</v>
      </c>
      <c r="C644" s="13" t="s">
        <v>105</v>
      </c>
      <c r="D644" s="31">
        <v>46034</v>
      </c>
      <c r="E644" s="31">
        <v>46082</v>
      </c>
      <c r="F644" s="31">
        <v>46112</v>
      </c>
      <c r="G644" s="13">
        <v>3787092</v>
      </c>
      <c r="H644" s="13" t="s">
        <v>1773</v>
      </c>
      <c r="J644" s="13" t="s">
        <v>118</v>
      </c>
      <c r="K644" s="13" t="s">
        <v>1773</v>
      </c>
      <c r="L644" s="13">
        <v>667</v>
      </c>
      <c r="M644" s="13">
        <v>2</v>
      </c>
      <c r="N644" s="13" t="s">
        <v>1602</v>
      </c>
      <c r="O644" s="13" t="s">
        <v>269</v>
      </c>
      <c r="P644" s="13">
        <v>10310</v>
      </c>
      <c r="Q644" s="59" t="s">
        <v>270</v>
      </c>
      <c r="R644" s="13" t="s">
        <v>271</v>
      </c>
      <c r="S644" s="13" t="s">
        <v>272</v>
      </c>
      <c r="T644" s="13" t="s">
        <v>112</v>
      </c>
      <c r="U644" s="13" t="s">
        <v>113</v>
      </c>
      <c r="V644" s="13">
        <v>53</v>
      </c>
      <c r="W644" s="44">
        <f>IF($AX644="Cancelled","",IFERROR(((V644+INDEX(Variables!$B$6:$D$6,IFERROR(MATCH(IF($B644="Robusta","Robusta",(IF($B644="","Arabica",$B644))&amp;" - "&amp;(IF($C644="","Commercial",$C644))),Variables!$B$1:$D$1,0),1)))*22.0462)*(L644/16.67),""))</f>
        <v>303270.27801559685</v>
      </c>
      <c r="X644" s="55" t="s">
        <v>37</v>
      </c>
      <c r="Y644" s="13" t="str">
        <f>IF($AX644="Cancelled","",IF(X644="","",IFERROR(IF(INDEX(Variables!$B$38:$B$47,MATCH(X644,Variables!$A$38:$A$47,0))="Yes","Yes","No"),"No")))</f>
        <v>Yes</v>
      </c>
      <c r="Z644" s="58">
        <v>46051</v>
      </c>
      <c r="AB644" s="31">
        <v>46058</v>
      </c>
      <c r="AC644" s="13" t="str">
        <f t="shared" si="31"/>
        <v>Approved</v>
      </c>
      <c r="AF644" s="71">
        <v>46091</v>
      </c>
      <c r="AG644" s="37">
        <f>IF($AX644="Cancelled","",IFERROR(IF(F644="","",F644-Variables!$B$13),""))</f>
        <v>46097</v>
      </c>
      <c r="AH644" s="13">
        <f>IF($AX644="Cancelled","",IFERROR(IF(AB644="","",(AVERAGE(E644:F644)-AB644)-Variables!$B$14),""))</f>
        <v>9</v>
      </c>
      <c r="AJ644" s="47">
        <v>46094</v>
      </c>
      <c r="AK644" s="14">
        <f>IF($AX644="Cancelled","",IFERROR(IF(AJ644="","",IF(AND(AB644="",AF644=""),"",IF(AF644&gt;AB644,AF644+Variables!$B$15+Variables!$B$16+Variables!$B$17-AJ644,AB644+Variables!$B$16+Variables!$B$17-AJ644))),""))</f>
        <v>12</v>
      </c>
      <c r="AL644" s="48" t="s">
        <v>114</v>
      </c>
      <c r="AM644" s="13" t="s">
        <v>115</v>
      </c>
      <c r="AN644" s="13" t="s">
        <v>1774</v>
      </c>
      <c r="AP644" s="31">
        <v>46101</v>
      </c>
      <c r="AR644" s="13">
        <v>267083936</v>
      </c>
      <c r="AS644" s="31">
        <v>46101</v>
      </c>
      <c r="AU644" s="31">
        <v>46108</v>
      </c>
      <c r="AV644" s="13" t="s">
        <v>865</v>
      </c>
      <c r="AW644" s="31">
        <v>46126</v>
      </c>
      <c r="AX644" s="13" t="str">
        <f>IF(ISNUMBER(SEARCH("cancel",#REF!)),"Cancelled",IF(AND(AS644&lt;&gt;"",AU644&lt;&gt;"",AW644&lt;&gt;""),"Closed","Open"))</f>
        <v>Closed</v>
      </c>
      <c r="AY644" s="15" t="str">
        <f t="shared" si="30"/>
        <v>All dates received</v>
      </c>
      <c r="BD644" s="13">
        <f>IF($AX644="Cancelled","",IFERROR(IF(OR(AS644="",AJ644=""),"",(AJ644+Variables!$B$18-AS644)),""))</f>
        <v>8</v>
      </c>
      <c r="BE644" s="13">
        <f>IF($AX644="Cancelled","",IFERROR(IF(OR(AW644="",AS644=""),"",(AS644+Variables!$B$19)-AW644),""))</f>
        <v>-20</v>
      </c>
      <c r="BF644" s="44">
        <f>IF($AX644="Cancelled","",IFERROR(W644*INDEX(Variables!$B$7:$D$7,IFERROR(MATCH(IF($B644="Robusta","Robusta",(IF($B644="","Arabica",$B644))&amp;" - "&amp;(IF($C644="","Commercial",$C644))),Variables!$B$1:$D$1,0),1))*(BE644/365),""))</f>
        <v>-1071.5361490990313</v>
      </c>
      <c r="BG644" s="44">
        <f>IF($AX644="Cancelled","",IFERROR((W644*INDEX(Variables!$B$7:$D$7,IFERROR(MATCH(IF($B644="Robusta","Robusta",(IF($B644="","Arabica",$B644))&amp;" - "&amp;(IF($C644="","Commercial",$C644))),Variables!$B$1:$D$1,0),1))*IFERROR(IF(AB644="","",(AVERAGE(E644:F644)-AB644)-Variables!$B$14),"")/365)+(L644/16.67*INDEX(Variables!$B$8:$D$8,IFERROR(MATCH(IF($B644="Robusta","Robusta",(IF($B644="","Arabica",$B644))&amp;" - "&amp;(IF($C644="","Commercial",$C644))),Variables!$B$1:$D$1,0),1))*IFERROR(IF(AB644="","",(AVERAGE(E644:F644)-AB644)-Variables!$B$14),""))+(W644*INDEX(Variables!$B$9:$D$9,IFERROR(MATCH(IF($B644="Robusta","Robusta",(IF($B644="","Arabica",$B644))&amp;" - "&amp;(IF($C644="","Commercial",$C644))),Variables!$B$1:$D$1,0),1))*IFERROR(IF(AB644="","",(AVERAGE(E644:F644)-AB644)-Variables!$B$14),"")/365),""))</f>
        <v>788.55764309190454</v>
      </c>
      <c r="BH644" s="44">
        <f>IF($AX644="Cancelled","",IFERROR((W644*INDEX(Variables!$B$7:$D$7,IFERROR(MATCH(IF($B644="Robusta","Robusta",(IF($B644="","Arabica",$B644))&amp;" - "&amp;(IF($C644="","Commercial",$C644))),Variables!$B$1:$D$1,0),1))*AK644/365)+(L644/16.67*INDEX(Variables!$B$8:$D$8,IFERROR(MATCH(IF($B644="Robusta","Robusta",(IF($B644="","Arabica",$B644))&amp;" - "&amp;(IF($C644="","Commercial",$C644))),Variables!$B$1:$D$1,0),1))*AK644)+(W644*INDEX(Variables!$B$9:$D$9,IFERROR(MATCH(IF($B644="Robusta","Robusta",(IF($B644="","Arabica",$B644))&amp;" - "&amp;(IF($C644="","Commercial",$C644))),Variables!$B$1:$D$1,0),1))*AK644/365),""))</f>
        <v>1051.4101907892059</v>
      </c>
      <c r="BI644" s="44">
        <f>IF($AX644="Cancelled","",IFERROR((W644*INDEX(Variables!$B$7:$D$7,IFERROR(MATCH(IF($B644="Robusta","Robusta",(IF($B644="","Arabica",$B644))&amp;" - "&amp;(IF($C644="","Commercial",$C644))),Variables!$B$1:$D$1,0),1))*BD644/365)+(L644/16.67*INDEX(Variables!$B$8:$D$8,IFERROR(MATCH(IF($B644="Robusta","Robusta",(IF($B644="","Arabica",$B644))&amp;" - "&amp;(IF($C644="","Commercial",$C644))),Variables!$B$1:$D$1,0),1))*BD644)+(W644*INDEX(Variables!$B$9:$D$9,IFERROR(MATCH(IF($B644="Robusta","Robusta",(IF($B644="","Arabica",$B644))&amp;" - "&amp;(IF($C644="","Commercial",$C644))),Variables!$B$1:$D$1,0),1))*BD644/365),""))</f>
        <v>700.94012719280408</v>
      </c>
      <c r="BJ644" s="44">
        <f t="shared" si="32"/>
        <v>11</v>
      </c>
      <c r="BK644" s="44">
        <f>IF($AX644="Cancelled","",IFERROR(IF(BJ644="","",(W644*INDEX(Variables!$B$7:$D$7,IFERROR(MATCH(IF($B644="Robusta","Robusta",(IF($B644="","Arabica",$B644))&amp;" - "&amp;(IF($C644="","Commercial",$C644))),Variables!$B$1:$D$1,0),1))*(BJ644/365))+(W644*INDEX(Variables!$B$9:$D$9,IFERROR(MATCH(IF($B644="Robusta","Robusta",(IF($B644="","Arabica",$B644))&amp;" - "&amp;(IF($C644="","Commercial",$C644))),Variables!$B$1:$D$1,0),1))*(BJ644/365))+(INDEX(Variables!$B$8:$D$8,IFERROR(MATCH(IF($B644="Robusta","Robusta",(IF($B644="","Arabica",$B644))&amp;" - "&amp;(IF($C644="","Commercial",$C644))),Variables!$B$1:$D$1,0),1))*L644/16.67)),""))</f>
        <v>630.29267489010567</v>
      </c>
    </row>
    <row r="645" spans="1:63">
      <c r="A645" s="13" t="s">
        <v>103</v>
      </c>
      <c r="B645" s="13" t="s">
        <v>104</v>
      </c>
      <c r="C645" s="13" t="s">
        <v>105</v>
      </c>
      <c r="D645" s="31">
        <v>46034</v>
      </c>
      <c r="E645" s="31">
        <v>46082</v>
      </c>
      <c r="F645" s="31">
        <v>46112</v>
      </c>
      <c r="G645" s="13">
        <v>3787092</v>
      </c>
      <c r="H645" s="13" t="s">
        <v>1775</v>
      </c>
      <c r="J645" s="13" t="s">
        <v>118</v>
      </c>
      <c r="K645" s="13" t="s">
        <v>1775</v>
      </c>
      <c r="L645" s="13">
        <v>1000</v>
      </c>
      <c r="M645" s="13">
        <v>3</v>
      </c>
      <c r="N645" s="13" t="s">
        <v>1602</v>
      </c>
      <c r="O645" s="13" t="s">
        <v>269</v>
      </c>
      <c r="P645" s="13">
        <v>10310</v>
      </c>
      <c r="Q645" s="59" t="s">
        <v>270</v>
      </c>
      <c r="R645" s="13" t="s">
        <v>271</v>
      </c>
      <c r="S645" s="13" t="s">
        <v>276</v>
      </c>
      <c r="T645" s="13" t="s">
        <v>112</v>
      </c>
      <c r="U645" s="13" t="s">
        <v>113</v>
      </c>
      <c r="V645" s="13">
        <v>53</v>
      </c>
      <c r="W645" s="44">
        <f>IF($AX645="Cancelled","",IFERROR(((V645+INDEX(Variables!$B$6:$D$6,IFERROR(MATCH(IF($B645="Robusta","Robusta",(IF($B645="","Arabica",$B645))&amp;" - "&amp;(IF($C645="","Commercial",$C645))),Variables!$B$1:$D$1,0),1)))*22.0462)*(L645/16.67),""))</f>
        <v>454678.07798440306</v>
      </c>
      <c r="X645" s="55" t="s">
        <v>37</v>
      </c>
      <c r="Y645" s="13" t="str">
        <f>IF($AX645="Cancelled","",IF(X645="","",IFERROR(IF(INDEX(Variables!$B$38:$B$47,MATCH(X645,Variables!$A$38:$A$47,0))="Yes","Yes","No"),"No")))</f>
        <v>Yes</v>
      </c>
      <c r="Z645" s="58">
        <v>46051</v>
      </c>
      <c r="AB645" s="31">
        <v>46058</v>
      </c>
      <c r="AC645" s="13" t="str">
        <f t="shared" si="31"/>
        <v>Approved</v>
      </c>
      <c r="AF645" s="71">
        <v>46091</v>
      </c>
      <c r="AG645" s="37">
        <f>IF($AX645="Cancelled","",IFERROR(IF(F645="","",F645-Variables!$B$13),""))</f>
        <v>46097</v>
      </c>
      <c r="AH645" s="13">
        <f>IF($AX645="Cancelled","",IFERROR(IF(AB645="","",(AVERAGE(E645:F645)-AB645)-Variables!$B$14),""))</f>
        <v>9</v>
      </c>
      <c r="AJ645" s="47">
        <v>46092</v>
      </c>
      <c r="AK645" s="14">
        <f>IF($AX645="Cancelled","",IFERROR(IF(AJ645="","",IF(AND(AB645="",AF645=""),"",IF(AF645&gt;AB645,AF645+Variables!$B$15+Variables!$B$16+Variables!$B$17-AJ645,AB645+Variables!$B$16+Variables!$B$17-AJ645))),""))</f>
        <v>14</v>
      </c>
      <c r="AL645" s="48" t="s">
        <v>114</v>
      </c>
      <c r="AM645" s="13" t="s">
        <v>115</v>
      </c>
      <c r="AN645" s="13" t="s">
        <v>1774</v>
      </c>
      <c r="AP645" s="31">
        <v>46101</v>
      </c>
      <c r="AR645" s="13">
        <v>267083936</v>
      </c>
      <c r="AS645" s="31">
        <v>46101</v>
      </c>
      <c r="AU645" s="31">
        <v>46112</v>
      </c>
      <c r="AV645" s="13" t="s">
        <v>865</v>
      </c>
      <c r="AW645" s="31">
        <v>46126</v>
      </c>
      <c r="AX645" s="13" t="str">
        <f>IF(ISNUMBER(SEARCH("cancel",#REF!)),"Cancelled",IF(AND(AS645&lt;&gt;"",AU645&lt;&gt;"",AW645&lt;&gt;""),"Closed","Open"))</f>
        <v>Closed</v>
      </c>
      <c r="AY645" s="15" t="str">
        <f t="shared" si="30"/>
        <v>All dates received</v>
      </c>
      <c r="BD645" s="13">
        <f>IF($AX645="Cancelled","",IFERROR(IF(OR(AS645="",AJ645=""),"",(AJ645+Variables!$B$18-AS645)),""))</f>
        <v>6</v>
      </c>
      <c r="BE645" s="13">
        <f>IF($AX645="Cancelled","",IFERROR(IF(OR(AW645="",AS645=""),"",(AS645+Variables!$B$19)-AW645),""))</f>
        <v>-20</v>
      </c>
      <c r="BF645" s="44">
        <f>IF($AX645="Cancelled","",IFERROR(W645*INDEX(Variables!$B$7:$D$7,IFERROR(MATCH(IF($B645="Robusta","Robusta",(IF($B645="","Arabica",$B645))&amp;" - "&amp;(IF($C645="","Commercial",$C645))),Variables!$B$1:$D$1,0),1))*(BE645/365),""))</f>
        <v>-1606.5009731619657</v>
      </c>
      <c r="BG645" s="44">
        <f>IF($AX645="Cancelled","",IFERROR((W645*INDEX(Variables!$B$7:$D$7,IFERROR(MATCH(IF($B645="Robusta","Robusta",(IF($B645="","Arabica",$B645))&amp;" - "&amp;(IF($C645="","Commercial",$C645))),Variables!$B$1:$D$1,0),1))*IFERROR(IF(AB645="","",(AVERAGE(E645:F645)-AB645)-Variables!$B$14),"")/365)+(L645/16.67*INDEX(Variables!$B$8:$D$8,IFERROR(MATCH(IF($B645="Robusta","Robusta",(IF($B645="","Arabica",$B645))&amp;" - "&amp;(IF($C645="","Commercial",$C645))),Variables!$B$1:$D$1,0),1))*IFERROR(IF(AB645="","",(AVERAGE(E645:F645)-AB645)-Variables!$B$14),""))+(W645*INDEX(Variables!$B$9:$D$9,IFERROR(MATCH(IF($B645="Robusta","Robusta",(IF($B645="","Arabica",$B645))&amp;" - "&amp;(IF($C645="","Commercial",$C645))),Variables!$B$1:$D$1,0),1))*IFERROR(IF(AB645="","",(AVERAGE(E645:F645)-AB645)-Variables!$B$14),"")/365),""))</f>
        <v>1182.2453419668734</v>
      </c>
      <c r="BH645" s="44">
        <f>IF($AX645="Cancelled","",IFERROR((W645*INDEX(Variables!$B$7:$D$7,IFERROR(MATCH(IF($B645="Robusta","Robusta",(IF($B645="","Arabica",$B645))&amp;" - "&amp;(IF($C645="","Commercial",$C645))),Variables!$B$1:$D$1,0),1))*AK645/365)+(L645/16.67*INDEX(Variables!$B$8:$D$8,IFERROR(MATCH(IF($B645="Robusta","Robusta",(IF($B645="","Arabica",$B645))&amp;" - "&amp;(IF($C645="","Commercial",$C645))),Variables!$B$1:$D$1,0),1))*AK645)+(W645*INDEX(Variables!$B$9:$D$9,IFERROR(MATCH(IF($B645="Robusta","Robusta",(IF($B645="","Arabica",$B645))&amp;" - "&amp;(IF($C645="","Commercial",$C645))),Variables!$B$1:$D$1,0),1))*AK645/365),""))</f>
        <v>1839.0483097262477</v>
      </c>
      <c r="BI645" s="44">
        <f>IF($AX645="Cancelled","",IFERROR((W645*INDEX(Variables!$B$7:$D$7,IFERROR(MATCH(IF($B645="Robusta","Robusta",(IF($B645="","Arabica",$B645))&amp;" - "&amp;(IF($C645="","Commercial",$C645))),Variables!$B$1:$D$1,0),1))*BD645/365)+(L645/16.67*INDEX(Variables!$B$8:$D$8,IFERROR(MATCH(IF($B645="Robusta","Robusta",(IF($B645="","Arabica",$B645))&amp;" - "&amp;(IF($C645="","Commercial",$C645))),Variables!$B$1:$D$1,0),1))*BD645)+(W645*INDEX(Variables!$B$9:$D$9,IFERROR(MATCH(IF($B645="Robusta","Robusta",(IF($B645="","Arabica",$B645))&amp;" - "&amp;(IF($C645="","Commercial",$C645))),Variables!$B$1:$D$1,0),1))*BD645/365),""))</f>
        <v>788.16356131124905</v>
      </c>
      <c r="BJ645" s="44">
        <f t="shared" si="32"/>
        <v>11</v>
      </c>
      <c r="BK645" s="44">
        <f>IF($AX645="Cancelled","",IFERROR(IF(BJ645="","",(W645*INDEX(Variables!$B$7:$D$7,IFERROR(MATCH(IF($B645="Robusta","Robusta",(IF($B645="","Arabica",$B645))&amp;" - "&amp;(IF($C645="","Commercial",$C645))),Variables!$B$1:$D$1,0),1))*(BJ645/365))+(W645*INDEX(Variables!$B$9:$D$9,IFERROR(MATCH(IF($B645="Robusta","Robusta",(IF($B645="","Arabica",$B645))&amp;" - "&amp;(IF($C645="","Commercial",$C645))),Variables!$B$1:$D$1,0),1))*(BJ645/365))+(INDEX(Variables!$B$8:$D$8,IFERROR(MATCH(IF($B645="Robusta","Robusta",(IF($B645="","Arabica",$B645))&amp;" - "&amp;(IF($C645="","Commercial",$C645))),Variables!$B$1:$D$1,0),1))*L645/16.67)),""))</f>
        <v>944.9665290706231</v>
      </c>
    </row>
    <row r="646" spans="1:63">
      <c r="A646" s="13" t="s">
        <v>103</v>
      </c>
      <c r="B646" s="13" t="s">
        <v>104</v>
      </c>
      <c r="C646" s="13" t="s">
        <v>105</v>
      </c>
      <c r="D646" s="31">
        <v>46034</v>
      </c>
      <c r="E646" s="31">
        <v>46082</v>
      </c>
      <c r="F646" s="31">
        <v>46112</v>
      </c>
      <c r="G646" s="13">
        <v>3787093</v>
      </c>
      <c r="H646" s="13">
        <v>5420</v>
      </c>
      <c r="J646" s="13" t="s">
        <v>118</v>
      </c>
      <c r="K646" s="13">
        <v>5420</v>
      </c>
      <c r="L646" s="13">
        <v>1667</v>
      </c>
      <c r="M646" s="13">
        <v>5</v>
      </c>
      <c r="N646" s="13" t="s">
        <v>1776</v>
      </c>
      <c r="O646" s="13" t="s">
        <v>269</v>
      </c>
      <c r="P646" s="13">
        <v>10310</v>
      </c>
      <c r="Q646" s="59" t="s">
        <v>270</v>
      </c>
      <c r="R646" s="13" t="s">
        <v>122</v>
      </c>
      <c r="S646" s="13" t="s">
        <v>524</v>
      </c>
      <c r="T646" s="13" t="s">
        <v>112</v>
      </c>
      <c r="U646" s="13" t="s">
        <v>113</v>
      </c>
      <c r="V646" s="13">
        <v>53</v>
      </c>
      <c r="W646" s="44">
        <f>IF($AX646="Cancelled","",IFERROR(((V646+INDEX(Variables!$B$6:$D$6,IFERROR(MATCH(IF($B646="Robusta","Robusta",(IF($B646="","Arabica",$B646))&amp;" - "&amp;(IF($C646="","Commercial",$C646))),Variables!$B$1:$D$1,0),1)))*22.0462)*(L646/16.67),""))</f>
        <v>757948.35599999991</v>
      </c>
      <c r="X646" s="55" t="s">
        <v>37</v>
      </c>
      <c r="Y646" s="13" t="str">
        <f>IF($AX646="Cancelled","",IF(X646="","",IFERROR(IF(INDEX(Variables!$B$38:$B$47,MATCH(X646,Variables!$A$38:$A$47,0))="Yes","Yes","No"),"No")))</f>
        <v>Yes</v>
      </c>
      <c r="Z646" s="58">
        <v>46051</v>
      </c>
      <c r="AB646" s="31">
        <v>46058</v>
      </c>
      <c r="AC646" s="13" t="str">
        <f t="shared" si="31"/>
        <v>Approved</v>
      </c>
      <c r="AF646" s="71">
        <v>46088</v>
      </c>
      <c r="AG646" s="37">
        <f>IF($AX646="Cancelled","",IFERROR(IF(F646="","",F646-Variables!$B$13),""))</f>
        <v>46097</v>
      </c>
      <c r="AH646" s="13">
        <f>IF($AX646="Cancelled","",IFERROR(IF(AB646="","",(AVERAGE(E646:F646)-AB646)-Variables!$B$14),""))</f>
        <v>9</v>
      </c>
      <c r="AJ646" s="47">
        <v>46091</v>
      </c>
      <c r="AK646" s="14">
        <f>IF($AX646="Cancelled","",IFERROR(IF(AJ646="","",IF(AND(AB646="",AF646=""),"",IF(AF646&gt;AB646,AF646+Variables!$B$15+Variables!$B$16+Variables!$B$17-AJ646,AB646+Variables!$B$16+Variables!$B$17-AJ646))),""))</f>
        <v>12</v>
      </c>
      <c r="AL646" s="48" t="s">
        <v>114</v>
      </c>
      <c r="AM646" s="13" t="s">
        <v>115</v>
      </c>
      <c r="AN646" s="13" t="s">
        <v>1774</v>
      </c>
      <c r="AP646" s="31">
        <v>46101</v>
      </c>
      <c r="AR646" s="13">
        <v>266894610</v>
      </c>
      <c r="AS646" s="31">
        <v>46101</v>
      </c>
      <c r="AU646" s="31">
        <v>46108</v>
      </c>
      <c r="AV646" s="13" t="s">
        <v>865</v>
      </c>
      <c r="AW646" s="31">
        <v>46135</v>
      </c>
      <c r="AX646" s="13" t="str">
        <f>IF(ISNUMBER(SEARCH("cancel",#REF!)),"Cancelled",IF(AND(AS646&lt;&gt;"",AU646&lt;&gt;"",AW646&lt;&gt;""),"Closed","Open"))</f>
        <v>Closed</v>
      </c>
      <c r="AY646" s="15" t="str">
        <f t="shared" si="30"/>
        <v>All dates received</v>
      </c>
      <c r="BD646" s="13">
        <f>IF($AX646="Cancelled","",IFERROR(IF(OR(AS646="",AJ646=""),"",(AJ646+Variables!$B$18-AS646)),""))</f>
        <v>5</v>
      </c>
      <c r="BE646" s="13">
        <f>IF($AX646="Cancelled","",IFERROR(IF(OR(AW646="",AS646=""),"",(AS646+Variables!$B$19)-AW646),""))</f>
        <v>-29</v>
      </c>
      <c r="BF646" s="44">
        <f>IF($AX646="Cancelled","",IFERROR(W646*INDEX(Variables!$B$7:$D$7,IFERROR(MATCH(IF($B646="Robusta","Robusta",(IF($B646="","Arabica",$B646))&amp;" - "&amp;(IF($C646="","Commercial",$C646))),Variables!$B$1:$D$1,0),1))*(BE646/365),""))</f>
        <v>-3883.1538272784464</v>
      </c>
      <c r="BG646" s="44">
        <f>IF($AX646="Cancelled","",IFERROR((W646*INDEX(Variables!$B$7:$D$7,IFERROR(MATCH(IF($B646="Robusta","Robusta",(IF($B646="","Arabica",$B646))&amp;" - "&amp;(IF($C646="","Commercial",$C646))),Variables!$B$1:$D$1,0),1))*IFERROR(IF(AB646="","",(AVERAGE(E646:F646)-AB646)-Variables!$B$14),"")/365)+(L646/16.67*INDEX(Variables!$B$8:$D$8,IFERROR(MATCH(IF($B646="Robusta","Robusta",(IF($B646="","Arabica",$B646))&amp;" - "&amp;(IF($C646="","Commercial",$C646))),Variables!$B$1:$D$1,0),1))*IFERROR(IF(AB646="","",(AVERAGE(E646:F646)-AB646)-Variables!$B$14),""))+(W646*INDEX(Variables!$B$9:$D$9,IFERROR(MATCH(IF($B646="Robusta","Robusta",(IF($B646="","Arabica",$B646))&amp;" - "&amp;(IF($C646="","Commercial",$C646))),Variables!$B$1:$D$1,0),1))*IFERROR(IF(AB646="","",(AVERAGE(E646:F646)-AB646)-Variables!$B$14),"")/365),""))</f>
        <v>1970.8029850587779</v>
      </c>
      <c r="BH646" s="44">
        <f>IF($AX646="Cancelled","",IFERROR((W646*INDEX(Variables!$B$7:$D$7,IFERROR(MATCH(IF($B646="Robusta","Robusta",(IF($B646="","Arabica",$B646))&amp;" - "&amp;(IF($C646="","Commercial",$C646))),Variables!$B$1:$D$1,0),1))*AK646/365)+(L646/16.67*INDEX(Variables!$B$8:$D$8,IFERROR(MATCH(IF($B646="Robusta","Robusta",(IF($B646="","Arabica",$B646))&amp;" - "&amp;(IF($C646="","Commercial",$C646))),Variables!$B$1:$D$1,0),1))*AK646)+(W646*INDEX(Variables!$B$9:$D$9,IFERROR(MATCH(IF($B646="Robusta","Robusta",(IF($B646="","Arabica",$B646))&amp;" - "&amp;(IF($C646="","Commercial",$C646))),Variables!$B$1:$D$1,0),1))*AK646/365),""))</f>
        <v>2627.7373134117042</v>
      </c>
      <c r="BI646" s="44">
        <f>IF($AX646="Cancelled","",IFERROR((W646*INDEX(Variables!$B$7:$D$7,IFERROR(MATCH(IF($B646="Robusta","Robusta",(IF($B646="","Arabica",$B646))&amp;" - "&amp;(IF($C646="","Commercial",$C646))),Variables!$B$1:$D$1,0),1))*BD646/365)+(L646/16.67*INDEX(Variables!$B$8:$D$8,IFERROR(MATCH(IF($B646="Robusta","Robusta",(IF($B646="","Arabica",$B646))&amp;" - "&amp;(IF($C646="","Commercial",$C646))),Variables!$B$1:$D$1,0),1))*BD646)+(W646*INDEX(Variables!$B$9:$D$9,IFERROR(MATCH(IF($B646="Robusta","Robusta",(IF($B646="","Arabica",$B646))&amp;" - "&amp;(IF($C646="","Commercial",$C646))),Variables!$B$1:$D$1,0),1))*BD646/365),""))</f>
        <v>1094.8905472548768</v>
      </c>
      <c r="BJ646" s="44">
        <f t="shared" si="32"/>
        <v>11</v>
      </c>
      <c r="BK646" s="44">
        <f>IF($AX646="Cancelled","",IFERROR(IF(BJ646="","",(W646*INDEX(Variables!$B$7:$D$7,IFERROR(MATCH(IF($B646="Robusta","Robusta",(IF($B646="","Arabica",$B646))&amp;" - "&amp;(IF($C646="","Commercial",$C646))),Variables!$B$1:$D$1,0),1))*(BJ646/365))+(W646*INDEX(Variables!$B$9:$D$9,IFERROR(MATCH(IF($B646="Robusta","Robusta",(IF($B646="","Arabica",$B646))&amp;" - "&amp;(IF($C646="","Commercial",$C646))),Variables!$B$1:$D$1,0),1))*(BJ646/365))+(INDEX(Variables!$B$8:$D$8,IFERROR(MATCH(IF($B646="Robusta","Robusta",(IF($B646="","Arabica",$B646))&amp;" - "&amp;(IF($C646="","Commercial",$C646))),Variables!$B$1:$D$1,0),1))*L646/16.67)),""))</f>
        <v>1575.2592039607289</v>
      </c>
    </row>
    <row r="647" spans="1:63">
      <c r="A647" s="13" t="s">
        <v>103</v>
      </c>
      <c r="B647" s="13" t="s">
        <v>104</v>
      </c>
      <c r="C647" s="13" t="s">
        <v>105</v>
      </c>
      <c r="D647" s="31">
        <v>46034</v>
      </c>
      <c r="E647" s="31">
        <v>46082</v>
      </c>
      <c r="F647" s="31">
        <v>46112</v>
      </c>
      <c r="G647" s="13">
        <v>3787094</v>
      </c>
      <c r="H647" s="13" t="s">
        <v>1777</v>
      </c>
      <c r="J647" s="13" t="s">
        <v>118</v>
      </c>
      <c r="K647" s="13" t="s">
        <v>1777</v>
      </c>
      <c r="L647" s="13">
        <v>1333</v>
      </c>
      <c r="M647" s="13">
        <v>4</v>
      </c>
      <c r="N647" s="13" t="s">
        <v>1602</v>
      </c>
      <c r="O647" s="13" t="s">
        <v>269</v>
      </c>
      <c r="P647" s="13">
        <v>10310</v>
      </c>
      <c r="Q647" s="59" t="s">
        <v>270</v>
      </c>
      <c r="R647" s="13" t="s">
        <v>271</v>
      </c>
      <c r="S647" s="13" t="s">
        <v>524</v>
      </c>
      <c r="T647" s="13" t="s">
        <v>112</v>
      </c>
      <c r="U647" s="13" t="s">
        <v>113</v>
      </c>
      <c r="V647" s="13">
        <v>53</v>
      </c>
      <c r="W647" s="44">
        <f>IF($AX647="Cancelled","",IFERROR(((V647+INDEX(Variables!$B$6:$D$6,IFERROR(MATCH(IF($B647="Robusta","Robusta",(IF($B647="","Arabica",$B647))&amp;" - "&amp;(IF($C647="","Commercial",$C647))),Variables!$B$1:$D$1,0),1)))*22.0462)*(L647/16.67),""))</f>
        <v>606085.87795320933</v>
      </c>
      <c r="X647" s="55" t="s">
        <v>37</v>
      </c>
      <c r="Y647" s="13" t="str">
        <f>IF($AX647="Cancelled","",IF(X647="","",IFERROR(IF(INDEX(Variables!$B$38:$B$47,MATCH(X647,Variables!$A$38:$A$47,0))="Yes","Yes","No"),"No")))</f>
        <v>Yes</v>
      </c>
      <c r="Z647" s="58">
        <v>46051</v>
      </c>
      <c r="AB647" s="31">
        <v>46059</v>
      </c>
      <c r="AC647" s="13" t="str">
        <f t="shared" si="31"/>
        <v>Approved</v>
      </c>
      <c r="AF647" s="71">
        <v>46097</v>
      </c>
      <c r="AG647" s="37">
        <f>IF($AX647="Cancelled","",IFERROR(IF(F647="","",F647-Variables!$B$13),""))</f>
        <v>46097</v>
      </c>
      <c r="AH647" s="13">
        <f>IF($AX647="Cancelled","",IFERROR(IF(AB647="","",(AVERAGE(E647:F647)-AB647)-Variables!$B$14),""))</f>
        <v>8</v>
      </c>
      <c r="AJ647" s="47">
        <v>46099</v>
      </c>
      <c r="AK647" s="14">
        <f>IF($AX647="Cancelled","",IFERROR(IF(AJ647="","",IF(AND(AB647="",AF647=""),"",IF(AF647&gt;AB647,AF647+Variables!$B$15+Variables!$B$16+Variables!$B$17-AJ647,AB647+Variables!$B$16+Variables!$B$17-AJ647))),""))</f>
        <v>13</v>
      </c>
      <c r="AL647" s="48" t="s">
        <v>114</v>
      </c>
      <c r="AM647" s="13" t="s">
        <v>115</v>
      </c>
      <c r="AN647" s="13" t="s">
        <v>1778</v>
      </c>
      <c r="AP647" s="31">
        <v>46109</v>
      </c>
      <c r="AR647" s="13">
        <v>267431284</v>
      </c>
      <c r="AS647" s="31">
        <v>46109</v>
      </c>
      <c r="AU647" s="31">
        <v>46149</v>
      </c>
      <c r="AV647" s="13" t="s">
        <v>865</v>
      </c>
      <c r="AW647" s="31">
        <v>46149</v>
      </c>
      <c r="AX647" s="13" t="str">
        <f>IF(ISNUMBER(SEARCH("cancel",#REF!)),"Cancelled",IF(AND(AS647&lt;&gt;"",AU647&lt;&gt;"",AW647&lt;&gt;""),"Closed","Open"))</f>
        <v>Closed</v>
      </c>
      <c r="AY647" s="15" t="str">
        <f t="shared" si="30"/>
        <v>All dates received</v>
      </c>
      <c r="BD647" s="13">
        <f>IF($AX647="Cancelled","",IFERROR(IF(OR(AS647="",AJ647=""),"",(AJ647+Variables!$B$18-AS647)),""))</f>
        <v>5</v>
      </c>
      <c r="BE647" s="13">
        <f>IF($AX647="Cancelled","",IFERROR(IF(OR(AW647="",AS647=""),"",(AS647+Variables!$B$19)-AW647),""))</f>
        <v>-35</v>
      </c>
      <c r="BF647" s="44">
        <f>IF($AX647="Cancelled","",IFERROR(W647*INDEX(Variables!$B$7:$D$7,IFERROR(MATCH(IF($B647="Robusta","Robusta",(IF($B647="","Arabica",$B647))&amp;" - "&amp;(IF($C647="","Commercial",$C647))),Variables!$B$1:$D$1,0),1))*(BE647/365),""))</f>
        <v>-3747.5651451435756</v>
      </c>
      <c r="BG647" s="44">
        <f>IF($AX647="Cancelled","",IFERROR((W647*INDEX(Variables!$B$7:$D$7,IFERROR(MATCH(IF($B647="Robusta","Robusta",(IF($B647="","Arabica",$B647))&amp;" - "&amp;(IF($C647="","Commercial",$C647))),Variables!$B$1:$D$1,0),1))*IFERROR(IF(AB647="","",(AVERAGE(E647:F647)-AB647)-Variables!$B$14),"")/365)+(L647/16.67*INDEX(Variables!$B$8:$D$8,IFERROR(MATCH(IF($B647="Robusta","Robusta",(IF($B647="","Arabica",$B647))&amp;" - "&amp;(IF($C647="","Commercial",$C647))),Variables!$B$1:$D$1,0),1))*IFERROR(IF(AB647="","",(AVERAGE(E647:F647)-AB647)-Variables!$B$14),""))+(W647*INDEX(Variables!$B$9:$D$9,IFERROR(MATCH(IF($B647="Robusta","Robusta",(IF($B647="","Arabica",$B647))&amp;" - "&amp;(IF($C647="","Commercial",$C647))),Variables!$B$1:$D$1,0),1))*IFERROR(IF(AB647="","",(AVERAGE(E647:F647)-AB647)-Variables!$B$14),"")/365),""))</f>
        <v>1400.8293696371932</v>
      </c>
      <c r="BH647" s="44">
        <f>IF($AX647="Cancelled","",IFERROR((W647*INDEX(Variables!$B$7:$D$7,IFERROR(MATCH(IF($B647="Robusta","Robusta",(IF($B647="","Arabica",$B647))&amp;" - "&amp;(IF($C647="","Commercial",$C647))),Variables!$B$1:$D$1,0),1))*AK647/365)+(L647/16.67*INDEX(Variables!$B$8:$D$8,IFERROR(MATCH(IF($B647="Robusta","Robusta",(IF($B647="","Arabica",$B647))&amp;" - "&amp;(IF($C647="","Commercial",$C647))),Variables!$B$1:$D$1,0),1))*AK647)+(W647*INDEX(Variables!$B$9:$D$9,IFERROR(MATCH(IF($B647="Robusta","Robusta",(IF($B647="","Arabica",$B647))&amp;" - "&amp;(IF($C647="","Commercial",$C647))),Variables!$B$1:$D$1,0),1))*AK647/365),""))</f>
        <v>2276.3477256604388</v>
      </c>
      <c r="BI647" s="44">
        <f>IF($AX647="Cancelled","",IFERROR((W647*INDEX(Variables!$B$7:$D$7,IFERROR(MATCH(IF($B647="Robusta","Robusta",(IF($B647="","Arabica",$B647))&amp;" - "&amp;(IF($C647="","Commercial",$C647))),Variables!$B$1:$D$1,0),1))*BD647/365)+(L647/16.67*INDEX(Variables!$B$8:$D$8,IFERROR(MATCH(IF($B647="Robusta","Robusta",(IF($B647="","Arabica",$B647))&amp;" - "&amp;(IF($C647="","Commercial",$C647))),Variables!$B$1:$D$1,0),1))*BD647)+(W647*INDEX(Variables!$B$9:$D$9,IFERROR(MATCH(IF($B647="Robusta","Robusta",(IF($B647="","Arabica",$B647))&amp;" - "&amp;(IF($C647="","Commercial",$C647))),Variables!$B$1:$D$1,0),1))*BD647/365),""))</f>
        <v>875.5183560232457</v>
      </c>
      <c r="BJ647" s="44">
        <f t="shared" si="32"/>
        <v>3</v>
      </c>
      <c r="BK647" s="44">
        <f>IF($AX647="Cancelled","",IFERROR(IF(BJ647="","",(W647*INDEX(Variables!$B$7:$D$7,IFERROR(MATCH(IF($B647="Robusta","Robusta",(IF($B647="","Arabica",$B647))&amp;" - "&amp;(IF($C647="","Commercial",$C647))),Variables!$B$1:$D$1,0),1))*(BJ647/365))+(W647*INDEX(Variables!$B$9:$D$9,IFERROR(MATCH(IF($B647="Robusta","Robusta",(IF($B647="","Arabica",$B647))&amp;" - "&amp;(IF($C647="","Commercial",$C647))),Variables!$B$1:$D$1,0),1))*(BJ647/365))+(INDEX(Variables!$B$8:$D$8,IFERROR(MATCH(IF($B647="Robusta","Robusta",(IF($B647="","Arabica",$B647))&amp;" - "&amp;(IF($C647="","Commercial",$C647))),Variables!$B$1:$D$1,0),1))*L647/16.67)),""))</f>
        <v>392.0110136139474</v>
      </c>
    </row>
    <row r="648" spans="1:63">
      <c r="A648" s="13" t="s">
        <v>103</v>
      </c>
      <c r="B648" s="13" t="s">
        <v>104</v>
      </c>
      <c r="C648" s="13" t="s">
        <v>105</v>
      </c>
      <c r="D648" s="31">
        <v>46034</v>
      </c>
      <c r="E648" s="31">
        <v>46082</v>
      </c>
      <c r="F648" s="31">
        <v>46112</v>
      </c>
      <c r="G648" s="13">
        <v>3787094</v>
      </c>
      <c r="H648" s="13" t="s">
        <v>1779</v>
      </c>
      <c r="J648" s="13" t="s">
        <v>118</v>
      </c>
      <c r="K648" s="13" t="s">
        <v>1779</v>
      </c>
      <c r="L648" s="13">
        <v>334</v>
      </c>
      <c r="M648" s="13">
        <v>1</v>
      </c>
      <c r="N648" s="13" t="s">
        <v>1602</v>
      </c>
      <c r="O648" s="13" t="s">
        <v>269</v>
      </c>
      <c r="P648" s="13">
        <v>10310</v>
      </c>
      <c r="Q648" s="59" t="s">
        <v>270</v>
      </c>
      <c r="R648" s="13" t="s">
        <v>271</v>
      </c>
      <c r="S648" s="13" t="s">
        <v>1780</v>
      </c>
      <c r="T648" s="13" t="s">
        <v>112</v>
      </c>
      <c r="U648" s="13" t="s">
        <v>113</v>
      </c>
      <c r="V648" s="13">
        <v>53</v>
      </c>
      <c r="W648" s="44">
        <f>IF($AX648="Cancelled","",IFERROR(((V648+INDEX(Variables!$B$6:$D$6,IFERROR(MATCH(IF($B648="Robusta","Robusta",(IF($B648="","Arabica",$B648))&amp;" - "&amp;(IF($C648="","Commercial",$C648))),Variables!$B$1:$D$1,0),1)))*22.0462)*(L648/16.67),""))</f>
        <v>151862.47804679064</v>
      </c>
      <c r="X648" s="55" t="s">
        <v>37</v>
      </c>
      <c r="Y648" s="13" t="str">
        <f>IF($AX648="Cancelled","",IF(X648="","",IFERROR(IF(INDEX(Variables!$B$38:$B$47,MATCH(X648,Variables!$A$38:$A$47,0))="Yes","Yes","No"),"No")))</f>
        <v>Yes</v>
      </c>
      <c r="Z648" s="58">
        <v>46051</v>
      </c>
      <c r="AB648" s="31">
        <v>46059</v>
      </c>
      <c r="AC648" s="13" t="str">
        <f t="shared" si="31"/>
        <v>Approved</v>
      </c>
      <c r="AF648" s="71">
        <v>46097</v>
      </c>
      <c r="AG648" s="37">
        <f>IF($AX648="Cancelled","",IFERROR(IF(F648="","",F648-Variables!$B$13),""))</f>
        <v>46097</v>
      </c>
      <c r="AH648" s="13">
        <f>IF($AX648="Cancelled","",IFERROR(IF(AB648="","",(AVERAGE(E648:F648)-AB648)-Variables!$B$14),""))</f>
        <v>8</v>
      </c>
      <c r="AJ648" s="47">
        <v>46098</v>
      </c>
      <c r="AK648" s="14">
        <f>IF($AX648="Cancelled","",IFERROR(IF(AJ648="","",IF(AND(AB648="",AF648=""),"",IF(AF648&gt;AB648,AF648+Variables!$B$15+Variables!$B$16+Variables!$B$17-AJ648,AB648+Variables!$B$16+Variables!$B$17-AJ648))),""))</f>
        <v>14</v>
      </c>
      <c r="AL648" s="48" t="s">
        <v>114</v>
      </c>
      <c r="AM648" s="13" t="s">
        <v>115</v>
      </c>
      <c r="AN648" s="13" t="s">
        <v>1778</v>
      </c>
      <c r="AP648" s="31">
        <v>46109</v>
      </c>
      <c r="AR648" s="13">
        <v>267421208</v>
      </c>
      <c r="AS648" s="31">
        <v>46109</v>
      </c>
      <c r="AU648" s="31">
        <v>46135</v>
      </c>
      <c r="AV648" s="13" t="s">
        <v>865</v>
      </c>
      <c r="AW648" s="31">
        <v>46135</v>
      </c>
      <c r="AX648" s="13" t="str">
        <f>IF(ISNUMBER(SEARCH("cancel",#REF!)),"Cancelled",IF(AND(AS648&lt;&gt;"",AU648&lt;&gt;"",AW648&lt;&gt;""),"Closed","Open"))</f>
        <v>Closed</v>
      </c>
      <c r="AY648" s="15" t="str">
        <f t="shared" si="30"/>
        <v>All dates received</v>
      </c>
      <c r="BD648" s="13">
        <f>IF($AX648="Cancelled","",IFERROR(IF(OR(AS648="",AJ648=""),"",(AJ648+Variables!$B$18-AS648)),""))</f>
        <v>4</v>
      </c>
      <c r="BE648" s="13">
        <f>IF($AX648="Cancelled","",IFERROR(IF(OR(AW648="",AS648=""),"",(AS648+Variables!$B$19)-AW648),""))</f>
        <v>-21</v>
      </c>
      <c r="BF648" s="44">
        <f>IF($AX648="Cancelled","",IFERROR(W648*INDEX(Variables!$B$7:$D$7,IFERROR(MATCH(IF($B648="Robusta","Robusta",(IF($B648="","Arabica",$B648))&amp;" - "&amp;(IF($C648="","Commercial",$C648))),Variables!$B$1:$D$1,0),1))*(BE648/365),""))</f>
        <v>-563.39989128790148</v>
      </c>
      <c r="BG648" s="44">
        <f>IF($AX648="Cancelled","",IFERROR((W648*INDEX(Variables!$B$7:$D$7,IFERROR(MATCH(IF($B648="Robusta","Robusta",(IF($B648="","Arabica",$B648))&amp;" - "&amp;(IF($C648="","Commercial",$C648))),Variables!$B$1:$D$1,0),1))*IFERROR(IF(AB648="","",(AVERAGE(E648:F648)-AB648)-Variables!$B$14),"")/365)+(L648/16.67*INDEX(Variables!$B$8:$D$8,IFERROR(MATCH(IF($B648="Robusta","Robusta",(IF($B648="","Arabica",$B648))&amp;" - "&amp;(IF($C648="","Commercial",$C648))),Variables!$B$1:$D$1,0),1))*IFERROR(IF(AB648="","",(AVERAGE(E648:F648)-AB648)-Variables!$B$14),""))+(W648*INDEX(Variables!$B$9:$D$9,IFERROR(MATCH(IF($B648="Robusta","Robusta",(IF($B648="","Arabica",$B648))&amp;" - "&amp;(IF($C648="","Commercial",$C648))),Variables!$B$1:$D$1,0),1))*IFERROR(IF(AB648="","",(AVERAGE(E648:F648)-AB648)-Variables!$B$14),"")/365),""))</f>
        <v>350.99550597060954</v>
      </c>
      <c r="BH648" s="44">
        <f>IF($AX648="Cancelled","",IFERROR((W648*INDEX(Variables!$B$7:$D$7,IFERROR(MATCH(IF($B648="Robusta","Robusta",(IF($B648="","Arabica",$B648))&amp;" - "&amp;(IF($C648="","Commercial",$C648))),Variables!$B$1:$D$1,0),1))*AK648/365)+(L648/16.67*INDEX(Variables!$B$8:$D$8,IFERROR(MATCH(IF($B648="Robusta","Robusta",(IF($B648="","Arabica",$B648))&amp;" - "&amp;(IF($C648="","Commercial",$C648))),Variables!$B$1:$D$1,0),1))*AK648)+(W648*INDEX(Variables!$B$9:$D$9,IFERROR(MATCH(IF($B648="Robusta","Robusta",(IF($B648="","Arabica",$B648))&amp;" - "&amp;(IF($C648="","Commercial",$C648))),Variables!$B$1:$D$1,0),1))*AK648/365),""))</f>
        <v>614.24213544856673</v>
      </c>
      <c r="BI648" s="44">
        <f>IF($AX648="Cancelled","",IFERROR((W648*INDEX(Variables!$B$7:$D$7,IFERROR(MATCH(IF($B648="Robusta","Robusta",(IF($B648="","Arabica",$B648))&amp;" - "&amp;(IF($C648="","Commercial",$C648))),Variables!$B$1:$D$1,0),1))*BD648/365)+(L648/16.67*INDEX(Variables!$B$8:$D$8,IFERROR(MATCH(IF($B648="Robusta","Robusta",(IF($B648="","Arabica",$B648))&amp;" - "&amp;(IF($C648="","Commercial",$C648))),Variables!$B$1:$D$1,0),1))*BD648)+(W648*INDEX(Variables!$B$9:$D$9,IFERROR(MATCH(IF($B648="Robusta","Robusta",(IF($B648="","Arabica",$B648))&amp;" - "&amp;(IF($C648="","Commercial",$C648))),Variables!$B$1:$D$1,0),1))*BD648/365),""))</f>
        <v>175.49775298530477</v>
      </c>
      <c r="BJ648" s="44">
        <f t="shared" si="32"/>
        <v>3</v>
      </c>
      <c r="BK648" s="44">
        <f>IF($AX648="Cancelled","",IFERROR(IF(BJ648="","",(W648*INDEX(Variables!$B$7:$D$7,IFERROR(MATCH(IF($B648="Robusta","Robusta",(IF($B648="","Arabica",$B648))&amp;" - "&amp;(IF($C648="","Commercial",$C648))),Variables!$B$1:$D$1,0),1))*(BJ648/365))+(W648*INDEX(Variables!$B$9:$D$9,IFERROR(MATCH(IF($B648="Robusta","Robusta",(IF($B648="","Arabica",$B648))&amp;" - "&amp;(IF($C648="","Commercial",$C648))),Variables!$B$1:$D$1,0),1))*(BJ648/365))+(INDEX(Variables!$B$8:$D$8,IFERROR(MATCH(IF($B648="Robusta","Robusta",(IF($B648="","Arabica",$B648))&amp;" - "&amp;(IF($C648="","Commercial",$C648))),Variables!$B$1:$D$1,0),1))*L648/16.67)),""))</f>
        <v>98.223314738978573</v>
      </c>
    </row>
    <row r="649" spans="1:63">
      <c r="A649" s="13" t="s">
        <v>103</v>
      </c>
      <c r="B649" s="13" t="s">
        <v>104</v>
      </c>
      <c r="C649" s="13" t="s">
        <v>105</v>
      </c>
      <c r="D649" s="31">
        <v>46034</v>
      </c>
      <c r="E649" s="31">
        <v>46113</v>
      </c>
      <c r="F649" s="31">
        <v>46142</v>
      </c>
      <c r="G649" s="13">
        <v>3787095</v>
      </c>
      <c r="H649" s="13">
        <v>5470</v>
      </c>
      <c r="J649" s="13" t="s">
        <v>118</v>
      </c>
      <c r="K649" s="13">
        <v>5470</v>
      </c>
      <c r="L649" s="13">
        <v>1000</v>
      </c>
      <c r="M649" s="13">
        <v>3</v>
      </c>
      <c r="N649" s="13" t="s">
        <v>1776</v>
      </c>
      <c r="O649" s="13" t="s">
        <v>269</v>
      </c>
      <c r="P649" s="13">
        <v>10310</v>
      </c>
      <c r="Q649" s="59" t="s">
        <v>270</v>
      </c>
      <c r="R649" s="13" t="s">
        <v>122</v>
      </c>
      <c r="S649" s="13" t="s">
        <v>524</v>
      </c>
      <c r="T649" s="13" t="s">
        <v>112</v>
      </c>
      <c r="U649" s="13" t="s">
        <v>113</v>
      </c>
      <c r="V649" s="23">
        <v>52</v>
      </c>
      <c r="W649" s="44">
        <f>IF($AX649="Cancelled","",IFERROR(((V649+INDEX(Variables!$B$6:$D$6,IFERROR(MATCH(IF($B649="Robusta","Robusta",(IF($B649="","Arabica",$B649))&amp;" - "&amp;(IF($C649="","Commercial",$C649))),Variables!$B$1:$D$1,0),1)))*22.0462)*(L649/16.67),""))</f>
        <v>453355.57048590278</v>
      </c>
      <c r="X649" s="55" t="s">
        <v>37</v>
      </c>
      <c r="Y649" s="13" t="str">
        <f>IF($AX649="Cancelled","",IF(X649="","",IFERROR(IF(INDEX(Variables!$B$38:$B$47,MATCH(X649,Variables!$A$38:$A$47,0))="Yes","Yes","No"),"No")))</f>
        <v>Yes</v>
      </c>
      <c r="Z649" s="58">
        <v>46080</v>
      </c>
      <c r="AB649" s="31">
        <v>46093</v>
      </c>
      <c r="AC649" s="13" t="str">
        <f t="shared" si="31"/>
        <v>Approved</v>
      </c>
      <c r="AF649" s="71">
        <v>46148</v>
      </c>
      <c r="AG649" s="37">
        <f>IF($AX649="Cancelled","",IFERROR(IF(F649="","",F649-Variables!$B$13),""))</f>
        <v>46127</v>
      </c>
      <c r="AH649" s="13">
        <f>IF($AX649="Cancelled","",IFERROR(IF(AB649="","",(AVERAGE(E649:F649)-AB649)-Variables!$B$14),""))</f>
        <v>4.5</v>
      </c>
      <c r="AJ649" s="47">
        <v>46170</v>
      </c>
      <c r="AK649" s="14">
        <f>IF($AX649="Cancelled","",IFERROR(IF(AJ649="","",IF(AND(AB649="",AF649=""),"",IF(AF649&gt;AB649,AF649+Variables!$B$15+Variables!$B$16+Variables!$B$17-AJ649,AB649+Variables!$B$16+Variables!$B$17-AJ649))),""))</f>
        <v>-7</v>
      </c>
      <c r="AL649" s="48" t="s">
        <v>114</v>
      </c>
      <c r="AM649" s="13" t="s">
        <v>1781</v>
      </c>
      <c r="AN649" s="13" t="s">
        <v>1782</v>
      </c>
      <c r="AR649" s="13" t="s">
        <v>1783</v>
      </c>
      <c r="AS649" s="31">
        <v>46196</v>
      </c>
      <c r="AU649" s="31">
        <v>46211</v>
      </c>
      <c r="AV649" s="13" t="e">
        <v>#REF!</v>
      </c>
      <c r="AW649" s="31">
        <v>46211</v>
      </c>
      <c r="AX649" s="13" t="str">
        <f>IF(ISNUMBER(SEARCH("cancel",#REF!)),"Cancelled",IF(AND(AS649&lt;&gt;"",AU649&lt;&gt;"",AW649&lt;&gt;""),"Closed","Open"))</f>
        <v>Closed</v>
      </c>
      <c r="AY649" s="15" t="str">
        <f t="shared" si="30"/>
        <v>All dates received</v>
      </c>
      <c r="BD649" s="13">
        <f>IF($AX649="Cancelled","",IFERROR(IF(OR(AS649="",AJ649=""),"",(AJ649+Variables!$B$18-AS649)),""))</f>
        <v>-11</v>
      </c>
      <c r="BE649" s="13">
        <f>IF($AX649="Cancelled","",IFERROR(IF(OR(AW649="",AS649=""),"",(AS649+Variables!$B$19)-AW649),""))</f>
        <v>-10</v>
      </c>
      <c r="BF649" s="44">
        <f>IF($AX649="Cancelled","",IFERROR(W649*INDEX(Variables!$B$7:$D$7,IFERROR(MATCH(IF($B649="Robusta","Robusta",(IF($B649="","Arabica",$B649))&amp;" - "&amp;(IF($C649="","Commercial",$C649))),Variables!$B$1:$D$1,0),1))*(BE649/365),""))</f>
        <v>-800.91409773112548</v>
      </c>
      <c r="BG649" s="44">
        <f>IF($AX649="Cancelled","",IFERROR((W649*INDEX(Variables!$B$7:$D$7,IFERROR(MATCH(IF($B649="Robusta","Robusta",(IF($B649="","Arabica",$B649))&amp;" - "&amp;(IF($C649="","Commercial",$C649))),Variables!$B$1:$D$1,0),1))*IFERROR(IF(AB649="","",(AVERAGE(E649:F649)-AB649)-Variables!$B$14),"")/365)+(L649/16.67*INDEX(Variables!$B$8:$D$8,IFERROR(MATCH(IF($B649="Robusta","Robusta",(IF($B649="","Arabica",$B649))&amp;" - "&amp;(IF($C649="","Commercial",$C649))),Variables!$B$1:$D$1,0),1))*IFERROR(IF(AB649="","",(AVERAGE(E649:F649)-AB649)-Variables!$B$14),""))+(W649*INDEX(Variables!$B$9:$D$9,IFERROR(MATCH(IF($B649="Robusta","Robusta",(IF($B649="","Arabica",$B649))&amp;" - "&amp;(IF($C649="","Commercial",$C649))),Variables!$B$1:$D$1,0),1))*IFERROR(IF(AB649="","",(AVERAGE(E649:F649)-AB649)-Variables!$B$14),"")/365),""))</f>
        <v>590.05774174846465</v>
      </c>
      <c r="BH649" s="44">
        <f>IF($AX649="Cancelled","",IFERROR((W649*INDEX(Variables!$B$7:$D$7,IFERROR(MATCH(IF($B649="Robusta","Robusta",(IF($B649="","Arabica",$B649))&amp;" - "&amp;(IF($C649="","Commercial",$C649))),Variables!$B$1:$D$1,0),1))*AK649/365)+(L649/16.67*INDEX(Variables!$B$8:$D$8,IFERROR(MATCH(IF($B649="Robusta","Robusta",(IF($B649="","Arabica",$B649))&amp;" - "&amp;(IF($C649="","Commercial",$C649))),Variables!$B$1:$D$1,0),1))*AK649)+(W649*INDEX(Variables!$B$9:$D$9,IFERROR(MATCH(IF($B649="Robusta","Robusta",(IF($B649="","Arabica",$B649))&amp;" - "&amp;(IF($C649="","Commercial",$C649))),Variables!$B$1:$D$1,0),1))*AK649/365),""))</f>
        <v>-917.86759827538947</v>
      </c>
      <c r="BI649" s="44">
        <f>IF($AX649="Cancelled","",IFERROR((W649*INDEX(Variables!$B$7:$D$7,IFERROR(MATCH(IF($B649="Robusta","Robusta",(IF($B649="","Arabica",$B649))&amp;" - "&amp;(IF($C649="","Commercial",$C649))),Variables!$B$1:$D$1,0),1))*BD649/365)+(L649/16.67*INDEX(Variables!$B$8:$D$8,IFERROR(MATCH(IF($B649="Robusta","Robusta",(IF($B649="","Arabica",$B649))&amp;" - "&amp;(IF($C649="","Commercial",$C649))),Variables!$B$1:$D$1,0),1))*BD649)+(W649*INDEX(Variables!$B$9:$D$9,IFERROR(MATCH(IF($B649="Robusta","Robusta",(IF($B649="","Arabica",$B649))&amp;" - "&amp;(IF($C649="","Commercial",$C649))),Variables!$B$1:$D$1,0),1))*BD649/365),""))</f>
        <v>-1442.363368718469</v>
      </c>
      <c r="BJ649" s="44">
        <f t="shared" si="32"/>
        <v>-54</v>
      </c>
      <c r="BK649" s="44">
        <f>IF($AX649="Cancelled","",IFERROR(IF(BJ649="","",(W649*INDEX(Variables!$B$7:$D$7,IFERROR(MATCH(IF($B649="Robusta","Robusta",(IF($B649="","Arabica",$B649))&amp;" - "&amp;(IF($C649="","Commercial",$C649))),Variables!$B$1:$D$1,0),1))*(BJ649/365))+(W649*INDEX(Variables!$B$9:$D$9,IFERROR(MATCH(IF($B649="Robusta","Robusta",(IF($B649="","Arabica",$B649))&amp;" - "&amp;(IF($C649="","Commercial",$C649))),Variables!$B$1:$D$1,0),1))*(BJ649/365))+(INDEX(Variables!$B$8:$D$8,IFERROR(MATCH(IF($B649="Robusta","Robusta",(IF($B649="","Arabica",$B649))&amp;" - "&amp;(IF($C649="","Commercial",$C649))),Variables!$B$1:$D$1,0),1))*L649/16.67)),""))</f>
        <v>-4330.6929009815749</v>
      </c>
    </row>
    <row r="650" spans="1:63">
      <c r="A650" s="13" t="s">
        <v>103</v>
      </c>
      <c r="B650" s="13" t="s">
        <v>104</v>
      </c>
      <c r="C650" s="13" t="s">
        <v>105</v>
      </c>
      <c r="D650" s="31">
        <v>46034</v>
      </c>
      <c r="E650" s="31">
        <v>46113</v>
      </c>
      <c r="F650" s="31">
        <v>46142</v>
      </c>
      <c r="G650" s="13">
        <v>3787095</v>
      </c>
      <c r="H650" s="13">
        <v>5470</v>
      </c>
      <c r="J650" s="13" t="s">
        <v>118</v>
      </c>
      <c r="K650" s="13">
        <v>5470</v>
      </c>
      <c r="L650" s="13">
        <v>667</v>
      </c>
      <c r="M650" s="13">
        <v>2</v>
      </c>
      <c r="N650" s="13" t="s">
        <v>1776</v>
      </c>
      <c r="O650" s="13" t="s">
        <v>269</v>
      </c>
      <c r="P650" s="13">
        <v>10310</v>
      </c>
      <c r="Q650" s="59" t="s">
        <v>270</v>
      </c>
      <c r="R650" s="13" t="s">
        <v>122</v>
      </c>
      <c r="S650" s="13" t="s">
        <v>524</v>
      </c>
      <c r="T650" s="13" t="s">
        <v>112</v>
      </c>
      <c r="U650" s="13" t="s">
        <v>113</v>
      </c>
      <c r="V650" s="23">
        <v>52</v>
      </c>
      <c r="W650" s="44">
        <f>IF($AX650="Cancelled","",IFERROR(((V650+INDEX(Variables!$B$6:$D$6,IFERROR(MATCH(IF($B650="Robusta","Robusta",(IF($B650="","Arabica",$B650))&amp;" - "&amp;(IF($C650="","Commercial",$C650))),Variables!$B$1:$D$1,0),1)))*22.0462)*(L650/16.67),""))</f>
        <v>302388.16551409714</v>
      </c>
      <c r="X650" s="55" t="s">
        <v>37</v>
      </c>
      <c r="Y650" s="13" t="str">
        <f>IF($AX650="Cancelled","",IF(X650="","",IFERROR(IF(INDEX(Variables!$B$38:$B$47,MATCH(X650,Variables!$A$38:$A$47,0))="Yes","Yes","No"),"No")))</f>
        <v>Yes</v>
      </c>
      <c r="Z650" s="58">
        <v>46080</v>
      </c>
      <c r="AB650" s="31">
        <v>46093</v>
      </c>
      <c r="AC650" s="13" t="str">
        <f t="shared" si="31"/>
        <v>Approved</v>
      </c>
      <c r="AF650" s="71">
        <v>46148</v>
      </c>
      <c r="AG650" s="37">
        <f>IF($AX650="Cancelled","",IFERROR(IF(F650="","",F650-Variables!$B$13),""))</f>
        <v>46127</v>
      </c>
      <c r="AH650" s="13">
        <f>IF($AX650="Cancelled","",IFERROR(IF(AB650="","",(AVERAGE(E650:F650)-AB650)-Variables!$B$14),""))</f>
        <v>4.5</v>
      </c>
      <c r="AJ650" s="47">
        <v>46182</v>
      </c>
      <c r="AK650" s="14">
        <f>IF($AX650="Cancelled","",IFERROR(IF(AJ650="","",IF(AND(AB650="",AF650=""),"",IF(AF650&gt;AB650,AF650+Variables!$B$15+Variables!$B$16+Variables!$B$17-AJ650,AB650+Variables!$B$16+Variables!$B$17-AJ650))),""))</f>
        <v>-19</v>
      </c>
      <c r="AL650" s="48" t="s">
        <v>114</v>
      </c>
      <c r="AM650" s="13" t="s">
        <v>1781</v>
      </c>
      <c r="AN650" s="13" t="s">
        <v>1782</v>
      </c>
      <c r="AR650" s="13" t="s">
        <v>1783</v>
      </c>
      <c r="AS650" s="31">
        <v>46196</v>
      </c>
      <c r="AU650" s="31">
        <v>46211</v>
      </c>
      <c r="AV650" s="13" t="e">
        <v>#REF!</v>
      </c>
      <c r="AW650" s="31">
        <v>46211</v>
      </c>
      <c r="AX650" s="13" t="str">
        <f>IF(ISNUMBER(SEARCH("cancel",#REF!)),"Cancelled",IF(AND(AS650&lt;&gt;"",AU650&lt;&gt;"",AW650&lt;&gt;""),"Closed","Open"))</f>
        <v>Closed</v>
      </c>
      <c r="AY650" s="15" t="str">
        <f t="shared" si="30"/>
        <v>All dates received</v>
      </c>
      <c r="BD650" s="13">
        <f>IF($AX650="Cancelled","",IFERROR(IF(OR(AS650="",AJ650=""),"",(AJ650+Variables!$B$18-AS650)),""))</f>
        <v>1</v>
      </c>
      <c r="BE650" s="13">
        <f>IF($AX650="Cancelled","",IFERROR(IF(OR(AW650="",AS650=""),"",(AS650+Variables!$B$19)-AW650),""))</f>
        <v>-10</v>
      </c>
      <c r="BF650" s="44">
        <f>IF($AX650="Cancelled","",IFERROR(W650*INDEX(Variables!$B$7:$D$7,IFERROR(MATCH(IF($B650="Robusta","Robusta",(IF($B650="","Arabica",$B650))&amp;" - "&amp;(IF($C650="","Commercial",$C650))),Variables!$B$1:$D$1,0),1))*(BE650/365),""))</f>
        <v>-534.2097031866607</v>
      </c>
      <c r="BG650" s="44">
        <f>IF($AX650="Cancelled","",IFERROR((W650*INDEX(Variables!$B$7:$D$7,IFERROR(MATCH(IF($B650="Robusta","Robusta",(IF($B650="","Arabica",$B650))&amp;" - "&amp;(IF($C650="","Commercial",$C650))),Variables!$B$1:$D$1,0),1))*IFERROR(IF(AB650="","",(AVERAGE(E650:F650)-AB650)-Variables!$B$14),"")/365)+(L650/16.67*INDEX(Variables!$B$8:$D$8,IFERROR(MATCH(IF($B650="Robusta","Robusta",(IF($B650="","Arabica",$B650))&amp;" - "&amp;(IF($C650="","Commercial",$C650))),Variables!$B$1:$D$1,0),1))*IFERROR(IF(AB650="","",(AVERAGE(E650:F650)-AB650)-Variables!$B$14),""))+(W650*INDEX(Variables!$B$9:$D$9,IFERROR(MATCH(IF($B650="Robusta","Robusta",(IF($B650="","Arabica",$B650))&amp;" - "&amp;(IF($C650="","Commercial",$C650))),Variables!$B$1:$D$1,0),1))*IFERROR(IF(AB650="","",(AVERAGE(E650:F650)-AB650)-Variables!$B$14),"")/365),""))</f>
        <v>393.5685137462259</v>
      </c>
      <c r="BH650" s="44">
        <f>IF($AX650="Cancelled","",IFERROR((W650*INDEX(Variables!$B$7:$D$7,IFERROR(MATCH(IF($B650="Robusta","Robusta",(IF($B650="","Arabica",$B650))&amp;" - "&amp;(IF($C650="","Commercial",$C650))),Variables!$B$1:$D$1,0),1))*AK650/365)+(L650/16.67*INDEX(Variables!$B$8:$D$8,IFERROR(MATCH(IF($B650="Robusta","Robusta",(IF($B650="","Arabica",$B650))&amp;" - "&amp;(IF($C650="","Commercial",$C650))),Variables!$B$1:$D$1,0),1))*AK650)+(W650*INDEX(Variables!$B$9:$D$9,IFERROR(MATCH(IF($B650="Robusta","Robusta",(IF($B650="","Arabica",$B650))&amp;" - "&amp;(IF($C650="","Commercial",$C650))),Variables!$B$1:$D$1,0),1))*AK650/365),""))</f>
        <v>-1661.7337247062871</v>
      </c>
      <c r="BI650" s="44">
        <f>IF($AX650="Cancelled","",IFERROR((W650*INDEX(Variables!$B$7:$D$7,IFERROR(MATCH(IF($B650="Robusta","Robusta",(IF($B650="","Arabica",$B650))&amp;" - "&amp;(IF($C650="","Commercial",$C650))),Variables!$B$1:$D$1,0),1))*BD650/365)+(L650/16.67*INDEX(Variables!$B$8:$D$8,IFERROR(MATCH(IF($B650="Robusta","Robusta",(IF($B650="","Arabica",$B650))&amp;" - "&amp;(IF($C650="","Commercial",$C650))),Variables!$B$1:$D$1,0),1))*BD650)+(W650*INDEX(Variables!$B$9:$D$9,IFERROR(MATCH(IF($B650="Robusta","Robusta",(IF($B650="","Arabica",$B650))&amp;" - "&amp;(IF($C650="","Commercial",$C650))),Variables!$B$1:$D$1,0),1))*BD650/365),""))</f>
        <v>87.45966972138352</v>
      </c>
      <c r="BJ650" s="44">
        <f t="shared" si="32"/>
        <v>-54</v>
      </c>
      <c r="BK650" s="44">
        <f>IF($AX650="Cancelled","",IFERROR(IF(BJ650="","",(W650*INDEX(Variables!$B$7:$D$7,IFERROR(MATCH(IF($B650="Robusta","Robusta",(IF($B650="","Arabica",$B650))&amp;" - "&amp;(IF($C650="","Commercial",$C650))),Variables!$B$1:$D$1,0),1))*(BJ650/365))+(W650*INDEX(Variables!$B$9:$D$9,IFERROR(MATCH(IF($B650="Robusta","Robusta",(IF($B650="","Arabica",$B650))&amp;" - "&amp;(IF($C650="","Commercial",$C650))),Variables!$B$1:$D$1,0),1))*(BJ650/365))+(INDEX(Variables!$B$8:$D$8,IFERROR(MATCH(IF($B650="Robusta","Robusta",(IF($B650="","Arabica",$B650))&amp;" - "&amp;(IF($C650="","Commercial",$C650))),Variables!$B$1:$D$1,0),1))*L650/16.67)),""))</f>
        <v>-2888.5721649547104</v>
      </c>
    </row>
    <row r="651" spans="1:63">
      <c r="A651" s="13" t="s">
        <v>103</v>
      </c>
      <c r="B651" s="13" t="s">
        <v>104</v>
      </c>
      <c r="C651" s="13" t="s">
        <v>105</v>
      </c>
      <c r="D651" s="31">
        <v>46034</v>
      </c>
      <c r="E651" s="31">
        <v>46113</v>
      </c>
      <c r="F651" s="31">
        <v>46142</v>
      </c>
      <c r="G651" s="13">
        <v>3787096</v>
      </c>
      <c r="H651" s="13">
        <v>5471</v>
      </c>
      <c r="J651" s="13" t="s">
        <v>118</v>
      </c>
      <c r="K651" s="13">
        <v>5471</v>
      </c>
      <c r="L651" s="13">
        <v>1667</v>
      </c>
      <c r="M651" s="13">
        <v>5</v>
      </c>
      <c r="N651" s="13" t="s">
        <v>1776</v>
      </c>
      <c r="O651" s="13" t="s">
        <v>269</v>
      </c>
      <c r="P651" s="13">
        <v>10310</v>
      </c>
      <c r="Q651" s="59" t="s">
        <v>270</v>
      </c>
      <c r="R651" s="13" t="s">
        <v>122</v>
      </c>
      <c r="S651" s="13" t="s">
        <v>524</v>
      </c>
      <c r="T651" s="13" t="s">
        <v>112</v>
      </c>
      <c r="U651" s="13" t="s">
        <v>113</v>
      </c>
      <c r="V651" s="23">
        <v>52</v>
      </c>
      <c r="W651" s="44">
        <f>IF($AX651="Cancelled","",IFERROR(((V651+INDEX(Variables!$B$6:$D$6,IFERROR(MATCH(IF($B651="Robusta","Robusta",(IF($B651="","Arabica",$B651))&amp;" - "&amp;(IF($C651="","Commercial",$C651))),Variables!$B$1:$D$1,0),1)))*22.0462)*(L651/16.67),""))</f>
        <v>755743.73599999992</v>
      </c>
      <c r="X651" s="55" t="s">
        <v>37</v>
      </c>
      <c r="Y651" s="13" t="str">
        <f>IF($AX651="Cancelled","",IF(X651="","",IFERROR(IF(INDEX(Variables!$B$38:$B$47,MATCH(X651,Variables!$A$38:$A$47,0))="Yes","Yes","No"),"No")))</f>
        <v>Yes</v>
      </c>
      <c r="Z651" s="58">
        <v>46080</v>
      </c>
      <c r="AB651" s="31">
        <v>46097</v>
      </c>
      <c r="AC651" s="13" t="str">
        <f t="shared" si="31"/>
        <v>Approved</v>
      </c>
      <c r="AF651" s="71">
        <v>46167</v>
      </c>
      <c r="AG651" s="37">
        <f>IF($AX651="Cancelled","",IFERROR(IF(F651="","",F651-Variables!$B$13),""))</f>
        <v>46127</v>
      </c>
      <c r="AH651" s="13">
        <f>IF($AX651="Cancelled","",IFERROR(IF(AB651="","",(AVERAGE(E651:F651)-AB651)-Variables!$B$14),""))</f>
        <v>0.5</v>
      </c>
      <c r="AJ651" s="47">
        <v>46170</v>
      </c>
      <c r="AK651" s="14">
        <f>IF($AX651="Cancelled","",IFERROR(IF(AJ651="","",IF(AND(AB651="",AF651=""),"",IF(AF651&gt;AB651,AF651+Variables!$B$15+Variables!$B$16+Variables!$B$17-AJ651,AB651+Variables!$B$16+Variables!$B$17-AJ651))),""))</f>
        <v>12</v>
      </c>
      <c r="AL651" s="48" t="s">
        <v>114</v>
      </c>
      <c r="AM651" s="13" t="s">
        <v>1784</v>
      </c>
      <c r="AN651" s="13" t="s">
        <v>1785</v>
      </c>
      <c r="AP651" s="31">
        <v>46184</v>
      </c>
      <c r="AR651" s="13" t="s">
        <v>1786</v>
      </c>
      <c r="AS651" s="31">
        <v>46184</v>
      </c>
      <c r="AU651" s="31">
        <v>46225</v>
      </c>
      <c r="AV651" s="13" t="s">
        <v>8</v>
      </c>
      <c r="AW651" s="31">
        <v>46225</v>
      </c>
      <c r="AX651" s="13" t="str">
        <f>IF(ISNUMBER(SEARCH("cancel",#REF!)),"Cancelled",IF(AND(AS651&lt;&gt;"",AU651&lt;&gt;"",AW651&lt;&gt;""),"Closed","Open"))</f>
        <v>Closed</v>
      </c>
      <c r="AY651" s="15" t="str">
        <f t="shared" si="30"/>
        <v>All dates received</v>
      </c>
      <c r="BD651" s="13">
        <f>IF($AX651="Cancelled","",IFERROR(IF(OR(AS651="",AJ651=""),"",(AJ651+Variables!$B$18-AS651)),""))</f>
        <v>1</v>
      </c>
      <c r="BE651" s="13">
        <f>IF($AX651="Cancelled","",IFERROR(IF(OR(AW651="",AS651=""),"",(AS651+Variables!$B$19)-AW651),""))</f>
        <v>-36</v>
      </c>
      <c r="BF651" s="44">
        <f>IF($AX651="Cancelled","",IFERROR(W651*INDEX(Variables!$B$7:$D$7,IFERROR(MATCH(IF($B651="Robusta","Robusta",(IF($B651="","Arabica",$B651))&amp;" - "&amp;(IF($C651="","Commercial",$C651))),Variables!$B$1:$D$1,0),1))*(BE651/365),""))</f>
        <v>-4806.4456833040304</v>
      </c>
      <c r="BG651" s="44">
        <f>IF($AX651="Cancelled","",IFERROR((W651*INDEX(Variables!$B$7:$D$7,IFERROR(MATCH(IF($B651="Robusta","Robusta",(IF($B651="","Arabica",$B651))&amp;" - "&amp;(IF($C651="","Commercial",$C651))),Variables!$B$1:$D$1,0),1))*IFERROR(IF(AB651="","",(AVERAGE(E651:F651)-AB651)-Variables!$B$14),"")/365)+(L651/16.67*INDEX(Variables!$B$8:$D$8,IFERROR(MATCH(IF($B651="Robusta","Robusta",(IF($B651="","Arabica",$B651))&amp;" - "&amp;(IF($C651="","Commercial",$C651))),Variables!$B$1:$D$1,0),1))*IFERROR(IF(AB651="","",(AVERAGE(E651:F651)-AB651)-Variables!$B$14),""))+(W651*INDEX(Variables!$B$9:$D$9,IFERROR(MATCH(IF($B651="Robusta","Robusta",(IF($B651="","Arabica",$B651))&amp;" - "&amp;(IF($C651="","Commercial",$C651))),Variables!$B$1:$D$1,0),1))*IFERROR(IF(AB651="","",(AVERAGE(E651:F651)-AB651)-Variables!$B$14),"")/365),""))</f>
        <v>109.29180616607671</v>
      </c>
      <c r="BH651" s="44">
        <f>IF($AX651="Cancelled","",IFERROR((W651*INDEX(Variables!$B$7:$D$7,IFERROR(MATCH(IF($B651="Robusta","Robusta",(IF($B651="","Arabica",$B651))&amp;" - "&amp;(IF($C651="","Commercial",$C651))),Variables!$B$1:$D$1,0),1))*AK651/365)+(L651/16.67*INDEX(Variables!$B$8:$D$8,IFERROR(MATCH(IF($B651="Robusta","Robusta",(IF($B651="","Arabica",$B651))&amp;" - "&amp;(IF($C651="","Commercial",$C651))),Variables!$B$1:$D$1,0),1))*AK651)+(W651*INDEX(Variables!$B$9:$D$9,IFERROR(MATCH(IF($B651="Robusta","Robusta",(IF($B651="","Arabica",$B651))&amp;" - "&amp;(IF($C651="","Commercial",$C651))),Variables!$B$1:$D$1,0),1))*AK651/365),""))</f>
        <v>2623.0033479858412</v>
      </c>
      <c r="BI651" s="44">
        <f>IF($AX651="Cancelled","",IFERROR((W651*INDEX(Variables!$B$7:$D$7,IFERROR(MATCH(IF($B651="Robusta","Robusta",(IF($B651="","Arabica",$B651))&amp;" - "&amp;(IF($C651="","Commercial",$C651))),Variables!$B$1:$D$1,0),1))*BD651/365)+(L651/16.67*INDEX(Variables!$B$8:$D$8,IFERROR(MATCH(IF($B651="Robusta","Robusta",(IF($B651="","Arabica",$B651))&amp;" - "&amp;(IF($C651="","Commercial",$C651))),Variables!$B$1:$D$1,0),1))*BD651)+(W651*INDEX(Variables!$B$9:$D$9,IFERROR(MATCH(IF($B651="Robusta","Robusta",(IF($B651="","Arabica",$B651))&amp;" - "&amp;(IF($C651="","Commercial",$C651))),Variables!$B$1:$D$1,0),1))*BD651/365),""))</f>
        <v>218.58361233215342</v>
      </c>
      <c r="BJ651" s="44">
        <f t="shared" si="32"/>
        <v>-42</v>
      </c>
      <c r="BK651" s="44">
        <f>IF($AX651="Cancelled","",IFERROR(IF(BJ651="","",(W651*INDEX(Variables!$B$7:$D$7,IFERROR(MATCH(IF($B651="Robusta","Robusta",(IF($B651="","Arabica",$B651))&amp;" - "&amp;(IF($C651="","Commercial",$C651))),Variables!$B$1:$D$1,0),1))*(BJ651/365))+(W651*INDEX(Variables!$B$9:$D$9,IFERROR(MATCH(IF($B651="Robusta","Robusta",(IF($B651="","Arabica",$B651))&amp;" - "&amp;(IF($C651="","Commercial",$C651))),Variables!$B$1:$D$1,0),1))*(BJ651/365))+(INDEX(Variables!$B$8:$D$8,IFERROR(MATCH(IF($B651="Robusta","Robusta",(IF($B651="","Arabica",$B651))&amp;" - "&amp;(IF($C651="","Commercial",$C651))),Variables!$B$1:$D$1,0),1))*L651/16.67)),""))</f>
        <v>-5596.4617179504439</v>
      </c>
    </row>
    <row r="652" spans="1:63">
      <c r="A652" s="13" t="s">
        <v>103</v>
      </c>
      <c r="B652" s="13" t="s">
        <v>104</v>
      </c>
      <c r="C652" s="13" t="s">
        <v>105</v>
      </c>
      <c r="D652" s="31">
        <v>46034</v>
      </c>
      <c r="E652" s="31">
        <v>46113</v>
      </c>
      <c r="F652" s="31">
        <v>46142</v>
      </c>
      <c r="G652" s="13">
        <v>3787097</v>
      </c>
      <c r="H652" s="13">
        <v>5472</v>
      </c>
      <c r="J652" s="13" t="s">
        <v>118</v>
      </c>
      <c r="K652" s="13">
        <v>5472</v>
      </c>
      <c r="L652" s="13">
        <v>1667</v>
      </c>
      <c r="M652" s="13">
        <v>5</v>
      </c>
      <c r="N652" s="13" t="s">
        <v>1776</v>
      </c>
      <c r="O652" s="13" t="s">
        <v>269</v>
      </c>
      <c r="P652" s="13">
        <v>10310</v>
      </c>
      <c r="Q652" s="59" t="s">
        <v>270</v>
      </c>
      <c r="R652" s="13" t="s">
        <v>122</v>
      </c>
      <c r="S652" s="13" t="s">
        <v>524</v>
      </c>
      <c r="T652" s="13" t="s">
        <v>112</v>
      </c>
      <c r="U652" s="13" t="s">
        <v>113</v>
      </c>
      <c r="V652" s="23">
        <v>52</v>
      </c>
      <c r="W652" s="44">
        <f>IF($AX652="Cancelled","",IFERROR(((V652+INDEX(Variables!$B$6:$D$6,IFERROR(MATCH(IF($B652="Robusta","Robusta",(IF($B652="","Arabica",$B652))&amp;" - "&amp;(IF($C652="","Commercial",$C652))),Variables!$B$1:$D$1,0),1)))*22.0462)*(L652/16.67),""))</f>
        <v>755743.73599999992</v>
      </c>
      <c r="X652" s="55" t="s">
        <v>37</v>
      </c>
      <c r="Y652" s="13" t="str">
        <f>IF($AX652="Cancelled","",IF(X652="","",IFERROR(IF(INDEX(Variables!$B$38:$B$47,MATCH(X652,Variables!$A$38:$A$47,0))="Yes","Yes","No"),"No")))</f>
        <v>Yes</v>
      </c>
      <c r="Z652" s="58">
        <v>46080</v>
      </c>
      <c r="AB652" s="31">
        <v>46097</v>
      </c>
      <c r="AC652" s="13" t="str">
        <f t="shared" si="31"/>
        <v>Approved</v>
      </c>
      <c r="AF652" s="71">
        <v>46170</v>
      </c>
      <c r="AG652" s="37">
        <f>IF($AX652="Cancelled","",IFERROR(IF(F652="","",F652-Variables!$B$13),""))</f>
        <v>46127</v>
      </c>
      <c r="AH652" s="13">
        <f>IF($AX652="Cancelled","",IFERROR(IF(AB652="","",(AVERAGE(E652:F652)-AB652)-Variables!$B$14),""))</f>
        <v>0.5</v>
      </c>
      <c r="AJ652" s="47">
        <v>46177</v>
      </c>
      <c r="AK652" s="14">
        <f>IF($AX652="Cancelled","",IFERROR(IF(AJ652="","",IF(AND(AB652="",AF652=""),"",IF(AF652&gt;AB652,AF652+Variables!$B$15+Variables!$B$16+Variables!$B$17-AJ652,AB652+Variables!$B$16+Variables!$B$17-AJ652))),""))</f>
        <v>8</v>
      </c>
      <c r="AL652" s="48" t="s">
        <v>114</v>
      </c>
      <c r="AM652" s="13" t="s">
        <v>1784</v>
      </c>
      <c r="AN652" s="13" t="s">
        <v>1785</v>
      </c>
      <c r="AP652" s="31">
        <v>46191</v>
      </c>
      <c r="AR652" s="13" t="s">
        <v>1787</v>
      </c>
      <c r="AS652" s="31">
        <v>46191</v>
      </c>
      <c r="AU652" s="31">
        <v>46211</v>
      </c>
      <c r="AV652" s="13" t="s">
        <v>8</v>
      </c>
      <c r="AW652" s="31">
        <v>46211</v>
      </c>
      <c r="AX652" s="13" t="str">
        <f>IF(ISNUMBER(SEARCH("cancel",#REF!)),"Cancelled",IF(AND(AS652&lt;&gt;"",AU652&lt;&gt;"",AW652&lt;&gt;""),"Closed","Open"))</f>
        <v>Closed</v>
      </c>
      <c r="AY652" s="15" t="str">
        <f t="shared" si="30"/>
        <v>All dates received</v>
      </c>
      <c r="BD652" s="13">
        <f>IF($AX652="Cancelled","",IFERROR(IF(OR(AS652="",AJ652=""),"",(AJ652+Variables!$B$18-AS652)),""))</f>
        <v>1</v>
      </c>
      <c r="BE652" s="13">
        <f>IF($AX652="Cancelled","",IFERROR(IF(OR(AW652="",AS652=""),"",(AS652+Variables!$B$19)-AW652),""))</f>
        <v>-15</v>
      </c>
      <c r="BF652" s="44">
        <f>IF($AX652="Cancelled","",IFERROR(W652*INDEX(Variables!$B$7:$D$7,IFERROR(MATCH(IF($B652="Robusta","Robusta",(IF($B652="","Arabica",$B652))&amp;" - "&amp;(IF($C652="","Commercial",$C652))),Variables!$B$1:$D$1,0),1))*(BE652/365),""))</f>
        <v>-2002.6857013766794</v>
      </c>
      <c r="BG652" s="44">
        <f>IF($AX652="Cancelled","",IFERROR((W652*INDEX(Variables!$B$7:$D$7,IFERROR(MATCH(IF($B652="Robusta","Robusta",(IF($B652="","Arabica",$B652))&amp;" - "&amp;(IF($C652="","Commercial",$C652))),Variables!$B$1:$D$1,0),1))*IFERROR(IF(AB652="","",(AVERAGE(E652:F652)-AB652)-Variables!$B$14),"")/365)+(L652/16.67*INDEX(Variables!$B$8:$D$8,IFERROR(MATCH(IF($B652="Robusta","Robusta",(IF($B652="","Arabica",$B652))&amp;" - "&amp;(IF($C652="","Commercial",$C652))),Variables!$B$1:$D$1,0),1))*IFERROR(IF(AB652="","",(AVERAGE(E652:F652)-AB652)-Variables!$B$14),""))+(W652*INDEX(Variables!$B$9:$D$9,IFERROR(MATCH(IF($B652="Robusta","Robusta",(IF($B652="","Arabica",$B652))&amp;" - "&amp;(IF($C652="","Commercial",$C652))),Variables!$B$1:$D$1,0),1))*IFERROR(IF(AB652="","",(AVERAGE(E652:F652)-AB652)-Variables!$B$14),"")/365),""))</f>
        <v>109.29180616607671</v>
      </c>
      <c r="BH652" s="44">
        <f>IF($AX652="Cancelled","",IFERROR((W652*INDEX(Variables!$B$7:$D$7,IFERROR(MATCH(IF($B652="Robusta","Robusta",(IF($B652="","Arabica",$B652))&amp;" - "&amp;(IF($C652="","Commercial",$C652))),Variables!$B$1:$D$1,0),1))*AK652/365)+(L652/16.67*INDEX(Variables!$B$8:$D$8,IFERROR(MATCH(IF($B652="Robusta","Robusta",(IF($B652="","Arabica",$B652))&amp;" - "&amp;(IF($C652="","Commercial",$C652))),Variables!$B$1:$D$1,0),1))*AK652)+(W652*INDEX(Variables!$B$9:$D$9,IFERROR(MATCH(IF($B652="Robusta","Robusta",(IF($B652="","Arabica",$B652))&amp;" - "&amp;(IF($C652="","Commercial",$C652))),Variables!$B$1:$D$1,0),1))*AK652/365),""))</f>
        <v>1748.6688986572274</v>
      </c>
      <c r="BI652" s="44">
        <f>IF($AX652="Cancelled","",IFERROR((W652*INDEX(Variables!$B$7:$D$7,IFERROR(MATCH(IF($B652="Robusta","Robusta",(IF($B652="","Arabica",$B652))&amp;" - "&amp;(IF($C652="","Commercial",$C652))),Variables!$B$1:$D$1,0),1))*BD652/365)+(L652/16.67*INDEX(Variables!$B$8:$D$8,IFERROR(MATCH(IF($B652="Robusta","Robusta",(IF($B652="","Arabica",$B652))&amp;" - "&amp;(IF($C652="","Commercial",$C652))),Variables!$B$1:$D$1,0),1))*BD652)+(W652*INDEX(Variables!$B$9:$D$9,IFERROR(MATCH(IF($B652="Robusta","Robusta",(IF($B652="","Arabica",$B652))&amp;" - "&amp;(IF($C652="","Commercial",$C652))),Variables!$B$1:$D$1,0),1))*BD652/365),""))</f>
        <v>218.58361233215342</v>
      </c>
      <c r="BJ652" s="44">
        <f t="shared" si="32"/>
        <v>-49</v>
      </c>
      <c r="BK652" s="44">
        <f>IF($AX652="Cancelled","",IFERROR(IF(BJ652="","",(W652*INDEX(Variables!$B$7:$D$7,IFERROR(MATCH(IF($B652="Robusta","Robusta",(IF($B652="","Arabica",$B652))&amp;" - "&amp;(IF($C652="","Commercial",$C652))),Variables!$B$1:$D$1,0),1))*(BJ652/365))+(W652*INDEX(Variables!$B$9:$D$9,IFERROR(MATCH(IF($B652="Robusta","Robusta",(IF($B652="","Arabica",$B652))&amp;" - "&amp;(IF($C652="","Commercial",$C652))),Variables!$B$1:$D$1,0),1))*(BJ652/365))+(INDEX(Variables!$B$8:$D$8,IFERROR(MATCH(IF($B652="Robusta","Robusta",(IF($B652="","Arabica",$B652))&amp;" - "&amp;(IF($C652="","Commercial",$C652))),Variables!$B$1:$D$1,0),1))*L652/16.67)),""))</f>
        <v>-6543.097004275518</v>
      </c>
    </row>
    <row r="653" spans="1:63">
      <c r="A653" s="13" t="s">
        <v>103</v>
      </c>
      <c r="B653" s="13" t="s">
        <v>104</v>
      </c>
      <c r="C653" s="13" t="s">
        <v>105</v>
      </c>
      <c r="D653" s="31">
        <v>46035</v>
      </c>
      <c r="E653" s="31">
        <v>46054</v>
      </c>
      <c r="F653" s="31">
        <v>46081</v>
      </c>
      <c r="G653" s="13">
        <v>3787098</v>
      </c>
      <c r="H653" s="13" t="s">
        <v>1788</v>
      </c>
      <c r="J653" s="13" t="s">
        <v>230</v>
      </c>
      <c r="K653" s="13">
        <v>5399</v>
      </c>
      <c r="L653" s="13">
        <v>2160</v>
      </c>
      <c r="M653" s="13">
        <v>6</v>
      </c>
      <c r="N653" s="13" t="s">
        <v>1789</v>
      </c>
      <c r="O653" s="13" t="s">
        <v>269</v>
      </c>
      <c r="P653" s="13">
        <v>10310</v>
      </c>
      <c r="R653" s="13" t="s">
        <v>122</v>
      </c>
      <c r="S653" s="13" t="s">
        <v>154</v>
      </c>
      <c r="T653" s="13" t="s">
        <v>155</v>
      </c>
      <c r="U653" s="13" t="s">
        <v>125</v>
      </c>
      <c r="V653" s="13">
        <v>63.16</v>
      </c>
      <c r="W653" s="44">
        <f>IF($AX653="Cancelled","",IFERROR(((V653+INDEX(Variables!$B$6:$D$6,IFERROR(MATCH(IF($B653="Robusta","Robusta",(IF($B653="","Arabica",$B653))&amp;" - "&amp;(IF($C653="","Commercial",$C653))),Variables!$B$1:$D$1,0),1)))*22.0462)*(L653/16.67),""))</f>
        <v>1011127.8690053988</v>
      </c>
      <c r="X653" s="55" t="s">
        <v>37</v>
      </c>
      <c r="Y653" s="13" t="str">
        <f>IF($AX653="Cancelled","",IF(X653="","",IFERROR(IF(INDEX(Variables!$B$38:$B$47,MATCH(X653,Variables!$A$38:$A$47,0))="Yes","Yes","No"),"No")))</f>
        <v>Yes</v>
      </c>
      <c r="Z653" s="58">
        <v>46036</v>
      </c>
      <c r="AC653" s="13" t="str">
        <f t="shared" si="31"/>
        <v/>
      </c>
      <c r="AF653" s="71">
        <v>46056</v>
      </c>
      <c r="AG653" s="37">
        <f>IF($AX653="Cancelled","",IFERROR(IF(F653="","",F653-Variables!$B$13),""))</f>
        <v>46066</v>
      </c>
      <c r="AH653" s="13" t="str">
        <f>IF($AX653="Cancelled","",IFERROR(IF(AB653="","",(AVERAGE(E653:F653)-AB653)-Variables!$B$14),""))</f>
        <v/>
      </c>
      <c r="AJ653" s="47">
        <v>46056</v>
      </c>
      <c r="AK653" s="14">
        <f>IF($AX653="Cancelled","",IFERROR(IF(AJ653="","",IF(AND(AB653="",AF653=""),"",IF(AF653&gt;AB653,AF653+Variables!$B$15+Variables!$B$16+Variables!$B$17-AJ653,AB653+Variables!$B$16+Variables!$B$17-AJ653))),""))</f>
        <v>15</v>
      </c>
      <c r="AL653" s="48" t="s">
        <v>114</v>
      </c>
      <c r="AM653" s="13" t="s">
        <v>1526</v>
      </c>
      <c r="AN653" s="13" t="s">
        <v>1790</v>
      </c>
      <c r="AP653" s="31">
        <v>46072</v>
      </c>
      <c r="AR653" s="13">
        <v>914601</v>
      </c>
      <c r="AS653" s="31">
        <v>46072</v>
      </c>
      <c r="AU653" s="31">
        <v>46085</v>
      </c>
      <c r="AV653" s="13" t="s">
        <v>865</v>
      </c>
      <c r="AW653" s="31">
        <v>46085</v>
      </c>
      <c r="AX653" s="13" t="str">
        <f>IF(ISNUMBER(SEARCH("cancel",#REF!)),"Cancelled",IF(AND(AS653&lt;&gt;"",AU653&lt;&gt;"",AW653&lt;&gt;""),"Closed","Open"))</f>
        <v>Closed</v>
      </c>
      <c r="AY653" s="15" t="str">
        <f t="shared" si="30"/>
        <v>All dates received</v>
      </c>
      <c r="BD653" s="13">
        <f>IF($AX653="Cancelled","",IFERROR(IF(OR(AS653="",AJ653=""),"",(AJ653+Variables!$B$18-AS653)),""))</f>
        <v>-1</v>
      </c>
      <c r="BE653" s="13">
        <f>IF($AX653="Cancelled","",IFERROR(IF(OR(AW653="",AS653=""),"",(AS653+Variables!$B$19)-AW653),""))</f>
        <v>-8</v>
      </c>
      <c r="BF653" s="44">
        <f>IF($AX653="Cancelled","",IFERROR(W653*INDEX(Variables!$B$7:$D$7,IFERROR(MATCH(IF($B653="Robusta","Robusta",(IF($B653="","Arabica",$B653))&amp;" - "&amp;(IF($C653="","Commercial",$C653))),Variables!$B$1:$D$1,0),1))*(BE653/365),""))</f>
        <v>-1429.0356049266834</v>
      </c>
      <c r="BG653" s="44" t="str">
        <f>IF($AX653="Cancelled","",IFERROR((W653*INDEX(Variables!$B$7:$D$7,IFERROR(MATCH(IF($B653="Robusta","Robusta",(IF($B653="","Arabica",$B653))&amp;" - "&amp;(IF($C653="","Commercial",$C653))),Variables!$B$1:$D$1,0),1))*IFERROR(IF(AB653="","",(AVERAGE(E653:F653)-AB653)-Variables!$B$14),"")/365)+(L653/16.67*INDEX(Variables!$B$8:$D$8,IFERROR(MATCH(IF($B653="Robusta","Robusta",(IF($B653="","Arabica",$B653))&amp;" - "&amp;(IF($C653="","Commercial",$C653))),Variables!$B$1:$D$1,0),1))*IFERROR(IF(AB653="","",(AVERAGE(E653:F653)-AB653)-Variables!$B$14),""))+(W653*INDEX(Variables!$B$9:$D$9,IFERROR(MATCH(IF($B653="Robusta","Robusta",(IF($B653="","Arabica",$B653))&amp;" - "&amp;(IF($C653="","Commercial",$C653))),Variables!$B$1:$D$1,0),1))*IFERROR(IF(AB653="","",(AVERAGE(E653:F653)-AB653)-Variables!$B$14),"")/365),""))</f>
        <v/>
      </c>
      <c r="BH653" s="44">
        <f>IF($AX653="Cancelled","",IFERROR((W653*INDEX(Variables!$B$7:$D$7,IFERROR(MATCH(IF($B653="Robusta","Robusta",(IF($B653="","Arabica",$B653))&amp;" - "&amp;(IF($C653="","Commercial",$C653))),Variables!$B$1:$D$1,0),1))*AK653/365)+(L653/16.67*INDEX(Variables!$B$8:$D$8,IFERROR(MATCH(IF($B653="Robusta","Robusta",(IF($B653="","Arabica",$B653))&amp;" - "&amp;(IF($C653="","Commercial",$C653))),Variables!$B$1:$D$1,0),1))*AK653)+(W653*INDEX(Variables!$B$9:$D$9,IFERROR(MATCH(IF($B653="Robusta","Robusta",(IF($B653="","Arabica",$B653))&amp;" - "&amp;(IF($C653="","Commercial",$C653))),Variables!$B$1:$D$1,0),1))*AK653/365),""))</f>
        <v>4333.9849344774293</v>
      </c>
      <c r="BI653" s="44">
        <f>IF($AX653="Cancelled","",IFERROR((W653*INDEX(Variables!$B$7:$D$7,IFERROR(MATCH(IF($B653="Robusta","Robusta",(IF($B653="","Arabica",$B653))&amp;" - "&amp;(IF($C653="","Commercial",$C653))),Variables!$B$1:$D$1,0),1))*BD653/365)+(L653/16.67*INDEX(Variables!$B$8:$D$8,IFERROR(MATCH(IF($B653="Robusta","Robusta",(IF($B653="","Arabica",$B653))&amp;" - "&amp;(IF($C653="","Commercial",$C653))),Variables!$B$1:$D$1,0),1))*BD653)+(W653*INDEX(Variables!$B$9:$D$9,IFERROR(MATCH(IF($B653="Robusta","Robusta",(IF($B653="","Arabica",$B653))&amp;" - "&amp;(IF($C653="","Commercial",$C653))),Variables!$B$1:$D$1,0),1))*BD653/365),""))</f>
        <v>-288.93232896516196</v>
      </c>
      <c r="BJ653" s="44">
        <f t="shared" si="32"/>
        <v>9</v>
      </c>
      <c r="BK653" s="44">
        <f>IF($AX653="Cancelled","",IFERROR(IF(BJ653="","",(W653*INDEX(Variables!$B$7:$D$7,IFERROR(MATCH(IF($B653="Robusta","Robusta",(IF($B653="","Arabica",$B653))&amp;" - "&amp;(IF($C653="","Commercial",$C653))),Variables!$B$1:$D$1,0),1))*(BJ653/365))+(W653*INDEX(Variables!$B$9:$D$9,IFERROR(MATCH(IF($B653="Robusta","Robusta",(IF($B653="","Arabica",$B653))&amp;" - "&amp;(IF($C653="","Commercial",$C653))),Variables!$B$1:$D$1,0),1))*(BJ653/365))+(INDEX(Variables!$B$8:$D$8,IFERROR(MATCH(IF($B653="Robusta","Robusta",(IF($B653="","Arabica",$B653))&amp;" - "&amp;(IF($C653="","Commercial",$C653))),Variables!$B$1:$D$1,0),1))*L653/16.67)),""))</f>
        <v>1736.3909606864577</v>
      </c>
    </row>
    <row r="654" spans="1:63">
      <c r="A654" s="13" t="s">
        <v>103</v>
      </c>
      <c r="B654" s="13" t="s">
        <v>104</v>
      </c>
      <c r="C654" s="13" t="s">
        <v>292</v>
      </c>
      <c r="D654" s="31">
        <v>46036</v>
      </c>
      <c r="E654" s="31">
        <v>46054</v>
      </c>
      <c r="F654" s="31">
        <v>46112</v>
      </c>
      <c r="G654" s="13">
        <v>3787099</v>
      </c>
      <c r="J654" s="13" t="s">
        <v>447</v>
      </c>
      <c r="K654" s="13" t="s">
        <v>1791</v>
      </c>
      <c r="L654" s="13">
        <v>50</v>
      </c>
      <c r="M654" s="13">
        <v>1</v>
      </c>
      <c r="N654" s="13" t="s">
        <v>1792</v>
      </c>
      <c r="O654" s="13" t="s">
        <v>297</v>
      </c>
      <c r="P654" s="13">
        <v>10040</v>
      </c>
      <c r="R654" s="13" t="s">
        <v>239</v>
      </c>
      <c r="S654" s="13" t="s">
        <v>154</v>
      </c>
      <c r="T654" s="13" t="s">
        <v>155</v>
      </c>
      <c r="U654" s="13" t="s">
        <v>125</v>
      </c>
      <c r="V654" s="13">
        <v>60</v>
      </c>
      <c r="W654" s="44">
        <f>IF($AX654="Cancelled","",IFERROR(((V654+INDEX(Variables!$B$6:$D$6,IFERROR(MATCH(IF($B654="Robusta","Robusta",(IF($B654="","Arabica",$B654))&amp;" - "&amp;(IF($C654="","Commercial",$C654))),Variables!$B$1:$D$1,0),1)))*22.0462)*(L654/16.67),""))</f>
        <v>23196.781523695256</v>
      </c>
      <c r="X654" s="55" t="s">
        <v>39</v>
      </c>
      <c r="Y654" s="13" t="str">
        <f>IF($AX654="Cancelled","",IF(X654="","",IFERROR(IF(INDEX(Variables!$B$38:$B$47,MATCH(X654,Variables!$A$38:$A$47,0))="Yes","Yes","No"),"No")))</f>
        <v>No</v>
      </c>
      <c r="Z654" s="31"/>
      <c r="AC654" s="13" t="str">
        <f t="shared" si="31"/>
        <v/>
      </c>
      <c r="AF654" s="71">
        <v>46052</v>
      </c>
      <c r="AG654" s="37">
        <f>IF($AX654="Cancelled","",IFERROR(IF(F654="","",F654-Variables!$B$13),""))</f>
        <v>46097</v>
      </c>
      <c r="AH654" s="13" t="str">
        <f>IF($AX654="Cancelled","",IFERROR(IF(AB654="","",(AVERAGE(E654:F654)-AB654)-Variables!$B$14),""))</f>
        <v/>
      </c>
      <c r="AJ654" s="47">
        <v>46125</v>
      </c>
      <c r="AK654" s="14">
        <f>IF($AX654="Cancelled","",IFERROR(IF(AJ654="","",IF(AND(AB654="",AF654=""),"",IF(AF654&gt;AB654,AF654+Variables!$B$15+Variables!$B$16+Variables!$B$17-AJ654,AB654+Variables!$B$16+Variables!$B$17-AJ654))),""))</f>
        <v>-58</v>
      </c>
      <c r="AL654" s="48" t="s">
        <v>114</v>
      </c>
      <c r="AM654" s="13" t="s">
        <v>168</v>
      </c>
      <c r="AN654" s="13" t="s">
        <v>1793</v>
      </c>
      <c r="AP654" s="31" t="e">
        <v>#N/A</v>
      </c>
      <c r="AR654" s="13" t="s">
        <v>1794</v>
      </c>
      <c r="AS654" s="31">
        <v>46136</v>
      </c>
      <c r="AU654" s="31">
        <v>46160</v>
      </c>
      <c r="AV654" s="13" t="s">
        <v>865</v>
      </c>
      <c r="AW654" s="31">
        <v>46160</v>
      </c>
      <c r="AX654" s="13" t="str">
        <f>IF(ISNUMBER(SEARCH("cancel",#REF!)),"Cancelled",IF(AND(AS654&lt;&gt;"",AU654&lt;&gt;"",AW654&lt;&gt;""),"Closed","Open"))</f>
        <v>Closed</v>
      </c>
      <c r="AY654" s="15" t="str">
        <f t="shared" si="30"/>
        <v>All dates received</v>
      </c>
      <c r="BD654" s="13">
        <f>IF($AX654="Cancelled","",IFERROR(IF(OR(AS654="",AJ654=""),"",(AJ654+Variables!$B$18-AS654)),""))</f>
        <v>4</v>
      </c>
      <c r="BE654" s="13">
        <f>IF($AX654="Cancelled","",IFERROR(IF(OR(AW654="",AS654=""),"",(AS654+Variables!$B$19)-AW654),""))</f>
        <v>-19</v>
      </c>
      <c r="BF654" s="44">
        <f>IF($AX654="Cancelled","",IFERROR(W654*INDEX(Variables!$B$7:$D$7,IFERROR(MATCH(IF($B654="Robusta","Robusta",(IF($B654="","Arabica",$B654))&amp;" - "&amp;(IF($C654="","Commercial",$C654))),Variables!$B$1:$D$1,0),1))*(BE654/365),""))</f>
        <v>-77.862494810348551</v>
      </c>
      <c r="BG654" s="44" t="str">
        <f>IF($AX654="Cancelled","",IFERROR((W654*INDEX(Variables!$B$7:$D$7,IFERROR(MATCH(IF($B654="Robusta","Robusta",(IF($B654="","Arabica",$B654))&amp;" - "&amp;(IF($C654="","Commercial",$C654))),Variables!$B$1:$D$1,0),1))*IFERROR(IF(AB654="","",(AVERAGE(E654:F654)-AB654)-Variables!$B$14),"")/365)+(L654/16.67*INDEX(Variables!$B$8:$D$8,IFERROR(MATCH(IF($B654="Robusta","Robusta",(IF($B654="","Arabica",$B654))&amp;" - "&amp;(IF($C654="","Commercial",$C654))),Variables!$B$1:$D$1,0),1))*IFERROR(IF(AB654="","",(AVERAGE(E654:F654)-AB654)-Variables!$B$14),""))+(W654*INDEX(Variables!$B$9:$D$9,IFERROR(MATCH(IF($B654="Robusta","Robusta",(IF($B654="","Arabica",$B654))&amp;" - "&amp;(IF($C654="","Commercial",$C654))),Variables!$B$1:$D$1,0),1))*IFERROR(IF(AB654="","",(AVERAGE(E654:F654)-AB654)-Variables!$B$14),"")/365),""))</f>
        <v/>
      </c>
      <c r="BH654" s="44">
        <f>IF($AX654="Cancelled","",IFERROR((W654*INDEX(Variables!$B$7:$D$7,IFERROR(MATCH(IF($B654="Robusta","Robusta",(IF($B654="","Arabica",$B654))&amp;" - "&amp;(IF($C654="","Commercial",$C654))),Variables!$B$1:$D$1,0),1))*AK654/365)+(L654/16.67*INDEX(Variables!$B$8:$D$8,IFERROR(MATCH(IF($B654="Robusta","Robusta",(IF($B654="","Arabica",$B654))&amp;" - "&amp;(IF($C654="","Commercial",$C654))),Variables!$B$1:$D$1,0),1))*AK654)+(W654*INDEX(Variables!$B$9:$D$9,IFERROR(MATCH(IF($B654="Robusta","Robusta",(IF($B654="","Arabica",$B654))&amp;" - "&amp;(IF($C654="","Commercial",$C654))),Variables!$B$1:$D$1,0),1))*AK654/365),""))</f>
        <v>-385.74973540486701</v>
      </c>
      <c r="BI654" s="44">
        <f>IF($AX654="Cancelled","",IFERROR((W654*INDEX(Variables!$B$7:$D$7,IFERROR(MATCH(IF($B654="Robusta","Robusta",(IF($B654="","Arabica",$B654))&amp;" - "&amp;(IF($C654="","Commercial",$C654))),Variables!$B$1:$D$1,0),1))*BD654/365)+(L654/16.67*INDEX(Variables!$B$8:$D$8,IFERROR(MATCH(IF($B654="Robusta","Robusta",(IF($B654="","Arabica",$B654))&amp;" - "&amp;(IF($C654="","Commercial",$C654))),Variables!$B$1:$D$1,0),1))*BD654)+(W654*INDEX(Variables!$B$9:$D$9,IFERROR(MATCH(IF($B654="Robusta","Robusta",(IF($B654="","Arabica",$B654))&amp;" - "&amp;(IF($C654="","Commercial",$C654))),Variables!$B$1:$D$1,0),1))*BD654/365),""))</f>
        <v>26.603430027921867</v>
      </c>
      <c r="BJ654" s="44">
        <f t="shared" si="32"/>
        <v>-24</v>
      </c>
      <c r="BK654" s="44">
        <f>IF($AX654="Cancelled","",IFERROR(IF(BJ654="","",(W654*INDEX(Variables!$B$7:$D$7,IFERROR(MATCH(IF($B654="Robusta","Robusta",(IF($B654="","Arabica",$B654))&amp;" - "&amp;(IF($C654="","Commercial",$C654))),Variables!$B$1:$D$1,0),1))*(BJ654/365))+(W654*INDEX(Variables!$B$9:$D$9,IFERROR(MATCH(IF($B654="Robusta","Robusta",(IF($B654="","Arabica",$B654))&amp;" - "&amp;(IF($C654="","Commercial",$C654))),Variables!$B$1:$D$1,0),1))*(BJ654/365))+(INDEX(Variables!$B$8:$D$8,IFERROR(MATCH(IF($B654="Robusta","Robusta",(IF($B654="","Arabica",$B654))&amp;" - "&amp;(IF($C654="","Commercial",$C654))),Variables!$B$1:$D$1,0),1))*L654/16.67)),""))</f>
        <v>-97.120580167531173</v>
      </c>
    </row>
    <row r="655" spans="1:63">
      <c r="A655" s="13" t="s">
        <v>103</v>
      </c>
      <c r="B655" s="13" t="s">
        <v>104</v>
      </c>
      <c r="C655" s="13" t="s">
        <v>105</v>
      </c>
      <c r="D655" s="31">
        <v>46036</v>
      </c>
      <c r="E655" s="31">
        <v>46054</v>
      </c>
      <c r="F655" s="31">
        <v>46081</v>
      </c>
      <c r="G655" s="13">
        <v>3787100</v>
      </c>
      <c r="J655" s="13" t="s">
        <v>1795</v>
      </c>
      <c r="K655" s="13">
        <v>5404</v>
      </c>
      <c r="L655" s="13">
        <v>300</v>
      </c>
      <c r="M655" s="13">
        <v>1</v>
      </c>
      <c r="N655" s="13" t="s">
        <v>1796</v>
      </c>
      <c r="O655" s="13" t="s">
        <v>1172</v>
      </c>
      <c r="P655" s="13">
        <v>10260</v>
      </c>
      <c r="R655" s="13" t="s">
        <v>110</v>
      </c>
      <c r="S655" s="13" t="s">
        <v>1797</v>
      </c>
      <c r="T655" s="13" t="s">
        <v>430</v>
      </c>
      <c r="U655" s="13" t="s">
        <v>182</v>
      </c>
      <c r="V655" s="13">
        <v>-163.05000000000001</v>
      </c>
      <c r="W655" s="44">
        <f>IF($AX655="Cancelled","",IFERROR(((V655+INDEX(Variables!$B$6:$D$6,IFERROR(MATCH(IF($B655="Robusta","Robusta",(IF($B655="","Arabica",$B655))&amp;" - "&amp;(IF($C655="","Commercial",$C655))),Variables!$B$1:$D$1,0),1)))*22.0462)*(L655/16.67),""))</f>
        <v>50685.099880023983</v>
      </c>
      <c r="X655" s="55" t="s">
        <v>37</v>
      </c>
      <c r="Y655" s="13" t="str">
        <f>IF($AX655="Cancelled","",IF(X655="","",IFERROR(IF(INDEX(Variables!$B$38:$B$47,MATCH(X655,Variables!$A$38:$A$47,0))="Yes","Yes","No"),"No")))</f>
        <v>Yes</v>
      </c>
      <c r="Z655" s="58">
        <v>46044</v>
      </c>
      <c r="AB655" s="31">
        <v>46036.875</v>
      </c>
      <c r="AC655" s="13" t="str">
        <f t="shared" si="31"/>
        <v>Approved</v>
      </c>
      <c r="AF655" s="71">
        <v>46059</v>
      </c>
      <c r="AG655" s="37">
        <f>IF($AX655="Cancelled","",IFERROR(IF(F655="","",F655-Variables!$B$13),""))</f>
        <v>46066</v>
      </c>
      <c r="AH655" s="13">
        <f>IF($AX655="Cancelled","",IFERROR(IF(AB655="","",(AVERAGE(E655:F655)-AB655)-Variables!$B$14),""))</f>
        <v>0.625</v>
      </c>
      <c r="AJ655" s="47">
        <v>46065</v>
      </c>
      <c r="AK655" s="14">
        <f>IF($AX655="Cancelled","",IFERROR(IF(AJ655="","",IF(AND(AB655="",AF655=""),"",IF(AF655&gt;AB655,AF655+Variables!$B$15+Variables!$B$16+Variables!$B$17-AJ655,AB655+Variables!$B$16+Variables!$B$17-AJ655))),""))</f>
        <v>9</v>
      </c>
      <c r="AL655" s="48" t="s">
        <v>114</v>
      </c>
      <c r="AM655" s="13" t="s">
        <v>1798</v>
      </c>
      <c r="AN655" s="13" t="s">
        <v>1799</v>
      </c>
      <c r="AR655" s="13" t="s">
        <v>1800</v>
      </c>
      <c r="AS655" s="31">
        <v>46090</v>
      </c>
      <c r="AU655" s="31">
        <v>46090</v>
      </c>
      <c r="AV655" s="13" t="s">
        <v>865</v>
      </c>
      <c r="AW655" s="31">
        <v>46090</v>
      </c>
      <c r="AX655" s="13" t="str">
        <f>IF(ISNUMBER(SEARCH("cancel",#REF!)),"Cancelled",IF(AND(AS655&lt;&gt;"",AU655&lt;&gt;"",AW655&lt;&gt;""),"Closed","Open"))</f>
        <v>Closed</v>
      </c>
      <c r="AY655" s="15" t="str">
        <f t="shared" si="30"/>
        <v>All dates received</v>
      </c>
      <c r="BD655" s="13">
        <f>IF($AX655="Cancelled","",IFERROR(IF(OR(AS655="",AJ655=""),"",(AJ655+Variables!$B$18-AS655)),""))</f>
        <v>-10</v>
      </c>
      <c r="BE655" s="13">
        <f>IF($AX655="Cancelled","",IFERROR(IF(OR(AW655="",AS655=""),"",(AS655+Variables!$B$19)-AW655),""))</f>
        <v>5</v>
      </c>
      <c r="BF655" s="44">
        <f>IF($AX655="Cancelled","",IFERROR(W655*INDEX(Variables!$B$7:$D$7,IFERROR(MATCH(IF($B655="Robusta","Robusta",(IF($B655="","Arabica",$B655))&amp;" - "&amp;(IF($C655="","Commercial",$C655))),Variables!$B$1:$D$1,0),1))*(BE655/365),""))</f>
        <v>44.771051335392912</v>
      </c>
      <c r="BG655" s="44">
        <f>IF($AX655="Cancelled","",IFERROR((W655*INDEX(Variables!$B$7:$D$7,IFERROR(MATCH(IF($B655="Robusta","Robusta",(IF($B655="","Arabica",$B655))&amp;" - "&amp;(IF($C655="","Commercial",$C655))),Variables!$B$1:$D$1,0),1))*IFERROR(IF(AB655="","",(AVERAGE(E655:F655)-AB655)-Variables!$B$14),"")/365)+(L655/16.67*INDEX(Variables!$B$8:$D$8,IFERROR(MATCH(IF($B655="Robusta","Robusta",(IF($B655="","Arabica",$B655))&amp;" - "&amp;(IF($C655="","Commercial",$C655))),Variables!$B$1:$D$1,0),1))*IFERROR(IF(AB655="","",(AVERAGE(E655:F655)-AB655)-Variables!$B$14),""))+(W655*INDEX(Variables!$B$9:$D$9,IFERROR(MATCH(IF($B655="Robusta","Robusta",(IF($B655="","Arabica",$B655))&amp;" - "&amp;(IF($C655="","Commercial",$C655))),Variables!$B$1:$D$1,0),1))*IFERROR(IF(AB655="","",(AVERAGE(E655:F655)-AB655)-Variables!$B$14),"")/365),""))</f>
        <v>15.043529573654018</v>
      </c>
      <c r="BH655" s="44">
        <f>IF($AX655="Cancelled","",IFERROR((W655*INDEX(Variables!$B$7:$D$7,IFERROR(MATCH(IF($B655="Robusta","Robusta",(IF($B655="","Arabica",$B655))&amp;" - "&amp;(IF($C655="","Commercial",$C655))),Variables!$B$1:$D$1,0),1))*AK655/365)+(L655/16.67*INDEX(Variables!$B$8:$D$8,IFERROR(MATCH(IF($B655="Robusta","Robusta",(IF($B655="","Arabica",$B655))&amp;" - "&amp;(IF($C655="","Commercial",$C655))),Variables!$B$1:$D$1,0),1))*AK655)+(W655*INDEX(Variables!$B$9:$D$9,IFERROR(MATCH(IF($B655="Robusta","Robusta",(IF($B655="","Arabica",$B655))&amp;" - "&amp;(IF($C655="","Commercial",$C655))),Variables!$B$1:$D$1,0),1))*AK655/365),""))</f>
        <v>216.62682586061788</v>
      </c>
      <c r="BI655" s="44">
        <f>IF($AX655="Cancelled","",IFERROR((W655*INDEX(Variables!$B$7:$D$7,IFERROR(MATCH(IF($B655="Robusta","Robusta",(IF($B655="","Arabica",$B655))&amp;" - "&amp;(IF($C655="","Commercial",$C655))),Variables!$B$1:$D$1,0),1))*BD655/365)+(L655/16.67*INDEX(Variables!$B$8:$D$8,IFERROR(MATCH(IF($B655="Robusta","Robusta",(IF($B655="","Arabica",$B655))&amp;" - "&amp;(IF($C655="","Commercial",$C655))),Variables!$B$1:$D$1,0),1))*BD655)+(W655*INDEX(Variables!$B$9:$D$9,IFERROR(MATCH(IF($B655="Robusta","Robusta",(IF($B655="","Arabica",$B655))&amp;" - "&amp;(IF($C655="","Commercial",$C655))),Variables!$B$1:$D$1,0),1))*BD655/365),""))</f>
        <v>-240.69647317846429</v>
      </c>
      <c r="BJ655" s="44">
        <f t="shared" si="32"/>
        <v>-9</v>
      </c>
      <c r="BK655" s="44">
        <f>IF($AX655="Cancelled","",IFERROR(IF(BJ655="","",(W655*INDEX(Variables!$B$7:$D$7,IFERROR(MATCH(IF($B655="Robusta","Robusta",(IF($B655="","Arabica",$B655))&amp;" - "&amp;(IF($C655="","Commercial",$C655))),Variables!$B$1:$D$1,0),1))*(BJ655/365))+(W655*INDEX(Variables!$B$9:$D$9,IFERROR(MATCH(IF($B655="Robusta","Robusta",(IF($B655="","Arabica",$B655))&amp;" - "&amp;(IF($C655="","Commercial",$C655))),Variables!$B$1:$D$1,0),1))*(BJ655/365))+(INDEX(Variables!$B$8:$D$8,IFERROR(MATCH(IF($B655="Robusta","Robusta",(IF($B655="","Arabica",$B655))&amp;" - "&amp;(IF($C655="","Commercial",$C655))),Variables!$B$1:$D$1,0),1))*L655/16.67)),""))</f>
        <v>-66.626825860617856</v>
      </c>
    </row>
    <row r="656" spans="1:63">
      <c r="A656" s="13" t="s">
        <v>103</v>
      </c>
      <c r="B656" s="13" t="s">
        <v>104</v>
      </c>
      <c r="C656" s="13" t="s">
        <v>292</v>
      </c>
      <c r="D656" s="31">
        <v>46036</v>
      </c>
      <c r="E656" s="31">
        <v>46054</v>
      </c>
      <c r="F656" s="31">
        <v>46081</v>
      </c>
      <c r="G656" s="13">
        <v>3787101</v>
      </c>
      <c r="J656" s="13" t="s">
        <v>447</v>
      </c>
      <c r="K656" s="13" t="s">
        <v>1801</v>
      </c>
      <c r="L656" s="13">
        <v>30</v>
      </c>
      <c r="M656" s="13">
        <v>0</v>
      </c>
      <c r="N656" s="13" t="s">
        <v>1802</v>
      </c>
      <c r="O656" s="13" t="s">
        <v>584</v>
      </c>
      <c r="P656" s="13">
        <v>10040</v>
      </c>
      <c r="R656" s="13" t="s">
        <v>239</v>
      </c>
      <c r="S656" s="13" t="s">
        <v>154</v>
      </c>
      <c r="T656" s="13" t="s">
        <v>155</v>
      </c>
      <c r="U656" s="13" t="s">
        <v>125</v>
      </c>
      <c r="V656" s="13">
        <v>104</v>
      </c>
      <c r="W656" s="44">
        <f>IF($AX656="Cancelled","",IFERROR(((V656+INDEX(Variables!$B$6:$D$6,IFERROR(MATCH(IF($B656="Robusta","Robusta",(IF($B656="","Arabica",$B656))&amp;" - "&amp;(IF($C656="","Commercial",$C656))),Variables!$B$1:$D$1,0),1)))*22.0462)*(L656/16.67),""))</f>
        <v>15663.77881223755</v>
      </c>
      <c r="X656" s="55" t="s">
        <v>39</v>
      </c>
      <c r="Y656" s="13" t="str">
        <f>IF($AX656="Cancelled","",IF(X656="","",IFERROR(IF(INDEX(Variables!$B$38:$B$47,MATCH(X656,Variables!$A$38:$A$47,0))="Yes","Yes","No"),"No")))</f>
        <v>No</v>
      </c>
      <c r="Z656" s="31"/>
      <c r="AB656" s="31">
        <v>46022.875</v>
      </c>
      <c r="AC656" s="13" t="str">
        <f t="shared" si="31"/>
        <v>Approved</v>
      </c>
      <c r="AF656" s="71">
        <v>46091</v>
      </c>
      <c r="AG656" s="31">
        <f>IF($AX656="Cancelled","",IFERROR(IF(F656="","",F656-Variables!$B$13),""))</f>
        <v>46066</v>
      </c>
      <c r="AH656" s="13">
        <f>IF($AX656="Cancelled","",IFERROR(IF(AB656="","",(AVERAGE(E656:F656)-AB656)-Variables!$B$14),""))</f>
        <v>14.625</v>
      </c>
      <c r="AJ656" s="47">
        <v>46093</v>
      </c>
      <c r="AK656" s="14">
        <f>IF($AX656="Cancelled","",IFERROR(IF(AJ656="","",IF(AND(AB656="",AF656=""),"",IF(AF656&gt;AB656,AF656+Variables!$B$15+Variables!$B$16+Variables!$B$17-AJ656,AB656+Variables!$B$16+Variables!$B$17-AJ656))),""))</f>
        <v>13</v>
      </c>
      <c r="AL656" s="48" t="s">
        <v>114</v>
      </c>
      <c r="AM656" s="13" t="s">
        <v>168</v>
      </c>
      <c r="AN656" s="13" t="s">
        <v>1674</v>
      </c>
      <c r="AP656" s="31" t="e">
        <v>#N/A</v>
      </c>
      <c r="AR656" s="13" t="s">
        <v>1675</v>
      </c>
      <c r="AS656" s="31">
        <v>46100</v>
      </c>
      <c r="AU656" s="31">
        <v>46140</v>
      </c>
      <c r="AV656" s="13" t="s">
        <v>865</v>
      </c>
      <c r="AW656" s="31">
        <v>46142</v>
      </c>
      <c r="AX656" s="13" t="str">
        <f>IF(ISNUMBER(SEARCH("cancel",#REF!)),"Cancelled",IF(AND(AS656&lt;&gt;"",AU656&lt;&gt;"",AW656&lt;&gt;""),"Closed","Open"))</f>
        <v>Closed</v>
      </c>
      <c r="AY656" s="15" t="str">
        <f t="shared" si="30"/>
        <v>All dates received</v>
      </c>
      <c r="BD656" s="13">
        <f>IF($AX656="Cancelled","",IFERROR(IF(OR(AS656="",AJ656=""),"",(AJ656+Variables!$B$18-AS656)),""))</f>
        <v>8</v>
      </c>
      <c r="BE656" s="13">
        <f>IF($AX656="Cancelled","",IFERROR(IF(OR(AW656="",AS656=""),"",(AS656+Variables!$B$19)-AW656),""))</f>
        <v>-37</v>
      </c>
      <c r="BF656" s="44">
        <f>IF($AX656="Cancelled","",IFERROR(W656*INDEX(Variables!$B$7:$D$7,IFERROR(MATCH(IF($B656="Robusta","Robusta",(IF($B656="","Arabica",$B656))&amp;" - "&amp;(IF($C656="","Commercial",$C656))),Variables!$B$1:$D$1,0),1))*(BE656/365),""))</f>
        <v>-102.38710128953198</v>
      </c>
      <c r="BG656" s="44">
        <f>IF($AX656="Cancelled","",IFERROR((W656*INDEX(Variables!$B$7:$D$7,IFERROR(MATCH(IF($B656="Robusta","Robusta",(IF($B656="","Arabica",$B656))&amp;" - "&amp;(IF($C656="","Commercial",$C656))),Variables!$B$1:$D$1,0),1))*IFERROR(IF(AB656="","",(AVERAGE(E656:F656)-AB656)-Variables!$B$14),"")/365)+(L656/16.67*INDEX(Variables!$B$8:$D$8,IFERROR(MATCH(IF($B656="Robusta","Robusta",(IF($B656="","Arabica",$B656))&amp;" - "&amp;(IF($C656="","Commercial",$C656))),Variables!$B$1:$D$1,0),1))*IFERROR(IF(AB656="","",(AVERAGE(E656:F656)-AB656)-Variables!$B$14),""))+(W656*INDEX(Variables!$B$9:$D$9,IFERROR(MATCH(IF($B656="Robusta","Robusta",(IF($B656="","Arabica",$B656))&amp;" - "&amp;(IF($C656="","Commercial",$C656))),Variables!$B$1:$D$1,0),1))*IFERROR(IF(AB656="","",(AVERAGE(E656:F656)-AB656)-Variables!$B$14),"")/365),""))</f>
        <v>62.929821041784258</v>
      </c>
      <c r="BH656" s="44">
        <f>IF($AX656="Cancelled","",IFERROR((W656*INDEX(Variables!$B$7:$D$7,IFERROR(MATCH(IF($B656="Robusta","Robusta",(IF($B656="","Arabica",$B656))&amp;" - "&amp;(IF($C656="","Commercial",$C656))),Variables!$B$1:$D$1,0),1))*AK656/365)+(L656/16.67*INDEX(Variables!$B$8:$D$8,IFERROR(MATCH(IF($B656="Robusta","Robusta",(IF($B656="","Arabica",$B656))&amp;" - "&amp;(IF($C656="","Commercial",$C656))),Variables!$B$1:$D$1,0),1))*AK656)+(W656*INDEX(Variables!$B$9:$D$9,IFERROR(MATCH(IF($B656="Robusta","Robusta",(IF($B656="","Arabica",$B656))&amp;" - "&amp;(IF($C656="","Commercial",$C656))),Variables!$B$1:$D$1,0),1))*AK656/365),""))</f>
        <v>55.937618703808234</v>
      </c>
      <c r="BI656" s="44">
        <f>IF($AX656="Cancelled","",IFERROR((W656*INDEX(Variables!$B$7:$D$7,IFERROR(MATCH(IF($B656="Robusta","Robusta",(IF($B656="","Arabica",$B656))&amp;" - "&amp;(IF($C656="","Commercial",$C656))),Variables!$B$1:$D$1,0),1))*BD656/365)+(L656/16.67*INDEX(Variables!$B$8:$D$8,IFERROR(MATCH(IF($B656="Robusta","Robusta",(IF($B656="","Arabica",$B656))&amp;" - "&amp;(IF($C656="","Commercial",$C656))),Variables!$B$1:$D$1,0),1))*BD656)+(W656*INDEX(Variables!$B$9:$D$9,IFERROR(MATCH(IF($B656="Robusta","Robusta",(IF($B656="","Arabica",$B656))&amp;" - "&amp;(IF($C656="","Commercial",$C656))),Variables!$B$1:$D$1,0),1))*BD656/365),""))</f>
        <v>34.423149971574297</v>
      </c>
      <c r="BJ656" s="44">
        <f t="shared" si="32"/>
        <v>-19</v>
      </c>
      <c r="BK656" s="44">
        <f>IF($AX656="Cancelled","",IFERROR(IF(BJ656="","",(W656*INDEX(Variables!$B$7:$D$7,IFERROR(MATCH(IF($B656="Robusta","Robusta",(IF($B656="","Arabica",$B656))&amp;" - "&amp;(IF($C656="","Commercial",$C656))),Variables!$B$1:$D$1,0),1))*(BJ656/365))+(W656*INDEX(Variables!$B$9:$D$9,IFERROR(MATCH(IF($B656="Robusta","Robusta",(IF($B656="","Arabica",$B656))&amp;" - "&amp;(IF($C656="","Commercial",$C656))),Variables!$B$1:$D$1,0),1))*(BJ656/365))+(INDEX(Variables!$B$8:$D$8,IFERROR(MATCH(IF($B656="Robusta","Robusta",(IF($B656="","Arabica",$B656))&amp;" - "&amp;(IF($C656="","Commercial",$C656))),Variables!$B$1:$D$1,0),1))*L656/16.67)),""))</f>
        <v>-51.754981182488955</v>
      </c>
    </row>
    <row r="657" spans="1:63">
      <c r="A657" s="13" t="s">
        <v>103</v>
      </c>
      <c r="B657" s="13" t="s">
        <v>104</v>
      </c>
      <c r="C657" s="13" t="s">
        <v>292</v>
      </c>
      <c r="D657" s="31">
        <v>46036</v>
      </c>
      <c r="E657" s="31">
        <v>46054</v>
      </c>
      <c r="F657" s="31">
        <v>46081</v>
      </c>
      <c r="G657" s="13">
        <v>3787102</v>
      </c>
      <c r="J657" s="13" t="s">
        <v>447</v>
      </c>
      <c r="K657" s="13" t="s">
        <v>1803</v>
      </c>
      <c r="L657" s="13">
        <v>16</v>
      </c>
      <c r="M657" s="13">
        <v>0</v>
      </c>
      <c r="N657" s="13" t="s">
        <v>1804</v>
      </c>
      <c r="O657" s="13" t="s">
        <v>775</v>
      </c>
      <c r="P657" s="13">
        <v>10030</v>
      </c>
      <c r="R657" s="13" t="s">
        <v>239</v>
      </c>
      <c r="S657" s="13" t="s">
        <v>154</v>
      </c>
      <c r="T657" s="13" t="s">
        <v>155</v>
      </c>
      <c r="U657" s="13" t="s">
        <v>125</v>
      </c>
      <c r="V657" s="13">
        <v>123</v>
      </c>
      <c r="W657" s="44">
        <f>IF($AX657="Cancelled","",IFERROR(((V657+INDEX(Variables!$B$6:$D$6,IFERROR(MATCH(IF($B657="Robusta","Robusta",(IF($B657="","Arabica",$B657))&amp;" - "&amp;(IF($C657="","Commercial",$C657))),Variables!$B$1:$D$1,0),1)))*22.0462)*(L657/16.67),""))</f>
        <v>8756.0576460707834</v>
      </c>
      <c r="X657" s="55" t="s">
        <v>39</v>
      </c>
      <c r="Y657" s="13" t="str">
        <f>IF($AX657="Cancelled","",IF(X657="","",IFERROR(IF(INDEX(Variables!$B$38:$B$47,MATCH(X657,Variables!$A$38:$A$47,0))="Yes","Yes","No"),"No")))</f>
        <v>No</v>
      </c>
      <c r="Z657" s="31"/>
      <c r="AB657" s="31">
        <v>46022.875</v>
      </c>
      <c r="AC657" s="13" t="str">
        <f t="shared" si="31"/>
        <v>Approved</v>
      </c>
      <c r="AF657" s="71">
        <v>46049</v>
      </c>
      <c r="AG657" s="31">
        <f>IF($AX657="Cancelled","",IFERROR(IF(F657="","",F657-Variables!$B$13),""))</f>
        <v>46066</v>
      </c>
      <c r="AH657" s="13">
        <f>IF($AX657="Cancelled","",IFERROR(IF(AB657="","",(AVERAGE(E657:F657)-AB657)-Variables!$B$14),""))</f>
        <v>14.625</v>
      </c>
      <c r="AJ657" s="47">
        <v>46093</v>
      </c>
      <c r="AK657" s="14">
        <f>IF($AX657="Cancelled","",IFERROR(IF(AJ657="","",IF(AND(AB657="",AF657=""),"",IF(AF657&gt;AB657,AF657+Variables!$B$15+Variables!$B$16+Variables!$B$17-AJ657,AB657+Variables!$B$16+Variables!$B$17-AJ657))),""))</f>
        <v>-29</v>
      </c>
      <c r="AL657" s="48" t="s">
        <v>114</v>
      </c>
      <c r="AM657" s="13" t="s">
        <v>168</v>
      </c>
      <c r="AN657" s="13" t="s">
        <v>1674</v>
      </c>
      <c r="AP657" s="31" t="e">
        <v>#N/A</v>
      </c>
      <c r="AR657" s="13" t="s">
        <v>1675</v>
      </c>
      <c r="AS657" s="31">
        <v>46103</v>
      </c>
      <c r="AU657" s="31">
        <v>46140</v>
      </c>
      <c r="AV657" s="13" t="s">
        <v>865</v>
      </c>
      <c r="AW657" s="31">
        <v>46142</v>
      </c>
      <c r="AX657" s="13" t="str">
        <f>IF(ISNUMBER(SEARCH("cancel",#REF!)),"Cancelled",IF(AND(AS657&lt;&gt;"",AU657&lt;&gt;"",AW657&lt;&gt;""),"Closed","Open"))</f>
        <v>Closed</v>
      </c>
      <c r="AY657" s="15" t="str">
        <f t="shared" si="30"/>
        <v>All dates received</v>
      </c>
      <c r="BD657" s="13">
        <f>IF($AX657="Cancelled","",IFERROR(IF(OR(AS657="",AJ657=""),"",(AJ657+Variables!$B$18-AS657)),""))</f>
        <v>5</v>
      </c>
      <c r="BE657" s="13">
        <f>IF($AX657="Cancelled","",IFERROR(IF(OR(AW657="",AS657=""),"",(AS657+Variables!$B$19)-AW657),""))</f>
        <v>-34</v>
      </c>
      <c r="BF657" s="44">
        <f>IF($AX657="Cancelled","",IFERROR(W657*INDEX(Variables!$B$7:$D$7,IFERROR(MATCH(IF($B657="Robusta","Robusta",(IF($B657="","Arabica",$B657))&amp;" - "&amp;(IF($C657="","Commercial",$C657))),Variables!$B$1:$D$1,0),1))*(BE657/365),""))</f>
        <v>-52.593795210262542</v>
      </c>
      <c r="BG657" s="44">
        <f>IF($AX657="Cancelled","",IFERROR((W657*INDEX(Variables!$B$7:$D$7,IFERROR(MATCH(IF($B657="Robusta","Robusta",(IF($B657="","Arabica",$B657))&amp;" - "&amp;(IF($C657="","Commercial",$C657))),Variables!$B$1:$D$1,0),1))*IFERROR(IF(AB657="","",(AVERAGE(E657:F657)-AB657)-Variables!$B$14),"")/365)+(L657/16.67*INDEX(Variables!$B$8:$D$8,IFERROR(MATCH(IF($B657="Robusta","Robusta",(IF($B657="","Arabica",$B657))&amp;" - "&amp;(IF($C657="","Commercial",$C657))),Variables!$B$1:$D$1,0),1))*IFERROR(IF(AB657="","",(AVERAGE(E657:F657)-AB657)-Variables!$B$14),""))+(W657*INDEX(Variables!$B$9:$D$9,IFERROR(MATCH(IF($B657="Robusta","Robusta",(IF($B657="","Arabica",$B657))&amp;" - "&amp;(IF($C657="","Commercial",$C657))),Variables!$B$1:$D$1,0),1))*IFERROR(IF(AB657="","",(AVERAGE(E657:F657)-AB657)-Variables!$B$14),"")/365),""))</f>
        <v>34.614721306437453</v>
      </c>
      <c r="BH657" s="44">
        <f>IF($AX657="Cancelled","",IFERROR((W657*INDEX(Variables!$B$7:$D$7,IFERROR(MATCH(IF($B657="Robusta","Robusta",(IF($B657="","Arabica",$B657))&amp;" - "&amp;(IF($C657="","Commercial",$C657))),Variables!$B$1:$D$1,0),1))*AK657/365)+(L657/16.67*INDEX(Variables!$B$8:$D$8,IFERROR(MATCH(IF($B657="Robusta","Robusta",(IF($B657="","Arabica",$B657))&amp;" - "&amp;(IF($C657="","Commercial",$C657))),Variables!$B$1:$D$1,0),1))*AK657)+(W657*INDEX(Variables!$B$9:$D$9,IFERROR(MATCH(IF($B657="Robusta","Robusta",(IF($B657="","Arabica",$B657))&amp;" - "&amp;(IF($C657="","Commercial",$C657))),Variables!$B$1:$D$1,0),1))*AK657/365),""))</f>
        <v>-68.637737975158032</v>
      </c>
      <c r="BI657" s="44">
        <f>IF($AX657="Cancelled","",IFERROR((W657*INDEX(Variables!$B$7:$D$7,IFERROR(MATCH(IF($B657="Robusta","Robusta",(IF($B657="","Arabica",$B657))&amp;" - "&amp;(IF($C657="","Commercial",$C657))),Variables!$B$1:$D$1,0),1))*BD657/365)+(L657/16.67*INDEX(Variables!$B$8:$D$8,IFERROR(MATCH(IF($B657="Robusta","Robusta",(IF($B657="","Arabica",$B657))&amp;" - "&amp;(IF($C657="","Commercial",$C657))),Variables!$B$1:$D$1,0),1))*BD657)+(W657*INDEX(Variables!$B$9:$D$9,IFERROR(MATCH(IF($B657="Robusta","Robusta",(IF($B657="","Arabica",$B657))&amp;" - "&amp;(IF($C657="","Commercial",$C657))),Variables!$B$1:$D$1,0),1))*BD657/365),""))</f>
        <v>11.834092754337592</v>
      </c>
      <c r="BJ657" s="44">
        <f t="shared" si="32"/>
        <v>-22</v>
      </c>
      <c r="BK657" s="44">
        <f>IF($AX657="Cancelled","",IFERROR(IF(BJ657="","",(W657*INDEX(Variables!$B$7:$D$7,IFERROR(MATCH(IF($B657="Robusta","Robusta",(IF($B657="","Arabica",$B657))&amp;" - "&amp;(IF($C657="","Commercial",$C657))),Variables!$B$1:$D$1,0),1))*(BJ657/365))+(W657*INDEX(Variables!$B$9:$D$9,IFERROR(MATCH(IF($B657="Robusta","Robusta",(IF($B657="","Arabica",$B657))&amp;" - "&amp;(IF($C657="","Commercial",$C657))),Variables!$B$1:$D$1,0),1))*(BJ657/365))+(INDEX(Variables!$B$8:$D$8,IFERROR(MATCH(IF($B657="Robusta","Robusta",(IF($B657="","Arabica",$B657))&amp;" - "&amp;(IF($C657="","Commercial",$C657))),Variables!$B$1:$D$1,0),1))*L657/16.67)),""))</f>
        <v>-33.670008119085402</v>
      </c>
    </row>
    <row r="658" spans="1:63">
      <c r="A658" s="13" t="s">
        <v>103</v>
      </c>
      <c r="B658" s="13" t="s">
        <v>104</v>
      </c>
      <c r="C658" s="13" t="s">
        <v>292</v>
      </c>
      <c r="D658" s="31">
        <v>46036</v>
      </c>
      <c r="E658" s="31">
        <v>46054</v>
      </c>
      <c r="F658" s="31">
        <v>46081</v>
      </c>
      <c r="G658" s="13">
        <v>3787103</v>
      </c>
      <c r="J658" s="13" t="s">
        <v>447</v>
      </c>
      <c r="K658" s="13" t="s">
        <v>1805</v>
      </c>
      <c r="L658" s="13">
        <v>27</v>
      </c>
      <c r="M658" s="13">
        <v>0</v>
      </c>
      <c r="N658" s="13" t="s">
        <v>1806</v>
      </c>
      <c r="O658" s="13" t="s">
        <v>304</v>
      </c>
      <c r="P658" s="13">
        <v>10010</v>
      </c>
      <c r="R658" s="13" t="s">
        <v>239</v>
      </c>
      <c r="S658" s="13" t="s">
        <v>154</v>
      </c>
      <c r="T658" s="13" t="s">
        <v>155</v>
      </c>
      <c r="U658" s="13" t="s">
        <v>125</v>
      </c>
      <c r="V658" s="13">
        <v>157</v>
      </c>
      <c r="W658" s="44">
        <f>IF($AX658="Cancelled","",IFERROR(((V658+INDEX(Variables!$B$6:$D$6,IFERROR(MATCH(IF($B658="Robusta","Robusta",(IF($B658="","Arabica",$B658))&amp;" - "&amp;(IF($C658="","Commercial",$C658))),Variables!$B$1:$D$1,0),1)))*22.0462)*(L658/16.67),""))</f>
        <v>15989.909161367726</v>
      </c>
      <c r="X658" s="55" t="s">
        <v>39</v>
      </c>
      <c r="Y658" s="13" t="str">
        <f>IF($AX658="Cancelled","",IF(X658="","",IFERROR(IF(INDEX(Variables!$B$38:$B$47,MATCH(X658,Variables!$A$38:$A$47,0))="Yes","Yes","No"),"No")))</f>
        <v>No</v>
      </c>
      <c r="Z658" s="31"/>
      <c r="AB658" s="31">
        <v>46022.875</v>
      </c>
      <c r="AC658" s="13" t="str">
        <f t="shared" si="31"/>
        <v>Approved</v>
      </c>
      <c r="AF658" s="71">
        <v>46048</v>
      </c>
      <c r="AG658" s="31">
        <f>IF($AX658="Cancelled","",IFERROR(IF(F658="","",F658-Variables!$B$13),""))</f>
        <v>46066</v>
      </c>
      <c r="AH658" s="13">
        <f>IF($AX658="Cancelled","",IFERROR(IF(AB658="","",(AVERAGE(E658:F658)-AB658)-Variables!$B$14),""))</f>
        <v>14.625</v>
      </c>
      <c r="AJ658" s="47">
        <v>46093</v>
      </c>
      <c r="AK658" s="14">
        <f>IF($AX658="Cancelled","",IFERROR(IF(AJ658="","",IF(AND(AB658="",AF658=""),"",IF(AF658&gt;AB658,AF658+Variables!$B$15+Variables!$B$16+Variables!$B$17-AJ658,AB658+Variables!$B$16+Variables!$B$17-AJ658))),""))</f>
        <v>-30</v>
      </c>
      <c r="AL658" s="48" t="s">
        <v>114</v>
      </c>
      <c r="AM658" s="13" t="s">
        <v>168</v>
      </c>
      <c r="AN658" s="13" t="s">
        <v>1674</v>
      </c>
      <c r="AP658" s="31" t="e">
        <v>#N/A</v>
      </c>
      <c r="AR658" s="13" t="s">
        <v>1675</v>
      </c>
      <c r="AS658" s="31">
        <v>46103</v>
      </c>
      <c r="AU658" s="31">
        <v>46140</v>
      </c>
      <c r="AV658" s="13" t="s">
        <v>865</v>
      </c>
      <c r="AW658" s="31">
        <v>46142</v>
      </c>
      <c r="AX658" s="13" t="str">
        <f>IF(ISNUMBER(SEARCH("cancel",#REF!)),"Cancelled",IF(AND(AS658&lt;&gt;"",AU658&lt;&gt;"",AW658&lt;&gt;""),"Closed","Open"))</f>
        <v>Closed</v>
      </c>
      <c r="AY658" s="15" t="str">
        <f t="shared" si="30"/>
        <v>All dates received</v>
      </c>
      <c r="BD658" s="13">
        <f>IF($AX658="Cancelled","",IFERROR(IF(OR(AS658="",AJ658=""),"",(AJ658+Variables!$B$18-AS658)),""))</f>
        <v>5</v>
      </c>
      <c r="BE658" s="13">
        <f>IF($AX658="Cancelled","",IFERROR(IF(OR(AW658="",AS658=""),"",(AS658+Variables!$B$19)-AW658),""))</f>
        <v>-34</v>
      </c>
      <c r="BF658" s="44">
        <f>IF($AX658="Cancelled","",IFERROR(W658*INDEX(Variables!$B$7:$D$7,IFERROR(MATCH(IF($B658="Robusta","Robusta",(IF($B658="","Arabica",$B658))&amp;" - "&amp;(IF($C658="","Commercial",$C658))),Variables!$B$1:$D$1,0),1))*(BE658/365),""))</f>
        <v>-96.044366295493063</v>
      </c>
      <c r="BG658" s="44">
        <f>IF($AX658="Cancelled","",IFERROR((W658*INDEX(Variables!$B$7:$D$7,IFERROR(MATCH(IF($B658="Robusta","Robusta",(IF($B658="","Arabica",$B658))&amp;" - "&amp;(IF($C658="","Commercial",$C658))),Variables!$B$1:$D$1,0),1))*IFERROR(IF(AB658="","",(AVERAGE(E658:F658)-AB658)-Variables!$B$14),"")/365)+(L658/16.67*INDEX(Variables!$B$8:$D$8,IFERROR(MATCH(IF($B658="Robusta","Robusta",(IF($B658="","Arabica",$B658))&amp;" - "&amp;(IF($C658="","Commercial",$C658))),Variables!$B$1:$D$1,0),1))*IFERROR(IF(AB658="","",(AVERAGE(E658:F658)-AB658)-Variables!$B$14),""))+(W658*INDEX(Variables!$B$9:$D$9,IFERROR(MATCH(IF($B658="Robusta","Robusta",(IF($B658="","Arabica",$B658))&amp;" - "&amp;(IF($C658="","Commercial",$C658))),Variables!$B$1:$D$1,0),1))*IFERROR(IF(AB658="","",(AVERAGE(E658:F658)-AB658)-Variables!$B$14),"")/365),""))</f>
        <v>61.589558577152722</v>
      </c>
      <c r="BH658" s="44">
        <f>IF($AX658="Cancelled","",IFERROR((W658*INDEX(Variables!$B$7:$D$7,IFERROR(MATCH(IF($B658="Robusta","Robusta",(IF($B658="","Arabica",$B658))&amp;" - "&amp;(IF($C658="","Commercial",$C658))),Variables!$B$1:$D$1,0),1))*AK658/365)+(L658/16.67*INDEX(Variables!$B$8:$D$8,IFERROR(MATCH(IF($B658="Robusta","Robusta",(IF($B658="","Arabica",$B658))&amp;" - "&amp;(IF($C658="","Commercial",$C658))),Variables!$B$1:$D$1,0),1))*AK658)+(W658*INDEX(Variables!$B$9:$D$9,IFERROR(MATCH(IF($B658="Robusta","Robusta",(IF($B658="","Arabica",$B658))&amp;" - "&amp;(IF($C658="","Commercial",$C658))),Variables!$B$1:$D$1,0),1))*AK658/365),""))</f>
        <v>-126.33755605569789</v>
      </c>
      <c r="BI658" s="44">
        <f>IF($AX658="Cancelled","",IFERROR((W658*INDEX(Variables!$B$7:$D$7,IFERROR(MATCH(IF($B658="Robusta","Robusta",(IF($B658="","Arabica",$B658))&amp;" - "&amp;(IF($C658="","Commercial",$C658))),Variables!$B$1:$D$1,0),1))*BD658/365)+(L658/16.67*INDEX(Variables!$B$8:$D$8,IFERROR(MATCH(IF($B658="Robusta","Robusta",(IF($B658="","Arabica",$B658))&amp;" - "&amp;(IF($C658="","Commercial",$C658))),Variables!$B$1:$D$1,0),1))*BD658)+(W658*INDEX(Variables!$B$9:$D$9,IFERROR(MATCH(IF($B658="Robusta","Robusta",(IF($B658="","Arabica",$B658))&amp;" - "&amp;(IF($C658="","Commercial",$C658))),Variables!$B$1:$D$1,0),1))*BD658/365),""))</f>
        <v>21.056259342616315</v>
      </c>
      <c r="BJ658" s="44">
        <f t="shared" si="32"/>
        <v>-22</v>
      </c>
      <c r="BK658" s="44">
        <f>IF($AX658="Cancelled","",IFERROR(IF(BJ658="","",(W658*INDEX(Variables!$B$7:$D$7,IFERROR(MATCH(IF($B658="Robusta","Robusta",(IF($B658="","Arabica",$B658))&amp;" - "&amp;(IF($C658="","Commercial",$C658))),Variables!$B$1:$D$1,0),1))*(BJ658/365))+(W658*INDEX(Variables!$B$9:$D$9,IFERROR(MATCH(IF($B658="Robusta","Robusta",(IF($B658="","Arabica",$B658))&amp;" - "&amp;(IF($C658="","Commercial",$C658))),Variables!$B$1:$D$1,0),1))*(BJ658/365))+(INDEX(Variables!$B$8:$D$8,IFERROR(MATCH(IF($B658="Robusta","Robusta",(IF($B658="","Arabica",$B658))&amp;" - "&amp;(IF($C658="","Commercial",$C658))),Variables!$B$1:$D$1,0),1))*L658/16.67)),""))</f>
        <v>-61.597541107511788</v>
      </c>
    </row>
    <row r="659" spans="1:63">
      <c r="A659" s="13" t="s">
        <v>103</v>
      </c>
      <c r="B659" s="13" t="s">
        <v>104</v>
      </c>
      <c r="C659" s="13" t="s">
        <v>292</v>
      </c>
      <c r="D659" s="31">
        <v>46036</v>
      </c>
      <c r="E659" s="31">
        <v>46054</v>
      </c>
      <c r="F659" s="31">
        <v>46081</v>
      </c>
      <c r="G659" s="13">
        <v>3787104</v>
      </c>
      <c r="J659" s="13" t="s">
        <v>447</v>
      </c>
      <c r="K659" s="13" t="s">
        <v>1807</v>
      </c>
      <c r="L659" s="13">
        <v>8</v>
      </c>
      <c r="M659" s="13">
        <v>0</v>
      </c>
      <c r="N659" s="13" t="s">
        <v>1808</v>
      </c>
      <c r="O659" s="13" t="s">
        <v>775</v>
      </c>
      <c r="P659" s="13">
        <v>10030</v>
      </c>
      <c r="R659" s="13" t="s">
        <v>239</v>
      </c>
      <c r="S659" s="13" t="s">
        <v>154</v>
      </c>
      <c r="T659" s="13" t="s">
        <v>155</v>
      </c>
      <c r="U659" s="13" t="s">
        <v>125</v>
      </c>
      <c r="V659" s="13">
        <v>105</v>
      </c>
      <c r="W659" s="44">
        <f>IF($AX659="Cancelled","",IFERROR(((V659+INDEX(Variables!$B$6:$D$6,IFERROR(MATCH(IF($B659="Robusta","Robusta",(IF($B659="","Arabica",$B659))&amp;" - "&amp;(IF($C659="","Commercial",$C659))),Variables!$B$1:$D$1,0),1)))*22.0462)*(L659/16.67),""))</f>
        <v>4187.5877432513489</v>
      </c>
      <c r="X659" s="55" t="s">
        <v>39</v>
      </c>
      <c r="Y659" s="13" t="str">
        <f>IF($AX659="Cancelled","",IF(X659="","",IFERROR(IF(INDEX(Variables!$B$38:$B$47,MATCH(X659,Variables!$A$38:$A$47,0))="Yes","Yes","No"),"No")))</f>
        <v>No</v>
      </c>
      <c r="Z659" s="31"/>
      <c r="AB659" s="31">
        <v>46022.875</v>
      </c>
      <c r="AC659" s="13" t="str">
        <f t="shared" si="31"/>
        <v>Approved</v>
      </c>
      <c r="AF659" s="71">
        <v>46048</v>
      </c>
      <c r="AG659" s="31">
        <f>IF($AX659="Cancelled","",IFERROR(IF(F659="","",F659-Variables!$B$13),""))</f>
        <v>46066</v>
      </c>
      <c r="AH659" s="13">
        <f>IF($AX659="Cancelled","",IFERROR(IF(AB659="","",(AVERAGE(E659:F659)-AB659)-Variables!$B$14),""))</f>
        <v>14.625</v>
      </c>
      <c r="AJ659" s="47">
        <v>46093</v>
      </c>
      <c r="AK659" s="14">
        <f>IF($AX659="Cancelled","",IFERROR(IF(AJ659="","",IF(AND(AB659="",AF659=""),"",IF(AF659&gt;AB659,AF659+Variables!$B$15+Variables!$B$16+Variables!$B$17-AJ659,AB659+Variables!$B$16+Variables!$B$17-AJ659))),""))</f>
        <v>-30</v>
      </c>
      <c r="AL659" s="48" t="s">
        <v>114</v>
      </c>
      <c r="AM659" s="13" t="s">
        <v>168</v>
      </c>
      <c r="AN659" s="13" t="s">
        <v>1674</v>
      </c>
      <c r="AP659" s="31" t="e">
        <v>#N/A</v>
      </c>
      <c r="AR659" s="13" t="s">
        <v>1675</v>
      </c>
      <c r="AS659" s="31">
        <v>46103</v>
      </c>
      <c r="AU659" s="31">
        <v>46140</v>
      </c>
      <c r="AV659" s="13" t="s">
        <v>865</v>
      </c>
      <c r="AW659" s="31">
        <v>46142</v>
      </c>
      <c r="AX659" s="13" t="str">
        <f>IF(ISNUMBER(SEARCH("cancel",#REF!)),"Cancelled",IF(AND(AS659&lt;&gt;"",AU659&lt;&gt;"",AW659&lt;&gt;""),"Closed","Open"))</f>
        <v>Closed</v>
      </c>
      <c r="AY659" s="15" t="str">
        <f t="shared" si="30"/>
        <v>All dates received</v>
      </c>
      <c r="BD659" s="13">
        <f>IF($AX659="Cancelled","",IFERROR(IF(OR(AS659="",AJ659=""),"",(AJ659+Variables!$B$18-AS659)),""))</f>
        <v>5</v>
      </c>
      <c r="BE659" s="13">
        <f>IF($AX659="Cancelled","",IFERROR(IF(OR(AW659="",AS659=""),"",(AS659+Variables!$B$19)-AW659),""))</f>
        <v>-34</v>
      </c>
      <c r="BF659" s="44">
        <f>IF($AX659="Cancelled","",IFERROR(W659*INDEX(Variables!$B$7:$D$7,IFERROR(MATCH(IF($B659="Robusta","Robusta",(IF($B659="","Arabica",$B659))&amp;" - "&amp;(IF($C659="","Commercial",$C659))),Variables!$B$1:$D$1,0),1))*(BE659/365),""))</f>
        <v>-25.153001624241082</v>
      </c>
      <c r="BG659" s="44">
        <f>IF($AX659="Cancelled","",IFERROR((W659*INDEX(Variables!$B$7:$D$7,IFERROR(MATCH(IF($B659="Robusta","Robusta",(IF($B659="","Arabica",$B659))&amp;" - "&amp;(IF($C659="","Commercial",$C659))),Variables!$B$1:$D$1,0),1))*IFERROR(IF(AB659="","",(AVERAGE(E659:F659)-AB659)-Variables!$B$14),"")/365)+(L659/16.67*INDEX(Variables!$B$8:$D$8,IFERROR(MATCH(IF($B659="Robusta","Robusta",(IF($B659="","Arabica",$B659))&amp;" - "&amp;(IF($C659="","Commercial",$C659))),Variables!$B$1:$D$1,0),1))*IFERROR(IF(AB659="","",(AVERAGE(E659:F659)-AB659)-Variables!$B$14),""))+(W659*INDEX(Variables!$B$9:$D$9,IFERROR(MATCH(IF($B659="Robusta","Robusta",(IF($B659="","Arabica",$B659))&amp;" - "&amp;(IF($C659="","Commercial",$C659))),Variables!$B$1:$D$1,0),1))*IFERROR(IF(AB659="","",(AVERAGE(E659:F659)-AB659)-Variables!$B$14),"")/365),""))</f>
        <v>16.808973771251747</v>
      </c>
      <c r="BH659" s="44">
        <f>IF($AX659="Cancelled","",IFERROR((W659*INDEX(Variables!$B$7:$D$7,IFERROR(MATCH(IF($B659="Robusta","Robusta",(IF($B659="","Arabica",$B659))&amp;" - "&amp;(IF($C659="","Commercial",$C659))),Variables!$B$1:$D$1,0),1))*AK659/365)+(L659/16.67*INDEX(Variables!$B$8:$D$8,IFERROR(MATCH(IF($B659="Robusta","Robusta",(IF($B659="","Arabica",$B659))&amp;" - "&amp;(IF($C659="","Commercial",$C659))),Variables!$B$1:$D$1,0),1))*AK659)+(W659*INDEX(Variables!$B$9:$D$9,IFERROR(MATCH(IF($B659="Robusta","Robusta",(IF($B659="","Arabica",$B659))&amp;" - "&amp;(IF($C659="","Commercial",$C659))),Variables!$B$1:$D$1,0),1))*AK659/365),""))</f>
        <v>-34.479946197439482</v>
      </c>
      <c r="BI659" s="44">
        <f>IF($AX659="Cancelled","",IFERROR((W659*INDEX(Variables!$B$7:$D$7,IFERROR(MATCH(IF($B659="Robusta","Robusta",(IF($B659="","Arabica",$B659))&amp;" - "&amp;(IF($C659="","Commercial",$C659))),Variables!$B$1:$D$1,0),1))*BD659/365)+(L659/16.67*INDEX(Variables!$B$8:$D$8,IFERROR(MATCH(IF($B659="Robusta","Robusta",(IF($B659="","Arabica",$B659))&amp;" - "&amp;(IF($C659="","Commercial",$C659))),Variables!$B$1:$D$1,0),1))*BD659)+(W659*INDEX(Variables!$B$9:$D$9,IFERROR(MATCH(IF($B659="Robusta","Robusta",(IF($B659="","Arabica",$B659))&amp;" - "&amp;(IF($C659="","Commercial",$C659))),Variables!$B$1:$D$1,0),1))*BD659/365),""))</f>
        <v>5.7466576995732463</v>
      </c>
      <c r="BJ659" s="44">
        <f t="shared" si="32"/>
        <v>-22</v>
      </c>
      <c r="BK659" s="44">
        <f>IF($AX659="Cancelled","",IFERROR(IF(BJ659="","",(W659*INDEX(Variables!$B$7:$D$7,IFERROR(MATCH(IF($B659="Robusta","Robusta",(IF($B659="","Arabica",$B659))&amp;" - "&amp;(IF($C659="","Commercial",$C659))),Variables!$B$1:$D$1,0),1))*(BJ659/365))+(W659*INDEX(Variables!$B$9:$D$9,IFERROR(MATCH(IF($B659="Robusta","Robusta",(IF($B659="","Arabica",$B659))&amp;" - "&amp;(IF($C659="","Commercial",$C659))),Variables!$B$1:$D$1,0),1))*(BJ659/365))+(INDEX(Variables!$B$8:$D$8,IFERROR(MATCH(IF($B659="Robusta","Robusta",(IF($B659="","Arabica",$B659))&amp;" - "&amp;(IF($C659="","Commercial",$C659))),Variables!$B$1:$D$1,0),1))*L659/16.67)),""))</f>
        <v>-16.08529387812229</v>
      </c>
    </row>
    <row r="660" spans="1:63">
      <c r="A660" s="13" t="s">
        <v>103</v>
      </c>
      <c r="B660" s="13" t="s">
        <v>104</v>
      </c>
      <c r="C660" s="13" t="s">
        <v>292</v>
      </c>
      <c r="D660" s="31">
        <v>46036</v>
      </c>
      <c r="E660" s="31">
        <v>46054</v>
      </c>
      <c r="F660" s="31">
        <v>46081</v>
      </c>
      <c r="G660" s="13">
        <v>3787105</v>
      </c>
      <c r="J660" s="13" t="s">
        <v>447</v>
      </c>
      <c r="K660" s="13" t="s">
        <v>1809</v>
      </c>
      <c r="L660" s="13">
        <v>25</v>
      </c>
      <c r="M660" s="13">
        <v>0</v>
      </c>
      <c r="N660" s="13" t="s">
        <v>1810</v>
      </c>
      <c r="O660" s="13" t="s">
        <v>775</v>
      </c>
      <c r="P660" s="13">
        <v>10030</v>
      </c>
      <c r="R660" s="13" t="s">
        <v>239</v>
      </c>
      <c r="S660" s="13" t="s">
        <v>154</v>
      </c>
      <c r="T660" s="13" t="s">
        <v>155</v>
      </c>
      <c r="U660" s="13" t="s">
        <v>125</v>
      </c>
      <c r="V660" s="13">
        <v>126</v>
      </c>
      <c r="W660" s="44">
        <f>IF($AX660="Cancelled","",IFERROR(((V660+INDEX(Variables!$B$6:$D$6,IFERROR(MATCH(IF($B660="Robusta","Robusta",(IF($B660="","Arabica",$B660))&amp;" - "&amp;(IF($C660="","Commercial",$C660))),Variables!$B$1:$D$1,0),1)))*22.0462)*(L660/16.67),""))</f>
        <v>13780.528134373122</v>
      </c>
      <c r="X660" s="55" t="s">
        <v>39</v>
      </c>
      <c r="Y660" s="13" t="str">
        <f>IF($AX660="Cancelled","",IF(X660="","",IFERROR(IF(INDEX(Variables!$B$38:$B$47,MATCH(X660,Variables!$A$38:$A$47,0))="Yes","Yes","No"),"No")))</f>
        <v>No</v>
      </c>
      <c r="Z660" s="31"/>
      <c r="AB660" s="31">
        <v>46022.875</v>
      </c>
      <c r="AC660" s="13" t="str">
        <f t="shared" si="31"/>
        <v>Approved</v>
      </c>
      <c r="AF660" s="71">
        <v>46048</v>
      </c>
      <c r="AG660" s="31">
        <f>IF($AX660="Cancelled","",IFERROR(IF(F660="","",F660-Variables!$B$13),""))</f>
        <v>46066</v>
      </c>
      <c r="AH660" s="13">
        <f>IF($AX660="Cancelled","",IFERROR(IF(AB660="","",(AVERAGE(E660:F660)-AB660)-Variables!$B$14),""))</f>
        <v>14.625</v>
      </c>
      <c r="AJ660" s="47">
        <v>46093</v>
      </c>
      <c r="AK660" s="14">
        <f>IF($AX660="Cancelled","",IFERROR(IF(AJ660="","",IF(AND(AB660="",AF660=""),"",IF(AF660&gt;AB660,AF660+Variables!$B$15+Variables!$B$16+Variables!$B$17-AJ660,AB660+Variables!$B$16+Variables!$B$17-AJ660))),""))</f>
        <v>-30</v>
      </c>
      <c r="AL660" s="48" t="s">
        <v>114</v>
      </c>
      <c r="AM660" s="13" t="s">
        <v>168</v>
      </c>
      <c r="AN660" s="13" t="s">
        <v>1674</v>
      </c>
      <c r="AP660" s="31" t="e">
        <v>#N/A</v>
      </c>
      <c r="AR660" s="13" t="s">
        <v>1675</v>
      </c>
      <c r="AS660" s="31">
        <v>46103</v>
      </c>
      <c r="AU660" s="31">
        <v>46140</v>
      </c>
      <c r="AV660" s="13" t="s">
        <v>865</v>
      </c>
      <c r="AW660" s="31">
        <v>46142</v>
      </c>
      <c r="AX660" s="13" t="str">
        <f>IF(ISNUMBER(SEARCH("cancel",#REF!)),"Cancelled",IF(AND(AS660&lt;&gt;"",AU660&lt;&gt;"",AW660&lt;&gt;""),"Closed","Open"))</f>
        <v>Closed</v>
      </c>
      <c r="AY660" s="15" t="str">
        <f t="shared" si="30"/>
        <v>All dates received</v>
      </c>
      <c r="BD660" s="13">
        <f>IF($AX660="Cancelled","",IFERROR(IF(OR(AS660="",AJ660=""),"",(AJ660+Variables!$B$18-AS660)),""))</f>
        <v>5</v>
      </c>
      <c r="BE660" s="13">
        <f>IF($AX660="Cancelled","",IFERROR(IF(OR(AW660="",AS660=""),"",(AS660+Variables!$B$19)-AW660),""))</f>
        <v>-34</v>
      </c>
      <c r="BF660" s="44">
        <f>IF($AX660="Cancelled","",IFERROR(W660*INDEX(Variables!$B$7:$D$7,IFERROR(MATCH(IF($B660="Robusta","Robusta",(IF($B660="","Arabica",$B660))&amp;" - "&amp;(IF($C660="","Commercial",$C660))),Variables!$B$1:$D$1,0),1))*(BE660/365),""))</f>
        <v>-82.773584172748869</v>
      </c>
      <c r="BG660" s="44">
        <f>IF($AX660="Cancelled","",IFERROR((W660*INDEX(Variables!$B$7:$D$7,IFERROR(MATCH(IF($B660="Robusta","Robusta",(IF($B660="","Arabica",$B660))&amp;" - "&amp;(IF($C660="","Commercial",$C660))),Variables!$B$1:$D$1,0),1))*IFERROR(IF(AB660="","",(AVERAGE(E660:F660)-AB660)-Variables!$B$14),"")/365)+(L660/16.67*INDEX(Variables!$B$8:$D$8,IFERROR(MATCH(IF($B660="Robusta","Robusta",(IF($B660="","Arabica",$B660))&amp;" - "&amp;(IF($C660="","Commercial",$C660))),Variables!$B$1:$D$1,0),1))*IFERROR(IF(AB660="","",(AVERAGE(E660:F660)-AB660)-Variables!$B$14),""))+(W660*INDEX(Variables!$B$9:$D$9,IFERROR(MATCH(IF($B660="Robusta","Robusta",(IF($B660="","Arabica",$B660))&amp;" - "&amp;(IF($C660="","Commercial",$C660))),Variables!$B$1:$D$1,0),1))*IFERROR(IF(AB660="","",(AVERAGE(E660:F660)-AB660)-Variables!$B$14),"")/365),""))</f>
        <v>54.345078542332999</v>
      </c>
      <c r="BH660" s="44">
        <f>IF($AX660="Cancelled","",IFERROR((W660*INDEX(Variables!$B$7:$D$7,IFERROR(MATCH(IF($B660="Robusta","Robusta",(IF($B660="","Arabica",$B660))&amp;" - "&amp;(IF($C660="","Commercial",$C660))),Variables!$B$1:$D$1,0),1))*AK660/365)+(L660/16.67*INDEX(Variables!$B$8:$D$8,IFERROR(MATCH(IF($B660="Robusta","Robusta",(IF($B660="","Arabica",$B660))&amp;" - "&amp;(IF($C660="","Commercial",$C660))),Variables!$B$1:$D$1,0),1))*AK660)+(W660*INDEX(Variables!$B$9:$D$9,IFERROR(MATCH(IF($B660="Robusta","Robusta",(IF($B660="","Arabica",$B660))&amp;" - "&amp;(IF($C660="","Commercial",$C660))),Variables!$B$1:$D$1,0),1))*AK660/365),""))</f>
        <v>-111.47708418940101</v>
      </c>
      <c r="BI660" s="44">
        <f>IF($AX660="Cancelled","",IFERROR((W660*INDEX(Variables!$B$7:$D$7,IFERROR(MATCH(IF($B660="Robusta","Robusta",(IF($B660="","Arabica",$B660))&amp;" - "&amp;(IF($C660="","Commercial",$C660))),Variables!$B$1:$D$1,0),1))*BD660/365)+(L660/16.67*INDEX(Variables!$B$8:$D$8,IFERROR(MATCH(IF($B660="Robusta","Robusta",(IF($B660="","Arabica",$B660))&amp;" - "&amp;(IF($C660="","Commercial",$C660))),Variables!$B$1:$D$1,0),1))*BD660)+(W660*INDEX(Variables!$B$9:$D$9,IFERROR(MATCH(IF($B660="Robusta","Robusta",(IF($B660="","Arabica",$B660))&amp;" - "&amp;(IF($C660="","Commercial",$C660))),Variables!$B$1:$D$1,0),1))*BD660/365),""))</f>
        <v>18.579514031566838</v>
      </c>
      <c r="BJ660" s="44">
        <f t="shared" si="32"/>
        <v>-22</v>
      </c>
      <c r="BK660" s="44">
        <f>IF($AX660="Cancelled","",IFERROR(IF(BJ660="","",(W660*INDEX(Variables!$B$7:$D$7,IFERROR(MATCH(IF($B660="Robusta","Robusta",(IF($B660="","Arabica",$B660))&amp;" - "&amp;(IF($C660="","Commercial",$C660))),Variables!$B$1:$D$1,0),1))*(BJ660/365))+(W660*INDEX(Variables!$B$9:$D$9,IFERROR(MATCH(IF($B660="Robusta","Robusta",(IF($B660="","Arabica",$B660))&amp;" - "&amp;(IF($C660="","Commercial",$C660))),Variables!$B$1:$D$1,0),1))*(BJ660/365))+(INDEX(Variables!$B$8:$D$8,IFERROR(MATCH(IF($B660="Robusta","Robusta",(IF($B660="","Arabica",$B660))&amp;" - "&amp;(IF($C660="","Commercial",$C660))),Variables!$B$1:$D$1,0),1))*L660/16.67)),""))</f>
        <v>-52.999861738894076</v>
      </c>
    </row>
    <row r="661" spans="1:63">
      <c r="A661" s="13" t="s">
        <v>103</v>
      </c>
      <c r="B661" s="13" t="s">
        <v>104</v>
      </c>
      <c r="C661" s="13" t="s">
        <v>292</v>
      </c>
      <c r="D661" s="31">
        <v>46036</v>
      </c>
      <c r="E661" s="31">
        <v>46054</v>
      </c>
      <c r="F661" s="31">
        <v>46081</v>
      </c>
      <c r="G661" s="13">
        <v>3787106</v>
      </c>
      <c r="J661" s="13" t="s">
        <v>447</v>
      </c>
      <c r="K661" s="13" t="s">
        <v>1811</v>
      </c>
      <c r="L661" s="13">
        <v>16</v>
      </c>
      <c r="M661" s="13">
        <v>0</v>
      </c>
      <c r="N661" s="13" t="s">
        <v>1812</v>
      </c>
      <c r="O661" s="13" t="s">
        <v>775</v>
      </c>
      <c r="P661" s="13">
        <v>10030</v>
      </c>
      <c r="R661" s="13" t="s">
        <v>239</v>
      </c>
      <c r="S661" s="13" t="s">
        <v>154</v>
      </c>
      <c r="T661" s="13" t="s">
        <v>155</v>
      </c>
      <c r="U661" s="13" t="s">
        <v>125</v>
      </c>
      <c r="V661" s="13">
        <v>123</v>
      </c>
      <c r="W661" s="44">
        <f>IF($AX661="Cancelled","",IFERROR(((V661+INDEX(Variables!$B$6:$D$6,IFERROR(MATCH(IF($B661="Robusta","Robusta",(IF($B661="","Arabica",$B661))&amp;" - "&amp;(IF($C661="","Commercial",$C661))),Variables!$B$1:$D$1,0),1)))*22.0462)*(L661/16.67),""))</f>
        <v>8756.0576460707834</v>
      </c>
      <c r="X661" s="55" t="s">
        <v>39</v>
      </c>
      <c r="Y661" s="13" t="str">
        <f>IF($AX661="Cancelled","",IF(X661="","",IFERROR(IF(INDEX(Variables!$B$38:$B$47,MATCH(X661,Variables!$A$38:$A$47,0))="Yes","Yes","No"),"No")))</f>
        <v>No</v>
      </c>
      <c r="Z661" s="31"/>
      <c r="AB661" s="31">
        <v>46022.875</v>
      </c>
      <c r="AC661" s="13" t="str">
        <f t="shared" si="31"/>
        <v>Approved</v>
      </c>
      <c r="AF661" s="71">
        <v>46048</v>
      </c>
      <c r="AG661" s="31">
        <f>IF($AX661="Cancelled","",IFERROR(IF(F661="","",F661-Variables!$B$13),""))</f>
        <v>46066</v>
      </c>
      <c r="AH661" s="13">
        <f>IF($AX661="Cancelled","",IFERROR(IF(AB661="","",(AVERAGE(E661:F661)-AB661)-Variables!$B$14),""))</f>
        <v>14.625</v>
      </c>
      <c r="AJ661" s="47">
        <v>46093</v>
      </c>
      <c r="AK661" s="14">
        <f>IF($AX661="Cancelled","",IFERROR(IF(AJ661="","",IF(AND(AB661="",AF661=""),"",IF(AF661&gt;AB661,AF661+Variables!$B$15+Variables!$B$16+Variables!$B$17-AJ661,AB661+Variables!$B$16+Variables!$B$17-AJ661))),""))</f>
        <v>-30</v>
      </c>
      <c r="AL661" s="48" t="s">
        <v>114</v>
      </c>
      <c r="AM661" s="13" t="s">
        <v>168</v>
      </c>
      <c r="AN661" s="13" t="s">
        <v>1674</v>
      </c>
      <c r="AP661" s="31" t="e">
        <v>#N/A</v>
      </c>
      <c r="AR661" s="13" t="s">
        <v>1675</v>
      </c>
      <c r="AS661" s="31">
        <v>46103</v>
      </c>
      <c r="AU661" s="31">
        <v>46140</v>
      </c>
      <c r="AV661" s="13" t="s">
        <v>865</v>
      </c>
      <c r="AW661" s="31">
        <v>46142</v>
      </c>
      <c r="AX661" s="13" t="str">
        <f>IF(ISNUMBER(SEARCH("cancel",#REF!)),"Cancelled",IF(AND(AS661&lt;&gt;"",AU661&lt;&gt;"",AW661&lt;&gt;""),"Closed","Open"))</f>
        <v>Closed</v>
      </c>
      <c r="AY661" s="15" t="str">
        <f t="shared" si="30"/>
        <v>All dates received</v>
      </c>
      <c r="BD661" s="13">
        <f>IF($AX661="Cancelled","",IFERROR(IF(OR(AS661="",AJ661=""),"",(AJ661+Variables!$B$18-AS661)),""))</f>
        <v>5</v>
      </c>
      <c r="BE661" s="13">
        <f>IF($AX661="Cancelled","",IFERROR(IF(OR(AW661="",AS661=""),"",(AS661+Variables!$B$19)-AW661),""))</f>
        <v>-34</v>
      </c>
      <c r="BF661" s="44">
        <f>IF($AX661="Cancelled","",IFERROR(W661*INDEX(Variables!$B$7:$D$7,IFERROR(MATCH(IF($B661="Robusta","Robusta",(IF($B661="","Arabica",$B661))&amp;" - "&amp;(IF($C661="","Commercial",$C661))),Variables!$B$1:$D$1,0),1))*(BE661/365),""))</f>
        <v>-52.593795210262542</v>
      </c>
      <c r="BG661" s="44">
        <f>IF($AX661="Cancelled","",IFERROR((W661*INDEX(Variables!$B$7:$D$7,IFERROR(MATCH(IF($B661="Robusta","Robusta",(IF($B661="","Arabica",$B661))&amp;" - "&amp;(IF($C661="","Commercial",$C661))),Variables!$B$1:$D$1,0),1))*IFERROR(IF(AB661="","",(AVERAGE(E661:F661)-AB661)-Variables!$B$14),"")/365)+(L661/16.67*INDEX(Variables!$B$8:$D$8,IFERROR(MATCH(IF($B661="Robusta","Robusta",(IF($B661="","Arabica",$B661))&amp;" - "&amp;(IF($C661="","Commercial",$C661))),Variables!$B$1:$D$1,0),1))*IFERROR(IF(AB661="","",(AVERAGE(E661:F661)-AB661)-Variables!$B$14),""))+(W661*INDEX(Variables!$B$9:$D$9,IFERROR(MATCH(IF($B661="Robusta","Robusta",(IF($B661="","Arabica",$B661))&amp;" - "&amp;(IF($C661="","Commercial",$C661))),Variables!$B$1:$D$1,0),1))*IFERROR(IF(AB661="","",(AVERAGE(E661:F661)-AB661)-Variables!$B$14),"")/365),""))</f>
        <v>34.614721306437453</v>
      </c>
      <c r="BH661" s="44">
        <f>IF($AX661="Cancelled","",IFERROR((W661*INDEX(Variables!$B$7:$D$7,IFERROR(MATCH(IF($B661="Robusta","Robusta",(IF($B661="","Arabica",$B661))&amp;" - "&amp;(IF($C661="","Commercial",$C661))),Variables!$B$1:$D$1,0),1))*AK661/365)+(L661/16.67*INDEX(Variables!$B$8:$D$8,IFERROR(MATCH(IF($B661="Robusta","Robusta",(IF($B661="","Arabica",$B661))&amp;" - "&amp;(IF($C661="","Commercial",$C661))),Variables!$B$1:$D$1,0),1))*AK661)+(W661*INDEX(Variables!$B$9:$D$9,IFERROR(MATCH(IF($B661="Robusta","Robusta",(IF($B661="","Arabica",$B661))&amp;" - "&amp;(IF($C661="","Commercial",$C661))),Variables!$B$1:$D$1,0),1))*AK661/365),""))</f>
        <v>-71.004556526025539</v>
      </c>
      <c r="BI661" s="44">
        <f>IF($AX661="Cancelled","",IFERROR((W661*INDEX(Variables!$B$7:$D$7,IFERROR(MATCH(IF($B661="Robusta","Robusta",(IF($B661="","Arabica",$B661))&amp;" - "&amp;(IF($C661="","Commercial",$C661))),Variables!$B$1:$D$1,0),1))*BD661/365)+(L661/16.67*INDEX(Variables!$B$8:$D$8,IFERROR(MATCH(IF($B661="Robusta","Robusta",(IF($B661="","Arabica",$B661))&amp;" - "&amp;(IF($C661="","Commercial",$C661))),Variables!$B$1:$D$1,0),1))*BD661)+(W661*INDEX(Variables!$B$9:$D$9,IFERROR(MATCH(IF($B661="Robusta","Robusta",(IF($B661="","Arabica",$B661))&amp;" - "&amp;(IF($C661="","Commercial",$C661))),Variables!$B$1:$D$1,0),1))*BD661/365),""))</f>
        <v>11.834092754337592</v>
      </c>
      <c r="BJ661" s="44">
        <f t="shared" si="32"/>
        <v>-22</v>
      </c>
      <c r="BK661" s="44">
        <f>IF($AX661="Cancelled","",IFERROR(IF(BJ661="","",(W661*INDEX(Variables!$B$7:$D$7,IFERROR(MATCH(IF($B661="Robusta","Robusta",(IF($B661="","Arabica",$B661))&amp;" - "&amp;(IF($C661="","Commercial",$C661))),Variables!$B$1:$D$1,0),1))*(BJ661/365))+(W661*INDEX(Variables!$B$9:$D$9,IFERROR(MATCH(IF($B661="Robusta","Robusta",(IF($B661="","Arabica",$B661))&amp;" - "&amp;(IF($C661="","Commercial",$C661))),Variables!$B$1:$D$1,0),1))*(BJ661/365))+(INDEX(Variables!$B$8:$D$8,IFERROR(MATCH(IF($B661="Robusta","Robusta",(IF($B661="","Arabica",$B661))&amp;" - "&amp;(IF($C661="","Commercial",$C661))),Variables!$B$1:$D$1,0),1))*L661/16.67)),""))</f>
        <v>-33.670008119085402</v>
      </c>
    </row>
    <row r="662" spans="1:63">
      <c r="A662" s="13" t="s">
        <v>103</v>
      </c>
      <c r="B662" s="13" t="s">
        <v>104</v>
      </c>
      <c r="C662" s="13" t="s">
        <v>105</v>
      </c>
      <c r="D662" s="31">
        <v>46036</v>
      </c>
      <c r="E662" s="31">
        <v>46054</v>
      </c>
      <c r="F662" s="31">
        <v>46081</v>
      </c>
      <c r="G662" s="13">
        <v>3787107</v>
      </c>
      <c r="J662" s="13" t="s">
        <v>909</v>
      </c>
      <c r="K662" s="13" t="s">
        <v>1813</v>
      </c>
      <c r="L662" s="13">
        <v>217</v>
      </c>
      <c r="M662" s="13">
        <v>1</v>
      </c>
      <c r="N662" s="13" t="s">
        <v>1814</v>
      </c>
      <c r="O662" s="13" t="s">
        <v>120</v>
      </c>
      <c r="P662" s="13">
        <v>10070</v>
      </c>
      <c r="R662" s="13" t="s">
        <v>239</v>
      </c>
      <c r="S662" s="13" t="s">
        <v>442</v>
      </c>
      <c r="T662" s="13" t="s">
        <v>112</v>
      </c>
      <c r="U662" s="13" t="s">
        <v>113</v>
      </c>
      <c r="V662" s="13">
        <v>33</v>
      </c>
      <c r="W662" s="44">
        <f>IF($AX662="Cancelled","",IFERROR(((V662+INDEX(Variables!$B$6:$D$6,IFERROR(MATCH(IF($B662="Robusta","Robusta",(IF($B662="","Arabica",$B662))&amp;" - "&amp;(IF($C662="","Commercial",$C662))),Variables!$B$1:$D$1,0),1)))*22.0462)*(L662/16.67),""))</f>
        <v>92925.460379124168</v>
      </c>
      <c r="X662" s="55" t="s">
        <v>37</v>
      </c>
      <c r="Y662" s="13" t="str">
        <f>IF($AX662="Cancelled","",IF(X662="","",IFERROR(IF(INDEX(Variables!$B$38:$B$47,MATCH(X662,Variables!$A$38:$A$47,0))="Yes","Yes","No"),"No")))</f>
        <v>Yes</v>
      </c>
      <c r="Z662" s="58">
        <v>46044</v>
      </c>
      <c r="AB662" s="31">
        <v>46062</v>
      </c>
      <c r="AC662" s="13" t="str">
        <f t="shared" si="31"/>
        <v>Approved</v>
      </c>
      <c r="AF662" s="71">
        <v>46079</v>
      </c>
      <c r="AG662" s="37">
        <f>IF($AX662="Cancelled","",IFERROR(IF(F662="","",F662-Variables!$B$13),""))</f>
        <v>46066</v>
      </c>
      <c r="AH662" s="13">
        <f>IF($AX662="Cancelled","",IFERROR(IF(AB662="","",(AVERAGE(E662:F662)-AB662)-Variables!$B$14),""))</f>
        <v>-24.5</v>
      </c>
      <c r="AJ662" s="47">
        <v>46115</v>
      </c>
      <c r="AK662" s="14">
        <f>IF($AX662="Cancelled","",IFERROR(IF(AJ662="","",IF(AND(AB662="",AF662=""),"",IF(AF662&gt;AB662,AF662+Variables!$B$15+Variables!$B$16+Variables!$B$17-AJ662,AB662+Variables!$B$16+Variables!$B$17-AJ662))),""))</f>
        <v>-21</v>
      </c>
      <c r="AL662" s="48" t="s">
        <v>114</v>
      </c>
      <c r="AM662" s="13" t="s">
        <v>134</v>
      </c>
      <c r="AN662" s="13" t="s">
        <v>1815</v>
      </c>
      <c r="AP662" s="31">
        <v>46104</v>
      </c>
      <c r="AR662" s="13" t="s">
        <v>1816</v>
      </c>
      <c r="AS662" s="31">
        <v>46104</v>
      </c>
      <c r="AU662" s="31">
        <v>46127</v>
      </c>
      <c r="AV662" s="13" t="s">
        <v>865</v>
      </c>
      <c r="AW662" s="31">
        <v>46127</v>
      </c>
      <c r="AX662" s="13" t="str">
        <f>IF(ISNUMBER(SEARCH("cancel",#REF!)),"Cancelled",IF(AND(AS662&lt;&gt;"",AU662&lt;&gt;"",AW662&lt;&gt;""),"Closed","Open"))</f>
        <v>Closed</v>
      </c>
      <c r="AY662" s="15" t="str">
        <f t="shared" si="30"/>
        <v>All dates received</v>
      </c>
      <c r="BD662" s="13">
        <f>IF($AX662="Cancelled","",IFERROR(IF(OR(AS662="",AJ662=""),"",(AJ662+Variables!$B$18-AS662)),""))</f>
        <v>26</v>
      </c>
      <c r="BE662" s="13">
        <f>IF($AX662="Cancelled","",IFERROR(IF(OR(AW662="",AS662=""),"",(AS662+Variables!$B$19)-AW662),""))</f>
        <v>-18</v>
      </c>
      <c r="BF662" s="44">
        <f>IF($AX662="Cancelled","",IFERROR(W662*INDEX(Variables!$B$7:$D$7,IFERROR(MATCH(IF($B662="Robusta","Robusta",(IF($B662="","Arabica",$B662))&amp;" - "&amp;(IF($C662="","Commercial",$C662))),Variables!$B$1:$D$1,0),1))*(BE662/365),""))</f>
        <v>-295.49777036344574</v>
      </c>
      <c r="BG662" s="44">
        <f>IF($AX662="Cancelled","",IFERROR((W662*INDEX(Variables!$B$7:$D$7,IFERROR(MATCH(IF($B662="Robusta","Robusta",(IF($B662="","Arabica",$B662))&amp;" - "&amp;(IF($C662="","Commercial",$C662))),Variables!$B$1:$D$1,0),1))*IFERROR(IF(AB662="","",(AVERAGE(E662:F662)-AB662)-Variables!$B$14),"")/365)+(L662/16.67*INDEX(Variables!$B$8:$D$8,IFERROR(MATCH(IF($B662="Robusta","Robusta",(IF($B662="","Arabica",$B662))&amp;" - "&amp;(IF($C662="","Commercial",$C662))),Variables!$B$1:$D$1,0),1))*IFERROR(IF(AB662="","",(AVERAGE(E662:F662)-AB662)-Variables!$B$14),""))+(W662*INDEX(Variables!$B$9:$D$9,IFERROR(MATCH(IF($B662="Robusta","Robusta",(IF($B662="","Arabica",$B662))&amp;" - "&amp;(IF($C662="","Commercial",$C662))),Variables!$B$1:$D$1,0),1))*IFERROR(IF(AB662="","",(AVERAGE(E662:F662)-AB662)-Variables!$B$14),"")/365),""))</f>
        <v>-673.21550105085532</v>
      </c>
      <c r="BH662" s="44">
        <f>IF($AX662="Cancelled","",IFERROR((W662*INDEX(Variables!$B$7:$D$7,IFERROR(MATCH(IF($B662="Robusta","Robusta",(IF($B662="","Arabica",$B662))&amp;" - "&amp;(IF($C662="","Commercial",$C662))),Variables!$B$1:$D$1,0),1))*AK662/365)+(L662/16.67*INDEX(Variables!$B$8:$D$8,IFERROR(MATCH(IF($B662="Robusta","Robusta",(IF($B662="","Arabica",$B662))&amp;" - "&amp;(IF($C662="","Commercial",$C662))),Variables!$B$1:$D$1,0),1))*AK662)+(W662*INDEX(Variables!$B$9:$D$9,IFERROR(MATCH(IF($B662="Robusta","Robusta",(IF($B662="","Arabica",$B662))&amp;" - "&amp;(IF($C662="","Commercial",$C662))),Variables!$B$1:$D$1,0),1))*AK662/365),""))</f>
        <v>-577.04185804359031</v>
      </c>
      <c r="BI662" s="44">
        <f>IF($AX662="Cancelled","",IFERROR((W662*INDEX(Variables!$B$7:$D$7,IFERROR(MATCH(IF($B662="Robusta","Robusta",(IF($B662="","Arabica",$B662))&amp;" - "&amp;(IF($C662="","Commercial",$C662))),Variables!$B$1:$D$1,0),1))*BD662/365)+(L662/16.67*INDEX(Variables!$B$8:$D$8,IFERROR(MATCH(IF($B662="Robusta","Robusta",(IF($B662="","Arabica",$B662))&amp;" - "&amp;(IF($C662="","Commercial",$C662))),Variables!$B$1:$D$1,0),1))*BD662)+(W662*INDEX(Variables!$B$9:$D$9,IFERROR(MATCH(IF($B662="Robusta","Robusta",(IF($B662="","Arabica",$B662))&amp;" - "&amp;(IF($C662="","Commercial",$C662))),Variables!$B$1:$D$1,0),1))*BD662/365),""))</f>
        <v>714.43277662539754</v>
      </c>
      <c r="BJ662" s="44">
        <f t="shared" si="32"/>
        <v>-23</v>
      </c>
      <c r="BK662" s="44">
        <f>IF($AX662="Cancelled","",IFERROR(IF(BJ662="","",(W662*INDEX(Variables!$B$7:$D$7,IFERROR(MATCH(IF($B662="Robusta","Robusta",(IF($B662="","Arabica",$B662))&amp;" - "&amp;(IF($C662="","Commercial",$C662))),Variables!$B$1:$D$1,0),1))*(BJ662/365))+(W662*INDEX(Variables!$B$9:$D$9,IFERROR(MATCH(IF($B662="Robusta","Robusta",(IF($B662="","Arabica",$B662))&amp;" - "&amp;(IF($C662="","Commercial",$C662))),Variables!$B$1:$D$1,0),1))*(BJ662/365))+(INDEX(Variables!$B$8:$D$8,IFERROR(MATCH(IF($B662="Robusta","Robusta",(IF($B662="","Arabica",$B662))&amp;" - "&amp;(IF($C662="","Commercial",$C662))),Variables!$B$1:$D$1,0),1))*L662/16.67)),""))</f>
        <v>-371.59822547631319</v>
      </c>
    </row>
    <row r="663" spans="1:63">
      <c r="A663" s="13" t="s">
        <v>103</v>
      </c>
      <c r="B663" s="13" t="s">
        <v>104</v>
      </c>
      <c r="C663" s="13" t="s">
        <v>292</v>
      </c>
      <c r="D663" s="31">
        <v>46036</v>
      </c>
      <c r="E663" s="31">
        <v>46054</v>
      </c>
      <c r="F663" s="31">
        <v>46081</v>
      </c>
      <c r="G663" s="13">
        <v>3787108</v>
      </c>
      <c r="J663" s="13" t="s">
        <v>909</v>
      </c>
      <c r="K663" s="13" t="s">
        <v>1817</v>
      </c>
      <c r="L663" s="13">
        <v>20</v>
      </c>
      <c r="M663" s="13">
        <v>0</v>
      </c>
      <c r="N663" s="13" t="s">
        <v>1818</v>
      </c>
      <c r="O663" s="13" t="s">
        <v>304</v>
      </c>
      <c r="P663" s="13">
        <v>10010</v>
      </c>
      <c r="R663" s="13" t="s">
        <v>239</v>
      </c>
      <c r="S663" s="13" t="s">
        <v>442</v>
      </c>
      <c r="T663" s="13" t="s">
        <v>112</v>
      </c>
      <c r="U663" s="13" t="s">
        <v>113</v>
      </c>
      <c r="V663" s="13">
        <v>195</v>
      </c>
      <c r="W663" s="44">
        <f>IF($AX663="Cancelled","",IFERROR(((V663+INDEX(Variables!$B$6:$D$6,IFERROR(MATCH(IF($B663="Robusta","Robusta",(IF($B663="","Arabica",$B663))&amp;" - "&amp;(IF($C663="","Commercial",$C663))),Variables!$B$1:$D$1,0),1)))*22.0462)*(L663/16.67),""))</f>
        <v>12849.482855428912</v>
      </c>
      <c r="X663" s="55" t="s">
        <v>39</v>
      </c>
      <c r="Y663" s="13" t="str">
        <f>IF($AX663="Cancelled","",IF(X663="","",IFERROR(IF(INDEX(Variables!$B$38:$B$47,MATCH(X663,Variables!$A$38:$A$47,0))="Yes","Yes","No"),"No")))</f>
        <v>No</v>
      </c>
      <c r="Z663" s="31"/>
      <c r="AB663" s="31">
        <v>46036.875</v>
      </c>
      <c r="AC663" s="13" t="str">
        <f t="shared" si="31"/>
        <v>Approved</v>
      </c>
      <c r="AF663" s="71">
        <v>46077</v>
      </c>
      <c r="AG663" s="31">
        <f>IF($AX663="Cancelled","",IFERROR(IF(F663="","",F663-Variables!$B$13),""))</f>
        <v>46066</v>
      </c>
      <c r="AH663" s="13">
        <f>IF($AX663="Cancelled","",IFERROR(IF(AB663="","",(AVERAGE(E663:F663)-AB663)-Variables!$B$14),""))</f>
        <v>0.625</v>
      </c>
      <c r="AJ663" s="47">
        <v>46085</v>
      </c>
      <c r="AK663" s="14">
        <f>IF($AX663="Cancelled","",IFERROR(IF(AJ663="","",IF(AND(AB663="",AF663=""),"",IF(AF663&gt;AB663,AF663+Variables!$B$15+Variables!$B$16+Variables!$B$17-AJ663,AB663+Variables!$B$16+Variables!$B$17-AJ663))),""))</f>
        <v>7</v>
      </c>
      <c r="AL663" s="48" t="s">
        <v>114</v>
      </c>
      <c r="AM663" s="13" t="s">
        <v>134</v>
      </c>
      <c r="AN663" s="13" t="s">
        <v>1815</v>
      </c>
      <c r="AP663" s="31" t="e">
        <v>#N/A</v>
      </c>
      <c r="AR663" s="13" t="s">
        <v>1816</v>
      </c>
      <c r="AS663" s="31">
        <v>46104</v>
      </c>
      <c r="AU663" s="31">
        <v>46127</v>
      </c>
      <c r="AV663" s="13" t="s">
        <v>865</v>
      </c>
      <c r="AW663" s="31">
        <v>46127</v>
      </c>
      <c r="AX663" s="13" t="str">
        <f>IF(ISNUMBER(SEARCH("cancel",#REF!)),"Cancelled",IF(AND(AS663&lt;&gt;"",AU663&lt;&gt;"",AW663&lt;&gt;""),"Closed","Open"))</f>
        <v>Closed</v>
      </c>
      <c r="AY663" s="15" t="str">
        <f t="shared" si="30"/>
        <v>All dates received</v>
      </c>
      <c r="BD663" s="13">
        <f>IF($AX663="Cancelled","",IFERROR(IF(OR(AS663="",AJ663=""),"",(AJ663+Variables!$B$18-AS663)),""))</f>
        <v>-4</v>
      </c>
      <c r="BE663" s="13">
        <f>IF($AX663="Cancelled","",IFERROR(IF(OR(AW663="",AS663=""),"",(AS663+Variables!$B$19)-AW663),""))</f>
        <v>-18</v>
      </c>
      <c r="BF663" s="44">
        <f>IF($AX663="Cancelled","",IFERROR(W663*INDEX(Variables!$B$7:$D$7,IFERROR(MATCH(IF($B663="Robusta","Robusta",(IF($B663="","Arabica",$B663))&amp;" - "&amp;(IF($C663="","Commercial",$C663))),Variables!$B$1:$D$1,0),1))*(BE663/365),""))</f>
        <v>-40.860637317386541</v>
      </c>
      <c r="BG663" s="44">
        <f>IF($AX663="Cancelled","",IFERROR((W663*INDEX(Variables!$B$7:$D$7,IFERROR(MATCH(IF($B663="Robusta","Robusta",(IF($B663="","Arabica",$B663))&amp;" - "&amp;(IF($C663="","Commercial",$C663))),Variables!$B$1:$D$1,0),1))*IFERROR(IF(AB663="","",(AVERAGE(E663:F663)-AB663)-Variables!$B$14),"")/365)+(L663/16.67*INDEX(Variables!$B$8:$D$8,IFERROR(MATCH(IF($B663="Robusta","Robusta",(IF($B663="","Arabica",$B663))&amp;" - "&amp;(IF($C663="","Commercial",$C663))),Variables!$B$1:$D$1,0),1))*IFERROR(IF(AB663="","",(AVERAGE(E663:F663)-AB663)-Variables!$B$14),""))+(W663*INDEX(Variables!$B$9:$D$9,IFERROR(MATCH(IF($B663="Robusta","Robusta",(IF($B663="","Arabica",$B663))&amp;" - "&amp;(IF($C663="","Commercial",$C663))),Variables!$B$1:$D$1,0),1))*IFERROR(IF(AB663="","",(AVERAGE(E663:F663)-AB663)-Variables!$B$14),"")/365),""))</f>
        <v>2.0620628398596854</v>
      </c>
      <c r="BH663" s="44">
        <f>IF($AX663="Cancelled","",IFERROR((W663*INDEX(Variables!$B$7:$D$7,IFERROR(MATCH(IF($B663="Robusta","Robusta",(IF($B663="","Arabica",$B663))&amp;" - "&amp;(IF($C663="","Commercial",$C663))),Variables!$B$1:$D$1,0),1))*AK663/365)+(L663/16.67*INDEX(Variables!$B$8:$D$8,IFERROR(MATCH(IF($B663="Robusta","Robusta",(IF($B663="","Arabica",$B663))&amp;" - "&amp;(IF($C663="","Commercial",$C663))),Variables!$B$1:$D$1,0),1))*AK663)+(W663*INDEX(Variables!$B$9:$D$9,IFERROR(MATCH(IF($B663="Robusta","Robusta",(IF($B663="","Arabica",$B663))&amp;" - "&amp;(IF($C663="","Commercial",$C663))),Variables!$B$1:$D$1,0),1))*AK663/365),""))</f>
        <v>23.095103806428476</v>
      </c>
      <c r="BI663" s="44">
        <f>IF($AX663="Cancelled","",IFERROR((W663*INDEX(Variables!$B$7:$D$7,IFERROR(MATCH(IF($B663="Robusta","Robusta",(IF($B663="","Arabica",$B663))&amp;" - "&amp;(IF($C663="","Commercial",$C663))),Variables!$B$1:$D$1,0),1))*BD663/365)+(L663/16.67*INDEX(Variables!$B$8:$D$8,IFERROR(MATCH(IF($B663="Robusta","Robusta",(IF($B663="","Arabica",$B663))&amp;" - "&amp;(IF($C663="","Commercial",$C663))),Variables!$B$1:$D$1,0),1))*BD663)+(W663*INDEX(Variables!$B$9:$D$9,IFERROR(MATCH(IF($B663="Robusta","Robusta",(IF($B663="","Arabica",$B663))&amp;" - "&amp;(IF($C663="","Commercial",$C663))),Variables!$B$1:$D$1,0),1))*BD663/365),""))</f>
        <v>-13.197202175101987</v>
      </c>
      <c r="BJ663" s="44">
        <f t="shared" si="32"/>
        <v>-23</v>
      </c>
      <c r="BK663" s="44">
        <f>IF($AX663="Cancelled","",IFERROR(IF(BJ663="","",(W663*INDEX(Variables!$B$7:$D$7,IFERROR(MATCH(IF($B663="Robusta","Robusta",(IF($B663="","Arabica",$B663))&amp;" - "&amp;(IF($C663="","Commercial",$C663))),Variables!$B$1:$D$1,0),1))*(BJ663/365))+(W663*INDEX(Variables!$B$9:$D$9,IFERROR(MATCH(IF($B663="Robusta","Robusta",(IF($B663="","Arabica",$B663))&amp;" - "&amp;(IF($C663="","Commercial",$C663))),Variables!$B$1:$D$1,0),1))*(BJ663/365))+(INDEX(Variables!$B$8:$D$8,IFERROR(MATCH(IF($B663="Robusta","Robusta",(IF($B663="","Arabica",$B663))&amp;" - "&amp;(IF($C663="","Commercial",$C663))),Variables!$B$1:$D$1,0),1))*L663/16.67)),""))</f>
        <v>-51.883912506836424</v>
      </c>
    </row>
    <row r="664" spans="1:63">
      <c r="A664" s="13" t="s">
        <v>103</v>
      </c>
      <c r="B664" s="13" t="s">
        <v>104</v>
      </c>
      <c r="C664" s="13" t="s">
        <v>292</v>
      </c>
      <c r="D664" s="31">
        <v>46036</v>
      </c>
      <c r="E664" s="31">
        <v>46054</v>
      </c>
      <c r="F664" s="31">
        <v>46081</v>
      </c>
      <c r="G664" s="13">
        <v>3787109</v>
      </c>
      <c r="J664" s="13" t="s">
        <v>909</v>
      </c>
      <c r="K664" s="13" t="s">
        <v>1819</v>
      </c>
      <c r="L664" s="13">
        <v>10</v>
      </c>
      <c r="M664" s="13">
        <v>0</v>
      </c>
      <c r="N664" s="13" t="s">
        <v>1818</v>
      </c>
      <c r="O664" s="13" t="s">
        <v>304</v>
      </c>
      <c r="P664" s="13">
        <v>10010</v>
      </c>
      <c r="R664" s="13" t="s">
        <v>239</v>
      </c>
      <c r="S664" s="13" t="s">
        <v>442</v>
      </c>
      <c r="T664" s="13" t="s">
        <v>112</v>
      </c>
      <c r="U664" s="13" t="s">
        <v>113</v>
      </c>
      <c r="V664" s="13">
        <v>195</v>
      </c>
      <c r="W664" s="44">
        <f>IF($AX664="Cancelled","",IFERROR(((V664+INDEX(Variables!$B$6:$D$6,IFERROR(MATCH(IF($B664="Robusta","Robusta",(IF($B664="","Arabica",$B664))&amp;" - "&amp;(IF($C664="","Commercial",$C664))),Variables!$B$1:$D$1,0),1)))*22.0462)*(L664/16.67),""))</f>
        <v>6424.7414277144562</v>
      </c>
      <c r="X664" s="55" t="s">
        <v>39</v>
      </c>
      <c r="Y664" s="13" t="str">
        <f>IF($AX664="Cancelled","",IF(X664="","",IFERROR(IF(INDEX(Variables!$B$38:$B$47,MATCH(X664,Variables!$A$38:$A$47,0))="Yes","Yes","No"),"No")))</f>
        <v>No</v>
      </c>
      <c r="Z664" s="31"/>
      <c r="AB664" s="31">
        <v>46036.875</v>
      </c>
      <c r="AC664" s="13" t="str">
        <f t="shared" si="31"/>
        <v>Approved</v>
      </c>
      <c r="AF664" s="71">
        <v>46077</v>
      </c>
      <c r="AG664" s="31">
        <f>IF($AX664="Cancelled","",IFERROR(IF(F664="","",F664-Variables!$B$13),""))</f>
        <v>46066</v>
      </c>
      <c r="AH664" s="13">
        <f>IF($AX664="Cancelled","",IFERROR(IF(AB664="","",(AVERAGE(E664:F664)-AB664)-Variables!$B$14),""))</f>
        <v>0.625</v>
      </c>
      <c r="AJ664" s="47">
        <v>46085</v>
      </c>
      <c r="AK664" s="14">
        <f>IF($AX664="Cancelled","",IFERROR(IF(AJ664="","",IF(AND(AB664="",AF664=""),"",IF(AF664&gt;AB664,AF664+Variables!$B$15+Variables!$B$16+Variables!$B$17-AJ664,AB664+Variables!$B$16+Variables!$B$17-AJ664))),""))</f>
        <v>7</v>
      </c>
      <c r="AL664" s="48" t="s">
        <v>114</v>
      </c>
      <c r="AM664" s="13" t="s">
        <v>134</v>
      </c>
      <c r="AN664" s="13" t="s">
        <v>1815</v>
      </c>
      <c r="AP664" s="31" t="e">
        <v>#N/A</v>
      </c>
      <c r="AR664" s="13" t="s">
        <v>1816</v>
      </c>
      <c r="AS664" s="31">
        <v>46104</v>
      </c>
      <c r="AU664" s="31">
        <v>46127</v>
      </c>
      <c r="AV664" s="13" t="s">
        <v>865</v>
      </c>
      <c r="AW664" s="31">
        <v>46127</v>
      </c>
      <c r="AX664" s="13" t="str">
        <f>IF(ISNUMBER(SEARCH("cancel",#REF!)),"Cancelled",IF(AND(AS664&lt;&gt;"",AU664&lt;&gt;"",AW664&lt;&gt;""),"Closed","Open"))</f>
        <v>Closed</v>
      </c>
      <c r="AY664" s="15" t="str">
        <f t="shared" si="30"/>
        <v>All dates received</v>
      </c>
      <c r="BD664" s="13">
        <f>IF($AX664="Cancelled","",IFERROR(IF(OR(AS664="",AJ664=""),"",(AJ664+Variables!$B$18-AS664)),""))</f>
        <v>-4</v>
      </c>
      <c r="BE664" s="13">
        <f>IF($AX664="Cancelled","",IFERROR(IF(OR(AW664="",AS664=""),"",(AS664+Variables!$B$19)-AW664),""))</f>
        <v>-18</v>
      </c>
      <c r="BF664" s="44">
        <f>IF($AX664="Cancelled","",IFERROR(W664*INDEX(Variables!$B$7:$D$7,IFERROR(MATCH(IF($B664="Robusta","Robusta",(IF($B664="","Arabica",$B664))&amp;" - "&amp;(IF($C664="","Commercial",$C664))),Variables!$B$1:$D$1,0),1))*(BE664/365),""))</f>
        <v>-20.43031865869327</v>
      </c>
      <c r="BG664" s="44">
        <f>IF($AX664="Cancelled","",IFERROR((W664*INDEX(Variables!$B$7:$D$7,IFERROR(MATCH(IF($B664="Robusta","Robusta",(IF($B664="","Arabica",$B664))&amp;" - "&amp;(IF($C664="","Commercial",$C664))),Variables!$B$1:$D$1,0),1))*IFERROR(IF(AB664="","",(AVERAGE(E664:F664)-AB664)-Variables!$B$14),"")/365)+(L664/16.67*INDEX(Variables!$B$8:$D$8,IFERROR(MATCH(IF($B664="Robusta","Robusta",(IF($B664="","Arabica",$B664))&amp;" - "&amp;(IF($C664="","Commercial",$C664))),Variables!$B$1:$D$1,0),1))*IFERROR(IF(AB664="","",(AVERAGE(E664:F664)-AB664)-Variables!$B$14),""))+(W664*INDEX(Variables!$B$9:$D$9,IFERROR(MATCH(IF($B664="Robusta","Robusta",(IF($B664="","Arabica",$B664))&amp;" - "&amp;(IF($C664="","Commercial",$C664))),Variables!$B$1:$D$1,0),1))*IFERROR(IF(AB664="","",(AVERAGE(E664:F664)-AB664)-Variables!$B$14),"")/365),""))</f>
        <v>1.0310314199298427</v>
      </c>
      <c r="BH664" s="44">
        <f>IF($AX664="Cancelled","",IFERROR((W664*INDEX(Variables!$B$7:$D$7,IFERROR(MATCH(IF($B664="Robusta","Robusta",(IF($B664="","Arabica",$B664))&amp;" - "&amp;(IF($C664="","Commercial",$C664))),Variables!$B$1:$D$1,0),1))*AK664/365)+(L664/16.67*INDEX(Variables!$B$8:$D$8,IFERROR(MATCH(IF($B664="Robusta","Robusta",(IF($B664="","Arabica",$B664))&amp;" - "&amp;(IF($C664="","Commercial",$C664))),Variables!$B$1:$D$1,0),1))*AK664)+(W664*INDEX(Variables!$B$9:$D$9,IFERROR(MATCH(IF($B664="Robusta","Robusta",(IF($B664="","Arabica",$B664))&amp;" - "&amp;(IF($C664="","Commercial",$C664))),Variables!$B$1:$D$1,0),1))*AK664/365),""))</f>
        <v>11.547551903214238</v>
      </c>
      <c r="BI664" s="44">
        <f>IF($AX664="Cancelled","",IFERROR((W664*INDEX(Variables!$B$7:$D$7,IFERROR(MATCH(IF($B664="Robusta","Robusta",(IF($B664="","Arabica",$B664))&amp;" - "&amp;(IF($C664="","Commercial",$C664))),Variables!$B$1:$D$1,0),1))*BD664/365)+(L664/16.67*INDEX(Variables!$B$8:$D$8,IFERROR(MATCH(IF($B664="Robusta","Robusta",(IF($B664="","Arabica",$B664))&amp;" - "&amp;(IF($C664="","Commercial",$C664))),Variables!$B$1:$D$1,0),1))*BD664)+(W664*INDEX(Variables!$B$9:$D$9,IFERROR(MATCH(IF($B664="Robusta","Robusta",(IF($B664="","Arabica",$B664))&amp;" - "&amp;(IF($C664="","Commercial",$C664))),Variables!$B$1:$D$1,0),1))*BD664/365),""))</f>
        <v>-6.5986010875509935</v>
      </c>
      <c r="BJ664" s="44">
        <f t="shared" si="32"/>
        <v>-23</v>
      </c>
      <c r="BK664" s="44">
        <f>IF($AX664="Cancelled","",IFERROR(IF(BJ664="","",(W664*INDEX(Variables!$B$7:$D$7,IFERROR(MATCH(IF($B664="Robusta","Robusta",(IF($B664="","Arabica",$B664))&amp;" - "&amp;(IF($C664="","Commercial",$C664))),Variables!$B$1:$D$1,0),1))*(BJ664/365))+(W664*INDEX(Variables!$B$9:$D$9,IFERROR(MATCH(IF($B664="Robusta","Robusta",(IF($B664="","Arabica",$B664))&amp;" - "&amp;(IF($C664="","Commercial",$C664))),Variables!$B$1:$D$1,0),1))*(BJ664/365))+(INDEX(Variables!$B$8:$D$8,IFERROR(MATCH(IF($B664="Robusta","Robusta",(IF($B664="","Arabica",$B664))&amp;" - "&amp;(IF($C664="","Commercial",$C664))),Variables!$B$1:$D$1,0),1))*L664/16.67)),""))</f>
        <v>-25.941956253418212</v>
      </c>
    </row>
    <row r="665" spans="1:63">
      <c r="A665" s="13" t="s">
        <v>103</v>
      </c>
      <c r="B665" s="13" t="s">
        <v>104</v>
      </c>
      <c r="C665" s="13" t="s">
        <v>292</v>
      </c>
      <c r="D665" s="31">
        <v>46036</v>
      </c>
      <c r="E665" s="31">
        <v>46054</v>
      </c>
      <c r="F665" s="31">
        <v>46081</v>
      </c>
      <c r="G665" s="13">
        <v>3787110</v>
      </c>
      <c r="J665" s="13" t="s">
        <v>909</v>
      </c>
      <c r="K665" s="13" t="s">
        <v>1820</v>
      </c>
      <c r="L665" s="13">
        <v>9</v>
      </c>
      <c r="M665" s="13">
        <v>0</v>
      </c>
      <c r="N665" s="13" t="s">
        <v>1821</v>
      </c>
      <c r="O665" s="13" t="s">
        <v>576</v>
      </c>
      <c r="P665" s="13">
        <v>10010</v>
      </c>
      <c r="R665" s="13" t="s">
        <v>239</v>
      </c>
      <c r="S665" s="13" t="s">
        <v>442</v>
      </c>
      <c r="T665" s="13" t="s">
        <v>112</v>
      </c>
      <c r="U665" s="13" t="s">
        <v>113</v>
      </c>
      <c r="V665" s="13">
        <v>167</v>
      </c>
      <c r="W665" s="44">
        <f>IF($AX665="Cancelled","",IFERROR(((V665+INDEX(Variables!$B$6:$D$6,IFERROR(MATCH(IF($B665="Robusta","Robusta",(IF($B665="","Arabica",$B665))&amp;" - "&amp;(IF($C665="","Commercial",$C665))),Variables!$B$1:$D$1,0),1)))*22.0462)*(L665/16.67),""))</f>
        <v>5448.9953953209351</v>
      </c>
      <c r="X665" s="55" t="s">
        <v>39</v>
      </c>
      <c r="Y665" s="13" t="str">
        <f>IF($AX665="Cancelled","",IF(X665="","",IFERROR(IF(INDEX(Variables!$B$38:$B$47,MATCH(X665,Variables!$A$38:$A$47,0))="Yes","Yes","No"),"No")))</f>
        <v>No</v>
      </c>
      <c r="Z665" s="31"/>
      <c r="AB665" s="31">
        <v>46036.875</v>
      </c>
      <c r="AC665" s="13" t="str">
        <f t="shared" si="31"/>
        <v>Approved</v>
      </c>
      <c r="AF665" s="71">
        <v>46077</v>
      </c>
      <c r="AG665" s="31">
        <f>IF($AX665="Cancelled","",IFERROR(IF(F665="","",F665-Variables!$B$13),""))</f>
        <v>46066</v>
      </c>
      <c r="AH665" s="13">
        <f>IF($AX665="Cancelled","",IFERROR(IF(AB665="","",(AVERAGE(E665:F665)-AB665)-Variables!$B$14),""))</f>
        <v>0.625</v>
      </c>
      <c r="AJ665" s="47">
        <v>46085</v>
      </c>
      <c r="AK665" s="14">
        <f>IF($AX665="Cancelled","",IFERROR(IF(AJ665="","",IF(AND(AB665="",AF665=""),"",IF(AF665&gt;AB665,AF665+Variables!$B$15+Variables!$B$16+Variables!$B$17-AJ665,AB665+Variables!$B$16+Variables!$B$17-AJ665))),""))</f>
        <v>7</v>
      </c>
      <c r="AL665" s="48" t="s">
        <v>114</v>
      </c>
      <c r="AM665" s="13" t="s">
        <v>134</v>
      </c>
      <c r="AN665" s="13" t="s">
        <v>1815</v>
      </c>
      <c r="AP665" s="31" t="e">
        <v>#N/A</v>
      </c>
      <c r="AR665" s="13" t="s">
        <v>1816</v>
      </c>
      <c r="AS665" s="31">
        <v>46104</v>
      </c>
      <c r="AU665" s="31">
        <v>46127</v>
      </c>
      <c r="AV665" s="13" t="s">
        <v>865</v>
      </c>
      <c r="AW665" s="31">
        <v>46127</v>
      </c>
      <c r="AX665" s="13" t="str">
        <f>IF(ISNUMBER(SEARCH("cancel",#REF!)),"Cancelled",IF(AND(AS665&lt;&gt;"",AU665&lt;&gt;"",AW665&lt;&gt;""),"Closed","Open"))</f>
        <v>Closed</v>
      </c>
      <c r="AY665" s="15" t="str">
        <f t="shared" si="30"/>
        <v>All dates received</v>
      </c>
      <c r="BD665" s="13">
        <f>IF($AX665="Cancelled","",IFERROR(IF(OR(AS665="",AJ665=""),"",(AJ665+Variables!$B$18-AS665)),""))</f>
        <v>-4</v>
      </c>
      <c r="BE665" s="13">
        <f>IF($AX665="Cancelled","",IFERROR(IF(OR(AW665="",AS665=""),"",(AS665+Variables!$B$19)-AW665),""))</f>
        <v>-18</v>
      </c>
      <c r="BF665" s="44">
        <f>IF($AX665="Cancelled","",IFERROR(W665*INDEX(Variables!$B$7:$D$7,IFERROR(MATCH(IF($B665="Robusta","Robusta",(IF($B665="","Arabica",$B665))&amp;" - "&amp;(IF($C665="","Commercial",$C665))),Variables!$B$1:$D$1,0),1))*(BE665/365),""))</f>
        <v>-17.327500810528619</v>
      </c>
      <c r="BG665" s="44">
        <f>IF($AX665="Cancelled","",IFERROR((W665*INDEX(Variables!$B$7:$D$7,IFERROR(MATCH(IF($B665="Robusta","Robusta",(IF($B665="","Arabica",$B665))&amp;" - "&amp;(IF($C665="","Commercial",$C665))),Variables!$B$1:$D$1,0),1))*IFERROR(IF(AB665="","",(AVERAGE(E665:F665)-AB665)-Variables!$B$14),"")/365)+(L665/16.67*INDEX(Variables!$B$8:$D$8,IFERROR(MATCH(IF($B665="Robusta","Robusta",(IF($B665="","Arabica",$B665))&amp;" - "&amp;(IF($C665="","Commercial",$C665))),Variables!$B$1:$D$1,0),1))*IFERROR(IF(AB665="","",(AVERAGE(E665:F665)-AB665)-Variables!$B$14),""))+(W665*INDEX(Variables!$B$9:$D$9,IFERROR(MATCH(IF($B665="Robusta","Robusta",(IF($B665="","Arabica",$B665))&amp;" - "&amp;(IF($C665="","Commercial",$C665))),Variables!$B$1:$D$1,0),1))*IFERROR(IF(AB665="","",(AVERAGE(E665:F665)-AB665)-Variables!$B$14),"")/365),""))</f>
        <v>0.89065575471283209</v>
      </c>
      <c r="BH665" s="44">
        <f>IF($AX665="Cancelled","",IFERROR((W665*INDEX(Variables!$B$7:$D$7,IFERROR(MATCH(IF($B665="Robusta","Robusta",(IF($B665="","Arabica",$B665))&amp;" - "&amp;(IF($C665="","Commercial",$C665))),Variables!$B$1:$D$1,0),1))*AK665/365)+(L665/16.67*INDEX(Variables!$B$8:$D$8,IFERROR(MATCH(IF($B665="Robusta","Robusta",(IF($B665="","Arabica",$B665))&amp;" - "&amp;(IF($C665="","Commercial",$C665))),Variables!$B$1:$D$1,0),1))*AK665)+(W665*INDEX(Variables!$B$9:$D$9,IFERROR(MATCH(IF($B665="Robusta","Robusta",(IF($B665="","Arabica",$B665))&amp;" - "&amp;(IF($C665="","Commercial",$C665))),Variables!$B$1:$D$1,0),1))*AK665/365),""))</f>
        <v>9.9753444527837196</v>
      </c>
      <c r="BI665" s="44">
        <f>IF($AX665="Cancelled","",IFERROR((W665*INDEX(Variables!$B$7:$D$7,IFERROR(MATCH(IF($B665="Robusta","Robusta",(IF($B665="","Arabica",$B665))&amp;" - "&amp;(IF($C665="","Commercial",$C665))),Variables!$B$1:$D$1,0),1))*BD665/365)+(L665/16.67*INDEX(Variables!$B$8:$D$8,IFERROR(MATCH(IF($B665="Robusta","Robusta",(IF($B665="","Arabica",$B665))&amp;" - "&amp;(IF($C665="","Commercial",$C665))),Variables!$B$1:$D$1,0),1))*BD665)+(W665*INDEX(Variables!$B$9:$D$9,IFERROR(MATCH(IF($B665="Robusta","Robusta",(IF($B665="","Arabica",$B665))&amp;" - "&amp;(IF($C665="","Commercial",$C665))),Variables!$B$1:$D$1,0),1))*BD665/365),""))</f>
        <v>-5.7001968301621266</v>
      </c>
      <c r="BJ665" s="44">
        <f t="shared" si="32"/>
        <v>-23</v>
      </c>
      <c r="BK665" s="44">
        <f>IF($AX665="Cancelled","",IFERROR(IF(BJ665="","",(W665*INDEX(Variables!$B$7:$D$7,IFERROR(MATCH(IF($B665="Robusta","Robusta",(IF($B665="","Arabica",$B665))&amp;" - "&amp;(IF($C665="","Commercial",$C665))),Variables!$B$1:$D$1,0),1))*(BJ665/365))+(W665*INDEX(Variables!$B$9:$D$9,IFERROR(MATCH(IF($B665="Robusta","Robusta",(IF($B665="","Arabica",$B665))&amp;" - "&amp;(IF($C665="","Commercial",$C665))),Variables!$B$1:$D$1,0),1))*(BJ665/365))+(INDEX(Variables!$B$8:$D$8,IFERROR(MATCH(IF($B665="Robusta","Robusta",(IF($B665="","Arabica",$B665))&amp;" - "&amp;(IF($C665="","Commercial",$C665))),Variables!$B$1:$D$1,0),1))*L665/16.67)),""))</f>
        <v>-21.976131773432222</v>
      </c>
    </row>
    <row r="666" spans="1:63">
      <c r="A666" s="13" t="s">
        <v>103</v>
      </c>
      <c r="B666" s="13" t="s">
        <v>104</v>
      </c>
      <c r="C666" s="13" t="s">
        <v>292</v>
      </c>
      <c r="D666" s="31">
        <v>46036</v>
      </c>
      <c r="E666" s="31">
        <v>46054</v>
      </c>
      <c r="F666" s="31">
        <v>46081</v>
      </c>
      <c r="G666" s="13">
        <v>3787111</v>
      </c>
      <c r="J666" s="13" t="s">
        <v>909</v>
      </c>
      <c r="K666" s="13" t="s">
        <v>1822</v>
      </c>
      <c r="L666" s="13">
        <v>5</v>
      </c>
      <c r="M666" s="13">
        <v>0</v>
      </c>
      <c r="N666" s="13" t="s">
        <v>1823</v>
      </c>
      <c r="O666" s="13" t="s">
        <v>775</v>
      </c>
      <c r="P666" s="13">
        <v>10010</v>
      </c>
      <c r="R666" s="13" t="s">
        <v>239</v>
      </c>
      <c r="S666" s="13" t="s">
        <v>442</v>
      </c>
      <c r="T666" s="13" t="s">
        <v>112</v>
      </c>
      <c r="U666" s="13" t="s">
        <v>113</v>
      </c>
      <c r="V666" s="13">
        <v>166</v>
      </c>
      <c r="W666" s="44">
        <f>IF($AX666="Cancelled","",IFERROR(((V666+INDEX(Variables!$B$6:$D$6,IFERROR(MATCH(IF($B666="Robusta","Robusta",(IF($B666="","Arabica",$B666))&amp;" - "&amp;(IF($C666="","Commercial",$C666))),Variables!$B$1:$D$1,0),1)))*22.0462)*(L666/16.67),""))</f>
        <v>3020.6071265746846</v>
      </c>
      <c r="X666" s="55" t="s">
        <v>39</v>
      </c>
      <c r="Y666" s="13" t="str">
        <f>IF($AX666="Cancelled","",IF(X666="","",IFERROR(IF(INDEX(Variables!$B$38:$B$47,MATCH(X666,Variables!$A$38:$A$47,0))="Yes","Yes","No"),"No")))</f>
        <v>No</v>
      </c>
      <c r="Z666" s="31"/>
      <c r="AB666" s="31">
        <v>46036.875</v>
      </c>
      <c r="AC666" s="13" t="str">
        <f t="shared" si="31"/>
        <v>Approved</v>
      </c>
      <c r="AF666" s="71">
        <v>46077</v>
      </c>
      <c r="AG666" s="31">
        <f>IF($AX666="Cancelled","",IFERROR(IF(F666="","",F666-Variables!$B$13),""))</f>
        <v>46066</v>
      </c>
      <c r="AH666" s="13">
        <f>IF($AX666="Cancelled","",IFERROR(IF(AB666="","",(AVERAGE(E666:F666)-AB666)-Variables!$B$14),""))</f>
        <v>0.625</v>
      </c>
      <c r="AJ666" s="47">
        <v>46085</v>
      </c>
      <c r="AK666" s="14">
        <f>IF($AX666="Cancelled","",IFERROR(IF(AJ666="","",IF(AND(AB666="",AF666=""),"",IF(AF666&gt;AB666,AF666+Variables!$B$15+Variables!$B$16+Variables!$B$17-AJ666,AB666+Variables!$B$16+Variables!$B$17-AJ666))),""))</f>
        <v>7</v>
      </c>
      <c r="AL666" s="48" t="s">
        <v>114</v>
      </c>
      <c r="AM666" s="13" t="s">
        <v>134</v>
      </c>
      <c r="AN666" s="13" t="s">
        <v>1815</v>
      </c>
      <c r="AP666" s="31" t="e">
        <v>#N/A</v>
      </c>
      <c r="AR666" s="13" t="s">
        <v>1816</v>
      </c>
      <c r="AS666" s="31">
        <v>46104</v>
      </c>
      <c r="AU666" s="31">
        <v>46127</v>
      </c>
      <c r="AV666" s="13" t="s">
        <v>865</v>
      </c>
      <c r="AW666" s="31">
        <v>46127</v>
      </c>
      <c r="AX666" s="13" t="str">
        <f>IF(ISNUMBER(SEARCH("cancel",#REF!)),"Cancelled",IF(AND(AS666&lt;&gt;"",AU666&lt;&gt;"",AW666&lt;&gt;""),"Closed","Open"))</f>
        <v>Closed</v>
      </c>
      <c r="AY666" s="15" t="str">
        <f t="shared" si="30"/>
        <v>All dates received</v>
      </c>
      <c r="BD666" s="13">
        <f>IF($AX666="Cancelled","",IFERROR(IF(OR(AS666="",AJ666=""),"",(AJ666+Variables!$B$18-AS666)),""))</f>
        <v>-4</v>
      </c>
      <c r="BE666" s="13">
        <f>IF($AX666="Cancelled","",IFERROR(IF(OR(AW666="",AS666=""),"",(AS666+Variables!$B$19)-AW666),""))</f>
        <v>-18</v>
      </c>
      <c r="BF666" s="44">
        <f>IF($AX666="Cancelled","",IFERROR(W666*INDEX(Variables!$B$7:$D$7,IFERROR(MATCH(IF($B666="Robusta","Robusta",(IF($B666="","Arabica",$B666))&amp;" - "&amp;(IF($C666="","Commercial",$C666))),Variables!$B$1:$D$1,0),1))*(BE666/365),""))</f>
        <v>-9.6053618395338471</v>
      </c>
      <c r="BG666" s="44">
        <f>IF($AX666="Cancelled","",IFERROR((W666*INDEX(Variables!$B$7:$D$7,IFERROR(MATCH(IF($B666="Robusta","Robusta",(IF($B666="","Arabica",$B666))&amp;" - "&amp;(IF($C666="","Commercial",$C666))),Variables!$B$1:$D$1,0),1))*IFERROR(IF(AB666="","",(AVERAGE(E666:F666)-AB666)-Variables!$B$14),"")/365)+(L666/16.67*INDEX(Variables!$B$8:$D$8,IFERROR(MATCH(IF($B666="Robusta","Robusta",(IF($B666="","Arabica",$B666))&amp;" - "&amp;(IF($C666="","Commercial",$C666))),Variables!$B$1:$D$1,0),1))*IFERROR(IF(AB666="","",(AVERAGE(E666:F666)-AB666)-Variables!$B$14),""))+(W666*INDEX(Variables!$B$9:$D$9,IFERROR(MATCH(IF($B666="Robusta","Robusta",(IF($B666="","Arabica",$B666))&amp;" - "&amp;(IF($C666="","Commercial",$C666))),Variables!$B$1:$D$1,0),1))*IFERROR(IF(AB666="","",(AVERAGE(E666:F666)-AB666)-Variables!$B$14),"")/365),""))</f>
        <v>0.49406921842728713</v>
      </c>
      <c r="BH666" s="44">
        <f>IF($AX666="Cancelled","",IFERROR((W666*INDEX(Variables!$B$7:$D$7,IFERROR(MATCH(IF($B666="Robusta","Robusta",(IF($B666="","Arabica",$B666))&amp;" - "&amp;(IF($C666="","Commercial",$C666))),Variables!$B$1:$D$1,0),1))*AK666/365)+(L666/16.67*INDEX(Variables!$B$8:$D$8,IFERROR(MATCH(IF($B666="Robusta","Robusta",(IF($B666="","Arabica",$B666))&amp;" - "&amp;(IF($C666="","Commercial",$C666))),Variables!$B$1:$D$1,0),1))*AK666)+(W666*INDEX(Variables!$B$9:$D$9,IFERROR(MATCH(IF($B666="Robusta","Robusta",(IF($B666="","Arabica",$B666))&amp;" - "&amp;(IF($C666="","Commercial",$C666))),Variables!$B$1:$D$1,0),1))*AK666/365),""))</f>
        <v>5.5335752463856158</v>
      </c>
      <c r="BI666" s="44">
        <f>IF($AX666="Cancelled","",IFERROR((W666*INDEX(Variables!$B$7:$D$7,IFERROR(MATCH(IF($B666="Robusta","Robusta",(IF($B666="","Arabica",$B666))&amp;" - "&amp;(IF($C666="","Commercial",$C666))),Variables!$B$1:$D$1,0),1))*BD666/365)+(L666/16.67*INDEX(Variables!$B$8:$D$8,IFERROR(MATCH(IF($B666="Robusta","Robusta",(IF($B666="","Arabica",$B666))&amp;" - "&amp;(IF($C666="","Commercial",$C666))),Variables!$B$1:$D$1,0),1))*BD666)+(W666*INDEX(Variables!$B$9:$D$9,IFERROR(MATCH(IF($B666="Robusta","Robusta",(IF($B666="","Arabica",$B666))&amp;" - "&amp;(IF($C666="","Commercial",$C666))),Variables!$B$1:$D$1,0),1))*BD666/365),""))</f>
        <v>-3.1620429979346376</v>
      </c>
      <c r="BJ666" s="44">
        <f t="shared" si="32"/>
        <v>-23</v>
      </c>
      <c r="BK666" s="44">
        <f>IF($AX666="Cancelled","",IFERROR(IF(BJ666="","",(W666*INDEX(Variables!$B$7:$D$7,IFERROR(MATCH(IF($B666="Robusta","Robusta",(IF($B666="","Arabica",$B666))&amp;" - "&amp;(IF($C666="","Commercial",$C666))),Variables!$B$1:$D$1,0),1))*(BJ666/365))+(W666*INDEX(Variables!$B$9:$D$9,IFERROR(MATCH(IF($B666="Robusta","Robusta",(IF($B666="","Arabica",$B666))&amp;" - "&amp;(IF($C666="","Commercial",$C666))),Variables!$B$1:$D$1,0),1))*(BJ666/365))+(INDEX(Variables!$B$8:$D$8,IFERROR(MATCH(IF($B666="Robusta","Robusta",(IF($B666="","Arabica",$B666))&amp;" - "&amp;(IF($C666="","Commercial",$C666))),Variables!$B$1:$D$1,0),1))*L666/16.67)),""))</f>
        <v>-12.181747238124167</v>
      </c>
    </row>
    <row r="667" spans="1:63">
      <c r="A667" s="13" t="s">
        <v>103</v>
      </c>
      <c r="B667" s="13" t="s">
        <v>104</v>
      </c>
      <c r="C667" s="13" t="s">
        <v>105</v>
      </c>
      <c r="D667" s="31">
        <v>46041</v>
      </c>
      <c r="E667" s="31">
        <v>46082</v>
      </c>
      <c r="F667" s="31">
        <v>46112</v>
      </c>
      <c r="G667" s="13">
        <v>3787112</v>
      </c>
      <c r="H667" s="13">
        <v>5406</v>
      </c>
      <c r="J667" s="13" t="s">
        <v>1824</v>
      </c>
      <c r="K667" s="13">
        <v>5406</v>
      </c>
      <c r="L667" s="13">
        <v>333</v>
      </c>
      <c r="M667" s="13">
        <v>1</v>
      </c>
      <c r="N667" s="13" t="s">
        <v>1825</v>
      </c>
      <c r="O667" s="13" t="s">
        <v>775</v>
      </c>
      <c r="P667" s="13">
        <v>10030</v>
      </c>
      <c r="R667" s="13" t="s">
        <v>271</v>
      </c>
      <c r="S667" s="13" t="s">
        <v>896</v>
      </c>
      <c r="T667" s="13" t="s">
        <v>897</v>
      </c>
      <c r="U667" s="13" t="s">
        <v>125</v>
      </c>
      <c r="V667" s="13">
        <v>70</v>
      </c>
      <c r="W667" s="44">
        <f>IF($AX667="Cancelled","",IFERROR(((V667+INDEX(Variables!$B$6:$D$6,IFERROR(MATCH(IF($B667="Robusta","Robusta",(IF($B667="","Arabica",$B667))&amp;" - "&amp;(IF($C667="","Commercial",$C667))),Variables!$B$1:$D$1,0),1)))*22.0462)*(L667/16.67),""))</f>
        <v>158894.51491781641</v>
      </c>
      <c r="X667" s="55" t="s">
        <v>39</v>
      </c>
      <c r="Y667" s="13" t="str">
        <f>IF($AX667="Cancelled","",IF(X667="","",IFERROR(IF(INDEX(Variables!$B$38:$B$47,MATCH(X667,Variables!$A$38:$A$47,0))="Yes","Yes","No"),"No")))</f>
        <v>No</v>
      </c>
      <c r="Z667" s="31" t="s">
        <v>1826</v>
      </c>
      <c r="AB667" s="31" t="s">
        <v>39</v>
      </c>
      <c r="AC667" s="13" t="str">
        <f t="shared" si="31"/>
        <v/>
      </c>
      <c r="AF667" s="71">
        <v>46069</v>
      </c>
      <c r="AG667" s="37">
        <f>IF($AX667="Cancelled","",IFERROR(IF(F667="","",F667-Variables!$B$13),""))</f>
        <v>46097</v>
      </c>
      <c r="AH667" s="13" t="str">
        <f>IF($AX667="Cancelled","",IFERROR(IF(AB667="","",(AVERAGE(E667:F667)-AB667)-Variables!$B$14),""))</f>
        <v/>
      </c>
      <c r="AJ667" s="47">
        <v>46079</v>
      </c>
      <c r="AK667" s="14" t="str">
        <f>IF($AX667="Cancelled","",IFERROR(IF(AJ667="","",IF(AND(AB667="",AF667=""),"",IF(AF667&gt;AB667,AF667+Variables!$B$15+Variables!$B$16+Variables!$B$17-AJ667,AB667+Variables!$B$16+Variables!$B$17-AJ667))),""))</f>
        <v/>
      </c>
      <c r="AL667" s="48" t="s">
        <v>114</v>
      </c>
      <c r="AM667" s="13" t="s">
        <v>115</v>
      </c>
      <c r="AN667" s="13" t="s">
        <v>1630</v>
      </c>
      <c r="AP667" s="31">
        <v>46089</v>
      </c>
      <c r="AR667" s="13">
        <v>266488638</v>
      </c>
      <c r="AS667" s="31" t="s">
        <v>1631</v>
      </c>
      <c r="AU667" s="31">
        <v>46113</v>
      </c>
      <c r="AV667" s="13" t="s">
        <v>1827</v>
      </c>
      <c r="AW667" s="31">
        <v>46127</v>
      </c>
      <c r="AX667" s="13" t="str">
        <f>IF(ISNUMBER(SEARCH("cancel",#REF!)),"Cancelled",IF(AND(AS667&lt;&gt;"",AU667&lt;&gt;"",AW667&lt;&gt;""),"Closed","Open"))</f>
        <v>Closed</v>
      </c>
      <c r="AY667" s="15" t="str">
        <f t="shared" si="30"/>
        <v>All dates received</v>
      </c>
      <c r="BD667" s="13" t="str">
        <f>IF($AX667="Cancelled","",IFERROR(IF(OR(AS667="",AJ667=""),"",(AJ667+Variables!$B$18-AS667)),""))</f>
        <v/>
      </c>
      <c r="BE667" s="13" t="str">
        <f>IF($AX667="Cancelled","",IFERROR(IF(OR(AW667="",AS667=""),"",(AS667+Variables!$B$19)-AW667),""))</f>
        <v/>
      </c>
      <c r="BF667" s="44" t="str">
        <f>IF($AX667="Cancelled","",IFERROR(W667*INDEX(Variables!$B$7:$D$7,IFERROR(MATCH(IF($B667="Robusta","Robusta",(IF($B667="","Arabica",$B667))&amp;" - "&amp;(IF($C667="","Commercial",$C667))),Variables!$B$1:$D$1,0),1))*(BE667/365),""))</f>
        <v/>
      </c>
      <c r="BG667" s="44" t="str">
        <f>IF($AX667="Cancelled","",IFERROR((W667*INDEX(Variables!$B$7:$D$7,IFERROR(MATCH(IF($B667="Robusta","Robusta",(IF($B667="","Arabica",$B667))&amp;" - "&amp;(IF($C667="","Commercial",$C667))),Variables!$B$1:$D$1,0),1))*IFERROR(IF(AB667="","",(AVERAGE(E667:F667)-AB667)-Variables!$B$14),"")/365)+(L667/16.67*INDEX(Variables!$B$8:$D$8,IFERROR(MATCH(IF($B667="Robusta","Robusta",(IF($B667="","Arabica",$B667))&amp;" - "&amp;(IF($C667="","Commercial",$C667))),Variables!$B$1:$D$1,0),1))*IFERROR(IF(AB667="","",(AVERAGE(E667:F667)-AB667)-Variables!$B$14),""))+(W667*INDEX(Variables!$B$9:$D$9,IFERROR(MATCH(IF($B667="Robusta","Robusta",(IF($B667="","Arabica",$B667))&amp;" - "&amp;(IF($C667="","Commercial",$C667))),Variables!$B$1:$D$1,0),1))*IFERROR(IF(AB667="","",(AVERAGE(E667:F667)-AB667)-Variables!$B$14),"")/365),""))</f>
        <v/>
      </c>
      <c r="BH667" s="44" t="str">
        <f>IF($AX667="Cancelled","",IFERROR((W667*INDEX(Variables!$B$7:$D$7,IFERROR(MATCH(IF($B667="Robusta","Robusta",(IF($B667="","Arabica",$B667))&amp;" - "&amp;(IF($C667="","Commercial",$C667))),Variables!$B$1:$D$1,0),1))*AK667/365)+(L667/16.67*INDEX(Variables!$B$8:$D$8,IFERROR(MATCH(IF($B667="Robusta","Robusta",(IF($B667="","Arabica",$B667))&amp;" - "&amp;(IF($C667="","Commercial",$C667))),Variables!$B$1:$D$1,0),1))*AK667)+(W667*INDEX(Variables!$B$9:$D$9,IFERROR(MATCH(IF($B667="Robusta","Robusta",(IF($B667="","Arabica",$B667))&amp;" - "&amp;(IF($C667="","Commercial",$C667))),Variables!$B$1:$D$1,0),1))*AK667/365),""))</f>
        <v/>
      </c>
      <c r="BI667" s="44" t="str">
        <f>IF($AX667="Cancelled","",IFERROR((W667*INDEX(Variables!$B$7:$D$7,IFERROR(MATCH(IF($B667="Robusta","Robusta",(IF($B667="","Arabica",$B667))&amp;" - "&amp;(IF($C667="","Commercial",$C667))),Variables!$B$1:$D$1,0),1))*BD667/365)+(L667/16.67*INDEX(Variables!$B$8:$D$8,IFERROR(MATCH(IF($B667="Robusta","Robusta",(IF($B667="","Arabica",$B667))&amp;" - "&amp;(IF($C667="","Commercial",$C667))),Variables!$B$1:$D$1,0),1))*BD667)+(W667*INDEX(Variables!$B$9:$D$9,IFERROR(MATCH(IF($B667="Robusta","Robusta",(IF($B667="","Arabica",$B667))&amp;" - "&amp;(IF($C667="","Commercial",$C667))),Variables!$B$1:$D$1,0),1))*BD667/365),""))</f>
        <v/>
      </c>
      <c r="BJ667" s="44" t="str">
        <f t="shared" si="32"/>
        <v/>
      </c>
      <c r="BK667" s="44" t="str">
        <f>IF($AX667="Cancelled","",IFERROR(IF(BJ667="","",(W667*INDEX(Variables!$B$7:$D$7,IFERROR(MATCH(IF($B667="Robusta","Robusta",(IF($B667="","Arabica",$B667))&amp;" - "&amp;(IF($C667="","Commercial",$C667))),Variables!$B$1:$D$1,0),1))*(BJ667/365))+(W667*INDEX(Variables!$B$9:$D$9,IFERROR(MATCH(IF($B667="Robusta","Robusta",(IF($B667="","Arabica",$B667))&amp;" - "&amp;(IF($C667="","Commercial",$C667))),Variables!$B$1:$D$1,0),1))*(BJ667/365))+(INDEX(Variables!$B$8:$D$8,IFERROR(MATCH(IF($B667="Robusta","Robusta",(IF($B667="","Arabica",$B667))&amp;" - "&amp;(IF($C667="","Commercial",$C667))),Variables!$B$1:$D$1,0),1))*L667/16.67)),""))</f>
        <v/>
      </c>
    </row>
    <row r="668" spans="1:63">
      <c r="A668" s="13" t="s">
        <v>103</v>
      </c>
      <c r="B668" s="13" t="s">
        <v>104</v>
      </c>
      <c r="C668" s="13" t="s">
        <v>105</v>
      </c>
      <c r="D668" s="31">
        <v>46042</v>
      </c>
      <c r="E668" s="31">
        <v>46082</v>
      </c>
      <c r="F668" s="31">
        <v>46112</v>
      </c>
      <c r="G668" s="13">
        <v>3787113</v>
      </c>
      <c r="H668" s="13">
        <v>4554166894</v>
      </c>
      <c r="J668" s="13" t="s">
        <v>230</v>
      </c>
      <c r="K668" s="13">
        <v>5409</v>
      </c>
      <c r="L668" s="13">
        <v>1800</v>
      </c>
      <c r="M668" s="13">
        <v>5</v>
      </c>
      <c r="N668" s="13" t="s">
        <v>1789</v>
      </c>
      <c r="O668" s="13" t="s">
        <v>775</v>
      </c>
      <c r="P668" s="13">
        <v>10030</v>
      </c>
      <c r="R668" s="13" t="s">
        <v>122</v>
      </c>
      <c r="S668" s="13" t="s">
        <v>154</v>
      </c>
      <c r="T668" s="13" t="s">
        <v>155</v>
      </c>
      <c r="U668" s="13" t="s">
        <v>125</v>
      </c>
      <c r="V668" s="13">
        <v>73</v>
      </c>
      <c r="W668" s="44">
        <f>IF($AX668="Cancelled","",IFERROR(((V668+INDEX(Variables!$B$6:$D$6,IFERROR(MATCH(IF($B668="Robusta","Robusta",(IF($B668="","Arabica",$B668))&amp;" - "&amp;(IF($C668="","Commercial",$C668))),Variables!$B$1:$D$1,0),1)))*22.0462)*(L668/16.67),""))</f>
        <v>866030.81031793624</v>
      </c>
      <c r="X668" s="55" t="s">
        <v>37</v>
      </c>
      <c r="Y668" s="13" t="str">
        <f>IF($AX668="Cancelled","",IF(X668="","",IFERROR(IF(INDEX(Variables!$B$38:$B$47,MATCH(X668,Variables!$A$38:$A$47,0))="Yes","Yes","No"),"No")))</f>
        <v>Yes</v>
      </c>
      <c r="Z668" s="58">
        <v>46051</v>
      </c>
      <c r="AC668" s="13" t="str">
        <f t="shared" si="31"/>
        <v/>
      </c>
      <c r="AF668" s="71">
        <v>46076</v>
      </c>
      <c r="AG668" s="37">
        <f>IF($AX668="Cancelled","",IFERROR(IF(F668="","",F668-Variables!$B$13),""))</f>
        <v>46097</v>
      </c>
      <c r="AH668" s="13" t="str">
        <f>IF($AX668="Cancelled","",IFERROR(IF(AB668="","",(AVERAGE(E668:F668)-AB668)-Variables!$B$14),""))</f>
        <v/>
      </c>
      <c r="AJ668" s="47">
        <v>46079</v>
      </c>
      <c r="AK668" s="14">
        <f>IF($AX668="Cancelled","",IFERROR(IF(AJ668="","",IF(AND(AB668="",AF668=""),"",IF(AF668&gt;AB668,AF668+Variables!$B$15+Variables!$B$16+Variables!$B$17-AJ668,AB668+Variables!$B$16+Variables!$B$17-AJ668))),""))</f>
        <v>12</v>
      </c>
      <c r="AL668" s="48" t="s">
        <v>114</v>
      </c>
      <c r="AM668" s="13" t="s">
        <v>1526</v>
      </c>
      <c r="AN668" s="13" t="s">
        <v>1828</v>
      </c>
      <c r="AP668" s="31">
        <v>46093</v>
      </c>
      <c r="AR668" s="13" t="s">
        <v>1829</v>
      </c>
      <c r="AS668" s="31">
        <v>46093</v>
      </c>
      <c r="AU668" s="31">
        <v>46100</v>
      </c>
      <c r="AV668" s="13" t="s">
        <v>865</v>
      </c>
      <c r="AW668" s="31">
        <v>46107</v>
      </c>
      <c r="AX668" s="13" t="str">
        <f>IF(ISNUMBER(SEARCH("cancel",#REF!)),"Cancelled",IF(AND(AS668&lt;&gt;"",AU668&lt;&gt;"",AW668&lt;&gt;""),"Closed","Open"))</f>
        <v>Closed</v>
      </c>
      <c r="AY668" s="15" t="str">
        <f t="shared" si="30"/>
        <v>All dates received</v>
      </c>
      <c r="BD668" s="13">
        <f>IF($AX668="Cancelled","",IFERROR(IF(OR(AS668="",AJ668=""),"",(AJ668+Variables!$B$18-AS668)),""))</f>
        <v>1</v>
      </c>
      <c r="BE668" s="13">
        <f>IF($AX668="Cancelled","",IFERROR(IF(OR(AW668="",AS668=""),"",(AS668+Variables!$B$19)-AW668),""))</f>
        <v>-9</v>
      </c>
      <c r="BF668" s="44">
        <f>IF($AX668="Cancelled","",IFERROR(W668*INDEX(Variables!$B$7:$D$7,IFERROR(MATCH(IF($B668="Robusta","Robusta",(IF($B668="","Arabica",$B668))&amp;" - "&amp;(IF($C668="","Commercial",$C668))),Variables!$B$1:$D$1,0),1))*(BE668/365),""))</f>
        <v>-1376.9647869965727</v>
      </c>
      <c r="BG668" s="44" t="str">
        <f>IF($AX668="Cancelled","",IFERROR((W668*INDEX(Variables!$B$7:$D$7,IFERROR(MATCH(IF($B668="Robusta","Robusta",(IF($B668="","Arabica",$B668))&amp;" - "&amp;(IF($C668="","Commercial",$C668))),Variables!$B$1:$D$1,0),1))*IFERROR(IF(AB668="","",(AVERAGE(E668:F668)-AB668)-Variables!$B$14),"")/365)+(L668/16.67*INDEX(Variables!$B$8:$D$8,IFERROR(MATCH(IF($B668="Robusta","Robusta",(IF($B668="","Arabica",$B668))&amp;" - "&amp;(IF($C668="","Commercial",$C668))),Variables!$B$1:$D$1,0),1))*IFERROR(IF(AB668="","",(AVERAGE(E668:F668)-AB668)-Variables!$B$14),""))+(W668*INDEX(Variables!$B$9:$D$9,IFERROR(MATCH(IF($B668="Robusta","Robusta",(IF($B668="","Arabica",$B668))&amp;" - "&amp;(IF($C668="","Commercial",$C668))),Variables!$B$1:$D$1,0),1))*IFERROR(IF(AB668="","",(AVERAGE(E668:F668)-AB668)-Variables!$B$14),"")/365),""))</f>
        <v/>
      </c>
      <c r="BH668" s="44">
        <f>IF($AX668="Cancelled","",IFERROR((W668*INDEX(Variables!$B$7:$D$7,IFERROR(MATCH(IF($B668="Robusta","Robusta",(IF($B668="","Arabica",$B668))&amp;" - "&amp;(IF($C668="","Commercial",$C668))),Variables!$B$1:$D$1,0),1))*AK668/365)+(L668/16.67*INDEX(Variables!$B$8:$D$8,IFERROR(MATCH(IF($B668="Robusta","Robusta",(IF($B668="","Arabica",$B668))&amp;" - "&amp;(IF($C668="","Commercial",$C668))),Variables!$B$1:$D$1,0),1))*AK668)+(W668*INDEX(Variables!$B$9:$D$9,IFERROR(MATCH(IF($B668="Robusta","Robusta",(IF($B668="","Arabica",$B668))&amp;" - "&amp;(IF($C668="","Commercial",$C668))),Variables!$B$1:$D$1,0),1))*AK668/365),""))</f>
        <v>2939.622027277826</v>
      </c>
      <c r="BI668" s="44">
        <f>IF($AX668="Cancelled","",IFERROR((W668*INDEX(Variables!$B$7:$D$7,IFERROR(MATCH(IF($B668="Robusta","Robusta",(IF($B668="","Arabica",$B668))&amp;" - "&amp;(IF($C668="","Commercial",$C668))),Variables!$B$1:$D$1,0),1))*BD668/365)+(L668/16.67*INDEX(Variables!$B$8:$D$8,IFERROR(MATCH(IF($B668="Robusta","Robusta",(IF($B668="","Arabica",$B668))&amp;" - "&amp;(IF($C668="","Commercial",$C668))),Variables!$B$1:$D$1,0),1))*BD668)+(W668*INDEX(Variables!$B$9:$D$9,IFERROR(MATCH(IF($B668="Robusta","Robusta",(IF($B668="","Arabica",$B668))&amp;" - "&amp;(IF($C668="","Commercial",$C668))),Variables!$B$1:$D$1,0),1))*BD668/365),""))</f>
        <v>244.96850227315215</v>
      </c>
      <c r="BJ668" s="44">
        <f t="shared" si="32"/>
        <v>19</v>
      </c>
      <c r="BK668" s="44">
        <f>IF($AX668="Cancelled","",IFERROR(IF(BJ668="","",(W668*INDEX(Variables!$B$7:$D$7,IFERROR(MATCH(IF($B668="Robusta","Robusta",(IF($B668="","Arabica",$B668))&amp;" - "&amp;(IF($C668="","Commercial",$C668))),Variables!$B$1:$D$1,0),1))*(BJ668/365))+(W668*INDEX(Variables!$B$9:$D$9,IFERROR(MATCH(IF($B668="Robusta","Robusta",(IF($B668="","Arabica",$B668))&amp;" - "&amp;(IF($C668="","Commercial",$C668))),Variables!$B$1:$D$1,0),1))*(BJ668/365))+(INDEX(Variables!$B$8:$D$8,IFERROR(MATCH(IF($B668="Robusta","Robusta",(IF($B668="","Arabica",$B668))&amp;" - "&amp;(IF($C668="","Commercial",$C668))),Variables!$B$1:$D$1,0),1))*L668/16.67)),""))</f>
        <v>3034.4015431898906</v>
      </c>
    </row>
    <row r="669" spans="1:63">
      <c r="A669" s="13" t="s">
        <v>103</v>
      </c>
      <c r="B669" s="13" t="s">
        <v>104</v>
      </c>
      <c r="C669" s="13" t="s">
        <v>105</v>
      </c>
      <c r="D669" s="31">
        <v>46042</v>
      </c>
      <c r="E669" s="31">
        <v>46054</v>
      </c>
      <c r="F669" s="31">
        <v>46081</v>
      </c>
      <c r="G669" s="13">
        <v>3787114</v>
      </c>
      <c r="H669" s="13" t="s">
        <v>1830</v>
      </c>
      <c r="J669" s="13" t="s">
        <v>1356</v>
      </c>
      <c r="K669" s="13" t="s">
        <v>1830</v>
      </c>
      <c r="L669" s="13">
        <v>80</v>
      </c>
      <c r="M669" s="13">
        <v>0</v>
      </c>
      <c r="N669" s="13" t="s">
        <v>1831</v>
      </c>
      <c r="O669" s="13" t="s">
        <v>607</v>
      </c>
      <c r="P669" s="13">
        <v>10100</v>
      </c>
      <c r="Q669" s="13" t="s">
        <v>121</v>
      </c>
      <c r="R669" s="13" t="s">
        <v>239</v>
      </c>
      <c r="S669" s="13" t="s">
        <v>595</v>
      </c>
      <c r="T669" s="13" t="s">
        <v>596</v>
      </c>
      <c r="U669" s="13" t="s">
        <v>125</v>
      </c>
      <c r="V669" s="13">
        <v>21</v>
      </c>
      <c r="W669" s="44">
        <f>IF($AX669="Cancelled","",IFERROR(((V669+INDEX(Variables!$B$6:$D$6,IFERROR(MATCH(IF($B669="Robusta","Robusta",(IF($B669="","Arabica",$B669))&amp;" - "&amp;(IF($C669="","Commercial",$C669))),Variables!$B$1:$D$1,0),1)))*22.0462)*(L669/16.67),""))</f>
        <v>32988.627042591477</v>
      </c>
      <c r="X669" s="55" t="s">
        <v>37</v>
      </c>
      <c r="Y669" s="13" t="str">
        <f>IF($AX669="Cancelled","",IF(X669="","",IFERROR(IF(INDEX(Variables!$B$38:$B$47,MATCH(X669,Variables!$A$38:$A$47,0))="Yes","Yes","No"),"No")))</f>
        <v>Yes</v>
      </c>
      <c r="Z669" s="58">
        <v>46051</v>
      </c>
      <c r="AB669" s="31">
        <v>46055</v>
      </c>
      <c r="AC669" s="13" t="str">
        <f t="shared" si="31"/>
        <v>Approved</v>
      </c>
      <c r="AF669" s="71">
        <v>46098</v>
      </c>
      <c r="AG669" s="37">
        <f>IF($AX669="Cancelled","",IFERROR(IF(F669="","",F669-Variables!$B$13),""))</f>
        <v>46066</v>
      </c>
      <c r="AH669" s="13">
        <f>IF($AX669="Cancelled","",IFERROR(IF(AB669="","",(AVERAGE(E669:F669)-AB669)-Variables!$B$14),""))</f>
        <v>-17.5</v>
      </c>
      <c r="AJ669" s="47">
        <v>46105</v>
      </c>
      <c r="AK669" s="14">
        <f>IF($AX669="Cancelled","",IFERROR(IF(AJ669="","",IF(AND(AB669="",AF669=""),"",IF(AF669&gt;AB669,AF669+Variables!$B$15+Variables!$B$16+Variables!$B$17-AJ669,AB669+Variables!$B$16+Variables!$B$17-AJ669))),""))</f>
        <v>8</v>
      </c>
      <c r="AL669" s="48" t="s">
        <v>114</v>
      </c>
      <c r="AM669" s="13" t="s">
        <v>1526</v>
      </c>
      <c r="AN669" s="13" t="s">
        <v>1832</v>
      </c>
      <c r="AP669" s="31">
        <v>46117</v>
      </c>
      <c r="AR669" s="13" t="s">
        <v>1833</v>
      </c>
      <c r="AS669" s="31">
        <v>46117</v>
      </c>
      <c r="AU669" s="31">
        <v>46128</v>
      </c>
      <c r="AV669" s="13" t="s">
        <v>865</v>
      </c>
      <c r="AW669" s="31">
        <v>46142</v>
      </c>
      <c r="AX669" s="13" t="str">
        <f>IF(ISNUMBER(SEARCH("cancel",#REF!)),"Cancelled",IF(AND(AS669&lt;&gt;"",AU669&lt;&gt;"",AW669&lt;&gt;""),"Closed","Open"))</f>
        <v>Closed</v>
      </c>
      <c r="AY669" s="15" t="str">
        <f t="shared" si="30"/>
        <v>All dates received</v>
      </c>
      <c r="BD669" s="13">
        <f>IF($AX669="Cancelled","",IFERROR(IF(OR(AS669="",AJ669=""),"",(AJ669+Variables!$B$18-AS669)),""))</f>
        <v>3</v>
      </c>
      <c r="BE669" s="13">
        <f>IF($AX669="Cancelled","",IFERROR(IF(OR(AW669="",AS669=""),"",(AS669+Variables!$B$19)-AW669),""))</f>
        <v>-20</v>
      </c>
      <c r="BF669" s="44">
        <f>IF($AX669="Cancelled","",IFERROR(W669*INDEX(Variables!$B$7:$D$7,IFERROR(MATCH(IF($B669="Robusta","Robusta",(IF($B669="","Arabica",$B669))&amp;" - "&amp;(IF($C669="","Commercial",$C669))),Variables!$B$1:$D$1,0),1))*(BE669/365),""))</f>
        <v>-116.55776694168725</v>
      </c>
      <c r="BG669" s="44">
        <f>IF($AX669="Cancelled","",IFERROR((W669*INDEX(Variables!$B$7:$D$7,IFERROR(MATCH(IF($B669="Robusta","Robusta",(IF($B669="","Arabica",$B669))&amp;" - "&amp;(IF($C669="","Commercial",$C669))),Variables!$B$1:$D$1,0),1))*IFERROR(IF(AB669="","",(AVERAGE(E669:F669)-AB669)-Variables!$B$14),"")/365)+(L669/16.67*INDEX(Variables!$B$8:$D$8,IFERROR(MATCH(IF($B669="Robusta","Robusta",(IF($B669="","Arabica",$B669))&amp;" - "&amp;(IF($C669="","Commercial",$C669))),Variables!$B$1:$D$1,0),1))*IFERROR(IF(AB669="","",(AVERAGE(E669:F669)-AB669)-Variables!$B$14),""))+(W669*INDEX(Variables!$B$9:$D$9,IFERROR(MATCH(IF($B669="Robusta","Robusta",(IF($B669="","Arabica",$B669))&amp;" - "&amp;(IF($C669="","Commercial",$C669))),Variables!$B$1:$D$1,0),1))*IFERROR(IF(AB669="","",(AVERAGE(E669:F669)-AB669)-Variables!$B$14),"")/365),""))</f>
        <v>-173.30286881112391</v>
      </c>
      <c r="BH669" s="44">
        <f>IF($AX669="Cancelled","",IFERROR((W669*INDEX(Variables!$B$7:$D$7,IFERROR(MATCH(IF($B669="Robusta","Robusta",(IF($B669="","Arabica",$B669))&amp;" - "&amp;(IF($C669="","Commercial",$C669))),Variables!$B$1:$D$1,0),1))*AK669/365)+(L669/16.67*INDEX(Variables!$B$8:$D$8,IFERROR(MATCH(IF($B669="Robusta","Robusta",(IF($B669="","Arabica",$B669))&amp;" - "&amp;(IF($C669="","Commercial",$C669))),Variables!$B$1:$D$1,0),1))*AK669)+(W669*INDEX(Variables!$B$9:$D$9,IFERROR(MATCH(IF($B669="Robusta","Robusta",(IF($B669="","Arabica",$B669))&amp;" - "&amp;(IF($C669="","Commercial",$C669))),Variables!$B$1:$D$1,0),1))*AK669/365),""))</f>
        <v>79.224168599370927</v>
      </c>
      <c r="BI669" s="44">
        <f>IF($AX669="Cancelled","",IFERROR((W669*INDEX(Variables!$B$7:$D$7,IFERROR(MATCH(IF($B669="Robusta","Robusta",(IF($B669="","Arabica",$B669))&amp;" - "&amp;(IF($C669="","Commercial",$C669))),Variables!$B$1:$D$1,0),1))*BD669/365)+(L669/16.67*INDEX(Variables!$B$8:$D$8,IFERROR(MATCH(IF($B669="Robusta","Robusta",(IF($B669="","Arabica",$B669))&amp;" - "&amp;(IF($C669="","Commercial",$C669))),Variables!$B$1:$D$1,0),1))*BD669)+(W669*INDEX(Variables!$B$9:$D$9,IFERROR(MATCH(IF($B669="Robusta","Robusta",(IF($B669="","Arabica",$B669))&amp;" - "&amp;(IF($C669="","Commercial",$C669))),Variables!$B$1:$D$1,0),1))*BD669/365),""))</f>
        <v>29.709063224764098</v>
      </c>
      <c r="BJ669" s="44">
        <f t="shared" si="32"/>
        <v>-36</v>
      </c>
      <c r="BK669" s="44">
        <f>IF($AX669="Cancelled","",IFERROR(IF(BJ669="","",(W669*INDEX(Variables!$B$7:$D$7,IFERROR(MATCH(IF($B669="Robusta","Robusta",(IF($B669="","Arabica",$B669))&amp;" - "&amp;(IF($C669="","Commercial",$C669))),Variables!$B$1:$D$1,0),1))*(BJ669/365))+(W669*INDEX(Variables!$B$9:$D$9,IFERROR(MATCH(IF($B669="Robusta","Robusta",(IF($B669="","Arabica",$B669))&amp;" - "&amp;(IF($C669="","Commercial",$C669))),Variables!$B$1:$D$1,0),1))*(BJ669/365))+(INDEX(Variables!$B$8:$D$8,IFERROR(MATCH(IF($B669="Robusta","Robusta",(IF($B669="","Arabica",$B669))&amp;" - "&amp;(IF($C669="","Commercial",$C669))),Variables!$B$1:$D$1,0),1))*L669/16.67)),""))</f>
        <v>-208.50875869716918</v>
      </c>
    </row>
    <row r="670" spans="1:63">
      <c r="A670" s="13" t="s">
        <v>103</v>
      </c>
      <c r="B670" s="13" t="s">
        <v>104</v>
      </c>
      <c r="C670" s="13" t="s">
        <v>105</v>
      </c>
      <c r="D670" s="31">
        <v>46042</v>
      </c>
      <c r="E670" s="31">
        <v>46054</v>
      </c>
      <c r="F670" s="31">
        <v>46081</v>
      </c>
      <c r="G670" s="13">
        <v>3787115</v>
      </c>
      <c r="H670" s="13" t="s">
        <v>1834</v>
      </c>
      <c r="J670" s="13" t="s">
        <v>1356</v>
      </c>
      <c r="K670" s="13" t="s">
        <v>1834</v>
      </c>
      <c r="L670" s="13">
        <v>100</v>
      </c>
      <c r="M670" s="13">
        <v>1</v>
      </c>
      <c r="N670" s="13" t="s">
        <v>1835</v>
      </c>
      <c r="O670" s="13" t="s">
        <v>607</v>
      </c>
      <c r="P670" s="13">
        <v>10100</v>
      </c>
      <c r="Q670" s="13" t="s">
        <v>121</v>
      </c>
      <c r="R670" s="13" t="s">
        <v>239</v>
      </c>
      <c r="S670" s="13" t="s">
        <v>595</v>
      </c>
      <c r="T670" s="13" t="s">
        <v>596</v>
      </c>
      <c r="U670" s="13" t="s">
        <v>125</v>
      </c>
      <c r="V670" s="13">
        <v>20</v>
      </c>
      <c r="W670" s="44">
        <f>IF($AX670="Cancelled","",IFERROR(((V670+INDEX(Variables!$B$6:$D$6,IFERROR(MATCH(IF($B670="Robusta","Robusta",(IF($B670="","Arabica",$B670))&amp;" - "&amp;(IF($C670="","Commercial",$C670))),Variables!$B$1:$D$1,0),1)))*22.0462)*(L670/16.67),""))</f>
        <v>41103.533053389314</v>
      </c>
      <c r="X670" s="55" t="s">
        <v>37</v>
      </c>
      <c r="Y670" s="13" t="str">
        <f>IF($AX670="Cancelled","",IF(X670="","",IFERROR(IF(INDEX(Variables!$B$38:$B$47,MATCH(X670,Variables!$A$38:$A$47,0))="Yes","Yes","No"),"No")))</f>
        <v>Yes</v>
      </c>
      <c r="Z670" s="58">
        <v>46058</v>
      </c>
      <c r="AB670" s="31">
        <v>46064</v>
      </c>
      <c r="AC670" s="13" t="str">
        <f t="shared" si="31"/>
        <v>Approved</v>
      </c>
      <c r="AF670" s="71">
        <v>46097</v>
      </c>
      <c r="AG670" s="35">
        <f>IF($AX670="Cancelled","",IFERROR(IF(F670="","",F670-Variables!$B$13),""))</f>
        <v>46066</v>
      </c>
      <c r="AH670" s="13">
        <f>IF($AX670="Cancelled","",IFERROR(IF(AB670="","",(AVERAGE(E670:F670)-AB670)-Variables!$B$14),""))</f>
        <v>-26.5</v>
      </c>
      <c r="AJ670" s="47">
        <v>46105</v>
      </c>
      <c r="AK670" s="14">
        <f>IF($AX670="Cancelled","",IFERROR(IF(AJ670="","",IF(AND(AB670="",AF670=""),"",IF(AF670&gt;AB670,AF670+Variables!$B$15+Variables!$B$16+Variables!$B$17-AJ670,AB670+Variables!$B$16+Variables!$B$17-AJ670))),""))</f>
        <v>7</v>
      </c>
      <c r="AL670" s="48" t="s">
        <v>114</v>
      </c>
      <c r="AM670" s="13" t="s">
        <v>1526</v>
      </c>
      <c r="AN670" s="13" t="s">
        <v>1832</v>
      </c>
      <c r="AP670" s="31">
        <v>46117</v>
      </c>
      <c r="AR670" s="13" t="s">
        <v>1833</v>
      </c>
      <c r="AS670" s="31">
        <v>46117</v>
      </c>
      <c r="AU670" s="31">
        <v>46128</v>
      </c>
      <c r="AV670" s="13" t="s">
        <v>865</v>
      </c>
      <c r="AW670" s="31">
        <v>46142</v>
      </c>
      <c r="AX670" s="13" t="str">
        <f>IF(ISNUMBER(SEARCH("cancel",#REF!)),"Cancelled",IF(AND(AS670&lt;&gt;"",AU670&lt;&gt;"",AW670&lt;&gt;""),"Closed","Open"))</f>
        <v>Closed</v>
      </c>
      <c r="AY670" s="15" t="str">
        <f t="shared" si="30"/>
        <v>All dates received</v>
      </c>
      <c r="BD670" s="13">
        <f>IF($AX670="Cancelled","",IFERROR(IF(OR(AS670="",AJ670=""),"",(AJ670+Variables!$B$18-AS670)),""))</f>
        <v>3</v>
      </c>
      <c r="BE670" s="13">
        <f>IF($AX670="Cancelled","",IFERROR(IF(OR(AW670="",AS670=""),"",(AS670+Variables!$B$19)-AW670),""))</f>
        <v>-20</v>
      </c>
      <c r="BF670" s="44">
        <f>IF($AX670="Cancelled","",IFERROR(W670*INDEX(Variables!$B$7:$D$7,IFERROR(MATCH(IF($B670="Robusta","Robusta",(IF($B670="","Arabica",$B670))&amp;" - "&amp;(IF($C670="","Commercial",$C670))),Variables!$B$1:$D$1,0),1))*(BE670/365),""))</f>
        <v>-145.22993090713757</v>
      </c>
      <c r="BG670" s="44">
        <f>IF($AX670="Cancelled","",IFERROR((W670*INDEX(Variables!$B$7:$D$7,IFERROR(MATCH(IF($B670="Robusta","Robusta",(IF($B670="","Arabica",$B670))&amp;" - "&amp;(IF($C670="","Commercial",$C670))),Variables!$B$1:$D$1,0),1))*IFERROR(IF(AB670="","",(AVERAGE(E670:F670)-AB670)-Variables!$B$14),"")/365)+(L670/16.67*INDEX(Variables!$B$8:$D$8,IFERROR(MATCH(IF($B670="Robusta","Robusta",(IF($B670="","Arabica",$B670))&amp;" - "&amp;(IF($C670="","Commercial",$C670))),Variables!$B$1:$D$1,0),1))*IFERROR(IF(AB670="","",(AVERAGE(E670:F670)-AB670)-Variables!$B$14),""))+(W670*INDEX(Variables!$B$9:$D$9,IFERROR(MATCH(IF($B670="Robusta","Robusta",(IF($B670="","Arabica",$B670))&amp;" - "&amp;(IF($C670="","Commercial",$C670))),Variables!$B$1:$D$1,0),1))*IFERROR(IF(AB670="","",(AVERAGE(E670:F670)-AB670)-Variables!$B$14),"")/365),""))</f>
        <v>-327.41044811284218</v>
      </c>
      <c r="BH670" s="44">
        <f>IF($AX670="Cancelled","",IFERROR((W670*INDEX(Variables!$B$7:$D$7,IFERROR(MATCH(IF($B670="Robusta","Robusta",(IF($B670="","Arabica",$B670))&amp;" - "&amp;(IF($C670="","Commercial",$C670))),Variables!$B$1:$D$1,0),1))*AK670/365)+(L670/16.67*INDEX(Variables!$B$8:$D$8,IFERROR(MATCH(IF($B670="Robusta","Robusta",(IF($B670="","Arabica",$B670))&amp;" - "&amp;(IF($C670="","Commercial",$C670))),Variables!$B$1:$D$1,0),1))*AK670)+(W670*INDEX(Variables!$B$9:$D$9,IFERROR(MATCH(IF($B670="Robusta","Robusta",(IF($B670="","Arabica",$B670))&amp;" - "&amp;(IF($C670="","Commercial",$C670))),Variables!$B$1:$D$1,0),1))*AK670/365),""))</f>
        <v>86.485778746788498</v>
      </c>
      <c r="BI670" s="44">
        <f>IF($AX670="Cancelled","",IFERROR((W670*INDEX(Variables!$B$7:$D$7,IFERROR(MATCH(IF($B670="Robusta","Robusta",(IF($B670="","Arabica",$B670))&amp;" - "&amp;(IF($C670="","Commercial",$C670))),Variables!$B$1:$D$1,0),1))*BD670/365)+(L670/16.67*INDEX(Variables!$B$8:$D$8,IFERROR(MATCH(IF($B670="Robusta","Robusta",(IF($B670="","Arabica",$B670))&amp;" - "&amp;(IF($C670="","Commercial",$C670))),Variables!$B$1:$D$1,0),1))*BD670)+(W670*INDEX(Variables!$B$9:$D$9,IFERROR(MATCH(IF($B670="Robusta","Robusta",(IF($B670="","Arabica",$B670))&amp;" - "&amp;(IF($C670="","Commercial",$C670))),Variables!$B$1:$D$1,0),1))*BD670/365),""))</f>
        <v>37.065333748623637</v>
      </c>
      <c r="BJ670" s="44">
        <f t="shared" si="32"/>
        <v>-36</v>
      </c>
      <c r="BK670" s="44">
        <f>IF($AX670="Cancelled","",IFERROR(IF(BJ670="","",(W670*INDEX(Variables!$B$7:$D$7,IFERROR(MATCH(IF($B670="Robusta","Robusta",(IF($B670="","Arabica",$B670))&amp;" - "&amp;(IF($C670="","Commercial",$C670))),Variables!$B$1:$D$1,0),1))*(BJ670/365))+(W670*INDEX(Variables!$B$9:$D$9,IFERROR(MATCH(IF($B670="Robusta","Robusta",(IF($B670="","Arabica",$B670))&amp;" - "&amp;(IF($C670="","Commercial",$C670))),Variables!$B$1:$D$1,0),1))*(BJ670/365))+(INDEX(Variables!$B$8:$D$8,IFERROR(MATCH(IF($B670="Robusta","Robusta",(IF($B670="","Arabica",$B670))&amp;" - "&amp;(IF($C670="","Commercial",$C670))),Variables!$B$1:$D$1,0),1))*L670/16.67)),""))</f>
        <v>-259.78400498348373</v>
      </c>
    </row>
    <row r="671" spans="1:63">
      <c r="A671" s="13" t="s">
        <v>103</v>
      </c>
      <c r="B671" s="13" t="s">
        <v>104</v>
      </c>
      <c r="C671" s="13" t="s">
        <v>105</v>
      </c>
      <c r="D671" s="31">
        <v>46042</v>
      </c>
      <c r="E671" s="31">
        <v>46054</v>
      </c>
      <c r="F671" s="31">
        <v>46081</v>
      </c>
      <c r="G671" s="13">
        <v>3787116</v>
      </c>
      <c r="H671" s="13" t="s">
        <v>1836</v>
      </c>
      <c r="J671" s="13" t="s">
        <v>1356</v>
      </c>
      <c r="K671" s="13" t="s">
        <v>1836</v>
      </c>
      <c r="L671" s="13">
        <v>50</v>
      </c>
      <c r="M671" s="13">
        <v>0</v>
      </c>
      <c r="N671" s="13" t="s">
        <v>1837</v>
      </c>
      <c r="O671" s="13" t="s">
        <v>238</v>
      </c>
      <c r="P671" s="13">
        <v>10090</v>
      </c>
      <c r="Q671" s="13" t="s">
        <v>121</v>
      </c>
      <c r="R671" s="13" t="s">
        <v>239</v>
      </c>
      <c r="S671" s="13" t="s">
        <v>595</v>
      </c>
      <c r="T671" s="13" t="s">
        <v>596</v>
      </c>
      <c r="U671" s="13" t="s">
        <v>125</v>
      </c>
      <c r="V671" s="13">
        <v>30</v>
      </c>
      <c r="W671" s="44">
        <f>IF($AX671="Cancelled","",IFERROR(((V671+INDEX(Variables!$B$6:$D$6,IFERROR(MATCH(IF($B671="Robusta","Robusta",(IF($B671="","Arabica",$B671))&amp;" - "&amp;(IF($C671="","Commercial",$C671))),Variables!$B$1:$D$1,0),1)))*22.0462)*(L671/16.67),""))</f>
        <v>21213.020275944808</v>
      </c>
      <c r="X671" s="55" t="s">
        <v>37</v>
      </c>
      <c r="Y671" s="13" t="str">
        <f>IF($AX671="Cancelled","",IF(X671="","",IFERROR(IF(INDEX(Variables!$B$38:$B$47,MATCH(X671,Variables!$A$38:$A$47,0))="Yes","Yes","No"),"No")))</f>
        <v>Yes</v>
      </c>
      <c r="Z671" s="58">
        <v>46058</v>
      </c>
      <c r="AB671" s="31">
        <v>46064</v>
      </c>
      <c r="AC671" s="13" t="str">
        <f t="shared" si="31"/>
        <v>Approved</v>
      </c>
      <c r="AF671" s="71">
        <v>46098</v>
      </c>
      <c r="AG671" s="37">
        <f>IF($AX671="Cancelled","",IFERROR(IF(F671="","",F671-Variables!$B$13),""))</f>
        <v>46066</v>
      </c>
      <c r="AH671" s="13">
        <f>IF($AX671="Cancelled","",IFERROR(IF(AB671="","",(AVERAGE(E671:F671)-AB671)-Variables!$B$14),""))</f>
        <v>-26.5</v>
      </c>
      <c r="AJ671" s="47">
        <v>46105</v>
      </c>
      <c r="AK671" s="14">
        <f>IF($AX671="Cancelled","",IFERROR(IF(AJ671="","",IF(AND(AB671="",AF671=""),"",IF(AF671&gt;AB671,AF671+Variables!$B$15+Variables!$B$16+Variables!$B$17-AJ671,AB671+Variables!$B$16+Variables!$B$17-AJ671))),""))</f>
        <v>8</v>
      </c>
      <c r="AL671" s="48" t="s">
        <v>114</v>
      </c>
      <c r="AM671" s="13" t="s">
        <v>1526</v>
      </c>
      <c r="AN671" s="13" t="s">
        <v>1832</v>
      </c>
      <c r="AP671" s="31">
        <v>46117</v>
      </c>
      <c r="AR671" s="13" t="s">
        <v>1833</v>
      </c>
      <c r="AS671" s="31">
        <v>46117</v>
      </c>
      <c r="AU671" s="31">
        <v>46128</v>
      </c>
      <c r="AV671" s="13" t="s">
        <v>865</v>
      </c>
      <c r="AW671" s="31">
        <v>46142</v>
      </c>
      <c r="AX671" s="13" t="str">
        <f>IF(ISNUMBER(SEARCH("cancel",#REF!)),"Cancelled",IF(AND(AS671&lt;&gt;"",AU671&lt;&gt;"",AW671&lt;&gt;""),"Closed","Open"))</f>
        <v>Closed</v>
      </c>
      <c r="AY671" s="15" t="str">
        <f t="shared" si="30"/>
        <v>All dates received</v>
      </c>
      <c r="BD671" s="13">
        <f>IF($AX671="Cancelled","",IFERROR(IF(OR(AS671="",AJ671=""),"",(AJ671+Variables!$B$18-AS671)),""))</f>
        <v>3</v>
      </c>
      <c r="BE671" s="13">
        <f>IF($AX671="Cancelled","",IFERROR(IF(OR(AW671="",AS671=""),"",(AS671+Variables!$B$19)-AW671),""))</f>
        <v>-20</v>
      </c>
      <c r="BF671" s="44">
        <f>IF($AX671="Cancelled","",IFERROR(W671*INDEX(Variables!$B$7:$D$7,IFERROR(MATCH(IF($B671="Robusta","Robusta",(IF($B671="","Arabica",$B671))&amp;" - "&amp;(IF($C671="","Commercial",$C671))),Variables!$B$1:$D$1,0),1))*(BE671/365),""))</f>
        <v>-74.9513543034262</v>
      </c>
      <c r="BG671" s="44">
        <f>IF($AX671="Cancelled","",IFERROR((W671*INDEX(Variables!$B$7:$D$7,IFERROR(MATCH(IF($B671="Robusta","Robusta",(IF($B671="","Arabica",$B671))&amp;" - "&amp;(IF($C671="","Commercial",$C671))),Variables!$B$1:$D$1,0),1))*IFERROR(IF(AB671="","",(AVERAGE(E671:F671)-AB671)-Variables!$B$14),"")/365)+(L671/16.67*INDEX(Variables!$B$8:$D$8,IFERROR(MATCH(IF($B671="Robusta","Robusta",(IF($B671="","Arabica",$B671))&amp;" - "&amp;(IF($C671="","Commercial",$C671))),Variables!$B$1:$D$1,0),1))*IFERROR(IF(AB671="","",(AVERAGE(E671:F671)-AB671)-Variables!$B$14),""))+(W671*INDEX(Variables!$B$9:$D$9,IFERROR(MATCH(IF($B671="Robusta","Robusta",(IF($B671="","Arabica",$B671))&amp;" - "&amp;(IF($C671="","Commercial",$C671))),Variables!$B$1:$D$1,0),1))*IFERROR(IF(AB671="","",(AVERAGE(E671:F671)-AB671)-Variables!$B$14),"")/365),""))</f>
        <v>-166.84084902606139</v>
      </c>
      <c r="BH671" s="44">
        <f>IF($AX671="Cancelled","",IFERROR((W671*INDEX(Variables!$B$7:$D$7,IFERROR(MATCH(IF($B671="Robusta","Robusta",(IF($B671="","Arabica",$B671))&amp;" - "&amp;(IF($C671="","Commercial",$C671))),Variables!$B$1:$D$1,0),1))*AK671/365)+(L671/16.67*INDEX(Variables!$B$8:$D$8,IFERROR(MATCH(IF($B671="Robusta","Robusta",(IF($B671="","Arabica",$B671))&amp;" - "&amp;(IF($C671="","Commercial",$C671))),Variables!$B$1:$D$1,0),1))*AK671)+(W671*INDEX(Variables!$B$9:$D$9,IFERROR(MATCH(IF($B671="Robusta","Robusta",(IF($B671="","Arabica",$B671))&amp;" - "&amp;(IF($C671="","Commercial",$C671))),Variables!$B$1:$D$1,0),1))*AK671/365),""))</f>
        <v>50.367048762584574</v>
      </c>
      <c r="BI671" s="44">
        <f>IF($AX671="Cancelled","",IFERROR((W671*INDEX(Variables!$B$7:$D$7,IFERROR(MATCH(IF($B671="Robusta","Robusta",(IF($B671="","Arabica",$B671))&amp;" - "&amp;(IF($C671="","Commercial",$C671))),Variables!$B$1:$D$1,0),1))*BD671/365)+(L671/16.67*INDEX(Variables!$B$8:$D$8,IFERROR(MATCH(IF($B671="Robusta","Robusta",(IF($B671="","Arabica",$B671))&amp;" - "&amp;(IF($C671="","Commercial",$C671))),Variables!$B$1:$D$1,0),1))*BD671)+(W671*INDEX(Variables!$B$9:$D$9,IFERROR(MATCH(IF($B671="Robusta","Robusta",(IF($B671="","Arabica",$B671))&amp;" - "&amp;(IF($C671="","Commercial",$C671))),Variables!$B$1:$D$1,0),1))*BD671/365),""))</f>
        <v>18.887643285969215</v>
      </c>
      <c r="BJ671" s="44">
        <f t="shared" si="32"/>
        <v>-36</v>
      </c>
      <c r="BK671" s="44">
        <f>IF($AX671="Cancelled","",IFERROR(IF(BJ671="","",(W671*INDEX(Variables!$B$7:$D$7,IFERROR(MATCH(IF($B671="Robusta","Robusta",(IF($B671="","Arabica",$B671))&amp;" - "&amp;(IF($C671="","Commercial",$C671))),Variables!$B$1:$D$1,0),1))*(BJ671/365))+(W671*INDEX(Variables!$B$9:$D$9,IFERROR(MATCH(IF($B671="Robusta","Robusta",(IF($B671="","Arabica",$B671))&amp;" - "&amp;(IF($C671="","Commercial",$C671))),Variables!$B$1:$D$1,0),1))*(BJ671/365))+(INDEX(Variables!$B$8:$D$8,IFERROR(MATCH(IF($B671="Robusta","Robusta",(IF($B671="","Arabica",$B671))&amp;" - "&amp;(IF($C671="","Commercial",$C671))),Variables!$B$1:$D$1,0),1))*L671/16.67)),""))</f>
        <v>-134.1517194316306</v>
      </c>
    </row>
    <row r="672" spans="1:63">
      <c r="A672" s="13" t="s">
        <v>103</v>
      </c>
      <c r="B672" s="13" t="s">
        <v>104</v>
      </c>
      <c r="C672" s="13" t="s">
        <v>105</v>
      </c>
      <c r="D672" s="31">
        <v>46043</v>
      </c>
      <c r="E672" s="31">
        <v>46082</v>
      </c>
      <c r="F672" s="31">
        <v>46112</v>
      </c>
      <c r="G672" s="13">
        <v>3787117</v>
      </c>
      <c r="H672" s="13" t="s">
        <v>1838</v>
      </c>
      <c r="J672" s="13" t="s">
        <v>236</v>
      </c>
      <c r="K672" s="13" t="s">
        <v>1838</v>
      </c>
      <c r="L672" s="13">
        <v>100</v>
      </c>
      <c r="M672" s="13">
        <v>1</v>
      </c>
      <c r="N672" s="13" t="s">
        <v>1839</v>
      </c>
      <c r="O672" s="13" t="s">
        <v>304</v>
      </c>
      <c r="P672" s="13">
        <v>10010</v>
      </c>
      <c r="R672" s="13" t="s">
        <v>239</v>
      </c>
      <c r="S672" s="13" t="s">
        <v>180</v>
      </c>
      <c r="T672" s="13" t="s">
        <v>253</v>
      </c>
      <c r="U672" s="13" t="s">
        <v>182</v>
      </c>
      <c r="V672" s="13">
        <v>103</v>
      </c>
      <c r="W672" s="44">
        <f>IF($AX672="Cancelled","",IFERROR(((V672+INDEX(Variables!$B$6:$D$6,IFERROR(MATCH(IF($B672="Robusta","Robusta",(IF($B672="","Arabica",$B672))&amp;" - "&amp;(IF($C672="","Commercial",$C672))),Variables!$B$1:$D$1,0),1)))*22.0462)*(L672/16.67),""))</f>
        <v>52080.345290941805</v>
      </c>
      <c r="X672" s="55" t="s">
        <v>37</v>
      </c>
      <c r="Y672" s="13" t="str">
        <f>IF($AX672="Cancelled","",IF(X672="","",IFERROR(IF(INDEX(Variables!$B$38:$B$47,MATCH(X672,Variables!$A$38:$A$47,0))="Yes","Yes","No"),"No")))</f>
        <v>Yes</v>
      </c>
      <c r="Z672" s="58">
        <v>46051</v>
      </c>
      <c r="AB672" s="31">
        <v>46064</v>
      </c>
      <c r="AC672" s="13" t="str">
        <f t="shared" si="31"/>
        <v>Approved</v>
      </c>
      <c r="AF672" s="71">
        <v>46079</v>
      </c>
      <c r="AG672" s="37">
        <f>IF($AX672="Cancelled","",IFERROR(IF(F672="","",F672-Variables!$B$13),""))</f>
        <v>46097</v>
      </c>
      <c r="AH672" s="13">
        <f>IF($AX672="Cancelled","",IFERROR(IF(AB672="","",(AVERAGE(E672:F672)-AB672)-Variables!$B$14),""))</f>
        <v>3</v>
      </c>
      <c r="AJ672" s="47">
        <v>46085</v>
      </c>
      <c r="AK672" s="14">
        <f>IF($AX672="Cancelled","",IFERROR(IF(AJ672="","",IF(AND(AB672="",AF672=""),"",IF(AF672&gt;AB672,AF672+Variables!$B$15+Variables!$B$16+Variables!$B$17-AJ672,AB672+Variables!$B$16+Variables!$B$17-AJ672))),""))</f>
        <v>9</v>
      </c>
      <c r="AL672" s="48" t="s">
        <v>114</v>
      </c>
      <c r="AM672" s="13" t="s">
        <v>1840</v>
      </c>
      <c r="AN672" s="13" t="s">
        <v>1841</v>
      </c>
      <c r="AP672" s="31">
        <v>46103</v>
      </c>
      <c r="AR672" s="13" t="s">
        <v>1842</v>
      </c>
      <c r="AS672" s="31">
        <v>46103</v>
      </c>
      <c r="AU672" s="31">
        <v>46105</v>
      </c>
      <c r="AV672" s="13" t="s">
        <v>865</v>
      </c>
      <c r="AW672" s="31">
        <v>46120</v>
      </c>
      <c r="AX672" s="13" t="str">
        <f>IF(ISNUMBER(SEARCH("cancel",#REF!)),"Cancelled",IF(AND(AS672&lt;&gt;"",AU672&lt;&gt;"",AW672&lt;&gt;""),"Closed","Open"))</f>
        <v>Closed</v>
      </c>
      <c r="AY672" s="15" t="str">
        <f t="shared" si="30"/>
        <v>All dates received</v>
      </c>
      <c r="BD672" s="13">
        <f>IF($AX672="Cancelled","",IFERROR(IF(OR(AS672="",AJ672=""),"",(AJ672+Variables!$B$18-AS672)),""))</f>
        <v>-3</v>
      </c>
      <c r="BE672" s="13">
        <f>IF($AX672="Cancelled","",IFERROR(IF(OR(AW672="",AS672=""),"",(AS672+Variables!$B$19)-AW672),""))</f>
        <v>-12</v>
      </c>
      <c r="BF672" s="44">
        <f>IF($AX672="Cancelled","",IFERROR(W672*INDEX(Variables!$B$7:$D$7,IFERROR(MATCH(IF($B672="Robusta","Robusta",(IF($B672="","Arabica",$B672))&amp;" - "&amp;(IF($C672="","Commercial",$C672))),Variables!$B$1:$D$1,0),1))*(BE672/365),""))</f>
        <v>-110.40839148886249</v>
      </c>
      <c r="BG672" s="44">
        <f>IF($AX672="Cancelled","",IFERROR((W672*INDEX(Variables!$B$7:$D$7,IFERROR(MATCH(IF($B672="Robusta","Robusta",(IF($B672="","Arabica",$B672))&amp;" - "&amp;(IF($C672="","Commercial",$C672))),Variables!$B$1:$D$1,0),1))*IFERROR(IF(AB672="","",(AVERAGE(E672:F672)-AB672)-Variables!$B$14),"")/365)+(L672/16.67*INDEX(Variables!$B$8:$D$8,IFERROR(MATCH(IF($B672="Robusta","Robusta",(IF($B672="","Arabica",$B672))&amp;" - "&amp;(IF($C672="","Commercial",$C672))),Variables!$B$1:$D$1,0),1))*IFERROR(IF(AB672="","",(AVERAGE(E672:F672)-AB672)-Variables!$B$14),""))+(W672*INDEX(Variables!$B$9:$D$9,IFERROR(MATCH(IF($B672="Robusta","Robusta",(IF($B672="","Arabica",$B672))&amp;" - "&amp;(IF($C672="","Commercial",$C672))),Variables!$B$1:$D$1,0),1))*IFERROR(IF(AB672="","",(AVERAGE(E672:F672)-AB672)-Variables!$B$14),"")/365),""))</f>
        <v>42.957942182136392</v>
      </c>
      <c r="BH672" s="44">
        <f>IF($AX672="Cancelled","",IFERROR((W672*INDEX(Variables!$B$7:$D$7,IFERROR(MATCH(IF($B672="Robusta","Robusta",(IF($B672="","Arabica",$B672))&amp;" - "&amp;(IF($C672="","Commercial",$C672))),Variables!$B$1:$D$1,0),1))*AK672/365)+(L672/16.67*INDEX(Variables!$B$8:$D$8,IFERROR(MATCH(IF($B672="Robusta","Robusta",(IF($B672="","Arabica",$B672))&amp;" - "&amp;(IF($C672="","Commercial",$C672))),Variables!$B$1:$D$1,0),1))*AK672)+(W672*INDEX(Variables!$B$9:$D$9,IFERROR(MATCH(IF($B672="Robusta","Robusta",(IF($B672="","Arabica",$B672))&amp;" - "&amp;(IF($C672="","Commercial",$C672))),Variables!$B$1:$D$1,0),1))*AK672/365),""))</f>
        <v>128.87382654640919</v>
      </c>
      <c r="BI672" s="44">
        <f>IF($AX672="Cancelled","",IFERROR((W672*INDEX(Variables!$B$7:$D$7,IFERROR(MATCH(IF($B672="Robusta","Robusta",(IF($B672="","Arabica",$B672))&amp;" - "&amp;(IF($C672="","Commercial",$C672))),Variables!$B$1:$D$1,0),1))*BD672/365)+(L672/16.67*INDEX(Variables!$B$8:$D$8,IFERROR(MATCH(IF($B672="Robusta","Robusta",(IF($B672="","Arabica",$B672))&amp;" - "&amp;(IF($C672="","Commercial",$C672))),Variables!$B$1:$D$1,0),1))*BD672)+(W672*INDEX(Variables!$B$9:$D$9,IFERROR(MATCH(IF($B672="Robusta","Robusta",(IF($B672="","Arabica",$B672))&amp;" - "&amp;(IF($C672="","Commercial",$C672))),Variables!$B$1:$D$1,0),1))*BD672/365),""))</f>
        <v>-42.957942182136392</v>
      </c>
      <c r="BJ672" s="44">
        <f t="shared" si="32"/>
        <v>9</v>
      </c>
      <c r="BK672" s="44">
        <f>IF($AX672="Cancelled","",IFERROR(IF(BJ672="","",(W672*INDEX(Variables!$B$7:$D$7,IFERROR(MATCH(IF($B672="Robusta","Robusta",(IF($B672="","Arabica",$B672))&amp;" - "&amp;(IF($C672="","Commercial",$C672))),Variables!$B$1:$D$1,0),1))*(BJ672/365))+(W672*INDEX(Variables!$B$9:$D$9,IFERROR(MATCH(IF($B672="Robusta","Robusta",(IF($B672="","Arabica",$B672))&amp;" - "&amp;(IF($C672="","Commercial",$C672))),Variables!$B$1:$D$1,0),1))*(BJ672/365))+(INDEX(Variables!$B$8:$D$8,IFERROR(MATCH(IF($B672="Robusta","Robusta",(IF($B672="","Arabica",$B672))&amp;" - "&amp;(IF($C672="","Commercial",$C672))),Variables!$B$1:$D$1,0),1))*L672/16.67)),""))</f>
        <v>88.873826546409177</v>
      </c>
    </row>
    <row r="673" spans="1:63">
      <c r="A673" s="13" t="s">
        <v>103</v>
      </c>
      <c r="B673" s="13" t="s">
        <v>104</v>
      </c>
      <c r="C673" s="13" t="s">
        <v>105</v>
      </c>
      <c r="D673" s="31">
        <v>46043</v>
      </c>
      <c r="E673" s="31">
        <v>46082</v>
      </c>
      <c r="F673" s="31">
        <v>46112</v>
      </c>
      <c r="G673" s="13">
        <v>3787118</v>
      </c>
      <c r="H673" s="13" t="s">
        <v>1843</v>
      </c>
      <c r="J673" s="13" t="s">
        <v>236</v>
      </c>
      <c r="K673" s="13" t="s">
        <v>1843</v>
      </c>
      <c r="L673" s="13">
        <v>120</v>
      </c>
      <c r="M673" s="13">
        <v>0</v>
      </c>
      <c r="N673" s="13" t="s">
        <v>1844</v>
      </c>
      <c r="O673" s="13" t="s">
        <v>261</v>
      </c>
      <c r="P673" s="13">
        <v>10060</v>
      </c>
      <c r="R673" s="13" t="s">
        <v>239</v>
      </c>
      <c r="S673" s="13" t="s">
        <v>180</v>
      </c>
      <c r="T673" s="13" t="s">
        <v>253</v>
      </c>
      <c r="U673" s="13" t="s">
        <v>182</v>
      </c>
      <c r="V673" s="13">
        <v>38</v>
      </c>
      <c r="W673" s="44">
        <f>IF($AX673="Cancelled","",IFERROR(((V673+INDEX(Variables!$B$6:$D$6,IFERROR(MATCH(IF($B673="Robusta","Robusta",(IF($B673="","Arabica",$B673))&amp;" - "&amp;(IF($C673="","Commercial",$C673))),Variables!$B$1:$D$1,0),1)))*22.0462)*(L673/16.67),""))</f>
        <v>52180.855860827825</v>
      </c>
      <c r="X673" s="55" t="s">
        <v>37</v>
      </c>
      <c r="Y673" s="13" t="str">
        <f>IF($AX673="Cancelled","",IF(X673="","",IFERROR(IF(INDEX(Variables!$B$38:$B$47,MATCH(X673,Variables!$A$38:$A$47,0))="Yes","Yes","No"),"No")))</f>
        <v>Yes</v>
      </c>
      <c r="Z673" s="58">
        <v>46051</v>
      </c>
      <c r="AB673" s="31">
        <v>46064</v>
      </c>
      <c r="AC673" s="13" t="str">
        <f t="shared" si="31"/>
        <v>Approved</v>
      </c>
      <c r="AF673" s="71">
        <v>46077</v>
      </c>
      <c r="AG673" s="37">
        <f>IF($AX673="Cancelled","",IFERROR(IF(F673="","",F673-Variables!$B$13),""))</f>
        <v>46097</v>
      </c>
      <c r="AH673" s="13">
        <f>IF($AX673="Cancelled","",IFERROR(IF(AB673="","",(AVERAGE(E673:F673)-AB673)-Variables!$B$14),""))</f>
        <v>3</v>
      </c>
      <c r="AJ673" s="47">
        <v>46085</v>
      </c>
      <c r="AK673" s="14">
        <f>IF($AX673="Cancelled","",IFERROR(IF(AJ673="","",IF(AND(AB673="",AF673=""),"",IF(AF673&gt;AB673,AF673+Variables!$B$15+Variables!$B$16+Variables!$B$17-AJ673,AB673+Variables!$B$16+Variables!$B$17-AJ673))),""))</f>
        <v>7</v>
      </c>
      <c r="AL673" s="48" t="s">
        <v>114</v>
      </c>
      <c r="AM673" s="13" t="s">
        <v>1840</v>
      </c>
      <c r="AN673" s="13" t="s">
        <v>1841</v>
      </c>
      <c r="AP673" s="31">
        <v>46103</v>
      </c>
      <c r="AR673" s="13" t="s">
        <v>1842</v>
      </c>
      <c r="AS673" s="31">
        <v>46103</v>
      </c>
      <c r="AU673" s="31">
        <v>46105</v>
      </c>
      <c r="AV673" s="13" t="s">
        <v>865</v>
      </c>
      <c r="AW673" s="31">
        <v>46120</v>
      </c>
      <c r="AX673" s="13" t="str">
        <f>IF(ISNUMBER(SEARCH("cancel",#REF!)),"Cancelled",IF(AND(AS673&lt;&gt;"",AU673&lt;&gt;"",AW673&lt;&gt;""),"Closed","Open"))</f>
        <v>Closed</v>
      </c>
      <c r="AY673" s="15" t="str">
        <f t="shared" si="30"/>
        <v>All dates received</v>
      </c>
      <c r="BD673" s="13">
        <f>IF($AX673="Cancelled","",IFERROR(IF(OR(AS673="",AJ673=""),"",(AJ673+Variables!$B$18-AS673)),""))</f>
        <v>-3</v>
      </c>
      <c r="BE673" s="13">
        <f>IF($AX673="Cancelled","",IFERROR(IF(OR(AW673="",AS673=""),"",(AS673+Variables!$B$19)-AW673),""))</f>
        <v>-12</v>
      </c>
      <c r="BF673" s="44">
        <f>IF($AX673="Cancelled","",IFERROR(W673*INDEX(Variables!$B$7:$D$7,IFERROR(MATCH(IF($B673="Robusta","Robusta",(IF($B673="","Arabica",$B673))&amp;" - "&amp;(IF($C673="","Commercial",$C673))),Variables!$B$1:$D$1,0),1))*(BE673/365),""))</f>
        <v>-110.62147015196948</v>
      </c>
      <c r="BG673" s="44">
        <f>IF($AX673="Cancelled","",IFERROR((W673*INDEX(Variables!$B$7:$D$7,IFERROR(MATCH(IF($B673="Robusta","Robusta",(IF($B673="","Arabica",$B673))&amp;" - "&amp;(IF($C673="","Commercial",$C673))),Variables!$B$1:$D$1,0),1))*IFERROR(IF(AB673="","",(AVERAGE(E673:F673)-AB673)-Variables!$B$14),"")/365)+(L673/16.67*INDEX(Variables!$B$8:$D$8,IFERROR(MATCH(IF($B673="Robusta","Robusta",(IF($B673="","Arabica",$B673))&amp;" - "&amp;(IF($C673="","Commercial",$C673))),Variables!$B$1:$D$1,0),1))*IFERROR(IF(AB673="","",(AVERAGE(E673:F673)-AB673)-Variables!$B$14),""))+(W673*INDEX(Variables!$B$9:$D$9,IFERROR(MATCH(IF($B673="Robusta","Robusta",(IF($B673="","Arabica",$B673))&amp;" - "&amp;(IF($C673="","Commercial",$C673))),Variables!$B$1:$D$1,0),1))*IFERROR(IF(AB673="","",(AVERAGE(E673:F673)-AB673)-Variables!$B$14),"")/365),""))</f>
        <v>46.01189859670832</v>
      </c>
      <c r="BH673" s="44">
        <f>IF($AX673="Cancelled","",IFERROR((W673*INDEX(Variables!$B$7:$D$7,IFERROR(MATCH(IF($B673="Robusta","Robusta",(IF($B673="","Arabica",$B673))&amp;" - "&amp;(IF($C673="","Commercial",$C673))),Variables!$B$1:$D$1,0),1))*AK673/365)+(L673/16.67*INDEX(Variables!$B$8:$D$8,IFERROR(MATCH(IF($B673="Robusta","Robusta",(IF($B673="","Arabica",$B673))&amp;" - "&amp;(IF($C673="","Commercial",$C673))),Variables!$B$1:$D$1,0),1))*AK673)+(W673*INDEX(Variables!$B$9:$D$9,IFERROR(MATCH(IF($B673="Robusta","Robusta",(IF($B673="","Arabica",$B673))&amp;" - "&amp;(IF($C673="","Commercial",$C673))),Variables!$B$1:$D$1,0),1))*AK673/365),""))</f>
        <v>107.36109672565273</v>
      </c>
      <c r="BI673" s="44">
        <f>IF($AX673="Cancelled","",IFERROR((W673*INDEX(Variables!$B$7:$D$7,IFERROR(MATCH(IF($B673="Robusta","Robusta",(IF($B673="","Arabica",$B673))&amp;" - "&amp;(IF($C673="","Commercial",$C673))),Variables!$B$1:$D$1,0),1))*BD673/365)+(L673/16.67*INDEX(Variables!$B$8:$D$8,IFERROR(MATCH(IF($B673="Robusta","Robusta",(IF($B673="","Arabica",$B673))&amp;" - "&amp;(IF($C673="","Commercial",$C673))),Variables!$B$1:$D$1,0),1))*BD673)+(W673*INDEX(Variables!$B$9:$D$9,IFERROR(MATCH(IF($B673="Robusta","Robusta",(IF($B673="","Arabica",$B673))&amp;" - "&amp;(IF($C673="","Commercial",$C673))),Variables!$B$1:$D$1,0),1))*BD673/365),""))</f>
        <v>-46.01189859670832</v>
      </c>
      <c r="BJ673" s="44">
        <f t="shared" si="32"/>
        <v>9</v>
      </c>
      <c r="BK673" s="44">
        <f>IF($AX673="Cancelled","",IFERROR(IF(BJ673="","",(W673*INDEX(Variables!$B$7:$D$7,IFERROR(MATCH(IF($B673="Robusta","Robusta",(IF($B673="","Arabica",$B673))&amp;" - "&amp;(IF($C673="","Commercial",$C673))),Variables!$B$1:$D$1,0),1))*(BJ673/365))+(W673*INDEX(Variables!$B$9:$D$9,IFERROR(MATCH(IF($B673="Robusta","Robusta",(IF($B673="","Arabica",$B673))&amp;" - "&amp;(IF($C673="","Commercial",$C673))),Variables!$B$1:$D$1,0),1))*(BJ673/365))+(INDEX(Variables!$B$8:$D$8,IFERROR(MATCH(IF($B673="Robusta","Robusta",(IF($B673="","Arabica",$B673))&amp;" - "&amp;(IF($C673="","Commercial",$C673))),Variables!$B$1:$D$1,0),1))*L673/16.67)),""))</f>
        <v>90.035695790124933</v>
      </c>
    </row>
    <row r="674" spans="1:63">
      <c r="A674" s="13" t="s">
        <v>103</v>
      </c>
      <c r="B674" s="13" t="s">
        <v>104</v>
      </c>
      <c r="C674" s="13" t="s">
        <v>105</v>
      </c>
      <c r="D674" s="31">
        <v>46043</v>
      </c>
      <c r="E674" s="31">
        <v>46082</v>
      </c>
      <c r="F674" s="31">
        <v>46112</v>
      </c>
      <c r="G674" s="13">
        <v>3787119</v>
      </c>
      <c r="H674" s="13" t="s">
        <v>1845</v>
      </c>
      <c r="J674" s="13" t="s">
        <v>236</v>
      </c>
      <c r="K674" s="13" t="s">
        <v>1845</v>
      </c>
      <c r="L674" s="13">
        <v>100</v>
      </c>
      <c r="M674" s="13">
        <v>0</v>
      </c>
      <c r="N674" s="13" t="s">
        <v>1846</v>
      </c>
      <c r="O674" s="13" t="s">
        <v>120</v>
      </c>
      <c r="P674" s="13">
        <v>10070</v>
      </c>
      <c r="R674" s="13" t="s">
        <v>239</v>
      </c>
      <c r="S674" s="13" t="s">
        <v>180</v>
      </c>
      <c r="T674" s="13" t="s">
        <v>253</v>
      </c>
      <c r="U674" s="13" t="s">
        <v>182</v>
      </c>
      <c r="V674" s="13">
        <v>25</v>
      </c>
      <c r="W674" s="44">
        <f>IF($AX674="Cancelled","",IFERROR(((V674+INDEX(Variables!$B$6:$D$6,IFERROR(MATCH(IF($B674="Robusta","Robusta",(IF($B674="","Arabica",$B674))&amp;" - "&amp;(IF($C674="","Commercial",$C674))),Variables!$B$1:$D$1,0),1)))*22.0462)*(L674/16.67),""))</f>
        <v>41764.786802639464</v>
      </c>
      <c r="X674" s="55" t="s">
        <v>37</v>
      </c>
      <c r="Y674" s="13" t="str">
        <f>IF($AX674="Cancelled","",IF(X674="","",IFERROR(IF(INDEX(Variables!$B$38:$B$47,MATCH(X674,Variables!$A$38:$A$47,0))="Yes","Yes","No"),"No")))</f>
        <v>Yes</v>
      </c>
      <c r="Z674" s="58">
        <v>46051</v>
      </c>
      <c r="AB674" s="31">
        <v>46064</v>
      </c>
      <c r="AC674" s="13" t="str">
        <f t="shared" si="31"/>
        <v>Approved</v>
      </c>
      <c r="AF674" s="71">
        <v>46079</v>
      </c>
      <c r="AG674" s="37">
        <f>IF($AX674="Cancelled","",IFERROR(IF(F674="","",F674-Variables!$B$13),""))</f>
        <v>46097</v>
      </c>
      <c r="AH674" s="13">
        <f>IF($AX674="Cancelled","",IFERROR(IF(AB674="","",(AVERAGE(E674:F674)-AB674)-Variables!$B$14),""))</f>
        <v>3</v>
      </c>
      <c r="AJ674" s="47">
        <v>46085</v>
      </c>
      <c r="AK674" s="14">
        <f>IF($AX674="Cancelled","",IFERROR(IF(AJ674="","",IF(AND(AB674="",AF674=""),"",IF(AF674&gt;AB674,AF674+Variables!$B$15+Variables!$B$16+Variables!$B$17-AJ674,AB674+Variables!$B$16+Variables!$B$17-AJ674))),""))</f>
        <v>9</v>
      </c>
      <c r="AL674" s="48" t="s">
        <v>114</v>
      </c>
      <c r="AM674" s="13" t="s">
        <v>1840</v>
      </c>
      <c r="AN674" s="13" t="s">
        <v>1841</v>
      </c>
      <c r="AP674" s="31">
        <v>46103</v>
      </c>
      <c r="AR674" s="13" t="s">
        <v>1842</v>
      </c>
      <c r="AS674" s="31">
        <v>46103</v>
      </c>
      <c r="AU674" s="31">
        <v>46105</v>
      </c>
      <c r="AV674" s="13" t="s">
        <v>865</v>
      </c>
      <c r="AW674" s="31">
        <v>46120</v>
      </c>
      <c r="AX674" s="13" t="str">
        <f>IF(ISNUMBER(SEARCH("cancel",#REF!)),"Cancelled",IF(AND(AS674&lt;&gt;"",AU674&lt;&gt;"",AW674&lt;&gt;""),"Closed","Open"))</f>
        <v>Closed</v>
      </c>
      <c r="AY674" s="15" t="str">
        <f t="shared" si="30"/>
        <v>All dates received</v>
      </c>
      <c r="BD674" s="13">
        <f>IF($AX674="Cancelled","",IFERROR(IF(OR(AS674="",AJ674=""),"",(AJ674+Variables!$B$18-AS674)),""))</f>
        <v>-3</v>
      </c>
      <c r="BE674" s="13">
        <f>IF($AX674="Cancelled","",IFERROR(IF(OR(AW674="",AS674=""),"",(AS674+Variables!$B$19)-AW674),""))</f>
        <v>-12</v>
      </c>
      <c r="BF674" s="44">
        <f>IF($AX674="Cancelled","",IFERROR(W674*INDEX(Variables!$B$7:$D$7,IFERROR(MATCH(IF($B674="Robusta","Robusta",(IF($B674="","Arabica",$B674))&amp;" - "&amp;(IF($C674="","Commercial",$C674))),Variables!$B$1:$D$1,0),1))*(BE674/365),""))</f>
        <v>-88.539791854196977</v>
      </c>
      <c r="BG674" s="44">
        <f>IF($AX674="Cancelled","",IFERROR((W674*INDEX(Variables!$B$7:$D$7,IFERROR(MATCH(IF($B674="Robusta","Robusta",(IF($B674="","Arabica",$B674))&amp;" - "&amp;(IF($C674="","Commercial",$C674))),Variables!$B$1:$D$1,0),1))*IFERROR(IF(AB674="","",(AVERAGE(E674:F674)-AB674)-Variables!$B$14),"")/365)+(L674/16.67*INDEX(Variables!$B$8:$D$8,IFERROR(MATCH(IF($B674="Robusta","Robusta",(IF($B674="","Arabica",$B674))&amp;" - "&amp;(IF($C674="","Commercial",$C674))),Variables!$B$1:$D$1,0),1))*IFERROR(IF(AB674="","",(AVERAGE(E674:F674)-AB674)-Variables!$B$14),""))+(W674*INDEX(Variables!$B$9:$D$9,IFERROR(MATCH(IF($B674="Robusta","Robusta",(IF($B674="","Arabica",$B674))&amp;" - "&amp;(IF($C674="","Commercial",$C674))),Variables!$B$1:$D$1,0),1))*IFERROR(IF(AB674="","",(AVERAGE(E674:F674)-AB674)-Variables!$B$14),"")/365),""))</f>
        <v>37.420310160281041</v>
      </c>
      <c r="BH674" s="44">
        <f>IF($AX674="Cancelled","",IFERROR((W674*INDEX(Variables!$B$7:$D$7,IFERROR(MATCH(IF($B674="Robusta","Robusta",(IF($B674="","Arabica",$B674))&amp;" - "&amp;(IF($C674="","Commercial",$C674))),Variables!$B$1:$D$1,0),1))*AK674/365)+(L674/16.67*INDEX(Variables!$B$8:$D$8,IFERROR(MATCH(IF($B674="Robusta","Robusta",(IF($B674="","Arabica",$B674))&amp;" - "&amp;(IF($C674="","Commercial",$C674))),Variables!$B$1:$D$1,0),1))*AK674)+(W674*INDEX(Variables!$B$9:$D$9,IFERROR(MATCH(IF($B674="Robusta","Robusta",(IF($B674="","Arabica",$B674))&amp;" - "&amp;(IF($C674="","Commercial",$C674))),Variables!$B$1:$D$1,0),1))*AK674/365),""))</f>
        <v>112.2609304808431</v>
      </c>
      <c r="BI674" s="44">
        <f>IF($AX674="Cancelled","",IFERROR((W674*INDEX(Variables!$B$7:$D$7,IFERROR(MATCH(IF($B674="Robusta","Robusta",(IF($B674="","Arabica",$B674))&amp;" - "&amp;(IF($C674="","Commercial",$C674))),Variables!$B$1:$D$1,0),1))*BD674/365)+(L674/16.67*INDEX(Variables!$B$8:$D$8,IFERROR(MATCH(IF($B674="Robusta","Robusta",(IF($B674="","Arabica",$B674))&amp;" - "&amp;(IF($C674="","Commercial",$C674))),Variables!$B$1:$D$1,0),1))*BD674)+(W674*INDEX(Variables!$B$9:$D$9,IFERROR(MATCH(IF($B674="Robusta","Robusta",(IF($B674="","Arabica",$B674))&amp;" - "&amp;(IF($C674="","Commercial",$C674))),Variables!$B$1:$D$1,0),1))*BD674/365),""))</f>
        <v>-37.420310160281041</v>
      </c>
      <c r="BJ674" s="44">
        <f t="shared" si="32"/>
        <v>9</v>
      </c>
      <c r="BK674" s="44">
        <f>IF($AX674="Cancelled","",IFERROR(IF(BJ674="","",(W674*INDEX(Variables!$B$7:$D$7,IFERROR(MATCH(IF($B674="Robusta","Robusta",(IF($B674="","Arabica",$B674))&amp;" - "&amp;(IF($C674="","Commercial",$C674))),Variables!$B$1:$D$1,0),1))*(BJ674/365))+(W674*INDEX(Variables!$B$9:$D$9,IFERROR(MATCH(IF($B674="Robusta","Robusta",(IF($B674="","Arabica",$B674))&amp;" - "&amp;(IF($C674="","Commercial",$C674))),Variables!$B$1:$D$1,0),1))*(BJ674/365))+(INDEX(Variables!$B$8:$D$8,IFERROR(MATCH(IF($B674="Robusta","Robusta",(IF($B674="","Arabica",$B674))&amp;" - "&amp;(IF($C674="","Commercial",$C674))),Variables!$B$1:$D$1,0),1))*L674/16.67)),""))</f>
        <v>72.260930480843101</v>
      </c>
    </row>
    <row r="675" spans="1:63">
      <c r="A675" s="13" t="s">
        <v>103</v>
      </c>
      <c r="B675" s="13" t="s">
        <v>104</v>
      </c>
      <c r="C675" s="13" t="s">
        <v>105</v>
      </c>
      <c r="D675" s="31">
        <v>46043</v>
      </c>
      <c r="E675" s="31">
        <v>46082</v>
      </c>
      <c r="F675" s="31">
        <v>46112</v>
      </c>
      <c r="G675" s="13">
        <v>3787120</v>
      </c>
      <c r="H675" s="13" t="s">
        <v>1847</v>
      </c>
      <c r="J675" s="13" t="s">
        <v>236</v>
      </c>
      <c r="K675" s="13" t="s">
        <v>1847</v>
      </c>
      <c r="L675" s="13">
        <v>260</v>
      </c>
      <c r="M675" s="13">
        <v>1</v>
      </c>
      <c r="N675" s="13" t="s">
        <v>1844</v>
      </c>
      <c r="O675" s="13" t="s">
        <v>261</v>
      </c>
      <c r="P675" s="13">
        <v>10060</v>
      </c>
      <c r="R675" s="13" t="s">
        <v>239</v>
      </c>
      <c r="S675" s="13" t="s">
        <v>180</v>
      </c>
      <c r="T675" s="13" t="s">
        <v>253</v>
      </c>
      <c r="U675" s="13" t="s">
        <v>182</v>
      </c>
      <c r="V675" s="13">
        <v>38</v>
      </c>
      <c r="W675" s="44">
        <f>IF($AX675="Cancelled","",IFERROR(((V675+INDEX(Variables!$B$6:$D$6,IFERROR(MATCH(IF($B675="Robusta","Robusta",(IF($B675="","Arabica",$B675))&amp;" - "&amp;(IF($C675="","Commercial",$C675))),Variables!$B$1:$D$1,0),1)))*22.0462)*(L675/16.67),""))</f>
        <v>113058.52103179363</v>
      </c>
      <c r="X675" s="55" t="s">
        <v>37</v>
      </c>
      <c r="Y675" s="13" t="str">
        <f>IF($AX675="Cancelled","",IF(X675="","",IFERROR(IF(INDEX(Variables!$B$38:$B$47,MATCH(X675,Variables!$A$38:$A$47,0))="Yes","Yes","No"),"No")))</f>
        <v>Yes</v>
      </c>
      <c r="Z675" s="58">
        <v>46051</v>
      </c>
      <c r="AB675" s="31">
        <v>46066</v>
      </c>
      <c r="AC675" s="13" t="str">
        <f t="shared" si="31"/>
        <v>Approved</v>
      </c>
      <c r="AF675" s="71">
        <v>46077</v>
      </c>
      <c r="AG675" s="37">
        <f>IF($AX675="Cancelled","",IFERROR(IF(F675="","",F675-Variables!$B$13),""))</f>
        <v>46097</v>
      </c>
      <c r="AH675" s="13">
        <f>IF($AX675="Cancelled","",IFERROR(IF(AB675="","",(AVERAGE(E675:F675)-AB675)-Variables!$B$14),""))</f>
        <v>1</v>
      </c>
      <c r="AJ675" s="47">
        <v>46094</v>
      </c>
      <c r="AK675" s="14">
        <f>IF($AX675="Cancelled","",IFERROR(IF(AJ675="","",IF(AND(AB675="",AF675=""),"",IF(AF675&gt;AB675,AF675+Variables!$B$15+Variables!$B$16+Variables!$B$17-AJ675,AB675+Variables!$B$16+Variables!$B$17-AJ675))),""))</f>
        <v>-2</v>
      </c>
      <c r="AL675" s="48" t="s">
        <v>114</v>
      </c>
      <c r="AM675" s="13" t="s">
        <v>183</v>
      </c>
      <c r="AN675" s="13" t="s">
        <v>1740</v>
      </c>
      <c r="AR675" s="50">
        <v>321600001060</v>
      </c>
      <c r="AS675" s="31">
        <v>46102.875</v>
      </c>
      <c r="AU675" s="31">
        <v>46128</v>
      </c>
      <c r="AV675" s="13" t="s">
        <v>865</v>
      </c>
      <c r="AW675" s="31">
        <v>46128</v>
      </c>
      <c r="AX675" s="13" t="str">
        <f>IF(ISNUMBER(SEARCH("cancel",#REF!)),"Cancelled",IF(AND(AS675&lt;&gt;"",AU675&lt;&gt;"",AW675&lt;&gt;""),"Closed","Open"))</f>
        <v>Closed</v>
      </c>
      <c r="AY675" s="15" t="str">
        <f t="shared" si="30"/>
        <v>All dates received</v>
      </c>
      <c r="BD675" s="13">
        <f>IF($AX675="Cancelled","",IFERROR(IF(OR(AS675="",AJ675=""),"",(AJ675+Variables!$B$18-AS675)),""))</f>
        <v>6.125</v>
      </c>
      <c r="BE675" s="13">
        <f>IF($AX675="Cancelled","",IFERROR(IF(OR(AW675="",AS675=""),"",(AS675+Variables!$B$19)-AW675),""))</f>
        <v>-20.125</v>
      </c>
      <c r="BF675" s="44">
        <f>IF($AX675="Cancelled","",IFERROR(W675*INDEX(Variables!$B$7:$D$7,IFERROR(MATCH(IF($B675="Robusta","Robusta",(IF($B675="","Arabica",$B675))&amp;" - "&amp;(IF($C675="","Commercial",$C675))),Variables!$B$1:$D$1,0),1))*(BE675/365),""))</f>
        <v>-401.96308511818086</v>
      </c>
      <c r="BG675" s="44">
        <f>IF($AX675="Cancelled","",IFERROR((W675*INDEX(Variables!$B$7:$D$7,IFERROR(MATCH(IF($B675="Robusta","Robusta",(IF($B675="","Arabica",$B675))&amp;" - "&amp;(IF($C675="","Commercial",$C675))),Variables!$B$1:$D$1,0),1))*IFERROR(IF(AB675="","",(AVERAGE(E675:F675)-AB675)-Variables!$B$14),"")/365)+(L675/16.67*INDEX(Variables!$B$8:$D$8,IFERROR(MATCH(IF($B675="Robusta","Robusta",(IF($B675="","Arabica",$B675))&amp;" - "&amp;(IF($C675="","Commercial",$C675))),Variables!$B$1:$D$1,0),1))*IFERROR(IF(AB675="","",(AVERAGE(E675:F675)-AB675)-Variables!$B$14),""))+(W675*INDEX(Variables!$B$9:$D$9,IFERROR(MATCH(IF($B675="Robusta","Robusta",(IF($B675="","Arabica",$B675))&amp;" - "&amp;(IF($C675="","Commercial",$C675))),Variables!$B$1:$D$1,0),1))*IFERROR(IF(AB675="","",(AVERAGE(E675:F675)-AB675)-Variables!$B$14),"")/365),""))</f>
        <v>33.230815653178233</v>
      </c>
      <c r="BH675" s="44">
        <f>IF($AX675="Cancelled","",IFERROR((W675*INDEX(Variables!$B$7:$D$7,IFERROR(MATCH(IF($B675="Robusta","Robusta",(IF($B675="","Arabica",$B675))&amp;" - "&amp;(IF($C675="","Commercial",$C675))),Variables!$B$1:$D$1,0),1))*AK675/365)+(L675/16.67*INDEX(Variables!$B$8:$D$8,IFERROR(MATCH(IF($B675="Robusta","Robusta",(IF($B675="","Arabica",$B675))&amp;" - "&amp;(IF($C675="","Commercial",$C675))),Variables!$B$1:$D$1,0),1))*AK675)+(W675*INDEX(Variables!$B$9:$D$9,IFERROR(MATCH(IF($B675="Robusta","Robusta",(IF($B675="","Arabica",$B675))&amp;" - "&amp;(IF($C675="","Commercial",$C675))),Variables!$B$1:$D$1,0),1))*AK675/365),""))</f>
        <v>-66.461631306356466</v>
      </c>
      <c r="BI675" s="44">
        <f>IF($AX675="Cancelled","",IFERROR((W675*INDEX(Variables!$B$7:$D$7,IFERROR(MATCH(IF($B675="Robusta","Robusta",(IF($B675="","Arabica",$B675))&amp;" - "&amp;(IF($C675="","Commercial",$C675))),Variables!$B$1:$D$1,0),1))*BD675/365)+(L675/16.67*INDEX(Variables!$B$8:$D$8,IFERROR(MATCH(IF($B675="Robusta","Robusta",(IF($B675="","Arabica",$B675))&amp;" - "&amp;(IF($C675="","Commercial",$C675))),Variables!$B$1:$D$1,0),1))*BD675)+(W675*INDEX(Variables!$B$9:$D$9,IFERROR(MATCH(IF($B675="Robusta","Robusta",(IF($B675="","Arabica",$B675))&amp;" - "&amp;(IF($C675="","Commercial",$C675))),Variables!$B$1:$D$1,0),1))*BD675/365),""))</f>
        <v>203.53874587571667</v>
      </c>
      <c r="BJ675" s="44">
        <f t="shared" si="32"/>
        <v>9.125</v>
      </c>
      <c r="BK675" s="44">
        <f>IF($AX675="Cancelled","",IFERROR(IF(BJ675="","",(W675*INDEX(Variables!$B$7:$D$7,IFERROR(MATCH(IF($B675="Robusta","Robusta",(IF($B675="","Arabica",$B675))&amp;" - "&amp;(IF($C675="","Commercial",$C675))),Variables!$B$1:$D$1,0),1))*(BJ675/365))+(W675*INDEX(Variables!$B$9:$D$9,IFERROR(MATCH(IF($B675="Robusta","Robusta",(IF($B675="","Arabica",$B675))&amp;" - "&amp;(IF($C675="","Commercial",$C675))),Variables!$B$1:$D$1,0),1))*(BJ675/365))+(INDEX(Variables!$B$8:$D$8,IFERROR(MATCH(IF($B675="Robusta","Robusta",(IF($B675="","Arabica",$B675))&amp;" - "&amp;(IF($C675="","Commercial",$C675))),Variables!$B$1:$D$1,0),1))*L675/16.67)),""))</f>
        <v>197.60619283525133</v>
      </c>
    </row>
    <row r="676" spans="1:63">
      <c r="A676" s="13" t="s">
        <v>103</v>
      </c>
      <c r="B676" s="13" t="s">
        <v>104</v>
      </c>
      <c r="C676" s="13" t="s">
        <v>105</v>
      </c>
      <c r="D676" s="31">
        <v>46043</v>
      </c>
      <c r="E676" s="31">
        <v>46143</v>
      </c>
      <c r="F676" s="31">
        <v>46173</v>
      </c>
      <c r="G676" s="13">
        <v>3787121</v>
      </c>
      <c r="J676" s="13" t="s">
        <v>118</v>
      </c>
      <c r="K676" s="13">
        <v>5483</v>
      </c>
      <c r="L676" s="13">
        <v>1667</v>
      </c>
      <c r="M676" s="13">
        <v>5</v>
      </c>
      <c r="N676" s="13" t="s">
        <v>1602</v>
      </c>
      <c r="O676" s="13" t="s">
        <v>269</v>
      </c>
      <c r="P676" s="13">
        <v>10310</v>
      </c>
      <c r="Q676" s="59" t="s">
        <v>270</v>
      </c>
      <c r="R676" s="13" t="s">
        <v>271</v>
      </c>
      <c r="S676" s="13" t="s">
        <v>288</v>
      </c>
      <c r="T676" s="13" t="s">
        <v>289</v>
      </c>
      <c r="U676" s="13" t="s">
        <v>182</v>
      </c>
      <c r="V676" s="23">
        <v>62</v>
      </c>
      <c r="W676" s="44">
        <f>IF($AX676="Cancelled","",IFERROR(((V676+INDEX(Variables!$B$6:$D$6,IFERROR(MATCH(IF($B676="Robusta","Robusta",(IF($B676="","Arabica",$B676))&amp;" - "&amp;(IF($C676="","Commercial",$C676))),Variables!$B$1:$D$1,0),1)))*22.0462)*(L676/16.67),""))</f>
        <v>777789.93599999987</v>
      </c>
      <c r="X676" s="55" t="s">
        <v>37</v>
      </c>
      <c r="Y676" s="13" t="str">
        <f>IF($AX676="Cancelled","",IF(X676="","",IFERROR(IF(INDEX(Variables!$B$38:$B$47,MATCH(X676,Variables!$A$38:$A$47,0))="Yes","Yes","No"),"No")))</f>
        <v>Yes</v>
      </c>
      <c r="Z676" s="58">
        <v>46142</v>
      </c>
      <c r="AB676" s="31">
        <v>46132</v>
      </c>
      <c r="AC676" s="13" t="str">
        <f t="shared" si="31"/>
        <v>Approved</v>
      </c>
      <c r="AF676" s="71">
        <v>46178</v>
      </c>
      <c r="AG676" s="37">
        <f>IF($AX676="Cancelled","",IFERROR(IF(F676="","",F676-Variables!$B$13),""))</f>
        <v>46158</v>
      </c>
      <c r="AH676" s="13">
        <f>IF($AX676="Cancelled","",IFERROR(IF(AB676="","",(AVERAGE(E676:F676)-AB676)-Variables!$B$14),""))</f>
        <v>-4</v>
      </c>
      <c r="AJ676" s="47">
        <v>46190</v>
      </c>
      <c r="AK676" s="14">
        <f>IF($AX676="Cancelled","",IFERROR(IF(AJ676="","",IF(AND(AB676="",AF676=""),"",IF(AF676&gt;AB676,AF676+Variables!$B$15+Variables!$B$16+Variables!$B$17-AJ676,AB676+Variables!$B$16+Variables!$B$17-AJ676))),""))</f>
        <v>3</v>
      </c>
      <c r="AL676" s="48" t="s">
        <v>114</v>
      </c>
      <c r="AM676" s="13" t="s">
        <v>1848</v>
      </c>
      <c r="AN676" s="13" t="s">
        <v>1849</v>
      </c>
      <c r="AP676" s="31">
        <v>46203</v>
      </c>
      <c r="AR676" s="13" t="s">
        <v>1850</v>
      </c>
      <c r="AS676" s="31">
        <v>46203</v>
      </c>
      <c r="AU676" s="31">
        <v>46248</v>
      </c>
      <c r="AV676" s="13" t="e">
        <v>#REF!</v>
      </c>
      <c r="AW676" s="31">
        <v>46248</v>
      </c>
      <c r="AX676" s="13" t="str">
        <f>IF(ISNUMBER(SEARCH("cancel",#REF!)),"Cancelled",IF(AND(AS676&lt;&gt;"",AU676&lt;&gt;"",AW676&lt;&gt;""),"Closed","Open"))</f>
        <v>Closed</v>
      </c>
      <c r="AY676" s="15" t="str">
        <f t="shared" si="30"/>
        <v>All dates received</v>
      </c>
      <c r="BD676" s="13">
        <f>IF($AX676="Cancelled","",IFERROR(IF(OR(AS676="",AJ676=""),"",(AJ676+Variables!$B$18-AS676)),""))</f>
        <v>2</v>
      </c>
      <c r="BE676" s="13">
        <f>IF($AX676="Cancelled","",IFERROR(IF(OR(AW676="",AS676=""),"",(AS676+Variables!$B$19)-AW676),""))</f>
        <v>-40</v>
      </c>
      <c r="BF676" s="44">
        <f>IF($AX676="Cancelled","",IFERROR(W676*INDEX(Variables!$B$7:$D$7,IFERROR(MATCH(IF($B676="Robusta","Robusta",(IF($B676="","Arabica",$B676))&amp;" - "&amp;(IF($C676="","Commercial",$C676))),Variables!$B$1:$D$1,0),1))*(BE676/365),""))</f>
        <v>-5496.2856121796376</v>
      </c>
      <c r="BG676" s="44">
        <f>IF($AX676="Cancelled","",IFERROR((W676*INDEX(Variables!$B$7:$D$7,IFERROR(MATCH(IF($B676="Robusta","Robusta",(IF($B676="","Arabica",$B676))&amp;" - "&amp;(IF($C676="","Commercial",$C676))),Variables!$B$1:$D$1,0),1))*IFERROR(IF(AB676="","",(AVERAGE(E676:F676)-AB676)-Variables!$B$14),"")/365)+(L676/16.67*INDEX(Variables!$B$8:$D$8,IFERROR(MATCH(IF($B676="Robusta","Robusta",(IF($B676="","Arabica",$B676))&amp;" - "&amp;(IF($C676="","Commercial",$C676))),Variables!$B$1:$D$1,0),1))*IFERROR(IF(AB676="","",(AVERAGE(E676:F676)-AB676)-Variables!$B$14),""))+(W676*INDEX(Variables!$B$9:$D$9,IFERROR(MATCH(IF($B676="Robusta","Robusta",(IF($B676="","Arabica",$B676))&amp;" - "&amp;(IF($C676="","Commercial",$C676))),Variables!$B$1:$D$1,0),1))*IFERROR(IF(AB676="","",(AVERAGE(E676:F676)-AB676)-Variables!$B$14),"")/365),""))</f>
        <v>-890.11433408149037</v>
      </c>
      <c r="BH676" s="44">
        <f>IF($AX676="Cancelled","",IFERROR((W676*INDEX(Variables!$B$7:$D$7,IFERROR(MATCH(IF($B676="Robusta","Robusta",(IF($B676="","Arabica",$B676))&amp;" - "&amp;(IF($C676="","Commercial",$C676))),Variables!$B$1:$D$1,0),1))*AK676/365)+(L676/16.67*INDEX(Variables!$B$8:$D$8,IFERROR(MATCH(IF($B676="Robusta","Robusta",(IF($B676="","Arabica",$B676))&amp;" - "&amp;(IF($C676="","Commercial",$C676))),Variables!$B$1:$D$1,0),1))*AK676)+(W676*INDEX(Variables!$B$9:$D$9,IFERROR(MATCH(IF($B676="Robusta","Robusta",(IF($B676="","Arabica",$B676))&amp;" - "&amp;(IF($C676="","Commercial",$C676))),Variables!$B$1:$D$1,0),1))*AK676/365),""))</f>
        <v>667.58575056111783</v>
      </c>
      <c r="BI676" s="44">
        <f>IF($AX676="Cancelled","",IFERROR((W676*INDEX(Variables!$B$7:$D$7,IFERROR(MATCH(IF($B676="Robusta","Robusta",(IF($B676="","Arabica",$B676))&amp;" - "&amp;(IF($C676="","Commercial",$C676))),Variables!$B$1:$D$1,0),1))*BD676/365)+(L676/16.67*INDEX(Variables!$B$8:$D$8,IFERROR(MATCH(IF($B676="Robusta","Robusta",(IF($B676="","Arabica",$B676))&amp;" - "&amp;(IF($C676="","Commercial",$C676))),Variables!$B$1:$D$1,0),1))*BD676)+(W676*INDEX(Variables!$B$9:$D$9,IFERROR(MATCH(IF($B676="Robusta","Robusta",(IF($B676="","Arabica",$B676))&amp;" - "&amp;(IF($C676="","Commercial",$C676))),Variables!$B$1:$D$1,0),1))*BD676/365),""))</f>
        <v>445.05716704074518</v>
      </c>
      <c r="BJ676" s="44">
        <f t="shared" si="32"/>
        <v>-30</v>
      </c>
      <c r="BK676" s="44">
        <f>IF($AX676="Cancelled","",IFERROR(IF(BJ676="","",(W676*INDEX(Variables!$B$7:$D$7,IFERROR(MATCH(IF($B676="Robusta","Robusta",(IF($B676="","Arabica",$B676))&amp;" - "&amp;(IF($C676="","Commercial",$C676))),Variables!$B$1:$D$1,0),1))*(BJ676/365))+(W676*INDEX(Variables!$B$9:$D$9,IFERROR(MATCH(IF($B676="Robusta","Robusta",(IF($B676="","Arabica",$B676))&amp;" - "&amp;(IF($C676="","Commercial",$C676))),Variables!$B$1:$D$1,0),1))*(BJ676/365))+(INDEX(Variables!$B$8:$D$8,IFERROR(MATCH(IF($B676="Robusta","Robusta",(IF($B676="","Arabica",$B676))&amp;" - "&amp;(IF($C676="","Commercial",$C676))),Variables!$B$1:$D$1,0),1))*L676/16.67)),""))</f>
        <v>-4092.0075056111768</v>
      </c>
    </row>
    <row r="677" spans="1:63">
      <c r="A677" s="13" t="s">
        <v>103</v>
      </c>
      <c r="B677" s="13" t="s">
        <v>104</v>
      </c>
      <c r="C677" s="13" t="s">
        <v>105</v>
      </c>
      <c r="D677" s="31">
        <v>46043</v>
      </c>
      <c r="E677" s="31">
        <v>46143</v>
      </c>
      <c r="F677" s="31">
        <v>46173</v>
      </c>
      <c r="G677" s="13">
        <v>3787122</v>
      </c>
      <c r="H677" s="13" t="s">
        <v>1851</v>
      </c>
      <c r="J677" s="13" t="s">
        <v>118</v>
      </c>
      <c r="K677" s="13" t="s">
        <v>1851</v>
      </c>
      <c r="L677" s="13">
        <v>333</v>
      </c>
      <c r="M677" s="13">
        <v>1</v>
      </c>
      <c r="N677" s="13" t="s">
        <v>1602</v>
      </c>
      <c r="O677" s="13" t="s">
        <v>269</v>
      </c>
      <c r="P677" s="13">
        <v>10310</v>
      </c>
      <c r="Q677" s="59" t="s">
        <v>270</v>
      </c>
      <c r="R677" s="13" t="s">
        <v>271</v>
      </c>
      <c r="S677" s="13" t="s">
        <v>283</v>
      </c>
      <c r="T677" s="13" t="s">
        <v>112</v>
      </c>
      <c r="U677" s="13" t="s">
        <v>113</v>
      </c>
      <c r="V677" s="23">
        <v>62</v>
      </c>
      <c r="W677" s="44">
        <f>IF($AX677="Cancelled","",IFERROR(((V677+INDEX(Variables!$B$6:$D$6,IFERROR(MATCH(IF($B677="Robusta","Robusta",(IF($B677="","Arabica",$B677))&amp;" - "&amp;(IF($C677="","Commercial",$C677))),Variables!$B$1:$D$1,0),1)))*22.0462)*(L677/16.67),""))</f>
        <v>155371.35494181162</v>
      </c>
      <c r="X677" s="55" t="s">
        <v>37</v>
      </c>
      <c r="Y677" s="13" t="str">
        <f>IF($AX677="Cancelled","",IF(X677="","",IFERROR(IF(INDEX(Variables!$B$38:$B$47,MATCH(X677,Variables!$A$38:$A$47,0))="Yes","Yes","No"),"No")))</f>
        <v>Yes</v>
      </c>
      <c r="Z677" s="58">
        <v>46111</v>
      </c>
      <c r="AB677" s="31">
        <v>46122</v>
      </c>
      <c r="AC677" s="13" t="str">
        <f t="shared" si="31"/>
        <v>Approved</v>
      </c>
      <c r="AF677" s="71">
        <v>46171</v>
      </c>
      <c r="AG677" s="37">
        <f>IF($AX677="Cancelled","",IFERROR(IF(F677="","",F677-Variables!$B$13),""))</f>
        <v>46158</v>
      </c>
      <c r="AH677" s="13">
        <f>IF($AX677="Cancelled","",IFERROR(IF(AB677="","",(AVERAGE(E677:F677)-AB677)-Variables!$B$14),""))</f>
        <v>6</v>
      </c>
      <c r="AJ677" s="47">
        <v>46175</v>
      </c>
      <c r="AK677" s="14">
        <f>IF($AX677="Cancelled","",IFERROR(IF(AJ677="","",IF(AND(AB677="",AF677=""),"",IF(AF677&gt;AB677,AF677+Variables!$B$15+Variables!$B$16+Variables!$B$17-AJ677,AB677+Variables!$B$16+Variables!$B$17-AJ677))),""))</f>
        <v>11</v>
      </c>
      <c r="AL677" s="48" t="s">
        <v>114</v>
      </c>
      <c r="AM677" s="13" t="s">
        <v>168</v>
      </c>
      <c r="AN677" s="13" t="s">
        <v>1852</v>
      </c>
      <c r="AP677" s="31">
        <v>46192</v>
      </c>
      <c r="AR677" s="13" t="s">
        <v>1853</v>
      </c>
      <c r="AS677" s="31">
        <v>46192</v>
      </c>
      <c r="AU677" s="31">
        <v>46210</v>
      </c>
      <c r="AV677" s="13" t="e">
        <v>#REF!</v>
      </c>
      <c r="AW677" s="31">
        <v>46210</v>
      </c>
      <c r="AX677" s="13" t="str">
        <f>IF(ISNUMBER(SEARCH("cancel",#REF!)),"Cancelled",IF(AND(AS677&lt;&gt;"",AU677&lt;&gt;"",AW677&lt;&gt;""),"Closed","Open"))</f>
        <v>Closed</v>
      </c>
      <c r="AY677" s="15" t="str">
        <f t="shared" si="30"/>
        <v>All dates received</v>
      </c>
      <c r="BD677" s="13">
        <f>IF($AX677="Cancelled","",IFERROR(IF(OR(AS677="",AJ677=""),"",(AJ677+Variables!$B$18-AS677)),""))</f>
        <v>-2</v>
      </c>
      <c r="BE677" s="13">
        <f>IF($AX677="Cancelled","",IFERROR(IF(OR(AW677="",AS677=""),"",(AS677+Variables!$B$19)-AW677),""))</f>
        <v>-13</v>
      </c>
      <c r="BF677" s="44">
        <f>IF($AX677="Cancelled","",IFERROR(W677*INDEX(Variables!$B$7:$D$7,IFERROR(MATCH(IF($B677="Robusta","Robusta",(IF($B677="","Arabica",$B677))&amp;" - "&amp;(IF($C677="","Commercial",$C677))),Variables!$B$1:$D$1,0),1))*(BE677/365),""))</f>
        <v>-356.82994023883703</v>
      </c>
      <c r="BG677" s="44">
        <f>IF($AX677="Cancelled","",IFERROR((W677*INDEX(Variables!$B$7:$D$7,IFERROR(MATCH(IF($B677="Robusta","Robusta",(IF($B677="","Arabica",$B677))&amp;" - "&amp;(IF($C677="","Commercial",$C677))),Variables!$B$1:$D$1,0),1))*IFERROR(IF(AB677="","",(AVERAGE(E677:F677)-AB677)-Variables!$B$14),"")/365)+(L677/16.67*INDEX(Variables!$B$8:$D$8,IFERROR(MATCH(IF($B677="Robusta","Robusta",(IF($B677="","Arabica",$B677))&amp;" - "&amp;(IF($C677="","Commercial",$C677))),Variables!$B$1:$D$1,0),1))*IFERROR(IF(AB677="","",(AVERAGE(E677:F677)-AB677)-Variables!$B$14),""))+(W677*INDEX(Variables!$B$9:$D$9,IFERROR(MATCH(IF($B677="Robusta","Robusta",(IF($B677="","Arabica",$B677))&amp;" - "&amp;(IF($C677="","Commercial",$C677))),Variables!$B$1:$D$1,0),1))*IFERROR(IF(AB677="","",(AVERAGE(E677:F677)-AB677)-Variables!$B$14),"")/365),""))</f>
        <v>266.71392313959473</v>
      </c>
      <c r="BH677" s="44">
        <f>IF($AX677="Cancelled","",IFERROR((W677*INDEX(Variables!$B$7:$D$7,IFERROR(MATCH(IF($B677="Robusta","Robusta",(IF($B677="","Arabica",$B677))&amp;" - "&amp;(IF($C677="","Commercial",$C677))),Variables!$B$1:$D$1,0),1))*AK677/365)+(L677/16.67*INDEX(Variables!$B$8:$D$8,IFERROR(MATCH(IF($B677="Robusta","Robusta",(IF($B677="","Arabica",$B677))&amp;" - "&amp;(IF($C677="","Commercial",$C677))),Variables!$B$1:$D$1,0),1))*AK677)+(W677*INDEX(Variables!$B$9:$D$9,IFERROR(MATCH(IF($B677="Robusta","Robusta",(IF($B677="","Arabica",$B677))&amp;" - "&amp;(IF($C677="","Commercial",$C677))),Variables!$B$1:$D$1,0),1))*AK677/365),""))</f>
        <v>488.97552575592374</v>
      </c>
      <c r="BI677" s="44">
        <f>IF($AX677="Cancelled","",IFERROR((W677*INDEX(Variables!$B$7:$D$7,IFERROR(MATCH(IF($B677="Robusta","Robusta",(IF($B677="","Arabica",$B677))&amp;" - "&amp;(IF($C677="","Commercial",$C677))),Variables!$B$1:$D$1,0),1))*BD677/365)+(L677/16.67*INDEX(Variables!$B$8:$D$8,IFERROR(MATCH(IF($B677="Robusta","Robusta",(IF($B677="","Arabica",$B677))&amp;" - "&amp;(IF($C677="","Commercial",$C677))),Variables!$B$1:$D$1,0),1))*BD677)+(W677*INDEX(Variables!$B$9:$D$9,IFERROR(MATCH(IF($B677="Robusta","Robusta",(IF($B677="","Arabica",$B677))&amp;" - "&amp;(IF($C677="","Commercial",$C677))),Variables!$B$1:$D$1,0),1))*BD677/365),""))</f>
        <v>-88.90464104653158</v>
      </c>
      <c r="BJ677" s="44">
        <f t="shared" si="32"/>
        <v>-19</v>
      </c>
      <c r="BK677" s="44">
        <f>IF($AX677="Cancelled","",IFERROR(IF(BJ677="","",(W677*INDEX(Variables!$B$7:$D$7,IFERROR(MATCH(IF($B677="Robusta","Robusta",(IF($B677="","Arabica",$B677))&amp;" - "&amp;(IF($C677="","Commercial",$C677))),Variables!$B$1:$D$1,0),1))*(BJ677/365))+(W677*INDEX(Variables!$B$9:$D$9,IFERROR(MATCH(IF($B677="Robusta","Robusta",(IF($B677="","Arabica",$B677))&amp;" - "&amp;(IF($C677="","Commercial",$C677))),Variables!$B$1:$D$1,0),1))*(BJ677/365))+(INDEX(Variables!$B$8:$D$8,IFERROR(MATCH(IF($B677="Robusta","Robusta",(IF($B677="","Arabica",$B677))&amp;" - "&amp;(IF($C677="","Commercial",$C677))),Variables!$B$1:$D$1,0),1))*L677/16.67)),""))</f>
        <v>-511.59408994205012</v>
      </c>
    </row>
    <row r="678" spans="1:63">
      <c r="A678" s="13" t="s">
        <v>103</v>
      </c>
      <c r="B678" s="13" t="s">
        <v>104</v>
      </c>
      <c r="C678" s="13" t="s">
        <v>105</v>
      </c>
      <c r="D678" s="31">
        <v>46043</v>
      </c>
      <c r="E678" s="31">
        <v>46143</v>
      </c>
      <c r="F678" s="31">
        <v>46173</v>
      </c>
      <c r="G678" s="13">
        <v>3787122</v>
      </c>
      <c r="H678" s="13" t="s">
        <v>1854</v>
      </c>
      <c r="J678" s="13" t="s">
        <v>118</v>
      </c>
      <c r="K678" s="13" t="s">
        <v>1854</v>
      </c>
      <c r="L678" s="13">
        <v>1334</v>
      </c>
      <c r="M678" s="13">
        <v>4</v>
      </c>
      <c r="N678" s="13" t="s">
        <v>1602</v>
      </c>
      <c r="O678" s="13" t="s">
        <v>269</v>
      </c>
      <c r="P678" s="13">
        <v>10310</v>
      </c>
      <c r="Q678" s="59" t="s">
        <v>270</v>
      </c>
      <c r="R678" s="13" t="s">
        <v>271</v>
      </c>
      <c r="S678" s="13" t="s">
        <v>288</v>
      </c>
      <c r="T678" s="13" t="s">
        <v>289</v>
      </c>
      <c r="U678" s="13" t="s">
        <v>182</v>
      </c>
      <c r="V678" s="23">
        <v>62</v>
      </c>
      <c r="W678" s="44">
        <f>IF($AX678="Cancelled","",IFERROR(((V678+INDEX(Variables!$B$6:$D$6,IFERROR(MATCH(IF($B678="Robusta","Robusta",(IF($B678="","Arabica",$B678))&amp;" - "&amp;(IF($C678="","Commercial",$C678))),Variables!$B$1:$D$1,0),1)))*22.0462)*(L678/16.67),""))</f>
        <v>622418.58105818823</v>
      </c>
      <c r="X678" s="55" t="s">
        <v>37</v>
      </c>
      <c r="Y678" s="13" t="str">
        <f>IF($AX678="Cancelled","",IF(X678="","",IFERROR(IF(INDEX(Variables!$B$38:$B$47,MATCH(X678,Variables!$A$38:$A$47,0))="Yes","Yes","No"),"No")))</f>
        <v>Yes</v>
      </c>
      <c r="Z678" s="58">
        <v>46111</v>
      </c>
      <c r="AB678" s="31">
        <v>46122</v>
      </c>
      <c r="AC678" s="13" t="str">
        <f t="shared" si="31"/>
        <v>Approved</v>
      </c>
      <c r="AF678" s="71">
        <v>46171</v>
      </c>
      <c r="AG678" s="37">
        <f>IF($AX678="Cancelled","",IFERROR(IF(F678="","",F678-Variables!$B$13),""))</f>
        <v>46158</v>
      </c>
      <c r="AH678" s="13">
        <f>IF($AX678="Cancelled","",IFERROR(IF(AB678="","",(AVERAGE(E678:F678)-AB678)-Variables!$B$14),""))</f>
        <v>6</v>
      </c>
      <c r="AJ678" s="47">
        <v>46181</v>
      </c>
      <c r="AK678" s="14">
        <f>IF($AX678="Cancelled","",IFERROR(IF(AJ678="","",IF(AND(AB678="",AF678=""),"",IF(AF678&gt;AB678,AF678+Variables!$B$15+Variables!$B$16+Variables!$B$17-AJ678,AB678+Variables!$B$16+Variables!$B$17-AJ678))),""))</f>
        <v>5</v>
      </c>
      <c r="AL678" s="48" t="s">
        <v>114</v>
      </c>
      <c r="AM678" s="13" t="s">
        <v>168</v>
      </c>
      <c r="AN678" s="13" t="s">
        <v>1852</v>
      </c>
      <c r="AP678" s="31">
        <v>46192</v>
      </c>
      <c r="AR678" s="13" t="s">
        <v>1853</v>
      </c>
      <c r="AS678" s="31">
        <v>46174</v>
      </c>
      <c r="AU678" s="31">
        <v>46210</v>
      </c>
      <c r="AV678" s="13" t="e">
        <v>#REF!</v>
      </c>
      <c r="AW678" s="31">
        <v>46210</v>
      </c>
      <c r="AX678" s="13" t="str">
        <f>IF(ISNUMBER(SEARCH("cancel",#REF!)),"Cancelled",IF(AND(AS678&lt;&gt;"",AU678&lt;&gt;"",AW678&lt;&gt;""),"Closed","Open"))</f>
        <v>Closed</v>
      </c>
      <c r="AY678" s="15" t="str">
        <f t="shared" si="30"/>
        <v>All dates received</v>
      </c>
      <c r="BD678" s="13">
        <f>IF($AX678="Cancelled","",IFERROR(IF(OR(AS678="",AJ678=""),"",(AJ678+Variables!$B$18-AS678)),""))</f>
        <v>22</v>
      </c>
      <c r="BE678" s="13">
        <f>IF($AX678="Cancelled","",IFERROR(IF(OR(AW678="",AS678=""),"",(AS678+Variables!$B$19)-AW678),""))</f>
        <v>-31</v>
      </c>
      <c r="BF678" s="44">
        <f>IF($AX678="Cancelled","",IFERROR(W678*INDEX(Variables!$B$7:$D$7,IFERROR(MATCH(IF($B678="Robusta","Robusta",(IF($B678="","Arabica",$B678))&amp;" - "&amp;(IF($C678="","Commercial",$C678))),Variables!$B$1:$D$1,0),1))*(BE678/365),""))</f>
        <v>-3408.7191842543002</v>
      </c>
      <c r="BG678" s="44">
        <f>IF($AX678="Cancelled","",IFERROR((W678*INDEX(Variables!$B$7:$D$7,IFERROR(MATCH(IF($B678="Robusta","Robusta",(IF($B678="","Arabica",$B678))&amp;" - "&amp;(IF($C678="","Commercial",$C678))),Variables!$B$1:$D$1,0),1))*IFERROR(IF(AB678="","",(AVERAGE(E678:F678)-AB678)-Variables!$B$14),"")/365)+(L678/16.67*INDEX(Variables!$B$8:$D$8,IFERROR(MATCH(IF($B678="Robusta","Robusta",(IF($B678="","Arabica",$B678))&amp;" - "&amp;(IF($C678="","Commercial",$C678))),Variables!$B$1:$D$1,0),1))*IFERROR(IF(AB678="","",(AVERAGE(E678:F678)-AB678)-Variables!$B$14),""))+(W678*INDEX(Variables!$B$9:$D$9,IFERROR(MATCH(IF($B678="Robusta","Robusta",(IF($B678="","Arabica",$B678))&amp;" - "&amp;(IF($C678="","Commercial",$C678))),Variables!$B$1:$D$1,0),1))*IFERROR(IF(AB678="","",(AVERAGE(E678:F678)-AB678)-Variables!$B$14),"")/365),""))</f>
        <v>1068.4575779826409</v>
      </c>
      <c r="BH678" s="44">
        <f>IF($AX678="Cancelled","",IFERROR((W678*INDEX(Variables!$B$7:$D$7,IFERROR(MATCH(IF($B678="Robusta","Robusta",(IF($B678="","Arabica",$B678))&amp;" - "&amp;(IF($C678="","Commercial",$C678))),Variables!$B$1:$D$1,0),1))*AK678/365)+(L678/16.67*INDEX(Variables!$B$8:$D$8,IFERROR(MATCH(IF($B678="Robusta","Robusta",(IF($B678="","Arabica",$B678))&amp;" - "&amp;(IF($C678="","Commercial",$C678))),Variables!$B$1:$D$1,0),1))*AK678)+(W678*INDEX(Variables!$B$9:$D$9,IFERROR(MATCH(IF($B678="Robusta","Robusta",(IF($B678="","Arabica",$B678))&amp;" - "&amp;(IF($C678="","Commercial",$C678))),Variables!$B$1:$D$1,0),1))*AK678/365),""))</f>
        <v>890.38131498553389</v>
      </c>
      <c r="BI678" s="44">
        <f>IF($AX678="Cancelled","",IFERROR((W678*INDEX(Variables!$B$7:$D$7,IFERROR(MATCH(IF($B678="Robusta","Robusta",(IF($B678="","Arabica",$B678))&amp;" - "&amp;(IF($C678="","Commercial",$C678))),Variables!$B$1:$D$1,0),1))*BD678/365)+(L678/16.67*INDEX(Variables!$B$8:$D$8,IFERROR(MATCH(IF($B678="Robusta","Robusta",(IF($B678="","Arabica",$B678))&amp;" - "&amp;(IF($C678="","Commercial",$C678))),Variables!$B$1:$D$1,0),1))*BD678)+(W678*INDEX(Variables!$B$9:$D$9,IFERROR(MATCH(IF($B678="Robusta","Robusta",(IF($B678="","Arabica",$B678))&amp;" - "&amp;(IF($C678="","Commercial",$C678))),Variables!$B$1:$D$1,0),1))*BD678/365),""))</f>
        <v>3917.6777859363497</v>
      </c>
      <c r="BJ678" s="44">
        <f t="shared" si="32"/>
        <v>-1</v>
      </c>
      <c r="BK678" s="44">
        <f>IF($AX678="Cancelled","",IFERROR(IF(BJ678="","",(W678*INDEX(Variables!$B$7:$D$7,IFERROR(MATCH(IF($B678="Robusta","Robusta",(IF($B678="","Arabica",$B678))&amp;" - "&amp;(IF($C678="","Commercial",$C678))),Variables!$B$1:$D$1,0),1))*(BJ678/365))+(W678*INDEX(Variables!$B$9:$D$9,IFERROR(MATCH(IF($B678="Robusta","Robusta",(IF($B678="","Arabica",$B678))&amp;" - "&amp;(IF($C678="","Commercial",$C678))),Variables!$B$1:$D$1,0),1))*(BJ678/365))+(INDEX(Variables!$B$8:$D$8,IFERROR(MATCH(IF($B678="Robusta","Robusta",(IF($B678="","Arabica",$B678))&amp;" - "&amp;(IF($C678="","Commercial",$C678))),Variables!$B$1:$D$1,0),1))*L678/16.67)),""))</f>
        <v>-44.676262997106789</v>
      </c>
    </row>
    <row r="679" spans="1:63">
      <c r="A679" s="13" t="s">
        <v>103</v>
      </c>
      <c r="B679" s="13" t="s">
        <v>104</v>
      </c>
      <c r="C679" s="13" t="s">
        <v>105</v>
      </c>
      <c r="D679" s="31">
        <v>46043</v>
      </c>
      <c r="E679" s="31">
        <v>46143</v>
      </c>
      <c r="F679" s="31">
        <v>46173</v>
      </c>
      <c r="G679" s="13">
        <v>3787123</v>
      </c>
      <c r="J679" s="13" t="s">
        <v>118</v>
      </c>
      <c r="K679" s="13">
        <v>5484</v>
      </c>
      <c r="L679" s="13">
        <v>1667</v>
      </c>
      <c r="M679" s="13">
        <v>5</v>
      </c>
      <c r="N679" s="13" t="s">
        <v>1855</v>
      </c>
      <c r="O679" s="13" t="s">
        <v>269</v>
      </c>
      <c r="P679" s="13">
        <v>10310</v>
      </c>
      <c r="Q679" s="59" t="s">
        <v>270</v>
      </c>
      <c r="R679" s="13" t="s">
        <v>122</v>
      </c>
      <c r="S679" s="13" t="s">
        <v>1856</v>
      </c>
      <c r="T679" s="13" t="s">
        <v>112</v>
      </c>
      <c r="U679" s="13" t="s">
        <v>113</v>
      </c>
      <c r="V679" s="23">
        <v>62</v>
      </c>
      <c r="W679" s="44">
        <f>IF($AX679="Cancelled","",IFERROR(((V679+INDEX(Variables!$B$6:$D$6,IFERROR(MATCH(IF($B679="Robusta","Robusta",(IF($B679="","Arabica",$B679))&amp;" - "&amp;(IF($C679="","Commercial",$C679))),Variables!$B$1:$D$1,0),1)))*22.0462)*(L679/16.67),""))</f>
        <v>777789.93599999987</v>
      </c>
      <c r="X679" s="55" t="s">
        <v>37</v>
      </c>
      <c r="Y679" s="13" t="str">
        <f>IF($AX679="Cancelled","",IF(X679="","",IFERROR(IF(INDEX(Variables!$B$38:$B$47,MATCH(X679,Variables!$A$38:$A$47,0))="Yes","Yes","No"),"No")))</f>
        <v>Yes</v>
      </c>
      <c r="Z679" s="58">
        <v>46111</v>
      </c>
      <c r="AB679" s="31">
        <v>46122</v>
      </c>
      <c r="AC679" s="13" t="str">
        <f t="shared" si="31"/>
        <v>Approved</v>
      </c>
      <c r="AF679" s="71">
        <v>46188</v>
      </c>
      <c r="AG679" s="37">
        <f>IF($AX679="Cancelled","",IFERROR(IF(F679="","",F679-Variables!$B$13),""))</f>
        <v>46158</v>
      </c>
      <c r="AH679" s="13">
        <f>IF($AX679="Cancelled","",IFERROR(IF(AB679="","",(AVERAGE(E679:F679)-AB679)-Variables!$B$14),""))</f>
        <v>6</v>
      </c>
      <c r="AJ679" s="47">
        <v>46193</v>
      </c>
      <c r="AK679" s="14">
        <f>IF($AX679="Cancelled","",IFERROR(IF(AJ679="","",IF(AND(AB679="",AF679=""),"",IF(AF679&gt;AB679,AF679+Variables!$B$15+Variables!$B$16+Variables!$B$17-AJ679,AB679+Variables!$B$16+Variables!$B$17-AJ679))),""))</f>
        <v>10</v>
      </c>
      <c r="AL679" s="48" t="s">
        <v>114</v>
      </c>
      <c r="AM679" s="13" t="s">
        <v>1784</v>
      </c>
      <c r="AN679" s="13" t="s">
        <v>1857</v>
      </c>
      <c r="AP679" s="31">
        <v>46206</v>
      </c>
      <c r="AR679" s="13" t="s">
        <v>1858</v>
      </c>
      <c r="AS679" s="31">
        <v>46222</v>
      </c>
      <c r="AU679" s="31">
        <v>46230</v>
      </c>
      <c r="AV679" s="13" t="e">
        <v>#REF!</v>
      </c>
      <c r="AW679" s="31">
        <v>46230</v>
      </c>
      <c r="AX679" s="13" t="str">
        <f>IF(ISNUMBER(SEARCH("cancel",#REF!)),"Cancelled",IF(AND(AS679&lt;&gt;"",AU679&lt;&gt;"",AW679&lt;&gt;""),"Closed","Open"))</f>
        <v>Closed</v>
      </c>
      <c r="AY679" s="15" t="str">
        <f t="shared" si="30"/>
        <v>All dates received</v>
      </c>
      <c r="BD679" s="13">
        <f>IF($AX679="Cancelled","",IFERROR(IF(OR(AS679="",AJ679=""),"",(AJ679+Variables!$B$18-AS679)),""))</f>
        <v>-14</v>
      </c>
      <c r="BE679" s="13">
        <f>IF($AX679="Cancelled","",IFERROR(IF(OR(AW679="",AS679=""),"",(AS679+Variables!$B$19)-AW679),""))</f>
        <v>-3</v>
      </c>
      <c r="BF679" s="44">
        <f>IF($AX679="Cancelled","",IFERROR(W679*INDEX(Variables!$B$7:$D$7,IFERROR(MATCH(IF($B679="Robusta","Robusta",(IF($B679="","Arabica",$B679))&amp;" - "&amp;(IF($C679="","Commercial",$C679))),Variables!$B$1:$D$1,0),1))*(BE679/365),""))</f>
        <v>-412.2214209134728</v>
      </c>
      <c r="BG679" s="44">
        <f>IF($AX679="Cancelled","",IFERROR((W679*INDEX(Variables!$B$7:$D$7,IFERROR(MATCH(IF($B679="Robusta","Robusta",(IF($B679="","Arabica",$B679))&amp;" - "&amp;(IF($C679="","Commercial",$C679))),Variables!$B$1:$D$1,0),1))*IFERROR(IF(AB679="","",(AVERAGE(E679:F679)-AB679)-Variables!$B$14),"")/365)+(L679/16.67*INDEX(Variables!$B$8:$D$8,IFERROR(MATCH(IF($B679="Robusta","Robusta",(IF($B679="","Arabica",$B679))&amp;" - "&amp;(IF($C679="","Commercial",$C679))),Variables!$B$1:$D$1,0),1))*IFERROR(IF(AB679="","",(AVERAGE(E679:F679)-AB679)-Variables!$B$14),""))+(W679*INDEX(Variables!$B$9:$D$9,IFERROR(MATCH(IF($B679="Robusta","Robusta",(IF($B679="","Arabica",$B679))&amp;" - "&amp;(IF($C679="","Commercial",$C679))),Variables!$B$1:$D$1,0),1))*IFERROR(IF(AB679="","",(AVERAGE(E679:F679)-AB679)-Variables!$B$14),"")/365),""))</f>
        <v>1335.1715011222357</v>
      </c>
      <c r="BH679" s="44">
        <f>IF($AX679="Cancelled","",IFERROR((W679*INDEX(Variables!$B$7:$D$7,IFERROR(MATCH(IF($B679="Robusta","Robusta",(IF($B679="","Arabica",$B679))&amp;" - "&amp;(IF($C679="","Commercial",$C679))),Variables!$B$1:$D$1,0),1))*AK679/365)+(L679/16.67*INDEX(Variables!$B$8:$D$8,IFERROR(MATCH(IF($B679="Robusta","Robusta",(IF($B679="","Arabica",$B679))&amp;" - "&amp;(IF($C679="","Commercial",$C679))),Variables!$B$1:$D$1,0),1))*AK679)+(W679*INDEX(Variables!$B$9:$D$9,IFERROR(MATCH(IF($B679="Robusta","Robusta",(IF($B679="","Arabica",$B679))&amp;" - "&amp;(IF($C679="","Commercial",$C679))),Variables!$B$1:$D$1,0),1))*AK679/365),""))</f>
        <v>2225.285835203726</v>
      </c>
      <c r="BI679" s="44">
        <f>IF($AX679="Cancelled","",IFERROR((W679*INDEX(Variables!$B$7:$D$7,IFERROR(MATCH(IF($B679="Robusta","Robusta",(IF($B679="","Arabica",$B679))&amp;" - "&amp;(IF($C679="","Commercial",$C679))),Variables!$B$1:$D$1,0),1))*BD679/365)+(L679/16.67*INDEX(Variables!$B$8:$D$8,IFERROR(MATCH(IF($B679="Robusta","Robusta",(IF($B679="","Arabica",$B679))&amp;" - "&amp;(IF($C679="","Commercial",$C679))),Variables!$B$1:$D$1,0),1))*BD679)+(W679*INDEX(Variables!$B$9:$D$9,IFERROR(MATCH(IF($B679="Robusta","Robusta",(IF($B679="","Arabica",$B679))&amp;" - "&amp;(IF($C679="","Commercial",$C679))),Variables!$B$1:$D$1,0),1))*BD679/365),""))</f>
        <v>-3115.4001692852162</v>
      </c>
      <c r="BJ679" s="44">
        <f t="shared" si="32"/>
        <v>-49</v>
      </c>
      <c r="BK679" s="44">
        <f>IF($AX679="Cancelled","",IFERROR(IF(BJ679="","",(W679*INDEX(Variables!$B$7:$D$7,IFERROR(MATCH(IF($B679="Robusta","Robusta",(IF($B679="","Arabica",$B679))&amp;" - "&amp;(IF($C679="","Commercial",$C679))),Variables!$B$1:$D$1,0),1))*(BJ679/365))+(W679*INDEX(Variables!$B$9:$D$9,IFERROR(MATCH(IF($B679="Robusta","Robusta",(IF($B679="","Arabica",$B679))&amp;" - "&amp;(IF($C679="","Commercial",$C679))),Variables!$B$1:$D$1,0),1))*(BJ679/365))+(INDEX(Variables!$B$8:$D$8,IFERROR(MATCH(IF($B679="Robusta","Robusta",(IF($B679="","Arabica",$B679))&amp;" - "&amp;(IF($C679="","Commercial",$C679))),Variables!$B$1:$D$1,0),1))*L679/16.67)),""))</f>
        <v>-6736.4005924982566</v>
      </c>
    </row>
    <row r="680" spans="1:63">
      <c r="A680" s="13" t="s">
        <v>103</v>
      </c>
      <c r="B680" s="13" t="s">
        <v>104</v>
      </c>
      <c r="C680" s="13" t="s">
        <v>292</v>
      </c>
      <c r="D680" s="31">
        <v>46044</v>
      </c>
      <c r="E680" s="31">
        <v>46054</v>
      </c>
      <c r="F680" s="31">
        <v>46081</v>
      </c>
      <c r="G680" s="13">
        <v>3787124</v>
      </c>
      <c r="J680" s="13" t="s">
        <v>1356</v>
      </c>
      <c r="K680" s="13" t="s">
        <v>1859</v>
      </c>
      <c r="L680" s="13">
        <v>7</v>
      </c>
      <c r="M680" s="13">
        <v>0</v>
      </c>
      <c r="N680" s="13" t="s">
        <v>1860</v>
      </c>
      <c r="O680" s="13" t="s">
        <v>775</v>
      </c>
      <c r="P680" s="13">
        <v>10030</v>
      </c>
      <c r="R680" s="13" t="s">
        <v>384</v>
      </c>
      <c r="S680" s="13" t="s">
        <v>595</v>
      </c>
      <c r="T680" s="13" t="s">
        <v>596</v>
      </c>
      <c r="U680" s="13" t="s">
        <v>125</v>
      </c>
      <c r="V680" s="13">
        <v>182</v>
      </c>
      <c r="W680" s="44">
        <f>IF($AX680="Cancelled","",IFERROR(((V680+INDEX(Variables!$B$6:$D$6,IFERROR(MATCH(IF($B680="Robusta","Robusta",(IF($B680="","Arabica",$B680))&amp;" - "&amp;(IF($C680="","Commercial",$C680))),Variables!$B$1:$D$1,0),1)))*22.0462)*(L680/16.67),""))</f>
        <v>4376.9708170365921</v>
      </c>
      <c r="X680" s="55" t="s">
        <v>39</v>
      </c>
      <c r="Y680" s="13" t="str">
        <f>IF($AX680="Cancelled","",IF(X680="","",IFERROR(IF(INDEX(Variables!$B$38:$B$47,MATCH(X680,Variables!$A$38:$A$47,0))="Yes","Yes","No"),"No")))</f>
        <v>No</v>
      </c>
      <c r="Z680" s="31"/>
      <c r="AB680" s="31">
        <v>46022.875</v>
      </c>
      <c r="AC680" s="13" t="str">
        <f t="shared" si="31"/>
        <v>Approved</v>
      </c>
      <c r="AF680" s="71">
        <v>46077</v>
      </c>
      <c r="AG680" s="31">
        <f>IF($AX680="Cancelled","",IFERROR(IF(F680="","",F680-Variables!$B$13),""))</f>
        <v>46066</v>
      </c>
      <c r="AH680" s="13">
        <f>IF($AX680="Cancelled","",IFERROR(IF(AB680="","",(AVERAGE(E680:F680)-AB680)-Variables!$B$14),""))</f>
        <v>14.625</v>
      </c>
      <c r="AJ680" s="47">
        <v>46105</v>
      </c>
      <c r="AK680" s="14">
        <f>IF($AX680="Cancelled","",IFERROR(IF(AJ680="","",IF(AND(AB680="",AF680=""),"",IF(AF680&gt;AB680,AF680+Variables!$B$15+Variables!$B$16+Variables!$B$17-AJ680,AB680+Variables!$B$16+Variables!$B$17-AJ680))),""))</f>
        <v>-13</v>
      </c>
      <c r="AL680" s="48" t="s">
        <v>114</v>
      </c>
      <c r="AM680" s="13" t="s">
        <v>1526</v>
      </c>
      <c r="AN680" s="13" t="s">
        <v>1832</v>
      </c>
      <c r="AP680" s="31" t="e">
        <v>#N/A</v>
      </c>
      <c r="AR680" s="13" t="s">
        <v>1833</v>
      </c>
      <c r="AS680" s="31">
        <v>46117</v>
      </c>
      <c r="AU680" s="31">
        <v>46128</v>
      </c>
      <c r="AV680" s="13" t="s">
        <v>865</v>
      </c>
      <c r="AW680" s="31">
        <v>46142</v>
      </c>
      <c r="AX680" s="13" t="str">
        <f>IF(ISNUMBER(SEARCH("cancel",#REF!)),"Cancelled",IF(AND(AS680&lt;&gt;"",AU680&lt;&gt;"",AW680&lt;&gt;""),"Closed","Open"))</f>
        <v>Closed</v>
      </c>
      <c r="AY680" s="15" t="str">
        <f t="shared" si="30"/>
        <v>All dates received</v>
      </c>
      <c r="BD680" s="13">
        <f>IF($AX680="Cancelled","",IFERROR(IF(OR(AS680="",AJ680=""),"",(AJ680+Variables!$B$18-AS680)),""))</f>
        <v>3</v>
      </c>
      <c r="BE680" s="13">
        <f>IF($AX680="Cancelled","",IFERROR(IF(OR(AW680="",AS680=""),"",(AS680+Variables!$B$19)-AW680),""))</f>
        <v>-20</v>
      </c>
      <c r="BF680" s="44">
        <f>IF($AX680="Cancelled","",IFERROR(W680*INDEX(Variables!$B$7:$D$7,IFERROR(MATCH(IF($B680="Robusta","Robusta",(IF($B680="","Arabica",$B680))&amp;" - "&amp;(IF($C680="","Commercial",$C680))),Variables!$B$1:$D$1,0),1))*(BE680/365),""))</f>
        <v>-15.465025074976269</v>
      </c>
      <c r="BG680" s="44">
        <f>IF($AX680="Cancelled","",IFERROR((W680*INDEX(Variables!$B$7:$D$7,IFERROR(MATCH(IF($B680="Robusta","Robusta",(IF($B680="","Arabica",$B680))&amp;" - "&amp;(IF($C680="","Commercial",$C680))),Variables!$B$1:$D$1,0),1))*IFERROR(IF(AB680="","",(AVERAGE(E680:F680)-AB680)-Variables!$B$14),"")/365)+(L680/16.67*INDEX(Variables!$B$8:$D$8,IFERROR(MATCH(IF($B680="Robusta","Robusta",(IF($B680="","Arabica",$B680))&amp;" - "&amp;(IF($C680="","Commercial",$C680))),Variables!$B$1:$D$1,0),1))*IFERROR(IF(AB680="","",(AVERAGE(E680:F680)-AB680)-Variables!$B$14),""))+(W680*INDEX(Variables!$B$9:$D$9,IFERROR(MATCH(IF($B680="Robusta","Robusta",(IF($B680="","Arabica",$B680))&amp;" - "&amp;(IF($C680="","Commercial",$C680))),Variables!$B$1:$D$1,0),1))*IFERROR(IF(AB680="","",(AVERAGE(E680:F680)-AB680)-Variables!$B$14),"")/365),""))</f>
        <v>16.573341837207799</v>
      </c>
      <c r="BH680" s="44">
        <f>IF($AX680="Cancelled","",IFERROR((W680*INDEX(Variables!$B$7:$D$7,IFERROR(MATCH(IF($B680="Robusta","Robusta",(IF($B680="","Arabica",$B680))&amp;" - "&amp;(IF($C680="","Commercial",$C680))),Variables!$B$1:$D$1,0),1))*AK680/365)+(L680/16.67*INDEX(Variables!$B$8:$D$8,IFERROR(MATCH(IF($B680="Robusta","Robusta",(IF($B680="","Arabica",$B680))&amp;" - "&amp;(IF($C680="","Commercial",$C680))),Variables!$B$1:$D$1,0),1))*AK680)+(W680*INDEX(Variables!$B$9:$D$9,IFERROR(MATCH(IF($B680="Robusta","Robusta",(IF($B680="","Arabica",$B680))&amp;" - "&amp;(IF($C680="","Commercial",$C680))),Variables!$B$1:$D$1,0),1))*AK680/365),""))</f>
        <v>-14.731859410851378</v>
      </c>
      <c r="BI680" s="44">
        <f>IF($AX680="Cancelled","",IFERROR((W680*INDEX(Variables!$B$7:$D$7,IFERROR(MATCH(IF($B680="Robusta","Robusta",(IF($B680="","Arabica",$B680))&amp;" - "&amp;(IF($C680="","Commercial",$C680))),Variables!$B$1:$D$1,0),1))*BD680/365)+(L680/16.67*INDEX(Variables!$B$8:$D$8,IFERROR(MATCH(IF($B680="Robusta","Robusta",(IF($B680="","Arabica",$B680))&amp;" - "&amp;(IF($C680="","Commercial",$C680))),Variables!$B$1:$D$1,0),1))*BD680)+(W680*INDEX(Variables!$B$9:$D$9,IFERROR(MATCH(IF($B680="Robusta","Robusta",(IF($B680="","Arabica",$B680))&amp;" - "&amp;(IF($C680="","Commercial",$C680))),Variables!$B$1:$D$1,0),1))*BD680/365),""))</f>
        <v>3.3996598640426252</v>
      </c>
      <c r="BJ680" s="44">
        <f t="shared" si="32"/>
        <v>-36</v>
      </c>
      <c r="BK680" s="44">
        <f>IF($AX680="Cancelled","",IFERROR(IF(BJ680="","",(W680*INDEX(Variables!$B$7:$D$7,IFERROR(MATCH(IF($B680="Robusta","Robusta",(IF($B680="","Arabica",$B680))&amp;" - "&amp;(IF($C680="","Commercial",$C680))),Variables!$B$1:$D$1,0),1))*(BJ680/365))+(W680*INDEX(Variables!$B$9:$D$9,IFERROR(MATCH(IF($B680="Robusta","Robusta",(IF($B680="","Arabica",$B680))&amp;" - "&amp;(IF($C680="","Commercial",$C680))),Variables!$B$1:$D$1,0),1))*(BJ680/365))+(INDEX(Variables!$B$8:$D$8,IFERROR(MATCH(IF($B680="Robusta","Robusta",(IF($B680="","Arabica",$B680))&amp;" - "&amp;(IF($C680="","Commercial",$C680))),Variables!$B$1:$D$1,0),1))*L680/16.67)),""))</f>
        <v>-27.845918368511505</v>
      </c>
    </row>
    <row r="681" spans="1:63">
      <c r="A681" s="13" t="s">
        <v>103</v>
      </c>
      <c r="B681" s="13" t="s">
        <v>104</v>
      </c>
      <c r="C681" s="13" t="s">
        <v>292</v>
      </c>
      <c r="D681" s="31">
        <v>46045</v>
      </c>
      <c r="E681" s="31">
        <v>46054</v>
      </c>
      <c r="F681" s="31">
        <v>46081</v>
      </c>
      <c r="G681" s="13">
        <v>3787125</v>
      </c>
      <c r="J681" s="13" t="s">
        <v>506</v>
      </c>
      <c r="K681" s="13" t="s">
        <v>1861</v>
      </c>
      <c r="L681" s="13">
        <v>6</v>
      </c>
      <c r="M681" s="13">
        <v>0</v>
      </c>
      <c r="N681" s="13" t="s">
        <v>1862</v>
      </c>
      <c r="O681" s="13" t="s">
        <v>775</v>
      </c>
      <c r="P681" s="13">
        <v>10030</v>
      </c>
      <c r="R681" s="13" t="s">
        <v>239</v>
      </c>
      <c r="S681" s="13" t="s">
        <v>509</v>
      </c>
      <c r="T681" s="13" t="s">
        <v>329</v>
      </c>
      <c r="U681" s="13" t="s">
        <v>330</v>
      </c>
      <c r="V681" s="13">
        <v>157</v>
      </c>
      <c r="W681" s="44">
        <f>IF($AX681="Cancelled","",IFERROR(((V681+INDEX(Variables!$B$6:$D$6,IFERROR(MATCH(IF($B681="Robusta","Robusta",(IF($B681="","Arabica",$B681))&amp;" - "&amp;(IF($C681="","Commercial",$C681))),Variables!$B$1:$D$1,0),1)))*22.0462)*(L681/16.67),""))</f>
        <v>3553.3131469706054</v>
      </c>
      <c r="X681" s="55" t="s">
        <v>39</v>
      </c>
      <c r="Y681" s="13" t="str">
        <f>IF($AX681="Cancelled","",IF(X681="","",IFERROR(IF(INDEX(Variables!$B$38:$B$47,MATCH(X681,Variables!$A$38:$A$47,0))="Yes","Yes","No"),"No")))</f>
        <v>No</v>
      </c>
      <c r="Z681" s="31"/>
      <c r="AC681" s="13" t="str">
        <f t="shared" si="31"/>
        <v/>
      </c>
      <c r="AF681" s="71">
        <v>46078</v>
      </c>
      <c r="AG681" s="31">
        <f>IF($AX681="Cancelled","",IFERROR(IF(F681="","",F681-Variables!$B$13),""))</f>
        <v>46066</v>
      </c>
      <c r="AH681" s="13" t="str">
        <f>IF($AX681="Cancelled","",IFERROR(IF(AB681="","",(AVERAGE(E681:F681)-AB681)-Variables!$B$14),""))</f>
        <v/>
      </c>
      <c r="AJ681" s="47">
        <v>46120</v>
      </c>
      <c r="AK681" s="14">
        <f>IF($AX681="Cancelled","",IFERROR(IF(AJ681="","",IF(AND(AB681="",AF681=""),"",IF(AF681&gt;AB681,AF681+Variables!$B$15+Variables!$B$16+Variables!$B$17-AJ681,AB681+Variables!$B$16+Variables!$B$17-AJ681))),""))</f>
        <v>-27</v>
      </c>
      <c r="AL681" s="48" t="s">
        <v>114</v>
      </c>
      <c r="AM681" s="13" t="s">
        <v>115</v>
      </c>
      <c r="AN681" s="13" t="s">
        <v>1541</v>
      </c>
      <c r="AP681" s="31" t="e">
        <v>#N/A</v>
      </c>
      <c r="AR681" s="13">
        <v>267559943</v>
      </c>
      <c r="AS681" s="31">
        <v>46132</v>
      </c>
      <c r="AU681" s="31">
        <v>46147</v>
      </c>
      <c r="AV681" s="13" t="s">
        <v>865</v>
      </c>
      <c r="AW681" s="31">
        <v>46162</v>
      </c>
      <c r="AX681" s="13" t="str">
        <f>IF(ISNUMBER(SEARCH("cancel",#REF!)),"Cancelled",IF(AND(AS681&lt;&gt;"",AU681&lt;&gt;"",AW681&lt;&gt;""),"Closed","Open"))</f>
        <v>Closed</v>
      </c>
      <c r="AY681" s="15" t="str">
        <f t="shared" si="30"/>
        <v>All dates received</v>
      </c>
      <c r="BD681" s="13">
        <f>IF($AX681="Cancelled","",IFERROR(IF(OR(AS681="",AJ681=""),"",(AJ681+Variables!$B$18-AS681)),""))</f>
        <v>3</v>
      </c>
      <c r="BE681" s="13">
        <f>IF($AX681="Cancelled","",IFERROR(IF(OR(AW681="",AS681=""),"",(AS681+Variables!$B$19)-AW681),""))</f>
        <v>-25</v>
      </c>
      <c r="BF681" s="44">
        <f>IF($AX681="Cancelled","",IFERROR(W681*INDEX(Variables!$B$7:$D$7,IFERROR(MATCH(IF($B681="Robusta","Robusta",(IF($B681="","Arabica",$B681))&amp;" - "&amp;(IF($C681="","Commercial",$C681))),Variables!$B$1:$D$1,0),1))*(BE681/365),""))</f>
        <v>-15.693523904492327</v>
      </c>
      <c r="BG681" s="44" t="str">
        <f>IF($AX681="Cancelled","",IFERROR((W681*INDEX(Variables!$B$7:$D$7,IFERROR(MATCH(IF($B681="Robusta","Robusta",(IF($B681="","Arabica",$B681))&amp;" - "&amp;(IF($C681="","Commercial",$C681))),Variables!$B$1:$D$1,0),1))*IFERROR(IF(AB681="","",(AVERAGE(E681:F681)-AB681)-Variables!$B$14),"")/365)+(L681/16.67*INDEX(Variables!$B$8:$D$8,IFERROR(MATCH(IF($B681="Robusta","Robusta",(IF($B681="","Arabica",$B681))&amp;" - "&amp;(IF($C681="","Commercial",$C681))),Variables!$B$1:$D$1,0),1))*IFERROR(IF(AB681="","",(AVERAGE(E681:F681)-AB681)-Variables!$B$14),""))+(W681*INDEX(Variables!$B$9:$D$9,IFERROR(MATCH(IF($B681="Robusta","Robusta",(IF($B681="","Arabica",$B681))&amp;" - "&amp;(IF($C681="","Commercial",$C681))),Variables!$B$1:$D$1,0),1))*IFERROR(IF(AB681="","",(AVERAGE(E681:F681)-AB681)-Variables!$B$14),"")/365),""))</f>
        <v/>
      </c>
      <c r="BH681" s="44">
        <f>IF($AX681="Cancelled","",IFERROR((W681*INDEX(Variables!$B$7:$D$7,IFERROR(MATCH(IF($B681="Robusta","Robusta",(IF($B681="","Arabica",$B681))&amp;" - "&amp;(IF($C681="","Commercial",$C681))),Variables!$B$1:$D$1,0),1))*AK681/365)+(L681/16.67*INDEX(Variables!$B$8:$D$8,IFERROR(MATCH(IF($B681="Robusta","Robusta",(IF($B681="","Arabica",$B681))&amp;" - "&amp;(IF($C681="","Commercial",$C681))),Variables!$B$1:$D$1,0),1))*AK681)+(W681*INDEX(Variables!$B$9:$D$9,IFERROR(MATCH(IF($B681="Robusta","Robusta",(IF($B681="","Arabica",$B681))&amp;" - "&amp;(IF($C681="","Commercial",$C681))),Variables!$B$1:$D$1,0),1))*AK681/365),""))</f>
        <v>-25.267511211139574</v>
      </c>
      <c r="BI681" s="44">
        <f>IF($AX681="Cancelled","",IFERROR((W681*INDEX(Variables!$B$7:$D$7,IFERROR(MATCH(IF($B681="Robusta","Robusta",(IF($B681="","Arabica",$B681))&amp;" - "&amp;(IF($C681="","Commercial",$C681))),Variables!$B$1:$D$1,0),1))*BD681/365)+(L681/16.67*INDEX(Variables!$B$8:$D$8,IFERROR(MATCH(IF($B681="Robusta","Robusta",(IF($B681="","Arabica",$B681))&amp;" - "&amp;(IF($C681="","Commercial",$C681))),Variables!$B$1:$D$1,0),1))*BD681)+(W681*INDEX(Variables!$B$9:$D$9,IFERROR(MATCH(IF($B681="Robusta","Robusta",(IF($B681="","Arabica",$B681))&amp;" - "&amp;(IF($C681="","Commercial",$C681))),Variables!$B$1:$D$1,0),1))*BD681/365),""))</f>
        <v>2.8075012456821749</v>
      </c>
      <c r="BJ681" s="44">
        <f t="shared" si="32"/>
        <v>-51</v>
      </c>
      <c r="BK681" s="44">
        <f>IF($AX681="Cancelled","",IFERROR(IF(BJ681="","",(W681*INDEX(Variables!$B$7:$D$7,IFERROR(MATCH(IF($B681="Robusta","Robusta",(IF($B681="","Arabica",$B681))&amp;" - "&amp;(IF($C681="","Commercial",$C681))),Variables!$B$1:$D$1,0),1))*(BJ681/365))+(W681*INDEX(Variables!$B$9:$D$9,IFERROR(MATCH(IF($B681="Robusta","Robusta",(IF($B681="","Arabica",$B681))&amp;" - "&amp;(IF($C681="","Commercial",$C681))),Variables!$B$1:$D$1,0),1))*(BJ681/365))+(INDEX(Variables!$B$8:$D$8,IFERROR(MATCH(IF($B681="Robusta","Robusta",(IF($B681="","Arabica",$B681))&amp;" - "&amp;(IF($C681="","Commercial",$C681))),Variables!$B$1:$D$1,0),1))*L681/16.67)),""))</f>
        <v>-32.127521176596986</v>
      </c>
    </row>
    <row r="682" spans="1:63">
      <c r="A682" s="13" t="s">
        <v>103</v>
      </c>
      <c r="B682" s="13" t="s">
        <v>104</v>
      </c>
      <c r="C682" s="13" t="s">
        <v>292</v>
      </c>
      <c r="D682" s="31">
        <v>46045</v>
      </c>
      <c r="E682" s="31">
        <v>46054</v>
      </c>
      <c r="F682" s="31">
        <v>46081</v>
      </c>
      <c r="G682" s="13">
        <v>3787126</v>
      </c>
      <c r="J682" s="13" t="s">
        <v>506</v>
      </c>
      <c r="K682" s="13" t="s">
        <v>1863</v>
      </c>
      <c r="L682" s="13">
        <v>10</v>
      </c>
      <c r="M682" s="13">
        <v>0</v>
      </c>
      <c r="N682" s="13" t="s">
        <v>1864</v>
      </c>
      <c r="O682" s="13" t="s">
        <v>1391</v>
      </c>
      <c r="P682" s="13">
        <v>10040</v>
      </c>
      <c r="R682" s="13" t="s">
        <v>239</v>
      </c>
      <c r="S682" s="13" t="s">
        <v>509</v>
      </c>
      <c r="T682" s="13" t="s">
        <v>329</v>
      </c>
      <c r="U682" s="13" t="s">
        <v>330</v>
      </c>
      <c r="V682" s="13">
        <v>131</v>
      </c>
      <c r="W682" s="44">
        <f>IF($AX682="Cancelled","",IFERROR(((V682+INDEX(Variables!$B$6:$D$6,IFERROR(MATCH(IF($B682="Robusta","Robusta",(IF($B682="","Arabica",$B682))&amp;" - "&amp;(IF($C682="","Commercial",$C682))),Variables!$B$1:$D$1,0),1)))*22.0462)*(L682/16.67),""))</f>
        <v>5578.3366286742639</v>
      </c>
      <c r="X682" s="55" t="s">
        <v>39</v>
      </c>
      <c r="Y682" s="13" t="str">
        <f>IF($AX682="Cancelled","",IF(X682="","",IFERROR(IF(INDEX(Variables!$B$38:$B$47,MATCH(X682,Variables!$A$38:$A$47,0))="Yes","Yes","No"),"No")))</f>
        <v>No</v>
      </c>
      <c r="Z682" s="31"/>
      <c r="AC682" s="13" t="str">
        <f t="shared" si="31"/>
        <v/>
      </c>
      <c r="AF682" s="71">
        <v>46077</v>
      </c>
      <c r="AG682" s="31">
        <f>IF($AX682="Cancelled","",IFERROR(IF(F682="","",F682-Variables!$B$13),""))</f>
        <v>46066</v>
      </c>
      <c r="AH682" s="13" t="str">
        <f>IF($AX682="Cancelled","",IFERROR(IF(AB682="","",(AVERAGE(E682:F682)-AB682)-Variables!$B$14),""))</f>
        <v/>
      </c>
      <c r="AJ682" s="47">
        <v>46120</v>
      </c>
      <c r="AK682" s="14">
        <f>IF($AX682="Cancelled","",IFERROR(IF(AJ682="","",IF(AND(AB682="",AF682=""),"",IF(AF682&gt;AB682,AF682+Variables!$B$15+Variables!$B$16+Variables!$B$17-AJ682,AB682+Variables!$B$16+Variables!$B$17-AJ682))),""))</f>
        <v>-28</v>
      </c>
      <c r="AL682" s="48" t="s">
        <v>114</v>
      </c>
      <c r="AM682" s="13" t="s">
        <v>115</v>
      </c>
      <c r="AN682" s="13" t="s">
        <v>1541</v>
      </c>
      <c r="AP682" s="31" t="e">
        <v>#N/A</v>
      </c>
      <c r="AR682" s="13">
        <v>267559943</v>
      </c>
      <c r="AS682" s="31">
        <v>46132</v>
      </c>
      <c r="AU682" s="31">
        <v>46147</v>
      </c>
      <c r="AV682" s="13" t="s">
        <v>865</v>
      </c>
      <c r="AW682" s="31">
        <v>46162</v>
      </c>
      <c r="AX682" s="13" t="str">
        <f>IF(ISNUMBER(SEARCH("cancel",#REF!)),"Cancelled",IF(AND(AS682&lt;&gt;"",AU682&lt;&gt;"",AW682&lt;&gt;""),"Closed","Open"))</f>
        <v>Closed</v>
      </c>
      <c r="AY682" s="15" t="str">
        <f t="shared" si="30"/>
        <v>All dates received</v>
      </c>
      <c r="BD682" s="13">
        <f>IF($AX682="Cancelled","",IFERROR(IF(OR(AS682="",AJ682=""),"",(AJ682+Variables!$B$18-AS682)),""))</f>
        <v>3</v>
      </c>
      <c r="BE682" s="13">
        <f>IF($AX682="Cancelled","",IFERROR(IF(OR(AW682="",AS682=""),"",(AS682+Variables!$B$19)-AW682),""))</f>
        <v>-25</v>
      </c>
      <c r="BF682" s="44">
        <f>IF($AX682="Cancelled","",IFERROR(W682*INDEX(Variables!$B$7:$D$7,IFERROR(MATCH(IF($B682="Robusta","Robusta",(IF($B682="","Arabica",$B682))&amp;" - "&amp;(IF($C682="","Commercial",$C682))),Variables!$B$1:$D$1,0),1))*(BE682/365),""))</f>
        <v>-24.637220421746548</v>
      </c>
      <c r="BG682" s="44" t="str">
        <f>IF($AX682="Cancelled","",IFERROR((W682*INDEX(Variables!$B$7:$D$7,IFERROR(MATCH(IF($B682="Robusta","Robusta",(IF($B682="","Arabica",$B682))&amp;" - "&amp;(IF($C682="","Commercial",$C682))),Variables!$B$1:$D$1,0),1))*IFERROR(IF(AB682="","",(AVERAGE(E682:F682)-AB682)-Variables!$B$14),"")/365)+(L682/16.67*INDEX(Variables!$B$8:$D$8,IFERROR(MATCH(IF($B682="Robusta","Robusta",(IF($B682="","Arabica",$B682))&amp;" - "&amp;(IF($C682="","Commercial",$C682))),Variables!$B$1:$D$1,0),1))*IFERROR(IF(AB682="","",(AVERAGE(E682:F682)-AB682)-Variables!$B$14),""))+(W682*INDEX(Variables!$B$9:$D$9,IFERROR(MATCH(IF($B682="Robusta","Robusta",(IF($B682="","Arabica",$B682))&amp;" - "&amp;(IF($C682="","Commercial",$C682))),Variables!$B$1:$D$1,0),1))*IFERROR(IF(AB682="","",(AVERAGE(E682:F682)-AB682)-Variables!$B$14),"")/365),""))</f>
        <v/>
      </c>
      <c r="BH682" s="44">
        <f>IF($AX682="Cancelled","",IFERROR((W682*INDEX(Variables!$B$7:$D$7,IFERROR(MATCH(IF($B682="Robusta","Robusta",(IF($B682="","Arabica",$B682))&amp;" - "&amp;(IF($C682="","Commercial",$C682))),Variables!$B$1:$D$1,0),1))*AK682/365)+(L682/16.67*INDEX(Variables!$B$8:$D$8,IFERROR(MATCH(IF($B682="Robusta","Robusta",(IF($B682="","Arabica",$B682))&amp;" - "&amp;(IF($C682="","Commercial",$C682))),Variables!$B$1:$D$1,0),1))*AK682)+(W682*INDEX(Variables!$B$9:$D$9,IFERROR(MATCH(IF($B682="Robusta","Robusta",(IF($B682="","Arabica",$B682))&amp;" - "&amp;(IF($C682="","Commercial",$C682))),Variables!$B$1:$D$1,0),1))*AK682/365),""))</f>
        <v>-41.949422748256616</v>
      </c>
      <c r="BI682" s="44">
        <f>IF($AX682="Cancelled","",IFERROR((W682*INDEX(Variables!$B$7:$D$7,IFERROR(MATCH(IF($B682="Robusta","Robusta",(IF($B682="","Arabica",$B682))&amp;" - "&amp;(IF($C682="","Commercial",$C682))),Variables!$B$1:$D$1,0),1))*BD682/365)+(L682/16.67*INDEX(Variables!$B$8:$D$8,IFERROR(MATCH(IF($B682="Robusta","Robusta",(IF($B682="","Arabica",$B682))&amp;" - "&amp;(IF($C682="","Commercial",$C682))),Variables!$B$1:$D$1,0),1))*BD682)+(W682*INDEX(Variables!$B$9:$D$9,IFERROR(MATCH(IF($B682="Robusta","Robusta",(IF($B682="","Arabica",$B682))&amp;" - "&amp;(IF($C682="","Commercial",$C682))),Variables!$B$1:$D$1,0),1))*BD682/365),""))</f>
        <v>4.4945810087417799</v>
      </c>
      <c r="BJ682" s="44">
        <f t="shared" si="32"/>
        <v>-51</v>
      </c>
      <c r="BK682" s="44">
        <f>IF($AX682="Cancelled","",IFERROR(IF(BJ682="","",(W682*INDEX(Variables!$B$7:$D$7,IFERROR(MATCH(IF($B682="Robusta","Robusta",(IF($B682="","Arabica",$B682))&amp;" - "&amp;(IF($C682="","Commercial",$C682))),Variables!$B$1:$D$1,0),1))*(BJ682/365))+(W682*INDEX(Variables!$B$9:$D$9,IFERROR(MATCH(IF($B682="Robusta","Robusta",(IF($B682="","Arabica",$B682))&amp;" - "&amp;(IF($C682="","Commercial",$C682))),Variables!$B$1:$D$1,0),1))*(BJ682/365))+(INDEX(Variables!$B$8:$D$8,IFERROR(MATCH(IF($B682="Robusta","Robusta",(IF($B682="","Arabica",$B682))&amp;" - "&amp;(IF($C682="","Commercial",$C682))),Variables!$B$1:$D$1,0),1))*L682/16.67)),""))</f>
        <v>-50.407877148610261</v>
      </c>
    </row>
    <row r="683" spans="1:63">
      <c r="A683" s="13" t="s">
        <v>103</v>
      </c>
      <c r="B683" s="13" t="s">
        <v>104</v>
      </c>
      <c r="C683" s="13" t="s">
        <v>292</v>
      </c>
      <c r="D683" s="31">
        <v>46045</v>
      </c>
      <c r="E683" s="31">
        <v>46054</v>
      </c>
      <c r="F683" s="31">
        <v>46081</v>
      </c>
      <c r="G683" s="13">
        <v>3787127</v>
      </c>
      <c r="J683" s="13" t="s">
        <v>506</v>
      </c>
      <c r="K683" s="13" t="s">
        <v>1865</v>
      </c>
      <c r="L683" s="13">
        <v>12</v>
      </c>
      <c r="M683" s="13">
        <v>0</v>
      </c>
      <c r="N683" s="13" t="s">
        <v>1866</v>
      </c>
      <c r="O683" s="13" t="s">
        <v>771</v>
      </c>
      <c r="P683" s="13">
        <v>10010</v>
      </c>
      <c r="R683" s="13" t="s">
        <v>239</v>
      </c>
      <c r="S683" s="13" t="s">
        <v>509</v>
      </c>
      <c r="T683" s="13" t="s">
        <v>329</v>
      </c>
      <c r="U683" s="13" t="s">
        <v>330</v>
      </c>
      <c r="V683" s="13">
        <v>181</v>
      </c>
      <c r="W683" s="44">
        <f>IF($AX683="Cancelled","",IFERROR(((V683+INDEX(Variables!$B$6:$D$6,IFERROR(MATCH(IF($B683="Robusta","Robusta",(IF($B683="","Arabica",$B683))&amp;" - "&amp;(IF($C683="","Commercial",$C683))),Variables!$B$1:$D$1,0),1)))*22.0462)*(L683/16.67),""))</f>
        <v>7487.5084535092974</v>
      </c>
      <c r="X683" s="55" t="s">
        <v>39</v>
      </c>
      <c r="Y683" s="13" t="str">
        <f>IF($AX683="Cancelled","",IF(X683="","",IFERROR(IF(INDEX(Variables!$B$38:$B$47,MATCH(X683,Variables!$A$38:$A$47,0))="Yes","Yes","No"),"No")))</f>
        <v>No</v>
      </c>
      <c r="Z683" s="31"/>
      <c r="AC683" s="13" t="str">
        <f t="shared" si="31"/>
        <v/>
      </c>
      <c r="AF683" s="71">
        <v>46077</v>
      </c>
      <c r="AG683" s="31">
        <f>IF($AX683="Cancelled","",IFERROR(IF(F683="","",F683-Variables!$B$13),""))</f>
        <v>46066</v>
      </c>
      <c r="AH683" s="13" t="str">
        <f>IF($AX683="Cancelled","",IFERROR(IF(AB683="","",(AVERAGE(E683:F683)-AB683)-Variables!$B$14),""))</f>
        <v/>
      </c>
      <c r="AJ683" s="47">
        <v>46120</v>
      </c>
      <c r="AK683" s="14">
        <f>IF($AX683="Cancelled","",IFERROR(IF(AJ683="","",IF(AND(AB683="",AF683=""),"",IF(AF683&gt;AB683,AF683+Variables!$B$15+Variables!$B$16+Variables!$B$17-AJ683,AB683+Variables!$B$16+Variables!$B$17-AJ683))),""))</f>
        <v>-28</v>
      </c>
      <c r="AL683" s="48" t="s">
        <v>114</v>
      </c>
      <c r="AM683" s="13" t="s">
        <v>115</v>
      </c>
      <c r="AN683" s="13" t="s">
        <v>1541</v>
      </c>
      <c r="AP683" s="31" t="e">
        <v>#N/A</v>
      </c>
      <c r="AR683" s="13">
        <v>267559943</v>
      </c>
      <c r="AS683" s="31">
        <v>46132</v>
      </c>
      <c r="AU683" s="31">
        <v>46147</v>
      </c>
      <c r="AV683" s="13" t="s">
        <v>865</v>
      </c>
      <c r="AW683" s="31">
        <v>46162</v>
      </c>
      <c r="AX683" s="13" t="str">
        <f>IF(ISNUMBER(SEARCH("cancel",#REF!)),"Cancelled",IF(AND(AS683&lt;&gt;"",AU683&lt;&gt;"",AW683&lt;&gt;""),"Closed","Open"))</f>
        <v>Closed</v>
      </c>
      <c r="AY683" s="15" t="str">
        <f t="shared" si="30"/>
        <v>All dates received</v>
      </c>
      <c r="BD683" s="13">
        <f>IF($AX683="Cancelled","",IFERROR(IF(OR(AS683="",AJ683=""),"",(AJ683+Variables!$B$18-AS683)),""))</f>
        <v>3</v>
      </c>
      <c r="BE683" s="13">
        <f>IF($AX683="Cancelled","",IFERROR(IF(OR(AW683="",AS683=""),"",(AS683+Variables!$B$19)-AW683),""))</f>
        <v>-25</v>
      </c>
      <c r="BF683" s="44">
        <f>IF($AX683="Cancelled","",IFERROR(W683*INDEX(Variables!$B$7:$D$7,IFERROR(MATCH(IF($B683="Robusta","Robusta",(IF($B683="","Arabica",$B683))&amp;" - "&amp;(IF($C683="","Commercial",$C683))),Variables!$B$1:$D$1,0),1))*(BE683/365),""))</f>
        <v>-33.069247780882002</v>
      </c>
      <c r="BG683" s="44" t="str">
        <f>IF($AX683="Cancelled","",IFERROR((W683*INDEX(Variables!$B$7:$D$7,IFERROR(MATCH(IF($B683="Robusta","Robusta",(IF($B683="","Arabica",$B683))&amp;" - "&amp;(IF($C683="","Commercial",$C683))),Variables!$B$1:$D$1,0),1))*IFERROR(IF(AB683="","",(AVERAGE(E683:F683)-AB683)-Variables!$B$14),"")/365)+(L683/16.67*INDEX(Variables!$B$8:$D$8,IFERROR(MATCH(IF($B683="Robusta","Robusta",(IF($B683="","Arabica",$B683))&amp;" - "&amp;(IF($C683="","Commercial",$C683))),Variables!$B$1:$D$1,0),1))*IFERROR(IF(AB683="","",(AVERAGE(E683:F683)-AB683)-Variables!$B$14),""))+(W683*INDEX(Variables!$B$9:$D$9,IFERROR(MATCH(IF($B683="Robusta","Robusta",(IF($B683="","Arabica",$B683))&amp;" - "&amp;(IF($C683="","Commercial",$C683))),Variables!$B$1:$D$1,0),1))*IFERROR(IF(AB683="","",(AVERAGE(E683:F683)-AB683)-Variables!$B$14),"")/365),""))</f>
        <v/>
      </c>
      <c r="BH683" s="44">
        <f>IF($AX683="Cancelled","",IFERROR((W683*INDEX(Variables!$B$7:$D$7,IFERROR(MATCH(IF($B683="Robusta","Robusta",(IF($B683="","Arabica",$B683))&amp;" - "&amp;(IF($C683="","Commercial",$C683))),Variables!$B$1:$D$1,0),1))*AK683/365)+(L683/16.67*INDEX(Variables!$B$8:$D$8,IFERROR(MATCH(IF($B683="Robusta","Robusta",(IF($B683="","Arabica",$B683))&amp;" - "&amp;(IF($C683="","Commercial",$C683))),Variables!$B$1:$D$1,0),1))*AK683)+(W683*INDEX(Variables!$B$9:$D$9,IFERROR(MATCH(IF($B683="Robusta","Robusta",(IF($B683="","Arabica",$B683))&amp;" - "&amp;(IF($C683="","Commercial",$C683))),Variables!$B$1:$D$1,0),1))*AK683/365),""))</f>
        <v>-54.315043108470761</v>
      </c>
      <c r="BI683" s="44">
        <f>IF($AX683="Cancelled","",IFERROR((W683*INDEX(Variables!$B$7:$D$7,IFERROR(MATCH(IF($B683="Robusta","Robusta",(IF($B683="","Arabica",$B683))&amp;" - "&amp;(IF($C683="","Commercial",$C683))),Variables!$B$1:$D$1,0),1))*BD683/365)+(L683/16.67*INDEX(Variables!$B$8:$D$8,IFERROR(MATCH(IF($B683="Robusta","Robusta",(IF($B683="","Arabica",$B683))&amp;" - "&amp;(IF($C683="","Commercial",$C683))),Variables!$B$1:$D$1,0),1))*BD683)+(W683*INDEX(Variables!$B$9:$D$9,IFERROR(MATCH(IF($B683="Robusta","Robusta",(IF($B683="","Arabica",$B683))&amp;" - "&amp;(IF($C683="","Commercial",$C683))),Variables!$B$1:$D$1,0),1))*BD683/365),""))</f>
        <v>5.8194689044790087</v>
      </c>
      <c r="BJ683" s="44">
        <f t="shared" si="32"/>
        <v>-51</v>
      </c>
      <c r="BK683" s="44">
        <f>IF($AX683="Cancelled","",IFERROR(IF(BJ683="","",(W683*INDEX(Variables!$B$7:$D$7,IFERROR(MATCH(IF($B683="Robusta","Robusta",(IF($B683="","Arabica",$B683))&amp;" - "&amp;(IF($C683="","Commercial",$C683))),Variables!$B$1:$D$1,0),1))*(BJ683/365))+(W683*INDEX(Variables!$B$9:$D$9,IFERROR(MATCH(IF($B683="Robusta","Robusta",(IF($B683="","Arabica",$B683))&amp;" - "&amp;(IF($C683="","Commercial",$C683))),Variables!$B$1:$D$1,0),1))*(BJ683/365))+(INDEX(Variables!$B$8:$D$8,IFERROR(MATCH(IF($B683="Robusta","Robusta",(IF($B683="","Arabica",$B683))&amp;" - "&amp;(IF($C683="","Commercial",$C683))),Variables!$B$1:$D$1,0),1))*L683/16.67)),""))</f>
        <v>-67.730971376143174</v>
      </c>
    </row>
    <row r="684" spans="1:63">
      <c r="A684" s="13" t="s">
        <v>103</v>
      </c>
      <c r="B684" s="13" t="s">
        <v>104</v>
      </c>
      <c r="C684" s="13" t="s">
        <v>292</v>
      </c>
      <c r="D684" s="31">
        <v>46045</v>
      </c>
      <c r="E684" s="31">
        <v>46054</v>
      </c>
      <c r="F684" s="31">
        <v>46081</v>
      </c>
      <c r="G684" s="13">
        <v>3787128</v>
      </c>
      <c r="J684" s="13" t="s">
        <v>506</v>
      </c>
      <c r="K684" s="13" t="s">
        <v>1867</v>
      </c>
      <c r="L684" s="13">
        <v>6</v>
      </c>
      <c r="M684" s="13">
        <v>0</v>
      </c>
      <c r="N684" s="13" t="s">
        <v>1868</v>
      </c>
      <c r="O684" s="13" t="s">
        <v>775</v>
      </c>
      <c r="P684" s="13">
        <v>10030</v>
      </c>
      <c r="R684" s="13" t="s">
        <v>239</v>
      </c>
      <c r="S684" s="13" t="s">
        <v>509</v>
      </c>
      <c r="T684" s="13" t="s">
        <v>329</v>
      </c>
      <c r="U684" s="13" t="s">
        <v>330</v>
      </c>
      <c r="V684" s="13">
        <v>162</v>
      </c>
      <c r="W684" s="44">
        <f>IF($AX684="Cancelled","",IFERROR(((V684+INDEX(Variables!$B$6:$D$6,IFERROR(MATCH(IF($B684="Robusta","Robusta",(IF($B684="","Arabica",$B684))&amp;" - "&amp;(IF($C684="","Commercial",$C684))),Variables!$B$1:$D$1,0),1)))*22.0462)*(L684/16.67),""))</f>
        <v>3592.9883719256145</v>
      </c>
      <c r="X684" s="55" t="s">
        <v>39</v>
      </c>
      <c r="Y684" s="13" t="str">
        <f>IF($AX684="Cancelled","",IF(X684="","",IFERROR(IF(INDEX(Variables!$B$38:$B$47,MATCH(X684,Variables!$A$38:$A$47,0))="Yes","Yes","No"),"No")))</f>
        <v>No</v>
      </c>
      <c r="Z684" s="31"/>
      <c r="AC684" s="13" t="str">
        <f t="shared" si="31"/>
        <v/>
      </c>
      <c r="AF684" s="71">
        <v>46084</v>
      </c>
      <c r="AG684" s="31">
        <f>IF($AX684="Cancelled","",IFERROR(IF(F684="","",F684-Variables!$B$13),""))</f>
        <v>46066</v>
      </c>
      <c r="AH684" s="13" t="str">
        <f>IF($AX684="Cancelled","",IFERROR(IF(AB684="","",(AVERAGE(E684:F684)-AB684)-Variables!$B$14),""))</f>
        <v/>
      </c>
      <c r="AJ684" s="47">
        <v>46120</v>
      </c>
      <c r="AK684" s="14">
        <f>IF($AX684="Cancelled","",IFERROR(IF(AJ684="","",IF(AND(AB684="",AF684=""),"",IF(AF684&gt;AB684,AF684+Variables!$B$15+Variables!$B$16+Variables!$B$17-AJ684,AB684+Variables!$B$16+Variables!$B$17-AJ684))),""))</f>
        <v>-21</v>
      </c>
      <c r="AL684" s="48" t="s">
        <v>114</v>
      </c>
      <c r="AM684" s="13" t="s">
        <v>115</v>
      </c>
      <c r="AN684" s="13" t="s">
        <v>1541</v>
      </c>
      <c r="AP684" s="31" t="e">
        <v>#N/A</v>
      </c>
      <c r="AR684" s="13">
        <v>267559943</v>
      </c>
      <c r="AS684" s="31">
        <v>46132</v>
      </c>
      <c r="AU684" s="31">
        <v>46147</v>
      </c>
      <c r="AV684" s="13" t="s">
        <v>865</v>
      </c>
      <c r="AW684" s="31">
        <v>46162</v>
      </c>
      <c r="AX684" s="13" t="str">
        <f>IF(ISNUMBER(SEARCH("cancel",#REF!)),"Cancelled",IF(AND(AS684&lt;&gt;"",AU684&lt;&gt;"",AW684&lt;&gt;""),"Closed","Open"))</f>
        <v>Closed</v>
      </c>
      <c r="AY684" s="15" t="str">
        <f t="shared" si="30"/>
        <v>All dates received</v>
      </c>
      <c r="BD684" s="13">
        <f>IF($AX684="Cancelled","",IFERROR(IF(OR(AS684="",AJ684=""),"",(AJ684+Variables!$B$18-AS684)),""))</f>
        <v>3</v>
      </c>
      <c r="BE684" s="13">
        <f>IF($AX684="Cancelled","",IFERROR(IF(OR(AW684="",AS684=""),"",(AS684+Variables!$B$19)-AW684),""))</f>
        <v>-25</v>
      </c>
      <c r="BF684" s="44">
        <f>IF($AX684="Cancelled","",IFERROR(W684*INDEX(Variables!$B$7:$D$7,IFERROR(MATCH(IF($B684="Robusta","Robusta",(IF($B684="","Arabica",$B684))&amp;" - "&amp;(IF($C684="","Commercial",$C684))),Variables!$B$1:$D$1,0),1))*(BE684/365),""))</f>
        <v>-15.868753068231634</v>
      </c>
      <c r="BG684" s="44" t="str">
        <f>IF($AX684="Cancelled","",IFERROR((W684*INDEX(Variables!$B$7:$D$7,IFERROR(MATCH(IF($B684="Robusta","Robusta",(IF($B684="","Arabica",$B684))&amp;" - "&amp;(IF($C684="","Commercial",$C684))),Variables!$B$1:$D$1,0),1))*IFERROR(IF(AB684="","",(AVERAGE(E684:F684)-AB684)-Variables!$B$14),"")/365)+(L684/16.67*INDEX(Variables!$B$8:$D$8,IFERROR(MATCH(IF($B684="Robusta","Robusta",(IF($B684="","Arabica",$B684))&amp;" - "&amp;(IF($C684="","Commercial",$C684))),Variables!$B$1:$D$1,0),1))*IFERROR(IF(AB684="","",(AVERAGE(E684:F684)-AB684)-Variables!$B$14),""))+(W684*INDEX(Variables!$B$9:$D$9,IFERROR(MATCH(IF($B684="Robusta","Robusta",(IF($B684="","Arabica",$B684))&amp;" - "&amp;(IF($C684="","Commercial",$C684))),Variables!$B$1:$D$1,0),1))*IFERROR(IF(AB684="","",(AVERAGE(E684:F684)-AB684)-Variables!$B$14),"")/365),""))</f>
        <v/>
      </c>
      <c r="BH684" s="44">
        <f>IF($AX684="Cancelled","",IFERROR((W684*INDEX(Variables!$B$7:$D$7,IFERROR(MATCH(IF($B684="Robusta","Robusta",(IF($B684="","Arabica",$B684))&amp;" - "&amp;(IF($C684="","Commercial",$C684))),Variables!$B$1:$D$1,0),1))*AK684/365)+(L684/16.67*INDEX(Variables!$B$8:$D$8,IFERROR(MATCH(IF($B684="Robusta","Robusta",(IF($B684="","Arabica",$B684))&amp;" - "&amp;(IF($C684="","Commercial",$C684))),Variables!$B$1:$D$1,0),1))*AK684)+(W684*INDEX(Variables!$B$9:$D$9,IFERROR(MATCH(IF($B684="Robusta","Robusta",(IF($B684="","Arabica",$B684))&amp;" - "&amp;(IF($C684="","Commercial",$C684))),Variables!$B$1:$D$1,0),1))*AK684/365),""))</f>
        <v>-19.801598812671333</v>
      </c>
      <c r="BI684" s="44">
        <f>IF($AX684="Cancelled","",IFERROR((W684*INDEX(Variables!$B$7:$D$7,IFERROR(MATCH(IF($B684="Robusta","Robusta",(IF($B684="","Arabica",$B684))&amp;" - "&amp;(IF($C684="","Commercial",$C684))),Variables!$B$1:$D$1,0),1))*BD684/365)+(L684/16.67*INDEX(Variables!$B$8:$D$8,IFERROR(MATCH(IF($B684="Robusta","Robusta",(IF($B684="","Arabica",$B684))&amp;" - "&amp;(IF($C684="","Commercial",$C684))),Variables!$B$1:$D$1,0),1))*BD684)+(W684*INDEX(Variables!$B$9:$D$9,IFERROR(MATCH(IF($B684="Robusta","Robusta",(IF($B684="","Arabica",$B684))&amp;" - "&amp;(IF($C684="","Commercial",$C684))),Variables!$B$1:$D$1,0),1))*BD684/365),""))</f>
        <v>2.8287998303816186</v>
      </c>
      <c r="BJ684" s="44">
        <f t="shared" si="32"/>
        <v>-51</v>
      </c>
      <c r="BK684" s="44">
        <f>IF($AX684="Cancelled","",IFERROR(IF(BJ684="","",(W684*INDEX(Variables!$B$7:$D$7,IFERROR(MATCH(IF($B684="Robusta","Robusta",(IF($B684="","Arabica",$B684))&amp;" - "&amp;(IF($C684="","Commercial",$C684))),Variables!$B$1:$D$1,0),1))*(BJ684/365))+(W684*INDEX(Variables!$B$9:$D$9,IFERROR(MATCH(IF($B684="Robusta","Robusta",(IF($B684="","Arabica",$B684))&amp;" - "&amp;(IF($C684="","Commercial",$C684))),Variables!$B$1:$D$1,0),1))*(BJ684/365))+(INDEX(Variables!$B$8:$D$8,IFERROR(MATCH(IF($B684="Robusta","Robusta",(IF($B684="","Arabica",$B684))&amp;" - "&amp;(IF($C684="","Commercial",$C684))),Variables!$B$1:$D$1,0),1))*L684/16.67)),""))</f>
        <v>-32.489597116487531</v>
      </c>
    </row>
    <row r="685" spans="1:63">
      <c r="A685" s="13" t="s">
        <v>103</v>
      </c>
      <c r="B685" s="13" t="s">
        <v>104</v>
      </c>
      <c r="C685" s="13" t="s">
        <v>292</v>
      </c>
      <c r="D685" s="31">
        <v>46045</v>
      </c>
      <c r="E685" s="31">
        <v>46054</v>
      </c>
      <c r="F685" s="31">
        <v>46081</v>
      </c>
      <c r="G685" s="13">
        <v>3787129</v>
      </c>
      <c r="J685" s="13" t="s">
        <v>506</v>
      </c>
      <c r="K685" s="13" t="s">
        <v>1869</v>
      </c>
      <c r="L685" s="13">
        <v>6</v>
      </c>
      <c r="M685" s="13">
        <v>0</v>
      </c>
      <c r="N685" s="13" t="s">
        <v>1870</v>
      </c>
      <c r="O685" s="13" t="s">
        <v>1391</v>
      </c>
      <c r="P685" s="13">
        <v>10040</v>
      </c>
      <c r="R685" s="13" t="s">
        <v>239</v>
      </c>
      <c r="S685" s="13" t="s">
        <v>509</v>
      </c>
      <c r="T685" s="13" t="s">
        <v>329</v>
      </c>
      <c r="U685" s="13" t="s">
        <v>330</v>
      </c>
      <c r="V685" s="13">
        <v>118</v>
      </c>
      <c r="W685" s="44">
        <f>IF($AX685="Cancelled","",IFERROR(((V685+INDEX(Variables!$B$6:$D$6,IFERROR(MATCH(IF($B685="Robusta","Robusta",(IF($B685="","Arabica",$B685))&amp;" - "&amp;(IF($C685="","Commercial",$C685))),Variables!$B$1:$D$1,0),1)))*22.0462)*(L685/16.67),""))</f>
        <v>3243.8463923215349</v>
      </c>
      <c r="X685" s="55" t="s">
        <v>39</v>
      </c>
      <c r="Y685" s="13" t="str">
        <f>IF($AX685="Cancelled","",IF(X685="","",IFERROR(IF(INDEX(Variables!$B$38:$B$47,MATCH(X685,Variables!$A$38:$A$47,0))="Yes","Yes","No"),"No")))</f>
        <v>No</v>
      </c>
      <c r="Z685" s="31"/>
      <c r="AC685" s="13" t="str">
        <f t="shared" si="31"/>
        <v/>
      </c>
      <c r="AF685" s="71">
        <v>46077</v>
      </c>
      <c r="AG685" s="31">
        <f>IF($AX685="Cancelled","",IFERROR(IF(F685="","",F685-Variables!$B$13),""))</f>
        <v>46066</v>
      </c>
      <c r="AH685" s="13" t="str">
        <f>IF($AX685="Cancelled","",IFERROR(IF(AB685="","",(AVERAGE(E685:F685)-AB685)-Variables!$B$14),""))</f>
        <v/>
      </c>
      <c r="AJ685" s="47">
        <v>46120</v>
      </c>
      <c r="AK685" s="14">
        <f>IF($AX685="Cancelled","",IFERROR(IF(AJ685="","",IF(AND(AB685="",AF685=""),"",IF(AF685&gt;AB685,AF685+Variables!$B$15+Variables!$B$16+Variables!$B$17-AJ685,AB685+Variables!$B$16+Variables!$B$17-AJ685))),""))</f>
        <v>-28</v>
      </c>
      <c r="AL685" s="48" t="s">
        <v>114</v>
      </c>
      <c r="AM685" s="13" t="s">
        <v>115</v>
      </c>
      <c r="AN685" s="13" t="s">
        <v>1541</v>
      </c>
      <c r="AP685" s="31" t="e">
        <v>#N/A</v>
      </c>
      <c r="AR685" s="13">
        <v>267559943</v>
      </c>
      <c r="AS685" s="31">
        <v>46132</v>
      </c>
      <c r="AU685" s="31">
        <v>46147</v>
      </c>
      <c r="AV685" s="13" t="s">
        <v>865</v>
      </c>
      <c r="AW685" s="31">
        <v>46162</v>
      </c>
      <c r="AX685" s="13" t="str">
        <f>IF(ISNUMBER(SEARCH("cancel",#REF!)),"Cancelled",IF(AND(AS685&lt;&gt;"",AU685&lt;&gt;"",AW685&lt;&gt;""),"Closed","Open"))</f>
        <v>Closed</v>
      </c>
      <c r="AY685" s="15" t="str">
        <f t="shared" si="30"/>
        <v>All dates received</v>
      </c>
      <c r="BD685" s="13">
        <f>IF($AX685="Cancelled","",IFERROR(IF(OR(AS685="",AJ685=""),"",(AJ685+Variables!$B$18-AS685)),""))</f>
        <v>3</v>
      </c>
      <c r="BE685" s="13">
        <f>IF($AX685="Cancelled","",IFERROR(IF(OR(AW685="",AS685=""),"",(AS685+Variables!$B$19)-AW685),""))</f>
        <v>-25</v>
      </c>
      <c r="BF685" s="44">
        <f>IF($AX685="Cancelled","",IFERROR(W685*INDEX(Variables!$B$7:$D$7,IFERROR(MATCH(IF($B685="Robusta","Robusta",(IF($B685="","Arabica",$B685))&amp;" - "&amp;(IF($C685="","Commercial",$C685))),Variables!$B$1:$D$1,0),1))*(BE685/365),""))</f>
        <v>-14.326736427325732</v>
      </c>
      <c r="BG685" s="44" t="str">
        <f>IF($AX685="Cancelled","",IFERROR((W685*INDEX(Variables!$B$7:$D$7,IFERROR(MATCH(IF($B685="Robusta","Robusta",(IF($B685="","Arabica",$B685))&amp;" - "&amp;(IF($C685="","Commercial",$C685))),Variables!$B$1:$D$1,0),1))*IFERROR(IF(AB685="","",(AVERAGE(E685:F685)-AB685)-Variables!$B$14),"")/365)+(L685/16.67*INDEX(Variables!$B$8:$D$8,IFERROR(MATCH(IF($B685="Robusta","Robusta",(IF($B685="","Arabica",$B685))&amp;" - "&amp;(IF($C685="","Commercial",$C685))),Variables!$B$1:$D$1,0),1))*IFERROR(IF(AB685="","",(AVERAGE(E685:F685)-AB685)-Variables!$B$14),""))+(W685*INDEX(Variables!$B$9:$D$9,IFERROR(MATCH(IF($B685="Robusta","Robusta",(IF($B685="","Arabica",$B685))&amp;" - "&amp;(IF($C685="","Commercial",$C685))),Variables!$B$1:$D$1,0),1))*IFERROR(IF(AB685="","",(AVERAGE(E685:F685)-AB685)-Variables!$B$14),"")/365),""))</f>
        <v/>
      </c>
      <c r="BH685" s="44">
        <f>IF($AX685="Cancelled","",IFERROR((W685*INDEX(Variables!$B$7:$D$7,IFERROR(MATCH(IF($B685="Robusta","Robusta",(IF($B685="","Arabica",$B685))&amp;" - "&amp;(IF($C685="","Commercial",$C685))),Variables!$B$1:$D$1,0),1))*AK685/365)+(L685/16.67*INDEX(Variables!$B$8:$D$8,IFERROR(MATCH(IF($B685="Robusta","Robusta",(IF($B685="","Arabica",$B685))&amp;" - "&amp;(IF($C685="","Commercial",$C685))),Variables!$B$1:$D$1,0),1))*AK685)+(W685*INDEX(Variables!$B$9:$D$9,IFERROR(MATCH(IF($B685="Robusta","Robusta",(IF($B685="","Arabica",$B685))&amp;" - "&amp;(IF($C685="","Commercial",$C685))),Variables!$B$1:$D$1,0),1))*AK685/365),""))</f>
        <v>-24.652807993580801</v>
      </c>
      <c r="BI685" s="44">
        <f>IF($AX685="Cancelled","",IFERROR((W685*INDEX(Variables!$B$7:$D$7,IFERROR(MATCH(IF($B685="Robusta","Robusta",(IF($B685="","Arabica",$B685))&amp;" - "&amp;(IF($C685="","Commercial",$C685))),Variables!$B$1:$D$1,0),1))*BD685/365)+(L685/16.67*INDEX(Variables!$B$8:$D$8,IFERROR(MATCH(IF($B685="Robusta","Robusta",(IF($B685="","Arabica",$B685))&amp;" - "&amp;(IF($C685="","Commercial",$C685))),Variables!$B$1:$D$1,0),1))*BD685)+(W685*INDEX(Variables!$B$9:$D$9,IFERROR(MATCH(IF($B685="Robusta","Robusta",(IF($B685="","Arabica",$B685))&amp;" - "&amp;(IF($C685="","Commercial",$C685))),Variables!$B$1:$D$1,0),1))*BD685/365),""))</f>
        <v>2.6413722850265144</v>
      </c>
      <c r="BJ685" s="44">
        <f t="shared" si="32"/>
        <v>-51</v>
      </c>
      <c r="BK685" s="44">
        <f>IF($AX685="Cancelled","",IFERROR(IF(BJ685="","",(W685*INDEX(Variables!$B$7:$D$7,IFERROR(MATCH(IF($B685="Robusta","Robusta",(IF($B685="","Arabica",$B685))&amp;" - "&amp;(IF($C685="","Commercial",$C685))),Variables!$B$1:$D$1,0),1))*(BJ685/365))+(W685*INDEX(Variables!$B$9:$D$9,IFERROR(MATCH(IF($B685="Robusta","Robusta",(IF($B685="","Arabica",$B685))&amp;" - "&amp;(IF($C685="","Commercial",$C685))),Variables!$B$1:$D$1,0),1))*(BJ685/365))+(INDEX(Variables!$B$8:$D$8,IFERROR(MATCH(IF($B685="Robusta","Robusta",(IF($B685="","Arabica",$B685))&amp;" - "&amp;(IF($C685="","Commercial",$C685))),Variables!$B$1:$D$1,0),1))*L685/16.67)),""))</f>
        <v>-29.303328845450746</v>
      </c>
    </row>
    <row r="686" spans="1:63">
      <c r="A686" s="13" t="s">
        <v>103</v>
      </c>
      <c r="B686" s="13" t="s">
        <v>104</v>
      </c>
      <c r="C686" s="13" t="s">
        <v>292</v>
      </c>
      <c r="D686" s="31">
        <v>46045</v>
      </c>
      <c r="E686" s="31">
        <v>46054</v>
      </c>
      <c r="F686" s="31">
        <v>46081</v>
      </c>
      <c r="G686" s="13">
        <v>3787130</v>
      </c>
      <c r="J686" s="13" t="s">
        <v>506</v>
      </c>
      <c r="K686" s="13" t="s">
        <v>1871</v>
      </c>
      <c r="L686" s="13">
        <v>6</v>
      </c>
      <c r="M686" s="13">
        <v>0</v>
      </c>
      <c r="N686" s="13" t="s">
        <v>1872</v>
      </c>
      <c r="O686" s="13" t="s">
        <v>1391</v>
      </c>
      <c r="P686" s="13">
        <v>10040</v>
      </c>
      <c r="R686" s="13" t="s">
        <v>239</v>
      </c>
      <c r="S686" s="13" t="s">
        <v>509</v>
      </c>
      <c r="T686" s="13" t="s">
        <v>329</v>
      </c>
      <c r="U686" s="13" t="s">
        <v>330</v>
      </c>
      <c r="V686" s="13">
        <v>116</v>
      </c>
      <c r="W686" s="44">
        <f>IF($AX686="Cancelled","",IFERROR(((V686+INDEX(Variables!$B$6:$D$6,IFERROR(MATCH(IF($B686="Robusta","Robusta",(IF($B686="","Arabica",$B686))&amp;" - "&amp;(IF($C686="","Commercial",$C686))),Variables!$B$1:$D$1,0),1)))*22.0462)*(L686/16.67),""))</f>
        <v>3227.9763023395317</v>
      </c>
      <c r="X686" s="55" t="s">
        <v>39</v>
      </c>
      <c r="Y686" s="13" t="str">
        <f>IF($AX686="Cancelled","",IF(X686="","",IFERROR(IF(INDEX(Variables!$B$38:$B$47,MATCH(X686,Variables!$A$38:$A$47,0))="Yes","Yes","No"),"No")))</f>
        <v>No</v>
      </c>
      <c r="Z686" s="31"/>
      <c r="AC686" s="13" t="str">
        <f t="shared" si="31"/>
        <v/>
      </c>
      <c r="AF686" s="71">
        <v>46077</v>
      </c>
      <c r="AG686" s="31">
        <f>IF($AX686="Cancelled","",IFERROR(IF(F686="","",F686-Variables!$B$13),""))</f>
        <v>46066</v>
      </c>
      <c r="AH686" s="13" t="str">
        <f>IF($AX686="Cancelled","",IFERROR(IF(AB686="","",(AVERAGE(E686:F686)-AB686)-Variables!$B$14),""))</f>
        <v/>
      </c>
      <c r="AJ686" s="47">
        <v>46120</v>
      </c>
      <c r="AK686" s="14">
        <f>IF($AX686="Cancelled","",IFERROR(IF(AJ686="","",IF(AND(AB686="",AF686=""),"",IF(AF686&gt;AB686,AF686+Variables!$B$15+Variables!$B$16+Variables!$B$17-AJ686,AB686+Variables!$B$16+Variables!$B$17-AJ686))),""))</f>
        <v>-28</v>
      </c>
      <c r="AL686" s="48" t="s">
        <v>114</v>
      </c>
      <c r="AM686" s="13" t="s">
        <v>115</v>
      </c>
      <c r="AN686" s="13" t="s">
        <v>1541</v>
      </c>
      <c r="AP686" s="31" t="e">
        <v>#N/A</v>
      </c>
      <c r="AR686" s="13">
        <v>267559943</v>
      </c>
      <c r="AS686" s="31">
        <v>46132</v>
      </c>
      <c r="AU686" s="31">
        <v>46147</v>
      </c>
      <c r="AV686" s="13" t="s">
        <v>865</v>
      </c>
      <c r="AW686" s="31">
        <v>46162</v>
      </c>
      <c r="AX686" s="13" t="str">
        <f>IF(ISNUMBER(SEARCH("cancel",#REF!)),"Cancelled",IF(AND(AS686&lt;&gt;"",AU686&lt;&gt;"",AW686&lt;&gt;""),"Closed","Open"))</f>
        <v>Closed</v>
      </c>
      <c r="AY686" s="15" t="str">
        <f t="shared" si="30"/>
        <v>All dates received</v>
      </c>
      <c r="BD686" s="13">
        <f>IF($AX686="Cancelled","",IFERROR(IF(OR(AS686="",AJ686=""),"",(AJ686+Variables!$B$18-AS686)),""))</f>
        <v>3</v>
      </c>
      <c r="BE686" s="13">
        <f>IF($AX686="Cancelled","",IFERROR(IF(OR(AW686="",AS686=""),"",(AS686+Variables!$B$19)-AW686),""))</f>
        <v>-25</v>
      </c>
      <c r="BF686" s="44">
        <f>IF($AX686="Cancelled","",IFERROR(W686*INDEX(Variables!$B$7:$D$7,IFERROR(MATCH(IF($B686="Robusta","Robusta",(IF($B686="","Arabica",$B686))&amp;" - "&amp;(IF($C686="","Commercial",$C686))),Variables!$B$1:$D$1,0),1))*(BE686/365),""))</f>
        <v>-14.25664476183001</v>
      </c>
      <c r="BG686" s="44" t="str">
        <f>IF($AX686="Cancelled","",IFERROR((W686*INDEX(Variables!$B$7:$D$7,IFERROR(MATCH(IF($B686="Robusta","Robusta",(IF($B686="","Arabica",$B686))&amp;" - "&amp;(IF($C686="","Commercial",$C686))),Variables!$B$1:$D$1,0),1))*IFERROR(IF(AB686="","",(AVERAGE(E686:F686)-AB686)-Variables!$B$14),"")/365)+(L686/16.67*INDEX(Variables!$B$8:$D$8,IFERROR(MATCH(IF($B686="Robusta","Robusta",(IF($B686="","Arabica",$B686))&amp;" - "&amp;(IF($C686="","Commercial",$C686))),Variables!$B$1:$D$1,0),1))*IFERROR(IF(AB686="","",(AVERAGE(E686:F686)-AB686)-Variables!$B$14),""))+(W686*INDEX(Variables!$B$9:$D$9,IFERROR(MATCH(IF($B686="Robusta","Robusta",(IF($B686="","Arabica",$B686))&amp;" - "&amp;(IF($C686="","Commercial",$C686))),Variables!$B$1:$D$1,0),1))*IFERROR(IF(AB686="","",(AVERAGE(E686:F686)-AB686)-Variables!$B$14),"")/365),""))</f>
        <v/>
      </c>
      <c r="BH686" s="44">
        <f>IF($AX686="Cancelled","",IFERROR((W686*INDEX(Variables!$B$7:$D$7,IFERROR(MATCH(IF($B686="Robusta","Robusta",(IF($B686="","Arabica",$B686))&amp;" - "&amp;(IF($C686="","Commercial",$C686))),Variables!$B$1:$D$1,0),1))*AK686/365)+(L686/16.67*INDEX(Variables!$B$8:$D$8,IFERROR(MATCH(IF($B686="Robusta","Robusta",(IF($B686="","Arabica",$B686))&amp;" - "&amp;(IF($C686="","Commercial",$C686))),Variables!$B$1:$D$1,0),1))*AK686)+(W686*INDEX(Variables!$B$9:$D$9,IFERROR(MATCH(IF($B686="Robusta","Robusta",(IF($B686="","Arabica",$B686))&amp;" - "&amp;(IF($C686="","Commercial",$C686))),Variables!$B$1:$D$1,0),1))*AK686/365),""))</f>
        <v>-24.573293277369544</v>
      </c>
      <c r="BI686" s="44">
        <f>IF($AX686="Cancelled","",IFERROR((W686*INDEX(Variables!$B$7:$D$7,IFERROR(MATCH(IF($B686="Robusta","Robusta",(IF($B686="","Arabica",$B686))&amp;" - "&amp;(IF($C686="","Commercial",$C686))),Variables!$B$1:$D$1,0),1))*BD686/365)+(L686/16.67*INDEX(Variables!$B$8:$D$8,IFERROR(MATCH(IF($B686="Robusta","Robusta",(IF($B686="","Arabica",$B686))&amp;" - "&amp;(IF($C686="","Commercial",$C686))),Variables!$B$1:$D$1,0),1))*BD686)+(W686*INDEX(Variables!$B$9:$D$9,IFERROR(MATCH(IF($B686="Robusta","Robusta",(IF($B686="","Arabica",$B686))&amp;" - "&amp;(IF($C686="","Commercial",$C686))),Variables!$B$1:$D$1,0),1))*BD686/365),""))</f>
        <v>2.6328528511467368</v>
      </c>
      <c r="BJ686" s="44">
        <f t="shared" si="32"/>
        <v>-51</v>
      </c>
      <c r="BK686" s="44">
        <f>IF($AX686="Cancelled","",IFERROR(IF(BJ686="","",(W686*INDEX(Variables!$B$7:$D$7,IFERROR(MATCH(IF($B686="Robusta","Robusta",(IF($B686="","Arabica",$B686))&amp;" - "&amp;(IF($C686="","Commercial",$C686))),Variables!$B$1:$D$1,0),1))*(BJ686/365))+(W686*INDEX(Variables!$B$9:$D$9,IFERROR(MATCH(IF($B686="Robusta","Robusta",(IF($B686="","Arabica",$B686))&amp;" - "&amp;(IF($C686="","Commercial",$C686))),Variables!$B$1:$D$1,0),1))*(BJ686/365))+(INDEX(Variables!$B$8:$D$8,IFERROR(MATCH(IF($B686="Robusta","Robusta",(IF($B686="","Arabica",$B686))&amp;" - "&amp;(IF($C686="","Commercial",$C686))),Variables!$B$1:$D$1,0),1))*L686/16.67)),""))</f>
        <v>-29.158498469494532</v>
      </c>
    </row>
    <row r="687" spans="1:63">
      <c r="A687" s="13" t="s">
        <v>103</v>
      </c>
      <c r="B687" s="13" t="s">
        <v>104</v>
      </c>
      <c r="C687" s="13" t="s">
        <v>292</v>
      </c>
      <c r="D687" s="31">
        <v>46045</v>
      </c>
      <c r="E687" s="31">
        <v>46054</v>
      </c>
      <c r="F687" s="31">
        <v>46081</v>
      </c>
      <c r="G687" s="13">
        <v>3787131</v>
      </c>
      <c r="J687" s="13" t="s">
        <v>506</v>
      </c>
      <c r="K687" s="13" t="s">
        <v>1873</v>
      </c>
      <c r="L687" s="13">
        <v>6</v>
      </c>
      <c r="M687" s="13">
        <v>0</v>
      </c>
      <c r="N687" s="13" t="s">
        <v>1874</v>
      </c>
      <c r="O687" s="13" t="s">
        <v>1391</v>
      </c>
      <c r="P687" s="13">
        <v>10040</v>
      </c>
      <c r="R687" s="13" t="s">
        <v>239</v>
      </c>
      <c r="S687" s="13" t="s">
        <v>509</v>
      </c>
      <c r="T687" s="13" t="s">
        <v>329</v>
      </c>
      <c r="U687" s="13" t="s">
        <v>330</v>
      </c>
      <c r="V687" s="13">
        <v>131</v>
      </c>
      <c r="W687" s="44">
        <f>IF($AX687="Cancelled","",IFERROR(((V687+INDEX(Variables!$B$6:$D$6,IFERROR(MATCH(IF($B687="Robusta","Robusta",(IF($B687="","Arabica",$B687))&amp;" - "&amp;(IF($C687="","Commercial",$C687))),Variables!$B$1:$D$1,0),1)))*22.0462)*(L687/16.67),""))</f>
        <v>3347.0019772045584</v>
      </c>
      <c r="X687" s="55" t="s">
        <v>39</v>
      </c>
      <c r="Y687" s="13" t="str">
        <f>IF($AX687="Cancelled","",IF(X687="","",IFERROR(IF(INDEX(Variables!$B$38:$B$47,MATCH(X687,Variables!$A$38:$A$47,0))="Yes","Yes","No"),"No")))</f>
        <v>No</v>
      </c>
      <c r="Z687" s="31"/>
      <c r="AC687" s="13" t="str">
        <f t="shared" si="31"/>
        <v/>
      </c>
      <c r="AF687" s="71">
        <v>46077</v>
      </c>
      <c r="AG687" s="31">
        <f>IF($AX687="Cancelled","",IFERROR(IF(F687="","",F687-Variables!$B$13),""))</f>
        <v>46066</v>
      </c>
      <c r="AH687" s="13" t="str">
        <f>IF($AX687="Cancelled","",IFERROR(IF(AB687="","",(AVERAGE(E687:F687)-AB687)-Variables!$B$14),""))</f>
        <v/>
      </c>
      <c r="AJ687" s="47">
        <v>46120</v>
      </c>
      <c r="AK687" s="14">
        <f>IF($AX687="Cancelled","",IFERROR(IF(AJ687="","",IF(AND(AB687="",AF687=""),"",IF(AF687&gt;AB687,AF687+Variables!$B$15+Variables!$B$16+Variables!$B$17-AJ687,AB687+Variables!$B$16+Variables!$B$17-AJ687))),""))</f>
        <v>-28</v>
      </c>
      <c r="AL687" s="48" t="s">
        <v>114</v>
      </c>
      <c r="AM687" s="13" t="s">
        <v>115</v>
      </c>
      <c r="AN687" s="13" t="s">
        <v>1541</v>
      </c>
      <c r="AP687" s="31" t="e">
        <v>#N/A</v>
      </c>
      <c r="AR687" s="13">
        <v>267559943</v>
      </c>
      <c r="AS687" s="31">
        <v>46132</v>
      </c>
      <c r="AU687" s="31">
        <v>46147</v>
      </c>
      <c r="AV687" s="13" t="s">
        <v>865</v>
      </c>
      <c r="AW687" s="31">
        <v>46162</v>
      </c>
      <c r="AX687" s="13" t="str">
        <f>IF(ISNUMBER(SEARCH("cancel",#REF!)),"Cancelled",IF(AND(AS687&lt;&gt;"",AU687&lt;&gt;"",AW687&lt;&gt;""),"Closed","Open"))</f>
        <v>Closed</v>
      </c>
      <c r="AY687" s="15" t="str">
        <f t="shared" si="30"/>
        <v>All dates received</v>
      </c>
      <c r="BD687" s="13">
        <f>IF($AX687="Cancelled","",IFERROR(IF(OR(AS687="",AJ687=""),"",(AJ687+Variables!$B$18-AS687)),""))</f>
        <v>3</v>
      </c>
      <c r="BE687" s="13">
        <f>IF($AX687="Cancelled","",IFERROR(IF(OR(AW687="",AS687=""),"",(AS687+Variables!$B$19)-AW687),""))</f>
        <v>-25</v>
      </c>
      <c r="BF687" s="44">
        <f>IF($AX687="Cancelled","",IFERROR(W687*INDEX(Variables!$B$7:$D$7,IFERROR(MATCH(IF($B687="Robusta","Robusta",(IF($B687="","Arabica",$B687))&amp;" - "&amp;(IF($C687="","Commercial",$C687))),Variables!$B$1:$D$1,0),1))*(BE687/365),""))</f>
        <v>-14.78233225304793</v>
      </c>
      <c r="BG687" s="44" t="str">
        <f>IF($AX687="Cancelled","",IFERROR((W687*INDEX(Variables!$B$7:$D$7,IFERROR(MATCH(IF($B687="Robusta","Robusta",(IF($B687="","Arabica",$B687))&amp;" - "&amp;(IF($C687="","Commercial",$C687))),Variables!$B$1:$D$1,0),1))*IFERROR(IF(AB687="","",(AVERAGE(E687:F687)-AB687)-Variables!$B$14),"")/365)+(L687/16.67*INDEX(Variables!$B$8:$D$8,IFERROR(MATCH(IF($B687="Robusta","Robusta",(IF($B687="","Arabica",$B687))&amp;" - "&amp;(IF($C687="","Commercial",$C687))),Variables!$B$1:$D$1,0),1))*IFERROR(IF(AB687="","",(AVERAGE(E687:F687)-AB687)-Variables!$B$14),""))+(W687*INDEX(Variables!$B$9:$D$9,IFERROR(MATCH(IF($B687="Robusta","Robusta",(IF($B687="","Arabica",$B687))&amp;" - "&amp;(IF($C687="","Commercial",$C687))),Variables!$B$1:$D$1,0),1))*IFERROR(IF(AB687="","",(AVERAGE(E687:F687)-AB687)-Variables!$B$14),"")/365),""))</f>
        <v/>
      </c>
      <c r="BH687" s="44">
        <f>IF($AX687="Cancelled","",IFERROR((W687*INDEX(Variables!$B$7:$D$7,IFERROR(MATCH(IF($B687="Robusta","Robusta",(IF($B687="","Arabica",$B687))&amp;" - "&amp;(IF($C687="","Commercial",$C687))),Variables!$B$1:$D$1,0),1))*AK687/365)+(L687/16.67*INDEX(Variables!$B$8:$D$8,IFERROR(MATCH(IF($B687="Robusta","Robusta",(IF($B687="","Arabica",$B687))&amp;" - "&amp;(IF($C687="","Commercial",$C687))),Variables!$B$1:$D$1,0),1))*AK687)+(W687*INDEX(Variables!$B$9:$D$9,IFERROR(MATCH(IF($B687="Robusta","Robusta",(IF($B687="","Arabica",$B687))&amp;" - "&amp;(IF($C687="","Commercial",$C687))),Variables!$B$1:$D$1,0),1))*AK687/365),""))</f>
        <v>-25.169653648953972</v>
      </c>
      <c r="BI687" s="44">
        <f>IF($AX687="Cancelled","",IFERROR((W687*INDEX(Variables!$B$7:$D$7,IFERROR(MATCH(IF($B687="Robusta","Robusta",(IF($B687="","Arabica",$B687))&amp;" - "&amp;(IF($C687="","Commercial",$C687))),Variables!$B$1:$D$1,0),1))*BD687/365)+(L687/16.67*INDEX(Variables!$B$8:$D$8,IFERROR(MATCH(IF($B687="Robusta","Robusta",(IF($B687="","Arabica",$B687))&amp;" - "&amp;(IF($C687="","Commercial",$C687))),Variables!$B$1:$D$1,0),1))*BD687)+(W687*INDEX(Variables!$B$9:$D$9,IFERROR(MATCH(IF($B687="Robusta","Robusta",(IF($B687="","Arabica",$B687))&amp;" - "&amp;(IF($C687="","Commercial",$C687))),Variables!$B$1:$D$1,0),1))*BD687/365),""))</f>
        <v>2.6967486052450678</v>
      </c>
      <c r="BJ687" s="44">
        <f t="shared" si="32"/>
        <v>-51</v>
      </c>
      <c r="BK687" s="44">
        <f>IF($AX687="Cancelled","",IFERROR(IF(BJ687="","",(W687*INDEX(Variables!$B$7:$D$7,IFERROR(MATCH(IF($B687="Robusta","Robusta",(IF($B687="","Arabica",$B687))&amp;" - "&amp;(IF($C687="","Commercial",$C687))),Variables!$B$1:$D$1,0),1))*(BJ687/365))+(W687*INDEX(Variables!$B$9:$D$9,IFERROR(MATCH(IF($B687="Robusta","Robusta",(IF($B687="","Arabica",$B687))&amp;" - "&amp;(IF($C687="","Commercial",$C687))),Variables!$B$1:$D$1,0),1))*(BJ687/365))+(INDEX(Variables!$B$8:$D$8,IFERROR(MATCH(IF($B687="Robusta","Robusta",(IF($B687="","Arabica",$B687))&amp;" - "&amp;(IF($C687="","Commercial",$C687))),Variables!$B$1:$D$1,0),1))*L687/16.67)),""))</f>
        <v>-30.244726289166156</v>
      </c>
    </row>
    <row r="688" spans="1:63">
      <c r="A688" s="13" t="s">
        <v>103</v>
      </c>
      <c r="B688" s="13" t="s">
        <v>104</v>
      </c>
      <c r="C688" s="13" t="s">
        <v>292</v>
      </c>
      <c r="D688" s="31">
        <v>46045</v>
      </c>
      <c r="E688" s="31">
        <v>46054</v>
      </c>
      <c r="F688" s="31">
        <v>46081</v>
      </c>
      <c r="G688" s="13">
        <v>3787132</v>
      </c>
      <c r="J688" s="13" t="s">
        <v>506</v>
      </c>
      <c r="K688" s="13" t="s">
        <v>1875</v>
      </c>
      <c r="L688" s="13">
        <v>6</v>
      </c>
      <c r="M688" s="13">
        <v>0</v>
      </c>
      <c r="N688" s="13" t="s">
        <v>1876</v>
      </c>
      <c r="O688" s="13" t="s">
        <v>775</v>
      </c>
      <c r="P688" s="13">
        <v>10030</v>
      </c>
      <c r="R688" s="13" t="s">
        <v>239</v>
      </c>
      <c r="S688" s="13" t="s">
        <v>509</v>
      </c>
      <c r="T688" s="13" t="s">
        <v>329</v>
      </c>
      <c r="U688" s="13" t="s">
        <v>330</v>
      </c>
      <c r="V688" s="13">
        <v>151</v>
      </c>
      <c r="W688" s="44">
        <f>IF($AX688="Cancelled","",IFERROR(((V688+INDEX(Variables!$B$6:$D$6,IFERROR(MATCH(IF($B688="Robusta","Robusta",(IF($B688="","Arabica",$B688))&amp;" - "&amp;(IF($C688="","Commercial",$C688))),Variables!$B$1:$D$1,0),1)))*22.0462)*(L688/16.67),""))</f>
        <v>3505.7028770245947</v>
      </c>
      <c r="X688" s="55" t="s">
        <v>39</v>
      </c>
      <c r="Y688" s="13" t="str">
        <f>IF($AX688="Cancelled","",IF(X688="","",IFERROR(IF(INDEX(Variables!$B$38:$B$47,MATCH(X688,Variables!$A$38:$A$47,0))="Yes","Yes","No"),"No")))</f>
        <v>No</v>
      </c>
      <c r="Z688" s="31"/>
      <c r="AC688" s="13" t="str">
        <f t="shared" si="31"/>
        <v/>
      </c>
      <c r="AF688" s="71">
        <v>46098</v>
      </c>
      <c r="AG688" s="31">
        <f>IF($AX688="Cancelled","",IFERROR(IF(F688="","",F688-Variables!$B$13),""))</f>
        <v>46066</v>
      </c>
      <c r="AH688" s="13" t="str">
        <f>IF($AX688="Cancelled","",IFERROR(IF(AB688="","",(AVERAGE(E688:F688)-AB688)-Variables!$B$14),""))</f>
        <v/>
      </c>
      <c r="AJ688" s="47">
        <v>46120</v>
      </c>
      <c r="AK688" s="14">
        <f>IF($AX688="Cancelled","",IFERROR(IF(AJ688="","",IF(AND(AB688="",AF688=""),"",IF(AF688&gt;AB688,AF688+Variables!$B$15+Variables!$B$16+Variables!$B$17-AJ688,AB688+Variables!$B$16+Variables!$B$17-AJ688))),""))</f>
        <v>-7</v>
      </c>
      <c r="AL688" s="48" t="s">
        <v>114</v>
      </c>
      <c r="AM688" s="13" t="s">
        <v>115</v>
      </c>
      <c r="AN688" s="13" t="s">
        <v>1541</v>
      </c>
      <c r="AP688" s="31" t="e">
        <v>#N/A</v>
      </c>
      <c r="AR688" s="13">
        <v>267559943</v>
      </c>
      <c r="AS688" s="31">
        <v>46132</v>
      </c>
      <c r="AU688" s="31">
        <v>46147</v>
      </c>
      <c r="AV688" s="13" t="s">
        <v>865</v>
      </c>
      <c r="AW688" s="31">
        <v>46162</v>
      </c>
      <c r="AX688" s="13" t="str">
        <f>IF(ISNUMBER(SEARCH("cancel",#REF!)),"Cancelled",IF(AND(AS688&lt;&gt;"",AU688&lt;&gt;"",AW688&lt;&gt;""),"Closed","Open"))</f>
        <v>Closed</v>
      </c>
      <c r="AY688" s="15" t="str">
        <f t="shared" si="30"/>
        <v>All dates received</v>
      </c>
      <c r="BD688" s="13">
        <f>IF($AX688="Cancelled","",IFERROR(IF(OR(AS688="",AJ688=""),"",(AJ688+Variables!$B$18-AS688)),""))</f>
        <v>3</v>
      </c>
      <c r="BE688" s="13">
        <f>IF($AX688="Cancelled","",IFERROR(IF(OR(AW688="",AS688=""),"",(AS688+Variables!$B$19)-AW688),""))</f>
        <v>-25</v>
      </c>
      <c r="BF688" s="44">
        <f>IF($AX688="Cancelled","",IFERROR(W688*INDEX(Variables!$B$7:$D$7,IFERROR(MATCH(IF($B688="Robusta","Robusta",(IF($B688="","Arabica",$B688))&amp;" - "&amp;(IF($C688="","Commercial",$C688))),Variables!$B$1:$D$1,0),1))*(BE688/365),""))</f>
        <v>-15.483248908005159</v>
      </c>
      <c r="BG688" s="44" t="str">
        <f>IF($AX688="Cancelled","",IFERROR((W688*INDEX(Variables!$B$7:$D$7,IFERROR(MATCH(IF($B688="Robusta","Robusta",(IF($B688="","Arabica",$B688))&amp;" - "&amp;(IF($C688="","Commercial",$C688))),Variables!$B$1:$D$1,0),1))*IFERROR(IF(AB688="","",(AVERAGE(E688:F688)-AB688)-Variables!$B$14),"")/365)+(L688/16.67*INDEX(Variables!$B$8:$D$8,IFERROR(MATCH(IF($B688="Robusta","Robusta",(IF($B688="","Arabica",$B688))&amp;" - "&amp;(IF($C688="","Commercial",$C688))),Variables!$B$1:$D$1,0),1))*IFERROR(IF(AB688="","",(AVERAGE(E688:F688)-AB688)-Variables!$B$14),""))+(W688*INDEX(Variables!$B$9:$D$9,IFERROR(MATCH(IF($B688="Robusta","Robusta",(IF($B688="","Arabica",$B688))&amp;" - "&amp;(IF($C688="","Commercial",$C688))),Variables!$B$1:$D$1,0),1))*IFERROR(IF(AB688="","",(AVERAGE(E688:F688)-AB688)-Variables!$B$14),"")/365),""))</f>
        <v/>
      </c>
      <c r="BH688" s="44">
        <f>IF($AX688="Cancelled","",IFERROR((W688*INDEX(Variables!$B$7:$D$7,IFERROR(MATCH(IF($B688="Robusta","Robusta",(IF($B688="","Arabica",$B688))&amp;" - "&amp;(IF($C688="","Commercial",$C688))),Variables!$B$1:$D$1,0),1))*AK688/365)+(L688/16.67*INDEX(Variables!$B$8:$D$8,IFERROR(MATCH(IF($B688="Robusta","Robusta",(IF($B688="","Arabica",$B688))&amp;" - "&amp;(IF($C688="","Commercial",$C688))),Variables!$B$1:$D$1,0),1))*AK688)+(W688*INDEX(Variables!$B$9:$D$9,IFERROR(MATCH(IF($B688="Robusta","Robusta",(IF($B688="","Arabica",$B688))&amp;" - "&amp;(IF($C688="","Commercial",$C688))),Variables!$B$1:$D$1,0),1))*AK688/365),""))</f>
        <v>-6.4912002027666338</v>
      </c>
      <c r="BI688" s="44">
        <f>IF($AX688="Cancelled","",IFERROR((W688*INDEX(Variables!$B$7:$D$7,IFERROR(MATCH(IF($B688="Robusta","Robusta",(IF($B688="","Arabica",$B688))&amp;" - "&amp;(IF($C688="","Commercial",$C688))),Variables!$B$1:$D$1,0),1))*BD688/365)+(L688/16.67*INDEX(Variables!$B$8:$D$8,IFERROR(MATCH(IF($B688="Robusta","Robusta",(IF($B688="","Arabica",$B688))&amp;" - "&amp;(IF($C688="","Commercial",$C688))),Variables!$B$1:$D$1,0),1))*BD688)+(W688*INDEX(Variables!$B$9:$D$9,IFERROR(MATCH(IF($B688="Robusta","Robusta",(IF($B688="","Arabica",$B688))&amp;" - "&amp;(IF($C688="","Commercial",$C688))),Variables!$B$1:$D$1,0),1))*BD688/365),""))</f>
        <v>2.7819429440428429</v>
      </c>
      <c r="BJ688" s="44">
        <f t="shared" si="32"/>
        <v>-51</v>
      </c>
      <c r="BK688" s="44">
        <f>IF($AX688="Cancelled","",IFERROR(IF(BJ688="","",(W688*INDEX(Variables!$B$7:$D$7,IFERROR(MATCH(IF($B688="Robusta","Robusta",(IF($B688="","Arabica",$B688))&amp;" - "&amp;(IF($C688="","Commercial",$C688))),Variables!$B$1:$D$1,0),1))*(BJ688/365))+(W688*INDEX(Variables!$B$9:$D$9,IFERROR(MATCH(IF($B688="Robusta","Robusta",(IF($B688="","Arabica",$B688))&amp;" - "&amp;(IF($C688="","Commercial",$C688))),Variables!$B$1:$D$1,0),1))*(BJ688/365))+(INDEX(Variables!$B$8:$D$8,IFERROR(MATCH(IF($B688="Robusta","Robusta",(IF($B688="","Arabica",$B688))&amp;" - "&amp;(IF($C688="","Commercial",$C688))),Variables!$B$1:$D$1,0),1))*L688/16.67)),""))</f>
        <v>-31.693030048728328</v>
      </c>
    </row>
    <row r="689" spans="1:63">
      <c r="A689" s="13" t="s">
        <v>103</v>
      </c>
      <c r="B689" s="13" t="s">
        <v>104</v>
      </c>
      <c r="C689" s="13" t="s">
        <v>292</v>
      </c>
      <c r="D689" s="31">
        <v>46045</v>
      </c>
      <c r="E689" s="31">
        <v>46054</v>
      </c>
      <c r="F689" s="31">
        <v>46081</v>
      </c>
      <c r="G689" s="13">
        <v>3787133</v>
      </c>
      <c r="J689" s="13" t="s">
        <v>506</v>
      </c>
      <c r="K689" s="13" t="s">
        <v>1877</v>
      </c>
      <c r="L689" s="13">
        <v>6</v>
      </c>
      <c r="M689" s="13">
        <v>0</v>
      </c>
      <c r="N689" s="13" t="s">
        <v>1878</v>
      </c>
      <c r="O689" s="13" t="s">
        <v>775</v>
      </c>
      <c r="P689" s="13">
        <v>10030</v>
      </c>
      <c r="R689" s="13" t="s">
        <v>239</v>
      </c>
      <c r="S689" s="13" t="s">
        <v>509</v>
      </c>
      <c r="T689" s="13" t="s">
        <v>329</v>
      </c>
      <c r="U689" s="13" t="s">
        <v>330</v>
      </c>
      <c r="V689" s="13">
        <v>151</v>
      </c>
      <c r="W689" s="44">
        <f>IF($AX689="Cancelled","",IFERROR(((V689+INDEX(Variables!$B$6:$D$6,IFERROR(MATCH(IF($B689="Robusta","Robusta",(IF($B689="","Arabica",$B689))&amp;" - "&amp;(IF($C689="","Commercial",$C689))),Variables!$B$1:$D$1,0),1)))*22.0462)*(L689/16.67),""))</f>
        <v>3505.7028770245947</v>
      </c>
      <c r="X689" s="55" t="s">
        <v>39</v>
      </c>
      <c r="Y689" s="13" t="str">
        <f>IF($AX689="Cancelled","",IF(X689="","",IFERROR(IF(INDEX(Variables!$B$38:$B$47,MATCH(X689,Variables!$A$38:$A$47,0))="Yes","Yes","No"),"No")))</f>
        <v>No</v>
      </c>
      <c r="Z689" s="31"/>
      <c r="AC689" s="13" t="str">
        <f t="shared" si="31"/>
        <v/>
      </c>
      <c r="AF689" s="71">
        <v>46077</v>
      </c>
      <c r="AG689" s="31">
        <f>IF($AX689="Cancelled","",IFERROR(IF(F689="","",F689-Variables!$B$13),""))</f>
        <v>46066</v>
      </c>
      <c r="AH689" s="13" t="str">
        <f>IF($AX689="Cancelled","",IFERROR(IF(AB689="","",(AVERAGE(E689:F689)-AB689)-Variables!$B$14),""))</f>
        <v/>
      </c>
      <c r="AJ689" s="47">
        <v>46120</v>
      </c>
      <c r="AK689" s="14">
        <f>IF($AX689="Cancelled","",IFERROR(IF(AJ689="","",IF(AND(AB689="",AF689=""),"",IF(AF689&gt;AB689,AF689+Variables!$B$15+Variables!$B$16+Variables!$B$17-AJ689,AB689+Variables!$B$16+Variables!$B$17-AJ689))),""))</f>
        <v>-28</v>
      </c>
      <c r="AL689" s="48" t="s">
        <v>114</v>
      </c>
      <c r="AM689" s="13" t="s">
        <v>115</v>
      </c>
      <c r="AN689" s="13" t="s">
        <v>1541</v>
      </c>
      <c r="AP689" s="31" t="e">
        <v>#N/A</v>
      </c>
      <c r="AR689" s="13">
        <v>267559943</v>
      </c>
      <c r="AS689" s="31">
        <v>46132</v>
      </c>
      <c r="AU689" s="31">
        <v>46147</v>
      </c>
      <c r="AV689" s="13" t="s">
        <v>865</v>
      </c>
      <c r="AW689" s="31">
        <v>46162</v>
      </c>
      <c r="AX689" s="13" t="str">
        <f>IF(ISNUMBER(SEARCH("cancel",#REF!)),"Cancelled",IF(AND(AS689&lt;&gt;"",AU689&lt;&gt;"",AW689&lt;&gt;""),"Closed","Open"))</f>
        <v>Closed</v>
      </c>
      <c r="AY689" s="15" t="str">
        <f t="shared" si="30"/>
        <v>All dates received</v>
      </c>
      <c r="BD689" s="13">
        <f>IF($AX689="Cancelled","",IFERROR(IF(OR(AS689="",AJ689=""),"",(AJ689+Variables!$B$18-AS689)),""))</f>
        <v>3</v>
      </c>
      <c r="BE689" s="13">
        <f>IF($AX689="Cancelled","",IFERROR(IF(OR(AW689="",AS689=""),"",(AS689+Variables!$B$19)-AW689),""))</f>
        <v>-25</v>
      </c>
      <c r="BF689" s="44">
        <f>IF($AX689="Cancelled","",IFERROR(W689*INDEX(Variables!$B$7:$D$7,IFERROR(MATCH(IF($B689="Robusta","Robusta",(IF($B689="","Arabica",$B689))&amp;" - "&amp;(IF($C689="","Commercial",$C689))),Variables!$B$1:$D$1,0),1))*(BE689/365),""))</f>
        <v>-15.483248908005159</v>
      </c>
      <c r="BG689" s="44" t="str">
        <f>IF($AX689="Cancelled","",IFERROR((W689*INDEX(Variables!$B$7:$D$7,IFERROR(MATCH(IF($B689="Robusta","Robusta",(IF($B689="","Arabica",$B689))&amp;" - "&amp;(IF($C689="","Commercial",$C689))),Variables!$B$1:$D$1,0),1))*IFERROR(IF(AB689="","",(AVERAGE(E689:F689)-AB689)-Variables!$B$14),"")/365)+(L689/16.67*INDEX(Variables!$B$8:$D$8,IFERROR(MATCH(IF($B689="Robusta","Robusta",(IF($B689="","Arabica",$B689))&amp;" - "&amp;(IF($C689="","Commercial",$C689))),Variables!$B$1:$D$1,0),1))*IFERROR(IF(AB689="","",(AVERAGE(E689:F689)-AB689)-Variables!$B$14),""))+(W689*INDEX(Variables!$B$9:$D$9,IFERROR(MATCH(IF($B689="Robusta","Robusta",(IF($B689="","Arabica",$B689))&amp;" - "&amp;(IF($C689="","Commercial",$C689))),Variables!$B$1:$D$1,0),1))*IFERROR(IF(AB689="","",(AVERAGE(E689:F689)-AB689)-Variables!$B$14),"")/365),""))</f>
        <v/>
      </c>
      <c r="BH689" s="44">
        <f>IF($AX689="Cancelled","",IFERROR((W689*INDEX(Variables!$B$7:$D$7,IFERROR(MATCH(IF($B689="Robusta","Robusta",(IF($B689="","Arabica",$B689))&amp;" - "&amp;(IF($C689="","Commercial",$C689))),Variables!$B$1:$D$1,0),1))*AK689/365)+(L689/16.67*INDEX(Variables!$B$8:$D$8,IFERROR(MATCH(IF($B689="Robusta","Robusta",(IF($B689="","Arabica",$B689))&amp;" - "&amp;(IF($C689="","Commercial",$C689))),Variables!$B$1:$D$1,0),1))*AK689)+(W689*INDEX(Variables!$B$9:$D$9,IFERROR(MATCH(IF($B689="Robusta","Robusta",(IF($B689="","Arabica",$B689))&amp;" - "&amp;(IF($C689="","Commercial",$C689))),Variables!$B$1:$D$1,0),1))*AK689/365),""))</f>
        <v>-25.964800811066535</v>
      </c>
      <c r="BI689" s="44">
        <f>IF($AX689="Cancelled","",IFERROR((W689*INDEX(Variables!$B$7:$D$7,IFERROR(MATCH(IF($B689="Robusta","Robusta",(IF($B689="","Arabica",$B689))&amp;" - "&amp;(IF($C689="","Commercial",$C689))),Variables!$B$1:$D$1,0),1))*BD689/365)+(L689/16.67*INDEX(Variables!$B$8:$D$8,IFERROR(MATCH(IF($B689="Robusta","Robusta",(IF($B689="","Arabica",$B689))&amp;" - "&amp;(IF($C689="","Commercial",$C689))),Variables!$B$1:$D$1,0),1))*BD689)+(W689*INDEX(Variables!$B$9:$D$9,IFERROR(MATCH(IF($B689="Robusta","Robusta",(IF($B689="","Arabica",$B689))&amp;" - "&amp;(IF($C689="","Commercial",$C689))),Variables!$B$1:$D$1,0),1))*BD689/365),""))</f>
        <v>2.7819429440428429</v>
      </c>
      <c r="BJ689" s="44">
        <f t="shared" si="32"/>
        <v>-51</v>
      </c>
      <c r="BK689" s="44">
        <f>IF($AX689="Cancelled","",IFERROR(IF(BJ689="","",(W689*INDEX(Variables!$B$7:$D$7,IFERROR(MATCH(IF($B689="Robusta","Robusta",(IF($B689="","Arabica",$B689))&amp;" - "&amp;(IF($C689="","Commercial",$C689))),Variables!$B$1:$D$1,0),1))*(BJ689/365))+(W689*INDEX(Variables!$B$9:$D$9,IFERROR(MATCH(IF($B689="Robusta","Robusta",(IF($B689="","Arabica",$B689))&amp;" - "&amp;(IF($C689="","Commercial",$C689))),Variables!$B$1:$D$1,0),1))*(BJ689/365))+(INDEX(Variables!$B$8:$D$8,IFERROR(MATCH(IF($B689="Robusta","Robusta",(IF($B689="","Arabica",$B689))&amp;" - "&amp;(IF($C689="","Commercial",$C689))),Variables!$B$1:$D$1,0),1))*L689/16.67)),""))</f>
        <v>-31.693030048728328</v>
      </c>
    </row>
    <row r="690" spans="1:63">
      <c r="A690" s="13" t="s">
        <v>103</v>
      </c>
      <c r="B690" s="13" t="s">
        <v>104</v>
      </c>
      <c r="C690" s="13" t="s">
        <v>292</v>
      </c>
      <c r="D690" s="31">
        <v>46045</v>
      </c>
      <c r="E690" s="31">
        <v>46054</v>
      </c>
      <c r="F690" s="31">
        <v>46081</v>
      </c>
      <c r="G690" s="13">
        <v>3787134</v>
      </c>
      <c r="J690" s="13" t="s">
        <v>506</v>
      </c>
      <c r="K690" s="13" t="s">
        <v>1879</v>
      </c>
      <c r="L690" s="13">
        <v>16</v>
      </c>
      <c r="M690" s="13">
        <v>0</v>
      </c>
      <c r="N690" s="13" t="s">
        <v>1880</v>
      </c>
      <c r="O690" s="13" t="s">
        <v>775</v>
      </c>
      <c r="P690" s="13">
        <v>10030</v>
      </c>
      <c r="R690" s="13" t="s">
        <v>384</v>
      </c>
      <c r="S690" s="13" t="s">
        <v>509</v>
      </c>
      <c r="T690" s="13" t="s">
        <v>329</v>
      </c>
      <c r="U690" s="13" t="s">
        <v>330</v>
      </c>
      <c r="V690" s="13">
        <v>182</v>
      </c>
      <c r="W690" s="44">
        <f>IF($AX690="Cancelled","",IFERROR(((V690+INDEX(Variables!$B$6:$D$6,IFERROR(MATCH(IF($B690="Robusta","Robusta",(IF($B690="","Arabica",$B690))&amp;" - "&amp;(IF($C690="","Commercial",$C690))),Variables!$B$1:$D$1,0),1)))*22.0462)*(L690/16.67),""))</f>
        <v>10004.504724655068</v>
      </c>
      <c r="X690" s="55" t="s">
        <v>39</v>
      </c>
      <c r="Y690" s="13" t="str">
        <f>IF($AX690="Cancelled","",IF(X690="","",IFERROR(IF(INDEX(Variables!$B$38:$B$47,MATCH(X690,Variables!$A$38:$A$47,0))="Yes","Yes","No"),"No")))</f>
        <v>No</v>
      </c>
      <c r="Z690" s="31"/>
      <c r="AC690" s="13" t="str">
        <f t="shared" si="31"/>
        <v/>
      </c>
      <c r="AF690" s="71">
        <v>46084</v>
      </c>
      <c r="AG690" s="31">
        <f>IF($AX690="Cancelled","",IFERROR(IF(F690="","",F690-Variables!$B$13),""))</f>
        <v>46066</v>
      </c>
      <c r="AH690" s="13" t="str">
        <f>IF($AX690="Cancelled","",IFERROR(IF(AB690="","",(AVERAGE(E690:F690)-AB690)-Variables!$B$14),""))</f>
        <v/>
      </c>
      <c r="AJ690" s="47">
        <v>46120</v>
      </c>
      <c r="AK690" s="14">
        <f>IF($AX690="Cancelled","",IFERROR(IF(AJ690="","",IF(AND(AB690="",AF690=""),"",IF(AF690&gt;AB690,AF690+Variables!$B$15+Variables!$B$16+Variables!$B$17-AJ690,AB690+Variables!$B$16+Variables!$B$17-AJ690))),""))</f>
        <v>-21</v>
      </c>
      <c r="AL690" s="48" t="s">
        <v>114</v>
      </c>
      <c r="AM690" s="13" t="s">
        <v>115</v>
      </c>
      <c r="AN690" s="13" t="s">
        <v>1541</v>
      </c>
      <c r="AP690" s="31" t="e">
        <v>#N/A</v>
      </c>
      <c r="AR690" s="13">
        <v>267559943</v>
      </c>
      <c r="AS690" s="31">
        <v>46132</v>
      </c>
      <c r="AU690" s="31">
        <v>46147</v>
      </c>
      <c r="AV690" s="13" t="s">
        <v>865</v>
      </c>
      <c r="AW690" s="31">
        <v>46162</v>
      </c>
      <c r="AX690" s="13" t="str">
        <f>IF(ISNUMBER(SEARCH("cancel",#REF!)),"Cancelled",IF(AND(AS690&lt;&gt;"",AU690&lt;&gt;"",AW690&lt;&gt;""),"Closed","Open"))</f>
        <v>Closed</v>
      </c>
      <c r="AY690" s="15" t="str">
        <f t="shared" si="30"/>
        <v>All dates received</v>
      </c>
      <c r="BD690" s="13">
        <f>IF($AX690="Cancelled","",IFERROR(IF(OR(AS690="",AJ690=""),"",(AJ690+Variables!$B$18-AS690)),""))</f>
        <v>3</v>
      </c>
      <c r="BE690" s="13">
        <f>IF($AX690="Cancelled","",IFERROR(IF(OR(AW690="",AS690=""),"",(AS690+Variables!$B$19)-AW690),""))</f>
        <v>-25</v>
      </c>
      <c r="BF690" s="44">
        <f>IF($AX690="Cancelled","",IFERROR(W690*INDEX(Variables!$B$7:$D$7,IFERROR(MATCH(IF($B690="Robusta","Robusta",(IF($B690="","Arabica",$B690))&amp;" - "&amp;(IF($C690="","Commercial",$C690))),Variables!$B$1:$D$1,0),1))*(BE690/365),""))</f>
        <v>-44.185785928503634</v>
      </c>
      <c r="BG690" s="44" t="str">
        <f>IF($AX690="Cancelled","",IFERROR((W690*INDEX(Variables!$B$7:$D$7,IFERROR(MATCH(IF($B690="Robusta","Robusta",(IF($B690="","Arabica",$B690))&amp;" - "&amp;(IF($C690="","Commercial",$C690))),Variables!$B$1:$D$1,0),1))*IFERROR(IF(AB690="","",(AVERAGE(E690:F690)-AB690)-Variables!$B$14),"")/365)+(L690/16.67*INDEX(Variables!$B$8:$D$8,IFERROR(MATCH(IF($B690="Robusta","Robusta",(IF($B690="","Arabica",$B690))&amp;" - "&amp;(IF($C690="","Commercial",$C690))),Variables!$B$1:$D$1,0),1))*IFERROR(IF(AB690="","",(AVERAGE(E690:F690)-AB690)-Variables!$B$14),""))+(W690*INDEX(Variables!$B$9:$D$9,IFERROR(MATCH(IF($B690="Robusta","Robusta",(IF($B690="","Arabica",$B690))&amp;" - "&amp;(IF($C690="","Commercial",$C690))),Variables!$B$1:$D$1,0),1))*IFERROR(IF(AB690="","",(AVERAGE(E690:F690)-AB690)-Variables!$B$14),"")/365),""))</f>
        <v/>
      </c>
      <c r="BH690" s="44">
        <f>IF($AX690="Cancelled","",IFERROR((W690*INDEX(Variables!$B$7:$D$7,IFERROR(MATCH(IF($B690="Robusta","Robusta",(IF($B690="","Arabica",$B690))&amp;" - "&amp;(IF($C690="","Commercial",$C690))),Variables!$B$1:$D$1,0),1))*AK690/365)+(L690/16.67*INDEX(Variables!$B$8:$D$8,IFERROR(MATCH(IF($B690="Robusta","Robusta",(IF($B690="","Arabica",$B690))&amp;" - "&amp;(IF($C690="","Commercial",$C690))),Variables!$B$1:$D$1,0),1))*AK690)+(W690*INDEX(Variables!$B$9:$D$9,IFERROR(MATCH(IF($B690="Robusta","Robusta",(IF($B690="","Arabica",$B690))&amp;" - "&amp;(IF($C690="","Commercial",$C690))),Variables!$B$1:$D$1,0),1))*AK690/365),""))</f>
        <v>-54.394557824682018</v>
      </c>
      <c r="BI690" s="44">
        <f>IF($AX690="Cancelled","",IFERROR((W690*INDEX(Variables!$B$7:$D$7,IFERROR(MATCH(IF($B690="Robusta","Robusta",(IF($B690="","Arabica",$B690))&amp;" - "&amp;(IF($C690="","Commercial",$C690))),Variables!$B$1:$D$1,0),1))*BD690/365)+(L690/16.67*INDEX(Variables!$B$8:$D$8,IFERROR(MATCH(IF($B690="Robusta","Robusta",(IF($B690="","Arabica",$B690))&amp;" - "&amp;(IF($C690="","Commercial",$C690))),Variables!$B$1:$D$1,0),1))*BD690)+(W690*INDEX(Variables!$B$9:$D$9,IFERROR(MATCH(IF($B690="Robusta","Robusta",(IF($B690="","Arabica",$B690))&amp;" - "&amp;(IF($C690="","Commercial",$C690))),Variables!$B$1:$D$1,0),1))*BD690/365),""))</f>
        <v>7.7706511178117168</v>
      </c>
      <c r="BJ690" s="44">
        <f t="shared" si="32"/>
        <v>-51</v>
      </c>
      <c r="BK690" s="44">
        <f>IF($AX690="Cancelled","",IFERROR(IF(BJ690="","",(W690*INDEX(Variables!$B$7:$D$7,IFERROR(MATCH(IF($B690="Robusta","Robusta",(IF($B690="","Arabica",$B690))&amp;" - "&amp;(IF($C690="","Commercial",$C690))),Variables!$B$1:$D$1,0),1))*(BJ690/365))+(W690*INDEX(Variables!$B$9:$D$9,IFERROR(MATCH(IF($B690="Robusta","Robusta",(IF($B690="","Arabica",$B690))&amp;" - "&amp;(IF($C690="","Commercial",$C690))),Variables!$B$1:$D$1,0),1))*(BJ690/365))+(INDEX(Variables!$B$8:$D$8,IFERROR(MATCH(IF($B690="Robusta","Robusta",(IF($B690="","Arabica",$B690))&amp;" - "&amp;(IF($C690="","Commercial",$C690))),Variables!$B$1:$D$1,0),1))*L690/16.67)),""))</f>
        <v>-90.501069002799184</v>
      </c>
    </row>
    <row r="691" spans="1:63">
      <c r="A691" s="13" t="s">
        <v>103</v>
      </c>
      <c r="B691" s="13" t="s">
        <v>104</v>
      </c>
      <c r="C691" s="13" t="s">
        <v>292</v>
      </c>
      <c r="D691" s="31">
        <v>46045</v>
      </c>
      <c r="E691" s="31">
        <v>46054</v>
      </c>
      <c r="F691" s="31">
        <v>46081</v>
      </c>
      <c r="G691" s="13">
        <v>3787135</v>
      </c>
      <c r="J691" s="13" t="s">
        <v>506</v>
      </c>
      <c r="K691" s="13" t="s">
        <v>1881</v>
      </c>
      <c r="L691" s="13">
        <v>2</v>
      </c>
      <c r="M691" s="13">
        <v>0</v>
      </c>
      <c r="N691" s="13" t="s">
        <v>1882</v>
      </c>
      <c r="O691" s="13" t="s">
        <v>771</v>
      </c>
      <c r="P691" s="13">
        <v>10010</v>
      </c>
      <c r="R691" s="13" t="s">
        <v>384</v>
      </c>
      <c r="S691" s="13" t="s">
        <v>509</v>
      </c>
      <c r="T691" s="13" t="s">
        <v>329</v>
      </c>
      <c r="U691" s="13" t="s">
        <v>330</v>
      </c>
      <c r="V691" s="13">
        <v>201</v>
      </c>
      <c r="W691" s="44">
        <f>IF($AX691="Cancelled","",IFERROR(((V691+INDEX(Variables!$B$6:$D$6,IFERROR(MATCH(IF($B691="Robusta","Robusta",(IF($B691="","Arabica",$B691))&amp;" - "&amp;(IF($C691="","Commercial",$C691))),Variables!$B$1:$D$1,0),1)))*22.0462)*(L691/16.67),""))</f>
        <v>1300.8183755248949</v>
      </c>
      <c r="X691" s="55" t="s">
        <v>39</v>
      </c>
      <c r="Y691" s="13" t="str">
        <f>IF($AX691="Cancelled","",IF(X691="","",IFERROR(IF(INDEX(Variables!$B$38:$B$47,MATCH(X691,Variables!$A$38:$A$47,0))="Yes","Yes","No"),"No")))</f>
        <v>No</v>
      </c>
      <c r="Z691" s="31"/>
      <c r="AC691" s="13" t="str">
        <f t="shared" si="31"/>
        <v/>
      </c>
      <c r="AF691" s="71">
        <v>46077</v>
      </c>
      <c r="AG691" s="31">
        <f>IF($AX691="Cancelled","",IFERROR(IF(F691="","",F691-Variables!$B$13),""))</f>
        <v>46066</v>
      </c>
      <c r="AH691" s="13" t="str">
        <f>IF($AX691="Cancelled","",IFERROR(IF(AB691="","",(AVERAGE(E691:F691)-AB691)-Variables!$B$14),""))</f>
        <v/>
      </c>
      <c r="AJ691" s="47">
        <v>46120</v>
      </c>
      <c r="AK691" s="14">
        <f>IF($AX691="Cancelled","",IFERROR(IF(AJ691="","",IF(AND(AB691="",AF691=""),"",IF(AF691&gt;AB691,AF691+Variables!$B$15+Variables!$B$16+Variables!$B$17-AJ691,AB691+Variables!$B$16+Variables!$B$17-AJ691))),""))</f>
        <v>-28</v>
      </c>
      <c r="AL691" s="48" t="s">
        <v>114</v>
      </c>
      <c r="AM691" s="13" t="s">
        <v>115</v>
      </c>
      <c r="AN691" s="13" t="s">
        <v>1541</v>
      </c>
      <c r="AP691" s="31" t="e">
        <v>#N/A</v>
      </c>
      <c r="AR691" s="13">
        <v>267559943</v>
      </c>
      <c r="AS691" s="31">
        <v>46132</v>
      </c>
      <c r="AU691" s="31">
        <v>46147</v>
      </c>
      <c r="AV691" s="13" t="s">
        <v>865</v>
      </c>
      <c r="AW691" s="31">
        <v>46162</v>
      </c>
      <c r="AX691" s="13" t="str">
        <f>IF(ISNUMBER(SEARCH("cancel",#REF!)),"Cancelled",IF(AND(AS691&lt;&gt;"",AU691&lt;&gt;"",AW691&lt;&gt;""),"Closed","Open"))</f>
        <v>Closed</v>
      </c>
      <c r="AY691" s="15" t="str">
        <f t="shared" si="30"/>
        <v>All dates received</v>
      </c>
      <c r="BD691" s="13">
        <f>IF($AX691="Cancelled","",IFERROR(IF(OR(AS691="",AJ691=""),"",(AJ691+Variables!$B$18-AS691)),""))</f>
        <v>3</v>
      </c>
      <c r="BE691" s="13">
        <f>IF($AX691="Cancelled","",IFERROR(IF(OR(AW691="",AS691=""),"",(AS691+Variables!$B$19)-AW691),""))</f>
        <v>-25</v>
      </c>
      <c r="BF691" s="44">
        <f>IF($AX691="Cancelled","",IFERROR(W691*INDEX(Variables!$B$7:$D$7,IFERROR(MATCH(IF($B691="Robusta","Robusta",(IF($B691="","Arabica",$B691))&amp;" - "&amp;(IF($C691="","Commercial",$C691))),Variables!$B$1:$D$1,0),1))*(BE691/365),""))</f>
        <v>-5.7451801817994097</v>
      </c>
      <c r="BG691" s="44" t="str">
        <f>IF($AX691="Cancelled","",IFERROR((W691*INDEX(Variables!$B$7:$D$7,IFERROR(MATCH(IF($B691="Robusta","Robusta",(IF($B691="","Arabica",$B691))&amp;" - "&amp;(IF($C691="","Commercial",$C691))),Variables!$B$1:$D$1,0),1))*IFERROR(IF(AB691="","",(AVERAGE(E691:F691)-AB691)-Variables!$B$14),"")/365)+(L691/16.67*INDEX(Variables!$B$8:$D$8,IFERROR(MATCH(IF($B691="Robusta","Robusta",(IF($B691="","Arabica",$B691))&amp;" - "&amp;(IF($C691="","Commercial",$C691))),Variables!$B$1:$D$1,0),1))*IFERROR(IF(AB691="","",(AVERAGE(E691:F691)-AB691)-Variables!$B$14),""))+(W691*INDEX(Variables!$B$9:$D$9,IFERROR(MATCH(IF($B691="Robusta","Robusta",(IF($B691="","Arabica",$B691))&amp;" - "&amp;(IF($C691="","Commercial",$C691))),Variables!$B$1:$D$1,0),1))*IFERROR(IF(AB691="","",(AVERAGE(E691:F691)-AB691)-Variables!$B$14),"")/365),""))</f>
        <v/>
      </c>
      <c r="BH691" s="44">
        <f>IF($AX691="Cancelled","",IFERROR((W691*INDEX(Variables!$B$7:$D$7,IFERROR(MATCH(IF($B691="Robusta","Robusta",(IF($B691="","Arabica",$B691))&amp;" - "&amp;(IF($C691="","Commercial",$C691))),Variables!$B$1:$D$1,0),1))*AK691/365)+(L691/16.67*INDEX(Variables!$B$8:$D$8,IFERROR(MATCH(IF($B691="Robusta","Robusta",(IF($B691="","Arabica",$B691))&amp;" - "&amp;(IF($C691="","Commercial",$C691))),Variables!$B$1:$D$1,0),1))*AK691)+(W691*INDEX(Variables!$B$9:$D$9,IFERROR(MATCH(IF($B691="Robusta","Robusta",(IF($B691="","Arabica",$B691))&amp;" - "&amp;(IF($C691="","Commercial",$C691))),Variables!$B$1:$D$1,0),1))*AK691/365),""))</f>
        <v>-9.3175562387826485</v>
      </c>
      <c r="BI691" s="44">
        <f>IF($AX691="Cancelled","",IFERROR((W691*INDEX(Variables!$B$7:$D$7,IFERROR(MATCH(IF($B691="Robusta","Robusta",(IF($B691="","Arabica",$B691))&amp;" - "&amp;(IF($C691="","Commercial",$C691))),Variables!$B$1:$D$1,0),1))*BD691/365)+(L691/16.67*INDEX(Variables!$B$8:$D$8,IFERROR(MATCH(IF($B691="Robusta","Robusta",(IF($B691="","Arabica",$B691))&amp;" - "&amp;(IF($C691="","Commercial",$C691))),Variables!$B$1:$D$1,0),1))*BD691)+(W691*INDEX(Variables!$B$9:$D$9,IFERROR(MATCH(IF($B691="Robusta","Robusta",(IF($B691="","Arabica",$B691))&amp;" - "&amp;(IF($C691="","Commercial",$C691))),Variables!$B$1:$D$1,0),1))*BD691/365),""))</f>
        <v>0.9983095970124265</v>
      </c>
      <c r="BJ691" s="44">
        <f t="shared" si="32"/>
        <v>-51</v>
      </c>
      <c r="BK691" s="44">
        <f>IF($AX691="Cancelled","",IFERROR(IF(BJ691="","",(W691*INDEX(Variables!$B$7:$D$7,IFERROR(MATCH(IF($B691="Robusta","Robusta",(IF($B691="","Arabica",$B691))&amp;" - "&amp;(IF($C691="","Commercial",$C691))),Variables!$B$1:$D$1,0),1))*(BJ691/365))+(W691*INDEX(Variables!$B$9:$D$9,IFERROR(MATCH(IF($B691="Robusta","Robusta",(IF($B691="","Arabica",$B691))&amp;" - "&amp;(IF($C691="","Commercial",$C691))),Variables!$B$1:$D$1,0),1))*(BJ691/365))+(INDEX(Variables!$B$8:$D$8,IFERROR(MATCH(IF($B691="Robusta","Robusta",(IF($B691="","Arabica",$B691))&amp;" - "&amp;(IF($C691="","Commercial",$C691))),Variables!$B$1:$D$1,0),1))*L691/16.67)),""))</f>
        <v>-11.771263149211251</v>
      </c>
    </row>
    <row r="692" spans="1:63">
      <c r="A692" s="13" t="s">
        <v>103</v>
      </c>
      <c r="B692" s="13" t="s">
        <v>104</v>
      </c>
      <c r="C692" s="13" t="s">
        <v>292</v>
      </c>
      <c r="D692" s="31">
        <v>46045</v>
      </c>
      <c r="E692" s="31">
        <v>46054</v>
      </c>
      <c r="F692" s="31">
        <v>46081</v>
      </c>
      <c r="G692" s="13">
        <v>3787136</v>
      </c>
      <c r="J692" s="13" t="s">
        <v>294</v>
      </c>
      <c r="K692" s="13" t="s">
        <v>1883</v>
      </c>
      <c r="L692" s="13">
        <v>30</v>
      </c>
      <c r="M692" s="13">
        <v>0</v>
      </c>
      <c r="N692" s="13" t="s">
        <v>1884</v>
      </c>
      <c r="O692" s="13" t="s">
        <v>775</v>
      </c>
      <c r="P692" s="13">
        <v>10030</v>
      </c>
      <c r="R692" s="13" t="s">
        <v>384</v>
      </c>
      <c r="S692" s="13" t="s">
        <v>299</v>
      </c>
      <c r="T692" s="13" t="s">
        <v>305</v>
      </c>
      <c r="U692" s="13" t="s">
        <v>125</v>
      </c>
      <c r="V692" s="13">
        <v>158</v>
      </c>
      <c r="W692" s="44">
        <f>IF($AX692="Cancelled","",IFERROR(((V692+INDEX(Variables!$B$6:$D$6,IFERROR(MATCH(IF($B692="Robusta","Robusta",(IF($B692="","Arabica",$B692))&amp;" - "&amp;(IF($C692="","Commercial",$C692))),Variables!$B$1:$D$1,0),1)))*22.0462)*(L692/16.67),""))</f>
        <v>17806.240959808034</v>
      </c>
      <c r="X692" s="55" t="s">
        <v>39</v>
      </c>
      <c r="Y692" s="13" t="str">
        <f>IF($AX692="Cancelled","",IF(X692="","",IFERROR(IF(INDEX(Variables!$B$38:$B$47,MATCH(X692,Variables!$A$38:$A$47,0))="Yes","Yes","No"),"No")))</f>
        <v>No</v>
      </c>
      <c r="Z692" s="31"/>
      <c r="AB692" s="31">
        <v>46036.875</v>
      </c>
      <c r="AC692" s="13" t="str">
        <f t="shared" si="31"/>
        <v>Approved</v>
      </c>
      <c r="AF692" s="71">
        <v>46048</v>
      </c>
      <c r="AG692" s="31">
        <f>IF($AX692="Cancelled","",IFERROR(IF(F692="","",F692-Variables!$B$13),""))</f>
        <v>46066</v>
      </c>
      <c r="AH692" s="13">
        <f>IF($AX692="Cancelled","",IFERROR(IF(AB692="","",(AVERAGE(E692:F692)-AB692)-Variables!$B$14),""))</f>
        <v>0.625</v>
      </c>
      <c r="AJ692" s="47">
        <v>46050</v>
      </c>
      <c r="AK692" s="14">
        <f>IF($AX692="Cancelled","",IFERROR(IF(AJ692="","",IF(AND(AB692="",AF692=""),"",IF(AF692&gt;AB692,AF692+Variables!$B$15+Variables!$B$16+Variables!$B$17-AJ692,AB692+Variables!$B$16+Variables!$B$17-AJ692))),""))</f>
        <v>13</v>
      </c>
      <c r="AL692" s="48" t="s">
        <v>114</v>
      </c>
      <c r="AM692" s="13" t="s">
        <v>115</v>
      </c>
      <c r="AN692" s="13" t="s">
        <v>1714</v>
      </c>
      <c r="AP692" s="31" t="e">
        <v>#N/A</v>
      </c>
      <c r="AR692" s="13">
        <v>265455806</v>
      </c>
      <c r="AS692" s="31">
        <v>46067</v>
      </c>
      <c r="AU692" s="31">
        <v>46087</v>
      </c>
      <c r="AV692" s="13" t="s">
        <v>865</v>
      </c>
      <c r="AW692" s="31">
        <v>46087</v>
      </c>
      <c r="AX692" s="13" t="str">
        <f>IF(ISNUMBER(SEARCH("cancel",#REF!)),"Cancelled",IF(AND(AS692&lt;&gt;"",AU692&lt;&gt;"",AW692&lt;&gt;""),"Closed","Open"))</f>
        <v>Closed</v>
      </c>
      <c r="AY692" s="15" t="str">
        <f t="shared" si="30"/>
        <v>All dates received</v>
      </c>
      <c r="BD692" s="13">
        <f>IF($AX692="Cancelled","",IFERROR(IF(OR(AS692="",AJ692=""),"",(AJ692+Variables!$B$18-AS692)),""))</f>
        <v>-2</v>
      </c>
      <c r="BE692" s="13">
        <f>IF($AX692="Cancelled","",IFERROR(IF(OR(AW692="",AS692=""),"",(AS692+Variables!$B$19)-AW692),""))</f>
        <v>-15</v>
      </c>
      <c r="BF692" s="44">
        <f>IF($AX692="Cancelled","",IFERROR(W692*INDEX(Variables!$B$7:$D$7,IFERROR(MATCH(IF($B692="Robusta","Robusta",(IF($B692="","Arabica",$B692))&amp;" - "&amp;(IF($C692="","Commercial",$C692))),Variables!$B$1:$D$1,0),1))*(BE692/365),""))</f>
        <v>-47.185709211720557</v>
      </c>
      <c r="BG692" s="44">
        <f>IF($AX692="Cancelled","",IFERROR((W692*INDEX(Variables!$B$7:$D$7,IFERROR(MATCH(IF($B692="Robusta","Robusta",(IF($B692="","Arabica",$B692))&amp;" - "&amp;(IF($C692="","Commercial",$C692))),Variables!$B$1:$D$1,0),1))*IFERROR(IF(AB692="","",(AVERAGE(E692:F692)-AB692)-Variables!$B$14),"")/365)+(L692/16.67*INDEX(Variables!$B$8:$D$8,IFERROR(MATCH(IF($B692="Robusta","Robusta",(IF($B692="","Arabica",$B692))&amp;" - "&amp;(IF($C692="","Commercial",$C692))),Variables!$B$1:$D$1,0),1))*IFERROR(IF(AB692="","",(AVERAGE(E692:F692)-AB692)-Variables!$B$14),""))+(W692*INDEX(Variables!$B$9:$D$9,IFERROR(MATCH(IF($B692="Robusta","Robusta",(IF($B692="","Arabica",$B692))&amp;" - "&amp;(IF($C692="","Commercial",$C692))),Variables!$B$1:$D$1,0),1))*IFERROR(IF(AB692="","",(AVERAGE(E692:F692)-AB692)-Variables!$B$14),"")/365),""))</f>
        <v>2.928917669397983</v>
      </c>
      <c r="BH692" s="44">
        <f>IF($AX692="Cancelled","",IFERROR((W692*INDEX(Variables!$B$7:$D$7,IFERROR(MATCH(IF($B692="Robusta","Robusta",(IF($B692="","Arabica",$B692))&amp;" - "&amp;(IF($C692="","Commercial",$C692))),Variables!$B$1:$D$1,0),1))*AK692/365)+(L692/16.67*INDEX(Variables!$B$8:$D$8,IFERROR(MATCH(IF($B692="Robusta","Robusta",(IF($B692="","Arabica",$B692))&amp;" - "&amp;(IF($C692="","Commercial",$C692))),Variables!$B$1:$D$1,0),1))*AK692)+(W692*INDEX(Variables!$B$9:$D$9,IFERROR(MATCH(IF($B692="Robusta","Robusta",(IF($B692="","Arabica",$B692))&amp;" - "&amp;(IF($C692="","Commercial",$C692))),Variables!$B$1:$D$1,0),1))*AK692/365),""))</f>
        <v>60.921487523478049</v>
      </c>
      <c r="BI692" s="44">
        <f>IF($AX692="Cancelled","",IFERROR((W692*INDEX(Variables!$B$7:$D$7,IFERROR(MATCH(IF($B692="Robusta","Robusta",(IF($B692="","Arabica",$B692))&amp;" - "&amp;(IF($C692="","Commercial",$C692))),Variables!$B$1:$D$1,0),1))*BD692/365)+(L692/16.67*INDEX(Variables!$B$8:$D$8,IFERROR(MATCH(IF($B692="Robusta","Robusta",(IF($B692="","Arabica",$B692))&amp;" - "&amp;(IF($C692="","Commercial",$C692))),Variables!$B$1:$D$1,0),1))*BD692)+(W692*INDEX(Variables!$B$9:$D$9,IFERROR(MATCH(IF($B692="Robusta","Robusta",(IF($B692="","Arabica",$B692))&amp;" - "&amp;(IF($C692="","Commercial",$C692))),Variables!$B$1:$D$1,0),1))*BD692/365),""))</f>
        <v>-9.3725365420735454</v>
      </c>
      <c r="BJ692" s="44">
        <f t="shared" si="32"/>
        <v>14</v>
      </c>
      <c r="BK692" s="44">
        <f>IF($AX692="Cancelled","",IFERROR(IF(BJ692="","",(W692*INDEX(Variables!$B$7:$D$7,IFERROR(MATCH(IF($B692="Robusta","Robusta",(IF($B692="","Arabica",$B692))&amp;" - "&amp;(IF($C692="","Commercial",$C692))),Variables!$B$1:$D$1,0),1))*(BJ692/365))+(W692*INDEX(Variables!$B$9:$D$9,IFERROR(MATCH(IF($B692="Robusta","Robusta",(IF($B692="","Arabica",$B692))&amp;" - "&amp;(IF($C692="","Commercial",$C692))),Variables!$B$1:$D$1,0),1))*(BJ692/365))+(INDEX(Variables!$B$8:$D$8,IFERROR(MATCH(IF($B692="Robusta","Robusta",(IF($B692="","Arabica",$B692))&amp;" - "&amp;(IF($C692="","Commercial",$C692))),Variables!$B$1:$D$1,0),1))*L692/16.67)),""))</f>
        <v>46.107755794514823</v>
      </c>
    </row>
    <row r="693" spans="1:63">
      <c r="A693" s="13" t="s">
        <v>103</v>
      </c>
      <c r="B693" s="13" t="s">
        <v>104</v>
      </c>
      <c r="C693" s="13" t="s">
        <v>292</v>
      </c>
      <c r="D693" s="31">
        <v>46045</v>
      </c>
      <c r="E693" s="31">
        <v>46054</v>
      </c>
      <c r="F693" s="31">
        <v>46081</v>
      </c>
      <c r="G693" s="13">
        <v>3787137</v>
      </c>
      <c r="J693" s="13" t="s">
        <v>294</v>
      </c>
      <c r="K693" s="13" t="s">
        <v>1885</v>
      </c>
      <c r="L693" s="13">
        <v>29</v>
      </c>
      <c r="M693" s="13">
        <v>0</v>
      </c>
      <c r="N693" s="13" t="s">
        <v>1886</v>
      </c>
      <c r="O693" s="13" t="s">
        <v>775</v>
      </c>
      <c r="P693" s="13">
        <v>10030</v>
      </c>
      <c r="R693" s="13" t="s">
        <v>384</v>
      </c>
      <c r="S693" s="13" t="s">
        <v>299</v>
      </c>
      <c r="T693" s="13" t="s">
        <v>305</v>
      </c>
      <c r="U693" s="13" t="s">
        <v>125</v>
      </c>
      <c r="V693" s="13">
        <v>167</v>
      </c>
      <c r="W693" s="44">
        <f>IF($AX693="Cancelled","",IFERROR(((V693+INDEX(Variables!$B$6:$D$6,IFERROR(MATCH(IF($B693="Robusta","Robusta",(IF($B693="","Arabica",$B693))&amp;" - "&amp;(IF($C693="","Commercial",$C693))),Variables!$B$1:$D$1,0),1)))*22.0462)*(L693/16.67),""))</f>
        <v>17557.874051589682</v>
      </c>
      <c r="X693" s="55" t="s">
        <v>39</v>
      </c>
      <c r="Y693" s="13" t="str">
        <f>IF($AX693="Cancelled","",IF(X693="","",IFERROR(IF(INDEX(Variables!$B$38:$B$47,MATCH(X693,Variables!$A$38:$A$47,0))="Yes","Yes","No"),"No")))</f>
        <v>No</v>
      </c>
      <c r="Z693" s="31"/>
      <c r="AB693" s="31">
        <v>46036.875</v>
      </c>
      <c r="AC693" s="13" t="str">
        <f t="shared" si="31"/>
        <v>Approved</v>
      </c>
      <c r="AF693" s="71">
        <v>46048</v>
      </c>
      <c r="AG693" s="31">
        <f>IF($AX693="Cancelled","",IFERROR(IF(F693="","",F693-Variables!$B$13),""))</f>
        <v>46066</v>
      </c>
      <c r="AH693" s="13">
        <f>IF($AX693="Cancelled","",IFERROR(IF(AB693="","",(AVERAGE(E693:F693)-AB693)-Variables!$B$14),""))</f>
        <v>0.625</v>
      </c>
      <c r="AJ693" s="47">
        <v>46050</v>
      </c>
      <c r="AK693" s="14">
        <f>IF($AX693="Cancelled","",IFERROR(IF(AJ693="","",IF(AND(AB693="",AF693=""),"",IF(AF693&gt;AB693,AF693+Variables!$B$15+Variables!$B$16+Variables!$B$17-AJ693,AB693+Variables!$B$16+Variables!$B$17-AJ693))),""))</f>
        <v>13</v>
      </c>
      <c r="AL693" s="48" t="s">
        <v>114</v>
      </c>
      <c r="AM693" s="13" t="s">
        <v>115</v>
      </c>
      <c r="AN693" s="13" t="s">
        <v>1714</v>
      </c>
      <c r="AP693" s="31" t="e">
        <v>#N/A</v>
      </c>
      <c r="AR693" s="13">
        <v>265455806</v>
      </c>
      <c r="AS693" s="31">
        <v>46067</v>
      </c>
      <c r="AU693" s="31">
        <v>46087</v>
      </c>
      <c r="AV693" s="13" t="s">
        <v>865</v>
      </c>
      <c r="AW693" s="31">
        <v>46087</v>
      </c>
      <c r="AX693" s="13" t="str">
        <f>IF(ISNUMBER(SEARCH("cancel",#REF!)),"Cancelled",IF(AND(AS693&lt;&gt;"",AU693&lt;&gt;"",AW693&lt;&gt;""),"Closed","Open"))</f>
        <v>Closed</v>
      </c>
      <c r="AY693" s="15" t="str">
        <f t="shared" si="30"/>
        <v>All dates received</v>
      </c>
      <c r="BD693" s="13">
        <f>IF($AX693="Cancelled","",IFERROR(IF(OR(AS693="",AJ693=""),"",(AJ693+Variables!$B$18-AS693)),""))</f>
        <v>-2</v>
      </c>
      <c r="BE693" s="13">
        <f>IF($AX693="Cancelled","",IFERROR(IF(OR(AW693="",AS693=""),"",(AS693+Variables!$B$19)-AW693),""))</f>
        <v>-15</v>
      </c>
      <c r="BF693" s="44">
        <f>IF($AX693="Cancelled","",IFERROR(W693*INDEX(Variables!$B$7:$D$7,IFERROR(MATCH(IF($B693="Robusta","Robusta",(IF($B693="","Arabica",$B693))&amp;" - "&amp;(IF($C693="","Commercial",$C693))),Variables!$B$1:$D$1,0),1))*(BE693/365),""))</f>
        <v>-46.527548472715736</v>
      </c>
      <c r="BG693" s="44">
        <f>IF($AX693="Cancelled","",IFERROR((W693*INDEX(Variables!$B$7:$D$7,IFERROR(MATCH(IF($B693="Robusta","Robusta",(IF($B693="","Arabica",$B693))&amp;" - "&amp;(IF($C693="","Commercial",$C693))),Variables!$B$1:$D$1,0),1))*IFERROR(IF(AB693="","",(AVERAGE(E693:F693)-AB693)-Variables!$B$14),"")/365)+(L693/16.67*INDEX(Variables!$B$8:$D$8,IFERROR(MATCH(IF($B693="Robusta","Robusta",(IF($B693="","Arabica",$B693))&amp;" - "&amp;(IF($C693="","Commercial",$C693))),Variables!$B$1:$D$1,0),1))*IFERROR(IF(AB693="","",(AVERAGE(E693:F693)-AB693)-Variables!$B$14),""))+(W693*INDEX(Variables!$B$9:$D$9,IFERROR(MATCH(IF($B693="Robusta","Robusta",(IF($B693="","Arabica",$B693))&amp;" - "&amp;(IF($C693="","Commercial",$C693))),Variables!$B$1:$D$1,0),1))*IFERROR(IF(AB693="","",(AVERAGE(E693:F693)-AB693)-Variables!$B$14),"")/365),""))</f>
        <v>2.8698907651857923</v>
      </c>
      <c r="BH693" s="44">
        <f>IF($AX693="Cancelled","",IFERROR((W693*INDEX(Variables!$B$7:$D$7,IFERROR(MATCH(IF($B693="Robusta","Robusta",(IF($B693="","Arabica",$B693))&amp;" - "&amp;(IF($C693="","Commercial",$C693))),Variables!$B$1:$D$1,0),1))*AK693/365)+(L693/16.67*INDEX(Variables!$B$8:$D$8,IFERROR(MATCH(IF($B693="Robusta","Robusta",(IF($B693="","Arabica",$B693))&amp;" - "&amp;(IF($C693="","Commercial",$C693))),Variables!$B$1:$D$1,0),1))*AK693)+(W693*INDEX(Variables!$B$9:$D$9,IFERROR(MATCH(IF($B693="Robusta","Robusta",(IF($B693="","Arabica",$B693))&amp;" - "&amp;(IF($C693="","Commercial",$C693))),Variables!$B$1:$D$1,0),1))*AK693/365),""))</f>
        <v>59.693727915864486</v>
      </c>
      <c r="BI693" s="44">
        <f>IF($AX693="Cancelled","",IFERROR((W693*INDEX(Variables!$B$7:$D$7,IFERROR(MATCH(IF($B693="Robusta","Robusta",(IF($B693="","Arabica",$B693))&amp;" - "&amp;(IF($C693="","Commercial",$C693))),Variables!$B$1:$D$1,0),1))*BD693/365)+(L693/16.67*INDEX(Variables!$B$8:$D$8,IFERROR(MATCH(IF($B693="Robusta","Robusta",(IF($B693="","Arabica",$B693))&amp;" - "&amp;(IF($C693="","Commercial",$C693))),Variables!$B$1:$D$1,0),1))*BD693)+(W693*INDEX(Variables!$B$9:$D$9,IFERROR(MATCH(IF($B693="Robusta","Robusta",(IF($B693="","Arabica",$B693))&amp;" - "&amp;(IF($C693="","Commercial",$C693))),Variables!$B$1:$D$1,0),1))*BD693/365),""))</f>
        <v>-9.1836504485945358</v>
      </c>
      <c r="BJ693" s="44">
        <f t="shared" si="32"/>
        <v>14</v>
      </c>
      <c r="BK693" s="44">
        <f>IF($AX693="Cancelled","",IFERROR(IF(BJ693="","",(W693*INDEX(Variables!$B$7:$D$7,IFERROR(MATCH(IF($B693="Robusta","Robusta",(IF($B693="","Arabica",$B693))&amp;" - "&amp;(IF($C693="","Commercial",$C693))),Variables!$B$1:$D$1,0),1))*(BJ693/365))+(W693*INDEX(Variables!$B$9:$D$9,IFERROR(MATCH(IF($B693="Robusta","Robusta",(IF($B693="","Arabica",$B693))&amp;" - "&amp;(IF($C693="","Commercial",$C693))),Variables!$B$1:$D$1,0),1))*(BJ693/365))+(INDEX(Variables!$B$8:$D$8,IFERROR(MATCH(IF($B693="Robusta","Robusta",(IF($B693="","Arabica",$B693))&amp;" - "&amp;(IF($C693="","Commercial",$C693))),Variables!$B$1:$D$1,0),1))*L693/16.67)),""))</f>
        <v>45.435553140161751</v>
      </c>
    </row>
    <row r="694" spans="1:63">
      <c r="A694" s="13" t="s">
        <v>103</v>
      </c>
      <c r="B694" s="13" t="s">
        <v>104</v>
      </c>
      <c r="C694" s="13" t="s">
        <v>292</v>
      </c>
      <c r="D694" s="31">
        <v>46045</v>
      </c>
      <c r="E694" s="31">
        <v>46054</v>
      </c>
      <c r="F694" s="31">
        <v>46081</v>
      </c>
      <c r="G694" s="13">
        <v>3787138</v>
      </c>
      <c r="J694" s="13" t="s">
        <v>294</v>
      </c>
      <c r="K694" s="13" t="s">
        <v>1887</v>
      </c>
      <c r="L694" s="13">
        <v>8</v>
      </c>
      <c r="M694" s="13">
        <v>0</v>
      </c>
      <c r="N694" s="13" t="s">
        <v>1888</v>
      </c>
      <c r="O694" s="13" t="s">
        <v>775</v>
      </c>
      <c r="P694" s="13">
        <v>10030</v>
      </c>
      <c r="R694" s="13" t="s">
        <v>384</v>
      </c>
      <c r="S694" s="13" t="s">
        <v>299</v>
      </c>
      <c r="T694" s="13" t="s">
        <v>305</v>
      </c>
      <c r="U694" s="13" t="s">
        <v>125</v>
      </c>
      <c r="V694" s="13">
        <v>149</v>
      </c>
      <c r="W694" s="44">
        <f>IF($AX694="Cancelled","",IFERROR(((V694+INDEX(Variables!$B$6:$D$6,IFERROR(MATCH(IF($B694="Robusta","Robusta",(IF($B694="","Arabica",$B694))&amp;" - "&amp;(IF($C694="","Commercial",$C694))),Variables!$B$1:$D$1,0),1)))*22.0462)*(L694/16.67),""))</f>
        <v>4653.1103827234547</v>
      </c>
      <c r="X694" s="55" t="s">
        <v>39</v>
      </c>
      <c r="Y694" s="13" t="str">
        <f>IF($AX694="Cancelled","",IF(X694="","",IFERROR(IF(INDEX(Variables!$B$38:$B$47,MATCH(X694,Variables!$A$38:$A$47,0))="Yes","Yes","No"),"No")))</f>
        <v>No</v>
      </c>
      <c r="Z694" s="31"/>
      <c r="AB694" s="31">
        <v>46036.875</v>
      </c>
      <c r="AC694" s="13" t="str">
        <f t="shared" si="31"/>
        <v>Approved</v>
      </c>
      <c r="AF694" s="71">
        <v>46048</v>
      </c>
      <c r="AG694" s="31">
        <f>IF($AX694="Cancelled","",IFERROR(IF(F694="","",F694-Variables!$B$13),""))</f>
        <v>46066</v>
      </c>
      <c r="AH694" s="13">
        <f>IF($AX694="Cancelled","",IFERROR(IF(AB694="","",(AVERAGE(E694:F694)-AB694)-Variables!$B$14),""))</f>
        <v>0.625</v>
      </c>
      <c r="AJ694" s="47">
        <v>46050</v>
      </c>
      <c r="AK694" s="14">
        <f>IF($AX694="Cancelled","",IFERROR(IF(AJ694="","",IF(AND(AB694="",AF694=""),"",IF(AF694&gt;AB694,AF694+Variables!$B$15+Variables!$B$16+Variables!$B$17-AJ694,AB694+Variables!$B$16+Variables!$B$17-AJ694))),""))</f>
        <v>13</v>
      </c>
      <c r="AL694" s="48" t="s">
        <v>114</v>
      </c>
      <c r="AM694" s="13" t="s">
        <v>115</v>
      </c>
      <c r="AN694" s="13" t="s">
        <v>1714</v>
      </c>
      <c r="AP694" s="31" t="e">
        <v>#N/A</v>
      </c>
      <c r="AR694" s="13">
        <v>265455806</v>
      </c>
      <c r="AS694" s="31">
        <v>46067</v>
      </c>
      <c r="AU694" s="31">
        <v>46087</v>
      </c>
      <c r="AV694" s="13" t="s">
        <v>865</v>
      </c>
      <c r="AW694" s="31">
        <v>46087</v>
      </c>
      <c r="AX694" s="13" t="str">
        <f>IF(ISNUMBER(SEARCH("cancel",#REF!)),"Cancelled",IF(AND(AS694&lt;&gt;"",AU694&lt;&gt;"",AW694&lt;&gt;""),"Closed","Open"))</f>
        <v>Closed</v>
      </c>
      <c r="AY694" s="15" t="str">
        <f t="shared" si="30"/>
        <v>All dates received</v>
      </c>
      <c r="BD694" s="13">
        <f>IF($AX694="Cancelled","",IFERROR(IF(OR(AS694="",AJ694=""),"",(AJ694+Variables!$B$18-AS694)),""))</f>
        <v>-2</v>
      </c>
      <c r="BE694" s="13">
        <f>IF($AX694="Cancelled","",IFERROR(IF(OR(AW694="",AS694=""),"",(AS694+Variables!$B$19)-AW694),""))</f>
        <v>-15</v>
      </c>
      <c r="BF694" s="44">
        <f>IF($AX694="Cancelled","",IFERROR(W694*INDEX(Variables!$B$7:$D$7,IFERROR(MATCH(IF($B694="Robusta","Robusta",(IF($B694="","Arabica",$B694))&amp;" - "&amp;(IF($C694="","Commercial",$C694))),Variables!$B$1:$D$1,0),1))*(BE694/365),""))</f>
        <v>-12.330525794007549</v>
      </c>
      <c r="BG694" s="44">
        <f>IF($AX694="Cancelled","",IFERROR((W694*INDEX(Variables!$B$7:$D$7,IFERROR(MATCH(IF($B694="Robusta","Robusta",(IF($B694="","Arabica",$B694))&amp;" - "&amp;(IF($C694="","Commercial",$C694))),Variables!$B$1:$D$1,0),1))*IFERROR(IF(AB694="","",(AVERAGE(E694:F694)-AB694)-Variables!$B$14),"")/365)+(L694/16.67*INDEX(Variables!$B$8:$D$8,IFERROR(MATCH(IF($B694="Robusta","Robusta",(IF($B694="","Arabica",$B694))&amp;" - "&amp;(IF($C694="","Commercial",$C694))),Variables!$B$1:$D$1,0),1))*IFERROR(IF(AB694="","",(AVERAGE(E694:F694)-AB694)-Variables!$B$14),""))+(W694*INDEX(Variables!$B$9:$D$9,IFERROR(MATCH(IF($B694="Robusta","Robusta",(IF($B694="","Arabica",$B694))&amp;" - "&amp;(IF($C694="","Commercial",$C694))),Variables!$B$1:$D$1,0),1))*IFERROR(IF(AB694="","",(AVERAGE(E694:F694)-AB694)-Variables!$B$14),"")/365),""))</f>
        <v>0.77039541948974044</v>
      </c>
      <c r="BH694" s="44">
        <f>IF($AX694="Cancelled","",IFERROR((W694*INDEX(Variables!$B$7:$D$7,IFERROR(MATCH(IF($B694="Robusta","Robusta",(IF($B694="","Arabica",$B694))&amp;" - "&amp;(IF($C694="","Commercial",$C694))),Variables!$B$1:$D$1,0),1))*AK694/365)+(L694/16.67*INDEX(Variables!$B$8:$D$8,IFERROR(MATCH(IF($B694="Robusta","Robusta",(IF($B694="","Arabica",$B694))&amp;" - "&amp;(IF($C694="","Commercial",$C694))),Variables!$B$1:$D$1,0),1))*AK694)+(W694*INDEX(Variables!$B$9:$D$9,IFERROR(MATCH(IF($B694="Robusta","Robusta",(IF($B694="","Arabica",$B694))&amp;" - "&amp;(IF($C694="","Commercial",$C694))),Variables!$B$1:$D$1,0),1))*AK694/365),""))</f>
        <v>16.024224725386599</v>
      </c>
      <c r="BI694" s="44">
        <f>IF($AX694="Cancelled","",IFERROR((W694*INDEX(Variables!$B$7:$D$7,IFERROR(MATCH(IF($B694="Robusta","Robusta",(IF($B694="","Arabica",$B694))&amp;" - "&amp;(IF($C694="","Commercial",$C694))),Variables!$B$1:$D$1,0),1))*BD694/365)+(L694/16.67*INDEX(Variables!$B$8:$D$8,IFERROR(MATCH(IF($B694="Robusta","Robusta",(IF($B694="","Arabica",$B694))&amp;" - "&amp;(IF($C694="","Commercial",$C694))),Variables!$B$1:$D$1,0),1))*BD694)+(W694*INDEX(Variables!$B$9:$D$9,IFERROR(MATCH(IF($B694="Robusta","Robusta",(IF($B694="","Arabica",$B694))&amp;" - "&amp;(IF($C694="","Commercial",$C694))),Variables!$B$1:$D$1,0),1))*BD694/365),""))</f>
        <v>-2.4652653423671693</v>
      </c>
      <c r="BJ694" s="44">
        <f t="shared" si="32"/>
        <v>14</v>
      </c>
      <c r="BK694" s="44">
        <f>IF($AX694="Cancelled","",IFERROR(IF(BJ694="","",(W694*INDEX(Variables!$B$7:$D$7,IFERROR(MATCH(IF($B694="Robusta","Robusta",(IF($B694="","Arabica",$B694))&amp;" - "&amp;(IF($C694="","Commercial",$C694))),Variables!$B$1:$D$1,0),1))*(BJ694/365))+(W694*INDEX(Variables!$B$9:$D$9,IFERROR(MATCH(IF($B694="Robusta","Robusta",(IF($B694="","Arabica",$B694))&amp;" - "&amp;(IF($C694="","Commercial",$C694))),Variables!$B$1:$D$1,0),1))*(BJ694/365))+(INDEX(Variables!$B$8:$D$8,IFERROR(MATCH(IF($B694="Robusta","Robusta",(IF($B694="","Arabica",$B694))&amp;" - "&amp;(IF($C694="","Commercial",$C694))),Variables!$B$1:$D$1,0),1))*L694/16.67)),""))</f>
        <v>12.056857396570186</v>
      </c>
    </row>
    <row r="695" spans="1:63">
      <c r="A695" s="13" t="s">
        <v>103</v>
      </c>
      <c r="B695" s="13" t="s">
        <v>104</v>
      </c>
      <c r="C695" s="13" t="s">
        <v>105</v>
      </c>
      <c r="D695" s="31">
        <v>46049</v>
      </c>
      <c r="E695" s="31">
        <v>46082</v>
      </c>
      <c r="F695" s="31">
        <v>46112</v>
      </c>
      <c r="G695" s="13">
        <v>3787139</v>
      </c>
      <c r="H695" s="13" t="s">
        <v>1889</v>
      </c>
      <c r="J695" s="13" t="s">
        <v>118</v>
      </c>
      <c r="K695" s="13" t="s">
        <v>1889</v>
      </c>
      <c r="L695" s="13">
        <v>333</v>
      </c>
      <c r="M695" s="13">
        <v>1</v>
      </c>
      <c r="N695" s="13" t="s">
        <v>1890</v>
      </c>
      <c r="O695" s="13" t="s">
        <v>1205</v>
      </c>
      <c r="P695" s="13">
        <v>10045</v>
      </c>
      <c r="Q695" s="59" t="s">
        <v>270</v>
      </c>
      <c r="R695" s="13" t="s">
        <v>271</v>
      </c>
      <c r="S695" s="13" t="s">
        <v>276</v>
      </c>
      <c r="T695" s="13" t="s">
        <v>112</v>
      </c>
      <c r="U695" s="13" t="s">
        <v>113</v>
      </c>
      <c r="V695" s="13">
        <v>40</v>
      </c>
      <c r="W695" s="44">
        <f>IF($AX695="Cancelled","",IFERROR(((V695+INDEX(Variables!$B$6:$D$6,IFERROR(MATCH(IF($B695="Robusta","Robusta",(IF($B695="","Arabica",$B695))&amp;" - "&amp;(IF($C695="","Commercial",$C695))),Variables!$B$1:$D$1,0),1)))*22.0462)*(L695/16.67),""))</f>
        <v>145682.66500779844</v>
      </c>
      <c r="X695" s="55" t="s">
        <v>37</v>
      </c>
      <c r="Y695" s="13" t="str">
        <f>IF($AX695="Cancelled","",IF(X695="","",IFERROR(IF(INDEX(Variables!$B$38:$B$47,MATCH(X695,Variables!$A$38:$A$47,0))="Yes","Yes","No"),"No")))</f>
        <v>Yes</v>
      </c>
      <c r="Z695" s="58">
        <v>46072</v>
      </c>
      <c r="AB695" s="31">
        <v>46079</v>
      </c>
      <c r="AC695" s="13" t="str">
        <f t="shared" si="31"/>
        <v>Approved</v>
      </c>
      <c r="AF695" s="71">
        <v>46094</v>
      </c>
      <c r="AG695" s="37">
        <f>IF($AX695="Cancelled","",IFERROR(IF(F695="","",F695-Variables!$B$13),""))</f>
        <v>46097</v>
      </c>
      <c r="AH695" s="13">
        <f>IF($AX695="Cancelled","",IFERROR(IF(AB695="","",(AVERAGE(E695:F695)-AB695)-Variables!$B$14),""))</f>
        <v>-12</v>
      </c>
      <c r="AJ695" s="47">
        <v>46111</v>
      </c>
      <c r="AK695" s="14">
        <f>IF($AX695="Cancelled","",IFERROR(IF(AJ695="","",IF(AND(AB695="",AF695=""),"",IF(AF695&gt;AB695,AF695+Variables!$B$15+Variables!$B$16+Variables!$B$17-AJ695,AB695+Variables!$B$16+Variables!$B$17-AJ695))),""))</f>
        <v>-2</v>
      </c>
      <c r="AL695" s="48" t="s">
        <v>114</v>
      </c>
      <c r="AM695" s="13" t="s">
        <v>115</v>
      </c>
      <c r="AN695" s="13" t="s">
        <v>1891</v>
      </c>
      <c r="AP695" s="31">
        <v>46123</v>
      </c>
      <c r="AR695" s="13">
        <v>269329216</v>
      </c>
      <c r="AS695" s="31" t="s">
        <v>1892</v>
      </c>
      <c r="AU695" s="31">
        <v>46154</v>
      </c>
      <c r="AV695" s="13" t="s">
        <v>865</v>
      </c>
      <c r="AW695" s="31">
        <v>46154</v>
      </c>
      <c r="AX695" s="13" t="str">
        <f>IF(ISNUMBER(SEARCH("cancel",#REF!)),"Cancelled",IF(AND(AS695&lt;&gt;"",AU695&lt;&gt;"",AW695&lt;&gt;""),"Closed","Open"))</f>
        <v>Closed</v>
      </c>
      <c r="AY695" s="15" t="str">
        <f t="shared" si="30"/>
        <v>All dates received</v>
      </c>
      <c r="BD695" s="13" t="str">
        <f>IF($AX695="Cancelled","",IFERROR(IF(OR(AS695="",AJ695=""),"",(AJ695+Variables!$B$18-AS695)),""))</f>
        <v/>
      </c>
      <c r="BE695" s="13" t="str">
        <f>IF($AX695="Cancelled","",IFERROR(IF(OR(AW695="",AS695=""),"",(AS695+Variables!$B$19)-AW695),""))</f>
        <v/>
      </c>
      <c r="BF695" s="44" t="str">
        <f>IF($AX695="Cancelled","",IFERROR(W695*INDEX(Variables!$B$7:$D$7,IFERROR(MATCH(IF($B695="Robusta","Robusta",(IF($B695="","Arabica",$B695))&amp;" - "&amp;(IF($C695="","Commercial",$C695))),Variables!$B$1:$D$1,0),1))*(BE695/365),""))</f>
        <v/>
      </c>
      <c r="BG695" s="44">
        <f>IF($AX695="Cancelled","",IFERROR((W695*INDEX(Variables!$B$7:$D$7,IFERROR(MATCH(IF($B695="Robusta","Robusta",(IF($B695="","Arabica",$B695))&amp;" - "&amp;(IF($C695="","Commercial",$C695))),Variables!$B$1:$D$1,0),1))*IFERROR(IF(AB695="","",(AVERAGE(E695:F695)-AB695)-Variables!$B$14),"")/365)+(L695/16.67*INDEX(Variables!$B$8:$D$8,IFERROR(MATCH(IF($B695="Robusta","Robusta",(IF($B695="","Arabica",$B695))&amp;" - "&amp;(IF($C695="","Commercial",$C695))),Variables!$B$1:$D$1,0),1))*IFERROR(IF(AB695="","",(AVERAGE(E695:F695)-AB695)-Variables!$B$14),""))+(W695*INDEX(Variables!$B$9:$D$9,IFERROR(MATCH(IF($B695="Robusta","Robusta",(IF($B695="","Arabica",$B695))&amp;" - "&amp;(IF($C695="","Commercial",$C695))),Variables!$B$1:$D$1,0),1))*IFERROR(IF(AB695="","",(AVERAGE(E695:F695)-AB695)-Variables!$B$14),"")/365),""))</f>
        <v>-512.62338874477291</v>
      </c>
      <c r="BH695" s="44">
        <f>IF($AX695="Cancelled","",IFERROR((W695*INDEX(Variables!$B$7:$D$7,IFERROR(MATCH(IF($B695="Robusta","Robusta",(IF($B695="","Arabica",$B695))&amp;" - "&amp;(IF($C695="","Commercial",$C695))),Variables!$B$1:$D$1,0),1))*AK695/365)+(L695/16.67*INDEX(Variables!$B$8:$D$8,IFERROR(MATCH(IF($B695="Robusta","Robusta",(IF($B695="","Arabica",$B695))&amp;" - "&amp;(IF($C695="","Commercial",$C695))),Variables!$B$1:$D$1,0),1))*AK695)+(W695*INDEX(Variables!$B$9:$D$9,IFERROR(MATCH(IF($B695="Robusta","Robusta",(IF($B695="","Arabica",$B695))&amp;" - "&amp;(IF($C695="","Commercial",$C695))),Variables!$B$1:$D$1,0),1))*AK695/365),""))</f>
        <v>-85.437231457462147</v>
      </c>
      <c r="BI695" s="44" t="str">
        <f>IF($AX695="Cancelled","",IFERROR((W695*INDEX(Variables!$B$7:$D$7,IFERROR(MATCH(IF($B695="Robusta","Robusta",(IF($B695="","Arabica",$B695))&amp;" - "&amp;(IF($C695="","Commercial",$C695))),Variables!$B$1:$D$1,0),1))*BD695/365)+(L695/16.67*INDEX(Variables!$B$8:$D$8,IFERROR(MATCH(IF($B695="Robusta","Robusta",(IF($B695="","Arabica",$B695))&amp;" - "&amp;(IF($C695="","Commercial",$C695))),Variables!$B$1:$D$1,0),1))*BD695)+(W695*INDEX(Variables!$B$9:$D$9,IFERROR(MATCH(IF($B695="Robusta","Robusta",(IF($B695="","Arabica",$B695))&amp;" - "&amp;(IF($C695="","Commercial",$C695))),Variables!$B$1:$D$1,0),1))*BD695/365),""))</f>
        <v/>
      </c>
      <c r="BJ695" s="44" t="str">
        <f t="shared" si="32"/>
        <v/>
      </c>
      <c r="BK695" s="44" t="str">
        <f>IF($AX695="Cancelled","",IFERROR(IF(BJ695="","",(W695*INDEX(Variables!$B$7:$D$7,IFERROR(MATCH(IF($B695="Robusta","Robusta",(IF($B695="","Arabica",$B695))&amp;" - "&amp;(IF($C695="","Commercial",$C695))),Variables!$B$1:$D$1,0),1))*(BJ695/365))+(W695*INDEX(Variables!$B$9:$D$9,IFERROR(MATCH(IF($B695="Robusta","Robusta",(IF($B695="","Arabica",$B695))&amp;" - "&amp;(IF($C695="","Commercial",$C695))),Variables!$B$1:$D$1,0),1))*(BJ695/365))+(INDEX(Variables!$B$8:$D$8,IFERROR(MATCH(IF($B695="Robusta","Robusta",(IF($B695="","Arabica",$B695))&amp;" - "&amp;(IF($C695="","Commercial",$C695))),Variables!$B$1:$D$1,0),1))*L695/16.67)),""))</f>
        <v/>
      </c>
    </row>
    <row r="696" spans="1:63">
      <c r="A696" s="13" t="s">
        <v>103</v>
      </c>
      <c r="B696" s="13" t="s">
        <v>104</v>
      </c>
      <c r="C696" s="13" t="s">
        <v>105</v>
      </c>
      <c r="D696" s="31">
        <v>46049</v>
      </c>
      <c r="E696" s="31">
        <v>46082</v>
      </c>
      <c r="F696" s="31">
        <v>46112</v>
      </c>
      <c r="G696" s="13">
        <v>3787139</v>
      </c>
      <c r="H696" s="13" t="s">
        <v>1893</v>
      </c>
      <c r="J696" s="13" t="s">
        <v>118</v>
      </c>
      <c r="K696" s="13" t="s">
        <v>1893</v>
      </c>
      <c r="L696" s="13">
        <v>1667</v>
      </c>
      <c r="M696" s="13">
        <v>5</v>
      </c>
      <c r="N696" s="13" t="s">
        <v>1890</v>
      </c>
      <c r="O696" s="13" t="s">
        <v>1205</v>
      </c>
      <c r="P696" s="13">
        <v>10045</v>
      </c>
      <c r="Q696" s="59" t="s">
        <v>270</v>
      </c>
      <c r="R696" s="13" t="s">
        <v>271</v>
      </c>
      <c r="S696" s="13" t="s">
        <v>276</v>
      </c>
      <c r="T696" s="13" t="s">
        <v>112</v>
      </c>
      <c r="U696" s="13" t="s">
        <v>113</v>
      </c>
      <c r="V696" s="13">
        <v>40</v>
      </c>
      <c r="W696" s="44">
        <f>IF($AX696="Cancelled","",IFERROR(((V696+INDEX(Variables!$B$6:$D$6,IFERROR(MATCH(IF($B696="Robusta","Robusta",(IF($B696="","Arabica",$B696))&amp;" - "&amp;(IF($C696="","Commercial",$C696))),Variables!$B$1:$D$1,0),1)))*22.0462)*(L696/16.67),""))</f>
        <v>729288.29599999986</v>
      </c>
      <c r="X696" s="55" t="s">
        <v>37</v>
      </c>
      <c r="Y696" s="13" t="str">
        <f>IF($AX696="Cancelled","",IF(X696="","",IFERROR(IF(INDEX(Variables!$B$38:$B$47,MATCH(X696,Variables!$A$38:$A$47,0))="Yes","Yes","No"),"No")))</f>
        <v>Yes</v>
      </c>
      <c r="Z696" s="58">
        <v>46072</v>
      </c>
      <c r="AB696" s="31">
        <v>46079</v>
      </c>
      <c r="AC696" s="13" t="str">
        <f t="shared" si="31"/>
        <v>Approved</v>
      </c>
      <c r="AF696" s="71">
        <v>46094</v>
      </c>
      <c r="AG696" s="37">
        <f>IF($AX696="Cancelled","",IFERROR(IF(F696="","",F696-Variables!$B$13),""))</f>
        <v>46097</v>
      </c>
      <c r="AH696" s="13">
        <f>IF($AX696="Cancelled","",IFERROR(IF(AB696="","",(AVERAGE(E696:F696)-AB696)-Variables!$B$14),""))</f>
        <v>-12</v>
      </c>
      <c r="AJ696" s="47">
        <v>46119</v>
      </c>
      <c r="AK696" s="14">
        <f>IF($AX696="Cancelled","",IFERROR(IF(AJ696="","",IF(AND(AB696="",AF696=""),"",IF(AF696&gt;AB696,AF696+Variables!$B$15+Variables!$B$16+Variables!$B$17-AJ696,AB696+Variables!$B$16+Variables!$B$17-AJ696))),""))</f>
        <v>-10</v>
      </c>
      <c r="AL696" s="48" t="s">
        <v>114</v>
      </c>
      <c r="AM696" s="13" t="s">
        <v>115</v>
      </c>
      <c r="AN696" s="13" t="s">
        <v>1891</v>
      </c>
      <c r="AP696" s="31">
        <v>46123</v>
      </c>
      <c r="AR696" s="13">
        <v>268612705</v>
      </c>
      <c r="AS696" s="31" t="s">
        <v>1892</v>
      </c>
      <c r="AU696" s="31">
        <v>46154</v>
      </c>
      <c r="AV696" s="13" t="s">
        <v>865</v>
      </c>
      <c r="AW696" s="31">
        <v>46154</v>
      </c>
      <c r="AX696" s="13" t="str">
        <f>IF(ISNUMBER(SEARCH("cancel",#REF!)),"Cancelled",IF(AND(AS696&lt;&gt;"",AU696&lt;&gt;"",AW696&lt;&gt;""),"Closed","Open"))</f>
        <v>Closed</v>
      </c>
      <c r="AY696" s="15" t="str">
        <f t="shared" si="30"/>
        <v>All dates received</v>
      </c>
      <c r="BD696" s="13" t="str">
        <f>IF($AX696="Cancelled","",IFERROR(IF(OR(AS696="",AJ696=""),"",(AJ696+Variables!$B$18-AS696)),""))</f>
        <v/>
      </c>
      <c r="BE696" s="13" t="str">
        <f>IF($AX696="Cancelled","",IFERROR(IF(OR(AW696="",AS696=""),"",(AS696+Variables!$B$19)-AW696),""))</f>
        <v/>
      </c>
      <c r="BF696" s="44" t="str">
        <f>IF($AX696="Cancelled","",IFERROR(W696*INDEX(Variables!$B$7:$D$7,IFERROR(MATCH(IF($B696="Robusta","Robusta",(IF($B696="","Arabica",$B696))&amp;" - "&amp;(IF($C696="","Commercial",$C696))),Variables!$B$1:$D$1,0),1))*(BE696/365),""))</f>
        <v/>
      </c>
      <c r="BG696" s="44">
        <f>IF($AX696="Cancelled","",IFERROR((W696*INDEX(Variables!$B$7:$D$7,IFERROR(MATCH(IF($B696="Robusta","Robusta",(IF($B696="","Arabica",$B696))&amp;" - "&amp;(IF($C696="","Commercial",$C696))),Variables!$B$1:$D$1,0),1))*IFERROR(IF(AB696="","",(AVERAGE(E696:F696)-AB696)-Variables!$B$14),"")/365)+(L696/16.67*INDEX(Variables!$B$8:$D$8,IFERROR(MATCH(IF($B696="Robusta","Robusta",(IF($B696="","Arabica",$B696))&amp;" - "&amp;(IF($C696="","Commercial",$C696))),Variables!$B$1:$D$1,0),1))*IFERROR(IF(AB696="","",(AVERAGE(E696:F696)-AB696)-Variables!$B$14),""))+(W696*INDEX(Variables!$B$9:$D$9,IFERROR(MATCH(IF($B696="Robusta","Robusta",(IF($B696="","Arabica",$B696))&amp;" - "&amp;(IF($C696="","Commercial",$C696))),Variables!$B$1:$D$1,0),1))*IFERROR(IF(AB696="","",(AVERAGE(E696:F696)-AB696)-Variables!$B$14),"")/365),""))</f>
        <v>-2566.1957628754849</v>
      </c>
      <c r="BH696" s="44">
        <f>IF($AX696="Cancelled","",IFERROR((W696*INDEX(Variables!$B$7:$D$7,IFERROR(MATCH(IF($B696="Robusta","Robusta",(IF($B696="","Arabica",$B696))&amp;" - "&amp;(IF($C696="","Commercial",$C696))),Variables!$B$1:$D$1,0),1))*AK696/365)+(L696/16.67*INDEX(Variables!$B$8:$D$8,IFERROR(MATCH(IF($B696="Robusta","Robusta",(IF($B696="","Arabica",$B696))&amp;" - "&amp;(IF($C696="","Commercial",$C696))),Variables!$B$1:$D$1,0),1))*AK696)+(W696*INDEX(Variables!$B$9:$D$9,IFERROR(MATCH(IF($B696="Robusta","Robusta",(IF($B696="","Arabica",$B696))&amp;" - "&amp;(IF($C696="","Commercial",$C696))),Variables!$B$1:$D$1,0),1))*AK696/365),""))</f>
        <v>-2138.496469062904</v>
      </c>
      <c r="BI696" s="44" t="str">
        <f>IF($AX696="Cancelled","",IFERROR((W696*INDEX(Variables!$B$7:$D$7,IFERROR(MATCH(IF($B696="Robusta","Robusta",(IF($B696="","Arabica",$B696))&amp;" - "&amp;(IF($C696="","Commercial",$C696))),Variables!$B$1:$D$1,0),1))*BD696/365)+(L696/16.67*INDEX(Variables!$B$8:$D$8,IFERROR(MATCH(IF($B696="Robusta","Robusta",(IF($B696="","Arabica",$B696))&amp;" - "&amp;(IF($C696="","Commercial",$C696))),Variables!$B$1:$D$1,0),1))*BD696)+(W696*INDEX(Variables!$B$9:$D$9,IFERROR(MATCH(IF($B696="Robusta","Robusta",(IF($B696="","Arabica",$B696))&amp;" - "&amp;(IF($C696="","Commercial",$C696))),Variables!$B$1:$D$1,0),1))*BD696/365),""))</f>
        <v/>
      </c>
      <c r="BJ696" s="44" t="str">
        <f t="shared" si="32"/>
        <v/>
      </c>
      <c r="BK696" s="44" t="str">
        <f>IF($AX696="Cancelled","",IFERROR(IF(BJ696="","",(W696*INDEX(Variables!$B$7:$D$7,IFERROR(MATCH(IF($B696="Robusta","Robusta",(IF($B696="","Arabica",$B696))&amp;" - "&amp;(IF($C696="","Commercial",$C696))),Variables!$B$1:$D$1,0),1))*(BJ696/365))+(W696*INDEX(Variables!$B$9:$D$9,IFERROR(MATCH(IF($B696="Robusta","Robusta",(IF($B696="","Arabica",$B696))&amp;" - "&amp;(IF($C696="","Commercial",$C696))),Variables!$B$1:$D$1,0),1))*(BJ696/365))+(INDEX(Variables!$B$8:$D$8,IFERROR(MATCH(IF($B696="Robusta","Robusta",(IF($B696="","Arabica",$B696))&amp;" - "&amp;(IF($C696="","Commercial",$C696))),Variables!$B$1:$D$1,0),1))*L696/16.67)),""))</f>
        <v/>
      </c>
    </row>
    <row r="697" spans="1:63">
      <c r="A697" s="13" t="s">
        <v>103</v>
      </c>
      <c r="B697" s="13" t="s">
        <v>104</v>
      </c>
      <c r="C697" s="13" t="s">
        <v>105</v>
      </c>
      <c r="D697" s="31">
        <v>46049</v>
      </c>
      <c r="E697" s="31">
        <v>46082</v>
      </c>
      <c r="F697" s="31">
        <v>46112</v>
      </c>
      <c r="G697" s="13">
        <v>3787139</v>
      </c>
      <c r="H697" s="13" t="s">
        <v>1894</v>
      </c>
      <c r="J697" s="13" t="s">
        <v>118</v>
      </c>
      <c r="K697" s="13" t="s">
        <v>1894</v>
      </c>
      <c r="L697" s="13">
        <v>667</v>
      </c>
      <c r="M697" s="13">
        <v>2</v>
      </c>
      <c r="N697" s="13" t="s">
        <v>1890</v>
      </c>
      <c r="O697" s="13" t="s">
        <v>1205</v>
      </c>
      <c r="P697" s="13">
        <v>10045</v>
      </c>
      <c r="Q697" s="59" t="s">
        <v>270</v>
      </c>
      <c r="R697" s="13" t="s">
        <v>271</v>
      </c>
      <c r="S697" s="13" t="s">
        <v>276</v>
      </c>
      <c r="T697" s="13" t="s">
        <v>112</v>
      </c>
      <c r="U697" s="13" t="s">
        <v>113</v>
      </c>
      <c r="V697" s="13">
        <v>40</v>
      </c>
      <c r="W697" s="44">
        <f>IF($AX697="Cancelled","",IFERROR(((V697+INDEX(Variables!$B$6:$D$6,IFERROR(MATCH(IF($B697="Robusta","Robusta",(IF($B697="","Arabica",$B697))&amp;" - "&amp;(IF($C697="","Commercial",$C697))),Variables!$B$1:$D$1,0),1)))*22.0462)*(L697/16.67),""))</f>
        <v>291802.81549610075</v>
      </c>
      <c r="X697" s="55" t="s">
        <v>37</v>
      </c>
      <c r="Y697" s="13" t="str">
        <f>IF($AX697="Cancelled","",IF(X697="","",IFERROR(IF(INDEX(Variables!$B$38:$B$47,MATCH(X697,Variables!$A$38:$A$47,0))="Yes","Yes","No"),"No")))</f>
        <v>Yes</v>
      </c>
      <c r="Z697" s="58">
        <v>46072</v>
      </c>
      <c r="AB697" s="31">
        <v>46079</v>
      </c>
      <c r="AC697" s="13" t="str">
        <f t="shared" si="31"/>
        <v>Approved</v>
      </c>
      <c r="AF697" s="71">
        <v>46094</v>
      </c>
      <c r="AG697" s="37">
        <f>IF($AX697="Cancelled","",IFERROR(IF(F697="","",F697-Variables!$B$13),""))</f>
        <v>46097</v>
      </c>
      <c r="AH697" s="13">
        <f>IF($AX697="Cancelled","",IFERROR(IF(AB697="","",(AVERAGE(E697:F697)-AB697)-Variables!$B$14),""))</f>
        <v>-12</v>
      </c>
      <c r="AJ697" s="47">
        <v>46121</v>
      </c>
      <c r="AK697" s="14">
        <f>IF($AX697="Cancelled","",IFERROR(IF(AJ697="","",IF(AND(AB697="",AF697=""),"",IF(AF697&gt;AB697,AF697+Variables!$B$15+Variables!$B$16+Variables!$B$17-AJ697,AB697+Variables!$B$16+Variables!$B$17-AJ697))),""))</f>
        <v>-12</v>
      </c>
      <c r="AL697" s="48" t="s">
        <v>114</v>
      </c>
      <c r="AM697" s="13" t="s">
        <v>115</v>
      </c>
      <c r="AN697" s="13" t="s">
        <v>1891</v>
      </c>
      <c r="AP697" s="31">
        <v>46123</v>
      </c>
      <c r="AR697" s="13">
        <v>267598395</v>
      </c>
      <c r="AS697" s="31" t="s">
        <v>1892</v>
      </c>
      <c r="AU697" s="31">
        <v>46154</v>
      </c>
      <c r="AV697" s="13" t="s">
        <v>865</v>
      </c>
      <c r="AW697" s="31">
        <v>46154</v>
      </c>
      <c r="AX697" s="13" t="str">
        <f>IF(ISNUMBER(SEARCH("cancel",#REF!)),"Cancelled",IF(AND(AS697&lt;&gt;"",AU697&lt;&gt;"",AW697&lt;&gt;""),"Closed","Open"))</f>
        <v>Closed</v>
      </c>
      <c r="AY697" s="15" t="str">
        <f t="shared" si="30"/>
        <v>All dates received</v>
      </c>
      <c r="BD697" s="13" t="str">
        <f>IF($AX697="Cancelled","",IFERROR(IF(OR(AS697="",AJ697=""),"",(AJ697+Variables!$B$18-AS697)),""))</f>
        <v/>
      </c>
      <c r="BE697" s="13" t="str">
        <f>IF($AX697="Cancelled","",IFERROR(IF(OR(AW697="",AS697=""),"",(AS697+Variables!$B$19)-AW697),""))</f>
        <v/>
      </c>
      <c r="BF697" s="44" t="str">
        <f>IF($AX697="Cancelled","",IFERROR(W697*INDEX(Variables!$B$7:$D$7,IFERROR(MATCH(IF($B697="Robusta","Robusta",(IF($B697="","Arabica",$B697))&amp;" - "&amp;(IF($C697="","Commercial",$C697))),Variables!$B$1:$D$1,0),1))*(BE697/365),""))</f>
        <v/>
      </c>
      <c r="BG697" s="44">
        <f>IF($AX697="Cancelled","",IFERROR((W697*INDEX(Variables!$B$7:$D$7,IFERROR(MATCH(IF($B697="Robusta","Robusta",(IF($B697="","Arabica",$B697))&amp;" - "&amp;(IF($C697="","Commercial",$C697))),Variables!$B$1:$D$1,0),1))*IFERROR(IF(AB697="","",(AVERAGE(E697:F697)-AB697)-Variables!$B$14),"")/365)+(L697/16.67*INDEX(Variables!$B$8:$D$8,IFERROR(MATCH(IF($B697="Robusta","Robusta",(IF($B697="","Arabica",$B697))&amp;" - "&amp;(IF($C697="","Commercial",$C697))),Variables!$B$1:$D$1,0),1))*IFERROR(IF(AB697="","",(AVERAGE(E697:F697)-AB697)-Variables!$B$14),""))+(W697*INDEX(Variables!$B$9:$D$9,IFERROR(MATCH(IF($B697="Robusta","Robusta",(IF($B697="","Arabica",$B697))&amp;" - "&amp;(IF($C697="","Commercial",$C697))),Variables!$B$1:$D$1,0),1))*IFERROR(IF(AB697="","",(AVERAGE(E697:F697)-AB697)-Variables!$B$14),"")/365),""))</f>
        <v>-1026.786187065356</v>
      </c>
      <c r="BH697" s="44">
        <f>IF($AX697="Cancelled","",IFERROR((W697*INDEX(Variables!$B$7:$D$7,IFERROR(MATCH(IF($B697="Robusta","Robusta",(IF($B697="","Arabica",$B697))&amp;" - "&amp;(IF($C697="","Commercial",$C697))),Variables!$B$1:$D$1,0),1))*AK697/365)+(L697/16.67*INDEX(Variables!$B$8:$D$8,IFERROR(MATCH(IF($B697="Robusta","Robusta",(IF($B697="","Arabica",$B697))&amp;" - "&amp;(IF($C697="","Commercial",$C697))),Variables!$B$1:$D$1,0),1))*AK697)+(W697*INDEX(Variables!$B$9:$D$9,IFERROR(MATCH(IF($B697="Robusta","Robusta",(IF($B697="","Arabica",$B697))&amp;" - "&amp;(IF($C697="","Commercial",$C697))),Variables!$B$1:$D$1,0),1))*AK697/365),""))</f>
        <v>-1026.786187065356</v>
      </c>
      <c r="BI697" s="44" t="str">
        <f>IF($AX697="Cancelled","",IFERROR((W697*INDEX(Variables!$B$7:$D$7,IFERROR(MATCH(IF($B697="Robusta","Robusta",(IF($B697="","Arabica",$B697))&amp;" - "&amp;(IF($C697="","Commercial",$C697))),Variables!$B$1:$D$1,0),1))*BD697/365)+(L697/16.67*INDEX(Variables!$B$8:$D$8,IFERROR(MATCH(IF($B697="Robusta","Robusta",(IF($B697="","Arabica",$B697))&amp;" - "&amp;(IF($C697="","Commercial",$C697))),Variables!$B$1:$D$1,0),1))*BD697)+(W697*INDEX(Variables!$B$9:$D$9,IFERROR(MATCH(IF($B697="Robusta","Robusta",(IF($B697="","Arabica",$B697))&amp;" - "&amp;(IF($C697="","Commercial",$C697))),Variables!$B$1:$D$1,0),1))*BD697/365),""))</f>
        <v/>
      </c>
      <c r="BJ697" s="44" t="str">
        <f t="shared" si="32"/>
        <v/>
      </c>
      <c r="BK697" s="44" t="str">
        <f>IF($AX697="Cancelled","",IFERROR(IF(BJ697="","",(W697*INDEX(Variables!$B$7:$D$7,IFERROR(MATCH(IF($B697="Robusta","Robusta",(IF($B697="","Arabica",$B697))&amp;" - "&amp;(IF($C697="","Commercial",$C697))),Variables!$B$1:$D$1,0),1))*(BJ697/365))+(W697*INDEX(Variables!$B$9:$D$9,IFERROR(MATCH(IF($B697="Robusta","Robusta",(IF($B697="","Arabica",$B697))&amp;" - "&amp;(IF($C697="","Commercial",$C697))),Variables!$B$1:$D$1,0),1))*(BJ697/365))+(INDEX(Variables!$B$8:$D$8,IFERROR(MATCH(IF($B697="Robusta","Robusta",(IF($B697="","Arabica",$B697))&amp;" - "&amp;(IF($C697="","Commercial",$C697))),Variables!$B$1:$D$1,0),1))*L697/16.67)),""))</f>
        <v/>
      </c>
    </row>
    <row r="698" spans="1:63">
      <c r="A698" s="13" t="s">
        <v>103</v>
      </c>
      <c r="B698" s="13" t="s">
        <v>104</v>
      </c>
      <c r="C698" s="13" t="s">
        <v>105</v>
      </c>
      <c r="D698" s="31">
        <v>46049</v>
      </c>
      <c r="E698" s="31">
        <v>46082</v>
      </c>
      <c r="F698" s="31">
        <v>46112</v>
      </c>
      <c r="G698" s="13">
        <v>3787140</v>
      </c>
      <c r="H698" s="13" t="s">
        <v>1895</v>
      </c>
      <c r="J698" s="13" t="s">
        <v>118</v>
      </c>
      <c r="K698" s="13" t="s">
        <v>1895</v>
      </c>
      <c r="L698" s="13">
        <v>1000</v>
      </c>
      <c r="M698" s="13">
        <v>3</v>
      </c>
      <c r="N698" s="13" t="s">
        <v>1890</v>
      </c>
      <c r="O698" s="13" t="s">
        <v>1205</v>
      </c>
      <c r="P698" s="13">
        <v>10045</v>
      </c>
      <c r="Q698" s="59" t="s">
        <v>270</v>
      </c>
      <c r="R698" s="13" t="s">
        <v>271</v>
      </c>
      <c r="S698" s="13" t="s">
        <v>1780</v>
      </c>
      <c r="T698" s="13" t="s">
        <v>112</v>
      </c>
      <c r="U698" s="13" t="s">
        <v>113</v>
      </c>
      <c r="V698" s="13">
        <v>40</v>
      </c>
      <c r="W698" s="44">
        <f>IF($AX698="Cancelled","",IFERROR(((V698+INDEX(Variables!$B$6:$D$6,IFERROR(MATCH(IF($B698="Robusta","Robusta",(IF($B698="","Arabica",$B698))&amp;" - "&amp;(IF($C698="","Commercial",$C698))),Variables!$B$1:$D$1,0),1)))*22.0462)*(L698/16.67),""))</f>
        <v>437485.48050389916</v>
      </c>
      <c r="X698" s="55" t="s">
        <v>37</v>
      </c>
      <c r="Y698" s="13" t="str">
        <f>IF($AX698="Cancelled","",IF(X698="","",IFERROR(IF(INDEX(Variables!$B$38:$B$47,MATCH(X698,Variables!$A$38:$A$47,0))="Yes","Yes","No"),"No")))</f>
        <v>Yes</v>
      </c>
      <c r="Z698" s="58">
        <v>46072</v>
      </c>
      <c r="AB698" s="31">
        <v>46079</v>
      </c>
      <c r="AC698" s="13" t="str">
        <f t="shared" si="31"/>
        <v>Approved</v>
      </c>
      <c r="AF698" s="71">
        <v>46100</v>
      </c>
      <c r="AG698" s="37">
        <f>IF($AX698="Cancelled","",IFERROR(IF(F698="","",F698-Variables!$B$13),""))</f>
        <v>46097</v>
      </c>
      <c r="AH698" s="13">
        <f>IF($AX698="Cancelled","",IFERROR(IF(AB698="","",(AVERAGE(E698:F698)-AB698)-Variables!$B$14),""))</f>
        <v>-12</v>
      </c>
      <c r="AJ698" s="47">
        <v>46109</v>
      </c>
      <c r="AK698" s="14">
        <f>IF($AX698="Cancelled","",IFERROR(IF(AJ698="","",IF(AND(AB698="",AF698=""),"",IF(AF698&gt;AB698,AF698+Variables!$B$15+Variables!$B$16+Variables!$B$17-AJ698,AB698+Variables!$B$16+Variables!$B$17-AJ698))),""))</f>
        <v>6</v>
      </c>
      <c r="AL698" s="48" t="s">
        <v>114</v>
      </c>
      <c r="AM698" s="13" t="s">
        <v>115</v>
      </c>
      <c r="AN698" s="13" t="s">
        <v>1896</v>
      </c>
      <c r="AP698" s="31">
        <v>46119</v>
      </c>
      <c r="AR698" s="13">
        <v>267496897</v>
      </c>
      <c r="AS698" s="31" t="s">
        <v>1897</v>
      </c>
      <c r="AU698" s="31">
        <v>46134</v>
      </c>
      <c r="AV698" s="13" t="s">
        <v>865</v>
      </c>
      <c r="AW698" s="31">
        <v>46134</v>
      </c>
      <c r="AX698" s="13" t="str">
        <f>IF(ISNUMBER(SEARCH("cancel",#REF!)),"Cancelled",IF(AND(AS698&lt;&gt;"",AU698&lt;&gt;"",AW698&lt;&gt;""),"Closed","Open"))</f>
        <v>Closed</v>
      </c>
      <c r="AY698" s="15" t="str">
        <f t="shared" si="30"/>
        <v>All dates received</v>
      </c>
      <c r="BD698" s="13" t="str">
        <f>IF($AX698="Cancelled","",IFERROR(IF(OR(AS698="",AJ698=""),"",(AJ698+Variables!$B$18-AS698)),""))</f>
        <v/>
      </c>
      <c r="BE698" s="13" t="str">
        <f>IF($AX698="Cancelled","",IFERROR(IF(OR(AW698="",AS698=""),"",(AS698+Variables!$B$19)-AW698),""))</f>
        <v/>
      </c>
      <c r="BF698" s="44" t="str">
        <f>IF($AX698="Cancelled","",IFERROR(W698*INDEX(Variables!$B$7:$D$7,IFERROR(MATCH(IF($B698="Robusta","Robusta",(IF($B698="","Arabica",$B698))&amp;" - "&amp;(IF($C698="","Commercial",$C698))),Variables!$B$1:$D$1,0),1))*(BE698/365),""))</f>
        <v/>
      </c>
      <c r="BG698" s="44">
        <f>IF($AX698="Cancelled","",IFERROR((W698*INDEX(Variables!$B$7:$D$7,IFERROR(MATCH(IF($B698="Robusta","Robusta",(IF($B698="","Arabica",$B698))&amp;" - "&amp;(IF($C698="","Commercial",$C698))),Variables!$B$1:$D$1,0),1))*IFERROR(IF(AB698="","",(AVERAGE(E698:F698)-AB698)-Variables!$B$14),"")/365)+(L698/16.67*INDEX(Variables!$B$8:$D$8,IFERROR(MATCH(IF($B698="Robusta","Robusta",(IF($B698="","Arabica",$B698))&amp;" - "&amp;(IF($C698="","Commercial",$C698))),Variables!$B$1:$D$1,0),1))*IFERROR(IF(AB698="","",(AVERAGE(E698:F698)-AB698)-Variables!$B$14),""))+(W698*INDEX(Variables!$B$9:$D$9,IFERROR(MATCH(IF($B698="Robusta","Robusta",(IF($B698="","Arabica",$B698))&amp;" - "&amp;(IF($C698="","Commercial",$C698))),Variables!$B$1:$D$1,0),1))*IFERROR(IF(AB698="","",(AVERAGE(E698:F698)-AB698)-Variables!$B$14),"")/365),""))</f>
        <v>-1539.4095758101289</v>
      </c>
      <c r="BH698" s="44">
        <f>IF($AX698="Cancelled","",IFERROR((W698*INDEX(Variables!$B$7:$D$7,IFERROR(MATCH(IF($B698="Robusta","Robusta",(IF($B698="","Arabica",$B698))&amp;" - "&amp;(IF($C698="","Commercial",$C698))),Variables!$B$1:$D$1,0),1))*AK698/365)+(L698/16.67*INDEX(Variables!$B$8:$D$8,IFERROR(MATCH(IF($B698="Robusta","Robusta",(IF($B698="","Arabica",$B698))&amp;" - "&amp;(IF($C698="","Commercial",$C698))),Variables!$B$1:$D$1,0),1))*AK698)+(W698*INDEX(Variables!$B$9:$D$9,IFERROR(MATCH(IF($B698="Robusta","Robusta",(IF($B698="","Arabica",$B698))&amp;" - "&amp;(IF($C698="","Commercial",$C698))),Variables!$B$1:$D$1,0),1))*AK698/365),""))</f>
        <v>769.70478790506445</v>
      </c>
      <c r="BI698" s="44" t="str">
        <f>IF($AX698="Cancelled","",IFERROR((W698*INDEX(Variables!$B$7:$D$7,IFERROR(MATCH(IF($B698="Robusta","Robusta",(IF($B698="","Arabica",$B698))&amp;" - "&amp;(IF($C698="","Commercial",$C698))),Variables!$B$1:$D$1,0),1))*BD698/365)+(L698/16.67*INDEX(Variables!$B$8:$D$8,IFERROR(MATCH(IF($B698="Robusta","Robusta",(IF($B698="","Arabica",$B698))&amp;" - "&amp;(IF($C698="","Commercial",$C698))),Variables!$B$1:$D$1,0),1))*BD698)+(W698*INDEX(Variables!$B$9:$D$9,IFERROR(MATCH(IF($B698="Robusta","Robusta",(IF($B698="","Arabica",$B698))&amp;" - "&amp;(IF($C698="","Commercial",$C698))),Variables!$B$1:$D$1,0),1))*BD698/365),""))</f>
        <v/>
      </c>
      <c r="BJ698" s="44" t="str">
        <f t="shared" si="32"/>
        <v/>
      </c>
      <c r="BK698" s="44" t="str">
        <f>IF($AX698="Cancelled","",IFERROR(IF(BJ698="","",(W698*INDEX(Variables!$B$7:$D$7,IFERROR(MATCH(IF($B698="Robusta","Robusta",(IF($B698="","Arabica",$B698))&amp;" - "&amp;(IF($C698="","Commercial",$C698))),Variables!$B$1:$D$1,0),1))*(BJ698/365))+(W698*INDEX(Variables!$B$9:$D$9,IFERROR(MATCH(IF($B698="Robusta","Robusta",(IF($B698="","Arabica",$B698))&amp;" - "&amp;(IF($C698="","Commercial",$C698))),Variables!$B$1:$D$1,0),1))*(BJ698/365))+(INDEX(Variables!$B$8:$D$8,IFERROR(MATCH(IF($B698="Robusta","Robusta",(IF($B698="","Arabica",$B698))&amp;" - "&amp;(IF($C698="","Commercial",$C698))),Variables!$B$1:$D$1,0),1))*L698/16.67)),""))</f>
        <v/>
      </c>
    </row>
    <row r="699" spans="1:63">
      <c r="A699" s="13" t="s">
        <v>103</v>
      </c>
      <c r="B699" s="13" t="s">
        <v>104</v>
      </c>
      <c r="C699" s="13" t="s">
        <v>105</v>
      </c>
      <c r="D699" s="31">
        <v>46049</v>
      </c>
      <c r="E699" s="31">
        <v>46082</v>
      </c>
      <c r="F699" s="31">
        <v>46112</v>
      </c>
      <c r="G699" s="13">
        <v>3787140</v>
      </c>
      <c r="H699" s="13" t="s">
        <v>1898</v>
      </c>
      <c r="J699" s="13" t="s">
        <v>118</v>
      </c>
      <c r="K699" s="13" t="s">
        <v>1899</v>
      </c>
      <c r="L699" s="13">
        <v>1667</v>
      </c>
      <c r="M699" s="13">
        <v>5</v>
      </c>
      <c r="N699" s="13" t="s">
        <v>1890</v>
      </c>
      <c r="O699" s="13" t="s">
        <v>1205</v>
      </c>
      <c r="P699" s="13">
        <v>10045</v>
      </c>
      <c r="Q699" s="59" t="s">
        <v>270</v>
      </c>
      <c r="R699" s="13" t="s">
        <v>271</v>
      </c>
      <c r="S699" s="13" t="s">
        <v>283</v>
      </c>
      <c r="T699" s="13" t="s">
        <v>112</v>
      </c>
      <c r="U699" s="13" t="s">
        <v>113</v>
      </c>
      <c r="V699" s="13">
        <v>40</v>
      </c>
      <c r="W699" s="44">
        <f>IF($AX699="Cancelled","",IFERROR(((V699+INDEX(Variables!$B$6:$D$6,IFERROR(MATCH(IF($B699="Robusta","Robusta",(IF($B699="","Arabica",$B699))&amp;" - "&amp;(IF($C699="","Commercial",$C699))),Variables!$B$1:$D$1,0),1)))*22.0462)*(L699/16.67),""))</f>
        <v>729288.29599999986</v>
      </c>
      <c r="X699" s="55" t="s">
        <v>37</v>
      </c>
      <c r="Y699" s="13" t="str">
        <f>IF($AX699="Cancelled","",IF(X699="","",IFERROR(IF(INDEX(Variables!$B$38:$B$47,MATCH(X699,Variables!$A$38:$A$47,0))="Yes","Yes","No"),"No")))</f>
        <v>Yes</v>
      </c>
      <c r="Z699" s="58">
        <v>46072</v>
      </c>
      <c r="AB699" s="31">
        <v>46079</v>
      </c>
      <c r="AC699" s="13" t="str">
        <f t="shared" si="31"/>
        <v>Approved</v>
      </c>
      <c r="AF699" s="71">
        <v>46100</v>
      </c>
      <c r="AG699" s="37">
        <f>IF($AX699="Cancelled","",IFERROR(IF(F699="","",F699-Variables!$B$13),""))</f>
        <v>46097</v>
      </c>
      <c r="AH699" s="13">
        <f>IF($AX699="Cancelled","",IFERROR(IF(AB699="","",(AVERAGE(E699:F699)-AB699)-Variables!$B$14),""))</f>
        <v>-12</v>
      </c>
      <c r="AJ699" s="47">
        <v>46107</v>
      </c>
      <c r="AK699" s="14">
        <f>IF($AX699="Cancelled","",IFERROR(IF(AJ699="","",IF(AND(AB699="",AF699=""),"",IF(AF699&gt;AB699,AF699+Variables!$B$15+Variables!$B$16+Variables!$B$17-AJ699,AB699+Variables!$B$16+Variables!$B$17-AJ699))),""))</f>
        <v>8</v>
      </c>
      <c r="AL699" s="48" t="s">
        <v>114</v>
      </c>
      <c r="AM699" s="13" t="s">
        <v>115</v>
      </c>
      <c r="AN699" s="13" t="s">
        <v>1896</v>
      </c>
      <c r="AP699" s="31">
        <v>46119</v>
      </c>
      <c r="AR699" s="13">
        <v>267496846</v>
      </c>
      <c r="AS699" s="31" t="s">
        <v>1897</v>
      </c>
      <c r="AU699" s="31">
        <v>46134</v>
      </c>
      <c r="AV699" s="13" t="s">
        <v>865</v>
      </c>
      <c r="AW699" s="31">
        <v>46134</v>
      </c>
      <c r="AX699" s="13" t="str">
        <f>IF(ISNUMBER(SEARCH("cancel",#REF!)),"Cancelled",IF(AND(AS699&lt;&gt;"",AU699&lt;&gt;"",AW699&lt;&gt;""),"Closed","Open"))</f>
        <v>Closed</v>
      </c>
      <c r="AY699" s="15" t="str">
        <f t="shared" si="30"/>
        <v>All dates received</v>
      </c>
      <c r="BD699" s="13" t="str">
        <f>IF($AX699="Cancelled","",IFERROR(IF(OR(AS699="",AJ699=""),"",(AJ699+Variables!$B$18-AS699)),""))</f>
        <v/>
      </c>
      <c r="BE699" s="13" t="str">
        <f>IF($AX699="Cancelled","",IFERROR(IF(OR(AW699="",AS699=""),"",(AS699+Variables!$B$19)-AW699),""))</f>
        <v/>
      </c>
      <c r="BF699" s="44" t="str">
        <f>IF($AX699="Cancelled","",IFERROR(W699*INDEX(Variables!$B$7:$D$7,IFERROR(MATCH(IF($B699="Robusta","Robusta",(IF($B699="","Arabica",$B699))&amp;" - "&amp;(IF($C699="","Commercial",$C699))),Variables!$B$1:$D$1,0),1))*(BE699/365),""))</f>
        <v/>
      </c>
      <c r="BG699" s="44">
        <f>IF($AX699="Cancelled","",IFERROR((W699*INDEX(Variables!$B$7:$D$7,IFERROR(MATCH(IF($B699="Robusta","Robusta",(IF($B699="","Arabica",$B699))&amp;" - "&amp;(IF($C699="","Commercial",$C699))),Variables!$B$1:$D$1,0),1))*IFERROR(IF(AB699="","",(AVERAGE(E699:F699)-AB699)-Variables!$B$14),"")/365)+(L699/16.67*INDEX(Variables!$B$8:$D$8,IFERROR(MATCH(IF($B699="Robusta","Robusta",(IF($B699="","Arabica",$B699))&amp;" - "&amp;(IF($C699="","Commercial",$C699))),Variables!$B$1:$D$1,0),1))*IFERROR(IF(AB699="","",(AVERAGE(E699:F699)-AB699)-Variables!$B$14),""))+(W699*INDEX(Variables!$B$9:$D$9,IFERROR(MATCH(IF($B699="Robusta","Robusta",(IF($B699="","Arabica",$B699))&amp;" - "&amp;(IF($C699="","Commercial",$C699))),Variables!$B$1:$D$1,0),1))*IFERROR(IF(AB699="","",(AVERAGE(E699:F699)-AB699)-Variables!$B$14),"")/365),""))</f>
        <v>-2566.1957628754849</v>
      </c>
      <c r="BH699" s="44">
        <f>IF($AX699="Cancelled","",IFERROR((W699*INDEX(Variables!$B$7:$D$7,IFERROR(MATCH(IF($B699="Robusta","Robusta",(IF($B699="","Arabica",$B699))&amp;" - "&amp;(IF($C699="","Commercial",$C699))),Variables!$B$1:$D$1,0),1))*AK699/365)+(L699/16.67*INDEX(Variables!$B$8:$D$8,IFERROR(MATCH(IF($B699="Robusta","Robusta",(IF($B699="","Arabica",$B699))&amp;" - "&amp;(IF($C699="","Commercial",$C699))),Variables!$B$1:$D$1,0),1))*AK699)+(W699*INDEX(Variables!$B$9:$D$9,IFERROR(MATCH(IF($B699="Robusta","Robusta",(IF($B699="","Arabica",$B699))&amp;" - "&amp;(IF($C699="","Commercial",$C699))),Variables!$B$1:$D$1,0),1))*AK699/365),""))</f>
        <v>1710.7971752503231</v>
      </c>
      <c r="BI699" s="44" t="str">
        <f>IF($AX699="Cancelled","",IFERROR((W699*INDEX(Variables!$B$7:$D$7,IFERROR(MATCH(IF($B699="Robusta","Robusta",(IF($B699="","Arabica",$B699))&amp;" - "&amp;(IF($C699="","Commercial",$C699))),Variables!$B$1:$D$1,0),1))*BD699/365)+(L699/16.67*INDEX(Variables!$B$8:$D$8,IFERROR(MATCH(IF($B699="Robusta","Robusta",(IF($B699="","Arabica",$B699))&amp;" - "&amp;(IF($C699="","Commercial",$C699))),Variables!$B$1:$D$1,0),1))*BD699)+(W699*INDEX(Variables!$B$9:$D$9,IFERROR(MATCH(IF($B699="Robusta","Robusta",(IF($B699="","Arabica",$B699))&amp;" - "&amp;(IF($C699="","Commercial",$C699))),Variables!$B$1:$D$1,0),1))*BD699/365),""))</f>
        <v/>
      </c>
      <c r="BJ699" s="44" t="str">
        <f t="shared" si="32"/>
        <v/>
      </c>
      <c r="BK699" s="44" t="str">
        <f>IF($AX699="Cancelled","",IFERROR(IF(BJ699="","",(W699*INDEX(Variables!$B$7:$D$7,IFERROR(MATCH(IF($B699="Robusta","Robusta",(IF($B699="","Arabica",$B699))&amp;" - "&amp;(IF($C699="","Commercial",$C699))),Variables!$B$1:$D$1,0),1))*(BJ699/365))+(W699*INDEX(Variables!$B$9:$D$9,IFERROR(MATCH(IF($B699="Robusta","Robusta",(IF($B699="","Arabica",$B699))&amp;" - "&amp;(IF($C699="","Commercial",$C699))),Variables!$B$1:$D$1,0),1))*(BJ699/365))+(INDEX(Variables!$B$8:$D$8,IFERROR(MATCH(IF($B699="Robusta","Robusta",(IF($B699="","Arabica",$B699))&amp;" - "&amp;(IF($C699="","Commercial",$C699))),Variables!$B$1:$D$1,0),1))*L699/16.67)),""))</f>
        <v/>
      </c>
    </row>
    <row r="700" spans="1:63">
      <c r="A700" s="13" t="s">
        <v>103</v>
      </c>
      <c r="B700" s="13" t="s">
        <v>104</v>
      </c>
      <c r="C700" s="13" t="s">
        <v>292</v>
      </c>
      <c r="D700" s="31">
        <v>46045</v>
      </c>
      <c r="E700" s="31">
        <v>46054</v>
      </c>
      <c r="F700" s="31">
        <v>46081</v>
      </c>
      <c r="G700" s="13">
        <v>3787141</v>
      </c>
      <c r="J700" s="13" t="s">
        <v>1641</v>
      </c>
      <c r="K700" s="13" t="s">
        <v>1900</v>
      </c>
      <c r="L700" s="13">
        <v>20</v>
      </c>
      <c r="M700" s="13">
        <v>1</v>
      </c>
      <c r="N700" s="13" t="s">
        <v>1901</v>
      </c>
      <c r="O700" s="13" t="s">
        <v>771</v>
      </c>
      <c r="P700" s="13">
        <v>10010</v>
      </c>
      <c r="R700" s="13" t="s">
        <v>384</v>
      </c>
      <c r="S700" s="13" t="s">
        <v>776</v>
      </c>
      <c r="T700" s="13" t="s">
        <v>777</v>
      </c>
      <c r="U700" s="13" t="s">
        <v>125</v>
      </c>
      <c r="V700" s="13">
        <v>193.3</v>
      </c>
      <c r="W700" s="44">
        <f>IF($AX700="Cancelled","",IFERROR(((V700+INDEX(Variables!$B$6:$D$6,IFERROR(MATCH(IF($B700="Robusta","Robusta",(IF($B700="","Arabica",$B700))&amp;" - "&amp;(IF($C700="","Commercial",$C700))),Variables!$B$1:$D$1,0),1)))*22.0462)*(L700/16.67),""))</f>
        <v>12804.517600479903</v>
      </c>
      <c r="X700" s="55" t="s">
        <v>39</v>
      </c>
      <c r="Y700" s="13" t="str">
        <f>IF($AX700="Cancelled","",IF(X700="","",IFERROR(IF(INDEX(Variables!$B$38:$B$47,MATCH(X700,Variables!$A$38:$A$47,0))="Yes","Yes","No"),"No")))</f>
        <v>No</v>
      </c>
      <c r="Z700" s="31"/>
      <c r="AB700" s="31">
        <v>46036.875</v>
      </c>
      <c r="AC700" s="13" t="str">
        <f t="shared" si="31"/>
        <v>Approved</v>
      </c>
      <c r="AF700" s="71">
        <v>46078</v>
      </c>
      <c r="AG700" s="31">
        <f>IF($AX700="Cancelled","",IFERROR(IF(F700="","",F700-Variables!$B$13),""))</f>
        <v>46066</v>
      </c>
      <c r="AH700" s="13">
        <f>IF($AX700="Cancelled","",IFERROR(IF(AB700="","",(AVERAGE(E700:F700)-AB700)-Variables!$B$14),""))</f>
        <v>0.625</v>
      </c>
      <c r="AJ700" s="47">
        <v>46081</v>
      </c>
      <c r="AK700" s="14">
        <f>IF($AX700="Cancelled","",IFERROR(IF(AJ700="","",IF(AND(AB700="",AF700=""),"",IF(AF700&gt;AB700,AF700+Variables!$B$15+Variables!$B$16+Variables!$B$17-AJ700,AB700+Variables!$B$16+Variables!$B$17-AJ700))),""))</f>
        <v>12</v>
      </c>
      <c r="AL700" s="48" t="s">
        <v>114</v>
      </c>
      <c r="AM700" s="13" t="s">
        <v>1526</v>
      </c>
      <c r="AN700" s="13" t="s">
        <v>1527</v>
      </c>
      <c r="AP700" s="31" t="e">
        <v>#N/A</v>
      </c>
      <c r="AR700" s="13" t="s">
        <v>1902</v>
      </c>
      <c r="AS700" s="31">
        <v>46093</v>
      </c>
      <c r="AU700" s="31">
        <v>46113</v>
      </c>
      <c r="AV700" s="13" t="s">
        <v>865</v>
      </c>
      <c r="AW700" s="31">
        <v>46129</v>
      </c>
      <c r="AX700" s="13" t="str">
        <f>IF(ISNUMBER(SEARCH("cancel",#REF!)),"Cancelled",IF(AND(AS700&lt;&gt;"",AU700&lt;&gt;"",AW700&lt;&gt;""),"Closed","Open"))</f>
        <v>Closed</v>
      </c>
      <c r="AY700" s="15" t="str">
        <f t="shared" si="30"/>
        <v>All dates received</v>
      </c>
      <c r="BD700" s="13">
        <f>IF($AX700="Cancelled","",IFERROR(IF(OR(AS700="",AJ700=""),"",(AJ700+Variables!$B$18-AS700)),""))</f>
        <v>3</v>
      </c>
      <c r="BE700" s="13">
        <f>IF($AX700="Cancelled","",IFERROR(IF(OR(AW700="",AS700=""),"",(AS700+Variables!$B$19)-AW700),""))</f>
        <v>-31</v>
      </c>
      <c r="BF700" s="44">
        <f>IF($AX700="Cancelled","",IFERROR(W700*INDEX(Variables!$B$7:$D$7,IFERROR(MATCH(IF($B700="Robusta","Robusta",(IF($B700="","Arabica",$B700))&amp;" - "&amp;(IF($C700="","Commercial",$C700))),Variables!$B$1:$D$1,0),1))*(BE700/365),""))</f>
        <v>-70.12484221739075</v>
      </c>
      <c r="BG700" s="44">
        <f>IF($AX700="Cancelled","",IFERROR((W700*INDEX(Variables!$B$7:$D$7,IFERROR(MATCH(IF($B700="Robusta","Robusta",(IF($B700="","Arabica",$B700))&amp;" - "&amp;(IF($C700="","Commercial",$C700))),Variables!$B$1:$D$1,0),1))*IFERROR(IF(AB700="","",(AVERAGE(E700:F700)-AB700)-Variables!$B$14),"")/365)+(L700/16.67*INDEX(Variables!$B$8:$D$8,IFERROR(MATCH(IF($B700="Robusta","Robusta",(IF($B700="","Arabica",$B700))&amp;" - "&amp;(IF($C700="","Commercial",$C700))),Variables!$B$1:$D$1,0),1))*IFERROR(IF(AB700="","",(AVERAGE(E700:F700)-AB700)-Variables!$B$14),""))+(W700*INDEX(Variables!$B$9:$D$9,IFERROR(MATCH(IF($B700="Robusta","Robusta",(IF($B700="","Arabica",$B700))&amp;" - "&amp;(IF($C700="","Commercial",$C700))),Variables!$B$1:$D$1,0),1))*IFERROR(IF(AB700="","",(AVERAGE(E700:F700)-AB700)-Variables!$B$14),"")/365),""))</f>
        <v>2.0570340073612057</v>
      </c>
      <c r="BH700" s="44">
        <f>IF($AX700="Cancelled","",IFERROR((W700*INDEX(Variables!$B$7:$D$7,IFERROR(MATCH(IF($B700="Robusta","Robusta",(IF($B700="","Arabica",$B700))&amp;" - "&amp;(IF($C700="","Commercial",$C700))),Variables!$B$1:$D$1,0),1))*AK700/365)+(L700/16.67*INDEX(Variables!$B$8:$D$8,IFERROR(MATCH(IF($B700="Robusta","Robusta",(IF($B700="","Arabica",$B700))&amp;" - "&amp;(IF($C700="","Commercial",$C700))),Variables!$B$1:$D$1,0),1))*AK700)+(W700*INDEX(Variables!$B$9:$D$9,IFERROR(MATCH(IF($B700="Robusta","Robusta",(IF($B700="","Arabica",$B700))&amp;" - "&amp;(IF($C700="","Commercial",$C700))),Variables!$B$1:$D$1,0),1))*AK700/365),""))</f>
        <v>39.495052941335153</v>
      </c>
      <c r="BI700" s="44">
        <f>IF($AX700="Cancelled","",IFERROR((W700*INDEX(Variables!$B$7:$D$7,IFERROR(MATCH(IF($B700="Robusta","Robusta",(IF($B700="","Arabica",$B700))&amp;" - "&amp;(IF($C700="","Commercial",$C700))),Variables!$B$1:$D$1,0),1))*BD700/365)+(L700/16.67*INDEX(Variables!$B$8:$D$8,IFERROR(MATCH(IF($B700="Robusta","Robusta",(IF($B700="","Arabica",$B700))&amp;" - "&amp;(IF($C700="","Commercial",$C700))),Variables!$B$1:$D$1,0),1))*BD700)+(W700*INDEX(Variables!$B$9:$D$9,IFERROR(MATCH(IF($B700="Robusta","Robusta",(IF($B700="","Arabica",$B700))&amp;" - "&amp;(IF($C700="","Commercial",$C700))),Variables!$B$1:$D$1,0),1))*BD700/365),""))</f>
        <v>9.8737632353337883</v>
      </c>
      <c r="BJ700" s="44">
        <f t="shared" si="32"/>
        <v>-12</v>
      </c>
      <c r="BK700" s="44">
        <f>IF($AX700="Cancelled","",IFERROR(IF(BJ700="","",(W700*INDEX(Variables!$B$7:$D$7,IFERROR(MATCH(IF($B700="Robusta","Robusta",(IF($B700="","Arabica",$B700))&amp;" - "&amp;(IF($C700="","Commercial",$C700))),Variables!$B$1:$D$1,0),1))*(BJ700/365))+(W700*INDEX(Variables!$B$9:$D$9,IFERROR(MATCH(IF($B700="Robusta","Robusta",(IF($B700="","Arabica",$B700))&amp;" - "&amp;(IF($C700="","Commercial",$C700))),Variables!$B$1:$D$1,0),1))*(BJ700/365))+(INDEX(Variables!$B$8:$D$8,IFERROR(MATCH(IF($B700="Robusta","Robusta",(IF($B700="","Arabica",$B700))&amp;" - "&amp;(IF($C700="","Commercial",$C700))),Variables!$B$1:$D$1,0),1))*L700/16.67)),""))</f>
        <v>-26.49505294133515</v>
      </c>
    </row>
    <row r="701" spans="1:63">
      <c r="A701" s="13" t="s">
        <v>103</v>
      </c>
      <c r="B701" s="13" t="s">
        <v>104</v>
      </c>
      <c r="C701" s="13" t="s">
        <v>292</v>
      </c>
      <c r="D701" s="31">
        <v>46045</v>
      </c>
      <c r="E701" s="31">
        <v>46054</v>
      </c>
      <c r="F701" s="31">
        <v>46081</v>
      </c>
      <c r="G701" s="13">
        <v>3787142</v>
      </c>
      <c r="J701" s="13" t="s">
        <v>1641</v>
      </c>
      <c r="K701" s="13" t="s">
        <v>1903</v>
      </c>
      <c r="L701" s="13">
        <v>11</v>
      </c>
      <c r="M701" s="13">
        <v>0</v>
      </c>
      <c r="N701" s="13" t="s">
        <v>1904</v>
      </c>
      <c r="O701" s="13" t="s">
        <v>584</v>
      </c>
      <c r="P701" s="13">
        <v>10040</v>
      </c>
      <c r="R701" s="13" t="s">
        <v>384</v>
      </c>
      <c r="S701" s="13" t="s">
        <v>776</v>
      </c>
      <c r="T701" s="13" t="s">
        <v>777</v>
      </c>
      <c r="U701" s="13" t="s">
        <v>125</v>
      </c>
      <c r="V701" s="13">
        <v>149.30000000000001</v>
      </c>
      <c r="W701" s="44">
        <f>IF($AX701="Cancelled","",IFERROR(((V701+INDEX(Variables!$B$6:$D$6,IFERROR(MATCH(IF($B701="Robusta","Robusta",(IF($B701="","Arabica",$B701))&amp;" - "&amp;(IF($C701="","Commercial",$C701))),Variables!$B$1:$D$1,0),1)))*22.0462)*(L701/16.67),""))</f>
        <v>6402.3910509898014</v>
      </c>
      <c r="X701" s="55" t="s">
        <v>39</v>
      </c>
      <c r="Y701" s="13" t="str">
        <f>IF($AX701="Cancelled","",IF(X701="","",IFERROR(IF(INDEX(Variables!$B$38:$B$47,MATCH(X701,Variables!$A$38:$A$47,0))="Yes","Yes","No"),"No")))</f>
        <v>No</v>
      </c>
      <c r="Z701" s="31"/>
      <c r="AB701" s="31">
        <v>46036.875</v>
      </c>
      <c r="AC701" s="13" t="str">
        <f t="shared" si="31"/>
        <v>Approved</v>
      </c>
      <c r="AF701" s="71">
        <v>46076</v>
      </c>
      <c r="AG701" s="31">
        <f>IF($AX701="Cancelled","",IFERROR(IF(F701="","",F701-Variables!$B$13),""))</f>
        <v>46066</v>
      </c>
      <c r="AH701" s="13">
        <f>IF($AX701="Cancelled","",IFERROR(IF(AB701="","",(AVERAGE(E701:F701)-AB701)-Variables!$B$14),""))</f>
        <v>0.625</v>
      </c>
      <c r="AJ701" s="47">
        <v>46081</v>
      </c>
      <c r="AK701" s="14">
        <f>IF($AX701="Cancelled","",IFERROR(IF(AJ701="","",IF(AND(AB701="",AF701=""),"",IF(AF701&gt;AB701,AF701+Variables!$B$15+Variables!$B$16+Variables!$B$17-AJ701,AB701+Variables!$B$16+Variables!$B$17-AJ701))),""))</f>
        <v>10</v>
      </c>
      <c r="AL701" s="48" t="s">
        <v>114</v>
      </c>
      <c r="AM701" s="13" t="s">
        <v>1526</v>
      </c>
      <c r="AN701" s="13" t="s">
        <v>1527</v>
      </c>
      <c r="AP701" s="31" t="e">
        <v>#N/A</v>
      </c>
      <c r="AR701" s="13" t="s">
        <v>1902</v>
      </c>
      <c r="AS701" s="31">
        <v>46093</v>
      </c>
      <c r="AU701" s="31">
        <v>46113</v>
      </c>
      <c r="AV701" s="13" t="s">
        <v>865</v>
      </c>
      <c r="AW701" s="31">
        <v>46129</v>
      </c>
      <c r="AX701" s="13" t="str">
        <f>IF(ISNUMBER(SEARCH("cancel",#REF!)),"Cancelled",IF(AND(AS701&lt;&gt;"",AU701&lt;&gt;"",AW701&lt;&gt;""),"Closed","Open"))</f>
        <v>Closed</v>
      </c>
      <c r="AY701" s="15" t="str">
        <f t="shared" si="30"/>
        <v>All dates received</v>
      </c>
      <c r="BD701" s="13">
        <f>IF($AX701="Cancelled","",IFERROR(IF(OR(AS701="",AJ701=""),"",(AJ701+Variables!$B$18-AS701)),""))</f>
        <v>3</v>
      </c>
      <c r="BE701" s="13">
        <f>IF($AX701="Cancelled","",IFERROR(IF(OR(AW701="",AS701=""),"",(AS701+Variables!$B$19)-AW701),""))</f>
        <v>-31</v>
      </c>
      <c r="BF701" s="44">
        <f>IF($AX701="Cancelled","",IFERROR(W701*INDEX(Variables!$B$7:$D$7,IFERROR(MATCH(IF($B701="Robusta","Robusta",(IF($B701="","Arabica",$B701))&amp;" - "&amp;(IF($C701="","Commercial",$C701))),Variables!$B$1:$D$1,0),1))*(BE701/365),""))</f>
        <v>-35.063145389238827</v>
      </c>
      <c r="BG701" s="44">
        <f>IF($AX701="Cancelled","",IFERROR((W701*INDEX(Variables!$B$7:$D$7,IFERROR(MATCH(IF($B701="Robusta","Robusta",(IF($B701="","Arabica",$B701))&amp;" - "&amp;(IF($C701="","Commercial",$C701))),Variables!$B$1:$D$1,0),1))*IFERROR(IF(AB701="","",(AVERAGE(E701:F701)-AB701)-Variables!$B$14),"")/365)+(L701/16.67*INDEX(Variables!$B$8:$D$8,IFERROR(MATCH(IF($B701="Robusta","Robusta",(IF($B701="","Arabica",$B701))&amp;" - "&amp;(IF($C701="","Commercial",$C701))),Variables!$B$1:$D$1,0),1))*IFERROR(IF(AB701="","",(AVERAGE(E701:F701)-AB701)-Variables!$B$14),""))+(W701*INDEX(Variables!$B$9:$D$9,IFERROR(MATCH(IF($B701="Robusta","Robusta",(IF($B701="","Arabica",$B701))&amp;" - "&amp;(IF($C701="","Commercial",$C701))),Variables!$B$1:$D$1,0),1))*IFERROR(IF(AB701="","",(AVERAGE(E701:F701)-AB701)-Variables!$B$14),"")/365),""))</f>
        <v>1.0597817943644219</v>
      </c>
      <c r="BH701" s="44">
        <f>IF($AX701="Cancelled","",IFERROR((W701*INDEX(Variables!$B$7:$D$7,IFERROR(MATCH(IF($B701="Robusta","Robusta",(IF($B701="","Arabica",$B701))&amp;" - "&amp;(IF($C701="","Commercial",$C701))),Variables!$B$1:$D$1,0),1))*AK701/365)+(L701/16.67*INDEX(Variables!$B$8:$D$8,IFERROR(MATCH(IF($B701="Robusta","Robusta",(IF($B701="","Arabica",$B701))&amp;" - "&amp;(IF($C701="","Commercial",$C701))),Variables!$B$1:$D$1,0),1))*AK701)+(W701*INDEX(Variables!$B$9:$D$9,IFERROR(MATCH(IF($B701="Robusta","Robusta",(IF($B701="","Arabica",$B701))&amp;" - "&amp;(IF($C701="","Commercial",$C701))),Variables!$B$1:$D$1,0),1))*AK701/365),""))</f>
        <v>16.95650870983075</v>
      </c>
      <c r="BI701" s="44">
        <f>IF($AX701="Cancelled","",IFERROR((W701*INDEX(Variables!$B$7:$D$7,IFERROR(MATCH(IF($B701="Robusta","Robusta",(IF($B701="","Arabica",$B701))&amp;" - "&amp;(IF($C701="","Commercial",$C701))),Variables!$B$1:$D$1,0),1))*BD701/365)+(L701/16.67*INDEX(Variables!$B$8:$D$8,IFERROR(MATCH(IF($B701="Robusta","Robusta",(IF($B701="","Arabica",$B701))&amp;" - "&amp;(IF($C701="","Commercial",$C701))),Variables!$B$1:$D$1,0),1))*BD701)+(W701*INDEX(Variables!$B$9:$D$9,IFERROR(MATCH(IF($B701="Robusta","Robusta",(IF($B701="","Arabica",$B701))&amp;" - "&amp;(IF($C701="","Commercial",$C701))),Variables!$B$1:$D$1,0),1))*BD701/365),""))</f>
        <v>5.0869526129492249</v>
      </c>
      <c r="BJ701" s="44">
        <f t="shared" si="32"/>
        <v>-12</v>
      </c>
      <c r="BK701" s="44">
        <f>IF($AX701="Cancelled","",IFERROR(IF(BJ701="","",(W701*INDEX(Variables!$B$7:$D$7,IFERROR(MATCH(IF($B701="Robusta","Robusta",(IF($B701="","Arabica",$B701))&amp;" - "&amp;(IF($C701="","Commercial",$C701))),Variables!$B$1:$D$1,0),1))*(BJ701/365))+(W701*INDEX(Variables!$B$9:$D$9,IFERROR(MATCH(IF($B701="Robusta","Robusta",(IF($B701="","Arabica",$B701))&amp;" - "&amp;(IF($C701="","Commercial",$C701))),Variables!$B$1:$D$1,0),1))*(BJ701/365))+(INDEX(Variables!$B$8:$D$8,IFERROR(MATCH(IF($B701="Robusta","Robusta",(IF($B701="","Arabica",$B701))&amp;" - "&amp;(IF($C701="","Commercial",$C701))),Variables!$B$1:$D$1,0),1))*L701/16.67)),""))</f>
        <v>-13.197810451796899</v>
      </c>
    </row>
    <row r="702" spans="1:63">
      <c r="A702" s="13" t="s">
        <v>103</v>
      </c>
      <c r="B702" s="13" t="s">
        <v>104</v>
      </c>
      <c r="C702" s="13" t="s">
        <v>292</v>
      </c>
      <c r="D702" s="31">
        <v>46045</v>
      </c>
      <c r="E702" s="31">
        <v>46054</v>
      </c>
      <c r="F702" s="31">
        <v>46081</v>
      </c>
      <c r="G702" s="13">
        <v>3787143</v>
      </c>
      <c r="J702" s="13" t="s">
        <v>1641</v>
      </c>
      <c r="K702" s="13" t="s">
        <v>1905</v>
      </c>
      <c r="L702" s="13">
        <v>20</v>
      </c>
      <c r="M702" s="13">
        <v>0</v>
      </c>
      <c r="N702" s="13" t="s">
        <v>1906</v>
      </c>
      <c r="O702" s="13" t="s">
        <v>584</v>
      </c>
      <c r="P702" s="13">
        <v>10040</v>
      </c>
      <c r="R702" s="13" t="s">
        <v>384</v>
      </c>
      <c r="S702" s="13" t="s">
        <v>776</v>
      </c>
      <c r="T702" s="13" t="s">
        <v>777</v>
      </c>
      <c r="U702" s="13" t="s">
        <v>125</v>
      </c>
      <c r="V702" s="13">
        <v>126.3</v>
      </c>
      <c r="W702" s="44">
        <f>IF($AX702="Cancelled","",IFERROR(((V702+INDEX(Variables!$B$6:$D$6,IFERROR(MATCH(IF($B702="Robusta","Robusta",(IF($B702="","Arabica",$B702))&amp;" - "&amp;(IF($C702="","Commercial",$C702))),Variables!$B$1:$D$1,0),1)))*22.0462)*(L702/16.67),""))</f>
        <v>11032.357552489502</v>
      </c>
      <c r="X702" s="55" t="s">
        <v>39</v>
      </c>
      <c r="Y702" s="13" t="str">
        <f>IF($AX702="Cancelled","",IF(X702="","",IFERROR(IF(INDEX(Variables!$B$38:$B$47,MATCH(X702,Variables!$A$38:$A$47,0))="Yes","Yes","No"),"No")))</f>
        <v>No</v>
      </c>
      <c r="Z702" s="31"/>
      <c r="AB702" s="31">
        <v>46036.875</v>
      </c>
      <c r="AC702" s="13" t="str">
        <f t="shared" si="31"/>
        <v>Approved</v>
      </c>
      <c r="AF702" s="71">
        <v>46076</v>
      </c>
      <c r="AG702" s="31">
        <f>IF($AX702="Cancelled","",IFERROR(IF(F702="","",F702-Variables!$B$13),""))</f>
        <v>46066</v>
      </c>
      <c r="AH702" s="13">
        <f>IF($AX702="Cancelled","",IFERROR(IF(AB702="","",(AVERAGE(E702:F702)-AB702)-Variables!$B$14),""))</f>
        <v>0.625</v>
      </c>
      <c r="AJ702" s="47">
        <v>46081</v>
      </c>
      <c r="AK702" s="14">
        <f>IF($AX702="Cancelled","",IFERROR(IF(AJ702="","",IF(AND(AB702="",AF702=""),"",IF(AF702&gt;AB702,AF702+Variables!$B$15+Variables!$B$16+Variables!$B$17-AJ702,AB702+Variables!$B$16+Variables!$B$17-AJ702))),""))</f>
        <v>10</v>
      </c>
      <c r="AL702" s="48" t="s">
        <v>114</v>
      </c>
      <c r="AM702" s="13" t="s">
        <v>1526</v>
      </c>
      <c r="AN702" s="13" t="s">
        <v>1527</v>
      </c>
      <c r="AP702" s="31" t="e">
        <v>#N/A</v>
      </c>
      <c r="AR702" s="13" t="s">
        <v>1902</v>
      </c>
      <c r="AS702" s="31">
        <v>46093</v>
      </c>
      <c r="AU702" s="31">
        <v>46113</v>
      </c>
      <c r="AV702" s="13" t="s">
        <v>865</v>
      </c>
      <c r="AW702" s="31">
        <v>46129</v>
      </c>
      <c r="AX702" s="13" t="str">
        <f>IF(ISNUMBER(SEARCH("cancel",#REF!)),"Cancelled",IF(AND(AS702&lt;&gt;"",AU702&lt;&gt;"",AW702&lt;&gt;""),"Closed","Open"))</f>
        <v>Closed</v>
      </c>
      <c r="AY702" s="15" t="str">
        <f t="shared" si="30"/>
        <v>All dates received</v>
      </c>
      <c r="BD702" s="13">
        <f>IF($AX702="Cancelled","",IFERROR(IF(OR(AS702="",AJ702=""),"",(AJ702+Variables!$B$18-AS702)),""))</f>
        <v>3</v>
      </c>
      <c r="BE702" s="13">
        <f>IF($AX702="Cancelled","",IFERROR(IF(OR(AW702="",AS702=""),"",(AS702+Variables!$B$19)-AW702),""))</f>
        <v>-31</v>
      </c>
      <c r="BF702" s="44">
        <f>IF($AX702="Cancelled","",IFERROR(W702*INDEX(Variables!$B$7:$D$7,IFERROR(MATCH(IF($B702="Robusta","Robusta",(IF($B702="","Arabica",$B702))&amp;" - "&amp;(IF($C702="","Commercial",$C702))),Variables!$B$1:$D$1,0),1))*(BE702/365),""))</f>
        <v>-60.41948293508301</v>
      </c>
      <c r="BG702" s="44">
        <f>IF($AX702="Cancelled","",IFERROR((W702*INDEX(Variables!$B$7:$D$7,IFERROR(MATCH(IF($B702="Robusta","Robusta",(IF($B702="","Arabica",$B702))&amp;" - "&amp;(IF($C702="","Commercial",$C702))),Variables!$B$1:$D$1,0),1))*IFERROR(IF(AB702="","",(AVERAGE(E702:F702)-AB702)-Variables!$B$14),"")/365)+(L702/16.67*INDEX(Variables!$B$8:$D$8,IFERROR(MATCH(IF($B702="Robusta","Robusta",(IF($B702="","Arabica",$B702))&amp;" - "&amp;(IF($C702="","Commercial",$C702))),Variables!$B$1:$D$1,0),1))*IFERROR(IF(AB702="","",(AVERAGE(E702:F702)-AB702)-Variables!$B$14),""))+(W702*INDEX(Variables!$B$9:$D$9,IFERROR(MATCH(IF($B702="Robusta","Robusta",(IF($B702="","Arabica",$B702))&amp;" - "&amp;(IF($C702="","Commercial",$C702))),Variables!$B$1:$D$1,0),1))*IFERROR(IF(AB702="","",(AVERAGE(E702:F702)-AB702)-Variables!$B$14),"")/365),""))</f>
        <v>1.8588388441858275</v>
      </c>
      <c r="BH702" s="44">
        <f>IF($AX702="Cancelled","",IFERROR((W702*INDEX(Variables!$B$7:$D$7,IFERROR(MATCH(IF($B702="Robusta","Robusta",(IF($B702="","Arabica",$B702))&amp;" - "&amp;(IF($C702="","Commercial",$C702))),Variables!$B$1:$D$1,0),1))*AK702/365)+(L702/16.67*INDEX(Variables!$B$8:$D$8,IFERROR(MATCH(IF($B702="Robusta","Robusta",(IF($B702="","Arabica",$B702))&amp;" - "&amp;(IF($C702="","Commercial",$C702))),Variables!$B$1:$D$1,0),1))*AK702)+(W702*INDEX(Variables!$B$9:$D$9,IFERROR(MATCH(IF($B702="Robusta","Robusta",(IF($B702="","Arabica",$B702))&amp;" - "&amp;(IF($C702="","Commercial",$C702))),Variables!$B$1:$D$1,0),1))*AK702/365),""))</f>
        <v>29.741421506973239</v>
      </c>
      <c r="BI702" s="44">
        <f>IF($AX702="Cancelled","",IFERROR((W702*INDEX(Variables!$B$7:$D$7,IFERROR(MATCH(IF($B702="Robusta","Robusta",(IF($B702="","Arabica",$B702))&amp;" - "&amp;(IF($C702="","Commercial",$C702))),Variables!$B$1:$D$1,0),1))*BD702/365)+(L702/16.67*INDEX(Variables!$B$8:$D$8,IFERROR(MATCH(IF($B702="Robusta","Robusta",(IF($B702="","Arabica",$B702))&amp;" - "&amp;(IF($C702="","Commercial",$C702))),Variables!$B$1:$D$1,0),1))*BD702)+(W702*INDEX(Variables!$B$9:$D$9,IFERROR(MATCH(IF($B702="Robusta","Robusta",(IF($B702="","Arabica",$B702))&amp;" - "&amp;(IF($C702="","Commercial",$C702))),Variables!$B$1:$D$1,0),1))*BD702/365),""))</f>
        <v>8.9224264520919707</v>
      </c>
      <c r="BJ702" s="44">
        <f t="shared" si="32"/>
        <v>-12</v>
      </c>
      <c r="BK702" s="44">
        <f>IF($AX702="Cancelled","",IFERROR(IF(BJ702="","",(W702*INDEX(Variables!$B$7:$D$7,IFERROR(MATCH(IF($B702="Robusta","Robusta",(IF($B702="","Arabica",$B702))&amp;" - "&amp;(IF($C702="","Commercial",$C702))),Variables!$B$1:$D$1,0),1))*(BJ702/365))+(W702*INDEX(Variables!$B$9:$D$9,IFERROR(MATCH(IF($B702="Robusta","Robusta",(IF($B702="","Arabica",$B702))&amp;" - "&amp;(IF($C702="","Commercial",$C702))),Variables!$B$1:$D$1,0),1))*(BJ702/365))+(INDEX(Variables!$B$8:$D$8,IFERROR(MATCH(IF($B702="Robusta","Robusta",(IF($B702="","Arabica",$B702))&amp;" - "&amp;(IF($C702="","Commercial",$C702))),Variables!$B$1:$D$1,0),1))*L702/16.67)),""))</f>
        <v>-22.689705808367883</v>
      </c>
    </row>
    <row r="703" spans="1:63">
      <c r="A703" s="13" t="s">
        <v>103</v>
      </c>
      <c r="B703" s="13" t="s">
        <v>104</v>
      </c>
      <c r="C703" s="13" t="s">
        <v>292</v>
      </c>
      <c r="D703" s="31">
        <v>46045</v>
      </c>
      <c r="E703" s="31">
        <v>46054</v>
      </c>
      <c r="F703" s="31">
        <v>46081</v>
      </c>
      <c r="G703" s="13">
        <v>3787144</v>
      </c>
      <c r="J703" s="13" t="s">
        <v>1641</v>
      </c>
      <c r="K703" s="13" t="s">
        <v>1907</v>
      </c>
      <c r="L703" s="13">
        <v>20</v>
      </c>
      <c r="M703" s="13">
        <v>0</v>
      </c>
      <c r="N703" s="13" t="s">
        <v>1908</v>
      </c>
      <c r="O703" s="13" t="s">
        <v>584</v>
      </c>
      <c r="P703" s="13">
        <v>10040</v>
      </c>
      <c r="R703" s="13" t="s">
        <v>384</v>
      </c>
      <c r="S703" s="13" t="s">
        <v>776</v>
      </c>
      <c r="T703" s="13" t="s">
        <v>777</v>
      </c>
      <c r="U703" s="13" t="s">
        <v>125</v>
      </c>
      <c r="V703" s="13">
        <v>124.3</v>
      </c>
      <c r="W703" s="44">
        <f>IF($AX703="Cancelled","",IFERROR(((V703+INDEX(Variables!$B$6:$D$6,IFERROR(MATCH(IF($B703="Robusta","Robusta",(IF($B703="","Arabica",$B703))&amp;" - "&amp;(IF($C703="","Commercial",$C703))),Variables!$B$1:$D$1,0),1)))*22.0462)*(L703/16.67),""))</f>
        <v>10979.457252549488</v>
      </c>
      <c r="X703" s="55" t="s">
        <v>39</v>
      </c>
      <c r="Y703" s="13" t="str">
        <f>IF($AX703="Cancelled","",IF(X703="","",IFERROR(IF(INDEX(Variables!$B$38:$B$47,MATCH(X703,Variables!$A$38:$A$47,0))="Yes","Yes","No"),"No")))</f>
        <v>No</v>
      </c>
      <c r="Z703" s="31"/>
      <c r="AB703" s="31">
        <v>46036.875</v>
      </c>
      <c r="AC703" s="13" t="str">
        <f t="shared" si="31"/>
        <v>Approved</v>
      </c>
      <c r="AF703" s="71">
        <v>46076</v>
      </c>
      <c r="AG703" s="31">
        <f>IF($AX703="Cancelled","",IFERROR(IF(F703="","",F703-Variables!$B$13),""))</f>
        <v>46066</v>
      </c>
      <c r="AH703" s="13">
        <f>IF($AX703="Cancelled","",IFERROR(IF(AB703="","",(AVERAGE(E703:F703)-AB703)-Variables!$B$14),""))</f>
        <v>0.625</v>
      </c>
      <c r="AJ703" s="47">
        <v>46081</v>
      </c>
      <c r="AK703" s="14">
        <f>IF($AX703="Cancelled","",IFERROR(IF(AJ703="","",IF(AND(AB703="",AF703=""),"",IF(AF703&gt;AB703,AF703+Variables!$B$15+Variables!$B$16+Variables!$B$17-AJ703,AB703+Variables!$B$16+Variables!$B$17-AJ703))),""))</f>
        <v>10</v>
      </c>
      <c r="AL703" s="48" t="s">
        <v>114</v>
      </c>
      <c r="AM703" s="13" t="s">
        <v>1526</v>
      </c>
      <c r="AN703" s="13" t="s">
        <v>1527</v>
      </c>
      <c r="AP703" s="31" t="e">
        <v>#N/A</v>
      </c>
      <c r="AR703" s="13" t="s">
        <v>1902</v>
      </c>
      <c r="AS703" s="31">
        <v>46093</v>
      </c>
      <c r="AU703" s="31">
        <v>46113</v>
      </c>
      <c r="AV703" s="13" t="s">
        <v>865</v>
      </c>
      <c r="AW703" s="31">
        <v>46129</v>
      </c>
      <c r="AX703" s="13" t="str">
        <f>IF(ISNUMBER(SEARCH("cancel",#REF!)),"Cancelled",IF(AND(AS703&lt;&gt;"",AU703&lt;&gt;"",AW703&lt;&gt;""),"Closed","Open"))</f>
        <v>Closed</v>
      </c>
      <c r="AY703" s="15" t="str">
        <f t="shared" si="30"/>
        <v>All dates received</v>
      </c>
      <c r="BD703" s="13">
        <f>IF($AX703="Cancelled","",IFERROR(IF(OR(AS703="",AJ703=""),"",(AJ703+Variables!$B$18-AS703)),""))</f>
        <v>3</v>
      </c>
      <c r="BE703" s="13">
        <f>IF($AX703="Cancelled","",IFERROR(IF(OR(AW703="",AS703=""),"",(AS703+Variables!$B$19)-AW703),""))</f>
        <v>-31</v>
      </c>
      <c r="BF703" s="44">
        <f>IF($AX703="Cancelled","",IFERROR(W703*INDEX(Variables!$B$7:$D$7,IFERROR(MATCH(IF($B703="Robusta","Robusta",(IF($B703="","Arabica",$B703))&amp;" - "&amp;(IF($C703="","Commercial",$C703))),Variables!$B$1:$D$1,0),1))*(BE703/365),""))</f>
        <v>-60.129770717700673</v>
      </c>
      <c r="BG703" s="44">
        <f>IF($AX703="Cancelled","",IFERROR((W703*INDEX(Variables!$B$7:$D$7,IFERROR(MATCH(IF($B703="Robusta","Robusta",(IF($B703="","Arabica",$B703))&amp;" - "&amp;(IF($C703="","Commercial",$C703))),Variables!$B$1:$D$1,0),1))*IFERROR(IF(AB703="","",(AVERAGE(E703:F703)-AB703)-Variables!$B$14),"")/365)+(L703/16.67*INDEX(Variables!$B$8:$D$8,IFERROR(MATCH(IF($B703="Robusta","Robusta",(IF($B703="","Arabica",$B703))&amp;" - "&amp;(IF($C703="","Commercial",$C703))),Variables!$B$1:$D$1,0),1))*IFERROR(IF(AB703="","",(AVERAGE(E703:F703)-AB703)-Variables!$B$14),""))+(W703*INDEX(Variables!$B$9:$D$9,IFERROR(MATCH(IF($B703="Robusta","Robusta",(IF($B703="","Arabica",$B703))&amp;" - "&amp;(IF($C703="","Commercial",$C703))),Variables!$B$1:$D$1,0),1))*IFERROR(IF(AB703="","",(AVERAGE(E703:F703)-AB703)-Variables!$B$14),"")/365),""))</f>
        <v>1.852922570658204</v>
      </c>
      <c r="BH703" s="44">
        <f>IF($AX703="Cancelled","",IFERROR((W703*INDEX(Variables!$B$7:$D$7,IFERROR(MATCH(IF($B703="Robusta","Robusta",(IF($B703="","Arabica",$B703))&amp;" - "&amp;(IF($C703="","Commercial",$C703))),Variables!$B$1:$D$1,0),1))*AK703/365)+(L703/16.67*INDEX(Variables!$B$8:$D$8,IFERROR(MATCH(IF($B703="Robusta","Robusta",(IF($B703="","Arabica",$B703))&amp;" - "&amp;(IF($C703="","Commercial",$C703))),Variables!$B$1:$D$1,0),1))*AK703)+(W703*INDEX(Variables!$B$9:$D$9,IFERROR(MATCH(IF($B703="Robusta","Robusta",(IF($B703="","Arabica",$B703))&amp;" - "&amp;(IF($C703="","Commercial",$C703))),Variables!$B$1:$D$1,0),1))*AK703/365),""))</f>
        <v>29.646761130531264</v>
      </c>
      <c r="BI703" s="44">
        <f>IF($AX703="Cancelled","",IFERROR((W703*INDEX(Variables!$B$7:$D$7,IFERROR(MATCH(IF($B703="Robusta","Robusta",(IF($B703="","Arabica",$B703))&amp;" - "&amp;(IF($C703="","Commercial",$C703))),Variables!$B$1:$D$1,0),1))*BD703/365)+(L703/16.67*INDEX(Variables!$B$8:$D$8,IFERROR(MATCH(IF($B703="Robusta","Robusta",(IF($B703="","Arabica",$B703))&amp;" - "&amp;(IF($C703="","Commercial",$C703))),Variables!$B$1:$D$1,0),1))*BD703)+(W703*INDEX(Variables!$B$9:$D$9,IFERROR(MATCH(IF($B703="Robusta","Robusta",(IF($B703="","Arabica",$B703))&amp;" - "&amp;(IF($C703="","Commercial",$C703))),Variables!$B$1:$D$1,0),1))*BD703/365),""))</f>
        <v>8.8940283391593784</v>
      </c>
      <c r="BJ703" s="44">
        <f t="shared" si="32"/>
        <v>-12</v>
      </c>
      <c r="BK703" s="44">
        <f>IF($AX703="Cancelled","",IFERROR(IF(BJ703="","",(W703*INDEX(Variables!$B$7:$D$7,IFERROR(MATCH(IF($B703="Robusta","Robusta",(IF($B703="","Arabica",$B703))&amp;" - "&amp;(IF($C703="","Commercial",$C703))),Variables!$B$1:$D$1,0),1))*(BJ703/365))+(W703*INDEX(Variables!$B$9:$D$9,IFERROR(MATCH(IF($B703="Robusta","Robusta",(IF($B703="","Arabica",$B703))&amp;" - "&amp;(IF($C703="","Commercial",$C703))),Variables!$B$1:$D$1,0),1))*(BJ703/365))+(INDEX(Variables!$B$8:$D$8,IFERROR(MATCH(IF($B703="Robusta","Robusta",(IF($B703="","Arabica",$B703))&amp;" - "&amp;(IF($C703="","Commercial",$C703))),Variables!$B$1:$D$1,0),1))*L703/16.67)),""))</f>
        <v>-22.576113356637514</v>
      </c>
    </row>
    <row r="704" spans="1:63">
      <c r="A704" s="13" t="s">
        <v>103</v>
      </c>
      <c r="B704" s="13" t="s">
        <v>104</v>
      </c>
      <c r="C704" s="13" t="s">
        <v>292</v>
      </c>
      <c r="D704" s="31">
        <v>46045</v>
      </c>
      <c r="E704" s="31">
        <v>46054</v>
      </c>
      <c r="F704" s="31">
        <v>46081</v>
      </c>
      <c r="G704" s="13">
        <v>3787145</v>
      </c>
      <c r="J704" s="13" t="s">
        <v>1641</v>
      </c>
      <c r="K704" s="13" t="s">
        <v>1909</v>
      </c>
      <c r="L704" s="13">
        <v>20</v>
      </c>
      <c r="M704" s="13">
        <v>0</v>
      </c>
      <c r="N704" s="13" t="s">
        <v>1910</v>
      </c>
      <c r="O704" s="13" t="s">
        <v>297</v>
      </c>
      <c r="P704" s="13">
        <v>10020</v>
      </c>
      <c r="R704" s="13" t="s">
        <v>384</v>
      </c>
      <c r="S704" s="13" t="s">
        <v>776</v>
      </c>
      <c r="T704" s="13" t="s">
        <v>777</v>
      </c>
      <c r="U704" s="13" t="s">
        <v>125</v>
      </c>
      <c r="V704" s="13">
        <v>157.30000000000001</v>
      </c>
      <c r="W704" s="44">
        <f>IF($AX704="Cancelled","",IFERROR(((V704+INDEX(Variables!$B$6:$D$6,IFERROR(MATCH(IF($B704="Robusta","Robusta",(IF($B704="","Arabica",$B704))&amp;" - "&amp;(IF($C704="","Commercial",$C704))),Variables!$B$1:$D$1,0),1)))*22.0462)*(L704/16.67),""))</f>
        <v>11852.312201559687</v>
      </c>
      <c r="X704" s="55" t="s">
        <v>39</v>
      </c>
      <c r="Y704" s="13" t="str">
        <f>IF($AX704="Cancelled","",IF(X704="","",IFERROR(IF(INDEX(Variables!$B$38:$B$47,MATCH(X704,Variables!$A$38:$A$47,0))="Yes","Yes","No"),"No")))</f>
        <v>No</v>
      </c>
      <c r="Z704" s="31"/>
      <c r="AB704" s="31">
        <v>46036.875</v>
      </c>
      <c r="AC704" s="13" t="str">
        <f t="shared" si="31"/>
        <v>Approved</v>
      </c>
      <c r="AF704" s="71">
        <v>46076</v>
      </c>
      <c r="AG704" s="31">
        <f>IF($AX704="Cancelled","",IFERROR(IF(F704="","",F704-Variables!$B$13),""))</f>
        <v>46066</v>
      </c>
      <c r="AH704" s="13">
        <f>IF($AX704="Cancelled","",IFERROR(IF(AB704="","",(AVERAGE(E704:F704)-AB704)-Variables!$B$14),""))</f>
        <v>0.625</v>
      </c>
      <c r="AJ704" s="47">
        <v>46081</v>
      </c>
      <c r="AK704" s="14">
        <f>IF($AX704="Cancelled","",IFERROR(IF(AJ704="","",IF(AND(AB704="",AF704=""),"",IF(AF704&gt;AB704,AF704+Variables!$B$15+Variables!$B$16+Variables!$B$17-AJ704,AB704+Variables!$B$16+Variables!$B$17-AJ704))),""))</f>
        <v>10</v>
      </c>
      <c r="AL704" s="48" t="s">
        <v>114</v>
      </c>
      <c r="AM704" s="13" t="s">
        <v>1526</v>
      </c>
      <c r="AN704" s="13" t="s">
        <v>1527</v>
      </c>
      <c r="AP704" s="31" t="e">
        <v>#N/A</v>
      </c>
      <c r="AR704" s="13" t="s">
        <v>1902</v>
      </c>
      <c r="AS704" s="31">
        <v>46093</v>
      </c>
      <c r="AU704" s="31">
        <v>46113</v>
      </c>
      <c r="AV704" s="13" t="s">
        <v>865</v>
      </c>
      <c r="AW704" s="31">
        <v>46129</v>
      </c>
      <c r="AX704" s="13" t="str">
        <f>IF(ISNUMBER(SEARCH("cancel",#REF!)),"Cancelled",IF(AND(AS704&lt;&gt;"",AU704&lt;&gt;"",AW704&lt;&gt;""),"Closed","Open"))</f>
        <v>Closed</v>
      </c>
      <c r="AY704" s="15" t="str">
        <f t="shared" ref="AY704:AY767" si="33">IF($AX704="Cancelled","",IF(AND(AS704&lt;&gt;"",AU704&lt;&gt;"",AW704&lt;&gt;""),"All dates received",_xlfn.TEXTJOIN(" and ",TRUE(),IF(AS704="","No sailing date",""),IF(AU704="","No shipping advice sent",""),IF(AW704="","No docs dispatch date",""))))</f>
        <v>All dates received</v>
      </c>
      <c r="BD704" s="13">
        <f>IF($AX704="Cancelled","",IFERROR(IF(OR(AS704="",AJ704=""),"",(AJ704+Variables!$B$18-AS704)),""))</f>
        <v>3</v>
      </c>
      <c r="BE704" s="13">
        <f>IF($AX704="Cancelled","",IFERROR(IF(OR(AW704="",AS704=""),"",(AS704+Variables!$B$19)-AW704),""))</f>
        <v>-31</v>
      </c>
      <c r="BF704" s="44">
        <f>IF($AX704="Cancelled","",IFERROR(W704*INDEX(Variables!$B$7:$D$7,IFERROR(MATCH(IF($B704="Robusta","Robusta",(IF($B704="","Arabica",$B704))&amp;" - "&amp;(IF($C704="","Commercial",$C704))),Variables!$B$1:$D$1,0),1))*(BE704/365),""))</f>
        <v>-64.910022304508971</v>
      </c>
      <c r="BG704" s="44">
        <f>IF($AX704="Cancelled","",IFERROR((W704*INDEX(Variables!$B$7:$D$7,IFERROR(MATCH(IF($B704="Robusta","Robusta",(IF($B704="","Arabica",$B704))&amp;" - "&amp;(IF($C704="","Commercial",$C704))),Variables!$B$1:$D$1,0),1))*IFERROR(IF(AB704="","",(AVERAGE(E704:F704)-AB704)-Variables!$B$14),"")/365)+(L704/16.67*INDEX(Variables!$B$8:$D$8,IFERROR(MATCH(IF($B704="Robusta","Robusta",(IF($B704="","Arabica",$B704))&amp;" - "&amp;(IF($C704="","Commercial",$C704))),Variables!$B$1:$D$1,0),1))*IFERROR(IF(AB704="","",(AVERAGE(E704:F704)-AB704)-Variables!$B$14),""))+(W704*INDEX(Variables!$B$9:$D$9,IFERROR(MATCH(IF($B704="Robusta","Robusta",(IF($B704="","Arabica",$B704))&amp;" - "&amp;(IF($C704="","Commercial",$C704))),Variables!$B$1:$D$1,0),1))*IFERROR(IF(AB704="","",(AVERAGE(E704:F704)-AB704)-Variables!$B$14),"")/365),""))</f>
        <v>1.9505410838639876</v>
      </c>
      <c r="BH704" s="44">
        <f>IF($AX704="Cancelled","",IFERROR((W704*INDEX(Variables!$B$7:$D$7,IFERROR(MATCH(IF($B704="Robusta","Robusta",(IF($B704="","Arabica",$B704))&amp;" - "&amp;(IF($C704="","Commercial",$C704))),Variables!$B$1:$D$1,0),1))*AK704/365)+(L704/16.67*INDEX(Variables!$B$8:$D$8,IFERROR(MATCH(IF($B704="Robusta","Robusta",(IF($B704="","Arabica",$B704))&amp;" - "&amp;(IF($C704="","Commercial",$C704))),Variables!$B$1:$D$1,0),1))*AK704)+(W704*INDEX(Variables!$B$9:$D$9,IFERROR(MATCH(IF($B704="Robusta","Robusta",(IF($B704="","Arabica",$B704))&amp;" - "&amp;(IF($C704="","Commercial",$C704))),Variables!$B$1:$D$1,0),1))*AK704/365),""))</f>
        <v>31.208657341823802</v>
      </c>
      <c r="BI704" s="44">
        <f>IF($AX704="Cancelled","",IFERROR((W704*INDEX(Variables!$B$7:$D$7,IFERROR(MATCH(IF($B704="Robusta","Robusta",(IF($B704="","Arabica",$B704))&amp;" - "&amp;(IF($C704="","Commercial",$C704))),Variables!$B$1:$D$1,0),1))*BD704/365)+(L704/16.67*INDEX(Variables!$B$8:$D$8,IFERROR(MATCH(IF($B704="Robusta","Robusta",(IF($B704="","Arabica",$B704))&amp;" - "&amp;(IF($C704="","Commercial",$C704))),Variables!$B$1:$D$1,0),1))*BD704)+(W704*INDEX(Variables!$B$9:$D$9,IFERROR(MATCH(IF($B704="Robusta","Robusta",(IF($B704="","Arabica",$B704))&amp;" - "&amp;(IF($C704="","Commercial",$C704))),Variables!$B$1:$D$1,0),1))*BD704/365),""))</f>
        <v>9.3625972025471409</v>
      </c>
      <c r="BJ704" s="44">
        <f t="shared" si="32"/>
        <v>-12</v>
      </c>
      <c r="BK704" s="44">
        <f>IF($AX704="Cancelled","",IFERROR(IF(BJ704="","",(W704*INDEX(Variables!$B$7:$D$7,IFERROR(MATCH(IF($B704="Robusta","Robusta",(IF($B704="","Arabica",$B704))&amp;" - "&amp;(IF($C704="","Commercial",$C704))),Variables!$B$1:$D$1,0),1))*(BJ704/365))+(W704*INDEX(Variables!$B$9:$D$9,IFERROR(MATCH(IF($B704="Robusta","Robusta",(IF($B704="","Arabica",$B704))&amp;" - "&amp;(IF($C704="","Commercial",$C704))),Variables!$B$1:$D$1,0),1))*(BJ704/365))+(INDEX(Variables!$B$8:$D$8,IFERROR(MATCH(IF($B704="Robusta","Robusta",(IF($B704="","Arabica",$B704))&amp;" - "&amp;(IF($C704="","Commercial",$C704))),Variables!$B$1:$D$1,0),1))*L704/16.67)),""))</f>
        <v>-24.45038881018856</v>
      </c>
    </row>
    <row r="705" spans="1:63">
      <c r="A705" s="13" t="s">
        <v>103</v>
      </c>
      <c r="B705" s="13" t="s">
        <v>104</v>
      </c>
      <c r="C705" s="13" t="s">
        <v>292</v>
      </c>
      <c r="D705" s="31">
        <v>46045</v>
      </c>
      <c r="E705" s="31">
        <v>46054</v>
      </c>
      <c r="F705" s="31">
        <v>46081</v>
      </c>
      <c r="G705" s="13">
        <v>3787146</v>
      </c>
      <c r="J705" s="13" t="s">
        <v>1641</v>
      </c>
      <c r="K705" s="13" t="s">
        <v>1911</v>
      </c>
      <c r="L705" s="13">
        <v>17</v>
      </c>
      <c r="M705" s="13">
        <v>0</v>
      </c>
      <c r="N705" s="13" t="s">
        <v>1912</v>
      </c>
      <c r="O705" s="13" t="s">
        <v>297</v>
      </c>
      <c r="P705" s="13">
        <v>10020</v>
      </c>
      <c r="R705" s="13" t="s">
        <v>384</v>
      </c>
      <c r="S705" s="13" t="s">
        <v>776</v>
      </c>
      <c r="T705" s="13" t="s">
        <v>777</v>
      </c>
      <c r="U705" s="13" t="s">
        <v>125</v>
      </c>
      <c r="V705" s="13">
        <v>157.30000000000001</v>
      </c>
      <c r="W705" s="44">
        <f>IF($AX705="Cancelled","",IFERROR(((V705+INDEX(Variables!$B$6:$D$6,IFERROR(MATCH(IF($B705="Robusta","Robusta",(IF($B705="","Arabica",$B705))&amp;" - "&amp;(IF($C705="","Commercial",$C705))),Variables!$B$1:$D$1,0),1)))*22.0462)*(L705/16.67),""))</f>
        <v>10074.465371325734</v>
      </c>
      <c r="X705" s="55" t="s">
        <v>39</v>
      </c>
      <c r="Y705" s="13" t="str">
        <f>IF($AX705="Cancelled","",IF(X705="","",IFERROR(IF(INDEX(Variables!$B$38:$B$47,MATCH(X705,Variables!$A$38:$A$47,0))="Yes","Yes","No"),"No")))</f>
        <v>No</v>
      </c>
      <c r="Z705" s="31"/>
      <c r="AB705" s="31">
        <v>46036.875</v>
      </c>
      <c r="AC705" s="13" t="str">
        <f t="shared" si="31"/>
        <v>Approved</v>
      </c>
      <c r="AF705" s="71">
        <v>46076</v>
      </c>
      <c r="AG705" s="31">
        <f>IF($AX705="Cancelled","",IFERROR(IF(F705="","",F705-Variables!$B$13),""))</f>
        <v>46066</v>
      </c>
      <c r="AH705" s="13">
        <f>IF($AX705="Cancelled","",IFERROR(IF(AB705="","",(AVERAGE(E705:F705)-AB705)-Variables!$B$14),""))</f>
        <v>0.625</v>
      </c>
      <c r="AJ705" s="47">
        <v>46081</v>
      </c>
      <c r="AK705" s="14">
        <f>IF($AX705="Cancelled","",IFERROR(IF(AJ705="","",IF(AND(AB705="",AF705=""),"",IF(AF705&gt;AB705,AF705+Variables!$B$15+Variables!$B$16+Variables!$B$17-AJ705,AB705+Variables!$B$16+Variables!$B$17-AJ705))),""))</f>
        <v>10</v>
      </c>
      <c r="AL705" s="48" t="s">
        <v>114</v>
      </c>
      <c r="AM705" s="13" t="s">
        <v>1526</v>
      </c>
      <c r="AN705" s="13" t="s">
        <v>1527</v>
      </c>
      <c r="AP705" s="31" t="e">
        <v>#N/A</v>
      </c>
      <c r="AR705" s="13" t="s">
        <v>1902</v>
      </c>
      <c r="AS705" s="31">
        <v>46093</v>
      </c>
      <c r="AU705" s="31">
        <v>46113</v>
      </c>
      <c r="AV705" s="13" t="s">
        <v>865</v>
      </c>
      <c r="AW705" s="31">
        <v>46129</v>
      </c>
      <c r="AX705" s="13" t="str">
        <f>IF(ISNUMBER(SEARCH("cancel",#REF!)),"Cancelled",IF(AND(AS705&lt;&gt;"",AU705&lt;&gt;"",AW705&lt;&gt;""),"Closed","Open"))</f>
        <v>Closed</v>
      </c>
      <c r="AY705" s="15" t="str">
        <f t="shared" si="33"/>
        <v>All dates received</v>
      </c>
      <c r="BD705" s="13">
        <f>IF($AX705="Cancelled","",IFERROR(IF(OR(AS705="",AJ705=""),"",(AJ705+Variables!$B$18-AS705)),""))</f>
        <v>3</v>
      </c>
      <c r="BE705" s="13">
        <f>IF($AX705="Cancelled","",IFERROR(IF(OR(AW705="",AS705=""),"",(AS705+Variables!$B$19)-AW705),""))</f>
        <v>-31</v>
      </c>
      <c r="BF705" s="44">
        <f>IF($AX705="Cancelled","",IFERROR(W705*INDEX(Variables!$B$7:$D$7,IFERROR(MATCH(IF($B705="Robusta","Robusta",(IF($B705="","Arabica",$B705))&amp;" - "&amp;(IF($C705="","Commercial",$C705))),Variables!$B$1:$D$1,0),1))*(BE705/365),""))</f>
        <v>-55.173518958832631</v>
      </c>
      <c r="BG705" s="44">
        <f>IF($AX705="Cancelled","",IFERROR((W705*INDEX(Variables!$B$7:$D$7,IFERROR(MATCH(IF($B705="Robusta","Robusta",(IF($B705="","Arabica",$B705))&amp;" - "&amp;(IF($C705="","Commercial",$C705))),Variables!$B$1:$D$1,0),1))*IFERROR(IF(AB705="","",(AVERAGE(E705:F705)-AB705)-Variables!$B$14),"")/365)+(L705/16.67*INDEX(Variables!$B$8:$D$8,IFERROR(MATCH(IF($B705="Robusta","Robusta",(IF($B705="","Arabica",$B705))&amp;" - "&amp;(IF($C705="","Commercial",$C705))),Variables!$B$1:$D$1,0),1))*IFERROR(IF(AB705="","",(AVERAGE(E705:F705)-AB705)-Variables!$B$14),""))+(W705*INDEX(Variables!$B$9:$D$9,IFERROR(MATCH(IF($B705="Robusta","Robusta",(IF($B705="","Arabica",$B705))&amp;" - "&amp;(IF($C705="","Commercial",$C705))),Variables!$B$1:$D$1,0),1))*IFERROR(IF(AB705="","",(AVERAGE(E705:F705)-AB705)-Variables!$B$14),"")/365),""))</f>
        <v>1.6579599212843894</v>
      </c>
      <c r="BH705" s="44">
        <f>IF($AX705="Cancelled","",IFERROR((W705*INDEX(Variables!$B$7:$D$7,IFERROR(MATCH(IF($B705="Robusta","Robusta",(IF($B705="","Arabica",$B705))&amp;" - "&amp;(IF($C705="","Commercial",$C705))),Variables!$B$1:$D$1,0),1))*AK705/365)+(L705/16.67*INDEX(Variables!$B$8:$D$8,IFERROR(MATCH(IF($B705="Robusta","Robusta",(IF($B705="","Arabica",$B705))&amp;" - "&amp;(IF($C705="","Commercial",$C705))),Variables!$B$1:$D$1,0),1))*AK705)+(W705*INDEX(Variables!$B$9:$D$9,IFERROR(MATCH(IF($B705="Robusta","Robusta",(IF($B705="","Arabica",$B705))&amp;" - "&amp;(IF($C705="","Commercial",$C705))),Variables!$B$1:$D$1,0),1))*AK705/365),""))</f>
        <v>26.52735874055023</v>
      </c>
      <c r="BI705" s="44">
        <f>IF($AX705="Cancelled","",IFERROR((W705*INDEX(Variables!$B$7:$D$7,IFERROR(MATCH(IF($B705="Robusta","Robusta",(IF($B705="","Arabica",$B705))&amp;" - "&amp;(IF($C705="","Commercial",$C705))),Variables!$B$1:$D$1,0),1))*BD705/365)+(L705/16.67*INDEX(Variables!$B$8:$D$8,IFERROR(MATCH(IF($B705="Robusta","Robusta",(IF($B705="","Arabica",$B705))&amp;" - "&amp;(IF($C705="","Commercial",$C705))),Variables!$B$1:$D$1,0),1))*BD705)+(W705*INDEX(Variables!$B$9:$D$9,IFERROR(MATCH(IF($B705="Robusta","Robusta",(IF($B705="","Arabica",$B705))&amp;" - "&amp;(IF($C705="","Commercial",$C705))),Variables!$B$1:$D$1,0),1))*BD705/365),""))</f>
        <v>7.9582076221650695</v>
      </c>
      <c r="BJ705" s="44">
        <f t="shared" si="32"/>
        <v>-12</v>
      </c>
      <c r="BK705" s="44">
        <f>IF($AX705="Cancelled","",IFERROR(IF(BJ705="","",(W705*INDEX(Variables!$B$7:$D$7,IFERROR(MATCH(IF($B705="Robusta","Robusta",(IF($B705="","Arabica",$B705))&amp;" - "&amp;(IF($C705="","Commercial",$C705))),Variables!$B$1:$D$1,0),1))*(BJ705/365))+(W705*INDEX(Variables!$B$9:$D$9,IFERROR(MATCH(IF($B705="Robusta","Robusta",(IF($B705="","Arabica",$B705))&amp;" - "&amp;(IF($C705="","Commercial",$C705))),Variables!$B$1:$D$1,0),1))*(BJ705/365))+(INDEX(Variables!$B$8:$D$8,IFERROR(MATCH(IF($B705="Robusta","Robusta",(IF($B705="","Arabica",$B705))&amp;" - "&amp;(IF($C705="","Commercial",$C705))),Variables!$B$1:$D$1,0),1))*L705/16.67)),""))</f>
        <v>-20.782830488660274</v>
      </c>
    </row>
    <row r="706" spans="1:63">
      <c r="A706" s="13" t="s">
        <v>103</v>
      </c>
      <c r="B706" s="13" t="s">
        <v>104</v>
      </c>
      <c r="C706" s="13" t="s">
        <v>292</v>
      </c>
      <c r="D706" s="31">
        <v>46045</v>
      </c>
      <c r="E706" s="31">
        <v>46054</v>
      </c>
      <c r="F706" s="31">
        <v>46081</v>
      </c>
      <c r="G706" s="13">
        <v>3787147</v>
      </c>
      <c r="J706" s="13" t="s">
        <v>1641</v>
      </c>
      <c r="K706" s="13" t="s">
        <v>1913</v>
      </c>
      <c r="L706" s="13">
        <v>17</v>
      </c>
      <c r="M706" s="13">
        <v>0</v>
      </c>
      <c r="N706" s="13" t="s">
        <v>1914</v>
      </c>
      <c r="O706" s="13" t="s">
        <v>775</v>
      </c>
      <c r="P706" s="13">
        <v>10030</v>
      </c>
      <c r="R706" s="13" t="s">
        <v>384</v>
      </c>
      <c r="S706" s="13" t="s">
        <v>776</v>
      </c>
      <c r="T706" s="13" t="s">
        <v>777</v>
      </c>
      <c r="U706" s="13" t="s">
        <v>125</v>
      </c>
      <c r="V706" s="13">
        <v>134.30000000000001</v>
      </c>
      <c r="W706" s="44">
        <f>IF($AX706="Cancelled","",IFERROR(((V706+INDEX(Variables!$B$6:$D$6,IFERROR(MATCH(IF($B706="Robusta","Robusta",(IF($B706="","Arabica",$B706))&amp;" - "&amp;(IF($C706="","Commercial",$C706))),Variables!$B$1:$D$1,0),1)))*22.0462)*(L706/16.67),""))</f>
        <v>9557.3649394121185</v>
      </c>
      <c r="X706" s="55" t="s">
        <v>39</v>
      </c>
      <c r="Y706" s="13" t="str">
        <f>IF($AX706="Cancelled","",IF(X706="","",IFERROR(IF(INDEX(Variables!$B$38:$B$47,MATCH(X706,Variables!$A$38:$A$47,0))="Yes","Yes","No"),"No")))</f>
        <v>No</v>
      </c>
      <c r="Z706" s="31"/>
      <c r="AB706" s="31">
        <v>46036.875</v>
      </c>
      <c r="AC706" s="13" t="str">
        <f t="shared" ref="AC706:AC769" si="34">IF($AX706="Cancelled","",IF(ISNUMBER(AB706),"Approved",""))</f>
        <v>Approved</v>
      </c>
      <c r="AF706" s="71">
        <v>46076</v>
      </c>
      <c r="AG706" s="31">
        <f>IF($AX706="Cancelled","",IFERROR(IF(F706="","",F706-Variables!$B$13),""))</f>
        <v>46066</v>
      </c>
      <c r="AH706" s="13">
        <f>IF($AX706="Cancelled","",IFERROR(IF(AB706="","",(AVERAGE(E706:F706)-AB706)-Variables!$B$14),""))</f>
        <v>0.625</v>
      </c>
      <c r="AJ706" s="47">
        <v>46081</v>
      </c>
      <c r="AK706" s="14">
        <f>IF($AX706="Cancelled","",IFERROR(IF(AJ706="","",IF(AND(AB706="",AF706=""),"",IF(AF706&gt;AB706,AF706+Variables!$B$15+Variables!$B$16+Variables!$B$17-AJ706,AB706+Variables!$B$16+Variables!$B$17-AJ706))),""))</f>
        <v>10</v>
      </c>
      <c r="AL706" s="48" t="s">
        <v>114</v>
      </c>
      <c r="AM706" s="13" t="s">
        <v>1526</v>
      </c>
      <c r="AN706" s="13" t="s">
        <v>1527</v>
      </c>
      <c r="AP706" s="31" t="e">
        <v>#N/A</v>
      </c>
      <c r="AR706" s="13" t="s">
        <v>1902</v>
      </c>
      <c r="AS706" s="31">
        <v>46093</v>
      </c>
      <c r="AU706" s="31">
        <v>46113</v>
      </c>
      <c r="AV706" s="13" t="s">
        <v>865</v>
      </c>
      <c r="AW706" s="31">
        <v>46129</v>
      </c>
      <c r="AX706" s="13" t="str">
        <f>IF(ISNUMBER(SEARCH("cancel",#REF!)),"Cancelled",IF(AND(AS706&lt;&gt;"",AU706&lt;&gt;"",AW706&lt;&gt;""),"Closed","Open"))</f>
        <v>Closed</v>
      </c>
      <c r="AY706" s="15" t="str">
        <f t="shared" si="33"/>
        <v>All dates received</v>
      </c>
      <c r="BD706" s="13">
        <f>IF($AX706="Cancelled","",IFERROR(IF(OR(AS706="",AJ706=""),"",(AJ706+Variables!$B$18-AS706)),""))</f>
        <v>3</v>
      </c>
      <c r="BE706" s="13">
        <f>IF($AX706="Cancelled","",IFERROR(IF(OR(AW706="",AS706=""),"",(AS706+Variables!$B$19)-AW706),""))</f>
        <v>-31</v>
      </c>
      <c r="BF706" s="44">
        <f>IF($AX706="Cancelled","",IFERROR(W706*INDEX(Variables!$B$7:$D$7,IFERROR(MATCH(IF($B706="Robusta","Robusta",(IF($B706="","Arabica",$B706))&amp;" - "&amp;(IF($C706="","Commercial",$C706))),Variables!$B$1:$D$1,0),1))*(BE706/365),""))</f>
        <v>-52.341582033920446</v>
      </c>
      <c r="BG706" s="44">
        <f>IF($AX706="Cancelled","",IFERROR((W706*INDEX(Variables!$B$7:$D$7,IFERROR(MATCH(IF($B706="Robusta","Robusta",(IF($B706="","Arabica",$B706))&amp;" - "&amp;(IF($C706="","Commercial",$C706))),Variables!$B$1:$D$1,0),1))*IFERROR(IF(AB706="","",(AVERAGE(E706:F706)-AB706)-Variables!$B$14),"")/365)+(L706/16.67*INDEX(Variables!$B$8:$D$8,IFERROR(MATCH(IF($B706="Robusta","Robusta",(IF($B706="","Arabica",$B706))&amp;" - "&amp;(IF($C706="","Commercial",$C706))),Variables!$B$1:$D$1,0),1))*IFERROR(IF(AB706="","",(AVERAGE(E706:F706)-AB706)-Variables!$B$14),""))+(W706*INDEX(Variables!$B$9:$D$9,IFERROR(MATCH(IF($B706="Robusta","Robusta",(IF($B706="","Arabica",$B706))&amp;" - "&amp;(IF($C706="","Commercial",$C706))),Variables!$B$1:$D$1,0),1))*IFERROR(IF(AB706="","",(AVERAGE(E706:F706)-AB706)-Variables!$B$14),"")/365),""))</f>
        <v>1.6001283475518722</v>
      </c>
      <c r="BH706" s="44">
        <f>IF($AX706="Cancelled","",IFERROR((W706*INDEX(Variables!$B$7:$D$7,IFERROR(MATCH(IF($B706="Robusta","Robusta",(IF($B706="","Arabica",$B706))&amp;" - "&amp;(IF($C706="","Commercial",$C706))),Variables!$B$1:$D$1,0),1))*AK706/365)+(L706/16.67*INDEX(Variables!$B$8:$D$8,IFERROR(MATCH(IF($B706="Robusta","Robusta",(IF($B706="","Arabica",$B706))&amp;" - "&amp;(IF($C706="","Commercial",$C706))),Variables!$B$1:$D$1,0),1))*AK706)+(W706*INDEX(Variables!$B$9:$D$9,IFERROR(MATCH(IF($B706="Robusta","Robusta",(IF($B706="","Arabica",$B706))&amp;" - "&amp;(IF($C706="","Commercial",$C706))),Variables!$B$1:$D$1,0),1))*AK706/365),""))</f>
        <v>25.602053560829955</v>
      </c>
      <c r="BI706" s="44">
        <f>IF($AX706="Cancelled","",IFERROR((W706*INDEX(Variables!$B$7:$D$7,IFERROR(MATCH(IF($B706="Robusta","Robusta",(IF($B706="","Arabica",$B706))&amp;" - "&amp;(IF($C706="","Commercial",$C706))),Variables!$B$1:$D$1,0),1))*BD706/365)+(L706/16.67*INDEX(Variables!$B$8:$D$8,IFERROR(MATCH(IF($B706="Robusta","Robusta",(IF($B706="","Arabica",$B706))&amp;" - "&amp;(IF($C706="","Commercial",$C706))),Variables!$B$1:$D$1,0),1))*BD706)+(W706*INDEX(Variables!$B$9:$D$9,IFERROR(MATCH(IF($B706="Robusta","Robusta",(IF($B706="","Arabica",$B706))&amp;" - "&amp;(IF($C706="","Commercial",$C706))),Variables!$B$1:$D$1,0),1))*BD706/365),""))</f>
        <v>7.6806160682489866</v>
      </c>
      <c r="BJ706" s="44">
        <f t="shared" ref="BJ706:BJ769" si="35">IF($AX706="Cancelled","",IFERROR(IF(AS706="","",F706-AS706),""))</f>
        <v>-12</v>
      </c>
      <c r="BK706" s="44">
        <f>IF($AX706="Cancelled","",IFERROR(IF(BJ706="","",(W706*INDEX(Variables!$B$7:$D$7,IFERROR(MATCH(IF($B706="Robusta","Robusta",(IF($B706="","Arabica",$B706))&amp;" - "&amp;(IF($C706="","Commercial",$C706))),Variables!$B$1:$D$1,0),1))*(BJ706/365))+(W706*INDEX(Variables!$B$9:$D$9,IFERROR(MATCH(IF($B706="Robusta","Robusta",(IF($B706="","Arabica",$B706))&amp;" - "&amp;(IF($C706="","Commercial",$C706))),Variables!$B$1:$D$1,0),1))*(BJ706/365))+(INDEX(Variables!$B$8:$D$8,IFERROR(MATCH(IF($B706="Robusta","Robusta",(IF($B706="","Arabica",$B706))&amp;" - "&amp;(IF($C706="","Commercial",$C706))),Variables!$B$1:$D$1,0),1))*L706/16.67)),""))</f>
        <v>-19.672464272995946</v>
      </c>
    </row>
    <row r="707" spans="1:63">
      <c r="A707" s="13" t="s">
        <v>103</v>
      </c>
      <c r="B707" s="13" t="s">
        <v>104</v>
      </c>
      <c r="C707" s="13" t="s">
        <v>292</v>
      </c>
      <c r="D707" s="31">
        <v>46045</v>
      </c>
      <c r="E707" s="31">
        <v>46054</v>
      </c>
      <c r="F707" s="31">
        <v>46081</v>
      </c>
      <c r="G707" s="13">
        <v>3787148</v>
      </c>
      <c r="J707" s="13" t="s">
        <v>1641</v>
      </c>
      <c r="K707" s="13" t="s">
        <v>1915</v>
      </c>
      <c r="L707" s="13">
        <v>20</v>
      </c>
      <c r="M707" s="13">
        <v>0</v>
      </c>
      <c r="N707" s="13" t="s">
        <v>1916</v>
      </c>
      <c r="O707" s="13" t="s">
        <v>775</v>
      </c>
      <c r="P707" s="13">
        <v>10030</v>
      </c>
      <c r="R707" s="13" t="s">
        <v>384</v>
      </c>
      <c r="S707" s="13" t="s">
        <v>776</v>
      </c>
      <c r="T707" s="13" t="s">
        <v>777</v>
      </c>
      <c r="U707" s="13" t="s">
        <v>125</v>
      </c>
      <c r="V707" s="13">
        <v>161.30000000000001</v>
      </c>
      <c r="W707" s="44">
        <f>IF($AX707="Cancelled","",IFERROR(((V707+INDEX(Variables!$B$6:$D$6,IFERROR(MATCH(IF($B707="Robusta","Robusta",(IF($B707="","Arabica",$B707))&amp;" - "&amp;(IF($C707="","Commercial",$C707))),Variables!$B$1:$D$1,0),1)))*22.0462)*(L707/16.67),""))</f>
        <v>11958.112801439713</v>
      </c>
      <c r="X707" s="55" t="s">
        <v>39</v>
      </c>
      <c r="Y707" s="13" t="str">
        <f>IF($AX707="Cancelled","",IF(X707="","",IFERROR(IF(INDEX(Variables!$B$38:$B$47,MATCH(X707,Variables!$A$38:$A$47,0))="Yes","Yes","No"),"No")))</f>
        <v>No</v>
      </c>
      <c r="Z707" s="31"/>
      <c r="AB707" s="31">
        <v>46036.875</v>
      </c>
      <c r="AC707" s="13" t="str">
        <f t="shared" si="34"/>
        <v>Approved</v>
      </c>
      <c r="AF707" s="71">
        <v>46076</v>
      </c>
      <c r="AG707" s="31">
        <f>IF($AX707="Cancelled","",IFERROR(IF(F707="","",F707-Variables!$B$13),""))</f>
        <v>46066</v>
      </c>
      <c r="AH707" s="13">
        <f>IF($AX707="Cancelled","",IFERROR(IF(AB707="","",(AVERAGE(E707:F707)-AB707)-Variables!$B$14),""))</f>
        <v>0.625</v>
      </c>
      <c r="AJ707" s="47">
        <v>46081</v>
      </c>
      <c r="AK707" s="14">
        <f>IF($AX707="Cancelled","",IFERROR(IF(AJ707="","",IF(AND(AB707="",AF707=""),"",IF(AF707&gt;AB707,AF707+Variables!$B$15+Variables!$B$16+Variables!$B$17-AJ707,AB707+Variables!$B$16+Variables!$B$17-AJ707))),""))</f>
        <v>10</v>
      </c>
      <c r="AL707" s="48" t="s">
        <v>114</v>
      </c>
      <c r="AM707" s="13" t="s">
        <v>1526</v>
      </c>
      <c r="AN707" s="13" t="s">
        <v>1527</v>
      </c>
      <c r="AP707" s="31" t="e">
        <v>#N/A</v>
      </c>
      <c r="AR707" s="13" t="s">
        <v>1902</v>
      </c>
      <c r="AS707" s="31">
        <v>46093</v>
      </c>
      <c r="AU707" s="31">
        <v>46113</v>
      </c>
      <c r="AV707" s="13" t="s">
        <v>865</v>
      </c>
      <c r="AW707" s="31">
        <v>46129</v>
      </c>
      <c r="AX707" s="13" t="str">
        <f>IF(ISNUMBER(SEARCH("cancel",#REF!)),"Cancelled",IF(AND(AS707&lt;&gt;"",AU707&lt;&gt;"",AW707&lt;&gt;""),"Closed","Open"))</f>
        <v>Closed</v>
      </c>
      <c r="AY707" s="15" t="str">
        <f t="shared" si="33"/>
        <v>All dates received</v>
      </c>
      <c r="BD707" s="13">
        <f>IF($AX707="Cancelled","",IFERROR(IF(OR(AS707="",AJ707=""),"",(AJ707+Variables!$B$18-AS707)),""))</f>
        <v>3</v>
      </c>
      <c r="BE707" s="13">
        <f>IF($AX707="Cancelled","",IFERROR(IF(OR(AW707="",AS707=""),"",(AS707+Variables!$B$19)-AW707),""))</f>
        <v>-31</v>
      </c>
      <c r="BF707" s="44">
        <f>IF($AX707="Cancelled","",IFERROR(W707*INDEX(Variables!$B$7:$D$7,IFERROR(MATCH(IF($B707="Robusta","Robusta",(IF($B707="","Arabica",$B707))&amp;" - "&amp;(IF($C707="","Commercial",$C707))),Variables!$B$1:$D$1,0),1))*(BE707/365),""))</f>
        <v>-65.489446739273617</v>
      </c>
      <c r="BG707" s="44">
        <f>IF($AX707="Cancelled","",IFERROR((W707*INDEX(Variables!$B$7:$D$7,IFERROR(MATCH(IF($B707="Robusta","Robusta",(IF($B707="","Arabica",$B707))&amp;" - "&amp;(IF($C707="","Commercial",$C707))),Variables!$B$1:$D$1,0),1))*IFERROR(IF(AB707="","",(AVERAGE(E707:F707)-AB707)-Variables!$B$14),"")/365)+(L707/16.67*INDEX(Variables!$B$8:$D$8,IFERROR(MATCH(IF($B707="Robusta","Robusta",(IF($B707="","Arabica",$B707))&amp;" - "&amp;(IF($C707="","Commercial",$C707))),Variables!$B$1:$D$1,0),1))*IFERROR(IF(AB707="","",(AVERAGE(E707:F707)-AB707)-Variables!$B$14),""))+(W707*INDEX(Variables!$B$9:$D$9,IFERROR(MATCH(IF($B707="Robusta","Robusta",(IF($B707="","Arabica",$B707))&amp;" - "&amp;(IF($C707="","Commercial",$C707))),Variables!$B$1:$D$1,0),1))*IFERROR(IF(AB707="","",(AVERAGE(E707:F707)-AB707)-Variables!$B$14),"")/365),""))</f>
        <v>1.9623736309192339</v>
      </c>
      <c r="BH707" s="44">
        <f>IF($AX707="Cancelled","",IFERROR((W707*INDEX(Variables!$B$7:$D$7,IFERROR(MATCH(IF($B707="Robusta","Robusta",(IF($B707="","Arabica",$B707))&amp;" - "&amp;(IF($C707="","Commercial",$C707))),Variables!$B$1:$D$1,0),1))*AK707/365)+(L707/16.67*INDEX(Variables!$B$8:$D$8,IFERROR(MATCH(IF($B707="Robusta","Robusta",(IF($B707="","Arabica",$B707))&amp;" - "&amp;(IF($C707="","Commercial",$C707))),Variables!$B$1:$D$1,0),1))*AK707)+(W707*INDEX(Variables!$B$9:$D$9,IFERROR(MATCH(IF($B707="Robusta","Robusta",(IF($B707="","Arabica",$B707))&amp;" - "&amp;(IF($C707="","Commercial",$C707))),Variables!$B$1:$D$1,0),1))*AK707/365),""))</f>
        <v>31.397978094707742</v>
      </c>
      <c r="BI707" s="44">
        <f>IF($AX707="Cancelled","",IFERROR((W707*INDEX(Variables!$B$7:$D$7,IFERROR(MATCH(IF($B707="Robusta","Robusta",(IF($B707="","Arabica",$B707))&amp;" - "&amp;(IF($C707="","Commercial",$C707))),Variables!$B$1:$D$1,0),1))*BD707/365)+(L707/16.67*INDEX(Variables!$B$8:$D$8,IFERROR(MATCH(IF($B707="Robusta","Robusta",(IF($B707="","Arabica",$B707))&amp;" - "&amp;(IF($C707="","Commercial",$C707))),Variables!$B$1:$D$1,0),1))*BD707)+(W707*INDEX(Variables!$B$9:$D$9,IFERROR(MATCH(IF($B707="Robusta","Robusta",(IF($B707="","Arabica",$B707))&amp;" - "&amp;(IF($C707="","Commercial",$C707))),Variables!$B$1:$D$1,0),1))*BD707/365),""))</f>
        <v>9.4193934284123237</v>
      </c>
      <c r="BJ707" s="44">
        <f t="shared" si="35"/>
        <v>-12</v>
      </c>
      <c r="BK707" s="44">
        <f>IF($AX707="Cancelled","",IFERROR(IF(BJ707="","",(W707*INDEX(Variables!$B$7:$D$7,IFERROR(MATCH(IF($B707="Robusta","Robusta",(IF($B707="","Arabica",$B707))&amp;" - "&amp;(IF($C707="","Commercial",$C707))),Variables!$B$1:$D$1,0),1))*(BJ707/365))+(W707*INDEX(Variables!$B$9:$D$9,IFERROR(MATCH(IF($B707="Robusta","Robusta",(IF($B707="","Arabica",$B707))&amp;" - "&amp;(IF($C707="","Commercial",$C707))),Variables!$B$1:$D$1,0),1))*(BJ707/365))+(INDEX(Variables!$B$8:$D$8,IFERROR(MATCH(IF($B707="Robusta","Robusta",(IF($B707="","Arabica",$B707))&amp;" - "&amp;(IF($C707="","Commercial",$C707))),Variables!$B$1:$D$1,0),1))*L707/16.67)),""))</f>
        <v>-24.677573713649291</v>
      </c>
    </row>
    <row r="708" spans="1:63">
      <c r="A708" s="13" t="s">
        <v>103</v>
      </c>
      <c r="B708" s="13" t="s">
        <v>104</v>
      </c>
      <c r="C708" s="13" t="s">
        <v>292</v>
      </c>
      <c r="D708" s="31">
        <v>46045</v>
      </c>
      <c r="E708" s="31">
        <v>46054</v>
      </c>
      <c r="F708" s="31">
        <v>46081</v>
      </c>
      <c r="G708" s="13">
        <v>3787149</v>
      </c>
      <c r="J708" s="13" t="s">
        <v>1641</v>
      </c>
      <c r="K708" s="13" t="s">
        <v>1917</v>
      </c>
      <c r="L708" s="13">
        <v>7</v>
      </c>
      <c r="M708" s="13">
        <v>0</v>
      </c>
      <c r="N708" s="13" t="s">
        <v>1918</v>
      </c>
      <c r="O708" s="13" t="s">
        <v>775</v>
      </c>
      <c r="P708" s="13">
        <v>10030</v>
      </c>
      <c r="R708" s="13" t="s">
        <v>384</v>
      </c>
      <c r="S708" s="13" t="s">
        <v>776</v>
      </c>
      <c r="T708" s="13" t="s">
        <v>777</v>
      </c>
      <c r="U708" s="13" t="s">
        <v>125</v>
      </c>
      <c r="V708" s="13">
        <v>161.30000000000001</v>
      </c>
      <c r="W708" s="44">
        <f>IF($AX708="Cancelled","",IFERROR(((V708+INDEX(Variables!$B$6:$D$6,IFERROR(MATCH(IF($B708="Robusta","Robusta",(IF($B708="","Arabica",$B708))&amp;" - "&amp;(IF($C708="","Commercial",$C708))),Variables!$B$1:$D$1,0),1)))*22.0462)*(L708/16.67),""))</f>
        <v>4185.3394805038997</v>
      </c>
      <c r="X708" s="55" t="s">
        <v>39</v>
      </c>
      <c r="Y708" s="13" t="str">
        <f>IF($AX708="Cancelled","",IF(X708="","",IFERROR(IF(INDEX(Variables!$B$38:$B$47,MATCH(X708,Variables!$A$38:$A$47,0))="Yes","Yes","No"),"No")))</f>
        <v>No</v>
      </c>
      <c r="Z708" s="31"/>
      <c r="AB708" s="31">
        <v>46036.875</v>
      </c>
      <c r="AC708" s="13" t="str">
        <f t="shared" si="34"/>
        <v>Approved</v>
      </c>
      <c r="AF708" s="71">
        <v>46076</v>
      </c>
      <c r="AG708" s="31">
        <f>IF($AX708="Cancelled","",IFERROR(IF(F708="","",F708-Variables!$B$13),""))</f>
        <v>46066</v>
      </c>
      <c r="AH708" s="13">
        <f>IF($AX708="Cancelled","",IFERROR(IF(AB708="","",(AVERAGE(E708:F708)-AB708)-Variables!$B$14),""))</f>
        <v>0.625</v>
      </c>
      <c r="AJ708" s="47">
        <v>46081</v>
      </c>
      <c r="AK708" s="14">
        <f>IF($AX708="Cancelled","",IFERROR(IF(AJ708="","",IF(AND(AB708="",AF708=""),"",IF(AF708&gt;AB708,AF708+Variables!$B$15+Variables!$B$16+Variables!$B$17-AJ708,AB708+Variables!$B$16+Variables!$B$17-AJ708))),""))</f>
        <v>10</v>
      </c>
      <c r="AL708" s="48" t="s">
        <v>114</v>
      </c>
      <c r="AM708" s="13" t="s">
        <v>1526</v>
      </c>
      <c r="AN708" s="13" t="s">
        <v>1527</v>
      </c>
      <c r="AP708" s="31" t="e">
        <v>#N/A</v>
      </c>
      <c r="AR708" s="13" t="s">
        <v>1902</v>
      </c>
      <c r="AS708" s="31">
        <v>46093</v>
      </c>
      <c r="AU708" s="31">
        <v>46113</v>
      </c>
      <c r="AV708" s="13" t="s">
        <v>865</v>
      </c>
      <c r="AW708" s="31">
        <v>46129</v>
      </c>
      <c r="AX708" s="13" t="str">
        <f>IF(ISNUMBER(SEARCH("cancel",#REF!)),"Cancelled",IF(AND(AS708&lt;&gt;"",AU708&lt;&gt;"",AW708&lt;&gt;""),"Closed","Open"))</f>
        <v>Closed</v>
      </c>
      <c r="AY708" s="15" t="str">
        <f t="shared" si="33"/>
        <v>All dates received</v>
      </c>
      <c r="BD708" s="13">
        <f>IF($AX708="Cancelled","",IFERROR(IF(OR(AS708="",AJ708=""),"",(AJ708+Variables!$B$18-AS708)),""))</f>
        <v>3</v>
      </c>
      <c r="BE708" s="13">
        <f>IF($AX708="Cancelled","",IFERROR(IF(OR(AW708="",AS708=""),"",(AS708+Variables!$B$19)-AW708),""))</f>
        <v>-31</v>
      </c>
      <c r="BF708" s="44">
        <f>IF($AX708="Cancelled","",IFERROR(W708*INDEX(Variables!$B$7:$D$7,IFERROR(MATCH(IF($B708="Robusta","Robusta",(IF($B708="","Arabica",$B708))&amp;" - "&amp;(IF($C708="","Commercial",$C708))),Variables!$B$1:$D$1,0),1))*(BE708/365),""))</f>
        <v>-22.921306358745767</v>
      </c>
      <c r="BG708" s="44">
        <f>IF($AX708="Cancelled","",IFERROR((W708*INDEX(Variables!$B$7:$D$7,IFERROR(MATCH(IF($B708="Robusta","Robusta",(IF($B708="","Arabica",$B708))&amp;" - "&amp;(IF($C708="","Commercial",$C708))),Variables!$B$1:$D$1,0),1))*IFERROR(IF(AB708="","",(AVERAGE(E708:F708)-AB708)-Variables!$B$14),"")/365)+(L708/16.67*INDEX(Variables!$B$8:$D$8,IFERROR(MATCH(IF($B708="Robusta","Robusta",(IF($B708="","Arabica",$B708))&amp;" - "&amp;(IF($C708="","Commercial",$C708))),Variables!$B$1:$D$1,0),1))*IFERROR(IF(AB708="","",(AVERAGE(E708:F708)-AB708)-Variables!$B$14),""))+(W708*INDEX(Variables!$B$9:$D$9,IFERROR(MATCH(IF($B708="Robusta","Robusta",(IF($B708="","Arabica",$B708))&amp;" - "&amp;(IF($C708="","Commercial",$C708))),Variables!$B$1:$D$1,0),1))*IFERROR(IF(AB708="","",(AVERAGE(E708:F708)-AB708)-Variables!$B$14),"")/365),""))</f>
        <v>0.68683077082173194</v>
      </c>
      <c r="BH708" s="44">
        <f>IF($AX708="Cancelled","",IFERROR((W708*INDEX(Variables!$B$7:$D$7,IFERROR(MATCH(IF($B708="Robusta","Robusta",(IF($B708="","Arabica",$B708))&amp;" - "&amp;(IF($C708="","Commercial",$C708))),Variables!$B$1:$D$1,0),1))*AK708/365)+(L708/16.67*INDEX(Variables!$B$8:$D$8,IFERROR(MATCH(IF($B708="Robusta","Robusta",(IF($B708="","Arabica",$B708))&amp;" - "&amp;(IF($C708="","Commercial",$C708))),Variables!$B$1:$D$1,0),1))*AK708)+(W708*INDEX(Variables!$B$9:$D$9,IFERROR(MATCH(IF($B708="Robusta","Robusta",(IF($B708="","Arabica",$B708))&amp;" - "&amp;(IF($C708="","Commercial",$C708))),Variables!$B$1:$D$1,0),1))*AK708/365),""))</f>
        <v>10.989292333147711</v>
      </c>
      <c r="BI708" s="44">
        <f>IF($AX708="Cancelled","",IFERROR((W708*INDEX(Variables!$B$7:$D$7,IFERROR(MATCH(IF($B708="Robusta","Robusta",(IF($B708="","Arabica",$B708))&amp;" - "&amp;(IF($C708="","Commercial",$C708))),Variables!$B$1:$D$1,0),1))*BD708/365)+(L708/16.67*INDEX(Variables!$B$8:$D$8,IFERROR(MATCH(IF($B708="Robusta","Robusta",(IF($B708="","Arabica",$B708))&amp;" - "&amp;(IF($C708="","Commercial",$C708))),Variables!$B$1:$D$1,0),1))*BD708)+(W708*INDEX(Variables!$B$9:$D$9,IFERROR(MATCH(IF($B708="Robusta","Robusta",(IF($B708="","Arabica",$B708))&amp;" - "&amp;(IF($C708="","Commercial",$C708))),Variables!$B$1:$D$1,0),1))*BD708/365),""))</f>
        <v>3.2967876999443133</v>
      </c>
      <c r="BJ708" s="44">
        <f t="shared" si="35"/>
        <v>-12</v>
      </c>
      <c r="BK708" s="44">
        <f>IF($AX708="Cancelled","",IFERROR(IF(BJ708="","",(W708*INDEX(Variables!$B$7:$D$7,IFERROR(MATCH(IF($B708="Robusta","Robusta",(IF($B708="","Arabica",$B708))&amp;" - "&amp;(IF($C708="","Commercial",$C708))),Variables!$B$1:$D$1,0),1))*(BJ708/365))+(W708*INDEX(Variables!$B$9:$D$9,IFERROR(MATCH(IF($B708="Robusta","Robusta",(IF($B708="","Arabica",$B708))&amp;" - "&amp;(IF($C708="","Commercial",$C708))),Variables!$B$1:$D$1,0),1))*(BJ708/365))+(INDEX(Variables!$B$8:$D$8,IFERROR(MATCH(IF($B708="Robusta","Robusta",(IF($B708="","Arabica",$B708))&amp;" - "&amp;(IF($C708="","Commercial",$C708))),Variables!$B$1:$D$1,0),1))*L708/16.67)),""))</f>
        <v>-8.6371507997772525</v>
      </c>
    </row>
    <row r="709" spans="1:63">
      <c r="A709" s="13" t="s">
        <v>103</v>
      </c>
      <c r="B709" s="13" t="s">
        <v>104</v>
      </c>
      <c r="C709" s="13" t="s">
        <v>292</v>
      </c>
      <c r="D709" s="31">
        <v>46045</v>
      </c>
      <c r="E709" s="31">
        <v>46054</v>
      </c>
      <c r="F709" s="31">
        <v>46081</v>
      </c>
      <c r="G709" s="13">
        <v>3787150</v>
      </c>
      <c r="J709" s="13" t="s">
        <v>1641</v>
      </c>
      <c r="K709" s="13" t="s">
        <v>1919</v>
      </c>
      <c r="L709" s="13">
        <v>20</v>
      </c>
      <c r="M709" s="13">
        <v>0</v>
      </c>
      <c r="N709" s="13" t="s">
        <v>1920</v>
      </c>
      <c r="O709" s="13" t="s">
        <v>775</v>
      </c>
      <c r="P709" s="13">
        <v>10030</v>
      </c>
      <c r="R709" s="13" t="s">
        <v>384</v>
      </c>
      <c r="S709" s="13" t="s">
        <v>776</v>
      </c>
      <c r="T709" s="13" t="s">
        <v>777</v>
      </c>
      <c r="U709" s="13" t="s">
        <v>125</v>
      </c>
      <c r="V709" s="13">
        <v>164.3</v>
      </c>
      <c r="W709" s="44">
        <f>IF($AX709="Cancelled","",IFERROR(((V709+INDEX(Variables!$B$6:$D$6,IFERROR(MATCH(IF($B709="Robusta","Robusta",(IF($B709="","Arabica",$B709))&amp;" - "&amp;(IF($C709="","Commercial",$C709))),Variables!$B$1:$D$1,0),1)))*22.0462)*(L709/16.67),""))</f>
        <v>12037.463251349727</v>
      </c>
      <c r="X709" s="55" t="s">
        <v>39</v>
      </c>
      <c r="Y709" s="13" t="str">
        <f>IF($AX709="Cancelled","",IF(X709="","",IFERROR(IF(INDEX(Variables!$B$38:$B$47,MATCH(X709,Variables!$A$38:$A$47,0))="Yes","Yes","No"),"No")))</f>
        <v>No</v>
      </c>
      <c r="Z709" s="31"/>
      <c r="AB709" s="31">
        <v>46036.875</v>
      </c>
      <c r="AC709" s="13" t="str">
        <f t="shared" si="34"/>
        <v>Approved</v>
      </c>
      <c r="AF709" s="71">
        <v>46076</v>
      </c>
      <c r="AG709" s="31">
        <f>IF($AX709="Cancelled","",IFERROR(IF(F709="","",F709-Variables!$B$13),""))</f>
        <v>46066</v>
      </c>
      <c r="AH709" s="13">
        <f>IF($AX709="Cancelled","",IFERROR(IF(AB709="","",(AVERAGE(E709:F709)-AB709)-Variables!$B$14),""))</f>
        <v>0.625</v>
      </c>
      <c r="AJ709" s="47">
        <v>46081</v>
      </c>
      <c r="AK709" s="14">
        <f>IF($AX709="Cancelled","",IFERROR(IF(AJ709="","",IF(AND(AB709="",AF709=""),"",IF(AF709&gt;AB709,AF709+Variables!$B$15+Variables!$B$16+Variables!$B$17-AJ709,AB709+Variables!$B$16+Variables!$B$17-AJ709))),""))</f>
        <v>10</v>
      </c>
      <c r="AL709" s="48" t="s">
        <v>114</v>
      </c>
      <c r="AM709" s="13" t="s">
        <v>1526</v>
      </c>
      <c r="AN709" s="13" t="s">
        <v>1527</v>
      </c>
      <c r="AP709" s="31" t="e">
        <v>#N/A</v>
      </c>
      <c r="AR709" s="13" t="s">
        <v>1902</v>
      </c>
      <c r="AS709" s="31">
        <v>46093</v>
      </c>
      <c r="AU709" s="31">
        <v>46113</v>
      </c>
      <c r="AV709" s="13" t="s">
        <v>865</v>
      </c>
      <c r="AW709" s="31">
        <v>46129</v>
      </c>
      <c r="AX709" s="13" t="str">
        <f>IF(ISNUMBER(SEARCH("cancel",#REF!)),"Cancelled",IF(AND(AS709&lt;&gt;"",AU709&lt;&gt;"",AW709&lt;&gt;""),"Closed","Open"))</f>
        <v>Closed</v>
      </c>
      <c r="AY709" s="15" t="str">
        <f t="shared" si="33"/>
        <v>All dates received</v>
      </c>
      <c r="BD709" s="13">
        <f>IF($AX709="Cancelled","",IFERROR(IF(OR(AS709="",AJ709=""),"",(AJ709+Variables!$B$18-AS709)),""))</f>
        <v>3</v>
      </c>
      <c r="BE709" s="13">
        <f>IF($AX709="Cancelled","",IFERROR(IF(OR(AW709="",AS709=""),"",(AS709+Variables!$B$19)-AW709),""))</f>
        <v>-31</v>
      </c>
      <c r="BF709" s="44">
        <f>IF($AX709="Cancelled","",IFERROR(W709*INDEX(Variables!$B$7:$D$7,IFERROR(MATCH(IF($B709="Robusta","Robusta",(IF($B709="","Arabica",$B709))&amp;" - "&amp;(IF($C709="","Commercial",$C709))),Variables!$B$1:$D$1,0),1))*(BE709/365),""))</f>
        <v>-65.924015065347078</v>
      </c>
      <c r="BG709" s="44">
        <f>IF($AX709="Cancelled","",IFERROR((W709*INDEX(Variables!$B$7:$D$7,IFERROR(MATCH(IF($B709="Robusta","Robusta",(IF($B709="","Arabica",$B709))&amp;" - "&amp;(IF($C709="","Commercial",$C709))),Variables!$B$1:$D$1,0),1))*IFERROR(IF(AB709="","",(AVERAGE(E709:F709)-AB709)-Variables!$B$14),"")/365)+(L709/16.67*INDEX(Variables!$B$8:$D$8,IFERROR(MATCH(IF($B709="Robusta","Robusta",(IF($B709="","Arabica",$B709))&amp;" - "&amp;(IF($C709="","Commercial",$C709))),Variables!$B$1:$D$1,0),1))*IFERROR(IF(AB709="","",(AVERAGE(E709:F709)-AB709)-Variables!$B$14),""))+(W709*INDEX(Variables!$B$9:$D$9,IFERROR(MATCH(IF($B709="Robusta","Robusta",(IF($B709="","Arabica",$B709))&amp;" - "&amp;(IF($C709="","Commercial",$C709))),Variables!$B$1:$D$1,0),1))*IFERROR(IF(AB709="","",(AVERAGE(E709:F709)-AB709)-Variables!$B$14),"")/365),""))</f>
        <v>1.9712480412106685</v>
      </c>
      <c r="BH709" s="44">
        <f>IF($AX709="Cancelled","",IFERROR((W709*INDEX(Variables!$B$7:$D$7,IFERROR(MATCH(IF($B709="Robusta","Robusta",(IF($B709="","Arabica",$B709))&amp;" - "&amp;(IF($C709="","Commercial",$C709))),Variables!$B$1:$D$1,0),1))*AK709/365)+(L709/16.67*INDEX(Variables!$B$8:$D$8,IFERROR(MATCH(IF($B709="Robusta","Robusta",(IF($B709="","Arabica",$B709))&amp;" - "&amp;(IF($C709="","Commercial",$C709))),Variables!$B$1:$D$1,0),1))*AK709)+(W709*INDEX(Variables!$B$9:$D$9,IFERROR(MATCH(IF($B709="Robusta","Robusta",(IF($B709="","Arabica",$B709))&amp;" - "&amp;(IF($C709="","Commercial",$C709))),Variables!$B$1:$D$1,0),1))*AK709/365),""))</f>
        <v>31.539968659370697</v>
      </c>
      <c r="BI709" s="44">
        <f>IF($AX709="Cancelled","",IFERROR((W709*INDEX(Variables!$B$7:$D$7,IFERROR(MATCH(IF($B709="Robusta","Robusta",(IF($B709="","Arabica",$B709))&amp;" - "&amp;(IF($C709="","Commercial",$C709))),Variables!$B$1:$D$1,0),1))*BD709/365)+(L709/16.67*INDEX(Variables!$B$8:$D$8,IFERROR(MATCH(IF($B709="Robusta","Robusta",(IF($B709="","Arabica",$B709))&amp;" - "&amp;(IF($C709="","Commercial",$C709))),Variables!$B$1:$D$1,0),1))*BD709)+(W709*INDEX(Variables!$B$9:$D$9,IFERROR(MATCH(IF($B709="Robusta","Robusta",(IF($B709="","Arabica",$B709))&amp;" - "&amp;(IF($C709="","Commercial",$C709))),Variables!$B$1:$D$1,0),1))*BD709/365),""))</f>
        <v>9.4619905978112087</v>
      </c>
      <c r="BJ709" s="44">
        <f t="shared" si="35"/>
        <v>-12</v>
      </c>
      <c r="BK709" s="44">
        <f>IF($AX709="Cancelled","",IFERROR(IF(BJ709="","",(W709*INDEX(Variables!$B$7:$D$7,IFERROR(MATCH(IF($B709="Robusta","Robusta",(IF($B709="","Arabica",$B709))&amp;" - "&amp;(IF($C709="","Commercial",$C709))),Variables!$B$1:$D$1,0),1))*(BJ709/365))+(W709*INDEX(Variables!$B$9:$D$9,IFERROR(MATCH(IF($B709="Robusta","Robusta",(IF($B709="","Arabica",$B709))&amp;" - "&amp;(IF($C709="","Commercial",$C709))),Variables!$B$1:$D$1,0),1))*(BJ709/365))+(INDEX(Variables!$B$8:$D$8,IFERROR(MATCH(IF($B709="Robusta","Robusta",(IF($B709="","Arabica",$B709))&amp;" - "&amp;(IF($C709="","Commercial",$C709))),Variables!$B$1:$D$1,0),1))*L709/16.67)),""))</f>
        <v>-24.847962391244835</v>
      </c>
    </row>
    <row r="710" spans="1:63">
      <c r="A710" s="13" t="s">
        <v>103</v>
      </c>
      <c r="B710" s="13" t="s">
        <v>104</v>
      </c>
      <c r="C710" s="13" t="s">
        <v>292</v>
      </c>
      <c r="D710" s="31">
        <v>46045</v>
      </c>
      <c r="E710" s="31">
        <v>46054</v>
      </c>
      <c r="F710" s="31">
        <v>46081</v>
      </c>
      <c r="G710" s="13">
        <v>3787151</v>
      </c>
      <c r="J710" s="13" t="s">
        <v>1641</v>
      </c>
      <c r="K710" s="13" t="s">
        <v>1921</v>
      </c>
      <c r="L710" s="13">
        <v>15</v>
      </c>
      <c r="M710" s="13">
        <v>0</v>
      </c>
      <c r="N710" s="13" t="s">
        <v>1922</v>
      </c>
      <c r="O710" s="13" t="s">
        <v>775</v>
      </c>
      <c r="P710" s="13">
        <v>10030</v>
      </c>
      <c r="R710" s="13" t="s">
        <v>384</v>
      </c>
      <c r="S710" s="13" t="s">
        <v>776</v>
      </c>
      <c r="T710" s="13" t="s">
        <v>777</v>
      </c>
      <c r="U710" s="13" t="s">
        <v>125</v>
      </c>
      <c r="V710" s="13">
        <v>126.3</v>
      </c>
      <c r="W710" s="44">
        <f>IF($AX710="Cancelled","",IFERROR(((V710+INDEX(Variables!$B$6:$D$6,IFERROR(MATCH(IF($B710="Robusta","Robusta",(IF($B710="","Arabica",$B710))&amp;" - "&amp;(IF($C710="","Commercial",$C710))),Variables!$B$1:$D$1,0),1)))*22.0462)*(L710/16.67),""))</f>
        <v>8274.2681643671258</v>
      </c>
      <c r="X710" s="55" t="s">
        <v>39</v>
      </c>
      <c r="Y710" s="13" t="str">
        <f>IF($AX710="Cancelled","",IF(X710="","",IFERROR(IF(INDEX(Variables!$B$38:$B$47,MATCH(X710,Variables!$A$38:$A$47,0))="Yes","Yes","No"),"No")))</f>
        <v>No</v>
      </c>
      <c r="Z710" s="31"/>
      <c r="AB710" s="31">
        <v>46036.875</v>
      </c>
      <c r="AC710" s="13" t="str">
        <f t="shared" si="34"/>
        <v>Approved</v>
      </c>
      <c r="AF710" s="71">
        <v>46076</v>
      </c>
      <c r="AG710" s="31">
        <f>IF($AX710="Cancelled","",IFERROR(IF(F710="","",F710-Variables!$B$13),""))</f>
        <v>46066</v>
      </c>
      <c r="AH710" s="13">
        <f>IF($AX710="Cancelled","",IFERROR(IF(AB710="","",(AVERAGE(E710:F710)-AB710)-Variables!$B$14),""))</f>
        <v>0.625</v>
      </c>
      <c r="AJ710" s="47">
        <v>46081</v>
      </c>
      <c r="AK710" s="14">
        <f>IF($AX710="Cancelled","",IFERROR(IF(AJ710="","",IF(AND(AB710="",AF710=""),"",IF(AF710&gt;AB710,AF710+Variables!$B$15+Variables!$B$16+Variables!$B$17-AJ710,AB710+Variables!$B$16+Variables!$B$17-AJ710))),""))</f>
        <v>10</v>
      </c>
      <c r="AL710" s="48" t="s">
        <v>114</v>
      </c>
      <c r="AM710" s="13" t="s">
        <v>1526</v>
      </c>
      <c r="AN710" s="13" t="s">
        <v>1527</v>
      </c>
      <c r="AP710" s="31" t="e">
        <v>#N/A</v>
      </c>
      <c r="AR710" s="13" t="s">
        <v>1902</v>
      </c>
      <c r="AS710" s="31">
        <v>46093</v>
      </c>
      <c r="AU710" s="31">
        <v>46113</v>
      </c>
      <c r="AV710" s="13" t="s">
        <v>865</v>
      </c>
      <c r="AW710" s="31">
        <v>46129</v>
      </c>
      <c r="AX710" s="13" t="str">
        <f>IF(ISNUMBER(SEARCH("cancel",#REF!)),"Cancelled",IF(AND(AS710&lt;&gt;"",AU710&lt;&gt;"",AW710&lt;&gt;""),"Closed","Open"))</f>
        <v>Closed</v>
      </c>
      <c r="AY710" s="15" t="str">
        <f t="shared" si="33"/>
        <v>All dates received</v>
      </c>
      <c r="BD710" s="13">
        <f>IF($AX710="Cancelled","",IFERROR(IF(OR(AS710="",AJ710=""),"",(AJ710+Variables!$B$18-AS710)),""))</f>
        <v>3</v>
      </c>
      <c r="BE710" s="13">
        <f>IF($AX710="Cancelled","",IFERROR(IF(OR(AW710="",AS710=""),"",(AS710+Variables!$B$19)-AW710),""))</f>
        <v>-31</v>
      </c>
      <c r="BF710" s="44">
        <f>IF($AX710="Cancelled","",IFERROR(W710*INDEX(Variables!$B$7:$D$7,IFERROR(MATCH(IF($B710="Robusta","Robusta",(IF($B710="","Arabica",$B710))&amp;" - "&amp;(IF($C710="","Commercial",$C710))),Variables!$B$1:$D$1,0),1))*(BE710/365),""))</f>
        <v>-45.314612201312251</v>
      </c>
      <c r="BG710" s="44">
        <f>IF($AX710="Cancelled","",IFERROR((W710*INDEX(Variables!$B$7:$D$7,IFERROR(MATCH(IF($B710="Robusta","Robusta",(IF($B710="","Arabica",$B710))&amp;" - "&amp;(IF($C710="","Commercial",$C710))),Variables!$B$1:$D$1,0),1))*IFERROR(IF(AB710="","",(AVERAGE(E710:F710)-AB710)-Variables!$B$14),"")/365)+(L710/16.67*INDEX(Variables!$B$8:$D$8,IFERROR(MATCH(IF($B710="Robusta","Robusta",(IF($B710="","Arabica",$B710))&amp;" - "&amp;(IF($C710="","Commercial",$C710))),Variables!$B$1:$D$1,0),1))*IFERROR(IF(AB710="","",(AVERAGE(E710:F710)-AB710)-Variables!$B$14),""))+(W710*INDEX(Variables!$B$9:$D$9,IFERROR(MATCH(IF($B710="Robusta","Robusta",(IF($B710="","Arabica",$B710))&amp;" - "&amp;(IF($C710="","Commercial",$C710))),Variables!$B$1:$D$1,0),1))*IFERROR(IF(AB710="","",(AVERAGE(E710:F710)-AB710)-Variables!$B$14),"")/365),""))</f>
        <v>1.3941291331393704</v>
      </c>
      <c r="BH710" s="44">
        <f>IF($AX710="Cancelled","",IFERROR((W710*INDEX(Variables!$B$7:$D$7,IFERROR(MATCH(IF($B710="Robusta","Robusta",(IF($B710="","Arabica",$B710))&amp;" - "&amp;(IF($C710="","Commercial",$C710))),Variables!$B$1:$D$1,0),1))*AK710/365)+(L710/16.67*INDEX(Variables!$B$8:$D$8,IFERROR(MATCH(IF($B710="Robusta","Robusta",(IF($B710="","Arabica",$B710))&amp;" - "&amp;(IF($C710="","Commercial",$C710))),Variables!$B$1:$D$1,0),1))*AK710)+(W710*INDEX(Variables!$B$9:$D$9,IFERROR(MATCH(IF($B710="Robusta","Robusta",(IF($B710="","Arabica",$B710))&amp;" - "&amp;(IF($C710="","Commercial",$C710))),Variables!$B$1:$D$1,0),1))*AK710/365),""))</f>
        <v>22.306066130229926</v>
      </c>
      <c r="BI710" s="44">
        <f>IF($AX710="Cancelled","",IFERROR((W710*INDEX(Variables!$B$7:$D$7,IFERROR(MATCH(IF($B710="Robusta","Robusta",(IF($B710="","Arabica",$B710))&amp;" - "&amp;(IF($C710="","Commercial",$C710))),Variables!$B$1:$D$1,0),1))*BD710/365)+(L710/16.67*INDEX(Variables!$B$8:$D$8,IFERROR(MATCH(IF($B710="Robusta","Robusta",(IF($B710="","Arabica",$B710))&amp;" - "&amp;(IF($C710="","Commercial",$C710))),Variables!$B$1:$D$1,0),1))*BD710)+(W710*INDEX(Variables!$B$9:$D$9,IFERROR(MATCH(IF($B710="Robusta","Robusta",(IF($B710="","Arabica",$B710))&amp;" - "&amp;(IF($C710="","Commercial",$C710))),Variables!$B$1:$D$1,0),1))*BD710/365),""))</f>
        <v>6.6918198390689785</v>
      </c>
      <c r="BJ710" s="44">
        <f t="shared" si="35"/>
        <v>-12</v>
      </c>
      <c r="BK710" s="44">
        <f>IF($AX710="Cancelled","",IFERROR(IF(BJ710="","",(W710*INDEX(Variables!$B$7:$D$7,IFERROR(MATCH(IF($B710="Robusta","Robusta",(IF($B710="","Arabica",$B710))&amp;" - "&amp;(IF($C710="","Commercial",$C710))),Variables!$B$1:$D$1,0),1))*(BJ710/365))+(W710*INDEX(Variables!$B$9:$D$9,IFERROR(MATCH(IF($B710="Robusta","Robusta",(IF($B710="","Arabica",$B710))&amp;" - "&amp;(IF($C710="","Commercial",$C710))),Variables!$B$1:$D$1,0),1))*(BJ710/365))+(INDEX(Variables!$B$8:$D$8,IFERROR(MATCH(IF($B710="Robusta","Robusta",(IF($B710="","Arabica",$B710))&amp;" - "&amp;(IF($C710="","Commercial",$C710))),Variables!$B$1:$D$1,0),1))*L710/16.67)),""))</f>
        <v>-17.01727935627591</v>
      </c>
    </row>
    <row r="711" spans="1:63">
      <c r="A711" s="13" t="s">
        <v>103</v>
      </c>
      <c r="B711" s="13" t="s">
        <v>104</v>
      </c>
      <c r="C711" s="13" t="s">
        <v>292</v>
      </c>
      <c r="D711" s="31">
        <v>46045</v>
      </c>
      <c r="E711" s="31">
        <v>46054</v>
      </c>
      <c r="F711" s="31">
        <v>46081</v>
      </c>
      <c r="G711" s="13">
        <v>3787152</v>
      </c>
      <c r="J711" s="13" t="s">
        <v>1641</v>
      </c>
      <c r="K711" s="13" t="s">
        <v>1923</v>
      </c>
      <c r="L711" s="13">
        <v>133</v>
      </c>
      <c r="M711" s="13">
        <v>1</v>
      </c>
      <c r="N711" s="13" t="s">
        <v>1924</v>
      </c>
      <c r="O711" s="13" t="s">
        <v>120</v>
      </c>
      <c r="P711" s="13">
        <v>10070</v>
      </c>
      <c r="R711" s="13" t="s">
        <v>239</v>
      </c>
      <c r="S711" s="13" t="s">
        <v>776</v>
      </c>
      <c r="T711" s="13" t="s">
        <v>777</v>
      </c>
      <c r="U711" s="13" t="s">
        <v>125</v>
      </c>
      <c r="V711" s="13">
        <v>42.3</v>
      </c>
      <c r="W711" s="44">
        <f>IF($AX711="Cancelled","",IFERROR(((V711+INDEX(Variables!$B$6:$D$6,IFERROR(MATCH(IF($B711="Robusta","Robusta",(IF($B711="","Arabica",$B711))&amp;" - "&amp;(IF($C711="","Commercial",$C711))),Variables!$B$1:$D$1,0),1)))*22.0462)*(L711/16.67),""))</f>
        <v>58590.12395080983</v>
      </c>
      <c r="X711" s="55" t="s">
        <v>39</v>
      </c>
      <c r="Y711" s="13" t="str">
        <f>IF($AX711="Cancelled","",IF(X711="","",IFERROR(IF(INDEX(Variables!$B$38:$B$47,MATCH(X711,Variables!$A$38:$A$47,0))="Yes","Yes","No"),"No")))</f>
        <v>No</v>
      </c>
      <c r="Z711" s="31"/>
      <c r="AB711" s="31">
        <v>46036.875</v>
      </c>
      <c r="AC711" s="13" t="str">
        <f t="shared" si="34"/>
        <v>Approved</v>
      </c>
      <c r="AF711" s="71">
        <v>46093</v>
      </c>
      <c r="AG711" s="31">
        <f>IF($AX711="Cancelled","",IFERROR(IF(F711="","",F711-Variables!$B$13),""))</f>
        <v>46066</v>
      </c>
      <c r="AH711" s="13">
        <f>IF($AX711="Cancelled","",IFERROR(IF(AB711="","",(AVERAGE(E711:F711)-AB711)-Variables!$B$14),""))</f>
        <v>0.625</v>
      </c>
      <c r="AJ711" s="47">
        <v>46095</v>
      </c>
      <c r="AK711" s="14">
        <f>IF($AX711="Cancelled","",IFERROR(IF(AJ711="","",IF(AND(AB711="",AF711=""),"",IF(AF711&gt;AB711,AF711+Variables!$B$15+Variables!$B$16+Variables!$B$17-AJ711,AB711+Variables!$B$16+Variables!$B$17-AJ711))),""))</f>
        <v>13</v>
      </c>
      <c r="AL711" s="48" t="s">
        <v>114</v>
      </c>
      <c r="AM711" s="13" t="s">
        <v>1526</v>
      </c>
      <c r="AN711" s="13" t="s">
        <v>1925</v>
      </c>
      <c r="AP711" s="31" t="e">
        <v>#N/A</v>
      </c>
      <c r="AR711" s="13" t="s">
        <v>1926</v>
      </c>
      <c r="AS711" s="31">
        <v>46117</v>
      </c>
      <c r="AU711" s="31">
        <v>46128</v>
      </c>
      <c r="AV711" s="13" t="s">
        <v>865</v>
      </c>
      <c r="AW711" s="31">
        <v>46142</v>
      </c>
      <c r="AX711" s="13" t="str">
        <f>IF(ISNUMBER(SEARCH("cancel",#REF!)),"Cancelled",IF(AND(AS711&lt;&gt;"",AU711&lt;&gt;"",AW711&lt;&gt;""),"Closed","Open"))</f>
        <v>Closed</v>
      </c>
      <c r="AY711" s="15" t="str">
        <f t="shared" si="33"/>
        <v>All dates received</v>
      </c>
      <c r="BD711" s="13">
        <f>IF($AX711="Cancelled","",IFERROR(IF(OR(AS711="",AJ711=""),"",(AJ711+Variables!$B$18-AS711)),""))</f>
        <v>-7</v>
      </c>
      <c r="BE711" s="13">
        <f>IF($AX711="Cancelled","",IFERROR(IF(OR(AW711="",AS711=""),"",(AS711+Variables!$B$19)-AW711),""))</f>
        <v>-20</v>
      </c>
      <c r="BF711" s="44">
        <f>IF($AX711="Cancelled","",IFERROR(W711*INDEX(Variables!$B$7:$D$7,IFERROR(MATCH(IF($B711="Robusta","Robusta",(IF($B711="","Arabica",$B711))&amp;" - "&amp;(IF($C711="","Commercial",$C711))),Variables!$B$1:$D$1,0),1))*(BE711/365),""))</f>
        <v>-207.01479948607724</v>
      </c>
      <c r="BG711" s="44">
        <f>IF($AX711="Cancelled","",IFERROR((W711*INDEX(Variables!$B$7:$D$7,IFERROR(MATCH(IF($B711="Robusta","Robusta",(IF($B711="","Arabica",$B711))&amp;" - "&amp;(IF($C711="","Commercial",$C711))),Variables!$B$1:$D$1,0),1))*IFERROR(IF(AB711="","",(AVERAGE(E711:F711)-AB711)-Variables!$B$14),"")/365)+(L711/16.67*INDEX(Variables!$B$8:$D$8,IFERROR(MATCH(IF($B711="Robusta","Robusta",(IF($B711="","Arabica",$B711))&amp;" - "&amp;(IF($C711="","Commercial",$C711))),Variables!$B$1:$D$1,0),1))*IFERROR(IF(AB711="","",(AVERAGE(E711:F711)-AB711)-Variables!$B$14),""))+(W711*INDEX(Variables!$B$9:$D$9,IFERROR(MATCH(IF($B711="Robusta","Robusta",(IF($B711="","Arabica",$B711))&amp;" - "&amp;(IF($C711="","Commercial",$C711))),Variables!$B$1:$D$1,0),1))*IFERROR(IF(AB711="","",(AVERAGE(E711:F711)-AB711)-Variables!$B$14),"")/365),""))</f>
        <v>10.708863117570578</v>
      </c>
      <c r="BH711" s="44">
        <f>IF($AX711="Cancelled","",IFERROR((W711*INDEX(Variables!$B$7:$D$7,IFERROR(MATCH(IF($B711="Robusta","Robusta",(IF($B711="","Arabica",$B711))&amp;" - "&amp;(IF($C711="","Commercial",$C711))),Variables!$B$1:$D$1,0),1))*AK711/365)+(L711/16.67*INDEX(Variables!$B$8:$D$8,IFERROR(MATCH(IF($B711="Robusta","Robusta",(IF($B711="","Arabica",$B711))&amp;" - "&amp;(IF($C711="","Commercial",$C711))),Variables!$B$1:$D$1,0),1))*AK711)+(W711*INDEX(Variables!$B$9:$D$9,IFERROR(MATCH(IF($B711="Robusta","Robusta",(IF($B711="","Arabica",$B711))&amp;" - "&amp;(IF($C711="","Commercial",$C711))),Variables!$B$1:$D$1,0),1))*AK711/365),""))</f>
        <v>222.74435284546803</v>
      </c>
      <c r="BI711" s="44">
        <f>IF($AX711="Cancelled","",IFERROR((W711*INDEX(Variables!$B$7:$D$7,IFERROR(MATCH(IF($B711="Robusta","Robusta",(IF($B711="","Arabica",$B711))&amp;" - "&amp;(IF($C711="","Commercial",$C711))),Variables!$B$1:$D$1,0),1))*BD711/365)+(L711/16.67*INDEX(Variables!$B$8:$D$8,IFERROR(MATCH(IF($B711="Robusta","Robusta",(IF($B711="","Arabica",$B711))&amp;" - "&amp;(IF($C711="","Commercial",$C711))),Variables!$B$1:$D$1,0),1))*BD711)+(W711*INDEX(Variables!$B$9:$D$9,IFERROR(MATCH(IF($B711="Robusta","Robusta",(IF($B711="","Arabica",$B711))&amp;" - "&amp;(IF($C711="","Commercial",$C711))),Variables!$B$1:$D$1,0),1))*BD711/365),""))</f>
        <v>-119.93926691679049</v>
      </c>
      <c r="BJ711" s="44">
        <f t="shared" si="35"/>
        <v>-36</v>
      </c>
      <c r="BK711" s="44">
        <f>IF($AX711="Cancelled","",IFERROR(IF(BJ711="","",(W711*INDEX(Variables!$B$7:$D$7,IFERROR(MATCH(IF($B711="Robusta","Robusta",(IF($B711="","Arabica",$B711))&amp;" - "&amp;(IF($C711="","Commercial",$C711))),Variables!$B$1:$D$1,0),1))*(BJ711/365))+(W711*INDEX(Variables!$B$9:$D$9,IFERROR(MATCH(IF($B711="Robusta","Robusta",(IF($B711="","Arabica",$B711))&amp;" - "&amp;(IF($C711="","Commercial",$C711))),Variables!$B$1:$D$1,0),1))*(BJ711/365))+(INDEX(Variables!$B$8:$D$8,IFERROR(MATCH(IF($B711="Robusta","Robusta",(IF($B711="","Arabica",$B711))&amp;" - "&amp;(IF($C711="","Commercial",$C711))),Variables!$B$1:$D$1,0),1))*L711/16.67)),""))</f>
        <v>-370.78051557206533</v>
      </c>
    </row>
    <row r="712" spans="1:63">
      <c r="A712" s="13" t="s">
        <v>103</v>
      </c>
      <c r="B712" s="13" t="s">
        <v>104</v>
      </c>
      <c r="C712" s="13" t="s">
        <v>292</v>
      </c>
      <c r="D712" s="31">
        <v>46045</v>
      </c>
      <c r="E712" s="31">
        <v>46054</v>
      </c>
      <c r="F712" s="31">
        <v>46081</v>
      </c>
      <c r="G712" s="13">
        <v>3787153</v>
      </c>
      <c r="J712" s="13" t="s">
        <v>1641</v>
      </c>
      <c r="K712" s="13" t="s">
        <v>1927</v>
      </c>
      <c r="L712" s="13">
        <v>20</v>
      </c>
      <c r="M712" s="13">
        <v>0</v>
      </c>
      <c r="N712" s="13" t="s">
        <v>1928</v>
      </c>
      <c r="O712" s="13" t="s">
        <v>775</v>
      </c>
      <c r="P712" s="13">
        <v>10030</v>
      </c>
      <c r="R712" s="13" t="s">
        <v>384</v>
      </c>
      <c r="S712" s="13" t="s">
        <v>776</v>
      </c>
      <c r="T712" s="13" t="s">
        <v>777</v>
      </c>
      <c r="U712" s="13" t="s">
        <v>125</v>
      </c>
      <c r="V712" s="13">
        <v>113.3</v>
      </c>
      <c r="W712" s="44">
        <f>IF($AX712="Cancelled","",IFERROR(((V712+INDEX(Variables!$B$6:$D$6,IFERROR(MATCH(IF($B712="Robusta","Robusta",(IF($B712="","Arabica",$B712))&amp;" - "&amp;(IF($C712="","Commercial",$C712))),Variables!$B$1:$D$1,0),1)))*22.0462)*(L712/16.67),""))</f>
        <v>10688.505602879424</v>
      </c>
      <c r="X712" s="55" t="s">
        <v>39</v>
      </c>
      <c r="Y712" s="13" t="str">
        <f>IF($AX712="Cancelled","",IF(X712="","",IFERROR(IF(INDEX(Variables!$B$38:$B$47,MATCH(X712,Variables!$A$38:$A$47,0))="Yes","Yes","No"),"No")))</f>
        <v>No</v>
      </c>
      <c r="Z712" s="31"/>
      <c r="AB712" s="31">
        <v>46036.875</v>
      </c>
      <c r="AC712" s="13" t="str">
        <f t="shared" si="34"/>
        <v>Approved</v>
      </c>
      <c r="AF712" s="71">
        <v>46076</v>
      </c>
      <c r="AG712" s="31">
        <f>IF($AX712="Cancelled","",IFERROR(IF(F712="","",F712-Variables!$B$13),""))</f>
        <v>46066</v>
      </c>
      <c r="AH712" s="13">
        <f>IF($AX712="Cancelled","",IFERROR(IF(AB712="","",(AVERAGE(E712:F712)-AB712)-Variables!$B$14),""))</f>
        <v>0.625</v>
      </c>
      <c r="AJ712" s="47">
        <v>46081</v>
      </c>
      <c r="AK712" s="14">
        <f>IF($AX712="Cancelled","",IFERROR(IF(AJ712="","",IF(AND(AB712="",AF712=""),"",IF(AF712&gt;AB712,AF712+Variables!$B$15+Variables!$B$16+Variables!$B$17-AJ712,AB712+Variables!$B$16+Variables!$B$17-AJ712))),""))</f>
        <v>10</v>
      </c>
      <c r="AL712" s="48" t="s">
        <v>114</v>
      </c>
      <c r="AM712" s="13" t="s">
        <v>1526</v>
      </c>
      <c r="AN712" s="13" t="s">
        <v>1527</v>
      </c>
      <c r="AP712" s="31" t="e">
        <v>#N/A</v>
      </c>
      <c r="AR712" s="13" t="s">
        <v>1902</v>
      </c>
      <c r="AS712" s="31">
        <v>46093</v>
      </c>
      <c r="AU712" s="31">
        <v>46113</v>
      </c>
      <c r="AV712" s="13" t="s">
        <v>865</v>
      </c>
      <c r="AW712" s="31">
        <v>46129</v>
      </c>
      <c r="AX712" s="13" t="str">
        <f>IF(ISNUMBER(SEARCH("cancel",#REF!)),"Cancelled",IF(AND(AS712&lt;&gt;"",AU712&lt;&gt;"",AW712&lt;&gt;""),"Closed","Open"))</f>
        <v>Closed</v>
      </c>
      <c r="AY712" s="15" t="str">
        <f t="shared" si="33"/>
        <v>All dates received</v>
      </c>
      <c r="BD712" s="13">
        <f>IF($AX712="Cancelled","",IFERROR(IF(OR(AS712="",AJ712=""),"",(AJ712+Variables!$B$18-AS712)),""))</f>
        <v>3</v>
      </c>
      <c r="BE712" s="13">
        <f>IF($AX712="Cancelled","",IFERROR(IF(OR(AW712="",AS712=""),"",(AS712+Variables!$B$19)-AW712),""))</f>
        <v>-31</v>
      </c>
      <c r="BF712" s="44">
        <f>IF($AX712="Cancelled","",IFERROR(W712*INDEX(Variables!$B$7:$D$7,IFERROR(MATCH(IF($B712="Robusta","Robusta",(IF($B712="","Arabica",$B712))&amp;" - "&amp;(IF($C712="","Commercial",$C712))),Variables!$B$1:$D$1,0),1))*(BE712/365),""))</f>
        <v>-58.536353522097912</v>
      </c>
      <c r="BG712" s="44">
        <f>IF($AX712="Cancelled","",IFERROR((W712*INDEX(Variables!$B$7:$D$7,IFERROR(MATCH(IF($B712="Robusta","Robusta",(IF($B712="","Arabica",$B712))&amp;" - "&amp;(IF($C712="","Commercial",$C712))),Variables!$B$1:$D$1,0),1))*IFERROR(IF(AB712="","",(AVERAGE(E712:F712)-AB712)-Variables!$B$14),"")/365)+(L712/16.67*INDEX(Variables!$B$8:$D$8,IFERROR(MATCH(IF($B712="Robusta","Robusta",(IF($B712="","Arabica",$B712))&amp;" - "&amp;(IF($C712="","Commercial",$C712))),Variables!$B$1:$D$1,0),1))*IFERROR(IF(AB712="","",(AVERAGE(E712:F712)-AB712)-Variables!$B$14),""))+(W712*INDEX(Variables!$B$9:$D$9,IFERROR(MATCH(IF($B712="Robusta","Robusta",(IF($B712="","Arabica",$B712))&amp;" - "&amp;(IF($C712="","Commercial",$C712))),Variables!$B$1:$D$1,0),1))*IFERROR(IF(AB712="","",(AVERAGE(E712:F712)-AB712)-Variables!$B$14),"")/365),""))</f>
        <v>1.8203830662562761</v>
      </c>
      <c r="BH712" s="44">
        <f>IF($AX712="Cancelled","",IFERROR((W712*INDEX(Variables!$B$7:$D$7,IFERROR(MATCH(IF($B712="Robusta","Robusta",(IF($B712="","Arabica",$B712))&amp;" - "&amp;(IF($C712="","Commercial",$C712))),Variables!$B$1:$D$1,0),1))*AK712/365)+(L712/16.67*INDEX(Variables!$B$8:$D$8,IFERROR(MATCH(IF($B712="Robusta","Robusta",(IF($B712="","Arabica",$B712))&amp;" - "&amp;(IF($C712="","Commercial",$C712))),Variables!$B$1:$D$1,0),1))*AK712)+(W712*INDEX(Variables!$B$9:$D$9,IFERROR(MATCH(IF($B712="Robusta","Robusta",(IF($B712="","Arabica",$B712))&amp;" - "&amp;(IF($C712="","Commercial",$C712))),Variables!$B$1:$D$1,0),1))*AK712/365),""))</f>
        <v>29.126129060100418</v>
      </c>
      <c r="BI712" s="44">
        <f>IF($AX712="Cancelled","",IFERROR((W712*INDEX(Variables!$B$7:$D$7,IFERROR(MATCH(IF($B712="Robusta","Robusta",(IF($B712="","Arabica",$B712))&amp;" - "&amp;(IF($C712="","Commercial",$C712))),Variables!$B$1:$D$1,0),1))*BD712/365)+(L712/16.67*INDEX(Variables!$B$8:$D$8,IFERROR(MATCH(IF($B712="Robusta","Robusta",(IF($B712="","Arabica",$B712))&amp;" - "&amp;(IF($C712="","Commercial",$C712))),Variables!$B$1:$D$1,0),1))*BD712)+(W712*INDEX(Variables!$B$9:$D$9,IFERROR(MATCH(IF($B712="Robusta","Robusta",(IF($B712="","Arabica",$B712))&amp;" - "&amp;(IF($C712="","Commercial",$C712))),Variables!$B$1:$D$1,0),1))*BD712/365),""))</f>
        <v>8.737838718030126</v>
      </c>
      <c r="BJ712" s="44">
        <f t="shared" si="35"/>
        <v>-12</v>
      </c>
      <c r="BK712" s="44">
        <f>IF($AX712="Cancelled","",IFERROR(IF(BJ712="","",(W712*INDEX(Variables!$B$7:$D$7,IFERROR(MATCH(IF($B712="Robusta","Robusta",(IF($B712="","Arabica",$B712))&amp;" - "&amp;(IF($C712="","Commercial",$C712))),Variables!$B$1:$D$1,0),1))*(BJ712/365))+(W712*INDEX(Variables!$B$9:$D$9,IFERROR(MATCH(IF($B712="Robusta","Robusta",(IF($B712="","Arabica",$B712))&amp;" - "&amp;(IF($C712="","Commercial",$C712))),Variables!$B$1:$D$1,0),1))*(BJ712/365))+(INDEX(Variables!$B$8:$D$8,IFERROR(MATCH(IF($B712="Robusta","Robusta",(IF($B712="","Arabica",$B712))&amp;" - "&amp;(IF($C712="","Commercial",$C712))),Variables!$B$1:$D$1,0),1))*L712/16.67)),""))</f>
        <v>-21.951354872120497</v>
      </c>
    </row>
    <row r="713" spans="1:63">
      <c r="A713" s="13" t="s">
        <v>103</v>
      </c>
      <c r="B713" s="13" t="s">
        <v>104</v>
      </c>
      <c r="C713" s="13" t="s">
        <v>292</v>
      </c>
      <c r="D713" s="31">
        <v>46045</v>
      </c>
      <c r="E713" s="31">
        <v>46054</v>
      </c>
      <c r="F713" s="31">
        <v>46081</v>
      </c>
      <c r="G713" s="13">
        <v>3787154</v>
      </c>
      <c r="J713" s="13" t="s">
        <v>1641</v>
      </c>
      <c r="K713" s="13" t="s">
        <v>1929</v>
      </c>
      <c r="L713" s="13">
        <v>12</v>
      </c>
      <c r="M713" s="13">
        <v>0</v>
      </c>
      <c r="N713" s="13" t="s">
        <v>1930</v>
      </c>
      <c r="O713" s="13" t="s">
        <v>775</v>
      </c>
      <c r="P713" s="13">
        <v>10030</v>
      </c>
      <c r="R713" s="13" t="s">
        <v>239</v>
      </c>
      <c r="S713" s="13" t="s">
        <v>776</v>
      </c>
      <c r="T713" s="13" t="s">
        <v>777</v>
      </c>
      <c r="U713" s="13" t="s">
        <v>125</v>
      </c>
      <c r="V713" s="13">
        <v>91.3</v>
      </c>
      <c r="W713" s="44">
        <f>IF($AX713="Cancelled","",IFERROR(((V713+INDEX(Variables!$B$6:$D$6,IFERROR(MATCH(IF($B713="Robusta","Robusta",(IF($B713="","Arabica",$B713))&amp;" - "&amp;(IF($C713="","Commercial",$C713))),Variables!$B$1:$D$1,0),1)))*22.0462)*(L713/16.67),""))</f>
        <v>6063.9613821235744</v>
      </c>
      <c r="X713" s="55" t="s">
        <v>39</v>
      </c>
      <c r="Y713" s="13" t="str">
        <f>IF($AX713="Cancelled","",IF(X713="","",IFERROR(IF(INDEX(Variables!$B$38:$B$47,MATCH(X713,Variables!$A$38:$A$47,0))="Yes","Yes","No"),"No")))</f>
        <v>No</v>
      </c>
      <c r="Z713" s="31"/>
      <c r="AB713" s="31">
        <v>46036.875</v>
      </c>
      <c r="AC713" s="13" t="str">
        <f t="shared" si="34"/>
        <v>Approved</v>
      </c>
      <c r="AF713" s="71">
        <v>46076</v>
      </c>
      <c r="AG713" s="31">
        <f>IF($AX713="Cancelled","",IFERROR(IF(F713="","",F713-Variables!$B$13),""))</f>
        <v>46066</v>
      </c>
      <c r="AH713" s="13">
        <f>IF($AX713="Cancelled","",IFERROR(IF(AB713="","",(AVERAGE(E713:F713)-AB713)-Variables!$B$14),""))</f>
        <v>0.625</v>
      </c>
      <c r="AJ713" s="47">
        <v>46081</v>
      </c>
      <c r="AK713" s="14">
        <f>IF($AX713="Cancelled","",IFERROR(IF(AJ713="","",IF(AND(AB713="",AF713=""),"",IF(AF713&gt;AB713,AF713+Variables!$B$15+Variables!$B$16+Variables!$B$17-AJ713,AB713+Variables!$B$16+Variables!$B$17-AJ713))),""))</f>
        <v>10</v>
      </c>
      <c r="AL713" s="48" t="s">
        <v>114</v>
      </c>
      <c r="AM713" s="13" t="s">
        <v>1526</v>
      </c>
      <c r="AN713" s="13" t="s">
        <v>1527</v>
      </c>
      <c r="AP713" s="31" t="e">
        <v>#N/A</v>
      </c>
      <c r="AR713" s="13" t="s">
        <v>1902</v>
      </c>
      <c r="AS713" s="31">
        <v>46093</v>
      </c>
      <c r="AU713" s="31">
        <v>46113</v>
      </c>
      <c r="AV713" s="13" t="s">
        <v>865</v>
      </c>
      <c r="AW713" s="31">
        <v>46129</v>
      </c>
      <c r="AX713" s="13" t="str">
        <f>IF(ISNUMBER(SEARCH("cancel",#REF!)),"Cancelled",IF(AND(AS713&lt;&gt;"",AU713&lt;&gt;"",AW713&lt;&gt;""),"Closed","Open"))</f>
        <v>Closed</v>
      </c>
      <c r="AY713" s="15" t="str">
        <f t="shared" si="33"/>
        <v>All dates received</v>
      </c>
      <c r="BD713" s="13">
        <f>IF($AX713="Cancelled","",IFERROR(IF(OR(AS713="",AJ713=""),"",(AJ713+Variables!$B$18-AS713)),""))</f>
        <v>3</v>
      </c>
      <c r="BE713" s="13">
        <f>IF($AX713="Cancelled","",IFERROR(IF(OR(AW713="",AS713=""),"",(AS713+Variables!$B$19)-AW713),""))</f>
        <v>-31</v>
      </c>
      <c r="BF713" s="44">
        <f>IF($AX713="Cancelled","",IFERROR(W713*INDEX(Variables!$B$7:$D$7,IFERROR(MATCH(IF($B713="Robusta","Robusta",(IF($B713="","Arabica",$B713))&amp;" - "&amp;(IF($C713="","Commercial",$C713))),Variables!$B$1:$D$1,0),1))*(BE713/365),""))</f>
        <v>-33.209711478535432</v>
      </c>
      <c r="BG713" s="44">
        <f>IF($AX713="Cancelled","",IFERROR((W713*INDEX(Variables!$B$7:$D$7,IFERROR(MATCH(IF($B713="Robusta","Robusta",(IF($B713="","Arabica",$B713))&amp;" - "&amp;(IF($C713="","Commercial",$C713))),Variables!$B$1:$D$1,0),1))*IFERROR(IF(AB713="","",(AVERAGE(E713:F713)-AB713)-Variables!$B$14),"")/365)+(L713/16.67*INDEX(Variables!$B$8:$D$8,IFERROR(MATCH(IF($B713="Robusta","Robusta",(IF($B713="","Arabica",$B713))&amp;" - "&amp;(IF($C713="","Commercial",$C713))),Variables!$B$1:$D$1,0),1))*IFERROR(IF(AB713="","",(AVERAGE(E713:F713)-AB713)-Variables!$B$14),""))+(W713*INDEX(Variables!$B$9:$D$9,IFERROR(MATCH(IF($B713="Robusta","Robusta",(IF($B713="","Arabica",$B713))&amp;" - "&amp;(IF($C713="","Commercial",$C713))),Variables!$B$1:$D$1,0),1))*IFERROR(IF(AB713="","",(AVERAGE(E713:F713)-AB713)-Variables!$B$14),"")/365),""))</f>
        <v>1.0531824344714522</v>
      </c>
      <c r="BH713" s="44">
        <f>IF($AX713="Cancelled","",IFERROR((W713*INDEX(Variables!$B$7:$D$7,IFERROR(MATCH(IF($B713="Robusta","Robusta",(IF($B713="","Arabica",$B713))&amp;" - "&amp;(IF($C713="","Commercial",$C713))),Variables!$B$1:$D$1,0),1))*AK713/365)+(L713/16.67*INDEX(Variables!$B$8:$D$8,IFERROR(MATCH(IF($B713="Robusta","Robusta",(IF($B713="","Arabica",$B713))&amp;" - "&amp;(IF($C713="","Commercial",$C713))),Variables!$B$1:$D$1,0),1))*AK713)+(W713*INDEX(Variables!$B$9:$D$9,IFERROR(MATCH(IF($B713="Robusta","Robusta",(IF($B713="","Arabica",$B713))&amp;" - "&amp;(IF($C713="","Commercial",$C713))),Variables!$B$1:$D$1,0),1))*AK713/365),""))</f>
        <v>16.850918951543235</v>
      </c>
      <c r="BI713" s="44">
        <f>IF($AX713="Cancelled","",IFERROR((W713*INDEX(Variables!$B$7:$D$7,IFERROR(MATCH(IF($B713="Robusta","Robusta",(IF($B713="","Arabica",$B713))&amp;" - "&amp;(IF($C713="","Commercial",$C713))),Variables!$B$1:$D$1,0),1))*BD713/365)+(L713/16.67*INDEX(Variables!$B$8:$D$8,IFERROR(MATCH(IF($B713="Robusta","Robusta",(IF($B713="","Arabica",$B713))&amp;" - "&amp;(IF($C713="","Commercial",$C713))),Variables!$B$1:$D$1,0),1))*BD713)+(W713*INDEX(Variables!$B$9:$D$9,IFERROR(MATCH(IF($B713="Robusta","Robusta",(IF($B713="","Arabica",$B713))&amp;" - "&amp;(IF($C713="","Commercial",$C713))),Variables!$B$1:$D$1,0),1))*BD713/365),""))</f>
        <v>5.0552756854629699</v>
      </c>
      <c r="BJ713" s="44">
        <f t="shared" si="35"/>
        <v>-12</v>
      </c>
      <c r="BK713" s="44">
        <f>IF($AX713="Cancelled","",IFERROR(IF(BJ713="","",(W713*INDEX(Variables!$B$7:$D$7,IFERROR(MATCH(IF($B713="Robusta","Robusta",(IF($B713="","Arabica",$B713))&amp;" - "&amp;(IF($C713="","Commercial",$C713))),Variables!$B$1:$D$1,0),1))*(BJ713/365))+(W713*INDEX(Variables!$B$9:$D$9,IFERROR(MATCH(IF($B713="Robusta","Robusta",(IF($B713="","Arabica",$B713))&amp;" - "&amp;(IF($C713="","Commercial",$C713))),Variables!$B$1:$D$1,0),1))*(BJ713/365))+(INDEX(Variables!$B$8:$D$8,IFERROR(MATCH(IF($B713="Robusta","Robusta",(IF($B713="","Arabica",$B713))&amp;" - "&amp;(IF($C713="","Commercial",$C713))),Variables!$B$1:$D$1,0),1))*L713/16.67)),""))</f>
        <v>-12.421102741851882</v>
      </c>
    </row>
    <row r="714" spans="1:63">
      <c r="A714" s="13" t="s">
        <v>103</v>
      </c>
      <c r="B714" s="13" t="s">
        <v>104</v>
      </c>
      <c r="C714" s="13" t="s">
        <v>292</v>
      </c>
      <c r="D714" s="31">
        <v>46045</v>
      </c>
      <c r="E714" s="31">
        <v>46082</v>
      </c>
      <c r="F714" s="31">
        <v>46112</v>
      </c>
      <c r="G714" s="13">
        <v>3787155</v>
      </c>
      <c r="J714" s="13" t="s">
        <v>236</v>
      </c>
      <c r="K714" s="13" t="s">
        <v>1931</v>
      </c>
      <c r="L714" s="13">
        <v>220</v>
      </c>
      <c r="M714" s="13">
        <v>1</v>
      </c>
      <c r="N714" s="13" t="s">
        <v>1932</v>
      </c>
      <c r="O714" s="13" t="s">
        <v>261</v>
      </c>
      <c r="P714" s="13">
        <v>10060</v>
      </c>
      <c r="R714" s="13" t="s">
        <v>239</v>
      </c>
      <c r="S714" s="13" t="s">
        <v>180</v>
      </c>
      <c r="T714" s="13" t="s">
        <v>253</v>
      </c>
      <c r="U714" s="13" t="s">
        <v>182</v>
      </c>
      <c r="V714" s="23">
        <v>38</v>
      </c>
      <c r="W714" s="44">
        <f>IF($AX714="Cancelled","",IFERROR(((V714+INDEX(Variables!$B$6:$D$6,IFERROR(MATCH(IF($B714="Robusta","Robusta",(IF($B714="","Arabica",$B714))&amp;" - "&amp;(IF($C714="","Commercial",$C714))),Variables!$B$1:$D$1,0),1)))*22.0462)*(L714/16.67),""))</f>
        <v>95664.902411517673</v>
      </c>
      <c r="Y714" s="13" t="str">
        <f>IF($AX714="Cancelled","",IF(X714="","",IFERROR(IF(INDEX(Variables!$B$38:$B$47,MATCH(X714,Variables!$A$38:$A$47,0))="Yes","Yes","No"),"No")))</f>
        <v/>
      </c>
      <c r="Z714" s="31"/>
      <c r="AC714" s="13" t="str">
        <f t="shared" si="34"/>
        <v/>
      </c>
      <c r="AF714" s="71">
        <v>46077</v>
      </c>
      <c r="AG714" s="31">
        <f>IF($AX714="Cancelled","",IFERROR(IF(F714="","",F714-Variables!$B$13),""))</f>
        <v>46097</v>
      </c>
      <c r="AH714" s="13" t="str">
        <f>IF($AX714="Cancelled","",IFERROR(IF(AB714="","",(AVERAGE(E714:F714)-AB714)-Variables!$B$14),""))</f>
        <v/>
      </c>
      <c r="AJ714" s="47">
        <v>46093</v>
      </c>
      <c r="AK714" s="14">
        <f>IF($AX714="Cancelled","",IFERROR(IF(AJ714="","",IF(AND(AB714="",AF714=""),"",IF(AF714&gt;AB714,AF714+Variables!$B$15+Variables!$B$16+Variables!$B$17-AJ714,AB714+Variables!$B$16+Variables!$B$17-AJ714))),""))</f>
        <v>-1</v>
      </c>
      <c r="AL714" s="48" t="s">
        <v>114</v>
      </c>
      <c r="AM714" s="13" t="s">
        <v>183</v>
      </c>
      <c r="AN714" s="13" t="s">
        <v>1740</v>
      </c>
      <c r="AP714" s="31" t="e">
        <v>#N/A</v>
      </c>
      <c r="AR714" s="50">
        <v>321600001078</v>
      </c>
      <c r="AS714" s="31">
        <v>46103</v>
      </c>
      <c r="AU714" s="31">
        <v>46127</v>
      </c>
      <c r="AV714" s="13" t="s">
        <v>865</v>
      </c>
      <c r="AW714" s="31">
        <v>46127</v>
      </c>
      <c r="AX714" s="13" t="str">
        <f>IF(ISNUMBER(SEARCH("cancel",#REF!)),"Cancelled",IF(AND(AS714&lt;&gt;"",AU714&lt;&gt;"",AW714&lt;&gt;""),"Closed","Open"))</f>
        <v>Closed</v>
      </c>
      <c r="AY714" s="15" t="str">
        <f t="shared" si="33"/>
        <v>All dates received</v>
      </c>
      <c r="BD714" s="13">
        <f>IF($AX714="Cancelled","",IFERROR(IF(OR(AS714="",AJ714=""),"",(AJ714+Variables!$B$18-AS714)),""))</f>
        <v>5</v>
      </c>
      <c r="BE714" s="13">
        <f>IF($AX714="Cancelled","",IFERROR(IF(OR(AW714="",AS714=""),"",(AS714+Variables!$B$19)-AW714),""))</f>
        <v>-19</v>
      </c>
      <c r="BF714" s="44">
        <f>IF($AX714="Cancelled","",IFERROR(W714*INDEX(Variables!$B$7:$D$7,IFERROR(MATCH(IF($B714="Robusta","Robusta",(IF($B714="","Arabica",$B714))&amp;" - "&amp;(IF($C714="","Commercial",$C714))),Variables!$B$1:$D$1,0),1))*(BE714/365),""))</f>
        <v>-321.10954530224478</v>
      </c>
      <c r="BG714" s="44" t="str">
        <f>IF($AX714="Cancelled","",IFERROR((W714*INDEX(Variables!$B$7:$D$7,IFERROR(MATCH(IF($B714="Robusta","Robusta",(IF($B714="","Arabica",$B714))&amp;" - "&amp;(IF($C714="","Commercial",$C714))),Variables!$B$1:$D$1,0),1))*IFERROR(IF(AB714="","",(AVERAGE(E714:F714)-AB714)-Variables!$B$14),"")/365)+(L714/16.67*INDEX(Variables!$B$8:$D$8,IFERROR(MATCH(IF($B714="Robusta","Robusta",(IF($B714="","Arabica",$B714))&amp;" - "&amp;(IF($C714="","Commercial",$C714))),Variables!$B$1:$D$1,0),1))*IFERROR(IF(AB714="","",(AVERAGE(E714:F714)-AB714)-Variables!$B$14),""))+(W714*INDEX(Variables!$B$9:$D$9,IFERROR(MATCH(IF($B714="Robusta","Robusta",(IF($B714="","Arabica",$B714))&amp;" - "&amp;(IF($C714="","Commercial",$C714))),Variables!$B$1:$D$1,0),1))*IFERROR(IF(AB714="","",(AVERAGE(E714:F714)-AB714)-Variables!$B$14),"")/365),""))</f>
        <v/>
      </c>
      <c r="BH714" s="44">
        <f>IF($AX714="Cancelled","",IFERROR((W714*INDEX(Variables!$B$7:$D$7,IFERROR(MATCH(IF($B714="Robusta","Robusta",(IF($B714="","Arabica",$B714))&amp;" - "&amp;(IF($C714="","Commercial",$C714))),Variables!$B$1:$D$1,0),1))*AK714/365)+(L714/16.67*INDEX(Variables!$B$8:$D$8,IFERROR(MATCH(IF($B714="Robusta","Robusta",(IF($B714="","Arabica",$B714))&amp;" - "&amp;(IF($C714="","Commercial",$C714))),Variables!$B$1:$D$1,0),1))*AK714)+(W714*INDEX(Variables!$B$9:$D$9,IFERROR(MATCH(IF($B714="Robusta","Robusta",(IF($B714="","Arabica",$B714))&amp;" - "&amp;(IF($C714="","Commercial",$C714))),Variables!$B$1:$D$1,0),1))*AK714/365),""))</f>
        <v>-28.11838247576619</v>
      </c>
      <c r="BI714" s="44">
        <f>IF($AX714="Cancelled","",IFERROR((W714*INDEX(Variables!$B$7:$D$7,IFERROR(MATCH(IF($B714="Robusta","Robusta",(IF($B714="","Arabica",$B714))&amp;" - "&amp;(IF($C714="","Commercial",$C714))),Variables!$B$1:$D$1,0),1))*BD714/365)+(L714/16.67*INDEX(Variables!$B$8:$D$8,IFERROR(MATCH(IF($B714="Robusta","Robusta",(IF($B714="","Arabica",$B714))&amp;" - "&amp;(IF($C714="","Commercial",$C714))),Variables!$B$1:$D$1,0),1))*BD714)+(W714*INDEX(Variables!$B$9:$D$9,IFERROR(MATCH(IF($B714="Robusta","Robusta",(IF($B714="","Arabica",$B714))&amp;" - "&amp;(IF($C714="","Commercial",$C714))),Variables!$B$1:$D$1,0),1))*BD714/365),""))</f>
        <v>140.59191237883095</v>
      </c>
      <c r="BJ714" s="44">
        <f t="shared" si="35"/>
        <v>9</v>
      </c>
      <c r="BK714" s="44">
        <f>IF($AX714="Cancelled","",IFERROR(IF(BJ714="","",(W714*INDEX(Variables!$B$7:$D$7,IFERROR(MATCH(IF($B714="Robusta","Robusta",(IF($B714="","Arabica",$B714))&amp;" - "&amp;(IF($C714="","Commercial",$C714))),Variables!$B$1:$D$1,0),1))*(BJ714/365))+(W714*INDEX(Variables!$B$9:$D$9,IFERROR(MATCH(IF($B714="Robusta","Robusta",(IF($B714="","Arabica",$B714))&amp;" - "&amp;(IF($C714="","Commercial",$C714))),Variables!$B$1:$D$1,0),1))*(BJ714/365))+(INDEX(Variables!$B$8:$D$8,IFERROR(MATCH(IF($B714="Robusta","Robusta",(IF($B714="","Arabica",$B714))&amp;" - "&amp;(IF($C714="","Commercial",$C714))),Variables!$B$1:$D$1,0),1))*L714/16.67)),""))</f>
        <v>165.06544228189571</v>
      </c>
    </row>
    <row r="715" spans="1:63">
      <c r="A715" s="13" t="s">
        <v>103</v>
      </c>
      <c r="B715" s="13" t="s">
        <v>104</v>
      </c>
      <c r="C715" s="13" t="s">
        <v>292</v>
      </c>
      <c r="D715" s="31">
        <v>46045</v>
      </c>
      <c r="E715" s="31">
        <v>46082</v>
      </c>
      <c r="F715" s="31">
        <v>46112</v>
      </c>
      <c r="G715" s="13">
        <v>3787156</v>
      </c>
      <c r="J715" s="13" t="s">
        <v>236</v>
      </c>
      <c r="K715" s="13" t="s">
        <v>1933</v>
      </c>
      <c r="L715" s="13">
        <v>60</v>
      </c>
      <c r="M715" s="13">
        <v>0</v>
      </c>
      <c r="N715" s="13" t="s">
        <v>1934</v>
      </c>
      <c r="O715" s="13" t="s">
        <v>775</v>
      </c>
      <c r="P715" s="13">
        <v>10030</v>
      </c>
      <c r="R715" s="13" t="s">
        <v>239</v>
      </c>
      <c r="S715" s="13" t="s">
        <v>180</v>
      </c>
      <c r="T715" s="13" t="s">
        <v>253</v>
      </c>
      <c r="U715" s="13" t="s">
        <v>182</v>
      </c>
      <c r="V715" s="23">
        <v>93</v>
      </c>
      <c r="W715" s="44">
        <f>IF($AX715="Cancelled","",IFERROR(((V715+INDEX(Variables!$B$6:$D$6,IFERROR(MATCH(IF($B715="Robusta","Robusta",(IF($B715="","Arabica",$B715))&amp;" - "&amp;(IF($C715="","Commercial",$C715))),Variables!$B$1:$D$1,0),1)))*22.0462)*(L715/16.67),""))</f>
        <v>30454.702675464905</v>
      </c>
      <c r="Y715" s="13" t="str">
        <f>IF($AX715="Cancelled","",IF(X715="","",IFERROR(IF(INDEX(Variables!$B$38:$B$47,MATCH(X715,Variables!$A$38:$A$47,0))="Yes","Yes","No"),"No")))</f>
        <v/>
      </c>
      <c r="Z715" s="31"/>
      <c r="AC715" s="13" t="str">
        <f t="shared" si="34"/>
        <v/>
      </c>
      <c r="AF715" s="71">
        <v>46077</v>
      </c>
      <c r="AG715" s="31">
        <f>IF($AX715="Cancelled","",IFERROR(IF(F715="","",F715-Variables!$B$13),""))</f>
        <v>46097</v>
      </c>
      <c r="AH715" s="13" t="str">
        <f>IF($AX715="Cancelled","",IFERROR(IF(AB715="","",(AVERAGE(E715:F715)-AB715)-Variables!$B$14),""))</f>
        <v/>
      </c>
      <c r="AJ715" s="47">
        <v>46093</v>
      </c>
      <c r="AK715" s="14">
        <f>IF($AX715="Cancelled","",IFERROR(IF(AJ715="","",IF(AND(AB715="",AF715=""),"",IF(AF715&gt;AB715,AF715+Variables!$B$15+Variables!$B$16+Variables!$B$17-AJ715,AB715+Variables!$B$16+Variables!$B$17-AJ715))),""))</f>
        <v>-1</v>
      </c>
      <c r="AL715" s="48" t="s">
        <v>114</v>
      </c>
      <c r="AM715" s="13" t="s">
        <v>183</v>
      </c>
      <c r="AN715" s="13" t="s">
        <v>1740</v>
      </c>
      <c r="AP715" s="31" t="e">
        <v>#N/A</v>
      </c>
      <c r="AR715" s="50">
        <v>321600001078</v>
      </c>
      <c r="AS715" s="31">
        <v>46103</v>
      </c>
      <c r="AU715" s="31">
        <v>46127</v>
      </c>
      <c r="AV715" s="13" t="s">
        <v>865</v>
      </c>
      <c r="AW715" s="31">
        <v>46127</v>
      </c>
      <c r="AX715" s="13" t="str">
        <f>IF(ISNUMBER(SEARCH("cancel",#REF!)),"Cancelled",IF(AND(AS715&lt;&gt;"",AU715&lt;&gt;"",AW715&lt;&gt;""),"Closed","Open"))</f>
        <v>Closed</v>
      </c>
      <c r="AY715" s="15" t="str">
        <f t="shared" si="33"/>
        <v>All dates received</v>
      </c>
      <c r="BD715" s="13">
        <f>IF($AX715="Cancelled","",IFERROR(IF(OR(AS715="",AJ715=""),"",(AJ715+Variables!$B$18-AS715)),""))</f>
        <v>5</v>
      </c>
      <c r="BE715" s="13">
        <f>IF($AX715="Cancelled","",IFERROR(IF(OR(AW715="",AS715=""),"",(AS715+Variables!$B$19)-AW715),""))</f>
        <v>-19</v>
      </c>
      <c r="BF715" s="44">
        <f>IF($AX715="Cancelled","",IFERROR(W715*INDEX(Variables!$B$7:$D$7,IFERROR(MATCH(IF($B715="Robusta","Robusta",(IF($B715="","Arabica",$B715))&amp;" - "&amp;(IF($C715="","Commercial",$C715))),Variables!$B$1:$D$1,0),1))*(BE715/365),""))</f>
        <v>-102.22448862558193</v>
      </c>
      <c r="BG715" s="44" t="str">
        <f>IF($AX715="Cancelled","",IFERROR((W715*INDEX(Variables!$B$7:$D$7,IFERROR(MATCH(IF($B715="Robusta","Robusta",(IF($B715="","Arabica",$B715))&amp;" - "&amp;(IF($C715="","Commercial",$C715))),Variables!$B$1:$D$1,0),1))*IFERROR(IF(AB715="","",(AVERAGE(E715:F715)-AB715)-Variables!$B$14),"")/365)+(L715/16.67*INDEX(Variables!$B$8:$D$8,IFERROR(MATCH(IF($B715="Robusta","Robusta",(IF($B715="","Arabica",$B715))&amp;" - "&amp;(IF($C715="","Commercial",$C715))),Variables!$B$1:$D$1,0),1))*IFERROR(IF(AB715="","",(AVERAGE(E715:F715)-AB715)-Variables!$B$14),""))+(W715*INDEX(Variables!$B$9:$D$9,IFERROR(MATCH(IF($B715="Robusta","Robusta",(IF($B715="","Arabica",$B715))&amp;" - "&amp;(IF($C715="","Commercial",$C715))),Variables!$B$1:$D$1,0),1))*IFERROR(IF(AB715="","",(AVERAGE(E715:F715)-AB715)-Variables!$B$14),"")/365),""))</f>
        <v/>
      </c>
      <c r="BH715" s="44">
        <f>IF($AX715="Cancelled","",IFERROR((W715*INDEX(Variables!$B$7:$D$7,IFERROR(MATCH(IF($B715="Robusta","Robusta",(IF($B715="","Arabica",$B715))&amp;" - "&amp;(IF($C715="","Commercial",$C715))),Variables!$B$1:$D$1,0),1))*AK715/365)+(L715/16.67*INDEX(Variables!$B$8:$D$8,IFERROR(MATCH(IF($B715="Robusta","Robusta",(IF($B715="","Arabica",$B715))&amp;" - "&amp;(IF($C715="","Commercial",$C715))),Variables!$B$1:$D$1,0),1))*AK715)+(W715*INDEX(Variables!$B$9:$D$9,IFERROR(MATCH(IF($B715="Robusta","Robusta",(IF($B715="","Arabica",$B715))&amp;" - "&amp;(IF($C715="","Commercial",$C715))),Variables!$B$1:$D$1,0),1))*AK715/365),""))</f>
        <v>-8.4495978717643219</v>
      </c>
      <c r="BI715" s="44">
        <f>IF($AX715="Cancelled","",IFERROR((W715*INDEX(Variables!$B$7:$D$7,IFERROR(MATCH(IF($B715="Robusta","Robusta",(IF($B715="","Arabica",$B715))&amp;" - "&amp;(IF($C715="","Commercial",$C715))),Variables!$B$1:$D$1,0),1))*BD715/365)+(L715/16.67*INDEX(Variables!$B$8:$D$8,IFERROR(MATCH(IF($B715="Robusta","Robusta",(IF($B715="","Arabica",$B715))&amp;" - "&amp;(IF($C715="","Commercial",$C715))),Variables!$B$1:$D$1,0),1))*BD715)+(W715*INDEX(Variables!$B$9:$D$9,IFERROR(MATCH(IF($B715="Robusta","Robusta",(IF($B715="","Arabica",$B715))&amp;" - "&amp;(IF($C715="","Commercial",$C715))),Variables!$B$1:$D$1,0),1))*BD715/365),""))</f>
        <v>42.247989358821606</v>
      </c>
      <c r="BJ715" s="44">
        <f t="shared" si="35"/>
        <v>9</v>
      </c>
      <c r="BK715" s="44">
        <f>IF($AX715="Cancelled","",IFERROR(IF(BJ715="","",(W715*INDEX(Variables!$B$7:$D$7,IFERROR(MATCH(IF($B715="Robusta","Robusta",(IF($B715="","Arabica",$B715))&amp;" - "&amp;(IF($C715="","Commercial",$C715))),Variables!$B$1:$D$1,0),1))*(BJ715/365))+(W715*INDEX(Variables!$B$9:$D$9,IFERROR(MATCH(IF($B715="Robusta","Robusta",(IF($B715="","Arabica",$B715))&amp;" - "&amp;(IF($C715="","Commercial",$C715))),Variables!$B$1:$D$1,0),1))*(BJ715/365))+(INDEX(Variables!$B$8:$D$8,IFERROR(MATCH(IF($B715="Robusta","Robusta",(IF($B715="","Arabica",$B715))&amp;" - "&amp;(IF($C715="","Commercial",$C715))),Variables!$B$1:$D$1,0),1))*L715/16.67)),""))</f>
        <v>52.046380845878886</v>
      </c>
    </row>
    <row r="716" spans="1:63">
      <c r="A716" s="13" t="s">
        <v>103</v>
      </c>
      <c r="B716" s="13" t="s">
        <v>104</v>
      </c>
      <c r="C716" s="13" t="s">
        <v>292</v>
      </c>
      <c r="D716" s="31">
        <v>46045</v>
      </c>
      <c r="E716" s="31">
        <v>46082</v>
      </c>
      <c r="F716" s="31">
        <v>46112</v>
      </c>
      <c r="G716" s="13">
        <v>3787157</v>
      </c>
      <c r="J716" s="13" t="s">
        <v>236</v>
      </c>
      <c r="K716" s="13" t="s">
        <v>1935</v>
      </c>
      <c r="L716" s="13">
        <v>20</v>
      </c>
      <c r="M716" s="13">
        <v>0</v>
      </c>
      <c r="N716" s="13" t="s">
        <v>1936</v>
      </c>
      <c r="O716" s="13" t="s">
        <v>775</v>
      </c>
      <c r="P716" s="13">
        <v>10030</v>
      </c>
      <c r="R716" s="13" t="s">
        <v>239</v>
      </c>
      <c r="S716" s="13" t="s">
        <v>180</v>
      </c>
      <c r="T716" s="13" t="s">
        <v>253</v>
      </c>
      <c r="U716" s="13" t="s">
        <v>182</v>
      </c>
      <c r="V716" s="23">
        <v>103</v>
      </c>
      <c r="W716" s="44">
        <f>IF($AX716="Cancelled","",IFERROR(((V716+INDEX(Variables!$B$6:$D$6,IFERROR(MATCH(IF($B716="Robusta","Robusta",(IF($B716="","Arabica",$B716))&amp;" - "&amp;(IF($C716="","Commercial",$C716))),Variables!$B$1:$D$1,0),1)))*22.0462)*(L716/16.67),""))</f>
        <v>10416.069058188361</v>
      </c>
      <c r="Y716" s="13" t="str">
        <f>IF($AX716="Cancelled","",IF(X716="","",IFERROR(IF(INDEX(Variables!$B$38:$B$47,MATCH(X716,Variables!$A$38:$A$47,0))="Yes","Yes","No"),"No")))</f>
        <v/>
      </c>
      <c r="Z716" s="31"/>
      <c r="AC716" s="13" t="str">
        <f t="shared" si="34"/>
        <v/>
      </c>
      <c r="AF716" s="71">
        <v>46077</v>
      </c>
      <c r="AG716" s="31">
        <f>IF($AX716="Cancelled","",IFERROR(IF(F716="","",F716-Variables!$B$13),""))</f>
        <v>46097</v>
      </c>
      <c r="AH716" s="13" t="str">
        <f>IF($AX716="Cancelled","",IFERROR(IF(AB716="","",(AVERAGE(E716:F716)-AB716)-Variables!$B$14),""))</f>
        <v/>
      </c>
      <c r="AJ716" s="47">
        <v>46093</v>
      </c>
      <c r="AK716" s="14">
        <f>IF($AX716="Cancelled","",IFERROR(IF(AJ716="","",IF(AND(AB716="",AF716=""),"",IF(AF716&gt;AB716,AF716+Variables!$B$15+Variables!$B$16+Variables!$B$17-AJ716,AB716+Variables!$B$16+Variables!$B$17-AJ716))),""))</f>
        <v>-1</v>
      </c>
      <c r="AL716" s="48" t="s">
        <v>114</v>
      </c>
      <c r="AM716" s="13" t="s">
        <v>183</v>
      </c>
      <c r="AN716" s="13" t="s">
        <v>1740</v>
      </c>
      <c r="AP716" s="31" t="e">
        <v>#N/A</v>
      </c>
      <c r="AR716" s="50">
        <v>321600001078</v>
      </c>
      <c r="AS716" s="31">
        <v>46103</v>
      </c>
      <c r="AU716" s="31">
        <v>46127</v>
      </c>
      <c r="AV716" s="13" t="s">
        <v>865</v>
      </c>
      <c r="AW716" s="31">
        <v>46127</v>
      </c>
      <c r="AX716" s="13" t="str">
        <f>IF(ISNUMBER(SEARCH("cancel",#REF!)),"Cancelled",IF(AND(AS716&lt;&gt;"",AU716&lt;&gt;"",AW716&lt;&gt;""),"Closed","Open"))</f>
        <v>Closed</v>
      </c>
      <c r="AY716" s="15" t="str">
        <f t="shared" si="33"/>
        <v>All dates received</v>
      </c>
      <c r="BD716" s="13">
        <f>IF($AX716="Cancelled","",IFERROR(IF(OR(AS716="",AJ716=""),"",(AJ716+Variables!$B$18-AS716)),""))</f>
        <v>5</v>
      </c>
      <c r="BE716" s="13">
        <f>IF($AX716="Cancelled","",IFERROR(IF(OR(AW716="",AS716=""),"",(AS716+Variables!$B$19)-AW716),""))</f>
        <v>-19</v>
      </c>
      <c r="BF716" s="44">
        <f>IF($AX716="Cancelled","",IFERROR(W716*INDEX(Variables!$B$7:$D$7,IFERROR(MATCH(IF($B716="Robusta","Robusta",(IF($B716="","Arabica",$B716))&amp;" - "&amp;(IF($C716="","Commercial",$C716))),Variables!$B$1:$D$1,0),1))*(BE716/365),""))</f>
        <v>-34.962657304806463</v>
      </c>
      <c r="BG716" s="44" t="str">
        <f>IF($AX716="Cancelled","",IFERROR((W716*INDEX(Variables!$B$7:$D$7,IFERROR(MATCH(IF($B716="Robusta","Robusta",(IF($B716="","Arabica",$B716))&amp;" - "&amp;(IF($C716="","Commercial",$C716))),Variables!$B$1:$D$1,0),1))*IFERROR(IF(AB716="","",(AVERAGE(E716:F716)-AB716)-Variables!$B$14),"")/365)+(L716/16.67*INDEX(Variables!$B$8:$D$8,IFERROR(MATCH(IF($B716="Robusta","Robusta",(IF($B716="","Arabica",$B716))&amp;" - "&amp;(IF($C716="","Commercial",$C716))),Variables!$B$1:$D$1,0),1))*IFERROR(IF(AB716="","",(AVERAGE(E716:F716)-AB716)-Variables!$B$14),""))+(W716*INDEX(Variables!$B$9:$D$9,IFERROR(MATCH(IF($B716="Robusta","Robusta",(IF($B716="","Arabica",$B716))&amp;" - "&amp;(IF($C716="","Commercial",$C716))),Variables!$B$1:$D$1,0),1))*IFERROR(IF(AB716="","",(AVERAGE(E716:F716)-AB716)-Variables!$B$14),"")/365),""))</f>
        <v/>
      </c>
      <c r="BH716" s="44">
        <f>IF($AX716="Cancelled","",IFERROR((W716*INDEX(Variables!$B$7:$D$7,IFERROR(MATCH(IF($B716="Robusta","Robusta",(IF($B716="","Arabica",$B716))&amp;" - "&amp;(IF($C716="","Commercial",$C716))),Variables!$B$1:$D$1,0),1))*AK716/365)+(L716/16.67*INDEX(Variables!$B$8:$D$8,IFERROR(MATCH(IF($B716="Robusta","Robusta",(IF($B716="","Arabica",$B716))&amp;" - "&amp;(IF($C716="","Commercial",$C716))),Variables!$B$1:$D$1,0),1))*AK716)+(W716*INDEX(Variables!$B$9:$D$9,IFERROR(MATCH(IF($B716="Robusta","Robusta",(IF($B716="","Arabica",$B716))&amp;" - "&amp;(IF($C716="","Commercial",$C716))),Variables!$B$1:$D$1,0),1))*AK716/365),""))</f>
        <v>-2.8638628121424259</v>
      </c>
      <c r="BI716" s="44">
        <f>IF($AX716="Cancelled","",IFERROR((W716*INDEX(Variables!$B$7:$D$7,IFERROR(MATCH(IF($B716="Robusta","Robusta",(IF($B716="","Arabica",$B716))&amp;" - "&amp;(IF($C716="","Commercial",$C716))),Variables!$B$1:$D$1,0),1))*BD716/365)+(L716/16.67*INDEX(Variables!$B$8:$D$8,IFERROR(MATCH(IF($B716="Robusta","Robusta",(IF($B716="","Arabica",$B716))&amp;" - "&amp;(IF($C716="","Commercial",$C716))),Variables!$B$1:$D$1,0),1))*BD716)+(W716*INDEX(Variables!$B$9:$D$9,IFERROR(MATCH(IF($B716="Robusta","Robusta",(IF($B716="","Arabica",$B716))&amp;" - "&amp;(IF($C716="","Commercial",$C716))),Variables!$B$1:$D$1,0),1))*BD716/365),""))</f>
        <v>14.319314060712131</v>
      </c>
      <c r="BJ716" s="44">
        <f t="shared" si="35"/>
        <v>9</v>
      </c>
      <c r="BK716" s="44">
        <f>IF($AX716="Cancelled","",IFERROR(IF(BJ716="","",(W716*INDEX(Variables!$B$7:$D$7,IFERROR(MATCH(IF($B716="Robusta","Robusta",(IF($B716="","Arabica",$B716))&amp;" - "&amp;(IF($C716="","Commercial",$C716))),Variables!$B$1:$D$1,0),1))*(BJ716/365))+(W716*INDEX(Variables!$B$9:$D$9,IFERROR(MATCH(IF($B716="Robusta","Robusta",(IF($B716="","Arabica",$B716))&amp;" - "&amp;(IF($C716="","Commercial",$C716))),Variables!$B$1:$D$1,0),1))*(BJ716/365))+(INDEX(Variables!$B$8:$D$8,IFERROR(MATCH(IF($B716="Robusta","Robusta",(IF($B716="","Arabica",$B716))&amp;" - "&amp;(IF($C716="","Commercial",$C716))),Variables!$B$1:$D$1,0),1))*L716/16.67)),""))</f>
        <v>17.774765309281833</v>
      </c>
    </row>
    <row r="717" spans="1:63">
      <c r="A717" s="13" t="s">
        <v>103</v>
      </c>
      <c r="B717" s="13" t="s">
        <v>104</v>
      </c>
      <c r="C717" s="13" t="s">
        <v>292</v>
      </c>
      <c r="D717" s="31">
        <v>46045</v>
      </c>
      <c r="E717" s="31">
        <v>46082</v>
      </c>
      <c r="F717" s="31">
        <v>46112</v>
      </c>
      <c r="G717" s="13">
        <v>3787158</v>
      </c>
      <c r="J717" s="13" t="s">
        <v>236</v>
      </c>
      <c r="K717" s="13" t="s">
        <v>1937</v>
      </c>
      <c r="L717" s="13">
        <v>20</v>
      </c>
      <c r="M717" s="13">
        <v>0</v>
      </c>
      <c r="N717" s="13" t="s">
        <v>1938</v>
      </c>
      <c r="O717" s="13" t="s">
        <v>297</v>
      </c>
      <c r="P717" s="13">
        <v>10020</v>
      </c>
      <c r="R717" s="13" t="s">
        <v>239</v>
      </c>
      <c r="S717" s="13" t="s">
        <v>180</v>
      </c>
      <c r="T717" s="13" t="s">
        <v>253</v>
      </c>
      <c r="U717" s="13" t="s">
        <v>182</v>
      </c>
      <c r="V717" s="23">
        <v>73</v>
      </c>
      <c r="W717" s="44">
        <f>IF($AX717="Cancelled","",IFERROR(((V717+INDEX(Variables!$B$6:$D$6,IFERROR(MATCH(IF($B717="Robusta","Robusta",(IF($B717="","Arabica",$B717))&amp;" - "&amp;(IF($C717="","Commercial",$C717))),Variables!$B$1:$D$1,0),1)))*22.0462)*(L717/16.67),""))</f>
        <v>9622.5645590881813</v>
      </c>
      <c r="Y717" s="13" t="str">
        <f>IF($AX717="Cancelled","",IF(X717="","",IFERROR(IF(INDEX(Variables!$B$38:$B$47,MATCH(X717,Variables!$A$38:$A$47,0))="Yes","Yes","No"),"No")))</f>
        <v/>
      </c>
      <c r="Z717" s="31"/>
      <c r="AC717" s="13" t="str">
        <f t="shared" si="34"/>
        <v/>
      </c>
      <c r="AF717" s="71">
        <v>46091</v>
      </c>
      <c r="AG717" s="31">
        <f>IF($AX717="Cancelled","",IFERROR(IF(F717="","",F717-Variables!$B$13),""))</f>
        <v>46097</v>
      </c>
      <c r="AH717" s="13" t="str">
        <f>IF($AX717="Cancelled","",IFERROR(IF(AB717="","",(AVERAGE(E717:F717)-AB717)-Variables!$B$14),""))</f>
        <v/>
      </c>
      <c r="AJ717" s="47">
        <v>46093</v>
      </c>
      <c r="AK717" s="14">
        <f>IF($AX717="Cancelled","",IFERROR(IF(AJ717="","",IF(AND(AB717="",AF717=""),"",IF(AF717&gt;AB717,AF717+Variables!$B$15+Variables!$B$16+Variables!$B$17-AJ717,AB717+Variables!$B$16+Variables!$B$17-AJ717))),""))</f>
        <v>13</v>
      </c>
      <c r="AL717" s="48" t="s">
        <v>114</v>
      </c>
      <c r="AM717" s="13" t="s">
        <v>183</v>
      </c>
      <c r="AN717" s="13" t="s">
        <v>1740</v>
      </c>
      <c r="AP717" s="31" t="e">
        <v>#N/A</v>
      </c>
      <c r="AR717" s="50">
        <v>321600001078</v>
      </c>
      <c r="AS717" s="31">
        <v>46103</v>
      </c>
      <c r="AU717" s="31">
        <v>46127</v>
      </c>
      <c r="AV717" s="13" t="s">
        <v>865</v>
      </c>
      <c r="AW717" s="31">
        <v>46127</v>
      </c>
      <c r="AX717" s="13" t="str">
        <f>IF(ISNUMBER(SEARCH("cancel",#REF!)),"Cancelled",IF(AND(AS717&lt;&gt;"",AU717&lt;&gt;"",AW717&lt;&gt;""),"Closed","Open"))</f>
        <v>Closed</v>
      </c>
      <c r="AY717" s="15" t="str">
        <f t="shared" si="33"/>
        <v>All dates received</v>
      </c>
      <c r="BD717" s="13">
        <f>IF($AX717="Cancelled","",IFERROR(IF(OR(AS717="",AJ717=""),"",(AJ717+Variables!$B$18-AS717)),""))</f>
        <v>5</v>
      </c>
      <c r="BE717" s="13">
        <f>IF($AX717="Cancelled","",IFERROR(IF(OR(AW717="",AS717=""),"",(AS717+Variables!$B$19)-AW717),""))</f>
        <v>-19</v>
      </c>
      <c r="BF717" s="44">
        <f>IF($AX717="Cancelled","",IFERROR(W717*INDEX(Variables!$B$7:$D$7,IFERROR(MATCH(IF($B717="Robusta","Robusta",(IF($B717="","Arabica",$B717))&amp;" - "&amp;(IF($C717="","Commercial",$C717))),Variables!$B$1:$D$1,0),1))*(BE717/365),""))</f>
        <v>-32.299174015968994</v>
      </c>
      <c r="BG717" s="44" t="str">
        <f>IF($AX717="Cancelled","",IFERROR((W717*INDEX(Variables!$B$7:$D$7,IFERROR(MATCH(IF($B717="Robusta","Robusta",(IF($B717="","Arabica",$B717))&amp;" - "&amp;(IF($C717="","Commercial",$C717))),Variables!$B$1:$D$1,0),1))*IFERROR(IF(AB717="","",(AVERAGE(E717:F717)-AB717)-Variables!$B$14),"")/365)+(L717/16.67*INDEX(Variables!$B$8:$D$8,IFERROR(MATCH(IF($B717="Robusta","Robusta",(IF($B717="","Arabica",$B717))&amp;" - "&amp;(IF($C717="","Commercial",$C717))),Variables!$B$1:$D$1,0),1))*IFERROR(IF(AB717="","",(AVERAGE(E717:F717)-AB717)-Variables!$B$14),""))+(W717*INDEX(Variables!$B$9:$D$9,IFERROR(MATCH(IF($B717="Robusta","Robusta",(IF($B717="","Arabica",$B717))&amp;" - "&amp;(IF($C717="","Commercial",$C717))),Variables!$B$1:$D$1,0),1))*IFERROR(IF(AB717="","",(AVERAGE(E717:F717)-AB717)-Variables!$B$14),"")/365),""))</f>
        <v/>
      </c>
      <c r="BH717" s="44">
        <f>IF($AX717="Cancelled","",IFERROR((W717*INDEX(Variables!$B$7:$D$7,IFERROR(MATCH(IF($B717="Robusta","Robusta",(IF($B717="","Arabica",$B717))&amp;" - "&amp;(IF($C717="","Commercial",$C717))),Variables!$B$1:$D$1,0),1))*AK717/365)+(L717/16.67*INDEX(Variables!$B$8:$D$8,IFERROR(MATCH(IF($B717="Robusta","Robusta",(IF($B717="","Arabica",$B717))&amp;" - "&amp;(IF($C717="","Commercial",$C717))),Variables!$B$1:$D$1,0),1))*AK717)+(W717*INDEX(Variables!$B$9:$D$9,IFERROR(MATCH(IF($B717="Robusta","Robusta",(IF($B717="","Arabica",$B717))&amp;" - "&amp;(IF($C717="","Commercial",$C717))),Variables!$B$1:$D$1,0),1))*AK717/365),""))</f>
        <v>35.384339217233091</v>
      </c>
      <c r="BI717" s="44">
        <f>IF($AX717="Cancelled","",IFERROR((W717*INDEX(Variables!$B$7:$D$7,IFERROR(MATCH(IF($B717="Robusta","Robusta",(IF($B717="","Arabica",$B717))&amp;" - "&amp;(IF($C717="","Commercial",$C717))),Variables!$B$1:$D$1,0),1))*BD717/365)+(L717/16.67*INDEX(Variables!$B$8:$D$8,IFERROR(MATCH(IF($B717="Robusta","Robusta",(IF($B717="","Arabica",$B717))&amp;" - "&amp;(IF($C717="","Commercial",$C717))),Variables!$B$1:$D$1,0),1))*BD717)+(W717*INDEX(Variables!$B$9:$D$9,IFERROR(MATCH(IF($B717="Robusta","Robusta",(IF($B717="","Arabica",$B717))&amp;" - "&amp;(IF($C717="","Commercial",$C717))),Variables!$B$1:$D$1,0),1))*BD717/365),""))</f>
        <v>13.609361237397342</v>
      </c>
      <c r="BJ717" s="44">
        <f t="shared" si="35"/>
        <v>9</v>
      </c>
      <c r="BK717" s="44">
        <f>IF($AX717="Cancelled","",IFERROR(IF(BJ717="","",(W717*INDEX(Variables!$B$7:$D$7,IFERROR(MATCH(IF($B717="Robusta","Robusta",(IF($B717="","Arabica",$B717))&amp;" - "&amp;(IF($C717="","Commercial",$C717))),Variables!$B$1:$D$1,0),1))*(BJ717/365))+(W717*INDEX(Variables!$B$9:$D$9,IFERROR(MATCH(IF($B717="Robusta","Robusta",(IF($B717="","Arabica",$B717))&amp;" - "&amp;(IF($C717="","Commercial",$C717))),Variables!$B$1:$D$1,0),1))*(BJ717/365))+(INDEX(Variables!$B$8:$D$8,IFERROR(MATCH(IF($B717="Robusta","Robusta",(IF($B717="","Arabica",$B717))&amp;" - "&amp;(IF($C717="","Commercial",$C717))),Variables!$B$1:$D$1,0),1))*L717/16.67)),""))</f>
        <v>16.496850227315214</v>
      </c>
    </row>
    <row r="718" spans="1:63">
      <c r="A718" s="13" t="s">
        <v>103</v>
      </c>
      <c r="B718" s="13" t="s">
        <v>104</v>
      </c>
      <c r="C718" s="13" t="s">
        <v>105</v>
      </c>
      <c r="D718" s="31">
        <v>46048</v>
      </c>
      <c r="E718" s="31">
        <v>46023</v>
      </c>
      <c r="F718" s="31">
        <v>46081</v>
      </c>
      <c r="G718" s="13">
        <v>3787159</v>
      </c>
      <c r="H718" s="13">
        <v>6324</v>
      </c>
      <c r="J718" s="13" t="s">
        <v>1939</v>
      </c>
      <c r="K718" s="13">
        <v>5400</v>
      </c>
      <c r="L718" s="13">
        <v>320</v>
      </c>
      <c r="M718" s="13">
        <v>1</v>
      </c>
      <c r="N718" s="13" t="s">
        <v>1940</v>
      </c>
      <c r="O718" s="13" t="s">
        <v>1941</v>
      </c>
      <c r="P718" s="13">
        <v>10040</v>
      </c>
      <c r="R718" s="13" t="s">
        <v>239</v>
      </c>
      <c r="S718" s="13" t="s">
        <v>509</v>
      </c>
      <c r="T718" s="13" t="s">
        <v>329</v>
      </c>
      <c r="U718" s="13" t="s">
        <v>330</v>
      </c>
      <c r="V718" s="13">
        <v>63</v>
      </c>
      <c r="W718" s="44">
        <f>IF($AX718="Cancelled","",IFERROR(((V718+INDEX(Variables!$B$6:$D$6,IFERROR(MATCH(IF($B718="Robusta","Robusta",(IF($B718="","Arabica",$B718))&amp;" - "&amp;(IF($C718="","Commercial",$C718))),Variables!$B$1:$D$1,0),1)))*22.0462)*(L718/16.67),""))</f>
        <v>149729.00895020994</v>
      </c>
      <c r="X718" s="55" t="s">
        <v>39</v>
      </c>
      <c r="Y718" s="13" t="str">
        <f>IF($AX718="Cancelled","",IF(X718="","",IFERROR(IF(INDEX(Variables!$B$38:$B$47,MATCH(X718,Variables!$A$38:$A$47,0))="Yes","Yes","No"),"No")))</f>
        <v>No</v>
      </c>
      <c r="Z718" s="31"/>
      <c r="AB718" s="31">
        <v>46021.875</v>
      </c>
      <c r="AC718" s="13" t="str">
        <f t="shared" si="34"/>
        <v>Approved</v>
      </c>
      <c r="AF718" s="71">
        <v>46056</v>
      </c>
      <c r="AG718" s="37">
        <f>IF($AX718="Cancelled","",IFERROR(IF(F718="","",F718-Variables!$B$13),""))</f>
        <v>46066</v>
      </c>
      <c r="AH718" s="13">
        <f>IF($AX718="Cancelled","",IFERROR(IF(AB718="","",(AVERAGE(E718:F718)-AB718)-Variables!$B$14),""))</f>
        <v>0.125</v>
      </c>
      <c r="AJ718" s="47">
        <v>46057</v>
      </c>
      <c r="AK718" s="14">
        <f>IF($AX718="Cancelled","",IFERROR(IF(AJ718="","",IF(AND(AB718="",AF718=""),"",IF(AF718&gt;AB718,AF718+Variables!$B$15+Variables!$B$16+Variables!$B$17-AJ718,AB718+Variables!$B$16+Variables!$B$17-AJ718))),""))</f>
        <v>14</v>
      </c>
      <c r="AL718" s="48" t="s">
        <v>114</v>
      </c>
      <c r="AM718" s="13" t="s">
        <v>1798</v>
      </c>
      <c r="AN718" s="13" t="s">
        <v>1597</v>
      </c>
      <c r="AP718" s="31">
        <v>46083</v>
      </c>
      <c r="AR718" s="13" t="s">
        <v>1942</v>
      </c>
      <c r="AS718" s="31">
        <v>46083</v>
      </c>
      <c r="AU718" s="31">
        <v>46090</v>
      </c>
      <c r="AV718" s="13" t="s">
        <v>865</v>
      </c>
      <c r="AW718" s="31">
        <v>46090</v>
      </c>
      <c r="AX718" s="13" t="str">
        <f>IF(ISNUMBER(SEARCH("cancel",#REF!)),"Cancelled",IF(AND(AS718&lt;&gt;"",AU718&lt;&gt;"",AW718&lt;&gt;""),"Closed","Open"))</f>
        <v>Closed</v>
      </c>
      <c r="AY718" s="15" t="str">
        <f t="shared" si="33"/>
        <v>All dates received</v>
      </c>
      <c r="BD718" s="13">
        <f>IF($AX718="Cancelled","",IFERROR(IF(OR(AS718="",AJ718=""),"",(AJ718+Variables!$B$18-AS718)),""))</f>
        <v>-11</v>
      </c>
      <c r="BE718" s="13">
        <f>IF($AX718="Cancelled","",IFERROR(IF(OR(AW718="",AS718=""),"",(AS718+Variables!$B$19)-AW718),""))</f>
        <v>-2</v>
      </c>
      <c r="BF718" s="44">
        <f>IF($AX718="Cancelled","",IFERROR(W718*INDEX(Variables!$B$7:$D$7,IFERROR(MATCH(IF($B718="Robusta","Robusta",(IF($B718="","Arabica",$B718))&amp;" - "&amp;(IF($C718="","Commercial",$C718))),Variables!$B$1:$D$1,0),1))*(BE718/365),""))</f>
        <v>-52.903320005091658</v>
      </c>
      <c r="BG718" s="44">
        <f>IF($AX718="Cancelled","",IFERROR((W718*INDEX(Variables!$B$7:$D$7,IFERROR(MATCH(IF($B718="Robusta","Robusta",(IF($B718="","Arabica",$B718))&amp;" - "&amp;(IF($C718="","Commercial",$C718))),Variables!$B$1:$D$1,0),1))*IFERROR(IF(AB718="","",(AVERAGE(E718:F718)-AB718)-Variables!$B$14),"")/365)+(L718/16.67*INDEX(Variables!$B$8:$D$8,IFERROR(MATCH(IF($B718="Robusta","Robusta",(IF($B718="","Arabica",$B718))&amp;" - "&amp;(IF($C718="","Commercial",$C718))),Variables!$B$1:$D$1,0),1))*IFERROR(IF(AB718="","",(AVERAGE(E718:F718)-AB718)-Variables!$B$14),""))+(W718*INDEX(Variables!$B$9:$D$9,IFERROR(MATCH(IF($B718="Robusta","Robusta",(IF($B718="","Arabica",$B718))&amp;" - "&amp;(IF($C718="","Commercial",$C718))),Variables!$B$1:$D$1,0),1))*IFERROR(IF(AB718="","",(AVERAGE(E718:F718)-AB718)-Variables!$B$14),"")/365),""))</f>
        <v>5.3490841185169646</v>
      </c>
      <c r="BH718" s="44">
        <f>IF($AX718="Cancelled","",IFERROR((W718*INDEX(Variables!$B$7:$D$7,IFERROR(MATCH(IF($B718="Robusta","Robusta",(IF($B718="","Arabica",$B718))&amp;" - "&amp;(IF($C718="","Commercial",$C718))),Variables!$B$1:$D$1,0),1))*AK718/365)+(L718/16.67*INDEX(Variables!$B$8:$D$8,IFERROR(MATCH(IF($B718="Robusta","Robusta",(IF($B718="","Arabica",$B718))&amp;" - "&amp;(IF($C718="","Commercial",$C718))),Variables!$B$1:$D$1,0),1))*AK718)+(W718*INDEX(Variables!$B$9:$D$9,IFERROR(MATCH(IF($B718="Robusta","Robusta",(IF($B718="","Arabica",$B718))&amp;" - "&amp;(IF($C718="","Commercial",$C718))),Variables!$B$1:$D$1,0),1))*AK718/365),""))</f>
        <v>599.09742127390007</v>
      </c>
      <c r="BI718" s="44">
        <f>IF($AX718="Cancelled","",IFERROR((W718*INDEX(Variables!$B$7:$D$7,IFERROR(MATCH(IF($B718="Robusta","Robusta",(IF($B718="","Arabica",$B718))&amp;" - "&amp;(IF($C718="","Commercial",$C718))),Variables!$B$1:$D$1,0),1))*BD718/365)+(L718/16.67*INDEX(Variables!$B$8:$D$8,IFERROR(MATCH(IF($B718="Robusta","Robusta",(IF($B718="","Arabica",$B718))&amp;" - "&amp;(IF($C718="","Commercial",$C718))),Variables!$B$1:$D$1,0),1))*BD718)+(W718*INDEX(Variables!$B$9:$D$9,IFERROR(MATCH(IF($B718="Robusta","Robusta",(IF($B718="","Arabica",$B718))&amp;" - "&amp;(IF($C718="","Commercial",$C718))),Variables!$B$1:$D$1,0),1))*BD718/365),""))</f>
        <v>-470.7194024294929</v>
      </c>
      <c r="BJ718" s="44">
        <f t="shared" si="35"/>
        <v>-2</v>
      </c>
      <c r="BK718" s="44">
        <f>IF($AX718="Cancelled","",IFERROR(IF(BJ718="","",(W718*INDEX(Variables!$B$7:$D$7,IFERROR(MATCH(IF($B718="Robusta","Robusta",(IF($B718="","Arabica",$B718))&amp;" - "&amp;(IF($C718="","Commercial",$C718))),Variables!$B$1:$D$1,0),1))*(BJ718/365))+(W718*INDEX(Variables!$B$9:$D$9,IFERROR(MATCH(IF($B718="Robusta","Robusta",(IF($B718="","Arabica",$B718))&amp;" - "&amp;(IF($C718="","Commercial",$C718))),Variables!$B$1:$D$1,0),1))*(BJ718/365))+(INDEX(Variables!$B$8:$D$8,IFERROR(MATCH(IF($B718="Robusta","Robusta",(IF($B718="","Arabica",$B718))&amp;" - "&amp;(IF($C718="","Commercial",$C718))),Variables!$B$1:$D$1,0),1))*L718/16.67)),""))</f>
        <v>-37.585345896271434</v>
      </c>
    </row>
    <row r="719" spans="1:63">
      <c r="A719" s="13" t="s">
        <v>103</v>
      </c>
      <c r="B719" s="13" t="s">
        <v>104</v>
      </c>
      <c r="C719" s="13" t="s">
        <v>292</v>
      </c>
      <c r="D719" s="31">
        <v>46048</v>
      </c>
      <c r="E719" s="31">
        <v>46054</v>
      </c>
      <c r="F719" s="31">
        <v>46081</v>
      </c>
      <c r="G719" s="13">
        <v>3787160</v>
      </c>
      <c r="J719" s="13" t="s">
        <v>1356</v>
      </c>
      <c r="K719" s="13" t="s">
        <v>1943</v>
      </c>
      <c r="L719" s="13">
        <v>10</v>
      </c>
      <c r="M719" s="13">
        <v>0</v>
      </c>
      <c r="N719" s="13" t="s">
        <v>1944</v>
      </c>
      <c r="O719" s="13" t="s">
        <v>584</v>
      </c>
      <c r="P719" s="13">
        <v>10040</v>
      </c>
      <c r="R719" s="13" t="s">
        <v>239</v>
      </c>
      <c r="S719" s="13" t="s">
        <v>595</v>
      </c>
      <c r="T719" s="13" t="s">
        <v>596</v>
      </c>
      <c r="U719" s="13" t="s">
        <v>125</v>
      </c>
      <c r="V719" s="13">
        <v>127</v>
      </c>
      <c r="W719" s="44">
        <f>IF($AX719="Cancelled","",IFERROR(((V719+INDEX(Variables!$B$6:$D$6,IFERROR(MATCH(IF($B719="Robusta","Robusta",(IF($B719="","Arabica",$B719))&amp;" - "&amp;(IF($C719="","Commercial",$C719))),Variables!$B$1:$D$1,0),1)))*22.0462)*(L719/16.67),""))</f>
        <v>5525.436328734253</v>
      </c>
      <c r="X719" s="55" t="s">
        <v>39</v>
      </c>
      <c r="Y719" s="13" t="str">
        <f>IF($AX719="Cancelled","",IF(X719="","",IFERROR(IF(INDEX(Variables!$B$38:$B$47,MATCH(X719,Variables!$A$38:$A$47,0))="Yes","Yes","No"),"No")))</f>
        <v>No</v>
      </c>
      <c r="Z719" s="31"/>
      <c r="AB719" s="31">
        <v>46022.875</v>
      </c>
      <c r="AC719" s="13" t="str">
        <f t="shared" si="34"/>
        <v>Approved</v>
      </c>
      <c r="AF719" s="71">
        <v>46077</v>
      </c>
      <c r="AG719" s="31">
        <f>IF($AX719="Cancelled","",IFERROR(IF(F719="","",F719-Variables!$B$13),""))</f>
        <v>46066</v>
      </c>
      <c r="AH719" s="13">
        <f>IF($AX719="Cancelled","",IFERROR(IF(AB719="","",(AVERAGE(E719:F719)-AB719)-Variables!$B$14),""))</f>
        <v>14.625</v>
      </c>
      <c r="AJ719" s="47">
        <v>46105</v>
      </c>
      <c r="AK719" s="14">
        <f>IF($AX719="Cancelled","",IFERROR(IF(AJ719="","",IF(AND(AB719="",AF719=""),"",IF(AF719&gt;AB719,AF719+Variables!$B$15+Variables!$B$16+Variables!$B$17-AJ719,AB719+Variables!$B$16+Variables!$B$17-AJ719))),""))</f>
        <v>-13</v>
      </c>
      <c r="AL719" s="48" t="s">
        <v>114</v>
      </c>
      <c r="AM719" s="13" t="s">
        <v>1526</v>
      </c>
      <c r="AN719" s="13" t="s">
        <v>1832</v>
      </c>
      <c r="AP719" s="31" t="e">
        <v>#N/A</v>
      </c>
      <c r="AR719" s="13" t="s">
        <v>1833</v>
      </c>
      <c r="AS719" s="31">
        <v>46117</v>
      </c>
      <c r="AU719" s="31">
        <v>46128</v>
      </c>
      <c r="AV719" s="13" t="s">
        <v>865</v>
      </c>
      <c r="AW719" s="31">
        <v>46142</v>
      </c>
      <c r="AX719" s="13" t="str">
        <f>IF(ISNUMBER(SEARCH("cancel",#REF!)),"Cancelled",IF(AND(AS719&lt;&gt;"",AU719&lt;&gt;"",AW719&lt;&gt;""),"Closed","Open"))</f>
        <v>Closed</v>
      </c>
      <c r="AY719" s="15" t="str">
        <f t="shared" si="33"/>
        <v>All dates received</v>
      </c>
      <c r="BD719" s="13">
        <f>IF($AX719="Cancelled","",IFERROR(IF(OR(AS719="",AJ719=""),"",(AJ719+Variables!$B$18-AS719)),""))</f>
        <v>3</v>
      </c>
      <c r="BE719" s="13">
        <f>IF($AX719="Cancelled","",IFERROR(IF(OR(AW719="",AS719=""),"",(AS719+Variables!$B$19)-AW719),""))</f>
        <v>-20</v>
      </c>
      <c r="BF719" s="44">
        <f>IF($AX719="Cancelled","",IFERROR(W719*INDEX(Variables!$B$7:$D$7,IFERROR(MATCH(IF($B719="Robusta","Robusta",(IF($B719="","Arabica",$B719))&amp;" - "&amp;(IF($C719="","Commercial",$C719))),Variables!$B$1:$D$1,0),1))*(BE719/365),""))</f>
        <v>-19.522865229408648</v>
      </c>
      <c r="BG719" s="44">
        <f>IF($AX719="Cancelled","",IFERROR((W719*INDEX(Variables!$B$7:$D$7,IFERROR(MATCH(IF($B719="Robusta","Robusta",(IF($B719="","Arabica",$B719))&amp;" - "&amp;(IF($C719="","Commercial",$C719))),Variables!$B$1:$D$1,0),1))*IFERROR(IF(AB719="","",(AVERAGE(E719:F719)-AB719)-Variables!$B$14),"")/365)+(L719/16.67*INDEX(Variables!$B$8:$D$8,IFERROR(MATCH(IF($B719="Robusta","Robusta",(IF($B719="","Arabica",$B719))&amp;" - "&amp;(IF($C719="","Commercial",$C719))),Variables!$B$1:$D$1,0),1))*IFERROR(IF(AB719="","",(AVERAGE(E719:F719)-AB719)-Variables!$B$14),""))+(W719*INDEX(Variables!$B$9:$D$9,IFERROR(MATCH(IF($B719="Robusta","Robusta",(IF($B719="","Arabica",$B719))&amp;" - "&amp;(IF($C719="","Commercial",$C719))),Variables!$B$1:$D$1,0),1))*IFERROR(IF(AB719="","",(AVERAGE(E719:F719)-AB719)-Variables!$B$14),"")/365),""))</f>
        <v>21.772641617069798</v>
      </c>
      <c r="BH719" s="44">
        <f>IF($AX719="Cancelled","",IFERROR((W719*INDEX(Variables!$B$7:$D$7,IFERROR(MATCH(IF($B719="Robusta","Robusta",(IF($B719="","Arabica",$B719))&amp;" - "&amp;(IF($C719="","Commercial",$C719))),Variables!$B$1:$D$1,0),1))*AK719/365)+(L719/16.67*INDEX(Variables!$B$8:$D$8,IFERROR(MATCH(IF($B719="Robusta","Robusta",(IF($B719="","Arabica",$B719))&amp;" - "&amp;(IF($C719="","Commercial",$C719))),Variables!$B$1:$D$1,0),1))*AK719)+(W719*INDEX(Variables!$B$9:$D$9,IFERROR(MATCH(IF($B719="Robusta","Robusta",(IF($B719="","Arabica",$B719))&amp;" - "&amp;(IF($C719="","Commercial",$C719))),Variables!$B$1:$D$1,0),1))*AK719/365),""))</f>
        <v>-19.353459215173153</v>
      </c>
      <c r="BI719" s="44">
        <f>IF($AX719="Cancelled","",IFERROR((W719*INDEX(Variables!$B$7:$D$7,IFERROR(MATCH(IF($B719="Robusta","Robusta",(IF($B719="","Arabica",$B719))&amp;" - "&amp;(IF($C719="","Commercial",$C719))),Variables!$B$1:$D$1,0),1))*BD719/365)+(L719/16.67*INDEX(Variables!$B$8:$D$8,IFERROR(MATCH(IF($B719="Robusta","Robusta",(IF($B719="","Arabica",$B719))&amp;" - "&amp;(IF($C719="","Commercial",$C719))),Variables!$B$1:$D$1,0),1))*BD719)+(W719*INDEX(Variables!$B$9:$D$9,IFERROR(MATCH(IF($B719="Robusta","Robusta",(IF($B719="","Arabica",$B719))&amp;" - "&amp;(IF($C719="","Commercial",$C719))),Variables!$B$1:$D$1,0),1))*BD719/365),""))</f>
        <v>4.4661828958091885</v>
      </c>
      <c r="BJ719" s="44">
        <f t="shared" si="35"/>
        <v>-36</v>
      </c>
      <c r="BK719" s="44">
        <f>IF($AX719="Cancelled","",IFERROR(IF(BJ719="","",(W719*INDEX(Variables!$B$7:$D$7,IFERROR(MATCH(IF($B719="Robusta","Robusta",(IF($B719="","Arabica",$B719))&amp;" - "&amp;(IF($C719="","Commercial",$C719))),Variables!$B$1:$D$1,0),1))*(BJ719/365))+(W719*INDEX(Variables!$B$9:$D$9,IFERROR(MATCH(IF($B719="Robusta","Robusta",(IF($B719="","Arabica",$B719))&amp;" - "&amp;(IF($C719="","Commercial",$C719))),Variables!$B$1:$D$1,0),1))*(BJ719/365))+(INDEX(Variables!$B$8:$D$8,IFERROR(MATCH(IF($B719="Robusta","Robusta",(IF($B719="","Arabica",$B719))&amp;" - "&amp;(IF($C719="","Commercial",$C719))),Variables!$B$1:$D$1,0),1))*L719/16.67)),""))</f>
        <v>-35.094194749710269</v>
      </c>
    </row>
    <row r="720" spans="1:63">
      <c r="A720" s="13" t="s">
        <v>103</v>
      </c>
      <c r="B720" s="13" t="s">
        <v>104</v>
      </c>
      <c r="C720" s="13" t="s">
        <v>292</v>
      </c>
      <c r="D720" s="31">
        <v>46048</v>
      </c>
      <c r="E720" s="31">
        <v>46054</v>
      </c>
      <c r="F720" s="31">
        <v>46081</v>
      </c>
      <c r="G720" s="13">
        <v>3787161</v>
      </c>
      <c r="J720" s="13" t="s">
        <v>1356</v>
      </c>
      <c r="K720" s="13" t="s">
        <v>1945</v>
      </c>
      <c r="L720" s="13">
        <v>10</v>
      </c>
      <c r="M720" s="13">
        <v>0</v>
      </c>
      <c r="N720" s="13" t="s">
        <v>1946</v>
      </c>
      <c r="O720" s="13" t="s">
        <v>1054</v>
      </c>
      <c r="P720" s="13">
        <v>10020</v>
      </c>
      <c r="R720" s="13" t="s">
        <v>239</v>
      </c>
      <c r="S720" s="13" t="s">
        <v>595</v>
      </c>
      <c r="T720" s="13" t="s">
        <v>596</v>
      </c>
      <c r="U720" s="13" t="s">
        <v>125</v>
      </c>
      <c r="V720" s="13">
        <v>173</v>
      </c>
      <c r="W720" s="44">
        <f>IF($AX720="Cancelled","",IFERROR(((V720+INDEX(Variables!$B$6:$D$6,IFERROR(MATCH(IF($B720="Robusta","Robusta",(IF($B720="","Arabica",$B720))&amp;" - "&amp;(IF($C720="","Commercial",$C720))),Variables!$B$1:$D$1,0),1)))*22.0462)*(L720/16.67),""))</f>
        <v>6133.7897780443909</v>
      </c>
      <c r="X720" s="55" t="s">
        <v>39</v>
      </c>
      <c r="Y720" s="13" t="str">
        <f>IF($AX720="Cancelled","",IF(X720="","",IFERROR(IF(INDEX(Variables!$B$38:$B$47,MATCH(X720,Variables!$A$38:$A$47,0))="Yes","Yes","No"),"No")))</f>
        <v>No</v>
      </c>
      <c r="Z720" s="31"/>
      <c r="AB720" s="31">
        <v>46022.875</v>
      </c>
      <c r="AC720" s="13" t="str">
        <f t="shared" si="34"/>
        <v>Approved</v>
      </c>
      <c r="AF720" s="71">
        <v>46078</v>
      </c>
      <c r="AG720" s="31">
        <f>IF($AX720="Cancelled","",IFERROR(IF(F720="","",F720-Variables!$B$13),""))</f>
        <v>46066</v>
      </c>
      <c r="AH720" s="13">
        <f>IF($AX720="Cancelled","",IFERROR(IF(AB720="","",(AVERAGE(E720:F720)-AB720)-Variables!$B$14),""))</f>
        <v>14.625</v>
      </c>
      <c r="AJ720" s="47">
        <v>46105</v>
      </c>
      <c r="AK720" s="14">
        <f>IF($AX720="Cancelled","",IFERROR(IF(AJ720="","",IF(AND(AB720="",AF720=""),"",IF(AF720&gt;AB720,AF720+Variables!$B$15+Variables!$B$16+Variables!$B$17-AJ720,AB720+Variables!$B$16+Variables!$B$17-AJ720))),""))</f>
        <v>-12</v>
      </c>
      <c r="AL720" s="48" t="s">
        <v>114</v>
      </c>
      <c r="AM720" s="13" t="s">
        <v>1526</v>
      </c>
      <c r="AN720" s="13" t="s">
        <v>1832</v>
      </c>
      <c r="AP720" s="31" t="e">
        <v>#N/A</v>
      </c>
      <c r="AR720" s="13" t="s">
        <v>1833</v>
      </c>
      <c r="AS720" s="31">
        <v>46117</v>
      </c>
      <c r="AU720" s="31">
        <v>46128</v>
      </c>
      <c r="AV720" s="13" t="s">
        <v>865</v>
      </c>
      <c r="AW720" s="31">
        <v>46142</v>
      </c>
      <c r="AX720" s="13" t="str">
        <f>IF(ISNUMBER(SEARCH("cancel",#REF!)),"Cancelled",IF(AND(AS720&lt;&gt;"",AU720&lt;&gt;"",AW720&lt;&gt;""),"Closed","Open"))</f>
        <v>Closed</v>
      </c>
      <c r="AY720" s="15" t="str">
        <f t="shared" si="33"/>
        <v>All dates received</v>
      </c>
      <c r="BD720" s="13">
        <f>IF($AX720="Cancelled","",IFERROR(IF(OR(AS720="",AJ720=""),"",(AJ720+Variables!$B$18-AS720)),""))</f>
        <v>3</v>
      </c>
      <c r="BE720" s="13">
        <f>IF($AX720="Cancelled","",IFERROR(IF(OR(AW720="",AS720=""),"",(AS720+Variables!$B$19)-AW720),""))</f>
        <v>-20</v>
      </c>
      <c r="BF720" s="44">
        <f>IF($AX720="Cancelled","",IFERROR(W720*INDEX(Variables!$B$7:$D$7,IFERROR(MATCH(IF($B720="Robusta","Robusta",(IF($B720="","Arabica",$B720))&amp;" - "&amp;(IF($C720="","Commercial",$C720))),Variables!$B$1:$D$1,0),1))*(BE720/365),""))</f>
        <v>-21.672342971277484</v>
      </c>
      <c r="BG720" s="44">
        <f>IF($AX720="Cancelled","",IFERROR((W720*INDEX(Variables!$B$7:$D$7,IFERROR(MATCH(IF($B720="Robusta","Robusta",(IF($B720="","Arabica",$B720))&amp;" - "&amp;(IF($C720="","Commercial",$C720))),Variables!$B$1:$D$1,0),1))*IFERROR(IF(AB720="","",(AVERAGE(E720:F720)-AB720)-Variables!$B$14),"")/365)+(L720/16.67*INDEX(Variables!$B$8:$D$8,IFERROR(MATCH(IF($B720="Robusta","Robusta",(IF($B720="","Arabica",$B720))&amp;" - "&amp;(IF($C720="","Commercial",$C720))),Variables!$B$1:$D$1,0),1))*IFERROR(IF(AB720="","",(AVERAGE(E720:F720)-AB720)-Variables!$B$14),""))+(W720*INDEX(Variables!$B$9:$D$9,IFERROR(MATCH(IF($B720="Robusta","Robusta",(IF($B720="","Arabica",$B720))&amp;" - "&amp;(IF($C720="","Commercial",$C720))),Variables!$B$1:$D$1,0),1))*IFERROR(IF(AB720="","",(AVERAGE(E720:F720)-AB720)-Variables!$B$14),"")/365),""))</f>
        <v>23.364710823353214</v>
      </c>
      <c r="BH720" s="44">
        <f>IF($AX720="Cancelled","",IFERROR((W720*INDEX(Variables!$B$7:$D$7,IFERROR(MATCH(IF($B720="Robusta","Robusta",(IF($B720="","Arabica",$B720))&amp;" - "&amp;(IF($C720="","Commercial",$C720))),Variables!$B$1:$D$1,0),1))*AK720/365)+(L720/16.67*INDEX(Variables!$B$8:$D$8,IFERROR(MATCH(IF($B720="Robusta","Robusta",(IF($B720="","Arabica",$B720))&amp;" - "&amp;(IF($C720="","Commercial",$C720))),Variables!$B$1:$D$1,0),1))*AK720)+(W720*INDEX(Variables!$B$9:$D$9,IFERROR(MATCH(IF($B720="Robusta","Robusta",(IF($B720="","Arabica",$B720))&amp;" - "&amp;(IF($C720="","Commercial",$C720))),Variables!$B$1:$D$1,0),1))*AK720/365),""))</f>
        <v>-19.171044778135972</v>
      </c>
      <c r="BI720" s="44">
        <f>IF($AX720="Cancelled","",IFERROR((W720*INDEX(Variables!$B$7:$D$7,IFERROR(MATCH(IF($B720="Robusta","Robusta",(IF($B720="","Arabica",$B720))&amp;" - "&amp;(IF($C720="","Commercial",$C720))),Variables!$B$1:$D$1,0),1))*BD720/365)+(L720/16.67*INDEX(Variables!$B$8:$D$8,IFERROR(MATCH(IF($B720="Robusta","Robusta",(IF($B720="","Arabica",$B720))&amp;" - "&amp;(IF($C720="","Commercial",$C720))),Variables!$B$1:$D$1,0),1))*BD720)+(W720*INDEX(Variables!$B$9:$D$9,IFERROR(MATCH(IF($B720="Robusta","Robusta",(IF($B720="","Arabica",$B720))&amp;" - "&amp;(IF($C720="","Commercial",$C720))),Variables!$B$1:$D$1,0),1))*BD720/365),""))</f>
        <v>4.792761194533993</v>
      </c>
      <c r="BJ720" s="44">
        <f t="shared" si="35"/>
        <v>-36</v>
      </c>
      <c r="BK720" s="44">
        <f>IF($AX720="Cancelled","",IFERROR(IF(BJ720="","",(W720*INDEX(Variables!$B$7:$D$7,IFERROR(MATCH(IF($B720="Robusta","Robusta",(IF($B720="","Arabica",$B720))&amp;" - "&amp;(IF($C720="","Commercial",$C720))),Variables!$B$1:$D$1,0),1))*(BJ720/365))+(W720*INDEX(Variables!$B$9:$D$9,IFERROR(MATCH(IF($B720="Robusta","Robusta",(IF($B720="","Arabica",$B720))&amp;" - "&amp;(IF($C720="","Commercial",$C720))),Variables!$B$1:$D$1,0),1))*(BJ720/365))+(INDEX(Variables!$B$8:$D$8,IFERROR(MATCH(IF($B720="Robusta","Robusta",(IF($B720="","Arabica",$B720))&amp;" - "&amp;(IF($C720="","Commercial",$C720))),Variables!$B$1:$D$1,0),1))*L720/16.67)),""))</f>
        <v>-39.013134334407908</v>
      </c>
    </row>
    <row r="721" spans="1:63">
      <c r="A721" s="13" t="s">
        <v>103</v>
      </c>
      <c r="B721" s="13" t="s">
        <v>104</v>
      </c>
      <c r="C721" s="13" t="s">
        <v>292</v>
      </c>
      <c r="D721" s="31">
        <v>46048</v>
      </c>
      <c r="E721" s="31">
        <v>46054</v>
      </c>
      <c r="F721" s="31">
        <v>46081</v>
      </c>
      <c r="G721" s="13">
        <v>3787162</v>
      </c>
      <c r="J721" s="13" t="s">
        <v>1356</v>
      </c>
      <c r="K721" s="13" t="s">
        <v>1947</v>
      </c>
      <c r="L721" s="13">
        <v>10</v>
      </c>
      <c r="M721" s="13">
        <v>0</v>
      </c>
      <c r="N721" s="13" t="s">
        <v>1948</v>
      </c>
      <c r="O721" s="13" t="s">
        <v>1949</v>
      </c>
      <c r="P721" s="13">
        <v>10030</v>
      </c>
      <c r="R721" s="13" t="s">
        <v>239</v>
      </c>
      <c r="S721" s="13" t="s">
        <v>595</v>
      </c>
      <c r="T721" s="13" t="s">
        <v>596</v>
      </c>
      <c r="U721" s="13" t="s">
        <v>125</v>
      </c>
      <c r="V721" s="13">
        <v>120</v>
      </c>
      <c r="W721" s="44">
        <f>IF($AX721="Cancelled","",IFERROR(((V721+INDEX(Variables!$B$6:$D$6,IFERROR(MATCH(IF($B721="Robusta","Robusta",(IF($B721="","Arabica",$B721))&amp;" - "&amp;(IF($C721="","Commercial",$C721))),Variables!$B$1:$D$1,0),1)))*22.0462)*(L721/16.67),""))</f>
        <v>5432.8608038392313</v>
      </c>
      <c r="X721" s="55" t="s">
        <v>39</v>
      </c>
      <c r="Y721" s="13" t="str">
        <f>IF($AX721="Cancelled","",IF(X721="","",IFERROR(IF(INDEX(Variables!$B$38:$B$47,MATCH(X721,Variables!$A$38:$A$47,0))="Yes","Yes","No"),"No")))</f>
        <v>No</v>
      </c>
      <c r="Z721" s="31"/>
      <c r="AB721" s="31">
        <v>46022.875</v>
      </c>
      <c r="AC721" s="13" t="str">
        <f t="shared" si="34"/>
        <v>Approved</v>
      </c>
      <c r="AF721" s="71">
        <v>46077</v>
      </c>
      <c r="AG721" s="31">
        <f>IF($AX721="Cancelled","",IFERROR(IF(F721="","",F721-Variables!$B$13),""))</f>
        <v>46066</v>
      </c>
      <c r="AH721" s="13">
        <f>IF($AX721="Cancelled","",IFERROR(IF(AB721="","",(AVERAGE(E721:F721)-AB721)-Variables!$B$14),""))</f>
        <v>14.625</v>
      </c>
      <c r="AJ721" s="47">
        <v>46105</v>
      </c>
      <c r="AK721" s="14">
        <f>IF($AX721="Cancelled","",IFERROR(IF(AJ721="","",IF(AND(AB721="",AF721=""),"",IF(AF721&gt;AB721,AF721+Variables!$B$15+Variables!$B$16+Variables!$B$17-AJ721,AB721+Variables!$B$16+Variables!$B$17-AJ721))),""))</f>
        <v>-13</v>
      </c>
      <c r="AL721" s="48" t="s">
        <v>114</v>
      </c>
      <c r="AM721" s="13" t="s">
        <v>1526</v>
      </c>
      <c r="AN721" s="13" t="s">
        <v>1832</v>
      </c>
      <c r="AP721" s="31" t="e">
        <v>#N/A</v>
      </c>
      <c r="AR721" s="13" t="s">
        <v>1833</v>
      </c>
      <c r="AS721" s="31">
        <v>46117</v>
      </c>
      <c r="AU721" s="31">
        <v>46128</v>
      </c>
      <c r="AV721" s="13" t="s">
        <v>865</v>
      </c>
      <c r="AW721" s="31">
        <v>46142</v>
      </c>
      <c r="AX721" s="13" t="str">
        <f>IF(ISNUMBER(SEARCH("cancel",#REF!)),"Cancelled",IF(AND(AS721&lt;&gt;"",AU721&lt;&gt;"",AW721&lt;&gt;""),"Closed","Open"))</f>
        <v>Closed</v>
      </c>
      <c r="AY721" s="15" t="str">
        <f t="shared" si="33"/>
        <v>All dates received</v>
      </c>
      <c r="BD721" s="13">
        <f>IF($AX721="Cancelled","",IFERROR(IF(OR(AS721="",AJ721=""),"",(AJ721+Variables!$B$18-AS721)),""))</f>
        <v>3</v>
      </c>
      <c r="BE721" s="13">
        <f>IF($AX721="Cancelled","",IFERROR(IF(OR(AW721="",AS721=""),"",(AS721+Variables!$B$19)-AW721),""))</f>
        <v>-20</v>
      </c>
      <c r="BF721" s="44">
        <f>IF($AX721="Cancelled","",IFERROR(W721*INDEX(Variables!$B$7:$D$7,IFERROR(MATCH(IF($B721="Robusta","Robusta",(IF($B721="","Arabica",$B721))&amp;" - "&amp;(IF($C721="","Commercial",$C721))),Variables!$B$1:$D$1,0),1))*(BE721/365),""))</f>
        <v>-19.195770790428607</v>
      </c>
      <c r="BG721" s="44">
        <f>IF($AX721="Cancelled","",IFERROR((W721*INDEX(Variables!$B$7:$D$7,IFERROR(MATCH(IF($B721="Robusta","Robusta",(IF($B721="","Arabica",$B721))&amp;" - "&amp;(IF($C721="","Commercial",$C721))),Variables!$B$1:$D$1,0),1))*IFERROR(IF(AB721="","",(AVERAGE(E721:F721)-AB721)-Variables!$B$14),"")/365)+(L721/16.67*INDEX(Variables!$B$8:$D$8,IFERROR(MATCH(IF($B721="Robusta","Robusta",(IF($B721="","Arabica",$B721))&amp;" - "&amp;(IF($C721="","Commercial",$C721))),Variables!$B$1:$D$1,0),1))*IFERROR(IF(AB721="","",(AVERAGE(E721:F721)-AB721)-Variables!$B$14),""))+(W721*INDEX(Variables!$B$9:$D$9,IFERROR(MATCH(IF($B721="Robusta","Robusta",(IF($B721="","Arabica",$B721))&amp;" - "&amp;(IF($C721="","Commercial",$C721))),Variables!$B$1:$D$1,0),1))*IFERROR(IF(AB721="","",(AVERAGE(E721:F721)-AB721)-Variables!$B$14),"")/365),""))</f>
        <v>21.530370216113624</v>
      </c>
      <c r="BH721" s="44">
        <f>IF($AX721="Cancelled","",IFERROR((W721*INDEX(Variables!$B$7:$D$7,IFERROR(MATCH(IF($B721="Robusta","Robusta",(IF($B721="","Arabica",$B721))&amp;" - "&amp;(IF($C721="","Commercial",$C721))),Variables!$B$1:$D$1,0),1))*AK721/365)+(L721/16.67*INDEX(Variables!$B$8:$D$8,IFERROR(MATCH(IF($B721="Robusta","Robusta",(IF($B721="","Arabica",$B721))&amp;" - "&amp;(IF($C721="","Commercial",$C721))),Variables!$B$1:$D$1,0),1))*AK721)+(W721*INDEX(Variables!$B$9:$D$9,IFERROR(MATCH(IF($B721="Robusta","Robusta",(IF($B721="","Arabica",$B721))&amp;" - "&amp;(IF($C721="","Commercial",$C721))),Variables!$B$1:$D$1,0),1))*AK721/365),""))</f>
        <v>-19.138106858767664</v>
      </c>
      <c r="BI721" s="44">
        <f>IF($AX721="Cancelled","",IFERROR((W721*INDEX(Variables!$B$7:$D$7,IFERROR(MATCH(IF($B721="Robusta","Robusta",(IF($B721="","Arabica",$B721))&amp;" - "&amp;(IF($C721="","Commercial",$C721))),Variables!$B$1:$D$1,0),1))*BD721/365)+(L721/16.67*INDEX(Variables!$B$8:$D$8,IFERROR(MATCH(IF($B721="Robusta","Robusta",(IF($B721="","Arabica",$B721))&amp;" - "&amp;(IF($C721="","Commercial",$C721))),Variables!$B$1:$D$1,0),1))*BD721)+(W721*INDEX(Variables!$B$9:$D$9,IFERROR(MATCH(IF($B721="Robusta","Robusta",(IF($B721="","Arabica",$B721))&amp;" - "&amp;(IF($C721="","Commercial",$C721))),Variables!$B$1:$D$1,0),1))*BD721/365),""))</f>
        <v>4.4164861981771537</v>
      </c>
      <c r="BJ721" s="44">
        <f t="shared" si="35"/>
        <v>-36</v>
      </c>
      <c r="BK721" s="44">
        <f>IF($AX721="Cancelled","",IFERROR(IF(BJ721="","",(W721*INDEX(Variables!$B$7:$D$7,IFERROR(MATCH(IF($B721="Robusta","Robusta",(IF($B721="","Arabica",$B721))&amp;" - "&amp;(IF($C721="","Commercial",$C721))),Variables!$B$1:$D$1,0),1))*(BJ721/365))+(W721*INDEX(Variables!$B$9:$D$9,IFERROR(MATCH(IF($B721="Robusta","Robusta",(IF($B721="","Arabica",$B721))&amp;" - "&amp;(IF($C721="","Commercial",$C721))),Variables!$B$1:$D$1,0),1))*(BJ721/365))+(INDEX(Variables!$B$8:$D$8,IFERROR(MATCH(IF($B721="Robusta","Robusta",(IF($B721="","Arabica",$B721))&amp;" - "&amp;(IF($C721="","Commercial",$C721))),Variables!$B$1:$D$1,0),1))*L721/16.67)),""))</f>
        <v>-34.497834378125837</v>
      </c>
    </row>
    <row r="722" spans="1:63">
      <c r="A722" s="13" t="s">
        <v>103</v>
      </c>
      <c r="B722" s="13" t="s">
        <v>104</v>
      </c>
      <c r="C722" s="13" t="s">
        <v>292</v>
      </c>
      <c r="D722" s="31">
        <v>46048</v>
      </c>
      <c r="E722" s="31">
        <v>46054</v>
      </c>
      <c r="F722" s="31">
        <v>46081</v>
      </c>
      <c r="G722" s="13">
        <v>3787163</v>
      </c>
      <c r="J722" s="13" t="s">
        <v>1356</v>
      </c>
      <c r="K722" s="13" t="s">
        <v>1950</v>
      </c>
      <c r="L722" s="13">
        <v>10</v>
      </c>
      <c r="M722" s="13">
        <v>0</v>
      </c>
      <c r="N722" s="13" t="s">
        <v>1951</v>
      </c>
      <c r="O722" s="13" t="s">
        <v>1949</v>
      </c>
      <c r="P722" s="13">
        <v>10030</v>
      </c>
      <c r="R722" s="13" t="s">
        <v>239</v>
      </c>
      <c r="S722" s="13" t="s">
        <v>595</v>
      </c>
      <c r="T722" s="13" t="s">
        <v>596</v>
      </c>
      <c r="U722" s="13" t="s">
        <v>125</v>
      </c>
      <c r="V722" s="13">
        <v>155</v>
      </c>
      <c r="W722" s="44">
        <f>IF($AX722="Cancelled","",IFERROR(((V722+INDEX(Variables!$B$6:$D$6,IFERROR(MATCH(IF($B722="Robusta","Robusta",(IF($B722="","Arabica",$B722))&amp;" - "&amp;(IF($C722="","Commercial",$C722))),Variables!$B$1:$D$1,0),1)))*22.0462)*(L722/16.67),""))</f>
        <v>5895.7384283143365</v>
      </c>
      <c r="X722" s="55" t="s">
        <v>39</v>
      </c>
      <c r="Y722" s="13" t="str">
        <f>IF($AX722="Cancelled","",IF(X722="","",IFERROR(IF(INDEX(Variables!$B$38:$B$47,MATCH(X722,Variables!$A$38:$A$47,0))="Yes","Yes","No"),"No")))</f>
        <v>No</v>
      </c>
      <c r="Z722" s="31"/>
      <c r="AB722" s="31">
        <v>46022.875</v>
      </c>
      <c r="AC722" s="13" t="str">
        <f t="shared" si="34"/>
        <v>Approved</v>
      </c>
      <c r="AF722" s="71">
        <v>46099</v>
      </c>
      <c r="AG722" s="31">
        <f>IF($AX722="Cancelled","",IFERROR(IF(F722="","",F722-Variables!$B$13),""))</f>
        <v>46066</v>
      </c>
      <c r="AH722" s="13">
        <f>IF($AX722="Cancelled","",IFERROR(IF(AB722="","",(AVERAGE(E722:F722)-AB722)-Variables!$B$14),""))</f>
        <v>14.625</v>
      </c>
      <c r="AJ722" s="47">
        <v>46105</v>
      </c>
      <c r="AK722" s="14">
        <f>IF($AX722="Cancelled","",IFERROR(IF(AJ722="","",IF(AND(AB722="",AF722=""),"",IF(AF722&gt;AB722,AF722+Variables!$B$15+Variables!$B$16+Variables!$B$17-AJ722,AB722+Variables!$B$16+Variables!$B$17-AJ722))),""))</f>
        <v>9</v>
      </c>
      <c r="AL722" s="48" t="s">
        <v>114</v>
      </c>
      <c r="AM722" s="13" t="s">
        <v>1526</v>
      </c>
      <c r="AN722" s="13" t="s">
        <v>1832</v>
      </c>
      <c r="AP722" s="31" t="e">
        <v>#N/A</v>
      </c>
      <c r="AR722" s="13" t="s">
        <v>1833</v>
      </c>
      <c r="AS722" s="31">
        <v>46117</v>
      </c>
      <c r="AU722" s="31">
        <v>46128</v>
      </c>
      <c r="AV722" s="13" t="s">
        <v>865</v>
      </c>
      <c r="AW722" s="31">
        <v>46142</v>
      </c>
      <c r="AX722" s="13" t="str">
        <f>IF(ISNUMBER(SEARCH("cancel",#REF!)),"Cancelled",IF(AND(AS722&lt;&gt;"",AU722&lt;&gt;"",AW722&lt;&gt;""),"Closed","Open"))</f>
        <v>Closed</v>
      </c>
      <c r="AY722" s="15" t="str">
        <f t="shared" si="33"/>
        <v>All dates received</v>
      </c>
      <c r="BD722" s="13">
        <f>IF($AX722="Cancelled","",IFERROR(IF(OR(AS722="",AJ722=""),"",(AJ722+Variables!$B$18-AS722)),""))</f>
        <v>3</v>
      </c>
      <c r="BE722" s="13">
        <f>IF($AX722="Cancelled","",IFERROR(IF(OR(AW722="",AS722=""),"",(AS722+Variables!$B$19)-AW722),""))</f>
        <v>-20</v>
      </c>
      <c r="BF722" s="44">
        <f>IF($AX722="Cancelled","",IFERROR(W722*INDEX(Variables!$B$7:$D$7,IFERROR(MATCH(IF($B722="Robusta","Robusta",(IF($B722="","Arabica",$B722))&amp;" - "&amp;(IF($C722="","Commercial",$C722))),Variables!$B$1:$D$1,0),1))*(BE722/365),""))</f>
        <v>-20.831242985328803</v>
      </c>
      <c r="BG722" s="44">
        <f>IF($AX722="Cancelled","",IFERROR((W722*INDEX(Variables!$B$7:$D$7,IFERROR(MATCH(IF($B722="Robusta","Robusta",(IF($B722="","Arabica",$B722))&amp;" - "&amp;(IF($C722="","Commercial",$C722))),Variables!$B$1:$D$1,0),1))*IFERROR(IF(AB722="","",(AVERAGE(E722:F722)-AB722)-Variables!$B$14),"")/365)+(L722/16.67*INDEX(Variables!$B$8:$D$8,IFERROR(MATCH(IF($B722="Robusta","Robusta",(IF($B722="","Arabica",$B722))&amp;" - "&amp;(IF($C722="","Commercial",$C722))),Variables!$B$1:$D$1,0),1))*IFERROR(IF(AB722="","",(AVERAGE(E722:F722)-AB722)-Variables!$B$14),""))+(W722*INDEX(Variables!$B$9:$D$9,IFERROR(MATCH(IF($B722="Robusta","Robusta",(IF($B722="","Arabica",$B722))&amp;" - "&amp;(IF($C722="","Commercial",$C722))),Variables!$B$1:$D$1,0),1))*IFERROR(IF(AB722="","",(AVERAGE(E722:F722)-AB722)-Variables!$B$14),"")/365),""))</f>
        <v>22.741727220894479</v>
      </c>
      <c r="BH722" s="44">
        <f>IF($AX722="Cancelled","",IFERROR((W722*INDEX(Variables!$B$7:$D$7,IFERROR(MATCH(IF($B722="Robusta","Robusta",(IF($B722="","Arabica",$B722))&amp;" - "&amp;(IF($C722="","Commercial",$C722))),Variables!$B$1:$D$1,0),1))*AK722/365)+(L722/16.67*INDEX(Variables!$B$8:$D$8,IFERROR(MATCH(IF($B722="Robusta","Robusta",(IF($B722="","Arabica",$B722))&amp;" - "&amp;(IF($C722="","Commercial",$C722))),Variables!$B$1:$D$1,0),1))*AK722)+(W722*INDEX(Variables!$B$9:$D$9,IFERROR(MATCH(IF($B722="Robusta","Robusta",(IF($B722="","Arabica",$B722))&amp;" - "&amp;(IF($C722="","Commercial",$C722))),Variables!$B$1:$D$1,0),1))*AK722/365),""))</f>
        <v>13.994909059011988</v>
      </c>
      <c r="BI722" s="44">
        <f>IF($AX722="Cancelled","",IFERROR((W722*INDEX(Variables!$B$7:$D$7,IFERROR(MATCH(IF($B722="Robusta","Robusta",(IF($B722="","Arabica",$B722))&amp;" - "&amp;(IF($C722="","Commercial",$C722))),Variables!$B$1:$D$1,0),1))*BD722/365)+(L722/16.67*INDEX(Variables!$B$8:$D$8,IFERROR(MATCH(IF($B722="Robusta","Robusta",(IF($B722="","Arabica",$B722))&amp;" - "&amp;(IF($C722="","Commercial",$C722))),Variables!$B$1:$D$1,0),1))*BD722)+(W722*INDEX(Variables!$B$9:$D$9,IFERROR(MATCH(IF($B722="Robusta","Robusta",(IF($B722="","Arabica",$B722))&amp;" - "&amp;(IF($C722="","Commercial",$C722))),Variables!$B$1:$D$1,0),1))*BD722/365),""))</f>
        <v>4.6649696863373293</v>
      </c>
      <c r="BJ722" s="44">
        <f t="shared" si="35"/>
        <v>-36</v>
      </c>
      <c r="BK722" s="44">
        <f>IF($AX722="Cancelled","",IFERROR(IF(BJ722="","",(W722*INDEX(Variables!$B$7:$D$7,IFERROR(MATCH(IF($B722="Robusta","Robusta",(IF($B722="","Arabica",$B722))&amp;" - "&amp;(IF($C722="","Commercial",$C722))),Variables!$B$1:$D$1,0),1))*(BJ722/365))+(W722*INDEX(Variables!$B$9:$D$9,IFERROR(MATCH(IF($B722="Robusta","Robusta",(IF($B722="","Arabica",$B722))&amp;" - "&amp;(IF($C722="","Commercial",$C722))),Variables!$B$1:$D$1,0),1))*(BJ722/365))+(INDEX(Variables!$B$8:$D$8,IFERROR(MATCH(IF($B722="Robusta","Robusta",(IF($B722="","Arabica",$B722))&amp;" - "&amp;(IF($C722="","Commercial",$C722))),Variables!$B$1:$D$1,0),1))*L722/16.67)),""))</f>
        <v>-37.479636236047952</v>
      </c>
    </row>
    <row r="723" spans="1:63">
      <c r="A723" s="13" t="s">
        <v>103</v>
      </c>
      <c r="B723" s="13" t="s">
        <v>104</v>
      </c>
      <c r="C723" s="13" t="s">
        <v>105</v>
      </c>
      <c r="D723" s="31">
        <v>46048</v>
      </c>
      <c r="E723" s="31">
        <v>46082</v>
      </c>
      <c r="F723" s="31">
        <v>46112</v>
      </c>
      <c r="G723" s="13">
        <v>3787164</v>
      </c>
      <c r="H723" s="13">
        <v>5408</v>
      </c>
      <c r="J723" s="13" t="s">
        <v>260</v>
      </c>
      <c r="K723" s="13">
        <v>5408</v>
      </c>
      <c r="L723" s="13">
        <v>320</v>
      </c>
      <c r="M723" s="13">
        <v>1</v>
      </c>
      <c r="N723" s="13" t="s">
        <v>1952</v>
      </c>
      <c r="O723" s="13" t="s">
        <v>456</v>
      </c>
      <c r="P723" s="13">
        <v>10140</v>
      </c>
      <c r="R723" s="13" t="s">
        <v>110</v>
      </c>
      <c r="S723" s="13" t="s">
        <v>262</v>
      </c>
      <c r="T723" s="13" t="s">
        <v>263</v>
      </c>
      <c r="U723" s="13" t="s">
        <v>125</v>
      </c>
      <c r="V723" s="13">
        <v>-48</v>
      </c>
      <c r="W723" s="44">
        <f>IF($AX723="Cancelled","",IFERROR(((V723+INDEX(Variables!$B$6:$D$6,IFERROR(MATCH(IF($B723="Robusta","Robusta",(IF($B723="","Arabica",$B723))&amp;" - "&amp;(IF($C723="","Commercial",$C723))),Variables!$B$1:$D$1,0),1)))*22.0462)*(L723/16.67),""))</f>
        <v>102753.54260347929</v>
      </c>
      <c r="X723" s="55" t="s">
        <v>37</v>
      </c>
      <c r="Y723" s="13" t="str">
        <f>IF($AX723="Cancelled","",IF(X723="","",IFERROR(IF(INDEX(Variables!$B$38:$B$47,MATCH(X723,Variables!$A$38:$A$47,0))="Yes","Yes","No"),"No")))</f>
        <v>Yes</v>
      </c>
      <c r="Z723" s="58">
        <v>46051</v>
      </c>
      <c r="AB723" s="31">
        <v>46059</v>
      </c>
      <c r="AC723" s="13" t="str">
        <f t="shared" si="34"/>
        <v>Approved</v>
      </c>
      <c r="AF723" s="71">
        <v>46071</v>
      </c>
      <c r="AG723" s="37">
        <f>IF($AX723="Cancelled","",IFERROR(IF(F723="","",F723-Variables!$B$13),""))</f>
        <v>46097</v>
      </c>
      <c r="AH723" s="13">
        <f>IF($AX723="Cancelled","",IFERROR(IF(AB723="","",(AVERAGE(E723:F723)-AB723)-Variables!$B$14),""))</f>
        <v>8</v>
      </c>
      <c r="AJ723" s="47">
        <v>46078</v>
      </c>
      <c r="AK723" s="14">
        <f>IF($AX723="Cancelled","",IFERROR(IF(AJ723="","",IF(AND(AB723="",AF723=""),"",IF(AF723&gt;AB723,AF723+Variables!$B$15+Variables!$B$16+Variables!$B$17-AJ723,AB723+Variables!$B$16+Variables!$B$17-AJ723))),""))</f>
        <v>8</v>
      </c>
      <c r="AL723" s="48" t="s">
        <v>114</v>
      </c>
      <c r="AM723" s="13" t="s">
        <v>115</v>
      </c>
      <c r="AN723" s="13" t="s">
        <v>1630</v>
      </c>
      <c r="AP723" s="31">
        <v>46089</v>
      </c>
      <c r="AR723" s="13">
        <v>266549676</v>
      </c>
      <c r="AS723" s="31">
        <v>46089</v>
      </c>
      <c r="AU723" s="31">
        <v>46091</v>
      </c>
      <c r="AV723" s="13" t="s">
        <v>865</v>
      </c>
      <c r="AW723" s="31">
        <v>46104</v>
      </c>
      <c r="AX723" s="13" t="str">
        <f>IF(ISNUMBER(SEARCH("cancel",#REF!)),"Cancelled",IF(AND(AS723&lt;&gt;"",AU723&lt;&gt;"",AW723&lt;&gt;""),"Closed","Open"))</f>
        <v>Closed</v>
      </c>
      <c r="AY723" s="15" t="str">
        <f t="shared" si="33"/>
        <v>All dates received</v>
      </c>
      <c r="BD723" s="13">
        <f>IF($AX723="Cancelled","",IFERROR(IF(OR(AS723="",AJ723=""),"",(AJ723+Variables!$B$18-AS723)),""))</f>
        <v>4</v>
      </c>
      <c r="BE723" s="13">
        <f>IF($AX723="Cancelled","",IFERROR(IF(OR(AW723="",AS723=""),"",(AS723+Variables!$B$19)-AW723),""))</f>
        <v>-10</v>
      </c>
      <c r="BF723" s="44">
        <f>IF($AX723="Cancelled","",IFERROR(W723*INDEX(Variables!$B$7:$D$7,IFERROR(MATCH(IF($B723="Robusta","Robusta",(IF($B723="","Arabica",$B723))&amp;" - "&amp;(IF($C723="","Commercial",$C723))),Variables!$B$1:$D$1,0),1))*(BE723/365),""))</f>
        <v>-181.52806807852252</v>
      </c>
      <c r="BG723" s="44">
        <f>IF($AX723="Cancelled","",IFERROR((W723*INDEX(Variables!$B$7:$D$7,IFERROR(MATCH(IF($B723="Robusta","Robusta",(IF($B723="","Arabica",$B723))&amp;" - "&amp;(IF($C723="","Commercial",$C723))),Variables!$B$1:$D$1,0),1))*IFERROR(IF(AB723="","",(AVERAGE(E723:F723)-AB723)-Variables!$B$14),"")/365)+(L723/16.67*INDEX(Variables!$B$8:$D$8,IFERROR(MATCH(IF($B723="Robusta","Robusta",(IF($B723="","Arabica",$B723))&amp;" - "&amp;(IF($C723="","Commercial",$C723))),Variables!$B$1:$D$1,0),1))*IFERROR(IF(AB723="","",(AVERAGE(E723:F723)-AB723)-Variables!$B$14),""))+(W723*INDEX(Variables!$B$9:$D$9,IFERROR(MATCH(IF($B723="Robusta","Robusta",(IF($B723="","Arabica",$B723))&amp;" - "&amp;(IF($C723="","Commercial",$C723))),Variables!$B$1:$D$1,0),1))*IFERROR(IF(AB723="","",(AVERAGE(E723:F723)-AB723)-Variables!$B$14),"")/365),""))</f>
        <v>275.09465216070896</v>
      </c>
      <c r="BH723" s="44">
        <f>IF($AX723="Cancelled","",IFERROR((W723*INDEX(Variables!$B$7:$D$7,IFERROR(MATCH(IF($B723="Robusta","Robusta",(IF($B723="","Arabica",$B723))&amp;" - "&amp;(IF($C723="","Commercial",$C723))),Variables!$B$1:$D$1,0),1))*AK723/365)+(L723/16.67*INDEX(Variables!$B$8:$D$8,IFERROR(MATCH(IF($B723="Robusta","Robusta",(IF($B723="","Arabica",$B723))&amp;" - "&amp;(IF($C723="","Commercial",$C723))),Variables!$B$1:$D$1,0),1))*AK723)+(W723*INDEX(Variables!$B$9:$D$9,IFERROR(MATCH(IF($B723="Robusta","Robusta",(IF($B723="","Arabica",$B723))&amp;" - "&amp;(IF($C723="","Commercial",$C723))),Variables!$B$1:$D$1,0),1))*AK723/365),""))</f>
        <v>275.09465216070896</v>
      </c>
      <c r="BI723" s="44">
        <f>IF($AX723="Cancelled","",IFERROR((W723*INDEX(Variables!$B$7:$D$7,IFERROR(MATCH(IF($B723="Robusta","Robusta",(IF($B723="","Arabica",$B723))&amp;" - "&amp;(IF($C723="","Commercial",$C723))),Variables!$B$1:$D$1,0),1))*BD723/365)+(L723/16.67*INDEX(Variables!$B$8:$D$8,IFERROR(MATCH(IF($B723="Robusta","Robusta",(IF($B723="","Arabica",$B723))&amp;" - "&amp;(IF($C723="","Commercial",$C723))),Variables!$B$1:$D$1,0),1))*BD723)+(W723*INDEX(Variables!$B$9:$D$9,IFERROR(MATCH(IF($B723="Robusta","Robusta",(IF($B723="","Arabica",$B723))&amp;" - "&amp;(IF($C723="","Commercial",$C723))),Variables!$B$1:$D$1,0),1))*BD723/365),""))</f>
        <v>137.54732608035448</v>
      </c>
      <c r="BJ723" s="44">
        <f t="shared" si="35"/>
        <v>23</v>
      </c>
      <c r="BK723" s="44">
        <f>IF($AX723="Cancelled","",IFERROR(IF(BJ723="","",(W723*INDEX(Variables!$B$7:$D$7,IFERROR(MATCH(IF($B723="Robusta","Robusta",(IF($B723="","Arabica",$B723))&amp;" - "&amp;(IF($C723="","Commercial",$C723))),Variables!$B$1:$D$1,0),1))*(BJ723/365))+(W723*INDEX(Variables!$B$9:$D$9,IFERROR(MATCH(IF($B723="Robusta","Robusta",(IF($B723="","Arabica",$B723))&amp;" - "&amp;(IF($C723="","Commercial",$C723))),Variables!$B$1:$D$1,0),1))*(BJ723/365))+(INDEX(Variables!$B$8:$D$8,IFERROR(MATCH(IF($B723="Robusta","Robusta",(IF($B723="","Arabica",$B723))&amp;" - "&amp;(IF($C723="","Commercial",$C723))),Variables!$B$1:$D$1,0),1))*L723/16.67)),""))</f>
        <v>438.89712496203816</v>
      </c>
    </row>
    <row r="724" spans="1:63">
      <c r="A724" s="13" t="s">
        <v>103</v>
      </c>
      <c r="B724" s="13" t="s">
        <v>104</v>
      </c>
      <c r="C724" s="13" t="s">
        <v>105</v>
      </c>
      <c r="D724" s="31">
        <v>46048</v>
      </c>
      <c r="E724" s="31">
        <v>46113</v>
      </c>
      <c r="F724" s="31">
        <v>46142</v>
      </c>
      <c r="G724" s="13">
        <v>3787165</v>
      </c>
      <c r="H724" s="13">
        <v>5499</v>
      </c>
      <c r="J724" s="13" t="s">
        <v>260</v>
      </c>
      <c r="K724" s="13">
        <v>5499</v>
      </c>
      <c r="L724" s="13">
        <v>333</v>
      </c>
      <c r="M724" s="13">
        <v>1</v>
      </c>
      <c r="N724" s="13" t="s">
        <v>1953</v>
      </c>
      <c r="O724" s="13" t="s">
        <v>456</v>
      </c>
      <c r="P724" s="13">
        <v>10140</v>
      </c>
      <c r="R724" s="13" t="s">
        <v>271</v>
      </c>
      <c r="S724" s="13" t="s">
        <v>1954</v>
      </c>
      <c r="T724" s="13" t="s">
        <v>263</v>
      </c>
      <c r="U724" s="13" t="s">
        <v>125</v>
      </c>
      <c r="V724" s="23">
        <v>-48</v>
      </c>
      <c r="W724" s="44">
        <f>IF($AX724="Cancelled","",IFERROR(((V724+INDEX(Variables!$B$6:$D$6,IFERROR(MATCH(IF($B724="Robusta","Robusta",(IF($B724="","Arabica",$B724))&amp;" - "&amp;(IF($C724="","Commercial",$C724))),Variables!$B$1:$D$1,0),1)))*22.0462)*(L724/16.67),""))</f>
        <v>106927.90527174564</v>
      </c>
      <c r="X724" s="55" t="s">
        <v>37</v>
      </c>
      <c r="Y724" s="13" t="str">
        <f>IF($AX724="Cancelled","",IF(X724="","",IFERROR(IF(INDEX(Variables!$B$38:$B$47,MATCH(X724,Variables!$A$38:$A$47,0))="Yes","Yes","No"),"No")))</f>
        <v>Yes</v>
      </c>
      <c r="Z724" s="58">
        <v>46051</v>
      </c>
      <c r="AB724" s="31">
        <v>46059</v>
      </c>
      <c r="AC724" s="13" t="str">
        <f t="shared" si="34"/>
        <v>Approved</v>
      </c>
      <c r="AF724" s="71">
        <v>46141</v>
      </c>
      <c r="AG724" s="37">
        <f>IF($AX724="Cancelled","",IFERROR(IF(F724="","",F724-Variables!$B$13),""))</f>
        <v>46127</v>
      </c>
      <c r="AH724" s="13">
        <f>IF($AX724="Cancelled","",IFERROR(IF(AB724="","",(AVERAGE(E724:F724)-AB724)-Variables!$B$14),""))</f>
        <v>38.5</v>
      </c>
      <c r="AJ724" s="47">
        <v>46141</v>
      </c>
      <c r="AK724" s="14">
        <f>IF($AX724="Cancelled","",IFERROR(IF(AJ724="","",IF(AND(AB724="",AF724=""),"",IF(AF724&gt;AB724,AF724+Variables!$B$15+Variables!$B$16+Variables!$B$17-AJ724,AB724+Variables!$B$16+Variables!$B$17-AJ724))),""))</f>
        <v>15</v>
      </c>
      <c r="AL724" s="48" t="s">
        <v>114</v>
      </c>
      <c r="AM724" s="13" t="s">
        <v>115</v>
      </c>
      <c r="AN724" s="13" t="s">
        <v>1955</v>
      </c>
      <c r="AP724" s="31">
        <v>46164</v>
      </c>
      <c r="AR724" s="13" t="s">
        <v>1956</v>
      </c>
      <c r="AS724" s="31">
        <v>46164</v>
      </c>
      <c r="AU724" s="31">
        <v>46176</v>
      </c>
      <c r="AV724" s="13" t="s">
        <v>8</v>
      </c>
      <c r="AW724" s="31">
        <v>46176</v>
      </c>
      <c r="AX724" s="13" t="str">
        <f>IF(ISNUMBER(SEARCH("cancel",#REF!)),"Cancelled",IF(AND(AS724&lt;&gt;"",AU724&lt;&gt;"",AW724&lt;&gt;""),"Closed","Open"))</f>
        <v>Closed</v>
      </c>
      <c r="AY724" s="15" t="str">
        <f t="shared" si="33"/>
        <v>All dates received</v>
      </c>
      <c r="BD724" s="13">
        <f>IF($AX724="Cancelled","",IFERROR(IF(OR(AS724="",AJ724=""),"",(AJ724+Variables!$B$18-AS724)),""))</f>
        <v>-8</v>
      </c>
      <c r="BE724" s="13">
        <f>IF($AX724="Cancelled","",IFERROR(IF(OR(AW724="",AS724=""),"",(AS724+Variables!$B$19)-AW724),""))</f>
        <v>-7</v>
      </c>
      <c r="BF724" s="44">
        <f>IF($AX724="Cancelled","",IFERROR(W724*INDEX(Variables!$B$7:$D$7,IFERROR(MATCH(IF($B724="Robusta","Robusta",(IF($B724="","Arabica",$B724))&amp;" - "&amp;(IF($C724="","Commercial",$C724))),Variables!$B$1:$D$1,0),1))*(BE724/365),""))</f>
        <v>-132.23185209094876</v>
      </c>
      <c r="BG724" s="44">
        <f>IF($AX724="Cancelled","",IFERROR((W724*INDEX(Variables!$B$7:$D$7,IFERROR(MATCH(IF($B724="Robusta","Robusta",(IF($B724="","Arabica",$B724))&amp;" - "&amp;(IF($C724="","Commercial",$C724))),Variables!$B$1:$D$1,0),1))*IFERROR(IF(AB724="","",(AVERAGE(E724:F724)-AB724)-Variables!$B$14),"")/365)+(L724/16.67*INDEX(Variables!$B$8:$D$8,IFERROR(MATCH(IF($B724="Robusta","Robusta",(IF($B724="","Arabica",$B724))&amp;" - "&amp;(IF($C724="","Commercial",$C724))),Variables!$B$1:$D$1,0),1))*IFERROR(IF(AB724="","",(AVERAGE(E724:F724)-AB724)-Variables!$B$14),""))+(W724*INDEX(Variables!$B$9:$D$9,IFERROR(MATCH(IF($B724="Robusta","Robusta",(IF($B724="","Arabica",$B724))&amp;" - "&amp;(IF($C724="","Commercial",$C724))),Variables!$B$1:$D$1,0),1))*IFERROR(IF(AB724="","",(AVERAGE(E724:F724)-AB724)-Variables!$B$14),"")/365),""))</f>
        <v>1377.6761671978006</v>
      </c>
      <c r="BH724" s="44">
        <f>IF($AX724="Cancelled","",IFERROR((W724*INDEX(Variables!$B$7:$D$7,IFERROR(MATCH(IF($B724="Robusta","Robusta",(IF($B724="","Arabica",$B724))&amp;" - "&amp;(IF($C724="","Commercial",$C724))),Variables!$B$1:$D$1,0),1))*AK724/365)+(L724/16.67*INDEX(Variables!$B$8:$D$8,IFERROR(MATCH(IF($B724="Robusta","Robusta",(IF($B724="","Arabica",$B724))&amp;" - "&amp;(IF($C724="","Commercial",$C724))),Variables!$B$1:$D$1,0),1))*AK724)+(W724*INDEX(Variables!$B$9:$D$9,IFERROR(MATCH(IF($B724="Robusta","Robusta",(IF($B724="","Arabica",$B724))&amp;" - "&amp;(IF($C724="","Commercial",$C724))),Variables!$B$1:$D$1,0),1))*AK724/365),""))</f>
        <v>536.7569482588832</v>
      </c>
      <c r="BI724" s="44">
        <f>IF($AX724="Cancelled","",IFERROR((W724*INDEX(Variables!$B$7:$D$7,IFERROR(MATCH(IF($B724="Robusta","Robusta",(IF($B724="","Arabica",$B724))&amp;" - "&amp;(IF($C724="","Commercial",$C724))),Variables!$B$1:$D$1,0),1))*BD724/365)+(L724/16.67*INDEX(Variables!$B$8:$D$8,IFERROR(MATCH(IF($B724="Robusta","Robusta",(IF($B724="","Arabica",$B724))&amp;" - "&amp;(IF($C724="","Commercial",$C724))),Variables!$B$1:$D$1,0),1))*BD724)+(W724*INDEX(Variables!$B$9:$D$9,IFERROR(MATCH(IF($B724="Robusta","Robusta",(IF($B724="","Arabica",$B724))&amp;" - "&amp;(IF($C724="","Commercial",$C724))),Variables!$B$1:$D$1,0),1))*BD724/365),""))</f>
        <v>-286.27037240473771</v>
      </c>
      <c r="BJ724" s="44">
        <f t="shared" si="35"/>
        <v>-22</v>
      </c>
      <c r="BK724" s="44">
        <f>IF($AX724="Cancelled","",IFERROR(IF(BJ724="","",(W724*INDEX(Variables!$B$7:$D$7,IFERROR(MATCH(IF($B724="Robusta","Robusta",(IF($B724="","Arabica",$B724))&amp;" - "&amp;(IF($C724="","Commercial",$C724))),Variables!$B$1:$D$1,0),1))*(BJ724/365))+(W724*INDEX(Variables!$B$9:$D$9,IFERROR(MATCH(IF($B724="Robusta","Robusta",(IF($B724="","Arabica",$B724))&amp;" - "&amp;(IF($C724="","Commercial",$C724))),Variables!$B$1:$D$1,0),1))*(BJ724/365))+(INDEX(Variables!$B$8:$D$8,IFERROR(MATCH(IF($B724="Robusta","Robusta",(IF($B724="","Arabica",$B724))&amp;" - "&amp;(IF($C724="","Commercial",$C724))),Variables!$B$1:$D$1,0),1))*L724/16.67)),""))</f>
        <v>-404.29352411302881</v>
      </c>
    </row>
    <row r="725" spans="1:63">
      <c r="A725" s="13" t="s">
        <v>103</v>
      </c>
      <c r="B725" s="13" t="s">
        <v>104</v>
      </c>
      <c r="C725" s="13" t="s">
        <v>292</v>
      </c>
      <c r="D725" s="31">
        <v>46049</v>
      </c>
      <c r="E725" s="31">
        <v>46054</v>
      </c>
      <c r="F725" s="31">
        <v>46081</v>
      </c>
      <c r="G725" s="13">
        <v>3787166</v>
      </c>
      <c r="H725" s="13" t="s">
        <v>1957</v>
      </c>
      <c r="J725" s="13" t="s">
        <v>294</v>
      </c>
      <c r="K725" s="13" t="s">
        <v>1958</v>
      </c>
      <c r="L725" s="13">
        <v>70</v>
      </c>
      <c r="M725" s="13">
        <v>1</v>
      </c>
      <c r="N725" s="13" t="s">
        <v>1959</v>
      </c>
      <c r="O725" s="13" t="s">
        <v>1960</v>
      </c>
      <c r="P725" s="13">
        <v>10040</v>
      </c>
      <c r="R725" s="13" t="s">
        <v>239</v>
      </c>
      <c r="S725" s="13" t="s">
        <v>299</v>
      </c>
      <c r="T725" s="13" t="s">
        <v>305</v>
      </c>
      <c r="U725" s="13" t="s">
        <v>125</v>
      </c>
      <c r="V725" s="13">
        <v>107</v>
      </c>
      <c r="W725" s="44">
        <f>IF($AX725="Cancelled","",IFERROR(((V725+INDEX(Variables!$B$6:$D$6,IFERROR(MATCH(IF($B725="Robusta","Robusta",(IF($B725="","Arabica",$B725))&amp;" - "&amp;(IF($C725="","Commercial",$C725))),Variables!$B$1:$D$1,0),1)))*22.0462)*(L725/16.67),""))</f>
        <v>36826.543803239343</v>
      </c>
      <c r="X725" s="55" t="s">
        <v>39</v>
      </c>
      <c r="Y725" s="13" t="str">
        <f>IF($AX725="Cancelled","",IF(X725="","",IFERROR(IF(INDEX(Variables!$B$38:$B$47,MATCH(X725,Variables!$A$38:$A$47,0))="Yes","Yes","No"),"No")))</f>
        <v>No</v>
      </c>
      <c r="Z725" s="31"/>
      <c r="AB725" s="31">
        <v>46036.875</v>
      </c>
      <c r="AC725" s="13" t="str">
        <f t="shared" si="34"/>
        <v>Approved</v>
      </c>
      <c r="AF725" s="71">
        <v>46065</v>
      </c>
      <c r="AG725" s="31">
        <f>IF($AX725="Cancelled","",IFERROR(IF(F725="","",F725-Variables!$B$13),""))</f>
        <v>46066</v>
      </c>
      <c r="AH725" s="13">
        <f>IF($AX725="Cancelled","",IFERROR(IF(AB725="","",(AVERAGE(E725:F725)-AB725)-Variables!$B$14),""))</f>
        <v>0.625</v>
      </c>
      <c r="AJ725" s="47">
        <v>46080</v>
      </c>
      <c r="AK725" s="14">
        <f>IF($AX725="Cancelled","",IFERROR(IF(AJ725="","",IF(AND(AB725="",AF725=""),"",IF(AF725&gt;AB725,AF725+Variables!$B$15+Variables!$B$16+Variables!$B$17-AJ725,AB725+Variables!$B$16+Variables!$B$17-AJ725))),""))</f>
        <v>0</v>
      </c>
      <c r="AL725" s="48" t="s">
        <v>114</v>
      </c>
      <c r="AM725" s="13" t="s">
        <v>1526</v>
      </c>
      <c r="AN725" s="13" t="s">
        <v>1527</v>
      </c>
      <c r="AP725" s="31" t="e">
        <v>#N/A</v>
      </c>
      <c r="AR725" s="13" t="s">
        <v>1961</v>
      </c>
      <c r="AS725" s="31">
        <v>46093</v>
      </c>
      <c r="AU725" s="31">
        <v>46113</v>
      </c>
      <c r="AV725" s="13" t="s">
        <v>865</v>
      </c>
      <c r="AW725" s="31">
        <v>46127</v>
      </c>
      <c r="AX725" s="13" t="str">
        <f>IF(ISNUMBER(SEARCH("cancel",#REF!)),"Cancelled",IF(AND(AS725&lt;&gt;"",AU725&lt;&gt;"",AW725&lt;&gt;""),"Closed","Open"))</f>
        <v>Closed</v>
      </c>
      <c r="AY725" s="15" t="str">
        <f t="shared" si="33"/>
        <v>All dates received</v>
      </c>
      <c r="BD725" s="13">
        <f>IF($AX725="Cancelled","",IFERROR(IF(OR(AS725="",AJ725=""),"",(AJ725+Variables!$B$18-AS725)),""))</f>
        <v>2</v>
      </c>
      <c r="BE725" s="13">
        <f>IF($AX725="Cancelled","",IFERROR(IF(OR(AW725="",AS725=""),"",(AS725+Variables!$B$19)-AW725),""))</f>
        <v>-29</v>
      </c>
      <c r="BF725" s="44">
        <f>IF($AX725="Cancelled","",IFERROR(W725*INDEX(Variables!$B$7:$D$7,IFERROR(MATCH(IF($B725="Robusta","Robusta",(IF($B725="","Arabica",$B725))&amp;" - "&amp;(IF($C725="","Commercial",$C725))),Variables!$B$1:$D$1,0),1))*(BE725/365),""))</f>
        <v>-188.67134334807662</v>
      </c>
      <c r="BG725" s="44">
        <f>IF($AX725="Cancelled","",IFERROR((W725*INDEX(Variables!$B$7:$D$7,IFERROR(MATCH(IF($B725="Robusta","Robusta",(IF($B725="","Arabica",$B725))&amp;" - "&amp;(IF($C725="","Commercial",$C725))),Variables!$B$1:$D$1,0),1))*IFERROR(IF(AB725="","",(AVERAGE(E725:F725)-AB725)-Variables!$B$14),"")/365)+(L725/16.67*INDEX(Variables!$B$8:$D$8,IFERROR(MATCH(IF($B725="Robusta","Robusta",(IF($B725="","Arabica",$B725))&amp;" - "&amp;(IF($C725="","Commercial",$C725))),Variables!$B$1:$D$1,0),1))*IFERROR(IF(AB725="","",(AVERAGE(E725:F725)-AB725)-Variables!$B$14),""))+(W725*INDEX(Variables!$B$9:$D$9,IFERROR(MATCH(IF($B725="Robusta","Robusta",(IF($B725="","Arabica",$B725))&amp;" - "&amp;(IF($C725="","Commercial",$C725))),Variables!$B$1:$D$1,0),1))*IFERROR(IF(AB725="","",(AVERAGE(E725:F725)-AB725)-Variables!$B$14),"")/365),""))</f>
        <v>6.3061138162549195</v>
      </c>
      <c r="BH725" s="44">
        <f>IF($AX725="Cancelled","",IFERROR((W725*INDEX(Variables!$B$7:$D$7,IFERROR(MATCH(IF($B725="Robusta","Robusta",(IF($B725="","Arabica",$B725))&amp;" - "&amp;(IF($C725="","Commercial",$C725))),Variables!$B$1:$D$1,0),1))*AK725/365)+(L725/16.67*INDEX(Variables!$B$8:$D$8,IFERROR(MATCH(IF($B725="Robusta","Robusta",(IF($B725="","Arabica",$B725))&amp;" - "&amp;(IF($C725="","Commercial",$C725))),Variables!$B$1:$D$1,0),1))*AK725)+(W725*INDEX(Variables!$B$9:$D$9,IFERROR(MATCH(IF($B725="Robusta","Robusta",(IF($B725="","Arabica",$B725))&amp;" - "&amp;(IF($C725="","Commercial",$C725))),Variables!$B$1:$D$1,0),1))*AK725/365),""))</f>
        <v>0</v>
      </c>
      <c r="BI725" s="44">
        <f>IF($AX725="Cancelled","",IFERROR((W725*INDEX(Variables!$B$7:$D$7,IFERROR(MATCH(IF($B725="Robusta","Robusta",(IF($B725="","Arabica",$B725))&amp;" - "&amp;(IF($C725="","Commercial",$C725))),Variables!$B$1:$D$1,0),1))*BD725/365)+(L725/16.67*INDEX(Variables!$B$8:$D$8,IFERROR(MATCH(IF($B725="Robusta","Robusta",(IF($B725="","Arabica",$B725))&amp;" - "&amp;(IF($C725="","Commercial",$C725))),Variables!$B$1:$D$1,0),1))*BD725)+(W725*INDEX(Variables!$B$9:$D$9,IFERROR(MATCH(IF($B725="Robusta","Robusta",(IF($B725="","Arabica",$B725))&amp;" - "&amp;(IF($C725="","Commercial",$C725))),Variables!$B$1:$D$1,0),1))*BD725/365),""))</f>
        <v>20.179564212015741</v>
      </c>
      <c r="BJ725" s="44">
        <f t="shared" si="35"/>
        <v>-12</v>
      </c>
      <c r="BK725" s="44">
        <f>IF($AX725="Cancelled","",IFERROR(IF(BJ725="","",(W725*INDEX(Variables!$B$7:$D$7,IFERROR(MATCH(IF($B725="Robusta","Robusta",(IF($B725="","Arabica",$B725))&amp;" - "&amp;(IF($C725="","Commercial",$C725))),Variables!$B$1:$D$1,0),1))*(BJ725/365))+(W725*INDEX(Variables!$B$9:$D$9,IFERROR(MATCH(IF($B725="Robusta","Robusta",(IF($B725="","Arabica",$B725))&amp;" - "&amp;(IF($C725="","Commercial",$C725))),Variables!$B$1:$D$1,0),1))*(BJ725/365))+(INDEX(Variables!$B$8:$D$8,IFERROR(MATCH(IF($B725="Robusta","Robusta",(IF($B725="","Arabica",$B725))&amp;" - "&amp;(IF($C725="","Commercial",$C725))),Variables!$B$1:$D$1,0),1))*L725/16.67)),""))</f>
        <v>-75.577385272094446</v>
      </c>
    </row>
    <row r="726" spans="1:63">
      <c r="A726" s="13" t="s">
        <v>103</v>
      </c>
      <c r="B726" s="13" t="s">
        <v>104</v>
      </c>
      <c r="C726" s="13" t="s">
        <v>292</v>
      </c>
      <c r="D726" s="31">
        <v>46049</v>
      </c>
      <c r="E726" s="31">
        <v>46054</v>
      </c>
      <c r="F726" s="31">
        <v>46081</v>
      </c>
      <c r="G726" s="13">
        <v>3787167</v>
      </c>
      <c r="H726" s="13" t="s">
        <v>1962</v>
      </c>
      <c r="J726" s="13" t="s">
        <v>294</v>
      </c>
      <c r="L726" s="13">
        <v>50</v>
      </c>
      <c r="M726" s="13">
        <v>0</v>
      </c>
      <c r="N726" s="13" t="s">
        <v>1963</v>
      </c>
      <c r="O726" s="13" t="s">
        <v>1960</v>
      </c>
      <c r="P726" s="13">
        <v>10040</v>
      </c>
      <c r="R726" s="13" t="s">
        <v>384</v>
      </c>
      <c r="S726" s="13" t="s">
        <v>299</v>
      </c>
      <c r="T726" s="13" t="s">
        <v>305</v>
      </c>
      <c r="U726" s="13" t="s">
        <v>125</v>
      </c>
      <c r="V726" s="13">
        <v>105</v>
      </c>
      <c r="W726" s="44">
        <f>IF($AX726="Cancelled","",IFERROR(((V726+INDEX(Variables!$B$6:$D$6,IFERROR(MATCH(IF($B726="Robusta","Robusta",(IF($B726="","Arabica",$B726))&amp;" - "&amp;(IF($C726="","Commercial",$C726))),Variables!$B$1:$D$1,0),1)))*22.0462)*(L726/16.67),""))</f>
        <v>26172.42339532093</v>
      </c>
      <c r="X726" s="55" t="s">
        <v>39</v>
      </c>
      <c r="Y726" s="13" t="str">
        <f>IF($AX726="Cancelled","",IF(X726="","",IFERROR(IF(INDEX(Variables!$B$38:$B$47,MATCH(X726,Variables!$A$38:$A$47,0))="Yes","Yes","No"),"No")))</f>
        <v>No</v>
      </c>
      <c r="Z726" s="31"/>
      <c r="AC726" s="13" t="str">
        <f t="shared" si="34"/>
        <v/>
      </c>
      <c r="AF726" s="71"/>
      <c r="AG726" s="37">
        <f>IF($AX726="Cancelled","",IFERROR(IF(F726="","",F726-Variables!$B$13),""))</f>
        <v>46066</v>
      </c>
      <c r="AH726" s="13" t="str">
        <f>IF($AX726="Cancelled","",IFERROR(IF(AB726="","",(AVERAGE(E726:F726)-AB726)-Variables!$B$14),""))</f>
        <v/>
      </c>
      <c r="AJ726" s="47">
        <v>46080</v>
      </c>
      <c r="AK726" s="14" t="str">
        <f>IF($AX726="Cancelled","",IFERROR(IF(AJ726="","",IF(AND(AB726="",AF726=""),"",IF(AF726&gt;AB726,AF726+Variables!$B$15+Variables!$B$16+Variables!$B$17-AJ726,AB726+Variables!$B$16+Variables!$B$17-AJ726))),""))</f>
        <v/>
      </c>
      <c r="AL726" s="48" t="s">
        <v>114</v>
      </c>
      <c r="AM726" s="13" t="s">
        <v>1526</v>
      </c>
      <c r="AN726" s="13" t="s">
        <v>1964</v>
      </c>
      <c r="AP726" s="31" t="e">
        <v>#N/A</v>
      </c>
      <c r="AR726" s="13" t="s">
        <v>1961</v>
      </c>
      <c r="AS726" s="31">
        <v>46093</v>
      </c>
      <c r="AU726" s="31">
        <v>46093</v>
      </c>
      <c r="AV726" s="13" t="s">
        <v>865</v>
      </c>
      <c r="AW726" s="31">
        <v>46093</v>
      </c>
      <c r="AX726" s="13" t="str">
        <f>IF(ISNUMBER(SEARCH("cancel",#REF!)),"Cancelled",IF(AND(AS726&lt;&gt;"",AU726&lt;&gt;"",AW726&lt;&gt;""),"Closed","Open"))</f>
        <v>Closed</v>
      </c>
      <c r="AY726" s="15" t="str">
        <f t="shared" si="33"/>
        <v>All dates received</v>
      </c>
      <c r="BD726" s="13">
        <f>IF($AX726="Cancelled","",IFERROR(IF(OR(AS726="",AJ726=""),"",(AJ726+Variables!$B$18-AS726)),""))</f>
        <v>2</v>
      </c>
      <c r="BE726" s="13">
        <f>IF($AX726="Cancelled","",IFERROR(IF(OR(AW726="",AS726=""),"",(AS726+Variables!$B$19)-AW726),""))</f>
        <v>5</v>
      </c>
      <c r="BF726" s="44">
        <f>IF($AX726="Cancelled","",IFERROR(W726*INDEX(Variables!$B$7:$D$7,IFERROR(MATCH(IF($B726="Robusta","Robusta",(IF($B726="","Arabica",$B726))&amp;" - "&amp;(IF($C726="","Commercial",$C726))),Variables!$B$1:$D$1,0),1))*(BE726/365),""))</f>
        <v>23.118567669339225</v>
      </c>
      <c r="BG726" s="44" t="str">
        <f>IF($AX726="Cancelled","",IFERROR((W726*INDEX(Variables!$B$7:$D$7,IFERROR(MATCH(IF($B726="Robusta","Robusta",(IF($B726="","Arabica",$B726))&amp;" - "&amp;(IF($C726="","Commercial",$C726))),Variables!$B$1:$D$1,0),1))*IFERROR(IF(AB726="","",(AVERAGE(E726:F726)-AB726)-Variables!$B$14),"")/365)+(L726/16.67*INDEX(Variables!$B$8:$D$8,IFERROR(MATCH(IF($B726="Robusta","Robusta",(IF($B726="","Arabica",$B726))&amp;" - "&amp;(IF($C726="","Commercial",$C726))),Variables!$B$1:$D$1,0),1))*IFERROR(IF(AB726="","",(AVERAGE(E726:F726)-AB726)-Variables!$B$14),""))+(W726*INDEX(Variables!$B$9:$D$9,IFERROR(MATCH(IF($B726="Robusta","Robusta",(IF($B726="","Arabica",$B726))&amp;" - "&amp;(IF($C726="","Commercial",$C726))),Variables!$B$1:$D$1,0),1))*IFERROR(IF(AB726="","",(AVERAGE(E726:F726)-AB726)-Variables!$B$14),"")/365),""))</f>
        <v/>
      </c>
      <c r="BH726" s="44" t="str">
        <f>IF($AX726="Cancelled","",IFERROR((W726*INDEX(Variables!$B$7:$D$7,IFERROR(MATCH(IF($B726="Robusta","Robusta",(IF($B726="","Arabica",$B726))&amp;" - "&amp;(IF($C726="","Commercial",$C726))),Variables!$B$1:$D$1,0),1))*AK726/365)+(L726/16.67*INDEX(Variables!$B$8:$D$8,IFERROR(MATCH(IF($B726="Robusta","Robusta",(IF($B726="","Arabica",$B726))&amp;" - "&amp;(IF($C726="","Commercial",$C726))),Variables!$B$1:$D$1,0),1))*AK726)+(W726*INDEX(Variables!$B$9:$D$9,IFERROR(MATCH(IF($B726="Robusta","Robusta",(IF($B726="","Arabica",$B726))&amp;" - "&amp;(IF($C726="","Commercial",$C726))),Variables!$B$1:$D$1,0),1))*AK726/365),""))</f>
        <v/>
      </c>
      <c r="BI726" s="44">
        <f>IF($AX726="Cancelled","",IFERROR((W726*INDEX(Variables!$B$7:$D$7,IFERROR(MATCH(IF($B726="Robusta","Robusta",(IF($B726="","Arabica",$B726))&amp;" - "&amp;(IF($C726="","Commercial",$C726))),Variables!$B$1:$D$1,0),1))*BD726/365)+(L726/16.67*INDEX(Variables!$B$8:$D$8,IFERROR(MATCH(IF($B726="Robusta","Robusta",(IF($B726="","Arabica",$B726))&amp;" - "&amp;(IF($C726="","Commercial",$C726))),Variables!$B$1:$D$1,0),1))*BD726)+(W726*INDEX(Variables!$B$9:$D$9,IFERROR(MATCH(IF($B726="Robusta","Robusta",(IF($B726="","Arabica",$B726))&amp;" - "&amp;(IF($C726="","Commercial",$C726))),Variables!$B$1:$D$1,0),1))*BD726/365),""))</f>
        <v>14.366644248933115</v>
      </c>
      <c r="BJ726" s="44">
        <f t="shared" si="35"/>
        <v>-12</v>
      </c>
      <c r="BK726" s="44">
        <f>IF($AX726="Cancelled","",IFERROR(IF(BJ726="","",(W726*INDEX(Variables!$B$7:$D$7,IFERROR(MATCH(IF($B726="Robusta","Robusta",(IF($B726="","Arabica",$B726))&amp;" - "&amp;(IF($C726="","Commercial",$C726))),Variables!$B$1:$D$1,0),1))*(BJ726/365))+(W726*INDEX(Variables!$B$9:$D$9,IFERROR(MATCH(IF($B726="Robusta","Robusta",(IF($B726="","Arabica",$B726))&amp;" - "&amp;(IF($C726="","Commercial",$C726))),Variables!$B$1:$D$1,0),1))*(BJ726/365))+(INDEX(Variables!$B$8:$D$8,IFERROR(MATCH(IF($B726="Robusta","Robusta",(IF($B726="","Arabica",$B726))&amp;" - "&amp;(IF($C726="","Commercial",$C726))),Variables!$B$1:$D$1,0),1))*L726/16.67)),""))</f>
        <v>-53.699865493598693</v>
      </c>
    </row>
    <row r="727" spans="1:63">
      <c r="A727" s="13" t="s">
        <v>103</v>
      </c>
      <c r="B727" s="13" t="s">
        <v>104</v>
      </c>
      <c r="C727" s="13" t="s">
        <v>292</v>
      </c>
      <c r="D727" s="31">
        <v>46049</v>
      </c>
      <c r="E727" s="31">
        <v>46054</v>
      </c>
      <c r="F727" s="31">
        <v>46081</v>
      </c>
      <c r="G727" s="13">
        <v>3787168</v>
      </c>
      <c r="H727" s="13" t="s">
        <v>1965</v>
      </c>
      <c r="J727" s="13" t="s">
        <v>294</v>
      </c>
      <c r="L727" s="13">
        <v>50</v>
      </c>
      <c r="M727" s="13">
        <v>0</v>
      </c>
      <c r="N727" s="13" t="s">
        <v>1966</v>
      </c>
      <c r="O727" s="13" t="s">
        <v>1960</v>
      </c>
      <c r="P727" s="13">
        <v>10040</v>
      </c>
      <c r="R727" s="13" t="s">
        <v>384</v>
      </c>
      <c r="S727" s="13" t="s">
        <v>299</v>
      </c>
      <c r="T727" s="13" t="s">
        <v>305</v>
      </c>
      <c r="U727" s="13" t="s">
        <v>125</v>
      </c>
      <c r="V727" s="13">
        <v>113</v>
      </c>
      <c r="W727" s="44">
        <f>IF($AX727="Cancelled","",IFERROR(((V727+INDEX(Variables!$B$6:$D$6,IFERROR(MATCH(IF($B727="Robusta","Robusta",(IF($B727="","Arabica",$B727))&amp;" - "&amp;(IF($C727="","Commercial",$C727))),Variables!$B$1:$D$1,0),1)))*22.0462)*(L727/16.67),""))</f>
        <v>26701.426394721049</v>
      </c>
      <c r="X727" s="55" t="s">
        <v>39</v>
      </c>
      <c r="Y727" s="13" t="str">
        <f>IF($AX727="Cancelled","",IF(X727="","",IFERROR(IF(INDEX(Variables!$B$38:$B$47,MATCH(X727,Variables!$A$38:$A$47,0))="Yes","Yes","No"),"No")))</f>
        <v>No</v>
      </c>
      <c r="Z727" s="31"/>
      <c r="AC727" s="13" t="str">
        <f t="shared" si="34"/>
        <v/>
      </c>
      <c r="AF727" s="71"/>
      <c r="AG727" s="37">
        <f>IF($AX727="Cancelled","",IFERROR(IF(F727="","",F727-Variables!$B$13),""))</f>
        <v>46066</v>
      </c>
      <c r="AH727" s="13" t="str">
        <f>IF($AX727="Cancelled","",IFERROR(IF(AB727="","",(AVERAGE(E727:F727)-AB727)-Variables!$B$14),""))</f>
        <v/>
      </c>
      <c r="AJ727" s="47">
        <v>46080</v>
      </c>
      <c r="AK727" s="14" t="str">
        <f>IF($AX727="Cancelled","",IFERROR(IF(AJ727="","",IF(AND(AB727="",AF727=""),"",IF(AF727&gt;AB727,AF727+Variables!$B$15+Variables!$B$16+Variables!$B$17-AJ727,AB727+Variables!$B$16+Variables!$B$17-AJ727))),""))</f>
        <v/>
      </c>
      <c r="AL727" s="48" t="s">
        <v>114</v>
      </c>
      <c r="AM727" s="13" t="s">
        <v>1526</v>
      </c>
      <c r="AN727" s="13" t="s">
        <v>1964</v>
      </c>
      <c r="AP727" s="31" t="e">
        <v>#N/A</v>
      </c>
      <c r="AR727" s="13" t="s">
        <v>1961</v>
      </c>
      <c r="AS727" s="31">
        <v>46093</v>
      </c>
      <c r="AU727" s="31">
        <v>46093</v>
      </c>
      <c r="AV727" s="13" t="s">
        <v>865</v>
      </c>
      <c r="AW727" s="31">
        <v>46093</v>
      </c>
      <c r="AX727" s="13" t="str">
        <f>IF(ISNUMBER(SEARCH("cancel",#REF!)),"Cancelled",IF(AND(AS727&lt;&gt;"",AU727&lt;&gt;"",AW727&lt;&gt;""),"Closed","Open"))</f>
        <v>Closed</v>
      </c>
      <c r="AY727" s="15" t="str">
        <f t="shared" si="33"/>
        <v>All dates received</v>
      </c>
      <c r="BD727" s="13">
        <f>IF($AX727="Cancelled","",IFERROR(IF(OR(AS727="",AJ727=""),"",(AJ727+Variables!$B$18-AS727)),""))</f>
        <v>2</v>
      </c>
      <c r="BE727" s="13">
        <f>IF($AX727="Cancelled","",IFERROR(IF(OR(AW727="",AS727=""),"",(AS727+Variables!$B$19)-AW727),""))</f>
        <v>5</v>
      </c>
      <c r="BF727" s="44">
        <f>IF($AX727="Cancelled","",IFERROR(W727*INDEX(Variables!$B$7:$D$7,IFERROR(MATCH(IF($B727="Robusta","Robusta",(IF($B727="","Arabica",$B727))&amp;" - "&amp;(IF($C727="","Commercial",$C727))),Variables!$B$1:$D$1,0),1))*(BE727/365),""))</f>
        <v>23.58584543931071</v>
      </c>
      <c r="BG727" s="44" t="str">
        <f>IF($AX727="Cancelled","",IFERROR((W727*INDEX(Variables!$B$7:$D$7,IFERROR(MATCH(IF($B727="Robusta","Robusta",(IF($B727="","Arabica",$B727))&amp;" - "&amp;(IF($C727="","Commercial",$C727))),Variables!$B$1:$D$1,0),1))*IFERROR(IF(AB727="","",(AVERAGE(E727:F727)-AB727)-Variables!$B$14),"")/365)+(L727/16.67*INDEX(Variables!$B$8:$D$8,IFERROR(MATCH(IF($B727="Robusta","Robusta",(IF($B727="","Arabica",$B727))&amp;" - "&amp;(IF($C727="","Commercial",$C727))),Variables!$B$1:$D$1,0),1))*IFERROR(IF(AB727="","",(AVERAGE(E727:F727)-AB727)-Variables!$B$14),""))+(W727*INDEX(Variables!$B$9:$D$9,IFERROR(MATCH(IF($B727="Robusta","Robusta",(IF($B727="","Arabica",$B727))&amp;" - "&amp;(IF($C727="","Commercial",$C727))),Variables!$B$1:$D$1,0),1))*IFERROR(IF(AB727="","",(AVERAGE(E727:F727)-AB727)-Variables!$B$14),"")/365),""))</f>
        <v/>
      </c>
      <c r="BH727" s="44" t="str">
        <f>IF($AX727="Cancelled","",IFERROR((W727*INDEX(Variables!$B$7:$D$7,IFERROR(MATCH(IF($B727="Robusta","Robusta",(IF($B727="","Arabica",$B727))&amp;" - "&amp;(IF($C727="","Commercial",$C727))),Variables!$B$1:$D$1,0),1))*AK727/365)+(L727/16.67*INDEX(Variables!$B$8:$D$8,IFERROR(MATCH(IF($B727="Robusta","Robusta",(IF($B727="","Arabica",$B727))&amp;" - "&amp;(IF($C727="","Commercial",$C727))),Variables!$B$1:$D$1,0),1))*AK727)+(W727*INDEX(Variables!$B$9:$D$9,IFERROR(MATCH(IF($B727="Robusta","Robusta",(IF($B727="","Arabica",$B727))&amp;" - "&amp;(IF($C727="","Commercial",$C727))),Variables!$B$1:$D$1,0),1))*AK727/365),""))</f>
        <v/>
      </c>
      <c r="BI727" s="44">
        <f>IF($AX727="Cancelled","",IFERROR((W727*INDEX(Variables!$B$7:$D$7,IFERROR(MATCH(IF($B727="Robusta","Robusta",(IF($B727="","Arabica",$B727))&amp;" - "&amp;(IF($C727="","Commercial",$C727))),Variables!$B$1:$D$1,0),1))*BD727/365)+(L727/16.67*INDEX(Variables!$B$8:$D$8,IFERROR(MATCH(IF($B727="Robusta","Robusta",(IF($B727="","Arabica",$B727))&amp;" - "&amp;(IF($C727="","Commercial",$C727))),Variables!$B$1:$D$1,0),1))*BD727)+(W727*INDEX(Variables!$B$9:$D$9,IFERROR(MATCH(IF($B727="Robusta","Robusta",(IF($B727="","Arabica",$B727))&amp;" - "&amp;(IF($C727="","Commercial",$C727))),Variables!$B$1:$D$1,0),1))*BD727/365),""))</f>
        <v>14.555965001817059</v>
      </c>
      <c r="BJ727" s="44">
        <f t="shared" si="35"/>
        <v>-12</v>
      </c>
      <c r="BK727" s="44">
        <f>IF($AX727="Cancelled","",IFERROR(IF(BJ727="","",(W727*INDEX(Variables!$B$7:$D$7,IFERROR(MATCH(IF($B727="Robusta","Robusta",(IF($B727="","Arabica",$B727))&amp;" - "&amp;(IF($C727="","Commercial",$C727))),Variables!$B$1:$D$1,0),1))*(BJ727/365))+(W727*INDEX(Variables!$B$9:$D$9,IFERROR(MATCH(IF($B727="Robusta","Robusta",(IF($B727="","Arabica",$B727))&amp;" - "&amp;(IF($C727="","Commercial",$C727))),Variables!$B$1:$D$1,0),1))*(BJ727/365))+(INDEX(Variables!$B$8:$D$8,IFERROR(MATCH(IF($B727="Robusta","Robusta",(IF($B727="","Arabica",$B727))&amp;" - "&amp;(IF($C727="","Commercial",$C727))),Variables!$B$1:$D$1,0),1))*L727/16.67)),""))</f>
        <v>-54.83579001090235</v>
      </c>
    </row>
    <row r="728" spans="1:63">
      <c r="A728" s="13" t="s">
        <v>103</v>
      </c>
      <c r="B728" s="13" t="s">
        <v>104</v>
      </c>
      <c r="C728" s="13" t="s">
        <v>292</v>
      </c>
      <c r="D728" s="31">
        <v>46049</v>
      </c>
      <c r="E728" s="31">
        <v>46054</v>
      </c>
      <c r="F728" s="31">
        <v>46081</v>
      </c>
      <c r="G728" s="13">
        <v>3787169</v>
      </c>
      <c r="H728" s="13" t="s">
        <v>1967</v>
      </c>
      <c r="J728" s="13" t="s">
        <v>294</v>
      </c>
      <c r="K728" s="13" t="s">
        <v>1968</v>
      </c>
      <c r="L728" s="13">
        <v>50</v>
      </c>
      <c r="M728" s="13">
        <v>0</v>
      </c>
      <c r="N728" s="13" t="s">
        <v>1969</v>
      </c>
      <c r="O728" s="13" t="s">
        <v>771</v>
      </c>
      <c r="P728" s="13">
        <v>10010</v>
      </c>
      <c r="R728" s="13" t="s">
        <v>384</v>
      </c>
      <c r="S728" s="13" t="s">
        <v>299</v>
      </c>
      <c r="T728" s="13" t="s">
        <v>305</v>
      </c>
      <c r="U728" s="13" t="s">
        <v>125</v>
      </c>
      <c r="V728" s="13">
        <v>164</v>
      </c>
      <c r="W728" s="44">
        <f>IF($AX728="Cancelled","",IFERROR(((V728+INDEX(Variables!$B$6:$D$6,IFERROR(MATCH(IF($B728="Robusta","Robusta",(IF($B728="","Arabica",$B728))&amp;" - "&amp;(IF($C728="","Commercial",$C728))),Variables!$B$1:$D$1,0),1)))*22.0462)*(L728/16.67),""))</f>
        <v>30073.820515896816</v>
      </c>
      <c r="X728" s="55" t="s">
        <v>39</v>
      </c>
      <c r="Y728" s="13" t="str">
        <f>IF($AX728="Cancelled","",IF(X728="","",IFERROR(IF(INDEX(Variables!$B$38:$B$47,MATCH(X728,Variables!$A$38:$A$47,0))="Yes","Yes","No"),"No")))</f>
        <v>No</v>
      </c>
      <c r="Z728" s="31"/>
      <c r="AB728" s="31">
        <v>46036.875</v>
      </c>
      <c r="AC728" s="13" t="str">
        <f t="shared" si="34"/>
        <v>Approved</v>
      </c>
      <c r="AF728" s="71">
        <v>46073</v>
      </c>
      <c r="AG728" s="31">
        <f>IF($AX728="Cancelled","",IFERROR(IF(F728="","",F728-Variables!$B$13),""))</f>
        <v>46066</v>
      </c>
      <c r="AH728" s="13">
        <f>IF($AX728="Cancelled","",IFERROR(IF(AB728="","",(AVERAGE(E728:F728)-AB728)-Variables!$B$14),""))</f>
        <v>0.625</v>
      </c>
      <c r="AJ728" s="47">
        <v>46080</v>
      </c>
      <c r="AK728" s="14">
        <f>IF($AX728="Cancelled","",IFERROR(IF(AJ728="","",IF(AND(AB728="",AF728=""),"",IF(AF728&gt;AB728,AF728+Variables!$B$15+Variables!$B$16+Variables!$B$17-AJ728,AB728+Variables!$B$16+Variables!$B$17-AJ728))),""))</f>
        <v>8</v>
      </c>
      <c r="AL728" s="48" t="s">
        <v>114</v>
      </c>
      <c r="AM728" s="13" t="s">
        <v>1526</v>
      </c>
      <c r="AN728" s="13" t="s">
        <v>1527</v>
      </c>
      <c r="AP728" s="31" t="e">
        <v>#N/A</v>
      </c>
      <c r="AR728" s="13" t="s">
        <v>1961</v>
      </c>
      <c r="AS728" s="31">
        <v>46093</v>
      </c>
      <c r="AU728" s="31">
        <v>46113</v>
      </c>
      <c r="AV728" s="13" t="s">
        <v>865</v>
      </c>
      <c r="AW728" s="31">
        <v>46127</v>
      </c>
      <c r="AX728" s="13" t="str">
        <f>IF(ISNUMBER(SEARCH("cancel",#REF!)),"Cancelled",IF(AND(AS728&lt;&gt;"",AU728&lt;&gt;"",AW728&lt;&gt;""),"Closed","Open"))</f>
        <v>Closed</v>
      </c>
      <c r="AY728" s="15" t="str">
        <f t="shared" si="33"/>
        <v>All dates received</v>
      </c>
      <c r="BD728" s="13">
        <f>IF($AX728="Cancelled","",IFERROR(IF(OR(AS728="",AJ728=""),"",(AJ728+Variables!$B$18-AS728)),""))</f>
        <v>2</v>
      </c>
      <c r="BE728" s="13">
        <f>IF($AX728="Cancelled","",IFERROR(IF(OR(AW728="",AS728=""),"",(AS728+Variables!$B$19)-AW728),""))</f>
        <v>-29</v>
      </c>
      <c r="BF728" s="44">
        <f>IF($AX728="Cancelled","",IFERROR(W728*INDEX(Variables!$B$7:$D$7,IFERROR(MATCH(IF($B728="Robusta","Robusta",(IF($B728="","Arabica",$B728))&amp;" - "&amp;(IF($C728="","Commercial",$C728))),Variables!$B$1:$D$1,0),1))*(BE728/365),""))</f>
        <v>-154.07549909269778</v>
      </c>
      <c r="BG728" s="44">
        <f>IF($AX728="Cancelled","",IFERROR((W728*INDEX(Variables!$B$7:$D$7,IFERROR(MATCH(IF($B728="Robusta","Robusta",(IF($B728="","Arabica",$B728))&amp;" - "&amp;(IF($C728="","Commercial",$C728))),Variables!$B$1:$D$1,0),1))*IFERROR(IF(AB728="","",(AVERAGE(E728:F728)-AB728)-Variables!$B$14),"")/365)+(L728/16.67*INDEX(Variables!$B$8:$D$8,IFERROR(MATCH(IF($B728="Robusta","Robusta",(IF($B728="","Arabica",$B728))&amp;" - "&amp;(IF($C728="","Commercial",$C728))),Variables!$B$1:$D$1,0),1))*IFERROR(IF(AB728="","",(AVERAGE(E728:F728)-AB728)-Variables!$B$14),""))+(W728*INDEX(Variables!$B$9:$D$9,IFERROR(MATCH(IF($B728="Robusta","Robusta",(IF($B728="","Arabica",$B728))&amp;" - "&amp;(IF($C728="","Commercial",$C728))),Variables!$B$1:$D$1,0),1))*IFERROR(IF(AB728="","",(AVERAGE(E728:F728)-AB728)-Variables!$B$14),"")/365),""))</f>
        <v>4.9259015004538131</v>
      </c>
      <c r="BH728" s="44">
        <f>IF($AX728="Cancelled","",IFERROR((W728*INDEX(Variables!$B$7:$D$7,IFERROR(MATCH(IF($B728="Robusta","Robusta",(IF($B728="","Arabica",$B728))&amp;" - "&amp;(IF($C728="","Commercial",$C728))),Variables!$B$1:$D$1,0),1))*AK728/365)+(L728/16.67*INDEX(Variables!$B$8:$D$8,IFERROR(MATCH(IF($B728="Robusta","Robusta",(IF($B728="","Arabica",$B728))&amp;" - "&amp;(IF($C728="","Commercial",$C728))),Variables!$B$1:$D$1,0),1))*AK728)+(W728*INDEX(Variables!$B$9:$D$9,IFERROR(MATCH(IF($B728="Robusta","Robusta",(IF($B728="","Arabica",$B728))&amp;" - "&amp;(IF($C728="","Commercial",$C728))),Variables!$B$1:$D$1,0),1))*AK728/365),""))</f>
        <v>63.051539205808808</v>
      </c>
      <c r="BI728" s="44">
        <f>IF($AX728="Cancelled","",IFERROR((W728*INDEX(Variables!$B$7:$D$7,IFERROR(MATCH(IF($B728="Robusta","Robusta",(IF($B728="","Arabica",$B728))&amp;" - "&amp;(IF($C728="","Commercial",$C728))),Variables!$B$1:$D$1,0),1))*BD728/365)+(L728/16.67*INDEX(Variables!$B$8:$D$8,IFERROR(MATCH(IF($B728="Robusta","Robusta",(IF($B728="","Arabica",$B728))&amp;" - "&amp;(IF($C728="","Commercial",$C728))),Variables!$B$1:$D$1,0),1))*BD728)+(W728*INDEX(Variables!$B$9:$D$9,IFERROR(MATCH(IF($B728="Robusta","Robusta",(IF($B728="","Arabica",$B728))&amp;" - "&amp;(IF($C728="","Commercial",$C728))),Variables!$B$1:$D$1,0),1))*BD728/365),""))</f>
        <v>15.762884801452202</v>
      </c>
      <c r="BJ728" s="44">
        <f t="shared" si="35"/>
        <v>-12</v>
      </c>
      <c r="BK728" s="44">
        <f>IF($AX728="Cancelled","",IFERROR(IF(BJ728="","",(W728*INDEX(Variables!$B$7:$D$7,IFERROR(MATCH(IF($B728="Robusta","Robusta",(IF($B728="","Arabica",$B728))&amp;" - "&amp;(IF($C728="","Commercial",$C728))),Variables!$B$1:$D$1,0),1))*(BJ728/365))+(W728*INDEX(Variables!$B$9:$D$9,IFERROR(MATCH(IF($B728="Robusta","Robusta",(IF($B728="","Arabica",$B728))&amp;" - "&amp;(IF($C728="","Commercial",$C728))),Variables!$B$1:$D$1,0),1))*(BJ728/365))+(INDEX(Variables!$B$8:$D$8,IFERROR(MATCH(IF($B728="Robusta","Robusta",(IF($B728="","Arabica",$B728))&amp;" - "&amp;(IF($C728="","Commercial",$C728))),Variables!$B$1:$D$1,0),1))*L728/16.67)),""))</f>
        <v>-62.077308808713198</v>
      </c>
    </row>
    <row r="729" spans="1:63">
      <c r="A729" s="13" t="s">
        <v>103</v>
      </c>
      <c r="B729" s="13" t="s">
        <v>104</v>
      </c>
      <c r="C729" s="13" t="s">
        <v>292</v>
      </c>
      <c r="D729" s="31">
        <v>46049</v>
      </c>
      <c r="E729" s="31">
        <v>46054</v>
      </c>
      <c r="F729" s="31">
        <v>46081</v>
      </c>
      <c r="G729" s="13">
        <v>3787170</v>
      </c>
      <c r="H729" s="13" t="s">
        <v>1970</v>
      </c>
      <c r="J729" s="13" t="s">
        <v>294</v>
      </c>
      <c r="K729" s="13" t="s">
        <v>1971</v>
      </c>
      <c r="L729" s="13">
        <v>30</v>
      </c>
      <c r="M729" s="13">
        <v>0</v>
      </c>
      <c r="N729" s="13" t="s">
        <v>1972</v>
      </c>
      <c r="O729" s="13" t="s">
        <v>1960</v>
      </c>
      <c r="P729" s="13">
        <v>10040</v>
      </c>
      <c r="R729" s="13" t="s">
        <v>384</v>
      </c>
      <c r="S729" s="13" t="s">
        <v>299</v>
      </c>
      <c r="T729" s="13" t="s">
        <v>305</v>
      </c>
      <c r="U729" s="13" t="s">
        <v>125</v>
      </c>
      <c r="V729" s="13">
        <v>128</v>
      </c>
      <c r="W729" s="44">
        <f>IF($AX729="Cancelled","",IFERROR(((V729+INDEX(Variables!$B$6:$D$6,IFERROR(MATCH(IF($B729="Robusta","Robusta",(IF($B729="","Arabica",$B729))&amp;" - "&amp;(IF($C729="","Commercial",$C729))),Variables!$B$1:$D$1,0),1)))*22.0462)*(L729/16.67),""))</f>
        <v>16615.984211157764</v>
      </c>
      <c r="X729" s="55" t="s">
        <v>39</v>
      </c>
      <c r="Y729" s="13" t="str">
        <f>IF($AX729="Cancelled","",IF(X729="","",IFERROR(IF(INDEX(Variables!$B$38:$B$47,MATCH(X729,Variables!$A$38:$A$47,0))="Yes","Yes","No"),"No")))</f>
        <v>No</v>
      </c>
      <c r="Z729" s="31"/>
      <c r="AB729" s="31">
        <v>46036.875</v>
      </c>
      <c r="AC729" s="13" t="str">
        <f t="shared" si="34"/>
        <v>Approved</v>
      </c>
      <c r="AF729" s="71">
        <v>46065</v>
      </c>
      <c r="AG729" s="31">
        <f>IF($AX729="Cancelled","",IFERROR(IF(F729="","",F729-Variables!$B$13),""))</f>
        <v>46066</v>
      </c>
      <c r="AH729" s="13">
        <f>IF($AX729="Cancelled","",IFERROR(IF(AB729="","",(AVERAGE(E729:F729)-AB729)-Variables!$B$14),""))</f>
        <v>0.625</v>
      </c>
      <c r="AJ729" s="47">
        <v>46080</v>
      </c>
      <c r="AK729" s="14">
        <f>IF($AX729="Cancelled","",IFERROR(IF(AJ729="","",IF(AND(AB729="",AF729=""),"",IF(AF729&gt;AB729,AF729+Variables!$B$15+Variables!$B$16+Variables!$B$17-AJ729,AB729+Variables!$B$16+Variables!$B$17-AJ729))),""))</f>
        <v>0</v>
      </c>
      <c r="AL729" s="48" t="s">
        <v>114</v>
      </c>
      <c r="AM729" s="13" t="s">
        <v>1526</v>
      </c>
      <c r="AN729" s="13" t="s">
        <v>1527</v>
      </c>
      <c r="AP729" s="31" t="e">
        <v>#N/A</v>
      </c>
      <c r="AR729" s="13" t="s">
        <v>1961</v>
      </c>
      <c r="AS729" s="31">
        <v>46093</v>
      </c>
      <c r="AU729" s="31">
        <v>46113</v>
      </c>
      <c r="AV729" s="13" t="s">
        <v>865</v>
      </c>
      <c r="AW729" s="31">
        <v>46127</v>
      </c>
      <c r="AX729" s="13" t="str">
        <f>IF(ISNUMBER(SEARCH("cancel",#REF!)),"Cancelled",IF(AND(AS729&lt;&gt;"",AU729&lt;&gt;"",AW729&lt;&gt;""),"Closed","Open"))</f>
        <v>Closed</v>
      </c>
      <c r="AY729" s="15" t="str">
        <f t="shared" si="33"/>
        <v>All dates received</v>
      </c>
      <c r="BD729" s="13">
        <f>IF($AX729="Cancelled","",IFERROR(IF(OR(AS729="",AJ729=""),"",(AJ729+Variables!$B$18-AS729)),""))</f>
        <v>2</v>
      </c>
      <c r="BE729" s="13">
        <f>IF($AX729="Cancelled","",IFERROR(IF(OR(AW729="",AS729=""),"",(AS729+Variables!$B$19)-AW729),""))</f>
        <v>-29</v>
      </c>
      <c r="BF729" s="44">
        <f>IF($AX729="Cancelled","",IFERROR(W729*INDEX(Variables!$B$7:$D$7,IFERROR(MATCH(IF($B729="Robusta","Robusta",(IF($B729="","Arabica",$B729))&amp;" - "&amp;(IF($C729="","Commercial",$C729))),Variables!$B$1:$D$1,0),1))*(BE729/365),""))</f>
        <v>-85.12772957786521</v>
      </c>
      <c r="BG729" s="44">
        <f>IF($AX729="Cancelled","",IFERROR((W729*INDEX(Variables!$B$7:$D$7,IFERROR(MATCH(IF($B729="Robusta","Robusta",(IF($B729="","Arabica",$B729))&amp;" - "&amp;(IF($C729="","Commercial",$C729))),Variables!$B$1:$D$1,0),1))*IFERROR(IF(AB729="","",(AVERAGE(E729:F729)-AB729)-Variables!$B$14),"")/365)+(L729/16.67*INDEX(Variables!$B$8:$D$8,IFERROR(MATCH(IF($B729="Robusta","Robusta",(IF($B729="","Arabica",$B729))&amp;" - "&amp;(IF($C729="","Commercial",$C729))),Variables!$B$1:$D$1,0),1))*IFERROR(IF(AB729="","",(AVERAGE(E729:F729)-AB729)-Variables!$B$14),""))+(W729*INDEX(Variables!$B$9:$D$9,IFERROR(MATCH(IF($B729="Robusta","Robusta",(IF($B729="","Arabica",$B729))&amp;" - "&amp;(IF($C729="","Commercial",$C729))),Variables!$B$1:$D$1,0),1))*IFERROR(IF(AB729="","",(AVERAGE(E729:F729)-AB729)-Variables!$B$14),"")/365),""))</f>
        <v>2.7958015150264601</v>
      </c>
      <c r="BH729" s="44">
        <f>IF($AX729="Cancelled","",IFERROR((W729*INDEX(Variables!$B$7:$D$7,IFERROR(MATCH(IF($B729="Robusta","Robusta",(IF($B729="","Arabica",$B729))&amp;" - "&amp;(IF($C729="","Commercial",$C729))),Variables!$B$1:$D$1,0),1))*AK729/365)+(L729/16.67*INDEX(Variables!$B$8:$D$8,IFERROR(MATCH(IF($B729="Robusta","Robusta",(IF($B729="","Arabica",$B729))&amp;" - "&amp;(IF($C729="","Commercial",$C729))),Variables!$B$1:$D$1,0),1))*AK729)+(W729*INDEX(Variables!$B$9:$D$9,IFERROR(MATCH(IF($B729="Robusta","Robusta",(IF($B729="","Arabica",$B729))&amp;" - "&amp;(IF($C729="","Commercial",$C729))),Variables!$B$1:$D$1,0),1))*AK729/365),""))</f>
        <v>0</v>
      </c>
      <c r="BI729" s="44">
        <f>IF($AX729="Cancelled","",IFERROR((W729*INDEX(Variables!$B$7:$D$7,IFERROR(MATCH(IF($B729="Robusta","Robusta",(IF($B729="","Arabica",$B729))&amp;" - "&amp;(IF($C729="","Commercial",$C729))),Variables!$B$1:$D$1,0),1))*BD729/365)+(L729/16.67*INDEX(Variables!$B$8:$D$8,IFERROR(MATCH(IF($B729="Robusta","Robusta",(IF($B729="","Arabica",$B729))&amp;" - "&amp;(IF($C729="","Commercial",$C729))),Variables!$B$1:$D$1,0),1))*BD729)+(W729*INDEX(Variables!$B$9:$D$9,IFERROR(MATCH(IF($B729="Robusta","Robusta",(IF($B729="","Arabica",$B729))&amp;" - "&amp;(IF($C729="","Commercial",$C729))),Variables!$B$1:$D$1,0),1))*BD729/365),""))</f>
        <v>8.9465648480846713</v>
      </c>
      <c r="BJ729" s="44">
        <f t="shared" si="35"/>
        <v>-12</v>
      </c>
      <c r="BK729" s="44">
        <f>IF($AX729="Cancelled","",IFERROR(IF(BJ729="","",(W729*INDEX(Variables!$B$7:$D$7,IFERROR(MATCH(IF($B729="Robusta","Robusta",(IF($B729="","Arabica",$B729))&amp;" - "&amp;(IF($C729="","Commercial",$C729))),Variables!$B$1:$D$1,0),1))*(BJ729/365))+(W729*INDEX(Variables!$B$9:$D$9,IFERROR(MATCH(IF($B729="Robusta","Robusta",(IF($B729="","Arabica",$B729))&amp;" - "&amp;(IF($C729="","Commercial",$C729))),Variables!$B$1:$D$1,0),1))*(BJ729/365))+(INDEX(Variables!$B$8:$D$8,IFERROR(MATCH(IF($B729="Robusta","Robusta",(IF($B729="","Arabica",$B729))&amp;" - "&amp;(IF($C729="","Commercial",$C729))),Variables!$B$1:$D$1,0),1))*L729/16.67)),""))</f>
        <v>-34.179389088508032</v>
      </c>
    </row>
    <row r="730" spans="1:63">
      <c r="A730" s="13" t="s">
        <v>103</v>
      </c>
      <c r="B730" s="13" t="s">
        <v>104</v>
      </c>
      <c r="C730" s="13" t="s">
        <v>292</v>
      </c>
      <c r="D730" s="31">
        <v>46049</v>
      </c>
      <c r="E730" s="31">
        <v>46054</v>
      </c>
      <c r="F730" s="31">
        <v>46081</v>
      </c>
      <c r="G730" s="13">
        <v>3787171</v>
      </c>
      <c r="H730" s="13" t="s">
        <v>1973</v>
      </c>
      <c r="J730" s="13" t="s">
        <v>294</v>
      </c>
      <c r="K730" s="13" t="s">
        <v>1974</v>
      </c>
      <c r="L730" s="13">
        <v>40</v>
      </c>
      <c r="M730" s="13">
        <v>1</v>
      </c>
      <c r="N730" s="13" t="s">
        <v>1975</v>
      </c>
      <c r="O730" s="13" t="s">
        <v>1949</v>
      </c>
      <c r="P730" s="13">
        <v>10030</v>
      </c>
      <c r="R730" s="13" t="s">
        <v>384</v>
      </c>
      <c r="S730" s="13" t="s">
        <v>299</v>
      </c>
      <c r="T730" s="13" t="s">
        <v>305</v>
      </c>
      <c r="U730" s="13" t="s">
        <v>125</v>
      </c>
      <c r="V730" s="13">
        <v>161.55000000000001</v>
      </c>
      <c r="W730" s="44">
        <f>IF($AX730="Cancelled","",IFERROR(((V730+INDEX(Variables!$B$6:$D$6,IFERROR(MATCH(IF($B730="Robusta","Robusta",(IF($B730="","Arabica",$B730))&amp;" - "&amp;(IF($C730="","Commercial",$C730))),Variables!$B$1:$D$1,0),1)))*22.0462)*(L730/16.67),""))</f>
        <v>23929.450677864425</v>
      </c>
      <c r="X730" s="55" t="s">
        <v>39</v>
      </c>
      <c r="Y730" s="13" t="str">
        <f>IF($AX730="Cancelled","",IF(X730="","",IFERROR(IF(INDEX(Variables!$B$38:$B$47,MATCH(X730,Variables!$A$38:$A$47,0))="Yes","Yes","No"),"No")))</f>
        <v>No</v>
      </c>
      <c r="Z730" s="31"/>
      <c r="AB730" s="31">
        <v>46036.875</v>
      </c>
      <c r="AC730" s="13" t="str">
        <f t="shared" si="34"/>
        <v>Approved</v>
      </c>
      <c r="AF730" s="71">
        <v>46065</v>
      </c>
      <c r="AG730" s="31">
        <f>IF($AX730="Cancelled","",IFERROR(IF(F730="","",F730-Variables!$B$13),""))</f>
        <v>46066</v>
      </c>
      <c r="AH730" s="13">
        <f>IF($AX730="Cancelled","",IFERROR(IF(AB730="","",(AVERAGE(E730:F730)-AB730)-Variables!$B$14),""))</f>
        <v>0.625</v>
      </c>
      <c r="AJ730" s="47">
        <v>46080</v>
      </c>
      <c r="AK730" s="14">
        <f>IF($AX730="Cancelled","",IFERROR(IF(AJ730="","",IF(AND(AB730="",AF730=""),"",IF(AF730&gt;AB730,AF730+Variables!$B$15+Variables!$B$16+Variables!$B$17-AJ730,AB730+Variables!$B$16+Variables!$B$17-AJ730))),""))</f>
        <v>0</v>
      </c>
      <c r="AL730" s="48" t="s">
        <v>114</v>
      </c>
      <c r="AM730" s="13" t="s">
        <v>1526</v>
      </c>
      <c r="AN730" s="13" t="s">
        <v>1527</v>
      </c>
      <c r="AP730" s="31" t="e">
        <v>#N/A</v>
      </c>
      <c r="AR730" s="13" t="s">
        <v>1976</v>
      </c>
      <c r="AS730" s="31">
        <v>46093</v>
      </c>
      <c r="AU730" s="31">
        <v>46113</v>
      </c>
      <c r="AV730" s="13" t="s">
        <v>865</v>
      </c>
      <c r="AW730" s="31">
        <v>46127</v>
      </c>
      <c r="AX730" s="13" t="str">
        <f>IF(ISNUMBER(SEARCH("cancel",#REF!)),"Cancelled",IF(AND(AS730&lt;&gt;"",AU730&lt;&gt;"",AW730&lt;&gt;""),"Closed","Open"))</f>
        <v>Closed</v>
      </c>
      <c r="AY730" s="15" t="str">
        <f t="shared" si="33"/>
        <v>All dates received</v>
      </c>
      <c r="BD730" s="13">
        <f>IF($AX730="Cancelled","",IFERROR(IF(OR(AS730="",AJ730=""),"",(AJ730+Variables!$B$18-AS730)),""))</f>
        <v>2</v>
      </c>
      <c r="BE730" s="13">
        <f>IF($AX730="Cancelled","",IFERROR(IF(OR(AW730="",AS730=""),"",(AS730+Variables!$B$19)-AW730),""))</f>
        <v>-29</v>
      </c>
      <c r="BF730" s="44">
        <f>IF($AX730="Cancelled","",IFERROR(W730*INDEX(Variables!$B$7:$D$7,IFERROR(MATCH(IF($B730="Robusta","Robusta",(IF($B730="","Arabica",$B730))&amp;" - "&amp;(IF($C730="","Commercial",$C730))),Variables!$B$1:$D$1,0),1))*(BE730/365),""))</f>
        <v>-122.59639756302876</v>
      </c>
      <c r="BG730" s="44">
        <f>IF($AX730="Cancelled","",IFERROR((W730*INDEX(Variables!$B$7:$D$7,IFERROR(MATCH(IF($B730="Robusta","Robusta",(IF($B730="","Arabica",$B730))&amp;" - "&amp;(IF($C730="","Commercial",$C730))),Variables!$B$1:$D$1,0),1))*IFERROR(IF(AB730="","",(AVERAGE(E730:F730)-AB730)-Variables!$B$14),"")/365)+(L730/16.67*INDEX(Variables!$B$8:$D$8,IFERROR(MATCH(IF($B730="Robusta","Robusta",(IF($B730="","Arabica",$B730))&amp;" - "&amp;(IF($C730="","Commercial",$C730))),Variables!$B$1:$D$1,0),1))*IFERROR(IF(AB730="","",(AVERAGE(E730:F730)-AB730)-Variables!$B$14),""))+(W730*INDEX(Variables!$B$9:$D$9,IFERROR(MATCH(IF($B730="Robusta","Robusta",(IF($B730="","Arabica",$B730))&amp;" - "&amp;(IF($C730="","Commercial",$C730))),Variables!$B$1:$D$1,0),1))*IFERROR(IF(AB730="","",(AVERAGE(E730:F730)-AB730)-Variables!$B$14),"")/365),""))</f>
        <v>3.9262263302203735</v>
      </c>
      <c r="BH730" s="44">
        <f>IF($AX730="Cancelled","",IFERROR((W730*INDEX(Variables!$B$7:$D$7,IFERROR(MATCH(IF($B730="Robusta","Robusta",(IF($B730="","Arabica",$B730))&amp;" - "&amp;(IF($C730="","Commercial",$C730))),Variables!$B$1:$D$1,0),1))*AK730/365)+(L730/16.67*INDEX(Variables!$B$8:$D$8,IFERROR(MATCH(IF($B730="Robusta","Robusta",(IF($B730="","Arabica",$B730))&amp;" - "&amp;(IF($C730="","Commercial",$C730))),Variables!$B$1:$D$1,0),1))*AK730)+(W730*INDEX(Variables!$B$9:$D$9,IFERROR(MATCH(IF($B730="Robusta","Robusta",(IF($B730="","Arabica",$B730))&amp;" - "&amp;(IF($C730="","Commercial",$C730))),Variables!$B$1:$D$1,0),1))*AK730/365),""))</f>
        <v>0</v>
      </c>
      <c r="BI730" s="44">
        <f>IF($AX730="Cancelled","",IFERROR((W730*INDEX(Variables!$B$7:$D$7,IFERROR(MATCH(IF($B730="Robusta","Robusta",(IF($B730="","Arabica",$B730))&amp;" - "&amp;(IF($C730="","Commercial",$C730))),Variables!$B$1:$D$1,0),1))*BD730/365)+(L730/16.67*INDEX(Variables!$B$8:$D$8,IFERROR(MATCH(IF($B730="Robusta","Robusta",(IF($B730="","Arabica",$B730))&amp;" - "&amp;(IF($C730="","Commercial",$C730))),Variables!$B$1:$D$1,0),1))*BD730)+(W730*INDEX(Variables!$B$9:$D$9,IFERROR(MATCH(IF($B730="Robusta","Robusta",(IF($B730="","Arabica",$B730))&amp;" - "&amp;(IF($C730="","Commercial",$C730))),Variables!$B$1:$D$1,0),1))*BD730/365),""))</f>
        <v>12.563924256705194</v>
      </c>
      <c r="BJ730" s="44">
        <f t="shared" si="35"/>
        <v>-12</v>
      </c>
      <c r="BK730" s="44">
        <f>IF($AX730="Cancelled","",IFERROR(IF(BJ730="","",(W730*INDEX(Variables!$B$7:$D$7,IFERROR(MATCH(IF($B730="Robusta","Robusta",(IF($B730="","Arabica",$B730))&amp;" - "&amp;(IF($C730="","Commercial",$C730))),Variables!$B$1:$D$1,0),1))*(BJ730/365))+(W730*INDEX(Variables!$B$9:$D$9,IFERROR(MATCH(IF($B730="Robusta","Robusta",(IF($B730="","Arabica",$B730))&amp;" - "&amp;(IF($C730="","Commercial",$C730))),Variables!$B$1:$D$1,0),1))*(BJ730/365))+(INDEX(Variables!$B$8:$D$8,IFERROR(MATCH(IF($B730="Robusta","Robusta",(IF($B730="","Arabica",$B730))&amp;" - "&amp;(IF($C730="","Commercial",$C730))),Variables!$B$1:$D$1,0),1))*L730/16.67)),""))</f>
        <v>-49.383545540231168</v>
      </c>
    </row>
    <row r="731" spans="1:63">
      <c r="A731" s="13" t="s">
        <v>103</v>
      </c>
      <c r="B731" s="13" t="s">
        <v>104</v>
      </c>
      <c r="C731" s="13" t="s">
        <v>292</v>
      </c>
      <c r="D731" s="31">
        <v>46049</v>
      </c>
      <c r="E731" s="31">
        <v>46054</v>
      </c>
      <c r="F731" s="31">
        <v>46081</v>
      </c>
      <c r="G731" s="13">
        <v>3787172</v>
      </c>
      <c r="H731" s="13" t="s">
        <v>1977</v>
      </c>
      <c r="J731" s="13" t="s">
        <v>294</v>
      </c>
      <c r="K731" s="13" t="s">
        <v>1978</v>
      </c>
      <c r="L731" s="13">
        <v>40</v>
      </c>
      <c r="M731" s="13">
        <v>0</v>
      </c>
      <c r="N731" s="13" t="s">
        <v>1979</v>
      </c>
      <c r="O731" s="13" t="s">
        <v>1960</v>
      </c>
      <c r="P731" s="13">
        <v>10040</v>
      </c>
      <c r="R731" s="13" t="s">
        <v>384</v>
      </c>
      <c r="S731" s="13" t="s">
        <v>299</v>
      </c>
      <c r="T731" s="13" t="s">
        <v>305</v>
      </c>
      <c r="U731" s="13" t="s">
        <v>125</v>
      </c>
      <c r="V731" s="13">
        <v>129.55000000000001</v>
      </c>
      <c r="W731" s="44">
        <f>IF($AX731="Cancelled","",IFERROR(((V731+INDEX(Variables!$B$6:$D$6,IFERROR(MATCH(IF($B731="Robusta","Robusta",(IF($B731="","Arabica",$B731))&amp;" - "&amp;(IF($C731="","Commercial",$C731))),Variables!$B$1:$D$1,0),1)))*22.0462)*(L731/16.67),""))</f>
        <v>22236.64107978404</v>
      </c>
      <c r="X731" s="55" t="s">
        <v>39</v>
      </c>
      <c r="Y731" s="13" t="str">
        <f>IF($AX731="Cancelled","",IF(X731="","",IFERROR(IF(INDEX(Variables!$B$38:$B$47,MATCH(X731,Variables!$A$38:$A$47,0))="Yes","Yes","No"),"No")))</f>
        <v>No</v>
      </c>
      <c r="Z731" s="31"/>
      <c r="AB731" s="31">
        <v>46036.875</v>
      </c>
      <c r="AC731" s="13" t="str">
        <f t="shared" si="34"/>
        <v>Approved</v>
      </c>
      <c r="AF731" s="71">
        <v>46070</v>
      </c>
      <c r="AG731" s="31">
        <f>IF($AX731="Cancelled","",IFERROR(IF(F731="","",F731-Variables!$B$13),""))</f>
        <v>46066</v>
      </c>
      <c r="AH731" s="13">
        <f>IF($AX731="Cancelled","",IFERROR(IF(AB731="","",(AVERAGE(E731:F731)-AB731)-Variables!$B$14),""))</f>
        <v>0.625</v>
      </c>
      <c r="AJ731" s="47">
        <v>46080</v>
      </c>
      <c r="AK731" s="14">
        <f>IF($AX731="Cancelled","",IFERROR(IF(AJ731="","",IF(AND(AB731="",AF731=""),"",IF(AF731&gt;AB731,AF731+Variables!$B$15+Variables!$B$16+Variables!$B$17-AJ731,AB731+Variables!$B$16+Variables!$B$17-AJ731))),""))</f>
        <v>5</v>
      </c>
      <c r="AL731" s="48" t="s">
        <v>114</v>
      </c>
      <c r="AM731" s="13" t="s">
        <v>1526</v>
      </c>
      <c r="AN731" s="13" t="s">
        <v>1527</v>
      </c>
      <c r="AP731" s="31" t="e">
        <v>#N/A</v>
      </c>
      <c r="AR731" s="13" t="s">
        <v>1976</v>
      </c>
      <c r="AS731" s="31">
        <v>46093</v>
      </c>
      <c r="AU731" s="31">
        <v>46113</v>
      </c>
      <c r="AV731" s="13" t="s">
        <v>865</v>
      </c>
      <c r="AW731" s="31">
        <v>46127</v>
      </c>
      <c r="AX731" s="13" t="str">
        <f>IF(ISNUMBER(SEARCH("cancel",#REF!)),"Cancelled",IF(AND(AS731&lt;&gt;"",AU731&lt;&gt;"",AW731&lt;&gt;""),"Closed","Open"))</f>
        <v>Closed</v>
      </c>
      <c r="AY731" s="15" t="str">
        <f t="shared" si="33"/>
        <v>All dates received</v>
      </c>
      <c r="BD731" s="13">
        <f>IF($AX731="Cancelled","",IFERROR(IF(OR(AS731="",AJ731=""),"",(AJ731+Variables!$B$18-AS731)),""))</f>
        <v>2</v>
      </c>
      <c r="BE731" s="13">
        <f>IF($AX731="Cancelled","",IFERROR(IF(OR(AW731="",AS731=""),"",(AS731+Variables!$B$19)-AW731),""))</f>
        <v>-29</v>
      </c>
      <c r="BF731" s="44">
        <f>IF($AX731="Cancelled","",IFERROR(W731*INDEX(Variables!$B$7:$D$7,IFERROR(MATCH(IF($B731="Robusta","Robusta",(IF($B731="","Arabica",$B731))&amp;" - "&amp;(IF($C731="","Commercial",$C731))),Variables!$B$1:$D$1,0),1))*(BE731/365),""))</f>
        <v>-113.92372215235798</v>
      </c>
      <c r="BG731" s="44">
        <f>IF($AX731="Cancelled","",IFERROR((W731*INDEX(Variables!$B$7:$D$7,IFERROR(MATCH(IF($B731="Robusta","Robusta",(IF($B731="","Arabica",$B731))&amp;" - "&amp;(IF($C731="","Commercial",$C731))),Variables!$B$1:$D$1,0),1))*IFERROR(IF(AB731="","",(AVERAGE(E731:F731)-AB731)-Variables!$B$14),"")/365)+(L731/16.67*INDEX(Variables!$B$8:$D$8,IFERROR(MATCH(IF($B731="Robusta","Robusta",(IF($B731="","Arabica",$B731))&amp;" - "&amp;(IF($C731="","Commercial",$C731))),Variables!$B$1:$D$1,0),1))*IFERROR(IF(AB731="","",(AVERAGE(E731:F731)-AB731)-Variables!$B$14),""))+(W731*INDEX(Variables!$B$9:$D$9,IFERROR(MATCH(IF($B731="Robusta","Robusta",(IF($B731="","Arabica",$B731))&amp;" - "&amp;(IF($C731="","Commercial",$C731))),Variables!$B$1:$D$1,0),1))*IFERROR(IF(AB731="","",(AVERAGE(E731:F731)-AB731)-Variables!$B$14),"")/365),""))</f>
        <v>3.7369055773364295</v>
      </c>
      <c r="BH731" s="44">
        <f>IF($AX731="Cancelled","",IFERROR((W731*INDEX(Variables!$B$7:$D$7,IFERROR(MATCH(IF($B731="Robusta","Robusta",(IF($B731="","Arabica",$B731))&amp;" - "&amp;(IF($C731="","Commercial",$C731))),Variables!$B$1:$D$1,0),1))*AK731/365)+(L731/16.67*INDEX(Variables!$B$8:$D$8,IFERROR(MATCH(IF($B731="Robusta","Robusta",(IF($B731="","Arabica",$B731))&amp;" - "&amp;(IF($C731="","Commercial",$C731))),Variables!$B$1:$D$1,0),1))*AK731)+(W731*INDEX(Variables!$B$9:$D$9,IFERROR(MATCH(IF($B731="Robusta","Robusta",(IF($B731="","Arabica",$B731))&amp;" - "&amp;(IF($C731="","Commercial",$C731))),Variables!$B$1:$D$1,0),1))*AK731/365),""))</f>
        <v>29.895244618691436</v>
      </c>
      <c r="BI731" s="44">
        <f>IF($AX731="Cancelled","",IFERROR((W731*INDEX(Variables!$B$7:$D$7,IFERROR(MATCH(IF($B731="Robusta","Robusta",(IF($B731="","Arabica",$B731))&amp;" - "&amp;(IF($C731="","Commercial",$C731))),Variables!$B$1:$D$1,0),1))*BD731/365)+(L731/16.67*INDEX(Variables!$B$8:$D$8,IFERROR(MATCH(IF($B731="Robusta","Robusta",(IF($B731="","Arabica",$B731))&amp;" - "&amp;(IF($C731="","Commercial",$C731))),Variables!$B$1:$D$1,0),1))*BD731)+(W731*INDEX(Variables!$B$9:$D$9,IFERROR(MATCH(IF($B731="Robusta","Robusta",(IF($B731="","Arabica",$B731))&amp;" - "&amp;(IF($C731="","Commercial",$C731))),Variables!$B$1:$D$1,0),1))*BD731/365),""))</f>
        <v>11.958097847476575</v>
      </c>
      <c r="BJ731" s="44">
        <f t="shared" si="35"/>
        <v>-12</v>
      </c>
      <c r="BK731" s="44">
        <f>IF($AX731="Cancelled","",IFERROR(IF(BJ731="","",(W731*INDEX(Variables!$B$7:$D$7,IFERROR(MATCH(IF($B731="Robusta","Robusta",(IF($B731="","Arabica",$B731))&amp;" - "&amp;(IF($C731="","Commercial",$C731))),Variables!$B$1:$D$1,0),1))*(BJ731/365))+(W731*INDEX(Variables!$B$9:$D$9,IFERROR(MATCH(IF($B731="Robusta","Robusta",(IF($B731="","Arabica",$B731))&amp;" - "&amp;(IF($C731="","Commercial",$C731))),Variables!$B$1:$D$1,0),1))*(BJ731/365))+(INDEX(Variables!$B$8:$D$8,IFERROR(MATCH(IF($B731="Robusta","Robusta",(IF($B731="","Arabica",$B731))&amp;" - "&amp;(IF($C731="","Commercial",$C731))),Variables!$B$1:$D$1,0),1))*L731/16.67)),""))</f>
        <v>-45.748587084859444</v>
      </c>
    </row>
    <row r="732" spans="1:63">
      <c r="A732" s="13" t="s">
        <v>103</v>
      </c>
      <c r="B732" s="13" t="s">
        <v>104</v>
      </c>
      <c r="C732" s="13" t="s">
        <v>292</v>
      </c>
      <c r="D732" s="31">
        <v>46049</v>
      </c>
      <c r="E732" s="31">
        <v>46054</v>
      </c>
      <c r="F732" s="31">
        <v>46081</v>
      </c>
      <c r="G732" s="13">
        <v>3787173</v>
      </c>
      <c r="H732" s="13" t="s">
        <v>1980</v>
      </c>
      <c r="J732" s="13" t="s">
        <v>294</v>
      </c>
      <c r="K732" s="13" t="s">
        <v>1981</v>
      </c>
      <c r="L732" s="13">
        <v>40</v>
      </c>
      <c r="M732" s="13">
        <v>0</v>
      </c>
      <c r="N732" s="13" t="s">
        <v>1982</v>
      </c>
      <c r="O732" s="13" t="s">
        <v>771</v>
      </c>
      <c r="P732" s="13">
        <v>10010</v>
      </c>
      <c r="R732" s="13" t="s">
        <v>384</v>
      </c>
      <c r="S732" s="13" t="s">
        <v>299</v>
      </c>
      <c r="T732" s="13" t="s">
        <v>305</v>
      </c>
      <c r="U732" s="13" t="s">
        <v>125</v>
      </c>
      <c r="V732" s="13">
        <v>165.55</v>
      </c>
      <c r="W732" s="44">
        <f>IF($AX732="Cancelled","",IFERROR(((V732+INDEX(Variables!$B$6:$D$6,IFERROR(MATCH(IF($B732="Robusta","Robusta",(IF($B732="","Arabica",$B732))&amp;" - "&amp;(IF($C732="","Commercial",$C732))),Variables!$B$1:$D$1,0),1)))*22.0462)*(L732/16.67),""))</f>
        <v>24141.051877624472</v>
      </c>
      <c r="X732" s="55" t="s">
        <v>39</v>
      </c>
      <c r="Y732" s="13" t="str">
        <f>IF($AX732="Cancelled","",IF(X732="","",IFERROR(IF(INDEX(Variables!$B$38:$B$47,MATCH(X732,Variables!$A$38:$A$47,0))="Yes","Yes","No"),"No")))</f>
        <v>No</v>
      </c>
      <c r="Z732" s="31"/>
      <c r="AB732" s="31">
        <v>46036.875</v>
      </c>
      <c r="AC732" s="13" t="str">
        <f t="shared" si="34"/>
        <v>Approved</v>
      </c>
      <c r="AF732" s="71">
        <v>46076</v>
      </c>
      <c r="AG732" s="31">
        <f>IF($AX732="Cancelled","",IFERROR(IF(F732="","",F732-Variables!$B$13),""))</f>
        <v>46066</v>
      </c>
      <c r="AH732" s="13">
        <f>IF($AX732="Cancelled","",IFERROR(IF(AB732="","",(AVERAGE(E732:F732)-AB732)-Variables!$B$14),""))</f>
        <v>0.625</v>
      </c>
      <c r="AJ732" s="47">
        <v>46080</v>
      </c>
      <c r="AK732" s="14">
        <f>IF($AX732="Cancelled","",IFERROR(IF(AJ732="","",IF(AND(AB732="",AF732=""),"",IF(AF732&gt;AB732,AF732+Variables!$B$15+Variables!$B$16+Variables!$B$17-AJ732,AB732+Variables!$B$16+Variables!$B$17-AJ732))),""))</f>
        <v>11</v>
      </c>
      <c r="AL732" s="48" t="s">
        <v>114</v>
      </c>
      <c r="AM732" s="13" t="s">
        <v>1526</v>
      </c>
      <c r="AN732" s="13" t="s">
        <v>1527</v>
      </c>
      <c r="AP732" s="31" t="e">
        <v>#N/A</v>
      </c>
      <c r="AR732" s="13" t="s">
        <v>1976</v>
      </c>
      <c r="AS732" s="31">
        <v>46093</v>
      </c>
      <c r="AU732" s="31">
        <v>46113</v>
      </c>
      <c r="AV732" s="13" t="s">
        <v>865</v>
      </c>
      <c r="AW732" s="31">
        <v>46127</v>
      </c>
      <c r="AX732" s="13" t="str">
        <f>IF(ISNUMBER(SEARCH("cancel",#REF!)),"Cancelled",IF(AND(AS732&lt;&gt;"",AU732&lt;&gt;"",AW732&lt;&gt;""),"Closed","Open"))</f>
        <v>Closed</v>
      </c>
      <c r="AY732" s="15" t="str">
        <f t="shared" si="33"/>
        <v>All dates received</v>
      </c>
      <c r="BD732" s="13">
        <f>IF($AX732="Cancelled","",IFERROR(IF(OR(AS732="",AJ732=""),"",(AJ732+Variables!$B$18-AS732)),""))</f>
        <v>2</v>
      </c>
      <c r="BE732" s="13">
        <f>IF($AX732="Cancelled","",IFERROR(IF(OR(AW732="",AS732=""),"",(AS732+Variables!$B$19)-AW732),""))</f>
        <v>-29</v>
      </c>
      <c r="BF732" s="44">
        <f>IF($AX732="Cancelled","",IFERROR(W732*INDEX(Variables!$B$7:$D$7,IFERROR(MATCH(IF($B732="Robusta","Robusta",(IF($B732="","Arabica",$B732))&amp;" - "&amp;(IF($C732="","Commercial",$C732))),Variables!$B$1:$D$1,0),1))*(BE732/365),""))</f>
        <v>-123.68048198936259</v>
      </c>
      <c r="BG732" s="44">
        <f>IF($AX732="Cancelled","",IFERROR((W732*INDEX(Variables!$B$7:$D$7,IFERROR(MATCH(IF($B732="Robusta","Robusta",(IF($B732="","Arabica",$B732))&amp;" - "&amp;(IF($C732="","Commercial",$C732))),Variables!$B$1:$D$1,0),1))*IFERROR(IF(AB732="","",(AVERAGE(E732:F732)-AB732)-Variables!$B$14),"")/365)+(L732/16.67*INDEX(Variables!$B$8:$D$8,IFERROR(MATCH(IF($B732="Robusta","Robusta",(IF($B732="","Arabica",$B732))&amp;" - "&amp;(IF($C732="","Commercial",$C732))),Variables!$B$1:$D$1,0),1))*IFERROR(IF(AB732="","",(AVERAGE(E732:F732)-AB732)-Variables!$B$14),""))+(W732*INDEX(Variables!$B$9:$D$9,IFERROR(MATCH(IF($B732="Robusta","Robusta",(IF($B732="","Arabica",$B732))&amp;" - "&amp;(IF($C732="","Commercial",$C732))),Variables!$B$1:$D$1,0),1))*IFERROR(IF(AB732="","",(AVERAGE(E732:F732)-AB732)-Variables!$B$14),"")/365),""))</f>
        <v>3.9498914243308665</v>
      </c>
      <c r="BH732" s="44">
        <f>IF($AX732="Cancelled","",IFERROR((W732*INDEX(Variables!$B$7:$D$7,IFERROR(MATCH(IF($B732="Robusta","Robusta",(IF($B732="","Arabica",$B732))&amp;" - "&amp;(IF($C732="","Commercial",$C732))),Variables!$B$1:$D$1,0),1))*AK732/365)+(L732/16.67*INDEX(Variables!$B$8:$D$8,IFERROR(MATCH(IF($B732="Robusta","Robusta",(IF($B732="","Arabica",$B732))&amp;" - "&amp;(IF($C732="","Commercial",$C732))),Variables!$B$1:$D$1,0),1))*AK732)+(W732*INDEX(Variables!$B$9:$D$9,IFERROR(MATCH(IF($B732="Robusta","Robusta",(IF($B732="","Arabica",$B732))&amp;" - "&amp;(IF($C732="","Commercial",$C732))),Variables!$B$1:$D$1,0),1))*AK732/365),""))</f>
        <v>69.518089068223247</v>
      </c>
      <c r="BI732" s="44">
        <f>IF($AX732="Cancelled","",IFERROR((W732*INDEX(Variables!$B$7:$D$7,IFERROR(MATCH(IF($B732="Robusta","Robusta",(IF($B732="","Arabica",$B732))&amp;" - "&amp;(IF($C732="","Commercial",$C732))),Variables!$B$1:$D$1,0),1))*BD732/365)+(L732/16.67*INDEX(Variables!$B$8:$D$8,IFERROR(MATCH(IF($B732="Robusta","Robusta",(IF($B732="","Arabica",$B732))&amp;" - "&amp;(IF($C732="","Commercial",$C732))),Variables!$B$1:$D$1,0),1))*BD732)+(W732*INDEX(Variables!$B$9:$D$9,IFERROR(MATCH(IF($B732="Robusta","Robusta",(IF($B732="","Arabica",$B732))&amp;" - "&amp;(IF($C732="","Commercial",$C732))),Variables!$B$1:$D$1,0),1))*BD732/365),""))</f>
        <v>12.639652557858772</v>
      </c>
      <c r="BJ732" s="44">
        <f t="shared" si="35"/>
        <v>-12</v>
      </c>
      <c r="BK732" s="44">
        <f>IF($AX732="Cancelled","",IFERROR(IF(BJ732="","",(W732*INDEX(Variables!$B$7:$D$7,IFERROR(MATCH(IF($B732="Robusta","Robusta",(IF($B732="","Arabica",$B732))&amp;" - "&amp;(IF($C732="","Commercial",$C732))),Variables!$B$1:$D$1,0),1))*(BJ732/365))+(W732*INDEX(Variables!$B$9:$D$9,IFERROR(MATCH(IF($B732="Robusta","Robusta",(IF($B732="","Arabica",$B732))&amp;" - "&amp;(IF($C732="","Commercial",$C732))),Variables!$B$1:$D$1,0),1))*(BJ732/365))+(INDEX(Variables!$B$8:$D$8,IFERROR(MATCH(IF($B732="Robusta","Robusta",(IF($B732="","Arabica",$B732))&amp;" - "&amp;(IF($C732="","Commercial",$C732))),Variables!$B$1:$D$1,0),1))*L732/16.67)),""))</f>
        <v>-49.837915347152631</v>
      </c>
    </row>
    <row r="733" spans="1:63">
      <c r="A733" s="13" t="s">
        <v>103</v>
      </c>
      <c r="B733" s="13" t="s">
        <v>104</v>
      </c>
      <c r="C733" s="13" t="s">
        <v>292</v>
      </c>
      <c r="D733" s="31">
        <v>46049</v>
      </c>
      <c r="E733" s="31">
        <v>46054</v>
      </c>
      <c r="F733" s="31">
        <v>46081</v>
      </c>
      <c r="G733" s="13">
        <v>3787174</v>
      </c>
      <c r="H733" s="13" t="s">
        <v>1983</v>
      </c>
      <c r="J733" s="13" t="s">
        <v>294</v>
      </c>
      <c r="K733" s="13" t="s">
        <v>1984</v>
      </c>
      <c r="L733" s="13">
        <v>40</v>
      </c>
      <c r="M733" s="13">
        <v>0</v>
      </c>
      <c r="N733" s="13" t="s">
        <v>1985</v>
      </c>
      <c r="O733" s="13" t="s">
        <v>771</v>
      </c>
      <c r="P733" s="13">
        <v>10010</v>
      </c>
      <c r="R733" s="13" t="s">
        <v>384</v>
      </c>
      <c r="S733" s="13" t="s">
        <v>299</v>
      </c>
      <c r="T733" s="13" t="s">
        <v>305</v>
      </c>
      <c r="U733" s="13" t="s">
        <v>125</v>
      </c>
      <c r="V733" s="13">
        <v>162.55000000000001</v>
      </c>
      <c r="W733" s="44">
        <f>IF($AX733="Cancelled","",IFERROR(((V733+INDEX(Variables!$B$6:$D$6,IFERROR(MATCH(IF($B733="Robusta","Robusta",(IF($B733="","Arabica",$B733))&amp;" - "&amp;(IF($C733="","Commercial",$C733))),Variables!$B$1:$D$1,0),1)))*22.0462)*(L733/16.67),""))</f>
        <v>23982.350977804439</v>
      </c>
      <c r="X733" s="55" t="s">
        <v>39</v>
      </c>
      <c r="Y733" s="13" t="str">
        <f>IF($AX733="Cancelled","",IF(X733="","",IFERROR(IF(INDEX(Variables!$B$38:$B$47,MATCH(X733,Variables!$A$38:$A$47,0))="Yes","Yes","No"),"No")))</f>
        <v>No</v>
      </c>
      <c r="Z733" s="31"/>
      <c r="AB733" s="31">
        <v>46036.875</v>
      </c>
      <c r="AC733" s="13" t="str">
        <f t="shared" si="34"/>
        <v>Approved</v>
      </c>
      <c r="AF733" s="71">
        <v>46065</v>
      </c>
      <c r="AG733" s="31">
        <f>IF($AX733="Cancelled","",IFERROR(IF(F733="","",F733-Variables!$B$13),""))</f>
        <v>46066</v>
      </c>
      <c r="AH733" s="13">
        <f>IF($AX733="Cancelled","",IFERROR(IF(AB733="","",(AVERAGE(E733:F733)-AB733)-Variables!$B$14),""))</f>
        <v>0.625</v>
      </c>
      <c r="AJ733" s="47">
        <v>46080</v>
      </c>
      <c r="AK733" s="14">
        <f>IF($AX733="Cancelled","",IFERROR(IF(AJ733="","",IF(AND(AB733="",AF733=""),"",IF(AF733&gt;AB733,AF733+Variables!$B$15+Variables!$B$16+Variables!$B$17-AJ733,AB733+Variables!$B$16+Variables!$B$17-AJ733))),""))</f>
        <v>0</v>
      </c>
      <c r="AL733" s="48" t="s">
        <v>114</v>
      </c>
      <c r="AM733" s="13" t="s">
        <v>1526</v>
      </c>
      <c r="AN733" s="13" t="s">
        <v>1527</v>
      </c>
      <c r="AP733" s="31" t="e">
        <v>#N/A</v>
      </c>
      <c r="AR733" s="13" t="s">
        <v>1976</v>
      </c>
      <c r="AS733" s="31">
        <v>46093</v>
      </c>
      <c r="AU733" s="31">
        <v>46113</v>
      </c>
      <c r="AV733" s="13" t="s">
        <v>865</v>
      </c>
      <c r="AW733" s="31">
        <v>46127</v>
      </c>
      <c r="AX733" s="13" t="str">
        <f>IF(ISNUMBER(SEARCH("cancel",#REF!)),"Cancelled",IF(AND(AS733&lt;&gt;"",AU733&lt;&gt;"",AW733&lt;&gt;""),"Closed","Open"))</f>
        <v>Closed</v>
      </c>
      <c r="AY733" s="15" t="str">
        <f t="shared" si="33"/>
        <v>All dates received</v>
      </c>
      <c r="BD733" s="13">
        <f>IF($AX733="Cancelled","",IFERROR(IF(OR(AS733="",AJ733=""),"",(AJ733+Variables!$B$18-AS733)),""))</f>
        <v>2</v>
      </c>
      <c r="BE733" s="13">
        <f>IF($AX733="Cancelled","",IFERROR(IF(OR(AW733="",AS733=""),"",(AS733+Variables!$B$19)-AW733),""))</f>
        <v>-29</v>
      </c>
      <c r="BF733" s="44">
        <f>IF($AX733="Cancelled","",IFERROR(W733*INDEX(Variables!$B$7:$D$7,IFERROR(MATCH(IF($B733="Robusta","Robusta",(IF($B733="","Arabica",$B733))&amp;" - "&amp;(IF($C733="","Commercial",$C733))),Variables!$B$1:$D$1,0),1))*(BE733/365),""))</f>
        <v>-122.86741866961223</v>
      </c>
      <c r="BG733" s="44">
        <f>IF($AX733="Cancelled","",IFERROR((W733*INDEX(Variables!$B$7:$D$7,IFERROR(MATCH(IF($B733="Robusta","Robusta",(IF($B733="","Arabica",$B733))&amp;" - "&amp;(IF($C733="","Commercial",$C733))),Variables!$B$1:$D$1,0),1))*IFERROR(IF(AB733="","",(AVERAGE(E733:F733)-AB733)-Variables!$B$14),"")/365)+(L733/16.67*INDEX(Variables!$B$8:$D$8,IFERROR(MATCH(IF($B733="Robusta","Robusta",(IF($B733="","Arabica",$B733))&amp;" - "&amp;(IF($C733="","Commercial",$C733))),Variables!$B$1:$D$1,0),1))*IFERROR(IF(AB733="","",(AVERAGE(E733:F733)-AB733)-Variables!$B$14),""))+(W733*INDEX(Variables!$B$9:$D$9,IFERROR(MATCH(IF($B733="Robusta","Robusta",(IF($B733="","Arabica",$B733))&amp;" - "&amp;(IF($C733="","Commercial",$C733))),Variables!$B$1:$D$1,0),1))*IFERROR(IF(AB733="","",(AVERAGE(E733:F733)-AB733)-Variables!$B$14),"")/365),""))</f>
        <v>3.9321426037479967</v>
      </c>
      <c r="BH733" s="44">
        <f>IF($AX733="Cancelled","",IFERROR((W733*INDEX(Variables!$B$7:$D$7,IFERROR(MATCH(IF($B733="Robusta","Robusta",(IF($B733="","Arabica",$B733))&amp;" - "&amp;(IF($C733="","Commercial",$C733))),Variables!$B$1:$D$1,0),1))*AK733/365)+(L733/16.67*INDEX(Variables!$B$8:$D$8,IFERROR(MATCH(IF($B733="Robusta","Robusta",(IF($B733="","Arabica",$B733))&amp;" - "&amp;(IF($C733="","Commercial",$C733))),Variables!$B$1:$D$1,0),1))*AK733)+(W733*INDEX(Variables!$B$9:$D$9,IFERROR(MATCH(IF($B733="Robusta","Robusta",(IF($B733="","Arabica",$B733))&amp;" - "&amp;(IF($C733="","Commercial",$C733))),Variables!$B$1:$D$1,0),1))*AK733/365),""))</f>
        <v>0</v>
      </c>
      <c r="BI733" s="44">
        <f>IF($AX733="Cancelled","",IFERROR((W733*INDEX(Variables!$B$7:$D$7,IFERROR(MATCH(IF($B733="Robusta","Robusta",(IF($B733="","Arabica",$B733))&amp;" - "&amp;(IF($C733="","Commercial",$C733))),Variables!$B$1:$D$1,0),1))*BD733/365)+(L733/16.67*INDEX(Variables!$B$8:$D$8,IFERROR(MATCH(IF($B733="Robusta","Robusta",(IF($B733="","Arabica",$B733))&amp;" - "&amp;(IF($C733="","Commercial",$C733))),Variables!$B$1:$D$1,0),1))*BD733)+(W733*INDEX(Variables!$B$9:$D$9,IFERROR(MATCH(IF($B733="Robusta","Robusta",(IF($B733="","Arabica",$B733))&amp;" - "&amp;(IF($C733="","Commercial",$C733))),Variables!$B$1:$D$1,0),1))*BD733/365),""))</f>
        <v>12.58285633199359</v>
      </c>
      <c r="BJ733" s="44">
        <f t="shared" si="35"/>
        <v>-12</v>
      </c>
      <c r="BK733" s="44">
        <f>IF($AX733="Cancelled","",IFERROR(IF(BJ733="","",(W733*INDEX(Variables!$B$7:$D$7,IFERROR(MATCH(IF($B733="Robusta","Robusta",(IF($B733="","Arabica",$B733))&amp;" - "&amp;(IF($C733="","Commercial",$C733))),Variables!$B$1:$D$1,0),1))*(BJ733/365))+(W733*INDEX(Variables!$B$9:$D$9,IFERROR(MATCH(IF($B733="Robusta","Robusta",(IF($B733="","Arabica",$B733))&amp;" - "&amp;(IF($C733="","Commercial",$C733))),Variables!$B$1:$D$1,0),1))*(BJ733/365))+(INDEX(Variables!$B$8:$D$8,IFERROR(MATCH(IF($B733="Robusta","Robusta",(IF($B733="","Arabica",$B733))&amp;" - "&amp;(IF($C733="","Commercial",$C733))),Variables!$B$1:$D$1,0),1))*L733/16.67)),""))</f>
        <v>-49.497137991961537</v>
      </c>
    </row>
    <row r="734" spans="1:63">
      <c r="A734" s="13" t="s">
        <v>103</v>
      </c>
      <c r="B734" s="13" t="s">
        <v>104</v>
      </c>
      <c r="C734" s="13" t="s">
        <v>292</v>
      </c>
      <c r="D734" s="31">
        <v>46049</v>
      </c>
      <c r="E734" s="31">
        <v>46054</v>
      </c>
      <c r="F734" s="31">
        <v>46081</v>
      </c>
      <c r="G734" s="13">
        <v>3787175</v>
      </c>
      <c r="H734" s="13" t="s">
        <v>1986</v>
      </c>
      <c r="J734" s="13" t="s">
        <v>294</v>
      </c>
      <c r="K734" s="13" t="s">
        <v>1987</v>
      </c>
      <c r="L734" s="13">
        <v>20</v>
      </c>
      <c r="M734" s="13">
        <v>0</v>
      </c>
      <c r="N734" s="13" t="s">
        <v>1988</v>
      </c>
      <c r="O734" s="13" t="s">
        <v>771</v>
      </c>
      <c r="P734" s="13">
        <v>10010</v>
      </c>
      <c r="R734" s="13" t="s">
        <v>384</v>
      </c>
      <c r="S734" s="13" t="s">
        <v>299</v>
      </c>
      <c r="T734" s="13" t="s">
        <v>305</v>
      </c>
      <c r="U734" s="13" t="s">
        <v>125</v>
      </c>
      <c r="V734" s="13">
        <v>183.55</v>
      </c>
      <c r="W734" s="44">
        <f>IF($AX734="Cancelled","",IFERROR(((V734+INDEX(Variables!$B$6:$D$6,IFERROR(MATCH(IF($B734="Robusta","Robusta",(IF($B734="","Arabica",$B734))&amp;" - "&amp;(IF($C734="","Commercial",$C734))),Variables!$B$1:$D$1,0),1)))*22.0462)*(L734/16.67),""))</f>
        <v>12546.628638272345</v>
      </c>
      <c r="X734" s="55" t="s">
        <v>39</v>
      </c>
      <c r="Y734" s="13" t="str">
        <f>IF($AX734="Cancelled","",IF(X734="","",IFERROR(IF(INDEX(Variables!$B$38:$B$47,MATCH(X734,Variables!$A$38:$A$47,0))="Yes","Yes","No"),"No")))</f>
        <v>No</v>
      </c>
      <c r="Z734" s="31"/>
      <c r="AB734" s="31">
        <v>46036.875</v>
      </c>
      <c r="AC734" s="13" t="str">
        <f t="shared" si="34"/>
        <v>Approved</v>
      </c>
      <c r="AF734" s="71">
        <v>46070</v>
      </c>
      <c r="AG734" s="31">
        <f>IF($AX734="Cancelled","",IFERROR(IF(F734="","",F734-Variables!$B$13),""))</f>
        <v>46066</v>
      </c>
      <c r="AH734" s="13">
        <f>IF($AX734="Cancelled","",IFERROR(IF(AB734="","",(AVERAGE(E734:F734)-AB734)-Variables!$B$14),""))</f>
        <v>0.625</v>
      </c>
      <c r="AJ734" s="47">
        <v>46080</v>
      </c>
      <c r="AK734" s="14">
        <f>IF($AX734="Cancelled","",IFERROR(IF(AJ734="","",IF(AND(AB734="",AF734=""),"",IF(AF734&gt;AB734,AF734+Variables!$B$15+Variables!$B$16+Variables!$B$17-AJ734,AB734+Variables!$B$16+Variables!$B$17-AJ734))),""))</f>
        <v>5</v>
      </c>
      <c r="AL734" s="48" t="s">
        <v>114</v>
      </c>
      <c r="AM734" s="13" t="s">
        <v>1526</v>
      </c>
      <c r="AN734" s="13" t="s">
        <v>1527</v>
      </c>
      <c r="AP734" s="31" t="e">
        <v>#N/A</v>
      </c>
      <c r="AR734" s="13" t="s">
        <v>1976</v>
      </c>
      <c r="AS734" s="31">
        <v>46093</v>
      </c>
      <c r="AU734" s="31">
        <v>46113</v>
      </c>
      <c r="AV734" s="13" t="s">
        <v>865</v>
      </c>
      <c r="AW734" s="31">
        <v>46127</v>
      </c>
      <c r="AX734" s="13" t="str">
        <f>IF(ISNUMBER(SEARCH("cancel",#REF!)),"Cancelled",IF(AND(AS734&lt;&gt;"",AU734&lt;&gt;"",AW734&lt;&gt;""),"Closed","Open"))</f>
        <v>Closed</v>
      </c>
      <c r="AY734" s="15" t="str">
        <f t="shared" si="33"/>
        <v>All dates received</v>
      </c>
      <c r="BD734" s="13">
        <f>IF($AX734="Cancelled","",IFERROR(IF(OR(AS734="",AJ734=""),"",(AJ734+Variables!$B$18-AS734)),""))</f>
        <v>2</v>
      </c>
      <c r="BE734" s="13">
        <f>IF($AX734="Cancelled","",IFERROR(IF(OR(AW734="",AS734=""),"",(AS734+Variables!$B$19)-AW734),""))</f>
        <v>-29</v>
      </c>
      <c r="BF734" s="44">
        <f>IF($AX734="Cancelled","",IFERROR(W734*INDEX(Variables!$B$7:$D$7,IFERROR(MATCH(IF($B734="Robusta","Robusta",(IF($B734="","Arabica",$B734))&amp;" - "&amp;(IF($C734="","Commercial",$C734))),Variables!$B$1:$D$1,0),1))*(BE734/365),""))</f>
        <v>-64.279430953932462</v>
      </c>
      <c r="BG734" s="44">
        <f>IF($AX734="Cancelled","",IFERROR((W734*INDEX(Variables!$B$7:$D$7,IFERROR(MATCH(IF($B734="Robusta","Robusta",(IF($B734="","Arabica",$B734))&amp;" - "&amp;(IF($C734="","Commercial",$C734))),Variables!$B$1:$D$1,0),1))*IFERROR(IF(AB734="","",(AVERAGE(E734:F734)-AB734)-Variables!$B$14),"")/365)+(L734/16.67*INDEX(Variables!$B$8:$D$8,IFERROR(MATCH(IF($B734="Robusta","Robusta",(IF($B734="","Arabica",$B734))&amp;" - "&amp;(IF($C734="","Commercial",$C734))),Variables!$B$1:$D$1,0),1))*IFERROR(IF(AB734="","",(AVERAGE(E734:F734)-AB734)-Variables!$B$14),""))+(W734*INDEX(Variables!$B$9:$D$9,IFERROR(MATCH(IF($B734="Robusta","Robusta",(IF($B734="","Arabica",$B734))&amp;" - "&amp;(IF($C734="","Commercial",$C734))),Variables!$B$1:$D$1,0),1))*IFERROR(IF(AB734="","",(AVERAGE(E734:F734)-AB734)-Variables!$B$14),"")/365),""))</f>
        <v>2.0281921739140425</v>
      </c>
      <c r="BH734" s="44">
        <f>IF($AX734="Cancelled","",IFERROR((W734*INDEX(Variables!$B$7:$D$7,IFERROR(MATCH(IF($B734="Robusta","Robusta",(IF($B734="","Arabica",$B734))&amp;" - "&amp;(IF($C734="","Commercial",$C734))),Variables!$B$1:$D$1,0),1))*AK734/365)+(L734/16.67*INDEX(Variables!$B$8:$D$8,IFERROR(MATCH(IF($B734="Robusta","Robusta",(IF($B734="","Arabica",$B734))&amp;" - "&amp;(IF($C734="","Commercial",$C734))),Variables!$B$1:$D$1,0),1))*AK734)+(W734*INDEX(Variables!$B$9:$D$9,IFERROR(MATCH(IF($B734="Robusta","Robusta",(IF($B734="","Arabica",$B734))&amp;" - "&amp;(IF($C734="","Commercial",$C734))),Variables!$B$1:$D$1,0),1))*AK734/365),""))</f>
        <v>16.22553739131234</v>
      </c>
      <c r="BI734" s="44">
        <f>IF($AX734="Cancelled","",IFERROR((W734*INDEX(Variables!$B$7:$D$7,IFERROR(MATCH(IF($B734="Robusta","Robusta",(IF($B734="","Arabica",$B734))&amp;" - "&amp;(IF($C734="","Commercial",$C734))),Variables!$B$1:$D$1,0),1))*BD734/365)+(L734/16.67*INDEX(Variables!$B$8:$D$8,IFERROR(MATCH(IF($B734="Robusta","Robusta",(IF($B734="","Arabica",$B734))&amp;" - "&amp;(IF($C734="","Commercial",$C734))),Variables!$B$1:$D$1,0),1))*BD734)+(W734*INDEX(Variables!$B$9:$D$9,IFERROR(MATCH(IF($B734="Robusta","Robusta",(IF($B734="","Arabica",$B734))&amp;" - "&amp;(IF($C734="","Commercial",$C734))),Variables!$B$1:$D$1,0),1))*BD734/365),""))</f>
        <v>6.4902149565249365</v>
      </c>
      <c r="BJ734" s="44">
        <f t="shared" si="35"/>
        <v>-12</v>
      </c>
      <c r="BK734" s="44">
        <f>IF($AX734="Cancelled","",IFERROR(IF(BJ734="","",(W734*INDEX(Variables!$B$7:$D$7,IFERROR(MATCH(IF($B734="Robusta","Robusta",(IF($B734="","Arabica",$B734))&amp;" - "&amp;(IF($C734="","Commercial",$C734))),Variables!$B$1:$D$1,0),1))*(BJ734/365))+(W734*INDEX(Variables!$B$9:$D$9,IFERROR(MATCH(IF($B734="Robusta","Robusta",(IF($B734="","Arabica",$B734))&amp;" - "&amp;(IF($C734="","Commercial",$C734))),Variables!$B$1:$D$1,0),1))*(BJ734/365))+(INDEX(Variables!$B$8:$D$8,IFERROR(MATCH(IF($B734="Robusta","Robusta",(IF($B734="","Arabica",$B734))&amp;" - "&amp;(IF($C734="","Commercial",$C734))),Variables!$B$1:$D$1,0),1))*L734/16.67)),""))</f>
        <v>-25.941289739149617</v>
      </c>
    </row>
    <row r="735" spans="1:63">
      <c r="A735" s="13" t="s">
        <v>103</v>
      </c>
      <c r="B735" s="13" t="s">
        <v>104</v>
      </c>
      <c r="C735" s="13" t="s">
        <v>292</v>
      </c>
      <c r="D735" s="31">
        <v>46049</v>
      </c>
      <c r="E735" s="31">
        <v>46054</v>
      </c>
      <c r="F735" s="31">
        <v>46081</v>
      </c>
      <c r="G735" s="13">
        <v>3787176</v>
      </c>
      <c r="H735" s="13" t="s">
        <v>1989</v>
      </c>
      <c r="J735" s="13" t="s">
        <v>294</v>
      </c>
      <c r="K735" s="13" t="s">
        <v>1990</v>
      </c>
      <c r="L735" s="13">
        <v>25</v>
      </c>
      <c r="M735" s="13">
        <v>0</v>
      </c>
      <c r="N735" s="13" t="s">
        <v>1991</v>
      </c>
      <c r="O735" s="13" t="s">
        <v>771</v>
      </c>
      <c r="P735" s="13">
        <v>10010</v>
      </c>
      <c r="R735" s="13" t="s">
        <v>384</v>
      </c>
      <c r="S735" s="13" t="s">
        <v>299</v>
      </c>
      <c r="T735" s="13" t="s">
        <v>305</v>
      </c>
      <c r="U735" s="13" t="s">
        <v>125</v>
      </c>
      <c r="V735" s="13">
        <v>165.55</v>
      </c>
      <c r="W735" s="44">
        <f>IF($AX735="Cancelled","",IFERROR(((V735+INDEX(Variables!$B$6:$D$6,IFERROR(MATCH(IF($B735="Robusta","Robusta",(IF($B735="","Arabica",$B735))&amp;" - "&amp;(IF($C735="","Commercial",$C735))),Variables!$B$1:$D$1,0),1)))*22.0462)*(L735/16.67),""))</f>
        <v>15088.157423515293</v>
      </c>
      <c r="X735" s="55" t="s">
        <v>39</v>
      </c>
      <c r="Y735" s="13" t="str">
        <f>IF($AX735="Cancelled","",IF(X735="","",IFERROR(IF(INDEX(Variables!$B$38:$B$47,MATCH(X735,Variables!$A$38:$A$47,0))="Yes","Yes","No"),"No")))</f>
        <v>No</v>
      </c>
      <c r="Z735" s="31"/>
      <c r="AB735" s="31">
        <v>46036.875</v>
      </c>
      <c r="AC735" s="13" t="str">
        <f t="shared" si="34"/>
        <v>Approved</v>
      </c>
      <c r="AF735" s="71">
        <v>46073</v>
      </c>
      <c r="AG735" s="31">
        <f>IF($AX735="Cancelled","",IFERROR(IF(F735="","",F735-Variables!$B$13),""))</f>
        <v>46066</v>
      </c>
      <c r="AH735" s="13">
        <f>IF($AX735="Cancelled","",IFERROR(IF(AB735="","",(AVERAGE(E735:F735)-AB735)-Variables!$B$14),""))</f>
        <v>0.625</v>
      </c>
      <c r="AJ735" s="47">
        <v>46080</v>
      </c>
      <c r="AK735" s="14">
        <f>IF($AX735="Cancelled","",IFERROR(IF(AJ735="","",IF(AND(AB735="",AF735=""),"",IF(AF735&gt;AB735,AF735+Variables!$B$15+Variables!$B$16+Variables!$B$17-AJ735,AB735+Variables!$B$16+Variables!$B$17-AJ735))),""))</f>
        <v>8</v>
      </c>
      <c r="AL735" s="48" t="s">
        <v>114</v>
      </c>
      <c r="AM735" s="13" t="s">
        <v>1526</v>
      </c>
      <c r="AN735" s="13" t="s">
        <v>1527</v>
      </c>
      <c r="AP735" s="31" t="e">
        <v>#N/A</v>
      </c>
      <c r="AR735" s="13" t="s">
        <v>1976</v>
      </c>
      <c r="AS735" s="31">
        <v>46093</v>
      </c>
      <c r="AU735" s="31">
        <v>46113</v>
      </c>
      <c r="AV735" s="13" t="s">
        <v>865</v>
      </c>
      <c r="AW735" s="31">
        <v>46127</v>
      </c>
      <c r="AX735" s="13" t="str">
        <f>IF(ISNUMBER(SEARCH("cancel",#REF!)),"Cancelled",IF(AND(AS735&lt;&gt;"",AU735&lt;&gt;"",AW735&lt;&gt;""),"Closed","Open"))</f>
        <v>Closed</v>
      </c>
      <c r="AY735" s="15" t="str">
        <f t="shared" si="33"/>
        <v>All dates received</v>
      </c>
      <c r="BD735" s="13">
        <f>IF($AX735="Cancelled","",IFERROR(IF(OR(AS735="",AJ735=""),"",(AJ735+Variables!$B$18-AS735)),""))</f>
        <v>2</v>
      </c>
      <c r="BE735" s="13">
        <f>IF($AX735="Cancelled","",IFERROR(IF(OR(AW735="",AS735=""),"",(AS735+Variables!$B$19)-AW735),""))</f>
        <v>-29</v>
      </c>
      <c r="BF735" s="44">
        <f>IF($AX735="Cancelled","",IFERROR(W735*INDEX(Variables!$B$7:$D$7,IFERROR(MATCH(IF($B735="Robusta","Robusta",(IF($B735="","Arabica",$B735))&amp;" - "&amp;(IF($C735="","Commercial",$C735))),Variables!$B$1:$D$1,0),1))*(BE735/365),""))</f>
        <v>-77.300301243351626</v>
      </c>
      <c r="BG735" s="44">
        <f>IF($AX735="Cancelled","",IFERROR((W735*INDEX(Variables!$B$7:$D$7,IFERROR(MATCH(IF($B735="Robusta","Robusta",(IF($B735="","Arabica",$B735))&amp;" - "&amp;(IF($C735="","Commercial",$C735))),Variables!$B$1:$D$1,0),1))*IFERROR(IF(AB735="","",(AVERAGE(E735:F735)-AB735)-Variables!$B$14),"")/365)+(L735/16.67*INDEX(Variables!$B$8:$D$8,IFERROR(MATCH(IF($B735="Robusta","Robusta",(IF($B735="","Arabica",$B735))&amp;" - "&amp;(IF($C735="","Commercial",$C735))),Variables!$B$1:$D$1,0),1))*IFERROR(IF(AB735="","",(AVERAGE(E735:F735)-AB735)-Variables!$B$14),""))+(W735*INDEX(Variables!$B$9:$D$9,IFERROR(MATCH(IF($B735="Robusta","Robusta",(IF($B735="","Arabica",$B735))&amp;" - "&amp;(IF($C735="","Commercial",$C735))),Variables!$B$1:$D$1,0),1))*IFERROR(IF(AB735="","",(AVERAGE(E735:F735)-AB735)-Variables!$B$14),"")/365),""))</f>
        <v>2.4686821402067913</v>
      </c>
      <c r="BH735" s="44">
        <f>IF($AX735="Cancelled","",IFERROR((W735*INDEX(Variables!$B$7:$D$7,IFERROR(MATCH(IF($B735="Robusta","Robusta",(IF($B735="","Arabica",$B735))&amp;" - "&amp;(IF($C735="","Commercial",$C735))),Variables!$B$1:$D$1,0),1))*AK735/365)+(L735/16.67*INDEX(Variables!$B$8:$D$8,IFERROR(MATCH(IF($B735="Robusta","Robusta",(IF($B735="","Arabica",$B735))&amp;" - "&amp;(IF($C735="","Commercial",$C735))),Variables!$B$1:$D$1,0),1))*AK735)+(W735*INDEX(Variables!$B$9:$D$9,IFERROR(MATCH(IF($B735="Robusta","Robusta",(IF($B735="","Arabica",$B735))&amp;" - "&amp;(IF($C735="","Commercial",$C735))),Variables!$B$1:$D$1,0),1))*AK735/365),""))</f>
        <v>31.599131394646932</v>
      </c>
      <c r="BI735" s="44">
        <f>IF($AX735="Cancelled","",IFERROR((W735*INDEX(Variables!$B$7:$D$7,IFERROR(MATCH(IF($B735="Robusta","Robusta",(IF($B735="","Arabica",$B735))&amp;" - "&amp;(IF($C735="","Commercial",$C735))),Variables!$B$1:$D$1,0),1))*BD735/365)+(L735/16.67*INDEX(Variables!$B$8:$D$8,IFERROR(MATCH(IF($B735="Robusta","Robusta",(IF($B735="","Arabica",$B735))&amp;" - "&amp;(IF($C735="","Commercial",$C735))),Variables!$B$1:$D$1,0),1))*BD735)+(W735*INDEX(Variables!$B$9:$D$9,IFERROR(MATCH(IF($B735="Robusta","Robusta",(IF($B735="","Arabica",$B735))&amp;" - "&amp;(IF($C735="","Commercial",$C735))),Variables!$B$1:$D$1,0),1))*BD735/365),""))</f>
        <v>7.899782848661733</v>
      </c>
      <c r="BJ735" s="44">
        <f t="shared" si="35"/>
        <v>-12</v>
      </c>
      <c r="BK735" s="44">
        <f>IF($AX735="Cancelled","",IFERROR(IF(BJ735="","",(W735*INDEX(Variables!$B$7:$D$7,IFERROR(MATCH(IF($B735="Robusta","Robusta",(IF($B735="","Arabica",$B735))&amp;" - "&amp;(IF($C735="","Commercial",$C735))),Variables!$B$1:$D$1,0),1))*(BJ735/365))+(W735*INDEX(Variables!$B$9:$D$9,IFERROR(MATCH(IF($B735="Robusta","Robusta",(IF($B735="","Arabica",$B735))&amp;" - "&amp;(IF($C735="","Commercial",$C735))),Variables!$B$1:$D$1,0),1))*(BJ735/365))+(INDEX(Variables!$B$8:$D$8,IFERROR(MATCH(IF($B735="Robusta","Robusta",(IF($B735="","Arabica",$B735))&amp;" - "&amp;(IF($C735="","Commercial",$C735))),Variables!$B$1:$D$1,0),1))*L735/16.67)),""))</f>
        <v>-31.148697091970391</v>
      </c>
    </row>
    <row r="736" spans="1:63">
      <c r="A736" s="13" t="s">
        <v>103</v>
      </c>
      <c r="B736" s="13" t="s">
        <v>104</v>
      </c>
      <c r="C736" s="13" t="s">
        <v>292</v>
      </c>
      <c r="D736" s="31">
        <v>46049</v>
      </c>
      <c r="E736" s="31">
        <v>46054</v>
      </c>
      <c r="F736" s="31">
        <v>46081</v>
      </c>
      <c r="G736" s="13">
        <v>3787177</v>
      </c>
      <c r="H736" s="13" t="s">
        <v>1992</v>
      </c>
      <c r="J736" s="13" t="s">
        <v>294</v>
      </c>
      <c r="K736" s="13" t="s">
        <v>1993</v>
      </c>
      <c r="L736" s="13">
        <v>25</v>
      </c>
      <c r="M736" s="13">
        <v>0</v>
      </c>
      <c r="N736" s="13" t="s">
        <v>1994</v>
      </c>
      <c r="O736" s="13" t="s">
        <v>1960</v>
      </c>
      <c r="P736" s="13">
        <v>10040</v>
      </c>
      <c r="R736" s="13" t="s">
        <v>384</v>
      </c>
      <c r="S736" s="13" t="s">
        <v>299</v>
      </c>
      <c r="T736" s="13" t="s">
        <v>305</v>
      </c>
      <c r="U736" s="13" t="s">
        <v>125</v>
      </c>
      <c r="V736" s="13">
        <v>123.55</v>
      </c>
      <c r="W736" s="44">
        <f>IF($AX736="Cancelled","",IFERROR(((V736+INDEX(Variables!$B$6:$D$6,IFERROR(MATCH(IF($B736="Robusta","Robusta",(IF($B736="","Arabica",$B736))&amp;" - "&amp;(IF($C736="","Commercial",$C736))),Variables!$B$1:$D$1,0),1)))*22.0462)*(L736/16.67),""))</f>
        <v>13699.52455008998</v>
      </c>
      <c r="X736" s="55" t="s">
        <v>39</v>
      </c>
      <c r="Y736" s="13" t="str">
        <f>IF($AX736="Cancelled","",IF(X736="","",IFERROR(IF(INDEX(Variables!$B$38:$B$47,MATCH(X736,Variables!$A$38:$A$47,0))="Yes","Yes","No"),"No")))</f>
        <v>No</v>
      </c>
      <c r="Z736" s="31"/>
      <c r="AB736" s="31">
        <v>46036.875</v>
      </c>
      <c r="AC736" s="13" t="str">
        <f t="shared" si="34"/>
        <v>Approved</v>
      </c>
      <c r="AF736" s="71">
        <v>46070</v>
      </c>
      <c r="AG736" s="31">
        <f>IF($AX736="Cancelled","",IFERROR(IF(F736="","",F736-Variables!$B$13),""))</f>
        <v>46066</v>
      </c>
      <c r="AH736" s="13">
        <f>IF($AX736="Cancelled","",IFERROR(IF(AB736="","",(AVERAGE(E736:F736)-AB736)-Variables!$B$14),""))</f>
        <v>0.625</v>
      </c>
      <c r="AJ736" s="47">
        <v>46080</v>
      </c>
      <c r="AK736" s="14">
        <f>IF($AX736="Cancelled","",IFERROR(IF(AJ736="","",IF(AND(AB736="",AF736=""),"",IF(AF736&gt;AB736,AF736+Variables!$B$15+Variables!$B$16+Variables!$B$17-AJ736,AB736+Variables!$B$16+Variables!$B$17-AJ736))),""))</f>
        <v>5</v>
      </c>
      <c r="AL736" s="48" t="s">
        <v>114</v>
      </c>
      <c r="AM736" s="13" t="s">
        <v>1526</v>
      </c>
      <c r="AN736" s="13" t="s">
        <v>1527</v>
      </c>
      <c r="AP736" s="31" t="e">
        <v>#N/A</v>
      </c>
      <c r="AR736" s="13" t="s">
        <v>1976</v>
      </c>
      <c r="AS736" s="31">
        <v>46093</v>
      </c>
      <c r="AU736" s="31">
        <v>46113</v>
      </c>
      <c r="AV736" s="13" t="s">
        <v>865</v>
      </c>
      <c r="AW736" s="31">
        <v>46127</v>
      </c>
      <c r="AX736" s="13" t="str">
        <f>IF(ISNUMBER(SEARCH("cancel",#REF!)),"Cancelled",IF(AND(AS736&lt;&gt;"",AU736&lt;&gt;"",AW736&lt;&gt;""),"Closed","Open"))</f>
        <v>Closed</v>
      </c>
      <c r="AY736" s="15" t="str">
        <f t="shared" si="33"/>
        <v>All dates received</v>
      </c>
      <c r="BD736" s="13">
        <f>IF($AX736="Cancelled","",IFERROR(IF(OR(AS736="",AJ736=""),"",(AJ736+Variables!$B$18-AS736)),""))</f>
        <v>2</v>
      </c>
      <c r="BE736" s="13">
        <f>IF($AX736="Cancelled","",IFERROR(IF(OR(AW736="",AS736=""),"",(AS736+Variables!$B$19)-AW736),""))</f>
        <v>-29</v>
      </c>
      <c r="BF736" s="44">
        <f>IF($AX736="Cancelled","",IFERROR(W736*INDEX(Variables!$B$7:$D$7,IFERROR(MATCH(IF($B736="Robusta","Robusta",(IF($B736="","Arabica",$B736))&amp;" - "&amp;(IF($C736="","Commercial",$C736))),Variables!$B$1:$D$1,0),1))*(BE736/365),""))</f>
        <v>-70.185997195535762</v>
      </c>
      <c r="BG736" s="44">
        <f>IF($AX736="Cancelled","",IFERROR((W736*INDEX(Variables!$B$7:$D$7,IFERROR(MATCH(IF($B736="Robusta","Robusta",(IF($B736="","Arabica",$B736))&amp;" - "&amp;(IF($C736="","Commercial",$C736))),Variables!$B$1:$D$1,0),1))*IFERROR(IF(AB736="","",(AVERAGE(E736:F736)-AB736)-Variables!$B$14),"")/365)+(L736/16.67*INDEX(Variables!$B$8:$D$8,IFERROR(MATCH(IF($B736="Robusta","Robusta",(IF($B736="","Arabica",$B736))&amp;" - "&amp;(IF($C736="","Commercial",$C736))),Variables!$B$1:$D$1,0),1))*IFERROR(IF(AB736="","",(AVERAGE(E736:F736)-AB736)-Variables!$B$14),""))+(W736*INDEX(Variables!$B$9:$D$9,IFERROR(MATCH(IF($B736="Robusta","Robusta",(IF($B736="","Arabica",$B736))&amp;" - "&amp;(IF($C736="","Commercial",$C736))),Variables!$B$1:$D$1,0),1))*IFERROR(IF(AB736="","",(AVERAGE(E736:F736)-AB736)-Variables!$B$14),"")/365),""))</f>
        <v>2.3133799601066816</v>
      </c>
      <c r="BH736" s="44">
        <f>IF($AX736="Cancelled","",IFERROR((W736*INDEX(Variables!$B$7:$D$7,IFERROR(MATCH(IF($B736="Robusta","Robusta",(IF($B736="","Arabica",$B736))&amp;" - "&amp;(IF($C736="","Commercial",$C736))),Variables!$B$1:$D$1,0),1))*AK736/365)+(L736/16.67*INDEX(Variables!$B$8:$D$8,IFERROR(MATCH(IF($B736="Robusta","Robusta",(IF($B736="","Arabica",$B736))&amp;" - "&amp;(IF($C736="","Commercial",$C736))),Variables!$B$1:$D$1,0),1))*AK736)+(W736*INDEX(Variables!$B$9:$D$9,IFERROR(MATCH(IF($B736="Robusta","Robusta",(IF($B736="","Arabica",$B736))&amp;" - "&amp;(IF($C736="","Commercial",$C736))),Variables!$B$1:$D$1,0),1))*AK736/365),""))</f>
        <v>18.507039680853453</v>
      </c>
      <c r="BI736" s="44">
        <f>IF($AX736="Cancelled","",IFERROR((W736*INDEX(Variables!$B$7:$D$7,IFERROR(MATCH(IF($B736="Robusta","Robusta",(IF($B736="","Arabica",$B736))&amp;" - "&amp;(IF($C736="","Commercial",$C736))),Variables!$B$1:$D$1,0),1))*BD736/365)+(L736/16.67*INDEX(Variables!$B$8:$D$8,IFERROR(MATCH(IF($B736="Robusta","Robusta",(IF($B736="","Arabica",$B736))&amp;" - "&amp;(IF($C736="","Commercial",$C736))),Variables!$B$1:$D$1,0),1))*BD736)+(W736*INDEX(Variables!$B$9:$D$9,IFERROR(MATCH(IF($B736="Robusta","Robusta",(IF($B736="","Arabica",$B736))&amp;" - "&amp;(IF($C736="","Commercial",$C736))),Variables!$B$1:$D$1,0),1))*BD736/365),""))</f>
        <v>7.4028158723413808</v>
      </c>
      <c r="BJ736" s="44">
        <f t="shared" si="35"/>
        <v>-12</v>
      </c>
      <c r="BK736" s="44">
        <f>IF($AX736="Cancelled","",IFERROR(IF(BJ736="","",(W736*INDEX(Variables!$B$7:$D$7,IFERROR(MATCH(IF($B736="Robusta","Robusta",(IF($B736="","Arabica",$B736))&amp;" - "&amp;(IF($C736="","Commercial",$C736))),Variables!$B$1:$D$1,0),1))*(BJ736/365))+(W736*INDEX(Variables!$B$9:$D$9,IFERROR(MATCH(IF($B736="Robusta","Robusta",(IF($B736="","Arabica",$B736))&amp;" - "&amp;(IF($C736="","Commercial",$C736))),Variables!$B$1:$D$1,0),1))*(BJ736/365))+(INDEX(Variables!$B$8:$D$8,IFERROR(MATCH(IF($B736="Robusta","Robusta",(IF($B736="","Arabica",$B736))&amp;" - "&amp;(IF($C736="","Commercial",$C736))),Variables!$B$1:$D$1,0),1))*L736/16.67)),""))</f>
        <v>-28.16689523404828</v>
      </c>
    </row>
    <row r="737" spans="1:63">
      <c r="A737" s="13" t="s">
        <v>103</v>
      </c>
      <c r="B737" s="13" t="s">
        <v>104</v>
      </c>
      <c r="C737" s="13" t="s">
        <v>292</v>
      </c>
      <c r="D737" s="31">
        <v>46049</v>
      </c>
      <c r="E737" s="31">
        <v>46054</v>
      </c>
      <c r="F737" s="31">
        <v>46081</v>
      </c>
      <c r="G737" s="13">
        <v>3787178</v>
      </c>
      <c r="H737" s="13" t="s">
        <v>1995</v>
      </c>
      <c r="J737" s="13" t="s">
        <v>294</v>
      </c>
      <c r="L737" s="13">
        <v>20</v>
      </c>
      <c r="M737" s="13">
        <v>0</v>
      </c>
      <c r="N737" s="13" t="s">
        <v>467</v>
      </c>
      <c r="O737" s="13" t="s">
        <v>1949</v>
      </c>
      <c r="P737" s="13">
        <v>10030</v>
      </c>
      <c r="R737" s="13" t="s">
        <v>467</v>
      </c>
      <c r="S737" s="13" t="s">
        <v>467</v>
      </c>
      <c r="T737" s="13" t="s">
        <v>467</v>
      </c>
      <c r="U737" s="13" t="s">
        <v>467</v>
      </c>
      <c r="V737" s="13">
        <v>128.55000000000001</v>
      </c>
      <c r="W737" s="44">
        <f>IF($AX737="Cancelled","",IFERROR(((V737+INDEX(Variables!$B$6:$D$6,IFERROR(MATCH(IF($B737="Robusta","Robusta",(IF($B737="","Arabica",$B737))&amp;" - "&amp;(IF($C737="","Commercial",$C737))),Variables!$B$1:$D$1,0),1)))*22.0462)*(L737/16.67),""))</f>
        <v>11091.870389922015</v>
      </c>
      <c r="X737" s="55" t="s">
        <v>37</v>
      </c>
      <c r="Y737" s="13" t="str">
        <f>IF($AX737="Cancelled","",IF(X737="","",IFERROR(IF(INDEX(Variables!$B$38:$B$47,MATCH(X737,Variables!$A$38:$A$47,0))="Yes","Yes","No"),"No")))</f>
        <v>Yes</v>
      </c>
      <c r="Z737" s="31">
        <v>46049</v>
      </c>
      <c r="AB737" s="31">
        <v>46049</v>
      </c>
      <c r="AC737" s="13" t="str">
        <f t="shared" si="34"/>
        <v>Approved</v>
      </c>
      <c r="AD737" s="31">
        <v>46049</v>
      </c>
      <c r="AF737" s="71">
        <v>46049</v>
      </c>
      <c r="AG737" s="37">
        <f>IF($AX737="Cancelled","",IFERROR(IF(F737="","",F737-Variables!$B$13),""))</f>
        <v>46066</v>
      </c>
      <c r="AH737" s="13">
        <f>IF($AX737="Cancelled","",IFERROR(IF(AB737="","",(AVERAGE(E737:F737)-AB737)-Variables!$B$14),""))</f>
        <v>-11.5</v>
      </c>
      <c r="AI737" s="13">
        <v>46049</v>
      </c>
      <c r="AJ737" s="47">
        <v>46049</v>
      </c>
      <c r="AK737" s="14">
        <f>IF($AX737="Cancelled","",IFERROR(IF(AJ737="","",IF(AND(AB737="",AF737=""),"",IF(AF737&gt;AB737,AF737+Variables!$B$15+Variables!$B$16+Variables!$B$17-AJ737,AB737+Variables!$B$16+Variables!$B$17-AJ737))),""))</f>
        <v>8</v>
      </c>
      <c r="AL737" s="48" t="s">
        <v>114</v>
      </c>
      <c r="AM737" s="13" t="s">
        <v>467</v>
      </c>
      <c r="AN737" s="13" t="s">
        <v>467</v>
      </c>
      <c r="AO737" s="31">
        <v>46049</v>
      </c>
      <c r="AP737" s="31">
        <v>46049</v>
      </c>
      <c r="AQ737" s="31">
        <v>46049</v>
      </c>
      <c r="AR737" s="13" t="s">
        <v>467</v>
      </c>
      <c r="AS737" s="31">
        <v>46049</v>
      </c>
      <c r="AU737" s="31">
        <v>46049</v>
      </c>
      <c r="AV737" s="13" t="s">
        <v>467</v>
      </c>
      <c r="AW737" s="31">
        <v>46049</v>
      </c>
      <c r="AX737" s="13" t="str">
        <f>IF(ISNUMBER(SEARCH("cancel",#REF!)),"Cancelled",IF(AND(AS737&lt;&gt;"",AU737&lt;&gt;"",AW737&lt;&gt;""),"Closed","Open"))</f>
        <v>Closed</v>
      </c>
      <c r="AY737" s="15" t="str">
        <f t="shared" si="33"/>
        <v>All dates received</v>
      </c>
      <c r="BD737" s="13">
        <f>IF($AX737="Cancelled","",IFERROR(IF(OR(AS737="",AJ737=""),"",(AJ737+Variables!$B$18-AS737)),""))</f>
        <v>15</v>
      </c>
      <c r="BE737" s="13">
        <f>IF($AX737="Cancelled","",IFERROR(IF(OR(AW737="",AS737=""),"",(AS737+Variables!$B$19)-AW737),""))</f>
        <v>5</v>
      </c>
      <c r="BF737" s="44">
        <f>IF($AX737="Cancelled","",IFERROR(W737*INDEX(Variables!$B$7:$D$7,IFERROR(MATCH(IF($B737="Robusta","Robusta",(IF($B737="","Arabica",$B737))&amp;" - "&amp;(IF($C737="","Commercial",$C737))),Variables!$B$1:$D$1,0),1))*(BE737/365),""))</f>
        <v>9.7976466418771135</v>
      </c>
      <c r="BG737" s="44">
        <f>IF($AX737="Cancelled","",IFERROR((W737*INDEX(Variables!$B$7:$D$7,IFERROR(MATCH(IF($B737="Robusta","Robusta",(IF($B737="","Arabica",$B737))&amp;" - "&amp;(IF($C737="","Commercial",$C737))),Variables!$B$1:$D$1,0),1))*IFERROR(IF(AB737="","",(AVERAGE(E737:F737)-AB737)-Variables!$B$14),"")/365)+(L737/16.67*INDEX(Variables!$B$8:$D$8,IFERROR(MATCH(IF($B737="Robusta","Robusta",(IF($B737="","Arabica",$B737))&amp;" - "&amp;(IF($C737="","Commercial",$C737))),Variables!$B$1:$D$1,0),1))*IFERROR(IF(AB737="","",(AVERAGE(E737:F737)-AB737)-Variables!$B$14),""))+(W737*INDEX(Variables!$B$9:$D$9,IFERROR(MATCH(IF($B737="Robusta","Robusta",(IF($B737="","Arabica",$B737))&amp;" - "&amp;(IF($C737="","Commercial",$C737))),Variables!$B$1:$D$1,0),1))*IFERROR(IF(AB737="","",(AVERAGE(E737:F737)-AB737)-Variables!$B$14),"")/365),""))</f>
        <v>-34.325101595041026</v>
      </c>
      <c r="BH737" s="44">
        <f>IF($AX737="Cancelled","",IFERROR((W737*INDEX(Variables!$B$7:$D$7,IFERROR(MATCH(IF($B737="Robusta","Robusta",(IF($B737="","Arabica",$B737))&amp;" - "&amp;(IF($C737="","Commercial",$C737))),Variables!$B$1:$D$1,0),1))*AK737/365)+(L737/16.67*INDEX(Variables!$B$8:$D$8,IFERROR(MATCH(IF($B737="Robusta","Robusta",(IF($B737="","Arabica",$B737))&amp;" - "&amp;(IF($C737="","Commercial",$C737))),Variables!$B$1:$D$1,0),1))*AK737)+(W737*INDEX(Variables!$B$9:$D$9,IFERROR(MATCH(IF($B737="Robusta","Robusta",(IF($B737="","Arabica",$B737))&amp;" - "&amp;(IF($C737="","Commercial",$C737))),Variables!$B$1:$D$1,0),1))*AK737/365),""))</f>
        <v>23.878331544376362</v>
      </c>
      <c r="BI737" s="44">
        <f>IF($AX737="Cancelled","",IFERROR((W737*INDEX(Variables!$B$7:$D$7,IFERROR(MATCH(IF($B737="Robusta","Robusta",(IF($B737="","Arabica",$B737))&amp;" - "&amp;(IF($C737="","Commercial",$C737))),Variables!$B$1:$D$1,0),1))*BD737/365)+(L737/16.67*INDEX(Variables!$B$8:$D$8,IFERROR(MATCH(IF($B737="Robusta","Robusta",(IF($B737="","Arabica",$B737))&amp;" - "&amp;(IF($C737="","Commercial",$C737))),Variables!$B$1:$D$1,0),1))*BD737)+(W737*INDEX(Variables!$B$9:$D$9,IFERROR(MATCH(IF($B737="Robusta","Robusta",(IF($B737="","Arabica",$B737))&amp;" - "&amp;(IF($C737="","Commercial",$C737))),Variables!$B$1:$D$1,0),1))*BD737/365),""))</f>
        <v>44.77187164570568</v>
      </c>
      <c r="BJ737" s="44">
        <f t="shared" si="35"/>
        <v>32</v>
      </c>
      <c r="BK737" s="44">
        <f>IF($AX737="Cancelled","",IFERROR(IF(BJ737="","",(W737*INDEX(Variables!$B$7:$D$7,IFERROR(MATCH(IF($B737="Robusta","Robusta",(IF($B737="","Arabica",$B737))&amp;" - "&amp;(IF($C737="","Commercial",$C737))),Variables!$B$1:$D$1,0),1))*(BJ737/365))+(W737*INDEX(Variables!$B$9:$D$9,IFERROR(MATCH(IF($B737="Robusta","Robusta",(IF($B737="","Arabica",$B737))&amp;" - "&amp;(IF($C737="","Commercial",$C737))),Variables!$B$1:$D$1,0),1))*(BJ737/365))+(INDEX(Variables!$B$8:$D$8,IFERROR(MATCH(IF($B737="Robusta","Robusta",(IF($B737="","Arabica",$B737))&amp;" - "&amp;(IF($C737="","Commercial",$C737))),Variables!$B$1:$D$1,0),1))*L737/16.67)),""))</f>
        <v>64.513326177505448</v>
      </c>
    </row>
    <row r="738" spans="1:63">
      <c r="A738" s="13" t="s">
        <v>103</v>
      </c>
      <c r="B738" s="13" t="s">
        <v>104</v>
      </c>
      <c r="C738" s="13" t="s">
        <v>292</v>
      </c>
      <c r="D738" s="31">
        <v>46049</v>
      </c>
      <c r="E738" s="31">
        <v>46054</v>
      </c>
      <c r="F738" s="31">
        <v>46081</v>
      </c>
      <c r="G738" s="13">
        <v>3787179</v>
      </c>
      <c r="J738" s="13" t="s">
        <v>1641</v>
      </c>
      <c r="K738" s="13" t="s">
        <v>1996</v>
      </c>
      <c r="L738" s="13">
        <v>25</v>
      </c>
      <c r="M738" s="13">
        <v>1</v>
      </c>
      <c r="N738" s="13" t="s">
        <v>1997</v>
      </c>
      <c r="O738" s="13" t="s">
        <v>1960</v>
      </c>
      <c r="P738" s="13">
        <v>10040</v>
      </c>
      <c r="R738" s="13" t="s">
        <v>384</v>
      </c>
      <c r="S738" s="13" t="s">
        <v>776</v>
      </c>
      <c r="T738" s="13" t="s">
        <v>777</v>
      </c>
      <c r="U738" s="13" t="s">
        <v>125</v>
      </c>
      <c r="V738" s="13">
        <v>122</v>
      </c>
      <c r="W738" s="44">
        <f>IF($AX738="Cancelled","",IFERROR(((V738+INDEX(Variables!$B$6:$D$6,IFERROR(MATCH(IF($B738="Robusta","Robusta",(IF($B738="","Arabica",$B738))&amp;" - "&amp;(IF($C738="","Commercial",$C738))),Variables!$B$1:$D$1,0),1)))*22.0462)*(L738/16.67),""))</f>
        <v>13648.277384523093</v>
      </c>
      <c r="X738" s="55" t="s">
        <v>39</v>
      </c>
      <c r="Y738" s="13" t="str">
        <f>IF($AX738="Cancelled","",IF(X738="","",IFERROR(IF(INDEX(Variables!$B$38:$B$47,MATCH(X738,Variables!$A$38:$A$47,0))="Yes","Yes","No"),"No")))</f>
        <v>No</v>
      </c>
      <c r="Z738" s="31"/>
      <c r="AB738" s="31">
        <v>46036.875</v>
      </c>
      <c r="AC738" s="13" t="str">
        <f t="shared" si="34"/>
        <v>Approved</v>
      </c>
      <c r="AF738" s="71">
        <v>46076</v>
      </c>
      <c r="AG738" s="31">
        <f>IF($AX738="Cancelled","",IFERROR(IF(F738="","",F738-Variables!$B$13),""))</f>
        <v>46066</v>
      </c>
      <c r="AH738" s="13">
        <f>IF($AX738="Cancelled","",IFERROR(IF(AB738="","",(AVERAGE(E738:F738)-AB738)-Variables!$B$14),""))</f>
        <v>0.625</v>
      </c>
      <c r="AJ738" s="47">
        <v>46086</v>
      </c>
      <c r="AK738" s="14">
        <f>IF($AX738="Cancelled","",IFERROR(IF(AJ738="","",IF(AND(AB738="",AF738=""),"",IF(AF738&gt;AB738,AF738+Variables!$B$15+Variables!$B$16+Variables!$B$17-AJ738,AB738+Variables!$B$16+Variables!$B$17-AJ738))),""))</f>
        <v>5</v>
      </c>
      <c r="AL738" s="48" t="s">
        <v>114</v>
      </c>
      <c r="AM738" s="13" t="s">
        <v>1526</v>
      </c>
      <c r="AN738" s="13" t="s">
        <v>1998</v>
      </c>
      <c r="AP738" s="31" t="e">
        <v>#N/A</v>
      </c>
      <c r="AR738" s="13" t="s">
        <v>1999</v>
      </c>
      <c r="AS738" s="31">
        <v>46103</v>
      </c>
      <c r="AU738" s="31">
        <v>46113</v>
      </c>
      <c r="AV738" s="13" t="s">
        <v>865</v>
      </c>
      <c r="AW738" s="31">
        <v>46129</v>
      </c>
      <c r="AX738" s="13" t="str">
        <f>IF(ISNUMBER(SEARCH("cancel",#REF!)),"Cancelled",IF(AND(AS738&lt;&gt;"",AU738&lt;&gt;"",AW738&lt;&gt;""),"Closed","Open"))</f>
        <v>Closed</v>
      </c>
      <c r="AY738" s="15" t="str">
        <f t="shared" si="33"/>
        <v>All dates received</v>
      </c>
      <c r="BD738" s="13">
        <f>IF($AX738="Cancelled","",IFERROR(IF(OR(AS738="",AJ738=""),"",(AJ738+Variables!$B$18-AS738)),""))</f>
        <v>-2</v>
      </c>
      <c r="BE738" s="13">
        <f>IF($AX738="Cancelled","",IFERROR(IF(OR(AW738="",AS738=""),"",(AS738+Variables!$B$19)-AW738),""))</f>
        <v>-21</v>
      </c>
      <c r="BF738" s="44">
        <f>IF($AX738="Cancelled","",IFERROR(W738*INDEX(Variables!$B$7:$D$7,IFERROR(MATCH(IF($B738="Robusta","Robusta",(IF($B738="","Arabica",$B738))&amp;" - "&amp;(IF($C738="","Commercial",$C738))),Variables!$B$1:$D$1,0),1))*(BE738/365),""))</f>
        <v>-50.634219154110127</v>
      </c>
      <c r="BG738" s="44">
        <f>IF($AX738="Cancelled","",IFERROR((W738*INDEX(Variables!$B$7:$D$7,IFERROR(MATCH(IF($B738="Robusta","Robusta",(IF($B738="","Arabica",$B738))&amp;" - "&amp;(IF($C738="","Commercial",$C738))),Variables!$B$1:$D$1,0),1))*IFERROR(IF(AB738="","",(AVERAGE(E738:F738)-AB738)-Variables!$B$14),"")/365)+(L738/16.67*INDEX(Variables!$B$8:$D$8,IFERROR(MATCH(IF($B738="Robusta","Robusta",(IF($B738="","Arabica",$B738))&amp;" - "&amp;(IF($C738="","Commercial",$C738))),Variables!$B$1:$D$1,0),1))*IFERROR(IF(AB738="","",(AVERAGE(E738:F738)-AB738)-Variables!$B$14),""))+(W738*INDEX(Variables!$B$9:$D$9,IFERROR(MATCH(IF($B738="Robusta","Robusta",(IF($B738="","Arabica",$B738))&amp;" - "&amp;(IF($C738="","Commercial",$C738))),Variables!$B$1:$D$1,0),1))*IFERROR(IF(AB738="","",(AVERAGE(E738:F738)-AB738)-Variables!$B$14),"")/365),""))</f>
        <v>2.3076485701267964</v>
      </c>
      <c r="BH738" s="44">
        <f>IF($AX738="Cancelled","",IFERROR((W738*INDEX(Variables!$B$7:$D$7,IFERROR(MATCH(IF($B738="Robusta","Robusta",(IF($B738="","Arabica",$B738))&amp;" - "&amp;(IF($C738="","Commercial",$C738))),Variables!$B$1:$D$1,0),1))*AK738/365)+(L738/16.67*INDEX(Variables!$B$8:$D$8,IFERROR(MATCH(IF($B738="Robusta","Robusta",(IF($B738="","Arabica",$B738))&amp;" - "&amp;(IF($C738="","Commercial",$C738))),Variables!$B$1:$D$1,0),1))*AK738)+(W738*INDEX(Variables!$B$9:$D$9,IFERROR(MATCH(IF($B738="Robusta","Robusta",(IF($B738="","Arabica",$B738))&amp;" - "&amp;(IF($C738="","Commercial",$C738))),Variables!$B$1:$D$1,0),1))*AK738/365),""))</f>
        <v>18.461188561014371</v>
      </c>
      <c r="BI738" s="44">
        <f>IF($AX738="Cancelled","",IFERROR((W738*INDEX(Variables!$B$7:$D$7,IFERROR(MATCH(IF($B738="Robusta","Robusta",(IF($B738="","Arabica",$B738))&amp;" - "&amp;(IF($C738="","Commercial",$C738))),Variables!$B$1:$D$1,0),1))*BD738/365)+(L738/16.67*INDEX(Variables!$B$8:$D$8,IFERROR(MATCH(IF($B738="Robusta","Robusta",(IF($B738="","Arabica",$B738))&amp;" - "&amp;(IF($C738="","Commercial",$C738))),Variables!$B$1:$D$1,0),1))*BD738)+(W738*INDEX(Variables!$B$9:$D$9,IFERROR(MATCH(IF($B738="Robusta","Robusta",(IF($B738="","Arabica",$B738))&amp;" - "&amp;(IF($C738="","Commercial",$C738))),Variables!$B$1:$D$1,0),1))*BD738/365),""))</f>
        <v>-7.3844754244057489</v>
      </c>
      <c r="BJ738" s="44">
        <f t="shared" si="35"/>
        <v>-22</v>
      </c>
      <c r="BK738" s="44">
        <f>IF($AX738="Cancelled","",IFERROR(IF(BJ738="","",(W738*INDEX(Variables!$B$7:$D$7,IFERROR(MATCH(IF($B738="Robusta","Robusta",(IF($B738="","Arabica",$B738))&amp;" - "&amp;(IF($C738="","Commercial",$C738))),Variables!$B$1:$D$1,0),1))*(BJ738/365))+(W738*INDEX(Variables!$B$9:$D$9,IFERROR(MATCH(IF($B738="Robusta","Robusta",(IF($B738="","Arabica",$B738))&amp;" - "&amp;(IF($C738="","Commercial",$C738))),Variables!$B$1:$D$1,0),1))*(BJ738/365))+(INDEX(Variables!$B$8:$D$8,IFERROR(MATCH(IF($B738="Robusta","Robusta",(IF($B738="","Arabica",$B738))&amp;" - "&amp;(IF($C738="","Commercial",$C738))),Variables!$B$1:$D$1,0),1))*L738/16.67)),""))</f>
        <v>-52.47922966846324</v>
      </c>
    </row>
    <row r="739" spans="1:63">
      <c r="A739" s="13" t="s">
        <v>103</v>
      </c>
      <c r="B739" s="13" t="s">
        <v>104</v>
      </c>
      <c r="C739" s="13" t="s">
        <v>292</v>
      </c>
      <c r="D739" s="31">
        <v>46049</v>
      </c>
      <c r="E739" s="31">
        <v>46054</v>
      </c>
      <c r="F739" s="31">
        <v>46081</v>
      </c>
      <c r="G739" s="13">
        <v>3787180</v>
      </c>
      <c r="J739" s="13" t="s">
        <v>1641</v>
      </c>
      <c r="K739" s="13" t="s">
        <v>2000</v>
      </c>
      <c r="L739" s="13">
        <v>25</v>
      </c>
      <c r="M739" s="13">
        <v>0</v>
      </c>
      <c r="N739" s="13" t="s">
        <v>2001</v>
      </c>
      <c r="O739" s="13" t="s">
        <v>1960</v>
      </c>
      <c r="P739" s="13">
        <v>10040</v>
      </c>
      <c r="R739" s="13" t="s">
        <v>384</v>
      </c>
      <c r="S739" s="13" t="s">
        <v>776</v>
      </c>
      <c r="T739" s="13" t="s">
        <v>777</v>
      </c>
      <c r="U739" s="13" t="s">
        <v>125</v>
      </c>
      <c r="V739" s="13">
        <v>148</v>
      </c>
      <c r="W739" s="44">
        <f>IF($AX739="Cancelled","",IFERROR(((V739+INDEX(Variables!$B$6:$D$6,IFERROR(MATCH(IF($B739="Robusta","Robusta",(IF($B739="","Arabica",$B739))&amp;" - "&amp;(IF($C739="","Commercial",$C739))),Variables!$B$1:$D$1,0),1)))*22.0462)*(L739/16.67),""))</f>
        <v>14507.907258548288</v>
      </c>
      <c r="X739" s="55" t="s">
        <v>39</v>
      </c>
      <c r="Y739" s="13" t="str">
        <f>IF($AX739="Cancelled","",IF(X739="","",IFERROR(IF(INDEX(Variables!$B$38:$B$47,MATCH(X739,Variables!$A$38:$A$47,0))="Yes","Yes","No"),"No")))</f>
        <v>No</v>
      </c>
      <c r="Z739" s="31"/>
      <c r="AB739" s="31">
        <v>46036.875</v>
      </c>
      <c r="AC739" s="13" t="str">
        <f t="shared" si="34"/>
        <v>Approved</v>
      </c>
      <c r="AF739" s="71">
        <v>46076</v>
      </c>
      <c r="AG739" s="31">
        <f>IF($AX739="Cancelled","",IFERROR(IF(F739="","",F739-Variables!$B$13),""))</f>
        <v>46066</v>
      </c>
      <c r="AH739" s="13">
        <f>IF($AX739="Cancelled","",IFERROR(IF(AB739="","",(AVERAGE(E739:F739)-AB739)-Variables!$B$14),""))</f>
        <v>0.625</v>
      </c>
      <c r="AJ739" s="47">
        <v>46086</v>
      </c>
      <c r="AK739" s="14">
        <f>IF($AX739="Cancelled","",IFERROR(IF(AJ739="","",IF(AND(AB739="",AF739=""),"",IF(AF739&gt;AB739,AF739+Variables!$B$15+Variables!$B$16+Variables!$B$17-AJ739,AB739+Variables!$B$16+Variables!$B$17-AJ739))),""))</f>
        <v>5</v>
      </c>
      <c r="AL739" s="48" t="s">
        <v>114</v>
      </c>
      <c r="AM739" s="13" t="s">
        <v>1526</v>
      </c>
      <c r="AN739" s="13" t="s">
        <v>1998</v>
      </c>
      <c r="AP739" s="31" t="e">
        <v>#N/A</v>
      </c>
      <c r="AR739" s="13" t="s">
        <v>1999</v>
      </c>
      <c r="AS739" s="31">
        <v>46103</v>
      </c>
      <c r="AU739" s="31">
        <v>46113</v>
      </c>
      <c r="AV739" s="13" t="s">
        <v>865</v>
      </c>
      <c r="AW739" s="31">
        <v>46129</v>
      </c>
      <c r="AX739" s="13" t="str">
        <f>IF(ISNUMBER(SEARCH("cancel",#REF!)),"Cancelled",IF(AND(AS739&lt;&gt;"",AU739&lt;&gt;"",AW739&lt;&gt;""),"Closed","Open"))</f>
        <v>Closed</v>
      </c>
      <c r="AY739" s="15" t="str">
        <f t="shared" si="33"/>
        <v>All dates received</v>
      </c>
      <c r="BD739" s="13">
        <f>IF($AX739="Cancelled","",IFERROR(IF(OR(AS739="",AJ739=""),"",(AJ739+Variables!$B$18-AS739)),""))</f>
        <v>-2</v>
      </c>
      <c r="BE739" s="13">
        <f>IF($AX739="Cancelled","",IFERROR(IF(OR(AW739="",AS739=""),"",(AS739+Variables!$B$19)-AW739),""))</f>
        <v>-21</v>
      </c>
      <c r="BF739" s="44">
        <f>IF($AX739="Cancelled","",IFERROR(W739*INDEX(Variables!$B$7:$D$7,IFERROR(MATCH(IF($B739="Robusta","Robusta",(IF($B739="","Arabica",$B739))&amp;" - "&amp;(IF($C739="","Commercial",$C739))),Variables!$B$1:$D$1,0),1))*(BE739/365),""))</f>
        <v>-53.823389934165512</v>
      </c>
      <c r="BG739" s="44">
        <f>IF($AX739="Cancelled","",IFERROR((W739*INDEX(Variables!$B$7:$D$7,IFERROR(MATCH(IF($B739="Robusta","Robusta",(IF($B739="","Arabica",$B739))&amp;" - "&amp;(IF($C739="","Commercial",$C739))),Variables!$B$1:$D$1,0),1))*IFERROR(IF(AB739="","",(AVERAGE(E739:F739)-AB739)-Variables!$B$14),"")/365)+(L739/16.67*INDEX(Variables!$B$8:$D$8,IFERROR(MATCH(IF($B739="Robusta","Robusta",(IF($B739="","Arabica",$B739))&amp;" - "&amp;(IF($C739="","Commercial",$C739))),Variables!$B$1:$D$1,0),1))*IFERROR(IF(AB739="","",(AVERAGE(E739:F739)-AB739)-Variables!$B$14),""))+(W739*INDEX(Variables!$B$9:$D$9,IFERROR(MATCH(IF($B739="Robusta","Robusta",(IF($B739="","Arabica",$B739))&amp;" - "&amp;(IF($C739="","Commercial",$C739))),Variables!$B$1:$D$1,0),1))*IFERROR(IF(AB739="","",(AVERAGE(E739:F739)-AB739)-Variables!$B$14),"")/365),""))</f>
        <v>2.4037880149506741</v>
      </c>
      <c r="BH739" s="44">
        <f>IF($AX739="Cancelled","",IFERROR((W739*INDEX(Variables!$B$7:$D$7,IFERROR(MATCH(IF($B739="Robusta","Robusta",(IF($B739="","Arabica",$B739))&amp;" - "&amp;(IF($C739="","Commercial",$C739))),Variables!$B$1:$D$1,0),1))*AK739/365)+(L739/16.67*INDEX(Variables!$B$8:$D$8,IFERROR(MATCH(IF($B739="Robusta","Robusta",(IF($B739="","Arabica",$B739))&amp;" - "&amp;(IF($C739="","Commercial",$C739))),Variables!$B$1:$D$1,0),1))*AK739)+(W739*INDEX(Variables!$B$9:$D$9,IFERROR(MATCH(IF($B739="Robusta","Robusta",(IF($B739="","Arabica",$B739))&amp;" - "&amp;(IF($C739="","Commercial",$C739))),Variables!$B$1:$D$1,0),1))*AK739/365),""))</f>
        <v>19.230304119605393</v>
      </c>
      <c r="BI739" s="44">
        <f>IF($AX739="Cancelled","",IFERROR((W739*INDEX(Variables!$B$7:$D$7,IFERROR(MATCH(IF($B739="Robusta","Robusta",(IF($B739="","Arabica",$B739))&amp;" - "&amp;(IF($C739="","Commercial",$C739))),Variables!$B$1:$D$1,0),1))*BD739/365)+(L739/16.67*INDEX(Variables!$B$8:$D$8,IFERROR(MATCH(IF($B739="Robusta","Robusta",(IF($B739="","Arabica",$B739))&amp;" - "&amp;(IF($C739="","Commercial",$C739))),Variables!$B$1:$D$1,0),1))*BD739)+(W739*INDEX(Variables!$B$9:$D$9,IFERROR(MATCH(IF($B739="Robusta","Robusta",(IF($B739="","Arabica",$B739))&amp;" - "&amp;(IF($C739="","Commercial",$C739))),Variables!$B$1:$D$1,0),1))*BD739/365),""))</f>
        <v>-7.692121647842157</v>
      </c>
      <c r="BJ739" s="44">
        <f t="shared" si="35"/>
        <v>-22</v>
      </c>
      <c r="BK739" s="44">
        <f>IF($AX739="Cancelled","",IFERROR(IF(BJ739="","",(W739*INDEX(Variables!$B$7:$D$7,IFERROR(MATCH(IF($B739="Robusta","Robusta",(IF($B739="","Arabica",$B739))&amp;" - "&amp;(IF($C739="","Commercial",$C739))),Variables!$B$1:$D$1,0),1))*(BJ739/365))+(W739*INDEX(Variables!$B$9:$D$9,IFERROR(MATCH(IF($B739="Robusta","Robusta",(IF($B739="","Arabica",$B739))&amp;" - "&amp;(IF($C739="","Commercial",$C739))),Variables!$B$1:$D$1,0),1))*(BJ739/365))+(INDEX(Variables!$B$8:$D$8,IFERROR(MATCH(IF($B739="Robusta","Robusta",(IF($B739="","Arabica",$B739))&amp;" - "&amp;(IF($C739="","Commercial",$C739))),Variables!$B$1:$D$1,0),1))*L739/16.67)),""))</f>
        <v>-55.863338126263727</v>
      </c>
    </row>
    <row r="740" spans="1:63">
      <c r="A740" s="13" t="s">
        <v>103</v>
      </c>
      <c r="B740" s="13" t="s">
        <v>104</v>
      </c>
      <c r="C740" s="13" t="s">
        <v>292</v>
      </c>
      <c r="D740" s="31">
        <v>46049</v>
      </c>
      <c r="E740" s="31">
        <v>46054</v>
      </c>
      <c r="F740" s="31">
        <v>46081</v>
      </c>
      <c r="G740" s="13">
        <v>3787181</v>
      </c>
      <c r="J740" s="13" t="s">
        <v>1641</v>
      </c>
      <c r="K740" s="13" t="s">
        <v>2002</v>
      </c>
      <c r="L740" s="13">
        <v>25</v>
      </c>
      <c r="M740" s="13">
        <v>0</v>
      </c>
      <c r="N740" s="13" t="s">
        <v>2003</v>
      </c>
      <c r="O740" s="13" t="s">
        <v>1960</v>
      </c>
      <c r="P740" s="13">
        <v>10040</v>
      </c>
      <c r="R740" s="13" t="s">
        <v>384</v>
      </c>
      <c r="S740" s="13" t="s">
        <v>776</v>
      </c>
      <c r="T740" s="13" t="s">
        <v>777</v>
      </c>
      <c r="U740" s="13" t="s">
        <v>125</v>
      </c>
      <c r="V740" s="13">
        <v>148</v>
      </c>
      <c r="W740" s="44">
        <f>IF($AX740="Cancelled","",IFERROR(((V740+INDEX(Variables!$B$6:$D$6,IFERROR(MATCH(IF($B740="Robusta","Robusta",(IF($B740="","Arabica",$B740))&amp;" - "&amp;(IF($C740="","Commercial",$C740))),Variables!$B$1:$D$1,0),1)))*22.0462)*(L740/16.67),""))</f>
        <v>14507.907258548288</v>
      </c>
      <c r="X740" s="55" t="s">
        <v>39</v>
      </c>
      <c r="Y740" s="13" t="str">
        <f>IF($AX740="Cancelled","",IF(X740="","",IFERROR(IF(INDEX(Variables!$B$38:$B$47,MATCH(X740,Variables!$A$38:$A$47,0))="Yes","Yes","No"),"No")))</f>
        <v>No</v>
      </c>
      <c r="Z740" s="31"/>
      <c r="AB740" s="31">
        <v>46036.875</v>
      </c>
      <c r="AC740" s="13" t="str">
        <f t="shared" si="34"/>
        <v>Approved</v>
      </c>
      <c r="AF740" s="71">
        <v>46076</v>
      </c>
      <c r="AG740" s="31">
        <f>IF($AX740="Cancelled","",IFERROR(IF(F740="","",F740-Variables!$B$13),""))</f>
        <v>46066</v>
      </c>
      <c r="AH740" s="13">
        <f>IF($AX740="Cancelled","",IFERROR(IF(AB740="","",(AVERAGE(E740:F740)-AB740)-Variables!$B$14),""))</f>
        <v>0.625</v>
      </c>
      <c r="AJ740" s="47">
        <v>46086</v>
      </c>
      <c r="AK740" s="14">
        <f>IF($AX740="Cancelled","",IFERROR(IF(AJ740="","",IF(AND(AB740="",AF740=""),"",IF(AF740&gt;AB740,AF740+Variables!$B$15+Variables!$B$16+Variables!$B$17-AJ740,AB740+Variables!$B$16+Variables!$B$17-AJ740))),""))</f>
        <v>5</v>
      </c>
      <c r="AL740" s="48" t="s">
        <v>114</v>
      </c>
      <c r="AM740" s="13" t="s">
        <v>1526</v>
      </c>
      <c r="AN740" s="13" t="s">
        <v>1998</v>
      </c>
      <c r="AP740" s="31" t="e">
        <v>#N/A</v>
      </c>
      <c r="AR740" s="13" t="s">
        <v>1999</v>
      </c>
      <c r="AS740" s="31">
        <v>46103</v>
      </c>
      <c r="AU740" s="31">
        <v>46113</v>
      </c>
      <c r="AV740" s="13" t="s">
        <v>865</v>
      </c>
      <c r="AW740" s="31">
        <v>46129</v>
      </c>
      <c r="AX740" s="13" t="str">
        <f>IF(ISNUMBER(SEARCH("cancel",#REF!)),"Cancelled",IF(AND(AS740&lt;&gt;"",AU740&lt;&gt;"",AW740&lt;&gt;""),"Closed","Open"))</f>
        <v>Closed</v>
      </c>
      <c r="AY740" s="15" t="str">
        <f t="shared" si="33"/>
        <v>All dates received</v>
      </c>
      <c r="BD740" s="13">
        <f>IF($AX740="Cancelled","",IFERROR(IF(OR(AS740="",AJ740=""),"",(AJ740+Variables!$B$18-AS740)),""))</f>
        <v>-2</v>
      </c>
      <c r="BE740" s="13">
        <f>IF($AX740="Cancelled","",IFERROR(IF(OR(AW740="",AS740=""),"",(AS740+Variables!$B$19)-AW740),""))</f>
        <v>-21</v>
      </c>
      <c r="BF740" s="44">
        <f>IF($AX740="Cancelled","",IFERROR(W740*INDEX(Variables!$B$7:$D$7,IFERROR(MATCH(IF($B740="Robusta","Robusta",(IF($B740="","Arabica",$B740))&amp;" - "&amp;(IF($C740="","Commercial",$C740))),Variables!$B$1:$D$1,0),1))*(BE740/365),""))</f>
        <v>-53.823389934165512</v>
      </c>
      <c r="BG740" s="44">
        <f>IF($AX740="Cancelled","",IFERROR((W740*INDEX(Variables!$B$7:$D$7,IFERROR(MATCH(IF($B740="Robusta","Robusta",(IF($B740="","Arabica",$B740))&amp;" - "&amp;(IF($C740="","Commercial",$C740))),Variables!$B$1:$D$1,0),1))*IFERROR(IF(AB740="","",(AVERAGE(E740:F740)-AB740)-Variables!$B$14),"")/365)+(L740/16.67*INDEX(Variables!$B$8:$D$8,IFERROR(MATCH(IF($B740="Robusta","Robusta",(IF($B740="","Arabica",$B740))&amp;" - "&amp;(IF($C740="","Commercial",$C740))),Variables!$B$1:$D$1,0),1))*IFERROR(IF(AB740="","",(AVERAGE(E740:F740)-AB740)-Variables!$B$14),""))+(W740*INDEX(Variables!$B$9:$D$9,IFERROR(MATCH(IF($B740="Robusta","Robusta",(IF($B740="","Arabica",$B740))&amp;" - "&amp;(IF($C740="","Commercial",$C740))),Variables!$B$1:$D$1,0),1))*IFERROR(IF(AB740="","",(AVERAGE(E740:F740)-AB740)-Variables!$B$14),"")/365),""))</f>
        <v>2.4037880149506741</v>
      </c>
      <c r="BH740" s="44">
        <f>IF($AX740="Cancelled","",IFERROR((W740*INDEX(Variables!$B$7:$D$7,IFERROR(MATCH(IF($B740="Robusta","Robusta",(IF($B740="","Arabica",$B740))&amp;" - "&amp;(IF($C740="","Commercial",$C740))),Variables!$B$1:$D$1,0),1))*AK740/365)+(L740/16.67*INDEX(Variables!$B$8:$D$8,IFERROR(MATCH(IF($B740="Robusta","Robusta",(IF($B740="","Arabica",$B740))&amp;" - "&amp;(IF($C740="","Commercial",$C740))),Variables!$B$1:$D$1,0),1))*AK740)+(W740*INDEX(Variables!$B$9:$D$9,IFERROR(MATCH(IF($B740="Robusta","Robusta",(IF($B740="","Arabica",$B740))&amp;" - "&amp;(IF($C740="","Commercial",$C740))),Variables!$B$1:$D$1,0),1))*AK740/365),""))</f>
        <v>19.230304119605393</v>
      </c>
      <c r="BI740" s="44">
        <f>IF($AX740="Cancelled","",IFERROR((W740*INDEX(Variables!$B$7:$D$7,IFERROR(MATCH(IF($B740="Robusta","Robusta",(IF($B740="","Arabica",$B740))&amp;" - "&amp;(IF($C740="","Commercial",$C740))),Variables!$B$1:$D$1,0),1))*BD740/365)+(L740/16.67*INDEX(Variables!$B$8:$D$8,IFERROR(MATCH(IF($B740="Robusta","Robusta",(IF($B740="","Arabica",$B740))&amp;" - "&amp;(IF($C740="","Commercial",$C740))),Variables!$B$1:$D$1,0),1))*BD740)+(W740*INDEX(Variables!$B$9:$D$9,IFERROR(MATCH(IF($B740="Robusta","Robusta",(IF($B740="","Arabica",$B740))&amp;" - "&amp;(IF($C740="","Commercial",$C740))),Variables!$B$1:$D$1,0),1))*BD740/365),""))</f>
        <v>-7.692121647842157</v>
      </c>
      <c r="BJ740" s="44">
        <f t="shared" si="35"/>
        <v>-22</v>
      </c>
      <c r="BK740" s="44">
        <f>IF($AX740="Cancelled","",IFERROR(IF(BJ740="","",(W740*INDEX(Variables!$B$7:$D$7,IFERROR(MATCH(IF($B740="Robusta","Robusta",(IF($B740="","Arabica",$B740))&amp;" - "&amp;(IF($C740="","Commercial",$C740))),Variables!$B$1:$D$1,0),1))*(BJ740/365))+(W740*INDEX(Variables!$B$9:$D$9,IFERROR(MATCH(IF($B740="Robusta","Robusta",(IF($B740="","Arabica",$B740))&amp;" - "&amp;(IF($C740="","Commercial",$C740))),Variables!$B$1:$D$1,0),1))*(BJ740/365))+(INDEX(Variables!$B$8:$D$8,IFERROR(MATCH(IF($B740="Robusta","Robusta",(IF($B740="","Arabica",$B740))&amp;" - "&amp;(IF($C740="","Commercial",$C740))),Variables!$B$1:$D$1,0),1))*L740/16.67)),""))</f>
        <v>-55.863338126263727</v>
      </c>
    </row>
    <row r="741" spans="1:63">
      <c r="A741" s="13" t="s">
        <v>103</v>
      </c>
      <c r="B741" s="13" t="s">
        <v>104</v>
      </c>
      <c r="C741" s="13" t="s">
        <v>292</v>
      </c>
      <c r="D741" s="31">
        <v>46049</v>
      </c>
      <c r="E741" s="31">
        <v>46054</v>
      </c>
      <c r="F741" s="31">
        <v>46081</v>
      </c>
      <c r="G741" s="13">
        <v>3787182</v>
      </c>
      <c r="J741" s="13" t="s">
        <v>1641</v>
      </c>
      <c r="K741" s="13" t="s">
        <v>2004</v>
      </c>
      <c r="L741" s="13">
        <v>25</v>
      </c>
      <c r="M741" s="13">
        <v>0</v>
      </c>
      <c r="N741" s="13" t="s">
        <v>2005</v>
      </c>
      <c r="O741" s="13" t="s">
        <v>1960</v>
      </c>
      <c r="P741" s="13">
        <v>10040</v>
      </c>
      <c r="R741" s="13" t="s">
        <v>384</v>
      </c>
      <c r="S741" s="13" t="s">
        <v>776</v>
      </c>
      <c r="T741" s="13" t="s">
        <v>777</v>
      </c>
      <c r="U741" s="13" t="s">
        <v>125</v>
      </c>
      <c r="V741" s="13">
        <v>148</v>
      </c>
      <c r="W741" s="44">
        <f>IF($AX741="Cancelled","",IFERROR(((V741+INDEX(Variables!$B$6:$D$6,IFERROR(MATCH(IF($B741="Robusta","Robusta",(IF($B741="","Arabica",$B741))&amp;" - "&amp;(IF($C741="","Commercial",$C741))),Variables!$B$1:$D$1,0),1)))*22.0462)*(L741/16.67),""))</f>
        <v>14507.907258548288</v>
      </c>
      <c r="X741" s="55" t="s">
        <v>39</v>
      </c>
      <c r="Y741" s="13" t="str">
        <f>IF($AX741="Cancelled","",IF(X741="","",IFERROR(IF(INDEX(Variables!$B$38:$B$47,MATCH(X741,Variables!$A$38:$A$47,0))="Yes","Yes","No"),"No")))</f>
        <v>No</v>
      </c>
      <c r="Z741" s="31"/>
      <c r="AB741" s="31">
        <v>46036.875</v>
      </c>
      <c r="AC741" s="13" t="str">
        <f t="shared" si="34"/>
        <v>Approved</v>
      </c>
      <c r="AF741" s="71">
        <v>46076</v>
      </c>
      <c r="AG741" s="31">
        <f>IF($AX741="Cancelled","",IFERROR(IF(F741="","",F741-Variables!$B$13),""))</f>
        <v>46066</v>
      </c>
      <c r="AH741" s="13">
        <f>IF($AX741="Cancelled","",IFERROR(IF(AB741="","",(AVERAGE(E741:F741)-AB741)-Variables!$B$14),""))</f>
        <v>0.625</v>
      </c>
      <c r="AJ741" s="47">
        <v>46086</v>
      </c>
      <c r="AK741" s="14">
        <f>IF($AX741="Cancelled","",IFERROR(IF(AJ741="","",IF(AND(AB741="",AF741=""),"",IF(AF741&gt;AB741,AF741+Variables!$B$15+Variables!$B$16+Variables!$B$17-AJ741,AB741+Variables!$B$16+Variables!$B$17-AJ741))),""))</f>
        <v>5</v>
      </c>
      <c r="AL741" s="48" t="s">
        <v>114</v>
      </c>
      <c r="AM741" s="13" t="s">
        <v>1526</v>
      </c>
      <c r="AN741" s="13" t="s">
        <v>1998</v>
      </c>
      <c r="AP741" s="31" t="e">
        <v>#N/A</v>
      </c>
      <c r="AR741" s="13" t="s">
        <v>1999</v>
      </c>
      <c r="AS741" s="31">
        <v>46103</v>
      </c>
      <c r="AU741" s="31">
        <v>46113</v>
      </c>
      <c r="AV741" s="13" t="s">
        <v>865</v>
      </c>
      <c r="AW741" s="31">
        <v>46129</v>
      </c>
      <c r="AX741" s="13" t="str">
        <f>IF(ISNUMBER(SEARCH("cancel",#REF!)),"Cancelled",IF(AND(AS741&lt;&gt;"",AU741&lt;&gt;"",AW741&lt;&gt;""),"Closed","Open"))</f>
        <v>Closed</v>
      </c>
      <c r="AY741" s="15" t="str">
        <f t="shared" si="33"/>
        <v>All dates received</v>
      </c>
      <c r="BD741" s="13">
        <f>IF($AX741="Cancelled","",IFERROR(IF(OR(AS741="",AJ741=""),"",(AJ741+Variables!$B$18-AS741)),""))</f>
        <v>-2</v>
      </c>
      <c r="BE741" s="13">
        <f>IF($AX741="Cancelled","",IFERROR(IF(OR(AW741="",AS741=""),"",(AS741+Variables!$B$19)-AW741),""))</f>
        <v>-21</v>
      </c>
      <c r="BF741" s="44">
        <f>IF($AX741="Cancelled","",IFERROR(W741*INDEX(Variables!$B$7:$D$7,IFERROR(MATCH(IF($B741="Robusta","Robusta",(IF($B741="","Arabica",$B741))&amp;" - "&amp;(IF($C741="","Commercial",$C741))),Variables!$B$1:$D$1,0),1))*(BE741/365),""))</f>
        <v>-53.823389934165512</v>
      </c>
      <c r="BG741" s="44">
        <f>IF($AX741="Cancelled","",IFERROR((W741*INDEX(Variables!$B$7:$D$7,IFERROR(MATCH(IF($B741="Robusta","Robusta",(IF($B741="","Arabica",$B741))&amp;" - "&amp;(IF($C741="","Commercial",$C741))),Variables!$B$1:$D$1,0),1))*IFERROR(IF(AB741="","",(AVERAGE(E741:F741)-AB741)-Variables!$B$14),"")/365)+(L741/16.67*INDEX(Variables!$B$8:$D$8,IFERROR(MATCH(IF($B741="Robusta","Robusta",(IF($B741="","Arabica",$B741))&amp;" - "&amp;(IF($C741="","Commercial",$C741))),Variables!$B$1:$D$1,0),1))*IFERROR(IF(AB741="","",(AVERAGE(E741:F741)-AB741)-Variables!$B$14),""))+(W741*INDEX(Variables!$B$9:$D$9,IFERROR(MATCH(IF($B741="Robusta","Robusta",(IF($B741="","Arabica",$B741))&amp;" - "&amp;(IF($C741="","Commercial",$C741))),Variables!$B$1:$D$1,0),1))*IFERROR(IF(AB741="","",(AVERAGE(E741:F741)-AB741)-Variables!$B$14),"")/365),""))</f>
        <v>2.4037880149506741</v>
      </c>
      <c r="BH741" s="44">
        <f>IF($AX741="Cancelled","",IFERROR((W741*INDEX(Variables!$B$7:$D$7,IFERROR(MATCH(IF($B741="Robusta","Robusta",(IF($B741="","Arabica",$B741))&amp;" - "&amp;(IF($C741="","Commercial",$C741))),Variables!$B$1:$D$1,0),1))*AK741/365)+(L741/16.67*INDEX(Variables!$B$8:$D$8,IFERROR(MATCH(IF($B741="Robusta","Robusta",(IF($B741="","Arabica",$B741))&amp;" - "&amp;(IF($C741="","Commercial",$C741))),Variables!$B$1:$D$1,0),1))*AK741)+(W741*INDEX(Variables!$B$9:$D$9,IFERROR(MATCH(IF($B741="Robusta","Robusta",(IF($B741="","Arabica",$B741))&amp;" - "&amp;(IF($C741="","Commercial",$C741))),Variables!$B$1:$D$1,0),1))*AK741/365),""))</f>
        <v>19.230304119605393</v>
      </c>
      <c r="BI741" s="44">
        <f>IF($AX741="Cancelled","",IFERROR((W741*INDEX(Variables!$B$7:$D$7,IFERROR(MATCH(IF($B741="Robusta","Robusta",(IF($B741="","Arabica",$B741))&amp;" - "&amp;(IF($C741="","Commercial",$C741))),Variables!$B$1:$D$1,0),1))*BD741/365)+(L741/16.67*INDEX(Variables!$B$8:$D$8,IFERROR(MATCH(IF($B741="Robusta","Robusta",(IF($B741="","Arabica",$B741))&amp;" - "&amp;(IF($C741="","Commercial",$C741))),Variables!$B$1:$D$1,0),1))*BD741)+(W741*INDEX(Variables!$B$9:$D$9,IFERROR(MATCH(IF($B741="Robusta","Robusta",(IF($B741="","Arabica",$B741))&amp;" - "&amp;(IF($C741="","Commercial",$C741))),Variables!$B$1:$D$1,0),1))*BD741/365),""))</f>
        <v>-7.692121647842157</v>
      </c>
      <c r="BJ741" s="44">
        <f t="shared" si="35"/>
        <v>-22</v>
      </c>
      <c r="BK741" s="44">
        <f>IF($AX741="Cancelled","",IFERROR(IF(BJ741="","",(W741*INDEX(Variables!$B$7:$D$7,IFERROR(MATCH(IF($B741="Robusta","Robusta",(IF($B741="","Arabica",$B741))&amp;" - "&amp;(IF($C741="","Commercial",$C741))),Variables!$B$1:$D$1,0),1))*(BJ741/365))+(W741*INDEX(Variables!$B$9:$D$9,IFERROR(MATCH(IF($B741="Robusta","Robusta",(IF($B741="","Arabica",$B741))&amp;" - "&amp;(IF($C741="","Commercial",$C741))),Variables!$B$1:$D$1,0),1))*(BJ741/365))+(INDEX(Variables!$B$8:$D$8,IFERROR(MATCH(IF($B741="Robusta","Robusta",(IF($B741="","Arabica",$B741))&amp;" - "&amp;(IF($C741="","Commercial",$C741))),Variables!$B$1:$D$1,0),1))*L741/16.67)),""))</f>
        <v>-55.863338126263727</v>
      </c>
    </row>
    <row r="742" spans="1:63">
      <c r="A742" s="13" t="s">
        <v>103</v>
      </c>
      <c r="B742" s="13" t="s">
        <v>104</v>
      </c>
      <c r="C742" s="13" t="s">
        <v>292</v>
      </c>
      <c r="D742" s="31">
        <v>46049</v>
      </c>
      <c r="E742" s="31">
        <v>46054</v>
      </c>
      <c r="F742" s="31">
        <v>46081</v>
      </c>
      <c r="G742" s="13">
        <v>3787183</v>
      </c>
      <c r="J742" s="13" t="s">
        <v>1641</v>
      </c>
      <c r="K742" s="13" t="s">
        <v>2006</v>
      </c>
      <c r="L742" s="13">
        <v>25</v>
      </c>
      <c r="M742" s="13">
        <v>0</v>
      </c>
      <c r="N742" s="13" t="s">
        <v>2007</v>
      </c>
      <c r="O742" s="13" t="s">
        <v>1949</v>
      </c>
      <c r="P742" s="13">
        <v>10030</v>
      </c>
      <c r="R742" s="13" t="s">
        <v>384</v>
      </c>
      <c r="S742" s="13" t="s">
        <v>776</v>
      </c>
      <c r="T742" s="13" t="s">
        <v>777</v>
      </c>
      <c r="U742" s="13" t="s">
        <v>125</v>
      </c>
      <c r="V742" s="13">
        <v>139</v>
      </c>
      <c r="W742" s="44">
        <f>IF($AX742="Cancelled","",IFERROR(((V742+INDEX(Variables!$B$6:$D$6,IFERROR(MATCH(IF($B742="Robusta","Robusta",(IF($B742="","Arabica",$B742))&amp;" - "&amp;(IF($C742="","Commercial",$C742))),Variables!$B$1:$D$1,0),1)))*22.0462)*(L742/16.67),""))</f>
        <v>14210.34307138572</v>
      </c>
      <c r="X742" s="55" t="s">
        <v>39</v>
      </c>
      <c r="Y742" s="13" t="str">
        <f>IF($AX742="Cancelled","",IF(X742="","",IFERROR(IF(INDEX(Variables!$B$38:$B$47,MATCH(X742,Variables!$A$38:$A$47,0))="Yes","Yes","No"),"No")))</f>
        <v>No</v>
      </c>
      <c r="Z742" s="31"/>
      <c r="AB742" s="31">
        <v>46036.875</v>
      </c>
      <c r="AC742" s="13" t="str">
        <f t="shared" si="34"/>
        <v>Approved</v>
      </c>
      <c r="AF742" s="71">
        <v>46076</v>
      </c>
      <c r="AG742" s="36">
        <f>IF($AX742="Cancelled","",IFERROR(IF(F742="","",F742-Variables!$B$13),""))</f>
        <v>46066</v>
      </c>
      <c r="AH742" s="13">
        <f>IF($AX742="Cancelled","",IFERROR(IF(AB742="","",(AVERAGE(E742:F742)-AB742)-Variables!$B$14),""))</f>
        <v>0.625</v>
      </c>
      <c r="AJ742" s="47">
        <v>46086</v>
      </c>
      <c r="AK742" s="14">
        <f>IF($AX742="Cancelled","",IFERROR(IF(AJ742="","",IF(AND(AB742="",AF742=""),"",IF(AF742&gt;AB742,AF742+Variables!$B$15+Variables!$B$16+Variables!$B$17-AJ742,AB742+Variables!$B$16+Variables!$B$17-AJ742))),""))</f>
        <v>5</v>
      </c>
      <c r="AL742" s="48" t="s">
        <v>114</v>
      </c>
      <c r="AM742" s="13" t="s">
        <v>1526</v>
      </c>
      <c r="AN742" s="13" t="s">
        <v>1998</v>
      </c>
      <c r="AP742" s="31" t="e">
        <v>#N/A</v>
      </c>
      <c r="AR742" s="13" t="s">
        <v>1999</v>
      </c>
      <c r="AS742" s="31">
        <v>46103</v>
      </c>
      <c r="AU742" s="31">
        <v>46113</v>
      </c>
      <c r="AV742" s="13" t="s">
        <v>865</v>
      </c>
      <c r="AW742" s="31">
        <v>46129</v>
      </c>
      <c r="AX742" s="13" t="str">
        <f>IF(ISNUMBER(SEARCH("cancel",#REF!)),"Cancelled",IF(AND(AS742&lt;&gt;"",AU742&lt;&gt;"",AW742&lt;&gt;""),"Closed","Open"))</f>
        <v>Closed</v>
      </c>
      <c r="AY742" s="15" t="str">
        <f t="shared" si="33"/>
        <v>All dates received</v>
      </c>
      <c r="BD742" s="13">
        <f>IF($AX742="Cancelled","",IFERROR(IF(OR(AS742="",AJ742=""),"",(AJ742+Variables!$B$18-AS742)),""))</f>
        <v>-2</v>
      </c>
      <c r="BE742" s="13">
        <f>IF($AX742="Cancelled","",IFERROR(IF(OR(AW742="",AS742=""),"",(AS742+Variables!$B$19)-AW742),""))</f>
        <v>-21</v>
      </c>
      <c r="BF742" s="44">
        <f>IF($AX742="Cancelled","",IFERROR(W742*INDEX(Variables!$B$7:$D$7,IFERROR(MATCH(IF($B742="Robusta","Robusta",(IF($B742="","Arabica",$B742))&amp;" - "&amp;(IF($C742="","Commercial",$C742))),Variables!$B$1:$D$1,0),1))*(BE742/365),""))</f>
        <v>-52.71944620260787</v>
      </c>
      <c r="BG742" s="44">
        <f>IF($AX742="Cancelled","",IFERROR((W742*INDEX(Variables!$B$7:$D$7,IFERROR(MATCH(IF($B742="Robusta","Robusta",(IF($B742="","Arabica",$B742))&amp;" - "&amp;(IF($C742="","Commercial",$C742))),Variables!$B$1:$D$1,0),1))*IFERROR(IF(AB742="","",(AVERAGE(E742:F742)-AB742)-Variables!$B$14),"")/365)+(L742/16.67*INDEX(Variables!$B$8:$D$8,IFERROR(MATCH(IF($B742="Robusta","Robusta",(IF($B742="","Arabica",$B742))&amp;" - "&amp;(IF($C742="","Commercial",$C742))),Variables!$B$1:$D$1,0),1))*IFERROR(IF(AB742="","",(AVERAGE(E742:F742)-AB742)-Variables!$B$14),""))+(W742*INDEX(Variables!$B$9:$D$9,IFERROR(MATCH(IF($B742="Robusta","Robusta",(IF($B742="","Arabica",$B742))&amp;" - "&amp;(IF($C742="","Commercial",$C742))),Variables!$B$1:$D$1,0),1))*IFERROR(IF(AB742="","",(AVERAGE(E742:F742)-AB742)-Variables!$B$14),"")/365),""))</f>
        <v>2.3705089763577933</v>
      </c>
      <c r="BH742" s="44">
        <f>IF($AX742="Cancelled","",IFERROR((W742*INDEX(Variables!$B$7:$D$7,IFERROR(MATCH(IF($B742="Robusta","Robusta",(IF($B742="","Arabica",$B742))&amp;" - "&amp;(IF($C742="","Commercial",$C742))),Variables!$B$1:$D$1,0),1))*AK742/365)+(L742/16.67*INDEX(Variables!$B$8:$D$8,IFERROR(MATCH(IF($B742="Robusta","Robusta",(IF($B742="","Arabica",$B742))&amp;" - "&amp;(IF($C742="","Commercial",$C742))),Variables!$B$1:$D$1,0),1))*AK742)+(W742*INDEX(Variables!$B$9:$D$9,IFERROR(MATCH(IF($B742="Robusta","Robusta",(IF($B742="","Arabica",$B742))&amp;" - "&amp;(IF($C742="","Commercial",$C742))),Variables!$B$1:$D$1,0),1))*AK742/365),""))</f>
        <v>18.964071810862347</v>
      </c>
      <c r="BI742" s="44">
        <f>IF($AX742="Cancelled","",IFERROR((W742*INDEX(Variables!$B$7:$D$7,IFERROR(MATCH(IF($B742="Robusta","Robusta",(IF($B742="","Arabica",$B742))&amp;" - "&amp;(IF($C742="","Commercial",$C742))),Variables!$B$1:$D$1,0),1))*BD742/365)+(L742/16.67*INDEX(Variables!$B$8:$D$8,IFERROR(MATCH(IF($B742="Robusta","Robusta",(IF($B742="","Arabica",$B742))&amp;" - "&amp;(IF($C742="","Commercial",$C742))),Variables!$B$1:$D$1,0),1))*BD742)+(W742*INDEX(Variables!$B$9:$D$9,IFERROR(MATCH(IF($B742="Robusta","Robusta",(IF($B742="","Arabica",$B742))&amp;" - "&amp;(IF($C742="","Commercial",$C742))),Variables!$B$1:$D$1,0),1))*BD742/365),""))</f>
        <v>-7.5856287243449385</v>
      </c>
      <c r="BJ742" s="44">
        <f t="shared" si="35"/>
        <v>-22</v>
      </c>
      <c r="BK742" s="44">
        <f>IF($AX742="Cancelled","",IFERROR(IF(BJ742="","",(W742*INDEX(Variables!$B$7:$D$7,IFERROR(MATCH(IF($B742="Robusta","Robusta",(IF($B742="","Arabica",$B742))&amp;" - "&amp;(IF($C742="","Commercial",$C742))),Variables!$B$1:$D$1,0),1))*(BJ742/365))+(W742*INDEX(Variables!$B$9:$D$9,IFERROR(MATCH(IF($B742="Robusta","Robusta",(IF($B742="","Arabica",$B742))&amp;" - "&amp;(IF($C742="","Commercial",$C742))),Variables!$B$1:$D$1,0),1))*(BJ742/365))+(INDEX(Variables!$B$8:$D$8,IFERROR(MATCH(IF($B742="Robusta","Robusta",(IF($B742="","Arabica",$B742))&amp;" - "&amp;(IF($C742="","Commercial",$C742))),Variables!$B$1:$D$1,0),1))*L742/16.67)),""))</f>
        <v>-54.691915967794323</v>
      </c>
    </row>
    <row r="743" spans="1:63">
      <c r="A743" s="13" t="s">
        <v>103</v>
      </c>
      <c r="B743" s="13" t="s">
        <v>104</v>
      </c>
      <c r="C743" s="13" t="s">
        <v>292</v>
      </c>
      <c r="D743" s="31">
        <v>46049</v>
      </c>
      <c r="E743" s="31">
        <v>46054</v>
      </c>
      <c r="F743" s="31">
        <v>46081</v>
      </c>
      <c r="G743" s="13">
        <v>3787184</v>
      </c>
      <c r="J743" s="13" t="s">
        <v>1641</v>
      </c>
      <c r="K743" s="13" t="s">
        <v>2008</v>
      </c>
      <c r="L743" s="13">
        <v>25</v>
      </c>
      <c r="M743" s="13">
        <v>0</v>
      </c>
      <c r="N743" s="13" t="s">
        <v>2009</v>
      </c>
      <c r="O743" s="13" t="s">
        <v>1949</v>
      </c>
      <c r="P743" s="13">
        <v>10030</v>
      </c>
      <c r="R743" s="13" t="s">
        <v>384</v>
      </c>
      <c r="S743" s="13" t="s">
        <v>776</v>
      </c>
      <c r="T743" s="13" t="s">
        <v>777</v>
      </c>
      <c r="U743" s="13" t="s">
        <v>125</v>
      </c>
      <c r="V743" s="13">
        <v>150</v>
      </c>
      <c r="W743" s="44">
        <f>IF($AX743="Cancelled","",IFERROR(((V743+INDEX(Variables!$B$6:$D$6,IFERROR(MATCH(IF($B743="Robusta","Robusta",(IF($B743="","Arabica",$B743))&amp;" - "&amp;(IF($C743="","Commercial",$C743))),Variables!$B$1:$D$1,0),1)))*22.0462)*(L743/16.67),""))</f>
        <v>14574.032633473302</v>
      </c>
      <c r="X743" s="55" t="s">
        <v>39</v>
      </c>
      <c r="Y743" s="13" t="str">
        <f>IF($AX743="Cancelled","",IF(X743="","",IFERROR(IF(INDEX(Variables!$B$38:$B$47,MATCH(X743,Variables!$A$38:$A$47,0))="Yes","Yes","No"),"No")))</f>
        <v>No</v>
      </c>
      <c r="Z743" s="31"/>
      <c r="AB743" s="31">
        <v>46036.875</v>
      </c>
      <c r="AC743" s="13" t="str">
        <f t="shared" si="34"/>
        <v>Approved</v>
      </c>
      <c r="AF743" s="71">
        <v>46076</v>
      </c>
      <c r="AG743" s="31">
        <f>IF($AX743="Cancelled","",IFERROR(IF(F743="","",F743-Variables!$B$13),""))</f>
        <v>46066</v>
      </c>
      <c r="AH743" s="13">
        <f>IF($AX743="Cancelled","",IFERROR(IF(AB743="","",(AVERAGE(E743:F743)-AB743)-Variables!$B$14),""))</f>
        <v>0.625</v>
      </c>
      <c r="AJ743" s="47">
        <v>46086</v>
      </c>
      <c r="AK743" s="14">
        <f>IF($AX743="Cancelled","",IFERROR(IF(AJ743="","",IF(AND(AB743="",AF743=""),"",IF(AF743&gt;AB743,AF743+Variables!$B$15+Variables!$B$16+Variables!$B$17-AJ743,AB743+Variables!$B$16+Variables!$B$17-AJ743))),""))</f>
        <v>5</v>
      </c>
      <c r="AL743" s="48" t="s">
        <v>114</v>
      </c>
      <c r="AM743" s="13" t="s">
        <v>1526</v>
      </c>
      <c r="AN743" s="13" t="s">
        <v>1998</v>
      </c>
      <c r="AP743" s="31" t="e">
        <v>#N/A</v>
      </c>
      <c r="AR743" s="13" t="s">
        <v>1999</v>
      </c>
      <c r="AS743" s="31">
        <v>46103</v>
      </c>
      <c r="AU743" s="31">
        <v>46113</v>
      </c>
      <c r="AV743" s="13" t="s">
        <v>865</v>
      </c>
      <c r="AW743" s="31">
        <v>46129</v>
      </c>
      <c r="AX743" s="13" t="str">
        <f>IF(ISNUMBER(SEARCH("cancel",#REF!)),"Cancelled",IF(AND(AS743&lt;&gt;"",AU743&lt;&gt;"",AW743&lt;&gt;""),"Closed","Open"))</f>
        <v>Closed</v>
      </c>
      <c r="AY743" s="15" t="str">
        <f t="shared" si="33"/>
        <v>All dates received</v>
      </c>
      <c r="BD743" s="13">
        <f>IF($AX743="Cancelled","",IFERROR(IF(OR(AS743="",AJ743=""),"",(AJ743+Variables!$B$18-AS743)),""))</f>
        <v>-2</v>
      </c>
      <c r="BE743" s="13">
        <f>IF($AX743="Cancelled","",IFERROR(IF(OR(AW743="",AS743=""),"",(AS743+Variables!$B$19)-AW743),""))</f>
        <v>-21</v>
      </c>
      <c r="BF743" s="44">
        <f>IF($AX743="Cancelled","",IFERROR(W743*INDEX(Variables!$B$7:$D$7,IFERROR(MATCH(IF($B743="Robusta","Robusta",(IF($B743="","Arabica",$B743))&amp;" - "&amp;(IF($C743="","Commercial",$C743))),Variables!$B$1:$D$1,0),1))*(BE743/365),""))</f>
        <v>-54.068710763400532</v>
      </c>
      <c r="BG743" s="44">
        <f>IF($AX743="Cancelled","",IFERROR((W743*INDEX(Variables!$B$7:$D$7,IFERROR(MATCH(IF($B743="Robusta","Robusta",(IF($B743="","Arabica",$B743))&amp;" - "&amp;(IF($C743="","Commercial",$C743))),Variables!$B$1:$D$1,0),1))*IFERROR(IF(AB743="","",(AVERAGE(E743:F743)-AB743)-Variables!$B$14),"")/365)+(L743/16.67*INDEX(Variables!$B$8:$D$8,IFERROR(MATCH(IF($B743="Robusta","Robusta",(IF($B743="","Arabica",$B743))&amp;" - "&amp;(IF($C743="","Commercial",$C743))),Variables!$B$1:$D$1,0),1))*IFERROR(IF(AB743="","",(AVERAGE(E743:F743)-AB743)-Variables!$B$14),""))+(W743*INDEX(Variables!$B$9:$D$9,IFERROR(MATCH(IF($B743="Robusta","Robusta",(IF($B743="","Arabica",$B743))&amp;" - "&amp;(IF($C743="","Commercial",$C743))),Variables!$B$1:$D$1,0),1))*IFERROR(IF(AB743="","",(AVERAGE(E743:F743)-AB743)-Variables!$B$14),"")/365),""))</f>
        <v>2.411183356860203</v>
      </c>
      <c r="BH743" s="44">
        <f>IF($AX743="Cancelled","",IFERROR((W743*INDEX(Variables!$B$7:$D$7,IFERROR(MATCH(IF($B743="Robusta","Robusta",(IF($B743="","Arabica",$B743))&amp;" - "&amp;(IF($C743="","Commercial",$C743))),Variables!$B$1:$D$1,0),1))*AK743/365)+(L743/16.67*INDEX(Variables!$B$8:$D$8,IFERROR(MATCH(IF($B743="Robusta","Robusta",(IF($B743="","Arabica",$B743))&amp;" - "&amp;(IF($C743="","Commercial",$C743))),Variables!$B$1:$D$1,0),1))*AK743)+(W743*INDEX(Variables!$B$9:$D$9,IFERROR(MATCH(IF($B743="Robusta","Robusta",(IF($B743="","Arabica",$B743))&amp;" - "&amp;(IF($C743="","Commercial",$C743))),Variables!$B$1:$D$1,0),1))*AK743/365),""))</f>
        <v>19.289466854881624</v>
      </c>
      <c r="BI743" s="44">
        <f>IF($AX743="Cancelled","",IFERROR((W743*INDEX(Variables!$B$7:$D$7,IFERROR(MATCH(IF($B743="Robusta","Robusta",(IF($B743="","Arabica",$B743))&amp;" - "&amp;(IF($C743="","Commercial",$C743))),Variables!$B$1:$D$1,0),1))*BD743/365)+(L743/16.67*INDEX(Variables!$B$8:$D$8,IFERROR(MATCH(IF($B743="Robusta","Robusta",(IF($B743="","Arabica",$B743))&amp;" - "&amp;(IF($C743="","Commercial",$C743))),Variables!$B$1:$D$1,0),1))*BD743)+(W743*INDEX(Variables!$B$9:$D$9,IFERROR(MATCH(IF($B743="Robusta","Robusta",(IF($B743="","Arabica",$B743))&amp;" - "&amp;(IF($C743="","Commercial",$C743))),Variables!$B$1:$D$1,0),1))*BD743/365),""))</f>
        <v>-7.71578674195265</v>
      </c>
      <c r="BJ743" s="44">
        <f t="shared" si="35"/>
        <v>-22</v>
      </c>
      <c r="BK743" s="44">
        <f>IF($AX743="Cancelled","",IFERROR(IF(BJ743="","",(W743*INDEX(Variables!$B$7:$D$7,IFERROR(MATCH(IF($B743="Robusta","Robusta",(IF($B743="","Arabica",$B743))&amp;" - "&amp;(IF($C743="","Commercial",$C743))),Variables!$B$1:$D$1,0),1))*(BJ743/365))+(W743*INDEX(Variables!$B$9:$D$9,IFERROR(MATCH(IF($B743="Robusta","Robusta",(IF($B743="","Arabica",$B743))&amp;" - "&amp;(IF($C743="","Commercial",$C743))),Variables!$B$1:$D$1,0),1))*(BJ743/365))+(INDEX(Variables!$B$8:$D$8,IFERROR(MATCH(IF($B743="Robusta","Robusta",(IF($B743="","Arabica",$B743))&amp;" - "&amp;(IF($C743="","Commercial",$C743))),Variables!$B$1:$D$1,0),1))*L743/16.67)),""))</f>
        <v>-56.123654161479145</v>
      </c>
    </row>
    <row r="744" spans="1:63">
      <c r="A744" s="13" t="s">
        <v>103</v>
      </c>
      <c r="B744" s="13" t="s">
        <v>104</v>
      </c>
      <c r="C744" s="13" t="s">
        <v>292</v>
      </c>
      <c r="D744" s="31">
        <v>46049</v>
      </c>
      <c r="E744" s="31">
        <v>46054</v>
      </c>
      <c r="F744" s="31">
        <v>46081</v>
      </c>
      <c r="G744" s="13">
        <v>3787185</v>
      </c>
      <c r="J744" s="13" t="s">
        <v>1641</v>
      </c>
      <c r="K744" s="13" t="s">
        <v>2010</v>
      </c>
      <c r="L744" s="13">
        <v>25</v>
      </c>
      <c r="M744" s="13">
        <v>0</v>
      </c>
      <c r="N744" s="13" t="s">
        <v>2011</v>
      </c>
      <c r="O744" s="13" t="s">
        <v>771</v>
      </c>
      <c r="P744" s="13">
        <v>10010</v>
      </c>
      <c r="R744" s="13" t="s">
        <v>384</v>
      </c>
      <c r="S744" s="13" t="s">
        <v>776</v>
      </c>
      <c r="T744" s="13" t="s">
        <v>777</v>
      </c>
      <c r="U744" s="13" t="s">
        <v>125</v>
      </c>
      <c r="V744" s="13">
        <v>150</v>
      </c>
      <c r="W744" s="44">
        <f>IF($AX744="Cancelled","",IFERROR(((V744+INDEX(Variables!$B$6:$D$6,IFERROR(MATCH(IF($B744="Robusta","Robusta",(IF($B744="","Arabica",$B744))&amp;" - "&amp;(IF($C744="","Commercial",$C744))),Variables!$B$1:$D$1,0),1)))*22.0462)*(L744/16.67),""))</f>
        <v>14574.032633473302</v>
      </c>
      <c r="X744" s="55" t="s">
        <v>39</v>
      </c>
      <c r="Y744" s="13" t="str">
        <f>IF($AX744="Cancelled","",IF(X744="","",IFERROR(IF(INDEX(Variables!$B$38:$B$47,MATCH(X744,Variables!$A$38:$A$47,0))="Yes","Yes","No"),"No")))</f>
        <v>No</v>
      </c>
      <c r="Z744" s="31"/>
      <c r="AB744" s="31">
        <v>46036.875</v>
      </c>
      <c r="AC744" s="13" t="str">
        <f t="shared" si="34"/>
        <v>Approved</v>
      </c>
      <c r="AF744" s="71">
        <v>46076</v>
      </c>
      <c r="AG744" s="31">
        <f>IF($AX744="Cancelled","",IFERROR(IF(F744="","",F744-Variables!$B$13),""))</f>
        <v>46066</v>
      </c>
      <c r="AH744" s="13">
        <f>IF($AX744="Cancelled","",IFERROR(IF(AB744="","",(AVERAGE(E744:F744)-AB744)-Variables!$B$14),""))</f>
        <v>0.625</v>
      </c>
      <c r="AJ744" s="47">
        <v>46086</v>
      </c>
      <c r="AK744" s="14">
        <f>IF($AX744="Cancelled","",IFERROR(IF(AJ744="","",IF(AND(AB744="",AF744=""),"",IF(AF744&gt;AB744,AF744+Variables!$B$15+Variables!$B$16+Variables!$B$17-AJ744,AB744+Variables!$B$16+Variables!$B$17-AJ744))),""))</f>
        <v>5</v>
      </c>
      <c r="AL744" s="48" t="s">
        <v>114</v>
      </c>
      <c r="AM744" s="13" t="s">
        <v>1526</v>
      </c>
      <c r="AN744" s="13" t="s">
        <v>1998</v>
      </c>
      <c r="AP744" s="31" t="e">
        <v>#N/A</v>
      </c>
      <c r="AR744" s="13" t="s">
        <v>1999</v>
      </c>
      <c r="AS744" s="31">
        <v>46103</v>
      </c>
      <c r="AU744" s="31">
        <v>46113</v>
      </c>
      <c r="AV744" s="13" t="s">
        <v>865</v>
      </c>
      <c r="AW744" s="31">
        <v>46129</v>
      </c>
      <c r="AX744" s="13" t="str">
        <f>IF(ISNUMBER(SEARCH("cancel",#REF!)),"Cancelled",IF(AND(AS744&lt;&gt;"",AU744&lt;&gt;"",AW744&lt;&gt;""),"Closed","Open"))</f>
        <v>Closed</v>
      </c>
      <c r="AY744" s="15" t="str">
        <f t="shared" si="33"/>
        <v>All dates received</v>
      </c>
      <c r="BD744" s="13">
        <f>IF($AX744="Cancelled","",IFERROR(IF(OR(AS744="",AJ744=""),"",(AJ744+Variables!$B$18-AS744)),""))</f>
        <v>-2</v>
      </c>
      <c r="BE744" s="13">
        <f>IF($AX744="Cancelled","",IFERROR(IF(OR(AW744="",AS744=""),"",(AS744+Variables!$B$19)-AW744),""))</f>
        <v>-21</v>
      </c>
      <c r="BF744" s="44">
        <f>IF($AX744="Cancelled","",IFERROR(W744*INDEX(Variables!$B$7:$D$7,IFERROR(MATCH(IF($B744="Robusta","Robusta",(IF($B744="","Arabica",$B744))&amp;" - "&amp;(IF($C744="","Commercial",$C744))),Variables!$B$1:$D$1,0),1))*(BE744/365),""))</f>
        <v>-54.068710763400532</v>
      </c>
      <c r="BG744" s="44">
        <f>IF($AX744="Cancelled","",IFERROR((W744*INDEX(Variables!$B$7:$D$7,IFERROR(MATCH(IF($B744="Robusta","Robusta",(IF($B744="","Arabica",$B744))&amp;" - "&amp;(IF($C744="","Commercial",$C744))),Variables!$B$1:$D$1,0),1))*IFERROR(IF(AB744="","",(AVERAGE(E744:F744)-AB744)-Variables!$B$14),"")/365)+(L744/16.67*INDEX(Variables!$B$8:$D$8,IFERROR(MATCH(IF($B744="Robusta","Robusta",(IF($B744="","Arabica",$B744))&amp;" - "&amp;(IF($C744="","Commercial",$C744))),Variables!$B$1:$D$1,0),1))*IFERROR(IF(AB744="","",(AVERAGE(E744:F744)-AB744)-Variables!$B$14),""))+(W744*INDEX(Variables!$B$9:$D$9,IFERROR(MATCH(IF($B744="Robusta","Robusta",(IF($B744="","Arabica",$B744))&amp;" - "&amp;(IF($C744="","Commercial",$C744))),Variables!$B$1:$D$1,0),1))*IFERROR(IF(AB744="","",(AVERAGE(E744:F744)-AB744)-Variables!$B$14),"")/365),""))</f>
        <v>2.411183356860203</v>
      </c>
      <c r="BH744" s="44">
        <f>IF($AX744="Cancelled","",IFERROR((W744*INDEX(Variables!$B$7:$D$7,IFERROR(MATCH(IF($B744="Robusta","Robusta",(IF($B744="","Arabica",$B744))&amp;" - "&amp;(IF($C744="","Commercial",$C744))),Variables!$B$1:$D$1,0),1))*AK744/365)+(L744/16.67*INDEX(Variables!$B$8:$D$8,IFERROR(MATCH(IF($B744="Robusta","Robusta",(IF($B744="","Arabica",$B744))&amp;" - "&amp;(IF($C744="","Commercial",$C744))),Variables!$B$1:$D$1,0),1))*AK744)+(W744*INDEX(Variables!$B$9:$D$9,IFERROR(MATCH(IF($B744="Robusta","Robusta",(IF($B744="","Arabica",$B744))&amp;" - "&amp;(IF($C744="","Commercial",$C744))),Variables!$B$1:$D$1,0),1))*AK744/365),""))</f>
        <v>19.289466854881624</v>
      </c>
      <c r="BI744" s="44">
        <f>IF($AX744="Cancelled","",IFERROR((W744*INDEX(Variables!$B$7:$D$7,IFERROR(MATCH(IF($B744="Robusta","Robusta",(IF($B744="","Arabica",$B744))&amp;" - "&amp;(IF($C744="","Commercial",$C744))),Variables!$B$1:$D$1,0),1))*BD744/365)+(L744/16.67*INDEX(Variables!$B$8:$D$8,IFERROR(MATCH(IF($B744="Robusta","Robusta",(IF($B744="","Arabica",$B744))&amp;" - "&amp;(IF($C744="","Commercial",$C744))),Variables!$B$1:$D$1,0),1))*BD744)+(W744*INDEX(Variables!$B$9:$D$9,IFERROR(MATCH(IF($B744="Robusta","Robusta",(IF($B744="","Arabica",$B744))&amp;" - "&amp;(IF($C744="","Commercial",$C744))),Variables!$B$1:$D$1,0),1))*BD744/365),""))</f>
        <v>-7.71578674195265</v>
      </c>
      <c r="BJ744" s="44">
        <f t="shared" si="35"/>
        <v>-22</v>
      </c>
      <c r="BK744" s="44">
        <f>IF($AX744="Cancelled","",IFERROR(IF(BJ744="","",(W744*INDEX(Variables!$B$7:$D$7,IFERROR(MATCH(IF($B744="Robusta","Robusta",(IF($B744="","Arabica",$B744))&amp;" - "&amp;(IF($C744="","Commercial",$C744))),Variables!$B$1:$D$1,0),1))*(BJ744/365))+(W744*INDEX(Variables!$B$9:$D$9,IFERROR(MATCH(IF($B744="Robusta","Robusta",(IF($B744="","Arabica",$B744))&amp;" - "&amp;(IF($C744="","Commercial",$C744))),Variables!$B$1:$D$1,0),1))*(BJ744/365))+(INDEX(Variables!$B$8:$D$8,IFERROR(MATCH(IF($B744="Robusta","Robusta",(IF($B744="","Arabica",$B744))&amp;" - "&amp;(IF($C744="","Commercial",$C744))),Variables!$B$1:$D$1,0),1))*L744/16.67)),""))</f>
        <v>-56.123654161479145</v>
      </c>
    </row>
    <row r="745" spans="1:63">
      <c r="A745" s="13" t="s">
        <v>103</v>
      </c>
      <c r="B745" s="13" t="s">
        <v>104</v>
      </c>
      <c r="C745" s="13" t="s">
        <v>292</v>
      </c>
      <c r="D745" s="31">
        <v>46049</v>
      </c>
      <c r="E745" s="31">
        <v>46054</v>
      </c>
      <c r="F745" s="31">
        <v>46081</v>
      </c>
      <c r="G745" s="13">
        <v>3787186</v>
      </c>
      <c r="J745" s="13" t="s">
        <v>1641</v>
      </c>
      <c r="K745" s="13" t="s">
        <v>2012</v>
      </c>
      <c r="L745" s="13">
        <v>25</v>
      </c>
      <c r="M745" s="13">
        <v>0</v>
      </c>
      <c r="N745" s="13" t="s">
        <v>2013</v>
      </c>
      <c r="O745" s="13" t="s">
        <v>771</v>
      </c>
      <c r="P745" s="13">
        <v>10010</v>
      </c>
      <c r="R745" s="13" t="s">
        <v>384</v>
      </c>
      <c r="S745" s="13" t="s">
        <v>776</v>
      </c>
      <c r="T745" s="13" t="s">
        <v>777</v>
      </c>
      <c r="U745" s="13" t="s">
        <v>125</v>
      </c>
      <c r="V745" s="13">
        <v>177</v>
      </c>
      <c r="W745" s="44">
        <f>IF($AX745="Cancelled","",IFERROR(((V745+INDEX(Variables!$B$6:$D$6,IFERROR(MATCH(IF($B745="Robusta","Robusta",(IF($B745="","Arabica",$B745))&amp;" - "&amp;(IF($C745="","Commercial",$C745))),Variables!$B$1:$D$1,0),1)))*22.0462)*(L745/16.67),""))</f>
        <v>15466.725194961005</v>
      </c>
      <c r="X745" s="55" t="s">
        <v>39</v>
      </c>
      <c r="Y745" s="13" t="str">
        <f>IF($AX745="Cancelled","",IF(X745="","",IFERROR(IF(INDEX(Variables!$B$38:$B$47,MATCH(X745,Variables!$A$38:$A$47,0))="Yes","Yes","No"),"No")))</f>
        <v>No</v>
      </c>
      <c r="Z745" s="31"/>
      <c r="AB745" s="31">
        <v>46036.875</v>
      </c>
      <c r="AC745" s="13" t="str">
        <f t="shared" si="34"/>
        <v>Approved</v>
      </c>
      <c r="AF745" s="71">
        <v>46076</v>
      </c>
      <c r="AG745" s="31">
        <f>IF($AX745="Cancelled","",IFERROR(IF(F745="","",F745-Variables!$B$13),""))</f>
        <v>46066</v>
      </c>
      <c r="AH745" s="13">
        <f>IF($AX745="Cancelled","",IFERROR(IF(AB745="","",(AVERAGE(E745:F745)-AB745)-Variables!$B$14),""))</f>
        <v>0.625</v>
      </c>
      <c r="AJ745" s="47">
        <v>46086</v>
      </c>
      <c r="AK745" s="14">
        <f>IF($AX745="Cancelled","",IFERROR(IF(AJ745="","",IF(AND(AB745="",AF745=""),"",IF(AF745&gt;AB745,AF745+Variables!$B$15+Variables!$B$16+Variables!$B$17-AJ745,AB745+Variables!$B$16+Variables!$B$17-AJ745))),""))</f>
        <v>5</v>
      </c>
      <c r="AL745" s="48" t="s">
        <v>114</v>
      </c>
      <c r="AM745" s="13" t="s">
        <v>1526</v>
      </c>
      <c r="AN745" s="13" t="s">
        <v>1998</v>
      </c>
      <c r="AP745" s="31" t="e">
        <v>#N/A</v>
      </c>
      <c r="AR745" s="13" t="s">
        <v>1999</v>
      </c>
      <c r="AS745" s="31">
        <v>46103</v>
      </c>
      <c r="AU745" s="31">
        <v>46113</v>
      </c>
      <c r="AV745" s="13" t="s">
        <v>865</v>
      </c>
      <c r="AW745" s="31">
        <v>46129</v>
      </c>
      <c r="AX745" s="13" t="str">
        <f>IF(ISNUMBER(SEARCH("cancel",#REF!)),"Cancelled",IF(AND(AS745&lt;&gt;"",AU745&lt;&gt;"",AW745&lt;&gt;""),"Closed","Open"))</f>
        <v>Closed</v>
      </c>
      <c r="AY745" s="15" t="str">
        <f t="shared" si="33"/>
        <v>All dates received</v>
      </c>
      <c r="BD745" s="13">
        <f>IF($AX745="Cancelled","",IFERROR(IF(OR(AS745="",AJ745=""),"",(AJ745+Variables!$B$18-AS745)),""))</f>
        <v>-2</v>
      </c>
      <c r="BE745" s="13">
        <f>IF($AX745="Cancelled","",IFERROR(IF(OR(AW745="",AS745=""),"",(AS745+Variables!$B$19)-AW745),""))</f>
        <v>-21</v>
      </c>
      <c r="BF745" s="44">
        <f>IF($AX745="Cancelled","",IFERROR(W745*INDEX(Variables!$B$7:$D$7,IFERROR(MATCH(IF($B745="Robusta","Robusta",(IF($B745="","Arabica",$B745))&amp;" - "&amp;(IF($C745="","Commercial",$C745))),Variables!$B$1:$D$1,0),1))*(BE745/365),""))</f>
        <v>-57.380541958073444</v>
      </c>
      <c r="BG745" s="44">
        <f>IF($AX745="Cancelled","",IFERROR((W745*INDEX(Variables!$B$7:$D$7,IFERROR(MATCH(IF($B745="Robusta","Robusta",(IF($B745="","Arabica",$B745))&amp;" - "&amp;(IF($C745="","Commercial",$C745))),Variables!$B$1:$D$1,0),1))*IFERROR(IF(AB745="","",(AVERAGE(E745:F745)-AB745)-Variables!$B$14),"")/365)+(L745/16.67*INDEX(Variables!$B$8:$D$8,IFERROR(MATCH(IF($B745="Robusta","Robusta",(IF($B745="","Arabica",$B745))&amp;" - "&amp;(IF($C745="","Commercial",$C745))),Variables!$B$1:$D$1,0),1))*IFERROR(IF(AB745="","",(AVERAGE(E745:F745)-AB745)-Variables!$B$14),""))+(W745*INDEX(Variables!$B$9:$D$9,IFERROR(MATCH(IF($B745="Robusta","Robusta",(IF($B745="","Arabica",$B745))&amp;" - "&amp;(IF($C745="","Commercial",$C745))),Variables!$B$1:$D$1,0),1))*IFERROR(IF(AB745="","",(AVERAGE(E745:F745)-AB745)-Variables!$B$14),"")/365),""))</f>
        <v>2.5110204726388456</v>
      </c>
      <c r="BH745" s="44">
        <f>IF($AX745="Cancelled","",IFERROR((W745*INDEX(Variables!$B$7:$D$7,IFERROR(MATCH(IF($B745="Robusta","Robusta",(IF($B745="","Arabica",$B745))&amp;" - "&amp;(IF($C745="","Commercial",$C745))),Variables!$B$1:$D$1,0),1))*AK745/365)+(L745/16.67*INDEX(Variables!$B$8:$D$8,IFERROR(MATCH(IF($B745="Robusta","Robusta",(IF($B745="","Arabica",$B745))&amp;" - "&amp;(IF($C745="","Commercial",$C745))),Variables!$B$1:$D$1,0),1))*AK745)+(W745*INDEX(Variables!$B$9:$D$9,IFERROR(MATCH(IF($B745="Robusta","Robusta",(IF($B745="","Arabica",$B745))&amp;" - "&amp;(IF($C745="","Commercial",$C745))),Variables!$B$1:$D$1,0),1))*AK745/365),""))</f>
        <v>20.088163781110765</v>
      </c>
      <c r="BI745" s="44">
        <f>IF($AX745="Cancelled","",IFERROR((W745*INDEX(Variables!$B$7:$D$7,IFERROR(MATCH(IF($B745="Robusta","Robusta",(IF($B745="","Arabica",$B745))&amp;" - "&amp;(IF($C745="","Commercial",$C745))),Variables!$B$1:$D$1,0),1))*BD745/365)+(L745/16.67*INDEX(Variables!$B$8:$D$8,IFERROR(MATCH(IF($B745="Robusta","Robusta",(IF($B745="","Arabica",$B745))&amp;" - "&amp;(IF($C745="","Commercial",$C745))),Variables!$B$1:$D$1,0),1))*BD745)+(W745*INDEX(Variables!$B$9:$D$9,IFERROR(MATCH(IF($B745="Robusta","Robusta",(IF($B745="","Arabica",$B745))&amp;" - "&amp;(IF($C745="","Commercial",$C745))),Variables!$B$1:$D$1,0),1))*BD745/365),""))</f>
        <v>-8.0352655124443046</v>
      </c>
      <c r="BJ745" s="44">
        <f t="shared" si="35"/>
        <v>-22</v>
      </c>
      <c r="BK745" s="44">
        <f>IF($AX745="Cancelled","",IFERROR(IF(BJ745="","",(W745*INDEX(Variables!$B$7:$D$7,IFERROR(MATCH(IF($B745="Robusta","Robusta",(IF($B745="","Arabica",$B745))&amp;" - "&amp;(IF($C745="","Commercial",$C745))),Variables!$B$1:$D$1,0),1))*(BJ745/365))+(W745*INDEX(Variables!$B$9:$D$9,IFERROR(MATCH(IF($B745="Robusta","Robusta",(IF($B745="","Arabica",$B745))&amp;" - "&amp;(IF($C745="","Commercial",$C745))),Variables!$B$1:$D$1,0),1))*(BJ745/365))+(INDEX(Variables!$B$8:$D$8,IFERROR(MATCH(IF($B745="Robusta","Robusta",(IF($B745="","Arabica",$B745))&amp;" - "&amp;(IF($C745="","Commercial",$C745))),Variables!$B$1:$D$1,0),1))*L745/16.67)),""))</f>
        <v>-59.637920636887358</v>
      </c>
    </row>
    <row r="746" spans="1:63">
      <c r="A746" s="13" t="s">
        <v>103</v>
      </c>
      <c r="B746" s="13" t="s">
        <v>104</v>
      </c>
      <c r="C746" s="13" t="s">
        <v>292</v>
      </c>
      <c r="D746" s="31">
        <v>46049</v>
      </c>
      <c r="E746" s="31">
        <v>46054</v>
      </c>
      <c r="F746" s="31">
        <v>46081</v>
      </c>
      <c r="G746" s="13">
        <v>3787187</v>
      </c>
      <c r="J746" s="13" t="s">
        <v>1641</v>
      </c>
      <c r="K746" s="13" t="s">
        <v>2014</v>
      </c>
      <c r="L746" s="13">
        <v>30</v>
      </c>
      <c r="M746" s="13">
        <v>0</v>
      </c>
      <c r="N746" s="13" t="s">
        <v>2015</v>
      </c>
      <c r="O746" s="13" t="s">
        <v>771</v>
      </c>
      <c r="P746" s="13">
        <v>10010</v>
      </c>
      <c r="R746" s="13" t="s">
        <v>239</v>
      </c>
      <c r="S746" s="13" t="s">
        <v>776</v>
      </c>
      <c r="T746" s="13" t="s">
        <v>777</v>
      </c>
      <c r="U746" s="13" t="s">
        <v>125</v>
      </c>
      <c r="V746" s="13">
        <v>159</v>
      </c>
      <c r="W746" s="44">
        <f>IF($AX746="Cancelled","",IFERROR(((V746+INDEX(Variables!$B$6:$D$6,IFERROR(MATCH(IF($B746="Robusta","Robusta",(IF($B746="","Arabica",$B746))&amp;" - "&amp;(IF($C746="","Commercial",$C746))),Variables!$B$1:$D$1,0),1)))*22.0462)*(L746/16.67),""))</f>
        <v>17845.916184763046</v>
      </c>
      <c r="X746" s="55" t="s">
        <v>39</v>
      </c>
      <c r="Y746" s="13" t="str">
        <f>IF($AX746="Cancelled","",IF(X746="","",IFERROR(IF(INDEX(Variables!$B$38:$B$47,MATCH(X746,Variables!$A$38:$A$47,0))="Yes","Yes","No"),"No")))</f>
        <v>No</v>
      </c>
      <c r="Z746" s="31"/>
      <c r="AB746" s="31">
        <v>46036.875</v>
      </c>
      <c r="AC746" s="13" t="str">
        <f t="shared" si="34"/>
        <v>Approved</v>
      </c>
      <c r="AF746" s="71">
        <v>46077</v>
      </c>
      <c r="AG746" s="31">
        <f>IF($AX746="Cancelled","",IFERROR(IF(F746="","",F746-Variables!$B$13),""))</f>
        <v>46066</v>
      </c>
      <c r="AH746" s="13">
        <f>IF($AX746="Cancelled","",IFERROR(IF(AB746="","",(AVERAGE(E746:F746)-AB746)-Variables!$B$14),""))</f>
        <v>0.625</v>
      </c>
      <c r="AJ746" s="47">
        <v>46081</v>
      </c>
      <c r="AK746" s="14">
        <f>IF($AX746="Cancelled","",IFERROR(IF(AJ746="","",IF(AND(AB746="",AF746=""),"",IF(AF746&gt;AB746,AF746+Variables!$B$15+Variables!$B$16+Variables!$B$17-AJ746,AB746+Variables!$B$16+Variables!$B$17-AJ746))),""))</f>
        <v>11</v>
      </c>
      <c r="AL746" s="48" t="s">
        <v>114</v>
      </c>
      <c r="AM746" s="13" t="s">
        <v>1526</v>
      </c>
      <c r="AN746" s="13" t="s">
        <v>1527</v>
      </c>
      <c r="AP746" s="31" t="e">
        <v>#N/A</v>
      </c>
      <c r="AR746" s="13" t="s">
        <v>2016</v>
      </c>
      <c r="AS746" s="31">
        <v>46093</v>
      </c>
      <c r="AU746" s="31">
        <v>46113</v>
      </c>
      <c r="AV746" s="13" t="s">
        <v>865</v>
      </c>
      <c r="AW746" s="31">
        <v>46129</v>
      </c>
      <c r="AX746" s="13" t="str">
        <f>IF(ISNUMBER(SEARCH("cancel",#REF!)),"Cancelled",IF(AND(AS746&lt;&gt;"",AU746&lt;&gt;"",AW746&lt;&gt;""),"Closed","Open"))</f>
        <v>Closed</v>
      </c>
      <c r="AY746" s="15" t="str">
        <f t="shared" si="33"/>
        <v>All dates received</v>
      </c>
      <c r="BD746" s="13">
        <f>IF($AX746="Cancelled","",IFERROR(IF(OR(AS746="",AJ746=""),"",(AJ746+Variables!$B$18-AS746)),""))</f>
        <v>3</v>
      </c>
      <c r="BE746" s="13">
        <f>IF($AX746="Cancelled","",IFERROR(IF(OR(AW746="",AS746=""),"",(AS746+Variables!$B$19)-AW746),""))</f>
        <v>-31</v>
      </c>
      <c r="BF746" s="44">
        <f>IF($AX746="Cancelled","",IFERROR(W746*INDEX(Variables!$B$7:$D$7,IFERROR(MATCH(IF($B746="Robusta","Robusta",(IF($B746="","Arabica",$B746))&amp;" - "&amp;(IF($C746="","Commercial",$C746))),Variables!$B$1:$D$1,0),1))*(BE746/365),""))</f>
        <v>-97.734416533925923</v>
      </c>
      <c r="BG746" s="44">
        <f>IF($AX746="Cancelled","",IFERROR((W746*INDEX(Variables!$B$7:$D$7,IFERROR(MATCH(IF($B746="Robusta","Robusta",(IF($B746="","Arabica",$B746))&amp;" - "&amp;(IF($C746="","Commercial",$C746))),Variables!$B$1:$D$1,0),1))*IFERROR(IF(AB746="","",(AVERAGE(E746:F746)-AB746)-Variables!$B$14),"")/365)+(L746/16.67*INDEX(Variables!$B$8:$D$8,IFERROR(MATCH(IF($B746="Robusta","Robusta",(IF($B746="","Arabica",$B746))&amp;" - "&amp;(IF($C746="","Commercial",$C746))),Variables!$B$1:$D$1,0),1))*IFERROR(IF(AB746="","",(AVERAGE(E746:F746)-AB746)-Variables!$B$14),""))+(W746*INDEX(Variables!$B$9:$D$9,IFERROR(MATCH(IF($B746="Robusta","Robusta",(IF($B746="","Arabica",$B746))&amp;" - "&amp;(IF($C746="","Commercial",$C746))),Variables!$B$1:$D$1,0),1))*IFERROR(IF(AB746="","",(AVERAGE(E746:F746)-AB746)-Variables!$B$14),"")/365),""))</f>
        <v>2.9333548745437006</v>
      </c>
      <c r="BH746" s="44">
        <f>IF($AX746="Cancelled","",IFERROR((W746*INDEX(Variables!$B$7:$D$7,IFERROR(MATCH(IF($B746="Robusta","Robusta",(IF($B746="","Arabica",$B746))&amp;" - "&amp;(IF($C746="","Commercial",$C746))),Variables!$B$1:$D$1,0),1))*AK746/365)+(L746/16.67*INDEX(Variables!$B$8:$D$8,IFERROR(MATCH(IF($B746="Robusta","Robusta",(IF($B746="","Arabica",$B746))&amp;" - "&amp;(IF($C746="","Commercial",$C746))),Variables!$B$1:$D$1,0),1))*AK746)+(W746*INDEX(Variables!$B$9:$D$9,IFERROR(MATCH(IF($B746="Robusta","Robusta",(IF($B746="","Arabica",$B746))&amp;" - "&amp;(IF($C746="","Commercial",$C746))),Variables!$B$1:$D$1,0),1))*AK746/365),""))</f>
        <v>51.627045791969131</v>
      </c>
      <c r="BI746" s="44">
        <f>IF($AX746="Cancelled","",IFERROR((W746*INDEX(Variables!$B$7:$D$7,IFERROR(MATCH(IF($B746="Robusta","Robusta",(IF($B746="","Arabica",$B746))&amp;" - "&amp;(IF($C746="","Commercial",$C746))),Variables!$B$1:$D$1,0),1))*BD746/365)+(L746/16.67*INDEX(Variables!$B$8:$D$8,IFERROR(MATCH(IF($B746="Robusta","Robusta",(IF($B746="","Arabica",$B746))&amp;" - "&amp;(IF($C746="","Commercial",$C746))),Variables!$B$1:$D$1,0),1))*BD746)+(W746*INDEX(Variables!$B$9:$D$9,IFERROR(MATCH(IF($B746="Robusta","Robusta",(IF($B746="","Arabica",$B746))&amp;" - "&amp;(IF($C746="","Commercial",$C746))),Variables!$B$1:$D$1,0),1))*BD746/365),""))</f>
        <v>14.080103397809765</v>
      </c>
      <c r="BJ746" s="44">
        <f t="shared" si="35"/>
        <v>-12</v>
      </c>
      <c r="BK746" s="44">
        <f>IF($AX746="Cancelled","",IFERROR(IF(BJ746="","",(W746*INDEX(Variables!$B$7:$D$7,IFERROR(MATCH(IF($B746="Robusta","Robusta",(IF($B746="","Arabica",$B746))&amp;" - "&amp;(IF($C746="","Commercial",$C746))),Variables!$B$1:$D$1,0),1))*(BJ746/365))+(W746*INDEX(Variables!$B$9:$D$9,IFERROR(MATCH(IF($B746="Robusta","Robusta",(IF($B746="","Arabica",$B746))&amp;" - "&amp;(IF($C746="","Commercial",$C746))),Variables!$B$1:$D$1,0),1))*(BJ746/365))+(INDEX(Variables!$B$8:$D$8,IFERROR(MATCH(IF($B746="Robusta","Robusta",(IF($B746="","Arabica",$B746))&amp;" - "&amp;(IF($C746="","Commercial",$C746))),Variables!$B$1:$D$1,0),1))*L746/16.67)),""))</f>
        <v>-36.820413591239053</v>
      </c>
    </row>
    <row r="747" spans="1:63">
      <c r="A747" s="13" t="s">
        <v>103</v>
      </c>
      <c r="B747" s="13" t="s">
        <v>104</v>
      </c>
      <c r="C747" s="13" t="s">
        <v>292</v>
      </c>
      <c r="D747" s="31">
        <v>46049</v>
      </c>
      <c r="E747" s="31">
        <v>46054</v>
      </c>
      <c r="F747" s="31">
        <v>46081</v>
      </c>
      <c r="G747" s="13">
        <v>3787188</v>
      </c>
      <c r="J747" s="13" t="s">
        <v>1641</v>
      </c>
      <c r="K747" s="13" t="s">
        <v>2017</v>
      </c>
      <c r="L747" s="13">
        <v>25</v>
      </c>
      <c r="M747" s="13">
        <v>0</v>
      </c>
      <c r="N747" s="13" t="s">
        <v>2018</v>
      </c>
      <c r="O747" s="13" t="s">
        <v>771</v>
      </c>
      <c r="P747" s="13">
        <v>10010</v>
      </c>
      <c r="R747" s="13" t="s">
        <v>384</v>
      </c>
      <c r="S747" s="13" t="s">
        <v>776</v>
      </c>
      <c r="T747" s="13" t="s">
        <v>777</v>
      </c>
      <c r="U747" s="13" t="s">
        <v>125</v>
      </c>
      <c r="V747" s="13">
        <v>174</v>
      </c>
      <c r="W747" s="44">
        <f>IF($AX747="Cancelled","",IFERROR(((V747+INDEX(Variables!$B$6:$D$6,IFERROR(MATCH(IF($B747="Robusta","Robusta",(IF($B747="","Arabica",$B747))&amp;" - "&amp;(IF($C747="","Commercial",$C747))),Variables!$B$1:$D$1,0),1)))*22.0462)*(L747/16.67),""))</f>
        <v>15367.537132573481</v>
      </c>
      <c r="X747" s="55" t="s">
        <v>39</v>
      </c>
      <c r="Y747" s="13" t="str">
        <f>IF($AX747="Cancelled","",IF(X747="","",IFERROR(IF(INDEX(Variables!$B$38:$B$47,MATCH(X747,Variables!$A$38:$A$47,0))="Yes","Yes","No"),"No")))</f>
        <v>No</v>
      </c>
      <c r="Z747" s="31"/>
      <c r="AB747" s="31">
        <v>46036.875</v>
      </c>
      <c r="AC747" s="13" t="str">
        <f t="shared" si="34"/>
        <v>Approved</v>
      </c>
      <c r="AF747" s="71">
        <v>46076</v>
      </c>
      <c r="AG747" s="31">
        <f>IF($AX747="Cancelled","",IFERROR(IF(F747="","",F747-Variables!$B$13),""))</f>
        <v>46066</v>
      </c>
      <c r="AH747" s="13">
        <f>IF($AX747="Cancelled","",IFERROR(IF(AB747="","",(AVERAGE(E747:F747)-AB747)-Variables!$B$14),""))</f>
        <v>0.625</v>
      </c>
      <c r="AJ747" s="47">
        <v>46086</v>
      </c>
      <c r="AK747" s="14">
        <f>IF($AX747="Cancelled","",IFERROR(IF(AJ747="","",IF(AND(AB747="",AF747=""),"",IF(AF747&gt;AB747,AF747+Variables!$B$15+Variables!$B$16+Variables!$B$17-AJ747,AB747+Variables!$B$16+Variables!$B$17-AJ747))),""))</f>
        <v>5</v>
      </c>
      <c r="AL747" s="48" t="s">
        <v>114</v>
      </c>
      <c r="AM747" s="13" t="s">
        <v>1526</v>
      </c>
      <c r="AN747" s="13" t="s">
        <v>1998</v>
      </c>
      <c r="AP747" s="31" t="e">
        <v>#N/A</v>
      </c>
      <c r="AR747" s="13" t="s">
        <v>1999</v>
      </c>
      <c r="AS747" s="31">
        <v>46103</v>
      </c>
      <c r="AU747" s="31">
        <v>46113</v>
      </c>
      <c r="AV747" s="13" t="s">
        <v>865</v>
      </c>
      <c r="AW747" s="31">
        <v>46129</v>
      </c>
      <c r="AX747" s="13" t="str">
        <f>IF(ISNUMBER(SEARCH("cancel",#REF!)),"Cancelled",IF(AND(AS747&lt;&gt;"",AU747&lt;&gt;"",AW747&lt;&gt;""),"Closed","Open"))</f>
        <v>Closed</v>
      </c>
      <c r="AY747" s="15" t="str">
        <f t="shared" si="33"/>
        <v>All dates received</v>
      </c>
      <c r="BD747" s="13">
        <f>IF($AX747="Cancelled","",IFERROR(IF(OR(AS747="",AJ747=""),"",(AJ747+Variables!$B$18-AS747)),""))</f>
        <v>-2</v>
      </c>
      <c r="BE747" s="13">
        <f>IF($AX747="Cancelled","",IFERROR(IF(OR(AW747="",AS747=""),"",(AS747+Variables!$B$19)-AW747),""))</f>
        <v>-21</v>
      </c>
      <c r="BF747" s="44">
        <f>IF($AX747="Cancelled","",IFERROR(W747*INDEX(Variables!$B$7:$D$7,IFERROR(MATCH(IF($B747="Robusta","Robusta",(IF($B747="","Arabica",$B747))&amp;" - "&amp;(IF($C747="","Commercial",$C747))),Variables!$B$1:$D$1,0),1))*(BE747/365),""))</f>
        <v>-57.012560714220889</v>
      </c>
      <c r="BG747" s="44">
        <f>IF($AX747="Cancelled","",IFERROR((W747*INDEX(Variables!$B$7:$D$7,IFERROR(MATCH(IF($B747="Robusta","Robusta",(IF($B747="","Arabica",$B747))&amp;" - "&amp;(IF($C747="","Commercial",$C747))),Variables!$B$1:$D$1,0),1))*IFERROR(IF(AB747="","",(AVERAGE(E747:F747)-AB747)-Variables!$B$14),"")/365)+(L747/16.67*INDEX(Variables!$B$8:$D$8,IFERROR(MATCH(IF($B747="Robusta","Robusta",(IF($B747="","Arabica",$B747))&amp;" - "&amp;(IF($C747="","Commercial",$C747))),Variables!$B$1:$D$1,0),1))*IFERROR(IF(AB747="","",(AVERAGE(E747:F747)-AB747)-Variables!$B$14),""))+(W747*INDEX(Variables!$B$9:$D$9,IFERROR(MATCH(IF($B747="Robusta","Robusta",(IF($B747="","Arabica",$B747))&amp;" - "&amp;(IF($C747="","Commercial",$C747))),Variables!$B$1:$D$1,0),1))*IFERROR(IF(AB747="","",(AVERAGE(E747:F747)-AB747)-Variables!$B$14),"")/365),""))</f>
        <v>2.4999274597745513</v>
      </c>
      <c r="BH747" s="44">
        <f>IF($AX747="Cancelled","",IFERROR((W747*INDEX(Variables!$B$7:$D$7,IFERROR(MATCH(IF($B747="Robusta","Robusta",(IF($B747="","Arabica",$B747))&amp;" - "&amp;(IF($C747="","Commercial",$C747))),Variables!$B$1:$D$1,0),1))*AK747/365)+(L747/16.67*INDEX(Variables!$B$8:$D$8,IFERROR(MATCH(IF($B747="Robusta","Robusta",(IF($B747="","Arabica",$B747))&amp;" - "&amp;(IF($C747="","Commercial",$C747))),Variables!$B$1:$D$1,0),1))*AK747)+(W747*INDEX(Variables!$B$9:$D$9,IFERROR(MATCH(IF($B747="Robusta","Robusta",(IF($B747="","Arabica",$B747))&amp;" - "&amp;(IF($C747="","Commercial",$C747))),Variables!$B$1:$D$1,0),1))*AK747/365),""))</f>
        <v>19.999419678196411</v>
      </c>
      <c r="BI747" s="44">
        <f>IF($AX747="Cancelled","",IFERROR((W747*INDEX(Variables!$B$7:$D$7,IFERROR(MATCH(IF($B747="Robusta","Robusta",(IF($B747="","Arabica",$B747))&amp;" - "&amp;(IF($C747="","Commercial",$C747))),Variables!$B$1:$D$1,0),1))*BD747/365)+(L747/16.67*INDEX(Variables!$B$8:$D$8,IFERROR(MATCH(IF($B747="Robusta","Robusta",(IF($B747="","Arabica",$B747))&amp;" - "&amp;(IF($C747="","Commercial",$C747))),Variables!$B$1:$D$1,0),1))*BD747)+(W747*INDEX(Variables!$B$9:$D$9,IFERROR(MATCH(IF($B747="Robusta","Robusta",(IF($B747="","Arabica",$B747))&amp;" - "&amp;(IF($C747="","Commercial",$C747))),Variables!$B$1:$D$1,0),1))*BD747/365),""))</f>
        <v>-7.9997678712785651</v>
      </c>
      <c r="BJ747" s="44">
        <f t="shared" si="35"/>
        <v>-22</v>
      </c>
      <c r="BK747" s="44">
        <f>IF($AX747="Cancelled","",IFERROR(IF(BJ747="","",(W747*INDEX(Variables!$B$7:$D$7,IFERROR(MATCH(IF($B747="Robusta","Robusta",(IF($B747="","Arabica",$B747))&amp;" - "&amp;(IF($C747="","Commercial",$C747))),Variables!$B$1:$D$1,0),1))*(BJ747/365))+(W747*INDEX(Variables!$B$9:$D$9,IFERROR(MATCH(IF($B747="Robusta","Robusta",(IF($B747="","Arabica",$B747))&amp;" - "&amp;(IF($C747="","Commercial",$C747))),Variables!$B$1:$D$1,0),1))*(BJ747/365))+(INDEX(Variables!$B$8:$D$8,IFERROR(MATCH(IF($B747="Robusta","Robusta",(IF($B747="","Arabica",$B747))&amp;" - "&amp;(IF($C747="","Commercial",$C747))),Variables!$B$1:$D$1,0),1))*L747/16.67)),""))</f>
        <v>-59.247446584064214</v>
      </c>
    </row>
    <row r="748" spans="1:63">
      <c r="A748" s="13" t="s">
        <v>103</v>
      </c>
      <c r="B748" s="13" t="s">
        <v>104</v>
      </c>
      <c r="C748" s="13" t="s">
        <v>292</v>
      </c>
      <c r="D748" s="31">
        <v>46049</v>
      </c>
      <c r="E748" s="31">
        <v>46054</v>
      </c>
      <c r="F748" s="31">
        <v>46081</v>
      </c>
      <c r="G748" s="13">
        <v>3787189</v>
      </c>
      <c r="J748" s="13" t="s">
        <v>1641</v>
      </c>
      <c r="K748" s="13" t="s">
        <v>2019</v>
      </c>
      <c r="L748" s="13">
        <v>30</v>
      </c>
      <c r="M748" s="13">
        <v>0</v>
      </c>
      <c r="N748" s="13" t="s">
        <v>2020</v>
      </c>
      <c r="O748" s="13" t="s">
        <v>1960</v>
      </c>
      <c r="P748" s="13">
        <v>10040</v>
      </c>
      <c r="R748" s="13" t="s">
        <v>239</v>
      </c>
      <c r="S748" s="13" t="s">
        <v>776</v>
      </c>
      <c r="T748" s="13" t="s">
        <v>777</v>
      </c>
      <c r="U748" s="13" t="s">
        <v>125</v>
      </c>
      <c r="V748" s="13">
        <v>127</v>
      </c>
      <c r="W748" s="44">
        <f>IF($AX748="Cancelled","",IFERROR(((V748+INDEX(Variables!$B$6:$D$6,IFERROR(MATCH(IF($B748="Robusta","Robusta",(IF($B748="","Arabica",$B748))&amp;" - "&amp;(IF($C748="","Commercial",$C748))),Variables!$B$1:$D$1,0),1)))*22.0462)*(L748/16.67),""))</f>
        <v>16576.308986202759</v>
      </c>
      <c r="X748" s="55" t="s">
        <v>39</v>
      </c>
      <c r="Y748" s="13" t="str">
        <f>IF($AX748="Cancelled","",IF(X748="","",IFERROR(IF(INDEX(Variables!$B$38:$B$47,MATCH(X748,Variables!$A$38:$A$47,0))="Yes","Yes","No"),"No")))</f>
        <v>No</v>
      </c>
      <c r="Z748" s="31"/>
      <c r="AB748" s="31">
        <v>46036.875</v>
      </c>
      <c r="AC748" s="13" t="str">
        <f t="shared" si="34"/>
        <v>Approved</v>
      </c>
      <c r="AF748" s="71">
        <v>46079</v>
      </c>
      <c r="AG748" s="31">
        <f>IF($AX748="Cancelled","",IFERROR(IF(F748="","",F748-Variables!$B$13),""))</f>
        <v>46066</v>
      </c>
      <c r="AH748" s="13">
        <f>IF($AX748="Cancelled","",IFERROR(IF(AB748="","",(AVERAGE(E748:F748)-AB748)-Variables!$B$14),""))</f>
        <v>0.625</v>
      </c>
      <c r="AJ748" s="47">
        <v>46081</v>
      </c>
      <c r="AK748" s="14">
        <f>IF($AX748="Cancelled","",IFERROR(IF(AJ748="","",IF(AND(AB748="",AF748=""),"",IF(AF748&gt;AB748,AF748+Variables!$B$15+Variables!$B$16+Variables!$B$17-AJ748,AB748+Variables!$B$16+Variables!$B$17-AJ748))),""))</f>
        <v>13</v>
      </c>
      <c r="AL748" s="48" t="s">
        <v>114</v>
      </c>
      <c r="AM748" s="13" t="s">
        <v>1526</v>
      </c>
      <c r="AN748" s="13" t="s">
        <v>1527</v>
      </c>
      <c r="AP748" s="31" t="e">
        <v>#N/A</v>
      </c>
      <c r="AR748" s="13" t="s">
        <v>2016</v>
      </c>
      <c r="AS748" s="31">
        <v>46093</v>
      </c>
      <c r="AU748" s="31">
        <v>46113</v>
      </c>
      <c r="AV748" s="13" t="s">
        <v>865</v>
      </c>
      <c r="AW748" s="31">
        <v>46129</v>
      </c>
      <c r="AX748" s="13" t="str">
        <f>IF(ISNUMBER(SEARCH("cancel",#REF!)),"Cancelled",IF(AND(AS748&lt;&gt;"",AU748&lt;&gt;"",AW748&lt;&gt;""),"Closed","Open"))</f>
        <v>Closed</v>
      </c>
      <c r="AY748" s="15" t="str">
        <f t="shared" si="33"/>
        <v>All dates received</v>
      </c>
      <c r="BD748" s="13">
        <f>IF($AX748="Cancelled","",IFERROR(IF(OR(AS748="",AJ748=""),"",(AJ748+Variables!$B$18-AS748)),""))</f>
        <v>3</v>
      </c>
      <c r="BE748" s="13">
        <f>IF($AX748="Cancelled","",IFERROR(IF(OR(AW748="",AS748=""),"",(AS748+Variables!$B$19)-AW748),""))</f>
        <v>-31</v>
      </c>
      <c r="BF748" s="44">
        <f>IF($AX748="Cancelled","",IFERROR(W748*INDEX(Variables!$B$7:$D$7,IFERROR(MATCH(IF($B748="Robusta","Robusta",(IF($B748="","Arabica",$B748))&amp;" - "&amp;(IF($C748="","Commercial",$C748))),Variables!$B$1:$D$1,0),1))*(BE748/365),""))</f>
        <v>-90.781323316750218</v>
      </c>
      <c r="BG748" s="44">
        <f>IF($AX748="Cancelled","",IFERROR((W748*INDEX(Variables!$B$7:$D$7,IFERROR(MATCH(IF($B748="Robusta","Robusta",(IF($B748="","Arabica",$B748))&amp;" - "&amp;(IF($C748="","Commercial",$C748))),Variables!$B$1:$D$1,0),1))*IFERROR(IF(AB748="","",(AVERAGE(E748:F748)-AB748)-Variables!$B$14),"")/365)+(L748/16.67*INDEX(Variables!$B$8:$D$8,IFERROR(MATCH(IF($B748="Robusta","Robusta",(IF($B748="","Arabica",$B748))&amp;" - "&amp;(IF($C748="","Commercial",$C748))),Variables!$B$1:$D$1,0),1))*IFERROR(IF(AB748="","",(AVERAGE(E748:F748)-AB748)-Variables!$B$14),""))+(W748*INDEX(Variables!$B$9:$D$9,IFERROR(MATCH(IF($B748="Robusta","Robusta",(IF($B748="","Arabica",$B748))&amp;" - "&amp;(IF($C748="","Commercial",$C748))),Variables!$B$1:$D$1,0),1))*IFERROR(IF(AB748="","",(AVERAGE(E748:F748)-AB748)-Variables!$B$14),"")/365),""))</f>
        <v>2.7913643098807426</v>
      </c>
      <c r="BH748" s="44">
        <f>IF($AX748="Cancelled","",IFERROR((W748*INDEX(Variables!$B$7:$D$7,IFERROR(MATCH(IF($B748="Robusta","Robusta",(IF($B748="","Arabica",$B748))&amp;" - "&amp;(IF($C748="","Commercial",$C748))),Variables!$B$1:$D$1,0),1))*AK748/365)+(L748/16.67*INDEX(Variables!$B$8:$D$8,IFERROR(MATCH(IF($B748="Robusta","Robusta",(IF($B748="","Arabica",$B748))&amp;" - "&amp;(IF($C748="","Commercial",$C748))),Variables!$B$1:$D$1,0),1))*AK748)+(W748*INDEX(Variables!$B$9:$D$9,IFERROR(MATCH(IF($B748="Robusta","Robusta",(IF($B748="","Arabica",$B748))&amp;" - "&amp;(IF($C748="","Commercial",$C748))),Variables!$B$1:$D$1,0),1))*AK748/365),""))</f>
        <v>58.060377645519452</v>
      </c>
      <c r="BI748" s="44">
        <f>IF($AX748="Cancelled","",IFERROR((W748*INDEX(Variables!$B$7:$D$7,IFERROR(MATCH(IF($B748="Robusta","Robusta",(IF($B748="","Arabica",$B748))&amp;" - "&amp;(IF($C748="","Commercial",$C748))),Variables!$B$1:$D$1,0),1))*BD748/365)+(L748/16.67*INDEX(Variables!$B$8:$D$8,IFERROR(MATCH(IF($B748="Robusta","Robusta",(IF($B748="","Arabica",$B748))&amp;" - "&amp;(IF($C748="","Commercial",$C748))),Variables!$B$1:$D$1,0),1))*BD748)+(W748*INDEX(Variables!$B$9:$D$9,IFERROR(MATCH(IF($B748="Robusta","Robusta",(IF($B748="","Arabica",$B748))&amp;" - "&amp;(IF($C748="","Commercial",$C748))),Variables!$B$1:$D$1,0),1))*BD748/365),""))</f>
        <v>13.398548687427567</v>
      </c>
      <c r="BJ748" s="44">
        <f t="shared" si="35"/>
        <v>-12</v>
      </c>
      <c r="BK748" s="44">
        <f>IF($AX748="Cancelled","",IFERROR(IF(BJ748="","",(W748*INDEX(Variables!$B$7:$D$7,IFERROR(MATCH(IF($B748="Robusta","Robusta",(IF($B748="","Arabica",$B748))&amp;" - "&amp;(IF($C748="","Commercial",$C748))),Variables!$B$1:$D$1,0),1))*(BJ748/365))+(W748*INDEX(Variables!$B$9:$D$9,IFERROR(MATCH(IF($B748="Robusta","Robusta",(IF($B748="","Arabica",$B748))&amp;" - "&amp;(IF($C748="","Commercial",$C748))),Variables!$B$1:$D$1,0),1))*(BJ748/365))+(INDEX(Variables!$B$8:$D$8,IFERROR(MATCH(IF($B748="Robusta","Robusta",(IF($B748="","Arabica",$B748))&amp;" - "&amp;(IF($C748="","Commercial",$C748))),Variables!$B$1:$D$1,0),1))*L748/16.67)),""))</f>
        <v>-34.094194749710262</v>
      </c>
    </row>
    <row r="749" spans="1:63">
      <c r="A749" s="13" t="s">
        <v>103</v>
      </c>
      <c r="B749" s="13" t="s">
        <v>104</v>
      </c>
      <c r="C749" s="13" t="s">
        <v>292</v>
      </c>
      <c r="D749" s="31">
        <v>46049</v>
      </c>
      <c r="E749" s="31">
        <v>46054</v>
      </c>
      <c r="F749" s="31">
        <v>46081</v>
      </c>
      <c r="G749" s="13">
        <v>3787190</v>
      </c>
      <c r="J749" s="13" t="s">
        <v>1641</v>
      </c>
      <c r="K749" s="13" t="s">
        <v>2021</v>
      </c>
      <c r="L749" s="13">
        <v>25</v>
      </c>
      <c r="M749" s="13">
        <v>0</v>
      </c>
      <c r="N749" s="13" t="s">
        <v>2022</v>
      </c>
      <c r="O749" s="13" t="s">
        <v>1960</v>
      </c>
      <c r="P749" s="13">
        <v>10040</v>
      </c>
      <c r="R749" s="13" t="s">
        <v>384</v>
      </c>
      <c r="S749" s="13" t="s">
        <v>776</v>
      </c>
      <c r="T749" s="13" t="s">
        <v>777</v>
      </c>
      <c r="U749" s="13" t="s">
        <v>125</v>
      </c>
      <c r="V749" s="13">
        <v>147</v>
      </c>
      <c r="W749" s="44">
        <f>IF($AX749="Cancelled","",IFERROR(((V749+INDEX(Variables!$B$6:$D$6,IFERROR(MATCH(IF($B749="Robusta","Robusta",(IF($B749="","Arabica",$B749))&amp;" - "&amp;(IF($C749="","Commercial",$C749))),Variables!$B$1:$D$1,0),1)))*22.0462)*(L749/16.67),""))</f>
        <v>14474.84457108578</v>
      </c>
      <c r="X749" s="55" t="s">
        <v>39</v>
      </c>
      <c r="Y749" s="13" t="str">
        <f>IF($AX749="Cancelled","",IF(X749="","",IFERROR(IF(INDEX(Variables!$B$38:$B$47,MATCH(X749,Variables!$A$38:$A$47,0))="Yes","Yes","No"),"No")))</f>
        <v>No</v>
      </c>
      <c r="Z749" s="31"/>
      <c r="AB749" s="31">
        <v>46036.875</v>
      </c>
      <c r="AC749" s="13" t="str">
        <f t="shared" si="34"/>
        <v>Approved</v>
      </c>
      <c r="AF749" s="71">
        <v>46086</v>
      </c>
      <c r="AG749" s="31">
        <f>IF($AX749="Cancelled","",IFERROR(IF(F749="","",F749-Variables!$B$13),""))</f>
        <v>46066</v>
      </c>
      <c r="AH749" s="13">
        <f>IF($AX749="Cancelled","",IFERROR(IF(AB749="","",(AVERAGE(E749:F749)-AB749)-Variables!$B$14),""))</f>
        <v>0.625</v>
      </c>
      <c r="AJ749" s="47">
        <v>46086</v>
      </c>
      <c r="AK749" s="14">
        <f>IF($AX749="Cancelled","",IFERROR(IF(AJ749="","",IF(AND(AB749="",AF749=""),"",IF(AF749&gt;AB749,AF749+Variables!$B$15+Variables!$B$16+Variables!$B$17-AJ749,AB749+Variables!$B$16+Variables!$B$17-AJ749))),""))</f>
        <v>15</v>
      </c>
      <c r="AL749" s="48" t="s">
        <v>114</v>
      </c>
      <c r="AM749" s="13" t="s">
        <v>1526</v>
      </c>
      <c r="AN749" s="13" t="s">
        <v>1998</v>
      </c>
      <c r="AP749" s="31" t="e">
        <v>#N/A</v>
      </c>
      <c r="AR749" s="13" t="s">
        <v>1999</v>
      </c>
      <c r="AS749" s="31">
        <v>46103</v>
      </c>
      <c r="AU749" s="31">
        <v>46113</v>
      </c>
      <c r="AV749" s="13" t="s">
        <v>865</v>
      </c>
      <c r="AW749" s="31">
        <v>46129</v>
      </c>
      <c r="AX749" s="13" t="str">
        <f>IF(ISNUMBER(SEARCH("cancel",#REF!)),"Cancelled",IF(AND(AS749&lt;&gt;"",AU749&lt;&gt;"",AW749&lt;&gt;""),"Closed","Open"))</f>
        <v>Closed</v>
      </c>
      <c r="AY749" s="15" t="str">
        <f t="shared" si="33"/>
        <v>All dates received</v>
      </c>
      <c r="BD749" s="13">
        <f>IF($AX749="Cancelled","",IFERROR(IF(OR(AS749="",AJ749=""),"",(AJ749+Variables!$B$18-AS749)),""))</f>
        <v>-2</v>
      </c>
      <c r="BE749" s="13">
        <f>IF($AX749="Cancelled","",IFERROR(IF(OR(AW749="",AS749=""),"",(AS749+Variables!$B$19)-AW749),""))</f>
        <v>-21</v>
      </c>
      <c r="BF749" s="44">
        <f>IF($AX749="Cancelled","",IFERROR(W749*INDEX(Variables!$B$7:$D$7,IFERROR(MATCH(IF($B749="Robusta","Robusta",(IF($B749="","Arabica",$B749))&amp;" - "&amp;(IF($C749="","Commercial",$C749))),Variables!$B$1:$D$1,0),1))*(BE749/365),""))</f>
        <v>-53.700729519547991</v>
      </c>
      <c r="BG749" s="44">
        <f>IF($AX749="Cancelled","",IFERROR((W749*INDEX(Variables!$B$7:$D$7,IFERROR(MATCH(IF($B749="Robusta","Robusta",(IF($B749="","Arabica",$B749))&amp;" - "&amp;(IF($C749="","Commercial",$C749))),Variables!$B$1:$D$1,0),1))*IFERROR(IF(AB749="","",(AVERAGE(E749:F749)-AB749)-Variables!$B$14),"")/365)+(L749/16.67*INDEX(Variables!$B$8:$D$8,IFERROR(MATCH(IF($B749="Robusta","Robusta",(IF($B749="","Arabica",$B749))&amp;" - "&amp;(IF($C749="","Commercial",$C749))),Variables!$B$1:$D$1,0),1))*IFERROR(IF(AB749="","",(AVERAGE(E749:F749)-AB749)-Variables!$B$14),""))+(W749*INDEX(Variables!$B$9:$D$9,IFERROR(MATCH(IF($B749="Robusta","Robusta",(IF($B749="","Arabica",$B749))&amp;" - "&amp;(IF($C749="","Commercial",$C749))),Variables!$B$1:$D$1,0),1))*IFERROR(IF(AB749="","",(AVERAGE(E749:F749)-AB749)-Variables!$B$14),"")/365),""))</f>
        <v>2.4000903439959096</v>
      </c>
      <c r="BH749" s="44">
        <f>IF($AX749="Cancelled","",IFERROR((W749*INDEX(Variables!$B$7:$D$7,IFERROR(MATCH(IF($B749="Robusta","Robusta",(IF($B749="","Arabica",$B749))&amp;" - "&amp;(IF($C749="","Commercial",$C749))),Variables!$B$1:$D$1,0),1))*AK749/365)+(L749/16.67*INDEX(Variables!$B$8:$D$8,IFERROR(MATCH(IF($B749="Robusta","Robusta",(IF($B749="","Arabica",$B749))&amp;" - "&amp;(IF($C749="","Commercial",$C749))),Variables!$B$1:$D$1,0),1))*AK749)+(W749*INDEX(Variables!$B$9:$D$9,IFERROR(MATCH(IF($B749="Robusta","Robusta",(IF($B749="","Arabica",$B749))&amp;" - "&amp;(IF($C749="","Commercial",$C749))),Variables!$B$1:$D$1,0),1))*AK749/365),""))</f>
        <v>57.602168255901823</v>
      </c>
      <c r="BI749" s="44">
        <f>IF($AX749="Cancelled","",IFERROR((W749*INDEX(Variables!$B$7:$D$7,IFERROR(MATCH(IF($B749="Robusta","Robusta",(IF($B749="","Arabica",$B749))&amp;" - "&amp;(IF($C749="","Commercial",$C749))),Variables!$B$1:$D$1,0),1))*BD749/365)+(L749/16.67*INDEX(Variables!$B$8:$D$8,IFERROR(MATCH(IF($B749="Robusta","Robusta",(IF($B749="","Arabica",$B749))&amp;" - "&amp;(IF($C749="","Commercial",$C749))),Variables!$B$1:$D$1,0),1))*BD749)+(W749*INDEX(Variables!$B$9:$D$9,IFERROR(MATCH(IF($B749="Robusta","Robusta",(IF($B749="","Arabica",$B749))&amp;" - "&amp;(IF($C749="","Commercial",$C749))),Variables!$B$1:$D$1,0),1))*BD749/365),""))</f>
        <v>-7.6802891007869096</v>
      </c>
      <c r="BJ749" s="44">
        <f t="shared" si="35"/>
        <v>-22</v>
      </c>
      <c r="BK749" s="44">
        <f>IF($AX749="Cancelled","",IFERROR(IF(BJ749="","",(W749*INDEX(Variables!$B$7:$D$7,IFERROR(MATCH(IF($B749="Robusta","Robusta",(IF($B749="","Arabica",$B749))&amp;" - "&amp;(IF($C749="","Commercial",$C749))),Variables!$B$1:$D$1,0),1))*(BJ749/365))+(W749*INDEX(Variables!$B$9:$D$9,IFERROR(MATCH(IF($B749="Robusta","Robusta",(IF($B749="","Arabica",$B749))&amp;" - "&amp;(IF($C749="","Commercial",$C749))),Variables!$B$1:$D$1,0),1))*(BJ749/365))+(INDEX(Variables!$B$8:$D$8,IFERROR(MATCH(IF($B749="Robusta","Robusta",(IF($B749="","Arabica",$B749))&amp;" - "&amp;(IF($C749="","Commercial",$C749))),Variables!$B$1:$D$1,0),1))*L749/16.67)),""))</f>
        <v>-55.733180108656015</v>
      </c>
    </row>
    <row r="750" spans="1:63">
      <c r="A750" s="13" t="s">
        <v>103</v>
      </c>
      <c r="B750" s="13" t="s">
        <v>104</v>
      </c>
      <c r="C750" s="13" t="s">
        <v>292</v>
      </c>
      <c r="D750" s="31">
        <v>46049</v>
      </c>
      <c r="E750" s="31">
        <v>46054</v>
      </c>
      <c r="F750" s="31">
        <v>46081</v>
      </c>
      <c r="G750" s="13">
        <v>3787191</v>
      </c>
      <c r="J750" s="13" t="s">
        <v>1641</v>
      </c>
      <c r="K750" s="13" t="s">
        <v>2023</v>
      </c>
      <c r="L750" s="13">
        <v>30</v>
      </c>
      <c r="M750" s="13">
        <v>0</v>
      </c>
      <c r="N750" s="13" t="s">
        <v>2024</v>
      </c>
      <c r="O750" s="13" t="s">
        <v>1960</v>
      </c>
      <c r="P750" s="13">
        <v>10040</v>
      </c>
      <c r="R750" s="13" t="s">
        <v>239</v>
      </c>
      <c r="S750" s="13" t="s">
        <v>776</v>
      </c>
      <c r="T750" s="13" t="s">
        <v>777</v>
      </c>
      <c r="U750" s="13" t="s">
        <v>125</v>
      </c>
      <c r="V750" s="13">
        <v>119</v>
      </c>
      <c r="W750" s="44">
        <f>IF($AX750="Cancelled","",IFERROR(((V750+INDEX(Variables!$B$6:$D$6,IFERROR(MATCH(IF($B750="Robusta","Robusta",(IF($B750="","Arabica",$B750))&amp;" - "&amp;(IF($C750="","Commercial",$C750))),Variables!$B$1:$D$1,0),1)))*22.0462)*(L750/16.67),""))</f>
        <v>16258.907186562687</v>
      </c>
      <c r="X750" s="55" t="s">
        <v>39</v>
      </c>
      <c r="Y750" s="13" t="str">
        <f>IF($AX750="Cancelled","",IF(X750="","",IFERROR(IF(INDEX(Variables!$B$38:$B$47,MATCH(X750,Variables!$A$38:$A$47,0))="Yes","Yes","No"),"No")))</f>
        <v>No</v>
      </c>
      <c r="Z750" s="31"/>
      <c r="AB750" s="31">
        <v>46036.875</v>
      </c>
      <c r="AC750" s="13" t="str">
        <f t="shared" si="34"/>
        <v>Approved</v>
      </c>
      <c r="AF750" s="71">
        <v>46079</v>
      </c>
      <c r="AG750" s="31">
        <f>IF($AX750="Cancelled","",IFERROR(IF(F750="","",F750-Variables!$B$13),""))</f>
        <v>46066</v>
      </c>
      <c r="AH750" s="13">
        <f>IF($AX750="Cancelled","",IFERROR(IF(AB750="","",(AVERAGE(E750:F750)-AB750)-Variables!$B$14),""))</f>
        <v>0.625</v>
      </c>
      <c r="AJ750" s="47">
        <v>46081</v>
      </c>
      <c r="AK750" s="14">
        <f>IF($AX750="Cancelled","",IFERROR(IF(AJ750="","",IF(AND(AB750="",AF750=""),"",IF(AF750&gt;AB750,AF750+Variables!$B$15+Variables!$B$16+Variables!$B$17-AJ750,AB750+Variables!$B$16+Variables!$B$17-AJ750))),""))</f>
        <v>13</v>
      </c>
      <c r="AL750" s="48" t="s">
        <v>114</v>
      </c>
      <c r="AM750" s="13" t="s">
        <v>1526</v>
      </c>
      <c r="AN750" s="13" t="s">
        <v>1527</v>
      </c>
      <c r="AP750" s="31" t="e">
        <v>#N/A</v>
      </c>
      <c r="AR750" s="13" t="s">
        <v>2016</v>
      </c>
      <c r="AS750" s="31">
        <v>46093</v>
      </c>
      <c r="AU750" s="31">
        <v>46113</v>
      </c>
      <c r="AV750" s="13" t="s">
        <v>865</v>
      </c>
      <c r="AW750" s="31">
        <v>46129</v>
      </c>
      <c r="AX750" s="13" t="str">
        <f>IF(ISNUMBER(SEARCH("cancel",#REF!)),"Cancelled",IF(AND(AS750&lt;&gt;"",AU750&lt;&gt;"",AW750&lt;&gt;""),"Closed","Open"))</f>
        <v>Closed</v>
      </c>
      <c r="AY750" s="15" t="str">
        <f t="shared" si="33"/>
        <v>All dates received</v>
      </c>
      <c r="BD750" s="13">
        <f>IF($AX750="Cancelled","",IFERROR(IF(OR(AS750="",AJ750=""),"",(AJ750+Variables!$B$18-AS750)),""))</f>
        <v>3</v>
      </c>
      <c r="BE750" s="13">
        <f>IF($AX750="Cancelled","",IFERROR(IF(OR(AW750="",AS750=""),"",(AS750+Variables!$B$19)-AW750),""))</f>
        <v>-31</v>
      </c>
      <c r="BF750" s="44">
        <f>IF($AX750="Cancelled","",IFERROR(W750*INDEX(Variables!$B$7:$D$7,IFERROR(MATCH(IF($B750="Robusta","Robusta",(IF($B750="","Arabica",$B750))&amp;" - "&amp;(IF($C750="","Commercial",$C750))),Variables!$B$1:$D$1,0),1))*(BE750/365),""))</f>
        <v>-89.043050012456291</v>
      </c>
      <c r="BG750" s="44">
        <f>IF($AX750="Cancelled","",IFERROR((W750*INDEX(Variables!$B$7:$D$7,IFERROR(MATCH(IF($B750="Robusta","Robusta",(IF($B750="","Arabica",$B750))&amp;" - "&amp;(IF($C750="","Commercial",$C750))),Variables!$B$1:$D$1,0),1))*IFERROR(IF(AB750="","",(AVERAGE(E750:F750)-AB750)-Variables!$B$14),"")/365)+(L750/16.67*INDEX(Variables!$B$8:$D$8,IFERROR(MATCH(IF($B750="Robusta","Robusta",(IF($B750="","Arabica",$B750))&amp;" - "&amp;(IF($C750="","Commercial",$C750))),Variables!$B$1:$D$1,0),1))*IFERROR(IF(AB750="","",(AVERAGE(E750:F750)-AB750)-Variables!$B$14),""))+(W750*INDEX(Variables!$B$9:$D$9,IFERROR(MATCH(IF($B750="Robusta","Robusta",(IF($B750="","Arabica",$B750))&amp;" - "&amp;(IF($C750="","Commercial",$C750))),Variables!$B$1:$D$1,0),1))*IFERROR(IF(AB750="","",(AVERAGE(E750:F750)-AB750)-Variables!$B$14),"")/365),""))</f>
        <v>2.7558666687150035</v>
      </c>
      <c r="BH750" s="44">
        <f>IF($AX750="Cancelled","",IFERROR((W750*INDEX(Variables!$B$7:$D$7,IFERROR(MATCH(IF($B750="Robusta","Robusta",(IF($B750="","Arabica",$B750))&amp;" - "&amp;(IF($C750="","Commercial",$C750))),Variables!$B$1:$D$1,0),1))*AK750/365)+(L750/16.67*INDEX(Variables!$B$8:$D$8,IFERROR(MATCH(IF($B750="Robusta","Robusta",(IF($B750="","Arabica",$B750))&amp;" - "&amp;(IF($C750="","Commercial",$C750))),Variables!$B$1:$D$1,0),1))*AK750)+(W750*INDEX(Variables!$B$9:$D$9,IFERROR(MATCH(IF($B750="Robusta","Robusta",(IF($B750="","Arabica",$B750))&amp;" - "&amp;(IF($C750="","Commercial",$C750))),Variables!$B$1:$D$1,0),1))*AK750/365),""))</f>
        <v>57.322026709272073</v>
      </c>
      <c r="BI750" s="44">
        <f>IF($AX750="Cancelled","",IFERROR((W750*INDEX(Variables!$B$7:$D$7,IFERROR(MATCH(IF($B750="Robusta","Robusta",(IF($B750="","Arabica",$B750))&amp;" - "&amp;(IF($C750="","Commercial",$C750))),Variables!$B$1:$D$1,0),1))*BD750/365)+(L750/16.67*INDEX(Variables!$B$8:$D$8,IFERROR(MATCH(IF($B750="Robusta","Robusta",(IF($B750="","Arabica",$B750))&amp;" - "&amp;(IF($C750="","Commercial",$C750))),Variables!$B$1:$D$1,0),1))*BD750)+(W750*INDEX(Variables!$B$9:$D$9,IFERROR(MATCH(IF($B750="Robusta","Robusta",(IF($B750="","Arabica",$B750))&amp;" - "&amp;(IF($C750="","Commercial",$C750))),Variables!$B$1:$D$1,0),1))*BD750/365),""))</f>
        <v>13.228160009832019</v>
      </c>
      <c r="BJ750" s="44">
        <f t="shared" si="35"/>
        <v>-12</v>
      </c>
      <c r="BK750" s="44">
        <f>IF($AX750="Cancelled","",IFERROR(IF(BJ750="","",(W750*INDEX(Variables!$B$7:$D$7,IFERROR(MATCH(IF($B750="Robusta","Robusta",(IF($B750="","Arabica",$B750))&amp;" - "&amp;(IF($C750="","Commercial",$C750))),Variables!$B$1:$D$1,0),1))*(BJ750/365))+(W750*INDEX(Variables!$B$9:$D$9,IFERROR(MATCH(IF($B750="Robusta","Robusta",(IF($B750="","Arabica",$B750))&amp;" - "&amp;(IF($C750="","Commercial",$C750))),Variables!$B$1:$D$1,0),1))*(BJ750/365))+(INDEX(Variables!$B$8:$D$8,IFERROR(MATCH(IF($B750="Robusta","Robusta",(IF($B750="","Arabica",$B750))&amp;" - "&amp;(IF($C750="","Commercial",$C750))),Variables!$B$1:$D$1,0),1))*L750/16.67)),""))</f>
        <v>-33.412640039328068</v>
      </c>
    </row>
    <row r="751" spans="1:63">
      <c r="A751" s="13" t="s">
        <v>103</v>
      </c>
      <c r="B751" s="13" t="s">
        <v>104</v>
      </c>
      <c r="C751" s="13" t="s">
        <v>292</v>
      </c>
      <c r="D751" s="31">
        <v>46049</v>
      </c>
      <c r="E751" s="31">
        <v>46054</v>
      </c>
      <c r="F751" s="31">
        <v>46081</v>
      </c>
      <c r="G751" s="13">
        <v>3787192</v>
      </c>
      <c r="J751" s="13" t="s">
        <v>1641</v>
      </c>
      <c r="K751" s="13" t="s">
        <v>2025</v>
      </c>
      <c r="L751" s="13">
        <v>200</v>
      </c>
      <c r="M751" s="13">
        <v>1</v>
      </c>
      <c r="N751" s="13" t="s">
        <v>2026</v>
      </c>
      <c r="O751" s="13" t="s">
        <v>120</v>
      </c>
      <c r="P751" s="13">
        <v>10040</v>
      </c>
      <c r="R751" s="13" t="s">
        <v>239</v>
      </c>
      <c r="S751" s="13" t="s">
        <v>776</v>
      </c>
      <c r="T751" s="13" t="s">
        <v>777</v>
      </c>
      <c r="U751" s="13" t="s">
        <v>125</v>
      </c>
      <c r="V751" s="13">
        <v>39</v>
      </c>
      <c r="W751" s="44">
        <f>IF($AX751="Cancelled","",IFERROR(((V751+INDEX(Variables!$B$6:$D$6,IFERROR(MATCH(IF($B751="Robusta","Robusta",(IF($B751="","Arabica",$B751))&amp;" - "&amp;(IF($C751="","Commercial",$C751))),Variables!$B$1:$D$1,0),1)))*22.0462)*(L751/16.67),""))</f>
        <v>87232.594601079778</v>
      </c>
      <c r="X751" s="55" t="s">
        <v>39</v>
      </c>
      <c r="Y751" s="13" t="str">
        <f>IF($AX751="Cancelled","",IF(X751="","",IFERROR(IF(INDEX(Variables!$B$38:$B$47,MATCH(X751,Variables!$A$38:$A$47,0))="Yes","Yes","No"),"No")))</f>
        <v>No</v>
      </c>
      <c r="Z751" s="31"/>
      <c r="AB751" s="31">
        <v>46036.875</v>
      </c>
      <c r="AC751" s="13" t="str">
        <f t="shared" si="34"/>
        <v>Approved</v>
      </c>
      <c r="AF751" s="71">
        <v>46079</v>
      </c>
      <c r="AG751" s="31">
        <f>IF($AX751="Cancelled","",IFERROR(IF(F751="","",F751-Variables!$B$13),""))</f>
        <v>46066</v>
      </c>
      <c r="AH751" s="13">
        <f>IF($AX751="Cancelled","",IFERROR(IF(AB751="","",(AVERAGE(E751:F751)-AB751)-Variables!$B$14),""))</f>
        <v>0.625</v>
      </c>
      <c r="AJ751" s="47">
        <v>46081</v>
      </c>
      <c r="AK751" s="14">
        <f>IF($AX751="Cancelled","",IFERROR(IF(AJ751="","",IF(AND(AB751="",AF751=""),"",IF(AF751&gt;AB751,AF751+Variables!$B$15+Variables!$B$16+Variables!$B$17-AJ751,AB751+Variables!$B$16+Variables!$B$17-AJ751))),""))</f>
        <v>13</v>
      </c>
      <c r="AL751" s="48" t="s">
        <v>114</v>
      </c>
      <c r="AM751" s="13" t="s">
        <v>1526</v>
      </c>
      <c r="AN751" s="13" t="s">
        <v>1527</v>
      </c>
      <c r="AP751" s="31" t="e">
        <v>#N/A</v>
      </c>
      <c r="AR751" s="13" t="s">
        <v>2016</v>
      </c>
      <c r="AS751" s="31">
        <v>46093</v>
      </c>
      <c r="AU751" s="31">
        <v>46113</v>
      </c>
      <c r="AV751" s="13" t="s">
        <v>865</v>
      </c>
      <c r="AW751" s="31">
        <v>46129</v>
      </c>
      <c r="AX751" s="13" t="str">
        <f>IF(ISNUMBER(SEARCH("cancel",#REF!)),"Cancelled",IF(AND(AS751&lt;&gt;"",AU751&lt;&gt;"",AW751&lt;&gt;""),"Closed","Open"))</f>
        <v>Closed</v>
      </c>
      <c r="AY751" s="15" t="str">
        <f t="shared" si="33"/>
        <v>All dates received</v>
      </c>
      <c r="BD751" s="13">
        <f>IF($AX751="Cancelled","",IFERROR(IF(OR(AS751="",AJ751=""),"",(AJ751+Variables!$B$18-AS751)),""))</f>
        <v>3</v>
      </c>
      <c r="BE751" s="13">
        <f>IF($AX751="Cancelled","",IFERROR(IF(OR(AW751="",AS751=""),"",(AS751+Variables!$B$19)-AW751),""))</f>
        <v>-31</v>
      </c>
      <c r="BF751" s="44">
        <f>IF($AX751="Cancelled","",IFERROR(W751*INDEX(Variables!$B$7:$D$7,IFERROR(MATCH(IF($B751="Robusta","Robusta",(IF($B751="","Arabica",$B751))&amp;" - "&amp;(IF($C751="","Commercial",$C751))),Variables!$B$1:$D$1,0),1))*(BE751/365),""))</f>
        <v>-477.73544646344692</v>
      </c>
      <c r="BG751" s="44">
        <f>IF($AX751="Cancelled","",IFERROR((W751*INDEX(Variables!$B$7:$D$7,IFERROR(MATCH(IF($B751="Robusta","Robusta",(IF($B751="","Arabica",$B751))&amp;" - "&amp;(IF($C751="","Commercial",$C751))),Variables!$B$1:$D$1,0),1))*IFERROR(IF(AB751="","",(AVERAGE(E751:F751)-AB751)-Variables!$B$14),"")/365)+(L751/16.67*INDEX(Variables!$B$8:$D$8,IFERROR(MATCH(IF($B751="Robusta","Robusta",(IF($B751="","Arabica",$B751))&amp;" - "&amp;(IF($C751="","Commercial",$C751))),Variables!$B$1:$D$1,0),1))*IFERROR(IF(AB751="","",(AVERAGE(E751:F751)-AB751)-Variables!$B$14),""))+(W751*INDEX(Variables!$B$9:$D$9,IFERROR(MATCH(IF($B751="Robusta","Robusta",(IF($B751="","Arabica",$B751))&amp;" - "&amp;(IF($C751="","Commercial",$C751))),Variables!$B$1:$D$1,0),1))*IFERROR(IF(AB751="","",(AVERAGE(E751:F751)-AB751)-Variables!$B$14),"")/365),""))</f>
        <v>16.005935047050727</v>
      </c>
      <c r="BH751" s="44">
        <f>IF($AX751="Cancelled","",IFERROR((W751*INDEX(Variables!$B$7:$D$7,IFERROR(MATCH(IF($B751="Robusta","Robusta",(IF($B751="","Arabica",$B751))&amp;" - "&amp;(IF($C751="","Commercial",$C751))),Variables!$B$1:$D$1,0),1))*AK751/365)+(L751/16.67*INDEX(Variables!$B$8:$D$8,IFERROR(MATCH(IF($B751="Robusta","Robusta",(IF($B751="","Arabica",$B751))&amp;" - "&amp;(IF($C751="","Commercial",$C751))),Variables!$B$1:$D$1,0),1))*AK751)+(W751*INDEX(Variables!$B$9:$D$9,IFERROR(MATCH(IF($B751="Robusta","Robusta",(IF($B751="","Arabica",$B751))&amp;" - "&amp;(IF($C751="","Commercial",$C751))),Variables!$B$1:$D$1,0),1))*AK751/365),""))</f>
        <v>332.92344897865507</v>
      </c>
      <c r="BI751" s="44">
        <f>IF($AX751="Cancelled","",IFERROR((W751*INDEX(Variables!$B$7:$D$7,IFERROR(MATCH(IF($B751="Robusta","Robusta",(IF($B751="","Arabica",$B751))&amp;" - "&amp;(IF($C751="","Commercial",$C751))),Variables!$B$1:$D$1,0),1))*BD751/365)+(L751/16.67*INDEX(Variables!$B$8:$D$8,IFERROR(MATCH(IF($B751="Robusta","Robusta",(IF($B751="","Arabica",$B751))&amp;" - "&amp;(IF($C751="","Commercial",$C751))),Variables!$B$1:$D$1,0),1))*BD751)+(W751*INDEX(Variables!$B$9:$D$9,IFERROR(MATCH(IF($B751="Robusta","Robusta",(IF($B751="","Arabica",$B751))&amp;" - "&amp;(IF($C751="","Commercial",$C751))),Variables!$B$1:$D$1,0),1))*BD751/365),""))</f>
        <v>76.828488225843486</v>
      </c>
      <c r="BJ751" s="44">
        <f t="shared" si="35"/>
        <v>-12</v>
      </c>
      <c r="BK751" s="44">
        <f>IF($AX751="Cancelled","",IFERROR(IF(BJ751="","",(W751*INDEX(Variables!$B$7:$D$7,IFERROR(MATCH(IF($B751="Robusta","Robusta",(IF($B751="","Arabica",$B751))&amp;" - "&amp;(IF($C751="","Commercial",$C751))),Variables!$B$1:$D$1,0),1))*(BJ751/365))+(W751*INDEX(Variables!$B$9:$D$9,IFERROR(MATCH(IF($B751="Robusta","Robusta",(IF($B751="","Arabica",$B751))&amp;" - "&amp;(IF($C751="","Commercial",$C751))),Variables!$B$1:$D$1,0),1))*(BJ751/365))+(INDEX(Variables!$B$8:$D$8,IFERROR(MATCH(IF($B751="Robusta","Robusta",(IF($B751="","Arabica",$B751))&amp;" - "&amp;(IF($C751="","Commercial",$C751))),Variables!$B$1:$D$1,0),1))*L751/16.67)),""))</f>
        <v>-177.31395290337392</v>
      </c>
    </row>
    <row r="752" spans="1:63">
      <c r="A752" s="13" t="s">
        <v>103</v>
      </c>
      <c r="B752" s="13" t="s">
        <v>104</v>
      </c>
      <c r="C752" s="13" t="s">
        <v>292</v>
      </c>
      <c r="D752" s="31">
        <v>46049</v>
      </c>
      <c r="E752" s="31">
        <v>46054</v>
      </c>
      <c r="F752" s="31">
        <v>46081</v>
      </c>
      <c r="G752" s="13">
        <v>3787193</v>
      </c>
      <c r="J752" s="13" t="s">
        <v>1641</v>
      </c>
      <c r="K752" s="13" t="s">
        <v>2027</v>
      </c>
      <c r="L752" s="13">
        <v>30</v>
      </c>
      <c r="M752" s="13">
        <v>0</v>
      </c>
      <c r="N752" s="13" t="s">
        <v>2028</v>
      </c>
      <c r="O752" s="13" t="s">
        <v>1960</v>
      </c>
      <c r="P752" s="13">
        <v>10040</v>
      </c>
      <c r="R752" s="13" t="s">
        <v>239</v>
      </c>
      <c r="S752" s="13" t="s">
        <v>776</v>
      </c>
      <c r="T752" s="13" t="s">
        <v>777</v>
      </c>
      <c r="U752" s="13" t="s">
        <v>125</v>
      </c>
      <c r="V752" s="13">
        <v>148</v>
      </c>
      <c r="W752" s="44">
        <f>IF($AX752="Cancelled","",IFERROR(((V752+INDEX(Variables!$B$6:$D$6,IFERROR(MATCH(IF($B752="Robusta","Robusta",(IF($B752="","Arabica",$B752))&amp;" - "&amp;(IF($C752="","Commercial",$C752))),Variables!$B$1:$D$1,0),1)))*22.0462)*(L752/16.67),""))</f>
        <v>17409.488710257945</v>
      </c>
      <c r="X752" s="55" t="s">
        <v>39</v>
      </c>
      <c r="Y752" s="13" t="str">
        <f>IF($AX752="Cancelled","",IF(X752="","",IFERROR(IF(INDEX(Variables!$B$38:$B$47,MATCH(X752,Variables!$A$38:$A$47,0))="Yes","Yes","No"),"No")))</f>
        <v>No</v>
      </c>
      <c r="Z752" s="31"/>
      <c r="AB752" s="31">
        <v>46036.875</v>
      </c>
      <c r="AC752" s="13" t="str">
        <f t="shared" si="34"/>
        <v>Approved</v>
      </c>
      <c r="AF752" s="71">
        <v>46078</v>
      </c>
      <c r="AG752" s="31">
        <f>IF($AX752="Cancelled","",IFERROR(IF(F752="","",F752-Variables!$B$13),""))</f>
        <v>46066</v>
      </c>
      <c r="AH752" s="13">
        <f>IF($AX752="Cancelled","",IFERROR(IF(AB752="","",(AVERAGE(E752:F752)-AB752)-Variables!$B$14),""))</f>
        <v>0.625</v>
      </c>
      <c r="AJ752" s="47">
        <v>46081</v>
      </c>
      <c r="AK752" s="14">
        <f>IF($AX752="Cancelled","",IFERROR(IF(AJ752="","",IF(AND(AB752="",AF752=""),"",IF(AF752&gt;AB752,AF752+Variables!$B$15+Variables!$B$16+Variables!$B$17-AJ752,AB752+Variables!$B$16+Variables!$B$17-AJ752))),""))</f>
        <v>12</v>
      </c>
      <c r="AL752" s="48" t="s">
        <v>114</v>
      </c>
      <c r="AM752" s="13" t="s">
        <v>1526</v>
      </c>
      <c r="AN752" s="13" t="s">
        <v>1527</v>
      </c>
      <c r="AP752" s="31" t="e">
        <v>#N/A</v>
      </c>
      <c r="AR752" s="13" t="s">
        <v>2016</v>
      </c>
      <c r="AS752" s="31">
        <v>46093</v>
      </c>
      <c r="AU752" s="31">
        <v>46113</v>
      </c>
      <c r="AV752" s="13" t="s">
        <v>865</v>
      </c>
      <c r="AW752" s="31">
        <v>46129</v>
      </c>
      <c r="AX752" s="13" t="str">
        <f>IF(ISNUMBER(SEARCH("cancel",#REF!)),"Cancelled",IF(AND(AS752&lt;&gt;"",AU752&lt;&gt;"",AW752&lt;&gt;""),"Closed","Open"))</f>
        <v>Closed</v>
      </c>
      <c r="AY752" s="15" t="str">
        <f t="shared" si="33"/>
        <v>All dates received</v>
      </c>
      <c r="BD752" s="13">
        <f>IF($AX752="Cancelled","",IFERROR(IF(OR(AS752="",AJ752=""),"",(AJ752+Variables!$B$18-AS752)),""))</f>
        <v>3</v>
      </c>
      <c r="BE752" s="13">
        <f>IF($AX752="Cancelled","",IFERROR(IF(OR(AW752="",AS752=""),"",(AS752+Variables!$B$19)-AW752),""))</f>
        <v>-31</v>
      </c>
      <c r="BF752" s="44">
        <f>IF($AX752="Cancelled","",IFERROR(W752*INDEX(Variables!$B$7:$D$7,IFERROR(MATCH(IF($B752="Robusta","Robusta",(IF($B752="","Arabica",$B752))&amp;" - "&amp;(IF($C752="","Commercial",$C752))),Variables!$B$1:$D$1,0),1))*(BE752/365),""))</f>
        <v>-95.344290740521757</v>
      </c>
      <c r="BG752" s="44">
        <f>IF($AX752="Cancelled","",IFERROR((W752*INDEX(Variables!$B$7:$D$7,IFERROR(MATCH(IF($B752="Robusta","Robusta",(IF($B752="","Arabica",$B752))&amp;" - "&amp;(IF($C752="","Commercial",$C752))),Variables!$B$1:$D$1,0),1))*IFERROR(IF(AB752="","",(AVERAGE(E752:F752)-AB752)-Variables!$B$14),"")/365)+(L752/16.67*INDEX(Variables!$B$8:$D$8,IFERROR(MATCH(IF($B752="Robusta","Robusta",(IF($B752="","Arabica",$B752))&amp;" - "&amp;(IF($C752="","Commercial",$C752))),Variables!$B$1:$D$1,0),1))*IFERROR(IF(AB752="","",(AVERAGE(E752:F752)-AB752)-Variables!$B$14),""))+(W752*INDEX(Variables!$B$9:$D$9,IFERROR(MATCH(IF($B752="Robusta","Robusta",(IF($B752="","Arabica",$B752))&amp;" - "&amp;(IF($C752="","Commercial",$C752))),Variables!$B$1:$D$1,0),1))*IFERROR(IF(AB752="","",(AVERAGE(E752:F752)-AB752)-Variables!$B$14),"")/365),""))</f>
        <v>2.8845456179408084</v>
      </c>
      <c r="BH752" s="44">
        <f>IF($AX752="Cancelled","",IFERROR((W752*INDEX(Variables!$B$7:$D$7,IFERROR(MATCH(IF($B752="Robusta","Robusta",(IF($B752="","Arabica",$B752))&amp;" - "&amp;(IF($C752="","Commercial",$C752))),Variables!$B$1:$D$1,0),1))*AK752/365)+(L752/16.67*INDEX(Variables!$B$8:$D$8,IFERROR(MATCH(IF($B752="Robusta","Robusta",(IF($B752="","Arabica",$B752))&amp;" - "&amp;(IF($C752="","Commercial",$C752))),Variables!$B$1:$D$1,0),1))*AK752)+(W752*INDEX(Variables!$B$9:$D$9,IFERROR(MATCH(IF($B752="Robusta","Robusta",(IF($B752="","Arabica",$B752))&amp;" - "&amp;(IF($C752="","Commercial",$C752))),Variables!$B$1:$D$1,0),1))*AK752/365),""))</f>
        <v>55.383275864463528</v>
      </c>
      <c r="BI752" s="44">
        <f>IF($AX752="Cancelled","",IFERROR((W752*INDEX(Variables!$B$7:$D$7,IFERROR(MATCH(IF($B752="Robusta","Robusta",(IF($B752="","Arabica",$B752))&amp;" - "&amp;(IF($C752="","Commercial",$C752))),Variables!$B$1:$D$1,0),1))*BD752/365)+(L752/16.67*INDEX(Variables!$B$8:$D$8,IFERROR(MATCH(IF($B752="Robusta","Robusta",(IF($B752="","Arabica",$B752))&amp;" - "&amp;(IF($C752="","Commercial",$C752))),Variables!$B$1:$D$1,0),1))*BD752)+(W752*INDEX(Variables!$B$9:$D$9,IFERROR(MATCH(IF($B752="Robusta","Robusta",(IF($B752="","Arabica",$B752))&amp;" - "&amp;(IF($C752="","Commercial",$C752))),Variables!$B$1:$D$1,0),1))*BD752/365),""))</f>
        <v>13.845818966115882</v>
      </c>
      <c r="BJ752" s="44">
        <f t="shared" si="35"/>
        <v>-12</v>
      </c>
      <c r="BK752" s="44">
        <f>IF($AX752="Cancelled","",IFERROR(IF(BJ752="","",(W752*INDEX(Variables!$B$7:$D$7,IFERROR(MATCH(IF($B752="Robusta","Robusta",(IF($B752="","Arabica",$B752))&amp;" - "&amp;(IF($C752="","Commercial",$C752))),Variables!$B$1:$D$1,0),1))*(BJ752/365))+(W752*INDEX(Variables!$B$9:$D$9,IFERROR(MATCH(IF($B752="Robusta","Robusta",(IF($B752="","Arabica",$B752))&amp;" - "&amp;(IF($C752="","Commercial",$C752))),Variables!$B$1:$D$1,0),1))*(BJ752/365))+(INDEX(Variables!$B$8:$D$8,IFERROR(MATCH(IF($B752="Robusta","Robusta",(IF($B752="","Arabica",$B752))&amp;" - "&amp;(IF($C752="","Commercial",$C752))),Variables!$B$1:$D$1,0),1))*L752/16.67)),""))</f>
        <v>-35.883275864463521</v>
      </c>
    </row>
    <row r="753" spans="1:63">
      <c r="A753" s="13" t="s">
        <v>103</v>
      </c>
      <c r="B753" s="13" t="s">
        <v>104</v>
      </c>
      <c r="C753" s="13" t="s">
        <v>292</v>
      </c>
      <c r="D753" s="31">
        <v>46049</v>
      </c>
      <c r="E753" s="31">
        <v>46054</v>
      </c>
      <c r="F753" s="31">
        <v>46081</v>
      </c>
      <c r="G753" s="13">
        <v>3787194</v>
      </c>
      <c r="J753" s="13" t="s">
        <v>1641</v>
      </c>
      <c r="K753" s="13" t="s">
        <v>2029</v>
      </c>
      <c r="L753" s="13">
        <v>7</v>
      </c>
      <c r="M753" s="13">
        <v>0</v>
      </c>
      <c r="N753" s="13" t="s">
        <v>2030</v>
      </c>
      <c r="O753" s="13" t="s">
        <v>775</v>
      </c>
      <c r="P753" s="13">
        <v>10030</v>
      </c>
      <c r="R753" s="13" t="s">
        <v>239</v>
      </c>
      <c r="S753" s="13" t="s">
        <v>776</v>
      </c>
      <c r="T753" s="13" t="s">
        <v>777</v>
      </c>
      <c r="U753" s="13" t="s">
        <v>125</v>
      </c>
      <c r="V753" s="13">
        <v>136</v>
      </c>
      <c r="W753" s="44">
        <f>IF($AX753="Cancelled","",IFERROR(((V753+INDEX(Variables!$B$6:$D$6,IFERROR(MATCH(IF($B753="Robusta","Robusta",(IF($B753="","Arabica",$B753))&amp;" - "&amp;(IF($C753="","Commercial",$C753))),Variables!$B$1:$D$1,0),1)))*22.0462)*(L753/16.67),""))</f>
        <v>3951.1234025194954</v>
      </c>
      <c r="X753" s="55" t="s">
        <v>39</v>
      </c>
      <c r="Y753" s="13" t="str">
        <f>IF($AX753="Cancelled","",IF(X753="","",IFERROR(IF(INDEX(Variables!$B$38:$B$47,MATCH(X753,Variables!$A$38:$A$47,0))="Yes","Yes","No"),"No")))</f>
        <v>No</v>
      </c>
      <c r="Z753" s="31"/>
      <c r="AB753" s="31">
        <v>46036.875</v>
      </c>
      <c r="AC753" s="13" t="str">
        <f t="shared" si="34"/>
        <v>Approved</v>
      </c>
      <c r="AF753" s="71">
        <v>46076</v>
      </c>
      <c r="AG753" s="31">
        <f>IF($AX753="Cancelled","",IFERROR(IF(F753="","",F753-Variables!$B$13),""))</f>
        <v>46066</v>
      </c>
      <c r="AH753" s="13">
        <f>IF($AX753="Cancelled","",IFERROR(IF(AB753="","",(AVERAGE(E753:F753)-AB753)-Variables!$B$14),""))</f>
        <v>0.625</v>
      </c>
      <c r="AJ753" s="47">
        <v>46081</v>
      </c>
      <c r="AK753" s="14">
        <f>IF($AX753="Cancelled","",IFERROR(IF(AJ753="","",IF(AND(AB753="",AF753=""),"",IF(AF753&gt;AB753,AF753+Variables!$B$15+Variables!$B$16+Variables!$B$17-AJ753,AB753+Variables!$B$16+Variables!$B$17-AJ753))),""))</f>
        <v>10</v>
      </c>
      <c r="AL753" s="48" t="s">
        <v>114</v>
      </c>
      <c r="AM753" s="13" t="s">
        <v>1526</v>
      </c>
      <c r="AN753" s="13" t="s">
        <v>1527</v>
      </c>
      <c r="AP753" s="31" t="e">
        <v>#N/A</v>
      </c>
      <c r="AR753" s="13" t="s">
        <v>1902</v>
      </c>
      <c r="AS753" s="31">
        <v>46093</v>
      </c>
      <c r="AU753" s="31">
        <v>46113</v>
      </c>
      <c r="AV753" s="13" t="s">
        <v>865</v>
      </c>
      <c r="AW753" s="31">
        <v>46129</v>
      </c>
      <c r="AX753" s="13" t="str">
        <f>IF(ISNUMBER(SEARCH("cancel",#REF!)),"Cancelled",IF(AND(AS753&lt;&gt;"",AU753&lt;&gt;"",AW753&lt;&gt;""),"Closed","Open"))</f>
        <v>Closed</v>
      </c>
      <c r="AY753" s="15" t="str">
        <f t="shared" si="33"/>
        <v>All dates received</v>
      </c>
      <c r="BD753" s="13">
        <f>IF($AX753="Cancelled","",IFERROR(IF(OR(AS753="",AJ753=""),"",(AJ753+Variables!$B$18-AS753)),""))</f>
        <v>3</v>
      </c>
      <c r="BE753" s="13">
        <f>IF($AX753="Cancelled","",IFERROR(IF(OR(AW753="",AS753=""),"",(AS753+Variables!$B$19)-AW753),""))</f>
        <v>-31</v>
      </c>
      <c r="BF753" s="44">
        <f>IF($AX753="Cancelled","",IFERROR(W753*INDEX(Variables!$B$7:$D$7,IFERROR(MATCH(IF($B753="Robusta","Robusta",(IF($B753="","Arabica",$B753))&amp;" - "&amp;(IF($C753="","Commercial",$C753))),Variables!$B$1:$D$1,0),1))*(BE753/365),""))</f>
        <v>-21.638605516285537</v>
      </c>
      <c r="BG753" s="44">
        <f>IF($AX753="Cancelled","",IFERROR((W753*INDEX(Variables!$B$7:$D$7,IFERROR(MATCH(IF($B753="Robusta","Robusta",(IF($B753="","Arabica",$B753))&amp;" - "&amp;(IF($C753="","Commercial",$C753))),Variables!$B$1:$D$1,0),1))*IFERROR(IF(AB753="","",(AVERAGE(E753:F753)-AB753)-Variables!$B$14),"")/365)+(L753/16.67*INDEX(Variables!$B$8:$D$8,IFERROR(MATCH(IF($B753="Robusta","Robusta",(IF($B753="","Arabica",$B753))&amp;" - "&amp;(IF($C753="","Commercial",$C753))),Variables!$B$1:$D$1,0),1))*IFERROR(IF(AB753="","",(AVERAGE(E753:F753)-AB753)-Variables!$B$14),""))+(W753*INDEX(Variables!$B$9:$D$9,IFERROR(MATCH(IF($B753="Robusta","Robusta",(IF($B753="","Arabica",$B753))&amp;" - "&amp;(IF($C753="","Commercial",$C753))),Variables!$B$1:$D$1,0),1))*IFERROR(IF(AB753="","",(AVERAGE(E753:F753)-AB753)-Variables!$B$14),"")/365),""))</f>
        <v>0.66063646977817991</v>
      </c>
      <c r="BH753" s="44">
        <f>IF($AX753="Cancelled","",IFERROR((W753*INDEX(Variables!$B$7:$D$7,IFERROR(MATCH(IF($B753="Robusta","Robusta",(IF($B753="","Arabica",$B753))&amp;" - "&amp;(IF($C753="","Commercial",$C753))),Variables!$B$1:$D$1,0),1))*AK753/365)+(L753/16.67*INDEX(Variables!$B$8:$D$8,IFERROR(MATCH(IF($B753="Robusta","Robusta",(IF($B753="","Arabica",$B753))&amp;" - "&amp;(IF($C753="","Commercial",$C753))),Variables!$B$1:$D$1,0),1))*AK753)+(W753*INDEX(Variables!$B$9:$D$9,IFERROR(MATCH(IF($B753="Robusta","Robusta",(IF($B753="","Arabica",$B753))&amp;" - "&amp;(IF($C753="","Commercial",$C753))),Variables!$B$1:$D$1,0),1))*AK753/365),""))</f>
        <v>10.570183516450879</v>
      </c>
      <c r="BI753" s="44">
        <f>IF($AX753="Cancelled","",IFERROR((W753*INDEX(Variables!$B$7:$D$7,IFERROR(MATCH(IF($B753="Robusta","Robusta",(IF($B753="","Arabica",$B753))&amp;" - "&amp;(IF($C753="","Commercial",$C753))),Variables!$B$1:$D$1,0),1))*BD753/365)+(L753/16.67*INDEX(Variables!$B$8:$D$8,IFERROR(MATCH(IF($B753="Robusta","Robusta",(IF($B753="","Arabica",$B753))&amp;" - "&amp;(IF($C753="","Commercial",$C753))),Variables!$B$1:$D$1,0),1))*BD753)+(W753*INDEX(Variables!$B$9:$D$9,IFERROR(MATCH(IF($B753="Robusta","Robusta",(IF($B753="","Arabica",$B753))&amp;" - "&amp;(IF($C753="","Commercial",$C753))),Variables!$B$1:$D$1,0),1))*BD753/365),""))</f>
        <v>3.1710550549352634</v>
      </c>
      <c r="BJ753" s="44">
        <f t="shared" si="35"/>
        <v>-12</v>
      </c>
      <c r="BK753" s="44">
        <f>IF($AX753="Cancelled","",IFERROR(IF(BJ753="","",(W753*INDEX(Variables!$B$7:$D$7,IFERROR(MATCH(IF($B753="Robusta","Robusta",(IF($B753="","Arabica",$B753))&amp;" - "&amp;(IF($C753="","Commercial",$C753))),Variables!$B$1:$D$1,0),1))*(BJ753/365))+(W753*INDEX(Variables!$B$9:$D$9,IFERROR(MATCH(IF($B753="Robusta","Robusta",(IF($B753="","Arabica",$B753))&amp;" - "&amp;(IF($C753="","Commercial",$C753))),Variables!$B$1:$D$1,0),1))*(BJ753/365))+(INDEX(Variables!$B$8:$D$8,IFERROR(MATCH(IF($B753="Robusta","Robusta",(IF($B753="","Arabica",$B753))&amp;" - "&amp;(IF($C753="","Commercial",$C753))),Variables!$B$1:$D$1,0),1))*L753/16.67)),""))</f>
        <v>-8.1342202197410529</v>
      </c>
    </row>
    <row r="754" spans="1:63">
      <c r="A754" s="13" t="s">
        <v>103</v>
      </c>
      <c r="B754" s="13" t="s">
        <v>104</v>
      </c>
      <c r="C754" s="13" t="s">
        <v>292</v>
      </c>
      <c r="D754" s="31">
        <v>46049</v>
      </c>
      <c r="E754" s="31">
        <v>46054</v>
      </c>
      <c r="F754" s="31">
        <v>46081</v>
      </c>
      <c r="G754" s="13">
        <v>3787195</v>
      </c>
      <c r="J754" s="13" t="s">
        <v>1641</v>
      </c>
      <c r="K754" s="13" t="s">
        <v>2031</v>
      </c>
      <c r="L754" s="13">
        <v>8</v>
      </c>
      <c r="M754" s="13">
        <v>0</v>
      </c>
      <c r="N754" s="13" t="s">
        <v>2032</v>
      </c>
      <c r="O754" s="13" t="s">
        <v>576</v>
      </c>
      <c r="P754" s="13">
        <v>10020</v>
      </c>
      <c r="R754" s="13" t="s">
        <v>384</v>
      </c>
      <c r="S754" s="13" t="s">
        <v>776</v>
      </c>
      <c r="T754" s="13" t="s">
        <v>777</v>
      </c>
      <c r="U754" s="13" t="s">
        <v>125</v>
      </c>
      <c r="V754" s="13">
        <v>171</v>
      </c>
      <c r="W754" s="44">
        <f>IF($AX754="Cancelled","",IFERROR(((V754+INDEX(Variables!$B$6:$D$6,IFERROR(MATCH(IF($B754="Robusta","Robusta",(IF($B754="","Arabica",$B754))&amp;" - "&amp;(IF($C754="","Commercial",$C754))),Variables!$B$1:$D$1,0),1)))*22.0462)*(L754/16.67),""))</f>
        <v>4885.8717024595071</v>
      </c>
      <c r="X754" s="55" t="s">
        <v>39</v>
      </c>
      <c r="Y754" s="13" t="str">
        <f>IF($AX754="Cancelled","",IF(X754="","",IFERROR(IF(INDEX(Variables!$B$38:$B$47,MATCH(X754,Variables!$A$38:$A$47,0))="Yes","Yes","No"),"No")))</f>
        <v>No</v>
      </c>
      <c r="Z754" s="31"/>
      <c r="AB754" s="31">
        <v>46036.875</v>
      </c>
      <c r="AC754" s="13" t="str">
        <f t="shared" si="34"/>
        <v>Approved</v>
      </c>
      <c r="AF754" s="71">
        <v>46076</v>
      </c>
      <c r="AG754" s="31">
        <f>IF($AX754="Cancelled","",IFERROR(IF(F754="","",F754-Variables!$B$13),""))</f>
        <v>46066</v>
      </c>
      <c r="AH754" s="13">
        <f>IF($AX754="Cancelled","",IFERROR(IF(AB754="","",(AVERAGE(E754:F754)-AB754)-Variables!$B$14),""))</f>
        <v>0.625</v>
      </c>
      <c r="AJ754" s="47">
        <v>46081</v>
      </c>
      <c r="AK754" s="14">
        <f>IF($AX754="Cancelled","",IFERROR(IF(AJ754="","",IF(AND(AB754="",AF754=""),"",IF(AF754&gt;AB754,AF754+Variables!$B$15+Variables!$B$16+Variables!$B$17-AJ754,AB754+Variables!$B$16+Variables!$B$17-AJ754))),""))</f>
        <v>10</v>
      </c>
      <c r="AL754" s="48" t="s">
        <v>114</v>
      </c>
      <c r="AM754" s="13" t="s">
        <v>1526</v>
      </c>
      <c r="AN754" s="13" t="s">
        <v>1527</v>
      </c>
      <c r="AP754" s="31" t="e">
        <v>#N/A</v>
      </c>
      <c r="AR754" s="13" t="s">
        <v>1902</v>
      </c>
      <c r="AS754" s="31">
        <v>46093</v>
      </c>
      <c r="AU754" s="31">
        <v>46113</v>
      </c>
      <c r="AV754" s="13" t="s">
        <v>865</v>
      </c>
      <c r="AW754" s="31">
        <v>46129</v>
      </c>
      <c r="AX754" s="13" t="str">
        <f>IF(ISNUMBER(SEARCH("cancel",#REF!)),"Cancelled",IF(AND(AS754&lt;&gt;"",AU754&lt;&gt;"",AW754&lt;&gt;""),"Closed","Open"))</f>
        <v>Closed</v>
      </c>
      <c r="AY754" s="15" t="str">
        <f t="shared" si="33"/>
        <v>All dates received</v>
      </c>
      <c r="BD754" s="13">
        <f>IF($AX754="Cancelled","",IFERROR(IF(OR(AS754="",AJ754=""),"",(AJ754+Variables!$B$18-AS754)),""))</f>
        <v>3</v>
      </c>
      <c r="BE754" s="13">
        <f>IF($AX754="Cancelled","",IFERROR(IF(OR(AW754="",AS754=""),"",(AS754+Variables!$B$19)-AW754),""))</f>
        <v>-31</v>
      </c>
      <c r="BF754" s="44">
        <f>IF($AX754="Cancelled","",IFERROR(W754*INDEX(Variables!$B$7:$D$7,IFERROR(MATCH(IF($B754="Robusta","Robusta",(IF($B754="","Arabica",$B754))&amp;" - "&amp;(IF($C754="","Commercial",$C754))),Variables!$B$1:$D$1,0),1))*(BE754/365),""))</f>
        <v>-26.757820397431146</v>
      </c>
      <c r="BG754" s="44">
        <f>IF($AX754="Cancelled","",IFERROR((W754*INDEX(Variables!$B$7:$D$7,IFERROR(MATCH(IF($B754="Robusta","Robusta",(IF($B754="","Arabica",$B754))&amp;" - "&amp;(IF($C754="","Commercial",$C754))),Variables!$B$1:$D$1,0),1))*IFERROR(IF(AB754="","",(AVERAGE(E754:F754)-AB754)-Variables!$B$14),"")/365)+(L754/16.67*INDEX(Variables!$B$8:$D$8,IFERROR(MATCH(IF($B754="Robusta","Robusta",(IF($B754="","Arabica",$B754))&amp;" - "&amp;(IF($C754="","Commercial",$C754))),Variables!$B$1:$D$1,0),1))*IFERROR(IF(AB754="","",(AVERAGE(E754:F754)-AB754)-Variables!$B$14),""))+(W754*INDEX(Variables!$B$9:$D$9,IFERROR(MATCH(IF($B754="Robusta","Robusta",(IF($B754="","Arabica",$B754))&amp;" - "&amp;(IF($C754="","Commercial",$C754))),Variables!$B$1:$D$1,0),1))*IFERROR(IF(AB754="","",(AVERAGE(E754:F754)-AB754)-Variables!$B$14),"")/365),""))</f>
        <v>0.79642702301128254</v>
      </c>
      <c r="BH754" s="44">
        <f>IF($AX754="Cancelled","",IFERROR((W754*INDEX(Variables!$B$7:$D$7,IFERROR(MATCH(IF($B754="Robusta","Robusta",(IF($B754="","Arabica",$B754))&amp;" - "&amp;(IF($C754="","Commercial",$C754))),Variables!$B$1:$D$1,0),1))*AK754/365)+(L754/16.67*INDEX(Variables!$B$8:$D$8,IFERROR(MATCH(IF($B754="Robusta","Robusta",(IF($B754="","Arabica",$B754))&amp;" - "&amp;(IF($C754="","Commercial",$C754))),Variables!$B$1:$D$1,0),1))*AK754)+(W754*INDEX(Variables!$B$9:$D$9,IFERROR(MATCH(IF($B754="Robusta","Robusta",(IF($B754="","Arabica",$B754))&amp;" - "&amp;(IF($C754="","Commercial",$C754))),Variables!$B$1:$D$1,0),1))*AK754/365),""))</f>
        <v>12.742832368180521</v>
      </c>
      <c r="BI754" s="44">
        <f>IF($AX754="Cancelled","",IFERROR((W754*INDEX(Variables!$B$7:$D$7,IFERROR(MATCH(IF($B754="Robusta","Robusta",(IF($B754="","Arabica",$B754))&amp;" - "&amp;(IF($C754="","Commercial",$C754))),Variables!$B$1:$D$1,0),1))*BD754/365)+(L754/16.67*INDEX(Variables!$B$8:$D$8,IFERROR(MATCH(IF($B754="Robusta","Robusta",(IF($B754="","Arabica",$B754))&amp;" - "&amp;(IF($C754="","Commercial",$C754))),Variables!$B$1:$D$1,0),1))*BD754)+(W754*INDEX(Variables!$B$9:$D$9,IFERROR(MATCH(IF($B754="Robusta","Robusta",(IF($B754="","Arabica",$B754))&amp;" - "&amp;(IF($C754="","Commercial",$C754))),Variables!$B$1:$D$1,0),1))*BD754/365),""))</f>
        <v>3.822849710454157</v>
      </c>
      <c r="BJ754" s="44">
        <f t="shared" si="35"/>
        <v>-12</v>
      </c>
      <c r="BK754" s="44">
        <f>IF($AX754="Cancelled","",IFERROR(IF(BJ754="","",(W754*INDEX(Variables!$B$7:$D$7,IFERROR(MATCH(IF($B754="Robusta","Robusta",(IF($B754="","Arabica",$B754))&amp;" - "&amp;(IF($C754="","Commercial",$C754))),Variables!$B$1:$D$1,0),1))*(BJ754/365))+(W754*INDEX(Variables!$B$9:$D$9,IFERROR(MATCH(IF($B754="Robusta","Robusta",(IF($B754="","Arabica",$B754))&amp;" - "&amp;(IF($C754="","Commercial",$C754))),Variables!$B$1:$D$1,0),1))*(BJ754/365))+(INDEX(Variables!$B$8:$D$8,IFERROR(MATCH(IF($B754="Robusta","Robusta",(IF($B754="","Arabica",$B754))&amp;" - "&amp;(IF($C754="","Commercial",$C754))),Variables!$B$1:$D$1,0),1))*L754/16.67)),""))</f>
        <v>-10.091398841816625</v>
      </c>
    </row>
    <row r="755" spans="1:63">
      <c r="A755" s="13" t="s">
        <v>103</v>
      </c>
      <c r="B755" s="13" t="s">
        <v>104</v>
      </c>
      <c r="C755" s="13" t="s">
        <v>292</v>
      </c>
      <c r="D755" s="31">
        <v>46049</v>
      </c>
      <c r="E755" s="31">
        <v>46054</v>
      </c>
      <c r="F755" s="31">
        <v>46081</v>
      </c>
      <c r="G755" s="13">
        <v>3787196</v>
      </c>
      <c r="J755" s="13" t="s">
        <v>1641</v>
      </c>
      <c r="K755" s="13" t="s">
        <v>2033</v>
      </c>
      <c r="L755" s="13">
        <v>8</v>
      </c>
      <c r="M755" s="13">
        <v>0</v>
      </c>
      <c r="N755" s="13" t="s">
        <v>2034</v>
      </c>
      <c r="O755" s="13" t="s">
        <v>584</v>
      </c>
      <c r="P755" s="13">
        <v>10040</v>
      </c>
      <c r="R755" s="13" t="s">
        <v>239</v>
      </c>
      <c r="S755" s="13" t="s">
        <v>776</v>
      </c>
      <c r="T755" s="13" t="s">
        <v>777</v>
      </c>
      <c r="U755" s="13" t="s">
        <v>125</v>
      </c>
      <c r="V755" s="13">
        <v>139</v>
      </c>
      <c r="W755" s="44">
        <f>IF($AX755="Cancelled","",IFERROR(((V755+INDEX(Variables!$B$6:$D$6,IFERROR(MATCH(IF($B755="Robusta","Robusta",(IF($B755="","Arabica",$B755))&amp;" - "&amp;(IF($C755="","Commercial",$C755))),Variables!$B$1:$D$1,0),1)))*22.0462)*(L755/16.67),""))</f>
        <v>4547.3097828434302</v>
      </c>
      <c r="X755" s="55" t="s">
        <v>39</v>
      </c>
      <c r="Y755" s="13" t="str">
        <f>IF($AX755="Cancelled","",IF(X755="","",IFERROR(IF(INDEX(Variables!$B$38:$B$47,MATCH(X755,Variables!$A$38:$A$47,0))="Yes","Yes","No"),"No")))</f>
        <v>No</v>
      </c>
      <c r="Z755" s="31"/>
      <c r="AB755" s="31">
        <v>46036.875</v>
      </c>
      <c r="AC755" s="13" t="str">
        <f t="shared" si="34"/>
        <v>Approved</v>
      </c>
      <c r="AF755" s="71">
        <v>46076</v>
      </c>
      <c r="AG755" s="31">
        <f>IF($AX755="Cancelled","",IFERROR(IF(F755="","",F755-Variables!$B$13),""))</f>
        <v>46066</v>
      </c>
      <c r="AH755" s="13">
        <f>IF($AX755="Cancelled","",IFERROR(IF(AB755="","",(AVERAGE(E755:F755)-AB755)-Variables!$B$14),""))</f>
        <v>0.625</v>
      </c>
      <c r="AJ755" s="47">
        <v>46081</v>
      </c>
      <c r="AK755" s="14">
        <f>IF($AX755="Cancelled","",IFERROR(IF(AJ755="","",IF(AND(AB755="",AF755=""),"",IF(AF755&gt;AB755,AF755+Variables!$B$15+Variables!$B$16+Variables!$B$17-AJ755,AB755+Variables!$B$16+Variables!$B$17-AJ755))),""))</f>
        <v>10</v>
      </c>
      <c r="AL755" s="48" t="s">
        <v>114</v>
      </c>
      <c r="AM755" s="13" t="s">
        <v>1526</v>
      </c>
      <c r="AN755" s="13" t="s">
        <v>1527</v>
      </c>
      <c r="AP755" s="31" t="e">
        <v>#N/A</v>
      </c>
      <c r="AR755" s="13" t="s">
        <v>1902</v>
      </c>
      <c r="AS755" s="31">
        <v>46093</v>
      </c>
      <c r="AU755" s="31">
        <v>46113</v>
      </c>
      <c r="AV755" s="13" t="s">
        <v>865</v>
      </c>
      <c r="AW755" s="31">
        <v>46129</v>
      </c>
      <c r="AX755" s="13" t="str">
        <f>IF(ISNUMBER(SEARCH("cancel",#REF!)),"Cancelled",IF(AND(AS755&lt;&gt;"",AU755&lt;&gt;"",AW755&lt;&gt;""),"Closed","Open"))</f>
        <v>Closed</v>
      </c>
      <c r="AY755" s="15" t="str">
        <f t="shared" si="33"/>
        <v>All dates received</v>
      </c>
      <c r="BD755" s="13">
        <f>IF($AX755="Cancelled","",IFERROR(IF(OR(AS755="",AJ755=""),"",(AJ755+Variables!$B$18-AS755)),""))</f>
        <v>3</v>
      </c>
      <c r="BE755" s="13">
        <f>IF($AX755="Cancelled","",IFERROR(IF(OR(AW755="",AS755=""),"",(AS755+Variables!$B$19)-AW755),""))</f>
        <v>-31</v>
      </c>
      <c r="BF755" s="44">
        <f>IF($AX755="Cancelled","",IFERROR(W755*INDEX(Variables!$B$7:$D$7,IFERROR(MATCH(IF($B755="Robusta","Robusta",(IF($B755="","Arabica",$B755))&amp;" - "&amp;(IF($C755="","Commercial",$C755))),Variables!$B$1:$D$1,0),1))*(BE755/365),""))</f>
        <v>-24.90366220618429</v>
      </c>
      <c r="BG755" s="44">
        <f>IF($AX755="Cancelled","",IFERROR((W755*INDEX(Variables!$B$7:$D$7,IFERROR(MATCH(IF($B755="Robusta","Robusta",(IF($B755="","Arabica",$B755))&amp;" - "&amp;(IF($C755="","Commercial",$C755))),Variables!$B$1:$D$1,0),1))*IFERROR(IF(AB755="","",(AVERAGE(E755:F755)-AB755)-Variables!$B$14),"")/365)+(L755/16.67*INDEX(Variables!$B$8:$D$8,IFERROR(MATCH(IF($B755="Robusta","Robusta",(IF($B755="","Arabica",$B755))&amp;" - "&amp;(IF($C755="","Commercial",$C755))),Variables!$B$1:$D$1,0),1))*IFERROR(IF(AB755="","",(AVERAGE(E755:F755)-AB755)-Variables!$B$14),""))+(W755*INDEX(Variables!$B$9:$D$9,IFERROR(MATCH(IF($B755="Robusta","Robusta",(IF($B755="","Arabica",$B755))&amp;" - "&amp;(IF($C755="","Commercial",$C755))),Variables!$B$1:$D$1,0),1))*IFERROR(IF(AB755="","",(AVERAGE(E755:F755)-AB755)-Variables!$B$14),"")/365),""))</f>
        <v>0.75856287243449394</v>
      </c>
      <c r="BH755" s="44">
        <f>IF($AX755="Cancelled","",IFERROR((W755*INDEX(Variables!$B$7:$D$7,IFERROR(MATCH(IF($B755="Robusta","Robusta",(IF($B755="","Arabica",$B755))&amp;" - "&amp;(IF($C755="","Commercial",$C755))),Variables!$B$1:$D$1,0),1))*AK755/365)+(L755/16.67*INDEX(Variables!$B$8:$D$8,IFERROR(MATCH(IF($B755="Robusta","Robusta",(IF($B755="","Arabica",$B755))&amp;" - "&amp;(IF($C755="","Commercial",$C755))),Variables!$B$1:$D$1,0),1))*AK755)+(W755*INDEX(Variables!$B$9:$D$9,IFERROR(MATCH(IF($B755="Robusta","Robusta",(IF($B755="","Arabica",$B755))&amp;" - "&amp;(IF($C755="","Commercial",$C755))),Variables!$B$1:$D$1,0),1))*AK755/365),""))</f>
        <v>12.137005958951903</v>
      </c>
      <c r="BI755" s="44">
        <f>IF($AX755="Cancelled","",IFERROR((W755*INDEX(Variables!$B$7:$D$7,IFERROR(MATCH(IF($B755="Robusta","Robusta",(IF($B755="","Arabica",$B755))&amp;" - "&amp;(IF($C755="","Commercial",$C755))),Variables!$B$1:$D$1,0),1))*BD755/365)+(L755/16.67*INDEX(Variables!$B$8:$D$8,IFERROR(MATCH(IF($B755="Robusta","Robusta",(IF($B755="","Arabica",$B755))&amp;" - "&amp;(IF($C755="","Commercial",$C755))),Variables!$B$1:$D$1,0),1))*BD755)+(W755*INDEX(Variables!$B$9:$D$9,IFERROR(MATCH(IF($B755="Robusta","Robusta",(IF($B755="","Arabica",$B755))&amp;" - "&amp;(IF($C755="","Commercial",$C755))),Variables!$B$1:$D$1,0),1))*BD755/365),""))</f>
        <v>3.6411017876855709</v>
      </c>
      <c r="BJ755" s="44">
        <f t="shared" si="35"/>
        <v>-12</v>
      </c>
      <c r="BK755" s="44">
        <f>IF($AX755="Cancelled","",IFERROR(IF(BJ755="","",(W755*INDEX(Variables!$B$7:$D$7,IFERROR(MATCH(IF($B755="Robusta","Robusta",(IF($B755="","Arabica",$B755))&amp;" - "&amp;(IF($C755="","Commercial",$C755))),Variables!$B$1:$D$1,0),1))*(BJ755/365))+(W755*INDEX(Variables!$B$9:$D$9,IFERROR(MATCH(IF($B755="Robusta","Robusta",(IF($B755="","Arabica",$B755))&amp;" - "&amp;(IF($C755="","Commercial",$C755))),Variables!$B$1:$D$1,0),1))*(BJ755/365))+(INDEX(Variables!$B$8:$D$8,IFERROR(MATCH(IF($B755="Robusta","Robusta",(IF($B755="","Arabica",$B755))&amp;" - "&amp;(IF($C755="","Commercial",$C755))),Variables!$B$1:$D$1,0),1))*L755/16.67)),""))</f>
        <v>-9.3644071507422808</v>
      </c>
    </row>
    <row r="756" spans="1:63">
      <c r="A756" s="13" t="s">
        <v>103</v>
      </c>
      <c r="B756" s="13" t="s">
        <v>104</v>
      </c>
      <c r="C756" s="13" t="s">
        <v>292</v>
      </c>
      <c r="D756" s="31">
        <v>46049</v>
      </c>
      <c r="E756" s="31">
        <v>46054</v>
      </c>
      <c r="F756" s="31">
        <v>46081</v>
      </c>
      <c r="G756" s="13">
        <v>3787197</v>
      </c>
      <c r="J756" s="13" t="s">
        <v>1641</v>
      </c>
      <c r="K756" s="13" t="s">
        <v>2035</v>
      </c>
      <c r="L756" s="13">
        <v>3</v>
      </c>
      <c r="M756" s="13">
        <v>0</v>
      </c>
      <c r="N756" s="13" t="s">
        <v>2036</v>
      </c>
      <c r="O756" s="13" t="s">
        <v>584</v>
      </c>
      <c r="P756" s="13">
        <v>10040</v>
      </c>
      <c r="R756" s="13" t="s">
        <v>110</v>
      </c>
      <c r="S756" s="13" t="s">
        <v>776</v>
      </c>
      <c r="T756" s="13" t="s">
        <v>777</v>
      </c>
      <c r="U756" s="13" t="s">
        <v>125</v>
      </c>
      <c r="V756" s="13">
        <v>110</v>
      </c>
      <c r="W756" s="44">
        <f>IF($AX756="Cancelled","",IFERROR(((V756+INDEX(Variables!$B$6:$D$6,IFERROR(MATCH(IF($B756="Robusta","Robusta",(IF($B756="","Arabica",$B756))&amp;" - "&amp;(IF($C756="","Commercial",$C756))),Variables!$B$1:$D$1,0),1)))*22.0462)*(L756/16.67),""))</f>
        <v>1590.1830161967603</v>
      </c>
      <c r="X756" s="55" t="s">
        <v>39</v>
      </c>
      <c r="Y756" s="13" t="str">
        <f>IF($AX756="Cancelled","",IF(X756="","",IFERROR(IF(INDEX(Variables!$B$38:$B$47,MATCH(X756,Variables!$A$38:$A$47,0))="Yes","Yes","No"),"No")))</f>
        <v>No</v>
      </c>
      <c r="Z756" s="31"/>
      <c r="AB756" s="31">
        <v>46036.875</v>
      </c>
      <c r="AC756" s="13" t="str">
        <f t="shared" si="34"/>
        <v>Approved</v>
      </c>
      <c r="AF756" s="71">
        <v>46077</v>
      </c>
      <c r="AG756" s="31">
        <f>IF($AX756="Cancelled","",IFERROR(IF(F756="","",F756-Variables!$B$13),""))</f>
        <v>46066</v>
      </c>
      <c r="AH756" s="13">
        <f>IF($AX756="Cancelled","",IFERROR(IF(AB756="","",(AVERAGE(E756:F756)-AB756)-Variables!$B$14),""))</f>
        <v>0.625</v>
      </c>
      <c r="AJ756" s="47">
        <v>46095</v>
      </c>
      <c r="AK756" s="14">
        <f>IF($AX756="Cancelled","",IFERROR(IF(AJ756="","",IF(AND(AB756="",AF756=""),"",IF(AF756&gt;AB756,AF756+Variables!$B$15+Variables!$B$16+Variables!$B$17-AJ756,AB756+Variables!$B$16+Variables!$B$17-AJ756))),""))</f>
        <v>-3</v>
      </c>
      <c r="AL756" s="48" t="s">
        <v>114</v>
      </c>
      <c r="AM756" s="13" t="s">
        <v>1526</v>
      </c>
      <c r="AN756" s="13" t="s">
        <v>1925</v>
      </c>
      <c r="AP756" s="31" t="e">
        <v>#N/A</v>
      </c>
      <c r="AR756" s="13" t="s">
        <v>1926</v>
      </c>
      <c r="AS756" s="31">
        <v>46117</v>
      </c>
      <c r="AU756" s="31">
        <v>46128</v>
      </c>
      <c r="AV756" s="13" t="s">
        <v>865</v>
      </c>
      <c r="AW756" s="31">
        <v>46142</v>
      </c>
      <c r="AX756" s="13" t="str">
        <f>IF(ISNUMBER(SEARCH("cancel",#REF!)),"Cancelled",IF(AND(AS756&lt;&gt;"",AU756&lt;&gt;"",AW756&lt;&gt;""),"Closed","Open"))</f>
        <v>Closed</v>
      </c>
      <c r="AY756" s="15" t="str">
        <f t="shared" si="33"/>
        <v>All dates received</v>
      </c>
      <c r="BD756" s="13">
        <f>IF($AX756="Cancelled","",IFERROR(IF(OR(AS756="",AJ756=""),"",(AJ756+Variables!$B$18-AS756)),""))</f>
        <v>-7</v>
      </c>
      <c r="BE756" s="13">
        <f>IF($AX756="Cancelled","",IFERROR(IF(OR(AW756="",AS756=""),"",(AS756+Variables!$B$19)-AW756),""))</f>
        <v>-20</v>
      </c>
      <c r="BF756" s="44">
        <f>IF($AX756="Cancelled","",IFERROR(W756*INDEX(Variables!$B$7:$D$7,IFERROR(MATCH(IF($B756="Robusta","Robusta",(IF($B756="","Arabica",$B756))&amp;" - "&amp;(IF($C756="","Commercial",$C756))),Variables!$B$1:$D$1,0),1))*(BE756/365),""))</f>
        <v>-5.6185479061371355</v>
      </c>
      <c r="BG756" s="44">
        <f>IF($AX756="Cancelled","",IFERROR((W756*INDEX(Variables!$B$7:$D$7,IFERROR(MATCH(IF($B756="Robusta","Robusta",(IF($B756="","Arabica",$B756))&amp;" - "&amp;(IF($C756="","Commercial",$C756))),Variables!$B$1:$D$1,0),1))*IFERROR(IF(AB756="","",(AVERAGE(E756:F756)-AB756)-Variables!$B$14),"")/365)+(L756/16.67*INDEX(Variables!$B$8:$D$8,IFERROR(MATCH(IF($B756="Robusta","Robusta",(IF($B756="","Arabica",$B756))&amp;" - "&amp;(IF($C756="","Commercial",$C756))),Variables!$B$1:$D$1,0),1))*IFERROR(IF(AB756="","",(AVERAGE(E756:F756)-AB756)-Variables!$B$14),""))+(W756*INDEX(Variables!$B$9:$D$9,IFERROR(MATCH(IF($B756="Robusta","Robusta",(IF($B756="","Arabica",$B756))&amp;" - "&amp;(IF($C756="","Commercial",$C756))),Variables!$B$1:$D$1,0),1))*IFERROR(IF(AB756="","",(AVERAGE(E756:F756)-AB756)-Variables!$B$14),"")/365),""))</f>
        <v>0.27159318224035461</v>
      </c>
      <c r="BH756" s="44">
        <f>IF($AX756="Cancelled","",IFERROR((W756*INDEX(Variables!$B$7:$D$7,IFERROR(MATCH(IF($B756="Robusta","Robusta",(IF($B756="","Arabica",$B756))&amp;" - "&amp;(IF($C756="","Commercial",$C756))),Variables!$B$1:$D$1,0),1))*AK756/365)+(L756/16.67*INDEX(Variables!$B$8:$D$8,IFERROR(MATCH(IF($B756="Robusta","Robusta",(IF($B756="","Arabica",$B756))&amp;" - "&amp;(IF($C756="","Commercial",$C756))),Variables!$B$1:$D$1,0),1))*AK756)+(W756*INDEX(Variables!$B$9:$D$9,IFERROR(MATCH(IF($B756="Robusta","Robusta",(IF($B756="","Arabica",$B756))&amp;" - "&amp;(IF($C756="","Commercial",$C756))),Variables!$B$1:$D$1,0),1))*AK756/365),""))</f>
        <v>-1.3036472747537022</v>
      </c>
      <c r="BI756" s="44">
        <f>IF($AX756="Cancelled","",IFERROR((W756*INDEX(Variables!$B$7:$D$7,IFERROR(MATCH(IF($B756="Robusta","Robusta",(IF($B756="","Arabica",$B756))&amp;" - "&amp;(IF($C756="","Commercial",$C756))),Variables!$B$1:$D$1,0),1))*BD756/365)+(L756/16.67*INDEX(Variables!$B$8:$D$8,IFERROR(MATCH(IF($B756="Robusta","Robusta",(IF($B756="","Arabica",$B756))&amp;" - "&amp;(IF($C756="","Commercial",$C756))),Variables!$B$1:$D$1,0),1))*BD756)+(W756*INDEX(Variables!$B$9:$D$9,IFERROR(MATCH(IF($B756="Robusta","Robusta",(IF($B756="","Arabica",$B756))&amp;" - "&amp;(IF($C756="","Commercial",$C756))),Variables!$B$1:$D$1,0),1))*BD756/365),""))</f>
        <v>-3.041843641091972</v>
      </c>
      <c r="BJ756" s="44">
        <f t="shared" si="35"/>
        <v>-36</v>
      </c>
      <c r="BK756" s="44">
        <f>IF($AX756="Cancelled","",IFERROR(IF(BJ756="","",(W756*INDEX(Variables!$B$7:$D$7,IFERROR(MATCH(IF($B756="Robusta","Robusta",(IF($B756="","Arabica",$B756))&amp;" - "&amp;(IF($C756="","Commercial",$C756))),Variables!$B$1:$D$1,0),1))*(BJ756/365))+(W756*INDEX(Variables!$B$9:$D$9,IFERROR(MATCH(IF($B756="Robusta","Robusta",(IF($B756="","Arabica",$B756))&amp;" - "&amp;(IF($C756="","Commercial",$C756))),Variables!$B$1:$D$1,0),1))*(BJ756/365))+(INDEX(Variables!$B$8:$D$8,IFERROR(MATCH(IF($B756="Robusta","Robusta",(IF($B756="","Arabica",$B756))&amp;" - "&amp;(IF($C756="","Commercial",$C756))),Variables!$B$1:$D$1,0),1))*L756/16.67)),""))</f>
        <v>-10.093767297044424</v>
      </c>
    </row>
    <row r="757" spans="1:63">
      <c r="A757" s="13" t="s">
        <v>103</v>
      </c>
      <c r="B757" s="13" t="s">
        <v>104</v>
      </c>
      <c r="C757" s="13" t="s">
        <v>292</v>
      </c>
      <c r="D757" s="31">
        <v>46049</v>
      </c>
      <c r="E757" s="31">
        <v>46054</v>
      </c>
      <c r="F757" s="31">
        <v>46081</v>
      </c>
      <c r="G757" s="13">
        <v>3787198</v>
      </c>
      <c r="J757" s="13" t="s">
        <v>1641</v>
      </c>
      <c r="K757" s="13" t="s">
        <v>2037</v>
      </c>
      <c r="L757" s="13">
        <v>3</v>
      </c>
      <c r="M757" s="13">
        <v>0</v>
      </c>
      <c r="N757" s="13" t="s">
        <v>2038</v>
      </c>
      <c r="O757" s="13" t="s">
        <v>584</v>
      </c>
      <c r="P757" s="13">
        <v>10040</v>
      </c>
      <c r="R757" s="13" t="s">
        <v>239</v>
      </c>
      <c r="S757" s="13" t="s">
        <v>776</v>
      </c>
      <c r="T757" s="13" t="s">
        <v>777</v>
      </c>
      <c r="U757" s="13" t="s">
        <v>125</v>
      </c>
      <c r="V757" s="13">
        <v>96</v>
      </c>
      <c r="W757" s="44">
        <f>IF($AX757="Cancelled","",IFERROR(((V757+INDEX(Variables!$B$6:$D$6,IFERROR(MATCH(IF($B757="Robusta","Robusta",(IF($B757="","Arabica",$B757))&amp;" - "&amp;(IF($C757="","Commercial",$C757))),Variables!$B$1:$D$1,0),1)))*22.0462)*(L757/16.67),""))</f>
        <v>1534.6377012597477</v>
      </c>
      <c r="X757" s="55" t="s">
        <v>39</v>
      </c>
      <c r="Y757" s="13" t="str">
        <f>IF($AX757="Cancelled","",IF(X757="","",IFERROR(IF(INDEX(Variables!$B$38:$B$47,MATCH(X757,Variables!$A$38:$A$47,0))="Yes","Yes","No"),"No")))</f>
        <v>No</v>
      </c>
      <c r="Z757" s="31"/>
      <c r="AB757" s="31">
        <v>46036.875</v>
      </c>
      <c r="AC757" s="13" t="str">
        <f t="shared" si="34"/>
        <v>Approved</v>
      </c>
      <c r="AF757" s="71">
        <v>46078</v>
      </c>
      <c r="AG757" s="31">
        <f>IF($AX757="Cancelled","",IFERROR(IF(F757="","",F757-Variables!$B$13),""))</f>
        <v>46066</v>
      </c>
      <c r="AH757" s="13">
        <f>IF($AX757="Cancelled","",IFERROR(IF(AB757="","",(AVERAGE(E757:F757)-AB757)-Variables!$B$14),""))</f>
        <v>0.625</v>
      </c>
      <c r="AJ757" s="47">
        <v>46095</v>
      </c>
      <c r="AK757" s="14">
        <f>IF($AX757="Cancelled","",IFERROR(IF(AJ757="","",IF(AND(AB757="",AF757=""),"",IF(AF757&gt;AB757,AF757+Variables!$B$15+Variables!$B$16+Variables!$B$17-AJ757,AB757+Variables!$B$16+Variables!$B$17-AJ757))),""))</f>
        <v>-2</v>
      </c>
      <c r="AL757" s="48" t="s">
        <v>114</v>
      </c>
      <c r="AM757" s="13" t="s">
        <v>1526</v>
      </c>
      <c r="AN757" s="13" t="s">
        <v>1925</v>
      </c>
      <c r="AP757" s="31" t="e">
        <v>#N/A</v>
      </c>
      <c r="AR757" s="13" t="s">
        <v>1926</v>
      </c>
      <c r="AS757" s="31">
        <v>46117</v>
      </c>
      <c r="AU757" s="31">
        <v>46128</v>
      </c>
      <c r="AV757" s="13" t="s">
        <v>865</v>
      </c>
      <c r="AW757" s="31">
        <v>46142</v>
      </c>
      <c r="AX757" s="13" t="str">
        <f>IF(ISNUMBER(SEARCH("cancel",#REF!)),"Cancelled",IF(AND(AS757&lt;&gt;"",AU757&lt;&gt;"",AW757&lt;&gt;""),"Closed","Open"))</f>
        <v>Closed</v>
      </c>
      <c r="AY757" s="15" t="str">
        <f t="shared" si="33"/>
        <v>All dates received</v>
      </c>
      <c r="BD757" s="13">
        <f>IF($AX757="Cancelled","",IFERROR(IF(OR(AS757="",AJ757=""),"",(AJ757+Variables!$B$18-AS757)),""))</f>
        <v>-7</v>
      </c>
      <c r="BE757" s="13">
        <f>IF($AX757="Cancelled","",IFERROR(IF(OR(AW757="",AS757=""),"",(AS757+Variables!$B$19)-AW757),""))</f>
        <v>-20</v>
      </c>
      <c r="BF757" s="44">
        <f>IF($AX757="Cancelled","",IFERROR(W757*INDEX(Variables!$B$7:$D$7,IFERROR(MATCH(IF($B757="Robusta","Robusta",(IF($B757="","Arabica",$B757))&amp;" - "&amp;(IF($C757="","Commercial",$C757))),Variables!$B$1:$D$1,0),1))*(BE757/365),""))</f>
        <v>-5.4222912427491119</v>
      </c>
      <c r="BG757" s="44">
        <f>IF($AX757="Cancelled","",IFERROR((W757*INDEX(Variables!$B$7:$D$7,IFERROR(MATCH(IF($B757="Robusta","Robusta",(IF($B757="","Arabica",$B757))&amp;" - "&amp;(IF($C757="","Commercial",$C757))),Variables!$B$1:$D$1,0),1))*IFERROR(IF(AB757="","",(AVERAGE(E757:F757)-AB757)-Variables!$B$14),"")/365)+(L757/16.67*INDEX(Variables!$B$8:$D$8,IFERROR(MATCH(IF($B757="Robusta","Robusta",(IF($B757="","Arabica",$B757))&amp;" - "&amp;(IF($C757="","Commercial",$C757))),Variables!$B$1:$D$1,0),1))*IFERROR(IF(AB757="","",(AVERAGE(E757:F757)-AB757)-Variables!$B$14),""))+(W757*INDEX(Variables!$B$9:$D$9,IFERROR(MATCH(IF($B757="Robusta","Robusta",(IF($B757="","Arabica",$B757))&amp;" - "&amp;(IF($C757="","Commercial",$C757))),Variables!$B$1:$D$1,0),1))*IFERROR(IF(AB757="","",(AVERAGE(E757:F757)-AB757)-Variables!$B$14),"")/365),""))</f>
        <v>0.26538109503635021</v>
      </c>
      <c r="BH757" s="44">
        <f>IF($AX757="Cancelled","",IFERROR((W757*INDEX(Variables!$B$7:$D$7,IFERROR(MATCH(IF($B757="Robusta","Robusta",(IF($B757="","Arabica",$B757))&amp;" - "&amp;(IF($C757="","Commercial",$C757))),Variables!$B$1:$D$1,0),1))*AK757/365)+(L757/16.67*INDEX(Variables!$B$8:$D$8,IFERROR(MATCH(IF($B757="Robusta","Robusta",(IF($B757="","Arabica",$B757))&amp;" - "&amp;(IF($C757="","Commercial",$C757))),Variables!$B$1:$D$1,0),1))*AK757)+(W757*INDEX(Variables!$B$9:$D$9,IFERROR(MATCH(IF($B757="Robusta","Robusta",(IF($B757="","Arabica",$B757))&amp;" - "&amp;(IF($C757="","Commercial",$C757))),Variables!$B$1:$D$1,0),1))*AK757/365),""))</f>
        <v>-0.84921950411632063</v>
      </c>
      <c r="BI757" s="44">
        <f>IF($AX757="Cancelled","",IFERROR((W757*INDEX(Variables!$B$7:$D$7,IFERROR(MATCH(IF($B757="Robusta","Robusta",(IF($B757="","Arabica",$B757))&amp;" - "&amp;(IF($C757="","Commercial",$C757))),Variables!$B$1:$D$1,0),1))*BD757/365)+(L757/16.67*INDEX(Variables!$B$8:$D$8,IFERROR(MATCH(IF($B757="Robusta","Robusta",(IF($B757="","Arabica",$B757))&amp;" - "&amp;(IF($C757="","Commercial",$C757))),Variables!$B$1:$D$1,0),1))*BD757)+(W757*INDEX(Variables!$B$9:$D$9,IFERROR(MATCH(IF($B757="Robusta","Robusta",(IF($B757="","Arabica",$B757))&amp;" - "&amp;(IF($C757="","Commercial",$C757))),Variables!$B$1:$D$1,0),1))*BD757/365),""))</f>
        <v>-2.9722682644071226</v>
      </c>
      <c r="BJ757" s="44">
        <f t="shared" si="35"/>
        <v>-36</v>
      </c>
      <c r="BK757" s="44">
        <f>IF($AX757="Cancelled","",IFERROR(IF(BJ757="","",(W757*INDEX(Variables!$B$7:$D$7,IFERROR(MATCH(IF($B757="Robusta","Robusta",(IF($B757="","Arabica",$B757))&amp;" - "&amp;(IF($C757="","Commercial",$C757))),Variables!$B$1:$D$1,0),1))*(BJ757/365))+(W757*INDEX(Variables!$B$9:$D$9,IFERROR(MATCH(IF($B757="Robusta","Robusta",(IF($B757="","Arabica",$B757))&amp;" - "&amp;(IF($C757="","Commercial",$C757))),Variables!$B$1:$D$1,0),1))*(BJ757/365))+(INDEX(Variables!$B$8:$D$8,IFERROR(MATCH(IF($B757="Robusta","Robusta",(IF($B757="","Arabica",$B757))&amp;" - "&amp;(IF($C757="","Commercial",$C757))),Variables!$B$1:$D$1,0),1))*L757/16.67)),""))</f>
        <v>-9.7359510740937711</v>
      </c>
    </row>
    <row r="758" spans="1:63">
      <c r="A758" s="13" t="s">
        <v>103</v>
      </c>
      <c r="B758" s="13" t="s">
        <v>104</v>
      </c>
      <c r="C758" s="13" t="s">
        <v>292</v>
      </c>
      <c r="D758" s="31">
        <v>46049</v>
      </c>
      <c r="E758" s="31">
        <v>46054</v>
      </c>
      <c r="F758" s="31">
        <v>46081</v>
      </c>
      <c r="G758" s="13">
        <v>3787199</v>
      </c>
      <c r="J758" s="13" t="s">
        <v>1641</v>
      </c>
      <c r="K758" s="13" t="s">
        <v>2039</v>
      </c>
      <c r="L758" s="13">
        <v>3</v>
      </c>
      <c r="M758" s="13">
        <v>0</v>
      </c>
      <c r="N758" s="13" t="s">
        <v>2040</v>
      </c>
      <c r="O758" s="13" t="s">
        <v>584</v>
      </c>
      <c r="P758" s="13">
        <v>10040</v>
      </c>
      <c r="R758" s="13" t="s">
        <v>239</v>
      </c>
      <c r="S758" s="13" t="s">
        <v>776</v>
      </c>
      <c r="T758" s="13" t="s">
        <v>777</v>
      </c>
      <c r="U758" s="13" t="s">
        <v>125</v>
      </c>
      <c r="V758" s="13">
        <v>139</v>
      </c>
      <c r="W758" s="44">
        <f>IF($AX758="Cancelled","",IFERROR(((V758+INDEX(Variables!$B$6:$D$6,IFERROR(MATCH(IF($B758="Robusta","Robusta",(IF($B758="","Arabica",$B758))&amp;" - "&amp;(IF($C758="","Commercial",$C758))),Variables!$B$1:$D$1,0),1)))*22.0462)*(L758/16.67),""))</f>
        <v>1705.2411685662864</v>
      </c>
      <c r="X758" s="55" t="s">
        <v>39</v>
      </c>
      <c r="Y758" s="13" t="str">
        <f>IF($AX758="Cancelled","",IF(X758="","",IFERROR(IF(INDEX(Variables!$B$38:$B$47,MATCH(X758,Variables!$A$38:$A$47,0))="Yes","Yes","No"),"No")))</f>
        <v>No</v>
      </c>
      <c r="Z758" s="31"/>
      <c r="AB758" s="31">
        <v>46036.875</v>
      </c>
      <c r="AC758" s="13" t="str">
        <f t="shared" si="34"/>
        <v>Approved</v>
      </c>
      <c r="AF758" s="71">
        <v>46077</v>
      </c>
      <c r="AG758" s="31">
        <f>IF($AX758="Cancelled","",IFERROR(IF(F758="","",F758-Variables!$B$13),""))</f>
        <v>46066</v>
      </c>
      <c r="AH758" s="13">
        <f>IF($AX758="Cancelled","",IFERROR(IF(AB758="","",(AVERAGE(E758:F758)-AB758)-Variables!$B$14),""))</f>
        <v>0.625</v>
      </c>
      <c r="AJ758" s="47">
        <v>46095</v>
      </c>
      <c r="AK758" s="14">
        <f>IF($AX758="Cancelled","",IFERROR(IF(AJ758="","",IF(AND(AB758="",AF758=""),"",IF(AF758&gt;AB758,AF758+Variables!$B$15+Variables!$B$16+Variables!$B$17-AJ758,AB758+Variables!$B$16+Variables!$B$17-AJ758))),""))</f>
        <v>-3</v>
      </c>
      <c r="AL758" s="48" t="s">
        <v>114</v>
      </c>
      <c r="AM758" s="13" t="s">
        <v>1526</v>
      </c>
      <c r="AN758" s="13" t="s">
        <v>1925</v>
      </c>
      <c r="AP758" s="31" t="e">
        <v>#N/A</v>
      </c>
      <c r="AR758" s="13" t="s">
        <v>1926</v>
      </c>
      <c r="AS758" s="31">
        <v>46117</v>
      </c>
      <c r="AU758" s="31">
        <v>46128</v>
      </c>
      <c r="AV758" s="13" t="s">
        <v>865</v>
      </c>
      <c r="AW758" s="31">
        <v>46142</v>
      </c>
      <c r="AX758" s="13" t="str">
        <f>IF(ISNUMBER(SEARCH("cancel",#REF!)),"Cancelled",IF(AND(AS758&lt;&gt;"",AU758&lt;&gt;"",AW758&lt;&gt;""),"Closed","Open"))</f>
        <v>Closed</v>
      </c>
      <c r="AY758" s="15" t="str">
        <f t="shared" si="33"/>
        <v>All dates received</v>
      </c>
      <c r="BD758" s="13">
        <f>IF($AX758="Cancelled","",IFERROR(IF(OR(AS758="",AJ758=""),"",(AJ758+Variables!$B$18-AS758)),""))</f>
        <v>-7</v>
      </c>
      <c r="BE758" s="13">
        <f>IF($AX758="Cancelled","",IFERROR(IF(OR(AW758="",AS758=""),"",(AS758+Variables!$B$19)-AW758),""))</f>
        <v>-20</v>
      </c>
      <c r="BF758" s="44">
        <f>IF($AX758="Cancelled","",IFERROR(W758*INDEX(Variables!$B$7:$D$7,IFERROR(MATCH(IF($B758="Robusta","Robusta",(IF($B758="","Arabica",$B758))&amp;" - "&amp;(IF($C758="","Commercial",$C758))),Variables!$B$1:$D$1,0),1))*(BE758/365),""))</f>
        <v>-6.0250795660123284</v>
      </c>
      <c r="BG758" s="44">
        <f>IF($AX758="Cancelled","",IFERROR((W758*INDEX(Variables!$B$7:$D$7,IFERROR(MATCH(IF($B758="Robusta","Robusta",(IF($B758="","Arabica",$B758))&amp;" - "&amp;(IF($C758="","Commercial",$C758))),Variables!$B$1:$D$1,0),1))*IFERROR(IF(AB758="","",(AVERAGE(E758:F758)-AB758)-Variables!$B$14),"")/365)+(L758/16.67*INDEX(Variables!$B$8:$D$8,IFERROR(MATCH(IF($B758="Robusta","Robusta",(IF($B758="","Arabica",$B758))&amp;" - "&amp;(IF($C758="","Commercial",$C758))),Variables!$B$1:$D$1,0),1))*IFERROR(IF(AB758="","",(AVERAGE(E758:F758)-AB758)-Variables!$B$14),""))+(W758*INDEX(Variables!$B$9:$D$9,IFERROR(MATCH(IF($B758="Robusta","Robusta",(IF($B758="","Arabica",$B758))&amp;" - "&amp;(IF($C758="","Commercial",$C758))),Variables!$B$1:$D$1,0),1))*IFERROR(IF(AB758="","",(AVERAGE(E758:F758)-AB758)-Variables!$B$14),"")/365),""))</f>
        <v>0.28446107716293523</v>
      </c>
      <c r="BH758" s="44">
        <f>IF($AX758="Cancelled","",IFERROR((W758*INDEX(Variables!$B$7:$D$7,IFERROR(MATCH(IF($B758="Robusta","Robusta",(IF($B758="","Arabica",$B758))&amp;" - "&amp;(IF($C758="","Commercial",$C758))),Variables!$B$1:$D$1,0),1))*AK758/365)+(L758/16.67*INDEX(Variables!$B$8:$D$8,IFERROR(MATCH(IF($B758="Robusta","Robusta",(IF($B758="","Arabica",$B758))&amp;" - "&amp;(IF($C758="","Commercial",$C758))),Variables!$B$1:$D$1,0),1))*AK758)+(W758*INDEX(Variables!$B$9:$D$9,IFERROR(MATCH(IF($B758="Robusta","Robusta",(IF($B758="","Arabica",$B758))&amp;" - "&amp;(IF($C758="","Commercial",$C758))),Variables!$B$1:$D$1,0),1))*AK758/365),""))</f>
        <v>-1.3654131703820889</v>
      </c>
      <c r="BI758" s="44">
        <f>IF($AX758="Cancelled","",IFERROR((W758*INDEX(Variables!$B$7:$D$7,IFERROR(MATCH(IF($B758="Robusta","Robusta",(IF($B758="","Arabica",$B758))&amp;" - "&amp;(IF($C758="","Commercial",$C758))),Variables!$B$1:$D$1,0),1))*BD758/365)+(L758/16.67*INDEX(Variables!$B$8:$D$8,IFERROR(MATCH(IF($B758="Robusta","Robusta",(IF($B758="","Arabica",$B758))&amp;" - "&amp;(IF($C758="","Commercial",$C758))),Variables!$B$1:$D$1,0),1))*BD758)+(W758*INDEX(Variables!$B$9:$D$9,IFERROR(MATCH(IF($B758="Robusta","Robusta",(IF($B758="","Arabica",$B758))&amp;" - "&amp;(IF($C758="","Commercial",$C758))),Variables!$B$1:$D$1,0),1))*BD758/365),""))</f>
        <v>-3.1859640642248745</v>
      </c>
      <c r="BJ758" s="44">
        <f t="shared" si="35"/>
        <v>-36</v>
      </c>
      <c r="BK758" s="44">
        <f>IF($AX758="Cancelled","",IFERROR(IF(BJ758="","",(W758*INDEX(Variables!$B$7:$D$7,IFERROR(MATCH(IF($B758="Robusta","Robusta",(IF($B758="","Arabica",$B758))&amp;" - "&amp;(IF($C758="","Commercial",$C758))),Variables!$B$1:$D$1,0),1))*(BJ758/365))+(W758*INDEX(Variables!$B$9:$D$9,IFERROR(MATCH(IF($B758="Robusta","Robusta",(IF($B758="","Arabica",$B758))&amp;" - "&amp;(IF($C758="","Commercial",$C758))),Variables!$B$1:$D$1,0),1))*(BJ758/365))+(INDEX(Variables!$B$8:$D$8,IFERROR(MATCH(IF($B758="Robusta","Robusta",(IF($B758="","Arabica",$B758))&amp;" - "&amp;(IF($C758="","Commercial",$C758))),Variables!$B$1:$D$1,0),1))*L758/16.67)),""))</f>
        <v>-10.834958044585067</v>
      </c>
    </row>
    <row r="759" spans="1:63">
      <c r="A759" s="13" t="s">
        <v>103</v>
      </c>
      <c r="B759" s="13" t="s">
        <v>104</v>
      </c>
      <c r="C759" s="13" t="s">
        <v>292</v>
      </c>
      <c r="D759" s="31">
        <v>46049</v>
      </c>
      <c r="E759" s="31">
        <v>46054</v>
      </c>
      <c r="F759" s="31">
        <v>46081</v>
      </c>
      <c r="G759" s="13">
        <v>3787200</v>
      </c>
      <c r="J759" s="13" t="s">
        <v>1641</v>
      </c>
      <c r="K759" s="13" t="s">
        <v>2041</v>
      </c>
      <c r="L759" s="13">
        <v>3</v>
      </c>
      <c r="M759" s="13">
        <v>0</v>
      </c>
      <c r="N759" s="13" t="s">
        <v>2042</v>
      </c>
      <c r="O759" s="13" t="s">
        <v>584</v>
      </c>
      <c r="P759" s="13">
        <v>10040</v>
      </c>
      <c r="R759" s="13" t="s">
        <v>239</v>
      </c>
      <c r="S759" s="13" t="s">
        <v>776</v>
      </c>
      <c r="T759" s="13" t="s">
        <v>777</v>
      </c>
      <c r="U759" s="13" t="s">
        <v>125</v>
      </c>
      <c r="V759" s="13">
        <v>139</v>
      </c>
      <c r="W759" s="44">
        <f>IF($AX759="Cancelled","",IFERROR(((V759+INDEX(Variables!$B$6:$D$6,IFERROR(MATCH(IF($B759="Robusta","Robusta",(IF($B759="","Arabica",$B759))&amp;" - "&amp;(IF($C759="","Commercial",$C759))),Variables!$B$1:$D$1,0),1)))*22.0462)*(L759/16.67),""))</f>
        <v>1705.2411685662864</v>
      </c>
      <c r="X759" s="55" t="s">
        <v>39</v>
      </c>
      <c r="Y759" s="13" t="str">
        <f>IF($AX759="Cancelled","",IF(X759="","",IFERROR(IF(INDEX(Variables!$B$38:$B$47,MATCH(X759,Variables!$A$38:$A$47,0))="Yes","Yes","No"),"No")))</f>
        <v>No</v>
      </c>
      <c r="Z759" s="31"/>
      <c r="AB759" s="31">
        <v>46036.875</v>
      </c>
      <c r="AC759" s="13" t="str">
        <f t="shared" si="34"/>
        <v>Approved</v>
      </c>
      <c r="AF759" s="71">
        <v>46077</v>
      </c>
      <c r="AG759" s="31">
        <f>IF($AX759="Cancelled","",IFERROR(IF(F759="","",F759-Variables!$B$13),""))</f>
        <v>46066</v>
      </c>
      <c r="AH759" s="13">
        <f>IF($AX759="Cancelled","",IFERROR(IF(AB759="","",(AVERAGE(E759:F759)-AB759)-Variables!$B$14),""))</f>
        <v>0.625</v>
      </c>
      <c r="AJ759" s="47">
        <v>46095</v>
      </c>
      <c r="AK759" s="14">
        <f>IF($AX759="Cancelled","",IFERROR(IF(AJ759="","",IF(AND(AB759="",AF759=""),"",IF(AF759&gt;AB759,AF759+Variables!$B$15+Variables!$B$16+Variables!$B$17-AJ759,AB759+Variables!$B$16+Variables!$B$17-AJ759))),""))</f>
        <v>-3</v>
      </c>
      <c r="AL759" s="48" t="s">
        <v>114</v>
      </c>
      <c r="AM759" s="13" t="s">
        <v>1526</v>
      </c>
      <c r="AN759" s="13" t="s">
        <v>1925</v>
      </c>
      <c r="AP759" s="31" t="e">
        <v>#N/A</v>
      </c>
      <c r="AR759" s="13" t="s">
        <v>1926</v>
      </c>
      <c r="AS759" s="31">
        <v>46117</v>
      </c>
      <c r="AU759" s="31">
        <v>46128</v>
      </c>
      <c r="AV759" s="13" t="s">
        <v>865</v>
      </c>
      <c r="AW759" s="31">
        <v>46142</v>
      </c>
      <c r="AX759" s="13" t="str">
        <f>IF(ISNUMBER(SEARCH("cancel",#REF!)),"Cancelled",IF(AND(AS759&lt;&gt;"",AU759&lt;&gt;"",AW759&lt;&gt;""),"Closed","Open"))</f>
        <v>Closed</v>
      </c>
      <c r="AY759" s="15" t="str">
        <f t="shared" si="33"/>
        <v>All dates received</v>
      </c>
      <c r="BD759" s="13">
        <f>IF($AX759="Cancelled","",IFERROR(IF(OR(AS759="",AJ759=""),"",(AJ759+Variables!$B$18-AS759)),""))</f>
        <v>-7</v>
      </c>
      <c r="BE759" s="13">
        <f>IF($AX759="Cancelled","",IFERROR(IF(OR(AW759="",AS759=""),"",(AS759+Variables!$B$19)-AW759),""))</f>
        <v>-20</v>
      </c>
      <c r="BF759" s="44">
        <f>IF($AX759="Cancelled","",IFERROR(W759*INDEX(Variables!$B$7:$D$7,IFERROR(MATCH(IF($B759="Robusta","Robusta",(IF($B759="","Arabica",$B759))&amp;" - "&amp;(IF($C759="","Commercial",$C759))),Variables!$B$1:$D$1,0),1))*(BE759/365),""))</f>
        <v>-6.0250795660123284</v>
      </c>
      <c r="BG759" s="44">
        <f>IF($AX759="Cancelled","",IFERROR((W759*INDEX(Variables!$B$7:$D$7,IFERROR(MATCH(IF($B759="Robusta","Robusta",(IF($B759="","Arabica",$B759))&amp;" - "&amp;(IF($C759="","Commercial",$C759))),Variables!$B$1:$D$1,0),1))*IFERROR(IF(AB759="","",(AVERAGE(E759:F759)-AB759)-Variables!$B$14),"")/365)+(L759/16.67*INDEX(Variables!$B$8:$D$8,IFERROR(MATCH(IF($B759="Robusta","Robusta",(IF($B759="","Arabica",$B759))&amp;" - "&amp;(IF($C759="","Commercial",$C759))),Variables!$B$1:$D$1,0),1))*IFERROR(IF(AB759="","",(AVERAGE(E759:F759)-AB759)-Variables!$B$14),""))+(W759*INDEX(Variables!$B$9:$D$9,IFERROR(MATCH(IF($B759="Robusta","Robusta",(IF($B759="","Arabica",$B759))&amp;" - "&amp;(IF($C759="","Commercial",$C759))),Variables!$B$1:$D$1,0),1))*IFERROR(IF(AB759="","",(AVERAGE(E759:F759)-AB759)-Variables!$B$14),"")/365),""))</f>
        <v>0.28446107716293523</v>
      </c>
      <c r="BH759" s="44">
        <f>IF($AX759="Cancelled","",IFERROR((W759*INDEX(Variables!$B$7:$D$7,IFERROR(MATCH(IF($B759="Robusta","Robusta",(IF($B759="","Arabica",$B759))&amp;" - "&amp;(IF($C759="","Commercial",$C759))),Variables!$B$1:$D$1,0),1))*AK759/365)+(L759/16.67*INDEX(Variables!$B$8:$D$8,IFERROR(MATCH(IF($B759="Robusta","Robusta",(IF($B759="","Arabica",$B759))&amp;" - "&amp;(IF($C759="","Commercial",$C759))),Variables!$B$1:$D$1,0),1))*AK759)+(W759*INDEX(Variables!$B$9:$D$9,IFERROR(MATCH(IF($B759="Robusta","Robusta",(IF($B759="","Arabica",$B759))&amp;" - "&amp;(IF($C759="","Commercial",$C759))),Variables!$B$1:$D$1,0),1))*AK759/365),""))</f>
        <v>-1.3654131703820889</v>
      </c>
      <c r="BI759" s="44">
        <f>IF($AX759="Cancelled","",IFERROR((W759*INDEX(Variables!$B$7:$D$7,IFERROR(MATCH(IF($B759="Robusta","Robusta",(IF($B759="","Arabica",$B759))&amp;" - "&amp;(IF($C759="","Commercial",$C759))),Variables!$B$1:$D$1,0),1))*BD759/365)+(L759/16.67*INDEX(Variables!$B$8:$D$8,IFERROR(MATCH(IF($B759="Robusta","Robusta",(IF($B759="","Arabica",$B759))&amp;" - "&amp;(IF($C759="","Commercial",$C759))),Variables!$B$1:$D$1,0),1))*BD759)+(W759*INDEX(Variables!$B$9:$D$9,IFERROR(MATCH(IF($B759="Robusta","Robusta",(IF($B759="","Arabica",$B759))&amp;" - "&amp;(IF($C759="","Commercial",$C759))),Variables!$B$1:$D$1,0),1))*BD759/365),""))</f>
        <v>-3.1859640642248745</v>
      </c>
      <c r="BJ759" s="44">
        <f t="shared" si="35"/>
        <v>-36</v>
      </c>
      <c r="BK759" s="44">
        <f>IF($AX759="Cancelled","",IFERROR(IF(BJ759="","",(W759*INDEX(Variables!$B$7:$D$7,IFERROR(MATCH(IF($B759="Robusta","Robusta",(IF($B759="","Arabica",$B759))&amp;" - "&amp;(IF($C759="","Commercial",$C759))),Variables!$B$1:$D$1,0),1))*(BJ759/365))+(W759*INDEX(Variables!$B$9:$D$9,IFERROR(MATCH(IF($B759="Robusta","Robusta",(IF($B759="","Arabica",$B759))&amp;" - "&amp;(IF($C759="","Commercial",$C759))),Variables!$B$1:$D$1,0),1))*(BJ759/365))+(INDEX(Variables!$B$8:$D$8,IFERROR(MATCH(IF($B759="Robusta","Robusta",(IF($B759="","Arabica",$B759))&amp;" - "&amp;(IF($C759="","Commercial",$C759))),Variables!$B$1:$D$1,0),1))*L759/16.67)),""))</f>
        <v>-10.834958044585067</v>
      </c>
    </row>
    <row r="760" spans="1:63">
      <c r="A760" s="13" t="s">
        <v>103</v>
      </c>
      <c r="B760" s="13" t="s">
        <v>104</v>
      </c>
      <c r="C760" s="13" t="s">
        <v>292</v>
      </c>
      <c r="D760" s="31">
        <v>46049</v>
      </c>
      <c r="E760" s="31">
        <v>46054</v>
      </c>
      <c r="F760" s="31">
        <v>46081</v>
      </c>
      <c r="G760" s="13">
        <v>3787201</v>
      </c>
      <c r="J760" s="13" t="s">
        <v>1641</v>
      </c>
      <c r="K760" s="13" t="s">
        <v>2043</v>
      </c>
      <c r="L760" s="13">
        <v>3</v>
      </c>
      <c r="M760" s="13">
        <v>0</v>
      </c>
      <c r="N760" s="13" t="s">
        <v>2044</v>
      </c>
      <c r="O760" s="13" t="s">
        <v>2045</v>
      </c>
      <c r="P760" s="13">
        <v>10030</v>
      </c>
      <c r="R760" s="13" t="s">
        <v>239</v>
      </c>
      <c r="S760" s="13" t="s">
        <v>776</v>
      </c>
      <c r="T760" s="13" t="s">
        <v>777</v>
      </c>
      <c r="U760" s="13" t="s">
        <v>125</v>
      </c>
      <c r="V760" s="13">
        <v>106</v>
      </c>
      <c r="W760" s="44">
        <f>IF($AX760="Cancelled","",IFERROR(((V760+INDEX(Variables!$B$6:$D$6,IFERROR(MATCH(IF($B760="Robusta","Robusta",(IF($B760="","Arabica",$B760))&amp;" - "&amp;(IF($C760="","Commercial",$C760))),Variables!$B$1:$D$1,0),1)))*22.0462)*(L760/16.67),""))</f>
        <v>1574.3129262147568</v>
      </c>
      <c r="X760" s="55" t="s">
        <v>39</v>
      </c>
      <c r="Y760" s="13" t="str">
        <f>IF($AX760="Cancelled","",IF(X760="","",IFERROR(IF(INDEX(Variables!$B$38:$B$47,MATCH(X760,Variables!$A$38:$A$47,0))="Yes","Yes","No"),"No")))</f>
        <v>No</v>
      </c>
      <c r="Z760" s="31"/>
      <c r="AB760" s="31">
        <v>46036.875</v>
      </c>
      <c r="AC760" s="13" t="str">
        <f t="shared" si="34"/>
        <v>Approved</v>
      </c>
      <c r="AF760" s="71">
        <v>46077</v>
      </c>
      <c r="AG760" s="31">
        <f>IF($AX760="Cancelled","",IFERROR(IF(F760="","",F760-Variables!$B$13),""))</f>
        <v>46066</v>
      </c>
      <c r="AH760" s="13">
        <f>IF($AX760="Cancelled","",IFERROR(IF(AB760="","",(AVERAGE(E760:F760)-AB760)-Variables!$B$14),""))</f>
        <v>0.625</v>
      </c>
      <c r="AJ760" s="47">
        <v>46095</v>
      </c>
      <c r="AK760" s="14">
        <f>IF($AX760="Cancelled","",IFERROR(IF(AJ760="","",IF(AND(AB760="",AF760=""),"",IF(AF760&gt;AB760,AF760+Variables!$B$15+Variables!$B$16+Variables!$B$17-AJ760,AB760+Variables!$B$16+Variables!$B$17-AJ760))),""))</f>
        <v>-3</v>
      </c>
      <c r="AL760" s="48" t="s">
        <v>114</v>
      </c>
      <c r="AM760" s="13" t="s">
        <v>1526</v>
      </c>
      <c r="AN760" s="13" t="s">
        <v>1925</v>
      </c>
      <c r="AP760" s="31" t="e">
        <v>#N/A</v>
      </c>
      <c r="AR760" s="13" t="s">
        <v>1926</v>
      </c>
      <c r="AS760" s="31">
        <v>46117</v>
      </c>
      <c r="AU760" s="31">
        <v>46128</v>
      </c>
      <c r="AV760" s="13" t="s">
        <v>865</v>
      </c>
      <c r="AW760" s="31">
        <v>46142</v>
      </c>
      <c r="AX760" s="13" t="str">
        <f>IF(ISNUMBER(SEARCH("cancel",#REF!)),"Cancelled",IF(AND(AS760&lt;&gt;"",AU760&lt;&gt;"",AW760&lt;&gt;""),"Closed","Open"))</f>
        <v>Closed</v>
      </c>
      <c r="AY760" s="15" t="str">
        <f t="shared" si="33"/>
        <v>All dates received</v>
      </c>
      <c r="BD760" s="13">
        <f>IF($AX760="Cancelled","",IFERROR(IF(OR(AS760="",AJ760=""),"",(AJ760+Variables!$B$18-AS760)),""))</f>
        <v>-7</v>
      </c>
      <c r="BE760" s="13">
        <f>IF($AX760="Cancelled","",IFERROR(IF(OR(AW760="",AS760=""),"",(AS760+Variables!$B$19)-AW760),""))</f>
        <v>-20</v>
      </c>
      <c r="BF760" s="44">
        <f>IF($AX760="Cancelled","",IFERROR(W760*INDEX(Variables!$B$7:$D$7,IFERROR(MATCH(IF($B760="Robusta","Robusta",(IF($B760="","Arabica",$B760))&amp;" - "&amp;(IF($C760="","Commercial",$C760))),Variables!$B$1:$D$1,0),1))*(BE760/365),""))</f>
        <v>-5.5624745737405581</v>
      </c>
      <c r="BG760" s="44">
        <f>IF($AX760="Cancelled","",IFERROR((W760*INDEX(Variables!$B$7:$D$7,IFERROR(MATCH(IF($B760="Robusta","Robusta",(IF($B760="","Arabica",$B760))&amp;" - "&amp;(IF($C760="","Commercial",$C760))),Variables!$B$1:$D$1,0),1))*IFERROR(IF(AB760="","",(AVERAGE(E760:F760)-AB760)-Variables!$B$14),"")/365)+(L760/16.67*INDEX(Variables!$B$8:$D$8,IFERROR(MATCH(IF($B760="Robusta","Robusta",(IF($B760="","Arabica",$B760))&amp;" - "&amp;(IF($C760="","Commercial",$C760))),Variables!$B$1:$D$1,0),1))*IFERROR(IF(AB760="","",(AVERAGE(E760:F760)-AB760)-Variables!$B$14),""))+(W760*INDEX(Variables!$B$9:$D$9,IFERROR(MATCH(IF($B760="Robusta","Robusta",(IF($B760="","Arabica",$B760))&amp;" - "&amp;(IF($C760="","Commercial",$C760))),Variables!$B$1:$D$1,0),1))*IFERROR(IF(AB760="","",(AVERAGE(E760:F760)-AB760)-Variables!$B$14),"")/365),""))</f>
        <v>0.26981830018206771</v>
      </c>
      <c r="BH760" s="44">
        <f>IF($AX760="Cancelled","",IFERROR((W760*INDEX(Variables!$B$7:$D$7,IFERROR(MATCH(IF($B760="Robusta","Robusta",(IF($B760="","Arabica",$B760))&amp;" - "&amp;(IF($C760="","Commercial",$C760))),Variables!$B$1:$D$1,0),1))*AK760/365)+(L760/16.67*INDEX(Variables!$B$8:$D$8,IFERROR(MATCH(IF($B760="Robusta","Robusta",(IF($B760="","Arabica",$B760))&amp;" - "&amp;(IF($C760="","Commercial",$C760))),Variables!$B$1:$D$1,0),1))*AK760)+(W760*INDEX(Variables!$B$9:$D$9,IFERROR(MATCH(IF($B760="Robusta","Robusta",(IF($B760="","Arabica",$B760))&amp;" - "&amp;(IF($C760="","Commercial",$C760))),Variables!$B$1:$D$1,0),1))*AK760/365),""))</f>
        <v>-1.2951278408739249</v>
      </c>
      <c r="BI760" s="44">
        <f>IF($AX760="Cancelled","",IFERROR((W760*INDEX(Variables!$B$7:$D$7,IFERROR(MATCH(IF($B760="Robusta","Robusta",(IF($B760="","Arabica",$B760))&amp;" - "&amp;(IF($C760="","Commercial",$C760))),Variables!$B$1:$D$1,0),1))*BD760/365)+(L760/16.67*INDEX(Variables!$B$8:$D$8,IFERROR(MATCH(IF($B760="Robusta","Robusta",(IF($B760="","Arabica",$B760))&amp;" - "&amp;(IF($C760="","Commercial",$C760))),Variables!$B$1:$D$1,0),1))*BD760)+(W760*INDEX(Variables!$B$9:$D$9,IFERROR(MATCH(IF($B760="Robusta","Robusta",(IF($B760="","Arabica",$B760))&amp;" - "&amp;(IF($C760="","Commercial",$C760))),Variables!$B$1:$D$1,0),1))*BD760/365),""))</f>
        <v>-3.0219649620391578</v>
      </c>
      <c r="BJ760" s="44">
        <f t="shared" si="35"/>
        <v>-36</v>
      </c>
      <c r="BK760" s="44">
        <f>IF($AX760="Cancelled","",IFERROR(IF(BJ760="","",(W760*INDEX(Variables!$B$7:$D$7,IFERROR(MATCH(IF($B760="Robusta","Robusta",(IF($B760="","Arabica",$B760))&amp;" - "&amp;(IF($C760="","Commercial",$C760))),Variables!$B$1:$D$1,0),1))*(BJ760/365))+(W760*INDEX(Variables!$B$9:$D$9,IFERROR(MATCH(IF($B760="Robusta","Robusta",(IF($B760="","Arabica",$B760))&amp;" - "&amp;(IF($C760="","Commercial",$C760))),Variables!$B$1:$D$1,0),1))*(BJ760/365))+(INDEX(Variables!$B$8:$D$8,IFERROR(MATCH(IF($B760="Robusta","Robusta",(IF($B760="","Arabica",$B760))&amp;" - "&amp;(IF($C760="","Commercial",$C760))),Variables!$B$1:$D$1,0),1))*L760/16.67)),""))</f>
        <v>-9.9915340904870966</v>
      </c>
    </row>
    <row r="761" spans="1:63">
      <c r="A761" s="13" t="s">
        <v>103</v>
      </c>
      <c r="B761" s="13" t="s">
        <v>104</v>
      </c>
      <c r="C761" s="13" t="s">
        <v>105</v>
      </c>
      <c r="D761" s="31">
        <v>46049</v>
      </c>
      <c r="E761" s="31">
        <v>46082</v>
      </c>
      <c r="F761" s="31">
        <v>46112</v>
      </c>
      <c r="G761" s="13">
        <v>3787202</v>
      </c>
      <c r="H761" s="13">
        <v>5438</v>
      </c>
      <c r="J761" s="13" t="s">
        <v>230</v>
      </c>
      <c r="K761" s="13">
        <v>5438</v>
      </c>
      <c r="L761" s="13">
        <v>1080</v>
      </c>
      <c r="M761" s="13">
        <v>3</v>
      </c>
      <c r="N761" s="13" t="s">
        <v>2046</v>
      </c>
      <c r="O761" s="13" t="s">
        <v>775</v>
      </c>
      <c r="P761" s="13">
        <v>10030</v>
      </c>
      <c r="R761" s="13" t="s">
        <v>122</v>
      </c>
      <c r="S761" s="13" t="s">
        <v>154</v>
      </c>
      <c r="T761" s="13" t="s">
        <v>155</v>
      </c>
      <c r="U761" s="13" t="s">
        <v>125</v>
      </c>
      <c r="V761" s="13">
        <v>55</v>
      </c>
      <c r="W761" s="44">
        <f>IF($AX761="Cancelled","",IFERROR(((V761+INDEX(Variables!$B$6:$D$6,IFERROR(MATCH(IF($B761="Robusta","Robusta",(IF($B761="","Arabica",$B761))&amp;" - "&amp;(IF($C761="","Commercial",$C761))),Variables!$B$1:$D$1,0),1)))*22.0462)*(L761/16.67),""))</f>
        <v>493908.94041991595</v>
      </c>
      <c r="X761" s="55" t="s">
        <v>37</v>
      </c>
      <c r="Y761" s="13" t="str">
        <f>IF($AX761="Cancelled","",IF(X761="","",IFERROR(IF(INDEX(Variables!$B$38:$B$47,MATCH(X761,Variables!$A$38:$A$47,0))="Yes","Yes","No"),"No")))</f>
        <v>Yes</v>
      </c>
      <c r="Z761" s="58">
        <v>46066</v>
      </c>
      <c r="AB761" s="31">
        <v>46071</v>
      </c>
      <c r="AC761" s="13" t="str">
        <f t="shared" si="34"/>
        <v>Approved</v>
      </c>
      <c r="AF761" s="71">
        <v>46092</v>
      </c>
      <c r="AG761" s="37">
        <f>IF($AX761="Cancelled","",IFERROR(IF(F761="","",F761-Variables!$B$13),""))</f>
        <v>46097</v>
      </c>
      <c r="AH761" s="13">
        <f>IF($AX761="Cancelled","",IFERROR(IF(AB761="","",(AVERAGE(E761:F761)-AB761)-Variables!$B$14),""))</f>
        <v>-4</v>
      </c>
      <c r="AJ761" s="47">
        <v>46097</v>
      </c>
      <c r="AK761" s="14">
        <f>IF($AX761="Cancelled","",IFERROR(IF(AJ761="","",IF(AND(AB761="",AF761=""),"",IF(AF761&gt;AB761,AF761+Variables!$B$15+Variables!$B$16+Variables!$B$17-AJ761,AB761+Variables!$B$16+Variables!$B$17-AJ761))),""))</f>
        <v>10</v>
      </c>
      <c r="AL761" s="48" t="s">
        <v>114</v>
      </c>
      <c r="AM761" s="13" t="s">
        <v>1526</v>
      </c>
      <c r="AN761" s="13" t="s">
        <v>2047</v>
      </c>
      <c r="AP761" s="31">
        <v>46117</v>
      </c>
      <c r="AR761" s="13">
        <v>919992</v>
      </c>
      <c r="AS761" s="31">
        <v>46117</v>
      </c>
      <c r="AU761" s="31">
        <v>46134</v>
      </c>
      <c r="AV761" s="13" t="s">
        <v>865</v>
      </c>
      <c r="AW761" s="31">
        <v>46134</v>
      </c>
      <c r="AX761" s="13" t="str">
        <f>IF(ISNUMBER(SEARCH("cancel",#REF!)),"Cancelled",IF(AND(AS761&lt;&gt;"",AU761&lt;&gt;"",AW761&lt;&gt;""),"Closed","Open"))</f>
        <v>Closed</v>
      </c>
      <c r="AY761" s="15" t="str">
        <f t="shared" si="33"/>
        <v>All dates received</v>
      </c>
      <c r="BD761" s="13">
        <f>IF($AX761="Cancelled","",IFERROR(IF(OR(AS761="",AJ761=""),"",(AJ761+Variables!$B$18-AS761)),""))</f>
        <v>-5</v>
      </c>
      <c r="BE761" s="13">
        <f>IF($AX761="Cancelled","",IFERROR(IF(OR(AW761="",AS761=""),"",(AS761+Variables!$B$19)-AW761),""))</f>
        <v>-12</v>
      </c>
      <c r="BF761" s="44">
        <f>IF($AX761="Cancelled","",IFERROR(W761*INDEX(Variables!$B$7:$D$7,IFERROR(MATCH(IF($B761="Robusta","Robusta",(IF($B761="","Arabica",$B761))&amp;" - "&amp;(IF($C761="","Commercial",$C761))),Variables!$B$1:$D$1,0),1))*(BE761/365),""))</f>
        <v>-1047.0685505077843</v>
      </c>
      <c r="BG761" s="44">
        <f>IF($AX761="Cancelled","",IFERROR((W761*INDEX(Variables!$B$7:$D$7,IFERROR(MATCH(IF($B761="Robusta","Robusta",(IF($B761="","Arabica",$B761))&amp;" - "&amp;(IF($C761="","Commercial",$C761))),Variables!$B$1:$D$1,0),1))*IFERROR(IF(AB761="","",(AVERAGE(E761:F761)-AB761)-Variables!$B$14),"")/365)+(L761/16.67*INDEX(Variables!$B$8:$D$8,IFERROR(MATCH(IF($B761="Robusta","Robusta",(IF($B761="","Arabica",$B761))&amp;" - "&amp;(IF($C761="","Commercial",$C761))),Variables!$B$1:$D$1,0),1))*IFERROR(IF(AB761="","",(AVERAGE(E761:F761)-AB761)-Variables!$B$14),""))+(W761*INDEX(Variables!$B$9:$D$9,IFERROR(MATCH(IF($B761="Robusta","Robusta",(IF($B761="","Arabica",$B761))&amp;" - "&amp;(IF($C761="","Commercial",$C761))),Variables!$B$1:$D$1,0),1))*IFERROR(IF(AB761="","",(AVERAGE(E761:F761)-AB761)-Variables!$B$14),"")/365),""))</f>
        <v>-569.52242827524583</v>
      </c>
      <c r="BH761" s="44">
        <f>IF($AX761="Cancelled","",IFERROR((W761*INDEX(Variables!$B$7:$D$7,IFERROR(MATCH(IF($B761="Robusta","Robusta",(IF($B761="","Arabica",$B761))&amp;" - "&amp;(IF($C761="","Commercial",$C761))),Variables!$B$1:$D$1,0),1))*AK761/365)+(L761/16.67*INDEX(Variables!$B$8:$D$8,IFERROR(MATCH(IF($B761="Robusta","Robusta",(IF($B761="","Arabica",$B761))&amp;" - "&amp;(IF($C761="","Commercial",$C761))),Variables!$B$1:$D$1,0),1))*AK761)+(W761*INDEX(Variables!$B$9:$D$9,IFERROR(MATCH(IF($B761="Robusta","Robusta",(IF($B761="","Arabica",$B761))&amp;" - "&amp;(IF($C761="","Commercial",$C761))),Variables!$B$1:$D$1,0),1))*AK761/365),""))</f>
        <v>1423.8060706881147</v>
      </c>
      <c r="BI761" s="44">
        <f>IF($AX761="Cancelled","",IFERROR((W761*INDEX(Variables!$B$7:$D$7,IFERROR(MATCH(IF($B761="Robusta","Robusta",(IF($B761="","Arabica",$B761))&amp;" - "&amp;(IF($C761="","Commercial",$C761))),Variables!$B$1:$D$1,0),1))*BD761/365)+(L761/16.67*INDEX(Variables!$B$8:$D$8,IFERROR(MATCH(IF($B761="Robusta","Robusta",(IF($B761="","Arabica",$B761))&amp;" - "&amp;(IF($C761="","Commercial",$C761))),Variables!$B$1:$D$1,0),1))*BD761)+(W761*INDEX(Variables!$B$9:$D$9,IFERROR(MATCH(IF($B761="Robusta","Robusta",(IF($B761="","Arabica",$B761))&amp;" - "&amp;(IF($C761="","Commercial",$C761))),Variables!$B$1:$D$1,0),1))*BD761/365),""))</f>
        <v>-711.90303534405734</v>
      </c>
      <c r="BJ761" s="44">
        <f t="shared" si="35"/>
        <v>-5</v>
      </c>
      <c r="BK761" s="44">
        <f>IF($AX761="Cancelled","",IFERROR(IF(BJ761="","",(W761*INDEX(Variables!$B$7:$D$7,IFERROR(MATCH(IF($B761="Robusta","Robusta",(IF($B761="","Arabica",$B761))&amp;" - "&amp;(IF($C761="","Commercial",$C761))),Variables!$B$1:$D$1,0),1))*(BJ761/365))+(W761*INDEX(Variables!$B$9:$D$9,IFERROR(MATCH(IF($B761="Robusta","Robusta",(IF($B761="","Arabica",$B761))&amp;" - "&amp;(IF($C761="","Commercial",$C761))),Variables!$B$1:$D$1,0),1))*(BJ761/365))+(INDEX(Variables!$B$8:$D$8,IFERROR(MATCH(IF($B761="Robusta","Robusta",(IF($B761="","Arabica",$B761))&amp;" - "&amp;(IF($C761="","Commercial",$C761))),Variables!$B$1:$D$1,0),1))*L761/16.67)),""))</f>
        <v>-387.90303534405729</v>
      </c>
    </row>
    <row r="762" spans="1:63">
      <c r="A762" s="13" t="s">
        <v>103</v>
      </c>
      <c r="B762" s="13" t="s">
        <v>104</v>
      </c>
      <c r="C762" s="13" t="s">
        <v>105</v>
      </c>
      <c r="D762" s="31">
        <v>46049</v>
      </c>
      <c r="E762" s="31">
        <v>46082</v>
      </c>
      <c r="F762" s="31">
        <v>46112</v>
      </c>
      <c r="G762" s="13">
        <v>3787203</v>
      </c>
      <c r="H762" s="13">
        <v>4554210899</v>
      </c>
      <c r="J762" s="13" t="s">
        <v>230</v>
      </c>
      <c r="K762" s="13">
        <v>5410</v>
      </c>
      <c r="L762" s="13">
        <v>360</v>
      </c>
      <c r="M762" s="13">
        <v>1</v>
      </c>
      <c r="N762" s="13" t="s">
        <v>2048</v>
      </c>
      <c r="O762" s="13" t="s">
        <v>269</v>
      </c>
      <c r="P762" s="13">
        <v>10310</v>
      </c>
      <c r="Q762" s="13" t="s">
        <v>745</v>
      </c>
      <c r="R762" s="13" t="s">
        <v>122</v>
      </c>
      <c r="S762" s="13" t="s">
        <v>154</v>
      </c>
      <c r="T762" s="13" t="s">
        <v>155</v>
      </c>
      <c r="U762" s="13" t="s">
        <v>125</v>
      </c>
      <c r="V762" s="13">
        <v>70</v>
      </c>
      <c r="W762" s="44">
        <f>IF($AX762="Cancelled","",IFERROR(((V762+INDEX(Variables!$B$6:$D$6,IFERROR(MATCH(IF($B762="Robusta","Robusta",(IF($B762="","Arabica",$B762))&amp;" - "&amp;(IF($C762="","Commercial",$C762))),Variables!$B$1:$D$1,0),1)))*22.0462)*(L762/16.67),""))</f>
        <v>171777.85396520694</v>
      </c>
      <c r="X762" s="55" t="s">
        <v>37</v>
      </c>
      <c r="Y762" s="13" t="str">
        <f>IF($AX762="Cancelled","",IF(X762="","",IFERROR(IF(INDEX(Variables!$B$38:$B$47,MATCH(X762,Variables!$A$38:$A$47,0))="Yes","Yes","No"),"No")))</f>
        <v>Yes</v>
      </c>
      <c r="Z762" s="58">
        <v>46051</v>
      </c>
      <c r="AB762" s="31">
        <v>46063</v>
      </c>
      <c r="AC762" s="13" t="str">
        <f t="shared" si="34"/>
        <v>Approved</v>
      </c>
      <c r="AF762" s="71">
        <v>46072</v>
      </c>
      <c r="AG762" s="37">
        <f>IF($AX762="Cancelled","",IFERROR(IF(F762="","",F762-Variables!$B$13),""))</f>
        <v>46097</v>
      </c>
      <c r="AH762" s="13">
        <f>IF($AX762="Cancelled","",IFERROR(IF(AB762="","",(AVERAGE(E762:F762)-AB762)-Variables!$B$14),""))</f>
        <v>4</v>
      </c>
      <c r="AJ762" s="47">
        <v>46074</v>
      </c>
      <c r="AK762" s="14">
        <f>IF($AX762="Cancelled","",IFERROR(IF(AJ762="","",IF(AND(AB762="",AF762=""),"",IF(AF762&gt;AB762,AF762+Variables!$B$15+Variables!$B$16+Variables!$B$17-AJ762,AB762+Variables!$B$16+Variables!$B$17-AJ762))),""))</f>
        <v>13</v>
      </c>
      <c r="AL762" s="48" t="s">
        <v>114</v>
      </c>
      <c r="AM762" s="13" t="s">
        <v>1526</v>
      </c>
      <c r="AN762" s="13" t="s">
        <v>1828</v>
      </c>
      <c r="AP762" s="31">
        <v>46093</v>
      </c>
      <c r="AR762" s="13" t="s">
        <v>2049</v>
      </c>
      <c r="AS762" s="31">
        <v>46093</v>
      </c>
      <c r="AU762" s="31">
        <v>46100</v>
      </c>
      <c r="AV762" s="13" t="s">
        <v>865</v>
      </c>
      <c r="AW762" s="31">
        <v>46107</v>
      </c>
      <c r="AX762" s="13" t="str">
        <f>IF(ISNUMBER(SEARCH("cancel",#REF!)),"Cancelled",IF(AND(AS762&lt;&gt;"",AU762&lt;&gt;"",AW762&lt;&gt;""),"Closed","Open"))</f>
        <v>Closed</v>
      </c>
      <c r="AY762" s="15" t="str">
        <f t="shared" si="33"/>
        <v>All dates received</v>
      </c>
      <c r="BD762" s="13">
        <f>IF($AX762="Cancelled","",IFERROR(IF(OR(AS762="",AJ762=""),"",(AJ762+Variables!$B$18-AS762)),""))</f>
        <v>-4</v>
      </c>
      <c r="BE762" s="13">
        <f>IF($AX762="Cancelled","",IFERROR(IF(OR(AW762="",AS762=""),"",(AS762+Variables!$B$19)-AW762),""))</f>
        <v>-9</v>
      </c>
      <c r="BF762" s="44">
        <f>IF($AX762="Cancelled","",IFERROR(W762*INDEX(Variables!$B$7:$D$7,IFERROR(MATCH(IF($B762="Robusta","Robusta",(IF($B762="","Arabica",$B762))&amp;" - "&amp;(IF($C762="","Commercial",$C762))),Variables!$B$1:$D$1,0),1))*(BE762/365),""))</f>
        <v>-273.12198743725321</v>
      </c>
      <c r="BG762" s="44">
        <f>IF($AX762="Cancelled","",IFERROR((W762*INDEX(Variables!$B$7:$D$7,IFERROR(MATCH(IF($B762="Robusta","Robusta",(IF($B762="","Arabica",$B762))&amp;" - "&amp;(IF($C762="","Commercial",$C762))),Variables!$B$1:$D$1,0),1))*IFERROR(IF(AB762="","",(AVERAGE(E762:F762)-AB762)-Variables!$B$14),"")/365)+(L762/16.67*INDEX(Variables!$B$8:$D$8,IFERROR(MATCH(IF($B762="Robusta","Robusta",(IF($B762="","Arabica",$B762))&amp;" - "&amp;(IF($C762="","Commercial",$C762))),Variables!$B$1:$D$1,0),1))*IFERROR(IF(AB762="","",(AVERAGE(E762:F762)-AB762)-Variables!$B$14),""))+(W762*INDEX(Variables!$B$9:$D$9,IFERROR(MATCH(IF($B762="Robusta","Robusta",(IF($B762="","Arabica",$B762))&amp;" - "&amp;(IF($C762="","Commercial",$C762))),Variables!$B$1:$D$1,0),1))*IFERROR(IF(AB762="","",(AVERAGE(E762:F762)-AB762)-Variables!$B$14),"")/365),""))</f>
        <v>194.95246975294845</v>
      </c>
      <c r="BH762" s="44">
        <f>IF($AX762="Cancelled","",IFERROR((W762*INDEX(Variables!$B$7:$D$7,IFERROR(MATCH(IF($B762="Robusta","Robusta",(IF($B762="","Arabica",$B762))&amp;" - "&amp;(IF($C762="","Commercial",$C762))),Variables!$B$1:$D$1,0),1))*AK762/365)+(L762/16.67*INDEX(Variables!$B$8:$D$8,IFERROR(MATCH(IF($B762="Robusta","Robusta",(IF($B762="","Arabica",$B762))&amp;" - "&amp;(IF($C762="","Commercial",$C762))),Variables!$B$1:$D$1,0),1))*AK762)+(W762*INDEX(Variables!$B$9:$D$9,IFERROR(MATCH(IF($B762="Robusta","Robusta",(IF($B762="","Arabica",$B762))&amp;" - "&amp;(IF($C762="","Commercial",$C762))),Variables!$B$1:$D$1,0),1))*AK762/365),""))</f>
        <v>633.59552669708239</v>
      </c>
      <c r="BI762" s="44">
        <f>IF($AX762="Cancelled","",IFERROR((W762*INDEX(Variables!$B$7:$D$7,IFERROR(MATCH(IF($B762="Robusta","Robusta",(IF($B762="","Arabica",$B762))&amp;" - "&amp;(IF($C762="","Commercial",$C762))),Variables!$B$1:$D$1,0),1))*BD762/365)+(L762/16.67*INDEX(Variables!$B$8:$D$8,IFERROR(MATCH(IF($B762="Robusta","Robusta",(IF($B762="","Arabica",$B762))&amp;" - "&amp;(IF($C762="","Commercial",$C762))),Variables!$B$1:$D$1,0),1))*BD762)+(W762*INDEX(Variables!$B$9:$D$9,IFERROR(MATCH(IF($B762="Robusta","Robusta",(IF($B762="","Arabica",$B762))&amp;" - "&amp;(IF($C762="","Commercial",$C762))),Variables!$B$1:$D$1,0),1))*BD762/365),""))</f>
        <v>-194.95246975294845</v>
      </c>
      <c r="BJ762" s="44">
        <f t="shared" si="35"/>
        <v>19</v>
      </c>
      <c r="BK762" s="44">
        <f>IF($AX762="Cancelled","",IFERROR(IF(BJ762="","",(W762*INDEX(Variables!$B$7:$D$7,IFERROR(MATCH(IF($B762="Robusta","Robusta",(IF($B762="","Arabica",$B762))&amp;" - "&amp;(IF($C762="","Commercial",$C762))),Variables!$B$1:$D$1,0),1))*(BJ762/365))+(W762*INDEX(Variables!$B$9:$D$9,IFERROR(MATCH(IF($B762="Robusta","Robusta",(IF($B762="","Arabica",$B762))&amp;" - "&amp;(IF($C762="","Commercial",$C762))),Variables!$B$1:$D$1,0),1))*(BJ762/365))+(INDEX(Variables!$B$8:$D$8,IFERROR(MATCH(IF($B762="Robusta","Robusta",(IF($B762="","Arabica",$B762))&amp;" - "&amp;(IF($C762="","Commercial",$C762))),Variables!$B$1:$D$1,0),1))*L762/16.67)),""))</f>
        <v>602.02423132650506</v>
      </c>
    </row>
    <row r="763" spans="1:63">
      <c r="A763" s="13" t="s">
        <v>103</v>
      </c>
      <c r="B763" s="13" t="s">
        <v>104</v>
      </c>
      <c r="C763" s="13" t="s">
        <v>292</v>
      </c>
      <c r="D763" s="31">
        <v>46050</v>
      </c>
      <c r="E763" s="31">
        <v>46054</v>
      </c>
      <c r="F763" s="31">
        <v>46081</v>
      </c>
      <c r="G763" s="13">
        <v>3787204</v>
      </c>
      <c r="J763" s="13" t="s">
        <v>447</v>
      </c>
      <c r="K763" s="13" t="s">
        <v>2050</v>
      </c>
      <c r="L763" s="13">
        <v>10</v>
      </c>
      <c r="M763" s="13">
        <v>0</v>
      </c>
      <c r="N763" s="13" t="s">
        <v>2051</v>
      </c>
      <c r="O763" s="13" t="s">
        <v>771</v>
      </c>
      <c r="P763" s="13">
        <v>10010</v>
      </c>
      <c r="R763" s="13" t="s">
        <v>384</v>
      </c>
      <c r="S763" s="13" t="s">
        <v>154</v>
      </c>
      <c r="T763" s="13" t="s">
        <v>155</v>
      </c>
      <c r="U763" s="13" t="s">
        <v>125</v>
      </c>
      <c r="V763" s="13">
        <v>163</v>
      </c>
      <c r="W763" s="44">
        <f>IF($AX763="Cancelled","",IFERROR(((V763+INDEX(Variables!$B$6:$D$6,IFERROR(MATCH(IF($B763="Robusta","Robusta",(IF($B763="","Arabica",$B763))&amp;" - "&amp;(IF($C763="","Commercial",$C763))),Variables!$B$1:$D$1,0),1)))*22.0462)*(L763/16.67),""))</f>
        <v>6001.5390281943601</v>
      </c>
      <c r="X763" s="55" t="s">
        <v>39</v>
      </c>
      <c r="Y763" s="13" t="str">
        <f>IF($AX763="Cancelled","",IF(X763="","",IFERROR(IF(INDEX(Variables!$B$38:$B$47,MATCH(X763,Variables!$A$38:$A$47,0))="Yes","Yes","No"),"No")))</f>
        <v>No</v>
      </c>
      <c r="Z763" s="31"/>
      <c r="AB763" s="31">
        <v>46022.875</v>
      </c>
      <c r="AC763" s="13" t="str">
        <f t="shared" si="34"/>
        <v>Approved</v>
      </c>
      <c r="AF763" s="71">
        <v>46077</v>
      </c>
      <c r="AG763" s="31">
        <f>IF($AX763="Cancelled","",IFERROR(IF(F763="","",F763-Variables!$B$13),""))</f>
        <v>46066</v>
      </c>
      <c r="AH763" s="13">
        <f>IF($AX763="Cancelled","",IFERROR(IF(AB763="","",(AVERAGE(E763:F763)-AB763)-Variables!$B$14),""))</f>
        <v>14.625</v>
      </c>
      <c r="AJ763" s="47">
        <v>46093</v>
      </c>
      <c r="AK763" s="14">
        <f>IF($AX763="Cancelled","",IFERROR(IF(AJ763="","",IF(AND(AB763="",AF763=""),"",IF(AF763&gt;AB763,AF763+Variables!$B$15+Variables!$B$16+Variables!$B$17-AJ763,AB763+Variables!$B$16+Variables!$B$17-AJ763))),""))</f>
        <v>-1</v>
      </c>
      <c r="AL763" s="48" t="s">
        <v>114</v>
      </c>
      <c r="AM763" s="13" t="s">
        <v>168</v>
      </c>
      <c r="AN763" s="13" t="s">
        <v>1674</v>
      </c>
      <c r="AP763" s="31" t="e">
        <v>#N/A</v>
      </c>
      <c r="AR763" s="13" t="s">
        <v>1675</v>
      </c>
      <c r="AS763" s="31">
        <v>46103</v>
      </c>
      <c r="AU763" s="31">
        <v>46140</v>
      </c>
      <c r="AV763" s="13" t="s">
        <v>865</v>
      </c>
      <c r="AW763" s="31">
        <v>46142</v>
      </c>
      <c r="AX763" s="13" t="str">
        <f>IF(ISNUMBER(SEARCH("cancel",#REF!)),"Cancelled",IF(AND(AS763&lt;&gt;"",AU763&lt;&gt;"",AW763&lt;&gt;""),"Closed","Open"))</f>
        <v>Closed</v>
      </c>
      <c r="AY763" s="15" t="str">
        <f t="shared" si="33"/>
        <v>All dates received</v>
      </c>
      <c r="BD763" s="13">
        <f>IF($AX763="Cancelled","",IFERROR(IF(OR(AS763="",AJ763=""),"",(AJ763+Variables!$B$18-AS763)),""))</f>
        <v>5</v>
      </c>
      <c r="BE763" s="13">
        <f>IF($AX763="Cancelled","",IFERROR(IF(OR(AW763="",AS763=""),"",(AS763+Variables!$B$19)-AW763),""))</f>
        <v>-34</v>
      </c>
      <c r="BF763" s="44">
        <f>IF($AX763="Cancelled","",IFERROR(W763*INDEX(Variables!$B$7:$D$7,IFERROR(MATCH(IF($B763="Robusta","Robusta",(IF($B763="","Arabica",$B763))&amp;" - "&amp;(IF($C763="","Commercial",$C763))),Variables!$B$1:$D$1,0),1))*(BE763/365),""))</f>
        <v>-36.048610842220192</v>
      </c>
      <c r="BG763" s="44">
        <f>IF($AX763="Cancelled","",IFERROR((W763*INDEX(Variables!$B$7:$D$7,IFERROR(MATCH(IF($B763="Robusta","Robusta",(IF($B763="","Arabica",$B763))&amp;" - "&amp;(IF($C763="","Commercial",$C763))),Variables!$B$1:$D$1,0),1))*IFERROR(IF(AB763="","",(AVERAGE(E763:F763)-AB763)-Variables!$B$14),"")/365)+(L763/16.67*INDEX(Variables!$B$8:$D$8,IFERROR(MATCH(IF($B763="Robusta","Robusta",(IF($B763="","Arabica",$B763))&amp;" - "&amp;(IF($C763="","Commercial",$C763))),Variables!$B$1:$D$1,0),1))*IFERROR(IF(AB763="","",(AVERAGE(E763:F763)-AB763)-Variables!$B$14),""))+(W763*INDEX(Variables!$B$9:$D$9,IFERROR(MATCH(IF($B763="Robusta","Robusta",(IF($B763="","Arabica",$B763))&amp;" - "&amp;(IF($C763="","Commercial",$C763))),Variables!$B$1:$D$1,0),1))*IFERROR(IF(AB763="","",(AVERAGE(E763:F763)-AB763)-Variables!$B$14),"")/365),""))</f>
        <v>23.01860882198725</v>
      </c>
      <c r="BH763" s="44">
        <f>IF($AX763="Cancelled","",IFERROR((W763*INDEX(Variables!$B$7:$D$7,IFERROR(MATCH(IF($B763="Robusta","Robusta",(IF($B763="","Arabica",$B763))&amp;" - "&amp;(IF($C763="","Commercial",$C763))),Variables!$B$1:$D$1,0),1))*AK763/365)+(L763/16.67*INDEX(Variables!$B$8:$D$8,IFERROR(MATCH(IF($B763="Robusta","Robusta",(IF($B763="","Arabica",$B763))&amp;" - "&amp;(IF($C763="","Commercial",$C763))),Variables!$B$1:$D$1,0),1))*AK763)+(W763*INDEX(Variables!$B$9:$D$9,IFERROR(MATCH(IF($B763="Robusta","Robusta",(IF($B763="","Arabica",$B763))&amp;" - "&amp;(IF($C763="","Commercial",$C763))),Variables!$B$1:$D$1,0),1))*AK763/365),""))</f>
        <v>-1.5739219707341709</v>
      </c>
      <c r="BI763" s="44">
        <f>IF($AX763="Cancelled","",IFERROR((W763*INDEX(Variables!$B$7:$D$7,IFERROR(MATCH(IF($B763="Robusta","Robusta",(IF($B763="","Arabica",$B763))&amp;" - "&amp;(IF($C763="","Commercial",$C763))),Variables!$B$1:$D$1,0),1))*BD763/365)+(L763/16.67*INDEX(Variables!$B$8:$D$8,IFERROR(MATCH(IF($B763="Robusta","Robusta",(IF($B763="","Arabica",$B763))&amp;" - "&amp;(IF($C763="","Commercial",$C763))),Variables!$B$1:$D$1,0),1))*BD763)+(W763*INDEX(Variables!$B$9:$D$9,IFERROR(MATCH(IF($B763="Robusta","Robusta",(IF($B763="","Arabica",$B763))&amp;" - "&amp;(IF($C763="","Commercial",$C763))),Variables!$B$1:$D$1,0),1))*BD763/365),""))</f>
        <v>7.8696098536708545</v>
      </c>
      <c r="BJ763" s="44">
        <f t="shared" si="35"/>
        <v>-22</v>
      </c>
      <c r="BK763" s="44">
        <f>IF($AX763="Cancelled","",IFERROR(IF(BJ763="","",(W763*INDEX(Variables!$B$7:$D$7,IFERROR(MATCH(IF($B763="Robusta","Robusta",(IF($B763="","Arabica",$B763))&amp;" - "&amp;(IF($C763="","Commercial",$C763))),Variables!$B$1:$D$1,0),1))*(BJ763/365))+(W763*INDEX(Variables!$B$9:$D$9,IFERROR(MATCH(IF($B763="Robusta","Robusta",(IF($B763="","Arabica",$B763))&amp;" - "&amp;(IF($C763="","Commercial",$C763))),Variables!$B$1:$D$1,0),1))*(BJ763/365))+(INDEX(Variables!$B$8:$D$8,IFERROR(MATCH(IF($B763="Robusta","Robusta",(IF($B763="","Arabica",$B763))&amp;" - "&amp;(IF($C763="","Commercial",$C763))),Variables!$B$1:$D$1,0),1))*L763/16.67)),""))</f>
        <v>-23.12628335615176</v>
      </c>
    </row>
    <row r="764" spans="1:63">
      <c r="A764" s="13" t="s">
        <v>103</v>
      </c>
      <c r="B764" s="13" t="s">
        <v>104</v>
      </c>
      <c r="C764" s="13" t="s">
        <v>292</v>
      </c>
      <c r="D764" s="31">
        <v>46050</v>
      </c>
      <c r="E764" s="31">
        <v>46054</v>
      </c>
      <c r="F764" s="31">
        <v>46081</v>
      </c>
      <c r="G764" s="13">
        <v>3787205</v>
      </c>
      <c r="J764" s="13" t="s">
        <v>447</v>
      </c>
      <c r="K764" s="13" t="s">
        <v>2052</v>
      </c>
      <c r="L764" s="13">
        <v>5</v>
      </c>
      <c r="M764" s="13">
        <v>0</v>
      </c>
      <c r="N764" s="13" t="s">
        <v>2053</v>
      </c>
      <c r="O764" s="13" t="s">
        <v>771</v>
      </c>
      <c r="P764" s="13">
        <v>10010</v>
      </c>
      <c r="R764" s="13" t="s">
        <v>384</v>
      </c>
      <c r="S764" s="13" t="s">
        <v>154</v>
      </c>
      <c r="T764" s="13" t="s">
        <v>155</v>
      </c>
      <c r="U764" s="13" t="s">
        <v>125</v>
      </c>
      <c r="V764" s="13">
        <v>132</v>
      </c>
      <c r="W764" s="44">
        <f>IF($AX764="Cancelled","",IFERROR(((V764+INDEX(Variables!$B$6:$D$6,IFERROR(MATCH(IF($B764="Robusta","Robusta",(IF($B764="","Arabica",$B764))&amp;" - "&amp;(IF($C764="","Commercial",$C764))),Variables!$B$1:$D$1,0),1)))*22.0462)*(L764/16.67),""))</f>
        <v>2795.7808518296338</v>
      </c>
      <c r="X764" s="55" t="s">
        <v>39</v>
      </c>
      <c r="Y764" s="13" t="str">
        <f>IF($AX764="Cancelled","",IF(X764="","",IFERROR(IF(INDEX(Variables!$B$38:$B$47,MATCH(X764,Variables!$A$38:$A$47,0))="Yes","Yes","No"),"No")))</f>
        <v>No</v>
      </c>
      <c r="Z764" s="31"/>
      <c r="AB764" s="31">
        <v>46022.875</v>
      </c>
      <c r="AC764" s="13" t="str">
        <f t="shared" si="34"/>
        <v>Approved</v>
      </c>
      <c r="AF764" s="71">
        <v>46077</v>
      </c>
      <c r="AG764" s="31">
        <f>IF($AX764="Cancelled","",IFERROR(IF(F764="","",F764-Variables!$B$13),""))</f>
        <v>46066</v>
      </c>
      <c r="AH764" s="13">
        <f>IF($AX764="Cancelled","",IFERROR(IF(AB764="","",(AVERAGE(E764:F764)-AB764)-Variables!$B$14),""))</f>
        <v>14.625</v>
      </c>
      <c r="AJ764" s="47">
        <v>46093</v>
      </c>
      <c r="AK764" s="14">
        <f>IF($AX764="Cancelled","",IFERROR(IF(AJ764="","",IF(AND(AB764="",AF764=""),"",IF(AF764&gt;AB764,AF764+Variables!$B$15+Variables!$B$16+Variables!$B$17-AJ764,AB764+Variables!$B$16+Variables!$B$17-AJ764))),""))</f>
        <v>-1</v>
      </c>
      <c r="AL764" s="48" t="s">
        <v>114</v>
      </c>
      <c r="AM764" s="13" t="s">
        <v>168</v>
      </c>
      <c r="AN764" s="13" t="s">
        <v>1674</v>
      </c>
      <c r="AP764" s="31" t="e">
        <v>#N/A</v>
      </c>
      <c r="AR764" s="13" t="s">
        <v>1675</v>
      </c>
      <c r="AS764" s="31">
        <v>46103</v>
      </c>
      <c r="AU764" s="31">
        <v>46140</v>
      </c>
      <c r="AV764" s="13" t="s">
        <v>865</v>
      </c>
      <c r="AW764" s="31">
        <v>46142</v>
      </c>
      <c r="AX764" s="13" t="str">
        <f>IF(ISNUMBER(SEARCH("cancel",#REF!)),"Cancelled",IF(AND(AS764&lt;&gt;"",AU764&lt;&gt;"",AW764&lt;&gt;""),"Closed","Open"))</f>
        <v>Closed</v>
      </c>
      <c r="AY764" s="15" t="str">
        <f t="shared" si="33"/>
        <v>All dates received</v>
      </c>
      <c r="BD764" s="13">
        <f>IF($AX764="Cancelled","",IFERROR(IF(OR(AS764="",AJ764=""),"",(AJ764+Variables!$B$18-AS764)),""))</f>
        <v>5</v>
      </c>
      <c r="BE764" s="13">
        <f>IF($AX764="Cancelled","",IFERROR(IF(OR(AW764="",AS764=""),"",(AS764+Variables!$B$19)-AW764),""))</f>
        <v>-34</v>
      </c>
      <c r="BF764" s="44">
        <f>IF($AX764="Cancelled","",IFERROR(W764*INDEX(Variables!$B$7:$D$7,IFERROR(MATCH(IF($B764="Robusta","Robusta",(IF($B764="","Arabica",$B764))&amp;" - "&amp;(IF($C764="","Commercial",$C764))),Variables!$B$1:$D$1,0),1))*(BE764/365),""))</f>
        <v>-16.793028497235234</v>
      </c>
      <c r="BG764" s="44">
        <f>IF($AX764="Cancelled","",IFERROR((W764*INDEX(Variables!$B$7:$D$7,IFERROR(MATCH(IF($B764="Robusta","Robusta",(IF($B764="","Arabica",$B764))&amp;" - "&amp;(IF($C764="","Commercial",$C764))),Variables!$B$1:$D$1,0),1))*IFERROR(IF(AB764="","",(AVERAGE(E764:F764)-AB764)-Variables!$B$14),"")/365)+(L764/16.67*INDEX(Variables!$B$8:$D$8,IFERROR(MATCH(IF($B764="Robusta","Robusta",(IF($B764="","Arabica",$B764))&amp;" - "&amp;(IF($C764="","Commercial",$C764))),Variables!$B$1:$D$1,0),1))*IFERROR(IF(AB764="","",(AVERAGE(E764:F764)-AB764)-Variables!$B$14),""))+(W764*INDEX(Variables!$B$9:$D$9,IFERROR(MATCH(IF($B764="Robusta","Robusta",(IF($B764="","Arabica",$B764))&amp;" - "&amp;(IF($C764="","Commercial",$C764))),Variables!$B$1:$D$1,0),1))*IFERROR(IF(AB764="","",(AVERAGE(E764:F764)-AB764)-Variables!$B$14),"")/365),""))</f>
        <v>10.972846308876386</v>
      </c>
      <c r="BH764" s="44">
        <f>IF($AX764="Cancelled","",IFERROR((W764*INDEX(Variables!$B$7:$D$7,IFERROR(MATCH(IF($B764="Robusta","Robusta",(IF($B764="","Arabica",$B764))&amp;" - "&amp;(IF($C764="","Commercial",$C764))),Variables!$B$1:$D$1,0),1))*AK764/365)+(L764/16.67*INDEX(Variables!$B$8:$D$8,IFERROR(MATCH(IF($B764="Robusta","Robusta",(IF($B764="","Arabica",$B764))&amp;" - "&amp;(IF($C764="","Commercial",$C764))),Variables!$B$1:$D$1,0),1))*AK764)+(W764*INDEX(Variables!$B$9:$D$9,IFERROR(MATCH(IF($B764="Robusta","Robusta",(IF($B764="","Arabica",$B764))&amp;" - "&amp;(IF($C764="","Commercial",$C764))),Variables!$B$1:$D$1,0),1))*AK764/365),""))</f>
        <v>-0.75028008949582126</v>
      </c>
      <c r="BI764" s="44">
        <f>IF($AX764="Cancelled","",IFERROR((W764*INDEX(Variables!$B$7:$D$7,IFERROR(MATCH(IF($B764="Robusta","Robusta",(IF($B764="","Arabica",$B764))&amp;" - "&amp;(IF($C764="","Commercial",$C764))),Variables!$B$1:$D$1,0),1))*BD764/365)+(L764/16.67*INDEX(Variables!$B$8:$D$8,IFERROR(MATCH(IF($B764="Robusta","Robusta",(IF($B764="","Arabica",$B764))&amp;" - "&amp;(IF($C764="","Commercial",$C764))),Variables!$B$1:$D$1,0),1))*BD764)+(W764*INDEX(Variables!$B$9:$D$9,IFERROR(MATCH(IF($B764="Robusta","Robusta",(IF($B764="","Arabica",$B764))&amp;" - "&amp;(IF($C764="","Commercial",$C764))),Variables!$B$1:$D$1,0),1))*BD764/365),""))</f>
        <v>3.7514004474791065</v>
      </c>
      <c r="BJ764" s="44">
        <f t="shared" si="35"/>
        <v>-22</v>
      </c>
      <c r="BK764" s="44">
        <f>IF($AX764="Cancelled","",IFERROR(IF(BJ764="","",(W764*INDEX(Variables!$B$7:$D$7,IFERROR(MATCH(IF($B764="Robusta","Robusta",(IF($B764="","Arabica",$B764))&amp;" - "&amp;(IF($C764="","Commercial",$C764))),Variables!$B$1:$D$1,0),1))*(BJ764/365))+(W764*INDEX(Variables!$B$9:$D$9,IFERROR(MATCH(IF($B764="Robusta","Robusta",(IF($B764="","Arabica",$B764))&amp;" - "&amp;(IF($C764="","Commercial",$C764))),Variables!$B$1:$D$1,0),1))*(BJ764/365))+(INDEX(Variables!$B$8:$D$8,IFERROR(MATCH(IF($B764="Robusta","Robusta",(IF($B764="","Arabica",$B764))&amp;" - "&amp;(IF($C764="","Commercial",$C764))),Variables!$B$1:$D$1,0),1))*L764/16.67)),""))</f>
        <v>-10.756161968908071</v>
      </c>
    </row>
    <row r="765" spans="1:63">
      <c r="A765" s="13" t="s">
        <v>103</v>
      </c>
      <c r="B765" s="13" t="s">
        <v>104</v>
      </c>
      <c r="C765" s="13" t="s">
        <v>292</v>
      </c>
      <c r="D765" s="31">
        <v>46050</v>
      </c>
      <c r="E765" s="31">
        <v>46054</v>
      </c>
      <c r="F765" s="31">
        <v>46081</v>
      </c>
      <c r="G765" s="13">
        <v>3787206</v>
      </c>
      <c r="J765" s="13" t="s">
        <v>447</v>
      </c>
      <c r="K765" s="13" t="s">
        <v>2054</v>
      </c>
      <c r="L765" s="13">
        <v>10</v>
      </c>
      <c r="M765" s="13">
        <v>0</v>
      </c>
      <c r="N765" s="13" t="s">
        <v>2055</v>
      </c>
      <c r="O765" s="13" t="s">
        <v>297</v>
      </c>
      <c r="P765" s="13">
        <v>10040</v>
      </c>
      <c r="R765" s="13" t="s">
        <v>384</v>
      </c>
      <c r="S765" s="13" t="s">
        <v>154</v>
      </c>
      <c r="T765" s="13" t="s">
        <v>155</v>
      </c>
      <c r="U765" s="13" t="s">
        <v>125</v>
      </c>
      <c r="V765" s="13">
        <v>132</v>
      </c>
      <c r="W765" s="44">
        <f>IF($AX765="Cancelled","",IFERROR(((V765+INDEX(Variables!$B$6:$D$6,IFERROR(MATCH(IF($B765="Robusta","Robusta",(IF($B765="","Arabica",$B765))&amp;" - "&amp;(IF($C765="","Commercial",$C765))),Variables!$B$1:$D$1,0),1)))*22.0462)*(L765/16.67),""))</f>
        <v>5591.5617036592676</v>
      </c>
      <c r="X765" s="55" t="s">
        <v>39</v>
      </c>
      <c r="Y765" s="13" t="str">
        <f>IF($AX765="Cancelled","",IF(X765="","",IFERROR(IF(INDEX(Variables!$B$38:$B$47,MATCH(X765,Variables!$A$38:$A$47,0))="Yes","Yes","No"),"No")))</f>
        <v>No</v>
      </c>
      <c r="Z765" s="31"/>
      <c r="AB765" s="31">
        <v>46022.875</v>
      </c>
      <c r="AC765" s="13" t="str">
        <f t="shared" si="34"/>
        <v>Approved</v>
      </c>
      <c r="AF765" s="71">
        <v>46091</v>
      </c>
      <c r="AG765" s="31">
        <f>IF($AX765="Cancelled","",IFERROR(IF(F765="","",F765-Variables!$B$13),""))</f>
        <v>46066</v>
      </c>
      <c r="AH765" s="13">
        <f>IF($AX765="Cancelled","",IFERROR(IF(AB765="","",(AVERAGE(E765:F765)-AB765)-Variables!$B$14),""))</f>
        <v>14.625</v>
      </c>
      <c r="AJ765" s="47">
        <v>46093</v>
      </c>
      <c r="AK765" s="14">
        <f>IF($AX765="Cancelled","",IFERROR(IF(AJ765="","",IF(AND(AB765="",AF765=""),"",IF(AF765&gt;AB765,AF765+Variables!$B$15+Variables!$B$16+Variables!$B$17-AJ765,AB765+Variables!$B$16+Variables!$B$17-AJ765))),""))</f>
        <v>13</v>
      </c>
      <c r="AL765" s="48" t="s">
        <v>114</v>
      </c>
      <c r="AM765" s="13" t="s">
        <v>168</v>
      </c>
      <c r="AN765" s="13" t="s">
        <v>1674</v>
      </c>
      <c r="AP765" s="31" t="e">
        <v>#N/A</v>
      </c>
      <c r="AR765" s="13" t="s">
        <v>1675</v>
      </c>
      <c r="AS765" s="31">
        <v>46103</v>
      </c>
      <c r="AU765" s="31">
        <v>46140</v>
      </c>
      <c r="AV765" s="13" t="s">
        <v>865</v>
      </c>
      <c r="AW765" s="31">
        <v>46142</v>
      </c>
      <c r="AX765" s="13" t="str">
        <f>IF(ISNUMBER(SEARCH("cancel",#REF!)),"Cancelled",IF(AND(AS765&lt;&gt;"",AU765&lt;&gt;"",AW765&lt;&gt;""),"Closed","Open"))</f>
        <v>Closed</v>
      </c>
      <c r="AY765" s="15" t="str">
        <f t="shared" si="33"/>
        <v>All dates received</v>
      </c>
      <c r="BD765" s="13">
        <f>IF($AX765="Cancelled","",IFERROR(IF(OR(AS765="",AJ765=""),"",(AJ765+Variables!$B$18-AS765)),""))</f>
        <v>5</v>
      </c>
      <c r="BE765" s="13">
        <f>IF($AX765="Cancelled","",IFERROR(IF(OR(AW765="",AS765=""),"",(AS765+Variables!$B$19)-AW765),""))</f>
        <v>-34</v>
      </c>
      <c r="BF765" s="44">
        <f>IF($AX765="Cancelled","",IFERROR(W765*INDEX(Variables!$B$7:$D$7,IFERROR(MATCH(IF($B765="Robusta","Robusta",(IF($B765="","Arabica",$B765))&amp;" - "&amp;(IF($C765="","Commercial",$C765))),Variables!$B$1:$D$1,0),1))*(BE765/365),""))</f>
        <v>-33.586056994470468</v>
      </c>
      <c r="BG765" s="44">
        <f>IF($AX765="Cancelled","",IFERROR((W765*INDEX(Variables!$B$7:$D$7,IFERROR(MATCH(IF($B765="Robusta","Robusta",(IF($B765="","Arabica",$B765))&amp;" - "&amp;(IF($C765="","Commercial",$C765))),Variables!$B$1:$D$1,0),1))*IFERROR(IF(AB765="","",(AVERAGE(E765:F765)-AB765)-Variables!$B$14),"")/365)+(L765/16.67*INDEX(Variables!$B$8:$D$8,IFERROR(MATCH(IF($B765="Robusta","Robusta",(IF($B765="","Arabica",$B765))&amp;" - "&amp;(IF($C765="","Commercial",$C765))),Variables!$B$1:$D$1,0),1))*IFERROR(IF(AB765="","",(AVERAGE(E765:F765)-AB765)-Variables!$B$14),""))+(W765*INDEX(Variables!$B$9:$D$9,IFERROR(MATCH(IF($B765="Robusta","Robusta",(IF($B765="","Arabica",$B765))&amp;" - "&amp;(IF($C765="","Commercial",$C765))),Variables!$B$1:$D$1,0),1))*IFERROR(IF(AB765="","",(AVERAGE(E765:F765)-AB765)-Variables!$B$14),"")/365),""))</f>
        <v>21.945692617752773</v>
      </c>
      <c r="BH765" s="44">
        <f>IF($AX765="Cancelled","",IFERROR((W765*INDEX(Variables!$B$7:$D$7,IFERROR(MATCH(IF($B765="Robusta","Robusta",(IF($B765="","Arabica",$B765))&amp;" - "&amp;(IF($C765="","Commercial",$C765))),Variables!$B$1:$D$1,0),1))*AK765/365)+(L765/16.67*INDEX(Variables!$B$8:$D$8,IFERROR(MATCH(IF($B765="Robusta","Robusta",(IF($B765="","Arabica",$B765))&amp;" - "&amp;(IF($C765="","Commercial",$C765))),Variables!$B$1:$D$1,0),1))*AK765)+(W765*INDEX(Variables!$B$9:$D$9,IFERROR(MATCH(IF($B765="Robusta","Robusta",(IF($B765="","Arabica",$B765))&amp;" - "&amp;(IF($C765="","Commercial",$C765))),Variables!$B$1:$D$1,0),1))*AK765/365),""))</f>
        <v>19.507282326891353</v>
      </c>
      <c r="BI765" s="44">
        <f>IF($AX765="Cancelled","",IFERROR((W765*INDEX(Variables!$B$7:$D$7,IFERROR(MATCH(IF($B765="Robusta","Robusta",(IF($B765="","Arabica",$B765))&amp;" - "&amp;(IF($C765="","Commercial",$C765))),Variables!$B$1:$D$1,0),1))*BD765/365)+(L765/16.67*INDEX(Variables!$B$8:$D$8,IFERROR(MATCH(IF($B765="Robusta","Robusta",(IF($B765="","Arabica",$B765))&amp;" - "&amp;(IF($C765="","Commercial",$C765))),Variables!$B$1:$D$1,0),1))*BD765)+(W765*INDEX(Variables!$B$9:$D$9,IFERROR(MATCH(IF($B765="Robusta","Robusta",(IF($B765="","Arabica",$B765))&amp;" - "&amp;(IF($C765="","Commercial",$C765))),Variables!$B$1:$D$1,0),1))*BD765/365),""))</f>
        <v>7.502800894958213</v>
      </c>
      <c r="BJ765" s="44">
        <f t="shared" si="35"/>
        <v>-22</v>
      </c>
      <c r="BK765" s="44">
        <f>IF($AX765="Cancelled","",IFERROR(IF(BJ765="","",(W765*INDEX(Variables!$B$7:$D$7,IFERROR(MATCH(IF($B765="Robusta","Robusta",(IF($B765="","Arabica",$B765))&amp;" - "&amp;(IF($C765="","Commercial",$C765))),Variables!$B$1:$D$1,0),1))*(BJ765/365))+(W765*INDEX(Variables!$B$9:$D$9,IFERROR(MATCH(IF($B765="Robusta","Robusta",(IF($B765="","Arabica",$B765))&amp;" - "&amp;(IF($C765="","Commercial",$C765))),Variables!$B$1:$D$1,0),1))*(BJ765/365))+(INDEX(Variables!$B$8:$D$8,IFERROR(MATCH(IF($B765="Robusta","Robusta",(IF($B765="","Arabica",$B765))&amp;" - "&amp;(IF($C765="","Commercial",$C765))),Variables!$B$1:$D$1,0),1))*L765/16.67)),""))</f>
        <v>-21.512323937816141</v>
      </c>
    </row>
    <row r="766" spans="1:63">
      <c r="A766" s="13" t="s">
        <v>103</v>
      </c>
      <c r="B766" s="13" t="s">
        <v>104</v>
      </c>
      <c r="C766" s="13" t="s">
        <v>292</v>
      </c>
      <c r="D766" s="31">
        <v>46050</v>
      </c>
      <c r="E766" s="31">
        <v>46054</v>
      </c>
      <c r="F766" s="31">
        <v>46081</v>
      </c>
      <c r="G766" s="13">
        <v>3787207</v>
      </c>
      <c r="J766" s="13" t="s">
        <v>447</v>
      </c>
      <c r="K766" s="13" t="s">
        <v>2056</v>
      </c>
      <c r="L766" s="13">
        <v>5</v>
      </c>
      <c r="M766" s="13">
        <v>0</v>
      </c>
      <c r="N766" s="13" t="s">
        <v>2057</v>
      </c>
      <c r="P766" s="13">
        <v>10040</v>
      </c>
      <c r="R766" s="13" t="s">
        <v>384</v>
      </c>
      <c r="S766" s="13" t="s">
        <v>154</v>
      </c>
      <c r="T766" s="13" t="s">
        <v>155</v>
      </c>
      <c r="U766" s="13" t="s">
        <v>125</v>
      </c>
      <c r="V766" s="13">
        <v>130</v>
      </c>
      <c r="W766" s="44">
        <f>IF($AX766="Cancelled","",IFERROR(((V766+INDEX(Variables!$B$6:$D$6,IFERROR(MATCH(IF($B766="Robusta","Robusta",(IF($B766="","Arabica",$B766))&amp;" - "&amp;(IF($C766="","Commercial",$C766))),Variables!$B$1:$D$1,0),1)))*22.0462)*(L766/16.67),""))</f>
        <v>2782.5557768446311</v>
      </c>
      <c r="X766" s="55" t="s">
        <v>39</v>
      </c>
      <c r="Y766" s="13" t="str">
        <f>IF($AX766="Cancelled","",IF(X766="","",IFERROR(IF(INDEX(Variables!$B$38:$B$47,MATCH(X766,Variables!$A$38:$A$47,0))="Yes","Yes","No"),"No")))</f>
        <v>No</v>
      </c>
      <c r="Z766" s="31"/>
      <c r="AB766" s="31">
        <v>46022.875</v>
      </c>
      <c r="AC766" s="13" t="str">
        <f t="shared" si="34"/>
        <v>Approved</v>
      </c>
      <c r="AF766" s="71">
        <v>46077</v>
      </c>
      <c r="AG766" s="31">
        <f>IF($AX766="Cancelled","",IFERROR(IF(F766="","",F766-Variables!$B$13),""))</f>
        <v>46066</v>
      </c>
      <c r="AH766" s="13">
        <f>IF($AX766="Cancelled","",IFERROR(IF(AB766="","",(AVERAGE(E766:F766)-AB766)-Variables!$B$14),""))</f>
        <v>14.625</v>
      </c>
      <c r="AJ766" s="47">
        <v>46093</v>
      </c>
      <c r="AK766" s="14">
        <f>IF($AX766="Cancelled","",IFERROR(IF(AJ766="","",IF(AND(AB766="",AF766=""),"",IF(AF766&gt;AB766,AF766+Variables!$B$15+Variables!$B$16+Variables!$B$17-AJ766,AB766+Variables!$B$16+Variables!$B$17-AJ766))),""))</f>
        <v>-1</v>
      </c>
      <c r="AL766" s="48" t="s">
        <v>114</v>
      </c>
      <c r="AM766" s="13" t="s">
        <v>168</v>
      </c>
      <c r="AN766" s="13" t="s">
        <v>1674</v>
      </c>
      <c r="AP766" s="31" t="e">
        <v>#N/A</v>
      </c>
      <c r="AR766" s="13" t="s">
        <v>1675</v>
      </c>
      <c r="AS766" s="31">
        <v>46100</v>
      </c>
      <c r="AU766" s="31">
        <v>46140</v>
      </c>
      <c r="AV766" s="13" t="s">
        <v>865</v>
      </c>
      <c r="AW766" s="31">
        <v>46142</v>
      </c>
      <c r="AX766" s="13" t="str">
        <f>IF(ISNUMBER(SEARCH("cancel",#REF!)),"Cancelled",IF(AND(AS766&lt;&gt;"",AU766&lt;&gt;"",AW766&lt;&gt;""),"Closed","Open"))</f>
        <v>Closed</v>
      </c>
      <c r="AY766" s="15" t="str">
        <f t="shared" si="33"/>
        <v>All dates received</v>
      </c>
      <c r="BD766" s="13">
        <f>IF($AX766="Cancelled","",IFERROR(IF(OR(AS766="",AJ766=""),"",(AJ766+Variables!$B$18-AS766)),""))</f>
        <v>8</v>
      </c>
      <c r="BE766" s="13">
        <f>IF($AX766="Cancelled","",IFERROR(IF(OR(AW766="",AS766=""),"",(AS766+Variables!$B$19)-AW766),""))</f>
        <v>-37</v>
      </c>
      <c r="BF766" s="44">
        <f>IF($AX766="Cancelled","",IFERROR(W766*INDEX(Variables!$B$7:$D$7,IFERROR(MATCH(IF($B766="Robusta","Robusta",(IF($B766="","Arabica",$B766))&amp;" - "&amp;(IF($C766="","Commercial",$C766))),Variables!$B$1:$D$1,0),1))*(BE766/365),""))</f>
        <v>-18.188319918370091</v>
      </c>
      <c r="BG766" s="44">
        <f>IF($AX766="Cancelled","",IFERROR((W766*INDEX(Variables!$B$7:$D$7,IFERROR(MATCH(IF($B766="Robusta","Robusta",(IF($B766="","Arabica",$B766))&amp;" - "&amp;(IF($C766="","Commercial",$C766))),Variables!$B$1:$D$1,0),1))*IFERROR(IF(AB766="","",(AVERAGE(E766:F766)-AB766)-Variables!$B$14),"")/365)+(L766/16.67*INDEX(Variables!$B$8:$D$8,IFERROR(MATCH(IF($B766="Robusta","Robusta",(IF($B766="","Arabica",$B766))&amp;" - "&amp;(IF($C766="","Commercial",$C766))),Variables!$B$1:$D$1,0),1))*IFERROR(IF(AB766="","",(AVERAGE(E766:F766)-AB766)-Variables!$B$14),""))+(W766*INDEX(Variables!$B$9:$D$9,IFERROR(MATCH(IF($B766="Robusta","Robusta",(IF($B766="","Arabica",$B766))&amp;" - "&amp;(IF($C766="","Commercial",$C766))),Variables!$B$1:$D$1,0),1))*IFERROR(IF(AB766="","",(AVERAGE(E766:F766)-AB766)-Variables!$B$14),"")/365),""))</f>
        <v>10.938236108739792</v>
      </c>
      <c r="BH766" s="44">
        <f>IF($AX766="Cancelled","",IFERROR((W766*INDEX(Variables!$B$7:$D$7,IFERROR(MATCH(IF($B766="Robusta","Robusta",(IF($B766="","Arabica",$B766))&amp;" - "&amp;(IF($C766="","Commercial",$C766))),Variables!$B$1:$D$1,0),1))*AK766/365)+(L766/16.67*INDEX(Variables!$B$8:$D$8,IFERROR(MATCH(IF($B766="Robusta","Robusta",(IF($B766="","Arabica",$B766))&amp;" - "&amp;(IF($C766="","Commercial",$C766))),Variables!$B$1:$D$1,0),1))*AK766)+(W766*INDEX(Variables!$B$9:$D$9,IFERROR(MATCH(IF($B766="Robusta","Robusta",(IF($B766="","Arabica",$B766))&amp;" - "&amp;(IF($C766="","Commercial",$C766))),Variables!$B$1:$D$1,0),1))*AK766/365),""))</f>
        <v>-0.74791358008477216</v>
      </c>
      <c r="BI766" s="44">
        <f>IF($AX766="Cancelled","",IFERROR((W766*INDEX(Variables!$B$7:$D$7,IFERROR(MATCH(IF($B766="Robusta","Robusta",(IF($B766="","Arabica",$B766))&amp;" - "&amp;(IF($C766="","Commercial",$C766))),Variables!$B$1:$D$1,0),1))*BD766/365)+(L766/16.67*INDEX(Variables!$B$8:$D$8,IFERROR(MATCH(IF($B766="Robusta","Robusta",(IF($B766="","Arabica",$B766))&amp;" - "&amp;(IF($C766="","Commercial",$C766))),Variables!$B$1:$D$1,0),1))*BD766)+(W766*INDEX(Variables!$B$9:$D$9,IFERROR(MATCH(IF($B766="Robusta","Robusta",(IF($B766="","Arabica",$B766))&amp;" - "&amp;(IF($C766="","Commercial",$C766))),Variables!$B$1:$D$1,0),1))*BD766/365),""))</f>
        <v>5.9833086406781772</v>
      </c>
      <c r="BJ766" s="44">
        <f t="shared" si="35"/>
        <v>-19</v>
      </c>
      <c r="BK766" s="44">
        <f>IF($AX766="Cancelled","",IFERROR(IF(BJ766="","",(W766*INDEX(Variables!$B$7:$D$7,IFERROR(MATCH(IF($B766="Robusta","Robusta",(IF($B766="","Arabica",$B766))&amp;" - "&amp;(IF($C766="","Commercial",$C766))),Variables!$B$1:$D$1,0),1))*(BJ766/365))+(W766*INDEX(Variables!$B$9:$D$9,IFERROR(MATCH(IF($B766="Robusta","Robusta",(IF($B766="","Arabica",$B766))&amp;" - "&amp;(IF($C766="","Commercial",$C766))),Variables!$B$1:$D$1,0),1))*(BJ766/365))+(INDEX(Variables!$B$8:$D$8,IFERROR(MATCH(IF($B766="Robusta","Robusta",(IF($B766="","Arabica",$B766))&amp;" - "&amp;(IF($C766="","Commercial",$C766))),Variables!$B$1:$D$1,0),1))*L766/16.67)),""))</f>
        <v>-9.2103580216106717</v>
      </c>
    </row>
    <row r="767" spans="1:63">
      <c r="A767" s="13" t="s">
        <v>103</v>
      </c>
      <c r="B767" s="13" t="s">
        <v>104</v>
      </c>
      <c r="C767" s="13" t="s">
        <v>292</v>
      </c>
      <c r="D767" s="31">
        <v>46052</v>
      </c>
      <c r="E767" s="31">
        <v>46054</v>
      </c>
      <c r="F767" s="31">
        <v>46081</v>
      </c>
      <c r="G767" s="13">
        <v>3787208</v>
      </c>
      <c r="J767" s="13" t="s">
        <v>1641</v>
      </c>
      <c r="K767" s="13" t="s">
        <v>2058</v>
      </c>
      <c r="L767" s="13">
        <v>58</v>
      </c>
      <c r="M767" s="13">
        <v>0</v>
      </c>
      <c r="N767" s="13" t="s">
        <v>2059</v>
      </c>
      <c r="O767" s="13" t="s">
        <v>304</v>
      </c>
      <c r="P767" s="13">
        <v>10010</v>
      </c>
      <c r="R767" s="13" t="s">
        <v>239</v>
      </c>
      <c r="S767" s="13" t="s">
        <v>776</v>
      </c>
      <c r="T767" s="13" t="s">
        <v>777</v>
      </c>
      <c r="U767" s="13" t="s">
        <v>125</v>
      </c>
      <c r="V767" s="13">
        <v>165</v>
      </c>
      <c r="W767" s="44">
        <f>IF($AX767="Cancelled","",IFERROR(((V767+INDEX(Variables!$B$6:$D$6,IFERROR(MATCH(IF($B767="Robusta","Robusta",(IF($B767="","Arabica",$B767))&amp;" - "&amp;(IF($C767="","Commercial",$C767))),Variables!$B$1:$D$1,0),1)))*22.0462)*(L767/16.67),""))</f>
        <v>34962.337233353326</v>
      </c>
      <c r="X767" s="55" t="s">
        <v>39</v>
      </c>
      <c r="Y767" s="13" t="str">
        <f>IF($AX767="Cancelled","",IF(X767="","",IFERROR(IF(INDEX(Variables!$B$38:$B$47,MATCH(X767,Variables!$A$38:$A$47,0))="Yes","Yes","No"),"No")))</f>
        <v>No</v>
      </c>
      <c r="Z767" s="31"/>
      <c r="AB767" s="31">
        <v>46036.875</v>
      </c>
      <c r="AC767" s="13" t="str">
        <f t="shared" si="34"/>
        <v>Approved</v>
      </c>
      <c r="AF767" s="71">
        <v>46086</v>
      </c>
      <c r="AG767" s="31">
        <f>IF($AX767="Cancelled","",IFERROR(IF(F767="","",F767-Variables!$B$13),""))</f>
        <v>46066</v>
      </c>
      <c r="AH767" s="13">
        <f>IF($AX767="Cancelled","",IFERROR(IF(AB767="","",(AVERAGE(E767:F767)-AB767)-Variables!$B$14),""))</f>
        <v>0.625</v>
      </c>
      <c r="AJ767" s="47">
        <v>46095</v>
      </c>
      <c r="AK767" s="14">
        <f>IF($AX767="Cancelled","",IFERROR(IF(AJ767="","",IF(AND(AB767="",AF767=""),"",IF(AF767&gt;AB767,AF767+Variables!$B$15+Variables!$B$16+Variables!$B$17-AJ767,AB767+Variables!$B$16+Variables!$B$17-AJ767))),""))</f>
        <v>6</v>
      </c>
      <c r="AL767" s="48" t="s">
        <v>114</v>
      </c>
      <c r="AM767" s="13" t="s">
        <v>1526</v>
      </c>
      <c r="AN767" s="13" t="s">
        <v>1925</v>
      </c>
      <c r="AP767" s="31" t="e">
        <v>#N/A</v>
      </c>
      <c r="AR767" s="13" t="s">
        <v>1926</v>
      </c>
      <c r="AS767" s="31">
        <v>46117</v>
      </c>
      <c r="AU767" s="31">
        <v>46128</v>
      </c>
      <c r="AV767" s="13" t="s">
        <v>865</v>
      </c>
      <c r="AW767" s="31">
        <v>46142</v>
      </c>
      <c r="AX767" s="13" t="str">
        <f>IF(ISNUMBER(SEARCH("cancel",#REF!)),"Cancelled",IF(AND(AS767&lt;&gt;"",AU767&lt;&gt;"",AW767&lt;&gt;""),"Closed","Open"))</f>
        <v>Closed</v>
      </c>
      <c r="AY767" s="15" t="str">
        <f t="shared" si="33"/>
        <v>All dates received</v>
      </c>
      <c r="BD767" s="13">
        <f>IF($AX767="Cancelled","",IFERROR(IF(OR(AS767="",AJ767=""),"",(AJ767+Variables!$B$18-AS767)),""))</f>
        <v>-7</v>
      </c>
      <c r="BE767" s="13">
        <f>IF($AX767="Cancelled","",IFERROR(IF(OR(AW767="",AS767=""),"",(AS767+Variables!$B$19)-AW767),""))</f>
        <v>-20</v>
      </c>
      <c r="BF767" s="44">
        <f>IF($AX767="Cancelled","",IFERROR(W767*INDEX(Variables!$B$7:$D$7,IFERROR(MATCH(IF($B767="Robusta","Robusta",(IF($B767="","Arabica",$B767))&amp;" - "&amp;(IF($C767="","Commercial",$C767))),Variables!$B$1:$D$1,0),1))*(BE767/365),""))</f>
        <v>-123.53142038074171</v>
      </c>
      <c r="BG767" s="44">
        <f>IF($AX767="Cancelled","",IFERROR((W767*INDEX(Variables!$B$7:$D$7,IFERROR(MATCH(IF($B767="Robusta","Robusta",(IF($B767="","Arabica",$B767))&amp;" - "&amp;(IF($C767="","Commercial",$C767))),Variables!$B$1:$D$1,0),1))*IFERROR(IF(AB767="","",(AVERAGE(E767:F767)-AB767)-Variables!$B$14),"")/365)+(L767/16.67*INDEX(Variables!$B$8:$D$8,IFERROR(MATCH(IF($B767="Robusta","Robusta",(IF($B767="","Arabica",$B767))&amp;" - "&amp;(IF($C767="","Commercial",$C767))),Variables!$B$1:$D$1,0),1))*IFERROR(IF(AB767="","",(AVERAGE(E767:F767)-AB767)-Variables!$B$14),""))+(W767*INDEX(Variables!$B$9:$D$9,IFERROR(MATCH(IF($B767="Robusta","Robusta",(IF($B767="","Arabica",$B767))&amp;" - "&amp;(IF($C767="","Commercial",$C767))),Variables!$B$1:$D$1,0),1))*IFERROR(IF(AB767="","",(AVERAGE(E767:F767)-AB767)-Variables!$B$14),"")/365),""))</f>
        <v>5.7226243371414771</v>
      </c>
      <c r="BH767" s="44">
        <f>IF($AX767="Cancelled","",IFERROR((W767*INDEX(Variables!$B$7:$D$7,IFERROR(MATCH(IF($B767="Robusta","Robusta",(IF($B767="","Arabica",$B767))&amp;" - "&amp;(IF($C767="","Commercial",$C767))),Variables!$B$1:$D$1,0),1))*AK767/365)+(L767/16.67*INDEX(Variables!$B$8:$D$8,IFERROR(MATCH(IF($B767="Robusta","Robusta",(IF($B767="","Arabica",$B767))&amp;" - "&amp;(IF($C767="","Commercial",$C767))),Variables!$B$1:$D$1,0),1))*AK767)+(W767*INDEX(Variables!$B$9:$D$9,IFERROR(MATCH(IF($B767="Robusta","Robusta",(IF($B767="","Arabica",$B767))&amp;" - "&amp;(IF($C767="","Commercial",$C767))),Variables!$B$1:$D$1,0),1))*AK767/365),""))</f>
        <v>54.937193636558177</v>
      </c>
      <c r="BI767" s="44">
        <f>IF($AX767="Cancelled","",IFERROR((W767*INDEX(Variables!$B$7:$D$7,IFERROR(MATCH(IF($B767="Robusta","Robusta",(IF($B767="","Arabica",$B767))&amp;" - "&amp;(IF($C767="","Commercial",$C767))),Variables!$B$1:$D$1,0),1))*BD767/365)+(L767/16.67*INDEX(Variables!$B$8:$D$8,IFERROR(MATCH(IF($B767="Robusta","Robusta",(IF($B767="","Arabica",$B767))&amp;" - "&amp;(IF($C767="","Commercial",$C767))),Variables!$B$1:$D$1,0),1))*BD767)+(W767*INDEX(Variables!$B$9:$D$9,IFERROR(MATCH(IF($B767="Robusta","Robusta",(IF($B767="","Arabica",$B767))&amp;" - "&amp;(IF($C767="","Commercial",$C767))),Variables!$B$1:$D$1,0),1))*BD767/365),""))</f>
        <v>-64.093392575984552</v>
      </c>
      <c r="BJ767" s="44">
        <f t="shared" si="35"/>
        <v>-36</v>
      </c>
      <c r="BK767" s="44">
        <f>IF($AX767="Cancelled","",IFERROR(IF(BJ767="","",(W767*INDEX(Variables!$B$7:$D$7,IFERROR(MATCH(IF($B767="Robusta","Robusta",(IF($B767="","Arabica",$B767))&amp;" - "&amp;(IF($C767="","Commercial",$C767))),Variables!$B$1:$D$1,0),1))*(BJ767/365))+(W767*INDEX(Variables!$B$9:$D$9,IFERROR(MATCH(IF($B767="Robusta","Robusta",(IF($B767="","Arabica",$B767))&amp;" - "&amp;(IF($C767="","Commercial",$C767))),Variables!$B$1:$D$1,0),1))*(BJ767/365))+(INDEX(Variables!$B$8:$D$8,IFERROR(MATCH(IF($B767="Robusta","Robusta",(IF($B767="","Arabica",$B767))&amp;" - "&amp;(IF($C767="","Commercial",$C767))),Variables!$B$1:$D$1,0),1))*L767/16.67)),""))</f>
        <v>-222.32316181934908</v>
      </c>
    </row>
    <row r="768" spans="1:63">
      <c r="A768" s="13" t="s">
        <v>103</v>
      </c>
      <c r="B768" s="13" t="s">
        <v>104</v>
      </c>
      <c r="C768" s="13" t="s">
        <v>292</v>
      </c>
      <c r="D768" s="31">
        <v>46052</v>
      </c>
      <c r="E768" s="31">
        <v>46054</v>
      </c>
      <c r="F768" s="31">
        <v>46081</v>
      </c>
      <c r="G768" s="13">
        <v>3787209</v>
      </c>
      <c r="J768" s="13" t="s">
        <v>1356</v>
      </c>
      <c r="K768" s="13" t="s">
        <v>2060</v>
      </c>
      <c r="L768" s="13">
        <v>11</v>
      </c>
      <c r="M768" s="13">
        <v>0</v>
      </c>
      <c r="N768" s="13" t="s">
        <v>2061</v>
      </c>
      <c r="O768" s="13" t="s">
        <v>304</v>
      </c>
      <c r="P768" s="13">
        <v>10010</v>
      </c>
      <c r="R768" s="13" t="s">
        <v>239</v>
      </c>
      <c r="S768" s="13" t="s">
        <v>595</v>
      </c>
      <c r="T768" s="13" t="s">
        <v>596</v>
      </c>
      <c r="U768" s="13" t="s">
        <v>125</v>
      </c>
      <c r="V768" s="13">
        <v>137</v>
      </c>
      <c r="W768" s="44">
        <f>IF($AX768="Cancelled","",IFERROR(((V768+INDEX(Variables!$B$6:$D$6,IFERROR(MATCH(IF($B768="Robusta","Robusta",(IF($B768="","Arabica",$B768))&amp;" - "&amp;(IF($C768="","Commercial",$C768))),Variables!$B$1:$D$1,0),1)))*22.0462)*(L768/16.67),""))</f>
        <v>6223.4557864427106</v>
      </c>
      <c r="X768" s="55" t="s">
        <v>39</v>
      </c>
      <c r="Y768" s="13" t="str">
        <f>IF($AX768="Cancelled","",IF(X768="","",IFERROR(IF(INDEX(Variables!$B$38:$B$47,MATCH(X768,Variables!$A$38:$A$47,0))="Yes","Yes","No"),"No")))</f>
        <v>No</v>
      </c>
      <c r="Z768" s="31"/>
      <c r="AB768" s="31">
        <v>46022.875</v>
      </c>
      <c r="AC768" s="13" t="str">
        <f t="shared" si="34"/>
        <v>Approved</v>
      </c>
      <c r="AF768" s="71">
        <v>46098</v>
      </c>
      <c r="AG768" s="31">
        <f>IF($AX768="Cancelled","",IFERROR(IF(F768="","",F768-Variables!$B$13),""))</f>
        <v>46066</v>
      </c>
      <c r="AH768" s="13">
        <f>IF($AX768="Cancelled","",IFERROR(IF(AB768="","",(AVERAGE(E768:F768)-AB768)-Variables!$B$14),""))</f>
        <v>14.625</v>
      </c>
      <c r="AJ768" s="47">
        <v>46105</v>
      </c>
      <c r="AK768" s="14">
        <f>IF($AX768="Cancelled","",IFERROR(IF(AJ768="","",IF(AND(AB768="",AF768=""),"",IF(AF768&gt;AB768,AF768+Variables!$B$15+Variables!$B$16+Variables!$B$17-AJ768,AB768+Variables!$B$16+Variables!$B$17-AJ768))),""))</f>
        <v>8</v>
      </c>
      <c r="AL768" s="48" t="s">
        <v>114</v>
      </c>
      <c r="AM768" s="13" t="s">
        <v>1526</v>
      </c>
      <c r="AN768" s="13" t="s">
        <v>1832</v>
      </c>
      <c r="AP768" s="31" t="e">
        <v>#N/A</v>
      </c>
      <c r="AR768" s="13" t="s">
        <v>1833</v>
      </c>
      <c r="AS768" s="31">
        <v>46117</v>
      </c>
      <c r="AU768" s="31">
        <v>46128</v>
      </c>
      <c r="AV768" s="13" t="s">
        <v>865</v>
      </c>
      <c r="AW768" s="31">
        <v>46142</v>
      </c>
      <c r="AX768" s="13" t="str">
        <f>IF(ISNUMBER(SEARCH("cancel",#REF!)),"Cancelled",IF(AND(AS768&lt;&gt;"",AU768&lt;&gt;"",AW768&lt;&gt;""),"Closed","Open"))</f>
        <v>Closed</v>
      </c>
      <c r="AY768" s="15" t="str">
        <f t="shared" ref="AY768:AY831" si="36">IF($AX768="Cancelled","",IF(AND(AS768&lt;&gt;"",AU768&lt;&gt;"",AW768&lt;&gt;""),"All dates received",_xlfn.TEXTJOIN(" and ",TRUE(),IF(AS768="","No sailing date",""),IF(AU768="","No shipping advice sent",""),IF(AW768="","No docs dispatch date",""))))</f>
        <v>All dates received</v>
      </c>
      <c r="BD768" s="13">
        <f>IF($AX768="Cancelled","",IFERROR(IF(OR(AS768="",AJ768=""),"",(AJ768+Variables!$B$18-AS768)),""))</f>
        <v>3</v>
      </c>
      <c r="BE768" s="13">
        <f>IF($AX768="Cancelled","",IFERROR(IF(OR(AW768="",AS768=""),"",(AS768+Variables!$B$19)-AW768),""))</f>
        <v>-20</v>
      </c>
      <c r="BF768" s="44">
        <f>IF($AX768="Cancelled","",IFERROR(W768*INDEX(Variables!$B$7:$D$7,IFERROR(MATCH(IF($B768="Robusta","Robusta",(IF($B768="","Arabica",$B768))&amp;" - "&amp;(IF($C768="","Commercial",$C768))),Variables!$B$1:$D$1,0),1))*(BE768/365),""))</f>
        <v>-21.989157299318148</v>
      </c>
      <c r="BG768" s="44">
        <f>IF($AX768="Cancelled","",IFERROR((W768*INDEX(Variables!$B$7:$D$7,IFERROR(MATCH(IF($B768="Robusta","Robusta",(IF($B768="","Arabica",$B768))&amp;" - "&amp;(IF($C768="","Commercial",$C768))),Variables!$B$1:$D$1,0),1))*IFERROR(IF(AB768="","",(AVERAGE(E768:F768)-AB768)-Variables!$B$14),"")/365)+(L768/16.67*INDEX(Variables!$B$8:$D$8,IFERROR(MATCH(IF($B768="Robusta","Robusta",(IF($B768="","Arabica",$B768))&amp;" - "&amp;(IF($C768="","Commercial",$C768))),Variables!$B$1:$D$1,0),1))*IFERROR(IF(AB768="","",(AVERAGE(E768:F768)-AB768)-Variables!$B$14),""))+(W768*INDEX(Variables!$B$9:$D$9,IFERROR(MATCH(IF($B768="Robusta","Robusta",(IF($B768="","Arabica",$B768))&amp;" - "&amp;(IF($C768="","Commercial",$C768))),Variables!$B$1:$D$1,0),1))*IFERROR(IF(AB768="","",(AVERAGE(E768:F768)-AB768)-Variables!$B$14),"")/365),""))</f>
        <v>24.330617980279335</v>
      </c>
      <c r="BH768" s="44">
        <f>IF($AX768="Cancelled","",IFERROR((W768*INDEX(Variables!$B$7:$D$7,IFERROR(MATCH(IF($B768="Robusta","Robusta",(IF($B768="","Arabica",$B768))&amp;" - "&amp;(IF($C768="","Commercial",$C768))),Variables!$B$1:$D$1,0),1))*AK768/365)+(L768/16.67*INDEX(Variables!$B$8:$D$8,IFERROR(MATCH(IF($B768="Robusta","Robusta",(IF($B768="","Arabica",$B768))&amp;" - "&amp;(IF($C768="","Commercial",$C768))),Variables!$B$1:$D$1,0),1))*AK768)+(W768*INDEX(Variables!$B$9:$D$9,IFERROR(MATCH(IF($B768="Robusta","Robusta",(IF($B768="","Arabica",$B768))&amp;" - "&amp;(IF($C768="","Commercial",$C768))),Variables!$B$1:$D$1,0),1))*AK768/365),""))</f>
        <v>13.309055989212625</v>
      </c>
      <c r="BI768" s="44">
        <f>IF($AX768="Cancelled","",IFERROR((W768*INDEX(Variables!$B$7:$D$7,IFERROR(MATCH(IF($B768="Robusta","Robusta",(IF($B768="","Arabica",$B768))&amp;" - "&amp;(IF($C768="","Commercial",$C768))),Variables!$B$1:$D$1,0),1))*BD768/365)+(L768/16.67*INDEX(Variables!$B$8:$D$8,IFERROR(MATCH(IF($B768="Robusta","Robusta",(IF($B768="","Arabica",$B768))&amp;" - "&amp;(IF($C768="","Commercial",$C768))),Variables!$B$1:$D$1,0),1))*BD768)+(W768*INDEX(Variables!$B$9:$D$9,IFERROR(MATCH(IF($B768="Robusta","Robusta",(IF($B768="","Arabica",$B768))&amp;" - "&amp;(IF($C768="","Commercial",$C768))),Variables!$B$1:$D$1,0),1))*BD768/365),""))</f>
        <v>4.9908959959547348</v>
      </c>
      <c r="BJ768" s="44">
        <f t="shared" si="35"/>
        <v>-36</v>
      </c>
      <c r="BK768" s="44">
        <f>IF($AX768="Cancelled","",IFERROR(IF(BJ768="","",(W768*INDEX(Variables!$B$7:$D$7,IFERROR(MATCH(IF($B768="Robusta","Robusta",(IF($B768="","Arabica",$B768))&amp;" - "&amp;(IF($C768="","Commercial",$C768))),Variables!$B$1:$D$1,0),1))*(BJ768/365))+(W768*INDEX(Variables!$B$9:$D$9,IFERROR(MATCH(IF($B768="Robusta","Robusta",(IF($B768="","Arabica",$B768))&amp;" - "&amp;(IF($C768="","Commercial",$C768))),Variables!$B$1:$D$1,0),1))*(BJ768/365))+(INDEX(Variables!$B$8:$D$8,IFERROR(MATCH(IF($B768="Robusta","Robusta",(IF($B768="","Arabica",$B768))&amp;" - "&amp;(IF($C768="","Commercial",$C768))),Variables!$B$1:$D$1,0),1))*L768/16.67)),""))</f>
        <v>-39.540751951456812</v>
      </c>
    </row>
    <row r="769" spans="1:63">
      <c r="A769" s="13" t="s">
        <v>103</v>
      </c>
      <c r="B769" s="13" t="s">
        <v>104</v>
      </c>
      <c r="C769" s="13" t="s">
        <v>105</v>
      </c>
      <c r="D769" s="31">
        <v>46055</v>
      </c>
      <c r="E769" s="31">
        <v>46082</v>
      </c>
      <c r="F769" s="31">
        <v>46112</v>
      </c>
      <c r="G769" s="13">
        <v>3787210</v>
      </c>
      <c r="H769" s="13">
        <v>5432</v>
      </c>
      <c r="J769" s="13" t="s">
        <v>118</v>
      </c>
      <c r="K769" s="13">
        <v>5432</v>
      </c>
      <c r="L769" s="13">
        <v>1333</v>
      </c>
      <c r="M769" s="13">
        <v>4</v>
      </c>
      <c r="N769" s="13" t="s">
        <v>1890</v>
      </c>
      <c r="O769" s="13" t="s">
        <v>1205</v>
      </c>
      <c r="P769" s="13">
        <v>10045</v>
      </c>
      <c r="Q769" s="59" t="s">
        <v>270</v>
      </c>
      <c r="R769" s="13" t="s">
        <v>271</v>
      </c>
      <c r="S769" s="13" t="s">
        <v>276</v>
      </c>
      <c r="T769" s="13" t="s">
        <v>112</v>
      </c>
      <c r="U769" s="13" t="s">
        <v>113</v>
      </c>
      <c r="V769" s="13">
        <v>40</v>
      </c>
      <c r="W769" s="44">
        <f>IF($AX769="Cancelled","",IFERROR(((V769+INDEX(Variables!$B$6:$D$6,IFERROR(MATCH(IF($B769="Robusta","Robusta",(IF($B769="","Arabica",$B769))&amp;" - "&amp;(IF($C769="","Commercial",$C769))),Variables!$B$1:$D$1,0),1)))*22.0462)*(L769/16.67),""))</f>
        <v>583168.14551169763</v>
      </c>
      <c r="X769" s="55" t="s">
        <v>37</v>
      </c>
      <c r="Y769" s="13" t="str">
        <f>IF($AX769="Cancelled","",IF(X769="","",IFERROR(IF(INDEX(Variables!$B$38:$B$47,MATCH(X769,Variables!$A$38:$A$47,0))="Yes","Yes","No"),"No")))</f>
        <v>Yes</v>
      </c>
      <c r="Z769" s="58">
        <v>46072</v>
      </c>
      <c r="AB769" s="31">
        <v>46079</v>
      </c>
      <c r="AC769" s="13" t="str">
        <f t="shared" si="34"/>
        <v>Approved</v>
      </c>
      <c r="AF769" s="71">
        <v>46088</v>
      </c>
      <c r="AG769" s="37">
        <f>IF($AX769="Cancelled","",IFERROR(IF(F769="","",F769-Variables!$B$13),""))</f>
        <v>46097</v>
      </c>
      <c r="AH769" s="13">
        <f>IF($AX769="Cancelled","",IFERROR(IF(AB769="","",(AVERAGE(E769:F769)-AB769)-Variables!$B$14),""))</f>
        <v>-12</v>
      </c>
      <c r="AJ769" s="47">
        <v>46114</v>
      </c>
      <c r="AK769" s="14">
        <f>IF($AX769="Cancelled","",IFERROR(IF(AJ769="","",IF(AND(AB769="",AF769=""),"",IF(AF769&gt;AB769,AF769+Variables!$B$15+Variables!$B$16+Variables!$B$17-AJ769,AB769+Variables!$B$16+Variables!$B$17-AJ769))),""))</f>
        <v>-11</v>
      </c>
      <c r="AL769" s="48" t="s">
        <v>114</v>
      </c>
      <c r="AM769" s="13" t="s">
        <v>115</v>
      </c>
      <c r="AN769" s="13" t="s">
        <v>1891</v>
      </c>
      <c r="AP769" s="31">
        <v>46123</v>
      </c>
      <c r="AR769" s="13">
        <v>267598817</v>
      </c>
      <c r="AS769" s="31" t="s">
        <v>1892</v>
      </c>
      <c r="AU769" s="31">
        <v>46142</v>
      </c>
      <c r="AV769" s="13" t="s">
        <v>865</v>
      </c>
      <c r="AW769" s="31">
        <v>46142</v>
      </c>
      <c r="AX769" s="13" t="str">
        <f>IF(ISNUMBER(SEARCH("cancel",#REF!)),"Cancelled",IF(AND(AS769&lt;&gt;"",AU769&lt;&gt;"",AW769&lt;&gt;""),"Closed","Open"))</f>
        <v>Closed</v>
      </c>
      <c r="AY769" s="15" t="str">
        <f t="shared" si="36"/>
        <v>All dates received</v>
      </c>
      <c r="BD769" s="13" t="str">
        <f>IF($AX769="Cancelled","",IFERROR(IF(OR(AS769="",AJ769=""),"",(AJ769+Variables!$B$18-AS769)),""))</f>
        <v/>
      </c>
      <c r="BE769" s="13" t="str">
        <f>IF($AX769="Cancelled","",IFERROR(IF(OR(AW769="",AS769=""),"",(AS769+Variables!$B$19)-AW769),""))</f>
        <v/>
      </c>
      <c r="BF769" s="44" t="str">
        <f>IF($AX769="Cancelled","",IFERROR(W769*INDEX(Variables!$B$7:$D$7,IFERROR(MATCH(IF($B769="Robusta","Robusta",(IF($B769="","Arabica",$B769))&amp;" - "&amp;(IF($C769="","Commercial",$C769))),Variables!$B$1:$D$1,0),1))*(BE769/365),""))</f>
        <v/>
      </c>
      <c r="BG769" s="44">
        <f>IF($AX769="Cancelled","",IFERROR((W769*INDEX(Variables!$B$7:$D$7,IFERROR(MATCH(IF($B769="Robusta","Robusta",(IF($B769="","Arabica",$B769))&amp;" - "&amp;(IF($C769="","Commercial",$C769))),Variables!$B$1:$D$1,0),1))*IFERROR(IF(AB769="","",(AVERAGE(E769:F769)-AB769)-Variables!$B$14),"")/365)+(L769/16.67*INDEX(Variables!$B$8:$D$8,IFERROR(MATCH(IF($B769="Robusta","Robusta",(IF($B769="","Arabica",$B769))&amp;" - "&amp;(IF($C769="","Commercial",$C769))),Variables!$B$1:$D$1,0),1))*IFERROR(IF(AB769="","",(AVERAGE(E769:F769)-AB769)-Variables!$B$14),""))+(W769*INDEX(Variables!$B$9:$D$9,IFERROR(MATCH(IF($B769="Robusta","Robusta",(IF($B769="","Arabica",$B769))&amp;" - "&amp;(IF($C769="","Commercial",$C769))),Variables!$B$1:$D$1,0),1))*IFERROR(IF(AB769="","",(AVERAGE(E769:F769)-AB769)-Variables!$B$14),"")/365),""))</f>
        <v>-2052.0329645549018</v>
      </c>
      <c r="BH769" s="44">
        <f>IF($AX769="Cancelled","",IFERROR((W769*INDEX(Variables!$B$7:$D$7,IFERROR(MATCH(IF($B769="Robusta","Robusta",(IF($B769="","Arabica",$B769))&amp;" - "&amp;(IF($C769="","Commercial",$C769))),Variables!$B$1:$D$1,0),1))*AK769/365)+(L769/16.67*INDEX(Variables!$B$8:$D$8,IFERROR(MATCH(IF($B769="Robusta","Robusta",(IF($B769="","Arabica",$B769))&amp;" - "&amp;(IF($C769="","Commercial",$C769))),Variables!$B$1:$D$1,0),1))*AK769)+(W769*INDEX(Variables!$B$9:$D$9,IFERROR(MATCH(IF($B769="Robusta","Robusta",(IF($B769="","Arabica",$B769))&amp;" - "&amp;(IF($C769="","Commercial",$C769))),Variables!$B$1:$D$1,0),1))*AK769/365),""))</f>
        <v>-1881.0302175086599</v>
      </c>
      <c r="BI769" s="44" t="str">
        <f>IF($AX769="Cancelled","",IFERROR((W769*INDEX(Variables!$B$7:$D$7,IFERROR(MATCH(IF($B769="Robusta","Robusta",(IF($B769="","Arabica",$B769))&amp;" - "&amp;(IF($C769="","Commercial",$C769))),Variables!$B$1:$D$1,0),1))*BD769/365)+(L769/16.67*INDEX(Variables!$B$8:$D$8,IFERROR(MATCH(IF($B769="Robusta","Robusta",(IF($B769="","Arabica",$B769))&amp;" - "&amp;(IF($C769="","Commercial",$C769))),Variables!$B$1:$D$1,0),1))*BD769)+(W769*INDEX(Variables!$B$9:$D$9,IFERROR(MATCH(IF($B769="Robusta","Robusta",(IF($B769="","Arabica",$B769))&amp;" - "&amp;(IF($C769="","Commercial",$C769))),Variables!$B$1:$D$1,0),1))*BD769/365),""))</f>
        <v/>
      </c>
      <c r="BJ769" s="44" t="str">
        <f t="shared" si="35"/>
        <v/>
      </c>
      <c r="BK769" s="44" t="str">
        <f>IF($AX769="Cancelled","",IFERROR(IF(BJ769="","",(W769*INDEX(Variables!$B$7:$D$7,IFERROR(MATCH(IF($B769="Robusta","Robusta",(IF($B769="","Arabica",$B769))&amp;" - "&amp;(IF($C769="","Commercial",$C769))),Variables!$B$1:$D$1,0),1))*(BJ769/365))+(W769*INDEX(Variables!$B$9:$D$9,IFERROR(MATCH(IF($B769="Robusta","Robusta",(IF($B769="","Arabica",$B769))&amp;" - "&amp;(IF($C769="","Commercial",$C769))),Variables!$B$1:$D$1,0),1))*(BJ769/365))+(INDEX(Variables!$B$8:$D$8,IFERROR(MATCH(IF($B769="Robusta","Robusta",(IF($B769="","Arabica",$B769))&amp;" - "&amp;(IF($C769="","Commercial",$C769))),Variables!$B$1:$D$1,0),1))*L769/16.67)),""))</f>
        <v/>
      </c>
    </row>
    <row r="770" spans="1:63">
      <c r="A770" s="13" t="s">
        <v>103</v>
      </c>
      <c r="B770" s="13" t="s">
        <v>104</v>
      </c>
      <c r="C770" s="13" t="s">
        <v>105</v>
      </c>
      <c r="D770" s="31">
        <v>46055</v>
      </c>
      <c r="E770" s="31">
        <v>46082</v>
      </c>
      <c r="F770" s="31">
        <v>46112</v>
      </c>
      <c r="G770" s="13">
        <v>3787211</v>
      </c>
      <c r="H770" s="13" t="s">
        <v>2062</v>
      </c>
      <c r="J770" s="13" t="s">
        <v>118</v>
      </c>
      <c r="K770" s="13" t="s">
        <v>2062</v>
      </c>
      <c r="L770" s="13">
        <v>1998</v>
      </c>
      <c r="M770" s="13">
        <v>6</v>
      </c>
      <c r="N770" s="13" t="s">
        <v>1890</v>
      </c>
      <c r="O770" s="13" t="s">
        <v>1205</v>
      </c>
      <c r="P770" s="13">
        <v>10045</v>
      </c>
      <c r="Q770" s="59" t="s">
        <v>270</v>
      </c>
      <c r="R770" s="13" t="s">
        <v>271</v>
      </c>
      <c r="S770" s="13" t="s">
        <v>276</v>
      </c>
      <c r="T770" s="13" t="s">
        <v>112</v>
      </c>
      <c r="U770" s="13" t="s">
        <v>113</v>
      </c>
      <c r="V770" s="23">
        <v>40</v>
      </c>
      <c r="W770" s="44">
        <f>IF($AX770="Cancelled","",IFERROR(((V770+INDEX(Variables!$B$6:$D$6,IFERROR(MATCH(IF($B770="Robusta","Robusta",(IF($B770="","Arabica",$B770))&amp;" - "&amp;(IF($C770="","Commercial",$C770))),Variables!$B$1:$D$1,0),1)))*22.0462)*(L770/16.67),""))</f>
        <v>874095.99004679057</v>
      </c>
      <c r="X770" s="55" t="s">
        <v>37</v>
      </c>
      <c r="Y770" s="13" t="str">
        <f>IF($AX770="Cancelled","",IF(X770="","",IFERROR(IF(INDEX(Variables!$B$38:$B$47,MATCH(X770,Variables!$A$38:$A$47,0))="Yes","Yes","No"),"No")))</f>
        <v>Yes</v>
      </c>
      <c r="Z770" s="58">
        <v>46072</v>
      </c>
      <c r="AB770" s="31">
        <v>46079</v>
      </c>
      <c r="AC770" s="13" t="str">
        <f t="shared" ref="AC770:AC833" si="37">IF($AX770="Cancelled","",IF(ISNUMBER(AB770),"Approved",""))</f>
        <v>Approved</v>
      </c>
      <c r="AF770" s="71">
        <v>46108</v>
      </c>
      <c r="AG770" s="37">
        <f>IF($AX770="Cancelled","",IFERROR(IF(F770="","",F770-Variables!$B$13),""))</f>
        <v>46097</v>
      </c>
      <c r="AH770" s="13">
        <f>IF($AX770="Cancelled","",IFERROR(IF(AB770="","",(AVERAGE(E770:F770)-AB770)-Variables!$B$14),""))</f>
        <v>-12</v>
      </c>
      <c r="AJ770" s="47">
        <v>46121</v>
      </c>
      <c r="AK770" s="14">
        <f>IF($AX770="Cancelled","",IFERROR(IF(AJ770="","",IF(AND(AB770="",AF770=""),"",IF(AF770&gt;AB770,AF770+Variables!$B$15+Variables!$B$16+Variables!$B$17-AJ770,AB770+Variables!$B$16+Variables!$B$17-AJ770))),""))</f>
        <v>2</v>
      </c>
      <c r="AL770" s="48" t="s">
        <v>114</v>
      </c>
      <c r="AM770" s="13" t="s">
        <v>134</v>
      </c>
      <c r="AN770" s="13" t="s">
        <v>2063</v>
      </c>
      <c r="AP770" s="31">
        <v>46181</v>
      </c>
      <c r="AR770" s="13" t="s">
        <v>2064</v>
      </c>
      <c r="AS770" s="31">
        <v>46181</v>
      </c>
      <c r="AU770" s="31">
        <v>46185</v>
      </c>
      <c r="AV770" s="13" t="s">
        <v>865</v>
      </c>
      <c r="AW770" s="31">
        <v>46185</v>
      </c>
      <c r="AX770" s="13" t="str">
        <f>IF(ISNUMBER(SEARCH("cancel",#REF!)),"Cancelled",IF(AND(AS770&lt;&gt;"",AU770&lt;&gt;"",AW770&lt;&gt;""),"Closed","Open"))</f>
        <v>Closed</v>
      </c>
      <c r="AY770" s="15" t="str">
        <f t="shared" si="36"/>
        <v>All dates received</v>
      </c>
      <c r="BD770" s="13">
        <f>IF($AX770="Cancelled","",IFERROR(IF(OR(AS770="",AJ770=""),"",(AJ770+Variables!$B$18-AS770)),""))</f>
        <v>-45</v>
      </c>
      <c r="BE770" s="13">
        <f>IF($AX770="Cancelled","",IFERROR(IF(OR(AW770="",AS770=""),"",(AS770+Variables!$B$19)-AW770),""))</f>
        <v>1</v>
      </c>
      <c r="BF770" s="44">
        <f>IF($AX770="Cancelled","",IFERROR(W770*INDEX(Variables!$B$7:$D$7,IFERROR(MATCH(IF($B770="Robusta","Robusta",(IF($B770="","Arabica",$B770))&amp;" - "&amp;(IF($C770="","Commercial",$C770))),Variables!$B$1:$D$1,0),1))*(BE770/365),""))</f>
        <v>154.42091082026073</v>
      </c>
      <c r="BG770" s="44">
        <f>IF($AX770="Cancelled","",IFERROR((W770*INDEX(Variables!$B$7:$D$7,IFERROR(MATCH(IF($B770="Robusta","Robusta",(IF($B770="","Arabica",$B770))&amp;" - "&amp;(IF($C770="","Commercial",$C770))),Variables!$B$1:$D$1,0),1))*IFERROR(IF(AB770="","",(AVERAGE(E770:F770)-AB770)-Variables!$B$14),"")/365)+(L770/16.67*INDEX(Variables!$B$8:$D$8,IFERROR(MATCH(IF($B770="Robusta","Robusta",(IF($B770="","Arabica",$B770))&amp;" - "&amp;(IF($C770="","Commercial",$C770))),Variables!$B$1:$D$1,0),1))*IFERROR(IF(AB770="","",(AVERAGE(E770:F770)-AB770)-Variables!$B$14),""))+(W770*INDEX(Variables!$B$9:$D$9,IFERROR(MATCH(IF($B770="Robusta","Robusta",(IF($B770="","Arabica",$B770))&amp;" - "&amp;(IF($C770="","Commercial",$C770))),Variables!$B$1:$D$1,0),1))*IFERROR(IF(AB770="","",(AVERAGE(E770:F770)-AB770)-Variables!$B$14),"")/365),""))</f>
        <v>-3075.7403324686375</v>
      </c>
      <c r="BH770" s="44">
        <f>IF($AX770="Cancelled","",IFERROR((W770*INDEX(Variables!$B$7:$D$7,IFERROR(MATCH(IF($B770="Robusta","Robusta",(IF($B770="","Arabica",$B770))&amp;" - "&amp;(IF($C770="","Commercial",$C770))),Variables!$B$1:$D$1,0),1))*AK770/365)+(L770/16.67*INDEX(Variables!$B$8:$D$8,IFERROR(MATCH(IF($B770="Robusta","Robusta",(IF($B770="","Arabica",$B770))&amp;" - "&amp;(IF($C770="","Commercial",$C770))),Variables!$B$1:$D$1,0),1))*AK770)+(W770*INDEX(Variables!$B$9:$D$9,IFERROR(MATCH(IF($B770="Robusta","Robusta",(IF($B770="","Arabica",$B770))&amp;" - "&amp;(IF($C770="","Commercial",$C770))),Variables!$B$1:$D$1,0),1))*AK770/365),""))</f>
        <v>512.62338874477291</v>
      </c>
      <c r="BI770" s="44">
        <f>IF($AX770="Cancelled","",IFERROR((W770*INDEX(Variables!$B$7:$D$7,IFERROR(MATCH(IF($B770="Robusta","Robusta",(IF($B770="","Arabica",$B770))&amp;" - "&amp;(IF($C770="","Commercial",$C770))),Variables!$B$1:$D$1,0),1))*BD770/365)+(L770/16.67*INDEX(Variables!$B$8:$D$8,IFERROR(MATCH(IF($B770="Robusta","Robusta",(IF($B770="","Arabica",$B770))&amp;" - "&amp;(IF($C770="","Commercial",$C770))),Variables!$B$1:$D$1,0),1))*BD770)+(W770*INDEX(Variables!$B$9:$D$9,IFERROR(MATCH(IF($B770="Robusta","Robusta",(IF($B770="","Arabica",$B770))&amp;" - "&amp;(IF($C770="","Commercial",$C770))),Variables!$B$1:$D$1,0),1))*BD770/365),""))</f>
        <v>-11534.02624675739</v>
      </c>
      <c r="BJ770" s="44">
        <f t="shared" ref="BJ770:BJ833" si="38">IF($AX770="Cancelled","",IFERROR(IF(AS770="","",F770-AS770),""))</f>
        <v>-69</v>
      </c>
      <c r="BK770" s="44">
        <f>IF($AX770="Cancelled","",IFERROR(IF(BJ770="","",(W770*INDEX(Variables!$B$7:$D$7,IFERROR(MATCH(IF($B770="Robusta","Robusta",(IF($B770="","Arabica",$B770))&amp;" - "&amp;(IF($C770="","Commercial",$C770))),Variables!$B$1:$D$1,0),1))*(BJ770/365))+(W770*INDEX(Variables!$B$9:$D$9,IFERROR(MATCH(IF($B770="Robusta","Robusta",(IF($B770="","Arabica",$B770))&amp;" - "&amp;(IF($C770="","Commercial",$C770))),Variables!$B$1:$D$1,0),1))*(BJ770/365))+(INDEX(Variables!$B$8:$D$8,IFERROR(MATCH(IF($B770="Robusta","Robusta",(IF($B770="","Arabica",$B770))&amp;" - "&amp;(IF($C770="","Commercial",$C770))),Variables!$B$1:$D$1,0),1))*L770/16.67)),""))</f>
        <v>-10692.506911694667</v>
      </c>
    </row>
    <row r="771" spans="1:63">
      <c r="A771" s="13" t="s">
        <v>103</v>
      </c>
      <c r="B771" s="13" t="s">
        <v>104</v>
      </c>
      <c r="C771" s="13" t="s">
        <v>105</v>
      </c>
      <c r="D771" s="31">
        <v>46055</v>
      </c>
      <c r="E771" s="31">
        <v>46082</v>
      </c>
      <c r="F771" s="31">
        <v>46112</v>
      </c>
      <c r="G771" s="13">
        <v>3787211</v>
      </c>
      <c r="H771" s="13" t="s">
        <v>2065</v>
      </c>
      <c r="J771" s="13" t="s">
        <v>118</v>
      </c>
      <c r="K771" s="13" t="s">
        <v>2065</v>
      </c>
      <c r="L771" s="13">
        <v>1335</v>
      </c>
      <c r="M771" s="13">
        <v>4</v>
      </c>
      <c r="N771" s="13" t="s">
        <v>1890</v>
      </c>
      <c r="O771" s="13" t="s">
        <v>1205</v>
      </c>
      <c r="P771" s="13">
        <v>10045</v>
      </c>
      <c r="Q771" s="59" t="s">
        <v>270</v>
      </c>
      <c r="R771" s="13" t="s">
        <v>271</v>
      </c>
      <c r="S771" s="13" t="s">
        <v>276</v>
      </c>
      <c r="T771" s="13" t="s">
        <v>112</v>
      </c>
      <c r="U771" s="13" t="s">
        <v>113</v>
      </c>
      <c r="V771" s="23">
        <v>40</v>
      </c>
      <c r="W771" s="44">
        <f>IF($AX771="Cancelled","",IFERROR(((V771+INDEX(Variables!$B$6:$D$6,IFERROR(MATCH(IF($B771="Robusta","Robusta",(IF($B771="","Arabica",$B771))&amp;" - "&amp;(IF($C771="","Commercial",$C771))),Variables!$B$1:$D$1,0),1)))*22.0462)*(L771/16.67),""))</f>
        <v>584043.11647270538</v>
      </c>
      <c r="X771" s="55" t="s">
        <v>37</v>
      </c>
      <c r="Y771" s="13" t="str">
        <f>IF($AX771="Cancelled","",IF(X771="","",IFERROR(IF(INDEX(Variables!$B$38:$B$47,MATCH(X771,Variables!$A$38:$A$47,0))="Yes","Yes","No"),"No")))</f>
        <v>Yes</v>
      </c>
      <c r="Z771" s="58">
        <v>46072</v>
      </c>
      <c r="AB771" s="31">
        <v>46079</v>
      </c>
      <c r="AC771" s="13" t="str">
        <f t="shared" si="37"/>
        <v>Approved</v>
      </c>
      <c r="AF771" s="71">
        <v>46108</v>
      </c>
      <c r="AG771" s="37">
        <f>IF($AX771="Cancelled","",IFERROR(IF(F771="","",F771-Variables!$B$13),""))</f>
        <v>46097</v>
      </c>
      <c r="AH771" s="13">
        <f>IF($AX771="Cancelled","",IFERROR(IF(AB771="","",(AVERAGE(E771:F771)-AB771)-Variables!$B$14),""))</f>
        <v>-12</v>
      </c>
      <c r="AJ771" s="47">
        <v>46125</v>
      </c>
      <c r="AK771" s="14">
        <f>IF($AX771="Cancelled","",IFERROR(IF(AJ771="","",IF(AND(AB771="",AF771=""),"",IF(AF771&gt;AB771,AF771+Variables!$B$15+Variables!$B$16+Variables!$B$17-AJ771,AB771+Variables!$B$16+Variables!$B$17-AJ771))),""))</f>
        <v>-2</v>
      </c>
      <c r="AL771" s="48" t="s">
        <v>114</v>
      </c>
      <c r="AM771" s="13" t="s">
        <v>134</v>
      </c>
      <c r="AN771" s="13" t="s">
        <v>2063</v>
      </c>
      <c r="AP771" s="31">
        <v>46181</v>
      </c>
      <c r="AR771" s="13" t="s">
        <v>2064</v>
      </c>
      <c r="AS771" s="31">
        <v>46181</v>
      </c>
      <c r="AU771" s="31">
        <v>46185</v>
      </c>
      <c r="AV771" s="13" t="s">
        <v>865</v>
      </c>
      <c r="AW771" s="31">
        <v>46185</v>
      </c>
      <c r="AX771" s="13" t="str">
        <f>IF(ISNUMBER(SEARCH("cancel",#REF!)),"Cancelled",IF(AND(AS771&lt;&gt;"",AU771&lt;&gt;"",AW771&lt;&gt;""),"Closed","Open"))</f>
        <v>Closed</v>
      </c>
      <c r="AY771" s="15" t="str">
        <f t="shared" si="36"/>
        <v>All dates received</v>
      </c>
      <c r="BD771" s="13">
        <f>IF($AX771="Cancelled","",IFERROR(IF(OR(AS771="",AJ771=""),"",(AJ771+Variables!$B$18-AS771)),""))</f>
        <v>-41</v>
      </c>
      <c r="BE771" s="13">
        <f>IF($AX771="Cancelled","",IFERROR(IF(OR(AW771="",AS771=""),"",(AS771+Variables!$B$19)-AW771),""))</f>
        <v>1</v>
      </c>
      <c r="BF771" s="44">
        <f>IF($AX771="Cancelled","",IFERROR(W771*INDEX(Variables!$B$7:$D$7,IFERROR(MATCH(IF($B771="Robusta","Robusta",(IF($B771="","Arabica",$B771))&amp;" - "&amp;(IF($C771="","Commercial",$C771))),Variables!$B$1:$D$1,0),1))*(BE771/365),""))</f>
        <v>103.17913710963366</v>
      </c>
      <c r="BG771" s="44">
        <f>IF($AX771="Cancelled","",IFERROR((W771*INDEX(Variables!$B$7:$D$7,IFERROR(MATCH(IF($B771="Robusta","Robusta",(IF($B771="","Arabica",$B771))&amp;" - "&amp;(IF($C771="","Commercial",$C771))),Variables!$B$1:$D$1,0),1))*IFERROR(IF(AB771="","",(AVERAGE(E771:F771)-AB771)-Variables!$B$14),"")/365)+(L771/16.67*INDEX(Variables!$B$8:$D$8,IFERROR(MATCH(IF($B771="Robusta","Robusta",(IF($B771="","Arabica",$B771))&amp;" - "&amp;(IF($C771="","Commercial",$C771))),Variables!$B$1:$D$1,0),1))*IFERROR(IF(AB771="","",(AVERAGE(E771:F771)-AB771)-Variables!$B$14),""))+(W771*INDEX(Variables!$B$9:$D$9,IFERROR(MATCH(IF($B771="Robusta","Robusta",(IF($B771="","Arabica",$B771))&amp;" - "&amp;(IF($C771="","Commercial",$C771))),Variables!$B$1:$D$1,0),1))*IFERROR(IF(AB771="","",(AVERAGE(E771:F771)-AB771)-Variables!$B$14),"")/365),""))</f>
        <v>-2055.1117837065221</v>
      </c>
      <c r="BH771" s="44">
        <f>IF($AX771="Cancelled","",IFERROR((W771*INDEX(Variables!$B$7:$D$7,IFERROR(MATCH(IF($B771="Robusta","Robusta",(IF($B771="","Arabica",$B771))&amp;" - "&amp;(IF($C771="","Commercial",$C771))),Variables!$B$1:$D$1,0),1))*AK771/365)+(L771/16.67*INDEX(Variables!$B$8:$D$8,IFERROR(MATCH(IF($B771="Robusta","Robusta",(IF($B771="","Arabica",$B771))&amp;" - "&amp;(IF($C771="","Commercial",$C771))),Variables!$B$1:$D$1,0),1))*AK771)+(W771*INDEX(Variables!$B$9:$D$9,IFERROR(MATCH(IF($B771="Robusta","Robusta",(IF($B771="","Arabica",$B771))&amp;" - "&amp;(IF($C771="","Commercial",$C771))),Variables!$B$1:$D$1,0),1))*AK771/365),""))</f>
        <v>-342.51863061775362</v>
      </c>
      <c r="BI771" s="44">
        <f>IF($AX771="Cancelled","",IFERROR((W771*INDEX(Variables!$B$7:$D$7,IFERROR(MATCH(IF($B771="Robusta","Robusta",(IF($B771="","Arabica",$B771))&amp;" - "&amp;(IF($C771="","Commercial",$C771))),Variables!$B$1:$D$1,0),1))*BD771/365)+(L771/16.67*INDEX(Variables!$B$8:$D$8,IFERROR(MATCH(IF($B771="Robusta","Robusta",(IF($B771="","Arabica",$B771))&amp;" - "&amp;(IF($C771="","Commercial",$C771))),Variables!$B$1:$D$1,0),1))*BD771)+(W771*INDEX(Variables!$B$9:$D$9,IFERROR(MATCH(IF($B771="Robusta","Robusta",(IF($B771="","Arabica",$B771))&amp;" - "&amp;(IF($C771="","Commercial",$C771))),Variables!$B$1:$D$1,0),1))*BD771/365),""))</f>
        <v>-7021.6319276639506</v>
      </c>
      <c r="BJ771" s="44">
        <f t="shared" si="38"/>
        <v>-69</v>
      </c>
      <c r="BK771" s="44">
        <f>IF($AX771="Cancelled","",IFERROR(IF(BJ771="","",(W771*INDEX(Variables!$B$7:$D$7,IFERROR(MATCH(IF($B771="Robusta","Robusta",(IF($B771="","Arabica",$B771))&amp;" - "&amp;(IF($C771="","Commercial",$C771))),Variables!$B$1:$D$1,0),1))*(BJ771/365))+(W771*INDEX(Variables!$B$9:$D$9,IFERROR(MATCH(IF($B771="Robusta","Robusta",(IF($B771="","Arabica",$B771))&amp;" - "&amp;(IF($C771="","Commercial",$C771))),Variables!$B$1:$D$1,0),1))*(BJ771/365))+(INDEX(Variables!$B$8:$D$8,IFERROR(MATCH(IF($B771="Robusta","Robusta",(IF($B771="","Arabica",$B771))&amp;" - "&amp;(IF($C771="","Commercial",$C771))),Variables!$B$1:$D$1,0),1))*L771/16.67)),""))</f>
        <v>-7144.3927563125017</v>
      </c>
    </row>
    <row r="772" spans="1:63">
      <c r="A772" s="13" t="s">
        <v>103</v>
      </c>
      <c r="B772" s="13" t="s">
        <v>104</v>
      </c>
      <c r="C772" s="13" t="s">
        <v>105</v>
      </c>
      <c r="D772" s="31">
        <v>46055</v>
      </c>
      <c r="E772" s="31">
        <v>46113</v>
      </c>
      <c r="F772" s="31">
        <v>46142</v>
      </c>
      <c r="G772" s="13">
        <v>3787212</v>
      </c>
      <c r="H772" s="13" t="s">
        <v>2066</v>
      </c>
      <c r="J772" s="13" t="s">
        <v>118</v>
      </c>
      <c r="K772" s="13" t="s">
        <v>2066</v>
      </c>
      <c r="L772" s="13">
        <v>3000</v>
      </c>
      <c r="M772" s="13">
        <v>9</v>
      </c>
      <c r="N772" s="13" t="s">
        <v>1890</v>
      </c>
      <c r="O772" s="13" t="s">
        <v>1205</v>
      </c>
      <c r="P772" s="13">
        <v>10045</v>
      </c>
      <c r="Q772" s="59" t="s">
        <v>270</v>
      </c>
      <c r="R772" s="13" t="s">
        <v>271</v>
      </c>
      <c r="S772" s="13" t="s">
        <v>276</v>
      </c>
      <c r="T772" s="13" t="s">
        <v>112</v>
      </c>
      <c r="U772" s="13" t="s">
        <v>113</v>
      </c>
      <c r="V772" s="23">
        <v>40</v>
      </c>
      <c r="W772" s="44">
        <f>IF($AX772="Cancelled","",IFERROR(((V772+INDEX(Variables!$B$6:$D$6,IFERROR(MATCH(IF($B772="Robusta","Robusta",(IF($B772="","Arabica",$B772))&amp;" - "&amp;(IF($C772="","Commercial",$C772))),Variables!$B$1:$D$1,0),1)))*22.0462)*(L772/16.67),""))</f>
        <v>1312456.4415116976</v>
      </c>
      <c r="X772" s="55" t="s">
        <v>37</v>
      </c>
      <c r="Y772" s="13" t="str">
        <f>IF($AX772="Cancelled","",IF(X772="","",IFERROR(IF(INDEX(Variables!$B$38:$B$47,MATCH(X772,Variables!$A$38:$A$47,0))="Yes","Yes","No"),"No")))</f>
        <v>Yes</v>
      </c>
      <c r="Z772" s="58">
        <v>46080</v>
      </c>
      <c r="AB772" s="31">
        <v>46094</v>
      </c>
      <c r="AC772" s="13" t="str">
        <f t="shared" si="37"/>
        <v>Approved</v>
      </c>
      <c r="AF772" s="71">
        <v>46132</v>
      </c>
      <c r="AG772" s="37">
        <f>IF($AX772="Cancelled","",IFERROR(IF(F772="","",F772-Variables!$B$13),""))</f>
        <v>46127</v>
      </c>
      <c r="AH772" s="13">
        <f>IF($AX772="Cancelled","",IFERROR(IF(AB772="","",(AVERAGE(E772:F772)-AB772)-Variables!$B$14),""))</f>
        <v>3.5</v>
      </c>
      <c r="AJ772" s="47">
        <v>46167</v>
      </c>
      <c r="AK772" s="14">
        <f>IF($AX772="Cancelled","",IFERROR(IF(AJ772="","",IF(AND(AB772="",AF772=""),"",IF(AF772&gt;AB772,AF772+Variables!$B$15+Variables!$B$16+Variables!$B$17-AJ772,AB772+Variables!$B$16+Variables!$B$17-AJ772))),""))</f>
        <v>-20</v>
      </c>
      <c r="AL772" s="48" t="s">
        <v>114</v>
      </c>
      <c r="AM772" s="13" t="s">
        <v>134</v>
      </c>
      <c r="AN772" s="13" t="s">
        <v>2063</v>
      </c>
      <c r="AP772" s="31">
        <v>46182</v>
      </c>
      <c r="AR772" s="13" t="s">
        <v>2067</v>
      </c>
      <c r="AS772" s="31">
        <v>46182</v>
      </c>
      <c r="AU772" s="31">
        <v>46196</v>
      </c>
      <c r="AV772" s="13" t="e">
        <v>#REF!</v>
      </c>
      <c r="AW772" s="31">
        <v>46196</v>
      </c>
      <c r="AX772" s="13" t="str">
        <f>IF(ISNUMBER(SEARCH("cancel",#REF!)),"Cancelled",IF(AND(AS772&lt;&gt;"",AU772&lt;&gt;"",AW772&lt;&gt;""),"Closed","Open"))</f>
        <v>Closed</v>
      </c>
      <c r="AY772" s="15" t="str">
        <f t="shared" si="36"/>
        <v>All dates received</v>
      </c>
      <c r="BD772" s="13">
        <f>IF($AX772="Cancelled","",IFERROR(IF(OR(AS772="",AJ772=""),"",(AJ772+Variables!$B$18-AS772)),""))</f>
        <v>0</v>
      </c>
      <c r="BE772" s="13">
        <f>IF($AX772="Cancelled","",IFERROR(IF(OR(AW772="",AS772=""),"",(AS772+Variables!$B$19)-AW772),""))</f>
        <v>-9</v>
      </c>
      <c r="BF772" s="44">
        <f>IF($AX772="Cancelled","",IFERROR(W772*INDEX(Variables!$B$7:$D$7,IFERROR(MATCH(IF($B772="Robusta","Robusta",(IF($B772="","Arabica",$B772))&amp;" - "&amp;(IF($C772="","Commercial",$C772))),Variables!$B$1:$D$1,0),1))*(BE772/365),""))</f>
        <v>-2086.7690651386583</v>
      </c>
      <c r="BG772" s="44">
        <f>IF($AX772="Cancelled","",IFERROR((W772*INDEX(Variables!$B$7:$D$7,IFERROR(MATCH(IF($B772="Robusta","Robusta",(IF($B772="","Arabica",$B772))&amp;" - "&amp;(IF($C772="","Commercial",$C772))),Variables!$B$1:$D$1,0),1))*IFERROR(IF(AB772="","",(AVERAGE(E772:F772)-AB772)-Variables!$B$14),"")/365)+(L772/16.67*INDEX(Variables!$B$8:$D$8,IFERROR(MATCH(IF($B772="Robusta","Robusta",(IF($B772="","Arabica",$B772))&amp;" - "&amp;(IF($C772="","Commercial",$C772))),Variables!$B$1:$D$1,0),1))*IFERROR(IF(AB772="","",(AVERAGE(E772:F772)-AB772)-Variables!$B$14),""))+(W772*INDEX(Variables!$B$9:$D$9,IFERROR(MATCH(IF($B772="Robusta","Robusta",(IF($B772="","Arabica",$B772))&amp;" - "&amp;(IF($C772="","Commercial",$C772))),Variables!$B$1:$D$1,0),1))*IFERROR(IF(AB772="","",(AVERAGE(E772:F772)-AB772)-Variables!$B$14),"")/365),""))</f>
        <v>1346.9833788338626</v>
      </c>
      <c r="BH772" s="44">
        <f>IF($AX772="Cancelled","",IFERROR((W772*INDEX(Variables!$B$7:$D$7,IFERROR(MATCH(IF($B772="Robusta","Robusta",(IF($B772="","Arabica",$B772))&amp;" - "&amp;(IF($C772="","Commercial",$C772))),Variables!$B$1:$D$1,0),1))*AK772/365)+(L772/16.67*INDEX(Variables!$B$8:$D$8,IFERROR(MATCH(IF($B772="Robusta","Robusta",(IF($B772="","Arabica",$B772))&amp;" - "&amp;(IF($C772="","Commercial",$C772))),Variables!$B$1:$D$1,0),1))*AK772)+(W772*INDEX(Variables!$B$9:$D$9,IFERROR(MATCH(IF($B772="Robusta","Robusta",(IF($B772="","Arabica",$B772))&amp;" - "&amp;(IF($C772="","Commercial",$C772))),Variables!$B$1:$D$1,0),1))*AK772/365),""))</f>
        <v>-7697.047879050645</v>
      </c>
      <c r="BI772" s="44">
        <f>IF($AX772="Cancelled","",IFERROR((W772*INDEX(Variables!$B$7:$D$7,IFERROR(MATCH(IF($B772="Robusta","Robusta",(IF($B772="","Arabica",$B772))&amp;" - "&amp;(IF($C772="","Commercial",$C772))),Variables!$B$1:$D$1,0),1))*BD772/365)+(L772/16.67*INDEX(Variables!$B$8:$D$8,IFERROR(MATCH(IF($B772="Robusta","Robusta",(IF($B772="","Arabica",$B772))&amp;" - "&amp;(IF($C772="","Commercial",$C772))),Variables!$B$1:$D$1,0),1))*BD772)+(W772*INDEX(Variables!$B$9:$D$9,IFERROR(MATCH(IF($B772="Robusta","Robusta",(IF($B772="","Arabica",$B772))&amp;" - "&amp;(IF($C772="","Commercial",$C772))),Variables!$B$1:$D$1,0),1))*BD772/365),""))</f>
        <v>0</v>
      </c>
      <c r="BJ772" s="44">
        <f t="shared" si="38"/>
        <v>-40</v>
      </c>
      <c r="BK772" s="44">
        <f>IF($AX772="Cancelled","",IFERROR(IF(BJ772="","",(W772*INDEX(Variables!$B$7:$D$7,IFERROR(MATCH(IF($B772="Robusta","Robusta",(IF($B772="","Arabica",$B772))&amp;" - "&amp;(IF($C772="","Commercial",$C772))),Variables!$B$1:$D$1,0),1))*(BJ772/365))+(W772*INDEX(Variables!$B$9:$D$9,IFERROR(MATCH(IF($B772="Robusta","Robusta",(IF($B772="","Arabica",$B772))&amp;" - "&amp;(IF($C772="","Commercial",$C772))),Variables!$B$1:$D$1,0),1))*(BJ772/365))+(INDEX(Variables!$B$8:$D$8,IFERROR(MATCH(IF($B772="Robusta","Robusta",(IF($B772="","Arabica",$B772))&amp;" - "&amp;(IF($C772="","Commercial",$C772))),Variables!$B$1:$D$1,0),1))*L772/16.67)),""))</f>
        <v>-9244.0957581012899</v>
      </c>
    </row>
    <row r="773" spans="1:63">
      <c r="A773" s="13" t="s">
        <v>103</v>
      </c>
      <c r="B773" s="13" t="s">
        <v>104</v>
      </c>
      <c r="C773" s="13" t="s">
        <v>105</v>
      </c>
      <c r="D773" s="31">
        <v>46055</v>
      </c>
      <c r="E773" s="31">
        <v>46113</v>
      </c>
      <c r="F773" s="31">
        <v>46142</v>
      </c>
      <c r="G773" s="13">
        <v>3787212</v>
      </c>
      <c r="H773" s="13" t="s">
        <v>2068</v>
      </c>
      <c r="J773" s="13" t="s">
        <v>118</v>
      </c>
      <c r="K773" s="13" t="s">
        <v>2068</v>
      </c>
      <c r="L773" s="13">
        <v>1000</v>
      </c>
      <c r="M773" s="13">
        <v>3</v>
      </c>
      <c r="N773" s="13" t="s">
        <v>1890</v>
      </c>
      <c r="O773" s="13" t="s">
        <v>1205</v>
      </c>
      <c r="P773" s="13">
        <v>10045</v>
      </c>
      <c r="Q773" s="59" t="s">
        <v>270</v>
      </c>
      <c r="R773" s="13" t="s">
        <v>271</v>
      </c>
      <c r="S773" s="13" t="s">
        <v>276</v>
      </c>
      <c r="T773" s="13" t="s">
        <v>112</v>
      </c>
      <c r="U773" s="13" t="s">
        <v>113</v>
      </c>
      <c r="V773" s="23">
        <v>40</v>
      </c>
      <c r="W773" s="44">
        <f>IF($AX773="Cancelled","",IFERROR(((V773+INDEX(Variables!$B$6:$D$6,IFERROR(MATCH(IF($B773="Robusta","Robusta",(IF($B773="","Arabica",$B773))&amp;" - "&amp;(IF($C773="","Commercial",$C773))),Variables!$B$1:$D$1,0),1)))*22.0462)*(L773/16.67),""))</f>
        <v>437485.48050389916</v>
      </c>
      <c r="X773" s="55" t="s">
        <v>37</v>
      </c>
      <c r="Y773" s="13" t="str">
        <f>IF($AX773="Cancelled","",IF(X773="","",IFERROR(IF(INDEX(Variables!$B$38:$B$47,MATCH(X773,Variables!$A$38:$A$47,0))="Yes","Yes","No"),"No")))</f>
        <v>Yes</v>
      </c>
      <c r="Z773" s="58">
        <v>46080</v>
      </c>
      <c r="AB773" s="31">
        <v>46094</v>
      </c>
      <c r="AC773" s="13" t="str">
        <f t="shared" si="37"/>
        <v>Approved</v>
      </c>
      <c r="AF773" s="71">
        <v>46132</v>
      </c>
      <c r="AG773" s="37">
        <f>IF($AX773="Cancelled","",IFERROR(IF(F773="","",F773-Variables!$B$13),""))</f>
        <v>46127</v>
      </c>
      <c r="AH773" s="13">
        <f>IF($AX773="Cancelled","",IFERROR(IF(AB773="","",(AVERAGE(E773:F773)-AB773)-Variables!$B$14),""))</f>
        <v>3.5</v>
      </c>
      <c r="AJ773" s="47">
        <v>46170</v>
      </c>
      <c r="AK773" s="14">
        <f>IF($AX773="Cancelled","",IFERROR(IF(AJ773="","",IF(AND(AB773="",AF773=""),"",IF(AF773&gt;AB773,AF773+Variables!$B$15+Variables!$B$16+Variables!$B$17-AJ773,AB773+Variables!$B$16+Variables!$B$17-AJ773))),""))</f>
        <v>-23</v>
      </c>
      <c r="AL773" s="48" t="s">
        <v>114</v>
      </c>
      <c r="AM773" s="13" t="s">
        <v>134</v>
      </c>
      <c r="AN773" s="13" t="s">
        <v>2063</v>
      </c>
      <c r="AP773" s="31">
        <v>46182</v>
      </c>
      <c r="AR773" s="13" t="s">
        <v>2067</v>
      </c>
      <c r="AS773" s="31">
        <v>46178</v>
      </c>
      <c r="AU773" s="31">
        <v>46196</v>
      </c>
      <c r="AV773" s="13" t="e">
        <v>#REF!</v>
      </c>
      <c r="AW773" s="31">
        <v>46196</v>
      </c>
      <c r="AX773" s="13" t="str">
        <f>IF(ISNUMBER(SEARCH("cancel",#REF!)),"Cancelled",IF(AND(AS773&lt;&gt;"",AU773&lt;&gt;"",AW773&lt;&gt;""),"Closed","Open"))</f>
        <v>Closed</v>
      </c>
      <c r="AY773" s="15" t="str">
        <f t="shared" si="36"/>
        <v>All dates received</v>
      </c>
      <c r="BD773" s="13">
        <f>IF($AX773="Cancelled","",IFERROR(IF(OR(AS773="",AJ773=""),"",(AJ773+Variables!$B$18-AS773)),""))</f>
        <v>7</v>
      </c>
      <c r="BE773" s="13">
        <f>IF($AX773="Cancelled","",IFERROR(IF(OR(AW773="",AS773=""),"",(AS773+Variables!$B$19)-AW773),""))</f>
        <v>-13</v>
      </c>
      <c r="BF773" s="44">
        <f>IF($AX773="Cancelled","",IFERROR(W773*INDEX(Variables!$B$7:$D$7,IFERROR(MATCH(IF($B773="Robusta","Robusta",(IF($B773="","Arabica",$B773))&amp;" - "&amp;(IF($C773="","Commercial",$C773))),Variables!$B$1:$D$1,0),1))*(BE773/365),""))</f>
        <v>-1004.7406609926874</v>
      </c>
      <c r="BG773" s="44">
        <f>IF($AX773="Cancelled","",IFERROR((W773*INDEX(Variables!$B$7:$D$7,IFERROR(MATCH(IF($B773="Robusta","Robusta",(IF($B773="","Arabica",$B773))&amp;" - "&amp;(IF($C773="","Commercial",$C773))),Variables!$B$1:$D$1,0),1))*IFERROR(IF(AB773="","",(AVERAGE(E773:F773)-AB773)-Variables!$B$14),"")/365)+(L773/16.67*INDEX(Variables!$B$8:$D$8,IFERROR(MATCH(IF($B773="Robusta","Robusta",(IF($B773="","Arabica",$B773))&amp;" - "&amp;(IF($C773="","Commercial",$C773))),Variables!$B$1:$D$1,0),1))*IFERROR(IF(AB773="","",(AVERAGE(E773:F773)-AB773)-Variables!$B$14),""))+(W773*INDEX(Variables!$B$9:$D$9,IFERROR(MATCH(IF($B773="Robusta","Robusta",(IF($B773="","Arabica",$B773))&amp;" - "&amp;(IF($C773="","Commercial",$C773))),Variables!$B$1:$D$1,0),1))*IFERROR(IF(AB773="","",(AVERAGE(E773:F773)-AB773)-Variables!$B$14),"")/365),""))</f>
        <v>448.99445961128765</v>
      </c>
      <c r="BH773" s="44">
        <f>IF($AX773="Cancelled","",IFERROR((W773*INDEX(Variables!$B$7:$D$7,IFERROR(MATCH(IF($B773="Robusta","Robusta",(IF($B773="","Arabica",$B773))&amp;" - "&amp;(IF($C773="","Commercial",$C773))),Variables!$B$1:$D$1,0),1))*AK773/365)+(L773/16.67*INDEX(Variables!$B$8:$D$8,IFERROR(MATCH(IF($B773="Robusta","Robusta",(IF($B773="","Arabica",$B773))&amp;" - "&amp;(IF($C773="","Commercial",$C773))),Variables!$B$1:$D$1,0),1))*AK773)+(W773*INDEX(Variables!$B$9:$D$9,IFERROR(MATCH(IF($B773="Robusta","Robusta",(IF($B773="","Arabica",$B773))&amp;" - "&amp;(IF($C773="","Commercial",$C773))),Variables!$B$1:$D$1,0),1))*AK773/365),""))</f>
        <v>-2950.5350203027474</v>
      </c>
      <c r="BI773" s="44">
        <f>IF($AX773="Cancelled","",IFERROR((W773*INDEX(Variables!$B$7:$D$7,IFERROR(MATCH(IF($B773="Robusta","Robusta",(IF($B773="","Arabica",$B773))&amp;" - "&amp;(IF($C773="","Commercial",$C773))),Variables!$B$1:$D$1,0),1))*BD773/365)+(L773/16.67*INDEX(Variables!$B$8:$D$8,IFERROR(MATCH(IF($B773="Robusta","Robusta",(IF($B773="","Arabica",$B773))&amp;" - "&amp;(IF($C773="","Commercial",$C773))),Variables!$B$1:$D$1,0),1))*BD773)+(W773*INDEX(Variables!$B$9:$D$9,IFERROR(MATCH(IF($B773="Robusta","Robusta",(IF($B773="","Arabica",$B773))&amp;" - "&amp;(IF($C773="","Commercial",$C773))),Variables!$B$1:$D$1,0),1))*BD773/365),""))</f>
        <v>897.9889192225753</v>
      </c>
      <c r="BJ773" s="44">
        <f t="shared" si="38"/>
        <v>-36</v>
      </c>
      <c r="BK773" s="44">
        <f>IF($AX773="Cancelled","",IFERROR(IF(BJ773="","",(W773*INDEX(Variables!$B$7:$D$7,IFERROR(MATCH(IF($B773="Robusta","Robusta",(IF($B773="","Arabica",$B773))&amp;" - "&amp;(IF($C773="","Commercial",$C773))),Variables!$B$1:$D$1,0),1))*(BJ773/365))+(W773*INDEX(Variables!$B$9:$D$9,IFERROR(MATCH(IF($B773="Robusta","Robusta",(IF($B773="","Arabica",$B773))&amp;" - "&amp;(IF($C773="","Commercial",$C773))),Variables!$B$1:$D$1,0),1))*(BJ773/365))+(INDEX(Variables!$B$8:$D$8,IFERROR(MATCH(IF($B773="Robusta","Robusta",(IF($B773="","Arabica",$B773))&amp;" - "&amp;(IF($C773="","Commercial",$C773))),Variables!$B$1:$D$1,0),1))*L773/16.67)),""))</f>
        <v>-2768.2287274303867</v>
      </c>
    </row>
    <row r="774" spans="1:63">
      <c r="A774" s="13" t="s">
        <v>103</v>
      </c>
      <c r="B774" s="13" t="s">
        <v>104</v>
      </c>
      <c r="C774" s="13" t="s">
        <v>105</v>
      </c>
      <c r="D774" s="31">
        <v>46055</v>
      </c>
      <c r="E774" s="31">
        <v>46113</v>
      </c>
      <c r="F774" s="31">
        <v>46142</v>
      </c>
      <c r="G774" s="13">
        <v>3787213</v>
      </c>
      <c r="H774" s="13">
        <v>5474</v>
      </c>
      <c r="J774" s="13" t="s">
        <v>118</v>
      </c>
      <c r="K774" s="13">
        <v>5474</v>
      </c>
      <c r="L774" s="13">
        <v>1334</v>
      </c>
      <c r="M774" s="13">
        <v>4</v>
      </c>
      <c r="N774" s="13" t="s">
        <v>1890</v>
      </c>
      <c r="O774" s="13" t="s">
        <v>1205</v>
      </c>
      <c r="P774" s="13">
        <v>10045</v>
      </c>
      <c r="Q774" s="59" t="s">
        <v>270</v>
      </c>
      <c r="R774" s="13" t="s">
        <v>271</v>
      </c>
      <c r="S774" s="13" t="s">
        <v>283</v>
      </c>
      <c r="T774" s="13" t="s">
        <v>112</v>
      </c>
      <c r="U774" s="13" t="s">
        <v>113</v>
      </c>
      <c r="V774" s="23">
        <v>40</v>
      </c>
      <c r="W774" s="44">
        <f>IF($AX774="Cancelled","",IFERROR(((V774+INDEX(Variables!$B$6:$D$6,IFERROR(MATCH(IF($B774="Robusta","Robusta",(IF($B774="","Arabica",$B774))&amp;" - "&amp;(IF($C774="","Commercial",$C774))),Variables!$B$1:$D$1,0),1)))*22.0462)*(L774/16.67),""))</f>
        <v>583605.63099220151</v>
      </c>
      <c r="X774" s="55" t="s">
        <v>37</v>
      </c>
      <c r="Y774" s="13" t="str">
        <f>IF($AX774="Cancelled","",IF(X774="","",IFERROR(IF(INDEX(Variables!$B$38:$B$47,MATCH(X774,Variables!$A$38:$A$47,0))="Yes","Yes","No"),"No")))</f>
        <v>Yes</v>
      </c>
      <c r="Z774" s="58">
        <v>46080</v>
      </c>
      <c r="AB774" s="31">
        <v>46094</v>
      </c>
      <c r="AC774" s="13" t="str">
        <f t="shared" si="37"/>
        <v>Approved</v>
      </c>
      <c r="AF774" s="71">
        <v>46167</v>
      </c>
      <c r="AG774" s="37">
        <f>IF($AX774="Cancelled","",IFERROR(IF(F774="","",F774-Variables!$B$13),""))</f>
        <v>46127</v>
      </c>
      <c r="AH774" s="13">
        <f>IF($AX774="Cancelled","",IFERROR(IF(AB774="","",(AVERAGE(E774:F774)-AB774)-Variables!$B$14),""))</f>
        <v>3.5</v>
      </c>
      <c r="AJ774" s="47">
        <v>46171</v>
      </c>
      <c r="AK774" s="14">
        <f>IF($AX774="Cancelled","",IFERROR(IF(AJ774="","",IF(AND(AB774="",AF774=""),"",IF(AF774&gt;AB774,AF774+Variables!$B$15+Variables!$B$16+Variables!$B$17-AJ774,AB774+Variables!$B$16+Variables!$B$17-AJ774))),""))</f>
        <v>11</v>
      </c>
      <c r="AL774" s="48" t="s">
        <v>114</v>
      </c>
      <c r="AM774" s="13" t="s">
        <v>168</v>
      </c>
      <c r="AN774" s="13" t="s">
        <v>2069</v>
      </c>
      <c r="AP774" s="31">
        <v>46183</v>
      </c>
      <c r="AR774" s="13" t="s">
        <v>2070</v>
      </c>
      <c r="AS774" s="31">
        <v>46183</v>
      </c>
      <c r="AU774" s="31">
        <v>46213</v>
      </c>
      <c r="AV774" s="13" t="e">
        <v>#REF!</v>
      </c>
      <c r="AW774" s="31">
        <v>46213</v>
      </c>
      <c r="AX774" s="13" t="str">
        <f>IF(ISNUMBER(SEARCH("cancel",#REF!)),"Cancelled",IF(AND(AS774&lt;&gt;"",AU774&lt;&gt;"",AW774&lt;&gt;""),"Closed","Open"))</f>
        <v>Closed</v>
      </c>
      <c r="AY774" s="15" t="str">
        <f t="shared" si="36"/>
        <v>All dates received</v>
      </c>
      <c r="BD774" s="13">
        <f>IF($AX774="Cancelled","",IFERROR(IF(OR(AS774="",AJ774=""),"",(AJ774+Variables!$B$18-AS774)),""))</f>
        <v>3</v>
      </c>
      <c r="BE774" s="13">
        <f>IF($AX774="Cancelled","",IFERROR(IF(OR(AW774="",AS774=""),"",(AS774+Variables!$B$19)-AW774),""))</f>
        <v>-25</v>
      </c>
      <c r="BF774" s="44">
        <f>IF($AX774="Cancelled","",IFERROR(W774*INDEX(Variables!$B$7:$D$7,IFERROR(MATCH(IF($B774="Robusta","Robusta",(IF($B774="","Arabica",$B774))&amp;" - "&amp;(IF($C774="","Commercial",$C774))),Variables!$B$1:$D$1,0),1))*(BE774/365),""))</f>
        <v>-2577.5462341620091</v>
      </c>
      <c r="BG774" s="44">
        <f>IF($AX774="Cancelled","",IFERROR((W774*INDEX(Variables!$B$7:$D$7,IFERROR(MATCH(IF($B774="Robusta","Robusta",(IF($B774="","Arabica",$B774))&amp;" - "&amp;(IF($C774="","Commercial",$C774))),Variables!$B$1:$D$1,0),1))*IFERROR(IF(AB774="","",(AVERAGE(E774:F774)-AB774)-Variables!$B$14),"")/365)+(L774/16.67*INDEX(Variables!$B$8:$D$8,IFERROR(MATCH(IF($B774="Robusta","Robusta",(IF($B774="","Arabica",$B774))&amp;" - "&amp;(IF($C774="","Commercial",$C774))),Variables!$B$1:$D$1,0),1))*IFERROR(IF(AB774="","",(AVERAGE(E774:F774)-AB774)-Variables!$B$14),""))+(W774*INDEX(Variables!$B$9:$D$9,IFERROR(MATCH(IF($B774="Robusta","Robusta",(IF($B774="","Arabica",$B774))&amp;" - "&amp;(IF($C774="","Commercial",$C774))),Variables!$B$1:$D$1,0),1))*IFERROR(IF(AB774="","",(AVERAGE(E774:F774)-AB774)-Variables!$B$14),"")/365),""))</f>
        <v>598.9586091214577</v>
      </c>
      <c r="BH774" s="44">
        <f>IF($AX774="Cancelled","",IFERROR((W774*INDEX(Variables!$B$7:$D$7,IFERROR(MATCH(IF($B774="Robusta","Robusta",(IF($B774="","Arabica",$B774))&amp;" - "&amp;(IF($C774="","Commercial",$C774))),Variables!$B$1:$D$1,0),1))*AK774/365)+(L774/16.67*INDEX(Variables!$B$8:$D$8,IFERROR(MATCH(IF($B774="Robusta","Robusta",(IF($B774="","Arabica",$B774))&amp;" - "&amp;(IF($C774="","Commercial",$C774))),Variables!$B$1:$D$1,0),1))*AK774)+(W774*INDEX(Variables!$B$9:$D$9,IFERROR(MATCH(IF($B774="Robusta","Robusta",(IF($B774="","Arabica",$B774))&amp;" - "&amp;(IF($C774="","Commercial",$C774))),Variables!$B$1:$D$1,0),1))*AK774/365),""))</f>
        <v>1882.4413429531526</v>
      </c>
      <c r="BI774" s="44">
        <f>IF($AX774="Cancelled","",IFERROR((W774*INDEX(Variables!$B$7:$D$7,IFERROR(MATCH(IF($B774="Robusta","Robusta",(IF($B774="","Arabica",$B774))&amp;" - "&amp;(IF($C774="","Commercial",$C774))),Variables!$B$1:$D$1,0),1))*BD774/365)+(L774/16.67*INDEX(Variables!$B$8:$D$8,IFERROR(MATCH(IF($B774="Robusta","Robusta",(IF($B774="","Arabica",$B774))&amp;" - "&amp;(IF($C774="","Commercial",$C774))),Variables!$B$1:$D$1,0),1))*BD774)+(W774*INDEX(Variables!$B$9:$D$9,IFERROR(MATCH(IF($B774="Robusta","Robusta",(IF($B774="","Arabica",$B774))&amp;" - "&amp;(IF($C774="","Commercial",$C774))),Variables!$B$1:$D$1,0),1))*BD774/365),""))</f>
        <v>513.39309353267799</v>
      </c>
      <c r="BJ774" s="44">
        <f t="shared" si="38"/>
        <v>-41</v>
      </c>
      <c r="BK774" s="44">
        <f>IF($AX774="Cancelled","",IFERROR(IF(BJ774="","",(W774*INDEX(Variables!$B$7:$D$7,IFERROR(MATCH(IF($B774="Robusta","Robusta",(IF($B774="","Arabica",$B774))&amp;" - "&amp;(IF($C774="","Commercial",$C774))),Variables!$B$1:$D$1,0),1))*(BJ774/365))+(W774*INDEX(Variables!$B$9:$D$9,IFERROR(MATCH(IF($B774="Robusta","Robusta",(IF($B774="","Arabica",$B774))&amp;" - "&amp;(IF($C774="","Commercial",$C774))),Variables!$B$1:$D$1,0),1))*(BJ774/365))+(INDEX(Variables!$B$8:$D$8,IFERROR(MATCH(IF($B774="Robusta","Robusta",(IF($B774="","Arabica",$B774))&amp;" - "&amp;(IF($C774="","Commercial",$C774))),Variables!$B$1:$D$1,0),1))*L774/16.67)),""))</f>
        <v>-4214.9722782799317</v>
      </c>
    </row>
    <row r="775" spans="1:63">
      <c r="A775" s="13" t="s">
        <v>103</v>
      </c>
      <c r="B775" s="13" t="s">
        <v>104</v>
      </c>
      <c r="C775" s="13" t="s">
        <v>105</v>
      </c>
      <c r="D775" s="31">
        <v>46055</v>
      </c>
      <c r="E775" s="31">
        <v>46113</v>
      </c>
      <c r="F775" s="31">
        <v>46142</v>
      </c>
      <c r="G775" s="13">
        <v>3787213</v>
      </c>
      <c r="H775" s="13">
        <v>5474</v>
      </c>
      <c r="J775" s="13" t="s">
        <v>118</v>
      </c>
      <c r="K775" s="13">
        <v>5474</v>
      </c>
      <c r="L775" s="13">
        <v>1333</v>
      </c>
      <c r="M775" s="13">
        <v>4</v>
      </c>
      <c r="N775" s="13" t="s">
        <v>1890</v>
      </c>
      <c r="O775" s="13" t="s">
        <v>1205</v>
      </c>
      <c r="P775" s="13">
        <v>10045</v>
      </c>
      <c r="Q775" s="59" t="s">
        <v>270</v>
      </c>
      <c r="R775" s="13" t="s">
        <v>271</v>
      </c>
      <c r="S775" s="13" t="s">
        <v>283</v>
      </c>
      <c r="T775" s="13" t="s">
        <v>112</v>
      </c>
      <c r="U775" s="13" t="s">
        <v>113</v>
      </c>
      <c r="V775" s="23">
        <v>40</v>
      </c>
      <c r="W775" s="44">
        <f>IF($AX775="Cancelled","",IFERROR(((V775+INDEX(Variables!$B$6:$D$6,IFERROR(MATCH(IF($B775="Robusta","Robusta",(IF($B775="","Arabica",$B775))&amp;" - "&amp;(IF($C775="","Commercial",$C775))),Variables!$B$1:$D$1,0),1)))*22.0462)*(L775/16.67),""))</f>
        <v>583168.14551169763</v>
      </c>
      <c r="X775" s="55" t="s">
        <v>37</v>
      </c>
      <c r="Y775" s="13" t="str">
        <f>IF($AX775="Cancelled","",IF(X775="","",IFERROR(IF(INDEX(Variables!$B$38:$B$47,MATCH(X775,Variables!$A$38:$A$47,0))="Yes","Yes","No"),"No")))</f>
        <v>Yes</v>
      </c>
      <c r="Z775" s="58">
        <v>46080</v>
      </c>
      <c r="AB775" s="31">
        <v>46094</v>
      </c>
      <c r="AC775" s="13" t="str">
        <f t="shared" si="37"/>
        <v>Approved</v>
      </c>
      <c r="AF775" s="71">
        <v>46167</v>
      </c>
      <c r="AG775" s="37">
        <f>IF($AX775="Cancelled","",IFERROR(IF(F775="","",F775-Variables!$B$13),""))</f>
        <v>46127</v>
      </c>
      <c r="AH775" s="13">
        <f>IF($AX775="Cancelled","",IFERROR(IF(AB775="","",(AVERAGE(E775:F775)-AB775)-Variables!$B$14),""))</f>
        <v>3.5</v>
      </c>
      <c r="AJ775" s="47">
        <v>46183</v>
      </c>
      <c r="AK775" s="14">
        <f>IF($AX775="Cancelled","",IFERROR(IF(AJ775="","",IF(AND(AB775="",AF775=""),"",IF(AF775&gt;AB775,AF775+Variables!$B$15+Variables!$B$16+Variables!$B$17-AJ775,AB775+Variables!$B$16+Variables!$B$17-AJ775))),""))</f>
        <v>-1</v>
      </c>
      <c r="AL775" s="48" t="s">
        <v>114</v>
      </c>
      <c r="AM775" s="13" t="s">
        <v>168</v>
      </c>
      <c r="AN775" s="13" t="s">
        <v>2069</v>
      </c>
      <c r="AP775" s="31">
        <v>46183</v>
      </c>
      <c r="AR775" s="13" t="s">
        <v>2070</v>
      </c>
      <c r="AS775" s="31">
        <v>46183</v>
      </c>
      <c r="AU775" s="31">
        <v>46213</v>
      </c>
      <c r="AV775" s="13" t="e">
        <v>#REF!</v>
      </c>
      <c r="AW775" s="31">
        <v>46213</v>
      </c>
      <c r="AX775" s="13" t="str">
        <f>IF(ISNUMBER(SEARCH("cancel",#REF!)),"Cancelled",IF(AND(AS775&lt;&gt;"",AU775&lt;&gt;"",AW775&lt;&gt;""),"Closed","Open"))</f>
        <v>Closed</v>
      </c>
      <c r="AY775" s="15" t="str">
        <f t="shared" si="36"/>
        <v>All dates received</v>
      </c>
      <c r="BD775" s="13">
        <f>IF($AX775="Cancelled","",IFERROR(IF(OR(AS775="",AJ775=""),"",(AJ775+Variables!$B$18-AS775)),""))</f>
        <v>15</v>
      </c>
      <c r="BE775" s="13">
        <f>IF($AX775="Cancelled","",IFERROR(IF(OR(AW775="",AS775=""),"",(AS775+Variables!$B$19)-AW775),""))</f>
        <v>-25</v>
      </c>
      <c r="BF775" s="44">
        <f>IF($AX775="Cancelled","",IFERROR(W775*INDEX(Variables!$B$7:$D$7,IFERROR(MATCH(IF($B775="Robusta","Robusta",(IF($B775="","Arabica",$B775))&amp;" - "&amp;(IF($C775="","Commercial",$C775))),Variables!$B$1:$D$1,0),1))*(BE775/365),""))</f>
        <v>-2575.614040583177</v>
      </c>
      <c r="BG775" s="44">
        <f>IF($AX775="Cancelled","",IFERROR((W775*INDEX(Variables!$B$7:$D$7,IFERROR(MATCH(IF($B775="Robusta","Robusta",(IF($B775="","Arabica",$B775))&amp;" - "&amp;(IF($C775="","Commercial",$C775))),Variables!$B$1:$D$1,0),1))*IFERROR(IF(AB775="","",(AVERAGE(E775:F775)-AB775)-Variables!$B$14),"")/365)+(L775/16.67*INDEX(Variables!$B$8:$D$8,IFERROR(MATCH(IF($B775="Robusta","Robusta",(IF($B775="","Arabica",$B775))&amp;" - "&amp;(IF($C775="","Commercial",$C775))),Variables!$B$1:$D$1,0),1))*IFERROR(IF(AB775="","",(AVERAGE(E775:F775)-AB775)-Variables!$B$14),""))+(W775*INDEX(Variables!$B$9:$D$9,IFERROR(MATCH(IF($B775="Robusta","Robusta",(IF($B775="","Arabica",$B775))&amp;" - "&amp;(IF($C775="","Commercial",$C775))),Variables!$B$1:$D$1,0),1))*IFERROR(IF(AB775="","",(AVERAGE(E775:F775)-AB775)-Variables!$B$14),"")/365),""))</f>
        <v>598.5096146618464</v>
      </c>
      <c r="BH775" s="44">
        <f>IF($AX775="Cancelled","",IFERROR((W775*INDEX(Variables!$B$7:$D$7,IFERROR(MATCH(IF($B775="Robusta","Robusta",(IF($B775="","Arabica",$B775))&amp;" - "&amp;(IF($C775="","Commercial",$C775))),Variables!$B$1:$D$1,0),1))*AK775/365)+(L775/16.67*INDEX(Variables!$B$8:$D$8,IFERROR(MATCH(IF($B775="Robusta","Robusta",(IF($B775="","Arabica",$B775))&amp;" - "&amp;(IF($C775="","Commercial",$C775))),Variables!$B$1:$D$1,0),1))*AK775)+(W775*INDEX(Variables!$B$9:$D$9,IFERROR(MATCH(IF($B775="Robusta","Robusta",(IF($B775="","Arabica",$B775))&amp;" - "&amp;(IF($C775="","Commercial",$C775))),Variables!$B$1:$D$1,0),1))*AK775/365),""))</f>
        <v>-171.00274704624181</v>
      </c>
      <c r="BI775" s="44">
        <f>IF($AX775="Cancelled","",IFERROR((W775*INDEX(Variables!$B$7:$D$7,IFERROR(MATCH(IF($B775="Robusta","Robusta",(IF($B775="","Arabica",$B775))&amp;" - "&amp;(IF($C775="","Commercial",$C775))),Variables!$B$1:$D$1,0),1))*BD775/365)+(L775/16.67*INDEX(Variables!$B$8:$D$8,IFERROR(MATCH(IF($B775="Robusta","Robusta",(IF($B775="","Arabica",$B775))&amp;" - "&amp;(IF($C775="","Commercial",$C775))),Variables!$B$1:$D$1,0),1))*BD775)+(W775*INDEX(Variables!$B$9:$D$9,IFERROR(MATCH(IF($B775="Robusta","Robusta",(IF($B775="","Arabica",$B775))&amp;" - "&amp;(IF($C775="","Commercial",$C775))),Variables!$B$1:$D$1,0),1))*BD775/365),""))</f>
        <v>2565.0412056936275</v>
      </c>
      <c r="BJ775" s="44">
        <f t="shared" si="38"/>
        <v>-41</v>
      </c>
      <c r="BK775" s="44">
        <f>IF($AX775="Cancelled","",IFERROR(IF(BJ775="","",(W775*INDEX(Variables!$B$7:$D$7,IFERROR(MATCH(IF($B775="Robusta","Robusta",(IF($B775="","Arabica",$B775))&amp;" - "&amp;(IF($C775="","Commercial",$C775))),Variables!$B$1:$D$1,0),1))*(BJ775/365))+(W775*INDEX(Variables!$B$9:$D$9,IFERROR(MATCH(IF($B775="Robusta","Robusta",(IF($B775="","Arabica",$B775))&amp;" - "&amp;(IF($C775="","Commercial",$C775))),Variables!$B$1:$D$1,0),1))*(BJ775/365))+(INDEX(Variables!$B$8:$D$8,IFERROR(MATCH(IF($B775="Robusta","Robusta",(IF($B775="","Arabica",$B775))&amp;" - "&amp;(IF($C775="","Commercial",$C775))),Variables!$B$1:$D$1,0),1))*L775/16.67)),""))</f>
        <v>-4211.8126288959147</v>
      </c>
    </row>
    <row r="776" spans="1:63">
      <c r="A776" s="13" t="s">
        <v>103</v>
      </c>
      <c r="B776" s="13" t="s">
        <v>104</v>
      </c>
      <c r="C776" s="13" t="s">
        <v>105</v>
      </c>
      <c r="D776" s="31">
        <v>46055</v>
      </c>
      <c r="E776" s="31">
        <v>46113</v>
      </c>
      <c r="F776" s="31">
        <v>46142</v>
      </c>
      <c r="G776" s="13">
        <v>3787214</v>
      </c>
      <c r="H776" s="13" t="s">
        <v>2071</v>
      </c>
      <c r="J776" s="13" t="s">
        <v>118</v>
      </c>
      <c r="K776" s="13" t="s">
        <v>2071</v>
      </c>
      <c r="L776" s="13">
        <v>667</v>
      </c>
      <c r="M776" s="13">
        <v>2</v>
      </c>
      <c r="N776" s="13" t="s">
        <v>1890</v>
      </c>
      <c r="O776" s="13" t="s">
        <v>1205</v>
      </c>
      <c r="P776" s="13">
        <v>10045</v>
      </c>
      <c r="Q776" s="59" t="s">
        <v>270</v>
      </c>
      <c r="R776" s="13" t="s">
        <v>271</v>
      </c>
      <c r="S776" s="13" t="s">
        <v>2072</v>
      </c>
      <c r="T776" s="13" t="s">
        <v>2073</v>
      </c>
      <c r="U776" s="13" t="s">
        <v>182</v>
      </c>
      <c r="V776" s="23">
        <v>40</v>
      </c>
      <c r="W776" s="44">
        <f>IF($AX776="Cancelled","",IFERROR(((V776+INDEX(Variables!$B$6:$D$6,IFERROR(MATCH(IF($B776="Robusta","Robusta",(IF($B776="","Arabica",$B776))&amp;" - "&amp;(IF($C776="","Commercial",$C776))),Variables!$B$1:$D$1,0),1)))*22.0462)*(L776/16.67),""))</f>
        <v>291802.81549610075</v>
      </c>
      <c r="X776" s="55" t="s">
        <v>37</v>
      </c>
      <c r="Y776" s="13" t="str">
        <f>IF($AX776="Cancelled","",IF(X776="","",IFERROR(IF(INDEX(Variables!$B$38:$B$47,MATCH(X776,Variables!$A$38:$A$47,0))="Yes","Yes","No"),"No")))</f>
        <v>Yes</v>
      </c>
      <c r="Z776" s="58">
        <v>46080</v>
      </c>
      <c r="AB776" s="31">
        <v>46094</v>
      </c>
      <c r="AC776" s="13" t="str">
        <f t="shared" si="37"/>
        <v>Approved</v>
      </c>
      <c r="AF776" s="71">
        <v>46125</v>
      </c>
      <c r="AG776" s="37">
        <f>IF($AX776="Cancelled","",IFERROR(IF(F776="","",F776-Variables!$B$13),""))</f>
        <v>46127</v>
      </c>
      <c r="AH776" s="13">
        <f>IF($AX776="Cancelled","",IFERROR(IF(AB776="","",(AVERAGE(E776:F776)-AB776)-Variables!$B$14),""))</f>
        <v>3.5</v>
      </c>
      <c r="AJ776" s="47">
        <v>46129</v>
      </c>
      <c r="AK776" s="14">
        <f>IF($AX776="Cancelled","",IFERROR(IF(AJ776="","",IF(AND(AB776="",AF776=""),"",IF(AF776&gt;AB776,AF776+Variables!$B$15+Variables!$B$16+Variables!$B$17-AJ776,AB776+Variables!$B$16+Variables!$B$17-AJ776))),""))</f>
        <v>11</v>
      </c>
      <c r="AL776" s="48" t="s">
        <v>114</v>
      </c>
      <c r="AM776" s="13" t="s">
        <v>115</v>
      </c>
      <c r="AN776" s="13" t="s">
        <v>2074</v>
      </c>
      <c r="AP776" s="31">
        <v>46174</v>
      </c>
      <c r="AR776" s="13">
        <v>268664283</v>
      </c>
      <c r="AS776" s="31">
        <v>46174</v>
      </c>
      <c r="AU776" s="31">
        <v>46204</v>
      </c>
      <c r="AV776" s="13" t="s">
        <v>8</v>
      </c>
      <c r="AW776" s="31">
        <v>46204</v>
      </c>
      <c r="AX776" s="13" t="str">
        <f>IF(ISNUMBER(SEARCH("cancel",#REF!)),"Cancelled",IF(AND(AS776&lt;&gt;"",AU776&lt;&gt;"",AW776&lt;&gt;""),"Closed","Open"))</f>
        <v>Closed</v>
      </c>
      <c r="AY776" s="15" t="str">
        <f t="shared" si="36"/>
        <v>All dates received</v>
      </c>
      <c r="BD776" s="13">
        <f>IF($AX776="Cancelled","",IFERROR(IF(OR(AS776="",AJ776=""),"",(AJ776+Variables!$B$18-AS776)),""))</f>
        <v>-30</v>
      </c>
      <c r="BE776" s="13">
        <f>IF($AX776="Cancelled","",IFERROR(IF(OR(AW776="",AS776=""),"",(AS776+Variables!$B$19)-AW776),""))</f>
        <v>-25</v>
      </c>
      <c r="BF776" s="44">
        <f>IF($AX776="Cancelled","",IFERROR(W776*INDEX(Variables!$B$7:$D$7,IFERROR(MATCH(IF($B776="Robusta","Robusta",(IF($B776="","Arabica",$B776))&amp;" - "&amp;(IF($C776="","Commercial",$C776))),Variables!$B$1:$D$1,0),1))*(BE776/365),""))</f>
        <v>-1288.7731170810046</v>
      </c>
      <c r="BG776" s="44">
        <f>IF($AX776="Cancelled","",IFERROR((W776*INDEX(Variables!$B$7:$D$7,IFERROR(MATCH(IF($B776="Robusta","Robusta",(IF($B776="","Arabica",$B776))&amp;" - "&amp;(IF($C776="","Commercial",$C776))),Variables!$B$1:$D$1,0),1))*IFERROR(IF(AB776="","",(AVERAGE(E776:F776)-AB776)-Variables!$B$14),"")/365)+(L776/16.67*INDEX(Variables!$B$8:$D$8,IFERROR(MATCH(IF($B776="Robusta","Robusta",(IF($B776="","Arabica",$B776))&amp;" - "&amp;(IF($C776="","Commercial",$C776))),Variables!$B$1:$D$1,0),1))*IFERROR(IF(AB776="","",(AVERAGE(E776:F776)-AB776)-Variables!$B$14),""))+(W776*INDEX(Variables!$B$9:$D$9,IFERROR(MATCH(IF($B776="Robusta","Robusta",(IF($B776="","Arabica",$B776))&amp;" - "&amp;(IF($C776="","Commercial",$C776))),Variables!$B$1:$D$1,0),1))*IFERROR(IF(AB776="","",(AVERAGE(E776:F776)-AB776)-Variables!$B$14),"")/365),""))</f>
        <v>299.47930456072885</v>
      </c>
      <c r="BH776" s="44">
        <f>IF($AX776="Cancelled","",IFERROR((W776*INDEX(Variables!$B$7:$D$7,IFERROR(MATCH(IF($B776="Robusta","Robusta",(IF($B776="","Arabica",$B776))&amp;" - "&amp;(IF($C776="","Commercial",$C776))),Variables!$B$1:$D$1,0),1))*AK776/365)+(L776/16.67*INDEX(Variables!$B$8:$D$8,IFERROR(MATCH(IF($B776="Robusta","Robusta",(IF($B776="","Arabica",$B776))&amp;" - "&amp;(IF($C776="","Commercial",$C776))),Variables!$B$1:$D$1,0),1))*AK776)+(W776*INDEX(Variables!$B$9:$D$9,IFERROR(MATCH(IF($B776="Robusta","Robusta",(IF($B776="","Arabica",$B776))&amp;" - "&amp;(IF($C776="","Commercial",$C776))),Variables!$B$1:$D$1,0),1))*AK776/365),""))</f>
        <v>941.22067147657629</v>
      </c>
      <c r="BI776" s="44">
        <f>IF($AX776="Cancelled","",IFERROR((W776*INDEX(Variables!$B$7:$D$7,IFERROR(MATCH(IF($B776="Robusta","Robusta",(IF($B776="","Arabica",$B776))&amp;" - "&amp;(IF($C776="","Commercial",$C776))),Variables!$B$1:$D$1,0),1))*BD776/365)+(L776/16.67*INDEX(Variables!$B$8:$D$8,IFERROR(MATCH(IF($B776="Robusta","Robusta",(IF($B776="","Arabica",$B776))&amp;" - "&amp;(IF($C776="","Commercial",$C776))),Variables!$B$1:$D$1,0),1))*BD776)+(W776*INDEX(Variables!$B$9:$D$9,IFERROR(MATCH(IF($B776="Robusta","Robusta",(IF($B776="","Arabica",$B776))&amp;" - "&amp;(IF($C776="","Commercial",$C776))),Variables!$B$1:$D$1,0),1))*BD776/365),""))</f>
        <v>-2566.96546766339</v>
      </c>
      <c r="BJ776" s="44">
        <f t="shared" si="38"/>
        <v>-32</v>
      </c>
      <c r="BK776" s="44">
        <f>IF($AX776="Cancelled","",IFERROR(IF(BJ776="","",(W776*INDEX(Variables!$B$7:$D$7,IFERROR(MATCH(IF($B776="Robusta","Robusta",(IF($B776="","Arabica",$B776))&amp;" - "&amp;(IF($C776="","Commercial",$C776))),Variables!$B$1:$D$1,0),1))*(BJ776/365))+(W776*INDEX(Variables!$B$9:$D$9,IFERROR(MATCH(IF($B776="Robusta","Robusta",(IF($B776="","Arabica",$B776))&amp;" - "&amp;(IF($C776="","Commercial",$C776))),Variables!$B$1:$D$1,0),1))*(BJ776/365))+(INDEX(Variables!$B$8:$D$8,IFERROR(MATCH(IF($B776="Robusta","Robusta",(IF($B776="","Arabica",$B776))&amp;" - "&amp;(IF($C776="","Commercial",$C776))),Variables!$B$1:$D$1,0),1))*L776/16.67)),""))</f>
        <v>-1637.5464988409494</v>
      </c>
    </row>
    <row r="777" spans="1:63">
      <c r="A777" s="13" t="s">
        <v>103</v>
      </c>
      <c r="B777" s="13" t="s">
        <v>104</v>
      </c>
      <c r="C777" s="13" t="s">
        <v>105</v>
      </c>
      <c r="D777" s="31">
        <v>46055</v>
      </c>
      <c r="E777" s="31">
        <v>46113</v>
      </c>
      <c r="F777" s="31">
        <v>46142</v>
      </c>
      <c r="G777" s="13">
        <v>3787214</v>
      </c>
      <c r="H777" s="13" t="s">
        <v>2075</v>
      </c>
      <c r="J777" s="13" t="s">
        <v>118</v>
      </c>
      <c r="K777" s="13" t="s">
        <v>2075</v>
      </c>
      <c r="L777" s="13">
        <v>333</v>
      </c>
      <c r="M777" s="13">
        <v>1</v>
      </c>
      <c r="N777" s="13" t="s">
        <v>1890</v>
      </c>
      <c r="O777" s="13" t="s">
        <v>1205</v>
      </c>
      <c r="P777" s="13">
        <v>10045</v>
      </c>
      <c r="Q777" s="59" t="s">
        <v>270</v>
      </c>
      <c r="R777" s="13" t="s">
        <v>271</v>
      </c>
      <c r="S777" s="13" t="s">
        <v>276</v>
      </c>
      <c r="T777" s="13" t="s">
        <v>112</v>
      </c>
      <c r="U777" s="13" t="s">
        <v>113</v>
      </c>
      <c r="V777" s="23">
        <v>40</v>
      </c>
      <c r="W777" s="44">
        <f>IF($AX777="Cancelled","",IFERROR(((V777+INDEX(Variables!$B$6:$D$6,IFERROR(MATCH(IF($B777="Robusta","Robusta",(IF($B777="","Arabica",$B777))&amp;" - "&amp;(IF($C777="","Commercial",$C777))),Variables!$B$1:$D$1,0),1)))*22.0462)*(L777/16.67),""))</f>
        <v>145682.66500779844</v>
      </c>
      <c r="X777" s="55" t="s">
        <v>37</v>
      </c>
      <c r="Y777" s="13" t="str">
        <f>IF($AX777="Cancelled","",IF(X777="","",IFERROR(IF(INDEX(Variables!$B$38:$B$47,MATCH(X777,Variables!$A$38:$A$47,0))="Yes","Yes","No"),"No")))</f>
        <v>Yes</v>
      </c>
      <c r="Z777" s="58">
        <v>46080</v>
      </c>
      <c r="AB777" s="31">
        <v>46094</v>
      </c>
      <c r="AC777" s="13" t="str">
        <f t="shared" si="37"/>
        <v>Approved</v>
      </c>
      <c r="AF777" s="71">
        <v>46125</v>
      </c>
      <c r="AG777" s="37">
        <f>IF($AX777="Cancelled","",IFERROR(IF(F777="","",F777-Variables!$B$13),""))</f>
        <v>46127</v>
      </c>
      <c r="AH777" s="13">
        <f>IF($AX777="Cancelled","",IFERROR(IF(AB777="","",(AVERAGE(E777:F777)-AB777)-Variables!$B$14),""))</f>
        <v>3.5</v>
      </c>
      <c r="AJ777" s="47">
        <v>46129</v>
      </c>
      <c r="AK777" s="14">
        <f>IF($AX777="Cancelled","",IFERROR(IF(AJ777="","",IF(AND(AB777="",AF777=""),"",IF(AF777&gt;AB777,AF777+Variables!$B$15+Variables!$B$16+Variables!$B$17-AJ777,AB777+Variables!$B$16+Variables!$B$17-AJ777))),""))</f>
        <v>11</v>
      </c>
      <c r="AL777" s="48" t="s">
        <v>114</v>
      </c>
      <c r="AM777" s="13" t="s">
        <v>115</v>
      </c>
      <c r="AN777" s="13" t="s">
        <v>2074</v>
      </c>
      <c r="AP777" s="31">
        <v>46174</v>
      </c>
      <c r="AR777" s="13">
        <v>268664283</v>
      </c>
      <c r="AS777" s="31">
        <v>46171</v>
      </c>
      <c r="AU777" s="31">
        <v>46204</v>
      </c>
      <c r="AV777" s="13" t="s">
        <v>8</v>
      </c>
      <c r="AW777" s="31">
        <v>46204</v>
      </c>
      <c r="AX777" s="13" t="str">
        <f>IF(ISNUMBER(SEARCH("cancel",#REF!)),"Cancelled",IF(AND(AS777&lt;&gt;"",AU777&lt;&gt;"",AW777&lt;&gt;""),"Closed","Open"))</f>
        <v>Closed</v>
      </c>
      <c r="AY777" s="15" t="str">
        <f t="shared" si="36"/>
        <v>All dates received</v>
      </c>
      <c r="BD777" s="13">
        <f>IF($AX777="Cancelled","",IFERROR(IF(OR(AS777="",AJ777=""),"",(AJ777+Variables!$B$18-AS777)),""))</f>
        <v>-27</v>
      </c>
      <c r="BE777" s="13">
        <f>IF($AX777="Cancelled","",IFERROR(IF(OR(AW777="",AS777=""),"",(AS777+Variables!$B$19)-AW777),""))</f>
        <v>-28</v>
      </c>
      <c r="BF777" s="44">
        <f>IF($AX777="Cancelled","",IFERROR(W777*INDEX(Variables!$B$7:$D$7,IFERROR(MATCH(IF($B777="Robusta","Robusta",(IF($B777="","Arabica",$B777))&amp;" - "&amp;(IF($C777="","Commercial",$C777))),Variables!$B$1:$D$1,0),1))*(BE777/365),""))</f>
        <v>-720.63091716121676</v>
      </c>
      <c r="BG777" s="44">
        <f>IF($AX777="Cancelled","",IFERROR((W777*INDEX(Variables!$B$7:$D$7,IFERROR(MATCH(IF($B777="Robusta","Robusta",(IF($B777="","Arabica",$B777))&amp;" - "&amp;(IF($C777="","Commercial",$C777))),Variables!$B$1:$D$1,0),1))*IFERROR(IF(AB777="","",(AVERAGE(E777:F777)-AB777)-Variables!$B$14),"")/365)+(L777/16.67*INDEX(Variables!$B$8:$D$8,IFERROR(MATCH(IF($B777="Robusta","Robusta",(IF($B777="","Arabica",$B777))&amp;" - "&amp;(IF($C777="","Commercial",$C777))),Variables!$B$1:$D$1,0),1))*IFERROR(IF(AB777="","",(AVERAGE(E777:F777)-AB777)-Variables!$B$14),""))+(W777*INDEX(Variables!$B$9:$D$9,IFERROR(MATCH(IF($B777="Robusta","Robusta",(IF($B777="","Arabica",$B777))&amp;" - "&amp;(IF($C777="","Commercial",$C777))),Variables!$B$1:$D$1,0),1))*IFERROR(IF(AB777="","",(AVERAGE(E777:F777)-AB777)-Variables!$B$14),"")/365),""))</f>
        <v>149.51515505055877</v>
      </c>
      <c r="BH777" s="44">
        <f>IF($AX777="Cancelled","",IFERROR((W777*INDEX(Variables!$B$7:$D$7,IFERROR(MATCH(IF($B777="Robusta","Robusta",(IF($B777="","Arabica",$B777))&amp;" - "&amp;(IF($C777="","Commercial",$C777))),Variables!$B$1:$D$1,0),1))*AK777/365)+(L777/16.67*INDEX(Variables!$B$8:$D$8,IFERROR(MATCH(IF($B777="Robusta","Robusta",(IF($B777="","Arabica",$B777))&amp;" - "&amp;(IF($C777="","Commercial",$C777))),Variables!$B$1:$D$1,0),1))*AK777)+(W777*INDEX(Variables!$B$9:$D$9,IFERROR(MATCH(IF($B777="Robusta","Robusta",(IF($B777="","Arabica",$B777))&amp;" - "&amp;(IF($C777="","Commercial",$C777))),Variables!$B$1:$D$1,0),1))*AK777/365),""))</f>
        <v>469.90477301604187</v>
      </c>
      <c r="BI777" s="44">
        <f>IF($AX777="Cancelled","",IFERROR((W777*INDEX(Variables!$B$7:$D$7,IFERROR(MATCH(IF($B777="Robusta","Robusta",(IF($B777="","Arabica",$B777))&amp;" - "&amp;(IF($C777="","Commercial",$C777))),Variables!$B$1:$D$1,0),1))*BD777/365)+(L777/16.67*INDEX(Variables!$B$8:$D$8,IFERROR(MATCH(IF($B777="Robusta","Robusta",(IF($B777="","Arabica",$B777))&amp;" - "&amp;(IF($C777="","Commercial",$C777))),Variables!$B$1:$D$1,0),1))*BD777)+(W777*INDEX(Variables!$B$9:$D$9,IFERROR(MATCH(IF($B777="Robusta","Robusta",(IF($B777="","Arabica",$B777))&amp;" - "&amp;(IF($C777="","Commercial",$C777))),Variables!$B$1:$D$1,0),1))*BD777/365),""))</f>
        <v>-1153.4026246757389</v>
      </c>
      <c r="BJ777" s="44">
        <f t="shared" si="38"/>
        <v>-29</v>
      </c>
      <c r="BK777" s="44">
        <f>IF($AX777="Cancelled","",IFERROR(IF(BJ777="","",(W777*INDEX(Variables!$B$7:$D$7,IFERROR(MATCH(IF($B777="Robusta","Robusta",(IF($B777="","Arabica",$B777))&amp;" - "&amp;(IF($C777="","Commercial",$C777))),Variables!$B$1:$D$1,0),1))*(BJ777/365))+(W777*INDEX(Variables!$B$9:$D$9,IFERROR(MATCH(IF($B777="Robusta","Robusta",(IF($B777="","Arabica",$B777))&amp;" - "&amp;(IF($C777="","Commercial",$C777))),Variables!$B$1:$D$1,0),1))*(BJ777/365))+(INDEX(Variables!$B$8:$D$8,IFERROR(MATCH(IF($B777="Robusta","Robusta",(IF($B777="","Arabica",$B777))&amp;" - "&amp;(IF($C777="","Commercial",$C777))),Variables!$B$1:$D$1,0),1))*L777/16.67)),""))</f>
        <v>-739.33985613320135</v>
      </c>
    </row>
    <row r="778" spans="1:63">
      <c r="A778" s="13" t="s">
        <v>103</v>
      </c>
      <c r="B778" s="13" t="s">
        <v>104</v>
      </c>
      <c r="C778" s="13" t="s">
        <v>105</v>
      </c>
      <c r="D778" s="31">
        <v>46055</v>
      </c>
      <c r="E778" s="31">
        <v>46113</v>
      </c>
      <c r="F778" s="31">
        <v>46142</v>
      </c>
      <c r="G778" s="13">
        <v>3787215</v>
      </c>
      <c r="H778" s="13" t="s">
        <v>2076</v>
      </c>
      <c r="J778" s="13" t="s">
        <v>118</v>
      </c>
      <c r="K778" s="13" t="s">
        <v>2076</v>
      </c>
      <c r="L778" s="13">
        <v>1333</v>
      </c>
      <c r="M778" s="13">
        <v>4</v>
      </c>
      <c r="N778" s="13" t="s">
        <v>1890</v>
      </c>
      <c r="O778" s="13" t="s">
        <v>1205</v>
      </c>
      <c r="P778" s="13">
        <v>10045</v>
      </c>
      <c r="Q778" s="59" t="s">
        <v>270</v>
      </c>
      <c r="R778" s="13" t="s">
        <v>271</v>
      </c>
      <c r="S778" s="13" t="s">
        <v>138</v>
      </c>
      <c r="T778" s="13" t="s">
        <v>139</v>
      </c>
      <c r="U778" s="13" t="s">
        <v>125</v>
      </c>
      <c r="V778" s="23">
        <v>40</v>
      </c>
      <c r="W778" s="44">
        <f>IF($AX778="Cancelled","",IFERROR(((V778+INDEX(Variables!$B$6:$D$6,IFERROR(MATCH(IF($B778="Robusta","Robusta",(IF($B778="","Arabica",$B778))&amp;" - "&amp;(IF($C778="","Commercial",$C778))),Variables!$B$1:$D$1,0),1)))*22.0462)*(L778/16.67),""))</f>
        <v>583168.14551169763</v>
      </c>
      <c r="X778" s="55" t="s">
        <v>37</v>
      </c>
      <c r="Y778" s="13" t="str">
        <f>IF($AX778="Cancelled","",IF(X778="","",IFERROR(IF(INDEX(Variables!$B$38:$B$47,MATCH(X778,Variables!$A$38:$A$47,0))="Yes","Yes","No"),"No")))</f>
        <v>Yes</v>
      </c>
      <c r="Z778" s="58">
        <v>46080</v>
      </c>
      <c r="AB778" s="31">
        <v>46094</v>
      </c>
      <c r="AC778" s="13" t="str">
        <f t="shared" si="37"/>
        <v>Approved</v>
      </c>
      <c r="AF778" s="71">
        <v>46127</v>
      </c>
      <c r="AG778" s="37">
        <f>IF($AX778="Cancelled","",IFERROR(IF(F778="","",F778-Variables!$B$13),""))</f>
        <v>46127</v>
      </c>
      <c r="AH778" s="13">
        <f>IF($AX778="Cancelled","",IFERROR(IF(AB778="","",(AVERAGE(E778:F778)-AB778)-Variables!$B$14),""))</f>
        <v>3.5</v>
      </c>
      <c r="AJ778" s="47">
        <v>46164</v>
      </c>
      <c r="AK778" s="14">
        <f>IF($AX778="Cancelled","",IFERROR(IF(AJ778="","",IF(AND(AB778="",AF778=""),"",IF(AF778&gt;AB778,AF778+Variables!$B$15+Variables!$B$16+Variables!$B$17-AJ778,AB778+Variables!$B$16+Variables!$B$17-AJ778))),""))</f>
        <v>-22</v>
      </c>
      <c r="AL778" s="48" t="s">
        <v>114</v>
      </c>
      <c r="AM778" s="13" t="s">
        <v>115</v>
      </c>
      <c r="AN778" s="13" t="s">
        <v>2077</v>
      </c>
      <c r="AP778" s="31">
        <v>46171</v>
      </c>
      <c r="AR778" s="13">
        <v>268963847</v>
      </c>
      <c r="AS778" s="31" t="s">
        <v>2078</v>
      </c>
      <c r="AU778" s="31">
        <v>46195</v>
      </c>
      <c r="AV778" s="13" t="s">
        <v>8</v>
      </c>
      <c r="AW778" s="31">
        <v>46195</v>
      </c>
      <c r="AX778" s="13" t="str">
        <f>IF(ISNUMBER(SEARCH("cancel",#REF!)),"Cancelled",IF(AND(AS778&lt;&gt;"",AU778&lt;&gt;"",AW778&lt;&gt;""),"Closed","Open"))</f>
        <v>Closed</v>
      </c>
      <c r="AY778" s="15" t="str">
        <f t="shared" si="36"/>
        <v>All dates received</v>
      </c>
      <c r="BD778" s="13" t="str">
        <f>IF($AX778="Cancelled","",IFERROR(IF(OR(AS778="",AJ778=""),"",(AJ778+Variables!$B$18-AS778)),""))</f>
        <v/>
      </c>
      <c r="BE778" s="13" t="str">
        <f>IF($AX778="Cancelled","",IFERROR(IF(OR(AW778="",AS778=""),"",(AS778+Variables!$B$19)-AW778),""))</f>
        <v/>
      </c>
      <c r="BF778" s="44" t="str">
        <f>IF($AX778="Cancelled","",IFERROR(W778*INDEX(Variables!$B$7:$D$7,IFERROR(MATCH(IF($B778="Robusta","Robusta",(IF($B778="","Arabica",$B778))&amp;" - "&amp;(IF($C778="","Commercial",$C778))),Variables!$B$1:$D$1,0),1))*(BE778/365),""))</f>
        <v/>
      </c>
      <c r="BG778" s="44">
        <f>IF($AX778="Cancelled","",IFERROR((W778*INDEX(Variables!$B$7:$D$7,IFERROR(MATCH(IF($B778="Robusta","Robusta",(IF($B778="","Arabica",$B778))&amp;" - "&amp;(IF($C778="","Commercial",$C778))),Variables!$B$1:$D$1,0),1))*IFERROR(IF(AB778="","",(AVERAGE(E778:F778)-AB778)-Variables!$B$14),"")/365)+(L778/16.67*INDEX(Variables!$B$8:$D$8,IFERROR(MATCH(IF($B778="Robusta","Robusta",(IF($B778="","Arabica",$B778))&amp;" - "&amp;(IF($C778="","Commercial",$C778))),Variables!$B$1:$D$1,0),1))*IFERROR(IF(AB778="","",(AVERAGE(E778:F778)-AB778)-Variables!$B$14),""))+(W778*INDEX(Variables!$B$9:$D$9,IFERROR(MATCH(IF($B778="Robusta","Robusta",(IF($B778="","Arabica",$B778))&amp;" - "&amp;(IF($C778="","Commercial",$C778))),Variables!$B$1:$D$1,0),1))*IFERROR(IF(AB778="","",(AVERAGE(E778:F778)-AB778)-Variables!$B$14),"")/365),""))</f>
        <v>598.5096146618464</v>
      </c>
      <c r="BH778" s="44">
        <f>IF($AX778="Cancelled","",IFERROR((W778*INDEX(Variables!$B$7:$D$7,IFERROR(MATCH(IF($B778="Robusta","Robusta",(IF($B778="","Arabica",$B778))&amp;" - "&amp;(IF($C778="","Commercial",$C778))),Variables!$B$1:$D$1,0),1))*AK778/365)+(L778/16.67*INDEX(Variables!$B$8:$D$8,IFERROR(MATCH(IF($B778="Robusta","Robusta",(IF($B778="","Arabica",$B778))&amp;" - "&amp;(IF($C778="","Commercial",$C778))),Variables!$B$1:$D$1,0),1))*AK778)+(W778*INDEX(Variables!$B$9:$D$9,IFERROR(MATCH(IF($B778="Robusta","Robusta",(IF($B778="","Arabica",$B778))&amp;" - "&amp;(IF($C778="","Commercial",$C778))),Variables!$B$1:$D$1,0),1))*AK778/365),""))</f>
        <v>-3762.0604350173198</v>
      </c>
      <c r="BI778" s="44" t="str">
        <f>IF($AX778="Cancelled","",IFERROR((W778*INDEX(Variables!$B$7:$D$7,IFERROR(MATCH(IF($B778="Robusta","Robusta",(IF($B778="","Arabica",$B778))&amp;" - "&amp;(IF($C778="","Commercial",$C778))),Variables!$B$1:$D$1,0),1))*BD778/365)+(L778/16.67*INDEX(Variables!$B$8:$D$8,IFERROR(MATCH(IF($B778="Robusta","Robusta",(IF($B778="","Arabica",$B778))&amp;" - "&amp;(IF($C778="","Commercial",$C778))),Variables!$B$1:$D$1,0),1))*BD778)+(W778*INDEX(Variables!$B$9:$D$9,IFERROR(MATCH(IF($B778="Robusta","Robusta",(IF($B778="","Arabica",$B778))&amp;" - "&amp;(IF($C778="","Commercial",$C778))),Variables!$B$1:$D$1,0),1))*BD778/365),""))</f>
        <v/>
      </c>
      <c r="BJ778" s="44" t="str">
        <f t="shared" si="38"/>
        <v/>
      </c>
      <c r="BK778" s="44" t="str">
        <f>IF($AX778="Cancelled","",IFERROR(IF(BJ778="","",(W778*INDEX(Variables!$B$7:$D$7,IFERROR(MATCH(IF($B778="Robusta","Robusta",(IF($B778="","Arabica",$B778))&amp;" - "&amp;(IF($C778="","Commercial",$C778))),Variables!$B$1:$D$1,0),1))*(BJ778/365))+(W778*INDEX(Variables!$B$9:$D$9,IFERROR(MATCH(IF($B778="Robusta","Robusta",(IF($B778="","Arabica",$B778))&amp;" - "&amp;(IF($C778="","Commercial",$C778))),Variables!$B$1:$D$1,0),1))*(BJ778/365))+(INDEX(Variables!$B$8:$D$8,IFERROR(MATCH(IF($B778="Robusta","Robusta",(IF($B778="","Arabica",$B778))&amp;" - "&amp;(IF($C778="","Commercial",$C778))),Variables!$B$1:$D$1,0),1))*L778/16.67)),""))</f>
        <v/>
      </c>
    </row>
    <row r="779" spans="1:63">
      <c r="A779" s="13" t="s">
        <v>103</v>
      </c>
      <c r="B779" s="13" t="s">
        <v>104</v>
      </c>
      <c r="C779" s="13" t="s">
        <v>105</v>
      </c>
      <c r="D779" s="31">
        <v>46055</v>
      </c>
      <c r="E779" s="31">
        <v>46113</v>
      </c>
      <c r="F779" s="31">
        <v>46142</v>
      </c>
      <c r="G779" s="13">
        <v>3787215</v>
      </c>
      <c r="H779" s="13" t="s">
        <v>2079</v>
      </c>
      <c r="J779" s="13" t="s">
        <v>118</v>
      </c>
      <c r="K779" s="13" t="s">
        <v>2079</v>
      </c>
      <c r="L779" s="13">
        <v>333</v>
      </c>
      <c r="M779" s="13">
        <v>1</v>
      </c>
      <c r="N779" s="13" t="s">
        <v>1890</v>
      </c>
      <c r="O779" s="13" t="s">
        <v>1205</v>
      </c>
      <c r="P779" s="13">
        <v>10045</v>
      </c>
      <c r="Q779" s="59" t="s">
        <v>270</v>
      </c>
      <c r="R779" s="13" t="s">
        <v>271</v>
      </c>
      <c r="S779" s="13" t="s">
        <v>288</v>
      </c>
      <c r="T779" s="13" t="s">
        <v>289</v>
      </c>
      <c r="U779" s="13" t="s">
        <v>182</v>
      </c>
      <c r="V779" s="23">
        <v>40</v>
      </c>
      <c r="W779" s="44">
        <f>IF($AX779="Cancelled","",IFERROR(((V779+INDEX(Variables!$B$6:$D$6,IFERROR(MATCH(IF($B779="Robusta","Robusta",(IF($B779="","Arabica",$B779))&amp;" - "&amp;(IF($C779="","Commercial",$C779))),Variables!$B$1:$D$1,0),1)))*22.0462)*(L779/16.67),""))</f>
        <v>145682.66500779844</v>
      </c>
      <c r="X779" s="55" t="s">
        <v>37</v>
      </c>
      <c r="Y779" s="13" t="str">
        <f>IF($AX779="Cancelled","",IF(X779="","",IFERROR(IF(INDEX(Variables!$B$38:$B$47,MATCH(X779,Variables!$A$38:$A$47,0))="Yes","Yes","No"),"No")))</f>
        <v>Yes</v>
      </c>
      <c r="Z779" s="58">
        <v>46080</v>
      </c>
      <c r="AB779" s="31">
        <v>46094</v>
      </c>
      <c r="AC779" s="13" t="str">
        <f t="shared" si="37"/>
        <v>Approved</v>
      </c>
      <c r="AF779" s="71">
        <v>46127</v>
      </c>
      <c r="AG779" s="37">
        <f>IF($AX779="Cancelled","",IFERROR(IF(F779="","",F779-Variables!$B$13),""))</f>
        <v>46127</v>
      </c>
      <c r="AH779" s="13">
        <f>IF($AX779="Cancelled","",IFERROR(IF(AB779="","",(AVERAGE(E779:F779)-AB779)-Variables!$B$14),""))</f>
        <v>3.5</v>
      </c>
      <c r="AJ779" s="47">
        <v>46129</v>
      </c>
      <c r="AK779" s="14">
        <f>IF($AX779="Cancelled","",IFERROR(IF(AJ779="","",IF(AND(AB779="",AF779=""),"",IF(AF779&gt;AB779,AF779+Variables!$B$15+Variables!$B$16+Variables!$B$17-AJ779,AB779+Variables!$B$16+Variables!$B$17-AJ779))),""))</f>
        <v>13</v>
      </c>
      <c r="AL779" s="48" t="s">
        <v>114</v>
      </c>
      <c r="AM779" s="13" t="s">
        <v>115</v>
      </c>
      <c r="AN779" s="13" t="s">
        <v>2080</v>
      </c>
      <c r="AP779" s="31">
        <v>46171</v>
      </c>
      <c r="AR779" s="13">
        <v>269490316</v>
      </c>
      <c r="AS779" s="31" t="s">
        <v>2081</v>
      </c>
      <c r="AU779" s="31">
        <v>46195</v>
      </c>
      <c r="AV779" s="13" t="s">
        <v>8</v>
      </c>
      <c r="AW779" s="31">
        <v>46195</v>
      </c>
      <c r="AX779" s="13" t="str">
        <f>IF(ISNUMBER(SEARCH("cancel",#REF!)),"Cancelled",IF(AND(AS779&lt;&gt;"",AU779&lt;&gt;"",AW779&lt;&gt;""),"Closed","Open"))</f>
        <v>Closed</v>
      </c>
      <c r="AY779" s="15" t="str">
        <f t="shared" si="36"/>
        <v>All dates received</v>
      </c>
      <c r="BD779" s="13" t="str">
        <f>IF($AX779="Cancelled","",IFERROR(IF(OR(AS779="",AJ779=""),"",(AJ779+Variables!$B$18-AS779)),""))</f>
        <v/>
      </c>
      <c r="BE779" s="13" t="str">
        <f>IF($AX779="Cancelled","",IFERROR(IF(OR(AW779="",AS779=""),"",(AS779+Variables!$B$19)-AW779),""))</f>
        <v/>
      </c>
      <c r="BF779" s="44" t="str">
        <f>IF($AX779="Cancelled","",IFERROR(W779*INDEX(Variables!$B$7:$D$7,IFERROR(MATCH(IF($B779="Robusta","Robusta",(IF($B779="","Arabica",$B779))&amp;" - "&amp;(IF($C779="","Commercial",$C779))),Variables!$B$1:$D$1,0),1))*(BE779/365),""))</f>
        <v/>
      </c>
      <c r="BG779" s="44">
        <f>IF($AX779="Cancelled","",IFERROR((W779*INDEX(Variables!$B$7:$D$7,IFERROR(MATCH(IF($B779="Robusta","Robusta",(IF($B779="","Arabica",$B779))&amp;" - "&amp;(IF($C779="","Commercial",$C779))),Variables!$B$1:$D$1,0),1))*IFERROR(IF(AB779="","",(AVERAGE(E779:F779)-AB779)-Variables!$B$14),"")/365)+(L779/16.67*INDEX(Variables!$B$8:$D$8,IFERROR(MATCH(IF($B779="Robusta","Robusta",(IF($B779="","Arabica",$B779))&amp;" - "&amp;(IF($C779="","Commercial",$C779))),Variables!$B$1:$D$1,0),1))*IFERROR(IF(AB779="","",(AVERAGE(E779:F779)-AB779)-Variables!$B$14),""))+(W779*INDEX(Variables!$B$9:$D$9,IFERROR(MATCH(IF($B779="Robusta","Robusta",(IF($B779="","Arabica",$B779))&amp;" - "&amp;(IF($C779="","Commercial",$C779))),Variables!$B$1:$D$1,0),1))*IFERROR(IF(AB779="","",(AVERAGE(E779:F779)-AB779)-Variables!$B$14),"")/365),""))</f>
        <v>149.51515505055877</v>
      </c>
      <c r="BH779" s="44">
        <f>IF($AX779="Cancelled","",IFERROR((W779*INDEX(Variables!$B$7:$D$7,IFERROR(MATCH(IF($B779="Robusta","Robusta",(IF($B779="","Arabica",$B779))&amp;" - "&amp;(IF($C779="","Commercial",$C779))),Variables!$B$1:$D$1,0),1))*AK779/365)+(L779/16.67*INDEX(Variables!$B$8:$D$8,IFERROR(MATCH(IF($B779="Robusta","Robusta",(IF($B779="","Arabica",$B779))&amp;" - "&amp;(IF($C779="","Commercial",$C779))),Variables!$B$1:$D$1,0),1))*AK779)+(W779*INDEX(Variables!$B$9:$D$9,IFERROR(MATCH(IF($B779="Robusta","Robusta",(IF($B779="","Arabica",$B779))&amp;" - "&amp;(IF($C779="","Commercial",$C779))),Variables!$B$1:$D$1,0),1))*AK779/365),""))</f>
        <v>555.34200447350395</v>
      </c>
      <c r="BI779" s="44" t="str">
        <f>IF($AX779="Cancelled","",IFERROR((W779*INDEX(Variables!$B$7:$D$7,IFERROR(MATCH(IF($B779="Robusta","Robusta",(IF($B779="","Arabica",$B779))&amp;" - "&amp;(IF($C779="","Commercial",$C779))),Variables!$B$1:$D$1,0),1))*BD779/365)+(L779/16.67*INDEX(Variables!$B$8:$D$8,IFERROR(MATCH(IF($B779="Robusta","Robusta",(IF($B779="","Arabica",$B779))&amp;" - "&amp;(IF($C779="","Commercial",$C779))),Variables!$B$1:$D$1,0),1))*BD779)+(W779*INDEX(Variables!$B$9:$D$9,IFERROR(MATCH(IF($B779="Robusta","Robusta",(IF($B779="","Arabica",$B779))&amp;" - "&amp;(IF($C779="","Commercial",$C779))),Variables!$B$1:$D$1,0),1))*BD779/365),""))</f>
        <v/>
      </c>
      <c r="BJ779" s="44" t="str">
        <f t="shared" si="38"/>
        <v/>
      </c>
      <c r="BK779" s="44" t="str">
        <f>IF($AX779="Cancelled","",IFERROR(IF(BJ779="","",(W779*INDEX(Variables!$B$7:$D$7,IFERROR(MATCH(IF($B779="Robusta","Robusta",(IF($B779="","Arabica",$B779))&amp;" - "&amp;(IF($C779="","Commercial",$C779))),Variables!$B$1:$D$1,0),1))*(BJ779/365))+(W779*INDEX(Variables!$B$9:$D$9,IFERROR(MATCH(IF($B779="Robusta","Robusta",(IF($B779="","Arabica",$B779))&amp;" - "&amp;(IF($C779="","Commercial",$C779))),Variables!$B$1:$D$1,0),1))*(BJ779/365))+(INDEX(Variables!$B$8:$D$8,IFERROR(MATCH(IF($B779="Robusta","Robusta",(IF($B779="","Arabica",$B779))&amp;" - "&amp;(IF($C779="","Commercial",$C779))),Variables!$B$1:$D$1,0),1))*L779/16.67)),""))</f>
        <v/>
      </c>
    </row>
    <row r="780" spans="1:63">
      <c r="A780" s="13" t="s">
        <v>103</v>
      </c>
      <c r="B780" s="13" t="s">
        <v>104</v>
      </c>
      <c r="C780" s="13" t="s">
        <v>105</v>
      </c>
      <c r="D780" s="31">
        <v>46055</v>
      </c>
      <c r="E780" s="31">
        <v>46113</v>
      </c>
      <c r="F780" s="31">
        <v>46142</v>
      </c>
      <c r="G780" s="13">
        <v>3787215</v>
      </c>
      <c r="H780" s="13" t="s">
        <v>2082</v>
      </c>
      <c r="J780" s="13" t="s">
        <v>118</v>
      </c>
      <c r="K780" s="13" t="s">
        <v>2082</v>
      </c>
      <c r="L780" s="13">
        <v>333</v>
      </c>
      <c r="M780" s="13">
        <v>1</v>
      </c>
      <c r="N780" s="13" t="s">
        <v>1890</v>
      </c>
      <c r="O780" s="13" t="s">
        <v>1205</v>
      </c>
      <c r="P780" s="13">
        <v>10045</v>
      </c>
      <c r="Q780" s="59" t="s">
        <v>270</v>
      </c>
      <c r="R780" s="13" t="s">
        <v>271</v>
      </c>
      <c r="S780" s="13" t="s">
        <v>442</v>
      </c>
      <c r="T780" s="13" t="s">
        <v>112</v>
      </c>
      <c r="U780" s="13" t="s">
        <v>113</v>
      </c>
      <c r="V780" s="23">
        <v>40</v>
      </c>
      <c r="W780" s="44">
        <f>IF($AX780="Cancelled","",IFERROR(((V780+INDEX(Variables!$B$6:$D$6,IFERROR(MATCH(IF($B780="Robusta","Robusta",(IF($B780="","Arabica",$B780))&amp;" - "&amp;(IF($C780="","Commercial",$C780))),Variables!$B$1:$D$1,0),1)))*22.0462)*(L780/16.67),""))</f>
        <v>145682.66500779844</v>
      </c>
      <c r="X780" s="55" t="s">
        <v>37</v>
      </c>
      <c r="Y780" s="13" t="str">
        <f>IF($AX780="Cancelled","",IF(X780="","",IFERROR(IF(INDEX(Variables!$B$38:$B$47,MATCH(X780,Variables!$A$38:$A$47,0))="Yes","Yes","No"),"No")))</f>
        <v>Yes</v>
      </c>
      <c r="Z780" s="58">
        <v>46080</v>
      </c>
      <c r="AB780" s="31">
        <v>46094</v>
      </c>
      <c r="AC780" s="13" t="str">
        <f t="shared" si="37"/>
        <v>Approved</v>
      </c>
      <c r="AF780" s="71">
        <v>46127</v>
      </c>
      <c r="AG780" s="37">
        <f>IF($AX780="Cancelled","",IFERROR(IF(F780="","",F780-Variables!$B$13),""))</f>
        <v>46127</v>
      </c>
      <c r="AH780" s="13">
        <f>IF($AX780="Cancelled","",IFERROR(IF(AB780="","",(AVERAGE(E780:F780)-AB780)-Variables!$B$14),""))</f>
        <v>3.5</v>
      </c>
      <c r="AJ780" s="47">
        <v>46163</v>
      </c>
      <c r="AK780" s="14">
        <f>IF($AX780="Cancelled","",IFERROR(IF(AJ780="","",IF(AND(AB780="",AF780=""),"",IF(AF780&gt;AB780,AF780+Variables!$B$15+Variables!$B$16+Variables!$B$17-AJ780,AB780+Variables!$B$16+Variables!$B$17-AJ780))),""))</f>
        <v>-21</v>
      </c>
      <c r="AL780" s="48" t="s">
        <v>114</v>
      </c>
      <c r="AM780" s="13" t="s">
        <v>115</v>
      </c>
      <c r="AN780" s="13" t="s">
        <v>2080</v>
      </c>
      <c r="AP780" s="31">
        <v>46171</v>
      </c>
      <c r="AR780" s="13">
        <v>269490316</v>
      </c>
      <c r="AS780" s="31">
        <v>46181</v>
      </c>
      <c r="AU780" s="31">
        <v>46195</v>
      </c>
      <c r="AV780" s="13" t="s">
        <v>8</v>
      </c>
      <c r="AW780" s="31">
        <v>46195</v>
      </c>
      <c r="AX780" s="13" t="str">
        <f>IF(ISNUMBER(SEARCH("cancel",#REF!)),"Cancelled",IF(AND(AS780&lt;&gt;"",AU780&lt;&gt;"",AW780&lt;&gt;""),"Closed","Open"))</f>
        <v>Closed</v>
      </c>
      <c r="AY780" s="15" t="str">
        <f t="shared" si="36"/>
        <v>All dates received</v>
      </c>
      <c r="BD780" s="13">
        <f>IF($AX780="Cancelled","",IFERROR(IF(OR(AS780="",AJ780=""),"",(AJ780+Variables!$B$18-AS780)),""))</f>
        <v>-3</v>
      </c>
      <c r="BE780" s="13">
        <f>IF($AX780="Cancelled","",IFERROR(IF(OR(AW780="",AS780=""),"",(AS780+Variables!$B$19)-AW780),""))</f>
        <v>-9</v>
      </c>
      <c r="BF780" s="44">
        <f>IF($AX780="Cancelled","",IFERROR(W780*INDEX(Variables!$B$7:$D$7,IFERROR(MATCH(IF($B780="Robusta","Robusta",(IF($B780="","Arabica",$B780))&amp;" - "&amp;(IF($C780="","Commercial",$C780))),Variables!$B$1:$D$1,0),1))*(BE780/365),""))</f>
        <v>-231.63136623039108</v>
      </c>
      <c r="BG780" s="44">
        <f>IF($AX780="Cancelled","",IFERROR((W780*INDEX(Variables!$B$7:$D$7,IFERROR(MATCH(IF($B780="Robusta","Robusta",(IF($B780="","Arabica",$B780))&amp;" - "&amp;(IF($C780="","Commercial",$C780))),Variables!$B$1:$D$1,0),1))*IFERROR(IF(AB780="","",(AVERAGE(E780:F780)-AB780)-Variables!$B$14),"")/365)+(L780/16.67*INDEX(Variables!$B$8:$D$8,IFERROR(MATCH(IF($B780="Robusta","Robusta",(IF($B780="","Arabica",$B780))&amp;" - "&amp;(IF($C780="","Commercial",$C780))),Variables!$B$1:$D$1,0),1))*IFERROR(IF(AB780="","",(AVERAGE(E780:F780)-AB780)-Variables!$B$14),""))+(W780*INDEX(Variables!$B$9:$D$9,IFERROR(MATCH(IF($B780="Robusta","Robusta",(IF($B780="","Arabica",$B780))&amp;" - "&amp;(IF($C780="","Commercial",$C780))),Variables!$B$1:$D$1,0),1))*IFERROR(IF(AB780="","",(AVERAGE(E780:F780)-AB780)-Variables!$B$14),"")/365),""))</f>
        <v>149.51515505055877</v>
      </c>
      <c r="BH780" s="44">
        <f>IF($AX780="Cancelled","",IFERROR((W780*INDEX(Variables!$B$7:$D$7,IFERROR(MATCH(IF($B780="Robusta","Robusta",(IF($B780="","Arabica",$B780))&amp;" - "&amp;(IF($C780="","Commercial",$C780))),Variables!$B$1:$D$1,0),1))*AK780/365)+(L780/16.67*INDEX(Variables!$B$8:$D$8,IFERROR(MATCH(IF($B780="Robusta","Robusta",(IF($B780="","Arabica",$B780))&amp;" - "&amp;(IF($C780="","Commercial",$C780))),Variables!$B$1:$D$1,0),1))*AK780)+(W780*INDEX(Variables!$B$9:$D$9,IFERROR(MATCH(IF($B780="Robusta","Robusta",(IF($B780="","Arabica",$B780))&amp;" - "&amp;(IF($C780="","Commercial",$C780))),Variables!$B$1:$D$1,0),1))*AK780/365),""))</f>
        <v>-897.09093030335259</v>
      </c>
      <c r="BI780" s="44">
        <f>IF($AX780="Cancelled","",IFERROR((W780*INDEX(Variables!$B$7:$D$7,IFERROR(MATCH(IF($B780="Robusta","Robusta",(IF($B780="","Arabica",$B780))&amp;" - "&amp;(IF($C780="","Commercial",$C780))),Variables!$B$1:$D$1,0),1))*BD780/365)+(L780/16.67*INDEX(Variables!$B$8:$D$8,IFERROR(MATCH(IF($B780="Robusta","Robusta",(IF($B780="","Arabica",$B780))&amp;" - "&amp;(IF($C780="","Commercial",$C780))),Variables!$B$1:$D$1,0),1))*BD780)+(W780*INDEX(Variables!$B$9:$D$9,IFERROR(MATCH(IF($B780="Robusta","Robusta",(IF($B780="","Arabica",$B780))&amp;" - "&amp;(IF($C780="","Commercial",$C780))),Variables!$B$1:$D$1,0),1))*BD780/365),""))</f>
        <v>-128.15584718619323</v>
      </c>
      <c r="BJ780" s="44">
        <f t="shared" si="38"/>
        <v>-39</v>
      </c>
      <c r="BK780" s="44">
        <f>IF($AX780="Cancelled","",IFERROR(IF(BJ780="","",(W780*INDEX(Variables!$B$7:$D$7,IFERROR(MATCH(IF($B780="Robusta","Robusta",(IF($B780="","Arabica",$B780))&amp;" - "&amp;(IF($C780="","Commercial",$C780))),Variables!$B$1:$D$1,0),1))*(BJ780/365))+(W780*INDEX(Variables!$B$9:$D$9,IFERROR(MATCH(IF($B780="Robusta","Robusta",(IF($B780="","Arabica",$B780))&amp;" - "&amp;(IF($C780="","Commercial",$C780))),Variables!$B$1:$D$1,0),1))*(BJ780/365))+(INDEX(Variables!$B$8:$D$8,IFERROR(MATCH(IF($B780="Robusta","Robusta",(IF($B780="","Arabica",$B780))&amp;" - "&amp;(IF($C780="","Commercial",$C780))),Variables!$B$1:$D$1,0),1))*L780/16.67)),""))</f>
        <v>-1000.0260134205121</v>
      </c>
    </row>
    <row r="781" spans="1:63">
      <c r="A781" s="13" t="s">
        <v>103</v>
      </c>
      <c r="B781" s="13" t="s">
        <v>104</v>
      </c>
      <c r="C781" s="13" t="s">
        <v>105</v>
      </c>
      <c r="D781" s="31">
        <v>46055</v>
      </c>
      <c r="E781" s="31">
        <v>46113</v>
      </c>
      <c r="F781" s="31">
        <v>46142</v>
      </c>
      <c r="G781" s="13">
        <v>3787215</v>
      </c>
      <c r="H781" s="13" t="s">
        <v>2083</v>
      </c>
      <c r="J781" s="13" t="s">
        <v>118</v>
      </c>
      <c r="K781" s="13" t="s">
        <v>2083</v>
      </c>
      <c r="L781" s="13">
        <v>333</v>
      </c>
      <c r="M781" s="13">
        <v>1</v>
      </c>
      <c r="N781" s="13" t="s">
        <v>1890</v>
      </c>
      <c r="O781" s="13" t="s">
        <v>1205</v>
      </c>
      <c r="P781" s="13">
        <v>10045</v>
      </c>
      <c r="Q781" s="59" t="s">
        <v>270</v>
      </c>
      <c r="R781" s="13" t="s">
        <v>271</v>
      </c>
      <c r="S781" s="13" t="s">
        <v>442</v>
      </c>
      <c r="T781" s="13" t="s">
        <v>112</v>
      </c>
      <c r="U781" s="13" t="s">
        <v>113</v>
      </c>
      <c r="V781" s="23">
        <v>40</v>
      </c>
      <c r="W781" s="44">
        <f>IF($AX781="Cancelled","",IFERROR(((V781+INDEX(Variables!$B$6:$D$6,IFERROR(MATCH(IF($B781="Robusta","Robusta",(IF($B781="","Arabica",$B781))&amp;" - "&amp;(IF($C781="","Commercial",$C781))),Variables!$B$1:$D$1,0),1)))*22.0462)*(L781/16.67),""))</f>
        <v>145682.66500779844</v>
      </c>
      <c r="X781" s="55" t="s">
        <v>37</v>
      </c>
      <c r="Y781" s="13" t="str">
        <f>IF($AX781="Cancelled","",IF(X781="","",IFERROR(IF(INDEX(Variables!$B$38:$B$47,MATCH(X781,Variables!$A$38:$A$47,0))="Yes","Yes","No"),"No")))</f>
        <v>Yes</v>
      </c>
      <c r="Z781" s="58">
        <v>46080</v>
      </c>
      <c r="AB781" s="31">
        <v>46094</v>
      </c>
      <c r="AC781" s="13" t="str">
        <f t="shared" si="37"/>
        <v>Approved</v>
      </c>
      <c r="AF781" s="71">
        <v>46127</v>
      </c>
      <c r="AG781" s="37">
        <f>IF($AX781="Cancelled","",IFERROR(IF(F781="","",F781-Variables!$B$13),""))</f>
        <v>46127</v>
      </c>
      <c r="AH781" s="13">
        <f>IF($AX781="Cancelled","",IFERROR(IF(AB781="","",(AVERAGE(E781:F781)-AB781)-Variables!$B$14),""))</f>
        <v>3.5</v>
      </c>
      <c r="AJ781" s="47">
        <v>46163</v>
      </c>
      <c r="AK781" s="14">
        <f>IF($AX781="Cancelled","",IFERROR(IF(AJ781="","",IF(AND(AB781="",AF781=""),"",IF(AF781&gt;AB781,AF781+Variables!$B$15+Variables!$B$16+Variables!$B$17-AJ781,AB781+Variables!$B$16+Variables!$B$17-AJ781))),""))</f>
        <v>-21</v>
      </c>
      <c r="AL781" s="48" t="s">
        <v>114</v>
      </c>
      <c r="AM781" s="13" t="s">
        <v>115</v>
      </c>
      <c r="AN781" s="13" t="s">
        <v>2080</v>
      </c>
      <c r="AP781" s="31">
        <v>46171</v>
      </c>
      <c r="AR781" s="13">
        <v>269490316</v>
      </c>
      <c r="AS781" s="31">
        <v>46172</v>
      </c>
      <c r="AU781" s="31">
        <v>46195</v>
      </c>
      <c r="AV781" s="13" t="s">
        <v>8</v>
      </c>
      <c r="AW781" s="31">
        <v>46195</v>
      </c>
      <c r="AX781" s="13" t="str">
        <f>IF(ISNUMBER(SEARCH("cancel",#REF!)),"Cancelled",IF(AND(AS781&lt;&gt;"",AU781&lt;&gt;"",AW781&lt;&gt;""),"Closed","Open"))</f>
        <v>Closed</v>
      </c>
      <c r="AY781" s="15" t="str">
        <f t="shared" si="36"/>
        <v>All dates received</v>
      </c>
      <c r="BD781" s="13">
        <f>IF($AX781="Cancelled","",IFERROR(IF(OR(AS781="",AJ781=""),"",(AJ781+Variables!$B$18-AS781)),""))</f>
        <v>6</v>
      </c>
      <c r="BE781" s="13">
        <f>IF($AX781="Cancelled","",IFERROR(IF(OR(AW781="",AS781=""),"",(AS781+Variables!$B$19)-AW781),""))</f>
        <v>-18</v>
      </c>
      <c r="BF781" s="44">
        <f>IF($AX781="Cancelled","",IFERROR(W781*INDEX(Variables!$B$7:$D$7,IFERROR(MATCH(IF($B781="Robusta","Robusta",(IF($B781="","Arabica",$B781))&amp;" - "&amp;(IF($C781="","Commercial",$C781))),Variables!$B$1:$D$1,0),1))*(BE781/365),""))</f>
        <v>-463.26273246078216</v>
      </c>
      <c r="BG781" s="44">
        <f>IF($AX781="Cancelled","",IFERROR((W781*INDEX(Variables!$B$7:$D$7,IFERROR(MATCH(IF($B781="Robusta","Robusta",(IF($B781="","Arabica",$B781))&amp;" - "&amp;(IF($C781="","Commercial",$C781))),Variables!$B$1:$D$1,0),1))*IFERROR(IF(AB781="","",(AVERAGE(E781:F781)-AB781)-Variables!$B$14),"")/365)+(L781/16.67*INDEX(Variables!$B$8:$D$8,IFERROR(MATCH(IF($B781="Robusta","Robusta",(IF($B781="","Arabica",$B781))&amp;" - "&amp;(IF($C781="","Commercial",$C781))),Variables!$B$1:$D$1,0),1))*IFERROR(IF(AB781="","",(AVERAGE(E781:F781)-AB781)-Variables!$B$14),""))+(W781*INDEX(Variables!$B$9:$D$9,IFERROR(MATCH(IF($B781="Robusta","Robusta",(IF($B781="","Arabica",$B781))&amp;" - "&amp;(IF($C781="","Commercial",$C781))),Variables!$B$1:$D$1,0),1))*IFERROR(IF(AB781="","",(AVERAGE(E781:F781)-AB781)-Variables!$B$14),"")/365),""))</f>
        <v>149.51515505055877</v>
      </c>
      <c r="BH781" s="44">
        <f>IF($AX781="Cancelled","",IFERROR((W781*INDEX(Variables!$B$7:$D$7,IFERROR(MATCH(IF($B781="Robusta","Robusta",(IF($B781="","Arabica",$B781))&amp;" - "&amp;(IF($C781="","Commercial",$C781))),Variables!$B$1:$D$1,0),1))*AK781/365)+(L781/16.67*INDEX(Variables!$B$8:$D$8,IFERROR(MATCH(IF($B781="Robusta","Robusta",(IF($B781="","Arabica",$B781))&amp;" - "&amp;(IF($C781="","Commercial",$C781))),Variables!$B$1:$D$1,0),1))*AK781)+(W781*INDEX(Variables!$B$9:$D$9,IFERROR(MATCH(IF($B781="Robusta","Robusta",(IF($B781="","Arabica",$B781))&amp;" - "&amp;(IF($C781="","Commercial",$C781))),Variables!$B$1:$D$1,0),1))*AK781/365),""))</f>
        <v>-897.09093030335259</v>
      </c>
      <c r="BI781" s="44">
        <f>IF($AX781="Cancelled","",IFERROR((W781*INDEX(Variables!$B$7:$D$7,IFERROR(MATCH(IF($B781="Robusta","Robusta",(IF($B781="","Arabica",$B781))&amp;" - "&amp;(IF($C781="","Commercial",$C781))),Variables!$B$1:$D$1,0),1))*BD781/365)+(L781/16.67*INDEX(Variables!$B$8:$D$8,IFERROR(MATCH(IF($B781="Robusta","Robusta",(IF($B781="","Arabica",$B781))&amp;" - "&amp;(IF($C781="","Commercial",$C781))),Variables!$B$1:$D$1,0),1))*BD781)+(W781*INDEX(Variables!$B$9:$D$9,IFERROR(MATCH(IF($B781="Robusta","Robusta",(IF($B781="","Arabica",$B781))&amp;" - "&amp;(IF($C781="","Commercial",$C781))),Variables!$B$1:$D$1,0),1))*BD781/365),""))</f>
        <v>256.31169437238646</v>
      </c>
      <c r="BJ781" s="44">
        <f t="shared" si="38"/>
        <v>-30</v>
      </c>
      <c r="BK781" s="44">
        <f>IF($AX781="Cancelled","",IFERROR(IF(BJ781="","",(W781*INDEX(Variables!$B$7:$D$7,IFERROR(MATCH(IF($B781="Robusta","Robusta",(IF($B781="","Arabica",$B781))&amp;" - "&amp;(IF($C781="","Commercial",$C781))),Variables!$B$1:$D$1,0),1))*(BJ781/365))+(W781*INDEX(Variables!$B$9:$D$9,IFERROR(MATCH(IF($B781="Robusta","Robusta",(IF($B781="","Arabica",$B781))&amp;" - "&amp;(IF($C781="","Commercial",$C781))),Variables!$B$1:$D$1,0),1))*(BJ781/365))+(INDEX(Variables!$B$8:$D$8,IFERROR(MATCH(IF($B781="Robusta","Robusta",(IF($B781="","Arabica",$B781))&amp;" - "&amp;(IF($C781="","Commercial",$C781))),Variables!$B$1:$D$1,0),1))*L781/16.67)),""))</f>
        <v>-765.4084718619323</v>
      </c>
    </row>
    <row r="782" spans="1:63">
      <c r="A782" s="13" t="s">
        <v>103</v>
      </c>
      <c r="B782" s="13" t="s">
        <v>104</v>
      </c>
      <c r="C782" s="13" t="s">
        <v>105</v>
      </c>
      <c r="D782" s="31">
        <v>46057</v>
      </c>
      <c r="E782" s="31">
        <v>46082</v>
      </c>
      <c r="F782" s="31">
        <v>46112</v>
      </c>
      <c r="G782" s="13">
        <v>3787216</v>
      </c>
      <c r="H782" s="13" t="s">
        <v>2084</v>
      </c>
      <c r="J782" s="13" t="s">
        <v>447</v>
      </c>
      <c r="K782" s="13" t="s">
        <v>2084</v>
      </c>
      <c r="L782" s="13">
        <v>200</v>
      </c>
      <c r="M782" s="13">
        <v>1</v>
      </c>
      <c r="N782" s="13" t="s">
        <v>120</v>
      </c>
      <c r="O782" s="13" t="s">
        <v>120</v>
      </c>
      <c r="P782" s="13">
        <v>10070</v>
      </c>
      <c r="R782" s="13" t="s">
        <v>110</v>
      </c>
      <c r="S782" s="13" t="s">
        <v>154</v>
      </c>
      <c r="T782" s="13" t="s">
        <v>155</v>
      </c>
      <c r="U782" s="13" t="s">
        <v>125</v>
      </c>
      <c r="V782" s="13">
        <v>28</v>
      </c>
      <c r="W782" s="44">
        <f>IF($AX782="Cancelled","",IFERROR(((V782+INDEX(Variables!$B$6:$D$6,IFERROR(MATCH(IF($B782="Robusta","Robusta",(IF($B782="","Arabica",$B782))&amp;" - "&amp;(IF($C782="","Commercial",$C782))),Variables!$B$1:$D$1,0),1)))*22.0462)*(L782/16.67),""))</f>
        <v>84323.078104379107</v>
      </c>
      <c r="X782" s="55" t="s">
        <v>37</v>
      </c>
      <c r="Y782" s="13" t="str">
        <f>IF($AX782="Cancelled","",IF(X782="","",IFERROR(IF(INDEX(Variables!$B$38:$B$47,MATCH(X782,Variables!$A$38:$A$47,0))="Yes","Yes","No"),"No")))</f>
        <v>Yes</v>
      </c>
      <c r="Z782" s="58">
        <v>46066</v>
      </c>
      <c r="AB782" s="31">
        <v>46076</v>
      </c>
      <c r="AC782" s="13" t="str">
        <f t="shared" si="37"/>
        <v>Approved</v>
      </c>
      <c r="AF782" s="71">
        <v>46098</v>
      </c>
      <c r="AG782" s="37">
        <f>IF($AX782="Cancelled","",IFERROR(IF(F782="","",F782-Variables!$B$13),""))</f>
        <v>46097</v>
      </c>
      <c r="AH782" s="13">
        <f>IF($AX782="Cancelled","",IFERROR(IF(AB782="","",(AVERAGE(E782:F782)-AB782)-Variables!$B$14),""))</f>
        <v>-9</v>
      </c>
      <c r="AJ782" s="47">
        <v>46100</v>
      </c>
      <c r="AK782" s="14">
        <f>IF($AX782="Cancelled","",IFERROR(IF(AJ782="","",IF(AND(AB782="",AF782=""),"",IF(AF782&gt;AB782,AF782+Variables!$B$15+Variables!$B$16+Variables!$B$17-AJ782,AB782+Variables!$B$16+Variables!$B$17-AJ782))),""))</f>
        <v>13</v>
      </c>
      <c r="AL782" s="48" t="s">
        <v>114</v>
      </c>
      <c r="AM782" s="13" t="s">
        <v>168</v>
      </c>
      <c r="AN782" s="13" t="s">
        <v>1470</v>
      </c>
      <c r="AP782" s="31">
        <v>46117</v>
      </c>
      <c r="AR782" s="13" t="s">
        <v>2085</v>
      </c>
      <c r="AS782" s="31">
        <v>46117</v>
      </c>
      <c r="AU782" s="31">
        <v>46163</v>
      </c>
      <c r="AV782" s="13" t="s">
        <v>865</v>
      </c>
      <c r="AW782" s="31">
        <v>46163</v>
      </c>
      <c r="AX782" s="13" t="str">
        <f>IF(ISNUMBER(SEARCH("cancel",#REF!)),"Cancelled",IF(AND(AS782&lt;&gt;"",AU782&lt;&gt;"",AW782&lt;&gt;""),"Closed","Open"))</f>
        <v>Closed</v>
      </c>
      <c r="AY782" s="15" t="str">
        <f t="shared" si="36"/>
        <v>All dates received</v>
      </c>
      <c r="BD782" s="13">
        <f>IF($AX782="Cancelled","",IFERROR(IF(OR(AS782="",AJ782=""),"",(AJ782+Variables!$B$18-AS782)),""))</f>
        <v>-2</v>
      </c>
      <c r="BE782" s="13">
        <f>IF($AX782="Cancelled","",IFERROR(IF(OR(AW782="",AS782=""),"",(AS782+Variables!$B$19)-AW782),""))</f>
        <v>-41</v>
      </c>
      <c r="BF782" s="44">
        <f>IF($AX782="Cancelled","",IFERROR(W782*INDEX(Variables!$B$7:$D$7,IFERROR(MATCH(IF($B782="Robusta","Robusta",(IF($B782="","Arabica",$B782))&amp;" - "&amp;(IF($C782="","Commercial",$C782))),Variables!$B$1:$D$1,0),1))*(BE782/365),""))</f>
        <v>-610.76942757432869</v>
      </c>
      <c r="BG782" s="44">
        <f>IF($AX782="Cancelled","",IFERROR((W782*INDEX(Variables!$B$7:$D$7,IFERROR(MATCH(IF($B782="Robusta","Robusta",(IF($B782="","Arabica",$B782))&amp;" - "&amp;(IF($C782="","Commercial",$C782))),Variables!$B$1:$D$1,0),1))*IFERROR(IF(AB782="","",(AVERAGE(E782:F782)-AB782)-Variables!$B$14),"")/365)+(L782/16.67*INDEX(Variables!$B$8:$D$8,IFERROR(MATCH(IF($B782="Robusta","Robusta",(IF($B782="","Arabica",$B782))&amp;" - "&amp;(IF($C782="","Commercial",$C782))),Variables!$B$1:$D$1,0),1))*IFERROR(IF(AB782="","",(AVERAGE(E782:F782)-AB782)-Variables!$B$14),""))+(W782*INDEX(Variables!$B$9:$D$9,IFERROR(MATCH(IF($B782="Robusta","Robusta",(IF($B782="","Arabica",$B782))&amp;" - "&amp;(IF($C782="","Commercial",$C782))),Variables!$B$1:$D$1,0),1))*IFERROR(IF(AB782="","",(AVERAGE(E782:F782)-AB782)-Variables!$B$14),"")/365),""))</f>
        <v>-225.79977604365283</v>
      </c>
      <c r="BH782" s="44">
        <f>IF($AX782="Cancelled","",IFERROR((W782*INDEX(Variables!$B$7:$D$7,IFERROR(MATCH(IF($B782="Robusta","Robusta",(IF($B782="","Arabica",$B782))&amp;" - "&amp;(IF($C782="","Commercial",$C782))),Variables!$B$1:$D$1,0),1))*AK782/365)+(L782/16.67*INDEX(Variables!$B$8:$D$8,IFERROR(MATCH(IF($B782="Robusta","Robusta",(IF($B782="","Arabica",$B782))&amp;" - "&amp;(IF($C782="","Commercial",$C782))),Variables!$B$1:$D$1,0),1))*AK782)+(W782*INDEX(Variables!$B$9:$D$9,IFERROR(MATCH(IF($B782="Robusta","Robusta",(IF($B782="","Arabica",$B782))&amp;" - "&amp;(IF($C782="","Commercial",$C782))),Variables!$B$1:$D$1,0),1))*AK782/365),""))</f>
        <v>326.15523206305409</v>
      </c>
      <c r="BI782" s="44">
        <f>IF($AX782="Cancelled","",IFERROR((W782*INDEX(Variables!$B$7:$D$7,IFERROR(MATCH(IF($B782="Robusta","Robusta",(IF($B782="","Arabica",$B782))&amp;" - "&amp;(IF($C782="","Commercial",$C782))),Variables!$B$1:$D$1,0),1))*BD782/365)+(L782/16.67*INDEX(Variables!$B$8:$D$8,IFERROR(MATCH(IF($B782="Robusta","Robusta",(IF($B782="","Arabica",$B782))&amp;" - "&amp;(IF($C782="","Commercial",$C782))),Variables!$B$1:$D$1,0),1))*BD782)+(W782*INDEX(Variables!$B$9:$D$9,IFERROR(MATCH(IF($B782="Robusta","Robusta",(IF($B782="","Arabica",$B782))&amp;" - "&amp;(IF($C782="","Commercial",$C782))),Variables!$B$1:$D$1,0),1))*BD782/365),""))</f>
        <v>-50.17772800970063</v>
      </c>
      <c r="BJ782" s="44">
        <f t="shared" si="38"/>
        <v>-5</v>
      </c>
      <c r="BK782" s="44">
        <f>IF($AX782="Cancelled","",IFERROR(IF(BJ782="","",(W782*INDEX(Variables!$B$7:$D$7,IFERROR(MATCH(IF($B782="Robusta","Robusta",(IF($B782="","Arabica",$B782))&amp;" - "&amp;(IF($C782="","Commercial",$C782))),Variables!$B$1:$D$1,0),1))*(BJ782/365))+(W782*INDEX(Variables!$B$9:$D$9,IFERROR(MATCH(IF($B782="Robusta","Robusta",(IF($B782="","Arabica",$B782))&amp;" - "&amp;(IF($C782="","Commercial",$C782))),Variables!$B$1:$D$1,0),1))*(BJ782/365))+(INDEX(Variables!$B$8:$D$8,IFERROR(MATCH(IF($B782="Robusta","Robusta",(IF($B782="","Arabica",$B782))&amp;" - "&amp;(IF($C782="","Commercial",$C782))),Variables!$B$1:$D$1,0),1))*L782/16.67)),""))</f>
        <v>-65.444320024251567</v>
      </c>
    </row>
    <row r="783" spans="1:63">
      <c r="A783" s="13" t="s">
        <v>103</v>
      </c>
      <c r="B783" s="13" t="s">
        <v>104</v>
      </c>
      <c r="C783" s="13" t="s">
        <v>105</v>
      </c>
      <c r="D783" s="31">
        <v>46057</v>
      </c>
      <c r="E783" s="31">
        <v>46082</v>
      </c>
      <c r="F783" s="31">
        <v>46112</v>
      </c>
      <c r="G783" s="13">
        <v>3787217</v>
      </c>
      <c r="H783" s="13" t="s">
        <v>2086</v>
      </c>
      <c r="J783" s="13" t="s">
        <v>447</v>
      </c>
      <c r="K783" s="13" t="s">
        <v>2086</v>
      </c>
      <c r="L783" s="13">
        <v>120</v>
      </c>
      <c r="M783" s="13">
        <v>0</v>
      </c>
      <c r="N783" s="13" t="s">
        <v>2087</v>
      </c>
      <c r="O783" s="13" t="s">
        <v>1372</v>
      </c>
      <c r="P783" s="13">
        <v>10040</v>
      </c>
      <c r="R783" s="13" t="s">
        <v>239</v>
      </c>
      <c r="S783" s="13" t="s">
        <v>154</v>
      </c>
      <c r="T783" s="13" t="s">
        <v>155</v>
      </c>
      <c r="U783" s="13" t="s">
        <v>125</v>
      </c>
      <c r="V783" s="13">
        <v>55</v>
      </c>
      <c r="W783" s="44">
        <f>IF($AX783="Cancelled","",IFERROR(((V783+INDEX(Variables!$B$6:$D$6,IFERROR(MATCH(IF($B783="Robusta","Robusta",(IF($B783="","Arabica",$B783))&amp;" - "&amp;(IF($C783="","Commercial",$C783))),Variables!$B$1:$D$1,0),1)))*22.0462)*(L783/16.67),""))</f>
        <v>54878.771157768446</v>
      </c>
      <c r="X783" s="55" t="s">
        <v>37</v>
      </c>
      <c r="Y783" s="13" t="str">
        <f>IF($AX783="Cancelled","",IF(X783="","",IFERROR(IF(INDEX(Variables!$B$38:$B$47,MATCH(X783,Variables!$A$38:$A$47,0))="Yes","Yes","No"),"No")))</f>
        <v>Yes</v>
      </c>
      <c r="Z783" s="58">
        <v>46066</v>
      </c>
      <c r="AB783" s="31">
        <v>46071</v>
      </c>
      <c r="AC783" s="13" t="str">
        <f t="shared" si="37"/>
        <v>Approved</v>
      </c>
      <c r="AF783" s="71">
        <v>46098</v>
      </c>
      <c r="AG783" s="37">
        <f>IF($AX783="Cancelled","",IFERROR(IF(F783="","",F783-Variables!$B$13),""))</f>
        <v>46097</v>
      </c>
      <c r="AH783" s="13">
        <f>IF($AX783="Cancelled","",IFERROR(IF(AB783="","",(AVERAGE(E783:F783)-AB783)-Variables!$B$14),""))</f>
        <v>-4</v>
      </c>
      <c r="AJ783" s="47">
        <v>46100</v>
      </c>
      <c r="AK783" s="14">
        <f>IF($AX783="Cancelled","",IFERROR(IF(AJ783="","",IF(AND(AB783="",AF783=""),"",IF(AF783&gt;AB783,AF783+Variables!$B$15+Variables!$B$16+Variables!$B$17-AJ783,AB783+Variables!$B$16+Variables!$B$17-AJ783))),""))</f>
        <v>13</v>
      </c>
      <c r="AL783" s="48" t="s">
        <v>114</v>
      </c>
      <c r="AM783" s="13" t="s">
        <v>168</v>
      </c>
      <c r="AN783" s="13" t="s">
        <v>1470</v>
      </c>
      <c r="AP783" s="31">
        <v>46117</v>
      </c>
      <c r="AR783" s="13" t="s">
        <v>2085</v>
      </c>
      <c r="AS783" s="31">
        <v>46117</v>
      </c>
      <c r="AU783" s="31">
        <v>46163</v>
      </c>
      <c r="AV783" s="13" t="s">
        <v>865</v>
      </c>
      <c r="AW783" s="31">
        <v>46163</v>
      </c>
      <c r="AX783" s="13" t="str">
        <f>IF(ISNUMBER(SEARCH("cancel",#REF!)),"Cancelled",IF(AND(AS783&lt;&gt;"",AU783&lt;&gt;"",AW783&lt;&gt;""),"Closed","Open"))</f>
        <v>Closed</v>
      </c>
      <c r="AY783" s="15" t="str">
        <f t="shared" si="36"/>
        <v>All dates received</v>
      </c>
      <c r="BD783" s="13">
        <f>IF($AX783="Cancelled","",IFERROR(IF(OR(AS783="",AJ783=""),"",(AJ783+Variables!$B$18-AS783)),""))</f>
        <v>-2</v>
      </c>
      <c r="BE783" s="13">
        <f>IF($AX783="Cancelled","",IFERROR(IF(OR(AW783="",AS783=""),"",(AS783+Variables!$B$19)-AW783),""))</f>
        <v>-41</v>
      </c>
      <c r="BF783" s="44">
        <f>IF($AX783="Cancelled","",IFERROR(W783*INDEX(Variables!$B$7:$D$7,IFERROR(MATCH(IF($B783="Robusta","Robusta",(IF($B783="","Arabica",$B783))&amp;" - "&amp;(IF($C783="","Commercial",$C783))),Variables!$B$1:$D$1,0),1))*(BE783/365),""))</f>
        <v>-397.49824602610335</v>
      </c>
      <c r="BG783" s="44">
        <f>IF($AX783="Cancelled","",IFERROR((W783*INDEX(Variables!$B$7:$D$7,IFERROR(MATCH(IF($B783="Robusta","Robusta",(IF($B783="","Arabica",$B783))&amp;" - "&amp;(IF($C783="","Commercial",$C783))),Variables!$B$1:$D$1,0),1))*IFERROR(IF(AB783="","",(AVERAGE(E783:F783)-AB783)-Variables!$B$14),"")/365)+(L783/16.67*INDEX(Variables!$B$8:$D$8,IFERROR(MATCH(IF($B783="Robusta","Robusta",(IF($B783="","Arabica",$B783))&amp;" - "&amp;(IF($C783="","Commercial",$C783))),Variables!$B$1:$D$1,0),1))*IFERROR(IF(AB783="","",(AVERAGE(E783:F783)-AB783)-Variables!$B$14),""))+(W783*INDEX(Variables!$B$9:$D$9,IFERROR(MATCH(IF($B783="Robusta","Robusta",(IF($B783="","Arabica",$B783))&amp;" - "&amp;(IF($C783="","Commercial",$C783))),Variables!$B$1:$D$1,0),1))*IFERROR(IF(AB783="","",(AVERAGE(E783:F783)-AB783)-Variables!$B$14),"")/365),""))</f>
        <v>-63.28026980836065</v>
      </c>
      <c r="BH783" s="44">
        <f>IF($AX783="Cancelled","",IFERROR((W783*INDEX(Variables!$B$7:$D$7,IFERROR(MATCH(IF($B783="Robusta","Robusta",(IF($B783="","Arabica",$B783))&amp;" - "&amp;(IF($C783="","Commercial",$C783))),Variables!$B$1:$D$1,0),1))*AK783/365)+(L783/16.67*INDEX(Variables!$B$8:$D$8,IFERROR(MATCH(IF($B783="Robusta","Robusta",(IF($B783="","Arabica",$B783))&amp;" - "&amp;(IF($C783="","Commercial",$C783))),Variables!$B$1:$D$1,0),1))*AK783)+(W783*INDEX(Variables!$B$9:$D$9,IFERROR(MATCH(IF($B783="Robusta","Robusta",(IF($B783="","Arabica",$B783))&amp;" - "&amp;(IF($C783="","Commercial",$C783))),Variables!$B$1:$D$1,0),1))*AK783/365),""))</f>
        <v>205.66087687717211</v>
      </c>
      <c r="BI783" s="44">
        <f>IF($AX783="Cancelled","",IFERROR((W783*INDEX(Variables!$B$7:$D$7,IFERROR(MATCH(IF($B783="Robusta","Robusta",(IF($B783="","Arabica",$B783))&amp;" - "&amp;(IF($C783="","Commercial",$C783))),Variables!$B$1:$D$1,0),1))*BD783/365)+(L783/16.67*INDEX(Variables!$B$8:$D$8,IFERROR(MATCH(IF($B783="Robusta","Robusta",(IF($B783="","Arabica",$B783))&amp;" - "&amp;(IF($C783="","Commercial",$C783))),Variables!$B$1:$D$1,0),1))*BD783)+(W783*INDEX(Variables!$B$9:$D$9,IFERROR(MATCH(IF($B783="Robusta","Robusta",(IF($B783="","Arabica",$B783))&amp;" - "&amp;(IF($C783="","Commercial",$C783))),Variables!$B$1:$D$1,0),1))*BD783/365),""))</f>
        <v>-31.640134904180325</v>
      </c>
      <c r="BJ783" s="44">
        <f t="shared" si="38"/>
        <v>-5</v>
      </c>
      <c r="BK783" s="44">
        <f>IF($AX783="Cancelled","",IFERROR(IF(BJ783="","",(W783*INDEX(Variables!$B$7:$D$7,IFERROR(MATCH(IF($B783="Robusta","Robusta",(IF($B783="","Arabica",$B783))&amp;" - "&amp;(IF($C783="","Commercial",$C783))),Variables!$B$1:$D$1,0),1))*(BJ783/365))+(W783*INDEX(Variables!$B$9:$D$9,IFERROR(MATCH(IF($B783="Robusta","Robusta",(IF($B783="","Arabica",$B783))&amp;" - "&amp;(IF($C783="","Commercial",$C783))),Variables!$B$1:$D$1,0),1))*(BJ783/365))+(INDEX(Variables!$B$8:$D$8,IFERROR(MATCH(IF($B783="Robusta","Robusta",(IF($B783="","Arabica",$B783))&amp;" - "&amp;(IF($C783="","Commercial",$C783))),Variables!$B$1:$D$1,0),1))*L783/16.67)),""))</f>
        <v>-43.100337260450814</v>
      </c>
    </row>
    <row r="784" spans="1:63">
      <c r="A784" s="13" t="s">
        <v>103</v>
      </c>
      <c r="B784" s="13" t="s">
        <v>104</v>
      </c>
      <c r="C784" s="13" t="s">
        <v>105</v>
      </c>
      <c r="D784" s="31">
        <v>46057</v>
      </c>
      <c r="E784" s="31">
        <v>46113</v>
      </c>
      <c r="F784" s="31">
        <v>46142</v>
      </c>
      <c r="G784" s="13">
        <v>3787218</v>
      </c>
      <c r="H784" s="13" t="s">
        <v>2088</v>
      </c>
      <c r="J784" s="13" t="s">
        <v>447</v>
      </c>
      <c r="K784" s="13" t="s">
        <v>2088</v>
      </c>
      <c r="L784" s="13">
        <v>200</v>
      </c>
      <c r="M784" s="13">
        <v>1</v>
      </c>
      <c r="N784" s="13" t="s">
        <v>120</v>
      </c>
      <c r="O784" s="13" t="s">
        <v>120</v>
      </c>
      <c r="P784" s="13">
        <v>10070</v>
      </c>
      <c r="R784" s="13" t="s">
        <v>110</v>
      </c>
      <c r="S784" s="13" t="s">
        <v>154</v>
      </c>
      <c r="T784" s="13" t="s">
        <v>155</v>
      </c>
      <c r="U784" s="13" t="s">
        <v>125</v>
      </c>
      <c r="V784" s="23">
        <v>28</v>
      </c>
      <c r="W784" s="44">
        <f>IF($AX784="Cancelled","",IFERROR(((V784+INDEX(Variables!$B$6:$D$6,IFERROR(MATCH(IF($B784="Robusta","Robusta",(IF($B784="","Arabica",$B784))&amp;" - "&amp;(IF($C784="","Commercial",$C784))),Variables!$B$1:$D$1,0),1)))*22.0462)*(L784/16.67),""))</f>
        <v>84323.078104379107</v>
      </c>
      <c r="X784" s="55" t="s">
        <v>37</v>
      </c>
      <c r="Y784" s="13" t="str">
        <f>IF($AX784="Cancelled","",IF(X784="","",IFERROR(IF(INDEX(Variables!$B$38:$B$47,MATCH(X784,Variables!$A$38:$A$47,0))="Yes","Yes","No"),"No")))</f>
        <v>Yes</v>
      </c>
      <c r="Z784" s="58">
        <v>46093</v>
      </c>
      <c r="AB784" s="31">
        <v>46111</v>
      </c>
      <c r="AC784" s="13" t="str">
        <f t="shared" si="37"/>
        <v>Approved</v>
      </c>
      <c r="AF784" s="71">
        <v>46135</v>
      </c>
      <c r="AG784" s="37">
        <f>IF($AX784="Cancelled","",IFERROR(IF(F784="","",F784-Variables!$B$13),""))</f>
        <v>46127</v>
      </c>
      <c r="AH784" s="13">
        <f>IF($AX784="Cancelled","",IFERROR(IF(AB784="","",(AVERAGE(E784:F784)-AB784)-Variables!$B$14),""))</f>
        <v>-13.5</v>
      </c>
      <c r="AJ784" s="47">
        <v>46150</v>
      </c>
      <c r="AK784" s="14">
        <f>IF($AX784="Cancelled","",IFERROR(IF(AJ784="","",IF(AND(AB784="",AF784=""),"",IF(AF784&gt;AB784,AF784+Variables!$B$15+Variables!$B$16+Variables!$B$17-AJ784,AB784+Variables!$B$16+Variables!$B$17-AJ784))),""))</f>
        <v>0</v>
      </c>
      <c r="AL784" s="48" t="s">
        <v>114</v>
      </c>
      <c r="AM784" s="13" t="s">
        <v>168</v>
      </c>
      <c r="AN784" s="13" t="s">
        <v>2089</v>
      </c>
      <c r="AP784" s="31">
        <v>46166</v>
      </c>
      <c r="AR784" s="13" t="s">
        <v>2090</v>
      </c>
      <c r="AS784" s="31">
        <v>46166</v>
      </c>
      <c r="AU784" s="31">
        <v>46183</v>
      </c>
      <c r="AV784" s="13" t="e">
        <v>#REF!</v>
      </c>
      <c r="AW784" s="31">
        <v>46183</v>
      </c>
      <c r="AX784" s="13" t="str">
        <f>IF(ISNUMBER(SEARCH("cancel",#REF!)),"Cancelled",IF(AND(AS784&lt;&gt;"",AU784&lt;&gt;"",AW784&lt;&gt;""),"Closed","Open"))</f>
        <v>Closed</v>
      </c>
      <c r="AY784" s="15" t="str">
        <f t="shared" si="36"/>
        <v>All dates received</v>
      </c>
      <c r="BD784" s="13">
        <f>IF($AX784="Cancelled","",IFERROR(IF(OR(AS784="",AJ784=""),"",(AJ784+Variables!$B$18-AS784)),""))</f>
        <v>-1</v>
      </c>
      <c r="BE784" s="13">
        <f>IF($AX784="Cancelled","",IFERROR(IF(OR(AW784="",AS784=""),"",(AS784+Variables!$B$19)-AW784),""))</f>
        <v>-12</v>
      </c>
      <c r="BF784" s="44">
        <f>IF($AX784="Cancelled","",IFERROR(W784*INDEX(Variables!$B$7:$D$7,IFERROR(MATCH(IF($B784="Robusta","Robusta",(IF($B784="","Arabica",$B784))&amp;" - "&amp;(IF($C784="","Commercial",$C784))),Variables!$B$1:$D$1,0),1))*(BE784/365),""))</f>
        <v>-178.7617836802913</v>
      </c>
      <c r="BG784" s="44">
        <f>IF($AX784="Cancelled","",IFERROR((W784*INDEX(Variables!$B$7:$D$7,IFERROR(MATCH(IF($B784="Robusta","Robusta",(IF($B784="","Arabica",$B784))&amp;" - "&amp;(IF($C784="","Commercial",$C784))),Variables!$B$1:$D$1,0),1))*IFERROR(IF(AB784="","",(AVERAGE(E784:F784)-AB784)-Variables!$B$14),"")/365)+(L784/16.67*INDEX(Variables!$B$8:$D$8,IFERROR(MATCH(IF($B784="Robusta","Robusta",(IF($B784="","Arabica",$B784))&amp;" - "&amp;(IF($C784="","Commercial",$C784))),Variables!$B$1:$D$1,0),1))*IFERROR(IF(AB784="","",(AVERAGE(E784:F784)-AB784)-Variables!$B$14),""))+(W784*INDEX(Variables!$B$9:$D$9,IFERROR(MATCH(IF($B784="Robusta","Robusta",(IF($B784="","Arabica",$B784))&amp;" - "&amp;(IF($C784="","Commercial",$C784))),Variables!$B$1:$D$1,0),1))*IFERROR(IF(AB784="","",(AVERAGE(E784:F784)-AB784)-Variables!$B$14),"")/365),""))</f>
        <v>-338.69966406547928</v>
      </c>
      <c r="BH784" s="44">
        <f>IF($AX784="Cancelled","",IFERROR((W784*INDEX(Variables!$B$7:$D$7,IFERROR(MATCH(IF($B784="Robusta","Robusta",(IF($B784="","Arabica",$B784))&amp;" - "&amp;(IF($C784="","Commercial",$C784))),Variables!$B$1:$D$1,0),1))*AK784/365)+(L784/16.67*INDEX(Variables!$B$8:$D$8,IFERROR(MATCH(IF($B784="Robusta","Robusta",(IF($B784="","Arabica",$B784))&amp;" - "&amp;(IF($C784="","Commercial",$C784))),Variables!$B$1:$D$1,0),1))*AK784)+(W784*INDEX(Variables!$B$9:$D$9,IFERROR(MATCH(IF($B784="Robusta","Robusta",(IF($B784="","Arabica",$B784))&amp;" - "&amp;(IF($C784="","Commercial",$C784))),Variables!$B$1:$D$1,0),1))*AK784/365),""))</f>
        <v>0</v>
      </c>
      <c r="BI784" s="44">
        <f>IF($AX784="Cancelled","",IFERROR((W784*INDEX(Variables!$B$7:$D$7,IFERROR(MATCH(IF($B784="Robusta","Robusta",(IF($B784="","Arabica",$B784))&amp;" - "&amp;(IF($C784="","Commercial",$C784))),Variables!$B$1:$D$1,0),1))*BD784/365)+(L784/16.67*INDEX(Variables!$B$8:$D$8,IFERROR(MATCH(IF($B784="Robusta","Robusta",(IF($B784="","Arabica",$B784))&amp;" - "&amp;(IF($C784="","Commercial",$C784))),Variables!$B$1:$D$1,0),1))*BD784)+(W784*INDEX(Variables!$B$9:$D$9,IFERROR(MATCH(IF($B784="Robusta","Robusta",(IF($B784="","Arabica",$B784))&amp;" - "&amp;(IF($C784="","Commercial",$C784))),Variables!$B$1:$D$1,0),1))*BD784/365),""))</f>
        <v>-25.088864004850315</v>
      </c>
      <c r="BJ784" s="44">
        <f t="shared" si="38"/>
        <v>-24</v>
      </c>
      <c r="BK784" s="44">
        <f>IF($AX784="Cancelled","",IFERROR(IF(BJ784="","",(W784*INDEX(Variables!$B$7:$D$7,IFERROR(MATCH(IF($B784="Robusta","Robusta",(IF($B784="","Arabica",$B784))&amp;" - "&amp;(IF($C784="","Commercial",$C784))),Variables!$B$1:$D$1,0),1))*(BJ784/365))+(W784*INDEX(Variables!$B$9:$D$9,IFERROR(MATCH(IF($B784="Robusta","Robusta",(IF($B784="","Arabica",$B784))&amp;" - "&amp;(IF($C784="","Commercial",$C784))),Variables!$B$1:$D$1,0),1))*(BJ784/365))+(INDEX(Variables!$B$8:$D$8,IFERROR(MATCH(IF($B784="Robusta","Robusta",(IF($B784="","Arabica",$B784))&amp;" - "&amp;(IF($C784="","Commercial",$C784))),Variables!$B$1:$D$1,0),1))*L784/16.67)),""))</f>
        <v>-352.1327361164075</v>
      </c>
    </row>
    <row r="785" spans="1:63">
      <c r="A785" s="13" t="s">
        <v>103</v>
      </c>
      <c r="B785" s="13" t="s">
        <v>104</v>
      </c>
      <c r="C785" s="13" t="s">
        <v>105</v>
      </c>
      <c r="D785" s="31">
        <v>46057</v>
      </c>
      <c r="E785" s="31">
        <v>46113</v>
      </c>
      <c r="F785" s="31">
        <v>46142</v>
      </c>
      <c r="G785" s="13">
        <v>3787219</v>
      </c>
      <c r="H785" s="13" t="s">
        <v>2091</v>
      </c>
      <c r="J785" s="13" t="s">
        <v>447</v>
      </c>
      <c r="K785" s="13" t="s">
        <v>2091</v>
      </c>
      <c r="L785" s="13">
        <v>120</v>
      </c>
      <c r="M785" s="13">
        <v>0</v>
      </c>
      <c r="N785" s="13" t="s">
        <v>2087</v>
      </c>
      <c r="O785" s="13" t="s">
        <v>1372</v>
      </c>
      <c r="P785" s="13">
        <v>10040</v>
      </c>
      <c r="R785" s="13" t="s">
        <v>239</v>
      </c>
      <c r="S785" s="13" t="s">
        <v>154</v>
      </c>
      <c r="T785" s="13" t="s">
        <v>155</v>
      </c>
      <c r="U785" s="13" t="s">
        <v>125</v>
      </c>
      <c r="V785" s="23">
        <v>55</v>
      </c>
      <c r="W785" s="44">
        <f>IF($AX785="Cancelled","",IFERROR(((V785+INDEX(Variables!$B$6:$D$6,IFERROR(MATCH(IF($B785="Robusta","Robusta",(IF($B785="","Arabica",$B785))&amp;" - "&amp;(IF($C785="","Commercial",$C785))),Variables!$B$1:$D$1,0),1)))*22.0462)*(L785/16.67),""))</f>
        <v>54878.771157768446</v>
      </c>
      <c r="X785" s="55" t="s">
        <v>37</v>
      </c>
      <c r="Y785" s="13" t="str">
        <f>IF($AX785="Cancelled","",IF(X785="","",IFERROR(IF(INDEX(Variables!$B$38:$B$47,MATCH(X785,Variables!$A$38:$A$47,0))="Yes","Yes","No"),"No")))</f>
        <v>Yes</v>
      </c>
      <c r="Z785" s="58">
        <v>46093</v>
      </c>
      <c r="AB785" s="31">
        <v>46101</v>
      </c>
      <c r="AC785" s="13" t="str">
        <f t="shared" si="37"/>
        <v>Approved</v>
      </c>
      <c r="AF785" s="71">
        <v>46141</v>
      </c>
      <c r="AG785" s="37">
        <f>IF($AX785="Cancelled","",IFERROR(IF(F785="","",F785-Variables!$B$13),""))</f>
        <v>46127</v>
      </c>
      <c r="AH785" s="13">
        <f>IF($AX785="Cancelled","",IFERROR(IF(AB785="","",(AVERAGE(E785:F785)-AB785)-Variables!$B$14),""))</f>
        <v>-3.5</v>
      </c>
      <c r="AJ785" s="47">
        <v>46150</v>
      </c>
      <c r="AK785" s="14">
        <f>IF($AX785="Cancelled","",IFERROR(IF(AJ785="","",IF(AND(AB785="",AF785=""),"",IF(AF785&gt;AB785,AF785+Variables!$B$15+Variables!$B$16+Variables!$B$17-AJ785,AB785+Variables!$B$16+Variables!$B$17-AJ785))),""))</f>
        <v>6</v>
      </c>
      <c r="AL785" s="48" t="s">
        <v>114</v>
      </c>
      <c r="AM785" s="13" t="s">
        <v>168</v>
      </c>
      <c r="AN785" s="13" t="s">
        <v>2089</v>
      </c>
      <c r="AP785" s="31">
        <v>46166</v>
      </c>
      <c r="AR785" s="13" t="s">
        <v>2090</v>
      </c>
      <c r="AS785" s="31">
        <v>46166</v>
      </c>
      <c r="AU785" s="31">
        <v>46183</v>
      </c>
      <c r="AV785" s="13" t="e">
        <v>#REF!</v>
      </c>
      <c r="AW785" s="31">
        <v>46183</v>
      </c>
      <c r="AX785" s="13" t="str">
        <f>IF(ISNUMBER(SEARCH("cancel",#REF!)),"Cancelled",IF(AND(AS785&lt;&gt;"",AU785&lt;&gt;"",AW785&lt;&gt;""),"Closed","Open"))</f>
        <v>Closed</v>
      </c>
      <c r="AY785" s="15" t="str">
        <f t="shared" si="36"/>
        <v>All dates received</v>
      </c>
      <c r="BD785" s="13">
        <f>IF($AX785="Cancelled","",IFERROR(IF(OR(AS785="",AJ785=""),"",(AJ785+Variables!$B$18-AS785)),""))</f>
        <v>-1</v>
      </c>
      <c r="BE785" s="13">
        <f>IF($AX785="Cancelled","",IFERROR(IF(OR(AW785="",AS785=""),"",(AS785+Variables!$B$19)-AW785),""))</f>
        <v>-12</v>
      </c>
      <c r="BF785" s="44">
        <f>IF($AX785="Cancelled","",IFERROR(W785*INDEX(Variables!$B$7:$D$7,IFERROR(MATCH(IF($B785="Robusta","Robusta",(IF($B785="","Arabica",$B785))&amp;" - "&amp;(IF($C785="","Commercial",$C785))),Variables!$B$1:$D$1,0),1))*(BE785/365),""))</f>
        <v>-116.34095005642048</v>
      </c>
      <c r="BG785" s="44">
        <f>IF($AX785="Cancelled","",IFERROR((W785*INDEX(Variables!$B$7:$D$7,IFERROR(MATCH(IF($B785="Robusta","Robusta",(IF($B785="","Arabica",$B785))&amp;" - "&amp;(IF($C785="","Commercial",$C785))),Variables!$B$1:$D$1,0),1))*IFERROR(IF(AB785="","",(AVERAGE(E785:F785)-AB785)-Variables!$B$14),"")/365)+(L785/16.67*INDEX(Variables!$B$8:$D$8,IFERROR(MATCH(IF($B785="Robusta","Robusta",(IF($B785="","Arabica",$B785))&amp;" - "&amp;(IF($C785="","Commercial",$C785))),Variables!$B$1:$D$1,0),1))*IFERROR(IF(AB785="","",(AVERAGE(E785:F785)-AB785)-Variables!$B$14),""))+(W785*INDEX(Variables!$B$9:$D$9,IFERROR(MATCH(IF($B785="Robusta","Robusta",(IF($B785="","Arabica",$B785))&amp;" - "&amp;(IF($C785="","Commercial",$C785))),Variables!$B$1:$D$1,0),1))*IFERROR(IF(AB785="","",(AVERAGE(E785:F785)-AB785)-Variables!$B$14),"")/365),""))</f>
        <v>-55.370236082315564</v>
      </c>
      <c r="BH785" s="44">
        <f>IF($AX785="Cancelled","",IFERROR((W785*INDEX(Variables!$B$7:$D$7,IFERROR(MATCH(IF($B785="Robusta","Robusta",(IF($B785="","Arabica",$B785))&amp;" - "&amp;(IF($C785="","Commercial",$C785))),Variables!$B$1:$D$1,0),1))*AK785/365)+(L785/16.67*INDEX(Variables!$B$8:$D$8,IFERROR(MATCH(IF($B785="Robusta","Robusta",(IF($B785="","Arabica",$B785))&amp;" - "&amp;(IF($C785="","Commercial",$C785))),Variables!$B$1:$D$1,0),1))*AK785)+(W785*INDEX(Variables!$B$9:$D$9,IFERROR(MATCH(IF($B785="Robusta","Robusta",(IF($B785="","Arabica",$B785))&amp;" - "&amp;(IF($C785="","Commercial",$C785))),Variables!$B$1:$D$1,0),1))*AK785/365),""))</f>
        <v>94.920404712540986</v>
      </c>
      <c r="BI785" s="44">
        <f>IF($AX785="Cancelled","",IFERROR((W785*INDEX(Variables!$B$7:$D$7,IFERROR(MATCH(IF($B785="Robusta","Robusta",(IF($B785="","Arabica",$B785))&amp;" - "&amp;(IF($C785="","Commercial",$C785))),Variables!$B$1:$D$1,0),1))*BD785/365)+(L785/16.67*INDEX(Variables!$B$8:$D$8,IFERROR(MATCH(IF($B785="Robusta","Robusta",(IF($B785="","Arabica",$B785))&amp;" - "&amp;(IF($C785="","Commercial",$C785))),Variables!$B$1:$D$1,0),1))*BD785)+(W785*INDEX(Variables!$B$9:$D$9,IFERROR(MATCH(IF($B785="Robusta","Robusta",(IF($B785="","Arabica",$B785))&amp;" - "&amp;(IF($C785="","Commercial",$C785))),Variables!$B$1:$D$1,0),1))*BD785/365),""))</f>
        <v>-15.820067452090163</v>
      </c>
      <c r="BJ785" s="44">
        <f t="shared" si="38"/>
        <v>-24</v>
      </c>
      <c r="BK785" s="44">
        <f>IF($AX785="Cancelled","",IFERROR(IF(BJ785="","",(W785*INDEX(Variables!$B$7:$D$7,IFERROR(MATCH(IF($B785="Robusta","Robusta",(IF($B785="","Arabica",$B785))&amp;" - "&amp;(IF($C785="","Commercial",$C785))),Variables!$B$1:$D$1,0),1))*(BJ785/365))+(W785*INDEX(Variables!$B$9:$D$9,IFERROR(MATCH(IF($B785="Robusta","Robusta",(IF($B785="","Arabica",$B785))&amp;" - "&amp;(IF($C785="","Commercial",$C785))),Variables!$B$1:$D$1,0),1))*(BJ785/365))+(INDEX(Variables!$B$8:$D$8,IFERROR(MATCH(IF($B785="Robusta","Robusta",(IF($B785="","Arabica",$B785))&amp;" - "&amp;(IF($C785="","Commercial",$C785))),Variables!$B$1:$D$1,0),1))*L785/16.67)),""))</f>
        <v>-229.68161885016389</v>
      </c>
    </row>
    <row r="786" spans="1:63">
      <c r="A786" s="13" t="s">
        <v>103</v>
      </c>
      <c r="B786" s="13" t="s">
        <v>104</v>
      </c>
      <c r="C786" s="13" t="s">
        <v>292</v>
      </c>
      <c r="D786" s="31">
        <v>46057</v>
      </c>
      <c r="E786" s="31">
        <v>46054</v>
      </c>
      <c r="F786" s="31">
        <v>46081</v>
      </c>
      <c r="G786" s="13">
        <v>3787220</v>
      </c>
      <c r="J786" s="13" t="s">
        <v>1356</v>
      </c>
      <c r="K786" s="13" t="s">
        <v>2092</v>
      </c>
      <c r="L786" s="13">
        <v>10</v>
      </c>
      <c r="M786" s="13">
        <v>0</v>
      </c>
      <c r="N786" s="13" t="s">
        <v>2093</v>
      </c>
      <c r="O786" s="13" t="s">
        <v>304</v>
      </c>
      <c r="P786" s="13">
        <v>10020</v>
      </c>
      <c r="R786" s="13" t="s">
        <v>239</v>
      </c>
      <c r="S786" s="13" t="s">
        <v>595</v>
      </c>
      <c r="T786" s="13" t="s">
        <v>596</v>
      </c>
      <c r="U786" s="13" t="s">
        <v>125</v>
      </c>
      <c r="V786" s="13">
        <v>170</v>
      </c>
      <c r="W786" s="44">
        <f>IF($AX786="Cancelled","",IFERROR(((V786+INDEX(Variables!$B$6:$D$6,IFERROR(MATCH(IF($B786="Robusta","Robusta",(IF($B786="","Arabica",$B786))&amp;" - "&amp;(IF($C786="","Commercial",$C786))),Variables!$B$1:$D$1,0),1)))*22.0462)*(L786/16.67),""))</f>
        <v>6094.1145530893818</v>
      </c>
      <c r="X786" s="55" t="s">
        <v>39</v>
      </c>
      <c r="Y786" s="13" t="str">
        <f>IF($AX786="Cancelled","",IF(X786="","",IFERROR(IF(INDEX(Variables!$B$38:$B$47,MATCH(X786,Variables!$A$38:$A$47,0))="Yes","Yes","No"),"No")))</f>
        <v>No</v>
      </c>
      <c r="Z786" s="31"/>
      <c r="AB786" s="31">
        <v>46022.875</v>
      </c>
      <c r="AC786" s="13" t="str">
        <f t="shared" si="37"/>
        <v>Approved</v>
      </c>
      <c r="AF786" s="71">
        <v>46098</v>
      </c>
      <c r="AG786" s="31">
        <f>IF($AX786="Cancelled","",IFERROR(IF(F786="","",F786-Variables!$B$13),""))</f>
        <v>46066</v>
      </c>
      <c r="AH786" s="13">
        <f>IF($AX786="Cancelled","",IFERROR(IF(AB786="","",(AVERAGE(E786:F786)-AB786)-Variables!$B$14),""))</f>
        <v>14.625</v>
      </c>
      <c r="AJ786" s="47">
        <v>46105</v>
      </c>
      <c r="AK786" s="14">
        <f>IF($AX786="Cancelled","",IFERROR(IF(AJ786="","",IF(AND(AB786="",AF786=""),"",IF(AF786&gt;AB786,AF786+Variables!$B$15+Variables!$B$16+Variables!$B$17-AJ786,AB786+Variables!$B$16+Variables!$B$17-AJ786))),""))</f>
        <v>8</v>
      </c>
      <c r="AL786" s="48" t="s">
        <v>114</v>
      </c>
      <c r="AM786" s="13" t="s">
        <v>1526</v>
      </c>
      <c r="AN786" s="13" t="s">
        <v>1832</v>
      </c>
      <c r="AP786" s="31" t="e">
        <v>#N/A</v>
      </c>
      <c r="AR786" s="13" t="s">
        <v>1833</v>
      </c>
      <c r="AS786" s="31">
        <v>46117</v>
      </c>
      <c r="AU786" s="31">
        <v>46128</v>
      </c>
      <c r="AV786" s="13" t="s">
        <v>865</v>
      </c>
      <c r="AW786" s="31">
        <v>46142</v>
      </c>
      <c r="AX786" s="13" t="str">
        <f>IF(ISNUMBER(SEARCH("cancel",#REF!)),"Cancelled",IF(AND(AS786&lt;&gt;"",AU786&lt;&gt;"",AW786&lt;&gt;""),"Closed","Open"))</f>
        <v>Closed</v>
      </c>
      <c r="AY786" s="15" t="str">
        <f t="shared" si="36"/>
        <v>All dates received</v>
      </c>
      <c r="BD786" s="13">
        <f>IF($AX786="Cancelled","",IFERROR(IF(OR(AS786="",AJ786=""),"",(AJ786+Variables!$B$18-AS786)),""))</f>
        <v>3</v>
      </c>
      <c r="BE786" s="13">
        <f>IF($AX786="Cancelled","",IFERROR(IF(OR(AW786="",AS786=""),"",(AS786+Variables!$B$19)-AW786),""))</f>
        <v>-20</v>
      </c>
      <c r="BF786" s="44">
        <f>IF($AX786="Cancelled","",IFERROR(W786*INDEX(Variables!$B$7:$D$7,IFERROR(MATCH(IF($B786="Robusta","Robusta",(IF($B786="","Arabica",$B786))&amp;" - "&amp;(IF($C786="","Commercial",$C786))),Variables!$B$1:$D$1,0),1))*(BE786/365),""))</f>
        <v>-21.532159640286032</v>
      </c>
      <c r="BG786" s="44">
        <f>IF($AX786="Cancelled","",IFERROR((W786*INDEX(Variables!$B$7:$D$7,IFERROR(MATCH(IF($B786="Robusta","Robusta",(IF($B786="","Arabica",$B786))&amp;" - "&amp;(IF($C786="","Commercial",$C786))),Variables!$B$1:$D$1,0),1))*IFERROR(IF(AB786="","",(AVERAGE(E786:F786)-AB786)-Variables!$B$14),"")/365)+(L786/16.67*INDEX(Variables!$B$8:$D$8,IFERROR(MATCH(IF($B786="Robusta","Robusta",(IF($B786="","Arabica",$B786))&amp;" - "&amp;(IF($C786="","Commercial",$C786))),Variables!$B$1:$D$1,0),1))*IFERROR(IF(AB786="","",(AVERAGE(E786:F786)-AB786)-Variables!$B$14),""))+(W786*INDEX(Variables!$B$9:$D$9,IFERROR(MATCH(IF($B786="Robusta","Robusta",(IF($B786="","Arabica",$B786))&amp;" - "&amp;(IF($C786="","Commercial",$C786))),Variables!$B$1:$D$1,0),1))*IFERROR(IF(AB786="","",(AVERAGE(E786:F786)-AB786)-Variables!$B$14),"")/365),""))</f>
        <v>23.26088022294342</v>
      </c>
      <c r="BH786" s="44">
        <f>IF($AX786="Cancelled","",IFERROR((W786*INDEX(Variables!$B$7:$D$7,IFERROR(MATCH(IF($B786="Robusta","Robusta",(IF($B786="","Arabica",$B786))&amp;" - "&amp;(IF($C786="","Commercial",$C786))),Variables!$B$1:$D$1,0),1))*AK786/365)+(L786/16.67*INDEX(Variables!$B$8:$D$8,IFERROR(MATCH(IF($B786="Robusta","Robusta",(IF($B786="","Arabica",$B786))&amp;" - "&amp;(IF($C786="","Commercial",$C786))),Variables!$B$1:$D$1,0),1))*AK786)+(W786*INDEX(Variables!$B$9:$D$9,IFERROR(MATCH(IF($B786="Robusta","Robusta",(IF($B786="","Arabica",$B786))&amp;" - "&amp;(IF($C786="","Commercial",$C786))),Variables!$B$1:$D$1,0),1))*AK786/365),""))</f>
        <v>12.723900292892129</v>
      </c>
      <c r="BI786" s="44">
        <f>IF($AX786="Cancelled","",IFERROR((W786*INDEX(Variables!$B$7:$D$7,IFERROR(MATCH(IF($B786="Robusta","Robusta",(IF($B786="","Arabica",$B786))&amp;" - "&amp;(IF($C786="","Commercial",$C786))),Variables!$B$1:$D$1,0),1))*BD786/365)+(L786/16.67*INDEX(Variables!$B$8:$D$8,IFERROR(MATCH(IF($B786="Robusta","Robusta",(IF($B786="","Arabica",$B786))&amp;" - "&amp;(IF($C786="","Commercial",$C786))),Variables!$B$1:$D$1,0),1))*BD786)+(W786*INDEX(Variables!$B$9:$D$9,IFERROR(MATCH(IF($B786="Robusta","Robusta",(IF($B786="","Arabica",$B786))&amp;" - "&amp;(IF($C786="","Commercial",$C786))),Variables!$B$1:$D$1,0),1))*BD786/365),""))</f>
        <v>4.7714626098345487</v>
      </c>
      <c r="BJ786" s="44">
        <f t="shared" si="38"/>
        <v>-36</v>
      </c>
      <c r="BK786" s="44">
        <f>IF($AX786="Cancelled","",IFERROR(IF(BJ786="","",(W786*INDEX(Variables!$B$7:$D$7,IFERROR(MATCH(IF($B786="Robusta","Robusta",(IF($B786="","Arabica",$B786))&amp;" - "&amp;(IF($C786="","Commercial",$C786))),Variables!$B$1:$D$1,0),1))*(BJ786/365))+(W786*INDEX(Variables!$B$9:$D$9,IFERROR(MATCH(IF($B786="Robusta","Robusta",(IF($B786="","Arabica",$B786))&amp;" - "&amp;(IF($C786="","Commercial",$C786))),Variables!$B$1:$D$1,0),1))*(BJ786/365))+(INDEX(Variables!$B$8:$D$8,IFERROR(MATCH(IF($B786="Robusta","Robusta",(IF($B786="","Arabica",$B786))&amp;" - "&amp;(IF($C786="","Commercial",$C786))),Variables!$B$1:$D$1,0),1))*L786/16.67)),""))</f>
        <v>-38.757551318014578</v>
      </c>
    </row>
    <row r="787" spans="1:63">
      <c r="A787" s="13" t="s">
        <v>103</v>
      </c>
      <c r="B787" s="13" t="s">
        <v>104</v>
      </c>
      <c r="C787" s="13" t="s">
        <v>105</v>
      </c>
      <c r="D787" s="31">
        <v>46058</v>
      </c>
      <c r="E787" s="31">
        <v>46082</v>
      </c>
      <c r="F787" s="31">
        <v>46112</v>
      </c>
      <c r="G787" s="13">
        <v>3787221</v>
      </c>
      <c r="H787" s="13">
        <v>5478</v>
      </c>
      <c r="J787" s="13" t="s">
        <v>1234</v>
      </c>
      <c r="K787" s="13">
        <v>5478</v>
      </c>
      <c r="L787" s="13">
        <v>3600</v>
      </c>
      <c r="M787" s="13">
        <v>10</v>
      </c>
      <c r="N787" s="13" t="s">
        <v>2094</v>
      </c>
      <c r="O787" s="13" t="s">
        <v>2095</v>
      </c>
      <c r="P787" s="13">
        <v>10077</v>
      </c>
      <c r="R787" s="13" t="s">
        <v>122</v>
      </c>
      <c r="S787" s="13" t="s">
        <v>154</v>
      </c>
      <c r="T787" s="13" t="s">
        <v>155</v>
      </c>
      <c r="U787" s="13" t="s">
        <v>125</v>
      </c>
      <c r="V787" s="13">
        <v>-10</v>
      </c>
      <c r="W787" s="44">
        <f>IF($AX787="Cancelled","",IFERROR(((V787+INDEX(Variables!$B$6:$D$6,IFERROR(MATCH(IF($B787="Robusta","Robusta",(IF($B787="","Arabica",$B787))&amp;" - "&amp;(IF($C787="","Commercial",$C787))),Variables!$B$1:$D$1,0),1)))*22.0462)*(L787/16.67),""))</f>
        <v>1336896.3800839828</v>
      </c>
      <c r="X787" s="55" t="s">
        <v>37</v>
      </c>
      <c r="Y787" s="13" t="str">
        <f>IF($AX787="Cancelled","",IF(X787="","",IFERROR(IF(INDEX(Variables!$B$38:$B$47,MATCH(X787,Variables!$A$38:$A$47,0))="Yes","Yes","No"),"No")))</f>
        <v>Yes</v>
      </c>
      <c r="Z787" s="58">
        <v>46079</v>
      </c>
      <c r="AB787" s="31">
        <v>46084</v>
      </c>
      <c r="AC787" s="13" t="str">
        <f t="shared" si="37"/>
        <v>Approved</v>
      </c>
      <c r="AF787" s="71">
        <v>46126</v>
      </c>
      <c r="AG787" s="37">
        <f>IF($AX787="Cancelled","",IFERROR(IF(F787="","",F787-Variables!$B$13),""))</f>
        <v>46097</v>
      </c>
      <c r="AH787" s="13">
        <f>IF($AX787="Cancelled","",IFERROR(IF(AB787="","",(AVERAGE(E787:F787)-AB787)-Variables!$B$14),""))</f>
        <v>-17</v>
      </c>
      <c r="AJ787" s="47">
        <v>46128</v>
      </c>
      <c r="AK787" s="14">
        <f>IF($AX787="Cancelled","",IFERROR(IF(AJ787="","",IF(AND(AB787="",AF787=""),"",IF(AF787&gt;AB787,AF787+Variables!$B$15+Variables!$B$16+Variables!$B$17-AJ787,AB787+Variables!$B$16+Variables!$B$17-AJ787))),""))</f>
        <v>13</v>
      </c>
      <c r="AL787" s="48" t="s">
        <v>114</v>
      </c>
      <c r="AM787" s="13" t="s">
        <v>168</v>
      </c>
      <c r="AN787" s="13" t="s">
        <v>2096</v>
      </c>
      <c r="AP787" s="31">
        <v>46137</v>
      </c>
      <c r="AR787" s="13" t="s">
        <v>2097</v>
      </c>
      <c r="AS787" s="31">
        <v>46137</v>
      </c>
      <c r="AU787" s="31">
        <v>46155</v>
      </c>
      <c r="AV787" s="13" t="s">
        <v>865</v>
      </c>
      <c r="AW787" s="31">
        <v>46155</v>
      </c>
      <c r="AX787" s="13" t="str">
        <f>IF(ISNUMBER(SEARCH("cancel",#REF!)),"Cancelled",IF(AND(AS787&lt;&gt;"",AU787&lt;&gt;"",AW787&lt;&gt;""),"Closed","Open"))</f>
        <v>Closed</v>
      </c>
      <c r="AY787" s="15" t="str">
        <f t="shared" si="36"/>
        <v>All dates received</v>
      </c>
      <c r="BD787" s="13">
        <f>IF($AX787="Cancelled","",IFERROR(IF(OR(AS787="",AJ787=""),"",(AJ787+Variables!$B$18-AS787)),""))</f>
        <v>6</v>
      </c>
      <c r="BE787" s="13">
        <f>IF($AX787="Cancelled","",IFERROR(IF(OR(AW787="",AS787=""),"",(AS787+Variables!$B$19)-AW787),""))</f>
        <v>-13</v>
      </c>
      <c r="BF787" s="44">
        <f>IF($AX787="Cancelled","",IFERROR(W787*INDEX(Variables!$B$7:$D$7,IFERROR(MATCH(IF($B787="Robusta","Robusta",(IF($B787="","Arabica",$B787))&amp;" - "&amp;(IF($C787="","Commercial",$C787))),Variables!$B$1:$D$1,0),1))*(BE787/365),""))</f>
        <v>-3070.3513887070362</v>
      </c>
      <c r="BG787" s="44">
        <f>IF($AX787="Cancelled","",IFERROR((W787*INDEX(Variables!$B$7:$D$7,IFERROR(MATCH(IF($B787="Robusta","Robusta",(IF($B787="","Arabica",$B787))&amp;" - "&amp;(IF($C787="","Commercial",$C787))),Variables!$B$1:$D$1,0),1))*IFERROR(IF(AB787="","",(AVERAGE(E787:F787)-AB787)-Variables!$B$14),"")/365)+(L787/16.67*INDEX(Variables!$B$8:$D$8,IFERROR(MATCH(IF($B787="Robusta","Robusta",(IF($B787="","Arabica",$B787))&amp;" - "&amp;(IF($C787="","Commercial",$C787))),Variables!$B$1:$D$1,0),1))*IFERROR(IF(AB787="","",(AVERAGE(E787:F787)-AB787)-Variables!$B$14),""))+(W787*INDEX(Variables!$B$9:$D$9,IFERROR(MATCH(IF($B787="Robusta","Robusta",(IF($B787="","Arabica",$B787))&amp;" - "&amp;(IF($C787="","Commercial",$C787))),Variables!$B$1:$D$1,0),1))*IFERROR(IF(AB787="","",(AVERAGE(E787:F787)-AB787)-Variables!$B$14),"")/365),""))</f>
        <v>-7126.8369568505723</v>
      </c>
      <c r="BH787" s="44">
        <f>IF($AX787="Cancelled","",IFERROR((W787*INDEX(Variables!$B$7:$D$7,IFERROR(MATCH(IF($B787="Robusta","Robusta",(IF($B787="","Arabica",$B787))&amp;" - "&amp;(IF($C787="","Commercial",$C787))),Variables!$B$1:$D$1,0),1))*AK787/365)+(L787/16.67*INDEX(Variables!$B$8:$D$8,IFERROR(MATCH(IF($B787="Robusta","Robusta",(IF($B787="","Arabica",$B787))&amp;" - "&amp;(IF($C787="","Commercial",$C787))),Variables!$B$1:$D$1,0),1))*AK787)+(W787*INDEX(Variables!$B$9:$D$9,IFERROR(MATCH(IF($B787="Robusta","Robusta",(IF($B787="","Arabica",$B787))&amp;" - "&amp;(IF($C787="","Commercial",$C787))),Variables!$B$1:$D$1,0),1))*AK787/365),""))</f>
        <v>5449.9341434739672</v>
      </c>
      <c r="BI787" s="44">
        <f>IF($AX787="Cancelled","",IFERROR((W787*INDEX(Variables!$B$7:$D$7,IFERROR(MATCH(IF($B787="Robusta","Robusta",(IF($B787="","Arabica",$B787))&amp;" - "&amp;(IF($C787="","Commercial",$C787))),Variables!$B$1:$D$1,0),1))*BD787/365)+(L787/16.67*INDEX(Variables!$B$8:$D$8,IFERROR(MATCH(IF($B787="Robusta","Robusta",(IF($B787="","Arabica",$B787))&amp;" - "&amp;(IF($C787="","Commercial",$C787))),Variables!$B$1:$D$1,0),1))*BD787)+(W787*INDEX(Variables!$B$9:$D$9,IFERROR(MATCH(IF($B787="Robusta","Robusta",(IF($B787="","Arabica",$B787))&amp;" - "&amp;(IF($C787="","Commercial",$C787))),Variables!$B$1:$D$1,0),1))*BD787/365),""))</f>
        <v>2515.3542200649076</v>
      </c>
      <c r="BJ787" s="44">
        <f t="shared" si="38"/>
        <v>-25</v>
      </c>
      <c r="BK787" s="44">
        <f>IF($AX787="Cancelled","",IFERROR(IF(BJ787="","",(W787*INDEX(Variables!$B$7:$D$7,IFERROR(MATCH(IF($B787="Robusta","Robusta",(IF($B787="","Arabica",$B787))&amp;" - "&amp;(IF($C787="","Commercial",$C787))),Variables!$B$1:$D$1,0),1))*(BJ787/365))+(W787*INDEX(Variables!$B$9:$D$9,IFERROR(MATCH(IF($B787="Robusta","Robusta",(IF($B787="","Arabica",$B787))&amp;" - "&amp;(IF($C787="","Commercial",$C787))),Variables!$B$1:$D$1,0),1))*(BJ787/365))+(INDEX(Variables!$B$8:$D$8,IFERROR(MATCH(IF($B787="Robusta","Robusta",(IF($B787="","Arabica",$B787))&amp;" - "&amp;(IF($C787="","Commercial",$C787))),Variables!$B$1:$D$1,0),1))*L787/16.67)),""))</f>
        <v>-5800.6425836037824</v>
      </c>
    </row>
    <row r="788" spans="1:63">
      <c r="A788" s="13" t="s">
        <v>103</v>
      </c>
      <c r="B788" s="13" t="s">
        <v>104</v>
      </c>
      <c r="C788" s="13" t="s">
        <v>105</v>
      </c>
      <c r="D788" s="31">
        <v>46058</v>
      </c>
      <c r="E788" s="31">
        <v>46113</v>
      </c>
      <c r="F788" s="31">
        <v>46142</v>
      </c>
      <c r="G788" s="13">
        <v>3787222</v>
      </c>
      <c r="H788" s="13">
        <v>5468</v>
      </c>
      <c r="J788" s="13" t="s">
        <v>1234</v>
      </c>
      <c r="K788" s="13">
        <v>5468</v>
      </c>
      <c r="L788" s="13">
        <v>320</v>
      </c>
      <c r="M788" s="13">
        <v>1</v>
      </c>
      <c r="N788" s="13" t="s">
        <v>2098</v>
      </c>
      <c r="O788" s="13" t="s">
        <v>269</v>
      </c>
      <c r="P788" s="13">
        <v>10310</v>
      </c>
      <c r="R788" s="13" t="s">
        <v>239</v>
      </c>
      <c r="S788" s="13" t="s">
        <v>442</v>
      </c>
      <c r="T788" s="13" t="s">
        <v>112</v>
      </c>
      <c r="U788" s="13" t="s">
        <v>113</v>
      </c>
      <c r="V788" s="23">
        <v>86</v>
      </c>
      <c r="W788" s="44">
        <f>IF($AX788="Cancelled","",IFERROR(((V788+INDEX(Variables!$B$6:$D$6,IFERROR(MATCH(IF($B788="Robusta","Robusta",(IF($B788="","Arabica",$B788))&amp;" - "&amp;(IF($C788="","Commercial",$C788))),Variables!$B$1:$D$1,0),1)))*22.0462)*(L788/16.67),""))</f>
        <v>159462.66413917215</v>
      </c>
      <c r="X788" s="55" t="s">
        <v>37</v>
      </c>
      <c r="Y788" s="13" t="str">
        <f>IF($AX788="Cancelled","",IF(X788="","",IFERROR(IF(INDEX(Variables!$B$38:$B$47,MATCH(X788,Variables!$A$38:$A$47,0))="Yes","Yes","No"),"No")))</f>
        <v>Yes</v>
      </c>
      <c r="Z788" s="58">
        <v>46080</v>
      </c>
      <c r="AB788" s="31">
        <v>46097</v>
      </c>
      <c r="AC788" s="13" t="str">
        <f t="shared" si="37"/>
        <v>Approved</v>
      </c>
      <c r="AF788" s="71">
        <v>46122</v>
      </c>
      <c r="AG788" s="37">
        <f>IF($AX788="Cancelled","",IFERROR(IF(F788="","",F788-Variables!$B$13),""))</f>
        <v>46127</v>
      </c>
      <c r="AH788" s="13">
        <f>IF($AX788="Cancelled","",IFERROR(IF(AB788="","",(AVERAGE(E788:F788)-AB788)-Variables!$B$14),""))</f>
        <v>0.5</v>
      </c>
      <c r="AJ788" s="47">
        <v>46164</v>
      </c>
      <c r="AK788" s="14">
        <f>IF($AX788="Cancelled","",IFERROR(IF(AJ788="","",IF(AND(AB788="",AF788=""),"",IF(AF788&gt;AB788,AF788+Variables!$B$15+Variables!$B$16+Variables!$B$17-AJ788,AB788+Variables!$B$16+Variables!$B$17-AJ788))),""))</f>
        <v>-27</v>
      </c>
      <c r="AL788" s="48" t="s">
        <v>114</v>
      </c>
      <c r="AM788" s="13" t="s">
        <v>134</v>
      </c>
      <c r="AN788" s="13" t="s">
        <v>2099</v>
      </c>
      <c r="AP788" s="31">
        <v>46172</v>
      </c>
      <c r="AR788" s="13" t="s">
        <v>2100</v>
      </c>
      <c r="AS788" s="31">
        <v>46172</v>
      </c>
      <c r="AU788" s="31">
        <v>46189</v>
      </c>
      <c r="AV788" s="13" t="e">
        <v>#REF!</v>
      </c>
      <c r="AW788" s="31">
        <v>46189</v>
      </c>
      <c r="AX788" s="13" t="str">
        <f>IF(ISNUMBER(SEARCH("cancel",#REF!)),"Cancelled",IF(AND(AS788&lt;&gt;"",AU788&lt;&gt;"",AW788&lt;&gt;""),"Closed","Open"))</f>
        <v>Closed</v>
      </c>
      <c r="AY788" s="15" t="str">
        <f t="shared" si="36"/>
        <v>All dates received</v>
      </c>
      <c r="BD788" s="13">
        <f>IF($AX788="Cancelled","",IFERROR(IF(OR(AS788="",AJ788=""),"",(AJ788+Variables!$B$18-AS788)),""))</f>
        <v>7</v>
      </c>
      <c r="BE788" s="13">
        <f>IF($AX788="Cancelled","",IFERROR(IF(OR(AW788="",AS788=""),"",(AS788+Variables!$B$19)-AW788),""))</f>
        <v>-12</v>
      </c>
      <c r="BF788" s="44">
        <f>IF($AX788="Cancelled","",IFERROR(W788*INDEX(Variables!$B$7:$D$7,IFERROR(MATCH(IF($B788="Robusta","Robusta",(IF($B788="","Arabica",$B788))&amp;" - "&amp;(IF($C788="","Commercial",$C788))),Variables!$B$1:$D$1,0),1))*(BE788/365),""))</f>
        <v>-338.05490635249072</v>
      </c>
      <c r="BG788" s="44">
        <f>IF($AX788="Cancelled","",IFERROR((W788*INDEX(Variables!$B$7:$D$7,IFERROR(MATCH(IF($B788="Robusta","Robusta",(IF($B788="","Arabica",$B788))&amp;" - "&amp;(IF($C788="","Commercial",$C788))),Variables!$B$1:$D$1,0),1))*IFERROR(IF(AB788="","",(AVERAGE(E788:F788)-AB788)-Variables!$B$14),"")/365)+(L788/16.67*INDEX(Variables!$B$8:$D$8,IFERROR(MATCH(IF($B788="Robusta","Robusta",(IF($B788="","Arabica",$B788))&amp;" - "&amp;(IF($C788="","Commercial",$C788))),Variables!$B$1:$D$1,0),1))*IFERROR(IF(AB788="","",(AVERAGE(E788:F788)-AB788)-Variables!$B$14),""))+(W788*INDEX(Variables!$B$9:$D$9,IFERROR(MATCH(IF($B788="Robusta","Robusta",(IF($B788="","Arabica",$B788))&amp;" - "&amp;(IF($C788="","Commercial",$C788))),Variables!$B$1:$D$1,0),1))*IFERROR(IF(AB788="","",(AVERAGE(E788:F788)-AB788)-Variables!$B$14),"")/365),""))</f>
        <v>22.267211937334</v>
      </c>
      <c r="BH788" s="44">
        <f>IF($AX788="Cancelled","",IFERROR((W788*INDEX(Variables!$B$7:$D$7,IFERROR(MATCH(IF($B788="Robusta","Robusta",(IF($B788="","Arabica",$B788))&amp;" - "&amp;(IF($C788="","Commercial",$C788))),Variables!$B$1:$D$1,0),1))*AK788/365)+(L788/16.67*INDEX(Variables!$B$8:$D$8,IFERROR(MATCH(IF($B788="Robusta","Robusta",(IF($B788="","Arabica",$B788))&amp;" - "&amp;(IF($C788="","Commercial",$C788))),Variables!$B$1:$D$1,0),1))*AK788)+(W788*INDEX(Variables!$B$9:$D$9,IFERROR(MATCH(IF($B788="Robusta","Robusta",(IF($B788="","Arabica",$B788))&amp;" - "&amp;(IF($C788="","Commercial",$C788))),Variables!$B$1:$D$1,0),1))*AK788/365),""))</f>
        <v>-1202.4294446160361</v>
      </c>
      <c r="BI788" s="44">
        <f>IF($AX788="Cancelled","",IFERROR((W788*INDEX(Variables!$B$7:$D$7,IFERROR(MATCH(IF($B788="Robusta","Robusta",(IF($B788="","Arabica",$B788))&amp;" - "&amp;(IF($C788="","Commercial",$C788))),Variables!$B$1:$D$1,0),1))*BD788/365)+(L788/16.67*INDEX(Variables!$B$8:$D$8,IFERROR(MATCH(IF($B788="Robusta","Robusta",(IF($B788="","Arabica",$B788))&amp;" - "&amp;(IF($C788="","Commercial",$C788))),Variables!$B$1:$D$1,0),1))*BD788)+(W788*INDEX(Variables!$B$9:$D$9,IFERROR(MATCH(IF($B788="Robusta","Robusta",(IF($B788="","Arabica",$B788))&amp;" - "&amp;(IF($C788="","Commercial",$C788))),Variables!$B$1:$D$1,0),1))*BD788/365),""))</f>
        <v>311.74096712267595</v>
      </c>
      <c r="BJ788" s="44">
        <f t="shared" si="38"/>
        <v>-30</v>
      </c>
      <c r="BK788" s="44">
        <f>IF($AX788="Cancelled","",IFERROR(IF(BJ788="","",(W788*INDEX(Variables!$B$7:$D$7,IFERROR(MATCH(IF($B788="Robusta","Robusta",(IF($B788="","Arabica",$B788))&amp;" - "&amp;(IF($C788="","Commercial",$C788))),Variables!$B$1:$D$1,0),1))*(BJ788/365))+(W788*INDEX(Variables!$B$9:$D$9,IFERROR(MATCH(IF($B788="Robusta","Robusta",(IF($B788="","Arabica",$B788))&amp;" - "&amp;(IF($C788="","Commercial",$C788))),Variables!$B$1:$D$1,0),1))*(BJ788/365))+(INDEX(Variables!$B$8:$D$8,IFERROR(MATCH(IF($B788="Robusta","Robusta",(IF($B788="","Arabica",$B788))&amp;" - "&amp;(IF($C788="","Commercial",$C788))),Variables!$B$1:$D$1,0),1))*L788/16.67)),""))</f>
        <v>-840.03271624003992</v>
      </c>
    </row>
    <row r="789" spans="1:63">
      <c r="A789" s="13" t="s">
        <v>103</v>
      </c>
      <c r="B789" s="13" t="s">
        <v>104</v>
      </c>
      <c r="C789" s="13" t="s">
        <v>105</v>
      </c>
      <c r="D789" s="31">
        <v>46058</v>
      </c>
      <c r="E789" s="31">
        <v>46082</v>
      </c>
      <c r="F789" s="31">
        <v>46112</v>
      </c>
      <c r="G789" s="13">
        <v>3787223</v>
      </c>
      <c r="H789" s="13">
        <v>5436</v>
      </c>
      <c r="J789" s="13" t="s">
        <v>107</v>
      </c>
      <c r="K789" s="13">
        <v>5436</v>
      </c>
      <c r="L789" s="13">
        <v>320</v>
      </c>
      <c r="M789" s="13">
        <v>1</v>
      </c>
      <c r="N789" s="13" t="s">
        <v>2101</v>
      </c>
      <c r="O789" s="13" t="s">
        <v>109</v>
      </c>
      <c r="P789" s="13">
        <v>10080</v>
      </c>
      <c r="R789" s="13" t="s">
        <v>110</v>
      </c>
      <c r="S789" s="13" t="s">
        <v>553</v>
      </c>
      <c r="T789" s="13" t="s">
        <v>112</v>
      </c>
      <c r="U789" s="13" t="s">
        <v>113</v>
      </c>
      <c r="V789" s="13">
        <v>19</v>
      </c>
      <c r="W789" s="44">
        <f>IF($AX789="Cancelled","",IFERROR(((V789+INDEX(Variables!$B$6:$D$6,IFERROR(MATCH(IF($B789="Robusta","Robusta",(IF($B789="","Arabica",$B789))&amp;" - "&amp;(IF($C789="","Commercial",$C789))),Variables!$B$1:$D$1,0),1)))*22.0462)*(L789/16.67),""))</f>
        <v>131108.10337132573</v>
      </c>
      <c r="X789" s="55" t="s">
        <v>37</v>
      </c>
      <c r="Y789" s="13" t="str">
        <f>IF($AX789="Cancelled","",IF(X789="","",IFERROR(IF(INDEX(Variables!$B$38:$B$47,MATCH(X789,Variables!$A$38:$A$47,0))="Yes","Yes","No"),"No")))</f>
        <v>Yes</v>
      </c>
      <c r="Z789" s="58">
        <v>46072</v>
      </c>
      <c r="AB789" s="31">
        <v>46076</v>
      </c>
      <c r="AC789" s="13" t="str">
        <f t="shared" si="37"/>
        <v>Approved</v>
      </c>
      <c r="AF789" s="71">
        <v>46087</v>
      </c>
      <c r="AG789" s="37">
        <f>IF($AX789="Cancelled","",IFERROR(IF(F789="","",F789-Variables!$B$13),""))</f>
        <v>46097</v>
      </c>
      <c r="AH789" s="13">
        <f>IF($AX789="Cancelled","",IFERROR(IF(AB789="","",(AVERAGE(E789:F789)-AB789)-Variables!$B$14),""))</f>
        <v>-9</v>
      </c>
      <c r="AJ789" s="47">
        <v>46088</v>
      </c>
      <c r="AK789" s="14">
        <f>IF($AX789="Cancelled","",IFERROR(IF(AJ789="","",IF(AND(AB789="",AF789=""),"",IF(AF789&gt;AB789,AF789+Variables!$B$15+Variables!$B$16+Variables!$B$17-AJ789,AB789+Variables!$B$16+Variables!$B$17-AJ789))),""))</f>
        <v>14</v>
      </c>
      <c r="AL789" s="48" t="s">
        <v>114</v>
      </c>
      <c r="AM789" s="13" t="s">
        <v>1589</v>
      </c>
      <c r="AN789" s="13" t="s">
        <v>1589</v>
      </c>
      <c r="AO789" s="31">
        <v>46113</v>
      </c>
      <c r="AP789" s="31">
        <v>46113</v>
      </c>
      <c r="AQ789" s="31">
        <v>46113</v>
      </c>
      <c r="AR789" s="13" t="s">
        <v>1589</v>
      </c>
      <c r="AS789" s="31">
        <v>46113</v>
      </c>
      <c r="AU789" s="31">
        <v>46113</v>
      </c>
      <c r="AV789" s="13" t="s">
        <v>1589</v>
      </c>
      <c r="AW789" s="31">
        <v>46113</v>
      </c>
      <c r="AX789" s="13" t="str">
        <f>IF(ISNUMBER(SEARCH("cancel",#REF!)),"Cancelled",IF(AND(AS789&lt;&gt;"",AU789&lt;&gt;"",AW789&lt;&gt;""),"Closed","Open"))</f>
        <v>Closed</v>
      </c>
      <c r="AY789" s="15" t="str">
        <f t="shared" si="36"/>
        <v>All dates received</v>
      </c>
      <c r="BD789" s="13">
        <f>IF($AX789="Cancelled","",IFERROR(IF(OR(AS789="",AJ789=""),"",(AJ789+Variables!$B$18-AS789)),""))</f>
        <v>-10</v>
      </c>
      <c r="BE789" s="13">
        <f>IF($AX789="Cancelled","",IFERROR(IF(OR(AW789="",AS789=""),"",(AS789+Variables!$B$19)-AW789),""))</f>
        <v>5</v>
      </c>
      <c r="BF789" s="44">
        <f>IF($AX789="Cancelled","",IFERROR(W789*INDEX(Variables!$B$7:$D$7,IFERROR(MATCH(IF($B789="Robusta","Robusta",(IF($B789="","Arabica",$B789))&amp;" - "&amp;(IF($C789="","Commercial",$C789))),Variables!$B$1:$D$1,0),1))*(BE789/365),""))</f>
        <v>115.81012250973288</v>
      </c>
      <c r="BG789" s="44">
        <f>IF($AX789="Cancelled","",IFERROR((W789*INDEX(Variables!$B$7:$D$7,IFERROR(MATCH(IF($B789="Robusta","Robusta",(IF($B789="","Arabica",$B789))&amp;" - "&amp;(IF($C789="","Commercial",$C789))),Variables!$B$1:$D$1,0),1))*IFERROR(IF(AB789="","",(AVERAGE(E789:F789)-AB789)-Variables!$B$14),"")/365)+(L789/16.67*INDEX(Variables!$B$8:$D$8,IFERROR(MATCH(IF($B789="Robusta","Robusta",(IF($B789="","Arabica",$B789))&amp;" - "&amp;(IF($C789="","Commercial",$C789))),Variables!$B$1:$D$1,0),1))*IFERROR(IF(AB789="","",(AVERAGE(E789:F789)-AB789)-Variables!$B$14),""))+(W789*INDEX(Variables!$B$9:$D$9,IFERROR(MATCH(IF($B789="Robusta","Robusta",(IF($B789="","Arabica",$B789))&amp;" - "&amp;(IF($C789="","Commercial",$C789))),Variables!$B$1:$D$1,0),1))*IFERROR(IF(AB789="","",(AVERAGE(E789:F789)-AB789)-Variables!$B$14),"")/365),""))</f>
        <v>-355.14564927640481</v>
      </c>
      <c r="BH789" s="44">
        <f>IF($AX789="Cancelled","",IFERROR((W789*INDEX(Variables!$B$7:$D$7,IFERROR(MATCH(IF($B789="Robusta","Robusta",(IF($B789="","Arabica",$B789))&amp;" - "&amp;(IF($C789="","Commercial",$C789))),Variables!$B$1:$D$1,0),1))*AK789/365)+(L789/16.67*INDEX(Variables!$B$8:$D$8,IFERROR(MATCH(IF($B789="Robusta","Robusta",(IF($B789="","Arabica",$B789))&amp;" - "&amp;(IF($C789="","Commercial",$C789))),Variables!$B$1:$D$1,0),1))*AK789)+(W789*INDEX(Variables!$B$9:$D$9,IFERROR(MATCH(IF($B789="Robusta","Robusta",(IF($B789="","Arabica",$B789))&amp;" - "&amp;(IF($C789="","Commercial",$C789))),Variables!$B$1:$D$1,0),1))*AK789/365),""))</f>
        <v>552.44878776329631</v>
      </c>
      <c r="BI789" s="44">
        <f>IF($AX789="Cancelled","",IFERROR((W789*INDEX(Variables!$B$7:$D$7,IFERROR(MATCH(IF($B789="Robusta","Robusta",(IF($B789="","Arabica",$B789))&amp;" - "&amp;(IF($C789="","Commercial",$C789))),Variables!$B$1:$D$1,0),1))*BD789/365)+(L789/16.67*INDEX(Variables!$B$8:$D$8,IFERROR(MATCH(IF($B789="Robusta","Robusta",(IF($B789="","Arabica",$B789))&amp;" - "&amp;(IF($C789="","Commercial",$C789))),Variables!$B$1:$D$1,0),1))*BD789)+(W789*INDEX(Variables!$B$9:$D$9,IFERROR(MATCH(IF($B789="Robusta","Robusta",(IF($B789="","Arabica",$B789))&amp;" - "&amp;(IF($C789="","Commercial",$C789))),Variables!$B$1:$D$1,0),1))*BD789/365),""))</f>
        <v>-394.60627697378311</v>
      </c>
      <c r="BJ789" s="44">
        <f t="shared" si="38"/>
        <v>-1</v>
      </c>
      <c r="BK789" s="44">
        <f>IF($AX789="Cancelled","",IFERROR(IF(BJ789="","",(W789*INDEX(Variables!$B$7:$D$7,IFERROR(MATCH(IF($B789="Robusta","Robusta",(IF($B789="","Arabica",$B789))&amp;" - "&amp;(IF($C789="","Commercial",$C789))),Variables!$B$1:$D$1,0),1))*(BJ789/365))+(W789*INDEX(Variables!$B$9:$D$9,IFERROR(MATCH(IF($B789="Robusta","Robusta",(IF($B789="","Arabica",$B789))&amp;" - "&amp;(IF($C789="","Commercial",$C789))),Variables!$B$1:$D$1,0),1))*(BJ789/365))+(INDEX(Variables!$B$8:$D$8,IFERROR(MATCH(IF($B789="Robusta","Robusta",(IF($B789="","Arabica",$B789))&amp;" - "&amp;(IF($C789="","Commercial",$C789))),Variables!$B$1:$D$1,0),1))*L789/16.67)),""))</f>
        <v>-7.4606276973783103</v>
      </c>
    </row>
    <row r="790" spans="1:63">
      <c r="A790" s="13" t="s">
        <v>103</v>
      </c>
      <c r="B790" s="13" t="s">
        <v>104</v>
      </c>
      <c r="C790" s="13" t="s">
        <v>292</v>
      </c>
      <c r="D790" s="31">
        <v>46058</v>
      </c>
      <c r="E790" s="31">
        <v>46054</v>
      </c>
      <c r="F790" s="31">
        <v>46081</v>
      </c>
      <c r="G790" s="13">
        <v>3787224</v>
      </c>
      <c r="J790" s="13" t="s">
        <v>447</v>
      </c>
      <c r="K790" s="13" t="s">
        <v>2102</v>
      </c>
      <c r="L790" s="13">
        <v>40</v>
      </c>
      <c r="M790" s="13">
        <v>1</v>
      </c>
      <c r="N790" s="13" t="s">
        <v>2103</v>
      </c>
      <c r="O790" s="13" t="s">
        <v>297</v>
      </c>
      <c r="P790" s="13">
        <v>10020</v>
      </c>
      <c r="R790" s="13" t="s">
        <v>239</v>
      </c>
      <c r="S790" s="13" t="s">
        <v>154</v>
      </c>
      <c r="T790" s="13" t="s">
        <v>155</v>
      </c>
      <c r="U790" s="13" t="s">
        <v>125</v>
      </c>
      <c r="V790" s="13">
        <v>225</v>
      </c>
      <c r="W790" s="44">
        <f>IF($AX790="Cancelled","",IFERROR(((V790+INDEX(Variables!$B$6:$D$6,IFERROR(MATCH(IF($B790="Robusta","Robusta",(IF($B790="","Arabica",$B790))&amp;" - "&amp;(IF($C790="","Commercial",$C790))),Variables!$B$1:$D$1,0),1)))*22.0462)*(L790/16.67),""))</f>
        <v>27285.97470905818</v>
      </c>
      <c r="X790" s="55" t="s">
        <v>39</v>
      </c>
      <c r="Y790" s="13" t="str">
        <f>IF($AX790="Cancelled","",IF(X790="","",IFERROR(IF(INDEX(Variables!$B$38:$B$47,MATCH(X790,Variables!$A$38:$A$47,0))="Yes","Yes","No"),"No")))</f>
        <v>No</v>
      </c>
      <c r="Z790" s="31"/>
      <c r="AB790" s="31">
        <v>46022.875</v>
      </c>
      <c r="AC790" s="13" t="str">
        <f t="shared" si="37"/>
        <v>Approved</v>
      </c>
      <c r="AF790" s="71">
        <v>46078</v>
      </c>
      <c r="AG790" s="37">
        <f>IF($AX790="Cancelled","",IFERROR(IF(F790="","",F790-Variables!$B$13),""))</f>
        <v>46066</v>
      </c>
      <c r="AH790" s="13">
        <f>IF($AX790="Cancelled","",IFERROR(IF(AB790="","",(AVERAGE(E790:F790)-AB790)-Variables!$B$14),""))</f>
        <v>14.625</v>
      </c>
      <c r="AJ790" s="47">
        <v>46112</v>
      </c>
      <c r="AK790" s="14">
        <f>IF($AX790="Cancelled","",IFERROR(IF(AJ790="","",IF(AND(AB790="",AF790=""),"",IF(AF790&gt;AB790,AF790+Variables!$B$15+Variables!$B$16+Variables!$B$17-AJ790,AB790+Variables!$B$16+Variables!$B$17-AJ790))),""))</f>
        <v>-19</v>
      </c>
      <c r="AL790" s="48" t="s">
        <v>114</v>
      </c>
      <c r="AM790" s="13" t="s">
        <v>168</v>
      </c>
      <c r="AN790" s="13" t="s">
        <v>2104</v>
      </c>
      <c r="AP790" s="31" t="e">
        <v>#N/A</v>
      </c>
      <c r="AR790" s="13" t="s">
        <v>2105</v>
      </c>
      <c r="AS790" s="31">
        <v>46126</v>
      </c>
      <c r="AU790" s="31">
        <v>46182</v>
      </c>
      <c r="AV790" s="13" t="s">
        <v>865</v>
      </c>
      <c r="AW790" s="31">
        <v>46182</v>
      </c>
      <c r="AX790" s="13" t="str">
        <f>IF(ISNUMBER(SEARCH("cancel",#REF!)),"Cancelled",IF(AND(AS790&lt;&gt;"",AU790&lt;&gt;"",AW790&lt;&gt;""),"Closed","Open"))</f>
        <v>Closed</v>
      </c>
      <c r="AY790" s="15" t="str">
        <f t="shared" si="36"/>
        <v>All dates received</v>
      </c>
      <c r="BD790" s="13">
        <f>IF($AX790="Cancelled","",IFERROR(IF(OR(AS790="",AJ790=""),"",(AJ790+Variables!$B$18-AS790)),""))</f>
        <v>1</v>
      </c>
      <c r="BE790" s="13">
        <f>IF($AX790="Cancelled","",IFERROR(IF(OR(AW790="",AS790=""),"",(AS790+Variables!$B$19)-AW790),""))</f>
        <v>-51</v>
      </c>
      <c r="BF790" s="44">
        <f>IF($AX790="Cancelled","",IFERROR(W790*INDEX(Variables!$B$7:$D$7,IFERROR(MATCH(IF($B790="Robusta","Robusta",(IF($B790="","Arabica",$B790))&amp;" - "&amp;(IF($C790="","Commercial",$C790))),Variables!$B$1:$D$1,0),1))*(BE790/365),""))</f>
        <v>-245.84231122631783</v>
      </c>
      <c r="BG790" s="44">
        <f>IF($AX790="Cancelled","",IFERROR((W790*INDEX(Variables!$B$7:$D$7,IFERROR(MATCH(IF($B790="Robusta","Robusta",(IF($B790="","Arabica",$B790))&amp;" - "&amp;(IF($C790="","Commercial",$C790))),Variables!$B$1:$D$1,0),1))*IFERROR(IF(AB790="","",(AVERAGE(E790:F790)-AB790)-Variables!$B$14),"")/365)+(L790/16.67*INDEX(Variables!$B$8:$D$8,IFERROR(MATCH(IF($B790="Robusta","Robusta",(IF($B790="","Arabica",$B790))&amp;" - "&amp;(IF($C790="","Commercial",$C790))),Variables!$B$1:$D$1,0),1))*IFERROR(IF(AB790="","",(AVERAGE(E790:F790)-AB790)-Variables!$B$14),""))+(W790*INDEX(Variables!$B$9:$D$9,IFERROR(MATCH(IF($B790="Robusta","Robusta",(IF($B790="","Arabica",$B790))&amp;" - "&amp;(IF($C790="","Commercial",$C790))),Variables!$B$1:$D$1,0),1))*IFERROR(IF(AB790="","",(AVERAGE(E790:F790)-AB790)-Variables!$B$14),"")/365),""))</f>
        <v>100.65776492182479</v>
      </c>
      <c r="BH790" s="44">
        <f>IF($AX790="Cancelled","",IFERROR((W790*INDEX(Variables!$B$7:$D$7,IFERROR(MATCH(IF($B790="Robusta","Robusta",(IF($B790="","Arabica",$B790))&amp;" - "&amp;(IF($C790="","Commercial",$C790))),Variables!$B$1:$D$1,0),1))*AK790/365)+(L790/16.67*INDEX(Variables!$B$8:$D$8,IFERROR(MATCH(IF($B790="Robusta","Robusta",(IF($B790="","Arabica",$B790))&amp;" - "&amp;(IF($C790="","Commercial",$C790))),Variables!$B$1:$D$1,0),1))*AK790)+(W790*INDEX(Variables!$B$9:$D$9,IFERROR(MATCH(IF($B790="Robusta","Robusta",(IF($B790="","Arabica",$B790))&amp;" - "&amp;(IF($C790="","Commercial",$C790))),Variables!$B$1:$D$1,0),1))*AK790/365),""))</f>
        <v>-130.76906212066126</v>
      </c>
      <c r="BI790" s="44">
        <f>IF($AX790="Cancelled","",IFERROR((W790*INDEX(Variables!$B$7:$D$7,IFERROR(MATCH(IF($B790="Robusta","Robusta",(IF($B790="","Arabica",$B790))&amp;" - "&amp;(IF($C790="","Commercial",$C790))),Variables!$B$1:$D$1,0),1))*BD790/365)+(L790/16.67*INDEX(Variables!$B$8:$D$8,IFERROR(MATCH(IF($B790="Robusta","Robusta",(IF($B790="","Arabica",$B790))&amp;" - "&amp;(IF($C790="","Commercial",$C790))),Variables!$B$1:$D$1,0),1))*BD790)+(W790*INDEX(Variables!$B$9:$D$9,IFERROR(MATCH(IF($B790="Robusta","Robusta",(IF($B790="","Arabica",$B790))&amp;" - "&amp;(IF($C790="","Commercial",$C790))),Variables!$B$1:$D$1,0),1))*BD790/365),""))</f>
        <v>6.8825822168769086</v>
      </c>
      <c r="BJ790" s="44">
        <f t="shared" si="38"/>
        <v>-45</v>
      </c>
      <c r="BK790" s="44">
        <f>IF($AX790="Cancelled","",IFERROR(IF(BJ790="","",(W790*INDEX(Variables!$B$7:$D$7,IFERROR(MATCH(IF($B790="Robusta","Robusta",(IF($B790="","Arabica",$B790))&amp;" - "&amp;(IF($C790="","Commercial",$C790))),Variables!$B$1:$D$1,0),1))*(BJ790/365))+(W790*INDEX(Variables!$B$9:$D$9,IFERROR(MATCH(IF($B790="Robusta","Robusta",(IF($B790="","Arabica",$B790))&amp;" - "&amp;(IF($C790="","Commercial",$C790))),Variables!$B$1:$D$1,0),1))*(BJ790/365))+(INDEX(Variables!$B$8:$D$8,IFERROR(MATCH(IF($B790="Robusta","Robusta",(IF($B790="","Arabica",$B790))&amp;" - "&amp;(IF($C790="","Commercial",$C790))),Variables!$B$1:$D$1,0),1))*L790/16.67)),""))</f>
        <v>-217.71619975946086</v>
      </c>
    </row>
    <row r="791" spans="1:63">
      <c r="A791" s="13" t="s">
        <v>103</v>
      </c>
      <c r="B791" s="13" t="s">
        <v>104</v>
      </c>
      <c r="C791" s="13" t="s">
        <v>292</v>
      </c>
      <c r="D791" s="31">
        <v>46058</v>
      </c>
      <c r="E791" s="31">
        <v>46054</v>
      </c>
      <c r="F791" s="31">
        <v>46081</v>
      </c>
      <c r="G791" s="13">
        <v>3787225</v>
      </c>
      <c r="J791" s="13" t="s">
        <v>447</v>
      </c>
      <c r="K791" s="13" t="s">
        <v>2106</v>
      </c>
      <c r="L791" s="13">
        <v>40</v>
      </c>
      <c r="M791" s="13">
        <v>0</v>
      </c>
      <c r="N791" s="13" t="s">
        <v>2107</v>
      </c>
      <c r="O791" s="13" t="s">
        <v>297</v>
      </c>
      <c r="P791" s="13">
        <v>10020</v>
      </c>
      <c r="R791" s="13" t="s">
        <v>384</v>
      </c>
      <c r="S791" s="13" t="s">
        <v>154</v>
      </c>
      <c r="T791" s="13" t="s">
        <v>155</v>
      </c>
      <c r="U791" s="13" t="s">
        <v>125</v>
      </c>
      <c r="V791" s="13">
        <v>245</v>
      </c>
      <c r="W791" s="44">
        <f>IF($AX791="Cancelled","",IFERROR(((V791+INDEX(Variables!$B$6:$D$6,IFERROR(MATCH(IF($B791="Robusta","Robusta",(IF($B791="","Arabica",$B791))&amp;" - "&amp;(IF($C791="","Commercial",$C791))),Variables!$B$1:$D$1,0),1)))*22.0462)*(L791/16.67),""))</f>
        <v>28343.980707858424</v>
      </c>
      <c r="X791" s="55" t="s">
        <v>39</v>
      </c>
      <c r="Y791" s="13" t="str">
        <f>IF($AX791="Cancelled","",IF(X791="","",IFERROR(IF(INDEX(Variables!$B$38:$B$47,MATCH(X791,Variables!$A$38:$A$47,0))="Yes","Yes","No"),"No")))</f>
        <v>No</v>
      </c>
      <c r="Z791" s="31"/>
      <c r="AC791" s="13" t="str">
        <f t="shared" si="37"/>
        <v/>
      </c>
      <c r="AF791" s="71">
        <v>46112</v>
      </c>
      <c r="AG791" s="37">
        <f>IF($AX791="Cancelled","",IFERROR(IF(F791="","",F791-Variables!$B$13),""))</f>
        <v>46066</v>
      </c>
      <c r="AH791" s="13" t="str">
        <f>IF($AX791="Cancelled","",IFERROR(IF(AB791="","",(AVERAGE(E791:F791)-AB791)-Variables!$B$14),""))</f>
        <v/>
      </c>
      <c r="AJ791" s="47">
        <v>46125</v>
      </c>
      <c r="AK791" s="14">
        <f>IF($AX791="Cancelled","",IFERROR(IF(AJ791="","",IF(AND(AB791="",AF791=""),"",IF(AF791&gt;AB791,AF791+Variables!$B$15+Variables!$B$16+Variables!$B$17-AJ791,AB791+Variables!$B$16+Variables!$B$17-AJ791))),""))</f>
        <v>2</v>
      </c>
      <c r="AL791" s="48" t="s">
        <v>114</v>
      </c>
      <c r="AM791" s="13" t="s">
        <v>168</v>
      </c>
      <c r="AN791" s="13" t="s">
        <v>1793</v>
      </c>
      <c r="AP791" s="31" t="e">
        <v>#N/A</v>
      </c>
      <c r="AR791" s="13" t="s">
        <v>1794</v>
      </c>
      <c r="AS791" s="31">
        <v>46136</v>
      </c>
      <c r="AU791" s="31">
        <v>46160</v>
      </c>
      <c r="AV791" s="13" t="s">
        <v>865</v>
      </c>
      <c r="AW791" s="31">
        <v>46160</v>
      </c>
      <c r="AX791" s="13" t="str">
        <f>IF(ISNUMBER(SEARCH("cancel",#REF!)),"Cancelled",IF(AND(AS791&lt;&gt;"",AU791&lt;&gt;"",AW791&lt;&gt;""),"Closed","Open"))</f>
        <v>Closed</v>
      </c>
      <c r="AY791" s="15" t="str">
        <f t="shared" si="36"/>
        <v>All dates received</v>
      </c>
      <c r="BD791" s="13">
        <f>IF($AX791="Cancelled","",IFERROR(IF(OR(AS791="",AJ791=""),"",(AJ791+Variables!$B$18-AS791)),""))</f>
        <v>4</v>
      </c>
      <c r="BE791" s="13">
        <f>IF($AX791="Cancelled","",IFERROR(IF(OR(AW791="",AS791=""),"",(AS791+Variables!$B$19)-AW791),""))</f>
        <v>-19</v>
      </c>
      <c r="BF791" s="44">
        <f>IF($AX791="Cancelled","",IFERROR(W791*INDEX(Variables!$B$7:$D$7,IFERROR(MATCH(IF($B791="Robusta","Robusta",(IF($B791="","Arabica",$B791))&amp;" - "&amp;(IF($C791="","Commercial",$C791))),Variables!$B$1:$D$1,0),1))*(BE791/365),""))</f>
        <v>-95.139623077274251</v>
      </c>
      <c r="BG791" s="44" t="str">
        <f>IF($AX791="Cancelled","",IFERROR((W791*INDEX(Variables!$B$7:$D$7,IFERROR(MATCH(IF($B791="Robusta","Robusta",(IF($B791="","Arabica",$B791))&amp;" - "&amp;(IF($C791="","Commercial",$C791))),Variables!$B$1:$D$1,0),1))*IFERROR(IF(AB791="","",(AVERAGE(E791:F791)-AB791)-Variables!$B$14),"")/365)+(L791/16.67*INDEX(Variables!$B$8:$D$8,IFERROR(MATCH(IF($B791="Robusta","Robusta",(IF($B791="","Arabica",$B791))&amp;" - "&amp;(IF($C791="","Commercial",$C791))),Variables!$B$1:$D$1,0),1))*IFERROR(IF(AB791="","",(AVERAGE(E791:F791)-AB791)-Variables!$B$14),""))+(W791*INDEX(Variables!$B$9:$D$9,IFERROR(MATCH(IF($B791="Robusta","Robusta",(IF($B791="","Arabica",$B791))&amp;" - "&amp;(IF($C791="","Commercial",$C791))),Variables!$B$1:$D$1,0),1))*IFERROR(IF(AB791="","",(AVERAGE(E791:F791)-AB791)-Variables!$B$14),"")/365),""))</f>
        <v/>
      </c>
      <c r="BH791" s="44">
        <f>IF($AX791="Cancelled","",IFERROR((W791*INDEX(Variables!$B$7:$D$7,IFERROR(MATCH(IF($B791="Robusta","Robusta",(IF($B791="","Arabica",$B791))&amp;" - "&amp;(IF($C791="","Commercial",$C791))),Variables!$B$1:$D$1,0),1))*AK791/365)+(L791/16.67*INDEX(Variables!$B$8:$D$8,IFERROR(MATCH(IF($B791="Robusta","Robusta",(IF($B791="","Arabica",$B791))&amp;" - "&amp;(IF($C791="","Commercial",$C791))),Variables!$B$1:$D$1,0),1))*AK791)+(W791*INDEX(Variables!$B$9:$D$9,IFERROR(MATCH(IF($B791="Robusta","Robusta",(IF($B791="","Arabica",$B791))&amp;" - "&amp;(IF($C791="","Commercial",$C791))),Variables!$B$1:$D$1,0),1))*AK791/365),""))</f>
        <v>14.143805939521705</v>
      </c>
      <c r="BI791" s="44">
        <f>IF($AX791="Cancelled","",IFERROR((W791*INDEX(Variables!$B$7:$D$7,IFERROR(MATCH(IF($B791="Robusta","Robusta",(IF($B791="","Arabica",$B791))&amp;" - "&amp;(IF($C791="","Commercial",$C791))),Variables!$B$1:$D$1,0),1))*BD791/365)+(L791/16.67*INDEX(Variables!$B$8:$D$8,IFERROR(MATCH(IF($B791="Robusta","Robusta",(IF($B791="","Arabica",$B791))&amp;" - "&amp;(IF($C791="","Commercial",$C791))),Variables!$B$1:$D$1,0),1))*BD791)+(W791*INDEX(Variables!$B$9:$D$9,IFERROR(MATCH(IF($B791="Robusta","Robusta",(IF($B791="","Arabica",$B791))&amp;" - "&amp;(IF($C791="","Commercial",$C791))),Variables!$B$1:$D$1,0),1))*BD791/365),""))</f>
        <v>28.287611879043411</v>
      </c>
      <c r="BJ791" s="44">
        <f t="shared" si="38"/>
        <v>-55</v>
      </c>
      <c r="BK791" s="44">
        <f>IF($AX791="Cancelled","",IFERROR(IF(BJ791="","",(W791*INDEX(Variables!$B$7:$D$7,IFERROR(MATCH(IF($B791="Robusta","Robusta",(IF($B791="","Arabica",$B791))&amp;" - "&amp;(IF($C791="","Commercial",$C791))),Variables!$B$1:$D$1,0),1))*(BJ791/365))+(W791*INDEX(Variables!$B$9:$D$9,IFERROR(MATCH(IF($B791="Robusta","Robusta",(IF($B791="","Arabica",$B791))&amp;" - "&amp;(IF($C791="","Commercial",$C791))),Variables!$B$1:$D$1,0),1))*(BJ791/365))+(INDEX(Variables!$B$8:$D$8,IFERROR(MATCH(IF($B791="Robusta","Robusta",(IF($B791="","Arabica",$B791))&amp;" - "&amp;(IF($C791="","Commercial",$C791))),Variables!$B$1:$D$1,0),1))*L791/16.67)),""))</f>
        <v>-276.95466333684692</v>
      </c>
    </row>
    <row r="792" spans="1:63">
      <c r="A792" s="13" t="s">
        <v>103</v>
      </c>
      <c r="B792" s="13" t="s">
        <v>104</v>
      </c>
      <c r="C792" s="13" t="s">
        <v>292</v>
      </c>
      <c r="D792" s="31">
        <v>46058</v>
      </c>
      <c r="E792" s="31">
        <v>46054</v>
      </c>
      <c r="F792" s="31">
        <v>46081</v>
      </c>
      <c r="G792" s="13">
        <v>3787226</v>
      </c>
      <c r="J792" s="13" t="s">
        <v>447</v>
      </c>
      <c r="K792" s="13" t="s">
        <v>2108</v>
      </c>
      <c r="L792" s="13">
        <v>40</v>
      </c>
      <c r="M792" s="13">
        <v>0</v>
      </c>
      <c r="N792" s="13" t="s">
        <v>2109</v>
      </c>
      <c r="O792" s="13" t="s">
        <v>297</v>
      </c>
      <c r="P792" s="13">
        <v>10020</v>
      </c>
      <c r="R792" s="13" t="s">
        <v>239</v>
      </c>
      <c r="S792" s="13" t="s">
        <v>154</v>
      </c>
      <c r="T792" s="13" t="s">
        <v>155</v>
      </c>
      <c r="U792" s="13" t="s">
        <v>125</v>
      </c>
      <c r="V792" s="13">
        <v>225</v>
      </c>
      <c r="W792" s="44">
        <f>IF($AX792="Cancelled","",IFERROR(((V792+INDEX(Variables!$B$6:$D$6,IFERROR(MATCH(IF($B792="Robusta","Robusta",(IF($B792="","Arabica",$B792))&amp;" - "&amp;(IF($C792="","Commercial",$C792))),Variables!$B$1:$D$1,0),1)))*22.0462)*(L792/16.67),""))</f>
        <v>27285.97470905818</v>
      </c>
      <c r="X792" s="55" t="s">
        <v>39</v>
      </c>
      <c r="Y792" s="13" t="str">
        <f>IF($AX792="Cancelled","",IF(X792="","",IFERROR(IF(INDEX(Variables!$B$38:$B$47,MATCH(X792,Variables!$A$38:$A$47,0))="Yes","Yes","No"),"No")))</f>
        <v>No</v>
      </c>
      <c r="Z792" s="31"/>
      <c r="AC792" s="13" t="str">
        <f t="shared" si="37"/>
        <v/>
      </c>
      <c r="AF792" s="71">
        <v>46105</v>
      </c>
      <c r="AG792" s="37">
        <f>IF($AX792="Cancelled","",IFERROR(IF(F792="","",F792-Variables!$B$13),""))</f>
        <v>46066</v>
      </c>
      <c r="AH792" s="13" t="str">
        <f>IF($AX792="Cancelled","",IFERROR(IF(AB792="","",(AVERAGE(E792:F792)-AB792)-Variables!$B$14),""))</f>
        <v/>
      </c>
      <c r="AJ792" s="47">
        <v>46125</v>
      </c>
      <c r="AK792" s="14">
        <f>IF($AX792="Cancelled","",IFERROR(IF(AJ792="","",IF(AND(AB792="",AF792=""),"",IF(AF792&gt;AB792,AF792+Variables!$B$15+Variables!$B$16+Variables!$B$17-AJ792,AB792+Variables!$B$16+Variables!$B$17-AJ792))),""))</f>
        <v>-5</v>
      </c>
      <c r="AL792" s="48" t="s">
        <v>114</v>
      </c>
      <c r="AM792" s="13" t="s">
        <v>168</v>
      </c>
      <c r="AN792" s="13" t="s">
        <v>1793</v>
      </c>
      <c r="AP792" s="31" t="e">
        <v>#N/A</v>
      </c>
      <c r="AR792" s="13" t="s">
        <v>1794</v>
      </c>
      <c r="AS792" s="31">
        <v>46136</v>
      </c>
      <c r="AU792" s="31">
        <v>46160</v>
      </c>
      <c r="AV792" s="13" t="s">
        <v>865</v>
      </c>
      <c r="AW792" s="31">
        <v>46160</v>
      </c>
      <c r="AX792" s="13" t="str">
        <f>IF(ISNUMBER(SEARCH("cancel",#REF!)),"Cancelled",IF(AND(AS792&lt;&gt;"",AU792&lt;&gt;"",AW792&lt;&gt;""),"Closed","Open"))</f>
        <v>Closed</v>
      </c>
      <c r="AY792" s="15" t="str">
        <f t="shared" si="36"/>
        <v>All dates received</v>
      </c>
      <c r="BD792" s="13">
        <f>IF($AX792="Cancelled","",IFERROR(IF(OR(AS792="",AJ792=""),"",(AJ792+Variables!$B$18-AS792)),""))</f>
        <v>4</v>
      </c>
      <c r="BE792" s="13">
        <f>IF($AX792="Cancelled","",IFERROR(IF(OR(AW792="",AS792=""),"",(AS792+Variables!$B$19)-AW792),""))</f>
        <v>-19</v>
      </c>
      <c r="BF792" s="44">
        <f>IF($AX792="Cancelled","",IFERROR(W792*INDEX(Variables!$B$7:$D$7,IFERROR(MATCH(IF($B792="Robusta","Robusta",(IF($B792="","Arabica",$B792))&amp;" - "&amp;(IF($C792="","Commercial",$C792))),Variables!$B$1:$D$1,0),1))*(BE792/365),""))</f>
        <v>-91.588312025490964</v>
      </c>
      <c r="BG792" s="44" t="str">
        <f>IF($AX792="Cancelled","",IFERROR((W792*INDEX(Variables!$B$7:$D$7,IFERROR(MATCH(IF($B792="Robusta","Robusta",(IF($B792="","Arabica",$B792))&amp;" - "&amp;(IF($C792="","Commercial",$C792))),Variables!$B$1:$D$1,0),1))*IFERROR(IF(AB792="","",(AVERAGE(E792:F792)-AB792)-Variables!$B$14),"")/365)+(L792/16.67*INDEX(Variables!$B$8:$D$8,IFERROR(MATCH(IF($B792="Robusta","Robusta",(IF($B792="","Arabica",$B792))&amp;" - "&amp;(IF($C792="","Commercial",$C792))),Variables!$B$1:$D$1,0),1))*IFERROR(IF(AB792="","",(AVERAGE(E792:F792)-AB792)-Variables!$B$14),""))+(W792*INDEX(Variables!$B$9:$D$9,IFERROR(MATCH(IF($B792="Robusta","Robusta",(IF($B792="","Arabica",$B792))&amp;" - "&amp;(IF($C792="","Commercial",$C792))),Variables!$B$1:$D$1,0),1))*IFERROR(IF(AB792="","",(AVERAGE(E792:F792)-AB792)-Variables!$B$14),"")/365),""))</f>
        <v/>
      </c>
      <c r="BH792" s="44">
        <f>IF($AX792="Cancelled","",IFERROR((W792*INDEX(Variables!$B$7:$D$7,IFERROR(MATCH(IF($B792="Robusta","Robusta",(IF($B792="","Arabica",$B792))&amp;" - "&amp;(IF($C792="","Commercial",$C792))),Variables!$B$1:$D$1,0),1))*AK792/365)+(L792/16.67*INDEX(Variables!$B$8:$D$8,IFERROR(MATCH(IF($B792="Robusta","Robusta",(IF($B792="","Arabica",$B792))&amp;" - "&amp;(IF($C792="","Commercial",$C792))),Variables!$B$1:$D$1,0),1))*AK792)+(W792*INDEX(Variables!$B$9:$D$9,IFERROR(MATCH(IF($B792="Robusta","Robusta",(IF($B792="","Arabica",$B792))&amp;" - "&amp;(IF($C792="","Commercial",$C792))),Variables!$B$1:$D$1,0),1))*AK792/365),""))</f>
        <v>-34.41291108438454</v>
      </c>
      <c r="BI792" s="44">
        <f>IF($AX792="Cancelled","",IFERROR((W792*INDEX(Variables!$B$7:$D$7,IFERROR(MATCH(IF($B792="Robusta","Robusta",(IF($B792="","Arabica",$B792))&amp;" - "&amp;(IF($C792="","Commercial",$C792))),Variables!$B$1:$D$1,0),1))*BD792/365)+(L792/16.67*INDEX(Variables!$B$8:$D$8,IFERROR(MATCH(IF($B792="Robusta","Robusta",(IF($B792="","Arabica",$B792))&amp;" - "&amp;(IF($C792="","Commercial",$C792))),Variables!$B$1:$D$1,0),1))*BD792)+(W792*INDEX(Variables!$B$9:$D$9,IFERROR(MATCH(IF($B792="Robusta","Robusta",(IF($B792="","Arabica",$B792))&amp;" - "&amp;(IF($C792="","Commercial",$C792))),Variables!$B$1:$D$1,0),1))*BD792/365),""))</f>
        <v>27.530328867507635</v>
      </c>
      <c r="BJ792" s="44">
        <f t="shared" si="38"/>
        <v>-55</v>
      </c>
      <c r="BK792" s="44">
        <f>IF($AX792="Cancelled","",IFERROR(IF(BJ792="","",(W792*INDEX(Variables!$B$7:$D$7,IFERROR(MATCH(IF($B792="Robusta","Robusta",(IF($B792="","Arabica",$B792))&amp;" - "&amp;(IF($C792="","Commercial",$C792))),Variables!$B$1:$D$1,0),1))*(BJ792/365))+(W792*INDEX(Variables!$B$9:$D$9,IFERROR(MATCH(IF($B792="Robusta","Robusta",(IF($B792="","Arabica",$B792))&amp;" - "&amp;(IF($C792="","Commercial",$C792))),Variables!$B$1:$D$1,0),1))*(BJ792/365))+(INDEX(Variables!$B$8:$D$8,IFERROR(MATCH(IF($B792="Robusta","Robusta",(IF($B792="","Arabica",$B792))&amp;" - "&amp;(IF($C792="","Commercial",$C792))),Variables!$B$1:$D$1,0),1))*L792/16.67)),""))</f>
        <v>-266.54202192822993</v>
      </c>
    </row>
    <row r="793" spans="1:63">
      <c r="A793" s="13" t="s">
        <v>103</v>
      </c>
      <c r="B793" s="13" t="s">
        <v>104</v>
      </c>
      <c r="C793" s="13" t="s">
        <v>292</v>
      </c>
      <c r="D793" s="31">
        <v>46058</v>
      </c>
      <c r="E793" s="31">
        <v>46054</v>
      </c>
      <c r="F793" s="31">
        <v>46081</v>
      </c>
      <c r="G793" s="13">
        <v>3787227</v>
      </c>
      <c r="J793" s="13" t="s">
        <v>447</v>
      </c>
      <c r="K793" s="13" t="s">
        <v>2110</v>
      </c>
      <c r="L793" s="13">
        <v>30</v>
      </c>
      <c r="M793" s="13">
        <v>0</v>
      </c>
      <c r="N793" s="13" t="s">
        <v>2111</v>
      </c>
      <c r="O793" s="13" t="s">
        <v>304</v>
      </c>
      <c r="P793" s="13">
        <v>10010</v>
      </c>
      <c r="R793" s="13" t="s">
        <v>239</v>
      </c>
      <c r="S793" s="13" t="s">
        <v>154</v>
      </c>
      <c r="T793" s="13" t="s">
        <v>155</v>
      </c>
      <c r="U793" s="13" t="s">
        <v>125</v>
      </c>
      <c r="V793" s="13">
        <v>225</v>
      </c>
      <c r="W793" s="44">
        <f>IF($AX793="Cancelled","",IFERROR(((V793+INDEX(Variables!$B$6:$D$6,IFERROR(MATCH(IF($B793="Robusta","Robusta",(IF($B793="","Arabica",$B793))&amp;" - "&amp;(IF($C793="","Commercial",$C793))),Variables!$B$1:$D$1,0),1)))*22.0462)*(L793/16.67),""))</f>
        <v>20464.481031793635</v>
      </c>
      <c r="X793" s="55" t="s">
        <v>39</v>
      </c>
      <c r="Y793" s="13" t="str">
        <f>IF($AX793="Cancelled","",IF(X793="","",IFERROR(IF(INDEX(Variables!$B$38:$B$47,MATCH(X793,Variables!$A$38:$A$47,0))="Yes","Yes","No"),"No")))</f>
        <v>No</v>
      </c>
      <c r="Z793" s="31"/>
      <c r="AC793" s="13" t="str">
        <f t="shared" si="37"/>
        <v/>
      </c>
      <c r="AF793" s="71">
        <v>46112</v>
      </c>
      <c r="AG793" s="37">
        <f>IF($AX793="Cancelled","",IFERROR(IF(F793="","",F793-Variables!$B$13),""))</f>
        <v>46066</v>
      </c>
      <c r="AH793" s="13" t="str">
        <f>IF($AX793="Cancelled","",IFERROR(IF(AB793="","",(AVERAGE(E793:F793)-AB793)-Variables!$B$14),""))</f>
        <v/>
      </c>
      <c r="AJ793" s="47">
        <v>46125</v>
      </c>
      <c r="AK793" s="14">
        <f>IF($AX793="Cancelled","",IFERROR(IF(AJ793="","",IF(AND(AB793="",AF793=""),"",IF(AF793&gt;AB793,AF793+Variables!$B$15+Variables!$B$16+Variables!$B$17-AJ793,AB793+Variables!$B$16+Variables!$B$17-AJ793))),""))</f>
        <v>2</v>
      </c>
      <c r="AL793" s="48" t="s">
        <v>114</v>
      </c>
      <c r="AM793" s="13" t="s">
        <v>168</v>
      </c>
      <c r="AN793" s="13" t="s">
        <v>1793</v>
      </c>
      <c r="AP793" s="31" t="e">
        <v>#N/A</v>
      </c>
      <c r="AR793" s="13" t="s">
        <v>1794</v>
      </c>
      <c r="AS793" s="31">
        <v>46136</v>
      </c>
      <c r="AU793" s="31">
        <v>46160</v>
      </c>
      <c r="AV793" s="13" t="s">
        <v>865</v>
      </c>
      <c r="AW793" s="31">
        <v>46160</v>
      </c>
      <c r="AX793" s="13" t="str">
        <f>IF(ISNUMBER(SEARCH("cancel",#REF!)),"Cancelled",IF(AND(AS793&lt;&gt;"",AU793&lt;&gt;"",AW793&lt;&gt;""),"Closed","Open"))</f>
        <v>Closed</v>
      </c>
      <c r="AY793" s="15" t="str">
        <f t="shared" si="36"/>
        <v>All dates received</v>
      </c>
      <c r="BD793" s="13">
        <f>IF($AX793="Cancelled","",IFERROR(IF(OR(AS793="",AJ793=""),"",(AJ793+Variables!$B$18-AS793)),""))</f>
        <v>4</v>
      </c>
      <c r="BE793" s="13">
        <f>IF($AX793="Cancelled","",IFERROR(IF(OR(AW793="",AS793=""),"",(AS793+Variables!$B$19)-AW793),""))</f>
        <v>-19</v>
      </c>
      <c r="BF793" s="44">
        <f>IF($AX793="Cancelled","",IFERROR(W793*INDEX(Variables!$B$7:$D$7,IFERROR(MATCH(IF($B793="Robusta","Robusta",(IF($B793="","Arabica",$B793))&amp;" - "&amp;(IF($C793="","Commercial",$C793))),Variables!$B$1:$D$1,0),1))*(BE793/365),""))</f>
        <v>-68.691234019118212</v>
      </c>
      <c r="BG793" s="44" t="str">
        <f>IF($AX793="Cancelled","",IFERROR((W793*INDEX(Variables!$B$7:$D$7,IFERROR(MATCH(IF($B793="Robusta","Robusta",(IF($B793="","Arabica",$B793))&amp;" - "&amp;(IF($C793="","Commercial",$C793))),Variables!$B$1:$D$1,0),1))*IFERROR(IF(AB793="","",(AVERAGE(E793:F793)-AB793)-Variables!$B$14),"")/365)+(L793/16.67*INDEX(Variables!$B$8:$D$8,IFERROR(MATCH(IF($B793="Robusta","Robusta",(IF($B793="","Arabica",$B793))&amp;" - "&amp;(IF($C793="","Commercial",$C793))),Variables!$B$1:$D$1,0),1))*IFERROR(IF(AB793="","",(AVERAGE(E793:F793)-AB793)-Variables!$B$14),""))+(W793*INDEX(Variables!$B$9:$D$9,IFERROR(MATCH(IF($B793="Robusta","Robusta",(IF($B793="","Arabica",$B793))&amp;" - "&amp;(IF($C793="","Commercial",$C793))),Variables!$B$1:$D$1,0),1))*IFERROR(IF(AB793="","",(AVERAGE(E793:F793)-AB793)-Variables!$B$14),"")/365),""))</f>
        <v/>
      </c>
      <c r="BH793" s="44">
        <f>IF($AX793="Cancelled","",IFERROR((W793*INDEX(Variables!$B$7:$D$7,IFERROR(MATCH(IF($B793="Robusta","Robusta",(IF($B793="","Arabica",$B793))&amp;" - "&amp;(IF($C793="","Commercial",$C793))),Variables!$B$1:$D$1,0),1))*AK793/365)+(L793/16.67*INDEX(Variables!$B$8:$D$8,IFERROR(MATCH(IF($B793="Robusta","Robusta",(IF($B793="","Arabica",$B793))&amp;" - "&amp;(IF($C793="","Commercial",$C793))),Variables!$B$1:$D$1,0),1))*AK793)+(W793*INDEX(Variables!$B$9:$D$9,IFERROR(MATCH(IF($B793="Robusta","Robusta",(IF($B793="","Arabica",$B793))&amp;" - "&amp;(IF($C793="","Commercial",$C793))),Variables!$B$1:$D$1,0),1))*AK793/365),""))</f>
        <v>10.323873325315363</v>
      </c>
      <c r="BI793" s="44">
        <f>IF($AX793="Cancelled","",IFERROR((W793*INDEX(Variables!$B$7:$D$7,IFERROR(MATCH(IF($B793="Robusta","Robusta",(IF($B793="","Arabica",$B793))&amp;" - "&amp;(IF($C793="","Commercial",$C793))),Variables!$B$1:$D$1,0),1))*BD793/365)+(L793/16.67*INDEX(Variables!$B$8:$D$8,IFERROR(MATCH(IF($B793="Robusta","Robusta",(IF($B793="","Arabica",$B793))&amp;" - "&amp;(IF($C793="","Commercial",$C793))),Variables!$B$1:$D$1,0),1))*BD793)+(W793*INDEX(Variables!$B$9:$D$9,IFERROR(MATCH(IF($B793="Robusta","Robusta",(IF($B793="","Arabica",$B793))&amp;" - "&amp;(IF($C793="","Commercial",$C793))),Variables!$B$1:$D$1,0),1))*BD793/365),""))</f>
        <v>20.647746650630726</v>
      </c>
      <c r="BJ793" s="44">
        <f t="shared" si="38"/>
        <v>-55</v>
      </c>
      <c r="BK793" s="44">
        <f>IF($AX793="Cancelled","",IFERROR(IF(BJ793="","",(W793*INDEX(Variables!$B$7:$D$7,IFERROR(MATCH(IF($B793="Robusta","Robusta",(IF($B793="","Arabica",$B793))&amp;" - "&amp;(IF($C793="","Commercial",$C793))),Variables!$B$1:$D$1,0),1))*(BJ793/365))+(W793*INDEX(Variables!$B$9:$D$9,IFERROR(MATCH(IF($B793="Robusta","Robusta",(IF($B793="","Arabica",$B793))&amp;" - "&amp;(IF($C793="","Commercial",$C793))),Variables!$B$1:$D$1,0),1))*(BJ793/365))+(INDEX(Variables!$B$8:$D$8,IFERROR(MATCH(IF($B793="Robusta","Robusta",(IF($B793="","Arabica",$B793))&amp;" - "&amp;(IF($C793="","Commercial",$C793))),Variables!$B$1:$D$1,0),1))*L793/16.67)),""))</f>
        <v>-199.90651644617245</v>
      </c>
    </row>
    <row r="794" spans="1:63">
      <c r="A794" s="13" t="s">
        <v>103</v>
      </c>
      <c r="B794" s="13" t="s">
        <v>104</v>
      </c>
      <c r="C794" s="13" t="s">
        <v>292</v>
      </c>
      <c r="D794" s="31">
        <v>46058</v>
      </c>
      <c r="E794" s="31">
        <v>46082</v>
      </c>
      <c r="F794" s="31">
        <v>46112</v>
      </c>
      <c r="G794" s="13">
        <v>3787228</v>
      </c>
      <c r="J794" s="13" t="s">
        <v>236</v>
      </c>
      <c r="K794" s="13" t="s">
        <v>2112</v>
      </c>
      <c r="L794" s="13">
        <v>20</v>
      </c>
      <c r="M794" s="13">
        <v>0</v>
      </c>
      <c r="N794" s="13" t="s">
        <v>2113</v>
      </c>
      <c r="O794" s="13" t="s">
        <v>771</v>
      </c>
      <c r="P794" s="13">
        <v>10010</v>
      </c>
      <c r="R794" s="13" t="s">
        <v>239</v>
      </c>
      <c r="S794" s="13" t="s">
        <v>180</v>
      </c>
      <c r="T794" s="13" t="s">
        <v>253</v>
      </c>
      <c r="U794" s="13" t="s">
        <v>182</v>
      </c>
      <c r="V794" s="13">
        <v>110</v>
      </c>
      <c r="W794" s="44">
        <f>IF($AX794="Cancelled","",IFERROR(((V794+INDEX(Variables!$B$6:$D$6,IFERROR(MATCH(IF($B794="Robusta","Robusta",(IF($B794="","Arabica",$B794))&amp;" - "&amp;(IF($C794="","Commercial",$C794))),Variables!$B$1:$D$1,0),1)))*22.0462)*(L794/16.67),""))</f>
        <v>10601.220107978403</v>
      </c>
      <c r="X794" s="55" t="s">
        <v>39</v>
      </c>
      <c r="Y794" s="13" t="str">
        <f>IF($AX794="Cancelled","",IF(X794="","",IFERROR(IF(INDEX(Variables!$B$38:$B$47,MATCH(X794,Variables!$A$38:$A$47,0))="Yes","Yes","No"),"No")))</f>
        <v>No</v>
      </c>
      <c r="Z794" s="31"/>
      <c r="AB794" s="31">
        <v>46067.875</v>
      </c>
      <c r="AC794" s="13" t="str">
        <f t="shared" si="37"/>
        <v>Approved</v>
      </c>
      <c r="AF794" s="71">
        <v>46077</v>
      </c>
      <c r="AG794" s="31">
        <f>IF($AX794="Cancelled","",IFERROR(IF(F794="","",F794-Variables!$B$13),""))</f>
        <v>46097</v>
      </c>
      <c r="AH794" s="13">
        <f>IF($AX794="Cancelled","",IFERROR(IF(AB794="","",(AVERAGE(E794:F794)-AB794)-Variables!$B$14),""))</f>
        <v>-0.875</v>
      </c>
      <c r="AJ794" s="47">
        <v>46094</v>
      </c>
      <c r="AK794" s="14">
        <f>IF($AX794="Cancelled","",IFERROR(IF(AJ794="","",IF(AND(AB794="",AF794=""),"",IF(AF794&gt;AB794,AF794+Variables!$B$15+Variables!$B$16+Variables!$B$17-AJ794,AB794+Variables!$B$16+Variables!$B$17-AJ794))),""))</f>
        <v>-2</v>
      </c>
      <c r="AL794" s="48" t="s">
        <v>114</v>
      </c>
      <c r="AM794" s="13" t="s">
        <v>183</v>
      </c>
      <c r="AN794" s="13" t="s">
        <v>1740</v>
      </c>
      <c r="AP794" s="31" t="e">
        <v>#N/A</v>
      </c>
      <c r="AR794" s="50">
        <v>321600001060</v>
      </c>
      <c r="AS794" s="31">
        <v>46103</v>
      </c>
      <c r="AU794" s="31">
        <v>46128</v>
      </c>
      <c r="AV794" s="13" t="s">
        <v>865</v>
      </c>
      <c r="AW794" s="31">
        <v>46128</v>
      </c>
      <c r="AX794" s="13" t="str">
        <f>IF(ISNUMBER(SEARCH("cancel",#REF!)),"Cancelled",IF(AND(AS794&lt;&gt;"",AU794&lt;&gt;"",AW794&lt;&gt;""),"Closed","Open"))</f>
        <v>Closed</v>
      </c>
      <c r="AY794" s="15" t="str">
        <f t="shared" si="36"/>
        <v>All dates received</v>
      </c>
      <c r="BD794" s="13">
        <f>IF($AX794="Cancelled","",IFERROR(IF(OR(AS794="",AJ794=""),"",(AJ794+Variables!$B$18-AS794)),""))</f>
        <v>6</v>
      </c>
      <c r="BE794" s="13">
        <f>IF($AX794="Cancelled","",IFERROR(IF(OR(AW794="",AS794=""),"",(AS794+Variables!$B$19)-AW794),""))</f>
        <v>-20</v>
      </c>
      <c r="BF794" s="44">
        <f>IF($AX794="Cancelled","",IFERROR(W794*INDEX(Variables!$B$7:$D$7,IFERROR(MATCH(IF($B794="Robusta","Robusta",(IF($B794="","Arabica",$B794))&amp;" - "&amp;(IF($C794="","Commercial",$C794))),Variables!$B$1:$D$1,0),1))*(BE794/365),""))</f>
        <v>-37.456986040914245</v>
      </c>
      <c r="BG794" s="44">
        <f>IF($AX794="Cancelled","",IFERROR((W794*INDEX(Variables!$B$7:$D$7,IFERROR(MATCH(IF($B794="Robusta","Robusta",(IF($B794="","Arabica",$B794))&amp;" - "&amp;(IF($C794="","Commercial",$C794))),Variables!$B$1:$D$1,0),1))*IFERROR(IF(AB794="","",(AVERAGE(E794:F794)-AB794)-Variables!$B$14),"")/365)+(L794/16.67*INDEX(Variables!$B$8:$D$8,IFERROR(MATCH(IF($B794="Robusta","Robusta",(IF($B794="","Arabica",$B794))&amp;" - "&amp;(IF($C794="","Commercial",$C794))),Variables!$B$1:$D$1,0),1))*IFERROR(IF(AB794="","",(AVERAGE(E794:F794)-AB794)-Variables!$B$14),""))+(W794*INDEX(Variables!$B$9:$D$9,IFERROR(MATCH(IF($B794="Robusta","Robusta",(IF($B794="","Arabica",$B794))&amp;" - "&amp;(IF($C794="","Commercial",$C794))),Variables!$B$1:$D$1,0),1))*IFERROR(IF(AB794="","",(AVERAGE(E794:F794)-AB794)-Variables!$B$14),"")/365),""))</f>
        <v>-2.5348697009099763</v>
      </c>
      <c r="BH794" s="44">
        <f>IF($AX794="Cancelled","",IFERROR((W794*INDEX(Variables!$B$7:$D$7,IFERROR(MATCH(IF($B794="Robusta","Robusta",(IF($B794="","Arabica",$B794))&amp;" - "&amp;(IF($C794="","Commercial",$C794))),Variables!$B$1:$D$1,0),1))*AK794/365)+(L794/16.67*INDEX(Variables!$B$8:$D$8,IFERROR(MATCH(IF($B794="Robusta","Robusta",(IF($B794="","Arabica",$B794))&amp;" - "&amp;(IF($C794="","Commercial",$C794))),Variables!$B$1:$D$1,0),1))*AK794)+(W794*INDEX(Variables!$B$9:$D$9,IFERROR(MATCH(IF($B794="Robusta","Robusta",(IF($B794="","Arabica",$B794))&amp;" - "&amp;(IF($C794="","Commercial",$C794))),Variables!$B$1:$D$1,0),1))*AK794/365),""))</f>
        <v>-5.7939878877942323</v>
      </c>
      <c r="BI794" s="44">
        <f>IF($AX794="Cancelled","",IFERROR((W794*INDEX(Variables!$B$7:$D$7,IFERROR(MATCH(IF($B794="Robusta","Robusta",(IF($B794="","Arabica",$B794))&amp;" - "&amp;(IF($C794="","Commercial",$C794))),Variables!$B$1:$D$1,0),1))*BD794/365)+(L794/16.67*INDEX(Variables!$B$8:$D$8,IFERROR(MATCH(IF($B794="Robusta","Robusta",(IF($B794="","Arabica",$B794))&amp;" - "&amp;(IF($C794="","Commercial",$C794))),Variables!$B$1:$D$1,0),1))*BD794)+(W794*INDEX(Variables!$B$9:$D$9,IFERROR(MATCH(IF($B794="Robusta","Robusta",(IF($B794="","Arabica",$B794))&amp;" - "&amp;(IF($C794="","Commercial",$C794))),Variables!$B$1:$D$1,0),1))*BD794/365),""))</f>
        <v>17.381963663382695</v>
      </c>
      <c r="BJ794" s="44">
        <f t="shared" si="38"/>
        <v>9</v>
      </c>
      <c r="BK794" s="44">
        <f>IF($AX794="Cancelled","",IFERROR(IF(BJ794="","",(W794*INDEX(Variables!$B$7:$D$7,IFERROR(MATCH(IF($B794="Robusta","Robusta",(IF($B794="","Arabica",$B794))&amp;" - "&amp;(IF($C794="","Commercial",$C794))),Variables!$B$1:$D$1,0),1))*(BJ794/365))+(W794*INDEX(Variables!$B$9:$D$9,IFERROR(MATCH(IF($B794="Robusta","Robusta",(IF($B794="","Arabica",$B794))&amp;" - "&amp;(IF($C794="","Commercial",$C794))),Variables!$B$1:$D$1,0),1))*(BJ794/365))+(INDEX(Variables!$B$8:$D$8,IFERROR(MATCH(IF($B794="Robusta","Robusta",(IF($B794="","Arabica",$B794))&amp;" - "&amp;(IF($C794="","Commercial",$C794))),Variables!$B$1:$D$1,0),1))*L794/16.67)),""))</f>
        <v>18.072945495074048</v>
      </c>
    </row>
    <row r="795" spans="1:63">
      <c r="A795" s="13" t="s">
        <v>103</v>
      </c>
      <c r="B795" s="13" t="s">
        <v>104</v>
      </c>
      <c r="C795" s="13" t="s">
        <v>292</v>
      </c>
      <c r="D795" s="31">
        <v>46058</v>
      </c>
      <c r="E795" s="31">
        <v>46082</v>
      </c>
      <c r="F795" s="31">
        <v>46112</v>
      </c>
      <c r="G795" s="13">
        <v>3787229</v>
      </c>
      <c r="J795" s="13" t="s">
        <v>236</v>
      </c>
      <c r="K795" s="13" t="s">
        <v>2114</v>
      </c>
      <c r="L795" s="13">
        <v>20</v>
      </c>
      <c r="M795" s="13">
        <v>0</v>
      </c>
      <c r="N795" s="13" t="s">
        <v>2115</v>
      </c>
      <c r="O795" s="13" t="s">
        <v>771</v>
      </c>
      <c r="P795" s="13">
        <v>10010</v>
      </c>
      <c r="R795" s="13" t="s">
        <v>239</v>
      </c>
      <c r="S795" s="13" t="s">
        <v>180</v>
      </c>
      <c r="T795" s="13" t="s">
        <v>253</v>
      </c>
      <c r="U795" s="13" t="s">
        <v>182</v>
      </c>
      <c r="V795" s="13">
        <v>110</v>
      </c>
      <c r="W795" s="44">
        <f>IF($AX795="Cancelled","",IFERROR(((V795+INDEX(Variables!$B$6:$D$6,IFERROR(MATCH(IF($B795="Robusta","Robusta",(IF($B795="","Arabica",$B795))&amp;" - "&amp;(IF($C795="","Commercial",$C795))),Variables!$B$1:$D$1,0),1)))*22.0462)*(L795/16.67),""))</f>
        <v>10601.220107978403</v>
      </c>
      <c r="X795" s="55" t="s">
        <v>39</v>
      </c>
      <c r="Y795" s="13" t="str">
        <f>IF($AX795="Cancelled","",IF(X795="","",IFERROR(IF(INDEX(Variables!$B$38:$B$47,MATCH(X795,Variables!$A$38:$A$47,0))="Yes","Yes","No"),"No")))</f>
        <v>No</v>
      </c>
      <c r="Z795" s="31"/>
      <c r="AB795" s="31">
        <v>46067.875</v>
      </c>
      <c r="AC795" s="13" t="str">
        <f t="shared" si="37"/>
        <v>Approved</v>
      </c>
      <c r="AF795" s="71">
        <v>46077</v>
      </c>
      <c r="AG795" s="31">
        <f>IF($AX795="Cancelled","",IFERROR(IF(F795="","",F795-Variables!$B$13),""))</f>
        <v>46097</v>
      </c>
      <c r="AH795" s="13">
        <f>IF($AX795="Cancelled","",IFERROR(IF(AB795="","",(AVERAGE(E795:F795)-AB795)-Variables!$B$14),""))</f>
        <v>-0.875</v>
      </c>
      <c r="AJ795" s="47">
        <v>46094</v>
      </c>
      <c r="AK795" s="14">
        <f>IF($AX795="Cancelled","",IFERROR(IF(AJ795="","",IF(AND(AB795="",AF795=""),"",IF(AF795&gt;AB795,AF795+Variables!$B$15+Variables!$B$16+Variables!$B$17-AJ795,AB795+Variables!$B$16+Variables!$B$17-AJ795))),""))</f>
        <v>-2</v>
      </c>
      <c r="AL795" s="48" t="s">
        <v>114</v>
      </c>
      <c r="AM795" s="13" t="s">
        <v>183</v>
      </c>
      <c r="AN795" s="13" t="s">
        <v>1740</v>
      </c>
      <c r="AP795" s="31" t="e">
        <v>#N/A</v>
      </c>
      <c r="AR795" s="50">
        <v>321600001060</v>
      </c>
      <c r="AS795" s="31">
        <v>46103</v>
      </c>
      <c r="AU795" s="31">
        <v>46128</v>
      </c>
      <c r="AV795" s="13" t="s">
        <v>865</v>
      </c>
      <c r="AW795" s="31">
        <v>46128</v>
      </c>
      <c r="AX795" s="13" t="str">
        <f>IF(ISNUMBER(SEARCH("cancel",#REF!)),"Cancelled",IF(AND(AS795&lt;&gt;"",AU795&lt;&gt;"",AW795&lt;&gt;""),"Closed","Open"))</f>
        <v>Closed</v>
      </c>
      <c r="AY795" s="15" t="str">
        <f t="shared" si="36"/>
        <v>All dates received</v>
      </c>
      <c r="BD795" s="13">
        <f>IF($AX795="Cancelled","",IFERROR(IF(OR(AS795="",AJ795=""),"",(AJ795+Variables!$B$18-AS795)),""))</f>
        <v>6</v>
      </c>
      <c r="BE795" s="13">
        <f>IF($AX795="Cancelled","",IFERROR(IF(OR(AW795="",AS795=""),"",(AS795+Variables!$B$19)-AW795),""))</f>
        <v>-20</v>
      </c>
      <c r="BF795" s="44">
        <f>IF($AX795="Cancelled","",IFERROR(W795*INDEX(Variables!$B$7:$D$7,IFERROR(MATCH(IF($B795="Robusta","Robusta",(IF($B795="","Arabica",$B795))&amp;" - "&amp;(IF($C795="","Commercial",$C795))),Variables!$B$1:$D$1,0),1))*(BE795/365),""))</f>
        <v>-37.456986040914245</v>
      </c>
      <c r="BG795" s="44">
        <f>IF($AX795="Cancelled","",IFERROR((W795*INDEX(Variables!$B$7:$D$7,IFERROR(MATCH(IF($B795="Robusta","Robusta",(IF($B795="","Arabica",$B795))&amp;" - "&amp;(IF($C795="","Commercial",$C795))),Variables!$B$1:$D$1,0),1))*IFERROR(IF(AB795="","",(AVERAGE(E795:F795)-AB795)-Variables!$B$14),"")/365)+(L795/16.67*INDEX(Variables!$B$8:$D$8,IFERROR(MATCH(IF($B795="Robusta","Robusta",(IF($B795="","Arabica",$B795))&amp;" - "&amp;(IF($C795="","Commercial",$C795))),Variables!$B$1:$D$1,0),1))*IFERROR(IF(AB795="","",(AVERAGE(E795:F795)-AB795)-Variables!$B$14),""))+(W795*INDEX(Variables!$B$9:$D$9,IFERROR(MATCH(IF($B795="Robusta","Robusta",(IF($B795="","Arabica",$B795))&amp;" - "&amp;(IF($C795="","Commercial",$C795))),Variables!$B$1:$D$1,0),1))*IFERROR(IF(AB795="","",(AVERAGE(E795:F795)-AB795)-Variables!$B$14),"")/365),""))</f>
        <v>-2.5348697009099763</v>
      </c>
      <c r="BH795" s="44">
        <f>IF($AX795="Cancelled","",IFERROR((W795*INDEX(Variables!$B$7:$D$7,IFERROR(MATCH(IF($B795="Robusta","Robusta",(IF($B795="","Arabica",$B795))&amp;" - "&amp;(IF($C795="","Commercial",$C795))),Variables!$B$1:$D$1,0),1))*AK795/365)+(L795/16.67*INDEX(Variables!$B$8:$D$8,IFERROR(MATCH(IF($B795="Robusta","Robusta",(IF($B795="","Arabica",$B795))&amp;" - "&amp;(IF($C795="","Commercial",$C795))),Variables!$B$1:$D$1,0),1))*AK795)+(W795*INDEX(Variables!$B$9:$D$9,IFERROR(MATCH(IF($B795="Robusta","Robusta",(IF($B795="","Arabica",$B795))&amp;" - "&amp;(IF($C795="","Commercial",$C795))),Variables!$B$1:$D$1,0),1))*AK795/365),""))</f>
        <v>-5.7939878877942323</v>
      </c>
      <c r="BI795" s="44">
        <f>IF($AX795="Cancelled","",IFERROR((W795*INDEX(Variables!$B$7:$D$7,IFERROR(MATCH(IF($B795="Robusta","Robusta",(IF($B795="","Arabica",$B795))&amp;" - "&amp;(IF($C795="","Commercial",$C795))),Variables!$B$1:$D$1,0),1))*BD795/365)+(L795/16.67*INDEX(Variables!$B$8:$D$8,IFERROR(MATCH(IF($B795="Robusta","Robusta",(IF($B795="","Arabica",$B795))&amp;" - "&amp;(IF($C795="","Commercial",$C795))),Variables!$B$1:$D$1,0),1))*BD795)+(W795*INDEX(Variables!$B$9:$D$9,IFERROR(MATCH(IF($B795="Robusta","Robusta",(IF($B795="","Arabica",$B795))&amp;" - "&amp;(IF($C795="","Commercial",$C795))),Variables!$B$1:$D$1,0),1))*BD795/365),""))</f>
        <v>17.381963663382695</v>
      </c>
      <c r="BJ795" s="44">
        <f t="shared" si="38"/>
        <v>9</v>
      </c>
      <c r="BK795" s="44">
        <f>IF($AX795="Cancelled","",IFERROR(IF(BJ795="","",(W795*INDEX(Variables!$B$7:$D$7,IFERROR(MATCH(IF($B795="Robusta","Robusta",(IF($B795="","Arabica",$B795))&amp;" - "&amp;(IF($C795="","Commercial",$C795))),Variables!$B$1:$D$1,0),1))*(BJ795/365))+(W795*INDEX(Variables!$B$9:$D$9,IFERROR(MATCH(IF($B795="Robusta","Robusta",(IF($B795="","Arabica",$B795))&amp;" - "&amp;(IF($C795="","Commercial",$C795))),Variables!$B$1:$D$1,0),1))*(BJ795/365))+(INDEX(Variables!$B$8:$D$8,IFERROR(MATCH(IF($B795="Robusta","Robusta",(IF($B795="","Arabica",$B795))&amp;" - "&amp;(IF($C795="","Commercial",$C795))),Variables!$B$1:$D$1,0),1))*L795/16.67)),""))</f>
        <v>18.072945495074048</v>
      </c>
    </row>
    <row r="796" spans="1:63">
      <c r="A796" s="13" t="s">
        <v>103</v>
      </c>
      <c r="B796" s="13" t="s">
        <v>104</v>
      </c>
      <c r="C796" s="13" t="s">
        <v>292</v>
      </c>
      <c r="D796" s="31">
        <v>46058</v>
      </c>
      <c r="E796" s="31">
        <v>46082</v>
      </c>
      <c r="F796" s="31">
        <v>46112</v>
      </c>
      <c r="G796" s="13">
        <v>3787230</v>
      </c>
      <c r="J796" s="13" t="s">
        <v>236</v>
      </c>
      <c r="K796" s="13" t="s">
        <v>2116</v>
      </c>
      <c r="L796" s="13">
        <v>20</v>
      </c>
      <c r="M796" s="13">
        <v>0</v>
      </c>
      <c r="N796" s="13" t="s">
        <v>2117</v>
      </c>
      <c r="O796" s="13" t="s">
        <v>1391</v>
      </c>
      <c r="P796" s="13">
        <v>10020</v>
      </c>
      <c r="R796" s="13" t="s">
        <v>239</v>
      </c>
      <c r="S796" s="13" t="s">
        <v>180</v>
      </c>
      <c r="T796" s="13" t="s">
        <v>253</v>
      </c>
      <c r="U796" s="13" t="s">
        <v>182</v>
      </c>
      <c r="V796" s="13">
        <v>90</v>
      </c>
      <c r="W796" s="44">
        <f>IF($AX796="Cancelled","",IFERROR(((V796+INDEX(Variables!$B$6:$D$6,IFERROR(MATCH(IF($B796="Robusta","Robusta",(IF($B796="","Arabica",$B796))&amp;" - "&amp;(IF($C796="","Commercial",$C796))),Variables!$B$1:$D$1,0),1)))*22.0462)*(L796/16.67),""))</f>
        <v>10072.217108578283</v>
      </c>
      <c r="X796" s="55" t="s">
        <v>39</v>
      </c>
      <c r="Y796" s="13" t="str">
        <f>IF($AX796="Cancelled","",IF(X796="","",IFERROR(IF(INDEX(Variables!$B$38:$B$47,MATCH(X796,Variables!$A$38:$A$47,0))="Yes","Yes","No"),"No")))</f>
        <v>No</v>
      </c>
      <c r="Z796" s="31"/>
      <c r="AB796" s="31">
        <v>46067.875</v>
      </c>
      <c r="AC796" s="13" t="str">
        <f t="shared" si="37"/>
        <v>Approved</v>
      </c>
      <c r="AF796" s="71">
        <v>46091</v>
      </c>
      <c r="AG796" s="31">
        <f>IF($AX796="Cancelled","",IFERROR(IF(F796="","",F796-Variables!$B$13),""))</f>
        <v>46097</v>
      </c>
      <c r="AH796" s="13">
        <f>IF($AX796="Cancelled","",IFERROR(IF(AB796="","",(AVERAGE(E796:F796)-AB796)-Variables!$B$14),""))</f>
        <v>-0.875</v>
      </c>
      <c r="AJ796" s="47">
        <v>46094</v>
      </c>
      <c r="AK796" s="14">
        <f>IF($AX796="Cancelled","",IFERROR(IF(AJ796="","",IF(AND(AB796="",AF796=""),"",IF(AF796&gt;AB796,AF796+Variables!$B$15+Variables!$B$16+Variables!$B$17-AJ796,AB796+Variables!$B$16+Variables!$B$17-AJ796))),""))</f>
        <v>12</v>
      </c>
      <c r="AL796" s="48" t="s">
        <v>114</v>
      </c>
      <c r="AM796" s="13" t="s">
        <v>183</v>
      </c>
      <c r="AN796" s="13" t="s">
        <v>1740</v>
      </c>
      <c r="AP796" s="31" t="e">
        <v>#N/A</v>
      </c>
      <c r="AR796" s="50">
        <v>321600001060</v>
      </c>
      <c r="AS796" s="31">
        <v>46103</v>
      </c>
      <c r="AU796" s="31">
        <v>46128</v>
      </c>
      <c r="AV796" s="13" t="s">
        <v>865</v>
      </c>
      <c r="AW796" s="31">
        <v>46128</v>
      </c>
      <c r="AX796" s="13" t="str">
        <f>IF(ISNUMBER(SEARCH("cancel",#REF!)),"Cancelled",IF(AND(AS796&lt;&gt;"",AU796&lt;&gt;"",AW796&lt;&gt;""),"Closed","Open"))</f>
        <v>Closed</v>
      </c>
      <c r="AY796" s="15" t="str">
        <f t="shared" si="36"/>
        <v>All dates received</v>
      </c>
      <c r="BD796" s="13">
        <f>IF($AX796="Cancelled","",IFERROR(IF(OR(AS796="",AJ796=""),"",(AJ796+Variables!$B$18-AS796)),""))</f>
        <v>6</v>
      </c>
      <c r="BE796" s="13">
        <f>IF($AX796="Cancelled","",IFERROR(IF(OR(AW796="",AS796=""),"",(AS796+Variables!$B$19)-AW796),""))</f>
        <v>-20</v>
      </c>
      <c r="BF796" s="44">
        <f>IF($AX796="Cancelled","",IFERROR(W796*INDEX(Variables!$B$7:$D$7,IFERROR(MATCH(IF($B796="Robusta","Robusta",(IF($B796="","Arabica",$B796))&amp;" - "&amp;(IF($C796="","Commercial",$C796))),Variables!$B$1:$D$1,0),1))*(BE796/365),""))</f>
        <v>-35.587874961028305</v>
      </c>
      <c r="BG796" s="44">
        <f>IF($AX796="Cancelled","",IFERROR((W796*INDEX(Variables!$B$7:$D$7,IFERROR(MATCH(IF($B796="Robusta","Robusta",(IF($B796="","Arabica",$B796))&amp;" - "&amp;(IF($C796="","Commercial",$C796))),Variables!$B$1:$D$1,0),1))*IFERROR(IF(AB796="","",(AVERAGE(E796:F796)-AB796)-Variables!$B$14),"")/365)+(L796/16.67*INDEX(Variables!$B$8:$D$8,IFERROR(MATCH(IF($B796="Robusta","Robusta",(IF($B796="","Arabica",$B796))&amp;" - "&amp;(IF($C796="","Commercial",$C796))),Variables!$B$1:$D$1,0),1))*IFERROR(IF(AB796="","",(AVERAGE(E796:F796)-AB796)-Variables!$B$14),""))+(W796*INDEX(Variables!$B$9:$D$9,IFERROR(MATCH(IF($B796="Robusta","Robusta",(IF($B796="","Arabica",$B796))&amp;" - "&amp;(IF($C796="","Commercial",$C796))),Variables!$B$1:$D$1,0),1))*IFERROR(IF(AB796="","",(AVERAGE(E796:F796)-AB796)-Variables!$B$14),"")/365),""))</f>
        <v>-2.4520418715232513</v>
      </c>
      <c r="BH796" s="44">
        <f>IF($AX796="Cancelled","",IFERROR((W796*INDEX(Variables!$B$7:$D$7,IFERROR(MATCH(IF($B796="Robusta","Robusta",(IF($B796="","Arabica",$B796))&amp;" - "&amp;(IF($C796="","Commercial",$C796))),Variables!$B$1:$D$1,0),1))*AK796/365)+(L796/16.67*INDEX(Variables!$B$8:$D$8,IFERROR(MATCH(IF($B796="Robusta","Robusta",(IF($B796="","Arabica",$B796))&amp;" - "&amp;(IF($C796="","Commercial",$C796))),Variables!$B$1:$D$1,0),1))*AK796)+(W796*INDEX(Variables!$B$9:$D$9,IFERROR(MATCH(IF($B796="Robusta","Robusta",(IF($B796="","Arabica",$B796))&amp;" - "&amp;(IF($C796="","Commercial",$C796))),Variables!$B$1:$D$1,0),1))*AK796/365),""))</f>
        <v>33.628002809461734</v>
      </c>
      <c r="BI796" s="44">
        <f>IF($AX796="Cancelled","",IFERROR((W796*INDEX(Variables!$B$7:$D$7,IFERROR(MATCH(IF($B796="Robusta","Robusta",(IF($B796="","Arabica",$B796))&amp;" - "&amp;(IF($C796="","Commercial",$C796))),Variables!$B$1:$D$1,0),1))*BD796/365)+(L796/16.67*INDEX(Variables!$B$8:$D$8,IFERROR(MATCH(IF($B796="Robusta","Robusta",(IF($B796="","Arabica",$B796))&amp;" - "&amp;(IF($C796="","Commercial",$C796))),Variables!$B$1:$D$1,0),1))*BD796)+(W796*INDEX(Variables!$B$9:$D$9,IFERROR(MATCH(IF($B796="Robusta","Robusta",(IF($B796="","Arabica",$B796))&amp;" - "&amp;(IF($C796="","Commercial",$C796))),Variables!$B$1:$D$1,0),1))*BD796/365),""))</f>
        <v>16.814001404730867</v>
      </c>
      <c r="BJ796" s="44">
        <f t="shared" si="38"/>
        <v>9</v>
      </c>
      <c r="BK796" s="44">
        <f>IF($AX796="Cancelled","",IFERROR(IF(BJ796="","",(W796*INDEX(Variables!$B$7:$D$7,IFERROR(MATCH(IF($B796="Robusta","Robusta",(IF($B796="","Arabica",$B796))&amp;" - "&amp;(IF($C796="","Commercial",$C796))),Variables!$B$1:$D$1,0),1))*(BJ796/365))+(W796*INDEX(Variables!$B$9:$D$9,IFERROR(MATCH(IF($B796="Robusta","Robusta",(IF($B796="","Arabica",$B796))&amp;" - "&amp;(IF($C796="","Commercial",$C796))),Variables!$B$1:$D$1,0),1))*(BJ796/365))+(INDEX(Variables!$B$8:$D$8,IFERROR(MATCH(IF($B796="Robusta","Robusta",(IF($B796="","Arabica",$B796))&amp;" - "&amp;(IF($C796="","Commercial",$C796))),Variables!$B$1:$D$1,0),1))*L796/16.67)),""))</f>
        <v>17.2210021070963</v>
      </c>
    </row>
    <row r="797" spans="1:63">
      <c r="A797" s="13" t="s">
        <v>103</v>
      </c>
      <c r="B797" s="13" t="s">
        <v>104</v>
      </c>
      <c r="C797" s="13" t="s">
        <v>105</v>
      </c>
      <c r="D797" s="31">
        <v>46059</v>
      </c>
      <c r="E797" s="31">
        <v>46235</v>
      </c>
      <c r="F797" s="31">
        <v>46265</v>
      </c>
      <c r="G797" s="13">
        <v>3787231</v>
      </c>
      <c r="J797" s="13" t="s">
        <v>415</v>
      </c>
      <c r="K797" s="13">
        <v>5598</v>
      </c>
      <c r="L797" s="13">
        <v>333</v>
      </c>
      <c r="M797" s="13">
        <v>1</v>
      </c>
      <c r="N797" s="13" t="s">
        <v>2118</v>
      </c>
      <c r="O797" s="13" t="s">
        <v>1172</v>
      </c>
      <c r="P797" s="13">
        <v>10260</v>
      </c>
      <c r="R797" s="13" t="s">
        <v>271</v>
      </c>
      <c r="S797" s="13" t="s">
        <v>1291</v>
      </c>
      <c r="T797" s="13" t="s">
        <v>373</v>
      </c>
      <c r="U797" s="13" t="s">
        <v>125</v>
      </c>
      <c r="V797" s="23">
        <v>-82</v>
      </c>
      <c r="W797" s="44">
        <f>IF($AX797="Cancelled","",IFERROR(((V797+INDEX(Variables!$B$6:$D$6,IFERROR(MATCH(IF($B797="Robusta","Robusta",(IF($B797="","Arabica",$B797))&amp;" - "&amp;(IF($C797="","Commercial",$C797))),Variables!$B$1:$D$1,0),1)))*22.0462)*(L797/16.67),""))</f>
        <v>91954.475373725232</v>
      </c>
      <c r="X797" s="55" t="s">
        <v>37</v>
      </c>
      <c r="Y797" s="13" t="str">
        <f>IF($AX797="Cancelled","",IF(X797="","",IFERROR(IF(INDEX(Variables!$B$38:$B$47,MATCH(X797,Variables!$A$38:$A$47,0))="Yes","Yes","No"),"No")))</f>
        <v>Yes</v>
      </c>
      <c r="Z797" s="58">
        <v>46212</v>
      </c>
      <c r="AB797" s="31">
        <v>46219</v>
      </c>
      <c r="AC797" s="13" t="str">
        <f t="shared" si="37"/>
        <v>Approved</v>
      </c>
      <c r="AF797" s="71">
        <v>46232</v>
      </c>
      <c r="AG797" s="37">
        <f>IF($AX797="Cancelled","",IFERROR(IF(F797="","",F797-Variables!$B$13),""))</f>
        <v>46250</v>
      </c>
      <c r="AH797" s="13">
        <f>IF($AX797="Cancelled","",IFERROR(IF(AB797="","",(AVERAGE(E797:F797)-AB797)-Variables!$B$14),""))</f>
        <v>1</v>
      </c>
      <c r="AJ797" s="47">
        <v>46239</v>
      </c>
      <c r="AK797" s="14">
        <f>IF($AX797="Cancelled","",IFERROR(IF(AJ797="","",IF(AND(AB797="",AF797=""),"",IF(AF797&gt;AB797,AF797+Variables!$B$15+Variables!$B$16+Variables!$B$17-AJ797,AB797+Variables!$B$16+Variables!$B$17-AJ797))),""))</f>
        <v>8</v>
      </c>
      <c r="AL797" s="48" t="s">
        <v>114</v>
      </c>
      <c r="AM797" s="13" t="s">
        <v>1526</v>
      </c>
      <c r="AN797" s="13" t="s">
        <v>2119</v>
      </c>
      <c r="AP797" s="31">
        <v>46256</v>
      </c>
      <c r="AR797" s="13" t="s">
        <v>2120</v>
      </c>
      <c r="AS797" s="31">
        <v>46256</v>
      </c>
      <c r="AU797" s="39">
        <v>46287</v>
      </c>
      <c r="AV797" s="13" t="s">
        <v>865</v>
      </c>
      <c r="AW797" s="39">
        <v>46287</v>
      </c>
      <c r="AX797" s="13" t="str">
        <f>IF(ISNUMBER(SEARCH("cancel",#REF!)),"Cancelled",IF(AND(AS797&lt;&gt;"",AU797&lt;&gt;"",AW797&lt;&gt;""),"Closed","Open"))</f>
        <v>Closed</v>
      </c>
      <c r="AY797" s="15" t="str">
        <f t="shared" si="36"/>
        <v>All dates received</v>
      </c>
      <c r="BD797" s="13">
        <f>IF($AX797="Cancelled","",IFERROR(IF(OR(AS797="",AJ797=""),"",(AJ797+Variables!$B$18-AS797)),""))</f>
        <v>-2</v>
      </c>
      <c r="BE797" s="13">
        <f>IF($AX797="Cancelled","",IFERROR(IF(OR(AW797="",AS797=""),"",(AS797+Variables!$B$19)-AW797),""))</f>
        <v>-26</v>
      </c>
      <c r="BF797" s="44">
        <f>IF($AX797="Cancelled","",IFERROR(W797*INDEX(Variables!$B$7:$D$7,IFERROR(MATCH(IF($B797="Robusta","Robusta",(IF($B797="","Arabica",$B797))&amp;" - "&amp;(IF($C797="","Commercial",$C797))),Variables!$B$1:$D$1,0),1))*(BE797/365),""))</f>
        <v>-422.37013334392952</v>
      </c>
      <c r="BG797" s="44">
        <f>IF($AX797="Cancelled","",IFERROR((W797*INDEX(Variables!$B$7:$D$7,IFERROR(MATCH(IF($B797="Robusta","Robusta",(IF($B797="","Arabica",$B797))&amp;" - "&amp;(IF($C797="","Commercial",$C797))),Variables!$B$1:$D$1,0),1))*IFERROR(IF(AB797="","",(AVERAGE(E797:F797)-AB797)-Variables!$B$14),"")/365)+(L797/16.67*INDEX(Variables!$B$8:$D$8,IFERROR(MATCH(IF($B797="Robusta","Robusta",(IF($B797="","Arabica",$B797))&amp;" - "&amp;(IF($C797="","Commercial",$C797))),Variables!$B$1:$D$1,0),1))*IFERROR(IF(AB797="","",(AVERAGE(E797:F797)-AB797)-Variables!$B$14),""))+(W797*INDEX(Variables!$B$9:$D$9,IFERROR(MATCH(IF($B797="Robusta","Robusta",(IF($B797="","Arabica",$B797))&amp;" - "&amp;(IF($C797="","Commercial",$C797))),Variables!$B$1:$D$1,0),1))*IFERROR(IF(AB797="","",(AVERAGE(E797:F797)-AB797)-Variables!$B$14),"")/365),""))</f>
        <v>33.104434595402211</v>
      </c>
      <c r="BH797" s="44">
        <f>IF($AX797="Cancelled","",IFERROR((W797*INDEX(Variables!$B$7:$D$7,IFERROR(MATCH(IF($B797="Robusta","Robusta",(IF($B797="","Arabica",$B797))&amp;" - "&amp;(IF($C797="","Commercial",$C797))),Variables!$B$1:$D$1,0),1))*AK797/365)+(L797/16.67*INDEX(Variables!$B$8:$D$8,IFERROR(MATCH(IF($B797="Robusta","Robusta",(IF($B797="","Arabica",$B797))&amp;" - "&amp;(IF($C797="","Commercial",$C797))),Variables!$B$1:$D$1,0),1))*AK797)+(W797*INDEX(Variables!$B$9:$D$9,IFERROR(MATCH(IF($B797="Robusta","Robusta",(IF($B797="","Arabica",$B797))&amp;" - "&amp;(IF($C797="","Commercial",$C797))),Variables!$B$1:$D$1,0),1))*AK797/365),""))</f>
        <v>264.83547676321768</v>
      </c>
      <c r="BI797" s="44">
        <f>IF($AX797="Cancelled","",IFERROR((W797*INDEX(Variables!$B$7:$D$7,IFERROR(MATCH(IF($B797="Robusta","Robusta",(IF($B797="","Arabica",$B797))&amp;" - "&amp;(IF($C797="","Commercial",$C797))),Variables!$B$1:$D$1,0),1))*BD797/365)+(L797/16.67*INDEX(Variables!$B$8:$D$8,IFERROR(MATCH(IF($B797="Robusta","Robusta",(IF($B797="","Arabica",$B797))&amp;" - "&amp;(IF($C797="","Commercial",$C797))),Variables!$B$1:$D$1,0),1))*BD797)+(W797*INDEX(Variables!$B$9:$D$9,IFERROR(MATCH(IF($B797="Robusta","Robusta",(IF($B797="","Arabica",$B797))&amp;" - "&amp;(IF($C797="","Commercial",$C797))),Variables!$B$1:$D$1,0),1))*BD797/365),""))</f>
        <v>-66.208869190804421</v>
      </c>
      <c r="BJ797" s="44">
        <f t="shared" si="38"/>
        <v>9</v>
      </c>
      <c r="BK797" s="44">
        <f>IF($AX797="Cancelled","",IFERROR(IF(BJ797="","",(W797*INDEX(Variables!$B$7:$D$7,IFERROR(MATCH(IF($B797="Robusta","Robusta",(IF($B797="","Arabica",$B797))&amp;" - "&amp;(IF($C797="","Commercial",$C797))),Variables!$B$1:$D$1,0),1))*(BJ797/365))+(W797*INDEX(Variables!$B$9:$D$9,IFERROR(MATCH(IF($B797="Robusta","Robusta",(IF($B797="","Arabica",$B797))&amp;" - "&amp;(IF($C797="","Commercial",$C797))),Variables!$B$1:$D$1,0),1))*(BJ797/365))+(INDEX(Variables!$B$8:$D$8,IFERROR(MATCH(IF($B797="Robusta","Robusta",(IF($B797="","Arabica",$B797))&amp;" - "&amp;(IF($C797="","Commercial",$C797))),Variables!$B$1:$D$1,0),1))*L797/16.67)),""))</f>
        <v>164.73991135861982</v>
      </c>
    </row>
    <row r="798" spans="1:63">
      <c r="A798" s="13" t="s">
        <v>103</v>
      </c>
      <c r="B798" s="13" t="s">
        <v>104</v>
      </c>
      <c r="C798" s="13" t="s">
        <v>105</v>
      </c>
      <c r="D798" s="31">
        <v>46059</v>
      </c>
      <c r="E798" s="31">
        <v>46296</v>
      </c>
      <c r="F798" s="31">
        <v>46326</v>
      </c>
      <c r="G798" s="13">
        <v>3787232</v>
      </c>
      <c r="J798" s="13" t="s">
        <v>415</v>
      </c>
      <c r="K798" s="13">
        <v>5652</v>
      </c>
      <c r="L798" s="13">
        <v>333</v>
      </c>
      <c r="M798" s="13">
        <v>1</v>
      </c>
      <c r="N798" s="13" t="s">
        <v>2118</v>
      </c>
      <c r="O798" s="13" t="s">
        <v>1172</v>
      </c>
      <c r="P798" s="13">
        <v>10260</v>
      </c>
      <c r="R798" s="13" t="s">
        <v>271</v>
      </c>
      <c r="S798" s="13" t="s">
        <v>1291</v>
      </c>
      <c r="T798" s="13" t="s">
        <v>373</v>
      </c>
      <c r="U798" s="13" t="s">
        <v>125</v>
      </c>
      <c r="V798" s="23">
        <v>-82</v>
      </c>
      <c r="W798" s="44">
        <f>IF($AX798="Cancelled","",IFERROR(((V798+INDEX(Variables!$B$6:$D$6,IFERROR(MATCH(IF($B798="Robusta","Robusta",(IF($B798="","Arabica",$B798))&amp;" - "&amp;(IF($C798="","Commercial",$C798))),Variables!$B$1:$D$1,0),1)))*22.0462)*(L798/16.67),""))</f>
        <v>91954.475373725232</v>
      </c>
      <c r="X798" s="55" t="s">
        <v>37</v>
      </c>
      <c r="Y798" s="13" t="str">
        <f>IF($AX798="Cancelled","",IF(X798="","",IFERROR(IF(INDEX(Variables!$B$38:$B$47,MATCH(X798,Variables!$A$38:$A$47,0))="Yes","Yes","No"),"No")))</f>
        <v>Yes</v>
      </c>
      <c r="Z798" s="58">
        <v>46266</v>
      </c>
      <c r="AB798" s="31">
        <v>46279</v>
      </c>
      <c r="AC798" s="13" t="str">
        <f t="shared" si="37"/>
        <v>Approved</v>
      </c>
      <c r="AD798" s="31">
        <v>46273</v>
      </c>
      <c r="AF798" s="71">
        <v>46287</v>
      </c>
      <c r="AG798" s="37">
        <f>IF($AX798="Cancelled","",IFERROR(IF(F798="","",F798-Variables!$B$13),""))</f>
        <v>46311</v>
      </c>
      <c r="AH798" s="13">
        <f>IF($AX798="Cancelled","",IFERROR(IF(AB798="","",(AVERAGE(E798:F798)-AB798)-Variables!$B$14),""))</f>
        <v>2</v>
      </c>
      <c r="AJ798" s="47">
        <v>46288</v>
      </c>
      <c r="AK798" s="14">
        <f>IF($AX798="Cancelled","",IFERROR(IF(AJ798="","",IF(AND(AB798="",AF798=""),"",IF(AF798&gt;AB798,AF798+Variables!$B$15+Variables!$B$16+Variables!$B$17-AJ798,AB798+Variables!$B$16+Variables!$B$17-AJ798))),""))</f>
        <v>14</v>
      </c>
      <c r="AL798" s="48" t="s">
        <v>114</v>
      </c>
      <c r="AM798" s="13" t="s">
        <v>1526</v>
      </c>
      <c r="AN798" s="13" t="s">
        <v>3284</v>
      </c>
      <c r="AP798" s="31">
        <v>46300</v>
      </c>
      <c r="AR798" s="13" t="s">
        <v>3274</v>
      </c>
      <c r="AS798" s="31">
        <v>46300</v>
      </c>
      <c r="AU798" s="31">
        <v>46304</v>
      </c>
      <c r="AV798" s="13" t="s">
        <v>865</v>
      </c>
      <c r="AW798" s="31">
        <v>46304</v>
      </c>
      <c r="AX798" s="13" t="str">
        <f>IF(ISNUMBER(SEARCH("cancel",#REF!)),"Cancelled",IF(AND(AS798&lt;&gt;"",AU798&lt;&gt;"",AW798&lt;&gt;""),"Closed","Open"))</f>
        <v>Closed</v>
      </c>
      <c r="AY798" s="15" t="str">
        <f t="shared" si="36"/>
        <v>All dates received</v>
      </c>
      <c r="BD798" s="13">
        <f>IF($AX798="Cancelled","",IFERROR(IF(OR(AS798="",AJ798=""),"",(AJ798+Variables!$B$18-AS798)),""))</f>
        <v>3</v>
      </c>
      <c r="BE798" s="13">
        <f>IF($AX798="Cancelled","",IFERROR(IF(OR(AW798="",AS798=""),"",(AS798+Variables!$B$19)-AW798),""))</f>
        <v>1</v>
      </c>
      <c r="BF798" s="44">
        <f>IF($AX798="Cancelled","",IFERROR(W798*INDEX(Variables!$B$7:$D$7,IFERROR(MATCH(IF($B798="Robusta","Robusta",(IF($B798="","Arabica",$B798))&amp;" - "&amp;(IF($C798="","Commercial",$C798))),Variables!$B$1:$D$1,0),1))*(BE798/365),""))</f>
        <v>16.245005128612675</v>
      </c>
      <c r="BG798" s="44">
        <f>IF($AX798="Cancelled","",IFERROR((W798*INDEX(Variables!$B$7:$D$7,IFERROR(MATCH(IF($B798="Robusta","Robusta",(IF($B798="","Arabica",$B798))&amp;" - "&amp;(IF($C798="","Commercial",$C798))),Variables!$B$1:$D$1,0),1))*IFERROR(IF(AB798="","",(AVERAGE(E798:F798)-AB798)-Variables!$B$14),"")/365)+(L798/16.67*INDEX(Variables!$B$8:$D$8,IFERROR(MATCH(IF($B798="Robusta","Robusta",(IF($B798="","Arabica",$B798))&amp;" - "&amp;(IF($C798="","Commercial",$C798))),Variables!$B$1:$D$1,0),1))*IFERROR(IF(AB798="","",(AVERAGE(E798:F798)-AB798)-Variables!$B$14),""))+(W798*INDEX(Variables!$B$9:$D$9,IFERROR(MATCH(IF($B798="Robusta","Robusta",(IF($B798="","Arabica",$B798))&amp;" - "&amp;(IF($C798="","Commercial",$C798))),Variables!$B$1:$D$1,0),1))*IFERROR(IF(AB798="","",(AVERAGE(E798:F798)-AB798)-Variables!$B$14),"")/365),""))</f>
        <v>66.208869190804421</v>
      </c>
      <c r="BH798" s="44">
        <f>IF($AX798="Cancelled","",IFERROR((W798*INDEX(Variables!$B$7:$D$7,IFERROR(MATCH(IF($B798="Robusta","Robusta",(IF($B798="","Arabica",$B798))&amp;" - "&amp;(IF($C798="","Commercial",$C798))),Variables!$B$1:$D$1,0),1))*AK798/365)+(L798/16.67*INDEX(Variables!$B$8:$D$8,IFERROR(MATCH(IF($B798="Robusta","Robusta",(IF($B798="","Arabica",$B798))&amp;" - "&amp;(IF($C798="","Commercial",$C798))),Variables!$B$1:$D$1,0),1))*AK798)+(W798*INDEX(Variables!$B$9:$D$9,IFERROR(MATCH(IF($B798="Robusta","Robusta",(IF($B798="","Arabica",$B798))&amp;" - "&amp;(IF($C798="","Commercial",$C798))),Variables!$B$1:$D$1,0),1))*AK798/365),""))</f>
        <v>463.46208433563089</v>
      </c>
      <c r="BI798" s="44">
        <f>IF($AX798="Cancelled","",IFERROR((W798*INDEX(Variables!$B$7:$D$7,IFERROR(MATCH(IF($B798="Robusta","Robusta",(IF($B798="","Arabica",$B798))&amp;" - "&amp;(IF($C798="","Commercial",$C798))),Variables!$B$1:$D$1,0),1))*BD798/365)+(L798/16.67*INDEX(Variables!$B$8:$D$8,IFERROR(MATCH(IF($B798="Robusta","Robusta",(IF($B798="","Arabica",$B798))&amp;" - "&amp;(IF($C798="","Commercial",$C798))),Variables!$B$1:$D$1,0),1))*BD798)+(W798*INDEX(Variables!$B$9:$D$9,IFERROR(MATCH(IF($B798="Robusta","Robusta",(IF($B798="","Arabica",$B798))&amp;" - "&amp;(IF($C798="","Commercial",$C798))),Variables!$B$1:$D$1,0),1))*BD798/365),""))</f>
        <v>99.313303786206617</v>
      </c>
      <c r="BJ798" s="44">
        <f t="shared" si="38"/>
        <v>26</v>
      </c>
      <c r="BK798" s="44">
        <f>IF($AX798="Cancelled","",IFERROR(IF(BJ798="","",(W798*INDEX(Variables!$B$7:$D$7,IFERROR(MATCH(IF($B798="Robusta","Robusta",(IF($B798="","Arabica",$B798))&amp;" - "&amp;(IF($C798="","Commercial",$C798))),Variables!$B$1:$D$1,0),1))*(BJ798/365))+(W798*INDEX(Variables!$B$9:$D$9,IFERROR(MATCH(IF($B798="Robusta","Robusta",(IF($B798="","Arabica",$B798))&amp;" - "&amp;(IF($C798="","Commercial",$C798))),Variables!$B$1:$D$1,0),1))*(BJ798/365))+(INDEX(Variables!$B$8:$D$8,IFERROR(MATCH(IF($B798="Robusta","Robusta",(IF($B798="","Arabica",$B798))&amp;" - "&amp;(IF($C798="","Commercial",$C798))),Variables!$B$1:$D$1,0),1))*L798/16.67)),""))</f>
        <v>444.46529948045725</v>
      </c>
    </row>
    <row r="799" spans="1:63">
      <c r="A799" s="13" t="s">
        <v>103</v>
      </c>
      <c r="B799" s="13" t="s">
        <v>104</v>
      </c>
      <c r="C799" s="13" t="s">
        <v>105</v>
      </c>
      <c r="D799" s="31">
        <v>46059</v>
      </c>
      <c r="E799" s="31">
        <v>46082</v>
      </c>
      <c r="F799" s="31">
        <v>46095</v>
      </c>
      <c r="G799" s="13">
        <v>3787233</v>
      </c>
      <c r="H799" s="13">
        <v>5444</v>
      </c>
      <c r="J799" s="13" t="s">
        <v>1731</v>
      </c>
      <c r="K799" s="13">
        <v>5444</v>
      </c>
      <c r="L799" s="13">
        <v>320</v>
      </c>
      <c r="M799" s="13">
        <v>1</v>
      </c>
      <c r="N799" s="13" t="s">
        <v>120</v>
      </c>
      <c r="O799" s="13" t="s">
        <v>120</v>
      </c>
      <c r="P799" s="13">
        <v>10070</v>
      </c>
      <c r="R799" s="13" t="s">
        <v>110</v>
      </c>
      <c r="S799" s="13" t="s">
        <v>2121</v>
      </c>
      <c r="T799" s="13" t="s">
        <v>112</v>
      </c>
      <c r="U799" s="13" t="s">
        <v>113</v>
      </c>
      <c r="V799" s="13">
        <v>29</v>
      </c>
      <c r="W799" s="44">
        <f>IF($AX799="Cancelled","",IFERROR(((V799+INDEX(Variables!$B$6:$D$6,IFERROR(MATCH(IF($B799="Robusta","Robusta",(IF($B799="","Arabica",$B799))&amp;" - "&amp;(IF($C799="","Commercial",$C799))),Variables!$B$1:$D$1,0),1)))*22.0462)*(L799/16.67),""))</f>
        <v>135340.12736652666</v>
      </c>
      <c r="X799" s="55" t="s">
        <v>37</v>
      </c>
      <c r="Y799" s="13" t="str">
        <f>IF($AX799="Cancelled","",IF(X799="","",IFERROR(IF(INDEX(Variables!$B$38:$B$47,MATCH(X799,Variables!$A$38:$A$47,0))="Yes","Yes","No"),"No")))</f>
        <v>Yes</v>
      </c>
      <c r="Z799" s="58">
        <v>46077</v>
      </c>
      <c r="AB799" s="31">
        <v>46085</v>
      </c>
      <c r="AC799" s="13" t="str">
        <f t="shared" si="37"/>
        <v>Approved</v>
      </c>
      <c r="AF799" s="71">
        <v>46099</v>
      </c>
      <c r="AG799" s="37">
        <f>IF($AX799="Cancelled","",IFERROR(IF(F799="","",F799-Variables!$B$13),""))</f>
        <v>46080</v>
      </c>
      <c r="AH799" s="13">
        <f>IF($AX799="Cancelled","",IFERROR(IF(AB799="","",(AVERAGE(E799:F799)-AB799)-Variables!$B$14),""))</f>
        <v>-26.5</v>
      </c>
      <c r="AJ799" s="47">
        <v>46100</v>
      </c>
      <c r="AK799" s="14">
        <f>IF($AX799="Cancelled","",IFERROR(IF(AJ799="","",IF(AND(AB799="",AF799=""),"",IF(AF799&gt;AB799,AF799+Variables!$B$15+Variables!$B$16+Variables!$B$17-AJ799,AB799+Variables!$B$16+Variables!$B$17-AJ799))),""))</f>
        <v>14</v>
      </c>
      <c r="AL799" s="48" t="s">
        <v>114</v>
      </c>
      <c r="AM799" s="13" t="s">
        <v>168</v>
      </c>
      <c r="AN799" s="13" t="s">
        <v>2104</v>
      </c>
      <c r="AP799" s="31">
        <v>46126</v>
      </c>
      <c r="AR799" s="13" t="s">
        <v>2122</v>
      </c>
      <c r="AS799" s="31">
        <v>46126</v>
      </c>
      <c r="AU799" s="31">
        <v>46154</v>
      </c>
      <c r="AV799" s="13" t="s">
        <v>865</v>
      </c>
      <c r="AW799" s="31">
        <v>46154</v>
      </c>
      <c r="AX799" s="13" t="str">
        <f>IF(ISNUMBER(SEARCH("cancel",#REF!)),"Cancelled",IF(AND(AS799&lt;&gt;"",AU799&lt;&gt;"",AW799&lt;&gt;""),"Closed","Open"))</f>
        <v>Closed</v>
      </c>
      <c r="AY799" s="15" t="str">
        <f t="shared" si="36"/>
        <v>All dates received</v>
      </c>
      <c r="BD799" s="13">
        <f>IF($AX799="Cancelled","",IFERROR(IF(OR(AS799="",AJ799=""),"",(AJ799+Variables!$B$18-AS799)),""))</f>
        <v>-11</v>
      </c>
      <c r="BE799" s="13">
        <f>IF($AX799="Cancelled","",IFERROR(IF(OR(AW799="",AS799=""),"",(AS799+Variables!$B$19)-AW799),""))</f>
        <v>-23</v>
      </c>
      <c r="BF799" s="44">
        <f>IF($AX799="Cancelled","",IFERROR(W799*INDEX(Variables!$B$7:$D$7,IFERROR(MATCH(IF($B799="Robusta","Robusta",(IF($B799="","Arabica",$B799))&amp;" - "&amp;(IF($C799="","Commercial",$C799))),Variables!$B$1:$D$1,0),1))*(BE799/365),""))</f>
        <v>-549.92238547972181</v>
      </c>
      <c r="BG799" s="44">
        <f>IF($AX799="Cancelled","",IFERROR((W799*INDEX(Variables!$B$7:$D$7,IFERROR(MATCH(IF($B799="Robusta","Robusta",(IF($B799="","Arabica",$B799))&amp;" - "&amp;(IF($C799="","Commercial",$C799))),Variables!$B$1:$D$1,0),1))*IFERROR(IF(AB799="","",(AVERAGE(E799:F799)-AB799)-Variables!$B$14),"")/365)+(L799/16.67*INDEX(Variables!$B$8:$D$8,IFERROR(MATCH(IF($B799="Robusta","Robusta",(IF($B799="","Arabica",$B799))&amp;" - "&amp;(IF($C799="","Commercial",$C799))),Variables!$B$1:$D$1,0),1))*IFERROR(IF(AB799="","",(AVERAGE(E799:F799)-AB799)-Variables!$B$14),""))+(W799*INDEX(Variables!$B$9:$D$9,IFERROR(MATCH(IF($B799="Robusta","Robusta",(IF($B799="","Arabica",$B799))&amp;" - "&amp;(IF($C799="","Commercial",$C799))),Variables!$B$1:$D$1,0),1))*IFERROR(IF(AB799="","",(AVERAGE(E799:F799)-AB799)-Variables!$B$14),"")/365),""))</f>
        <v>-1065.7746337862231</v>
      </c>
      <c r="BH799" s="44">
        <f>IF($AX799="Cancelled","",IFERROR((W799*INDEX(Variables!$B$7:$D$7,IFERROR(MATCH(IF($B799="Robusta","Robusta",(IF($B799="","Arabica",$B799))&amp;" - "&amp;(IF($C799="","Commercial",$C799))),Variables!$B$1:$D$1,0),1))*AK799/365)+(L799/16.67*INDEX(Variables!$B$8:$D$8,IFERROR(MATCH(IF($B799="Robusta","Robusta",(IF($B799="","Arabica",$B799))&amp;" - "&amp;(IF($C799="","Commercial",$C799))),Variables!$B$1:$D$1,0),1))*AK799)+(W799*INDEX(Variables!$B$9:$D$9,IFERROR(MATCH(IF($B799="Robusta","Robusta",(IF($B799="","Arabica",$B799))&amp;" - "&amp;(IF($C799="","Commercial",$C799))),Variables!$B$1:$D$1,0),1))*AK799/365),""))</f>
        <v>563.05074992479706</v>
      </c>
      <c r="BI799" s="44">
        <f>IF($AX799="Cancelled","",IFERROR((W799*INDEX(Variables!$B$7:$D$7,IFERROR(MATCH(IF($B799="Robusta","Robusta",(IF($B799="","Arabica",$B799))&amp;" - "&amp;(IF($C799="","Commercial",$C799))),Variables!$B$1:$D$1,0),1))*BD799/365)+(L799/16.67*INDEX(Variables!$B$8:$D$8,IFERROR(MATCH(IF($B799="Robusta","Robusta",(IF($B799="","Arabica",$B799))&amp;" - "&amp;(IF($C799="","Commercial",$C799))),Variables!$B$1:$D$1,0),1))*BD799)+(W799*INDEX(Variables!$B$9:$D$9,IFERROR(MATCH(IF($B799="Robusta","Robusta",(IF($B799="","Arabica",$B799))&amp;" - "&amp;(IF($C799="","Commercial",$C799))),Variables!$B$1:$D$1,0),1))*BD799/365),""))</f>
        <v>-442.39701779805495</v>
      </c>
      <c r="BJ799" s="44">
        <f t="shared" si="38"/>
        <v>-31</v>
      </c>
      <c r="BK799" s="44">
        <f>IF($AX799="Cancelled","",IFERROR(IF(BJ799="","",(W799*INDEX(Variables!$B$7:$D$7,IFERROR(MATCH(IF($B799="Robusta","Robusta",(IF($B799="","Arabica",$B799))&amp;" - "&amp;(IF($C799="","Commercial",$C799))),Variables!$B$1:$D$1,0),1))*(BJ799/365))+(W799*INDEX(Variables!$B$9:$D$9,IFERROR(MATCH(IF($B799="Robusta","Robusta",(IF($B799="","Arabica",$B799))&amp;" - "&amp;(IF($C799="","Commercial",$C799))),Variables!$B$1:$D$1,0),1))*(BJ799/365))+(INDEX(Variables!$B$8:$D$8,IFERROR(MATCH(IF($B799="Robusta","Robusta",(IF($B799="","Arabica",$B799))&amp;" - "&amp;(IF($C799="","Commercial",$C799))),Variables!$B$1:$D$1,0),1))*L799/16.67)),""))</f>
        <v>-734.75523197633652</v>
      </c>
    </row>
    <row r="800" spans="1:63">
      <c r="A800" s="13" t="s">
        <v>103</v>
      </c>
      <c r="B800" s="13" t="s">
        <v>104</v>
      </c>
      <c r="C800" s="13" t="s">
        <v>105</v>
      </c>
      <c r="D800" s="31">
        <v>46062</v>
      </c>
      <c r="E800" s="31">
        <v>46096</v>
      </c>
      <c r="F800" s="31">
        <v>46126</v>
      </c>
      <c r="G800" s="13">
        <v>3787234</v>
      </c>
      <c r="H800" s="13">
        <v>5442</v>
      </c>
      <c r="J800" s="13" t="s">
        <v>236</v>
      </c>
      <c r="K800" s="13">
        <v>5442</v>
      </c>
      <c r="L800" s="13">
        <v>320</v>
      </c>
      <c r="M800" s="13">
        <v>1</v>
      </c>
      <c r="N800" s="13" t="s">
        <v>2123</v>
      </c>
      <c r="O800" s="13" t="s">
        <v>261</v>
      </c>
      <c r="P800" s="13">
        <v>10060</v>
      </c>
      <c r="R800" s="13" t="s">
        <v>239</v>
      </c>
      <c r="S800" s="13" t="s">
        <v>180</v>
      </c>
      <c r="T800" s="13" t="s">
        <v>253</v>
      </c>
      <c r="U800" s="13" t="s">
        <v>182</v>
      </c>
      <c r="V800" s="23">
        <v>43</v>
      </c>
      <c r="W800" s="44">
        <f>IF($AX800="Cancelled","",IFERROR(((V800+INDEX(Variables!$B$6:$D$6,IFERROR(MATCH(IF($B800="Robusta","Robusta",(IF($B800="","Arabica",$B800))&amp;" - "&amp;(IF($C800="","Commercial",$C800))),Variables!$B$1:$D$1,0),1)))*22.0462)*(L800/16.67),""))</f>
        <v>141264.96095980803</v>
      </c>
      <c r="X800" s="55" t="s">
        <v>37</v>
      </c>
      <c r="Y800" s="13" t="str">
        <f>IF($AX800="Cancelled","",IF(X800="","",IFERROR(IF(INDEX(Variables!$B$38:$B$47,MATCH(X800,Variables!$A$38:$A$47,0))="Yes","Yes","No"),"No")))</f>
        <v>Yes</v>
      </c>
      <c r="Z800" s="58">
        <v>46080</v>
      </c>
      <c r="AB800" s="31">
        <v>46086</v>
      </c>
      <c r="AC800" s="13" t="str">
        <f t="shared" si="37"/>
        <v>Approved</v>
      </c>
      <c r="AF800" s="71">
        <v>46095</v>
      </c>
      <c r="AG800" s="37">
        <f>IF($AX800="Cancelled","",IFERROR(IF(F800="","",F800-Variables!$B$13),""))</f>
        <v>46111</v>
      </c>
      <c r="AH800" s="13">
        <f>IF($AX800="Cancelled","",IFERROR(IF(AB800="","",(AVERAGE(E800:F800)-AB800)-Variables!$B$14),""))</f>
        <v>-5</v>
      </c>
      <c r="AJ800" s="47">
        <v>46104</v>
      </c>
      <c r="AK800" s="14">
        <f>IF($AX800="Cancelled","",IFERROR(IF(AJ800="","",IF(AND(AB800="",AF800=""),"",IF(AF800&gt;AB800,AF800+Variables!$B$15+Variables!$B$16+Variables!$B$17-AJ800,AB800+Variables!$B$16+Variables!$B$17-AJ800))),""))</f>
        <v>6</v>
      </c>
      <c r="AL800" s="48" t="s">
        <v>114</v>
      </c>
      <c r="AM800" s="13" t="s">
        <v>168</v>
      </c>
      <c r="AN800" s="13" t="s">
        <v>2124</v>
      </c>
      <c r="AP800" s="31">
        <v>46114</v>
      </c>
      <c r="AR800" s="13" t="s">
        <v>2125</v>
      </c>
      <c r="AS800" s="31">
        <v>46114</v>
      </c>
      <c r="AU800" s="31">
        <v>46136</v>
      </c>
      <c r="AV800" s="13">
        <v>6192589454</v>
      </c>
      <c r="AW800" s="31">
        <v>46136</v>
      </c>
      <c r="AX800" s="13" t="str">
        <f>IF(ISNUMBER(SEARCH("cancel",#REF!)),"Cancelled",IF(AND(AS800&lt;&gt;"",AU800&lt;&gt;"",AW800&lt;&gt;""),"Closed","Open"))</f>
        <v>Closed</v>
      </c>
      <c r="AY800" s="15" t="str">
        <f t="shared" si="36"/>
        <v>All dates received</v>
      </c>
      <c r="BD800" s="13">
        <f>IF($AX800="Cancelled","",IFERROR(IF(OR(AS800="",AJ800=""),"",(AJ800+Variables!$B$18-AS800)),""))</f>
        <v>5</v>
      </c>
      <c r="BE800" s="13">
        <f>IF($AX800="Cancelled","",IFERROR(IF(OR(AW800="",AS800=""),"",(AS800+Variables!$B$19)-AW800),""))</f>
        <v>-17</v>
      </c>
      <c r="BF800" s="44">
        <f>IF($AX800="Cancelled","",IFERROR(W800*INDEX(Variables!$B$7:$D$7,IFERROR(MATCH(IF($B800="Robusta","Robusta",(IF($B800="","Arabica",$B800))&amp;" - "&amp;(IF($C800="","Commercial",$C800))),Variables!$B$1:$D$1,0),1))*(BE800/365),""))</f>
        <v>-424.25830935683035</v>
      </c>
      <c r="BG800" s="44">
        <f>IF($AX800="Cancelled","",IFERROR((W800*INDEX(Variables!$B$7:$D$7,IFERROR(MATCH(IF($B800="Robusta","Robusta",(IF($B800="","Arabica",$B800))&amp;" - "&amp;(IF($C800="","Commercial",$C800))),Variables!$B$1:$D$1,0),1))*IFERROR(IF(AB800="","",(AVERAGE(E800:F800)-AB800)-Variables!$B$14),"")/365)+(L800/16.67*INDEX(Variables!$B$8:$D$8,IFERROR(MATCH(IF($B800="Robusta","Robusta",(IF($B800="","Arabica",$B800))&amp;" - "&amp;(IF($C800="","Commercial",$C800))),Variables!$B$1:$D$1,0),1))*IFERROR(IF(AB800="","",(AVERAGE(E800:F800)-AB800)-Variables!$B$14),""))+(W800*INDEX(Variables!$B$9:$D$9,IFERROR(MATCH(IF($B800="Robusta","Robusta",(IF($B800="","Arabica",$B800))&amp;" - "&amp;(IF($C800="","Commercial",$C800))),Variables!$B$1:$D$1,0),1))*IFERROR(IF(AB800="","",(AVERAGE(E800:F800)-AB800)-Variables!$B$14),"")/365),""))</f>
        <v>-206.39053462532084</v>
      </c>
      <c r="BH800" s="44">
        <f>IF($AX800="Cancelled","",IFERROR((W800*INDEX(Variables!$B$7:$D$7,IFERROR(MATCH(IF($B800="Robusta","Robusta",(IF($B800="","Arabica",$B800))&amp;" - "&amp;(IF($C800="","Commercial",$C800))),Variables!$B$1:$D$1,0),1))*AK800/365)+(L800/16.67*INDEX(Variables!$B$8:$D$8,IFERROR(MATCH(IF($B800="Robusta","Robusta",(IF($B800="","Arabica",$B800))&amp;" - "&amp;(IF($C800="","Commercial",$C800))),Variables!$B$1:$D$1,0),1))*AK800)+(W800*INDEX(Variables!$B$9:$D$9,IFERROR(MATCH(IF($B800="Robusta","Robusta",(IF($B800="","Arabica",$B800))&amp;" - "&amp;(IF($C800="","Commercial",$C800))),Variables!$B$1:$D$1,0),1))*AK800/365),""))</f>
        <v>247.66864155038502</v>
      </c>
      <c r="BI800" s="44">
        <f>IF($AX800="Cancelled","",IFERROR((W800*INDEX(Variables!$B$7:$D$7,IFERROR(MATCH(IF($B800="Robusta","Robusta",(IF($B800="","Arabica",$B800))&amp;" - "&amp;(IF($C800="","Commercial",$C800))),Variables!$B$1:$D$1,0),1))*BD800/365)+(L800/16.67*INDEX(Variables!$B$8:$D$8,IFERROR(MATCH(IF($B800="Robusta","Robusta",(IF($B800="","Arabica",$B800))&amp;" - "&amp;(IF($C800="","Commercial",$C800))),Variables!$B$1:$D$1,0),1))*BD800)+(W800*INDEX(Variables!$B$9:$D$9,IFERROR(MATCH(IF($B800="Robusta","Robusta",(IF($B800="","Arabica",$B800))&amp;" - "&amp;(IF($C800="","Commercial",$C800))),Variables!$B$1:$D$1,0),1))*BD800/365),""))</f>
        <v>206.39053462532084</v>
      </c>
      <c r="BJ800" s="44">
        <f t="shared" si="38"/>
        <v>12</v>
      </c>
      <c r="BK800" s="44">
        <f>IF($AX800="Cancelled","",IFERROR(IF(BJ800="","",(W800*INDEX(Variables!$B$7:$D$7,IFERROR(MATCH(IF($B800="Robusta","Robusta",(IF($B800="","Arabica",$B800))&amp;" - "&amp;(IF($C800="","Commercial",$C800))),Variables!$B$1:$D$1,0),1))*(BJ800/365))+(W800*INDEX(Variables!$B$9:$D$9,IFERROR(MATCH(IF($B800="Robusta","Robusta",(IF($B800="","Arabica",$B800))&amp;" - "&amp;(IF($C800="","Commercial",$C800))),Variables!$B$1:$D$1,0),1))*(BJ800/365))+(INDEX(Variables!$B$8:$D$8,IFERROR(MATCH(IF($B800="Robusta","Robusta",(IF($B800="","Arabica",$B800))&amp;" - "&amp;(IF($C800="","Commercial",$C800))),Variables!$B$1:$D$1,0),1))*L800/16.67)),""))</f>
        <v>319.33728310076998</v>
      </c>
    </row>
    <row r="801" spans="1:63">
      <c r="A801" s="13" t="s">
        <v>103</v>
      </c>
      <c r="B801" s="13" t="s">
        <v>104</v>
      </c>
      <c r="C801" s="13" t="s">
        <v>292</v>
      </c>
      <c r="D801" s="31">
        <v>46062</v>
      </c>
      <c r="E801" s="31">
        <v>46054</v>
      </c>
      <c r="F801" s="31">
        <v>46081</v>
      </c>
      <c r="G801" s="13">
        <v>3787235</v>
      </c>
      <c r="J801" s="13" t="s">
        <v>447</v>
      </c>
      <c r="K801" s="13" t="s">
        <v>2126</v>
      </c>
      <c r="L801" s="13">
        <v>59</v>
      </c>
      <c r="M801" s="13">
        <v>0</v>
      </c>
      <c r="N801" s="13" t="s">
        <v>2127</v>
      </c>
      <c r="O801" s="13" t="s">
        <v>297</v>
      </c>
      <c r="P801" s="13">
        <v>10020</v>
      </c>
      <c r="R801" s="13" t="s">
        <v>384</v>
      </c>
      <c r="S801" s="13" t="s">
        <v>154</v>
      </c>
      <c r="T801" s="13" t="s">
        <v>155</v>
      </c>
      <c r="U801" s="13" t="s">
        <v>125</v>
      </c>
      <c r="V801" s="13">
        <v>211.45</v>
      </c>
      <c r="W801" s="44">
        <f>IF($AX801="Cancelled","",IFERROR(((V801+INDEX(Variables!$B$6:$D$6,IFERROR(MATCH(IF($B801="Robusta","Robusta",(IF($B801="","Arabica",$B801))&amp;" - "&amp;(IF($C801="","Commercial",$C801))),Variables!$B$1:$D$1,0),1)))*22.0462)*(L801/16.67),""))</f>
        <v>39189.534076184755</v>
      </c>
      <c r="X801" s="55" t="s">
        <v>39</v>
      </c>
      <c r="Y801" s="13" t="str">
        <f>IF($AX801="Cancelled","",IF(X801="","",IFERROR(IF(INDEX(Variables!$B$38:$B$47,MATCH(X801,Variables!$A$38:$A$47,0))="Yes","Yes","No"),"No")))</f>
        <v>No</v>
      </c>
      <c r="Z801" s="31"/>
      <c r="AC801" s="13" t="str">
        <f t="shared" si="37"/>
        <v/>
      </c>
      <c r="AF801" s="71">
        <v>46112</v>
      </c>
      <c r="AG801" s="37">
        <f>IF($AX801="Cancelled","",IFERROR(IF(F801="","",F801-Variables!$B$13),""))</f>
        <v>46066</v>
      </c>
      <c r="AH801" s="13" t="str">
        <f>IF($AX801="Cancelled","",IFERROR(IF(AB801="","",(AVERAGE(E801:F801)-AB801)-Variables!$B$14),""))</f>
        <v/>
      </c>
      <c r="AJ801" s="47">
        <v>46125</v>
      </c>
      <c r="AK801" s="14">
        <f>IF($AX801="Cancelled","",IFERROR(IF(AJ801="","",IF(AND(AB801="",AF801=""),"",IF(AF801&gt;AB801,AF801+Variables!$B$15+Variables!$B$16+Variables!$B$17-AJ801,AB801+Variables!$B$16+Variables!$B$17-AJ801))),""))</f>
        <v>2</v>
      </c>
      <c r="AL801" s="48" t="s">
        <v>114</v>
      </c>
      <c r="AM801" s="13" t="s">
        <v>168</v>
      </c>
      <c r="AN801" s="13" t="s">
        <v>1793</v>
      </c>
      <c r="AP801" s="31" t="e">
        <v>#N/A</v>
      </c>
      <c r="AR801" s="13" t="s">
        <v>1794</v>
      </c>
      <c r="AS801" s="31">
        <v>46136</v>
      </c>
      <c r="AU801" s="31">
        <v>46160</v>
      </c>
      <c r="AV801" s="13" t="s">
        <v>865</v>
      </c>
      <c r="AW801" s="31">
        <v>46160</v>
      </c>
      <c r="AX801" s="13" t="str">
        <f>IF(ISNUMBER(SEARCH("cancel",#REF!)),"Cancelled",IF(AND(AS801&lt;&gt;"",AU801&lt;&gt;"",AW801&lt;&gt;""),"Closed","Open"))</f>
        <v>Closed</v>
      </c>
      <c r="AY801" s="15" t="str">
        <f t="shared" si="36"/>
        <v>All dates received</v>
      </c>
      <c r="BD801" s="13">
        <f>IF($AX801="Cancelled","",IFERROR(IF(OR(AS801="",AJ801=""),"",(AJ801+Variables!$B$18-AS801)),""))</f>
        <v>4</v>
      </c>
      <c r="BE801" s="13">
        <f>IF($AX801="Cancelled","",IFERROR(IF(OR(AW801="",AS801=""),"",(AS801+Variables!$B$19)-AW801),""))</f>
        <v>-19</v>
      </c>
      <c r="BF801" s="44">
        <f>IF($AX801="Cancelled","",IFERROR(W801*INDEX(Variables!$B$7:$D$7,IFERROR(MATCH(IF($B801="Robusta","Robusta",(IF($B801="","Arabica",$B801))&amp;" - "&amp;(IF($C801="","Commercial",$C801))),Variables!$B$1:$D$1,0),1))*(BE801/365),""))</f>
        <v>-131.543890712164</v>
      </c>
      <c r="BG801" s="44" t="str">
        <f>IF($AX801="Cancelled","",IFERROR((W801*INDEX(Variables!$B$7:$D$7,IFERROR(MATCH(IF($B801="Robusta","Robusta",(IF($B801="","Arabica",$B801))&amp;" - "&amp;(IF($C801="","Commercial",$C801))),Variables!$B$1:$D$1,0),1))*IFERROR(IF(AB801="","",(AVERAGE(E801:F801)-AB801)-Variables!$B$14),"")/365)+(L801/16.67*INDEX(Variables!$B$8:$D$8,IFERROR(MATCH(IF($B801="Robusta","Robusta",(IF($B801="","Arabica",$B801))&amp;" - "&amp;(IF($C801="","Commercial",$C801))),Variables!$B$1:$D$1,0),1))*IFERROR(IF(AB801="","",(AVERAGE(E801:F801)-AB801)-Variables!$B$14),""))+(W801*INDEX(Variables!$B$9:$D$9,IFERROR(MATCH(IF($B801="Robusta","Robusta",(IF($B801="","Arabica",$B801))&amp;" - "&amp;(IF($C801="","Commercial",$C801))),Variables!$B$1:$D$1,0),1))*IFERROR(IF(AB801="","",(AVERAGE(E801:F801)-AB801)-Variables!$B$14),"")/365),""))</f>
        <v/>
      </c>
      <c r="BH801" s="44">
        <f>IF($AX801="Cancelled","",IFERROR((W801*INDEX(Variables!$B$7:$D$7,IFERROR(MATCH(IF($B801="Robusta","Robusta",(IF($B801="","Arabica",$B801))&amp;" - "&amp;(IF($C801="","Commercial",$C801))),Variables!$B$1:$D$1,0),1))*AK801/365)+(L801/16.67*INDEX(Variables!$B$8:$D$8,IFERROR(MATCH(IF($B801="Robusta","Robusta",(IF($B801="","Arabica",$B801))&amp;" - "&amp;(IF($C801="","Commercial",$C801))),Variables!$B$1:$D$1,0),1))*AK801)+(W801*INDEX(Variables!$B$9:$D$9,IFERROR(MATCH(IF($B801="Robusta","Robusta",(IF($B801="","Arabica",$B801))&amp;" - "&amp;(IF($C801="","Commercial",$C801))),Variables!$B$1:$D$1,0),1))*AK801/365),""))</f>
        <v>19.925236350054206</v>
      </c>
      <c r="BI801" s="44">
        <f>IF($AX801="Cancelled","",IFERROR((W801*INDEX(Variables!$B$7:$D$7,IFERROR(MATCH(IF($B801="Robusta","Robusta",(IF($B801="","Arabica",$B801))&amp;" - "&amp;(IF($C801="","Commercial",$C801))),Variables!$B$1:$D$1,0),1))*BD801/365)+(L801/16.67*INDEX(Variables!$B$8:$D$8,IFERROR(MATCH(IF($B801="Robusta","Robusta",(IF($B801="","Arabica",$B801))&amp;" - "&amp;(IF($C801="","Commercial",$C801))),Variables!$B$1:$D$1,0),1))*BD801)+(W801*INDEX(Variables!$B$9:$D$9,IFERROR(MATCH(IF($B801="Robusta","Robusta",(IF($B801="","Arabica",$B801))&amp;" - "&amp;(IF($C801="","Commercial",$C801))),Variables!$B$1:$D$1,0),1))*BD801/365),""))</f>
        <v>39.850472700108412</v>
      </c>
      <c r="BJ801" s="44">
        <f t="shared" si="38"/>
        <v>-55</v>
      </c>
      <c r="BK801" s="44">
        <f>IF($AX801="Cancelled","",IFERROR(IF(BJ801="","",(W801*INDEX(Variables!$B$7:$D$7,IFERROR(MATCH(IF($B801="Robusta","Robusta",(IF($B801="","Arabica",$B801))&amp;" - "&amp;(IF($C801="","Commercial",$C801))),Variables!$B$1:$D$1,0),1))*(BJ801/365))+(W801*INDEX(Variables!$B$9:$D$9,IFERROR(MATCH(IF($B801="Robusta","Robusta",(IF($B801="","Arabica",$B801))&amp;" - "&amp;(IF($C801="","Commercial",$C801))),Variables!$B$1:$D$1,0),1))*(BJ801/365))+(INDEX(Variables!$B$8:$D$8,IFERROR(MATCH(IF($B801="Robusta","Robusta",(IF($B801="","Arabica",$B801))&amp;" - "&amp;(IF($C801="","Commercial",$C801))),Variables!$B$1:$D$1,0),1))*L801/16.67)),""))</f>
        <v>-382.74399962649079</v>
      </c>
    </row>
    <row r="802" spans="1:63">
      <c r="A802" s="13" t="s">
        <v>103</v>
      </c>
      <c r="B802" s="13" t="s">
        <v>104</v>
      </c>
      <c r="C802" s="13" t="s">
        <v>105</v>
      </c>
      <c r="D802" s="31">
        <v>46063</v>
      </c>
      <c r="E802" s="31">
        <v>46143</v>
      </c>
      <c r="F802" s="31">
        <v>46173</v>
      </c>
      <c r="G802" s="13">
        <v>3787236</v>
      </c>
      <c r="J802" s="13" t="s">
        <v>506</v>
      </c>
      <c r="K802" s="13">
        <v>5537</v>
      </c>
      <c r="L802" s="13">
        <v>320</v>
      </c>
      <c r="M802" s="13">
        <v>1</v>
      </c>
      <c r="N802" s="13" t="s">
        <v>2128</v>
      </c>
      <c r="O802" s="13" t="s">
        <v>120</v>
      </c>
      <c r="P802" s="13">
        <v>10070</v>
      </c>
      <c r="R802" s="13" t="s">
        <v>239</v>
      </c>
      <c r="S802" s="13" t="s">
        <v>1615</v>
      </c>
      <c r="T802" s="13" t="s">
        <v>329</v>
      </c>
      <c r="U802" s="13" t="s">
        <v>330</v>
      </c>
      <c r="V802" s="23">
        <v>39</v>
      </c>
      <c r="W802" s="44">
        <f>IF($AX802="Cancelled","",IFERROR(((V802+INDEX(Variables!$B$6:$D$6,IFERROR(MATCH(IF($B802="Robusta","Robusta",(IF($B802="","Arabica",$B802))&amp;" - "&amp;(IF($C802="","Commercial",$C802))),Variables!$B$1:$D$1,0),1)))*22.0462)*(L802/16.67),""))</f>
        <v>139572.15136172765</v>
      </c>
      <c r="X802" s="55" t="s">
        <v>37</v>
      </c>
      <c r="Y802" s="13" t="str">
        <f>IF($AX802="Cancelled","",IF(X802="","",IFERROR(IF(INDEX(Variables!$B$38:$B$47,MATCH(X802,Variables!$A$38:$A$47,0))="Yes","Yes","No"),"No")))</f>
        <v>Yes</v>
      </c>
      <c r="Z802" s="58">
        <v>46101</v>
      </c>
      <c r="AB802" s="31">
        <v>46114</v>
      </c>
      <c r="AC802" s="13" t="str">
        <f t="shared" si="37"/>
        <v>Approved</v>
      </c>
      <c r="AF802" s="71">
        <v>46175</v>
      </c>
      <c r="AG802" s="37">
        <f>IF($AX802="Cancelled","",IFERROR(IF(F802="","",F802-Variables!$B$13),""))</f>
        <v>46158</v>
      </c>
      <c r="AH802" s="13">
        <f>IF($AX802="Cancelled","",IFERROR(IF(AB802="","",(AVERAGE(E802:F802)-AB802)-Variables!$B$14),""))</f>
        <v>14</v>
      </c>
      <c r="AJ802" s="47">
        <v>46176</v>
      </c>
      <c r="AK802" s="14">
        <f>IF($AX802="Cancelled","",IFERROR(IF(AJ802="","",IF(AND(AB802="",AF802=""),"",IF(AF802&gt;AB802,AF802+Variables!$B$15+Variables!$B$16+Variables!$B$17-AJ802,AB802+Variables!$B$16+Variables!$B$17-AJ802))),""))</f>
        <v>14</v>
      </c>
      <c r="AL802" s="48" t="s">
        <v>114</v>
      </c>
      <c r="AM802" s="13" t="s">
        <v>2129</v>
      </c>
      <c r="AN802" s="13" t="s">
        <v>2130</v>
      </c>
      <c r="AP802" s="31">
        <v>46197</v>
      </c>
      <c r="AR802" s="13" t="s">
        <v>2131</v>
      </c>
      <c r="AS802" s="31">
        <v>46197</v>
      </c>
      <c r="AU802" s="31">
        <v>46232</v>
      </c>
      <c r="AV802" s="13" t="e">
        <v>#REF!</v>
      </c>
      <c r="AW802" s="31">
        <v>46232</v>
      </c>
      <c r="AX802" s="13" t="str">
        <f>IF(ISNUMBER(SEARCH("cancel",#REF!)),"Cancelled",IF(AND(AS802&lt;&gt;"",AU802&lt;&gt;"",AW802&lt;&gt;""),"Closed","Open"))</f>
        <v>Closed</v>
      </c>
      <c r="AY802" s="15" t="str">
        <f t="shared" si="36"/>
        <v>All dates received</v>
      </c>
      <c r="BD802" s="13">
        <f>IF($AX802="Cancelled","",IFERROR(IF(OR(AS802="",AJ802=""),"",(AJ802+Variables!$B$18-AS802)),""))</f>
        <v>-6</v>
      </c>
      <c r="BE802" s="13">
        <f>IF($AX802="Cancelled","",IFERROR(IF(OR(AW802="",AS802=""),"",(AS802+Variables!$B$19)-AW802),""))</f>
        <v>-30</v>
      </c>
      <c r="BF802" s="44">
        <f>IF($AX802="Cancelled","",IFERROR(W802*INDEX(Variables!$B$7:$D$7,IFERROR(MATCH(IF($B802="Robusta","Robusta",(IF($B802="","Arabica",$B802))&amp;" - "&amp;(IF($C802="","Commercial",$C802))),Variables!$B$1:$D$1,0),1))*(BE802/365),""))</f>
        <v>-739.71940097565982</v>
      </c>
      <c r="BG802" s="44">
        <f>IF($AX802="Cancelled","",IFERROR((W802*INDEX(Variables!$B$7:$D$7,IFERROR(MATCH(IF($B802="Robusta","Robusta",(IF($B802="","Arabica",$B802))&amp;" - "&amp;(IF($C802="","Commercial",$C802))),Variables!$B$1:$D$1,0),1))*IFERROR(IF(AB802="","",(AVERAGE(E802:F802)-AB802)-Variables!$B$14),"")/365)+(L802/16.67*INDEX(Variables!$B$8:$D$8,IFERROR(MATCH(IF($B802="Robusta","Robusta",(IF($B802="","Arabica",$B802))&amp;" - "&amp;(IF($C802="","Commercial",$C802))),Variables!$B$1:$D$1,0),1))*IFERROR(IF(AB802="","",(AVERAGE(E802:F802)-AB802)-Variables!$B$14),""))+(W802*INDEX(Variables!$B$9:$D$9,IFERROR(MATCH(IF($B802="Robusta","Robusta",(IF($B802="","Arabica",$B802))&amp;" - "&amp;(IF($C802="","Commercial",$C802))),Variables!$B$1:$D$1,0),1))*IFERROR(IF(AB802="","",(AVERAGE(E802:F802)-AB802)-Variables!$B$14),"")/365),""))</f>
        <v>573.65271208629815</v>
      </c>
      <c r="BH802" s="44">
        <f>IF($AX802="Cancelled","",IFERROR((W802*INDEX(Variables!$B$7:$D$7,IFERROR(MATCH(IF($B802="Robusta","Robusta",(IF($B802="","Arabica",$B802))&amp;" - "&amp;(IF($C802="","Commercial",$C802))),Variables!$B$1:$D$1,0),1))*AK802/365)+(L802/16.67*INDEX(Variables!$B$8:$D$8,IFERROR(MATCH(IF($B802="Robusta","Robusta",(IF($B802="","Arabica",$B802))&amp;" - "&amp;(IF($C802="","Commercial",$C802))),Variables!$B$1:$D$1,0),1))*AK802)+(W802*INDEX(Variables!$B$9:$D$9,IFERROR(MATCH(IF($B802="Robusta","Robusta",(IF($B802="","Arabica",$B802))&amp;" - "&amp;(IF($C802="","Commercial",$C802))),Variables!$B$1:$D$1,0),1))*AK802/365),""))</f>
        <v>573.65271208629815</v>
      </c>
      <c r="BI802" s="44">
        <f>IF($AX802="Cancelled","",IFERROR((W802*INDEX(Variables!$B$7:$D$7,IFERROR(MATCH(IF($B802="Robusta","Robusta",(IF($B802="","Arabica",$B802))&amp;" - "&amp;(IF($C802="","Commercial",$C802))),Variables!$B$1:$D$1,0),1))*BD802/365)+(L802/16.67*INDEX(Variables!$B$8:$D$8,IFERROR(MATCH(IF($B802="Robusta","Robusta",(IF($B802="","Arabica",$B802))&amp;" - "&amp;(IF($C802="","Commercial",$C802))),Variables!$B$1:$D$1,0),1))*BD802)+(W802*INDEX(Variables!$B$9:$D$9,IFERROR(MATCH(IF($B802="Robusta","Robusta",(IF($B802="","Arabica",$B802))&amp;" - "&amp;(IF($C802="","Commercial",$C802))),Variables!$B$1:$D$1,0),1))*BD802/365),""))</f>
        <v>-245.85116232269917</v>
      </c>
      <c r="BJ802" s="44">
        <f t="shared" si="38"/>
        <v>-24</v>
      </c>
      <c r="BK802" s="44">
        <f>IF($AX802="Cancelled","",IFERROR(IF(BJ802="","",(W802*INDEX(Variables!$B$7:$D$7,IFERROR(MATCH(IF($B802="Robusta","Robusta",(IF($B802="","Arabica",$B802))&amp;" - "&amp;(IF($C802="","Commercial",$C802))),Variables!$B$1:$D$1,0),1))*(BJ802/365))+(W802*INDEX(Variables!$B$9:$D$9,IFERROR(MATCH(IF($B802="Robusta","Robusta",(IF($B802="","Arabica",$B802))&amp;" - "&amp;(IF($C802="","Commercial",$C802))),Variables!$B$1:$D$1,0),1))*(BJ802/365))+(INDEX(Variables!$B$8:$D$8,IFERROR(MATCH(IF($B802="Robusta","Robusta",(IF($B802="","Arabica",$B802))&amp;" - "&amp;(IF($C802="","Commercial",$C802))),Variables!$B$1:$D$1,0),1))*L802/16.67)),""))</f>
        <v>-583.40464929079656</v>
      </c>
    </row>
    <row r="803" spans="1:63">
      <c r="A803" s="13" t="s">
        <v>103</v>
      </c>
      <c r="B803" s="13" t="s">
        <v>104</v>
      </c>
      <c r="C803" s="13" t="s">
        <v>105</v>
      </c>
      <c r="D803" s="31">
        <v>46063</v>
      </c>
      <c r="E803" s="31">
        <v>46113</v>
      </c>
      <c r="F803" s="31">
        <v>46142</v>
      </c>
      <c r="G803" s="13">
        <v>3787237</v>
      </c>
      <c r="H803" s="13" t="s">
        <v>2132</v>
      </c>
      <c r="J803" s="13" t="s">
        <v>1234</v>
      </c>
      <c r="K803" s="13" t="s">
        <v>2132</v>
      </c>
      <c r="L803" s="13">
        <v>205</v>
      </c>
      <c r="M803" s="13">
        <v>1</v>
      </c>
      <c r="N803" s="13" t="s">
        <v>2133</v>
      </c>
      <c r="O803" s="13" t="s">
        <v>269</v>
      </c>
      <c r="P803" s="13">
        <v>10310</v>
      </c>
      <c r="R803" s="13" t="s">
        <v>110</v>
      </c>
      <c r="S803" s="13" t="s">
        <v>1780</v>
      </c>
      <c r="T803" s="13" t="s">
        <v>112</v>
      </c>
      <c r="U803" s="13" t="s">
        <v>113</v>
      </c>
      <c r="V803" s="23">
        <v>93</v>
      </c>
      <c r="W803" s="44">
        <f>IF($AX803="Cancelled","",IFERROR(((V803+INDEX(Variables!$B$6:$D$6,IFERROR(MATCH(IF($B803="Robusta","Robusta",(IF($B803="","Arabica",$B803))&amp;" - "&amp;(IF($C803="","Commercial",$C803))),Variables!$B$1:$D$1,0),1)))*22.0462)*(L803/16.67),""))</f>
        <v>104053.56747450509</v>
      </c>
      <c r="X803" s="55" t="s">
        <v>37</v>
      </c>
      <c r="Y803" s="13" t="str">
        <f>IF($AX803="Cancelled","",IF(X803="","",IFERROR(IF(INDEX(Variables!$B$38:$B$47,MATCH(X803,Variables!$A$38:$A$47,0))="Yes","Yes","No"),"No")))</f>
        <v>Yes</v>
      </c>
      <c r="Z803" s="58">
        <v>46080</v>
      </c>
      <c r="AB803" s="31">
        <v>46094</v>
      </c>
      <c r="AC803" s="13" t="str">
        <f t="shared" si="37"/>
        <v>Approved</v>
      </c>
      <c r="AF803" s="71">
        <v>46122</v>
      </c>
      <c r="AG803" s="37">
        <f>IF($AX803="Cancelled","",IFERROR(IF(F803="","",F803-Variables!$B$13),""))</f>
        <v>46127</v>
      </c>
      <c r="AH803" s="13">
        <f>IF($AX803="Cancelled","",IFERROR(IF(AB803="","",(AVERAGE(E803:F803)-AB803)-Variables!$B$14),""))</f>
        <v>3.5</v>
      </c>
      <c r="AJ803" s="47">
        <v>46129</v>
      </c>
      <c r="AK803" s="14">
        <f>IF($AX803="Cancelled","",IFERROR(IF(AJ803="","",IF(AND(AB803="",AF803=""),"",IF(AF803&gt;AB803,AF803+Variables!$B$15+Variables!$B$16+Variables!$B$17-AJ803,AB803+Variables!$B$16+Variables!$B$17-AJ803))),""))</f>
        <v>8</v>
      </c>
      <c r="AL803" s="48" t="s">
        <v>114</v>
      </c>
      <c r="AM803" s="13" t="s">
        <v>115</v>
      </c>
      <c r="AN803" s="13" t="s">
        <v>2134</v>
      </c>
      <c r="AP803" s="31">
        <v>46181</v>
      </c>
      <c r="AR803" s="13">
        <v>269356201</v>
      </c>
      <c r="AS803" s="31" t="s">
        <v>2135</v>
      </c>
      <c r="AU803" s="31">
        <v>46184</v>
      </c>
      <c r="AV803" s="13" t="s">
        <v>8</v>
      </c>
      <c r="AW803" s="31">
        <v>46184</v>
      </c>
      <c r="AX803" s="13" t="str">
        <f>IF(ISNUMBER(SEARCH("cancel",#REF!)),"Cancelled",IF(AND(AS803&lt;&gt;"",AU803&lt;&gt;"",AW803&lt;&gt;""),"Closed","Open"))</f>
        <v>Closed</v>
      </c>
      <c r="AY803" s="15" t="str">
        <f t="shared" si="36"/>
        <v>All dates received</v>
      </c>
      <c r="BD803" s="13" t="str">
        <f>IF($AX803="Cancelled","",IFERROR(IF(OR(AS803="",AJ803=""),"",(AJ803+Variables!$B$18-AS803)),""))</f>
        <v/>
      </c>
      <c r="BE803" s="13" t="str">
        <f>IF($AX803="Cancelled","",IFERROR(IF(OR(AW803="",AS803=""),"",(AS803+Variables!$B$19)-AW803),""))</f>
        <v/>
      </c>
      <c r="BF803" s="44" t="str">
        <f>IF($AX803="Cancelled","",IFERROR(W803*INDEX(Variables!$B$7:$D$7,IFERROR(MATCH(IF($B803="Robusta","Robusta",(IF($B803="","Arabica",$B803))&amp;" - "&amp;(IF($C803="","Commercial",$C803))),Variables!$B$1:$D$1,0),1))*(BE803/365),""))</f>
        <v/>
      </c>
      <c r="BG803" s="44">
        <f>IF($AX803="Cancelled","",IFERROR((W803*INDEX(Variables!$B$7:$D$7,IFERROR(MATCH(IF($B803="Robusta","Robusta",(IF($B803="","Arabica",$B803))&amp;" - "&amp;(IF($C803="","Commercial",$C803))),Variables!$B$1:$D$1,0),1))*IFERROR(IF(AB803="","",(AVERAGE(E803:F803)-AB803)-Variables!$B$14),"")/365)+(L803/16.67*INDEX(Variables!$B$8:$D$8,IFERROR(MATCH(IF($B803="Robusta","Robusta",(IF($B803="","Arabica",$B803))&amp;" - "&amp;(IF($C803="","Commercial",$C803))),Variables!$B$1:$D$1,0),1))*IFERROR(IF(AB803="","",(AVERAGE(E803:F803)-AB803)-Variables!$B$14),""))+(W803*INDEX(Variables!$B$9:$D$9,IFERROR(MATCH(IF($B803="Robusta","Robusta",(IF($B803="","Arabica",$B803))&amp;" - "&amp;(IF($C803="","Commercial",$C803))),Variables!$B$1:$D$1,0),1))*IFERROR(IF(AB803="","",(AVERAGE(E803:F803)-AB803)-Variables!$B$14),"")/365),""))</f>
        <v>101.04310788318168</v>
      </c>
      <c r="BH803" s="44">
        <f>IF($AX803="Cancelled","",IFERROR((W803*INDEX(Variables!$B$7:$D$7,IFERROR(MATCH(IF($B803="Robusta","Robusta",(IF($B803="","Arabica",$B803))&amp;" - "&amp;(IF($C803="","Commercial",$C803))),Variables!$B$1:$D$1,0),1))*AK803/365)+(L803/16.67*INDEX(Variables!$B$8:$D$8,IFERROR(MATCH(IF($B803="Robusta","Robusta",(IF($B803="","Arabica",$B803))&amp;" - "&amp;(IF($C803="","Commercial",$C803))),Variables!$B$1:$D$1,0),1))*AK803)+(W803*INDEX(Variables!$B$9:$D$9,IFERROR(MATCH(IF($B803="Robusta","Robusta",(IF($B803="","Arabica",$B803))&amp;" - "&amp;(IF($C803="","Commercial",$C803))),Variables!$B$1:$D$1,0),1))*AK803/365),""))</f>
        <v>230.95567516155813</v>
      </c>
      <c r="BI803" s="44" t="str">
        <f>IF($AX803="Cancelled","",IFERROR((W803*INDEX(Variables!$B$7:$D$7,IFERROR(MATCH(IF($B803="Robusta","Robusta",(IF($B803="","Arabica",$B803))&amp;" - "&amp;(IF($C803="","Commercial",$C803))),Variables!$B$1:$D$1,0),1))*BD803/365)+(L803/16.67*INDEX(Variables!$B$8:$D$8,IFERROR(MATCH(IF($B803="Robusta","Robusta",(IF($B803="","Arabica",$B803))&amp;" - "&amp;(IF($C803="","Commercial",$C803))),Variables!$B$1:$D$1,0),1))*BD803)+(W803*INDEX(Variables!$B$9:$D$9,IFERROR(MATCH(IF($B803="Robusta","Robusta",(IF($B803="","Arabica",$B803))&amp;" - "&amp;(IF($C803="","Commercial",$C803))),Variables!$B$1:$D$1,0),1))*BD803/365),""))</f>
        <v/>
      </c>
      <c r="BJ803" s="44" t="str">
        <f t="shared" si="38"/>
        <v/>
      </c>
      <c r="BK803" s="44" t="str">
        <f>IF($AX803="Cancelled","",IFERROR(IF(BJ803="","",(W803*INDEX(Variables!$B$7:$D$7,IFERROR(MATCH(IF($B803="Robusta","Robusta",(IF($B803="","Arabica",$B803))&amp;" - "&amp;(IF($C803="","Commercial",$C803))),Variables!$B$1:$D$1,0),1))*(BJ803/365))+(W803*INDEX(Variables!$B$9:$D$9,IFERROR(MATCH(IF($B803="Robusta","Robusta",(IF($B803="","Arabica",$B803))&amp;" - "&amp;(IF($C803="","Commercial",$C803))),Variables!$B$1:$D$1,0),1))*(BJ803/365))+(INDEX(Variables!$B$8:$D$8,IFERROR(MATCH(IF($B803="Robusta","Robusta",(IF($B803="","Arabica",$B803))&amp;" - "&amp;(IF($C803="","Commercial",$C803))),Variables!$B$1:$D$1,0),1))*L803/16.67)),""))</f>
        <v/>
      </c>
    </row>
    <row r="804" spans="1:63">
      <c r="A804" s="13" t="s">
        <v>103</v>
      </c>
      <c r="B804" s="13" t="s">
        <v>104</v>
      </c>
      <c r="C804" s="13" t="s">
        <v>105</v>
      </c>
      <c r="D804" s="31">
        <v>46063</v>
      </c>
      <c r="E804" s="31">
        <v>46113</v>
      </c>
      <c r="F804" s="31">
        <v>46142</v>
      </c>
      <c r="G804" s="13">
        <v>3787237</v>
      </c>
      <c r="H804" s="13" t="s">
        <v>2136</v>
      </c>
      <c r="J804" s="13" t="s">
        <v>1234</v>
      </c>
      <c r="K804" s="13" t="s">
        <v>2136</v>
      </c>
      <c r="L804" s="13">
        <v>115</v>
      </c>
      <c r="M804" s="13">
        <v>0</v>
      </c>
      <c r="N804" s="13" t="s">
        <v>2133</v>
      </c>
      <c r="O804" s="13" t="s">
        <v>269</v>
      </c>
      <c r="P804" s="13">
        <v>10310</v>
      </c>
      <c r="R804" s="13" t="s">
        <v>110</v>
      </c>
      <c r="S804" s="13" t="s">
        <v>167</v>
      </c>
      <c r="T804" s="13" t="s">
        <v>2137</v>
      </c>
      <c r="U804" s="13" t="s">
        <v>125</v>
      </c>
      <c r="V804" s="23">
        <v>93</v>
      </c>
      <c r="W804" s="44">
        <f>IF($AX804="Cancelled","",IFERROR(((V804+INDEX(Variables!$B$6:$D$6,IFERROR(MATCH(IF($B804="Robusta","Robusta",(IF($B804="","Arabica",$B804))&amp;" - "&amp;(IF($C804="","Commercial",$C804))),Variables!$B$1:$D$1,0),1)))*22.0462)*(L804/16.67),""))</f>
        <v>58371.513461307739</v>
      </c>
      <c r="X804" s="55" t="s">
        <v>37</v>
      </c>
      <c r="Y804" s="13" t="str">
        <f>IF($AX804="Cancelled","",IF(X804="","",IFERROR(IF(INDEX(Variables!$B$38:$B$47,MATCH(X804,Variables!$A$38:$A$47,0))="Yes","Yes","No"),"No")))</f>
        <v>Yes</v>
      </c>
      <c r="Z804" s="58">
        <v>46080</v>
      </c>
      <c r="AB804" s="31">
        <v>46094</v>
      </c>
      <c r="AC804" s="13" t="str">
        <f t="shared" si="37"/>
        <v>Approved</v>
      </c>
      <c r="AF804" s="71">
        <v>46122</v>
      </c>
      <c r="AG804" s="37">
        <f>IF($AX804="Cancelled","",IFERROR(IF(F804="","",F804-Variables!$B$13),""))</f>
        <v>46127</v>
      </c>
      <c r="AH804" s="13">
        <f>IF($AX804="Cancelled","",IFERROR(IF(AB804="","",(AVERAGE(E804:F804)-AB804)-Variables!$B$14),""))</f>
        <v>3.5</v>
      </c>
      <c r="AJ804" s="47">
        <v>46130</v>
      </c>
      <c r="AK804" s="14">
        <f>IF($AX804="Cancelled","",IFERROR(IF(AJ804="","",IF(AND(AB804="",AF804=""),"",IF(AF804&gt;AB804,AF804+Variables!$B$15+Variables!$B$16+Variables!$B$17-AJ804,AB804+Variables!$B$16+Variables!$B$17-AJ804))),""))</f>
        <v>7</v>
      </c>
      <c r="AL804" s="48" t="s">
        <v>114</v>
      </c>
      <c r="AM804" s="13" t="s">
        <v>115</v>
      </c>
      <c r="AN804" s="13" t="s">
        <v>2134</v>
      </c>
      <c r="AP804" s="31">
        <v>46181</v>
      </c>
      <c r="AR804" s="13">
        <v>269356201</v>
      </c>
      <c r="AS804" s="31" t="s">
        <v>2078</v>
      </c>
      <c r="AU804" s="31">
        <v>46184</v>
      </c>
      <c r="AV804" s="13" t="s">
        <v>8</v>
      </c>
      <c r="AW804" s="31">
        <v>46184</v>
      </c>
      <c r="AX804" s="13" t="str">
        <f>IF(ISNUMBER(SEARCH("cancel",#REF!)),"Cancelled",IF(AND(AS804&lt;&gt;"",AU804&lt;&gt;"",AW804&lt;&gt;""),"Closed","Open"))</f>
        <v>Closed</v>
      </c>
      <c r="AY804" s="15" t="str">
        <f t="shared" si="36"/>
        <v>All dates received</v>
      </c>
      <c r="BD804" s="13" t="str">
        <f>IF($AX804="Cancelled","",IFERROR(IF(OR(AS804="",AJ804=""),"",(AJ804+Variables!$B$18-AS804)),""))</f>
        <v/>
      </c>
      <c r="BE804" s="13" t="str">
        <f>IF($AX804="Cancelled","",IFERROR(IF(OR(AW804="",AS804=""),"",(AS804+Variables!$B$19)-AW804),""))</f>
        <v/>
      </c>
      <c r="BF804" s="44" t="str">
        <f>IF($AX804="Cancelled","",IFERROR(W804*INDEX(Variables!$B$7:$D$7,IFERROR(MATCH(IF($B804="Robusta","Robusta",(IF($B804="","Arabica",$B804))&amp;" - "&amp;(IF($C804="","Commercial",$C804))),Variables!$B$1:$D$1,0),1))*(BE804/365),""))</f>
        <v/>
      </c>
      <c r="BG804" s="44">
        <f>IF($AX804="Cancelled","",IFERROR((W804*INDEX(Variables!$B$7:$D$7,IFERROR(MATCH(IF($B804="Robusta","Robusta",(IF($B804="","Arabica",$B804))&amp;" - "&amp;(IF($C804="","Commercial",$C804))),Variables!$B$1:$D$1,0),1))*IFERROR(IF(AB804="","",(AVERAGE(E804:F804)-AB804)-Variables!$B$14),"")/365)+(L804/16.67*INDEX(Variables!$B$8:$D$8,IFERROR(MATCH(IF($B804="Robusta","Robusta",(IF($B804="","Arabica",$B804))&amp;" - "&amp;(IF($C804="","Commercial",$C804))),Variables!$B$1:$D$1,0),1))*IFERROR(IF(AB804="","",(AVERAGE(E804:F804)-AB804)-Variables!$B$14),""))+(W804*INDEX(Variables!$B$9:$D$9,IFERROR(MATCH(IF($B804="Robusta","Robusta",(IF($B804="","Arabica",$B804))&amp;" - "&amp;(IF($C804="","Commercial",$C804))),Variables!$B$1:$D$1,0),1))*IFERROR(IF(AB804="","",(AVERAGE(E804:F804)-AB804)-Variables!$B$14),"")/365),""))</f>
        <v>56.682719056418989</v>
      </c>
      <c r="BH804" s="44">
        <f>IF($AX804="Cancelled","",IFERROR((W804*INDEX(Variables!$B$7:$D$7,IFERROR(MATCH(IF($B804="Robusta","Robusta",(IF($B804="","Arabica",$B804))&amp;" - "&amp;(IF($C804="","Commercial",$C804))),Variables!$B$1:$D$1,0),1))*AK804/365)+(L804/16.67*INDEX(Variables!$B$8:$D$8,IFERROR(MATCH(IF($B804="Robusta","Robusta",(IF($B804="","Arabica",$B804))&amp;" - "&amp;(IF($C804="","Commercial",$C804))),Variables!$B$1:$D$1,0),1))*AK804)+(W804*INDEX(Variables!$B$9:$D$9,IFERROR(MATCH(IF($B804="Robusta","Robusta",(IF($B804="","Arabica",$B804))&amp;" - "&amp;(IF($C804="","Commercial",$C804))),Variables!$B$1:$D$1,0),1))*AK804/365),""))</f>
        <v>113.36543811283798</v>
      </c>
      <c r="BI804" s="44" t="str">
        <f>IF($AX804="Cancelled","",IFERROR((W804*INDEX(Variables!$B$7:$D$7,IFERROR(MATCH(IF($B804="Robusta","Robusta",(IF($B804="","Arabica",$B804))&amp;" - "&amp;(IF($C804="","Commercial",$C804))),Variables!$B$1:$D$1,0),1))*BD804/365)+(L804/16.67*INDEX(Variables!$B$8:$D$8,IFERROR(MATCH(IF($B804="Robusta","Robusta",(IF($B804="","Arabica",$B804))&amp;" - "&amp;(IF($C804="","Commercial",$C804))),Variables!$B$1:$D$1,0),1))*BD804)+(W804*INDEX(Variables!$B$9:$D$9,IFERROR(MATCH(IF($B804="Robusta","Robusta",(IF($B804="","Arabica",$B804))&amp;" - "&amp;(IF($C804="","Commercial",$C804))),Variables!$B$1:$D$1,0),1))*BD804/365),""))</f>
        <v/>
      </c>
      <c r="BJ804" s="44" t="str">
        <f t="shared" si="38"/>
        <v/>
      </c>
      <c r="BK804" s="44" t="str">
        <f>IF($AX804="Cancelled","",IFERROR(IF(BJ804="","",(W804*INDEX(Variables!$B$7:$D$7,IFERROR(MATCH(IF($B804="Robusta","Robusta",(IF($B804="","Arabica",$B804))&amp;" - "&amp;(IF($C804="","Commercial",$C804))),Variables!$B$1:$D$1,0),1))*(BJ804/365))+(W804*INDEX(Variables!$B$9:$D$9,IFERROR(MATCH(IF($B804="Robusta","Robusta",(IF($B804="","Arabica",$B804))&amp;" - "&amp;(IF($C804="","Commercial",$C804))),Variables!$B$1:$D$1,0),1))*(BJ804/365))+(INDEX(Variables!$B$8:$D$8,IFERROR(MATCH(IF($B804="Robusta","Robusta",(IF($B804="","Arabica",$B804))&amp;" - "&amp;(IF($C804="","Commercial",$C804))),Variables!$B$1:$D$1,0),1))*L804/16.67)),""))</f>
        <v/>
      </c>
    </row>
    <row r="805" spans="1:63">
      <c r="A805" s="13" t="s">
        <v>103</v>
      </c>
      <c r="B805" s="13" t="s">
        <v>104</v>
      </c>
      <c r="C805" s="13" t="s">
        <v>292</v>
      </c>
      <c r="D805" s="31">
        <v>46060</v>
      </c>
      <c r="E805" s="31">
        <v>46082</v>
      </c>
      <c r="F805" s="31">
        <v>46112</v>
      </c>
      <c r="G805" s="13">
        <v>3787238</v>
      </c>
      <c r="J805" s="13" t="s">
        <v>2138</v>
      </c>
      <c r="K805" s="13" t="s">
        <v>2139</v>
      </c>
      <c r="L805" s="13">
        <v>30</v>
      </c>
      <c r="M805" s="13">
        <v>1</v>
      </c>
      <c r="N805" s="13" t="s">
        <v>2140</v>
      </c>
      <c r="O805" s="13" t="s">
        <v>297</v>
      </c>
      <c r="P805" s="13">
        <v>10020</v>
      </c>
      <c r="R805" s="13" t="s">
        <v>239</v>
      </c>
      <c r="S805" s="13" t="s">
        <v>463</v>
      </c>
      <c r="T805" s="13" t="s">
        <v>458</v>
      </c>
      <c r="U805" s="13" t="s">
        <v>125</v>
      </c>
      <c r="V805" s="13">
        <v>175.1</v>
      </c>
      <c r="W805" s="44">
        <f>IF($AX805="Cancelled","",IFERROR(((V805+INDEX(Variables!$B$6:$D$6,IFERROR(MATCH(IF($B805="Robusta","Robusta",(IF($B805="","Arabica",$B805))&amp;" - "&amp;(IF($C805="","Commercial",$C805))),Variables!$B$1:$D$1,0),1)))*22.0462)*(L805/16.67),""))</f>
        <v>18484.68730653869</v>
      </c>
      <c r="X805" s="55" t="s">
        <v>39</v>
      </c>
      <c r="Y805" s="13" t="str">
        <f>IF($AX805="Cancelled","",IF(X805="","",IFERROR(IF(INDEX(Variables!$B$38:$B$47,MATCH(X805,Variables!$A$38:$A$47,0))="Yes","Yes","No"),"No")))</f>
        <v>No</v>
      </c>
      <c r="Z805" s="31"/>
      <c r="AC805" s="13" t="str">
        <f t="shared" si="37"/>
        <v/>
      </c>
      <c r="AF805" s="71">
        <v>46112</v>
      </c>
      <c r="AG805" s="37">
        <f>IF($AX805="Cancelled","",IFERROR(IF(F805="","",F805-Variables!$B$13),""))</f>
        <v>46097</v>
      </c>
      <c r="AH805" s="13" t="str">
        <f>IF($AX805="Cancelled","",IFERROR(IF(AB805="","",(AVERAGE(E805:F805)-AB805)-Variables!$B$14),""))</f>
        <v/>
      </c>
      <c r="AJ805" s="47">
        <v>46126</v>
      </c>
      <c r="AK805" s="14">
        <f>IF($AX805="Cancelled","",IFERROR(IF(AJ805="","",IF(AND(AB805="",AF805=""),"",IF(AF805&gt;AB805,AF805+Variables!$B$15+Variables!$B$16+Variables!$B$17-AJ805,AB805+Variables!$B$16+Variables!$B$17-AJ805))),""))</f>
        <v>1</v>
      </c>
      <c r="AL805" s="48" t="s">
        <v>114</v>
      </c>
      <c r="AM805" s="13" t="s">
        <v>1526</v>
      </c>
      <c r="AN805" s="13" t="s">
        <v>2141</v>
      </c>
      <c r="AP805" s="31" t="e">
        <v>#N/A</v>
      </c>
      <c r="AR805" s="13" t="s">
        <v>2142</v>
      </c>
      <c r="AS805" s="31">
        <v>46150</v>
      </c>
      <c r="AU805" s="31">
        <v>46158</v>
      </c>
      <c r="AV805" s="13" t="s">
        <v>865</v>
      </c>
      <c r="AW805" s="31">
        <v>46163</v>
      </c>
      <c r="AX805" s="13" t="str">
        <f>IF(ISNUMBER(SEARCH("cancel",#REF!)),"Cancelled",IF(AND(AS805&lt;&gt;"",AU805&lt;&gt;"",AW805&lt;&gt;""),"Closed","Open"))</f>
        <v>Closed</v>
      </c>
      <c r="AY805" s="15" t="str">
        <f t="shared" si="36"/>
        <v>All dates received</v>
      </c>
      <c r="BD805" s="13">
        <f>IF($AX805="Cancelled","",IFERROR(IF(OR(AS805="",AJ805=""),"",(AJ805+Variables!$B$18-AS805)),""))</f>
        <v>-9</v>
      </c>
      <c r="BE805" s="13">
        <f>IF($AX805="Cancelled","",IFERROR(IF(OR(AW805="",AS805=""),"",(AS805+Variables!$B$19)-AW805),""))</f>
        <v>-8</v>
      </c>
      <c r="BF805" s="44">
        <f>IF($AX805="Cancelled","",IFERROR(W805*INDEX(Variables!$B$7:$D$7,IFERROR(MATCH(IF($B805="Robusta","Robusta",(IF($B805="","Arabica",$B805))&amp;" - "&amp;(IF($C805="","Commercial",$C805))),Variables!$B$1:$D$1,0),1))*(BE805/365),""))</f>
        <v>-26.124565563565792</v>
      </c>
      <c r="BG805" s="44" t="str">
        <f>IF($AX805="Cancelled","",IFERROR((W805*INDEX(Variables!$B$7:$D$7,IFERROR(MATCH(IF($B805="Robusta","Robusta",(IF($B805="","Arabica",$B805))&amp;" - "&amp;(IF($C805="","Commercial",$C805))),Variables!$B$1:$D$1,0),1))*IFERROR(IF(AB805="","",(AVERAGE(E805:F805)-AB805)-Variables!$B$14),"")/365)+(L805/16.67*INDEX(Variables!$B$8:$D$8,IFERROR(MATCH(IF($B805="Robusta","Robusta",(IF($B805="","Arabica",$B805))&amp;" - "&amp;(IF($C805="","Commercial",$C805))),Variables!$B$1:$D$1,0),1))*IFERROR(IF(AB805="","",(AVERAGE(E805:F805)-AB805)-Variables!$B$14),""))+(W805*INDEX(Variables!$B$9:$D$9,IFERROR(MATCH(IF($B805="Robusta","Robusta",(IF($B805="","Arabica",$B805))&amp;" - "&amp;(IF($C805="","Commercial",$C805))),Variables!$B$1:$D$1,0),1))*IFERROR(IF(AB805="","",(AVERAGE(E805:F805)-AB805)-Variables!$B$14),"")/365),""))</f>
        <v/>
      </c>
      <c r="BH805" s="44">
        <f>IF($AX805="Cancelled","",IFERROR((W805*INDEX(Variables!$B$7:$D$7,IFERROR(MATCH(IF($B805="Robusta","Robusta",(IF($B805="","Arabica",$B805))&amp;" - "&amp;(IF($C805="","Commercial",$C805))),Variables!$B$1:$D$1,0),1))*AK805/365)+(L805/16.67*INDEX(Variables!$B$8:$D$8,IFERROR(MATCH(IF($B805="Robusta","Robusta",(IF($B805="","Arabica",$B805))&amp;" - "&amp;(IF($C805="","Commercial",$C805))),Variables!$B$1:$D$1,0),1))*AK805)+(W805*INDEX(Variables!$B$9:$D$9,IFERROR(MATCH(IF($B805="Robusta","Robusta",(IF($B805="","Arabica",$B805))&amp;" - "&amp;(IF($C805="","Commercial",$C805))),Variables!$B$1:$D$1,0),1))*AK805/365),""))</f>
        <v>4.8076702038236032</v>
      </c>
      <c r="BI805" s="44">
        <f>IF($AX805="Cancelled","",IFERROR((W805*INDEX(Variables!$B$7:$D$7,IFERROR(MATCH(IF($B805="Robusta","Robusta",(IF($B805="","Arabica",$B805))&amp;" - "&amp;(IF($C805="","Commercial",$C805))),Variables!$B$1:$D$1,0),1))*BD805/365)+(L805/16.67*INDEX(Variables!$B$8:$D$8,IFERROR(MATCH(IF($B805="Robusta","Robusta",(IF($B805="","Arabica",$B805))&amp;" - "&amp;(IF($C805="","Commercial",$C805))),Variables!$B$1:$D$1,0),1))*BD805)+(W805*INDEX(Variables!$B$9:$D$9,IFERROR(MATCH(IF($B805="Robusta","Robusta",(IF($B805="","Arabica",$B805))&amp;" - "&amp;(IF($C805="","Commercial",$C805))),Variables!$B$1:$D$1,0),1))*BD805/365),""))</f>
        <v>-43.269031834412417</v>
      </c>
      <c r="BJ805" s="44">
        <f t="shared" si="38"/>
        <v>-38</v>
      </c>
      <c r="BK805" s="44">
        <f>IF($AX805="Cancelled","",IFERROR(IF(BJ805="","",(W805*INDEX(Variables!$B$7:$D$7,IFERROR(MATCH(IF($B805="Robusta","Robusta",(IF($B805="","Arabica",$B805))&amp;" - "&amp;(IF($C805="","Commercial",$C805))),Variables!$B$1:$D$1,0),1))*(BJ805/365))+(W805*INDEX(Variables!$B$9:$D$9,IFERROR(MATCH(IF($B805="Robusta","Robusta",(IF($B805="","Arabica",$B805))&amp;" - "&amp;(IF($C805="","Commercial",$C805))),Variables!$B$1:$D$1,0),1))*(BJ805/365))+(INDEX(Variables!$B$8:$D$8,IFERROR(MATCH(IF($B805="Robusta","Robusta",(IF($B805="","Arabica",$B805))&amp;" - "&amp;(IF($C805="","Commercial",$C805))),Variables!$B$1:$D$1,0),1))*L805/16.67)),""))</f>
        <v>-124.19146774529689</v>
      </c>
    </row>
    <row r="806" spans="1:63">
      <c r="A806" s="13" t="s">
        <v>103</v>
      </c>
      <c r="B806" s="13" t="s">
        <v>104</v>
      </c>
      <c r="C806" s="13" t="s">
        <v>292</v>
      </c>
      <c r="D806" s="31">
        <v>46060</v>
      </c>
      <c r="E806" s="31">
        <v>46082</v>
      </c>
      <c r="F806" s="31">
        <v>46112</v>
      </c>
      <c r="G806" s="13">
        <v>3787239</v>
      </c>
      <c r="J806" s="13" t="s">
        <v>2138</v>
      </c>
      <c r="K806" s="13" t="s">
        <v>2143</v>
      </c>
      <c r="L806" s="13">
        <v>30</v>
      </c>
      <c r="M806" s="13">
        <v>0</v>
      </c>
      <c r="N806" s="13" t="s">
        <v>2144</v>
      </c>
      <c r="O806" s="13" t="s">
        <v>304</v>
      </c>
      <c r="P806" s="13">
        <v>10010</v>
      </c>
      <c r="R806" s="13" t="s">
        <v>384</v>
      </c>
      <c r="S806" s="13" t="s">
        <v>463</v>
      </c>
      <c r="T806" s="13" t="s">
        <v>458</v>
      </c>
      <c r="U806" s="13" t="s">
        <v>125</v>
      </c>
      <c r="V806" s="13">
        <v>228.1</v>
      </c>
      <c r="W806" s="44">
        <f>IF($AX806="Cancelled","",IFERROR(((V806+INDEX(Variables!$B$6:$D$6,IFERROR(MATCH(IF($B806="Robusta","Robusta",(IF($B806="","Arabica",$B806))&amp;" - "&amp;(IF($C806="","Commercial",$C806))),Variables!$B$1:$D$1,0),1)))*22.0462)*(L806/16.67),""))</f>
        <v>20587.474229154166</v>
      </c>
      <c r="X806" s="55" t="s">
        <v>39</v>
      </c>
      <c r="Y806" s="13" t="str">
        <f>IF($AX806="Cancelled","",IF(X806="","",IFERROR(IF(INDEX(Variables!$B$38:$B$47,MATCH(X806,Variables!$A$38:$A$47,0))="Yes","Yes","No"),"No")))</f>
        <v>No</v>
      </c>
      <c r="Z806" s="31"/>
      <c r="AC806" s="13" t="str">
        <f t="shared" si="37"/>
        <v/>
      </c>
      <c r="AF806" s="71">
        <v>46112</v>
      </c>
      <c r="AG806" s="37">
        <f>IF($AX806="Cancelled","",IFERROR(IF(F806="","",F806-Variables!$B$13),""))</f>
        <v>46097</v>
      </c>
      <c r="AH806" s="13" t="str">
        <f>IF($AX806="Cancelled","",IFERROR(IF(AB806="","",(AVERAGE(E806:F806)-AB806)-Variables!$B$14),""))</f>
        <v/>
      </c>
      <c r="AJ806" s="47">
        <v>46126</v>
      </c>
      <c r="AK806" s="14">
        <f>IF($AX806="Cancelled","",IFERROR(IF(AJ806="","",IF(AND(AB806="",AF806=""),"",IF(AF806&gt;AB806,AF806+Variables!$B$15+Variables!$B$16+Variables!$B$17-AJ806,AB806+Variables!$B$16+Variables!$B$17-AJ806))),""))</f>
        <v>1</v>
      </c>
      <c r="AL806" s="48" t="s">
        <v>114</v>
      </c>
      <c r="AM806" s="13" t="s">
        <v>1526</v>
      </c>
      <c r="AN806" s="13" t="s">
        <v>2141</v>
      </c>
      <c r="AP806" s="31" t="e">
        <v>#N/A</v>
      </c>
      <c r="AR806" s="13" t="s">
        <v>2142</v>
      </c>
      <c r="AS806" s="31">
        <v>46150</v>
      </c>
      <c r="AU806" s="31">
        <v>46158</v>
      </c>
      <c r="AV806" s="13" t="s">
        <v>865</v>
      </c>
      <c r="AW806" s="31">
        <v>46163</v>
      </c>
      <c r="AX806" s="13" t="str">
        <f>IF(ISNUMBER(SEARCH("cancel",#REF!)),"Cancelled",IF(AND(AS806&lt;&gt;"",AU806&lt;&gt;"",AW806&lt;&gt;""),"Closed","Open"))</f>
        <v>Closed</v>
      </c>
      <c r="AY806" s="15" t="str">
        <f t="shared" si="36"/>
        <v>All dates received</v>
      </c>
      <c r="BD806" s="13">
        <f>IF($AX806="Cancelled","",IFERROR(IF(OR(AS806="",AJ806=""),"",(AJ806+Variables!$B$18-AS806)),""))</f>
        <v>-9</v>
      </c>
      <c r="BE806" s="13">
        <f>IF($AX806="Cancelled","",IFERROR(IF(OR(AW806="",AS806=""),"",(AS806+Variables!$B$19)-AW806),""))</f>
        <v>-8</v>
      </c>
      <c r="BF806" s="44">
        <f>IF($AX806="Cancelled","",IFERROR(W806*INDEX(Variables!$B$7:$D$7,IFERROR(MATCH(IF($B806="Robusta","Robusta",(IF($B806="","Arabica",$B806))&amp;" - "&amp;(IF($C806="","Commercial",$C806))),Variables!$B$1:$D$1,0),1))*(BE806/365),""))</f>
        <v>-29.096452180584436</v>
      </c>
      <c r="BG806" s="44" t="str">
        <f>IF($AX806="Cancelled","",IFERROR((W806*INDEX(Variables!$B$7:$D$7,IFERROR(MATCH(IF($B806="Robusta","Robusta",(IF($B806="","Arabica",$B806))&amp;" - "&amp;(IF($C806="","Commercial",$C806))),Variables!$B$1:$D$1,0),1))*IFERROR(IF(AB806="","",(AVERAGE(E806:F806)-AB806)-Variables!$B$14),"")/365)+(L806/16.67*INDEX(Variables!$B$8:$D$8,IFERROR(MATCH(IF($B806="Robusta","Robusta",(IF($B806="","Arabica",$B806))&amp;" - "&amp;(IF($C806="","Commercial",$C806))),Variables!$B$1:$D$1,0),1))*IFERROR(IF(AB806="","",(AVERAGE(E806:F806)-AB806)-Variables!$B$14),""))+(W806*INDEX(Variables!$B$9:$D$9,IFERROR(MATCH(IF($B806="Robusta","Robusta",(IF($B806="","Arabica",$B806))&amp;" - "&amp;(IF($C806="","Commercial",$C806))),Variables!$B$1:$D$1,0),1))*IFERROR(IF(AB806="","",(AVERAGE(E806:F806)-AB806)-Variables!$B$14),"")/365),""))</f>
        <v/>
      </c>
      <c r="BH806" s="44">
        <f>IF($AX806="Cancelled","",IFERROR((W806*INDEX(Variables!$B$7:$D$7,IFERROR(MATCH(IF($B806="Robusta","Robusta",(IF($B806="","Arabica",$B806))&amp;" - "&amp;(IF($C806="","Commercial",$C806))),Variables!$B$1:$D$1,0),1))*AK806/365)+(L806/16.67*INDEX(Variables!$B$8:$D$8,IFERROR(MATCH(IF($B806="Robusta","Robusta",(IF($B806="","Arabica",$B806))&amp;" - "&amp;(IF($C806="","Commercial",$C806))),Variables!$B$1:$D$1,0),1))*AK806)+(W806*INDEX(Variables!$B$9:$D$9,IFERROR(MATCH(IF($B806="Robusta","Robusta",(IF($B806="","Arabica",$B806))&amp;" - "&amp;(IF($C806="","Commercial",$C806))),Variables!$B$1:$D$1,0),1))*AK806/365),""))</f>
        <v>5.1839452001804407</v>
      </c>
      <c r="BI806" s="44">
        <f>IF($AX806="Cancelled","",IFERROR((W806*INDEX(Variables!$B$7:$D$7,IFERROR(MATCH(IF($B806="Robusta","Robusta",(IF($B806="","Arabica",$B806))&amp;" - "&amp;(IF($C806="","Commercial",$C806))),Variables!$B$1:$D$1,0),1))*BD806/365)+(L806/16.67*INDEX(Variables!$B$8:$D$8,IFERROR(MATCH(IF($B806="Robusta","Robusta",(IF($B806="","Arabica",$B806))&amp;" - "&amp;(IF($C806="","Commercial",$C806))),Variables!$B$1:$D$1,0),1))*BD806)+(W806*INDEX(Variables!$B$9:$D$9,IFERROR(MATCH(IF($B806="Robusta","Robusta",(IF($B806="","Arabica",$B806))&amp;" - "&amp;(IF($C806="","Commercial",$C806))),Variables!$B$1:$D$1,0),1))*BD806/365),""))</f>
        <v>-46.655506801623964</v>
      </c>
      <c r="BJ806" s="44">
        <f t="shared" si="38"/>
        <v>-38</v>
      </c>
      <c r="BK806" s="44">
        <f>IF($AX806="Cancelled","",IFERROR(IF(BJ806="","",(W806*INDEX(Variables!$B$7:$D$7,IFERROR(MATCH(IF($B806="Robusta","Robusta",(IF($B806="","Arabica",$B806))&amp;" - "&amp;(IF($C806="","Commercial",$C806))),Variables!$B$1:$D$1,0),1))*(BJ806/365))+(W806*INDEX(Variables!$B$9:$D$9,IFERROR(MATCH(IF($B806="Robusta","Robusta",(IF($B806="","Arabica",$B806))&amp;" - "&amp;(IF($C806="","Commercial",$C806))),Variables!$B$1:$D$1,0),1))*(BJ806/365))+(INDEX(Variables!$B$8:$D$8,IFERROR(MATCH(IF($B806="Robusta","Robusta",(IF($B806="","Arabica",$B806))&amp;" - "&amp;(IF($C806="","Commercial",$C806))),Variables!$B$1:$D$1,0),1))*L806/16.67)),""))</f>
        <v>-138.48991760685675</v>
      </c>
    </row>
    <row r="807" spans="1:63">
      <c r="A807" s="13" t="s">
        <v>103</v>
      </c>
      <c r="B807" s="13" t="s">
        <v>104</v>
      </c>
      <c r="C807" s="13" t="s">
        <v>292</v>
      </c>
      <c r="D807" s="31">
        <v>46060</v>
      </c>
      <c r="E807" s="31">
        <v>46082</v>
      </c>
      <c r="F807" s="31">
        <v>46112</v>
      </c>
      <c r="G807" s="13">
        <v>3787240</v>
      </c>
      <c r="J807" s="13" t="s">
        <v>2138</v>
      </c>
      <c r="K807" s="13" t="s">
        <v>2145</v>
      </c>
      <c r="L807" s="13">
        <v>40</v>
      </c>
      <c r="M807" s="13">
        <v>0</v>
      </c>
      <c r="N807" s="13" t="s">
        <v>2146</v>
      </c>
      <c r="O807" s="13" t="s">
        <v>297</v>
      </c>
      <c r="P807" s="13">
        <v>10020</v>
      </c>
      <c r="R807" s="13" t="s">
        <v>239</v>
      </c>
      <c r="S807" s="13" t="s">
        <v>463</v>
      </c>
      <c r="T807" s="13" t="s">
        <v>458</v>
      </c>
      <c r="U807" s="13" t="s">
        <v>125</v>
      </c>
      <c r="V807" s="13">
        <v>160.1</v>
      </c>
      <c r="W807" s="44">
        <f>IF($AX807="Cancelled","",IFERROR(((V807+INDEX(Variables!$B$6:$D$6,IFERROR(MATCH(IF($B807="Robusta","Robusta",(IF($B807="","Arabica",$B807))&amp;" - "&amp;(IF($C807="","Commercial",$C807))),Variables!$B$1:$D$1,0),1)))*22.0462)*(L807/16.67),""))</f>
        <v>23852.745242951405</v>
      </c>
      <c r="X807" s="55" t="s">
        <v>39</v>
      </c>
      <c r="Y807" s="13" t="str">
        <f>IF($AX807="Cancelled","",IF(X807="","",IFERROR(IF(INDEX(Variables!$B$38:$B$47,MATCH(X807,Variables!$A$38:$A$47,0))="Yes","Yes","No"),"No")))</f>
        <v>No</v>
      </c>
      <c r="Z807" s="31"/>
      <c r="AC807" s="13" t="str">
        <f t="shared" si="37"/>
        <v/>
      </c>
      <c r="AF807" s="71">
        <v>46121</v>
      </c>
      <c r="AG807" s="37">
        <f>IF($AX807="Cancelled","",IFERROR(IF(F807="","",F807-Variables!$B$13),""))</f>
        <v>46097</v>
      </c>
      <c r="AH807" s="13" t="str">
        <f>IF($AX807="Cancelled","",IFERROR(IF(AB807="","",(AVERAGE(E807:F807)-AB807)-Variables!$B$14),""))</f>
        <v/>
      </c>
      <c r="AJ807" s="47">
        <v>46126</v>
      </c>
      <c r="AK807" s="14">
        <f>IF($AX807="Cancelled","",IFERROR(IF(AJ807="","",IF(AND(AB807="",AF807=""),"",IF(AF807&gt;AB807,AF807+Variables!$B$15+Variables!$B$16+Variables!$B$17-AJ807,AB807+Variables!$B$16+Variables!$B$17-AJ807))),""))</f>
        <v>10</v>
      </c>
      <c r="AL807" s="48" t="s">
        <v>114</v>
      </c>
      <c r="AM807" s="13" t="s">
        <v>1526</v>
      </c>
      <c r="AN807" s="13" t="s">
        <v>2141</v>
      </c>
      <c r="AP807" s="31" t="e">
        <v>#N/A</v>
      </c>
      <c r="AR807" s="13" t="s">
        <v>2142</v>
      </c>
      <c r="AS807" s="31">
        <v>46150</v>
      </c>
      <c r="AU807" s="31">
        <v>46158</v>
      </c>
      <c r="AV807" s="13" t="s">
        <v>865</v>
      </c>
      <c r="AW807" s="31">
        <v>46163</v>
      </c>
      <c r="AX807" s="13" t="str">
        <f>IF(ISNUMBER(SEARCH("cancel",#REF!)),"Cancelled",IF(AND(AS807&lt;&gt;"",AU807&lt;&gt;"",AW807&lt;&gt;""),"Closed","Open"))</f>
        <v>Closed</v>
      </c>
      <c r="AY807" s="15" t="str">
        <f t="shared" si="36"/>
        <v>All dates received</v>
      </c>
      <c r="BD807" s="13">
        <f>IF($AX807="Cancelled","",IFERROR(IF(OR(AS807="",AJ807=""),"",(AJ807+Variables!$B$18-AS807)),""))</f>
        <v>-9</v>
      </c>
      <c r="BE807" s="13">
        <f>IF($AX807="Cancelled","",IFERROR(IF(OR(AW807="",AS807=""),"",(AS807+Variables!$B$19)-AW807),""))</f>
        <v>-8</v>
      </c>
      <c r="BF807" s="44">
        <f>IF($AX807="Cancelled","",IFERROR(W807*INDEX(Variables!$B$7:$D$7,IFERROR(MATCH(IF($B807="Robusta","Robusta",(IF($B807="","Arabica",$B807))&amp;" - "&amp;(IF($C807="","Commercial",$C807))),Variables!$B$1:$D$1,0),1))*(BE807/365),""))</f>
        <v>-33.711287436822822</v>
      </c>
      <c r="BG807" s="44" t="str">
        <f>IF($AX807="Cancelled","",IFERROR((W807*INDEX(Variables!$B$7:$D$7,IFERROR(MATCH(IF($B807="Robusta","Robusta",(IF($B807="","Arabica",$B807))&amp;" - "&amp;(IF($C807="","Commercial",$C807))),Variables!$B$1:$D$1,0),1))*IFERROR(IF(AB807="","",(AVERAGE(E807:F807)-AB807)-Variables!$B$14),"")/365)+(L807/16.67*INDEX(Variables!$B$8:$D$8,IFERROR(MATCH(IF($B807="Robusta","Robusta",(IF($B807="","Arabica",$B807))&amp;" - "&amp;(IF($C807="","Commercial",$C807))),Variables!$B$1:$D$1,0),1))*IFERROR(IF(AB807="","",(AVERAGE(E807:F807)-AB807)-Variables!$B$14),""))+(W807*INDEX(Variables!$B$9:$D$9,IFERROR(MATCH(IF($B807="Robusta","Robusta",(IF($B807="","Arabica",$B807))&amp;" - "&amp;(IF($C807="","Commercial",$C807))),Variables!$B$1:$D$1,0),1))*IFERROR(IF(AB807="","",(AVERAGE(E807:F807)-AB807)-Variables!$B$14),"")/365),""))</f>
        <v/>
      </c>
      <c r="BH807" s="44">
        <f>IF($AX807="Cancelled","",IFERROR((W807*INDEX(Variables!$B$7:$D$7,IFERROR(MATCH(IF($B807="Robusta","Robusta",(IF($B807="","Arabica",$B807))&amp;" - "&amp;(IF($C807="","Commercial",$C807))),Variables!$B$1:$D$1,0),1))*AK807/365)+(L807/16.67*INDEX(Variables!$B$8:$D$8,IFERROR(MATCH(IF($B807="Robusta","Robusta",(IF($B807="","Arabica",$B807))&amp;" - "&amp;(IF($C807="","Commercial",$C807))),Variables!$B$1:$D$1,0),1))*AK807)+(W807*INDEX(Variables!$B$9:$D$9,IFERROR(MATCH(IF($B807="Robusta","Robusta",(IF($B807="","Arabica",$B807))&amp;" - "&amp;(IF($C807="","Commercial",$C807))),Variables!$B$1:$D$1,0),1))*AK807/365),""))</f>
        <v>62.682363737685108</v>
      </c>
      <c r="BI807" s="44">
        <f>IF($AX807="Cancelled","",IFERROR((W807*INDEX(Variables!$B$7:$D$7,IFERROR(MATCH(IF($B807="Robusta","Robusta",(IF($B807="","Arabica",$B807))&amp;" - "&amp;(IF($C807="","Commercial",$C807))),Variables!$B$1:$D$1,0),1))*BD807/365)+(L807/16.67*INDEX(Variables!$B$8:$D$8,IFERROR(MATCH(IF($B807="Robusta","Robusta",(IF($B807="","Arabica",$B807))&amp;" - "&amp;(IF($C807="","Commercial",$C807))),Variables!$B$1:$D$1,0),1))*BD807)+(W807*INDEX(Variables!$B$9:$D$9,IFERROR(MATCH(IF($B807="Robusta","Robusta",(IF($B807="","Arabica",$B807))&amp;" - "&amp;(IF($C807="","Commercial",$C807))),Variables!$B$1:$D$1,0),1))*BD807/365),""))</f>
        <v>-56.414127363916599</v>
      </c>
      <c r="BJ807" s="44">
        <f t="shared" si="38"/>
        <v>-38</v>
      </c>
      <c r="BK807" s="44">
        <f>IF($AX807="Cancelled","",IFERROR(IF(BJ807="","",(W807*INDEX(Variables!$B$7:$D$7,IFERROR(MATCH(IF($B807="Robusta","Robusta",(IF($B807="","Arabica",$B807))&amp;" - "&amp;(IF($C807="","Commercial",$C807))),Variables!$B$1:$D$1,0),1))*(BJ807/365))+(W807*INDEX(Variables!$B$9:$D$9,IFERROR(MATCH(IF($B807="Robusta","Robusta",(IF($B807="","Arabica",$B807))&amp;" - "&amp;(IF($C807="","Commercial",$C807))),Variables!$B$1:$D$1,0),1))*(BJ807/365))+(INDEX(Variables!$B$8:$D$8,IFERROR(MATCH(IF($B807="Robusta","Robusta",(IF($B807="","Arabica",$B807))&amp;" - "&amp;(IF($C807="","Commercial",$C807))),Variables!$B$1:$D$1,0),1))*L807/16.67)),""))</f>
        <v>-160.19298220320343</v>
      </c>
    </row>
    <row r="808" spans="1:63">
      <c r="A808" s="13" t="s">
        <v>103</v>
      </c>
      <c r="B808" s="13" t="s">
        <v>104</v>
      </c>
      <c r="C808" s="13" t="s">
        <v>292</v>
      </c>
      <c r="D808" s="31">
        <v>46060</v>
      </c>
      <c r="E808" s="31">
        <v>46082</v>
      </c>
      <c r="F808" s="31">
        <v>46112</v>
      </c>
      <c r="G808" s="13">
        <v>3787241</v>
      </c>
      <c r="J808" s="13" t="s">
        <v>2138</v>
      </c>
      <c r="K808" s="13" t="s">
        <v>2147</v>
      </c>
      <c r="L808" s="13">
        <v>30</v>
      </c>
      <c r="M808" s="13">
        <v>0</v>
      </c>
      <c r="N808" s="13" t="s">
        <v>2148</v>
      </c>
      <c r="O808" s="13" t="s">
        <v>771</v>
      </c>
      <c r="P808" s="13">
        <v>10010</v>
      </c>
      <c r="R808" s="13" t="s">
        <v>239</v>
      </c>
      <c r="S808" s="13" t="s">
        <v>463</v>
      </c>
      <c r="T808" s="13" t="s">
        <v>458</v>
      </c>
      <c r="U808" s="13" t="s">
        <v>125</v>
      </c>
      <c r="V808" s="13">
        <v>170.1</v>
      </c>
      <c r="W808" s="44">
        <f>IF($AX808="Cancelled","",IFERROR(((V808+INDEX(Variables!$B$6:$D$6,IFERROR(MATCH(IF($B808="Robusta","Robusta",(IF($B808="","Arabica",$B808))&amp;" - "&amp;(IF($C808="","Commercial",$C808))),Variables!$B$1:$D$1,0),1)))*22.0462)*(L808/16.67),""))</f>
        <v>18286.311181763642</v>
      </c>
      <c r="X808" s="55" t="s">
        <v>39</v>
      </c>
      <c r="Y808" s="13" t="str">
        <f>IF($AX808="Cancelled","",IF(X808="","",IFERROR(IF(INDEX(Variables!$B$38:$B$47,MATCH(X808,Variables!$A$38:$A$47,0))="Yes","Yes","No"),"No")))</f>
        <v>No</v>
      </c>
      <c r="Z808" s="31"/>
      <c r="AC808" s="13" t="str">
        <f t="shared" si="37"/>
        <v/>
      </c>
      <c r="AF808" s="71">
        <v>46112</v>
      </c>
      <c r="AG808" s="37">
        <f>IF($AX808="Cancelled","",IFERROR(IF(F808="","",F808-Variables!$B$13),""))</f>
        <v>46097</v>
      </c>
      <c r="AH808" s="13" t="str">
        <f>IF($AX808="Cancelled","",IFERROR(IF(AB808="","",(AVERAGE(E808:F808)-AB808)-Variables!$B$14),""))</f>
        <v/>
      </c>
      <c r="AJ808" s="47">
        <v>46126</v>
      </c>
      <c r="AK808" s="14">
        <f>IF($AX808="Cancelled","",IFERROR(IF(AJ808="","",IF(AND(AB808="",AF808=""),"",IF(AF808&gt;AB808,AF808+Variables!$B$15+Variables!$B$16+Variables!$B$17-AJ808,AB808+Variables!$B$16+Variables!$B$17-AJ808))),""))</f>
        <v>1</v>
      </c>
      <c r="AL808" s="48" t="s">
        <v>114</v>
      </c>
      <c r="AM808" s="13" t="s">
        <v>1526</v>
      </c>
      <c r="AN808" s="13" t="s">
        <v>2141</v>
      </c>
      <c r="AP808" s="31" t="e">
        <v>#N/A</v>
      </c>
      <c r="AR808" s="13" t="s">
        <v>2142</v>
      </c>
      <c r="AS808" s="31">
        <v>46150</v>
      </c>
      <c r="AU808" s="31">
        <v>46158</v>
      </c>
      <c r="AV808" s="13" t="s">
        <v>865</v>
      </c>
      <c r="AW808" s="31">
        <v>46163</v>
      </c>
      <c r="AX808" s="13" t="str">
        <f>IF(ISNUMBER(SEARCH("cancel",#REF!)),"Cancelled",IF(AND(AS808&lt;&gt;"",AU808&lt;&gt;"",AW808&lt;&gt;""),"Closed","Open"))</f>
        <v>Closed</v>
      </c>
      <c r="AY808" s="15" t="str">
        <f t="shared" si="36"/>
        <v>All dates received</v>
      </c>
      <c r="BD808" s="13">
        <f>IF($AX808="Cancelled","",IFERROR(IF(OR(AS808="",AJ808=""),"",(AJ808+Variables!$B$18-AS808)),""))</f>
        <v>-9</v>
      </c>
      <c r="BE808" s="13">
        <f>IF($AX808="Cancelled","",IFERROR(IF(OR(AW808="",AS808=""),"",(AS808+Variables!$B$19)-AW808),""))</f>
        <v>-8</v>
      </c>
      <c r="BF808" s="44">
        <f>IF($AX808="Cancelled","",IFERROR(W808*INDEX(Variables!$B$7:$D$7,IFERROR(MATCH(IF($B808="Robusta","Robusta",(IF($B808="","Arabica",$B808))&amp;" - "&amp;(IF($C808="","Commercial",$C808))),Variables!$B$1:$D$1,0),1))*(BE808/365),""))</f>
        <v>-25.844198901582896</v>
      </c>
      <c r="BG808" s="44" t="str">
        <f>IF($AX808="Cancelled","",IFERROR((W808*INDEX(Variables!$B$7:$D$7,IFERROR(MATCH(IF($B808="Robusta","Robusta",(IF($B808="","Arabica",$B808))&amp;" - "&amp;(IF($C808="","Commercial",$C808))),Variables!$B$1:$D$1,0),1))*IFERROR(IF(AB808="","",(AVERAGE(E808:F808)-AB808)-Variables!$B$14),"")/365)+(L808/16.67*INDEX(Variables!$B$8:$D$8,IFERROR(MATCH(IF($B808="Robusta","Robusta",(IF($B808="","Arabica",$B808))&amp;" - "&amp;(IF($C808="","Commercial",$C808))),Variables!$B$1:$D$1,0),1))*IFERROR(IF(AB808="","",(AVERAGE(E808:F808)-AB808)-Variables!$B$14),""))+(W808*INDEX(Variables!$B$9:$D$9,IFERROR(MATCH(IF($B808="Robusta","Robusta",(IF($B808="","Arabica",$B808))&amp;" - "&amp;(IF($C808="","Commercial",$C808))),Variables!$B$1:$D$1,0),1))*IFERROR(IF(AB808="","",(AVERAGE(E808:F808)-AB808)-Variables!$B$14),"")/365),""))</f>
        <v/>
      </c>
      <c r="BH808" s="44">
        <f>IF($AX808="Cancelled","",IFERROR((W808*INDEX(Variables!$B$7:$D$7,IFERROR(MATCH(IF($B808="Robusta","Robusta",(IF($B808="","Arabica",$B808))&amp;" - "&amp;(IF($C808="","Commercial",$C808))),Variables!$B$1:$D$1,0),1))*AK808/365)+(L808/16.67*INDEX(Variables!$B$8:$D$8,IFERROR(MATCH(IF($B808="Robusta","Robusta",(IF($B808="","Arabica",$B808))&amp;" - "&amp;(IF($C808="","Commercial",$C808))),Variables!$B$1:$D$1,0),1))*AK808)+(W808*INDEX(Variables!$B$9:$D$9,IFERROR(MATCH(IF($B808="Robusta","Robusta",(IF($B808="","Arabica",$B808))&amp;" - "&amp;(IF($C808="","Commercial",$C808))),Variables!$B$1:$D$1,0),1))*AK808/365),""))</f>
        <v>4.7721725626578628</v>
      </c>
      <c r="BI808" s="44">
        <f>IF($AX808="Cancelled","",IFERROR((W808*INDEX(Variables!$B$7:$D$7,IFERROR(MATCH(IF($B808="Robusta","Robusta",(IF($B808="","Arabica",$B808))&amp;" - "&amp;(IF($C808="","Commercial",$C808))),Variables!$B$1:$D$1,0),1))*BD808/365)+(L808/16.67*INDEX(Variables!$B$8:$D$8,IFERROR(MATCH(IF($B808="Robusta","Robusta",(IF($B808="","Arabica",$B808))&amp;" - "&amp;(IF($C808="","Commercial",$C808))),Variables!$B$1:$D$1,0),1))*BD808)+(W808*INDEX(Variables!$B$9:$D$9,IFERROR(MATCH(IF($B808="Robusta","Robusta",(IF($B808="","Arabica",$B808))&amp;" - "&amp;(IF($C808="","Commercial",$C808))),Variables!$B$1:$D$1,0),1))*BD808/365),""))</f>
        <v>-42.949553063920767</v>
      </c>
      <c r="BJ808" s="44">
        <f t="shared" si="38"/>
        <v>-38</v>
      </c>
      <c r="BK808" s="44">
        <f>IF($AX808="Cancelled","",IFERROR(IF(BJ808="","",(W808*INDEX(Variables!$B$7:$D$7,IFERROR(MATCH(IF($B808="Robusta","Robusta",(IF($B808="","Arabica",$B808))&amp;" - "&amp;(IF($C808="","Commercial",$C808))),Variables!$B$1:$D$1,0),1))*(BJ808/365))+(W808*INDEX(Variables!$B$9:$D$9,IFERROR(MATCH(IF($B808="Robusta","Robusta",(IF($B808="","Arabica",$B808))&amp;" - "&amp;(IF($C808="","Commercial",$C808))),Variables!$B$1:$D$1,0),1))*(BJ808/365))+(INDEX(Variables!$B$8:$D$8,IFERROR(MATCH(IF($B808="Robusta","Robusta",(IF($B808="","Arabica",$B808))&amp;" - "&amp;(IF($C808="","Commercial",$C808))),Variables!$B$1:$D$1,0),1))*L808/16.67)),""))</f>
        <v>-122.84255738099877</v>
      </c>
    </row>
    <row r="809" spans="1:63">
      <c r="A809" s="13" t="s">
        <v>103</v>
      </c>
      <c r="B809" s="13" t="s">
        <v>104</v>
      </c>
      <c r="C809" s="13" t="s">
        <v>292</v>
      </c>
      <c r="D809" s="31">
        <v>46060</v>
      </c>
      <c r="E809" s="31">
        <v>46082</v>
      </c>
      <c r="F809" s="31">
        <v>46112</v>
      </c>
      <c r="G809" s="13">
        <v>3787242</v>
      </c>
      <c r="J809" s="13" t="s">
        <v>2138</v>
      </c>
      <c r="K809" s="13" t="s">
        <v>2149</v>
      </c>
      <c r="L809" s="13">
        <v>35</v>
      </c>
      <c r="M809" s="13">
        <v>0</v>
      </c>
      <c r="N809" s="13" t="s">
        <v>2150</v>
      </c>
      <c r="O809" s="13" t="s">
        <v>297</v>
      </c>
      <c r="P809" s="13">
        <v>10020</v>
      </c>
      <c r="R809" s="13" t="s">
        <v>384</v>
      </c>
      <c r="S809" s="13" t="s">
        <v>463</v>
      </c>
      <c r="T809" s="13" t="s">
        <v>458</v>
      </c>
      <c r="U809" s="13" t="s">
        <v>125</v>
      </c>
      <c r="V809" s="13">
        <v>197.1</v>
      </c>
      <c r="W809" s="44">
        <f>IF($AX809="Cancelled","",IFERROR(((V809+INDEX(Variables!$B$6:$D$6,IFERROR(MATCH(IF($B809="Robusta","Robusta",(IF($B809="","Arabica",$B809))&amp;" - "&amp;(IF($C809="","Commercial",$C809))),Variables!$B$1:$D$1,0),1)))*22.0462)*(L809/16.67),""))</f>
        <v>22583.799298140366</v>
      </c>
      <c r="X809" s="55" t="s">
        <v>39</v>
      </c>
      <c r="Y809" s="13" t="str">
        <f>IF($AX809="Cancelled","",IF(X809="","",IFERROR(IF(INDEX(Variables!$B$38:$B$47,MATCH(X809,Variables!$A$38:$A$47,0))="Yes","Yes","No"),"No")))</f>
        <v>No</v>
      </c>
      <c r="Z809" s="31"/>
      <c r="AC809" s="13" t="str">
        <f t="shared" si="37"/>
        <v/>
      </c>
      <c r="AF809" s="71">
        <v>46112</v>
      </c>
      <c r="AG809" s="37">
        <f>IF($AX809="Cancelled","",IFERROR(IF(F809="","",F809-Variables!$B$13),""))</f>
        <v>46097</v>
      </c>
      <c r="AH809" s="13" t="str">
        <f>IF($AX809="Cancelled","",IFERROR(IF(AB809="","",(AVERAGE(E809:F809)-AB809)-Variables!$B$14),""))</f>
        <v/>
      </c>
      <c r="AJ809" s="47">
        <v>46126</v>
      </c>
      <c r="AK809" s="14">
        <f>IF($AX809="Cancelled","",IFERROR(IF(AJ809="","",IF(AND(AB809="",AF809=""),"",IF(AF809&gt;AB809,AF809+Variables!$B$15+Variables!$B$16+Variables!$B$17-AJ809,AB809+Variables!$B$16+Variables!$B$17-AJ809))),""))</f>
        <v>1</v>
      </c>
      <c r="AL809" s="48" t="s">
        <v>114</v>
      </c>
      <c r="AM809" s="13" t="s">
        <v>1526</v>
      </c>
      <c r="AN809" s="13" t="s">
        <v>2141</v>
      </c>
      <c r="AP809" s="31" t="e">
        <v>#N/A</v>
      </c>
      <c r="AR809" s="13" t="s">
        <v>2142</v>
      </c>
      <c r="AS809" s="31">
        <v>46150</v>
      </c>
      <c r="AU809" s="31">
        <v>46158</v>
      </c>
      <c r="AV809" s="13" t="s">
        <v>865</v>
      </c>
      <c r="AW809" s="31">
        <v>46163</v>
      </c>
      <c r="AX809" s="13" t="str">
        <f>IF(ISNUMBER(SEARCH("cancel",#REF!)),"Cancelled",IF(AND(AS809&lt;&gt;"",AU809&lt;&gt;"",AW809&lt;&gt;""),"Closed","Open"))</f>
        <v>Closed</v>
      </c>
      <c r="AY809" s="15" t="str">
        <f t="shared" si="36"/>
        <v>All dates received</v>
      </c>
      <c r="BD809" s="13">
        <f>IF($AX809="Cancelled","",IFERROR(IF(OR(AS809="",AJ809=""),"",(AJ809+Variables!$B$18-AS809)),""))</f>
        <v>-9</v>
      </c>
      <c r="BE809" s="13">
        <f>IF($AX809="Cancelled","",IFERROR(IF(OR(AW809="",AS809=""),"",(AS809+Variables!$B$19)-AW809),""))</f>
        <v>-8</v>
      </c>
      <c r="BF809" s="44">
        <f>IF($AX809="Cancelled","",IFERROR(W809*INDEX(Variables!$B$7:$D$7,IFERROR(MATCH(IF($B809="Robusta","Robusta",(IF($B809="","Arabica",$B809))&amp;" - "&amp;(IF($C809="","Commercial",$C809))),Variables!$B$1:$D$1,0),1))*(BE809/365),""))</f>
        <v>-31.917875355672258</v>
      </c>
      <c r="BG809" s="44" t="str">
        <f>IF($AX809="Cancelled","",IFERROR((W809*INDEX(Variables!$B$7:$D$7,IFERROR(MATCH(IF($B809="Robusta","Robusta",(IF($B809="","Arabica",$B809))&amp;" - "&amp;(IF($C809="","Commercial",$C809))),Variables!$B$1:$D$1,0),1))*IFERROR(IF(AB809="","",(AVERAGE(E809:F809)-AB809)-Variables!$B$14),"")/365)+(L809/16.67*INDEX(Variables!$B$8:$D$8,IFERROR(MATCH(IF($B809="Robusta","Robusta",(IF($B809="","Arabica",$B809))&amp;" - "&amp;(IF($C809="","Commercial",$C809))),Variables!$B$1:$D$1,0),1))*IFERROR(IF(AB809="","",(AVERAGE(E809:F809)-AB809)-Variables!$B$14),""))+(W809*INDEX(Variables!$B$9:$D$9,IFERROR(MATCH(IF($B809="Robusta","Robusta",(IF($B809="","Arabica",$B809))&amp;" - "&amp;(IF($C809="","Commercial",$C809))),Variables!$B$1:$D$1,0),1))*IFERROR(IF(AB809="","",(AVERAGE(E809:F809)-AB809)-Variables!$B$14),"")/365),""))</f>
        <v/>
      </c>
      <c r="BH809" s="44">
        <f>IF($AX809="Cancelled","",IFERROR((W809*INDEX(Variables!$B$7:$D$7,IFERROR(MATCH(IF($B809="Robusta","Robusta",(IF($B809="","Arabica",$B809))&amp;" - "&amp;(IF($C809="","Commercial",$C809))),Variables!$B$1:$D$1,0),1))*AK809/365)+(L809/16.67*INDEX(Variables!$B$8:$D$8,IFERROR(MATCH(IF($B809="Robusta","Robusta",(IF($B809="","Arabica",$B809))&amp;" - "&amp;(IF($C809="","Commercial",$C809))),Variables!$B$1:$D$1,0),1))*AK809)+(W809*INDEX(Variables!$B$9:$D$9,IFERROR(MATCH(IF($B809="Robusta","Robusta",(IF($B809="","Arabica",$B809))&amp;" - "&amp;(IF($C809="","Commercial",$C809))),Variables!$B$1:$D$1,0),1))*AK809/365),""))</f>
        <v>5.7911697957783312</v>
      </c>
      <c r="BI809" s="44">
        <f>IF($AX809="Cancelled","",IFERROR((W809*INDEX(Variables!$B$7:$D$7,IFERROR(MATCH(IF($B809="Robusta","Robusta",(IF($B809="","Arabica",$B809))&amp;" - "&amp;(IF($C809="","Commercial",$C809))),Variables!$B$1:$D$1,0),1))*BD809/365)+(L809/16.67*INDEX(Variables!$B$8:$D$8,IFERROR(MATCH(IF($B809="Robusta","Robusta",(IF($B809="","Arabica",$B809))&amp;" - "&amp;(IF($C809="","Commercial",$C809))),Variables!$B$1:$D$1,0),1))*BD809)+(W809*INDEX(Variables!$B$9:$D$9,IFERROR(MATCH(IF($B809="Robusta","Robusta",(IF($B809="","Arabica",$B809))&amp;" - "&amp;(IF($C809="","Commercial",$C809))),Variables!$B$1:$D$1,0),1))*BD809/365),""))</f>
        <v>-52.12052816200498</v>
      </c>
      <c r="BJ809" s="44">
        <f t="shared" si="38"/>
        <v>-38</v>
      </c>
      <c r="BK809" s="44">
        <f>IF($AX809="Cancelled","",IFERROR(IF(BJ809="","",(W809*INDEX(Variables!$B$7:$D$7,IFERROR(MATCH(IF($B809="Robusta","Robusta",(IF($B809="","Arabica",$B809))&amp;" - "&amp;(IF($C809="","Commercial",$C809))),Variables!$B$1:$D$1,0),1))*(BJ809/365))+(W809*INDEX(Variables!$B$9:$D$9,IFERROR(MATCH(IF($B809="Robusta","Robusta",(IF($B809="","Arabica",$B809))&amp;" - "&amp;(IF($C809="","Commercial",$C809))),Variables!$B$1:$D$1,0),1))*(BJ809/365))+(INDEX(Variables!$B$8:$D$8,IFERROR(MATCH(IF($B809="Robusta","Robusta",(IF($B809="","Arabica",$B809))&amp;" - "&amp;(IF($C809="","Commercial",$C809))),Variables!$B$1:$D$1,0),1))*L809/16.67)),""))</f>
        <v>-151.81445223957658</v>
      </c>
    </row>
    <row r="810" spans="1:63">
      <c r="A810" s="13" t="s">
        <v>103</v>
      </c>
      <c r="B810" s="13" t="s">
        <v>104</v>
      </c>
      <c r="C810" s="13" t="s">
        <v>292</v>
      </c>
      <c r="D810" s="31">
        <v>46060</v>
      </c>
      <c r="E810" s="31">
        <v>46082</v>
      </c>
      <c r="F810" s="31">
        <v>46112</v>
      </c>
      <c r="G810" s="13">
        <v>3787243</v>
      </c>
      <c r="J810" s="13" t="s">
        <v>2138</v>
      </c>
      <c r="K810" s="13" t="s">
        <v>2151</v>
      </c>
      <c r="L810" s="13">
        <v>30</v>
      </c>
      <c r="M810" s="13">
        <v>0</v>
      </c>
      <c r="N810" s="13" t="s">
        <v>2152</v>
      </c>
      <c r="O810" s="13" t="s">
        <v>771</v>
      </c>
      <c r="P810" s="13">
        <v>10010</v>
      </c>
      <c r="R810" s="13" t="s">
        <v>239</v>
      </c>
      <c r="S810" s="13" t="s">
        <v>463</v>
      </c>
      <c r="T810" s="13" t="s">
        <v>458</v>
      </c>
      <c r="U810" s="13" t="s">
        <v>125</v>
      </c>
      <c r="V810" s="13">
        <v>201.1</v>
      </c>
      <c r="W810" s="44">
        <f>IF($AX810="Cancelled","",IFERROR(((V810+INDEX(Variables!$B$6:$D$6,IFERROR(MATCH(IF($B810="Robusta","Robusta",(IF($B810="","Arabica",$B810))&amp;" - "&amp;(IF($C810="","Commercial",$C810))),Variables!$B$1:$D$1,0),1)))*22.0462)*(L810/16.67),""))</f>
        <v>19516.24315536892</v>
      </c>
      <c r="X810" s="55" t="s">
        <v>39</v>
      </c>
      <c r="Y810" s="13" t="str">
        <f>IF($AX810="Cancelled","",IF(X810="","",IFERROR(IF(INDEX(Variables!$B$38:$B$47,MATCH(X810,Variables!$A$38:$A$47,0))="Yes","Yes","No"),"No")))</f>
        <v>No</v>
      </c>
      <c r="Z810" s="31"/>
      <c r="AC810" s="13" t="str">
        <f t="shared" si="37"/>
        <v/>
      </c>
      <c r="AF810" s="71">
        <v>46112</v>
      </c>
      <c r="AG810" s="37">
        <f>IF($AX810="Cancelled","",IFERROR(IF(F810="","",F810-Variables!$B$13),""))</f>
        <v>46097</v>
      </c>
      <c r="AH810" s="13" t="str">
        <f>IF($AX810="Cancelled","",IFERROR(IF(AB810="","",(AVERAGE(E810:F810)-AB810)-Variables!$B$14),""))</f>
        <v/>
      </c>
      <c r="AJ810" s="47">
        <v>46126</v>
      </c>
      <c r="AK810" s="14">
        <f>IF($AX810="Cancelled","",IFERROR(IF(AJ810="","",IF(AND(AB810="",AF810=""),"",IF(AF810&gt;AB810,AF810+Variables!$B$15+Variables!$B$16+Variables!$B$17-AJ810,AB810+Variables!$B$16+Variables!$B$17-AJ810))),""))</f>
        <v>1</v>
      </c>
      <c r="AL810" s="48" t="s">
        <v>114</v>
      </c>
      <c r="AM810" s="13" t="s">
        <v>1526</v>
      </c>
      <c r="AN810" s="13" t="s">
        <v>2141</v>
      </c>
      <c r="AP810" s="31" t="e">
        <v>#N/A</v>
      </c>
      <c r="AR810" s="13" t="s">
        <v>2142</v>
      </c>
      <c r="AS810" s="31">
        <v>46150</v>
      </c>
      <c r="AU810" s="31">
        <v>46158</v>
      </c>
      <c r="AV810" s="13" t="s">
        <v>865</v>
      </c>
      <c r="AW810" s="31">
        <v>46163</v>
      </c>
      <c r="AX810" s="13" t="str">
        <f>IF(ISNUMBER(SEARCH("cancel",#REF!)),"Cancelled",IF(AND(AS810&lt;&gt;"",AU810&lt;&gt;"",AW810&lt;&gt;""),"Closed","Open"))</f>
        <v>Closed</v>
      </c>
      <c r="AY810" s="15" t="str">
        <f t="shared" si="36"/>
        <v>All dates received</v>
      </c>
      <c r="BD810" s="13">
        <f>IF($AX810="Cancelled","",IFERROR(IF(OR(AS810="",AJ810=""),"",(AJ810+Variables!$B$18-AS810)),""))</f>
        <v>-9</v>
      </c>
      <c r="BE810" s="13">
        <f>IF($AX810="Cancelled","",IFERROR(IF(OR(AW810="",AS810=""),"",(AS810+Variables!$B$19)-AW810),""))</f>
        <v>-8</v>
      </c>
      <c r="BF810" s="44">
        <f>IF($AX810="Cancelled","",IFERROR(W810*INDEX(Variables!$B$7:$D$7,IFERROR(MATCH(IF($B810="Robusta","Robusta",(IF($B810="","Arabica",$B810))&amp;" - "&amp;(IF($C810="","Commercial",$C810))),Variables!$B$1:$D$1,0),1))*(BE810/365),""))</f>
        <v>-27.582472205876815</v>
      </c>
      <c r="BG810" s="44" t="str">
        <f>IF($AX810="Cancelled","",IFERROR((W810*INDEX(Variables!$B$7:$D$7,IFERROR(MATCH(IF($B810="Robusta","Robusta",(IF($B810="","Arabica",$B810))&amp;" - "&amp;(IF($C810="","Commercial",$C810))),Variables!$B$1:$D$1,0),1))*IFERROR(IF(AB810="","",(AVERAGE(E810:F810)-AB810)-Variables!$B$14),"")/365)+(L810/16.67*INDEX(Variables!$B$8:$D$8,IFERROR(MATCH(IF($B810="Robusta","Robusta",(IF($B810="","Arabica",$B810))&amp;" - "&amp;(IF($C810="","Commercial",$C810))),Variables!$B$1:$D$1,0),1))*IFERROR(IF(AB810="","",(AVERAGE(E810:F810)-AB810)-Variables!$B$14),""))+(W810*INDEX(Variables!$B$9:$D$9,IFERROR(MATCH(IF($B810="Robusta","Robusta",(IF($B810="","Arabica",$B810))&amp;" - "&amp;(IF($C810="","Commercial",$C810))),Variables!$B$1:$D$1,0),1))*IFERROR(IF(AB810="","",(AVERAGE(E810:F810)-AB810)-Variables!$B$14),"")/365),""))</f>
        <v/>
      </c>
      <c r="BH810" s="44">
        <f>IF($AX810="Cancelled","",IFERROR((W810*INDEX(Variables!$B$7:$D$7,IFERROR(MATCH(IF($B810="Robusta","Robusta",(IF($B810="","Arabica",$B810))&amp;" - "&amp;(IF($C810="","Commercial",$C810))),Variables!$B$1:$D$1,0),1))*AK810/365)+(L810/16.67*INDEX(Variables!$B$8:$D$8,IFERROR(MATCH(IF($B810="Robusta","Robusta",(IF($B810="","Arabica",$B810))&amp;" - "&amp;(IF($C810="","Commercial",$C810))),Variables!$B$1:$D$1,0),1))*AK810)+(W810*INDEX(Variables!$B$9:$D$9,IFERROR(MATCH(IF($B810="Robusta","Robusta",(IF($B810="","Arabica",$B810))&amp;" - "&amp;(IF($C810="","Commercial",$C810))),Variables!$B$1:$D$1,0),1))*AK810/365),""))</f>
        <v>4.9922579378854461</v>
      </c>
      <c r="BI810" s="44">
        <f>IF($AX810="Cancelled","",IFERROR((W810*INDEX(Variables!$B$7:$D$7,IFERROR(MATCH(IF($B810="Robusta","Robusta",(IF($B810="","Arabica",$B810))&amp;" - "&amp;(IF($C810="","Commercial",$C810))),Variables!$B$1:$D$1,0),1))*BD810/365)+(L810/16.67*INDEX(Variables!$B$8:$D$8,IFERROR(MATCH(IF($B810="Robusta","Robusta",(IF($B810="","Arabica",$B810))&amp;" - "&amp;(IF($C810="","Commercial",$C810))),Variables!$B$1:$D$1,0),1))*BD810)+(W810*INDEX(Variables!$B$9:$D$9,IFERROR(MATCH(IF($B810="Robusta","Robusta",(IF($B810="","Arabica",$B810))&amp;" - "&amp;(IF($C810="","Commercial",$C810))),Variables!$B$1:$D$1,0),1))*BD810/365),""))</f>
        <v>-44.930321440969017</v>
      </c>
      <c r="BJ810" s="44">
        <f t="shared" si="38"/>
        <v>-38</v>
      </c>
      <c r="BK810" s="44">
        <f>IF($AX810="Cancelled","",IFERROR(IF(BJ810="","",(W810*INDEX(Variables!$B$7:$D$7,IFERROR(MATCH(IF($B810="Robusta","Robusta",(IF($B810="","Arabica",$B810))&amp;" - "&amp;(IF($C810="","Commercial",$C810))),Variables!$B$1:$D$1,0),1))*(BJ810/365))+(W810*INDEX(Variables!$B$9:$D$9,IFERROR(MATCH(IF($B810="Robusta","Robusta",(IF($B810="","Arabica",$B810))&amp;" - "&amp;(IF($C810="","Commercial",$C810))),Variables!$B$1:$D$1,0),1))*(BJ810/365))+(INDEX(Variables!$B$8:$D$8,IFERROR(MATCH(IF($B810="Robusta","Robusta",(IF($B810="","Arabica",$B810))&amp;" - "&amp;(IF($C810="","Commercial",$C810))),Variables!$B$1:$D$1,0),1))*L810/16.67)),""))</f>
        <v>-131.20580163964695</v>
      </c>
    </row>
    <row r="811" spans="1:63">
      <c r="A811" s="13" t="s">
        <v>103</v>
      </c>
      <c r="B811" s="13" t="s">
        <v>104</v>
      </c>
      <c r="C811" s="13" t="s">
        <v>292</v>
      </c>
      <c r="D811" s="31">
        <v>46060</v>
      </c>
      <c r="E811" s="31">
        <v>46082</v>
      </c>
      <c r="F811" s="31">
        <v>46112</v>
      </c>
      <c r="G811" s="13">
        <v>3787244</v>
      </c>
      <c r="J811" s="13" t="s">
        <v>2138</v>
      </c>
      <c r="K811" s="13" t="s">
        <v>2153</v>
      </c>
      <c r="L811" s="13">
        <v>59</v>
      </c>
      <c r="M811" s="13">
        <v>0</v>
      </c>
      <c r="N811" s="13" t="s">
        <v>2154</v>
      </c>
      <c r="O811" s="13" t="s">
        <v>771</v>
      </c>
      <c r="P811" s="13">
        <v>10010</v>
      </c>
      <c r="R811" s="13" t="s">
        <v>239</v>
      </c>
      <c r="S811" s="13" t="s">
        <v>463</v>
      </c>
      <c r="T811" s="13" t="s">
        <v>458</v>
      </c>
      <c r="U811" s="13" t="s">
        <v>125</v>
      </c>
      <c r="V811" s="13">
        <v>212.1</v>
      </c>
      <c r="W811" s="44">
        <f>IF($AX811="Cancelled","",IFERROR(((V811+INDEX(Variables!$B$6:$D$6,IFERROR(MATCH(IF($B811="Robusta","Robusta",(IF($B811="","Arabica",$B811))&amp;" - "&amp;(IF($C811="","Commercial",$C811))),Variables!$B$1:$D$1,0),1)))*22.0462)*(L811/16.67),""))</f>
        <v>39240.25223875224</v>
      </c>
      <c r="X811" s="55" t="s">
        <v>39</v>
      </c>
      <c r="Y811" s="13" t="str">
        <f>IF($AX811="Cancelled","",IF(X811="","",IFERROR(IF(INDEX(Variables!$B$38:$B$47,MATCH(X811,Variables!$A$38:$A$47,0))="Yes","Yes","No"),"No")))</f>
        <v>No</v>
      </c>
      <c r="Z811" s="31"/>
      <c r="AC811" s="13" t="str">
        <f t="shared" si="37"/>
        <v/>
      </c>
      <c r="AF811" s="71">
        <v>46112</v>
      </c>
      <c r="AG811" s="37">
        <f>IF($AX811="Cancelled","",IFERROR(IF(F811="","",F811-Variables!$B$13),""))</f>
        <v>46097</v>
      </c>
      <c r="AH811" s="13" t="str">
        <f>IF($AX811="Cancelled","",IFERROR(IF(AB811="","",(AVERAGE(E811:F811)-AB811)-Variables!$B$14),""))</f>
        <v/>
      </c>
      <c r="AJ811" s="47">
        <v>46126</v>
      </c>
      <c r="AK811" s="14">
        <f>IF($AX811="Cancelled","",IFERROR(IF(AJ811="","",IF(AND(AB811="",AF811=""),"",IF(AF811&gt;AB811,AF811+Variables!$B$15+Variables!$B$16+Variables!$B$17-AJ811,AB811+Variables!$B$16+Variables!$B$17-AJ811))),""))</f>
        <v>1</v>
      </c>
      <c r="AL811" s="48" t="s">
        <v>114</v>
      </c>
      <c r="AM811" s="13" t="s">
        <v>1526</v>
      </c>
      <c r="AN811" s="13" t="s">
        <v>2141</v>
      </c>
      <c r="AP811" s="31" t="e">
        <v>#N/A</v>
      </c>
      <c r="AR811" s="13" t="s">
        <v>2142</v>
      </c>
      <c r="AS811" s="31">
        <v>46150</v>
      </c>
      <c r="AU811" s="31">
        <v>46158</v>
      </c>
      <c r="AV811" s="13" t="s">
        <v>865</v>
      </c>
      <c r="AW811" s="31">
        <v>46163</v>
      </c>
      <c r="AX811" s="13" t="str">
        <f>IF(ISNUMBER(SEARCH("cancel",#REF!)),"Cancelled",IF(AND(AS811&lt;&gt;"",AU811&lt;&gt;"",AW811&lt;&gt;""),"Closed","Open"))</f>
        <v>Closed</v>
      </c>
      <c r="AY811" s="15" t="str">
        <f t="shared" si="36"/>
        <v>All dates received</v>
      </c>
      <c r="BD811" s="13">
        <f>IF($AX811="Cancelled","",IFERROR(IF(OR(AS811="",AJ811=""),"",(AJ811+Variables!$B$18-AS811)),""))</f>
        <v>-9</v>
      </c>
      <c r="BE811" s="13">
        <f>IF($AX811="Cancelled","",IFERROR(IF(OR(AW811="",AS811=""),"",(AS811+Variables!$B$19)-AW811),""))</f>
        <v>-8</v>
      </c>
      <c r="BF811" s="44">
        <f>IF($AX811="Cancelled","",IFERROR(W811*INDEX(Variables!$B$7:$D$7,IFERROR(MATCH(IF($B811="Robusta","Robusta",(IF($B811="","Arabica",$B811))&amp;" - "&amp;(IF($C811="","Commercial",$C811))),Variables!$B$1:$D$1,0),1))*(BE811/365),""))</f>
        <v>-55.458581762403718</v>
      </c>
      <c r="BG811" s="44" t="str">
        <f>IF($AX811="Cancelled","",IFERROR((W811*INDEX(Variables!$B$7:$D$7,IFERROR(MATCH(IF($B811="Robusta","Robusta",(IF($B811="","Arabica",$B811))&amp;" - "&amp;(IF($C811="","Commercial",$C811))),Variables!$B$1:$D$1,0),1))*IFERROR(IF(AB811="","",(AVERAGE(E811:F811)-AB811)-Variables!$B$14),"")/365)+(L811/16.67*INDEX(Variables!$B$8:$D$8,IFERROR(MATCH(IF($B811="Robusta","Robusta",(IF($B811="","Arabica",$B811))&amp;" - "&amp;(IF($C811="","Commercial",$C811))),Variables!$B$1:$D$1,0),1))*IFERROR(IF(AB811="","",(AVERAGE(E811:F811)-AB811)-Variables!$B$14),""))+(W811*INDEX(Variables!$B$9:$D$9,IFERROR(MATCH(IF($B811="Robusta","Robusta",(IF($B811="","Arabica",$B811))&amp;" - "&amp;(IF($C811="","Commercial",$C811))),Variables!$B$1:$D$1,0),1))*IFERROR(IF(AB811="","",(AVERAGE(E811:F811)-AB811)-Variables!$B$14),"")/365),""))</f>
        <v/>
      </c>
      <c r="BH811" s="44">
        <f>IF($AX811="Cancelled","",IFERROR((W811*INDEX(Variables!$B$7:$D$7,IFERROR(MATCH(IF($B811="Robusta","Robusta",(IF($B811="","Arabica",$B811))&amp;" - "&amp;(IF($C811="","Commercial",$C811))),Variables!$B$1:$D$1,0),1))*AK811/365)+(L811/16.67*INDEX(Variables!$B$8:$D$8,IFERROR(MATCH(IF($B811="Robusta","Robusta",(IF($B811="","Arabica",$B811))&amp;" - "&amp;(IF($C811="","Commercial",$C811))),Variables!$B$1:$D$1,0),1))*AK811)+(W811*INDEX(Variables!$B$9:$D$9,IFERROR(MATCH(IF($B811="Robusta","Robusta",(IF($B811="","Arabica",$B811))&amp;" - "&amp;(IF($C811="","Commercial",$C811))),Variables!$B$1:$D$1,0),1))*AK811/365),""))</f>
        <v>9.9716937386184785</v>
      </c>
      <c r="BI811" s="44">
        <f>IF($AX811="Cancelled","",IFERROR((W811*INDEX(Variables!$B$7:$D$7,IFERROR(MATCH(IF($B811="Robusta","Robusta",(IF($B811="","Arabica",$B811))&amp;" - "&amp;(IF($C811="","Commercial",$C811))),Variables!$B$1:$D$1,0),1))*BD811/365)+(L811/16.67*INDEX(Variables!$B$8:$D$8,IFERROR(MATCH(IF($B811="Robusta","Robusta",(IF($B811="","Arabica",$B811))&amp;" - "&amp;(IF($C811="","Commercial",$C811))),Variables!$B$1:$D$1,0),1))*BD811)+(W811*INDEX(Variables!$B$9:$D$9,IFERROR(MATCH(IF($B811="Robusta","Robusta",(IF($B811="","Arabica",$B811))&amp;" - "&amp;(IF($C811="","Commercial",$C811))),Variables!$B$1:$D$1,0),1))*BD811/365),""))</f>
        <v>-89.745243647566298</v>
      </c>
      <c r="BJ811" s="44">
        <f t="shared" si="38"/>
        <v>-38</v>
      </c>
      <c r="BK811" s="44">
        <f>IF($AX811="Cancelled","",IFERROR(IF(BJ811="","",(W811*INDEX(Variables!$B$7:$D$7,IFERROR(MATCH(IF($B811="Robusta","Robusta",(IF($B811="","Arabica",$B811))&amp;" - "&amp;(IF($C811="","Commercial",$C811))),Variables!$B$1:$D$1,0),1))*(BJ811/365))+(W811*INDEX(Variables!$B$9:$D$9,IFERROR(MATCH(IF($B811="Robusta","Robusta",(IF($B811="","Arabica",$B811))&amp;" - "&amp;(IF($C811="","Commercial",$C811))),Variables!$B$1:$D$1,0),1))*(BJ811/365))+(INDEX(Variables!$B$8:$D$8,IFERROR(MATCH(IF($B811="Robusta","Robusta",(IF($B811="","Arabica",$B811))&amp;" - "&amp;(IF($C811="","Commercial",$C811))),Variables!$B$1:$D$1,0),1))*L811/16.67)),""))</f>
        <v>-263.87436206750215</v>
      </c>
    </row>
    <row r="812" spans="1:63">
      <c r="A812" s="13" t="s">
        <v>103</v>
      </c>
      <c r="B812" s="13" t="s">
        <v>104</v>
      </c>
      <c r="C812" s="13" t="s">
        <v>292</v>
      </c>
      <c r="D812" s="31">
        <v>46060</v>
      </c>
      <c r="E812" s="31">
        <v>46082</v>
      </c>
      <c r="F812" s="31">
        <v>46112</v>
      </c>
      <c r="G812" s="13">
        <v>3787245</v>
      </c>
      <c r="J812" s="13" t="s">
        <v>2138</v>
      </c>
      <c r="K812" s="13" t="s">
        <v>2155</v>
      </c>
      <c r="L812" s="13">
        <v>39</v>
      </c>
      <c r="M812" s="13">
        <v>0</v>
      </c>
      <c r="N812" s="13" t="s">
        <v>2156</v>
      </c>
      <c r="O812" s="13" t="s">
        <v>771</v>
      </c>
      <c r="P812" s="13">
        <v>10010</v>
      </c>
      <c r="R812" s="13" t="s">
        <v>384</v>
      </c>
      <c r="S812" s="13" t="s">
        <v>463</v>
      </c>
      <c r="T812" s="13" t="s">
        <v>458</v>
      </c>
      <c r="U812" s="13" t="s">
        <v>125</v>
      </c>
      <c r="V812" s="13">
        <v>243.1</v>
      </c>
      <c r="W812" s="44">
        <f>IF($AX812="Cancelled","",IFERROR(((V812+INDEX(Variables!$B$6:$D$6,IFERROR(MATCH(IF($B812="Robusta","Robusta",(IF($B812="","Arabica",$B812))&amp;" - "&amp;(IF($C812="","Commercial",$C812))),Variables!$B$1:$D$1,0),1)))*22.0462)*(L812/16.67),""))</f>
        <v>27537.383384523087</v>
      </c>
      <c r="X812" s="55" t="s">
        <v>39</v>
      </c>
      <c r="Y812" s="13" t="str">
        <f>IF($AX812="Cancelled","",IF(X812="","",IFERROR(IF(INDEX(Variables!$B$38:$B$47,MATCH(X812,Variables!$A$38:$A$47,0))="Yes","Yes","No"),"No")))</f>
        <v>No</v>
      </c>
      <c r="Z812" s="31"/>
      <c r="AC812" s="13" t="str">
        <f t="shared" si="37"/>
        <v/>
      </c>
      <c r="AF812" s="71">
        <v>46112</v>
      </c>
      <c r="AG812" s="37">
        <f>IF($AX812="Cancelled","",IFERROR(IF(F812="","",F812-Variables!$B$13),""))</f>
        <v>46097</v>
      </c>
      <c r="AH812" s="13" t="str">
        <f>IF($AX812="Cancelled","",IFERROR(IF(AB812="","",(AVERAGE(E812:F812)-AB812)-Variables!$B$14),""))</f>
        <v/>
      </c>
      <c r="AJ812" s="47">
        <v>46126</v>
      </c>
      <c r="AK812" s="14">
        <f>IF($AX812="Cancelled","",IFERROR(IF(AJ812="","",IF(AND(AB812="",AF812=""),"",IF(AF812&gt;AB812,AF812+Variables!$B$15+Variables!$B$16+Variables!$B$17-AJ812,AB812+Variables!$B$16+Variables!$B$17-AJ812))),""))</f>
        <v>1</v>
      </c>
      <c r="AL812" s="48" t="s">
        <v>114</v>
      </c>
      <c r="AM812" s="13" t="s">
        <v>1526</v>
      </c>
      <c r="AN812" s="13" t="s">
        <v>2141</v>
      </c>
      <c r="AP812" s="31" t="e">
        <v>#N/A</v>
      </c>
      <c r="AR812" s="13" t="s">
        <v>2142</v>
      </c>
      <c r="AS812" s="31">
        <v>46150</v>
      </c>
      <c r="AU812" s="31">
        <v>46158</v>
      </c>
      <c r="AV812" s="13" t="s">
        <v>865</v>
      </c>
      <c r="AW812" s="31">
        <v>46163</v>
      </c>
      <c r="AX812" s="13" t="str">
        <f>IF(ISNUMBER(SEARCH("cancel",#REF!)),"Cancelled",IF(AND(AS812&lt;&gt;"",AU812&lt;&gt;"",AW812&lt;&gt;""),"Closed","Open"))</f>
        <v>Closed</v>
      </c>
      <c r="AY812" s="15" t="str">
        <f t="shared" si="36"/>
        <v>All dates received</v>
      </c>
      <c r="BD812" s="13">
        <f>IF($AX812="Cancelled","",IFERROR(IF(OR(AS812="",AJ812=""),"",(AJ812+Variables!$B$18-AS812)),""))</f>
        <v>-9</v>
      </c>
      <c r="BE812" s="13">
        <f>IF($AX812="Cancelled","",IFERROR(IF(OR(AW812="",AS812=""),"",(AS812+Variables!$B$19)-AW812),""))</f>
        <v>-8</v>
      </c>
      <c r="BF812" s="44">
        <f>IF($AX812="Cancelled","",IFERROR(W812*INDEX(Variables!$B$7:$D$7,IFERROR(MATCH(IF($B812="Robusta","Robusta",(IF($B812="","Arabica",$B812))&amp;" - "&amp;(IF($C812="","Commercial",$C812))),Variables!$B$1:$D$1,0),1))*(BE812/365),""))</f>
        <v>-38.918817816493032</v>
      </c>
      <c r="BG812" s="44" t="str">
        <f>IF($AX812="Cancelled","",IFERROR((W812*INDEX(Variables!$B$7:$D$7,IFERROR(MATCH(IF($B812="Robusta","Robusta",(IF($B812="","Arabica",$B812))&amp;" - "&amp;(IF($C812="","Commercial",$C812))),Variables!$B$1:$D$1,0),1))*IFERROR(IF(AB812="","",(AVERAGE(E812:F812)-AB812)-Variables!$B$14),"")/365)+(L812/16.67*INDEX(Variables!$B$8:$D$8,IFERROR(MATCH(IF($B812="Robusta","Robusta",(IF($B812="","Arabica",$B812))&amp;" - "&amp;(IF($C812="","Commercial",$C812))),Variables!$B$1:$D$1,0),1))*IFERROR(IF(AB812="","",(AVERAGE(E812:F812)-AB812)-Variables!$B$14),""))+(W812*INDEX(Variables!$B$9:$D$9,IFERROR(MATCH(IF($B812="Robusta","Robusta",(IF($B812="","Arabica",$B812))&amp;" - "&amp;(IF($C812="","Commercial",$C812))),Variables!$B$1:$D$1,0),1))*IFERROR(IF(AB812="","",(AVERAGE(E812:F812)-AB812)-Variables!$B$14),"")/365),""))</f>
        <v/>
      </c>
      <c r="BH812" s="44">
        <f>IF($AX812="Cancelled","",IFERROR((W812*INDEX(Variables!$B$7:$D$7,IFERROR(MATCH(IF($B812="Robusta","Robusta",(IF($B812="","Arabica",$B812))&amp;" - "&amp;(IF($C812="","Commercial",$C812))),Variables!$B$1:$D$1,0),1))*AK812/365)+(L812/16.67*INDEX(Variables!$B$8:$D$8,IFERROR(MATCH(IF($B812="Robusta","Robusta",(IF($B812="","Arabica",$B812))&amp;" - "&amp;(IF($C812="","Commercial",$C812))),Variables!$B$1:$D$1,0),1))*AK812)+(W812*INDEX(Variables!$B$9:$D$9,IFERROR(MATCH(IF($B812="Robusta","Robusta",(IF($B812="","Arabica",$B812))&amp;" - "&amp;(IF($C812="","Commercial",$C812))),Variables!$B$1:$D$1,0),1))*AK812/365),""))</f>
        <v>6.8775695607809553</v>
      </c>
      <c r="BI812" s="44">
        <f>IF($AX812="Cancelled","",IFERROR((W812*INDEX(Variables!$B$7:$D$7,IFERROR(MATCH(IF($B812="Robusta","Robusta",(IF($B812="","Arabica",$B812))&amp;" - "&amp;(IF($C812="","Commercial",$C812))),Variables!$B$1:$D$1,0),1))*BD812/365)+(L812/16.67*INDEX(Variables!$B$8:$D$8,IFERROR(MATCH(IF($B812="Robusta","Robusta",(IF($B812="","Arabica",$B812))&amp;" - "&amp;(IF($C812="","Commercial",$C812))),Variables!$B$1:$D$1,0),1))*BD812)+(W812*INDEX(Variables!$B$9:$D$9,IFERROR(MATCH(IF($B812="Robusta","Robusta",(IF($B812="","Arabica",$B812))&amp;" - "&amp;(IF($C812="","Commercial",$C812))),Variables!$B$1:$D$1,0),1))*BD812/365),""))</f>
        <v>-61.898126047028597</v>
      </c>
      <c r="BJ812" s="44">
        <f t="shared" si="38"/>
        <v>-38</v>
      </c>
      <c r="BK812" s="44">
        <f>IF($AX812="Cancelled","",IFERROR(IF(BJ812="","",(W812*INDEX(Variables!$B$7:$D$7,IFERROR(MATCH(IF($B812="Robusta","Robusta",(IF($B812="","Arabica",$B812))&amp;" - "&amp;(IF($C812="","Commercial",$C812))),Variables!$B$1:$D$1,0),1))*(BJ812/365))+(W812*INDEX(Variables!$B$9:$D$9,IFERROR(MATCH(IF($B812="Robusta","Robusta",(IF($B812="","Arabica",$B812))&amp;" - "&amp;(IF($C812="","Commercial",$C812))),Variables!$B$1:$D$1,0),1))*(BJ812/365))+(INDEX(Variables!$B$8:$D$8,IFERROR(MATCH(IF($B812="Robusta","Robusta",(IF($B812="","Arabica",$B812))&amp;" - "&amp;(IF($C812="","Commercial",$C812))),Variables!$B$1:$D$1,0),1))*L812/16.67)),""))</f>
        <v>-185.29764330967632</v>
      </c>
    </row>
    <row r="813" spans="1:63">
      <c r="A813" s="13" t="s">
        <v>103</v>
      </c>
      <c r="B813" s="13" t="s">
        <v>104</v>
      </c>
      <c r="C813" s="13" t="s">
        <v>292</v>
      </c>
      <c r="D813" s="31">
        <v>46060</v>
      </c>
      <c r="E813" s="31">
        <v>46082</v>
      </c>
      <c r="F813" s="31">
        <v>46112</v>
      </c>
      <c r="G813" s="13">
        <v>3787246</v>
      </c>
      <c r="J813" s="13" t="s">
        <v>2138</v>
      </c>
      <c r="K813" s="13" t="s">
        <v>2157</v>
      </c>
      <c r="L813" s="13">
        <v>25</v>
      </c>
      <c r="M813" s="13">
        <v>0</v>
      </c>
      <c r="N813" s="13" t="s">
        <v>2158</v>
      </c>
      <c r="O813" s="13" t="s">
        <v>771</v>
      </c>
      <c r="P813" s="13">
        <v>10010</v>
      </c>
      <c r="R813" s="13" t="s">
        <v>384</v>
      </c>
      <c r="S813" s="13" t="s">
        <v>463</v>
      </c>
      <c r="T813" s="13" t="s">
        <v>458</v>
      </c>
      <c r="U813" s="13" t="s">
        <v>125</v>
      </c>
      <c r="V813" s="13">
        <v>255.1</v>
      </c>
      <c r="W813" s="44">
        <f>IF($AX813="Cancelled","",IFERROR(((V813+INDEX(Variables!$B$6:$D$6,IFERROR(MATCH(IF($B813="Robusta","Robusta",(IF($B813="","Arabica",$B813))&amp;" - "&amp;(IF($C813="","Commercial",$C813))),Variables!$B$1:$D$1,0),1)))*22.0462)*(L813/16.67),""))</f>
        <v>18048.921085782837</v>
      </c>
      <c r="X813" s="55" t="s">
        <v>39</v>
      </c>
      <c r="Y813" s="13" t="str">
        <f>IF($AX813="Cancelled","",IF(X813="","",IFERROR(IF(INDEX(Variables!$B$38:$B$47,MATCH(X813,Variables!$A$38:$A$47,0))="Yes","Yes","No"),"No")))</f>
        <v>No</v>
      </c>
      <c r="Z813" s="31"/>
      <c r="AC813" s="13" t="str">
        <f t="shared" si="37"/>
        <v/>
      </c>
      <c r="AF813" s="71">
        <v>46112</v>
      </c>
      <c r="AG813" s="37">
        <f>IF($AX813="Cancelled","",IFERROR(IF(F813="","",F813-Variables!$B$13),""))</f>
        <v>46097</v>
      </c>
      <c r="AH813" s="13" t="str">
        <f>IF($AX813="Cancelled","",IFERROR(IF(AB813="","",(AVERAGE(E813:F813)-AB813)-Variables!$B$14),""))</f>
        <v/>
      </c>
      <c r="AJ813" s="47">
        <v>46126</v>
      </c>
      <c r="AK813" s="14">
        <f>IF($AX813="Cancelled","",IFERROR(IF(AJ813="","",IF(AND(AB813="",AF813=""),"",IF(AF813&gt;AB813,AF813+Variables!$B$15+Variables!$B$16+Variables!$B$17-AJ813,AB813+Variables!$B$16+Variables!$B$17-AJ813))),""))</f>
        <v>1</v>
      </c>
      <c r="AL813" s="48" t="s">
        <v>114</v>
      </c>
      <c r="AM813" s="13" t="s">
        <v>1526</v>
      </c>
      <c r="AN813" s="13" t="s">
        <v>2141</v>
      </c>
      <c r="AP813" s="31" t="e">
        <v>#N/A</v>
      </c>
      <c r="AR813" s="13" t="s">
        <v>2142</v>
      </c>
      <c r="AS813" s="31">
        <v>46150</v>
      </c>
      <c r="AU813" s="31">
        <v>46158</v>
      </c>
      <c r="AV813" s="13" t="s">
        <v>865</v>
      </c>
      <c r="AW813" s="31">
        <v>46163</v>
      </c>
      <c r="AX813" s="13" t="str">
        <f>IF(ISNUMBER(SEARCH("cancel",#REF!)),"Cancelled",IF(AND(AS813&lt;&gt;"",AU813&lt;&gt;"",AW813&lt;&gt;""),"Closed","Open"))</f>
        <v>Closed</v>
      </c>
      <c r="AY813" s="15" t="str">
        <f t="shared" si="36"/>
        <v>All dates received</v>
      </c>
      <c r="BD813" s="13">
        <f>IF($AX813="Cancelled","",IFERROR(IF(OR(AS813="",AJ813=""),"",(AJ813+Variables!$B$18-AS813)),""))</f>
        <v>-9</v>
      </c>
      <c r="BE813" s="13">
        <f>IF($AX813="Cancelled","",IFERROR(IF(OR(AW813="",AS813=""),"",(AS813+Variables!$B$19)-AW813),""))</f>
        <v>-8</v>
      </c>
      <c r="BF813" s="44">
        <f>IF($AX813="Cancelled","",IFERROR(W813*INDEX(Variables!$B$7:$D$7,IFERROR(MATCH(IF($B813="Robusta","Robusta",(IF($B813="","Arabica",$B813))&amp;" - "&amp;(IF($C813="","Commercial",$C813))),Variables!$B$1:$D$1,0),1))*(BE813/365),""))</f>
        <v>-25.508693462743366</v>
      </c>
      <c r="BG813" s="44" t="str">
        <f>IF($AX813="Cancelled","",IFERROR((W813*INDEX(Variables!$B$7:$D$7,IFERROR(MATCH(IF($B813="Robusta","Robusta",(IF($B813="","Arabica",$B813))&amp;" - "&amp;(IF($C813="","Commercial",$C813))),Variables!$B$1:$D$1,0),1))*IFERROR(IF(AB813="","",(AVERAGE(E813:F813)-AB813)-Variables!$B$14),"")/365)+(L813/16.67*INDEX(Variables!$B$8:$D$8,IFERROR(MATCH(IF($B813="Robusta","Robusta",(IF($B813="","Arabica",$B813))&amp;" - "&amp;(IF($C813="","Commercial",$C813))),Variables!$B$1:$D$1,0),1))*IFERROR(IF(AB813="","",(AVERAGE(E813:F813)-AB813)-Variables!$B$14),""))+(W813*INDEX(Variables!$B$9:$D$9,IFERROR(MATCH(IF($B813="Robusta","Robusta",(IF($B813="","Arabica",$B813))&amp;" - "&amp;(IF($C813="","Commercial",$C813))),Variables!$B$1:$D$1,0),1))*IFERROR(IF(AB813="","",(AVERAGE(E813:F813)-AB813)-Variables!$B$14),"")/365),""))</f>
        <v/>
      </c>
      <c r="BH813" s="44">
        <f>IF($AX813="Cancelled","",IFERROR((W813*INDEX(Variables!$B$7:$D$7,IFERROR(MATCH(IF($B813="Robusta","Robusta",(IF($B813="","Arabica",$B813))&amp;" - "&amp;(IF($C813="","Commercial",$C813))),Variables!$B$1:$D$1,0),1))*AK813/365)+(L813/16.67*INDEX(Variables!$B$8:$D$8,IFERROR(MATCH(IF($B813="Robusta","Robusta",(IF($B813="","Arabica",$B813))&amp;" - "&amp;(IF($C813="","Commercial",$C813))),Variables!$B$1:$D$1,0),1))*AK813)+(W813*INDEX(Variables!$B$9:$D$9,IFERROR(MATCH(IF($B813="Robusta","Robusta",(IF($B813="","Arabica",$B813))&amp;" - "&amp;(IF($C813="","Commercial",$C813))),Variables!$B$1:$D$1,0),1))*AK813/365),""))</f>
        <v>4.4796937187295267</v>
      </c>
      <c r="BI813" s="44">
        <f>IF($AX813="Cancelled","",IFERROR((W813*INDEX(Variables!$B$7:$D$7,IFERROR(MATCH(IF($B813="Robusta","Robusta",(IF($B813="","Arabica",$B813))&amp;" - "&amp;(IF($C813="","Commercial",$C813))),Variables!$B$1:$D$1,0),1))*BD813/365)+(L813/16.67*INDEX(Variables!$B$8:$D$8,IFERROR(MATCH(IF($B813="Robusta","Robusta",(IF($B813="","Arabica",$B813))&amp;" - "&amp;(IF($C813="","Commercial",$C813))),Variables!$B$1:$D$1,0),1))*BD813)+(W813*INDEX(Variables!$B$9:$D$9,IFERROR(MATCH(IF($B813="Robusta","Robusta",(IF($B813="","Arabica",$B813))&amp;" - "&amp;(IF($C813="","Commercial",$C813))),Variables!$B$1:$D$1,0),1))*BD813/365),""))</f>
        <v>-40.317243468565749</v>
      </c>
      <c r="BJ813" s="44">
        <f t="shared" si="38"/>
        <v>-38</v>
      </c>
      <c r="BK813" s="44">
        <f>IF($AX813="Cancelled","",IFERROR(IF(BJ813="","",(W813*INDEX(Variables!$B$7:$D$7,IFERROR(MATCH(IF($B813="Robusta","Robusta",(IF($B813="","Arabica",$B813))&amp;" - "&amp;(IF($C813="","Commercial",$C813))),Variables!$B$1:$D$1,0),1))*(BJ813/365))+(W813*INDEX(Variables!$B$9:$D$9,IFERROR(MATCH(IF($B813="Robusta","Robusta",(IF($B813="","Arabica",$B813))&amp;" - "&amp;(IF($C813="","Commercial",$C813))),Variables!$B$1:$D$1,0),1))*(BJ813/365))+(INDEX(Variables!$B$8:$D$8,IFERROR(MATCH(IF($B813="Robusta","Robusta",(IF($B813="","Arabica",$B813))&amp;" - "&amp;(IF($C813="","Commercial",$C813))),Variables!$B$1:$D$1,0),1))*L813/16.67)),""))</f>
        <v>-121.47836131172203</v>
      </c>
    </row>
    <row r="814" spans="1:63">
      <c r="A814" s="13" t="s">
        <v>103</v>
      </c>
      <c r="B814" s="13" t="s">
        <v>104</v>
      </c>
      <c r="C814" s="13" t="s">
        <v>105</v>
      </c>
      <c r="D814" s="31">
        <v>46064</v>
      </c>
      <c r="E814" s="31">
        <v>46113</v>
      </c>
      <c r="F814" s="31">
        <v>46142</v>
      </c>
      <c r="G814" s="13">
        <v>3787247</v>
      </c>
      <c r="H814" s="13" t="s">
        <v>2159</v>
      </c>
      <c r="J814" s="13" t="s">
        <v>236</v>
      </c>
      <c r="K814" s="13" t="s">
        <v>2159</v>
      </c>
      <c r="L814" s="13">
        <v>320</v>
      </c>
      <c r="M814" s="13">
        <v>1</v>
      </c>
      <c r="N814" s="13" t="s">
        <v>2123</v>
      </c>
      <c r="O814" s="13" t="s">
        <v>355</v>
      </c>
      <c r="P814" s="13">
        <v>10060</v>
      </c>
      <c r="R814" s="13" t="s">
        <v>239</v>
      </c>
      <c r="S814" s="13" t="s">
        <v>180</v>
      </c>
      <c r="T814" s="13" t="s">
        <v>253</v>
      </c>
      <c r="U814" s="13" t="s">
        <v>182</v>
      </c>
      <c r="V814" s="23">
        <v>43</v>
      </c>
      <c r="W814" s="44">
        <f>IF($AX814="Cancelled","",IFERROR(((V814+INDEX(Variables!$B$6:$D$6,IFERROR(MATCH(IF($B814="Robusta","Robusta",(IF($B814="","Arabica",$B814))&amp;" - "&amp;(IF($C814="","Commercial",$C814))),Variables!$B$1:$D$1,0),1)))*22.0462)*(L814/16.67),""))</f>
        <v>141264.96095980803</v>
      </c>
      <c r="X814" s="55" t="s">
        <v>37</v>
      </c>
      <c r="Y814" s="13" t="str">
        <f>IF($AX814="Cancelled","",IF(X814="","",IFERROR(IF(INDEX(Variables!$B$38:$B$47,MATCH(X814,Variables!$A$38:$A$47,0))="Yes","Yes","No"),"No")))</f>
        <v>Yes</v>
      </c>
      <c r="Z814" s="58">
        <v>46080</v>
      </c>
      <c r="AB814" s="31">
        <v>46104</v>
      </c>
      <c r="AC814" s="13" t="str">
        <f t="shared" si="37"/>
        <v>Approved</v>
      </c>
      <c r="AF814" s="71">
        <v>46132</v>
      </c>
      <c r="AG814" s="37">
        <f>IF($AX814="Cancelled","",IFERROR(IF(F814="","",F814-Variables!$B$13),""))</f>
        <v>46127</v>
      </c>
      <c r="AH814" s="13">
        <f>IF($AX814="Cancelled","",IFERROR(IF(AB814="","",(AVERAGE(E814:F814)-AB814)-Variables!$B$14),""))</f>
        <v>-6.5</v>
      </c>
      <c r="AJ814" s="47">
        <v>46133</v>
      </c>
      <c r="AK814" s="14">
        <f>IF($AX814="Cancelled","",IFERROR(IF(AJ814="","",IF(AND(AB814="",AF814=""),"",IF(AF814&gt;AB814,AF814+Variables!$B$15+Variables!$B$16+Variables!$B$17-AJ814,AB814+Variables!$B$16+Variables!$B$17-AJ814))),""))</f>
        <v>14</v>
      </c>
      <c r="AL814" s="48" t="s">
        <v>114</v>
      </c>
      <c r="AM814" s="13" t="s">
        <v>1482</v>
      </c>
      <c r="AN814" s="13" t="s">
        <v>2160</v>
      </c>
      <c r="AP814" s="31">
        <v>46147</v>
      </c>
      <c r="AR814" s="13" t="s">
        <v>2161</v>
      </c>
      <c r="AS814" s="31">
        <v>46147</v>
      </c>
      <c r="AU814" s="31">
        <v>46182</v>
      </c>
      <c r="AV814" s="13">
        <v>1292847006</v>
      </c>
      <c r="AW814" s="31">
        <v>46182</v>
      </c>
      <c r="AX814" s="13" t="str">
        <f>IF(ISNUMBER(SEARCH("cancel",#REF!)),"Cancelled",IF(AND(AS814&lt;&gt;"",AU814&lt;&gt;"",AW814&lt;&gt;""),"Closed","Open"))</f>
        <v>Closed</v>
      </c>
      <c r="AY814" s="15" t="str">
        <f t="shared" si="36"/>
        <v>All dates received</v>
      </c>
      <c r="BD814" s="13">
        <f>IF($AX814="Cancelled","",IFERROR(IF(OR(AS814="",AJ814=""),"",(AJ814+Variables!$B$18-AS814)),""))</f>
        <v>1</v>
      </c>
      <c r="BE814" s="13">
        <f>IF($AX814="Cancelled","",IFERROR(IF(OR(AW814="",AS814=""),"",(AS814+Variables!$B$19)-AW814),""))</f>
        <v>-30</v>
      </c>
      <c r="BF814" s="44">
        <f>IF($AX814="Cancelled","",IFERROR(W814*INDEX(Variables!$B$7:$D$7,IFERROR(MATCH(IF($B814="Robusta","Robusta",(IF($B814="","Arabica",$B814))&amp;" - "&amp;(IF($C814="","Commercial",$C814))),Variables!$B$1:$D$1,0),1))*(BE814/365),""))</f>
        <v>-748.69113415911227</v>
      </c>
      <c r="BG814" s="44">
        <f>IF($AX814="Cancelled","",IFERROR((W814*INDEX(Variables!$B$7:$D$7,IFERROR(MATCH(IF($B814="Robusta","Robusta",(IF($B814="","Arabica",$B814))&amp;" - "&amp;(IF($C814="","Commercial",$C814))),Variables!$B$1:$D$1,0),1))*IFERROR(IF(AB814="","",(AVERAGE(E814:F814)-AB814)-Variables!$B$14),"")/365)+(L814/16.67*INDEX(Variables!$B$8:$D$8,IFERROR(MATCH(IF($B814="Robusta","Robusta",(IF($B814="","Arabica",$B814))&amp;" - "&amp;(IF($C814="","Commercial",$C814))),Variables!$B$1:$D$1,0),1))*IFERROR(IF(AB814="","",(AVERAGE(E814:F814)-AB814)-Variables!$B$14),""))+(W814*INDEX(Variables!$B$9:$D$9,IFERROR(MATCH(IF($B814="Robusta","Robusta",(IF($B814="","Arabica",$B814))&amp;" - "&amp;(IF($C814="","Commercial",$C814))),Variables!$B$1:$D$1,0),1))*IFERROR(IF(AB814="","",(AVERAGE(E814:F814)-AB814)-Variables!$B$14),"")/365),""))</f>
        <v>-268.30769501291707</v>
      </c>
      <c r="BH814" s="44">
        <f>IF($AX814="Cancelled","",IFERROR((W814*INDEX(Variables!$B$7:$D$7,IFERROR(MATCH(IF($B814="Robusta","Robusta",(IF($B814="","Arabica",$B814))&amp;" - "&amp;(IF($C814="","Commercial",$C814))),Variables!$B$1:$D$1,0),1))*AK814/365)+(L814/16.67*INDEX(Variables!$B$8:$D$8,IFERROR(MATCH(IF($B814="Robusta","Robusta",(IF($B814="","Arabica",$B814))&amp;" - "&amp;(IF($C814="","Commercial",$C814))),Variables!$B$1:$D$1,0),1))*AK814)+(W814*INDEX(Variables!$B$9:$D$9,IFERROR(MATCH(IF($B814="Robusta","Robusta",(IF($B814="","Arabica",$B814))&amp;" - "&amp;(IF($C814="","Commercial",$C814))),Variables!$B$1:$D$1,0),1))*AK814/365),""))</f>
        <v>577.89349695089834</v>
      </c>
      <c r="BI814" s="44">
        <f>IF($AX814="Cancelled","",IFERROR((W814*INDEX(Variables!$B$7:$D$7,IFERROR(MATCH(IF($B814="Robusta","Robusta",(IF($B814="","Arabica",$B814))&amp;" - "&amp;(IF($C814="","Commercial",$C814))),Variables!$B$1:$D$1,0),1))*BD814/365)+(L814/16.67*INDEX(Variables!$B$8:$D$8,IFERROR(MATCH(IF($B814="Robusta","Robusta",(IF($B814="","Arabica",$B814))&amp;" - "&amp;(IF($C814="","Commercial",$C814))),Variables!$B$1:$D$1,0),1))*BD814)+(W814*INDEX(Variables!$B$9:$D$9,IFERROR(MATCH(IF($B814="Robusta","Robusta",(IF($B814="","Arabica",$B814))&amp;" - "&amp;(IF($C814="","Commercial",$C814))),Variables!$B$1:$D$1,0),1))*BD814/365),""))</f>
        <v>41.278106925064172</v>
      </c>
      <c r="BJ814" s="44">
        <f t="shared" si="38"/>
        <v>-5</v>
      </c>
      <c r="BK814" s="44">
        <f>IF($AX814="Cancelled","",IFERROR(IF(BJ814="","",(W814*INDEX(Variables!$B$7:$D$7,IFERROR(MATCH(IF($B814="Robusta","Robusta",(IF($B814="","Arabica",$B814))&amp;" - "&amp;(IF($C814="","Commercial",$C814))),Variables!$B$1:$D$1,0),1))*(BJ814/365))+(W814*INDEX(Variables!$B$9:$D$9,IFERROR(MATCH(IF($B814="Robusta","Robusta",(IF($B814="","Arabica",$B814))&amp;" - "&amp;(IF($C814="","Commercial",$C814))),Variables!$B$1:$D$1,0),1))*(BJ814/365))+(INDEX(Variables!$B$8:$D$8,IFERROR(MATCH(IF($B814="Robusta","Robusta",(IF($B814="","Arabica",$B814))&amp;" - "&amp;(IF($C814="","Commercial",$C814))),Variables!$B$1:$D$1,0),1))*L814/16.67)),""))</f>
        <v>-110.39053462532084</v>
      </c>
    </row>
    <row r="815" spans="1:63">
      <c r="A815" s="13" t="s">
        <v>103</v>
      </c>
      <c r="B815" s="13" t="s">
        <v>104</v>
      </c>
      <c r="C815" s="13" t="s">
        <v>105</v>
      </c>
      <c r="D815" s="31">
        <v>46064</v>
      </c>
      <c r="E815" s="31">
        <v>46113</v>
      </c>
      <c r="F815" s="31">
        <v>46142</v>
      </c>
      <c r="G815" s="13">
        <v>3787247</v>
      </c>
      <c r="H815" s="13" t="s">
        <v>2162</v>
      </c>
      <c r="J815" s="13" t="s">
        <v>236</v>
      </c>
      <c r="K815" s="13" t="s">
        <v>2162</v>
      </c>
      <c r="L815" s="13">
        <v>320</v>
      </c>
      <c r="M815" s="13">
        <v>1</v>
      </c>
      <c r="N815" s="13" t="s">
        <v>2123</v>
      </c>
      <c r="O815" s="13" t="s">
        <v>355</v>
      </c>
      <c r="P815" s="13">
        <v>10060</v>
      </c>
      <c r="R815" s="13" t="s">
        <v>239</v>
      </c>
      <c r="S815" s="13" t="s">
        <v>180</v>
      </c>
      <c r="T815" s="13" t="s">
        <v>253</v>
      </c>
      <c r="U815" s="13" t="s">
        <v>182</v>
      </c>
      <c r="V815" s="23">
        <v>43</v>
      </c>
      <c r="W815" s="44">
        <f>IF($AX815="Cancelled","",IFERROR(((V815+INDEX(Variables!$B$6:$D$6,IFERROR(MATCH(IF($B815="Robusta","Robusta",(IF($B815="","Arabica",$B815))&amp;" - "&amp;(IF($C815="","Commercial",$C815))),Variables!$B$1:$D$1,0),1)))*22.0462)*(L815/16.67),""))</f>
        <v>141264.96095980803</v>
      </c>
      <c r="X815" s="55" t="s">
        <v>37</v>
      </c>
      <c r="Y815" s="13" t="str">
        <f>IF($AX815="Cancelled","",IF(X815="","",IFERROR(IF(INDEX(Variables!$B$38:$B$47,MATCH(X815,Variables!$A$38:$A$47,0))="Yes","Yes","No"),"No")))</f>
        <v>Yes</v>
      </c>
      <c r="Z815" s="58">
        <v>46080</v>
      </c>
      <c r="AB815" s="31">
        <v>46104</v>
      </c>
      <c r="AC815" s="13" t="str">
        <f t="shared" si="37"/>
        <v>Approved</v>
      </c>
      <c r="AF815" s="71">
        <v>46132</v>
      </c>
      <c r="AG815" s="37">
        <f>IF($AX815="Cancelled","",IFERROR(IF(F815="","",F815-Variables!$B$13),""))</f>
        <v>46127</v>
      </c>
      <c r="AH815" s="13">
        <f>IF($AX815="Cancelled","",IFERROR(IF(AB815="","",(AVERAGE(E815:F815)-AB815)-Variables!$B$14),""))</f>
        <v>-6.5</v>
      </c>
      <c r="AJ815" s="47">
        <v>46133</v>
      </c>
      <c r="AK815" s="14">
        <f>IF($AX815="Cancelled","",IFERROR(IF(AJ815="","",IF(AND(AB815="",AF815=""),"",IF(AF815&gt;AB815,AF815+Variables!$B$15+Variables!$B$16+Variables!$B$17-AJ815,AB815+Variables!$B$16+Variables!$B$17-AJ815))),""))</f>
        <v>14</v>
      </c>
      <c r="AL815" s="48" t="s">
        <v>114</v>
      </c>
      <c r="AM815" s="13" t="s">
        <v>1482</v>
      </c>
      <c r="AN815" s="13" t="s">
        <v>2160</v>
      </c>
      <c r="AP815" s="31">
        <v>46147</v>
      </c>
      <c r="AR815" s="13" t="s">
        <v>2161</v>
      </c>
      <c r="AS815" s="31">
        <v>46147</v>
      </c>
      <c r="AU815" s="31">
        <v>46182</v>
      </c>
      <c r="AV815" s="13">
        <v>1292847006</v>
      </c>
      <c r="AW815" s="31">
        <v>46182</v>
      </c>
      <c r="AX815" s="13" t="str">
        <f>IF(ISNUMBER(SEARCH("cancel",#REF!)),"Cancelled",IF(AND(AS815&lt;&gt;"",AU815&lt;&gt;"",AW815&lt;&gt;""),"Closed","Open"))</f>
        <v>Closed</v>
      </c>
      <c r="AY815" s="15" t="str">
        <f t="shared" si="36"/>
        <v>All dates received</v>
      </c>
      <c r="BD815" s="13">
        <f>IF($AX815="Cancelled","",IFERROR(IF(OR(AS815="",AJ815=""),"",(AJ815+Variables!$B$18-AS815)),""))</f>
        <v>1</v>
      </c>
      <c r="BE815" s="13">
        <f>IF($AX815="Cancelled","",IFERROR(IF(OR(AW815="",AS815=""),"",(AS815+Variables!$B$19)-AW815),""))</f>
        <v>-30</v>
      </c>
      <c r="BF815" s="44">
        <f>IF($AX815="Cancelled","",IFERROR(W815*INDEX(Variables!$B$7:$D$7,IFERROR(MATCH(IF($B815="Robusta","Robusta",(IF($B815="","Arabica",$B815))&amp;" - "&amp;(IF($C815="","Commercial",$C815))),Variables!$B$1:$D$1,0),1))*(BE815/365),""))</f>
        <v>-748.69113415911227</v>
      </c>
      <c r="BG815" s="44">
        <f>IF($AX815="Cancelled","",IFERROR((W815*INDEX(Variables!$B$7:$D$7,IFERROR(MATCH(IF($B815="Robusta","Robusta",(IF($B815="","Arabica",$B815))&amp;" - "&amp;(IF($C815="","Commercial",$C815))),Variables!$B$1:$D$1,0),1))*IFERROR(IF(AB815="","",(AVERAGE(E815:F815)-AB815)-Variables!$B$14),"")/365)+(L815/16.67*INDEX(Variables!$B$8:$D$8,IFERROR(MATCH(IF($B815="Robusta","Robusta",(IF($B815="","Arabica",$B815))&amp;" - "&amp;(IF($C815="","Commercial",$C815))),Variables!$B$1:$D$1,0),1))*IFERROR(IF(AB815="","",(AVERAGE(E815:F815)-AB815)-Variables!$B$14),""))+(W815*INDEX(Variables!$B$9:$D$9,IFERROR(MATCH(IF($B815="Robusta","Robusta",(IF($B815="","Arabica",$B815))&amp;" - "&amp;(IF($C815="","Commercial",$C815))),Variables!$B$1:$D$1,0),1))*IFERROR(IF(AB815="","",(AVERAGE(E815:F815)-AB815)-Variables!$B$14),"")/365),""))</f>
        <v>-268.30769501291707</v>
      </c>
      <c r="BH815" s="44">
        <f>IF($AX815="Cancelled","",IFERROR((W815*INDEX(Variables!$B$7:$D$7,IFERROR(MATCH(IF($B815="Robusta","Robusta",(IF($B815="","Arabica",$B815))&amp;" - "&amp;(IF($C815="","Commercial",$C815))),Variables!$B$1:$D$1,0),1))*AK815/365)+(L815/16.67*INDEX(Variables!$B$8:$D$8,IFERROR(MATCH(IF($B815="Robusta","Robusta",(IF($B815="","Arabica",$B815))&amp;" - "&amp;(IF($C815="","Commercial",$C815))),Variables!$B$1:$D$1,0),1))*AK815)+(W815*INDEX(Variables!$B$9:$D$9,IFERROR(MATCH(IF($B815="Robusta","Robusta",(IF($B815="","Arabica",$B815))&amp;" - "&amp;(IF($C815="","Commercial",$C815))),Variables!$B$1:$D$1,0),1))*AK815/365),""))</f>
        <v>577.89349695089834</v>
      </c>
      <c r="BI815" s="44">
        <f>IF($AX815="Cancelled","",IFERROR((W815*INDEX(Variables!$B$7:$D$7,IFERROR(MATCH(IF($B815="Robusta","Robusta",(IF($B815="","Arabica",$B815))&amp;" - "&amp;(IF($C815="","Commercial",$C815))),Variables!$B$1:$D$1,0),1))*BD815/365)+(L815/16.67*INDEX(Variables!$B$8:$D$8,IFERROR(MATCH(IF($B815="Robusta","Robusta",(IF($B815="","Arabica",$B815))&amp;" - "&amp;(IF($C815="","Commercial",$C815))),Variables!$B$1:$D$1,0),1))*BD815)+(W815*INDEX(Variables!$B$9:$D$9,IFERROR(MATCH(IF($B815="Robusta","Robusta",(IF($B815="","Arabica",$B815))&amp;" - "&amp;(IF($C815="","Commercial",$C815))),Variables!$B$1:$D$1,0),1))*BD815/365),""))</f>
        <v>41.278106925064172</v>
      </c>
      <c r="BJ815" s="44">
        <f t="shared" si="38"/>
        <v>-5</v>
      </c>
      <c r="BK815" s="44">
        <f>IF($AX815="Cancelled","",IFERROR(IF(BJ815="","",(W815*INDEX(Variables!$B$7:$D$7,IFERROR(MATCH(IF($B815="Robusta","Robusta",(IF($B815="","Arabica",$B815))&amp;" - "&amp;(IF($C815="","Commercial",$C815))),Variables!$B$1:$D$1,0),1))*(BJ815/365))+(W815*INDEX(Variables!$B$9:$D$9,IFERROR(MATCH(IF($B815="Robusta","Robusta",(IF($B815="","Arabica",$B815))&amp;" - "&amp;(IF($C815="","Commercial",$C815))),Variables!$B$1:$D$1,0),1))*(BJ815/365))+(INDEX(Variables!$B$8:$D$8,IFERROR(MATCH(IF($B815="Robusta","Robusta",(IF($B815="","Arabica",$B815))&amp;" - "&amp;(IF($C815="","Commercial",$C815))),Variables!$B$1:$D$1,0),1))*L815/16.67)),""))</f>
        <v>-110.39053462532084</v>
      </c>
    </row>
    <row r="816" spans="1:63">
      <c r="A816" s="13" t="s">
        <v>103</v>
      </c>
      <c r="B816" s="13" t="s">
        <v>104</v>
      </c>
      <c r="C816" s="13" t="s">
        <v>105</v>
      </c>
      <c r="D816" s="31">
        <v>46063</v>
      </c>
      <c r="E816" s="31">
        <v>46082</v>
      </c>
      <c r="F816" s="31">
        <v>46112</v>
      </c>
      <c r="G816" s="13">
        <v>3787248</v>
      </c>
      <c r="H816" s="13">
        <v>4554365258</v>
      </c>
      <c r="J816" s="13" t="s">
        <v>230</v>
      </c>
      <c r="K816" s="13">
        <v>5437</v>
      </c>
      <c r="L816" s="13">
        <v>1080</v>
      </c>
      <c r="M816" s="13">
        <v>3</v>
      </c>
      <c r="N816" s="13" t="s">
        <v>1789</v>
      </c>
      <c r="O816" s="13" t="s">
        <v>775</v>
      </c>
      <c r="P816" s="13">
        <v>10030</v>
      </c>
      <c r="R816" s="13" t="s">
        <v>122</v>
      </c>
      <c r="S816" s="13" t="s">
        <v>154</v>
      </c>
      <c r="T816" s="13" t="s">
        <v>155</v>
      </c>
      <c r="U816" s="13" t="s">
        <v>125</v>
      </c>
      <c r="V816" s="13">
        <v>69</v>
      </c>
      <c r="W816" s="44">
        <f>IF($AX816="Cancelled","",IFERROR(((V816+INDEX(Variables!$B$6:$D$6,IFERROR(MATCH(IF($B816="Robusta","Robusta",(IF($B816="","Arabica",$B816))&amp;" - "&amp;(IF($C816="","Commercial",$C816))),Variables!$B$1:$D$1,0),1)))*22.0462)*(L816/16.67),""))</f>
        <v>513905.25379724044</v>
      </c>
      <c r="X816" s="55" t="s">
        <v>37</v>
      </c>
      <c r="Y816" s="13" t="str">
        <f>IF($AX816="Cancelled","",IF(X816="","",IFERROR(IF(INDEX(Variables!$B$38:$B$47,MATCH(X816,Variables!$A$38:$A$47,0))="Yes","Yes","No"),"No")))</f>
        <v>Yes</v>
      </c>
      <c r="Z816" s="58">
        <v>46066</v>
      </c>
      <c r="AB816" s="31">
        <v>46071</v>
      </c>
      <c r="AC816" s="13" t="str">
        <f t="shared" si="37"/>
        <v>Approved</v>
      </c>
      <c r="AF816" s="71">
        <v>46093</v>
      </c>
      <c r="AG816" s="37">
        <f>IF($AX816="Cancelled","",IFERROR(IF(F816="","",F816-Variables!$B$13),""))</f>
        <v>46097</v>
      </c>
      <c r="AH816" s="13">
        <f>IF($AX816="Cancelled","",IFERROR(IF(AB816="","",(AVERAGE(E816:F816)-AB816)-Variables!$B$14),""))</f>
        <v>-4</v>
      </c>
      <c r="AJ816" s="47">
        <v>46094</v>
      </c>
      <c r="AK816" s="14">
        <f>IF($AX816="Cancelled","",IFERROR(IF(AJ816="","",IF(AND(AB816="",AF816=""),"",IF(AF816&gt;AB816,AF816+Variables!$B$15+Variables!$B$16+Variables!$B$17-AJ816,AB816+Variables!$B$16+Variables!$B$17-AJ816))),""))</f>
        <v>14</v>
      </c>
      <c r="AL816" s="48" t="s">
        <v>114</v>
      </c>
      <c r="AM816" s="13" t="s">
        <v>1526</v>
      </c>
      <c r="AN816" s="13" t="s">
        <v>2047</v>
      </c>
      <c r="AP816" s="31">
        <v>46117</v>
      </c>
      <c r="AR816" s="13">
        <v>919994</v>
      </c>
      <c r="AS816" s="31">
        <v>46117</v>
      </c>
      <c r="AU816" s="31">
        <v>46134</v>
      </c>
      <c r="AV816" s="13" t="s">
        <v>865</v>
      </c>
      <c r="AW816" s="31">
        <v>46134</v>
      </c>
      <c r="AX816" s="13" t="str">
        <f>IF(ISNUMBER(SEARCH("cancel",#REF!)),"Cancelled",IF(AND(AS816&lt;&gt;"",AU816&lt;&gt;"",AW816&lt;&gt;""),"Closed","Open"))</f>
        <v>Closed</v>
      </c>
      <c r="AY816" s="15" t="str">
        <f t="shared" si="36"/>
        <v>All dates received</v>
      </c>
      <c r="BD816" s="13">
        <f>IF($AX816="Cancelled","",IFERROR(IF(OR(AS816="",AJ816=""),"",(AJ816+Variables!$B$18-AS816)),""))</f>
        <v>-8</v>
      </c>
      <c r="BE816" s="13">
        <f>IF($AX816="Cancelled","",IFERROR(IF(OR(AW816="",AS816=""),"",(AS816+Variables!$B$19)-AW816),""))</f>
        <v>-12</v>
      </c>
      <c r="BF816" s="44">
        <f>IF($AX816="Cancelled","",IFERROR(W816*INDEX(Variables!$B$7:$D$7,IFERROR(MATCH(IF($B816="Robusta","Robusta",(IF($B816="","Arabica",$B816))&amp;" - "&amp;(IF($C816="","Commercial",$C816))),Variables!$B$1:$D$1,0),1))*(BE816/365),""))</f>
        <v>-1089.4599897995972</v>
      </c>
      <c r="BG816" s="44">
        <f>IF($AX816="Cancelled","",IFERROR((W816*INDEX(Variables!$B$7:$D$7,IFERROR(MATCH(IF($B816="Robusta","Robusta",(IF($B816="","Arabica",$B816))&amp;" - "&amp;(IF($C816="","Commercial",$C816))),Variables!$B$1:$D$1,0),1))*IFERROR(IF(AB816="","",(AVERAGE(E816:F816)-AB816)-Variables!$B$14),"")/365)+(L816/16.67*INDEX(Variables!$B$8:$D$8,IFERROR(MATCH(IF($B816="Robusta","Robusta",(IF($B816="","Arabica",$B816))&amp;" - "&amp;(IF($C816="","Commercial",$C816))),Variables!$B$1:$D$1,0),1))*IFERROR(IF(AB816="","",(AVERAGE(E816:F816)-AB816)-Variables!$B$14),""))+(W816*INDEX(Variables!$B$9:$D$9,IFERROR(MATCH(IF($B816="Robusta","Robusta",(IF($B816="","Arabica",$B816))&amp;" - "&amp;(IF($C816="","Commercial",$C816))),Variables!$B$1:$D$1,0),1))*IFERROR(IF(AB816="","",(AVERAGE(E816:F816)-AB816)-Variables!$B$14),"")/365),""))</f>
        <v>-583.8350771932719</v>
      </c>
      <c r="BH816" s="44">
        <f>IF($AX816="Cancelled","",IFERROR((W816*INDEX(Variables!$B$7:$D$7,IFERROR(MATCH(IF($B816="Robusta","Robusta",(IF($B816="","Arabica",$B816))&amp;" - "&amp;(IF($C816="","Commercial",$C816))),Variables!$B$1:$D$1,0),1))*AK816/365)+(L816/16.67*INDEX(Variables!$B$8:$D$8,IFERROR(MATCH(IF($B816="Robusta","Robusta",(IF($B816="","Arabica",$B816))&amp;" - "&amp;(IF($C816="","Commercial",$C816))),Variables!$B$1:$D$1,0),1))*AK816)+(W816*INDEX(Variables!$B$9:$D$9,IFERROR(MATCH(IF($B816="Robusta","Robusta",(IF($B816="","Arabica",$B816))&amp;" - "&amp;(IF($C816="","Commercial",$C816))),Variables!$B$1:$D$1,0),1))*AK816/365),""))</f>
        <v>2043.4227701764519</v>
      </c>
      <c r="BI816" s="44">
        <f>IF($AX816="Cancelled","",IFERROR((W816*INDEX(Variables!$B$7:$D$7,IFERROR(MATCH(IF($B816="Robusta","Robusta",(IF($B816="","Arabica",$B816))&amp;" - "&amp;(IF($C816="","Commercial",$C816))),Variables!$B$1:$D$1,0),1))*BD816/365)+(L816/16.67*INDEX(Variables!$B$8:$D$8,IFERROR(MATCH(IF($B816="Robusta","Robusta",(IF($B816="","Arabica",$B816))&amp;" - "&amp;(IF($C816="","Commercial",$C816))),Variables!$B$1:$D$1,0),1))*BD816)+(W816*INDEX(Variables!$B$9:$D$9,IFERROR(MATCH(IF($B816="Robusta","Robusta",(IF($B816="","Arabica",$B816))&amp;" - "&amp;(IF($C816="","Commercial",$C816))),Variables!$B$1:$D$1,0),1))*BD816/365),""))</f>
        <v>-1167.6701543865438</v>
      </c>
      <c r="BJ816" s="44">
        <f t="shared" si="38"/>
        <v>-5</v>
      </c>
      <c r="BK816" s="44">
        <f>IF($AX816="Cancelled","",IFERROR(IF(BJ816="","",(W816*INDEX(Variables!$B$7:$D$7,IFERROR(MATCH(IF($B816="Robusta","Robusta",(IF($B816="","Arabica",$B816))&amp;" - "&amp;(IF($C816="","Commercial",$C816))),Variables!$B$1:$D$1,0),1))*(BJ816/365))+(W816*INDEX(Variables!$B$9:$D$9,IFERROR(MATCH(IF($B816="Robusta","Robusta",(IF($B816="","Arabica",$B816))&amp;" - "&amp;(IF($C816="","Commercial",$C816))),Variables!$B$1:$D$1,0),1))*(BJ816/365))+(INDEX(Variables!$B$8:$D$8,IFERROR(MATCH(IF($B816="Robusta","Robusta",(IF($B816="","Arabica",$B816))&amp;" - "&amp;(IF($C816="","Commercial",$C816))),Variables!$B$1:$D$1,0),1))*L816/16.67)),""))</f>
        <v>-405.79384649158987</v>
      </c>
    </row>
    <row r="817" spans="1:63">
      <c r="A817" s="13" t="s">
        <v>103</v>
      </c>
      <c r="B817" s="13" t="s">
        <v>104</v>
      </c>
      <c r="C817" s="13" t="s">
        <v>105</v>
      </c>
      <c r="D817" s="31">
        <v>46064</v>
      </c>
      <c r="E817" s="31">
        <v>46082</v>
      </c>
      <c r="F817" s="31">
        <v>46112</v>
      </c>
      <c r="G817" s="13">
        <v>3787249</v>
      </c>
      <c r="H817" s="13" t="s">
        <v>2163</v>
      </c>
      <c r="J817" s="13" t="s">
        <v>2164</v>
      </c>
      <c r="K817" s="13" t="s">
        <v>2163</v>
      </c>
      <c r="L817" s="13">
        <v>320</v>
      </c>
      <c r="M817" s="13">
        <v>1</v>
      </c>
      <c r="N817" s="13" t="s">
        <v>2165</v>
      </c>
      <c r="O817" s="13" t="s">
        <v>355</v>
      </c>
      <c r="P817" s="13">
        <v>10060</v>
      </c>
      <c r="R817" s="13" t="s">
        <v>239</v>
      </c>
      <c r="S817" s="13" t="s">
        <v>283</v>
      </c>
      <c r="T817" s="13" t="s">
        <v>112</v>
      </c>
      <c r="U817" s="13" t="s">
        <v>113</v>
      </c>
      <c r="V817" s="13">
        <v>46</v>
      </c>
      <c r="W817" s="44">
        <f>IF($AX817="Cancelled","",IFERROR(((V817+INDEX(Variables!$B$6:$D$6,IFERROR(MATCH(IF($B817="Robusta","Robusta",(IF($B817="","Arabica",$B817))&amp;" - "&amp;(IF($C817="","Commercial",$C817))),Variables!$B$1:$D$1,0),1)))*22.0462)*(L817/16.67),""))</f>
        <v>142534.56815836829</v>
      </c>
      <c r="X817" s="55" t="s">
        <v>37</v>
      </c>
      <c r="Y817" s="13" t="str">
        <f>IF($AX817="Cancelled","",IF(X817="","",IFERROR(IF(INDEX(Variables!$B$38:$B$47,MATCH(X817,Variables!$A$38:$A$47,0))="Yes","Yes","No"),"No")))</f>
        <v>Yes</v>
      </c>
      <c r="Z817" s="58">
        <v>46070</v>
      </c>
      <c r="AB817" s="31">
        <v>46077</v>
      </c>
      <c r="AC817" s="13" t="str">
        <f t="shared" si="37"/>
        <v>Approved</v>
      </c>
      <c r="AF817" s="71">
        <v>46090</v>
      </c>
      <c r="AG817" s="37">
        <f>IF($AX817="Cancelled","",IFERROR(IF(F817="","",F817-Variables!$B$13),""))</f>
        <v>46097</v>
      </c>
      <c r="AH817" s="13">
        <f>IF($AX817="Cancelled","",IFERROR(IF(AB817="","",(AVERAGE(E817:F817)-AB817)-Variables!$B$14),""))</f>
        <v>-10</v>
      </c>
      <c r="AJ817" s="47">
        <v>46106</v>
      </c>
      <c r="AK817" s="14">
        <f>IF($AX817="Cancelled","",IFERROR(IF(AJ817="","",IF(AND(AB817="",AF817=""),"",IF(AF817&gt;AB817,AF817+Variables!$B$15+Variables!$B$16+Variables!$B$17-AJ817,AB817+Variables!$B$16+Variables!$B$17-AJ817))),""))</f>
        <v>-1</v>
      </c>
      <c r="AL817" s="48" t="s">
        <v>114</v>
      </c>
      <c r="AM817" s="13" t="s">
        <v>168</v>
      </c>
      <c r="AN817" s="13" t="s">
        <v>2124</v>
      </c>
      <c r="AP817" s="31">
        <v>46114</v>
      </c>
      <c r="AR817" s="13" t="s">
        <v>2166</v>
      </c>
      <c r="AS817" s="31">
        <v>46114</v>
      </c>
      <c r="AU817" s="31">
        <v>46149</v>
      </c>
      <c r="AV817" s="13" t="s">
        <v>865</v>
      </c>
      <c r="AW817" s="31">
        <v>45793</v>
      </c>
      <c r="AX817" s="13" t="str">
        <f>IF(ISNUMBER(SEARCH("cancel",#REF!)),"Cancelled",IF(AND(AS817&lt;&gt;"",AU817&lt;&gt;"",AW817&lt;&gt;""),"Closed","Open"))</f>
        <v>Closed</v>
      </c>
      <c r="AY817" s="15" t="str">
        <f t="shared" si="36"/>
        <v>All dates received</v>
      </c>
      <c r="BD817" s="13">
        <f>IF($AX817="Cancelled","",IFERROR(IF(OR(AS817="",AJ817=""),"",(AJ817+Variables!$B$18-AS817)),""))</f>
        <v>7</v>
      </c>
      <c r="BE817" s="13">
        <f>IF($AX817="Cancelled","",IFERROR(IF(OR(AW817="",AS817=""),"",(AS817+Variables!$B$19)-AW817),""))</f>
        <v>326</v>
      </c>
      <c r="BF817" s="44">
        <f>IF($AX817="Cancelled","",IFERROR(W817*INDEX(Variables!$B$7:$D$7,IFERROR(MATCH(IF($B817="Robusta","Robusta",(IF($B817="","Arabica",$B817))&amp;" - "&amp;(IF($C817="","Commercial",$C817))),Variables!$B$1:$D$1,0),1))*(BE817/365),""))</f>
        <v>8208.8966166408245</v>
      </c>
      <c r="BG817" s="44">
        <f>IF($AX817="Cancelled","",IFERROR((W817*INDEX(Variables!$B$7:$D$7,IFERROR(MATCH(IF($B817="Robusta","Robusta",(IF($B817="","Arabica",$B817))&amp;" - "&amp;(IF($C817="","Commercial",$C817))),Variables!$B$1:$D$1,0),1))*IFERROR(IF(AB817="","",(AVERAGE(E817:F817)-AB817)-Variables!$B$14),"")/365)+(L817/16.67*INDEX(Variables!$B$8:$D$8,IFERROR(MATCH(IF($B817="Robusta","Robusta",(IF($B817="","Arabica",$B817))&amp;" - "&amp;(IF($C817="","Commercial",$C817))),Variables!$B$1:$D$1,0),1))*IFERROR(IF(AB817="","",(AVERAGE(E817:F817)-AB817)-Variables!$B$14),""))+(W817*INDEX(Variables!$B$9:$D$9,IFERROR(MATCH(IF($B817="Robusta","Robusta",(IF($B817="","Arabica",$B817))&amp;" - "&amp;(IF($C817="","Commercial",$C817))),Variables!$B$1:$D$1,0),1))*IFERROR(IF(AB817="","",(AVERAGE(E817:F817)-AB817)-Variables!$B$14),"")/365),""))</f>
        <v>-415.05291828524895</v>
      </c>
      <c r="BH817" s="44">
        <f>IF($AX817="Cancelled","",IFERROR((W817*INDEX(Variables!$B$7:$D$7,IFERROR(MATCH(IF($B817="Robusta","Robusta",(IF($B817="","Arabica",$B817))&amp;" - "&amp;(IF($C817="","Commercial",$C817))),Variables!$B$1:$D$1,0),1))*AK817/365)+(L817/16.67*INDEX(Variables!$B$8:$D$8,IFERROR(MATCH(IF($B817="Robusta","Robusta",(IF($B817="","Arabica",$B817))&amp;" - "&amp;(IF($C817="","Commercial",$C817))),Variables!$B$1:$D$1,0),1))*AK817)+(W817*INDEX(Variables!$B$9:$D$9,IFERROR(MATCH(IF($B817="Robusta","Robusta",(IF($B817="","Arabica",$B817))&amp;" - "&amp;(IF($C817="","Commercial",$C817))),Variables!$B$1:$D$1,0),1))*AK817/365),""))</f>
        <v>-41.505291828524896</v>
      </c>
      <c r="BI817" s="44">
        <f>IF($AX817="Cancelled","",IFERROR((W817*INDEX(Variables!$B$7:$D$7,IFERROR(MATCH(IF($B817="Robusta","Robusta",(IF($B817="","Arabica",$B817))&amp;" - "&amp;(IF($C817="","Commercial",$C817))),Variables!$B$1:$D$1,0),1))*BD817/365)+(L817/16.67*INDEX(Variables!$B$8:$D$8,IFERROR(MATCH(IF($B817="Robusta","Robusta",(IF($B817="","Arabica",$B817))&amp;" - "&amp;(IF($C817="","Commercial",$C817))),Variables!$B$1:$D$1,0),1))*BD817)+(W817*INDEX(Variables!$B$9:$D$9,IFERROR(MATCH(IF($B817="Robusta","Robusta",(IF($B817="","Arabica",$B817))&amp;" - "&amp;(IF($C817="","Commercial",$C817))),Variables!$B$1:$D$1,0),1))*BD817/365),""))</f>
        <v>290.53704279967434</v>
      </c>
      <c r="BJ817" s="44">
        <f t="shared" si="38"/>
        <v>-2</v>
      </c>
      <c r="BK817" s="44">
        <f>IF($AX817="Cancelled","",IFERROR(IF(BJ817="","",(W817*INDEX(Variables!$B$7:$D$7,IFERROR(MATCH(IF($B817="Robusta","Robusta",(IF($B817="","Arabica",$B817))&amp;" - "&amp;(IF($C817="","Commercial",$C817))),Variables!$B$1:$D$1,0),1))*(BJ817/365))+(W817*INDEX(Variables!$B$9:$D$9,IFERROR(MATCH(IF($B817="Robusta","Robusta",(IF($B817="","Arabica",$B817))&amp;" - "&amp;(IF($C817="","Commercial",$C817))),Variables!$B$1:$D$1,0),1))*(BJ817/365))+(INDEX(Variables!$B$8:$D$8,IFERROR(MATCH(IF($B817="Robusta","Robusta",(IF($B817="","Arabica",$B817))&amp;" - "&amp;(IF($C817="","Commercial",$C817))),Variables!$B$1:$D$1,0),1))*L817/16.67)),""))</f>
        <v>-35.0105836570498</v>
      </c>
    </row>
    <row r="818" spans="1:63">
      <c r="A818" s="13" t="s">
        <v>103</v>
      </c>
      <c r="B818" s="13" t="s">
        <v>104</v>
      </c>
      <c r="C818" s="13" t="s">
        <v>105</v>
      </c>
      <c r="D818" s="31">
        <v>46064</v>
      </c>
      <c r="E818" s="31">
        <v>46082</v>
      </c>
      <c r="F818" s="31">
        <v>46112</v>
      </c>
      <c r="G818" s="13">
        <v>3787250</v>
      </c>
      <c r="H818" s="13" t="s">
        <v>2167</v>
      </c>
      <c r="J818" s="13" t="s">
        <v>2164</v>
      </c>
      <c r="K818" s="13" t="s">
        <v>2167</v>
      </c>
      <c r="L818" s="13">
        <v>320</v>
      </c>
      <c r="M818" s="13">
        <v>1</v>
      </c>
      <c r="N818" s="13" t="s">
        <v>2168</v>
      </c>
      <c r="O818" s="13" t="s">
        <v>120</v>
      </c>
      <c r="P818" s="13">
        <v>10070</v>
      </c>
      <c r="R818" s="13" t="s">
        <v>239</v>
      </c>
      <c r="S818" s="13" t="s">
        <v>283</v>
      </c>
      <c r="T818" s="13" t="s">
        <v>112</v>
      </c>
      <c r="U818" s="13" t="s">
        <v>113</v>
      </c>
      <c r="V818" s="13">
        <v>33</v>
      </c>
      <c r="W818" s="44">
        <f>IF($AX818="Cancelled","",IFERROR(((V818+INDEX(Variables!$B$6:$D$6,IFERROR(MATCH(IF($B818="Robusta","Robusta",(IF($B818="","Arabica",$B818))&amp;" - "&amp;(IF($C818="","Commercial",$C818))),Variables!$B$1:$D$1,0),1)))*22.0462)*(L818/16.67),""))</f>
        <v>137032.93696460707</v>
      </c>
      <c r="X818" s="55" t="s">
        <v>37</v>
      </c>
      <c r="Y818" s="13" t="str">
        <f>IF($AX818="Cancelled","",IF(X818="","",IFERROR(IF(INDEX(Variables!$B$38:$B$47,MATCH(X818,Variables!$A$38:$A$47,0))="Yes","Yes","No"),"No")))</f>
        <v>Yes</v>
      </c>
      <c r="Z818" s="58">
        <v>46070</v>
      </c>
      <c r="AB818" s="31">
        <v>46077</v>
      </c>
      <c r="AC818" s="13" t="str">
        <f t="shared" si="37"/>
        <v>Approved</v>
      </c>
      <c r="AF818" s="71">
        <v>46091</v>
      </c>
      <c r="AG818" s="37">
        <f>IF($AX818="Cancelled","",IFERROR(IF(F818="","",F818-Variables!$B$13),""))</f>
        <v>46097</v>
      </c>
      <c r="AH818" s="13">
        <f>IF($AX818="Cancelled","",IFERROR(IF(AB818="","",(AVERAGE(E818:F818)-AB818)-Variables!$B$14),""))</f>
        <v>-10</v>
      </c>
      <c r="AJ818" s="47">
        <v>46106</v>
      </c>
      <c r="AK818" s="14">
        <f>IF($AX818="Cancelled","",IFERROR(IF(AJ818="","",IF(AND(AB818="",AF818=""),"",IF(AF818&gt;AB818,AF818+Variables!$B$15+Variables!$B$16+Variables!$B$17-AJ818,AB818+Variables!$B$16+Variables!$B$17-AJ818))),""))</f>
        <v>0</v>
      </c>
      <c r="AL818" s="48" t="s">
        <v>114</v>
      </c>
      <c r="AM818" s="13" t="s">
        <v>168</v>
      </c>
      <c r="AN818" s="13" t="s">
        <v>2124</v>
      </c>
      <c r="AP818" s="31">
        <v>46114</v>
      </c>
      <c r="AR818" s="13" t="s">
        <v>2169</v>
      </c>
      <c r="AS818" s="31">
        <v>46114</v>
      </c>
      <c r="AU818" s="31">
        <v>46149</v>
      </c>
      <c r="AV818" s="13" t="s">
        <v>865</v>
      </c>
      <c r="AW818" s="31">
        <v>45793</v>
      </c>
      <c r="AX818" s="13" t="str">
        <f>IF(ISNUMBER(SEARCH("cancel",#REF!)),"Cancelled",IF(AND(AS818&lt;&gt;"",AU818&lt;&gt;"",AW818&lt;&gt;""),"Closed","Open"))</f>
        <v>Closed</v>
      </c>
      <c r="AY818" s="15" t="str">
        <f t="shared" si="36"/>
        <v>All dates received</v>
      </c>
      <c r="BD818" s="13">
        <f>IF($AX818="Cancelled","",IFERROR(IF(OR(AS818="",AJ818=""),"",(AJ818+Variables!$B$18-AS818)),""))</f>
        <v>7</v>
      </c>
      <c r="BE818" s="13">
        <f>IF($AX818="Cancelled","",IFERROR(IF(OR(AW818="",AS818=""),"",(AS818+Variables!$B$19)-AW818),""))</f>
        <v>326</v>
      </c>
      <c r="BF818" s="44">
        <f>IF($AX818="Cancelled","",IFERROR(W818*INDEX(Variables!$B$7:$D$7,IFERROR(MATCH(IF($B818="Robusta","Robusta",(IF($B818="","Arabica",$B818))&amp;" - "&amp;(IF($C818="","Commercial",$C818))),Variables!$B$1:$D$1,0),1))*(BE818/365),""))</f>
        <v>7892.0449063785618</v>
      </c>
      <c r="BG818" s="44">
        <f>IF($AX818="Cancelled","",IFERROR((W818*INDEX(Variables!$B$7:$D$7,IFERROR(MATCH(IF($B818="Robusta","Robusta",(IF($B818="","Arabica",$B818))&amp;" - "&amp;(IF($C818="","Commercial",$C818))),Variables!$B$1:$D$1,0),1))*IFERROR(IF(AB818="","",(AVERAGE(E818:F818)-AB818)-Variables!$B$14),"")/365)+(L818/16.67*INDEX(Variables!$B$8:$D$8,IFERROR(MATCH(IF($B818="Robusta","Robusta",(IF($B818="","Arabica",$B818))&amp;" - "&amp;(IF($C818="","Commercial",$C818))),Variables!$B$1:$D$1,0),1))*IFERROR(IF(AB818="","",(AVERAGE(E818:F818)-AB818)-Variables!$B$14),""))+(W818*INDEX(Variables!$B$9:$D$9,IFERROR(MATCH(IF($B818="Robusta","Robusta",(IF($B818="","Arabica",$B818))&amp;" - "&amp;(IF($C818="","Commercial",$C818))),Variables!$B$1:$D$1,0),1))*IFERROR(IF(AB818="","",(AVERAGE(E818:F818)-AB818)-Variables!$B$14),"")/365),""))</f>
        <v>-405.20823913528397</v>
      </c>
      <c r="BH818" s="44">
        <f>IF($AX818="Cancelled","",IFERROR((W818*INDEX(Variables!$B$7:$D$7,IFERROR(MATCH(IF($B818="Robusta","Robusta",(IF($B818="","Arabica",$B818))&amp;" - "&amp;(IF($C818="","Commercial",$C818))),Variables!$B$1:$D$1,0),1))*AK818/365)+(L818/16.67*INDEX(Variables!$B$8:$D$8,IFERROR(MATCH(IF($B818="Robusta","Robusta",(IF($B818="","Arabica",$B818))&amp;" - "&amp;(IF($C818="","Commercial",$C818))),Variables!$B$1:$D$1,0),1))*AK818)+(W818*INDEX(Variables!$B$9:$D$9,IFERROR(MATCH(IF($B818="Robusta","Robusta",(IF($B818="","Arabica",$B818))&amp;" - "&amp;(IF($C818="","Commercial",$C818))),Variables!$B$1:$D$1,0),1))*AK818/365),""))</f>
        <v>0</v>
      </c>
      <c r="BI818" s="44">
        <f>IF($AX818="Cancelled","",IFERROR((W818*INDEX(Variables!$B$7:$D$7,IFERROR(MATCH(IF($B818="Robusta","Robusta",(IF($B818="","Arabica",$B818))&amp;" - "&amp;(IF($C818="","Commercial",$C818))),Variables!$B$1:$D$1,0),1))*BD818/365)+(L818/16.67*INDEX(Variables!$B$8:$D$8,IFERROR(MATCH(IF($B818="Robusta","Robusta",(IF($B818="","Arabica",$B818))&amp;" - "&amp;(IF($C818="","Commercial",$C818))),Variables!$B$1:$D$1,0),1))*BD818)+(W818*INDEX(Variables!$B$9:$D$9,IFERROR(MATCH(IF($B818="Robusta","Robusta",(IF($B818="","Arabica",$B818))&amp;" - "&amp;(IF($C818="","Commercial",$C818))),Variables!$B$1:$D$1,0),1))*BD818/365),""))</f>
        <v>283.64576739469874</v>
      </c>
      <c r="BJ818" s="44">
        <f t="shared" si="38"/>
        <v>-2</v>
      </c>
      <c r="BK818" s="44">
        <f>IF($AX818="Cancelled","",IFERROR(IF(BJ818="","",(W818*INDEX(Variables!$B$7:$D$7,IFERROR(MATCH(IF($B818="Robusta","Robusta",(IF($B818="","Arabica",$B818))&amp;" - "&amp;(IF($C818="","Commercial",$C818))),Variables!$B$1:$D$1,0),1))*(BJ818/365))+(W818*INDEX(Variables!$B$9:$D$9,IFERROR(MATCH(IF($B818="Robusta","Robusta",(IF($B818="","Arabica",$B818))&amp;" - "&amp;(IF($C818="","Commercial",$C818))),Variables!$B$1:$D$1,0),1))*(BJ818/365))+(INDEX(Variables!$B$8:$D$8,IFERROR(MATCH(IF($B818="Robusta","Robusta",(IF($B818="","Arabica",$B818))&amp;" - "&amp;(IF($C818="","Commercial",$C818))),Variables!$B$1:$D$1,0),1))*L818/16.67)),""))</f>
        <v>-33.041647827056792</v>
      </c>
    </row>
    <row r="819" spans="1:63">
      <c r="A819" s="13" t="s">
        <v>103</v>
      </c>
      <c r="B819" s="13" t="s">
        <v>104</v>
      </c>
      <c r="C819" s="13" t="s">
        <v>105</v>
      </c>
      <c r="D819" s="31">
        <v>46064</v>
      </c>
      <c r="E819" s="31">
        <v>46143</v>
      </c>
      <c r="F819" s="31">
        <v>46173</v>
      </c>
      <c r="G819" s="13">
        <v>3787251</v>
      </c>
      <c r="J819" s="13" t="s">
        <v>506</v>
      </c>
      <c r="K819" s="13">
        <v>5538</v>
      </c>
      <c r="L819" s="13">
        <v>320</v>
      </c>
      <c r="M819" s="13">
        <v>1</v>
      </c>
      <c r="N819" s="13" t="s">
        <v>2170</v>
      </c>
      <c r="O819" s="13" t="s">
        <v>120</v>
      </c>
      <c r="P819" s="13">
        <v>10070</v>
      </c>
      <c r="R819" s="13" t="s">
        <v>239</v>
      </c>
      <c r="S819" s="13" t="s">
        <v>1155</v>
      </c>
      <c r="T819" s="13" t="s">
        <v>329</v>
      </c>
      <c r="U819" s="13" t="s">
        <v>330</v>
      </c>
      <c r="V819" s="23">
        <v>38</v>
      </c>
      <c r="W819" s="44">
        <f>IF($AX819="Cancelled","",IFERROR(((V819+INDEX(Variables!$B$6:$D$6,IFERROR(MATCH(IF($B819="Robusta","Robusta",(IF($B819="","Arabica",$B819))&amp;" - "&amp;(IF($C819="","Commercial",$C819))),Variables!$B$1:$D$1,0),1)))*22.0462)*(L819/16.67),""))</f>
        <v>139148.94896220753</v>
      </c>
      <c r="X819" s="55" t="s">
        <v>37</v>
      </c>
      <c r="Y819" s="13" t="str">
        <f>IF($AX819="Cancelled","",IF(X819="","",IFERROR(IF(INDEX(Variables!$B$38:$B$47,MATCH(X819,Variables!$A$38:$A$47,0))="Yes","Yes","No"),"No")))</f>
        <v>Yes</v>
      </c>
      <c r="Z819" s="58">
        <v>46101</v>
      </c>
      <c r="AB819" s="31">
        <v>46107</v>
      </c>
      <c r="AC819" s="13" t="str">
        <f t="shared" si="37"/>
        <v>Approved</v>
      </c>
      <c r="AF819" s="71">
        <v>46175</v>
      </c>
      <c r="AG819" s="37">
        <f>IF($AX819="Cancelled","",IFERROR(IF(F819="","",F819-Variables!$B$13),""))</f>
        <v>46158</v>
      </c>
      <c r="AH819" s="13">
        <f>IF($AX819="Cancelled","",IFERROR(IF(AB819="","",(AVERAGE(E819:F819)-AB819)-Variables!$B$14),""))</f>
        <v>21</v>
      </c>
      <c r="AJ819" s="47">
        <v>46178</v>
      </c>
      <c r="AK819" s="14">
        <f>IF($AX819="Cancelled","",IFERROR(IF(AJ819="","",IF(AND(AB819="",AF819=""),"",IF(AF819&gt;AB819,AF819+Variables!$B$15+Variables!$B$16+Variables!$B$17-AJ819,AB819+Variables!$B$16+Variables!$B$17-AJ819))),""))</f>
        <v>12</v>
      </c>
      <c r="AL819" s="48" t="s">
        <v>114</v>
      </c>
      <c r="AM819" s="13" t="s">
        <v>168</v>
      </c>
      <c r="AN819" s="13" t="s">
        <v>1852</v>
      </c>
      <c r="AP819" s="31">
        <v>46192</v>
      </c>
      <c r="AR819" s="13" t="s">
        <v>2171</v>
      </c>
      <c r="AS819" s="31">
        <v>46192</v>
      </c>
      <c r="AU819" s="31">
        <v>46230</v>
      </c>
      <c r="AV819" s="13" t="e">
        <v>#REF!</v>
      </c>
      <c r="AW819" s="31">
        <v>46230</v>
      </c>
      <c r="AX819" s="13" t="str">
        <f>IF(ISNUMBER(SEARCH("cancel",#REF!)),"Cancelled",IF(AND(AS819&lt;&gt;"",AU819&lt;&gt;"",AW819&lt;&gt;""),"Closed","Open"))</f>
        <v>Closed</v>
      </c>
      <c r="AY819" s="15" t="str">
        <f t="shared" si="36"/>
        <v>All dates received</v>
      </c>
      <c r="BD819" s="13">
        <f>IF($AX819="Cancelled","",IFERROR(IF(OR(AS819="",AJ819=""),"",(AJ819+Variables!$B$18-AS819)),""))</f>
        <v>1</v>
      </c>
      <c r="BE819" s="13">
        <f>IF($AX819="Cancelled","",IFERROR(IF(OR(AW819="",AS819=""),"",(AS819+Variables!$B$19)-AW819),""))</f>
        <v>-33</v>
      </c>
      <c r="BF819" s="44">
        <f>IF($AX819="Cancelled","",IFERROR(W819*INDEX(Variables!$B$7:$D$7,IFERROR(MATCH(IF($B819="Robusta","Robusta",(IF($B819="","Arabica",$B819))&amp;" - "&amp;(IF($C819="","Commercial",$C819))),Variables!$B$1:$D$1,0),1))*(BE819/365),""))</f>
        <v>-811.22411444777629</v>
      </c>
      <c r="BG819" s="44">
        <f>IF($AX819="Cancelled","",IFERROR((W819*INDEX(Variables!$B$7:$D$7,IFERROR(MATCH(IF($B819="Robusta","Robusta",(IF($B819="","Arabica",$B819))&amp;" - "&amp;(IF($C819="","Commercial",$C819))),Variables!$B$1:$D$1,0),1))*IFERROR(IF(AB819="","",(AVERAGE(E819:F819)-AB819)-Variables!$B$14),"")/365)+(L819/16.67*INDEX(Variables!$B$8:$D$8,IFERROR(MATCH(IF($B819="Robusta","Robusta",(IF($B819="","Arabica",$B819))&amp;" - "&amp;(IF($C819="","Commercial",$C819))),Variables!$B$1:$D$1,0),1))*IFERROR(IF(AB819="","",(AVERAGE(E819:F819)-AB819)-Variables!$B$14),""))+(W819*INDEX(Variables!$B$9:$D$9,IFERROR(MATCH(IF($B819="Robusta","Robusta",(IF($B819="","Arabica",$B819))&amp;" - "&amp;(IF($C819="","Commercial",$C819))),Variables!$B$1:$D$1,0),1))*IFERROR(IF(AB819="","",(AVERAGE(E819:F819)-AB819)-Variables!$B$14),"")/365),""))</f>
        <v>858.88877380522183</v>
      </c>
      <c r="BH819" s="44">
        <f>IF($AX819="Cancelled","",IFERROR((W819*INDEX(Variables!$B$7:$D$7,IFERROR(MATCH(IF($B819="Robusta","Robusta",(IF($B819="","Arabica",$B819))&amp;" - "&amp;(IF($C819="","Commercial",$C819))),Variables!$B$1:$D$1,0),1))*AK819/365)+(L819/16.67*INDEX(Variables!$B$8:$D$8,IFERROR(MATCH(IF($B819="Robusta","Robusta",(IF($B819="","Arabica",$B819))&amp;" - "&amp;(IF($C819="","Commercial",$C819))),Variables!$B$1:$D$1,0),1))*AK819)+(W819*INDEX(Variables!$B$9:$D$9,IFERROR(MATCH(IF($B819="Robusta","Robusta",(IF($B819="","Arabica",$B819))&amp;" - "&amp;(IF($C819="","Commercial",$C819))),Variables!$B$1:$D$1,0),1))*AK819/365),""))</f>
        <v>490.79358503155527</v>
      </c>
      <c r="BI819" s="44">
        <f>IF($AX819="Cancelled","",IFERROR((W819*INDEX(Variables!$B$7:$D$7,IFERROR(MATCH(IF($B819="Robusta","Robusta",(IF($B819="","Arabica",$B819))&amp;" - "&amp;(IF($C819="","Commercial",$C819))),Variables!$B$1:$D$1,0),1))*BD819/365)+(L819/16.67*INDEX(Variables!$B$8:$D$8,IFERROR(MATCH(IF($B819="Robusta","Robusta",(IF($B819="","Arabica",$B819))&amp;" - "&amp;(IF($C819="","Commercial",$C819))),Variables!$B$1:$D$1,0),1))*BD819)+(W819*INDEX(Variables!$B$9:$D$9,IFERROR(MATCH(IF($B819="Robusta","Robusta",(IF($B819="","Arabica",$B819))&amp;" - "&amp;(IF($C819="","Commercial",$C819))),Variables!$B$1:$D$1,0),1))*BD819/365),""))</f>
        <v>40.899465419296277</v>
      </c>
      <c r="BJ819" s="44">
        <f t="shared" si="38"/>
        <v>-19</v>
      </c>
      <c r="BK819" s="44">
        <f>IF($AX819="Cancelled","",IFERROR(IF(BJ819="","",(W819*INDEX(Variables!$B$7:$D$7,IFERROR(MATCH(IF($B819="Robusta","Robusta",(IF($B819="","Arabica",$B819))&amp;" - "&amp;(IF($C819="","Commercial",$C819))),Variables!$B$1:$D$1,0),1))*(BJ819/365))+(W819*INDEX(Variables!$B$9:$D$9,IFERROR(MATCH(IF($B819="Robusta","Robusta",(IF($B819="","Arabica",$B819))&amp;" - "&amp;(IF($C819="","Commercial",$C819))),Variables!$B$1:$D$1,0),1))*(BJ819/365))+(INDEX(Variables!$B$8:$D$8,IFERROR(MATCH(IF($B819="Robusta","Robusta",(IF($B819="","Arabica",$B819))&amp;" - "&amp;(IF($C819="","Commercial",$C819))),Variables!$B$1:$D$1,0),1))*L819/16.67)),""))</f>
        <v>-457.08984296662931</v>
      </c>
    </row>
    <row r="820" spans="1:63">
      <c r="A820" s="13" t="s">
        <v>103</v>
      </c>
      <c r="B820" s="13" t="s">
        <v>104</v>
      </c>
      <c r="C820" s="13" t="s">
        <v>105</v>
      </c>
      <c r="D820" s="31">
        <v>46064</v>
      </c>
      <c r="E820" s="31">
        <v>46143</v>
      </c>
      <c r="F820" s="31">
        <v>46173</v>
      </c>
      <c r="G820" s="13">
        <v>3787252</v>
      </c>
      <c r="J820" s="13" t="s">
        <v>916</v>
      </c>
      <c r="K820" s="13">
        <v>5522</v>
      </c>
      <c r="L820" s="13">
        <v>320</v>
      </c>
      <c r="M820" s="13">
        <v>1</v>
      </c>
      <c r="N820" s="13" t="s">
        <v>261</v>
      </c>
      <c r="O820" s="13" t="s">
        <v>355</v>
      </c>
      <c r="P820" s="13">
        <v>10060</v>
      </c>
      <c r="R820" s="13" t="s">
        <v>110</v>
      </c>
      <c r="S820" s="13" t="s">
        <v>918</v>
      </c>
      <c r="T820" s="13" t="s">
        <v>124</v>
      </c>
      <c r="U820" s="13" t="s">
        <v>125</v>
      </c>
      <c r="V820" s="23">
        <v>42</v>
      </c>
      <c r="W820" s="44">
        <f>IF($AX820="Cancelled","",IFERROR(((V820+INDEX(Variables!$B$6:$D$6,IFERROR(MATCH(IF($B820="Robusta","Robusta",(IF($B820="","Arabica",$B820))&amp;" - "&amp;(IF($C820="","Commercial",$C820))),Variables!$B$1:$D$1,0),1)))*22.0462)*(L820/16.67),""))</f>
        <v>140841.75856028791</v>
      </c>
      <c r="X820" s="55" t="s">
        <v>37</v>
      </c>
      <c r="Y820" s="13" t="str">
        <f>IF($AX820="Cancelled","",IF(X820="","",IFERROR(IF(INDEX(Variables!$B$38:$B$47,MATCH(X820,Variables!$A$38:$A$47,0))="Yes","Yes","No"),"No")))</f>
        <v>Yes</v>
      </c>
      <c r="Z820" s="58">
        <v>46111</v>
      </c>
      <c r="AB820" s="31">
        <v>46120</v>
      </c>
      <c r="AC820" s="13" t="str">
        <f t="shared" si="37"/>
        <v>Approved</v>
      </c>
      <c r="AF820" s="71">
        <v>46164</v>
      </c>
      <c r="AG820" s="37">
        <f>IF($AX820="Cancelled","",IFERROR(IF(F820="","",F820-Variables!$B$13),""))</f>
        <v>46158</v>
      </c>
      <c r="AH820" s="13">
        <f>IF($AX820="Cancelled","",IFERROR(IF(AB820="","",(AVERAGE(E820:F820)-AB820)-Variables!$B$14),""))</f>
        <v>8</v>
      </c>
      <c r="AJ820" s="47">
        <v>46167</v>
      </c>
      <c r="AK820" s="14">
        <f>IF($AX820="Cancelled","",IFERROR(IF(AJ820="","",IF(AND(AB820="",AF820=""),"",IF(AF820&gt;AB820,AF820+Variables!$B$15+Variables!$B$16+Variables!$B$17-AJ820,AB820+Variables!$B$16+Variables!$B$17-AJ820))),""))</f>
        <v>12</v>
      </c>
      <c r="AL820" s="48" t="s">
        <v>114</v>
      </c>
      <c r="AM820" s="13" t="s">
        <v>1526</v>
      </c>
      <c r="AN820" s="13" t="s">
        <v>2172</v>
      </c>
      <c r="AP820" s="31">
        <v>46197</v>
      </c>
      <c r="AR820" s="13">
        <v>931088</v>
      </c>
      <c r="AS820" s="31">
        <v>46197</v>
      </c>
      <c r="AU820" s="31">
        <v>46232</v>
      </c>
      <c r="AV820" s="13" t="e">
        <v>#REF!</v>
      </c>
      <c r="AW820" s="31">
        <v>46232</v>
      </c>
      <c r="AX820" s="13" t="str">
        <f>IF(ISNUMBER(SEARCH("cancel",#REF!)),"Cancelled",IF(AND(AS820&lt;&gt;"",AU820&lt;&gt;"",AW820&lt;&gt;""),"Closed","Open"))</f>
        <v>Closed</v>
      </c>
      <c r="AY820" s="15" t="str">
        <f t="shared" si="36"/>
        <v>All dates received</v>
      </c>
      <c r="BD820" s="13">
        <f>IF($AX820="Cancelled","",IFERROR(IF(OR(AS820="",AJ820=""),"",(AJ820+Variables!$B$18-AS820)),""))</f>
        <v>-15</v>
      </c>
      <c r="BE820" s="13">
        <f>IF($AX820="Cancelled","",IFERROR(IF(OR(AW820="",AS820=""),"",(AS820+Variables!$B$19)-AW820),""))</f>
        <v>-30</v>
      </c>
      <c r="BF820" s="44">
        <f>IF($AX820="Cancelled","",IFERROR(W820*INDEX(Variables!$B$7:$D$7,IFERROR(MATCH(IF($B820="Robusta","Robusta",(IF($B820="","Arabica",$B820))&amp;" - "&amp;(IF($C820="","Commercial",$C820))),Variables!$B$1:$D$1,0),1))*(BE820/365),""))</f>
        <v>-746.4482008632491</v>
      </c>
      <c r="BG820" s="44">
        <f>IF($AX820="Cancelled","",IFERROR((W820*INDEX(Variables!$B$7:$D$7,IFERROR(MATCH(IF($B820="Robusta","Robusta",(IF($B820="","Arabica",$B820))&amp;" - "&amp;(IF($C820="","Commercial",$C820))),Variables!$B$1:$D$1,0),1))*IFERROR(IF(AB820="","",(AVERAGE(E820:F820)-AB820)-Variables!$B$14),"")/365)+(L820/16.67*INDEX(Variables!$B$8:$D$8,IFERROR(MATCH(IF($B820="Robusta","Robusta",(IF($B820="","Arabica",$B820))&amp;" - "&amp;(IF($C820="","Commercial",$C820))),Variables!$B$1:$D$1,0),1))*IFERROR(IF(AB820="","",(AVERAGE(E820:F820)-AB820)-Variables!$B$14),""))+(W820*INDEX(Variables!$B$9:$D$9,IFERROR(MATCH(IF($B820="Robusta","Robusta",(IF($B820="","Arabica",$B820))&amp;" - "&amp;(IF($C820="","Commercial",$C820))),Variables!$B$1:$D$1,0),1))*IFERROR(IF(AB820="","",(AVERAGE(E820:F820)-AB820)-Variables!$B$14),"")/365),""))</f>
        <v>329.61902899128467</v>
      </c>
      <c r="BH820" s="44">
        <f>IF($AX820="Cancelled","",IFERROR((W820*INDEX(Variables!$B$7:$D$7,IFERROR(MATCH(IF($B820="Robusta","Robusta",(IF($B820="","Arabica",$B820))&amp;" - "&amp;(IF($C820="","Commercial",$C820))),Variables!$B$1:$D$1,0),1))*AK820/365)+(L820/16.67*INDEX(Variables!$B$8:$D$8,IFERROR(MATCH(IF($B820="Robusta","Robusta",(IF($B820="","Arabica",$B820))&amp;" - "&amp;(IF($C820="","Commercial",$C820))),Variables!$B$1:$D$1,0),1))*AK820)+(W820*INDEX(Variables!$B$9:$D$9,IFERROR(MATCH(IF($B820="Robusta","Robusta",(IF($B820="","Arabica",$B820))&amp;" - "&amp;(IF($C820="","Commercial",$C820))),Variables!$B$1:$D$1,0),1))*AK820/365),""))</f>
        <v>494.42854348692708</v>
      </c>
      <c r="BI820" s="44">
        <f>IF($AX820="Cancelled","",IFERROR((W820*INDEX(Variables!$B$7:$D$7,IFERROR(MATCH(IF($B820="Robusta","Robusta",(IF($B820="","Arabica",$B820))&amp;" - "&amp;(IF($C820="","Commercial",$C820))),Variables!$B$1:$D$1,0),1))*BD820/365)+(L820/16.67*INDEX(Variables!$B$8:$D$8,IFERROR(MATCH(IF($B820="Robusta","Robusta",(IF($B820="","Arabica",$B820))&amp;" - "&amp;(IF($C820="","Commercial",$C820))),Variables!$B$1:$D$1,0),1))*BD820)+(W820*INDEX(Variables!$B$9:$D$9,IFERROR(MATCH(IF($B820="Robusta","Robusta",(IF($B820="","Arabica",$B820))&amp;" - "&amp;(IF($C820="","Commercial",$C820))),Variables!$B$1:$D$1,0),1))*BD820/365),""))</f>
        <v>-618.03567935865874</v>
      </c>
      <c r="BJ820" s="44">
        <f t="shared" si="38"/>
        <v>-24</v>
      </c>
      <c r="BK820" s="44">
        <f>IF($AX820="Cancelled","",IFERROR(IF(BJ820="","",(W820*INDEX(Variables!$B$7:$D$7,IFERROR(MATCH(IF($B820="Robusta","Robusta",(IF($B820="","Arabica",$B820))&amp;" - "&amp;(IF($C820="","Commercial",$C820))),Variables!$B$1:$D$1,0),1))*(BJ820/365))+(W820*INDEX(Variables!$B$9:$D$9,IFERROR(MATCH(IF($B820="Robusta","Robusta",(IF($B820="","Arabica",$B820))&amp;" - "&amp;(IF($C820="","Commercial",$C820))),Variables!$B$1:$D$1,0),1))*(BJ820/365))+(INDEX(Variables!$B$8:$D$8,IFERROR(MATCH(IF($B820="Robusta","Robusta",(IF($B820="","Arabica",$B820))&amp;" - "&amp;(IF($C820="","Commercial",$C820))),Variables!$B$1:$D$1,0),1))*L820/16.67)),""))</f>
        <v>-588.85708697385405</v>
      </c>
    </row>
    <row r="821" spans="1:63">
      <c r="A821" s="13" t="s">
        <v>103</v>
      </c>
      <c r="B821" s="13" t="s">
        <v>104</v>
      </c>
      <c r="C821" s="13" t="s">
        <v>105</v>
      </c>
      <c r="D821" s="31">
        <v>46064</v>
      </c>
      <c r="E821" s="31">
        <v>46082</v>
      </c>
      <c r="F821" s="31">
        <v>46112</v>
      </c>
      <c r="G821" s="13">
        <v>3787253</v>
      </c>
      <c r="J821" s="13" t="s">
        <v>118</v>
      </c>
      <c r="K821" s="13">
        <v>5481</v>
      </c>
      <c r="L821" s="13">
        <v>2160</v>
      </c>
      <c r="M821" s="13">
        <v>6</v>
      </c>
      <c r="N821" s="13" t="s">
        <v>2173</v>
      </c>
      <c r="O821" s="13" t="s">
        <v>2095</v>
      </c>
      <c r="P821" s="13">
        <v>10077</v>
      </c>
      <c r="Q821" s="13" t="s">
        <v>745</v>
      </c>
      <c r="R821" s="13" t="s">
        <v>122</v>
      </c>
      <c r="S821" s="13" t="s">
        <v>154</v>
      </c>
      <c r="T821" s="13" t="s">
        <v>155</v>
      </c>
      <c r="U821" s="13" t="s">
        <v>125</v>
      </c>
      <c r="V821" s="13">
        <v>-8</v>
      </c>
      <c r="W821" s="44">
        <f>IF($AX821="Cancelled","",IFERROR(((V821+INDEX(Variables!$B$6:$D$6,IFERROR(MATCH(IF($B821="Robusta","Robusta",(IF($B821="","Arabica",$B821))&amp;" - "&amp;(IF($C821="","Commercial",$C821))),Variables!$B$1:$D$1,0),1)))*22.0462)*(L821/16.67),""))</f>
        <v>807851.06044391112</v>
      </c>
      <c r="X821" s="55" t="s">
        <v>37</v>
      </c>
      <c r="Y821" s="13" t="str">
        <f>IF($AX821="Cancelled","",IF(X821="","",IFERROR(IF(INDEX(Variables!$B$38:$B$47,MATCH(X821,Variables!$A$38:$A$47,0))="Yes","Yes","No"),"No")))</f>
        <v>Yes</v>
      </c>
      <c r="Z821" s="58">
        <v>46072</v>
      </c>
      <c r="AB821" s="31">
        <v>46076</v>
      </c>
      <c r="AC821" s="13" t="str">
        <f t="shared" si="37"/>
        <v>Approved</v>
      </c>
      <c r="AF821" s="71">
        <v>46121</v>
      </c>
      <c r="AG821" s="37">
        <f>IF($AX821="Cancelled","",IFERROR(IF(F821="","",F821-Variables!$B$13),""))</f>
        <v>46097</v>
      </c>
      <c r="AH821" s="13">
        <f>IF($AX821="Cancelled","",IFERROR(IF(AB821="","",(AVERAGE(E821:F821)-AB821)-Variables!$B$14),""))</f>
        <v>-9</v>
      </c>
      <c r="AJ821" s="47">
        <v>46123</v>
      </c>
      <c r="AK821" s="14">
        <f>IF($AX821="Cancelled","",IFERROR(IF(AJ821="","",IF(AND(AB821="",AF821=""),"",IF(AF821&gt;AB821,AF821+Variables!$B$15+Variables!$B$16+Variables!$B$17-AJ821,AB821+Variables!$B$16+Variables!$B$17-AJ821))),""))</f>
        <v>13</v>
      </c>
      <c r="AL821" s="48" t="s">
        <v>114</v>
      </c>
      <c r="AM821" s="13" t="s">
        <v>168</v>
      </c>
      <c r="AN821" s="13" t="s">
        <v>2096</v>
      </c>
      <c r="AP821" s="31">
        <v>46137</v>
      </c>
      <c r="AR821" s="13" t="s">
        <v>2174</v>
      </c>
      <c r="AS821" s="31">
        <v>46137</v>
      </c>
      <c r="AU821" s="31">
        <v>46177</v>
      </c>
      <c r="AV821" s="13" t="s">
        <v>865</v>
      </c>
      <c r="AW821" s="31">
        <v>46177</v>
      </c>
      <c r="AX821" s="13" t="str">
        <f>IF(ISNUMBER(SEARCH("cancel",#REF!)),"Cancelled",IF(AND(AS821&lt;&gt;"",AU821&lt;&gt;"",AW821&lt;&gt;""),"Closed","Open"))</f>
        <v>Closed</v>
      </c>
      <c r="AY821" s="15" t="str">
        <f t="shared" si="36"/>
        <v>All dates received</v>
      </c>
      <c r="BD821" s="13">
        <f>IF($AX821="Cancelled","",IFERROR(IF(OR(AS821="",AJ821=""),"",(AJ821+Variables!$B$18-AS821)),""))</f>
        <v>1</v>
      </c>
      <c r="BE821" s="13">
        <f>IF($AX821="Cancelled","",IFERROR(IF(OR(AW821="",AS821=""),"",(AS821+Variables!$B$19)-AW821),""))</f>
        <v>-35</v>
      </c>
      <c r="BF821" s="44">
        <f>IF($AX821="Cancelled","",IFERROR(W821*INDEX(Variables!$B$7:$D$7,IFERROR(MATCH(IF($B821="Robusta","Robusta",(IF($B821="","Arabica",$B821))&amp;" - "&amp;(IF($C821="","Commercial",$C821))),Variables!$B$1:$D$1,0),1))*(BE821/365),""))</f>
        <v>-4995.1245965519802</v>
      </c>
      <c r="BG821" s="44">
        <f>IF($AX821="Cancelled","",IFERROR((W821*INDEX(Variables!$B$7:$D$7,IFERROR(MATCH(IF($B821="Robusta","Robusta",(IF($B821="","Arabica",$B821))&amp;" - "&amp;(IF($C821="","Commercial",$C821))),Variables!$B$1:$D$1,0),1))*IFERROR(IF(AB821="","",(AVERAGE(E821:F821)-AB821)-Variables!$B$14),"")/365)+(L821/16.67*INDEX(Variables!$B$8:$D$8,IFERROR(MATCH(IF($B821="Robusta","Robusta",(IF($B821="","Arabica",$B821))&amp;" - "&amp;(IF($C821="","Commercial",$C821))),Variables!$B$1:$D$1,0),1))*IFERROR(IF(AB821="","",(AVERAGE(E821:F821)-AB821)-Variables!$B$14),""))+(W821*INDEX(Variables!$B$9:$D$9,IFERROR(MATCH(IF($B821="Robusta","Robusta",(IF($B821="","Arabica",$B821))&amp;" - "&amp;(IF($C821="","Commercial",$C821))),Variables!$B$1:$D$1,0),1))*IFERROR(IF(AB821="","",(AVERAGE(E821:F821)-AB821)-Variables!$B$14),"")/365),""))</f>
        <v>-2273.0197866485769</v>
      </c>
      <c r="BH821" s="44">
        <f>IF($AX821="Cancelled","",IFERROR((W821*INDEX(Variables!$B$7:$D$7,IFERROR(MATCH(IF($B821="Robusta","Robusta",(IF($B821="","Arabica",$B821))&amp;" - "&amp;(IF($C821="","Commercial",$C821))),Variables!$B$1:$D$1,0),1))*AK821/365)+(L821/16.67*INDEX(Variables!$B$8:$D$8,IFERROR(MATCH(IF($B821="Robusta","Robusta",(IF($B821="","Arabica",$B821))&amp;" - "&amp;(IF($C821="","Commercial",$C821))),Variables!$B$1:$D$1,0),1))*AK821)+(W821*INDEX(Variables!$B$9:$D$9,IFERROR(MATCH(IF($B821="Robusta","Robusta",(IF($B821="","Arabica",$B821))&amp;" - "&amp;(IF($C821="","Commercial",$C821))),Variables!$B$1:$D$1,0),1))*AK821/365),""))</f>
        <v>3283.2508029368328</v>
      </c>
      <c r="BI821" s="44">
        <f>IF($AX821="Cancelled","",IFERROR((W821*INDEX(Variables!$B$7:$D$7,IFERROR(MATCH(IF($B821="Robusta","Robusta",(IF($B821="","Arabica",$B821))&amp;" - "&amp;(IF($C821="","Commercial",$C821))),Variables!$B$1:$D$1,0),1))*BD821/365)+(L821/16.67*INDEX(Variables!$B$8:$D$8,IFERROR(MATCH(IF($B821="Robusta","Robusta",(IF($B821="","Arabica",$B821))&amp;" - "&amp;(IF($C821="","Commercial",$C821))),Variables!$B$1:$D$1,0),1))*BD821)+(W821*INDEX(Variables!$B$9:$D$9,IFERROR(MATCH(IF($B821="Robusta","Robusta",(IF($B821="","Arabica",$B821))&amp;" - "&amp;(IF($C821="","Commercial",$C821))),Variables!$B$1:$D$1,0),1))*BD821/365),""))</f>
        <v>252.55775407206409</v>
      </c>
      <c r="BJ821" s="44">
        <f t="shared" si="38"/>
        <v>-25</v>
      </c>
      <c r="BK821" s="44">
        <f>IF($AX821="Cancelled","",IFERROR(IF(BJ821="","",(W821*INDEX(Variables!$B$7:$D$7,IFERROR(MATCH(IF($B821="Robusta","Robusta",(IF($B821="","Arabica",$B821))&amp;" - "&amp;(IF($C821="","Commercial",$C821))),Variables!$B$1:$D$1,0),1))*(BJ821/365))+(W821*INDEX(Variables!$B$9:$D$9,IFERROR(MATCH(IF($B821="Robusta","Robusta",(IF($B821="","Arabica",$B821))&amp;" - "&amp;(IF($C821="","Commercial",$C821))),Variables!$B$1:$D$1,0),1))*(BJ821/365))+(INDEX(Variables!$B$8:$D$8,IFERROR(MATCH(IF($B821="Robusta","Robusta",(IF($B821="","Arabica",$B821))&amp;" - "&amp;(IF($C821="","Commercial",$C821))),Variables!$B$1:$D$1,0),1))*L821/16.67)),""))</f>
        <v>-3505.9438518016018</v>
      </c>
    </row>
    <row r="822" spans="1:63">
      <c r="A822" s="13" t="s">
        <v>103</v>
      </c>
      <c r="B822" s="13" t="s">
        <v>104</v>
      </c>
      <c r="C822" s="13" t="s">
        <v>292</v>
      </c>
      <c r="D822" s="31">
        <v>46064</v>
      </c>
      <c r="E822" s="31">
        <v>46082</v>
      </c>
      <c r="F822" s="31">
        <v>46112</v>
      </c>
      <c r="G822" s="13">
        <v>3787254</v>
      </c>
      <c r="J822" s="13" t="s">
        <v>501</v>
      </c>
      <c r="K822" s="13" t="s">
        <v>2175</v>
      </c>
      <c r="L822" s="13">
        <v>51</v>
      </c>
      <c r="M822" s="13">
        <v>1</v>
      </c>
      <c r="N822" s="13" t="s">
        <v>2176</v>
      </c>
      <c r="O822" s="13" t="s">
        <v>304</v>
      </c>
      <c r="P822" s="13">
        <v>10010</v>
      </c>
      <c r="R822" s="13" t="s">
        <v>239</v>
      </c>
      <c r="S822" s="13" t="s">
        <v>437</v>
      </c>
      <c r="T822" s="13" t="s">
        <v>438</v>
      </c>
      <c r="U822" s="13" t="s">
        <v>182</v>
      </c>
      <c r="V822" s="23">
        <v>200</v>
      </c>
      <c r="W822" s="44">
        <f>IF($AX822="Cancelled","",IFERROR(((V822+INDEX(Variables!$B$6:$D$6,IFERROR(MATCH(IF($B822="Robusta","Robusta",(IF($B822="","Arabica",$B822))&amp;" - "&amp;(IF($C822="","Commercial",$C822))),Variables!$B$1:$D$1,0),1)))*22.0462)*(L822/16.67),""))</f>
        <v>33103.420693461303</v>
      </c>
      <c r="Y822" s="13" t="str">
        <f>IF($AX822="Cancelled","",IF(X822="","",IFERROR(IF(INDEX(Variables!$B$38:$B$47,MATCH(X822,Variables!$A$38:$A$47,0))="Yes","Yes","No"),"No")))</f>
        <v/>
      </c>
      <c r="Z822" s="31"/>
      <c r="AC822" s="13" t="str">
        <f t="shared" si="37"/>
        <v/>
      </c>
      <c r="AF822" s="71">
        <v>46155</v>
      </c>
      <c r="AG822" s="37">
        <f>IF($AX822="Cancelled","",IFERROR(IF(F822="","",F822-Variables!$B$13),""))</f>
        <v>46097</v>
      </c>
      <c r="AH822" s="13" t="str">
        <f>IF($AX822="Cancelled","",IFERROR(IF(AB822="","",(AVERAGE(E822:F822)-AB822)-Variables!$B$14),""))</f>
        <v/>
      </c>
      <c r="AJ822" s="47">
        <v>46168</v>
      </c>
      <c r="AK822" s="14">
        <f>IF($AX822="Cancelled","",IFERROR(IF(AJ822="","",IF(AND(AB822="",AF822=""),"",IF(AF822&gt;AB822,AF822+Variables!$B$15+Variables!$B$16+Variables!$B$17-AJ822,AB822+Variables!$B$16+Variables!$B$17-AJ822))),""))</f>
        <v>2</v>
      </c>
      <c r="AL822" s="48" t="s">
        <v>114</v>
      </c>
      <c r="AM822" s="13" t="s">
        <v>1781</v>
      </c>
      <c r="AN822" s="13" t="s">
        <v>2177</v>
      </c>
      <c r="AP822" s="31" t="e">
        <v>#N/A</v>
      </c>
      <c r="AR822" s="13" t="s">
        <v>2178</v>
      </c>
      <c r="AS822" s="31">
        <v>46179</v>
      </c>
      <c r="AU822" s="31">
        <v>46211</v>
      </c>
      <c r="AV822" s="13" t="s">
        <v>865</v>
      </c>
      <c r="AW822" s="31">
        <v>46211</v>
      </c>
      <c r="AX822" s="13" t="str">
        <f>IF(ISNUMBER(SEARCH("cancel",#REF!)),"Cancelled",IF(AND(AS822&lt;&gt;"",AU822&lt;&gt;"",AW822&lt;&gt;""),"Closed","Open"))</f>
        <v>Closed</v>
      </c>
      <c r="AY822" s="15" t="str">
        <f t="shared" si="36"/>
        <v>All dates received</v>
      </c>
      <c r="BD822" s="13">
        <f>IF($AX822="Cancelled","",IFERROR(IF(OR(AS822="",AJ822=""),"",(AJ822+Variables!$B$18-AS822)),""))</f>
        <v>4</v>
      </c>
      <c r="BE822" s="13">
        <f>IF($AX822="Cancelled","",IFERROR(IF(OR(AW822="",AS822=""),"",(AS822+Variables!$B$19)-AW822),""))</f>
        <v>-27</v>
      </c>
      <c r="BF822" s="44">
        <f>IF($AX822="Cancelled","",IFERROR(W822*INDEX(Variables!$B$7:$D$7,IFERROR(MATCH(IF($B822="Robusta","Robusta",(IF($B822="","Arabica",$B822))&amp;" - "&amp;(IF($C822="","Commercial",$C822))),Variables!$B$1:$D$1,0),1))*(BE822/365),""))</f>
        <v>-157.90054146213038</v>
      </c>
      <c r="BG822" s="44" t="str">
        <f>IF($AX822="Cancelled","",IFERROR((W822*INDEX(Variables!$B$7:$D$7,IFERROR(MATCH(IF($B822="Robusta","Robusta",(IF($B822="","Arabica",$B822))&amp;" - "&amp;(IF($C822="","Commercial",$C822))),Variables!$B$1:$D$1,0),1))*IFERROR(IF(AB822="","",(AVERAGE(E822:F822)-AB822)-Variables!$B$14),"")/365)+(L822/16.67*INDEX(Variables!$B$8:$D$8,IFERROR(MATCH(IF($B822="Robusta","Robusta",(IF($B822="","Arabica",$B822))&amp;" - "&amp;(IF($C822="","Commercial",$C822))),Variables!$B$1:$D$1,0),1))*IFERROR(IF(AB822="","",(AVERAGE(E822:F822)-AB822)-Variables!$B$14),""))+(W822*INDEX(Variables!$B$9:$D$9,IFERROR(MATCH(IF($B822="Robusta","Robusta",(IF($B822="","Arabica",$B822))&amp;" - "&amp;(IF($C822="","Commercial",$C822))),Variables!$B$1:$D$1,0),1))*IFERROR(IF(AB822="","",(AVERAGE(E822:F822)-AB822)-Variables!$B$14),"")/365),""))</f>
        <v/>
      </c>
      <c r="BH822" s="44">
        <f>IF($AX822="Cancelled","",IFERROR((W822*INDEX(Variables!$B$7:$D$7,IFERROR(MATCH(IF($B822="Robusta","Robusta",(IF($B822="","Arabica",$B822))&amp;" - "&amp;(IF($C822="","Commercial",$C822))),Variables!$B$1:$D$1,0),1))*AK822/365)+(L822/16.67*INDEX(Variables!$B$8:$D$8,IFERROR(MATCH(IF($B822="Robusta","Robusta",(IF($B822="","Arabica",$B822))&amp;" - "&amp;(IF($C822="","Commercial",$C822))),Variables!$B$1:$D$1,0),1))*AK822)+(W822*INDEX(Variables!$B$9:$D$9,IFERROR(MATCH(IF($B822="Robusta","Robusta",(IF($B822="","Arabica",$B822))&amp;" - "&amp;(IF($C822="","Commercial",$C822))),Variables!$B$1:$D$1,0),1))*AK822/365),""))</f>
        <v>16.947124753218549</v>
      </c>
      <c r="BI822" s="44">
        <f>IF($AX822="Cancelled","",IFERROR((W822*INDEX(Variables!$B$7:$D$7,IFERROR(MATCH(IF($B822="Robusta","Robusta",(IF($B822="","Arabica",$B822))&amp;" - "&amp;(IF($C822="","Commercial",$C822))),Variables!$B$1:$D$1,0),1))*BD822/365)+(L822/16.67*INDEX(Variables!$B$8:$D$8,IFERROR(MATCH(IF($B822="Robusta","Robusta",(IF($B822="","Arabica",$B822))&amp;" - "&amp;(IF($C822="","Commercial",$C822))),Variables!$B$1:$D$1,0),1))*BD822)+(W822*INDEX(Variables!$B$9:$D$9,IFERROR(MATCH(IF($B822="Robusta","Robusta",(IF($B822="","Arabica",$B822))&amp;" - "&amp;(IF($C822="","Commercial",$C822))),Variables!$B$1:$D$1,0),1))*BD822/365),""))</f>
        <v>33.894249506437099</v>
      </c>
      <c r="BJ822" s="44">
        <f t="shared" si="38"/>
        <v>-67</v>
      </c>
      <c r="BK822" s="44">
        <f>IF($AX822="Cancelled","",IFERROR(IF(BJ822="","",(W822*INDEX(Variables!$B$7:$D$7,IFERROR(MATCH(IF($B822="Robusta","Robusta",(IF($B822="","Arabica",$B822))&amp;" - "&amp;(IF($C822="","Commercial",$C822))),Variables!$B$1:$D$1,0),1))*(BJ822/365))+(W822*INDEX(Variables!$B$9:$D$9,IFERROR(MATCH(IF($B822="Robusta","Robusta",(IF($B822="","Arabica",$B822))&amp;" - "&amp;(IF($C822="","Commercial",$C822))),Variables!$B$1:$D$1,0),1))*(BJ822/365))+(INDEX(Variables!$B$8:$D$8,IFERROR(MATCH(IF($B822="Robusta","Robusta",(IF($B822="","Arabica",$B822))&amp;" - "&amp;(IF($C822="","Commercial",$C822))),Variables!$B$1:$D$1,0),1))*L822/16.67)),""))</f>
        <v>-394.32867923282134</v>
      </c>
    </row>
    <row r="823" spans="1:63">
      <c r="A823" s="13" t="s">
        <v>103</v>
      </c>
      <c r="B823" s="13" t="s">
        <v>104</v>
      </c>
      <c r="C823" s="13" t="s">
        <v>292</v>
      </c>
      <c r="D823" s="31">
        <v>46064</v>
      </c>
      <c r="E823" s="31">
        <v>46082</v>
      </c>
      <c r="F823" s="31">
        <v>46112</v>
      </c>
      <c r="G823" s="13">
        <v>3787255</v>
      </c>
      <c r="J823" s="13" t="s">
        <v>501</v>
      </c>
      <c r="K823" s="13" t="s">
        <v>2179</v>
      </c>
      <c r="L823" s="13">
        <v>49</v>
      </c>
      <c r="M823" s="13">
        <v>0</v>
      </c>
      <c r="N823" s="13" t="s">
        <v>2180</v>
      </c>
      <c r="O823" s="13" t="s">
        <v>304</v>
      </c>
      <c r="P823" s="13">
        <v>10010</v>
      </c>
      <c r="R823" s="13" t="s">
        <v>239</v>
      </c>
      <c r="S823" s="13" t="s">
        <v>437</v>
      </c>
      <c r="T823" s="13" t="s">
        <v>438</v>
      </c>
      <c r="U823" s="13" t="s">
        <v>182</v>
      </c>
      <c r="V823" s="23">
        <v>175</v>
      </c>
      <c r="W823" s="44">
        <f>IF($AX823="Cancelled","",IFERROR(((V823+INDEX(Variables!$B$6:$D$6,IFERROR(MATCH(IF($B823="Robusta","Robusta",(IF($B823="","Arabica",$B823))&amp;" - "&amp;(IF($C823="","Commercial",$C823))),Variables!$B$1:$D$1,0),1)))*22.0462)*(L823/16.67),""))</f>
        <v>30185.175647270542</v>
      </c>
      <c r="Y823" s="13" t="str">
        <f>IF($AX823="Cancelled","",IF(X823="","",IFERROR(IF(INDEX(Variables!$B$38:$B$47,MATCH(X823,Variables!$A$38:$A$47,0))="Yes","Yes","No"),"No")))</f>
        <v/>
      </c>
      <c r="Z823" s="31"/>
      <c r="AC823" s="13" t="str">
        <f t="shared" si="37"/>
        <v/>
      </c>
      <c r="AF823" s="71">
        <v>46155</v>
      </c>
      <c r="AG823" s="37">
        <f>IF($AX823="Cancelled","",IFERROR(IF(F823="","",F823-Variables!$B$13),""))</f>
        <v>46097</v>
      </c>
      <c r="AH823" s="13" t="str">
        <f>IF($AX823="Cancelled","",IFERROR(IF(AB823="","",(AVERAGE(E823:F823)-AB823)-Variables!$B$14),""))</f>
        <v/>
      </c>
      <c r="AJ823" s="47">
        <v>46168</v>
      </c>
      <c r="AK823" s="14">
        <f>IF($AX823="Cancelled","",IFERROR(IF(AJ823="","",IF(AND(AB823="",AF823=""),"",IF(AF823&gt;AB823,AF823+Variables!$B$15+Variables!$B$16+Variables!$B$17-AJ823,AB823+Variables!$B$16+Variables!$B$17-AJ823))),""))</f>
        <v>2</v>
      </c>
      <c r="AL823" s="48" t="s">
        <v>114</v>
      </c>
      <c r="AM823" s="13" t="s">
        <v>1781</v>
      </c>
      <c r="AN823" s="13" t="s">
        <v>2177</v>
      </c>
      <c r="AP823" s="31" t="e">
        <v>#N/A</v>
      </c>
      <c r="AR823" s="13" t="s">
        <v>2178</v>
      </c>
      <c r="AS823" s="31">
        <v>46179</v>
      </c>
      <c r="AU823" s="31">
        <v>46211</v>
      </c>
      <c r="AV823" s="13" t="s">
        <v>865</v>
      </c>
      <c r="AW823" s="31">
        <v>46211</v>
      </c>
      <c r="AX823" s="13" t="str">
        <f>IF(ISNUMBER(SEARCH("cancel",#REF!)),"Cancelled",IF(AND(AS823&lt;&gt;"",AU823&lt;&gt;"",AW823&lt;&gt;""),"Closed","Open"))</f>
        <v>Closed</v>
      </c>
      <c r="AY823" s="15" t="str">
        <f t="shared" si="36"/>
        <v>All dates received</v>
      </c>
      <c r="BD823" s="13">
        <f>IF($AX823="Cancelled","",IFERROR(IF(OR(AS823="",AJ823=""),"",(AJ823+Variables!$B$18-AS823)),""))</f>
        <v>4</v>
      </c>
      <c r="BE823" s="13">
        <f>IF($AX823="Cancelled","",IFERROR(IF(OR(AW823="",AS823=""),"",(AS823+Variables!$B$19)-AW823),""))</f>
        <v>-27</v>
      </c>
      <c r="BF823" s="44">
        <f>IF($AX823="Cancelled","",IFERROR(W823*INDEX(Variables!$B$7:$D$7,IFERROR(MATCH(IF($B823="Robusta","Robusta",(IF($B823="","Arabica",$B823))&amp;" - "&amp;(IF($C823="","Commercial",$C823))),Variables!$B$1:$D$1,0),1))*(BE823/365),""))</f>
        <v>-143.98075724467282</v>
      </c>
      <c r="BG823" s="44" t="str">
        <f>IF($AX823="Cancelled","",IFERROR((W823*INDEX(Variables!$B$7:$D$7,IFERROR(MATCH(IF($B823="Robusta","Robusta",(IF($B823="","Arabica",$B823))&amp;" - "&amp;(IF($C823="","Commercial",$C823))),Variables!$B$1:$D$1,0),1))*IFERROR(IF(AB823="","",(AVERAGE(E823:F823)-AB823)-Variables!$B$14),"")/365)+(L823/16.67*INDEX(Variables!$B$8:$D$8,IFERROR(MATCH(IF($B823="Robusta","Robusta",(IF($B823="","Arabica",$B823))&amp;" - "&amp;(IF($C823="","Commercial",$C823))),Variables!$B$1:$D$1,0),1))*IFERROR(IF(AB823="","",(AVERAGE(E823:F823)-AB823)-Variables!$B$14),""))+(W823*INDEX(Variables!$B$9:$D$9,IFERROR(MATCH(IF($B823="Robusta","Robusta",(IF($B823="","Arabica",$B823))&amp;" - "&amp;(IF($C823="","Commercial",$C823))),Variables!$B$1:$D$1,0),1))*IFERROR(IF(AB823="","",(AVERAGE(E823:F823)-AB823)-Variables!$B$14),"")/365),""))</f>
        <v/>
      </c>
      <c r="BH823" s="44">
        <f>IF($AX823="Cancelled","",IFERROR((W823*INDEX(Variables!$B$7:$D$7,IFERROR(MATCH(IF($B823="Robusta","Robusta",(IF($B823="","Arabica",$B823))&amp;" - "&amp;(IF($C823="","Commercial",$C823))),Variables!$B$1:$D$1,0),1))*AK823/365)+(L823/16.67*INDEX(Variables!$B$8:$D$8,IFERROR(MATCH(IF($B823="Robusta","Robusta",(IF($B823="","Arabica",$B823))&amp;" - "&amp;(IF($C823="","Commercial",$C823))),Variables!$B$1:$D$1,0),1))*AK823)+(W823*INDEX(Variables!$B$9:$D$9,IFERROR(MATCH(IF($B823="Robusta","Robusta",(IF($B823="","Arabica",$B823))&amp;" - "&amp;(IF($C823="","Commercial",$C823))),Variables!$B$1:$D$1,0),1))*AK823/365),""))</f>
        <v>15.702736819934273</v>
      </c>
      <c r="BI823" s="44">
        <f>IF($AX823="Cancelled","",IFERROR((W823*INDEX(Variables!$B$7:$D$7,IFERROR(MATCH(IF($B823="Robusta","Robusta",(IF($B823="","Arabica",$B823))&amp;" - "&amp;(IF($C823="","Commercial",$C823))),Variables!$B$1:$D$1,0),1))*BD823/365)+(L823/16.67*INDEX(Variables!$B$8:$D$8,IFERROR(MATCH(IF($B823="Robusta","Robusta",(IF($B823="","Arabica",$B823))&amp;" - "&amp;(IF($C823="","Commercial",$C823))),Variables!$B$1:$D$1,0),1))*BD823)+(W823*INDEX(Variables!$B$9:$D$9,IFERROR(MATCH(IF($B823="Robusta","Robusta",(IF($B823="","Arabica",$B823))&amp;" - "&amp;(IF($C823="","Commercial",$C823))),Variables!$B$1:$D$1,0),1))*BD823/365),""))</f>
        <v>31.405473639868546</v>
      </c>
      <c r="BJ823" s="44">
        <f t="shared" si="38"/>
        <v>-67</v>
      </c>
      <c r="BK823" s="44">
        <f>IF($AX823="Cancelled","",IFERROR(IF(BJ823="","",(W823*INDEX(Variables!$B$7:$D$7,IFERROR(MATCH(IF($B823="Robusta","Robusta",(IF($B823="","Arabica",$B823))&amp;" - "&amp;(IF($C823="","Commercial",$C823))),Variables!$B$1:$D$1,0),1))*(BJ823/365))+(W823*INDEX(Variables!$B$9:$D$9,IFERROR(MATCH(IF($B823="Robusta","Robusta",(IF($B823="","Arabica",$B823))&amp;" - "&amp;(IF($C823="","Commercial",$C823))),Variables!$B$1:$D$1,0),1))*(BJ823/365))+(INDEX(Variables!$B$8:$D$8,IFERROR(MATCH(IF($B823="Robusta","Robusta",(IF($B823="","Arabica",$B823))&amp;" - "&amp;(IF($C823="","Commercial",$C823))),Variables!$B$1:$D$1,0),1))*L823/16.67)),""))</f>
        <v>-359.44168346779816</v>
      </c>
    </row>
    <row r="824" spans="1:63">
      <c r="A824" s="13" t="s">
        <v>103</v>
      </c>
      <c r="B824" s="13" t="s">
        <v>104</v>
      </c>
      <c r="C824" s="13" t="s">
        <v>292</v>
      </c>
      <c r="D824" s="31">
        <v>46064</v>
      </c>
      <c r="E824" s="31">
        <v>46082</v>
      </c>
      <c r="F824" s="31">
        <v>46112</v>
      </c>
      <c r="G824" s="13">
        <v>3787256</v>
      </c>
      <c r="J824" s="13" t="s">
        <v>501</v>
      </c>
      <c r="K824" s="13" t="s">
        <v>2181</v>
      </c>
      <c r="L824" s="13">
        <v>82</v>
      </c>
      <c r="M824" s="13">
        <v>0</v>
      </c>
      <c r="N824" s="13" t="s">
        <v>2182</v>
      </c>
      <c r="O824" s="13" t="s">
        <v>304</v>
      </c>
      <c r="P824" s="13">
        <v>10010</v>
      </c>
      <c r="R824" s="13" t="s">
        <v>239</v>
      </c>
      <c r="S824" s="13" t="s">
        <v>437</v>
      </c>
      <c r="T824" s="13" t="s">
        <v>438</v>
      </c>
      <c r="U824" s="13" t="s">
        <v>182</v>
      </c>
      <c r="V824" s="23">
        <v>193</v>
      </c>
      <c r="W824" s="44">
        <f>IF($AX824="Cancelled","",IFERROR(((V824+INDEX(Variables!$B$6:$D$6,IFERROR(MATCH(IF($B824="Robusta","Robusta",(IF($B824="","Arabica",$B824))&amp;" - "&amp;(IF($C824="","Commercial",$C824))),Variables!$B$1:$D$1,0),1)))*22.0462)*(L824/16.67),""))</f>
        <v>52465.988477504485</v>
      </c>
      <c r="Y824" s="13" t="str">
        <f>IF($AX824="Cancelled","",IF(X824="","",IFERROR(IF(INDEX(Variables!$B$38:$B$47,MATCH(X824,Variables!$A$38:$A$47,0))="Yes","Yes","No"),"No")))</f>
        <v/>
      </c>
      <c r="Z824" s="31"/>
      <c r="AC824" s="13" t="str">
        <f t="shared" si="37"/>
        <v/>
      </c>
      <c r="AF824" s="71">
        <v>46155</v>
      </c>
      <c r="AG824" s="37">
        <f>IF($AX824="Cancelled","",IFERROR(IF(F824="","",F824-Variables!$B$13),""))</f>
        <v>46097</v>
      </c>
      <c r="AH824" s="13" t="str">
        <f>IF($AX824="Cancelled","",IFERROR(IF(AB824="","",(AVERAGE(E824:F824)-AB824)-Variables!$B$14),""))</f>
        <v/>
      </c>
      <c r="AJ824" s="47">
        <v>46168</v>
      </c>
      <c r="AK824" s="14">
        <f>IF($AX824="Cancelled","",IFERROR(IF(AJ824="","",IF(AND(AB824="",AF824=""),"",IF(AF824&gt;AB824,AF824+Variables!$B$15+Variables!$B$16+Variables!$B$17-AJ824,AB824+Variables!$B$16+Variables!$B$17-AJ824))),""))</f>
        <v>2</v>
      </c>
      <c r="AL824" s="48" t="s">
        <v>114</v>
      </c>
      <c r="AM824" s="13" t="s">
        <v>1781</v>
      </c>
      <c r="AN824" s="13" t="s">
        <v>2177</v>
      </c>
      <c r="AP824" s="31" t="e">
        <v>#N/A</v>
      </c>
      <c r="AR824" s="13" t="s">
        <v>2178</v>
      </c>
      <c r="AS824" s="31">
        <v>46179</v>
      </c>
      <c r="AU824" s="31">
        <v>46211</v>
      </c>
      <c r="AV824" s="13" t="s">
        <v>865</v>
      </c>
      <c r="AW824" s="31">
        <v>46211</v>
      </c>
      <c r="AX824" s="13" t="str">
        <f>IF(ISNUMBER(SEARCH("cancel",#REF!)),"Cancelled",IF(AND(AS824&lt;&gt;"",AU824&lt;&gt;"",AW824&lt;&gt;""),"Closed","Open"))</f>
        <v>Closed</v>
      </c>
      <c r="AY824" s="15" t="str">
        <f t="shared" si="36"/>
        <v>All dates received</v>
      </c>
      <c r="BD824" s="13">
        <f>IF($AX824="Cancelled","",IFERROR(IF(OR(AS824="",AJ824=""),"",(AJ824+Variables!$B$18-AS824)),""))</f>
        <v>4</v>
      </c>
      <c r="BE824" s="13">
        <f>IF($AX824="Cancelled","",IFERROR(IF(OR(AW824="",AS824=""),"",(AS824+Variables!$B$19)-AW824),""))</f>
        <v>-27</v>
      </c>
      <c r="BF824" s="44">
        <f>IF($AX824="Cancelled","",IFERROR(W824*INDEX(Variables!$B$7:$D$7,IFERROR(MATCH(IF($B824="Robusta","Robusta",(IF($B824="","Arabica",$B824))&amp;" - "&amp;(IF($C824="","Commercial",$C824))),Variables!$B$1:$D$1,0),1))*(BE824/365),""))</f>
        <v>-250.25836651921034</v>
      </c>
      <c r="BG824" s="44" t="str">
        <f>IF($AX824="Cancelled","",IFERROR((W824*INDEX(Variables!$B$7:$D$7,IFERROR(MATCH(IF($B824="Robusta","Robusta",(IF($B824="","Arabica",$B824))&amp;" - "&amp;(IF($C824="","Commercial",$C824))),Variables!$B$1:$D$1,0),1))*IFERROR(IF(AB824="","",(AVERAGE(E824:F824)-AB824)-Variables!$B$14),"")/365)+(L824/16.67*INDEX(Variables!$B$8:$D$8,IFERROR(MATCH(IF($B824="Robusta","Robusta",(IF($B824="","Arabica",$B824))&amp;" - "&amp;(IF($C824="","Commercial",$C824))),Variables!$B$1:$D$1,0),1))*IFERROR(IF(AB824="","",(AVERAGE(E824:F824)-AB824)-Variables!$B$14),""))+(W824*INDEX(Variables!$B$9:$D$9,IFERROR(MATCH(IF($B824="Robusta","Robusta",(IF($B824="","Arabica",$B824))&amp;" - "&amp;(IF($C824="","Commercial",$C824))),Variables!$B$1:$D$1,0),1))*IFERROR(IF(AB824="","",(AVERAGE(E824:F824)-AB824)-Variables!$B$14),"")/365),""))</f>
        <v/>
      </c>
      <c r="BH824" s="44">
        <f>IF($AX824="Cancelled","",IFERROR((W824*INDEX(Variables!$B$7:$D$7,IFERROR(MATCH(IF($B824="Robusta","Robusta",(IF($B824="","Arabica",$B824))&amp;" - "&amp;(IF($C824="","Commercial",$C824))),Variables!$B$1:$D$1,0),1))*AK824/365)+(L824/16.67*INDEX(Variables!$B$8:$D$8,IFERROR(MATCH(IF($B824="Robusta","Robusta",(IF($B824="","Arabica",$B824))&amp;" - "&amp;(IF($C824="","Commercial",$C824))),Variables!$B$1:$D$1,0),1))*AK824)+(W824*INDEX(Variables!$B$9:$D$9,IFERROR(MATCH(IF($B824="Robusta","Robusta",(IF($B824="","Arabica",$B824))&amp;" - "&amp;(IF($C824="","Commercial",$C824))),Variables!$B$1:$D$1,0),1))*AK824/365),""))</f>
        <v>26.976642950276652</v>
      </c>
      <c r="BI824" s="44">
        <f>IF($AX824="Cancelled","",IFERROR((W824*INDEX(Variables!$B$7:$D$7,IFERROR(MATCH(IF($B824="Robusta","Robusta",(IF($B824="","Arabica",$B824))&amp;" - "&amp;(IF($C824="","Commercial",$C824))),Variables!$B$1:$D$1,0),1))*BD824/365)+(L824/16.67*INDEX(Variables!$B$8:$D$8,IFERROR(MATCH(IF($B824="Robusta","Robusta",(IF($B824="","Arabica",$B824))&amp;" - "&amp;(IF($C824="","Commercial",$C824))),Variables!$B$1:$D$1,0),1))*BD824)+(W824*INDEX(Variables!$B$9:$D$9,IFERROR(MATCH(IF($B824="Robusta","Robusta",(IF($B824="","Arabica",$B824))&amp;" - "&amp;(IF($C824="","Commercial",$C824))),Variables!$B$1:$D$1,0),1))*BD824/365),""))</f>
        <v>53.953285900553304</v>
      </c>
      <c r="BJ824" s="44">
        <f t="shared" si="38"/>
        <v>-67</v>
      </c>
      <c r="BK824" s="44">
        <f>IF($AX824="Cancelled","",IFERROR(IF(BJ824="","",(W824*INDEX(Variables!$B$7:$D$7,IFERROR(MATCH(IF($B824="Robusta","Robusta",(IF($B824="","Arabica",$B824))&amp;" - "&amp;(IF($C824="","Commercial",$C824))),Variables!$B$1:$D$1,0),1))*(BJ824/365))+(W824*INDEX(Variables!$B$9:$D$9,IFERROR(MATCH(IF($B824="Robusta","Robusta",(IF($B824="","Arabica",$B824))&amp;" - "&amp;(IF($C824="","Commercial",$C824))),Variables!$B$1:$D$1,0),1))*(BJ824/365))+(INDEX(Variables!$B$8:$D$8,IFERROR(MATCH(IF($B824="Robusta","Robusta",(IF($B824="","Arabica",$B824))&amp;" - "&amp;(IF($C824="","Commercial",$C824))),Variables!$B$1:$D$1,0),1))*L824/16.67)),""))</f>
        <v>-624.91753883426793</v>
      </c>
    </row>
    <row r="825" spans="1:63">
      <c r="A825" s="13" t="s">
        <v>103</v>
      </c>
      <c r="B825" s="13" t="s">
        <v>104</v>
      </c>
      <c r="C825" s="13" t="s">
        <v>105</v>
      </c>
      <c r="D825" s="31">
        <v>46064</v>
      </c>
      <c r="E825" s="31">
        <v>46174</v>
      </c>
      <c r="F825" s="31">
        <v>46203</v>
      </c>
      <c r="G825" s="13">
        <v>3787257</v>
      </c>
      <c r="J825" s="13" t="s">
        <v>118</v>
      </c>
      <c r="K825" s="13">
        <v>5517</v>
      </c>
      <c r="L825" s="13">
        <v>720</v>
      </c>
      <c r="M825" s="13">
        <v>2</v>
      </c>
      <c r="N825" s="13" t="s">
        <v>2183</v>
      </c>
      <c r="O825" s="13" t="s">
        <v>1372</v>
      </c>
      <c r="P825" s="13">
        <v>10040</v>
      </c>
      <c r="Q825" s="13" t="s">
        <v>745</v>
      </c>
      <c r="R825" s="13" t="s">
        <v>122</v>
      </c>
      <c r="S825" s="13" t="s">
        <v>816</v>
      </c>
      <c r="T825" s="13" t="s">
        <v>133</v>
      </c>
      <c r="U825" s="13" t="s">
        <v>125</v>
      </c>
      <c r="V825" s="23">
        <v>46</v>
      </c>
      <c r="W825" s="44">
        <f>IF($AX825="Cancelled","",IFERROR(((V825+INDEX(Variables!$B$6:$D$6,IFERROR(MATCH(IF($B825="Robusta","Robusta",(IF($B825="","Arabica",$B825))&amp;" - "&amp;(IF($C825="","Commercial",$C825))),Variables!$B$1:$D$1,0),1)))*22.0462)*(L825/16.67),""))</f>
        <v>320702.77835632872</v>
      </c>
      <c r="X825" s="55" t="s">
        <v>37</v>
      </c>
      <c r="Y825" s="13" t="str">
        <f>IF($AX825="Cancelled","",IF(X825="","",IFERROR(IF(INDEX(Variables!$B$38:$B$47,MATCH(X825,Variables!$A$38:$A$47,0))="Yes","Yes","No"),"No")))</f>
        <v>Yes</v>
      </c>
      <c r="Z825" s="58">
        <v>46133</v>
      </c>
      <c r="AB825" s="31">
        <v>46147</v>
      </c>
      <c r="AC825" s="13" t="str">
        <f t="shared" si="37"/>
        <v>Approved</v>
      </c>
      <c r="AF825" s="71">
        <v>46162</v>
      </c>
      <c r="AG825" s="37">
        <f>IF($AX825="Cancelled","",IFERROR(IF(F825="","",F825-Variables!$B$13),""))</f>
        <v>46188</v>
      </c>
      <c r="AH825" s="13">
        <f>IF($AX825="Cancelled","",IFERROR(IF(AB825="","",(AVERAGE(E825:F825)-AB825)-Variables!$B$14),""))</f>
        <v>11.5</v>
      </c>
      <c r="AJ825" s="47">
        <v>46178</v>
      </c>
      <c r="AK825" s="14">
        <f>IF($AX825="Cancelled","",IFERROR(IF(AJ825="","",IF(AND(AB825="",AF825=""),"",IF(AF825&gt;AB825,AF825+Variables!$B$15+Variables!$B$16+Variables!$B$17-AJ825,AB825+Variables!$B$16+Variables!$B$17-AJ825))),""))</f>
        <v>-1</v>
      </c>
      <c r="AL825" s="48" t="s">
        <v>114</v>
      </c>
      <c r="AM825" s="13" t="s">
        <v>115</v>
      </c>
      <c r="AN825" s="13" t="s">
        <v>2184</v>
      </c>
      <c r="AP825" s="31">
        <v>46213</v>
      </c>
      <c r="AR825" s="13">
        <v>271607870</v>
      </c>
      <c r="AS825" s="31">
        <v>46213</v>
      </c>
      <c r="AU825" s="31">
        <v>46267</v>
      </c>
      <c r="AV825" s="13" t="s">
        <v>865</v>
      </c>
      <c r="AW825" s="39">
        <v>46267</v>
      </c>
      <c r="AX825" s="13" t="str">
        <f>IF(ISNUMBER(SEARCH("cancel",#REF!)),"Cancelled",IF(AND(AS825&lt;&gt;"",AU825&lt;&gt;"",AW825&lt;&gt;""),"Closed","Open"))</f>
        <v>Closed</v>
      </c>
      <c r="AY825" s="15" t="str">
        <f t="shared" si="36"/>
        <v>All dates received</v>
      </c>
      <c r="AZ825" s="13" t="s">
        <v>3053</v>
      </c>
      <c r="BA825" s="13" t="s">
        <v>3048</v>
      </c>
      <c r="BB825" s="13" t="s">
        <v>3049</v>
      </c>
      <c r="BC825" s="13" t="s">
        <v>3048</v>
      </c>
      <c r="BD825" s="13">
        <f>IF($AX825="Cancelled","",IFERROR(IF(OR(AS825="",AJ825=""),"",(AJ825+Variables!$B$18-AS825)),""))</f>
        <v>-20</v>
      </c>
      <c r="BE825" s="13">
        <f>IF($AX825="Cancelled","",IFERROR(IF(OR(AW825="",AS825=""),"",(AS825+Variables!$B$19)-AW825),""))</f>
        <v>-49</v>
      </c>
      <c r="BF825" s="44">
        <f>IF($AX825="Cancelled","",IFERROR(W825*INDEX(Variables!$B$7:$D$7,IFERROR(MATCH(IF($B825="Robusta","Robusta",(IF($B825="","Arabica",$B825))&amp;" - "&amp;(IF($C825="","Commercial",$C825))),Variables!$B$1:$D$1,0),1))*(BE825/365),""))</f>
        <v>-2776.168257621629</v>
      </c>
      <c r="BG825" s="44">
        <f>IF($AX825="Cancelled","",IFERROR((W825*INDEX(Variables!$B$7:$D$7,IFERROR(MATCH(IF($B825="Robusta","Robusta",(IF($B825="","Arabica",$B825))&amp;" - "&amp;(IF($C825="","Commercial",$C825))),Variables!$B$1:$D$1,0),1))*IFERROR(IF(AB825="","",(AVERAGE(E825:F825)-AB825)-Variables!$B$14),"")/365)+(L825/16.67*INDEX(Variables!$B$8:$D$8,IFERROR(MATCH(IF($B825="Robusta","Robusta",(IF($B825="","Arabica",$B825))&amp;" - "&amp;(IF($C825="","Commercial",$C825))),Variables!$B$1:$D$1,0),1))*IFERROR(IF(AB825="","",(AVERAGE(E825:F825)-AB825)-Variables!$B$14),""))+(W825*INDEX(Variables!$B$9:$D$9,IFERROR(MATCH(IF($B825="Robusta","Robusta",(IF($B825="","Arabica",$B825))&amp;" - "&amp;(IF($C825="","Commercial",$C825))),Variables!$B$1:$D$1,0),1))*IFERROR(IF(AB825="","",(AVERAGE(E825:F825)-AB825)-Variables!$B$14),"")/365),""))</f>
        <v>1073.9494260630818</v>
      </c>
      <c r="BH825" s="44">
        <f>IF($AX825="Cancelled","",IFERROR((W825*INDEX(Variables!$B$7:$D$7,IFERROR(MATCH(IF($B825="Robusta","Robusta",(IF($B825="","Arabica",$B825))&amp;" - "&amp;(IF($C825="","Commercial",$C825))),Variables!$B$1:$D$1,0),1))*AK825/365)+(L825/16.67*INDEX(Variables!$B$8:$D$8,IFERROR(MATCH(IF($B825="Robusta","Robusta",(IF($B825="","Arabica",$B825))&amp;" - "&amp;(IF($C825="","Commercial",$C825))),Variables!$B$1:$D$1,0),1))*AK825)+(W825*INDEX(Variables!$B$9:$D$9,IFERROR(MATCH(IF($B825="Robusta","Robusta",(IF($B825="","Arabica",$B825))&amp;" - "&amp;(IF($C825="","Commercial",$C825))),Variables!$B$1:$D$1,0),1))*AK825/365),""))</f>
        <v>-93.386906614181044</v>
      </c>
      <c r="BI825" s="44">
        <f>IF($AX825="Cancelled","",IFERROR((W825*INDEX(Variables!$B$7:$D$7,IFERROR(MATCH(IF($B825="Robusta","Robusta",(IF($B825="","Arabica",$B825))&amp;" - "&amp;(IF($C825="","Commercial",$C825))),Variables!$B$1:$D$1,0),1))*BD825/365)+(L825/16.67*INDEX(Variables!$B$8:$D$8,IFERROR(MATCH(IF($B825="Robusta","Robusta",(IF($B825="","Arabica",$B825))&amp;" - "&amp;(IF($C825="","Commercial",$C825))),Variables!$B$1:$D$1,0),1))*BD825)+(W825*INDEX(Variables!$B$9:$D$9,IFERROR(MATCH(IF($B825="Robusta","Robusta",(IF($B825="","Arabica",$B825))&amp;" - "&amp;(IF($C825="","Commercial",$C825))),Variables!$B$1:$D$1,0),1))*BD825/365),""))</f>
        <v>-1867.7381322836206</v>
      </c>
      <c r="BJ825" s="44">
        <f t="shared" si="38"/>
        <v>-10</v>
      </c>
      <c r="BK825" s="44">
        <f>IF($AX825="Cancelled","",IFERROR(IF(BJ825="","",(W825*INDEX(Variables!$B$7:$D$7,IFERROR(MATCH(IF($B825="Robusta","Robusta",(IF($B825="","Arabica",$B825))&amp;" - "&amp;(IF($C825="","Commercial",$C825))),Variables!$B$1:$D$1,0),1))*(BJ825/365))+(W825*INDEX(Variables!$B$9:$D$9,IFERROR(MATCH(IF($B825="Robusta","Robusta",(IF($B825="","Arabica",$B825))&amp;" - "&amp;(IF($C825="","Commercial",$C825))),Variables!$B$1:$D$1,0),1))*(BJ825/365))+(INDEX(Variables!$B$8:$D$8,IFERROR(MATCH(IF($B825="Robusta","Robusta",(IF($B825="","Arabica",$B825))&amp;" - "&amp;(IF($C825="","Commercial",$C825))),Variables!$B$1:$D$1,0),1))*L825/16.67)),""))</f>
        <v>-537.86906614181032</v>
      </c>
    </row>
    <row r="826" spans="1:63">
      <c r="A826" s="13" t="s">
        <v>103</v>
      </c>
      <c r="B826" s="13" t="s">
        <v>104</v>
      </c>
      <c r="C826" s="13" t="s">
        <v>105</v>
      </c>
      <c r="D826" s="31">
        <v>46064</v>
      </c>
      <c r="E826" s="31">
        <v>46174</v>
      </c>
      <c r="F826" s="31">
        <v>46203</v>
      </c>
      <c r="G826" s="13">
        <v>3787258</v>
      </c>
      <c r="J826" s="13" t="s">
        <v>118</v>
      </c>
      <c r="K826" s="13">
        <v>5516</v>
      </c>
      <c r="L826" s="13">
        <v>720</v>
      </c>
      <c r="M826" s="13">
        <v>2</v>
      </c>
      <c r="N826" s="13" t="s">
        <v>2185</v>
      </c>
      <c r="O826" s="13" t="s">
        <v>1205</v>
      </c>
      <c r="P826" s="13">
        <v>10045</v>
      </c>
      <c r="Q826" s="13" t="s">
        <v>745</v>
      </c>
      <c r="R826" s="13" t="s">
        <v>122</v>
      </c>
      <c r="S826" s="13" t="s">
        <v>816</v>
      </c>
      <c r="T826" s="13" t="s">
        <v>133</v>
      </c>
      <c r="U826" s="13" t="s">
        <v>125</v>
      </c>
      <c r="V826" s="23">
        <v>31</v>
      </c>
      <c r="W826" s="44">
        <f>IF($AX826="Cancelled","",IFERROR(((V826+INDEX(Variables!$B$6:$D$6,IFERROR(MATCH(IF($B826="Robusta","Robusta",(IF($B826="","Arabica",$B826))&amp;" - "&amp;(IF($C826="","Commercial",$C826))),Variables!$B$1:$D$1,0),1)))*22.0462)*(L826/16.67),""))</f>
        <v>306419.69737252546</v>
      </c>
      <c r="X826" s="55" t="s">
        <v>37</v>
      </c>
      <c r="Y826" s="13" t="str">
        <f>IF($AX826="Cancelled","",IF(X826="","",IFERROR(IF(INDEX(Variables!$B$38:$B$47,MATCH(X826,Variables!$A$38:$A$47,0))="Yes","Yes","No"),"No")))</f>
        <v>Yes</v>
      </c>
      <c r="Z826" s="58">
        <v>46133</v>
      </c>
      <c r="AB826" s="31">
        <v>46147</v>
      </c>
      <c r="AC826" s="13" t="str">
        <f t="shared" si="37"/>
        <v>Approved</v>
      </c>
      <c r="AF826" s="71">
        <v>46178</v>
      </c>
      <c r="AG826" s="37">
        <f>IF($AX826="Cancelled","",IFERROR(IF(F826="","",F826-Variables!$B$13),""))</f>
        <v>46188</v>
      </c>
      <c r="AH826" s="13">
        <f>IF($AX826="Cancelled","",IFERROR(IF(AB826="","",(AVERAGE(E826:F826)-AB826)-Variables!$B$14),""))</f>
        <v>11.5</v>
      </c>
      <c r="AJ826" s="47">
        <v>46178</v>
      </c>
      <c r="AK826" s="14">
        <f>IF($AX826="Cancelled","",IFERROR(IF(AJ826="","",IF(AND(AB826="",AF826=""),"",IF(AF826&gt;AB826,AF826+Variables!$B$15+Variables!$B$16+Variables!$B$17-AJ826,AB826+Variables!$B$16+Variables!$B$17-AJ826))),""))</f>
        <v>15</v>
      </c>
      <c r="AL826" s="48" t="s">
        <v>114</v>
      </c>
      <c r="AM826" s="13" t="s">
        <v>168</v>
      </c>
      <c r="AN826" s="13" t="s">
        <v>2186</v>
      </c>
      <c r="AP826" s="31">
        <v>46197</v>
      </c>
      <c r="AR826" s="13" t="s">
        <v>2187</v>
      </c>
      <c r="AS826" s="31">
        <v>46197</v>
      </c>
      <c r="AU826" s="31">
        <v>46267</v>
      </c>
      <c r="AV826" s="13" t="s">
        <v>865</v>
      </c>
      <c r="AW826" s="39">
        <v>46267</v>
      </c>
      <c r="AX826" s="13" t="str">
        <f>IF(ISNUMBER(SEARCH("cancel",#REF!)),"Cancelled",IF(AND(AS826&lt;&gt;"",AU826&lt;&gt;"",AW826&lt;&gt;""),"Closed","Open"))</f>
        <v>Closed</v>
      </c>
      <c r="AY826" s="15" t="str">
        <f t="shared" si="36"/>
        <v>All dates received</v>
      </c>
      <c r="BD826" s="13">
        <f>IF($AX826="Cancelled","",IFERROR(IF(OR(AS826="",AJ826=""),"",(AJ826+Variables!$B$18-AS826)),""))</f>
        <v>-4</v>
      </c>
      <c r="BE826" s="13">
        <f>IF($AX826="Cancelled","",IFERROR(IF(OR(AW826="",AS826=""),"",(AS826+Variables!$B$19)-AW826),""))</f>
        <v>-65</v>
      </c>
      <c r="BF826" s="44">
        <f>IF($AX826="Cancelled","",IFERROR(W826*INDEX(Variables!$B$7:$D$7,IFERROR(MATCH(IF($B826="Robusta","Robusta",(IF($B826="","Arabica",$B826))&amp;" - "&amp;(IF($C826="","Commercial",$C826))),Variables!$B$1:$D$1,0),1))*(BE826/365),""))</f>
        <v>-3518.6576812176795</v>
      </c>
      <c r="BG826" s="44">
        <f>IF($AX826="Cancelled","",IFERROR((W826*INDEX(Variables!$B$7:$D$7,IFERROR(MATCH(IF($B826="Robusta","Robusta",(IF($B826="","Arabica",$B826))&amp;" - "&amp;(IF($C826="","Commercial",$C826))),Variables!$B$1:$D$1,0),1))*IFERROR(IF(AB826="","",(AVERAGE(E826:F826)-AB826)-Variables!$B$14),"")/365)+(L826/16.67*INDEX(Variables!$B$8:$D$8,IFERROR(MATCH(IF($B826="Robusta","Robusta",(IF($B826="","Arabica",$B826))&amp;" - "&amp;(IF($C826="","Commercial",$C826))),Variables!$B$1:$D$1,0),1))*IFERROR(IF(AB826="","",(AVERAGE(E826:F826)-AB826)-Variables!$B$14),""))+(W826*INDEX(Variables!$B$9:$D$9,IFERROR(MATCH(IF($B826="Robusta","Robusta",(IF($B826="","Arabica",$B826))&amp;" - "&amp;(IF($C826="","Commercial",$C826))),Variables!$B$1:$D$1,0),1))*IFERROR(IF(AB826="","",(AVERAGE(E826:F826)-AB826)-Variables!$B$14),"")/365),""))</f>
        <v>1044.5573791778497</v>
      </c>
      <c r="BH826" s="44">
        <f>IF($AX826="Cancelled","",IFERROR((W826*INDEX(Variables!$B$7:$D$7,IFERROR(MATCH(IF($B826="Robusta","Robusta",(IF($B826="","Arabica",$B826))&amp;" - "&amp;(IF($C826="","Commercial",$C826))),Variables!$B$1:$D$1,0),1))*AK826/365)+(L826/16.67*INDEX(Variables!$B$8:$D$8,IFERROR(MATCH(IF($B826="Robusta","Robusta",(IF($B826="","Arabica",$B826))&amp;" - "&amp;(IF($C826="","Commercial",$C826))),Variables!$B$1:$D$1,0),1))*AK826)+(W826*INDEX(Variables!$B$9:$D$9,IFERROR(MATCH(IF($B826="Robusta","Robusta",(IF($B826="","Arabica",$B826))&amp;" - "&amp;(IF($C826="","Commercial",$C826))),Variables!$B$1:$D$1,0),1))*AK826/365),""))</f>
        <v>1362.4661467537171</v>
      </c>
      <c r="BI826" s="44">
        <f>IF($AX826="Cancelled","",IFERROR((W826*INDEX(Variables!$B$7:$D$7,IFERROR(MATCH(IF($B826="Robusta","Robusta",(IF($B826="","Arabica",$B826))&amp;" - "&amp;(IF($C826="","Commercial",$C826))),Variables!$B$1:$D$1,0),1))*BD826/365)+(L826/16.67*INDEX(Variables!$B$8:$D$8,IFERROR(MATCH(IF($B826="Robusta","Robusta",(IF($B826="","Arabica",$B826))&amp;" - "&amp;(IF($C826="","Commercial",$C826))),Variables!$B$1:$D$1,0),1))*BD826)+(W826*INDEX(Variables!$B$9:$D$9,IFERROR(MATCH(IF($B826="Robusta","Robusta",(IF($B826="","Arabica",$B826))&amp;" - "&amp;(IF($C826="","Commercial",$C826))),Variables!$B$1:$D$1,0),1))*BD826/365),""))</f>
        <v>-363.32430580099117</v>
      </c>
      <c r="BJ826" s="44">
        <f t="shared" si="38"/>
        <v>6</v>
      </c>
      <c r="BK826" s="44">
        <f>IF($AX826="Cancelled","",IFERROR(IF(BJ826="","",(W826*INDEX(Variables!$B$7:$D$7,IFERROR(MATCH(IF($B826="Robusta","Robusta",(IF($B826="","Arabica",$B826))&amp;" - "&amp;(IF($C826="","Commercial",$C826))),Variables!$B$1:$D$1,0),1))*(BJ826/365))+(W826*INDEX(Variables!$B$9:$D$9,IFERROR(MATCH(IF($B826="Robusta","Robusta",(IF($B826="","Arabica",$B826))&amp;" - "&amp;(IF($C826="","Commercial",$C826))),Variables!$B$1:$D$1,0),1))*(BJ826/365))+(INDEX(Variables!$B$8:$D$8,IFERROR(MATCH(IF($B826="Robusta","Robusta",(IF($B826="","Arabica",$B826))&amp;" - "&amp;(IF($C826="","Commercial",$C826))),Variables!$B$1:$D$1,0),1))*L826/16.67)),""))</f>
        <v>364.9864587014867</v>
      </c>
    </row>
    <row r="827" spans="1:63">
      <c r="A827" s="13" t="s">
        <v>103</v>
      </c>
      <c r="B827" s="13" t="s">
        <v>104</v>
      </c>
      <c r="C827" s="13" t="s">
        <v>105</v>
      </c>
      <c r="D827" s="31">
        <v>46064</v>
      </c>
      <c r="E827" s="31">
        <v>46204</v>
      </c>
      <c r="F827" s="31">
        <v>46234</v>
      </c>
      <c r="G827" s="13">
        <v>3787259</v>
      </c>
      <c r="J827" s="13" t="s">
        <v>118</v>
      </c>
      <c r="K827" s="13">
        <v>5595</v>
      </c>
      <c r="L827" s="13">
        <v>360</v>
      </c>
      <c r="M827" s="13">
        <v>1</v>
      </c>
      <c r="N827" s="13" t="s">
        <v>2185</v>
      </c>
      <c r="O827" s="13" t="s">
        <v>1205</v>
      </c>
      <c r="P827" s="13">
        <v>10045</v>
      </c>
      <c r="Q827" s="13" t="s">
        <v>745</v>
      </c>
      <c r="R827" s="13" t="s">
        <v>122</v>
      </c>
      <c r="S827" s="13" t="s">
        <v>816</v>
      </c>
      <c r="T827" s="13" t="s">
        <v>817</v>
      </c>
      <c r="U827" s="13" t="s">
        <v>125</v>
      </c>
      <c r="V827" s="23">
        <v>31</v>
      </c>
      <c r="W827" s="44">
        <f>IF($AX827="Cancelled","",IFERROR(((V827+INDEX(Variables!$B$6:$D$6,IFERROR(MATCH(IF($B827="Robusta","Robusta",(IF($B827="","Arabica",$B827))&amp;" - "&amp;(IF($C827="","Commercial",$C827))),Variables!$B$1:$D$1,0),1)))*22.0462)*(L827/16.67),""))</f>
        <v>153209.84868626273</v>
      </c>
      <c r="X827" s="55" t="s">
        <v>37</v>
      </c>
      <c r="Y827" s="13" t="str">
        <f>IF($AX827="Cancelled","",IF(X827="","",IFERROR(IF(INDEX(Variables!$B$38:$B$47,MATCH(X827,Variables!$A$38:$A$47,0))="Yes","Yes","No"),"No")))</f>
        <v>Yes</v>
      </c>
      <c r="Z827" s="58">
        <v>46195</v>
      </c>
      <c r="AB827" s="31">
        <v>46206</v>
      </c>
      <c r="AC827" s="13" t="str">
        <f t="shared" si="37"/>
        <v>Approved</v>
      </c>
      <c r="AF827" s="71">
        <v>46239</v>
      </c>
      <c r="AG827" s="37">
        <f>IF($AX827="Cancelled","",IFERROR(IF(F827="","",F827-Variables!$B$13),""))</f>
        <v>46219</v>
      </c>
      <c r="AH827" s="13">
        <f>IF($AX827="Cancelled","",IFERROR(IF(AB827="","",(AVERAGE(E827:F827)-AB827)-Variables!$B$14),""))</f>
        <v>-17</v>
      </c>
      <c r="AJ827" s="47">
        <v>46234</v>
      </c>
      <c r="AK827" s="14">
        <f>IF($AX827="Cancelled","",IFERROR(IF(AJ827="","",IF(AND(AB827="",AF827=""),"",IF(AF827&gt;AB827,AF827+Variables!$B$15+Variables!$B$16+Variables!$B$17-AJ827,AB827+Variables!$B$16+Variables!$B$17-AJ827))),""))</f>
        <v>20</v>
      </c>
      <c r="AL827" s="48" t="s">
        <v>114</v>
      </c>
      <c r="AM827" s="13" t="s">
        <v>115</v>
      </c>
      <c r="AN827" s="13" t="s">
        <v>2188</v>
      </c>
      <c r="AP827" s="31">
        <v>46263</v>
      </c>
      <c r="AR827" s="13">
        <v>275048065</v>
      </c>
      <c r="AS827" s="31">
        <v>46263</v>
      </c>
      <c r="AU827" s="31">
        <v>46280</v>
      </c>
      <c r="AV827" s="13" t="s">
        <v>865</v>
      </c>
      <c r="AW827" s="39">
        <v>46280</v>
      </c>
      <c r="AX827" s="13" t="str">
        <f>IF(ISNUMBER(SEARCH("cancel",#REF!)),"Cancelled",IF(AND(AS827&lt;&gt;"",AU827&lt;&gt;"",AW827&lt;&gt;""),"Closed","Open"))</f>
        <v>Closed</v>
      </c>
      <c r="AY827" s="15" t="str">
        <f t="shared" si="36"/>
        <v>All dates received</v>
      </c>
      <c r="AZ827" s="13" t="s">
        <v>3053</v>
      </c>
      <c r="BA827" s="13" t="s">
        <v>3048</v>
      </c>
      <c r="BB827" s="13" t="s">
        <v>3049</v>
      </c>
      <c r="BC827" s="13" t="s">
        <v>3289</v>
      </c>
      <c r="BD827" s="13">
        <f>IF($AX827="Cancelled","",IFERROR(IF(OR(AS827="",AJ827=""),"",(AJ827+Variables!$B$18-AS827)),""))</f>
        <v>-14</v>
      </c>
      <c r="BE827" s="13">
        <f>IF($AX827="Cancelled","",IFERROR(IF(OR(AW827="",AS827=""),"",(AS827+Variables!$B$19)-AW827),""))</f>
        <v>-12</v>
      </c>
      <c r="BF827" s="44">
        <f>IF($AX827="Cancelled","",IFERROR(W827*INDEX(Variables!$B$7:$D$7,IFERROR(MATCH(IF($B827="Robusta","Robusta",(IF($B827="","Arabica",$B827))&amp;" - "&amp;(IF($C827="","Commercial",$C827))),Variables!$B$1:$D$1,0),1))*(BE827/365),""))</f>
        <v>-324.79917057393965</v>
      </c>
      <c r="BG827" s="44">
        <f>IF($AX827="Cancelled","",IFERROR((W827*INDEX(Variables!$B$7:$D$7,IFERROR(MATCH(IF($B827="Robusta","Robusta",(IF($B827="","Arabica",$B827))&amp;" - "&amp;(IF($C827="","Commercial",$C827))),Variables!$B$1:$D$1,0),1))*IFERROR(IF(AB827="","",(AVERAGE(E827:F827)-AB827)-Variables!$B$14),"")/365)+(L827/16.67*INDEX(Variables!$B$8:$D$8,IFERROR(MATCH(IF($B827="Robusta","Robusta",(IF($B827="","Arabica",$B827))&amp;" - "&amp;(IF($C827="","Commercial",$C827))),Variables!$B$1:$D$1,0),1))*IFERROR(IF(AB827="","",(AVERAGE(E827:F827)-AB827)-Variables!$B$14),""))+(W827*INDEX(Variables!$B$9:$D$9,IFERROR(MATCH(IF($B827="Robusta","Robusta",(IF($B827="","Arabica",$B827))&amp;" - "&amp;(IF($C827="","Commercial",$C827))),Variables!$B$1:$D$1,0),1))*IFERROR(IF(AB827="","",(AVERAGE(E827:F827)-AB827)-Variables!$B$14),"")/365),""))</f>
        <v>-772.06414982710635</v>
      </c>
      <c r="BH827" s="44">
        <f>IF($AX827="Cancelled","",IFERROR((W827*INDEX(Variables!$B$7:$D$7,IFERROR(MATCH(IF($B827="Robusta","Robusta",(IF($B827="","Arabica",$B827))&amp;" - "&amp;(IF($C827="","Commercial",$C827))),Variables!$B$1:$D$1,0),1))*AK827/365)+(L827/16.67*INDEX(Variables!$B$8:$D$8,IFERROR(MATCH(IF($B827="Robusta","Robusta",(IF($B827="","Arabica",$B827))&amp;" - "&amp;(IF($C827="","Commercial",$C827))),Variables!$B$1:$D$1,0),1))*AK827)+(W827*INDEX(Variables!$B$9:$D$9,IFERROR(MATCH(IF($B827="Robusta","Robusta",(IF($B827="","Arabica",$B827))&amp;" - "&amp;(IF($C827="","Commercial",$C827))),Variables!$B$1:$D$1,0),1))*AK827/365),""))</f>
        <v>908.31076450247804</v>
      </c>
      <c r="BI827" s="44">
        <f>IF($AX827="Cancelled","",IFERROR((W827*INDEX(Variables!$B$7:$D$7,IFERROR(MATCH(IF($B827="Robusta","Robusta",(IF($B827="","Arabica",$B827))&amp;" - "&amp;(IF($C827="","Commercial",$C827))),Variables!$B$1:$D$1,0),1))*BD827/365)+(L827/16.67*INDEX(Variables!$B$8:$D$8,IFERROR(MATCH(IF($B827="Robusta","Robusta",(IF($B827="","Arabica",$B827))&amp;" - "&amp;(IF($C827="","Commercial",$C827))),Variables!$B$1:$D$1,0),1))*BD827)+(W827*INDEX(Variables!$B$9:$D$9,IFERROR(MATCH(IF($B827="Robusta","Robusta",(IF($B827="","Arabica",$B827))&amp;" - "&amp;(IF($C827="","Commercial",$C827))),Variables!$B$1:$D$1,0),1))*BD827/365),""))</f>
        <v>-635.81753515173455</v>
      </c>
      <c r="BJ827" s="44">
        <f t="shared" si="38"/>
        <v>-29</v>
      </c>
      <c r="BK827" s="44">
        <f>IF($AX827="Cancelled","",IFERROR(IF(BJ827="","",(W827*INDEX(Variables!$B$7:$D$7,IFERROR(MATCH(IF($B827="Robusta","Robusta",(IF($B827="","Arabica",$B827))&amp;" - "&amp;(IF($C827="","Commercial",$C827))),Variables!$B$1:$D$1,0),1))*(BJ827/365))+(W827*INDEX(Variables!$B$9:$D$9,IFERROR(MATCH(IF($B827="Robusta","Robusta",(IF($B827="","Arabica",$B827))&amp;" - "&amp;(IF($C827="","Commercial",$C827))),Variables!$B$1:$D$1,0),1))*(BJ827/365))+(INDEX(Variables!$B$8:$D$8,IFERROR(MATCH(IF($B827="Robusta","Robusta",(IF($B827="","Arabica",$B827))&amp;" - "&amp;(IF($C827="","Commercial",$C827))),Variables!$B$1:$D$1,0),1))*L827/16.67)),""))</f>
        <v>-777.0506085285931</v>
      </c>
    </row>
    <row r="828" spans="1:63">
      <c r="A828" s="13" t="s">
        <v>103</v>
      </c>
      <c r="B828" s="13" t="s">
        <v>104</v>
      </c>
      <c r="C828" s="13" t="s">
        <v>105</v>
      </c>
      <c r="D828" s="31">
        <v>46064</v>
      </c>
      <c r="E828" s="31">
        <v>46204</v>
      </c>
      <c r="F828" s="31">
        <v>46234</v>
      </c>
      <c r="G828" s="13">
        <v>3787259</v>
      </c>
      <c r="J828" s="13" t="s">
        <v>118</v>
      </c>
      <c r="K828" s="13">
        <v>5595</v>
      </c>
      <c r="L828" s="13">
        <v>360</v>
      </c>
      <c r="M828" s="13">
        <v>1</v>
      </c>
      <c r="N828" s="13" t="s">
        <v>2185</v>
      </c>
      <c r="O828" s="13" t="s">
        <v>1205</v>
      </c>
      <c r="P828" s="13">
        <v>10045</v>
      </c>
      <c r="Q828" s="13" t="s">
        <v>745</v>
      </c>
      <c r="R828" s="13" t="s">
        <v>122</v>
      </c>
      <c r="S828" s="13" t="s">
        <v>816</v>
      </c>
      <c r="T828" s="13" t="s">
        <v>817</v>
      </c>
      <c r="U828" s="13" t="s">
        <v>125</v>
      </c>
      <c r="V828" s="23">
        <v>31</v>
      </c>
      <c r="W828" s="44">
        <f>IF($AX828="Cancelled","",IFERROR(((V828+INDEX(Variables!$B$6:$D$6,IFERROR(MATCH(IF($B828="Robusta","Robusta",(IF($B828="","Arabica",$B828))&amp;" - "&amp;(IF($C828="","Commercial",$C828))),Variables!$B$1:$D$1,0),1)))*22.0462)*(L828/16.67),""))</f>
        <v>153209.84868626273</v>
      </c>
      <c r="X828" s="55" t="s">
        <v>37</v>
      </c>
      <c r="Y828" s="13" t="str">
        <f>IF($AX828="Cancelled","",IF(X828="","",IFERROR(IF(INDEX(Variables!$B$38:$B$47,MATCH(X828,Variables!$A$38:$A$47,0))="Yes","Yes","No"),"No")))</f>
        <v>Yes</v>
      </c>
      <c r="Z828" s="58">
        <v>46195</v>
      </c>
      <c r="AB828" s="31">
        <v>46206</v>
      </c>
      <c r="AC828" s="13" t="str">
        <f t="shared" si="37"/>
        <v>Approved</v>
      </c>
      <c r="AF828" s="71">
        <v>46239</v>
      </c>
      <c r="AG828" s="37">
        <f>IF($AX828="Cancelled","",IFERROR(IF(F828="","",F828-Variables!$B$13),""))</f>
        <v>46219</v>
      </c>
      <c r="AH828" s="13">
        <f>IF($AX828="Cancelled","",IFERROR(IF(AB828="","",(AVERAGE(E828:F828)-AB828)-Variables!$B$14),""))</f>
        <v>-17</v>
      </c>
      <c r="AJ828" s="47">
        <v>46237</v>
      </c>
      <c r="AK828" s="14">
        <f>IF($AX828="Cancelled","",IFERROR(IF(AJ828="","",IF(AND(AB828="",AF828=""),"",IF(AF828&gt;AB828,AF828+Variables!$B$15+Variables!$B$16+Variables!$B$17-AJ828,AB828+Variables!$B$16+Variables!$B$17-AJ828))),""))</f>
        <v>17</v>
      </c>
      <c r="AL828" s="48" t="s">
        <v>114</v>
      </c>
      <c r="AM828" s="13" t="s">
        <v>115</v>
      </c>
      <c r="AN828" s="13" t="s">
        <v>2188</v>
      </c>
      <c r="AP828" s="31">
        <v>46263</v>
      </c>
      <c r="AR828" s="13">
        <v>275048065</v>
      </c>
      <c r="AS828" s="31">
        <v>46263</v>
      </c>
      <c r="AU828" s="31">
        <v>46280</v>
      </c>
      <c r="AV828" s="13" t="s">
        <v>865</v>
      </c>
      <c r="AW828" s="39">
        <v>46280</v>
      </c>
      <c r="AX828" s="13" t="str">
        <f>IF(ISNUMBER(SEARCH("cancel",#REF!)),"Cancelled",IF(AND(AS828&lt;&gt;"",AU828&lt;&gt;"",AW828&lt;&gt;""),"Closed","Open"))</f>
        <v>Closed</v>
      </c>
      <c r="AY828" s="15" t="str">
        <f t="shared" si="36"/>
        <v>All dates received</v>
      </c>
      <c r="AZ828" s="13" t="s">
        <v>3053</v>
      </c>
      <c r="BA828" s="13" t="s">
        <v>3048</v>
      </c>
      <c r="BB828" s="13" t="s">
        <v>3049</v>
      </c>
      <c r="BC828" s="13" t="s">
        <v>3289</v>
      </c>
      <c r="BD828" s="13">
        <f>IF($AX828="Cancelled","",IFERROR(IF(OR(AS828="",AJ828=""),"",(AJ828+Variables!$B$18-AS828)),""))</f>
        <v>-11</v>
      </c>
      <c r="BE828" s="13">
        <f>IF($AX828="Cancelled","",IFERROR(IF(OR(AW828="",AS828=""),"",(AS828+Variables!$B$19)-AW828),""))</f>
        <v>-12</v>
      </c>
      <c r="BF828" s="44">
        <f>IF($AX828="Cancelled","",IFERROR(W828*INDEX(Variables!$B$7:$D$7,IFERROR(MATCH(IF($B828="Robusta","Robusta",(IF($B828="","Arabica",$B828))&amp;" - "&amp;(IF($C828="","Commercial",$C828))),Variables!$B$1:$D$1,0),1))*(BE828/365),""))</f>
        <v>-324.79917057393965</v>
      </c>
      <c r="BG828" s="44">
        <f>IF($AX828="Cancelled","",IFERROR((W828*INDEX(Variables!$B$7:$D$7,IFERROR(MATCH(IF($B828="Robusta","Robusta",(IF($B828="","Arabica",$B828))&amp;" - "&amp;(IF($C828="","Commercial",$C828))),Variables!$B$1:$D$1,0),1))*IFERROR(IF(AB828="","",(AVERAGE(E828:F828)-AB828)-Variables!$B$14),"")/365)+(L828/16.67*INDEX(Variables!$B$8:$D$8,IFERROR(MATCH(IF($B828="Robusta","Robusta",(IF($B828="","Arabica",$B828))&amp;" - "&amp;(IF($C828="","Commercial",$C828))),Variables!$B$1:$D$1,0),1))*IFERROR(IF(AB828="","",(AVERAGE(E828:F828)-AB828)-Variables!$B$14),""))+(W828*INDEX(Variables!$B$9:$D$9,IFERROR(MATCH(IF($B828="Robusta","Robusta",(IF($B828="","Arabica",$B828))&amp;" - "&amp;(IF($C828="","Commercial",$C828))),Variables!$B$1:$D$1,0),1))*IFERROR(IF(AB828="","",(AVERAGE(E828:F828)-AB828)-Variables!$B$14),"")/365),""))</f>
        <v>-772.06414982710635</v>
      </c>
      <c r="BH828" s="44">
        <f>IF($AX828="Cancelled","",IFERROR((W828*INDEX(Variables!$B$7:$D$7,IFERROR(MATCH(IF($B828="Robusta","Robusta",(IF($B828="","Arabica",$B828))&amp;" - "&amp;(IF($C828="","Commercial",$C828))),Variables!$B$1:$D$1,0),1))*AK828/365)+(L828/16.67*INDEX(Variables!$B$8:$D$8,IFERROR(MATCH(IF($B828="Robusta","Robusta",(IF($B828="","Arabica",$B828))&amp;" - "&amp;(IF($C828="","Commercial",$C828))),Variables!$B$1:$D$1,0),1))*AK828)+(W828*INDEX(Variables!$B$9:$D$9,IFERROR(MATCH(IF($B828="Robusta","Robusta",(IF($B828="","Arabica",$B828))&amp;" - "&amp;(IF($C828="","Commercial",$C828))),Variables!$B$1:$D$1,0),1))*AK828/365),""))</f>
        <v>772.06414982710635</v>
      </c>
      <c r="BI828" s="44">
        <f>IF($AX828="Cancelled","",IFERROR((W828*INDEX(Variables!$B$7:$D$7,IFERROR(MATCH(IF($B828="Robusta","Robusta",(IF($B828="","Arabica",$B828))&amp;" - "&amp;(IF($C828="","Commercial",$C828))),Variables!$B$1:$D$1,0),1))*BD828/365)+(L828/16.67*INDEX(Variables!$B$8:$D$8,IFERROR(MATCH(IF($B828="Robusta","Robusta",(IF($B828="","Arabica",$B828))&amp;" - "&amp;(IF($C828="","Commercial",$C828))),Variables!$B$1:$D$1,0),1))*BD828)+(W828*INDEX(Variables!$B$9:$D$9,IFERROR(MATCH(IF($B828="Robusta","Robusta",(IF($B828="","Arabica",$B828))&amp;" - "&amp;(IF($C828="","Commercial",$C828))),Variables!$B$1:$D$1,0),1))*BD828/365),""))</f>
        <v>-499.57092047636286</v>
      </c>
      <c r="BJ828" s="44">
        <f t="shared" si="38"/>
        <v>-29</v>
      </c>
      <c r="BK828" s="44">
        <f>IF($AX828="Cancelled","",IFERROR(IF(BJ828="","",(W828*INDEX(Variables!$B$7:$D$7,IFERROR(MATCH(IF($B828="Robusta","Robusta",(IF($B828="","Arabica",$B828))&amp;" - "&amp;(IF($C828="","Commercial",$C828))),Variables!$B$1:$D$1,0),1))*(BJ828/365))+(W828*INDEX(Variables!$B$9:$D$9,IFERROR(MATCH(IF($B828="Robusta","Robusta",(IF($B828="","Arabica",$B828))&amp;" - "&amp;(IF($C828="","Commercial",$C828))),Variables!$B$1:$D$1,0),1))*(BJ828/365))+(INDEX(Variables!$B$8:$D$8,IFERROR(MATCH(IF($B828="Robusta","Robusta",(IF($B828="","Arabica",$B828))&amp;" - "&amp;(IF($C828="","Commercial",$C828))),Variables!$B$1:$D$1,0),1))*L828/16.67)),""))</f>
        <v>-777.0506085285931</v>
      </c>
    </row>
    <row r="829" spans="1:63">
      <c r="A829" s="13" t="s">
        <v>103</v>
      </c>
      <c r="B829" s="13" t="s">
        <v>104</v>
      </c>
      <c r="C829" s="13" t="s">
        <v>105</v>
      </c>
      <c r="D829" s="31">
        <v>46064</v>
      </c>
      <c r="E829" s="31">
        <v>46235</v>
      </c>
      <c r="F829" s="31">
        <v>46265</v>
      </c>
      <c r="G829" s="13">
        <v>3787260</v>
      </c>
      <c r="J829" s="13" t="s">
        <v>118</v>
      </c>
      <c r="K829" s="13">
        <v>5607</v>
      </c>
      <c r="L829" s="13">
        <v>720</v>
      </c>
      <c r="M829" s="13">
        <v>2</v>
      </c>
      <c r="N829" s="13" t="s">
        <v>2185</v>
      </c>
      <c r="O829" s="13" t="s">
        <v>1205</v>
      </c>
      <c r="P829" s="13">
        <v>10045</v>
      </c>
      <c r="Q829" s="13" t="s">
        <v>745</v>
      </c>
      <c r="R829" s="13" t="s">
        <v>122</v>
      </c>
      <c r="S829" s="13" t="s">
        <v>816</v>
      </c>
      <c r="T829" s="13" t="s">
        <v>817</v>
      </c>
      <c r="U829" s="13" t="s">
        <v>125</v>
      </c>
      <c r="V829" s="23">
        <v>31</v>
      </c>
      <c r="W829" s="44">
        <f>IF($AX829="Cancelled","",IFERROR(((V829+INDEX(Variables!$B$6:$D$6,IFERROR(MATCH(IF($B829="Robusta","Robusta",(IF($B829="","Arabica",$B829))&amp;" - "&amp;(IF($C829="","Commercial",$C829))),Variables!$B$1:$D$1,0),1)))*22.0462)*(L829/16.67),""))</f>
        <v>306419.69737252546</v>
      </c>
      <c r="X829" s="55" t="s">
        <v>37</v>
      </c>
      <c r="Y829" s="13" t="str">
        <f>IF($AX829="Cancelled","",IF(X829="","",IFERROR(IF(INDEX(Variables!$B$38:$B$47,MATCH(X829,Variables!$A$38:$A$47,0))="Yes","Yes","No"),"No")))</f>
        <v>Yes</v>
      </c>
      <c r="Z829" s="58">
        <v>46217</v>
      </c>
      <c r="AB829" s="31">
        <v>46231</v>
      </c>
      <c r="AC829" s="13" t="str">
        <f t="shared" si="37"/>
        <v>Approved</v>
      </c>
      <c r="AF829" s="71">
        <v>46239</v>
      </c>
      <c r="AG829" s="37">
        <f>IF($AX829="Cancelled","",IFERROR(IF(F829="","",F829-Variables!$B$13),""))</f>
        <v>46250</v>
      </c>
      <c r="AH829" s="13">
        <f>IF($AX829="Cancelled","",IFERROR(IF(AB829="","",(AVERAGE(E829:F829)-AB829)-Variables!$B$14),""))</f>
        <v>-11</v>
      </c>
      <c r="AJ829" s="47">
        <v>46240</v>
      </c>
      <c r="AK829" s="14">
        <f>IF($AX829="Cancelled","",IFERROR(IF(AJ829="","",IF(AND(AB829="",AF829=""),"",IF(AF829&gt;AB829,AF829+Variables!$B$15+Variables!$B$16+Variables!$B$17-AJ829,AB829+Variables!$B$16+Variables!$B$17-AJ829))),""))</f>
        <v>14</v>
      </c>
      <c r="AL829" s="48" t="s">
        <v>114</v>
      </c>
      <c r="AM829" s="13" t="s">
        <v>115</v>
      </c>
      <c r="AN829" s="13" t="s">
        <v>2189</v>
      </c>
      <c r="AP829" s="31">
        <v>46257</v>
      </c>
      <c r="AR829" s="13">
        <v>275333306</v>
      </c>
      <c r="AS829" s="31">
        <v>46257</v>
      </c>
      <c r="AU829" s="39">
        <v>46286</v>
      </c>
      <c r="AV829" s="13" t="s">
        <v>865</v>
      </c>
      <c r="AW829" s="39">
        <v>46286</v>
      </c>
      <c r="AX829" s="13" t="str">
        <f>IF(ISNUMBER(SEARCH("cancel",#REF!)),"Cancelled",IF(AND(AS829&lt;&gt;"",AU829&lt;&gt;"",AW829&lt;&gt;""),"Closed","Open"))</f>
        <v>Closed</v>
      </c>
      <c r="AY829" s="15" t="str">
        <f t="shared" si="36"/>
        <v>All dates received</v>
      </c>
      <c r="BD829" s="13">
        <f>IF($AX829="Cancelled","",IFERROR(IF(OR(AS829="",AJ829=""),"",(AJ829+Variables!$B$18-AS829)),""))</f>
        <v>-2</v>
      </c>
      <c r="BE829" s="13">
        <f>IF($AX829="Cancelled","",IFERROR(IF(OR(AW829="",AS829=""),"",(AS829+Variables!$B$19)-AW829),""))</f>
        <v>-24</v>
      </c>
      <c r="BF829" s="44">
        <f>IF($AX829="Cancelled","",IFERROR(W829*INDEX(Variables!$B$7:$D$7,IFERROR(MATCH(IF($B829="Robusta","Robusta",(IF($B829="","Arabica",$B829))&amp;" - "&amp;(IF($C829="","Commercial",$C829))),Variables!$B$1:$D$1,0),1))*(BE829/365),""))</f>
        <v>-1299.1966822957586</v>
      </c>
      <c r="BG829" s="44">
        <f>IF($AX829="Cancelled","",IFERROR((W829*INDEX(Variables!$B$7:$D$7,IFERROR(MATCH(IF($B829="Robusta","Robusta",(IF($B829="","Arabica",$B829))&amp;" - "&amp;(IF($C829="","Commercial",$C829))),Variables!$B$1:$D$1,0),1))*IFERROR(IF(AB829="","",(AVERAGE(E829:F829)-AB829)-Variables!$B$14),"")/365)+(L829/16.67*INDEX(Variables!$B$8:$D$8,IFERROR(MATCH(IF($B829="Robusta","Robusta",(IF($B829="","Arabica",$B829))&amp;" - "&amp;(IF($C829="","Commercial",$C829))),Variables!$B$1:$D$1,0),1))*IFERROR(IF(AB829="","",(AVERAGE(E829:F829)-AB829)-Variables!$B$14),""))+(W829*INDEX(Variables!$B$9:$D$9,IFERROR(MATCH(IF($B829="Robusta","Robusta",(IF($B829="","Arabica",$B829))&amp;" - "&amp;(IF($C829="","Commercial",$C829))),Variables!$B$1:$D$1,0),1))*IFERROR(IF(AB829="","",(AVERAGE(E829:F829)-AB829)-Variables!$B$14),"")/365),""))</f>
        <v>-999.14184095272572</v>
      </c>
      <c r="BH829" s="44">
        <f>IF($AX829="Cancelled","",IFERROR((W829*INDEX(Variables!$B$7:$D$7,IFERROR(MATCH(IF($B829="Robusta","Robusta",(IF($B829="","Arabica",$B829))&amp;" - "&amp;(IF($C829="","Commercial",$C829))),Variables!$B$1:$D$1,0),1))*AK829/365)+(L829/16.67*INDEX(Variables!$B$8:$D$8,IFERROR(MATCH(IF($B829="Robusta","Robusta",(IF($B829="","Arabica",$B829))&amp;" - "&amp;(IF($C829="","Commercial",$C829))),Variables!$B$1:$D$1,0),1))*AK829)+(W829*INDEX(Variables!$B$9:$D$9,IFERROR(MATCH(IF($B829="Robusta","Robusta",(IF($B829="","Arabica",$B829))&amp;" - "&amp;(IF($C829="","Commercial",$C829))),Variables!$B$1:$D$1,0),1))*AK829/365),""))</f>
        <v>1271.6350703034691</v>
      </c>
      <c r="BI829" s="44">
        <f>IF($AX829="Cancelled","",IFERROR((W829*INDEX(Variables!$B$7:$D$7,IFERROR(MATCH(IF($B829="Robusta","Robusta",(IF($B829="","Arabica",$B829))&amp;" - "&amp;(IF($C829="","Commercial",$C829))),Variables!$B$1:$D$1,0),1))*BD829/365)+(L829/16.67*INDEX(Variables!$B$8:$D$8,IFERROR(MATCH(IF($B829="Robusta","Robusta",(IF($B829="","Arabica",$B829))&amp;" - "&amp;(IF($C829="","Commercial",$C829))),Variables!$B$1:$D$1,0),1))*BD829)+(W829*INDEX(Variables!$B$9:$D$9,IFERROR(MATCH(IF($B829="Robusta","Robusta",(IF($B829="","Arabica",$B829))&amp;" - "&amp;(IF($C829="","Commercial",$C829))),Variables!$B$1:$D$1,0),1))*BD829/365),""))</f>
        <v>-181.66215290049558</v>
      </c>
      <c r="BJ829" s="44">
        <f t="shared" si="38"/>
        <v>8</v>
      </c>
      <c r="BK829" s="44">
        <f>IF($AX829="Cancelled","",IFERROR(IF(BJ829="","",(W829*INDEX(Variables!$B$7:$D$7,IFERROR(MATCH(IF($B829="Robusta","Robusta",(IF($B829="","Arabica",$B829))&amp;" - "&amp;(IF($C829="","Commercial",$C829))),Variables!$B$1:$D$1,0),1))*(BJ829/365))+(W829*INDEX(Variables!$B$9:$D$9,IFERROR(MATCH(IF($B829="Robusta","Robusta",(IF($B829="","Arabica",$B829))&amp;" - "&amp;(IF($C829="","Commercial",$C829))),Variables!$B$1:$D$1,0),1))*(BJ829/365))+(INDEX(Variables!$B$8:$D$8,IFERROR(MATCH(IF($B829="Robusta","Robusta",(IF($B829="","Arabica",$B829))&amp;" - "&amp;(IF($C829="","Commercial",$C829))),Variables!$B$1:$D$1,0),1))*L829/16.67)),""))</f>
        <v>474.6486116019824</v>
      </c>
    </row>
    <row r="830" spans="1:63">
      <c r="A830" s="13" t="s">
        <v>103</v>
      </c>
      <c r="B830" s="13" t="s">
        <v>104</v>
      </c>
      <c r="C830" s="13" t="s">
        <v>105</v>
      </c>
      <c r="D830" s="31">
        <v>46065</v>
      </c>
      <c r="E830" s="31">
        <v>46143</v>
      </c>
      <c r="F830" s="31">
        <v>46173</v>
      </c>
      <c r="G830" s="13">
        <v>3787261</v>
      </c>
      <c r="J830" s="13" t="s">
        <v>236</v>
      </c>
      <c r="K830" s="13">
        <v>5528</v>
      </c>
      <c r="L830" s="13">
        <v>640</v>
      </c>
      <c r="M830" s="13">
        <v>2</v>
      </c>
      <c r="N830" s="13" t="s">
        <v>2123</v>
      </c>
      <c r="O830" s="13" t="s">
        <v>355</v>
      </c>
      <c r="P830" s="13">
        <v>10060</v>
      </c>
      <c r="R830" s="13" t="s">
        <v>239</v>
      </c>
      <c r="S830" s="13" t="s">
        <v>2190</v>
      </c>
      <c r="T830" s="13" t="s">
        <v>253</v>
      </c>
      <c r="U830" s="13" t="s">
        <v>182</v>
      </c>
      <c r="V830" s="23">
        <v>45</v>
      </c>
      <c r="W830" s="44">
        <f>IF($AX830="Cancelled","",IFERROR(((V830+INDEX(Variables!$B$6:$D$6,IFERROR(MATCH(IF($B830="Robusta","Robusta",(IF($B830="","Arabica",$B830))&amp;" - "&amp;(IF($C830="","Commercial",$C830))),Variables!$B$1:$D$1,0),1)))*22.0462)*(L830/16.67),""))</f>
        <v>284222.7315176964</v>
      </c>
      <c r="X830" s="55" t="s">
        <v>37</v>
      </c>
      <c r="Y830" s="13" t="str">
        <f>IF($AX830="Cancelled","",IF(X830="","",IFERROR(IF(INDEX(Variables!$B$38:$B$47,MATCH(X830,Variables!$A$38:$A$47,0))="Yes","Yes","No"),"No")))</f>
        <v>Yes</v>
      </c>
      <c r="Z830" s="58">
        <v>46101</v>
      </c>
      <c r="AB830" s="31">
        <v>46105</v>
      </c>
      <c r="AC830" s="13" t="str">
        <f t="shared" si="37"/>
        <v>Approved</v>
      </c>
      <c r="AF830" s="71">
        <v>46188</v>
      </c>
      <c r="AG830" s="37">
        <f>IF($AX830="Cancelled","",IFERROR(IF(F830="","",F830-Variables!$B$13),""))</f>
        <v>46158</v>
      </c>
      <c r="AH830" s="13">
        <f>IF($AX830="Cancelled","",IFERROR(IF(AB830="","",(AVERAGE(E830:F830)-AB830)-Variables!$B$14),""))</f>
        <v>23</v>
      </c>
      <c r="AJ830" s="47">
        <v>46192</v>
      </c>
      <c r="AK830" s="14">
        <f>IF($AX830="Cancelled","",IFERROR(IF(AJ830="","",IF(AND(AB830="",AF830=""),"",IF(AF830&gt;AB830,AF830+Variables!$B$15+Variables!$B$16+Variables!$B$17-AJ830,AB830+Variables!$B$16+Variables!$B$17-AJ830))),""))</f>
        <v>11</v>
      </c>
      <c r="AL830" s="48" t="s">
        <v>114</v>
      </c>
      <c r="AM830" s="13" t="s">
        <v>1482</v>
      </c>
      <c r="AN830" s="13" t="s">
        <v>2191</v>
      </c>
      <c r="AP830" s="31">
        <v>46213</v>
      </c>
      <c r="AR830" s="13" t="s">
        <v>2192</v>
      </c>
      <c r="AS830" s="31">
        <v>46213</v>
      </c>
      <c r="AU830" s="31">
        <v>46232</v>
      </c>
      <c r="AV830" s="13" t="e">
        <v>#REF!</v>
      </c>
      <c r="AW830" s="31">
        <v>46232</v>
      </c>
      <c r="AX830" s="13" t="str">
        <f>IF(ISNUMBER(SEARCH("cancel",#REF!)),"Cancelled",IF(AND(AS830&lt;&gt;"",AU830&lt;&gt;"",AW830&lt;&gt;""),"Closed","Open"))</f>
        <v>Closed</v>
      </c>
      <c r="AY830" s="15" t="str">
        <f t="shared" si="36"/>
        <v>All dates received</v>
      </c>
      <c r="BD830" s="13">
        <f>IF($AX830="Cancelled","",IFERROR(IF(OR(AS830="",AJ830=""),"",(AJ830+Variables!$B$18-AS830)),""))</f>
        <v>-6</v>
      </c>
      <c r="BE830" s="13">
        <f>IF($AX830="Cancelled","",IFERROR(IF(OR(AW830="",AS830=""),"",(AS830+Variables!$B$19)-AW830),""))</f>
        <v>-14</v>
      </c>
      <c r="BF830" s="44">
        <f>IF($AX830="Cancelled","",IFERROR(W830*INDEX(Variables!$B$7:$D$7,IFERROR(MATCH(IF($B830="Robusta","Robusta",(IF($B830="","Arabica",$B830))&amp;" - "&amp;(IF($C830="","Commercial",$C830))),Variables!$B$1:$D$1,0),1))*(BE830/365),""))</f>
        <v>-702.96520070078259</v>
      </c>
      <c r="BG830" s="44">
        <f>IF($AX830="Cancelled","",IFERROR((W830*INDEX(Variables!$B$7:$D$7,IFERROR(MATCH(IF($B830="Robusta","Robusta",(IF($B830="","Arabica",$B830))&amp;" - "&amp;(IF($C830="","Commercial",$C830))),Variables!$B$1:$D$1,0),1))*IFERROR(IF(AB830="","",(AVERAGE(E830:F830)-AB830)-Variables!$B$14),"")/365)+(L830/16.67*INDEX(Variables!$B$8:$D$8,IFERROR(MATCH(IF($B830="Robusta","Robusta",(IF($B830="","Arabica",$B830))&amp;" - "&amp;(IF($C830="","Commercial",$C830))),Variables!$B$1:$D$1,0),1))*IFERROR(IF(AB830="","",(AVERAGE(E830:F830)-AB830)-Variables!$B$14),""))+(W830*INDEX(Variables!$B$9:$D$9,IFERROR(MATCH(IF($B830="Robusta","Robusta",(IF($B830="","Arabica",$B830))&amp;" - "&amp;(IF($C830="","Commercial",$C830))),Variables!$B$1:$D$1,0),1))*IFERROR(IF(AB830="","",(AVERAGE(E830:F830)-AB830)-Variables!$B$14),"")/365),""))</f>
        <v>1905.7599222590807</v>
      </c>
      <c r="BH830" s="44">
        <f>IF($AX830="Cancelled","",IFERROR((W830*INDEX(Variables!$B$7:$D$7,IFERROR(MATCH(IF($B830="Robusta","Robusta",(IF($B830="","Arabica",$B830))&amp;" - "&amp;(IF($C830="","Commercial",$C830))),Variables!$B$1:$D$1,0),1))*AK830/365)+(L830/16.67*INDEX(Variables!$B$8:$D$8,IFERROR(MATCH(IF($B830="Robusta","Robusta",(IF($B830="","Arabica",$B830))&amp;" - "&amp;(IF($C830="","Commercial",$C830))),Variables!$B$1:$D$1,0),1))*AK830)+(W830*INDEX(Variables!$B$9:$D$9,IFERROR(MATCH(IF($B830="Robusta","Robusta",(IF($B830="","Arabica",$B830))&amp;" - "&amp;(IF($C830="","Commercial",$C830))),Variables!$B$1:$D$1,0),1))*AK830/365),""))</f>
        <v>911.45039760216901</v>
      </c>
      <c r="BI830" s="44">
        <f>IF($AX830="Cancelled","",IFERROR((W830*INDEX(Variables!$B$7:$D$7,IFERROR(MATCH(IF($B830="Robusta","Robusta",(IF($B830="","Arabica",$B830))&amp;" - "&amp;(IF($C830="","Commercial",$C830))),Variables!$B$1:$D$1,0),1))*BD830/365)+(L830/16.67*INDEX(Variables!$B$8:$D$8,IFERROR(MATCH(IF($B830="Robusta","Robusta",(IF($B830="","Arabica",$B830))&amp;" - "&amp;(IF($C830="","Commercial",$C830))),Variables!$B$1:$D$1,0),1))*BD830)+(W830*INDEX(Variables!$B$9:$D$9,IFERROR(MATCH(IF($B830="Robusta","Robusta",(IF($B830="","Arabica",$B830))&amp;" - "&amp;(IF($C830="","Commercial",$C830))),Variables!$B$1:$D$1,0),1))*BD830/365),""))</f>
        <v>-497.15476232845583</v>
      </c>
      <c r="BJ830" s="44">
        <f t="shared" si="38"/>
        <v>-40</v>
      </c>
      <c r="BK830" s="44">
        <f>IF($AX830="Cancelled","",IFERROR(IF(BJ830="","",(W830*INDEX(Variables!$B$7:$D$7,IFERROR(MATCH(IF($B830="Robusta","Robusta",(IF($B830="","Arabica",$B830))&amp;" - "&amp;(IF($C830="","Commercial",$C830))),Variables!$B$1:$D$1,0),1))*(BJ830/365))+(W830*INDEX(Variables!$B$9:$D$9,IFERROR(MATCH(IF($B830="Robusta","Robusta",(IF($B830="","Arabica",$B830))&amp;" - "&amp;(IF($C830="","Commercial",$C830))),Variables!$B$1:$D$1,0),1))*(BJ830/365))+(INDEX(Variables!$B$8:$D$8,IFERROR(MATCH(IF($B830="Robusta","Robusta",(IF($B830="","Arabica",$B830))&amp;" - "&amp;(IF($C830="","Commercial",$C830))),Variables!$B$1:$D$1,0),1))*L830/16.67)),""))</f>
        <v>-2002.3650821897056</v>
      </c>
    </row>
    <row r="831" spans="1:63">
      <c r="A831" s="13" t="s">
        <v>103</v>
      </c>
      <c r="B831" s="13" t="s">
        <v>104</v>
      </c>
      <c r="C831" s="13" t="s">
        <v>105</v>
      </c>
      <c r="D831" s="31">
        <v>46065</v>
      </c>
      <c r="E831" s="31">
        <v>46143</v>
      </c>
      <c r="F831" s="31">
        <v>46173</v>
      </c>
      <c r="G831" s="13">
        <v>3787262</v>
      </c>
      <c r="H831" s="13">
        <v>5487</v>
      </c>
      <c r="J831" s="13" t="s">
        <v>415</v>
      </c>
      <c r="K831" s="13">
        <v>5487</v>
      </c>
      <c r="L831" s="13">
        <v>320</v>
      </c>
      <c r="M831" s="13">
        <v>1</v>
      </c>
      <c r="N831" s="13" t="s">
        <v>1325</v>
      </c>
      <c r="O831" s="13" t="s">
        <v>355</v>
      </c>
      <c r="P831" s="13">
        <v>10060</v>
      </c>
      <c r="R831" s="13" t="s">
        <v>110</v>
      </c>
      <c r="S831" s="13" t="s">
        <v>372</v>
      </c>
      <c r="T831" s="13" t="s">
        <v>373</v>
      </c>
      <c r="U831" s="13" t="s">
        <v>125</v>
      </c>
      <c r="V831" s="23">
        <v>38</v>
      </c>
      <c r="W831" s="44">
        <f>IF($AX831="Cancelled","",IFERROR(((V831+INDEX(Variables!$B$6:$D$6,IFERROR(MATCH(IF($B831="Robusta","Robusta",(IF($B831="","Arabica",$B831))&amp;" - "&amp;(IF($C831="","Commercial",$C831))),Variables!$B$1:$D$1,0),1)))*22.0462)*(L831/16.67),""))</f>
        <v>139148.94896220753</v>
      </c>
      <c r="X831" s="55" t="s">
        <v>37</v>
      </c>
      <c r="Y831" s="13" t="str">
        <f>IF($AX831="Cancelled","",IF(X831="","",IFERROR(IF(INDEX(Variables!$B$38:$B$47,MATCH(X831,Variables!$A$38:$A$47,0))="Yes","Yes","No"),"No")))</f>
        <v>Yes</v>
      </c>
      <c r="Z831" s="58">
        <v>46107</v>
      </c>
      <c r="AB831" s="31">
        <v>46118</v>
      </c>
      <c r="AC831" s="13" t="str">
        <f t="shared" si="37"/>
        <v>Approved</v>
      </c>
      <c r="AF831" s="71">
        <v>46142</v>
      </c>
      <c r="AG831" s="37">
        <f>IF($AX831="Cancelled","",IFERROR(IF(F831="","",F831-Variables!$B$13),""))</f>
        <v>46158</v>
      </c>
      <c r="AH831" s="13">
        <f>IF($AX831="Cancelled","",IFERROR(IF(AB831="","",(AVERAGE(E831:F831)-AB831)-Variables!$B$14),""))</f>
        <v>10</v>
      </c>
      <c r="AJ831" s="47">
        <v>46150</v>
      </c>
      <c r="AK831" s="14">
        <f>IF($AX831="Cancelled","",IFERROR(IF(AJ831="","",IF(AND(AB831="",AF831=""),"",IF(AF831&gt;AB831,AF831+Variables!$B$15+Variables!$B$16+Variables!$B$17-AJ831,AB831+Variables!$B$16+Variables!$B$17-AJ831))),""))</f>
        <v>7</v>
      </c>
      <c r="AL831" s="48" t="s">
        <v>114</v>
      </c>
      <c r="AM831" s="13" t="s">
        <v>1526</v>
      </c>
      <c r="AN831" s="13" t="s">
        <v>2193</v>
      </c>
      <c r="AP831" s="31">
        <v>46157</v>
      </c>
      <c r="AR831" s="13">
        <v>928069</v>
      </c>
      <c r="AS831" s="31">
        <v>46157</v>
      </c>
      <c r="AU831" s="31">
        <v>46190</v>
      </c>
      <c r="AV831" s="13" t="e">
        <v>#REF!</v>
      </c>
      <c r="AW831" s="31">
        <v>46190</v>
      </c>
      <c r="AX831" s="13" t="str">
        <f>IF(ISNUMBER(SEARCH("cancel",#REF!)),"Cancelled",IF(AND(AS831&lt;&gt;"",AU831&lt;&gt;"",AW831&lt;&gt;""),"Closed","Open"))</f>
        <v>Closed</v>
      </c>
      <c r="AY831" s="15" t="str">
        <f t="shared" si="36"/>
        <v>All dates received</v>
      </c>
      <c r="BD831" s="13">
        <f>IF($AX831="Cancelled","",IFERROR(IF(OR(AS831="",AJ831=""),"",(AJ831+Variables!$B$18-AS831)),""))</f>
        <v>8</v>
      </c>
      <c r="BE831" s="13">
        <f>IF($AX831="Cancelled","",IFERROR(IF(OR(AW831="",AS831=""),"",(AS831+Variables!$B$19)-AW831),""))</f>
        <v>-28</v>
      </c>
      <c r="BF831" s="44">
        <f>IF($AX831="Cancelled","",IFERROR(W831*INDEX(Variables!$B$7:$D$7,IFERROR(MATCH(IF($B831="Robusta","Robusta",(IF($B831="","Arabica",$B831))&amp;" - "&amp;(IF($C831="","Commercial",$C831))),Variables!$B$1:$D$1,0),1))*(BE831/365),""))</f>
        <v>-688.31136983447686</v>
      </c>
      <c r="BG831" s="44">
        <f>IF($AX831="Cancelled","",IFERROR((W831*INDEX(Variables!$B$7:$D$7,IFERROR(MATCH(IF($B831="Robusta","Robusta",(IF($B831="","Arabica",$B831))&amp;" - "&amp;(IF($C831="","Commercial",$C831))),Variables!$B$1:$D$1,0),1))*IFERROR(IF(AB831="","",(AVERAGE(E831:F831)-AB831)-Variables!$B$14),"")/365)+(L831/16.67*INDEX(Variables!$B$8:$D$8,IFERROR(MATCH(IF($B831="Robusta","Robusta",(IF($B831="","Arabica",$B831))&amp;" - "&amp;(IF($C831="","Commercial",$C831))),Variables!$B$1:$D$1,0),1))*IFERROR(IF(AB831="","",(AVERAGE(E831:F831)-AB831)-Variables!$B$14),""))+(W831*INDEX(Variables!$B$9:$D$9,IFERROR(MATCH(IF($B831="Robusta","Robusta",(IF($B831="","Arabica",$B831))&amp;" - "&amp;(IF($C831="","Commercial",$C831))),Variables!$B$1:$D$1,0),1))*IFERROR(IF(AB831="","",(AVERAGE(E831:F831)-AB831)-Variables!$B$14),"")/365),""))</f>
        <v>408.99465419296274</v>
      </c>
      <c r="BH831" s="44">
        <f>IF($AX831="Cancelled","",IFERROR((W831*INDEX(Variables!$B$7:$D$7,IFERROR(MATCH(IF($B831="Robusta","Robusta",(IF($B831="","Arabica",$B831))&amp;" - "&amp;(IF($C831="","Commercial",$C831))),Variables!$B$1:$D$1,0),1))*AK831/365)+(L831/16.67*INDEX(Variables!$B$8:$D$8,IFERROR(MATCH(IF($B831="Robusta","Robusta",(IF($B831="","Arabica",$B831))&amp;" - "&amp;(IF($C831="","Commercial",$C831))),Variables!$B$1:$D$1,0),1))*AK831)+(W831*INDEX(Variables!$B$9:$D$9,IFERROR(MATCH(IF($B831="Robusta","Robusta",(IF($B831="","Arabica",$B831))&amp;" - "&amp;(IF($C831="","Commercial",$C831))),Variables!$B$1:$D$1,0),1))*AK831/365),""))</f>
        <v>286.29625793507398</v>
      </c>
      <c r="BI831" s="44">
        <f>IF($AX831="Cancelled","",IFERROR((W831*INDEX(Variables!$B$7:$D$7,IFERROR(MATCH(IF($B831="Robusta","Robusta",(IF($B831="","Arabica",$B831))&amp;" - "&amp;(IF($C831="","Commercial",$C831))),Variables!$B$1:$D$1,0),1))*BD831/365)+(L831/16.67*INDEX(Variables!$B$8:$D$8,IFERROR(MATCH(IF($B831="Robusta","Robusta",(IF($B831="","Arabica",$B831))&amp;" - "&amp;(IF($C831="","Commercial",$C831))),Variables!$B$1:$D$1,0),1))*BD831)+(W831*INDEX(Variables!$B$9:$D$9,IFERROR(MATCH(IF($B831="Robusta","Robusta",(IF($B831="","Arabica",$B831))&amp;" - "&amp;(IF($C831="","Commercial",$C831))),Variables!$B$1:$D$1,0),1))*BD831/365),""))</f>
        <v>327.19572335437022</v>
      </c>
      <c r="BJ831" s="44">
        <f t="shared" si="38"/>
        <v>16</v>
      </c>
      <c r="BK831" s="44">
        <f>IF($AX831="Cancelled","",IFERROR(IF(BJ831="","",(W831*INDEX(Variables!$B$7:$D$7,IFERROR(MATCH(IF($B831="Robusta","Robusta",(IF($B831="","Arabica",$B831))&amp;" - "&amp;(IF($C831="","Commercial",$C831))),Variables!$B$1:$D$1,0),1))*(BJ831/365))+(W831*INDEX(Variables!$B$9:$D$9,IFERROR(MATCH(IF($B831="Robusta","Robusta",(IF($B831="","Arabica",$B831))&amp;" - "&amp;(IF($C831="","Commercial",$C831))),Variables!$B$1:$D$1,0),1))*(BJ831/365))+(INDEX(Variables!$B$8:$D$8,IFERROR(MATCH(IF($B831="Robusta","Robusta",(IF($B831="","Arabica",$B831))&amp;" - "&amp;(IF($C831="","Commercial",$C831))),Variables!$B$1:$D$1,0),1))*L831/16.67)),""))</f>
        <v>414.39144670874043</v>
      </c>
    </row>
    <row r="832" spans="1:63">
      <c r="A832" s="13" t="s">
        <v>103</v>
      </c>
      <c r="B832" s="13" t="s">
        <v>104</v>
      </c>
      <c r="C832" s="13" t="s">
        <v>105</v>
      </c>
      <c r="D832" s="31">
        <v>46065</v>
      </c>
      <c r="E832" s="31">
        <v>46082</v>
      </c>
      <c r="F832" s="31">
        <v>46112</v>
      </c>
      <c r="G832" s="13">
        <v>3787263</v>
      </c>
      <c r="H832" s="13">
        <v>5428</v>
      </c>
      <c r="J832" s="13" t="s">
        <v>230</v>
      </c>
      <c r="K832" s="13">
        <v>5428</v>
      </c>
      <c r="L832" s="13">
        <v>1440</v>
      </c>
      <c r="M832" s="13">
        <v>4</v>
      </c>
      <c r="N832" s="13" t="s">
        <v>2048</v>
      </c>
      <c r="O832" s="13" t="s">
        <v>269</v>
      </c>
      <c r="P832" s="13">
        <v>10310</v>
      </c>
      <c r="Q832" s="13" t="s">
        <v>745</v>
      </c>
      <c r="R832" s="13" t="s">
        <v>122</v>
      </c>
      <c r="S832" s="13" t="s">
        <v>154</v>
      </c>
      <c r="T832" s="13" t="s">
        <v>155</v>
      </c>
      <c r="U832" s="13" t="s">
        <v>125</v>
      </c>
      <c r="V832" s="13">
        <v>79</v>
      </c>
      <c r="W832" s="44">
        <f>IF($AX832="Cancelled","",IFERROR(((V832+INDEX(Variables!$B$6:$D$6,IFERROR(MATCH(IF($B832="Robusta","Robusta",(IF($B832="","Arabica",$B832))&amp;" - "&amp;(IF($C832="","Commercial",$C832))),Variables!$B$1:$D$1,0),1)))*22.0462)*(L832/16.67),""))</f>
        <v>704251.11304139171</v>
      </c>
      <c r="X832" s="55" t="s">
        <v>37</v>
      </c>
      <c r="Y832" s="13" t="str">
        <f>IF($AX832="Cancelled","",IF(X832="","",IFERROR(IF(INDEX(Variables!$B$38:$B$47,MATCH(X832,Variables!$A$38:$A$47,0))="Yes","Yes","No"),"No")))</f>
        <v>Yes</v>
      </c>
      <c r="Z832" s="58">
        <v>46070</v>
      </c>
      <c r="AB832" s="31">
        <v>46079</v>
      </c>
      <c r="AC832" s="13" t="str">
        <f t="shared" si="37"/>
        <v>Approved</v>
      </c>
      <c r="AF832" s="71">
        <v>46086</v>
      </c>
      <c r="AG832" s="37">
        <f>IF($AX832="Cancelled","",IFERROR(IF(F832="","",F832-Variables!$B$13),""))</f>
        <v>46097</v>
      </c>
      <c r="AH832" s="13">
        <f>IF($AX832="Cancelled","",IFERROR(IF(AB832="","",(AVERAGE(E832:F832)-AB832)-Variables!$B$14),""))</f>
        <v>-12</v>
      </c>
      <c r="AJ832" s="47">
        <v>46089</v>
      </c>
      <c r="AK832" s="14">
        <f>IF($AX832="Cancelled","",IFERROR(IF(AJ832="","",IF(AND(AB832="",AF832=""),"",IF(AF832&gt;AB832,AF832+Variables!$B$15+Variables!$B$16+Variables!$B$17-AJ832,AB832+Variables!$B$16+Variables!$B$17-AJ832))),""))</f>
        <v>12</v>
      </c>
      <c r="AL832" s="48" t="s">
        <v>114</v>
      </c>
      <c r="AM832" s="13" t="s">
        <v>1526</v>
      </c>
      <c r="AN832" s="13" t="s">
        <v>2194</v>
      </c>
      <c r="AP832" s="31">
        <v>46103</v>
      </c>
      <c r="AR832" s="13" t="s">
        <v>2195</v>
      </c>
      <c r="AS832" s="31">
        <v>46103</v>
      </c>
      <c r="AU832" s="31">
        <v>46107</v>
      </c>
      <c r="AV832" s="13" t="s">
        <v>865</v>
      </c>
      <c r="AW832" s="31">
        <v>46107</v>
      </c>
      <c r="AX832" s="13" t="str">
        <f>IF(ISNUMBER(SEARCH("cancel",#REF!)),"Cancelled",IF(AND(AS832&lt;&gt;"",AU832&lt;&gt;"",AW832&lt;&gt;""),"Closed","Open"))</f>
        <v>Closed</v>
      </c>
      <c r="AY832" s="15" t="str">
        <f t="shared" ref="AY832:AY895" si="39">IF($AX832="Cancelled","",IF(AND(AS832&lt;&gt;"",AU832&lt;&gt;"",AW832&lt;&gt;""),"All dates received",_xlfn.TEXTJOIN(" and ",TRUE(),IF(AS832="","No sailing date",""),IF(AU832="","No shipping advice sent",""),IF(AW832="","No docs dispatch date",""))))</f>
        <v>All dates received</v>
      </c>
      <c r="BD832" s="13">
        <f>IF($AX832="Cancelled","",IFERROR(IF(OR(AS832="",AJ832=""),"",(AJ832+Variables!$B$18-AS832)),""))</f>
        <v>1</v>
      </c>
      <c r="BE832" s="13">
        <f>IF($AX832="Cancelled","",IFERROR(IF(OR(AW832="",AS832=""),"",(AS832+Variables!$B$19)-AW832),""))</f>
        <v>1</v>
      </c>
      <c r="BF832" s="44">
        <f>IF($AX832="Cancelled","",IFERROR(W832*INDEX(Variables!$B$7:$D$7,IFERROR(MATCH(IF($B832="Robusta","Robusta",(IF($B832="","Arabica",$B832))&amp;" - "&amp;(IF($C832="","Commercial",$C832))),Variables!$B$1:$D$1,0),1))*(BE832/365),""))</f>
        <v>124.41550992152776</v>
      </c>
      <c r="BG832" s="44">
        <f>IF($AX832="Cancelled","",IFERROR((W832*INDEX(Variables!$B$7:$D$7,IFERROR(MATCH(IF($B832="Robusta","Robusta",(IF($B832="","Arabica",$B832))&amp;" - "&amp;(IF($C832="","Commercial",$C832))),Variables!$B$1:$D$1,0),1))*IFERROR(IF(AB832="","",(AVERAGE(E832:F832)-AB832)-Variables!$B$14),"")/365)+(L832/16.67*INDEX(Variables!$B$8:$D$8,IFERROR(MATCH(IF($B832="Robusta","Robusta",(IF($B832="","Arabica",$B832))&amp;" - "&amp;(IF($C832="","Commercial",$C832))),Variables!$B$1:$D$1,0),1))*IFERROR(IF(AB832="","",(AVERAGE(E832:F832)-AB832)-Variables!$B$14),""))+(W832*INDEX(Variables!$B$9:$D$9,IFERROR(MATCH(IF($B832="Robusta","Robusta",(IF($B832="","Arabica",$B832))&amp;" - "&amp;(IF($C832="","Commercial",$C832))),Variables!$B$1:$D$1,0),1))*IFERROR(IF(AB832="","",(AVERAGE(E832:F832)-AB832)-Variables!$B$14),"")/365),""))</f>
        <v>-2376.2335913960201</v>
      </c>
      <c r="BH832" s="44">
        <f>IF($AX832="Cancelled","",IFERROR((W832*INDEX(Variables!$B$7:$D$7,IFERROR(MATCH(IF($B832="Robusta","Robusta",(IF($B832="","Arabica",$B832))&amp;" - "&amp;(IF($C832="","Commercial",$C832))),Variables!$B$1:$D$1,0),1))*AK832/365)+(L832/16.67*INDEX(Variables!$B$8:$D$8,IFERROR(MATCH(IF($B832="Robusta","Robusta",(IF($B832="","Arabica",$B832))&amp;" - "&amp;(IF($C832="","Commercial",$C832))),Variables!$B$1:$D$1,0),1))*AK832)+(W832*INDEX(Variables!$B$9:$D$9,IFERROR(MATCH(IF($B832="Robusta","Robusta",(IF($B832="","Arabica",$B832))&amp;" - "&amp;(IF($C832="","Commercial",$C832))),Variables!$B$1:$D$1,0),1))*AK832/365),""))</f>
        <v>2376.2335913960201</v>
      </c>
      <c r="BI832" s="44">
        <f>IF($AX832="Cancelled","",IFERROR((W832*INDEX(Variables!$B$7:$D$7,IFERROR(MATCH(IF($B832="Robusta","Robusta",(IF($B832="","Arabica",$B832))&amp;" - "&amp;(IF($C832="","Commercial",$C832))),Variables!$B$1:$D$1,0),1))*BD832/365)+(L832/16.67*INDEX(Variables!$B$8:$D$8,IFERROR(MATCH(IF($B832="Robusta","Robusta",(IF($B832="","Arabica",$B832))&amp;" - "&amp;(IF($C832="","Commercial",$C832))),Variables!$B$1:$D$1,0),1))*BD832)+(W832*INDEX(Variables!$B$9:$D$9,IFERROR(MATCH(IF($B832="Robusta","Robusta",(IF($B832="","Arabica",$B832))&amp;" - "&amp;(IF($C832="","Commercial",$C832))),Variables!$B$1:$D$1,0),1))*BD832/365),""))</f>
        <v>198.01946594966833</v>
      </c>
      <c r="BJ832" s="44">
        <f t="shared" si="38"/>
        <v>9</v>
      </c>
      <c r="BK832" s="44">
        <f>IF($AX832="Cancelled","",IFERROR(IF(BJ832="","",(W832*INDEX(Variables!$B$7:$D$7,IFERROR(MATCH(IF($B832="Robusta","Robusta",(IF($B832="","Arabica",$B832))&amp;" - "&amp;(IF($C832="","Commercial",$C832))),Variables!$B$1:$D$1,0),1))*(BJ832/365))+(W832*INDEX(Variables!$B$9:$D$9,IFERROR(MATCH(IF($B832="Robusta","Robusta",(IF($B832="","Arabica",$B832))&amp;" - "&amp;(IF($C832="","Commercial",$C832))),Variables!$B$1:$D$1,0),1))*(BJ832/365))+(INDEX(Variables!$B$8:$D$8,IFERROR(MATCH(IF($B832="Robusta","Robusta",(IF($B832="","Arabica",$B832))&amp;" - "&amp;(IF($C832="","Commercial",$C832))),Variables!$B$1:$D$1,0),1))*L832/16.67)),""))</f>
        <v>1206.1751935470149</v>
      </c>
    </row>
    <row r="833" spans="1:63">
      <c r="A833" s="13" t="s">
        <v>103</v>
      </c>
      <c r="B833" s="13" t="s">
        <v>104</v>
      </c>
      <c r="C833" s="13" t="s">
        <v>292</v>
      </c>
      <c r="D833" s="31">
        <v>46066</v>
      </c>
      <c r="E833" s="31">
        <v>46082</v>
      </c>
      <c r="F833" s="31">
        <v>46112</v>
      </c>
      <c r="G833" s="13">
        <v>3787264</v>
      </c>
      <c r="J833" s="13" t="s">
        <v>501</v>
      </c>
      <c r="K833" s="13" t="s">
        <v>2196</v>
      </c>
      <c r="L833" s="13">
        <v>47</v>
      </c>
      <c r="M833" s="13">
        <v>1</v>
      </c>
      <c r="N833" s="13" t="s">
        <v>2197</v>
      </c>
      <c r="O833" s="13" t="s">
        <v>297</v>
      </c>
      <c r="P833" s="13">
        <v>10020</v>
      </c>
      <c r="R833" s="13" t="s">
        <v>384</v>
      </c>
      <c r="S833" s="13" t="s">
        <v>437</v>
      </c>
      <c r="T833" s="13" t="s">
        <v>438</v>
      </c>
      <c r="U833" s="13" t="s">
        <v>182</v>
      </c>
      <c r="V833" s="23">
        <v>190</v>
      </c>
      <c r="W833" s="44">
        <f>IF($AX833="Cancelled","",IFERROR(((V833+INDEX(Variables!$B$6:$D$6,IFERROR(MATCH(IF($B833="Robusta","Robusta",(IF($B833="","Arabica",$B833))&amp;" - "&amp;(IF($C833="","Commercial",$C833))),Variables!$B$1:$D$1,0),1)))*22.0462)*(L833/16.67),""))</f>
        <v>29885.495448110374</v>
      </c>
      <c r="Y833" s="13" t="str">
        <f>IF($AX833="Cancelled","",IF(X833="","",IFERROR(IF(INDEX(Variables!$B$38:$B$47,MATCH(X833,Variables!$A$38:$A$47,0))="Yes","Yes","No"),"No")))</f>
        <v/>
      </c>
      <c r="Z833" s="31"/>
      <c r="AC833" s="13" t="str">
        <f t="shared" si="37"/>
        <v/>
      </c>
      <c r="AF833" s="71">
        <v>46158</v>
      </c>
      <c r="AG833" s="37">
        <f>IF($AX833="Cancelled","",IFERROR(IF(F833="","",F833-Variables!$B$13),""))</f>
        <v>46097</v>
      </c>
      <c r="AH833" s="13" t="str">
        <f>IF($AX833="Cancelled","",IFERROR(IF(AB833="","",(AVERAGE(E833:F833)-AB833)-Variables!$B$14),""))</f>
        <v/>
      </c>
      <c r="AJ833" s="47">
        <v>46165</v>
      </c>
      <c r="AK833" s="14">
        <f>IF($AX833="Cancelled","",IFERROR(IF(AJ833="","",IF(AND(AB833="",AF833=""),"",IF(AF833&gt;AB833,AF833+Variables!$B$15+Variables!$B$16+Variables!$B$17-AJ833,AB833+Variables!$B$16+Variables!$B$17-AJ833))),""))</f>
        <v>8</v>
      </c>
      <c r="AL833" s="48" t="s">
        <v>114</v>
      </c>
      <c r="AM833" s="13" t="s">
        <v>1781</v>
      </c>
      <c r="AN833" s="13" t="s">
        <v>2177</v>
      </c>
      <c r="AP833" s="31" t="e">
        <v>#N/A</v>
      </c>
      <c r="AR833" s="13" t="s">
        <v>2198</v>
      </c>
      <c r="AS833" s="31">
        <v>46179</v>
      </c>
      <c r="AU833" s="31">
        <v>46226</v>
      </c>
      <c r="AV833" s="13" t="s">
        <v>865</v>
      </c>
      <c r="AW833" s="31">
        <v>46226</v>
      </c>
      <c r="AX833" s="13" t="str">
        <f>IF(ISNUMBER(SEARCH("cancel",#REF!)),"Cancelled",IF(AND(AS833&lt;&gt;"",AU833&lt;&gt;"",AW833&lt;&gt;""),"Closed","Open"))</f>
        <v>Closed</v>
      </c>
      <c r="AY833" s="15" t="str">
        <f t="shared" si="39"/>
        <v>All dates received</v>
      </c>
      <c r="BD833" s="13">
        <f>IF($AX833="Cancelled","",IFERROR(IF(OR(AS833="",AJ833=""),"",(AJ833+Variables!$B$18-AS833)),""))</f>
        <v>1</v>
      </c>
      <c r="BE833" s="13">
        <f>IF($AX833="Cancelled","",IFERROR(IF(OR(AW833="",AS833=""),"",(AS833+Variables!$B$19)-AW833),""))</f>
        <v>-42</v>
      </c>
      <c r="BF833" s="44">
        <f>IF($AX833="Cancelled","",IFERROR(W833*INDEX(Variables!$B$7:$D$7,IFERROR(MATCH(IF($B833="Robusta","Robusta",(IF($B833="","Arabica",$B833))&amp;" - "&amp;(IF($C833="","Commercial",$C833))),Variables!$B$1:$D$1,0),1))*(BE833/365),""))</f>
        <v>-221.74647882886029</v>
      </c>
      <c r="BG833" s="44" t="str">
        <f>IF($AX833="Cancelled","",IFERROR((W833*INDEX(Variables!$B$7:$D$7,IFERROR(MATCH(IF($B833="Robusta","Robusta",(IF($B833="","Arabica",$B833))&amp;" - "&amp;(IF($C833="","Commercial",$C833))),Variables!$B$1:$D$1,0),1))*IFERROR(IF(AB833="","",(AVERAGE(E833:F833)-AB833)-Variables!$B$14),"")/365)+(L833/16.67*INDEX(Variables!$B$8:$D$8,IFERROR(MATCH(IF($B833="Robusta","Robusta",(IF($B833="","Arabica",$B833))&amp;" - "&amp;(IF($C833="","Commercial",$C833))),Variables!$B$1:$D$1,0),1))*IFERROR(IF(AB833="","",(AVERAGE(E833:F833)-AB833)-Variables!$B$14),""))+(W833*INDEX(Variables!$B$9:$D$9,IFERROR(MATCH(IF($B833="Robusta","Robusta",(IF($B833="","Arabica",$B833))&amp;" - "&amp;(IF($C833="","Commercial",$C833))),Variables!$B$1:$D$1,0),1))*IFERROR(IF(AB833="","",(AVERAGE(E833:F833)-AB833)-Variables!$B$14),"")/365),""))</f>
        <v/>
      </c>
      <c r="BH833" s="44">
        <f>IF($AX833="Cancelled","",IFERROR((W833*INDEX(Variables!$B$7:$D$7,IFERROR(MATCH(IF($B833="Robusta","Robusta",(IF($B833="","Arabica",$B833))&amp;" - "&amp;(IF($C833="","Commercial",$C833))),Variables!$B$1:$D$1,0),1))*AK833/365)+(L833/16.67*INDEX(Variables!$B$8:$D$8,IFERROR(MATCH(IF($B833="Robusta","Robusta",(IF($B833="","Arabica",$B833))&amp;" - "&amp;(IF($C833="","Commercial",$C833))),Variables!$B$1:$D$1,0),1))*AK833)+(W833*INDEX(Variables!$B$9:$D$9,IFERROR(MATCH(IF($B833="Robusta","Robusta",(IF($B833="","Arabica",$B833))&amp;" - "&amp;(IF($C833="","Commercial",$C833))),Variables!$B$1:$D$1,0),1))*AK833/365),""))</f>
        <v>61.581946453702081</v>
      </c>
      <c r="BI833" s="44">
        <f>IF($AX833="Cancelled","",IFERROR((W833*INDEX(Variables!$B$7:$D$7,IFERROR(MATCH(IF($B833="Robusta","Robusta",(IF($B833="","Arabica",$B833))&amp;" - "&amp;(IF($C833="","Commercial",$C833))),Variables!$B$1:$D$1,0),1))*BD833/365)+(L833/16.67*INDEX(Variables!$B$8:$D$8,IFERROR(MATCH(IF($B833="Robusta","Robusta",(IF($B833="","Arabica",$B833))&amp;" - "&amp;(IF($C833="","Commercial",$C833))),Variables!$B$1:$D$1,0),1))*BD833)+(W833*INDEX(Variables!$B$9:$D$9,IFERROR(MATCH(IF($B833="Robusta","Robusta",(IF($B833="","Arabica",$B833))&amp;" - "&amp;(IF($C833="","Commercial",$C833))),Variables!$B$1:$D$1,0),1))*BD833/365),""))</f>
        <v>7.6977433067127601</v>
      </c>
      <c r="BJ833" s="44">
        <f t="shared" si="38"/>
        <v>-67</v>
      </c>
      <c r="BK833" s="44">
        <f>IF($AX833="Cancelled","",IFERROR(IF(BJ833="","",(W833*INDEX(Variables!$B$7:$D$7,IFERROR(MATCH(IF($B833="Robusta","Robusta",(IF($B833="","Arabica",$B833))&amp;" - "&amp;(IF($C833="","Commercial",$C833))),Variables!$B$1:$D$1,0),1))*(BJ833/365))+(W833*INDEX(Variables!$B$9:$D$9,IFERROR(MATCH(IF($B833="Robusta","Robusta",(IF($B833="","Arabica",$B833))&amp;" - "&amp;(IF($C833="","Commercial",$C833))),Variables!$B$1:$D$1,0),1))*(BJ833/365))+(INDEX(Variables!$B$8:$D$8,IFERROR(MATCH(IF($B833="Robusta","Robusta",(IF($B833="","Arabica",$B833))&amp;" - "&amp;(IF($C833="","Commercial",$C833))),Variables!$B$1:$D$1,0),1))*L833/16.67)),""))</f>
        <v>-355.94880154975482</v>
      </c>
    </row>
    <row r="834" spans="1:63">
      <c r="A834" s="13" t="s">
        <v>103</v>
      </c>
      <c r="B834" s="13" t="s">
        <v>104</v>
      </c>
      <c r="C834" s="13" t="s">
        <v>292</v>
      </c>
      <c r="D834" s="31">
        <v>46066</v>
      </c>
      <c r="E834" s="31">
        <v>46082</v>
      </c>
      <c r="F834" s="31">
        <v>46112</v>
      </c>
      <c r="G834" s="13">
        <v>3787265</v>
      </c>
      <c r="J834" s="13" t="s">
        <v>501</v>
      </c>
      <c r="K834" s="13" t="s">
        <v>2199</v>
      </c>
      <c r="L834" s="13">
        <v>47</v>
      </c>
      <c r="M834" s="13">
        <v>0</v>
      </c>
      <c r="N834" s="13" t="s">
        <v>2200</v>
      </c>
      <c r="O834" s="13" t="s">
        <v>297</v>
      </c>
      <c r="P834" s="13">
        <v>10020</v>
      </c>
      <c r="R834" s="13" t="s">
        <v>384</v>
      </c>
      <c r="S834" s="13" t="s">
        <v>437</v>
      </c>
      <c r="T834" s="13" t="s">
        <v>438</v>
      </c>
      <c r="U834" s="13" t="s">
        <v>182</v>
      </c>
      <c r="V834" s="23">
        <v>178</v>
      </c>
      <c r="W834" s="44">
        <f>IF($AX834="Cancelled","",IFERROR(((V834+INDEX(Variables!$B$6:$D$6,IFERROR(MATCH(IF($B834="Robusta","Robusta",(IF($B834="","Arabica",$B834))&amp;" - "&amp;(IF($C834="","Commercial",$C834))),Variables!$B$1:$D$1,0),1)))*22.0462)*(L834/16.67),""))</f>
        <v>29139.601218956206</v>
      </c>
      <c r="Y834" s="13" t="str">
        <f>IF($AX834="Cancelled","",IF(X834="","",IFERROR(IF(INDEX(Variables!$B$38:$B$47,MATCH(X834,Variables!$A$38:$A$47,0))="Yes","Yes","No"),"No")))</f>
        <v/>
      </c>
      <c r="Z834" s="31"/>
      <c r="AC834" s="13" t="str">
        <f t="shared" ref="AC834:AC897" si="40">IF($AX834="Cancelled","",IF(ISNUMBER(AB834),"Approved",""))</f>
        <v/>
      </c>
      <c r="AF834" s="71">
        <v>46156</v>
      </c>
      <c r="AG834" s="37">
        <f>IF($AX834="Cancelled","",IFERROR(IF(F834="","",F834-Variables!$B$13),""))</f>
        <v>46097</v>
      </c>
      <c r="AH834" s="13" t="str">
        <f>IF($AX834="Cancelled","",IFERROR(IF(AB834="","",(AVERAGE(E834:F834)-AB834)-Variables!$B$14),""))</f>
        <v/>
      </c>
      <c r="AJ834" s="47">
        <v>46165</v>
      </c>
      <c r="AK834" s="14">
        <f>IF($AX834="Cancelled","",IFERROR(IF(AJ834="","",IF(AND(AB834="",AF834=""),"",IF(AF834&gt;AB834,AF834+Variables!$B$15+Variables!$B$16+Variables!$B$17-AJ834,AB834+Variables!$B$16+Variables!$B$17-AJ834))),""))</f>
        <v>6</v>
      </c>
      <c r="AL834" s="48" t="s">
        <v>114</v>
      </c>
      <c r="AM834" s="13" t="s">
        <v>1781</v>
      </c>
      <c r="AN834" s="13" t="s">
        <v>2177</v>
      </c>
      <c r="AP834" s="31" t="e">
        <v>#N/A</v>
      </c>
      <c r="AR834" s="13" t="s">
        <v>2198</v>
      </c>
      <c r="AS834" s="31">
        <v>46179</v>
      </c>
      <c r="AU834" s="31">
        <v>46226</v>
      </c>
      <c r="AV834" s="13" t="s">
        <v>865</v>
      </c>
      <c r="AW834" s="31">
        <v>46226</v>
      </c>
      <c r="AX834" s="13" t="str">
        <f>IF(ISNUMBER(SEARCH("cancel",#REF!)),"Cancelled",IF(AND(AS834&lt;&gt;"",AU834&lt;&gt;"",AW834&lt;&gt;""),"Closed","Open"))</f>
        <v>Closed</v>
      </c>
      <c r="AY834" s="15" t="str">
        <f t="shared" si="39"/>
        <v>All dates received</v>
      </c>
      <c r="BD834" s="13">
        <f>IF($AX834="Cancelled","",IFERROR(IF(OR(AS834="",AJ834=""),"",(AJ834+Variables!$B$18-AS834)),""))</f>
        <v>1</v>
      </c>
      <c r="BE834" s="13">
        <f>IF($AX834="Cancelled","",IFERROR(IF(OR(AW834="",AS834=""),"",(AS834+Variables!$B$19)-AW834),""))</f>
        <v>-42</v>
      </c>
      <c r="BF834" s="44">
        <f>IF($AX834="Cancelled","",IFERROR(W834*INDEX(Variables!$B$7:$D$7,IFERROR(MATCH(IF($B834="Robusta","Robusta",(IF($B834="","Arabica",$B834))&amp;" - "&amp;(IF($C834="","Commercial",$C834))),Variables!$B$1:$D$1,0),1))*(BE834/365),""))</f>
        <v>-216.21204092131802</v>
      </c>
      <c r="BG834" s="44" t="str">
        <f>IF($AX834="Cancelled","",IFERROR((W834*INDEX(Variables!$B$7:$D$7,IFERROR(MATCH(IF($B834="Robusta","Robusta",(IF($B834="","Arabica",$B834))&amp;" - "&amp;(IF($C834="","Commercial",$C834))),Variables!$B$1:$D$1,0),1))*IFERROR(IF(AB834="","",(AVERAGE(E834:F834)-AB834)-Variables!$B$14),"")/365)+(L834/16.67*INDEX(Variables!$B$8:$D$8,IFERROR(MATCH(IF($B834="Robusta","Robusta",(IF($B834="","Arabica",$B834))&amp;" - "&amp;(IF($C834="","Commercial",$C834))),Variables!$B$1:$D$1,0),1))*IFERROR(IF(AB834="","",(AVERAGE(E834:F834)-AB834)-Variables!$B$14),""))+(W834*INDEX(Variables!$B$9:$D$9,IFERROR(MATCH(IF($B834="Robusta","Robusta",(IF($B834="","Arabica",$B834))&amp;" - "&amp;(IF($C834="","Commercial",$C834))),Variables!$B$1:$D$1,0),1))*IFERROR(IF(AB834="","",(AVERAGE(E834:F834)-AB834)-Variables!$B$14),"")/365),""))</f>
        <v/>
      </c>
      <c r="BH834" s="44">
        <f>IF($AX834="Cancelled","",IFERROR((W834*INDEX(Variables!$B$7:$D$7,IFERROR(MATCH(IF($B834="Robusta","Robusta",(IF($B834="","Arabica",$B834))&amp;" - "&amp;(IF($C834="","Commercial",$C834))),Variables!$B$1:$D$1,0),1))*AK834/365)+(L834/16.67*INDEX(Variables!$B$8:$D$8,IFERROR(MATCH(IF($B834="Robusta","Robusta",(IF($B834="","Arabica",$B834))&amp;" - "&amp;(IF($C834="","Commercial",$C834))),Variables!$B$1:$D$1,0),1))*AK834)+(W834*INDEX(Variables!$B$9:$D$9,IFERROR(MATCH(IF($B834="Robusta","Robusta",(IF($B834="","Arabica",$B834))&amp;" - "&amp;(IF($C834="","Commercial",$C834))),Variables!$B$1:$D$1,0),1))*AK834/365),""))</f>
        <v>45.385633055577472</v>
      </c>
      <c r="BI834" s="44">
        <f>IF($AX834="Cancelled","",IFERROR((W834*INDEX(Variables!$B$7:$D$7,IFERROR(MATCH(IF($B834="Robusta","Robusta",(IF($B834="","Arabica",$B834))&amp;" - "&amp;(IF($C834="","Commercial",$C834))),Variables!$B$1:$D$1,0),1))*BD834/365)+(L834/16.67*INDEX(Variables!$B$8:$D$8,IFERROR(MATCH(IF($B834="Robusta","Robusta",(IF($B834="","Arabica",$B834))&amp;" - "&amp;(IF($C834="","Commercial",$C834))),Variables!$B$1:$D$1,0),1))*BD834)+(W834*INDEX(Variables!$B$9:$D$9,IFERROR(MATCH(IF($B834="Robusta","Robusta",(IF($B834="","Arabica",$B834))&amp;" - "&amp;(IF($C834="","Commercial",$C834))),Variables!$B$1:$D$1,0),1))*BD834/365),""))</f>
        <v>7.5642721759295792</v>
      </c>
      <c r="BJ834" s="44">
        <f t="shared" ref="BJ834:BJ897" si="41">IF($AX834="Cancelled","",IFERROR(IF(AS834="","",F834-AS834),""))</f>
        <v>-67</v>
      </c>
      <c r="BK834" s="44">
        <f>IF($AX834="Cancelled","",IFERROR(IF(BJ834="","",(W834*INDEX(Variables!$B$7:$D$7,IFERROR(MATCH(IF($B834="Robusta","Robusta",(IF($B834="","Arabica",$B834))&amp;" - "&amp;(IF($C834="","Commercial",$C834))),Variables!$B$1:$D$1,0),1))*(BJ834/365))+(W834*INDEX(Variables!$B$9:$D$9,IFERROR(MATCH(IF($B834="Robusta","Robusta",(IF($B834="","Arabica",$B834))&amp;" - "&amp;(IF($C834="","Commercial",$C834))),Variables!$B$1:$D$1,0),1))*(BJ834/365))+(INDEX(Variables!$B$8:$D$8,IFERROR(MATCH(IF($B834="Robusta","Robusta",(IF($B834="","Arabica",$B834))&amp;" - "&amp;(IF($C834="","Commercial",$C834))),Variables!$B$1:$D$1,0),1))*L834/16.67)),""))</f>
        <v>-347.0062357872817</v>
      </c>
    </row>
    <row r="835" spans="1:63">
      <c r="A835" s="13" t="s">
        <v>103</v>
      </c>
      <c r="B835" s="13" t="s">
        <v>104</v>
      </c>
      <c r="C835" s="13" t="s">
        <v>292</v>
      </c>
      <c r="D835" s="31">
        <v>46066</v>
      </c>
      <c r="E835" s="31">
        <v>46082</v>
      </c>
      <c r="F835" s="31">
        <v>46112</v>
      </c>
      <c r="G835" s="13">
        <v>3787266</v>
      </c>
      <c r="J835" s="13" t="s">
        <v>501</v>
      </c>
      <c r="K835" s="13" t="s">
        <v>2201</v>
      </c>
      <c r="L835" s="13">
        <v>84</v>
      </c>
      <c r="M835" s="13">
        <v>0</v>
      </c>
      <c r="N835" s="13" t="s">
        <v>2202</v>
      </c>
      <c r="O835" s="13" t="s">
        <v>297</v>
      </c>
      <c r="P835" s="13">
        <v>10020</v>
      </c>
      <c r="R835" s="13" t="s">
        <v>384</v>
      </c>
      <c r="S835" s="13" t="s">
        <v>437</v>
      </c>
      <c r="T835" s="13" t="s">
        <v>438</v>
      </c>
      <c r="U835" s="13" t="s">
        <v>182</v>
      </c>
      <c r="V835" s="23">
        <v>209</v>
      </c>
      <c r="W835" s="44">
        <f>IF($AX835="Cancelled","",IFERROR(((V835+INDEX(Variables!$B$6:$D$6,IFERROR(MATCH(IF($B835="Robusta","Robusta",(IF($B835="","Arabica",$B835))&amp;" - "&amp;(IF($C835="","Commercial",$C835))),Variables!$B$1:$D$1,0),1)))*22.0462)*(L835/16.67),""))</f>
        <v>55523.096811037787</v>
      </c>
      <c r="Y835" s="13" t="str">
        <f>IF($AX835="Cancelled","",IF(X835="","",IFERROR(IF(INDEX(Variables!$B$38:$B$47,MATCH(X835,Variables!$A$38:$A$47,0))="Yes","Yes","No"),"No")))</f>
        <v/>
      </c>
      <c r="Z835" s="31"/>
      <c r="AC835" s="13" t="str">
        <f t="shared" si="40"/>
        <v/>
      </c>
      <c r="AF835" s="71">
        <v>46158</v>
      </c>
      <c r="AG835" s="37">
        <f>IF($AX835="Cancelled","",IFERROR(IF(F835="","",F835-Variables!$B$13),""))</f>
        <v>46097</v>
      </c>
      <c r="AH835" s="13" t="str">
        <f>IF($AX835="Cancelled","",IFERROR(IF(AB835="","",(AVERAGE(E835:F835)-AB835)-Variables!$B$14),""))</f>
        <v/>
      </c>
      <c r="AJ835" s="47">
        <v>46165</v>
      </c>
      <c r="AK835" s="14">
        <f>IF($AX835="Cancelled","",IFERROR(IF(AJ835="","",IF(AND(AB835="",AF835=""),"",IF(AF835&gt;AB835,AF835+Variables!$B$15+Variables!$B$16+Variables!$B$17-AJ835,AB835+Variables!$B$16+Variables!$B$17-AJ835))),""))</f>
        <v>8</v>
      </c>
      <c r="AL835" s="48" t="s">
        <v>114</v>
      </c>
      <c r="AM835" s="13" t="s">
        <v>1781</v>
      </c>
      <c r="AN835" s="13" t="s">
        <v>2177</v>
      </c>
      <c r="AP835" s="31" t="e">
        <v>#N/A</v>
      </c>
      <c r="AR835" s="13" t="s">
        <v>2198</v>
      </c>
      <c r="AS835" s="31">
        <v>46179</v>
      </c>
      <c r="AU835" s="31">
        <v>46226</v>
      </c>
      <c r="AV835" s="13" t="s">
        <v>865</v>
      </c>
      <c r="AW835" s="31">
        <v>46226</v>
      </c>
      <c r="AX835" s="13" t="str">
        <f>IF(ISNUMBER(SEARCH("cancel",#REF!)),"Cancelled",IF(AND(AS835&lt;&gt;"",AU835&lt;&gt;"",AW835&lt;&gt;""),"Closed","Open"))</f>
        <v>Closed</v>
      </c>
      <c r="AY835" s="15" t="str">
        <f t="shared" si="39"/>
        <v>All dates received</v>
      </c>
      <c r="BD835" s="13">
        <f>IF($AX835="Cancelled","",IFERROR(IF(OR(AS835="",AJ835=""),"",(AJ835+Variables!$B$18-AS835)),""))</f>
        <v>1</v>
      </c>
      <c r="BE835" s="13">
        <f>IF($AX835="Cancelled","",IFERROR(IF(OR(AW835="",AS835=""),"",(AS835+Variables!$B$19)-AW835),""))</f>
        <v>-42</v>
      </c>
      <c r="BF835" s="44">
        <f>IF($AX835="Cancelled","",IFERROR(W835*INDEX(Variables!$B$7:$D$7,IFERROR(MATCH(IF($B835="Robusta","Robusta",(IF($B835="","Arabica",$B835))&amp;" - "&amp;(IF($C835="","Commercial",$C835))),Variables!$B$1:$D$1,0),1))*(BE835/365),""))</f>
        <v>-411.97413751760394</v>
      </c>
      <c r="BG835" s="44" t="str">
        <f>IF($AX835="Cancelled","",IFERROR((W835*INDEX(Variables!$B$7:$D$7,IFERROR(MATCH(IF($B835="Robusta","Robusta",(IF($B835="","Arabica",$B835))&amp;" - "&amp;(IF($C835="","Commercial",$C835))),Variables!$B$1:$D$1,0),1))*IFERROR(IF(AB835="","",(AVERAGE(E835:F835)-AB835)-Variables!$B$14),"")/365)+(L835/16.67*INDEX(Variables!$B$8:$D$8,IFERROR(MATCH(IF($B835="Robusta","Robusta",(IF($B835="","Arabica",$B835))&amp;" - "&amp;(IF($C835="","Commercial",$C835))),Variables!$B$1:$D$1,0),1))*IFERROR(IF(AB835="","",(AVERAGE(E835:F835)-AB835)-Variables!$B$14),""))+(W835*INDEX(Variables!$B$9:$D$9,IFERROR(MATCH(IF($B835="Robusta","Robusta",(IF($B835="","Arabica",$B835))&amp;" - "&amp;(IF($C835="","Commercial",$C835))),Variables!$B$1:$D$1,0),1))*IFERROR(IF(AB835="","",(AVERAGE(E835:F835)-AB835)-Variables!$B$14),"")/365),""))</f>
        <v/>
      </c>
      <c r="BH835" s="44">
        <f>IF($AX835="Cancelled","",IFERROR((W835*INDEX(Variables!$B$7:$D$7,IFERROR(MATCH(IF($B835="Robusta","Robusta",(IF($B835="","Arabica",$B835))&amp;" - "&amp;(IF($C835="","Commercial",$C835))),Variables!$B$1:$D$1,0),1))*AK835/365)+(L835/16.67*INDEX(Variables!$B$8:$D$8,IFERROR(MATCH(IF($B835="Robusta","Robusta",(IF($B835="","Arabica",$B835))&amp;" - "&amp;(IF($C835="","Commercial",$C835))),Variables!$B$1:$D$1,0),1))*AK835)+(W835*INDEX(Variables!$B$9:$D$9,IFERROR(MATCH(IF($B835="Robusta","Robusta",(IF($B835="","Arabica",$B835))&amp;" - "&amp;(IF($C835="","Commercial",$C835))),Variables!$B$1:$D$1,0),1))*AK835/365),""))</f>
        <v>113.08291032477187</v>
      </c>
      <c r="BI835" s="44">
        <f>IF($AX835="Cancelled","",IFERROR((W835*INDEX(Variables!$B$7:$D$7,IFERROR(MATCH(IF($B835="Robusta","Robusta",(IF($B835="","Arabica",$B835))&amp;" - "&amp;(IF($C835="","Commercial",$C835))),Variables!$B$1:$D$1,0),1))*BD835/365)+(L835/16.67*INDEX(Variables!$B$8:$D$8,IFERROR(MATCH(IF($B835="Robusta","Robusta",(IF($B835="","Arabica",$B835))&amp;" - "&amp;(IF($C835="","Commercial",$C835))),Variables!$B$1:$D$1,0),1))*BD835)+(W835*INDEX(Variables!$B$9:$D$9,IFERROR(MATCH(IF($B835="Robusta","Robusta",(IF($B835="","Arabica",$B835))&amp;" - "&amp;(IF($C835="","Commercial",$C835))),Variables!$B$1:$D$1,0),1))*BD835/365),""))</f>
        <v>14.135363790596484</v>
      </c>
      <c r="BJ835" s="44">
        <f t="shared" si="41"/>
        <v>-67</v>
      </c>
      <c r="BK835" s="44">
        <f>IF($AX835="Cancelled","",IFERROR(IF(BJ835="","",(W835*INDEX(Variables!$B$7:$D$7,IFERROR(MATCH(IF($B835="Robusta","Robusta",(IF($B835="","Arabica",$B835))&amp;" - "&amp;(IF($C835="","Commercial",$C835))),Variables!$B$1:$D$1,0),1))*(BJ835/365))+(W835*INDEX(Variables!$B$9:$D$9,IFERROR(MATCH(IF($B835="Robusta","Robusta",(IF($B835="","Arabica",$B835))&amp;" - "&amp;(IF($C835="","Commercial",$C835))),Variables!$B$1:$D$1,0),1))*(BJ835/365))+(INDEX(Variables!$B$8:$D$8,IFERROR(MATCH(IF($B835="Robusta","Robusta",(IF($B835="","Arabica",$B835))&amp;" - "&amp;(IF($C835="","Commercial",$C835))),Variables!$B$1:$D$1,0),1))*L835/16.67)),""))</f>
        <v>-661.46937396996429</v>
      </c>
    </row>
    <row r="836" spans="1:63">
      <c r="A836" s="13" t="s">
        <v>103</v>
      </c>
      <c r="B836" s="13" t="s">
        <v>104</v>
      </c>
      <c r="C836" s="13" t="s">
        <v>292</v>
      </c>
      <c r="D836" s="31">
        <v>46066</v>
      </c>
      <c r="E836" s="31">
        <v>46054</v>
      </c>
      <c r="F836" s="31">
        <v>46081</v>
      </c>
      <c r="G836" s="13">
        <v>3787267</v>
      </c>
      <c r="J836" s="13" t="s">
        <v>1735</v>
      </c>
      <c r="K836" s="13" t="s">
        <v>2203</v>
      </c>
      <c r="L836" s="13">
        <v>25</v>
      </c>
      <c r="M836" s="13">
        <v>0</v>
      </c>
      <c r="N836" s="13" t="s">
        <v>2204</v>
      </c>
      <c r="O836" s="13" t="s">
        <v>297</v>
      </c>
      <c r="P836" s="13">
        <v>10020</v>
      </c>
      <c r="R836" s="13" t="s">
        <v>671</v>
      </c>
      <c r="S836" s="13" t="s">
        <v>1738</v>
      </c>
      <c r="T836" s="13" t="s">
        <v>1739</v>
      </c>
      <c r="U836" s="13" t="s">
        <v>182</v>
      </c>
      <c r="V836" s="23">
        <v>137</v>
      </c>
      <c r="W836" s="44">
        <f>IF($AX836="Cancelled","",IFERROR(((V836+INDEX(Variables!$B$6:$D$6,IFERROR(MATCH(IF($B836="Robusta","Robusta",(IF($B836="","Arabica",$B836))&amp;" - "&amp;(IF($C836="","Commercial",$C836))),Variables!$B$1:$D$1,0),1)))*22.0462)*(L836/16.67),""))</f>
        <v>14144.217696460704</v>
      </c>
      <c r="Y836" s="13" t="str">
        <f>IF($AX836="Cancelled","",IF(X836="","",IFERROR(IF(INDEX(Variables!$B$38:$B$47,MATCH(X836,Variables!$A$38:$A$47,0))="Yes","Yes","No"),"No")))</f>
        <v/>
      </c>
      <c r="Z836" s="31"/>
      <c r="AC836" s="13" t="str">
        <f t="shared" si="40"/>
        <v/>
      </c>
      <c r="AF836" s="71">
        <v>46091</v>
      </c>
      <c r="AG836" s="31">
        <f>IF($AX836="Cancelled","",IFERROR(IF(F836="","",F836-Variables!$B$13),""))</f>
        <v>46066</v>
      </c>
      <c r="AH836" s="13" t="str">
        <f>IF($AX836="Cancelled","",IFERROR(IF(AB836="","",(AVERAGE(E836:F836)-AB836)-Variables!$B$14),""))</f>
        <v/>
      </c>
      <c r="AJ836" s="47">
        <v>46092</v>
      </c>
      <c r="AK836" s="14">
        <f>IF($AX836="Cancelled","",IFERROR(IF(AJ836="","",IF(AND(AB836="",AF836=""),"",IF(AF836&gt;AB836,AF836+Variables!$B$15+Variables!$B$16+Variables!$B$17-AJ836,AB836+Variables!$B$16+Variables!$B$17-AJ836))),""))</f>
        <v>14</v>
      </c>
      <c r="AL836" s="48" t="s">
        <v>114</v>
      </c>
      <c r="AM836" s="13" t="s">
        <v>183</v>
      </c>
      <c r="AN836" s="13" t="s">
        <v>1740</v>
      </c>
      <c r="AP836" s="31" t="e">
        <v>#N/A</v>
      </c>
      <c r="AR836" s="50">
        <v>321600000900</v>
      </c>
      <c r="AS836" s="31">
        <v>46101</v>
      </c>
      <c r="AU836" s="31">
        <v>46128</v>
      </c>
      <c r="AV836" s="13" t="s">
        <v>865</v>
      </c>
      <c r="AW836" s="31">
        <v>46129</v>
      </c>
      <c r="AX836" s="13" t="str">
        <f>IF(ISNUMBER(SEARCH("cancel",#REF!)),"Cancelled",IF(AND(AS836&lt;&gt;"",AU836&lt;&gt;"",AW836&lt;&gt;""),"Closed","Open"))</f>
        <v>Closed</v>
      </c>
      <c r="AY836" s="15" t="str">
        <f t="shared" si="39"/>
        <v>All dates received</v>
      </c>
      <c r="BD836" s="13">
        <f>IF($AX836="Cancelled","",IFERROR(IF(OR(AS836="",AJ836=""),"",(AJ836+Variables!$B$18-AS836)),""))</f>
        <v>6</v>
      </c>
      <c r="BE836" s="13">
        <f>IF($AX836="Cancelled","",IFERROR(IF(OR(AW836="",AS836=""),"",(AS836+Variables!$B$19)-AW836),""))</f>
        <v>-23</v>
      </c>
      <c r="BF836" s="44">
        <f>IF($AX836="Cancelled","",IFERROR(W836*INDEX(Variables!$B$7:$D$7,IFERROR(MATCH(IF($B836="Robusta","Robusta",(IF($B836="","Arabica",$B836))&amp;" - "&amp;(IF($C836="","Commercial",$C836))),Variables!$B$1:$D$1,0),1))*(BE836/365),""))</f>
        <v>-57.471661123217878</v>
      </c>
      <c r="BG836" s="44" t="str">
        <f>IF($AX836="Cancelled","",IFERROR((W836*INDEX(Variables!$B$7:$D$7,IFERROR(MATCH(IF($B836="Robusta","Robusta",(IF($B836="","Arabica",$B836))&amp;" - "&amp;(IF($C836="","Commercial",$C836))),Variables!$B$1:$D$1,0),1))*IFERROR(IF(AB836="","",(AVERAGE(E836:F836)-AB836)-Variables!$B$14),"")/365)+(L836/16.67*INDEX(Variables!$B$8:$D$8,IFERROR(MATCH(IF($B836="Robusta","Robusta",(IF($B836="","Arabica",$B836))&amp;" - "&amp;(IF($C836="","Commercial",$C836))),Variables!$B$1:$D$1,0),1))*IFERROR(IF(AB836="","",(AVERAGE(E836:F836)-AB836)-Variables!$B$14),""))+(W836*INDEX(Variables!$B$9:$D$9,IFERROR(MATCH(IF($B836="Robusta","Robusta",(IF($B836="","Arabica",$B836))&amp;" - "&amp;(IF($C836="","Commercial",$C836))),Variables!$B$1:$D$1,0),1))*IFERROR(IF(AB836="","",(AVERAGE(E836:F836)-AB836)-Variables!$B$14),"")/365),""))</f>
        <v/>
      </c>
      <c r="BH836" s="44">
        <f>IF($AX836="Cancelled","",IFERROR((W836*INDEX(Variables!$B$7:$D$7,IFERROR(MATCH(IF($B836="Robusta","Robusta",(IF($B836="","Arabica",$B836))&amp;" - "&amp;(IF($C836="","Commercial",$C836))),Variables!$B$1:$D$1,0),1))*AK836/365)+(L836/16.67*INDEX(Variables!$B$8:$D$8,IFERROR(MATCH(IF($B836="Robusta","Robusta",(IF($B836="","Arabica",$B836))&amp;" - "&amp;(IF($C836="","Commercial",$C836))),Variables!$B$1:$D$1,0),1))*AK836)+(W836*INDEX(Variables!$B$9:$D$9,IFERROR(MATCH(IF($B836="Robusta","Robusta",(IF($B836="","Arabica",$B836))&amp;" - "&amp;(IF($C836="","Commercial",$C836))),Variables!$B$1:$D$1,0),1))*AK836/365),""))</f>
        <v>52.933745411641112</v>
      </c>
      <c r="BI836" s="44">
        <f>IF($AX836="Cancelled","",IFERROR((W836*INDEX(Variables!$B$7:$D$7,IFERROR(MATCH(IF($B836="Robusta","Robusta",(IF($B836="","Arabica",$B836))&amp;" - "&amp;(IF($C836="","Commercial",$C836))),Variables!$B$1:$D$1,0),1))*BD836/365)+(L836/16.67*INDEX(Variables!$B$8:$D$8,IFERROR(MATCH(IF($B836="Robusta","Robusta",(IF($B836="","Arabica",$B836))&amp;" - "&amp;(IF($C836="","Commercial",$C836))),Variables!$B$1:$D$1,0),1))*BD836)+(W836*INDEX(Variables!$B$9:$D$9,IFERROR(MATCH(IF($B836="Robusta","Robusta",(IF($B836="","Arabica",$B836))&amp;" - "&amp;(IF($C836="","Commercial",$C836))),Variables!$B$1:$D$1,0),1))*BD836/365),""))</f>
        <v>22.685890890703334</v>
      </c>
      <c r="BJ836" s="44">
        <f t="shared" si="41"/>
        <v>-20</v>
      </c>
      <c r="BK836" s="44">
        <f>IF($AX836="Cancelled","",IFERROR(IF(BJ836="","",(W836*INDEX(Variables!$B$7:$D$7,IFERROR(MATCH(IF($B836="Robusta","Robusta",(IF($B836="","Arabica",$B836))&amp;" - "&amp;(IF($C836="","Commercial",$C836))),Variables!$B$1:$D$1,0),1))*(BJ836/365))+(W836*INDEX(Variables!$B$9:$D$9,IFERROR(MATCH(IF($B836="Robusta","Robusta",(IF($B836="","Arabica",$B836))&amp;" - "&amp;(IF($C836="","Commercial",$C836))),Variables!$B$1:$D$1,0),1))*(BJ836/365))+(INDEX(Variables!$B$8:$D$8,IFERROR(MATCH(IF($B836="Robusta","Robusta",(IF($B836="","Arabica",$B836))&amp;" - "&amp;(IF($C836="","Commercial",$C836))),Variables!$B$1:$D$1,0),1))*L836/16.67)),""))</f>
        <v>-49.369636302344446</v>
      </c>
    </row>
    <row r="837" spans="1:63">
      <c r="A837" s="13" t="s">
        <v>103</v>
      </c>
      <c r="B837" s="13" t="s">
        <v>104</v>
      </c>
      <c r="C837" s="13" t="s">
        <v>292</v>
      </c>
      <c r="D837" s="31">
        <v>46066</v>
      </c>
      <c r="E837" s="31">
        <v>46054</v>
      </c>
      <c r="F837" s="31">
        <v>46081</v>
      </c>
      <c r="G837" s="13">
        <v>3787268</v>
      </c>
      <c r="J837" s="13" t="s">
        <v>1735</v>
      </c>
      <c r="K837" s="13" t="s">
        <v>2205</v>
      </c>
      <c r="L837" s="13">
        <v>25</v>
      </c>
      <c r="M837" s="13">
        <v>0</v>
      </c>
      <c r="N837" s="13" t="s">
        <v>2206</v>
      </c>
      <c r="O837" s="13" t="s">
        <v>297</v>
      </c>
      <c r="P837" s="13">
        <v>10020</v>
      </c>
      <c r="R837" s="13" t="s">
        <v>671</v>
      </c>
      <c r="S837" s="13" t="s">
        <v>1738</v>
      </c>
      <c r="T837" s="13" t="s">
        <v>1739</v>
      </c>
      <c r="U837" s="13" t="s">
        <v>182</v>
      </c>
      <c r="V837" s="23">
        <v>137</v>
      </c>
      <c r="W837" s="44">
        <f>IF($AX837="Cancelled","",IFERROR(((V837+INDEX(Variables!$B$6:$D$6,IFERROR(MATCH(IF($B837="Robusta","Robusta",(IF($B837="","Arabica",$B837))&amp;" - "&amp;(IF($C837="","Commercial",$C837))),Variables!$B$1:$D$1,0),1)))*22.0462)*(L837/16.67),""))</f>
        <v>14144.217696460704</v>
      </c>
      <c r="Y837" s="13" t="str">
        <f>IF($AX837="Cancelled","",IF(X837="","",IFERROR(IF(INDEX(Variables!$B$38:$B$47,MATCH(X837,Variables!$A$38:$A$47,0))="Yes","Yes","No"),"No")))</f>
        <v/>
      </c>
      <c r="Z837" s="31"/>
      <c r="AC837" s="13" t="str">
        <f t="shared" si="40"/>
        <v/>
      </c>
      <c r="AF837" s="71">
        <v>46091</v>
      </c>
      <c r="AG837" s="31">
        <f>IF($AX837="Cancelled","",IFERROR(IF(F837="","",F837-Variables!$B$13),""))</f>
        <v>46066</v>
      </c>
      <c r="AH837" s="13" t="str">
        <f>IF($AX837="Cancelled","",IFERROR(IF(AB837="","",(AVERAGE(E837:F837)-AB837)-Variables!$B$14),""))</f>
        <v/>
      </c>
      <c r="AJ837" s="47">
        <v>46092</v>
      </c>
      <c r="AK837" s="14">
        <f>IF($AX837="Cancelled","",IFERROR(IF(AJ837="","",IF(AND(AB837="",AF837=""),"",IF(AF837&gt;AB837,AF837+Variables!$B$15+Variables!$B$16+Variables!$B$17-AJ837,AB837+Variables!$B$16+Variables!$B$17-AJ837))),""))</f>
        <v>14</v>
      </c>
      <c r="AL837" s="48" t="s">
        <v>114</v>
      </c>
      <c r="AM837" s="13" t="s">
        <v>183</v>
      </c>
      <c r="AN837" s="13" t="s">
        <v>1740</v>
      </c>
      <c r="AP837" s="31" t="e">
        <v>#N/A</v>
      </c>
      <c r="AR837" s="50">
        <v>321600000900</v>
      </c>
      <c r="AS837" s="31">
        <v>46101</v>
      </c>
      <c r="AU837" s="31">
        <v>46128</v>
      </c>
      <c r="AV837" s="13" t="s">
        <v>865</v>
      </c>
      <c r="AW837" s="31">
        <v>46129</v>
      </c>
      <c r="AX837" s="13" t="str">
        <f>IF(ISNUMBER(SEARCH("cancel",#REF!)),"Cancelled",IF(AND(AS837&lt;&gt;"",AU837&lt;&gt;"",AW837&lt;&gt;""),"Closed","Open"))</f>
        <v>Closed</v>
      </c>
      <c r="AY837" s="15" t="str">
        <f t="shared" si="39"/>
        <v>All dates received</v>
      </c>
      <c r="BD837" s="13">
        <f>IF($AX837="Cancelled","",IFERROR(IF(OR(AS837="",AJ837=""),"",(AJ837+Variables!$B$18-AS837)),""))</f>
        <v>6</v>
      </c>
      <c r="BE837" s="13">
        <f>IF($AX837="Cancelled","",IFERROR(IF(OR(AW837="",AS837=""),"",(AS837+Variables!$B$19)-AW837),""))</f>
        <v>-23</v>
      </c>
      <c r="BF837" s="44">
        <f>IF($AX837="Cancelled","",IFERROR(W837*INDEX(Variables!$B$7:$D$7,IFERROR(MATCH(IF($B837="Robusta","Robusta",(IF($B837="","Arabica",$B837))&amp;" - "&amp;(IF($C837="","Commercial",$C837))),Variables!$B$1:$D$1,0),1))*(BE837/365),""))</f>
        <v>-57.471661123217878</v>
      </c>
      <c r="BG837" s="44" t="str">
        <f>IF($AX837="Cancelled","",IFERROR((W837*INDEX(Variables!$B$7:$D$7,IFERROR(MATCH(IF($B837="Robusta","Robusta",(IF($B837="","Arabica",$B837))&amp;" - "&amp;(IF($C837="","Commercial",$C837))),Variables!$B$1:$D$1,0),1))*IFERROR(IF(AB837="","",(AVERAGE(E837:F837)-AB837)-Variables!$B$14),"")/365)+(L837/16.67*INDEX(Variables!$B$8:$D$8,IFERROR(MATCH(IF($B837="Robusta","Robusta",(IF($B837="","Arabica",$B837))&amp;" - "&amp;(IF($C837="","Commercial",$C837))),Variables!$B$1:$D$1,0),1))*IFERROR(IF(AB837="","",(AVERAGE(E837:F837)-AB837)-Variables!$B$14),""))+(W837*INDEX(Variables!$B$9:$D$9,IFERROR(MATCH(IF($B837="Robusta","Robusta",(IF($B837="","Arabica",$B837))&amp;" - "&amp;(IF($C837="","Commercial",$C837))),Variables!$B$1:$D$1,0),1))*IFERROR(IF(AB837="","",(AVERAGE(E837:F837)-AB837)-Variables!$B$14),"")/365),""))</f>
        <v/>
      </c>
      <c r="BH837" s="44">
        <f>IF($AX837="Cancelled","",IFERROR((W837*INDEX(Variables!$B$7:$D$7,IFERROR(MATCH(IF($B837="Robusta","Robusta",(IF($B837="","Arabica",$B837))&amp;" - "&amp;(IF($C837="","Commercial",$C837))),Variables!$B$1:$D$1,0),1))*AK837/365)+(L837/16.67*INDEX(Variables!$B$8:$D$8,IFERROR(MATCH(IF($B837="Robusta","Robusta",(IF($B837="","Arabica",$B837))&amp;" - "&amp;(IF($C837="","Commercial",$C837))),Variables!$B$1:$D$1,0),1))*AK837)+(W837*INDEX(Variables!$B$9:$D$9,IFERROR(MATCH(IF($B837="Robusta","Robusta",(IF($B837="","Arabica",$B837))&amp;" - "&amp;(IF($C837="","Commercial",$C837))),Variables!$B$1:$D$1,0),1))*AK837/365),""))</f>
        <v>52.933745411641112</v>
      </c>
      <c r="BI837" s="44">
        <f>IF($AX837="Cancelled","",IFERROR((W837*INDEX(Variables!$B$7:$D$7,IFERROR(MATCH(IF($B837="Robusta","Robusta",(IF($B837="","Arabica",$B837))&amp;" - "&amp;(IF($C837="","Commercial",$C837))),Variables!$B$1:$D$1,0),1))*BD837/365)+(L837/16.67*INDEX(Variables!$B$8:$D$8,IFERROR(MATCH(IF($B837="Robusta","Robusta",(IF($B837="","Arabica",$B837))&amp;" - "&amp;(IF($C837="","Commercial",$C837))),Variables!$B$1:$D$1,0),1))*BD837)+(W837*INDEX(Variables!$B$9:$D$9,IFERROR(MATCH(IF($B837="Robusta","Robusta",(IF($B837="","Arabica",$B837))&amp;" - "&amp;(IF($C837="","Commercial",$C837))),Variables!$B$1:$D$1,0),1))*BD837/365),""))</f>
        <v>22.685890890703334</v>
      </c>
      <c r="BJ837" s="44">
        <f t="shared" si="41"/>
        <v>-20</v>
      </c>
      <c r="BK837" s="44">
        <f>IF($AX837="Cancelled","",IFERROR(IF(BJ837="","",(W837*INDEX(Variables!$B$7:$D$7,IFERROR(MATCH(IF($B837="Robusta","Robusta",(IF($B837="","Arabica",$B837))&amp;" - "&amp;(IF($C837="","Commercial",$C837))),Variables!$B$1:$D$1,0),1))*(BJ837/365))+(W837*INDEX(Variables!$B$9:$D$9,IFERROR(MATCH(IF($B837="Robusta","Robusta",(IF($B837="","Arabica",$B837))&amp;" - "&amp;(IF($C837="","Commercial",$C837))),Variables!$B$1:$D$1,0),1))*(BJ837/365))+(INDEX(Variables!$B$8:$D$8,IFERROR(MATCH(IF($B837="Robusta","Robusta",(IF($B837="","Arabica",$B837))&amp;" - "&amp;(IF($C837="","Commercial",$C837))),Variables!$B$1:$D$1,0),1))*L837/16.67)),""))</f>
        <v>-49.369636302344446</v>
      </c>
    </row>
    <row r="838" spans="1:63">
      <c r="A838" s="13" t="s">
        <v>103</v>
      </c>
      <c r="B838" s="13" t="s">
        <v>104</v>
      </c>
      <c r="C838" s="13" t="s">
        <v>292</v>
      </c>
      <c r="D838" s="31">
        <v>46066</v>
      </c>
      <c r="E838" s="31">
        <v>46082</v>
      </c>
      <c r="F838" s="31">
        <v>46112</v>
      </c>
      <c r="G838" s="13">
        <v>3787269</v>
      </c>
      <c r="J838" s="13" t="s">
        <v>294</v>
      </c>
      <c r="K838" s="13" t="s">
        <v>2207</v>
      </c>
      <c r="L838" s="13">
        <v>120</v>
      </c>
      <c r="M838" s="13">
        <v>1</v>
      </c>
      <c r="N838" s="13" t="s">
        <v>2208</v>
      </c>
      <c r="O838" s="13" t="s">
        <v>297</v>
      </c>
      <c r="P838" s="13">
        <v>10020</v>
      </c>
      <c r="R838" s="13" t="s">
        <v>384</v>
      </c>
      <c r="S838" s="13" t="s">
        <v>595</v>
      </c>
      <c r="T838" s="13" t="s">
        <v>596</v>
      </c>
      <c r="U838" s="13" t="s">
        <v>125</v>
      </c>
      <c r="V838" s="13">
        <v>95</v>
      </c>
      <c r="W838" s="44">
        <f>IF($AX838="Cancelled","",IFERROR(((V838+INDEX(Variables!$B$6:$D$6,IFERROR(MATCH(IF($B838="Robusta","Robusta",(IF($B838="","Arabica",$B838))&amp;" - "&amp;(IF($C838="","Commercial",$C838))),Variables!$B$1:$D$1,0),1)))*22.0462)*(L838/16.67),""))</f>
        <v>61226.807150569883</v>
      </c>
      <c r="X838" s="55" t="s">
        <v>39</v>
      </c>
      <c r="Y838" s="13" t="str">
        <f>IF($AX838="Cancelled","",IF(X838="","",IFERROR(IF(INDEX(Variables!$B$38:$B$47,MATCH(X838,Variables!$A$38:$A$47,0))="Yes","Yes","No"),"No")))</f>
        <v>No</v>
      </c>
      <c r="Z838" s="31"/>
      <c r="AC838" s="13" t="str">
        <f t="shared" si="40"/>
        <v/>
      </c>
      <c r="AF838" s="71">
        <v>46121</v>
      </c>
      <c r="AG838" s="37">
        <f>IF($AX838="Cancelled","",IFERROR(IF(F838="","",F838-Variables!$B$13),""))</f>
        <v>46097</v>
      </c>
      <c r="AH838" s="13" t="str">
        <f>IF($AX838="Cancelled","",IFERROR(IF(AB838="","",(AVERAGE(E838:F838)-AB838)-Variables!$B$14),""))</f>
        <v/>
      </c>
      <c r="AK838" s="14" t="str">
        <f>IF($AX838="Cancelled","",IFERROR(IF(AJ838="","",IF(AND(AB838="",AF838=""),"",IF(AF838&gt;AB838,AF838+Variables!$B$15+Variables!$B$16+Variables!$B$17-AJ838,AB838+Variables!$B$16+Variables!$B$17-AJ838))),""))</f>
        <v/>
      </c>
      <c r="AL838" s="48" t="s">
        <v>114</v>
      </c>
      <c r="AM838" s="13" t="s">
        <v>1526</v>
      </c>
      <c r="AN838" s="13" t="s">
        <v>2096</v>
      </c>
      <c r="AP838" s="31" t="e">
        <v>#N/A</v>
      </c>
      <c r="AR838" s="13" t="s">
        <v>2209</v>
      </c>
      <c r="AS838" s="31">
        <v>46137</v>
      </c>
      <c r="AU838" s="31">
        <v>46160</v>
      </c>
      <c r="AV838" s="13" t="s">
        <v>865</v>
      </c>
      <c r="AW838" s="31">
        <v>46160</v>
      </c>
      <c r="AX838" s="13" t="str">
        <f>IF(ISNUMBER(SEARCH("cancel",#REF!)),"Cancelled",IF(AND(AS838&lt;&gt;"",AU838&lt;&gt;"",AW838&lt;&gt;""),"Closed","Open"))</f>
        <v>Closed</v>
      </c>
      <c r="AY838" s="15" t="str">
        <f t="shared" si="39"/>
        <v>All dates received</v>
      </c>
      <c r="BD838" s="13" t="str">
        <f>IF($AX838="Cancelled","",IFERROR(IF(OR(AS838="",AJ838=""),"",(AJ838+Variables!$B$18-AS838)),""))</f>
        <v/>
      </c>
      <c r="BE838" s="13">
        <f>IF($AX838="Cancelled","",IFERROR(IF(OR(AW838="",AS838=""),"",(AS838+Variables!$B$19)-AW838),""))</f>
        <v>-18</v>
      </c>
      <c r="BF838" s="44">
        <f>IF($AX838="Cancelled","",IFERROR(W838*INDEX(Variables!$B$7:$D$7,IFERROR(MATCH(IF($B838="Robusta","Robusta",(IF($B838="","Arabica",$B838))&amp;" - "&amp;(IF($C838="","Commercial",$C838))),Variables!$B$1:$D$1,0),1))*(BE838/365),""))</f>
        <v>-194.6978247473989</v>
      </c>
      <c r="BG838" s="44" t="str">
        <f>IF($AX838="Cancelled","",IFERROR((W838*INDEX(Variables!$B$7:$D$7,IFERROR(MATCH(IF($B838="Robusta","Robusta",(IF($B838="","Arabica",$B838))&amp;" - "&amp;(IF($C838="","Commercial",$C838))),Variables!$B$1:$D$1,0),1))*IFERROR(IF(AB838="","",(AVERAGE(E838:F838)-AB838)-Variables!$B$14),"")/365)+(L838/16.67*INDEX(Variables!$B$8:$D$8,IFERROR(MATCH(IF($B838="Robusta","Robusta",(IF($B838="","Arabica",$B838))&amp;" - "&amp;(IF($C838="","Commercial",$C838))),Variables!$B$1:$D$1,0),1))*IFERROR(IF(AB838="","",(AVERAGE(E838:F838)-AB838)-Variables!$B$14),""))+(W838*INDEX(Variables!$B$9:$D$9,IFERROR(MATCH(IF($B838="Robusta","Robusta",(IF($B838="","Arabica",$B838))&amp;" - "&amp;(IF($C838="","Commercial",$C838))),Variables!$B$1:$D$1,0),1))*IFERROR(IF(AB838="","",(AVERAGE(E838:F838)-AB838)-Variables!$B$14),"")/365),""))</f>
        <v/>
      </c>
      <c r="BH838" s="44" t="str">
        <f>IF($AX838="Cancelled","",IFERROR((W838*INDEX(Variables!$B$7:$D$7,IFERROR(MATCH(IF($B838="Robusta","Robusta",(IF($B838="","Arabica",$B838))&amp;" - "&amp;(IF($C838="","Commercial",$C838))),Variables!$B$1:$D$1,0),1))*AK838/365)+(L838/16.67*INDEX(Variables!$B$8:$D$8,IFERROR(MATCH(IF($B838="Robusta","Robusta",(IF($B838="","Arabica",$B838))&amp;" - "&amp;(IF($C838="","Commercial",$C838))),Variables!$B$1:$D$1,0),1))*AK838)+(W838*INDEX(Variables!$B$9:$D$9,IFERROR(MATCH(IF($B838="Robusta","Robusta",(IF($B838="","Arabica",$B838))&amp;" - "&amp;(IF($C838="","Commercial",$C838))),Variables!$B$1:$D$1,0),1))*AK838/365),""))</f>
        <v/>
      </c>
      <c r="BI838" s="44" t="str">
        <f>IF($AX838="Cancelled","",IFERROR((W838*INDEX(Variables!$B$7:$D$7,IFERROR(MATCH(IF($B838="Robusta","Robusta",(IF($B838="","Arabica",$B838))&amp;" - "&amp;(IF($C838="","Commercial",$C838))),Variables!$B$1:$D$1,0),1))*BD838/365)+(L838/16.67*INDEX(Variables!$B$8:$D$8,IFERROR(MATCH(IF($B838="Robusta","Robusta",(IF($B838="","Arabica",$B838))&amp;" - "&amp;(IF($C838="","Commercial",$C838))),Variables!$B$1:$D$1,0),1))*BD838)+(W838*INDEX(Variables!$B$9:$D$9,IFERROR(MATCH(IF($B838="Robusta","Robusta",(IF($B838="","Arabica",$B838))&amp;" - "&amp;(IF($C838="","Commercial",$C838))),Variables!$B$1:$D$1,0),1))*BD838/365),""))</f>
        <v/>
      </c>
      <c r="BJ838" s="44">
        <f t="shared" si="41"/>
        <v>-25</v>
      </c>
      <c r="BK838" s="44">
        <f>IF($AX838="Cancelled","",IFERROR(IF(BJ838="","",(W838*INDEX(Variables!$B$7:$D$7,IFERROR(MATCH(IF($B838="Robusta","Robusta",(IF($B838="","Arabica",$B838))&amp;" - "&amp;(IF($C838="","Commercial",$C838))),Variables!$B$1:$D$1,0),1))*(BJ838/365))+(W838*INDEX(Variables!$B$9:$D$9,IFERROR(MATCH(IF($B838="Robusta","Robusta",(IF($B838="","Arabica",$B838))&amp;" - "&amp;(IF($C838="","Commercial",$C838))),Variables!$B$1:$D$1,0),1))*(BJ838/365))+(INDEX(Variables!$B$8:$D$8,IFERROR(MATCH(IF($B838="Robusta","Robusta",(IF($B838="","Arabica",$B838))&amp;" - "&amp;(IF($C838="","Commercial",$C838))),Variables!$B$1:$D$1,0),1))*L838/16.67)),""))</f>
        <v>-267.8997992348456</v>
      </c>
    </row>
    <row r="839" spans="1:63">
      <c r="A839" s="13" t="s">
        <v>103</v>
      </c>
      <c r="B839" s="13" t="s">
        <v>104</v>
      </c>
      <c r="C839" s="13" t="s">
        <v>292</v>
      </c>
      <c r="D839" s="31">
        <v>46066</v>
      </c>
      <c r="E839" s="31">
        <v>46095</v>
      </c>
      <c r="F839" s="31">
        <v>46112</v>
      </c>
      <c r="G839" s="13">
        <v>3787270</v>
      </c>
      <c r="J839" s="13" t="s">
        <v>2210</v>
      </c>
      <c r="K839" s="13" t="s">
        <v>2211</v>
      </c>
      <c r="L839" s="13">
        <v>30</v>
      </c>
      <c r="M839" s="13">
        <v>1</v>
      </c>
      <c r="N839" s="13" t="s">
        <v>2212</v>
      </c>
      <c r="O839" s="13" t="s">
        <v>771</v>
      </c>
      <c r="P839" s="13">
        <v>10010</v>
      </c>
      <c r="R839" s="13" t="s">
        <v>239</v>
      </c>
      <c r="S839" s="13" t="s">
        <v>553</v>
      </c>
      <c r="T839" s="13" t="s">
        <v>112</v>
      </c>
      <c r="U839" s="13" t="s">
        <v>113</v>
      </c>
      <c r="V839" s="13">
        <v>183.65</v>
      </c>
      <c r="W839" s="44">
        <f>IF($AX839="Cancelled","",IFERROR(((V839+INDEX(Variables!$B$6:$D$6,IFERROR(MATCH(IF($B839="Robusta","Robusta",(IF($B839="","Arabica",$B839))&amp;" - "&amp;(IF($C839="","Commercial",$C839))),Variables!$B$1:$D$1,0),1)))*22.0462)*(L839/16.67),""))</f>
        <v>18823.910479904018</v>
      </c>
      <c r="X839" s="55" t="s">
        <v>39</v>
      </c>
      <c r="Y839" s="13" t="str">
        <f>IF($AX839="Cancelled","",IF(X839="","",IFERROR(IF(INDEX(Variables!$B$38:$B$47,MATCH(X839,Variables!$A$38:$A$47,0))="Yes","Yes","No"),"No")))</f>
        <v>No</v>
      </c>
      <c r="Z839" s="31"/>
      <c r="AC839" s="13" t="str">
        <f t="shared" si="40"/>
        <v/>
      </c>
      <c r="AF839" s="71">
        <v>46121</v>
      </c>
      <c r="AG839" s="37">
        <f>IF($AX839="Cancelled","",IFERROR(IF(F839="","",F839-Variables!$B$13),""))</f>
        <v>46097</v>
      </c>
      <c r="AH839" s="13" t="str">
        <f>IF($AX839="Cancelled","",IFERROR(IF(AB839="","",(AVERAGE(E839:F839)-AB839)-Variables!$B$14),""))</f>
        <v/>
      </c>
      <c r="AJ839" s="47">
        <v>46126</v>
      </c>
      <c r="AK839" s="14">
        <f>IF($AX839="Cancelled","",IFERROR(IF(AJ839="","",IF(AND(AB839="",AF839=""),"",IF(AF839&gt;AB839,AF839+Variables!$B$15+Variables!$B$16+Variables!$B$17-AJ839,AB839+Variables!$B$16+Variables!$B$17-AJ839))),""))</f>
        <v>10</v>
      </c>
      <c r="AL839" s="48" t="s">
        <v>114</v>
      </c>
      <c r="AM839" s="13" t="s">
        <v>134</v>
      </c>
      <c r="AN839" s="13" t="s">
        <v>2213</v>
      </c>
      <c r="AP839" s="31" t="e">
        <v>#N/A</v>
      </c>
      <c r="AR839" s="13" t="s">
        <v>2214</v>
      </c>
      <c r="AS839" s="31">
        <v>46145</v>
      </c>
      <c r="AU839" s="31">
        <v>46164</v>
      </c>
      <c r="AV839" s="13" t="s">
        <v>865</v>
      </c>
      <c r="AW839" s="31">
        <v>46164</v>
      </c>
      <c r="AX839" s="13" t="str">
        <f>IF(ISNUMBER(SEARCH("cancel",#REF!)),"Cancelled",IF(AND(AS839&lt;&gt;"",AU839&lt;&gt;"",AW839&lt;&gt;""),"Closed","Open"))</f>
        <v>Closed</v>
      </c>
      <c r="AY839" s="15" t="str">
        <f t="shared" si="39"/>
        <v>All dates received</v>
      </c>
      <c r="BD839" s="13">
        <f>IF($AX839="Cancelled","",IFERROR(IF(OR(AS839="",AJ839=""),"",(AJ839+Variables!$B$18-AS839)),""))</f>
        <v>-4</v>
      </c>
      <c r="BE839" s="13">
        <f>IF($AX839="Cancelled","",IFERROR(IF(OR(AW839="",AS839=""),"",(AS839+Variables!$B$19)-AW839),""))</f>
        <v>-14</v>
      </c>
      <c r="BF839" s="44">
        <f>IF($AX839="Cancelled","",IFERROR(W839*INDEX(Variables!$B$7:$D$7,IFERROR(MATCH(IF($B839="Robusta","Robusta",(IF($B839="","Arabica",$B839))&amp;" - "&amp;(IF($C839="","Commercial",$C839))),Variables!$B$1:$D$1,0),1))*(BE839/365),""))</f>
        <v>-46.556986972223939</v>
      </c>
      <c r="BG839" s="44" t="str">
        <f>IF($AX839="Cancelled","",IFERROR((W839*INDEX(Variables!$B$7:$D$7,IFERROR(MATCH(IF($B839="Robusta","Robusta",(IF($B839="","Arabica",$B839))&amp;" - "&amp;(IF($C839="","Commercial",$C839))),Variables!$B$1:$D$1,0),1))*IFERROR(IF(AB839="","",(AVERAGE(E839:F839)-AB839)-Variables!$B$14),"")/365)+(L839/16.67*INDEX(Variables!$B$8:$D$8,IFERROR(MATCH(IF($B839="Robusta","Robusta",(IF($B839="","Arabica",$B839))&amp;" - "&amp;(IF($C839="","Commercial",$C839))),Variables!$B$1:$D$1,0),1))*IFERROR(IF(AB839="","",(AVERAGE(E839:F839)-AB839)-Variables!$B$14),""))+(W839*INDEX(Variables!$B$9:$D$9,IFERROR(MATCH(IF($B839="Robusta","Robusta",(IF($B839="","Arabica",$B839))&amp;" - "&amp;(IF($C839="","Commercial",$C839))),Variables!$B$1:$D$1,0),1))*IFERROR(IF(AB839="","",(AVERAGE(E839:F839)-AB839)-Variables!$B$14),"")/365),""))</f>
        <v/>
      </c>
      <c r="BH839" s="44">
        <f>IF($AX839="Cancelled","",IFERROR((W839*INDEX(Variables!$B$7:$D$7,IFERROR(MATCH(IF($B839="Robusta","Robusta",(IF($B839="","Arabica",$B839))&amp;" - "&amp;(IF($C839="","Commercial",$C839))),Variables!$B$1:$D$1,0),1))*AK839/365)+(L839/16.67*INDEX(Variables!$B$8:$D$8,IFERROR(MATCH(IF($B839="Robusta","Robusta",(IF($B839="","Arabica",$B839))&amp;" - "&amp;(IF($C839="","Commercial",$C839))),Variables!$B$1:$D$1,0),1))*AK839)+(W839*INDEX(Variables!$B$9:$D$9,IFERROR(MATCH(IF($B839="Robusta","Robusta",(IF($B839="","Arabica",$B839))&amp;" - "&amp;(IF($C839="","Commercial",$C839))),Variables!$B$1:$D$1,0),1))*AK839/365),""))</f>
        <v>48.683711702170172</v>
      </c>
      <c r="BI839" s="44">
        <f>IF($AX839="Cancelled","",IFERROR((W839*INDEX(Variables!$B$7:$D$7,IFERROR(MATCH(IF($B839="Robusta","Robusta",(IF($B839="","Arabica",$B839))&amp;" - "&amp;(IF($C839="","Commercial",$C839))),Variables!$B$1:$D$1,0),1))*BD839/365)+(L839/16.67*INDEX(Variables!$B$8:$D$8,IFERROR(MATCH(IF($B839="Robusta","Robusta",(IF($B839="","Arabica",$B839))&amp;" - "&amp;(IF($C839="","Commercial",$C839))),Variables!$B$1:$D$1,0),1))*BD839)+(W839*INDEX(Variables!$B$9:$D$9,IFERROR(MATCH(IF($B839="Robusta","Robusta",(IF($B839="","Arabica",$B839))&amp;" - "&amp;(IF($C839="","Commercial",$C839))),Variables!$B$1:$D$1,0),1))*BD839/365),""))</f>
        <v>-19.473484680868069</v>
      </c>
      <c r="BJ839" s="44">
        <f t="shared" si="41"/>
        <v>-33</v>
      </c>
      <c r="BK839" s="44">
        <f>IF($AX839="Cancelled","",IFERROR(IF(BJ839="","",(W839*INDEX(Variables!$B$7:$D$7,IFERROR(MATCH(IF($B839="Robusta","Robusta",(IF($B839="","Arabica",$B839))&amp;" - "&amp;(IF($C839="","Commercial",$C839))),Variables!$B$1:$D$1,0),1))*(BJ839/365))+(W839*INDEX(Variables!$B$9:$D$9,IFERROR(MATCH(IF($B839="Robusta","Robusta",(IF($B839="","Arabica",$B839))&amp;" - "&amp;(IF($C839="","Commercial",$C839))),Variables!$B$1:$D$1,0),1))*(BJ839/365))+(INDEX(Variables!$B$8:$D$8,IFERROR(MATCH(IF($B839="Robusta","Robusta",(IF($B839="","Arabica",$B839))&amp;" - "&amp;(IF($C839="","Commercial",$C839))),Variables!$B$1:$D$1,0),1))*L839/16.67)),""))</f>
        <v>-109.65624861716155</v>
      </c>
    </row>
    <row r="840" spans="1:63">
      <c r="A840" s="13" t="s">
        <v>103</v>
      </c>
      <c r="B840" s="13" t="s">
        <v>104</v>
      </c>
      <c r="C840" s="13" t="s">
        <v>292</v>
      </c>
      <c r="D840" s="31">
        <v>46066</v>
      </c>
      <c r="E840" s="31">
        <v>46095</v>
      </c>
      <c r="F840" s="31">
        <v>46112</v>
      </c>
      <c r="G840" s="13">
        <v>3787271</v>
      </c>
      <c r="J840" s="13" t="s">
        <v>2210</v>
      </c>
      <c r="K840" s="13" t="s">
        <v>2215</v>
      </c>
      <c r="L840" s="13">
        <v>6</v>
      </c>
      <c r="M840" s="13">
        <v>0</v>
      </c>
      <c r="N840" s="13" t="s">
        <v>2216</v>
      </c>
      <c r="O840" s="13" t="s">
        <v>297</v>
      </c>
      <c r="P840" s="13">
        <v>10020</v>
      </c>
      <c r="R840" s="13" t="s">
        <v>239</v>
      </c>
      <c r="S840" s="13" t="s">
        <v>553</v>
      </c>
      <c r="T840" s="13" t="s">
        <v>112</v>
      </c>
      <c r="U840" s="13" t="s">
        <v>113</v>
      </c>
      <c r="V840" s="13">
        <v>164.65</v>
      </c>
      <c r="W840" s="44">
        <f>IF($AX840="Cancelled","",IFERROR(((V840+INDEX(Variables!$B$6:$D$6,IFERROR(MATCH(IF($B840="Robusta","Robusta",(IF($B840="","Arabica",$B840))&amp;" - "&amp;(IF($C840="","Commercial",$C840))),Variables!$B$1:$D$1,0),1)))*22.0462)*(L840/16.67),""))</f>
        <v>3614.0162411517695</v>
      </c>
      <c r="X840" s="55" t="s">
        <v>39</v>
      </c>
      <c r="Y840" s="13" t="str">
        <f>IF($AX840="Cancelled","",IF(X840="","",IFERROR(IF(INDEX(Variables!$B$38:$B$47,MATCH(X840,Variables!$A$38:$A$47,0))="Yes","Yes","No"),"No")))</f>
        <v>No</v>
      </c>
      <c r="Z840" s="31"/>
      <c r="AC840" s="13" t="str">
        <f t="shared" si="40"/>
        <v/>
      </c>
      <c r="AF840" s="71">
        <v>46121</v>
      </c>
      <c r="AG840" s="37">
        <f>IF($AX840="Cancelled","",IFERROR(IF(F840="","",F840-Variables!$B$13),""))</f>
        <v>46097</v>
      </c>
      <c r="AH840" s="13" t="str">
        <f>IF($AX840="Cancelled","",IFERROR(IF(AB840="","",(AVERAGE(E840:F840)-AB840)-Variables!$B$14),""))</f>
        <v/>
      </c>
      <c r="AJ840" s="47">
        <v>46126</v>
      </c>
      <c r="AK840" s="14">
        <f>IF($AX840="Cancelled","",IFERROR(IF(AJ840="","",IF(AND(AB840="",AF840=""),"",IF(AF840&gt;AB840,AF840+Variables!$B$15+Variables!$B$16+Variables!$B$17-AJ840,AB840+Variables!$B$16+Variables!$B$17-AJ840))),""))</f>
        <v>10</v>
      </c>
      <c r="AL840" s="48" t="s">
        <v>114</v>
      </c>
      <c r="AM840" s="13" t="s">
        <v>134</v>
      </c>
      <c r="AN840" s="13" t="s">
        <v>2213</v>
      </c>
      <c r="AP840" s="31" t="e">
        <v>#N/A</v>
      </c>
      <c r="AR840" s="13" t="s">
        <v>2214</v>
      </c>
      <c r="AS840" s="31">
        <v>46145</v>
      </c>
      <c r="AU840" s="31">
        <v>46164</v>
      </c>
      <c r="AV840" s="13" t="s">
        <v>865</v>
      </c>
      <c r="AW840" s="31">
        <v>46164</v>
      </c>
      <c r="AX840" s="13" t="str">
        <f>IF(ISNUMBER(SEARCH("cancel",#REF!)),"Cancelled",IF(AND(AS840&lt;&gt;"",AU840&lt;&gt;"",AW840&lt;&gt;""),"Closed","Open"))</f>
        <v>Closed</v>
      </c>
      <c r="AY840" s="15" t="str">
        <f t="shared" si="39"/>
        <v>All dates received</v>
      </c>
      <c r="BD840" s="13">
        <f>IF($AX840="Cancelled","",IFERROR(IF(OR(AS840="",AJ840=""),"",(AJ840+Variables!$B$18-AS840)),""))</f>
        <v>-4</v>
      </c>
      <c r="BE840" s="13">
        <f>IF($AX840="Cancelled","",IFERROR(IF(OR(AW840="",AS840=""),"",(AS840+Variables!$B$19)-AW840),""))</f>
        <v>-14</v>
      </c>
      <c r="BF840" s="44">
        <f>IF($AX840="Cancelled","",IFERROR(W840*INDEX(Variables!$B$7:$D$7,IFERROR(MATCH(IF($B840="Robusta","Robusta",(IF($B840="","Arabica",$B840))&amp;" - "&amp;(IF($C840="","Commercial",$C840))),Variables!$B$1:$D$1,0),1))*(BE840/365),""))</f>
        <v>-8.9385097340075426</v>
      </c>
      <c r="BG840" s="44" t="str">
        <f>IF($AX840="Cancelled","",IFERROR((W840*INDEX(Variables!$B$7:$D$7,IFERROR(MATCH(IF($B840="Robusta","Robusta",(IF($B840="","Arabica",$B840))&amp;" - "&amp;(IF($C840="","Commercial",$C840))),Variables!$B$1:$D$1,0),1))*IFERROR(IF(AB840="","",(AVERAGE(E840:F840)-AB840)-Variables!$B$14),"")/365)+(L840/16.67*INDEX(Variables!$B$8:$D$8,IFERROR(MATCH(IF($B840="Robusta","Robusta",(IF($B840="","Arabica",$B840))&amp;" - "&amp;(IF($C840="","Commercial",$C840))),Variables!$B$1:$D$1,0),1))*IFERROR(IF(AB840="","",(AVERAGE(E840:F840)-AB840)-Variables!$B$14),""))+(W840*INDEX(Variables!$B$9:$D$9,IFERROR(MATCH(IF($B840="Robusta","Robusta",(IF($B840="","Arabica",$B840))&amp;" - "&amp;(IF($C840="","Commercial",$C840))),Variables!$B$1:$D$1,0),1))*IFERROR(IF(AB840="","",(AVERAGE(E840:F840)-AB840)-Variables!$B$14),"")/365),""))</f>
        <v/>
      </c>
      <c r="BH840" s="44">
        <f>IF($AX840="Cancelled","",IFERROR((W840*INDEX(Variables!$B$7:$D$7,IFERROR(MATCH(IF($B840="Robusta","Robusta",(IF($B840="","Arabica",$B840))&amp;" - "&amp;(IF($C840="","Commercial",$C840))),Variables!$B$1:$D$1,0),1))*AK840/365)+(L840/16.67*INDEX(Variables!$B$8:$D$8,IFERROR(MATCH(IF($B840="Robusta","Robusta",(IF($B840="","Arabica",$B840))&amp;" - "&amp;(IF($C840="","Commercial",$C840))),Variables!$B$1:$D$1,0),1))*AK840)+(W840*INDEX(Variables!$B$9:$D$9,IFERROR(MATCH(IF($B840="Robusta","Robusta",(IF($B840="","Arabica",$B840))&amp;" - "&amp;(IF($C840="","Commercial",$C840))),Variables!$B$1:$D$1,0),1))*AK840/365),""))</f>
        <v>9.4669602675744127</v>
      </c>
      <c r="BI840" s="44">
        <f>IF($AX840="Cancelled","",IFERROR((W840*INDEX(Variables!$B$7:$D$7,IFERROR(MATCH(IF($B840="Robusta","Robusta",(IF($B840="","Arabica",$B840))&amp;" - "&amp;(IF($C840="","Commercial",$C840))),Variables!$B$1:$D$1,0),1))*BD840/365)+(L840/16.67*INDEX(Variables!$B$8:$D$8,IFERROR(MATCH(IF($B840="Robusta","Robusta",(IF($B840="","Arabica",$B840))&amp;" - "&amp;(IF($C840="","Commercial",$C840))),Variables!$B$1:$D$1,0),1))*BD840)+(W840*INDEX(Variables!$B$9:$D$9,IFERROR(MATCH(IF($B840="Robusta","Robusta",(IF($B840="","Arabica",$B840))&amp;" - "&amp;(IF($C840="","Commercial",$C840))),Variables!$B$1:$D$1,0),1))*BD840/365),""))</f>
        <v>-3.7867841070297659</v>
      </c>
      <c r="BJ840" s="44">
        <f t="shared" si="41"/>
        <v>-33</v>
      </c>
      <c r="BK840" s="44">
        <f>IF($AX840="Cancelled","",IFERROR(IF(BJ840="","",(W840*INDEX(Variables!$B$7:$D$7,IFERROR(MATCH(IF($B840="Robusta","Robusta",(IF($B840="","Arabica",$B840))&amp;" - "&amp;(IF($C840="","Commercial",$C840))),Variables!$B$1:$D$1,0),1))*(BJ840/365))+(W840*INDEX(Variables!$B$9:$D$9,IFERROR(MATCH(IF($B840="Robusta","Robusta",(IF($B840="","Arabica",$B840))&amp;" - "&amp;(IF($C840="","Commercial",$C840))),Variables!$B$1:$D$1,0),1))*(BJ840/365))+(INDEX(Variables!$B$8:$D$8,IFERROR(MATCH(IF($B840="Robusta","Robusta",(IF($B840="","Arabica",$B840))&amp;" - "&amp;(IF($C840="","Commercial",$C840))),Variables!$B$1:$D$1,0),1))*L840/16.67)),""))</f>
        <v>-21.040968882995564</v>
      </c>
    </row>
    <row r="841" spans="1:63">
      <c r="A841" s="13" t="s">
        <v>103</v>
      </c>
      <c r="B841" s="13" t="s">
        <v>104</v>
      </c>
      <c r="C841" s="13" t="s">
        <v>292</v>
      </c>
      <c r="D841" s="31">
        <v>46066</v>
      </c>
      <c r="E841" s="31">
        <v>46095</v>
      </c>
      <c r="F841" s="31">
        <v>46112</v>
      </c>
      <c r="G841" s="13">
        <v>3787272</v>
      </c>
      <c r="J841" s="13" t="s">
        <v>2210</v>
      </c>
      <c r="K841" s="13" t="s">
        <v>2217</v>
      </c>
      <c r="L841" s="13">
        <v>19</v>
      </c>
      <c r="M841" s="13">
        <v>0</v>
      </c>
      <c r="N841" s="13" t="s">
        <v>2218</v>
      </c>
      <c r="O841" s="13" t="s">
        <v>771</v>
      </c>
      <c r="P841" s="13">
        <v>10010</v>
      </c>
      <c r="R841" s="13" t="s">
        <v>239</v>
      </c>
      <c r="S841" s="13" t="s">
        <v>553</v>
      </c>
      <c r="T841" s="13" t="s">
        <v>112</v>
      </c>
      <c r="U841" s="13" t="s">
        <v>113</v>
      </c>
      <c r="V841" s="13">
        <v>171.65</v>
      </c>
      <c r="W841" s="44">
        <f>IF($AX841="Cancelled","",IFERROR(((V841+INDEX(Variables!$B$6:$D$6,IFERROR(MATCH(IF($B841="Robusta","Robusta",(IF($B841="","Arabica",$B841))&amp;" - "&amp;(IF($C841="","Commercial",$C841))),Variables!$B$1:$D$1,0),1)))*22.0462)*(L841/16.67),""))</f>
        <v>11620.278260947809</v>
      </c>
      <c r="X841" s="55" t="s">
        <v>39</v>
      </c>
      <c r="Y841" s="13" t="str">
        <f>IF($AX841="Cancelled","",IF(X841="","",IFERROR(IF(INDEX(Variables!$B$38:$B$47,MATCH(X841,Variables!$A$38:$A$47,0))="Yes","Yes","No"),"No")))</f>
        <v>No</v>
      </c>
      <c r="Z841" s="31"/>
      <c r="AC841" s="13" t="str">
        <f t="shared" si="40"/>
        <v/>
      </c>
      <c r="AF841" s="71">
        <v>46122</v>
      </c>
      <c r="AG841" s="37">
        <f>IF($AX841="Cancelled","",IFERROR(IF(F841="","",F841-Variables!$B$13),""))</f>
        <v>46097</v>
      </c>
      <c r="AH841" s="13" t="str">
        <f>IF($AX841="Cancelled","",IFERROR(IF(AB841="","",(AVERAGE(E841:F841)-AB841)-Variables!$B$14),""))</f>
        <v/>
      </c>
      <c r="AJ841" s="47">
        <v>46126</v>
      </c>
      <c r="AK841" s="14">
        <f>IF($AX841="Cancelled","",IFERROR(IF(AJ841="","",IF(AND(AB841="",AF841=""),"",IF(AF841&gt;AB841,AF841+Variables!$B$15+Variables!$B$16+Variables!$B$17-AJ841,AB841+Variables!$B$16+Variables!$B$17-AJ841))),""))</f>
        <v>11</v>
      </c>
      <c r="AL841" s="48" t="s">
        <v>114</v>
      </c>
      <c r="AM841" s="13" t="s">
        <v>134</v>
      </c>
      <c r="AN841" s="13" t="s">
        <v>2213</v>
      </c>
      <c r="AP841" s="31" t="e">
        <v>#N/A</v>
      </c>
      <c r="AR841" s="13" t="s">
        <v>2214</v>
      </c>
      <c r="AS841" s="31">
        <v>46145</v>
      </c>
      <c r="AU841" s="31">
        <v>46164</v>
      </c>
      <c r="AV841" s="13" t="s">
        <v>865</v>
      </c>
      <c r="AW841" s="31">
        <v>46164</v>
      </c>
      <c r="AX841" s="13" t="str">
        <f>IF(ISNUMBER(SEARCH("cancel",#REF!)),"Cancelled",IF(AND(AS841&lt;&gt;"",AU841&lt;&gt;"",AW841&lt;&gt;""),"Closed","Open"))</f>
        <v>Closed</v>
      </c>
      <c r="AY841" s="15" t="str">
        <f t="shared" si="39"/>
        <v>All dates received</v>
      </c>
      <c r="BD841" s="13">
        <f>IF($AX841="Cancelled","",IFERROR(IF(OR(AS841="",AJ841=""),"",(AJ841+Variables!$B$18-AS841)),""))</f>
        <v>-4</v>
      </c>
      <c r="BE841" s="13">
        <f>IF($AX841="Cancelled","",IFERROR(IF(OR(AW841="",AS841=""),"",(AS841+Variables!$B$19)-AW841),""))</f>
        <v>-14</v>
      </c>
      <c r="BF841" s="44">
        <f>IF($AX841="Cancelled","",IFERROR(W841*INDEX(Variables!$B$7:$D$7,IFERROR(MATCH(IF($B841="Robusta","Robusta",(IF($B841="","Arabica",$B841))&amp;" - "&amp;(IF($C841="","Commercial",$C841))),Variables!$B$1:$D$1,0),1))*(BE841/365),""))</f>
        <v>-28.740316428200668</v>
      </c>
      <c r="BG841" s="44" t="str">
        <f>IF($AX841="Cancelled","",IFERROR((W841*INDEX(Variables!$B$7:$D$7,IFERROR(MATCH(IF($B841="Robusta","Robusta",(IF($B841="","Arabica",$B841))&amp;" - "&amp;(IF($C841="","Commercial",$C841))),Variables!$B$1:$D$1,0),1))*IFERROR(IF(AB841="","",(AVERAGE(E841:F841)-AB841)-Variables!$B$14),"")/365)+(L841/16.67*INDEX(Variables!$B$8:$D$8,IFERROR(MATCH(IF($B841="Robusta","Robusta",(IF($B841="","Arabica",$B841))&amp;" - "&amp;(IF($C841="","Commercial",$C841))),Variables!$B$1:$D$1,0),1))*IFERROR(IF(AB841="","",(AVERAGE(E841:F841)-AB841)-Variables!$B$14),""))+(W841*INDEX(Variables!$B$9:$D$9,IFERROR(MATCH(IF($B841="Robusta","Robusta",(IF($B841="","Arabica",$B841))&amp;" - "&amp;(IF($C841="","Commercial",$C841))),Variables!$B$1:$D$1,0),1))*IFERROR(IF(AB841="","",(AVERAGE(E841:F841)-AB841)-Variables!$B$14),"")/365),""))</f>
        <v/>
      </c>
      <c r="BH841" s="44">
        <f>IF($AX841="Cancelled","",IFERROR((W841*INDEX(Variables!$B$7:$D$7,IFERROR(MATCH(IF($B841="Robusta","Robusta",(IF($B841="","Arabica",$B841))&amp;" - "&amp;(IF($C841="","Commercial",$C841))),Variables!$B$1:$D$1,0),1))*AK841/365)+(L841/16.67*INDEX(Variables!$B$8:$D$8,IFERROR(MATCH(IF($B841="Robusta","Robusta",(IF($B841="","Arabica",$B841))&amp;" - "&amp;(IF($C841="","Commercial",$C841))),Variables!$B$1:$D$1,0),1))*AK841)+(W841*INDEX(Variables!$B$9:$D$9,IFERROR(MATCH(IF($B841="Robusta","Robusta",(IF($B841="","Arabica",$B841))&amp;" - "&amp;(IF($C841="","Commercial",$C841))),Variables!$B$1:$D$1,0),1))*AK841/365),""))</f>
        <v>33.322798592220721</v>
      </c>
      <c r="BI841" s="44">
        <f>IF($AX841="Cancelled","",IFERROR((W841*INDEX(Variables!$B$7:$D$7,IFERROR(MATCH(IF($B841="Robusta","Robusta",(IF($B841="","Arabica",$B841))&amp;" - "&amp;(IF($C841="","Commercial",$C841))),Variables!$B$1:$D$1,0),1))*BD841/365)+(L841/16.67*INDEX(Variables!$B$8:$D$8,IFERROR(MATCH(IF($B841="Robusta","Robusta",(IF($B841="","Arabica",$B841))&amp;" - "&amp;(IF($C841="","Commercial",$C841))),Variables!$B$1:$D$1,0),1))*BD841)+(W841*INDEX(Variables!$B$9:$D$9,IFERROR(MATCH(IF($B841="Robusta","Robusta",(IF($B841="","Arabica",$B841))&amp;" - "&amp;(IF($C841="","Commercial",$C841))),Variables!$B$1:$D$1,0),1))*BD841/365),""))</f>
        <v>-12.117381306262081</v>
      </c>
      <c r="BJ841" s="44">
        <f t="shared" si="41"/>
        <v>-33</v>
      </c>
      <c r="BK841" s="44">
        <f>IF($AX841="Cancelled","",IFERROR(IF(BJ841="","",(W841*INDEX(Variables!$B$7:$D$7,IFERROR(MATCH(IF($B841="Robusta","Robusta",(IF($B841="","Arabica",$B841))&amp;" - "&amp;(IF($C841="","Commercial",$C841))),Variables!$B$1:$D$1,0),1))*(BJ841/365))+(W841*INDEX(Variables!$B$9:$D$9,IFERROR(MATCH(IF($B841="Robusta","Robusta",(IF($B841="","Arabica",$B841))&amp;" - "&amp;(IF($C841="","Commercial",$C841))),Variables!$B$1:$D$1,0),1))*(BJ841/365))+(INDEX(Variables!$B$8:$D$8,IFERROR(MATCH(IF($B841="Robusta","Robusta",(IF($B841="","Arabica",$B841))&amp;" - "&amp;(IF($C841="","Commercial",$C841))),Variables!$B$1:$D$1,0),1))*L841/16.67)),""))</f>
        <v>-67.668395776662152</v>
      </c>
    </row>
    <row r="842" spans="1:63">
      <c r="A842" s="13" t="s">
        <v>103</v>
      </c>
      <c r="B842" s="13" t="s">
        <v>104</v>
      </c>
      <c r="C842" s="13" t="s">
        <v>292</v>
      </c>
      <c r="D842" s="31">
        <v>46066</v>
      </c>
      <c r="E842" s="31">
        <v>46095</v>
      </c>
      <c r="F842" s="31">
        <v>46112</v>
      </c>
      <c r="G842" s="13">
        <v>3787273</v>
      </c>
      <c r="J842" s="13" t="s">
        <v>2210</v>
      </c>
      <c r="K842" s="13" t="s">
        <v>2219</v>
      </c>
      <c r="L842" s="13">
        <v>30</v>
      </c>
      <c r="M842" s="13">
        <v>0</v>
      </c>
      <c r="N842" s="13" t="s">
        <v>2220</v>
      </c>
      <c r="O842" s="13" t="s">
        <v>297</v>
      </c>
      <c r="P842" s="13">
        <v>10020</v>
      </c>
      <c r="R842" s="13" t="s">
        <v>239</v>
      </c>
      <c r="S842" s="13" t="s">
        <v>553</v>
      </c>
      <c r="T842" s="13" t="s">
        <v>112</v>
      </c>
      <c r="U842" s="13" t="s">
        <v>113</v>
      </c>
      <c r="V842" s="13">
        <v>156.65</v>
      </c>
      <c r="W842" s="44">
        <f>IF($AX842="Cancelled","",IFERROR(((V842+INDEX(Variables!$B$6:$D$6,IFERROR(MATCH(IF($B842="Robusta","Robusta",(IF($B842="","Arabica",$B842))&amp;" - "&amp;(IF($C842="","Commercial",$C842))),Variables!$B$1:$D$1,0),1)))*22.0462)*(L842/16.67),""))</f>
        <v>17752.679406118776</v>
      </c>
      <c r="X842" s="55" t="s">
        <v>39</v>
      </c>
      <c r="Y842" s="13" t="str">
        <f>IF($AX842="Cancelled","",IF(X842="","",IFERROR(IF(INDEX(Variables!$B$38:$B$47,MATCH(X842,Variables!$A$38:$A$47,0))="Yes","Yes","No"),"No")))</f>
        <v>No</v>
      </c>
      <c r="Z842" s="31"/>
      <c r="AC842" s="13" t="str">
        <f t="shared" si="40"/>
        <v/>
      </c>
      <c r="AF842" s="71">
        <v>46112</v>
      </c>
      <c r="AG842" s="37">
        <f>IF($AX842="Cancelled","",IFERROR(IF(F842="","",F842-Variables!$B$13),""))</f>
        <v>46097</v>
      </c>
      <c r="AH842" s="13" t="str">
        <f>IF($AX842="Cancelled","",IFERROR(IF(AB842="","",(AVERAGE(E842:F842)-AB842)-Variables!$B$14),""))</f>
        <v/>
      </c>
      <c r="AJ842" s="47">
        <v>46126</v>
      </c>
      <c r="AK842" s="14">
        <f>IF($AX842="Cancelled","",IFERROR(IF(AJ842="","",IF(AND(AB842="",AF842=""),"",IF(AF842&gt;AB842,AF842+Variables!$B$15+Variables!$B$16+Variables!$B$17-AJ842,AB842+Variables!$B$16+Variables!$B$17-AJ842))),""))</f>
        <v>1</v>
      </c>
      <c r="AL842" s="48" t="s">
        <v>114</v>
      </c>
      <c r="AM842" s="13" t="s">
        <v>134</v>
      </c>
      <c r="AN842" s="13" t="s">
        <v>2213</v>
      </c>
      <c r="AP842" s="31" t="e">
        <v>#N/A</v>
      </c>
      <c r="AR842" s="13" t="s">
        <v>2214</v>
      </c>
      <c r="AS842" s="31">
        <v>46145</v>
      </c>
      <c r="AU842" s="31">
        <v>46164</v>
      </c>
      <c r="AV842" s="13" t="s">
        <v>865</v>
      </c>
      <c r="AW842" s="31">
        <v>46164</v>
      </c>
      <c r="AX842" s="13" t="str">
        <f>IF(ISNUMBER(SEARCH("cancel",#REF!)),"Cancelled",IF(AND(AS842&lt;&gt;"",AU842&lt;&gt;"",AW842&lt;&gt;""),"Closed","Open"))</f>
        <v>Closed</v>
      </c>
      <c r="AY842" s="15" t="str">
        <f t="shared" si="39"/>
        <v>All dates received</v>
      </c>
      <c r="BD842" s="13">
        <f>IF($AX842="Cancelled","",IFERROR(IF(OR(AS842="",AJ842=""),"",(AJ842+Variables!$B$18-AS842)),""))</f>
        <v>-4</v>
      </c>
      <c r="BE842" s="13">
        <f>IF($AX842="Cancelled","",IFERROR(IF(OR(AW842="",AS842=""),"",(AS842+Variables!$B$19)-AW842),""))</f>
        <v>-14</v>
      </c>
      <c r="BF842" s="44">
        <f>IF($AX842="Cancelled","",IFERROR(W842*INDEX(Variables!$B$7:$D$7,IFERROR(MATCH(IF($B842="Robusta","Robusta",(IF($B842="","Arabica",$B842))&amp;" - "&amp;(IF($C842="","Commercial",$C842))),Variables!$B$1:$D$1,0),1))*(BE842/365),""))</f>
        <v>-43.907522016485615</v>
      </c>
      <c r="BG842" s="44" t="str">
        <f>IF($AX842="Cancelled","",IFERROR((W842*INDEX(Variables!$B$7:$D$7,IFERROR(MATCH(IF($B842="Robusta","Robusta",(IF($B842="","Arabica",$B842))&amp;" - "&amp;(IF($C842="","Commercial",$C842))),Variables!$B$1:$D$1,0),1))*IFERROR(IF(AB842="","",(AVERAGE(E842:F842)-AB842)-Variables!$B$14),"")/365)+(L842/16.67*INDEX(Variables!$B$8:$D$8,IFERROR(MATCH(IF($B842="Robusta","Robusta",(IF($B842="","Arabica",$B842))&amp;" - "&amp;(IF($C842="","Commercial",$C842))),Variables!$B$1:$D$1,0),1))*IFERROR(IF(AB842="","",(AVERAGE(E842:F842)-AB842)-Variables!$B$14),""))+(W842*INDEX(Variables!$B$9:$D$9,IFERROR(MATCH(IF($B842="Robusta","Robusta",(IF($B842="","Arabica",$B842))&amp;" - "&amp;(IF($C842="","Commercial",$C842))),Variables!$B$1:$D$1,0),1))*IFERROR(IF(AB842="","",(AVERAGE(E842:F842)-AB842)-Variables!$B$14),"")/365),""))</f>
        <v/>
      </c>
      <c r="BH842" s="44">
        <f>IF($AX842="Cancelled","",IFERROR((W842*INDEX(Variables!$B$7:$D$7,IFERROR(MATCH(IF($B842="Robusta","Robusta",(IF($B842="","Arabica",$B842))&amp;" - "&amp;(IF($C842="","Commercial",$C842))),Variables!$B$1:$D$1,0),1))*AK842/365)+(L842/16.67*INDEX(Variables!$B$8:$D$8,IFERROR(MATCH(IF($B842="Robusta","Robusta",(IF($B842="","Arabica",$B842))&amp;" - "&amp;(IF($C842="","Commercial",$C842))),Variables!$B$1:$D$1,0),1))*AK842)+(W842*INDEX(Variables!$B$9:$D$9,IFERROR(MATCH(IF($B842="Robusta","Robusta",(IF($B842="","Arabica",$B842))&amp;" - "&amp;(IF($C842="","Commercial",$C842))),Variables!$B$1:$D$1,0),1))*AK842/365),""))</f>
        <v>4.6766839079220235</v>
      </c>
      <c r="BI842" s="44">
        <f>IF($AX842="Cancelled","",IFERROR((W842*INDEX(Variables!$B$7:$D$7,IFERROR(MATCH(IF($B842="Robusta","Robusta",(IF($B842="","Arabica",$B842))&amp;" - "&amp;(IF($C842="","Commercial",$C842))),Variables!$B$1:$D$1,0),1))*BD842/365)+(L842/16.67*INDEX(Variables!$B$8:$D$8,IFERROR(MATCH(IF($B842="Robusta","Robusta",(IF($B842="","Arabica",$B842))&amp;" - "&amp;(IF($C842="","Commercial",$C842))),Variables!$B$1:$D$1,0),1))*BD842)+(W842*INDEX(Variables!$B$9:$D$9,IFERROR(MATCH(IF($B842="Robusta","Robusta",(IF($B842="","Arabica",$B842))&amp;" - "&amp;(IF($C842="","Commercial",$C842))),Variables!$B$1:$D$1,0),1))*BD842/365),""))</f>
        <v>-18.706735631688094</v>
      </c>
      <c r="BJ842" s="44">
        <f t="shared" si="41"/>
        <v>-33</v>
      </c>
      <c r="BK842" s="44">
        <f>IF($AX842="Cancelled","",IFERROR(IF(BJ842="","",(W842*INDEX(Variables!$B$7:$D$7,IFERROR(MATCH(IF($B842="Robusta","Robusta",(IF($B842="","Arabica",$B842))&amp;" - "&amp;(IF($C842="","Commercial",$C842))),Variables!$B$1:$D$1,0),1))*(BJ842/365))+(W842*INDEX(Variables!$B$9:$D$9,IFERROR(MATCH(IF($B842="Robusta","Robusta",(IF($B842="","Arabica",$B842))&amp;" - "&amp;(IF($C842="","Commercial",$C842))),Variables!$B$1:$D$1,0),1))*(BJ842/365))+(INDEX(Variables!$B$8:$D$8,IFERROR(MATCH(IF($B842="Robusta","Robusta",(IF($B842="","Arabica",$B842))&amp;" - "&amp;(IF($C842="","Commercial",$C842))),Variables!$B$1:$D$1,0),1))*L842/16.67)),""))</f>
        <v>-103.33056896142679</v>
      </c>
    </row>
    <row r="843" spans="1:63">
      <c r="A843" s="13" t="s">
        <v>103</v>
      </c>
      <c r="B843" s="13" t="s">
        <v>104</v>
      </c>
      <c r="C843" s="13" t="s">
        <v>292</v>
      </c>
      <c r="D843" s="31">
        <v>46066</v>
      </c>
      <c r="E843" s="31">
        <v>46095</v>
      </c>
      <c r="F843" s="31">
        <v>46112</v>
      </c>
      <c r="G843" s="13">
        <v>3787274</v>
      </c>
      <c r="J843" s="13" t="s">
        <v>2210</v>
      </c>
      <c r="K843" s="13" t="s">
        <v>2221</v>
      </c>
      <c r="L843" s="13">
        <v>46</v>
      </c>
      <c r="M843" s="13">
        <v>0</v>
      </c>
      <c r="N843" s="13" t="s">
        <v>2222</v>
      </c>
      <c r="O843" s="13" t="s">
        <v>771</v>
      </c>
      <c r="P843" s="13">
        <v>10010</v>
      </c>
      <c r="R843" s="13" t="s">
        <v>239</v>
      </c>
      <c r="S843" s="13" t="s">
        <v>553</v>
      </c>
      <c r="T843" s="13" t="s">
        <v>112</v>
      </c>
      <c r="U843" s="13" t="s">
        <v>113</v>
      </c>
      <c r="V843" s="13">
        <v>200.65</v>
      </c>
      <c r="W843" s="44">
        <f>IF($AX843="Cancelled","",IFERROR(((V843+INDEX(Variables!$B$6:$D$6,IFERROR(MATCH(IF($B843="Robusta","Robusta",(IF($B843="","Arabica",$B843))&amp;" - "&amp;(IF($C843="","Commercial",$C843))),Variables!$B$1:$D$1,0),1)))*22.0462)*(L843/16.67),""))</f>
        <v>29897.530266346726</v>
      </c>
      <c r="X843" s="55" t="s">
        <v>39</v>
      </c>
      <c r="Y843" s="13" t="str">
        <f>IF($AX843="Cancelled","",IF(X843="","",IFERROR(IF(INDEX(Variables!$B$38:$B$47,MATCH(X843,Variables!$A$38:$A$47,0))="Yes","Yes","No"),"No")))</f>
        <v>No</v>
      </c>
      <c r="Z843" s="31"/>
      <c r="AC843" s="13" t="str">
        <f t="shared" si="40"/>
        <v/>
      </c>
      <c r="AF843" s="71">
        <v>46112</v>
      </c>
      <c r="AG843" s="35">
        <f>IF($AX843="Cancelled","",IFERROR(IF(F843="","",F843-Variables!$B$13),""))</f>
        <v>46097</v>
      </c>
      <c r="AH843" s="13" t="str">
        <f>IF($AX843="Cancelled","",IFERROR(IF(AB843="","",(AVERAGE(E843:F843)-AB843)-Variables!$B$14),""))</f>
        <v/>
      </c>
      <c r="AJ843" s="47">
        <v>46126</v>
      </c>
      <c r="AK843" s="14">
        <f>IF($AX843="Cancelled","",IFERROR(IF(AJ843="","",IF(AND(AB843="",AF843=""),"",IF(AF843&gt;AB843,AF843+Variables!$B$15+Variables!$B$16+Variables!$B$17-AJ843,AB843+Variables!$B$16+Variables!$B$17-AJ843))),""))</f>
        <v>1</v>
      </c>
      <c r="AL843" s="48" t="s">
        <v>114</v>
      </c>
      <c r="AM843" s="13" t="s">
        <v>134</v>
      </c>
      <c r="AN843" s="13" t="s">
        <v>2213</v>
      </c>
      <c r="AP843" s="31" t="e">
        <v>#N/A</v>
      </c>
      <c r="AR843" s="13" t="s">
        <v>2214</v>
      </c>
      <c r="AS843" s="31">
        <v>46145</v>
      </c>
      <c r="AU843" s="31">
        <v>46164</v>
      </c>
      <c r="AV843" s="13" t="s">
        <v>865</v>
      </c>
      <c r="AW843" s="31">
        <v>46164</v>
      </c>
      <c r="AX843" s="13" t="str">
        <f>IF(ISNUMBER(SEARCH("cancel",#REF!)),"Cancelled",IF(AND(AS843&lt;&gt;"",AU843&lt;&gt;"",AW843&lt;&gt;""),"Closed","Open"))</f>
        <v>Closed</v>
      </c>
      <c r="AY843" s="15" t="str">
        <f t="shared" si="39"/>
        <v>All dates received</v>
      </c>
      <c r="BD843" s="13">
        <f>IF($AX843="Cancelled","",IFERROR(IF(OR(AS843="",AJ843=""),"",(AJ843+Variables!$B$18-AS843)),""))</f>
        <v>-4</v>
      </c>
      <c r="BE843" s="13">
        <f>IF($AX843="Cancelled","",IFERROR(IF(OR(AW843="",AS843=""),"",(AS843+Variables!$B$19)-AW843),""))</f>
        <v>-14</v>
      </c>
      <c r="BF843" s="44">
        <f>IF($AX843="Cancelled","",IFERROR(W843*INDEX(Variables!$B$7:$D$7,IFERROR(MATCH(IF($B843="Robusta","Robusta",(IF($B843="","Arabica",$B843))&amp;" - "&amp;(IF($C843="","Commercial",$C843))),Variables!$B$1:$D$1,0),1))*(BE843/365),""))</f>
        <v>-73.94525853690061</v>
      </c>
      <c r="BG843" s="44" t="str">
        <f>IF($AX843="Cancelled","",IFERROR((W843*INDEX(Variables!$B$7:$D$7,IFERROR(MATCH(IF($B843="Robusta","Robusta",(IF($B843="","Arabica",$B843))&amp;" - "&amp;(IF($C843="","Commercial",$C843))),Variables!$B$1:$D$1,0),1))*IFERROR(IF(AB843="","",(AVERAGE(E843:F843)-AB843)-Variables!$B$14),"")/365)+(L843/16.67*INDEX(Variables!$B$8:$D$8,IFERROR(MATCH(IF($B843="Robusta","Robusta",(IF($B843="","Arabica",$B843))&amp;" - "&amp;(IF($C843="","Commercial",$C843))),Variables!$B$1:$D$1,0),1))*IFERROR(IF(AB843="","",(AVERAGE(E843:F843)-AB843)-Variables!$B$14),""))+(W843*INDEX(Variables!$B$9:$D$9,IFERROR(MATCH(IF($B843="Robusta","Robusta",(IF($B843="","Arabica",$B843))&amp;" - "&amp;(IF($C843="","Commercial",$C843))),Variables!$B$1:$D$1,0),1))*IFERROR(IF(AB843="","",(AVERAGE(E843:F843)-AB843)-Variables!$B$14),"")/365),""))</f>
        <v/>
      </c>
      <c r="BH843" s="44">
        <f>IF($AX843="Cancelled","",IFERROR((W843*INDEX(Variables!$B$7:$D$7,IFERROR(MATCH(IF($B843="Robusta","Robusta",(IF($B843="","Arabica",$B843))&amp;" - "&amp;(IF($C843="","Commercial",$C843))),Variables!$B$1:$D$1,0),1))*AK843/365)+(L843/16.67*INDEX(Variables!$B$8:$D$8,IFERROR(MATCH(IF($B843="Robusta","Robusta",(IF($B843="","Arabica",$B843))&amp;" - "&amp;(IF($C843="","Commercial",$C843))),Variables!$B$1:$D$1,0),1))*AK843)+(W843*INDEX(Variables!$B$9:$D$9,IFERROR(MATCH(IF($B843="Robusta","Robusta",(IF($B843="","Arabica",$B843))&amp;" - "&amp;(IF($C843="","Commercial",$C843))),Variables!$B$1:$D$1,0),1))*AK843/365),""))</f>
        <v>7.6498968302768136</v>
      </c>
      <c r="BI843" s="44">
        <f>IF($AX843="Cancelled","",IFERROR((W843*INDEX(Variables!$B$7:$D$7,IFERROR(MATCH(IF($B843="Robusta","Robusta",(IF($B843="","Arabica",$B843))&amp;" - "&amp;(IF($C843="","Commercial",$C843))),Variables!$B$1:$D$1,0),1))*BD843/365)+(L843/16.67*INDEX(Variables!$B$8:$D$8,IFERROR(MATCH(IF($B843="Robusta","Robusta",(IF($B843="","Arabica",$B843))&amp;" - "&amp;(IF($C843="","Commercial",$C843))),Variables!$B$1:$D$1,0),1))*BD843)+(W843*INDEX(Variables!$B$9:$D$9,IFERROR(MATCH(IF($B843="Robusta","Robusta",(IF($B843="","Arabica",$B843))&amp;" - "&amp;(IF($C843="","Commercial",$C843))),Variables!$B$1:$D$1,0),1))*BD843/365),""))</f>
        <v>-30.599587321107254</v>
      </c>
      <c r="BJ843" s="44">
        <f t="shared" si="41"/>
        <v>-33</v>
      </c>
      <c r="BK843" s="44">
        <f>IF($AX843="Cancelled","",IFERROR(IF(BJ843="","",(W843*INDEX(Variables!$B$7:$D$7,IFERROR(MATCH(IF($B843="Robusta","Robusta",(IF($B843="","Arabica",$B843))&amp;" - "&amp;(IF($C843="","Commercial",$C843))),Variables!$B$1:$D$1,0),1))*(BJ843/365))+(W843*INDEX(Variables!$B$9:$D$9,IFERROR(MATCH(IF($B843="Robusta","Robusta",(IF($B843="","Arabica",$B843))&amp;" - "&amp;(IF($C843="","Commercial",$C843))),Variables!$B$1:$D$1,0),1))*(BJ843/365))+(INDEX(Variables!$B$8:$D$8,IFERROR(MATCH(IF($B843="Robusta","Robusta",(IF($B843="","Arabica",$B843))&amp;" - "&amp;(IF($C843="","Commercial",$C843))),Variables!$B$1:$D$1,0),1))*L843/16.67)),""))</f>
        <v>-174.24659539913483</v>
      </c>
    </row>
    <row r="844" spans="1:63">
      <c r="A844" s="13" t="s">
        <v>103</v>
      </c>
      <c r="B844" s="13" t="s">
        <v>104</v>
      </c>
      <c r="C844" s="13" t="s">
        <v>292</v>
      </c>
      <c r="D844" s="31">
        <v>46066</v>
      </c>
      <c r="E844" s="31">
        <v>46095</v>
      </c>
      <c r="F844" s="31">
        <v>46112</v>
      </c>
      <c r="G844" s="13">
        <v>3787275</v>
      </c>
      <c r="J844" s="13" t="s">
        <v>2210</v>
      </c>
      <c r="K844" s="13" t="s">
        <v>2223</v>
      </c>
      <c r="L844" s="13">
        <v>28</v>
      </c>
      <c r="M844" s="13">
        <v>0</v>
      </c>
      <c r="N844" s="13" t="s">
        <v>2224</v>
      </c>
      <c r="O844" s="13" t="s">
        <v>297</v>
      </c>
      <c r="P844" s="13">
        <v>10020</v>
      </c>
      <c r="R844" s="13" t="s">
        <v>239</v>
      </c>
      <c r="S844" s="13" t="s">
        <v>553</v>
      </c>
      <c r="T844" s="13" t="s">
        <v>112</v>
      </c>
      <c r="U844" s="13" t="s">
        <v>113</v>
      </c>
      <c r="V844" s="13">
        <v>188.65</v>
      </c>
      <c r="W844" s="44">
        <f>IF($AX844="Cancelled","",IFERROR(((V844+INDEX(Variables!$B$6:$D$6,IFERROR(MATCH(IF($B844="Robusta","Robusta",(IF($B844="","Arabica",$B844))&amp;" - "&amp;(IF($C844="","Commercial",$C844))),Variables!$B$1:$D$1,0),1)))*22.0462)*(L844/16.67),""))</f>
        <v>17754.134164367126</v>
      </c>
      <c r="X844" s="55" t="s">
        <v>39</v>
      </c>
      <c r="Y844" s="13" t="str">
        <f>IF($AX844="Cancelled","",IF(X844="","",IFERROR(IF(INDEX(Variables!$B$38:$B$47,MATCH(X844,Variables!$A$38:$A$47,0))="Yes","Yes","No"),"No")))</f>
        <v>No</v>
      </c>
      <c r="Z844" s="31"/>
      <c r="AC844" s="13" t="str">
        <f t="shared" si="40"/>
        <v/>
      </c>
      <c r="AF844" s="71">
        <v>46112</v>
      </c>
      <c r="AG844" s="37">
        <f>IF($AX844="Cancelled","",IFERROR(IF(F844="","",F844-Variables!$B$13),""))</f>
        <v>46097</v>
      </c>
      <c r="AH844" s="13" t="str">
        <f>IF($AX844="Cancelled","",IFERROR(IF(AB844="","",(AVERAGE(E844:F844)-AB844)-Variables!$B$14),""))</f>
        <v/>
      </c>
      <c r="AJ844" s="47">
        <v>46126</v>
      </c>
      <c r="AK844" s="14">
        <f>IF($AX844="Cancelled","",IFERROR(IF(AJ844="","",IF(AND(AB844="",AF844=""),"",IF(AF844&gt;AB844,AF844+Variables!$B$15+Variables!$B$16+Variables!$B$17-AJ844,AB844+Variables!$B$16+Variables!$B$17-AJ844))),""))</f>
        <v>1</v>
      </c>
      <c r="AL844" s="48" t="s">
        <v>114</v>
      </c>
      <c r="AM844" s="13" t="s">
        <v>134</v>
      </c>
      <c r="AN844" s="13" t="s">
        <v>2213</v>
      </c>
      <c r="AP844" s="31" t="e">
        <v>#N/A</v>
      </c>
      <c r="AR844" s="13" t="s">
        <v>2214</v>
      </c>
      <c r="AS844" s="31">
        <v>46145</v>
      </c>
      <c r="AU844" s="31">
        <v>46164</v>
      </c>
      <c r="AV844" s="13" t="s">
        <v>865</v>
      </c>
      <c r="AW844" s="31">
        <v>46164</v>
      </c>
      <c r="AX844" s="13" t="str">
        <f>IF(ISNUMBER(SEARCH("cancel",#REF!)),"Cancelled",IF(AND(AS844&lt;&gt;"",AU844&lt;&gt;"",AW844&lt;&gt;""),"Closed","Open"))</f>
        <v>Closed</v>
      </c>
      <c r="AY844" s="15" t="str">
        <f t="shared" si="39"/>
        <v>All dates received</v>
      </c>
      <c r="BD844" s="13">
        <f>IF($AX844="Cancelled","",IFERROR(IF(OR(AS844="",AJ844=""),"",(AJ844+Variables!$B$18-AS844)),""))</f>
        <v>-4</v>
      </c>
      <c r="BE844" s="13">
        <f>IF($AX844="Cancelled","",IFERROR(IF(OR(AW844="",AS844=""),"",(AS844+Variables!$B$19)-AW844),""))</f>
        <v>-14</v>
      </c>
      <c r="BF844" s="44">
        <f>IF($AX844="Cancelled","",IFERROR(W844*INDEX(Variables!$B$7:$D$7,IFERROR(MATCH(IF($B844="Robusta","Robusta",(IF($B844="","Arabica",$B844))&amp;" - "&amp;(IF($C844="","Commercial",$C844))),Variables!$B$1:$D$1,0),1))*(BE844/365),""))</f>
        <v>-43.911120055314406</v>
      </c>
      <c r="BG844" s="44" t="str">
        <f>IF($AX844="Cancelled","",IFERROR((W844*INDEX(Variables!$B$7:$D$7,IFERROR(MATCH(IF($B844="Robusta","Robusta",(IF($B844="","Arabica",$B844))&amp;" - "&amp;(IF($C844="","Commercial",$C844))),Variables!$B$1:$D$1,0),1))*IFERROR(IF(AB844="","",(AVERAGE(E844:F844)-AB844)-Variables!$B$14),"")/365)+(L844/16.67*INDEX(Variables!$B$8:$D$8,IFERROR(MATCH(IF($B844="Robusta","Robusta",(IF($B844="","Arabica",$B844))&amp;" - "&amp;(IF($C844="","Commercial",$C844))),Variables!$B$1:$D$1,0),1))*IFERROR(IF(AB844="","",(AVERAGE(E844:F844)-AB844)-Variables!$B$14),""))+(W844*INDEX(Variables!$B$9:$D$9,IFERROR(MATCH(IF($B844="Robusta","Robusta",(IF($B844="","Arabica",$B844))&amp;" - "&amp;(IF($C844="","Commercial",$C844))),Variables!$B$1:$D$1,0),1))*IFERROR(IF(AB844="","",(AVERAGE(E844:F844)-AB844)-Variables!$B$14),"")/365),""))</f>
        <v/>
      </c>
      <c r="BH844" s="44">
        <f>IF($AX844="Cancelled","",IFERROR((W844*INDEX(Variables!$B$7:$D$7,IFERROR(MATCH(IF($B844="Robusta","Robusta",(IF($B844="","Arabica",$B844))&amp;" - "&amp;(IF($C844="","Commercial",$C844))),Variables!$B$1:$D$1,0),1))*AK844/365)+(L844/16.67*INDEX(Variables!$B$8:$D$8,IFERROR(MATCH(IF($B844="Robusta","Robusta",(IF($B844="","Arabica",$B844))&amp;" - "&amp;(IF($C844="","Commercial",$C844))),Variables!$B$1:$D$1,0),1))*AK844)+(W844*INDEX(Variables!$B$9:$D$9,IFERROR(MATCH(IF($B844="Robusta","Robusta",(IF($B844="","Arabica",$B844))&amp;" - "&amp;(IF($C844="","Commercial",$C844))),Variables!$B$1:$D$1,0),1))*AK844/365),""))</f>
        <v>4.5769442239572395</v>
      </c>
      <c r="BI844" s="44">
        <f>IF($AX844="Cancelled","",IFERROR((W844*INDEX(Variables!$B$7:$D$7,IFERROR(MATCH(IF($B844="Robusta","Robusta",(IF($B844="","Arabica",$B844))&amp;" - "&amp;(IF($C844="","Commercial",$C844))),Variables!$B$1:$D$1,0),1))*BD844/365)+(L844/16.67*INDEX(Variables!$B$8:$D$8,IFERROR(MATCH(IF($B844="Robusta","Robusta",(IF($B844="","Arabica",$B844))&amp;" - "&amp;(IF($C844="","Commercial",$C844))),Variables!$B$1:$D$1,0),1))*BD844)+(W844*INDEX(Variables!$B$9:$D$9,IFERROR(MATCH(IF($B844="Robusta","Robusta",(IF($B844="","Arabica",$B844))&amp;" - "&amp;(IF($C844="","Commercial",$C844))),Variables!$B$1:$D$1,0),1))*BD844/365),""))</f>
        <v>-18.307776895828958</v>
      </c>
      <c r="BJ844" s="44">
        <f t="shared" si="41"/>
        <v>-33</v>
      </c>
      <c r="BK844" s="44">
        <f>IF($AX844="Cancelled","",IFERROR(IF(BJ844="","",(W844*INDEX(Variables!$B$7:$D$7,IFERROR(MATCH(IF($B844="Robusta","Robusta",(IF($B844="","Arabica",$B844))&amp;" - "&amp;(IF($C844="","Commercial",$C844))),Variables!$B$1:$D$1,0),1))*(BJ844/365))+(W844*INDEX(Variables!$B$9:$D$9,IFERROR(MATCH(IF($B844="Robusta","Robusta",(IF($B844="","Arabica",$B844))&amp;" - "&amp;(IF($C844="","Commercial",$C844))),Variables!$B$1:$D$1,0),1))*(BJ844/365))+(INDEX(Variables!$B$8:$D$8,IFERROR(MATCH(IF($B844="Robusta","Robusta",(IF($B844="","Arabica",$B844))&amp;" - "&amp;(IF($C844="","Commercial",$C844))),Variables!$B$1:$D$1,0),1))*L844/16.67)),""))</f>
        <v>-103.4391593905889</v>
      </c>
    </row>
    <row r="845" spans="1:63">
      <c r="A845" s="13" t="s">
        <v>103</v>
      </c>
      <c r="B845" s="13" t="s">
        <v>104</v>
      </c>
      <c r="C845" s="13" t="s">
        <v>292</v>
      </c>
      <c r="D845" s="31">
        <v>46066</v>
      </c>
      <c r="E845" s="31">
        <v>46095</v>
      </c>
      <c r="F845" s="31">
        <v>46112</v>
      </c>
      <c r="G845" s="13">
        <v>3787276</v>
      </c>
      <c r="J845" s="13" t="s">
        <v>2210</v>
      </c>
      <c r="K845" s="13" t="s">
        <v>2225</v>
      </c>
      <c r="L845" s="13">
        <v>50</v>
      </c>
      <c r="M845" s="13">
        <v>0</v>
      </c>
      <c r="N845" s="13" t="s">
        <v>2226</v>
      </c>
      <c r="O845" s="13" t="s">
        <v>771</v>
      </c>
      <c r="P845" s="13">
        <v>10010</v>
      </c>
      <c r="R845" s="13" t="s">
        <v>239</v>
      </c>
      <c r="S845" s="13" t="s">
        <v>553</v>
      </c>
      <c r="T845" s="13" t="s">
        <v>112</v>
      </c>
      <c r="U845" s="13" t="s">
        <v>113</v>
      </c>
      <c r="V845" s="13">
        <v>201.65</v>
      </c>
      <c r="W845" s="44">
        <f>IF($AX845="Cancelled","",IFERROR(((V845+INDEX(Variables!$B$6:$D$6,IFERROR(MATCH(IF($B845="Robusta","Robusta",(IF($B845="","Arabica",$B845))&amp;" - "&amp;(IF($C845="","Commercial",$C845))),Variables!$B$1:$D$1,0),1)))*22.0462)*(L845/16.67),""))</f>
        <v>32563.44088182363</v>
      </c>
      <c r="X845" s="55" t="s">
        <v>39</v>
      </c>
      <c r="Y845" s="13" t="str">
        <f>IF($AX845="Cancelled","",IF(X845="","",IFERROR(IF(INDEX(Variables!$B$38:$B$47,MATCH(X845,Variables!$A$38:$A$47,0))="Yes","Yes","No"),"No")))</f>
        <v>No</v>
      </c>
      <c r="Z845" s="31"/>
      <c r="AC845" s="13" t="str">
        <f t="shared" si="40"/>
        <v/>
      </c>
      <c r="AF845" s="71">
        <v>46112</v>
      </c>
      <c r="AG845" s="37">
        <f>IF($AX845="Cancelled","",IFERROR(IF(F845="","",F845-Variables!$B$13),""))</f>
        <v>46097</v>
      </c>
      <c r="AH845" s="13" t="str">
        <f>IF($AX845="Cancelled","",IFERROR(IF(AB845="","",(AVERAGE(E845:F845)-AB845)-Variables!$B$14),""))</f>
        <v/>
      </c>
      <c r="AJ845" s="47">
        <v>46126</v>
      </c>
      <c r="AK845" s="14">
        <f>IF($AX845="Cancelled","",IFERROR(IF(AJ845="","",IF(AND(AB845="",AF845=""),"",IF(AF845&gt;AB845,AF845+Variables!$B$15+Variables!$B$16+Variables!$B$17-AJ845,AB845+Variables!$B$16+Variables!$B$17-AJ845))),""))</f>
        <v>1</v>
      </c>
      <c r="AL845" s="48" t="s">
        <v>114</v>
      </c>
      <c r="AM845" s="13" t="s">
        <v>134</v>
      </c>
      <c r="AN845" s="13" t="s">
        <v>2213</v>
      </c>
      <c r="AP845" s="31" t="e">
        <v>#N/A</v>
      </c>
      <c r="AR845" s="13" t="s">
        <v>2214</v>
      </c>
      <c r="AS845" s="31">
        <v>46145</v>
      </c>
      <c r="AU845" s="31">
        <v>46164</v>
      </c>
      <c r="AV845" s="13" t="s">
        <v>865</v>
      </c>
      <c r="AW845" s="31">
        <v>46164</v>
      </c>
      <c r="AX845" s="13" t="str">
        <f>IF(ISNUMBER(SEARCH("cancel",#REF!)),"Cancelled",IF(AND(AS845&lt;&gt;"",AU845&lt;&gt;"",AW845&lt;&gt;""),"Closed","Open"))</f>
        <v>Closed</v>
      </c>
      <c r="AY845" s="15" t="str">
        <f t="shared" si="39"/>
        <v>All dates received</v>
      </c>
      <c r="BD845" s="13">
        <f>IF($AX845="Cancelled","",IFERROR(IF(OR(AS845="",AJ845=""),"",(AJ845+Variables!$B$18-AS845)),""))</f>
        <v>-4</v>
      </c>
      <c r="BE845" s="13">
        <f>IF($AX845="Cancelled","",IFERROR(IF(OR(AW845="",AS845=""),"",(AS845+Variables!$B$19)-AW845),""))</f>
        <v>-14</v>
      </c>
      <c r="BF845" s="44">
        <f>IF($AX845="Cancelled","",IFERROR(W845*INDEX(Variables!$B$7:$D$7,IFERROR(MATCH(IF($B845="Robusta","Robusta",(IF($B845="","Arabica",$B845))&amp;" - "&amp;(IF($C845="","Commercial",$C845))),Variables!$B$1:$D$1,0),1))*(BE845/365),""))</f>
        <v>-80.538828237860244</v>
      </c>
      <c r="BG845" s="44" t="str">
        <f>IF($AX845="Cancelled","",IFERROR((W845*INDEX(Variables!$B$7:$D$7,IFERROR(MATCH(IF($B845="Robusta","Robusta",(IF($B845="","Arabica",$B845))&amp;" - "&amp;(IF($C845="","Commercial",$C845))),Variables!$B$1:$D$1,0),1))*IFERROR(IF(AB845="","",(AVERAGE(E845:F845)-AB845)-Variables!$B$14),"")/365)+(L845/16.67*INDEX(Variables!$B$8:$D$8,IFERROR(MATCH(IF($B845="Robusta","Robusta",(IF($B845="","Arabica",$B845))&amp;" - "&amp;(IF($C845="","Commercial",$C845))),Variables!$B$1:$D$1,0),1))*IFERROR(IF(AB845="","",(AVERAGE(E845:F845)-AB845)-Variables!$B$14),""))+(W845*INDEX(Variables!$B$9:$D$9,IFERROR(MATCH(IF($B845="Robusta","Robusta",(IF($B845="","Arabica",$B845))&amp;" - "&amp;(IF($C845="","Commercial",$C845))),Variables!$B$1:$D$1,0),1))*IFERROR(IF(AB845="","",(AVERAGE(E845:F845)-AB845)-Variables!$B$14),"")/365),""))</f>
        <v/>
      </c>
      <c r="BH845" s="44">
        <f>IF($AX845="Cancelled","",IFERROR((W845*INDEX(Variables!$B$7:$D$7,IFERROR(MATCH(IF($B845="Robusta","Robusta",(IF($B845="","Arabica",$B845))&amp;" - "&amp;(IF($C845="","Commercial",$C845))),Variables!$B$1:$D$1,0),1))*AK845/365)+(L845/16.67*INDEX(Variables!$B$8:$D$8,IFERROR(MATCH(IF($B845="Robusta","Robusta",(IF($B845="","Arabica",$B845))&amp;" - "&amp;(IF($C845="","Commercial",$C845))),Variables!$B$1:$D$1,0),1))*AK845)+(W845*INDEX(Variables!$B$9:$D$9,IFERROR(MATCH(IF($B845="Robusta","Robusta",(IF($B845="","Arabica",$B845))&amp;" - "&amp;(IF($C845="","Commercial",$C845))),Variables!$B$1:$D$1,0),1))*AK845/365),""))</f>
        <v>8.3269377973561305</v>
      </c>
      <c r="BI845" s="44">
        <f>IF($AX845="Cancelled","",IFERROR((W845*INDEX(Variables!$B$7:$D$7,IFERROR(MATCH(IF($B845="Robusta","Robusta",(IF($B845="","Arabica",$B845))&amp;" - "&amp;(IF($C845="","Commercial",$C845))),Variables!$B$1:$D$1,0),1))*BD845/365)+(L845/16.67*INDEX(Variables!$B$8:$D$8,IFERROR(MATCH(IF($B845="Robusta","Robusta",(IF($B845="","Arabica",$B845))&amp;" - "&amp;(IF($C845="","Commercial",$C845))),Variables!$B$1:$D$1,0),1))*BD845)+(W845*INDEX(Variables!$B$9:$D$9,IFERROR(MATCH(IF($B845="Robusta","Robusta",(IF($B845="","Arabica",$B845))&amp;" - "&amp;(IF($C845="","Commercial",$C845))),Variables!$B$1:$D$1,0),1))*BD845/365),""))</f>
        <v>-33.307751189424522</v>
      </c>
      <c r="BJ845" s="44">
        <f t="shared" si="41"/>
        <v>-33</v>
      </c>
      <c r="BK845" s="44">
        <f>IF($AX845="Cancelled","",IFERROR(IF(BJ845="","",(W845*INDEX(Variables!$B$7:$D$7,IFERROR(MATCH(IF($B845="Robusta","Robusta",(IF($B845="","Arabica",$B845))&amp;" - "&amp;(IF($C845="","Commercial",$C845))),Variables!$B$1:$D$1,0),1))*(BJ845/365))+(W845*INDEX(Variables!$B$9:$D$9,IFERROR(MATCH(IF($B845="Robusta","Robusta",(IF($B845="","Arabica",$B845))&amp;" - "&amp;(IF($C845="","Commercial",$C845))),Variables!$B$1:$D$1,0),1))*(BJ845/365))+(INDEX(Variables!$B$8:$D$8,IFERROR(MATCH(IF($B845="Robusta","Robusta",(IF($B845="","Arabica",$B845))&amp;" - "&amp;(IF($C845="","Commercial",$C845))),Variables!$B$1:$D$1,0),1))*L845/16.67)),""))</f>
        <v>-189.78894731275236</v>
      </c>
    </row>
    <row r="846" spans="1:63">
      <c r="A846" s="13" t="s">
        <v>103</v>
      </c>
      <c r="B846" s="13" t="s">
        <v>104</v>
      </c>
      <c r="C846" s="13" t="s">
        <v>292</v>
      </c>
      <c r="D846" s="31">
        <v>46066</v>
      </c>
      <c r="E846" s="31">
        <v>46095</v>
      </c>
      <c r="F846" s="31">
        <v>46112</v>
      </c>
      <c r="G846" s="13">
        <v>3787277</v>
      </c>
      <c r="J846" s="13" t="s">
        <v>2210</v>
      </c>
      <c r="K846" s="13" t="s">
        <v>2227</v>
      </c>
      <c r="L846" s="13">
        <v>30</v>
      </c>
      <c r="M846" s="13">
        <v>0</v>
      </c>
      <c r="N846" s="13" t="s">
        <v>2228</v>
      </c>
      <c r="O846" s="13" t="s">
        <v>297</v>
      </c>
      <c r="P846" s="13">
        <v>10020</v>
      </c>
      <c r="R846" s="13" t="s">
        <v>239</v>
      </c>
      <c r="S846" s="13" t="s">
        <v>553</v>
      </c>
      <c r="T846" s="13" t="s">
        <v>112</v>
      </c>
      <c r="U846" s="13" t="s">
        <v>113</v>
      </c>
      <c r="V846" s="13">
        <v>163.65</v>
      </c>
      <c r="W846" s="44">
        <f>IF($AX846="Cancelled","",IFERROR(((V846+INDEX(Variables!$B$6:$D$6,IFERROR(MATCH(IF($B846="Robusta","Robusta",(IF($B846="","Arabica",$B846))&amp;" - "&amp;(IF($C846="","Commercial",$C846))),Variables!$B$1:$D$1,0),1)))*22.0462)*(L846/16.67),""))</f>
        <v>18030.405980803836</v>
      </c>
      <c r="X846" s="55" t="s">
        <v>39</v>
      </c>
      <c r="Y846" s="13" t="str">
        <f>IF($AX846="Cancelled","",IF(X846="","",IFERROR(IF(INDEX(Variables!$B$38:$B$47,MATCH(X846,Variables!$A$38:$A$47,0))="Yes","Yes","No"),"No")))</f>
        <v>No</v>
      </c>
      <c r="Z846" s="31"/>
      <c r="AC846" s="13" t="str">
        <f t="shared" si="40"/>
        <v/>
      </c>
      <c r="AF846" s="71">
        <v>46112</v>
      </c>
      <c r="AG846" s="35">
        <f>IF($AX846="Cancelled","",IFERROR(IF(F846="","",F846-Variables!$B$13),""))</f>
        <v>46097</v>
      </c>
      <c r="AH846" s="13" t="str">
        <f>IF($AX846="Cancelled","",IFERROR(IF(AB846="","",(AVERAGE(E846:F846)-AB846)-Variables!$B$14),""))</f>
        <v/>
      </c>
      <c r="AJ846" s="47">
        <v>46126</v>
      </c>
      <c r="AK846" s="14">
        <f>IF($AX846="Cancelled","",IFERROR(IF(AJ846="","",IF(AND(AB846="",AF846=""),"",IF(AF846&gt;AB846,AF846+Variables!$B$15+Variables!$B$16+Variables!$B$17-AJ846,AB846+Variables!$B$16+Variables!$B$17-AJ846))),""))</f>
        <v>1</v>
      </c>
      <c r="AL846" s="48" t="s">
        <v>114</v>
      </c>
      <c r="AM846" s="13" t="s">
        <v>134</v>
      </c>
      <c r="AN846" s="13" t="s">
        <v>2213</v>
      </c>
      <c r="AP846" s="31" t="e">
        <v>#N/A</v>
      </c>
      <c r="AR846" s="13" t="s">
        <v>2214</v>
      </c>
      <c r="AS846" s="31">
        <v>46145</v>
      </c>
      <c r="AU846" s="31">
        <v>46164</v>
      </c>
      <c r="AV846" s="13" t="s">
        <v>865</v>
      </c>
      <c r="AW846" s="31">
        <v>46164</v>
      </c>
      <c r="AX846" s="13" t="str">
        <f>IF(ISNUMBER(SEARCH("cancel",#REF!)),"Cancelled",IF(AND(AS846&lt;&gt;"",AU846&lt;&gt;"",AW846&lt;&gt;""),"Closed","Open"))</f>
        <v>Closed</v>
      </c>
      <c r="AY846" s="15" t="str">
        <f t="shared" si="39"/>
        <v>All dates received</v>
      </c>
      <c r="BD846" s="13">
        <f>IF($AX846="Cancelled","",IFERROR(IF(OR(AS846="",AJ846=""),"",(AJ846+Variables!$B$18-AS846)),""))</f>
        <v>-4</v>
      </c>
      <c r="BE846" s="13">
        <f>IF($AX846="Cancelled","",IFERROR(IF(OR(AW846="",AS846=""),"",(AS846+Variables!$B$19)-AW846),""))</f>
        <v>-14</v>
      </c>
      <c r="BF846" s="44">
        <f>IF($AX846="Cancelled","",IFERROR(W846*INDEX(Variables!$B$7:$D$7,IFERROR(MATCH(IF($B846="Robusta","Robusta",(IF($B846="","Arabica",$B846))&amp;" - "&amp;(IF($C846="","Commercial",$C846))),Variables!$B$1:$D$1,0),1))*(BE846/365),""))</f>
        <v>-44.594420338343696</v>
      </c>
      <c r="BG846" s="44" t="str">
        <f>IF($AX846="Cancelled","",IFERROR((W846*INDEX(Variables!$B$7:$D$7,IFERROR(MATCH(IF($B846="Robusta","Robusta",(IF($B846="","Arabica",$B846))&amp;" - "&amp;(IF($C846="","Commercial",$C846))),Variables!$B$1:$D$1,0),1))*IFERROR(IF(AB846="","",(AVERAGE(E846:F846)-AB846)-Variables!$B$14),"")/365)+(L846/16.67*INDEX(Variables!$B$8:$D$8,IFERROR(MATCH(IF($B846="Robusta","Robusta",(IF($B846="","Arabica",$B846))&amp;" - "&amp;(IF($C846="","Commercial",$C846))),Variables!$B$1:$D$1,0),1))*IFERROR(IF(AB846="","",(AVERAGE(E846:F846)-AB846)-Variables!$B$14),""))+(W846*INDEX(Variables!$B$9:$D$9,IFERROR(MATCH(IF($B846="Robusta","Robusta",(IF($B846="","Arabica",$B846))&amp;" - "&amp;(IF($C846="","Commercial",$C846))),Variables!$B$1:$D$1,0),1))*IFERROR(IF(AB846="","",(AVERAGE(E846:F846)-AB846)-Variables!$B$14),"")/365),""))</f>
        <v/>
      </c>
      <c r="BH846" s="44">
        <f>IF($AX846="Cancelled","",IFERROR((W846*INDEX(Variables!$B$7:$D$7,IFERROR(MATCH(IF($B846="Robusta","Robusta",(IF($B846="","Arabica",$B846))&amp;" - "&amp;(IF($C846="","Commercial",$C846))),Variables!$B$1:$D$1,0),1))*AK846/365)+(L846/16.67*INDEX(Variables!$B$8:$D$8,IFERROR(MATCH(IF($B846="Robusta","Robusta",(IF($B846="","Arabica",$B846))&amp;" - "&amp;(IF($C846="","Commercial",$C846))),Variables!$B$1:$D$1,0),1))*AK846)+(W846*INDEX(Variables!$B$9:$D$9,IFERROR(MATCH(IF($B846="Robusta","Robusta",(IF($B846="","Arabica",$B846))&amp;" - "&amp;(IF($C846="","Commercial",$C846))),Variables!$B$1:$D$1,0),1))*AK846/365),""))</f>
        <v>4.7263806055540583</v>
      </c>
      <c r="BI846" s="44">
        <f>IF($AX846="Cancelled","",IFERROR((W846*INDEX(Variables!$B$7:$D$7,IFERROR(MATCH(IF($B846="Robusta","Robusta",(IF($B846="","Arabica",$B846))&amp;" - "&amp;(IF($C846="","Commercial",$C846))),Variables!$B$1:$D$1,0),1))*BD846/365)+(L846/16.67*INDEX(Variables!$B$8:$D$8,IFERROR(MATCH(IF($B846="Robusta","Robusta",(IF($B846="","Arabica",$B846))&amp;" - "&amp;(IF($C846="","Commercial",$C846))),Variables!$B$1:$D$1,0),1))*BD846)+(W846*INDEX(Variables!$B$9:$D$9,IFERROR(MATCH(IF($B846="Robusta","Robusta",(IF($B846="","Arabica",$B846))&amp;" - "&amp;(IF($C846="","Commercial",$C846))),Variables!$B$1:$D$1,0),1))*BD846/365),""))</f>
        <v>-18.905522422216233</v>
      </c>
      <c r="BJ846" s="44">
        <f t="shared" si="41"/>
        <v>-33</v>
      </c>
      <c r="BK846" s="44">
        <f>IF($AX846="Cancelled","",IFERROR(IF(BJ846="","",(W846*INDEX(Variables!$B$7:$D$7,IFERROR(MATCH(IF($B846="Robusta","Robusta",(IF($B846="","Arabica",$B846))&amp;" - "&amp;(IF($C846="","Commercial",$C846))),Variables!$B$1:$D$1,0),1))*(BJ846/365))+(W846*INDEX(Variables!$B$9:$D$9,IFERROR(MATCH(IF($B846="Robusta","Robusta",(IF($B846="","Arabica",$B846))&amp;" - "&amp;(IF($C846="","Commercial",$C846))),Variables!$B$1:$D$1,0),1))*(BJ846/365))+(INDEX(Variables!$B$8:$D$8,IFERROR(MATCH(IF($B846="Robusta","Robusta",(IF($B846="","Arabica",$B846))&amp;" - "&amp;(IF($C846="","Commercial",$C846))),Variables!$B$1:$D$1,0),1))*L846/16.67)),""))</f>
        <v>-104.97055998328393</v>
      </c>
    </row>
    <row r="847" spans="1:63">
      <c r="A847" s="13" t="s">
        <v>103</v>
      </c>
      <c r="B847" s="13" t="s">
        <v>104</v>
      </c>
      <c r="C847" s="13" t="s">
        <v>292</v>
      </c>
      <c r="D847" s="31">
        <v>46066</v>
      </c>
      <c r="E847" s="31">
        <v>46082</v>
      </c>
      <c r="F847" s="31">
        <v>46112</v>
      </c>
      <c r="G847" s="13">
        <v>3787278</v>
      </c>
      <c r="J847" s="13" t="s">
        <v>611</v>
      </c>
      <c r="K847" s="13" t="s">
        <v>2229</v>
      </c>
      <c r="L847" s="13">
        <v>10</v>
      </c>
      <c r="M847" s="13">
        <v>1</v>
      </c>
      <c r="N847" s="13" t="s">
        <v>2230</v>
      </c>
      <c r="O847" s="13" t="s">
        <v>771</v>
      </c>
      <c r="P847" s="13">
        <v>10010</v>
      </c>
      <c r="R847" s="13" t="s">
        <v>239</v>
      </c>
      <c r="S847" s="13" t="s">
        <v>283</v>
      </c>
      <c r="T847" s="13" t="s">
        <v>112</v>
      </c>
      <c r="U847" s="13" t="s">
        <v>113</v>
      </c>
      <c r="V847" s="13">
        <v>189</v>
      </c>
      <c r="W847" s="44">
        <f>IF($AX847="Cancelled","",IFERROR(((V847+INDEX(Variables!$B$6:$D$6,IFERROR(MATCH(IF($B847="Robusta","Robusta",(IF($B847="","Arabica",$B847))&amp;" - "&amp;(IF($C847="","Commercial",$C847))),Variables!$B$1:$D$1,0),1)))*22.0462)*(L847/16.67),""))</f>
        <v>6345.390977804439</v>
      </c>
      <c r="X847" s="55" t="s">
        <v>39</v>
      </c>
      <c r="Y847" s="13" t="str">
        <f>IF($AX847="Cancelled","",IF(X847="","",IFERROR(IF(INDEX(Variables!$B$38:$B$47,MATCH(X847,Variables!$A$38:$A$47,0))="Yes","Yes","No"),"No")))</f>
        <v>No</v>
      </c>
      <c r="Z847" s="31"/>
      <c r="AB847" s="31">
        <v>46067.875</v>
      </c>
      <c r="AC847" s="13" t="str">
        <f t="shared" si="40"/>
        <v>Approved</v>
      </c>
      <c r="AF847" s="71">
        <v>46108</v>
      </c>
      <c r="AG847" s="37">
        <f>IF($AX847="Cancelled","",IFERROR(IF(F847="","",F847-Variables!$B$13),""))</f>
        <v>46097</v>
      </c>
      <c r="AH847" s="13">
        <f>IF($AX847="Cancelled","",IFERROR(IF(AB847="","",(AVERAGE(E847:F847)-AB847)-Variables!$B$14),""))</f>
        <v>-0.875</v>
      </c>
      <c r="AJ847" s="47">
        <v>46119</v>
      </c>
      <c r="AK847" s="14">
        <f>IF($AX847="Cancelled","",IFERROR(IF(AJ847="","",IF(AND(AB847="",AF847=""),"",IF(AF847&gt;AB847,AF847+Variables!$B$15+Variables!$B$16+Variables!$B$17-AJ847,AB847+Variables!$B$16+Variables!$B$17-AJ847))),""))</f>
        <v>4</v>
      </c>
      <c r="AL847" s="48" t="s">
        <v>114</v>
      </c>
      <c r="AM847" s="13" t="s">
        <v>168</v>
      </c>
      <c r="AN847" s="13" t="s">
        <v>2231</v>
      </c>
      <c r="AP847" s="31" t="e">
        <v>#N/A</v>
      </c>
      <c r="AR847" s="13" t="s">
        <v>2232</v>
      </c>
      <c r="AS847" s="31">
        <v>46156</v>
      </c>
      <c r="AU847" s="31">
        <v>46158</v>
      </c>
      <c r="AV847" s="13" t="s">
        <v>865</v>
      </c>
      <c r="AW847" s="31">
        <v>46158</v>
      </c>
      <c r="AX847" s="13" t="str">
        <f>IF(ISNUMBER(SEARCH("cancel",#REF!)),"Cancelled",IF(AND(AS847&lt;&gt;"",AU847&lt;&gt;"",AW847&lt;&gt;""),"Closed","Open"))</f>
        <v>Closed</v>
      </c>
      <c r="AY847" s="15" t="str">
        <f t="shared" si="39"/>
        <v>All dates received</v>
      </c>
      <c r="BD847" s="13">
        <f>IF($AX847="Cancelled","",IFERROR(IF(OR(AS847="",AJ847=""),"",(AJ847+Variables!$B$18-AS847)),""))</f>
        <v>-22</v>
      </c>
      <c r="BE847" s="13">
        <f>IF($AX847="Cancelled","",IFERROR(IF(OR(AW847="",AS847=""),"",(AS847+Variables!$B$19)-AW847),""))</f>
        <v>3</v>
      </c>
      <c r="BF847" s="44">
        <f>IF($AX847="Cancelled","",IFERROR(W847*INDEX(Variables!$B$7:$D$7,IFERROR(MATCH(IF($B847="Robusta","Robusta",(IF($B847="","Arabica",$B847))&amp;" - "&amp;(IF($C847="","Commercial",$C847))),Variables!$B$1:$D$1,0),1))*(BE847/365),""))</f>
        <v>3.3629981104847784</v>
      </c>
      <c r="BG847" s="44">
        <f>IF($AX847="Cancelled","",IFERROR((W847*INDEX(Variables!$B$7:$D$7,IFERROR(MATCH(IF($B847="Robusta","Robusta",(IF($B847="","Arabica",$B847))&amp;" - "&amp;(IF($C847="","Commercial",$C847))),Variables!$B$1:$D$1,0),1))*IFERROR(IF(AB847="","",(AVERAGE(E847:F847)-AB847)-Variables!$B$14),"")/365)+(L847/16.67*INDEX(Variables!$B$8:$D$8,IFERROR(MATCH(IF($B847="Robusta","Robusta",(IF($B847="","Arabica",$B847))&amp;" - "&amp;(IF($C847="","Commercial",$C847))),Variables!$B$1:$D$1,0),1))*IFERROR(IF(AB847="","",(AVERAGE(E847:F847)-AB847)-Variables!$B$14),""))+(W847*INDEX(Variables!$B$9:$D$9,IFERROR(MATCH(IF($B847="Robusta","Robusta",(IF($B847="","Arabica",$B847))&amp;" - "&amp;(IF($C847="","Commercial",$C847))),Variables!$B$1:$D$1,0),1))*IFERROR(IF(AB847="","",(AVERAGE(E847:F847)-AB847)-Variables!$B$14),"")/365),""))</f>
        <v>-1.4310198134937713</v>
      </c>
      <c r="BH847" s="44">
        <f>IF($AX847="Cancelled","",IFERROR((W847*INDEX(Variables!$B$7:$D$7,IFERROR(MATCH(IF($B847="Robusta","Robusta",(IF($B847="","Arabica",$B847))&amp;" - "&amp;(IF($C847="","Commercial",$C847))),Variables!$B$1:$D$1,0),1))*AK847/365)+(L847/16.67*INDEX(Variables!$B$8:$D$8,IFERROR(MATCH(IF($B847="Robusta","Robusta",(IF($B847="","Arabica",$B847))&amp;" - "&amp;(IF($C847="","Commercial",$C847))),Variables!$B$1:$D$1,0),1))*AK847)+(W847*INDEX(Variables!$B$9:$D$9,IFERROR(MATCH(IF($B847="Robusta","Robusta",(IF($B847="","Arabica",$B847))&amp;" - "&amp;(IF($C847="","Commercial",$C847))),Variables!$B$1:$D$1,0),1))*AK847/365),""))</f>
        <v>6.5418048616858115</v>
      </c>
      <c r="BI847" s="44">
        <f>IF($AX847="Cancelled","",IFERROR((W847*INDEX(Variables!$B$7:$D$7,IFERROR(MATCH(IF($B847="Robusta","Robusta",(IF($B847="","Arabica",$B847))&amp;" - "&amp;(IF($C847="","Commercial",$C847))),Variables!$B$1:$D$1,0),1))*BD847/365)+(L847/16.67*INDEX(Variables!$B$8:$D$8,IFERROR(MATCH(IF($B847="Robusta","Robusta",(IF($B847="","Arabica",$B847))&amp;" - "&amp;(IF($C847="","Commercial",$C847))),Variables!$B$1:$D$1,0),1))*BD847)+(W847*INDEX(Variables!$B$9:$D$9,IFERROR(MATCH(IF($B847="Robusta","Robusta",(IF($B847="","Arabica",$B847))&amp;" - "&amp;(IF($C847="","Commercial",$C847))),Variables!$B$1:$D$1,0),1))*BD847/365),""))</f>
        <v>-35.979926739271953</v>
      </c>
      <c r="BJ847" s="44">
        <f t="shared" si="41"/>
        <v>-44</v>
      </c>
      <c r="BK847" s="44">
        <f>IF($AX847="Cancelled","",IFERROR(IF(BJ847="","",(W847*INDEX(Variables!$B$7:$D$7,IFERROR(MATCH(IF($B847="Robusta","Robusta",(IF($B847="","Arabica",$B847))&amp;" - "&amp;(IF($C847="","Commercial",$C847))),Variables!$B$1:$D$1,0),1))*(BJ847/365))+(W847*INDEX(Variables!$B$9:$D$9,IFERROR(MATCH(IF($B847="Robusta","Robusta",(IF($B847="","Arabica",$B847))&amp;" - "&amp;(IF($C847="","Commercial",$C847))),Variables!$B$1:$D$1,0),1))*(BJ847/365))+(INDEX(Variables!$B$8:$D$8,IFERROR(MATCH(IF($B847="Robusta","Robusta",(IF($B847="","Arabica",$B847))&amp;" - "&amp;(IF($C847="","Commercial",$C847))),Variables!$B$1:$D$1,0),1))*L847/16.67)),""))</f>
        <v>-49.459853478543927</v>
      </c>
    </row>
    <row r="848" spans="1:63">
      <c r="A848" s="13" t="s">
        <v>103</v>
      </c>
      <c r="B848" s="13" t="s">
        <v>104</v>
      </c>
      <c r="C848" s="13" t="s">
        <v>292</v>
      </c>
      <c r="D848" s="31">
        <v>46066</v>
      </c>
      <c r="E848" s="31">
        <v>46082</v>
      </c>
      <c r="F848" s="31">
        <v>46112</v>
      </c>
      <c r="G848" s="13">
        <v>3787279</v>
      </c>
      <c r="J848" s="13" t="s">
        <v>611</v>
      </c>
      <c r="K848" s="13" t="s">
        <v>2233</v>
      </c>
      <c r="L848" s="13">
        <v>10</v>
      </c>
      <c r="M848" s="13">
        <v>1</v>
      </c>
      <c r="N848" s="13" t="s">
        <v>2234</v>
      </c>
      <c r="O848" s="13" t="s">
        <v>771</v>
      </c>
      <c r="P848" s="13">
        <v>10020</v>
      </c>
      <c r="R848" s="13" t="s">
        <v>239</v>
      </c>
      <c r="S848" s="13" t="s">
        <v>553</v>
      </c>
      <c r="T848" s="13" t="s">
        <v>112</v>
      </c>
      <c r="U848" s="13" t="s">
        <v>113</v>
      </c>
      <c r="V848" s="13">
        <v>147</v>
      </c>
      <c r="W848" s="44">
        <f>IF($AX848="Cancelled","",IFERROR(((V848+INDEX(Variables!$B$6:$D$6,IFERROR(MATCH(IF($B848="Robusta","Robusta",(IF($B848="","Arabica",$B848))&amp;" - "&amp;(IF($C848="","Commercial",$C848))),Variables!$B$1:$D$1,0),1)))*22.0462)*(L848/16.67),""))</f>
        <v>5789.937828434312</v>
      </c>
      <c r="X848" s="55" t="s">
        <v>39</v>
      </c>
      <c r="Y848" s="13" t="str">
        <f>IF($AX848="Cancelled","",IF(X848="","",IFERROR(IF(INDEX(Variables!$B$38:$B$47,MATCH(X848,Variables!$A$38:$A$47,0))="Yes","Yes","No"),"No")))</f>
        <v>No</v>
      </c>
      <c r="Z848" s="31"/>
      <c r="AB848" s="31">
        <v>46067.875</v>
      </c>
      <c r="AC848" s="13" t="str">
        <f t="shared" si="40"/>
        <v>Approved</v>
      </c>
      <c r="AF848" s="71">
        <v>46108</v>
      </c>
      <c r="AG848" s="37">
        <f>IF($AX848="Cancelled","",IFERROR(IF(F848="","",F848-Variables!$B$13),""))</f>
        <v>46097</v>
      </c>
      <c r="AH848" s="13">
        <f>IF($AX848="Cancelled","",IFERROR(IF(AB848="","",(AVERAGE(E848:F848)-AB848)-Variables!$B$14),""))</f>
        <v>-0.875</v>
      </c>
      <c r="AJ848" s="47">
        <v>46112</v>
      </c>
      <c r="AK848" s="14">
        <f>IF($AX848="Cancelled","",IFERROR(IF(AJ848="","",IF(AND(AB848="",AF848=""),"",IF(AF848&gt;AB848,AF848+Variables!$B$15+Variables!$B$16+Variables!$B$17-AJ848,AB848+Variables!$B$16+Variables!$B$17-AJ848))),""))</f>
        <v>11</v>
      </c>
      <c r="AL848" s="48" t="s">
        <v>114</v>
      </c>
      <c r="AM848" s="13" t="s">
        <v>1781</v>
      </c>
      <c r="AN848" s="13" t="s">
        <v>2235</v>
      </c>
      <c r="AP848" s="31" t="e">
        <v>#N/A</v>
      </c>
      <c r="AR848" s="13" t="s">
        <v>2236</v>
      </c>
      <c r="AS848" s="31">
        <v>46133</v>
      </c>
      <c r="AU848" s="31">
        <v>46158</v>
      </c>
      <c r="AV848" s="13" t="s">
        <v>865</v>
      </c>
      <c r="AW848" s="31">
        <v>46158</v>
      </c>
      <c r="AX848" s="13" t="str">
        <f>IF(ISNUMBER(SEARCH("cancel",#REF!)),"Cancelled",IF(AND(AS848&lt;&gt;"",AU848&lt;&gt;"",AW848&lt;&gt;""),"Closed","Open"))</f>
        <v>Closed</v>
      </c>
      <c r="AY848" s="15" t="str">
        <f t="shared" si="39"/>
        <v>All dates received</v>
      </c>
      <c r="BD848" s="13">
        <f>IF($AX848="Cancelled","",IFERROR(IF(OR(AS848="",AJ848=""),"",(AJ848+Variables!$B$18-AS848)),""))</f>
        <v>-6</v>
      </c>
      <c r="BE848" s="13">
        <f>IF($AX848="Cancelled","",IFERROR(IF(OR(AW848="",AS848=""),"",(AS848+Variables!$B$19)-AW848),""))</f>
        <v>-20</v>
      </c>
      <c r="BF848" s="44">
        <f>IF($AX848="Cancelled","",IFERROR(W848*INDEX(Variables!$B$7:$D$7,IFERROR(MATCH(IF($B848="Robusta","Robusta",(IF($B848="","Arabica",$B848))&amp;" - "&amp;(IF($C848="","Commercial",$C848))),Variables!$B$1:$D$1,0),1))*(BE848/365),""))</f>
        <v>-20.457420769351614</v>
      </c>
      <c r="BG848" s="44">
        <f>IF($AX848="Cancelled","",IFERROR((W848*INDEX(Variables!$B$7:$D$7,IFERROR(MATCH(IF($B848="Robusta","Robusta",(IF($B848="","Arabica",$B848))&amp;" - "&amp;(IF($C848="","Commercial",$C848))),Variables!$B$1:$D$1,0),1))*IFERROR(IF(AB848="","",(AVERAGE(E848:F848)-AB848)-Variables!$B$14),"")/365)+(L848/16.67*INDEX(Variables!$B$8:$D$8,IFERROR(MATCH(IF($B848="Robusta","Robusta",(IF($B848="","Arabica",$B848))&amp;" - "&amp;(IF($C848="","Commercial",$C848))),Variables!$B$1:$D$1,0),1))*IFERROR(IF(AB848="","",(AVERAGE(E848:F848)-AB848)-Variables!$B$14),""))+(W848*INDEX(Variables!$B$9:$D$9,IFERROR(MATCH(IF($B848="Robusta","Robusta",(IF($B848="","Arabica",$B848))&amp;" - "&amp;(IF($C848="","Commercial",$C848))),Variables!$B$1:$D$1,0),1))*IFERROR(IF(AB848="","",(AVERAGE(E848:F848)-AB848)-Variables!$B$14),"")/365),""))</f>
        <v>-1.3440505926377093</v>
      </c>
      <c r="BH848" s="44">
        <f>IF($AX848="Cancelled","",IFERROR((W848*INDEX(Variables!$B$7:$D$7,IFERROR(MATCH(IF($B848="Robusta","Robusta",(IF($B848="","Arabica",$B848))&amp;" - "&amp;(IF($C848="","Commercial",$C848))),Variables!$B$1:$D$1,0),1))*AK848/365)+(L848/16.67*INDEX(Variables!$B$8:$D$8,IFERROR(MATCH(IF($B848="Robusta","Robusta",(IF($B848="","Arabica",$B848))&amp;" - "&amp;(IF($C848="","Commercial",$C848))),Variables!$B$1:$D$1,0),1))*AK848)+(W848*INDEX(Variables!$B$9:$D$9,IFERROR(MATCH(IF($B848="Robusta","Robusta",(IF($B848="","Arabica",$B848))&amp;" - "&amp;(IF($C848="","Commercial",$C848))),Variables!$B$1:$D$1,0),1))*AK848/365),""))</f>
        <v>16.896636021731201</v>
      </c>
      <c r="BI848" s="44">
        <f>IF($AX848="Cancelled","",IFERROR((W848*INDEX(Variables!$B$7:$D$7,IFERROR(MATCH(IF($B848="Robusta","Robusta",(IF($B848="","Arabica",$B848))&amp;" - "&amp;(IF($C848="","Commercial",$C848))),Variables!$B$1:$D$1,0),1))*BD848/365)+(L848/16.67*INDEX(Variables!$B$8:$D$8,IFERROR(MATCH(IF($B848="Robusta","Robusta",(IF($B848="","Arabica",$B848))&amp;" - "&amp;(IF($C848="","Commercial",$C848))),Variables!$B$1:$D$1,0),1))*BD848)+(W848*INDEX(Variables!$B$9:$D$9,IFERROR(MATCH(IF($B848="Robusta","Robusta",(IF($B848="","Arabica",$B848))&amp;" - "&amp;(IF($C848="","Commercial",$C848))),Variables!$B$1:$D$1,0),1))*BD848/365),""))</f>
        <v>-9.216346920944293</v>
      </c>
      <c r="BJ848" s="44">
        <f t="shared" si="41"/>
        <v>-21</v>
      </c>
      <c r="BK848" s="44">
        <f>IF($AX848="Cancelled","",IFERROR(IF(BJ848="","",(W848*INDEX(Variables!$B$7:$D$7,IFERROR(MATCH(IF($B848="Robusta","Robusta",(IF($B848="","Arabica",$B848))&amp;" - "&amp;(IF($C848="","Commercial",$C848))),Variables!$B$1:$D$1,0),1))*(BJ848/365))+(W848*INDEX(Variables!$B$9:$D$9,IFERROR(MATCH(IF($B848="Robusta","Robusta",(IF($B848="","Arabica",$B848))&amp;" - "&amp;(IF($C848="","Commercial",$C848))),Variables!$B$1:$D$1,0),1))*(BJ848/365))+(INDEX(Variables!$B$8:$D$8,IFERROR(MATCH(IF($B848="Robusta","Robusta",(IF($B848="","Arabica",$B848))&amp;" - "&amp;(IF($C848="","Commercial",$C848))),Variables!$B$1:$D$1,0),1))*L848/16.67)),""))</f>
        <v>-21.25721422330502</v>
      </c>
    </row>
    <row r="849" spans="1:63">
      <c r="A849" s="13" t="s">
        <v>103</v>
      </c>
      <c r="B849" s="13" t="s">
        <v>104</v>
      </c>
      <c r="C849" s="13" t="s">
        <v>292</v>
      </c>
      <c r="D849" s="31">
        <v>46066</v>
      </c>
      <c r="E849" s="31">
        <v>46082</v>
      </c>
      <c r="F849" s="31">
        <v>46112</v>
      </c>
      <c r="G849" s="13">
        <v>3787280</v>
      </c>
      <c r="J849" s="13" t="s">
        <v>611</v>
      </c>
      <c r="K849" s="13" t="s">
        <v>2237</v>
      </c>
      <c r="L849" s="13">
        <v>20</v>
      </c>
      <c r="M849" s="13">
        <v>0</v>
      </c>
      <c r="N849" s="13" t="s">
        <v>2238</v>
      </c>
      <c r="O849" s="13" t="s">
        <v>297</v>
      </c>
      <c r="P849" s="13">
        <v>10020</v>
      </c>
      <c r="R849" s="13" t="s">
        <v>239</v>
      </c>
      <c r="S849" s="13" t="s">
        <v>553</v>
      </c>
      <c r="T849" s="13" t="s">
        <v>112</v>
      </c>
      <c r="U849" s="13" t="s">
        <v>113</v>
      </c>
      <c r="V849" s="13">
        <v>163</v>
      </c>
      <c r="W849" s="44">
        <f>IF($AX849="Cancelled","",IFERROR(((V849+INDEX(Variables!$B$6:$D$6,IFERROR(MATCH(IF($B849="Robusta","Robusta",(IF($B849="","Arabica",$B849))&amp;" - "&amp;(IF($C849="","Commercial",$C849))),Variables!$B$1:$D$1,0),1)))*22.0462)*(L849/16.67),""))</f>
        <v>12003.07805638872</v>
      </c>
      <c r="X849" s="55" t="s">
        <v>39</v>
      </c>
      <c r="Y849" s="13" t="str">
        <f>IF($AX849="Cancelled","",IF(X849="","",IFERROR(IF(INDEX(Variables!$B$38:$B$47,MATCH(X849,Variables!$A$38:$A$47,0))="Yes","Yes","No"),"No")))</f>
        <v>No</v>
      </c>
      <c r="Z849" s="31"/>
      <c r="AB849" s="31">
        <v>46067.875</v>
      </c>
      <c r="AC849" s="13" t="str">
        <f t="shared" si="40"/>
        <v>Approved</v>
      </c>
      <c r="AF849" s="71">
        <v>46108</v>
      </c>
      <c r="AG849" s="37">
        <f>IF($AX849="Cancelled","",IFERROR(IF(F849="","",F849-Variables!$B$13),""))</f>
        <v>46097</v>
      </c>
      <c r="AH849" s="13">
        <f>IF($AX849="Cancelled","",IFERROR(IF(AB849="","",(AVERAGE(E849:F849)-AB849)-Variables!$B$14),""))</f>
        <v>-0.875</v>
      </c>
      <c r="AJ849" s="47">
        <v>46112</v>
      </c>
      <c r="AK849" s="14">
        <f>IF($AX849="Cancelled","",IFERROR(IF(AJ849="","",IF(AND(AB849="",AF849=""),"",IF(AF849&gt;AB849,AF849+Variables!$B$15+Variables!$B$16+Variables!$B$17-AJ849,AB849+Variables!$B$16+Variables!$B$17-AJ849))),""))</f>
        <v>11</v>
      </c>
      <c r="AL849" s="48" t="s">
        <v>114</v>
      </c>
      <c r="AM849" s="13" t="s">
        <v>1781</v>
      </c>
      <c r="AN849" s="13" t="s">
        <v>2235</v>
      </c>
      <c r="AP849" s="31" t="e">
        <v>#N/A</v>
      </c>
      <c r="AR849" s="13" t="s">
        <v>2236</v>
      </c>
      <c r="AS849" s="31">
        <v>46133</v>
      </c>
      <c r="AU849" s="31">
        <v>46158</v>
      </c>
      <c r="AV849" s="13" t="s">
        <v>865</v>
      </c>
      <c r="AW849" s="31">
        <v>46158</v>
      </c>
      <c r="AX849" s="13" t="str">
        <f>IF(ISNUMBER(SEARCH("cancel",#REF!)),"Cancelled",IF(AND(AS849&lt;&gt;"",AU849&lt;&gt;"",AW849&lt;&gt;""),"Closed","Open"))</f>
        <v>Closed</v>
      </c>
      <c r="AY849" s="15" t="str">
        <f t="shared" si="39"/>
        <v>All dates received</v>
      </c>
      <c r="BD849" s="13">
        <f>IF($AX849="Cancelled","",IFERROR(IF(OR(AS849="",AJ849=""),"",(AJ849+Variables!$B$18-AS849)),""))</f>
        <v>-6</v>
      </c>
      <c r="BE849" s="13">
        <f>IF($AX849="Cancelled","",IFERROR(IF(OR(AW849="",AS849=""),"",(AS849+Variables!$B$19)-AW849),""))</f>
        <v>-20</v>
      </c>
      <c r="BF849" s="44">
        <f>IF($AX849="Cancelled","",IFERROR(W849*INDEX(Variables!$B$7:$D$7,IFERROR(MATCH(IF($B849="Robusta","Robusta",(IF($B849="","Arabica",$B849))&amp;" - "&amp;(IF($C849="","Commercial",$C849))),Variables!$B$1:$D$1,0),1))*(BE849/365),""))</f>
        <v>-42.410130402611991</v>
      </c>
      <c r="BG849" s="44">
        <f>IF($AX849="Cancelled","",IFERROR((W849*INDEX(Variables!$B$7:$D$7,IFERROR(MATCH(IF($B849="Robusta","Robusta",(IF($B849="","Arabica",$B849))&amp;" - "&amp;(IF($C849="","Commercial",$C849))),Variables!$B$1:$D$1,0),1))*IFERROR(IF(AB849="","",(AVERAGE(E849:F849)-AB849)-Variables!$B$14),"")/365)+(L849/16.67*INDEX(Variables!$B$8:$D$8,IFERROR(MATCH(IF($B849="Robusta","Robusta",(IF($B849="","Arabica",$B849))&amp;" - "&amp;(IF($C849="","Commercial",$C849))),Variables!$B$1:$D$1,0),1))*IFERROR(IF(AB849="","",(AVERAGE(E849:F849)-AB849)-Variables!$B$14),""))+(W849*INDEX(Variables!$B$9:$D$9,IFERROR(MATCH(IF($B849="Robusta","Robusta",(IF($B849="","Arabica",$B849))&amp;" - "&amp;(IF($C849="","Commercial",$C849))),Variables!$B$1:$D$1,0),1))*IFERROR(IF(AB849="","",(AVERAGE(E849:F849)-AB849)-Variables!$B$14),"")/365),""))</f>
        <v>-2.7543634487847992</v>
      </c>
      <c r="BH849" s="44">
        <f>IF($AX849="Cancelled","",IFERROR((W849*INDEX(Variables!$B$7:$D$7,IFERROR(MATCH(IF($B849="Robusta","Robusta",(IF($B849="","Arabica",$B849))&amp;" - "&amp;(IF($C849="","Commercial",$C849))),Variables!$B$1:$D$1,0),1))*AK849/365)+(L849/16.67*INDEX(Variables!$B$8:$D$8,IFERROR(MATCH(IF($B849="Robusta","Robusta",(IF($B849="","Arabica",$B849))&amp;" - "&amp;(IF($C849="","Commercial",$C849))),Variables!$B$1:$D$1,0),1))*AK849)+(W849*INDEX(Variables!$B$9:$D$9,IFERROR(MATCH(IF($B849="Robusta","Robusta",(IF($B849="","Arabica",$B849))&amp;" - "&amp;(IF($C849="","Commercial",$C849))),Variables!$B$1:$D$1,0),1))*AK849/365),""))</f>
        <v>34.62628335615176</v>
      </c>
      <c r="BI849" s="44">
        <f>IF($AX849="Cancelled","",IFERROR((W849*INDEX(Variables!$B$7:$D$7,IFERROR(MATCH(IF($B849="Robusta","Robusta",(IF($B849="","Arabica",$B849))&amp;" - "&amp;(IF($C849="","Commercial",$C849))),Variables!$B$1:$D$1,0),1))*BD849/365)+(L849/16.67*INDEX(Variables!$B$8:$D$8,IFERROR(MATCH(IF($B849="Robusta","Robusta",(IF($B849="","Arabica",$B849))&amp;" - "&amp;(IF($C849="","Commercial",$C849))),Variables!$B$1:$D$1,0),1))*BD849)+(W849*INDEX(Variables!$B$9:$D$9,IFERROR(MATCH(IF($B849="Robusta","Robusta",(IF($B849="","Arabica",$B849))&amp;" - "&amp;(IF($C849="","Commercial",$C849))),Variables!$B$1:$D$1,0),1))*BD849/365),""))</f>
        <v>-18.887063648810049</v>
      </c>
      <c r="BJ849" s="44">
        <f t="shared" si="41"/>
        <v>-21</v>
      </c>
      <c r="BK849" s="44">
        <f>IF($AX849="Cancelled","",IFERROR(IF(BJ849="","",(W849*INDEX(Variables!$B$7:$D$7,IFERROR(MATCH(IF($B849="Robusta","Robusta",(IF($B849="","Arabica",$B849))&amp;" - "&amp;(IF($C849="","Commercial",$C849))),Variables!$B$1:$D$1,0),1))*(BJ849/365))+(W849*INDEX(Variables!$B$9:$D$9,IFERROR(MATCH(IF($B849="Robusta","Robusta",(IF($B849="","Arabica",$B849))&amp;" - "&amp;(IF($C849="","Commercial",$C849))),Variables!$B$1:$D$1,0),1))*(BJ849/365))+(INDEX(Variables!$B$8:$D$8,IFERROR(MATCH(IF($B849="Robusta","Robusta",(IF($B849="","Arabica",$B849))&amp;" - "&amp;(IF($C849="","Commercial",$C849))),Variables!$B$1:$D$1,0),1))*L849/16.67)),""))</f>
        <v>-44.104722770835174</v>
      </c>
    </row>
    <row r="850" spans="1:63">
      <c r="A850" s="13" t="s">
        <v>103</v>
      </c>
      <c r="B850" s="13" t="s">
        <v>104</v>
      </c>
      <c r="C850" s="13" t="s">
        <v>292</v>
      </c>
      <c r="D850" s="31">
        <v>46066</v>
      </c>
      <c r="E850" s="31">
        <v>46082</v>
      </c>
      <c r="F850" s="31">
        <v>46112</v>
      </c>
      <c r="G850" s="13">
        <v>3787281</v>
      </c>
      <c r="J850" s="13" t="s">
        <v>611</v>
      </c>
      <c r="K850" s="13" t="s">
        <v>2239</v>
      </c>
      <c r="L850" s="13">
        <v>20</v>
      </c>
      <c r="M850" s="13">
        <v>0</v>
      </c>
      <c r="N850" s="13" t="s">
        <v>2240</v>
      </c>
      <c r="O850" s="13" t="s">
        <v>297</v>
      </c>
      <c r="P850" s="13">
        <v>10020</v>
      </c>
      <c r="R850" s="13" t="s">
        <v>239</v>
      </c>
      <c r="S850" s="13" t="s">
        <v>553</v>
      </c>
      <c r="T850" s="13" t="s">
        <v>112</v>
      </c>
      <c r="U850" s="13" t="s">
        <v>113</v>
      </c>
      <c r="V850" s="13">
        <v>176</v>
      </c>
      <c r="W850" s="44">
        <f>IF($AX850="Cancelled","",IFERROR(((V850+INDEX(Variables!$B$6:$D$6,IFERROR(MATCH(IF($B850="Robusta","Robusta",(IF($B850="","Arabica",$B850))&amp;" - "&amp;(IF($C850="","Commercial",$C850))),Variables!$B$1:$D$1,0),1)))*22.0462)*(L850/16.67),""))</f>
        <v>12346.930005998798</v>
      </c>
      <c r="X850" s="55" t="s">
        <v>39</v>
      </c>
      <c r="Y850" s="13" t="str">
        <f>IF($AX850="Cancelled","",IF(X850="","",IFERROR(IF(INDEX(Variables!$B$38:$B$47,MATCH(X850,Variables!$A$38:$A$47,0))="Yes","Yes","No"),"No")))</f>
        <v>No</v>
      </c>
      <c r="Z850" s="31"/>
      <c r="AB850" s="31">
        <v>46067.875</v>
      </c>
      <c r="AC850" s="13" t="str">
        <f t="shared" si="40"/>
        <v>Approved</v>
      </c>
      <c r="AF850" s="71">
        <v>46108</v>
      </c>
      <c r="AG850" s="37">
        <f>IF($AX850="Cancelled","",IFERROR(IF(F850="","",F850-Variables!$B$13),""))</f>
        <v>46097</v>
      </c>
      <c r="AH850" s="13">
        <f>IF($AX850="Cancelled","",IFERROR(IF(AB850="","",(AVERAGE(E850:F850)-AB850)-Variables!$B$14),""))</f>
        <v>-0.875</v>
      </c>
      <c r="AJ850" s="47">
        <v>46112</v>
      </c>
      <c r="AK850" s="14">
        <f>IF($AX850="Cancelled","",IFERROR(IF(AJ850="","",IF(AND(AB850="",AF850=""),"",IF(AF850&gt;AB850,AF850+Variables!$B$15+Variables!$B$16+Variables!$B$17-AJ850,AB850+Variables!$B$16+Variables!$B$17-AJ850))),""))</f>
        <v>11</v>
      </c>
      <c r="AL850" s="48" t="s">
        <v>114</v>
      </c>
      <c r="AM850" s="13" t="s">
        <v>1781</v>
      </c>
      <c r="AN850" s="13" t="s">
        <v>2235</v>
      </c>
      <c r="AP850" s="31" t="e">
        <v>#N/A</v>
      </c>
      <c r="AR850" s="13" t="s">
        <v>2236</v>
      </c>
      <c r="AS850" s="31">
        <v>46133</v>
      </c>
      <c r="AU850" s="31">
        <v>46158</v>
      </c>
      <c r="AV850" s="13" t="s">
        <v>865</v>
      </c>
      <c r="AW850" s="31">
        <v>46158</v>
      </c>
      <c r="AX850" s="13" t="str">
        <f>IF(ISNUMBER(SEARCH("cancel",#REF!)),"Cancelled",IF(AND(AS850&lt;&gt;"",AU850&lt;&gt;"",AW850&lt;&gt;""),"Closed","Open"))</f>
        <v>Closed</v>
      </c>
      <c r="AY850" s="15" t="str">
        <f t="shared" si="39"/>
        <v>All dates received</v>
      </c>
      <c r="BD850" s="13">
        <f>IF($AX850="Cancelled","",IFERROR(IF(OR(AS850="",AJ850=""),"",(AJ850+Variables!$B$18-AS850)),""))</f>
        <v>-6</v>
      </c>
      <c r="BE850" s="13">
        <f>IF($AX850="Cancelled","",IFERROR(IF(OR(AW850="",AS850=""),"",(AS850+Variables!$B$19)-AW850),""))</f>
        <v>-20</v>
      </c>
      <c r="BF850" s="44">
        <f>IF($AX850="Cancelled","",IFERROR(W850*INDEX(Variables!$B$7:$D$7,IFERROR(MATCH(IF($B850="Robusta","Robusta",(IF($B850="","Arabica",$B850))&amp;" - "&amp;(IF($C850="","Commercial",$C850))),Variables!$B$1:$D$1,0),1))*(BE850/365),""))</f>
        <v>-43.625052604537849</v>
      </c>
      <c r="BG850" s="44">
        <f>IF($AX850="Cancelled","",IFERROR((W850*INDEX(Variables!$B$7:$D$7,IFERROR(MATCH(IF($B850="Robusta","Robusta",(IF($B850="","Arabica",$B850))&amp;" - "&amp;(IF($C850="","Commercial",$C850))),Variables!$B$1:$D$1,0),1))*IFERROR(IF(AB850="","",(AVERAGE(E850:F850)-AB850)-Variables!$B$14),"")/365)+(L850/16.67*INDEX(Variables!$B$8:$D$8,IFERROR(MATCH(IF($B850="Robusta","Robusta",(IF($B850="","Arabica",$B850))&amp;" - "&amp;(IF($C850="","Commercial",$C850))),Variables!$B$1:$D$1,0),1))*IFERROR(IF(AB850="","",(AVERAGE(E850:F850)-AB850)-Variables!$B$14),""))+(W850*INDEX(Variables!$B$9:$D$9,IFERROR(MATCH(IF($B850="Robusta","Robusta",(IF($B850="","Arabica",$B850))&amp;" - "&amp;(IF($C850="","Commercial",$C850))),Variables!$B$1:$D$1,0),1))*IFERROR(IF(AB850="","",(AVERAGE(E850:F850)-AB850)-Variables!$B$14),"")/365),""))</f>
        <v>-2.8082015378861707</v>
      </c>
      <c r="BH850" s="44">
        <f>IF($AX850="Cancelled","",IFERROR((W850*INDEX(Variables!$B$7:$D$7,IFERROR(MATCH(IF($B850="Robusta","Robusta",(IF($B850="","Arabica",$B850))&amp;" - "&amp;(IF($C850="","Commercial",$C850))),Variables!$B$1:$D$1,0),1))*AK850/365)+(L850/16.67*INDEX(Variables!$B$8:$D$8,IFERROR(MATCH(IF($B850="Robusta","Robusta",(IF($B850="","Arabica",$B850))&amp;" - "&amp;(IF($C850="","Commercial",$C850))),Variables!$B$1:$D$1,0),1))*AK850)+(W850*INDEX(Variables!$B$9:$D$9,IFERROR(MATCH(IF($B850="Robusta","Robusta",(IF($B850="","Arabica",$B850))&amp;" - "&amp;(IF($C850="","Commercial",$C850))),Variables!$B$1:$D$1,0),1))*AK850/365),""))</f>
        <v>35.303105047711853</v>
      </c>
      <c r="BI850" s="44">
        <f>IF($AX850="Cancelled","",IFERROR((W850*INDEX(Variables!$B$7:$D$7,IFERROR(MATCH(IF($B850="Robusta","Robusta",(IF($B850="","Arabica",$B850))&amp;" - "&amp;(IF($C850="","Commercial",$C850))),Variables!$B$1:$D$1,0),1))*BD850/365)+(L850/16.67*INDEX(Variables!$B$8:$D$8,IFERROR(MATCH(IF($B850="Robusta","Robusta",(IF($B850="","Arabica",$B850))&amp;" - "&amp;(IF($C850="","Commercial",$C850))),Variables!$B$1:$D$1,0),1))*BD850)+(W850*INDEX(Variables!$B$9:$D$9,IFERROR(MATCH(IF($B850="Robusta","Robusta",(IF($B850="","Arabica",$B850))&amp;" - "&amp;(IF($C850="","Commercial",$C850))),Variables!$B$1:$D$1,0),1))*BD850/365),""))</f>
        <v>-19.256239116933738</v>
      </c>
      <c r="BJ850" s="44">
        <f t="shared" si="41"/>
        <v>-21</v>
      </c>
      <c r="BK850" s="44">
        <f>IF($AX850="Cancelled","",IFERROR(IF(BJ850="","",(W850*INDEX(Variables!$B$7:$D$7,IFERROR(MATCH(IF($B850="Robusta","Robusta",(IF($B850="","Arabica",$B850))&amp;" - "&amp;(IF($C850="","Commercial",$C850))),Variables!$B$1:$D$1,0),1))*(BJ850/365))+(W850*INDEX(Variables!$B$9:$D$9,IFERROR(MATCH(IF($B850="Robusta","Robusta",(IF($B850="","Arabica",$B850))&amp;" - "&amp;(IF($C850="","Commercial",$C850))),Variables!$B$1:$D$1,0),1))*(BJ850/365))+(INDEX(Variables!$B$8:$D$8,IFERROR(MATCH(IF($B850="Robusta","Robusta",(IF($B850="","Arabica",$B850))&amp;" - "&amp;(IF($C850="","Commercial",$C850))),Variables!$B$1:$D$1,0),1))*L850/16.67)),""))</f>
        <v>-45.396836909268096</v>
      </c>
    </row>
    <row r="851" spans="1:63">
      <c r="A851" s="13" t="s">
        <v>103</v>
      </c>
      <c r="B851" s="13" t="s">
        <v>104</v>
      </c>
      <c r="C851" s="13" t="s">
        <v>292</v>
      </c>
      <c r="D851" s="31">
        <v>46066</v>
      </c>
      <c r="E851" s="31">
        <v>46082</v>
      </c>
      <c r="F851" s="31">
        <v>46112</v>
      </c>
      <c r="G851" s="13">
        <v>3787282</v>
      </c>
      <c r="J851" s="13" t="s">
        <v>611</v>
      </c>
      <c r="K851" s="13" t="s">
        <v>2241</v>
      </c>
      <c r="L851" s="13">
        <v>40</v>
      </c>
      <c r="M851" s="13">
        <v>0</v>
      </c>
      <c r="N851" s="13" t="s">
        <v>2242</v>
      </c>
      <c r="O851" s="13" t="s">
        <v>418</v>
      </c>
      <c r="P851" s="13">
        <v>10070</v>
      </c>
      <c r="R851" s="13" t="s">
        <v>239</v>
      </c>
      <c r="S851" s="13" t="s">
        <v>553</v>
      </c>
      <c r="T851" s="13" t="s">
        <v>112</v>
      </c>
      <c r="U851" s="13" t="s">
        <v>113</v>
      </c>
      <c r="V851" s="13">
        <v>36</v>
      </c>
      <c r="W851" s="44">
        <f>IF($AX851="Cancelled","",IFERROR(((V851+INDEX(Variables!$B$6:$D$6,IFERROR(MATCH(IF($B851="Robusta","Robusta",(IF($B851="","Arabica",$B851))&amp;" - "&amp;(IF($C851="","Commercial",$C851))),Variables!$B$1:$D$1,0),1)))*22.0462)*(L851/16.67),""))</f>
        <v>17287.81802039592</v>
      </c>
      <c r="X851" s="55" t="s">
        <v>39</v>
      </c>
      <c r="Y851" s="13" t="str">
        <f>IF($AX851="Cancelled","",IF(X851="","",IFERROR(IF(INDEX(Variables!$B$38:$B$47,MATCH(X851,Variables!$A$38:$A$47,0))="Yes","Yes","No"),"No")))</f>
        <v>No</v>
      </c>
      <c r="Z851" s="31"/>
      <c r="AB851" s="31">
        <v>46067.875</v>
      </c>
      <c r="AC851" s="13" t="str">
        <f t="shared" si="40"/>
        <v>Approved</v>
      </c>
      <c r="AF851" s="71">
        <v>46109</v>
      </c>
      <c r="AG851" s="37">
        <f>IF($AX851="Cancelled","",IFERROR(IF(F851="","",F851-Variables!$B$13),""))</f>
        <v>46097</v>
      </c>
      <c r="AH851" s="13">
        <f>IF($AX851="Cancelled","",IFERROR(IF(AB851="","",(AVERAGE(E851:F851)-AB851)-Variables!$B$14),""))</f>
        <v>-0.875</v>
      </c>
      <c r="AJ851" s="47">
        <v>46112</v>
      </c>
      <c r="AK851" s="14">
        <f>IF($AX851="Cancelled","",IFERROR(IF(AJ851="","",IF(AND(AB851="",AF851=""),"",IF(AF851&gt;AB851,AF851+Variables!$B$15+Variables!$B$16+Variables!$B$17-AJ851,AB851+Variables!$B$16+Variables!$B$17-AJ851))),""))</f>
        <v>12</v>
      </c>
      <c r="AL851" s="48" t="s">
        <v>114</v>
      </c>
      <c r="AM851" s="13" t="s">
        <v>1781</v>
      </c>
      <c r="AN851" s="13" t="s">
        <v>2235</v>
      </c>
      <c r="AP851" s="31" t="e">
        <v>#N/A</v>
      </c>
      <c r="AR851" s="13" t="s">
        <v>2236</v>
      </c>
      <c r="AS851" s="31">
        <v>46133</v>
      </c>
      <c r="AU851" s="31">
        <v>46158</v>
      </c>
      <c r="AV851" s="13" t="s">
        <v>865</v>
      </c>
      <c r="AW851" s="31">
        <v>46158</v>
      </c>
      <c r="AX851" s="13" t="str">
        <f>IF(ISNUMBER(SEARCH("cancel",#REF!)),"Cancelled",IF(AND(AS851&lt;&gt;"",AU851&lt;&gt;"",AW851&lt;&gt;""),"Closed","Open"))</f>
        <v>Closed</v>
      </c>
      <c r="AY851" s="15" t="str">
        <f t="shared" si="39"/>
        <v>All dates received</v>
      </c>
      <c r="BD851" s="13">
        <f>IF($AX851="Cancelled","",IFERROR(IF(OR(AS851="",AJ851=""),"",(AJ851+Variables!$B$18-AS851)),""))</f>
        <v>-6</v>
      </c>
      <c r="BE851" s="13">
        <f>IF($AX851="Cancelled","",IFERROR(IF(OR(AW851="",AS851=""),"",(AS851+Variables!$B$19)-AW851),""))</f>
        <v>-20</v>
      </c>
      <c r="BF851" s="44">
        <f>IF($AX851="Cancelled","",IFERROR(W851*INDEX(Variables!$B$7:$D$7,IFERROR(MATCH(IF($B851="Robusta","Robusta",(IF($B851="","Arabica",$B851))&amp;" - "&amp;(IF($C851="","Commercial",$C851))),Variables!$B$1:$D$1,0),1))*(BE851/365),""))</f>
        <v>-61.082550090672541</v>
      </c>
      <c r="BG851" s="44">
        <f>IF($AX851="Cancelled","",IFERROR((W851*INDEX(Variables!$B$7:$D$7,IFERROR(MATCH(IF($B851="Robusta","Robusta",(IF($B851="","Arabica",$B851))&amp;" - "&amp;(IF($C851="","Commercial",$C851))),Variables!$B$1:$D$1,0),1))*IFERROR(IF(AB851="","",(AVERAGE(E851:F851)-AB851)-Variables!$B$14),"")/365)+(L851/16.67*INDEX(Variables!$B$8:$D$8,IFERROR(MATCH(IF($B851="Robusta","Robusta",(IF($B851="","Arabica",$B851))&amp;" - "&amp;(IF($C851="","Commercial",$C851))),Variables!$B$1:$D$1,0),1))*IFERROR(IF(AB851="","",(AVERAGE(E851:F851)-AB851)-Variables!$B$14),""))+(W851*INDEX(Variables!$B$9:$D$9,IFERROR(MATCH(IF($B851="Robusta","Robusta",(IF($B851="","Arabica",$B851))&amp;" - "&amp;(IF($C851="","Commercial",$C851))),Variables!$B$1:$D$1,0),1))*IFERROR(IF(AB851="","",(AVERAGE(E851:F851)-AB851)-Variables!$B$14),"")/365),""))</f>
        <v>-4.456813464358186</v>
      </c>
      <c r="BH851" s="44">
        <f>IF($AX851="Cancelled","",IFERROR((W851*INDEX(Variables!$B$7:$D$7,IFERROR(MATCH(IF($B851="Robusta","Robusta",(IF($B851="","Arabica",$B851))&amp;" - "&amp;(IF($C851="","Commercial",$C851))),Variables!$B$1:$D$1,0),1))*AK851/365)+(L851/16.67*INDEX(Variables!$B$8:$D$8,IFERROR(MATCH(IF($B851="Robusta","Robusta",(IF($B851="","Arabica",$B851))&amp;" - "&amp;(IF($C851="","Commercial",$C851))),Variables!$B$1:$D$1,0),1))*AK851)+(W851*INDEX(Variables!$B$9:$D$9,IFERROR(MATCH(IF($B851="Robusta","Robusta",(IF($B851="","Arabica",$B851))&amp;" - "&amp;(IF($C851="","Commercial",$C851))),Variables!$B$1:$D$1,0),1))*AK851/365),""))</f>
        <v>61.122013225483691</v>
      </c>
      <c r="BI851" s="44">
        <f>IF($AX851="Cancelled","",IFERROR((W851*INDEX(Variables!$B$7:$D$7,IFERROR(MATCH(IF($B851="Robusta","Robusta",(IF($B851="","Arabica",$B851))&amp;" - "&amp;(IF($C851="","Commercial",$C851))),Variables!$B$1:$D$1,0),1))*BD851/365)+(L851/16.67*INDEX(Variables!$B$8:$D$8,IFERROR(MATCH(IF($B851="Robusta","Robusta",(IF($B851="","Arabica",$B851))&amp;" - "&amp;(IF($C851="","Commercial",$C851))),Variables!$B$1:$D$1,0),1))*BD851)+(W851*INDEX(Variables!$B$9:$D$9,IFERROR(MATCH(IF($B851="Robusta","Robusta",(IF($B851="","Arabica",$B851))&amp;" - "&amp;(IF($C851="","Commercial",$C851))),Variables!$B$1:$D$1,0),1))*BD851/365),""))</f>
        <v>-30.561006612741846</v>
      </c>
      <c r="BJ851" s="44">
        <f t="shared" si="41"/>
        <v>-21</v>
      </c>
      <c r="BK851" s="44">
        <f>IF($AX851="Cancelled","",IFERROR(IF(BJ851="","",(W851*INDEX(Variables!$B$7:$D$7,IFERROR(MATCH(IF($B851="Robusta","Robusta",(IF($B851="","Arabica",$B851))&amp;" - "&amp;(IF($C851="","Commercial",$C851))),Variables!$B$1:$D$1,0),1))*(BJ851/365))+(W851*INDEX(Variables!$B$9:$D$9,IFERROR(MATCH(IF($B851="Robusta","Robusta",(IF($B851="","Arabica",$B851))&amp;" - "&amp;(IF($C851="","Commercial",$C851))),Variables!$B$1:$D$1,0),1))*(BJ851/365))+(INDEX(Variables!$B$8:$D$8,IFERROR(MATCH(IF($B851="Robusta","Robusta",(IF($B851="","Arabica",$B851))&amp;" - "&amp;(IF($C851="","Commercial",$C851))),Variables!$B$1:$D$1,0),1))*L851/16.67)),""))</f>
        <v>-62.963523144596465</v>
      </c>
    </row>
    <row r="852" spans="1:63">
      <c r="A852" s="13" t="s">
        <v>103</v>
      </c>
      <c r="B852" s="13" t="s">
        <v>104</v>
      </c>
      <c r="C852" s="13" t="s">
        <v>292</v>
      </c>
      <c r="D852" s="31">
        <v>46066</v>
      </c>
      <c r="E852" s="31">
        <v>46082</v>
      </c>
      <c r="F852" s="31">
        <v>46112</v>
      </c>
      <c r="G852" s="13">
        <v>3787283</v>
      </c>
      <c r="J852" s="13" t="s">
        <v>611</v>
      </c>
      <c r="K852" s="13" t="s">
        <v>2243</v>
      </c>
      <c r="L852" s="13">
        <v>220</v>
      </c>
      <c r="M852" s="13">
        <v>0</v>
      </c>
      <c r="N852" s="13" t="s">
        <v>2244</v>
      </c>
      <c r="O852" s="13" t="s">
        <v>1949</v>
      </c>
      <c r="P852" s="13">
        <v>10030</v>
      </c>
      <c r="R852" s="13" t="s">
        <v>239</v>
      </c>
      <c r="S852" s="13" t="s">
        <v>553</v>
      </c>
      <c r="T852" s="13" t="s">
        <v>112</v>
      </c>
      <c r="U852" s="13" t="s">
        <v>113</v>
      </c>
      <c r="V852" s="13">
        <v>83</v>
      </c>
      <c r="W852" s="44">
        <f>IF($AX852="Cancelled","",IFERROR(((V852+INDEX(Variables!$B$6:$D$6,IFERROR(MATCH(IF($B852="Robusta","Robusta",(IF($B852="","Arabica",$B852))&amp;" - "&amp;(IF($C852="","Commercial",$C852))),Variables!$B$1:$D$1,0),1)))*22.0462)*(L852/16.67),""))</f>
        <v>108757.72664667064</v>
      </c>
      <c r="X852" s="55" t="s">
        <v>39</v>
      </c>
      <c r="Y852" s="13" t="str">
        <f>IF($AX852="Cancelled","",IF(X852="","",IFERROR(IF(INDEX(Variables!$B$38:$B$47,MATCH(X852,Variables!$A$38:$A$47,0))="Yes","Yes","No"),"No")))</f>
        <v>No</v>
      </c>
      <c r="Z852" s="31"/>
      <c r="AC852" s="13" t="str">
        <f t="shared" si="40"/>
        <v/>
      </c>
      <c r="AF852" s="71">
        <v>46108</v>
      </c>
      <c r="AG852" s="37">
        <f>IF($AX852="Cancelled","",IFERROR(IF(F852="","",F852-Variables!$B$13),""))</f>
        <v>46097</v>
      </c>
      <c r="AH852" s="13" t="str">
        <f>IF($AX852="Cancelled","",IFERROR(IF(AB852="","",(AVERAGE(E852:F852)-AB852)-Variables!$B$14),""))</f>
        <v/>
      </c>
      <c r="AJ852" s="47">
        <v>46112</v>
      </c>
      <c r="AK852" s="14">
        <f>IF($AX852="Cancelled","",IFERROR(IF(AJ852="","",IF(AND(AB852="",AF852=""),"",IF(AF852&gt;AB852,AF852+Variables!$B$15+Variables!$B$16+Variables!$B$17-AJ852,AB852+Variables!$B$16+Variables!$B$17-AJ852))),""))</f>
        <v>11</v>
      </c>
      <c r="AL852" s="48" t="s">
        <v>114</v>
      </c>
      <c r="AM852" s="13" t="s">
        <v>1781</v>
      </c>
      <c r="AN852" s="13" t="s">
        <v>2235</v>
      </c>
      <c r="AP852" s="31" t="e">
        <v>#N/A</v>
      </c>
      <c r="AR852" s="13" t="s">
        <v>2236</v>
      </c>
      <c r="AS852" s="31">
        <v>46133</v>
      </c>
      <c r="AU852" s="31">
        <v>46158</v>
      </c>
      <c r="AV852" s="13" t="s">
        <v>865</v>
      </c>
      <c r="AW852" s="31">
        <v>46158</v>
      </c>
      <c r="AX852" s="13" t="str">
        <f>IF(ISNUMBER(SEARCH("cancel",#REF!)),"Cancelled",IF(AND(AS852&lt;&gt;"",AU852&lt;&gt;"",AW852&lt;&gt;""),"Closed","Open"))</f>
        <v>Closed</v>
      </c>
      <c r="AY852" s="15" t="str">
        <f t="shared" si="39"/>
        <v>All dates received</v>
      </c>
      <c r="BD852" s="13">
        <f>IF($AX852="Cancelled","",IFERROR(IF(OR(AS852="",AJ852=""),"",(AJ852+Variables!$B$18-AS852)),""))</f>
        <v>-6</v>
      </c>
      <c r="BE852" s="13">
        <f>IF($AX852="Cancelled","",IFERROR(IF(OR(AW852="",AS852=""),"",(AS852+Variables!$B$19)-AW852),""))</f>
        <v>-20</v>
      </c>
      <c r="BF852" s="44">
        <f>IF($AX852="Cancelled","",IFERROR(W852*INDEX(Variables!$B$7:$D$7,IFERROR(MATCH(IF($B852="Robusta","Robusta",(IF($B852="","Arabica",$B852))&amp;" - "&amp;(IF($C852="","Commercial",$C852))),Variables!$B$1:$D$1,0),1))*(BE852/365),""))</f>
        <v>-384.27054691375042</v>
      </c>
      <c r="BG852" s="44" t="str">
        <f>IF($AX852="Cancelled","",IFERROR((W852*INDEX(Variables!$B$7:$D$7,IFERROR(MATCH(IF($B852="Robusta","Robusta",(IF($B852="","Arabica",$B852))&amp;" - "&amp;(IF($C852="","Commercial",$C852))),Variables!$B$1:$D$1,0),1))*IFERROR(IF(AB852="","",(AVERAGE(E852:F852)-AB852)-Variables!$B$14),"")/365)+(L852/16.67*INDEX(Variables!$B$8:$D$8,IFERROR(MATCH(IF($B852="Robusta","Robusta",(IF($B852="","Arabica",$B852))&amp;" - "&amp;(IF($C852="","Commercial",$C852))),Variables!$B$1:$D$1,0),1))*IFERROR(IF(AB852="","",(AVERAGE(E852:F852)-AB852)-Variables!$B$14),""))+(W852*INDEX(Variables!$B$9:$D$9,IFERROR(MATCH(IF($B852="Robusta","Robusta",(IF($B852="","Arabica",$B852))&amp;" - "&amp;(IF($C852="","Commercial",$C852))),Variables!$B$1:$D$1,0),1))*IFERROR(IF(AB852="","",(AVERAGE(E852:F852)-AB852)-Variables!$B$14),"")/365),""))</f>
        <v/>
      </c>
      <c r="BH852" s="44">
        <f>IF($AX852="Cancelled","",IFERROR((W852*INDEX(Variables!$B$7:$D$7,IFERROR(MATCH(IF($B852="Robusta","Robusta",(IF($B852="","Arabica",$B852))&amp;" - "&amp;(IF($C852="","Commercial",$C852))),Variables!$B$1:$D$1,0),1))*AK852/365)+(L852/16.67*INDEX(Variables!$B$8:$D$8,IFERROR(MATCH(IF($B852="Robusta","Robusta",(IF($B852="","Arabica",$B852))&amp;" - "&amp;(IF($C852="","Commercial",$C852))),Variables!$B$1:$D$1,0),1))*AK852)+(W852*INDEX(Variables!$B$9:$D$9,IFERROR(MATCH(IF($B852="Robusta","Robusta",(IF($B852="","Arabica",$B852))&amp;" - "&amp;(IF($C852="","Commercial",$C852))),Variables!$B$1:$D$1,0),1))*AK852/365),""))</f>
        <v>335.07349471975499</v>
      </c>
      <c r="BI852" s="44">
        <f>IF($AX852="Cancelled","",IFERROR((W852*INDEX(Variables!$B$7:$D$7,IFERROR(MATCH(IF($B852="Robusta","Robusta",(IF($B852="","Arabica",$B852))&amp;" - "&amp;(IF($C852="","Commercial",$C852))),Variables!$B$1:$D$1,0),1))*BD852/365)+(L852/16.67*INDEX(Variables!$B$8:$D$8,IFERROR(MATCH(IF($B852="Robusta","Robusta",(IF($B852="","Arabica",$B852))&amp;" - "&amp;(IF($C852="","Commercial",$C852))),Variables!$B$1:$D$1,0),1))*BD852)+(W852*INDEX(Variables!$B$9:$D$9,IFERROR(MATCH(IF($B852="Robusta","Robusta",(IF($B852="","Arabica",$B852))&amp;" - "&amp;(IF($C852="","Commercial",$C852))),Variables!$B$1:$D$1,0),1))*BD852/365),""))</f>
        <v>-182.76736075622995</v>
      </c>
      <c r="BJ852" s="44">
        <f t="shared" si="41"/>
        <v>-21</v>
      </c>
      <c r="BK852" s="44">
        <f>IF($AX852="Cancelled","",IFERROR(IF(BJ852="","",(W852*INDEX(Variables!$B$7:$D$7,IFERROR(MATCH(IF($B852="Robusta","Robusta",(IF($B852="","Arabica",$B852))&amp;" - "&amp;(IF($C852="","Commercial",$C852))),Variables!$B$1:$D$1,0),1))*(BJ852/365))+(W852*INDEX(Variables!$B$9:$D$9,IFERROR(MATCH(IF($B852="Robusta","Robusta",(IF($B852="","Arabica",$B852))&amp;" - "&amp;(IF($C852="","Commercial",$C852))),Variables!$B$1:$D$1,0),1))*(BJ852/365))+(INDEX(Variables!$B$8:$D$8,IFERROR(MATCH(IF($B852="Robusta","Robusta",(IF($B852="","Arabica",$B852))&amp;" - "&amp;(IF($C852="","Commercial",$C852))),Variables!$B$1:$D$1,0),1))*L852/16.67)),""))</f>
        <v>-397.68576264680485</v>
      </c>
    </row>
    <row r="853" spans="1:63">
      <c r="A853" s="13" t="s">
        <v>103</v>
      </c>
      <c r="B853" s="13" t="s">
        <v>104</v>
      </c>
      <c r="C853" s="13" t="s">
        <v>292</v>
      </c>
      <c r="D853" s="31">
        <v>46066</v>
      </c>
      <c r="E853" s="31">
        <v>46082</v>
      </c>
      <c r="F853" s="31">
        <v>46112</v>
      </c>
      <c r="G853" s="13">
        <v>3787284</v>
      </c>
      <c r="J853" s="13" t="s">
        <v>611</v>
      </c>
      <c r="K853" s="13" t="s">
        <v>2245</v>
      </c>
      <c r="L853" s="13">
        <v>10</v>
      </c>
      <c r="M853" s="13">
        <v>0</v>
      </c>
      <c r="N853" s="13" t="s">
        <v>2246</v>
      </c>
      <c r="O853" s="13" t="s">
        <v>771</v>
      </c>
      <c r="P853" s="13">
        <v>10010</v>
      </c>
      <c r="R853" s="13" t="s">
        <v>239</v>
      </c>
      <c r="S853" s="13" t="s">
        <v>553</v>
      </c>
      <c r="T853" s="13" t="s">
        <v>112</v>
      </c>
      <c r="U853" s="13" t="s">
        <v>113</v>
      </c>
      <c r="V853" s="13">
        <v>189</v>
      </c>
      <c r="W853" s="44">
        <f>IF($AX853="Cancelled","",IFERROR(((V853+INDEX(Variables!$B$6:$D$6,IFERROR(MATCH(IF($B853="Robusta","Robusta",(IF($B853="","Arabica",$B853))&amp;" - "&amp;(IF($C853="","Commercial",$C853))),Variables!$B$1:$D$1,0),1)))*22.0462)*(L853/16.67),""))</f>
        <v>6345.390977804439</v>
      </c>
      <c r="X853" s="55" t="s">
        <v>39</v>
      </c>
      <c r="Y853" s="13" t="str">
        <f>IF($AX853="Cancelled","",IF(X853="","",IFERROR(IF(INDEX(Variables!$B$38:$B$47,MATCH(X853,Variables!$A$38:$A$47,0))="Yes","Yes","No"),"No")))</f>
        <v>No</v>
      </c>
      <c r="Z853" s="31"/>
      <c r="AC853" s="13" t="str">
        <f t="shared" si="40"/>
        <v/>
      </c>
      <c r="AF853" s="71">
        <v>46108</v>
      </c>
      <c r="AG853" s="37">
        <f>IF($AX853="Cancelled","",IFERROR(IF(F853="","",F853-Variables!$B$13),""))</f>
        <v>46097</v>
      </c>
      <c r="AH853" s="13" t="str">
        <f>IF($AX853="Cancelled","",IFERROR(IF(AB853="","",(AVERAGE(E853:F853)-AB853)-Variables!$B$14),""))</f>
        <v/>
      </c>
      <c r="AJ853" s="47">
        <v>46112</v>
      </c>
      <c r="AK853" s="14">
        <f>IF($AX853="Cancelled","",IFERROR(IF(AJ853="","",IF(AND(AB853="",AF853=""),"",IF(AF853&gt;AB853,AF853+Variables!$B$15+Variables!$B$16+Variables!$B$17-AJ853,AB853+Variables!$B$16+Variables!$B$17-AJ853))),""))</f>
        <v>11</v>
      </c>
      <c r="AL853" s="48" t="s">
        <v>114</v>
      </c>
      <c r="AM853" s="13" t="s">
        <v>1781</v>
      </c>
      <c r="AN853" s="13" t="s">
        <v>2235</v>
      </c>
      <c r="AP853" s="31" t="e">
        <v>#N/A</v>
      </c>
      <c r="AR853" s="13" t="s">
        <v>2236</v>
      </c>
      <c r="AS853" s="31">
        <v>46133</v>
      </c>
      <c r="AU853" s="31">
        <v>46158</v>
      </c>
      <c r="AV853" s="13" t="s">
        <v>865</v>
      </c>
      <c r="AW853" s="31">
        <v>46158</v>
      </c>
      <c r="AX853" s="13" t="str">
        <f>IF(ISNUMBER(SEARCH("cancel",#REF!)),"Cancelled",IF(AND(AS853&lt;&gt;"",AU853&lt;&gt;"",AW853&lt;&gt;""),"Closed","Open"))</f>
        <v>Closed</v>
      </c>
      <c r="AY853" s="15" t="str">
        <f t="shared" si="39"/>
        <v>All dates received</v>
      </c>
      <c r="BD853" s="13">
        <f>IF($AX853="Cancelled","",IFERROR(IF(OR(AS853="",AJ853=""),"",(AJ853+Variables!$B$18-AS853)),""))</f>
        <v>-6</v>
      </c>
      <c r="BE853" s="13">
        <f>IF($AX853="Cancelled","",IFERROR(IF(OR(AW853="",AS853=""),"",(AS853+Variables!$B$19)-AW853),""))</f>
        <v>-20</v>
      </c>
      <c r="BF853" s="44">
        <f>IF($AX853="Cancelled","",IFERROR(W853*INDEX(Variables!$B$7:$D$7,IFERROR(MATCH(IF($B853="Robusta","Robusta",(IF($B853="","Arabica",$B853))&amp;" - "&amp;(IF($C853="","Commercial",$C853))),Variables!$B$1:$D$1,0),1))*(BE853/365),""))</f>
        <v>-22.419987403231858</v>
      </c>
      <c r="BG853" s="44" t="str">
        <f>IF($AX853="Cancelled","",IFERROR((W853*INDEX(Variables!$B$7:$D$7,IFERROR(MATCH(IF($B853="Robusta","Robusta",(IF($B853="","Arabica",$B853))&amp;" - "&amp;(IF($C853="","Commercial",$C853))),Variables!$B$1:$D$1,0),1))*IFERROR(IF(AB853="","",(AVERAGE(E853:F853)-AB853)-Variables!$B$14),"")/365)+(L853/16.67*INDEX(Variables!$B$8:$D$8,IFERROR(MATCH(IF($B853="Robusta","Robusta",(IF($B853="","Arabica",$B853))&amp;" - "&amp;(IF($C853="","Commercial",$C853))),Variables!$B$1:$D$1,0),1))*IFERROR(IF(AB853="","",(AVERAGE(E853:F853)-AB853)-Variables!$B$14),""))+(W853*INDEX(Variables!$B$9:$D$9,IFERROR(MATCH(IF($B853="Robusta","Robusta",(IF($B853="","Arabica",$B853))&amp;" - "&amp;(IF($C853="","Commercial",$C853))),Variables!$B$1:$D$1,0),1))*IFERROR(IF(AB853="","",(AVERAGE(E853:F853)-AB853)-Variables!$B$14),"")/365),""))</f>
        <v/>
      </c>
      <c r="BH853" s="44">
        <f>IF($AX853="Cancelled","",IFERROR((W853*INDEX(Variables!$B$7:$D$7,IFERROR(MATCH(IF($B853="Robusta","Robusta",(IF($B853="","Arabica",$B853))&amp;" - "&amp;(IF($C853="","Commercial",$C853))),Variables!$B$1:$D$1,0),1))*AK853/365)+(L853/16.67*INDEX(Variables!$B$8:$D$8,IFERROR(MATCH(IF($B853="Robusta","Robusta",(IF($B853="","Arabica",$B853))&amp;" - "&amp;(IF($C853="","Commercial",$C853))),Variables!$B$1:$D$1,0),1))*AK853)+(W853*INDEX(Variables!$B$9:$D$9,IFERROR(MATCH(IF($B853="Robusta","Robusta",(IF($B853="","Arabica",$B853))&amp;" - "&amp;(IF($C853="","Commercial",$C853))),Variables!$B$1:$D$1,0),1))*AK853/365),""))</f>
        <v>17.989963369635976</v>
      </c>
      <c r="BI853" s="44">
        <f>IF($AX853="Cancelled","",IFERROR((W853*INDEX(Variables!$B$7:$D$7,IFERROR(MATCH(IF($B853="Robusta","Robusta",(IF($B853="","Arabica",$B853))&amp;" - "&amp;(IF($C853="","Commercial",$C853))),Variables!$B$1:$D$1,0),1))*BD853/365)+(L853/16.67*INDEX(Variables!$B$8:$D$8,IFERROR(MATCH(IF($B853="Robusta","Robusta",(IF($B853="","Arabica",$B853))&amp;" - "&amp;(IF($C853="","Commercial",$C853))),Variables!$B$1:$D$1,0),1))*BD853)+(W853*INDEX(Variables!$B$9:$D$9,IFERROR(MATCH(IF($B853="Robusta","Robusta",(IF($B853="","Arabica",$B853))&amp;" - "&amp;(IF($C853="","Commercial",$C853))),Variables!$B$1:$D$1,0),1))*BD853/365),""))</f>
        <v>-9.8127072925287173</v>
      </c>
      <c r="BJ853" s="44">
        <f t="shared" si="41"/>
        <v>-21</v>
      </c>
      <c r="BK853" s="44">
        <f>IF($AX853="Cancelled","",IFERROR(IF(BJ853="","",(W853*INDEX(Variables!$B$7:$D$7,IFERROR(MATCH(IF($B853="Robusta","Robusta",(IF($B853="","Arabica",$B853))&amp;" - "&amp;(IF($C853="","Commercial",$C853))),Variables!$B$1:$D$1,0),1))*(BJ853/365))+(W853*INDEX(Variables!$B$9:$D$9,IFERROR(MATCH(IF($B853="Robusta","Robusta",(IF($B853="","Arabica",$B853))&amp;" - "&amp;(IF($C853="","Commercial",$C853))),Variables!$B$1:$D$1,0),1))*(BJ853/365))+(INDEX(Variables!$B$8:$D$8,IFERROR(MATCH(IF($B853="Robusta","Robusta",(IF($B853="","Arabica",$B853))&amp;" - "&amp;(IF($C853="","Commercial",$C853))),Variables!$B$1:$D$1,0),1))*L853/16.67)),""))</f>
        <v>-23.344475523850509</v>
      </c>
    </row>
    <row r="854" spans="1:63">
      <c r="A854" s="13" t="s">
        <v>103</v>
      </c>
      <c r="B854" s="13" t="s">
        <v>104</v>
      </c>
      <c r="C854" s="13" t="s">
        <v>292</v>
      </c>
      <c r="D854" s="31">
        <v>46066</v>
      </c>
      <c r="E854" s="31">
        <v>46082</v>
      </c>
      <c r="F854" s="31">
        <v>46112</v>
      </c>
      <c r="G854" s="13">
        <v>3787285</v>
      </c>
      <c r="J854" s="13" t="s">
        <v>611</v>
      </c>
      <c r="K854" s="13" t="s">
        <v>2247</v>
      </c>
      <c r="L854" s="13">
        <v>30</v>
      </c>
      <c r="M854" s="13">
        <v>0</v>
      </c>
      <c r="N854" s="13" t="s">
        <v>2248</v>
      </c>
      <c r="O854" s="13" t="s">
        <v>771</v>
      </c>
      <c r="P854" s="13">
        <v>10010</v>
      </c>
      <c r="R854" s="13" t="s">
        <v>239</v>
      </c>
      <c r="S854" s="13" t="s">
        <v>283</v>
      </c>
      <c r="T854" s="13" t="s">
        <v>112</v>
      </c>
      <c r="U854" s="13" t="s">
        <v>113</v>
      </c>
      <c r="V854" s="13">
        <v>157</v>
      </c>
      <c r="W854" s="44">
        <f>IF($AX854="Cancelled","",IFERROR(((V854+INDEX(Variables!$B$6:$D$6,IFERROR(MATCH(IF($B854="Robusta","Robusta",(IF($B854="","Arabica",$B854))&amp;" - "&amp;(IF($C854="","Commercial",$C854))),Variables!$B$1:$D$1,0),1)))*22.0462)*(L854/16.67),""))</f>
        <v>17766.565734853029</v>
      </c>
      <c r="X854" s="55" t="s">
        <v>39</v>
      </c>
      <c r="Y854" s="13" t="str">
        <f>IF($AX854="Cancelled","",IF(X854="","",IFERROR(IF(INDEX(Variables!$B$38:$B$47,MATCH(X854,Variables!$A$38:$A$47,0))="Yes","Yes","No"),"No")))</f>
        <v>No</v>
      </c>
      <c r="Z854" s="31"/>
      <c r="AB854" s="31">
        <v>46067.875</v>
      </c>
      <c r="AC854" s="13" t="str">
        <f t="shared" si="40"/>
        <v>Approved</v>
      </c>
      <c r="AF854" s="71">
        <v>46108</v>
      </c>
      <c r="AG854" s="37">
        <f>IF($AX854="Cancelled","",IFERROR(IF(F854="","",F854-Variables!$B$13),""))</f>
        <v>46097</v>
      </c>
      <c r="AH854" s="13">
        <f>IF($AX854="Cancelled","",IFERROR(IF(AB854="","",(AVERAGE(E854:F854)-AB854)-Variables!$B$14),""))</f>
        <v>-0.875</v>
      </c>
      <c r="AJ854" s="47">
        <v>46119</v>
      </c>
      <c r="AK854" s="14">
        <f>IF($AX854="Cancelled","",IFERROR(IF(AJ854="","",IF(AND(AB854="",AF854=""),"",IF(AF854&gt;AB854,AF854+Variables!$B$15+Variables!$B$16+Variables!$B$17-AJ854,AB854+Variables!$B$16+Variables!$B$17-AJ854))),""))</f>
        <v>4</v>
      </c>
      <c r="AL854" s="48" t="s">
        <v>114</v>
      </c>
      <c r="AM854" s="13" t="s">
        <v>168</v>
      </c>
      <c r="AN854" s="13" t="s">
        <v>2231</v>
      </c>
      <c r="AP854" s="31" t="e">
        <v>#N/A</v>
      </c>
      <c r="AR854" s="13" t="s">
        <v>2232</v>
      </c>
      <c r="AS854" s="31">
        <v>46156</v>
      </c>
      <c r="AU854" s="31">
        <v>46158</v>
      </c>
      <c r="AV854" s="13" t="s">
        <v>865</v>
      </c>
      <c r="AW854" s="31">
        <v>46158</v>
      </c>
      <c r="AX854" s="13" t="str">
        <f>IF(ISNUMBER(SEARCH("cancel",#REF!)),"Cancelled",IF(AND(AS854&lt;&gt;"",AU854&lt;&gt;"",AW854&lt;&gt;""),"Closed","Open"))</f>
        <v>Closed</v>
      </c>
      <c r="AY854" s="15" t="str">
        <f t="shared" si="39"/>
        <v>All dates received</v>
      </c>
      <c r="BD854" s="13">
        <f>IF($AX854="Cancelled","",IFERROR(IF(OR(AS854="",AJ854=""),"",(AJ854+Variables!$B$18-AS854)),""))</f>
        <v>-22</v>
      </c>
      <c r="BE854" s="13">
        <f>IF($AX854="Cancelled","",IFERROR(IF(OR(AW854="",AS854=""),"",(AS854+Variables!$B$19)-AW854),""))</f>
        <v>3</v>
      </c>
      <c r="BF854" s="44">
        <f>IF($AX854="Cancelled","",IFERROR(W854*INDEX(Variables!$B$7:$D$7,IFERROR(MATCH(IF($B854="Robusta","Robusta",(IF($B854="","Arabica",$B854))&amp;" - "&amp;(IF($C854="","Commercial",$C854))),Variables!$B$1:$D$1,0),1))*(BE854/365),""))</f>
        <v>9.4161143426953959</v>
      </c>
      <c r="BG854" s="44">
        <f>IF($AX854="Cancelled","",IFERROR((W854*INDEX(Variables!$B$7:$D$7,IFERROR(MATCH(IF($B854="Robusta","Robusta",(IF($B854="","Arabica",$B854))&amp;" - "&amp;(IF($C854="","Commercial",$C854))),Variables!$B$1:$D$1,0),1))*IFERROR(IF(AB854="","",(AVERAGE(E854:F854)-AB854)-Variables!$B$14),"")/365)+(L854/16.67*INDEX(Variables!$B$8:$D$8,IFERROR(MATCH(IF($B854="Robusta","Robusta",(IF($B854="","Arabica",$B854))&amp;" - "&amp;(IF($C854="","Commercial",$C854))),Variables!$B$1:$D$1,0),1))*IFERROR(IF(AB854="","",(AVERAGE(E854:F854)-AB854)-Variables!$B$14),""))+(W854*INDEX(Variables!$B$9:$D$9,IFERROR(MATCH(IF($B854="Robusta","Robusta",(IF($B854="","Arabica",$B854))&amp;" - "&amp;(IF($C854="","Commercial",$C854))),Variables!$B$1:$D$1,0),1))*IFERROR(IF(AB854="","",(AVERAGE(E854:F854)-AB854)-Variables!$B$14),"")/365),""))</f>
        <v>-4.0942726499531723</v>
      </c>
      <c r="BH854" s="44">
        <f>IF($AX854="Cancelled","",IFERROR((W854*INDEX(Variables!$B$7:$D$7,IFERROR(MATCH(IF($B854="Robusta","Robusta",(IF($B854="","Arabica",$B854))&amp;" - "&amp;(IF($C854="","Commercial",$C854))),Variables!$B$1:$D$1,0),1))*AK854/365)+(L854/16.67*INDEX(Variables!$B$8:$D$8,IFERROR(MATCH(IF($B854="Robusta","Robusta",(IF($B854="","Arabica",$B854))&amp;" - "&amp;(IF($C854="","Commercial",$C854))),Variables!$B$1:$D$1,0),1))*AK854)+(W854*INDEX(Variables!$B$9:$D$9,IFERROR(MATCH(IF($B854="Robusta","Robusta",(IF($B854="","Arabica",$B854))&amp;" - "&amp;(IF($C854="","Commercial",$C854))),Variables!$B$1:$D$1,0),1))*AK854/365),""))</f>
        <v>18.716674971214506</v>
      </c>
      <c r="BI854" s="44">
        <f>IF($AX854="Cancelled","",IFERROR((W854*INDEX(Variables!$B$7:$D$7,IFERROR(MATCH(IF($B854="Robusta","Robusta",(IF($B854="","Arabica",$B854))&amp;" - "&amp;(IF($C854="","Commercial",$C854))),Variables!$B$1:$D$1,0),1))*BD854/365)+(L854/16.67*INDEX(Variables!$B$8:$D$8,IFERROR(MATCH(IF($B854="Robusta","Robusta",(IF($B854="","Arabica",$B854))&amp;" - "&amp;(IF($C854="","Commercial",$C854))),Variables!$B$1:$D$1,0),1))*BD854)+(W854*INDEX(Variables!$B$9:$D$9,IFERROR(MATCH(IF($B854="Robusta","Robusta",(IF($B854="","Arabica",$B854))&amp;" - "&amp;(IF($C854="","Commercial",$C854))),Variables!$B$1:$D$1,0),1))*BD854/365),""))</f>
        <v>-102.94171234167976</v>
      </c>
      <c r="BJ854" s="44">
        <f t="shared" si="41"/>
        <v>-44</v>
      </c>
      <c r="BK854" s="44">
        <f>IF($AX854="Cancelled","",IFERROR(IF(BJ854="","",(W854*INDEX(Variables!$B$7:$D$7,IFERROR(MATCH(IF($B854="Robusta","Robusta",(IF($B854="","Arabica",$B854))&amp;" - "&amp;(IF($C854="","Commercial",$C854))),Variables!$B$1:$D$1,0),1))*(BJ854/365))+(W854*INDEX(Variables!$B$9:$D$9,IFERROR(MATCH(IF($B854="Robusta","Robusta",(IF($B854="","Arabica",$B854))&amp;" - "&amp;(IF($C854="","Commercial",$C854))),Variables!$B$1:$D$1,0),1))*(BJ854/365))+(INDEX(Variables!$B$8:$D$8,IFERROR(MATCH(IF($B854="Robusta","Robusta",(IF($B854="","Arabica",$B854))&amp;" - "&amp;(IF($C854="","Commercial",$C854))),Variables!$B$1:$D$1,0),1))*L854/16.67)),""))</f>
        <v>-138.38342468335952</v>
      </c>
    </row>
    <row r="855" spans="1:63">
      <c r="A855" s="13" t="s">
        <v>103</v>
      </c>
      <c r="B855" s="13" t="s">
        <v>104</v>
      </c>
      <c r="C855" s="13" t="s">
        <v>292</v>
      </c>
      <c r="D855" s="31">
        <v>46066</v>
      </c>
      <c r="E855" s="31">
        <v>46082</v>
      </c>
      <c r="F855" s="31">
        <v>46112</v>
      </c>
      <c r="G855" s="13">
        <v>3787286</v>
      </c>
      <c r="J855" s="13" t="s">
        <v>611</v>
      </c>
      <c r="K855" s="13" t="s">
        <v>2249</v>
      </c>
      <c r="L855" s="13">
        <v>10</v>
      </c>
      <c r="M855" s="13">
        <v>0</v>
      </c>
      <c r="N855" s="13" t="s">
        <v>2250</v>
      </c>
      <c r="O855" s="13" t="s">
        <v>297</v>
      </c>
      <c r="P855" s="13">
        <v>10020</v>
      </c>
      <c r="R855" s="13" t="s">
        <v>239</v>
      </c>
      <c r="S855" s="13" t="s">
        <v>283</v>
      </c>
      <c r="T855" s="13" t="s">
        <v>112</v>
      </c>
      <c r="U855" s="13" t="s">
        <v>113</v>
      </c>
      <c r="V855" s="13">
        <v>176</v>
      </c>
      <c r="W855" s="44">
        <f>IF($AX855="Cancelled","",IFERROR(((V855+INDEX(Variables!$B$6:$D$6,IFERROR(MATCH(IF($B855="Robusta","Robusta",(IF($B855="","Arabica",$B855))&amp;" - "&amp;(IF($C855="","Commercial",$C855))),Variables!$B$1:$D$1,0),1)))*22.0462)*(L855/16.67),""))</f>
        <v>6173.4650029993991</v>
      </c>
      <c r="X855" s="55" t="s">
        <v>39</v>
      </c>
      <c r="Y855" s="13" t="str">
        <f>IF($AX855="Cancelled","",IF(X855="","",IFERROR(IF(INDEX(Variables!$B$38:$B$47,MATCH(X855,Variables!$A$38:$A$47,0))="Yes","Yes","No"),"No")))</f>
        <v>No</v>
      </c>
      <c r="Z855" s="31"/>
      <c r="AB855" s="31">
        <v>46067.875</v>
      </c>
      <c r="AC855" s="13" t="str">
        <f t="shared" si="40"/>
        <v>Approved</v>
      </c>
      <c r="AF855" s="71">
        <v>46108</v>
      </c>
      <c r="AG855" s="37">
        <f>IF($AX855="Cancelled","",IFERROR(IF(F855="","",F855-Variables!$B$13),""))</f>
        <v>46097</v>
      </c>
      <c r="AH855" s="13">
        <f>IF($AX855="Cancelled","",IFERROR(IF(AB855="","",(AVERAGE(E855:F855)-AB855)-Variables!$B$14),""))</f>
        <v>-0.875</v>
      </c>
      <c r="AJ855" s="47">
        <v>46119</v>
      </c>
      <c r="AK855" s="14">
        <f>IF($AX855="Cancelled","",IFERROR(IF(AJ855="","",IF(AND(AB855="",AF855=""),"",IF(AF855&gt;AB855,AF855+Variables!$B$15+Variables!$B$16+Variables!$B$17-AJ855,AB855+Variables!$B$16+Variables!$B$17-AJ855))),""))</f>
        <v>4</v>
      </c>
      <c r="AL855" s="48" t="s">
        <v>114</v>
      </c>
      <c r="AM855" s="13" t="s">
        <v>168</v>
      </c>
      <c r="AN855" s="13" t="s">
        <v>2231</v>
      </c>
      <c r="AP855" s="31" t="e">
        <v>#N/A</v>
      </c>
      <c r="AR855" s="13" t="s">
        <v>2232</v>
      </c>
      <c r="AS855" s="31">
        <v>46156</v>
      </c>
      <c r="AU855" s="31">
        <v>46158</v>
      </c>
      <c r="AV855" s="13" t="s">
        <v>865</v>
      </c>
      <c r="AW855" s="31">
        <v>46158</v>
      </c>
      <c r="AX855" s="13" t="str">
        <f>IF(ISNUMBER(SEARCH("cancel",#REF!)),"Cancelled",IF(AND(AS855&lt;&gt;"",AU855&lt;&gt;"",AW855&lt;&gt;""),"Closed","Open"))</f>
        <v>Closed</v>
      </c>
      <c r="AY855" s="15" t="str">
        <f t="shared" si="39"/>
        <v>All dates received</v>
      </c>
      <c r="BD855" s="13">
        <f>IF($AX855="Cancelled","",IFERROR(IF(OR(AS855="",AJ855=""),"",(AJ855+Variables!$B$18-AS855)),""))</f>
        <v>-22</v>
      </c>
      <c r="BE855" s="13">
        <f>IF($AX855="Cancelled","",IFERROR(IF(OR(AW855="",AS855=""),"",(AS855+Variables!$B$19)-AW855),""))</f>
        <v>3</v>
      </c>
      <c r="BF855" s="44">
        <f>IF($AX855="Cancelled","",IFERROR(W855*INDEX(Variables!$B$7:$D$7,IFERROR(MATCH(IF($B855="Robusta","Robusta",(IF($B855="","Arabica",$B855))&amp;" - "&amp;(IF($C855="","Commercial",$C855))),Variables!$B$1:$D$1,0),1))*(BE855/365),""))</f>
        <v>3.2718789453403385</v>
      </c>
      <c r="BG855" s="44">
        <f>IF($AX855="Cancelled","",IFERROR((W855*INDEX(Variables!$B$7:$D$7,IFERROR(MATCH(IF($B855="Robusta","Robusta",(IF($B855="","Arabica",$B855))&amp;" - "&amp;(IF($C855="","Commercial",$C855))),Variables!$B$1:$D$1,0),1))*IFERROR(IF(AB855="","",(AVERAGE(E855:F855)-AB855)-Variables!$B$14),"")/365)+(L855/16.67*INDEX(Variables!$B$8:$D$8,IFERROR(MATCH(IF($B855="Robusta","Robusta",(IF($B855="","Arabica",$B855))&amp;" - "&amp;(IF($C855="","Commercial",$C855))),Variables!$B$1:$D$1,0),1))*IFERROR(IF(AB855="","",(AVERAGE(E855:F855)-AB855)-Variables!$B$14),""))+(W855*INDEX(Variables!$B$9:$D$9,IFERROR(MATCH(IF($B855="Robusta","Robusta",(IF($B855="","Arabica",$B855))&amp;" - "&amp;(IF($C855="","Commercial",$C855))),Variables!$B$1:$D$1,0),1))*IFERROR(IF(AB855="","",(AVERAGE(E855:F855)-AB855)-Variables!$B$14),"")/365),""))</f>
        <v>-1.4041007689430853</v>
      </c>
      <c r="BH855" s="44">
        <f>IF($AX855="Cancelled","",IFERROR((W855*INDEX(Variables!$B$7:$D$7,IFERROR(MATCH(IF($B855="Robusta","Robusta",(IF($B855="","Arabica",$B855))&amp;" - "&amp;(IF($C855="","Commercial",$C855))),Variables!$B$1:$D$1,0),1))*AK855/365)+(L855/16.67*INDEX(Variables!$B$8:$D$8,IFERROR(MATCH(IF($B855="Robusta","Robusta",(IF($B855="","Arabica",$B855))&amp;" - "&amp;(IF($C855="","Commercial",$C855))),Variables!$B$1:$D$1,0),1))*AK855)+(W855*INDEX(Variables!$B$9:$D$9,IFERROR(MATCH(IF($B855="Robusta","Robusta",(IF($B855="","Arabica",$B855))&amp;" - "&amp;(IF($C855="","Commercial",$C855))),Variables!$B$1:$D$1,0),1))*AK855/365),""))</f>
        <v>6.4187463723112472</v>
      </c>
      <c r="BI855" s="44">
        <f>IF($AX855="Cancelled","",IFERROR((W855*INDEX(Variables!$B$7:$D$7,IFERROR(MATCH(IF($B855="Robusta","Robusta",(IF($B855="","Arabica",$B855))&amp;" - "&amp;(IF($C855="","Commercial",$C855))),Variables!$B$1:$D$1,0),1))*BD855/365)+(L855/16.67*INDEX(Variables!$B$8:$D$8,IFERROR(MATCH(IF($B855="Robusta","Robusta",(IF($B855="","Arabica",$B855))&amp;" - "&amp;(IF($C855="","Commercial",$C855))),Variables!$B$1:$D$1,0),1))*BD855)+(W855*INDEX(Variables!$B$9:$D$9,IFERROR(MATCH(IF($B855="Robusta","Robusta",(IF($B855="","Arabica",$B855))&amp;" - "&amp;(IF($C855="","Commercial",$C855))),Variables!$B$1:$D$1,0),1))*BD855/365),""))</f>
        <v>-35.303105047711853</v>
      </c>
      <c r="BJ855" s="44">
        <f t="shared" si="41"/>
        <v>-44</v>
      </c>
      <c r="BK855" s="44">
        <f>IF($AX855="Cancelled","",IFERROR(IF(BJ855="","",(W855*INDEX(Variables!$B$7:$D$7,IFERROR(MATCH(IF($B855="Robusta","Robusta",(IF($B855="","Arabica",$B855))&amp;" - "&amp;(IF($C855="","Commercial",$C855))),Variables!$B$1:$D$1,0),1))*(BJ855/365))+(W855*INDEX(Variables!$B$9:$D$9,IFERROR(MATCH(IF($B855="Robusta","Robusta",(IF($B855="","Arabica",$B855))&amp;" - "&amp;(IF($C855="","Commercial",$C855))),Variables!$B$1:$D$1,0),1))*(BJ855/365))+(INDEX(Variables!$B$8:$D$8,IFERROR(MATCH(IF($B855="Robusta","Robusta",(IF($B855="","Arabica",$B855))&amp;" - "&amp;(IF($C855="","Commercial",$C855))),Variables!$B$1:$D$1,0),1))*L855/16.67)),""))</f>
        <v>-48.10621009542372</v>
      </c>
    </row>
    <row r="856" spans="1:63">
      <c r="A856" s="13" t="s">
        <v>103</v>
      </c>
      <c r="B856" s="13" t="s">
        <v>104</v>
      </c>
      <c r="C856" s="13" t="s">
        <v>292</v>
      </c>
      <c r="D856" s="31">
        <v>46066</v>
      </c>
      <c r="E856" s="31">
        <v>46082</v>
      </c>
      <c r="F856" s="31">
        <v>46112</v>
      </c>
      <c r="G856" s="13">
        <v>3787287</v>
      </c>
      <c r="J856" s="13" t="s">
        <v>611</v>
      </c>
      <c r="K856" s="13" t="s">
        <v>2251</v>
      </c>
      <c r="L856" s="13">
        <v>10</v>
      </c>
      <c r="M856" s="13">
        <v>0</v>
      </c>
      <c r="N856" s="13" t="s">
        <v>2252</v>
      </c>
      <c r="O856" s="13" t="s">
        <v>297</v>
      </c>
      <c r="P856" s="13">
        <v>10020</v>
      </c>
      <c r="R856" s="13" t="s">
        <v>239</v>
      </c>
      <c r="S856" s="13" t="s">
        <v>283</v>
      </c>
      <c r="T856" s="13" t="s">
        <v>112</v>
      </c>
      <c r="U856" s="13" t="s">
        <v>113</v>
      </c>
      <c r="V856" s="13">
        <v>163</v>
      </c>
      <c r="W856" s="44">
        <f>IF($AX856="Cancelled","",IFERROR(((V856+INDEX(Variables!$B$6:$D$6,IFERROR(MATCH(IF($B856="Robusta","Robusta",(IF($B856="","Arabica",$B856))&amp;" - "&amp;(IF($C856="","Commercial",$C856))),Variables!$B$1:$D$1,0),1)))*22.0462)*(L856/16.67),""))</f>
        <v>6001.5390281943601</v>
      </c>
      <c r="X856" s="55" t="s">
        <v>39</v>
      </c>
      <c r="Y856" s="13" t="str">
        <f>IF($AX856="Cancelled","",IF(X856="","",IFERROR(IF(INDEX(Variables!$B$38:$B$47,MATCH(X856,Variables!$A$38:$A$47,0))="Yes","Yes","No"),"No")))</f>
        <v>No</v>
      </c>
      <c r="Z856" s="31"/>
      <c r="AB856" s="31">
        <v>46067.875</v>
      </c>
      <c r="AC856" s="13" t="str">
        <f t="shared" si="40"/>
        <v>Approved</v>
      </c>
      <c r="AF856" s="71">
        <v>46108</v>
      </c>
      <c r="AG856" s="37">
        <f>IF($AX856="Cancelled","",IFERROR(IF(F856="","",F856-Variables!$B$13),""))</f>
        <v>46097</v>
      </c>
      <c r="AH856" s="13">
        <f>IF($AX856="Cancelled","",IFERROR(IF(AB856="","",(AVERAGE(E856:F856)-AB856)-Variables!$B$14),""))</f>
        <v>-0.875</v>
      </c>
      <c r="AJ856" s="47">
        <v>46119</v>
      </c>
      <c r="AK856" s="14">
        <f>IF($AX856="Cancelled","",IFERROR(IF(AJ856="","",IF(AND(AB856="",AF856=""),"",IF(AF856&gt;AB856,AF856+Variables!$B$15+Variables!$B$16+Variables!$B$17-AJ856,AB856+Variables!$B$16+Variables!$B$17-AJ856))),""))</f>
        <v>4</v>
      </c>
      <c r="AL856" s="48" t="s">
        <v>114</v>
      </c>
      <c r="AM856" s="13" t="s">
        <v>168</v>
      </c>
      <c r="AN856" s="13" t="s">
        <v>2231</v>
      </c>
      <c r="AP856" s="31" t="e">
        <v>#N/A</v>
      </c>
      <c r="AR856" s="13" t="s">
        <v>2232</v>
      </c>
      <c r="AS856" s="31">
        <v>46156</v>
      </c>
      <c r="AU856" s="31">
        <v>46158</v>
      </c>
      <c r="AV856" s="13" t="s">
        <v>865</v>
      </c>
      <c r="AW856" s="31">
        <v>46158</v>
      </c>
      <c r="AX856" s="13" t="str">
        <f>IF(ISNUMBER(SEARCH("cancel",#REF!)),"Cancelled",IF(AND(AS856&lt;&gt;"",AU856&lt;&gt;"",AW856&lt;&gt;""),"Closed","Open"))</f>
        <v>Closed</v>
      </c>
      <c r="AY856" s="15" t="str">
        <f t="shared" si="39"/>
        <v>All dates received</v>
      </c>
      <c r="BD856" s="13">
        <f>IF($AX856="Cancelled","",IFERROR(IF(OR(AS856="",AJ856=""),"",(AJ856+Variables!$B$18-AS856)),""))</f>
        <v>-22</v>
      </c>
      <c r="BE856" s="13">
        <f>IF($AX856="Cancelled","",IFERROR(IF(OR(AW856="",AS856=""),"",(AS856+Variables!$B$19)-AW856),""))</f>
        <v>3</v>
      </c>
      <c r="BF856" s="44">
        <f>IF($AX856="Cancelled","",IFERROR(W856*INDEX(Variables!$B$7:$D$7,IFERROR(MATCH(IF($B856="Robusta","Robusta",(IF($B856="","Arabica",$B856))&amp;" - "&amp;(IF($C856="","Commercial",$C856))),Variables!$B$1:$D$1,0),1))*(BE856/365),""))</f>
        <v>3.1807597801958991</v>
      </c>
      <c r="BG856" s="44">
        <f>IF($AX856="Cancelled","",IFERROR((W856*INDEX(Variables!$B$7:$D$7,IFERROR(MATCH(IF($B856="Robusta","Robusta",(IF($B856="","Arabica",$B856))&amp;" - "&amp;(IF($C856="","Commercial",$C856))),Variables!$B$1:$D$1,0),1))*IFERROR(IF(AB856="","",(AVERAGE(E856:F856)-AB856)-Variables!$B$14),"")/365)+(L856/16.67*INDEX(Variables!$B$8:$D$8,IFERROR(MATCH(IF($B856="Robusta","Robusta",(IF($B856="","Arabica",$B856))&amp;" - "&amp;(IF($C856="","Commercial",$C856))),Variables!$B$1:$D$1,0),1))*IFERROR(IF(AB856="","",(AVERAGE(E856:F856)-AB856)-Variables!$B$14),""))+(W856*INDEX(Variables!$B$9:$D$9,IFERROR(MATCH(IF($B856="Robusta","Robusta",(IF($B856="","Arabica",$B856))&amp;" - "&amp;(IF($C856="","Commercial",$C856))),Variables!$B$1:$D$1,0),1))*IFERROR(IF(AB856="","",(AVERAGE(E856:F856)-AB856)-Variables!$B$14),"")/365),""))</f>
        <v>-1.3771817243923996</v>
      </c>
      <c r="BH856" s="44">
        <f>IF($AX856="Cancelled","",IFERROR((W856*INDEX(Variables!$B$7:$D$7,IFERROR(MATCH(IF($B856="Robusta","Robusta",(IF($B856="","Arabica",$B856))&amp;" - "&amp;(IF($C856="","Commercial",$C856))),Variables!$B$1:$D$1,0),1))*AK856/365)+(L856/16.67*INDEX(Variables!$B$8:$D$8,IFERROR(MATCH(IF($B856="Robusta","Robusta",(IF($B856="","Arabica",$B856))&amp;" - "&amp;(IF($C856="","Commercial",$C856))),Variables!$B$1:$D$1,0),1))*AK856)+(W856*INDEX(Variables!$B$9:$D$9,IFERROR(MATCH(IF($B856="Robusta","Robusta",(IF($B856="","Arabica",$B856))&amp;" - "&amp;(IF($C856="","Commercial",$C856))),Variables!$B$1:$D$1,0),1))*AK856/365),""))</f>
        <v>6.2956878829366838</v>
      </c>
      <c r="BI856" s="44">
        <f>IF($AX856="Cancelled","",IFERROR((W856*INDEX(Variables!$B$7:$D$7,IFERROR(MATCH(IF($B856="Robusta","Robusta",(IF($B856="","Arabica",$B856))&amp;" - "&amp;(IF($C856="","Commercial",$C856))),Variables!$B$1:$D$1,0),1))*BD856/365)+(L856/16.67*INDEX(Variables!$B$8:$D$8,IFERROR(MATCH(IF($B856="Robusta","Robusta",(IF($B856="","Arabica",$B856))&amp;" - "&amp;(IF($C856="","Commercial",$C856))),Variables!$B$1:$D$1,0),1))*BD856)+(W856*INDEX(Variables!$B$9:$D$9,IFERROR(MATCH(IF($B856="Robusta","Robusta",(IF($B856="","Arabica",$B856))&amp;" - "&amp;(IF($C856="","Commercial",$C856))),Variables!$B$1:$D$1,0),1))*BD856/365),""))</f>
        <v>-34.62628335615176</v>
      </c>
      <c r="BJ856" s="44">
        <f t="shared" si="41"/>
        <v>-44</v>
      </c>
      <c r="BK856" s="44">
        <f>IF($AX856="Cancelled","",IFERROR(IF(BJ856="","",(W856*INDEX(Variables!$B$7:$D$7,IFERROR(MATCH(IF($B856="Robusta","Robusta",(IF($B856="","Arabica",$B856))&amp;" - "&amp;(IF($C856="","Commercial",$C856))),Variables!$B$1:$D$1,0),1))*(BJ856/365))+(W856*INDEX(Variables!$B$9:$D$9,IFERROR(MATCH(IF($B856="Robusta","Robusta",(IF($B856="","Arabica",$B856))&amp;" - "&amp;(IF($C856="","Commercial",$C856))),Variables!$B$1:$D$1,0),1))*(BJ856/365))+(INDEX(Variables!$B$8:$D$8,IFERROR(MATCH(IF($B856="Robusta","Robusta",(IF($B856="","Arabica",$B856))&amp;" - "&amp;(IF($C856="","Commercial",$C856))),Variables!$B$1:$D$1,0),1))*L856/16.67)),""))</f>
        <v>-46.752566712303519</v>
      </c>
    </row>
    <row r="857" spans="1:63">
      <c r="A857" s="13" t="s">
        <v>103</v>
      </c>
      <c r="B857" s="13" t="s">
        <v>104</v>
      </c>
      <c r="C857" s="13" t="s">
        <v>292</v>
      </c>
      <c r="D857" s="31">
        <v>46066</v>
      </c>
      <c r="E857" s="31">
        <v>46082</v>
      </c>
      <c r="F857" s="31">
        <v>46112</v>
      </c>
      <c r="G857" s="13">
        <v>3787288</v>
      </c>
      <c r="J857" s="13" t="s">
        <v>611</v>
      </c>
      <c r="K857" s="13" t="s">
        <v>2253</v>
      </c>
      <c r="L857" s="13">
        <v>40</v>
      </c>
      <c r="M857" s="13">
        <v>0</v>
      </c>
      <c r="N857" s="13" t="s">
        <v>2254</v>
      </c>
      <c r="O857" s="13" t="s">
        <v>418</v>
      </c>
      <c r="P857" s="13">
        <v>10070</v>
      </c>
      <c r="R857" s="13" t="s">
        <v>239</v>
      </c>
      <c r="S857" s="13" t="s">
        <v>283</v>
      </c>
      <c r="T857" s="13" t="s">
        <v>112</v>
      </c>
      <c r="U857" s="13" t="s">
        <v>113</v>
      </c>
      <c r="V857" s="13">
        <v>36</v>
      </c>
      <c r="W857" s="44">
        <f>IF($AX857="Cancelled","",IFERROR(((V857+INDEX(Variables!$B$6:$D$6,IFERROR(MATCH(IF($B857="Robusta","Robusta",(IF($B857="","Arabica",$B857))&amp;" - "&amp;(IF($C857="","Commercial",$C857))),Variables!$B$1:$D$1,0),1)))*22.0462)*(L857/16.67),""))</f>
        <v>17287.81802039592</v>
      </c>
      <c r="X857" s="55" t="s">
        <v>39</v>
      </c>
      <c r="Y857" s="13" t="str">
        <f>IF($AX857="Cancelled","",IF(X857="","",IFERROR(IF(INDEX(Variables!$B$38:$B$47,MATCH(X857,Variables!$A$38:$A$47,0))="Yes","Yes","No"),"No")))</f>
        <v>No</v>
      </c>
      <c r="Z857" s="31"/>
      <c r="AB857" s="31">
        <v>46067.875</v>
      </c>
      <c r="AC857" s="13" t="str">
        <f t="shared" si="40"/>
        <v>Approved</v>
      </c>
      <c r="AF857" s="71">
        <v>46109</v>
      </c>
      <c r="AG857" s="37">
        <f>IF($AX857="Cancelled","",IFERROR(IF(F857="","",F857-Variables!$B$13),""))</f>
        <v>46097</v>
      </c>
      <c r="AH857" s="13">
        <f>IF($AX857="Cancelled","",IFERROR(IF(AB857="","",(AVERAGE(E857:F857)-AB857)-Variables!$B$14),""))</f>
        <v>-0.875</v>
      </c>
      <c r="AJ857" s="47">
        <v>46119</v>
      </c>
      <c r="AK857" s="14">
        <f>IF($AX857="Cancelled","",IFERROR(IF(AJ857="","",IF(AND(AB857="",AF857=""),"",IF(AF857&gt;AB857,AF857+Variables!$B$15+Variables!$B$16+Variables!$B$17-AJ857,AB857+Variables!$B$16+Variables!$B$17-AJ857))),""))</f>
        <v>5</v>
      </c>
      <c r="AL857" s="48" t="s">
        <v>114</v>
      </c>
      <c r="AM857" s="13" t="s">
        <v>168</v>
      </c>
      <c r="AN857" s="13" t="s">
        <v>2231</v>
      </c>
      <c r="AP857" s="31" t="e">
        <v>#N/A</v>
      </c>
      <c r="AR857" s="13" t="s">
        <v>2232</v>
      </c>
      <c r="AS857" s="31">
        <v>46156</v>
      </c>
      <c r="AU857" s="31">
        <v>46158</v>
      </c>
      <c r="AV857" s="13" t="s">
        <v>865</v>
      </c>
      <c r="AW857" s="31">
        <v>46158</v>
      </c>
      <c r="AX857" s="13" t="str">
        <f>IF(ISNUMBER(SEARCH("cancel",#REF!)),"Cancelled",IF(AND(AS857&lt;&gt;"",AU857&lt;&gt;"",AW857&lt;&gt;""),"Closed","Open"))</f>
        <v>Closed</v>
      </c>
      <c r="AY857" s="15" t="str">
        <f t="shared" si="39"/>
        <v>All dates received</v>
      </c>
      <c r="BD857" s="13">
        <f>IF($AX857="Cancelled","",IFERROR(IF(OR(AS857="",AJ857=""),"",(AJ857+Variables!$B$18-AS857)),""))</f>
        <v>-22</v>
      </c>
      <c r="BE857" s="13">
        <f>IF($AX857="Cancelled","",IFERROR(IF(OR(AW857="",AS857=""),"",(AS857+Variables!$B$19)-AW857),""))</f>
        <v>3</v>
      </c>
      <c r="BF857" s="44">
        <f>IF($AX857="Cancelled","",IFERROR(W857*INDEX(Variables!$B$7:$D$7,IFERROR(MATCH(IF($B857="Robusta","Robusta",(IF($B857="","Arabica",$B857))&amp;" - "&amp;(IF($C857="","Commercial",$C857))),Variables!$B$1:$D$1,0),1))*(BE857/365),""))</f>
        <v>9.1623825136008801</v>
      </c>
      <c r="BG857" s="44">
        <f>IF($AX857="Cancelled","",IFERROR((W857*INDEX(Variables!$B$7:$D$7,IFERROR(MATCH(IF($B857="Robusta","Robusta",(IF($B857="","Arabica",$B857))&amp;" - "&amp;(IF($C857="","Commercial",$C857))),Variables!$B$1:$D$1,0),1))*IFERROR(IF(AB857="","",(AVERAGE(E857:F857)-AB857)-Variables!$B$14),"")/365)+(L857/16.67*INDEX(Variables!$B$8:$D$8,IFERROR(MATCH(IF($B857="Robusta","Robusta",(IF($B857="","Arabica",$B857))&amp;" - "&amp;(IF($C857="","Commercial",$C857))),Variables!$B$1:$D$1,0),1))*IFERROR(IF(AB857="","",(AVERAGE(E857:F857)-AB857)-Variables!$B$14),""))+(W857*INDEX(Variables!$B$9:$D$9,IFERROR(MATCH(IF($B857="Robusta","Robusta",(IF($B857="","Arabica",$B857))&amp;" - "&amp;(IF($C857="","Commercial",$C857))),Variables!$B$1:$D$1,0),1))*IFERROR(IF(AB857="","",(AVERAGE(E857:F857)-AB857)-Variables!$B$14),"")/365),""))</f>
        <v>-4.456813464358186</v>
      </c>
      <c r="BH857" s="44">
        <f>IF($AX857="Cancelled","",IFERROR((W857*INDEX(Variables!$B$7:$D$7,IFERROR(MATCH(IF($B857="Robusta","Robusta",(IF($B857="","Arabica",$B857))&amp;" - "&amp;(IF($C857="","Commercial",$C857))),Variables!$B$1:$D$1,0),1))*AK857/365)+(L857/16.67*INDEX(Variables!$B$8:$D$8,IFERROR(MATCH(IF($B857="Robusta","Robusta",(IF($B857="","Arabica",$B857))&amp;" - "&amp;(IF($C857="","Commercial",$C857))),Variables!$B$1:$D$1,0),1))*AK857)+(W857*INDEX(Variables!$B$9:$D$9,IFERROR(MATCH(IF($B857="Robusta","Robusta",(IF($B857="","Arabica",$B857))&amp;" - "&amp;(IF($C857="","Commercial",$C857))),Variables!$B$1:$D$1,0),1))*AK857/365),""))</f>
        <v>25.46750551061821</v>
      </c>
      <c r="BI857" s="44">
        <f>IF($AX857="Cancelled","",IFERROR((W857*INDEX(Variables!$B$7:$D$7,IFERROR(MATCH(IF($B857="Robusta","Robusta",(IF($B857="","Arabica",$B857))&amp;" - "&amp;(IF($C857="","Commercial",$C857))),Variables!$B$1:$D$1,0),1))*BD857/365)+(L857/16.67*INDEX(Variables!$B$8:$D$8,IFERROR(MATCH(IF($B857="Robusta","Robusta",(IF($B857="","Arabica",$B857))&amp;" - "&amp;(IF($C857="","Commercial",$C857))),Variables!$B$1:$D$1,0),1))*BD857)+(W857*INDEX(Variables!$B$9:$D$9,IFERROR(MATCH(IF($B857="Robusta","Robusta",(IF($B857="","Arabica",$B857))&amp;" - "&amp;(IF($C857="","Commercial",$C857))),Variables!$B$1:$D$1,0),1))*BD857/365),""))</f>
        <v>-112.05702424672012</v>
      </c>
      <c r="BJ857" s="44">
        <f t="shared" si="41"/>
        <v>-44</v>
      </c>
      <c r="BK857" s="44">
        <f>IF($AX857="Cancelled","",IFERROR(IF(BJ857="","",(W857*INDEX(Variables!$B$7:$D$7,IFERROR(MATCH(IF($B857="Robusta","Robusta",(IF($B857="","Arabica",$B857))&amp;" - "&amp;(IF($C857="","Commercial",$C857))),Variables!$B$1:$D$1,0),1))*(BJ857/365))+(W857*INDEX(Variables!$B$9:$D$9,IFERROR(MATCH(IF($B857="Robusta","Robusta",(IF($B857="","Arabica",$B857))&amp;" - "&amp;(IF($C857="","Commercial",$C857))),Variables!$B$1:$D$1,0),1))*(BJ857/365))+(INDEX(Variables!$B$8:$D$8,IFERROR(MATCH(IF($B857="Robusta","Robusta",(IF($B857="","Arabica",$B857))&amp;" - "&amp;(IF($C857="","Commercial",$C857))),Variables!$B$1:$D$1,0),1))*L857/16.67)),""))</f>
        <v>-134.11404849344024</v>
      </c>
    </row>
    <row r="858" spans="1:63">
      <c r="A858" s="13" t="s">
        <v>103</v>
      </c>
      <c r="B858" s="13" t="s">
        <v>104</v>
      </c>
      <c r="C858" s="13" t="s">
        <v>292</v>
      </c>
      <c r="D858" s="31">
        <v>46066</v>
      </c>
      <c r="E858" s="31">
        <v>46082</v>
      </c>
      <c r="F858" s="31">
        <v>46112</v>
      </c>
      <c r="G858" s="13">
        <v>3787289</v>
      </c>
      <c r="J858" s="13" t="s">
        <v>611</v>
      </c>
      <c r="K858" s="13" t="s">
        <v>2255</v>
      </c>
      <c r="L858" s="13">
        <v>220</v>
      </c>
      <c r="M858" s="13">
        <v>0</v>
      </c>
      <c r="N858" s="13" t="s">
        <v>2256</v>
      </c>
      <c r="O858" s="13" t="s">
        <v>1949</v>
      </c>
      <c r="P858" s="13">
        <v>10030</v>
      </c>
      <c r="R858" s="13" t="s">
        <v>239</v>
      </c>
      <c r="S858" s="13" t="s">
        <v>283</v>
      </c>
      <c r="T858" s="13" t="s">
        <v>112</v>
      </c>
      <c r="U858" s="13" t="s">
        <v>113</v>
      </c>
      <c r="V858" s="13">
        <v>83</v>
      </c>
      <c r="W858" s="44">
        <f>IF($AX858="Cancelled","",IFERROR(((V858+INDEX(Variables!$B$6:$D$6,IFERROR(MATCH(IF($B858="Robusta","Robusta",(IF($B858="","Arabica",$B858))&amp;" - "&amp;(IF($C858="","Commercial",$C858))),Variables!$B$1:$D$1,0),1)))*22.0462)*(L858/16.67),""))</f>
        <v>108757.72664667064</v>
      </c>
      <c r="X858" s="55" t="s">
        <v>39</v>
      </c>
      <c r="Y858" s="13" t="str">
        <f>IF($AX858="Cancelled","",IF(X858="","",IFERROR(IF(INDEX(Variables!$B$38:$B$47,MATCH(X858,Variables!$A$38:$A$47,0))="Yes","Yes","No"),"No")))</f>
        <v>No</v>
      </c>
      <c r="Z858" s="31"/>
      <c r="AB858" s="31">
        <v>46067.875</v>
      </c>
      <c r="AC858" s="13" t="str">
        <f t="shared" si="40"/>
        <v>Approved</v>
      </c>
      <c r="AF858" s="71">
        <v>46108</v>
      </c>
      <c r="AG858" s="37">
        <f>IF($AX858="Cancelled","",IFERROR(IF(F858="","",F858-Variables!$B$13),""))</f>
        <v>46097</v>
      </c>
      <c r="AH858" s="13">
        <f>IF($AX858="Cancelled","",IFERROR(IF(AB858="","",(AVERAGE(E858:F858)-AB858)-Variables!$B$14),""))</f>
        <v>-0.875</v>
      </c>
      <c r="AJ858" s="47">
        <v>46119</v>
      </c>
      <c r="AK858" s="14">
        <f>IF($AX858="Cancelled","",IFERROR(IF(AJ858="","",IF(AND(AB858="",AF858=""),"",IF(AF858&gt;AB858,AF858+Variables!$B$15+Variables!$B$16+Variables!$B$17-AJ858,AB858+Variables!$B$16+Variables!$B$17-AJ858))),""))</f>
        <v>4</v>
      </c>
      <c r="AL858" s="48" t="s">
        <v>114</v>
      </c>
      <c r="AM858" s="13" t="s">
        <v>168</v>
      </c>
      <c r="AN858" s="13" t="s">
        <v>2231</v>
      </c>
      <c r="AP858" s="31" t="e">
        <v>#N/A</v>
      </c>
      <c r="AR858" s="13" t="s">
        <v>2232</v>
      </c>
      <c r="AS858" s="31">
        <v>46156</v>
      </c>
      <c r="AU858" s="31">
        <v>46158</v>
      </c>
      <c r="AV858" s="13" t="s">
        <v>865</v>
      </c>
      <c r="AW858" s="31">
        <v>46158</v>
      </c>
      <c r="AX858" s="13" t="str">
        <f>IF(ISNUMBER(SEARCH("cancel",#REF!)),"Cancelled",IF(AND(AS858&lt;&gt;"",AU858&lt;&gt;"",AW858&lt;&gt;""),"Closed","Open"))</f>
        <v>Closed</v>
      </c>
      <c r="AY858" s="15" t="str">
        <f t="shared" si="39"/>
        <v>All dates received</v>
      </c>
      <c r="BD858" s="13">
        <f>IF($AX858="Cancelled","",IFERROR(IF(OR(AS858="",AJ858=""),"",(AJ858+Variables!$B$18-AS858)),""))</f>
        <v>-22</v>
      </c>
      <c r="BE858" s="13">
        <f>IF($AX858="Cancelled","",IFERROR(IF(OR(AW858="",AS858=""),"",(AS858+Variables!$B$19)-AW858),""))</f>
        <v>3</v>
      </c>
      <c r="BF858" s="44">
        <f>IF($AX858="Cancelled","",IFERROR(W858*INDEX(Variables!$B$7:$D$7,IFERROR(MATCH(IF($B858="Robusta","Robusta",(IF($B858="","Arabica",$B858))&amp;" - "&amp;(IF($C858="","Commercial",$C858))),Variables!$B$1:$D$1,0),1))*(BE858/365),""))</f>
        <v>57.640582037062558</v>
      </c>
      <c r="BG858" s="44">
        <f>IF($AX858="Cancelled","",IFERROR((W858*INDEX(Variables!$B$7:$D$7,IFERROR(MATCH(IF($B858="Robusta","Robusta",(IF($B858="","Arabica",$B858))&amp;" - "&amp;(IF($C858="","Commercial",$C858))),Variables!$B$1:$D$1,0),1))*IFERROR(IF(AB858="","",(AVERAGE(E858:F858)-AB858)-Variables!$B$14),"")/365)+(L858/16.67*INDEX(Variables!$B$8:$D$8,IFERROR(MATCH(IF($B858="Robusta","Robusta",(IF($B858="","Arabica",$B858))&amp;" - "&amp;(IF($C858="","Commercial",$C858))),Variables!$B$1:$D$1,0),1))*IFERROR(IF(AB858="","",(AVERAGE(E858:F858)-AB858)-Variables!$B$14),""))+(W858*INDEX(Variables!$B$9:$D$9,IFERROR(MATCH(IF($B858="Robusta","Robusta",(IF($B858="","Arabica",$B858))&amp;" - "&amp;(IF($C858="","Commercial",$C858))),Variables!$B$1:$D$1,0),1))*IFERROR(IF(AB858="","",(AVERAGE(E858:F858)-AB858)-Variables!$B$14),"")/365),""))</f>
        <v>-26.653573443616871</v>
      </c>
      <c r="BH858" s="44">
        <f>IF($AX858="Cancelled","",IFERROR((W858*INDEX(Variables!$B$7:$D$7,IFERROR(MATCH(IF($B858="Robusta","Robusta",(IF($B858="","Arabica",$B858))&amp;" - "&amp;(IF($C858="","Commercial",$C858))),Variables!$B$1:$D$1,0),1))*AK858/365)+(L858/16.67*INDEX(Variables!$B$8:$D$8,IFERROR(MATCH(IF($B858="Robusta","Robusta",(IF($B858="","Arabica",$B858))&amp;" - "&amp;(IF($C858="","Commercial",$C858))),Variables!$B$1:$D$1,0),1))*AK858)+(W858*INDEX(Variables!$B$9:$D$9,IFERROR(MATCH(IF($B858="Robusta","Robusta",(IF($B858="","Arabica",$B858))&amp;" - "&amp;(IF($C858="","Commercial",$C858))),Variables!$B$1:$D$1,0),1))*AK858/365),""))</f>
        <v>121.84490717081997</v>
      </c>
      <c r="BI858" s="44">
        <f>IF($AX858="Cancelled","",IFERROR((W858*INDEX(Variables!$B$7:$D$7,IFERROR(MATCH(IF($B858="Robusta","Robusta",(IF($B858="","Arabica",$B858))&amp;" - "&amp;(IF($C858="","Commercial",$C858))),Variables!$B$1:$D$1,0),1))*BD858/365)+(L858/16.67*INDEX(Variables!$B$8:$D$8,IFERROR(MATCH(IF($B858="Robusta","Robusta",(IF($B858="","Arabica",$B858))&amp;" - "&amp;(IF($C858="","Commercial",$C858))),Variables!$B$1:$D$1,0),1))*BD858)+(W858*INDEX(Variables!$B$9:$D$9,IFERROR(MATCH(IF($B858="Robusta","Robusta",(IF($B858="","Arabica",$B858))&amp;" - "&amp;(IF($C858="","Commercial",$C858))),Variables!$B$1:$D$1,0),1))*BD858/365),""))</f>
        <v>-670.14698943950998</v>
      </c>
      <c r="BJ858" s="44">
        <f t="shared" si="41"/>
        <v>-44</v>
      </c>
      <c r="BK858" s="44">
        <f>IF($AX858="Cancelled","",IFERROR(IF(BJ858="","",(W858*INDEX(Variables!$B$7:$D$7,IFERROR(MATCH(IF($B858="Robusta","Robusta",(IF($B858="","Arabica",$B858))&amp;" - "&amp;(IF($C858="","Commercial",$C858))),Variables!$B$1:$D$1,0),1))*(BJ858/365))+(W858*INDEX(Variables!$B$9:$D$9,IFERROR(MATCH(IF($B858="Robusta","Robusta",(IF($B858="","Arabica",$B858))&amp;" - "&amp;(IF($C858="","Commercial",$C858))),Variables!$B$1:$D$1,0),1))*(BJ858/365))+(INDEX(Variables!$B$8:$D$8,IFERROR(MATCH(IF($B858="Robusta","Robusta",(IF($B858="","Arabica",$B858))&amp;" - "&amp;(IF($C858="","Commercial",$C858))),Variables!$B$1:$D$1,0),1))*L858/16.67)),""))</f>
        <v>-845.29397887901973</v>
      </c>
    </row>
    <row r="859" spans="1:63">
      <c r="A859" s="13" t="s">
        <v>103</v>
      </c>
      <c r="B859" s="13" t="s">
        <v>104</v>
      </c>
      <c r="C859" s="13" t="s">
        <v>105</v>
      </c>
      <c r="D859" s="31">
        <v>46066</v>
      </c>
      <c r="E859" s="31">
        <v>46082</v>
      </c>
      <c r="F859" s="31">
        <v>46112</v>
      </c>
      <c r="G859" s="13">
        <v>3787290</v>
      </c>
      <c r="H859" s="13">
        <v>5467</v>
      </c>
      <c r="J859" s="13" t="s">
        <v>260</v>
      </c>
      <c r="K859" s="13">
        <v>5467</v>
      </c>
      <c r="L859" s="13">
        <v>360</v>
      </c>
      <c r="M859" s="13">
        <v>1</v>
      </c>
      <c r="N859" s="13" t="s">
        <v>2257</v>
      </c>
      <c r="O859" s="13" t="s">
        <v>456</v>
      </c>
      <c r="P859" s="13">
        <v>10140</v>
      </c>
      <c r="R859" s="13" t="s">
        <v>122</v>
      </c>
      <c r="S859" s="13" t="s">
        <v>262</v>
      </c>
      <c r="T859" s="13" t="s">
        <v>263</v>
      </c>
      <c r="U859" s="13" t="s">
        <v>125</v>
      </c>
      <c r="V859" s="13">
        <v>-38</v>
      </c>
      <c r="W859" s="44">
        <f>IF($AX859="Cancelled","",IFERROR(((V859+INDEX(Variables!$B$6:$D$6,IFERROR(MATCH(IF($B859="Robusta","Robusta",(IF($B859="","Arabica",$B859))&amp;" - "&amp;(IF($C859="","Commercial",$C859))),Variables!$B$1:$D$1,0),1)))*22.0462)*(L859/16.67),""))</f>
        <v>120358.76242351528</v>
      </c>
      <c r="X859" s="55" t="s">
        <v>37</v>
      </c>
      <c r="Y859" s="13" t="str">
        <f>IF($AX859="Cancelled","",IF(X859="","",IFERROR(IF(INDEX(Variables!$B$38:$B$47,MATCH(X859,Variables!$A$38:$A$47,0))="Yes","Yes","No"),"No")))</f>
        <v>Yes</v>
      </c>
      <c r="Z859" s="58">
        <v>46072</v>
      </c>
      <c r="AB859" s="31">
        <v>46099</v>
      </c>
      <c r="AC859" s="13" t="str">
        <f t="shared" si="40"/>
        <v>Approved</v>
      </c>
      <c r="AF859" s="71">
        <v>46106</v>
      </c>
      <c r="AG859" s="37">
        <f>IF($AX859="Cancelled","",IFERROR(IF(F859="","",F859-Variables!$B$13),""))</f>
        <v>46097</v>
      </c>
      <c r="AH859" s="13">
        <f>IF($AX859="Cancelled","",IFERROR(IF(AB859="","",(AVERAGE(E859:F859)-AB859)-Variables!$B$14),""))</f>
        <v>-32</v>
      </c>
      <c r="AJ859" s="47">
        <v>46112</v>
      </c>
      <c r="AK859" s="14">
        <f>IF($AX859="Cancelled","",IFERROR(IF(AJ859="","",IF(AND(AB859="",AF859=""),"",IF(AF859&gt;AB859,AF859+Variables!$B$15+Variables!$B$16+Variables!$B$17-AJ859,AB859+Variables!$B$16+Variables!$B$17-AJ859))),""))</f>
        <v>9</v>
      </c>
      <c r="AL859" s="48" t="s">
        <v>114</v>
      </c>
      <c r="AM859" s="13" t="s">
        <v>134</v>
      </c>
      <c r="AN859" s="13" t="s">
        <v>2258</v>
      </c>
      <c r="AP859" s="31">
        <v>46133</v>
      </c>
      <c r="AR859" s="13" t="s">
        <v>2259</v>
      </c>
      <c r="AS859" s="31">
        <v>46133</v>
      </c>
      <c r="AU859" s="31">
        <v>46163</v>
      </c>
      <c r="AV859" s="13" t="s">
        <v>865</v>
      </c>
      <c r="AW859" s="31">
        <v>46163</v>
      </c>
      <c r="AX859" s="13" t="str">
        <f>IF(ISNUMBER(SEARCH("cancel",#REF!)),"Cancelled",IF(AND(AS859&lt;&gt;"",AU859&lt;&gt;"",AW859&lt;&gt;""),"Closed","Open"))</f>
        <v>Closed</v>
      </c>
      <c r="AY859" s="15" t="str">
        <f t="shared" si="39"/>
        <v>All dates received</v>
      </c>
      <c r="BD859" s="13">
        <f>IF($AX859="Cancelled","",IFERROR(IF(OR(AS859="",AJ859=""),"",(AJ859+Variables!$B$18-AS859)),""))</f>
        <v>-6</v>
      </c>
      <c r="BE859" s="13">
        <f>IF($AX859="Cancelled","",IFERROR(IF(OR(AW859="",AS859=""),"",(AS859+Variables!$B$19)-AW859),""))</f>
        <v>-25</v>
      </c>
      <c r="BF859" s="44">
        <f>IF($AX859="Cancelled","",IFERROR(W859*INDEX(Variables!$B$7:$D$7,IFERROR(MATCH(IF($B859="Robusta","Robusta",(IF($B859="","Arabica",$B859))&amp;" - "&amp;(IF($C859="","Commercial",$C859))),Variables!$B$1:$D$1,0),1))*(BE859/365),""))</f>
        <v>-531.5751911195614</v>
      </c>
      <c r="BG859" s="44">
        <f>IF($AX859="Cancelled","",IFERROR((W859*INDEX(Variables!$B$7:$D$7,IFERROR(MATCH(IF($B859="Robusta","Robusta",(IF($B859="","Arabica",$B859))&amp;" - "&amp;(IF($C859="","Commercial",$C859))),Variables!$B$1:$D$1,0),1))*IFERROR(IF(AB859="","",(AVERAGE(E859:F859)-AB859)-Variables!$B$14),"")/365)+(L859/16.67*INDEX(Variables!$B$8:$D$8,IFERROR(MATCH(IF($B859="Robusta","Robusta",(IF($B859="","Arabica",$B859))&amp;" - "&amp;(IF($C859="","Commercial",$C859))),Variables!$B$1:$D$1,0),1))*IFERROR(IF(AB859="","",(AVERAGE(E859:F859)-AB859)-Variables!$B$14),""))+(W859*INDEX(Variables!$B$9:$D$9,IFERROR(MATCH(IF($B859="Robusta","Robusta",(IF($B859="","Arabica",$B859))&amp;" - "&amp;(IF($C859="","Commercial",$C859))),Variables!$B$1:$D$1,0),1))*IFERROR(IF(AB859="","",(AVERAGE(E859:F859)-AB859)-Variables!$B$14),"")/365),""))</f>
        <v>-1265.1881231384782</v>
      </c>
      <c r="BH859" s="44">
        <f>IF($AX859="Cancelled","",IFERROR((W859*INDEX(Variables!$B$7:$D$7,IFERROR(MATCH(IF($B859="Robusta","Robusta",(IF($B859="","Arabica",$B859))&amp;" - "&amp;(IF($C859="","Commercial",$C859))),Variables!$B$1:$D$1,0),1))*AK859/365)+(L859/16.67*INDEX(Variables!$B$8:$D$8,IFERROR(MATCH(IF($B859="Robusta","Robusta",(IF($B859="","Arabica",$B859))&amp;" - "&amp;(IF($C859="","Commercial",$C859))),Variables!$B$1:$D$1,0),1))*AK859)+(W859*INDEX(Variables!$B$9:$D$9,IFERROR(MATCH(IF($B859="Robusta","Robusta",(IF($B859="","Arabica",$B859))&amp;" - "&amp;(IF($C859="","Commercial",$C859))),Variables!$B$1:$D$1,0),1))*AK859/365),""))</f>
        <v>355.83415963269692</v>
      </c>
      <c r="BI859" s="44">
        <f>IF($AX859="Cancelled","",IFERROR((W859*INDEX(Variables!$B$7:$D$7,IFERROR(MATCH(IF($B859="Robusta","Robusta",(IF($B859="","Arabica",$B859))&amp;" - "&amp;(IF($C859="","Commercial",$C859))),Variables!$B$1:$D$1,0),1))*BD859/365)+(L859/16.67*INDEX(Variables!$B$8:$D$8,IFERROR(MATCH(IF($B859="Robusta","Robusta",(IF($B859="","Arabica",$B859))&amp;" - "&amp;(IF($C859="","Commercial",$C859))),Variables!$B$1:$D$1,0),1))*BD859)+(W859*INDEX(Variables!$B$9:$D$9,IFERROR(MATCH(IF($B859="Robusta","Robusta",(IF($B859="","Arabica",$B859))&amp;" - "&amp;(IF($C859="","Commercial",$C859))),Variables!$B$1:$D$1,0),1))*BD859/365),""))</f>
        <v>-237.22277308846466</v>
      </c>
      <c r="BJ859" s="44">
        <f t="shared" si="41"/>
        <v>-21</v>
      </c>
      <c r="BK859" s="44">
        <f>IF($AX859="Cancelled","",IFERROR(IF(BJ859="","",(W859*INDEX(Variables!$B$7:$D$7,IFERROR(MATCH(IF($B859="Robusta","Robusta",(IF($B859="","Arabica",$B859))&amp;" - "&amp;(IF($C859="","Commercial",$C859))),Variables!$B$1:$D$1,0),1))*(BJ859/365))+(W859*INDEX(Variables!$B$9:$D$9,IFERROR(MATCH(IF($B859="Robusta","Robusta",(IF($B859="","Arabica",$B859))&amp;" - "&amp;(IF($C859="","Commercial",$C859))),Variables!$B$1:$D$1,0),1))*(BJ859/365))+(INDEX(Variables!$B$8:$D$8,IFERROR(MATCH(IF($B859="Robusta","Robusta",(IF($B859="","Arabica",$B859))&amp;" - "&amp;(IF($C859="","Commercial",$C859))),Variables!$B$1:$D$1,0),1))*L859/16.67)),""))</f>
        <v>-434.27970580962619</v>
      </c>
    </row>
    <row r="860" spans="1:63">
      <c r="A860" s="13" t="s">
        <v>103</v>
      </c>
      <c r="B860" s="13" t="s">
        <v>104</v>
      </c>
      <c r="C860" s="13" t="s">
        <v>105</v>
      </c>
      <c r="D860" s="31">
        <v>46066</v>
      </c>
      <c r="E860" s="31">
        <v>46143</v>
      </c>
      <c r="F860" s="31">
        <v>46173</v>
      </c>
      <c r="G860" s="13">
        <v>3787291</v>
      </c>
      <c r="J860" s="13" t="s">
        <v>260</v>
      </c>
      <c r="L860" s="13">
        <v>360</v>
      </c>
      <c r="M860" s="13">
        <v>1</v>
      </c>
      <c r="N860" s="13" t="s">
        <v>2260</v>
      </c>
      <c r="O860" s="13" t="s">
        <v>456</v>
      </c>
      <c r="P860" s="13">
        <v>10140</v>
      </c>
      <c r="R860" s="13" t="s">
        <v>122</v>
      </c>
      <c r="S860" s="13" t="s">
        <v>1048</v>
      </c>
      <c r="T860" s="13" t="s">
        <v>263</v>
      </c>
      <c r="U860" s="13" t="s">
        <v>125</v>
      </c>
      <c r="V860" s="23">
        <v>-38</v>
      </c>
      <c r="W860" s="44">
        <f>IF($AX860="Cancelled","",IFERROR(((V860+INDEX(Variables!$B$6:$D$6,IFERROR(MATCH(IF($B860="Robusta","Robusta",(IF($B860="","Arabica",$B860))&amp;" - "&amp;(IF($C860="","Commercial",$C860))),Variables!$B$1:$D$1,0),1)))*22.0462)*(L860/16.67),""))</f>
        <v>120358.76242351528</v>
      </c>
      <c r="X860" s="55" t="s">
        <v>37</v>
      </c>
      <c r="Y860" s="13" t="str">
        <f>IF($AX860="Cancelled","",IF(X860="","",IFERROR(IF(INDEX(Variables!$B$38:$B$47,MATCH(X860,Variables!$A$38:$A$47,0))="Yes","Yes","No"),"No")))</f>
        <v>Yes</v>
      </c>
      <c r="Z860" s="58">
        <v>46107</v>
      </c>
      <c r="AB860" s="31">
        <v>46129</v>
      </c>
      <c r="AC860" s="13" t="str">
        <f t="shared" si="40"/>
        <v>Approved</v>
      </c>
      <c r="AF860" s="71">
        <v>46155</v>
      </c>
      <c r="AG860" s="37">
        <f>IF($AX860="Cancelled","",IFERROR(IF(F860="","",F860-Variables!$B$13),""))</f>
        <v>46158</v>
      </c>
      <c r="AH860" s="13">
        <f>IF($AX860="Cancelled","",IFERROR(IF(AB860="","",(AVERAGE(E860:F860)-AB860)-Variables!$B$14),""))</f>
        <v>-1</v>
      </c>
      <c r="AJ860" s="47">
        <v>46157</v>
      </c>
      <c r="AK860" s="14">
        <f>IF($AX860="Cancelled","",IFERROR(IF(AJ860="","",IF(AND(AB860="",AF860=""),"",IF(AF860&gt;AB860,AF860+Variables!$B$15+Variables!$B$16+Variables!$B$17-AJ860,AB860+Variables!$B$16+Variables!$B$17-AJ860))),""))</f>
        <v>13</v>
      </c>
      <c r="AL860" s="48" t="s">
        <v>114</v>
      </c>
      <c r="AM860" s="13" t="s">
        <v>168</v>
      </c>
      <c r="AN860" s="13" t="s">
        <v>2261</v>
      </c>
      <c r="AR860" s="13" t="s">
        <v>2262</v>
      </c>
      <c r="AS860" s="31">
        <v>46176</v>
      </c>
      <c r="AU860" s="31">
        <v>46189</v>
      </c>
      <c r="AV860" s="13" t="e">
        <v>#REF!</v>
      </c>
      <c r="AW860" s="31">
        <v>46189</v>
      </c>
      <c r="AX860" s="13" t="str">
        <f>IF(ISNUMBER(SEARCH("cancel",#REF!)),"Cancelled",IF(AND(AS860&lt;&gt;"",AU860&lt;&gt;"",AW860&lt;&gt;""),"Closed","Open"))</f>
        <v>Closed</v>
      </c>
      <c r="AY860" s="15" t="str">
        <f t="shared" si="39"/>
        <v>All dates received</v>
      </c>
      <c r="BD860" s="13">
        <f>IF($AX860="Cancelled","",IFERROR(IF(OR(AS860="",AJ860=""),"",(AJ860+Variables!$B$18-AS860)),""))</f>
        <v>-4</v>
      </c>
      <c r="BE860" s="13">
        <f>IF($AX860="Cancelled","",IFERROR(IF(OR(AW860="",AS860=""),"",(AS860+Variables!$B$19)-AW860),""))</f>
        <v>-8</v>
      </c>
      <c r="BF860" s="44">
        <f>IF($AX860="Cancelled","",IFERROR(W860*INDEX(Variables!$B$7:$D$7,IFERROR(MATCH(IF($B860="Robusta","Robusta",(IF($B860="","Arabica",$B860))&amp;" - "&amp;(IF($C860="","Commercial",$C860))),Variables!$B$1:$D$1,0),1))*(BE860/365),""))</f>
        <v>-170.10406115825967</v>
      </c>
      <c r="BG860" s="44">
        <f>IF($AX860="Cancelled","",IFERROR((W860*INDEX(Variables!$B$7:$D$7,IFERROR(MATCH(IF($B860="Robusta","Robusta",(IF($B860="","Arabica",$B860))&amp;" - "&amp;(IF($C860="","Commercial",$C860))),Variables!$B$1:$D$1,0),1))*IFERROR(IF(AB860="","",(AVERAGE(E860:F860)-AB860)-Variables!$B$14),"")/365)+(L860/16.67*INDEX(Variables!$B$8:$D$8,IFERROR(MATCH(IF($B860="Robusta","Robusta",(IF($B860="","Arabica",$B860))&amp;" - "&amp;(IF($C860="","Commercial",$C860))),Variables!$B$1:$D$1,0),1))*IFERROR(IF(AB860="","",(AVERAGE(E860:F860)-AB860)-Variables!$B$14),""))+(W860*INDEX(Variables!$B$9:$D$9,IFERROR(MATCH(IF($B860="Robusta","Robusta",(IF($B860="","Arabica",$B860))&amp;" - "&amp;(IF($C860="","Commercial",$C860))),Variables!$B$1:$D$1,0),1))*IFERROR(IF(AB860="","",(AVERAGE(E860:F860)-AB860)-Variables!$B$14),"")/365),""))</f>
        <v>-39.537128848077444</v>
      </c>
      <c r="BH860" s="44">
        <f>IF($AX860="Cancelled","",IFERROR((W860*INDEX(Variables!$B$7:$D$7,IFERROR(MATCH(IF($B860="Robusta","Robusta",(IF($B860="","Arabica",$B860))&amp;" - "&amp;(IF($C860="","Commercial",$C860))),Variables!$B$1:$D$1,0),1))*AK860/365)+(L860/16.67*INDEX(Variables!$B$8:$D$8,IFERROR(MATCH(IF($B860="Robusta","Robusta",(IF($B860="","Arabica",$B860))&amp;" - "&amp;(IF($C860="","Commercial",$C860))),Variables!$B$1:$D$1,0),1))*AK860)+(W860*INDEX(Variables!$B$9:$D$9,IFERROR(MATCH(IF($B860="Robusta","Robusta",(IF($B860="","Arabica",$B860))&amp;" - "&amp;(IF($C860="","Commercial",$C860))),Variables!$B$1:$D$1,0),1))*AK860/365),""))</f>
        <v>513.98267502500676</v>
      </c>
      <c r="BI860" s="44">
        <f>IF($AX860="Cancelled","",IFERROR((W860*INDEX(Variables!$B$7:$D$7,IFERROR(MATCH(IF($B860="Robusta","Robusta",(IF($B860="","Arabica",$B860))&amp;" - "&amp;(IF($C860="","Commercial",$C860))),Variables!$B$1:$D$1,0),1))*BD860/365)+(L860/16.67*INDEX(Variables!$B$8:$D$8,IFERROR(MATCH(IF($B860="Robusta","Robusta",(IF($B860="","Arabica",$B860))&amp;" - "&amp;(IF($C860="","Commercial",$C860))),Variables!$B$1:$D$1,0),1))*BD860)+(W860*INDEX(Variables!$B$9:$D$9,IFERROR(MATCH(IF($B860="Robusta","Robusta",(IF($B860="","Arabica",$B860))&amp;" - "&amp;(IF($C860="","Commercial",$C860))),Variables!$B$1:$D$1,0),1))*BD860/365),""))</f>
        <v>-158.14851539230978</v>
      </c>
      <c r="BJ860" s="44">
        <f t="shared" si="41"/>
        <v>-3</v>
      </c>
      <c r="BK860" s="44">
        <f>IF($AX860="Cancelled","",IFERROR(IF(BJ860="","",(W860*INDEX(Variables!$B$7:$D$7,IFERROR(MATCH(IF($B860="Robusta","Robusta",(IF($B860="","Arabica",$B860))&amp;" - "&amp;(IF($C860="","Commercial",$C860))),Variables!$B$1:$D$1,0),1))*(BJ860/365))+(W860*INDEX(Variables!$B$9:$D$9,IFERROR(MATCH(IF($B860="Robusta","Robusta",(IF($B860="","Arabica",$B860))&amp;" - "&amp;(IF($C860="","Commercial",$C860))),Variables!$B$1:$D$1,0),1))*(BJ860/365))+(INDEX(Variables!$B$8:$D$8,IFERROR(MATCH(IF($B860="Robusta","Robusta",(IF($B860="","Arabica",$B860))&amp;" - "&amp;(IF($C860="","Commercial",$C860))),Variables!$B$1:$D$1,0),1))*L860/16.67)),""))</f>
        <v>-46.611386544232317</v>
      </c>
    </row>
    <row r="861" spans="1:63">
      <c r="A861" s="13" t="s">
        <v>103</v>
      </c>
      <c r="B861" s="13" t="s">
        <v>104</v>
      </c>
      <c r="C861" s="13" t="s">
        <v>292</v>
      </c>
      <c r="D861" s="31">
        <v>46069</v>
      </c>
      <c r="E861" s="31">
        <v>46113</v>
      </c>
      <c r="F861" s="31">
        <v>46142</v>
      </c>
      <c r="G861" s="13">
        <v>3787292</v>
      </c>
      <c r="J861" s="13" t="s">
        <v>1152</v>
      </c>
      <c r="K861" s="13" t="s">
        <v>2263</v>
      </c>
      <c r="L861" s="13">
        <v>8</v>
      </c>
      <c r="M861" s="13">
        <v>1</v>
      </c>
      <c r="N861" s="13" t="s">
        <v>2264</v>
      </c>
      <c r="O861" s="13" t="s">
        <v>771</v>
      </c>
      <c r="P861" s="13">
        <v>10010</v>
      </c>
      <c r="R861" s="13" t="s">
        <v>671</v>
      </c>
      <c r="S861" s="13" t="s">
        <v>1155</v>
      </c>
      <c r="T861" s="13" t="s">
        <v>329</v>
      </c>
      <c r="U861" s="13" t="s">
        <v>330</v>
      </c>
      <c r="V861" s="23">
        <v>204</v>
      </c>
      <c r="W861" s="44">
        <f>IF($AX861="Cancelled","",IFERROR(((V861+INDEX(Variables!$B$6:$D$6,IFERROR(MATCH(IF($B861="Robusta","Robusta",(IF($B861="","Arabica",$B861))&amp;" - "&amp;(IF($C861="","Commercial",$C861))),Variables!$B$1:$D$1,0),1)))*22.0462)*(L861/16.67),""))</f>
        <v>5235.0136820635862</v>
      </c>
      <c r="Y861" s="13" t="str">
        <f>IF($AX861="Cancelled","",IF(X861="","",IFERROR(IF(INDEX(Variables!$B$38:$B$47,MATCH(X861,Variables!$A$38:$A$47,0))="Yes","Yes","No"),"No")))</f>
        <v/>
      </c>
      <c r="Z861" s="31"/>
      <c r="AC861" s="13" t="str">
        <f t="shared" si="40"/>
        <v/>
      </c>
      <c r="AF861" s="71">
        <v>46150</v>
      </c>
      <c r="AG861" s="37">
        <f>IF($AX861="Cancelled","",IFERROR(IF(F861="","",F861-Variables!$B$13),""))</f>
        <v>46127</v>
      </c>
      <c r="AH861" s="13" t="str">
        <f>IF($AX861="Cancelled","",IFERROR(IF(AB861="","",(AVERAGE(E861:F861)-AB861)-Variables!$B$14),""))</f>
        <v/>
      </c>
      <c r="AJ861" s="47">
        <v>46164</v>
      </c>
      <c r="AK861" s="14">
        <f>IF($AX861="Cancelled","",IFERROR(IF(AJ861="","",IF(AND(AB861="",AF861=""),"",IF(AF861&gt;AB861,AF861+Variables!$B$15+Variables!$B$16+Variables!$B$17-AJ861,AB861+Variables!$B$16+Variables!$B$17-AJ861))),""))</f>
        <v>1</v>
      </c>
      <c r="AL861" s="48" t="s">
        <v>114</v>
      </c>
      <c r="AM861" s="13" t="s">
        <v>1482</v>
      </c>
      <c r="AN861" s="13" t="s">
        <v>2265</v>
      </c>
      <c r="AP861" s="31" t="e">
        <v>#N/A</v>
      </c>
      <c r="AR861" s="13" t="s">
        <v>2266</v>
      </c>
      <c r="AS861" s="31">
        <v>46180</v>
      </c>
      <c r="AU861" s="31">
        <v>46197</v>
      </c>
      <c r="AV861" s="13" t="e">
        <v>#N/A</v>
      </c>
      <c r="AW861" s="31">
        <v>46197</v>
      </c>
      <c r="AX861" s="13" t="str">
        <f>IF(ISNUMBER(SEARCH("cancel",#REF!)),"Cancelled",IF(AND(AS861&lt;&gt;"",AU861&lt;&gt;"",AW861&lt;&gt;""),"Closed","Open"))</f>
        <v>Closed</v>
      </c>
      <c r="AY861" s="15" t="str">
        <f t="shared" si="39"/>
        <v>All dates received</v>
      </c>
      <c r="BD861" s="13">
        <f>IF($AX861="Cancelled","",IFERROR(IF(OR(AS861="",AJ861=""),"",(AJ861+Variables!$B$18-AS861)),""))</f>
        <v>-1</v>
      </c>
      <c r="BE861" s="13">
        <f>IF($AX861="Cancelled","",IFERROR(IF(OR(AW861="",AS861=""),"",(AS861+Variables!$B$19)-AW861),""))</f>
        <v>-12</v>
      </c>
      <c r="BF861" s="44">
        <f>IF($AX861="Cancelled","",IFERROR(W861*INDEX(Variables!$B$7:$D$7,IFERROR(MATCH(IF($B861="Robusta","Robusta",(IF($B861="","Arabica",$B861))&amp;" - "&amp;(IF($C861="","Commercial",$C861))),Variables!$B$1:$D$1,0),1))*(BE861/365),""))</f>
        <v>-11.098033947930757</v>
      </c>
      <c r="BG861" s="44" t="str">
        <f>IF($AX861="Cancelled","",IFERROR((W861*INDEX(Variables!$B$7:$D$7,IFERROR(MATCH(IF($B861="Robusta","Robusta",(IF($B861="","Arabica",$B861))&amp;" - "&amp;(IF($C861="","Commercial",$C861))),Variables!$B$1:$D$1,0),1))*IFERROR(IF(AB861="","",(AVERAGE(E861:F861)-AB861)-Variables!$B$14),"")/365)+(L861/16.67*INDEX(Variables!$B$8:$D$8,IFERROR(MATCH(IF($B861="Robusta","Robusta",(IF($B861="","Arabica",$B861))&amp;" - "&amp;(IF($C861="","Commercial",$C861))),Variables!$B$1:$D$1,0),1))*IFERROR(IF(AB861="","",(AVERAGE(E861:F861)-AB861)-Variables!$B$14),""))+(W861*INDEX(Variables!$B$9:$D$9,IFERROR(MATCH(IF($B861="Robusta","Robusta",(IF($B861="","Arabica",$B861))&amp;" - "&amp;(IF($C861="","Commercial",$C861))),Variables!$B$1:$D$1,0),1))*IFERROR(IF(AB861="","",(AVERAGE(E861:F861)-AB861)-Variables!$B$14),"")/365),""))</f>
        <v/>
      </c>
      <c r="BH861" s="44">
        <f>IF($AX861="Cancelled","",IFERROR((W861*INDEX(Variables!$B$7:$D$7,IFERROR(MATCH(IF($B861="Robusta","Robusta",(IF($B861="","Arabica",$B861))&amp;" - "&amp;(IF($C861="","Commercial",$C861))),Variables!$B$1:$D$1,0),1))*AK861/365)+(L861/16.67*INDEX(Variables!$B$8:$D$8,IFERROR(MATCH(IF($B861="Robusta","Robusta",(IF($B861="","Arabica",$B861))&amp;" - "&amp;(IF($C861="","Commercial",$C861))),Variables!$B$1:$D$1,0),1))*AK861)+(W861*INDEX(Variables!$B$9:$D$9,IFERROR(MATCH(IF($B861="Robusta","Robusta",(IF($B861="","Arabica",$B861))&amp;" - "&amp;(IF($C861="","Commercial",$C861))),Variables!$B$1:$D$1,0),1))*AK861/365),""))</f>
        <v>1.3367590852697535</v>
      </c>
      <c r="BI861" s="44">
        <f>IF($AX861="Cancelled","",IFERROR((W861*INDEX(Variables!$B$7:$D$7,IFERROR(MATCH(IF($B861="Robusta","Robusta",(IF($B861="","Arabica",$B861))&amp;" - "&amp;(IF($C861="","Commercial",$C861))),Variables!$B$1:$D$1,0),1))*BD861/365)+(L861/16.67*INDEX(Variables!$B$8:$D$8,IFERROR(MATCH(IF($B861="Robusta","Robusta",(IF($B861="","Arabica",$B861))&amp;" - "&amp;(IF($C861="","Commercial",$C861))),Variables!$B$1:$D$1,0),1))*BD861)+(W861*INDEX(Variables!$B$9:$D$9,IFERROR(MATCH(IF($B861="Robusta","Robusta",(IF($B861="","Arabica",$B861))&amp;" - "&amp;(IF($C861="","Commercial",$C861))),Variables!$B$1:$D$1,0),1))*BD861/365),""))</f>
        <v>-1.3367590852697535</v>
      </c>
      <c r="BJ861" s="44">
        <f t="shared" si="41"/>
        <v>-38</v>
      </c>
      <c r="BK861" s="44">
        <f>IF($AX861="Cancelled","",IFERROR(IF(BJ861="","",(W861*INDEX(Variables!$B$7:$D$7,IFERROR(MATCH(IF($B861="Robusta","Robusta",(IF($B861="","Arabica",$B861))&amp;" - "&amp;(IF($C861="","Commercial",$C861))),Variables!$B$1:$D$1,0),1))*(BJ861/365))+(W861*INDEX(Variables!$B$9:$D$9,IFERROR(MATCH(IF($B861="Robusta","Robusta",(IF($B861="","Arabica",$B861))&amp;" - "&amp;(IF($C861="","Commercial",$C861))),Variables!$B$1:$D$1,0),1))*(BJ861/365))+(INDEX(Variables!$B$8:$D$8,IFERROR(MATCH(IF($B861="Robusta","Robusta",(IF($B861="","Arabica",$B861))&amp;" - "&amp;(IF($C861="","Commercial",$C861))),Variables!$B$1:$D$1,0),1))*L861/16.67)),""))</f>
        <v>-35.196845240250632</v>
      </c>
    </row>
    <row r="862" spans="1:63">
      <c r="A862" s="13" t="s">
        <v>103</v>
      </c>
      <c r="B862" s="13" t="s">
        <v>104</v>
      </c>
      <c r="C862" s="13" t="s">
        <v>292</v>
      </c>
      <c r="D862" s="31">
        <v>46069</v>
      </c>
      <c r="E862" s="31">
        <v>46113</v>
      </c>
      <c r="F862" s="31">
        <v>46142</v>
      </c>
      <c r="G862" s="13">
        <v>3787293</v>
      </c>
      <c r="J862" s="13" t="s">
        <v>1152</v>
      </c>
      <c r="K862" s="13" t="s">
        <v>2267</v>
      </c>
      <c r="L862" s="13">
        <v>8</v>
      </c>
      <c r="M862" s="13">
        <v>0</v>
      </c>
      <c r="N862" s="13" t="s">
        <v>2268</v>
      </c>
      <c r="O862" s="13" t="s">
        <v>771</v>
      </c>
      <c r="P862" s="13">
        <v>10010</v>
      </c>
      <c r="R862" s="13" t="s">
        <v>671</v>
      </c>
      <c r="S862" s="13" t="s">
        <v>1155</v>
      </c>
      <c r="T862" s="13" t="s">
        <v>329</v>
      </c>
      <c r="U862" s="13" t="s">
        <v>330</v>
      </c>
      <c r="V862" s="23">
        <v>204</v>
      </c>
      <c r="W862" s="44">
        <f>IF($AX862="Cancelled","",IFERROR(((V862+INDEX(Variables!$B$6:$D$6,IFERROR(MATCH(IF($B862="Robusta","Robusta",(IF($B862="","Arabica",$B862))&amp;" - "&amp;(IF($C862="","Commercial",$C862))),Variables!$B$1:$D$1,0),1)))*22.0462)*(L862/16.67),""))</f>
        <v>5235.0136820635862</v>
      </c>
      <c r="Y862" s="13" t="str">
        <f>IF($AX862="Cancelled","",IF(X862="","",IFERROR(IF(INDEX(Variables!$B$38:$B$47,MATCH(X862,Variables!$A$38:$A$47,0))="Yes","Yes","No"),"No")))</f>
        <v/>
      </c>
      <c r="Z862" s="31"/>
      <c r="AC862" s="13" t="str">
        <f t="shared" si="40"/>
        <v/>
      </c>
      <c r="AF862" s="71">
        <v>46150</v>
      </c>
      <c r="AG862" s="37">
        <f>IF($AX862="Cancelled","",IFERROR(IF(F862="","",F862-Variables!$B$13),""))</f>
        <v>46127</v>
      </c>
      <c r="AH862" s="13" t="str">
        <f>IF($AX862="Cancelled","",IFERROR(IF(AB862="","",(AVERAGE(E862:F862)-AB862)-Variables!$B$14),""))</f>
        <v/>
      </c>
      <c r="AJ862" s="47">
        <v>46164</v>
      </c>
      <c r="AK862" s="14">
        <f>IF($AX862="Cancelled","",IFERROR(IF(AJ862="","",IF(AND(AB862="",AF862=""),"",IF(AF862&gt;AB862,AF862+Variables!$B$15+Variables!$B$16+Variables!$B$17-AJ862,AB862+Variables!$B$16+Variables!$B$17-AJ862))),""))</f>
        <v>1</v>
      </c>
      <c r="AL862" s="48" t="s">
        <v>114</v>
      </c>
      <c r="AM862" s="13" t="s">
        <v>1482</v>
      </c>
      <c r="AN862" s="13" t="s">
        <v>2265</v>
      </c>
      <c r="AP862" s="31" t="e">
        <v>#N/A</v>
      </c>
      <c r="AR862" s="13" t="s">
        <v>2266</v>
      </c>
      <c r="AS862" s="31">
        <v>46180</v>
      </c>
      <c r="AU862" s="31">
        <v>46197</v>
      </c>
      <c r="AV862" s="13" t="e">
        <v>#N/A</v>
      </c>
      <c r="AW862" s="31">
        <v>46197</v>
      </c>
      <c r="AX862" s="13" t="str">
        <f>IF(ISNUMBER(SEARCH("cancel",#REF!)),"Cancelled",IF(AND(AS862&lt;&gt;"",AU862&lt;&gt;"",AW862&lt;&gt;""),"Closed","Open"))</f>
        <v>Closed</v>
      </c>
      <c r="AY862" s="15" t="str">
        <f t="shared" si="39"/>
        <v>All dates received</v>
      </c>
      <c r="BD862" s="13">
        <f>IF($AX862="Cancelled","",IFERROR(IF(OR(AS862="",AJ862=""),"",(AJ862+Variables!$B$18-AS862)),""))</f>
        <v>-1</v>
      </c>
      <c r="BE862" s="13">
        <f>IF($AX862="Cancelled","",IFERROR(IF(OR(AW862="",AS862=""),"",(AS862+Variables!$B$19)-AW862),""))</f>
        <v>-12</v>
      </c>
      <c r="BF862" s="44">
        <f>IF($AX862="Cancelled","",IFERROR(W862*INDEX(Variables!$B$7:$D$7,IFERROR(MATCH(IF($B862="Robusta","Robusta",(IF($B862="","Arabica",$B862))&amp;" - "&amp;(IF($C862="","Commercial",$C862))),Variables!$B$1:$D$1,0),1))*(BE862/365),""))</f>
        <v>-11.098033947930757</v>
      </c>
      <c r="BG862" s="44" t="str">
        <f>IF($AX862="Cancelled","",IFERROR((W862*INDEX(Variables!$B$7:$D$7,IFERROR(MATCH(IF($B862="Robusta","Robusta",(IF($B862="","Arabica",$B862))&amp;" - "&amp;(IF($C862="","Commercial",$C862))),Variables!$B$1:$D$1,0),1))*IFERROR(IF(AB862="","",(AVERAGE(E862:F862)-AB862)-Variables!$B$14),"")/365)+(L862/16.67*INDEX(Variables!$B$8:$D$8,IFERROR(MATCH(IF($B862="Robusta","Robusta",(IF($B862="","Arabica",$B862))&amp;" - "&amp;(IF($C862="","Commercial",$C862))),Variables!$B$1:$D$1,0),1))*IFERROR(IF(AB862="","",(AVERAGE(E862:F862)-AB862)-Variables!$B$14),""))+(W862*INDEX(Variables!$B$9:$D$9,IFERROR(MATCH(IF($B862="Robusta","Robusta",(IF($B862="","Arabica",$B862))&amp;" - "&amp;(IF($C862="","Commercial",$C862))),Variables!$B$1:$D$1,0),1))*IFERROR(IF(AB862="","",(AVERAGE(E862:F862)-AB862)-Variables!$B$14),"")/365),""))</f>
        <v/>
      </c>
      <c r="BH862" s="44">
        <f>IF($AX862="Cancelled","",IFERROR((W862*INDEX(Variables!$B$7:$D$7,IFERROR(MATCH(IF($B862="Robusta","Robusta",(IF($B862="","Arabica",$B862))&amp;" - "&amp;(IF($C862="","Commercial",$C862))),Variables!$B$1:$D$1,0),1))*AK862/365)+(L862/16.67*INDEX(Variables!$B$8:$D$8,IFERROR(MATCH(IF($B862="Robusta","Robusta",(IF($B862="","Arabica",$B862))&amp;" - "&amp;(IF($C862="","Commercial",$C862))),Variables!$B$1:$D$1,0),1))*AK862)+(W862*INDEX(Variables!$B$9:$D$9,IFERROR(MATCH(IF($B862="Robusta","Robusta",(IF($B862="","Arabica",$B862))&amp;" - "&amp;(IF($C862="","Commercial",$C862))),Variables!$B$1:$D$1,0),1))*AK862/365),""))</f>
        <v>1.3367590852697535</v>
      </c>
      <c r="BI862" s="44">
        <f>IF($AX862="Cancelled","",IFERROR((W862*INDEX(Variables!$B$7:$D$7,IFERROR(MATCH(IF($B862="Robusta","Robusta",(IF($B862="","Arabica",$B862))&amp;" - "&amp;(IF($C862="","Commercial",$C862))),Variables!$B$1:$D$1,0),1))*BD862/365)+(L862/16.67*INDEX(Variables!$B$8:$D$8,IFERROR(MATCH(IF($B862="Robusta","Robusta",(IF($B862="","Arabica",$B862))&amp;" - "&amp;(IF($C862="","Commercial",$C862))),Variables!$B$1:$D$1,0),1))*BD862)+(W862*INDEX(Variables!$B$9:$D$9,IFERROR(MATCH(IF($B862="Robusta","Robusta",(IF($B862="","Arabica",$B862))&amp;" - "&amp;(IF($C862="","Commercial",$C862))),Variables!$B$1:$D$1,0),1))*BD862/365),""))</f>
        <v>-1.3367590852697535</v>
      </c>
      <c r="BJ862" s="44">
        <f t="shared" si="41"/>
        <v>-38</v>
      </c>
      <c r="BK862" s="44">
        <f>IF($AX862="Cancelled","",IFERROR(IF(BJ862="","",(W862*INDEX(Variables!$B$7:$D$7,IFERROR(MATCH(IF($B862="Robusta","Robusta",(IF($B862="","Arabica",$B862))&amp;" - "&amp;(IF($C862="","Commercial",$C862))),Variables!$B$1:$D$1,0),1))*(BJ862/365))+(W862*INDEX(Variables!$B$9:$D$9,IFERROR(MATCH(IF($B862="Robusta","Robusta",(IF($B862="","Arabica",$B862))&amp;" - "&amp;(IF($C862="","Commercial",$C862))),Variables!$B$1:$D$1,0),1))*(BJ862/365))+(INDEX(Variables!$B$8:$D$8,IFERROR(MATCH(IF($B862="Robusta","Robusta",(IF($B862="","Arabica",$B862))&amp;" - "&amp;(IF($C862="","Commercial",$C862))),Variables!$B$1:$D$1,0),1))*L862/16.67)),""))</f>
        <v>-35.196845240250632</v>
      </c>
    </row>
    <row r="863" spans="1:63">
      <c r="A863" s="13" t="s">
        <v>103</v>
      </c>
      <c r="B863" s="13" t="s">
        <v>104</v>
      </c>
      <c r="C863" s="13" t="s">
        <v>292</v>
      </c>
      <c r="D863" s="31">
        <v>46069</v>
      </c>
      <c r="E863" s="31">
        <v>46113</v>
      </c>
      <c r="F863" s="31">
        <v>46142</v>
      </c>
      <c r="G863" s="13">
        <v>3787294</v>
      </c>
      <c r="J863" s="13" t="s">
        <v>1152</v>
      </c>
      <c r="K863" s="13" t="s">
        <v>2269</v>
      </c>
      <c r="L863" s="13">
        <v>8</v>
      </c>
      <c r="M863" s="13">
        <v>0</v>
      </c>
      <c r="N863" s="13" t="s">
        <v>2270</v>
      </c>
      <c r="O863" s="13" t="s">
        <v>771</v>
      </c>
      <c r="P863" s="13">
        <v>10010</v>
      </c>
      <c r="R863" s="13" t="s">
        <v>671</v>
      </c>
      <c r="S863" s="13" t="s">
        <v>1155</v>
      </c>
      <c r="T863" s="13" t="s">
        <v>329</v>
      </c>
      <c r="U863" s="13" t="s">
        <v>330</v>
      </c>
      <c r="V863" s="23">
        <v>208</v>
      </c>
      <c r="W863" s="44">
        <f>IF($AX863="Cancelled","",IFERROR(((V863+INDEX(Variables!$B$6:$D$6,IFERROR(MATCH(IF($B863="Robusta","Robusta",(IF($B863="","Arabica",$B863))&amp;" - "&amp;(IF($C863="","Commercial",$C863))),Variables!$B$1:$D$1,0),1)))*22.0462)*(L863/16.67),""))</f>
        <v>5277.3339220155958</v>
      </c>
      <c r="Y863" s="13" t="str">
        <f>IF($AX863="Cancelled","",IF(X863="","",IFERROR(IF(INDEX(Variables!$B$38:$B$47,MATCH(X863,Variables!$A$38:$A$47,0))="Yes","Yes","No"),"No")))</f>
        <v/>
      </c>
      <c r="Z863" s="31"/>
      <c r="AC863" s="13" t="str">
        <f t="shared" si="40"/>
        <v/>
      </c>
      <c r="AF863" s="71">
        <v>46150</v>
      </c>
      <c r="AG863" s="37">
        <f>IF($AX863="Cancelled","",IFERROR(IF(F863="","",F863-Variables!$B$13),""))</f>
        <v>46127</v>
      </c>
      <c r="AH863" s="13" t="str">
        <f>IF($AX863="Cancelled","",IFERROR(IF(AB863="","",(AVERAGE(E863:F863)-AB863)-Variables!$B$14),""))</f>
        <v/>
      </c>
      <c r="AJ863" s="47">
        <v>46164</v>
      </c>
      <c r="AK863" s="14">
        <f>IF($AX863="Cancelled","",IFERROR(IF(AJ863="","",IF(AND(AB863="",AF863=""),"",IF(AF863&gt;AB863,AF863+Variables!$B$15+Variables!$B$16+Variables!$B$17-AJ863,AB863+Variables!$B$16+Variables!$B$17-AJ863))),""))</f>
        <v>1</v>
      </c>
      <c r="AL863" s="48" t="s">
        <v>114</v>
      </c>
      <c r="AM863" s="13" t="s">
        <v>1482</v>
      </c>
      <c r="AN863" s="13" t="s">
        <v>2265</v>
      </c>
      <c r="AP863" s="31" t="e">
        <v>#N/A</v>
      </c>
      <c r="AR863" s="13" t="s">
        <v>2266</v>
      </c>
      <c r="AS863" s="31">
        <v>46180</v>
      </c>
      <c r="AU863" s="31">
        <v>46197</v>
      </c>
      <c r="AV863" s="13" t="e">
        <v>#N/A</v>
      </c>
      <c r="AW863" s="31">
        <v>46197</v>
      </c>
      <c r="AX863" s="13" t="str">
        <f>IF(ISNUMBER(SEARCH("cancel",#REF!)),"Cancelled",IF(AND(AS863&lt;&gt;"",AU863&lt;&gt;"",AW863&lt;&gt;""),"Closed","Open"))</f>
        <v>Closed</v>
      </c>
      <c r="AY863" s="15" t="str">
        <f t="shared" si="39"/>
        <v>All dates received</v>
      </c>
      <c r="BD863" s="13">
        <f>IF($AX863="Cancelled","",IFERROR(IF(OR(AS863="",AJ863=""),"",(AJ863+Variables!$B$18-AS863)),""))</f>
        <v>-1</v>
      </c>
      <c r="BE863" s="13">
        <f>IF($AX863="Cancelled","",IFERROR(IF(OR(AW863="",AS863=""),"",(AS863+Variables!$B$19)-AW863),""))</f>
        <v>-12</v>
      </c>
      <c r="BF863" s="44">
        <f>IF($AX863="Cancelled","",IFERROR(W863*INDEX(Variables!$B$7:$D$7,IFERROR(MATCH(IF($B863="Robusta","Robusta",(IF($B863="","Arabica",$B863))&amp;" - "&amp;(IF($C863="","Commercial",$C863))),Variables!$B$1:$D$1,0),1))*(BE863/365),""))</f>
        <v>-11.187751279765283</v>
      </c>
      <c r="BG863" s="44" t="str">
        <f>IF($AX863="Cancelled","",IFERROR((W863*INDEX(Variables!$B$7:$D$7,IFERROR(MATCH(IF($B863="Robusta","Robusta",(IF($B863="","Arabica",$B863))&amp;" - "&amp;(IF($C863="","Commercial",$C863))),Variables!$B$1:$D$1,0),1))*IFERROR(IF(AB863="","",(AVERAGE(E863:F863)-AB863)-Variables!$B$14),"")/365)+(L863/16.67*INDEX(Variables!$B$8:$D$8,IFERROR(MATCH(IF($B863="Robusta","Robusta",(IF($B863="","Arabica",$B863))&amp;" - "&amp;(IF($C863="","Commercial",$C863))),Variables!$B$1:$D$1,0),1))*IFERROR(IF(AB863="","",(AVERAGE(E863:F863)-AB863)-Variables!$B$14),""))+(W863*INDEX(Variables!$B$9:$D$9,IFERROR(MATCH(IF($B863="Robusta","Robusta",(IF($B863="","Arabica",$B863))&amp;" - "&amp;(IF($C863="","Commercial",$C863))),Variables!$B$1:$D$1,0),1))*IFERROR(IF(AB863="","",(AVERAGE(E863:F863)-AB863)-Variables!$B$14),"")/365),""))</f>
        <v/>
      </c>
      <c r="BH863" s="44">
        <f>IF($AX863="Cancelled","",IFERROR((W863*INDEX(Variables!$B$7:$D$7,IFERROR(MATCH(IF($B863="Robusta","Robusta",(IF($B863="","Arabica",$B863))&amp;" - "&amp;(IF($C863="","Commercial",$C863))),Variables!$B$1:$D$1,0),1))*AK863/365)+(L863/16.67*INDEX(Variables!$B$8:$D$8,IFERROR(MATCH(IF($B863="Robusta","Robusta",(IF($B863="","Arabica",$B863))&amp;" - "&amp;(IF($C863="","Commercial",$C863))),Variables!$B$1:$D$1,0),1))*AK863)+(W863*INDEX(Variables!$B$9:$D$9,IFERROR(MATCH(IF($B863="Robusta","Robusta",(IF($B863="","Arabica",$B863))&amp;" - "&amp;(IF($C863="","Commercial",$C863))),Variables!$B$1:$D$1,0),1))*AK863/365),""))</f>
        <v>1.3443319153851114</v>
      </c>
      <c r="BI863" s="44">
        <f>IF($AX863="Cancelled","",IFERROR((W863*INDEX(Variables!$B$7:$D$7,IFERROR(MATCH(IF($B863="Robusta","Robusta",(IF($B863="","Arabica",$B863))&amp;" - "&amp;(IF($C863="","Commercial",$C863))),Variables!$B$1:$D$1,0),1))*BD863/365)+(L863/16.67*INDEX(Variables!$B$8:$D$8,IFERROR(MATCH(IF($B863="Robusta","Robusta",(IF($B863="","Arabica",$B863))&amp;" - "&amp;(IF($C863="","Commercial",$C863))),Variables!$B$1:$D$1,0),1))*BD863)+(W863*INDEX(Variables!$B$9:$D$9,IFERROR(MATCH(IF($B863="Robusta","Robusta",(IF($B863="","Arabica",$B863))&amp;" - "&amp;(IF($C863="","Commercial",$C863))),Variables!$B$1:$D$1,0),1))*BD863/365),""))</f>
        <v>-1.3443319153851114</v>
      </c>
      <c r="BJ863" s="44">
        <f t="shared" si="41"/>
        <v>-38</v>
      </c>
      <c r="BK863" s="44">
        <f>IF($AX863="Cancelled","",IFERROR(IF(BJ863="","",(W863*INDEX(Variables!$B$7:$D$7,IFERROR(MATCH(IF($B863="Robusta","Robusta",(IF($B863="","Arabica",$B863))&amp;" - "&amp;(IF($C863="","Commercial",$C863))),Variables!$B$1:$D$1,0),1))*(BJ863/365))+(W863*INDEX(Variables!$B$9:$D$9,IFERROR(MATCH(IF($B863="Robusta","Robusta",(IF($B863="","Arabica",$B863))&amp;" - "&amp;(IF($C863="","Commercial",$C863))),Variables!$B$1:$D$1,0),1))*(BJ863/365))+(INDEX(Variables!$B$8:$D$8,IFERROR(MATCH(IF($B863="Robusta","Robusta",(IF($B863="","Arabica",$B863))&amp;" - "&amp;(IF($C863="","Commercial",$C863))),Variables!$B$1:$D$1,0),1))*L863/16.67)),""))</f>
        <v>-35.48461278463423</v>
      </c>
    </row>
    <row r="864" spans="1:63">
      <c r="A864" s="13" t="s">
        <v>103</v>
      </c>
      <c r="B864" s="13" t="s">
        <v>104</v>
      </c>
      <c r="C864" s="13" t="s">
        <v>292</v>
      </c>
      <c r="D864" s="31">
        <v>46069</v>
      </c>
      <c r="E864" s="31">
        <v>46113</v>
      </c>
      <c r="F864" s="31">
        <v>46142</v>
      </c>
      <c r="G864" s="13">
        <v>3787295</v>
      </c>
      <c r="J864" s="13" t="s">
        <v>1152</v>
      </c>
      <c r="K864" s="13" t="s">
        <v>2271</v>
      </c>
      <c r="L864" s="13">
        <v>16</v>
      </c>
      <c r="M864" s="13">
        <v>0</v>
      </c>
      <c r="N864" s="13" t="s">
        <v>2272</v>
      </c>
      <c r="O864" s="13" t="s">
        <v>771</v>
      </c>
      <c r="P864" s="13">
        <v>10010</v>
      </c>
      <c r="R864" s="13" t="s">
        <v>671</v>
      </c>
      <c r="S864" s="13" t="s">
        <v>1155</v>
      </c>
      <c r="T864" s="13" t="s">
        <v>329</v>
      </c>
      <c r="U864" s="13" t="s">
        <v>330</v>
      </c>
      <c r="V864" s="23">
        <v>223</v>
      </c>
      <c r="W864" s="44">
        <f>IF($AX864="Cancelled","",IFERROR(((V864+INDEX(Variables!$B$6:$D$6,IFERROR(MATCH(IF($B864="Robusta","Robusta",(IF($B864="","Arabica",$B864))&amp;" - "&amp;(IF($C864="","Commercial",$C864))),Variables!$B$1:$D$1,0),1)))*22.0462)*(L864/16.67),""))</f>
        <v>10872.069643671262</v>
      </c>
      <c r="Y864" s="13" t="str">
        <f>IF($AX864="Cancelled","",IF(X864="","",IFERROR(IF(INDEX(Variables!$B$38:$B$47,MATCH(X864,Variables!$A$38:$A$47,0))="Yes","Yes","No"),"No")))</f>
        <v/>
      </c>
      <c r="Z864" s="31"/>
      <c r="AC864" s="13" t="str">
        <f t="shared" si="40"/>
        <v/>
      </c>
      <c r="AF864" s="71">
        <v>46150</v>
      </c>
      <c r="AG864" s="37">
        <f>IF($AX864="Cancelled","",IFERROR(IF(F864="","",F864-Variables!$B$13),""))</f>
        <v>46127</v>
      </c>
      <c r="AH864" s="13" t="str">
        <f>IF($AX864="Cancelled","",IFERROR(IF(AB864="","",(AVERAGE(E864:F864)-AB864)-Variables!$B$14),""))</f>
        <v/>
      </c>
      <c r="AJ864" s="47">
        <v>46164</v>
      </c>
      <c r="AK864" s="14">
        <f>IF($AX864="Cancelled","",IFERROR(IF(AJ864="","",IF(AND(AB864="",AF864=""),"",IF(AF864&gt;AB864,AF864+Variables!$B$15+Variables!$B$16+Variables!$B$17-AJ864,AB864+Variables!$B$16+Variables!$B$17-AJ864))),""))</f>
        <v>1</v>
      </c>
      <c r="AL864" s="48" t="s">
        <v>114</v>
      </c>
      <c r="AM864" s="13" t="s">
        <v>1482</v>
      </c>
      <c r="AN864" s="13" t="s">
        <v>2265</v>
      </c>
      <c r="AP864" s="31" t="e">
        <v>#N/A</v>
      </c>
      <c r="AR864" s="13" t="s">
        <v>2266</v>
      </c>
      <c r="AS864" s="31">
        <v>46180</v>
      </c>
      <c r="AU864" s="31">
        <v>46197</v>
      </c>
      <c r="AV864" s="13" t="e">
        <v>#N/A</v>
      </c>
      <c r="AW864" s="31">
        <v>46197</v>
      </c>
      <c r="AX864" s="13" t="str">
        <f>IF(ISNUMBER(SEARCH("cancel",#REF!)),"Cancelled",IF(AND(AS864&lt;&gt;"",AU864&lt;&gt;"",AW864&lt;&gt;""),"Closed","Open"))</f>
        <v>Closed</v>
      </c>
      <c r="AY864" s="15" t="str">
        <f t="shared" si="39"/>
        <v>All dates received</v>
      </c>
      <c r="BD864" s="13">
        <f>IF($AX864="Cancelled","",IFERROR(IF(OR(AS864="",AJ864=""),"",(AJ864+Variables!$B$18-AS864)),""))</f>
        <v>-1</v>
      </c>
      <c r="BE864" s="13">
        <f>IF($AX864="Cancelled","",IFERROR(IF(OR(AW864="",AS864=""),"",(AS864+Variables!$B$19)-AW864),""))</f>
        <v>-12</v>
      </c>
      <c r="BF864" s="44">
        <f>IF($AX864="Cancelled","",IFERROR(W864*INDEX(Variables!$B$7:$D$7,IFERROR(MATCH(IF($B864="Robusta","Robusta",(IF($B864="","Arabica",$B864))&amp;" - "&amp;(IF($C864="","Commercial",$C864))),Variables!$B$1:$D$1,0),1))*(BE864/365),""))</f>
        <v>-23.048382548289503</v>
      </c>
      <c r="BG864" s="44" t="str">
        <f>IF($AX864="Cancelled","",IFERROR((W864*INDEX(Variables!$B$7:$D$7,IFERROR(MATCH(IF($B864="Robusta","Robusta",(IF($B864="","Arabica",$B864))&amp;" - "&amp;(IF($C864="","Commercial",$C864))),Variables!$B$1:$D$1,0),1))*IFERROR(IF(AB864="","",(AVERAGE(E864:F864)-AB864)-Variables!$B$14),"")/365)+(L864/16.67*INDEX(Variables!$B$8:$D$8,IFERROR(MATCH(IF($B864="Robusta","Robusta",(IF($B864="","Arabica",$B864))&amp;" - "&amp;(IF($C864="","Commercial",$C864))),Variables!$B$1:$D$1,0),1))*IFERROR(IF(AB864="","",(AVERAGE(E864:F864)-AB864)-Variables!$B$14),""))+(W864*INDEX(Variables!$B$9:$D$9,IFERROR(MATCH(IF($B864="Robusta","Robusta",(IF($B864="","Arabica",$B864))&amp;" - "&amp;(IF($C864="","Commercial",$C864))),Variables!$B$1:$D$1,0),1))*IFERROR(IF(AB864="","",(AVERAGE(E864:F864)-AB864)-Variables!$B$14),"")/365),""))</f>
        <v/>
      </c>
      <c r="BH864" s="44">
        <f>IF($AX864="Cancelled","",IFERROR((W864*INDEX(Variables!$B$7:$D$7,IFERROR(MATCH(IF($B864="Robusta","Robusta",(IF($B864="","Arabica",$B864))&amp;" - "&amp;(IF($C864="","Commercial",$C864))),Variables!$B$1:$D$1,0),1))*AK864/365)+(L864/16.67*INDEX(Variables!$B$8:$D$8,IFERROR(MATCH(IF($B864="Robusta","Robusta",(IF($B864="","Arabica",$B864))&amp;" - "&amp;(IF($C864="","Commercial",$C864))),Variables!$B$1:$D$1,0),1))*AK864)+(W864*INDEX(Variables!$B$9:$D$9,IFERROR(MATCH(IF($B864="Robusta","Robusta",(IF($B864="","Arabica",$B864))&amp;" - "&amp;(IF($C864="","Commercial",$C864))),Variables!$B$1:$D$1,0),1))*AK864/365),""))</f>
        <v>2.7454600566354057</v>
      </c>
      <c r="BI864" s="44">
        <f>IF($AX864="Cancelled","",IFERROR((W864*INDEX(Variables!$B$7:$D$7,IFERROR(MATCH(IF($B864="Robusta","Robusta",(IF($B864="","Arabica",$B864))&amp;" - "&amp;(IF($C864="","Commercial",$C864))),Variables!$B$1:$D$1,0),1))*BD864/365)+(L864/16.67*INDEX(Variables!$B$8:$D$8,IFERROR(MATCH(IF($B864="Robusta","Robusta",(IF($B864="","Arabica",$B864))&amp;" - "&amp;(IF($C864="","Commercial",$C864))),Variables!$B$1:$D$1,0),1))*BD864)+(W864*INDEX(Variables!$B$9:$D$9,IFERROR(MATCH(IF($B864="Robusta","Robusta",(IF($B864="","Arabica",$B864))&amp;" - "&amp;(IF($C864="","Commercial",$C864))),Variables!$B$1:$D$1,0),1))*BD864/365),""))</f>
        <v>-2.7454600566354057</v>
      </c>
      <c r="BJ864" s="44">
        <f t="shared" si="41"/>
        <v>-38</v>
      </c>
      <c r="BK864" s="44">
        <f>IF($AX864="Cancelled","",IFERROR(IF(BJ864="","",(W864*INDEX(Variables!$B$7:$D$7,IFERROR(MATCH(IF($B864="Robusta","Robusta",(IF($B864="","Arabica",$B864))&amp;" - "&amp;(IF($C864="","Commercial",$C864))),Variables!$B$1:$D$1,0),1))*(BJ864/365))+(W864*INDEX(Variables!$B$9:$D$9,IFERROR(MATCH(IF($B864="Robusta","Robusta",(IF($B864="","Arabica",$B864))&amp;" - "&amp;(IF($C864="","Commercial",$C864))),Variables!$B$1:$D$1,0),1))*(BJ864/365))+(INDEX(Variables!$B$8:$D$8,IFERROR(MATCH(IF($B864="Robusta","Robusta",(IF($B864="","Arabica",$B864))&amp;" - "&amp;(IF($C864="","Commercial",$C864))),Variables!$B$1:$D$1,0),1))*L864/16.67)),""))</f>
        <v>-73.127482152145404</v>
      </c>
    </row>
    <row r="865" spans="1:63">
      <c r="A865" s="13" t="s">
        <v>103</v>
      </c>
      <c r="B865" s="13" t="s">
        <v>104</v>
      </c>
      <c r="C865" s="13" t="s">
        <v>292</v>
      </c>
      <c r="D865" s="31">
        <v>46069</v>
      </c>
      <c r="E865" s="31">
        <v>46113</v>
      </c>
      <c r="F865" s="31">
        <v>46142</v>
      </c>
      <c r="G865" s="13">
        <v>3787296</v>
      </c>
      <c r="J865" s="13" t="s">
        <v>1152</v>
      </c>
      <c r="K865" s="13" t="s">
        <v>2273</v>
      </c>
      <c r="L865" s="13">
        <v>64</v>
      </c>
      <c r="M865" s="13">
        <v>0</v>
      </c>
      <c r="N865" s="13" t="s">
        <v>2274</v>
      </c>
      <c r="O865" s="13" t="s">
        <v>261</v>
      </c>
      <c r="P865" s="13">
        <v>10060</v>
      </c>
      <c r="R865" s="13" t="s">
        <v>239</v>
      </c>
      <c r="S865" s="13" t="s">
        <v>1155</v>
      </c>
      <c r="T865" s="13" t="s">
        <v>329</v>
      </c>
      <c r="U865" s="13" t="s">
        <v>330</v>
      </c>
      <c r="V865" s="23">
        <v>46</v>
      </c>
      <c r="W865" s="44">
        <f>IF($AX865="Cancelled","",IFERROR(((V865+INDEX(Variables!$B$6:$D$6,IFERROR(MATCH(IF($B865="Robusta","Robusta",(IF($B865="","Arabica",$B865))&amp;" - "&amp;(IF($C865="","Commercial",$C865))),Variables!$B$1:$D$1,0),1)))*22.0462)*(L865/16.67),""))</f>
        <v>28506.913631673659</v>
      </c>
      <c r="Y865" s="13" t="str">
        <f>IF($AX865="Cancelled","",IF(X865="","",IFERROR(IF(INDEX(Variables!$B$38:$B$47,MATCH(X865,Variables!$A$38:$A$47,0))="Yes","Yes","No"),"No")))</f>
        <v/>
      </c>
      <c r="Z865" s="31"/>
      <c r="AC865" s="13" t="str">
        <f t="shared" si="40"/>
        <v/>
      </c>
      <c r="AF865" s="71">
        <v>46134</v>
      </c>
      <c r="AG865" s="37">
        <f>IF($AX865="Cancelled","",IFERROR(IF(F865="","",F865-Variables!$B$13),""))</f>
        <v>46127</v>
      </c>
      <c r="AH865" s="13" t="str">
        <f>IF($AX865="Cancelled","",IFERROR(IF(AB865="","",(AVERAGE(E865:F865)-AB865)-Variables!$B$14),""))</f>
        <v/>
      </c>
      <c r="AJ865" s="47">
        <v>46164</v>
      </c>
      <c r="AK865" s="14">
        <f>IF($AX865="Cancelled","",IFERROR(IF(AJ865="","",IF(AND(AB865="",AF865=""),"",IF(AF865&gt;AB865,AF865+Variables!$B$15+Variables!$B$16+Variables!$B$17-AJ865,AB865+Variables!$B$16+Variables!$B$17-AJ865))),""))</f>
        <v>-15</v>
      </c>
      <c r="AL865" s="48" t="s">
        <v>114</v>
      </c>
      <c r="AM865" s="13" t="s">
        <v>1482</v>
      </c>
      <c r="AN865" s="13" t="s">
        <v>2265</v>
      </c>
      <c r="AP865" s="31" t="e">
        <v>#N/A</v>
      </c>
      <c r="AR865" s="13" t="s">
        <v>2266</v>
      </c>
      <c r="AS865" s="31">
        <v>46180</v>
      </c>
      <c r="AU865" s="31">
        <v>46197</v>
      </c>
      <c r="AV865" s="13" t="e">
        <v>#N/A</v>
      </c>
      <c r="AW865" s="31">
        <v>46197</v>
      </c>
      <c r="AX865" s="13" t="str">
        <f>IF(ISNUMBER(SEARCH("cancel",#REF!)),"Cancelled",IF(AND(AS865&lt;&gt;"",AU865&lt;&gt;"",AW865&lt;&gt;""),"Closed","Open"))</f>
        <v>Closed</v>
      </c>
      <c r="AY865" s="15" t="str">
        <f t="shared" si="39"/>
        <v>All dates received</v>
      </c>
      <c r="BD865" s="13">
        <f>IF($AX865="Cancelled","",IFERROR(IF(OR(AS865="",AJ865=""),"",(AJ865+Variables!$B$18-AS865)),""))</f>
        <v>-1</v>
      </c>
      <c r="BE865" s="13">
        <f>IF($AX865="Cancelled","",IFERROR(IF(OR(AW865="",AS865=""),"",(AS865+Variables!$B$19)-AW865),""))</f>
        <v>-12</v>
      </c>
      <c r="BF865" s="44">
        <f>IF($AX865="Cancelled","",IFERROR(W865*INDEX(Variables!$B$7:$D$7,IFERROR(MATCH(IF($B865="Robusta","Robusta",(IF($B865="","Arabica",$B865))&amp;" - "&amp;(IF($C865="","Commercial",$C865))),Variables!$B$1:$D$1,0),1))*(BE865/365),""))</f>
        <v>-60.433594723736121</v>
      </c>
      <c r="BG865" s="44" t="str">
        <f>IF($AX865="Cancelled","",IFERROR((W865*INDEX(Variables!$B$7:$D$7,IFERROR(MATCH(IF($B865="Robusta","Robusta",(IF($B865="","Arabica",$B865))&amp;" - "&amp;(IF($C865="","Commercial",$C865))),Variables!$B$1:$D$1,0),1))*IFERROR(IF(AB865="","",(AVERAGE(E865:F865)-AB865)-Variables!$B$14),"")/365)+(L865/16.67*INDEX(Variables!$B$8:$D$8,IFERROR(MATCH(IF($B865="Robusta","Robusta",(IF($B865="","Arabica",$B865))&amp;" - "&amp;(IF($C865="","Commercial",$C865))),Variables!$B$1:$D$1,0),1))*IFERROR(IF(AB865="","",(AVERAGE(E865:F865)-AB865)-Variables!$B$14),""))+(W865*INDEX(Variables!$B$9:$D$9,IFERROR(MATCH(IF($B865="Robusta","Robusta",(IF($B865="","Arabica",$B865))&amp;" - "&amp;(IF($C865="","Commercial",$C865))),Variables!$B$1:$D$1,0),1))*IFERROR(IF(AB865="","",(AVERAGE(E865:F865)-AB865)-Variables!$B$14),"")/365),""))</f>
        <v/>
      </c>
      <c r="BH865" s="44">
        <f>IF($AX865="Cancelled","",IFERROR((W865*INDEX(Variables!$B$7:$D$7,IFERROR(MATCH(IF($B865="Robusta","Robusta",(IF($B865="","Arabica",$B865))&amp;" - "&amp;(IF($C865="","Commercial",$C865))),Variables!$B$1:$D$1,0),1))*AK865/365)+(L865/16.67*INDEX(Variables!$B$8:$D$8,IFERROR(MATCH(IF($B865="Robusta","Robusta",(IF($B865="","Arabica",$B865))&amp;" - "&amp;(IF($C865="","Commercial",$C865))),Variables!$B$1:$D$1,0),1))*AK865)+(W865*INDEX(Variables!$B$9:$D$9,IFERROR(MATCH(IF($B865="Robusta","Robusta",(IF($B865="","Arabica",$B865))&amp;" - "&amp;(IF($C865="","Commercial",$C865))),Variables!$B$1:$D$1,0),1))*AK865/365),""))</f>
        <v>-124.5158754855747</v>
      </c>
      <c r="BI865" s="44">
        <f>IF($AX865="Cancelled","",IFERROR((W865*INDEX(Variables!$B$7:$D$7,IFERROR(MATCH(IF($B865="Robusta","Robusta",(IF($B865="","Arabica",$B865))&amp;" - "&amp;(IF($C865="","Commercial",$C865))),Variables!$B$1:$D$1,0),1))*BD865/365)+(L865/16.67*INDEX(Variables!$B$8:$D$8,IFERROR(MATCH(IF($B865="Robusta","Robusta",(IF($B865="","Arabica",$B865))&amp;" - "&amp;(IF($C865="","Commercial",$C865))),Variables!$B$1:$D$1,0),1))*BD865)+(W865*INDEX(Variables!$B$9:$D$9,IFERROR(MATCH(IF($B865="Robusta","Robusta",(IF($B865="","Arabica",$B865))&amp;" - "&amp;(IF($C865="","Commercial",$C865))),Variables!$B$1:$D$1,0),1))*BD865/365),""))</f>
        <v>-8.3010583657049803</v>
      </c>
      <c r="BJ865" s="44">
        <f t="shared" si="41"/>
        <v>-38</v>
      </c>
      <c r="BK865" s="44">
        <f>IF($AX865="Cancelled","",IFERROR(IF(BJ865="","",(W865*INDEX(Variables!$B$7:$D$7,IFERROR(MATCH(IF($B865="Robusta","Robusta",(IF($B865="","Arabica",$B865))&amp;" - "&amp;(IF($C865="","Commercial",$C865))),Variables!$B$1:$D$1,0),1))*(BJ865/365))+(W865*INDEX(Variables!$B$9:$D$9,IFERROR(MATCH(IF($B865="Robusta","Robusta",(IF($B865="","Arabica",$B865))&amp;" - "&amp;(IF($C865="","Commercial",$C865))),Variables!$B$1:$D$1,0),1))*(BJ865/365))+(INDEX(Variables!$B$8:$D$8,IFERROR(MATCH(IF($B865="Robusta","Robusta",(IF($B865="","Arabica",$B865))&amp;" - "&amp;(IF($C865="","Commercial",$C865))),Variables!$B$1:$D$1,0),1))*L865/16.67)),""))</f>
        <v>-190.64021789678924</v>
      </c>
    </row>
    <row r="866" spans="1:63">
      <c r="A866" s="13" t="s">
        <v>103</v>
      </c>
      <c r="B866" s="13" t="s">
        <v>104</v>
      </c>
      <c r="C866" s="13" t="s">
        <v>292</v>
      </c>
      <c r="D866" s="31">
        <v>46069</v>
      </c>
      <c r="E866" s="31">
        <v>46113</v>
      </c>
      <c r="F866" s="31">
        <v>46142</v>
      </c>
      <c r="G866" s="13">
        <v>3787297</v>
      </c>
      <c r="J866" s="13" t="s">
        <v>1152</v>
      </c>
      <c r="K866" s="13" t="s">
        <v>2275</v>
      </c>
      <c r="L866" s="13">
        <v>112</v>
      </c>
      <c r="M866" s="13">
        <v>0</v>
      </c>
      <c r="N866" s="13" t="s">
        <v>2276</v>
      </c>
      <c r="O866" s="13" t="s">
        <v>120</v>
      </c>
      <c r="P866" s="13">
        <v>10070</v>
      </c>
      <c r="R866" s="13" t="s">
        <v>239</v>
      </c>
      <c r="S866" s="13" t="s">
        <v>1155</v>
      </c>
      <c r="T866" s="13" t="s">
        <v>329</v>
      </c>
      <c r="U866" s="13" t="s">
        <v>330</v>
      </c>
      <c r="V866" s="23">
        <v>33</v>
      </c>
      <c r="W866" s="44">
        <f>IF($AX866="Cancelled","",IFERROR(((V866+INDEX(Variables!$B$6:$D$6,IFERROR(MATCH(IF($B866="Robusta","Robusta",(IF($B866="","Arabica",$B866))&amp;" - "&amp;(IF($C866="","Commercial",$C866))),Variables!$B$1:$D$1,0),1)))*22.0462)*(L866/16.67),""))</f>
        <v>47961.527937612474</v>
      </c>
      <c r="Y866" s="13" t="str">
        <f>IF($AX866="Cancelled","",IF(X866="","",IFERROR(IF(INDEX(Variables!$B$38:$B$47,MATCH(X866,Variables!$A$38:$A$47,0))="Yes","Yes","No"),"No")))</f>
        <v/>
      </c>
      <c r="Z866" s="31"/>
      <c r="AC866" s="13" t="str">
        <f t="shared" si="40"/>
        <v/>
      </c>
      <c r="AF866" s="71">
        <v>46134</v>
      </c>
      <c r="AG866" s="37">
        <f>IF($AX866="Cancelled","",IFERROR(IF(F866="","",F866-Variables!$B$13),""))</f>
        <v>46127</v>
      </c>
      <c r="AH866" s="13" t="str">
        <f>IF($AX866="Cancelled","",IFERROR(IF(AB866="","",(AVERAGE(E866:F866)-AB866)-Variables!$B$14),""))</f>
        <v/>
      </c>
      <c r="AJ866" s="47">
        <v>46164</v>
      </c>
      <c r="AK866" s="14">
        <f>IF($AX866="Cancelled","",IFERROR(IF(AJ866="","",IF(AND(AB866="",AF866=""),"",IF(AF866&gt;AB866,AF866+Variables!$B$15+Variables!$B$16+Variables!$B$17-AJ866,AB866+Variables!$B$16+Variables!$B$17-AJ866))),""))</f>
        <v>-15</v>
      </c>
      <c r="AL866" s="48" t="s">
        <v>114</v>
      </c>
      <c r="AM866" s="13" t="s">
        <v>1482</v>
      </c>
      <c r="AN866" s="13" t="s">
        <v>2265</v>
      </c>
      <c r="AP866" s="31" t="e">
        <v>#N/A</v>
      </c>
      <c r="AR866" s="13" t="s">
        <v>2266</v>
      </c>
      <c r="AS866" s="31">
        <v>46180</v>
      </c>
      <c r="AU866" s="31">
        <v>46197</v>
      </c>
      <c r="AV866" s="13" t="e">
        <v>#N/A</v>
      </c>
      <c r="AW866" s="31">
        <v>46197</v>
      </c>
      <c r="AX866" s="13" t="str">
        <f>IF(ISNUMBER(SEARCH("cancel",#REF!)),"Cancelled",IF(AND(AS866&lt;&gt;"",AU866&lt;&gt;"",AW866&lt;&gt;""),"Closed","Open"))</f>
        <v>Closed</v>
      </c>
      <c r="AY866" s="15" t="str">
        <f t="shared" si="39"/>
        <v>All dates received</v>
      </c>
      <c r="BD866" s="13">
        <f>IF($AX866="Cancelled","",IFERROR(IF(OR(AS866="",AJ866=""),"",(AJ866+Variables!$B$18-AS866)),""))</f>
        <v>-1</v>
      </c>
      <c r="BE866" s="13">
        <f>IF($AX866="Cancelled","",IFERROR(IF(OR(AW866="",AS866=""),"",(AS866+Variables!$B$19)-AW866),""))</f>
        <v>-12</v>
      </c>
      <c r="BF866" s="44">
        <f>IF($AX866="Cancelled","",IFERROR(W866*INDEX(Variables!$B$7:$D$7,IFERROR(MATCH(IF($B866="Robusta","Robusta",(IF($B866="","Arabica",$B866))&amp;" - "&amp;(IF($C866="","Commercial",$C866))),Variables!$B$1:$D$1,0),1))*(BE866/365),""))</f>
        <v>-101.67665216806733</v>
      </c>
      <c r="BG866" s="44" t="str">
        <f>IF($AX866="Cancelled","",IFERROR((W866*INDEX(Variables!$B$7:$D$7,IFERROR(MATCH(IF($B866="Robusta","Robusta",(IF($B866="","Arabica",$B866))&amp;" - "&amp;(IF($C866="","Commercial",$C866))),Variables!$B$1:$D$1,0),1))*IFERROR(IF(AB866="","",(AVERAGE(E866:F866)-AB866)-Variables!$B$14),"")/365)+(L866/16.67*INDEX(Variables!$B$8:$D$8,IFERROR(MATCH(IF($B866="Robusta","Robusta",(IF($B866="","Arabica",$B866))&amp;" - "&amp;(IF($C866="","Commercial",$C866))),Variables!$B$1:$D$1,0),1))*IFERROR(IF(AB866="","",(AVERAGE(E866:F866)-AB866)-Variables!$B$14),""))+(W866*INDEX(Variables!$B$9:$D$9,IFERROR(MATCH(IF($B866="Robusta","Robusta",(IF($B866="","Arabica",$B866))&amp;" - "&amp;(IF($C866="","Commercial",$C866))),Variables!$B$1:$D$1,0),1))*IFERROR(IF(AB866="","",(AVERAGE(E866:F866)-AB866)-Variables!$B$14),"")/365),""))</f>
        <v/>
      </c>
      <c r="BH866" s="44">
        <f>IF($AX866="Cancelled","",IFERROR((W866*INDEX(Variables!$B$7:$D$7,IFERROR(MATCH(IF($B866="Robusta","Robusta",(IF($B866="","Arabica",$B866))&amp;" - "&amp;(IF($C866="","Commercial",$C866))),Variables!$B$1:$D$1,0),1))*AK866/365)+(L866/16.67*INDEX(Variables!$B$8:$D$8,IFERROR(MATCH(IF($B866="Robusta","Robusta",(IF($B866="","Arabica",$B866))&amp;" - "&amp;(IF($C866="","Commercial",$C866))),Variables!$B$1:$D$1,0),1))*AK866)+(W866*INDEX(Variables!$B$9:$D$9,IFERROR(MATCH(IF($B866="Robusta","Robusta",(IF($B866="","Arabica",$B866))&amp;" - "&amp;(IF($C866="","Commercial",$C866))),Variables!$B$1:$D$1,0),1))*AK866/365),""))</f>
        <v>-212.73432554602408</v>
      </c>
      <c r="BI866" s="44">
        <f>IF($AX866="Cancelled","",IFERROR((W866*INDEX(Variables!$B$7:$D$7,IFERROR(MATCH(IF($B866="Robusta","Robusta",(IF($B866="","Arabica",$B866))&amp;" - "&amp;(IF($C866="","Commercial",$C866))),Variables!$B$1:$D$1,0),1))*BD866/365)+(L866/16.67*INDEX(Variables!$B$8:$D$8,IFERROR(MATCH(IF($B866="Robusta","Robusta",(IF($B866="","Arabica",$B866))&amp;" - "&amp;(IF($C866="","Commercial",$C866))),Variables!$B$1:$D$1,0),1))*BD866)+(W866*INDEX(Variables!$B$9:$D$9,IFERROR(MATCH(IF($B866="Robusta","Robusta",(IF($B866="","Arabica",$B866))&amp;" - "&amp;(IF($C866="","Commercial",$C866))),Variables!$B$1:$D$1,0),1))*BD866/365),""))</f>
        <v>-14.182288369734939</v>
      </c>
      <c r="BJ866" s="44">
        <f t="shared" si="41"/>
        <v>-38</v>
      </c>
      <c r="BK866" s="44">
        <f>IF($AX866="Cancelled","",IFERROR(IF(BJ866="","",(W866*INDEX(Variables!$B$7:$D$7,IFERROR(MATCH(IF($B866="Robusta","Robusta",(IF($B866="","Arabica",$B866))&amp;" - "&amp;(IF($C866="","Commercial",$C866))),Variables!$B$1:$D$1,0),1))*(BJ866/365))+(W866*INDEX(Variables!$B$9:$D$9,IFERROR(MATCH(IF($B866="Robusta","Robusta",(IF($B866="","Arabica",$B866))&amp;" - "&amp;(IF($C866="","Commercial",$C866))),Variables!$B$1:$D$1,0),1))*(BJ866/365))+(INDEX(Variables!$B$8:$D$8,IFERROR(MATCH(IF($B866="Robusta","Robusta",(IF($B866="","Arabica",$B866))&amp;" - "&amp;(IF($C866="","Commercial",$C866))),Variables!$B$1:$D$1,0),1))*L866/16.67)),""))</f>
        <v>-320.52695804992766</v>
      </c>
    </row>
    <row r="867" spans="1:63">
      <c r="A867" s="13" t="s">
        <v>103</v>
      </c>
      <c r="B867" s="13" t="s">
        <v>104</v>
      </c>
      <c r="C867" s="13" t="s">
        <v>292</v>
      </c>
      <c r="D867" s="31">
        <v>46069</v>
      </c>
      <c r="E867" s="31">
        <v>46113</v>
      </c>
      <c r="F867" s="31">
        <v>46142</v>
      </c>
      <c r="G867" s="13">
        <v>3787298</v>
      </c>
      <c r="J867" s="13" t="s">
        <v>1152</v>
      </c>
      <c r="K867" s="13" t="s">
        <v>2277</v>
      </c>
      <c r="L867" s="13">
        <v>64</v>
      </c>
      <c r="M867" s="13">
        <v>0</v>
      </c>
      <c r="N867" s="13" t="s">
        <v>2278</v>
      </c>
      <c r="O867" s="13" t="s">
        <v>120</v>
      </c>
      <c r="P867" s="13">
        <v>10070</v>
      </c>
      <c r="R867" s="13" t="s">
        <v>239</v>
      </c>
      <c r="S867" s="13" t="s">
        <v>1155</v>
      </c>
      <c r="T867" s="13" t="s">
        <v>329</v>
      </c>
      <c r="U867" s="13" t="s">
        <v>330</v>
      </c>
      <c r="V867" s="23">
        <v>33</v>
      </c>
      <c r="W867" s="44">
        <f>IF($AX867="Cancelled","",IFERROR(((V867+INDEX(Variables!$B$6:$D$6,IFERROR(MATCH(IF($B867="Robusta","Robusta",(IF($B867="","Arabica",$B867))&amp;" - "&amp;(IF($C867="","Commercial",$C867))),Variables!$B$1:$D$1,0),1)))*22.0462)*(L867/16.67),""))</f>
        <v>27406.58739292141</v>
      </c>
      <c r="Y867" s="13" t="str">
        <f>IF($AX867="Cancelled","",IF(X867="","",IFERROR(IF(INDEX(Variables!$B$38:$B$47,MATCH(X867,Variables!$A$38:$A$47,0))="Yes","Yes","No"),"No")))</f>
        <v/>
      </c>
      <c r="Z867" s="31"/>
      <c r="AC867" s="13" t="str">
        <f t="shared" si="40"/>
        <v/>
      </c>
      <c r="AF867" s="71">
        <v>46134</v>
      </c>
      <c r="AG867" s="37">
        <f>IF($AX867="Cancelled","",IFERROR(IF(F867="","",F867-Variables!$B$13),""))</f>
        <v>46127</v>
      </c>
      <c r="AH867" s="13" t="str">
        <f>IF($AX867="Cancelled","",IFERROR(IF(AB867="","",(AVERAGE(E867:F867)-AB867)-Variables!$B$14),""))</f>
        <v/>
      </c>
      <c r="AJ867" s="47">
        <v>46164</v>
      </c>
      <c r="AK867" s="14">
        <f>IF($AX867="Cancelled","",IFERROR(IF(AJ867="","",IF(AND(AB867="",AF867=""),"",IF(AF867&gt;AB867,AF867+Variables!$B$15+Variables!$B$16+Variables!$B$17-AJ867,AB867+Variables!$B$16+Variables!$B$17-AJ867))),""))</f>
        <v>-15</v>
      </c>
      <c r="AL867" s="48" t="s">
        <v>114</v>
      </c>
      <c r="AM867" s="13" t="s">
        <v>1482</v>
      </c>
      <c r="AN867" s="13" t="s">
        <v>2265</v>
      </c>
      <c r="AP867" s="31" t="e">
        <v>#N/A</v>
      </c>
      <c r="AR867" s="13" t="s">
        <v>2266</v>
      </c>
      <c r="AS867" s="31">
        <v>46180</v>
      </c>
      <c r="AU867" s="31">
        <v>46197</v>
      </c>
      <c r="AV867" s="13" t="e">
        <v>#N/A</v>
      </c>
      <c r="AW867" s="31">
        <v>46197</v>
      </c>
      <c r="AX867" s="13" t="str">
        <f>IF(ISNUMBER(SEARCH("cancel",#REF!)),"Cancelled",IF(AND(AS867&lt;&gt;"",AU867&lt;&gt;"",AW867&lt;&gt;""),"Closed","Open"))</f>
        <v>Closed</v>
      </c>
      <c r="AY867" s="15" t="str">
        <f t="shared" si="39"/>
        <v>All dates received</v>
      </c>
      <c r="BD867" s="13">
        <f>IF($AX867="Cancelled","",IFERROR(IF(OR(AS867="",AJ867=""),"",(AJ867+Variables!$B$18-AS867)),""))</f>
        <v>-1</v>
      </c>
      <c r="BE867" s="13">
        <f>IF($AX867="Cancelled","",IFERROR(IF(OR(AW867="",AS867=""),"",(AS867+Variables!$B$19)-AW867),""))</f>
        <v>-12</v>
      </c>
      <c r="BF867" s="44">
        <f>IF($AX867="Cancelled","",IFERROR(W867*INDEX(Variables!$B$7:$D$7,IFERROR(MATCH(IF($B867="Robusta","Robusta",(IF($B867="","Arabica",$B867))&amp;" - "&amp;(IF($C867="","Commercial",$C867))),Variables!$B$1:$D$1,0),1))*(BE867/365),""))</f>
        <v>-58.100944096038468</v>
      </c>
      <c r="BG867" s="44" t="str">
        <f>IF($AX867="Cancelled","",IFERROR((W867*INDEX(Variables!$B$7:$D$7,IFERROR(MATCH(IF($B867="Robusta","Robusta",(IF($B867="","Arabica",$B867))&amp;" - "&amp;(IF($C867="","Commercial",$C867))),Variables!$B$1:$D$1,0),1))*IFERROR(IF(AB867="","",(AVERAGE(E867:F867)-AB867)-Variables!$B$14),"")/365)+(L867/16.67*INDEX(Variables!$B$8:$D$8,IFERROR(MATCH(IF($B867="Robusta","Robusta",(IF($B867="","Arabica",$B867))&amp;" - "&amp;(IF($C867="","Commercial",$C867))),Variables!$B$1:$D$1,0),1))*IFERROR(IF(AB867="","",(AVERAGE(E867:F867)-AB867)-Variables!$B$14),""))+(W867*INDEX(Variables!$B$9:$D$9,IFERROR(MATCH(IF($B867="Robusta","Robusta",(IF($B867="","Arabica",$B867))&amp;" - "&amp;(IF($C867="","Commercial",$C867))),Variables!$B$1:$D$1,0),1))*IFERROR(IF(AB867="","",(AVERAGE(E867:F867)-AB867)-Variables!$B$14),"")/365),""))</f>
        <v/>
      </c>
      <c r="BH867" s="44">
        <f>IF($AX867="Cancelled","",IFERROR((W867*INDEX(Variables!$B$7:$D$7,IFERROR(MATCH(IF($B867="Robusta","Robusta",(IF($B867="","Arabica",$B867))&amp;" - "&amp;(IF($C867="","Commercial",$C867))),Variables!$B$1:$D$1,0),1))*AK867/365)+(L867/16.67*INDEX(Variables!$B$8:$D$8,IFERROR(MATCH(IF($B867="Robusta","Robusta",(IF($B867="","Arabica",$B867))&amp;" - "&amp;(IF($C867="","Commercial",$C867))),Variables!$B$1:$D$1,0),1))*AK867)+(W867*INDEX(Variables!$B$9:$D$9,IFERROR(MATCH(IF($B867="Robusta","Robusta",(IF($B867="","Arabica",$B867))&amp;" - "&amp;(IF($C867="","Commercial",$C867))),Variables!$B$1:$D$1,0),1))*AK867/365),""))</f>
        <v>-121.56247174058517</v>
      </c>
      <c r="BI867" s="44">
        <f>IF($AX867="Cancelled","",IFERROR((W867*INDEX(Variables!$B$7:$D$7,IFERROR(MATCH(IF($B867="Robusta","Robusta",(IF($B867="","Arabica",$B867))&amp;" - "&amp;(IF($C867="","Commercial",$C867))),Variables!$B$1:$D$1,0),1))*BD867/365)+(L867/16.67*INDEX(Variables!$B$8:$D$8,IFERROR(MATCH(IF($B867="Robusta","Robusta",(IF($B867="","Arabica",$B867))&amp;" - "&amp;(IF($C867="","Commercial",$C867))),Variables!$B$1:$D$1,0),1))*BD867)+(W867*INDEX(Variables!$B$9:$D$9,IFERROR(MATCH(IF($B867="Robusta","Robusta",(IF($B867="","Arabica",$B867))&amp;" - "&amp;(IF($C867="","Commercial",$C867))),Variables!$B$1:$D$1,0),1))*BD867/365),""))</f>
        <v>-8.1041647827056789</v>
      </c>
      <c r="BJ867" s="44">
        <f t="shared" si="41"/>
        <v>-38</v>
      </c>
      <c r="BK867" s="44">
        <f>IF($AX867="Cancelled","",IFERROR(IF(BJ867="","",(W867*INDEX(Variables!$B$7:$D$7,IFERROR(MATCH(IF($B867="Robusta","Robusta",(IF($B867="","Arabica",$B867))&amp;" - "&amp;(IF($C867="","Commercial",$C867))),Variables!$B$1:$D$1,0),1))*(BJ867/365))+(W867*INDEX(Variables!$B$9:$D$9,IFERROR(MATCH(IF($B867="Robusta","Robusta",(IF($B867="","Arabica",$B867))&amp;" - "&amp;(IF($C867="","Commercial",$C867))),Variables!$B$1:$D$1,0),1))*(BJ867/365))+(INDEX(Variables!$B$8:$D$8,IFERROR(MATCH(IF($B867="Robusta","Robusta",(IF($B867="","Arabica",$B867))&amp;" - "&amp;(IF($C867="","Commercial",$C867))),Variables!$B$1:$D$1,0),1))*L867/16.67)),""))</f>
        <v>-183.1582617428158</v>
      </c>
    </row>
    <row r="868" spans="1:63">
      <c r="A868" s="13" t="s">
        <v>103</v>
      </c>
      <c r="B868" s="13" t="s">
        <v>104</v>
      </c>
      <c r="C868" s="13" t="s">
        <v>292</v>
      </c>
      <c r="D868" s="31">
        <v>46070</v>
      </c>
      <c r="E868" s="31">
        <v>46054</v>
      </c>
      <c r="F868" s="31">
        <v>46081</v>
      </c>
      <c r="G868" s="13">
        <v>3787299</v>
      </c>
      <c r="J868" s="13" t="s">
        <v>294</v>
      </c>
      <c r="K868" s="13" t="s">
        <v>2279</v>
      </c>
      <c r="L868" s="13">
        <v>28</v>
      </c>
      <c r="M868" s="13">
        <v>0</v>
      </c>
      <c r="N868" s="13" t="s">
        <v>2280</v>
      </c>
      <c r="O868" s="13" t="s">
        <v>297</v>
      </c>
      <c r="P868" s="13">
        <v>10020</v>
      </c>
      <c r="R868" s="13" t="s">
        <v>384</v>
      </c>
      <c r="S868" s="13" t="s">
        <v>299</v>
      </c>
      <c r="T868" s="13" t="s">
        <v>305</v>
      </c>
      <c r="U868" s="13" t="s">
        <v>125</v>
      </c>
      <c r="V868" s="13">
        <v>152</v>
      </c>
      <c r="W868" s="44">
        <f>IF($AX868="Cancelled","",IFERROR(((V868+INDEX(Variables!$B$6:$D$6,IFERROR(MATCH(IF($B868="Robusta","Robusta",(IF($B868="","Arabica",$B868))&amp;" - "&amp;(IF($C868="","Commercial",$C868))),Variables!$B$1:$D$1,0),1)))*22.0462)*(L868/16.67),""))</f>
        <v>16396.976969406114</v>
      </c>
      <c r="X868" s="55" t="s">
        <v>39</v>
      </c>
      <c r="Y868" s="13" t="str">
        <f>IF($AX868="Cancelled","",IF(X868="","",IFERROR(IF(INDEX(Variables!$B$38:$B$47,MATCH(X868,Variables!$A$38:$A$47,0))="Yes","Yes","No"),"No")))</f>
        <v>No</v>
      </c>
      <c r="Z868" s="31"/>
      <c r="AB868" s="31">
        <v>46036.875</v>
      </c>
      <c r="AC868" s="13" t="str">
        <f t="shared" si="40"/>
        <v>Approved</v>
      </c>
      <c r="AF868" s="71">
        <v>46073</v>
      </c>
      <c r="AG868" s="31">
        <f>IF($AX868="Cancelled","",IFERROR(IF(F868="","",F868-Variables!$B$13),""))</f>
        <v>46066</v>
      </c>
      <c r="AH868" s="13">
        <f>IF($AX868="Cancelled","",IFERROR(IF(AB868="","",(AVERAGE(E868:F868)-AB868)-Variables!$B$14),""))</f>
        <v>0.625</v>
      </c>
      <c r="AJ868" s="47">
        <v>46080</v>
      </c>
      <c r="AK868" s="14">
        <f>IF($AX868="Cancelled","",IFERROR(IF(AJ868="","",IF(AND(AB868="",AF868=""),"",IF(AF868&gt;AB868,AF868+Variables!$B$15+Variables!$B$16+Variables!$B$17-AJ868,AB868+Variables!$B$16+Variables!$B$17-AJ868))),""))</f>
        <v>8</v>
      </c>
      <c r="AL868" s="48" t="s">
        <v>114</v>
      </c>
      <c r="AM868" s="13" t="s">
        <v>1526</v>
      </c>
      <c r="AN868" s="13" t="s">
        <v>1527</v>
      </c>
      <c r="AP868" s="31" t="e">
        <v>#N/A</v>
      </c>
      <c r="AR868" s="13" t="s">
        <v>1961</v>
      </c>
      <c r="AS868" s="31">
        <v>46093</v>
      </c>
      <c r="AU868" s="31">
        <v>46113</v>
      </c>
      <c r="AV868" s="13" t="s">
        <v>865</v>
      </c>
      <c r="AW868" s="31">
        <v>46127</v>
      </c>
      <c r="AX868" s="13" t="str">
        <f>IF(ISNUMBER(SEARCH("cancel",#REF!)),"Cancelled",IF(AND(AS868&lt;&gt;"",AU868&lt;&gt;"",AW868&lt;&gt;""),"Closed","Open"))</f>
        <v>Closed</v>
      </c>
      <c r="AY868" s="15" t="str">
        <f t="shared" si="39"/>
        <v>All dates received</v>
      </c>
      <c r="BD868" s="13">
        <f>IF($AX868="Cancelled","",IFERROR(IF(OR(AS868="",AJ868=""),"",(AJ868+Variables!$B$18-AS868)),""))</f>
        <v>2</v>
      </c>
      <c r="BE868" s="13">
        <f>IF($AX868="Cancelled","",IFERROR(IF(OR(AW868="",AS868=""),"",(AS868+Variables!$B$19)-AW868),""))</f>
        <v>-29</v>
      </c>
      <c r="BF868" s="44">
        <f>IF($AX868="Cancelled","",IFERROR(W868*INDEX(Variables!$B$7:$D$7,IFERROR(MATCH(IF($B868="Robusta","Robusta",(IF($B868="","Arabica",$B868))&amp;" - "&amp;(IF($C868="","Commercial",$C868))),Variables!$B$1:$D$1,0),1))*(BE868/365),""))</f>
        <v>-84.005702196609676</v>
      </c>
      <c r="BG868" s="44">
        <f>IF($AX868="Cancelled","",IFERROR((W868*INDEX(Variables!$B$7:$D$7,IFERROR(MATCH(IF($B868="Robusta","Robusta",(IF($B868="","Arabica",$B868))&amp;" - "&amp;(IF($C868="","Commercial",$C868))),Variables!$B$1:$D$1,0),1))*IFERROR(IF(AB868="","",(AVERAGE(E868:F868)-AB868)-Variables!$B$14),"")/365)+(L868/16.67*INDEX(Variables!$B$8:$D$8,IFERROR(MATCH(IF($B868="Robusta","Robusta",(IF($B868="","Arabica",$B868))&amp;" - "&amp;(IF($C868="","Commercial",$C868))),Variables!$B$1:$D$1,0),1))*IFERROR(IF(AB868="","",(AVERAGE(E868:F868)-AB868)-Variables!$B$14),""))+(W868*INDEX(Variables!$B$9:$D$9,IFERROR(MATCH(IF($B868="Robusta","Robusta",(IF($B868="","Arabica",$B868))&amp;" - "&amp;(IF($C868="","Commercial",$C868))),Variables!$B$1:$D$1,0),1))*IFERROR(IF(AB868="","",(AVERAGE(E868:F868)-AB868)-Variables!$B$14),"")/365),""))</f>
        <v>2.7088081426220998</v>
      </c>
      <c r="BH868" s="44">
        <f>IF($AX868="Cancelled","",IFERROR((W868*INDEX(Variables!$B$7:$D$7,IFERROR(MATCH(IF($B868="Robusta","Robusta",(IF($B868="","Arabica",$B868))&amp;" - "&amp;(IF($C868="","Commercial",$C868))),Variables!$B$1:$D$1,0),1))*AK868/365)+(L868/16.67*INDEX(Variables!$B$8:$D$8,IFERROR(MATCH(IF($B868="Robusta","Robusta",(IF($B868="","Arabica",$B868))&amp;" - "&amp;(IF($C868="","Commercial",$C868))),Variables!$B$1:$D$1,0),1))*AK868)+(W868*INDEX(Variables!$B$9:$D$9,IFERROR(MATCH(IF($B868="Robusta","Robusta",(IF($B868="","Arabica",$B868))&amp;" - "&amp;(IF($C868="","Commercial",$C868))),Variables!$B$1:$D$1,0),1))*AK868/365),""))</f>
        <v>34.67274422556288</v>
      </c>
      <c r="BI868" s="44">
        <f>IF($AX868="Cancelled","",IFERROR((W868*INDEX(Variables!$B$7:$D$7,IFERROR(MATCH(IF($B868="Robusta","Robusta",(IF($B868="","Arabica",$B868))&amp;" - "&amp;(IF($C868="","Commercial",$C868))),Variables!$B$1:$D$1,0),1))*BD868/365)+(L868/16.67*INDEX(Variables!$B$8:$D$8,IFERROR(MATCH(IF($B868="Robusta","Robusta",(IF($B868="","Arabica",$B868))&amp;" - "&amp;(IF($C868="","Commercial",$C868))),Variables!$B$1:$D$1,0),1))*BD868)+(W868*INDEX(Variables!$B$9:$D$9,IFERROR(MATCH(IF($B868="Robusta","Robusta",(IF($B868="","Arabica",$B868))&amp;" - "&amp;(IF($C868="","Commercial",$C868))),Variables!$B$1:$D$1,0),1))*BD868/365),""))</f>
        <v>8.66818605639072</v>
      </c>
      <c r="BJ868" s="44">
        <f t="shared" si="41"/>
        <v>-12</v>
      </c>
      <c r="BK868" s="44">
        <f>IF($AX868="Cancelled","",IFERROR(IF(BJ868="","",(W868*INDEX(Variables!$B$7:$D$7,IFERROR(MATCH(IF($B868="Robusta","Robusta",(IF($B868="","Arabica",$B868))&amp;" - "&amp;(IF($C868="","Commercial",$C868))),Variables!$B$1:$D$1,0),1))*(BJ868/365))+(W868*INDEX(Variables!$B$9:$D$9,IFERROR(MATCH(IF($B868="Robusta","Robusta",(IF($B868="","Arabica",$B868))&amp;" - "&amp;(IF($C868="","Commercial",$C868))),Variables!$B$1:$D$1,0),1))*(BJ868/365))+(INDEX(Variables!$B$8:$D$8,IFERROR(MATCH(IF($B868="Robusta","Robusta",(IF($B868="","Arabica",$B868))&amp;" - "&amp;(IF($C868="","Commercial",$C868))),Variables!$B$1:$D$1,0),1))*L868/16.67)),""))</f>
        <v>-33.809116338344317</v>
      </c>
    </row>
    <row r="869" spans="1:63">
      <c r="A869" s="13" t="s">
        <v>103</v>
      </c>
      <c r="B869" s="13" t="s">
        <v>104</v>
      </c>
      <c r="C869" s="13" t="s">
        <v>292</v>
      </c>
      <c r="D869" s="31">
        <v>46070</v>
      </c>
      <c r="E869" s="31">
        <v>46054</v>
      </c>
      <c r="F869" s="31">
        <v>46081</v>
      </c>
      <c r="G869" s="13">
        <v>3787300</v>
      </c>
      <c r="J869" s="13" t="s">
        <v>294</v>
      </c>
      <c r="K869" s="13" t="s">
        <v>2281</v>
      </c>
      <c r="L869" s="13">
        <v>20</v>
      </c>
      <c r="M869" s="13">
        <v>0</v>
      </c>
      <c r="N869" s="13" t="s">
        <v>2282</v>
      </c>
      <c r="O869" s="13" t="s">
        <v>304</v>
      </c>
      <c r="P869" s="13">
        <v>10010</v>
      </c>
      <c r="R869" s="13" t="s">
        <v>384</v>
      </c>
      <c r="S869" s="13" t="s">
        <v>299</v>
      </c>
      <c r="T869" s="13" t="s">
        <v>305</v>
      </c>
      <c r="U869" s="13" t="s">
        <v>125</v>
      </c>
      <c r="V869" s="13">
        <v>184</v>
      </c>
      <c r="W869" s="44">
        <f>IF($AX869="Cancelled","",IFERROR(((V869+INDEX(Variables!$B$6:$D$6,IFERROR(MATCH(IF($B869="Robusta","Robusta",(IF($B869="","Arabica",$B869))&amp;" - "&amp;(IF($C869="","Commercial",$C869))),Variables!$B$1:$D$1,0),1)))*22.0462)*(L869/16.67),""))</f>
        <v>12558.531205758845</v>
      </c>
      <c r="X869" s="55" t="s">
        <v>39</v>
      </c>
      <c r="Y869" s="13" t="str">
        <f>IF($AX869="Cancelled","",IF(X869="","",IFERROR(IF(INDEX(Variables!$B$38:$B$47,MATCH(X869,Variables!$A$38:$A$47,0))="Yes","Yes","No"),"No")))</f>
        <v>No</v>
      </c>
      <c r="Z869" s="31"/>
      <c r="AB869" s="31">
        <v>46036.875</v>
      </c>
      <c r="AC869" s="13" t="str">
        <f t="shared" si="40"/>
        <v>Approved</v>
      </c>
      <c r="AF869" s="71">
        <v>46073</v>
      </c>
      <c r="AG869" s="36">
        <f>IF($AX869="Cancelled","",IFERROR(IF(F869="","",F869-Variables!$B$13),""))</f>
        <v>46066</v>
      </c>
      <c r="AH869" s="13">
        <f>IF($AX869="Cancelled","",IFERROR(IF(AB869="","",(AVERAGE(E869:F869)-AB869)-Variables!$B$14),""))</f>
        <v>0.625</v>
      </c>
      <c r="AJ869" s="47">
        <v>46080</v>
      </c>
      <c r="AK869" s="14">
        <f>IF($AX869="Cancelled","",IFERROR(IF(AJ869="","",IF(AND(AB869="",AF869=""),"",IF(AF869&gt;AB869,AF869+Variables!$B$15+Variables!$B$16+Variables!$B$17-AJ869,AB869+Variables!$B$16+Variables!$B$17-AJ869))),""))</f>
        <v>8</v>
      </c>
      <c r="AL869" s="48" t="s">
        <v>114</v>
      </c>
      <c r="AM869" s="13" t="s">
        <v>1526</v>
      </c>
      <c r="AN869" s="13" t="s">
        <v>1527</v>
      </c>
      <c r="AP869" s="31" t="e">
        <v>#N/A</v>
      </c>
      <c r="AR869" s="13" t="s">
        <v>1961</v>
      </c>
      <c r="AS869" s="31">
        <v>46093</v>
      </c>
      <c r="AU869" s="31">
        <v>46113</v>
      </c>
      <c r="AV869" s="13" t="s">
        <v>865</v>
      </c>
      <c r="AW869" s="31">
        <v>46127</v>
      </c>
      <c r="AX869" s="13" t="str">
        <f>IF(ISNUMBER(SEARCH("cancel",#REF!)),"Cancelled",IF(AND(AS869&lt;&gt;"",AU869&lt;&gt;"",AW869&lt;&gt;""),"Closed","Open"))</f>
        <v>Closed</v>
      </c>
      <c r="AY869" s="15" t="str">
        <f t="shared" si="39"/>
        <v>All dates received</v>
      </c>
      <c r="BD869" s="13">
        <f>IF($AX869="Cancelled","",IFERROR(IF(OR(AS869="",AJ869=""),"",(AJ869+Variables!$B$18-AS869)),""))</f>
        <v>2</v>
      </c>
      <c r="BE869" s="13">
        <f>IF($AX869="Cancelled","",IFERROR(IF(OR(AW869="",AS869=""),"",(AS869+Variables!$B$19)-AW869),""))</f>
        <v>-29</v>
      </c>
      <c r="BF869" s="44">
        <f>IF($AX869="Cancelled","",IFERROR(W869*INDEX(Variables!$B$7:$D$7,IFERROR(MATCH(IF($B869="Robusta","Robusta",(IF($B869="","Arabica",$B869))&amp;" - "&amp;(IF($C869="","Commercial",$C869))),Variables!$B$1:$D$1,0),1))*(BE869/365),""))</f>
        <v>-64.340410702913729</v>
      </c>
      <c r="BG869" s="44">
        <f>IF($AX869="Cancelled","",IFERROR((W869*INDEX(Variables!$B$7:$D$7,IFERROR(MATCH(IF($B869="Robusta","Robusta",(IF($B869="","Arabica",$B869))&amp;" - "&amp;(IF($C869="","Commercial",$C869))),Variables!$B$1:$D$1,0),1))*IFERROR(IF(AB869="","",(AVERAGE(E869:F869)-AB869)-Variables!$B$14),"")/365)+(L869/16.67*INDEX(Variables!$B$8:$D$8,IFERROR(MATCH(IF($B869="Robusta","Robusta",(IF($B869="","Arabica",$B869))&amp;" - "&amp;(IF($C869="","Commercial",$C869))),Variables!$B$1:$D$1,0),1))*IFERROR(IF(AB869="","",(AVERAGE(E869:F869)-AB869)-Variables!$B$14),""))+(W869*INDEX(Variables!$B$9:$D$9,IFERROR(MATCH(IF($B869="Robusta","Robusta",(IF($B869="","Arabica",$B869))&amp;" - "&amp;(IF($C869="","Commercial",$C869))),Variables!$B$1:$D$1,0),1))*IFERROR(IF(AB869="","",(AVERAGE(E869:F869)-AB869)-Variables!$B$14),"")/365),""))</f>
        <v>2.0295233354577573</v>
      </c>
      <c r="BH869" s="44">
        <f>IF($AX869="Cancelled","",IFERROR((W869*INDEX(Variables!$B$7:$D$7,IFERROR(MATCH(IF($B869="Robusta","Robusta",(IF($B869="","Arabica",$B869))&amp;" - "&amp;(IF($C869="","Commercial",$C869))),Variables!$B$1:$D$1,0),1))*AK869/365)+(L869/16.67*INDEX(Variables!$B$8:$D$8,IFERROR(MATCH(IF($B869="Robusta","Robusta",(IF($B869="","Arabica",$B869))&amp;" - "&amp;(IF($C869="","Commercial",$C869))),Variables!$B$1:$D$1,0),1))*AK869)+(W869*INDEX(Variables!$B$9:$D$9,IFERROR(MATCH(IF($B869="Robusta","Robusta",(IF($B869="","Arabica",$B869))&amp;" - "&amp;(IF($C869="","Commercial",$C869))),Variables!$B$1:$D$1,0),1))*AK869/365),""))</f>
        <v>25.977898693859295</v>
      </c>
      <c r="BI869" s="44">
        <f>IF($AX869="Cancelled","",IFERROR((W869*INDEX(Variables!$B$7:$D$7,IFERROR(MATCH(IF($B869="Robusta","Robusta",(IF($B869="","Arabica",$B869))&amp;" - "&amp;(IF($C869="","Commercial",$C869))),Variables!$B$1:$D$1,0),1))*BD869/365)+(L869/16.67*INDEX(Variables!$B$8:$D$8,IFERROR(MATCH(IF($B869="Robusta","Robusta",(IF($B869="","Arabica",$B869))&amp;" - "&amp;(IF($C869="","Commercial",$C869))),Variables!$B$1:$D$1,0),1))*BD869)+(W869*INDEX(Variables!$B$9:$D$9,IFERROR(MATCH(IF($B869="Robusta","Robusta",(IF($B869="","Arabica",$B869))&amp;" - "&amp;(IF($C869="","Commercial",$C869))),Variables!$B$1:$D$1,0),1))*BD869/365),""))</f>
        <v>6.4944746734648238</v>
      </c>
      <c r="BJ869" s="44">
        <f t="shared" si="41"/>
        <v>-12</v>
      </c>
      <c r="BK869" s="44">
        <f>IF($AX869="Cancelled","",IFERROR(IF(BJ869="","",(W869*INDEX(Variables!$B$7:$D$7,IFERROR(MATCH(IF($B869="Robusta","Robusta",(IF($B869="","Arabica",$B869))&amp;" - "&amp;(IF($C869="","Commercial",$C869))),Variables!$B$1:$D$1,0),1))*(BJ869/365))+(W869*INDEX(Variables!$B$9:$D$9,IFERROR(MATCH(IF($B869="Robusta","Robusta",(IF($B869="","Arabica",$B869))&amp;" - "&amp;(IF($C869="","Commercial",$C869))),Variables!$B$1:$D$1,0),1))*(BJ869/365))+(INDEX(Variables!$B$8:$D$8,IFERROR(MATCH(IF($B869="Robusta","Robusta",(IF($B869="","Arabica",$B869))&amp;" - "&amp;(IF($C869="","Commercial",$C869))),Variables!$B$1:$D$1,0),1))*L869/16.67)),""))</f>
        <v>-25.966848040788943</v>
      </c>
    </row>
    <row r="870" spans="1:63">
      <c r="A870" s="13" t="s">
        <v>103</v>
      </c>
      <c r="B870" s="13" t="s">
        <v>104</v>
      </c>
      <c r="C870" s="13" t="s">
        <v>292</v>
      </c>
      <c r="D870" s="31">
        <v>46070</v>
      </c>
      <c r="E870" s="31">
        <v>46054</v>
      </c>
      <c r="F870" s="31">
        <v>46081</v>
      </c>
      <c r="G870" s="13">
        <v>3787301</v>
      </c>
      <c r="J870" s="13" t="s">
        <v>1356</v>
      </c>
      <c r="K870" s="13" t="s">
        <v>2283</v>
      </c>
      <c r="L870" s="13">
        <v>20</v>
      </c>
      <c r="M870" s="13">
        <v>0</v>
      </c>
      <c r="N870" s="13" t="s">
        <v>2284</v>
      </c>
      <c r="O870" s="13" t="s">
        <v>304</v>
      </c>
      <c r="P870" s="13">
        <v>10010</v>
      </c>
      <c r="R870" s="13" t="s">
        <v>239</v>
      </c>
      <c r="S870" s="13" t="s">
        <v>595</v>
      </c>
      <c r="T870" s="13" t="s">
        <v>596</v>
      </c>
      <c r="U870" s="13" t="s">
        <v>125</v>
      </c>
      <c r="V870" s="13">
        <v>188</v>
      </c>
      <c r="W870" s="44">
        <f>IF($AX870="Cancelled","",IFERROR(((V870+INDEX(Variables!$B$6:$D$6,IFERROR(MATCH(IF($B870="Robusta","Robusta",(IF($B870="","Arabica",$B870))&amp;" - "&amp;(IF($C870="","Commercial",$C870))),Variables!$B$1:$D$1,0),1)))*22.0462)*(L870/16.67),""))</f>
        <v>12664.331805638871</v>
      </c>
      <c r="X870" s="55" t="s">
        <v>39</v>
      </c>
      <c r="Y870" s="13" t="str">
        <f>IF($AX870="Cancelled","",IF(X870="","",IFERROR(IF(INDEX(Variables!$B$38:$B$47,MATCH(X870,Variables!$A$38:$A$47,0))="Yes","Yes","No"),"No")))</f>
        <v>No</v>
      </c>
      <c r="Z870" s="31"/>
      <c r="AB870" s="31">
        <v>46022.875</v>
      </c>
      <c r="AC870" s="13" t="str">
        <f t="shared" si="40"/>
        <v>Approved</v>
      </c>
      <c r="AF870" s="71">
        <v>46098</v>
      </c>
      <c r="AG870" s="36">
        <f>IF($AX870="Cancelled","",IFERROR(IF(F870="","",F870-Variables!$B$13),""))</f>
        <v>46066</v>
      </c>
      <c r="AH870" s="13">
        <f>IF($AX870="Cancelled","",IFERROR(IF(AB870="","",(AVERAGE(E870:F870)-AB870)-Variables!$B$14),""))</f>
        <v>14.625</v>
      </c>
      <c r="AJ870" s="47">
        <v>46105</v>
      </c>
      <c r="AK870" s="14">
        <f>IF($AX870="Cancelled","",IFERROR(IF(AJ870="","",IF(AND(AB870="",AF870=""),"",IF(AF870&gt;AB870,AF870+Variables!$B$15+Variables!$B$16+Variables!$B$17-AJ870,AB870+Variables!$B$16+Variables!$B$17-AJ870))),""))</f>
        <v>8</v>
      </c>
      <c r="AL870" s="48" t="s">
        <v>114</v>
      </c>
      <c r="AM870" s="13" t="s">
        <v>1526</v>
      </c>
      <c r="AN870" s="13" t="s">
        <v>1832</v>
      </c>
      <c r="AP870" s="31" t="e">
        <v>#N/A</v>
      </c>
      <c r="AR870" s="13" t="s">
        <v>1833</v>
      </c>
      <c r="AS870" s="31">
        <v>46117</v>
      </c>
      <c r="AU870" s="31">
        <v>46128</v>
      </c>
      <c r="AV870" s="13" t="s">
        <v>865</v>
      </c>
      <c r="AW870" s="31">
        <v>46142</v>
      </c>
      <c r="AX870" s="13" t="str">
        <f>IF(ISNUMBER(SEARCH("cancel",#REF!)),"Cancelled",IF(AND(AS870&lt;&gt;"",AU870&lt;&gt;"",AW870&lt;&gt;""),"Closed","Open"))</f>
        <v>Closed</v>
      </c>
      <c r="AY870" s="15" t="str">
        <f t="shared" si="39"/>
        <v>All dates received</v>
      </c>
      <c r="BD870" s="13">
        <f>IF($AX870="Cancelled","",IFERROR(IF(OR(AS870="",AJ870=""),"",(AJ870+Variables!$B$18-AS870)),""))</f>
        <v>3</v>
      </c>
      <c r="BE870" s="13">
        <f>IF($AX870="Cancelled","",IFERROR(IF(OR(AW870="",AS870=""),"",(AS870+Variables!$B$19)-AW870),""))</f>
        <v>-20</v>
      </c>
      <c r="BF870" s="44">
        <f>IF($AX870="Cancelled","",IFERROR(W870*INDEX(Variables!$B$7:$D$7,IFERROR(MATCH(IF($B870="Robusta","Robusta",(IF($B870="","Arabica",$B870))&amp;" - "&amp;(IF($C870="","Commercial",$C870))),Variables!$B$1:$D$1,0),1))*(BE870/365),""))</f>
        <v>-44.746519252469412</v>
      </c>
      <c r="BG870" s="44">
        <f>IF($AX870="Cancelled","",IFERROR((W870*INDEX(Variables!$B$7:$D$7,IFERROR(MATCH(IF($B870="Robusta","Robusta",(IF($B870="","Arabica",$B870))&amp;" - "&amp;(IF($C870="","Commercial",$C870))),Variables!$B$1:$D$1,0),1))*IFERROR(IF(AB870="","",(AVERAGE(E870:F870)-AB870)-Variables!$B$14),"")/365)+(L870/16.67*INDEX(Variables!$B$8:$D$8,IFERROR(MATCH(IF($B870="Robusta","Robusta",(IF($B870="","Arabica",$B870))&amp;" - "&amp;(IF($C870="","Commercial",$C870))),Variables!$B$1:$D$1,0),1))*IFERROR(IF(AB870="","",(AVERAGE(E870:F870)-AB870)-Variables!$B$14),""))+(W870*INDEX(Variables!$B$9:$D$9,IFERROR(MATCH(IF($B870="Robusta","Robusta",(IF($B870="","Arabica",$B870))&amp;" - "&amp;(IF($C870="","Commercial",$C870))),Variables!$B$1:$D$1,0),1))*IFERROR(IF(AB870="","",(AVERAGE(E870:F870)-AB870)-Variables!$B$14),"")/365),""))</f>
        <v>47.767727650804297</v>
      </c>
      <c r="BH870" s="44">
        <f>IF($AX870="Cancelled","",IFERROR((W870*INDEX(Variables!$B$7:$D$7,IFERROR(MATCH(IF($B870="Robusta","Robusta",(IF($B870="","Arabica",$B870))&amp;" - "&amp;(IF($C870="","Commercial",$C870))),Variables!$B$1:$D$1,0),1))*AK870/365)+(L870/16.67*INDEX(Variables!$B$8:$D$8,IFERROR(MATCH(IF($B870="Robusta","Robusta",(IF($B870="","Arabica",$B870))&amp;" - "&amp;(IF($C870="","Commercial",$C870))),Variables!$B$1:$D$1,0),1))*AK870)+(W870*INDEX(Variables!$B$9:$D$9,IFERROR(MATCH(IF($B870="Robusta","Robusta",(IF($B870="","Arabica",$B870))&amp;" - "&amp;(IF($C870="","Commercial",$C870))),Variables!$B$1:$D$1,0),1))*AK870/365),""))</f>
        <v>26.129355296166452</v>
      </c>
      <c r="BI870" s="44">
        <f>IF($AX870="Cancelled","",IFERROR((W870*INDEX(Variables!$B$7:$D$7,IFERROR(MATCH(IF($B870="Robusta","Robusta",(IF($B870="","Arabica",$B870))&amp;" - "&amp;(IF($C870="","Commercial",$C870))),Variables!$B$1:$D$1,0),1))*BD870/365)+(L870/16.67*INDEX(Variables!$B$8:$D$8,IFERROR(MATCH(IF($B870="Robusta","Robusta",(IF($B870="","Arabica",$B870))&amp;" - "&amp;(IF($C870="","Commercial",$C870))),Variables!$B$1:$D$1,0),1))*BD870)+(W870*INDEX(Variables!$B$9:$D$9,IFERROR(MATCH(IF($B870="Robusta","Robusta",(IF($B870="","Arabica",$B870))&amp;" - "&amp;(IF($C870="","Commercial",$C870))),Variables!$B$1:$D$1,0),1))*BD870/365),""))</f>
        <v>9.7985082360624194</v>
      </c>
      <c r="BJ870" s="44">
        <f t="shared" si="41"/>
        <v>-36</v>
      </c>
      <c r="BK870" s="44">
        <f>IF($AX870="Cancelled","",IFERROR(IF(BJ870="","",(W870*INDEX(Variables!$B$7:$D$7,IFERROR(MATCH(IF($B870="Robusta","Robusta",(IF($B870="","Arabica",$B870))&amp;" - "&amp;(IF($C870="","Commercial",$C870))),Variables!$B$1:$D$1,0),1))*(BJ870/365))+(W870*INDEX(Variables!$B$9:$D$9,IFERROR(MATCH(IF($B870="Robusta","Robusta",(IF($B870="","Arabica",$B870))&amp;" - "&amp;(IF($C870="","Commercial",$C870))),Variables!$B$1:$D$1,0),1))*(BJ870/365))+(INDEX(Variables!$B$8:$D$8,IFERROR(MATCH(IF($B870="Robusta","Robusta",(IF($B870="","Arabica",$B870))&amp;" - "&amp;(IF($C870="","Commercial",$C870))),Variables!$B$1:$D$1,0),1))*L870/16.67)),""))</f>
        <v>-80.58209883274904</v>
      </c>
    </row>
    <row r="871" spans="1:63">
      <c r="A871" s="13" t="s">
        <v>103</v>
      </c>
      <c r="B871" s="13" t="s">
        <v>104</v>
      </c>
      <c r="C871" s="13" t="s">
        <v>292</v>
      </c>
      <c r="D871" s="31">
        <v>46071</v>
      </c>
      <c r="E871" s="31">
        <v>46113</v>
      </c>
      <c r="F871" s="31">
        <v>46142</v>
      </c>
      <c r="G871" s="13">
        <v>3787303</v>
      </c>
      <c r="J871" s="13" t="s">
        <v>506</v>
      </c>
      <c r="K871" s="13" t="s">
        <v>2285</v>
      </c>
      <c r="L871" s="13">
        <v>8</v>
      </c>
      <c r="M871" s="13">
        <v>1</v>
      </c>
      <c r="N871" s="13" t="s">
        <v>2286</v>
      </c>
      <c r="O871" s="13" t="s">
        <v>771</v>
      </c>
      <c r="P871" s="13">
        <v>10010</v>
      </c>
      <c r="R871" s="13" t="s">
        <v>671</v>
      </c>
      <c r="S871" s="13" t="s">
        <v>509</v>
      </c>
      <c r="T871" s="13" t="s">
        <v>329</v>
      </c>
      <c r="U871" s="13" t="s">
        <v>330</v>
      </c>
      <c r="V871" s="23">
        <v>226</v>
      </c>
      <c r="W871" s="44">
        <f>IF($AX871="Cancelled","",IFERROR(((V871+INDEX(Variables!$B$6:$D$6,IFERROR(MATCH(IF($B871="Robusta","Robusta",(IF($B871="","Arabica",$B871))&amp;" - "&amp;(IF($C871="","Commercial",$C871))),Variables!$B$1:$D$1,0),1)))*22.0462)*(L871/16.67),""))</f>
        <v>5467.7750017996386</v>
      </c>
      <c r="Y871" s="13" t="str">
        <f>IF($AX871="Cancelled","",IF(X871="","",IFERROR(IF(INDEX(Variables!$B$38:$B$47,MATCH(X871,Variables!$A$38:$A$47,0))="Yes","Yes","No"),"No")))</f>
        <v/>
      </c>
      <c r="Z871" s="31"/>
      <c r="AC871" s="13" t="str">
        <f t="shared" si="40"/>
        <v/>
      </c>
      <c r="AF871" s="71">
        <v>46099</v>
      </c>
      <c r="AG871" s="37">
        <f>IF($AX871="Cancelled","",IFERROR(IF(F871="","",F871-Variables!$B$13),""))</f>
        <v>46127</v>
      </c>
      <c r="AH871" s="13" t="str">
        <f>IF($AX871="Cancelled","",IFERROR(IF(AB871="","",(AVERAGE(E871:F871)-AB871)-Variables!$B$14),""))</f>
        <v/>
      </c>
      <c r="AJ871" s="47">
        <v>46136</v>
      </c>
      <c r="AK871" s="14">
        <f>IF($AX871="Cancelled","",IFERROR(IF(AJ871="","",IF(AND(AB871="",AF871=""),"",IF(AF871&gt;AB871,AF871+Variables!$B$15+Variables!$B$16+Variables!$B$17-AJ871,AB871+Variables!$B$16+Variables!$B$17-AJ871))),""))</f>
        <v>-22</v>
      </c>
      <c r="AL871" s="48" t="s">
        <v>114</v>
      </c>
      <c r="AM871" s="13" t="s">
        <v>115</v>
      </c>
      <c r="AN871" s="13" t="s">
        <v>2287</v>
      </c>
      <c r="AP871" s="39">
        <v>46160</v>
      </c>
      <c r="AR871" s="13">
        <v>269584125</v>
      </c>
      <c r="AS871" s="31">
        <v>46160</v>
      </c>
      <c r="AU871" s="31">
        <v>46174</v>
      </c>
      <c r="AV871" s="13" t="e">
        <v>#N/A</v>
      </c>
      <c r="AW871" s="31">
        <v>46174</v>
      </c>
      <c r="AX871" s="13" t="str">
        <f>IF(ISNUMBER(SEARCH("cancel",#REF!)),"Cancelled",IF(AND(AS871&lt;&gt;"",AU871&lt;&gt;"",AW871&lt;&gt;""),"Closed","Open"))</f>
        <v>Closed</v>
      </c>
      <c r="AY871" s="15" t="str">
        <f t="shared" si="39"/>
        <v>All dates received</v>
      </c>
      <c r="BD871" s="13">
        <f>IF($AX871="Cancelled","",IFERROR(IF(OR(AS871="",AJ871=""),"",(AJ871+Variables!$B$18-AS871)),""))</f>
        <v>-9</v>
      </c>
      <c r="BE871" s="13">
        <f>IF($AX871="Cancelled","",IFERROR(IF(OR(AW871="",AS871=""),"",(AS871+Variables!$B$19)-AW871),""))</f>
        <v>-9</v>
      </c>
      <c r="BF871" s="44">
        <f>IF($AX871="Cancelled","",IFERROR(W871*INDEX(Variables!$B$7:$D$7,IFERROR(MATCH(IF($B871="Robusta","Robusta",(IF($B871="","Arabica",$B871))&amp;" - "&amp;(IF($C871="","Commercial",$C871))),Variables!$B$1:$D$1,0),1))*(BE871/365),""))</f>
        <v>-8.6936094547654843</v>
      </c>
      <c r="BG871" s="44" t="str">
        <f>IF($AX871="Cancelled","",IFERROR((W871*INDEX(Variables!$B$7:$D$7,IFERROR(MATCH(IF($B871="Robusta","Robusta",(IF($B871="","Arabica",$B871))&amp;" - "&amp;(IF($C871="","Commercial",$C871))),Variables!$B$1:$D$1,0),1))*IFERROR(IF(AB871="","",(AVERAGE(E871:F871)-AB871)-Variables!$B$14),"")/365)+(L871/16.67*INDEX(Variables!$B$8:$D$8,IFERROR(MATCH(IF($B871="Robusta","Robusta",(IF($B871="","Arabica",$B871))&amp;" - "&amp;(IF($C871="","Commercial",$C871))),Variables!$B$1:$D$1,0),1))*IFERROR(IF(AB871="","",(AVERAGE(E871:F871)-AB871)-Variables!$B$14),""))+(W871*INDEX(Variables!$B$9:$D$9,IFERROR(MATCH(IF($B871="Robusta","Robusta",(IF($B871="","Arabica",$B871))&amp;" - "&amp;(IF($C871="","Commercial",$C871))),Variables!$B$1:$D$1,0),1))*IFERROR(IF(AB871="","",(AVERAGE(E871:F871)-AB871)-Variables!$B$14),"")/365),""))</f>
        <v/>
      </c>
      <c r="BH871" s="44">
        <f>IF($AX871="Cancelled","",IFERROR((W871*INDEX(Variables!$B$7:$D$7,IFERROR(MATCH(IF($B871="Robusta","Robusta",(IF($B871="","Arabica",$B871))&amp;" - "&amp;(IF($C871="","Commercial",$C871))),Variables!$B$1:$D$1,0),1))*AK871/365)+(L871/16.67*INDEX(Variables!$B$8:$D$8,IFERROR(MATCH(IF($B871="Robusta","Robusta",(IF($B871="","Arabica",$B871))&amp;" - "&amp;(IF($C871="","Commercial",$C871))),Variables!$B$1:$D$1,0),1))*AK871)+(W871*INDEX(Variables!$B$9:$D$9,IFERROR(MATCH(IF($B871="Robusta","Robusta",(IF($B871="","Arabica",$B871))&amp;" - "&amp;(IF($C871="","Commercial",$C871))),Variables!$B$1:$D$1,0),1))*AK871/365),""))</f>
        <v>-30.325012319892867</v>
      </c>
      <c r="BI871" s="44">
        <f>IF($AX871="Cancelled","",IFERROR((W871*INDEX(Variables!$B$7:$D$7,IFERROR(MATCH(IF($B871="Robusta","Robusta",(IF($B871="","Arabica",$B871))&amp;" - "&amp;(IF($C871="","Commercial",$C871))),Variables!$B$1:$D$1,0),1))*BD871/365)+(L871/16.67*INDEX(Variables!$B$8:$D$8,IFERROR(MATCH(IF($B871="Robusta","Robusta",(IF($B871="","Arabica",$B871))&amp;" - "&amp;(IF($C871="","Commercial",$C871))),Variables!$B$1:$D$1,0),1))*BD871)+(W871*INDEX(Variables!$B$9:$D$9,IFERROR(MATCH(IF($B871="Robusta","Robusta",(IF($B871="","Arabica",$B871))&amp;" - "&amp;(IF($C871="","Commercial",$C871))),Variables!$B$1:$D$1,0),1))*BD871/365),""))</f>
        <v>-12.405686858137988</v>
      </c>
      <c r="BJ871" s="44">
        <f t="shared" si="41"/>
        <v>-18</v>
      </c>
      <c r="BK871" s="44">
        <f>IF($AX871="Cancelled","",IFERROR(IF(BJ871="","",(W871*INDEX(Variables!$B$7:$D$7,IFERROR(MATCH(IF($B871="Robusta","Robusta",(IF($B871="","Arabica",$B871))&amp;" - "&amp;(IF($C871="","Commercial",$C871))),Variables!$B$1:$D$1,0),1))*(BJ871/365))+(W871*INDEX(Variables!$B$9:$D$9,IFERROR(MATCH(IF($B871="Robusta","Robusta",(IF($B871="","Arabica",$B871))&amp;" - "&amp;(IF($C871="","Commercial",$C871))),Variables!$B$1:$D$1,0),1))*(BJ871/365))+(INDEX(Variables!$B$8:$D$8,IFERROR(MATCH(IF($B871="Robusta","Robusta",(IF($B871="","Arabica",$B871))&amp;" - "&amp;(IF($C871="","Commercial",$C871))),Variables!$B$1:$D$1,0),1))*L871/16.67)),""))</f>
        <v>-17.211373716275979</v>
      </c>
    </row>
    <row r="872" spans="1:63">
      <c r="A872" s="13" t="s">
        <v>103</v>
      </c>
      <c r="B872" s="13" t="s">
        <v>104</v>
      </c>
      <c r="C872" s="13" t="s">
        <v>105</v>
      </c>
      <c r="D872" s="31">
        <v>46071</v>
      </c>
      <c r="E872" s="31">
        <v>46174</v>
      </c>
      <c r="F872" s="31">
        <v>46203</v>
      </c>
      <c r="G872" s="13">
        <v>3787304</v>
      </c>
      <c r="J872" s="13" t="s">
        <v>415</v>
      </c>
      <c r="K872" s="13">
        <v>5572</v>
      </c>
      <c r="L872" s="13">
        <v>320</v>
      </c>
      <c r="M872" s="13">
        <v>1</v>
      </c>
      <c r="N872" s="13" t="s">
        <v>2288</v>
      </c>
      <c r="O872" s="13" t="s">
        <v>261</v>
      </c>
      <c r="P872" s="13">
        <v>10060</v>
      </c>
      <c r="R872" s="13" t="s">
        <v>110</v>
      </c>
      <c r="S872" s="13" t="s">
        <v>372</v>
      </c>
      <c r="T872" s="13" t="s">
        <v>373</v>
      </c>
      <c r="U872" s="13" t="s">
        <v>125</v>
      </c>
      <c r="V872" s="23">
        <v>38</v>
      </c>
      <c r="W872" s="44">
        <f>IF($AX872="Cancelled","",IFERROR(((V872+INDEX(Variables!$B$6:$D$6,IFERROR(MATCH(IF($B872="Robusta","Robusta",(IF($B872="","Arabica",$B872))&amp;" - "&amp;(IF($C872="","Commercial",$C872))),Variables!$B$1:$D$1,0),1)))*22.0462)*(L872/16.67),""))</f>
        <v>139148.94896220753</v>
      </c>
      <c r="X872" s="55" t="s">
        <v>37</v>
      </c>
      <c r="Y872" s="13" t="str">
        <f>IF($AX872="Cancelled","",IF(X872="","",IFERROR(IF(INDEX(Variables!$B$38:$B$47,MATCH(X872,Variables!$A$38:$A$47,0))="Yes","Yes","No"),"No")))</f>
        <v>Yes</v>
      </c>
      <c r="Z872" s="58">
        <v>46141</v>
      </c>
      <c r="AB872" s="31">
        <v>46147</v>
      </c>
      <c r="AC872" s="13" t="str">
        <f t="shared" si="40"/>
        <v>Approved</v>
      </c>
      <c r="AF872" s="71">
        <v>46195</v>
      </c>
      <c r="AG872" s="37">
        <f>IF($AX872="Cancelled","",IFERROR(IF(F872="","",F872-Variables!$B$13),""))</f>
        <v>46188</v>
      </c>
      <c r="AH872" s="13">
        <f>IF($AX872="Cancelled","",IFERROR(IF(AB872="","",(AVERAGE(E872:F872)-AB872)-Variables!$B$14),""))</f>
        <v>11.5</v>
      </c>
      <c r="AJ872" s="47">
        <v>46200</v>
      </c>
      <c r="AK872" s="14">
        <f>IF($AX872="Cancelled","",IFERROR(IF(AJ872="","",IF(AND(AB872="",AF872=""),"",IF(AF872&gt;AB872,AF872+Variables!$B$15+Variables!$B$16+Variables!$B$17-AJ872,AB872+Variables!$B$16+Variables!$B$17-AJ872))),""))</f>
        <v>10</v>
      </c>
      <c r="AL872" s="48" t="s">
        <v>114</v>
      </c>
      <c r="AM872" s="13" t="s">
        <v>1526</v>
      </c>
      <c r="AN872" s="13" t="s">
        <v>2289</v>
      </c>
      <c r="AP872" s="31">
        <v>46219</v>
      </c>
      <c r="AR872" s="13">
        <v>935406</v>
      </c>
      <c r="AS872" s="31">
        <v>46219</v>
      </c>
      <c r="AU872" s="31">
        <v>46252</v>
      </c>
      <c r="AV872" s="13" t="s">
        <v>865</v>
      </c>
      <c r="AW872" s="39">
        <v>46252</v>
      </c>
      <c r="AX872" s="13" t="str">
        <f>IF(ISNUMBER(SEARCH("cancel",#REF!)),"Cancelled",IF(AND(AS872&lt;&gt;"",AU872&lt;&gt;"",AW872&lt;&gt;""),"Closed","Open"))</f>
        <v>Closed</v>
      </c>
      <c r="AY872" s="15" t="str">
        <f t="shared" si="39"/>
        <v>All dates received</v>
      </c>
      <c r="AZ872" s="13" t="s">
        <v>3053</v>
      </c>
      <c r="BA872" s="13" t="s">
        <v>3048</v>
      </c>
      <c r="BB872" s="13" t="s">
        <v>3049</v>
      </c>
      <c r="BC872" s="13" t="s">
        <v>3290</v>
      </c>
      <c r="BD872" s="13">
        <f>IF($AX872="Cancelled","",IFERROR(IF(OR(AS872="",AJ872=""),"",(AJ872+Variables!$B$18-AS872)),""))</f>
        <v>-4</v>
      </c>
      <c r="BE872" s="13">
        <f>IF($AX872="Cancelled","",IFERROR(IF(OR(AW872="",AS872=""),"",(AS872+Variables!$B$19)-AW872),""))</f>
        <v>-28</v>
      </c>
      <c r="BF872" s="44">
        <f>IF($AX872="Cancelled","",IFERROR(W872*INDEX(Variables!$B$7:$D$7,IFERROR(MATCH(IF($B872="Robusta","Robusta",(IF($B872="","Arabica",$B872))&amp;" - "&amp;(IF($C872="","Commercial",$C872))),Variables!$B$1:$D$1,0),1))*(BE872/365),""))</f>
        <v>-688.31136983447686</v>
      </c>
      <c r="BG872" s="44">
        <f>IF($AX872="Cancelled","",IFERROR((W872*INDEX(Variables!$B$7:$D$7,IFERROR(MATCH(IF($B872="Robusta","Robusta",(IF($B872="","Arabica",$B872))&amp;" - "&amp;(IF($C872="","Commercial",$C872))),Variables!$B$1:$D$1,0),1))*IFERROR(IF(AB872="","",(AVERAGE(E872:F872)-AB872)-Variables!$B$14),"")/365)+(L872/16.67*INDEX(Variables!$B$8:$D$8,IFERROR(MATCH(IF($B872="Robusta","Robusta",(IF($B872="","Arabica",$B872))&amp;" - "&amp;(IF($C872="","Commercial",$C872))),Variables!$B$1:$D$1,0),1))*IFERROR(IF(AB872="","",(AVERAGE(E872:F872)-AB872)-Variables!$B$14),""))+(W872*INDEX(Variables!$B$9:$D$9,IFERROR(MATCH(IF($B872="Robusta","Robusta",(IF($B872="","Arabica",$B872))&amp;" - "&amp;(IF($C872="","Commercial",$C872))),Variables!$B$1:$D$1,0),1))*IFERROR(IF(AB872="","",(AVERAGE(E872:F872)-AB872)-Variables!$B$14),"")/365),""))</f>
        <v>470.34385232190715</v>
      </c>
      <c r="BH872" s="44">
        <f>IF($AX872="Cancelled","",IFERROR((W872*INDEX(Variables!$B$7:$D$7,IFERROR(MATCH(IF($B872="Robusta","Robusta",(IF($B872="","Arabica",$B872))&amp;" - "&amp;(IF($C872="","Commercial",$C872))),Variables!$B$1:$D$1,0),1))*AK872/365)+(L872/16.67*INDEX(Variables!$B$8:$D$8,IFERROR(MATCH(IF($B872="Robusta","Robusta",(IF($B872="","Arabica",$B872))&amp;" - "&amp;(IF($C872="","Commercial",$C872))),Variables!$B$1:$D$1,0),1))*AK872)+(W872*INDEX(Variables!$B$9:$D$9,IFERROR(MATCH(IF($B872="Robusta","Robusta",(IF($B872="","Arabica",$B872))&amp;" - "&amp;(IF($C872="","Commercial",$C872))),Variables!$B$1:$D$1,0),1))*AK872/365),""))</f>
        <v>408.99465419296274</v>
      </c>
      <c r="BI872" s="44">
        <f>IF($AX872="Cancelled","",IFERROR((W872*INDEX(Variables!$B$7:$D$7,IFERROR(MATCH(IF($B872="Robusta","Robusta",(IF($B872="","Arabica",$B872))&amp;" - "&amp;(IF($C872="","Commercial",$C872))),Variables!$B$1:$D$1,0),1))*BD872/365)+(L872/16.67*INDEX(Variables!$B$8:$D$8,IFERROR(MATCH(IF($B872="Robusta","Robusta",(IF($B872="","Arabica",$B872))&amp;" - "&amp;(IF($C872="","Commercial",$C872))),Variables!$B$1:$D$1,0),1))*BD872)+(W872*INDEX(Variables!$B$9:$D$9,IFERROR(MATCH(IF($B872="Robusta","Robusta",(IF($B872="","Arabica",$B872))&amp;" - "&amp;(IF($C872="","Commercial",$C872))),Variables!$B$1:$D$1,0),1))*BD872/365),""))</f>
        <v>-163.59786167718511</v>
      </c>
      <c r="BJ872" s="44">
        <f t="shared" si="41"/>
        <v>-16</v>
      </c>
      <c r="BK872" s="44">
        <f>IF($AX872="Cancelled","",IFERROR(IF(BJ872="","",(W872*INDEX(Variables!$B$7:$D$7,IFERROR(MATCH(IF($B872="Robusta","Robusta",(IF($B872="","Arabica",$B872))&amp;" - "&amp;(IF($C872="","Commercial",$C872))),Variables!$B$1:$D$1,0),1))*(BJ872/365))+(W872*INDEX(Variables!$B$9:$D$9,IFERROR(MATCH(IF($B872="Robusta","Robusta",(IF($B872="","Arabica",$B872))&amp;" - "&amp;(IF($C872="","Commercial",$C872))),Variables!$B$1:$D$1,0),1))*(BJ872/365))+(INDEX(Variables!$B$8:$D$8,IFERROR(MATCH(IF($B872="Robusta","Robusta",(IF($B872="","Arabica",$B872))&amp;" - "&amp;(IF($C872="","Commercial",$C872))),Variables!$B$1:$D$1,0),1))*L872/16.67)),""))</f>
        <v>-382.39144670874043</v>
      </c>
    </row>
    <row r="873" spans="1:63">
      <c r="A873" s="13" t="s">
        <v>103</v>
      </c>
      <c r="B873" s="13" t="s">
        <v>104</v>
      </c>
      <c r="C873" s="13" t="s">
        <v>105</v>
      </c>
      <c r="D873" s="31">
        <v>46071</v>
      </c>
      <c r="E873" s="31">
        <v>46113</v>
      </c>
      <c r="F873" s="31">
        <v>46142</v>
      </c>
      <c r="G873" s="13">
        <v>3787305</v>
      </c>
      <c r="H873" s="13">
        <v>5479</v>
      </c>
      <c r="J873" s="13" t="s">
        <v>230</v>
      </c>
      <c r="K873" s="13">
        <v>5479</v>
      </c>
      <c r="L873" s="13">
        <v>3600</v>
      </c>
      <c r="M873" s="13">
        <v>10</v>
      </c>
      <c r="N873" s="13" t="s">
        <v>1789</v>
      </c>
      <c r="O873" s="13" t="s">
        <v>775</v>
      </c>
      <c r="P873" s="13">
        <v>10030</v>
      </c>
      <c r="R873" s="13" t="s">
        <v>122</v>
      </c>
      <c r="S873" s="13" t="s">
        <v>154</v>
      </c>
      <c r="T873" s="13" t="s">
        <v>155</v>
      </c>
      <c r="U873" s="13" t="s">
        <v>125</v>
      </c>
      <c r="V873" s="23">
        <v>60</v>
      </c>
      <c r="W873" s="44">
        <f>IF($AX873="Cancelled","",IFERROR(((V873+INDEX(Variables!$B$6:$D$6,IFERROR(MATCH(IF($B873="Robusta","Robusta",(IF($B873="","Arabica",$B873))&amp;" - "&amp;(IF($C873="","Commercial",$C873))),Variables!$B$1:$D$1,0),1)))*22.0462)*(L873/16.67),""))</f>
        <v>1670168.2697060585</v>
      </c>
      <c r="X873" s="55" t="s">
        <v>37</v>
      </c>
      <c r="Y873" s="13" t="str">
        <f>IF($AX873="Cancelled","",IF(X873="","",IFERROR(IF(INDEX(Variables!$B$38:$B$47,MATCH(X873,Variables!$A$38:$A$47,0))="Yes","Yes","No"),"No")))</f>
        <v>Yes</v>
      </c>
      <c r="Z873" s="58">
        <v>46086</v>
      </c>
      <c r="AB873" s="31">
        <v>46097</v>
      </c>
      <c r="AC873" s="13" t="str">
        <f t="shared" si="40"/>
        <v>Approved</v>
      </c>
      <c r="AF873" s="71">
        <v>46134</v>
      </c>
      <c r="AG873" s="37">
        <f>IF($AX873="Cancelled","",IFERROR(IF(F873="","",F873-Variables!$B$13),""))</f>
        <v>46127</v>
      </c>
      <c r="AH873" s="13">
        <f>IF($AX873="Cancelled","",IFERROR(IF(AB873="","",(AVERAGE(E873:F873)-AB873)-Variables!$B$14),""))</f>
        <v>0.5</v>
      </c>
      <c r="AJ873" s="47">
        <v>46137</v>
      </c>
      <c r="AK873" s="14">
        <f>IF($AX873="Cancelled","",IFERROR(IF(AJ873="","",IF(AND(AB873="",AF873=""),"",IF(AF873&gt;AB873,AF873+Variables!$B$15+Variables!$B$16+Variables!$B$17-AJ873,AB873+Variables!$B$16+Variables!$B$17-AJ873))),""))</f>
        <v>12</v>
      </c>
      <c r="AL873" s="48" t="s">
        <v>114</v>
      </c>
      <c r="AM873" s="13" t="s">
        <v>1526</v>
      </c>
      <c r="AN873" s="13" t="s">
        <v>2290</v>
      </c>
      <c r="AP873" s="31">
        <v>46146</v>
      </c>
      <c r="AR873" s="13">
        <v>925135</v>
      </c>
      <c r="AS873" s="31">
        <v>46146</v>
      </c>
      <c r="AU873" s="31">
        <v>46162</v>
      </c>
      <c r="AV873" s="13" t="e">
        <v>#REF!</v>
      </c>
      <c r="AW873" s="31">
        <v>46162</v>
      </c>
      <c r="AX873" s="13" t="str">
        <f>IF(ISNUMBER(SEARCH("cancel",#REF!)),"Cancelled",IF(AND(AS873&lt;&gt;"",AU873&lt;&gt;"",AW873&lt;&gt;""),"Closed","Open"))</f>
        <v>Closed</v>
      </c>
      <c r="AY873" s="15" t="str">
        <f t="shared" si="39"/>
        <v>All dates received</v>
      </c>
      <c r="BD873" s="13">
        <f>IF($AX873="Cancelled","",IFERROR(IF(OR(AS873="",AJ873=""),"",(AJ873+Variables!$B$18-AS873)),""))</f>
        <v>6</v>
      </c>
      <c r="BE873" s="13">
        <f>IF($AX873="Cancelled","",IFERROR(IF(OR(AW873="",AS873=""),"",(AS873+Variables!$B$19)-AW873),""))</f>
        <v>-11</v>
      </c>
      <c r="BF873" s="44">
        <f>IF($AX873="Cancelled","",IFERROR(W873*INDEX(Variables!$B$7:$D$7,IFERROR(MATCH(IF($B873="Robusta","Robusta",(IF($B873="","Arabica",$B873))&amp;" - "&amp;(IF($C873="","Commercial",$C873))),Variables!$B$1:$D$1,0),1))*(BE873/365),""))</f>
        <v>-3245.6366257787399</v>
      </c>
      <c r="BG873" s="44">
        <f>IF($AX873="Cancelled","",IFERROR((W873*INDEX(Variables!$B$7:$D$7,IFERROR(MATCH(IF($B873="Robusta","Robusta",(IF($B873="","Arabica",$B873))&amp;" - "&amp;(IF($C873="","Commercial",$C873))),Variables!$B$1:$D$1,0),1))*IFERROR(IF(AB873="","",(AVERAGE(E873:F873)-AB873)-Variables!$B$14),"")/365)+(L873/16.67*INDEX(Variables!$B$8:$D$8,IFERROR(MATCH(IF($B873="Robusta","Robusta",(IF($B873="","Arabica",$B873))&amp;" - "&amp;(IF($C873="","Commercial",$C873))),Variables!$B$1:$D$1,0),1))*IFERROR(IF(AB873="","",(AVERAGE(E873:F873)-AB873)-Variables!$B$14),""))+(W873*INDEX(Variables!$B$9:$D$9,IFERROR(MATCH(IF($B873="Robusta","Robusta",(IF($B873="","Arabica",$B873))&amp;" - "&amp;(IF($C873="","Commercial",$C873))),Variables!$B$1:$D$1,0),1))*IFERROR(IF(AB873="","",(AVERAGE(E873:F873)-AB873)-Variables!$B$14),"")/365),""))</f>
        <v>239.43087025129677</v>
      </c>
      <c r="BH873" s="44">
        <f>IF($AX873="Cancelled","",IFERROR((W873*INDEX(Variables!$B$7:$D$7,IFERROR(MATCH(IF($B873="Robusta","Robusta",(IF($B873="","Arabica",$B873))&amp;" - "&amp;(IF($C873="","Commercial",$C873))),Variables!$B$1:$D$1,0),1))*AK873/365)+(L873/16.67*INDEX(Variables!$B$8:$D$8,IFERROR(MATCH(IF($B873="Robusta","Robusta",(IF($B873="","Arabica",$B873))&amp;" - "&amp;(IF($C873="","Commercial",$C873))),Variables!$B$1:$D$1,0),1))*AK873)+(W873*INDEX(Variables!$B$9:$D$9,IFERROR(MATCH(IF($B873="Robusta","Robusta",(IF($B873="","Arabica",$B873))&amp;" - "&amp;(IF($C873="","Commercial",$C873))),Variables!$B$1:$D$1,0),1))*AK873/365),""))</f>
        <v>5746.3408860311238</v>
      </c>
      <c r="BI873" s="44">
        <f>IF($AX873="Cancelled","",IFERROR((W873*INDEX(Variables!$B$7:$D$7,IFERROR(MATCH(IF($B873="Robusta","Robusta",(IF($B873="","Arabica",$B873))&amp;" - "&amp;(IF($C873="","Commercial",$C873))),Variables!$B$1:$D$1,0),1))*BD873/365)+(L873/16.67*INDEX(Variables!$B$8:$D$8,IFERROR(MATCH(IF($B873="Robusta","Robusta",(IF($B873="","Arabica",$B873))&amp;" - "&amp;(IF($C873="","Commercial",$C873))),Variables!$B$1:$D$1,0),1))*BD873)+(W873*INDEX(Variables!$B$9:$D$9,IFERROR(MATCH(IF($B873="Robusta","Robusta",(IF($B873="","Arabica",$B873))&amp;" - "&amp;(IF($C873="","Commercial",$C873))),Variables!$B$1:$D$1,0),1))*BD873/365),""))</f>
        <v>2873.1704430155619</v>
      </c>
      <c r="BJ873" s="44">
        <f t="shared" si="41"/>
        <v>-4</v>
      </c>
      <c r="BK873" s="44">
        <f>IF($AX873="Cancelled","",IFERROR(IF(BJ873="","",(W873*INDEX(Variables!$B$7:$D$7,IFERROR(MATCH(IF($B873="Robusta","Robusta",(IF($B873="","Arabica",$B873))&amp;" - "&amp;(IF($C873="","Commercial",$C873))),Variables!$B$1:$D$1,0),1))*(BJ873/365))+(W873*INDEX(Variables!$B$9:$D$9,IFERROR(MATCH(IF($B873="Robusta","Robusta",(IF($B873="","Arabica",$B873))&amp;" - "&amp;(IF($C873="","Commercial",$C873))),Variables!$B$1:$D$1,0),1))*(BJ873/365))+(INDEX(Variables!$B$8:$D$8,IFERROR(MATCH(IF($B873="Robusta","Robusta",(IF($B873="","Arabica",$B873))&amp;" - "&amp;(IF($C873="","Commercial",$C873))),Variables!$B$1:$D$1,0),1))*L873/16.67)),""))</f>
        <v>-1015.4469620103741</v>
      </c>
    </row>
    <row r="874" spans="1:63">
      <c r="A874" s="13" t="s">
        <v>103</v>
      </c>
      <c r="B874" s="13" t="s">
        <v>104</v>
      </c>
      <c r="C874" s="13" t="s">
        <v>105</v>
      </c>
      <c r="D874" s="31">
        <v>46071</v>
      </c>
      <c r="E874" s="31">
        <v>46082</v>
      </c>
      <c r="F874" s="31">
        <v>46112</v>
      </c>
      <c r="G874" s="13">
        <v>3787306</v>
      </c>
      <c r="H874" s="13">
        <v>5441</v>
      </c>
      <c r="J874" s="13" t="s">
        <v>230</v>
      </c>
      <c r="K874" s="13">
        <v>5441</v>
      </c>
      <c r="L874" s="13">
        <v>3600</v>
      </c>
      <c r="M874" s="13">
        <v>10</v>
      </c>
      <c r="N874" s="13" t="s">
        <v>2291</v>
      </c>
      <c r="O874" s="13" t="s">
        <v>269</v>
      </c>
      <c r="P874" s="13">
        <v>10310</v>
      </c>
      <c r="Q874" s="13" t="s">
        <v>745</v>
      </c>
      <c r="R874" s="13" t="s">
        <v>122</v>
      </c>
      <c r="S874" s="13" t="s">
        <v>154</v>
      </c>
      <c r="T874" s="13" t="s">
        <v>155</v>
      </c>
      <c r="U874" s="13" t="s">
        <v>125</v>
      </c>
      <c r="V874" s="13">
        <v>68.5</v>
      </c>
      <c r="W874" s="44">
        <f>IF($AX874="Cancelled","",IFERROR(((V874+INDEX(Variables!$B$6:$D$6,IFERROR(MATCH(IF($B874="Robusta","Robusta",(IF($B874="","Arabica",$B874))&amp;" - "&amp;(IF($C874="","Commercial",$C874))),Variables!$B$1:$D$1,0),1)))*22.0462)*(L874/16.67),""))</f>
        <v>1710636.9991601678</v>
      </c>
      <c r="X874" s="55" t="s">
        <v>37</v>
      </c>
      <c r="Y874" s="13" t="str">
        <f>IF($AX874="Cancelled","",IF(X874="","",IFERROR(IF(INDEX(Variables!$B$38:$B$47,MATCH(X874,Variables!$A$38:$A$47,0))="Yes","Yes","No"),"No")))</f>
        <v>Yes</v>
      </c>
      <c r="Z874" s="58">
        <v>46086</v>
      </c>
      <c r="AB874" s="31">
        <v>46097</v>
      </c>
      <c r="AC874" s="13" t="str">
        <f t="shared" si="40"/>
        <v>Approved</v>
      </c>
      <c r="AF874" s="71">
        <v>46106</v>
      </c>
      <c r="AG874" s="37">
        <f>IF($AX874="Cancelled","",IFERROR(IF(F874="","",F874-Variables!$B$13),""))</f>
        <v>46097</v>
      </c>
      <c r="AH874" s="13">
        <f>IF($AX874="Cancelled","",IFERROR(IF(AB874="","",(AVERAGE(E874:F874)-AB874)-Variables!$B$14),""))</f>
        <v>-30</v>
      </c>
      <c r="AJ874" s="47">
        <v>46109</v>
      </c>
      <c r="AK874" s="14">
        <f>IF($AX874="Cancelled","",IFERROR(IF(AJ874="","",IF(AND(AB874="",AF874=""),"",IF(AF874&gt;AB874,AF874+Variables!$B$15+Variables!$B$16+Variables!$B$17-AJ874,AB874+Variables!$B$16+Variables!$B$17-AJ874))),""))</f>
        <v>12</v>
      </c>
      <c r="AL874" s="48" t="s">
        <v>114</v>
      </c>
      <c r="AM874" s="13" t="s">
        <v>1526</v>
      </c>
      <c r="AN874" s="13" t="s">
        <v>2292</v>
      </c>
      <c r="AP874" s="31">
        <v>46126</v>
      </c>
      <c r="AR874" s="13">
        <v>920683</v>
      </c>
      <c r="AS874" s="31">
        <v>46126</v>
      </c>
      <c r="AU874" s="31">
        <v>46142</v>
      </c>
      <c r="AV874" s="13" t="s">
        <v>865</v>
      </c>
      <c r="AW874" s="31">
        <v>46142</v>
      </c>
      <c r="AX874" s="13" t="str">
        <f>IF(ISNUMBER(SEARCH("cancel",#REF!)),"Cancelled",IF(AND(AS874&lt;&gt;"",AU874&lt;&gt;"",AW874&lt;&gt;""),"Closed","Open"))</f>
        <v>Closed</v>
      </c>
      <c r="AY874" s="15" t="str">
        <f t="shared" si="39"/>
        <v>All dates received</v>
      </c>
      <c r="BD874" s="13">
        <f>IF($AX874="Cancelled","",IFERROR(IF(OR(AS874="",AJ874=""),"",(AJ874+Variables!$B$18-AS874)),""))</f>
        <v>-2</v>
      </c>
      <c r="BE874" s="13">
        <f>IF($AX874="Cancelled","",IFERROR(IF(OR(AW874="",AS874=""),"",(AS874+Variables!$B$19)-AW874),""))</f>
        <v>-11</v>
      </c>
      <c r="BF874" s="44">
        <f>IF($AX874="Cancelled","",IFERROR(W874*INDEX(Variables!$B$7:$D$7,IFERROR(MATCH(IF($B874="Robusta","Robusta",(IF($B874="","Arabica",$B874))&amp;" - "&amp;(IF($C874="","Commercial",$C874))),Variables!$B$1:$D$1,0),1))*(BE874/365),""))</f>
        <v>-3324.2794744649409</v>
      </c>
      <c r="BG874" s="44">
        <f>IF($AX874="Cancelled","",IFERROR((W874*INDEX(Variables!$B$7:$D$7,IFERROR(MATCH(IF($B874="Robusta","Robusta",(IF($B874="","Arabica",$B874))&amp;" - "&amp;(IF($C874="","Commercial",$C874))),Variables!$B$1:$D$1,0),1))*IFERROR(IF(AB874="","",(AVERAGE(E874:F874)-AB874)-Variables!$B$14),"")/365)+(L874/16.67*INDEX(Variables!$B$8:$D$8,IFERROR(MATCH(IF($B874="Robusta","Robusta",(IF($B874="","Arabica",$B874))&amp;" - "&amp;(IF($C874="","Commercial",$C874))),Variables!$B$1:$D$1,0),1))*IFERROR(IF(AB874="","",(AVERAGE(E874:F874)-AB874)-Variables!$B$14),""))+(W874*INDEX(Variables!$B$9:$D$9,IFERROR(MATCH(IF($B874="Robusta","Robusta",(IF($B874="","Arabica",$B874))&amp;" - "&amp;(IF($C874="","Commercial",$C874))),Variables!$B$1:$D$1,0),1))*IFERROR(IF(AB874="","",(AVERAGE(E874:F874)-AB874)-Variables!$B$14),"")/365),""))</f>
        <v>-14583.097779012132</v>
      </c>
      <c r="BH874" s="44">
        <f>IF($AX874="Cancelled","",IFERROR((W874*INDEX(Variables!$B$7:$D$7,IFERROR(MATCH(IF($B874="Robusta","Robusta",(IF($B874="","Arabica",$B874))&amp;" - "&amp;(IF($C874="","Commercial",$C874))),Variables!$B$1:$D$1,0),1))*AK874/365)+(L874/16.67*INDEX(Variables!$B$8:$D$8,IFERROR(MATCH(IF($B874="Robusta","Robusta",(IF($B874="","Arabica",$B874))&amp;" - "&amp;(IF($C874="","Commercial",$C874))),Variables!$B$1:$D$1,0),1))*AK874)+(W874*INDEX(Variables!$B$9:$D$9,IFERROR(MATCH(IF($B874="Robusta","Robusta",(IF($B874="","Arabica",$B874))&amp;" - "&amp;(IF($C874="","Commercial",$C874))),Variables!$B$1:$D$1,0),1))*AK874/365),""))</f>
        <v>5833.239111604853</v>
      </c>
      <c r="BI874" s="44">
        <f>IF($AX874="Cancelled","",IFERROR((W874*INDEX(Variables!$B$7:$D$7,IFERROR(MATCH(IF($B874="Robusta","Robusta",(IF($B874="","Arabica",$B874))&amp;" - "&amp;(IF($C874="","Commercial",$C874))),Variables!$B$1:$D$1,0),1))*BD874/365)+(L874/16.67*INDEX(Variables!$B$8:$D$8,IFERROR(MATCH(IF($B874="Robusta","Robusta",(IF($B874="","Arabica",$B874))&amp;" - "&amp;(IF($C874="","Commercial",$C874))),Variables!$B$1:$D$1,0),1))*BD874)+(W874*INDEX(Variables!$B$9:$D$9,IFERROR(MATCH(IF($B874="Robusta","Robusta",(IF($B874="","Arabica",$B874))&amp;" - "&amp;(IF($C874="","Commercial",$C874))),Variables!$B$1:$D$1,0),1))*BD874/365),""))</f>
        <v>-972.20651860080886</v>
      </c>
      <c r="BJ874" s="44">
        <f t="shared" si="41"/>
        <v>-14</v>
      </c>
      <c r="BK874" s="44">
        <f>IF($AX874="Cancelled","",IFERROR(IF(BJ874="","",(W874*INDEX(Variables!$B$7:$D$7,IFERROR(MATCH(IF($B874="Robusta","Robusta",(IF($B874="","Arabica",$B874))&amp;" - "&amp;(IF($C874="","Commercial",$C874))),Variables!$B$1:$D$1,0),1))*(BJ874/365))+(W874*INDEX(Variables!$B$9:$D$9,IFERROR(MATCH(IF($B874="Robusta","Robusta",(IF($B874="","Arabica",$B874))&amp;" - "&amp;(IF($C874="","Commercial",$C874))),Variables!$B$1:$D$1,0),1))*(BJ874/365))+(INDEX(Variables!$B$8:$D$8,IFERROR(MATCH(IF($B874="Robusta","Robusta",(IF($B874="","Arabica",$B874))&amp;" - "&amp;(IF($C874="","Commercial",$C874))),Variables!$B$1:$D$1,0),1))*L874/16.67)),""))</f>
        <v>-4105.4456302056624</v>
      </c>
    </row>
    <row r="875" spans="1:63">
      <c r="A875" s="13" t="s">
        <v>103</v>
      </c>
      <c r="B875" s="13" t="s">
        <v>104</v>
      </c>
      <c r="C875" s="13" t="s">
        <v>105</v>
      </c>
      <c r="D875" s="31">
        <v>46071</v>
      </c>
      <c r="E875" s="31">
        <v>46113</v>
      </c>
      <c r="F875" s="31">
        <v>46173</v>
      </c>
      <c r="G875" s="13">
        <v>3787307</v>
      </c>
      <c r="H875" s="13" t="s">
        <v>2293</v>
      </c>
      <c r="J875" s="13" t="s">
        <v>107</v>
      </c>
      <c r="K875" s="13" t="s">
        <v>2293</v>
      </c>
      <c r="L875" s="13">
        <v>320</v>
      </c>
      <c r="M875" s="13">
        <v>1</v>
      </c>
      <c r="N875" s="13" t="s">
        <v>2294</v>
      </c>
      <c r="O875" s="13" t="s">
        <v>538</v>
      </c>
      <c r="P875" s="13">
        <v>10080</v>
      </c>
      <c r="R875" s="13" t="s">
        <v>110</v>
      </c>
      <c r="S875" s="13" t="s">
        <v>111</v>
      </c>
      <c r="T875" s="13" t="s">
        <v>112</v>
      </c>
      <c r="U875" s="13" t="s">
        <v>113</v>
      </c>
      <c r="V875" s="13">
        <v>20</v>
      </c>
      <c r="W875" s="44">
        <f>IF($AX875="Cancelled","",IFERROR(((V875+INDEX(Variables!$B$6:$D$6,IFERROR(MATCH(IF($B875="Robusta","Robusta",(IF($B875="","Arabica",$B875))&amp;" - "&amp;(IF($C875="","Commercial",$C875))),Variables!$B$1:$D$1,0),1)))*22.0462)*(L875/16.67),""))</f>
        <v>131531.30577084582</v>
      </c>
      <c r="X875" s="55" t="s">
        <v>37</v>
      </c>
      <c r="Y875" s="13" t="str">
        <f>IF($AX875="Cancelled","",IF(X875="","",IFERROR(IF(INDEX(Variables!$B$38:$B$47,MATCH(X875,Variables!$A$38:$A$47,0))="Yes","Yes","No"),"No")))</f>
        <v>Yes</v>
      </c>
      <c r="Z875" s="58">
        <v>46072</v>
      </c>
      <c r="AB875" s="31">
        <v>46090</v>
      </c>
      <c r="AC875" s="13" t="str">
        <f t="shared" si="40"/>
        <v>Approved</v>
      </c>
      <c r="AF875" s="71">
        <v>46109</v>
      </c>
      <c r="AG875" s="35">
        <f>IF($AX875="Cancelled","",IFERROR(IF(F875="","",F875-Variables!$B$13),""))</f>
        <v>46158</v>
      </c>
      <c r="AH875" s="13">
        <f>IF($AX875="Cancelled","",IFERROR(IF(AB875="","",(AVERAGE(E875:F875)-AB875)-Variables!$B$14),""))</f>
        <v>23</v>
      </c>
      <c r="AJ875" s="47">
        <v>46111</v>
      </c>
      <c r="AK875" s="14">
        <f>IF($AX875="Cancelled","",IFERROR(IF(AJ875="","",IF(AND(AB875="",AF875=""),"",IF(AF875&gt;AB875,AF875+Variables!$B$15+Variables!$B$16+Variables!$B$17-AJ875,AB875+Variables!$B$16+Variables!$B$17-AJ875))),""))</f>
        <v>13</v>
      </c>
      <c r="AL875" s="48" t="s">
        <v>114</v>
      </c>
      <c r="AM875" s="13" t="s">
        <v>168</v>
      </c>
      <c r="AN875" s="13" t="s">
        <v>2104</v>
      </c>
      <c r="AP875" s="31">
        <v>46126</v>
      </c>
      <c r="AR875" s="13" t="s">
        <v>2295</v>
      </c>
      <c r="AS875" s="31">
        <v>46126</v>
      </c>
      <c r="AU875" s="31">
        <v>46160</v>
      </c>
      <c r="AV875" s="13" t="e">
        <v>#REF!</v>
      </c>
      <c r="AW875" s="31">
        <v>46160</v>
      </c>
      <c r="AX875" s="13" t="str">
        <f>IF(ISNUMBER(SEARCH("cancel",#REF!)),"Cancelled",IF(AND(AS875&lt;&gt;"",AU875&lt;&gt;"",AW875&lt;&gt;""),"Closed","Open"))</f>
        <v>Closed</v>
      </c>
      <c r="AY875" s="15" t="str">
        <f t="shared" si="39"/>
        <v>All dates received</v>
      </c>
      <c r="BD875" s="13">
        <f>IF($AX875="Cancelled","",IFERROR(IF(OR(AS875="",AJ875=""),"",(AJ875+Variables!$B$18-AS875)),""))</f>
        <v>0</v>
      </c>
      <c r="BE875" s="13">
        <f>IF($AX875="Cancelled","",IFERROR(IF(OR(AW875="",AS875=""),"",(AS875+Variables!$B$19)-AW875),""))</f>
        <v>-29</v>
      </c>
      <c r="BF875" s="44">
        <f>IF($AX875="Cancelled","",IFERROR(W875*INDEX(Variables!$B$7:$D$7,IFERROR(MATCH(IF($B875="Robusta","Robusta",(IF($B875="","Arabica",$B875))&amp;" - "&amp;(IF($C875="","Commercial",$C875))),Variables!$B$1:$D$1,0),1))*(BE875/365),""))</f>
        <v>-673.86687940911838</v>
      </c>
      <c r="BG875" s="44">
        <f>IF($AX875="Cancelled","",IFERROR((W875*INDEX(Variables!$B$7:$D$7,IFERROR(MATCH(IF($B875="Robusta","Robusta",(IF($B875="","Arabica",$B875))&amp;" - "&amp;(IF($C875="","Commercial",$C875))),Variables!$B$1:$D$1,0),1))*IFERROR(IF(AB875="","",(AVERAGE(E875:F875)-AB875)-Variables!$B$14),"")/365)+(L875/16.67*INDEX(Variables!$B$8:$D$8,IFERROR(MATCH(IF($B875="Robusta","Robusta",(IF($B875="","Arabica",$B875))&amp;" - "&amp;(IF($C875="","Commercial",$C875))),Variables!$B$1:$D$1,0),1))*IFERROR(IF(AB875="","",(AVERAGE(E875:F875)-AB875)-Variables!$B$14),""))+(W875*INDEX(Variables!$B$9:$D$9,IFERROR(MATCH(IF($B875="Robusta","Robusta",(IF($B875="","Arabica",$B875))&amp;" - "&amp;(IF($C875="","Commercial",$C875))),Variables!$B$1:$D$1,0),1))*IFERROR(IF(AB875="","",(AVERAGE(E875:F875)-AB875)-Variables!$B$14),"")/365),""))</f>
        <v>909.33618796623341</v>
      </c>
      <c r="BH875" s="44">
        <f>IF($AX875="Cancelled","",IFERROR((W875*INDEX(Variables!$B$7:$D$7,IFERROR(MATCH(IF($B875="Robusta","Robusta",(IF($B875="","Arabica",$B875))&amp;" - "&amp;(IF($C875="","Commercial",$C875))),Variables!$B$1:$D$1,0),1))*AK875/365)+(L875/16.67*INDEX(Variables!$B$8:$D$8,IFERROR(MATCH(IF($B875="Robusta","Robusta",(IF($B875="","Arabica",$B875))&amp;" - "&amp;(IF($C875="","Commercial",$C875))),Variables!$B$1:$D$1,0),1))*AK875)+(W875*INDEX(Variables!$B$9:$D$9,IFERROR(MATCH(IF($B875="Robusta","Robusta",(IF($B875="","Arabica",$B875))&amp;" - "&amp;(IF($C875="","Commercial",$C875))),Variables!$B$1:$D$1,0),1))*AK875/365),""))</f>
        <v>513.97262798091458</v>
      </c>
      <c r="BI875" s="44">
        <f>IF($AX875="Cancelled","",IFERROR((W875*INDEX(Variables!$B$7:$D$7,IFERROR(MATCH(IF($B875="Robusta","Robusta",(IF($B875="","Arabica",$B875))&amp;" - "&amp;(IF($C875="","Commercial",$C875))),Variables!$B$1:$D$1,0),1))*BD875/365)+(L875/16.67*INDEX(Variables!$B$8:$D$8,IFERROR(MATCH(IF($B875="Robusta","Robusta",(IF($B875="","Arabica",$B875))&amp;" - "&amp;(IF($C875="","Commercial",$C875))),Variables!$B$1:$D$1,0),1))*BD875)+(W875*INDEX(Variables!$B$9:$D$9,IFERROR(MATCH(IF($B875="Robusta","Robusta",(IF($B875="","Arabica",$B875))&amp;" - "&amp;(IF($C875="","Commercial",$C875))),Variables!$B$1:$D$1,0),1))*BD875/365),""))</f>
        <v>0</v>
      </c>
      <c r="BJ875" s="44">
        <f t="shared" si="41"/>
        <v>47</v>
      </c>
      <c r="BK875" s="44">
        <f>IF($AX875="Cancelled","",IFERROR(IF(BJ875="","",(W875*INDEX(Variables!$B$7:$D$7,IFERROR(MATCH(IF($B875="Robusta","Robusta",(IF($B875="","Arabica",$B875))&amp;" - "&amp;(IF($C875="","Commercial",$C875))),Variables!$B$1:$D$1,0),1))*(BJ875/365))+(W875*INDEX(Variables!$B$9:$D$9,IFERROR(MATCH(IF($B875="Robusta","Robusta",(IF($B875="","Arabica",$B875))&amp;" - "&amp;(IF($C875="","Commercial",$C875))),Variables!$B$1:$D$1,0),1))*(BJ875/365))+(INDEX(Variables!$B$8:$D$8,IFERROR(MATCH(IF($B875="Robusta","Robusta",(IF($B875="","Arabica",$B875))&amp;" - "&amp;(IF($C875="","Commercial",$C875))),Variables!$B$1:$D$1,0),1))*L875/16.67)),""))</f>
        <v>1122.2087319309985</v>
      </c>
    </row>
    <row r="876" spans="1:63">
      <c r="A876" s="13" t="s">
        <v>103</v>
      </c>
      <c r="B876" s="13" t="s">
        <v>104</v>
      </c>
      <c r="C876" s="13" t="s">
        <v>105</v>
      </c>
      <c r="D876" s="31">
        <v>46071</v>
      </c>
      <c r="E876" s="31">
        <v>46113</v>
      </c>
      <c r="F876" s="31">
        <v>46173</v>
      </c>
      <c r="G876" s="13">
        <v>3787307</v>
      </c>
      <c r="H876" s="13" t="s">
        <v>2296</v>
      </c>
      <c r="J876" s="13" t="s">
        <v>107</v>
      </c>
      <c r="K876" s="13" t="s">
        <v>2296</v>
      </c>
      <c r="L876" s="13">
        <v>320</v>
      </c>
      <c r="M876" s="13">
        <v>1</v>
      </c>
      <c r="N876" s="13" t="s">
        <v>2294</v>
      </c>
      <c r="O876" s="13" t="s">
        <v>538</v>
      </c>
      <c r="P876" s="13">
        <v>10080</v>
      </c>
      <c r="R876" s="13" t="s">
        <v>110</v>
      </c>
      <c r="S876" s="13" t="s">
        <v>111</v>
      </c>
      <c r="T876" s="13" t="s">
        <v>112</v>
      </c>
      <c r="U876" s="13" t="s">
        <v>113</v>
      </c>
      <c r="V876" s="13">
        <v>20</v>
      </c>
      <c r="W876" s="44">
        <f>IF($AX876="Cancelled","",IFERROR(((V876+INDEX(Variables!$B$6:$D$6,IFERROR(MATCH(IF($B876="Robusta","Robusta",(IF($B876="","Arabica",$B876))&amp;" - "&amp;(IF($C876="","Commercial",$C876))),Variables!$B$1:$D$1,0),1)))*22.0462)*(L876/16.67),""))</f>
        <v>131531.30577084582</v>
      </c>
      <c r="X876" s="55" t="s">
        <v>37</v>
      </c>
      <c r="Y876" s="13" t="str">
        <f>IF($AX876="Cancelled","",IF(X876="","",IFERROR(IF(INDEX(Variables!$B$38:$B$47,MATCH(X876,Variables!$A$38:$A$47,0))="Yes","Yes","No"),"No")))</f>
        <v>Yes</v>
      </c>
      <c r="Z876" s="58">
        <v>46072</v>
      </c>
      <c r="AB876" s="31">
        <v>46090</v>
      </c>
      <c r="AC876" s="13" t="str">
        <f t="shared" si="40"/>
        <v>Approved</v>
      </c>
      <c r="AF876" s="71">
        <v>46109</v>
      </c>
      <c r="AG876" s="37">
        <f>IF($AX876="Cancelled","",IFERROR(IF(F876="","",F876-Variables!$B$13),""))</f>
        <v>46158</v>
      </c>
      <c r="AH876" s="13">
        <f>IF($AX876="Cancelled","",IFERROR(IF(AB876="","",(AVERAGE(E876:F876)-AB876)-Variables!$B$14),""))</f>
        <v>23</v>
      </c>
      <c r="AJ876" s="47">
        <v>46111</v>
      </c>
      <c r="AK876" s="14">
        <f>IF($AX876="Cancelled","",IFERROR(IF(AJ876="","",IF(AND(AB876="",AF876=""),"",IF(AF876&gt;AB876,AF876+Variables!$B$15+Variables!$B$16+Variables!$B$17-AJ876,AB876+Variables!$B$16+Variables!$B$17-AJ876))),""))</f>
        <v>13</v>
      </c>
      <c r="AL876" s="48" t="s">
        <v>114</v>
      </c>
      <c r="AM876" s="13" t="s">
        <v>168</v>
      </c>
      <c r="AN876" s="13" t="s">
        <v>2104</v>
      </c>
      <c r="AP876" s="31">
        <v>46126</v>
      </c>
      <c r="AR876" s="13" t="s">
        <v>2295</v>
      </c>
      <c r="AS876" s="31">
        <v>46126</v>
      </c>
      <c r="AU876" s="31">
        <v>46160</v>
      </c>
      <c r="AV876" s="13" t="e">
        <v>#REF!</v>
      </c>
      <c r="AW876" s="31">
        <v>46160</v>
      </c>
      <c r="AX876" s="13" t="str">
        <f>IF(ISNUMBER(SEARCH("cancel",#REF!)),"Cancelled",IF(AND(AS876&lt;&gt;"",AU876&lt;&gt;"",AW876&lt;&gt;""),"Closed","Open"))</f>
        <v>Closed</v>
      </c>
      <c r="AY876" s="15" t="str">
        <f t="shared" si="39"/>
        <v>All dates received</v>
      </c>
      <c r="BD876" s="13">
        <f>IF($AX876="Cancelled","",IFERROR(IF(OR(AS876="",AJ876=""),"",(AJ876+Variables!$B$18-AS876)),""))</f>
        <v>0</v>
      </c>
      <c r="BE876" s="13">
        <f>IF($AX876="Cancelled","",IFERROR(IF(OR(AW876="",AS876=""),"",(AS876+Variables!$B$19)-AW876),""))</f>
        <v>-29</v>
      </c>
      <c r="BF876" s="44">
        <f>IF($AX876="Cancelled","",IFERROR(W876*INDEX(Variables!$B$7:$D$7,IFERROR(MATCH(IF($B876="Robusta","Robusta",(IF($B876="","Arabica",$B876))&amp;" - "&amp;(IF($C876="","Commercial",$C876))),Variables!$B$1:$D$1,0),1))*(BE876/365),""))</f>
        <v>-673.86687940911838</v>
      </c>
      <c r="BG876" s="44">
        <f>IF($AX876="Cancelled","",IFERROR((W876*INDEX(Variables!$B$7:$D$7,IFERROR(MATCH(IF($B876="Robusta","Robusta",(IF($B876="","Arabica",$B876))&amp;" - "&amp;(IF($C876="","Commercial",$C876))),Variables!$B$1:$D$1,0),1))*IFERROR(IF(AB876="","",(AVERAGE(E876:F876)-AB876)-Variables!$B$14),"")/365)+(L876/16.67*INDEX(Variables!$B$8:$D$8,IFERROR(MATCH(IF($B876="Robusta","Robusta",(IF($B876="","Arabica",$B876))&amp;" - "&amp;(IF($C876="","Commercial",$C876))),Variables!$B$1:$D$1,0),1))*IFERROR(IF(AB876="","",(AVERAGE(E876:F876)-AB876)-Variables!$B$14),""))+(W876*INDEX(Variables!$B$9:$D$9,IFERROR(MATCH(IF($B876="Robusta","Robusta",(IF($B876="","Arabica",$B876))&amp;" - "&amp;(IF($C876="","Commercial",$C876))),Variables!$B$1:$D$1,0),1))*IFERROR(IF(AB876="","",(AVERAGE(E876:F876)-AB876)-Variables!$B$14),"")/365),""))</f>
        <v>909.33618796623341</v>
      </c>
      <c r="BH876" s="44">
        <f>IF($AX876="Cancelled","",IFERROR((W876*INDEX(Variables!$B$7:$D$7,IFERROR(MATCH(IF($B876="Robusta","Robusta",(IF($B876="","Arabica",$B876))&amp;" - "&amp;(IF($C876="","Commercial",$C876))),Variables!$B$1:$D$1,0),1))*AK876/365)+(L876/16.67*INDEX(Variables!$B$8:$D$8,IFERROR(MATCH(IF($B876="Robusta","Robusta",(IF($B876="","Arabica",$B876))&amp;" - "&amp;(IF($C876="","Commercial",$C876))),Variables!$B$1:$D$1,0),1))*AK876)+(W876*INDEX(Variables!$B$9:$D$9,IFERROR(MATCH(IF($B876="Robusta","Robusta",(IF($B876="","Arabica",$B876))&amp;" - "&amp;(IF($C876="","Commercial",$C876))),Variables!$B$1:$D$1,0),1))*AK876/365),""))</f>
        <v>513.97262798091458</v>
      </c>
      <c r="BI876" s="44">
        <f>IF($AX876="Cancelled","",IFERROR((W876*INDEX(Variables!$B$7:$D$7,IFERROR(MATCH(IF($B876="Robusta","Robusta",(IF($B876="","Arabica",$B876))&amp;" - "&amp;(IF($C876="","Commercial",$C876))),Variables!$B$1:$D$1,0),1))*BD876/365)+(L876/16.67*INDEX(Variables!$B$8:$D$8,IFERROR(MATCH(IF($B876="Robusta","Robusta",(IF($B876="","Arabica",$B876))&amp;" - "&amp;(IF($C876="","Commercial",$C876))),Variables!$B$1:$D$1,0),1))*BD876)+(W876*INDEX(Variables!$B$9:$D$9,IFERROR(MATCH(IF($B876="Robusta","Robusta",(IF($B876="","Arabica",$B876))&amp;" - "&amp;(IF($C876="","Commercial",$C876))),Variables!$B$1:$D$1,0),1))*BD876/365),""))</f>
        <v>0</v>
      </c>
      <c r="BJ876" s="44">
        <f t="shared" si="41"/>
        <v>47</v>
      </c>
      <c r="BK876" s="44">
        <f>IF($AX876="Cancelled","",IFERROR(IF(BJ876="","",(W876*INDEX(Variables!$B$7:$D$7,IFERROR(MATCH(IF($B876="Robusta","Robusta",(IF($B876="","Arabica",$B876))&amp;" - "&amp;(IF($C876="","Commercial",$C876))),Variables!$B$1:$D$1,0),1))*(BJ876/365))+(W876*INDEX(Variables!$B$9:$D$9,IFERROR(MATCH(IF($B876="Robusta","Robusta",(IF($B876="","Arabica",$B876))&amp;" - "&amp;(IF($C876="","Commercial",$C876))),Variables!$B$1:$D$1,0),1))*(BJ876/365))+(INDEX(Variables!$B$8:$D$8,IFERROR(MATCH(IF($B876="Robusta","Robusta",(IF($B876="","Arabica",$B876))&amp;" - "&amp;(IF($C876="","Commercial",$C876))),Variables!$B$1:$D$1,0),1))*L876/16.67)),""))</f>
        <v>1122.2087319309985</v>
      </c>
    </row>
    <row r="877" spans="1:63">
      <c r="A877" s="13" t="s">
        <v>103</v>
      </c>
      <c r="B877" s="13" t="s">
        <v>104</v>
      </c>
      <c r="C877" s="13" t="s">
        <v>105</v>
      </c>
      <c r="D877" s="31">
        <v>46071</v>
      </c>
      <c r="E877" s="31">
        <v>46174</v>
      </c>
      <c r="F877" s="31">
        <v>46234</v>
      </c>
      <c r="G877" s="13">
        <v>3787308</v>
      </c>
      <c r="J877" s="13" t="s">
        <v>107</v>
      </c>
      <c r="K877" s="13">
        <v>5594</v>
      </c>
      <c r="L877" s="13">
        <v>640</v>
      </c>
      <c r="M877" s="13">
        <v>2</v>
      </c>
      <c r="N877" s="13" t="s">
        <v>2294</v>
      </c>
      <c r="O877" s="13" t="s">
        <v>538</v>
      </c>
      <c r="P877" s="13">
        <v>10080</v>
      </c>
      <c r="R877" s="13" t="s">
        <v>110</v>
      </c>
      <c r="S877" s="13" t="s">
        <v>2297</v>
      </c>
      <c r="T877" s="13" t="s">
        <v>112</v>
      </c>
      <c r="U877" s="13" t="s">
        <v>113</v>
      </c>
      <c r="V877" s="23">
        <v>20</v>
      </c>
      <c r="W877" s="44">
        <f>IF($AX877="Cancelled","",IFERROR(((V877+INDEX(Variables!$B$6:$D$6,IFERROR(MATCH(IF($B877="Robusta","Robusta",(IF($B877="","Arabica",$B877))&amp;" - "&amp;(IF($C877="","Commercial",$C877))),Variables!$B$1:$D$1,0),1)))*22.0462)*(L877/16.67),""))</f>
        <v>263062.61154169164</v>
      </c>
      <c r="X877" s="55" t="s">
        <v>37</v>
      </c>
      <c r="Y877" s="13" t="str">
        <f>IF($AX877="Cancelled","",IF(X877="","",IFERROR(IF(INDEX(Variables!$B$38:$B$47,MATCH(X877,Variables!$A$38:$A$47,0))="Yes","Yes","No"),"No")))</f>
        <v>Yes</v>
      </c>
      <c r="Z877" s="58">
        <v>46212</v>
      </c>
      <c r="AB877" s="31">
        <v>46218</v>
      </c>
      <c r="AC877" s="13" t="str">
        <f t="shared" si="40"/>
        <v>Approved</v>
      </c>
      <c r="AF877" s="71">
        <v>46227</v>
      </c>
      <c r="AG877" s="37">
        <f>IF($AX877="Cancelled","",IFERROR(IF(F877="","",F877-Variables!$B$13),""))</f>
        <v>46219</v>
      </c>
      <c r="AH877" s="13">
        <f>IF($AX877="Cancelled","",IFERROR(IF(AB877="","",(AVERAGE(E877:F877)-AB877)-Variables!$B$14),""))</f>
        <v>-44</v>
      </c>
      <c r="AJ877" s="47">
        <v>46231</v>
      </c>
      <c r="AK877" s="14">
        <f>IF($AX877="Cancelled","",IFERROR(IF(AJ877="","",IF(AND(AB877="",AF877=""),"",IF(AF877&gt;AB877,AF877+Variables!$B$15+Variables!$B$16+Variables!$B$17-AJ877,AB877+Variables!$B$16+Variables!$B$17-AJ877))),""))</f>
        <v>11</v>
      </c>
      <c r="AL877" s="48" t="s">
        <v>114</v>
      </c>
      <c r="AM877" s="13" t="s">
        <v>115</v>
      </c>
      <c r="AN877" s="13" t="s">
        <v>2298</v>
      </c>
      <c r="AP877" s="31">
        <v>46243</v>
      </c>
      <c r="AR877" s="13">
        <v>274309686</v>
      </c>
      <c r="AS877" s="31">
        <v>46243</v>
      </c>
      <c r="AU877" s="39">
        <v>46280</v>
      </c>
      <c r="AV877" s="13" t="s">
        <v>865</v>
      </c>
      <c r="AW877" s="39">
        <v>46280</v>
      </c>
      <c r="AX877" s="13" t="str">
        <f>IF(ISNUMBER(SEARCH("cancel",#REF!)),"Cancelled",IF(AND(AS877&lt;&gt;"",AU877&lt;&gt;"",AW877&lt;&gt;""),"Closed","Open"))</f>
        <v>Closed</v>
      </c>
      <c r="AY877" s="15" t="str">
        <f t="shared" si="39"/>
        <v>All dates received</v>
      </c>
      <c r="AZ877" s="13" t="s">
        <v>3050</v>
      </c>
      <c r="BA877" s="13" t="s">
        <v>3062</v>
      </c>
      <c r="BB877" s="13" t="s">
        <v>3052</v>
      </c>
      <c r="BC877" s="13" t="s">
        <v>3291</v>
      </c>
      <c r="BD877" s="13">
        <f>IF($AX877="Cancelled","",IFERROR(IF(OR(AS877="",AJ877=""),"",(AJ877+Variables!$B$18-AS877)),""))</f>
        <v>3</v>
      </c>
      <c r="BE877" s="13">
        <f>IF($AX877="Cancelled","",IFERROR(IF(OR(AW877="",AS877=""),"",(AS877+Variables!$B$19)-AW877),""))</f>
        <v>-32</v>
      </c>
      <c r="BF877" s="44">
        <f>IF($AX877="Cancelled","",IFERROR(W877*INDEX(Variables!$B$7:$D$7,IFERROR(MATCH(IF($B877="Robusta","Robusta",(IF($B877="","Arabica",$B877))&amp;" - "&amp;(IF($C877="","Commercial",$C877))),Variables!$B$1:$D$1,0),1))*(BE877/365),""))</f>
        <v>-1487.1544924890886</v>
      </c>
      <c r="BG877" s="44">
        <f>IF($AX877="Cancelled","",IFERROR((W877*INDEX(Variables!$B$7:$D$7,IFERROR(MATCH(IF($B877="Robusta","Robusta",(IF($B877="","Arabica",$B877))&amp;" - "&amp;(IF($C877="","Commercial",$C877))),Variables!$B$1:$D$1,0),1))*IFERROR(IF(AB877="","",(AVERAGE(E877:F877)-AB877)-Variables!$B$14),"")/365)+(L877/16.67*INDEX(Variables!$B$8:$D$8,IFERROR(MATCH(IF($B877="Robusta","Robusta",(IF($B877="","Arabica",$B877))&amp;" - "&amp;(IF($C877="","Commercial",$C877))),Variables!$B$1:$D$1,0),1))*IFERROR(IF(AB877="","",(AVERAGE(E877:F877)-AB877)-Variables!$B$14),""))+(W877*INDEX(Variables!$B$9:$D$9,IFERROR(MATCH(IF($B877="Robusta","Robusta",(IF($B877="","Arabica",$B877))&amp;" - "&amp;(IF($C877="","Commercial",$C877))),Variables!$B$1:$D$1,0),1))*IFERROR(IF(AB877="","",(AVERAGE(E877:F877)-AB877)-Variables!$B$14),"")/365),""))</f>
        <v>-3479.199327870806</v>
      </c>
      <c r="BH877" s="44">
        <f>IF($AX877="Cancelled","",IFERROR((W877*INDEX(Variables!$B$7:$D$7,IFERROR(MATCH(IF($B877="Robusta","Robusta",(IF($B877="","Arabica",$B877))&amp;" - "&amp;(IF($C877="","Commercial",$C877))),Variables!$B$1:$D$1,0),1))*AK877/365)+(L877/16.67*INDEX(Variables!$B$8:$D$8,IFERROR(MATCH(IF($B877="Robusta","Robusta",(IF($B877="","Arabica",$B877))&amp;" - "&amp;(IF($C877="","Commercial",$C877))),Variables!$B$1:$D$1,0),1))*AK877)+(W877*INDEX(Variables!$B$9:$D$9,IFERROR(MATCH(IF($B877="Robusta","Robusta",(IF($B877="","Arabica",$B877))&amp;" - "&amp;(IF($C877="","Commercial",$C877))),Variables!$B$1:$D$1,0),1))*AK877/365),""))</f>
        <v>869.79983196770149</v>
      </c>
      <c r="BI877" s="44">
        <f>IF($AX877="Cancelled","",IFERROR((W877*INDEX(Variables!$B$7:$D$7,IFERROR(MATCH(IF($B877="Robusta","Robusta",(IF($B877="","Arabica",$B877))&amp;" - "&amp;(IF($C877="","Commercial",$C877))),Variables!$B$1:$D$1,0),1))*BD877/365)+(L877/16.67*INDEX(Variables!$B$8:$D$8,IFERROR(MATCH(IF($B877="Robusta","Robusta",(IF($B877="","Arabica",$B877))&amp;" - "&amp;(IF($C877="","Commercial",$C877))),Variables!$B$1:$D$1,0),1))*BD877)+(W877*INDEX(Variables!$B$9:$D$9,IFERROR(MATCH(IF($B877="Robusta","Robusta",(IF($B877="","Arabica",$B877))&amp;" - "&amp;(IF($C877="","Commercial",$C877))),Variables!$B$1:$D$1,0),1))*BD877/365),""))</f>
        <v>237.2181359911913</v>
      </c>
      <c r="BJ877" s="44">
        <f t="shared" si="41"/>
        <v>-9</v>
      </c>
      <c r="BK877" s="44">
        <f>IF($AX877="Cancelled","",IFERROR(IF(BJ877="","",(W877*INDEX(Variables!$B$7:$D$7,IFERROR(MATCH(IF($B877="Robusta","Robusta",(IF($B877="","Arabica",$B877))&amp;" - "&amp;(IF($C877="","Commercial",$C877))),Variables!$B$1:$D$1,0),1))*(BJ877/365))+(W877*INDEX(Variables!$B$9:$D$9,IFERROR(MATCH(IF($B877="Robusta","Robusta",(IF($B877="","Arabica",$B877))&amp;" - "&amp;(IF($C877="","Commercial",$C877))),Variables!$B$1:$D$1,0),1))*(BJ877/365))+(INDEX(Variables!$B$8:$D$8,IFERROR(MATCH(IF($B877="Robusta","Robusta",(IF($B877="","Arabica",$B877))&amp;" - "&amp;(IF($C877="","Commercial",$C877))),Variables!$B$1:$D$1,0),1))*L877/16.67)),""))</f>
        <v>-391.65440797357394</v>
      </c>
    </row>
    <row r="878" spans="1:63">
      <c r="A878" s="13" t="s">
        <v>103</v>
      </c>
      <c r="B878" s="13" t="s">
        <v>104</v>
      </c>
      <c r="C878" s="13" t="s">
        <v>105</v>
      </c>
      <c r="D878" s="31">
        <v>46071</v>
      </c>
      <c r="E878" s="31">
        <v>46204</v>
      </c>
      <c r="F878" s="31">
        <v>46217</v>
      </c>
      <c r="G878" s="13">
        <v>3787309</v>
      </c>
      <c r="J878" s="13" t="s">
        <v>107</v>
      </c>
      <c r="K878" s="13">
        <v>5593</v>
      </c>
      <c r="L878" s="13">
        <v>1280</v>
      </c>
      <c r="M878" s="13">
        <v>4</v>
      </c>
      <c r="N878" s="13" t="s">
        <v>2294</v>
      </c>
      <c r="O878" s="13" t="s">
        <v>538</v>
      </c>
      <c r="P878" s="13">
        <v>10080</v>
      </c>
      <c r="R878" s="13" t="s">
        <v>110</v>
      </c>
      <c r="S878" s="13" t="s">
        <v>2297</v>
      </c>
      <c r="T878" s="13" t="s">
        <v>112</v>
      </c>
      <c r="U878" s="13" t="s">
        <v>113</v>
      </c>
      <c r="V878" s="23">
        <v>20</v>
      </c>
      <c r="W878" s="44">
        <f>IF($AX878="Cancelled","",IFERROR(((V878+INDEX(Variables!$B$6:$D$6,IFERROR(MATCH(IF($B878="Robusta","Robusta",(IF($B878="","Arabica",$B878))&amp;" - "&amp;(IF($C878="","Commercial",$C878))),Variables!$B$1:$D$1,0),1)))*22.0462)*(L878/16.67),""))</f>
        <v>526125.22308338329</v>
      </c>
      <c r="X878" s="55" t="s">
        <v>37</v>
      </c>
      <c r="Y878" s="13" t="str">
        <f>IF($AX878="Cancelled","",IF(X878="","",IFERROR(IF(INDEX(Variables!$B$38:$B$47,MATCH(X878,Variables!$A$38:$A$47,0))="Yes","Yes","No"),"No")))</f>
        <v>Yes</v>
      </c>
      <c r="Z878" s="58">
        <v>46212</v>
      </c>
      <c r="AB878" s="31">
        <v>46218</v>
      </c>
      <c r="AC878" s="13" t="str">
        <f t="shared" si="40"/>
        <v>Approved</v>
      </c>
      <c r="AF878" s="71">
        <v>46227</v>
      </c>
      <c r="AG878" s="37">
        <f>IF($AX878="Cancelled","",IFERROR(IF(F878="","",F878-Variables!$B$13),""))</f>
        <v>46202</v>
      </c>
      <c r="AH878" s="13">
        <f>IF($AX878="Cancelled","",IFERROR(IF(AB878="","",(AVERAGE(E878:F878)-AB878)-Variables!$B$14),""))</f>
        <v>-37.5</v>
      </c>
      <c r="AJ878" s="47">
        <v>46234</v>
      </c>
      <c r="AK878" s="14">
        <f>IF($AX878="Cancelled","",IFERROR(IF(AJ878="","",IF(AND(AB878="",AF878=""),"",IF(AF878&gt;AB878,AF878+Variables!$B$15+Variables!$B$16+Variables!$B$17-AJ878,AB878+Variables!$B$16+Variables!$B$17-AJ878))),""))</f>
        <v>8</v>
      </c>
      <c r="AL878" s="48" t="s">
        <v>114</v>
      </c>
      <c r="AM878" s="13" t="s">
        <v>115</v>
      </c>
      <c r="AN878" s="13" t="s">
        <v>2298</v>
      </c>
      <c r="AP878" s="31">
        <v>46243</v>
      </c>
      <c r="AR878" s="13">
        <v>274309191</v>
      </c>
      <c r="AS878" s="31">
        <v>46243</v>
      </c>
      <c r="AU878" s="39">
        <v>46281</v>
      </c>
      <c r="AV878" s="13" t="s">
        <v>865</v>
      </c>
      <c r="AW878" s="39">
        <v>46281</v>
      </c>
      <c r="AX878" s="13" t="str">
        <f>IF(ISNUMBER(SEARCH("cancel",#REF!)),"Cancelled",IF(AND(AS878&lt;&gt;"",AU878&lt;&gt;"",AW878&lt;&gt;""),"Closed","Open"))</f>
        <v>Closed</v>
      </c>
      <c r="AY878" s="15" t="str">
        <f t="shared" si="39"/>
        <v>All dates received</v>
      </c>
      <c r="AZ878" s="13" t="s">
        <v>3047</v>
      </c>
      <c r="BA878" s="13" t="s">
        <v>3051</v>
      </c>
      <c r="BB878" s="13" t="s">
        <v>3052</v>
      </c>
      <c r="BC878" s="13" t="s">
        <v>3292</v>
      </c>
      <c r="BD878" s="13">
        <f>IF($AX878="Cancelled","",IFERROR(IF(OR(AS878="",AJ878=""),"",(AJ878+Variables!$B$18-AS878)),""))</f>
        <v>6</v>
      </c>
      <c r="BE878" s="13">
        <f>IF($AX878="Cancelled","",IFERROR(IF(OR(AW878="",AS878=""),"",(AS878+Variables!$B$19)-AW878),""))</f>
        <v>-33</v>
      </c>
      <c r="BF878" s="44">
        <f>IF($AX878="Cancelled","",IFERROR(W878*INDEX(Variables!$B$7:$D$7,IFERROR(MATCH(IF($B878="Robusta","Robusta",(IF($B878="","Arabica",$B878))&amp;" - "&amp;(IF($C878="","Commercial",$C878))),Variables!$B$1:$D$1,0),1))*(BE878/365),""))</f>
        <v>-3067.2561407587455</v>
      </c>
      <c r="BG878" s="44">
        <f>IF($AX878="Cancelled","",IFERROR((W878*INDEX(Variables!$B$7:$D$7,IFERROR(MATCH(IF($B878="Robusta","Robusta",(IF($B878="","Arabica",$B878))&amp;" - "&amp;(IF($C878="","Commercial",$C878))),Variables!$B$1:$D$1,0),1))*IFERROR(IF(AB878="","",(AVERAGE(E878:F878)-AB878)-Variables!$B$14),"")/365)+(L878/16.67*INDEX(Variables!$B$8:$D$8,IFERROR(MATCH(IF($B878="Robusta","Robusta",(IF($B878="","Arabica",$B878))&amp;" - "&amp;(IF($C878="","Commercial",$C878))),Variables!$B$1:$D$1,0),1))*IFERROR(IF(AB878="","",(AVERAGE(E878:F878)-AB878)-Variables!$B$14),""))+(W878*INDEX(Variables!$B$9:$D$9,IFERROR(MATCH(IF($B878="Robusta","Robusta",(IF($B878="","Arabica",$B878))&amp;" - "&amp;(IF($C878="","Commercial",$C878))),Variables!$B$1:$D$1,0),1))*IFERROR(IF(AB878="","",(AVERAGE(E878:F878)-AB878)-Variables!$B$14),"")/365),""))</f>
        <v>-5930.4533997797826</v>
      </c>
      <c r="BH878" s="44">
        <f>IF($AX878="Cancelled","",IFERROR((W878*INDEX(Variables!$B$7:$D$7,IFERROR(MATCH(IF($B878="Robusta","Robusta",(IF($B878="","Arabica",$B878))&amp;" - "&amp;(IF($C878="","Commercial",$C878))),Variables!$B$1:$D$1,0),1))*AK878/365)+(L878/16.67*INDEX(Variables!$B$8:$D$8,IFERROR(MATCH(IF($B878="Robusta","Robusta",(IF($B878="","Arabica",$B878))&amp;" - "&amp;(IF($C878="","Commercial",$C878))),Variables!$B$1:$D$1,0),1))*AK878)+(W878*INDEX(Variables!$B$9:$D$9,IFERROR(MATCH(IF($B878="Robusta","Robusta",(IF($B878="","Arabica",$B878))&amp;" - "&amp;(IF($C878="","Commercial",$C878))),Variables!$B$1:$D$1,0),1))*AK878/365),""))</f>
        <v>1265.1633919530202</v>
      </c>
      <c r="BI878" s="44">
        <f>IF($AX878="Cancelled","",IFERROR((W878*INDEX(Variables!$B$7:$D$7,IFERROR(MATCH(IF($B878="Robusta","Robusta",(IF($B878="","Arabica",$B878))&amp;" - "&amp;(IF($C878="","Commercial",$C878))),Variables!$B$1:$D$1,0),1))*BD878/365)+(L878/16.67*INDEX(Variables!$B$8:$D$8,IFERROR(MATCH(IF($B878="Robusta","Robusta",(IF($B878="","Arabica",$B878))&amp;" - "&amp;(IF($C878="","Commercial",$C878))),Variables!$B$1:$D$1,0),1))*BD878)+(W878*INDEX(Variables!$B$9:$D$9,IFERROR(MATCH(IF($B878="Robusta","Robusta",(IF($B878="","Arabica",$B878))&amp;" - "&amp;(IF($C878="","Commercial",$C878))),Variables!$B$1:$D$1,0),1))*BD878/365),""))</f>
        <v>948.87254396476521</v>
      </c>
      <c r="BJ878" s="44">
        <f t="shared" si="41"/>
        <v>-26</v>
      </c>
      <c r="BK878" s="44">
        <f>IF($AX878="Cancelled","",IFERROR(IF(BJ878="","",(W878*INDEX(Variables!$B$7:$D$7,IFERROR(MATCH(IF($B878="Robusta","Robusta",(IF($B878="","Arabica",$B878))&amp;" - "&amp;(IF($C878="","Commercial",$C878))),Variables!$B$1:$D$1,0),1))*(BJ878/365))+(W878*INDEX(Variables!$B$9:$D$9,IFERROR(MATCH(IF($B878="Robusta","Robusta",(IF($B878="","Arabica",$B878))&amp;" - "&amp;(IF($C878="","Commercial",$C878))),Variables!$B$1:$D$1,0),1))*(BJ878/365))+(INDEX(Variables!$B$8:$D$8,IFERROR(MATCH(IF($B878="Robusta","Robusta",(IF($B878="","Arabica",$B878))&amp;" - "&amp;(IF($C878="","Commercial",$C878))),Variables!$B$1:$D$1,0),1))*L878/16.67)),""))</f>
        <v>-2383.7810238473162</v>
      </c>
    </row>
    <row r="879" spans="1:63">
      <c r="A879" s="13" t="s">
        <v>103</v>
      </c>
      <c r="B879" s="13" t="s">
        <v>104</v>
      </c>
      <c r="C879" s="13" t="s">
        <v>105</v>
      </c>
      <c r="D879" s="31">
        <v>46071</v>
      </c>
      <c r="E879" s="31">
        <v>46235</v>
      </c>
      <c r="F879" s="31">
        <v>46248</v>
      </c>
      <c r="G879" s="13">
        <v>3787310</v>
      </c>
      <c r="J879" s="13" t="s">
        <v>107</v>
      </c>
      <c r="K879" s="13">
        <v>5618</v>
      </c>
      <c r="L879" s="13">
        <v>1280</v>
      </c>
      <c r="M879" s="13">
        <v>4</v>
      </c>
      <c r="N879" s="13" t="s">
        <v>2294</v>
      </c>
      <c r="O879" s="13" t="s">
        <v>538</v>
      </c>
      <c r="P879" s="13">
        <v>10080</v>
      </c>
      <c r="R879" s="13" t="s">
        <v>110</v>
      </c>
      <c r="S879" s="13" t="s">
        <v>2297</v>
      </c>
      <c r="T879" s="13" t="s">
        <v>112</v>
      </c>
      <c r="U879" s="13" t="s">
        <v>113</v>
      </c>
      <c r="V879" s="23">
        <v>20</v>
      </c>
      <c r="W879" s="44">
        <f>IF($AX879="Cancelled","",IFERROR(((V879+INDEX(Variables!$B$6:$D$6,IFERROR(MATCH(IF($B879="Robusta","Robusta",(IF($B879="","Arabica",$B879))&amp;" - "&amp;(IF($C879="","Commercial",$C879))),Variables!$B$1:$D$1,0),1)))*22.0462)*(L879/16.67),""))</f>
        <v>526125.22308338329</v>
      </c>
      <c r="X879" s="55" t="s">
        <v>37</v>
      </c>
      <c r="Y879" s="13" t="str">
        <f>IF($AX879="Cancelled","",IF(X879="","",IFERROR(IF(INDEX(Variables!$B$38:$B$47,MATCH(X879,Variables!$A$38:$A$47,0))="Yes","Yes","No"),"No")))</f>
        <v>Yes</v>
      </c>
      <c r="Z879" s="58">
        <v>46217</v>
      </c>
      <c r="AB879" s="31">
        <v>46225</v>
      </c>
      <c r="AC879" s="13" t="str">
        <f t="shared" si="40"/>
        <v>Approved</v>
      </c>
      <c r="AF879" s="71">
        <v>46254</v>
      </c>
      <c r="AG879" s="37">
        <f>IF($AX879="Cancelled","",IFERROR(IF(F879="","",F879-Variables!$B$13),""))</f>
        <v>46233</v>
      </c>
      <c r="AH879" s="13">
        <f>IF($AX879="Cancelled","",IFERROR(IF(AB879="","",(AVERAGE(E879:F879)-AB879)-Variables!$B$14),""))</f>
        <v>-13.5</v>
      </c>
      <c r="AJ879" s="47">
        <v>46260</v>
      </c>
      <c r="AK879" s="14">
        <f>IF($AX879="Cancelled","",IFERROR(IF(AJ879="","",IF(AND(AB879="",AF879=""),"",IF(AF879&gt;AB879,AF879+Variables!$B$15+Variables!$B$16+Variables!$B$17-AJ879,AB879+Variables!$B$16+Variables!$B$17-AJ879))),""))</f>
        <v>9</v>
      </c>
      <c r="AL879" s="48" t="s">
        <v>224</v>
      </c>
      <c r="AM879" s="13" t="s">
        <v>115</v>
      </c>
      <c r="AN879" s="13" t="s">
        <v>2299</v>
      </c>
      <c r="AP879" s="31">
        <v>46269</v>
      </c>
      <c r="AR879" s="13">
        <v>275539762</v>
      </c>
      <c r="AS879" s="31">
        <v>46269</v>
      </c>
      <c r="AU879" s="39">
        <v>46301</v>
      </c>
      <c r="AV879" s="13" t="s">
        <v>865</v>
      </c>
      <c r="AW879" s="39">
        <v>46301</v>
      </c>
      <c r="AX879" s="13" t="str">
        <f>IF(ISNUMBER(SEARCH("cancel",#REF!)),"Cancelled",IF(AND(AS879&lt;&gt;"",AU879&lt;&gt;"",AW879&lt;&gt;""),"Closed","Open"))</f>
        <v>Closed</v>
      </c>
      <c r="AY879" s="15" t="str">
        <f t="shared" si="39"/>
        <v>All dates received</v>
      </c>
      <c r="AZ879" s="13" t="s">
        <v>3053</v>
      </c>
      <c r="BA879" s="13" t="s">
        <v>3048</v>
      </c>
      <c r="BB879" s="13" t="s">
        <v>3049</v>
      </c>
      <c r="BC879" s="13" t="s">
        <v>3293</v>
      </c>
      <c r="BD879" s="13">
        <f>IF($AX879="Cancelled","",IFERROR(IF(OR(AS879="",AJ879=""),"",(AJ879+Variables!$B$18-AS879)),""))</f>
        <v>6</v>
      </c>
      <c r="BE879" s="13">
        <f>IF($AX879="Cancelled","",IFERROR(IF(OR(AW879="",AS879=""),"",(AS879+Variables!$B$19)-AW879),""))</f>
        <v>-27</v>
      </c>
      <c r="BF879" s="44">
        <f>IF($AX879="Cancelled","",IFERROR(W879*INDEX(Variables!$B$7:$D$7,IFERROR(MATCH(IF($B879="Robusta","Robusta",(IF($B879="","Arabica",$B879))&amp;" - "&amp;(IF($C879="","Commercial",$C879))),Variables!$B$1:$D$1,0),1))*(BE879/365),""))</f>
        <v>-2509.5732060753371</v>
      </c>
      <c r="BG879" s="44">
        <f>IF($AX879="Cancelled","",IFERROR((W879*INDEX(Variables!$B$7:$D$7,IFERROR(MATCH(IF($B879="Robusta","Robusta",(IF($B879="","Arabica",$B879))&amp;" - "&amp;(IF($C879="","Commercial",$C879))),Variables!$B$1:$D$1,0),1))*IFERROR(IF(AB879="","",(AVERAGE(E879:F879)-AB879)-Variables!$B$14),"")/365)+(L879/16.67*INDEX(Variables!$B$8:$D$8,IFERROR(MATCH(IF($B879="Robusta","Robusta",(IF($B879="","Arabica",$B879))&amp;" - "&amp;(IF($C879="","Commercial",$C879))),Variables!$B$1:$D$1,0),1))*IFERROR(IF(AB879="","",(AVERAGE(E879:F879)-AB879)-Variables!$B$14),""))+(W879*INDEX(Variables!$B$9:$D$9,IFERROR(MATCH(IF($B879="Robusta","Robusta",(IF($B879="","Arabica",$B879))&amp;" - "&amp;(IF($C879="","Commercial",$C879))),Variables!$B$1:$D$1,0),1))*IFERROR(IF(AB879="","",(AVERAGE(E879:F879)-AB879)-Variables!$B$14),"")/365),""))</f>
        <v>-2134.9632239207222</v>
      </c>
      <c r="BH879" s="44">
        <f>IF($AX879="Cancelled","",IFERROR((W879*INDEX(Variables!$B$7:$D$7,IFERROR(MATCH(IF($B879="Robusta","Robusta",(IF($B879="","Arabica",$B879))&amp;" - "&amp;(IF($C879="","Commercial",$C879))),Variables!$B$1:$D$1,0),1))*AK879/365)+(L879/16.67*INDEX(Variables!$B$8:$D$8,IFERROR(MATCH(IF($B879="Robusta","Robusta",(IF($B879="","Arabica",$B879))&amp;" - "&amp;(IF($C879="","Commercial",$C879))),Variables!$B$1:$D$1,0),1))*AK879)+(W879*INDEX(Variables!$B$9:$D$9,IFERROR(MATCH(IF($B879="Robusta","Robusta",(IF($B879="","Arabica",$B879))&amp;" - "&amp;(IF($C879="","Commercial",$C879))),Variables!$B$1:$D$1,0),1))*AK879/365),""))</f>
        <v>1423.3088159471479</v>
      </c>
      <c r="BI879" s="44">
        <f>IF($AX879="Cancelled","",IFERROR((W879*INDEX(Variables!$B$7:$D$7,IFERROR(MATCH(IF($B879="Robusta","Robusta",(IF($B879="","Arabica",$B879))&amp;" - "&amp;(IF($C879="","Commercial",$C879))),Variables!$B$1:$D$1,0),1))*BD879/365)+(L879/16.67*INDEX(Variables!$B$8:$D$8,IFERROR(MATCH(IF($B879="Robusta","Robusta",(IF($B879="","Arabica",$B879))&amp;" - "&amp;(IF($C879="","Commercial",$C879))),Variables!$B$1:$D$1,0),1))*BD879)+(W879*INDEX(Variables!$B$9:$D$9,IFERROR(MATCH(IF($B879="Robusta","Robusta",(IF($B879="","Arabica",$B879))&amp;" - "&amp;(IF($C879="","Commercial",$C879))),Variables!$B$1:$D$1,0),1))*BD879/365),""))</f>
        <v>948.87254396476521</v>
      </c>
      <c r="BJ879" s="44">
        <f t="shared" si="41"/>
        <v>-21</v>
      </c>
      <c r="BK879" s="44">
        <f>IF($AX879="Cancelled","",IFERROR(IF(BJ879="","",(W879*INDEX(Variables!$B$7:$D$7,IFERROR(MATCH(IF($B879="Robusta","Robusta",(IF($B879="","Arabica",$B879))&amp;" - "&amp;(IF($C879="","Commercial",$C879))),Variables!$B$1:$D$1,0),1))*(BJ879/365))+(W879*INDEX(Variables!$B$9:$D$9,IFERROR(MATCH(IF($B879="Robusta","Robusta",(IF($B879="","Arabica",$B879))&amp;" - "&amp;(IF($C879="","Commercial",$C879))),Variables!$B$1:$D$1,0),1))*(BJ879/365))+(INDEX(Variables!$B$8:$D$8,IFERROR(MATCH(IF($B879="Robusta","Robusta",(IF($B879="","Arabica",$B879))&amp;" - "&amp;(IF($C879="","Commercial",$C879))),Variables!$B$1:$D$1,0),1))*L879/16.67)),""))</f>
        <v>-1913.0539038766785</v>
      </c>
    </row>
    <row r="880" spans="1:63" s="33" customFormat="1">
      <c r="A880" s="33" t="s">
        <v>103</v>
      </c>
      <c r="B880" s="13" t="s">
        <v>104</v>
      </c>
      <c r="C880" s="13" t="s">
        <v>105</v>
      </c>
      <c r="D880" s="31">
        <v>46071</v>
      </c>
      <c r="E880" s="31">
        <v>46266</v>
      </c>
      <c r="F880" s="31">
        <v>46279</v>
      </c>
      <c r="G880" s="33">
        <v>3787311</v>
      </c>
      <c r="H880" s="13"/>
      <c r="I880" s="13"/>
      <c r="J880" s="13" t="s">
        <v>107</v>
      </c>
      <c r="K880" s="13">
        <v>5638</v>
      </c>
      <c r="L880" s="13">
        <v>1280</v>
      </c>
      <c r="M880" s="13">
        <v>4</v>
      </c>
      <c r="N880" s="13" t="s">
        <v>2294</v>
      </c>
      <c r="O880" s="13" t="s">
        <v>538</v>
      </c>
      <c r="P880" s="13">
        <v>10080</v>
      </c>
      <c r="Q880" s="13"/>
      <c r="R880" s="13" t="s">
        <v>110</v>
      </c>
      <c r="S880" s="13" t="s">
        <v>2297</v>
      </c>
      <c r="T880" s="13" t="s">
        <v>112</v>
      </c>
      <c r="U880" s="13" t="s">
        <v>113</v>
      </c>
      <c r="V880" s="23">
        <v>20</v>
      </c>
      <c r="W880" s="44">
        <f>IF($AX880="Cancelled","",IFERROR(((V880+INDEX(Variables!$B$6:$D$6,IFERROR(MATCH(IF($B880="Robusta","Robusta",(IF($B880="","Arabica",$B880))&amp;" - "&amp;(IF($C880="","Commercial",$C880))),Variables!$B$1:$D$1,0),1)))*22.0462)*(L880/16.67),""))</f>
        <v>526125.22308338329</v>
      </c>
      <c r="X880" s="55" t="s">
        <v>37</v>
      </c>
      <c r="Y880" s="13" t="str">
        <f>IF($AX880="Cancelled","",IF(X880="","",IFERROR(IF(INDEX(Variables!$B$38:$B$47,MATCH(X880,Variables!$A$38:$A$47,0))="Yes","Yes","No"),"No")))</f>
        <v>Yes</v>
      </c>
      <c r="Z880" s="58">
        <v>46233</v>
      </c>
      <c r="AA880" s="13"/>
      <c r="AB880" s="31">
        <v>46238</v>
      </c>
      <c r="AC880" s="13" t="str">
        <f t="shared" si="40"/>
        <v>Approved</v>
      </c>
      <c r="AD880" s="31">
        <v>46266</v>
      </c>
      <c r="AE880" s="31"/>
      <c r="AF880" s="71">
        <v>46269</v>
      </c>
      <c r="AG880" s="37">
        <f>IF($AX880="Cancelled","",IFERROR(IF(F880="","",F880-Variables!$B$13),""))</f>
        <v>46264</v>
      </c>
      <c r="AH880" s="13">
        <f>IF($AX880="Cancelled","",IFERROR(IF(AB880="","",(AVERAGE(E880:F880)-AB880)-Variables!$B$14),""))</f>
        <v>4.5</v>
      </c>
      <c r="AI880" s="13"/>
      <c r="AJ880" s="47">
        <v>46282</v>
      </c>
      <c r="AK880" s="14">
        <f>IF($AX880="Cancelled","",IFERROR(IF(AJ880="","",IF(AND(AB880="",AF880=""),"",IF(AF880&gt;AB880,AF880+Variables!$B$15+Variables!$B$16+Variables!$B$17-AJ880,AB880+Variables!$B$16+Variables!$B$17-AJ880))),""))</f>
        <v>2</v>
      </c>
      <c r="AL880" s="48" t="s">
        <v>224</v>
      </c>
      <c r="AM880" s="33" t="s">
        <v>115</v>
      </c>
      <c r="AN880" s="33" t="s">
        <v>2300</v>
      </c>
      <c r="AO880" s="39">
        <v>46288</v>
      </c>
      <c r="AP880" s="39">
        <v>46294</v>
      </c>
      <c r="AQ880" s="39">
        <v>46358</v>
      </c>
      <c r="AR880" s="33">
        <v>276838436</v>
      </c>
      <c r="AS880" s="39">
        <v>46294</v>
      </c>
      <c r="AT880" s="39"/>
      <c r="AU880" s="39">
        <v>46316</v>
      </c>
      <c r="AV880" s="33" t="s">
        <v>865</v>
      </c>
      <c r="AW880" s="39">
        <v>46316</v>
      </c>
      <c r="AX880" s="33" t="str">
        <f>IF(ISNUMBER(SEARCH("cancel",#REF!)),"Cancelled",IF(AND(AS880&lt;&gt;"",AU880&lt;&gt;"",AW880&lt;&gt;""),"Closed","Open"))</f>
        <v>Closed</v>
      </c>
      <c r="AY880" s="15" t="str">
        <f t="shared" si="39"/>
        <v>All dates received</v>
      </c>
      <c r="AZ880" s="13" t="s">
        <v>3053</v>
      </c>
      <c r="BA880" s="33" t="s">
        <v>3048</v>
      </c>
      <c r="BB880" s="13" t="s">
        <v>3049</v>
      </c>
      <c r="BC880" s="33" t="s">
        <v>3294</v>
      </c>
      <c r="BD880" s="33">
        <f>IF($AX880="Cancelled","",IFERROR(IF(OR(AS880="",AJ880=""),"",(AJ880+Variables!$B$18-AS880)),""))</f>
        <v>3</v>
      </c>
      <c r="BE880" s="33">
        <f>IF($AX880="Cancelled","",IFERROR(IF(OR(AW880="",AS880=""),"",(AS880+Variables!$B$19)-AW880),""))</f>
        <v>-17</v>
      </c>
      <c r="BF880" s="43">
        <f>IF($AX880="Cancelled","",IFERROR(W880*INDEX(Variables!$B$7:$D$7,IFERROR(MATCH(IF($B880="Robusta","Robusta",(IF($B880="","Arabica",$B880))&amp;" - "&amp;(IF($C880="","Commercial",$C880))),Variables!$B$1:$D$1,0),1))*(BE880/365),""))</f>
        <v>-1580.1016482696568</v>
      </c>
      <c r="BG880" s="43">
        <f>IF($AX880="Cancelled","",IFERROR((W880*INDEX(Variables!$B$7:$D$7,IFERROR(MATCH(IF($B880="Robusta","Robusta",(IF($B880="","Arabica",$B880))&amp;" - "&amp;(IF($C880="","Commercial",$C880))),Variables!$B$1:$D$1,0),1))*IFERROR(IF(AB880="","",(AVERAGE(E880:F880)-AB880)-Variables!$B$14),"")/365)+(L880/16.67*INDEX(Variables!$B$8:$D$8,IFERROR(MATCH(IF($B880="Robusta","Robusta",(IF($B880="","Arabica",$B880))&amp;" - "&amp;(IF($C880="","Commercial",$C880))),Variables!$B$1:$D$1,0),1))*IFERROR(IF(AB880="","",(AVERAGE(E880:F880)-AB880)-Variables!$B$14),""))+(W880*INDEX(Variables!$B$9:$D$9,IFERROR(MATCH(IF($B880="Robusta","Robusta",(IF($B880="","Arabica",$B880))&amp;" - "&amp;(IF($C880="","Commercial",$C880))),Variables!$B$1:$D$1,0),1))*IFERROR(IF(AB880="","",(AVERAGE(E880:F880)-AB880)-Variables!$B$14),"")/365),""))</f>
        <v>711.65440797357394</v>
      </c>
      <c r="BH880" s="43">
        <f>IF($AX880="Cancelled","",IFERROR((W880*INDEX(Variables!$B$7:$D$7,IFERROR(MATCH(IF($B880="Robusta","Robusta",(IF($B880="","Arabica",$B880))&amp;" - "&amp;(IF($C880="","Commercial",$C880))),Variables!$B$1:$D$1,0),1))*AK880/365)+(L880/16.67*INDEX(Variables!$B$8:$D$8,IFERROR(MATCH(IF($B880="Robusta","Robusta",(IF($B880="","Arabica",$B880))&amp;" - "&amp;(IF($C880="","Commercial",$C880))),Variables!$B$1:$D$1,0),1))*AK880)+(W880*INDEX(Variables!$B$9:$D$9,IFERROR(MATCH(IF($B880="Robusta","Robusta",(IF($B880="","Arabica",$B880))&amp;" - "&amp;(IF($C880="","Commercial",$C880))),Variables!$B$1:$D$1,0),1))*AK880/365),""))</f>
        <v>316.29084798825505</v>
      </c>
      <c r="BI880" s="43">
        <f>IF($AX880="Cancelled","",IFERROR((W880*INDEX(Variables!$B$7:$D$7,IFERROR(MATCH(IF($B880="Robusta","Robusta",(IF($B880="","Arabica",$B880))&amp;" - "&amp;(IF($C880="","Commercial",$C880))),Variables!$B$1:$D$1,0),1))*BD880/365)+(L880/16.67*INDEX(Variables!$B$8:$D$8,IFERROR(MATCH(IF($B880="Robusta","Robusta",(IF($B880="","Arabica",$B880))&amp;" - "&amp;(IF($C880="","Commercial",$C880))),Variables!$B$1:$D$1,0),1))*BD880)+(W880*INDEX(Variables!$B$9:$D$9,IFERROR(MATCH(IF($B880="Robusta","Robusta",(IF($B880="","Arabica",$B880))&amp;" - "&amp;(IF($C880="","Commercial",$C880))),Variables!$B$1:$D$1,0),1))*BD880/365),""))</f>
        <v>474.43627198238261</v>
      </c>
      <c r="BJ880" s="43">
        <f t="shared" si="41"/>
        <v>-15</v>
      </c>
      <c r="BK880" s="43">
        <f>IF($AX880="Cancelled","",IFERROR(IF(BJ880="","",(W880*INDEX(Variables!$B$7:$D$7,IFERROR(MATCH(IF($B880="Robusta","Robusta",(IF($B880="","Arabica",$B880))&amp;" - "&amp;(IF($C880="","Commercial",$C880))),Variables!$B$1:$D$1,0),1))*(BJ880/365))+(W880*INDEX(Variables!$B$9:$D$9,IFERROR(MATCH(IF($B880="Robusta","Robusta",(IF($B880="","Arabica",$B880))&amp;" - "&amp;(IF($C880="","Commercial",$C880))),Variables!$B$1:$D$1,0),1))*(BJ880/365))+(INDEX(Variables!$B$8:$D$8,IFERROR(MATCH(IF($B880="Robusta","Robusta",(IF($B880="","Arabica",$B880))&amp;" - "&amp;(IF($C880="","Commercial",$C880))),Variables!$B$1:$D$1,0),1))*L880/16.67)),""))</f>
        <v>-1348.1813599119132</v>
      </c>
    </row>
    <row r="881" spans="1:63" s="33" customFormat="1">
      <c r="A881" s="33" t="s">
        <v>103</v>
      </c>
      <c r="B881" s="13" t="s">
        <v>104</v>
      </c>
      <c r="C881" s="13" t="s">
        <v>105</v>
      </c>
      <c r="D881" s="31">
        <v>46071</v>
      </c>
      <c r="E881" s="31">
        <v>46266</v>
      </c>
      <c r="F881" s="31">
        <v>46295</v>
      </c>
      <c r="G881" s="33">
        <v>3787312</v>
      </c>
      <c r="H881" s="13"/>
      <c r="I881" s="13"/>
      <c r="J881" s="13" t="s">
        <v>107</v>
      </c>
      <c r="K881" s="13">
        <v>5641</v>
      </c>
      <c r="L881" s="13">
        <v>1280</v>
      </c>
      <c r="M881" s="13">
        <v>4</v>
      </c>
      <c r="N881" s="13" t="s">
        <v>2294</v>
      </c>
      <c r="O881" s="13" t="s">
        <v>538</v>
      </c>
      <c r="P881" s="13">
        <v>10080</v>
      </c>
      <c r="Q881" s="13"/>
      <c r="R881" s="13" t="s">
        <v>110</v>
      </c>
      <c r="S881" s="13" t="s">
        <v>111</v>
      </c>
      <c r="T881" s="13" t="s">
        <v>112</v>
      </c>
      <c r="U881" s="13" t="s">
        <v>113</v>
      </c>
      <c r="V881" s="23">
        <v>20</v>
      </c>
      <c r="W881" s="44">
        <f>IF($AX881="Cancelled","",IFERROR(((V881+INDEX(Variables!$B$6:$D$6,IFERROR(MATCH(IF($B881="Robusta","Robusta",(IF($B881="","Arabica",$B881))&amp;" - "&amp;(IF($C881="","Commercial",$C881))),Variables!$B$1:$D$1,0),1)))*22.0462)*(L881/16.67),""))</f>
        <v>526125.22308338329</v>
      </c>
      <c r="X881" s="55" t="s">
        <v>37</v>
      </c>
      <c r="Y881" s="13" t="str">
        <f>IF($AX881="Cancelled","",IF(X881="","",IFERROR(IF(INDEX(Variables!$B$38:$B$47,MATCH(X881,Variables!$A$38:$A$47,0))="Yes","Yes","No"),"No")))</f>
        <v>Yes</v>
      </c>
      <c r="Z881" s="58">
        <v>46252</v>
      </c>
      <c r="AA881" s="13"/>
      <c r="AB881" s="31">
        <v>46259</v>
      </c>
      <c r="AC881" s="13" t="str">
        <f t="shared" si="40"/>
        <v>Approved</v>
      </c>
      <c r="AD881" s="31">
        <v>46282</v>
      </c>
      <c r="AE881" s="31"/>
      <c r="AF881" s="71">
        <v>46286</v>
      </c>
      <c r="AG881" s="37">
        <f>IF($AX881="Cancelled","",IFERROR(IF(F881="","",F881-Variables!$B$13),""))</f>
        <v>46280</v>
      </c>
      <c r="AH881" s="13">
        <f>IF($AX881="Cancelled","",IFERROR(IF(AB881="","",(AVERAGE(E881:F881)-AB881)-Variables!$B$14),""))</f>
        <v>-8.5</v>
      </c>
      <c r="AI881" s="13"/>
      <c r="AJ881" s="47">
        <v>46288</v>
      </c>
      <c r="AK881" s="14">
        <f>IF($AX881="Cancelled","",IFERROR(IF(AJ881="","",IF(AND(AB881="",AF881=""),"",IF(AF881&gt;AB881,AF881+Variables!$B$15+Variables!$B$16+Variables!$B$17-AJ881,AB881+Variables!$B$16+Variables!$B$17-AJ881))),""))</f>
        <v>13</v>
      </c>
      <c r="AL881" s="48" t="s">
        <v>224</v>
      </c>
      <c r="AM881" s="33" t="s">
        <v>115</v>
      </c>
      <c r="AN881" s="33" t="s">
        <v>2301</v>
      </c>
      <c r="AO881" s="39">
        <v>46295</v>
      </c>
      <c r="AP881" s="39">
        <v>46298</v>
      </c>
      <c r="AQ881" s="39">
        <v>46358</v>
      </c>
      <c r="AR881" s="33">
        <v>276838551</v>
      </c>
      <c r="AS881" s="39">
        <v>46299</v>
      </c>
      <c r="AT881" s="39"/>
      <c r="AU881" s="39">
        <v>46277</v>
      </c>
      <c r="AV881" s="33" t="s">
        <v>865</v>
      </c>
      <c r="AW881" s="39">
        <v>46314</v>
      </c>
      <c r="AX881" s="33" t="str">
        <f>IF(ISNUMBER(SEARCH("cancel",#REF!)),"Cancelled",IF(AND(AS881&lt;&gt;"",AU881&lt;&gt;"",AW881&lt;&gt;""),"Closed","Open"))</f>
        <v>Closed</v>
      </c>
      <c r="AY881" s="15" t="str">
        <f t="shared" si="39"/>
        <v>All dates received</v>
      </c>
      <c r="AZ881" s="13" t="s">
        <v>3053</v>
      </c>
      <c r="BA881" s="33" t="s">
        <v>3048</v>
      </c>
      <c r="BB881" s="13" t="s">
        <v>3049</v>
      </c>
      <c r="BC881" s="33" t="s">
        <v>3294</v>
      </c>
      <c r="BD881" s="33">
        <f>IF($AX881="Cancelled","",IFERROR(IF(OR(AS881="",AJ881=""),"",(AJ881+Variables!$B$18-AS881)),""))</f>
        <v>4</v>
      </c>
      <c r="BE881" s="33">
        <f>IF($AX881="Cancelled","",IFERROR(IF(OR(AW881="",AS881=""),"",(AS881+Variables!$B$19)-AW881),""))</f>
        <v>-10</v>
      </c>
      <c r="BF881" s="43">
        <f>IF($AX881="Cancelled","",IFERROR(W881*INDEX(Variables!$B$7:$D$7,IFERROR(MATCH(IF($B881="Robusta","Robusta",(IF($B881="","Arabica",$B881))&amp;" - "&amp;(IF($C881="","Commercial",$C881))),Variables!$B$1:$D$1,0),1))*(BE881/365),""))</f>
        <v>-929.47155780568039</v>
      </c>
      <c r="BG881" s="43">
        <f>IF($AX881="Cancelled","",IFERROR((W881*INDEX(Variables!$B$7:$D$7,IFERROR(MATCH(IF($B881="Robusta","Robusta",(IF($B881="","Arabica",$B881))&amp;" - "&amp;(IF($C881="","Commercial",$C881))),Variables!$B$1:$D$1,0),1))*IFERROR(IF(AB881="","",(AVERAGE(E881:F881)-AB881)-Variables!$B$14),"")/365)+(L881/16.67*INDEX(Variables!$B$8:$D$8,IFERROR(MATCH(IF($B881="Robusta","Robusta",(IF($B881="","Arabica",$B881))&amp;" - "&amp;(IF($C881="","Commercial",$C881))),Variables!$B$1:$D$1,0),1))*IFERROR(IF(AB881="","",(AVERAGE(E881:F881)-AB881)-Variables!$B$14),""))+(W881*INDEX(Variables!$B$9:$D$9,IFERROR(MATCH(IF($B881="Robusta","Robusta",(IF($B881="","Arabica",$B881))&amp;" - "&amp;(IF($C881="","Commercial",$C881))),Variables!$B$1:$D$1,0),1))*IFERROR(IF(AB881="","",(AVERAGE(E881:F881)-AB881)-Variables!$B$14),"")/365),""))</f>
        <v>-1344.236103950084</v>
      </c>
      <c r="BH881" s="43">
        <f>IF($AX881="Cancelled","",IFERROR((W881*INDEX(Variables!$B$7:$D$7,IFERROR(MATCH(IF($B881="Robusta","Robusta",(IF($B881="","Arabica",$B881))&amp;" - "&amp;(IF($C881="","Commercial",$C881))),Variables!$B$1:$D$1,0),1))*AK881/365)+(L881/16.67*INDEX(Variables!$B$8:$D$8,IFERROR(MATCH(IF($B881="Robusta","Robusta",(IF($B881="","Arabica",$B881))&amp;" - "&amp;(IF($C881="","Commercial",$C881))),Variables!$B$1:$D$1,0),1))*AK881)+(W881*INDEX(Variables!$B$9:$D$9,IFERROR(MATCH(IF($B881="Robusta","Robusta",(IF($B881="","Arabica",$B881))&amp;" - "&amp;(IF($C881="","Commercial",$C881))),Variables!$B$1:$D$1,0),1))*AK881/365),""))</f>
        <v>2055.8905119236583</v>
      </c>
      <c r="BI881" s="43">
        <f>IF($AX881="Cancelled","",IFERROR((W881*INDEX(Variables!$B$7:$D$7,IFERROR(MATCH(IF($B881="Robusta","Robusta",(IF($B881="","Arabica",$B881))&amp;" - "&amp;(IF($C881="","Commercial",$C881))),Variables!$B$1:$D$1,0),1))*BD881/365)+(L881/16.67*INDEX(Variables!$B$8:$D$8,IFERROR(MATCH(IF($B881="Robusta","Robusta",(IF($B881="","Arabica",$B881))&amp;" - "&amp;(IF($C881="","Commercial",$C881))),Variables!$B$1:$D$1,0),1))*BD881)+(W881*INDEX(Variables!$B$9:$D$9,IFERROR(MATCH(IF($B881="Robusta","Robusta",(IF($B881="","Arabica",$B881))&amp;" - "&amp;(IF($C881="","Commercial",$C881))),Variables!$B$1:$D$1,0),1))*BD881/365),""))</f>
        <v>632.5816959765101</v>
      </c>
      <c r="BJ881" s="43">
        <f t="shared" si="41"/>
        <v>-4</v>
      </c>
      <c r="BK881" s="43">
        <f>IF($AX881="Cancelled","",IFERROR(IF(BJ881="","",(W881*INDEX(Variables!$B$7:$D$7,IFERROR(MATCH(IF($B881="Robusta","Robusta",(IF($B881="","Arabica",$B881))&amp;" - "&amp;(IF($C881="","Commercial",$C881))),Variables!$B$1:$D$1,0),1))*(BJ881/365))+(W881*INDEX(Variables!$B$9:$D$9,IFERROR(MATCH(IF($B881="Robusta","Robusta",(IF($B881="","Arabica",$B881))&amp;" - "&amp;(IF($C881="","Commercial",$C881))),Variables!$B$1:$D$1,0),1))*(BJ881/365))+(INDEX(Variables!$B$8:$D$8,IFERROR(MATCH(IF($B881="Robusta","Robusta",(IF($B881="","Arabica",$B881))&amp;" - "&amp;(IF($C881="","Commercial",$C881))),Variables!$B$1:$D$1,0),1))*L881/16.67)),""))</f>
        <v>-312.58169597651016</v>
      </c>
    </row>
    <row r="882" spans="1:63">
      <c r="A882" s="13" t="s">
        <v>103</v>
      </c>
      <c r="B882" s="13" t="s">
        <v>104</v>
      </c>
      <c r="C882" s="13" t="s">
        <v>105</v>
      </c>
      <c r="D882" s="31">
        <v>46071</v>
      </c>
      <c r="E882" s="31">
        <v>46327</v>
      </c>
      <c r="F882" s="31">
        <v>46340</v>
      </c>
      <c r="G882" s="13">
        <v>3787313</v>
      </c>
      <c r="H882" s="13">
        <v>5667</v>
      </c>
      <c r="J882" s="13" t="s">
        <v>107</v>
      </c>
      <c r="K882" s="13">
        <v>5667</v>
      </c>
      <c r="L882" s="13">
        <v>1280</v>
      </c>
      <c r="M882" s="13">
        <v>4</v>
      </c>
      <c r="N882" s="13" t="s">
        <v>2294</v>
      </c>
      <c r="O882" s="13" t="s">
        <v>538</v>
      </c>
      <c r="P882" s="13">
        <v>10080</v>
      </c>
      <c r="R882" s="13" t="s">
        <v>110</v>
      </c>
      <c r="S882" s="13" t="s">
        <v>2297</v>
      </c>
      <c r="T882" s="13" t="s">
        <v>112</v>
      </c>
      <c r="U882" s="13" t="s">
        <v>113</v>
      </c>
      <c r="V882" s="23">
        <v>20</v>
      </c>
      <c r="W882" s="44">
        <f>IF($AX882="Cancelled","",IFERROR(((V882+INDEX(Variables!$B$6:$D$6,IFERROR(MATCH(IF($B882="Robusta","Robusta",(IF($B882="","Arabica",$B882))&amp;" - "&amp;(IF($C882="","Commercial",$C882))),Variables!$B$1:$D$1,0),1)))*22.0462)*(L882/16.67),""))</f>
        <v>526125.22308338329</v>
      </c>
      <c r="X882" s="55" t="s">
        <v>37</v>
      </c>
      <c r="Y882" s="13" t="str">
        <f>IF($AX882="Cancelled","",IF(X882="","",IFERROR(IF(INDEX(Variables!$B$38:$B$47,MATCH(X882,Variables!$A$38:$A$47,0))="Yes","Yes","No"),"No")))</f>
        <v>Yes</v>
      </c>
      <c r="Z882" s="58">
        <v>46282</v>
      </c>
      <c r="AB882" s="31">
        <v>46287</v>
      </c>
      <c r="AC882" s="13" t="str">
        <f t="shared" si="40"/>
        <v>Approved</v>
      </c>
      <c r="AF882" s="71">
        <v>46309</v>
      </c>
      <c r="AG882" s="37">
        <f>IF($AX882="Cancelled","",IFERROR(IF(F882="","",F882-Variables!$B$13),""))</f>
        <v>46325</v>
      </c>
      <c r="AH882" s="13">
        <f>IF($AX882="Cancelled","",IFERROR(IF(AB882="","",(AVERAGE(E882:F882)-AB882)-Variables!$B$14),""))</f>
        <v>16.5</v>
      </c>
      <c r="AJ882" s="47">
        <v>46311</v>
      </c>
      <c r="AK882" s="14">
        <f>IF($AX882="Cancelled","",IFERROR(IF(AJ882="","",IF(AND(AB882="",AF882=""),"",IF(AF882&gt;AB882,AF882+Variables!$B$15+Variables!$B$16+Variables!$B$17-AJ882,AB882+Variables!$B$16+Variables!$B$17-AJ882))),""))</f>
        <v>13</v>
      </c>
      <c r="AM882" s="13" t="s">
        <v>168</v>
      </c>
      <c r="AN882" s="13" t="s">
        <v>2302</v>
      </c>
      <c r="AO882" s="31">
        <v>46312</v>
      </c>
      <c r="AP882" s="39">
        <v>46320</v>
      </c>
      <c r="AQ882" s="31">
        <v>46412</v>
      </c>
      <c r="AR882" s="13" t="s">
        <v>2303</v>
      </c>
      <c r="AS882" s="31">
        <v>46326</v>
      </c>
      <c r="AV882" s="13" t="e">
        <v>#REF!</v>
      </c>
      <c r="AX882" s="13" t="str">
        <f>IF(ISNUMBER(SEARCH("cancel",#REF!)),"Cancelled",IF(AND(AS882&lt;&gt;"",AU882&lt;&gt;"",AW882&lt;&gt;""),"Closed","Open"))</f>
        <v>Open</v>
      </c>
      <c r="AY882" s="15" t="str">
        <f t="shared" si="39"/>
        <v>No shipping advice sent and No docs dispatch date</v>
      </c>
      <c r="BD882" s="13">
        <f>IF($AX882="Cancelled","",IFERROR(IF(OR(AS882="",AJ882=""),"",(AJ882+Variables!$B$18-AS882)),""))</f>
        <v>0</v>
      </c>
      <c r="BE882" s="13" t="str">
        <f>IF($AX882="Cancelled","",IFERROR(IF(OR(AW882="",AS882=""),"",(AS882+Variables!$B$19)-AW882),""))</f>
        <v/>
      </c>
      <c r="BF882" s="44" t="str">
        <f>IF($AX882="Cancelled","",IFERROR(W882*INDEX(Variables!$B$7:$D$7,IFERROR(MATCH(IF($B882="Robusta","Robusta",(IF($B882="","Arabica",$B882))&amp;" - "&amp;(IF($C882="","Commercial",$C882))),Variables!$B$1:$D$1,0),1))*(BE882/365),""))</f>
        <v/>
      </c>
      <c r="BG882" s="44">
        <f>IF($AX882="Cancelled","",IFERROR((W882*INDEX(Variables!$B$7:$D$7,IFERROR(MATCH(IF($B882="Robusta","Robusta",(IF($B882="","Arabica",$B882))&amp;" - "&amp;(IF($C882="","Commercial",$C882))),Variables!$B$1:$D$1,0),1))*IFERROR(IF(AB882="","",(AVERAGE(E882:F882)-AB882)-Variables!$B$14),"")/365)+(L882/16.67*INDEX(Variables!$B$8:$D$8,IFERROR(MATCH(IF($B882="Robusta","Robusta",(IF($B882="","Arabica",$B882))&amp;" - "&amp;(IF($C882="","Commercial",$C882))),Variables!$B$1:$D$1,0),1))*IFERROR(IF(AB882="","",(AVERAGE(E882:F882)-AB882)-Variables!$B$14),""))+(W882*INDEX(Variables!$B$9:$D$9,IFERROR(MATCH(IF($B882="Robusta","Robusta",(IF($B882="","Arabica",$B882))&amp;" - "&amp;(IF($C882="","Commercial",$C882))),Variables!$B$1:$D$1,0),1))*IFERROR(IF(AB882="","",(AVERAGE(E882:F882)-AB882)-Variables!$B$14),"")/365),""))</f>
        <v>2609.3994959031043</v>
      </c>
      <c r="BH882" s="44">
        <f>IF($AX882="Cancelled","",IFERROR((W882*INDEX(Variables!$B$7:$D$7,IFERROR(MATCH(IF($B882="Robusta","Robusta",(IF($B882="","Arabica",$B882))&amp;" - "&amp;(IF($C882="","Commercial",$C882))),Variables!$B$1:$D$1,0),1))*AK882/365)+(L882/16.67*INDEX(Variables!$B$8:$D$8,IFERROR(MATCH(IF($B882="Robusta","Robusta",(IF($B882="","Arabica",$B882))&amp;" - "&amp;(IF($C882="","Commercial",$C882))),Variables!$B$1:$D$1,0),1))*AK882)+(W882*INDEX(Variables!$B$9:$D$9,IFERROR(MATCH(IF($B882="Robusta","Robusta",(IF($B882="","Arabica",$B882))&amp;" - "&amp;(IF($C882="","Commercial",$C882))),Variables!$B$1:$D$1,0),1))*AK882/365),""))</f>
        <v>2055.8905119236583</v>
      </c>
      <c r="BI882" s="44">
        <f>IF($AX882="Cancelled","",IFERROR((W882*INDEX(Variables!$B$7:$D$7,IFERROR(MATCH(IF($B882="Robusta","Robusta",(IF($B882="","Arabica",$B882))&amp;" - "&amp;(IF($C882="","Commercial",$C882))),Variables!$B$1:$D$1,0),1))*BD882/365)+(L882/16.67*INDEX(Variables!$B$8:$D$8,IFERROR(MATCH(IF($B882="Robusta","Robusta",(IF($B882="","Arabica",$B882))&amp;" - "&amp;(IF($C882="","Commercial",$C882))),Variables!$B$1:$D$1,0),1))*BD882)+(W882*INDEX(Variables!$B$9:$D$9,IFERROR(MATCH(IF($B882="Robusta","Robusta",(IF($B882="","Arabica",$B882))&amp;" - "&amp;(IF($C882="","Commercial",$C882))),Variables!$B$1:$D$1,0),1))*BD882/365),""))</f>
        <v>0</v>
      </c>
      <c r="BJ882" s="44">
        <f t="shared" si="41"/>
        <v>14</v>
      </c>
      <c r="BK882" s="44">
        <f>IF($AX882="Cancelled","",IFERROR(IF(BJ882="","",(W882*INDEX(Variables!$B$7:$D$7,IFERROR(MATCH(IF($B882="Robusta","Robusta",(IF($B882="","Arabica",$B882))&amp;" - "&amp;(IF($C882="","Commercial",$C882))),Variables!$B$1:$D$1,0),1))*(BJ882/365))+(W882*INDEX(Variables!$B$9:$D$9,IFERROR(MATCH(IF($B882="Robusta","Robusta",(IF($B882="","Arabica",$B882))&amp;" - "&amp;(IF($C882="","Commercial",$C882))),Variables!$B$1:$D$1,0),1))*(BJ882/365))+(INDEX(Variables!$B$8:$D$8,IFERROR(MATCH(IF($B882="Robusta","Robusta",(IF($B882="","Arabica",$B882))&amp;" - "&amp;(IF($C882="","Commercial",$C882))),Variables!$B$1:$D$1,0),1))*L882/16.67)),""))</f>
        <v>1382.0359359177855</v>
      </c>
    </row>
    <row r="883" spans="1:63">
      <c r="A883" s="13" t="s">
        <v>103</v>
      </c>
      <c r="B883" s="13" t="s">
        <v>104</v>
      </c>
      <c r="C883" s="13" t="s">
        <v>105</v>
      </c>
      <c r="D883" s="31">
        <v>46071</v>
      </c>
      <c r="E883" s="31">
        <v>46357</v>
      </c>
      <c r="F883" s="31">
        <v>46370</v>
      </c>
      <c r="G883" s="13">
        <v>3787314</v>
      </c>
      <c r="J883" s="13" t="s">
        <v>107</v>
      </c>
      <c r="L883" s="13">
        <v>1280</v>
      </c>
      <c r="M883" s="13">
        <v>4</v>
      </c>
      <c r="N883" s="13" t="s">
        <v>2294</v>
      </c>
      <c r="O883" s="13" t="s">
        <v>538</v>
      </c>
      <c r="P883" s="13">
        <v>10080</v>
      </c>
      <c r="R883" s="13" t="s">
        <v>110</v>
      </c>
      <c r="V883" s="23">
        <v>20</v>
      </c>
      <c r="W883" s="44">
        <f>IF($AX883="Cancelled","",IFERROR(((V883+INDEX(Variables!$B$6:$D$6,IFERROR(MATCH(IF($B883="Robusta","Robusta",(IF($B883="","Arabica",$B883))&amp;" - "&amp;(IF($C883="","Commercial",$C883))),Variables!$B$1:$D$1,0),1)))*22.0462)*(L883/16.67),""))</f>
        <v>526125.22308338329</v>
      </c>
      <c r="X883" s="55" t="s">
        <v>37</v>
      </c>
      <c r="Y883" s="13" t="str">
        <f>IF($AX883="Cancelled","",IF(X883="","",IFERROR(IF(INDEX(Variables!$B$38:$B$47,MATCH(X883,Variables!$A$38:$A$47,0))="Yes","Yes","No"),"No")))</f>
        <v>Yes</v>
      </c>
      <c r="Z883" s="58" t="s">
        <v>2304</v>
      </c>
      <c r="AC883" s="13" t="str">
        <f t="shared" si="40"/>
        <v/>
      </c>
      <c r="AF883" s="71"/>
      <c r="AG883" s="37">
        <f>IF($AX883="Cancelled","",IFERROR(IF(F883="","",F883-Variables!$B$13),""))</f>
        <v>46355</v>
      </c>
      <c r="AH883" s="13" t="str">
        <f>IF($AX883="Cancelled","",IFERROR(IF(AB883="","",(AVERAGE(E883:F883)-AB883)-Variables!$B$14),""))</f>
        <v/>
      </c>
      <c r="AK883" s="14" t="str">
        <f>IF($AX883="Cancelled","",IFERROR(IF(AJ883="","",IF(AND(AB883="",AF883=""),"",IF(AF883&gt;AB883,AF883+Variables!$B$15+Variables!$B$16+Variables!$B$17-AJ883,AB883+Variables!$B$16+Variables!$B$17-AJ883))),""))</f>
        <v/>
      </c>
      <c r="AM883" s="13" t="e">
        <v>#REF!</v>
      </c>
      <c r="AN883" s="13">
        <v>0</v>
      </c>
      <c r="AP883" s="39"/>
      <c r="AR883" s="13" t="e">
        <v>#REF!</v>
      </c>
      <c r="AV883" s="13" t="e">
        <v>#REF!</v>
      </c>
      <c r="AX883" s="13" t="str">
        <f>IF(ISNUMBER(SEARCH("cancel",#REF!)),"Cancelled",IF(AND(AS883&lt;&gt;"",AU883&lt;&gt;"",AW883&lt;&gt;""),"Closed","Open"))</f>
        <v>Open</v>
      </c>
      <c r="AY883" s="15" t="str">
        <f t="shared" si="39"/>
        <v>No sailing date and No shipping advice sent and No docs dispatch date</v>
      </c>
      <c r="BD883" s="13" t="str">
        <f>IF($AX883="Cancelled","",IFERROR(IF(OR(AS883="",AJ883=""),"",(AJ883+Variables!$B$18-AS883)),""))</f>
        <v/>
      </c>
      <c r="BE883" s="13" t="str">
        <f>IF($AX883="Cancelled","",IFERROR(IF(OR(AW883="",AS883=""),"",(AS883+Variables!$B$19)-AW883),""))</f>
        <v/>
      </c>
      <c r="BF883" s="44" t="str">
        <f>IF($AX883="Cancelled","",IFERROR(W883*INDEX(Variables!$B$7:$D$7,IFERROR(MATCH(IF($B883="Robusta","Robusta",(IF($B883="","Arabica",$B883))&amp;" - "&amp;(IF($C883="","Commercial",$C883))),Variables!$B$1:$D$1,0),1))*(BE883/365),""))</f>
        <v/>
      </c>
      <c r="BG883" s="44" t="str">
        <f>IF($AX883="Cancelled","",IFERROR((W883*INDEX(Variables!$B$7:$D$7,IFERROR(MATCH(IF($B883="Robusta","Robusta",(IF($B883="","Arabica",$B883))&amp;" - "&amp;(IF($C883="","Commercial",$C883))),Variables!$B$1:$D$1,0),1))*IFERROR(IF(AB883="","",(AVERAGE(E883:F883)-AB883)-Variables!$B$14),"")/365)+(L883/16.67*INDEX(Variables!$B$8:$D$8,IFERROR(MATCH(IF($B883="Robusta","Robusta",(IF($B883="","Arabica",$B883))&amp;" - "&amp;(IF($C883="","Commercial",$C883))),Variables!$B$1:$D$1,0),1))*IFERROR(IF(AB883="","",(AVERAGE(E883:F883)-AB883)-Variables!$B$14),""))+(W883*INDEX(Variables!$B$9:$D$9,IFERROR(MATCH(IF($B883="Robusta","Robusta",(IF($B883="","Arabica",$B883))&amp;" - "&amp;(IF($C883="","Commercial",$C883))),Variables!$B$1:$D$1,0),1))*IFERROR(IF(AB883="","",(AVERAGE(E883:F883)-AB883)-Variables!$B$14),"")/365),""))</f>
        <v/>
      </c>
      <c r="BH883" s="44" t="str">
        <f>IF($AX883="Cancelled","",IFERROR((W883*INDEX(Variables!$B$7:$D$7,IFERROR(MATCH(IF($B883="Robusta","Robusta",(IF($B883="","Arabica",$B883))&amp;" - "&amp;(IF($C883="","Commercial",$C883))),Variables!$B$1:$D$1,0),1))*AK883/365)+(L883/16.67*INDEX(Variables!$B$8:$D$8,IFERROR(MATCH(IF($B883="Robusta","Robusta",(IF($B883="","Arabica",$B883))&amp;" - "&amp;(IF($C883="","Commercial",$C883))),Variables!$B$1:$D$1,0),1))*AK883)+(W883*INDEX(Variables!$B$9:$D$9,IFERROR(MATCH(IF($B883="Robusta","Robusta",(IF($B883="","Arabica",$B883))&amp;" - "&amp;(IF($C883="","Commercial",$C883))),Variables!$B$1:$D$1,0),1))*AK883/365),""))</f>
        <v/>
      </c>
      <c r="BI883" s="44" t="str">
        <f>IF($AX883="Cancelled","",IFERROR((W883*INDEX(Variables!$B$7:$D$7,IFERROR(MATCH(IF($B883="Robusta","Robusta",(IF($B883="","Arabica",$B883))&amp;" - "&amp;(IF($C883="","Commercial",$C883))),Variables!$B$1:$D$1,0),1))*BD883/365)+(L883/16.67*INDEX(Variables!$B$8:$D$8,IFERROR(MATCH(IF($B883="Robusta","Robusta",(IF($B883="","Arabica",$B883))&amp;" - "&amp;(IF($C883="","Commercial",$C883))),Variables!$B$1:$D$1,0),1))*BD883)+(W883*INDEX(Variables!$B$9:$D$9,IFERROR(MATCH(IF($B883="Robusta","Robusta",(IF($B883="","Arabica",$B883))&amp;" - "&amp;(IF($C883="","Commercial",$C883))),Variables!$B$1:$D$1,0),1))*BD883/365),""))</f>
        <v/>
      </c>
      <c r="BJ883" s="44" t="str">
        <f t="shared" si="41"/>
        <v/>
      </c>
      <c r="BK883" s="44" t="str">
        <f>IF($AX883="Cancelled","",IFERROR(IF(BJ883="","",(W883*INDEX(Variables!$B$7:$D$7,IFERROR(MATCH(IF($B883="Robusta","Robusta",(IF($B883="","Arabica",$B883))&amp;" - "&amp;(IF($C883="","Commercial",$C883))),Variables!$B$1:$D$1,0),1))*(BJ883/365))+(W883*INDEX(Variables!$B$9:$D$9,IFERROR(MATCH(IF($B883="Robusta","Robusta",(IF($B883="","Arabica",$B883))&amp;" - "&amp;(IF($C883="","Commercial",$C883))),Variables!$B$1:$D$1,0),1))*(BJ883/365))+(INDEX(Variables!$B$8:$D$8,IFERROR(MATCH(IF($B883="Robusta","Robusta",(IF($B883="","Arabica",$B883))&amp;" - "&amp;(IF($C883="","Commercial",$C883))),Variables!$B$1:$D$1,0),1))*L883/16.67)),""))</f>
        <v/>
      </c>
    </row>
    <row r="884" spans="1:63">
      <c r="A884" s="13" t="s">
        <v>103</v>
      </c>
      <c r="B884" s="13" t="s">
        <v>104</v>
      </c>
      <c r="C884" s="13" t="s">
        <v>105</v>
      </c>
      <c r="D884" s="31">
        <v>46071</v>
      </c>
      <c r="E884" s="31">
        <v>46082</v>
      </c>
      <c r="F884" s="31">
        <v>46095</v>
      </c>
      <c r="G884" s="13">
        <v>3787315</v>
      </c>
      <c r="H884" s="13" t="s">
        <v>2305</v>
      </c>
      <c r="J884" s="13" t="s">
        <v>107</v>
      </c>
      <c r="K884" s="13" t="s">
        <v>2305</v>
      </c>
      <c r="L884" s="13">
        <v>160</v>
      </c>
      <c r="M884" s="13">
        <v>1</v>
      </c>
      <c r="N884" s="13" t="s">
        <v>2306</v>
      </c>
      <c r="O884" s="13" t="s">
        <v>120</v>
      </c>
      <c r="P884" s="13">
        <v>10070</v>
      </c>
      <c r="R884" s="13" t="s">
        <v>122</v>
      </c>
      <c r="S884" s="13" t="s">
        <v>2121</v>
      </c>
      <c r="T884" s="13" t="s">
        <v>112</v>
      </c>
      <c r="U884" s="13" t="s">
        <v>113</v>
      </c>
      <c r="V884" s="13">
        <v>20</v>
      </c>
      <c r="W884" s="44">
        <f>IF($AX884="Cancelled","",IFERROR(((V884+INDEX(Variables!$B$6:$D$6,IFERROR(MATCH(IF($B884="Robusta","Robusta",(IF($B884="","Arabica",$B884))&amp;" - "&amp;(IF($C884="","Commercial",$C884))),Variables!$B$1:$D$1,0),1)))*22.0462)*(L884/16.67),""))</f>
        <v>65765.652885422911</v>
      </c>
      <c r="X884" s="55" t="s">
        <v>37</v>
      </c>
      <c r="Y884" s="13" t="str">
        <f>IF($AX884="Cancelled","",IF(X884="","",IFERROR(IF(INDEX(Variables!$B$38:$B$47,MATCH(X884,Variables!$A$38:$A$47,0))="Yes","Yes","No"),"No")))</f>
        <v>Yes</v>
      </c>
      <c r="Z884" s="58">
        <v>46072</v>
      </c>
      <c r="AB884" s="31">
        <v>46079</v>
      </c>
      <c r="AC884" s="13" t="str">
        <f t="shared" si="40"/>
        <v>Approved</v>
      </c>
      <c r="AF884" s="71">
        <v>46104</v>
      </c>
      <c r="AG884" s="37">
        <f>IF($AX884="Cancelled","",IFERROR(IF(F884="","",F884-Variables!$B$13),""))</f>
        <v>46080</v>
      </c>
      <c r="AH884" s="13">
        <f>IF($AX884="Cancelled","",IFERROR(IF(AB884="","",(AVERAGE(E884:F884)-AB884)-Variables!$B$14),""))</f>
        <v>-20.5</v>
      </c>
      <c r="AJ884" s="47">
        <v>46106</v>
      </c>
      <c r="AK884" s="14">
        <f>IF($AX884="Cancelled","",IFERROR(IF(AJ884="","",IF(AND(AB884="",AF884=""),"",IF(AF884&gt;AB884,AF884+Variables!$B$15+Variables!$B$16+Variables!$B$17-AJ884,AB884+Variables!$B$16+Variables!$B$17-AJ884))),""))</f>
        <v>13</v>
      </c>
      <c r="AL884" s="48" t="s">
        <v>114</v>
      </c>
      <c r="AM884" s="13" t="s">
        <v>168</v>
      </c>
      <c r="AN884" s="13" t="s">
        <v>1470</v>
      </c>
      <c r="AP884" s="39">
        <v>46117</v>
      </c>
      <c r="AR884" s="13" t="s">
        <v>2307</v>
      </c>
      <c r="AS884" s="31">
        <v>46117</v>
      </c>
      <c r="AU884" s="31">
        <v>46163</v>
      </c>
      <c r="AV884" s="13" t="s">
        <v>865</v>
      </c>
      <c r="AW884" s="31">
        <v>46163</v>
      </c>
      <c r="AX884" s="13" t="str">
        <f>IF(ISNUMBER(SEARCH("cancel",#REF!)),"Cancelled",IF(AND(AS884&lt;&gt;"",AU884&lt;&gt;"",AW884&lt;&gt;""),"Closed","Open"))</f>
        <v>Closed</v>
      </c>
      <c r="AY884" s="15" t="str">
        <f t="shared" si="39"/>
        <v>All dates received</v>
      </c>
      <c r="BD884" s="13">
        <f>IF($AX884="Cancelled","",IFERROR(IF(OR(AS884="",AJ884=""),"",(AJ884+Variables!$B$18-AS884)),""))</f>
        <v>4</v>
      </c>
      <c r="BE884" s="13">
        <f>IF($AX884="Cancelled","",IFERROR(IF(OR(AW884="",AS884=""),"",(AS884+Variables!$B$19)-AW884),""))</f>
        <v>-41</v>
      </c>
      <c r="BF884" s="44">
        <f>IF($AX884="Cancelled","",IFERROR(W884*INDEX(Variables!$B$7:$D$7,IFERROR(MATCH(IF($B884="Robusta","Robusta",(IF($B884="","Arabica",$B884))&amp;" - "&amp;(IF($C884="","Commercial",$C884))),Variables!$B$1:$D$1,0),1))*(BE884/365),""))</f>
        <v>-476.35417337541122</v>
      </c>
      <c r="BG884" s="44">
        <f>IF($AX884="Cancelled","",IFERROR((W884*INDEX(Variables!$B$7:$D$7,IFERROR(MATCH(IF($B884="Robusta","Robusta",(IF($B884="","Arabica",$B884))&amp;" - "&amp;(IF($C884="","Commercial",$C884))),Variables!$B$1:$D$1,0),1))*IFERROR(IF(AB884="","",(AVERAGE(E884:F884)-AB884)-Variables!$B$14),"")/365)+(L884/16.67*INDEX(Variables!$B$8:$D$8,IFERROR(MATCH(IF($B884="Robusta","Robusta",(IF($B884="","Arabica",$B884))&amp;" - "&amp;(IF($C884="","Commercial",$C884))),Variables!$B$1:$D$1,0),1))*IFERROR(IF(AB884="","",(AVERAGE(E884:F884)-AB884)-Variables!$B$14),""))+(W884*INDEX(Variables!$B$9:$D$9,IFERROR(MATCH(IF($B884="Robusta","Robusta",(IF($B884="","Arabica",$B884))&amp;" - "&amp;(IF($C884="","Commercial",$C884))),Variables!$B$1:$D$1,0),1))*IFERROR(IF(AB884="","",(AVERAGE(E884:F884)-AB884)-Variables!$B$14),"")/365),""))</f>
        <v>-405.24764898495181</v>
      </c>
      <c r="BH884" s="44">
        <f>IF($AX884="Cancelled","",IFERROR((W884*INDEX(Variables!$B$7:$D$7,IFERROR(MATCH(IF($B884="Robusta","Robusta",(IF($B884="","Arabica",$B884))&amp;" - "&amp;(IF($C884="","Commercial",$C884))),Variables!$B$1:$D$1,0),1))*AK884/365)+(L884/16.67*INDEX(Variables!$B$8:$D$8,IFERROR(MATCH(IF($B884="Robusta","Robusta",(IF($B884="","Arabica",$B884))&amp;" - "&amp;(IF($C884="","Commercial",$C884))),Variables!$B$1:$D$1,0),1))*AK884)+(W884*INDEX(Variables!$B$9:$D$9,IFERROR(MATCH(IF($B884="Robusta","Robusta",(IF($B884="","Arabica",$B884))&amp;" - "&amp;(IF($C884="","Commercial",$C884))),Variables!$B$1:$D$1,0),1))*AK884/365),""))</f>
        <v>256.98631399045729</v>
      </c>
      <c r="BI884" s="44">
        <f>IF($AX884="Cancelled","",IFERROR((W884*INDEX(Variables!$B$7:$D$7,IFERROR(MATCH(IF($B884="Robusta","Robusta",(IF($B884="","Arabica",$B884))&amp;" - "&amp;(IF($C884="","Commercial",$C884))),Variables!$B$1:$D$1,0),1))*BD884/365)+(L884/16.67*INDEX(Variables!$B$8:$D$8,IFERROR(MATCH(IF($B884="Robusta","Robusta",(IF($B884="","Arabica",$B884))&amp;" - "&amp;(IF($C884="","Commercial",$C884))),Variables!$B$1:$D$1,0),1))*BD884)+(W884*INDEX(Variables!$B$9:$D$9,IFERROR(MATCH(IF($B884="Robusta","Robusta",(IF($B884="","Arabica",$B884))&amp;" - "&amp;(IF($C884="","Commercial",$C884))),Variables!$B$1:$D$1,0),1))*BD884/365),""))</f>
        <v>79.072711997063763</v>
      </c>
      <c r="BJ884" s="44">
        <f t="shared" si="41"/>
        <v>-22</v>
      </c>
      <c r="BK884" s="44">
        <f>IF($AX884="Cancelled","",IFERROR(IF(BJ884="","",(W884*INDEX(Variables!$B$7:$D$7,IFERROR(MATCH(IF($B884="Robusta","Robusta",(IF($B884="","Arabica",$B884))&amp;" - "&amp;(IF($C884="","Commercial",$C884))),Variables!$B$1:$D$1,0),1))*(BJ884/365))+(W884*INDEX(Variables!$B$9:$D$9,IFERROR(MATCH(IF($B884="Robusta","Robusta",(IF($B884="","Arabica",$B884))&amp;" - "&amp;(IF($C884="","Commercial",$C884))),Variables!$B$1:$D$1,0),1))*(BJ884/365))+(INDEX(Variables!$B$8:$D$8,IFERROR(MATCH(IF($B884="Robusta","Robusta",(IF($B884="","Arabica",$B884))&amp;" - "&amp;(IF($C884="","Commercial",$C884))),Variables!$B$1:$D$1,0),1))*L884/16.67)),""))</f>
        <v>-250.89991598385075</v>
      </c>
    </row>
    <row r="885" spans="1:63">
      <c r="A885" s="13" t="s">
        <v>103</v>
      </c>
      <c r="B885" s="13" t="s">
        <v>104</v>
      </c>
      <c r="C885" s="13" t="s">
        <v>105</v>
      </c>
      <c r="D885" s="31">
        <v>46071</v>
      </c>
      <c r="E885" s="31">
        <v>46082</v>
      </c>
      <c r="F885" s="31">
        <v>46095</v>
      </c>
      <c r="G885" s="13">
        <v>3787316</v>
      </c>
      <c r="H885" s="13" t="s">
        <v>2308</v>
      </c>
      <c r="J885" s="13" t="s">
        <v>107</v>
      </c>
      <c r="K885" s="13" t="s">
        <v>2308</v>
      </c>
      <c r="L885" s="13">
        <v>160</v>
      </c>
      <c r="M885" s="13">
        <v>0</v>
      </c>
      <c r="N885" s="13" t="s">
        <v>2309</v>
      </c>
      <c r="O885" s="13" t="s">
        <v>538</v>
      </c>
      <c r="P885" s="13">
        <v>10080</v>
      </c>
      <c r="R885" s="13" t="s">
        <v>122</v>
      </c>
      <c r="S885" s="13" t="s">
        <v>2121</v>
      </c>
      <c r="T885" s="13" t="s">
        <v>112</v>
      </c>
      <c r="U885" s="13" t="s">
        <v>113</v>
      </c>
      <c r="V885" s="13">
        <v>20</v>
      </c>
      <c r="W885" s="44">
        <f>IF($AX885="Cancelled","",IFERROR(((V885+INDEX(Variables!$B$6:$D$6,IFERROR(MATCH(IF($B885="Robusta","Robusta",(IF($B885="","Arabica",$B885))&amp;" - "&amp;(IF($C885="","Commercial",$C885))),Variables!$B$1:$D$1,0),1)))*22.0462)*(L885/16.67),""))</f>
        <v>65765.652885422911</v>
      </c>
      <c r="X885" s="55" t="s">
        <v>37</v>
      </c>
      <c r="Y885" s="13" t="str">
        <f>IF($AX885="Cancelled","",IF(X885="","",IFERROR(IF(INDEX(Variables!$B$38:$B$47,MATCH(X885,Variables!$A$38:$A$47,0))="Yes","Yes","No"),"No")))</f>
        <v>Yes</v>
      </c>
      <c r="Z885" s="58">
        <v>46072</v>
      </c>
      <c r="AB885" s="31">
        <v>46079</v>
      </c>
      <c r="AC885" s="13" t="str">
        <f t="shared" si="40"/>
        <v>Approved</v>
      </c>
      <c r="AF885" s="71">
        <v>46104</v>
      </c>
      <c r="AG885" s="37">
        <f>IF($AX885="Cancelled","",IFERROR(IF(F885="","",F885-Variables!$B$13),""))</f>
        <v>46080</v>
      </c>
      <c r="AH885" s="13">
        <f>IF($AX885="Cancelled","",IFERROR(IF(AB885="","",(AVERAGE(E885:F885)-AB885)-Variables!$B$14),""))</f>
        <v>-20.5</v>
      </c>
      <c r="AJ885" s="47">
        <v>46106</v>
      </c>
      <c r="AK885" s="14">
        <f>IF($AX885="Cancelled","",IFERROR(IF(AJ885="","",IF(AND(AB885="",AF885=""),"",IF(AF885&gt;AB885,AF885+Variables!$B$15+Variables!$B$16+Variables!$B$17-AJ885,AB885+Variables!$B$16+Variables!$B$17-AJ885))),""))</f>
        <v>13</v>
      </c>
      <c r="AL885" s="48" t="s">
        <v>114</v>
      </c>
      <c r="AM885" s="13" t="s">
        <v>168</v>
      </c>
      <c r="AN885" s="13" t="s">
        <v>1470</v>
      </c>
      <c r="AP885" s="39">
        <v>46117</v>
      </c>
      <c r="AR885" s="13" t="s">
        <v>2307</v>
      </c>
      <c r="AS885" s="31">
        <v>46117</v>
      </c>
      <c r="AU885" s="31">
        <v>46163</v>
      </c>
      <c r="AV885" s="13" t="s">
        <v>865</v>
      </c>
      <c r="AW885" s="31">
        <v>46163</v>
      </c>
      <c r="AX885" s="13" t="str">
        <f>IF(ISNUMBER(SEARCH("cancel",#REF!)),"Cancelled",IF(AND(AS885&lt;&gt;"",AU885&lt;&gt;"",AW885&lt;&gt;""),"Closed","Open"))</f>
        <v>Closed</v>
      </c>
      <c r="AY885" s="15" t="str">
        <f t="shared" si="39"/>
        <v>All dates received</v>
      </c>
      <c r="BD885" s="13">
        <f>IF($AX885="Cancelled","",IFERROR(IF(OR(AS885="",AJ885=""),"",(AJ885+Variables!$B$18-AS885)),""))</f>
        <v>4</v>
      </c>
      <c r="BE885" s="13">
        <f>IF($AX885="Cancelled","",IFERROR(IF(OR(AW885="",AS885=""),"",(AS885+Variables!$B$19)-AW885),""))</f>
        <v>-41</v>
      </c>
      <c r="BF885" s="44">
        <f>IF($AX885="Cancelled","",IFERROR(W885*INDEX(Variables!$B$7:$D$7,IFERROR(MATCH(IF($B885="Robusta","Robusta",(IF($B885="","Arabica",$B885))&amp;" - "&amp;(IF($C885="","Commercial",$C885))),Variables!$B$1:$D$1,0),1))*(BE885/365),""))</f>
        <v>-476.35417337541122</v>
      </c>
      <c r="BG885" s="44">
        <f>IF($AX885="Cancelled","",IFERROR((W885*INDEX(Variables!$B$7:$D$7,IFERROR(MATCH(IF($B885="Robusta","Robusta",(IF($B885="","Arabica",$B885))&amp;" - "&amp;(IF($C885="","Commercial",$C885))),Variables!$B$1:$D$1,0),1))*IFERROR(IF(AB885="","",(AVERAGE(E885:F885)-AB885)-Variables!$B$14),"")/365)+(L885/16.67*INDEX(Variables!$B$8:$D$8,IFERROR(MATCH(IF($B885="Robusta","Robusta",(IF($B885="","Arabica",$B885))&amp;" - "&amp;(IF($C885="","Commercial",$C885))),Variables!$B$1:$D$1,0),1))*IFERROR(IF(AB885="","",(AVERAGE(E885:F885)-AB885)-Variables!$B$14),""))+(W885*INDEX(Variables!$B$9:$D$9,IFERROR(MATCH(IF($B885="Robusta","Robusta",(IF($B885="","Arabica",$B885))&amp;" - "&amp;(IF($C885="","Commercial",$C885))),Variables!$B$1:$D$1,0),1))*IFERROR(IF(AB885="","",(AVERAGE(E885:F885)-AB885)-Variables!$B$14),"")/365),""))</f>
        <v>-405.24764898495181</v>
      </c>
      <c r="BH885" s="44">
        <f>IF($AX885="Cancelled","",IFERROR((W885*INDEX(Variables!$B$7:$D$7,IFERROR(MATCH(IF($B885="Robusta","Robusta",(IF($B885="","Arabica",$B885))&amp;" - "&amp;(IF($C885="","Commercial",$C885))),Variables!$B$1:$D$1,0),1))*AK885/365)+(L885/16.67*INDEX(Variables!$B$8:$D$8,IFERROR(MATCH(IF($B885="Robusta","Robusta",(IF($B885="","Arabica",$B885))&amp;" - "&amp;(IF($C885="","Commercial",$C885))),Variables!$B$1:$D$1,0),1))*AK885)+(W885*INDEX(Variables!$B$9:$D$9,IFERROR(MATCH(IF($B885="Robusta","Robusta",(IF($B885="","Arabica",$B885))&amp;" - "&amp;(IF($C885="","Commercial",$C885))),Variables!$B$1:$D$1,0),1))*AK885/365),""))</f>
        <v>256.98631399045729</v>
      </c>
      <c r="BI885" s="44">
        <f>IF($AX885="Cancelled","",IFERROR((W885*INDEX(Variables!$B$7:$D$7,IFERROR(MATCH(IF($B885="Robusta","Robusta",(IF($B885="","Arabica",$B885))&amp;" - "&amp;(IF($C885="","Commercial",$C885))),Variables!$B$1:$D$1,0),1))*BD885/365)+(L885/16.67*INDEX(Variables!$B$8:$D$8,IFERROR(MATCH(IF($B885="Robusta","Robusta",(IF($B885="","Arabica",$B885))&amp;" - "&amp;(IF($C885="","Commercial",$C885))),Variables!$B$1:$D$1,0),1))*BD885)+(W885*INDEX(Variables!$B$9:$D$9,IFERROR(MATCH(IF($B885="Robusta","Robusta",(IF($B885="","Arabica",$B885))&amp;" - "&amp;(IF($C885="","Commercial",$C885))),Variables!$B$1:$D$1,0),1))*BD885/365),""))</f>
        <v>79.072711997063763</v>
      </c>
      <c r="BJ885" s="44">
        <f t="shared" si="41"/>
        <v>-22</v>
      </c>
      <c r="BK885" s="44">
        <f>IF($AX885="Cancelled","",IFERROR(IF(BJ885="","",(W885*INDEX(Variables!$B$7:$D$7,IFERROR(MATCH(IF($B885="Robusta","Robusta",(IF($B885="","Arabica",$B885))&amp;" - "&amp;(IF($C885="","Commercial",$C885))),Variables!$B$1:$D$1,0),1))*(BJ885/365))+(W885*INDEX(Variables!$B$9:$D$9,IFERROR(MATCH(IF($B885="Robusta","Robusta",(IF($B885="","Arabica",$B885))&amp;" - "&amp;(IF($C885="","Commercial",$C885))),Variables!$B$1:$D$1,0),1))*(BJ885/365))+(INDEX(Variables!$B$8:$D$8,IFERROR(MATCH(IF($B885="Robusta","Robusta",(IF($B885="","Arabica",$B885))&amp;" - "&amp;(IF($C885="","Commercial",$C885))),Variables!$B$1:$D$1,0),1))*L885/16.67)),""))</f>
        <v>-250.89991598385075</v>
      </c>
    </row>
    <row r="886" spans="1:63">
      <c r="A886" s="13" t="s">
        <v>103</v>
      </c>
      <c r="B886" s="13" t="s">
        <v>104</v>
      </c>
      <c r="C886" s="13" t="s">
        <v>105</v>
      </c>
      <c r="D886" s="31">
        <v>46072</v>
      </c>
      <c r="E886" s="31">
        <v>46174</v>
      </c>
      <c r="F886" s="31">
        <v>46203</v>
      </c>
      <c r="G886" s="13">
        <v>3787317</v>
      </c>
      <c r="J886" s="13" t="s">
        <v>506</v>
      </c>
      <c r="K886" s="13">
        <v>5577</v>
      </c>
      <c r="L886" s="13">
        <v>320</v>
      </c>
      <c r="M886" s="13">
        <v>1</v>
      </c>
      <c r="N886" s="13" t="s">
        <v>1585</v>
      </c>
      <c r="O886" s="13" t="s">
        <v>120</v>
      </c>
      <c r="P886" s="13">
        <v>10070</v>
      </c>
      <c r="R886" s="13" t="s">
        <v>239</v>
      </c>
      <c r="S886" s="13" t="s">
        <v>509</v>
      </c>
      <c r="T886" s="13" t="s">
        <v>329</v>
      </c>
      <c r="U886" s="13" t="s">
        <v>330</v>
      </c>
      <c r="V886" s="23">
        <v>33</v>
      </c>
      <c r="W886" s="44">
        <f>IF($AX886="Cancelled","",IFERROR(((V886+INDEX(Variables!$B$6:$D$6,IFERROR(MATCH(IF($B886="Robusta","Robusta",(IF($B886="","Arabica",$B886))&amp;" - "&amp;(IF($C886="","Commercial",$C886))),Variables!$B$1:$D$1,0),1)))*22.0462)*(L886/16.67),""))</f>
        <v>137032.93696460707</v>
      </c>
      <c r="X886" s="55" t="s">
        <v>37</v>
      </c>
      <c r="Y886" s="13" t="str">
        <f>IF($AX886="Cancelled","",IF(X886="","",IFERROR(IF(INDEX(Variables!$B$38:$B$47,MATCH(X886,Variables!$A$38:$A$47,0))="Yes","Yes","No"),"No")))</f>
        <v>Yes</v>
      </c>
      <c r="Z886" s="58">
        <v>46148</v>
      </c>
      <c r="AB886" s="31">
        <v>46171</v>
      </c>
      <c r="AC886" s="13" t="str">
        <f t="shared" si="40"/>
        <v>Approved</v>
      </c>
      <c r="AF886" s="71">
        <v>46199</v>
      </c>
      <c r="AG886" s="37">
        <f>IF($AX886="Cancelled","",IFERROR(IF(F886="","",F886-Variables!$B$13),""))</f>
        <v>46188</v>
      </c>
      <c r="AH886" s="13">
        <f>IF($AX886="Cancelled","",IFERROR(IF(AB886="","",(AVERAGE(E886:F886)-AB886)-Variables!$B$14),""))</f>
        <v>-12.5</v>
      </c>
      <c r="AJ886" s="47">
        <v>46214</v>
      </c>
      <c r="AK886" s="14">
        <f>IF($AX886="Cancelled","",IFERROR(IF(AJ886="","",IF(AND(AB886="",AF886=""),"",IF(AF886&gt;AB886,AF886+Variables!$B$15+Variables!$B$16+Variables!$B$17-AJ886,AB886+Variables!$B$16+Variables!$B$17-AJ886))),""))</f>
        <v>0</v>
      </c>
      <c r="AL886" s="48" t="s">
        <v>114</v>
      </c>
      <c r="AM886" s="13" t="s">
        <v>115</v>
      </c>
      <c r="AN886" s="13" t="s">
        <v>2310</v>
      </c>
      <c r="AP886" s="39">
        <v>46224</v>
      </c>
      <c r="AR886" s="13">
        <v>272402056</v>
      </c>
      <c r="AS886" s="31" t="s">
        <v>2311</v>
      </c>
      <c r="AU886" s="31">
        <v>46262</v>
      </c>
      <c r="AV886" s="13" t="s">
        <v>865</v>
      </c>
      <c r="AW886" s="39">
        <v>46262</v>
      </c>
      <c r="AX886" s="13" t="str">
        <f>IF(ISNUMBER(SEARCH("cancel",#REF!)),"Cancelled",IF(AND(AS886&lt;&gt;"",AU886&lt;&gt;"",AW886&lt;&gt;""),"Closed","Open"))</f>
        <v>Closed</v>
      </c>
      <c r="AY886" s="15" t="str">
        <f t="shared" si="39"/>
        <v>All dates received</v>
      </c>
      <c r="AZ886" s="13" t="s">
        <v>3047</v>
      </c>
      <c r="BA886" s="13" t="s">
        <v>3057</v>
      </c>
      <c r="BB886" s="13" t="s">
        <v>3058</v>
      </c>
      <c r="BC886" s="13" t="s">
        <v>3295</v>
      </c>
      <c r="BD886" s="13" t="str">
        <f>IF($AX886="Cancelled","",IFERROR(IF(OR(AS886="",AJ886=""),"",(AJ886+Variables!$B$18-AS886)),""))</f>
        <v/>
      </c>
      <c r="BE886" s="13" t="str">
        <f>IF($AX886="Cancelled","",IFERROR(IF(OR(AW886="",AS886=""),"",(AS886+Variables!$B$19)-AW886),""))</f>
        <v/>
      </c>
      <c r="BF886" s="44" t="str">
        <f>IF($AX886="Cancelled","",IFERROR(W886*INDEX(Variables!$B$7:$D$7,IFERROR(MATCH(IF($B886="Robusta","Robusta",(IF($B886="","Arabica",$B886))&amp;" - "&amp;(IF($C886="","Commercial",$C886))),Variables!$B$1:$D$1,0),1))*(BE886/365),""))</f>
        <v/>
      </c>
      <c r="BG886" s="44">
        <f>IF($AX886="Cancelled","",IFERROR((W886*INDEX(Variables!$B$7:$D$7,IFERROR(MATCH(IF($B886="Robusta","Robusta",(IF($B886="","Arabica",$B886))&amp;" - "&amp;(IF($C886="","Commercial",$C886))),Variables!$B$1:$D$1,0),1))*IFERROR(IF(AB886="","",(AVERAGE(E886:F886)-AB886)-Variables!$B$14),"")/365)+(L886/16.67*INDEX(Variables!$B$8:$D$8,IFERROR(MATCH(IF($B886="Robusta","Robusta",(IF($B886="","Arabica",$B886))&amp;" - "&amp;(IF($C886="","Commercial",$C886))),Variables!$B$1:$D$1,0),1))*IFERROR(IF(AB886="","",(AVERAGE(E886:F886)-AB886)-Variables!$B$14),""))+(W886*INDEX(Variables!$B$9:$D$9,IFERROR(MATCH(IF($B886="Robusta","Robusta",(IF($B886="","Arabica",$B886))&amp;" - "&amp;(IF($C886="","Commercial",$C886))),Variables!$B$1:$D$1,0),1))*IFERROR(IF(AB886="","",(AVERAGE(E886:F886)-AB886)-Variables!$B$14),"")/365),""))</f>
        <v>-506.51029891910497</v>
      </c>
      <c r="BH886" s="44">
        <f>IF($AX886="Cancelled","",IFERROR((W886*INDEX(Variables!$B$7:$D$7,IFERROR(MATCH(IF($B886="Robusta","Robusta",(IF($B886="","Arabica",$B886))&amp;" - "&amp;(IF($C886="","Commercial",$C886))),Variables!$B$1:$D$1,0),1))*AK886/365)+(L886/16.67*INDEX(Variables!$B$8:$D$8,IFERROR(MATCH(IF($B886="Robusta","Robusta",(IF($B886="","Arabica",$B886))&amp;" - "&amp;(IF($C886="","Commercial",$C886))),Variables!$B$1:$D$1,0),1))*AK886)+(W886*INDEX(Variables!$B$9:$D$9,IFERROR(MATCH(IF($B886="Robusta","Robusta",(IF($B886="","Arabica",$B886))&amp;" - "&amp;(IF($C886="","Commercial",$C886))),Variables!$B$1:$D$1,0),1))*AK886/365),""))</f>
        <v>0</v>
      </c>
      <c r="BI886" s="44" t="str">
        <f>IF($AX886="Cancelled","",IFERROR((W886*INDEX(Variables!$B$7:$D$7,IFERROR(MATCH(IF($B886="Robusta","Robusta",(IF($B886="","Arabica",$B886))&amp;" - "&amp;(IF($C886="","Commercial",$C886))),Variables!$B$1:$D$1,0),1))*BD886/365)+(L886/16.67*INDEX(Variables!$B$8:$D$8,IFERROR(MATCH(IF($B886="Robusta","Robusta",(IF($B886="","Arabica",$B886))&amp;" - "&amp;(IF($C886="","Commercial",$C886))),Variables!$B$1:$D$1,0),1))*BD886)+(W886*INDEX(Variables!$B$9:$D$9,IFERROR(MATCH(IF($B886="Robusta","Robusta",(IF($B886="","Arabica",$B886))&amp;" - "&amp;(IF($C886="","Commercial",$C886))),Variables!$B$1:$D$1,0),1))*BD886/365),""))</f>
        <v/>
      </c>
      <c r="BJ886" s="44" t="str">
        <f t="shared" si="41"/>
        <v/>
      </c>
      <c r="BK886" s="44" t="str">
        <f>IF($AX886="Cancelled","",IFERROR(IF(BJ886="","",(W886*INDEX(Variables!$B$7:$D$7,IFERROR(MATCH(IF($B886="Robusta","Robusta",(IF($B886="","Arabica",$B886))&amp;" - "&amp;(IF($C886="","Commercial",$C886))),Variables!$B$1:$D$1,0),1))*(BJ886/365))+(W886*INDEX(Variables!$B$9:$D$9,IFERROR(MATCH(IF($B886="Robusta","Robusta",(IF($B886="","Arabica",$B886))&amp;" - "&amp;(IF($C886="","Commercial",$C886))),Variables!$B$1:$D$1,0),1))*(BJ886/365))+(INDEX(Variables!$B$8:$D$8,IFERROR(MATCH(IF($B886="Robusta","Robusta",(IF($B886="","Arabica",$B886))&amp;" - "&amp;(IF($C886="","Commercial",$C886))),Variables!$B$1:$D$1,0),1))*L886/16.67)),""))</f>
        <v/>
      </c>
    </row>
    <row r="887" spans="1:63">
      <c r="A887" s="13" t="s">
        <v>103</v>
      </c>
      <c r="B887" s="13" t="s">
        <v>104</v>
      </c>
      <c r="C887" s="13" t="s">
        <v>292</v>
      </c>
      <c r="D887" s="31">
        <v>46072</v>
      </c>
      <c r="E887" s="31">
        <v>46082</v>
      </c>
      <c r="F887" s="31">
        <v>46112</v>
      </c>
      <c r="G887" s="13">
        <v>3787318</v>
      </c>
      <c r="J887" s="13" t="s">
        <v>2164</v>
      </c>
      <c r="K887" s="13" t="s">
        <v>2163</v>
      </c>
      <c r="L887" s="13">
        <v>6</v>
      </c>
      <c r="M887" s="13">
        <v>0</v>
      </c>
      <c r="N887" s="13" t="s">
        <v>2312</v>
      </c>
      <c r="O887" s="13" t="s">
        <v>297</v>
      </c>
      <c r="P887" s="13">
        <v>10020</v>
      </c>
      <c r="R887" s="13" t="s">
        <v>239</v>
      </c>
      <c r="S887" s="13" t="s">
        <v>283</v>
      </c>
      <c r="T887" s="13" t="s">
        <v>112</v>
      </c>
      <c r="U887" s="13" t="s">
        <v>113</v>
      </c>
      <c r="V887" s="13">
        <v>205.45</v>
      </c>
      <c r="W887" s="44">
        <f>IF($AX887="Cancelled","",IFERROR(((V887+INDEX(Variables!$B$6:$D$6,IFERROR(MATCH(IF($B887="Robusta","Robusta",(IF($B887="","Arabica",$B887))&amp;" - "&amp;(IF($C887="","Commercial",$C887))),Variables!$B$1:$D$1,0),1)))*22.0462)*(L887/16.67),""))</f>
        <v>3937.7660767846419</v>
      </c>
      <c r="X887" s="55" t="s">
        <v>39</v>
      </c>
      <c r="Y887" s="13" t="str">
        <f>IF($AX887="Cancelled","",IF(X887="","",IFERROR(IF(INDEX(Variables!$B$38:$B$47,MATCH(X887,Variables!$A$38:$A$47,0))="Yes","Yes","No"),"No")))</f>
        <v>No</v>
      </c>
      <c r="Z887" s="31"/>
      <c r="AB887" s="31">
        <v>46067.875</v>
      </c>
      <c r="AC887" s="13" t="str">
        <f t="shared" si="40"/>
        <v>Approved</v>
      </c>
      <c r="AF887" s="71">
        <v>46086</v>
      </c>
      <c r="AG887" s="31">
        <f>IF($AX887="Cancelled","",IFERROR(IF(F887="","",F887-Variables!$B$13),""))</f>
        <v>46097</v>
      </c>
      <c r="AH887" s="13">
        <f>IF($AX887="Cancelled","",IFERROR(IF(AB887="","",(AVERAGE(E887:F887)-AB887)-Variables!$B$14),""))</f>
        <v>-0.875</v>
      </c>
      <c r="AJ887" s="47">
        <v>46106</v>
      </c>
      <c r="AK887" s="14">
        <f>IF($AX887="Cancelled","",IFERROR(IF(AJ887="","",IF(AND(AB887="",AF887=""),"",IF(AF887&gt;AB887,AF887+Variables!$B$15+Variables!$B$16+Variables!$B$17-AJ887,AB887+Variables!$B$16+Variables!$B$17-AJ887))),""))</f>
        <v>-5</v>
      </c>
      <c r="AL887" s="48" t="s">
        <v>114</v>
      </c>
      <c r="AM887" s="13" t="s">
        <v>168</v>
      </c>
      <c r="AN887" s="13" t="s">
        <v>2124</v>
      </c>
      <c r="AP887" s="39" t="e">
        <v>#N/A</v>
      </c>
      <c r="AR887" s="13" t="s">
        <v>2166</v>
      </c>
      <c r="AS887" s="31">
        <v>46114</v>
      </c>
      <c r="AU887" s="31">
        <v>46149</v>
      </c>
      <c r="AV887" s="13" t="s">
        <v>865</v>
      </c>
      <c r="AW887" s="31">
        <v>45793</v>
      </c>
      <c r="AX887" s="13" t="str">
        <f>IF(ISNUMBER(SEARCH("cancel",#REF!)),"Cancelled",IF(AND(AS887&lt;&gt;"",AU887&lt;&gt;"",AW887&lt;&gt;""),"Closed","Open"))</f>
        <v>Closed</v>
      </c>
      <c r="AY887" s="15" t="str">
        <f t="shared" si="39"/>
        <v>All dates received</v>
      </c>
      <c r="BD887" s="13">
        <f>IF($AX887="Cancelled","",IFERROR(IF(OR(AS887="",AJ887=""),"",(AJ887+Variables!$B$18-AS887)),""))</f>
        <v>7</v>
      </c>
      <c r="BE887" s="13">
        <f>IF($AX887="Cancelled","",IFERROR(IF(OR(AW887="",AS887=""),"",(AS887+Variables!$B$19)-AW887),""))</f>
        <v>326</v>
      </c>
      <c r="BF887" s="44">
        <f>IF($AX887="Cancelled","",IFERROR(W887*INDEX(Variables!$B$7:$D$7,IFERROR(MATCH(IF($B887="Robusta","Robusta",(IF($B887="","Arabica",$B887))&amp;" - "&amp;(IF($C887="","Commercial",$C887))),Variables!$B$1:$D$1,0),1))*(BE887/365),""))</f>
        <v>226.78508829468578</v>
      </c>
      <c r="BG887" s="44">
        <f>IF($AX887="Cancelled","",IFERROR((W887*INDEX(Variables!$B$7:$D$7,IFERROR(MATCH(IF($B887="Robusta","Robusta",(IF($B887="","Arabica",$B887))&amp;" - "&amp;(IF($C887="","Commercial",$C887))),Variables!$B$1:$D$1,0),1))*IFERROR(IF(AB887="","",(AVERAGE(E887:F887)-AB887)-Variables!$B$14),"")/365)+(L887/16.67*INDEX(Variables!$B$8:$D$8,IFERROR(MATCH(IF($B887="Robusta","Robusta",(IF($B887="","Arabica",$B887))&amp;" - "&amp;(IF($C887="","Commercial",$C887))),Variables!$B$1:$D$1,0),1))*IFERROR(IF(AB887="","",(AVERAGE(E887:F887)-AB887)-Variables!$B$14),""))+(W887*INDEX(Variables!$B$9:$D$9,IFERROR(MATCH(IF($B887="Robusta","Robusta",(IF($B887="","Arabica",$B887))&amp;" - "&amp;(IF($C887="","Commercial",$C887))),Variables!$B$1:$D$1,0),1))*IFERROR(IF(AB887="","",(AVERAGE(E887:F887)-AB887)-Variables!$B$14),"")/365),""))</f>
        <v>-0.87904965499743704</v>
      </c>
      <c r="BH887" s="44">
        <f>IF($AX887="Cancelled","",IFERROR((W887*INDEX(Variables!$B$7:$D$7,IFERROR(MATCH(IF($B887="Robusta","Robusta",(IF($B887="","Arabica",$B887))&amp;" - "&amp;(IF($C887="","Commercial",$C887))),Variables!$B$1:$D$1,0),1))*AK887/365)+(L887/16.67*INDEX(Variables!$B$8:$D$8,IFERROR(MATCH(IF($B887="Robusta","Robusta",(IF($B887="","Arabica",$B887))&amp;" - "&amp;(IF($C887="","Commercial",$C887))),Variables!$B$1:$D$1,0),1))*AK887)+(W887*INDEX(Variables!$B$9:$D$9,IFERROR(MATCH(IF($B887="Robusta","Robusta",(IF($B887="","Arabica",$B887))&amp;" - "&amp;(IF($C887="","Commercial",$C887))),Variables!$B$1:$D$1,0),1))*AK887/365),""))</f>
        <v>-5.0231408856996396</v>
      </c>
      <c r="BI887" s="44">
        <f>IF($AX887="Cancelled","",IFERROR((W887*INDEX(Variables!$B$7:$D$7,IFERROR(MATCH(IF($B887="Robusta","Robusta",(IF($B887="","Arabica",$B887))&amp;" - "&amp;(IF($C887="","Commercial",$C887))),Variables!$B$1:$D$1,0),1))*BD887/365)+(L887/16.67*INDEX(Variables!$B$8:$D$8,IFERROR(MATCH(IF($B887="Robusta","Robusta",(IF($B887="","Arabica",$B887))&amp;" - "&amp;(IF($C887="","Commercial",$C887))),Variables!$B$1:$D$1,0),1))*BD887)+(W887*INDEX(Variables!$B$9:$D$9,IFERROR(MATCH(IF($B887="Robusta","Robusta",(IF($B887="","Arabica",$B887))&amp;" - "&amp;(IF($C887="","Commercial",$C887))),Variables!$B$1:$D$1,0),1))*BD887/365),""))</f>
        <v>7.0323972399794963</v>
      </c>
      <c r="BJ887" s="44">
        <f t="shared" si="41"/>
        <v>-2</v>
      </c>
      <c r="BK887" s="44">
        <f>IF($AX887="Cancelled","",IFERROR(IF(BJ887="","",(W887*INDEX(Variables!$B$7:$D$7,IFERROR(MATCH(IF($B887="Robusta","Robusta",(IF($B887="","Arabica",$B887))&amp;" - "&amp;(IF($C887="","Commercial",$C887))),Variables!$B$1:$D$1,0),1))*(BJ887/365))+(W887*INDEX(Variables!$B$9:$D$9,IFERROR(MATCH(IF($B887="Robusta","Robusta",(IF($B887="","Arabica",$B887))&amp;" - "&amp;(IF($C887="","Commercial",$C887))),Variables!$B$1:$D$1,0),1))*(BJ887/365))+(INDEX(Variables!$B$8:$D$8,IFERROR(MATCH(IF($B887="Robusta","Robusta",(IF($B887="","Arabica",$B887))&amp;" - "&amp;(IF($C887="","Commercial",$C887))),Variables!$B$1:$D$1,0),1))*L887/16.67)),""))</f>
        <v>-1.1092563542798559</v>
      </c>
    </row>
    <row r="888" spans="1:63">
      <c r="A888" s="13" t="s">
        <v>103</v>
      </c>
      <c r="B888" s="13" t="s">
        <v>104</v>
      </c>
      <c r="C888" s="13" t="s">
        <v>292</v>
      </c>
      <c r="D888" s="31">
        <v>46072</v>
      </c>
      <c r="E888" s="31">
        <v>46082</v>
      </c>
      <c r="F888" s="31">
        <v>46112</v>
      </c>
      <c r="G888" s="13">
        <v>3787319</v>
      </c>
      <c r="J888" s="13" t="s">
        <v>2164</v>
      </c>
      <c r="K888" s="13" t="s">
        <v>2313</v>
      </c>
      <c r="L888" s="13">
        <v>6</v>
      </c>
      <c r="M888" s="13">
        <v>0</v>
      </c>
      <c r="N888" s="13" t="s">
        <v>2312</v>
      </c>
      <c r="O888" s="13" t="s">
        <v>297</v>
      </c>
      <c r="P888" s="13">
        <v>10020</v>
      </c>
      <c r="R888" s="13" t="s">
        <v>239</v>
      </c>
      <c r="S888" s="13" t="s">
        <v>283</v>
      </c>
      <c r="T888" s="13" t="s">
        <v>112</v>
      </c>
      <c r="U888" s="13" t="s">
        <v>113</v>
      </c>
      <c r="V888" s="13">
        <v>205.45</v>
      </c>
      <c r="W888" s="44">
        <f>IF($AX888="Cancelled","",IFERROR(((V888+INDEX(Variables!$B$6:$D$6,IFERROR(MATCH(IF($B888="Robusta","Robusta",(IF($B888="","Arabica",$B888))&amp;" - "&amp;(IF($C888="","Commercial",$C888))),Variables!$B$1:$D$1,0),1)))*22.0462)*(L888/16.67),""))</f>
        <v>3937.7660767846419</v>
      </c>
      <c r="X888" s="55" t="s">
        <v>39</v>
      </c>
      <c r="Y888" s="13" t="str">
        <f>IF($AX888="Cancelled","",IF(X888="","",IFERROR(IF(INDEX(Variables!$B$38:$B$47,MATCH(X888,Variables!$A$38:$A$47,0))="Yes","Yes","No"),"No")))</f>
        <v>No</v>
      </c>
      <c r="Z888" s="31"/>
      <c r="AB888" s="31">
        <v>46067.875</v>
      </c>
      <c r="AC888" s="13" t="str">
        <f t="shared" si="40"/>
        <v>Approved</v>
      </c>
      <c r="AF888" s="71">
        <v>46086</v>
      </c>
      <c r="AG888" s="31">
        <f>IF($AX888="Cancelled","",IFERROR(IF(F888="","",F888-Variables!$B$13),""))</f>
        <v>46097</v>
      </c>
      <c r="AH888" s="13">
        <f>IF($AX888="Cancelled","",IFERROR(IF(AB888="","",(AVERAGE(E888:F888)-AB888)-Variables!$B$14),""))</f>
        <v>-0.875</v>
      </c>
      <c r="AJ888" s="47">
        <v>46106</v>
      </c>
      <c r="AK888" s="14">
        <f>IF($AX888="Cancelled","",IFERROR(IF(AJ888="","",IF(AND(AB888="",AF888=""),"",IF(AF888&gt;AB888,AF888+Variables!$B$15+Variables!$B$16+Variables!$B$17-AJ888,AB888+Variables!$B$16+Variables!$B$17-AJ888))),""))</f>
        <v>-5</v>
      </c>
      <c r="AL888" s="48" t="s">
        <v>114</v>
      </c>
      <c r="AM888" s="13" t="s">
        <v>168</v>
      </c>
      <c r="AN888" s="13" t="s">
        <v>2314</v>
      </c>
      <c r="AP888" s="39" t="e">
        <v>#N/A</v>
      </c>
      <c r="AR888" s="13" t="s">
        <v>2169</v>
      </c>
      <c r="AS888" s="31">
        <v>46114</v>
      </c>
      <c r="AU888" s="31">
        <v>46149</v>
      </c>
      <c r="AV888" s="13" t="s">
        <v>865</v>
      </c>
      <c r="AW888" s="31">
        <v>45793</v>
      </c>
      <c r="AX888" s="13" t="str">
        <f>IF(ISNUMBER(SEARCH("cancel",#REF!)),"Cancelled",IF(AND(AS888&lt;&gt;"",AU888&lt;&gt;"",AW888&lt;&gt;""),"Closed","Open"))</f>
        <v>Closed</v>
      </c>
      <c r="AY888" s="15" t="str">
        <f t="shared" si="39"/>
        <v>All dates received</v>
      </c>
      <c r="BD888" s="13">
        <f>IF($AX888="Cancelled","",IFERROR(IF(OR(AS888="",AJ888=""),"",(AJ888+Variables!$B$18-AS888)),""))</f>
        <v>7</v>
      </c>
      <c r="BE888" s="13">
        <f>IF($AX888="Cancelled","",IFERROR(IF(OR(AW888="",AS888=""),"",(AS888+Variables!$B$19)-AW888),""))</f>
        <v>326</v>
      </c>
      <c r="BF888" s="44">
        <f>IF($AX888="Cancelled","",IFERROR(W888*INDEX(Variables!$B$7:$D$7,IFERROR(MATCH(IF($B888="Robusta","Robusta",(IF($B888="","Arabica",$B888))&amp;" - "&amp;(IF($C888="","Commercial",$C888))),Variables!$B$1:$D$1,0),1))*(BE888/365),""))</f>
        <v>226.78508829468578</v>
      </c>
      <c r="BG888" s="44">
        <f>IF($AX888="Cancelled","",IFERROR((W888*INDEX(Variables!$B$7:$D$7,IFERROR(MATCH(IF($B888="Robusta","Robusta",(IF($B888="","Arabica",$B888))&amp;" - "&amp;(IF($C888="","Commercial",$C888))),Variables!$B$1:$D$1,0),1))*IFERROR(IF(AB888="","",(AVERAGE(E888:F888)-AB888)-Variables!$B$14),"")/365)+(L888/16.67*INDEX(Variables!$B$8:$D$8,IFERROR(MATCH(IF($B888="Robusta","Robusta",(IF($B888="","Arabica",$B888))&amp;" - "&amp;(IF($C888="","Commercial",$C888))),Variables!$B$1:$D$1,0),1))*IFERROR(IF(AB888="","",(AVERAGE(E888:F888)-AB888)-Variables!$B$14),""))+(W888*INDEX(Variables!$B$9:$D$9,IFERROR(MATCH(IF($B888="Robusta","Robusta",(IF($B888="","Arabica",$B888))&amp;" - "&amp;(IF($C888="","Commercial",$C888))),Variables!$B$1:$D$1,0),1))*IFERROR(IF(AB888="","",(AVERAGE(E888:F888)-AB888)-Variables!$B$14),"")/365),""))</f>
        <v>-0.87904965499743704</v>
      </c>
      <c r="BH888" s="44">
        <f>IF($AX888="Cancelled","",IFERROR((W888*INDEX(Variables!$B$7:$D$7,IFERROR(MATCH(IF($B888="Robusta","Robusta",(IF($B888="","Arabica",$B888))&amp;" - "&amp;(IF($C888="","Commercial",$C888))),Variables!$B$1:$D$1,0),1))*AK888/365)+(L888/16.67*INDEX(Variables!$B$8:$D$8,IFERROR(MATCH(IF($B888="Robusta","Robusta",(IF($B888="","Arabica",$B888))&amp;" - "&amp;(IF($C888="","Commercial",$C888))),Variables!$B$1:$D$1,0),1))*AK888)+(W888*INDEX(Variables!$B$9:$D$9,IFERROR(MATCH(IF($B888="Robusta","Robusta",(IF($B888="","Arabica",$B888))&amp;" - "&amp;(IF($C888="","Commercial",$C888))),Variables!$B$1:$D$1,0),1))*AK888/365),""))</f>
        <v>-5.0231408856996396</v>
      </c>
      <c r="BI888" s="44">
        <f>IF($AX888="Cancelled","",IFERROR((W888*INDEX(Variables!$B$7:$D$7,IFERROR(MATCH(IF($B888="Robusta","Robusta",(IF($B888="","Arabica",$B888))&amp;" - "&amp;(IF($C888="","Commercial",$C888))),Variables!$B$1:$D$1,0),1))*BD888/365)+(L888/16.67*INDEX(Variables!$B$8:$D$8,IFERROR(MATCH(IF($B888="Robusta","Robusta",(IF($B888="","Arabica",$B888))&amp;" - "&amp;(IF($C888="","Commercial",$C888))),Variables!$B$1:$D$1,0),1))*BD888)+(W888*INDEX(Variables!$B$9:$D$9,IFERROR(MATCH(IF($B888="Robusta","Robusta",(IF($B888="","Arabica",$B888))&amp;" - "&amp;(IF($C888="","Commercial",$C888))),Variables!$B$1:$D$1,0),1))*BD888/365),""))</f>
        <v>7.0323972399794963</v>
      </c>
      <c r="BJ888" s="44">
        <f t="shared" si="41"/>
        <v>-2</v>
      </c>
      <c r="BK888" s="44">
        <f>IF($AX888="Cancelled","",IFERROR(IF(BJ888="","",(W888*INDEX(Variables!$B$7:$D$7,IFERROR(MATCH(IF($B888="Robusta","Robusta",(IF($B888="","Arabica",$B888))&amp;" - "&amp;(IF($C888="","Commercial",$C888))),Variables!$B$1:$D$1,0),1))*(BJ888/365))+(W888*INDEX(Variables!$B$9:$D$9,IFERROR(MATCH(IF($B888="Robusta","Robusta",(IF($B888="","Arabica",$B888))&amp;" - "&amp;(IF($C888="","Commercial",$C888))),Variables!$B$1:$D$1,0),1))*(BJ888/365))+(INDEX(Variables!$B$8:$D$8,IFERROR(MATCH(IF($B888="Robusta","Robusta",(IF($B888="","Arabica",$B888))&amp;" - "&amp;(IF($C888="","Commercial",$C888))),Variables!$B$1:$D$1,0),1))*L888/16.67)),""))</f>
        <v>-1.1092563542798559</v>
      </c>
    </row>
    <row r="889" spans="1:63" s="33" customFormat="1">
      <c r="A889" s="33" t="s">
        <v>103</v>
      </c>
      <c r="B889" s="13" t="s">
        <v>104</v>
      </c>
      <c r="C889" s="13" t="s">
        <v>105</v>
      </c>
      <c r="D889" s="31">
        <v>46073</v>
      </c>
      <c r="E889" s="31">
        <v>46266</v>
      </c>
      <c r="F889" s="31">
        <v>46295</v>
      </c>
      <c r="G889" s="33">
        <v>3787320</v>
      </c>
      <c r="H889" s="13"/>
      <c r="I889" s="13"/>
      <c r="J889" s="13" t="s">
        <v>2315</v>
      </c>
      <c r="K889" s="13">
        <v>5623</v>
      </c>
      <c r="L889" s="13">
        <v>667</v>
      </c>
      <c r="M889" s="13">
        <v>2</v>
      </c>
      <c r="N889" s="13" t="s">
        <v>2316</v>
      </c>
      <c r="O889" s="13" t="s">
        <v>538</v>
      </c>
      <c r="P889" s="13">
        <v>10080</v>
      </c>
      <c r="Q889" s="13"/>
      <c r="R889" s="13" t="s">
        <v>271</v>
      </c>
      <c r="S889" s="13" t="s">
        <v>111</v>
      </c>
      <c r="T889" s="13" t="s">
        <v>112</v>
      </c>
      <c r="U889" s="13" t="s">
        <v>113</v>
      </c>
      <c r="V889" s="23">
        <v>19</v>
      </c>
      <c r="W889" s="44">
        <f>IF($AX889="Cancelled","",IFERROR(((V889+INDEX(Variables!$B$6:$D$6,IFERROR(MATCH(IF($B889="Robusta","Robusta",(IF($B889="","Arabica",$B889))&amp;" - "&amp;(IF($C889="","Commercial",$C889))),Variables!$B$1:$D$1,0),1)))*22.0462)*(L889/16.67),""))</f>
        <v>273278.45296460704</v>
      </c>
      <c r="X889" s="55" t="s">
        <v>37</v>
      </c>
      <c r="Y889" s="13" t="str">
        <f>IF($AX889="Cancelled","",IF(X889="","",IFERROR(IF(INDEX(Variables!$B$38:$B$47,MATCH(X889,Variables!$A$38:$A$47,0))="Yes","Yes","No"),"No")))</f>
        <v>Yes</v>
      </c>
      <c r="Z889" s="58">
        <v>46227</v>
      </c>
      <c r="AA889" s="13"/>
      <c r="AB889" s="31">
        <v>46232</v>
      </c>
      <c r="AC889" s="13" t="str">
        <f t="shared" si="40"/>
        <v>Approved</v>
      </c>
      <c r="AD889" s="31">
        <v>46275</v>
      </c>
      <c r="AE889" s="31"/>
      <c r="AF889" s="71">
        <v>46267</v>
      </c>
      <c r="AG889" s="37">
        <f>IF($AX889="Cancelled","",IFERROR(IF(F889="","",F889-Variables!$B$13),""))</f>
        <v>46280</v>
      </c>
      <c r="AH889" s="13">
        <f>IF($AX889="Cancelled","",IFERROR(IF(AB889="","",(AVERAGE(E889:F889)-AB889)-Variables!$B$14),""))</f>
        <v>18.5</v>
      </c>
      <c r="AI889" s="13"/>
      <c r="AJ889" s="47">
        <v>46272</v>
      </c>
      <c r="AK889" s="14">
        <f>IF($AX889="Cancelled","",IFERROR(IF(AJ889="","",IF(AND(AB889="",AF889=""),"",IF(AF889&gt;AB889,AF889+Variables!$B$15+Variables!$B$16+Variables!$B$17-AJ889,AB889+Variables!$B$16+Variables!$B$17-AJ889))),""))</f>
        <v>10</v>
      </c>
      <c r="AL889" s="48" t="s">
        <v>114</v>
      </c>
      <c r="AM889" s="33" t="s">
        <v>168</v>
      </c>
      <c r="AN889" s="33" t="s">
        <v>2317</v>
      </c>
      <c r="AO889" s="39">
        <v>46272</v>
      </c>
      <c r="AP889" s="39">
        <v>46281</v>
      </c>
      <c r="AQ889" s="39">
        <v>46368</v>
      </c>
      <c r="AR889" s="33" t="s">
        <v>2318</v>
      </c>
      <c r="AS889" s="39">
        <v>46283</v>
      </c>
      <c r="AT889" s="39"/>
      <c r="AU889" s="39">
        <v>46311</v>
      </c>
      <c r="AV889" s="33" t="s">
        <v>865</v>
      </c>
      <c r="AW889" s="39">
        <v>46311</v>
      </c>
      <c r="AX889" s="33" t="str">
        <f>IF(ISNUMBER(SEARCH("cancel",#REF!)),"Cancelled",IF(AND(AS889&lt;&gt;"",AU889&lt;&gt;"",AW889&lt;&gt;""),"Closed","Open"))</f>
        <v>Closed</v>
      </c>
      <c r="AY889" s="15" t="str">
        <f t="shared" si="39"/>
        <v>All dates received</v>
      </c>
      <c r="BD889" s="33">
        <f>IF($AX889="Cancelled","",IFERROR(IF(OR(AS889="",AJ889=""),"",(AJ889+Variables!$B$18-AS889)),""))</f>
        <v>4</v>
      </c>
      <c r="BE889" s="33">
        <f>IF($AX889="Cancelled","",IFERROR(IF(OR(AW889="",AS889=""),"",(AS889+Variables!$B$19)-AW889),""))</f>
        <v>-23</v>
      </c>
      <c r="BF889" s="43">
        <f>IF($AX889="Cancelled","",IFERROR(W889*INDEX(Variables!$B$7:$D$7,IFERROR(MATCH(IF($B889="Robusta","Robusta",(IF($B889="","Arabica",$B889))&amp;" - "&amp;(IF($C889="","Commercial",$C889))),Variables!$B$1:$D$1,0),1))*(BE889/365),""))</f>
        <v>-1110.4019308886327</v>
      </c>
      <c r="BG889" s="43">
        <f>IF($AX889="Cancelled","",IFERROR((W889*INDEX(Variables!$B$7:$D$7,IFERROR(MATCH(IF($B889="Robusta","Robusta",(IF($B889="","Arabica",$B889))&amp;" - "&amp;(IF($C889="","Commercial",$C889))),Variables!$B$1:$D$1,0),1))*IFERROR(IF(AB889="","",(AVERAGE(E889:F889)-AB889)-Variables!$B$14),"")/365)+(L889/16.67*INDEX(Variables!$B$8:$D$8,IFERROR(MATCH(IF($B889="Robusta","Robusta",(IF($B889="","Arabica",$B889))&amp;" - "&amp;(IF($C889="","Commercial",$C889))),Variables!$B$1:$D$1,0),1))*IFERROR(IF(AB889="","",(AVERAGE(E889:F889)-AB889)-Variables!$B$14),""))+(W889*INDEX(Variables!$B$9:$D$9,IFERROR(MATCH(IF($B889="Robusta","Robusta",(IF($B889="","Arabica",$B889))&amp;" - "&amp;(IF($C889="","Commercial",$C889))),Variables!$B$1:$D$1,0),1))*IFERROR(IF(AB889="","",(AVERAGE(E889:F889)-AB889)-Variables!$B$14),"")/365),""))</f>
        <v>1521.6387983493739</v>
      </c>
      <c r="BH889" s="43">
        <f>IF($AX889="Cancelled","",IFERROR((W889*INDEX(Variables!$B$7:$D$7,IFERROR(MATCH(IF($B889="Robusta","Robusta",(IF($B889="","Arabica",$B889))&amp;" - "&amp;(IF($C889="","Commercial",$C889))),Variables!$B$1:$D$1,0),1))*AK889/365)+(L889/16.67*INDEX(Variables!$B$8:$D$8,IFERROR(MATCH(IF($B889="Robusta","Robusta",(IF($B889="","Arabica",$B889))&amp;" - "&amp;(IF($C889="","Commercial",$C889))),Variables!$B$1:$D$1,0),1))*AK889)+(W889*INDEX(Variables!$B$9:$D$9,IFERROR(MATCH(IF($B889="Robusta","Robusta",(IF($B889="","Arabica",$B889))&amp;" - "&amp;(IF($C889="","Commercial",$C889))),Variables!$B$1:$D$1,0),1))*AK889/365),""))</f>
        <v>822.50745856722926</v>
      </c>
      <c r="BI889" s="43">
        <f>IF($AX889="Cancelled","",IFERROR((W889*INDEX(Variables!$B$7:$D$7,IFERROR(MATCH(IF($B889="Robusta","Robusta",(IF($B889="","Arabica",$B889))&amp;" - "&amp;(IF($C889="","Commercial",$C889))),Variables!$B$1:$D$1,0),1))*BD889/365)+(L889/16.67*INDEX(Variables!$B$8:$D$8,IFERROR(MATCH(IF($B889="Robusta","Robusta",(IF($B889="","Arabica",$B889))&amp;" - "&amp;(IF($C889="","Commercial",$C889))),Variables!$B$1:$D$1,0),1))*BD889)+(W889*INDEX(Variables!$B$9:$D$9,IFERROR(MATCH(IF($B889="Robusta","Robusta",(IF($B889="","Arabica",$B889))&amp;" - "&amp;(IF($C889="","Commercial",$C889))),Variables!$B$1:$D$1,0),1))*BD889/365),""))</f>
        <v>329.00298342689166</v>
      </c>
      <c r="BJ889" s="43">
        <f t="shared" si="41"/>
        <v>12</v>
      </c>
      <c r="BK889" s="43">
        <f>IF($AX889="Cancelled","",IFERROR(IF(BJ889="","",(W889*INDEX(Variables!$B$7:$D$7,IFERROR(MATCH(IF($B889="Robusta","Robusta",(IF($B889="","Arabica",$B889))&amp;" - "&amp;(IF($C889="","Commercial",$C889))),Variables!$B$1:$D$1,0),1))*(BJ889/365))+(W889*INDEX(Variables!$B$9:$D$9,IFERROR(MATCH(IF($B889="Robusta","Robusta",(IF($B889="","Arabica",$B889))&amp;" - "&amp;(IF($C889="","Commercial",$C889))),Variables!$B$1:$D$1,0),1))*(BJ889/365))+(INDEX(Variables!$B$8:$D$8,IFERROR(MATCH(IF($B889="Robusta","Robusta",(IF($B889="","Arabica",$B889))&amp;" - "&amp;(IF($C889="","Commercial",$C889))),Variables!$B$1:$D$1,0),1))*L889/16.67)),""))</f>
        <v>620.15895028067496</v>
      </c>
    </row>
    <row r="890" spans="1:63" s="33" customFormat="1">
      <c r="A890" s="33" t="s">
        <v>103</v>
      </c>
      <c r="B890" s="13" t="s">
        <v>104</v>
      </c>
      <c r="C890" s="13" t="s">
        <v>105</v>
      </c>
      <c r="D890" s="31">
        <v>46073</v>
      </c>
      <c r="E890" s="31">
        <v>46266</v>
      </c>
      <c r="F890" s="31">
        <v>46295</v>
      </c>
      <c r="G890" s="33">
        <v>3787321</v>
      </c>
      <c r="H890" s="13"/>
      <c r="I890" s="13"/>
      <c r="J890" s="13" t="s">
        <v>2315</v>
      </c>
      <c r="K890" s="13">
        <v>5639</v>
      </c>
      <c r="L890" s="13">
        <v>667</v>
      </c>
      <c r="M890" s="13">
        <v>2</v>
      </c>
      <c r="N890" s="13" t="s">
        <v>2316</v>
      </c>
      <c r="O890" s="13" t="s">
        <v>538</v>
      </c>
      <c r="P890" s="13">
        <v>10080</v>
      </c>
      <c r="Q890" s="13"/>
      <c r="R890" s="13" t="s">
        <v>271</v>
      </c>
      <c r="S890" s="13" t="s">
        <v>111</v>
      </c>
      <c r="T890" s="13" t="s">
        <v>112</v>
      </c>
      <c r="U890" s="13" t="s">
        <v>113</v>
      </c>
      <c r="V890" s="23">
        <v>19</v>
      </c>
      <c r="W890" s="44">
        <f>IF($AX890="Cancelled","",IFERROR(((V890+INDEX(Variables!$B$6:$D$6,IFERROR(MATCH(IF($B890="Robusta","Robusta",(IF($B890="","Arabica",$B890))&amp;" - "&amp;(IF($C890="","Commercial",$C890))),Variables!$B$1:$D$1,0),1)))*22.0462)*(L890/16.67),""))</f>
        <v>273278.45296460704</v>
      </c>
      <c r="X890" s="55" t="s">
        <v>37</v>
      </c>
      <c r="Y890" s="13" t="str">
        <f>IF($AX890="Cancelled","",IF(X890="","",IFERROR(IF(INDEX(Variables!$B$38:$B$47,MATCH(X890,Variables!$A$38:$A$47,0))="Yes","Yes","No"),"No")))</f>
        <v>Yes</v>
      </c>
      <c r="Z890" s="58">
        <v>46252</v>
      </c>
      <c r="AA890" s="13"/>
      <c r="AB890" s="31">
        <v>46266</v>
      </c>
      <c r="AC890" s="13" t="str">
        <f t="shared" si="40"/>
        <v>Approved</v>
      </c>
      <c r="AD890" s="31">
        <v>46274</v>
      </c>
      <c r="AE890" s="31"/>
      <c r="AF890" s="71">
        <v>46281</v>
      </c>
      <c r="AG890" s="37">
        <f>IF($AX890="Cancelled","",IFERROR(IF(F890="","",F890-Variables!$B$13),""))</f>
        <v>46280</v>
      </c>
      <c r="AH890" s="13">
        <f>IF($AX890="Cancelled","",IFERROR(IF(AB890="","",(AVERAGE(E890:F890)-AB890)-Variables!$B$14),""))</f>
        <v>-15.5</v>
      </c>
      <c r="AI890" s="13"/>
      <c r="AJ890" s="47">
        <v>46289</v>
      </c>
      <c r="AK890" s="14">
        <f>IF($AX890="Cancelled","",IFERROR(IF(AJ890="","",IF(AND(AB890="",AF890=""),"",IF(AF890&gt;AB890,AF890+Variables!$B$15+Variables!$B$16+Variables!$B$17-AJ890,AB890+Variables!$B$16+Variables!$B$17-AJ890))),""))</f>
        <v>7</v>
      </c>
      <c r="AL890" s="48" t="s">
        <v>114</v>
      </c>
      <c r="AM890" s="33" t="s">
        <v>115</v>
      </c>
      <c r="AN890" s="33" t="s">
        <v>2319</v>
      </c>
      <c r="AO890" s="39">
        <v>46295</v>
      </c>
      <c r="AP890" s="39">
        <v>46292</v>
      </c>
      <c r="AQ890" s="39">
        <v>46370</v>
      </c>
      <c r="AR890" s="33">
        <v>276844608</v>
      </c>
      <c r="AS890" s="39">
        <v>46299</v>
      </c>
      <c r="AT890" s="39"/>
      <c r="AU890" s="39">
        <v>46309</v>
      </c>
      <c r="AV890" s="33" t="s">
        <v>865</v>
      </c>
      <c r="AW890" s="39">
        <v>46309</v>
      </c>
      <c r="AX890" s="33" t="str">
        <f>IF(ISNUMBER(SEARCH("cancel",#REF!)),"Cancelled",IF(AND(AS890&lt;&gt;"",AU890&lt;&gt;"",AW890&lt;&gt;""),"Closed","Open"))</f>
        <v>Closed</v>
      </c>
      <c r="AY890" s="15" t="str">
        <f t="shared" si="39"/>
        <v>All dates received</v>
      </c>
      <c r="AZ890" s="13" t="s">
        <v>3053</v>
      </c>
      <c r="BA890" s="13" t="s">
        <v>3048</v>
      </c>
      <c r="BB890" s="13" t="s">
        <v>3049</v>
      </c>
      <c r="BC890" s="33" t="s">
        <v>3290</v>
      </c>
      <c r="BD890" s="33">
        <f>IF($AX890="Cancelled","",IFERROR(IF(OR(AS890="",AJ890=""),"",(AJ890+Variables!$B$18-AS890)),""))</f>
        <v>5</v>
      </c>
      <c r="BE890" s="33">
        <f>IF($AX890="Cancelled","",IFERROR(IF(OR(AW890="",AS890=""),"",(AS890+Variables!$B$19)-AW890),""))</f>
        <v>-5</v>
      </c>
      <c r="BF890" s="43">
        <f>IF($AX890="Cancelled","",IFERROR(W890*INDEX(Variables!$B$7:$D$7,IFERROR(MATCH(IF($B890="Robusta","Robusta",(IF($B890="","Arabica",$B890))&amp;" - "&amp;(IF($C890="","Commercial",$C890))),Variables!$B$1:$D$1,0),1))*(BE890/365),""))</f>
        <v>-241.39172410622447</v>
      </c>
      <c r="BG890" s="43">
        <f>IF($AX890="Cancelled","",IFERROR((W890*INDEX(Variables!$B$7:$D$7,IFERROR(MATCH(IF($B890="Robusta","Robusta",(IF($B890="","Arabica",$B890))&amp;" - "&amp;(IF($C890="","Commercial",$C890))),Variables!$B$1:$D$1,0),1))*IFERROR(IF(AB890="","",(AVERAGE(E890:F890)-AB890)-Variables!$B$14),"")/365)+(L890/16.67*INDEX(Variables!$B$8:$D$8,IFERROR(MATCH(IF($B890="Robusta","Robusta",(IF($B890="","Arabica",$B890))&amp;" - "&amp;(IF($C890="","Commercial",$C890))),Variables!$B$1:$D$1,0),1))*IFERROR(IF(AB890="","",(AVERAGE(E890:F890)-AB890)-Variables!$B$14),""))+(W890*INDEX(Variables!$B$9:$D$9,IFERROR(MATCH(IF($B890="Robusta","Robusta",(IF($B890="","Arabica",$B890))&amp;" - "&amp;(IF($C890="","Commercial",$C890))),Variables!$B$1:$D$1,0),1))*IFERROR(IF(AB890="","",(AVERAGE(E890:F890)-AB890)-Variables!$B$14),"")/365),""))</f>
        <v>-1274.8865607792054</v>
      </c>
      <c r="BH890" s="43">
        <f>IF($AX890="Cancelled","",IFERROR((W890*INDEX(Variables!$B$7:$D$7,IFERROR(MATCH(IF($B890="Robusta","Robusta",(IF($B890="","Arabica",$B890))&amp;" - "&amp;(IF($C890="","Commercial",$C890))),Variables!$B$1:$D$1,0),1))*AK890/365)+(L890/16.67*INDEX(Variables!$B$8:$D$8,IFERROR(MATCH(IF($B890="Robusta","Robusta",(IF($B890="","Arabica",$B890))&amp;" - "&amp;(IF($C890="","Commercial",$C890))),Variables!$B$1:$D$1,0),1))*AK890)+(W890*INDEX(Variables!$B$9:$D$9,IFERROR(MATCH(IF($B890="Robusta","Robusta",(IF($B890="","Arabica",$B890))&amp;" - "&amp;(IF($C890="","Commercial",$C890))),Variables!$B$1:$D$1,0),1))*AK890/365),""))</f>
        <v>575.75522099706041</v>
      </c>
      <c r="BI890" s="43">
        <f>IF($AX890="Cancelled","",IFERROR((W890*INDEX(Variables!$B$7:$D$7,IFERROR(MATCH(IF($B890="Robusta","Robusta",(IF($B890="","Arabica",$B890))&amp;" - "&amp;(IF($C890="","Commercial",$C890))),Variables!$B$1:$D$1,0),1))*BD890/365)+(L890/16.67*INDEX(Variables!$B$8:$D$8,IFERROR(MATCH(IF($B890="Robusta","Robusta",(IF($B890="","Arabica",$B890))&amp;" - "&amp;(IF($C890="","Commercial",$C890))),Variables!$B$1:$D$1,0),1))*BD890)+(W890*INDEX(Variables!$B$9:$D$9,IFERROR(MATCH(IF($B890="Robusta","Robusta",(IF($B890="","Arabica",$B890))&amp;" - "&amp;(IF($C890="","Commercial",$C890))),Variables!$B$1:$D$1,0),1))*BD890/365),""))</f>
        <v>411.25372928361463</v>
      </c>
      <c r="BJ890" s="43">
        <f t="shared" si="41"/>
        <v>-4</v>
      </c>
      <c r="BK890" s="43">
        <f>IF($AX890="Cancelled","",IFERROR(IF(BJ890="","",(W890*INDEX(Variables!$B$7:$D$7,IFERROR(MATCH(IF($B890="Robusta","Robusta",(IF($B890="","Arabica",$B890))&amp;" - "&amp;(IF($C890="","Commercial",$C890))),Variables!$B$1:$D$1,0),1))*(BJ890/365))+(W890*INDEX(Variables!$B$9:$D$9,IFERROR(MATCH(IF($B890="Robusta","Robusta",(IF($B890="","Arabica",$B890))&amp;" - "&amp;(IF($C890="","Commercial",$C890))),Variables!$B$1:$D$1,0),1))*(BJ890/365))+(INDEX(Variables!$B$8:$D$8,IFERROR(MATCH(IF($B890="Robusta","Robusta",(IF($B890="","Arabica",$B890))&amp;" - "&amp;(IF($C890="","Commercial",$C890))),Variables!$B$1:$D$1,0),1))*L890/16.67)),""))</f>
        <v>-162.25298342689166</v>
      </c>
    </row>
    <row r="891" spans="1:63">
      <c r="A891" s="13" t="s">
        <v>103</v>
      </c>
      <c r="B891" s="13" t="s">
        <v>104</v>
      </c>
      <c r="C891" s="13" t="s">
        <v>105</v>
      </c>
      <c r="D891" s="31">
        <v>46073</v>
      </c>
      <c r="E891" s="31">
        <v>46327</v>
      </c>
      <c r="F891" s="31">
        <v>46356</v>
      </c>
      <c r="G891" s="13">
        <v>3787322</v>
      </c>
      <c r="J891" s="13" t="s">
        <v>2315</v>
      </c>
      <c r="K891" s="13">
        <v>5668</v>
      </c>
      <c r="L891" s="13">
        <v>667</v>
      </c>
      <c r="M891" s="13">
        <v>2</v>
      </c>
      <c r="N891" s="13" t="s">
        <v>2316</v>
      </c>
      <c r="O891" s="13" t="s">
        <v>538</v>
      </c>
      <c r="P891" s="13">
        <v>10080</v>
      </c>
      <c r="R891" s="13" t="s">
        <v>271</v>
      </c>
      <c r="S891" s="13" t="s">
        <v>2297</v>
      </c>
      <c r="T891" s="13" t="s">
        <v>112</v>
      </c>
      <c r="U891" s="13" t="s">
        <v>113</v>
      </c>
      <c r="V891" s="23">
        <v>19</v>
      </c>
      <c r="W891" s="44">
        <f>IF($AX891="Cancelled","",IFERROR(((V891+INDEX(Variables!$B$6:$D$6,IFERROR(MATCH(IF($B891="Robusta","Robusta",(IF($B891="","Arabica",$B891))&amp;" - "&amp;(IF($C891="","Commercial",$C891))),Variables!$B$1:$D$1,0),1)))*22.0462)*(L891/16.67),""))</f>
        <v>273278.45296460704</v>
      </c>
      <c r="X891" s="55" t="s">
        <v>37</v>
      </c>
      <c r="Y891" s="13" t="str">
        <f>IF($AX891="Cancelled","",IF(X891="","",IFERROR(IF(INDEX(Variables!$B$38:$B$47,MATCH(X891,Variables!$A$38:$A$47,0))="Yes","Yes","No"),"No")))</f>
        <v>Yes</v>
      </c>
      <c r="Z891" s="58">
        <v>46282</v>
      </c>
      <c r="AB891" s="31">
        <v>46288</v>
      </c>
      <c r="AC891" s="13" t="str">
        <f t="shared" si="40"/>
        <v>Approved</v>
      </c>
      <c r="AF891" s="71">
        <v>46309</v>
      </c>
      <c r="AG891" s="37">
        <f>IF($AX891="Cancelled","",IFERROR(IF(F891="","",F891-Variables!$B$13),""))</f>
        <v>46341</v>
      </c>
      <c r="AH891" s="13">
        <f>IF($AX891="Cancelled","",IFERROR(IF(AB891="","",(AVERAGE(E891:F891)-AB891)-Variables!$B$14),""))</f>
        <v>23.5</v>
      </c>
      <c r="AK891" s="14" t="str">
        <f>IF($AX891="Cancelled","",IFERROR(IF(AJ891="","",IF(AND(AB891="",AF891=""),"",IF(AF891&gt;AB891,AF891+Variables!$B$15+Variables!$B$16+Variables!$B$17-AJ891,AB891+Variables!$B$16+Variables!$B$17-AJ891))),""))</f>
        <v/>
      </c>
      <c r="AM891" s="13" t="s">
        <v>1784</v>
      </c>
      <c r="AN891" s="13" t="s">
        <v>2320</v>
      </c>
      <c r="AP891" s="39">
        <v>46325</v>
      </c>
      <c r="AR891" s="13">
        <v>36313595</v>
      </c>
      <c r="AV891" s="13" t="e">
        <v>#REF!</v>
      </c>
      <c r="AW891" s="31">
        <v>46290</v>
      </c>
      <c r="AX891" s="13" t="str">
        <f>IF(ISNUMBER(SEARCH("cancel",#REF!)),"Cancelled",IF(AND(AS891&lt;&gt;"",AU891&lt;&gt;"",AW891&lt;&gt;""),"Closed","Open"))</f>
        <v>Open</v>
      </c>
      <c r="AY891" s="15" t="str">
        <f t="shared" si="39"/>
        <v>No sailing date and No shipping advice sent</v>
      </c>
      <c r="BD891" s="13" t="str">
        <f>IF($AX891="Cancelled","",IFERROR(IF(OR(AS891="",AJ891=""),"",(AJ891+Variables!$B$18-AS891)),""))</f>
        <v/>
      </c>
      <c r="BE891" s="13" t="str">
        <f>IF($AX891="Cancelled","",IFERROR(IF(OR(AW891="",AS891=""),"",(AS891+Variables!$B$19)-AW891),""))</f>
        <v/>
      </c>
      <c r="BF891" s="44" t="str">
        <f>IF($AX891="Cancelled","",IFERROR(W891*INDEX(Variables!$B$7:$D$7,IFERROR(MATCH(IF($B891="Robusta","Robusta",(IF($B891="","Arabica",$B891))&amp;" - "&amp;(IF($C891="","Commercial",$C891))),Variables!$B$1:$D$1,0),1))*(BE891/365),""))</f>
        <v/>
      </c>
      <c r="BG891" s="44">
        <f>IF($AX891="Cancelled","",IFERROR((W891*INDEX(Variables!$B$7:$D$7,IFERROR(MATCH(IF($B891="Robusta","Robusta",(IF($B891="","Arabica",$B891))&amp;" - "&amp;(IF($C891="","Commercial",$C891))),Variables!$B$1:$D$1,0),1))*IFERROR(IF(AB891="","",(AVERAGE(E891:F891)-AB891)-Variables!$B$14),"")/365)+(L891/16.67*INDEX(Variables!$B$8:$D$8,IFERROR(MATCH(IF($B891="Robusta","Robusta",(IF($B891="","Arabica",$B891))&amp;" - "&amp;(IF($C891="","Commercial",$C891))),Variables!$B$1:$D$1,0),1))*IFERROR(IF(AB891="","",(AVERAGE(E891:F891)-AB891)-Variables!$B$14),""))+(W891*INDEX(Variables!$B$9:$D$9,IFERROR(MATCH(IF($B891="Robusta","Robusta",(IF($B891="","Arabica",$B891))&amp;" - "&amp;(IF($C891="","Commercial",$C891))),Variables!$B$1:$D$1,0),1))*IFERROR(IF(AB891="","",(AVERAGE(E891:F891)-AB891)-Variables!$B$14),"")/365),""))</f>
        <v>1932.8925276329885</v>
      </c>
      <c r="BH891" s="44" t="str">
        <f>IF($AX891="Cancelled","",IFERROR((W891*INDEX(Variables!$B$7:$D$7,IFERROR(MATCH(IF($B891="Robusta","Robusta",(IF($B891="","Arabica",$B891))&amp;" - "&amp;(IF($C891="","Commercial",$C891))),Variables!$B$1:$D$1,0),1))*AK891/365)+(L891/16.67*INDEX(Variables!$B$8:$D$8,IFERROR(MATCH(IF($B891="Robusta","Robusta",(IF($B891="","Arabica",$B891))&amp;" - "&amp;(IF($C891="","Commercial",$C891))),Variables!$B$1:$D$1,0),1))*AK891)+(W891*INDEX(Variables!$B$9:$D$9,IFERROR(MATCH(IF($B891="Robusta","Robusta",(IF($B891="","Arabica",$B891))&amp;" - "&amp;(IF($C891="","Commercial",$C891))),Variables!$B$1:$D$1,0),1))*AK891/365),""))</f>
        <v/>
      </c>
      <c r="BI891" s="44" t="str">
        <f>IF($AX891="Cancelled","",IFERROR((W891*INDEX(Variables!$B$7:$D$7,IFERROR(MATCH(IF($B891="Robusta","Robusta",(IF($B891="","Arabica",$B891))&amp;" - "&amp;(IF($C891="","Commercial",$C891))),Variables!$B$1:$D$1,0),1))*BD891/365)+(L891/16.67*INDEX(Variables!$B$8:$D$8,IFERROR(MATCH(IF($B891="Robusta","Robusta",(IF($B891="","Arabica",$B891))&amp;" - "&amp;(IF($C891="","Commercial",$C891))),Variables!$B$1:$D$1,0),1))*BD891)+(W891*INDEX(Variables!$B$9:$D$9,IFERROR(MATCH(IF($B891="Robusta","Robusta",(IF($B891="","Arabica",$B891))&amp;" - "&amp;(IF($C891="","Commercial",$C891))),Variables!$B$1:$D$1,0),1))*BD891/365),""))</f>
        <v/>
      </c>
      <c r="BJ891" s="44" t="str">
        <f t="shared" si="41"/>
        <v/>
      </c>
      <c r="BK891" s="44" t="str">
        <f>IF($AX891="Cancelled","",IFERROR(IF(BJ891="","",(W891*INDEX(Variables!$B$7:$D$7,IFERROR(MATCH(IF($B891="Robusta","Robusta",(IF($B891="","Arabica",$B891))&amp;" - "&amp;(IF($C891="","Commercial",$C891))),Variables!$B$1:$D$1,0),1))*(BJ891/365))+(W891*INDEX(Variables!$B$9:$D$9,IFERROR(MATCH(IF($B891="Robusta","Robusta",(IF($B891="","Arabica",$B891))&amp;" - "&amp;(IF($C891="","Commercial",$C891))),Variables!$B$1:$D$1,0),1))*(BJ891/365))+(INDEX(Variables!$B$8:$D$8,IFERROR(MATCH(IF($B891="Robusta","Robusta",(IF($B891="","Arabica",$B891))&amp;" - "&amp;(IF($C891="","Commercial",$C891))),Variables!$B$1:$D$1,0),1))*L891/16.67)),""))</f>
        <v/>
      </c>
    </row>
    <row r="892" spans="1:63">
      <c r="A892" s="13" t="s">
        <v>103</v>
      </c>
      <c r="B892" s="13" t="s">
        <v>104</v>
      </c>
      <c r="C892" s="13" t="s">
        <v>292</v>
      </c>
      <c r="D892" s="31">
        <v>46073</v>
      </c>
      <c r="E892" s="31">
        <v>46082</v>
      </c>
      <c r="F892" s="31">
        <v>46112</v>
      </c>
      <c r="G892" s="13">
        <v>3787323</v>
      </c>
      <c r="J892" s="13" t="s">
        <v>1641</v>
      </c>
      <c r="K892" s="13" t="s">
        <v>2321</v>
      </c>
      <c r="L892" s="13">
        <v>13</v>
      </c>
      <c r="M892" s="13">
        <v>0</v>
      </c>
      <c r="N892" s="13" t="s">
        <v>2322</v>
      </c>
      <c r="O892" s="13" t="s">
        <v>297</v>
      </c>
      <c r="P892" s="13">
        <v>10020</v>
      </c>
      <c r="R892" s="13" t="s">
        <v>239</v>
      </c>
      <c r="S892" s="13" t="s">
        <v>776</v>
      </c>
      <c r="T892" s="13" t="s">
        <v>777</v>
      </c>
      <c r="U892" s="13" t="s">
        <v>125</v>
      </c>
      <c r="V892" s="13">
        <v>164.65</v>
      </c>
      <c r="W892" s="44">
        <f>IF($AX892="Cancelled","",IFERROR(((V892+INDEX(Variables!$B$6:$D$6,IFERROR(MATCH(IF($B892="Robusta","Robusta",(IF($B892="","Arabica",$B892))&amp;" - "&amp;(IF($C892="","Commercial",$C892))),Variables!$B$1:$D$1,0),1)))*22.0462)*(L892/16.67),""))</f>
        <v>7830.3685224955016</v>
      </c>
      <c r="X892" s="55" t="s">
        <v>39</v>
      </c>
      <c r="Y892" s="13" t="str">
        <f>IF($AX892="Cancelled","",IF(X892="","",IFERROR(IF(INDEX(Variables!$B$38:$B$47,MATCH(X892,Variables!$A$38:$A$47,0))="Yes","Yes","No"),"No")))</f>
        <v>No</v>
      </c>
      <c r="Z892" s="31"/>
      <c r="AB892" s="31">
        <v>46067.875</v>
      </c>
      <c r="AC892" s="13" t="str">
        <f t="shared" si="40"/>
        <v>Approved</v>
      </c>
      <c r="AF892" s="71">
        <v>46086</v>
      </c>
      <c r="AG892" s="31">
        <f>IF($AX892="Cancelled","",IFERROR(IF(F892="","",F892-Variables!$B$13),""))</f>
        <v>46097</v>
      </c>
      <c r="AH892" s="13">
        <f>IF($AX892="Cancelled","",IFERROR(IF(AB892="","",(AVERAGE(E892:F892)-AB892)-Variables!$B$14),""))</f>
        <v>-0.875</v>
      </c>
      <c r="AJ892" s="47">
        <v>46095</v>
      </c>
      <c r="AK892" s="14">
        <f>IF($AX892="Cancelled","",IFERROR(IF(AJ892="","",IF(AND(AB892="",AF892=""),"",IF(AF892&gt;AB892,AF892+Variables!$B$15+Variables!$B$16+Variables!$B$17-AJ892,AB892+Variables!$B$16+Variables!$B$17-AJ892))),""))</f>
        <v>6</v>
      </c>
      <c r="AL892" s="48" t="s">
        <v>114</v>
      </c>
      <c r="AM892" s="13" t="s">
        <v>1526</v>
      </c>
      <c r="AN892" s="13" t="s">
        <v>1925</v>
      </c>
      <c r="AP892" s="39" t="e">
        <v>#N/A</v>
      </c>
      <c r="AR892" s="13" t="s">
        <v>1926</v>
      </c>
      <c r="AS892" s="31">
        <v>46117</v>
      </c>
      <c r="AU892" s="31">
        <v>46128</v>
      </c>
      <c r="AV892" s="13" t="s">
        <v>865</v>
      </c>
      <c r="AW892" s="31">
        <v>46142</v>
      </c>
      <c r="AX892" s="13" t="str">
        <f>IF(ISNUMBER(SEARCH("cancel",#REF!)),"Cancelled",IF(AND(AS892&lt;&gt;"",AU892&lt;&gt;"",AW892&lt;&gt;""),"Closed","Open"))</f>
        <v>Closed</v>
      </c>
      <c r="AY892" s="15" t="str">
        <f t="shared" si="39"/>
        <v>All dates received</v>
      </c>
      <c r="BD892" s="13">
        <f>IF($AX892="Cancelled","",IFERROR(IF(OR(AS892="",AJ892=""),"",(AJ892+Variables!$B$18-AS892)),""))</f>
        <v>-7</v>
      </c>
      <c r="BE892" s="13">
        <f>IF($AX892="Cancelled","",IFERROR(IF(OR(AW892="",AS892=""),"",(AS892+Variables!$B$19)-AW892),""))</f>
        <v>-20</v>
      </c>
      <c r="BF892" s="44">
        <f>IF($AX892="Cancelled","",IFERROR(W892*INDEX(Variables!$B$7:$D$7,IFERROR(MATCH(IF($B892="Robusta","Robusta",(IF($B892="","Arabica",$B892))&amp;" - "&amp;(IF($C892="","Commercial",$C892))),Variables!$B$1:$D$1,0),1))*(BE892/365),""))</f>
        <v>-27.66681584335668</v>
      </c>
      <c r="BG892" s="44">
        <f>IF($AX892="Cancelled","",IFERROR((W892*INDEX(Variables!$B$7:$D$7,IFERROR(MATCH(IF($B892="Robusta","Robusta",(IF($B892="","Arabica",$B892))&amp;" - "&amp;(IF($C892="","Commercial",$C892))),Variables!$B$1:$D$1,0),1))*IFERROR(IF(AB892="","",(AVERAGE(E892:F892)-AB892)-Variables!$B$14),"")/365)+(L892/16.67*INDEX(Variables!$B$8:$D$8,IFERROR(MATCH(IF($B892="Robusta","Robusta",(IF($B892="","Arabica",$B892))&amp;" - "&amp;(IF($C892="","Commercial",$C892))),Variables!$B$1:$D$1,0),1))*IFERROR(IF(AB892="","",(AVERAGE(E892:F892)-AB892)-Variables!$B$14),""))+(W892*INDEX(Variables!$B$9:$D$9,IFERROR(MATCH(IF($B892="Robusta","Robusta",(IF($B892="","Arabica",$B892))&amp;" - "&amp;(IF($C892="","Commercial",$C892))),Variables!$B$1:$D$1,0),1))*IFERROR(IF(AB892="","",(AVERAGE(E892:F892)-AB892)-Variables!$B$14),"")/365),""))</f>
        <v>-1.7947778840609827</v>
      </c>
      <c r="BH892" s="44">
        <f>IF($AX892="Cancelled","",IFERROR((W892*INDEX(Variables!$B$7:$D$7,IFERROR(MATCH(IF($B892="Robusta","Robusta",(IF($B892="","Arabica",$B892))&amp;" - "&amp;(IF($C892="","Commercial",$C892))),Variables!$B$1:$D$1,0),1))*AK892/365)+(L892/16.67*INDEX(Variables!$B$8:$D$8,IFERROR(MATCH(IF($B892="Robusta","Robusta",(IF($B892="","Arabica",$B892))&amp;" - "&amp;(IF($C892="","Commercial",$C892))),Variables!$B$1:$D$1,0),1))*AK892)+(W892*INDEX(Variables!$B$9:$D$9,IFERROR(MATCH(IF($B892="Robusta","Robusta",(IF($B892="","Arabica",$B892))&amp;" - "&amp;(IF($C892="","Commercial",$C892))),Variables!$B$1:$D$1,0),1))*AK892/365),""))</f>
        <v>12.307048347846738</v>
      </c>
      <c r="BI892" s="44">
        <f>IF($AX892="Cancelled","",IFERROR((W892*INDEX(Variables!$B$7:$D$7,IFERROR(MATCH(IF($B892="Robusta","Robusta",(IF($B892="","Arabica",$B892))&amp;" - "&amp;(IF($C892="","Commercial",$C892))),Variables!$B$1:$D$1,0),1))*BD892/365)+(L892/16.67*INDEX(Variables!$B$8:$D$8,IFERROR(MATCH(IF($B892="Robusta","Robusta",(IF($B892="","Arabica",$B892))&amp;" - "&amp;(IF($C892="","Commercial",$C892))),Variables!$B$1:$D$1,0),1))*BD892)+(W892*INDEX(Variables!$B$9:$D$9,IFERROR(MATCH(IF($B892="Robusta","Robusta",(IF($B892="","Arabica",$B892))&amp;" - "&amp;(IF($C892="","Commercial",$C892))),Variables!$B$1:$D$1,0),1))*BD892/365),""))</f>
        <v>-14.358223072487862</v>
      </c>
      <c r="BJ892" s="44">
        <f t="shared" si="41"/>
        <v>-5</v>
      </c>
      <c r="BK892" s="44">
        <f>IF($AX892="Cancelled","",IFERROR(IF(BJ892="","",(W892*INDEX(Variables!$B$7:$D$7,IFERROR(MATCH(IF($B892="Robusta","Robusta",(IF($B892="","Arabica",$B892))&amp;" - "&amp;(IF($C892="","Commercial",$C892))),Variables!$B$1:$D$1,0),1))*(BJ892/365))+(W892*INDEX(Variables!$B$9:$D$9,IFERROR(MATCH(IF($B892="Robusta","Robusta",(IF($B892="","Arabica",$B892))&amp;" - "&amp;(IF($C892="","Commercial",$C892))),Variables!$B$1:$D$1,0),1))*(BJ892/365))+(INDEX(Variables!$B$8:$D$8,IFERROR(MATCH(IF($B892="Robusta","Robusta",(IF($B892="","Arabica",$B892))&amp;" - "&amp;(IF($C892="","Commercial",$C892))),Variables!$B$1:$D$1,0),1))*L892/16.67)),""))</f>
        <v>-6.355873623205615</v>
      </c>
    </row>
    <row r="893" spans="1:63">
      <c r="A893" s="13" t="s">
        <v>103</v>
      </c>
      <c r="B893" s="13" t="s">
        <v>104</v>
      </c>
      <c r="C893" s="13" t="s">
        <v>292</v>
      </c>
      <c r="D893" s="31">
        <v>46073</v>
      </c>
      <c r="E893" s="31">
        <v>46082</v>
      </c>
      <c r="F893" s="31">
        <v>46112</v>
      </c>
      <c r="G893" s="13">
        <v>3787324</v>
      </c>
      <c r="J893" s="13" t="s">
        <v>1641</v>
      </c>
      <c r="K893" s="13" t="s">
        <v>2323</v>
      </c>
      <c r="L893" s="13">
        <v>11</v>
      </c>
      <c r="M893" s="13">
        <v>0</v>
      </c>
      <c r="N893" s="13" t="s">
        <v>2324</v>
      </c>
      <c r="O893" s="13" t="s">
        <v>297</v>
      </c>
      <c r="P893" s="13">
        <v>10020</v>
      </c>
      <c r="R893" s="13" t="s">
        <v>239</v>
      </c>
      <c r="S893" s="13" t="s">
        <v>776</v>
      </c>
      <c r="T893" s="13" t="s">
        <v>777</v>
      </c>
      <c r="U893" s="13" t="s">
        <v>125</v>
      </c>
      <c r="V893" s="13">
        <v>154.65</v>
      </c>
      <c r="W893" s="44">
        <f>IF($AX893="Cancelled","",IFERROR(((V893+INDEX(Variables!$B$6:$D$6,IFERROR(MATCH(IF($B893="Robusta","Robusta",(IF($B893="","Arabica",$B893))&amp;" - "&amp;(IF($C893="","Commercial",$C893))),Variables!$B$1:$D$1,0),1)))*22.0462)*(L893/16.67),""))</f>
        <v>6480.2206172765445</v>
      </c>
      <c r="X893" s="55" t="s">
        <v>39</v>
      </c>
      <c r="Y893" s="13" t="str">
        <f>IF($AX893="Cancelled","",IF(X893="","",IFERROR(IF(INDEX(Variables!$B$38:$B$47,MATCH(X893,Variables!$A$38:$A$47,0))="Yes","Yes","No"),"No")))</f>
        <v>No</v>
      </c>
      <c r="Z893" s="31"/>
      <c r="AB893" s="31">
        <v>46067.875</v>
      </c>
      <c r="AC893" s="13" t="str">
        <f t="shared" si="40"/>
        <v>Approved</v>
      </c>
      <c r="AF893" s="71">
        <v>46093</v>
      </c>
      <c r="AG893" s="31">
        <f>IF($AX893="Cancelled","",IFERROR(IF(F893="","",F893-Variables!$B$13),""))</f>
        <v>46097</v>
      </c>
      <c r="AH893" s="13">
        <f>IF($AX893="Cancelled","",IFERROR(IF(AB893="","",(AVERAGE(E893:F893)-AB893)-Variables!$B$14),""))</f>
        <v>-0.875</v>
      </c>
      <c r="AJ893" s="47">
        <v>46095</v>
      </c>
      <c r="AK893" s="14">
        <f>IF($AX893="Cancelled","",IFERROR(IF(AJ893="","",IF(AND(AB893="",AF893=""),"",IF(AF893&gt;AB893,AF893+Variables!$B$15+Variables!$B$16+Variables!$B$17-AJ893,AB893+Variables!$B$16+Variables!$B$17-AJ893))),""))</f>
        <v>13</v>
      </c>
      <c r="AL893" s="48" t="s">
        <v>114</v>
      </c>
      <c r="AM893" s="13" t="s">
        <v>1526</v>
      </c>
      <c r="AN893" s="13" t="s">
        <v>1925</v>
      </c>
      <c r="AP893" s="39" t="e">
        <v>#N/A</v>
      </c>
      <c r="AR893" s="13" t="s">
        <v>1926</v>
      </c>
      <c r="AS893" s="31">
        <v>46117</v>
      </c>
      <c r="AU893" s="31">
        <v>46128</v>
      </c>
      <c r="AV893" s="13" t="s">
        <v>865</v>
      </c>
      <c r="AW893" s="31">
        <v>46142</v>
      </c>
      <c r="AX893" s="13" t="str">
        <f>IF(ISNUMBER(SEARCH("cancel",#REF!)),"Cancelled",IF(AND(AS893&lt;&gt;"",AU893&lt;&gt;"",AW893&lt;&gt;""),"Closed","Open"))</f>
        <v>Closed</v>
      </c>
      <c r="AY893" s="15" t="str">
        <f t="shared" si="39"/>
        <v>All dates received</v>
      </c>
      <c r="BD893" s="13">
        <f>IF($AX893="Cancelled","",IFERROR(IF(OR(AS893="",AJ893=""),"",(AJ893+Variables!$B$18-AS893)),""))</f>
        <v>-7</v>
      </c>
      <c r="BE893" s="13">
        <f>IF($AX893="Cancelled","",IFERROR(IF(OR(AW893="",AS893=""),"",(AS893+Variables!$B$19)-AW893),""))</f>
        <v>-20</v>
      </c>
      <c r="BF893" s="44">
        <f>IF($AX893="Cancelled","",IFERROR(W893*INDEX(Variables!$B$7:$D$7,IFERROR(MATCH(IF($B893="Robusta","Robusta",(IF($B893="","Arabica",$B893))&amp;" - "&amp;(IF($C893="","Commercial",$C893))),Variables!$B$1:$D$1,0),1))*(BE893/365),""))</f>
        <v>-22.896377089717788</v>
      </c>
      <c r="BG893" s="44">
        <f>IF($AX893="Cancelled","",IFERROR((W893*INDEX(Variables!$B$7:$D$7,IFERROR(MATCH(IF($B893="Robusta","Robusta",(IF($B893="","Arabica",$B893))&amp;" - "&amp;(IF($C893="","Commercial",$C893))),Variables!$B$1:$D$1,0),1))*IFERROR(IF(AB893="","",(AVERAGE(E893:F893)-AB893)-Variables!$B$14),"")/365)+(L893/16.67*INDEX(Variables!$B$8:$D$8,IFERROR(MATCH(IF($B893="Robusta","Robusta",(IF($B893="","Arabica",$B893))&amp;" - "&amp;(IF($C893="","Commercial",$C893))),Variables!$B$1:$D$1,0),1))*IFERROR(IF(AB893="","",(AVERAGE(E893:F893)-AB893)-Variables!$B$14),""))+(W893*INDEX(Variables!$B$9:$D$9,IFERROR(MATCH(IF($B893="Robusta","Robusta",(IF($B893="","Arabica",$B893))&amp;" - "&amp;(IF($C893="","Commercial",$C893))),Variables!$B$1:$D$1,0),1))*IFERROR(IF(AB893="","",(AVERAGE(E893:F893)-AB893)-Variables!$B$14),"")/365),""))</f>
        <v>-1.495880556508713</v>
      </c>
      <c r="BH893" s="44">
        <f>IF($AX893="Cancelled","",IFERROR((W893*INDEX(Variables!$B$7:$D$7,IFERROR(MATCH(IF($B893="Robusta","Robusta",(IF($B893="","Arabica",$B893))&amp;" - "&amp;(IF($C893="","Commercial",$C893))),Variables!$B$1:$D$1,0),1))*AK893/365)+(L893/16.67*INDEX(Variables!$B$8:$D$8,IFERROR(MATCH(IF($B893="Robusta","Robusta",(IF($B893="","Arabica",$B893))&amp;" - "&amp;(IF($C893="","Commercial",$C893))),Variables!$B$1:$D$1,0),1))*AK893)+(W893*INDEX(Variables!$B$9:$D$9,IFERROR(MATCH(IF($B893="Robusta","Robusta",(IF($B893="","Arabica",$B893))&amp;" - "&amp;(IF($C893="","Commercial",$C893))),Variables!$B$1:$D$1,0),1))*AK893/365),""))</f>
        <v>22.224511125272308</v>
      </c>
      <c r="BI893" s="44">
        <f>IF($AX893="Cancelled","",IFERROR((W893*INDEX(Variables!$B$7:$D$7,IFERROR(MATCH(IF($B893="Robusta","Robusta",(IF($B893="","Arabica",$B893))&amp;" - "&amp;(IF($C893="","Commercial",$C893))),Variables!$B$1:$D$1,0),1))*BD893/365)+(L893/16.67*INDEX(Variables!$B$8:$D$8,IFERROR(MATCH(IF($B893="Robusta","Robusta",(IF($B893="","Arabica",$B893))&amp;" - "&amp;(IF($C893="","Commercial",$C893))),Variables!$B$1:$D$1,0),1))*BD893)+(W893*INDEX(Variables!$B$9:$D$9,IFERROR(MATCH(IF($B893="Robusta","Robusta",(IF($B893="","Arabica",$B893))&amp;" - "&amp;(IF($C893="","Commercial",$C893))),Variables!$B$1:$D$1,0),1))*BD893/365),""))</f>
        <v>-11.967044452069704</v>
      </c>
      <c r="BJ893" s="44">
        <f t="shared" si="41"/>
        <v>-5</v>
      </c>
      <c r="BK893" s="44">
        <f>IF($AX893="Cancelled","",IFERROR(IF(BJ893="","",(W893*INDEX(Variables!$B$7:$D$7,IFERROR(MATCH(IF($B893="Robusta","Robusta",(IF($B893="","Arabica",$B893))&amp;" - "&amp;(IF($C893="","Commercial",$C893))),Variables!$B$1:$D$1,0),1))*(BJ893/365))+(W893*INDEX(Variables!$B$9:$D$9,IFERROR(MATCH(IF($B893="Robusta","Robusta",(IF($B893="","Arabica",$B893))&amp;" - "&amp;(IF($C893="","Commercial",$C893))),Variables!$B$1:$D$1,0),1))*(BJ893/365))+(INDEX(Variables!$B$8:$D$8,IFERROR(MATCH(IF($B893="Robusta","Robusta",(IF($B893="","Arabica",$B893))&amp;" - "&amp;(IF($C893="","Commercial",$C893))),Variables!$B$1:$D$1,0),1))*L893/16.67)),""))</f>
        <v>-5.2478888943355022</v>
      </c>
    </row>
    <row r="894" spans="1:63">
      <c r="A894" s="13" t="s">
        <v>103</v>
      </c>
      <c r="B894" s="13" t="s">
        <v>104</v>
      </c>
      <c r="C894" s="13" t="s">
        <v>292</v>
      </c>
      <c r="D894" s="31">
        <v>46073</v>
      </c>
      <c r="E894" s="31">
        <v>46082</v>
      </c>
      <c r="F894" s="31">
        <v>46112</v>
      </c>
      <c r="G894" s="13">
        <v>3787325</v>
      </c>
      <c r="J894" s="13" t="s">
        <v>1641</v>
      </c>
      <c r="K894" s="13" t="s">
        <v>2325</v>
      </c>
      <c r="L894" s="13">
        <v>13</v>
      </c>
      <c r="M894" s="13">
        <v>0</v>
      </c>
      <c r="N894" s="13" t="s">
        <v>2326</v>
      </c>
      <c r="O894" s="13" t="s">
        <v>297</v>
      </c>
      <c r="P894" s="13">
        <v>10020</v>
      </c>
      <c r="R894" s="13" t="s">
        <v>239</v>
      </c>
      <c r="S894" s="13" t="s">
        <v>776</v>
      </c>
      <c r="T894" s="13" t="s">
        <v>777</v>
      </c>
      <c r="U894" s="13" t="s">
        <v>125</v>
      </c>
      <c r="V894" s="13">
        <v>160.65</v>
      </c>
      <c r="W894" s="44">
        <f>IF($AX894="Cancelled","",IFERROR(((V894+INDEX(Variables!$B$6:$D$6,IFERROR(MATCH(IF($B894="Robusta","Robusta",(IF($B894="","Arabica",$B894))&amp;" - "&amp;(IF($C894="","Commercial",$C894))),Variables!$B$1:$D$1,0),1)))*22.0462)*(L894/16.67),""))</f>
        <v>7761.5981325734847</v>
      </c>
      <c r="X894" s="55" t="s">
        <v>39</v>
      </c>
      <c r="Y894" s="13" t="str">
        <f>IF($AX894="Cancelled","",IF(X894="","",IFERROR(IF(INDEX(Variables!$B$38:$B$47,MATCH(X894,Variables!$A$38:$A$47,0))="Yes","Yes","No"),"No")))</f>
        <v>No</v>
      </c>
      <c r="Z894" s="31"/>
      <c r="AB894" s="31">
        <v>46067.875</v>
      </c>
      <c r="AC894" s="13" t="str">
        <f t="shared" si="40"/>
        <v>Approved</v>
      </c>
      <c r="AF894" s="71">
        <v>46093</v>
      </c>
      <c r="AG894" s="31">
        <f>IF($AX894="Cancelled","",IFERROR(IF(F894="","",F894-Variables!$B$13),""))</f>
        <v>46097</v>
      </c>
      <c r="AH894" s="13">
        <f>IF($AX894="Cancelled","",IFERROR(IF(AB894="","",(AVERAGE(E894:F894)-AB894)-Variables!$B$14),""))</f>
        <v>-0.875</v>
      </c>
      <c r="AJ894" s="47">
        <v>46095</v>
      </c>
      <c r="AK894" s="14">
        <f>IF($AX894="Cancelled","",IFERROR(IF(AJ894="","",IF(AND(AB894="",AF894=""),"",IF(AF894&gt;AB894,AF894+Variables!$B$15+Variables!$B$16+Variables!$B$17-AJ894,AB894+Variables!$B$16+Variables!$B$17-AJ894))),""))</f>
        <v>13</v>
      </c>
      <c r="AL894" s="48" t="s">
        <v>114</v>
      </c>
      <c r="AM894" s="13" t="s">
        <v>1526</v>
      </c>
      <c r="AN894" s="13" t="s">
        <v>1925</v>
      </c>
      <c r="AP894" s="39" t="e">
        <v>#N/A</v>
      </c>
      <c r="AR894" s="13" t="s">
        <v>1926</v>
      </c>
      <c r="AS894" s="31">
        <v>46117</v>
      </c>
      <c r="AU894" s="31">
        <v>46128</v>
      </c>
      <c r="AV894" s="13" t="s">
        <v>865</v>
      </c>
      <c r="AW894" s="31">
        <v>46142</v>
      </c>
      <c r="AX894" s="13" t="str">
        <f>IF(ISNUMBER(SEARCH("cancel",#REF!)),"Cancelled",IF(AND(AS894&lt;&gt;"",AU894&lt;&gt;"",AW894&lt;&gt;""),"Closed","Open"))</f>
        <v>Closed</v>
      </c>
      <c r="AY894" s="15" t="str">
        <f t="shared" si="39"/>
        <v>All dates received</v>
      </c>
      <c r="BD894" s="13">
        <f>IF($AX894="Cancelled","",IFERROR(IF(OR(AS894="",AJ894=""),"",(AJ894+Variables!$B$18-AS894)),""))</f>
        <v>-7</v>
      </c>
      <c r="BE894" s="13">
        <f>IF($AX894="Cancelled","",IFERROR(IF(OR(AW894="",AS894=""),"",(AS894+Variables!$B$19)-AW894),""))</f>
        <v>-20</v>
      </c>
      <c r="BF894" s="44">
        <f>IF($AX894="Cancelled","",IFERROR(W894*INDEX(Variables!$B$7:$D$7,IFERROR(MATCH(IF($B894="Robusta","Robusta",(IF($B894="","Arabica",$B894))&amp;" - "&amp;(IF($C894="","Commercial",$C894))),Variables!$B$1:$D$1,0),1))*(BE894/365),""))</f>
        <v>-27.423831402971505</v>
      </c>
      <c r="BG894" s="44">
        <f>IF($AX894="Cancelled","",IFERROR((W894*INDEX(Variables!$B$7:$D$7,IFERROR(MATCH(IF($B894="Robusta","Robusta",(IF($B894="","Arabica",$B894))&amp;" - "&amp;(IF($C894="","Commercial",$C894))),Variables!$B$1:$D$1,0),1))*IFERROR(IF(AB894="","",(AVERAGE(E894:F894)-AB894)-Variables!$B$14),"")/365)+(L894/16.67*INDEX(Variables!$B$8:$D$8,IFERROR(MATCH(IF($B894="Robusta","Robusta",(IF($B894="","Arabica",$B894))&amp;" - "&amp;(IF($C894="","Commercial",$C894))),Variables!$B$1:$D$1,0),1))*IFERROR(IF(AB894="","",(AVERAGE(E894:F894)-AB894)-Variables!$B$14),""))+(W894*INDEX(Variables!$B$9:$D$9,IFERROR(MATCH(IF($B894="Robusta","Robusta",(IF($B894="","Arabica",$B894))&amp;" - "&amp;(IF($C894="","Commercial",$C894))),Variables!$B$1:$D$1,0),1))*IFERROR(IF(AB894="","",(AVERAGE(E894:F894)-AB894)-Variables!$B$14),"")/365),""))</f>
        <v>-1.7840102662407085</v>
      </c>
      <c r="BH894" s="44">
        <f>IF($AX894="Cancelled","",IFERROR((W894*INDEX(Variables!$B$7:$D$7,IFERROR(MATCH(IF($B894="Robusta","Robusta",(IF($B894="","Arabica",$B894))&amp;" - "&amp;(IF($C894="","Commercial",$C894))),Variables!$B$1:$D$1,0),1))*AK894/365)+(L894/16.67*INDEX(Variables!$B$8:$D$8,IFERROR(MATCH(IF($B894="Robusta","Robusta",(IF($B894="","Arabica",$B894))&amp;" - "&amp;(IF($C894="","Commercial",$C894))),Variables!$B$1:$D$1,0),1))*AK894)+(W894*INDEX(Variables!$B$9:$D$9,IFERROR(MATCH(IF($B894="Robusta","Robusta",(IF($B894="","Arabica",$B894))&amp;" - "&amp;(IF($C894="","Commercial",$C894))),Variables!$B$1:$D$1,0),1))*AK894/365),""))</f>
        <v>26.505295384147665</v>
      </c>
      <c r="BI894" s="44">
        <f>IF($AX894="Cancelled","",IFERROR((W894*INDEX(Variables!$B$7:$D$7,IFERROR(MATCH(IF($B894="Robusta","Robusta",(IF($B894="","Arabica",$B894))&amp;" - "&amp;(IF($C894="","Commercial",$C894))),Variables!$B$1:$D$1,0),1))*BD894/365)+(L894/16.67*INDEX(Variables!$B$8:$D$8,IFERROR(MATCH(IF($B894="Robusta","Robusta",(IF($B894="","Arabica",$B894))&amp;" - "&amp;(IF($C894="","Commercial",$C894))),Variables!$B$1:$D$1,0),1))*BD894)+(W894*INDEX(Variables!$B$9:$D$9,IFERROR(MATCH(IF($B894="Robusta","Robusta",(IF($B894="","Arabica",$B894))&amp;" - "&amp;(IF($C894="","Commercial",$C894))),Variables!$B$1:$D$1,0),1))*BD894/365),""))</f>
        <v>-14.272082129925668</v>
      </c>
      <c r="BJ894" s="44">
        <f t="shared" si="41"/>
        <v>-5</v>
      </c>
      <c r="BK894" s="44">
        <f>IF($AX894="Cancelled","",IFERROR(IF(BJ894="","",(W894*INDEX(Variables!$B$7:$D$7,IFERROR(MATCH(IF($B894="Robusta","Robusta",(IF($B894="","Arabica",$B894))&amp;" - "&amp;(IF($C894="","Commercial",$C894))),Variables!$B$1:$D$1,0),1))*(BJ894/365))+(W894*INDEX(Variables!$B$9:$D$9,IFERROR(MATCH(IF($B894="Robusta","Robusta",(IF($B894="","Arabica",$B894))&amp;" - "&amp;(IF($C894="","Commercial",$C894))),Variables!$B$1:$D$1,0),1))*(BJ894/365))+(INDEX(Variables!$B$8:$D$8,IFERROR(MATCH(IF($B894="Robusta","Robusta",(IF($B894="","Arabica",$B894))&amp;" - "&amp;(IF($C894="","Commercial",$C894))),Variables!$B$1:$D$1,0),1))*L894/16.67)),""))</f>
        <v>-6.2943443785183328</v>
      </c>
    </row>
    <row r="895" spans="1:63">
      <c r="A895" s="13" t="s">
        <v>103</v>
      </c>
      <c r="B895" s="13" t="s">
        <v>104</v>
      </c>
      <c r="C895" s="13" t="s">
        <v>292</v>
      </c>
      <c r="D895" s="31">
        <v>46073</v>
      </c>
      <c r="E895" s="31">
        <v>46082</v>
      </c>
      <c r="F895" s="31">
        <v>46112</v>
      </c>
      <c r="G895" s="13">
        <v>3787326</v>
      </c>
      <c r="J895" s="13" t="s">
        <v>1641</v>
      </c>
      <c r="K895" s="13" t="s">
        <v>2327</v>
      </c>
      <c r="L895" s="13">
        <v>22</v>
      </c>
      <c r="M895" s="13">
        <v>0</v>
      </c>
      <c r="N895" s="13" t="s">
        <v>2328</v>
      </c>
      <c r="O895" s="13" t="s">
        <v>771</v>
      </c>
      <c r="P895" s="13">
        <v>10010</v>
      </c>
      <c r="R895" s="13" t="s">
        <v>239</v>
      </c>
      <c r="S895" s="13" t="s">
        <v>776</v>
      </c>
      <c r="T895" s="13" t="s">
        <v>777</v>
      </c>
      <c r="U895" s="13" t="s">
        <v>125</v>
      </c>
      <c r="V895" s="13">
        <v>191.65</v>
      </c>
      <c r="W895" s="44">
        <f>IF($AX895="Cancelled","",IFERROR(((V895+INDEX(Variables!$B$6:$D$6,IFERROR(MATCH(IF($B895="Robusta","Robusta",(IF($B895="","Arabica",$B895))&amp;" - "&amp;(IF($C895="","Commercial",$C895))),Variables!$B$1:$D$1,0),1)))*22.0462)*(L895/16.67),""))</f>
        <v>14036.962338332332</v>
      </c>
      <c r="X895" s="55" t="s">
        <v>39</v>
      </c>
      <c r="Y895" s="13" t="str">
        <f>IF($AX895="Cancelled","",IF(X895="","",IFERROR(IF(INDEX(Variables!$B$38:$B$47,MATCH(X895,Variables!$A$38:$A$47,0))="Yes","Yes","No"),"No")))</f>
        <v>No</v>
      </c>
      <c r="Z895" s="31"/>
      <c r="AB895" s="31">
        <v>46067.875</v>
      </c>
      <c r="AC895" s="13" t="str">
        <f t="shared" si="40"/>
        <v>Approved</v>
      </c>
      <c r="AF895" s="71">
        <v>46092</v>
      </c>
      <c r="AG895" s="31">
        <f>IF($AX895="Cancelled","",IFERROR(IF(F895="","",F895-Variables!$B$13),""))</f>
        <v>46097</v>
      </c>
      <c r="AH895" s="13">
        <f>IF($AX895="Cancelled","",IFERROR(IF(AB895="","",(AVERAGE(E895:F895)-AB895)-Variables!$B$14),""))</f>
        <v>-0.875</v>
      </c>
      <c r="AJ895" s="47">
        <v>46095</v>
      </c>
      <c r="AK895" s="14">
        <f>IF($AX895="Cancelled","",IFERROR(IF(AJ895="","",IF(AND(AB895="",AF895=""),"",IF(AF895&gt;AB895,AF895+Variables!$B$15+Variables!$B$16+Variables!$B$17-AJ895,AB895+Variables!$B$16+Variables!$B$17-AJ895))),""))</f>
        <v>12</v>
      </c>
      <c r="AL895" s="48" t="s">
        <v>114</v>
      </c>
      <c r="AM895" s="13" t="s">
        <v>1526</v>
      </c>
      <c r="AN895" s="13" t="s">
        <v>1925</v>
      </c>
      <c r="AP895" s="39" t="e">
        <v>#N/A</v>
      </c>
      <c r="AR895" s="13" t="s">
        <v>1926</v>
      </c>
      <c r="AS895" s="31">
        <v>46117</v>
      </c>
      <c r="AU895" s="31">
        <v>46128</v>
      </c>
      <c r="AV895" s="13" t="s">
        <v>865</v>
      </c>
      <c r="AW895" s="31">
        <v>46142</v>
      </c>
      <c r="AX895" s="13" t="str">
        <f>IF(ISNUMBER(SEARCH("cancel",#REF!)),"Cancelled",IF(AND(AS895&lt;&gt;"",AU895&lt;&gt;"",AW895&lt;&gt;""),"Closed","Open"))</f>
        <v>Closed</v>
      </c>
      <c r="AY895" s="15" t="str">
        <f t="shared" si="39"/>
        <v>All dates received</v>
      </c>
      <c r="BD895" s="13">
        <f>IF($AX895="Cancelled","",IFERROR(IF(OR(AS895="",AJ895=""),"",(AJ895+Variables!$B$18-AS895)),""))</f>
        <v>-7</v>
      </c>
      <c r="BE895" s="13">
        <f>IF($AX895="Cancelled","",IFERROR(IF(OR(AW895="",AS895=""),"",(AS895+Variables!$B$19)-AW895),""))</f>
        <v>-20</v>
      </c>
      <c r="BF895" s="44">
        <f>IF($AX895="Cancelled","",IFERROR(W895*INDEX(Variables!$B$7:$D$7,IFERROR(MATCH(IF($B895="Robusta","Robusta",(IF($B895="","Arabica",$B895))&amp;" - "&amp;(IF($C895="","Commercial",$C895))),Variables!$B$1:$D$1,0),1))*(BE895/365),""))</f>
        <v>-49.596395227003455</v>
      </c>
      <c r="BG895" s="44">
        <f>IF($AX895="Cancelled","",IFERROR((W895*INDEX(Variables!$B$7:$D$7,IFERROR(MATCH(IF($B895="Robusta","Robusta",(IF($B895="","Arabica",$B895))&amp;" - "&amp;(IF($C895="","Commercial",$C895))),Variables!$B$1:$D$1,0),1))*IFERROR(IF(AB895="","",(AVERAGE(E895:F895)-AB895)-Variables!$B$14),"")/365)+(L895/16.67*INDEX(Variables!$B$8:$D$8,IFERROR(MATCH(IF($B895="Robusta","Robusta",(IF($B895="","Arabica",$B895))&amp;" - "&amp;(IF($C895="","Commercial",$C895))),Variables!$B$1:$D$1,0),1))*IFERROR(IF(AB895="","",(AVERAGE(E895:F895)-AB895)-Variables!$B$14),""))+(W895*INDEX(Variables!$B$9:$D$9,IFERROR(MATCH(IF($B895="Robusta","Robusta",(IF($B895="","Arabica",$B895))&amp;" - "&amp;(IF($C895="","Commercial",$C895))),Variables!$B$1:$D$1,0),1))*IFERROR(IF(AB895="","",(AVERAGE(E895:F895)-AB895)-Variables!$B$14),"")/365),""))</f>
        <v>-3.1603157458194113</v>
      </c>
      <c r="BH895" s="44">
        <f>IF($AX895="Cancelled","",IFERROR((W895*INDEX(Variables!$B$7:$D$7,IFERROR(MATCH(IF($B895="Robusta","Robusta",(IF($B895="","Arabica",$B895))&amp;" - "&amp;(IF($C895="","Commercial",$C895))),Variables!$B$1:$D$1,0),1))*AK895/365)+(L895/16.67*INDEX(Variables!$B$8:$D$8,IFERROR(MATCH(IF($B895="Robusta","Robusta",(IF($B895="","Arabica",$B895))&amp;" - "&amp;(IF($C895="","Commercial",$C895))),Variables!$B$1:$D$1,0),1))*AK895)+(W895*INDEX(Variables!$B$9:$D$9,IFERROR(MATCH(IF($B895="Robusta","Robusta",(IF($B895="","Arabica",$B895))&amp;" - "&amp;(IF($C895="","Commercial",$C895))),Variables!$B$1:$D$1,0),1))*AK895/365),""))</f>
        <v>43.341473085523361</v>
      </c>
      <c r="BI895" s="44">
        <f>IF($AX895="Cancelled","",IFERROR((W895*INDEX(Variables!$B$7:$D$7,IFERROR(MATCH(IF($B895="Robusta","Robusta",(IF($B895="","Arabica",$B895))&amp;" - "&amp;(IF($C895="","Commercial",$C895))),Variables!$B$1:$D$1,0),1))*BD895/365)+(L895/16.67*INDEX(Variables!$B$8:$D$8,IFERROR(MATCH(IF($B895="Robusta","Robusta",(IF($B895="","Arabica",$B895))&amp;" - "&amp;(IF($C895="","Commercial",$C895))),Variables!$B$1:$D$1,0),1))*BD895)+(W895*INDEX(Variables!$B$9:$D$9,IFERROR(MATCH(IF($B895="Robusta","Robusta",(IF($B895="","Arabica",$B895))&amp;" - "&amp;(IF($C895="","Commercial",$C895))),Variables!$B$1:$D$1,0),1))*BD895/365),""))</f>
        <v>-25.282525966555291</v>
      </c>
      <c r="BJ895" s="44">
        <f t="shared" si="41"/>
        <v>-5</v>
      </c>
      <c r="BK895" s="44">
        <f>IF($AX895="Cancelled","",IFERROR(IF(BJ895="","",(W895*INDEX(Variables!$B$7:$D$7,IFERROR(MATCH(IF($B895="Robusta","Robusta",(IF($B895="","Arabica",$B895))&amp;" - "&amp;(IF($C895="","Commercial",$C895))),Variables!$B$1:$D$1,0),1))*(BJ895/365))+(W895*INDEX(Variables!$B$9:$D$9,IFERROR(MATCH(IF($B895="Robusta","Robusta",(IF($B895="","Arabica",$B895))&amp;" - "&amp;(IF($C895="","Commercial",$C895))),Variables!$B$1:$D$1,0),1))*(BJ895/365))+(INDEX(Variables!$B$8:$D$8,IFERROR(MATCH(IF($B895="Robusta","Robusta",(IF($B895="","Arabica",$B895))&amp;" - "&amp;(IF($C895="","Commercial",$C895))),Variables!$B$1:$D$1,0),1))*L895/16.67)),""))</f>
        <v>-11.458947118968066</v>
      </c>
    </row>
    <row r="896" spans="1:63">
      <c r="A896" s="13" t="s">
        <v>103</v>
      </c>
      <c r="B896" s="13" t="s">
        <v>104</v>
      </c>
      <c r="C896" s="13" t="s">
        <v>292</v>
      </c>
      <c r="D896" s="31">
        <v>46073</v>
      </c>
      <c r="E896" s="31">
        <v>46082</v>
      </c>
      <c r="F896" s="31">
        <v>46112</v>
      </c>
      <c r="G896" s="13">
        <v>3787327</v>
      </c>
      <c r="J896" s="13" t="s">
        <v>1641</v>
      </c>
      <c r="K896" s="13" t="s">
        <v>2329</v>
      </c>
      <c r="L896" s="13">
        <v>10</v>
      </c>
      <c r="M896" s="13">
        <v>0</v>
      </c>
      <c r="N896" s="13" t="s">
        <v>2330</v>
      </c>
      <c r="O896" s="13" t="s">
        <v>297</v>
      </c>
      <c r="P896" s="13">
        <v>10020</v>
      </c>
      <c r="R896" s="13" t="s">
        <v>239</v>
      </c>
      <c r="S896" s="13" t="s">
        <v>776</v>
      </c>
      <c r="T896" s="13" t="s">
        <v>777</v>
      </c>
      <c r="U896" s="13" t="s">
        <v>125</v>
      </c>
      <c r="V896" s="13">
        <v>191.85</v>
      </c>
      <c r="W896" s="44">
        <f>IF($AX896="Cancelled","",IFERROR(((V896+INDEX(Variables!$B$6:$D$6,IFERROR(MATCH(IF($B896="Robusta","Robusta",(IF($B896="","Arabica",$B896))&amp;" - "&amp;(IF($C896="","Commercial",$C896))),Variables!$B$1:$D$1,0),1)))*22.0462)*(L896/16.67),""))</f>
        <v>6383.0824415116958</v>
      </c>
      <c r="X896" s="55" t="s">
        <v>39</v>
      </c>
      <c r="Y896" s="13" t="str">
        <f>IF($AX896="Cancelled","",IF(X896="","",IFERROR(IF(INDEX(Variables!$B$38:$B$47,MATCH(X896,Variables!$A$38:$A$47,0))="Yes","Yes","No"),"No")))</f>
        <v>No</v>
      </c>
      <c r="Z896" s="31"/>
      <c r="AB896" s="31">
        <v>46067.875</v>
      </c>
      <c r="AC896" s="13" t="str">
        <f t="shared" si="40"/>
        <v>Approved</v>
      </c>
      <c r="AF896" s="71">
        <v>46095</v>
      </c>
      <c r="AG896" s="31">
        <f>IF($AX896="Cancelled","",IFERROR(IF(F896="","",F896-Variables!$B$13),""))</f>
        <v>46097</v>
      </c>
      <c r="AH896" s="13">
        <f>IF($AX896="Cancelled","",IFERROR(IF(AB896="","",(AVERAGE(E896:F896)-AB896)-Variables!$B$14),""))</f>
        <v>-0.875</v>
      </c>
      <c r="AJ896" s="47">
        <v>46095</v>
      </c>
      <c r="AK896" s="14">
        <f>IF($AX896="Cancelled","",IFERROR(IF(AJ896="","",IF(AND(AB896="",AF896=""),"",IF(AF896&gt;AB896,AF896+Variables!$B$15+Variables!$B$16+Variables!$B$17-AJ896,AB896+Variables!$B$16+Variables!$B$17-AJ896))),""))</f>
        <v>15</v>
      </c>
      <c r="AL896" s="48" t="s">
        <v>114</v>
      </c>
      <c r="AM896" s="13" t="s">
        <v>1526</v>
      </c>
      <c r="AN896" s="13" t="s">
        <v>1925</v>
      </c>
      <c r="AP896" s="39" t="e">
        <v>#N/A</v>
      </c>
      <c r="AR896" s="13" t="s">
        <v>1926</v>
      </c>
      <c r="AS896" s="31">
        <v>46117</v>
      </c>
      <c r="AU896" s="31">
        <v>46128</v>
      </c>
      <c r="AV896" s="13" t="s">
        <v>865</v>
      </c>
      <c r="AW896" s="31">
        <v>46142</v>
      </c>
      <c r="AX896" s="13" t="str">
        <f>IF(ISNUMBER(SEARCH("cancel",#REF!)),"Cancelled",IF(AND(AS896&lt;&gt;"",AU896&lt;&gt;"",AW896&lt;&gt;""),"Closed","Open"))</f>
        <v>Closed</v>
      </c>
      <c r="AY896" s="15" t="str">
        <f t="shared" ref="AY896:AY910" si="42">IF($AX896="Cancelled","",IF(AND(AS896&lt;&gt;"",AU896&lt;&gt;"",AW896&lt;&gt;""),"All dates received",_xlfn.TEXTJOIN(" and ",TRUE(),IF(AS896="","No sailing date",""),IF(AU896="","No shipping advice sent",""),IF(AW896="","No docs dispatch date",""))))</f>
        <v>All dates received</v>
      </c>
      <c r="BD896" s="13">
        <f>IF($AX896="Cancelled","",IFERROR(IF(OR(AS896="",AJ896=""),"",(AJ896+Variables!$B$18-AS896)),""))</f>
        <v>-7</v>
      </c>
      <c r="BE896" s="13">
        <f>IF($AX896="Cancelled","",IFERROR(IF(OR(AW896="",AS896=""),"",(AS896+Variables!$B$19)-AW896),""))</f>
        <v>-20</v>
      </c>
      <c r="BF896" s="44">
        <f>IF($AX896="Cancelled","",IFERROR(W896*INDEX(Variables!$B$7:$D$7,IFERROR(MATCH(IF($B896="Robusta","Robusta",(IF($B896="","Arabica",$B896))&amp;" - "&amp;(IF($C896="","Commercial",$C896))),Variables!$B$1:$D$1,0),1))*(BE896/365),""))</f>
        <v>-22.553161567673722</v>
      </c>
      <c r="BG896" s="44">
        <f>IF($AX896="Cancelled","",IFERROR((W896*INDEX(Variables!$B$7:$D$7,IFERROR(MATCH(IF($B896="Robusta","Robusta",(IF($B896="","Arabica",$B896))&amp;" - "&amp;(IF($C896="","Commercial",$C896))),Variables!$B$1:$D$1,0),1))*IFERROR(IF(AB896="","",(AVERAGE(E896:F896)-AB896)-Variables!$B$14),"")/365)+(L896/16.67*INDEX(Variables!$B$8:$D$8,IFERROR(MATCH(IF($B896="Robusta","Robusta",(IF($B896="","Arabica",$B896))&amp;" - "&amp;(IF($C896="","Commercial",$C896))),Variables!$B$1:$D$1,0),1))*IFERROR(IF(AB896="","",(AVERAGE(E896:F896)-AB896)-Variables!$B$14),""))+(W896*INDEX(Variables!$B$9:$D$9,IFERROR(MATCH(IF($B896="Robusta","Robusta",(IF($B896="","Arabica",$B896))&amp;" - "&amp;(IF($C896="","Commercial",$C896))),Variables!$B$1:$D$1,0),1))*IFERROR(IF(AB896="","",(AVERAGE(E896:F896)-AB896)-Variables!$B$14),"")/365),""))</f>
        <v>-1.436921296337575</v>
      </c>
      <c r="BH896" s="44">
        <f>IF($AX896="Cancelled","",IFERROR((W896*INDEX(Variables!$B$7:$D$7,IFERROR(MATCH(IF($B896="Robusta","Robusta",(IF($B896="","Arabica",$B896))&amp;" - "&amp;(IF($C896="","Commercial",$C896))),Variables!$B$1:$D$1,0),1))*AK896/365)+(L896/16.67*INDEX(Variables!$B$8:$D$8,IFERROR(MATCH(IF($B896="Robusta","Robusta",(IF($B896="","Arabica",$B896))&amp;" - "&amp;(IF($C896="","Commercial",$C896))),Variables!$B$1:$D$1,0),1))*AK896)+(W896*INDEX(Variables!$B$9:$D$9,IFERROR(MATCH(IF($B896="Robusta","Robusta",(IF($B896="","Arabica",$B896))&amp;" - "&amp;(IF($C896="","Commercial",$C896))),Variables!$B$1:$D$1,0),1))*AK896/365),""))</f>
        <v>24.632936508644143</v>
      </c>
      <c r="BI896" s="44">
        <f>IF($AX896="Cancelled","",IFERROR((W896*INDEX(Variables!$B$7:$D$7,IFERROR(MATCH(IF($B896="Robusta","Robusta",(IF($B896="","Arabica",$B896))&amp;" - "&amp;(IF($C896="","Commercial",$C896))),Variables!$B$1:$D$1,0),1))*BD896/365)+(L896/16.67*INDEX(Variables!$B$8:$D$8,IFERROR(MATCH(IF($B896="Robusta","Robusta",(IF($B896="","Arabica",$B896))&amp;" - "&amp;(IF($C896="","Commercial",$C896))),Variables!$B$1:$D$1,0),1))*BD896)+(W896*INDEX(Variables!$B$9:$D$9,IFERROR(MATCH(IF($B896="Robusta","Robusta",(IF($B896="","Arabica",$B896))&amp;" - "&amp;(IF($C896="","Commercial",$C896))),Variables!$B$1:$D$1,0),1))*BD896/365),""))</f>
        <v>-11.4953703707006</v>
      </c>
      <c r="BJ896" s="44">
        <f t="shared" si="41"/>
        <v>-5</v>
      </c>
      <c r="BK896" s="44">
        <f>IF($AX896="Cancelled","",IFERROR(IF(BJ896="","",(W896*INDEX(Variables!$B$7:$D$7,IFERROR(MATCH(IF($B896="Robusta","Robusta",(IF($B896="","Arabica",$B896))&amp;" - "&amp;(IF($C896="","Commercial",$C896))),Variables!$B$1:$D$1,0),1))*(BJ896/365))+(W896*INDEX(Variables!$B$9:$D$9,IFERROR(MATCH(IF($B896="Robusta","Robusta",(IF($B896="","Arabica",$B896))&amp;" - "&amp;(IF($C896="","Commercial",$C896))),Variables!$B$1:$D$1,0),1))*(BJ896/365))+(INDEX(Variables!$B$8:$D$8,IFERROR(MATCH(IF($B896="Robusta","Robusta",(IF($B896="","Arabica",$B896))&amp;" - "&amp;(IF($C896="","Commercial",$C896))),Variables!$B$1:$D$1,0),1))*L896/16.67)),""))</f>
        <v>-5.2109788362147142</v>
      </c>
    </row>
    <row r="897" spans="1:63">
      <c r="A897" s="13" t="s">
        <v>103</v>
      </c>
      <c r="B897" s="13" t="s">
        <v>104</v>
      </c>
      <c r="C897" s="13" t="s">
        <v>292</v>
      </c>
      <c r="D897" s="31">
        <v>46073</v>
      </c>
      <c r="E897" s="31">
        <v>46082</v>
      </c>
      <c r="F897" s="31">
        <v>46112</v>
      </c>
      <c r="G897" s="13">
        <v>3787328</v>
      </c>
      <c r="J897" s="13" t="s">
        <v>1641</v>
      </c>
      <c r="K897" s="13" t="s">
        <v>2331</v>
      </c>
      <c r="L897" s="13">
        <v>45</v>
      </c>
      <c r="M897" s="13">
        <v>0</v>
      </c>
      <c r="N897" s="13" t="s">
        <v>2332</v>
      </c>
      <c r="O897" s="13" t="s">
        <v>304</v>
      </c>
      <c r="P897" s="13">
        <v>10010</v>
      </c>
      <c r="R897" s="13" t="s">
        <v>239</v>
      </c>
      <c r="S897" s="13" t="s">
        <v>776</v>
      </c>
      <c r="T897" s="13" t="s">
        <v>777</v>
      </c>
      <c r="U897" s="13" t="s">
        <v>125</v>
      </c>
      <c r="V897" s="13">
        <v>216.85</v>
      </c>
      <c r="W897" s="44">
        <f>IF($AX897="Cancelled","",IFERROR(((V897+INDEX(Variables!$B$6:$D$6,IFERROR(MATCH(IF($B897="Robusta","Robusta",(IF($B897="","Arabica",$B897))&amp;" - "&amp;(IF($C897="","Commercial",$C897))),Variables!$B$1:$D$1,0),1)))*22.0462)*(L897/16.67),""))</f>
        <v>30211.691922615471</v>
      </c>
      <c r="X897" s="55" t="s">
        <v>39</v>
      </c>
      <c r="Y897" s="13" t="str">
        <f>IF($AX897="Cancelled","",IF(X897="","",IFERROR(IF(INDEX(Variables!$B$38:$B$47,MATCH(X897,Variables!$A$38:$A$47,0))="Yes","Yes","No"),"No")))</f>
        <v>No</v>
      </c>
      <c r="Z897" s="31"/>
      <c r="AB897" s="31">
        <v>46067.875</v>
      </c>
      <c r="AC897" s="13" t="str">
        <f t="shared" si="40"/>
        <v>Approved</v>
      </c>
      <c r="AF897" s="71">
        <v>46093</v>
      </c>
      <c r="AG897" s="31">
        <f>IF($AX897="Cancelled","",IFERROR(IF(F897="","",F897-Variables!$B$13),""))</f>
        <v>46097</v>
      </c>
      <c r="AH897" s="13">
        <f>IF($AX897="Cancelled","",IFERROR(IF(AB897="","",(AVERAGE(E897:F897)-AB897)-Variables!$B$14),""))</f>
        <v>-0.875</v>
      </c>
      <c r="AJ897" s="47">
        <v>46095</v>
      </c>
      <c r="AK897" s="14">
        <f>IF($AX897="Cancelled","",IFERROR(IF(AJ897="","",IF(AND(AB897="",AF897=""),"",IF(AF897&gt;AB897,AF897+Variables!$B$15+Variables!$B$16+Variables!$B$17-AJ897,AB897+Variables!$B$16+Variables!$B$17-AJ897))),""))</f>
        <v>13</v>
      </c>
      <c r="AL897" s="48" t="s">
        <v>114</v>
      </c>
      <c r="AM897" s="13" t="s">
        <v>1526</v>
      </c>
      <c r="AN897" s="13" t="s">
        <v>1925</v>
      </c>
      <c r="AP897" s="39" t="e">
        <v>#N/A</v>
      </c>
      <c r="AR897" s="13" t="s">
        <v>1926</v>
      </c>
      <c r="AS897" s="31">
        <v>46117</v>
      </c>
      <c r="AU897" s="31">
        <v>46128</v>
      </c>
      <c r="AV897" s="13" t="s">
        <v>865</v>
      </c>
      <c r="AW897" s="31">
        <v>46142</v>
      </c>
      <c r="AX897" s="13" t="str">
        <f>IF(ISNUMBER(SEARCH("cancel",#REF!)),"Cancelled",IF(AND(AS897&lt;&gt;"",AU897&lt;&gt;"",AW897&lt;&gt;""),"Closed","Open"))</f>
        <v>Closed</v>
      </c>
      <c r="AY897" s="15" t="str">
        <f t="shared" si="42"/>
        <v>All dates received</v>
      </c>
      <c r="BD897" s="13">
        <f>IF($AX897="Cancelled","",IFERROR(IF(OR(AS897="",AJ897=""),"",(AJ897+Variables!$B$18-AS897)),""))</f>
        <v>-7</v>
      </c>
      <c r="BE897" s="13">
        <f>IF($AX897="Cancelled","",IFERROR(IF(OR(AW897="",AS897=""),"",(AS897+Variables!$B$19)-AW897),""))</f>
        <v>-20</v>
      </c>
      <c r="BF897" s="44">
        <f>IF($AX897="Cancelled","",IFERROR(W897*INDEX(Variables!$B$7:$D$7,IFERROR(MATCH(IF($B897="Robusta","Robusta",(IF($B897="","Arabica",$B897))&amp;" - "&amp;(IF($C897="","Commercial",$C897))),Variables!$B$1:$D$1,0),1))*(BE897/365),""))</f>
        <v>-106.74610196671098</v>
      </c>
      <c r="BG897" s="44">
        <f>IF($AX897="Cancelled","",IFERROR((W897*INDEX(Variables!$B$7:$D$7,IFERROR(MATCH(IF($B897="Robusta","Robusta",(IF($B897="","Arabica",$B897))&amp;" - "&amp;(IF($C897="","Commercial",$C897))),Variables!$B$1:$D$1,0),1))*IFERROR(IF(AB897="","",(AVERAGE(E897:F897)-AB897)-Variables!$B$14),"")/365)+(L897/16.67*INDEX(Variables!$B$8:$D$8,IFERROR(MATCH(IF($B897="Robusta","Robusta",(IF($B897="","Arabica",$B897))&amp;" - "&amp;(IF($C897="","Commercial",$C897))),Variables!$B$1:$D$1,0),1))*IFERROR(IF(AB897="","",(AVERAGE(E897:F897)-AB897)-Variables!$B$14),""))+(W897*INDEX(Variables!$B$9:$D$9,IFERROR(MATCH(IF($B897="Robusta","Robusta",(IF($B897="","Arabica",$B897))&amp;" - "&amp;(IF($C897="","Commercial",$C897))),Variables!$B$1:$D$1,0),1))*IFERROR(IF(AB897="","",(AVERAGE(E897:F897)-AB897)-Variables!$B$14),"")/365),""))</f>
        <v>-6.699099103669254</v>
      </c>
      <c r="BH897" s="44">
        <f>IF($AX897="Cancelled","",IFERROR((W897*INDEX(Variables!$B$7:$D$7,IFERROR(MATCH(IF($B897="Robusta","Robusta",(IF($B897="","Arabica",$B897))&amp;" - "&amp;(IF($C897="","Commercial",$C897))),Variables!$B$1:$D$1,0),1))*AK897/365)+(L897/16.67*INDEX(Variables!$B$8:$D$8,IFERROR(MATCH(IF($B897="Robusta","Robusta",(IF($B897="","Arabica",$B897))&amp;" - "&amp;(IF($C897="","Commercial",$C897))),Variables!$B$1:$D$1,0),1))*AK897)+(W897*INDEX(Variables!$B$9:$D$9,IFERROR(MATCH(IF($B897="Robusta","Robusta",(IF($B897="","Arabica",$B897))&amp;" - "&amp;(IF($C897="","Commercial",$C897))),Variables!$B$1:$D$1,0),1))*AK897/365),""))</f>
        <v>99.529472397371777</v>
      </c>
      <c r="BI897" s="44">
        <f>IF($AX897="Cancelled","",IFERROR((W897*INDEX(Variables!$B$7:$D$7,IFERROR(MATCH(IF($B897="Robusta","Robusta",(IF($B897="","Arabica",$B897))&amp;" - "&amp;(IF($C897="","Commercial",$C897))),Variables!$B$1:$D$1,0),1))*BD897/365)+(L897/16.67*INDEX(Variables!$B$8:$D$8,IFERROR(MATCH(IF($B897="Robusta","Robusta",(IF($B897="","Arabica",$B897))&amp;" - "&amp;(IF($C897="","Commercial",$C897))),Variables!$B$1:$D$1,0),1))*BD897)+(W897*INDEX(Variables!$B$9:$D$9,IFERROR(MATCH(IF($B897="Robusta","Robusta",(IF($B897="","Arabica",$B897))&amp;" - "&amp;(IF($C897="","Commercial",$C897))),Variables!$B$1:$D$1,0),1))*BD897/365),""))</f>
        <v>-53.592792829354032</v>
      </c>
      <c r="BJ897" s="44">
        <f t="shared" si="41"/>
        <v>-5</v>
      </c>
      <c r="BK897" s="44">
        <f>IF($AX897="Cancelled","",IFERROR(IF(BJ897="","",(W897*INDEX(Variables!$B$7:$D$7,IFERROR(MATCH(IF($B897="Robusta","Robusta",(IF($B897="","Arabica",$B897))&amp;" - "&amp;(IF($C897="","Commercial",$C897))),Variables!$B$1:$D$1,0),1))*(BJ897/365))+(W897*INDEX(Variables!$B$9:$D$9,IFERROR(MATCH(IF($B897="Robusta","Robusta",(IF($B897="","Arabica",$B897))&amp;" - "&amp;(IF($C897="","Commercial",$C897))),Variables!$B$1:$D$1,0),1))*(BJ897/365))+(INDEX(Variables!$B$8:$D$8,IFERROR(MATCH(IF($B897="Robusta","Robusta",(IF($B897="","Arabica",$B897))&amp;" - "&amp;(IF($C897="","Commercial",$C897))),Variables!$B$1:$D$1,0),1))*L897/16.67)),""))</f>
        <v>-24.780566306681447</v>
      </c>
    </row>
    <row r="898" spans="1:63">
      <c r="A898" s="13" t="s">
        <v>103</v>
      </c>
      <c r="B898" s="13" t="s">
        <v>104</v>
      </c>
      <c r="C898" s="13" t="s">
        <v>105</v>
      </c>
      <c r="D898" s="31">
        <v>46073</v>
      </c>
      <c r="E898" s="31">
        <v>46174</v>
      </c>
      <c r="F898" s="31">
        <v>46203</v>
      </c>
      <c r="G898" s="13">
        <v>3787329</v>
      </c>
      <c r="J898" s="13" t="s">
        <v>236</v>
      </c>
      <c r="K898" s="13" t="s">
        <v>2333</v>
      </c>
      <c r="L898" s="13">
        <v>250</v>
      </c>
      <c r="M898" s="13">
        <v>1</v>
      </c>
      <c r="N898" s="13" t="s">
        <v>2334</v>
      </c>
      <c r="O898" s="13" t="s">
        <v>261</v>
      </c>
      <c r="P898" s="13">
        <v>10060</v>
      </c>
      <c r="R898" s="13" t="s">
        <v>239</v>
      </c>
      <c r="S898" s="13" t="s">
        <v>180</v>
      </c>
      <c r="T898" s="13" t="s">
        <v>253</v>
      </c>
      <c r="U898" s="13" t="s">
        <v>182</v>
      </c>
      <c r="V898" s="23">
        <v>42</v>
      </c>
      <c r="W898" s="44">
        <f>IF($AX898="Cancelled","",IFERROR(((V898+INDEX(Variables!$B$6:$D$6,IFERROR(MATCH(IF($B898="Robusta","Robusta",(IF($B898="","Arabica",$B898))&amp;" - "&amp;(IF($C898="","Commercial",$C898))),Variables!$B$1:$D$1,0),1)))*22.0462)*(L898/16.67),""))</f>
        <v>110032.62387522493</v>
      </c>
      <c r="X898" s="55" t="s">
        <v>37</v>
      </c>
      <c r="Y898" s="13" t="str">
        <f>IF($AX898="Cancelled","",IF(X898="","",IFERROR(IF(INDEX(Variables!$B$38:$B$47,MATCH(X898,Variables!$A$38:$A$47,0))="Yes","Yes","No"),"No")))</f>
        <v>Yes</v>
      </c>
      <c r="Z898" s="58">
        <v>46135</v>
      </c>
      <c r="AB898" s="31">
        <v>46168</v>
      </c>
      <c r="AC898" s="13" t="str">
        <f t="shared" ref="AC898:AC961" si="43">IF($AX898="Cancelled","",IF(ISNUMBER(AB898),"Approved",""))</f>
        <v>Approved</v>
      </c>
      <c r="AF898" s="71">
        <v>46195</v>
      </c>
      <c r="AG898" s="37">
        <f>IF($AX898="Cancelled","",IFERROR(IF(F898="","",F898-Variables!$B$13),""))</f>
        <v>46188</v>
      </c>
      <c r="AH898" s="13">
        <f>IF($AX898="Cancelled","",IFERROR(IF(AB898="","",(AVERAGE(E898:F898)-AB898)-Variables!$B$14),""))</f>
        <v>-9.5</v>
      </c>
      <c r="AJ898" s="47">
        <v>46212</v>
      </c>
      <c r="AK898" s="14">
        <f>IF($AX898="Cancelled","",IFERROR(IF(AJ898="","",IF(AND(AB898="",AF898=""),"",IF(AF898&gt;AB898,AF898+Variables!$B$15+Variables!$B$16+Variables!$B$17-AJ898,AB898+Variables!$B$16+Variables!$B$17-AJ898))),""))</f>
        <v>-2</v>
      </c>
      <c r="AL898" s="48" t="s">
        <v>114</v>
      </c>
      <c r="AM898" s="13" t="s">
        <v>1482</v>
      </c>
      <c r="AN898" s="13" t="s">
        <v>2335</v>
      </c>
      <c r="AP898" s="39">
        <v>46218</v>
      </c>
      <c r="AR898" s="13" t="s">
        <v>2336</v>
      </c>
      <c r="AS898" s="31">
        <v>46218</v>
      </c>
      <c r="AU898" s="31">
        <v>46268</v>
      </c>
      <c r="AV898" s="13" t="s">
        <v>865</v>
      </c>
      <c r="AW898" s="39">
        <v>46268</v>
      </c>
      <c r="AX898" s="13" t="str">
        <f>IF(ISNUMBER(SEARCH("cancel",#REF!)),"Cancelled",IF(AND(AS898&lt;&gt;"",AU898&lt;&gt;"",AW898&lt;&gt;""),"Closed","Open"))</f>
        <v>Closed</v>
      </c>
      <c r="AY898" s="15" t="str">
        <f t="shared" si="42"/>
        <v>All dates received</v>
      </c>
      <c r="AZ898" s="13" t="s">
        <v>3047</v>
      </c>
      <c r="BA898" s="13" t="s">
        <v>3057</v>
      </c>
      <c r="BB898" s="13" t="s">
        <v>3058</v>
      </c>
      <c r="BC898" s="13" t="s">
        <v>3296</v>
      </c>
      <c r="BD898" s="13">
        <f>IF($AX898="Cancelled","",IFERROR(IF(OR(AS898="",AJ898=""),"",(AJ898+Variables!$B$18-AS898)),""))</f>
        <v>9</v>
      </c>
      <c r="BE898" s="13">
        <f>IF($AX898="Cancelled","",IFERROR(IF(OR(AW898="",AS898=""),"",(AS898+Variables!$B$19)-AW898),""))</f>
        <v>-45</v>
      </c>
      <c r="BF898" s="44">
        <f>IF($AX898="Cancelled","",IFERROR(W898*INDEX(Variables!$B$7:$D$7,IFERROR(MATCH(IF($B898="Robusta","Robusta",(IF($B898="","Arabica",$B898))&amp;" - "&amp;(IF($C898="","Commercial",$C898))),Variables!$B$1:$D$1,0),1))*(BE898/365),""))</f>
        <v>-874.74398538662001</v>
      </c>
      <c r="BG898" s="44">
        <f>IF($AX898="Cancelled","",IFERROR((W898*INDEX(Variables!$B$7:$D$7,IFERROR(MATCH(IF($B898="Robusta","Robusta",(IF($B898="","Arabica",$B898))&amp;" - "&amp;(IF($C898="","Commercial",$C898))),Variables!$B$1:$D$1,0),1))*IFERROR(IF(AB898="","",(AVERAGE(E898:F898)-AB898)-Variables!$B$14),"")/365)+(L898/16.67*INDEX(Variables!$B$8:$D$8,IFERROR(MATCH(IF($B898="Robusta","Robusta",(IF($B898="","Arabica",$B898))&amp;" - "&amp;(IF($C898="","Commercial",$C898))),Variables!$B$1:$D$1,0),1))*IFERROR(IF(AB898="","",(AVERAGE(E898:F898)-AB898)-Variables!$B$14),""))+(W898*INDEX(Variables!$B$9:$D$9,IFERROR(MATCH(IF($B898="Robusta","Robusta",(IF($B898="","Arabica",$B898))&amp;" - "&amp;(IF($C898="","Commercial",$C898))),Variables!$B$1:$D$1,0),1))*IFERROR(IF(AB898="","",(AVERAGE(E898:F898)-AB898)-Variables!$B$14),"")/365),""))</f>
        <v>-305.79890384933645</v>
      </c>
      <c r="BH898" s="44">
        <f>IF($AX898="Cancelled","",IFERROR((W898*INDEX(Variables!$B$7:$D$7,IFERROR(MATCH(IF($B898="Robusta","Robusta",(IF($B898="","Arabica",$B898))&amp;" - "&amp;(IF($C898="","Commercial",$C898))),Variables!$B$1:$D$1,0),1))*AK898/365)+(L898/16.67*INDEX(Variables!$B$8:$D$8,IFERROR(MATCH(IF($B898="Robusta","Robusta",(IF($B898="","Arabica",$B898))&amp;" - "&amp;(IF($C898="","Commercial",$C898))),Variables!$B$1:$D$1,0),1))*AK898)+(W898*INDEX(Variables!$B$9:$D$9,IFERROR(MATCH(IF($B898="Robusta","Robusta",(IF($B898="","Arabica",$B898))&amp;" - "&amp;(IF($C898="","Commercial",$C898))),Variables!$B$1:$D$1,0),1))*AK898/365),""))</f>
        <v>-64.378716599860297</v>
      </c>
      <c r="BI898" s="44">
        <f>IF($AX898="Cancelled","",IFERROR((W898*INDEX(Variables!$B$7:$D$7,IFERROR(MATCH(IF($B898="Robusta","Robusta",(IF($B898="","Arabica",$B898))&amp;" - "&amp;(IF($C898="","Commercial",$C898))),Variables!$B$1:$D$1,0),1))*BD898/365)+(L898/16.67*INDEX(Variables!$B$8:$D$8,IFERROR(MATCH(IF($B898="Robusta","Robusta",(IF($B898="","Arabica",$B898))&amp;" - "&amp;(IF($C898="","Commercial",$C898))),Variables!$B$1:$D$1,0),1))*BD898)+(W898*INDEX(Variables!$B$9:$D$9,IFERROR(MATCH(IF($B898="Robusta","Robusta",(IF($B898="","Arabica",$B898))&amp;" - "&amp;(IF($C898="","Commercial",$C898))),Variables!$B$1:$D$1,0),1))*BD898/365),""))</f>
        <v>289.70422469937131</v>
      </c>
      <c r="BJ898" s="44">
        <f t="shared" ref="BJ898:BJ961" si="44">IF($AX898="Cancelled","",IFERROR(IF(AS898="","",F898-AS898),""))</f>
        <v>-15</v>
      </c>
      <c r="BK898" s="44">
        <f>IF($AX898="Cancelled","",IFERROR(IF(BJ898="","",(W898*INDEX(Variables!$B$7:$D$7,IFERROR(MATCH(IF($B898="Robusta","Robusta",(IF($B898="","Arabica",$B898))&amp;" - "&amp;(IF($C898="","Commercial",$C898))),Variables!$B$1:$D$1,0),1))*(BJ898/365))+(W898*INDEX(Variables!$B$9:$D$9,IFERROR(MATCH(IF($B898="Robusta","Robusta",(IF($B898="","Arabica",$B898))&amp;" - "&amp;(IF($C898="","Commercial",$C898))),Variables!$B$1:$D$1,0),1))*(BJ898/365))+(INDEX(Variables!$B$8:$D$8,IFERROR(MATCH(IF($B898="Robusta","Robusta",(IF($B898="","Arabica",$B898))&amp;" - "&amp;(IF($C898="","Commercial",$C898))),Variables!$B$1:$D$1,0),1))*L898/16.67)),""))</f>
        <v>-282.8403744989522</v>
      </c>
    </row>
    <row r="899" spans="1:63">
      <c r="A899" s="13" t="s">
        <v>103</v>
      </c>
      <c r="B899" s="13" t="s">
        <v>104</v>
      </c>
      <c r="C899" s="13" t="s">
        <v>105</v>
      </c>
      <c r="D899" s="31">
        <v>46073</v>
      </c>
      <c r="E899" s="31">
        <v>46174</v>
      </c>
      <c r="F899" s="31">
        <v>46203</v>
      </c>
      <c r="G899" s="13">
        <v>3787330</v>
      </c>
      <c r="J899" s="13" t="s">
        <v>236</v>
      </c>
      <c r="K899" s="13" t="s">
        <v>2337</v>
      </c>
      <c r="L899" s="13">
        <v>50</v>
      </c>
      <c r="M899" s="13">
        <v>0</v>
      </c>
      <c r="N899" s="13" t="s">
        <v>2338</v>
      </c>
      <c r="O899" s="13" t="s">
        <v>418</v>
      </c>
      <c r="P899" s="13">
        <v>10070</v>
      </c>
      <c r="R899" s="13" t="s">
        <v>239</v>
      </c>
      <c r="S899" s="13" t="s">
        <v>180</v>
      </c>
      <c r="T899" s="13" t="s">
        <v>253</v>
      </c>
      <c r="U899" s="13" t="s">
        <v>182</v>
      </c>
      <c r="V899" s="23">
        <v>32</v>
      </c>
      <c r="W899" s="44">
        <f>IF($AX899="Cancelled","",IFERROR(((V899+INDEX(Variables!$B$6:$D$6,IFERROR(MATCH(IF($B899="Robusta","Robusta",(IF($B899="","Arabica",$B899))&amp;" - "&amp;(IF($C899="","Commercial",$C899))),Variables!$B$1:$D$1,0),1)))*22.0462)*(L899/16.67),""))</f>
        <v>21345.271025794838</v>
      </c>
      <c r="X899" s="55" t="s">
        <v>37</v>
      </c>
      <c r="Y899" s="13" t="str">
        <f>IF($AX899="Cancelled","",IF(X899="","",IFERROR(IF(INDEX(Variables!$B$38:$B$47,MATCH(X899,Variables!$A$38:$A$47,0))="Yes","Yes","No"),"No")))</f>
        <v>Yes</v>
      </c>
      <c r="Z899" s="58">
        <v>46135</v>
      </c>
      <c r="AB899" s="31">
        <v>46168</v>
      </c>
      <c r="AC899" s="13" t="str">
        <f t="shared" si="43"/>
        <v>Approved</v>
      </c>
      <c r="AF899" s="71">
        <v>46202</v>
      </c>
      <c r="AG899" s="37">
        <f>IF($AX899="Cancelled","",IFERROR(IF(F899="","",F899-Variables!$B$13),""))</f>
        <v>46188</v>
      </c>
      <c r="AH899" s="13">
        <f>IF($AX899="Cancelled","",IFERROR(IF(AB899="","",(AVERAGE(E899:F899)-AB899)-Variables!$B$14),""))</f>
        <v>-9.5</v>
      </c>
      <c r="AJ899" s="47">
        <v>46212</v>
      </c>
      <c r="AK899" s="14">
        <f>IF($AX899="Cancelled","",IFERROR(IF(AJ899="","",IF(AND(AB899="",AF899=""),"",IF(AF899&gt;AB899,AF899+Variables!$B$15+Variables!$B$16+Variables!$B$17-AJ899,AB899+Variables!$B$16+Variables!$B$17-AJ899))),""))</f>
        <v>5</v>
      </c>
      <c r="AL899" s="48" t="s">
        <v>114</v>
      </c>
      <c r="AM899" s="13" t="s">
        <v>1482</v>
      </c>
      <c r="AN899" s="13" t="s">
        <v>2335</v>
      </c>
      <c r="AP899" s="39">
        <v>46218</v>
      </c>
      <c r="AR899" s="13" t="s">
        <v>2336</v>
      </c>
      <c r="AS899" s="31">
        <v>46218</v>
      </c>
      <c r="AU899" s="31">
        <v>46268</v>
      </c>
      <c r="AV899" s="13" t="s">
        <v>865</v>
      </c>
      <c r="AW899" s="39">
        <v>46268</v>
      </c>
      <c r="AX899" s="13" t="str">
        <f>IF(ISNUMBER(SEARCH("cancel",#REF!)),"Cancelled",IF(AND(AS899&lt;&gt;"",AU899&lt;&gt;"",AW899&lt;&gt;""),"Closed","Open"))</f>
        <v>Closed</v>
      </c>
      <c r="AY899" s="15" t="str">
        <f t="shared" si="42"/>
        <v>All dates received</v>
      </c>
      <c r="AZ899" s="13" t="s">
        <v>3047</v>
      </c>
      <c r="BA899" s="13" t="s">
        <v>3057</v>
      </c>
      <c r="BB899" s="13" t="s">
        <v>3058</v>
      </c>
      <c r="BC899" s="13" t="s">
        <v>3296</v>
      </c>
      <c r="BD899" s="13">
        <f>IF($AX899="Cancelled","",IFERROR(IF(OR(AS899="",AJ899=""),"",(AJ899+Variables!$B$18-AS899)),""))</f>
        <v>9</v>
      </c>
      <c r="BE899" s="13">
        <f>IF($AX899="Cancelled","",IFERROR(IF(OR(AW899="",AS899=""),"",(AS899+Variables!$B$19)-AW899),""))</f>
        <v>-45</v>
      </c>
      <c r="BF899" s="44">
        <f>IF($AX899="Cancelled","",IFERROR(W899*INDEX(Variables!$B$7:$D$7,IFERROR(MATCH(IF($B899="Robusta","Robusta",(IF($B899="","Arabica",$B899))&amp;" - "&amp;(IF($C899="","Commercial",$C899))),Variables!$B$1:$D$1,0),1))*(BE899/365),""))</f>
        <v>-169.6919221651448</v>
      </c>
      <c r="BG899" s="44">
        <f>IF($AX899="Cancelled","",IFERROR((W899*INDEX(Variables!$B$7:$D$7,IFERROR(MATCH(IF($B899="Robusta","Robusta",(IF($B899="","Arabica",$B899))&amp;" - "&amp;(IF($C899="","Commercial",$C899))),Variables!$B$1:$D$1,0),1))*IFERROR(IF(AB899="","",(AVERAGE(E899:F899)-AB899)-Variables!$B$14),"")/365)+(L899/16.67*INDEX(Variables!$B$8:$D$8,IFERROR(MATCH(IF($B899="Robusta","Robusta",(IF($B899="","Arabica",$B899))&amp;" - "&amp;(IF($C899="","Commercial",$C899))),Variables!$B$1:$D$1,0),1))*IFERROR(IF(AB899="","",(AVERAGE(E899:F899)-AB899)-Variables!$B$14),""))+(W899*INDEX(Variables!$B$9:$D$9,IFERROR(MATCH(IF($B899="Robusta","Robusta",(IF($B899="","Arabica",$B899))&amp;" - "&amp;(IF($C899="","Commercial",$C899))),Variables!$B$1:$D$1,0),1))*IFERROR(IF(AB899="","",(AVERAGE(E899:F899)-AB899)-Variables!$B$14),"")/365),""))</f>
        <v>-60.035688799618868</v>
      </c>
      <c r="BH899" s="44">
        <f>IF($AX899="Cancelled","",IFERROR((W899*INDEX(Variables!$B$7:$D$7,IFERROR(MATCH(IF($B899="Robusta","Robusta",(IF($B899="","Arabica",$B899))&amp;" - "&amp;(IF($C899="","Commercial",$C899))),Variables!$B$1:$D$1,0),1))*AK899/365)+(L899/16.67*INDEX(Variables!$B$8:$D$8,IFERROR(MATCH(IF($B899="Robusta","Robusta",(IF($B899="","Arabica",$B899))&amp;" - "&amp;(IF($C899="","Commercial",$C899))),Variables!$B$1:$D$1,0),1))*AK899)+(W899*INDEX(Variables!$B$9:$D$9,IFERROR(MATCH(IF($B899="Robusta","Robusta",(IF($B899="","Arabica",$B899))&amp;" - "&amp;(IF($C899="","Commercial",$C899))),Variables!$B$1:$D$1,0),1))*AK899/365),""))</f>
        <v>31.597730947167822</v>
      </c>
      <c r="BI899" s="44">
        <f>IF($AX899="Cancelled","",IFERROR((W899*INDEX(Variables!$B$7:$D$7,IFERROR(MATCH(IF($B899="Robusta","Robusta",(IF($B899="","Arabica",$B899))&amp;" - "&amp;(IF($C899="","Commercial",$C899))),Variables!$B$1:$D$1,0),1))*BD899/365)+(L899/16.67*INDEX(Variables!$B$8:$D$8,IFERROR(MATCH(IF($B899="Robusta","Robusta",(IF($B899="","Arabica",$B899))&amp;" - "&amp;(IF($C899="","Commercial",$C899))),Variables!$B$1:$D$1,0),1))*BD899)+(W899*INDEX(Variables!$B$9:$D$9,IFERROR(MATCH(IF($B899="Robusta","Robusta",(IF($B899="","Arabica",$B899))&amp;" - "&amp;(IF($C899="","Commercial",$C899))),Variables!$B$1:$D$1,0),1))*BD899/365),""))</f>
        <v>56.875915704902077</v>
      </c>
      <c r="BJ899" s="44">
        <f t="shared" si="44"/>
        <v>-15</v>
      </c>
      <c r="BK899" s="44">
        <f>IF($AX899="Cancelled","",IFERROR(IF(BJ899="","",(W899*INDEX(Variables!$B$7:$D$7,IFERROR(MATCH(IF($B899="Robusta","Robusta",(IF($B899="","Arabica",$B899))&amp;" - "&amp;(IF($C899="","Commercial",$C899))),Variables!$B$1:$D$1,0),1))*(BJ899/365))+(W899*INDEX(Variables!$B$9:$D$9,IFERROR(MATCH(IF($B899="Robusta","Robusta",(IF($B899="","Arabica",$B899))&amp;" - "&amp;(IF($C899="","Commercial",$C899))),Variables!$B$1:$D$1,0),1))*(BJ899/365))+(INDEX(Variables!$B$8:$D$8,IFERROR(MATCH(IF($B899="Robusta","Robusta",(IF($B899="","Arabica",$B899))&amp;" - "&amp;(IF($C899="","Commercial",$C899))),Variables!$B$1:$D$1,0),1))*L899/16.67)),""))</f>
        <v>-54.793192841503469</v>
      </c>
    </row>
    <row r="900" spans="1:63">
      <c r="A900" s="13" t="s">
        <v>103</v>
      </c>
      <c r="B900" s="13" t="s">
        <v>104</v>
      </c>
      <c r="C900" s="13" t="s">
        <v>292</v>
      </c>
      <c r="D900" s="31">
        <v>46073</v>
      </c>
      <c r="E900" s="31">
        <v>46082</v>
      </c>
      <c r="F900" s="31">
        <v>46112</v>
      </c>
      <c r="G900" s="13">
        <v>3787331</v>
      </c>
      <c r="J900" s="13" t="s">
        <v>447</v>
      </c>
      <c r="K900" s="13" t="s">
        <v>2339</v>
      </c>
      <c r="L900" s="13">
        <v>13</v>
      </c>
      <c r="M900" s="13">
        <v>0</v>
      </c>
      <c r="N900" s="13" t="s">
        <v>2340</v>
      </c>
      <c r="O900" s="13" t="s">
        <v>576</v>
      </c>
      <c r="P900" s="13">
        <v>10020</v>
      </c>
      <c r="R900" s="13" t="s">
        <v>239</v>
      </c>
      <c r="S900" s="13" t="s">
        <v>154</v>
      </c>
      <c r="T900" s="13" t="s">
        <v>155</v>
      </c>
      <c r="U900" s="13" t="s">
        <v>125</v>
      </c>
      <c r="V900" s="13">
        <v>159.53</v>
      </c>
      <c r="W900" s="44">
        <f>IF($AX900="Cancelled","",IFERROR(((V900+INDEX(Variables!$B$6:$D$6,IFERROR(MATCH(IF($B900="Robusta","Robusta",(IF($B900="","Arabica",$B900))&amp;" - "&amp;(IF($C900="","Commercial",$C900))),Variables!$B$1:$D$1,0),1)))*22.0462)*(L900/16.67),""))</f>
        <v>7742.342423395321</v>
      </c>
      <c r="X900" s="55" t="s">
        <v>39</v>
      </c>
      <c r="Y900" s="13" t="str">
        <f>IF($AX900="Cancelled","",IF(X900="","",IFERROR(IF(INDEX(Variables!$B$38:$B$47,MATCH(X900,Variables!$A$38:$A$47,0))="Yes","Yes","No"),"No")))</f>
        <v>No</v>
      </c>
      <c r="Z900" s="31"/>
      <c r="AB900" s="31">
        <v>46067.875</v>
      </c>
      <c r="AC900" s="13" t="str">
        <f t="shared" si="43"/>
        <v>Approved</v>
      </c>
      <c r="AF900" s="71">
        <v>46111</v>
      </c>
      <c r="AG900" s="37">
        <f>IF($AX900="Cancelled","",IFERROR(IF(F900="","",F900-Variables!$B$13),""))</f>
        <v>46097</v>
      </c>
      <c r="AH900" s="13">
        <f>IF($AX900="Cancelled","",IFERROR(IF(AB900="","",(AVERAGE(E900:F900)-AB900)-Variables!$B$14),""))</f>
        <v>-0.875</v>
      </c>
      <c r="AJ900" s="47">
        <v>46112</v>
      </c>
      <c r="AK900" s="14">
        <f>IF($AX900="Cancelled","",IFERROR(IF(AJ900="","",IF(AND(AB900="",AF900=""),"",IF(AF900&gt;AB900,AF900+Variables!$B$15+Variables!$B$16+Variables!$B$17-AJ900,AB900+Variables!$B$16+Variables!$B$17-AJ900))),""))</f>
        <v>14</v>
      </c>
      <c r="AL900" s="48" t="s">
        <v>114</v>
      </c>
      <c r="AM900" s="13" t="s">
        <v>168</v>
      </c>
      <c r="AN900" s="13" t="s">
        <v>2104</v>
      </c>
      <c r="AP900" s="39" t="e">
        <v>#N/A</v>
      </c>
      <c r="AR900" s="13" t="s">
        <v>2105</v>
      </c>
      <c r="AS900" s="31">
        <v>46126</v>
      </c>
      <c r="AU900" s="31">
        <v>46182</v>
      </c>
      <c r="AV900" s="13" t="s">
        <v>865</v>
      </c>
      <c r="AW900" s="31">
        <v>46182</v>
      </c>
      <c r="AX900" s="13" t="str">
        <f>IF(ISNUMBER(SEARCH("cancel",#REF!)),"Cancelled",IF(AND(AS900&lt;&gt;"",AU900&lt;&gt;"",AW900&lt;&gt;""),"Closed","Open"))</f>
        <v>Closed</v>
      </c>
      <c r="AY900" s="15" t="str">
        <f t="shared" si="42"/>
        <v>All dates received</v>
      </c>
      <c r="BD900" s="13">
        <f>IF($AX900="Cancelled","",IFERROR(IF(OR(AS900="",AJ900=""),"",(AJ900+Variables!$B$18-AS900)),""))</f>
        <v>1</v>
      </c>
      <c r="BE900" s="13">
        <f>IF($AX900="Cancelled","",IFERROR(IF(OR(AW900="",AS900=""),"",(AS900+Variables!$B$19)-AW900),""))</f>
        <v>-51</v>
      </c>
      <c r="BF900" s="44">
        <f>IF($AX900="Cancelled","",IFERROR(W900*INDEX(Variables!$B$7:$D$7,IFERROR(MATCH(IF($B900="Robusta","Robusta",(IF($B900="","Arabica",$B900))&amp;" - "&amp;(IF($C900="","Commercial",$C900))),Variables!$B$1:$D$1,0),1))*(BE900/365),""))</f>
        <v>-69.757279187142331</v>
      </c>
      <c r="BG900" s="44">
        <f>IF($AX900="Cancelled","",IFERROR((W900*INDEX(Variables!$B$7:$D$7,IFERROR(MATCH(IF($B900="Robusta","Robusta",(IF($B900="","Arabica",$B900))&amp;" - "&amp;(IF($C900="","Commercial",$C900))),Variables!$B$1:$D$1,0),1))*IFERROR(IF(AB900="","",(AVERAGE(E900:F900)-AB900)-Variables!$B$14),"")/365)+(L900/16.67*INDEX(Variables!$B$8:$D$8,IFERROR(MATCH(IF($B900="Robusta","Robusta",(IF($B900="","Arabica",$B900))&amp;" - "&amp;(IF($C900="","Commercial",$C900))),Variables!$B$1:$D$1,0),1))*IFERROR(IF(AB900="","",(AVERAGE(E900:F900)-AB900)-Variables!$B$14),""))+(W900*INDEX(Variables!$B$9:$D$9,IFERROR(MATCH(IF($B900="Robusta","Robusta",(IF($B900="","Arabica",$B900))&amp;" - "&amp;(IF($C900="","Commercial",$C900))),Variables!$B$1:$D$1,0),1))*IFERROR(IF(AB900="","",(AVERAGE(E900:F900)-AB900)-Variables!$B$14),"")/365),""))</f>
        <v>-1.7809953332510318</v>
      </c>
      <c r="BH900" s="44">
        <f>IF($AX900="Cancelled","",IFERROR((W900*INDEX(Variables!$B$7:$D$7,IFERROR(MATCH(IF($B900="Robusta","Robusta",(IF($B900="","Arabica",$B900))&amp;" - "&amp;(IF($C900="","Commercial",$C900))),Variables!$B$1:$D$1,0),1))*AK900/365)+(L900/16.67*INDEX(Variables!$B$8:$D$8,IFERROR(MATCH(IF($B900="Robusta","Robusta",(IF($B900="","Arabica",$B900))&amp;" - "&amp;(IF($C900="","Commercial",$C900))),Variables!$B$1:$D$1,0),1))*AK900)+(W900*INDEX(Variables!$B$9:$D$9,IFERROR(MATCH(IF($B900="Robusta","Robusta",(IF($B900="","Arabica",$B900))&amp;" - "&amp;(IF($C900="","Commercial",$C900))),Variables!$B$1:$D$1,0),1))*AK900/365),""))</f>
        <v>28.495925332016508</v>
      </c>
      <c r="BI900" s="44">
        <f>IF($AX900="Cancelled","",IFERROR((W900*INDEX(Variables!$B$7:$D$7,IFERROR(MATCH(IF($B900="Robusta","Robusta",(IF($B900="","Arabica",$B900))&amp;" - "&amp;(IF($C900="","Commercial",$C900))),Variables!$B$1:$D$1,0),1))*BD900/365)+(L900/16.67*INDEX(Variables!$B$8:$D$8,IFERROR(MATCH(IF($B900="Robusta","Robusta",(IF($B900="","Arabica",$B900))&amp;" - "&amp;(IF($C900="","Commercial",$C900))),Variables!$B$1:$D$1,0),1))*BD900)+(W900*INDEX(Variables!$B$9:$D$9,IFERROR(MATCH(IF($B900="Robusta","Robusta",(IF($B900="","Arabica",$B900))&amp;" - "&amp;(IF($C900="","Commercial",$C900))),Variables!$B$1:$D$1,0),1))*BD900/365),""))</f>
        <v>2.035423238001179</v>
      </c>
      <c r="BJ900" s="44">
        <f t="shared" si="44"/>
        <v>-14</v>
      </c>
      <c r="BK900" s="44">
        <f>IF($AX900="Cancelled","",IFERROR(IF(BJ900="","",(W900*INDEX(Variables!$B$7:$D$7,IFERROR(MATCH(IF($B900="Robusta","Robusta",(IF($B900="","Arabica",$B900))&amp;" - "&amp;(IF($C900="","Commercial",$C900))),Variables!$B$1:$D$1,0),1))*(BJ900/365))+(W900*INDEX(Variables!$B$9:$D$9,IFERROR(MATCH(IF($B900="Robusta","Robusta",(IF($B900="","Arabica",$B900))&amp;" - "&amp;(IF($C900="","Commercial",$C900))),Variables!$B$1:$D$1,0),1))*(BJ900/365))+(INDEX(Variables!$B$8:$D$8,IFERROR(MATCH(IF($B900="Robusta","Robusta",(IF($B900="","Arabica",$B900))&amp;" - "&amp;(IF($C900="","Commercial",$C900))),Variables!$B$1:$D$1,0),1))*L900/16.67)),""))</f>
        <v>-18.745925332016508</v>
      </c>
    </row>
    <row r="901" spans="1:63">
      <c r="A901" s="13" t="s">
        <v>103</v>
      </c>
      <c r="B901" s="13" t="s">
        <v>104</v>
      </c>
      <c r="C901" s="13" t="s">
        <v>292</v>
      </c>
      <c r="D901" s="31">
        <v>46073</v>
      </c>
      <c r="E901" s="31">
        <v>46082</v>
      </c>
      <c r="F901" s="31">
        <v>46112</v>
      </c>
      <c r="G901" s="13">
        <v>3787332</v>
      </c>
      <c r="J901" s="13" t="s">
        <v>447</v>
      </c>
      <c r="K901" s="13" t="s">
        <v>2341</v>
      </c>
      <c r="L901" s="13">
        <v>14</v>
      </c>
      <c r="M901" s="13">
        <v>0</v>
      </c>
      <c r="N901" s="13" t="s">
        <v>2342</v>
      </c>
      <c r="O901" s="13" t="s">
        <v>576</v>
      </c>
      <c r="P901" s="13">
        <v>10020</v>
      </c>
      <c r="R901" s="13" t="s">
        <v>239</v>
      </c>
      <c r="S901" s="13" t="s">
        <v>154</v>
      </c>
      <c r="T901" s="13" t="s">
        <v>155</v>
      </c>
      <c r="U901" s="13" t="s">
        <v>125</v>
      </c>
      <c r="V901" s="13">
        <v>132.31</v>
      </c>
      <c r="W901" s="44">
        <f>IF($AX901="Cancelled","",IFERROR(((V901+INDEX(Variables!$B$6:$D$6,IFERROR(MATCH(IF($B901="Robusta","Robusta",(IF($B901="","Arabica",$B901))&amp;" - "&amp;(IF($C901="","Commercial",$C901))),Variables!$B$1:$D$1,0),1)))*22.0462)*(L901/16.67),""))</f>
        <v>7833.9260676664662</v>
      </c>
      <c r="X901" s="55" t="s">
        <v>39</v>
      </c>
      <c r="Y901" s="13" t="str">
        <f>IF($AX901="Cancelled","",IF(X901="","",IFERROR(IF(INDEX(Variables!$B$38:$B$47,MATCH(X901,Variables!$A$38:$A$47,0))="Yes","Yes","No"),"No")))</f>
        <v>No</v>
      </c>
      <c r="Z901" s="31"/>
      <c r="AC901" s="13" t="str">
        <f t="shared" si="43"/>
        <v/>
      </c>
      <c r="AF901" s="71">
        <v>46112</v>
      </c>
      <c r="AG901" s="37">
        <f>IF($AX901="Cancelled","",IFERROR(IF(F901="","",F901-Variables!$B$13),""))</f>
        <v>46097</v>
      </c>
      <c r="AH901" s="13" t="str">
        <f>IF($AX901="Cancelled","",IFERROR(IF(AB901="","",(AVERAGE(E901:F901)-AB901)-Variables!$B$14),""))</f>
        <v/>
      </c>
      <c r="AJ901" s="47">
        <v>46125</v>
      </c>
      <c r="AK901" s="14">
        <f>IF($AX901="Cancelled","",IFERROR(IF(AJ901="","",IF(AND(AB901="",AF901=""),"",IF(AF901&gt;AB901,AF901+Variables!$B$15+Variables!$B$16+Variables!$B$17-AJ901,AB901+Variables!$B$16+Variables!$B$17-AJ901))),""))</f>
        <v>2</v>
      </c>
      <c r="AL901" s="48" t="s">
        <v>114</v>
      </c>
      <c r="AM901" s="13" t="s">
        <v>168</v>
      </c>
      <c r="AN901" s="13" t="s">
        <v>1793</v>
      </c>
      <c r="AP901" s="39" t="e">
        <v>#N/A</v>
      </c>
      <c r="AR901" s="13" t="s">
        <v>1794</v>
      </c>
      <c r="AS901" s="31">
        <v>46136</v>
      </c>
      <c r="AU901" s="31">
        <v>46160</v>
      </c>
      <c r="AV901" s="13" t="s">
        <v>865</v>
      </c>
      <c r="AW901" s="31">
        <v>46160</v>
      </c>
      <c r="AX901" s="13" t="str">
        <f>IF(ISNUMBER(SEARCH("cancel",#REF!)),"Cancelled",IF(AND(AS901&lt;&gt;"",AU901&lt;&gt;"",AW901&lt;&gt;""),"Closed","Open"))</f>
        <v>Closed</v>
      </c>
      <c r="AY901" s="15" t="str">
        <f t="shared" si="42"/>
        <v>All dates received</v>
      </c>
      <c r="BD901" s="13">
        <f>IF($AX901="Cancelled","",IFERROR(IF(OR(AS901="",AJ901=""),"",(AJ901+Variables!$B$18-AS901)),""))</f>
        <v>4</v>
      </c>
      <c r="BE901" s="13">
        <f>IF($AX901="Cancelled","",IFERROR(IF(OR(AW901="",AS901=""),"",(AS901+Variables!$B$19)-AW901),""))</f>
        <v>-19</v>
      </c>
      <c r="BF901" s="44">
        <f>IF($AX901="Cancelled","",IFERROR(W901*INDEX(Variables!$B$7:$D$7,IFERROR(MATCH(IF($B901="Robusta","Robusta",(IF($B901="","Arabica",$B901))&amp;" - "&amp;(IF($C901="","Commercial",$C901))),Variables!$B$1:$D$1,0),1))*(BE901/365),""))</f>
        <v>-26.295416334600464</v>
      </c>
      <c r="BG901" s="44" t="str">
        <f>IF($AX901="Cancelled","",IFERROR((W901*INDEX(Variables!$B$7:$D$7,IFERROR(MATCH(IF($B901="Robusta","Robusta",(IF($B901="","Arabica",$B901))&amp;" - "&amp;(IF($C901="","Commercial",$C901))),Variables!$B$1:$D$1,0),1))*IFERROR(IF(AB901="","",(AVERAGE(E901:F901)-AB901)-Variables!$B$14),"")/365)+(L901/16.67*INDEX(Variables!$B$8:$D$8,IFERROR(MATCH(IF($B901="Robusta","Robusta",(IF($B901="","Arabica",$B901))&amp;" - "&amp;(IF($C901="","Commercial",$C901))),Variables!$B$1:$D$1,0),1))*IFERROR(IF(AB901="","",(AVERAGE(E901:F901)-AB901)-Variables!$B$14),""))+(W901*INDEX(Variables!$B$9:$D$9,IFERROR(MATCH(IF($B901="Robusta","Robusta",(IF($B901="","Arabica",$B901))&amp;" - "&amp;(IF($C901="","Commercial",$C901))),Variables!$B$1:$D$1,0),1))*IFERROR(IF(AB901="","",(AVERAGE(E901:F901)-AB901)-Variables!$B$14),"")/365),""))</f>
        <v/>
      </c>
      <c r="BH901" s="44">
        <f>IF($AX901="Cancelled","",IFERROR((W901*INDEX(Variables!$B$7:$D$7,IFERROR(MATCH(IF($B901="Robusta","Robusta",(IF($B901="","Arabica",$B901))&amp;" - "&amp;(IF($C901="","Commercial",$C901))),Variables!$B$1:$D$1,0),1))*AK901/365)+(L901/16.67*INDEX(Variables!$B$8:$D$8,IFERROR(MATCH(IF($B901="Robusta","Robusta",(IF($B901="","Arabica",$B901))&amp;" - "&amp;(IF($C901="","Commercial",$C901))),Variables!$B$1:$D$1,0),1))*AK901)+(W901*INDEX(Variables!$B$9:$D$9,IFERROR(MATCH(IF($B901="Robusta","Robusta",(IF($B901="","Arabica",$B901))&amp;" - "&amp;(IF($C901="","Commercial",$C901))),Variables!$B$1:$D$1,0),1))*AK901/365),""))</f>
        <v>4.2036226313453904</v>
      </c>
      <c r="BI901" s="44">
        <f>IF($AX901="Cancelled","",IFERROR((W901*INDEX(Variables!$B$7:$D$7,IFERROR(MATCH(IF($B901="Robusta","Robusta",(IF($B901="","Arabica",$B901))&amp;" - "&amp;(IF($C901="","Commercial",$C901))),Variables!$B$1:$D$1,0),1))*BD901/365)+(L901/16.67*INDEX(Variables!$B$8:$D$8,IFERROR(MATCH(IF($B901="Robusta","Robusta",(IF($B901="","Arabica",$B901))&amp;" - "&amp;(IF($C901="","Commercial",$C901))),Variables!$B$1:$D$1,0),1))*BD901)+(W901*INDEX(Variables!$B$9:$D$9,IFERROR(MATCH(IF($B901="Robusta","Robusta",(IF($B901="","Arabica",$B901))&amp;" - "&amp;(IF($C901="","Commercial",$C901))),Variables!$B$1:$D$1,0),1))*BD901/365),""))</f>
        <v>8.4072452626907808</v>
      </c>
      <c r="BJ901" s="44">
        <f t="shared" si="44"/>
        <v>-24</v>
      </c>
      <c r="BK901" s="44">
        <f>IF($AX901="Cancelled","",IFERROR(IF(BJ901="","",(W901*INDEX(Variables!$B$7:$D$7,IFERROR(MATCH(IF($B901="Robusta","Robusta",(IF($B901="","Arabica",$B901))&amp;" - "&amp;(IF($C901="","Commercial",$C901))),Variables!$B$1:$D$1,0),1))*(BJ901/365))+(W901*INDEX(Variables!$B$9:$D$9,IFERROR(MATCH(IF($B901="Robusta","Robusta",(IF($B901="","Arabica",$B901))&amp;" - "&amp;(IF($C901="","Commercial",$C901))),Variables!$B$1:$D$1,0),1))*(BJ901/365))+(INDEX(Variables!$B$8:$D$8,IFERROR(MATCH(IF($B901="Robusta","Robusta",(IF($B901="","Arabica",$B901))&amp;" - "&amp;(IF($C901="","Commercial",$C901))),Variables!$B$1:$D$1,0),1))*L901/16.67)),""))</f>
        <v>-32.943471576144681</v>
      </c>
    </row>
    <row r="902" spans="1:63">
      <c r="A902" s="13" t="s">
        <v>103</v>
      </c>
      <c r="B902" s="13" t="s">
        <v>104</v>
      </c>
      <c r="C902" s="13" t="s">
        <v>292</v>
      </c>
      <c r="D902" s="31">
        <v>46073</v>
      </c>
      <c r="E902" s="31">
        <v>46082</v>
      </c>
      <c r="F902" s="31">
        <v>46112</v>
      </c>
      <c r="G902" s="13">
        <v>3787333</v>
      </c>
      <c r="J902" s="13" t="s">
        <v>447</v>
      </c>
      <c r="K902" s="13" t="s">
        <v>2343</v>
      </c>
      <c r="L902" s="13">
        <v>10</v>
      </c>
      <c r="M902" s="13">
        <v>0</v>
      </c>
      <c r="N902" s="13" t="s">
        <v>2344</v>
      </c>
      <c r="O902" s="13" t="s">
        <v>576</v>
      </c>
      <c r="P902" s="13">
        <v>10020</v>
      </c>
      <c r="R902" s="13" t="s">
        <v>384</v>
      </c>
      <c r="S902" s="13" t="s">
        <v>154</v>
      </c>
      <c r="T902" s="13" t="s">
        <v>155</v>
      </c>
      <c r="U902" s="13" t="s">
        <v>125</v>
      </c>
      <c r="V902" s="13">
        <v>185</v>
      </c>
      <c r="W902" s="44">
        <f>IF($AX902="Cancelled","",IFERROR(((V902+INDEX(Variables!$B$6:$D$6,IFERROR(MATCH(IF($B902="Robusta","Robusta",(IF($B902="","Arabica",$B902))&amp;" - "&amp;(IF($C902="","Commercial",$C902))),Variables!$B$1:$D$1,0),1)))*22.0462)*(L902/16.67),""))</f>
        <v>6292.4906778644263</v>
      </c>
      <c r="X902" s="55" t="s">
        <v>39</v>
      </c>
      <c r="Y902" s="13" t="str">
        <f>IF($AX902="Cancelled","",IF(X902="","",IFERROR(IF(INDEX(Variables!$B$38:$B$47,MATCH(X902,Variables!$A$38:$A$47,0))="Yes","Yes","No"),"No")))</f>
        <v>No</v>
      </c>
      <c r="Z902" s="31"/>
      <c r="AC902" s="13" t="str">
        <f t="shared" si="43"/>
        <v/>
      </c>
      <c r="AF902" s="71">
        <v>46105</v>
      </c>
      <c r="AG902" s="37">
        <f>IF($AX902="Cancelled","",IFERROR(IF(F902="","",F902-Variables!$B$13),""))</f>
        <v>46097</v>
      </c>
      <c r="AH902" s="13" t="str">
        <f>IF($AX902="Cancelled","",IFERROR(IF(AB902="","",(AVERAGE(E902:F902)-AB902)-Variables!$B$14),""))</f>
        <v/>
      </c>
      <c r="AJ902" s="47">
        <v>46125</v>
      </c>
      <c r="AK902" s="14">
        <f>IF($AX902="Cancelled","",IFERROR(IF(AJ902="","",IF(AND(AB902="",AF902=""),"",IF(AF902&gt;AB902,AF902+Variables!$B$15+Variables!$B$16+Variables!$B$17-AJ902,AB902+Variables!$B$16+Variables!$B$17-AJ902))),""))</f>
        <v>-5</v>
      </c>
      <c r="AL902" s="48" t="s">
        <v>114</v>
      </c>
      <c r="AM902" s="13" t="s">
        <v>168</v>
      </c>
      <c r="AN902" s="13" t="s">
        <v>1793</v>
      </c>
      <c r="AP902" s="39" t="e">
        <v>#N/A</v>
      </c>
      <c r="AR902" s="13" t="s">
        <v>1794</v>
      </c>
      <c r="AS902" s="31">
        <v>46136</v>
      </c>
      <c r="AU902" s="31">
        <v>46160</v>
      </c>
      <c r="AV902" s="13" t="s">
        <v>865</v>
      </c>
      <c r="AW902" s="31">
        <v>46160</v>
      </c>
      <c r="AX902" s="13" t="str">
        <f>IF(ISNUMBER(SEARCH("cancel",#REF!)),"Cancelled",IF(AND(AS902&lt;&gt;"",AU902&lt;&gt;"",AW902&lt;&gt;""),"Closed","Open"))</f>
        <v>Closed</v>
      </c>
      <c r="AY902" s="15" t="str">
        <f t="shared" si="42"/>
        <v>All dates received</v>
      </c>
      <c r="BD902" s="13">
        <f>IF($AX902="Cancelled","",IFERROR(IF(OR(AS902="",AJ902=""),"",(AJ902+Variables!$B$18-AS902)),""))</f>
        <v>4</v>
      </c>
      <c r="BE902" s="13">
        <f>IF($AX902="Cancelled","",IFERROR(IF(OR(AW902="",AS902=""),"",(AS902+Variables!$B$19)-AW902),""))</f>
        <v>-19</v>
      </c>
      <c r="BF902" s="44">
        <f>IF($AX902="Cancelled","",IFERROR(W902*INDEX(Variables!$B$7:$D$7,IFERROR(MATCH(IF($B902="Robusta","Robusta",(IF($B902="","Arabica",$B902))&amp;" - "&amp;(IF($C902="","Commercial",$C902))),Variables!$B$1:$D$1,0),1))*(BE902/365),""))</f>
        <v>-21.121422480481097</v>
      </c>
      <c r="BG902" s="44" t="str">
        <f>IF($AX902="Cancelled","",IFERROR((W902*INDEX(Variables!$B$7:$D$7,IFERROR(MATCH(IF($B902="Robusta","Robusta",(IF($B902="","Arabica",$B902))&amp;" - "&amp;(IF($C902="","Commercial",$C902))),Variables!$B$1:$D$1,0),1))*IFERROR(IF(AB902="","",(AVERAGE(E902:F902)-AB902)-Variables!$B$14),"")/365)+(L902/16.67*INDEX(Variables!$B$8:$D$8,IFERROR(MATCH(IF($B902="Robusta","Robusta",(IF($B902="","Arabica",$B902))&amp;" - "&amp;(IF($C902="","Commercial",$C902))),Variables!$B$1:$D$1,0),1))*IFERROR(IF(AB902="","",(AVERAGE(E902:F902)-AB902)-Variables!$B$14),""))+(W902*INDEX(Variables!$B$9:$D$9,IFERROR(MATCH(IF($B902="Robusta","Robusta",(IF($B902="","Arabica",$B902))&amp;" - "&amp;(IF($C902="","Commercial",$C902))),Variables!$B$1:$D$1,0),1))*IFERROR(IF(AB902="","",(AVERAGE(E902:F902)-AB902)-Variables!$B$14),"")/365),""))</f>
        <v/>
      </c>
      <c r="BH902" s="44">
        <f>IF($AX902="Cancelled","",IFERROR((W902*INDEX(Variables!$B$7:$D$7,IFERROR(MATCH(IF($B902="Robusta","Robusta",(IF($B902="","Arabica",$B902))&amp;" - "&amp;(IF($C902="","Commercial",$C902))),Variables!$B$1:$D$1,0),1))*AK902/365)+(L902/16.67*INDEX(Variables!$B$8:$D$8,IFERROR(MATCH(IF($B902="Robusta","Robusta",(IF($B902="","Arabica",$B902))&amp;" - "&amp;(IF($C902="","Commercial",$C902))),Variables!$B$1:$D$1,0),1))*AK902)+(W902*INDEX(Variables!$B$9:$D$9,IFERROR(MATCH(IF($B902="Robusta","Robusta",(IF($B902="","Arabica",$B902))&amp;" - "&amp;(IF($C902="","Commercial",$C902))),Variables!$B$1:$D$1,0),1))*AK902/365),""))</f>
        <v>-8.1299258888862784</v>
      </c>
      <c r="BI902" s="44">
        <f>IF($AX902="Cancelled","",IFERROR((W902*INDEX(Variables!$B$7:$D$7,IFERROR(MATCH(IF($B902="Robusta","Robusta",(IF($B902="","Arabica",$B902))&amp;" - "&amp;(IF($C902="","Commercial",$C902))),Variables!$B$1:$D$1,0),1))*BD902/365)+(L902/16.67*INDEX(Variables!$B$8:$D$8,IFERROR(MATCH(IF($B902="Robusta","Robusta",(IF($B902="","Arabica",$B902))&amp;" - "&amp;(IF($C902="","Commercial",$C902))),Variables!$B$1:$D$1,0),1))*BD902)+(W902*INDEX(Variables!$B$9:$D$9,IFERROR(MATCH(IF($B902="Robusta","Robusta",(IF($B902="","Arabica",$B902))&amp;" - "&amp;(IF($C902="","Commercial",$C902))),Variables!$B$1:$D$1,0),1))*BD902/365),""))</f>
        <v>6.5039407111090215</v>
      </c>
      <c r="BJ902" s="44">
        <f t="shared" si="44"/>
        <v>-24</v>
      </c>
      <c r="BK902" s="44">
        <f>IF($AX902="Cancelled","",IFERROR(IF(BJ902="","",(W902*INDEX(Variables!$B$7:$D$7,IFERROR(MATCH(IF($B902="Robusta","Robusta",(IF($B902="","Arabica",$B902))&amp;" - "&amp;(IF($C902="","Commercial",$C902))),Variables!$B$1:$D$1,0),1))*(BJ902/365))+(W902*INDEX(Variables!$B$9:$D$9,IFERROR(MATCH(IF($B902="Robusta","Robusta",(IF($B902="","Arabica",$B902))&amp;" - "&amp;(IF($C902="","Commercial",$C902))),Variables!$B$1:$D$1,0),1))*(BJ902/365))+(INDEX(Variables!$B$8:$D$8,IFERROR(MATCH(IF($B902="Robusta","Robusta",(IF($B902="","Arabica",$B902))&amp;" - "&amp;(IF($C902="","Commercial",$C902))),Variables!$B$1:$D$1,0),1))*L902/16.67)),""))</f>
        <v>-26.523644266654127</v>
      </c>
    </row>
    <row r="903" spans="1:63">
      <c r="A903" s="13" t="s">
        <v>103</v>
      </c>
      <c r="B903" s="13" t="s">
        <v>104</v>
      </c>
      <c r="C903" s="13" t="s">
        <v>105</v>
      </c>
      <c r="D903" s="31">
        <v>46073</v>
      </c>
      <c r="E903" s="31">
        <v>46113</v>
      </c>
      <c r="F903" s="31">
        <v>46142</v>
      </c>
      <c r="G903" s="13">
        <v>3787334</v>
      </c>
      <c r="J903" s="13" t="s">
        <v>2315</v>
      </c>
      <c r="K903" s="13">
        <v>5500</v>
      </c>
      <c r="L903" s="13">
        <v>1600</v>
      </c>
      <c r="M903" s="13">
        <v>5</v>
      </c>
      <c r="N903" s="13" t="s">
        <v>338</v>
      </c>
      <c r="O903" s="13" t="s">
        <v>538</v>
      </c>
      <c r="P903" s="13">
        <v>10080</v>
      </c>
      <c r="R903" s="13" t="s">
        <v>110</v>
      </c>
      <c r="S903" s="13" t="s">
        <v>339</v>
      </c>
      <c r="T903" s="13" t="s">
        <v>340</v>
      </c>
      <c r="U903" s="13" t="s">
        <v>113</v>
      </c>
      <c r="V903" s="23">
        <v>20</v>
      </c>
      <c r="W903" s="44">
        <f>IF($AX903="Cancelled","",IFERROR(((V903+INDEX(Variables!$B$6:$D$6,IFERROR(MATCH(IF($B903="Robusta","Robusta",(IF($B903="","Arabica",$B903))&amp;" - "&amp;(IF($C903="","Commercial",$C903))),Variables!$B$1:$D$1,0),1)))*22.0462)*(L903/16.67),""))</f>
        <v>657656.52885422902</v>
      </c>
      <c r="X903" s="55" t="s">
        <v>37</v>
      </c>
      <c r="Y903" s="13" t="str">
        <f>IF($AX903="Cancelled","",IF(X903="","",IFERROR(IF(INDEX(Variables!$B$38:$B$47,MATCH(X903,Variables!$A$38:$A$47,0))="Yes","Yes","No"),"No")))</f>
        <v>Yes</v>
      </c>
      <c r="Z903" s="58">
        <v>46121</v>
      </c>
      <c r="AB903" s="31">
        <v>46111</v>
      </c>
      <c r="AC903" s="13" t="str">
        <f t="shared" si="43"/>
        <v>Approved</v>
      </c>
      <c r="AF903" s="71">
        <v>46148</v>
      </c>
      <c r="AG903" s="37">
        <f>IF($AX903="Cancelled","",IFERROR(IF(F903="","",F903-Variables!$B$13),""))</f>
        <v>46127</v>
      </c>
      <c r="AH903" s="13">
        <f>IF($AX903="Cancelled","",IFERROR(IF(AB903="","",(AVERAGE(E903:F903)-AB903)-Variables!$B$14),""))</f>
        <v>-13.5</v>
      </c>
      <c r="AJ903" s="47">
        <v>46149</v>
      </c>
      <c r="AK903" s="14">
        <f>IF($AX903="Cancelled","",IFERROR(IF(AJ903="","",IF(AND(AB903="",AF903=""),"",IF(AF903&gt;AB903,AF903+Variables!$B$15+Variables!$B$16+Variables!$B$17-AJ903,AB903+Variables!$B$16+Variables!$B$17-AJ903))),""))</f>
        <v>14</v>
      </c>
      <c r="AL903" s="48" t="s">
        <v>114</v>
      </c>
      <c r="AM903" s="13" t="s">
        <v>1784</v>
      </c>
      <c r="AN903" s="13" t="s">
        <v>2345</v>
      </c>
      <c r="AP903" s="39">
        <v>46161</v>
      </c>
      <c r="AR903" s="13" t="s">
        <v>2346</v>
      </c>
      <c r="AS903" s="31">
        <v>46161</v>
      </c>
      <c r="AU903" s="31">
        <v>46195</v>
      </c>
      <c r="AV903" s="13" t="e">
        <v>#REF!</v>
      </c>
      <c r="AW903" s="31">
        <v>46195</v>
      </c>
      <c r="AX903" s="13" t="str">
        <f>IF(ISNUMBER(SEARCH("cancel",#REF!)),"Cancelled",IF(AND(AS903&lt;&gt;"",AU903&lt;&gt;"",AW903&lt;&gt;""),"Closed","Open"))</f>
        <v>Closed</v>
      </c>
      <c r="AY903" s="15" t="str">
        <f t="shared" si="42"/>
        <v>All dates received</v>
      </c>
      <c r="BD903" s="13">
        <f>IF($AX903="Cancelled","",IFERROR(IF(OR(AS903="",AJ903=""),"",(AJ903+Variables!$B$18-AS903)),""))</f>
        <v>3</v>
      </c>
      <c r="BE903" s="13">
        <f>IF($AX903="Cancelled","",IFERROR(IF(OR(AW903="",AS903=""),"",(AS903+Variables!$B$19)-AW903),""))</f>
        <v>-29</v>
      </c>
      <c r="BF903" s="44">
        <f>IF($AX903="Cancelled","",IFERROR(W903*INDEX(Variables!$B$7:$D$7,IFERROR(MATCH(IF($B903="Robusta","Robusta",(IF($B903="","Arabica",$B903))&amp;" - "&amp;(IF($C903="","Commercial",$C903))),Variables!$B$1:$D$1,0),1))*(BE903/365),""))</f>
        <v>-3369.3343970455921</v>
      </c>
      <c r="BG903" s="44">
        <f>IF($AX903="Cancelled","",IFERROR((W903*INDEX(Variables!$B$7:$D$7,IFERROR(MATCH(IF($B903="Robusta","Robusta",(IF($B903="","Arabica",$B903))&amp;" - "&amp;(IF($C903="","Commercial",$C903))),Variables!$B$1:$D$1,0),1))*IFERROR(IF(AB903="","",(AVERAGE(E903:F903)-AB903)-Variables!$B$14),"")/365)+(L903/16.67*INDEX(Variables!$B$8:$D$8,IFERROR(MATCH(IF($B903="Robusta","Robusta",(IF($B903="","Arabica",$B903))&amp;" - "&amp;(IF($C903="","Commercial",$C903))),Variables!$B$1:$D$1,0),1))*IFERROR(IF(AB903="","",(AVERAGE(E903:F903)-AB903)-Variables!$B$14),""))+(W903*INDEX(Variables!$B$9:$D$9,IFERROR(MATCH(IF($B903="Robusta","Robusta",(IF($B903="","Arabica",$B903))&amp;" - "&amp;(IF($C903="","Commercial",$C903))),Variables!$B$1:$D$1,0),1))*IFERROR(IF(AB903="","",(AVERAGE(E903:F903)-AB903)-Variables!$B$14),"")/365),""))</f>
        <v>-2668.7040299009027</v>
      </c>
      <c r="BH903" s="44">
        <f>IF($AX903="Cancelled","",IFERROR((W903*INDEX(Variables!$B$7:$D$7,IFERROR(MATCH(IF($B903="Robusta","Robusta",(IF($B903="","Arabica",$B903))&amp;" - "&amp;(IF($C903="","Commercial",$C903))),Variables!$B$1:$D$1,0),1))*AK903/365)+(L903/16.67*INDEX(Variables!$B$8:$D$8,IFERROR(MATCH(IF($B903="Robusta","Robusta",(IF($B903="","Arabica",$B903))&amp;" - "&amp;(IF($C903="","Commercial",$C903))),Variables!$B$1:$D$1,0),1))*AK903)+(W903*INDEX(Variables!$B$9:$D$9,IFERROR(MATCH(IF($B903="Robusta","Robusta",(IF($B903="","Arabica",$B903))&amp;" - "&amp;(IF($C903="","Commercial",$C903))),Variables!$B$1:$D$1,0),1))*AK903/365),""))</f>
        <v>2767.5449198972319</v>
      </c>
      <c r="BI903" s="44">
        <f>IF($AX903="Cancelled","",IFERROR((W903*INDEX(Variables!$B$7:$D$7,IFERROR(MATCH(IF($B903="Robusta","Robusta",(IF($B903="","Arabica",$B903))&amp;" - "&amp;(IF($C903="","Commercial",$C903))),Variables!$B$1:$D$1,0),1))*BD903/365)+(L903/16.67*INDEX(Variables!$B$8:$D$8,IFERROR(MATCH(IF($B903="Robusta","Robusta",(IF($B903="","Arabica",$B903))&amp;" - "&amp;(IF($C903="","Commercial",$C903))),Variables!$B$1:$D$1,0),1))*BD903)+(W903*INDEX(Variables!$B$9:$D$9,IFERROR(MATCH(IF($B903="Robusta","Robusta",(IF($B903="","Arabica",$B903))&amp;" - "&amp;(IF($C903="","Commercial",$C903))),Variables!$B$1:$D$1,0),1))*BD903/365),""))</f>
        <v>593.04533997797819</v>
      </c>
      <c r="BJ903" s="44">
        <f t="shared" si="44"/>
        <v>-19</v>
      </c>
      <c r="BK903" s="44">
        <f>IF($AX903="Cancelled","",IFERROR(IF(BJ903="","",(W903*INDEX(Variables!$B$7:$D$7,IFERROR(MATCH(IF($B903="Robusta","Robusta",(IF($B903="","Arabica",$B903))&amp;" - "&amp;(IF($C903="","Commercial",$C903))),Variables!$B$1:$D$1,0),1))*(BJ903/365))+(W903*INDEX(Variables!$B$9:$D$9,IFERROR(MATCH(IF($B903="Robusta","Robusta",(IF($B903="","Arabica",$B903))&amp;" - "&amp;(IF($C903="","Commercial",$C903))),Variables!$B$1:$D$1,0),1))*(BJ903/365))+(INDEX(Variables!$B$8:$D$8,IFERROR(MATCH(IF($B903="Robusta","Robusta",(IF($B903="","Arabica",$B903))&amp;" - "&amp;(IF($C903="","Commercial",$C903))),Variables!$B$1:$D$1,0),1))*L903/16.67)),""))</f>
        <v>-2155.9538198605296</v>
      </c>
    </row>
    <row r="904" spans="1:63">
      <c r="A904" s="13" t="s">
        <v>103</v>
      </c>
      <c r="B904" s="13" t="s">
        <v>104</v>
      </c>
      <c r="C904" s="13" t="s">
        <v>105</v>
      </c>
      <c r="D904" s="31">
        <v>46073</v>
      </c>
      <c r="E904" s="31">
        <v>46143</v>
      </c>
      <c r="F904" s="31">
        <v>46172</v>
      </c>
      <c r="G904" s="13">
        <v>3787335</v>
      </c>
      <c r="J904" s="13" t="s">
        <v>2315</v>
      </c>
      <c r="K904" s="13">
        <v>5566</v>
      </c>
      <c r="L904" s="13">
        <v>1600</v>
      </c>
      <c r="M904" s="13">
        <v>5</v>
      </c>
      <c r="N904" s="13" t="s">
        <v>338</v>
      </c>
      <c r="O904" s="13" t="s">
        <v>538</v>
      </c>
      <c r="P904" s="13">
        <v>10080</v>
      </c>
      <c r="R904" s="13" t="s">
        <v>110</v>
      </c>
      <c r="S904" s="13" t="s">
        <v>339</v>
      </c>
      <c r="T904" s="13" t="s">
        <v>340</v>
      </c>
      <c r="U904" s="13" t="s">
        <v>113</v>
      </c>
      <c r="V904" s="23">
        <v>20</v>
      </c>
      <c r="W904" s="44">
        <f>IF($AX904="Cancelled","",IFERROR(((V904+INDEX(Variables!$B$6:$D$6,IFERROR(MATCH(IF($B904="Robusta","Robusta",(IF($B904="","Arabica",$B904))&amp;" - "&amp;(IF($C904="","Commercial",$C904))),Variables!$B$1:$D$1,0),1)))*22.0462)*(L904/16.67),""))</f>
        <v>657656.52885422902</v>
      </c>
      <c r="X904" s="55" t="s">
        <v>37</v>
      </c>
      <c r="Y904" s="13" t="str">
        <f>IF($AX904="Cancelled","",IF(X904="","",IFERROR(IF(INDEX(Variables!$B$38:$B$47,MATCH(X904,Variables!$A$38:$A$47,0))="Yes","Yes","No"),"No")))</f>
        <v>Yes</v>
      </c>
      <c r="Z904" s="58">
        <v>46121</v>
      </c>
      <c r="AB904" s="31">
        <v>46132</v>
      </c>
      <c r="AC904" s="13" t="str">
        <f t="shared" si="43"/>
        <v>Approved</v>
      </c>
      <c r="AF904" s="71">
        <v>46197</v>
      </c>
      <c r="AG904" s="37">
        <f>IF($AX904="Cancelled","",IFERROR(IF(F904="","",F904-Variables!$B$13),""))</f>
        <v>46157</v>
      </c>
      <c r="AH904" s="13">
        <f>IF($AX904="Cancelled","",IFERROR(IF(AB904="","",(AVERAGE(E904:F904)-AB904)-Variables!$B$14),""))</f>
        <v>-4.5</v>
      </c>
      <c r="AJ904" s="47">
        <v>46203</v>
      </c>
      <c r="AK904" s="14">
        <f>IF($AX904="Cancelled","",IFERROR(IF(AJ904="","",IF(AND(AB904="",AF904=""),"",IF(AF904&gt;AB904,AF904+Variables!$B$15+Variables!$B$16+Variables!$B$17-AJ904,AB904+Variables!$B$16+Variables!$B$17-AJ904))),""))</f>
        <v>9</v>
      </c>
      <c r="AL904" s="48" t="s">
        <v>114</v>
      </c>
      <c r="AM904" s="13" t="s">
        <v>1784</v>
      </c>
      <c r="AN904" s="13" t="s">
        <v>2347</v>
      </c>
      <c r="AP904" s="39">
        <v>46216</v>
      </c>
      <c r="AR904" s="13" t="s">
        <v>2348</v>
      </c>
      <c r="AS904" s="31">
        <v>46216</v>
      </c>
      <c r="AU904" s="31">
        <v>46266</v>
      </c>
      <c r="AV904" s="13" t="e">
        <v>#REF!</v>
      </c>
      <c r="AW904" s="31">
        <v>46266</v>
      </c>
      <c r="AX904" s="13" t="str">
        <f>IF(ISNUMBER(SEARCH("cancel",#REF!)),"Cancelled",IF(AND(AS904&lt;&gt;"",AU904&lt;&gt;"",AW904&lt;&gt;""),"Closed","Open"))</f>
        <v>Closed</v>
      </c>
      <c r="AY904" s="15" t="str">
        <f t="shared" si="42"/>
        <v>All dates received</v>
      </c>
      <c r="BD904" s="13">
        <f>IF($AX904="Cancelled","",IFERROR(IF(OR(AS904="",AJ904=""),"",(AJ904+Variables!$B$18-AS904)),""))</f>
        <v>2</v>
      </c>
      <c r="BE904" s="13">
        <f>IF($AX904="Cancelled","",IFERROR(IF(OR(AW904="",AS904=""),"",(AS904+Variables!$B$19)-AW904),""))</f>
        <v>-45</v>
      </c>
      <c r="BF904" s="44">
        <f>IF($AX904="Cancelled","",IFERROR(W904*INDEX(Variables!$B$7:$D$7,IFERROR(MATCH(IF($B904="Robusta","Robusta",(IF($B904="","Arabica",$B904))&amp;" - "&amp;(IF($C904="","Commercial",$C904))),Variables!$B$1:$D$1,0),1))*(BE904/365),""))</f>
        <v>-5228.2775126569522</v>
      </c>
      <c r="BG904" s="44">
        <f>IF($AX904="Cancelled","",IFERROR((W904*INDEX(Variables!$B$7:$D$7,IFERROR(MATCH(IF($B904="Robusta","Robusta",(IF($B904="","Arabica",$B904))&amp;" - "&amp;(IF($C904="","Commercial",$C904))),Variables!$B$1:$D$1,0),1))*IFERROR(IF(AB904="","",(AVERAGE(E904:F904)-AB904)-Variables!$B$14),"")/365)+(L904/16.67*INDEX(Variables!$B$8:$D$8,IFERROR(MATCH(IF($B904="Robusta","Robusta",(IF($B904="","Arabica",$B904))&amp;" - "&amp;(IF($C904="","Commercial",$C904))),Variables!$B$1:$D$1,0),1))*IFERROR(IF(AB904="","",(AVERAGE(E904:F904)-AB904)-Variables!$B$14),""))+(W904*INDEX(Variables!$B$9:$D$9,IFERROR(MATCH(IF($B904="Robusta","Robusta",(IF($B904="","Arabica",$B904))&amp;" - "&amp;(IF($C904="","Commercial",$C904))),Variables!$B$1:$D$1,0),1))*IFERROR(IF(AB904="","",(AVERAGE(E904:F904)-AB904)-Variables!$B$14),"")/365),""))</f>
        <v>-889.56800996696745</v>
      </c>
      <c r="BH904" s="44">
        <f>IF($AX904="Cancelled","",IFERROR((W904*INDEX(Variables!$B$7:$D$7,IFERROR(MATCH(IF($B904="Robusta","Robusta",(IF($B904="","Arabica",$B904))&amp;" - "&amp;(IF($C904="","Commercial",$C904))),Variables!$B$1:$D$1,0),1))*AK904/365)+(L904/16.67*INDEX(Variables!$B$8:$D$8,IFERROR(MATCH(IF($B904="Robusta","Robusta",(IF($B904="","Arabica",$B904))&amp;" - "&amp;(IF($C904="","Commercial",$C904))),Variables!$B$1:$D$1,0),1))*AK904)+(W904*INDEX(Variables!$B$9:$D$9,IFERROR(MATCH(IF($B904="Robusta","Robusta",(IF($B904="","Arabica",$B904))&amp;" - "&amp;(IF($C904="","Commercial",$C904))),Variables!$B$1:$D$1,0),1))*AK904/365),""))</f>
        <v>1779.1360199339349</v>
      </c>
      <c r="BI904" s="44">
        <f>IF($AX904="Cancelled","",IFERROR((W904*INDEX(Variables!$B$7:$D$7,IFERROR(MATCH(IF($B904="Robusta","Robusta",(IF($B904="","Arabica",$B904))&amp;" - "&amp;(IF($C904="","Commercial",$C904))),Variables!$B$1:$D$1,0),1))*BD904/365)+(L904/16.67*INDEX(Variables!$B$8:$D$8,IFERROR(MATCH(IF($B904="Robusta","Robusta",(IF($B904="","Arabica",$B904))&amp;" - "&amp;(IF($C904="","Commercial",$C904))),Variables!$B$1:$D$1,0),1))*BD904)+(W904*INDEX(Variables!$B$9:$D$9,IFERROR(MATCH(IF($B904="Robusta","Robusta",(IF($B904="","Arabica",$B904))&amp;" - "&amp;(IF($C904="","Commercial",$C904))),Variables!$B$1:$D$1,0),1))*BD904/365),""))</f>
        <v>395.36355998531889</v>
      </c>
      <c r="BJ904" s="44">
        <f t="shared" si="44"/>
        <v>-44</v>
      </c>
      <c r="BK904" s="44">
        <f>IF($AX904="Cancelled","",IFERROR(IF(BJ904="","",(W904*INDEX(Variables!$B$7:$D$7,IFERROR(MATCH(IF($B904="Robusta","Robusta",(IF($B904="","Arabica",$B904))&amp;" - "&amp;(IF($C904="","Commercial",$C904))),Variables!$B$1:$D$1,0),1))*(BJ904/365))+(W904*INDEX(Variables!$B$9:$D$9,IFERROR(MATCH(IF($B904="Robusta","Robusta",(IF($B904="","Arabica",$B904))&amp;" - "&amp;(IF($C904="","Commercial",$C904))),Variables!$B$1:$D$1,0),1))*(BJ904/365))+(INDEX(Variables!$B$8:$D$8,IFERROR(MATCH(IF($B904="Robusta","Robusta",(IF($B904="","Arabica",$B904))&amp;" - "&amp;(IF($C904="","Commercial",$C904))),Variables!$B$1:$D$1,0),1))*L904/16.67)),""))</f>
        <v>-5097.9983196770154</v>
      </c>
    </row>
    <row r="905" spans="1:63">
      <c r="A905" s="13" t="s">
        <v>103</v>
      </c>
      <c r="B905" s="13" t="s">
        <v>104</v>
      </c>
      <c r="C905" s="13" t="s">
        <v>105</v>
      </c>
      <c r="D905" s="31">
        <v>46073</v>
      </c>
      <c r="E905" s="31">
        <v>46174</v>
      </c>
      <c r="F905" s="31">
        <v>46203</v>
      </c>
      <c r="G905" s="13">
        <v>3787336</v>
      </c>
      <c r="J905" s="13" t="s">
        <v>2315</v>
      </c>
      <c r="K905" s="13">
        <v>5581</v>
      </c>
      <c r="L905" s="13">
        <v>640</v>
      </c>
      <c r="M905" s="13">
        <v>2</v>
      </c>
      <c r="N905" s="13" t="s">
        <v>338</v>
      </c>
      <c r="O905" s="13" t="s">
        <v>538</v>
      </c>
      <c r="P905" s="13">
        <v>10080</v>
      </c>
      <c r="R905" s="13" t="s">
        <v>110</v>
      </c>
      <c r="S905" s="13" t="s">
        <v>339</v>
      </c>
      <c r="T905" s="13" t="s">
        <v>2349</v>
      </c>
      <c r="U905" s="13" t="s">
        <v>113</v>
      </c>
      <c r="V905" s="23">
        <v>20</v>
      </c>
      <c r="W905" s="44">
        <f>IF($AX905="Cancelled","",IFERROR(((V905+INDEX(Variables!$B$6:$D$6,IFERROR(MATCH(IF($B905="Robusta","Robusta",(IF($B905="","Arabica",$B905))&amp;" - "&amp;(IF($C905="","Commercial",$C905))),Variables!$B$1:$D$1,0),1)))*22.0462)*(L905/16.67),""))</f>
        <v>263062.61154169164</v>
      </c>
      <c r="X905" s="55" t="s">
        <v>37</v>
      </c>
      <c r="Y905" s="13" t="str">
        <f>IF($AX905="Cancelled","",IF(X905="","",IFERROR(IF(INDEX(Variables!$B$38:$B$47,MATCH(X905,Variables!$A$38:$A$47,0))="Yes","Yes","No"),"No")))</f>
        <v>Yes</v>
      </c>
      <c r="Z905" s="58">
        <v>46141</v>
      </c>
      <c r="AB905" s="31">
        <v>46147</v>
      </c>
      <c r="AC905" s="13" t="str">
        <f t="shared" si="43"/>
        <v>Approved</v>
      </c>
      <c r="AF905" s="71">
        <v>46211</v>
      </c>
      <c r="AG905" s="37">
        <f>IF($AX905="Cancelled","",IFERROR(IF(F905="","",F905-Variables!$B$13),""))</f>
        <v>46188</v>
      </c>
      <c r="AH905" s="13">
        <f>IF($AX905="Cancelled","",IFERROR(IF(AB905="","",(AVERAGE(E905:F905)-AB905)-Variables!$B$14),""))</f>
        <v>11.5</v>
      </c>
      <c r="AJ905" s="47">
        <v>46211</v>
      </c>
      <c r="AK905" s="14">
        <f>IF($AX905="Cancelled","",IFERROR(IF(AJ905="","",IF(AND(AB905="",AF905=""),"",IF(AF905&gt;AB905,AF905+Variables!$B$15+Variables!$B$16+Variables!$B$17-AJ905,AB905+Variables!$B$16+Variables!$B$17-AJ905))),""))</f>
        <v>15</v>
      </c>
      <c r="AL905" s="48" t="s">
        <v>114</v>
      </c>
      <c r="AM905" s="13" t="s">
        <v>134</v>
      </c>
      <c r="AN905" s="13" t="s">
        <v>2350</v>
      </c>
      <c r="AP905" s="39">
        <v>46224</v>
      </c>
      <c r="AR905" s="13" t="s">
        <v>2351</v>
      </c>
      <c r="AS905" s="31">
        <v>46224</v>
      </c>
      <c r="AU905" s="31">
        <v>46276</v>
      </c>
      <c r="AV905" s="13" t="s">
        <v>865</v>
      </c>
      <c r="AW905" s="39">
        <v>46276</v>
      </c>
      <c r="AX905" s="13" t="str">
        <f>IF(ISNUMBER(SEARCH("cancel",#REF!)),"Cancelled",IF(AND(AS905&lt;&gt;"",AU905&lt;&gt;"",AW905&lt;&gt;""),"Closed","Open"))</f>
        <v>Closed</v>
      </c>
      <c r="AY905" s="15" t="str">
        <f t="shared" si="42"/>
        <v>All dates received</v>
      </c>
      <c r="AZ905" s="13" t="s">
        <v>3047</v>
      </c>
      <c r="BA905" s="13" t="s">
        <v>3057</v>
      </c>
      <c r="BB905" s="13" t="s">
        <v>3058</v>
      </c>
      <c r="BC905" s="13" t="s">
        <v>3295</v>
      </c>
      <c r="BD905" s="13">
        <f>IF($AX905="Cancelled","",IFERROR(IF(OR(AS905="",AJ905=""),"",(AJ905+Variables!$B$18-AS905)),""))</f>
        <v>2</v>
      </c>
      <c r="BE905" s="13">
        <f>IF($AX905="Cancelled","",IFERROR(IF(OR(AW905="",AS905=""),"",(AS905+Variables!$B$19)-AW905),""))</f>
        <v>-47</v>
      </c>
      <c r="BF905" s="44">
        <f>IF($AX905="Cancelled","",IFERROR(W905*INDEX(Variables!$B$7:$D$7,IFERROR(MATCH(IF($B905="Robusta","Robusta",(IF($B905="","Arabica",$B905))&amp;" - "&amp;(IF($C905="","Commercial",$C905))),Variables!$B$1:$D$1,0),1))*(BE905/365),""))</f>
        <v>-2184.2581608433488</v>
      </c>
      <c r="BG905" s="44">
        <f>IF($AX905="Cancelled","",IFERROR((W905*INDEX(Variables!$B$7:$D$7,IFERROR(MATCH(IF($B905="Robusta","Robusta",(IF($B905="","Arabica",$B905))&amp;" - "&amp;(IF($C905="","Commercial",$C905))),Variables!$B$1:$D$1,0),1))*IFERROR(IF(AB905="","",(AVERAGE(E905:F905)-AB905)-Variables!$B$14),"")/365)+(L905/16.67*INDEX(Variables!$B$8:$D$8,IFERROR(MATCH(IF($B905="Robusta","Robusta",(IF($B905="","Arabica",$B905))&amp;" - "&amp;(IF($C905="","Commercial",$C905))),Variables!$B$1:$D$1,0),1))*IFERROR(IF(AB905="","",(AVERAGE(E905:F905)-AB905)-Variables!$B$14),""))+(W905*INDEX(Variables!$B$9:$D$9,IFERROR(MATCH(IF($B905="Robusta","Robusta",(IF($B905="","Arabica",$B905))&amp;" - "&amp;(IF($C905="","Commercial",$C905))),Variables!$B$1:$D$1,0),1))*IFERROR(IF(AB905="","",(AVERAGE(E905:F905)-AB905)-Variables!$B$14),"")/365),""))</f>
        <v>909.33618796623341</v>
      </c>
      <c r="BH905" s="44">
        <f>IF($AX905="Cancelled","",IFERROR((W905*INDEX(Variables!$B$7:$D$7,IFERROR(MATCH(IF($B905="Robusta","Robusta",(IF($B905="","Arabica",$B905))&amp;" - "&amp;(IF($C905="","Commercial",$C905))),Variables!$B$1:$D$1,0),1))*AK905/365)+(L905/16.67*INDEX(Variables!$B$8:$D$8,IFERROR(MATCH(IF($B905="Robusta","Robusta",(IF($B905="","Arabica",$B905))&amp;" - "&amp;(IF($C905="","Commercial",$C905))),Variables!$B$1:$D$1,0),1))*AK905)+(W905*INDEX(Variables!$B$9:$D$9,IFERROR(MATCH(IF($B905="Robusta","Robusta",(IF($B905="","Arabica",$B905))&amp;" - "&amp;(IF($C905="","Commercial",$C905))),Variables!$B$1:$D$1,0),1))*AK905/365),""))</f>
        <v>1186.0906799559564</v>
      </c>
      <c r="BI905" s="44">
        <f>IF($AX905="Cancelled","",IFERROR((W905*INDEX(Variables!$B$7:$D$7,IFERROR(MATCH(IF($B905="Robusta","Robusta",(IF($B905="","Arabica",$B905))&amp;" - "&amp;(IF($C905="","Commercial",$C905))),Variables!$B$1:$D$1,0),1))*BD905/365)+(L905/16.67*INDEX(Variables!$B$8:$D$8,IFERROR(MATCH(IF($B905="Robusta","Robusta",(IF($B905="","Arabica",$B905))&amp;" - "&amp;(IF($C905="","Commercial",$C905))),Variables!$B$1:$D$1,0),1))*BD905)+(W905*INDEX(Variables!$B$9:$D$9,IFERROR(MATCH(IF($B905="Robusta","Robusta",(IF($B905="","Arabica",$B905))&amp;" - "&amp;(IF($C905="","Commercial",$C905))),Variables!$B$1:$D$1,0),1))*BD905/365),""))</f>
        <v>158.14542399412753</v>
      </c>
      <c r="BJ905" s="44">
        <f t="shared" si="44"/>
        <v>-21</v>
      </c>
      <c r="BK905" s="44">
        <f>IF($AX905="Cancelled","",IFERROR(IF(BJ905="","",(W905*INDEX(Variables!$B$7:$D$7,IFERROR(MATCH(IF($B905="Robusta","Robusta",(IF($B905="","Arabica",$B905))&amp;" - "&amp;(IF($C905="","Commercial",$C905))),Variables!$B$1:$D$1,0),1))*(BJ905/365))+(W905*INDEX(Variables!$B$9:$D$9,IFERROR(MATCH(IF($B905="Robusta","Robusta",(IF($B905="","Arabica",$B905))&amp;" - "&amp;(IF($C905="","Commercial",$C905))),Variables!$B$1:$D$1,0),1))*(BJ905/365))+(INDEX(Variables!$B$8:$D$8,IFERROR(MATCH(IF($B905="Robusta","Robusta",(IF($B905="","Arabica",$B905))&amp;" - "&amp;(IF($C905="","Commercial",$C905))),Variables!$B$1:$D$1,0),1))*L905/16.67)),""))</f>
        <v>-956.52695193833927</v>
      </c>
    </row>
    <row r="906" spans="1:63">
      <c r="A906" s="13" t="s">
        <v>103</v>
      </c>
      <c r="B906" s="13" t="s">
        <v>104</v>
      </c>
      <c r="C906" s="13" t="s">
        <v>105</v>
      </c>
      <c r="D906" s="31">
        <v>46073</v>
      </c>
      <c r="E906" s="31">
        <v>46174</v>
      </c>
      <c r="F906" s="31">
        <v>46203</v>
      </c>
      <c r="G906" s="13">
        <v>3787336</v>
      </c>
      <c r="J906" s="13" t="s">
        <v>2315</v>
      </c>
      <c r="K906" s="13">
        <v>5581</v>
      </c>
      <c r="L906" s="13">
        <v>960</v>
      </c>
      <c r="M906" s="13">
        <v>3</v>
      </c>
      <c r="N906" s="13" t="s">
        <v>338</v>
      </c>
      <c r="O906" s="13" t="s">
        <v>538</v>
      </c>
      <c r="P906" s="13">
        <v>10080</v>
      </c>
      <c r="R906" s="13" t="s">
        <v>110</v>
      </c>
      <c r="S906" s="13" t="s">
        <v>339</v>
      </c>
      <c r="T906" s="13" t="s">
        <v>2349</v>
      </c>
      <c r="U906" s="13" t="s">
        <v>113</v>
      </c>
      <c r="V906" s="23">
        <v>20</v>
      </c>
      <c r="W906" s="44">
        <f>IF($AX906="Cancelled","",IFERROR(((V906+INDEX(Variables!$B$6:$D$6,IFERROR(MATCH(IF($B906="Robusta","Robusta",(IF($B906="","Arabica",$B906))&amp;" - "&amp;(IF($C906="","Commercial",$C906))),Variables!$B$1:$D$1,0),1)))*22.0462)*(L906/16.67),""))</f>
        <v>394593.91731253744</v>
      </c>
      <c r="X906" s="55" t="s">
        <v>37</v>
      </c>
      <c r="Y906" s="13" t="str">
        <f>IF($AX906="Cancelled","",IF(X906="","",IFERROR(IF(INDEX(Variables!$B$38:$B$47,MATCH(X906,Variables!$A$38:$A$47,0))="Yes","Yes","No"),"No")))</f>
        <v>Yes</v>
      </c>
      <c r="Z906" s="58">
        <v>46141</v>
      </c>
      <c r="AB906" s="31">
        <v>46147</v>
      </c>
      <c r="AC906" s="13" t="str">
        <f t="shared" si="43"/>
        <v>Approved</v>
      </c>
      <c r="AF906" s="71">
        <v>46211</v>
      </c>
      <c r="AG906" s="37">
        <f>IF($AX906="Cancelled","",IFERROR(IF(F906="","",F906-Variables!$B$13),""))</f>
        <v>46188</v>
      </c>
      <c r="AH906" s="13">
        <f>IF($AX906="Cancelled","",IFERROR(IF(AB906="","",(AVERAGE(E906:F906)-AB906)-Variables!$B$14),""))</f>
        <v>11.5</v>
      </c>
      <c r="AJ906" s="47">
        <v>46214</v>
      </c>
      <c r="AK906" s="14">
        <f>IF($AX906="Cancelled","",IFERROR(IF(AJ906="","",IF(AND(AB906="",AF906=""),"",IF(AF906&gt;AB906,AF906+Variables!$B$15+Variables!$B$16+Variables!$B$17-AJ906,AB906+Variables!$B$16+Variables!$B$17-AJ906))),""))</f>
        <v>12</v>
      </c>
      <c r="AL906" s="48" t="s">
        <v>114</v>
      </c>
      <c r="AM906" s="13" t="s">
        <v>134</v>
      </c>
      <c r="AN906" s="13" t="s">
        <v>2350</v>
      </c>
      <c r="AP906" s="39">
        <v>46224</v>
      </c>
      <c r="AR906" s="13" t="s">
        <v>2351</v>
      </c>
      <c r="AS906" s="31">
        <v>46224</v>
      </c>
      <c r="AU906" s="31">
        <v>46276</v>
      </c>
      <c r="AV906" s="13" t="s">
        <v>865</v>
      </c>
      <c r="AW906" s="39">
        <v>46276</v>
      </c>
      <c r="AX906" s="13" t="str">
        <f>IF(ISNUMBER(SEARCH("cancel",#REF!)),"Cancelled",IF(AND(AS906&lt;&gt;"",AU906&lt;&gt;"",AW906&lt;&gt;""),"Closed","Open"))</f>
        <v>Closed</v>
      </c>
      <c r="AY906" s="15" t="str">
        <f t="shared" si="42"/>
        <v>All dates received</v>
      </c>
      <c r="AZ906" s="13" t="s">
        <v>3047</v>
      </c>
      <c r="BA906" s="13" t="s">
        <v>3057</v>
      </c>
      <c r="BB906" s="13" t="s">
        <v>3058</v>
      </c>
      <c r="BC906" s="13" t="s">
        <v>3295</v>
      </c>
      <c r="BD906" s="13">
        <f>IF($AX906="Cancelled","",IFERROR(IF(OR(AS906="",AJ906=""),"",(AJ906+Variables!$B$18-AS906)),""))</f>
        <v>5</v>
      </c>
      <c r="BE906" s="13">
        <f>IF($AX906="Cancelled","",IFERROR(IF(OR(AW906="",AS906=""),"",(AS906+Variables!$B$19)-AW906),""))</f>
        <v>-47</v>
      </c>
      <c r="BF906" s="44">
        <f>IF($AX906="Cancelled","",IFERROR(W906*INDEX(Variables!$B$7:$D$7,IFERROR(MATCH(IF($B906="Robusta","Robusta",(IF($B906="","Arabica",$B906))&amp;" - "&amp;(IF($C906="","Commercial",$C906))),Variables!$B$1:$D$1,0),1))*(BE906/365),""))</f>
        <v>-3276.3872412650239</v>
      </c>
      <c r="BG906" s="44">
        <f>IF($AX906="Cancelled","",IFERROR((W906*INDEX(Variables!$B$7:$D$7,IFERROR(MATCH(IF($B906="Robusta","Robusta",(IF($B906="","Arabica",$B906))&amp;" - "&amp;(IF($C906="","Commercial",$C906))),Variables!$B$1:$D$1,0),1))*IFERROR(IF(AB906="","",(AVERAGE(E906:F906)-AB906)-Variables!$B$14),"")/365)+(L906/16.67*INDEX(Variables!$B$8:$D$8,IFERROR(MATCH(IF($B906="Robusta","Robusta",(IF($B906="","Arabica",$B906))&amp;" - "&amp;(IF($C906="","Commercial",$C906))),Variables!$B$1:$D$1,0),1))*IFERROR(IF(AB906="","",(AVERAGE(E906:F906)-AB906)-Variables!$B$14),""))+(W906*INDEX(Variables!$B$9:$D$9,IFERROR(MATCH(IF($B906="Robusta","Robusta",(IF($B906="","Arabica",$B906))&amp;" - "&amp;(IF($C906="","Commercial",$C906))),Variables!$B$1:$D$1,0),1))*IFERROR(IF(AB906="","",(AVERAGE(E906:F906)-AB906)-Variables!$B$14),"")/365),""))</f>
        <v>1364.0042819493501</v>
      </c>
      <c r="BH906" s="44">
        <f>IF($AX906="Cancelled","",IFERROR((W906*INDEX(Variables!$B$7:$D$7,IFERROR(MATCH(IF($B906="Robusta","Robusta",(IF($B906="","Arabica",$B906))&amp;" - "&amp;(IF($C906="","Commercial",$C906))),Variables!$B$1:$D$1,0),1))*AK906/365)+(L906/16.67*INDEX(Variables!$B$8:$D$8,IFERROR(MATCH(IF($B906="Robusta","Robusta",(IF($B906="","Arabica",$B906))&amp;" - "&amp;(IF($C906="","Commercial",$C906))),Variables!$B$1:$D$1,0),1))*AK906)+(W906*INDEX(Variables!$B$9:$D$9,IFERROR(MATCH(IF($B906="Robusta","Robusta",(IF($B906="","Arabica",$B906))&amp;" - "&amp;(IF($C906="","Commercial",$C906))),Variables!$B$1:$D$1,0),1))*AK906/365),""))</f>
        <v>1423.3088159471481</v>
      </c>
      <c r="BI906" s="44">
        <f>IF($AX906="Cancelled","",IFERROR((W906*INDEX(Variables!$B$7:$D$7,IFERROR(MATCH(IF($B906="Robusta","Robusta",(IF($B906="","Arabica",$B906))&amp;" - "&amp;(IF($C906="","Commercial",$C906))),Variables!$B$1:$D$1,0),1))*BD906/365)+(L906/16.67*INDEX(Variables!$B$8:$D$8,IFERROR(MATCH(IF($B906="Robusta","Robusta",(IF($B906="","Arabica",$B906))&amp;" - "&amp;(IF($C906="","Commercial",$C906))),Variables!$B$1:$D$1,0),1))*BD906)+(W906*INDEX(Variables!$B$9:$D$9,IFERROR(MATCH(IF($B906="Robusta","Robusta",(IF($B906="","Arabica",$B906))&amp;" - "&amp;(IF($C906="","Commercial",$C906))),Variables!$B$1:$D$1,0),1))*BD906/365),""))</f>
        <v>593.04533997797819</v>
      </c>
      <c r="BJ906" s="44">
        <f t="shared" si="44"/>
        <v>-21</v>
      </c>
      <c r="BK906" s="44">
        <f>IF($AX906="Cancelled","",IFERROR(IF(BJ906="","",(W906*INDEX(Variables!$B$7:$D$7,IFERROR(MATCH(IF($B906="Robusta","Robusta",(IF($B906="","Arabica",$B906))&amp;" - "&amp;(IF($C906="","Commercial",$C906))),Variables!$B$1:$D$1,0),1))*(BJ906/365))+(W906*INDEX(Variables!$B$9:$D$9,IFERROR(MATCH(IF($B906="Robusta","Robusta",(IF($B906="","Arabica",$B906))&amp;" - "&amp;(IF($C906="","Commercial",$C906))),Variables!$B$1:$D$1,0),1))*(BJ906/365))+(INDEX(Variables!$B$8:$D$8,IFERROR(MATCH(IF($B906="Robusta","Robusta",(IF($B906="","Arabica",$B906))&amp;" - "&amp;(IF($C906="","Commercial",$C906))),Variables!$B$1:$D$1,0),1))*L906/16.67)),""))</f>
        <v>-1434.790427907509</v>
      </c>
    </row>
    <row r="907" spans="1:63">
      <c r="A907" s="13" t="s">
        <v>103</v>
      </c>
      <c r="B907" s="13" t="s">
        <v>104</v>
      </c>
      <c r="C907" s="13" t="s">
        <v>105</v>
      </c>
      <c r="D907" s="31">
        <v>46073</v>
      </c>
      <c r="E907" s="31">
        <v>46204</v>
      </c>
      <c r="F907" s="31">
        <v>46234</v>
      </c>
      <c r="G907" s="13">
        <v>3787337</v>
      </c>
      <c r="J907" s="13" t="s">
        <v>2315</v>
      </c>
      <c r="K907" s="13">
        <v>5601</v>
      </c>
      <c r="L907" s="13">
        <v>640</v>
      </c>
      <c r="M907" s="13">
        <v>2</v>
      </c>
      <c r="N907" s="13" t="s">
        <v>2352</v>
      </c>
      <c r="O907" s="13" t="s">
        <v>538</v>
      </c>
      <c r="P907" s="13">
        <v>10080</v>
      </c>
      <c r="R907" s="13" t="s">
        <v>239</v>
      </c>
      <c r="S907" s="13" t="s">
        <v>553</v>
      </c>
      <c r="T907" s="13" t="s">
        <v>112</v>
      </c>
      <c r="U907" s="13" t="s">
        <v>113</v>
      </c>
      <c r="V907" s="23">
        <v>20</v>
      </c>
      <c r="W907" s="44">
        <f>IF($AX907="Cancelled","",IFERROR(((V907+INDEX(Variables!$B$6:$D$6,IFERROR(MATCH(IF($B907="Robusta","Robusta",(IF($B907="","Arabica",$B907))&amp;" - "&amp;(IF($C907="","Commercial",$C907))),Variables!$B$1:$D$1,0),1)))*22.0462)*(L907/16.67),""))</f>
        <v>263062.61154169164</v>
      </c>
      <c r="X907" s="55" t="s">
        <v>37</v>
      </c>
      <c r="Y907" s="13" t="str">
        <f>IF($AX907="Cancelled","",IF(X907="","",IFERROR(IF(INDEX(Variables!$B$38:$B$47,MATCH(X907,Variables!$A$38:$A$47,0))="Yes","Yes","No"),"No")))</f>
        <v>Yes</v>
      </c>
      <c r="Z907" s="58">
        <v>46213</v>
      </c>
      <c r="AB907" s="31">
        <v>46227</v>
      </c>
      <c r="AC907" s="13" t="str">
        <f t="shared" si="43"/>
        <v>Approved</v>
      </c>
      <c r="AF907" s="71">
        <v>46239</v>
      </c>
      <c r="AG907" s="37">
        <f>IF($AX907="Cancelled","",IFERROR(IF(F907="","",F907-Variables!$B$13),""))</f>
        <v>46219</v>
      </c>
      <c r="AH907" s="13">
        <f>IF($AX907="Cancelled","",IFERROR(IF(AB907="","",(AVERAGE(E907:F907)-AB907)-Variables!$B$14),""))</f>
        <v>-38</v>
      </c>
      <c r="AJ907" s="47">
        <v>46244</v>
      </c>
      <c r="AK907" s="14">
        <f>IF($AX907="Cancelled","",IFERROR(IF(AJ907="","",IF(AND(AB907="",AF907=""),"",IF(AF907&gt;AB907,AF907+Variables!$B$15+Variables!$B$16+Variables!$B$17-AJ907,AB907+Variables!$B$16+Variables!$B$17-AJ907))),""))</f>
        <v>10</v>
      </c>
      <c r="AL907" s="48" t="s">
        <v>114</v>
      </c>
      <c r="AM907" s="13" t="s">
        <v>134</v>
      </c>
      <c r="AN907" s="13" t="s">
        <v>2353</v>
      </c>
      <c r="AP907" s="39">
        <v>46256</v>
      </c>
      <c r="AR907" s="13" t="s">
        <v>2354</v>
      </c>
      <c r="AS907" s="31">
        <v>46256</v>
      </c>
      <c r="AU907" s="39">
        <v>46281</v>
      </c>
      <c r="AV907" s="13" t="s">
        <v>865</v>
      </c>
      <c r="AW907" s="39">
        <v>46281</v>
      </c>
      <c r="AX907" s="13" t="str">
        <f>IF(ISNUMBER(SEARCH("cancel",#REF!)),"Cancelled",IF(AND(AS907&lt;&gt;"",AU907&lt;&gt;"",AW907&lt;&gt;""),"Closed","Open"))</f>
        <v>Closed</v>
      </c>
      <c r="AY907" s="15" t="str">
        <f t="shared" si="42"/>
        <v>All dates received</v>
      </c>
      <c r="AZ907" s="13" t="s">
        <v>3047</v>
      </c>
      <c r="BA907" s="13" t="s">
        <v>3051</v>
      </c>
      <c r="BB907" s="13" t="s">
        <v>3052</v>
      </c>
      <c r="BC907" s="13" t="s">
        <v>3292</v>
      </c>
      <c r="BD907" s="13">
        <f>IF($AX907="Cancelled","",IFERROR(IF(OR(AS907="",AJ907=""),"",(AJ907+Variables!$B$18-AS907)),""))</f>
        <v>3</v>
      </c>
      <c r="BE907" s="13">
        <f>IF($AX907="Cancelled","",IFERROR(IF(OR(AW907="",AS907=""),"",(AS907+Variables!$B$19)-AW907),""))</f>
        <v>-20</v>
      </c>
      <c r="BF907" s="44">
        <f>IF($AX907="Cancelled","",IFERROR(W907*INDEX(Variables!$B$7:$D$7,IFERROR(MATCH(IF($B907="Robusta","Robusta",(IF($B907="","Arabica",$B907))&amp;" - "&amp;(IF($C907="","Commercial",$C907))),Variables!$B$1:$D$1,0),1))*(BE907/365),""))</f>
        <v>-929.47155780568039</v>
      </c>
      <c r="BG907" s="44">
        <f>IF($AX907="Cancelled","",IFERROR((W907*INDEX(Variables!$B$7:$D$7,IFERROR(MATCH(IF($B907="Robusta","Robusta",(IF($B907="","Arabica",$B907))&amp;" - "&amp;(IF($C907="","Commercial",$C907))),Variables!$B$1:$D$1,0),1))*IFERROR(IF(AB907="","",(AVERAGE(E907:F907)-AB907)-Variables!$B$14),"")/365)+(L907/16.67*INDEX(Variables!$B$8:$D$8,IFERROR(MATCH(IF($B907="Robusta","Robusta",(IF($B907="","Arabica",$B907))&amp;" - "&amp;(IF($C907="","Commercial",$C907))),Variables!$B$1:$D$1,0),1))*IFERROR(IF(AB907="","",(AVERAGE(E907:F907)-AB907)-Variables!$B$14),""))+(W907*INDEX(Variables!$B$9:$D$9,IFERROR(MATCH(IF($B907="Robusta","Robusta",(IF($B907="","Arabica",$B907))&amp;" - "&amp;(IF($C907="","Commercial",$C907))),Variables!$B$1:$D$1,0),1))*IFERROR(IF(AB907="","",(AVERAGE(E907:F907)-AB907)-Variables!$B$14),"")/365),""))</f>
        <v>-3004.7630558884234</v>
      </c>
      <c r="BH907" s="44">
        <f>IF($AX907="Cancelled","",IFERROR((W907*INDEX(Variables!$B$7:$D$7,IFERROR(MATCH(IF($B907="Robusta","Robusta",(IF($B907="","Arabica",$B907))&amp;" - "&amp;(IF($C907="","Commercial",$C907))),Variables!$B$1:$D$1,0),1))*AK907/365)+(L907/16.67*INDEX(Variables!$B$8:$D$8,IFERROR(MATCH(IF($B907="Robusta","Robusta",(IF($B907="","Arabica",$B907))&amp;" - "&amp;(IF($C907="","Commercial",$C907))),Variables!$B$1:$D$1,0),1))*AK907)+(W907*INDEX(Variables!$B$9:$D$9,IFERROR(MATCH(IF($B907="Robusta","Robusta",(IF($B907="","Arabica",$B907))&amp;" - "&amp;(IF($C907="","Commercial",$C907))),Variables!$B$1:$D$1,0),1))*AK907/365),""))</f>
        <v>790.72711997063777</v>
      </c>
      <c r="BI907" s="44">
        <f>IF($AX907="Cancelled","",IFERROR((W907*INDEX(Variables!$B$7:$D$7,IFERROR(MATCH(IF($B907="Robusta","Robusta",(IF($B907="","Arabica",$B907))&amp;" - "&amp;(IF($C907="","Commercial",$C907))),Variables!$B$1:$D$1,0),1))*BD907/365)+(L907/16.67*INDEX(Variables!$B$8:$D$8,IFERROR(MATCH(IF($B907="Robusta","Robusta",(IF($B907="","Arabica",$B907))&amp;" - "&amp;(IF($C907="","Commercial",$C907))),Variables!$B$1:$D$1,0),1))*BD907)+(W907*INDEX(Variables!$B$9:$D$9,IFERROR(MATCH(IF($B907="Robusta","Robusta",(IF($B907="","Arabica",$B907))&amp;" - "&amp;(IF($C907="","Commercial",$C907))),Variables!$B$1:$D$1,0),1))*BD907/365),""))</f>
        <v>237.2181359911913</v>
      </c>
      <c r="BJ907" s="44">
        <f t="shared" si="44"/>
        <v>-22</v>
      </c>
      <c r="BK907" s="44">
        <f>IF($AX907="Cancelled","",IFERROR(IF(BJ907="","",(W907*INDEX(Variables!$B$7:$D$7,IFERROR(MATCH(IF($B907="Robusta","Robusta",(IF($B907="","Arabica",$B907))&amp;" - "&amp;(IF($C907="","Commercial",$C907))),Variables!$B$1:$D$1,0),1))*(BJ907/365))+(W907*INDEX(Variables!$B$9:$D$9,IFERROR(MATCH(IF($B907="Robusta","Robusta",(IF($B907="","Arabica",$B907))&amp;" - "&amp;(IF($C907="","Commercial",$C907))),Variables!$B$1:$D$1,0),1))*(BJ907/365))+(INDEX(Variables!$B$8:$D$8,IFERROR(MATCH(IF($B907="Robusta","Robusta",(IF($B907="","Arabica",$B907))&amp;" - "&amp;(IF($C907="","Commercial",$C907))),Variables!$B$1:$D$1,0),1))*L907/16.67)),""))</f>
        <v>-1003.599663935403</v>
      </c>
    </row>
    <row r="908" spans="1:63">
      <c r="A908" s="13" t="s">
        <v>103</v>
      </c>
      <c r="B908" s="13" t="s">
        <v>104</v>
      </c>
      <c r="C908" s="13" t="s">
        <v>105</v>
      </c>
      <c r="D908" s="31">
        <v>46073</v>
      </c>
      <c r="E908" s="31">
        <v>46204</v>
      </c>
      <c r="F908" s="31">
        <v>46234</v>
      </c>
      <c r="G908" s="13">
        <v>3787337</v>
      </c>
      <c r="J908" s="13" t="s">
        <v>2315</v>
      </c>
      <c r="K908" s="13">
        <v>5601</v>
      </c>
      <c r="L908" s="13">
        <v>960</v>
      </c>
      <c r="M908" s="13">
        <v>3</v>
      </c>
      <c r="N908" s="13" t="s">
        <v>2352</v>
      </c>
      <c r="O908" s="13" t="s">
        <v>538</v>
      </c>
      <c r="P908" s="13">
        <v>10080</v>
      </c>
      <c r="R908" s="13" t="s">
        <v>239</v>
      </c>
      <c r="S908" s="13" t="s">
        <v>553</v>
      </c>
      <c r="T908" s="13" t="s">
        <v>112</v>
      </c>
      <c r="U908" s="13" t="s">
        <v>113</v>
      </c>
      <c r="V908" s="23">
        <v>20</v>
      </c>
      <c r="W908" s="44">
        <f>IF($AX908="Cancelled","",IFERROR(((V908+INDEX(Variables!$B$6:$D$6,IFERROR(MATCH(IF($B908="Robusta","Robusta",(IF($B908="","Arabica",$B908))&amp;" - "&amp;(IF($C908="","Commercial",$C908))),Variables!$B$1:$D$1,0),1)))*22.0462)*(L908/16.67),""))</f>
        <v>394593.91731253744</v>
      </c>
      <c r="X908" s="55" t="s">
        <v>37</v>
      </c>
      <c r="Y908" s="13" t="str">
        <f>IF($AX908="Cancelled","",IF(X908="","",IFERROR(IF(INDEX(Variables!$B$38:$B$47,MATCH(X908,Variables!$A$38:$A$47,0))="Yes","Yes","No"),"No")))</f>
        <v>Yes</v>
      </c>
      <c r="Z908" s="58">
        <v>46213</v>
      </c>
      <c r="AB908" s="31">
        <v>46227</v>
      </c>
      <c r="AC908" s="13" t="str">
        <f t="shared" si="43"/>
        <v>Approved</v>
      </c>
      <c r="AF908" s="71">
        <v>46239</v>
      </c>
      <c r="AG908" s="37">
        <f>IF($AX908="Cancelled","",IFERROR(IF(F908="","",F908-Variables!$B$13),""))</f>
        <v>46219</v>
      </c>
      <c r="AH908" s="13">
        <f>IF($AX908="Cancelled","",IFERROR(IF(AB908="","",(AVERAGE(E908:F908)-AB908)-Variables!$B$14),""))</f>
        <v>-38</v>
      </c>
      <c r="AJ908" s="47">
        <v>46246</v>
      </c>
      <c r="AK908" s="14">
        <f>IF($AX908="Cancelled","",IFERROR(IF(AJ908="","",IF(AND(AB908="",AF908=""),"",IF(AF908&gt;AB908,AF908+Variables!$B$15+Variables!$B$16+Variables!$B$17-AJ908,AB908+Variables!$B$16+Variables!$B$17-AJ908))),""))</f>
        <v>8</v>
      </c>
      <c r="AL908" s="48" t="s">
        <v>114</v>
      </c>
      <c r="AM908" s="13" t="s">
        <v>134</v>
      </c>
      <c r="AN908" s="13" t="s">
        <v>2353</v>
      </c>
      <c r="AP908" s="39">
        <v>46256</v>
      </c>
      <c r="AR908" s="13" t="s">
        <v>2354</v>
      </c>
      <c r="AS908" s="31">
        <v>46256</v>
      </c>
      <c r="AU908" s="39">
        <v>46281</v>
      </c>
      <c r="AV908" s="13" t="s">
        <v>865</v>
      </c>
      <c r="AW908" s="39">
        <v>46281</v>
      </c>
      <c r="AX908" s="13" t="str">
        <f>IF(ISNUMBER(SEARCH("cancel",#REF!)),"Cancelled",IF(AND(AS908&lt;&gt;"",AU908&lt;&gt;"",AW908&lt;&gt;""),"Closed","Open"))</f>
        <v>Closed</v>
      </c>
      <c r="AY908" s="15" t="str">
        <f t="shared" si="42"/>
        <v>All dates received</v>
      </c>
      <c r="AZ908" s="13" t="s">
        <v>3047</v>
      </c>
      <c r="BA908" s="13" t="s">
        <v>3051</v>
      </c>
      <c r="BB908" s="13" t="s">
        <v>3052</v>
      </c>
      <c r="BC908" s="13" t="s">
        <v>3292</v>
      </c>
      <c r="BD908" s="13">
        <f>IF($AX908="Cancelled","",IFERROR(IF(OR(AS908="",AJ908=""),"",(AJ908+Variables!$B$18-AS908)),""))</f>
        <v>5</v>
      </c>
      <c r="BE908" s="13">
        <f>IF($AX908="Cancelled","",IFERROR(IF(OR(AW908="",AS908=""),"",(AS908+Variables!$B$19)-AW908),""))</f>
        <v>-20</v>
      </c>
      <c r="BF908" s="44">
        <f>IF($AX908="Cancelled","",IFERROR(W908*INDEX(Variables!$B$7:$D$7,IFERROR(MATCH(IF($B908="Robusta","Robusta",(IF($B908="","Arabica",$B908))&amp;" - "&amp;(IF($C908="","Commercial",$C908))),Variables!$B$1:$D$1,0),1))*(BE908/365),""))</f>
        <v>-1394.2073367085206</v>
      </c>
      <c r="BG908" s="44">
        <f>IF($AX908="Cancelled","",IFERROR((W908*INDEX(Variables!$B$7:$D$7,IFERROR(MATCH(IF($B908="Robusta","Robusta",(IF($B908="","Arabica",$B908))&amp;" - "&amp;(IF($C908="","Commercial",$C908))),Variables!$B$1:$D$1,0),1))*IFERROR(IF(AB908="","",(AVERAGE(E908:F908)-AB908)-Variables!$B$14),"")/365)+(L908/16.67*INDEX(Variables!$B$8:$D$8,IFERROR(MATCH(IF($B908="Robusta","Robusta",(IF($B908="","Arabica",$B908))&amp;" - "&amp;(IF($C908="","Commercial",$C908))),Variables!$B$1:$D$1,0),1))*IFERROR(IF(AB908="","",(AVERAGE(E908:F908)-AB908)-Variables!$B$14),""))+(W908*INDEX(Variables!$B$9:$D$9,IFERROR(MATCH(IF($B908="Robusta","Robusta",(IF($B908="","Arabica",$B908))&amp;" - "&amp;(IF($C908="","Commercial",$C908))),Variables!$B$1:$D$1,0),1))*IFERROR(IF(AB908="","",(AVERAGE(E908:F908)-AB908)-Variables!$B$14),"")/365),""))</f>
        <v>-4507.1445838326354</v>
      </c>
      <c r="BH908" s="44">
        <f>IF($AX908="Cancelled","",IFERROR((W908*INDEX(Variables!$B$7:$D$7,IFERROR(MATCH(IF($B908="Robusta","Robusta",(IF($B908="","Arabica",$B908))&amp;" - "&amp;(IF($C908="","Commercial",$C908))),Variables!$B$1:$D$1,0),1))*AK908/365)+(L908/16.67*INDEX(Variables!$B$8:$D$8,IFERROR(MATCH(IF($B908="Robusta","Robusta",(IF($B908="","Arabica",$B908))&amp;" - "&amp;(IF($C908="","Commercial",$C908))),Variables!$B$1:$D$1,0),1))*AK908)+(W908*INDEX(Variables!$B$9:$D$9,IFERROR(MATCH(IF($B908="Robusta","Robusta",(IF($B908="","Arabica",$B908))&amp;" - "&amp;(IF($C908="","Commercial",$C908))),Variables!$B$1:$D$1,0),1))*AK908/365),""))</f>
        <v>948.87254396476533</v>
      </c>
      <c r="BI908" s="44">
        <f>IF($AX908="Cancelled","",IFERROR((W908*INDEX(Variables!$B$7:$D$7,IFERROR(MATCH(IF($B908="Robusta","Robusta",(IF($B908="","Arabica",$B908))&amp;" - "&amp;(IF($C908="","Commercial",$C908))),Variables!$B$1:$D$1,0),1))*BD908/365)+(L908/16.67*INDEX(Variables!$B$8:$D$8,IFERROR(MATCH(IF($B908="Robusta","Robusta",(IF($B908="","Arabica",$B908))&amp;" - "&amp;(IF($C908="","Commercial",$C908))),Variables!$B$1:$D$1,0),1))*BD908)+(W908*INDEX(Variables!$B$9:$D$9,IFERROR(MATCH(IF($B908="Robusta","Robusta",(IF($B908="","Arabica",$B908))&amp;" - "&amp;(IF($C908="","Commercial",$C908))),Variables!$B$1:$D$1,0),1))*BD908/365),""))</f>
        <v>593.04533997797819</v>
      </c>
      <c r="BJ908" s="44">
        <f t="shared" si="44"/>
        <v>-22</v>
      </c>
      <c r="BK908" s="44">
        <f>IF($AX908="Cancelled","",IFERROR(IF(BJ908="","",(W908*INDEX(Variables!$B$7:$D$7,IFERROR(MATCH(IF($B908="Robusta","Robusta",(IF($B908="","Arabica",$B908))&amp;" - "&amp;(IF($C908="","Commercial",$C908))),Variables!$B$1:$D$1,0),1))*(BJ908/365))+(W908*INDEX(Variables!$B$9:$D$9,IFERROR(MATCH(IF($B908="Robusta","Robusta",(IF($B908="","Arabica",$B908))&amp;" - "&amp;(IF($C908="","Commercial",$C908))),Variables!$B$1:$D$1,0),1))*(BJ908/365))+(INDEX(Variables!$B$8:$D$8,IFERROR(MATCH(IF($B908="Robusta","Robusta",(IF($B908="","Arabica",$B908))&amp;" - "&amp;(IF($C908="","Commercial",$C908))),Variables!$B$1:$D$1,0),1))*L908/16.67)),""))</f>
        <v>-1505.3994959031047</v>
      </c>
    </row>
    <row r="909" spans="1:63">
      <c r="A909" s="13" t="s">
        <v>103</v>
      </c>
      <c r="B909" s="13" t="s">
        <v>104</v>
      </c>
      <c r="C909" s="13" t="s">
        <v>292</v>
      </c>
      <c r="D909" s="31">
        <v>46076</v>
      </c>
      <c r="E909" s="31">
        <v>46076</v>
      </c>
      <c r="F909" s="31">
        <v>46081</v>
      </c>
      <c r="G909" s="13">
        <v>3787338</v>
      </c>
      <c r="J909" s="13" t="s">
        <v>1746</v>
      </c>
      <c r="K909" s="13" t="s">
        <v>2355</v>
      </c>
      <c r="L909" s="13">
        <v>30</v>
      </c>
      <c r="M909" s="13">
        <v>0</v>
      </c>
      <c r="N909" s="13" t="s">
        <v>2356</v>
      </c>
      <c r="O909" s="13" t="s">
        <v>297</v>
      </c>
      <c r="P909" s="13">
        <v>10020</v>
      </c>
      <c r="R909" s="13" t="s">
        <v>384</v>
      </c>
      <c r="S909" s="13" t="s">
        <v>437</v>
      </c>
      <c r="T909" s="13" t="s">
        <v>438</v>
      </c>
      <c r="U909" s="13" t="s">
        <v>182</v>
      </c>
      <c r="V909" s="23">
        <v>195</v>
      </c>
      <c r="W909" s="44">
        <f>IF($AX909="Cancelled","",IFERROR(((V909+INDEX(Variables!$B$6:$D$6,IFERROR(MATCH(IF($B909="Robusta","Robusta",(IF($B909="","Arabica",$B909))&amp;" - "&amp;(IF($C909="","Commercial",$C909))),Variables!$B$1:$D$1,0),1)))*22.0462)*(L909/16.67),""))</f>
        <v>19274.224283143369</v>
      </c>
      <c r="Y909" s="13" t="str">
        <f>IF($AX909="Cancelled","",IF(X909="","",IFERROR(IF(INDEX(Variables!$B$38:$B$47,MATCH(X909,Variables!$A$38:$A$47,0))="Yes","Yes","No"),"No")))</f>
        <v/>
      </c>
      <c r="Z909" s="31"/>
      <c r="AC909" s="13" t="str">
        <f t="shared" si="43"/>
        <v/>
      </c>
      <c r="AF909" s="71">
        <v>46086</v>
      </c>
      <c r="AG909" s="31">
        <f>IF($AX909="Cancelled","",IFERROR(IF(F909="","",F909-Variables!$B$13),""))</f>
        <v>46066</v>
      </c>
      <c r="AH909" s="13" t="str">
        <f>IF($AX909="Cancelled","",IFERROR(IF(AB909="","",(AVERAGE(E909:F909)-AB909)-Variables!$B$14),""))</f>
        <v/>
      </c>
      <c r="AJ909" s="47">
        <v>46094</v>
      </c>
      <c r="AK909" s="14">
        <f>IF($AX909="Cancelled","",IFERROR(IF(AJ909="","",IF(AND(AB909="",AF909=""),"",IF(AF909&gt;AB909,AF909+Variables!$B$15+Variables!$B$16+Variables!$B$17-AJ909,AB909+Variables!$B$16+Variables!$B$17-AJ909))),""))</f>
        <v>7</v>
      </c>
      <c r="AL909" s="48" t="s">
        <v>114</v>
      </c>
      <c r="AM909" s="13" t="s">
        <v>115</v>
      </c>
      <c r="AN909" s="13" t="s">
        <v>1749</v>
      </c>
      <c r="AP909" s="39" t="e">
        <v>#N/A</v>
      </c>
      <c r="AR909" s="13">
        <v>267265120</v>
      </c>
      <c r="AS909" s="31">
        <v>46104</v>
      </c>
      <c r="AU909" s="31">
        <v>46113</v>
      </c>
      <c r="AV909" s="13" t="s">
        <v>865</v>
      </c>
      <c r="AW909" s="31">
        <v>46127</v>
      </c>
      <c r="AX909" s="13" t="str">
        <f>IF(ISNUMBER(SEARCH("cancel",#REF!)),"Cancelled",IF(AND(AS909&lt;&gt;"",AU909&lt;&gt;"",AW909&lt;&gt;""),"Closed","Open"))</f>
        <v>Closed</v>
      </c>
      <c r="AY909" s="15" t="str">
        <f t="shared" si="42"/>
        <v>All dates received</v>
      </c>
      <c r="BD909" s="13">
        <f>IF($AX909="Cancelled","",IFERROR(IF(OR(AS909="",AJ909=""),"",(AJ909+Variables!$B$18-AS909)),""))</f>
        <v>5</v>
      </c>
      <c r="BE909" s="13">
        <f>IF($AX909="Cancelled","",IFERROR(IF(OR(AW909="",AS909=""),"",(AS909+Variables!$B$19)-AW909),""))</f>
        <v>-18</v>
      </c>
      <c r="BF909" s="44">
        <f>IF($AX909="Cancelled","",IFERROR(W909*INDEX(Variables!$B$7:$D$7,IFERROR(MATCH(IF($B909="Robusta","Robusta",(IF($B909="","Arabica",$B909))&amp;" - "&amp;(IF($C909="","Commercial",$C909))),Variables!$B$1:$D$1,0),1))*(BE909/365),""))</f>
        <v>-61.290955976079815</v>
      </c>
      <c r="BG909" s="44" t="str">
        <f>IF($AX909="Cancelled","",IFERROR((W909*INDEX(Variables!$B$7:$D$7,IFERROR(MATCH(IF($B909="Robusta","Robusta",(IF($B909="","Arabica",$B909))&amp;" - "&amp;(IF($C909="","Commercial",$C909))),Variables!$B$1:$D$1,0),1))*IFERROR(IF(AB909="","",(AVERAGE(E909:F909)-AB909)-Variables!$B$14),"")/365)+(L909/16.67*INDEX(Variables!$B$8:$D$8,IFERROR(MATCH(IF($B909="Robusta","Robusta",(IF($B909="","Arabica",$B909))&amp;" - "&amp;(IF($C909="","Commercial",$C909))),Variables!$B$1:$D$1,0),1))*IFERROR(IF(AB909="","",(AVERAGE(E909:F909)-AB909)-Variables!$B$14),""))+(W909*INDEX(Variables!$B$9:$D$9,IFERROR(MATCH(IF($B909="Robusta","Robusta",(IF($B909="","Arabica",$B909))&amp;" - "&amp;(IF($C909="","Commercial",$C909))),Variables!$B$1:$D$1,0),1))*IFERROR(IF(AB909="","",(AVERAGE(E909:F909)-AB909)-Variables!$B$14),"")/365),""))</f>
        <v/>
      </c>
      <c r="BH909" s="44">
        <f>IF($AX909="Cancelled","",IFERROR((W909*INDEX(Variables!$B$7:$D$7,IFERROR(MATCH(IF($B909="Robusta","Robusta",(IF($B909="","Arabica",$B909))&amp;" - "&amp;(IF($C909="","Commercial",$C909))),Variables!$B$1:$D$1,0),1))*AK909/365)+(L909/16.67*INDEX(Variables!$B$8:$D$8,IFERROR(MATCH(IF($B909="Robusta","Robusta",(IF($B909="","Arabica",$B909))&amp;" - "&amp;(IF($C909="","Commercial",$C909))),Variables!$B$1:$D$1,0),1))*AK909)+(W909*INDEX(Variables!$B$9:$D$9,IFERROR(MATCH(IF($B909="Robusta","Robusta",(IF($B909="","Arabica",$B909))&amp;" - "&amp;(IF($C909="","Commercial",$C909))),Variables!$B$1:$D$1,0),1))*AK909/365),""))</f>
        <v>34.642655709642717</v>
      </c>
      <c r="BI909" s="44">
        <f>IF($AX909="Cancelled","",IFERROR((W909*INDEX(Variables!$B$7:$D$7,IFERROR(MATCH(IF($B909="Robusta","Robusta",(IF($B909="","Arabica",$B909))&amp;" - "&amp;(IF($C909="","Commercial",$C909))),Variables!$B$1:$D$1,0),1))*BD909/365)+(L909/16.67*INDEX(Variables!$B$8:$D$8,IFERROR(MATCH(IF($B909="Robusta","Robusta",(IF($B909="","Arabica",$B909))&amp;" - "&amp;(IF($C909="","Commercial",$C909))),Variables!$B$1:$D$1,0),1))*BD909)+(W909*INDEX(Variables!$B$9:$D$9,IFERROR(MATCH(IF($B909="Robusta","Robusta",(IF($B909="","Arabica",$B909))&amp;" - "&amp;(IF($C909="","Commercial",$C909))),Variables!$B$1:$D$1,0),1))*BD909/365),""))</f>
        <v>24.744754078316223</v>
      </c>
      <c r="BJ909" s="44">
        <f t="shared" si="44"/>
        <v>-23</v>
      </c>
      <c r="BK909" s="44">
        <f>IF($AX909="Cancelled","",IFERROR(IF(BJ909="","",(W909*INDEX(Variables!$B$7:$D$7,IFERROR(MATCH(IF($B909="Robusta","Robusta",(IF($B909="","Arabica",$B909))&amp;" - "&amp;(IF($C909="","Commercial",$C909))),Variables!$B$1:$D$1,0),1))*(BJ909/365))+(W909*INDEX(Variables!$B$9:$D$9,IFERROR(MATCH(IF($B909="Robusta","Robusta",(IF($B909="","Arabica",$B909))&amp;" - "&amp;(IF($C909="","Commercial",$C909))),Variables!$B$1:$D$1,0),1))*(BJ909/365))+(INDEX(Variables!$B$8:$D$8,IFERROR(MATCH(IF($B909="Robusta","Robusta",(IF($B909="","Arabica",$B909))&amp;" - "&amp;(IF($C909="","Commercial",$C909))),Variables!$B$1:$D$1,0),1))*L909/16.67)),""))</f>
        <v>-77.825868760254636</v>
      </c>
    </row>
    <row r="910" spans="1:63">
      <c r="A910" s="13" t="s">
        <v>103</v>
      </c>
      <c r="B910" s="13" t="s">
        <v>104</v>
      </c>
      <c r="C910" s="13" t="s">
        <v>292</v>
      </c>
      <c r="D910" s="31">
        <v>46076</v>
      </c>
      <c r="E910" s="31">
        <v>46076</v>
      </c>
      <c r="F910" s="31">
        <v>46081</v>
      </c>
      <c r="G910" s="13">
        <v>3787339</v>
      </c>
      <c r="J910" s="13" t="s">
        <v>1746</v>
      </c>
      <c r="K910" s="13" t="s">
        <v>2357</v>
      </c>
      <c r="L910" s="13">
        <v>37</v>
      </c>
      <c r="M910" s="13">
        <v>0</v>
      </c>
      <c r="N910" s="13" t="s">
        <v>2358</v>
      </c>
      <c r="O910" s="13" t="s">
        <v>304</v>
      </c>
      <c r="P910" s="13">
        <v>10010</v>
      </c>
      <c r="R910" s="13" t="s">
        <v>384</v>
      </c>
      <c r="S910" s="13" t="s">
        <v>437</v>
      </c>
      <c r="T910" s="13" t="s">
        <v>438</v>
      </c>
      <c r="U910" s="13" t="s">
        <v>182</v>
      </c>
      <c r="V910" s="23">
        <v>235</v>
      </c>
      <c r="W910" s="44">
        <f>IF($AX910="Cancelled","",IFERROR(((V910+INDEX(Variables!$B$6:$D$6,IFERROR(MATCH(IF($B910="Robusta","Robusta",(IF($B910="","Arabica",$B910))&amp;" - "&amp;(IF($C910="","Commercial",$C910))),Variables!$B$1:$D$1,0),1)))*22.0462)*(L910/16.67),""))</f>
        <v>25728.85438032393</v>
      </c>
      <c r="Y910" s="13" t="str">
        <f>IF($AX910="Cancelled","",IF(X910="","",IFERROR(IF(INDEX(Variables!$B$38:$B$47,MATCH(X910,Variables!$A$38:$A$47,0))="Yes","Yes","No"),"No")))</f>
        <v/>
      </c>
      <c r="Z910" s="31"/>
      <c r="AC910" s="13" t="str">
        <f t="shared" si="43"/>
        <v/>
      </c>
      <c r="AF910" s="71">
        <v>46088</v>
      </c>
      <c r="AG910" s="31">
        <f>IF($AX910="Cancelled","",IFERROR(IF(F910="","",F910-Variables!$B$13),""))</f>
        <v>46066</v>
      </c>
      <c r="AH910" s="13" t="str">
        <f>IF($AX910="Cancelled","",IFERROR(IF(AB910="","",(AVERAGE(E910:F910)-AB910)-Variables!$B$14),""))</f>
        <v/>
      </c>
      <c r="AJ910" s="47">
        <v>46094</v>
      </c>
      <c r="AK910" s="14">
        <f>IF($AX910="Cancelled","",IFERROR(IF(AJ910="","",IF(AND(AB910="",AF910=""),"",IF(AF910&gt;AB910,AF910+Variables!$B$15+Variables!$B$16+Variables!$B$17-AJ910,AB910+Variables!$B$16+Variables!$B$17-AJ910))),""))</f>
        <v>9</v>
      </c>
      <c r="AL910" s="48" t="s">
        <v>114</v>
      </c>
      <c r="AM910" s="13" t="s">
        <v>115</v>
      </c>
      <c r="AN910" s="13" t="s">
        <v>1749</v>
      </c>
      <c r="AP910" s="39" t="e">
        <v>#N/A</v>
      </c>
      <c r="AR910" s="13">
        <v>267265120</v>
      </c>
      <c r="AS910" s="31">
        <v>46104</v>
      </c>
      <c r="AU910" s="31">
        <v>46113</v>
      </c>
      <c r="AV910" s="13" t="s">
        <v>865</v>
      </c>
      <c r="AW910" s="31">
        <v>46127</v>
      </c>
      <c r="AX910" s="13" t="str">
        <f>IF(ISNUMBER(SEARCH("cancel",#REF!)),"Cancelled",IF(AND(AS910&lt;&gt;"",AU910&lt;&gt;"",AW910&lt;&gt;""),"Closed","Open"))</f>
        <v>Closed</v>
      </c>
      <c r="AY910" s="15" t="str">
        <f t="shared" si="42"/>
        <v>All dates received</v>
      </c>
      <c r="BD910" s="13">
        <f>IF($AX910="Cancelled","",IFERROR(IF(OR(AS910="",AJ910=""),"",(AJ910+Variables!$B$18-AS910)),""))</f>
        <v>5</v>
      </c>
      <c r="BE910" s="13">
        <f>IF($AX910="Cancelled","",IFERROR(IF(OR(AW910="",AS910=""),"",(AS910+Variables!$B$19)-AW910),""))</f>
        <v>-18</v>
      </c>
      <c r="BF910" s="44">
        <f>IF($AX910="Cancelled","",IFERROR(W910*INDEX(Variables!$B$7:$D$7,IFERROR(MATCH(IF($B910="Robusta","Robusta",(IF($B910="","Arabica",$B910))&amp;" - "&amp;(IF($C910="","Commercial",$C910))),Variables!$B$1:$D$1,0),1))*(BE910/365),""))</f>
        <v>-81.816318933185272</v>
      </c>
      <c r="BG910" s="44" t="str">
        <f>IF($AX910="Cancelled","",IFERROR((W910*INDEX(Variables!$B$7:$D$7,IFERROR(MATCH(IF($B910="Robusta","Robusta",(IF($B910="","Arabica",$B910))&amp;" - "&amp;(IF($C910="","Commercial",$C910))),Variables!$B$1:$D$1,0),1))*IFERROR(IF(AB910="","",(AVERAGE(E910:F910)-AB910)-Variables!$B$14),"")/365)+(L910/16.67*INDEX(Variables!$B$8:$D$8,IFERROR(MATCH(IF($B910="Robusta","Robusta",(IF($B910="","Arabica",$B910))&amp;" - "&amp;(IF($C910="","Commercial",$C910))),Variables!$B$1:$D$1,0),1))*IFERROR(IF(AB910="","",(AVERAGE(E910:F910)-AB910)-Variables!$B$14),""))+(W910*INDEX(Variables!$B$9:$D$9,IFERROR(MATCH(IF($B910="Robusta","Robusta",(IF($B910="","Arabica",$B910))&amp;" - "&amp;(IF($C910="","Commercial",$C910))),Variables!$B$1:$D$1,0),1))*IFERROR(IF(AB910="","",(AVERAGE(E910:F910)-AB910)-Variables!$B$14),"")/365),""))</f>
        <v/>
      </c>
      <c r="BH910" s="44">
        <f>IF($AX910="Cancelled","",IFERROR((W910*INDEX(Variables!$B$7:$D$7,IFERROR(MATCH(IF($B910="Robusta","Robusta",(IF($B910="","Arabica",$B910))&amp;" - "&amp;(IF($C910="","Commercial",$C910))),Variables!$B$1:$D$1,0),1))*AK910/365)+(L910/16.67*INDEX(Variables!$B$8:$D$8,IFERROR(MATCH(IF($B910="Robusta","Robusta",(IF($B910="","Arabica",$B910))&amp;" - "&amp;(IF($C910="","Commercial",$C910))),Variables!$B$1:$D$1,0),1))*AK910)+(W910*INDEX(Variables!$B$9:$D$9,IFERROR(MATCH(IF($B910="Robusta","Robusta",(IF($B910="","Arabica",$B910))&amp;" - "&amp;(IF($C910="","Commercial",$C910))),Variables!$B$1:$D$1,0),1))*AK910/365),""))</f>
        <v>58.08554458937968</v>
      </c>
      <c r="BI910" s="44">
        <f>IF($AX910="Cancelled","",IFERROR((W910*INDEX(Variables!$B$7:$D$7,IFERROR(MATCH(IF($B910="Robusta","Robusta",(IF($B910="","Arabica",$B910))&amp;" - "&amp;(IF($C910="","Commercial",$C910))),Variables!$B$1:$D$1,0),1))*BD910/365)+(L910/16.67*INDEX(Variables!$B$8:$D$8,IFERROR(MATCH(IF($B910="Robusta","Robusta",(IF($B910="","Arabica",$B910))&amp;" - "&amp;(IF($C910="","Commercial",$C910))),Variables!$B$1:$D$1,0),1))*BD910)+(W910*INDEX(Variables!$B$9:$D$9,IFERROR(MATCH(IF($B910="Robusta","Robusta",(IF($B910="","Arabica",$B910))&amp;" - "&amp;(IF($C910="","Commercial",$C910))),Variables!$B$1:$D$1,0),1))*BD910/365),""))</f>
        <v>32.269746994099826</v>
      </c>
      <c r="BJ910" s="44">
        <f t="shared" si="44"/>
        <v>-23</v>
      </c>
      <c r="BK910" s="44">
        <f>IF($AX910="Cancelled","",IFERROR(IF(BJ910="","",(W910*INDEX(Variables!$B$7:$D$7,IFERROR(MATCH(IF($B910="Robusta","Robusta",(IF($B910="","Arabica",$B910))&amp;" - "&amp;(IF($C910="","Commercial",$C910))),Variables!$B$1:$D$1,0),1))*(BJ910/365))+(W910*INDEX(Variables!$B$9:$D$9,IFERROR(MATCH(IF($B910="Robusta","Robusta",(IF($B910="","Arabica",$B910))&amp;" - "&amp;(IF($C910="","Commercial",$C910))),Variables!$B$1:$D$1,0),1))*(BJ910/365))+(INDEX(Variables!$B$8:$D$8,IFERROR(MATCH(IF($B910="Robusta","Robusta",(IF($B910="","Arabica",$B910))&amp;" - "&amp;(IF($C910="","Commercial",$C910))),Variables!$B$1:$D$1,0),1))*L910/16.67)),""))</f>
        <v>-104.0408361728592</v>
      </c>
    </row>
    <row r="911" spans="1:63">
      <c r="A911" s="13" t="s">
        <v>103</v>
      </c>
      <c r="B911" s="13" t="s">
        <v>104</v>
      </c>
      <c r="C911" s="13" t="s">
        <v>105</v>
      </c>
      <c r="D911" s="31">
        <v>46076</v>
      </c>
      <c r="E911" s="31">
        <v>46143</v>
      </c>
      <c r="F911" s="31">
        <v>46173</v>
      </c>
      <c r="G911" s="13">
        <v>3787340</v>
      </c>
      <c r="J911" s="13" t="s">
        <v>118</v>
      </c>
      <c r="K911" s="13">
        <v>5549</v>
      </c>
      <c r="L911" s="13">
        <v>1440</v>
      </c>
      <c r="M911" s="13">
        <v>4</v>
      </c>
      <c r="N911" s="13" t="s">
        <v>2359</v>
      </c>
      <c r="O911" s="13" t="s">
        <v>179</v>
      </c>
      <c r="P911" s="13">
        <v>10110</v>
      </c>
      <c r="Q911" s="13" t="s">
        <v>745</v>
      </c>
      <c r="R911" s="13" t="s">
        <v>122</v>
      </c>
      <c r="S911" s="13" t="s">
        <v>167</v>
      </c>
      <c r="T911" s="13" t="s">
        <v>154</v>
      </c>
      <c r="U911" s="13" t="s">
        <v>125</v>
      </c>
      <c r="V911" s="23">
        <v>19</v>
      </c>
      <c r="W911" s="44">
        <f>IF($AX911="Cancelled","",IFERROR(((V911+INDEX(Variables!$B$6:$D$6,IFERROR(MATCH(IF($B911="Robusta","Robusta",(IF($B911="","Arabica",$B911))&amp;" - "&amp;(IF($C911="","Commercial",$C911))),Variables!$B$1:$D$1,0),1)))*22.0462)*(L911/16.67),""))</f>
        <v>589986.46517096576</v>
      </c>
      <c r="X911" s="55" t="s">
        <v>37</v>
      </c>
      <c r="Y911" s="13" t="str">
        <f>IF($AX911="Cancelled","",IF(X911="","",IFERROR(IF(INDEX(Variables!$B$38:$B$47,MATCH(X911,Variables!$A$38:$A$47,0))="Yes","Yes","No"),"No")))</f>
        <v>Yes</v>
      </c>
      <c r="Z911" s="58">
        <v>46108</v>
      </c>
      <c r="AB911" s="31">
        <v>46127</v>
      </c>
      <c r="AC911" s="13" t="str">
        <f t="shared" si="43"/>
        <v>Approved</v>
      </c>
      <c r="AF911" s="71">
        <v>46183</v>
      </c>
      <c r="AG911" s="37">
        <f>IF($AX911="Cancelled","",IFERROR(IF(F911="","",F911-Variables!$B$13),""))</f>
        <v>46158</v>
      </c>
      <c r="AH911" s="13">
        <f>IF($AX911="Cancelled","",IFERROR(IF(AB911="","",(AVERAGE(E911:F911)-AB911)-Variables!$B$14),""))</f>
        <v>1</v>
      </c>
      <c r="AJ911" s="47">
        <v>46185</v>
      </c>
      <c r="AK911" s="14">
        <f>IF($AX911="Cancelled","",IFERROR(IF(AJ911="","",IF(AND(AB911="",AF911=""),"",IF(AF911&gt;AB911,AF911+Variables!$B$15+Variables!$B$16+Variables!$B$17-AJ911,AB911+Variables!$B$16+Variables!$B$17-AJ911))),""))</f>
        <v>13</v>
      </c>
      <c r="AL911" s="48" t="s">
        <v>114</v>
      </c>
      <c r="AM911" s="13" t="s">
        <v>168</v>
      </c>
      <c r="AN911" s="13" t="s">
        <v>2360</v>
      </c>
      <c r="AP911" s="39">
        <v>46201</v>
      </c>
      <c r="AR911" s="13" t="s">
        <v>2361</v>
      </c>
      <c r="AS911" s="31">
        <v>46201</v>
      </c>
      <c r="AU911" s="31">
        <v>46273</v>
      </c>
      <c r="AV911" s="13" t="e">
        <v>#REF!</v>
      </c>
      <c r="AW911" s="31">
        <v>46273</v>
      </c>
      <c r="AX911" s="13" t="str">
        <f>IF(ISNUMBER(SEARCH("cancel",#REF!)),"Cancelled",IF(AND(AS911&lt;&gt;"",AU911&lt;&gt;"",AW911&lt;&gt;""),"Closed","Open"))</f>
        <v>Closed</v>
      </c>
      <c r="AY911" s="15" t="str">
        <f t="shared" ref="AY911:AY960" si="45">IF($AX911="Cancelled","",IF(AND(AS911&lt;&gt;"",AU911&lt;&gt;"",AW911&lt;&gt;""),"All dates received",_xlfn.TEXTJOIN(" and ",TRUE(),IF(AS911="","No sailing date",""),IF(AU911="","No shipping advice sent",""),IF(AW911="","No docs dispatch date",""))))</f>
        <v>All dates received</v>
      </c>
      <c r="BD911" s="13">
        <f>IF($AX911="Cancelled","",IFERROR(IF(OR(AS911="",AJ911=""),"",(AJ911+Variables!$B$18-AS911)),""))</f>
        <v>-1</v>
      </c>
      <c r="BE911" s="13">
        <f>IF($AX911="Cancelled","",IFERROR(IF(OR(AW911="",AS911=""),"",(AS911+Variables!$B$19)-AW911),""))</f>
        <v>-67</v>
      </c>
      <c r="BF911" s="44">
        <f>IF($AX911="Cancelled","",IFERROR(W911*INDEX(Variables!$B$7:$D$7,IFERROR(MATCH(IF($B911="Robusta","Robusta",(IF($B911="","Arabica",$B911))&amp;" - "&amp;(IF($C911="","Commercial",$C911))),Variables!$B$1:$D$1,0),1))*(BE911/365),""))</f>
        <v>-6983.3503873368918</v>
      </c>
      <c r="BG911" s="44">
        <f>IF($AX911="Cancelled","",IFERROR((W911*INDEX(Variables!$B$7:$D$7,IFERROR(MATCH(IF($B911="Robusta","Robusta",(IF($B911="","Arabica",$B911))&amp;" - "&amp;(IF($C911="","Commercial",$C911))),Variables!$B$1:$D$1,0),1))*IFERROR(IF(AB911="","",(AVERAGE(E911:F911)-AB911)-Variables!$B$14),"")/365)+(L911/16.67*INDEX(Variables!$B$8:$D$8,IFERROR(MATCH(IF($B911="Robusta","Robusta",(IF($B911="","Arabica",$B911))&amp;" - "&amp;(IF($C911="","Commercial",$C911))),Variables!$B$1:$D$1,0),1))*IFERROR(IF(AB911="","",(AVERAGE(E911:F911)-AB911)-Variables!$B$14),""))+(W911*INDEX(Variables!$B$9:$D$9,IFERROR(MATCH(IF($B911="Robusta","Robusta",(IF($B911="","Arabica",$B911))&amp;" - "&amp;(IF($C911="","Commercial",$C911))),Variables!$B$1:$D$1,0),1))*IFERROR(IF(AB911="","",(AVERAGE(E911:F911)-AB911)-Variables!$B$14),"")/365),""))</f>
        <v>177.57282463820241</v>
      </c>
      <c r="BH911" s="44">
        <f>IF($AX911="Cancelled","",IFERROR((W911*INDEX(Variables!$B$7:$D$7,IFERROR(MATCH(IF($B911="Robusta","Robusta",(IF($B911="","Arabica",$B911))&amp;" - "&amp;(IF($C911="","Commercial",$C911))),Variables!$B$1:$D$1,0),1))*AK911/365)+(L911/16.67*INDEX(Variables!$B$8:$D$8,IFERROR(MATCH(IF($B911="Robusta","Robusta",(IF($B911="","Arabica",$B911))&amp;" - "&amp;(IF($C911="","Commercial",$C911))),Variables!$B$1:$D$1,0),1))*AK911)+(W911*INDEX(Variables!$B$9:$D$9,IFERROR(MATCH(IF($B911="Robusta","Robusta",(IF($B911="","Arabica",$B911))&amp;" - "&amp;(IF($C911="","Commercial",$C911))),Variables!$B$1:$D$1,0),1))*AK911/365),""))</f>
        <v>2308.4467202966316</v>
      </c>
      <c r="BI911" s="44">
        <f>IF($AX911="Cancelled","",IFERROR((W911*INDEX(Variables!$B$7:$D$7,IFERROR(MATCH(IF($B911="Robusta","Robusta",(IF($B911="","Arabica",$B911))&amp;" - "&amp;(IF($C911="","Commercial",$C911))),Variables!$B$1:$D$1,0),1))*BD911/365)+(L911/16.67*INDEX(Variables!$B$8:$D$8,IFERROR(MATCH(IF($B911="Robusta","Robusta",(IF($B911="","Arabica",$B911))&amp;" - "&amp;(IF($C911="","Commercial",$C911))),Variables!$B$1:$D$1,0),1))*BD911)+(W911*INDEX(Variables!$B$9:$D$9,IFERROR(MATCH(IF($B911="Robusta","Robusta",(IF($B911="","Arabica",$B911))&amp;" - "&amp;(IF($C911="","Commercial",$C911))),Variables!$B$1:$D$1,0),1))*BD911/365),""))</f>
        <v>-177.57282463820241</v>
      </c>
      <c r="BJ911" s="44">
        <f t="shared" si="44"/>
        <v>-28</v>
      </c>
      <c r="BK911" s="44">
        <f>IF($AX911="Cancelled","",IFERROR(IF(BJ911="","",(W911*INDEX(Variables!$B$7:$D$7,IFERROR(MATCH(IF($B911="Robusta","Robusta",(IF($B911="","Arabica",$B911))&amp;" - "&amp;(IF($C911="","Commercial",$C911))),Variables!$B$1:$D$1,0),1))*(BJ911/365))+(W911*INDEX(Variables!$B$9:$D$9,IFERROR(MATCH(IF($B911="Robusta","Robusta",(IF($B911="","Arabica",$B911))&amp;" - "&amp;(IF($C911="","Commercial",$C911))),Variables!$B$1:$D$1,0),1))*(BJ911/365))+(INDEX(Variables!$B$8:$D$8,IFERROR(MATCH(IF($B911="Robusta","Robusta",(IF($B911="","Arabica",$B911))&amp;" - "&amp;(IF($C911="","Commercial",$C911))),Variables!$B$1:$D$1,0),1))*L911/16.67)),""))</f>
        <v>-2884.0390898696674</v>
      </c>
    </row>
    <row r="912" spans="1:63">
      <c r="A912" s="13" t="s">
        <v>103</v>
      </c>
      <c r="B912" s="13" t="s">
        <v>104</v>
      </c>
      <c r="C912" s="13" t="s">
        <v>105</v>
      </c>
      <c r="D912" s="31">
        <v>46076</v>
      </c>
      <c r="E912" s="31">
        <v>46174</v>
      </c>
      <c r="F912" s="31">
        <v>46203</v>
      </c>
      <c r="G912" s="13">
        <v>3787341</v>
      </c>
      <c r="J912" s="13" t="s">
        <v>118</v>
      </c>
      <c r="K912" s="13">
        <v>5582</v>
      </c>
      <c r="L912" s="13">
        <v>1440</v>
      </c>
      <c r="M912" s="13">
        <v>4</v>
      </c>
      <c r="N912" s="13" t="s">
        <v>2359</v>
      </c>
      <c r="O912" s="13" t="s">
        <v>179</v>
      </c>
      <c r="P912" s="13">
        <v>10110</v>
      </c>
      <c r="Q912" s="13" t="s">
        <v>745</v>
      </c>
      <c r="R912" s="13" t="s">
        <v>122</v>
      </c>
      <c r="S912" s="13" t="s">
        <v>167</v>
      </c>
      <c r="T912" s="13" t="s">
        <v>155</v>
      </c>
      <c r="U912" s="13" t="s">
        <v>125</v>
      </c>
      <c r="V912" s="23">
        <v>19</v>
      </c>
      <c r="W912" s="44">
        <f>IF($AX912="Cancelled","",IFERROR(((V912+INDEX(Variables!$B$6:$D$6,IFERROR(MATCH(IF($B912="Robusta","Robusta",(IF($B912="","Arabica",$B912))&amp;" - "&amp;(IF($C912="","Commercial",$C912))),Variables!$B$1:$D$1,0),1)))*22.0462)*(L912/16.67),""))</f>
        <v>589986.46517096576</v>
      </c>
      <c r="X912" s="55" t="s">
        <v>37</v>
      </c>
      <c r="Y912" s="13" t="str">
        <f>IF($AX912="Cancelled","",IF(X912="","",IFERROR(IF(INDEX(Variables!$B$38:$B$47,MATCH(X912,Variables!$A$38:$A$47,0))="Yes","Yes","No"),"No")))</f>
        <v>Yes</v>
      </c>
      <c r="Z912" s="58">
        <v>46133</v>
      </c>
      <c r="AB912" s="31">
        <v>46148</v>
      </c>
      <c r="AC912" s="13" t="str">
        <f t="shared" si="43"/>
        <v>Approved</v>
      </c>
      <c r="AF912" s="71">
        <v>46219</v>
      </c>
      <c r="AG912" s="37">
        <f>IF($AX912="Cancelled","",IFERROR(IF(F912="","",F912-Variables!$B$13),""))</f>
        <v>46188</v>
      </c>
      <c r="AH912" s="13">
        <f>IF($AX912="Cancelled","",IFERROR(IF(AB912="","",(AVERAGE(E912:F912)-AB912)-Variables!$B$14),""))</f>
        <v>10.5</v>
      </c>
      <c r="AJ912" s="47">
        <v>46220</v>
      </c>
      <c r="AK912" s="14">
        <f>IF($AX912="Cancelled","",IFERROR(IF(AJ912="","",IF(AND(AB912="",AF912=""),"",IF(AF912&gt;AB912,AF912+Variables!$B$15+Variables!$B$16+Variables!$B$17-AJ912,AB912+Variables!$B$16+Variables!$B$17-AJ912))),""))</f>
        <v>14</v>
      </c>
      <c r="AL912" s="48" t="s">
        <v>114</v>
      </c>
      <c r="AM912" s="13" t="s">
        <v>168</v>
      </c>
      <c r="AN912" s="13" t="s">
        <v>2362</v>
      </c>
      <c r="AP912" s="39">
        <v>46227</v>
      </c>
      <c r="AR912" s="13" t="s">
        <v>2363</v>
      </c>
      <c r="AS912" s="31">
        <v>46227</v>
      </c>
      <c r="AU912" s="31">
        <v>46273</v>
      </c>
      <c r="AV912" s="13" t="s">
        <v>865</v>
      </c>
      <c r="AW912" s="39">
        <v>46273</v>
      </c>
      <c r="AX912" s="13" t="str">
        <f>IF(ISNUMBER(SEARCH("cancel",#REF!)),"Cancelled",IF(AND(AS912&lt;&gt;"",AU912&lt;&gt;"",AW912&lt;&gt;""),"Closed","Open"))</f>
        <v>Closed</v>
      </c>
      <c r="AY912" s="15" t="str">
        <f t="shared" si="45"/>
        <v>All dates received</v>
      </c>
      <c r="AZ912" s="13" t="s">
        <v>3047</v>
      </c>
      <c r="BA912" s="13" t="s">
        <v>3051</v>
      </c>
      <c r="BB912" s="13" t="s">
        <v>3052</v>
      </c>
      <c r="BC912" s="13" t="s">
        <v>3292</v>
      </c>
      <c r="BD912" s="13">
        <f>IF($AX912="Cancelled","",IFERROR(IF(OR(AS912="",AJ912=""),"",(AJ912+Variables!$B$18-AS912)),""))</f>
        <v>8</v>
      </c>
      <c r="BE912" s="13">
        <f>IF($AX912="Cancelled","",IFERROR(IF(OR(AW912="",AS912=""),"",(AS912+Variables!$B$19)-AW912),""))</f>
        <v>-41</v>
      </c>
      <c r="BF912" s="44">
        <f>IF($AX912="Cancelled","",IFERROR(W912*INDEX(Variables!$B$7:$D$7,IFERROR(MATCH(IF($B912="Robusta","Robusta",(IF($B912="","Arabica",$B912))&amp;" - "&amp;(IF($C912="","Commercial",$C912))),Variables!$B$1:$D$1,0),1))*(BE912/365),""))</f>
        <v>-4273.3935206091428</v>
      </c>
      <c r="BG912" s="44">
        <f>IF($AX912="Cancelled","",IFERROR((W912*INDEX(Variables!$B$7:$D$7,IFERROR(MATCH(IF($B912="Robusta","Robusta",(IF($B912="","Arabica",$B912))&amp;" - "&amp;(IF($C912="","Commercial",$C912))),Variables!$B$1:$D$1,0),1))*IFERROR(IF(AB912="","",(AVERAGE(E912:F912)-AB912)-Variables!$B$14),"")/365)+(L912/16.67*INDEX(Variables!$B$8:$D$8,IFERROR(MATCH(IF($B912="Robusta","Robusta",(IF($B912="","Arabica",$B912))&amp;" - "&amp;(IF($C912="","Commercial",$C912))),Variables!$B$1:$D$1,0),1))*IFERROR(IF(AB912="","",(AVERAGE(E912:F912)-AB912)-Variables!$B$14),""))+(W912*INDEX(Variables!$B$9:$D$9,IFERROR(MATCH(IF($B912="Robusta","Robusta",(IF($B912="","Arabica",$B912))&amp;" - "&amp;(IF($C912="","Commercial",$C912))),Variables!$B$1:$D$1,0),1))*IFERROR(IF(AB912="","",(AVERAGE(E912:F912)-AB912)-Variables!$B$14),"")/365),""))</f>
        <v>1864.5146587011252</v>
      </c>
      <c r="BH912" s="44">
        <f>IF($AX912="Cancelled","",IFERROR((W912*INDEX(Variables!$B$7:$D$7,IFERROR(MATCH(IF($B912="Robusta","Robusta",(IF($B912="","Arabica",$B912))&amp;" - "&amp;(IF($C912="","Commercial",$C912))),Variables!$B$1:$D$1,0),1))*AK912/365)+(L912/16.67*INDEX(Variables!$B$8:$D$8,IFERROR(MATCH(IF($B912="Robusta","Robusta",(IF($B912="","Arabica",$B912))&amp;" - "&amp;(IF($C912="","Commercial",$C912))),Variables!$B$1:$D$1,0),1))*AK912)+(W912*INDEX(Variables!$B$9:$D$9,IFERROR(MATCH(IF($B912="Robusta","Robusta",(IF($B912="","Arabica",$B912))&amp;" - "&amp;(IF($C912="","Commercial",$C912))),Variables!$B$1:$D$1,0),1))*AK912/365),""))</f>
        <v>2486.0195449348334</v>
      </c>
      <c r="BI912" s="44">
        <f>IF($AX912="Cancelled","",IFERROR((W912*INDEX(Variables!$B$7:$D$7,IFERROR(MATCH(IF($B912="Robusta","Robusta",(IF($B912="","Arabica",$B912))&amp;" - "&amp;(IF($C912="","Commercial",$C912))),Variables!$B$1:$D$1,0),1))*BD912/365)+(L912/16.67*INDEX(Variables!$B$8:$D$8,IFERROR(MATCH(IF($B912="Robusta","Robusta",(IF($B912="","Arabica",$B912))&amp;" - "&amp;(IF($C912="","Commercial",$C912))),Variables!$B$1:$D$1,0),1))*BD912)+(W912*INDEX(Variables!$B$9:$D$9,IFERROR(MATCH(IF($B912="Robusta","Robusta",(IF($B912="","Arabica",$B912))&amp;" - "&amp;(IF($C912="","Commercial",$C912))),Variables!$B$1:$D$1,0),1))*BD912/365),""))</f>
        <v>1420.5825971056192</v>
      </c>
      <c r="BJ912" s="44">
        <f t="shared" si="44"/>
        <v>-24</v>
      </c>
      <c r="BK912" s="44">
        <f>IF($AX912="Cancelled","",IFERROR(IF(BJ912="","",(W912*INDEX(Variables!$B$7:$D$7,IFERROR(MATCH(IF($B912="Robusta","Robusta",(IF($B912="","Arabica",$B912))&amp;" - "&amp;(IF($C912="","Commercial",$C912))),Variables!$B$1:$D$1,0),1))*(BJ912/365))+(W912*INDEX(Variables!$B$9:$D$9,IFERROR(MATCH(IF($B912="Robusta","Robusta",(IF($B912="","Arabica",$B912))&amp;" - "&amp;(IF($C912="","Commercial",$C912))),Variables!$B$1:$D$1,0),1))*(BJ912/365))+(INDEX(Variables!$B$8:$D$8,IFERROR(MATCH(IF($B912="Robusta","Robusta",(IF($B912="","Arabica",$B912))&amp;" - "&amp;(IF($C912="","Commercial",$C912))),Variables!$B$1:$D$1,0),1))*L912/16.67)),""))</f>
        <v>-2461.7477913168568</v>
      </c>
    </row>
    <row r="913" spans="1:63">
      <c r="A913" s="13" t="s">
        <v>103</v>
      </c>
      <c r="B913" s="13" t="s">
        <v>104</v>
      </c>
      <c r="C913" s="13" t="s">
        <v>292</v>
      </c>
      <c r="D913" s="31">
        <v>46077</v>
      </c>
      <c r="E913" s="31">
        <v>46082</v>
      </c>
      <c r="F913" s="31">
        <v>46112</v>
      </c>
      <c r="G913" s="13">
        <v>3787342</v>
      </c>
      <c r="J913" s="13" t="s">
        <v>447</v>
      </c>
      <c r="K913" s="13" t="s">
        <v>2364</v>
      </c>
      <c r="L913" s="13">
        <v>10</v>
      </c>
      <c r="M913" s="13">
        <v>0</v>
      </c>
      <c r="N913" s="13" t="s">
        <v>2365</v>
      </c>
      <c r="O913" s="13" t="s">
        <v>576</v>
      </c>
      <c r="P913" s="13">
        <v>10020</v>
      </c>
      <c r="R913" s="13" t="s">
        <v>239</v>
      </c>
      <c r="S913" s="13" t="s">
        <v>154</v>
      </c>
      <c r="T913" s="13" t="s">
        <v>155</v>
      </c>
      <c r="U913" s="13" t="s">
        <v>125</v>
      </c>
      <c r="V913" s="13">
        <v>179</v>
      </c>
      <c r="W913" s="44">
        <f>IF($AX913="Cancelled","",IFERROR(((V913+INDEX(Variables!$B$6:$D$6,IFERROR(MATCH(IF($B913="Robusta","Robusta",(IF($B913="","Arabica",$B913))&amp;" - "&amp;(IF($C913="","Commercial",$C913))),Variables!$B$1:$D$1,0),1)))*22.0462)*(L913/16.67),""))</f>
        <v>6213.1402279544081</v>
      </c>
      <c r="X913" s="55" t="s">
        <v>39</v>
      </c>
      <c r="Y913" s="13" t="str">
        <f>IF($AX913="Cancelled","",IF(X913="","",IFERROR(IF(INDEX(Variables!$B$38:$B$47,MATCH(X913,Variables!$A$38:$A$47,0))="Yes","Yes","No"),"No")))</f>
        <v>No</v>
      </c>
      <c r="Z913" s="31"/>
      <c r="AB913" s="31">
        <v>46067.875</v>
      </c>
      <c r="AC913" s="13" t="str">
        <f t="shared" si="43"/>
        <v>Approved</v>
      </c>
      <c r="AF913" s="71">
        <v>46105</v>
      </c>
      <c r="AG913" s="37">
        <f>IF($AX913="Cancelled","",IFERROR(IF(F913="","",F913-Variables!$B$13),""))</f>
        <v>46097</v>
      </c>
      <c r="AH913" s="13">
        <f>IF($AX913="Cancelled","",IFERROR(IF(AB913="","",(AVERAGE(E913:F913)-AB913)-Variables!$B$14),""))</f>
        <v>-0.875</v>
      </c>
      <c r="AJ913" s="47">
        <v>46112</v>
      </c>
      <c r="AK913" s="14">
        <f>IF($AX913="Cancelled","",IFERROR(IF(AJ913="","",IF(AND(AB913="",AF913=""),"",IF(AF913&gt;AB913,AF913+Variables!$B$15+Variables!$B$16+Variables!$B$17-AJ913,AB913+Variables!$B$16+Variables!$B$17-AJ913))),""))</f>
        <v>8</v>
      </c>
      <c r="AL913" s="48" t="s">
        <v>114</v>
      </c>
      <c r="AM913" s="13" t="s">
        <v>168</v>
      </c>
      <c r="AN913" s="13" t="s">
        <v>2104</v>
      </c>
      <c r="AP913" s="39" t="e">
        <v>#N/A</v>
      </c>
      <c r="AR913" s="13" t="s">
        <v>2105</v>
      </c>
      <c r="AS913" s="31">
        <v>46126</v>
      </c>
      <c r="AU913" s="31">
        <v>46182</v>
      </c>
      <c r="AV913" s="13" t="s">
        <v>865</v>
      </c>
      <c r="AW913" s="31">
        <v>46182</v>
      </c>
      <c r="AX913" s="13" t="str">
        <f>IF(ISNUMBER(SEARCH("cancel",#REF!)),"Cancelled",IF(AND(AS913&lt;&gt;"",AU913&lt;&gt;"",AW913&lt;&gt;""),"Closed","Open"))</f>
        <v>Closed</v>
      </c>
      <c r="AY913" s="15" t="str">
        <f t="shared" si="45"/>
        <v>All dates received</v>
      </c>
      <c r="BD913" s="13">
        <f>IF($AX913="Cancelled","",IFERROR(IF(OR(AS913="",AJ913=""),"",(AJ913+Variables!$B$18-AS913)),""))</f>
        <v>1</v>
      </c>
      <c r="BE913" s="13">
        <f>IF($AX913="Cancelled","",IFERROR(IF(OR(AW913="",AS913=""),"",(AS913+Variables!$B$19)-AW913),""))</f>
        <v>-51</v>
      </c>
      <c r="BF913" s="44">
        <f>IF($AX913="Cancelled","",IFERROR(W913*INDEX(Variables!$B$7:$D$7,IFERROR(MATCH(IF($B913="Robusta","Robusta",(IF($B913="","Arabica",$B913))&amp;" - "&amp;(IF($C913="","Commercial",$C913))),Variables!$B$1:$D$1,0),1))*(BE913/365),""))</f>
        <v>-55.979409564813949</v>
      </c>
      <c r="BG913" s="44">
        <f>IF($AX913="Cancelled","",IFERROR((W913*INDEX(Variables!$B$7:$D$7,IFERROR(MATCH(IF($B913="Robusta","Robusta",(IF($B913="","Arabica",$B913))&amp;" - "&amp;(IF($C913="","Commercial",$C913))),Variables!$B$1:$D$1,0),1))*IFERROR(IF(AB913="","",(AVERAGE(E913:F913)-AB913)-Variables!$B$14),"")/365)+(L913/16.67*INDEX(Variables!$B$8:$D$8,IFERROR(MATCH(IF($B913="Robusta","Robusta",(IF($B913="","Arabica",$B913))&amp;" - "&amp;(IF($C913="","Commercial",$C913))),Variables!$B$1:$D$1,0),1))*IFERROR(IF(AB913="","",(AVERAGE(E913:F913)-AB913)-Variables!$B$14),""))+(W913*INDEX(Variables!$B$9:$D$9,IFERROR(MATCH(IF($B913="Robusta","Robusta",(IF($B913="","Arabica",$B913))&amp;" - "&amp;(IF($C913="","Commercial",$C913))),Variables!$B$1:$D$1,0),1))*IFERROR(IF(AB913="","",(AVERAGE(E913:F913)-AB913)-Variables!$B$14),"")/365),""))</f>
        <v>-1.4103128561470895</v>
      </c>
      <c r="BH913" s="44">
        <f>IF($AX913="Cancelled","",IFERROR((W913*INDEX(Variables!$B$7:$D$7,IFERROR(MATCH(IF($B913="Robusta","Robusta",(IF($B913="","Arabica",$B913))&amp;" - "&amp;(IF($C913="","Commercial",$C913))),Variables!$B$1:$D$1,0),1))*AK913/365)+(L913/16.67*INDEX(Variables!$B$8:$D$8,IFERROR(MATCH(IF($B913="Robusta","Robusta",(IF($B913="","Arabica",$B913))&amp;" - "&amp;(IF($C913="","Commercial",$C913))),Variables!$B$1:$D$1,0),1))*AK913)+(W913*INDEX(Variables!$B$9:$D$9,IFERROR(MATCH(IF($B913="Robusta","Robusta",(IF($B913="","Arabica",$B913))&amp;" - "&amp;(IF($C913="","Commercial",$C913))),Variables!$B$1:$D$1,0),1))*AK913/365),""))</f>
        <v>12.894288970487677</v>
      </c>
      <c r="BI913" s="44">
        <f>IF($AX913="Cancelled","",IFERROR((W913*INDEX(Variables!$B$7:$D$7,IFERROR(MATCH(IF($B913="Robusta","Robusta",(IF($B913="","Arabica",$B913))&amp;" - "&amp;(IF($C913="","Commercial",$C913))),Variables!$B$1:$D$1,0),1))*BD913/365)+(L913/16.67*INDEX(Variables!$B$8:$D$8,IFERROR(MATCH(IF($B913="Robusta","Robusta",(IF($B913="","Arabica",$B913))&amp;" - "&amp;(IF($C913="","Commercial",$C913))),Variables!$B$1:$D$1,0),1))*BD913)+(W913*INDEX(Variables!$B$9:$D$9,IFERROR(MATCH(IF($B913="Robusta","Robusta",(IF($B913="","Arabica",$B913))&amp;" - "&amp;(IF($C913="","Commercial",$C913))),Variables!$B$1:$D$1,0),1))*BD913/365),""))</f>
        <v>1.6117861213109597</v>
      </c>
      <c r="BJ913" s="44">
        <f t="shared" si="44"/>
        <v>-14</v>
      </c>
      <c r="BK913" s="44">
        <f>IF($AX913="Cancelled","",IFERROR(IF(BJ913="","",(W913*INDEX(Variables!$B$7:$D$7,IFERROR(MATCH(IF($B913="Robusta","Robusta",(IF($B913="","Arabica",$B913))&amp;" - "&amp;(IF($C913="","Commercial",$C913))),Variables!$B$1:$D$1,0),1))*(BJ913/365))+(W913*INDEX(Variables!$B$9:$D$9,IFERROR(MATCH(IF($B913="Robusta","Robusta",(IF($B913="","Arabica",$B913))&amp;" - "&amp;(IF($C913="","Commercial",$C913))),Variables!$B$1:$D$1,0),1))*(BJ913/365))+(INDEX(Variables!$B$8:$D$8,IFERROR(MATCH(IF($B913="Robusta","Robusta",(IF($B913="","Arabica",$B913))&amp;" - "&amp;(IF($C913="","Commercial",$C913))),Variables!$B$1:$D$1,0),1))*L913/16.67)),""))</f>
        <v>-15.065005698353437</v>
      </c>
    </row>
    <row r="914" spans="1:63">
      <c r="A914" s="13" t="s">
        <v>103</v>
      </c>
      <c r="B914" s="13" t="s">
        <v>104</v>
      </c>
      <c r="C914" s="13" t="s">
        <v>292</v>
      </c>
      <c r="D914" s="31">
        <v>46077</v>
      </c>
      <c r="E914" s="31">
        <v>46082</v>
      </c>
      <c r="F914" s="31">
        <v>46112</v>
      </c>
      <c r="G914" s="13">
        <v>3787343</v>
      </c>
      <c r="J914" s="13" t="s">
        <v>447</v>
      </c>
      <c r="K914" s="13" t="s">
        <v>2366</v>
      </c>
      <c r="L914" s="13">
        <v>10</v>
      </c>
      <c r="M914" s="13">
        <v>0</v>
      </c>
      <c r="N914" s="13" t="s">
        <v>2367</v>
      </c>
      <c r="O914" s="13" t="s">
        <v>576</v>
      </c>
      <c r="P914" s="13">
        <v>10020</v>
      </c>
      <c r="R914" s="13" t="s">
        <v>239</v>
      </c>
      <c r="S914" s="13" t="s">
        <v>154</v>
      </c>
      <c r="T914" s="13" t="s">
        <v>155</v>
      </c>
      <c r="U914" s="13" t="s">
        <v>125</v>
      </c>
      <c r="V914" s="13">
        <v>183</v>
      </c>
      <c r="W914" s="44">
        <f>IF($AX914="Cancelled","",IFERROR(((V914+INDEX(Variables!$B$6:$D$6,IFERROR(MATCH(IF($B914="Robusta","Robusta",(IF($B914="","Arabica",$B914))&amp;" - "&amp;(IF($C914="","Commercial",$C914))),Variables!$B$1:$D$1,0),1)))*22.0462)*(L914/16.67),""))</f>
        <v>6266.0405278944208</v>
      </c>
      <c r="X914" s="55" t="s">
        <v>39</v>
      </c>
      <c r="Y914" s="13" t="str">
        <f>IF($AX914="Cancelled","",IF(X914="","",IFERROR(IF(INDEX(Variables!$B$38:$B$47,MATCH(X914,Variables!$A$38:$A$47,0))="Yes","Yes","No"),"No")))</f>
        <v>No</v>
      </c>
      <c r="Z914" s="31"/>
      <c r="AB914" s="31">
        <v>46067.875</v>
      </c>
      <c r="AC914" s="13" t="str">
        <f t="shared" si="43"/>
        <v>Approved</v>
      </c>
      <c r="AF914" s="71">
        <v>46111</v>
      </c>
      <c r="AG914" s="37">
        <f>IF($AX914="Cancelled","",IFERROR(IF(F914="","",F914-Variables!$B$13),""))</f>
        <v>46097</v>
      </c>
      <c r="AH914" s="13">
        <f>IF($AX914="Cancelled","",IFERROR(IF(AB914="","",(AVERAGE(E914:F914)-AB914)-Variables!$B$14),""))</f>
        <v>-0.875</v>
      </c>
      <c r="AJ914" s="47">
        <v>46112</v>
      </c>
      <c r="AK914" s="14">
        <f>IF($AX914="Cancelled","",IFERROR(IF(AJ914="","",IF(AND(AB914="",AF914=""),"",IF(AF914&gt;AB914,AF914+Variables!$B$15+Variables!$B$16+Variables!$B$17-AJ914,AB914+Variables!$B$16+Variables!$B$17-AJ914))),""))</f>
        <v>14</v>
      </c>
      <c r="AL914" s="48" t="s">
        <v>114</v>
      </c>
      <c r="AM914" s="13" t="s">
        <v>168</v>
      </c>
      <c r="AN914" s="13" t="s">
        <v>2104</v>
      </c>
      <c r="AP914" s="39" t="e">
        <v>#N/A</v>
      </c>
      <c r="AR914" s="13" t="s">
        <v>2105</v>
      </c>
      <c r="AS914" s="31">
        <v>46126</v>
      </c>
      <c r="AU914" s="31">
        <v>46182</v>
      </c>
      <c r="AV914" s="13" t="s">
        <v>865</v>
      </c>
      <c r="AW914" s="31">
        <v>46182</v>
      </c>
      <c r="AX914" s="13" t="str">
        <f>IF(ISNUMBER(SEARCH("cancel",#REF!)),"Cancelled",IF(AND(AS914&lt;&gt;"",AU914&lt;&gt;"",AW914&lt;&gt;""),"Closed","Open"))</f>
        <v>Closed</v>
      </c>
      <c r="AY914" s="15" t="str">
        <f t="shared" si="45"/>
        <v>All dates received</v>
      </c>
      <c r="BD914" s="13">
        <f>IF($AX914="Cancelled","",IFERROR(IF(OR(AS914="",AJ914=""),"",(AJ914+Variables!$B$18-AS914)),""))</f>
        <v>1</v>
      </c>
      <c r="BE914" s="13">
        <f>IF($AX914="Cancelled","",IFERROR(IF(OR(AW914="",AS914=""),"",(AS914+Variables!$B$19)-AW914),""))</f>
        <v>-51</v>
      </c>
      <c r="BF914" s="44">
        <f>IF($AX914="Cancelled","",IFERROR(W914*INDEX(Variables!$B$7:$D$7,IFERROR(MATCH(IF($B914="Robusta","Robusta",(IF($B914="","Arabica",$B914))&amp;" - "&amp;(IF($C914="","Commercial",$C914))),Variables!$B$1:$D$1,0),1))*(BE914/365),""))</f>
        <v>-56.456032890184865</v>
      </c>
      <c r="BG914" s="44">
        <f>IF($AX914="Cancelled","",IFERROR((W914*INDEX(Variables!$B$7:$D$7,IFERROR(MATCH(IF($B914="Robusta","Robusta",(IF($B914="","Arabica",$B914))&amp;" - "&amp;(IF($C914="","Commercial",$C914))),Variables!$B$1:$D$1,0),1))*IFERROR(IF(AB914="","",(AVERAGE(E914:F914)-AB914)-Variables!$B$14),"")/365)+(L914/16.67*INDEX(Variables!$B$8:$D$8,IFERROR(MATCH(IF($B914="Robusta","Robusta",(IF($B914="","Arabica",$B914))&amp;" - "&amp;(IF($C914="","Commercial",$C914))),Variables!$B$1:$D$1,0),1))*IFERROR(IF(AB914="","",(AVERAGE(E914:F914)-AB914)-Variables!$B$14),""))+(W914*INDEX(Variables!$B$9:$D$9,IFERROR(MATCH(IF($B914="Robusta","Robusta",(IF($B914="","Arabica",$B914))&amp;" - "&amp;(IF($C914="","Commercial",$C914))),Variables!$B$1:$D$1,0),1))*IFERROR(IF(AB914="","",(AVERAGE(E914:F914)-AB914)-Variables!$B$14),"")/365),""))</f>
        <v>-1.4185956390857621</v>
      </c>
      <c r="BH914" s="44">
        <f>IF($AX914="Cancelled","",IFERROR((W914*INDEX(Variables!$B$7:$D$7,IFERROR(MATCH(IF($B914="Robusta","Robusta",(IF($B914="","Arabica",$B914))&amp;" - "&amp;(IF($C914="","Commercial",$C914))),Variables!$B$1:$D$1,0),1))*AK914/365)+(L914/16.67*INDEX(Variables!$B$8:$D$8,IFERROR(MATCH(IF($B914="Robusta","Robusta",(IF($B914="","Arabica",$B914))&amp;" - "&amp;(IF($C914="","Commercial",$C914))),Variables!$B$1:$D$1,0),1))*AK914)+(W914*INDEX(Variables!$B$9:$D$9,IFERROR(MATCH(IF($B914="Robusta","Robusta",(IF($B914="","Arabica",$B914))&amp;" - "&amp;(IF($C914="","Commercial",$C914))),Variables!$B$1:$D$1,0),1))*AK914/365),""))</f>
        <v>22.697530225372194</v>
      </c>
      <c r="BI914" s="44">
        <f>IF($AX914="Cancelled","",IFERROR((W914*INDEX(Variables!$B$7:$D$7,IFERROR(MATCH(IF($B914="Robusta","Robusta",(IF($B914="","Arabica",$B914))&amp;" - "&amp;(IF($C914="","Commercial",$C914))),Variables!$B$1:$D$1,0),1))*BD914/365)+(L914/16.67*INDEX(Variables!$B$8:$D$8,IFERROR(MATCH(IF($B914="Robusta","Robusta",(IF($B914="","Arabica",$B914))&amp;" - "&amp;(IF($C914="","Commercial",$C914))),Variables!$B$1:$D$1,0),1))*BD914)+(W914*INDEX(Variables!$B$9:$D$9,IFERROR(MATCH(IF($B914="Robusta","Robusta",(IF($B914="","Arabica",$B914))&amp;" - "&amp;(IF($C914="","Commercial",$C914))),Variables!$B$1:$D$1,0),1))*BD914/365),""))</f>
        <v>1.6212521589551567</v>
      </c>
      <c r="BJ914" s="44">
        <f t="shared" si="44"/>
        <v>-14</v>
      </c>
      <c r="BK914" s="44">
        <f>IF($AX914="Cancelled","",IFERROR(IF(BJ914="","",(W914*INDEX(Variables!$B$7:$D$7,IFERROR(MATCH(IF($B914="Robusta","Robusta",(IF($B914="","Arabica",$B914))&amp;" - "&amp;(IF($C914="","Commercial",$C914))),Variables!$B$1:$D$1,0),1))*(BJ914/365))+(W914*INDEX(Variables!$B$9:$D$9,IFERROR(MATCH(IF($B914="Robusta","Robusta",(IF($B914="","Arabica",$B914))&amp;" - "&amp;(IF($C914="","Commercial",$C914))),Variables!$B$1:$D$1,0),1))*(BJ914/365))+(INDEX(Variables!$B$8:$D$8,IFERROR(MATCH(IF($B914="Robusta","Robusta",(IF($B914="","Arabica",$B914))&amp;" - "&amp;(IF($C914="","Commercial",$C914))),Variables!$B$1:$D$1,0),1))*L914/16.67)),""))</f>
        <v>-15.197530225372196</v>
      </c>
    </row>
    <row r="915" spans="1:63">
      <c r="A915" s="13" t="s">
        <v>103</v>
      </c>
      <c r="B915" s="13" t="s">
        <v>104</v>
      </c>
      <c r="C915" s="13" t="s">
        <v>292</v>
      </c>
      <c r="D915" s="31">
        <v>46077</v>
      </c>
      <c r="E915" s="31">
        <v>46054</v>
      </c>
      <c r="F915" s="31">
        <v>46081</v>
      </c>
      <c r="G915" s="13">
        <v>3787344</v>
      </c>
      <c r="J915" s="13" t="s">
        <v>294</v>
      </c>
      <c r="K915" s="13" t="s">
        <v>2368</v>
      </c>
      <c r="L915" s="13">
        <v>20</v>
      </c>
      <c r="M915" s="13">
        <v>0</v>
      </c>
      <c r="N915" s="13" t="s">
        <v>2369</v>
      </c>
      <c r="O915" s="13" t="s">
        <v>771</v>
      </c>
      <c r="P915" s="13">
        <v>10010</v>
      </c>
      <c r="R915" s="13" t="s">
        <v>384</v>
      </c>
      <c r="S915" s="13" t="s">
        <v>299</v>
      </c>
      <c r="T915" s="13" t="s">
        <v>305</v>
      </c>
      <c r="U915" s="13" t="s">
        <v>125</v>
      </c>
      <c r="V915" s="13">
        <v>226.75</v>
      </c>
      <c r="W915" s="44">
        <f>IF($AX915="Cancelled","",IFERROR(((V915+INDEX(Variables!$B$6:$D$6,IFERROR(MATCH(IF($B915="Robusta","Robusta",(IF($B915="","Arabica",$B915))&amp;" - "&amp;(IF($C915="","Commercial",$C915))),Variables!$B$1:$D$1,0),1)))*22.0462)*(L915/16.67),""))</f>
        <v>13689.275116976602</v>
      </c>
      <c r="X915" s="55" t="s">
        <v>39</v>
      </c>
      <c r="Y915" s="13" t="str">
        <f>IF($AX915="Cancelled","",IF(X915="","",IFERROR(IF(INDEX(Variables!$B$38:$B$47,MATCH(X915,Variables!$A$38:$A$47,0))="Yes","Yes","No"),"No")))</f>
        <v>No</v>
      </c>
      <c r="Z915" s="31"/>
      <c r="AB915" s="31">
        <v>46036.875</v>
      </c>
      <c r="AC915" s="13" t="str">
        <f t="shared" si="43"/>
        <v>Approved</v>
      </c>
      <c r="AF915" s="71">
        <v>46079</v>
      </c>
      <c r="AG915" s="31">
        <f>IF($AX915="Cancelled","",IFERROR(IF(F915="","",F915-Variables!$B$13),""))</f>
        <v>46066</v>
      </c>
      <c r="AH915" s="13">
        <f>IF($AX915="Cancelled","",IFERROR(IF(AB915="","",(AVERAGE(E915:F915)-AB915)-Variables!$B$14),""))</f>
        <v>0.625</v>
      </c>
      <c r="AJ915" s="47">
        <v>46080</v>
      </c>
      <c r="AK915" s="14">
        <f>IF($AX915="Cancelled","",IFERROR(IF(AJ915="","",IF(AND(AB915="",AF915=""),"",IF(AF915&gt;AB915,AF915+Variables!$B$15+Variables!$B$16+Variables!$B$17-AJ915,AB915+Variables!$B$16+Variables!$B$17-AJ915))),""))</f>
        <v>14</v>
      </c>
      <c r="AL915" s="48" t="s">
        <v>114</v>
      </c>
      <c r="AM915" s="13" t="s">
        <v>1526</v>
      </c>
      <c r="AN915" s="13" t="s">
        <v>1527</v>
      </c>
      <c r="AP915" s="39" t="e">
        <v>#N/A</v>
      </c>
      <c r="AR915" s="13" t="s">
        <v>1976</v>
      </c>
      <c r="AS915" s="31">
        <v>46093</v>
      </c>
      <c r="AU915" s="31">
        <v>46113</v>
      </c>
      <c r="AV915" s="13" t="s">
        <v>865</v>
      </c>
      <c r="AW915" s="31">
        <v>46127</v>
      </c>
      <c r="AX915" s="13" t="str">
        <f>IF(ISNUMBER(SEARCH("cancel",#REF!)),"Cancelled",IF(AND(AS915&lt;&gt;"",AU915&lt;&gt;"",AW915&lt;&gt;""),"Closed","Open"))</f>
        <v>Closed</v>
      </c>
      <c r="AY915" s="15" t="str">
        <f t="shared" si="45"/>
        <v>All dates received</v>
      </c>
      <c r="BD915" s="13">
        <f>IF($AX915="Cancelled","",IFERROR(IF(OR(AS915="",AJ915=""),"",(AJ915+Variables!$B$18-AS915)),""))</f>
        <v>2</v>
      </c>
      <c r="BE915" s="13">
        <f>IF($AX915="Cancelled","",IFERROR(IF(OR(AW915="",AS915=""),"",(AS915+Variables!$B$19)-AW915),""))</f>
        <v>-29</v>
      </c>
      <c r="BF915" s="44">
        <f>IF($AX915="Cancelled","",IFERROR(W915*INDEX(Variables!$B$7:$D$7,IFERROR(MATCH(IF($B915="Robusta","Robusta",(IF($B915="","Arabica",$B915))&amp;" - "&amp;(IF($C915="","Commercial",$C915))),Variables!$B$1:$D$1,0),1))*(BE915/365),""))</f>
        <v>-70.133486856135221</v>
      </c>
      <c r="BG915" s="44">
        <f>IF($AX915="Cancelled","",IFERROR((W915*INDEX(Variables!$B$7:$D$7,IFERROR(MATCH(IF($B915="Robusta","Robusta",(IF($B915="","Arabica",$B915))&amp;" - "&amp;(IF($C915="","Commercial",$C915))),Variables!$B$1:$D$1,0),1))*IFERROR(IF(AB915="","",(AVERAGE(E915:F915)-AB915)-Variables!$B$14),"")/365)+(L915/16.67*INDEX(Variables!$B$8:$D$8,IFERROR(MATCH(IF($B915="Robusta","Robusta",(IF($B915="","Arabica",$B915))&amp;" - "&amp;(IF($C915="","Commercial",$C915))),Variables!$B$1:$D$1,0),1))*IFERROR(IF(AB915="","",(AVERAGE(E915:F915)-AB915)-Variables!$B$14),""))+(W915*INDEX(Variables!$B$9:$D$9,IFERROR(MATCH(IF($B915="Robusta","Robusta",(IF($B915="","Arabica",$B915))&amp;" - "&amp;(IF($C915="","Commercial",$C915))),Variables!$B$1:$D$1,0),1))*IFERROR(IF(AB915="","",(AVERAGE(E915:F915)-AB915)-Variables!$B$14),"")/365),""))</f>
        <v>2.1559836821107039</v>
      </c>
      <c r="BH915" s="44">
        <f>IF($AX915="Cancelled","",IFERROR((W915*INDEX(Variables!$B$7:$D$7,IFERROR(MATCH(IF($B915="Robusta","Robusta",(IF($B915="","Arabica",$B915))&amp;" - "&amp;(IF($C915="","Commercial",$C915))),Variables!$B$1:$D$1,0),1))*AK915/365)+(L915/16.67*INDEX(Variables!$B$8:$D$8,IFERROR(MATCH(IF($B915="Robusta","Robusta",(IF($B915="","Arabica",$B915))&amp;" - "&amp;(IF($C915="","Commercial",$C915))),Variables!$B$1:$D$1,0),1))*AK915)+(W915*INDEX(Variables!$B$9:$D$9,IFERROR(MATCH(IF($B915="Robusta","Robusta",(IF($B915="","Arabica",$B915))&amp;" - "&amp;(IF($C915="","Commercial",$C915))),Variables!$B$1:$D$1,0),1))*AK915/365),""))</f>
        <v>48.294034479279773</v>
      </c>
      <c r="BI915" s="44">
        <f>IF($AX915="Cancelled","",IFERROR((W915*INDEX(Variables!$B$7:$D$7,IFERROR(MATCH(IF($B915="Robusta","Robusta",(IF($B915="","Arabica",$B915))&amp;" - "&amp;(IF($C915="","Commercial",$C915))),Variables!$B$1:$D$1,0),1))*BD915/365)+(L915/16.67*INDEX(Variables!$B$8:$D$8,IFERROR(MATCH(IF($B915="Robusta","Robusta",(IF($B915="","Arabica",$B915))&amp;" - "&amp;(IF($C915="","Commercial",$C915))),Variables!$B$1:$D$1,0),1))*BD915)+(W915*INDEX(Variables!$B$9:$D$9,IFERROR(MATCH(IF($B915="Robusta","Robusta",(IF($B915="","Arabica",$B915))&amp;" - "&amp;(IF($C915="","Commercial",$C915))),Variables!$B$1:$D$1,0),1))*BD915/365),""))</f>
        <v>6.8991477827542536</v>
      </c>
      <c r="BJ915" s="44">
        <f t="shared" si="44"/>
        <v>-12</v>
      </c>
      <c r="BK915" s="44">
        <f>IF($AX915="Cancelled","",IFERROR(IF(BJ915="","",(W915*INDEX(Variables!$B$7:$D$7,IFERROR(MATCH(IF($B915="Robusta","Robusta",(IF($B915="","Arabica",$B915))&amp;" - "&amp;(IF($C915="","Commercial",$C915))),Variables!$B$1:$D$1,0),1))*(BJ915/365))+(W915*INDEX(Variables!$B$9:$D$9,IFERROR(MATCH(IF($B915="Robusta","Robusta",(IF($B915="","Arabica",$B915))&amp;" - "&amp;(IF($C915="","Commercial",$C915))),Variables!$B$1:$D$1,0),1))*(BJ915/365))+(INDEX(Variables!$B$8:$D$8,IFERROR(MATCH(IF($B915="Robusta","Robusta",(IF($B915="","Arabica",$B915))&amp;" - "&amp;(IF($C915="","Commercial",$C915))),Variables!$B$1:$D$1,0),1))*L915/16.67)),""))</f>
        <v>-28.394886696525518</v>
      </c>
    </row>
    <row r="916" spans="1:63">
      <c r="A916" s="13" t="s">
        <v>103</v>
      </c>
      <c r="B916" s="13" t="s">
        <v>104</v>
      </c>
      <c r="C916" s="13" t="s">
        <v>292</v>
      </c>
      <c r="D916" s="31">
        <v>46078</v>
      </c>
      <c r="E916" s="31">
        <v>46113</v>
      </c>
      <c r="F916" s="31">
        <v>46142</v>
      </c>
      <c r="G916" s="13">
        <v>3787345</v>
      </c>
      <c r="J916" s="13" t="s">
        <v>236</v>
      </c>
      <c r="K916" s="13" t="s">
        <v>2370</v>
      </c>
      <c r="L916" s="13">
        <v>15</v>
      </c>
      <c r="M916" s="13">
        <v>1</v>
      </c>
      <c r="N916" s="13" t="s">
        <v>2371</v>
      </c>
      <c r="O916" s="13" t="s">
        <v>576</v>
      </c>
      <c r="P916" s="13">
        <v>10020</v>
      </c>
      <c r="R916" s="13" t="s">
        <v>671</v>
      </c>
      <c r="S916" s="13" t="s">
        <v>2372</v>
      </c>
      <c r="T916" s="13" t="s">
        <v>2372</v>
      </c>
      <c r="U916" s="13" t="s">
        <v>182</v>
      </c>
      <c r="V916" s="23">
        <v>192</v>
      </c>
      <c r="W916" s="44">
        <f>IF($AX916="Cancelled","",IFERROR(((V916+INDEX(Variables!$B$6:$D$6,IFERROR(MATCH(IF($B916="Robusta","Robusta",(IF($B916="","Arabica",$B916))&amp;" - "&amp;(IF($C916="","Commercial",$C916))),Variables!$B$1:$D$1,0),1)))*22.0462)*(L916/16.67),""))</f>
        <v>9577.5993041391703</v>
      </c>
      <c r="Y916" s="13" t="str">
        <f>IF($AX916="Cancelled","",IF(X916="","",IFERROR(IF(INDEX(Variables!$B$38:$B$47,MATCH(X916,Variables!$A$38:$A$47,0))="Yes","Yes","No"),"No")))</f>
        <v/>
      </c>
      <c r="Z916" s="31"/>
      <c r="AC916" s="13" t="str">
        <f t="shared" si="43"/>
        <v/>
      </c>
      <c r="AF916" s="71">
        <v>46111</v>
      </c>
      <c r="AG916" s="35">
        <f>IF($AX916="Cancelled","",IFERROR(IF(F916="","",F916-Variables!$B$13),""))</f>
        <v>46127</v>
      </c>
      <c r="AH916" s="13" t="str">
        <f>IF($AX916="Cancelled","",IFERROR(IF(AB916="","",(AVERAGE(E916:F916)-AB916)-Variables!$B$14),""))</f>
        <v/>
      </c>
      <c r="AJ916" s="47">
        <v>46195</v>
      </c>
      <c r="AK916" s="14">
        <f>IF($AX916="Cancelled","",IFERROR(IF(AJ916="","",IF(AND(AB916="",AF916=""),"",IF(AF916&gt;AB916,AF916+Variables!$B$15+Variables!$B$16+Variables!$B$17-AJ916,AB916+Variables!$B$16+Variables!$B$17-AJ916))),""))</f>
        <v>-69</v>
      </c>
      <c r="AL916" s="48" t="s">
        <v>114</v>
      </c>
      <c r="AM916" s="13" t="s">
        <v>1784</v>
      </c>
      <c r="AN916" s="13" t="s">
        <v>2373</v>
      </c>
      <c r="AP916" s="39"/>
      <c r="AR916" s="13" t="s">
        <v>2374</v>
      </c>
      <c r="AS916" s="31">
        <v>46203</v>
      </c>
      <c r="AU916" s="31">
        <v>46234</v>
      </c>
      <c r="AV916" s="13" t="e">
        <v>#N/A</v>
      </c>
      <c r="AW916" s="31">
        <v>46234</v>
      </c>
      <c r="AX916" s="13" t="str">
        <f>IF(ISNUMBER(SEARCH("cancel",#REF!)),"Cancelled",IF(AND(AS916&lt;&gt;"",AU916&lt;&gt;"",AW916&lt;&gt;""),"Closed","Open"))</f>
        <v>Closed</v>
      </c>
      <c r="AY916" s="15" t="str">
        <f t="shared" si="45"/>
        <v>All dates received</v>
      </c>
      <c r="BD916" s="13">
        <f>IF($AX916="Cancelled","",IFERROR(IF(OR(AS916="",AJ916=""),"",(AJ916+Variables!$B$18-AS916)),""))</f>
        <v>7</v>
      </c>
      <c r="BE916" s="13">
        <f>IF($AX916="Cancelled","",IFERROR(IF(OR(AW916="",AS916=""),"",(AS916+Variables!$B$19)-AW916),""))</f>
        <v>-26</v>
      </c>
      <c r="BF916" s="44">
        <f>IF($AX916="Cancelled","",IFERROR(W916*INDEX(Variables!$B$7:$D$7,IFERROR(MATCH(IF($B916="Robusta","Robusta",(IF($B916="","Arabica",$B916))&amp;" - "&amp;(IF($C916="","Commercial",$C916))),Variables!$B$1:$D$1,0),1))*(BE916/365),""))</f>
        <v>-43.992332931735433</v>
      </c>
      <c r="BG916" s="44" t="str">
        <f>IF($AX916="Cancelled","",IFERROR((W916*INDEX(Variables!$B$7:$D$7,IFERROR(MATCH(IF($B916="Robusta","Robusta",(IF($B916="","Arabica",$B916))&amp;" - "&amp;(IF($C916="","Commercial",$C916))),Variables!$B$1:$D$1,0),1))*IFERROR(IF(AB916="","",(AVERAGE(E916:F916)-AB916)-Variables!$B$14),"")/365)+(L916/16.67*INDEX(Variables!$B$8:$D$8,IFERROR(MATCH(IF($B916="Robusta","Robusta",(IF($B916="","Arabica",$B916))&amp;" - "&amp;(IF($C916="","Commercial",$C916))),Variables!$B$1:$D$1,0),1))*IFERROR(IF(AB916="","",(AVERAGE(E916:F916)-AB916)-Variables!$B$14),""))+(W916*INDEX(Variables!$B$9:$D$9,IFERROR(MATCH(IF($B916="Robusta","Robusta",(IF($B916="","Arabica",$B916))&amp;" - "&amp;(IF($C916="","Commercial",$C916))),Variables!$B$1:$D$1,0),1))*IFERROR(IF(AB916="","",(AVERAGE(E916:F916)-AB916)-Variables!$B$14),"")/365),""))</f>
        <v/>
      </c>
      <c r="BH916" s="44">
        <f>IF($AX916="Cancelled","",IFERROR((W916*INDEX(Variables!$B$7:$D$7,IFERROR(MATCH(IF($B916="Robusta","Robusta",(IF($B916="","Arabica",$B916))&amp;" - "&amp;(IF($C916="","Commercial",$C916))),Variables!$B$1:$D$1,0),1))*AK916/365)+(L916/16.67*INDEX(Variables!$B$8:$D$8,IFERROR(MATCH(IF($B916="Robusta","Robusta",(IF($B916="","Arabica",$B916))&amp;" - "&amp;(IF($C916="","Commercial",$C916))),Variables!$B$1:$D$1,0),1))*AK916)+(W916*INDEX(Variables!$B$9:$D$9,IFERROR(MATCH(IF($B916="Robusta","Robusta",(IF($B916="","Arabica",$B916))&amp;" - "&amp;(IF($C916="","Commercial",$C916))),Variables!$B$1:$D$1,0),1))*AK916/365),""))</f>
        <v>-170.00400196825115</v>
      </c>
      <c r="BI916" s="44">
        <f>IF($AX916="Cancelled","",IFERROR((W916*INDEX(Variables!$B$7:$D$7,IFERROR(MATCH(IF($B916="Robusta","Robusta",(IF($B916="","Arabica",$B916))&amp;" - "&amp;(IF($C916="","Commercial",$C916))),Variables!$B$1:$D$1,0),1))*BD916/365)+(L916/16.67*INDEX(Variables!$B$8:$D$8,IFERROR(MATCH(IF($B916="Robusta","Robusta",(IF($B916="","Arabica",$B916))&amp;" - "&amp;(IF($C916="","Commercial",$C916))),Variables!$B$1:$D$1,0),1))*BD916)+(W916*INDEX(Variables!$B$9:$D$9,IFERROR(MATCH(IF($B916="Robusta","Robusta",(IF($B916="","Arabica",$B916))&amp;" - "&amp;(IF($C916="","Commercial",$C916))),Variables!$B$1:$D$1,0),1))*BD916/365),""))</f>
        <v>17.246782808373307</v>
      </c>
      <c r="BJ916" s="44">
        <f t="shared" si="44"/>
        <v>-61</v>
      </c>
      <c r="BK916" s="44">
        <f>IF($AX916="Cancelled","",IFERROR(IF(BJ916="","",(W916*INDEX(Variables!$B$7:$D$7,IFERROR(MATCH(IF($B916="Robusta","Robusta",(IF($B916="","Arabica",$B916))&amp;" - "&amp;(IF($C916="","Commercial",$C916))),Variables!$B$1:$D$1,0),1))*(BJ916/365))+(W916*INDEX(Variables!$B$9:$D$9,IFERROR(MATCH(IF($B916="Robusta","Robusta",(IF($B916="","Arabica",$B916))&amp;" - "&amp;(IF($C916="","Commercial",$C916))),Variables!$B$1:$D$1,0),1))*(BJ916/365))+(INDEX(Variables!$B$8:$D$8,IFERROR(MATCH(IF($B916="Robusta","Robusta",(IF($B916="","Arabica",$B916))&amp;" - "&amp;(IF($C916="","Commercial",$C916))),Variables!$B$1:$D$1,0),1))*L916/16.67)),""))</f>
        <v>-103.79339304439594</v>
      </c>
    </row>
    <row r="917" spans="1:63">
      <c r="A917" s="13" t="s">
        <v>103</v>
      </c>
      <c r="B917" s="13" t="s">
        <v>104</v>
      </c>
      <c r="C917" s="13" t="s">
        <v>292</v>
      </c>
      <c r="D917" s="31">
        <v>46078</v>
      </c>
      <c r="E917" s="31">
        <v>46113</v>
      </c>
      <c r="F917" s="31">
        <v>46142</v>
      </c>
      <c r="G917" s="13">
        <v>3787346</v>
      </c>
      <c r="J917" s="13" t="s">
        <v>236</v>
      </c>
      <c r="K917" s="13" t="s">
        <v>2375</v>
      </c>
      <c r="L917" s="13">
        <v>15</v>
      </c>
      <c r="M917" s="13">
        <v>0</v>
      </c>
      <c r="N917" s="13" t="s">
        <v>2376</v>
      </c>
      <c r="O917" s="13" t="s">
        <v>576</v>
      </c>
      <c r="P917" s="13">
        <v>10020</v>
      </c>
      <c r="R917" s="13" t="s">
        <v>671</v>
      </c>
      <c r="S917" s="13" t="s">
        <v>2372</v>
      </c>
      <c r="T917" s="13" t="s">
        <v>2372</v>
      </c>
      <c r="U917" s="13" t="s">
        <v>182</v>
      </c>
      <c r="V917" s="23">
        <v>182</v>
      </c>
      <c r="W917" s="44">
        <f>IF($AX917="Cancelled","",IFERROR(((V917+INDEX(Variables!$B$6:$D$6,IFERROR(MATCH(IF($B917="Robusta","Robusta",(IF($B917="","Arabica",$B917))&amp;" - "&amp;(IF($C917="","Commercial",$C917))),Variables!$B$1:$D$1,0),1)))*22.0462)*(L917/16.67),""))</f>
        <v>9379.2231793641258</v>
      </c>
      <c r="Y917" s="13" t="str">
        <f>IF($AX917="Cancelled","",IF(X917="","",IFERROR(IF(INDEX(Variables!$B$38:$B$47,MATCH(X917,Variables!$A$38:$A$47,0))="Yes","Yes","No"),"No")))</f>
        <v/>
      </c>
      <c r="Z917" s="31"/>
      <c r="AC917" s="13" t="str">
        <f t="shared" si="43"/>
        <v/>
      </c>
      <c r="AF917" s="71">
        <v>46111</v>
      </c>
      <c r="AG917" s="37">
        <f>IF($AX917="Cancelled","",IFERROR(IF(F917="","",F917-Variables!$B$13),""))</f>
        <v>46127</v>
      </c>
      <c r="AH917" s="13" t="str">
        <f>IF($AX917="Cancelled","",IFERROR(IF(AB917="","",(AVERAGE(E917:F917)-AB917)-Variables!$B$14),""))</f>
        <v/>
      </c>
      <c r="AJ917" s="47">
        <v>46195</v>
      </c>
      <c r="AK917" s="14">
        <f>IF($AX917="Cancelled","",IFERROR(IF(AJ917="","",IF(AND(AB917="",AF917=""),"",IF(AF917&gt;AB917,AF917+Variables!$B$15+Variables!$B$16+Variables!$B$17-AJ917,AB917+Variables!$B$16+Variables!$B$17-AJ917))),""))</f>
        <v>-69</v>
      </c>
      <c r="AL917" s="48" t="s">
        <v>114</v>
      </c>
      <c r="AM917" s="13" t="s">
        <v>1784</v>
      </c>
      <c r="AN917" s="13" t="s">
        <v>2373</v>
      </c>
      <c r="AP917" s="39"/>
      <c r="AR917" s="13" t="s">
        <v>2374</v>
      </c>
      <c r="AS917" s="31">
        <v>46203</v>
      </c>
      <c r="AU917" s="31">
        <v>46234</v>
      </c>
      <c r="AV917" s="13" t="e">
        <v>#N/A</v>
      </c>
      <c r="AW917" s="31">
        <v>46234</v>
      </c>
      <c r="AX917" s="13" t="str">
        <f>IF(ISNUMBER(SEARCH("cancel",#REF!)),"Cancelled",IF(AND(AS917&lt;&gt;"",AU917&lt;&gt;"",AW917&lt;&gt;""),"Closed","Open"))</f>
        <v>Closed</v>
      </c>
      <c r="AY917" s="15" t="str">
        <f t="shared" si="45"/>
        <v>All dates received</v>
      </c>
      <c r="BD917" s="13">
        <f>IF($AX917="Cancelled","",IFERROR(IF(OR(AS917="",AJ917=""),"",(AJ917+Variables!$B$18-AS917)),""))</f>
        <v>7</v>
      </c>
      <c r="BE917" s="13">
        <f>IF($AX917="Cancelled","",IFERROR(IF(OR(AW917="",AS917=""),"",(AS917+Variables!$B$19)-AW917),""))</f>
        <v>-26</v>
      </c>
      <c r="BF917" s="44">
        <f>IF($AX917="Cancelled","",IFERROR(W917*INDEX(Variables!$B$7:$D$7,IFERROR(MATCH(IF($B917="Robusta","Robusta",(IF($B917="","Arabica",$B917))&amp;" - "&amp;(IF($C917="","Commercial",$C917))),Variables!$B$1:$D$1,0),1))*(BE917/365),""))</f>
        <v>-43.081141280291043</v>
      </c>
      <c r="BG917" s="44" t="str">
        <f>IF($AX917="Cancelled","",IFERROR((W917*INDEX(Variables!$B$7:$D$7,IFERROR(MATCH(IF($B917="Robusta","Robusta",(IF($B917="","Arabica",$B917))&amp;" - "&amp;(IF($C917="","Commercial",$C917))),Variables!$B$1:$D$1,0),1))*IFERROR(IF(AB917="","",(AVERAGE(E917:F917)-AB917)-Variables!$B$14),"")/365)+(L917/16.67*INDEX(Variables!$B$8:$D$8,IFERROR(MATCH(IF($B917="Robusta","Robusta",(IF($B917="","Arabica",$B917))&amp;" - "&amp;(IF($C917="","Commercial",$C917))),Variables!$B$1:$D$1,0),1))*IFERROR(IF(AB917="","",(AVERAGE(E917:F917)-AB917)-Variables!$B$14),""))+(W917*INDEX(Variables!$B$9:$D$9,IFERROR(MATCH(IF($B917="Robusta","Robusta",(IF($B917="","Arabica",$B917))&amp;" - "&amp;(IF($C917="","Commercial",$C917))),Variables!$B$1:$D$1,0),1))*IFERROR(IF(AB917="","",(AVERAGE(E917:F917)-AB917)-Variables!$B$14),"")/365),""))</f>
        <v/>
      </c>
      <c r="BH917" s="44">
        <f>IF($AX917="Cancelled","",IFERROR((W917*INDEX(Variables!$B$7:$D$7,IFERROR(MATCH(IF($B917="Robusta","Robusta",(IF($B917="","Arabica",$B917))&amp;" - "&amp;(IF($C917="","Commercial",$C917))),Variables!$B$1:$D$1,0),1))*AK917/365)+(L917/16.67*INDEX(Variables!$B$8:$D$8,IFERROR(MATCH(IF($B917="Robusta","Robusta",(IF($B917="","Arabica",$B917))&amp;" - "&amp;(IF($C917="","Commercial",$C917))),Variables!$B$1:$D$1,0),1))*AK917)+(W917*INDEX(Variables!$B$9:$D$9,IFERROR(MATCH(IF($B917="Robusta","Robusta",(IF($B917="","Arabica",$B917))&amp;" - "&amp;(IF($C917="","Commercial",$C917))),Variables!$B$1:$D$1,0),1))*AK917/365),""))</f>
        <v>-167.55466472781509</v>
      </c>
      <c r="BI917" s="44">
        <f>IF($AX917="Cancelled","",IFERROR((W917*INDEX(Variables!$B$7:$D$7,IFERROR(MATCH(IF($B917="Robusta","Robusta",(IF($B917="","Arabica",$B917))&amp;" - "&amp;(IF($C917="","Commercial",$C917))),Variables!$B$1:$D$1,0),1))*BD917/365)+(L917/16.67*INDEX(Variables!$B$8:$D$8,IFERROR(MATCH(IF($B917="Robusta","Robusta",(IF($B917="","Arabica",$B917))&amp;" - "&amp;(IF($C917="","Commercial",$C917))),Variables!$B$1:$D$1,0),1))*BD917)+(W917*INDEX(Variables!$B$9:$D$9,IFERROR(MATCH(IF($B917="Robusta","Robusta",(IF($B917="","Arabica",$B917))&amp;" - "&amp;(IF($C917="","Commercial",$C917))),Variables!$B$1:$D$1,0),1))*BD917/365),""))</f>
        <v>16.998299320213128</v>
      </c>
      <c r="BJ917" s="44">
        <f t="shared" si="44"/>
        <v>-61</v>
      </c>
      <c r="BK917" s="44">
        <f>IF($AX917="Cancelled","",IFERROR(IF(BJ917="","",(W917*INDEX(Variables!$B$7:$D$7,IFERROR(MATCH(IF($B917="Robusta","Robusta",(IF($B917="","Arabica",$B917))&amp;" - "&amp;(IF($C917="","Commercial",$C917))),Variables!$B$1:$D$1,0),1))*(BJ917/365))+(W917*INDEX(Variables!$B$9:$D$9,IFERROR(MATCH(IF($B917="Robusta","Robusta",(IF($B917="","Arabica",$B917))&amp;" - "&amp;(IF($C917="","Commercial",$C917))),Variables!$B$1:$D$1,0),1))*(BJ917/365))+(INDEX(Variables!$B$8:$D$8,IFERROR(MATCH(IF($B917="Robusta","Robusta",(IF($B917="","Arabica",$B917))&amp;" - "&amp;(IF($C917="","Commercial",$C917))),Variables!$B$1:$D$1,0),1))*L917/16.67)),""))</f>
        <v>-101.62803693328584</v>
      </c>
    </row>
    <row r="918" spans="1:63">
      <c r="A918" s="13" t="s">
        <v>103</v>
      </c>
      <c r="B918" s="13" t="s">
        <v>104</v>
      </c>
      <c r="C918" s="13" t="s">
        <v>292</v>
      </c>
      <c r="D918" s="31">
        <v>46078</v>
      </c>
      <c r="E918" s="31">
        <v>46113</v>
      </c>
      <c r="F918" s="31">
        <v>46142</v>
      </c>
      <c r="G918" s="13">
        <v>3787347</v>
      </c>
      <c r="J918" s="13" t="s">
        <v>2377</v>
      </c>
      <c r="K918" s="13" t="s">
        <v>2378</v>
      </c>
      <c r="L918" s="13">
        <v>15</v>
      </c>
      <c r="M918" s="13">
        <v>0</v>
      </c>
      <c r="N918" s="13" t="s">
        <v>2379</v>
      </c>
      <c r="O918" s="13" t="s">
        <v>576</v>
      </c>
      <c r="P918" s="13">
        <v>10020</v>
      </c>
      <c r="R918" s="13" t="s">
        <v>671</v>
      </c>
      <c r="S918" s="13" t="s">
        <v>2372</v>
      </c>
      <c r="T918" s="13" t="s">
        <v>2372</v>
      </c>
      <c r="U918" s="13" t="s">
        <v>182</v>
      </c>
      <c r="V918" s="23">
        <v>184</v>
      </c>
      <c r="W918" s="44">
        <f>IF($AX918="Cancelled","",IFERROR(((V918+INDEX(Variables!$B$6:$D$6,IFERROR(MATCH(IF($B918="Robusta","Robusta",(IF($B918="","Arabica",$B918))&amp;" - "&amp;(IF($C918="","Commercial",$C918))),Variables!$B$1:$D$1,0),1)))*22.0462)*(L918/16.67),""))</f>
        <v>9418.898404319134</v>
      </c>
      <c r="Y918" s="13" t="str">
        <f>IF($AX918="Cancelled","",IF(X918="","",IFERROR(IF(INDEX(Variables!$B$38:$B$47,MATCH(X918,Variables!$A$38:$A$47,0))="Yes","Yes","No"),"No")))</f>
        <v/>
      </c>
      <c r="Z918" s="31"/>
      <c r="AC918" s="13" t="str">
        <f t="shared" si="43"/>
        <v/>
      </c>
      <c r="AF918" s="71">
        <v>46111</v>
      </c>
      <c r="AG918" s="35">
        <f>IF($AX918="Cancelled","",IFERROR(IF(F918="","",F918-Variables!$B$13),""))</f>
        <v>46127</v>
      </c>
      <c r="AH918" s="13" t="str">
        <f>IF($AX918="Cancelled","",IFERROR(IF(AB918="","",(AVERAGE(E918:F918)-AB918)-Variables!$B$14),""))</f>
        <v/>
      </c>
      <c r="AJ918" s="47">
        <v>46195</v>
      </c>
      <c r="AK918" s="14">
        <f>IF($AX918="Cancelled","",IFERROR(IF(AJ918="","",IF(AND(AB918="",AF918=""),"",IF(AF918&gt;AB918,AF918+Variables!$B$15+Variables!$B$16+Variables!$B$17-AJ918,AB918+Variables!$B$16+Variables!$B$17-AJ918))),""))</f>
        <v>-69</v>
      </c>
      <c r="AL918" s="48" t="s">
        <v>114</v>
      </c>
      <c r="AM918" s="13" t="s">
        <v>1784</v>
      </c>
      <c r="AN918" s="13" t="s">
        <v>2373</v>
      </c>
      <c r="AP918" s="39"/>
      <c r="AR918" s="13" t="s">
        <v>2374</v>
      </c>
      <c r="AS918" s="31">
        <v>46203</v>
      </c>
      <c r="AU918" s="31">
        <v>46234</v>
      </c>
      <c r="AV918" s="13" t="e">
        <v>#N/A</v>
      </c>
      <c r="AW918" s="31">
        <v>46234</v>
      </c>
      <c r="AX918" s="13" t="str">
        <f>IF(ISNUMBER(SEARCH("cancel",#REF!)),"Cancelled",IF(AND(AS918&lt;&gt;"",AU918&lt;&gt;"",AW918&lt;&gt;""),"Closed","Open"))</f>
        <v>Closed</v>
      </c>
      <c r="AY918" s="15" t="str">
        <f t="shared" si="45"/>
        <v>All dates received</v>
      </c>
      <c r="BD918" s="13">
        <f>IF($AX918="Cancelled","",IFERROR(IF(OR(AS918="",AJ918=""),"",(AJ918+Variables!$B$18-AS918)),""))</f>
        <v>7</v>
      </c>
      <c r="BE918" s="13">
        <f>IF($AX918="Cancelled","",IFERROR(IF(OR(AW918="",AS918=""),"",(AS918+Variables!$B$19)-AW918),""))</f>
        <v>-26</v>
      </c>
      <c r="BF918" s="44">
        <f>IF($AX918="Cancelled","",IFERROR(W918*INDEX(Variables!$B$7:$D$7,IFERROR(MATCH(IF($B918="Robusta","Robusta",(IF($B918="","Arabica",$B918))&amp;" - "&amp;(IF($C918="","Commercial",$C918))),Variables!$B$1:$D$1,0),1))*(BE918/365),""))</f>
        <v>-43.263379610579918</v>
      </c>
      <c r="BG918" s="44" t="str">
        <f>IF($AX918="Cancelled","",IFERROR((W918*INDEX(Variables!$B$7:$D$7,IFERROR(MATCH(IF($B918="Robusta","Robusta",(IF($B918="","Arabica",$B918))&amp;" - "&amp;(IF($C918="","Commercial",$C918))),Variables!$B$1:$D$1,0),1))*IFERROR(IF(AB918="","",(AVERAGE(E918:F918)-AB918)-Variables!$B$14),"")/365)+(L918/16.67*INDEX(Variables!$B$8:$D$8,IFERROR(MATCH(IF($B918="Robusta","Robusta",(IF($B918="","Arabica",$B918))&amp;" - "&amp;(IF($C918="","Commercial",$C918))),Variables!$B$1:$D$1,0),1))*IFERROR(IF(AB918="","",(AVERAGE(E918:F918)-AB918)-Variables!$B$14),""))+(W918*INDEX(Variables!$B$9:$D$9,IFERROR(MATCH(IF($B918="Robusta","Robusta",(IF($B918="","Arabica",$B918))&amp;" - "&amp;(IF($C918="","Commercial",$C918))),Variables!$B$1:$D$1,0),1))*IFERROR(IF(AB918="","",(AVERAGE(E918:F918)-AB918)-Variables!$B$14),"")/365),""))</f>
        <v/>
      </c>
      <c r="BH918" s="44">
        <f>IF($AX918="Cancelled","",IFERROR((W918*INDEX(Variables!$B$7:$D$7,IFERROR(MATCH(IF($B918="Robusta","Robusta",(IF($B918="","Arabica",$B918))&amp;" - "&amp;(IF($C918="","Commercial",$C918))),Variables!$B$1:$D$1,0),1))*AK918/365)+(L918/16.67*INDEX(Variables!$B$8:$D$8,IFERROR(MATCH(IF($B918="Robusta","Robusta",(IF($B918="","Arabica",$B918))&amp;" - "&amp;(IF($C918="","Commercial",$C918))),Variables!$B$1:$D$1,0),1))*AK918)+(W918*INDEX(Variables!$B$9:$D$9,IFERROR(MATCH(IF($B918="Robusta","Robusta",(IF($B918="","Arabica",$B918))&amp;" - "&amp;(IF($C918="","Commercial",$C918))),Variables!$B$1:$D$1,0),1))*AK918/365),""))</f>
        <v>-168.04453217590233</v>
      </c>
      <c r="BI918" s="44">
        <f>IF($AX918="Cancelled","",IFERROR((W918*INDEX(Variables!$B$7:$D$7,IFERROR(MATCH(IF($B918="Robusta","Robusta",(IF($B918="","Arabica",$B918))&amp;" - "&amp;(IF($C918="","Commercial",$C918))),Variables!$B$1:$D$1,0),1))*BD918/365)+(L918/16.67*INDEX(Variables!$B$8:$D$8,IFERROR(MATCH(IF($B918="Robusta","Robusta",(IF($B918="","Arabica",$B918))&amp;" - "&amp;(IF($C918="","Commercial",$C918))),Variables!$B$1:$D$1,0),1))*BD918)+(W918*INDEX(Variables!$B$9:$D$9,IFERROR(MATCH(IF($B918="Robusta","Robusta",(IF($B918="","Arabica",$B918))&amp;" - "&amp;(IF($C918="","Commercial",$C918))),Variables!$B$1:$D$1,0),1))*BD918/365),""))</f>
        <v>17.047996017845161</v>
      </c>
      <c r="BJ918" s="44">
        <f t="shared" si="44"/>
        <v>-61</v>
      </c>
      <c r="BK918" s="44">
        <f>IF($AX918="Cancelled","",IFERROR(IF(BJ918="","",(W918*INDEX(Variables!$B$7:$D$7,IFERROR(MATCH(IF($B918="Robusta","Robusta",(IF($B918="","Arabica",$B918))&amp;" - "&amp;(IF($C918="","Commercial",$C918))),Variables!$B$1:$D$1,0),1))*(BJ918/365))+(W918*INDEX(Variables!$B$9:$D$9,IFERROR(MATCH(IF($B918="Robusta","Robusta",(IF($B918="","Arabica",$B918))&amp;" - "&amp;(IF($C918="","Commercial",$C918))),Variables!$B$1:$D$1,0),1))*(BJ918/365))+(INDEX(Variables!$B$8:$D$8,IFERROR(MATCH(IF($B918="Robusta","Robusta",(IF($B918="","Arabica",$B918))&amp;" - "&amp;(IF($C918="","Commercial",$C918))),Variables!$B$1:$D$1,0),1))*L918/16.67)),""))</f>
        <v>-102.06110815550787</v>
      </c>
    </row>
    <row r="919" spans="1:63">
      <c r="A919" s="13" t="s">
        <v>103</v>
      </c>
      <c r="B919" s="13" t="s">
        <v>104</v>
      </c>
      <c r="C919" s="13" t="s">
        <v>292</v>
      </c>
      <c r="D919" s="31">
        <v>46078</v>
      </c>
      <c r="E919" s="31">
        <v>46113</v>
      </c>
      <c r="F919" s="31">
        <v>46142</v>
      </c>
      <c r="G919" s="13">
        <v>3787348</v>
      </c>
      <c r="J919" s="13" t="s">
        <v>506</v>
      </c>
      <c r="K919" s="13" t="s">
        <v>2380</v>
      </c>
      <c r="L919" s="13" t="s">
        <v>2381</v>
      </c>
      <c r="M919" s="13">
        <v>0</v>
      </c>
      <c r="N919" s="13" t="s">
        <v>2382</v>
      </c>
      <c r="O919" s="13" t="s">
        <v>771</v>
      </c>
      <c r="P919" s="13">
        <v>10010</v>
      </c>
      <c r="R919" s="13" t="s">
        <v>239</v>
      </c>
      <c r="S919" s="13" t="s">
        <v>509</v>
      </c>
      <c r="T919" s="13" t="s">
        <v>329</v>
      </c>
      <c r="U919" s="13" t="s">
        <v>330</v>
      </c>
      <c r="V919" s="23">
        <v>167</v>
      </c>
      <c r="W919" s="44" t="str">
        <f>IF($AX919="Cancelled","",IFERROR(((V919+INDEX(Variables!$B$6:$D$6,IFERROR(MATCH(IF($B919="Robusta","Robusta",(IF($B919="","Arabica",$B919))&amp;" - "&amp;(IF($C919="","Commercial",$C919))),Variables!$B$1:$D$1,0),1)))*22.0462)*(L919/16.67),""))</f>
        <v/>
      </c>
      <c r="Y919" s="13" t="str">
        <f>IF($AX919="Cancelled","",IF(X919="","",IFERROR(IF(INDEX(Variables!$B$38:$B$47,MATCH(X919,Variables!$A$38:$A$47,0))="Yes","Yes","No"),"No")))</f>
        <v/>
      </c>
      <c r="Z919" s="31"/>
      <c r="AC919" s="13" t="str">
        <f t="shared" si="43"/>
        <v/>
      </c>
      <c r="AF919" s="71">
        <v>46099</v>
      </c>
      <c r="AG919" s="37">
        <f>IF($AX919="Cancelled","",IFERROR(IF(F919="","",F919-Variables!$B$13),""))</f>
        <v>46127</v>
      </c>
      <c r="AH919" s="13" t="str">
        <f>IF($AX919="Cancelled","",IFERROR(IF(AB919="","",(AVERAGE(E919:F919)-AB919)-Variables!$B$14),""))</f>
        <v/>
      </c>
      <c r="AJ919" s="47">
        <v>46136</v>
      </c>
      <c r="AK919" s="14">
        <f>IF($AX919="Cancelled","",IFERROR(IF(AJ919="","",IF(AND(AB919="",AF919=""),"",IF(AF919&gt;AB919,AF919+Variables!$B$15+Variables!$B$16+Variables!$B$17-AJ919,AB919+Variables!$B$16+Variables!$B$17-AJ919))),""))</f>
        <v>-22</v>
      </c>
      <c r="AL919" s="48" t="s">
        <v>114</v>
      </c>
      <c r="AM919" s="13" t="s">
        <v>115</v>
      </c>
      <c r="AN919" s="13" t="s">
        <v>2287</v>
      </c>
      <c r="AP919" s="39">
        <v>46160</v>
      </c>
      <c r="AR919" s="13">
        <v>269584125</v>
      </c>
      <c r="AS919" s="31">
        <v>46160</v>
      </c>
      <c r="AU919" s="31">
        <v>46174</v>
      </c>
      <c r="AV919" s="13" t="e">
        <v>#N/A</v>
      </c>
      <c r="AW919" s="31">
        <v>46174</v>
      </c>
      <c r="AX919" s="13" t="str">
        <f>IF(ISNUMBER(SEARCH("cancel",#REF!)),"Cancelled",IF(AND(AS919&lt;&gt;"",AU919&lt;&gt;"",AW919&lt;&gt;""),"Closed","Open"))</f>
        <v>Closed</v>
      </c>
      <c r="AY919" s="15" t="str">
        <f t="shared" si="45"/>
        <v>All dates received</v>
      </c>
      <c r="BD919" s="13">
        <f>IF($AX919="Cancelled","",IFERROR(IF(OR(AS919="",AJ919=""),"",(AJ919+Variables!$B$18-AS919)),""))</f>
        <v>-9</v>
      </c>
      <c r="BE919" s="13">
        <f>IF($AX919="Cancelled","",IFERROR(IF(OR(AW919="",AS919=""),"",(AS919+Variables!$B$19)-AW919),""))</f>
        <v>-9</v>
      </c>
      <c r="BF919" s="44" t="str">
        <f>IF($AX919="Cancelled","",IFERROR(W919*INDEX(Variables!$B$7:$D$7,IFERROR(MATCH(IF($B919="Robusta","Robusta",(IF($B919="","Arabica",$B919))&amp;" - "&amp;(IF($C919="","Commercial",$C919))),Variables!$B$1:$D$1,0),1))*(BE919/365),""))</f>
        <v/>
      </c>
      <c r="BG919" s="44" t="str">
        <f>IF($AX919="Cancelled","",IFERROR((W919*INDEX(Variables!$B$7:$D$7,IFERROR(MATCH(IF($B919="Robusta","Robusta",(IF($B919="","Arabica",$B919))&amp;" - "&amp;(IF($C919="","Commercial",$C919))),Variables!$B$1:$D$1,0),1))*IFERROR(IF(AB919="","",(AVERAGE(E919:F919)-AB919)-Variables!$B$14),"")/365)+(L919/16.67*INDEX(Variables!$B$8:$D$8,IFERROR(MATCH(IF($B919="Robusta","Robusta",(IF($B919="","Arabica",$B919))&amp;" - "&amp;(IF($C919="","Commercial",$C919))),Variables!$B$1:$D$1,0),1))*IFERROR(IF(AB919="","",(AVERAGE(E919:F919)-AB919)-Variables!$B$14),""))+(W919*INDEX(Variables!$B$9:$D$9,IFERROR(MATCH(IF($B919="Robusta","Robusta",(IF($B919="","Arabica",$B919))&amp;" - "&amp;(IF($C919="","Commercial",$C919))),Variables!$B$1:$D$1,0),1))*IFERROR(IF(AB919="","",(AVERAGE(E919:F919)-AB919)-Variables!$B$14),"")/365),""))</f>
        <v/>
      </c>
      <c r="BH919" s="44" t="str">
        <f>IF($AX919="Cancelled","",IFERROR((W919*INDEX(Variables!$B$7:$D$7,IFERROR(MATCH(IF($B919="Robusta","Robusta",(IF($B919="","Arabica",$B919))&amp;" - "&amp;(IF($C919="","Commercial",$C919))),Variables!$B$1:$D$1,0),1))*AK919/365)+(L919/16.67*INDEX(Variables!$B$8:$D$8,IFERROR(MATCH(IF($B919="Robusta","Robusta",(IF($B919="","Arabica",$B919))&amp;" - "&amp;(IF($C919="","Commercial",$C919))),Variables!$B$1:$D$1,0),1))*AK919)+(W919*INDEX(Variables!$B$9:$D$9,IFERROR(MATCH(IF($B919="Robusta","Robusta",(IF($B919="","Arabica",$B919))&amp;" - "&amp;(IF($C919="","Commercial",$C919))),Variables!$B$1:$D$1,0),1))*AK919/365),""))</f>
        <v/>
      </c>
      <c r="BI919" s="44" t="str">
        <f>IF($AX919="Cancelled","",IFERROR((W919*INDEX(Variables!$B$7:$D$7,IFERROR(MATCH(IF($B919="Robusta","Robusta",(IF($B919="","Arabica",$B919))&amp;" - "&amp;(IF($C919="","Commercial",$C919))),Variables!$B$1:$D$1,0),1))*BD919/365)+(L919/16.67*INDEX(Variables!$B$8:$D$8,IFERROR(MATCH(IF($B919="Robusta","Robusta",(IF($B919="","Arabica",$B919))&amp;" - "&amp;(IF($C919="","Commercial",$C919))),Variables!$B$1:$D$1,0),1))*BD919)+(W919*INDEX(Variables!$B$9:$D$9,IFERROR(MATCH(IF($B919="Robusta","Robusta",(IF($B919="","Arabica",$B919))&amp;" - "&amp;(IF($C919="","Commercial",$C919))),Variables!$B$1:$D$1,0),1))*BD919/365),""))</f>
        <v/>
      </c>
      <c r="BJ919" s="44">
        <f t="shared" si="44"/>
        <v>-18</v>
      </c>
      <c r="BK919" s="44" t="str">
        <f>IF($AX919="Cancelled","",IFERROR(IF(BJ919="","",(W919*INDEX(Variables!$B$7:$D$7,IFERROR(MATCH(IF($B919="Robusta","Robusta",(IF($B919="","Arabica",$B919))&amp;" - "&amp;(IF($C919="","Commercial",$C919))),Variables!$B$1:$D$1,0),1))*(BJ919/365))+(W919*INDEX(Variables!$B$9:$D$9,IFERROR(MATCH(IF($B919="Robusta","Robusta",(IF($B919="","Arabica",$B919))&amp;" - "&amp;(IF($C919="","Commercial",$C919))),Variables!$B$1:$D$1,0),1))*(BJ919/365))+(INDEX(Variables!$B$8:$D$8,IFERROR(MATCH(IF($B919="Robusta","Robusta",(IF($B919="","Arabica",$B919))&amp;" - "&amp;(IF($C919="","Commercial",$C919))),Variables!$B$1:$D$1,0),1))*L919/16.67)),""))</f>
        <v/>
      </c>
    </row>
    <row r="920" spans="1:63">
      <c r="A920" s="13" t="s">
        <v>103</v>
      </c>
      <c r="B920" s="13" t="s">
        <v>104</v>
      </c>
      <c r="C920" s="13" t="s">
        <v>292</v>
      </c>
      <c r="D920" s="31">
        <v>46078</v>
      </c>
      <c r="E920" s="31">
        <v>46113</v>
      </c>
      <c r="F920" s="31">
        <v>46142</v>
      </c>
      <c r="G920" s="13">
        <v>3787349</v>
      </c>
      <c r="J920" s="13" t="s">
        <v>506</v>
      </c>
      <c r="K920" s="13" t="s">
        <v>2383</v>
      </c>
      <c r="L920" s="13" t="s">
        <v>2384</v>
      </c>
      <c r="M920" s="13">
        <v>0</v>
      </c>
      <c r="N920" s="13" t="s">
        <v>2385</v>
      </c>
      <c r="O920" s="13" t="s">
        <v>771</v>
      </c>
      <c r="P920" s="13">
        <v>10010</v>
      </c>
      <c r="R920" s="13" t="s">
        <v>239</v>
      </c>
      <c r="S920" s="13" t="s">
        <v>509</v>
      </c>
      <c r="T920" s="13" t="s">
        <v>329</v>
      </c>
      <c r="U920" s="13" t="s">
        <v>330</v>
      </c>
      <c r="V920" s="23">
        <v>209</v>
      </c>
      <c r="W920" s="44" t="str">
        <f>IF($AX920="Cancelled","",IFERROR(((V920+INDEX(Variables!$B$6:$D$6,IFERROR(MATCH(IF($B920="Robusta","Robusta",(IF($B920="","Arabica",$B920))&amp;" - "&amp;(IF($C920="","Commercial",$C920))),Variables!$B$1:$D$1,0),1)))*22.0462)*(L920/16.67),""))</f>
        <v/>
      </c>
      <c r="Y920" s="13" t="str">
        <f>IF($AX920="Cancelled","",IF(X920="","",IFERROR(IF(INDEX(Variables!$B$38:$B$47,MATCH(X920,Variables!$A$38:$A$47,0))="Yes","Yes","No"),"No")))</f>
        <v/>
      </c>
      <c r="Z920" s="31"/>
      <c r="AC920" s="13" t="str">
        <f t="shared" si="43"/>
        <v/>
      </c>
      <c r="AF920" s="71">
        <v>46134</v>
      </c>
      <c r="AG920" s="37">
        <f>IF($AX920="Cancelled","",IFERROR(IF(F920="","",F920-Variables!$B$13),""))</f>
        <v>46127</v>
      </c>
      <c r="AH920" s="13" t="str">
        <f>IF($AX920="Cancelled","",IFERROR(IF(AB920="","",(AVERAGE(E920:F920)-AB920)-Variables!$B$14),""))</f>
        <v/>
      </c>
      <c r="AJ920" s="47">
        <v>46136</v>
      </c>
      <c r="AK920" s="14">
        <f>IF($AX920="Cancelled","",IFERROR(IF(AJ920="","",IF(AND(AB920="",AF920=""),"",IF(AF920&gt;AB920,AF920+Variables!$B$15+Variables!$B$16+Variables!$B$17-AJ920,AB920+Variables!$B$16+Variables!$B$17-AJ920))),""))</f>
        <v>13</v>
      </c>
      <c r="AL920" s="48" t="s">
        <v>114</v>
      </c>
      <c r="AM920" s="13" t="s">
        <v>115</v>
      </c>
      <c r="AN920" s="13" t="s">
        <v>2287</v>
      </c>
      <c r="AP920" s="39">
        <v>46160</v>
      </c>
      <c r="AR920" s="13">
        <v>269584125</v>
      </c>
      <c r="AS920" s="31">
        <v>46160</v>
      </c>
      <c r="AU920" s="31">
        <v>46174</v>
      </c>
      <c r="AV920" s="13" t="e">
        <v>#N/A</v>
      </c>
      <c r="AW920" s="31">
        <v>46174</v>
      </c>
      <c r="AX920" s="13" t="str">
        <f>IF(ISNUMBER(SEARCH("cancel",#REF!)),"Cancelled",IF(AND(AS920&lt;&gt;"",AU920&lt;&gt;"",AW920&lt;&gt;""),"Closed","Open"))</f>
        <v>Closed</v>
      </c>
      <c r="AY920" s="15" t="str">
        <f t="shared" si="45"/>
        <v>All dates received</v>
      </c>
      <c r="BD920" s="13">
        <f>IF($AX920="Cancelled","",IFERROR(IF(OR(AS920="",AJ920=""),"",(AJ920+Variables!$B$18-AS920)),""))</f>
        <v>-9</v>
      </c>
      <c r="BE920" s="13">
        <f>IF($AX920="Cancelled","",IFERROR(IF(OR(AW920="",AS920=""),"",(AS920+Variables!$B$19)-AW920),""))</f>
        <v>-9</v>
      </c>
      <c r="BF920" s="44" t="str">
        <f>IF($AX920="Cancelled","",IFERROR(W920*INDEX(Variables!$B$7:$D$7,IFERROR(MATCH(IF($B920="Robusta","Robusta",(IF($B920="","Arabica",$B920))&amp;" - "&amp;(IF($C920="","Commercial",$C920))),Variables!$B$1:$D$1,0),1))*(BE920/365),""))</f>
        <v/>
      </c>
      <c r="BG920" s="44" t="str">
        <f>IF($AX920="Cancelled","",IFERROR((W920*INDEX(Variables!$B$7:$D$7,IFERROR(MATCH(IF($B920="Robusta","Robusta",(IF($B920="","Arabica",$B920))&amp;" - "&amp;(IF($C920="","Commercial",$C920))),Variables!$B$1:$D$1,0),1))*IFERROR(IF(AB920="","",(AVERAGE(E920:F920)-AB920)-Variables!$B$14),"")/365)+(L920/16.67*INDEX(Variables!$B$8:$D$8,IFERROR(MATCH(IF($B920="Robusta","Robusta",(IF($B920="","Arabica",$B920))&amp;" - "&amp;(IF($C920="","Commercial",$C920))),Variables!$B$1:$D$1,0),1))*IFERROR(IF(AB920="","",(AVERAGE(E920:F920)-AB920)-Variables!$B$14),""))+(W920*INDEX(Variables!$B$9:$D$9,IFERROR(MATCH(IF($B920="Robusta","Robusta",(IF($B920="","Arabica",$B920))&amp;" - "&amp;(IF($C920="","Commercial",$C920))),Variables!$B$1:$D$1,0),1))*IFERROR(IF(AB920="","",(AVERAGE(E920:F920)-AB920)-Variables!$B$14),"")/365),""))</f>
        <v/>
      </c>
      <c r="BH920" s="44" t="str">
        <f>IF($AX920="Cancelled","",IFERROR((W920*INDEX(Variables!$B$7:$D$7,IFERROR(MATCH(IF($B920="Robusta","Robusta",(IF($B920="","Arabica",$B920))&amp;" - "&amp;(IF($C920="","Commercial",$C920))),Variables!$B$1:$D$1,0),1))*AK920/365)+(L920/16.67*INDEX(Variables!$B$8:$D$8,IFERROR(MATCH(IF($B920="Robusta","Robusta",(IF($B920="","Arabica",$B920))&amp;" - "&amp;(IF($C920="","Commercial",$C920))),Variables!$B$1:$D$1,0),1))*AK920)+(W920*INDEX(Variables!$B$9:$D$9,IFERROR(MATCH(IF($B920="Robusta","Robusta",(IF($B920="","Arabica",$B920))&amp;" - "&amp;(IF($C920="","Commercial",$C920))),Variables!$B$1:$D$1,0),1))*AK920/365),""))</f>
        <v/>
      </c>
      <c r="BI920" s="44" t="str">
        <f>IF($AX920="Cancelled","",IFERROR((W920*INDEX(Variables!$B$7:$D$7,IFERROR(MATCH(IF($B920="Robusta","Robusta",(IF($B920="","Arabica",$B920))&amp;" - "&amp;(IF($C920="","Commercial",$C920))),Variables!$B$1:$D$1,0),1))*BD920/365)+(L920/16.67*INDEX(Variables!$B$8:$D$8,IFERROR(MATCH(IF($B920="Robusta","Robusta",(IF($B920="","Arabica",$B920))&amp;" - "&amp;(IF($C920="","Commercial",$C920))),Variables!$B$1:$D$1,0),1))*BD920)+(W920*INDEX(Variables!$B$9:$D$9,IFERROR(MATCH(IF($B920="Robusta","Robusta",(IF($B920="","Arabica",$B920))&amp;" - "&amp;(IF($C920="","Commercial",$C920))),Variables!$B$1:$D$1,0),1))*BD920/365),""))</f>
        <v/>
      </c>
      <c r="BJ920" s="44">
        <f t="shared" si="44"/>
        <v>-18</v>
      </c>
      <c r="BK920" s="44" t="str">
        <f>IF($AX920="Cancelled","",IFERROR(IF(BJ920="","",(W920*INDEX(Variables!$B$7:$D$7,IFERROR(MATCH(IF($B920="Robusta","Robusta",(IF($B920="","Arabica",$B920))&amp;" - "&amp;(IF($C920="","Commercial",$C920))),Variables!$B$1:$D$1,0),1))*(BJ920/365))+(W920*INDEX(Variables!$B$9:$D$9,IFERROR(MATCH(IF($B920="Robusta","Robusta",(IF($B920="","Arabica",$B920))&amp;" - "&amp;(IF($C920="","Commercial",$C920))),Variables!$B$1:$D$1,0),1))*(BJ920/365))+(INDEX(Variables!$B$8:$D$8,IFERROR(MATCH(IF($B920="Robusta","Robusta",(IF($B920="","Arabica",$B920))&amp;" - "&amp;(IF($C920="","Commercial",$C920))),Variables!$B$1:$D$1,0),1))*L920/16.67)),""))</f>
        <v/>
      </c>
    </row>
    <row r="921" spans="1:63">
      <c r="A921" s="13" t="s">
        <v>103</v>
      </c>
      <c r="B921" s="13" t="s">
        <v>104</v>
      </c>
      <c r="C921" s="13" t="s">
        <v>292</v>
      </c>
      <c r="D921" s="31">
        <v>46078</v>
      </c>
      <c r="E921" s="31">
        <v>46113</v>
      </c>
      <c r="F921" s="31">
        <v>46142</v>
      </c>
      <c r="G921" s="13">
        <v>3787350</v>
      </c>
      <c r="J921" s="13" t="s">
        <v>506</v>
      </c>
      <c r="K921" s="13" t="s">
        <v>2386</v>
      </c>
      <c r="L921" s="13" t="s">
        <v>2387</v>
      </c>
      <c r="M921" s="13">
        <v>0</v>
      </c>
      <c r="N921" s="13" t="s">
        <v>2388</v>
      </c>
      <c r="O921" s="13" t="s">
        <v>771</v>
      </c>
      <c r="P921" s="13">
        <v>10010</v>
      </c>
      <c r="R921" s="13" t="s">
        <v>239</v>
      </c>
      <c r="S921" s="13" t="s">
        <v>509</v>
      </c>
      <c r="T921" s="13" t="s">
        <v>329</v>
      </c>
      <c r="U921" s="13" t="s">
        <v>330</v>
      </c>
      <c r="V921" s="23">
        <v>212</v>
      </c>
      <c r="W921" s="44" t="str">
        <f>IF($AX921="Cancelled","",IFERROR(((V921+INDEX(Variables!$B$6:$D$6,IFERROR(MATCH(IF($B921="Robusta","Robusta",(IF($B921="","Arabica",$B921))&amp;" - "&amp;(IF($C921="","Commercial",$C921))),Variables!$B$1:$D$1,0),1)))*22.0462)*(L921/16.67),""))</f>
        <v/>
      </c>
      <c r="Y921" s="13" t="str">
        <f>IF($AX921="Cancelled","",IF(X921="","",IFERROR(IF(INDEX(Variables!$B$38:$B$47,MATCH(X921,Variables!$A$38:$A$47,0))="Yes","Yes","No"),"No")))</f>
        <v/>
      </c>
      <c r="Z921" s="31"/>
      <c r="AC921" s="13" t="str">
        <f t="shared" si="43"/>
        <v/>
      </c>
      <c r="AF921" s="71">
        <v>46098</v>
      </c>
      <c r="AG921" s="37">
        <f>IF($AX921="Cancelled","",IFERROR(IF(F921="","",F921-Variables!$B$13),""))</f>
        <v>46127</v>
      </c>
      <c r="AH921" s="13" t="str">
        <f>IF($AX921="Cancelled","",IFERROR(IF(AB921="","",(AVERAGE(E921:F921)-AB921)-Variables!$B$14),""))</f>
        <v/>
      </c>
      <c r="AJ921" s="47">
        <v>46136</v>
      </c>
      <c r="AK921" s="14">
        <f>IF($AX921="Cancelled","",IFERROR(IF(AJ921="","",IF(AND(AB921="",AF921=""),"",IF(AF921&gt;AB921,AF921+Variables!$B$15+Variables!$B$16+Variables!$B$17-AJ921,AB921+Variables!$B$16+Variables!$B$17-AJ921))),""))</f>
        <v>-23</v>
      </c>
      <c r="AL921" s="48" t="s">
        <v>114</v>
      </c>
      <c r="AM921" s="13" t="s">
        <v>115</v>
      </c>
      <c r="AN921" s="13" t="s">
        <v>2287</v>
      </c>
      <c r="AP921" s="39">
        <v>46160</v>
      </c>
      <c r="AR921" s="13">
        <v>269584125</v>
      </c>
      <c r="AS921" s="31">
        <v>46160</v>
      </c>
      <c r="AU921" s="31">
        <v>46174</v>
      </c>
      <c r="AV921" s="13" t="e">
        <v>#N/A</v>
      </c>
      <c r="AW921" s="31">
        <v>46174</v>
      </c>
      <c r="AX921" s="13" t="str">
        <f>IF(ISNUMBER(SEARCH("cancel",#REF!)),"Cancelled",IF(AND(AS921&lt;&gt;"",AU921&lt;&gt;"",AW921&lt;&gt;""),"Closed","Open"))</f>
        <v>Closed</v>
      </c>
      <c r="AY921" s="15" t="str">
        <f t="shared" si="45"/>
        <v>All dates received</v>
      </c>
      <c r="BD921" s="13">
        <f>IF($AX921="Cancelled","",IFERROR(IF(OR(AS921="",AJ921=""),"",(AJ921+Variables!$B$18-AS921)),""))</f>
        <v>-9</v>
      </c>
      <c r="BE921" s="13">
        <f>IF($AX921="Cancelled","",IFERROR(IF(OR(AW921="",AS921=""),"",(AS921+Variables!$B$19)-AW921),""))</f>
        <v>-9</v>
      </c>
      <c r="BF921" s="44" t="str">
        <f>IF($AX921="Cancelled","",IFERROR(W921*INDEX(Variables!$B$7:$D$7,IFERROR(MATCH(IF($B921="Robusta","Robusta",(IF($B921="","Arabica",$B921))&amp;" - "&amp;(IF($C921="","Commercial",$C921))),Variables!$B$1:$D$1,0),1))*(BE921/365),""))</f>
        <v/>
      </c>
      <c r="BG921" s="44" t="str">
        <f>IF($AX921="Cancelled","",IFERROR((W921*INDEX(Variables!$B$7:$D$7,IFERROR(MATCH(IF($B921="Robusta","Robusta",(IF($B921="","Arabica",$B921))&amp;" - "&amp;(IF($C921="","Commercial",$C921))),Variables!$B$1:$D$1,0),1))*IFERROR(IF(AB921="","",(AVERAGE(E921:F921)-AB921)-Variables!$B$14),"")/365)+(L921/16.67*INDEX(Variables!$B$8:$D$8,IFERROR(MATCH(IF($B921="Robusta","Robusta",(IF($B921="","Arabica",$B921))&amp;" - "&amp;(IF($C921="","Commercial",$C921))),Variables!$B$1:$D$1,0),1))*IFERROR(IF(AB921="","",(AVERAGE(E921:F921)-AB921)-Variables!$B$14),""))+(W921*INDEX(Variables!$B$9:$D$9,IFERROR(MATCH(IF($B921="Robusta","Robusta",(IF($B921="","Arabica",$B921))&amp;" - "&amp;(IF($C921="","Commercial",$C921))),Variables!$B$1:$D$1,0),1))*IFERROR(IF(AB921="","",(AVERAGE(E921:F921)-AB921)-Variables!$B$14),"")/365),""))</f>
        <v/>
      </c>
      <c r="BH921" s="44" t="str">
        <f>IF($AX921="Cancelled","",IFERROR((W921*INDEX(Variables!$B$7:$D$7,IFERROR(MATCH(IF($B921="Robusta","Robusta",(IF($B921="","Arabica",$B921))&amp;" - "&amp;(IF($C921="","Commercial",$C921))),Variables!$B$1:$D$1,0),1))*AK921/365)+(L921/16.67*INDEX(Variables!$B$8:$D$8,IFERROR(MATCH(IF($B921="Robusta","Robusta",(IF($B921="","Arabica",$B921))&amp;" - "&amp;(IF($C921="","Commercial",$C921))),Variables!$B$1:$D$1,0),1))*AK921)+(W921*INDEX(Variables!$B$9:$D$9,IFERROR(MATCH(IF($B921="Robusta","Robusta",(IF($B921="","Arabica",$B921))&amp;" - "&amp;(IF($C921="","Commercial",$C921))),Variables!$B$1:$D$1,0),1))*AK921/365),""))</f>
        <v/>
      </c>
      <c r="BI921" s="44" t="str">
        <f>IF($AX921="Cancelled","",IFERROR((W921*INDEX(Variables!$B$7:$D$7,IFERROR(MATCH(IF($B921="Robusta","Robusta",(IF($B921="","Arabica",$B921))&amp;" - "&amp;(IF($C921="","Commercial",$C921))),Variables!$B$1:$D$1,0),1))*BD921/365)+(L921/16.67*INDEX(Variables!$B$8:$D$8,IFERROR(MATCH(IF($B921="Robusta","Robusta",(IF($B921="","Arabica",$B921))&amp;" - "&amp;(IF($C921="","Commercial",$C921))),Variables!$B$1:$D$1,0),1))*BD921)+(W921*INDEX(Variables!$B$9:$D$9,IFERROR(MATCH(IF($B921="Robusta","Robusta",(IF($B921="","Arabica",$B921))&amp;" - "&amp;(IF($C921="","Commercial",$C921))),Variables!$B$1:$D$1,0),1))*BD921/365),""))</f>
        <v/>
      </c>
      <c r="BJ921" s="44">
        <f t="shared" si="44"/>
        <v>-18</v>
      </c>
      <c r="BK921" s="44" t="str">
        <f>IF($AX921="Cancelled","",IFERROR(IF(BJ921="","",(W921*INDEX(Variables!$B$7:$D$7,IFERROR(MATCH(IF($B921="Robusta","Robusta",(IF($B921="","Arabica",$B921))&amp;" - "&amp;(IF($C921="","Commercial",$C921))),Variables!$B$1:$D$1,0),1))*(BJ921/365))+(W921*INDEX(Variables!$B$9:$D$9,IFERROR(MATCH(IF($B921="Robusta","Robusta",(IF($B921="","Arabica",$B921))&amp;" - "&amp;(IF($C921="","Commercial",$C921))),Variables!$B$1:$D$1,0),1))*(BJ921/365))+(INDEX(Variables!$B$8:$D$8,IFERROR(MATCH(IF($B921="Robusta","Robusta",(IF($B921="","Arabica",$B921))&amp;" - "&amp;(IF($C921="","Commercial",$C921))),Variables!$B$1:$D$1,0),1))*L921/16.67)),""))</f>
        <v/>
      </c>
    </row>
    <row r="922" spans="1:63">
      <c r="A922" s="13" t="s">
        <v>103</v>
      </c>
      <c r="B922" s="13" t="s">
        <v>104</v>
      </c>
      <c r="C922" s="13" t="s">
        <v>292</v>
      </c>
      <c r="D922" s="31">
        <v>46078</v>
      </c>
      <c r="E922" s="31">
        <v>46113</v>
      </c>
      <c r="F922" s="31">
        <v>46142</v>
      </c>
      <c r="G922" s="13">
        <v>3787351</v>
      </c>
      <c r="J922" s="13" t="s">
        <v>506</v>
      </c>
      <c r="K922" s="13" t="s">
        <v>2389</v>
      </c>
      <c r="L922" s="13" t="s">
        <v>2390</v>
      </c>
      <c r="M922" s="13">
        <v>0</v>
      </c>
      <c r="N922" s="13" t="s">
        <v>2391</v>
      </c>
      <c r="O922" s="13" t="s">
        <v>576</v>
      </c>
      <c r="P922" s="13">
        <v>10020</v>
      </c>
      <c r="R922" s="13" t="s">
        <v>239</v>
      </c>
      <c r="S922" s="13" t="s">
        <v>509</v>
      </c>
      <c r="T922" s="13" t="s">
        <v>329</v>
      </c>
      <c r="U922" s="13" t="s">
        <v>330</v>
      </c>
      <c r="V922" s="23">
        <v>162</v>
      </c>
      <c r="W922" s="44" t="str">
        <f>IF($AX922="Cancelled","",IFERROR(((V922+INDEX(Variables!$B$6:$D$6,IFERROR(MATCH(IF($B922="Robusta","Robusta",(IF($B922="","Arabica",$B922))&amp;" - "&amp;(IF($C922="","Commercial",$C922))),Variables!$B$1:$D$1,0),1)))*22.0462)*(L922/16.67),""))</f>
        <v/>
      </c>
      <c r="Y922" s="13" t="str">
        <f>IF($AX922="Cancelled","",IF(X922="","",IFERROR(IF(INDEX(Variables!$B$38:$B$47,MATCH(X922,Variables!$A$38:$A$47,0))="Yes","Yes","No"),"No")))</f>
        <v/>
      </c>
      <c r="Z922" s="31"/>
      <c r="AC922" s="13" t="str">
        <f t="shared" si="43"/>
        <v/>
      </c>
      <c r="AF922" s="71">
        <v>46098</v>
      </c>
      <c r="AG922" s="37">
        <f>IF($AX922="Cancelled","",IFERROR(IF(F922="","",F922-Variables!$B$13),""))</f>
        <v>46127</v>
      </c>
      <c r="AH922" s="13" t="str">
        <f>IF($AX922="Cancelled","",IFERROR(IF(AB922="","",(AVERAGE(E922:F922)-AB922)-Variables!$B$14),""))</f>
        <v/>
      </c>
      <c r="AJ922" s="47">
        <v>46136</v>
      </c>
      <c r="AK922" s="14">
        <f>IF($AX922="Cancelled","",IFERROR(IF(AJ922="","",IF(AND(AB922="",AF922=""),"",IF(AF922&gt;AB922,AF922+Variables!$B$15+Variables!$B$16+Variables!$B$17-AJ922,AB922+Variables!$B$16+Variables!$B$17-AJ922))),""))</f>
        <v>-23</v>
      </c>
      <c r="AL922" s="48" t="s">
        <v>114</v>
      </c>
      <c r="AM922" s="13" t="s">
        <v>115</v>
      </c>
      <c r="AN922" s="13" t="s">
        <v>2287</v>
      </c>
      <c r="AP922" s="39">
        <v>46160</v>
      </c>
      <c r="AR922" s="13">
        <v>269584125</v>
      </c>
      <c r="AS922" s="31">
        <v>46160</v>
      </c>
      <c r="AU922" s="31">
        <v>46174</v>
      </c>
      <c r="AV922" s="13" t="e">
        <v>#N/A</v>
      </c>
      <c r="AW922" s="31">
        <v>46174</v>
      </c>
      <c r="AX922" s="13" t="str">
        <f>IF(ISNUMBER(SEARCH("cancel",#REF!)),"Cancelled",IF(AND(AS922&lt;&gt;"",AU922&lt;&gt;"",AW922&lt;&gt;""),"Closed","Open"))</f>
        <v>Closed</v>
      </c>
      <c r="AY922" s="15" t="str">
        <f t="shared" si="45"/>
        <v>All dates received</v>
      </c>
      <c r="BD922" s="13">
        <f>IF($AX922="Cancelled","",IFERROR(IF(OR(AS922="",AJ922=""),"",(AJ922+Variables!$B$18-AS922)),""))</f>
        <v>-9</v>
      </c>
      <c r="BE922" s="13">
        <f>IF($AX922="Cancelled","",IFERROR(IF(OR(AW922="",AS922=""),"",(AS922+Variables!$B$19)-AW922),""))</f>
        <v>-9</v>
      </c>
      <c r="BF922" s="44" t="str">
        <f>IF($AX922="Cancelled","",IFERROR(W922*INDEX(Variables!$B$7:$D$7,IFERROR(MATCH(IF($B922="Robusta","Robusta",(IF($B922="","Arabica",$B922))&amp;" - "&amp;(IF($C922="","Commercial",$C922))),Variables!$B$1:$D$1,0),1))*(BE922/365),""))</f>
        <v/>
      </c>
      <c r="BG922" s="44" t="str">
        <f>IF($AX922="Cancelled","",IFERROR((W922*INDEX(Variables!$B$7:$D$7,IFERROR(MATCH(IF($B922="Robusta","Robusta",(IF($B922="","Arabica",$B922))&amp;" - "&amp;(IF($C922="","Commercial",$C922))),Variables!$B$1:$D$1,0),1))*IFERROR(IF(AB922="","",(AVERAGE(E922:F922)-AB922)-Variables!$B$14),"")/365)+(L922/16.67*INDEX(Variables!$B$8:$D$8,IFERROR(MATCH(IF($B922="Robusta","Robusta",(IF($B922="","Arabica",$B922))&amp;" - "&amp;(IF($C922="","Commercial",$C922))),Variables!$B$1:$D$1,0),1))*IFERROR(IF(AB922="","",(AVERAGE(E922:F922)-AB922)-Variables!$B$14),""))+(W922*INDEX(Variables!$B$9:$D$9,IFERROR(MATCH(IF($B922="Robusta","Robusta",(IF($B922="","Arabica",$B922))&amp;" - "&amp;(IF($C922="","Commercial",$C922))),Variables!$B$1:$D$1,0),1))*IFERROR(IF(AB922="","",(AVERAGE(E922:F922)-AB922)-Variables!$B$14),"")/365),""))</f>
        <v/>
      </c>
      <c r="BH922" s="44" t="str">
        <f>IF($AX922="Cancelled","",IFERROR((W922*INDEX(Variables!$B$7:$D$7,IFERROR(MATCH(IF($B922="Robusta","Robusta",(IF($B922="","Arabica",$B922))&amp;" - "&amp;(IF($C922="","Commercial",$C922))),Variables!$B$1:$D$1,0),1))*AK922/365)+(L922/16.67*INDEX(Variables!$B$8:$D$8,IFERROR(MATCH(IF($B922="Robusta","Robusta",(IF($B922="","Arabica",$B922))&amp;" - "&amp;(IF($C922="","Commercial",$C922))),Variables!$B$1:$D$1,0),1))*AK922)+(W922*INDEX(Variables!$B$9:$D$9,IFERROR(MATCH(IF($B922="Robusta","Robusta",(IF($B922="","Arabica",$B922))&amp;" - "&amp;(IF($C922="","Commercial",$C922))),Variables!$B$1:$D$1,0),1))*AK922/365),""))</f>
        <v/>
      </c>
      <c r="BI922" s="44" t="str">
        <f>IF($AX922="Cancelled","",IFERROR((W922*INDEX(Variables!$B$7:$D$7,IFERROR(MATCH(IF($B922="Robusta","Robusta",(IF($B922="","Arabica",$B922))&amp;" - "&amp;(IF($C922="","Commercial",$C922))),Variables!$B$1:$D$1,0),1))*BD922/365)+(L922/16.67*INDEX(Variables!$B$8:$D$8,IFERROR(MATCH(IF($B922="Robusta","Robusta",(IF($B922="","Arabica",$B922))&amp;" - "&amp;(IF($C922="","Commercial",$C922))),Variables!$B$1:$D$1,0),1))*BD922)+(W922*INDEX(Variables!$B$9:$D$9,IFERROR(MATCH(IF($B922="Robusta","Robusta",(IF($B922="","Arabica",$B922))&amp;" - "&amp;(IF($C922="","Commercial",$C922))),Variables!$B$1:$D$1,0),1))*BD922/365),""))</f>
        <v/>
      </c>
      <c r="BJ922" s="44">
        <f t="shared" si="44"/>
        <v>-18</v>
      </c>
      <c r="BK922" s="44" t="str">
        <f>IF($AX922="Cancelled","",IFERROR(IF(BJ922="","",(W922*INDEX(Variables!$B$7:$D$7,IFERROR(MATCH(IF($B922="Robusta","Robusta",(IF($B922="","Arabica",$B922))&amp;" - "&amp;(IF($C922="","Commercial",$C922))),Variables!$B$1:$D$1,0),1))*(BJ922/365))+(W922*INDEX(Variables!$B$9:$D$9,IFERROR(MATCH(IF($B922="Robusta","Robusta",(IF($B922="","Arabica",$B922))&amp;" - "&amp;(IF($C922="","Commercial",$C922))),Variables!$B$1:$D$1,0),1))*(BJ922/365))+(INDEX(Variables!$B$8:$D$8,IFERROR(MATCH(IF($B922="Robusta","Robusta",(IF($B922="","Arabica",$B922))&amp;" - "&amp;(IF($C922="","Commercial",$C922))),Variables!$B$1:$D$1,0),1))*L922/16.67)),""))</f>
        <v/>
      </c>
    </row>
    <row r="923" spans="1:63">
      <c r="A923" s="13" t="s">
        <v>103</v>
      </c>
      <c r="B923" s="13" t="s">
        <v>104</v>
      </c>
      <c r="C923" s="13" t="s">
        <v>292</v>
      </c>
      <c r="D923" s="31">
        <v>46078</v>
      </c>
      <c r="E923" s="31">
        <v>46113</v>
      </c>
      <c r="F923" s="31">
        <v>46142</v>
      </c>
      <c r="G923" s="13">
        <v>3787352</v>
      </c>
      <c r="J923" s="13" t="s">
        <v>506</v>
      </c>
      <c r="K923" s="13" t="s">
        <v>2392</v>
      </c>
      <c r="L923" s="13">
        <v>8</v>
      </c>
      <c r="M923" s="13">
        <v>0</v>
      </c>
      <c r="N923" s="13" t="s">
        <v>2393</v>
      </c>
      <c r="O923" s="13" t="s">
        <v>771</v>
      </c>
      <c r="P923" s="13">
        <v>10010</v>
      </c>
      <c r="R923" s="13" t="s">
        <v>384</v>
      </c>
      <c r="S923" s="13" t="s">
        <v>509</v>
      </c>
      <c r="T923" s="13" t="s">
        <v>329</v>
      </c>
      <c r="U923" s="13" t="s">
        <v>330</v>
      </c>
      <c r="V923" s="23">
        <v>189</v>
      </c>
      <c r="W923" s="44">
        <f>IF($AX923="Cancelled","",IFERROR(((V923+INDEX(Variables!$B$6:$D$6,IFERROR(MATCH(IF($B923="Robusta","Robusta",(IF($B923="","Arabica",$B923))&amp;" - "&amp;(IF($C923="","Commercial",$C923))),Variables!$B$1:$D$1,0),1)))*22.0462)*(L923/16.67),""))</f>
        <v>5076.3127822435508</v>
      </c>
      <c r="Y923" s="13" t="str">
        <f>IF($AX923="Cancelled","",IF(X923="","",IFERROR(IF(INDEX(Variables!$B$38:$B$47,MATCH(X923,Variables!$A$38:$A$47,0))="Yes","Yes","No"),"No")))</f>
        <v/>
      </c>
      <c r="Z923" s="31"/>
      <c r="AC923" s="13" t="str">
        <f t="shared" si="43"/>
        <v/>
      </c>
      <c r="AF923" s="71">
        <v>46099</v>
      </c>
      <c r="AG923" s="37">
        <f>IF($AX923="Cancelled","",IFERROR(IF(F923="","",F923-Variables!$B$13),""))</f>
        <v>46127</v>
      </c>
      <c r="AH923" s="13" t="str">
        <f>IF($AX923="Cancelled","",IFERROR(IF(AB923="","",(AVERAGE(E923:F923)-AB923)-Variables!$B$14),""))</f>
        <v/>
      </c>
      <c r="AJ923" s="47">
        <v>46136</v>
      </c>
      <c r="AK923" s="14">
        <f>IF($AX923="Cancelled","",IFERROR(IF(AJ923="","",IF(AND(AB923="",AF923=""),"",IF(AF923&gt;AB923,AF923+Variables!$B$15+Variables!$B$16+Variables!$B$17-AJ923,AB923+Variables!$B$16+Variables!$B$17-AJ923))),""))</f>
        <v>-22</v>
      </c>
      <c r="AL923" s="48" t="s">
        <v>114</v>
      </c>
      <c r="AM923" s="13" t="s">
        <v>115</v>
      </c>
      <c r="AN923" s="13" t="s">
        <v>2287</v>
      </c>
      <c r="AP923" s="39">
        <v>46160</v>
      </c>
      <c r="AR923" s="13">
        <v>269584125</v>
      </c>
      <c r="AS923" s="31">
        <v>46160</v>
      </c>
      <c r="AU923" s="31">
        <v>46174</v>
      </c>
      <c r="AV923" s="13" t="e">
        <v>#N/A</v>
      </c>
      <c r="AW923" s="31">
        <v>46174</v>
      </c>
      <c r="AX923" s="13" t="str">
        <f>IF(ISNUMBER(SEARCH("cancel",#REF!)),"Cancelled",IF(AND(AS923&lt;&gt;"",AU923&lt;&gt;"",AW923&lt;&gt;""),"Closed","Open"))</f>
        <v>Closed</v>
      </c>
      <c r="AY923" s="15" t="str">
        <f t="shared" si="45"/>
        <v>All dates received</v>
      </c>
      <c r="BD923" s="13">
        <f>IF($AX923="Cancelled","",IFERROR(IF(OR(AS923="",AJ923=""),"",(AJ923+Variables!$B$18-AS923)),""))</f>
        <v>-9</v>
      </c>
      <c r="BE923" s="13">
        <f>IF($AX923="Cancelled","",IFERROR(IF(OR(AW923="",AS923=""),"",(AS923+Variables!$B$19)-AW923),""))</f>
        <v>-9</v>
      </c>
      <c r="BF923" s="44">
        <f>IF($AX923="Cancelled","",IFERROR(W923*INDEX(Variables!$B$7:$D$7,IFERROR(MATCH(IF($B923="Robusta","Robusta",(IF($B923="","Arabica",$B923))&amp;" - "&amp;(IF($C923="","Commercial",$C923))),Variables!$B$1:$D$1,0),1))*(BE923/365),""))</f>
        <v>-8.0711954651634681</v>
      </c>
      <c r="BG923" s="44" t="str">
        <f>IF($AX923="Cancelled","",IFERROR((W923*INDEX(Variables!$B$7:$D$7,IFERROR(MATCH(IF($B923="Robusta","Robusta",(IF($B923="","Arabica",$B923))&amp;" - "&amp;(IF($C923="","Commercial",$C923))),Variables!$B$1:$D$1,0),1))*IFERROR(IF(AB923="","",(AVERAGE(E923:F923)-AB923)-Variables!$B$14),"")/365)+(L923/16.67*INDEX(Variables!$B$8:$D$8,IFERROR(MATCH(IF($B923="Robusta","Robusta",(IF($B923="","Arabica",$B923))&amp;" - "&amp;(IF($C923="","Commercial",$C923))),Variables!$B$1:$D$1,0),1))*IFERROR(IF(AB923="","",(AVERAGE(E923:F923)-AB923)-Variables!$B$14),""))+(W923*INDEX(Variables!$B$9:$D$9,IFERROR(MATCH(IF($B923="Robusta","Robusta",(IF($B923="","Arabica",$B923))&amp;" - "&amp;(IF($C923="","Commercial",$C923))),Variables!$B$1:$D$1,0),1))*IFERROR(IF(AB923="","",(AVERAGE(E923:F923)-AB923)-Variables!$B$14),"")/365),""))</f>
        <v/>
      </c>
      <c r="BH923" s="44">
        <f>IF($AX923="Cancelled","",IFERROR((W923*INDEX(Variables!$B$7:$D$7,IFERROR(MATCH(IF($B923="Robusta","Robusta",(IF($B923="","Arabica",$B923))&amp;" - "&amp;(IF($C923="","Commercial",$C923))),Variables!$B$1:$D$1,0),1))*AK923/365)+(L923/16.67*INDEX(Variables!$B$8:$D$8,IFERROR(MATCH(IF($B923="Robusta","Robusta",(IF($B923="","Arabica",$B923))&amp;" - "&amp;(IF($C923="","Commercial",$C923))),Variables!$B$1:$D$1,0),1))*AK923)+(W923*INDEX(Variables!$B$9:$D$9,IFERROR(MATCH(IF($B923="Robusta","Robusta",(IF($B923="","Arabica",$B923))&amp;" - "&amp;(IF($C923="","Commercial",$C923))),Variables!$B$1:$D$1,0),1))*AK923/365),""))</f>
        <v>-28.783941391417571</v>
      </c>
      <c r="BI923" s="44">
        <f>IF($AX923="Cancelled","",IFERROR((W923*INDEX(Variables!$B$7:$D$7,IFERROR(MATCH(IF($B923="Robusta","Robusta",(IF($B923="","Arabica",$B923))&amp;" - "&amp;(IF($C923="","Commercial",$C923))),Variables!$B$1:$D$1,0),1))*BD923/365)+(L923/16.67*INDEX(Variables!$B$8:$D$8,IFERROR(MATCH(IF($B923="Robusta","Robusta",(IF($B923="","Arabica",$B923))&amp;" - "&amp;(IF($C923="","Commercial",$C923))),Variables!$B$1:$D$1,0),1))*BD923)+(W923*INDEX(Variables!$B$9:$D$9,IFERROR(MATCH(IF($B923="Robusta","Robusta",(IF($B923="","Arabica",$B923))&amp;" - "&amp;(IF($C923="","Commercial",$C923))),Variables!$B$1:$D$1,0),1))*BD923/365),""))</f>
        <v>-11.775248751034459</v>
      </c>
      <c r="BJ923" s="44">
        <f t="shared" si="44"/>
        <v>-18</v>
      </c>
      <c r="BK923" s="44">
        <f>IF($AX923="Cancelled","",IFERROR(IF(BJ923="","",(W923*INDEX(Variables!$B$7:$D$7,IFERROR(MATCH(IF($B923="Robusta","Robusta",(IF($B923="","Arabica",$B923))&amp;" - "&amp;(IF($C923="","Commercial",$C923))),Variables!$B$1:$D$1,0),1))*(BJ923/365))+(W923*INDEX(Variables!$B$9:$D$9,IFERROR(MATCH(IF($B923="Robusta","Robusta",(IF($B923="","Arabica",$B923))&amp;" - "&amp;(IF($C923="","Commercial",$C923))),Variables!$B$1:$D$1,0),1))*(BJ923/365))+(INDEX(Variables!$B$8:$D$8,IFERROR(MATCH(IF($B923="Robusta","Robusta",(IF($B923="","Arabica",$B923))&amp;" - "&amp;(IF($C923="","Commercial",$C923))),Variables!$B$1:$D$1,0),1))*L923/16.67)),""))</f>
        <v>-15.950497502068918</v>
      </c>
    </row>
    <row r="924" spans="1:63">
      <c r="A924" s="13" t="s">
        <v>103</v>
      </c>
      <c r="B924" s="13" t="s">
        <v>104</v>
      </c>
      <c r="C924" s="13" t="s">
        <v>292</v>
      </c>
      <c r="D924" s="31">
        <v>46078</v>
      </c>
      <c r="E924" s="31">
        <v>46113</v>
      </c>
      <c r="F924" s="31">
        <v>46142</v>
      </c>
      <c r="G924" s="13">
        <v>3787353</v>
      </c>
      <c r="J924" s="13" t="s">
        <v>506</v>
      </c>
      <c r="K924" s="13" t="s">
        <v>2394</v>
      </c>
      <c r="L924" s="13">
        <v>8</v>
      </c>
      <c r="M924" s="13">
        <v>0</v>
      </c>
      <c r="N924" s="13" t="s">
        <v>2395</v>
      </c>
      <c r="O924" s="13" t="s">
        <v>771</v>
      </c>
      <c r="P924" s="13">
        <v>10010</v>
      </c>
      <c r="R924" s="13" t="s">
        <v>384</v>
      </c>
      <c r="S924" s="13" t="s">
        <v>509</v>
      </c>
      <c r="T924" s="13" t="s">
        <v>329</v>
      </c>
      <c r="U924" s="13" t="s">
        <v>330</v>
      </c>
      <c r="V924" s="23">
        <v>234</v>
      </c>
      <c r="W924" s="44">
        <f>IF($AX924="Cancelled","",IFERROR(((V924+INDEX(Variables!$B$6:$D$6,IFERROR(MATCH(IF($B924="Robusta","Robusta",(IF($B924="","Arabica",$B924))&amp;" - "&amp;(IF($C924="","Commercial",$C924))),Variables!$B$1:$D$1,0),1)))*22.0462)*(L924/16.67),""))</f>
        <v>5552.4154817036579</v>
      </c>
      <c r="Y924" s="13" t="str">
        <f>IF($AX924="Cancelled","",IF(X924="","",IFERROR(IF(INDEX(Variables!$B$38:$B$47,MATCH(X924,Variables!$A$38:$A$47,0))="Yes","Yes","No"),"No")))</f>
        <v/>
      </c>
      <c r="Z924" s="31"/>
      <c r="AC924" s="13" t="str">
        <f t="shared" si="43"/>
        <v/>
      </c>
      <c r="AF924" s="71">
        <v>46098</v>
      </c>
      <c r="AG924" s="37">
        <f>IF($AX924="Cancelled","",IFERROR(IF(F924="","",F924-Variables!$B$13),""))</f>
        <v>46127</v>
      </c>
      <c r="AH924" s="13" t="str">
        <f>IF($AX924="Cancelled","",IFERROR(IF(AB924="","",(AVERAGE(E924:F924)-AB924)-Variables!$B$14),""))</f>
        <v/>
      </c>
      <c r="AJ924" s="47">
        <v>46136</v>
      </c>
      <c r="AK924" s="14">
        <f>IF($AX924="Cancelled","",IFERROR(IF(AJ924="","",IF(AND(AB924="",AF924=""),"",IF(AF924&gt;AB924,AF924+Variables!$B$15+Variables!$B$16+Variables!$B$17-AJ924,AB924+Variables!$B$16+Variables!$B$17-AJ924))),""))</f>
        <v>-23</v>
      </c>
      <c r="AL924" s="48" t="s">
        <v>114</v>
      </c>
      <c r="AM924" s="13" t="s">
        <v>115</v>
      </c>
      <c r="AN924" s="13" t="s">
        <v>2287</v>
      </c>
      <c r="AP924" s="39">
        <v>46160</v>
      </c>
      <c r="AR924" s="13">
        <v>269584125</v>
      </c>
      <c r="AS924" s="31">
        <v>46160</v>
      </c>
      <c r="AU924" s="31">
        <v>46174</v>
      </c>
      <c r="AV924" s="13" t="e">
        <v>#N/A</v>
      </c>
      <c r="AW924" s="31">
        <v>46174</v>
      </c>
      <c r="AX924" s="13" t="str">
        <f>IF(ISNUMBER(SEARCH("cancel",#REF!)),"Cancelled",IF(AND(AS924&lt;&gt;"",AU924&lt;&gt;"",AW924&lt;&gt;""),"Closed","Open"))</f>
        <v>Closed</v>
      </c>
      <c r="AY924" s="15" t="str">
        <f t="shared" si="45"/>
        <v>All dates received</v>
      </c>
      <c r="BD924" s="13">
        <f>IF($AX924="Cancelled","",IFERROR(IF(OR(AS924="",AJ924=""),"",(AJ924+Variables!$B$18-AS924)),""))</f>
        <v>-9</v>
      </c>
      <c r="BE924" s="13">
        <f>IF($AX924="Cancelled","",IFERROR(IF(OR(AW924="",AS924=""),"",(AS924+Variables!$B$19)-AW924),""))</f>
        <v>-9</v>
      </c>
      <c r="BF924" s="44">
        <f>IF($AX924="Cancelled","",IFERROR(W924*INDEX(Variables!$B$7:$D$7,IFERROR(MATCH(IF($B924="Robusta","Robusta",(IF($B924="","Arabica",$B924))&amp;" - "&amp;(IF($C924="","Commercial",$C924))),Variables!$B$1:$D$1,0),1))*(BE924/365),""))</f>
        <v>-8.8281854525172729</v>
      </c>
      <c r="BG924" s="44" t="str">
        <f>IF($AX924="Cancelled","",IFERROR((W924*INDEX(Variables!$B$7:$D$7,IFERROR(MATCH(IF($B924="Robusta","Robusta",(IF($B924="","Arabica",$B924))&amp;" - "&amp;(IF($C924="","Commercial",$C924))),Variables!$B$1:$D$1,0),1))*IFERROR(IF(AB924="","",(AVERAGE(E924:F924)-AB924)-Variables!$B$14),"")/365)+(L924/16.67*INDEX(Variables!$B$8:$D$8,IFERROR(MATCH(IF($B924="Robusta","Robusta",(IF($B924="","Arabica",$B924))&amp;" - "&amp;(IF($C924="","Commercial",$C924))),Variables!$B$1:$D$1,0),1))*IFERROR(IF(AB924="","",(AVERAGE(E924:F924)-AB924)-Variables!$B$14),""))+(W924*INDEX(Variables!$B$9:$D$9,IFERROR(MATCH(IF($B924="Robusta","Robusta",(IF($B924="","Arabica",$B924))&amp;" - "&amp;(IF($C924="","Commercial",$C924))),Variables!$B$1:$D$1,0),1))*IFERROR(IF(AB924="","",(AVERAGE(E924:F924)-AB924)-Variables!$B$14),"")/365),""))</f>
        <v/>
      </c>
      <c r="BH924" s="44">
        <f>IF($AX924="Cancelled","",IFERROR((W924*INDEX(Variables!$B$7:$D$7,IFERROR(MATCH(IF($B924="Robusta","Robusta",(IF($B924="","Arabica",$B924))&amp;" - "&amp;(IF($C924="","Commercial",$C924))),Variables!$B$1:$D$1,0),1))*AK924/365)+(L924/16.67*INDEX(Variables!$B$8:$D$8,IFERROR(MATCH(IF($B924="Robusta","Robusta",(IF($B924="","Arabica",$B924))&amp;" - "&amp;(IF($C924="","Commercial",$C924))),Variables!$B$1:$D$1,0),1))*AK924)+(W924*INDEX(Variables!$B$9:$D$9,IFERROR(MATCH(IF($B924="Robusta","Robusta",(IF($B924="","Arabica",$B924))&amp;" - "&amp;(IF($C924="","Commercial",$C924))),Variables!$B$1:$D$1,0),1))*AK924/365),""))</f>
        <v>-32.051772156103546</v>
      </c>
      <c r="BI924" s="44">
        <f>IF($AX924="Cancelled","",IFERROR((W924*INDEX(Variables!$B$7:$D$7,IFERROR(MATCH(IF($B924="Robusta","Robusta",(IF($B924="","Arabica",$B924))&amp;" - "&amp;(IF($C924="","Commercial",$C924))),Variables!$B$1:$D$1,0),1))*BD924/365)+(L924/16.67*INDEX(Variables!$B$8:$D$8,IFERROR(MATCH(IF($B924="Robusta","Robusta",(IF($B924="","Arabica",$B924))&amp;" - "&amp;(IF($C924="","Commercial",$C924))),Variables!$B$1:$D$1,0),1))*BD924)+(W924*INDEX(Variables!$B$9:$D$9,IFERROR(MATCH(IF($B924="Robusta","Robusta",(IF($B924="","Arabica",$B924))&amp;" - "&amp;(IF($C924="","Commercial",$C924))),Variables!$B$1:$D$1,0),1))*BD924/365),""))</f>
        <v>-12.54199780021443</v>
      </c>
      <c r="BJ924" s="44">
        <f t="shared" si="44"/>
        <v>-18</v>
      </c>
      <c r="BK924" s="44">
        <f>IF($AX924="Cancelled","",IFERROR(IF(BJ924="","",(W924*INDEX(Variables!$B$7:$D$7,IFERROR(MATCH(IF($B924="Robusta","Robusta",(IF($B924="","Arabica",$B924))&amp;" - "&amp;(IF($C924="","Commercial",$C924))),Variables!$B$1:$D$1,0),1))*(BJ924/365))+(W924*INDEX(Variables!$B$9:$D$9,IFERROR(MATCH(IF($B924="Robusta","Robusta",(IF($B924="","Arabica",$B924))&amp;" - "&amp;(IF($C924="","Commercial",$C924))),Variables!$B$1:$D$1,0),1))*(BJ924/365))+(INDEX(Variables!$B$8:$D$8,IFERROR(MATCH(IF($B924="Robusta","Robusta",(IF($B924="","Arabica",$B924))&amp;" - "&amp;(IF($C924="","Commercial",$C924))),Variables!$B$1:$D$1,0),1))*L924/16.67)),""))</f>
        <v>-17.483995600428862</v>
      </c>
    </row>
    <row r="925" spans="1:63">
      <c r="A925" s="13" t="s">
        <v>103</v>
      </c>
      <c r="B925" s="13" t="s">
        <v>104</v>
      </c>
      <c r="C925" s="13" t="s">
        <v>292</v>
      </c>
      <c r="D925" s="31">
        <v>46078</v>
      </c>
      <c r="E925" s="31">
        <v>46113</v>
      </c>
      <c r="F925" s="31">
        <v>46142</v>
      </c>
      <c r="G925" s="13">
        <v>3787354</v>
      </c>
      <c r="J925" s="13" t="s">
        <v>501</v>
      </c>
      <c r="K925" s="13" t="s">
        <v>2396</v>
      </c>
      <c r="L925" s="13">
        <v>25</v>
      </c>
      <c r="M925" s="13">
        <v>0</v>
      </c>
      <c r="N925" s="13" t="s">
        <v>2397</v>
      </c>
      <c r="O925" s="13" t="s">
        <v>576</v>
      </c>
      <c r="P925" s="13">
        <v>10020</v>
      </c>
      <c r="R925" s="13" t="s">
        <v>384</v>
      </c>
      <c r="S925" s="13" t="s">
        <v>437</v>
      </c>
      <c r="T925" s="13" t="s">
        <v>438</v>
      </c>
      <c r="U925" s="13" t="s">
        <v>182</v>
      </c>
      <c r="V925" s="23">
        <v>199</v>
      </c>
      <c r="W925" s="44">
        <f>IF($AX925="Cancelled","",IFERROR(((V925+INDEX(Variables!$B$6:$D$6,IFERROR(MATCH(IF($B925="Robusta","Robusta",(IF($B925="","Arabica",$B925))&amp;" - "&amp;(IF($C925="","Commercial",$C925))),Variables!$B$1:$D$1,0),1)))*22.0462)*(L925/16.67),""))</f>
        <v>16194.10431913617</v>
      </c>
      <c r="Y925" s="13" t="str">
        <f>IF($AX925="Cancelled","",IF(X925="","",IFERROR(IF(INDEX(Variables!$B$38:$B$47,MATCH(X925,Variables!$A$38:$A$47,0))="Yes","Yes","No"),"No")))</f>
        <v/>
      </c>
      <c r="Z925" s="31"/>
      <c r="AC925" s="13" t="str">
        <f t="shared" si="43"/>
        <v/>
      </c>
      <c r="AF925" s="71">
        <v>46158</v>
      </c>
      <c r="AG925" s="37">
        <f>IF($AX925="Cancelled","",IFERROR(IF(F925="","",F925-Variables!$B$13),""))</f>
        <v>46127</v>
      </c>
      <c r="AH925" s="13" t="str">
        <f>IF($AX925="Cancelled","",IFERROR(IF(AB925="","",(AVERAGE(E925:F925)-AB925)-Variables!$B$14),""))</f>
        <v/>
      </c>
      <c r="AJ925" s="47">
        <v>46165</v>
      </c>
      <c r="AK925" s="14">
        <f>IF($AX925="Cancelled","",IFERROR(IF(AJ925="","",IF(AND(AB925="",AF925=""),"",IF(AF925&gt;AB925,AF925+Variables!$B$15+Variables!$B$16+Variables!$B$17-AJ925,AB925+Variables!$B$16+Variables!$B$17-AJ925))),""))</f>
        <v>8</v>
      </c>
      <c r="AL925" s="48" t="s">
        <v>114</v>
      </c>
      <c r="AM925" s="13" t="s">
        <v>1781</v>
      </c>
      <c r="AN925" s="13" t="s">
        <v>2177</v>
      </c>
      <c r="AP925" s="39" t="e">
        <v>#N/A</v>
      </c>
      <c r="AR925" s="13" t="s">
        <v>2198</v>
      </c>
      <c r="AS925" s="31">
        <v>46179</v>
      </c>
      <c r="AU925" s="31">
        <v>46226</v>
      </c>
      <c r="AV925" s="13" t="s">
        <v>865</v>
      </c>
      <c r="AW925" s="31">
        <v>46226</v>
      </c>
      <c r="AX925" s="13" t="str">
        <f>IF(ISNUMBER(SEARCH("cancel",#REF!)),"Cancelled",IF(AND(AS925&lt;&gt;"",AU925&lt;&gt;"",AW925&lt;&gt;""),"Closed","Open"))</f>
        <v>Closed</v>
      </c>
      <c r="AY925" s="15" t="str">
        <f t="shared" si="45"/>
        <v>All dates received</v>
      </c>
      <c r="BD925" s="13">
        <f>IF($AX925="Cancelled","",IFERROR(IF(OR(AS925="",AJ925=""),"",(AJ925+Variables!$B$18-AS925)),""))</f>
        <v>1</v>
      </c>
      <c r="BE925" s="13">
        <f>IF($AX925="Cancelled","",IFERROR(IF(OR(AW925="",AS925=""),"",(AS925+Variables!$B$19)-AW925),""))</f>
        <v>-42</v>
      </c>
      <c r="BF925" s="44">
        <f>IF($AX925="Cancelled","",IFERROR(W925*INDEX(Variables!$B$7:$D$7,IFERROR(MATCH(IF($B925="Robusta","Robusta",(IF($B925="","Arabica",$B925))&amp;" - "&amp;(IF($C925="","Commercial",$C925))),Variables!$B$1:$D$1,0),1))*(BE925/365),""))</f>
        <v>-120.15814215931753</v>
      </c>
      <c r="BG925" s="44" t="str">
        <f>IF($AX925="Cancelled","",IFERROR((W925*INDEX(Variables!$B$7:$D$7,IFERROR(MATCH(IF($B925="Robusta","Robusta",(IF($B925="","Arabica",$B925))&amp;" - "&amp;(IF($C925="","Commercial",$C925))),Variables!$B$1:$D$1,0),1))*IFERROR(IF(AB925="","",(AVERAGE(E925:F925)-AB925)-Variables!$B$14),"")/365)+(L925/16.67*INDEX(Variables!$B$8:$D$8,IFERROR(MATCH(IF($B925="Robusta","Robusta",(IF($B925="","Arabica",$B925))&amp;" - "&amp;(IF($C925="","Commercial",$C925))),Variables!$B$1:$D$1,0),1))*IFERROR(IF(AB925="","",(AVERAGE(E925:F925)-AB925)-Variables!$B$14),""))+(W925*INDEX(Variables!$B$9:$D$9,IFERROR(MATCH(IF($B925="Robusta","Robusta",(IF($B925="","Arabica",$B925))&amp;" - "&amp;(IF($C925="","Commercial",$C925))),Variables!$B$1:$D$1,0),1))*IFERROR(IF(AB925="","",(AVERAGE(E925:F925)-AB925)-Variables!$B$14),"")/365),""))</f>
        <v/>
      </c>
      <c r="BH925" s="44">
        <f>IF($AX925="Cancelled","",IFERROR((W925*INDEX(Variables!$B$7:$D$7,IFERROR(MATCH(IF($B925="Robusta","Robusta",(IF($B925="","Arabica",$B925))&amp;" - "&amp;(IF($C925="","Commercial",$C925))),Variables!$B$1:$D$1,0),1))*AK925/365)+(L925/16.67*INDEX(Variables!$B$8:$D$8,IFERROR(MATCH(IF($B925="Robusta","Robusta",(IF($B925="","Arabica",$B925))&amp;" - "&amp;(IF($C925="","Commercial",$C925))),Variables!$B$1:$D$1,0),1))*AK925)+(W925*INDEX(Variables!$B$9:$D$9,IFERROR(MATCH(IF($B925="Robusta","Robusta",(IF($B925="","Arabica",$B925))&amp;" - "&amp;(IF($C925="","Commercial",$C925))),Variables!$B$1:$D$1,0),1))*AK925/365),""))</f>
        <v>33.182326190638911</v>
      </c>
      <c r="BI925" s="44">
        <f>IF($AX925="Cancelled","",IFERROR((W925*INDEX(Variables!$B$7:$D$7,IFERROR(MATCH(IF($B925="Robusta","Robusta",(IF($B925="","Arabica",$B925))&amp;" - "&amp;(IF($C925="","Commercial",$C925))),Variables!$B$1:$D$1,0),1))*BD925/365)+(L925/16.67*INDEX(Variables!$B$8:$D$8,IFERROR(MATCH(IF($B925="Robusta","Robusta",(IF($B925="","Arabica",$B925))&amp;" - "&amp;(IF($C925="","Commercial",$C925))),Variables!$B$1:$D$1,0),1))*BD925)+(W925*INDEX(Variables!$B$9:$D$9,IFERROR(MATCH(IF($B925="Robusta","Robusta",(IF($B925="","Arabica",$B925))&amp;" - "&amp;(IF($C925="","Commercial",$C925))),Variables!$B$1:$D$1,0),1))*BD925/365),""))</f>
        <v>4.1477907738298638</v>
      </c>
      <c r="BJ925" s="44">
        <f t="shared" si="44"/>
        <v>-37</v>
      </c>
      <c r="BK925" s="44">
        <f>IF($AX925="Cancelled","",IFERROR(IF(BJ925="","",(W925*INDEX(Variables!$B$7:$D$7,IFERROR(MATCH(IF($B925="Robusta","Robusta",(IF($B925="","Arabica",$B925))&amp;" - "&amp;(IF($C925="","Commercial",$C925))),Variables!$B$1:$D$1,0),1))*(BJ925/365))+(W925*INDEX(Variables!$B$9:$D$9,IFERROR(MATCH(IF($B925="Robusta","Robusta",(IF($B925="","Arabica",$B925))&amp;" - "&amp;(IF($C925="","Commercial",$C925))),Variables!$B$1:$D$1,0),1))*(BJ925/365))+(INDEX(Variables!$B$8:$D$8,IFERROR(MATCH(IF($B925="Robusta","Robusta",(IF($B925="","Arabica",$B925))&amp;" - "&amp;(IF($C925="","Commercial",$C925))),Variables!$B$1:$D$1,0),1))*L925/16.67)),""))</f>
        <v>-105.96825863170497</v>
      </c>
    </row>
    <row r="926" spans="1:63">
      <c r="A926" s="13" t="s">
        <v>103</v>
      </c>
      <c r="B926" s="13" t="s">
        <v>104</v>
      </c>
      <c r="C926" s="13" t="s">
        <v>292</v>
      </c>
      <c r="D926" s="31">
        <v>46078</v>
      </c>
      <c r="E926" s="31">
        <v>46113</v>
      </c>
      <c r="F926" s="31">
        <v>46142</v>
      </c>
      <c r="G926" s="13">
        <v>3787355</v>
      </c>
      <c r="J926" s="13" t="s">
        <v>501</v>
      </c>
      <c r="K926" s="13" t="s">
        <v>2398</v>
      </c>
      <c r="L926" s="13">
        <v>10</v>
      </c>
      <c r="M926" s="13">
        <v>0</v>
      </c>
      <c r="N926" s="13" t="s">
        <v>2399</v>
      </c>
      <c r="O926" s="13" t="s">
        <v>576</v>
      </c>
      <c r="P926" s="13">
        <v>10020</v>
      </c>
      <c r="R926" s="13" t="s">
        <v>384</v>
      </c>
      <c r="S926" s="13" t="s">
        <v>437</v>
      </c>
      <c r="T926" s="13" t="s">
        <v>438</v>
      </c>
      <c r="U926" s="13" t="s">
        <v>182</v>
      </c>
      <c r="V926" s="23">
        <v>218</v>
      </c>
      <c r="W926" s="44">
        <f>IF($AX926="Cancelled","",IFERROR(((V926+INDEX(Variables!$B$6:$D$6,IFERROR(MATCH(IF($B926="Robusta","Robusta",(IF($B926="","Arabica",$B926))&amp;" - "&amp;(IF($C926="","Commercial",$C926))),Variables!$B$1:$D$1,0),1)))*22.0462)*(L926/16.67),""))</f>
        <v>6728.9181523695252</v>
      </c>
      <c r="Y926" s="13" t="str">
        <f>IF($AX926="Cancelled","",IF(X926="","",IFERROR(IF(INDEX(Variables!$B$38:$B$47,MATCH(X926,Variables!$A$38:$A$47,0))="Yes","Yes","No"),"No")))</f>
        <v/>
      </c>
      <c r="Z926" s="31"/>
      <c r="AC926" s="13" t="str">
        <f t="shared" si="43"/>
        <v/>
      </c>
      <c r="AF926" s="71">
        <v>46158</v>
      </c>
      <c r="AG926" s="37">
        <f>IF($AX926="Cancelled","",IFERROR(IF(F926="","",F926-Variables!$B$13),""))</f>
        <v>46127</v>
      </c>
      <c r="AH926" s="13" t="str">
        <f>IF($AX926="Cancelled","",IFERROR(IF(AB926="","",(AVERAGE(E926:F926)-AB926)-Variables!$B$14),""))</f>
        <v/>
      </c>
      <c r="AJ926" s="47">
        <v>46165</v>
      </c>
      <c r="AK926" s="14">
        <f>IF($AX926="Cancelled","",IFERROR(IF(AJ926="","",IF(AND(AB926="",AF926=""),"",IF(AF926&gt;AB926,AF926+Variables!$B$15+Variables!$B$16+Variables!$B$17-AJ926,AB926+Variables!$B$16+Variables!$B$17-AJ926))),""))</f>
        <v>8</v>
      </c>
      <c r="AL926" s="48" t="s">
        <v>114</v>
      </c>
      <c r="AM926" s="13" t="s">
        <v>1781</v>
      </c>
      <c r="AN926" s="13" t="s">
        <v>2177</v>
      </c>
      <c r="AP926" s="39" t="e">
        <v>#N/A</v>
      </c>
      <c r="AR926" s="13" t="s">
        <v>2198</v>
      </c>
      <c r="AS926" s="31">
        <v>46179</v>
      </c>
      <c r="AU926" s="31">
        <v>46226</v>
      </c>
      <c r="AV926" s="13" t="s">
        <v>865</v>
      </c>
      <c r="AW926" s="31">
        <v>46226</v>
      </c>
      <c r="AX926" s="13" t="str">
        <f>IF(ISNUMBER(SEARCH("cancel",#REF!)),"Cancelled",IF(AND(AS926&lt;&gt;"",AU926&lt;&gt;"",AW926&lt;&gt;""),"Closed","Open"))</f>
        <v>Closed</v>
      </c>
      <c r="AY926" s="15" t="str">
        <f t="shared" si="45"/>
        <v>All dates received</v>
      </c>
      <c r="BD926" s="13">
        <f>IF($AX926="Cancelled","",IFERROR(IF(OR(AS926="",AJ926=""),"",(AJ926+Variables!$B$18-AS926)),""))</f>
        <v>1</v>
      </c>
      <c r="BE926" s="13">
        <f>IF($AX926="Cancelled","",IFERROR(IF(OR(AW926="",AS926=""),"",(AS926+Variables!$B$19)-AW926),""))</f>
        <v>-42</v>
      </c>
      <c r="BF926" s="44">
        <f>IF($AX926="Cancelled","",IFERROR(W926*INDEX(Variables!$B$7:$D$7,IFERROR(MATCH(IF($B926="Robusta","Robusta",(IF($B926="","Arabica",$B926))&amp;" - "&amp;(IF($C926="","Commercial",$C926))),Variables!$B$1:$D$1,0),1))*(BE926/365),""))</f>
        <v>-49.927695165913242</v>
      </c>
      <c r="BG926" s="44" t="str">
        <f>IF($AX926="Cancelled","",IFERROR((W926*INDEX(Variables!$B$7:$D$7,IFERROR(MATCH(IF($B926="Robusta","Robusta",(IF($B926="","Arabica",$B926))&amp;" - "&amp;(IF($C926="","Commercial",$C926))),Variables!$B$1:$D$1,0),1))*IFERROR(IF(AB926="","",(AVERAGE(E926:F926)-AB926)-Variables!$B$14),"")/365)+(L926/16.67*INDEX(Variables!$B$8:$D$8,IFERROR(MATCH(IF($B926="Robusta","Robusta",(IF($B926="","Arabica",$B926))&amp;" - "&amp;(IF($C926="","Commercial",$C926))),Variables!$B$1:$D$1,0),1))*IFERROR(IF(AB926="","",(AVERAGE(E926:F926)-AB926)-Variables!$B$14),""))+(W926*INDEX(Variables!$B$9:$D$9,IFERROR(MATCH(IF($B926="Robusta","Robusta",(IF($B926="","Arabica",$B926))&amp;" - "&amp;(IF($C926="","Commercial",$C926))),Variables!$B$1:$D$1,0),1))*IFERROR(IF(AB926="","",(AVERAGE(E926:F926)-AB926)-Variables!$B$14),"")/365),""))</f>
        <v/>
      </c>
      <c r="BH926" s="44">
        <f>IF($AX926="Cancelled","",IFERROR((W926*INDEX(Variables!$B$7:$D$7,IFERROR(MATCH(IF($B926="Robusta","Robusta",(IF($B926="","Arabica",$B926))&amp;" - "&amp;(IF($C926="","Commercial",$C926))),Variables!$B$1:$D$1,0),1))*AK926/365)+(L926/16.67*INDEX(Variables!$B$8:$D$8,IFERROR(MATCH(IF($B926="Robusta","Robusta",(IF($B926="","Arabica",$B926))&amp;" - "&amp;(IF($C926="","Commercial",$C926))),Variables!$B$1:$D$1,0),1))*AK926)+(W926*INDEX(Variables!$B$9:$D$9,IFERROR(MATCH(IF($B926="Robusta","Robusta",(IF($B926="","Arabica",$B926))&amp;" - "&amp;(IF($C926="","Commercial",$C926))),Variables!$B$1:$D$1,0),1))*AK926/365),""))</f>
        <v>13.632639906735058</v>
      </c>
      <c r="BI926" s="44">
        <f>IF($AX926="Cancelled","",IFERROR((W926*INDEX(Variables!$B$7:$D$7,IFERROR(MATCH(IF($B926="Robusta","Robusta",(IF($B926="","Arabica",$B926))&amp;" - "&amp;(IF($C926="","Commercial",$C926))),Variables!$B$1:$D$1,0),1))*BD926/365)+(L926/16.67*INDEX(Variables!$B$8:$D$8,IFERROR(MATCH(IF($B926="Robusta","Robusta",(IF($B926="","Arabica",$B926))&amp;" - "&amp;(IF($C926="","Commercial",$C926))),Variables!$B$1:$D$1,0),1))*BD926)+(W926*INDEX(Variables!$B$9:$D$9,IFERROR(MATCH(IF($B926="Robusta","Robusta",(IF($B926="","Arabica",$B926))&amp;" - "&amp;(IF($C926="","Commercial",$C926))),Variables!$B$1:$D$1,0),1))*BD926/365),""))</f>
        <v>1.7040799883418822</v>
      </c>
      <c r="BJ926" s="44">
        <f t="shared" si="44"/>
        <v>-37</v>
      </c>
      <c r="BK926" s="44">
        <f>IF($AX926="Cancelled","",IFERROR(IF(BJ926="","",(W926*INDEX(Variables!$B$7:$D$7,IFERROR(MATCH(IF($B926="Robusta","Robusta",(IF($B926="","Arabica",$B926))&amp;" - "&amp;(IF($C926="","Commercial",$C926))),Variables!$B$1:$D$1,0),1))*(BJ926/365))+(W926*INDEX(Variables!$B$9:$D$9,IFERROR(MATCH(IF($B926="Robusta","Robusta",(IF($B926="","Arabica",$B926))&amp;" - "&amp;(IF($C926="","Commercial",$C926))),Variables!$B$1:$D$1,0),1))*(BJ926/365))+(INDEX(Variables!$B$8:$D$8,IFERROR(MATCH(IF($B926="Robusta","Robusta",(IF($B926="","Arabica",$B926))&amp;" - "&amp;(IF($C926="","Commercial",$C926))),Variables!$B$1:$D$1,0),1))*L926/16.67)),""))</f>
        <v>-44.050959568649638</v>
      </c>
    </row>
    <row r="927" spans="1:63">
      <c r="A927" s="13" t="s">
        <v>103</v>
      </c>
      <c r="B927" s="13" t="s">
        <v>104</v>
      </c>
      <c r="C927" s="13" t="s">
        <v>105</v>
      </c>
      <c r="D927" s="31">
        <v>46078</v>
      </c>
      <c r="E927" s="31">
        <v>46082</v>
      </c>
      <c r="F927" s="31">
        <v>46112</v>
      </c>
      <c r="G927" s="13">
        <v>3787356</v>
      </c>
      <c r="J927" s="13" t="s">
        <v>118</v>
      </c>
      <c r="K927" s="13">
        <v>5465</v>
      </c>
      <c r="L927" s="13">
        <v>320</v>
      </c>
      <c r="M927" s="13">
        <v>1</v>
      </c>
      <c r="N927" s="13" t="s">
        <v>2400</v>
      </c>
      <c r="O927" s="13" t="s">
        <v>1372</v>
      </c>
      <c r="P927" s="13">
        <v>10040</v>
      </c>
      <c r="R927" s="13" t="s">
        <v>239</v>
      </c>
      <c r="S927" s="13" t="s">
        <v>167</v>
      </c>
      <c r="T927" s="13" t="s">
        <v>155</v>
      </c>
      <c r="U927" s="13" t="s">
        <v>125</v>
      </c>
      <c r="V927" s="13">
        <v>65</v>
      </c>
      <c r="W927" s="44">
        <f>IF($AX927="Cancelled","",IFERROR(((V927+INDEX(Variables!$B$6:$D$6,IFERROR(MATCH(IF($B927="Robusta","Robusta",(IF($B927="","Arabica",$B927))&amp;" - "&amp;(IF($C927="","Commercial",$C927))),Variables!$B$1:$D$1,0),1)))*22.0462)*(L927/16.67),""))</f>
        <v>150575.41374925012</v>
      </c>
      <c r="X927" s="55" t="s">
        <v>37</v>
      </c>
      <c r="Y927" s="13" t="str">
        <f>IF($AX927="Cancelled","",IF(X927="","",IFERROR(IF(INDEX(Variables!$B$38:$B$47,MATCH(X927,Variables!$A$38:$A$47,0))="Yes","Yes","No"),"No")))</f>
        <v>Yes</v>
      </c>
      <c r="Z927" s="58">
        <v>46086</v>
      </c>
      <c r="AB927" s="31">
        <v>46094</v>
      </c>
      <c r="AC927" s="13" t="str">
        <f t="shared" si="43"/>
        <v>Approved</v>
      </c>
      <c r="AF927" s="71">
        <v>46106</v>
      </c>
      <c r="AG927" s="37">
        <f>IF($AX927="Cancelled","",IFERROR(IF(F927="","",F927-Variables!$B$13),""))</f>
        <v>46097</v>
      </c>
      <c r="AH927" s="13">
        <f>IF($AX927="Cancelled","",IFERROR(IF(AB927="","",(AVERAGE(E927:F927)-AB927)-Variables!$B$14),""))</f>
        <v>-27</v>
      </c>
      <c r="AJ927" s="47">
        <v>46109</v>
      </c>
      <c r="AK927" s="14">
        <f>IF($AX927="Cancelled","",IFERROR(IF(AJ927="","",IF(AND(AB927="",AF927=""),"",IF(AF927&gt;AB927,AF927+Variables!$B$15+Variables!$B$16+Variables!$B$17-AJ927,AB927+Variables!$B$16+Variables!$B$17-AJ927))),""))</f>
        <v>12</v>
      </c>
      <c r="AL927" s="48" t="s">
        <v>114</v>
      </c>
      <c r="AM927" s="13" t="s">
        <v>168</v>
      </c>
      <c r="AN927" s="13" t="s">
        <v>2104</v>
      </c>
      <c r="AP927" s="39">
        <v>46126</v>
      </c>
      <c r="AR927" s="13" t="s">
        <v>2401</v>
      </c>
      <c r="AS927" s="31">
        <v>46126</v>
      </c>
      <c r="AU927" s="31">
        <v>46158</v>
      </c>
      <c r="AV927" s="13" t="s">
        <v>865</v>
      </c>
      <c r="AW927" s="31">
        <v>46158</v>
      </c>
      <c r="AX927" s="13" t="str">
        <f>IF(ISNUMBER(SEARCH("cancel",#REF!)),"Cancelled",IF(AND(AS927&lt;&gt;"",AU927&lt;&gt;"",AW927&lt;&gt;""),"Closed","Open"))</f>
        <v>Closed</v>
      </c>
      <c r="AY927" s="15" t="str">
        <f t="shared" si="45"/>
        <v>All dates received</v>
      </c>
      <c r="BD927" s="13">
        <f>IF($AX927="Cancelled","",IFERROR(IF(OR(AS927="",AJ927=""),"",(AJ927+Variables!$B$18-AS927)),""))</f>
        <v>-2</v>
      </c>
      <c r="BE927" s="13">
        <f>IF($AX927="Cancelled","",IFERROR(IF(OR(AW927="",AS927=""),"",(AS927+Variables!$B$19)-AW927),""))</f>
        <v>-27</v>
      </c>
      <c r="BF927" s="44">
        <f>IF($AX927="Cancelled","",IFERROR(W927*INDEX(Variables!$B$7:$D$7,IFERROR(MATCH(IF($B927="Robusta","Robusta",(IF($B927="","Arabica",$B927))&amp;" - "&amp;(IF($C927="","Commercial",$C927))),Variables!$B$1:$D$1,0),1))*(BE927/365),""))</f>
        <v>-718.23210000129097</v>
      </c>
      <c r="BG927" s="44">
        <f>IF($AX927="Cancelled","",IFERROR((W927*INDEX(Variables!$B$7:$D$7,IFERROR(MATCH(IF($B927="Robusta","Robusta",(IF($B927="","Arabica",$B927))&amp;" - "&amp;(IF($C927="","Commercial",$C927))),Variables!$B$1:$D$1,0),1))*IFERROR(IF(AB927="","",(AVERAGE(E927:F927)-AB927)-Variables!$B$14),"")/365)+(L927/16.67*INDEX(Variables!$B$8:$D$8,IFERROR(MATCH(IF($B927="Robusta","Robusta",(IF($B927="","Arabica",$B927))&amp;" - "&amp;(IF($C927="","Commercial",$C927))),Variables!$B$1:$D$1,0),1))*IFERROR(IF(AB927="","",(AVERAGE(E927:F927)-AB927)-Variables!$B$14),""))+(W927*INDEX(Variables!$B$9:$D$9,IFERROR(MATCH(IF($B927="Robusta","Robusta",(IF($B927="","Arabica",$B927))&amp;" - "&amp;(IF($C927="","Commercial",$C927))),Variables!$B$1:$D$1,0),1))*IFERROR(IF(AB927="","",(AVERAGE(E927:F927)-AB927)-Variables!$B$14),"")/365),""))</f>
        <v>-1159.4914978619577</v>
      </c>
      <c r="BH927" s="44">
        <f>IF($AX927="Cancelled","",IFERROR((W927*INDEX(Variables!$B$7:$D$7,IFERROR(MATCH(IF($B927="Robusta","Robusta",(IF($B927="","Arabica",$B927))&amp;" - "&amp;(IF($C927="","Commercial",$C927))),Variables!$B$1:$D$1,0),1))*AK927/365)+(L927/16.67*INDEX(Variables!$B$8:$D$8,IFERROR(MATCH(IF($B927="Robusta","Robusta",(IF($B927="","Arabica",$B927))&amp;" - "&amp;(IF($C927="","Commercial",$C927))),Variables!$B$1:$D$1,0),1))*AK927)+(W927*INDEX(Variables!$B$9:$D$9,IFERROR(MATCH(IF($B927="Robusta","Robusta",(IF($B927="","Arabica",$B927))&amp;" - "&amp;(IF($C927="","Commercial",$C927))),Variables!$B$1:$D$1,0),1))*AK927/365),""))</f>
        <v>515.32955460531446</v>
      </c>
      <c r="BI927" s="44">
        <f>IF($AX927="Cancelled","",IFERROR((W927*INDEX(Variables!$B$7:$D$7,IFERROR(MATCH(IF($B927="Robusta","Robusta",(IF($B927="","Arabica",$B927))&amp;" - "&amp;(IF($C927="","Commercial",$C927))),Variables!$B$1:$D$1,0),1))*BD927/365)+(L927/16.67*INDEX(Variables!$B$8:$D$8,IFERROR(MATCH(IF($B927="Robusta","Robusta",(IF($B927="","Arabica",$B927))&amp;" - "&amp;(IF($C927="","Commercial",$C927))),Variables!$B$1:$D$1,0),1))*BD927)+(W927*INDEX(Variables!$B$9:$D$9,IFERROR(MATCH(IF($B927="Robusta","Robusta",(IF($B927="","Arabica",$B927))&amp;" - "&amp;(IF($C927="","Commercial",$C927))),Variables!$B$1:$D$1,0),1))*BD927/365),""))</f>
        <v>-85.888259100885747</v>
      </c>
      <c r="BJ927" s="44">
        <f t="shared" si="44"/>
        <v>-14</v>
      </c>
      <c r="BK927" s="44">
        <f>IF($AX927="Cancelled","",IFERROR(IF(BJ927="","",(W927*INDEX(Variables!$B$7:$D$7,IFERROR(MATCH(IF($B927="Robusta","Robusta",(IF($B927="","Arabica",$B927))&amp;" - "&amp;(IF($C927="","Commercial",$C927))),Variables!$B$1:$D$1,0),1))*(BJ927/365))+(W927*INDEX(Variables!$B$9:$D$9,IFERROR(MATCH(IF($B927="Robusta","Robusta",(IF($B927="","Arabica",$B927))&amp;" - "&amp;(IF($C927="","Commercial",$C927))),Variables!$B$1:$D$1,0),1))*(BJ927/365))+(INDEX(Variables!$B$8:$D$8,IFERROR(MATCH(IF($B927="Robusta","Robusta",(IF($B927="","Arabica",$B927))&amp;" - "&amp;(IF($C927="","Commercial",$C927))),Variables!$B$1:$D$1,0),1))*L927/16.67)),""))</f>
        <v>-361.21781370620022</v>
      </c>
    </row>
    <row r="928" spans="1:63">
      <c r="A928" s="13" t="s">
        <v>103</v>
      </c>
      <c r="B928" s="13" t="s">
        <v>104</v>
      </c>
      <c r="C928" s="13" t="s">
        <v>105</v>
      </c>
      <c r="D928" s="31">
        <v>46078</v>
      </c>
      <c r="E928" s="31">
        <v>46143</v>
      </c>
      <c r="F928" s="31">
        <v>46172</v>
      </c>
      <c r="G928" s="13">
        <v>3787357</v>
      </c>
      <c r="J928" s="13" t="s">
        <v>611</v>
      </c>
      <c r="K928" s="13" t="s">
        <v>2402</v>
      </c>
      <c r="L928" s="13">
        <v>280</v>
      </c>
      <c r="M928" s="13">
        <v>1</v>
      </c>
      <c r="N928" s="13" t="s">
        <v>2403</v>
      </c>
      <c r="O928" s="13" t="s">
        <v>775</v>
      </c>
      <c r="P928" s="13">
        <v>10030</v>
      </c>
      <c r="R928" s="13" t="s">
        <v>239</v>
      </c>
      <c r="S928" s="13" t="s">
        <v>2404</v>
      </c>
      <c r="T928" s="13" t="s">
        <v>112</v>
      </c>
      <c r="U928" s="13" t="s">
        <v>113</v>
      </c>
      <c r="V928" s="23">
        <v>83</v>
      </c>
      <c r="W928" s="44">
        <f>IF($AX928="Cancelled","",IFERROR(((V928+INDEX(Variables!$B$6:$D$6,IFERROR(MATCH(IF($B928="Robusta","Robusta",(IF($B928="","Arabica",$B928))&amp;" - "&amp;(IF($C928="","Commercial",$C928))),Variables!$B$1:$D$1,0),1)))*22.0462)*(L928/16.67),""))</f>
        <v>138418.92482303537</v>
      </c>
      <c r="X928" s="55" t="s">
        <v>37</v>
      </c>
      <c r="Y928" s="13" t="str">
        <f>IF($AX928="Cancelled","",IF(X928="","",IFERROR(IF(INDEX(Variables!$B$38:$B$47,MATCH(X928,Variables!$A$38:$A$47,0))="Yes","Yes","No"),"No")))</f>
        <v>Yes</v>
      </c>
      <c r="Z928" s="58">
        <v>46122</v>
      </c>
      <c r="AB928" s="31">
        <v>46126</v>
      </c>
      <c r="AC928" s="13" t="str">
        <f t="shared" si="43"/>
        <v>Approved</v>
      </c>
      <c r="AF928" s="71">
        <v>46197</v>
      </c>
      <c r="AG928" s="37">
        <f>IF($AX928="Cancelled","",IFERROR(IF(F928="","",F928-Variables!$B$13),""))</f>
        <v>46157</v>
      </c>
      <c r="AH928" s="13">
        <f>IF($AX928="Cancelled","",IFERROR(IF(AB928="","",(AVERAGE(E928:F928)-AB928)-Variables!$B$14),""))</f>
        <v>1.5</v>
      </c>
      <c r="AJ928" s="47">
        <v>46195</v>
      </c>
      <c r="AK928" s="14">
        <f>IF($AX928="Cancelled","",IFERROR(IF(AJ928="","",IF(AND(AB928="",AF928=""),"",IF(AF928&gt;AB928,AF928+Variables!$B$15+Variables!$B$16+Variables!$B$17-AJ928,AB928+Variables!$B$16+Variables!$B$17-AJ928))),""))</f>
        <v>17</v>
      </c>
      <c r="AL928" s="48" t="s">
        <v>114</v>
      </c>
      <c r="AM928" s="13" t="s">
        <v>168</v>
      </c>
      <c r="AN928" s="13" t="s">
        <v>2405</v>
      </c>
      <c r="AP928" s="39">
        <v>46212</v>
      </c>
      <c r="AR928" s="13" t="s">
        <v>2406</v>
      </c>
      <c r="AS928" s="31">
        <v>46212</v>
      </c>
      <c r="AU928" s="31">
        <v>46249</v>
      </c>
      <c r="AV928" s="13" t="e">
        <v>#REF!</v>
      </c>
      <c r="AW928" s="31">
        <v>46249</v>
      </c>
      <c r="AX928" s="13" t="str">
        <f>IF(ISNUMBER(SEARCH("cancel",#REF!)),"Cancelled",IF(AND(AS928&lt;&gt;"",AU928&lt;&gt;"",AW928&lt;&gt;""),"Closed","Open"))</f>
        <v>Closed</v>
      </c>
      <c r="AY928" s="15" t="str">
        <f t="shared" si="45"/>
        <v>All dates received</v>
      </c>
      <c r="BD928" s="13">
        <f>IF($AX928="Cancelled","",IFERROR(IF(OR(AS928="",AJ928=""),"",(AJ928+Variables!$B$18-AS928)),""))</f>
        <v>-2</v>
      </c>
      <c r="BE928" s="13">
        <f>IF($AX928="Cancelled","",IFERROR(IF(OR(AW928="",AS928=""),"",(AS928+Variables!$B$19)-AW928),""))</f>
        <v>-32</v>
      </c>
      <c r="BF928" s="44">
        <f>IF($AX928="Cancelled","",IFERROR(W928*INDEX(Variables!$B$7:$D$7,IFERROR(MATCH(IF($B928="Robusta","Robusta",(IF($B928="","Arabica",$B928))&amp;" - "&amp;(IF($C928="","Commercial",$C928))),Variables!$B$1:$D$1,0),1))*(BE928/365),""))</f>
        <v>-782.51456826072831</v>
      </c>
      <c r="BG928" s="44">
        <f>IF($AX928="Cancelled","",IFERROR((W928*INDEX(Variables!$B$7:$D$7,IFERROR(MATCH(IF($B928="Robusta","Robusta",(IF($B928="","Arabica",$B928))&amp;" - "&amp;(IF($C928="","Commercial",$C928))),Variables!$B$1:$D$1,0),1))*IFERROR(IF(AB928="","",(AVERAGE(E928:F928)-AB928)-Variables!$B$14),"")/365)+(L928/16.67*INDEX(Variables!$B$8:$D$8,IFERROR(MATCH(IF($B928="Robusta","Robusta",(IF($B928="","Arabica",$B928))&amp;" - "&amp;(IF($C928="","Commercial",$C928))),Variables!$B$1:$D$1,0),1))*IFERROR(IF(AB928="","",(AVERAGE(E928:F928)-AB928)-Variables!$B$14),""))+(W928*INDEX(Variables!$B$9:$D$9,IFERROR(MATCH(IF($B928="Robusta","Robusta",(IF($B928="","Arabica",$B928))&amp;" - "&amp;(IF($C928="","Commercial",$C928))),Variables!$B$1:$D$1,0),1))*IFERROR(IF(AB928="","",(AVERAGE(E928:F928)-AB928)-Variables!$B$14),"")/365),""))</f>
        <v>58.15325114970954</v>
      </c>
      <c r="BH928" s="44">
        <f>IF($AX928="Cancelled","",IFERROR((W928*INDEX(Variables!$B$7:$D$7,IFERROR(MATCH(IF($B928="Robusta","Robusta",(IF($B928="","Arabica",$B928))&amp;" - "&amp;(IF($C928="","Commercial",$C928))),Variables!$B$1:$D$1,0),1))*AK928/365)+(L928/16.67*INDEX(Variables!$B$8:$D$8,IFERROR(MATCH(IF($B928="Robusta","Robusta",(IF($B928="","Arabica",$B928))&amp;" - "&amp;(IF($C928="","Commercial",$C928))),Variables!$B$1:$D$1,0),1))*AK928)+(W928*INDEX(Variables!$B$9:$D$9,IFERROR(MATCH(IF($B928="Robusta","Robusta",(IF($B928="","Arabica",$B928))&amp;" - "&amp;(IF($C928="","Commercial",$C928))),Variables!$B$1:$D$1,0),1))*AK928/365),""))</f>
        <v>659.07017969670812</v>
      </c>
      <c r="BI928" s="44">
        <f>IF($AX928="Cancelled","",IFERROR((W928*INDEX(Variables!$B$7:$D$7,IFERROR(MATCH(IF($B928="Robusta","Robusta",(IF($B928="","Arabica",$B928))&amp;" - "&amp;(IF($C928="","Commercial",$C928))),Variables!$B$1:$D$1,0),1))*BD928/365)+(L928/16.67*INDEX(Variables!$B$8:$D$8,IFERROR(MATCH(IF($B928="Robusta","Robusta",(IF($B928="","Arabica",$B928))&amp;" - "&amp;(IF($C928="","Commercial",$C928))),Variables!$B$1:$D$1,0),1))*BD928)+(W928*INDEX(Variables!$B$9:$D$9,IFERROR(MATCH(IF($B928="Robusta","Robusta",(IF($B928="","Arabica",$B928))&amp;" - "&amp;(IF($C928="","Commercial",$C928))),Variables!$B$1:$D$1,0),1))*BD928/365),""))</f>
        <v>-77.537668199612725</v>
      </c>
      <c r="BJ928" s="44">
        <f t="shared" si="44"/>
        <v>-40</v>
      </c>
      <c r="BK928" s="44">
        <f>IF($AX928="Cancelled","",IFERROR(IF(BJ928="","",(W928*INDEX(Variables!$B$7:$D$7,IFERROR(MATCH(IF($B928="Robusta","Robusta",(IF($B928="","Arabica",$B928))&amp;" - "&amp;(IF($C928="","Commercial",$C928))),Variables!$B$1:$D$1,0),1))*(BJ928/365))+(W928*INDEX(Variables!$B$9:$D$9,IFERROR(MATCH(IF($B928="Robusta","Robusta",(IF($B928="","Arabica",$B928))&amp;" - "&amp;(IF($C928="","Commercial",$C928))),Variables!$B$1:$D$1,0),1))*(BJ928/365))+(INDEX(Variables!$B$8:$D$8,IFERROR(MATCH(IF($B928="Robusta","Robusta",(IF($B928="","Arabica",$B928))&amp;" - "&amp;(IF($C928="","Commercial",$C928))),Variables!$B$1:$D$1,0),1))*L928/16.67)),""))</f>
        <v>-976.75336399225432</v>
      </c>
    </row>
    <row r="929" spans="1:63">
      <c r="A929" s="13" t="s">
        <v>103</v>
      </c>
      <c r="B929" s="13" t="s">
        <v>104</v>
      </c>
      <c r="C929" s="13" t="s">
        <v>105</v>
      </c>
      <c r="D929" s="31">
        <v>46078</v>
      </c>
      <c r="E929" s="31">
        <v>46143</v>
      </c>
      <c r="F929" s="31">
        <v>46172</v>
      </c>
      <c r="G929" s="13">
        <v>3787358</v>
      </c>
      <c r="J929" s="13" t="s">
        <v>611</v>
      </c>
      <c r="K929" s="13" t="s">
        <v>2407</v>
      </c>
      <c r="L929" s="13">
        <v>40</v>
      </c>
      <c r="M929" s="13">
        <v>1</v>
      </c>
      <c r="N929" s="13" t="s">
        <v>2408</v>
      </c>
      <c r="O929" s="13" t="s">
        <v>543</v>
      </c>
      <c r="P929" s="13">
        <v>10070</v>
      </c>
      <c r="R929" s="13" t="s">
        <v>239</v>
      </c>
      <c r="S929" s="13" t="s">
        <v>2404</v>
      </c>
      <c r="T929" s="13" t="s">
        <v>112</v>
      </c>
      <c r="U929" s="13" t="s">
        <v>113</v>
      </c>
      <c r="V929" s="23">
        <v>36</v>
      </c>
      <c r="W929" s="44">
        <f>IF($AX929="Cancelled","",IFERROR(((V929+INDEX(Variables!$B$6:$D$6,IFERROR(MATCH(IF($B929="Robusta","Robusta",(IF($B929="","Arabica",$B929))&amp;" - "&amp;(IF($C929="","Commercial",$C929))),Variables!$B$1:$D$1,0),1)))*22.0462)*(L929/16.67),""))</f>
        <v>17287.81802039592</v>
      </c>
      <c r="X929" s="55" t="s">
        <v>37</v>
      </c>
      <c r="Y929" s="13" t="str">
        <f>IF($AX929="Cancelled","",IF(X929="","",IFERROR(IF(INDEX(Variables!$B$38:$B$47,MATCH(X929,Variables!$A$38:$A$47,0))="Yes","Yes","No"),"No")))</f>
        <v>Yes</v>
      </c>
      <c r="Z929" s="58">
        <v>46122</v>
      </c>
      <c r="AB929" s="31">
        <v>46126</v>
      </c>
      <c r="AC929" s="13" t="str">
        <f t="shared" si="43"/>
        <v>Approved</v>
      </c>
      <c r="AF929" s="71">
        <v>46183</v>
      </c>
      <c r="AG929" s="37">
        <f>IF($AX929="Cancelled","",IFERROR(IF(F929="","",F929-Variables!$B$13),""))</f>
        <v>46157</v>
      </c>
      <c r="AH929" s="13">
        <f>IF($AX929="Cancelled","",IFERROR(IF(AB929="","",(AVERAGE(E929:F929)-AB929)-Variables!$B$14),""))</f>
        <v>1.5</v>
      </c>
      <c r="AJ929" s="47">
        <v>46195</v>
      </c>
      <c r="AK929" s="14">
        <f>IF($AX929="Cancelled","",IFERROR(IF(AJ929="","",IF(AND(AB929="",AF929=""),"",IF(AF929&gt;AB929,AF929+Variables!$B$15+Variables!$B$16+Variables!$B$17-AJ929,AB929+Variables!$B$16+Variables!$B$17-AJ929))),""))</f>
        <v>3</v>
      </c>
      <c r="AL929" s="48" t="s">
        <v>114</v>
      </c>
      <c r="AM929" s="13" t="s">
        <v>168</v>
      </c>
      <c r="AN929" s="13" t="s">
        <v>2405</v>
      </c>
      <c r="AP929" s="39">
        <v>46212</v>
      </c>
      <c r="AR929" s="13" t="s">
        <v>2406</v>
      </c>
      <c r="AS929" s="31">
        <v>46212</v>
      </c>
      <c r="AU929" s="31">
        <v>46249</v>
      </c>
      <c r="AV929" s="13" t="e">
        <v>#REF!</v>
      </c>
      <c r="AW929" s="31">
        <v>46249</v>
      </c>
      <c r="AX929" s="13" t="str">
        <f>IF(ISNUMBER(SEARCH("cancel",#REF!)),"Cancelled",IF(AND(AS929&lt;&gt;"",AU929&lt;&gt;"",AW929&lt;&gt;""),"Closed","Open"))</f>
        <v>Closed</v>
      </c>
      <c r="AY929" s="15" t="str">
        <f t="shared" si="45"/>
        <v>All dates received</v>
      </c>
      <c r="BD929" s="13">
        <f>IF($AX929="Cancelled","",IFERROR(IF(OR(AS929="",AJ929=""),"",(AJ929+Variables!$B$18-AS929)),""))</f>
        <v>-2</v>
      </c>
      <c r="BE929" s="13">
        <f>IF($AX929="Cancelled","",IFERROR(IF(OR(AW929="",AS929=""),"",(AS929+Variables!$B$19)-AW929),""))</f>
        <v>-32</v>
      </c>
      <c r="BF929" s="44">
        <f>IF($AX929="Cancelled","",IFERROR(W929*INDEX(Variables!$B$7:$D$7,IFERROR(MATCH(IF($B929="Robusta","Robusta",(IF($B929="","Arabica",$B929))&amp;" - "&amp;(IF($C929="","Commercial",$C929))),Variables!$B$1:$D$1,0),1))*(BE929/365),""))</f>
        <v>-97.732080145076068</v>
      </c>
      <c r="BG929" s="44">
        <f>IF($AX929="Cancelled","",IFERROR((W929*INDEX(Variables!$B$7:$D$7,IFERROR(MATCH(IF($B929="Robusta","Robusta",(IF($B929="","Arabica",$B929))&amp;" - "&amp;(IF($C929="","Commercial",$C929))),Variables!$B$1:$D$1,0),1))*IFERROR(IF(AB929="","",(AVERAGE(E929:F929)-AB929)-Variables!$B$14),"")/365)+(L929/16.67*INDEX(Variables!$B$8:$D$8,IFERROR(MATCH(IF($B929="Robusta","Robusta",(IF($B929="","Arabica",$B929))&amp;" - "&amp;(IF($C929="","Commercial",$C929))),Variables!$B$1:$D$1,0),1))*IFERROR(IF(AB929="","",(AVERAGE(E929:F929)-AB929)-Variables!$B$14),""))+(W929*INDEX(Variables!$B$9:$D$9,IFERROR(MATCH(IF($B929="Robusta","Robusta",(IF($B929="","Arabica",$B929))&amp;" - "&amp;(IF($C929="","Commercial",$C929))),Variables!$B$1:$D$1,0),1))*IFERROR(IF(AB929="","",(AVERAGE(E929:F929)-AB929)-Variables!$B$14),"")/365),""))</f>
        <v>7.6402516531854614</v>
      </c>
      <c r="BH929" s="44">
        <f>IF($AX929="Cancelled","",IFERROR((W929*INDEX(Variables!$B$7:$D$7,IFERROR(MATCH(IF($B929="Robusta","Robusta",(IF($B929="","Arabica",$B929))&amp;" - "&amp;(IF($C929="","Commercial",$C929))),Variables!$B$1:$D$1,0),1))*AK929/365)+(L929/16.67*INDEX(Variables!$B$8:$D$8,IFERROR(MATCH(IF($B929="Robusta","Robusta",(IF($B929="","Arabica",$B929))&amp;" - "&amp;(IF($C929="","Commercial",$C929))),Variables!$B$1:$D$1,0),1))*AK929)+(W929*INDEX(Variables!$B$9:$D$9,IFERROR(MATCH(IF($B929="Robusta","Robusta",(IF($B929="","Arabica",$B929))&amp;" - "&amp;(IF($C929="","Commercial",$C929))),Variables!$B$1:$D$1,0),1))*AK929/365),""))</f>
        <v>15.280503306370923</v>
      </c>
      <c r="BI929" s="44">
        <f>IF($AX929="Cancelled","",IFERROR((W929*INDEX(Variables!$B$7:$D$7,IFERROR(MATCH(IF($B929="Robusta","Robusta",(IF($B929="","Arabica",$B929))&amp;" - "&amp;(IF($C929="","Commercial",$C929))),Variables!$B$1:$D$1,0),1))*BD929/365)+(L929/16.67*INDEX(Variables!$B$8:$D$8,IFERROR(MATCH(IF($B929="Robusta","Robusta",(IF($B929="","Arabica",$B929))&amp;" - "&amp;(IF($C929="","Commercial",$C929))),Variables!$B$1:$D$1,0),1))*BD929)+(W929*INDEX(Variables!$B$9:$D$9,IFERROR(MATCH(IF($B929="Robusta","Robusta",(IF($B929="","Arabica",$B929))&amp;" - "&amp;(IF($C929="","Commercial",$C929))),Variables!$B$1:$D$1,0),1))*BD929/365),""))</f>
        <v>-10.187002204247282</v>
      </c>
      <c r="BJ929" s="44">
        <f t="shared" si="44"/>
        <v>-40</v>
      </c>
      <c r="BK929" s="44">
        <f>IF($AX929="Cancelled","",IFERROR(IF(BJ929="","",(W929*INDEX(Variables!$B$7:$D$7,IFERROR(MATCH(IF($B929="Robusta","Robusta",(IF($B929="","Arabica",$B929))&amp;" - "&amp;(IF($C929="","Commercial",$C929))),Variables!$B$1:$D$1,0),1))*(BJ929/365))+(W929*INDEX(Variables!$B$9:$D$9,IFERROR(MATCH(IF($B929="Robusta","Robusta",(IF($B929="","Arabica",$B929))&amp;" - "&amp;(IF($C929="","Commercial",$C929))),Variables!$B$1:$D$1,0),1))*(BJ929/365))+(INDEX(Variables!$B$8:$D$8,IFERROR(MATCH(IF($B929="Robusta","Robusta",(IF($B929="","Arabica",$B929))&amp;" - "&amp;(IF($C929="","Commercial",$C929))),Variables!$B$1:$D$1,0),1))*L929/16.67)),""))</f>
        <v>-121.74004408494564</v>
      </c>
    </row>
    <row r="930" spans="1:63">
      <c r="A930" s="13" t="s">
        <v>103</v>
      </c>
      <c r="B930" s="13" t="s">
        <v>104</v>
      </c>
      <c r="C930" s="13" t="s">
        <v>105</v>
      </c>
      <c r="D930" s="31">
        <v>46078</v>
      </c>
      <c r="E930" s="31">
        <v>46143</v>
      </c>
      <c r="F930" s="31">
        <v>46172</v>
      </c>
      <c r="G930" s="13">
        <v>3787359</v>
      </c>
      <c r="J930" s="13" t="s">
        <v>611</v>
      </c>
      <c r="K930" s="13" t="s">
        <v>2409</v>
      </c>
      <c r="L930" s="13">
        <v>280</v>
      </c>
      <c r="M930" s="13">
        <v>0</v>
      </c>
      <c r="N930" s="13" t="s">
        <v>2403</v>
      </c>
      <c r="O930" s="13" t="s">
        <v>775</v>
      </c>
      <c r="P930" s="13">
        <v>10030</v>
      </c>
      <c r="R930" s="13" t="s">
        <v>239</v>
      </c>
      <c r="S930" s="13" t="s">
        <v>111</v>
      </c>
      <c r="T930" s="13" t="s">
        <v>112</v>
      </c>
      <c r="U930" s="13" t="s">
        <v>113</v>
      </c>
      <c r="V930" s="23">
        <v>83</v>
      </c>
      <c r="W930" s="44">
        <f>IF($AX930="Cancelled","",IFERROR(((V930+INDEX(Variables!$B$6:$D$6,IFERROR(MATCH(IF($B930="Robusta","Robusta",(IF($B930="","Arabica",$B930))&amp;" - "&amp;(IF($C930="","Commercial",$C930))),Variables!$B$1:$D$1,0),1)))*22.0462)*(L930/16.67),""))</f>
        <v>138418.92482303537</v>
      </c>
      <c r="X930" s="55" t="s">
        <v>37</v>
      </c>
      <c r="Y930" s="13" t="str">
        <f>IF($AX930="Cancelled","",IF(X930="","",IFERROR(IF(INDEX(Variables!$B$38:$B$47,MATCH(X930,Variables!$A$38:$A$47,0))="Yes","Yes","No"),"No")))</f>
        <v>Yes</v>
      </c>
      <c r="Z930" s="58">
        <v>46122</v>
      </c>
      <c r="AB930" s="31">
        <v>46126</v>
      </c>
      <c r="AC930" s="13" t="str">
        <f t="shared" si="43"/>
        <v>Approved</v>
      </c>
      <c r="AF930" s="71"/>
      <c r="AG930" s="37">
        <f>IF($AX930="Cancelled","",IFERROR(IF(F930="","",F930-Variables!$B$13),""))</f>
        <v>46157</v>
      </c>
      <c r="AH930" s="13">
        <f>IF($AX930="Cancelled","",IFERROR(IF(AB930="","",(AVERAGE(E930:F930)-AB930)-Variables!$B$14),""))</f>
        <v>1.5</v>
      </c>
      <c r="AJ930" s="47">
        <v>46195</v>
      </c>
      <c r="AK930" s="14">
        <f>IF($AX930="Cancelled","",IFERROR(IF(AJ930="","",IF(AND(AB930="",AF930=""),"",IF(AF930&gt;AB930,AF930+Variables!$B$15+Variables!$B$16+Variables!$B$17-AJ930,AB930+Variables!$B$16+Variables!$B$17-AJ930))),""))</f>
        <v>-61</v>
      </c>
      <c r="AL930" s="48" t="s">
        <v>114</v>
      </c>
      <c r="AM930" s="13" t="s">
        <v>168</v>
      </c>
      <c r="AN930" s="13" t="s">
        <v>2405</v>
      </c>
      <c r="AP930" s="39">
        <v>46212</v>
      </c>
      <c r="AR930" s="13" t="s">
        <v>2410</v>
      </c>
      <c r="AS930" s="31">
        <v>46212</v>
      </c>
      <c r="AU930" s="31">
        <v>46249</v>
      </c>
      <c r="AV930" s="13" t="e">
        <v>#REF!</v>
      </c>
      <c r="AW930" s="31">
        <v>46249</v>
      </c>
      <c r="AX930" s="13" t="str">
        <f>IF(ISNUMBER(SEARCH("cancel",#REF!)),"Cancelled",IF(AND(AS930&lt;&gt;"",AU930&lt;&gt;"",AW930&lt;&gt;""),"Closed","Open"))</f>
        <v>Closed</v>
      </c>
      <c r="AY930" s="15" t="str">
        <f t="shared" si="45"/>
        <v>All dates received</v>
      </c>
      <c r="BD930" s="13">
        <f>IF($AX930="Cancelled","",IFERROR(IF(OR(AS930="",AJ930=""),"",(AJ930+Variables!$B$18-AS930)),""))</f>
        <v>-2</v>
      </c>
      <c r="BE930" s="13">
        <f>IF($AX930="Cancelled","",IFERROR(IF(OR(AW930="",AS930=""),"",(AS930+Variables!$B$19)-AW930),""))</f>
        <v>-32</v>
      </c>
      <c r="BF930" s="44">
        <f>IF($AX930="Cancelled","",IFERROR(W930*INDEX(Variables!$B$7:$D$7,IFERROR(MATCH(IF($B930="Robusta","Robusta",(IF($B930="","Arabica",$B930))&amp;" - "&amp;(IF($C930="","Commercial",$C930))),Variables!$B$1:$D$1,0),1))*(BE930/365),""))</f>
        <v>-782.51456826072831</v>
      </c>
      <c r="BG930" s="44">
        <f>IF($AX930="Cancelled","",IFERROR((W930*INDEX(Variables!$B$7:$D$7,IFERROR(MATCH(IF($B930="Robusta","Robusta",(IF($B930="","Arabica",$B930))&amp;" - "&amp;(IF($C930="","Commercial",$C930))),Variables!$B$1:$D$1,0),1))*IFERROR(IF(AB930="","",(AVERAGE(E930:F930)-AB930)-Variables!$B$14),"")/365)+(L930/16.67*INDEX(Variables!$B$8:$D$8,IFERROR(MATCH(IF($B930="Robusta","Robusta",(IF($B930="","Arabica",$B930))&amp;" - "&amp;(IF($C930="","Commercial",$C930))),Variables!$B$1:$D$1,0),1))*IFERROR(IF(AB930="","",(AVERAGE(E930:F930)-AB930)-Variables!$B$14),""))+(W930*INDEX(Variables!$B$9:$D$9,IFERROR(MATCH(IF($B930="Robusta","Robusta",(IF($B930="","Arabica",$B930))&amp;" - "&amp;(IF($C930="","Commercial",$C930))),Variables!$B$1:$D$1,0),1))*IFERROR(IF(AB930="","",(AVERAGE(E930:F930)-AB930)-Variables!$B$14),"")/365),""))</f>
        <v>58.15325114970954</v>
      </c>
      <c r="BH930" s="44">
        <f>IF($AX930="Cancelled","",IFERROR((W930*INDEX(Variables!$B$7:$D$7,IFERROR(MATCH(IF($B930="Robusta","Robusta",(IF($B930="","Arabica",$B930))&amp;" - "&amp;(IF($C930="","Commercial",$C930))),Variables!$B$1:$D$1,0),1))*AK930/365)+(L930/16.67*INDEX(Variables!$B$8:$D$8,IFERROR(MATCH(IF($B930="Robusta","Robusta",(IF($B930="","Arabica",$B930))&amp;" - "&amp;(IF($C930="","Commercial",$C930))),Variables!$B$1:$D$1,0),1))*AK930)+(W930*INDEX(Variables!$B$9:$D$9,IFERROR(MATCH(IF($B930="Robusta","Robusta",(IF($B930="","Arabica",$B930))&amp;" - "&amp;(IF($C930="","Commercial",$C930))),Variables!$B$1:$D$1,0),1))*AK930/365),""))</f>
        <v>-2364.898880088188</v>
      </c>
      <c r="BI930" s="44">
        <f>IF($AX930="Cancelled","",IFERROR((W930*INDEX(Variables!$B$7:$D$7,IFERROR(MATCH(IF($B930="Robusta","Robusta",(IF($B930="","Arabica",$B930))&amp;" - "&amp;(IF($C930="","Commercial",$C930))),Variables!$B$1:$D$1,0),1))*BD930/365)+(L930/16.67*INDEX(Variables!$B$8:$D$8,IFERROR(MATCH(IF($B930="Robusta","Robusta",(IF($B930="","Arabica",$B930))&amp;" - "&amp;(IF($C930="","Commercial",$C930))),Variables!$B$1:$D$1,0),1))*BD930)+(W930*INDEX(Variables!$B$9:$D$9,IFERROR(MATCH(IF($B930="Robusta","Robusta",(IF($B930="","Arabica",$B930))&amp;" - "&amp;(IF($C930="","Commercial",$C930))),Variables!$B$1:$D$1,0),1))*BD930/365),""))</f>
        <v>-77.537668199612725</v>
      </c>
      <c r="BJ930" s="44">
        <f t="shared" si="44"/>
        <v>-40</v>
      </c>
      <c r="BK930" s="44">
        <f>IF($AX930="Cancelled","",IFERROR(IF(BJ930="","",(W930*INDEX(Variables!$B$7:$D$7,IFERROR(MATCH(IF($B930="Robusta","Robusta",(IF($B930="","Arabica",$B930))&amp;" - "&amp;(IF($C930="","Commercial",$C930))),Variables!$B$1:$D$1,0),1))*(BJ930/365))+(W930*INDEX(Variables!$B$9:$D$9,IFERROR(MATCH(IF($B930="Robusta","Robusta",(IF($B930="","Arabica",$B930))&amp;" - "&amp;(IF($C930="","Commercial",$C930))),Variables!$B$1:$D$1,0),1))*(BJ930/365))+(INDEX(Variables!$B$8:$D$8,IFERROR(MATCH(IF($B930="Robusta","Robusta",(IF($B930="","Arabica",$B930))&amp;" - "&amp;(IF($C930="","Commercial",$C930))),Variables!$B$1:$D$1,0),1))*L930/16.67)),""))</f>
        <v>-976.75336399225432</v>
      </c>
    </row>
    <row r="931" spans="1:63">
      <c r="A931" s="13" t="s">
        <v>103</v>
      </c>
      <c r="B931" s="13" t="s">
        <v>104</v>
      </c>
      <c r="C931" s="13" t="s">
        <v>105</v>
      </c>
      <c r="D931" s="31">
        <v>46078</v>
      </c>
      <c r="E931" s="31">
        <v>46143</v>
      </c>
      <c r="F931" s="31">
        <v>46172</v>
      </c>
      <c r="G931" s="13">
        <v>3787360</v>
      </c>
      <c r="J931" s="13" t="s">
        <v>611</v>
      </c>
      <c r="K931" s="13" t="s">
        <v>2407</v>
      </c>
      <c r="L931" s="13">
        <v>40</v>
      </c>
      <c r="M931" s="13">
        <v>0</v>
      </c>
      <c r="N931" s="13" t="s">
        <v>2408</v>
      </c>
      <c r="O931" s="13" t="s">
        <v>543</v>
      </c>
      <c r="P931" s="13">
        <v>10070</v>
      </c>
      <c r="R931" s="13" t="s">
        <v>239</v>
      </c>
      <c r="S931" s="13" t="s">
        <v>111</v>
      </c>
      <c r="T931" s="13" t="s">
        <v>112</v>
      </c>
      <c r="U931" s="13" t="s">
        <v>113</v>
      </c>
      <c r="V931" s="23">
        <v>36</v>
      </c>
      <c r="W931" s="44">
        <f>IF($AX931="Cancelled","",IFERROR(((V931+INDEX(Variables!$B$6:$D$6,IFERROR(MATCH(IF($B931="Robusta","Robusta",(IF($B931="","Arabica",$B931))&amp;" - "&amp;(IF($C931="","Commercial",$C931))),Variables!$B$1:$D$1,0),1)))*22.0462)*(L931/16.67),""))</f>
        <v>17287.81802039592</v>
      </c>
      <c r="X931" s="55" t="s">
        <v>37</v>
      </c>
      <c r="Y931" s="13" t="str">
        <f>IF($AX931="Cancelled","",IF(X931="","",IFERROR(IF(INDEX(Variables!$B$38:$B$47,MATCH(X931,Variables!$A$38:$A$47,0))="Yes","Yes","No"),"No")))</f>
        <v>Yes</v>
      </c>
      <c r="Z931" s="58">
        <v>46122</v>
      </c>
      <c r="AB931" s="31">
        <v>46126</v>
      </c>
      <c r="AC931" s="13" t="str">
        <f t="shared" si="43"/>
        <v>Approved</v>
      </c>
      <c r="AF931" s="71">
        <v>46183</v>
      </c>
      <c r="AG931" s="37">
        <f>IF($AX931="Cancelled","",IFERROR(IF(F931="","",F931-Variables!$B$13),""))</f>
        <v>46157</v>
      </c>
      <c r="AH931" s="13">
        <f>IF($AX931="Cancelled","",IFERROR(IF(AB931="","",(AVERAGE(E931:F931)-AB931)-Variables!$B$14),""))</f>
        <v>1.5</v>
      </c>
      <c r="AJ931" s="47">
        <v>46195</v>
      </c>
      <c r="AK931" s="14">
        <f>IF($AX931="Cancelled","",IFERROR(IF(AJ931="","",IF(AND(AB931="",AF931=""),"",IF(AF931&gt;AB931,AF931+Variables!$B$15+Variables!$B$16+Variables!$B$17-AJ931,AB931+Variables!$B$16+Variables!$B$17-AJ931))),""))</f>
        <v>3</v>
      </c>
      <c r="AL931" s="48" t="s">
        <v>114</v>
      </c>
      <c r="AM931" s="13" t="s">
        <v>168</v>
      </c>
      <c r="AN931" s="13" t="s">
        <v>2405</v>
      </c>
      <c r="AP931" s="39">
        <v>46212</v>
      </c>
      <c r="AR931" s="13" t="s">
        <v>2410</v>
      </c>
      <c r="AS931" s="31">
        <v>46212</v>
      </c>
      <c r="AU931" s="31">
        <v>46249</v>
      </c>
      <c r="AV931" s="13" t="e">
        <v>#REF!</v>
      </c>
      <c r="AW931" s="31">
        <v>46249</v>
      </c>
      <c r="AX931" s="13" t="str">
        <f>IF(ISNUMBER(SEARCH("cancel",#REF!)),"Cancelled",IF(AND(AS931&lt;&gt;"",AU931&lt;&gt;"",AW931&lt;&gt;""),"Closed","Open"))</f>
        <v>Closed</v>
      </c>
      <c r="AY931" s="15" t="str">
        <f t="shared" si="45"/>
        <v>All dates received</v>
      </c>
      <c r="BD931" s="13">
        <f>IF($AX931="Cancelled","",IFERROR(IF(OR(AS931="",AJ931=""),"",(AJ931+Variables!$B$18-AS931)),""))</f>
        <v>-2</v>
      </c>
      <c r="BE931" s="13">
        <f>IF($AX931="Cancelled","",IFERROR(IF(OR(AW931="",AS931=""),"",(AS931+Variables!$B$19)-AW931),""))</f>
        <v>-32</v>
      </c>
      <c r="BF931" s="44">
        <f>IF($AX931="Cancelled","",IFERROR(W931*INDEX(Variables!$B$7:$D$7,IFERROR(MATCH(IF($B931="Robusta","Robusta",(IF($B931="","Arabica",$B931))&amp;" - "&amp;(IF($C931="","Commercial",$C931))),Variables!$B$1:$D$1,0),1))*(BE931/365),""))</f>
        <v>-97.732080145076068</v>
      </c>
      <c r="BG931" s="44">
        <f>IF($AX931="Cancelled","",IFERROR((W931*INDEX(Variables!$B$7:$D$7,IFERROR(MATCH(IF($B931="Robusta","Robusta",(IF($B931="","Arabica",$B931))&amp;" - "&amp;(IF($C931="","Commercial",$C931))),Variables!$B$1:$D$1,0),1))*IFERROR(IF(AB931="","",(AVERAGE(E931:F931)-AB931)-Variables!$B$14),"")/365)+(L931/16.67*INDEX(Variables!$B$8:$D$8,IFERROR(MATCH(IF($B931="Robusta","Robusta",(IF($B931="","Arabica",$B931))&amp;" - "&amp;(IF($C931="","Commercial",$C931))),Variables!$B$1:$D$1,0),1))*IFERROR(IF(AB931="","",(AVERAGE(E931:F931)-AB931)-Variables!$B$14),""))+(W931*INDEX(Variables!$B$9:$D$9,IFERROR(MATCH(IF($B931="Robusta","Robusta",(IF($B931="","Arabica",$B931))&amp;" - "&amp;(IF($C931="","Commercial",$C931))),Variables!$B$1:$D$1,0),1))*IFERROR(IF(AB931="","",(AVERAGE(E931:F931)-AB931)-Variables!$B$14),"")/365),""))</f>
        <v>7.6402516531854614</v>
      </c>
      <c r="BH931" s="44">
        <f>IF($AX931="Cancelled","",IFERROR((W931*INDEX(Variables!$B$7:$D$7,IFERROR(MATCH(IF($B931="Robusta","Robusta",(IF($B931="","Arabica",$B931))&amp;" - "&amp;(IF($C931="","Commercial",$C931))),Variables!$B$1:$D$1,0),1))*AK931/365)+(L931/16.67*INDEX(Variables!$B$8:$D$8,IFERROR(MATCH(IF($B931="Robusta","Robusta",(IF($B931="","Arabica",$B931))&amp;" - "&amp;(IF($C931="","Commercial",$C931))),Variables!$B$1:$D$1,0),1))*AK931)+(W931*INDEX(Variables!$B$9:$D$9,IFERROR(MATCH(IF($B931="Robusta","Robusta",(IF($B931="","Arabica",$B931))&amp;" - "&amp;(IF($C931="","Commercial",$C931))),Variables!$B$1:$D$1,0),1))*AK931/365),""))</f>
        <v>15.280503306370923</v>
      </c>
      <c r="BI931" s="44">
        <f>IF($AX931="Cancelled","",IFERROR((W931*INDEX(Variables!$B$7:$D$7,IFERROR(MATCH(IF($B931="Robusta","Robusta",(IF($B931="","Arabica",$B931))&amp;" - "&amp;(IF($C931="","Commercial",$C931))),Variables!$B$1:$D$1,0),1))*BD931/365)+(L931/16.67*INDEX(Variables!$B$8:$D$8,IFERROR(MATCH(IF($B931="Robusta","Robusta",(IF($B931="","Arabica",$B931))&amp;" - "&amp;(IF($C931="","Commercial",$C931))),Variables!$B$1:$D$1,0),1))*BD931)+(W931*INDEX(Variables!$B$9:$D$9,IFERROR(MATCH(IF($B931="Robusta","Robusta",(IF($B931="","Arabica",$B931))&amp;" - "&amp;(IF($C931="","Commercial",$C931))),Variables!$B$1:$D$1,0),1))*BD931/365),""))</f>
        <v>-10.187002204247282</v>
      </c>
      <c r="BJ931" s="44">
        <f t="shared" si="44"/>
        <v>-40</v>
      </c>
      <c r="BK931" s="44">
        <f>IF($AX931="Cancelled","",IFERROR(IF(BJ931="","",(W931*INDEX(Variables!$B$7:$D$7,IFERROR(MATCH(IF($B931="Robusta","Robusta",(IF($B931="","Arabica",$B931))&amp;" - "&amp;(IF($C931="","Commercial",$C931))),Variables!$B$1:$D$1,0),1))*(BJ931/365))+(W931*INDEX(Variables!$B$9:$D$9,IFERROR(MATCH(IF($B931="Robusta","Robusta",(IF($B931="","Arabica",$B931))&amp;" - "&amp;(IF($C931="","Commercial",$C931))),Variables!$B$1:$D$1,0),1))*(BJ931/365))+(INDEX(Variables!$B$8:$D$8,IFERROR(MATCH(IF($B931="Robusta","Robusta",(IF($B931="","Arabica",$B931))&amp;" - "&amp;(IF($C931="","Commercial",$C931))),Variables!$B$1:$D$1,0),1))*L931/16.67)),""))</f>
        <v>-121.74004408494564</v>
      </c>
    </row>
    <row r="932" spans="1:63">
      <c r="A932" s="13" t="s">
        <v>103</v>
      </c>
      <c r="B932" s="13" t="s">
        <v>104</v>
      </c>
      <c r="C932" s="13" t="s">
        <v>292</v>
      </c>
      <c r="D932" s="31">
        <v>46078</v>
      </c>
      <c r="E932" s="31">
        <v>46113</v>
      </c>
      <c r="F932" s="31">
        <v>46142</v>
      </c>
      <c r="G932" s="13">
        <v>3787361</v>
      </c>
      <c r="J932" s="13" t="s">
        <v>2210</v>
      </c>
      <c r="K932" s="13" t="s">
        <v>2411</v>
      </c>
      <c r="L932" s="13">
        <v>6</v>
      </c>
      <c r="M932" s="13">
        <v>0</v>
      </c>
      <c r="N932" s="13" t="s">
        <v>2412</v>
      </c>
      <c r="O932" s="13" t="s">
        <v>576</v>
      </c>
      <c r="P932" s="13">
        <v>10020</v>
      </c>
      <c r="R932" s="13" t="s">
        <v>239</v>
      </c>
      <c r="S932" s="13" t="s">
        <v>553</v>
      </c>
      <c r="T932" s="13" t="s">
        <v>112</v>
      </c>
      <c r="U932" s="13" t="s">
        <v>113</v>
      </c>
      <c r="V932" s="23">
        <v>183</v>
      </c>
      <c r="W932" s="44">
        <f>IF($AX932="Cancelled","",IFERROR(((V932+INDEX(Variables!$B$6:$D$6,IFERROR(MATCH(IF($B932="Robusta","Robusta",(IF($B932="","Arabica",$B932))&amp;" - "&amp;(IF($C932="","Commercial",$C932))),Variables!$B$1:$D$1,0),1)))*22.0462)*(L932/16.67),""))</f>
        <v>3759.624316736652</v>
      </c>
      <c r="Y932" s="13" t="str">
        <f>IF($AX932="Cancelled","",IF(X932="","",IFERROR(IF(INDEX(Variables!$B$38:$B$47,MATCH(X932,Variables!$A$38:$A$47,0))="Yes","Yes","No"),"No")))</f>
        <v/>
      </c>
      <c r="Z932" s="31"/>
      <c r="AC932" s="13" t="str">
        <f t="shared" si="43"/>
        <v/>
      </c>
      <c r="AF932" s="71">
        <v>46122</v>
      </c>
      <c r="AG932" s="37">
        <f>IF($AX932="Cancelled","",IFERROR(IF(F932="","",F932-Variables!$B$13),""))</f>
        <v>46127</v>
      </c>
      <c r="AH932" s="13" t="str">
        <f>IF($AX932="Cancelled","",IFERROR(IF(AB932="","",(AVERAGE(E932:F932)-AB932)-Variables!$B$14),""))</f>
        <v/>
      </c>
      <c r="AJ932" s="47">
        <v>46126</v>
      </c>
      <c r="AK932" s="14">
        <f>IF($AX932="Cancelled","",IFERROR(IF(AJ932="","",IF(AND(AB932="",AF932=""),"",IF(AF932&gt;AB932,AF932+Variables!$B$15+Variables!$B$16+Variables!$B$17-AJ932,AB932+Variables!$B$16+Variables!$B$17-AJ932))),""))</f>
        <v>11</v>
      </c>
      <c r="AL932" s="48" t="s">
        <v>114</v>
      </c>
      <c r="AM932" s="13" t="s">
        <v>134</v>
      </c>
      <c r="AN932" s="13" t="s">
        <v>2213</v>
      </c>
      <c r="AP932" s="39" t="e">
        <v>#N/A</v>
      </c>
      <c r="AR932" s="13" t="s">
        <v>2214</v>
      </c>
      <c r="AS932" s="31">
        <v>46145</v>
      </c>
      <c r="AU932" s="31">
        <v>46164</v>
      </c>
      <c r="AV932" s="13" t="s">
        <v>865</v>
      </c>
      <c r="AW932" s="31">
        <v>46164</v>
      </c>
      <c r="AX932" s="13" t="str">
        <f>IF(ISNUMBER(SEARCH("cancel",#REF!)),"Cancelled",IF(AND(AS932&lt;&gt;"",AU932&lt;&gt;"",AW932&lt;&gt;""),"Closed","Open"))</f>
        <v>Closed</v>
      </c>
      <c r="AY932" s="15" t="str">
        <f t="shared" si="45"/>
        <v>All dates received</v>
      </c>
      <c r="BD932" s="13">
        <f>IF($AX932="Cancelled","",IFERROR(IF(OR(AS932="",AJ932=""),"",(AJ932+Variables!$B$18-AS932)),""))</f>
        <v>-4</v>
      </c>
      <c r="BE932" s="13">
        <f>IF($AX932="Cancelled","",IFERROR(IF(OR(AW932="",AS932=""),"",(AS932+Variables!$B$19)-AW932),""))</f>
        <v>-14</v>
      </c>
      <c r="BF932" s="44">
        <f>IF($AX932="Cancelled","",IFERROR(W932*INDEX(Variables!$B$7:$D$7,IFERROR(MATCH(IF($B932="Robusta","Robusta",(IF($B932="","Arabica",$B932))&amp;" - "&amp;(IF($C932="","Commercial",$C932))),Variables!$B$1:$D$1,0),1))*(BE932/365),""))</f>
        <v>-9.2986407113245644</v>
      </c>
      <c r="BG932" s="44" t="str">
        <f>IF($AX932="Cancelled","",IFERROR((W932*INDEX(Variables!$B$7:$D$7,IFERROR(MATCH(IF($B932="Robusta","Robusta",(IF($B932="","Arabica",$B932))&amp;" - "&amp;(IF($C932="","Commercial",$C932))),Variables!$B$1:$D$1,0),1))*IFERROR(IF(AB932="","",(AVERAGE(E932:F932)-AB932)-Variables!$B$14),"")/365)+(L932/16.67*INDEX(Variables!$B$8:$D$8,IFERROR(MATCH(IF($B932="Robusta","Robusta",(IF($B932="","Arabica",$B932))&amp;" - "&amp;(IF($C932="","Commercial",$C932))),Variables!$B$1:$D$1,0),1))*IFERROR(IF(AB932="","",(AVERAGE(E932:F932)-AB932)-Variables!$B$14),""))+(W932*INDEX(Variables!$B$9:$D$9,IFERROR(MATCH(IF($B932="Robusta","Robusta",(IF($B932="","Arabica",$B932))&amp;" - "&amp;(IF($C932="","Commercial",$C932))),Variables!$B$1:$D$1,0),1))*IFERROR(IF(AB932="","",(AVERAGE(E932:F932)-AB932)-Variables!$B$14),"")/365),""))</f>
        <v/>
      </c>
      <c r="BH932" s="44">
        <f>IF($AX932="Cancelled","",IFERROR((W932*INDEX(Variables!$B$7:$D$7,IFERROR(MATCH(IF($B932="Robusta","Robusta",(IF($B932="","Arabica",$B932))&amp;" - "&amp;(IF($C932="","Commercial",$C932))),Variables!$B$1:$D$1,0),1))*AK932/365)+(L932/16.67*INDEX(Variables!$B$8:$D$8,IFERROR(MATCH(IF($B932="Robusta","Robusta",(IF($B932="","Arabica",$B932))&amp;" - "&amp;(IF($C932="","Commercial",$C932))),Variables!$B$1:$D$1,0),1))*AK932)+(W932*INDEX(Variables!$B$9:$D$9,IFERROR(MATCH(IF($B932="Robusta","Robusta",(IF($B932="","Arabica",$B932))&amp;" - "&amp;(IF($C932="","Commercial",$C932))),Variables!$B$1:$D$1,0),1))*AK932/365),""))</f>
        <v>10.700264249104034</v>
      </c>
      <c r="BI932" s="44">
        <f>IF($AX932="Cancelled","",IFERROR((W932*INDEX(Variables!$B$7:$D$7,IFERROR(MATCH(IF($B932="Robusta","Robusta",(IF($B932="","Arabica",$B932))&amp;" - "&amp;(IF($C932="","Commercial",$C932))),Variables!$B$1:$D$1,0),1))*BD932/365)+(L932/16.67*INDEX(Variables!$B$8:$D$8,IFERROR(MATCH(IF($B932="Robusta","Robusta",(IF($B932="","Arabica",$B932))&amp;" - "&amp;(IF($C932="","Commercial",$C932))),Variables!$B$1:$D$1,0),1))*BD932)+(W932*INDEX(Variables!$B$9:$D$9,IFERROR(MATCH(IF($B932="Robusta","Robusta",(IF($B932="","Arabica",$B932))&amp;" - "&amp;(IF($C932="","Commercial",$C932))),Variables!$B$1:$D$1,0),1))*BD932/365),""))</f>
        <v>-3.8910051814923765</v>
      </c>
      <c r="BJ932" s="44">
        <f t="shared" si="44"/>
        <v>-3</v>
      </c>
      <c r="BK932" s="44">
        <f>IF($AX932="Cancelled","",IFERROR(IF(BJ932="","",(W932*INDEX(Variables!$B$7:$D$7,IFERROR(MATCH(IF($B932="Robusta","Robusta",(IF($B932="","Arabica",$B932))&amp;" - "&amp;(IF($C932="","Commercial",$C932))),Variables!$B$1:$D$1,0),1))*(BJ932/365))+(W932*INDEX(Variables!$B$9:$D$9,IFERROR(MATCH(IF($B932="Robusta","Robusta",(IF($B932="","Arabica",$B932))&amp;" - "&amp;(IF($C932="","Commercial",$C932))),Variables!$B$1:$D$1,0),1))*(BJ932/365))+(INDEX(Variables!$B$8:$D$8,IFERROR(MATCH(IF($B932="Robusta","Robusta",(IF($B932="","Arabica",$B932))&amp;" - "&amp;(IF($C932="","Commercial",$C932))),Variables!$B$1:$D$1,0),1))*L932/16.67)),""))</f>
        <v>-1.718253886119282</v>
      </c>
    </row>
    <row r="933" spans="1:63">
      <c r="A933" s="13" t="s">
        <v>103</v>
      </c>
      <c r="B933" s="13" t="s">
        <v>104</v>
      </c>
      <c r="C933" s="13" t="s">
        <v>292</v>
      </c>
      <c r="D933" s="31">
        <v>46078</v>
      </c>
      <c r="E933" s="31">
        <v>46113</v>
      </c>
      <c r="F933" s="31">
        <v>46142</v>
      </c>
      <c r="G933" s="13">
        <v>3787362</v>
      </c>
      <c r="J933" s="13" t="s">
        <v>2210</v>
      </c>
      <c r="K933" s="13" t="s">
        <v>2413</v>
      </c>
      <c r="L933" s="13">
        <v>75</v>
      </c>
      <c r="M933" s="13">
        <v>0</v>
      </c>
      <c r="N933" s="13" t="s">
        <v>2414</v>
      </c>
      <c r="O933" s="13" t="s">
        <v>120</v>
      </c>
      <c r="P933" s="13">
        <v>10070</v>
      </c>
      <c r="R933" s="13" t="s">
        <v>239</v>
      </c>
      <c r="S933" s="13" t="s">
        <v>553</v>
      </c>
      <c r="T933" s="13" t="s">
        <v>112</v>
      </c>
      <c r="U933" s="13" t="s">
        <v>113</v>
      </c>
      <c r="V933" s="23">
        <v>32</v>
      </c>
      <c r="W933" s="44">
        <f>IF($AX933="Cancelled","",IFERROR(((V933+INDEX(Variables!$B$6:$D$6,IFERROR(MATCH(IF($B933="Robusta","Robusta",(IF($B933="","Arabica",$B933))&amp;" - "&amp;(IF($C933="","Commercial",$C933))),Variables!$B$1:$D$1,0),1)))*22.0462)*(L933/16.67),""))</f>
        <v>32017.906538692259</v>
      </c>
      <c r="Y933" s="13" t="str">
        <f>IF($AX933="Cancelled","",IF(X933="","",IFERROR(IF(INDEX(Variables!$B$38:$B$47,MATCH(X933,Variables!$A$38:$A$47,0))="Yes","Yes","No"),"No")))</f>
        <v/>
      </c>
      <c r="Z933" s="31"/>
      <c r="AC933" s="13" t="str">
        <f t="shared" si="43"/>
        <v/>
      </c>
      <c r="AF933" s="71">
        <v>46121</v>
      </c>
      <c r="AG933" s="37">
        <f>IF($AX933="Cancelled","",IFERROR(IF(F933="","",F933-Variables!$B$13),""))</f>
        <v>46127</v>
      </c>
      <c r="AH933" s="13" t="str">
        <f>IF($AX933="Cancelled","",IFERROR(IF(AB933="","",(AVERAGE(E933:F933)-AB933)-Variables!$B$14),""))</f>
        <v/>
      </c>
      <c r="AJ933" s="47">
        <v>46126</v>
      </c>
      <c r="AK933" s="14">
        <f>IF($AX933="Cancelled","",IFERROR(IF(AJ933="","",IF(AND(AB933="",AF933=""),"",IF(AF933&gt;AB933,AF933+Variables!$B$15+Variables!$B$16+Variables!$B$17-AJ933,AB933+Variables!$B$16+Variables!$B$17-AJ933))),""))</f>
        <v>10</v>
      </c>
      <c r="AL933" s="48" t="s">
        <v>114</v>
      </c>
      <c r="AM933" s="13" t="s">
        <v>134</v>
      </c>
      <c r="AN933" s="13" t="s">
        <v>2213</v>
      </c>
      <c r="AP933" s="39" t="e">
        <v>#N/A</v>
      </c>
      <c r="AR933" s="13" t="s">
        <v>2214</v>
      </c>
      <c r="AS933" s="31">
        <v>46145</v>
      </c>
      <c r="AU933" s="31">
        <v>46164</v>
      </c>
      <c r="AV933" s="13" t="s">
        <v>865</v>
      </c>
      <c r="AW933" s="31">
        <v>46164</v>
      </c>
      <c r="AX933" s="13" t="str">
        <f>IF(ISNUMBER(SEARCH("cancel",#REF!)),"Cancelled",IF(AND(AS933&lt;&gt;"",AU933&lt;&gt;"",AW933&lt;&gt;""),"Closed","Open"))</f>
        <v>Closed</v>
      </c>
      <c r="AY933" s="15" t="str">
        <f t="shared" si="45"/>
        <v>All dates received</v>
      </c>
      <c r="BD933" s="13">
        <f>IF($AX933="Cancelled","",IFERROR(IF(OR(AS933="",AJ933=""),"",(AJ933+Variables!$B$18-AS933)),""))</f>
        <v>-4</v>
      </c>
      <c r="BE933" s="13">
        <f>IF($AX933="Cancelled","",IFERROR(IF(OR(AW933="",AS933=""),"",(AS933+Variables!$B$19)-AW933),""))</f>
        <v>-14</v>
      </c>
      <c r="BF933" s="44">
        <f>IF($AX933="Cancelled","",IFERROR(W933*INDEX(Variables!$B$7:$D$7,IFERROR(MATCH(IF($B933="Robusta","Robusta",(IF($B933="","Arabica",$B933))&amp;" - "&amp;(IF($C933="","Commercial",$C933))),Variables!$B$1:$D$1,0),1))*(BE933/365),""))</f>
        <v>-79.189563677067596</v>
      </c>
      <c r="BG933" s="44" t="str">
        <f>IF($AX933="Cancelled","",IFERROR((W933*INDEX(Variables!$B$7:$D$7,IFERROR(MATCH(IF($B933="Robusta","Robusta",(IF($B933="","Arabica",$B933))&amp;" - "&amp;(IF($C933="","Commercial",$C933))),Variables!$B$1:$D$1,0),1))*IFERROR(IF(AB933="","",(AVERAGE(E933:F933)-AB933)-Variables!$B$14),"")/365)+(L933/16.67*INDEX(Variables!$B$8:$D$8,IFERROR(MATCH(IF($B933="Robusta","Robusta",(IF($B933="","Arabica",$B933))&amp;" - "&amp;(IF($C933="","Commercial",$C933))),Variables!$B$1:$D$1,0),1))*IFERROR(IF(AB933="","",(AVERAGE(E933:F933)-AB933)-Variables!$B$14),""))+(W933*INDEX(Variables!$B$9:$D$9,IFERROR(MATCH(IF($B933="Robusta","Robusta",(IF($B933="","Arabica",$B933))&amp;" - "&amp;(IF($C933="","Commercial",$C933))),Variables!$B$1:$D$1,0),1))*IFERROR(IF(AB933="","",(AVERAGE(E933:F933)-AB933)-Variables!$B$14),"")/365),""))</f>
        <v/>
      </c>
      <c r="BH933" s="44">
        <f>IF($AX933="Cancelled","",IFERROR((W933*INDEX(Variables!$B$7:$D$7,IFERROR(MATCH(IF($B933="Robusta","Robusta",(IF($B933="","Arabica",$B933))&amp;" - "&amp;(IF($C933="","Commercial",$C933))),Variables!$B$1:$D$1,0),1))*AK933/365)+(L933/16.67*INDEX(Variables!$B$8:$D$8,IFERROR(MATCH(IF($B933="Robusta","Robusta",(IF($B933="","Arabica",$B933))&amp;" - "&amp;(IF($C933="","Commercial",$C933))),Variables!$B$1:$D$1,0),1))*AK933)+(W933*INDEX(Variables!$B$9:$D$9,IFERROR(MATCH(IF($B933="Robusta","Robusta",(IF($B933="","Arabica",$B933))&amp;" - "&amp;(IF($C933="","Commercial",$C933))),Variables!$B$1:$D$1,0),1))*AK933/365),""))</f>
        <v>94.793192841503483</v>
      </c>
      <c r="BI933" s="44">
        <f>IF($AX933="Cancelled","",IFERROR((W933*INDEX(Variables!$B$7:$D$7,IFERROR(MATCH(IF($B933="Robusta","Robusta",(IF($B933="","Arabica",$B933))&amp;" - "&amp;(IF($C933="","Commercial",$C933))),Variables!$B$1:$D$1,0),1))*BD933/365)+(L933/16.67*INDEX(Variables!$B$8:$D$8,IFERROR(MATCH(IF($B933="Robusta","Robusta",(IF($B933="","Arabica",$B933))&amp;" - "&amp;(IF($C933="","Commercial",$C933))),Variables!$B$1:$D$1,0),1))*BD933)+(W933*INDEX(Variables!$B$9:$D$9,IFERROR(MATCH(IF($B933="Robusta","Robusta",(IF($B933="","Arabica",$B933))&amp;" - "&amp;(IF($C933="","Commercial",$C933))),Variables!$B$1:$D$1,0),1))*BD933/365),""))</f>
        <v>-37.917277136601392</v>
      </c>
      <c r="BJ933" s="44">
        <f t="shared" si="44"/>
        <v>-3</v>
      </c>
      <c r="BK933" s="44">
        <f>IF($AX933="Cancelled","",IFERROR(IF(BJ933="","",(W933*INDEX(Variables!$B$7:$D$7,IFERROR(MATCH(IF($B933="Robusta","Robusta",(IF($B933="","Arabica",$B933))&amp;" - "&amp;(IF($C933="","Commercial",$C933))),Variables!$B$1:$D$1,0),1))*(BJ933/365))+(W933*INDEX(Variables!$B$9:$D$9,IFERROR(MATCH(IF($B933="Robusta","Robusta",(IF($B933="","Arabica",$B933))&amp;" - "&amp;(IF($C933="","Commercial",$C933))),Variables!$B$1:$D$1,0),1))*(BJ933/365))+(INDEX(Variables!$B$8:$D$8,IFERROR(MATCH(IF($B933="Robusta","Robusta",(IF($B933="","Arabica",$B933))&amp;" - "&amp;(IF($C933="","Commercial",$C933))),Variables!$B$1:$D$1,0),1))*L933/16.67)),""))</f>
        <v>-13.437957852451042</v>
      </c>
    </row>
    <row r="934" spans="1:63">
      <c r="A934" s="13" t="s">
        <v>103</v>
      </c>
      <c r="B934" s="13" t="s">
        <v>104</v>
      </c>
      <c r="C934" s="13" t="s">
        <v>292</v>
      </c>
      <c r="D934" s="31">
        <v>46079</v>
      </c>
      <c r="E934" s="31">
        <v>46082</v>
      </c>
      <c r="F934" s="31">
        <v>46112</v>
      </c>
      <c r="G934" s="13">
        <v>3787363</v>
      </c>
      <c r="J934" s="13" t="s">
        <v>447</v>
      </c>
      <c r="K934" s="13" t="s">
        <v>2415</v>
      </c>
      <c r="L934" s="13">
        <v>4</v>
      </c>
      <c r="M934" s="13">
        <v>0</v>
      </c>
      <c r="N934" s="13" t="s">
        <v>2416</v>
      </c>
      <c r="O934" s="13" t="s">
        <v>576</v>
      </c>
      <c r="P934" s="13">
        <v>10020</v>
      </c>
      <c r="R934" s="13" t="s">
        <v>671</v>
      </c>
      <c r="S934" s="13" t="s">
        <v>154</v>
      </c>
      <c r="T934" s="13" t="s">
        <v>155</v>
      </c>
      <c r="U934" s="13" t="s">
        <v>125</v>
      </c>
      <c r="V934" s="13">
        <v>184</v>
      </c>
      <c r="W934" s="44">
        <f>IF($AX934="Cancelled","",IFERROR(((V934+INDEX(Variables!$B$6:$D$6,IFERROR(MATCH(IF($B934="Robusta","Robusta",(IF($B934="","Arabica",$B934))&amp;" - "&amp;(IF($C934="","Commercial",$C934))),Variables!$B$1:$D$1,0),1)))*22.0462)*(L934/16.67),""))</f>
        <v>2511.7062411517691</v>
      </c>
      <c r="X934" s="55" t="s">
        <v>39</v>
      </c>
      <c r="Y934" s="13" t="str">
        <f>IF($AX934="Cancelled","",IF(X934="","",IFERROR(IF(INDEX(Variables!$B$38:$B$47,MATCH(X934,Variables!$A$38:$A$47,0))="Yes","Yes","No"),"No")))</f>
        <v>No</v>
      </c>
      <c r="Z934" s="31"/>
      <c r="AC934" s="13" t="str">
        <f t="shared" si="43"/>
        <v/>
      </c>
      <c r="AF934" s="71">
        <v>46112</v>
      </c>
      <c r="AG934" s="37">
        <f>IF($AX934="Cancelled","",IFERROR(IF(F934="","",F934-Variables!$B$13),""))</f>
        <v>46097</v>
      </c>
      <c r="AH934" s="13" t="str">
        <f>IF($AX934="Cancelled","",IFERROR(IF(AB934="","",(AVERAGE(E934:F934)-AB934)-Variables!$B$14),""))</f>
        <v/>
      </c>
      <c r="AJ934" s="47">
        <v>46125</v>
      </c>
      <c r="AK934" s="14">
        <f>IF($AX934="Cancelled","",IFERROR(IF(AJ934="","",IF(AND(AB934="",AF934=""),"",IF(AF934&gt;AB934,AF934+Variables!$B$15+Variables!$B$16+Variables!$B$17-AJ934,AB934+Variables!$B$16+Variables!$B$17-AJ934))),""))</f>
        <v>2</v>
      </c>
      <c r="AL934" s="48" t="s">
        <v>114</v>
      </c>
      <c r="AM934" s="13" t="s">
        <v>168</v>
      </c>
      <c r="AN934" s="13" t="s">
        <v>1793</v>
      </c>
      <c r="AP934" s="39" t="e">
        <v>#N/A</v>
      </c>
      <c r="AR934" s="13" t="s">
        <v>1794</v>
      </c>
      <c r="AS934" s="31">
        <v>46136</v>
      </c>
      <c r="AU934" s="31">
        <v>46160</v>
      </c>
      <c r="AV934" s="13" t="s">
        <v>865</v>
      </c>
      <c r="AW934" s="31">
        <v>46160</v>
      </c>
      <c r="AX934" s="13" t="str">
        <f>IF(ISNUMBER(SEARCH("cancel",#REF!)),"Cancelled",IF(AND(AS934&lt;&gt;"",AU934&lt;&gt;"",AW934&lt;&gt;""),"Closed","Open"))</f>
        <v>Closed</v>
      </c>
      <c r="AY934" s="15" t="str">
        <f t="shared" si="45"/>
        <v>All dates received</v>
      </c>
      <c r="BD934" s="13">
        <f>IF($AX934="Cancelled","",IFERROR(IF(OR(AS934="",AJ934=""),"",(AJ934+Variables!$B$18-AS934)),""))</f>
        <v>4</v>
      </c>
      <c r="BE934" s="13">
        <f>IF($AX934="Cancelled","",IFERROR(IF(OR(AW934="",AS934=""),"",(AS934+Variables!$B$19)-AW934),""))</f>
        <v>-19</v>
      </c>
      <c r="BF934" s="44">
        <f>IF($AX934="Cancelled","",IFERROR(W934*INDEX(Variables!$B$7:$D$7,IFERROR(MATCH(IF($B934="Robusta","Robusta",(IF($B934="","Arabica",$B934))&amp;" - "&amp;(IF($C934="","Commercial",$C934))),Variables!$B$1:$D$1,0),1))*(BE934/365),""))</f>
        <v>-8.4308124369335218</v>
      </c>
      <c r="BG934" s="44" t="str">
        <f>IF($AX934="Cancelled","",IFERROR((W934*INDEX(Variables!$B$7:$D$7,IFERROR(MATCH(IF($B934="Robusta","Robusta",(IF($B934="","Arabica",$B934))&amp;" - "&amp;(IF($C934="","Commercial",$C934))),Variables!$B$1:$D$1,0),1))*IFERROR(IF(AB934="","",(AVERAGE(E934:F934)-AB934)-Variables!$B$14),"")/365)+(L934/16.67*INDEX(Variables!$B$8:$D$8,IFERROR(MATCH(IF($B934="Robusta","Robusta",(IF($B934="","Arabica",$B934))&amp;" - "&amp;(IF($C934="","Commercial",$C934))),Variables!$B$1:$D$1,0),1))*IFERROR(IF(AB934="","",(AVERAGE(E934:F934)-AB934)-Variables!$B$14),""))+(W934*INDEX(Variables!$B$9:$D$9,IFERROR(MATCH(IF($B934="Robusta","Robusta",(IF($B934="","Arabica",$B934))&amp;" - "&amp;(IF($C934="","Commercial",$C934))),Variables!$B$1:$D$1,0),1))*IFERROR(IF(AB934="","",(AVERAGE(E934:F934)-AB934)-Variables!$B$14),"")/365),""))</f>
        <v/>
      </c>
      <c r="BH934" s="44">
        <f>IF($AX934="Cancelled","",IFERROR((W934*INDEX(Variables!$B$7:$D$7,IFERROR(MATCH(IF($B934="Robusta","Robusta",(IF($B934="","Arabica",$B934))&amp;" - "&amp;(IF($C934="","Commercial",$C934))),Variables!$B$1:$D$1,0),1))*AK934/365)+(L934/16.67*INDEX(Variables!$B$8:$D$8,IFERROR(MATCH(IF($B934="Robusta","Robusta",(IF($B934="","Arabica",$B934))&amp;" - "&amp;(IF($C934="","Commercial",$C934))),Variables!$B$1:$D$1,0),1))*AK934)+(W934*INDEX(Variables!$B$9:$D$9,IFERROR(MATCH(IF($B934="Robusta","Robusta",(IF($B934="","Arabica",$B934))&amp;" - "&amp;(IF($C934="","Commercial",$C934))),Variables!$B$1:$D$1,0),1))*AK934/365),""))</f>
        <v>1.2988949346929648</v>
      </c>
      <c r="BI934" s="44">
        <f>IF($AX934="Cancelled","",IFERROR((W934*INDEX(Variables!$B$7:$D$7,IFERROR(MATCH(IF($B934="Robusta","Robusta",(IF($B934="","Arabica",$B934))&amp;" - "&amp;(IF($C934="","Commercial",$C934))),Variables!$B$1:$D$1,0),1))*BD934/365)+(L934/16.67*INDEX(Variables!$B$8:$D$8,IFERROR(MATCH(IF($B934="Robusta","Robusta",(IF($B934="","Arabica",$B934))&amp;" - "&amp;(IF($C934="","Commercial",$C934))),Variables!$B$1:$D$1,0),1))*BD934)+(W934*INDEX(Variables!$B$9:$D$9,IFERROR(MATCH(IF($B934="Robusta","Robusta",(IF($B934="","Arabica",$B934))&amp;" - "&amp;(IF($C934="","Commercial",$C934))),Variables!$B$1:$D$1,0),1))*BD934/365),""))</f>
        <v>2.5977898693859296</v>
      </c>
      <c r="BJ934" s="44">
        <f t="shared" si="44"/>
        <v>-24</v>
      </c>
      <c r="BK934" s="44">
        <f>IF($AX934="Cancelled","",IFERROR(IF(BJ934="","",(W934*INDEX(Variables!$B$7:$D$7,IFERROR(MATCH(IF($B934="Robusta","Robusta",(IF($B934="","Arabica",$B934))&amp;" - "&amp;(IF($C934="","Commercial",$C934))),Variables!$B$1:$D$1,0),1))*(BJ934/365))+(W934*INDEX(Variables!$B$9:$D$9,IFERROR(MATCH(IF($B934="Robusta","Robusta",(IF($B934="","Arabica",$B934))&amp;" - "&amp;(IF($C934="","Commercial",$C934))),Variables!$B$1:$D$1,0),1))*(BJ934/365))+(INDEX(Variables!$B$8:$D$8,IFERROR(MATCH(IF($B934="Robusta","Robusta",(IF($B934="","Arabica",$B934))&amp;" - "&amp;(IF($C934="","Commercial",$C934))),Variables!$B$1:$D$1,0),1))*L934/16.67)),""))</f>
        <v>-10.586739216315577</v>
      </c>
    </row>
    <row r="935" spans="1:63">
      <c r="A935" s="13" t="s">
        <v>103</v>
      </c>
      <c r="B935" s="13" t="s">
        <v>104</v>
      </c>
      <c r="C935" s="13" t="s">
        <v>105</v>
      </c>
      <c r="D935" s="31">
        <v>46080</v>
      </c>
      <c r="E935" s="31">
        <v>46082</v>
      </c>
      <c r="F935" s="31">
        <v>46112</v>
      </c>
      <c r="G935" s="13">
        <v>3787364</v>
      </c>
      <c r="J935" s="13" t="s">
        <v>611</v>
      </c>
      <c r="K935" s="13" t="s">
        <v>2417</v>
      </c>
      <c r="L935" s="13">
        <v>320</v>
      </c>
      <c r="M935" s="13">
        <v>1</v>
      </c>
      <c r="N935" s="13" t="s">
        <v>417</v>
      </c>
      <c r="O935" s="13" t="s">
        <v>109</v>
      </c>
      <c r="P935" s="13">
        <v>10080</v>
      </c>
      <c r="R935" s="13" t="s">
        <v>110</v>
      </c>
      <c r="S935" s="13" t="s">
        <v>283</v>
      </c>
      <c r="T935" s="13" t="s">
        <v>112</v>
      </c>
      <c r="U935" s="13" t="s">
        <v>113</v>
      </c>
      <c r="V935" s="13">
        <v>25</v>
      </c>
      <c r="W935" s="44">
        <f>IF($AX935="Cancelled","",IFERROR(((V935+INDEX(Variables!$B$6:$D$6,IFERROR(MATCH(IF($B935="Robusta","Robusta",(IF($B935="","Arabica",$B935))&amp;" - "&amp;(IF($C935="","Commercial",$C935))),Variables!$B$1:$D$1,0),1)))*22.0462)*(L935/16.67),""))</f>
        <v>133647.31776844629</v>
      </c>
      <c r="X935" s="55" t="s">
        <v>37</v>
      </c>
      <c r="Y935" s="13" t="str">
        <f>IF($AX935="Cancelled","",IF(X935="","",IFERROR(IF(INDEX(Variables!$B$38:$B$47,MATCH(X935,Variables!$A$38:$A$47,0))="Yes","Yes","No"),"No")))</f>
        <v>Yes</v>
      </c>
      <c r="Z935" s="58">
        <v>46086</v>
      </c>
      <c r="AB935" s="31">
        <v>46094</v>
      </c>
      <c r="AC935" s="13" t="str">
        <f t="shared" si="43"/>
        <v>Approved</v>
      </c>
      <c r="AF935" s="71">
        <v>46108</v>
      </c>
      <c r="AG935" s="37">
        <f>IF($AX935="Cancelled","",IFERROR(IF(F935="","",F935-Variables!$B$13),""))</f>
        <v>46097</v>
      </c>
      <c r="AH935" s="13">
        <f>IF($AX935="Cancelled","",IFERROR(IF(AB935="","",(AVERAGE(E935:F935)-AB935)-Variables!$B$14),""))</f>
        <v>-27</v>
      </c>
      <c r="AJ935" s="47">
        <v>46111</v>
      </c>
      <c r="AK935" s="14">
        <f>IF($AX935="Cancelled","",IFERROR(IF(AJ935="","",IF(AND(AB935="",AF935=""),"",IF(AF935&gt;AB935,AF935+Variables!$B$15+Variables!$B$16+Variables!$B$17-AJ935,AB935+Variables!$B$16+Variables!$B$17-AJ935))),""))</f>
        <v>12</v>
      </c>
      <c r="AL935" s="48" t="s">
        <v>114</v>
      </c>
      <c r="AM935" s="13" t="s">
        <v>134</v>
      </c>
      <c r="AN935" s="13" t="s">
        <v>2418</v>
      </c>
      <c r="AP935" s="39">
        <v>46119</v>
      </c>
      <c r="AR935" s="13" t="s">
        <v>2419</v>
      </c>
      <c r="AS935" s="31">
        <v>46119</v>
      </c>
      <c r="AU935" s="31">
        <v>46155</v>
      </c>
      <c r="AV935" s="13" t="s">
        <v>865</v>
      </c>
      <c r="AW935" s="31">
        <v>46155</v>
      </c>
      <c r="AX935" s="13" t="str">
        <f>IF(ISNUMBER(SEARCH("cancel",#REF!)),"Cancelled",IF(AND(AS935&lt;&gt;"",AU935&lt;&gt;"",AW935&lt;&gt;""),"Closed","Open"))</f>
        <v>Closed</v>
      </c>
      <c r="AY935" s="15" t="str">
        <f t="shared" si="45"/>
        <v>All dates received</v>
      </c>
      <c r="BD935" s="13">
        <f>IF($AX935="Cancelled","",IFERROR(IF(OR(AS935="",AJ935=""),"",(AJ935+Variables!$B$18-AS935)),""))</f>
        <v>7</v>
      </c>
      <c r="BE935" s="13">
        <f>IF($AX935="Cancelled","",IFERROR(IF(OR(AW935="",AS935=""),"",(AS935+Variables!$B$19)-AW935),""))</f>
        <v>-31</v>
      </c>
      <c r="BF935" s="44">
        <f>IF($AX935="Cancelled","",IFERROR(W935*INDEX(Variables!$B$7:$D$7,IFERROR(MATCH(IF($B935="Robusta","Robusta",(IF($B935="","Arabica",$B935))&amp;" - "&amp;(IF($C935="","Commercial",$C935))),Variables!$B$1:$D$1,0),1))*(BE935/365),""))</f>
        <v>-731.92894599469514</v>
      </c>
      <c r="BG935" s="44">
        <f>IF($AX935="Cancelled","",IFERROR((W935*INDEX(Variables!$B$7:$D$7,IFERROR(MATCH(IF($B935="Robusta","Robusta",(IF($B935="","Arabica",$B935))&amp;" - "&amp;(IF($C935="","Commercial",$C935))),Variables!$B$1:$D$1,0),1))*IFERROR(IF(AB935="","",(AVERAGE(E935:F935)-AB935)-Variables!$B$14),"")/365)+(L935/16.67*INDEX(Variables!$B$8:$D$8,IFERROR(MATCH(IF($B935="Robusta","Robusta",(IF($B935="","Arabica",$B935))&amp;" - "&amp;(IF($C935="","Commercial",$C935))),Variables!$B$1:$D$1,0),1))*IFERROR(IF(AB935="","",(AVERAGE(E935:F935)-AB935)-Variables!$B$14),""))+(W935*INDEX(Variables!$B$9:$D$9,IFERROR(MATCH(IF($B935="Robusta","Robusta",(IF($B935="","Arabica",$B935))&amp;" - "&amp;(IF($C935="","Commercial",$C935))),Variables!$B$1:$D$1,0),1))*IFERROR(IF(AB935="","",(AVERAGE(E935:F935)-AB935)-Variables!$B$14),"")/365),""))</f>
        <v>-1077.7049326160939</v>
      </c>
      <c r="BH935" s="44">
        <f>IF($AX935="Cancelled","",IFERROR((W935*INDEX(Variables!$B$7:$D$7,IFERROR(MATCH(IF($B935="Robusta","Robusta",(IF($B935="","Arabica",$B935))&amp;" - "&amp;(IF($C935="","Commercial",$C935))),Variables!$B$1:$D$1,0),1))*AK935/365)+(L935/16.67*INDEX(Variables!$B$8:$D$8,IFERROR(MATCH(IF($B935="Robusta","Robusta",(IF($B935="","Arabica",$B935))&amp;" - "&amp;(IF($C935="","Commercial",$C935))),Variables!$B$1:$D$1,0),1))*AK935)+(W935*INDEX(Variables!$B$9:$D$9,IFERROR(MATCH(IF($B935="Robusta","Robusta",(IF($B935="","Arabica",$B935))&amp;" - "&amp;(IF($C935="","Commercial",$C935))),Variables!$B$1:$D$1,0),1))*AK935/365),""))</f>
        <v>478.97997005159721</v>
      </c>
      <c r="BI935" s="44">
        <f>IF($AX935="Cancelled","",IFERROR((W935*INDEX(Variables!$B$7:$D$7,IFERROR(MATCH(IF($B935="Robusta","Robusta",(IF($B935="","Arabica",$B935))&amp;" - "&amp;(IF($C935="","Commercial",$C935))),Variables!$B$1:$D$1,0),1))*BD935/365)+(L935/16.67*INDEX(Variables!$B$8:$D$8,IFERROR(MATCH(IF($B935="Robusta","Robusta",(IF($B935="","Arabica",$B935))&amp;" - "&amp;(IF($C935="","Commercial",$C935))),Variables!$B$1:$D$1,0),1))*BD935)+(W935*INDEX(Variables!$B$9:$D$9,IFERROR(MATCH(IF($B935="Robusta","Robusta",(IF($B935="","Arabica",$B935))&amp;" - "&amp;(IF($C935="","Commercial",$C935))),Variables!$B$1:$D$1,0),1))*BD935/365),""))</f>
        <v>279.40498253009838</v>
      </c>
      <c r="BJ935" s="44">
        <f t="shared" si="44"/>
        <v>-7</v>
      </c>
      <c r="BK935" s="44">
        <f>IF($AX935="Cancelled","",IFERROR(IF(BJ935="","",(W935*INDEX(Variables!$B$7:$D$7,IFERROR(MATCH(IF($B935="Robusta","Robusta",(IF($B935="","Arabica",$B935))&amp;" - "&amp;(IF($C935="","Commercial",$C935))),Variables!$B$1:$D$1,0),1))*(BJ935/365))+(W935*INDEX(Variables!$B$9:$D$9,IFERROR(MATCH(IF($B935="Robusta","Robusta",(IF($B935="","Arabica",$B935))&amp;" - "&amp;(IF($C935="","Commercial",$C935))),Variables!$B$1:$D$1,0),1))*(BJ935/365))+(INDEX(Variables!$B$8:$D$8,IFERROR(MATCH(IF($B935="Robusta","Robusta",(IF($B935="","Arabica",$B935))&amp;" - "&amp;(IF($C935="","Commercial",$C935))),Variables!$B$1:$D$1,0),1))*L935/16.67)),""))</f>
        <v>-151.40498253009841</v>
      </c>
    </row>
    <row r="936" spans="1:63">
      <c r="A936" s="13" t="s">
        <v>103</v>
      </c>
      <c r="B936" s="13" t="s">
        <v>104</v>
      </c>
      <c r="C936" s="13" t="s">
        <v>105</v>
      </c>
      <c r="D936" s="31">
        <v>46080</v>
      </c>
      <c r="E936" s="31">
        <v>46082</v>
      </c>
      <c r="F936" s="31">
        <v>46112</v>
      </c>
      <c r="G936" s="13">
        <v>3787364</v>
      </c>
      <c r="J936" s="13" t="s">
        <v>611</v>
      </c>
      <c r="K936" s="13" t="s">
        <v>2420</v>
      </c>
      <c r="L936" s="13">
        <v>320</v>
      </c>
      <c r="M936" s="13">
        <v>1</v>
      </c>
      <c r="N936" s="13" t="s">
        <v>417</v>
      </c>
      <c r="O936" s="13" t="s">
        <v>109</v>
      </c>
      <c r="P936" s="13">
        <v>10080</v>
      </c>
      <c r="R936" s="13" t="s">
        <v>110</v>
      </c>
      <c r="S936" s="13" t="s">
        <v>283</v>
      </c>
      <c r="T936" s="13" t="s">
        <v>112</v>
      </c>
      <c r="U936" s="13" t="s">
        <v>113</v>
      </c>
      <c r="V936" s="13">
        <v>25</v>
      </c>
      <c r="W936" s="44">
        <f>IF($AX936="Cancelled","",IFERROR(((V936+INDEX(Variables!$B$6:$D$6,IFERROR(MATCH(IF($B936="Robusta","Robusta",(IF($B936="","Arabica",$B936))&amp;" - "&amp;(IF($C936="","Commercial",$C936))),Variables!$B$1:$D$1,0),1)))*22.0462)*(L936/16.67),""))</f>
        <v>133647.31776844629</v>
      </c>
      <c r="X936" s="55" t="s">
        <v>37</v>
      </c>
      <c r="Y936" s="13" t="str">
        <f>IF($AX936="Cancelled","",IF(X936="","",IFERROR(IF(INDEX(Variables!$B$38:$B$47,MATCH(X936,Variables!$A$38:$A$47,0))="Yes","Yes","No"),"No")))</f>
        <v>Yes</v>
      </c>
      <c r="Z936" s="58">
        <v>46086</v>
      </c>
      <c r="AB936" s="31">
        <v>46094</v>
      </c>
      <c r="AC936" s="13" t="str">
        <f t="shared" si="43"/>
        <v>Approved</v>
      </c>
      <c r="AF936" s="71">
        <v>46108</v>
      </c>
      <c r="AG936" s="37">
        <f>IF($AX936="Cancelled","",IFERROR(IF(F936="","",F936-Variables!$B$13),""))</f>
        <v>46097</v>
      </c>
      <c r="AH936" s="13">
        <f>IF($AX936="Cancelled","",IFERROR(IF(AB936="","",(AVERAGE(E936:F936)-AB936)-Variables!$B$14),""))</f>
        <v>-27</v>
      </c>
      <c r="AJ936" s="47">
        <v>46111</v>
      </c>
      <c r="AK936" s="14">
        <f>IF($AX936="Cancelled","",IFERROR(IF(AJ936="","",IF(AND(AB936="",AF936=""),"",IF(AF936&gt;AB936,AF936+Variables!$B$15+Variables!$B$16+Variables!$B$17-AJ936,AB936+Variables!$B$16+Variables!$B$17-AJ936))),""))</f>
        <v>12</v>
      </c>
      <c r="AL936" s="48" t="s">
        <v>114</v>
      </c>
      <c r="AM936" s="13" t="s">
        <v>134</v>
      </c>
      <c r="AN936" s="13" t="s">
        <v>2418</v>
      </c>
      <c r="AP936" s="39">
        <v>46119</v>
      </c>
      <c r="AR936" s="13" t="s">
        <v>2419</v>
      </c>
      <c r="AS936" s="31">
        <v>46119</v>
      </c>
      <c r="AU936" s="31">
        <v>46155</v>
      </c>
      <c r="AV936" s="13" t="s">
        <v>865</v>
      </c>
      <c r="AW936" s="31">
        <v>46155</v>
      </c>
      <c r="AX936" s="13" t="str">
        <f>IF(ISNUMBER(SEARCH("cancel",#REF!)),"Cancelled",IF(AND(AS936&lt;&gt;"",AU936&lt;&gt;"",AW936&lt;&gt;""),"Closed","Open"))</f>
        <v>Closed</v>
      </c>
      <c r="AY936" s="15" t="str">
        <f t="shared" si="45"/>
        <v>All dates received</v>
      </c>
      <c r="BD936" s="13">
        <f>IF($AX936="Cancelled","",IFERROR(IF(OR(AS936="",AJ936=""),"",(AJ936+Variables!$B$18-AS936)),""))</f>
        <v>7</v>
      </c>
      <c r="BE936" s="13">
        <f>IF($AX936="Cancelled","",IFERROR(IF(OR(AW936="",AS936=""),"",(AS936+Variables!$B$19)-AW936),""))</f>
        <v>-31</v>
      </c>
      <c r="BF936" s="44">
        <f>IF($AX936="Cancelled","",IFERROR(W936*INDEX(Variables!$B$7:$D$7,IFERROR(MATCH(IF($B936="Robusta","Robusta",(IF($B936="","Arabica",$B936))&amp;" - "&amp;(IF($C936="","Commercial",$C936))),Variables!$B$1:$D$1,0),1))*(BE936/365),""))</f>
        <v>-731.92894599469514</v>
      </c>
      <c r="BG936" s="44">
        <f>IF($AX936="Cancelled","",IFERROR((W936*INDEX(Variables!$B$7:$D$7,IFERROR(MATCH(IF($B936="Robusta","Robusta",(IF($B936="","Arabica",$B936))&amp;" - "&amp;(IF($C936="","Commercial",$C936))),Variables!$B$1:$D$1,0),1))*IFERROR(IF(AB936="","",(AVERAGE(E936:F936)-AB936)-Variables!$B$14),"")/365)+(L936/16.67*INDEX(Variables!$B$8:$D$8,IFERROR(MATCH(IF($B936="Robusta","Robusta",(IF($B936="","Arabica",$B936))&amp;" - "&amp;(IF($C936="","Commercial",$C936))),Variables!$B$1:$D$1,0),1))*IFERROR(IF(AB936="","",(AVERAGE(E936:F936)-AB936)-Variables!$B$14),""))+(W936*INDEX(Variables!$B$9:$D$9,IFERROR(MATCH(IF($B936="Robusta","Robusta",(IF($B936="","Arabica",$B936))&amp;" - "&amp;(IF($C936="","Commercial",$C936))),Variables!$B$1:$D$1,0),1))*IFERROR(IF(AB936="","",(AVERAGE(E936:F936)-AB936)-Variables!$B$14),"")/365),""))</f>
        <v>-1077.7049326160939</v>
      </c>
      <c r="BH936" s="44">
        <f>IF($AX936="Cancelled","",IFERROR((W936*INDEX(Variables!$B$7:$D$7,IFERROR(MATCH(IF($B936="Robusta","Robusta",(IF($B936="","Arabica",$B936))&amp;" - "&amp;(IF($C936="","Commercial",$C936))),Variables!$B$1:$D$1,0),1))*AK936/365)+(L936/16.67*INDEX(Variables!$B$8:$D$8,IFERROR(MATCH(IF($B936="Robusta","Robusta",(IF($B936="","Arabica",$B936))&amp;" - "&amp;(IF($C936="","Commercial",$C936))),Variables!$B$1:$D$1,0),1))*AK936)+(W936*INDEX(Variables!$B$9:$D$9,IFERROR(MATCH(IF($B936="Robusta","Robusta",(IF($B936="","Arabica",$B936))&amp;" - "&amp;(IF($C936="","Commercial",$C936))),Variables!$B$1:$D$1,0),1))*AK936/365),""))</f>
        <v>478.97997005159721</v>
      </c>
      <c r="BI936" s="44">
        <f>IF($AX936="Cancelled","",IFERROR((W936*INDEX(Variables!$B$7:$D$7,IFERROR(MATCH(IF($B936="Robusta","Robusta",(IF($B936="","Arabica",$B936))&amp;" - "&amp;(IF($C936="","Commercial",$C936))),Variables!$B$1:$D$1,0),1))*BD936/365)+(L936/16.67*INDEX(Variables!$B$8:$D$8,IFERROR(MATCH(IF($B936="Robusta","Robusta",(IF($B936="","Arabica",$B936))&amp;" - "&amp;(IF($C936="","Commercial",$C936))),Variables!$B$1:$D$1,0),1))*BD936)+(W936*INDEX(Variables!$B$9:$D$9,IFERROR(MATCH(IF($B936="Robusta","Robusta",(IF($B936="","Arabica",$B936))&amp;" - "&amp;(IF($C936="","Commercial",$C936))),Variables!$B$1:$D$1,0),1))*BD936/365),""))</f>
        <v>279.40498253009838</v>
      </c>
      <c r="BJ936" s="44">
        <f t="shared" si="44"/>
        <v>-7</v>
      </c>
      <c r="BK936" s="44">
        <f>IF($AX936="Cancelled","",IFERROR(IF(BJ936="","",(W936*INDEX(Variables!$B$7:$D$7,IFERROR(MATCH(IF($B936="Robusta","Robusta",(IF($B936="","Arabica",$B936))&amp;" - "&amp;(IF($C936="","Commercial",$C936))),Variables!$B$1:$D$1,0),1))*(BJ936/365))+(W936*INDEX(Variables!$B$9:$D$9,IFERROR(MATCH(IF($B936="Robusta","Robusta",(IF($B936="","Arabica",$B936))&amp;" - "&amp;(IF($C936="","Commercial",$C936))),Variables!$B$1:$D$1,0),1))*(BJ936/365))+(INDEX(Variables!$B$8:$D$8,IFERROR(MATCH(IF($B936="Robusta","Robusta",(IF($B936="","Arabica",$B936))&amp;" - "&amp;(IF($C936="","Commercial",$C936))),Variables!$B$1:$D$1,0),1))*L936/16.67)),""))</f>
        <v>-151.40498253009841</v>
      </c>
    </row>
    <row r="937" spans="1:63">
      <c r="A937" s="13" t="s">
        <v>103</v>
      </c>
      <c r="B937" s="13" t="s">
        <v>104</v>
      </c>
      <c r="C937" s="13" t="s">
        <v>292</v>
      </c>
      <c r="D937" s="31">
        <v>46080</v>
      </c>
      <c r="E937" s="31">
        <v>46082</v>
      </c>
      <c r="F937" s="31">
        <v>46112</v>
      </c>
      <c r="G937" s="13">
        <v>3787365</v>
      </c>
      <c r="J937" s="13" t="s">
        <v>294</v>
      </c>
      <c r="K937" s="13" t="s">
        <v>2421</v>
      </c>
      <c r="L937" s="13">
        <v>30</v>
      </c>
      <c r="M937" s="13">
        <v>1</v>
      </c>
      <c r="N937" s="13" t="s">
        <v>2422</v>
      </c>
      <c r="O937" s="13" t="s">
        <v>576</v>
      </c>
      <c r="P937" s="13">
        <v>10020</v>
      </c>
      <c r="R937" s="13" t="s">
        <v>384</v>
      </c>
      <c r="S937" s="13" t="s">
        <v>299</v>
      </c>
      <c r="T937" s="13" t="s">
        <v>305</v>
      </c>
      <c r="U937" s="13" t="s">
        <v>125</v>
      </c>
      <c r="V937" s="13">
        <v>138</v>
      </c>
      <c r="W937" s="44">
        <f>IF($AX937="Cancelled","",IFERROR(((V937+INDEX(Variables!$B$6:$D$6,IFERROR(MATCH(IF($B937="Robusta","Robusta",(IF($B937="","Arabica",$B937))&amp;" - "&amp;(IF($C937="","Commercial",$C937))),Variables!$B$1:$D$1,0),1)))*22.0462)*(L937/16.67),""))</f>
        <v>17012.736460707856</v>
      </c>
      <c r="X937" s="55" t="s">
        <v>39</v>
      </c>
      <c r="Y937" s="13" t="str">
        <f>IF($AX937="Cancelled","",IF(X937="","",IFERROR(IF(INDEX(Variables!$B$38:$B$47,MATCH(X937,Variables!$A$38:$A$47,0))="Yes","Yes","No"),"No")))</f>
        <v>No</v>
      </c>
      <c r="Z937" s="31"/>
      <c r="AC937" s="13" t="str">
        <f t="shared" si="43"/>
        <v/>
      </c>
      <c r="AF937" s="71">
        <v>46121</v>
      </c>
      <c r="AG937" s="37">
        <f>IF($AX937="Cancelled","",IFERROR(IF(F937="","",F937-Variables!$B$13),""))</f>
        <v>46097</v>
      </c>
      <c r="AH937" s="13" t="str">
        <f>IF($AX937="Cancelled","",IFERROR(IF(AB937="","",(AVERAGE(E937:F937)-AB937)-Variables!$B$14),""))</f>
        <v/>
      </c>
      <c r="AK937" s="14" t="str">
        <f>IF($AX937="Cancelled","",IFERROR(IF(AJ937="","",IF(AND(AB937="",AF937=""),"",IF(AF937&gt;AB937,AF937+Variables!$B$15+Variables!$B$16+Variables!$B$17-AJ937,AB937+Variables!$B$16+Variables!$B$17-AJ937))),""))</f>
        <v/>
      </c>
      <c r="AL937" s="48" t="s">
        <v>114</v>
      </c>
      <c r="AM937" s="13" t="s">
        <v>1526</v>
      </c>
      <c r="AN937" s="13" t="s">
        <v>2423</v>
      </c>
      <c r="AP937" s="39" t="e">
        <v>#N/A</v>
      </c>
      <c r="AR937" s="13" t="s">
        <v>2424</v>
      </c>
      <c r="AS937" s="31">
        <v>46150</v>
      </c>
      <c r="AU937" s="31">
        <v>46191</v>
      </c>
      <c r="AV937" s="13" t="s">
        <v>865</v>
      </c>
      <c r="AW937" s="31">
        <v>46191</v>
      </c>
      <c r="AX937" s="13" t="str">
        <f>IF(ISNUMBER(SEARCH("cancel",#REF!)),"Cancelled",IF(AND(AS937&lt;&gt;"",AU937&lt;&gt;"",AW937&lt;&gt;""),"Closed","Open"))</f>
        <v>Closed</v>
      </c>
      <c r="AY937" s="15" t="str">
        <f t="shared" si="45"/>
        <v>All dates received</v>
      </c>
      <c r="BD937" s="13" t="str">
        <f>IF($AX937="Cancelled","",IFERROR(IF(OR(AS937="",AJ937=""),"",(AJ937+Variables!$B$18-AS937)),""))</f>
        <v/>
      </c>
      <c r="BE937" s="13">
        <f>IF($AX937="Cancelled","",IFERROR(IF(OR(AW937="",AS937=""),"",(AS937+Variables!$B$19)-AW937),""))</f>
        <v>-36</v>
      </c>
      <c r="BF937" s="44">
        <f>IF($AX937="Cancelled","",IFERROR(W937*INDEX(Variables!$B$7:$D$7,IFERROR(MATCH(IF($B937="Robusta","Robusta",(IF($B937="","Arabica",$B937))&amp;" - "&amp;(IF($C937="","Commercial",$C937))),Variables!$B$1:$D$1,0),1))*(BE937/365),""))</f>
        <v>-108.19910219243732</v>
      </c>
      <c r="BG937" s="44" t="str">
        <f>IF($AX937="Cancelled","",IFERROR((W937*INDEX(Variables!$B$7:$D$7,IFERROR(MATCH(IF($B937="Robusta","Robusta",(IF($B937="","Arabica",$B937))&amp;" - "&amp;(IF($C937="","Commercial",$C937))),Variables!$B$1:$D$1,0),1))*IFERROR(IF(AB937="","",(AVERAGE(E937:F937)-AB937)-Variables!$B$14),"")/365)+(L937/16.67*INDEX(Variables!$B$8:$D$8,IFERROR(MATCH(IF($B937="Robusta","Robusta",(IF($B937="","Arabica",$B937))&amp;" - "&amp;(IF($C937="","Commercial",$C937))),Variables!$B$1:$D$1,0),1))*IFERROR(IF(AB937="","",(AVERAGE(E937:F937)-AB937)-Variables!$B$14),""))+(W937*INDEX(Variables!$B$9:$D$9,IFERROR(MATCH(IF($B937="Robusta","Robusta",(IF($B937="","Arabica",$B937))&amp;" - "&amp;(IF($C937="","Commercial",$C937))),Variables!$B$1:$D$1,0),1))*IFERROR(IF(AB937="","",(AVERAGE(E937:F937)-AB937)-Variables!$B$14),"")/365),""))</f>
        <v/>
      </c>
      <c r="BH937" s="44" t="str">
        <f>IF($AX937="Cancelled","",IFERROR((W937*INDEX(Variables!$B$7:$D$7,IFERROR(MATCH(IF($B937="Robusta","Robusta",(IF($B937="","Arabica",$B937))&amp;" - "&amp;(IF($C937="","Commercial",$C937))),Variables!$B$1:$D$1,0),1))*AK937/365)+(L937/16.67*INDEX(Variables!$B$8:$D$8,IFERROR(MATCH(IF($B937="Robusta","Robusta",(IF($B937="","Arabica",$B937))&amp;" - "&amp;(IF($C937="","Commercial",$C937))),Variables!$B$1:$D$1,0),1))*AK937)+(W937*INDEX(Variables!$B$9:$D$9,IFERROR(MATCH(IF($B937="Robusta","Robusta",(IF($B937="","Arabica",$B937))&amp;" - "&amp;(IF($C937="","Commercial",$C937))),Variables!$B$1:$D$1,0),1))*AK937/365),""))</f>
        <v/>
      </c>
      <c r="BI937" s="44" t="str">
        <f>IF($AX937="Cancelled","",IFERROR((W937*INDEX(Variables!$B$7:$D$7,IFERROR(MATCH(IF($B937="Robusta","Robusta",(IF($B937="","Arabica",$B937))&amp;" - "&amp;(IF($C937="","Commercial",$C937))),Variables!$B$1:$D$1,0),1))*BD937/365)+(L937/16.67*INDEX(Variables!$B$8:$D$8,IFERROR(MATCH(IF($B937="Robusta","Robusta",(IF($B937="","Arabica",$B937))&amp;" - "&amp;(IF($C937="","Commercial",$C937))),Variables!$B$1:$D$1,0),1))*BD937)+(W937*INDEX(Variables!$B$9:$D$9,IFERROR(MATCH(IF($B937="Robusta","Robusta",(IF($B937="","Arabica",$B937))&amp;" - "&amp;(IF($C937="","Commercial",$C937))),Variables!$B$1:$D$1,0),1))*BD937/365),""))</f>
        <v/>
      </c>
      <c r="BJ937" s="44">
        <f t="shared" si="44"/>
        <v>-38</v>
      </c>
      <c r="BK937" s="44">
        <f>IF($AX937="Cancelled","",IFERROR(IF(BJ937="","",(W937*INDEX(Variables!$B$7:$D$7,IFERROR(MATCH(IF($B937="Robusta","Robusta",(IF($B937="","Arabica",$B937))&amp;" - "&amp;(IF($C937="","Commercial",$C937))),Variables!$B$1:$D$1,0),1))*(BJ937/365))+(W937*INDEX(Variables!$B$9:$D$9,IFERROR(MATCH(IF($B937="Robusta","Robusta",(IF($B937="","Arabica",$B937))&amp;" - "&amp;(IF($C937="","Commercial",$C937))),Variables!$B$1:$D$1,0),1))*(BJ937/365))+(INDEX(Variables!$B$8:$D$8,IFERROR(MATCH(IF($B937="Robusta","Robusta",(IF($B937="","Arabica",$B937))&amp;" - "&amp;(IF($C937="","Commercial",$C937))),Variables!$B$1:$D$1,0),1))*L937/16.67)),""))</f>
        <v>-114.18255284220498</v>
      </c>
    </row>
    <row r="938" spans="1:63">
      <c r="A938" s="13" t="s">
        <v>103</v>
      </c>
      <c r="B938" s="13" t="s">
        <v>104</v>
      </c>
      <c r="C938" s="13" t="s">
        <v>292</v>
      </c>
      <c r="D938" s="31">
        <v>46083</v>
      </c>
      <c r="E938" s="31">
        <v>46113</v>
      </c>
      <c r="F938" s="31">
        <v>46142</v>
      </c>
      <c r="G938" s="13">
        <v>3787366</v>
      </c>
      <c r="J938" s="13" t="s">
        <v>501</v>
      </c>
      <c r="K938" s="13" t="s">
        <v>2425</v>
      </c>
      <c r="L938" s="13">
        <v>15</v>
      </c>
      <c r="M938" s="13">
        <v>0</v>
      </c>
      <c r="N938" s="13" t="s">
        <v>2426</v>
      </c>
      <c r="O938" s="13" t="s">
        <v>771</v>
      </c>
      <c r="P938" s="13">
        <v>10010</v>
      </c>
      <c r="R938" s="13" t="s">
        <v>384</v>
      </c>
      <c r="S938" s="13" t="s">
        <v>437</v>
      </c>
      <c r="T938" s="13" t="s">
        <v>438</v>
      </c>
      <c r="U938" s="13" t="s">
        <v>182</v>
      </c>
      <c r="V938" s="23">
        <v>228</v>
      </c>
      <c r="W938" s="44">
        <f>IF($AX938="Cancelled","",IFERROR(((V938+INDEX(Variables!$B$6:$D$6,IFERROR(MATCH(IF($B938="Robusta","Robusta",(IF($B938="","Arabica",$B938))&amp;" - "&amp;(IF($C938="","Commercial",$C938))),Variables!$B$1:$D$1,0),1)))*22.0462)*(L938/16.67),""))</f>
        <v>10291.753353329332</v>
      </c>
      <c r="Y938" s="13" t="str">
        <f>IF($AX938="Cancelled","",IF(X938="","",IFERROR(IF(INDEX(Variables!$B$38:$B$47,MATCH(X938,Variables!$A$38:$A$47,0))="Yes","Yes","No"),"No")))</f>
        <v/>
      </c>
      <c r="Z938" s="31"/>
      <c r="AC938" s="13" t="str">
        <f t="shared" si="43"/>
        <v/>
      </c>
      <c r="AF938" s="71">
        <v>46163</v>
      </c>
      <c r="AG938" s="37">
        <f>IF($AX938="Cancelled","",IFERROR(IF(F938="","",F938-Variables!$B$13),""))</f>
        <v>46127</v>
      </c>
      <c r="AH938" s="13" t="str">
        <f>IF($AX938="Cancelled","",IFERROR(IF(AB938="","",(AVERAGE(E938:F938)-AB938)-Variables!$B$14),""))</f>
        <v/>
      </c>
      <c r="AJ938" s="47">
        <v>46165</v>
      </c>
      <c r="AK938" s="14">
        <f>IF($AX938="Cancelled","",IFERROR(IF(AJ938="","",IF(AND(AB938="",AF938=""),"",IF(AF938&gt;AB938,AF938+Variables!$B$15+Variables!$B$16+Variables!$B$17-AJ938,AB938+Variables!$B$16+Variables!$B$17-AJ938))),""))</f>
        <v>13</v>
      </c>
      <c r="AL938" s="48" t="s">
        <v>114</v>
      </c>
      <c r="AM938" s="13" t="s">
        <v>1781</v>
      </c>
      <c r="AN938" s="13" t="s">
        <v>2177</v>
      </c>
      <c r="AP938" s="39" t="e">
        <v>#N/A</v>
      </c>
      <c r="AR938" s="13" t="s">
        <v>2198</v>
      </c>
      <c r="AS938" s="31">
        <v>46179</v>
      </c>
      <c r="AU938" s="31">
        <v>46226</v>
      </c>
      <c r="AV938" s="13" t="s">
        <v>865</v>
      </c>
      <c r="AW938" s="31">
        <v>46226</v>
      </c>
      <c r="AX938" s="13" t="str">
        <f>IF(ISNUMBER(SEARCH("cancel",#REF!)),"Cancelled",IF(AND(AS938&lt;&gt;"",AU938&lt;&gt;"",AW938&lt;&gt;""),"Closed","Open"))</f>
        <v>Closed</v>
      </c>
      <c r="AY938" s="15" t="str">
        <f t="shared" si="45"/>
        <v>All dates received</v>
      </c>
      <c r="BD938" s="13">
        <f>IF($AX938="Cancelled","",IFERROR(IF(OR(AS938="",AJ938=""),"",(AJ938+Variables!$B$18-AS938)),""))</f>
        <v>1</v>
      </c>
      <c r="BE938" s="13">
        <f>IF($AX938="Cancelled","",IFERROR(IF(OR(AW938="",AS938=""),"",(AS938+Variables!$B$19)-AW938),""))</f>
        <v>-42</v>
      </c>
      <c r="BF938" s="44">
        <f>IF($AX938="Cancelled","",IFERROR(W938*INDEX(Variables!$B$7:$D$7,IFERROR(MATCH(IF($B938="Robusta","Robusta",(IF($B938="","Arabica",$B938))&amp;" - "&amp;(IF($C938="","Commercial",$C938))),Variables!$B$1:$D$1,0),1))*(BE938/365),""))</f>
        <v>-76.363467724280042</v>
      </c>
      <c r="BG938" s="44" t="str">
        <f>IF($AX938="Cancelled","",IFERROR((W938*INDEX(Variables!$B$7:$D$7,IFERROR(MATCH(IF($B938="Robusta","Robusta",(IF($B938="","Arabica",$B938))&amp;" - "&amp;(IF($C938="","Commercial",$C938))),Variables!$B$1:$D$1,0),1))*IFERROR(IF(AB938="","",(AVERAGE(E938:F938)-AB938)-Variables!$B$14),"")/365)+(L938/16.67*INDEX(Variables!$B$8:$D$8,IFERROR(MATCH(IF($B938="Robusta","Robusta",(IF($B938="","Arabica",$B938))&amp;" - "&amp;(IF($C938="","Commercial",$C938))),Variables!$B$1:$D$1,0),1))*IFERROR(IF(AB938="","",(AVERAGE(E938:F938)-AB938)-Variables!$B$14),""))+(W938*INDEX(Variables!$B$9:$D$9,IFERROR(MATCH(IF($B938="Robusta","Robusta",(IF($B938="","Arabica",$B938))&amp;" - "&amp;(IF($C938="","Commercial",$C938))),Variables!$B$1:$D$1,0),1))*IFERROR(IF(AB938="","",(AVERAGE(E938:F938)-AB938)-Variables!$B$14),"")/365),""))</f>
        <v/>
      </c>
      <c r="BH938" s="44">
        <f>IF($AX938="Cancelled","",IFERROR((W938*INDEX(Variables!$B$7:$D$7,IFERROR(MATCH(IF($B938="Robusta","Robusta",(IF($B938="","Arabica",$B938))&amp;" - "&amp;(IF($C938="","Commercial",$C938))),Variables!$B$1:$D$1,0),1))*AK938/365)+(L938/16.67*INDEX(Variables!$B$8:$D$8,IFERROR(MATCH(IF($B938="Robusta","Robusta",(IF($B938="","Arabica",$B938))&amp;" - "&amp;(IF($C938="","Commercial",$C938))),Variables!$B$1:$D$1,0),1))*AK938)+(W938*INDEX(Variables!$B$9:$D$9,IFERROR(MATCH(IF($B938="Robusta","Robusta",(IF($B938="","Arabica",$B938))&amp;" - "&amp;(IF($C938="","Commercial",$C938))),Variables!$B$1:$D$1,0),1))*AK938/365),""))</f>
        <v>33.691029107821315</v>
      </c>
      <c r="BI938" s="44">
        <f>IF($AX938="Cancelled","",IFERROR((W938*INDEX(Variables!$B$7:$D$7,IFERROR(MATCH(IF($B938="Robusta","Robusta",(IF($B938="","Arabica",$B938))&amp;" - "&amp;(IF($C938="","Commercial",$C938))),Variables!$B$1:$D$1,0),1))*BD938/365)+(L938/16.67*INDEX(Variables!$B$8:$D$8,IFERROR(MATCH(IF($B938="Robusta","Robusta",(IF($B938="","Arabica",$B938))&amp;" - "&amp;(IF($C938="","Commercial",$C938))),Variables!$B$1:$D$1,0),1))*BD938)+(W938*INDEX(Variables!$B$9:$D$9,IFERROR(MATCH(IF($B938="Robusta","Robusta",(IF($B938="","Arabica",$B938))&amp;" - "&amp;(IF($C938="","Commercial",$C938))),Variables!$B$1:$D$1,0),1))*BD938/365),""))</f>
        <v>2.5916176236785629</v>
      </c>
      <c r="BJ938" s="44">
        <f t="shared" si="44"/>
        <v>-37</v>
      </c>
      <c r="BK938" s="44">
        <f>IF($AX938="Cancelled","",IFERROR(IF(BJ938="","",(W938*INDEX(Variables!$B$7:$D$7,IFERROR(MATCH(IF($B938="Robusta","Robusta",(IF($B938="","Arabica",$B938))&amp;" - "&amp;(IF($C938="","Commercial",$C938))),Variables!$B$1:$D$1,0),1))*(BJ938/365))+(W938*INDEX(Variables!$B$9:$D$9,IFERROR(MATCH(IF($B938="Robusta","Robusta",(IF($B938="","Arabica",$B938))&amp;" - "&amp;(IF($C938="","Commercial",$C938))),Variables!$B$1:$D$1,0),1))*(BJ938/365))+(INDEX(Variables!$B$8:$D$8,IFERROR(MATCH(IF($B938="Robusta","Robusta",(IF($B938="","Arabica",$B938))&amp;" - "&amp;(IF($C938="","Commercial",$C938))),Variables!$B$1:$D$1,0),1))*L938/16.67)),""))</f>
        <v>-67.38985207610682</v>
      </c>
    </row>
    <row r="939" spans="1:63">
      <c r="A939" s="13" t="s">
        <v>103</v>
      </c>
      <c r="B939" s="13" t="s">
        <v>104</v>
      </c>
      <c r="C939" s="13" t="s">
        <v>292</v>
      </c>
      <c r="D939" s="31">
        <v>46083</v>
      </c>
      <c r="E939" s="31">
        <v>46113</v>
      </c>
      <c r="F939" s="31">
        <v>46142</v>
      </c>
      <c r="G939" s="13">
        <v>3787367</v>
      </c>
      <c r="J939" s="13" t="s">
        <v>501</v>
      </c>
      <c r="K939" s="13" t="s">
        <v>2427</v>
      </c>
      <c r="L939" s="13">
        <v>10</v>
      </c>
      <c r="M939" s="13">
        <v>0</v>
      </c>
      <c r="N939" s="13" t="s">
        <v>2428</v>
      </c>
      <c r="O939" s="13" t="s">
        <v>771</v>
      </c>
      <c r="P939" s="13">
        <v>10010</v>
      </c>
      <c r="R939" s="13" t="s">
        <v>384</v>
      </c>
      <c r="S939" s="13" t="s">
        <v>437</v>
      </c>
      <c r="T939" s="13" t="s">
        <v>438</v>
      </c>
      <c r="U939" s="13" t="s">
        <v>182</v>
      </c>
      <c r="V939" s="23">
        <v>228</v>
      </c>
      <c r="W939" s="44">
        <f>IF($AX939="Cancelled","",IFERROR(((V939+INDEX(Variables!$B$6:$D$6,IFERROR(MATCH(IF($B939="Robusta","Robusta",(IF($B939="","Arabica",$B939))&amp;" - "&amp;(IF($C939="","Commercial",$C939))),Variables!$B$1:$D$1,0),1)))*22.0462)*(L939/16.67),""))</f>
        <v>6861.1689022195542</v>
      </c>
      <c r="Y939" s="13" t="str">
        <f>IF($AX939="Cancelled","",IF(X939="","",IFERROR(IF(INDEX(Variables!$B$38:$B$47,MATCH(X939,Variables!$A$38:$A$47,0))="Yes","Yes","No"),"No")))</f>
        <v/>
      </c>
      <c r="Z939" s="31"/>
      <c r="AC939" s="13" t="str">
        <f t="shared" si="43"/>
        <v/>
      </c>
      <c r="AF939" s="71">
        <v>46163</v>
      </c>
      <c r="AG939" s="35">
        <f>IF($AX939="Cancelled","",IFERROR(IF(F939="","",F939-Variables!$B$13),""))</f>
        <v>46127</v>
      </c>
      <c r="AH939" s="13" t="str">
        <f>IF($AX939="Cancelled","",IFERROR(IF(AB939="","",(AVERAGE(E939:F939)-AB939)-Variables!$B$14),""))</f>
        <v/>
      </c>
      <c r="AJ939" s="47">
        <v>46165</v>
      </c>
      <c r="AK939" s="14">
        <f>IF($AX939="Cancelled","",IFERROR(IF(AJ939="","",IF(AND(AB939="",AF939=""),"",IF(AF939&gt;AB939,AF939+Variables!$B$15+Variables!$B$16+Variables!$B$17-AJ939,AB939+Variables!$B$16+Variables!$B$17-AJ939))),""))</f>
        <v>13</v>
      </c>
      <c r="AL939" s="48" t="s">
        <v>114</v>
      </c>
      <c r="AM939" s="13" t="s">
        <v>1781</v>
      </c>
      <c r="AN939" s="13" t="s">
        <v>2177</v>
      </c>
      <c r="AP939" s="39" t="e">
        <v>#N/A</v>
      </c>
      <c r="AR939" s="13" t="s">
        <v>2198</v>
      </c>
      <c r="AS939" s="31">
        <v>46179</v>
      </c>
      <c r="AU939" s="31">
        <v>46226</v>
      </c>
      <c r="AV939" s="13" t="s">
        <v>865</v>
      </c>
      <c r="AW939" s="31">
        <v>46226</v>
      </c>
      <c r="AX939" s="13" t="str">
        <f>IF(ISNUMBER(SEARCH("cancel",#REF!)),"Cancelled",IF(AND(AS939&lt;&gt;"",AU939&lt;&gt;"",AW939&lt;&gt;""),"Closed","Open"))</f>
        <v>Closed</v>
      </c>
      <c r="AY939" s="15" t="str">
        <f t="shared" si="45"/>
        <v>All dates received</v>
      </c>
      <c r="BD939" s="13">
        <f>IF($AX939="Cancelled","",IFERROR(IF(OR(AS939="",AJ939=""),"",(AJ939+Variables!$B$18-AS939)),""))</f>
        <v>1</v>
      </c>
      <c r="BE939" s="13">
        <f>IF($AX939="Cancelled","",IFERROR(IF(OR(AW939="",AS939=""),"",(AS939+Variables!$B$19)-AW939),""))</f>
        <v>-42</v>
      </c>
      <c r="BF939" s="44">
        <f>IF($AX939="Cancelled","",IFERROR(W939*INDEX(Variables!$B$7:$D$7,IFERROR(MATCH(IF($B939="Robusta","Robusta",(IF($B939="","Arabica",$B939))&amp;" - "&amp;(IF($C939="","Commercial",$C939))),Variables!$B$1:$D$1,0),1))*(BE939/365),""))</f>
        <v>-50.90897848285335</v>
      </c>
      <c r="BG939" s="44" t="str">
        <f>IF($AX939="Cancelled","",IFERROR((W939*INDEX(Variables!$B$7:$D$7,IFERROR(MATCH(IF($B939="Robusta","Robusta",(IF($B939="","Arabica",$B939))&amp;" - "&amp;(IF($C939="","Commercial",$C939))),Variables!$B$1:$D$1,0),1))*IFERROR(IF(AB939="","",(AVERAGE(E939:F939)-AB939)-Variables!$B$14),"")/365)+(L939/16.67*INDEX(Variables!$B$8:$D$8,IFERROR(MATCH(IF($B939="Robusta","Robusta",(IF($B939="","Arabica",$B939))&amp;" - "&amp;(IF($C939="","Commercial",$C939))),Variables!$B$1:$D$1,0),1))*IFERROR(IF(AB939="","",(AVERAGE(E939:F939)-AB939)-Variables!$B$14),""))+(W939*INDEX(Variables!$B$9:$D$9,IFERROR(MATCH(IF($B939="Robusta","Robusta",(IF($B939="","Arabica",$B939))&amp;" - "&amp;(IF($C939="","Commercial",$C939))),Variables!$B$1:$D$1,0),1))*IFERROR(IF(AB939="","",(AVERAGE(E939:F939)-AB939)-Variables!$B$14),"")/365),""))</f>
        <v/>
      </c>
      <c r="BH939" s="44">
        <f>IF($AX939="Cancelled","",IFERROR((W939*INDEX(Variables!$B$7:$D$7,IFERROR(MATCH(IF($B939="Robusta","Robusta",(IF($B939="","Arabica",$B939))&amp;" - "&amp;(IF($C939="","Commercial",$C939))),Variables!$B$1:$D$1,0),1))*AK939/365)+(L939/16.67*INDEX(Variables!$B$8:$D$8,IFERROR(MATCH(IF($B939="Robusta","Robusta",(IF($B939="","Arabica",$B939))&amp;" - "&amp;(IF($C939="","Commercial",$C939))),Variables!$B$1:$D$1,0),1))*AK939)+(W939*INDEX(Variables!$B$9:$D$9,IFERROR(MATCH(IF($B939="Robusta","Robusta",(IF($B939="","Arabica",$B939))&amp;" - "&amp;(IF($C939="","Commercial",$C939))),Variables!$B$1:$D$1,0),1))*AK939/365),""))</f>
        <v>22.460686071880872</v>
      </c>
      <c r="BI939" s="44">
        <f>IF($AX939="Cancelled","",IFERROR((W939*INDEX(Variables!$B$7:$D$7,IFERROR(MATCH(IF($B939="Robusta","Robusta",(IF($B939="","Arabica",$B939))&amp;" - "&amp;(IF($C939="","Commercial",$C939))),Variables!$B$1:$D$1,0),1))*BD939/365)+(L939/16.67*INDEX(Variables!$B$8:$D$8,IFERROR(MATCH(IF($B939="Robusta","Robusta",(IF($B939="","Arabica",$B939))&amp;" - "&amp;(IF($C939="","Commercial",$C939))),Variables!$B$1:$D$1,0),1))*BD939)+(W939*INDEX(Variables!$B$9:$D$9,IFERROR(MATCH(IF($B939="Robusta","Robusta",(IF($B939="","Arabica",$B939))&amp;" - "&amp;(IF($C939="","Commercial",$C939))),Variables!$B$1:$D$1,0),1))*BD939/365),""))</f>
        <v>1.727745082452375</v>
      </c>
      <c r="BJ939" s="44">
        <f t="shared" si="44"/>
        <v>-37</v>
      </c>
      <c r="BK939" s="44">
        <f>IF($AX939="Cancelled","",IFERROR(IF(BJ939="","",(W939*INDEX(Variables!$B$7:$D$7,IFERROR(MATCH(IF($B939="Robusta","Robusta",(IF($B939="","Arabica",$B939))&amp;" - "&amp;(IF($C939="","Commercial",$C939))),Variables!$B$1:$D$1,0),1))*(BJ939/365))+(W939*INDEX(Variables!$B$9:$D$9,IFERROR(MATCH(IF($B939="Robusta","Robusta",(IF($B939="","Arabica",$B939))&amp;" - "&amp;(IF($C939="","Commercial",$C939))),Variables!$B$1:$D$1,0),1))*(BJ939/365))+(INDEX(Variables!$B$8:$D$8,IFERROR(MATCH(IF($B939="Robusta","Robusta",(IF($B939="","Arabica",$B939))&amp;" - "&amp;(IF($C939="","Commercial",$C939))),Variables!$B$1:$D$1,0),1))*L939/16.67)),""))</f>
        <v>-44.926568050737878</v>
      </c>
    </row>
    <row r="940" spans="1:63">
      <c r="A940" s="13" t="s">
        <v>103</v>
      </c>
      <c r="B940" s="13" t="s">
        <v>104</v>
      </c>
      <c r="C940" s="13" t="s">
        <v>292</v>
      </c>
      <c r="D940" s="31">
        <v>46083</v>
      </c>
      <c r="E940" s="31">
        <v>46113</v>
      </c>
      <c r="F940" s="31">
        <v>46142</v>
      </c>
      <c r="G940" s="13">
        <v>3787368</v>
      </c>
      <c r="J940" s="13" t="s">
        <v>501</v>
      </c>
      <c r="K940" s="13" t="s">
        <v>2429</v>
      </c>
      <c r="L940" s="13">
        <v>10</v>
      </c>
      <c r="M940" s="13">
        <v>0</v>
      </c>
      <c r="N940" s="13" t="s">
        <v>2430</v>
      </c>
      <c r="O940" s="13" t="s">
        <v>771</v>
      </c>
      <c r="P940" s="13">
        <v>10010</v>
      </c>
      <c r="R940" s="13" t="s">
        <v>384</v>
      </c>
      <c r="S940" s="13" t="s">
        <v>437</v>
      </c>
      <c r="T940" s="13" t="s">
        <v>438</v>
      </c>
      <c r="U940" s="13" t="s">
        <v>182</v>
      </c>
      <c r="V940" s="23">
        <v>215</v>
      </c>
      <c r="W940" s="44">
        <f>IF($AX940="Cancelled","",IFERROR(((V940+INDEX(Variables!$B$6:$D$6,IFERROR(MATCH(IF($B940="Robusta","Robusta",(IF($B940="","Arabica",$B940))&amp;" - "&amp;(IF($C940="","Commercial",$C940))),Variables!$B$1:$D$1,0),1)))*22.0462)*(L940/16.67),""))</f>
        <v>6689.2429274145161</v>
      </c>
      <c r="Y940" s="13" t="str">
        <f>IF($AX940="Cancelled","",IF(X940="","",IFERROR(IF(INDEX(Variables!$B$38:$B$47,MATCH(X940,Variables!$A$38:$A$47,0))="Yes","Yes","No"),"No")))</f>
        <v/>
      </c>
      <c r="Z940" s="31"/>
      <c r="AC940" s="13" t="str">
        <f t="shared" si="43"/>
        <v/>
      </c>
      <c r="AF940" s="71">
        <v>46160</v>
      </c>
      <c r="AG940" s="35">
        <f>IF($AX940="Cancelled","",IFERROR(IF(F940="","",F940-Variables!$B$13),""))</f>
        <v>46127</v>
      </c>
      <c r="AH940" s="13" t="str">
        <f>IF($AX940="Cancelled","",IFERROR(IF(AB940="","",(AVERAGE(E940:F940)-AB940)-Variables!$B$14),""))</f>
        <v/>
      </c>
      <c r="AJ940" s="47">
        <v>46165</v>
      </c>
      <c r="AK940" s="14">
        <f>IF($AX940="Cancelled","",IFERROR(IF(AJ940="","",IF(AND(AB940="",AF940=""),"",IF(AF940&gt;AB940,AF940+Variables!$B$15+Variables!$B$16+Variables!$B$17-AJ940,AB940+Variables!$B$16+Variables!$B$17-AJ940))),""))</f>
        <v>10</v>
      </c>
      <c r="AL940" s="48" t="s">
        <v>114</v>
      </c>
      <c r="AM940" s="13" t="s">
        <v>1781</v>
      </c>
      <c r="AN940" s="13" t="s">
        <v>2177</v>
      </c>
      <c r="AP940" s="39" t="e">
        <v>#N/A</v>
      </c>
      <c r="AR940" s="13" t="s">
        <v>2198</v>
      </c>
      <c r="AS940" s="31">
        <v>46179</v>
      </c>
      <c r="AU940" s="31">
        <v>46226</v>
      </c>
      <c r="AV940" s="13" t="s">
        <v>865</v>
      </c>
      <c r="AW940" s="31">
        <v>46226</v>
      </c>
      <c r="AX940" s="13" t="str">
        <f>IF(ISNUMBER(SEARCH("cancel",#REF!)),"Cancelled",IF(AND(AS940&lt;&gt;"",AU940&lt;&gt;"",AW940&lt;&gt;""),"Closed","Open"))</f>
        <v>Closed</v>
      </c>
      <c r="AY940" s="15" t="str">
        <f t="shared" si="45"/>
        <v>All dates received</v>
      </c>
      <c r="BD940" s="13">
        <f>IF($AX940="Cancelled","",IFERROR(IF(OR(AS940="",AJ940=""),"",(AJ940+Variables!$B$18-AS940)),""))</f>
        <v>1</v>
      </c>
      <c r="BE940" s="13">
        <f>IF($AX940="Cancelled","",IFERROR(IF(OR(AW940="",AS940=""),"",(AS940+Variables!$B$19)-AW940),""))</f>
        <v>-42</v>
      </c>
      <c r="BF940" s="44">
        <f>IF($AX940="Cancelled","",IFERROR(W940*INDEX(Variables!$B$7:$D$7,IFERROR(MATCH(IF($B940="Robusta","Robusta",(IF($B940="","Arabica",$B940))&amp;" - "&amp;(IF($C940="","Commercial",$C940))),Variables!$B$1:$D$1,0),1))*(BE940/365),""))</f>
        <v>-49.633310170831209</v>
      </c>
      <c r="BG940" s="44" t="str">
        <f>IF($AX940="Cancelled","",IFERROR((W940*INDEX(Variables!$B$7:$D$7,IFERROR(MATCH(IF($B940="Robusta","Robusta",(IF($B940="","Arabica",$B940))&amp;" - "&amp;(IF($C940="","Commercial",$C940))),Variables!$B$1:$D$1,0),1))*IFERROR(IF(AB940="","",(AVERAGE(E940:F940)-AB940)-Variables!$B$14),"")/365)+(L940/16.67*INDEX(Variables!$B$8:$D$8,IFERROR(MATCH(IF($B940="Robusta","Robusta",(IF($B940="","Arabica",$B940))&amp;" - "&amp;(IF($C940="","Commercial",$C940))),Variables!$B$1:$D$1,0),1))*IFERROR(IF(AB940="","",(AVERAGE(E940:F940)-AB940)-Variables!$B$14),""))+(W940*INDEX(Variables!$B$9:$D$9,IFERROR(MATCH(IF($B940="Robusta","Robusta",(IF($B940="","Arabica",$B940))&amp;" - "&amp;(IF($C940="","Commercial",$C940))),Variables!$B$1:$D$1,0),1))*IFERROR(IF(AB940="","",(AVERAGE(E940:F940)-AB940)-Variables!$B$14),"")/365),""))</f>
        <v/>
      </c>
      <c r="BH940" s="44">
        <f>IF($AX940="Cancelled","",IFERROR((W940*INDEX(Variables!$B$7:$D$7,IFERROR(MATCH(IF($B940="Robusta","Robusta",(IF($B940="","Arabica",$B940))&amp;" - "&amp;(IF($C940="","Commercial",$C940))),Variables!$B$1:$D$1,0),1))*AK940/365)+(L940/16.67*INDEX(Variables!$B$8:$D$8,IFERROR(MATCH(IF($B940="Robusta","Robusta",(IF($B940="","Arabica",$B940))&amp;" - "&amp;(IF($C940="","Commercial",$C940))),Variables!$B$1:$D$1,0),1))*AK940)+(W940*INDEX(Variables!$B$9:$D$9,IFERROR(MATCH(IF($B940="Robusta","Robusta",(IF($B940="","Arabica",$B940))&amp;" - "&amp;(IF($C940="","Commercial",$C940))),Variables!$B$1:$D$1,0),1))*AK940/365),""))</f>
        <v>16.969804601087343</v>
      </c>
      <c r="BI940" s="44">
        <f>IF($AX940="Cancelled","",IFERROR((W940*INDEX(Variables!$B$7:$D$7,IFERROR(MATCH(IF($B940="Robusta","Robusta",(IF($B940="","Arabica",$B940))&amp;" - "&amp;(IF($C940="","Commercial",$C940))),Variables!$B$1:$D$1,0),1))*BD940/365)+(L940/16.67*INDEX(Variables!$B$8:$D$8,IFERROR(MATCH(IF($B940="Robusta","Robusta",(IF($B940="","Arabica",$B940))&amp;" - "&amp;(IF($C940="","Commercial",$C940))),Variables!$B$1:$D$1,0),1))*BD940)+(W940*INDEX(Variables!$B$9:$D$9,IFERROR(MATCH(IF($B940="Robusta","Robusta",(IF($B940="","Arabica",$B940))&amp;" - "&amp;(IF($C940="","Commercial",$C940))),Variables!$B$1:$D$1,0),1))*BD940/365),""))</f>
        <v>1.6969804601087344</v>
      </c>
      <c r="BJ940" s="44">
        <f t="shared" si="44"/>
        <v>-37</v>
      </c>
      <c r="BK940" s="44">
        <f>IF($AX940="Cancelled","",IFERROR(IF(BJ940="","",(W940*INDEX(Variables!$B$7:$D$7,IFERROR(MATCH(IF($B940="Robusta","Robusta",(IF($B940="","Arabica",$B940))&amp;" - "&amp;(IF($C940="","Commercial",$C940))),Variables!$B$1:$D$1,0),1))*(BJ940/365))+(W940*INDEX(Variables!$B$9:$D$9,IFERROR(MATCH(IF($B940="Robusta","Robusta",(IF($B940="","Arabica",$B940))&amp;" - "&amp;(IF($C940="","Commercial",$C940))),Variables!$B$1:$D$1,0),1))*(BJ940/365))+(INDEX(Variables!$B$8:$D$8,IFERROR(MATCH(IF($B940="Robusta","Robusta",(IF($B940="","Arabica",$B940))&amp;" - "&amp;(IF($C940="","Commercial",$C940))),Variables!$B$1:$D$1,0),1))*L940/16.67)),""))</f>
        <v>-43.788277024023166</v>
      </c>
    </row>
    <row r="941" spans="1:63">
      <c r="A941" s="13" t="s">
        <v>103</v>
      </c>
      <c r="B941" s="13" t="s">
        <v>104</v>
      </c>
      <c r="C941" s="13" t="s">
        <v>292</v>
      </c>
      <c r="D941" s="31">
        <v>46084</v>
      </c>
      <c r="E941" s="31">
        <v>46113</v>
      </c>
      <c r="F941" s="31">
        <v>46142</v>
      </c>
      <c r="G941" s="13">
        <v>3787369</v>
      </c>
      <c r="J941" s="13" t="s">
        <v>501</v>
      </c>
      <c r="K941" s="13" t="s">
        <v>2431</v>
      </c>
      <c r="L941" s="13">
        <v>15</v>
      </c>
      <c r="M941" s="13">
        <v>0</v>
      </c>
      <c r="N941" s="13" t="s">
        <v>2432</v>
      </c>
      <c r="O941" s="13" t="s">
        <v>771</v>
      </c>
      <c r="P941" s="13">
        <v>10010</v>
      </c>
      <c r="R941" s="13" t="s">
        <v>384</v>
      </c>
      <c r="S941" s="13" t="s">
        <v>437</v>
      </c>
      <c r="T941" s="13" t="s">
        <v>438</v>
      </c>
      <c r="U941" s="13" t="s">
        <v>182</v>
      </c>
      <c r="V941" s="23">
        <v>228</v>
      </c>
      <c r="W941" s="44">
        <f>IF($AX941="Cancelled","",IFERROR(((V941+INDEX(Variables!$B$6:$D$6,IFERROR(MATCH(IF($B941="Robusta","Robusta",(IF($B941="","Arabica",$B941))&amp;" - "&amp;(IF($C941="","Commercial",$C941))),Variables!$B$1:$D$1,0),1)))*22.0462)*(L941/16.67),""))</f>
        <v>10291.753353329332</v>
      </c>
      <c r="Y941" s="13" t="str">
        <f>IF($AX941="Cancelled","",IF(X941="","",IFERROR(IF(INDEX(Variables!$B$38:$B$47,MATCH(X941,Variables!$A$38:$A$47,0))="Yes","Yes","No"),"No")))</f>
        <v/>
      </c>
      <c r="Z941" s="31"/>
      <c r="AC941" s="13" t="str">
        <f t="shared" si="43"/>
        <v/>
      </c>
      <c r="AF941" s="71">
        <v>46163</v>
      </c>
      <c r="AG941" s="37">
        <f>IF($AX941="Cancelled","",IFERROR(IF(F941="","",F941-Variables!$B$13),""))</f>
        <v>46127</v>
      </c>
      <c r="AH941" s="13" t="str">
        <f>IF($AX941="Cancelled","",IFERROR(IF(AB941="","",(AVERAGE(E941:F941)-AB941)-Variables!$B$14),""))</f>
        <v/>
      </c>
      <c r="AJ941" s="47">
        <v>46165</v>
      </c>
      <c r="AK941" s="14">
        <f>IF($AX941="Cancelled","",IFERROR(IF(AJ941="","",IF(AND(AB941="",AF941=""),"",IF(AF941&gt;AB941,AF941+Variables!$B$15+Variables!$B$16+Variables!$B$17-AJ941,AB941+Variables!$B$16+Variables!$B$17-AJ941))),""))</f>
        <v>13</v>
      </c>
      <c r="AL941" s="48" t="s">
        <v>114</v>
      </c>
      <c r="AM941" s="13" t="s">
        <v>1781</v>
      </c>
      <c r="AN941" s="13" t="s">
        <v>2177</v>
      </c>
      <c r="AP941" s="39" t="e">
        <v>#N/A</v>
      </c>
      <c r="AR941" s="13" t="s">
        <v>2198</v>
      </c>
      <c r="AS941" s="31">
        <v>46179</v>
      </c>
      <c r="AU941" s="31">
        <v>46226</v>
      </c>
      <c r="AV941" s="13" t="s">
        <v>865</v>
      </c>
      <c r="AW941" s="31">
        <v>46226</v>
      </c>
      <c r="AX941" s="13" t="str">
        <f>IF(ISNUMBER(SEARCH("cancel",#REF!)),"Cancelled",IF(AND(AS941&lt;&gt;"",AU941&lt;&gt;"",AW941&lt;&gt;""),"Closed","Open"))</f>
        <v>Closed</v>
      </c>
      <c r="AY941" s="15" t="str">
        <f t="shared" si="45"/>
        <v>All dates received</v>
      </c>
      <c r="BD941" s="13">
        <f>IF($AX941="Cancelled","",IFERROR(IF(OR(AS941="",AJ941=""),"",(AJ941+Variables!$B$18-AS941)),""))</f>
        <v>1</v>
      </c>
      <c r="BE941" s="13">
        <f>IF($AX941="Cancelled","",IFERROR(IF(OR(AW941="",AS941=""),"",(AS941+Variables!$B$19)-AW941),""))</f>
        <v>-42</v>
      </c>
      <c r="BF941" s="44">
        <f>IF($AX941="Cancelled","",IFERROR(W941*INDEX(Variables!$B$7:$D$7,IFERROR(MATCH(IF($B941="Robusta","Robusta",(IF($B941="","Arabica",$B941))&amp;" - "&amp;(IF($C941="","Commercial",$C941))),Variables!$B$1:$D$1,0),1))*(BE941/365),""))</f>
        <v>-76.363467724280042</v>
      </c>
      <c r="BG941" s="44" t="str">
        <f>IF($AX941="Cancelled","",IFERROR((W941*INDEX(Variables!$B$7:$D$7,IFERROR(MATCH(IF($B941="Robusta","Robusta",(IF($B941="","Arabica",$B941))&amp;" - "&amp;(IF($C941="","Commercial",$C941))),Variables!$B$1:$D$1,0),1))*IFERROR(IF(AB941="","",(AVERAGE(E941:F941)-AB941)-Variables!$B$14),"")/365)+(L941/16.67*INDEX(Variables!$B$8:$D$8,IFERROR(MATCH(IF($B941="Robusta","Robusta",(IF($B941="","Arabica",$B941))&amp;" - "&amp;(IF($C941="","Commercial",$C941))),Variables!$B$1:$D$1,0),1))*IFERROR(IF(AB941="","",(AVERAGE(E941:F941)-AB941)-Variables!$B$14),""))+(W941*INDEX(Variables!$B$9:$D$9,IFERROR(MATCH(IF($B941="Robusta","Robusta",(IF($B941="","Arabica",$B941))&amp;" - "&amp;(IF($C941="","Commercial",$C941))),Variables!$B$1:$D$1,0),1))*IFERROR(IF(AB941="","",(AVERAGE(E941:F941)-AB941)-Variables!$B$14),"")/365),""))</f>
        <v/>
      </c>
      <c r="BH941" s="44">
        <f>IF($AX941="Cancelled","",IFERROR((W941*INDEX(Variables!$B$7:$D$7,IFERROR(MATCH(IF($B941="Robusta","Robusta",(IF($B941="","Arabica",$B941))&amp;" - "&amp;(IF($C941="","Commercial",$C941))),Variables!$B$1:$D$1,0),1))*AK941/365)+(L941/16.67*INDEX(Variables!$B$8:$D$8,IFERROR(MATCH(IF($B941="Robusta","Robusta",(IF($B941="","Arabica",$B941))&amp;" - "&amp;(IF($C941="","Commercial",$C941))),Variables!$B$1:$D$1,0),1))*AK941)+(W941*INDEX(Variables!$B$9:$D$9,IFERROR(MATCH(IF($B941="Robusta","Robusta",(IF($B941="","Arabica",$B941))&amp;" - "&amp;(IF($C941="","Commercial",$C941))),Variables!$B$1:$D$1,0),1))*AK941/365),""))</f>
        <v>33.691029107821315</v>
      </c>
      <c r="BI941" s="44">
        <f>IF($AX941="Cancelled","",IFERROR((W941*INDEX(Variables!$B$7:$D$7,IFERROR(MATCH(IF($B941="Robusta","Robusta",(IF($B941="","Arabica",$B941))&amp;" - "&amp;(IF($C941="","Commercial",$C941))),Variables!$B$1:$D$1,0),1))*BD941/365)+(L941/16.67*INDEX(Variables!$B$8:$D$8,IFERROR(MATCH(IF($B941="Robusta","Robusta",(IF($B941="","Arabica",$B941))&amp;" - "&amp;(IF($C941="","Commercial",$C941))),Variables!$B$1:$D$1,0),1))*BD941)+(W941*INDEX(Variables!$B$9:$D$9,IFERROR(MATCH(IF($B941="Robusta","Robusta",(IF($B941="","Arabica",$B941))&amp;" - "&amp;(IF($C941="","Commercial",$C941))),Variables!$B$1:$D$1,0),1))*BD941/365),""))</f>
        <v>2.5916176236785629</v>
      </c>
      <c r="BJ941" s="44">
        <f t="shared" si="44"/>
        <v>-37</v>
      </c>
      <c r="BK941" s="44">
        <f>IF($AX941="Cancelled","",IFERROR(IF(BJ941="","",(W941*INDEX(Variables!$B$7:$D$7,IFERROR(MATCH(IF($B941="Robusta","Robusta",(IF($B941="","Arabica",$B941))&amp;" - "&amp;(IF($C941="","Commercial",$C941))),Variables!$B$1:$D$1,0),1))*(BJ941/365))+(W941*INDEX(Variables!$B$9:$D$9,IFERROR(MATCH(IF($B941="Robusta","Robusta",(IF($B941="","Arabica",$B941))&amp;" - "&amp;(IF($C941="","Commercial",$C941))),Variables!$B$1:$D$1,0),1))*(BJ941/365))+(INDEX(Variables!$B$8:$D$8,IFERROR(MATCH(IF($B941="Robusta","Robusta",(IF($B941="","Arabica",$B941))&amp;" - "&amp;(IF($C941="","Commercial",$C941))),Variables!$B$1:$D$1,0),1))*L941/16.67)),""))</f>
        <v>-67.38985207610682</v>
      </c>
    </row>
    <row r="942" spans="1:63">
      <c r="A942" s="13" t="s">
        <v>103</v>
      </c>
      <c r="B942" s="13" t="s">
        <v>104</v>
      </c>
      <c r="C942" s="13" t="s">
        <v>292</v>
      </c>
      <c r="D942" s="31">
        <v>46084</v>
      </c>
      <c r="E942" s="31">
        <v>46113</v>
      </c>
      <c r="F942" s="31">
        <v>46142</v>
      </c>
      <c r="G942" s="13">
        <v>3787370</v>
      </c>
      <c r="J942" s="13" t="s">
        <v>501</v>
      </c>
      <c r="K942" s="13" t="s">
        <v>2433</v>
      </c>
      <c r="L942" s="13">
        <v>9</v>
      </c>
      <c r="M942" s="13">
        <v>0</v>
      </c>
      <c r="N942" s="13" t="s">
        <v>2434</v>
      </c>
      <c r="O942" s="13" t="s">
        <v>771</v>
      </c>
      <c r="P942" s="13">
        <v>10010</v>
      </c>
      <c r="R942" s="13" t="s">
        <v>671</v>
      </c>
      <c r="S942" s="13" t="s">
        <v>437</v>
      </c>
      <c r="T942" s="13" t="s">
        <v>438</v>
      </c>
      <c r="U942" s="13" t="s">
        <v>182</v>
      </c>
      <c r="V942" s="23">
        <v>226</v>
      </c>
      <c r="W942" s="44">
        <f>IF($AX942="Cancelled","",IFERROR(((V942+INDEX(Variables!$B$6:$D$6,IFERROR(MATCH(IF($B942="Robusta","Robusta",(IF($B942="","Arabica",$B942))&amp;" - "&amp;(IF($C942="","Commercial",$C942))),Variables!$B$1:$D$1,0),1)))*22.0462)*(L942/16.67),""))</f>
        <v>6151.2468770245941</v>
      </c>
      <c r="Y942" s="13" t="str">
        <f>IF($AX942="Cancelled","",IF(X942="","",IFERROR(IF(INDEX(Variables!$B$38:$B$47,MATCH(X942,Variables!$A$38:$A$47,0))="Yes","Yes","No"),"No")))</f>
        <v/>
      </c>
      <c r="Z942" s="31"/>
      <c r="AC942" s="13" t="str">
        <f t="shared" si="43"/>
        <v/>
      </c>
      <c r="AF942" s="71">
        <v>46155</v>
      </c>
      <c r="AG942" s="37">
        <f>IF($AX942="Cancelled","",IFERROR(IF(F942="","",F942-Variables!$B$13),""))</f>
        <v>46127</v>
      </c>
      <c r="AH942" s="13" t="str">
        <f>IF($AX942="Cancelled","",IFERROR(IF(AB942="","",(AVERAGE(E942:F942)-AB942)-Variables!$B$14),""))</f>
        <v/>
      </c>
      <c r="AJ942" s="47">
        <v>46168</v>
      </c>
      <c r="AK942" s="14">
        <f>IF($AX942="Cancelled","",IFERROR(IF(AJ942="","",IF(AND(AB942="",AF942=""),"",IF(AF942&gt;AB942,AF942+Variables!$B$15+Variables!$B$16+Variables!$B$17-AJ942,AB942+Variables!$B$16+Variables!$B$17-AJ942))),""))</f>
        <v>2</v>
      </c>
      <c r="AL942" s="48" t="s">
        <v>114</v>
      </c>
      <c r="AM942" s="13" t="s">
        <v>1781</v>
      </c>
      <c r="AN942" s="13" t="s">
        <v>2177</v>
      </c>
      <c r="AP942" s="39" t="e">
        <v>#N/A</v>
      </c>
      <c r="AR942" s="13" t="s">
        <v>2178</v>
      </c>
      <c r="AS942" s="31">
        <v>46179</v>
      </c>
      <c r="AU942" s="31">
        <v>46211</v>
      </c>
      <c r="AV942" s="13" t="e">
        <v>#N/A</v>
      </c>
      <c r="AW942" s="31">
        <v>46211</v>
      </c>
      <c r="AX942" s="13" t="str">
        <f>IF(ISNUMBER(SEARCH("cancel",#REF!)),"Cancelled",IF(AND(AS942&lt;&gt;"",AU942&lt;&gt;"",AW942&lt;&gt;""),"Closed","Open"))</f>
        <v>Closed</v>
      </c>
      <c r="AY942" s="15" t="str">
        <f t="shared" si="45"/>
        <v>All dates received</v>
      </c>
      <c r="BD942" s="13">
        <f>IF($AX942="Cancelled","",IFERROR(IF(OR(AS942="",AJ942=""),"",(AJ942+Variables!$B$18-AS942)),""))</f>
        <v>4</v>
      </c>
      <c r="BE942" s="13">
        <f>IF($AX942="Cancelled","",IFERROR(IF(OR(AW942="",AS942=""),"",(AS942+Variables!$B$19)-AW942),""))</f>
        <v>-27</v>
      </c>
      <c r="BF942" s="44">
        <f>IF($AX942="Cancelled","",IFERROR(W942*INDEX(Variables!$B$7:$D$7,IFERROR(MATCH(IF($B942="Robusta","Robusta",(IF($B942="","Arabica",$B942))&amp;" - "&amp;(IF($C942="","Commercial",$C942))),Variables!$B$1:$D$1,0),1))*(BE942/365),""))</f>
        <v>-29.340931909833515</v>
      </c>
      <c r="BG942" s="44" t="str">
        <f>IF($AX942="Cancelled","",IFERROR((W942*INDEX(Variables!$B$7:$D$7,IFERROR(MATCH(IF($B942="Robusta","Robusta",(IF($B942="","Arabica",$B942))&amp;" - "&amp;(IF($C942="","Commercial",$C942))),Variables!$B$1:$D$1,0),1))*IFERROR(IF(AB942="","",(AVERAGE(E942:F942)-AB942)-Variables!$B$14),"")/365)+(L942/16.67*INDEX(Variables!$B$8:$D$8,IFERROR(MATCH(IF($B942="Robusta","Robusta",(IF($B942="","Arabica",$B942))&amp;" - "&amp;(IF($C942="","Commercial",$C942))),Variables!$B$1:$D$1,0),1))*IFERROR(IF(AB942="","",(AVERAGE(E942:F942)-AB942)-Variables!$B$14),""))+(W942*INDEX(Variables!$B$9:$D$9,IFERROR(MATCH(IF($B942="Robusta","Robusta",(IF($B942="","Arabica",$B942))&amp;" - "&amp;(IF($C942="","Commercial",$C942))),Variables!$B$1:$D$1,0),1))*IFERROR(IF(AB942="","",(AVERAGE(E942:F942)-AB942)-Variables!$B$14),"")/365),""))</f>
        <v/>
      </c>
      <c r="BH942" s="44">
        <f>IF($AX942="Cancelled","",IFERROR((W942*INDEX(Variables!$B$7:$D$7,IFERROR(MATCH(IF($B942="Robusta","Robusta",(IF($B942="","Arabica",$B942))&amp;" - "&amp;(IF($C942="","Commercial",$C942))),Variables!$B$1:$D$1,0),1))*AK942/365)+(L942/16.67*INDEX(Variables!$B$8:$D$8,IFERROR(MATCH(IF($B942="Robusta","Robusta",(IF($B942="","Arabica",$B942))&amp;" - "&amp;(IF($C942="","Commercial",$C942))),Variables!$B$1:$D$1,0),1))*AK942)+(W942*INDEX(Variables!$B$9:$D$9,IFERROR(MATCH(IF($B942="Robusta","Robusta",(IF($B942="","Arabica",$B942))&amp;" - "&amp;(IF($C942="","Commercial",$C942))),Variables!$B$1:$D$1,0),1))*AK942/365),""))</f>
        <v>3.101421714534498</v>
      </c>
      <c r="BI942" s="44">
        <f>IF($AX942="Cancelled","",IFERROR((W942*INDEX(Variables!$B$7:$D$7,IFERROR(MATCH(IF($B942="Robusta","Robusta",(IF($B942="","Arabica",$B942))&amp;" - "&amp;(IF($C942="","Commercial",$C942))),Variables!$B$1:$D$1,0),1))*BD942/365)+(L942/16.67*INDEX(Variables!$B$8:$D$8,IFERROR(MATCH(IF($B942="Robusta","Robusta",(IF($B942="","Arabica",$B942))&amp;" - "&amp;(IF($C942="","Commercial",$C942))),Variables!$B$1:$D$1,0),1))*BD942)+(W942*INDEX(Variables!$B$9:$D$9,IFERROR(MATCH(IF($B942="Robusta","Robusta",(IF($B942="","Arabica",$B942))&amp;" - "&amp;(IF($C942="","Commercial",$C942))),Variables!$B$1:$D$1,0),1))*BD942/365),""))</f>
        <v>6.202843429068996</v>
      </c>
      <c r="BJ942" s="44">
        <f t="shared" si="44"/>
        <v>-37</v>
      </c>
      <c r="BK942" s="44">
        <f>IF($AX942="Cancelled","",IFERROR(IF(BJ942="","",(W942*INDEX(Variables!$B$7:$D$7,IFERROR(MATCH(IF($B942="Robusta","Robusta",(IF($B942="","Arabica",$B942))&amp;" - "&amp;(IF($C942="","Commercial",$C942))),Variables!$B$1:$D$1,0),1))*(BJ942/365))+(W942*INDEX(Variables!$B$9:$D$9,IFERROR(MATCH(IF($B942="Robusta","Robusta",(IF($B942="","Arabica",$B942))&amp;" - "&amp;(IF($C942="","Commercial",$C942))),Variables!$B$1:$D$1,0),1))*(BJ942/365))+(INDEX(Variables!$B$8:$D$8,IFERROR(MATCH(IF($B942="Robusta","Robusta",(IF($B942="","Arabica",$B942))&amp;" - "&amp;(IF($C942="","Commercial",$C942))),Variables!$B$1:$D$1,0),1))*L942/16.67)),""))</f>
        <v>-40.276301718888206</v>
      </c>
    </row>
    <row r="943" spans="1:63">
      <c r="A943" s="13" t="s">
        <v>103</v>
      </c>
      <c r="B943" s="13" t="s">
        <v>104</v>
      </c>
      <c r="C943" s="13" t="s">
        <v>292</v>
      </c>
      <c r="D943" s="31">
        <v>46084</v>
      </c>
      <c r="E943" s="31">
        <v>46113</v>
      </c>
      <c r="F943" s="31">
        <v>46142</v>
      </c>
      <c r="G943" s="13">
        <v>3787371</v>
      </c>
      <c r="J943" s="13" t="s">
        <v>2138</v>
      </c>
      <c r="K943" s="13" t="s">
        <v>2435</v>
      </c>
      <c r="L943" s="13">
        <v>40</v>
      </c>
      <c r="M943" s="13">
        <v>1</v>
      </c>
      <c r="N943" s="13" t="s">
        <v>2436</v>
      </c>
      <c r="O943" s="13" t="s">
        <v>1054</v>
      </c>
      <c r="P943" s="13">
        <v>10020</v>
      </c>
      <c r="R943" s="13" t="s">
        <v>671</v>
      </c>
      <c r="S943" s="13" t="s">
        <v>463</v>
      </c>
      <c r="T943" s="13" t="s">
        <v>458</v>
      </c>
      <c r="U943" s="13" t="s">
        <v>125</v>
      </c>
      <c r="V943" s="23">
        <v>183</v>
      </c>
      <c r="W943" s="44">
        <f>IF($AX943="Cancelled","",IFERROR(((V943+INDEX(Variables!$B$6:$D$6,IFERROR(MATCH(IF($B943="Robusta","Robusta",(IF($B943="","Arabica",$B943))&amp;" - "&amp;(IF($C943="","Commercial",$C943))),Variables!$B$1:$D$1,0),1)))*22.0462)*(L943/16.67),""))</f>
        <v>25064.162111577683</v>
      </c>
      <c r="Y943" s="13" t="str">
        <f>IF($AX943="Cancelled","",IF(X943="","",IFERROR(IF(INDEX(Variables!$B$38:$B$47,MATCH(X943,Variables!$A$38:$A$47,0))="Yes","Yes","No"),"No")))</f>
        <v/>
      </c>
      <c r="Z943" s="31"/>
      <c r="AC943" s="13" t="str">
        <f t="shared" si="43"/>
        <v/>
      </c>
      <c r="AF943" s="71">
        <v>46112</v>
      </c>
      <c r="AG943" s="31">
        <f>IF($AX943="Cancelled","",IFERROR(IF(F943="","",F943-Variables!$B$13),""))</f>
        <v>46127</v>
      </c>
      <c r="AH943" s="13" t="str">
        <f>IF($AX943="Cancelled","",IFERROR(IF(AB943="","",(AVERAGE(E943:F943)-AB943)-Variables!$B$14),""))</f>
        <v/>
      </c>
      <c r="AJ943" s="47">
        <v>46126</v>
      </c>
      <c r="AK943" s="14">
        <f>IF($AX943="Cancelled","",IFERROR(IF(AJ943="","",IF(AND(AB943="",AF943=""),"",IF(AF943&gt;AB943,AF943+Variables!$B$15+Variables!$B$16+Variables!$B$17-AJ943,AB943+Variables!$B$16+Variables!$B$17-AJ943))),""))</f>
        <v>1</v>
      </c>
      <c r="AL943" s="48" t="s">
        <v>114</v>
      </c>
      <c r="AM943" s="13" t="s">
        <v>1526</v>
      </c>
      <c r="AN943" s="13" t="s">
        <v>2141</v>
      </c>
      <c r="AP943" s="39" t="e">
        <v>#N/A</v>
      </c>
      <c r="AR943" s="13" t="s">
        <v>2437</v>
      </c>
      <c r="AS943" s="31">
        <v>46150</v>
      </c>
      <c r="AU943" s="31">
        <v>46154</v>
      </c>
      <c r="AV943" s="13" t="e">
        <v>#N/A</v>
      </c>
      <c r="AW943" s="31">
        <v>46161</v>
      </c>
      <c r="AX943" s="13" t="str">
        <f>IF(ISNUMBER(SEARCH("cancel",#REF!)),"Cancelled",IF(AND(AS943&lt;&gt;"",AU943&lt;&gt;"",AW943&lt;&gt;""),"Closed","Open"))</f>
        <v>Closed</v>
      </c>
      <c r="AY943" s="15" t="str">
        <f t="shared" si="45"/>
        <v>All dates received</v>
      </c>
      <c r="BD943" s="13">
        <f>IF($AX943="Cancelled","",IFERROR(IF(OR(AS943="",AJ943=""),"",(AJ943+Variables!$B$18-AS943)),""))</f>
        <v>-9</v>
      </c>
      <c r="BE943" s="13">
        <f>IF($AX943="Cancelled","",IFERROR(IF(OR(AW943="",AS943=""),"",(AS943+Variables!$B$19)-AW943),""))</f>
        <v>-6</v>
      </c>
      <c r="BF943" s="44">
        <f>IF($AX943="Cancelled","",IFERROR(W943*INDEX(Variables!$B$7:$D$7,IFERROR(MATCH(IF($B943="Robusta","Robusta",(IF($B943="","Arabica",$B943))&amp;" - "&amp;(IF($C943="","Commercial",$C943))),Variables!$B$1:$D$1,0),1))*(BE943/365),""))</f>
        <v>-26.567544889498755</v>
      </c>
      <c r="BG943" s="44" t="str">
        <f>IF($AX943="Cancelled","",IFERROR((W943*INDEX(Variables!$B$7:$D$7,IFERROR(MATCH(IF($B943="Robusta","Robusta",(IF($B943="","Arabica",$B943))&amp;" - "&amp;(IF($C943="","Commercial",$C943))),Variables!$B$1:$D$1,0),1))*IFERROR(IF(AB943="","",(AVERAGE(E943:F943)-AB943)-Variables!$B$14),"")/365)+(L943/16.67*INDEX(Variables!$B$8:$D$8,IFERROR(MATCH(IF($B943="Robusta","Robusta",(IF($B943="","Arabica",$B943))&amp;" - "&amp;(IF($C943="","Commercial",$C943))),Variables!$B$1:$D$1,0),1))*IFERROR(IF(AB943="","",(AVERAGE(E943:F943)-AB943)-Variables!$B$14),""))+(W943*INDEX(Variables!$B$9:$D$9,IFERROR(MATCH(IF($B943="Robusta","Robusta",(IF($B943="","Arabica",$B943))&amp;" - "&amp;(IF($C943="","Commercial",$C943))),Variables!$B$1:$D$1,0),1))*IFERROR(IF(AB943="","",(AVERAGE(E943:F943)-AB943)-Variables!$B$14),"")/365),""))</f>
        <v/>
      </c>
      <c r="BH943" s="44">
        <f>IF($AX943="Cancelled","",IFERROR((W943*INDEX(Variables!$B$7:$D$7,IFERROR(MATCH(IF($B943="Robusta","Robusta",(IF($B943="","Arabica",$B943))&amp;" - "&amp;(IF($C943="","Commercial",$C943))),Variables!$B$1:$D$1,0),1))*AK943/365)+(L943/16.67*INDEX(Variables!$B$8:$D$8,IFERROR(MATCH(IF($B943="Robusta","Robusta",(IF($B943="","Arabica",$B943))&amp;" - "&amp;(IF($C943="","Commercial",$C943))),Variables!$B$1:$D$1,0),1))*AK943)+(W943*INDEX(Variables!$B$9:$D$9,IFERROR(MATCH(IF($B943="Robusta","Robusta",(IF($B943="","Arabica",$B943))&amp;" - "&amp;(IF($C943="","Commercial",$C943))),Variables!$B$1:$D$1,0),1))*AK943/365),""))</f>
        <v>6.4850086358206269</v>
      </c>
      <c r="BI943" s="44">
        <f>IF($AX943="Cancelled","",IFERROR((W943*INDEX(Variables!$B$7:$D$7,IFERROR(MATCH(IF($B943="Robusta","Robusta",(IF($B943="","Arabica",$B943))&amp;" - "&amp;(IF($C943="","Commercial",$C943))),Variables!$B$1:$D$1,0),1))*BD943/365)+(L943/16.67*INDEX(Variables!$B$8:$D$8,IFERROR(MATCH(IF($B943="Robusta","Robusta",(IF($B943="","Arabica",$B943))&amp;" - "&amp;(IF($C943="","Commercial",$C943))),Variables!$B$1:$D$1,0),1))*BD943)+(W943*INDEX(Variables!$B$9:$D$9,IFERROR(MATCH(IF($B943="Robusta","Robusta",(IF($B943="","Arabica",$B943))&amp;" - "&amp;(IF($C943="","Commercial",$C943))),Variables!$B$1:$D$1,0),1))*BD943/365),""))</f>
        <v>-58.365077722385642</v>
      </c>
      <c r="BJ943" s="44">
        <f t="shared" si="44"/>
        <v>-8</v>
      </c>
      <c r="BK943" s="44">
        <f>IF($AX943="Cancelled","",IFERROR(IF(BJ943="","",(W943*INDEX(Variables!$B$7:$D$7,IFERROR(MATCH(IF($B943="Robusta","Robusta",(IF($B943="","Arabica",$B943))&amp;" - "&amp;(IF($C943="","Commercial",$C943))),Variables!$B$1:$D$1,0),1))*(BJ943/365))+(W943*INDEX(Variables!$B$9:$D$9,IFERROR(MATCH(IF($B943="Robusta","Robusta",(IF($B943="","Arabica",$B943))&amp;" - "&amp;(IF($C943="","Commercial",$C943))),Variables!$B$1:$D$1,0),1))*(BJ943/365))+(INDEX(Variables!$B$8:$D$8,IFERROR(MATCH(IF($B943="Robusta","Robusta",(IF($B943="","Arabica",$B943))&amp;" - "&amp;(IF($C943="","Commercial",$C943))),Variables!$B$1:$D$1,0),1))*L943/16.67)),""))</f>
        <v>-33.880069086565015</v>
      </c>
    </row>
    <row r="944" spans="1:63">
      <c r="A944" s="13" t="s">
        <v>103</v>
      </c>
      <c r="B944" s="13" t="s">
        <v>104</v>
      </c>
      <c r="C944" s="13" t="s">
        <v>292</v>
      </c>
      <c r="D944" s="31">
        <v>46084</v>
      </c>
      <c r="E944" s="31">
        <v>46113</v>
      </c>
      <c r="F944" s="31">
        <v>46142</v>
      </c>
      <c r="G944" s="13">
        <v>3787372</v>
      </c>
      <c r="J944" s="13" t="s">
        <v>2138</v>
      </c>
      <c r="K944" s="13" t="s">
        <v>2438</v>
      </c>
      <c r="L944" s="13">
        <v>40</v>
      </c>
      <c r="M944" s="13">
        <v>0</v>
      </c>
      <c r="N944" s="13" t="s">
        <v>2439</v>
      </c>
      <c r="O944" s="13" t="s">
        <v>1054</v>
      </c>
      <c r="P944" s="13">
        <v>10020</v>
      </c>
      <c r="R944" s="13" t="s">
        <v>239</v>
      </c>
      <c r="S944" s="13" t="s">
        <v>463</v>
      </c>
      <c r="T944" s="13" t="s">
        <v>458</v>
      </c>
      <c r="U944" s="13" t="s">
        <v>125</v>
      </c>
      <c r="V944" s="23">
        <v>179</v>
      </c>
      <c r="W944" s="44">
        <f>IF($AX944="Cancelled","",IFERROR(((V944+INDEX(Variables!$B$6:$D$6,IFERROR(MATCH(IF($B944="Robusta","Robusta",(IF($B944="","Arabica",$B944))&amp;" - "&amp;(IF($C944="","Commercial",$C944))),Variables!$B$1:$D$1,0),1)))*22.0462)*(L944/16.67),""))</f>
        <v>24852.560911817633</v>
      </c>
      <c r="Y944" s="13" t="str">
        <f>IF($AX944="Cancelled","",IF(X944="","",IFERROR(IF(INDEX(Variables!$B$38:$B$47,MATCH(X944,Variables!$A$38:$A$47,0))="Yes","Yes","No"),"No")))</f>
        <v/>
      </c>
      <c r="Z944" s="31"/>
      <c r="AC944" s="13" t="str">
        <f t="shared" si="43"/>
        <v/>
      </c>
      <c r="AF944" s="71">
        <v>46122</v>
      </c>
      <c r="AG944" s="31">
        <f>IF($AX944="Cancelled","",IFERROR(IF(F944="","",F944-Variables!$B$13),""))</f>
        <v>46127</v>
      </c>
      <c r="AH944" s="13" t="str">
        <f>IF($AX944="Cancelled","",IFERROR(IF(AB944="","",(AVERAGE(E944:F944)-AB944)-Variables!$B$14),""))</f>
        <v/>
      </c>
      <c r="AJ944" s="47">
        <v>46126</v>
      </c>
      <c r="AK944" s="14">
        <f>IF($AX944="Cancelled","",IFERROR(IF(AJ944="","",IF(AND(AB944="",AF944=""),"",IF(AF944&gt;AB944,AF944+Variables!$B$15+Variables!$B$16+Variables!$B$17-AJ944,AB944+Variables!$B$16+Variables!$B$17-AJ944))),""))</f>
        <v>11</v>
      </c>
      <c r="AL944" s="48" t="s">
        <v>114</v>
      </c>
      <c r="AM944" s="13" t="s">
        <v>1526</v>
      </c>
      <c r="AN944" s="13" t="s">
        <v>2141</v>
      </c>
      <c r="AP944" s="39" t="e">
        <v>#N/A</v>
      </c>
      <c r="AR944" s="13" t="s">
        <v>2437</v>
      </c>
      <c r="AS944" s="31">
        <v>46150</v>
      </c>
      <c r="AU944" s="31">
        <v>46154</v>
      </c>
      <c r="AV944" s="13" t="e">
        <v>#N/A</v>
      </c>
      <c r="AW944" s="31">
        <v>46161</v>
      </c>
      <c r="AX944" s="13" t="str">
        <f>IF(ISNUMBER(SEARCH("cancel",#REF!)),"Cancelled",IF(AND(AS944&lt;&gt;"",AU944&lt;&gt;"",AW944&lt;&gt;""),"Closed","Open"))</f>
        <v>Closed</v>
      </c>
      <c r="AY944" s="15" t="str">
        <f t="shared" si="45"/>
        <v>All dates received</v>
      </c>
      <c r="BD944" s="13">
        <f>IF($AX944="Cancelled","",IFERROR(IF(OR(AS944="",AJ944=""),"",(AJ944+Variables!$B$18-AS944)),""))</f>
        <v>-9</v>
      </c>
      <c r="BE944" s="13">
        <f>IF($AX944="Cancelled","",IFERROR(IF(OR(AW944="",AS944=""),"",(AS944+Variables!$B$19)-AW944),""))</f>
        <v>-6</v>
      </c>
      <c r="BF944" s="44">
        <f>IF($AX944="Cancelled","",IFERROR(W944*INDEX(Variables!$B$7:$D$7,IFERROR(MATCH(IF($B944="Robusta","Robusta",(IF($B944="","Arabica",$B944))&amp;" - "&amp;(IF($C944="","Commercial",$C944))),Variables!$B$1:$D$1,0),1))*(BE944/365),""))</f>
        <v>-26.343251559912442</v>
      </c>
      <c r="BG944" s="44" t="str">
        <f>IF($AX944="Cancelled","",IFERROR((W944*INDEX(Variables!$B$7:$D$7,IFERROR(MATCH(IF($B944="Robusta","Robusta",(IF($B944="","Arabica",$B944))&amp;" - "&amp;(IF($C944="","Commercial",$C944))),Variables!$B$1:$D$1,0),1))*IFERROR(IF(AB944="","",(AVERAGE(E944:F944)-AB944)-Variables!$B$14),"")/365)+(L944/16.67*INDEX(Variables!$B$8:$D$8,IFERROR(MATCH(IF($B944="Robusta","Robusta",(IF($B944="","Arabica",$B944))&amp;" - "&amp;(IF($C944="","Commercial",$C944))),Variables!$B$1:$D$1,0),1))*IFERROR(IF(AB944="","",(AVERAGE(E944:F944)-AB944)-Variables!$B$14),""))+(W944*INDEX(Variables!$B$9:$D$9,IFERROR(MATCH(IF($B944="Robusta","Robusta",(IF($B944="","Arabica",$B944))&amp;" - "&amp;(IF($C944="","Commercial",$C944))),Variables!$B$1:$D$1,0),1))*IFERROR(IF(AB944="","",(AVERAGE(E944:F944)-AB944)-Variables!$B$14),"")/365),""))</f>
        <v/>
      </c>
      <c r="BH944" s="44">
        <f>IF($AX944="Cancelled","",IFERROR((W944*INDEX(Variables!$B$7:$D$7,IFERROR(MATCH(IF($B944="Robusta","Robusta",(IF($B944="","Arabica",$B944))&amp;" - "&amp;(IF($C944="","Commercial",$C944))),Variables!$B$1:$D$1,0),1))*AK944/365)+(L944/16.67*INDEX(Variables!$B$8:$D$8,IFERROR(MATCH(IF($B944="Robusta","Robusta",(IF($B944="","Arabica",$B944))&amp;" - "&amp;(IF($C944="","Commercial",$C944))),Variables!$B$1:$D$1,0),1))*AK944)+(W944*INDEX(Variables!$B$9:$D$9,IFERROR(MATCH(IF($B944="Robusta","Robusta",(IF($B944="","Arabica",$B944))&amp;" - "&amp;(IF($C944="","Commercial",$C944))),Variables!$B$1:$D$1,0),1))*AK944/365),""))</f>
        <v>70.918589337682221</v>
      </c>
      <c r="BI944" s="44">
        <f>IF($AX944="Cancelled","",IFERROR((W944*INDEX(Variables!$B$7:$D$7,IFERROR(MATCH(IF($B944="Robusta","Robusta",(IF($B944="","Arabica",$B944))&amp;" - "&amp;(IF($C944="","Commercial",$C944))),Variables!$B$1:$D$1,0),1))*BD944/365)+(L944/16.67*INDEX(Variables!$B$8:$D$8,IFERROR(MATCH(IF($B944="Robusta","Robusta",(IF($B944="","Arabica",$B944))&amp;" - "&amp;(IF($C944="","Commercial",$C944))),Variables!$B$1:$D$1,0),1))*BD944)+(W944*INDEX(Variables!$B$9:$D$9,IFERROR(MATCH(IF($B944="Robusta","Robusta",(IF($B944="","Arabica",$B944))&amp;" - "&amp;(IF($C944="","Commercial",$C944))),Variables!$B$1:$D$1,0),1))*BD944/365),""))</f>
        <v>-58.024300367194549</v>
      </c>
      <c r="BJ944" s="44">
        <f t="shared" si="44"/>
        <v>-8</v>
      </c>
      <c r="BK944" s="44">
        <f>IF($AX944="Cancelled","",IFERROR(IF(BJ944="","",(W944*INDEX(Variables!$B$7:$D$7,IFERROR(MATCH(IF($B944="Robusta","Robusta",(IF($B944="","Arabica",$B944))&amp;" - "&amp;(IF($C944="","Commercial",$C944))),Variables!$B$1:$D$1,0),1))*(BJ944/365))+(W944*INDEX(Variables!$B$9:$D$9,IFERROR(MATCH(IF($B944="Robusta","Robusta",(IF($B944="","Arabica",$B944))&amp;" - "&amp;(IF($C944="","Commercial",$C944))),Variables!$B$1:$D$1,0),1))*(BJ944/365))+(INDEX(Variables!$B$8:$D$8,IFERROR(MATCH(IF($B944="Robusta","Robusta",(IF($B944="","Arabica",$B944))&amp;" - "&amp;(IF($C944="","Commercial",$C944))),Variables!$B$1:$D$1,0),1))*L944/16.67)),""))</f>
        <v>-33.577155881950709</v>
      </c>
    </row>
    <row r="945" spans="1:63">
      <c r="A945" s="13" t="s">
        <v>103</v>
      </c>
      <c r="B945" s="13" t="s">
        <v>104</v>
      </c>
      <c r="C945" s="13" t="s">
        <v>292</v>
      </c>
      <c r="D945" s="31">
        <v>46084</v>
      </c>
      <c r="E945" s="31">
        <v>46113</v>
      </c>
      <c r="F945" s="31">
        <v>46142</v>
      </c>
      <c r="G945" s="13">
        <v>3787373</v>
      </c>
      <c r="J945" s="13" t="s">
        <v>2138</v>
      </c>
      <c r="K945" s="13" t="s">
        <v>2440</v>
      </c>
      <c r="L945" s="13">
        <v>33</v>
      </c>
      <c r="M945" s="13">
        <v>0</v>
      </c>
      <c r="N945" s="13" t="s">
        <v>2441</v>
      </c>
      <c r="O945" s="13" t="s">
        <v>771</v>
      </c>
      <c r="P945" s="13">
        <v>10010</v>
      </c>
      <c r="R945" s="13" t="s">
        <v>671</v>
      </c>
      <c r="S945" s="13" t="s">
        <v>463</v>
      </c>
      <c r="T945" s="13" t="s">
        <v>458</v>
      </c>
      <c r="U945" s="13" t="s">
        <v>125</v>
      </c>
      <c r="V945" s="23">
        <v>212</v>
      </c>
      <c r="W945" s="44">
        <f>IF($AX945="Cancelled","",IFERROR(((V945+INDEX(Variables!$B$6:$D$6,IFERROR(MATCH(IF($B945="Robusta","Robusta",(IF($B945="","Arabica",$B945))&amp;" - "&amp;(IF($C945="","Commercial",$C945))),Variables!$B$1:$D$1,0),1)))*22.0462)*(L945/16.67),""))</f>
        <v>21943.573418116375</v>
      </c>
      <c r="Y945" s="13" t="str">
        <f>IF($AX945="Cancelled","",IF(X945="","",IFERROR(IF(INDEX(Variables!$B$38:$B$47,MATCH(X945,Variables!$A$38:$A$47,0))="Yes","Yes","No"),"No")))</f>
        <v/>
      </c>
      <c r="Z945" s="31"/>
      <c r="AC945" s="13" t="str">
        <f t="shared" si="43"/>
        <v/>
      </c>
      <c r="AF945" s="71">
        <v>46112</v>
      </c>
      <c r="AG945" s="31">
        <f>IF($AX945="Cancelled","",IFERROR(IF(F945="","",F945-Variables!$B$13),""))</f>
        <v>46127</v>
      </c>
      <c r="AH945" s="13" t="str">
        <f>IF($AX945="Cancelled","",IFERROR(IF(AB945="","",(AVERAGE(E945:F945)-AB945)-Variables!$B$14),""))</f>
        <v/>
      </c>
      <c r="AJ945" s="47">
        <v>46126</v>
      </c>
      <c r="AK945" s="14">
        <f>IF($AX945="Cancelled","",IFERROR(IF(AJ945="","",IF(AND(AB945="",AF945=""),"",IF(AF945&gt;AB945,AF945+Variables!$B$15+Variables!$B$16+Variables!$B$17-AJ945,AB945+Variables!$B$16+Variables!$B$17-AJ945))),""))</f>
        <v>1</v>
      </c>
      <c r="AL945" s="48" t="s">
        <v>114</v>
      </c>
      <c r="AM945" s="13" t="s">
        <v>1526</v>
      </c>
      <c r="AN945" s="13" t="s">
        <v>2141</v>
      </c>
      <c r="AP945" s="39" t="e">
        <v>#N/A</v>
      </c>
      <c r="AR945" s="13" t="s">
        <v>2437</v>
      </c>
      <c r="AS945" s="31">
        <v>46150</v>
      </c>
      <c r="AU945" s="31">
        <v>46154</v>
      </c>
      <c r="AV945" s="13" t="e">
        <v>#N/A</v>
      </c>
      <c r="AW945" s="31">
        <v>46161</v>
      </c>
      <c r="AX945" s="13" t="str">
        <f>IF(ISNUMBER(SEARCH("cancel",#REF!)),"Cancelled",IF(AND(AS945&lt;&gt;"",AU945&lt;&gt;"",AW945&lt;&gt;""),"Closed","Open"))</f>
        <v>Closed</v>
      </c>
      <c r="AY945" s="15" t="str">
        <f t="shared" si="45"/>
        <v>All dates received</v>
      </c>
      <c r="BD945" s="13">
        <f>IF($AX945="Cancelled","",IFERROR(IF(OR(AS945="",AJ945=""),"",(AJ945+Variables!$B$18-AS945)),""))</f>
        <v>-9</v>
      </c>
      <c r="BE945" s="13">
        <f>IF($AX945="Cancelled","",IFERROR(IF(OR(AW945="",AS945=""),"",(AS945+Variables!$B$19)-AW945),""))</f>
        <v>-6</v>
      </c>
      <c r="BF945" s="44">
        <f>IF($AX945="Cancelled","",IFERROR(W945*INDEX(Variables!$B$7:$D$7,IFERROR(MATCH(IF($B945="Robusta","Robusta",(IF($B945="","Arabica",$B945))&amp;" - "&amp;(IF($C945="","Commercial",$C945))),Variables!$B$1:$D$1,0),1))*(BE945/365),""))</f>
        <v>-23.259779011424609</v>
      </c>
      <c r="BG945" s="44" t="str">
        <f>IF($AX945="Cancelled","",IFERROR((W945*INDEX(Variables!$B$7:$D$7,IFERROR(MATCH(IF($B945="Robusta","Robusta",(IF($B945="","Arabica",$B945))&amp;" - "&amp;(IF($C945="","Commercial",$C945))),Variables!$B$1:$D$1,0),1))*IFERROR(IF(AB945="","",(AVERAGE(E945:F945)-AB945)-Variables!$B$14),"")/365)+(L945/16.67*INDEX(Variables!$B$8:$D$8,IFERROR(MATCH(IF($B945="Robusta","Robusta",(IF($B945="","Arabica",$B945))&amp;" - "&amp;(IF($C945="","Commercial",$C945))),Variables!$B$1:$D$1,0),1))*IFERROR(IF(AB945="","",(AVERAGE(E945:F945)-AB945)-Variables!$B$14),""))+(W945*INDEX(Variables!$B$9:$D$9,IFERROR(MATCH(IF($B945="Robusta","Robusta",(IF($B945="","Arabica",$B945))&amp;" - "&amp;(IF($C945="","Commercial",$C945))),Variables!$B$1:$D$1,0),1))*IFERROR(IF(AB945="","",(AVERAGE(E945:F945)-AB945)-Variables!$B$14),"")/365),""))</f>
        <v/>
      </c>
      <c r="BH945" s="44">
        <f>IF($AX945="Cancelled","",IFERROR((W945*INDEX(Variables!$B$7:$D$7,IFERROR(MATCH(IF($B945="Robusta","Robusta",(IF($B945="","Arabica",$B945))&amp;" - "&amp;(IF($C945="","Commercial",$C945))),Variables!$B$1:$D$1,0),1))*AK945/365)+(L945/16.67*INDEX(Variables!$B$8:$D$8,IFERROR(MATCH(IF($B945="Robusta","Robusta",(IF($B945="","Arabica",$B945))&amp;" - "&amp;(IF($C945="","Commercial",$C945))),Variables!$B$1:$D$1,0),1))*AK945)+(W945*INDEX(Variables!$B$9:$D$9,IFERROR(MATCH(IF($B945="Robusta","Robusta",(IF($B945="","Arabica",$B945))&amp;" - "&amp;(IF($C945="","Commercial",$C945))),Variables!$B$1:$D$1,0),1))*AK945/365),""))</f>
        <v>5.5766070751894361</v>
      </c>
      <c r="BI945" s="44">
        <f>IF($AX945="Cancelled","",IFERROR((W945*INDEX(Variables!$B$7:$D$7,IFERROR(MATCH(IF($B945="Robusta","Robusta",(IF($B945="","Arabica",$B945))&amp;" - "&amp;(IF($C945="","Commercial",$C945))),Variables!$B$1:$D$1,0),1))*BD945/365)+(L945/16.67*INDEX(Variables!$B$8:$D$8,IFERROR(MATCH(IF($B945="Robusta","Robusta",(IF($B945="","Arabica",$B945))&amp;" - "&amp;(IF($C945="","Commercial",$C945))),Variables!$B$1:$D$1,0),1))*BD945)+(W945*INDEX(Variables!$B$9:$D$9,IFERROR(MATCH(IF($B945="Robusta","Robusta",(IF($B945="","Arabica",$B945))&amp;" - "&amp;(IF($C945="","Commercial",$C945))),Variables!$B$1:$D$1,0),1))*BD945/365),""))</f>
        <v>-50.189463676704925</v>
      </c>
      <c r="BJ945" s="44">
        <f t="shared" si="44"/>
        <v>-8</v>
      </c>
      <c r="BK945" s="44">
        <f>IF($AX945="Cancelled","",IFERROR(IF(BJ945="","",(W945*INDEX(Variables!$B$7:$D$7,IFERROR(MATCH(IF($B945="Robusta","Robusta",(IF($B945="","Arabica",$B945))&amp;" - "&amp;(IF($C945="","Commercial",$C945))),Variables!$B$1:$D$1,0),1))*(BJ945/365))+(W945*INDEX(Variables!$B$9:$D$9,IFERROR(MATCH(IF($B945="Robusta","Robusta",(IF($B945="","Arabica",$B945))&amp;" - "&amp;(IF($C945="","Commercial",$C945))),Variables!$B$1:$D$1,0),1))*(BJ945/365))+(INDEX(Variables!$B$8:$D$8,IFERROR(MATCH(IF($B945="Robusta","Robusta",(IF($B945="","Arabica",$B945))&amp;" - "&amp;(IF($C945="","Commercial",$C945))),Variables!$B$1:$D$1,0),1))*L945/16.67)),""))</f>
        <v>-29.762856601515487</v>
      </c>
    </row>
    <row r="946" spans="1:63">
      <c r="A946" s="13" t="s">
        <v>103</v>
      </c>
      <c r="B946" s="13" t="s">
        <v>104</v>
      </c>
      <c r="C946" s="13" t="s">
        <v>292</v>
      </c>
      <c r="D946" s="31">
        <v>46084</v>
      </c>
      <c r="E946" s="31">
        <v>46113</v>
      </c>
      <c r="F946" s="31">
        <v>46142</v>
      </c>
      <c r="G946" s="13">
        <v>3787374</v>
      </c>
      <c r="J946" s="13" t="s">
        <v>2138</v>
      </c>
      <c r="K946" s="13" t="s">
        <v>2442</v>
      </c>
      <c r="L946" s="13">
        <v>40</v>
      </c>
      <c r="M946" s="13">
        <v>0</v>
      </c>
      <c r="N946" s="13" t="s">
        <v>2443</v>
      </c>
      <c r="O946" s="13" t="s">
        <v>771</v>
      </c>
      <c r="P946" s="13">
        <v>10010</v>
      </c>
      <c r="R946" s="13" t="s">
        <v>239</v>
      </c>
      <c r="S946" s="13" t="s">
        <v>463</v>
      </c>
      <c r="T946" s="13" t="s">
        <v>458</v>
      </c>
      <c r="U946" s="13" t="s">
        <v>125</v>
      </c>
      <c r="V946" s="23">
        <v>207</v>
      </c>
      <c r="W946" s="44">
        <f>IF($AX946="Cancelled","",IFERROR(((V946+INDEX(Variables!$B$6:$D$6,IFERROR(MATCH(IF($B946="Robusta","Robusta",(IF($B946="","Arabica",$B946))&amp;" - "&amp;(IF($C946="","Commercial",$C946))),Variables!$B$1:$D$1,0),1)))*22.0462)*(L946/16.67),""))</f>
        <v>26333.76931013797</v>
      </c>
      <c r="Y946" s="13" t="str">
        <f>IF($AX946="Cancelled","",IF(X946="","",IFERROR(IF(INDEX(Variables!$B$38:$B$47,MATCH(X946,Variables!$A$38:$A$47,0))="Yes","Yes","No"),"No")))</f>
        <v/>
      </c>
      <c r="Z946" s="31"/>
      <c r="AC946" s="13" t="str">
        <f t="shared" si="43"/>
        <v/>
      </c>
      <c r="AF946" s="71">
        <v>46112</v>
      </c>
      <c r="AG946" s="31">
        <f>IF($AX946="Cancelled","",IFERROR(IF(F946="","",F946-Variables!$B$13),""))</f>
        <v>46127</v>
      </c>
      <c r="AH946" s="13" t="str">
        <f>IF($AX946="Cancelled","",IFERROR(IF(AB946="","",(AVERAGE(E946:F946)-AB946)-Variables!$B$14),""))</f>
        <v/>
      </c>
      <c r="AJ946" s="47">
        <v>46126</v>
      </c>
      <c r="AK946" s="14">
        <f>IF($AX946="Cancelled","",IFERROR(IF(AJ946="","",IF(AND(AB946="",AF946=""),"",IF(AF946&gt;AB946,AF946+Variables!$B$15+Variables!$B$16+Variables!$B$17-AJ946,AB946+Variables!$B$16+Variables!$B$17-AJ946))),""))</f>
        <v>1</v>
      </c>
      <c r="AL946" s="48" t="s">
        <v>114</v>
      </c>
      <c r="AM946" s="13" t="s">
        <v>1526</v>
      </c>
      <c r="AN946" s="13" t="s">
        <v>2141</v>
      </c>
      <c r="AP946" s="39" t="e">
        <v>#N/A</v>
      </c>
      <c r="AR946" s="13" t="s">
        <v>2437</v>
      </c>
      <c r="AS946" s="31">
        <v>46150</v>
      </c>
      <c r="AU946" s="31">
        <v>46154</v>
      </c>
      <c r="AV946" s="13" t="e">
        <v>#N/A</v>
      </c>
      <c r="AW946" s="31">
        <v>46161</v>
      </c>
      <c r="AX946" s="13" t="str">
        <f>IF(ISNUMBER(SEARCH("cancel",#REF!)),"Cancelled",IF(AND(AS946&lt;&gt;"",AU946&lt;&gt;"",AW946&lt;&gt;""),"Closed","Open"))</f>
        <v>Closed</v>
      </c>
      <c r="AY946" s="15" t="str">
        <f t="shared" si="45"/>
        <v>All dates received</v>
      </c>
      <c r="BD946" s="13">
        <f>IF($AX946="Cancelled","",IFERROR(IF(OR(AS946="",AJ946=""),"",(AJ946+Variables!$B$18-AS946)),""))</f>
        <v>-9</v>
      </c>
      <c r="BE946" s="13">
        <f>IF($AX946="Cancelled","",IFERROR(IF(OR(AW946="",AS946=""),"",(AS946+Variables!$B$19)-AW946),""))</f>
        <v>-6</v>
      </c>
      <c r="BF946" s="44">
        <f>IF($AX946="Cancelled","",IFERROR(W946*INDEX(Variables!$B$7:$D$7,IFERROR(MATCH(IF($B946="Robusta","Robusta",(IF($B946="","Arabica",$B946))&amp;" - "&amp;(IF($C946="","Commercial",$C946))),Variables!$B$1:$D$1,0),1))*(BE946/365),""))</f>
        <v>-27.913304867016635</v>
      </c>
      <c r="BG946" s="44" t="str">
        <f>IF($AX946="Cancelled","",IFERROR((W946*INDEX(Variables!$B$7:$D$7,IFERROR(MATCH(IF($B946="Robusta","Robusta",(IF($B946="","Arabica",$B946))&amp;" - "&amp;(IF($C946="","Commercial",$C946))),Variables!$B$1:$D$1,0),1))*IFERROR(IF(AB946="","",(AVERAGE(E946:F946)-AB946)-Variables!$B$14),"")/365)+(L946/16.67*INDEX(Variables!$B$8:$D$8,IFERROR(MATCH(IF($B946="Robusta","Robusta",(IF($B946="","Arabica",$B946))&amp;" - "&amp;(IF($C946="","Commercial",$C946))),Variables!$B$1:$D$1,0),1))*IFERROR(IF(AB946="","",(AVERAGE(E946:F946)-AB946)-Variables!$B$14),""))+(W946*INDEX(Variables!$B$9:$D$9,IFERROR(MATCH(IF($B946="Robusta","Robusta",(IF($B946="","Arabica",$B946))&amp;" - "&amp;(IF($C946="","Commercial",$C946))),Variables!$B$1:$D$1,0),1))*IFERROR(IF(AB946="","",(AVERAGE(E946:F946)-AB946)-Variables!$B$14),"")/365),""))</f>
        <v/>
      </c>
      <c r="BH946" s="44">
        <f>IF($AX946="Cancelled","",IFERROR((W946*INDEX(Variables!$B$7:$D$7,IFERROR(MATCH(IF($B946="Robusta","Robusta",(IF($B946="","Arabica",$B946))&amp;" - "&amp;(IF($C946="","Commercial",$C946))),Variables!$B$1:$D$1,0),1))*AK946/365)+(L946/16.67*INDEX(Variables!$B$8:$D$8,IFERROR(MATCH(IF($B946="Robusta","Robusta",(IF($B946="","Arabica",$B946))&amp;" - "&amp;(IF($C946="","Commercial",$C946))),Variables!$B$1:$D$1,0),1))*AK946)+(W946*INDEX(Variables!$B$9:$D$9,IFERROR(MATCH(IF($B946="Robusta","Robusta",(IF($B946="","Arabica",$B946))&amp;" - "&amp;(IF($C946="","Commercial",$C946))),Variables!$B$1:$D$1,0),1))*AK946/365),""))</f>
        <v>6.7121935392813601</v>
      </c>
      <c r="BI946" s="44">
        <f>IF($AX946="Cancelled","",IFERROR((W946*INDEX(Variables!$B$7:$D$7,IFERROR(MATCH(IF($B946="Robusta","Robusta",(IF($B946="","Arabica",$B946))&amp;" - "&amp;(IF($C946="","Commercial",$C946))),Variables!$B$1:$D$1,0),1))*BD946/365)+(L946/16.67*INDEX(Variables!$B$8:$D$8,IFERROR(MATCH(IF($B946="Robusta","Robusta",(IF($B946="","Arabica",$B946))&amp;" - "&amp;(IF($C946="","Commercial",$C946))),Variables!$B$1:$D$1,0),1))*BD946)+(W946*INDEX(Variables!$B$9:$D$9,IFERROR(MATCH(IF($B946="Robusta","Robusta",(IF($B946="","Arabica",$B946))&amp;" - "&amp;(IF($C946="","Commercial",$C946))),Variables!$B$1:$D$1,0),1))*BD946/365),""))</f>
        <v>-60.409741853532239</v>
      </c>
      <c r="BJ946" s="44">
        <f t="shared" si="44"/>
        <v>-8</v>
      </c>
      <c r="BK946" s="44">
        <f>IF($AX946="Cancelled","",IFERROR(IF(BJ946="","",(W946*INDEX(Variables!$B$7:$D$7,IFERROR(MATCH(IF($B946="Robusta","Robusta",(IF($B946="","Arabica",$B946))&amp;" - "&amp;(IF($C946="","Commercial",$C946))),Variables!$B$1:$D$1,0),1))*(BJ946/365))+(W946*INDEX(Variables!$B$9:$D$9,IFERROR(MATCH(IF($B946="Robusta","Robusta",(IF($B946="","Arabica",$B946))&amp;" - "&amp;(IF($C946="","Commercial",$C946))),Variables!$B$1:$D$1,0),1))*(BJ946/365))+(INDEX(Variables!$B$8:$D$8,IFERROR(MATCH(IF($B946="Robusta","Robusta",(IF($B946="","Arabica",$B946))&amp;" - "&amp;(IF($C946="","Commercial",$C946))),Variables!$B$1:$D$1,0),1))*L946/16.67)),""))</f>
        <v>-35.697548314250881</v>
      </c>
    </row>
    <row r="947" spans="1:63">
      <c r="A947" s="13" t="s">
        <v>103</v>
      </c>
      <c r="B947" s="13" t="s">
        <v>104</v>
      </c>
      <c r="C947" s="13" t="s">
        <v>292</v>
      </c>
      <c r="D947" s="31">
        <v>46084</v>
      </c>
      <c r="E947" s="31">
        <v>46113</v>
      </c>
      <c r="F947" s="31">
        <v>46142</v>
      </c>
      <c r="G947" s="13">
        <v>3787375</v>
      </c>
      <c r="J947" s="13" t="s">
        <v>2138</v>
      </c>
      <c r="K947" s="13" t="s">
        <v>2444</v>
      </c>
      <c r="L947" s="13">
        <v>30</v>
      </c>
      <c r="M947" s="13">
        <v>0</v>
      </c>
      <c r="N947" s="13" t="s">
        <v>2445</v>
      </c>
      <c r="O947" s="13" t="s">
        <v>1054</v>
      </c>
      <c r="P947" s="13">
        <v>10020</v>
      </c>
      <c r="R947" s="13" t="s">
        <v>671</v>
      </c>
      <c r="S947" s="13" t="s">
        <v>463</v>
      </c>
      <c r="T947" s="13" t="s">
        <v>458</v>
      </c>
      <c r="U947" s="13" t="s">
        <v>125</v>
      </c>
      <c r="V947" s="23">
        <v>216</v>
      </c>
      <c r="W947" s="44">
        <f>IF($AX947="Cancelled","",IFERROR(((V947+INDEX(Variables!$B$6:$D$6,IFERROR(MATCH(IF($B947="Robusta","Robusta",(IF($B947="","Arabica",$B947))&amp;" - "&amp;(IF($C947="","Commercial",$C947))),Variables!$B$1:$D$1,0),1)))*22.0462)*(L947/16.67),""))</f>
        <v>20107.404007198555</v>
      </c>
      <c r="Y947" s="13" t="str">
        <f>IF($AX947="Cancelled","",IF(X947="","",IFERROR(IF(INDEX(Variables!$B$38:$B$47,MATCH(X947,Variables!$A$38:$A$47,0))="Yes","Yes","No"),"No")))</f>
        <v/>
      </c>
      <c r="Z947" s="31"/>
      <c r="AC947" s="13" t="str">
        <f t="shared" si="43"/>
        <v/>
      </c>
      <c r="AF947" s="71">
        <v>46112</v>
      </c>
      <c r="AG947" s="31">
        <f>IF($AX947="Cancelled","",IFERROR(IF(F947="","",F947-Variables!$B$13),""))</f>
        <v>46127</v>
      </c>
      <c r="AH947" s="13" t="str">
        <f>IF($AX947="Cancelled","",IFERROR(IF(AB947="","",(AVERAGE(E947:F947)-AB947)-Variables!$B$14),""))</f>
        <v/>
      </c>
      <c r="AJ947" s="47">
        <v>46126</v>
      </c>
      <c r="AK947" s="14">
        <f>IF($AX947="Cancelled","",IFERROR(IF(AJ947="","",IF(AND(AB947="",AF947=""),"",IF(AF947&gt;AB947,AF947+Variables!$B$15+Variables!$B$16+Variables!$B$17-AJ947,AB947+Variables!$B$16+Variables!$B$17-AJ947))),""))</f>
        <v>1</v>
      </c>
      <c r="AL947" s="48" t="s">
        <v>114</v>
      </c>
      <c r="AM947" s="13" t="s">
        <v>1526</v>
      </c>
      <c r="AN947" s="13" t="s">
        <v>2141</v>
      </c>
      <c r="AP947" s="39" t="e">
        <v>#N/A</v>
      </c>
      <c r="AR947" s="13" t="s">
        <v>2437</v>
      </c>
      <c r="AS947" s="31">
        <v>46150</v>
      </c>
      <c r="AU947" s="31">
        <v>46154</v>
      </c>
      <c r="AV947" s="13" t="e">
        <v>#N/A</v>
      </c>
      <c r="AW947" s="31">
        <v>46161</v>
      </c>
      <c r="AX947" s="13" t="str">
        <f>IF(ISNUMBER(SEARCH("cancel",#REF!)),"Cancelled",IF(AND(AS947&lt;&gt;"",AU947&lt;&gt;"",AW947&lt;&gt;""),"Closed","Open"))</f>
        <v>Closed</v>
      </c>
      <c r="AY947" s="15" t="str">
        <f t="shared" si="45"/>
        <v>All dates received</v>
      </c>
      <c r="BD947" s="13">
        <f>IF($AX947="Cancelled","",IFERROR(IF(OR(AS947="",AJ947=""),"",(AJ947+Variables!$B$18-AS947)),""))</f>
        <v>-9</v>
      </c>
      <c r="BE947" s="13">
        <f>IF($AX947="Cancelled","",IFERROR(IF(OR(AW947="",AS947=""),"",(AS947+Variables!$B$19)-AW947),""))</f>
        <v>-6</v>
      </c>
      <c r="BF947" s="44">
        <f>IF($AX947="Cancelled","",IFERROR(W947*INDEX(Variables!$B$7:$D$7,IFERROR(MATCH(IF($B947="Robusta","Robusta",(IF($B947="","Arabica",$B947))&amp;" - "&amp;(IF($C947="","Commercial",$C947))),Variables!$B$1:$D$1,0),1))*(BE947/365),""))</f>
        <v>-21.313473643939375</v>
      </c>
      <c r="BG947" s="44" t="str">
        <f>IF($AX947="Cancelled","",IFERROR((W947*INDEX(Variables!$B$7:$D$7,IFERROR(MATCH(IF($B947="Robusta","Robusta",(IF($B947="","Arabica",$B947))&amp;" - "&amp;(IF($C947="","Commercial",$C947))),Variables!$B$1:$D$1,0),1))*IFERROR(IF(AB947="","",(AVERAGE(E947:F947)-AB947)-Variables!$B$14),"")/365)+(L947/16.67*INDEX(Variables!$B$8:$D$8,IFERROR(MATCH(IF($B947="Robusta","Robusta",(IF($B947="","Arabica",$B947))&amp;" - "&amp;(IF($C947="","Commercial",$C947))),Variables!$B$1:$D$1,0),1))*IFERROR(IF(AB947="","",(AVERAGE(E947:F947)-AB947)-Variables!$B$14),""))+(W947*INDEX(Variables!$B$9:$D$9,IFERROR(MATCH(IF($B947="Robusta","Robusta",(IF($B947="","Arabica",$B947))&amp;" - "&amp;(IF($C947="","Commercial",$C947))),Variables!$B$1:$D$1,0),1))*IFERROR(IF(AB947="","",(AVERAGE(E947:F947)-AB947)-Variables!$B$14),"")/365),""))</f>
        <v/>
      </c>
      <c r="BH947" s="44">
        <f>IF($AX947="Cancelled","",IFERROR((W947*INDEX(Variables!$B$7:$D$7,IFERROR(MATCH(IF($B947="Robusta","Robusta",(IF($B947="","Arabica",$B947))&amp;" - "&amp;(IF($C947="","Commercial",$C947))),Variables!$B$1:$D$1,0),1))*AK947/365)+(L947/16.67*INDEX(Variables!$B$8:$D$8,IFERROR(MATCH(IF($B947="Robusta","Robusta",(IF($B947="","Arabica",$B947))&amp;" - "&amp;(IF($C947="","Commercial",$C947))),Variables!$B$1:$D$1,0),1))*AK947)+(W947*INDEX(Variables!$B$9:$D$9,IFERROR(MATCH(IF($B947="Robusta","Robusta",(IF($B947="","Arabica",$B947))&amp;" - "&amp;(IF($C947="","Commercial",$C947))),Variables!$B$1:$D$1,0),1))*AK947/365),""))</f>
        <v>5.0980409085593505</v>
      </c>
      <c r="BI947" s="44">
        <f>IF($AX947="Cancelled","",IFERROR((W947*INDEX(Variables!$B$7:$D$7,IFERROR(MATCH(IF($B947="Robusta","Robusta",(IF($B947="","Arabica",$B947))&amp;" - "&amp;(IF($C947="","Commercial",$C947))),Variables!$B$1:$D$1,0),1))*BD947/365)+(L947/16.67*INDEX(Variables!$B$8:$D$8,IFERROR(MATCH(IF($B947="Robusta","Robusta",(IF($B947="","Arabica",$B947))&amp;" - "&amp;(IF($C947="","Commercial",$C947))),Variables!$B$1:$D$1,0),1))*BD947)+(W947*INDEX(Variables!$B$9:$D$9,IFERROR(MATCH(IF($B947="Robusta","Robusta",(IF($B947="","Arabica",$B947))&amp;" - "&amp;(IF($C947="","Commercial",$C947))),Variables!$B$1:$D$1,0),1))*BD947/365),""))</f>
        <v>-45.882368177034152</v>
      </c>
      <c r="BJ947" s="44">
        <f t="shared" si="44"/>
        <v>-8</v>
      </c>
      <c r="BK947" s="44">
        <f>IF($AX947="Cancelled","",IFERROR(IF(BJ947="","",(W947*INDEX(Variables!$B$7:$D$7,IFERROR(MATCH(IF($B947="Robusta","Robusta",(IF($B947="","Arabica",$B947))&amp;" - "&amp;(IF($C947="","Commercial",$C947))),Variables!$B$1:$D$1,0),1))*(BJ947/365))+(W947*INDEX(Variables!$B$9:$D$9,IFERROR(MATCH(IF($B947="Robusta","Robusta",(IF($B947="","Arabica",$B947))&amp;" - "&amp;(IF($C947="","Commercial",$C947))),Variables!$B$1:$D$1,0),1))*(BJ947/365))+(INDEX(Variables!$B$8:$D$8,IFERROR(MATCH(IF($B947="Robusta","Robusta",(IF($B947="","Arabica",$B947))&amp;" - "&amp;(IF($C947="","Commercial",$C947))),Variables!$B$1:$D$1,0),1))*L947/16.67)),""))</f>
        <v>-27.284327268474804</v>
      </c>
    </row>
    <row r="948" spans="1:63">
      <c r="A948" s="13" t="s">
        <v>103</v>
      </c>
      <c r="B948" s="13" t="s">
        <v>104</v>
      </c>
      <c r="C948" s="13" t="s">
        <v>292</v>
      </c>
      <c r="D948" s="31">
        <v>46084</v>
      </c>
      <c r="E948" s="31">
        <v>46113</v>
      </c>
      <c r="F948" s="31">
        <v>46142</v>
      </c>
      <c r="G948" s="13">
        <v>3787376</v>
      </c>
      <c r="J948" s="13" t="s">
        <v>2138</v>
      </c>
      <c r="K948" s="13" t="s">
        <v>2446</v>
      </c>
      <c r="L948" s="13">
        <v>40</v>
      </c>
      <c r="M948" s="13">
        <v>0</v>
      </c>
      <c r="N948" s="13" t="s">
        <v>2447</v>
      </c>
      <c r="O948" s="13" t="s">
        <v>1960</v>
      </c>
      <c r="P948" s="13">
        <v>10040</v>
      </c>
      <c r="R948" s="13" t="s">
        <v>239</v>
      </c>
      <c r="S948" s="13" t="s">
        <v>463</v>
      </c>
      <c r="T948" s="13" t="s">
        <v>458</v>
      </c>
      <c r="U948" s="13" t="s">
        <v>125</v>
      </c>
      <c r="V948" s="23">
        <v>62</v>
      </c>
      <c r="W948" s="44">
        <f>IF($AX948="Cancelled","",IFERROR(((V948+INDEX(Variables!$B$6:$D$6,IFERROR(MATCH(IF($B948="Robusta","Robusta",(IF($B948="","Arabica",$B948))&amp;" - "&amp;(IF($C948="","Commercial",$C948))),Variables!$B$1:$D$1,0),1)))*22.0462)*(L948/16.67),""))</f>
        <v>18663.225818836228</v>
      </c>
      <c r="Y948" s="13" t="str">
        <f>IF($AX948="Cancelled","",IF(X948="","",IFERROR(IF(INDEX(Variables!$B$38:$B$47,MATCH(X948,Variables!$A$38:$A$47,0))="Yes","Yes","No"),"No")))</f>
        <v/>
      </c>
      <c r="Z948" s="31"/>
      <c r="AC948" s="13" t="str">
        <f t="shared" si="43"/>
        <v/>
      </c>
      <c r="AF948" s="71">
        <v>46120</v>
      </c>
      <c r="AG948" s="31">
        <f>IF($AX948="Cancelled","",IFERROR(IF(F948="","",F948-Variables!$B$13),""))</f>
        <v>46127</v>
      </c>
      <c r="AH948" s="13" t="str">
        <f>IF($AX948="Cancelled","",IFERROR(IF(AB948="","",(AVERAGE(E948:F948)-AB948)-Variables!$B$14),""))</f>
        <v/>
      </c>
      <c r="AJ948" s="47">
        <v>46126</v>
      </c>
      <c r="AK948" s="14">
        <f>IF($AX948="Cancelled","",IFERROR(IF(AJ948="","",IF(AND(AB948="",AF948=""),"",IF(AF948&gt;AB948,AF948+Variables!$B$15+Variables!$B$16+Variables!$B$17-AJ948,AB948+Variables!$B$16+Variables!$B$17-AJ948))),""))</f>
        <v>9</v>
      </c>
      <c r="AL948" s="48" t="s">
        <v>114</v>
      </c>
      <c r="AM948" s="13" t="s">
        <v>1526</v>
      </c>
      <c r="AN948" s="13" t="s">
        <v>2141</v>
      </c>
      <c r="AP948" s="39" t="e">
        <v>#N/A</v>
      </c>
      <c r="AR948" s="13" t="s">
        <v>2437</v>
      </c>
      <c r="AS948" s="31">
        <v>46150</v>
      </c>
      <c r="AU948" s="31">
        <v>46154</v>
      </c>
      <c r="AV948" s="13" t="e">
        <v>#N/A</v>
      </c>
      <c r="AW948" s="31">
        <v>46161</v>
      </c>
      <c r="AX948" s="13" t="str">
        <f>IF(ISNUMBER(SEARCH("cancel",#REF!)),"Cancelled",IF(AND(AS948&lt;&gt;"",AU948&lt;&gt;"",AW948&lt;&gt;""),"Closed","Open"))</f>
        <v>Closed</v>
      </c>
      <c r="AY948" s="15" t="str">
        <f t="shared" si="45"/>
        <v>All dates received</v>
      </c>
      <c r="BD948" s="13">
        <f>IF($AX948="Cancelled","",IFERROR(IF(OR(AS948="",AJ948=""),"",(AJ948+Variables!$B$18-AS948)),""))</f>
        <v>-9</v>
      </c>
      <c r="BE948" s="13">
        <f>IF($AX948="Cancelled","",IFERROR(IF(OR(AW948="",AS948=""),"",(AS948+Variables!$B$19)-AW948),""))</f>
        <v>-6</v>
      </c>
      <c r="BF948" s="44">
        <f>IF($AX948="Cancelled","",IFERROR(W948*INDEX(Variables!$B$7:$D$7,IFERROR(MATCH(IF($B948="Robusta","Robusta",(IF($B948="","Arabica",$B948))&amp;" - "&amp;(IF($C948="","Commercial",$C948))),Variables!$B$1:$D$1,0),1))*(BE948/365),""))</f>
        <v>-19.782671669512791</v>
      </c>
      <c r="BG948" s="44" t="str">
        <f>IF($AX948="Cancelled","",IFERROR((W948*INDEX(Variables!$B$7:$D$7,IFERROR(MATCH(IF($B948="Robusta","Robusta",(IF($B948="","Arabica",$B948))&amp;" - "&amp;(IF($C948="","Commercial",$C948))),Variables!$B$1:$D$1,0),1))*IFERROR(IF(AB948="","",(AVERAGE(E948:F948)-AB948)-Variables!$B$14),"")/365)+(L948/16.67*INDEX(Variables!$B$8:$D$8,IFERROR(MATCH(IF($B948="Robusta","Robusta",(IF($B948="","Arabica",$B948))&amp;" - "&amp;(IF($C948="","Commercial",$C948))),Variables!$B$1:$D$1,0),1))*IFERROR(IF(AB948="","",(AVERAGE(E948:F948)-AB948)-Variables!$B$14),""))+(W948*INDEX(Variables!$B$9:$D$9,IFERROR(MATCH(IF($B948="Robusta","Robusta",(IF($B948="","Arabica",$B948))&amp;" - "&amp;(IF($C948="","Commercial",$C948))),Variables!$B$1:$D$1,0),1))*IFERROR(IF(AB948="","",(AVERAGE(E948:F948)-AB948)-Variables!$B$14),"")/365),""))</f>
        <v/>
      </c>
      <c r="BH948" s="44">
        <f>IF($AX948="Cancelled","",IFERROR((W948*INDEX(Variables!$B$7:$D$7,IFERROR(MATCH(IF($B948="Robusta","Robusta",(IF($B948="","Arabica",$B948))&amp;" - "&amp;(IF($C948="","Commercial",$C948))),Variables!$B$1:$D$1,0),1))*AK948/365)+(L948/16.67*INDEX(Variables!$B$8:$D$8,IFERROR(MATCH(IF($B948="Robusta","Robusta",(IF($B948="","Arabica",$B948))&amp;" - "&amp;(IF($C948="","Commercial",$C948))),Variables!$B$1:$D$1,0),1))*AK948)+(W948*INDEX(Variables!$B$9:$D$9,IFERROR(MATCH(IF($B948="Robusta","Robusta",(IF($B948="","Arabica",$B948))&amp;" - "&amp;(IF($C948="","Commercial",$C948))),Variables!$B$1:$D$1,0),1))*AK948/365),""))</f>
        <v>48.056562727854903</v>
      </c>
      <c r="BI948" s="44">
        <f>IF($AX948="Cancelled","",IFERROR((W948*INDEX(Variables!$B$7:$D$7,IFERROR(MATCH(IF($B948="Robusta","Robusta",(IF($B948="","Arabica",$B948))&amp;" - "&amp;(IF($C948="","Commercial",$C948))),Variables!$B$1:$D$1,0),1))*BD948/365)+(L948/16.67*INDEX(Variables!$B$8:$D$8,IFERROR(MATCH(IF($B948="Robusta","Robusta",(IF($B948="","Arabica",$B948))&amp;" - "&amp;(IF($C948="","Commercial",$C948))),Variables!$B$1:$D$1,0),1))*BD948)+(W948*INDEX(Variables!$B$9:$D$9,IFERROR(MATCH(IF($B948="Robusta","Robusta",(IF($B948="","Arabica",$B948))&amp;" - "&amp;(IF($C948="","Commercial",$C948))),Variables!$B$1:$D$1,0),1))*BD948/365),""))</f>
        <v>-48.056562727854903</v>
      </c>
      <c r="BJ948" s="44">
        <f t="shared" si="44"/>
        <v>-8</v>
      </c>
      <c r="BK948" s="44">
        <f>IF($AX948="Cancelled","",IFERROR(IF(BJ948="","",(W948*INDEX(Variables!$B$7:$D$7,IFERROR(MATCH(IF($B948="Robusta","Robusta",(IF($B948="","Arabica",$B948))&amp;" - "&amp;(IF($C948="","Commercial",$C948))),Variables!$B$1:$D$1,0),1))*(BJ948/365))+(W948*INDEX(Variables!$B$9:$D$9,IFERROR(MATCH(IF($B948="Robusta","Robusta",(IF($B948="","Arabica",$B948))&amp;" - "&amp;(IF($C948="","Commercial",$C948))),Variables!$B$1:$D$1,0),1))*(BJ948/365))+(INDEX(Variables!$B$8:$D$8,IFERROR(MATCH(IF($B948="Robusta","Robusta",(IF($B948="","Arabica",$B948))&amp;" - "&amp;(IF($C948="","Commercial",$C948))),Variables!$B$1:$D$1,0),1))*L948/16.67)),""))</f>
        <v>-24.716944646982139</v>
      </c>
    </row>
    <row r="949" spans="1:63">
      <c r="A949" s="13" t="s">
        <v>103</v>
      </c>
      <c r="B949" s="13" t="s">
        <v>104</v>
      </c>
      <c r="C949" s="13" t="s">
        <v>105</v>
      </c>
      <c r="D949" s="31">
        <v>46084</v>
      </c>
      <c r="E949" s="31">
        <v>46113</v>
      </c>
      <c r="F949" s="31">
        <v>46142</v>
      </c>
      <c r="G949" s="13">
        <v>3787377</v>
      </c>
      <c r="J949" s="13" t="s">
        <v>2138</v>
      </c>
      <c r="K949" s="13" t="s">
        <v>2448</v>
      </c>
      <c r="L949" s="13">
        <v>100</v>
      </c>
      <c r="M949" s="13">
        <v>0</v>
      </c>
      <c r="N949" s="13" t="s">
        <v>2449</v>
      </c>
      <c r="O949" s="13" t="s">
        <v>261</v>
      </c>
      <c r="P949" s="13">
        <v>10060</v>
      </c>
      <c r="R949" s="13" t="s">
        <v>239</v>
      </c>
      <c r="S949" s="13" t="s">
        <v>463</v>
      </c>
      <c r="T949" s="13" t="s">
        <v>458</v>
      </c>
      <c r="U949" s="13" t="s">
        <v>125</v>
      </c>
      <c r="V949" s="23">
        <v>43</v>
      </c>
      <c r="W949" s="44">
        <f>IF($AX949="Cancelled","",IFERROR(((V949+INDEX(Variables!$B$6:$D$6,IFERROR(MATCH(IF($B949="Robusta","Robusta",(IF($B949="","Arabica",$B949))&amp;" - "&amp;(IF($C949="","Commercial",$C949))),Variables!$B$1:$D$1,0),1)))*22.0462)*(L949/16.67),""))</f>
        <v>44145.300299940005</v>
      </c>
      <c r="X949" s="55" t="s">
        <v>37</v>
      </c>
      <c r="Y949" s="13" t="str">
        <f>IF($AX949="Cancelled","",IF(X949="","",IFERROR(IF(INDEX(Variables!$B$38:$B$47,MATCH(X949,Variables!$A$38:$A$47,0))="Yes","Yes","No"),"No")))</f>
        <v>Yes</v>
      </c>
      <c r="Z949" s="58">
        <v>46094</v>
      </c>
      <c r="AB949" s="31">
        <v>46105</v>
      </c>
      <c r="AC949" s="13" t="str">
        <f t="shared" si="43"/>
        <v>Approved</v>
      </c>
      <c r="AF949" s="71">
        <v>46122</v>
      </c>
      <c r="AG949" s="37">
        <f>IF($AX949="Cancelled","",IFERROR(IF(F949="","",F949-Variables!$B$13),""))</f>
        <v>46127</v>
      </c>
      <c r="AH949" s="13">
        <f>IF($AX949="Cancelled","",IFERROR(IF(AB949="","",(AVERAGE(E949:F949)-AB949)-Variables!$B$14),""))</f>
        <v>-7.5</v>
      </c>
      <c r="AJ949" s="47">
        <v>46126</v>
      </c>
      <c r="AK949" s="14">
        <f>IF($AX949="Cancelled","",IFERROR(IF(AJ949="","",IF(AND(AB949="",AF949=""),"",IF(AF949&gt;AB949,AF949+Variables!$B$15+Variables!$B$16+Variables!$B$17-AJ949,AB949+Variables!$B$16+Variables!$B$17-AJ949))),""))</f>
        <v>11</v>
      </c>
      <c r="AL949" s="48" t="s">
        <v>114</v>
      </c>
      <c r="AM949" s="13" t="s">
        <v>1526</v>
      </c>
      <c r="AN949" s="13" t="s">
        <v>2141</v>
      </c>
      <c r="AP949" s="39">
        <v>46150</v>
      </c>
      <c r="AR949" s="13" t="s">
        <v>2437</v>
      </c>
      <c r="AS949" s="31">
        <v>46150</v>
      </c>
      <c r="AU949" s="31">
        <v>46154</v>
      </c>
      <c r="AV949" s="13" t="e">
        <v>#REF!</v>
      </c>
      <c r="AW949" s="31">
        <v>46161</v>
      </c>
      <c r="AX949" s="13" t="str">
        <f>IF(ISNUMBER(SEARCH("cancel",#REF!)),"Cancelled",IF(AND(AS949&lt;&gt;"",AU949&lt;&gt;"",AW949&lt;&gt;""),"Closed","Open"))</f>
        <v>Closed</v>
      </c>
      <c r="AY949" s="15" t="str">
        <f t="shared" si="45"/>
        <v>All dates received</v>
      </c>
      <c r="BD949" s="13">
        <f>IF($AX949="Cancelled","",IFERROR(IF(OR(AS949="",AJ949=""),"",(AJ949+Variables!$B$18-AS949)),""))</f>
        <v>-9</v>
      </c>
      <c r="BE949" s="13">
        <f>IF($AX949="Cancelled","",IFERROR(IF(OR(AW949="",AS949=""),"",(AS949+Variables!$B$19)-AW949),""))</f>
        <v>-6</v>
      </c>
      <c r="BF949" s="44">
        <f>IF($AX949="Cancelled","",IFERROR(W949*INDEX(Variables!$B$7:$D$7,IFERROR(MATCH(IF($B949="Robusta","Robusta",(IF($B949="","Arabica",$B949))&amp;" - "&amp;(IF($C949="","Commercial",$C949))),Variables!$B$1:$D$1,0),1))*(BE949/365),""))</f>
        <v>-46.79319588494451</v>
      </c>
      <c r="BG949" s="44">
        <f>IF($AX949="Cancelled","",IFERROR((W949*INDEX(Variables!$B$7:$D$7,IFERROR(MATCH(IF($B949="Robusta","Robusta",(IF($B949="","Arabica",$B949))&amp;" - "&amp;(IF($C949="","Commercial",$C949))),Variables!$B$1:$D$1,0),1))*IFERROR(IF(AB949="","",(AVERAGE(E949:F949)-AB949)-Variables!$B$14),"")/365)+(L949/16.67*INDEX(Variables!$B$8:$D$8,IFERROR(MATCH(IF($B949="Robusta","Robusta",(IF($B949="","Arabica",$B949))&amp;" - "&amp;(IF($C949="","Commercial",$C949))),Variables!$B$1:$D$1,0),1))*IFERROR(IF(AB949="","",(AVERAGE(E949:F949)-AB949)-Variables!$B$14),""))+(W949*INDEX(Variables!$B$9:$D$9,IFERROR(MATCH(IF($B949="Robusta","Robusta",(IF($B949="","Arabica",$B949))&amp;" - "&amp;(IF($C949="","Commercial",$C949))),Variables!$B$1:$D$1,0),1))*IFERROR(IF(AB949="","",(AVERAGE(E949:F949)-AB949)-Variables!$B$14),"")/365),""))</f>
        <v>-96.745563105619141</v>
      </c>
      <c r="BH949" s="44">
        <f>IF($AX949="Cancelled","",IFERROR((W949*INDEX(Variables!$B$7:$D$7,IFERROR(MATCH(IF($B949="Robusta","Robusta",(IF($B949="","Arabica",$B949))&amp;" - "&amp;(IF($C949="","Commercial",$C949))),Variables!$B$1:$D$1,0),1))*AK949/365)+(L949/16.67*INDEX(Variables!$B$8:$D$8,IFERROR(MATCH(IF($B949="Robusta","Robusta",(IF($B949="","Arabica",$B949))&amp;" - "&amp;(IF($C949="","Commercial",$C949))),Variables!$B$1:$D$1,0),1))*AK949)+(W949*INDEX(Variables!$B$9:$D$9,IFERROR(MATCH(IF($B949="Robusta","Robusta",(IF($B949="","Arabica",$B949))&amp;" - "&amp;(IF($C949="","Commercial",$C949))),Variables!$B$1:$D$1,0),1))*AK949/365),""))</f>
        <v>141.89349255490808</v>
      </c>
      <c r="BI949" s="44">
        <f>IF($AX949="Cancelled","",IFERROR((W949*INDEX(Variables!$B$7:$D$7,IFERROR(MATCH(IF($B949="Robusta","Robusta",(IF($B949="","Arabica",$B949))&amp;" - "&amp;(IF($C949="","Commercial",$C949))),Variables!$B$1:$D$1,0),1))*BD949/365)+(L949/16.67*INDEX(Variables!$B$8:$D$8,IFERROR(MATCH(IF($B949="Robusta","Robusta",(IF($B949="","Arabica",$B949))&amp;" - "&amp;(IF($C949="","Commercial",$C949))),Variables!$B$1:$D$1,0),1))*BD949)+(W949*INDEX(Variables!$B$9:$D$9,IFERROR(MATCH(IF($B949="Robusta","Robusta",(IF($B949="","Arabica",$B949))&amp;" - "&amp;(IF($C949="","Commercial",$C949))),Variables!$B$1:$D$1,0),1))*BD949/365),""))</f>
        <v>-116.09467572674298</v>
      </c>
      <c r="BJ949" s="44">
        <f t="shared" si="44"/>
        <v>-8</v>
      </c>
      <c r="BK949" s="44">
        <f>IF($AX949="Cancelled","",IFERROR(IF(BJ949="","",(W949*INDEX(Variables!$B$7:$D$7,IFERROR(MATCH(IF($B949="Robusta","Robusta",(IF($B949="","Arabica",$B949))&amp;" - "&amp;(IF($C949="","Commercial",$C949))),Variables!$B$1:$D$1,0),1))*(BJ949/365))+(W949*INDEX(Variables!$B$9:$D$9,IFERROR(MATCH(IF($B949="Robusta","Robusta",(IF($B949="","Arabica",$B949))&amp;" - "&amp;(IF($C949="","Commercial",$C949))),Variables!$B$1:$D$1,0),1))*(BJ949/365))+(INDEX(Variables!$B$8:$D$8,IFERROR(MATCH(IF($B949="Robusta","Robusta",(IF($B949="","Arabica",$B949))&amp;" - "&amp;(IF($C949="","Commercial",$C949))),Variables!$B$1:$D$1,0),1))*L949/16.67)),""))</f>
        <v>-58.19526731266042</v>
      </c>
    </row>
    <row r="950" spans="1:63">
      <c r="A950" s="13" t="s">
        <v>103</v>
      </c>
      <c r="B950" s="13" t="s">
        <v>104</v>
      </c>
      <c r="C950" s="13" t="s">
        <v>292</v>
      </c>
      <c r="D950" s="31">
        <v>46084</v>
      </c>
      <c r="E950" s="31">
        <v>46082</v>
      </c>
      <c r="F950" s="31">
        <v>46112</v>
      </c>
      <c r="G950" s="13">
        <v>3787378</v>
      </c>
      <c r="J950" s="13" t="s">
        <v>294</v>
      </c>
      <c r="K950" s="13" t="s">
        <v>2450</v>
      </c>
      <c r="L950" s="13">
        <v>40</v>
      </c>
      <c r="M950" s="13">
        <v>0</v>
      </c>
      <c r="N950" s="13" t="s">
        <v>2451</v>
      </c>
      <c r="O950" s="13" t="s">
        <v>1054</v>
      </c>
      <c r="P950" s="13">
        <v>10020</v>
      </c>
      <c r="R950" s="13" t="s">
        <v>671</v>
      </c>
      <c r="S950" s="13" t="s">
        <v>299</v>
      </c>
      <c r="T950" s="13" t="s">
        <v>305</v>
      </c>
      <c r="U950" s="13" t="s">
        <v>125</v>
      </c>
      <c r="V950" s="13">
        <v>181</v>
      </c>
      <c r="W950" s="44">
        <f>IF($AX950="Cancelled","",IFERROR(((V950+INDEX(Variables!$B$6:$D$6,IFERROR(MATCH(IF($B950="Robusta","Robusta",(IF($B950="","Arabica",$B950))&amp;" - "&amp;(IF($C950="","Commercial",$C950))),Variables!$B$1:$D$1,0),1)))*22.0462)*(L950/16.67),""))</f>
        <v>24958.361511697658</v>
      </c>
      <c r="X950" s="55" t="s">
        <v>39</v>
      </c>
      <c r="Y950" s="13" t="str">
        <f>IF($AX950="Cancelled","",IF(X950="","",IFERROR(IF(INDEX(Variables!$B$38:$B$47,MATCH(X950,Variables!$A$38:$A$47,0))="Yes","Yes","No"),"No")))</f>
        <v>No</v>
      </c>
      <c r="Z950" s="31"/>
      <c r="AC950" s="13" t="str">
        <f t="shared" si="43"/>
        <v/>
      </c>
      <c r="AF950" s="71">
        <v>46119</v>
      </c>
      <c r="AG950" s="37">
        <f>IF($AX950="Cancelled","",IFERROR(IF(F950="","",F950-Variables!$B$13),""))</f>
        <v>46097</v>
      </c>
      <c r="AH950" s="13" t="str">
        <f>IF($AX950="Cancelled","",IFERROR(IF(AB950="","",(AVERAGE(E950:F950)-AB950)-Variables!$B$14),""))</f>
        <v/>
      </c>
      <c r="AK950" s="14" t="str">
        <f>IF($AX950="Cancelled","",IFERROR(IF(AJ950="","",IF(AND(AB950="",AF950=""),"",IF(AF950&gt;AB950,AF950+Variables!$B$15+Variables!$B$16+Variables!$B$17-AJ950,AB950+Variables!$B$16+Variables!$B$17-AJ950))),""))</f>
        <v/>
      </c>
      <c r="AL950" s="48" t="s">
        <v>114</v>
      </c>
      <c r="AM950" s="13" t="s">
        <v>1526</v>
      </c>
      <c r="AN950" s="13" t="s">
        <v>2423</v>
      </c>
      <c r="AP950" s="39" t="e">
        <v>#N/A</v>
      </c>
      <c r="AR950" s="13" t="s">
        <v>2424</v>
      </c>
      <c r="AS950" s="31">
        <v>46150</v>
      </c>
      <c r="AU950" s="31">
        <v>46191</v>
      </c>
      <c r="AV950" s="13" t="s">
        <v>865</v>
      </c>
      <c r="AW950" s="31">
        <v>46191</v>
      </c>
      <c r="AX950" s="13" t="str">
        <f>IF(ISNUMBER(SEARCH("cancel",#REF!)),"Cancelled",IF(AND(AS950&lt;&gt;"",AU950&lt;&gt;"",AW950&lt;&gt;""),"Closed","Open"))</f>
        <v>Closed</v>
      </c>
      <c r="AY950" s="15" t="str">
        <f t="shared" si="45"/>
        <v>All dates received</v>
      </c>
      <c r="BD950" s="13" t="str">
        <f>IF($AX950="Cancelled","",IFERROR(IF(OR(AS950="",AJ950=""),"",(AJ950+Variables!$B$18-AS950)),""))</f>
        <v/>
      </c>
      <c r="BE950" s="13">
        <f>IF($AX950="Cancelled","",IFERROR(IF(OR(AW950="",AS950=""),"",(AS950+Variables!$B$19)-AW950),""))</f>
        <v>-36</v>
      </c>
      <c r="BF950" s="44">
        <f>IF($AX950="Cancelled","",IFERROR(W950*INDEX(Variables!$B$7:$D$7,IFERROR(MATCH(IF($B950="Robusta","Robusta",(IF($B950="","Arabica",$B950))&amp;" - "&amp;(IF($C950="","Commercial",$C950))),Variables!$B$1:$D$1,0),1))*(BE950/365),""))</f>
        <v>-158.73238934823362</v>
      </c>
      <c r="BG950" s="44" t="str">
        <f>IF($AX950="Cancelled","",IFERROR((W950*INDEX(Variables!$B$7:$D$7,IFERROR(MATCH(IF($B950="Robusta","Robusta",(IF($B950="","Arabica",$B950))&amp;" - "&amp;(IF($C950="","Commercial",$C950))),Variables!$B$1:$D$1,0),1))*IFERROR(IF(AB950="","",(AVERAGE(E950:F950)-AB950)-Variables!$B$14),"")/365)+(L950/16.67*INDEX(Variables!$B$8:$D$8,IFERROR(MATCH(IF($B950="Robusta","Robusta",(IF($B950="","Arabica",$B950))&amp;" - "&amp;(IF($C950="","Commercial",$C950))),Variables!$B$1:$D$1,0),1))*IFERROR(IF(AB950="","",(AVERAGE(E950:F950)-AB950)-Variables!$B$14),""))+(W950*INDEX(Variables!$B$9:$D$9,IFERROR(MATCH(IF($B950="Robusta","Robusta",(IF($B950="","Arabica",$B950))&amp;" - "&amp;(IF($C950="","Commercial",$C950))),Variables!$B$1:$D$1,0),1))*IFERROR(IF(AB950="","",(AVERAGE(E950:F950)-AB950)-Variables!$B$14),"")/365),""))</f>
        <v/>
      </c>
      <c r="BH950" s="44" t="str">
        <f>IF($AX950="Cancelled","",IFERROR((W950*INDEX(Variables!$B$7:$D$7,IFERROR(MATCH(IF($B950="Robusta","Robusta",(IF($B950="","Arabica",$B950))&amp;" - "&amp;(IF($C950="","Commercial",$C950))),Variables!$B$1:$D$1,0),1))*AK950/365)+(L950/16.67*INDEX(Variables!$B$8:$D$8,IFERROR(MATCH(IF($B950="Robusta","Robusta",(IF($B950="","Arabica",$B950))&amp;" - "&amp;(IF($C950="","Commercial",$C950))),Variables!$B$1:$D$1,0),1))*AK950)+(W950*INDEX(Variables!$B$9:$D$9,IFERROR(MATCH(IF($B950="Robusta","Robusta",(IF($B950="","Arabica",$B950))&amp;" - "&amp;(IF($C950="","Commercial",$C950))),Variables!$B$1:$D$1,0),1))*AK950/365),""))</f>
        <v/>
      </c>
      <c r="BI950" s="44" t="str">
        <f>IF($AX950="Cancelled","",IFERROR((W950*INDEX(Variables!$B$7:$D$7,IFERROR(MATCH(IF($B950="Robusta","Robusta",(IF($B950="","Arabica",$B950))&amp;" - "&amp;(IF($C950="","Commercial",$C950))),Variables!$B$1:$D$1,0),1))*BD950/365)+(L950/16.67*INDEX(Variables!$B$8:$D$8,IFERROR(MATCH(IF($B950="Robusta","Robusta",(IF($B950="","Arabica",$B950))&amp;" - "&amp;(IF($C950="","Commercial",$C950))),Variables!$B$1:$D$1,0),1))*BD950)+(W950*INDEX(Variables!$B$9:$D$9,IFERROR(MATCH(IF($B950="Robusta","Robusta",(IF($B950="","Arabica",$B950))&amp;" - "&amp;(IF($C950="","Commercial",$C950))),Variables!$B$1:$D$1,0),1))*BD950/365),""))</f>
        <v/>
      </c>
      <c r="BJ950" s="44">
        <f t="shared" si="44"/>
        <v>-38</v>
      </c>
      <c r="BK950" s="44">
        <f>IF($AX950="Cancelled","",IFERROR(IF(BJ950="","",(W950*INDEX(Variables!$B$7:$D$7,IFERROR(MATCH(IF($B950="Robusta","Robusta",(IF($B950="","Arabica",$B950))&amp;" - "&amp;(IF($C950="","Commercial",$C950))),Variables!$B$1:$D$1,0),1))*(BJ950/365))+(W950*INDEX(Variables!$B$9:$D$9,IFERROR(MATCH(IF($B950="Robusta","Robusta",(IF($B950="","Arabica",$B950))&amp;" - "&amp;(IF($C950="","Commercial",$C950))),Variables!$B$1:$D$1,0),1))*(BJ950/365))+(INDEX(Variables!$B$8:$D$8,IFERROR(MATCH(IF($B950="Robusta","Robusta",(IF($B950="","Arabica",$B950))&amp;" - "&amp;(IF($C950="","Commercial",$C950))),Variables!$B$1:$D$1,0),1))*L950/16.67)),""))</f>
        <v>-167.71090930022487</v>
      </c>
    </row>
    <row r="951" spans="1:63">
      <c r="A951" s="13" t="s">
        <v>103</v>
      </c>
      <c r="B951" s="13" t="s">
        <v>104</v>
      </c>
      <c r="C951" s="13" t="s">
        <v>292</v>
      </c>
      <c r="D951" s="31">
        <v>46084</v>
      </c>
      <c r="E951" s="31">
        <v>46082</v>
      </c>
      <c r="F951" s="31">
        <v>46112</v>
      </c>
      <c r="G951" s="13">
        <v>3787379</v>
      </c>
      <c r="J951" s="13" t="s">
        <v>294</v>
      </c>
      <c r="K951" s="13" t="s">
        <v>2452</v>
      </c>
      <c r="L951" s="13">
        <v>27</v>
      </c>
      <c r="M951" s="13">
        <v>0</v>
      </c>
      <c r="N951" s="13" t="s">
        <v>2453</v>
      </c>
      <c r="O951" s="13" t="s">
        <v>1054</v>
      </c>
      <c r="P951" s="13">
        <v>10020</v>
      </c>
      <c r="R951" s="13" t="s">
        <v>671</v>
      </c>
      <c r="S951" s="13" t="s">
        <v>299</v>
      </c>
      <c r="T951" s="13" t="s">
        <v>305</v>
      </c>
      <c r="U951" s="13" t="s">
        <v>125</v>
      </c>
      <c r="V951" s="13">
        <v>189</v>
      </c>
      <c r="W951" s="44">
        <f>IF($AX951="Cancelled","",IFERROR(((V951+INDEX(Variables!$B$6:$D$6,IFERROR(MATCH(IF($B951="Robusta","Robusta",(IF($B951="","Arabica",$B951))&amp;" - "&amp;(IF($C951="","Commercial",$C951))),Variables!$B$1:$D$1,0),1)))*22.0462)*(L951/16.67),""))</f>
        <v>17132.555640071987</v>
      </c>
      <c r="X951" s="55" t="s">
        <v>39</v>
      </c>
      <c r="Y951" s="13" t="str">
        <f>IF($AX951="Cancelled","",IF(X951="","",IFERROR(IF(INDEX(Variables!$B$38:$B$47,MATCH(X951,Variables!$A$38:$A$47,0))="Yes","Yes","No"),"No")))</f>
        <v>No</v>
      </c>
      <c r="Z951" s="31"/>
      <c r="AC951" s="13" t="str">
        <f t="shared" si="43"/>
        <v/>
      </c>
      <c r="AF951" s="71">
        <v>46119</v>
      </c>
      <c r="AG951" s="37">
        <f>IF($AX951="Cancelled","",IFERROR(IF(F951="","",F951-Variables!$B$13),""))</f>
        <v>46097</v>
      </c>
      <c r="AH951" s="13" t="str">
        <f>IF($AX951="Cancelled","",IFERROR(IF(AB951="","",(AVERAGE(E951:F951)-AB951)-Variables!$B$14),""))</f>
        <v/>
      </c>
      <c r="AK951" s="14" t="str">
        <f>IF($AX951="Cancelled","",IFERROR(IF(AJ951="","",IF(AND(AB951="",AF951=""),"",IF(AF951&gt;AB951,AF951+Variables!$B$15+Variables!$B$16+Variables!$B$17-AJ951,AB951+Variables!$B$16+Variables!$B$17-AJ951))),""))</f>
        <v/>
      </c>
      <c r="AL951" s="48" t="s">
        <v>114</v>
      </c>
      <c r="AM951" s="13" t="s">
        <v>1526</v>
      </c>
      <c r="AN951" s="13" t="s">
        <v>2423</v>
      </c>
      <c r="AP951" s="39" t="e">
        <v>#N/A</v>
      </c>
      <c r="AR951" s="13" t="s">
        <v>2424</v>
      </c>
      <c r="AS951" s="31">
        <v>46150</v>
      </c>
      <c r="AU951" s="31">
        <v>46191</v>
      </c>
      <c r="AV951" s="13" t="s">
        <v>865</v>
      </c>
      <c r="AW951" s="31">
        <v>46191</v>
      </c>
      <c r="AX951" s="13" t="str">
        <f>IF(ISNUMBER(SEARCH("cancel",#REF!)),"Cancelled",IF(AND(AS951&lt;&gt;"",AU951&lt;&gt;"",AW951&lt;&gt;""),"Closed","Open"))</f>
        <v>Closed</v>
      </c>
      <c r="AY951" s="15" t="str">
        <f t="shared" si="45"/>
        <v>All dates received</v>
      </c>
      <c r="BD951" s="13" t="str">
        <f>IF($AX951="Cancelled","",IFERROR(IF(OR(AS951="",AJ951=""),"",(AJ951+Variables!$B$18-AS951)),""))</f>
        <v/>
      </c>
      <c r="BE951" s="13">
        <f>IF($AX951="Cancelled","",IFERROR(IF(OR(AW951="",AS951=""),"",(AS951+Variables!$B$19)-AW951),""))</f>
        <v>-36</v>
      </c>
      <c r="BF951" s="44">
        <f>IF($AX951="Cancelled","",IFERROR(W951*INDEX(Variables!$B$7:$D$7,IFERROR(MATCH(IF($B951="Robusta","Robusta",(IF($B951="","Arabica",$B951))&amp;" - "&amp;(IF($C951="","Commercial",$C951))),Variables!$B$1:$D$1,0),1))*(BE951/365),""))</f>
        <v>-108.96113877970686</v>
      </c>
      <c r="BG951" s="44" t="str">
        <f>IF($AX951="Cancelled","",IFERROR((W951*INDEX(Variables!$B$7:$D$7,IFERROR(MATCH(IF($B951="Robusta","Robusta",(IF($B951="","Arabica",$B951))&amp;" - "&amp;(IF($C951="","Commercial",$C951))),Variables!$B$1:$D$1,0),1))*IFERROR(IF(AB951="","",(AVERAGE(E951:F951)-AB951)-Variables!$B$14),"")/365)+(L951/16.67*INDEX(Variables!$B$8:$D$8,IFERROR(MATCH(IF($B951="Robusta","Robusta",(IF($B951="","Arabica",$B951))&amp;" - "&amp;(IF($C951="","Commercial",$C951))),Variables!$B$1:$D$1,0),1))*IFERROR(IF(AB951="","",(AVERAGE(E951:F951)-AB951)-Variables!$B$14),""))+(W951*INDEX(Variables!$B$9:$D$9,IFERROR(MATCH(IF($B951="Robusta","Robusta",(IF($B951="","Arabica",$B951))&amp;" - "&amp;(IF($C951="","Commercial",$C951))),Variables!$B$1:$D$1,0),1))*IFERROR(IF(AB951="","",(AVERAGE(E951:F951)-AB951)-Variables!$B$14),"")/365),""))</f>
        <v/>
      </c>
      <c r="BH951" s="44" t="str">
        <f>IF($AX951="Cancelled","",IFERROR((W951*INDEX(Variables!$B$7:$D$7,IFERROR(MATCH(IF($B951="Robusta","Robusta",(IF($B951="","Arabica",$B951))&amp;" - "&amp;(IF($C951="","Commercial",$C951))),Variables!$B$1:$D$1,0),1))*AK951/365)+(L951/16.67*INDEX(Variables!$B$8:$D$8,IFERROR(MATCH(IF($B951="Robusta","Robusta",(IF($B951="","Arabica",$B951))&amp;" - "&amp;(IF($C951="","Commercial",$C951))),Variables!$B$1:$D$1,0),1))*AK951)+(W951*INDEX(Variables!$B$9:$D$9,IFERROR(MATCH(IF($B951="Robusta","Robusta",(IF($B951="","Arabica",$B951))&amp;" - "&amp;(IF($C951="","Commercial",$C951))),Variables!$B$1:$D$1,0),1))*AK951/365),""))</f>
        <v/>
      </c>
      <c r="BI951" s="44" t="str">
        <f>IF($AX951="Cancelled","",IFERROR((W951*INDEX(Variables!$B$7:$D$7,IFERROR(MATCH(IF($B951="Robusta","Robusta",(IF($B951="","Arabica",$B951))&amp;" - "&amp;(IF($C951="","Commercial",$C951))),Variables!$B$1:$D$1,0),1))*BD951/365)+(L951/16.67*INDEX(Variables!$B$8:$D$8,IFERROR(MATCH(IF($B951="Robusta","Robusta",(IF($B951="","Arabica",$B951))&amp;" - "&amp;(IF($C951="","Commercial",$C951))),Variables!$B$1:$D$1,0),1))*BD951)+(W951*INDEX(Variables!$B$9:$D$9,IFERROR(MATCH(IF($B951="Robusta","Robusta",(IF($B951="","Arabica",$B951))&amp;" - "&amp;(IF($C951="","Commercial",$C951))),Variables!$B$1:$D$1,0),1))*BD951/365),""))</f>
        <v/>
      </c>
      <c r="BJ951" s="44">
        <f t="shared" si="44"/>
        <v>-38</v>
      </c>
      <c r="BK951" s="44">
        <f>IF($AX951="Cancelled","",IFERROR(IF(BJ951="","",(W951*INDEX(Variables!$B$7:$D$7,IFERROR(MATCH(IF($B951="Robusta","Robusta",(IF($B951="","Arabica",$B951))&amp;" - "&amp;(IF($C951="","Commercial",$C951))),Variables!$B$1:$D$1,0),1))*(BJ951/365))+(W951*INDEX(Variables!$B$9:$D$9,IFERROR(MATCH(IF($B951="Robusta","Robusta",(IF($B951="","Arabica",$B951))&amp;" - "&amp;(IF($C951="","Commercial",$C951))),Variables!$B$1:$D$1,0),1))*(BJ951/365))+(INDEX(Variables!$B$8:$D$8,IFERROR(MATCH(IF($B951="Robusta","Robusta",(IF($B951="","Arabica",$B951))&amp;" - "&amp;(IF($C951="","Commercial",$C951))),Variables!$B$1:$D$1,0),1))*L951/16.67)),""))</f>
        <v>-115.14729470224107</v>
      </c>
    </row>
    <row r="952" spans="1:63">
      <c r="A952" s="13" t="s">
        <v>103</v>
      </c>
      <c r="B952" s="13" t="s">
        <v>104</v>
      </c>
      <c r="C952" s="13" t="s">
        <v>292</v>
      </c>
      <c r="D952" s="31">
        <v>46084</v>
      </c>
      <c r="E952" s="31">
        <v>46082</v>
      </c>
      <c r="F952" s="31">
        <v>46112</v>
      </c>
      <c r="G952" s="13">
        <v>3787380</v>
      </c>
      <c r="J952" s="13" t="s">
        <v>294</v>
      </c>
      <c r="K952" s="13" t="s">
        <v>2454</v>
      </c>
      <c r="L952" s="13">
        <v>26</v>
      </c>
      <c r="M952" s="13">
        <v>0</v>
      </c>
      <c r="N952" s="13" t="s">
        <v>2455</v>
      </c>
      <c r="O952" s="13" t="s">
        <v>1054</v>
      </c>
      <c r="P952" s="13">
        <v>10020</v>
      </c>
      <c r="R952" s="13" t="s">
        <v>671</v>
      </c>
      <c r="S952" s="13" t="s">
        <v>299</v>
      </c>
      <c r="T952" s="13" t="s">
        <v>305</v>
      </c>
      <c r="U952" s="13" t="s">
        <v>125</v>
      </c>
      <c r="V952" s="13">
        <v>193</v>
      </c>
      <c r="W952" s="44">
        <f>IF($AX952="Cancelled","",IFERROR(((V952+INDEX(Variables!$B$6:$D$6,IFERROR(MATCH(IF($B952="Robusta","Robusta",(IF($B952="","Arabica",$B952))&amp;" - "&amp;(IF($C952="","Commercial",$C952))),Variables!$B$1:$D$1,0),1)))*22.0462)*(L952/16.67),""))</f>
        <v>16635.55732213557</v>
      </c>
      <c r="X952" s="55" t="s">
        <v>39</v>
      </c>
      <c r="Y952" s="13" t="str">
        <f>IF($AX952="Cancelled","",IF(X952="","",IFERROR(IF(INDEX(Variables!$B$38:$B$47,MATCH(X952,Variables!$A$38:$A$47,0))="Yes","Yes","No"),"No")))</f>
        <v>No</v>
      </c>
      <c r="Z952" s="31"/>
      <c r="AC952" s="13" t="str">
        <f t="shared" si="43"/>
        <v/>
      </c>
      <c r="AF952" s="71">
        <v>46112</v>
      </c>
      <c r="AG952" s="37">
        <f>IF($AX952="Cancelled","",IFERROR(IF(F952="","",F952-Variables!$B$13),""))</f>
        <v>46097</v>
      </c>
      <c r="AH952" s="13" t="str">
        <f>IF($AX952="Cancelled","",IFERROR(IF(AB952="","",(AVERAGE(E952:F952)-AB952)-Variables!$B$14),""))</f>
        <v/>
      </c>
      <c r="AK952" s="14" t="str">
        <f>IF($AX952="Cancelled","",IFERROR(IF(AJ952="","",IF(AND(AB952="",AF952=""),"",IF(AF952&gt;AB952,AF952+Variables!$B$15+Variables!$B$16+Variables!$B$17-AJ952,AB952+Variables!$B$16+Variables!$B$17-AJ952))),""))</f>
        <v/>
      </c>
      <c r="AL952" s="48" t="s">
        <v>114</v>
      </c>
      <c r="AM952" s="13" t="s">
        <v>1526</v>
      </c>
      <c r="AN952" s="13" t="s">
        <v>2423</v>
      </c>
      <c r="AP952" s="39" t="e">
        <v>#N/A</v>
      </c>
      <c r="AR952" s="13" t="s">
        <v>2424</v>
      </c>
      <c r="AS952" s="31">
        <v>46150</v>
      </c>
      <c r="AU952" s="31">
        <v>46191</v>
      </c>
      <c r="AV952" s="13" t="s">
        <v>865</v>
      </c>
      <c r="AW952" s="31">
        <v>46191</v>
      </c>
      <c r="AX952" s="13" t="str">
        <f>IF(ISNUMBER(SEARCH("cancel",#REF!)),"Cancelled",IF(AND(AS952&lt;&gt;"",AU952&lt;&gt;"",AW952&lt;&gt;""),"Closed","Open"))</f>
        <v>Closed</v>
      </c>
      <c r="AY952" s="15" t="str">
        <f t="shared" si="45"/>
        <v>All dates received</v>
      </c>
      <c r="BD952" s="13" t="str">
        <f>IF($AX952="Cancelled","",IFERROR(IF(OR(AS952="",AJ952=""),"",(AJ952+Variables!$B$18-AS952)),""))</f>
        <v/>
      </c>
      <c r="BE952" s="13">
        <f>IF($AX952="Cancelled","",IFERROR(IF(OR(AW952="",AS952=""),"",(AS952+Variables!$B$19)-AW952),""))</f>
        <v>-36</v>
      </c>
      <c r="BF952" s="44">
        <f>IF($AX952="Cancelled","",IFERROR(W952*INDEX(Variables!$B$7:$D$7,IFERROR(MATCH(IF($B952="Robusta","Robusta",(IF($B952="","Arabica",$B952))&amp;" - "&amp;(IF($C952="","Commercial",$C952))),Variables!$B$1:$D$1,0),1))*(BE952/365),""))</f>
        <v>-105.8002850325117</v>
      </c>
      <c r="BG952" s="44" t="str">
        <f>IF($AX952="Cancelled","",IFERROR((W952*INDEX(Variables!$B$7:$D$7,IFERROR(MATCH(IF($B952="Robusta","Robusta",(IF($B952="","Arabica",$B952))&amp;" - "&amp;(IF($C952="","Commercial",$C952))),Variables!$B$1:$D$1,0),1))*IFERROR(IF(AB952="","",(AVERAGE(E952:F952)-AB952)-Variables!$B$14),"")/365)+(L952/16.67*INDEX(Variables!$B$8:$D$8,IFERROR(MATCH(IF($B952="Robusta","Robusta",(IF($B952="","Arabica",$B952))&amp;" - "&amp;(IF($C952="","Commercial",$C952))),Variables!$B$1:$D$1,0),1))*IFERROR(IF(AB952="","",(AVERAGE(E952:F952)-AB952)-Variables!$B$14),""))+(W952*INDEX(Variables!$B$9:$D$9,IFERROR(MATCH(IF($B952="Robusta","Robusta",(IF($B952="","Arabica",$B952))&amp;" - "&amp;(IF($C952="","Commercial",$C952))),Variables!$B$1:$D$1,0),1))*IFERROR(IF(AB952="","",(AVERAGE(E952:F952)-AB952)-Variables!$B$14),"")/365),""))</f>
        <v/>
      </c>
      <c r="BH952" s="44" t="str">
        <f>IF($AX952="Cancelled","",IFERROR((W952*INDEX(Variables!$B$7:$D$7,IFERROR(MATCH(IF($B952="Robusta","Robusta",(IF($B952="","Arabica",$B952))&amp;" - "&amp;(IF($C952="","Commercial",$C952))),Variables!$B$1:$D$1,0),1))*AK952/365)+(L952/16.67*INDEX(Variables!$B$8:$D$8,IFERROR(MATCH(IF($B952="Robusta","Robusta",(IF($B952="","Arabica",$B952))&amp;" - "&amp;(IF($C952="","Commercial",$C952))),Variables!$B$1:$D$1,0),1))*AK952)+(W952*INDEX(Variables!$B$9:$D$9,IFERROR(MATCH(IF($B952="Robusta","Robusta",(IF($B952="","Arabica",$B952))&amp;" - "&amp;(IF($C952="","Commercial",$C952))),Variables!$B$1:$D$1,0),1))*AK952/365),""))</f>
        <v/>
      </c>
      <c r="BI952" s="44" t="str">
        <f>IF($AX952="Cancelled","",IFERROR((W952*INDEX(Variables!$B$7:$D$7,IFERROR(MATCH(IF($B952="Robusta","Robusta",(IF($B952="","Arabica",$B952))&amp;" - "&amp;(IF($C952="","Commercial",$C952))),Variables!$B$1:$D$1,0),1))*BD952/365)+(L952/16.67*INDEX(Variables!$B$8:$D$8,IFERROR(MATCH(IF($B952="Robusta","Robusta",(IF($B952="","Arabica",$B952))&amp;" - "&amp;(IF($C952="","Commercial",$C952))),Variables!$B$1:$D$1,0),1))*BD952)+(W952*INDEX(Variables!$B$9:$D$9,IFERROR(MATCH(IF($B952="Robusta","Robusta",(IF($B952="","Arabica",$B952))&amp;" - "&amp;(IF($C952="","Commercial",$C952))),Variables!$B$1:$D$1,0),1))*BD952/365),""))</f>
        <v/>
      </c>
      <c r="BJ952" s="44">
        <f t="shared" si="44"/>
        <v>-38</v>
      </c>
      <c r="BK952" s="44">
        <f>IF($AX952="Cancelled","",IFERROR(IF(BJ952="","",(W952*INDEX(Variables!$B$7:$D$7,IFERROR(MATCH(IF($B952="Robusta","Robusta",(IF($B952="","Arabica",$B952))&amp;" - "&amp;(IF($C952="","Commercial",$C952))),Variables!$B$1:$D$1,0),1))*(BJ952/365))+(W952*INDEX(Variables!$B$9:$D$9,IFERROR(MATCH(IF($B952="Robusta","Robusta",(IF($B952="","Arabica",$B952))&amp;" - "&amp;(IF($C952="","Commercial",$C952))),Variables!$B$1:$D$1,0),1))*(BJ952/365))+(INDEX(Variables!$B$8:$D$8,IFERROR(MATCH(IF($B952="Robusta","Robusta",(IF($B952="","Arabica",$B952))&amp;" - "&amp;(IF($C952="","Commercial",$C952))),Variables!$B$1:$D$1,0),1))*L952/16.67)),""))</f>
        <v>-111.81782460288619</v>
      </c>
    </row>
    <row r="953" spans="1:63">
      <c r="A953" s="13" t="s">
        <v>103</v>
      </c>
      <c r="B953" s="13" t="s">
        <v>104</v>
      </c>
      <c r="C953" s="13" t="s">
        <v>292</v>
      </c>
      <c r="D953" s="31">
        <v>46084</v>
      </c>
      <c r="E953" s="31">
        <v>46082</v>
      </c>
      <c r="F953" s="31">
        <v>46112</v>
      </c>
      <c r="G953" s="13">
        <v>3787381</v>
      </c>
      <c r="J953" s="13" t="s">
        <v>294</v>
      </c>
      <c r="K953" s="13" t="s">
        <v>2456</v>
      </c>
      <c r="L953" s="13">
        <v>30</v>
      </c>
      <c r="M953" s="13">
        <v>0</v>
      </c>
      <c r="N953" s="13" t="s">
        <v>2457</v>
      </c>
      <c r="O953" s="13" t="s">
        <v>1054</v>
      </c>
      <c r="P953" s="13">
        <v>10020</v>
      </c>
      <c r="R953" s="13" t="s">
        <v>671</v>
      </c>
      <c r="S953" s="13" t="s">
        <v>299</v>
      </c>
      <c r="T953" s="13" t="s">
        <v>305</v>
      </c>
      <c r="U953" s="13" t="s">
        <v>125</v>
      </c>
      <c r="V953" s="13">
        <v>190</v>
      </c>
      <c r="W953" s="44">
        <f>IF($AX953="Cancelled","",IFERROR(((V953+INDEX(Variables!$B$6:$D$6,IFERROR(MATCH(IF($B953="Robusta","Robusta",(IF($B953="","Arabica",$B953))&amp;" - "&amp;(IF($C953="","Commercial",$C953))),Variables!$B$1:$D$1,0),1)))*22.0462)*(L953/16.67),""))</f>
        <v>19075.848158368324</v>
      </c>
      <c r="X953" s="55" t="s">
        <v>39</v>
      </c>
      <c r="Y953" s="13" t="str">
        <f>IF($AX953="Cancelled","",IF(X953="","",IFERROR(IF(INDEX(Variables!$B$38:$B$47,MATCH(X953,Variables!$A$38:$A$47,0))="Yes","Yes","No"),"No")))</f>
        <v>No</v>
      </c>
      <c r="Z953" s="31"/>
      <c r="AC953" s="13" t="str">
        <f t="shared" si="43"/>
        <v/>
      </c>
      <c r="AF953" s="71">
        <v>46112</v>
      </c>
      <c r="AG953" s="37">
        <f>IF($AX953="Cancelled","",IFERROR(IF(F953="","",F953-Variables!$B$13),""))</f>
        <v>46097</v>
      </c>
      <c r="AH953" s="13" t="str">
        <f>IF($AX953="Cancelled","",IFERROR(IF(AB953="","",(AVERAGE(E953:F953)-AB953)-Variables!$B$14),""))</f>
        <v/>
      </c>
      <c r="AK953" s="14" t="str">
        <f>IF($AX953="Cancelled","",IFERROR(IF(AJ953="","",IF(AND(AB953="",AF953=""),"",IF(AF953&gt;AB953,AF953+Variables!$B$15+Variables!$B$16+Variables!$B$17-AJ953,AB953+Variables!$B$16+Variables!$B$17-AJ953))),""))</f>
        <v/>
      </c>
      <c r="AL953" s="48" t="s">
        <v>114</v>
      </c>
      <c r="AM953" s="13" t="s">
        <v>1526</v>
      </c>
      <c r="AN953" s="13" t="s">
        <v>2423</v>
      </c>
      <c r="AP953" s="39" t="e">
        <v>#N/A</v>
      </c>
      <c r="AR953" s="13" t="s">
        <v>2424</v>
      </c>
      <c r="AS953" s="31">
        <v>46150</v>
      </c>
      <c r="AU953" s="31">
        <v>46191</v>
      </c>
      <c r="AV953" s="13" t="s">
        <v>865</v>
      </c>
      <c r="AW953" s="31">
        <v>46191</v>
      </c>
      <c r="AX953" s="13" t="str">
        <f>IF(ISNUMBER(SEARCH("cancel",#REF!)),"Cancelled",IF(AND(AS953&lt;&gt;"",AU953&lt;&gt;"",AW953&lt;&gt;""),"Closed","Open"))</f>
        <v>Closed</v>
      </c>
      <c r="AY953" s="15" t="str">
        <f t="shared" si="45"/>
        <v>All dates received</v>
      </c>
      <c r="BD953" s="13" t="str">
        <f>IF($AX953="Cancelled","",IFERROR(IF(OR(AS953="",AJ953=""),"",(AJ953+Variables!$B$18-AS953)),""))</f>
        <v/>
      </c>
      <c r="BE953" s="13">
        <f>IF($AX953="Cancelled","",IFERROR(IF(OR(AW953="",AS953=""),"",(AS953+Variables!$B$19)-AW953),""))</f>
        <v>-36</v>
      </c>
      <c r="BF953" s="44">
        <f>IF($AX953="Cancelled","",IFERROR(W953*INDEX(Variables!$B$7:$D$7,IFERROR(MATCH(IF($B953="Robusta","Robusta",(IF($B953="","Arabica",$B953))&amp;" - "&amp;(IF($C953="","Commercial",$C953))),Variables!$B$1:$D$1,0),1))*(BE953/365),""))</f>
        <v>-121.32026197323661</v>
      </c>
      <c r="BG953" s="44" t="str">
        <f>IF($AX953="Cancelled","",IFERROR((W953*INDEX(Variables!$B$7:$D$7,IFERROR(MATCH(IF($B953="Robusta","Robusta",(IF($B953="","Arabica",$B953))&amp;" - "&amp;(IF($C953="","Commercial",$C953))),Variables!$B$1:$D$1,0),1))*IFERROR(IF(AB953="","",(AVERAGE(E953:F953)-AB953)-Variables!$B$14),"")/365)+(L953/16.67*INDEX(Variables!$B$8:$D$8,IFERROR(MATCH(IF($B953="Robusta","Robusta",(IF($B953="","Arabica",$B953))&amp;" - "&amp;(IF($C953="","Commercial",$C953))),Variables!$B$1:$D$1,0),1))*IFERROR(IF(AB953="","",(AVERAGE(E953:F953)-AB953)-Variables!$B$14),""))+(W953*INDEX(Variables!$B$9:$D$9,IFERROR(MATCH(IF($B953="Robusta","Robusta",(IF($B953="","Arabica",$B953))&amp;" - "&amp;(IF($C953="","Commercial",$C953))),Variables!$B$1:$D$1,0),1))*IFERROR(IF(AB953="","",(AVERAGE(E953:F953)-AB953)-Variables!$B$14),"")/365),""))</f>
        <v/>
      </c>
      <c r="BH953" s="44" t="str">
        <f>IF($AX953="Cancelled","",IFERROR((W953*INDEX(Variables!$B$7:$D$7,IFERROR(MATCH(IF($B953="Robusta","Robusta",(IF($B953="","Arabica",$B953))&amp;" - "&amp;(IF($C953="","Commercial",$C953))),Variables!$B$1:$D$1,0),1))*AK953/365)+(L953/16.67*INDEX(Variables!$B$8:$D$8,IFERROR(MATCH(IF($B953="Robusta","Robusta",(IF($B953="","Arabica",$B953))&amp;" - "&amp;(IF($C953="","Commercial",$C953))),Variables!$B$1:$D$1,0),1))*AK953)+(W953*INDEX(Variables!$B$9:$D$9,IFERROR(MATCH(IF($B953="Robusta","Robusta",(IF($B953="","Arabica",$B953))&amp;" - "&amp;(IF($C953="","Commercial",$C953))),Variables!$B$1:$D$1,0),1))*AK953/365),""))</f>
        <v/>
      </c>
      <c r="BI953" s="44" t="str">
        <f>IF($AX953="Cancelled","",IFERROR((W953*INDEX(Variables!$B$7:$D$7,IFERROR(MATCH(IF($B953="Robusta","Robusta",(IF($B953="","Arabica",$B953))&amp;" - "&amp;(IF($C953="","Commercial",$C953))),Variables!$B$1:$D$1,0),1))*BD953/365)+(L953/16.67*INDEX(Variables!$B$8:$D$8,IFERROR(MATCH(IF($B953="Robusta","Robusta",(IF($B953="","Arabica",$B953))&amp;" - "&amp;(IF($C953="","Commercial",$C953))),Variables!$B$1:$D$1,0),1))*BD953)+(W953*INDEX(Variables!$B$9:$D$9,IFERROR(MATCH(IF($B953="Robusta","Robusta",(IF($B953="","Arabica",$B953))&amp;" - "&amp;(IF($C953="","Commercial",$C953))),Variables!$B$1:$D$1,0),1))*BD953/365),""))</f>
        <v/>
      </c>
      <c r="BJ953" s="44">
        <f t="shared" si="44"/>
        <v>-38</v>
      </c>
      <c r="BK953" s="44">
        <f>IF($AX953="Cancelled","",IFERROR(IF(BJ953="","",(W953*INDEX(Variables!$B$7:$D$7,IFERROR(MATCH(IF($B953="Robusta","Robusta",(IF($B953="","Arabica",$B953))&amp;" - "&amp;(IF($C953="","Commercial",$C953))),Variables!$B$1:$D$1,0),1))*(BJ953/365))+(W953*INDEX(Variables!$B$9:$D$9,IFERROR(MATCH(IF($B953="Robusta","Robusta",(IF($B953="","Arabica",$B953))&amp;" - "&amp;(IF($C953="","Commercial",$C953))),Variables!$B$1:$D$1,0),1))*(BJ953/365))+(INDEX(Variables!$B$8:$D$8,IFERROR(MATCH(IF($B953="Robusta","Robusta",(IF($B953="","Arabica",$B953))&amp;" - "&amp;(IF($C953="","Commercial",$C953))),Variables!$B$1:$D$1,0),1))*L953/16.67)),""))</f>
        <v>-128.21122063090522</v>
      </c>
    </row>
    <row r="954" spans="1:63">
      <c r="A954" s="13" t="s">
        <v>103</v>
      </c>
      <c r="B954" s="13" t="s">
        <v>104</v>
      </c>
      <c r="C954" s="13" t="s">
        <v>105</v>
      </c>
      <c r="D954" s="31">
        <v>46085</v>
      </c>
      <c r="E954" s="31">
        <v>46113</v>
      </c>
      <c r="F954" s="31">
        <v>46142</v>
      </c>
      <c r="G954" s="13">
        <v>3787382</v>
      </c>
      <c r="H954" s="13" t="s">
        <v>2458</v>
      </c>
      <c r="J954" s="13" t="s">
        <v>454</v>
      </c>
      <c r="K954" s="13">
        <v>5482</v>
      </c>
      <c r="L954" s="13">
        <v>2160</v>
      </c>
      <c r="M954" s="13">
        <v>6</v>
      </c>
      <c r="N954" s="13" t="s">
        <v>2459</v>
      </c>
      <c r="O954" s="13" t="s">
        <v>405</v>
      </c>
      <c r="P954" s="13">
        <v>10140</v>
      </c>
      <c r="R954" s="13" t="s">
        <v>122</v>
      </c>
      <c r="S954" s="13" t="s">
        <v>457</v>
      </c>
      <c r="T954" s="13" t="s">
        <v>458</v>
      </c>
      <c r="U954" s="13" t="s">
        <v>125</v>
      </c>
      <c r="V954" s="23">
        <v>-17</v>
      </c>
      <c r="W954" s="44">
        <f>IF($AX954="Cancelled","",IFERROR(((V954+INDEX(Variables!$B$6:$D$6,IFERROR(MATCH(IF($B954="Robusta","Robusta",(IF($B954="","Arabica",$B954))&amp;" - "&amp;(IF($C954="","Commercial",$C954))),Variables!$B$1:$D$1,0),1)))*22.0462)*(L954/16.67),""))</f>
        <v>782141.51467306528</v>
      </c>
      <c r="X954" s="55" t="s">
        <v>37</v>
      </c>
      <c r="Y954" s="13" t="str">
        <f>IF($AX954="Cancelled","",IF(X954="","",IFERROR(IF(INDEX(Variables!$B$38:$B$47,MATCH(X954,Variables!$A$38:$A$47,0))="Yes","Yes","No"),"No")))</f>
        <v>Yes</v>
      </c>
      <c r="Z954" s="58">
        <v>46094</v>
      </c>
      <c r="AB954" s="31">
        <v>46120</v>
      </c>
      <c r="AC954" s="13" t="str">
        <f t="shared" si="43"/>
        <v>Approved</v>
      </c>
      <c r="AF954" s="71">
        <v>46136</v>
      </c>
      <c r="AG954" s="37">
        <f>IF($AX954="Cancelled","",IFERROR(IF(F954="","",F954-Variables!$B$13),""))</f>
        <v>46127</v>
      </c>
      <c r="AH954" s="13">
        <f>IF($AX954="Cancelled","",IFERROR(IF(AB954="","",(AVERAGE(E954:F954)-AB954)-Variables!$B$14),""))</f>
        <v>-22.5</v>
      </c>
      <c r="AJ954" s="47">
        <v>46141</v>
      </c>
      <c r="AK954" s="14">
        <f>IF($AX954="Cancelled","",IFERROR(IF(AJ954="","",IF(AND(AB954="",AF954=""),"",IF(AF954&gt;AB954,AF954+Variables!$B$15+Variables!$B$16+Variables!$B$17-AJ954,AB954+Variables!$B$16+Variables!$B$17-AJ954))),""))</f>
        <v>10</v>
      </c>
      <c r="AL954" s="48" t="s">
        <v>114</v>
      </c>
      <c r="AM954" s="13" t="s">
        <v>115</v>
      </c>
      <c r="AN954" s="13" t="s">
        <v>2460</v>
      </c>
      <c r="AP954" s="39">
        <v>46151</v>
      </c>
      <c r="AR954" s="31" t="s">
        <v>2461</v>
      </c>
      <c r="AS954" s="31">
        <v>46166</v>
      </c>
      <c r="AU954" s="31">
        <v>46189</v>
      </c>
      <c r="AV954" s="13" t="s">
        <v>8</v>
      </c>
      <c r="AW954" s="31">
        <v>46189</v>
      </c>
      <c r="AX954" s="13" t="str">
        <f>IF(ISNUMBER(SEARCH("cancel",#REF!)),"Cancelled",IF(AND(AS954&lt;&gt;"",AU954&lt;&gt;"",AW954&lt;&gt;""),"Closed","Open"))</f>
        <v>Closed</v>
      </c>
      <c r="AY954" s="15" t="str">
        <f t="shared" si="45"/>
        <v>All dates received</v>
      </c>
      <c r="BD954" s="13">
        <f>IF($AX954="Cancelled","",IFERROR(IF(OR(AS954="",AJ954=""),"",(AJ954+Variables!$B$18-AS954)),""))</f>
        <v>-10</v>
      </c>
      <c r="BE954" s="13">
        <f>IF($AX954="Cancelled","",IFERROR(IF(OR(AW954="",AS954=""),"",(AS954+Variables!$B$19)-AW954),""))</f>
        <v>-18</v>
      </c>
      <c r="BF954" s="44">
        <f>IF($AX954="Cancelled","",IFERROR(W954*INDEX(Variables!$B$7:$D$7,IFERROR(MATCH(IF($B954="Robusta","Robusta",(IF($B954="","Arabica",$B954))&amp;" - "&amp;(IF($C954="","Commercial",$C954))),Variables!$B$1:$D$1,0),1))*(BE954/365),""))</f>
        <v>-2487.1663024496647</v>
      </c>
      <c r="BG954" s="44">
        <f>IF($AX954="Cancelled","",IFERROR((W954*INDEX(Variables!$B$7:$D$7,IFERROR(MATCH(IF($B954="Robusta","Robusta",(IF($B954="","Arabica",$B954))&amp;" - "&amp;(IF($C954="","Commercial",$C954))),Variables!$B$1:$D$1,0),1))*IFERROR(IF(AB954="","",(AVERAGE(E954:F954)-AB954)-Variables!$B$14),"")/365)+(L954/16.67*INDEX(Variables!$B$8:$D$8,IFERROR(MATCH(IF($B954="Robusta","Robusta",(IF($B954="","Arabica",$B954))&amp;" - "&amp;(IF($C954="","Commercial",$C954))),Variables!$B$1:$D$1,0),1))*IFERROR(IF(AB954="","",(AVERAGE(E954:F954)-AB954)-Variables!$B$14),""))+(W954*INDEX(Variables!$B$9:$D$9,IFERROR(MATCH(IF($B954="Robusta","Robusta",(IF($B954="","Arabica",$B954))&amp;" - "&amp;(IF($C954="","Commercial",$C954))),Variables!$B$1:$D$1,0),1))*IFERROR(IF(AB954="","",(AVERAGE(E954:F954)-AB954)-Variables!$B$14),"")/365),""))</f>
        <v>-5579.0383449821456</v>
      </c>
      <c r="BH954" s="44">
        <f>IF($AX954="Cancelled","",IFERROR((W954*INDEX(Variables!$B$7:$D$7,IFERROR(MATCH(IF($B954="Robusta","Robusta",(IF($B954="","Arabica",$B954))&amp;" - "&amp;(IF($C954="","Commercial",$C954))),Variables!$B$1:$D$1,0),1))*AK954/365)+(L954/16.67*INDEX(Variables!$B$8:$D$8,IFERROR(MATCH(IF($B954="Robusta","Robusta",(IF($B954="","Arabica",$B954))&amp;" - "&amp;(IF($C954="","Commercial",$C954))),Variables!$B$1:$D$1,0),1))*AK954)+(W954*INDEX(Variables!$B$9:$D$9,IFERROR(MATCH(IF($B954="Robusta","Robusta",(IF($B954="","Arabica",$B954))&amp;" - "&amp;(IF($C954="","Commercial",$C954))),Variables!$B$1:$D$1,0),1))*AK954/365),""))</f>
        <v>2479.5725977698426</v>
      </c>
      <c r="BI954" s="44">
        <f>IF($AX954="Cancelled","",IFERROR((W954*INDEX(Variables!$B$7:$D$7,IFERROR(MATCH(IF($B954="Robusta","Robusta",(IF($B954="","Arabica",$B954))&amp;" - "&amp;(IF($C954="","Commercial",$C954))),Variables!$B$1:$D$1,0),1))*BD954/365)+(L954/16.67*INDEX(Variables!$B$8:$D$8,IFERROR(MATCH(IF($B954="Robusta","Robusta",(IF($B954="","Arabica",$B954))&amp;" - "&amp;(IF($C954="","Commercial",$C954))),Variables!$B$1:$D$1,0),1))*BD954)+(W954*INDEX(Variables!$B$9:$D$9,IFERROR(MATCH(IF($B954="Robusta","Robusta",(IF($B954="","Arabica",$B954))&amp;" - "&amp;(IF($C954="","Commercial",$C954))),Variables!$B$1:$D$1,0),1))*BD954/365),""))</f>
        <v>-2479.5725977698426</v>
      </c>
      <c r="BJ954" s="44">
        <f t="shared" si="44"/>
        <v>-24</v>
      </c>
      <c r="BK954" s="44">
        <f>IF($AX954="Cancelled","",IFERROR(IF(BJ954="","",(W954*INDEX(Variables!$B$7:$D$7,IFERROR(MATCH(IF($B954="Robusta","Robusta",(IF($B954="","Arabica",$B954))&amp;" - "&amp;(IF($C954="","Commercial",$C954))),Variables!$B$1:$D$1,0),1))*(BJ954/365))+(W954*INDEX(Variables!$B$9:$D$9,IFERROR(MATCH(IF($B954="Robusta","Robusta",(IF($B954="","Arabica",$B954))&amp;" - "&amp;(IF($C954="","Commercial",$C954))),Variables!$B$1:$D$1,0),1))*(BJ954/365))+(INDEX(Variables!$B$8:$D$8,IFERROR(MATCH(IF($B954="Robusta","Robusta",(IF($B954="","Arabica",$B954))&amp;" - "&amp;(IF($C954="","Commercial",$C954))),Variables!$B$1:$D$1,0),1))*L954/16.67)),""))</f>
        <v>-3250.9742346476219</v>
      </c>
    </row>
    <row r="955" spans="1:63">
      <c r="A955" s="13" t="s">
        <v>103</v>
      </c>
      <c r="B955" s="13" t="s">
        <v>104</v>
      </c>
      <c r="C955" s="13" t="s">
        <v>105</v>
      </c>
      <c r="D955" s="31">
        <v>46085</v>
      </c>
      <c r="E955" s="31">
        <v>46143</v>
      </c>
      <c r="F955" s="31">
        <v>46173</v>
      </c>
      <c r="G955" s="13">
        <v>3787383</v>
      </c>
      <c r="H955" s="13" t="s">
        <v>2462</v>
      </c>
      <c r="J955" s="13" t="s">
        <v>454</v>
      </c>
      <c r="K955" s="13">
        <v>5488</v>
      </c>
      <c r="L955" s="13">
        <v>360</v>
      </c>
      <c r="M955" s="13">
        <v>1</v>
      </c>
      <c r="N955" s="13" t="s">
        <v>2459</v>
      </c>
      <c r="O955" s="13" t="s">
        <v>456</v>
      </c>
      <c r="P955" s="13">
        <v>10140</v>
      </c>
      <c r="R955" s="13" t="s">
        <v>122</v>
      </c>
      <c r="S955" s="13" t="s">
        <v>457</v>
      </c>
      <c r="T955" s="13" t="s">
        <v>458</v>
      </c>
      <c r="U955" s="13" t="s">
        <v>125</v>
      </c>
      <c r="V955" s="23">
        <v>-17</v>
      </c>
      <c r="W955" s="44">
        <f>IF($AX955="Cancelled","",IFERROR(((V955+INDEX(Variables!$B$6:$D$6,IFERROR(MATCH(IF($B955="Robusta","Robusta",(IF($B955="","Arabica",$B955))&amp;" - "&amp;(IF($C955="","Commercial",$C955))),Variables!$B$1:$D$1,0),1)))*22.0462)*(L955/16.67),""))</f>
        <v>130356.91911217757</v>
      </c>
      <c r="X955" s="55" t="s">
        <v>37</v>
      </c>
      <c r="Y955" s="13" t="str">
        <f>IF($AX955="Cancelled","",IF(X955="","",IFERROR(IF(INDEX(Variables!$B$38:$B$47,MATCH(X955,Variables!$A$38:$A$47,0))="Yes","Yes","No"),"No")))</f>
        <v>Yes</v>
      </c>
      <c r="Z955" s="58">
        <v>46141</v>
      </c>
      <c r="AB955" s="31">
        <v>46147</v>
      </c>
      <c r="AC955" s="13" t="str">
        <f t="shared" si="43"/>
        <v>Approved</v>
      </c>
      <c r="AF955" s="71">
        <v>46162</v>
      </c>
      <c r="AG955" s="37">
        <f>IF($AX955="Cancelled","",IFERROR(IF(F955="","",F955-Variables!$B$13),""))</f>
        <v>46158</v>
      </c>
      <c r="AH955" s="13">
        <f>IF($AX955="Cancelled","",IFERROR(IF(AB955="","",(AVERAGE(E955:F955)-AB955)-Variables!$B$14),""))</f>
        <v>-19</v>
      </c>
      <c r="AJ955" s="47">
        <v>46170</v>
      </c>
      <c r="AK955" s="14">
        <f>IF($AX955="Cancelled","",IFERROR(IF(AJ955="","",IF(AND(AB955="",AF955=""),"",IF(AF955&gt;AB955,AF955+Variables!$B$15+Variables!$B$16+Variables!$B$17-AJ955,AB955+Variables!$B$16+Variables!$B$17-AJ955))),""))</f>
        <v>7</v>
      </c>
      <c r="AL955" s="48" t="s">
        <v>114</v>
      </c>
      <c r="AM955" s="13" t="s">
        <v>115</v>
      </c>
      <c r="AN955" s="13" t="s">
        <v>2463</v>
      </c>
      <c r="AP955" s="39"/>
      <c r="AR955" s="13">
        <v>270598237</v>
      </c>
      <c r="AS955" s="31">
        <v>46178</v>
      </c>
      <c r="AU955" s="31">
        <v>46211</v>
      </c>
      <c r="AV955" s="13" t="e">
        <v>#REF!</v>
      </c>
      <c r="AW955" s="31">
        <v>46211</v>
      </c>
      <c r="AX955" s="13" t="str">
        <f>IF(ISNUMBER(SEARCH("cancel",#REF!)),"Cancelled",IF(AND(AS955&lt;&gt;"",AU955&lt;&gt;"",AW955&lt;&gt;""),"Closed","Open"))</f>
        <v>Closed</v>
      </c>
      <c r="AY955" s="15" t="str">
        <f t="shared" si="45"/>
        <v>All dates received</v>
      </c>
      <c r="BD955" s="13">
        <f>IF($AX955="Cancelled","",IFERROR(IF(OR(AS955="",AJ955=""),"",(AJ955+Variables!$B$18-AS955)),""))</f>
        <v>7</v>
      </c>
      <c r="BE955" s="13">
        <f>IF($AX955="Cancelled","",IFERROR(IF(OR(AW955="",AS955=""),"",(AS955+Variables!$B$19)-AW955),""))</f>
        <v>-28</v>
      </c>
      <c r="BF955" s="44">
        <f>IF($AX955="Cancelled","",IFERROR(W955*INDEX(Variables!$B$7:$D$7,IFERROR(MATCH(IF($B955="Robusta","Robusta",(IF($B955="","Arabica",$B955))&amp;" - "&amp;(IF($C955="","Commercial",$C955))),Variables!$B$1:$D$1,0),1))*(BE955/365),""))</f>
        <v>-644.82089322769093</v>
      </c>
      <c r="BG955" s="44">
        <f>IF($AX955="Cancelled","",IFERROR((W955*INDEX(Variables!$B$7:$D$7,IFERROR(MATCH(IF($B955="Robusta","Robusta",(IF($B955="","Arabica",$B955))&amp;" - "&amp;(IF($C955="","Commercial",$C955))),Variables!$B$1:$D$1,0),1))*IFERROR(IF(AB955="","",(AVERAGE(E955:F955)-AB955)-Variables!$B$14),"")/365)+(L955/16.67*INDEX(Variables!$B$8:$D$8,IFERROR(MATCH(IF($B955="Robusta","Robusta",(IF($B955="","Arabica",$B955))&amp;" - "&amp;(IF($C955="","Commercial",$C955))),Variables!$B$1:$D$1,0),1))*IFERROR(IF(AB955="","",(AVERAGE(E955:F955)-AB955)-Variables!$B$14),""))+(W955*INDEX(Variables!$B$9:$D$9,IFERROR(MATCH(IF($B955="Robusta","Robusta",(IF($B955="","Arabica",$B955))&amp;" - "&amp;(IF($C955="","Commercial",$C955))),Variables!$B$1:$D$1,0),1))*IFERROR(IF(AB955="","",(AVERAGE(E955:F955)-AB955)-Variables!$B$14),"")/365),""))</f>
        <v>-785.19798929378351</v>
      </c>
      <c r="BH955" s="44">
        <f>IF($AX955="Cancelled","",IFERROR((W955*INDEX(Variables!$B$7:$D$7,IFERROR(MATCH(IF($B955="Robusta","Robusta",(IF($B955="","Arabica",$B955))&amp;" - "&amp;(IF($C955="","Commercial",$C955))),Variables!$B$1:$D$1,0),1))*AK955/365)+(L955/16.67*INDEX(Variables!$B$8:$D$8,IFERROR(MATCH(IF($B955="Robusta","Robusta",(IF($B955="","Arabica",$B955))&amp;" - "&amp;(IF($C955="","Commercial",$C955))),Variables!$B$1:$D$1,0),1))*AK955)+(W955*INDEX(Variables!$B$9:$D$9,IFERROR(MATCH(IF($B955="Robusta","Robusta",(IF($B955="","Arabica",$B955))&amp;" - "&amp;(IF($C955="","Commercial",$C955))),Variables!$B$1:$D$1,0),1))*AK955/365),""))</f>
        <v>289.28346973981496</v>
      </c>
      <c r="BI955" s="44">
        <f>IF($AX955="Cancelled","",IFERROR((W955*INDEX(Variables!$B$7:$D$7,IFERROR(MATCH(IF($B955="Robusta","Robusta",(IF($B955="","Arabica",$B955))&amp;" - "&amp;(IF($C955="","Commercial",$C955))),Variables!$B$1:$D$1,0),1))*BD955/365)+(L955/16.67*INDEX(Variables!$B$8:$D$8,IFERROR(MATCH(IF($B955="Robusta","Robusta",(IF($B955="","Arabica",$B955))&amp;" - "&amp;(IF($C955="","Commercial",$C955))),Variables!$B$1:$D$1,0),1))*BD955)+(W955*INDEX(Variables!$B$9:$D$9,IFERROR(MATCH(IF($B955="Robusta","Robusta",(IF($B955="","Arabica",$B955))&amp;" - "&amp;(IF($C955="","Commercial",$C955))),Variables!$B$1:$D$1,0),1))*BD955/365),""))</f>
        <v>289.28346973981496</v>
      </c>
      <c r="BJ955" s="44">
        <f t="shared" si="44"/>
        <v>-5</v>
      </c>
      <c r="BK955" s="44">
        <f>IF($AX955="Cancelled","",IFERROR(IF(BJ955="","",(W955*INDEX(Variables!$B$7:$D$7,IFERROR(MATCH(IF($B955="Robusta","Robusta",(IF($B955="","Arabica",$B955))&amp;" - "&amp;(IF($C955="","Commercial",$C955))),Variables!$B$1:$D$1,0),1))*(BJ955/365))+(W955*INDEX(Variables!$B$9:$D$9,IFERROR(MATCH(IF($B955="Robusta","Robusta",(IF($B955="","Arabica",$B955))&amp;" - "&amp;(IF($C955="","Commercial",$C955))),Variables!$B$1:$D$1,0),1))*(BJ955/365))+(INDEX(Variables!$B$8:$D$8,IFERROR(MATCH(IF($B955="Robusta","Robusta",(IF($B955="","Arabica",$B955))&amp;" - "&amp;(IF($C955="","Commercial",$C955))),Variables!$B$1:$D$1,0),1))*L955/16.67)),""))</f>
        <v>-98.631049814153542</v>
      </c>
    </row>
    <row r="956" spans="1:63">
      <c r="A956" s="13" t="s">
        <v>103</v>
      </c>
      <c r="B956" s="13" t="s">
        <v>104</v>
      </c>
      <c r="C956" s="13" t="s">
        <v>105</v>
      </c>
      <c r="D956" s="31">
        <v>46085</v>
      </c>
      <c r="E956" s="31">
        <v>46143</v>
      </c>
      <c r="F956" s="31">
        <v>46173</v>
      </c>
      <c r="G956" s="13">
        <v>3787383</v>
      </c>
      <c r="H956" s="13" t="s">
        <v>2462</v>
      </c>
      <c r="J956" s="13" t="s">
        <v>454</v>
      </c>
      <c r="K956" s="13">
        <v>5488</v>
      </c>
      <c r="L956" s="13">
        <v>1800</v>
      </c>
      <c r="M956" s="13">
        <v>5</v>
      </c>
      <c r="N956" s="13" t="s">
        <v>2459</v>
      </c>
      <c r="O956" s="13" t="s">
        <v>456</v>
      </c>
      <c r="P956" s="13">
        <v>10140</v>
      </c>
      <c r="R956" s="13" t="s">
        <v>122</v>
      </c>
      <c r="S956" s="13" t="s">
        <v>457</v>
      </c>
      <c r="T956" s="13" t="s">
        <v>458</v>
      </c>
      <c r="U956" s="13" t="s">
        <v>125</v>
      </c>
      <c r="V956" s="23">
        <v>-17</v>
      </c>
      <c r="W956" s="44">
        <f>IF($AX956="Cancelled","",IFERROR(((V956+INDEX(Variables!$B$6:$D$6,IFERROR(MATCH(IF($B956="Robusta","Robusta",(IF($B956="","Arabica",$B956))&amp;" - "&amp;(IF($C956="","Commercial",$C956))),Variables!$B$1:$D$1,0),1)))*22.0462)*(L956/16.67),""))</f>
        <v>651784.59556088771</v>
      </c>
      <c r="X956" s="55" t="s">
        <v>37</v>
      </c>
      <c r="Y956" s="13" t="str">
        <f>IF($AX956="Cancelled","",IF(X956="","",IFERROR(IF(INDEX(Variables!$B$38:$B$47,MATCH(X956,Variables!$A$38:$A$47,0))="Yes","Yes","No"),"No")))</f>
        <v>Yes</v>
      </c>
      <c r="Z956" s="58">
        <v>46141</v>
      </c>
      <c r="AB956" s="31">
        <v>46147</v>
      </c>
      <c r="AC956" s="13" t="str">
        <f t="shared" si="43"/>
        <v>Approved</v>
      </c>
      <c r="AF956" s="71">
        <v>46162</v>
      </c>
      <c r="AG956" s="37">
        <f>IF($AX956="Cancelled","",IFERROR(IF(F956="","",F956-Variables!$B$13),""))</f>
        <v>46158</v>
      </c>
      <c r="AH956" s="13">
        <f>IF($AX956="Cancelled","",IFERROR(IF(AB956="","",(AVERAGE(E956:F956)-AB956)-Variables!$B$14),""))</f>
        <v>-19</v>
      </c>
      <c r="AJ956" s="47">
        <v>46185</v>
      </c>
      <c r="AK956" s="14">
        <f>IF($AX956="Cancelled","",IFERROR(IF(AJ956="","",IF(AND(AB956="",AF956=""),"",IF(AF956&gt;AB956,AF956+Variables!$B$15+Variables!$B$16+Variables!$B$17-AJ956,AB956+Variables!$B$16+Variables!$B$17-AJ956))),""))</f>
        <v>-8</v>
      </c>
      <c r="AL956" s="48" t="s">
        <v>114</v>
      </c>
      <c r="AM956" s="13" t="s">
        <v>115</v>
      </c>
      <c r="AN956" s="13" t="s">
        <v>2464</v>
      </c>
      <c r="AP956" s="39"/>
      <c r="AR956" s="13">
        <v>271786925</v>
      </c>
      <c r="AS956" s="31">
        <v>46198</v>
      </c>
      <c r="AU956" s="31">
        <v>46228</v>
      </c>
      <c r="AV956" s="13" t="e">
        <v>#REF!</v>
      </c>
      <c r="AW956" s="31">
        <v>46228</v>
      </c>
      <c r="AX956" s="13" t="str">
        <f>IF(ISNUMBER(SEARCH("cancel",#REF!)),"Cancelled",IF(AND(AS956&lt;&gt;"",AU956&lt;&gt;"",AW956&lt;&gt;""),"Closed","Open"))</f>
        <v>Closed</v>
      </c>
      <c r="AY956" s="15" t="str">
        <f t="shared" si="45"/>
        <v>All dates received</v>
      </c>
      <c r="BD956" s="13">
        <f>IF($AX956="Cancelled","",IFERROR(IF(OR(AS956="",AJ956=""),"",(AJ956+Variables!$B$18-AS956)),""))</f>
        <v>2</v>
      </c>
      <c r="BE956" s="13">
        <f>IF($AX956="Cancelled","",IFERROR(IF(OR(AW956="",AS956=""),"",(AS956+Variables!$B$19)-AW956),""))</f>
        <v>-25</v>
      </c>
      <c r="BF956" s="44">
        <f>IF($AX956="Cancelled","",IFERROR(W956*INDEX(Variables!$B$7:$D$7,IFERROR(MATCH(IF($B956="Robusta","Robusta",(IF($B956="","Arabica",$B956))&amp;" - "&amp;(IF($C956="","Commercial",$C956))),Variables!$B$1:$D$1,0),1))*(BE956/365),""))</f>
        <v>-2878.6647019093339</v>
      </c>
      <c r="BG956" s="44">
        <f>IF($AX956="Cancelled","",IFERROR((W956*INDEX(Variables!$B$7:$D$7,IFERROR(MATCH(IF($B956="Robusta","Robusta",(IF($B956="","Arabica",$B956))&amp;" - "&amp;(IF($C956="","Commercial",$C956))),Variables!$B$1:$D$1,0),1))*IFERROR(IF(AB956="","",(AVERAGE(E956:F956)-AB956)-Variables!$B$14),"")/365)+(L956/16.67*INDEX(Variables!$B$8:$D$8,IFERROR(MATCH(IF($B956="Robusta","Robusta",(IF($B956="","Arabica",$B956))&amp;" - "&amp;(IF($C956="","Commercial",$C956))),Variables!$B$1:$D$1,0),1))*IFERROR(IF(AB956="","",(AVERAGE(E956:F956)-AB956)-Variables!$B$14),""))+(W956*INDEX(Variables!$B$9:$D$9,IFERROR(MATCH(IF($B956="Robusta","Robusta",(IF($B956="","Arabica",$B956))&amp;" - "&amp;(IF($C956="","Commercial",$C956))),Variables!$B$1:$D$1,0),1))*IFERROR(IF(AB956="","",(AVERAGE(E956:F956)-AB956)-Variables!$B$14),"")/365),""))</f>
        <v>-3925.989946468917</v>
      </c>
      <c r="BH956" s="44">
        <f>IF($AX956="Cancelled","",IFERROR((W956*INDEX(Variables!$B$7:$D$7,IFERROR(MATCH(IF($B956="Robusta","Robusta",(IF($B956="","Arabica",$B956))&amp;" - "&amp;(IF($C956="","Commercial",$C956))),Variables!$B$1:$D$1,0),1))*AK956/365)+(L956/16.67*INDEX(Variables!$B$8:$D$8,IFERROR(MATCH(IF($B956="Robusta","Robusta",(IF($B956="","Arabica",$B956))&amp;" - "&amp;(IF($C956="","Commercial",$C956))),Variables!$B$1:$D$1,0),1))*AK956)+(W956*INDEX(Variables!$B$9:$D$9,IFERROR(MATCH(IF($B956="Robusta","Robusta",(IF($B956="","Arabica",$B956))&amp;" - "&amp;(IF($C956="","Commercial",$C956))),Variables!$B$1:$D$1,0),1))*AK956/365),""))</f>
        <v>-1653.0483985132282</v>
      </c>
      <c r="BI956" s="44">
        <f>IF($AX956="Cancelled","",IFERROR((W956*INDEX(Variables!$B$7:$D$7,IFERROR(MATCH(IF($B956="Robusta","Robusta",(IF($B956="","Arabica",$B956))&amp;" - "&amp;(IF($C956="","Commercial",$C956))),Variables!$B$1:$D$1,0),1))*BD956/365)+(L956/16.67*INDEX(Variables!$B$8:$D$8,IFERROR(MATCH(IF($B956="Robusta","Robusta",(IF($B956="","Arabica",$B956))&amp;" - "&amp;(IF($C956="","Commercial",$C956))),Variables!$B$1:$D$1,0),1))*BD956)+(W956*INDEX(Variables!$B$9:$D$9,IFERROR(MATCH(IF($B956="Robusta","Robusta",(IF($B956="","Arabica",$B956))&amp;" - "&amp;(IF($C956="","Commercial",$C956))),Variables!$B$1:$D$1,0),1))*BD956/365),""))</f>
        <v>413.26209962830706</v>
      </c>
      <c r="BJ956" s="44">
        <f t="shared" si="44"/>
        <v>-25</v>
      </c>
      <c r="BK956" s="44">
        <f>IF($AX956="Cancelled","",IFERROR(IF(BJ956="","",(W956*INDEX(Variables!$B$7:$D$7,IFERROR(MATCH(IF($B956="Robusta","Robusta",(IF($B956="","Arabica",$B956))&amp;" - "&amp;(IF($C956="","Commercial",$C956))),Variables!$B$1:$D$1,0),1))*(BJ956/365))+(W956*INDEX(Variables!$B$9:$D$9,IFERROR(MATCH(IF($B956="Robusta","Robusta",(IF($B956="","Arabica",$B956))&amp;" - "&amp;(IF($C956="","Commercial",$C956))),Variables!$B$1:$D$1,0),1))*(BJ956/365))+(INDEX(Variables!$B$8:$D$8,IFERROR(MATCH(IF($B956="Robusta","Robusta",(IF($B956="","Arabica",$B956))&amp;" - "&amp;(IF($C956="","Commercial",$C956))),Variables!$B$1:$D$1,0),1))*L956/16.67)),""))</f>
        <v>-2825.7762453538385</v>
      </c>
    </row>
    <row r="957" spans="1:63">
      <c r="A957" s="13" t="s">
        <v>103</v>
      </c>
      <c r="B957" s="13" t="s">
        <v>104</v>
      </c>
      <c r="C957" s="13" t="s">
        <v>292</v>
      </c>
      <c r="D957" s="31">
        <v>46085</v>
      </c>
      <c r="E957" s="31">
        <v>46113</v>
      </c>
      <c r="F957" s="31">
        <v>46142</v>
      </c>
      <c r="G957" s="13">
        <v>3787384</v>
      </c>
      <c r="J957" s="13" t="s">
        <v>909</v>
      </c>
      <c r="K957" s="13" t="s">
        <v>2465</v>
      </c>
      <c r="L957" s="13">
        <v>11</v>
      </c>
      <c r="M957" s="13">
        <v>1</v>
      </c>
      <c r="N957" s="13" t="s">
        <v>2466</v>
      </c>
      <c r="O957" s="13" t="s">
        <v>1054</v>
      </c>
      <c r="P957" s="13">
        <v>10020</v>
      </c>
      <c r="R957" s="13" t="s">
        <v>239</v>
      </c>
      <c r="S957" s="13" t="s">
        <v>2467</v>
      </c>
      <c r="T957" s="13" t="s">
        <v>112</v>
      </c>
      <c r="U957" s="13" t="s">
        <v>113</v>
      </c>
      <c r="V957" s="23">
        <v>203</v>
      </c>
      <c r="W957" s="44">
        <f>IF($AX957="Cancelled","",IFERROR(((V957+INDEX(Variables!$B$6:$D$6,IFERROR(MATCH(IF($B957="Robusta","Robusta",(IF($B957="","Arabica",$B957))&amp;" - "&amp;(IF($C957="","Commercial",$C957))),Variables!$B$1:$D$1,0),1)))*22.0462)*(L957/16.67),""))</f>
        <v>7183.5962303539281</v>
      </c>
      <c r="Y957" s="13" t="str">
        <f>IF($AX957="Cancelled","",IF(X957="","",IFERROR(IF(INDEX(Variables!$B$38:$B$47,MATCH(X957,Variables!$A$38:$A$47,0))="Yes","Yes","No"),"No")))</f>
        <v/>
      </c>
      <c r="Z957" s="31"/>
      <c r="AC957" s="13" t="str">
        <f t="shared" si="43"/>
        <v/>
      </c>
      <c r="AF957" s="71">
        <v>46155</v>
      </c>
      <c r="AG957" s="37">
        <f>IF($AX957="Cancelled","",IFERROR(IF(F957="","",F957-Variables!$B$13),""))</f>
        <v>46127</v>
      </c>
      <c r="AH957" s="13" t="str">
        <f>IF($AX957="Cancelled","",IFERROR(IF(AB957="","",(AVERAGE(E957:F957)-AB957)-Variables!$B$14),""))</f>
        <v/>
      </c>
      <c r="AJ957" s="47">
        <v>46162</v>
      </c>
      <c r="AK957" s="14">
        <f>IF($AX957="Cancelled","",IFERROR(IF(AJ957="","",IF(AND(AB957="",AF957=""),"",IF(AF957&gt;AB957,AF957+Variables!$B$15+Variables!$B$16+Variables!$B$17-AJ957,AB957+Variables!$B$16+Variables!$B$17-AJ957))),""))</f>
        <v>8</v>
      </c>
      <c r="AL957" s="48" t="s">
        <v>114</v>
      </c>
      <c r="AM957" s="13" t="s">
        <v>134</v>
      </c>
      <c r="AN957" s="13" t="s">
        <v>2468</v>
      </c>
      <c r="AP957" s="39" t="e">
        <v>#N/A</v>
      </c>
      <c r="AR957" s="13" t="s">
        <v>2469</v>
      </c>
      <c r="AS957" s="31">
        <v>46170</v>
      </c>
      <c r="AU957" s="31">
        <v>46197</v>
      </c>
      <c r="AV957" s="13" t="s">
        <v>865</v>
      </c>
      <c r="AW957" s="31">
        <v>46197</v>
      </c>
      <c r="AX957" s="13" t="str">
        <f>IF(ISNUMBER(SEARCH("cancel",#REF!)),"Cancelled",IF(AND(AS957&lt;&gt;"",AU957&lt;&gt;"",AW957&lt;&gt;""),"Closed","Open"))</f>
        <v>Closed</v>
      </c>
      <c r="AY957" s="15" t="str">
        <f t="shared" si="45"/>
        <v>All dates received</v>
      </c>
      <c r="BD957" s="13">
        <f>IF($AX957="Cancelled","",IFERROR(IF(OR(AS957="",AJ957=""),"",(AJ957+Variables!$B$18-AS957)),""))</f>
        <v>7</v>
      </c>
      <c r="BE957" s="13">
        <f>IF($AX957="Cancelled","",IFERROR(IF(OR(AW957="",AS957=""),"",(AS957+Variables!$B$19)-AW957),""))</f>
        <v>-22</v>
      </c>
      <c r="BF957" s="44">
        <f>IF($AX957="Cancelled","",IFERROR(W957*INDEX(Variables!$B$7:$D$7,IFERROR(MATCH(IF($B957="Robusta","Robusta",(IF($B957="","Arabica",$B957))&amp;" - "&amp;(IF($C957="","Commercial",$C957))),Variables!$B$1:$D$1,0),1))*(BE957/365),""))</f>
        <v>-27.919753300242242</v>
      </c>
      <c r="BG957" s="44" t="str">
        <f>IF($AX957="Cancelled","",IFERROR((W957*INDEX(Variables!$B$7:$D$7,IFERROR(MATCH(IF($B957="Robusta","Robusta",(IF($B957="","Arabica",$B957))&amp;" - "&amp;(IF($C957="","Commercial",$C957))),Variables!$B$1:$D$1,0),1))*IFERROR(IF(AB957="","",(AVERAGE(E957:F957)-AB957)-Variables!$B$14),"")/365)+(L957/16.67*INDEX(Variables!$B$8:$D$8,IFERROR(MATCH(IF($B957="Robusta","Robusta",(IF($B957="","Arabica",$B957))&amp;" - "&amp;(IF($C957="","Commercial",$C957))),Variables!$B$1:$D$1,0),1))*IFERROR(IF(AB957="","",(AVERAGE(E957:F957)-AB957)-Variables!$B$14),""))+(W957*INDEX(Variables!$B$9:$D$9,IFERROR(MATCH(IF($B957="Robusta","Robusta",(IF($B957="","Arabica",$B957))&amp;" - "&amp;(IF($C957="","Commercial",$C957))),Variables!$B$1:$D$1,0),1))*IFERROR(IF(AB957="","",(AVERAGE(E957:F957)-AB957)-Variables!$B$14),"")/365),""))</f>
        <v/>
      </c>
      <c r="BH957" s="44">
        <f>IF($AX957="Cancelled","",IFERROR((W957*INDEX(Variables!$B$7:$D$7,IFERROR(MATCH(IF($B957="Robusta","Robusta",(IF($B957="","Arabica",$B957))&amp;" - "&amp;(IF($C957="","Commercial",$C957))),Variables!$B$1:$D$1,0),1))*AK957/365)+(L957/16.67*INDEX(Variables!$B$8:$D$8,IFERROR(MATCH(IF($B957="Robusta","Robusta",(IF($B957="","Arabica",$B957))&amp;" - "&amp;(IF($C957="","Commercial",$C957))),Variables!$B$1:$D$1,0),1))*AK957)+(W957*INDEX(Variables!$B$9:$D$9,IFERROR(MATCH(IF($B957="Robusta","Robusta",(IF($B957="","Arabica",$B957))&amp;" - "&amp;(IF($C957="","Commercial",$C957))),Variables!$B$1:$D$1,0),1))*AK957/365),""))</f>
        <v>14.683524655150055</v>
      </c>
      <c r="BI957" s="44">
        <f>IF($AX957="Cancelled","",IFERROR((W957*INDEX(Variables!$B$7:$D$7,IFERROR(MATCH(IF($B957="Robusta","Robusta",(IF($B957="","Arabica",$B957))&amp;" - "&amp;(IF($C957="","Commercial",$C957))),Variables!$B$1:$D$1,0),1))*BD957/365)+(L957/16.67*INDEX(Variables!$B$8:$D$8,IFERROR(MATCH(IF($B957="Robusta","Robusta",(IF($B957="","Arabica",$B957))&amp;" - "&amp;(IF($C957="","Commercial",$C957))),Variables!$B$1:$D$1,0),1))*BD957)+(W957*INDEX(Variables!$B$9:$D$9,IFERROR(MATCH(IF($B957="Robusta","Robusta",(IF($B957="","Arabica",$B957))&amp;" - "&amp;(IF($C957="","Commercial",$C957))),Variables!$B$1:$D$1,0),1))*BD957/365),""))</f>
        <v>12.848084073256299</v>
      </c>
      <c r="BJ957" s="44">
        <f t="shared" si="44"/>
        <v>-28</v>
      </c>
      <c r="BK957" s="44">
        <f>IF($AX957="Cancelled","",IFERROR(IF(BJ957="","",(W957*INDEX(Variables!$B$7:$D$7,IFERROR(MATCH(IF($B957="Robusta","Robusta",(IF($B957="","Arabica",$B957))&amp;" - "&amp;(IF($C957="","Commercial",$C957))),Variables!$B$1:$D$1,0),1))*(BJ957/365))+(W957*INDEX(Variables!$B$9:$D$9,IFERROR(MATCH(IF($B957="Robusta","Robusta",(IF($B957="","Arabica",$B957))&amp;" - "&amp;(IF($C957="","Commercial",$C957))),Variables!$B$1:$D$1,0),1))*(BJ957/365))+(INDEX(Variables!$B$8:$D$8,IFERROR(MATCH(IF($B957="Robusta","Robusta",(IF($B957="","Arabica",$B957))&amp;" - "&amp;(IF($C957="","Commercial",$C957))),Variables!$B$1:$D$1,0),1))*L957/16.67)),""))</f>
        <v>-35.4423362930252</v>
      </c>
    </row>
    <row r="958" spans="1:63">
      <c r="A958" s="13" t="s">
        <v>103</v>
      </c>
      <c r="B958" s="13" t="s">
        <v>104</v>
      </c>
      <c r="C958" s="13" t="s">
        <v>292</v>
      </c>
      <c r="D958" s="31">
        <v>46085</v>
      </c>
      <c r="E958" s="31">
        <v>46113</v>
      </c>
      <c r="F958" s="31">
        <v>46142</v>
      </c>
      <c r="G958" s="13">
        <v>3787385</v>
      </c>
      <c r="J958" s="13" t="s">
        <v>909</v>
      </c>
      <c r="K958" s="13" t="s">
        <v>2470</v>
      </c>
      <c r="L958" s="13">
        <v>21</v>
      </c>
      <c r="M958" s="13">
        <v>0</v>
      </c>
      <c r="N958" s="13" t="s">
        <v>2471</v>
      </c>
      <c r="O958" s="13" t="s">
        <v>771</v>
      </c>
      <c r="P958" s="13">
        <v>10010</v>
      </c>
      <c r="R958" s="13" t="s">
        <v>239</v>
      </c>
      <c r="S958" s="13" t="s">
        <v>2467</v>
      </c>
      <c r="T958" s="13" t="s">
        <v>112</v>
      </c>
      <c r="U958" s="13" t="s">
        <v>113</v>
      </c>
      <c r="V958" s="23">
        <v>188</v>
      </c>
      <c r="W958" s="44">
        <f>IF($AX958="Cancelled","",IFERROR(((V958+INDEX(Variables!$B$6:$D$6,IFERROR(MATCH(IF($B958="Robusta","Robusta",(IF($B958="","Arabica",$B958))&amp;" - "&amp;(IF($C958="","Commercial",$C958))),Variables!$B$1:$D$1,0),1)))*22.0462)*(L958/16.67),""))</f>
        <v>13297.548395920814</v>
      </c>
      <c r="Y958" s="13" t="str">
        <f>IF($AX958="Cancelled","",IF(X958="","",IFERROR(IF(INDEX(Variables!$B$38:$B$47,MATCH(X958,Variables!$A$38:$A$47,0))="Yes","Yes","No"),"No")))</f>
        <v/>
      </c>
      <c r="Z958" s="31"/>
      <c r="AC958" s="13" t="str">
        <f t="shared" si="43"/>
        <v/>
      </c>
      <c r="AF958" s="71">
        <v>46148</v>
      </c>
      <c r="AG958" s="37">
        <f>IF($AX958="Cancelled","",IFERROR(IF(F958="","",F958-Variables!$B$13),""))</f>
        <v>46127</v>
      </c>
      <c r="AH958" s="13" t="str">
        <f>IF($AX958="Cancelled","",IFERROR(IF(AB958="","",(AVERAGE(E958:F958)-AB958)-Variables!$B$14),""))</f>
        <v/>
      </c>
      <c r="AJ958" s="47">
        <v>46162</v>
      </c>
      <c r="AK958" s="14">
        <f>IF($AX958="Cancelled","",IFERROR(IF(AJ958="","",IF(AND(AB958="",AF958=""),"",IF(AF958&gt;AB958,AF958+Variables!$B$15+Variables!$B$16+Variables!$B$17-AJ958,AB958+Variables!$B$16+Variables!$B$17-AJ958))),""))</f>
        <v>1</v>
      </c>
      <c r="AL958" s="48" t="s">
        <v>114</v>
      </c>
      <c r="AM958" s="13" t="s">
        <v>134</v>
      </c>
      <c r="AN958" s="13" t="s">
        <v>2468</v>
      </c>
      <c r="AP958" s="39" t="e">
        <v>#N/A</v>
      </c>
      <c r="AR958" s="13" t="s">
        <v>2469</v>
      </c>
      <c r="AS958" s="31">
        <v>46170</v>
      </c>
      <c r="AU958" s="31">
        <v>46197</v>
      </c>
      <c r="AV958" s="13" t="s">
        <v>865</v>
      </c>
      <c r="AW958" s="31">
        <v>46197</v>
      </c>
      <c r="AX958" s="13" t="str">
        <f>IF(ISNUMBER(SEARCH("cancel",#REF!)),"Cancelled",IF(AND(AS958&lt;&gt;"",AU958&lt;&gt;"",AW958&lt;&gt;""),"Closed","Open"))</f>
        <v>Closed</v>
      </c>
      <c r="AY958" s="15" t="str">
        <f t="shared" si="45"/>
        <v>All dates received</v>
      </c>
      <c r="BD958" s="13">
        <f>IF($AX958="Cancelled","",IFERROR(IF(OR(AS958="",AJ958=""),"",(AJ958+Variables!$B$18-AS958)),""))</f>
        <v>7</v>
      </c>
      <c r="BE958" s="13">
        <f>IF($AX958="Cancelled","",IFERROR(IF(OR(AW958="",AS958=""),"",(AS958+Variables!$B$19)-AW958),""))</f>
        <v>-22</v>
      </c>
      <c r="BF958" s="44">
        <f>IF($AX958="Cancelled","",IFERROR(W958*INDEX(Variables!$B$7:$D$7,IFERROR(MATCH(IF($B958="Robusta","Robusta",(IF($B958="","Arabica",$B958))&amp;" - "&amp;(IF($C958="","Commercial",$C958))),Variables!$B$1:$D$1,0),1))*(BE958/365),""))</f>
        <v>-51.682229736602174</v>
      </c>
      <c r="BG958" s="44" t="str">
        <f>IF($AX958="Cancelled","",IFERROR((W958*INDEX(Variables!$B$7:$D$7,IFERROR(MATCH(IF($B958="Robusta","Robusta",(IF($B958="","Arabica",$B958))&amp;" - "&amp;(IF($C958="","Commercial",$C958))),Variables!$B$1:$D$1,0),1))*IFERROR(IF(AB958="","",(AVERAGE(E958:F958)-AB958)-Variables!$B$14),"")/365)+(L958/16.67*INDEX(Variables!$B$8:$D$8,IFERROR(MATCH(IF($B958="Robusta","Robusta",(IF($B958="","Arabica",$B958))&amp;" - "&amp;(IF($C958="","Commercial",$C958))),Variables!$B$1:$D$1,0),1))*IFERROR(IF(AB958="","",(AVERAGE(E958:F958)-AB958)-Variables!$B$14),""))+(W958*INDEX(Variables!$B$9:$D$9,IFERROR(MATCH(IF($B958="Robusta","Robusta",(IF($B958="","Arabica",$B958))&amp;" - "&amp;(IF($C958="","Commercial",$C958))),Variables!$B$1:$D$1,0),1))*IFERROR(IF(AB958="","",(AVERAGE(E958:F958)-AB958)-Variables!$B$14),"")/365),""))</f>
        <v/>
      </c>
      <c r="BH958" s="44">
        <f>IF($AX958="Cancelled","",IFERROR((W958*INDEX(Variables!$B$7:$D$7,IFERROR(MATCH(IF($B958="Robusta","Robusta",(IF($B958="","Arabica",$B958))&amp;" - "&amp;(IF($C958="","Commercial",$C958))),Variables!$B$1:$D$1,0),1))*AK958/365)+(L958/16.67*INDEX(Variables!$B$8:$D$8,IFERROR(MATCH(IF($B958="Robusta","Robusta",(IF($B958="","Arabica",$B958))&amp;" - "&amp;(IF($C958="","Commercial",$C958))),Variables!$B$1:$D$1,0),1))*AK958)+(W958*INDEX(Variables!$B$9:$D$9,IFERROR(MATCH(IF($B958="Robusta","Robusta",(IF($B958="","Arabica",$B958))&amp;" - "&amp;(IF($C958="","Commercial",$C958))),Variables!$B$1:$D$1,0),1))*AK958/365),""))</f>
        <v>3.4294778826218466</v>
      </c>
      <c r="BI958" s="44">
        <f>IF($AX958="Cancelled","",IFERROR((W958*INDEX(Variables!$B$7:$D$7,IFERROR(MATCH(IF($B958="Robusta","Robusta",(IF($B958="","Arabica",$B958))&amp;" - "&amp;(IF($C958="","Commercial",$C958))),Variables!$B$1:$D$1,0),1))*BD958/365)+(L958/16.67*INDEX(Variables!$B$8:$D$8,IFERROR(MATCH(IF($B958="Robusta","Robusta",(IF($B958="","Arabica",$B958))&amp;" - "&amp;(IF($C958="","Commercial",$C958))),Variables!$B$1:$D$1,0),1))*BD958)+(W958*INDEX(Variables!$B$9:$D$9,IFERROR(MATCH(IF($B958="Robusta","Robusta",(IF($B958="","Arabica",$B958))&amp;" - "&amp;(IF($C958="","Commercial",$C958))),Variables!$B$1:$D$1,0),1))*BD958/365),""))</f>
        <v>24.006345178352927</v>
      </c>
      <c r="BJ958" s="44">
        <f t="shared" si="44"/>
        <v>-28</v>
      </c>
      <c r="BK958" s="44">
        <f>IF($AX958="Cancelled","",IFERROR(IF(BJ958="","",(W958*INDEX(Variables!$B$7:$D$7,IFERROR(MATCH(IF($B958="Robusta","Robusta",(IF($B958="","Arabica",$B958))&amp;" - "&amp;(IF($C958="","Commercial",$C958))),Variables!$B$1:$D$1,0),1))*(BJ958/365))+(W958*INDEX(Variables!$B$9:$D$9,IFERROR(MATCH(IF($B958="Robusta","Robusta",(IF($B958="","Arabica",$B958))&amp;" - "&amp;(IF($C958="","Commercial",$C958))),Variables!$B$1:$D$1,0),1))*(BJ958/365))+(INDEX(Variables!$B$8:$D$8,IFERROR(MATCH(IF($B958="Robusta","Robusta",(IF($B958="","Arabica",$B958))&amp;" - "&amp;(IF($C958="","Commercial",$C958))),Variables!$B$1:$D$1,0),1))*L958/16.67)),""))</f>
        <v>-65.575380713411718</v>
      </c>
    </row>
    <row r="959" spans="1:63">
      <c r="A959" s="13" t="s">
        <v>103</v>
      </c>
      <c r="B959" s="13" t="s">
        <v>104</v>
      </c>
      <c r="C959" s="13" t="s">
        <v>292</v>
      </c>
      <c r="D959" s="31">
        <v>46085</v>
      </c>
      <c r="E959" s="31">
        <v>46113</v>
      </c>
      <c r="F959" s="31">
        <v>46142</v>
      </c>
      <c r="G959" s="13">
        <v>3787386</v>
      </c>
      <c r="J959" s="13" t="s">
        <v>909</v>
      </c>
      <c r="K959" s="13" t="s">
        <v>2472</v>
      </c>
      <c r="L959" s="13">
        <v>43</v>
      </c>
      <c r="M959" s="13">
        <v>0</v>
      </c>
      <c r="N959" s="13" t="s">
        <v>2473</v>
      </c>
      <c r="O959" s="13" t="s">
        <v>771</v>
      </c>
      <c r="P959" s="13">
        <v>10010</v>
      </c>
      <c r="R959" s="13" t="s">
        <v>239</v>
      </c>
      <c r="S959" s="13" t="s">
        <v>2467</v>
      </c>
      <c r="T959" s="13" t="s">
        <v>112</v>
      </c>
      <c r="U959" s="13" t="s">
        <v>113</v>
      </c>
      <c r="V959" s="23">
        <v>187</v>
      </c>
      <c r="W959" s="44">
        <f>IF($AX959="Cancelled","",IFERROR(((V959+INDEX(Variables!$B$6:$D$6,IFERROR(MATCH(IF($B959="Robusta","Robusta",(IF($B959="","Arabica",$B959))&amp;" - "&amp;(IF($C959="","Commercial",$C959))),Variables!$B$1:$D$1,0),1)))*22.0462)*(L959/16.67),""))</f>
        <v>27171.445559688058</v>
      </c>
      <c r="Y959" s="13" t="str">
        <f>IF($AX959="Cancelled","",IF(X959="","",IFERROR(IF(INDEX(Variables!$B$38:$B$47,MATCH(X959,Variables!$A$38:$A$47,0))="Yes","Yes","No"),"No")))</f>
        <v/>
      </c>
      <c r="Z959" s="31"/>
      <c r="AC959" s="13" t="str">
        <f t="shared" si="43"/>
        <v/>
      </c>
      <c r="AF959" s="71">
        <v>46150</v>
      </c>
      <c r="AG959" s="35">
        <f>IF($AX959="Cancelled","",IFERROR(IF(F959="","",F959-Variables!$B$13),""))</f>
        <v>46127</v>
      </c>
      <c r="AH959" s="13" t="str">
        <f>IF($AX959="Cancelled","",IFERROR(IF(AB959="","",(AVERAGE(E959:F959)-AB959)-Variables!$B$14),""))</f>
        <v/>
      </c>
      <c r="AJ959" s="47">
        <v>46162</v>
      </c>
      <c r="AK959" s="14">
        <f>IF($AX959="Cancelled","",IFERROR(IF(AJ959="","",IF(AND(AB959="",AF959=""),"",IF(AF959&gt;AB959,AF959+Variables!$B$15+Variables!$B$16+Variables!$B$17-AJ959,AB959+Variables!$B$16+Variables!$B$17-AJ959))),""))</f>
        <v>3</v>
      </c>
      <c r="AL959" s="48" t="s">
        <v>114</v>
      </c>
      <c r="AM959" s="13" t="s">
        <v>134</v>
      </c>
      <c r="AN959" s="13" t="s">
        <v>2468</v>
      </c>
      <c r="AP959" s="39" t="e">
        <v>#N/A</v>
      </c>
      <c r="AR959" s="13" t="s">
        <v>2469</v>
      </c>
      <c r="AS959" s="31">
        <v>46170</v>
      </c>
      <c r="AU959" s="31">
        <v>46197</v>
      </c>
      <c r="AV959" s="13" t="s">
        <v>865</v>
      </c>
      <c r="AW959" s="31">
        <v>46197</v>
      </c>
      <c r="AX959" s="13" t="str">
        <f>IF(ISNUMBER(SEARCH("cancel",#REF!)),"Cancelled",IF(AND(AS959&lt;&gt;"",AU959&lt;&gt;"",AW959&lt;&gt;""),"Closed","Open"))</f>
        <v>Closed</v>
      </c>
      <c r="AY959" s="15" t="str">
        <f t="shared" si="45"/>
        <v>All dates received</v>
      </c>
      <c r="BD959" s="13">
        <f>IF($AX959="Cancelled","",IFERROR(IF(OR(AS959="",AJ959=""),"",(AJ959+Variables!$B$18-AS959)),""))</f>
        <v>7</v>
      </c>
      <c r="BE959" s="13">
        <f>IF($AX959="Cancelled","",IFERROR(IF(OR(AW959="",AS959=""),"",(AS959+Variables!$B$19)-AW959),""))</f>
        <v>-22</v>
      </c>
      <c r="BF959" s="44">
        <f>IF($AX959="Cancelled","",IFERROR(W959*INDEX(Variables!$B$7:$D$7,IFERROR(MATCH(IF($B959="Robusta","Robusta",(IF($B959="","Arabica",$B959))&amp;" - "&amp;(IF($C959="","Commercial",$C959))),Variables!$B$1:$D$1,0),1))*(BE959/365),""))</f>
        <v>-105.60449564689365</v>
      </c>
      <c r="BG959" s="44" t="str">
        <f>IF($AX959="Cancelled","",IFERROR((W959*INDEX(Variables!$B$7:$D$7,IFERROR(MATCH(IF($B959="Robusta","Robusta",(IF($B959="","Arabica",$B959))&amp;" - "&amp;(IF($C959="","Commercial",$C959))),Variables!$B$1:$D$1,0),1))*IFERROR(IF(AB959="","",(AVERAGE(E959:F959)-AB959)-Variables!$B$14),"")/365)+(L959/16.67*INDEX(Variables!$B$8:$D$8,IFERROR(MATCH(IF($B959="Robusta","Robusta",(IF($B959="","Arabica",$B959))&amp;" - "&amp;(IF($C959="","Commercial",$C959))),Variables!$B$1:$D$1,0),1))*IFERROR(IF(AB959="","",(AVERAGE(E959:F959)-AB959)-Variables!$B$14),""))+(W959*INDEX(Variables!$B$9:$D$9,IFERROR(MATCH(IF($B959="Robusta","Robusta",(IF($B959="","Arabica",$B959))&amp;" - "&amp;(IF($C959="","Commercial",$C959))),Variables!$B$1:$D$1,0),1))*IFERROR(IF(AB959="","",(AVERAGE(E959:F959)-AB959)-Variables!$B$14),"")/365),""))</f>
        <v/>
      </c>
      <c r="BH959" s="44">
        <f>IF($AX959="Cancelled","",IFERROR((W959*INDEX(Variables!$B$7:$D$7,IFERROR(MATCH(IF($B959="Robusta","Robusta",(IF($B959="","Arabica",$B959))&amp;" - "&amp;(IF($C959="","Commercial",$C959))),Variables!$B$1:$D$1,0),1))*AK959/365)+(L959/16.67*INDEX(Variables!$B$8:$D$8,IFERROR(MATCH(IF($B959="Robusta","Robusta",(IF($B959="","Arabica",$B959))&amp;" - "&amp;(IF($C959="","Commercial",$C959))),Variables!$B$1:$D$1,0),1))*AK959)+(W959*INDEX(Variables!$B$9:$D$9,IFERROR(MATCH(IF($B959="Robusta","Robusta",(IF($B959="","Arabica",$B959))&amp;" - "&amp;(IF($C959="","Commercial",$C959))),Variables!$B$1:$D$1,0),1))*AK959/365),""))</f>
        <v>21.036264736131667</v>
      </c>
      <c r="BI959" s="44">
        <f>IF($AX959="Cancelled","",IFERROR((W959*INDEX(Variables!$B$7:$D$7,IFERROR(MATCH(IF($B959="Robusta","Robusta",(IF($B959="","Arabica",$B959))&amp;" - "&amp;(IF($C959="","Commercial",$C959))),Variables!$B$1:$D$1,0),1))*BD959/365)+(L959/16.67*INDEX(Variables!$B$8:$D$8,IFERROR(MATCH(IF($B959="Robusta","Robusta",(IF($B959="","Arabica",$B959))&amp;" - "&amp;(IF($C959="","Commercial",$C959))),Variables!$B$1:$D$1,0),1))*BD959)+(W959*INDEX(Variables!$B$9:$D$9,IFERROR(MATCH(IF($B959="Robusta","Robusta",(IF($B959="","Arabica",$B959))&amp;" - "&amp;(IF($C959="","Commercial",$C959))),Variables!$B$1:$D$1,0),1))*BD959/365),""))</f>
        <v>49.084617717640555</v>
      </c>
      <c r="BJ959" s="44">
        <f t="shared" si="44"/>
        <v>-28</v>
      </c>
      <c r="BK959" s="44">
        <f>IF($AX959="Cancelled","",IFERROR(IF(BJ959="","",(W959*INDEX(Variables!$B$7:$D$7,IFERROR(MATCH(IF($B959="Robusta","Robusta",(IF($B959="","Arabica",$B959))&amp;" - "&amp;(IF($C959="","Commercial",$C959))),Variables!$B$1:$D$1,0),1))*(BJ959/365))+(W959*INDEX(Variables!$B$9:$D$9,IFERROR(MATCH(IF($B959="Robusta","Robusta",(IF($B959="","Arabica",$B959))&amp;" - "&amp;(IF($C959="","Commercial",$C959))),Variables!$B$1:$D$1,0),1))*(BJ959/365))+(INDEX(Variables!$B$8:$D$8,IFERROR(MATCH(IF($B959="Robusta","Robusta",(IF($B959="","Arabica",$B959))&amp;" - "&amp;(IF($C959="","Commercial",$C959))),Variables!$B$1:$D$1,0),1))*L959/16.67)),""))</f>
        <v>-133.98847087056222</v>
      </c>
    </row>
    <row r="960" spans="1:63">
      <c r="A960" s="13" t="s">
        <v>103</v>
      </c>
      <c r="B960" s="13" t="s">
        <v>104</v>
      </c>
      <c r="C960" s="13" t="s">
        <v>292</v>
      </c>
      <c r="D960" s="31">
        <v>46085</v>
      </c>
      <c r="E960" s="31">
        <v>46113</v>
      </c>
      <c r="F960" s="31">
        <v>46142</v>
      </c>
      <c r="G960" s="13">
        <v>3787387</v>
      </c>
      <c r="J960" s="13" t="s">
        <v>909</v>
      </c>
      <c r="K960" s="13" t="s">
        <v>2474</v>
      </c>
      <c r="L960" s="13">
        <v>50</v>
      </c>
      <c r="M960" s="13">
        <v>0</v>
      </c>
      <c r="N960" s="13" t="s">
        <v>2475</v>
      </c>
      <c r="O960" s="13" t="s">
        <v>771</v>
      </c>
      <c r="P960" s="13">
        <v>10010</v>
      </c>
      <c r="R960" s="13" t="s">
        <v>239</v>
      </c>
      <c r="S960" s="13" t="s">
        <v>2467</v>
      </c>
      <c r="T960" s="13" t="s">
        <v>112</v>
      </c>
      <c r="U960" s="13" t="s">
        <v>113</v>
      </c>
      <c r="V960" s="23">
        <v>237</v>
      </c>
      <c r="W960" s="44">
        <f>IF($AX960="Cancelled","",IFERROR(((V960+INDEX(Variables!$B$6:$D$6,IFERROR(MATCH(IF($B960="Robusta","Robusta",(IF($B960="","Arabica",$B960))&amp;" - "&amp;(IF($C960="","Commercial",$C960))),Variables!$B$1:$D$1,0),1)))*22.0462)*(L960/16.67),""))</f>
        <v>34900.972885422903</v>
      </c>
      <c r="Y960" s="13" t="str">
        <f>IF($AX960="Cancelled","",IF(X960="","",IFERROR(IF(INDEX(Variables!$B$38:$B$47,MATCH(X960,Variables!$A$38:$A$47,0))="Yes","Yes","No"),"No")))</f>
        <v/>
      </c>
      <c r="Z960" s="31"/>
      <c r="AC960" s="13" t="str">
        <f t="shared" si="43"/>
        <v/>
      </c>
      <c r="AF960" s="71">
        <v>46148</v>
      </c>
      <c r="AG960" s="35">
        <f>IF($AX960="Cancelled","",IFERROR(IF(F960="","",F960-Variables!$B$13),""))</f>
        <v>46127</v>
      </c>
      <c r="AH960" s="13" t="str">
        <f>IF($AX960="Cancelled","",IFERROR(IF(AB960="","",(AVERAGE(E960:F960)-AB960)-Variables!$B$14),""))</f>
        <v/>
      </c>
      <c r="AJ960" s="47">
        <v>46162</v>
      </c>
      <c r="AK960" s="14">
        <f>IF($AX960="Cancelled","",IFERROR(IF(AJ960="","",IF(AND(AB960="",AF960=""),"",IF(AF960&gt;AB960,AF960+Variables!$B$15+Variables!$B$16+Variables!$B$17-AJ960,AB960+Variables!$B$16+Variables!$B$17-AJ960))),""))</f>
        <v>1</v>
      </c>
      <c r="AL960" s="48" t="s">
        <v>114</v>
      </c>
      <c r="AM960" s="13" t="s">
        <v>134</v>
      </c>
      <c r="AN960" s="13" t="s">
        <v>2468</v>
      </c>
      <c r="AP960" s="39" t="e">
        <v>#N/A</v>
      </c>
      <c r="AR960" s="13" t="s">
        <v>2469</v>
      </c>
      <c r="AS960" s="31">
        <v>46170</v>
      </c>
      <c r="AU960" s="31">
        <v>46197</v>
      </c>
      <c r="AV960" s="13" t="s">
        <v>865</v>
      </c>
      <c r="AW960" s="31">
        <v>46197</v>
      </c>
      <c r="AX960" s="13" t="str">
        <f>IF(ISNUMBER(SEARCH("cancel",#REF!)),"Cancelled",IF(AND(AS960&lt;&gt;"",AU960&lt;&gt;"",AW960&lt;&gt;""),"Closed","Open"))</f>
        <v>Closed</v>
      </c>
      <c r="AY960" s="15" t="str">
        <f t="shared" si="45"/>
        <v>All dates received</v>
      </c>
      <c r="BD960" s="13">
        <f>IF($AX960="Cancelled","",IFERROR(IF(OR(AS960="",AJ960=""),"",(AJ960+Variables!$B$18-AS960)),""))</f>
        <v>7</v>
      </c>
      <c r="BE960" s="13">
        <f>IF($AX960="Cancelled","",IFERROR(IF(OR(AW960="",AS960=""),"",(AS960+Variables!$B$19)-AW960),""))</f>
        <v>-22</v>
      </c>
      <c r="BF960" s="44">
        <f>IF($AX960="Cancelled","",IFERROR(W960*INDEX(Variables!$B$7:$D$7,IFERROR(MATCH(IF($B960="Robusta","Robusta",(IF($B960="","Arabica",$B960))&amp;" - "&amp;(IF($C960="","Commercial",$C960))),Variables!$B$1:$D$1,0),1))*(BE960/365),""))</f>
        <v>-135.64606384502238</v>
      </c>
      <c r="BG960" s="44" t="str">
        <f>IF($AX960="Cancelled","",IFERROR((W960*INDEX(Variables!$B$7:$D$7,IFERROR(MATCH(IF($B960="Robusta","Robusta",(IF($B960="","Arabica",$B960))&amp;" - "&amp;(IF($C960="","Commercial",$C960))),Variables!$B$1:$D$1,0),1))*IFERROR(IF(AB960="","",(AVERAGE(E960:F960)-AB960)-Variables!$B$14),"")/365)+(L960/16.67*INDEX(Variables!$B$8:$D$8,IFERROR(MATCH(IF($B960="Robusta","Robusta",(IF($B960="","Arabica",$B960))&amp;" - "&amp;(IF($C960="","Commercial",$C960))),Variables!$B$1:$D$1,0),1))*IFERROR(IF(AB960="","",(AVERAGE(E960:F960)-AB960)-Variables!$B$14),""))+(W960*INDEX(Variables!$B$9:$D$9,IFERROR(MATCH(IF($B960="Robusta","Robusta",(IF($B960="","Arabica",$B960))&amp;" - "&amp;(IF($C960="","Commercial",$C960))),Variables!$B$1:$D$1,0),1))*IFERROR(IF(AB960="","",(AVERAGE(E960:F960)-AB960)-Variables!$B$14),"")/365),""))</f>
        <v/>
      </c>
      <c r="BH960" s="44">
        <f>IF($AX960="Cancelled","",IFERROR((W960*INDEX(Variables!$B$7:$D$7,IFERROR(MATCH(IF($B960="Robusta","Robusta",(IF($B960="","Arabica",$B960))&amp;" - "&amp;(IF($C960="","Commercial",$C960))),Variables!$B$1:$D$1,0),1))*AK960/365)+(L960/16.67*INDEX(Variables!$B$8:$D$8,IFERROR(MATCH(IF($B960="Robusta","Robusta",(IF($B960="","Arabica",$B960))&amp;" - "&amp;(IF($C960="","Commercial",$C960))),Variables!$B$1:$D$1,0),1))*AK960)+(W960*INDEX(Variables!$B$9:$D$9,IFERROR(MATCH(IF($B960="Robusta","Robusta",(IF($B960="","Arabica",$B960))&amp;" - "&amp;(IF($C960="","Commercial",$C960))),Variables!$B$1:$D$1,0),1))*AK960/365),""))</f>
        <v>8.7452183357590929</v>
      </c>
      <c r="BI960" s="44">
        <f>IF($AX960="Cancelled","",IFERROR((W960*INDEX(Variables!$B$7:$D$7,IFERROR(MATCH(IF($B960="Robusta","Robusta",(IF($B960="","Arabica",$B960))&amp;" - "&amp;(IF($C960="","Commercial",$C960))),Variables!$B$1:$D$1,0),1))*BD960/365)+(L960/16.67*INDEX(Variables!$B$8:$D$8,IFERROR(MATCH(IF($B960="Robusta","Robusta",(IF($B960="","Arabica",$B960))&amp;" - "&amp;(IF($C960="","Commercial",$C960))),Variables!$B$1:$D$1,0),1))*BD960)+(W960*INDEX(Variables!$B$9:$D$9,IFERROR(MATCH(IF($B960="Robusta","Robusta",(IF($B960="","Arabica",$B960))&amp;" - "&amp;(IF($C960="","Commercial",$C960))),Variables!$B$1:$D$1,0),1))*BD960/365),""))</f>
        <v>61.216528350313652</v>
      </c>
      <c r="BJ960" s="44">
        <f t="shared" si="44"/>
        <v>-28</v>
      </c>
      <c r="BK960" s="44">
        <f>IF($AX960="Cancelled","",IFERROR(IF(BJ960="","",(W960*INDEX(Variables!$B$7:$D$7,IFERROR(MATCH(IF($B960="Robusta","Robusta",(IF($B960="","Arabica",$B960))&amp;" - "&amp;(IF($C960="","Commercial",$C960))),Variables!$B$1:$D$1,0),1))*(BJ960/365))+(W960*INDEX(Variables!$B$9:$D$9,IFERROR(MATCH(IF($B960="Robusta","Robusta",(IF($B960="","Arabica",$B960))&amp;" - "&amp;(IF($C960="","Commercial",$C960))),Variables!$B$1:$D$1,0),1))*(BJ960/365))+(INDEX(Variables!$B$8:$D$8,IFERROR(MATCH(IF($B960="Robusta","Robusta",(IF($B960="","Arabica",$B960))&amp;" - "&amp;(IF($C960="","Commercial",$C960))),Variables!$B$1:$D$1,0),1))*L960/16.67)),""))</f>
        <v>-172.36611340125461</v>
      </c>
    </row>
    <row r="961" spans="1:63">
      <c r="A961" s="13" t="s">
        <v>103</v>
      </c>
      <c r="B961" s="13" t="s">
        <v>104</v>
      </c>
      <c r="C961" s="13" t="s">
        <v>292</v>
      </c>
      <c r="D961" s="31">
        <v>46085</v>
      </c>
      <c r="E961" s="31">
        <v>46113</v>
      </c>
      <c r="F961" s="31">
        <v>46142</v>
      </c>
      <c r="G961" s="13">
        <v>3787388</v>
      </c>
      <c r="J961" s="13" t="s">
        <v>909</v>
      </c>
      <c r="K961" s="13" t="s">
        <v>2476</v>
      </c>
      <c r="L961" s="13">
        <v>55</v>
      </c>
      <c r="M961" s="13">
        <v>0</v>
      </c>
      <c r="N961" s="13" t="s">
        <v>2477</v>
      </c>
      <c r="O961" s="13" t="s">
        <v>1054</v>
      </c>
      <c r="P961" s="13">
        <v>10020</v>
      </c>
      <c r="R961" s="13" t="s">
        <v>239</v>
      </c>
      <c r="S961" s="13" t="s">
        <v>2467</v>
      </c>
      <c r="T961" s="13" t="s">
        <v>112</v>
      </c>
      <c r="U961" s="13" t="s">
        <v>113</v>
      </c>
      <c r="V961" s="23">
        <v>212</v>
      </c>
      <c r="W961" s="44">
        <f>IF($AX961="Cancelled","",IFERROR(((V961+INDEX(Variables!$B$6:$D$6,IFERROR(MATCH(IF($B961="Robusta","Robusta",(IF($B961="","Arabica",$B961))&amp;" - "&amp;(IF($C961="","Commercial",$C961))),Variables!$B$1:$D$1,0),1)))*22.0462)*(L961/16.67),""))</f>
        <v>36572.622363527291</v>
      </c>
      <c r="Y961" s="13" t="str">
        <f>IF($AX961="Cancelled","",IF(X961="","",IFERROR(IF(INDEX(Variables!$B$38:$B$47,MATCH(X961,Variables!$A$38:$A$47,0))="Yes","Yes","No"),"No")))</f>
        <v/>
      </c>
      <c r="Z961" s="31"/>
      <c r="AC961" s="13" t="str">
        <f t="shared" si="43"/>
        <v/>
      </c>
      <c r="AF961" s="71">
        <v>46149</v>
      </c>
      <c r="AG961" s="37">
        <f>IF($AX961="Cancelled","",IFERROR(IF(F961="","",F961-Variables!$B$13),""))</f>
        <v>46127</v>
      </c>
      <c r="AH961" s="13" t="str">
        <f>IF($AX961="Cancelled","",IFERROR(IF(AB961="","",(AVERAGE(E961:F961)-AB961)-Variables!$B$14),""))</f>
        <v/>
      </c>
      <c r="AJ961" s="47">
        <v>46162</v>
      </c>
      <c r="AK961" s="14">
        <f>IF($AX961="Cancelled","",IFERROR(IF(AJ961="","",IF(AND(AB961="",AF961=""),"",IF(AF961&gt;AB961,AF961+Variables!$B$15+Variables!$B$16+Variables!$B$17-AJ961,AB961+Variables!$B$16+Variables!$B$17-AJ961))),""))</f>
        <v>2</v>
      </c>
      <c r="AL961" s="48" t="s">
        <v>114</v>
      </c>
      <c r="AM961" s="13" t="s">
        <v>134</v>
      </c>
      <c r="AN961" s="13" t="s">
        <v>2468</v>
      </c>
      <c r="AP961" s="39" t="e">
        <v>#N/A</v>
      </c>
      <c r="AR961" s="13" t="s">
        <v>2469</v>
      </c>
      <c r="AS961" s="31">
        <v>46170</v>
      </c>
      <c r="AU961" s="31">
        <v>46197</v>
      </c>
      <c r="AV961" s="13" t="s">
        <v>865</v>
      </c>
      <c r="AW961" s="31">
        <v>46197</v>
      </c>
      <c r="AX961" s="13" t="str">
        <f>IF(ISNUMBER(SEARCH("cancel",#REF!)),"Cancelled",IF(AND(AS961&lt;&gt;"",AU961&lt;&gt;"",AW961&lt;&gt;""),"Closed","Open"))</f>
        <v>Closed</v>
      </c>
      <c r="AY961" s="15" t="str">
        <f t="shared" ref="AY961:AY1024" si="46">IF($AX961="Cancelled","",IF(AND(AS961&lt;&gt;"",AU961&lt;&gt;"",AW961&lt;&gt;""),"All dates received",_xlfn.TEXTJOIN(" and ",TRUE(),IF(AS961="","No sailing date",""),IF(AU961="","No shipping advice sent",""),IF(AW961="","No docs dispatch date",""))))</f>
        <v>All dates received</v>
      </c>
      <c r="BD961" s="13">
        <f>IF($AX961="Cancelled","",IFERROR(IF(OR(AS961="",AJ961=""),"",(AJ961+Variables!$B$18-AS961)),""))</f>
        <v>7</v>
      </c>
      <c r="BE961" s="13">
        <f>IF($AX961="Cancelled","",IFERROR(IF(OR(AW961="",AS961=""),"",(AS961+Variables!$B$19)-AW961),""))</f>
        <v>-22</v>
      </c>
      <c r="BF961" s="44">
        <f>IF($AX961="Cancelled","",IFERROR(W961*INDEX(Variables!$B$7:$D$7,IFERROR(MATCH(IF($B961="Robusta","Robusta",(IF($B961="","Arabica",$B961))&amp;" - "&amp;(IF($C961="","Commercial",$C961))),Variables!$B$1:$D$1,0),1))*(BE961/365),""))</f>
        <v>-142.14309395870595</v>
      </c>
      <c r="BG961" s="44" t="str">
        <f>IF($AX961="Cancelled","",IFERROR((W961*INDEX(Variables!$B$7:$D$7,IFERROR(MATCH(IF($B961="Robusta","Robusta",(IF($B961="","Arabica",$B961))&amp;" - "&amp;(IF($C961="","Commercial",$C961))),Variables!$B$1:$D$1,0),1))*IFERROR(IF(AB961="","",(AVERAGE(E961:F961)-AB961)-Variables!$B$14),"")/365)+(L961/16.67*INDEX(Variables!$B$8:$D$8,IFERROR(MATCH(IF($B961="Robusta","Robusta",(IF($B961="","Arabica",$B961))&amp;" - "&amp;(IF($C961="","Commercial",$C961))),Variables!$B$1:$D$1,0),1))*IFERROR(IF(AB961="","",(AVERAGE(E961:F961)-AB961)-Variables!$B$14),""))+(W961*INDEX(Variables!$B$9:$D$9,IFERROR(MATCH(IF($B961="Robusta","Robusta",(IF($B961="","Arabica",$B961))&amp;" - "&amp;(IF($C961="","Commercial",$C961))),Variables!$B$1:$D$1,0),1))*IFERROR(IF(AB961="","",(AVERAGE(E961:F961)-AB961)-Variables!$B$14),"")/365),""))</f>
        <v/>
      </c>
      <c r="BH961" s="44">
        <f>IF($AX961="Cancelled","",IFERROR((W961*INDEX(Variables!$B$7:$D$7,IFERROR(MATCH(IF($B961="Robusta","Robusta",(IF($B961="","Arabica",$B961))&amp;" - "&amp;(IF($C961="","Commercial",$C961))),Variables!$B$1:$D$1,0),1))*AK961/365)+(L961/16.67*INDEX(Variables!$B$8:$D$8,IFERROR(MATCH(IF($B961="Robusta","Robusta",(IF($B961="","Arabica",$B961))&amp;" - "&amp;(IF($C961="","Commercial",$C961))),Variables!$B$1:$D$1,0),1))*AK961)+(W961*INDEX(Variables!$B$9:$D$9,IFERROR(MATCH(IF($B961="Robusta","Robusta",(IF($B961="","Arabica",$B961))&amp;" - "&amp;(IF($C961="","Commercial",$C961))),Variables!$B$1:$D$1,0),1))*AK961/365),""))</f>
        <v>18.588690250631451</v>
      </c>
      <c r="BI961" s="44">
        <f>IF($AX961="Cancelled","",IFERROR((W961*INDEX(Variables!$B$7:$D$7,IFERROR(MATCH(IF($B961="Robusta","Robusta",(IF($B961="","Arabica",$B961))&amp;" - "&amp;(IF($C961="","Commercial",$C961))),Variables!$B$1:$D$1,0),1))*BD961/365)+(L961/16.67*INDEX(Variables!$B$8:$D$8,IFERROR(MATCH(IF($B961="Robusta","Robusta",(IF($B961="","Arabica",$B961))&amp;" - "&amp;(IF($C961="","Commercial",$C961))),Variables!$B$1:$D$1,0),1))*BD961)+(W961*INDEX(Variables!$B$9:$D$9,IFERROR(MATCH(IF($B961="Robusta","Robusta",(IF($B961="","Arabica",$B961))&amp;" - "&amp;(IF($C961="","Commercial",$C961))),Variables!$B$1:$D$1,0),1))*BD961/365),""))</f>
        <v>65.060415877210076</v>
      </c>
      <c r="BJ961" s="44">
        <f t="shared" si="44"/>
        <v>-28</v>
      </c>
      <c r="BK961" s="44">
        <f>IF($AX961="Cancelled","",IFERROR(IF(BJ961="","",(W961*INDEX(Variables!$B$7:$D$7,IFERROR(MATCH(IF($B961="Robusta","Robusta",(IF($B961="","Arabica",$B961))&amp;" - "&amp;(IF($C961="","Commercial",$C961))),Variables!$B$1:$D$1,0),1))*(BJ961/365))+(W961*INDEX(Variables!$B$9:$D$9,IFERROR(MATCH(IF($B961="Robusta","Robusta",(IF($B961="","Arabica",$B961))&amp;" - "&amp;(IF($C961="","Commercial",$C961))),Variables!$B$1:$D$1,0),1))*(BJ961/365))+(INDEX(Variables!$B$8:$D$8,IFERROR(MATCH(IF($B961="Robusta","Robusta",(IF($B961="","Arabica",$B961))&amp;" - "&amp;(IF($C961="","Commercial",$C961))),Variables!$B$1:$D$1,0),1))*L961/16.67)),""))</f>
        <v>-180.49166350884033</v>
      </c>
    </row>
    <row r="962" spans="1:63">
      <c r="A962" s="13" t="s">
        <v>103</v>
      </c>
      <c r="B962" s="13" t="s">
        <v>104</v>
      </c>
      <c r="C962" s="13" t="s">
        <v>292</v>
      </c>
      <c r="D962" s="31">
        <v>46085</v>
      </c>
      <c r="E962" s="31">
        <v>46113</v>
      </c>
      <c r="F962" s="31">
        <v>46142</v>
      </c>
      <c r="G962" s="13">
        <v>3787389</v>
      </c>
      <c r="J962" s="13" t="s">
        <v>909</v>
      </c>
      <c r="K962" s="13" t="s">
        <v>2478</v>
      </c>
      <c r="L962" s="13">
        <v>20</v>
      </c>
      <c r="M962" s="13">
        <v>0</v>
      </c>
      <c r="N962" s="13" t="s">
        <v>2479</v>
      </c>
      <c r="O962" s="13" t="s">
        <v>771</v>
      </c>
      <c r="P962" s="13">
        <v>10010</v>
      </c>
      <c r="R962" s="13" t="s">
        <v>239</v>
      </c>
      <c r="S962" s="13" t="s">
        <v>2467</v>
      </c>
      <c r="T962" s="13" t="s">
        <v>112</v>
      </c>
      <c r="U962" s="13" t="s">
        <v>113</v>
      </c>
      <c r="V962" s="23">
        <v>205</v>
      </c>
      <c r="W962" s="44">
        <f>IF($AX962="Cancelled","",IFERROR(((V962+INDEX(Variables!$B$6:$D$6,IFERROR(MATCH(IF($B962="Robusta","Robusta",(IF($B962="","Arabica",$B962))&amp;" - "&amp;(IF($C962="","Commercial",$C962))),Variables!$B$1:$D$1,0),1)))*22.0462)*(L962/16.67),""))</f>
        <v>13113.984355128974</v>
      </c>
      <c r="Y962" s="13" t="str">
        <f>IF($AX962="Cancelled","",IF(X962="","",IFERROR(IF(INDEX(Variables!$B$38:$B$47,MATCH(X962,Variables!$A$38:$A$47,0))="Yes","Yes","No"),"No")))</f>
        <v/>
      </c>
      <c r="Z962" s="31"/>
      <c r="AC962" s="13" t="str">
        <f t="shared" ref="AC962:AC1025" si="47">IF($AX962="Cancelled","",IF(ISNUMBER(AB962),"Approved",""))</f>
        <v/>
      </c>
      <c r="AF962" s="71">
        <v>46148</v>
      </c>
      <c r="AG962" s="37">
        <f>IF($AX962="Cancelled","",IFERROR(IF(F962="","",F962-Variables!$B$13),""))</f>
        <v>46127</v>
      </c>
      <c r="AH962" s="13" t="str">
        <f>IF($AX962="Cancelled","",IFERROR(IF(AB962="","",(AVERAGE(E962:F962)-AB962)-Variables!$B$14),""))</f>
        <v/>
      </c>
      <c r="AJ962" s="47">
        <v>46162</v>
      </c>
      <c r="AK962" s="14">
        <f>IF($AX962="Cancelled","",IFERROR(IF(AJ962="","",IF(AND(AB962="",AF962=""),"",IF(AF962&gt;AB962,AF962+Variables!$B$15+Variables!$B$16+Variables!$B$17-AJ962,AB962+Variables!$B$16+Variables!$B$17-AJ962))),""))</f>
        <v>1</v>
      </c>
      <c r="AL962" s="48" t="s">
        <v>114</v>
      </c>
      <c r="AM962" s="13" t="s">
        <v>134</v>
      </c>
      <c r="AN962" s="13" t="s">
        <v>2468</v>
      </c>
      <c r="AP962" s="39" t="e">
        <v>#N/A</v>
      </c>
      <c r="AR962" s="13" t="s">
        <v>2469</v>
      </c>
      <c r="AS962" s="31">
        <v>46170</v>
      </c>
      <c r="AU962" s="31">
        <v>46197</v>
      </c>
      <c r="AV962" s="13" t="s">
        <v>865</v>
      </c>
      <c r="AW962" s="31">
        <v>46197</v>
      </c>
      <c r="AX962" s="13" t="str">
        <f>IF(ISNUMBER(SEARCH("cancel",#REF!)),"Cancelled",IF(AND(AS962&lt;&gt;"",AU962&lt;&gt;"",AW962&lt;&gt;""),"Closed","Open"))</f>
        <v>Closed</v>
      </c>
      <c r="AY962" s="15" t="str">
        <f t="shared" si="46"/>
        <v>All dates received</v>
      </c>
      <c r="BD962" s="13">
        <f>IF($AX962="Cancelled","",IFERROR(IF(OR(AS962="",AJ962=""),"",(AJ962+Variables!$B$18-AS962)),""))</f>
        <v>7</v>
      </c>
      <c r="BE962" s="13">
        <f>IF($AX962="Cancelled","",IFERROR(IF(OR(AW962="",AS962=""),"",(AS962+Variables!$B$19)-AW962),""))</f>
        <v>-22</v>
      </c>
      <c r="BF962" s="44">
        <f>IF($AX962="Cancelled","",IFERROR(W962*INDEX(Variables!$B$7:$D$7,IFERROR(MATCH(IF($B962="Robusta","Robusta",(IF($B962="","Arabica",$B962))&amp;" - "&amp;(IF($C962="","Commercial",$C962))),Variables!$B$1:$D$1,0),1))*(BE962/365),""))</f>
        <v>-50.968790037409718</v>
      </c>
      <c r="BG962" s="44" t="str">
        <f>IF($AX962="Cancelled","",IFERROR((W962*INDEX(Variables!$B$7:$D$7,IFERROR(MATCH(IF($B962="Robusta","Robusta",(IF($B962="","Arabica",$B962))&amp;" - "&amp;(IF($C962="","Commercial",$C962))),Variables!$B$1:$D$1,0),1))*IFERROR(IF(AB962="","",(AVERAGE(E962:F962)-AB962)-Variables!$B$14),"")/365)+(L962/16.67*INDEX(Variables!$B$8:$D$8,IFERROR(MATCH(IF($B962="Robusta","Robusta",(IF($B962="","Arabica",$B962))&amp;" - "&amp;(IF($C962="","Commercial",$C962))),Variables!$B$1:$D$1,0),1))*IFERROR(IF(AB962="","",(AVERAGE(E962:F962)-AB962)-Variables!$B$14),""))+(W962*INDEX(Variables!$B$9:$D$9,IFERROR(MATCH(IF($B962="Robusta","Robusta",(IF($B962="","Arabica",$B962))&amp;" - "&amp;(IF($C962="","Commercial",$C962))),Variables!$B$1:$D$1,0),1))*IFERROR(IF(AB962="","",(AVERAGE(E962:F962)-AB962)-Variables!$B$14),"")/365),""))</f>
        <v/>
      </c>
      <c r="BH962" s="44">
        <f>IF($AX962="Cancelled","",IFERROR((W962*INDEX(Variables!$B$7:$D$7,IFERROR(MATCH(IF($B962="Robusta","Robusta",(IF($B962="","Arabica",$B962))&amp;" - "&amp;(IF($C962="","Commercial",$C962))),Variables!$B$1:$D$1,0),1))*AK962/365)+(L962/16.67*INDEX(Variables!$B$8:$D$8,IFERROR(MATCH(IF($B962="Robusta","Robusta",(IF($B962="","Arabica",$B962))&amp;" - "&amp;(IF($C962="","Commercial",$C962))),Variables!$B$1:$D$1,0),1))*AK962)+(W962*INDEX(Variables!$B$9:$D$9,IFERROR(MATCH(IF($B962="Robusta","Robusta",(IF($B962="","Arabica",$B962))&amp;" - "&amp;(IF($C962="","Commercial",$C962))),Variables!$B$1:$D$1,0),1))*AK962/365),""))</f>
        <v>3.3466307319964828</v>
      </c>
      <c r="BI962" s="44">
        <f>IF($AX962="Cancelled","",IFERROR((W962*INDEX(Variables!$B$7:$D$7,IFERROR(MATCH(IF($B962="Robusta","Robusta",(IF($B962="","Arabica",$B962))&amp;" - "&amp;(IF($C962="","Commercial",$C962))),Variables!$B$1:$D$1,0),1))*BD962/365)+(L962/16.67*INDEX(Variables!$B$8:$D$8,IFERROR(MATCH(IF($B962="Robusta","Robusta",(IF($B962="","Arabica",$B962))&amp;" - "&amp;(IF($C962="","Commercial",$C962))),Variables!$B$1:$D$1,0),1))*BD962)+(W962*INDEX(Variables!$B$9:$D$9,IFERROR(MATCH(IF($B962="Robusta","Robusta",(IF($B962="","Arabica",$B962))&amp;" - "&amp;(IF($C962="","Commercial",$C962))),Variables!$B$1:$D$1,0),1))*BD962/365),""))</f>
        <v>23.426415123975382</v>
      </c>
      <c r="BJ962" s="44">
        <f t="shared" ref="BJ962:BJ1025" si="48">IF($AX962="Cancelled","",IFERROR(IF(AS962="","",F962-AS962),""))</f>
        <v>-28</v>
      </c>
      <c r="BK962" s="44">
        <f>IF($AX962="Cancelled","",IFERROR(IF(BJ962="","",(W962*INDEX(Variables!$B$7:$D$7,IFERROR(MATCH(IF($B962="Robusta","Robusta",(IF($B962="","Arabica",$B962))&amp;" - "&amp;(IF($C962="","Commercial",$C962))),Variables!$B$1:$D$1,0),1))*(BJ962/365))+(W962*INDEX(Variables!$B$9:$D$9,IFERROR(MATCH(IF($B962="Robusta","Robusta",(IF($B962="","Arabica",$B962))&amp;" - "&amp;(IF($C962="","Commercial",$C962))),Variables!$B$1:$D$1,0),1))*(BJ962/365))+(INDEX(Variables!$B$8:$D$8,IFERROR(MATCH(IF($B962="Robusta","Robusta",(IF($B962="","Arabica",$B962))&amp;" - "&amp;(IF($C962="","Commercial",$C962))),Variables!$B$1:$D$1,0),1))*L962/16.67)),""))</f>
        <v>-64.705660495901526</v>
      </c>
    </row>
    <row r="963" spans="1:63">
      <c r="A963" s="13" t="s">
        <v>103</v>
      </c>
      <c r="B963" s="13" t="s">
        <v>104</v>
      </c>
      <c r="C963" s="13" t="s">
        <v>292</v>
      </c>
      <c r="D963" s="31">
        <v>46085</v>
      </c>
      <c r="E963" s="31">
        <v>46113</v>
      </c>
      <c r="F963" s="31">
        <v>46142</v>
      </c>
      <c r="G963" s="13">
        <v>3787390</v>
      </c>
      <c r="J963" s="13" t="s">
        <v>909</v>
      </c>
      <c r="K963" s="13" t="s">
        <v>2480</v>
      </c>
      <c r="L963" s="13">
        <v>20</v>
      </c>
      <c r="M963" s="13">
        <v>0</v>
      </c>
      <c r="N963" s="13" t="s">
        <v>2481</v>
      </c>
      <c r="O963" s="13" t="s">
        <v>1054</v>
      </c>
      <c r="P963" s="13">
        <v>10020</v>
      </c>
      <c r="R963" s="13" t="s">
        <v>239</v>
      </c>
      <c r="S963" s="13" t="s">
        <v>2467</v>
      </c>
      <c r="T963" s="13" t="s">
        <v>112</v>
      </c>
      <c r="U963" s="13" t="s">
        <v>113</v>
      </c>
      <c r="V963" s="23">
        <v>205</v>
      </c>
      <c r="W963" s="44">
        <f>IF($AX963="Cancelled","",IFERROR(((V963+INDEX(Variables!$B$6:$D$6,IFERROR(MATCH(IF($B963="Robusta","Robusta",(IF($B963="","Arabica",$B963))&amp;" - "&amp;(IF($C963="","Commercial",$C963))),Variables!$B$1:$D$1,0),1)))*22.0462)*(L963/16.67),""))</f>
        <v>13113.984355128974</v>
      </c>
      <c r="Y963" s="13" t="str">
        <f>IF($AX963="Cancelled","",IF(X963="","",IFERROR(IF(INDEX(Variables!$B$38:$B$47,MATCH(X963,Variables!$A$38:$A$47,0))="Yes","Yes","No"),"No")))</f>
        <v/>
      </c>
      <c r="Z963" s="31"/>
      <c r="AC963" s="13" t="str">
        <f t="shared" si="47"/>
        <v/>
      </c>
      <c r="AF963" s="71">
        <v>46155</v>
      </c>
      <c r="AG963" s="37">
        <f>IF($AX963="Cancelled","",IFERROR(IF(F963="","",F963-Variables!$B$13),""))</f>
        <v>46127</v>
      </c>
      <c r="AH963" s="13" t="str">
        <f>IF($AX963="Cancelled","",IFERROR(IF(AB963="","",(AVERAGE(E963:F963)-AB963)-Variables!$B$14),""))</f>
        <v/>
      </c>
      <c r="AJ963" s="47">
        <v>46162</v>
      </c>
      <c r="AK963" s="14">
        <f>IF($AX963="Cancelled","",IFERROR(IF(AJ963="","",IF(AND(AB963="",AF963=""),"",IF(AF963&gt;AB963,AF963+Variables!$B$15+Variables!$B$16+Variables!$B$17-AJ963,AB963+Variables!$B$16+Variables!$B$17-AJ963))),""))</f>
        <v>8</v>
      </c>
      <c r="AL963" s="48" t="s">
        <v>114</v>
      </c>
      <c r="AM963" s="13" t="s">
        <v>134</v>
      </c>
      <c r="AN963" s="13" t="s">
        <v>2468</v>
      </c>
      <c r="AP963" s="39" t="e">
        <v>#N/A</v>
      </c>
      <c r="AR963" s="13" t="s">
        <v>2469</v>
      </c>
      <c r="AS963" s="31">
        <v>46170</v>
      </c>
      <c r="AU963" s="31">
        <v>46197</v>
      </c>
      <c r="AV963" s="13" t="s">
        <v>865</v>
      </c>
      <c r="AW963" s="31">
        <v>46197</v>
      </c>
      <c r="AX963" s="13" t="str">
        <f>IF(ISNUMBER(SEARCH("cancel",#REF!)),"Cancelled",IF(AND(AS963&lt;&gt;"",AU963&lt;&gt;"",AW963&lt;&gt;""),"Closed","Open"))</f>
        <v>Closed</v>
      </c>
      <c r="AY963" s="15" t="str">
        <f t="shared" si="46"/>
        <v>All dates received</v>
      </c>
      <c r="BD963" s="13">
        <f>IF($AX963="Cancelled","",IFERROR(IF(OR(AS963="",AJ963=""),"",(AJ963+Variables!$B$18-AS963)),""))</f>
        <v>7</v>
      </c>
      <c r="BE963" s="13">
        <f>IF($AX963="Cancelled","",IFERROR(IF(OR(AW963="",AS963=""),"",(AS963+Variables!$B$19)-AW963),""))</f>
        <v>-22</v>
      </c>
      <c r="BF963" s="44">
        <f>IF($AX963="Cancelled","",IFERROR(W963*INDEX(Variables!$B$7:$D$7,IFERROR(MATCH(IF($B963="Robusta","Robusta",(IF($B963="","Arabica",$B963))&amp;" - "&amp;(IF($C963="","Commercial",$C963))),Variables!$B$1:$D$1,0),1))*(BE963/365),""))</f>
        <v>-50.968790037409718</v>
      </c>
      <c r="BG963" s="44" t="str">
        <f>IF($AX963="Cancelled","",IFERROR((W963*INDEX(Variables!$B$7:$D$7,IFERROR(MATCH(IF($B963="Robusta","Robusta",(IF($B963="","Arabica",$B963))&amp;" - "&amp;(IF($C963="","Commercial",$C963))),Variables!$B$1:$D$1,0),1))*IFERROR(IF(AB963="","",(AVERAGE(E963:F963)-AB963)-Variables!$B$14),"")/365)+(L963/16.67*INDEX(Variables!$B$8:$D$8,IFERROR(MATCH(IF($B963="Robusta","Robusta",(IF($B963="","Arabica",$B963))&amp;" - "&amp;(IF($C963="","Commercial",$C963))),Variables!$B$1:$D$1,0),1))*IFERROR(IF(AB963="","",(AVERAGE(E963:F963)-AB963)-Variables!$B$14),""))+(W963*INDEX(Variables!$B$9:$D$9,IFERROR(MATCH(IF($B963="Robusta","Robusta",(IF($B963="","Arabica",$B963))&amp;" - "&amp;(IF($C963="","Commercial",$C963))),Variables!$B$1:$D$1,0),1))*IFERROR(IF(AB963="","",(AVERAGE(E963:F963)-AB963)-Variables!$B$14),"")/365),""))</f>
        <v/>
      </c>
      <c r="BH963" s="44">
        <f>IF($AX963="Cancelled","",IFERROR((W963*INDEX(Variables!$B$7:$D$7,IFERROR(MATCH(IF($B963="Robusta","Robusta",(IF($B963="","Arabica",$B963))&amp;" - "&amp;(IF($C963="","Commercial",$C963))),Variables!$B$1:$D$1,0),1))*AK963/365)+(L963/16.67*INDEX(Variables!$B$8:$D$8,IFERROR(MATCH(IF($B963="Robusta","Robusta",(IF($B963="","Arabica",$B963))&amp;" - "&amp;(IF($C963="","Commercial",$C963))),Variables!$B$1:$D$1,0),1))*AK963)+(W963*INDEX(Variables!$B$9:$D$9,IFERROR(MATCH(IF($B963="Robusta","Robusta",(IF($B963="","Arabica",$B963))&amp;" - "&amp;(IF($C963="","Commercial",$C963))),Variables!$B$1:$D$1,0),1))*AK963/365),""))</f>
        <v>26.773045855971862</v>
      </c>
      <c r="BI963" s="44">
        <f>IF($AX963="Cancelled","",IFERROR((W963*INDEX(Variables!$B$7:$D$7,IFERROR(MATCH(IF($B963="Robusta","Robusta",(IF($B963="","Arabica",$B963))&amp;" - "&amp;(IF($C963="","Commercial",$C963))),Variables!$B$1:$D$1,0),1))*BD963/365)+(L963/16.67*INDEX(Variables!$B$8:$D$8,IFERROR(MATCH(IF($B963="Robusta","Robusta",(IF($B963="","Arabica",$B963))&amp;" - "&amp;(IF($C963="","Commercial",$C963))),Variables!$B$1:$D$1,0),1))*BD963)+(W963*INDEX(Variables!$B$9:$D$9,IFERROR(MATCH(IF($B963="Robusta","Robusta",(IF($B963="","Arabica",$B963))&amp;" - "&amp;(IF($C963="","Commercial",$C963))),Variables!$B$1:$D$1,0),1))*BD963/365),""))</f>
        <v>23.426415123975382</v>
      </c>
      <c r="BJ963" s="44">
        <f t="shared" si="48"/>
        <v>-28</v>
      </c>
      <c r="BK963" s="44">
        <f>IF($AX963="Cancelled","",IFERROR(IF(BJ963="","",(W963*INDEX(Variables!$B$7:$D$7,IFERROR(MATCH(IF($B963="Robusta","Robusta",(IF($B963="","Arabica",$B963))&amp;" - "&amp;(IF($C963="","Commercial",$C963))),Variables!$B$1:$D$1,0),1))*(BJ963/365))+(W963*INDEX(Variables!$B$9:$D$9,IFERROR(MATCH(IF($B963="Robusta","Robusta",(IF($B963="","Arabica",$B963))&amp;" - "&amp;(IF($C963="","Commercial",$C963))),Variables!$B$1:$D$1,0),1))*(BJ963/365))+(INDEX(Variables!$B$8:$D$8,IFERROR(MATCH(IF($B963="Robusta","Robusta",(IF($B963="","Arabica",$B963))&amp;" - "&amp;(IF($C963="","Commercial",$C963))),Variables!$B$1:$D$1,0),1))*L963/16.67)),""))</f>
        <v>-64.705660495901526</v>
      </c>
    </row>
    <row r="964" spans="1:63">
      <c r="A964" s="13" t="s">
        <v>103</v>
      </c>
      <c r="B964" s="13" t="s">
        <v>104</v>
      </c>
      <c r="C964" s="13" t="s">
        <v>105</v>
      </c>
      <c r="D964" s="31">
        <v>46085</v>
      </c>
      <c r="E964" s="31">
        <v>46143</v>
      </c>
      <c r="F964" s="31">
        <v>46173</v>
      </c>
      <c r="G964" s="13">
        <v>3787391</v>
      </c>
      <c r="H964" s="13" t="s">
        <v>2482</v>
      </c>
      <c r="J964" s="13" t="s">
        <v>454</v>
      </c>
      <c r="K964" s="13">
        <v>5489</v>
      </c>
      <c r="L964" s="13">
        <v>1440</v>
      </c>
      <c r="M964" s="13">
        <v>4</v>
      </c>
      <c r="N964" s="13" t="s">
        <v>2459</v>
      </c>
      <c r="O964" s="13" t="s">
        <v>456</v>
      </c>
      <c r="P964" s="13">
        <v>10140</v>
      </c>
      <c r="R964" s="13" t="s">
        <v>122</v>
      </c>
      <c r="S964" s="13" t="s">
        <v>457</v>
      </c>
      <c r="T964" s="13" t="s">
        <v>458</v>
      </c>
      <c r="U964" s="13" t="s">
        <v>125</v>
      </c>
      <c r="V964" s="23">
        <v>-17</v>
      </c>
      <c r="W964" s="44">
        <f>IF($AX964="Cancelled","",IFERROR(((V964+INDEX(Variables!$B$6:$D$6,IFERROR(MATCH(IF($B964="Robusta","Robusta",(IF($B964="","Arabica",$B964))&amp;" - "&amp;(IF($C964="","Commercial",$C964))),Variables!$B$1:$D$1,0),1)))*22.0462)*(L964/16.67),""))</f>
        <v>521427.67644871026</v>
      </c>
      <c r="X964" s="55" t="s">
        <v>37</v>
      </c>
      <c r="Y964" s="13" t="str">
        <f>IF($AX964="Cancelled","",IF(X964="","",IFERROR(IF(INDEX(Variables!$B$38:$B$47,MATCH(X964,Variables!$A$38:$A$47,0))="Yes","Yes","No"),"No")))</f>
        <v>Yes</v>
      </c>
      <c r="Z964" s="58">
        <v>46122</v>
      </c>
      <c r="AB964" s="31">
        <v>46134</v>
      </c>
      <c r="AC964" s="13" t="str">
        <f t="shared" si="47"/>
        <v>Approved</v>
      </c>
      <c r="AF964" s="71">
        <v>46162</v>
      </c>
      <c r="AG964" s="37">
        <f>IF($AX964="Cancelled","",IFERROR(IF(F964="","",F964-Variables!$B$13),""))</f>
        <v>46158</v>
      </c>
      <c r="AH964" s="13">
        <f>IF($AX964="Cancelled","",IFERROR(IF(AB964="","",(AVERAGE(E964:F964)-AB964)-Variables!$B$14),""))</f>
        <v>-6</v>
      </c>
      <c r="AJ964" s="47">
        <v>46165</v>
      </c>
      <c r="AK964" s="14">
        <f>IF($AX964="Cancelled","",IFERROR(IF(AJ964="","",IF(AND(AB964="",AF964=""),"",IF(AF964&gt;AB964,AF964+Variables!$B$15+Variables!$B$16+Variables!$B$17-AJ964,AB964+Variables!$B$16+Variables!$B$17-AJ964))),""))</f>
        <v>12</v>
      </c>
      <c r="AL964" s="48" t="s">
        <v>114</v>
      </c>
      <c r="AM964" s="13" t="s">
        <v>115</v>
      </c>
      <c r="AN964" s="13" t="s">
        <v>2483</v>
      </c>
      <c r="AP964" s="39"/>
      <c r="AR964" s="13">
        <v>270597991</v>
      </c>
      <c r="AS964" s="31">
        <v>46191</v>
      </c>
      <c r="AU964" s="31">
        <v>46211</v>
      </c>
      <c r="AV964" s="13" t="e">
        <v>#REF!</v>
      </c>
      <c r="AW964" s="31">
        <v>46211</v>
      </c>
      <c r="AX964" s="13" t="str">
        <f>IF(ISNUMBER(SEARCH("cancel",#REF!)),"Cancelled",IF(AND(AS964&lt;&gt;"",AU964&lt;&gt;"",AW964&lt;&gt;""),"Closed","Open"))</f>
        <v>Closed</v>
      </c>
      <c r="AY964" s="15" t="str">
        <f t="shared" si="46"/>
        <v>All dates received</v>
      </c>
      <c r="BD964" s="13">
        <f>IF($AX964="Cancelled","",IFERROR(IF(OR(AS964="",AJ964=""),"",(AJ964+Variables!$B$18-AS964)),""))</f>
        <v>-11</v>
      </c>
      <c r="BE964" s="13">
        <f>IF($AX964="Cancelled","",IFERROR(IF(OR(AW964="",AS964=""),"",(AS964+Variables!$B$19)-AW964),""))</f>
        <v>-15</v>
      </c>
      <c r="BF964" s="44">
        <f>IF($AX964="Cancelled","",IFERROR(W964*INDEX(Variables!$B$7:$D$7,IFERROR(MATCH(IF($B964="Robusta","Robusta",(IF($B964="","Arabica",$B964))&amp;" - "&amp;(IF($C964="","Commercial",$C964))),Variables!$B$1:$D$1,0),1))*(BE964/365),""))</f>
        <v>-1381.7590569164804</v>
      </c>
      <c r="BG964" s="44">
        <f>IF($AX964="Cancelled","",IFERROR((W964*INDEX(Variables!$B$7:$D$7,IFERROR(MATCH(IF($B964="Robusta","Robusta",(IF($B964="","Arabica",$B964))&amp;" - "&amp;(IF($C964="","Commercial",$C964))),Variables!$B$1:$D$1,0),1))*IFERROR(IF(AB964="","",(AVERAGE(E964:F964)-AB964)-Variables!$B$14),"")/365)+(L964/16.67*INDEX(Variables!$B$8:$D$8,IFERROR(MATCH(IF($B964="Robusta","Robusta",(IF($B964="","Arabica",$B964))&amp;" - "&amp;(IF($C964="","Commercial",$C964))),Variables!$B$1:$D$1,0),1))*IFERROR(IF(AB964="","",(AVERAGE(E964:F964)-AB964)-Variables!$B$14),""))+(W964*INDEX(Variables!$B$9:$D$9,IFERROR(MATCH(IF($B964="Robusta","Robusta",(IF($B964="","Arabica",$B964))&amp;" - "&amp;(IF($C964="","Commercial",$C964))),Variables!$B$1:$D$1,0),1))*IFERROR(IF(AB964="","",(AVERAGE(E964:F964)-AB964)-Variables!$B$14),"")/365),""))</f>
        <v>-991.82903910793709</v>
      </c>
      <c r="BH964" s="44">
        <f>IF($AX964="Cancelled","",IFERROR((W964*INDEX(Variables!$B$7:$D$7,IFERROR(MATCH(IF($B964="Robusta","Robusta",(IF($B964="","Arabica",$B964))&amp;" - "&amp;(IF($C964="","Commercial",$C964))),Variables!$B$1:$D$1,0),1))*AK964/365)+(L964/16.67*INDEX(Variables!$B$8:$D$8,IFERROR(MATCH(IF($B964="Robusta","Robusta",(IF($B964="","Arabica",$B964))&amp;" - "&amp;(IF($C964="","Commercial",$C964))),Variables!$B$1:$D$1,0),1))*AK964)+(W964*INDEX(Variables!$B$9:$D$9,IFERROR(MATCH(IF($B964="Robusta","Robusta",(IF($B964="","Arabica",$B964))&amp;" - "&amp;(IF($C964="","Commercial",$C964))),Variables!$B$1:$D$1,0),1))*AK964/365),""))</f>
        <v>1983.6580782158742</v>
      </c>
      <c r="BI964" s="44">
        <f>IF($AX964="Cancelled","",IFERROR((W964*INDEX(Variables!$B$7:$D$7,IFERROR(MATCH(IF($B964="Robusta","Robusta",(IF($B964="","Arabica",$B964))&amp;" - "&amp;(IF($C964="","Commercial",$C964))),Variables!$B$1:$D$1,0),1))*BD964/365)+(L964/16.67*INDEX(Variables!$B$8:$D$8,IFERROR(MATCH(IF($B964="Robusta","Robusta",(IF($B964="","Arabica",$B964))&amp;" - "&amp;(IF($C964="","Commercial",$C964))),Variables!$B$1:$D$1,0),1))*BD964)+(W964*INDEX(Variables!$B$9:$D$9,IFERROR(MATCH(IF($B964="Robusta","Robusta",(IF($B964="","Arabica",$B964))&amp;" - "&amp;(IF($C964="","Commercial",$C964))),Variables!$B$1:$D$1,0),1))*BD964/365),""))</f>
        <v>-1818.3532383645513</v>
      </c>
      <c r="BJ964" s="44">
        <f t="shared" si="48"/>
        <v>-18</v>
      </c>
      <c r="BK964" s="44">
        <f>IF($AX964="Cancelled","",IFERROR(IF(BJ964="","",(W964*INDEX(Variables!$B$7:$D$7,IFERROR(MATCH(IF($B964="Robusta","Robusta",(IF($B964="","Arabica",$B964))&amp;" - "&amp;(IF($C964="","Commercial",$C964))),Variables!$B$1:$D$1,0),1))*(BJ964/365))+(W964*INDEX(Variables!$B$9:$D$9,IFERROR(MATCH(IF($B964="Robusta","Robusta",(IF($B964="","Arabica",$B964))&amp;" - "&amp;(IF($C964="","Commercial",$C964))),Variables!$B$1:$D$1,0),1))*(BJ964/365))+(INDEX(Variables!$B$8:$D$8,IFERROR(MATCH(IF($B964="Robusta","Robusta",(IF($B964="","Arabica",$B964))&amp;" - "&amp;(IF($C964="","Commercial",$C964))),Variables!$B$1:$D$1,0),1))*L964/16.67)),""))</f>
        <v>-1607.4871173238112</v>
      </c>
    </row>
    <row r="965" spans="1:63">
      <c r="A965" s="13" t="s">
        <v>103</v>
      </c>
      <c r="B965" s="13" t="s">
        <v>104</v>
      </c>
      <c r="C965" s="13" t="s">
        <v>105</v>
      </c>
      <c r="D965" s="31">
        <v>46085</v>
      </c>
      <c r="E965" s="31">
        <v>46174</v>
      </c>
      <c r="F965" s="31">
        <v>46203</v>
      </c>
      <c r="G965" s="13">
        <v>3787392</v>
      </c>
      <c r="J965" s="13" t="s">
        <v>454</v>
      </c>
      <c r="K965" s="13">
        <v>5546</v>
      </c>
      <c r="L965" s="13">
        <v>2520</v>
      </c>
      <c r="M965" s="13">
        <v>7</v>
      </c>
      <c r="N965" s="13" t="s">
        <v>2459</v>
      </c>
      <c r="O965" s="13" t="s">
        <v>456</v>
      </c>
      <c r="P965" s="13">
        <v>10140</v>
      </c>
      <c r="R965" s="13" t="s">
        <v>122</v>
      </c>
      <c r="S965" s="13" t="s">
        <v>457</v>
      </c>
      <c r="T965" s="13" t="s">
        <v>458</v>
      </c>
      <c r="U965" s="13" t="s">
        <v>125</v>
      </c>
      <c r="V965" s="23">
        <v>-17</v>
      </c>
      <c r="W965" s="44">
        <f>IF($AX965="Cancelled","",IFERROR(((V965+INDEX(Variables!$B$6:$D$6,IFERROR(MATCH(IF($B965="Robusta","Robusta",(IF($B965="","Arabica",$B965))&amp;" - "&amp;(IF($C965="","Commercial",$C965))),Variables!$B$1:$D$1,0),1)))*22.0462)*(L965/16.67),""))</f>
        <v>912498.43378524284</v>
      </c>
      <c r="X965" s="55" t="s">
        <v>37</v>
      </c>
      <c r="Y965" s="13" t="str">
        <f>IF($AX965="Cancelled","",IF(X965="","",IFERROR(IF(INDEX(Variables!$B$38:$B$47,MATCH(X965,Variables!$A$38:$A$47,0))="Yes","Yes","No"),"No")))</f>
        <v>Yes</v>
      </c>
      <c r="Z965" s="58">
        <v>46163</v>
      </c>
      <c r="AB965" s="31">
        <v>46170</v>
      </c>
      <c r="AC965" s="13" t="str">
        <f t="shared" si="47"/>
        <v>Approved</v>
      </c>
      <c r="AF965" s="71">
        <v>46132</v>
      </c>
      <c r="AG965" s="37">
        <f>IF($AX965="Cancelled","",IFERROR(IF(F965="","",F965-Variables!$B$13),""))</f>
        <v>46188</v>
      </c>
      <c r="AH965" s="13">
        <f>IF($AX965="Cancelled","",IFERROR(IF(AB965="","",(AVERAGE(E965:F965)-AB965)-Variables!$B$14),""))</f>
        <v>-11.5</v>
      </c>
      <c r="AJ965" s="47">
        <v>46186</v>
      </c>
      <c r="AK965" s="14">
        <f>IF($AX965="Cancelled","",IFERROR(IF(AJ965="","",IF(AND(AB965="",AF965=""),"",IF(AF965&gt;AB965,AF965+Variables!$B$15+Variables!$B$16+Variables!$B$17-AJ965,AB965+Variables!$B$16+Variables!$B$17-AJ965))),""))</f>
        <v>-8</v>
      </c>
      <c r="AL965" s="48" t="s">
        <v>114</v>
      </c>
      <c r="AM965" s="13" t="s">
        <v>168</v>
      </c>
      <c r="AN965" s="13" t="s">
        <v>2360</v>
      </c>
      <c r="AP965" s="39">
        <v>46201</v>
      </c>
      <c r="AR965" s="13" t="s">
        <v>2484</v>
      </c>
      <c r="AS965" s="31">
        <v>46201</v>
      </c>
      <c r="AU965" s="31">
        <v>46251</v>
      </c>
      <c r="AV965" s="13" t="s">
        <v>865</v>
      </c>
      <c r="AW965" s="39">
        <v>46251</v>
      </c>
      <c r="AX965" s="13" t="str">
        <f>IF(ISNUMBER(SEARCH("cancel",#REF!)),"Cancelled",IF(AND(AS965&lt;&gt;"",AU965&lt;&gt;"",AW965&lt;&gt;""),"Closed","Open"))</f>
        <v>Closed</v>
      </c>
      <c r="AY965" s="15" t="str">
        <f t="shared" si="46"/>
        <v>All dates received</v>
      </c>
      <c r="BD965" s="13">
        <f>IF($AX965="Cancelled","",IFERROR(IF(OR(AS965="",AJ965=""),"",(AJ965+Variables!$B$18-AS965)),""))</f>
        <v>0</v>
      </c>
      <c r="BE965" s="13">
        <f>IF($AX965="Cancelled","",IFERROR(IF(OR(AW965="",AS965=""),"",(AS965+Variables!$B$19)-AW965),""))</f>
        <v>-45</v>
      </c>
      <c r="BF965" s="44">
        <f>IF($AX965="Cancelled","",IFERROR(W965*INDEX(Variables!$B$7:$D$7,IFERROR(MATCH(IF($B965="Robusta","Robusta",(IF($B965="","Arabica",$B965))&amp;" - "&amp;(IF($C965="","Commercial",$C965))),Variables!$B$1:$D$1,0),1))*(BE965/365),""))</f>
        <v>-7254.2350488115217</v>
      </c>
      <c r="BG965" s="44">
        <f>IF($AX965="Cancelled","",IFERROR((W965*INDEX(Variables!$B$7:$D$7,IFERROR(MATCH(IF($B965="Robusta","Robusta",(IF($B965="","Arabica",$B965))&amp;" - "&amp;(IF($C965="","Commercial",$C965))),Variables!$B$1:$D$1,0),1))*IFERROR(IF(AB965="","",(AVERAGE(E965:F965)-AB965)-Variables!$B$14),"")/365)+(L965/16.67*INDEX(Variables!$B$8:$D$8,IFERROR(MATCH(IF($B965="Robusta","Robusta",(IF($B965="","Arabica",$B965))&amp;" - "&amp;(IF($C965="","Commercial",$C965))),Variables!$B$1:$D$1,0),1))*IFERROR(IF(AB965="","",(AVERAGE(E965:F965)-AB965)-Variables!$B$14),""))+(W965*INDEX(Variables!$B$9:$D$9,IFERROR(MATCH(IF($B965="Robusta","Robusta",(IF($B965="","Arabica",$B965))&amp;" - "&amp;(IF($C965="","Commercial",$C965))),Variables!$B$1:$D$1,0),1))*IFERROR(IF(AB965="","",(AVERAGE(E965:F965)-AB965)-Variables!$B$14),"")/365),""))</f>
        <v>-3326.7599020078724</v>
      </c>
      <c r="BH965" s="44">
        <f>IF($AX965="Cancelled","",IFERROR((W965*INDEX(Variables!$B$7:$D$7,IFERROR(MATCH(IF($B965="Robusta","Robusta",(IF($B965="","Arabica",$B965))&amp;" - "&amp;(IF($C965="","Commercial",$C965))),Variables!$B$1:$D$1,0),1))*AK965/365)+(L965/16.67*INDEX(Variables!$B$8:$D$8,IFERROR(MATCH(IF($B965="Robusta","Robusta",(IF($B965="","Arabica",$B965))&amp;" - "&amp;(IF($C965="","Commercial",$C965))),Variables!$B$1:$D$1,0),1))*AK965)+(W965*INDEX(Variables!$B$9:$D$9,IFERROR(MATCH(IF($B965="Robusta","Robusta",(IF($B965="","Arabica",$B965))&amp;" - "&amp;(IF($C965="","Commercial",$C965))),Variables!$B$1:$D$1,0),1))*AK965/365),""))</f>
        <v>-2314.2677579185192</v>
      </c>
      <c r="BI965" s="44">
        <f>IF($AX965="Cancelled","",IFERROR((W965*INDEX(Variables!$B$7:$D$7,IFERROR(MATCH(IF($B965="Robusta","Robusta",(IF($B965="","Arabica",$B965))&amp;" - "&amp;(IF($C965="","Commercial",$C965))),Variables!$B$1:$D$1,0),1))*BD965/365)+(L965/16.67*INDEX(Variables!$B$8:$D$8,IFERROR(MATCH(IF($B965="Robusta","Robusta",(IF($B965="","Arabica",$B965))&amp;" - "&amp;(IF($C965="","Commercial",$C965))),Variables!$B$1:$D$1,0),1))*BD965)+(W965*INDEX(Variables!$B$9:$D$9,IFERROR(MATCH(IF($B965="Robusta","Robusta",(IF($B965="","Arabica",$B965))&amp;" - "&amp;(IF($C965="","Commercial",$C965))),Variables!$B$1:$D$1,0),1))*BD965/365),""))</f>
        <v>0</v>
      </c>
      <c r="BJ965" s="44">
        <f t="shared" si="48"/>
        <v>2</v>
      </c>
      <c r="BK965" s="44">
        <f>IF($AX965="Cancelled","",IFERROR(IF(BJ965="","",(W965*INDEX(Variables!$B$7:$D$7,IFERROR(MATCH(IF($B965="Robusta","Robusta",(IF($B965="","Arabica",$B965))&amp;" - "&amp;(IF($C965="","Commercial",$C965))),Variables!$B$1:$D$1,0),1))*(BJ965/365))+(W965*INDEX(Variables!$B$9:$D$9,IFERROR(MATCH(IF($B965="Robusta","Robusta",(IF($B965="","Arabica",$B965))&amp;" - "&amp;(IF($C965="","Commercial",$C965))),Variables!$B$1:$D$1,0),1))*(BJ965/365))+(INDEX(Variables!$B$8:$D$8,IFERROR(MATCH(IF($B965="Robusta","Robusta",(IF($B965="","Arabica",$B965))&amp;" - "&amp;(IF($C965="","Commercial",$C965))),Variables!$B$1:$D$1,0),1))*L965/16.67)),""))</f>
        <v>452.56693947962992</v>
      </c>
    </row>
    <row r="966" spans="1:63">
      <c r="A966" s="13" t="s">
        <v>103</v>
      </c>
      <c r="B966" s="13" t="s">
        <v>104</v>
      </c>
      <c r="C966" s="13" t="s">
        <v>105</v>
      </c>
      <c r="D966" s="31">
        <v>46086</v>
      </c>
      <c r="E966" s="31">
        <v>46174</v>
      </c>
      <c r="F966" s="31">
        <v>46203</v>
      </c>
      <c r="G966" s="13">
        <v>3787393</v>
      </c>
      <c r="J966" s="13" t="s">
        <v>236</v>
      </c>
      <c r="K966" s="13">
        <v>5536</v>
      </c>
      <c r="L966" s="13">
        <v>320</v>
      </c>
      <c r="M966" s="13">
        <v>1</v>
      </c>
      <c r="N966" s="13" t="s">
        <v>2165</v>
      </c>
      <c r="O966" s="13" t="s">
        <v>355</v>
      </c>
      <c r="P966" s="13">
        <v>10060</v>
      </c>
      <c r="R966" s="13" t="s">
        <v>239</v>
      </c>
      <c r="S966" s="13" t="s">
        <v>180</v>
      </c>
      <c r="T966" s="13" t="s">
        <v>253</v>
      </c>
      <c r="U966" s="13" t="s">
        <v>182</v>
      </c>
      <c r="V966" s="23">
        <v>45</v>
      </c>
      <c r="W966" s="44">
        <f>IF($AX966="Cancelled","",IFERROR(((V966+INDEX(Variables!$B$6:$D$6,IFERROR(MATCH(IF($B966="Robusta","Robusta",(IF($B966="","Arabica",$B966))&amp;" - "&amp;(IF($C966="","Commercial",$C966))),Variables!$B$1:$D$1,0),1)))*22.0462)*(L966/16.67),""))</f>
        <v>142111.3657588482</v>
      </c>
      <c r="X966" s="55" t="s">
        <v>37</v>
      </c>
      <c r="Y966" s="13" t="str">
        <f>IF($AX966="Cancelled","",IF(X966="","",IFERROR(IF(INDEX(Variables!$B$38:$B$47,MATCH(X966,Variables!$A$38:$A$47,0))="Yes","Yes","No"),"No")))</f>
        <v>Yes</v>
      </c>
      <c r="Z966" s="58">
        <v>46165</v>
      </c>
      <c r="AB966" s="31">
        <v>46155</v>
      </c>
      <c r="AC966" s="13" t="str">
        <f t="shared" si="47"/>
        <v>Approved</v>
      </c>
      <c r="AF966" s="71">
        <v>46172</v>
      </c>
      <c r="AG966" s="37">
        <f>IF($AX966="Cancelled","",IFERROR(IF(F966="","",F966-Variables!$B$13),""))</f>
        <v>46188</v>
      </c>
      <c r="AH966" s="13">
        <f>IF($AX966="Cancelled","",IFERROR(IF(AB966="","",(AVERAGE(E966:F966)-AB966)-Variables!$B$14),""))</f>
        <v>3.5</v>
      </c>
      <c r="AJ966" s="47">
        <v>46185</v>
      </c>
      <c r="AK966" s="14">
        <f>IF($AX966="Cancelled","",IFERROR(IF(AJ966="","",IF(AND(AB966="",AF966=""),"",IF(AF966&gt;AB966,AF966+Variables!$B$15+Variables!$B$16+Variables!$B$17-AJ966,AB966+Variables!$B$16+Variables!$B$17-AJ966))),""))</f>
        <v>2</v>
      </c>
      <c r="AL966" s="48" t="s">
        <v>114</v>
      </c>
      <c r="AM966" s="13" t="s">
        <v>183</v>
      </c>
      <c r="AN966" s="13" t="s">
        <v>2485</v>
      </c>
      <c r="AP966" s="39">
        <v>46202</v>
      </c>
      <c r="AR966" s="13">
        <v>321600002473</v>
      </c>
      <c r="AS966" s="31">
        <v>46202</v>
      </c>
      <c r="AU966" s="31">
        <v>46227</v>
      </c>
      <c r="AV966" s="13">
        <v>1525155402</v>
      </c>
      <c r="AW966" s="39">
        <v>46227</v>
      </c>
      <c r="AX966" s="13" t="str">
        <f>IF(ISNUMBER(SEARCH("cancel",#REF!)),"Cancelled",IF(AND(AS966&lt;&gt;"",AU966&lt;&gt;"",AW966&lt;&gt;""),"Closed","Open"))</f>
        <v>Closed</v>
      </c>
      <c r="AY966" s="15" t="str">
        <f t="shared" si="46"/>
        <v>All dates received</v>
      </c>
      <c r="BD966" s="13">
        <f>IF($AX966="Cancelled","",IFERROR(IF(OR(AS966="",AJ966=""),"",(AJ966+Variables!$B$18-AS966)),""))</f>
        <v>-2</v>
      </c>
      <c r="BE966" s="13">
        <f>IF($AX966="Cancelled","",IFERROR(IF(OR(AW966="",AS966=""),"",(AS966+Variables!$B$19)-AW966),""))</f>
        <v>-20</v>
      </c>
      <c r="BF966" s="44">
        <f>IF($AX966="Cancelled","",IFERROR(W966*INDEX(Variables!$B$7:$D$7,IFERROR(MATCH(IF($B966="Robusta","Robusta",(IF($B966="","Arabica",$B966))&amp;" - "&amp;(IF($C966="","Commercial",$C966))),Variables!$B$1:$D$1,0),1))*(BE966/365),""))</f>
        <v>-502.11800050055899</v>
      </c>
      <c r="BG966" s="44">
        <f>IF($AX966="Cancelled","",IFERROR((W966*INDEX(Variables!$B$7:$D$7,IFERROR(MATCH(IF($B966="Robusta","Robusta",(IF($B966="","Arabica",$B966))&amp;" - "&amp;(IF($C966="","Commercial",$C966))),Variables!$B$1:$D$1,0),1))*IFERROR(IF(AB966="","",(AVERAGE(E966:F966)-AB966)-Variables!$B$14),"")/365)+(L966/16.67*INDEX(Variables!$B$8:$D$8,IFERROR(MATCH(IF($B966="Robusta","Robusta",(IF($B966="","Arabica",$B966))&amp;" - "&amp;(IF($C966="","Commercial",$C966))),Variables!$B$1:$D$1,0),1))*IFERROR(IF(AB966="","",(AVERAGE(E966:F966)-AB966)-Variables!$B$14),""))+(W966*INDEX(Variables!$B$9:$D$9,IFERROR(MATCH(IF($B966="Robusta","Robusta",(IF($B966="","Arabica",$B966))&amp;" - "&amp;(IF($C966="","Commercial",$C966))),Variables!$B$1:$D$1,0),1))*IFERROR(IF(AB966="","",(AVERAGE(E966:F966)-AB966)-Variables!$B$14),"")/365),""))</f>
        <v>145.00347234579962</v>
      </c>
      <c r="BH966" s="44">
        <f>IF($AX966="Cancelled","",IFERROR((W966*INDEX(Variables!$B$7:$D$7,IFERROR(MATCH(IF($B966="Robusta","Robusta",(IF($B966="","Arabica",$B966))&amp;" - "&amp;(IF($C966="","Commercial",$C966))),Variables!$B$1:$D$1,0),1))*AK966/365)+(L966/16.67*INDEX(Variables!$B$8:$D$8,IFERROR(MATCH(IF($B966="Robusta","Robusta",(IF($B966="","Arabica",$B966))&amp;" - "&amp;(IF($C966="","Commercial",$C966))),Variables!$B$1:$D$1,0),1))*AK966)+(W966*INDEX(Variables!$B$9:$D$9,IFERROR(MATCH(IF($B966="Robusta","Robusta",(IF($B966="","Arabica",$B966))&amp;" - "&amp;(IF($C966="","Commercial",$C966))),Variables!$B$1:$D$1,0),1))*AK966/365),""))</f>
        <v>82.859127054742643</v>
      </c>
      <c r="BI966" s="44">
        <f>IF($AX966="Cancelled","",IFERROR((W966*INDEX(Variables!$B$7:$D$7,IFERROR(MATCH(IF($B966="Robusta","Robusta",(IF($B966="","Arabica",$B966))&amp;" - "&amp;(IF($C966="","Commercial",$C966))),Variables!$B$1:$D$1,0),1))*BD966/365)+(L966/16.67*INDEX(Variables!$B$8:$D$8,IFERROR(MATCH(IF($B966="Robusta","Robusta",(IF($B966="","Arabica",$B966))&amp;" - "&amp;(IF($C966="","Commercial",$C966))),Variables!$B$1:$D$1,0),1))*BD966)+(W966*INDEX(Variables!$B$9:$D$9,IFERROR(MATCH(IF($B966="Robusta","Robusta",(IF($B966="","Arabica",$B966))&amp;" - "&amp;(IF($C966="","Commercial",$C966))),Variables!$B$1:$D$1,0),1))*BD966/365),""))</f>
        <v>-82.859127054742643</v>
      </c>
      <c r="BJ966" s="44">
        <f t="shared" si="48"/>
        <v>1</v>
      </c>
      <c r="BK966" s="44">
        <f>IF($AX966="Cancelled","",IFERROR(IF(BJ966="","",(W966*INDEX(Variables!$B$7:$D$7,IFERROR(MATCH(IF($B966="Robusta","Robusta",(IF($B966="","Arabica",$B966))&amp;" - "&amp;(IF($C966="","Commercial",$C966))),Variables!$B$1:$D$1,0),1))*(BJ966/365))+(W966*INDEX(Variables!$B$9:$D$9,IFERROR(MATCH(IF($B966="Robusta","Robusta",(IF($B966="","Arabica",$B966))&amp;" - "&amp;(IF($C966="","Commercial",$C966))),Variables!$B$1:$D$1,0),1))*(BJ966/365))+(INDEX(Variables!$B$8:$D$8,IFERROR(MATCH(IF($B966="Robusta","Robusta",(IF($B966="","Arabica",$B966))&amp;" - "&amp;(IF($C966="","Commercial",$C966))),Variables!$B$1:$D$1,0),1))*L966/16.67)),""))</f>
        <v>41.429563527371322</v>
      </c>
    </row>
    <row r="967" spans="1:63">
      <c r="A967" s="13" t="s">
        <v>103</v>
      </c>
      <c r="B967" s="13" t="s">
        <v>104</v>
      </c>
      <c r="C967" s="13" t="s">
        <v>105</v>
      </c>
      <c r="D967" s="31">
        <v>46086</v>
      </c>
      <c r="E967" s="31">
        <v>46113</v>
      </c>
      <c r="F967" s="31">
        <v>46142</v>
      </c>
      <c r="G967" s="13">
        <v>3787394</v>
      </c>
      <c r="J967" s="13" t="s">
        <v>236</v>
      </c>
      <c r="K967" s="13">
        <v>5498</v>
      </c>
      <c r="L967" s="13">
        <v>320</v>
      </c>
      <c r="M967" s="13">
        <v>1</v>
      </c>
      <c r="N967" s="13" t="s">
        <v>2486</v>
      </c>
      <c r="O967" s="13" t="s">
        <v>355</v>
      </c>
      <c r="P967" s="13">
        <v>10060</v>
      </c>
      <c r="R967" s="13" t="s">
        <v>239</v>
      </c>
      <c r="S967" s="13" t="s">
        <v>288</v>
      </c>
      <c r="T967" s="13" t="s">
        <v>289</v>
      </c>
      <c r="U967" s="13" t="s">
        <v>182</v>
      </c>
      <c r="V967" s="23">
        <v>45</v>
      </c>
      <c r="W967" s="44">
        <f>IF($AX967="Cancelled","",IFERROR(((V967+INDEX(Variables!$B$6:$D$6,IFERROR(MATCH(IF($B967="Robusta","Robusta",(IF($B967="","Arabica",$B967))&amp;" - "&amp;(IF($C967="","Commercial",$C967))),Variables!$B$1:$D$1,0),1)))*22.0462)*(L967/16.67),""))</f>
        <v>142111.3657588482</v>
      </c>
      <c r="X967" s="55" t="s">
        <v>37</v>
      </c>
      <c r="Y967" s="13" t="str">
        <f>IF($AX967="Cancelled","",IF(X967="","",IFERROR(IF(INDEX(Variables!$B$38:$B$47,MATCH(X967,Variables!$A$38:$A$47,0))="Yes","Yes","No"),"No")))</f>
        <v>Yes</v>
      </c>
      <c r="Z967" s="58">
        <v>46091</v>
      </c>
      <c r="AB967" s="31">
        <v>46120</v>
      </c>
      <c r="AC967" s="13" t="str">
        <f t="shared" si="47"/>
        <v>Approved</v>
      </c>
      <c r="AF967" s="71">
        <v>46136</v>
      </c>
      <c r="AG967" s="37">
        <f>IF($AX967="Cancelled","",IFERROR(IF(F967="","",F967-Variables!$B$13),""))</f>
        <v>46127</v>
      </c>
      <c r="AH967" s="13">
        <f>IF($AX967="Cancelled","",IFERROR(IF(AB967="","",(AVERAGE(E967:F967)-AB967)-Variables!$B$14),""))</f>
        <v>-22.5</v>
      </c>
      <c r="AJ967" s="47">
        <v>46140</v>
      </c>
      <c r="AK967" s="14">
        <f>IF($AX967="Cancelled","",IFERROR(IF(AJ967="","",IF(AND(AB967="",AF967=""),"",IF(AF967&gt;AB967,AF967+Variables!$B$15+Variables!$B$16+Variables!$B$17-AJ967,AB967+Variables!$B$16+Variables!$B$17-AJ967))),""))</f>
        <v>11</v>
      </c>
      <c r="AL967" s="48" t="s">
        <v>114</v>
      </c>
      <c r="AM967" s="13" t="s">
        <v>183</v>
      </c>
      <c r="AN967" s="13" t="s">
        <v>2487</v>
      </c>
      <c r="AP967" s="39">
        <v>46156</v>
      </c>
      <c r="AR967" s="13">
        <v>321600001744</v>
      </c>
      <c r="AS967" s="31" t="s">
        <v>2488</v>
      </c>
      <c r="AU967" s="31">
        <v>46175</v>
      </c>
      <c r="AV967" s="13">
        <v>4626085155</v>
      </c>
      <c r="AW967" s="31">
        <v>46175</v>
      </c>
      <c r="AX967" s="13" t="str">
        <f>IF(ISNUMBER(SEARCH("cancel",#REF!)),"Cancelled",IF(AND(AS967&lt;&gt;"",AU967&lt;&gt;"",AW967&lt;&gt;""),"Closed","Open"))</f>
        <v>Closed</v>
      </c>
      <c r="AY967" s="15" t="str">
        <f t="shared" si="46"/>
        <v>All dates received</v>
      </c>
      <c r="BD967" s="13" t="str">
        <f>IF($AX967="Cancelled","",IFERROR(IF(OR(AS967="",AJ967=""),"",(AJ967+Variables!$B$18-AS967)),""))</f>
        <v/>
      </c>
      <c r="BE967" s="13" t="str">
        <f>IF($AX967="Cancelled","",IFERROR(IF(OR(AW967="",AS967=""),"",(AS967+Variables!$B$19)-AW967),""))</f>
        <v/>
      </c>
      <c r="BF967" s="44" t="str">
        <f>IF($AX967="Cancelled","",IFERROR(W967*INDEX(Variables!$B$7:$D$7,IFERROR(MATCH(IF($B967="Robusta","Robusta",(IF($B967="","Arabica",$B967))&amp;" - "&amp;(IF($C967="","Commercial",$C967))),Variables!$B$1:$D$1,0),1))*(BE967/365),""))</f>
        <v/>
      </c>
      <c r="BG967" s="44">
        <f>IF($AX967="Cancelled","",IFERROR((W967*INDEX(Variables!$B$7:$D$7,IFERROR(MATCH(IF($B967="Robusta","Robusta",(IF($B967="","Arabica",$B967))&amp;" - "&amp;(IF($C967="","Commercial",$C967))),Variables!$B$1:$D$1,0),1))*IFERROR(IF(AB967="","",(AVERAGE(E967:F967)-AB967)-Variables!$B$14),"")/365)+(L967/16.67*INDEX(Variables!$B$8:$D$8,IFERROR(MATCH(IF($B967="Robusta","Robusta",(IF($B967="","Arabica",$B967))&amp;" - "&amp;(IF($C967="","Commercial",$C967))),Variables!$B$1:$D$1,0),1))*IFERROR(IF(AB967="","",(AVERAGE(E967:F967)-AB967)-Variables!$B$14),""))+(W967*INDEX(Variables!$B$9:$D$9,IFERROR(MATCH(IF($B967="Robusta","Robusta",(IF($B967="","Arabica",$B967))&amp;" - "&amp;(IF($C967="","Commercial",$C967))),Variables!$B$1:$D$1,0),1))*IFERROR(IF(AB967="","",(AVERAGE(E967:F967)-AB967)-Variables!$B$14),"")/365),""))</f>
        <v>-932.16517936585467</v>
      </c>
      <c r="BH967" s="44">
        <f>IF($AX967="Cancelled","",IFERROR((W967*INDEX(Variables!$B$7:$D$7,IFERROR(MATCH(IF($B967="Robusta","Robusta",(IF($B967="","Arabica",$B967))&amp;" - "&amp;(IF($C967="","Commercial",$C967))),Variables!$B$1:$D$1,0),1))*AK967/365)+(L967/16.67*INDEX(Variables!$B$8:$D$8,IFERROR(MATCH(IF($B967="Robusta","Robusta",(IF($B967="","Arabica",$B967))&amp;" - "&amp;(IF($C967="","Commercial",$C967))),Variables!$B$1:$D$1,0),1))*AK967)+(W967*INDEX(Variables!$B$9:$D$9,IFERROR(MATCH(IF($B967="Robusta","Robusta",(IF($B967="","Arabica",$B967))&amp;" - "&amp;(IF($C967="","Commercial",$C967))),Variables!$B$1:$D$1,0),1))*AK967/365),""))</f>
        <v>455.7251988010845</v>
      </c>
      <c r="BI967" s="44" t="str">
        <f>IF($AX967="Cancelled","",IFERROR((W967*INDEX(Variables!$B$7:$D$7,IFERROR(MATCH(IF($B967="Robusta","Robusta",(IF($B967="","Arabica",$B967))&amp;" - "&amp;(IF($C967="","Commercial",$C967))),Variables!$B$1:$D$1,0),1))*BD967/365)+(L967/16.67*INDEX(Variables!$B$8:$D$8,IFERROR(MATCH(IF($B967="Robusta","Robusta",(IF($B967="","Arabica",$B967))&amp;" - "&amp;(IF($C967="","Commercial",$C967))),Variables!$B$1:$D$1,0),1))*BD967)+(W967*INDEX(Variables!$B$9:$D$9,IFERROR(MATCH(IF($B967="Robusta","Robusta",(IF($B967="","Arabica",$B967))&amp;" - "&amp;(IF($C967="","Commercial",$C967))),Variables!$B$1:$D$1,0),1))*BD967/365),""))</f>
        <v/>
      </c>
      <c r="BJ967" s="44" t="str">
        <f t="shared" si="48"/>
        <v/>
      </c>
      <c r="BK967" s="44" t="str">
        <f>IF($AX967="Cancelled","",IFERROR(IF(BJ967="","",(W967*INDEX(Variables!$B$7:$D$7,IFERROR(MATCH(IF($B967="Robusta","Robusta",(IF($B967="","Arabica",$B967))&amp;" - "&amp;(IF($C967="","Commercial",$C967))),Variables!$B$1:$D$1,0),1))*(BJ967/365))+(W967*INDEX(Variables!$B$9:$D$9,IFERROR(MATCH(IF($B967="Robusta","Robusta",(IF($B967="","Arabica",$B967))&amp;" - "&amp;(IF($C967="","Commercial",$C967))),Variables!$B$1:$D$1,0),1))*(BJ967/365))+(INDEX(Variables!$B$8:$D$8,IFERROR(MATCH(IF($B967="Robusta","Robusta",(IF($B967="","Arabica",$B967))&amp;" - "&amp;(IF($C967="","Commercial",$C967))),Variables!$B$1:$D$1,0),1))*L967/16.67)),""))</f>
        <v/>
      </c>
    </row>
    <row r="968" spans="1:63">
      <c r="A968" s="13" t="s">
        <v>103</v>
      </c>
      <c r="B968" s="13" t="s">
        <v>104</v>
      </c>
      <c r="C968" s="13" t="s">
        <v>105</v>
      </c>
      <c r="D968" s="31">
        <v>46086</v>
      </c>
      <c r="E968" s="31">
        <v>46143</v>
      </c>
      <c r="F968" s="31">
        <v>46173</v>
      </c>
      <c r="G968" s="13">
        <v>3787395</v>
      </c>
      <c r="J968" s="13" t="s">
        <v>236</v>
      </c>
      <c r="K968" s="13">
        <v>5529</v>
      </c>
      <c r="L968" s="13">
        <v>640</v>
      </c>
      <c r="M968" s="13">
        <v>2</v>
      </c>
      <c r="N968" s="13" t="s">
        <v>2489</v>
      </c>
      <c r="O968" s="13" t="s">
        <v>355</v>
      </c>
      <c r="P968" s="13">
        <v>10060</v>
      </c>
      <c r="R968" s="13" t="s">
        <v>671</v>
      </c>
      <c r="S968" s="13" t="s">
        <v>288</v>
      </c>
      <c r="T968" s="13" t="s">
        <v>289</v>
      </c>
      <c r="U968" s="13" t="s">
        <v>182</v>
      </c>
      <c r="V968" s="23">
        <v>45</v>
      </c>
      <c r="W968" s="44">
        <f>IF($AX968="Cancelled","",IFERROR(((V968+INDEX(Variables!$B$6:$D$6,IFERROR(MATCH(IF($B968="Robusta","Robusta",(IF($B968="","Arabica",$B968))&amp;" - "&amp;(IF($C968="","Commercial",$C968))),Variables!$B$1:$D$1,0),1)))*22.0462)*(L968/16.67),""))</f>
        <v>284222.7315176964</v>
      </c>
      <c r="X968" s="55" t="s">
        <v>37</v>
      </c>
      <c r="Y968" s="13" t="str">
        <f>IF($AX968="Cancelled","",IF(X968="","",IFERROR(IF(INDEX(Variables!$B$38:$B$47,MATCH(X968,Variables!$A$38:$A$47,0))="Yes","Yes","No"),"No")))</f>
        <v>Yes</v>
      </c>
      <c r="Z968" s="58">
        <v>46111</v>
      </c>
      <c r="AB968" s="31">
        <v>46129</v>
      </c>
      <c r="AC968" s="13" t="str">
        <f t="shared" si="47"/>
        <v>Approved</v>
      </c>
      <c r="AF968" s="71">
        <v>46177</v>
      </c>
      <c r="AG968" s="37">
        <f>IF($AX968="Cancelled","",IFERROR(IF(F968="","",F968-Variables!$B$13),""))</f>
        <v>46158</v>
      </c>
      <c r="AH968" s="13">
        <f>IF($AX968="Cancelled","",IFERROR(IF(AB968="","",(AVERAGE(E968:F968)-AB968)-Variables!$B$14),""))</f>
        <v>-1</v>
      </c>
      <c r="AJ968" s="47">
        <v>46185</v>
      </c>
      <c r="AK968" s="14">
        <f>IF($AX968="Cancelled","",IFERROR(IF(AJ968="","",IF(AND(AB968="",AF968=""),"",IF(AF968&gt;AB968,AF968+Variables!$B$15+Variables!$B$16+Variables!$B$17-AJ968,AB968+Variables!$B$16+Variables!$B$17-AJ968))),""))</f>
        <v>7</v>
      </c>
      <c r="AL968" s="48" t="s">
        <v>114</v>
      </c>
      <c r="AM968" s="13" t="s">
        <v>183</v>
      </c>
      <c r="AN968" s="13" t="s">
        <v>2485</v>
      </c>
      <c r="AP968" s="39">
        <v>46202</v>
      </c>
      <c r="AR968" s="13">
        <v>321600002449</v>
      </c>
      <c r="AS968" s="31" t="s">
        <v>2490</v>
      </c>
      <c r="AU968" s="31">
        <v>46218</v>
      </c>
      <c r="AV968" s="13">
        <v>7206946810</v>
      </c>
      <c r="AW968" s="31">
        <v>46218</v>
      </c>
      <c r="AX968" s="13" t="str">
        <f>IF(ISNUMBER(SEARCH("cancel",#REF!)),"Cancelled",IF(AND(AS968&lt;&gt;"",AU968&lt;&gt;"",AW968&lt;&gt;""),"Closed","Open"))</f>
        <v>Closed</v>
      </c>
      <c r="AY968" s="15" t="str">
        <f t="shared" si="46"/>
        <v>All dates received</v>
      </c>
      <c r="BD968" s="13" t="str">
        <f>IF($AX968="Cancelled","",IFERROR(IF(OR(AS968="",AJ968=""),"",(AJ968+Variables!$B$18-AS968)),""))</f>
        <v/>
      </c>
      <c r="BE968" s="13" t="str">
        <f>IF($AX968="Cancelled","",IFERROR(IF(OR(AW968="",AS968=""),"",(AS968+Variables!$B$19)-AW968),""))</f>
        <v/>
      </c>
      <c r="BF968" s="44" t="str">
        <f>IF($AX968="Cancelled","",IFERROR(W968*INDEX(Variables!$B$7:$D$7,IFERROR(MATCH(IF($B968="Robusta","Robusta",(IF($B968="","Arabica",$B968))&amp;" - "&amp;(IF($C968="","Commercial",$C968))),Variables!$B$1:$D$1,0),1))*(BE968/365),""))</f>
        <v/>
      </c>
      <c r="BG968" s="44">
        <f>IF($AX968="Cancelled","",IFERROR((W968*INDEX(Variables!$B$7:$D$7,IFERROR(MATCH(IF($B968="Robusta","Robusta",(IF($B968="","Arabica",$B968))&amp;" - "&amp;(IF($C968="","Commercial",$C968))),Variables!$B$1:$D$1,0),1))*IFERROR(IF(AB968="","",(AVERAGE(E968:F968)-AB968)-Variables!$B$14),"")/365)+(L968/16.67*INDEX(Variables!$B$8:$D$8,IFERROR(MATCH(IF($B968="Robusta","Robusta",(IF($B968="","Arabica",$B968))&amp;" - "&amp;(IF($C968="","Commercial",$C968))),Variables!$B$1:$D$1,0),1))*IFERROR(IF(AB968="","",(AVERAGE(E968:F968)-AB968)-Variables!$B$14),""))+(W968*INDEX(Variables!$B$9:$D$9,IFERROR(MATCH(IF($B968="Robusta","Robusta",(IF($B968="","Arabica",$B968))&amp;" - "&amp;(IF($C968="","Commercial",$C968))),Variables!$B$1:$D$1,0),1))*IFERROR(IF(AB968="","",(AVERAGE(E968:F968)-AB968)-Variables!$B$14),"")/365),""))</f>
        <v>-82.859127054742643</v>
      </c>
      <c r="BH968" s="44">
        <f>IF($AX968="Cancelled","",IFERROR((W968*INDEX(Variables!$B$7:$D$7,IFERROR(MATCH(IF($B968="Robusta","Robusta",(IF($B968="","Arabica",$B968))&amp;" - "&amp;(IF($C968="","Commercial",$C968))),Variables!$B$1:$D$1,0),1))*AK968/365)+(L968/16.67*INDEX(Variables!$B$8:$D$8,IFERROR(MATCH(IF($B968="Robusta","Robusta",(IF($B968="","Arabica",$B968))&amp;" - "&amp;(IF($C968="","Commercial",$C968))),Variables!$B$1:$D$1,0),1))*AK968)+(W968*INDEX(Variables!$B$9:$D$9,IFERROR(MATCH(IF($B968="Robusta","Robusta",(IF($B968="","Arabica",$B968))&amp;" - "&amp;(IF($C968="","Commercial",$C968))),Variables!$B$1:$D$1,0),1))*AK968/365),""))</f>
        <v>580.01388938319849</v>
      </c>
      <c r="BI968" s="44" t="str">
        <f>IF($AX968="Cancelled","",IFERROR((W968*INDEX(Variables!$B$7:$D$7,IFERROR(MATCH(IF($B968="Robusta","Robusta",(IF($B968="","Arabica",$B968))&amp;" - "&amp;(IF($C968="","Commercial",$C968))),Variables!$B$1:$D$1,0),1))*BD968/365)+(L968/16.67*INDEX(Variables!$B$8:$D$8,IFERROR(MATCH(IF($B968="Robusta","Robusta",(IF($B968="","Arabica",$B968))&amp;" - "&amp;(IF($C968="","Commercial",$C968))),Variables!$B$1:$D$1,0),1))*BD968)+(W968*INDEX(Variables!$B$9:$D$9,IFERROR(MATCH(IF($B968="Robusta","Robusta",(IF($B968="","Arabica",$B968))&amp;" - "&amp;(IF($C968="","Commercial",$C968))),Variables!$B$1:$D$1,0),1))*BD968/365),""))</f>
        <v/>
      </c>
      <c r="BJ968" s="44" t="str">
        <f t="shared" si="48"/>
        <v/>
      </c>
      <c r="BK968" s="44" t="str">
        <f>IF($AX968="Cancelled","",IFERROR(IF(BJ968="","",(W968*INDEX(Variables!$B$7:$D$7,IFERROR(MATCH(IF($B968="Robusta","Robusta",(IF($B968="","Arabica",$B968))&amp;" - "&amp;(IF($C968="","Commercial",$C968))),Variables!$B$1:$D$1,0),1))*(BJ968/365))+(W968*INDEX(Variables!$B$9:$D$9,IFERROR(MATCH(IF($B968="Robusta","Robusta",(IF($B968="","Arabica",$B968))&amp;" - "&amp;(IF($C968="","Commercial",$C968))),Variables!$B$1:$D$1,0),1))*(BJ968/365))+(INDEX(Variables!$B$8:$D$8,IFERROR(MATCH(IF($B968="Robusta","Robusta",(IF($B968="","Arabica",$B968))&amp;" - "&amp;(IF($C968="","Commercial",$C968))),Variables!$B$1:$D$1,0),1))*L968/16.67)),""))</f>
        <v/>
      </c>
    </row>
    <row r="969" spans="1:63">
      <c r="A969" s="13" t="s">
        <v>103</v>
      </c>
      <c r="B969" s="13" t="s">
        <v>104</v>
      </c>
      <c r="C969" s="13" t="s">
        <v>105</v>
      </c>
      <c r="D969" s="31">
        <v>46086</v>
      </c>
      <c r="E969" s="31">
        <v>46174</v>
      </c>
      <c r="F969" s="31">
        <v>46203</v>
      </c>
      <c r="G969" s="13">
        <v>3787396</v>
      </c>
      <c r="J969" s="13" t="s">
        <v>236</v>
      </c>
      <c r="K969" s="13">
        <v>5575</v>
      </c>
      <c r="L969" s="13">
        <v>320</v>
      </c>
      <c r="M969" s="13">
        <v>1</v>
      </c>
      <c r="N969" s="13" t="s">
        <v>2491</v>
      </c>
      <c r="O969" s="13" t="s">
        <v>355</v>
      </c>
      <c r="P969" s="13">
        <v>10060</v>
      </c>
      <c r="R969" s="13" t="s">
        <v>239</v>
      </c>
      <c r="S969" s="13" t="s">
        <v>288</v>
      </c>
      <c r="T969" s="13" t="s">
        <v>289</v>
      </c>
      <c r="U969" s="13" t="s">
        <v>182</v>
      </c>
      <c r="V969" s="23">
        <v>45</v>
      </c>
      <c r="W969" s="44">
        <f>IF($AX969="Cancelled","",IFERROR(((V969+INDEX(Variables!$B$6:$D$6,IFERROR(MATCH(IF($B969="Robusta","Robusta",(IF($B969="","Arabica",$B969))&amp;" - "&amp;(IF($C969="","Commercial",$C969))),Variables!$B$1:$D$1,0),1)))*22.0462)*(L969/16.67),""))</f>
        <v>142111.3657588482</v>
      </c>
      <c r="X969" s="55" t="s">
        <v>37</v>
      </c>
      <c r="Y969" s="13" t="str">
        <f>IF($AX969="Cancelled","",IF(X969="","",IFERROR(IF(INDEX(Variables!$B$38:$B$47,MATCH(X969,Variables!$A$38:$A$47,0))="Yes","Yes","No"),"No")))</f>
        <v>Yes</v>
      </c>
      <c r="Z969" s="58">
        <v>46135</v>
      </c>
      <c r="AB969" s="31">
        <v>46168</v>
      </c>
      <c r="AC969" s="13" t="str">
        <f t="shared" si="47"/>
        <v>Approved</v>
      </c>
      <c r="AF969" s="71">
        <v>46195</v>
      </c>
      <c r="AG969" s="37">
        <f>IF($AX969="Cancelled","",IFERROR(IF(F969="","",F969-Variables!$B$13),""))</f>
        <v>46188</v>
      </c>
      <c r="AH969" s="13">
        <f>IF($AX969="Cancelled","",IFERROR(IF(AB969="","",(AVERAGE(E969:F969)-AB969)-Variables!$B$14),""))</f>
        <v>-9.5</v>
      </c>
      <c r="AJ969" s="47">
        <v>46212</v>
      </c>
      <c r="AK969" s="14">
        <f>IF($AX969="Cancelled","",IFERROR(IF(AJ969="","",IF(AND(AB969="",AF969=""),"",IF(AF969&gt;AB969,AF969+Variables!$B$15+Variables!$B$16+Variables!$B$17-AJ969,AB969+Variables!$B$16+Variables!$B$17-AJ969))),""))</f>
        <v>-2</v>
      </c>
      <c r="AL969" s="48" t="s">
        <v>114</v>
      </c>
      <c r="AM969" s="13" t="s">
        <v>183</v>
      </c>
      <c r="AN969" s="13" t="s">
        <v>2492</v>
      </c>
      <c r="AP969" s="39">
        <v>46231</v>
      </c>
      <c r="AR969" s="13">
        <v>321600002902</v>
      </c>
      <c r="AS969" s="31">
        <v>46231</v>
      </c>
      <c r="AU969" s="31">
        <v>46252</v>
      </c>
      <c r="AV969" s="13" t="s">
        <v>865</v>
      </c>
      <c r="AW969" s="39">
        <v>46252</v>
      </c>
      <c r="AX969" s="13" t="str">
        <f>IF(ISNUMBER(SEARCH("cancel",#REF!)),"Cancelled",IF(AND(AS969&lt;&gt;"",AU969&lt;&gt;"",AW969&lt;&gt;""),"Closed","Open"))</f>
        <v>Closed</v>
      </c>
      <c r="AY969" s="15" t="str">
        <f t="shared" si="46"/>
        <v>All dates received</v>
      </c>
      <c r="AZ969" s="13" t="s">
        <v>3047</v>
      </c>
      <c r="BA969" s="13" t="s">
        <v>3057</v>
      </c>
      <c r="BB969" s="13" t="s">
        <v>3058</v>
      </c>
      <c r="BC969" s="13" t="s">
        <v>3295</v>
      </c>
      <c r="BD969" s="13">
        <f>IF($AX969="Cancelled","",IFERROR(IF(OR(AS969="",AJ969=""),"",(AJ969+Variables!$B$18-AS969)),""))</f>
        <v>-4</v>
      </c>
      <c r="BE969" s="13">
        <f>IF($AX969="Cancelled","",IFERROR(IF(OR(AW969="",AS969=""),"",(AS969+Variables!$B$19)-AW969),""))</f>
        <v>-16</v>
      </c>
      <c r="BF969" s="44">
        <f>IF($AX969="Cancelled","",IFERROR(W969*INDEX(Variables!$B$7:$D$7,IFERROR(MATCH(IF($B969="Robusta","Robusta",(IF($B969="","Arabica",$B969))&amp;" - "&amp;(IF($C969="","Commercial",$C969))),Variables!$B$1:$D$1,0),1))*(BE969/365),""))</f>
        <v>-401.69440040044719</v>
      </c>
      <c r="BG969" s="44">
        <f>IF($AX969="Cancelled","",IFERROR((W969*INDEX(Variables!$B$7:$D$7,IFERROR(MATCH(IF($B969="Robusta","Robusta",(IF($B969="","Arabica",$B969))&amp;" - "&amp;(IF($C969="","Commercial",$C969))),Variables!$B$1:$D$1,0),1))*IFERROR(IF(AB969="","",(AVERAGE(E969:F969)-AB969)-Variables!$B$14),"")/365)+(L969/16.67*INDEX(Variables!$B$8:$D$8,IFERROR(MATCH(IF($B969="Robusta","Robusta",(IF($B969="","Arabica",$B969))&amp;" - "&amp;(IF($C969="","Commercial",$C969))),Variables!$B$1:$D$1,0),1))*IFERROR(IF(AB969="","",(AVERAGE(E969:F969)-AB969)-Variables!$B$14),""))+(W969*INDEX(Variables!$B$9:$D$9,IFERROR(MATCH(IF($B969="Robusta","Robusta",(IF($B969="","Arabica",$B969))&amp;" - "&amp;(IF($C969="","Commercial",$C969))),Variables!$B$1:$D$1,0),1))*IFERROR(IF(AB969="","",(AVERAGE(E969:F969)-AB969)-Variables!$B$14),"")/365),""))</f>
        <v>-393.58085351002757</v>
      </c>
      <c r="BH969" s="44">
        <f>IF($AX969="Cancelled","",IFERROR((W969*INDEX(Variables!$B$7:$D$7,IFERROR(MATCH(IF($B969="Robusta","Robusta",(IF($B969="","Arabica",$B969))&amp;" - "&amp;(IF($C969="","Commercial",$C969))),Variables!$B$1:$D$1,0),1))*AK969/365)+(L969/16.67*INDEX(Variables!$B$8:$D$8,IFERROR(MATCH(IF($B969="Robusta","Robusta",(IF($B969="","Arabica",$B969))&amp;" - "&amp;(IF($C969="","Commercial",$C969))),Variables!$B$1:$D$1,0),1))*AK969)+(W969*INDEX(Variables!$B$9:$D$9,IFERROR(MATCH(IF($B969="Robusta","Robusta",(IF($B969="","Arabica",$B969))&amp;" - "&amp;(IF($C969="","Commercial",$C969))),Variables!$B$1:$D$1,0),1))*AK969/365),""))</f>
        <v>-82.859127054742643</v>
      </c>
      <c r="BI969" s="44">
        <f>IF($AX969="Cancelled","",IFERROR((W969*INDEX(Variables!$B$7:$D$7,IFERROR(MATCH(IF($B969="Robusta","Robusta",(IF($B969="","Arabica",$B969))&amp;" - "&amp;(IF($C969="","Commercial",$C969))),Variables!$B$1:$D$1,0),1))*BD969/365)+(L969/16.67*INDEX(Variables!$B$8:$D$8,IFERROR(MATCH(IF($B969="Robusta","Robusta",(IF($B969="","Arabica",$B969))&amp;" - "&amp;(IF($C969="","Commercial",$C969))),Variables!$B$1:$D$1,0),1))*BD969)+(W969*INDEX(Variables!$B$9:$D$9,IFERROR(MATCH(IF($B969="Robusta","Robusta",(IF($B969="","Arabica",$B969))&amp;" - "&amp;(IF($C969="","Commercial",$C969))),Variables!$B$1:$D$1,0),1))*BD969/365),""))</f>
        <v>-165.71825410948529</v>
      </c>
      <c r="BJ969" s="44">
        <f t="shared" si="48"/>
        <v>-28</v>
      </c>
      <c r="BK969" s="44">
        <f>IF($AX969="Cancelled","",IFERROR(IF(BJ969="","",(W969*INDEX(Variables!$B$7:$D$7,IFERROR(MATCH(IF($B969="Robusta","Robusta",(IF($B969="","Arabica",$B969))&amp;" - "&amp;(IF($C969="","Commercial",$C969))),Variables!$B$1:$D$1,0),1))*(BJ969/365))+(W969*INDEX(Variables!$B$9:$D$9,IFERROR(MATCH(IF($B969="Robusta","Robusta",(IF($B969="","Arabica",$B969))&amp;" - "&amp;(IF($C969="","Commercial",$C969))),Variables!$B$1:$D$1,0),1))*(BJ969/365))+(INDEX(Variables!$B$8:$D$8,IFERROR(MATCH(IF($B969="Robusta","Robusta",(IF($B969="","Arabica",$B969))&amp;" - "&amp;(IF($C969="","Commercial",$C969))),Variables!$B$1:$D$1,0),1))*L969/16.67)),""))</f>
        <v>-696.02777876639698</v>
      </c>
    </row>
    <row r="970" spans="1:63">
      <c r="A970" s="13" t="s">
        <v>103</v>
      </c>
      <c r="B970" s="13" t="s">
        <v>104</v>
      </c>
      <c r="C970" s="13" t="s">
        <v>105</v>
      </c>
      <c r="D970" s="31">
        <v>46086</v>
      </c>
      <c r="E970" s="31">
        <v>46113</v>
      </c>
      <c r="F970" s="31">
        <v>46142</v>
      </c>
      <c r="G970" s="13">
        <v>3787397</v>
      </c>
      <c r="J970" s="13" t="s">
        <v>236</v>
      </c>
      <c r="K970" s="13">
        <v>5497</v>
      </c>
      <c r="L970" s="13">
        <v>320</v>
      </c>
      <c r="M970" s="13">
        <v>1</v>
      </c>
      <c r="N970" s="13" t="s">
        <v>2493</v>
      </c>
      <c r="O970" s="13" t="s">
        <v>120</v>
      </c>
      <c r="P970" s="13">
        <v>10070</v>
      </c>
      <c r="R970" s="13" t="s">
        <v>239</v>
      </c>
      <c r="S970" s="13" t="s">
        <v>288</v>
      </c>
      <c r="T970" s="13" t="s">
        <v>289</v>
      </c>
      <c r="U970" s="13" t="s">
        <v>182</v>
      </c>
      <c r="V970" s="23">
        <v>32</v>
      </c>
      <c r="W970" s="44">
        <f>IF($AX970="Cancelled","",IFERROR(((V970+INDEX(Variables!$B$6:$D$6,IFERROR(MATCH(IF($B970="Robusta","Robusta",(IF($B970="","Arabica",$B970))&amp;" - "&amp;(IF($C970="","Commercial",$C970))),Variables!$B$1:$D$1,0),1)))*22.0462)*(L970/16.67),""))</f>
        <v>136609.73456508698</v>
      </c>
      <c r="X970" s="55" t="s">
        <v>37</v>
      </c>
      <c r="Y970" s="13" t="str">
        <f>IF($AX970="Cancelled","",IF(X970="","",IFERROR(IF(INDEX(Variables!$B$38:$B$47,MATCH(X970,Variables!$A$38:$A$47,0))="Yes","Yes","No"),"No")))</f>
        <v>Yes</v>
      </c>
      <c r="Z970" s="58">
        <v>46091</v>
      </c>
      <c r="AB970" s="31">
        <v>46120</v>
      </c>
      <c r="AC970" s="13" t="str">
        <f t="shared" si="47"/>
        <v>Approved</v>
      </c>
      <c r="AF970" s="71">
        <v>46148</v>
      </c>
      <c r="AG970" s="37">
        <f>IF($AX970="Cancelled","",IFERROR(IF(F970="","",F970-Variables!$B$13),""))</f>
        <v>46127</v>
      </c>
      <c r="AH970" s="13">
        <f>IF($AX970="Cancelled","",IFERROR(IF(AB970="","",(AVERAGE(E970:F970)-AB970)-Variables!$B$14),""))</f>
        <v>-22.5</v>
      </c>
      <c r="AJ970" s="47">
        <v>46149</v>
      </c>
      <c r="AK970" s="14">
        <f>IF($AX970="Cancelled","",IFERROR(IF(AJ970="","",IF(AND(AB970="",AF970=""),"",IF(AF970&gt;AB970,AF970+Variables!$B$15+Variables!$B$16+Variables!$B$17-AJ970,AB970+Variables!$B$16+Variables!$B$17-AJ970))),""))</f>
        <v>14</v>
      </c>
      <c r="AL970" s="48" t="s">
        <v>114</v>
      </c>
      <c r="AM970" s="13" t="s">
        <v>183</v>
      </c>
      <c r="AN970" s="13" t="s">
        <v>2494</v>
      </c>
      <c r="AP970" s="39">
        <v>46175</v>
      </c>
      <c r="AR970" s="13">
        <v>321600001736</v>
      </c>
      <c r="AS970" s="31" t="s">
        <v>2495</v>
      </c>
      <c r="AU970" s="31">
        <v>46185</v>
      </c>
      <c r="AV970" s="13">
        <v>6447251031</v>
      </c>
      <c r="AW970" s="31">
        <v>46185</v>
      </c>
      <c r="AX970" s="13" t="str">
        <f>IF(ISNUMBER(SEARCH("cancel",#REF!)),"Cancelled",IF(AND(AS970&lt;&gt;"",AU970&lt;&gt;"",AW970&lt;&gt;""),"Closed","Open"))</f>
        <v>Closed</v>
      </c>
      <c r="AY970" s="15" t="str">
        <f t="shared" si="46"/>
        <v>All dates received</v>
      </c>
      <c r="BD970" s="13" t="str">
        <f>IF($AX970="Cancelled","",IFERROR(IF(OR(AS970="",AJ970=""),"",(AJ970+Variables!$B$18-AS970)),""))</f>
        <v/>
      </c>
      <c r="BE970" s="13" t="str">
        <f>IF($AX970="Cancelled","",IFERROR(IF(OR(AW970="",AS970=""),"",(AS970+Variables!$B$19)-AW970),""))</f>
        <v/>
      </c>
      <c r="BF970" s="44" t="str">
        <f>IF($AX970="Cancelled","",IFERROR(W970*INDEX(Variables!$B$7:$D$7,IFERROR(MATCH(IF($B970="Robusta","Robusta",(IF($B970="","Arabica",$B970))&amp;" - "&amp;(IF($C970="","Commercial",$C970))),Variables!$B$1:$D$1,0),1))*(BE970/365),""))</f>
        <v/>
      </c>
      <c r="BG970" s="44">
        <f>IF($AX970="Cancelled","",IFERROR((W970*INDEX(Variables!$B$7:$D$7,IFERROR(MATCH(IF($B970="Robusta","Robusta",(IF($B970="","Arabica",$B970))&amp;" - "&amp;(IF($C970="","Commercial",$C970))),Variables!$B$1:$D$1,0),1))*IFERROR(IF(AB970="","",(AVERAGE(E970:F970)-AB970)-Variables!$B$14),"")/365)+(L970/16.67*INDEX(Variables!$B$8:$D$8,IFERROR(MATCH(IF($B970="Robusta","Robusta",(IF($B970="","Arabica",$B970))&amp;" - "&amp;(IF($C970="","Commercial",$C970))),Variables!$B$1:$D$1,0),1))*IFERROR(IF(AB970="","",(AVERAGE(E970:F970)-AB970)-Variables!$B$14),""))+(W970*INDEX(Variables!$B$9:$D$9,IFERROR(MATCH(IF($B970="Robusta","Robusta",(IF($B970="","Arabica",$B970))&amp;" - "&amp;(IF($C970="","Commercial",$C970))),Variables!$B$1:$D$1,0),1))*IFERROR(IF(AB970="","",(AVERAGE(E970:F970)-AB970)-Variables!$B$14),"")/365),""))</f>
        <v>-910.01465127843335</v>
      </c>
      <c r="BH970" s="44">
        <f>IF($AX970="Cancelled","",IFERROR((W970*INDEX(Variables!$B$7:$D$7,IFERROR(MATCH(IF($B970="Robusta","Robusta",(IF($B970="","Arabica",$B970))&amp;" - "&amp;(IF($C970="","Commercial",$C970))),Variables!$B$1:$D$1,0),1))*AK970/365)+(L970/16.67*INDEX(Variables!$B$8:$D$8,IFERROR(MATCH(IF($B970="Robusta","Robusta",(IF($B970="","Arabica",$B970))&amp;" - "&amp;(IF($C970="","Commercial",$C970))),Variables!$B$1:$D$1,0),1))*AK970)+(W970*INDEX(Variables!$B$9:$D$9,IFERROR(MATCH(IF($B970="Robusta","Robusta",(IF($B970="","Arabica",$B970))&amp;" - "&amp;(IF($C970="","Commercial",$C970))),Variables!$B$1:$D$1,0),1))*AK970/365),""))</f>
        <v>566.23133857324751</v>
      </c>
      <c r="BI970" s="44" t="str">
        <f>IF($AX970="Cancelled","",IFERROR((W970*INDEX(Variables!$B$7:$D$7,IFERROR(MATCH(IF($B970="Robusta","Robusta",(IF($B970="","Arabica",$B970))&amp;" - "&amp;(IF($C970="","Commercial",$C970))),Variables!$B$1:$D$1,0),1))*BD970/365)+(L970/16.67*INDEX(Variables!$B$8:$D$8,IFERROR(MATCH(IF($B970="Robusta","Robusta",(IF($B970="","Arabica",$B970))&amp;" - "&amp;(IF($C970="","Commercial",$C970))),Variables!$B$1:$D$1,0),1))*BD970)+(W970*INDEX(Variables!$B$9:$D$9,IFERROR(MATCH(IF($B970="Robusta","Robusta",(IF($B970="","Arabica",$B970))&amp;" - "&amp;(IF($C970="","Commercial",$C970))),Variables!$B$1:$D$1,0),1))*BD970/365),""))</f>
        <v/>
      </c>
      <c r="BJ970" s="44" t="str">
        <f t="shared" si="48"/>
        <v/>
      </c>
      <c r="BK970" s="44" t="str">
        <f>IF($AX970="Cancelled","",IFERROR(IF(BJ970="","",(W970*INDEX(Variables!$B$7:$D$7,IFERROR(MATCH(IF($B970="Robusta","Robusta",(IF($B970="","Arabica",$B970))&amp;" - "&amp;(IF($C970="","Commercial",$C970))),Variables!$B$1:$D$1,0),1))*(BJ970/365))+(W970*INDEX(Variables!$B$9:$D$9,IFERROR(MATCH(IF($B970="Robusta","Robusta",(IF($B970="","Arabica",$B970))&amp;" - "&amp;(IF($C970="","Commercial",$C970))),Variables!$B$1:$D$1,0),1))*(BJ970/365))+(INDEX(Variables!$B$8:$D$8,IFERROR(MATCH(IF($B970="Robusta","Robusta",(IF($B970="","Arabica",$B970))&amp;" - "&amp;(IF($C970="","Commercial",$C970))),Variables!$B$1:$D$1,0),1))*L970/16.67)),""))</f>
        <v/>
      </c>
    </row>
    <row r="971" spans="1:63">
      <c r="A971" s="13" t="s">
        <v>103</v>
      </c>
      <c r="B971" s="13" t="s">
        <v>104</v>
      </c>
      <c r="C971" s="13" t="s">
        <v>105</v>
      </c>
      <c r="D971" s="31">
        <v>46086</v>
      </c>
      <c r="E971" s="31">
        <v>46143</v>
      </c>
      <c r="F971" s="31">
        <v>46173</v>
      </c>
      <c r="G971" s="13">
        <v>3787398</v>
      </c>
      <c r="J971" s="13" t="s">
        <v>236</v>
      </c>
      <c r="K971" s="13">
        <v>5530</v>
      </c>
      <c r="L971" s="13">
        <v>640</v>
      </c>
      <c r="M971" s="13">
        <v>2</v>
      </c>
      <c r="N971" s="13" t="s">
        <v>2496</v>
      </c>
      <c r="O971" s="13" t="s">
        <v>120</v>
      </c>
      <c r="P971" s="13">
        <v>10070</v>
      </c>
      <c r="R971" s="13" t="s">
        <v>239</v>
      </c>
      <c r="S971" s="13" t="s">
        <v>288</v>
      </c>
      <c r="T971" s="13" t="s">
        <v>289</v>
      </c>
      <c r="U971" s="13" t="s">
        <v>182</v>
      </c>
      <c r="V971" s="23">
        <v>32</v>
      </c>
      <c r="W971" s="44">
        <f>IF($AX971="Cancelled","",IFERROR(((V971+INDEX(Variables!$B$6:$D$6,IFERROR(MATCH(IF($B971="Robusta","Robusta",(IF($B971="","Arabica",$B971))&amp;" - "&amp;(IF($C971="","Commercial",$C971))),Variables!$B$1:$D$1,0),1)))*22.0462)*(L971/16.67),""))</f>
        <v>273219.46913017397</v>
      </c>
      <c r="X971" s="55" t="s">
        <v>37</v>
      </c>
      <c r="Y971" s="13" t="str">
        <f>IF($AX971="Cancelled","",IF(X971="","",IFERROR(IF(INDEX(Variables!$B$38:$B$47,MATCH(X971,Variables!$A$38:$A$47,0))="Yes","Yes","No"),"No")))</f>
        <v>Yes</v>
      </c>
      <c r="Z971" s="58">
        <v>46111</v>
      </c>
      <c r="AB971" s="31">
        <v>46129</v>
      </c>
      <c r="AC971" s="13" t="str">
        <f t="shared" si="47"/>
        <v>Approved</v>
      </c>
      <c r="AF971" s="71">
        <v>46182</v>
      </c>
      <c r="AG971" s="37">
        <f>IF($AX971="Cancelled","",IFERROR(IF(F971="","",F971-Variables!$B$13),""))</f>
        <v>46158</v>
      </c>
      <c r="AH971" s="13">
        <f>IF($AX971="Cancelled","",IFERROR(IF(AB971="","",(AVERAGE(E971:F971)-AB971)-Variables!$B$14),""))</f>
        <v>-1</v>
      </c>
      <c r="AJ971" s="47">
        <v>46184</v>
      </c>
      <c r="AK971" s="14">
        <f>IF($AX971="Cancelled","",IFERROR(IF(AJ971="","",IF(AND(AB971="",AF971=""),"",IF(AF971&gt;AB971,AF971+Variables!$B$15+Variables!$B$16+Variables!$B$17-AJ971,AB971+Variables!$B$16+Variables!$B$17-AJ971))),""))</f>
        <v>13</v>
      </c>
      <c r="AL971" s="48" t="s">
        <v>114</v>
      </c>
      <c r="AM971" s="13" t="s">
        <v>183</v>
      </c>
      <c r="AN971" s="13" t="s">
        <v>2485</v>
      </c>
      <c r="AP971" s="39">
        <v>46202</v>
      </c>
      <c r="AR971" s="13">
        <v>321600002465</v>
      </c>
      <c r="AS971" s="31" t="s">
        <v>2490</v>
      </c>
      <c r="AU971" s="31">
        <v>46223</v>
      </c>
      <c r="AV971" s="13">
        <v>7207021216</v>
      </c>
      <c r="AW971" s="31">
        <v>46223</v>
      </c>
      <c r="AX971" s="13" t="str">
        <f>IF(ISNUMBER(SEARCH("cancel",#REF!)),"Cancelled",IF(AND(AS971&lt;&gt;"",AU971&lt;&gt;"",AW971&lt;&gt;""),"Closed","Open"))</f>
        <v>Closed</v>
      </c>
      <c r="AY971" s="15" t="str">
        <f t="shared" si="46"/>
        <v>All dates received</v>
      </c>
      <c r="BD971" s="13" t="str">
        <f>IF($AX971="Cancelled","",IFERROR(IF(OR(AS971="",AJ971=""),"",(AJ971+Variables!$B$18-AS971)),""))</f>
        <v/>
      </c>
      <c r="BE971" s="13" t="str">
        <f>IF($AX971="Cancelled","",IFERROR(IF(OR(AW971="",AS971=""),"",(AS971+Variables!$B$19)-AW971),""))</f>
        <v/>
      </c>
      <c r="BF971" s="44" t="str">
        <f>IF($AX971="Cancelled","",IFERROR(W971*INDEX(Variables!$B$7:$D$7,IFERROR(MATCH(IF($B971="Robusta","Robusta",(IF($B971="","Arabica",$B971))&amp;" - "&amp;(IF($C971="","Commercial",$C971))),Variables!$B$1:$D$1,0),1))*(BE971/365),""))</f>
        <v/>
      </c>
      <c r="BG971" s="44">
        <f>IF($AX971="Cancelled","",IFERROR((W971*INDEX(Variables!$B$7:$D$7,IFERROR(MATCH(IF($B971="Robusta","Robusta",(IF($B971="","Arabica",$B971))&amp;" - "&amp;(IF($C971="","Commercial",$C971))),Variables!$B$1:$D$1,0),1))*IFERROR(IF(AB971="","",(AVERAGE(E971:F971)-AB971)-Variables!$B$14),"")/365)+(L971/16.67*INDEX(Variables!$B$8:$D$8,IFERROR(MATCH(IF($B971="Robusta","Robusta",(IF($B971="","Arabica",$B971))&amp;" - "&amp;(IF($C971="","Commercial",$C971))),Variables!$B$1:$D$1,0),1))*IFERROR(IF(AB971="","",(AVERAGE(E971:F971)-AB971)-Variables!$B$14),""))+(W971*INDEX(Variables!$B$9:$D$9,IFERROR(MATCH(IF($B971="Robusta","Robusta",(IF($B971="","Arabica",$B971))&amp;" - "&amp;(IF($C971="","Commercial",$C971))),Variables!$B$1:$D$1,0),1))*IFERROR(IF(AB971="","",(AVERAGE(E971:F971)-AB971)-Variables!$B$14),"")/365),""))</f>
        <v>-80.890191224749628</v>
      </c>
      <c r="BH971" s="44">
        <f>IF($AX971="Cancelled","",IFERROR((W971*INDEX(Variables!$B$7:$D$7,IFERROR(MATCH(IF($B971="Robusta","Robusta",(IF($B971="","Arabica",$B971))&amp;" - "&amp;(IF($C971="","Commercial",$C971))),Variables!$B$1:$D$1,0),1))*AK971/365)+(L971/16.67*INDEX(Variables!$B$8:$D$8,IFERROR(MATCH(IF($B971="Robusta","Robusta",(IF($B971="","Arabica",$B971))&amp;" - "&amp;(IF($C971="","Commercial",$C971))),Variables!$B$1:$D$1,0),1))*AK971)+(W971*INDEX(Variables!$B$9:$D$9,IFERROR(MATCH(IF($B971="Robusta","Robusta",(IF($B971="","Arabica",$B971))&amp;" - "&amp;(IF($C971="","Commercial",$C971))),Variables!$B$1:$D$1,0),1))*AK971/365),""))</f>
        <v>1051.5724859217453</v>
      </c>
      <c r="BI971" s="44" t="str">
        <f>IF($AX971="Cancelled","",IFERROR((W971*INDEX(Variables!$B$7:$D$7,IFERROR(MATCH(IF($B971="Robusta","Robusta",(IF($B971="","Arabica",$B971))&amp;" - "&amp;(IF($C971="","Commercial",$C971))),Variables!$B$1:$D$1,0),1))*BD971/365)+(L971/16.67*INDEX(Variables!$B$8:$D$8,IFERROR(MATCH(IF($B971="Robusta","Robusta",(IF($B971="","Arabica",$B971))&amp;" - "&amp;(IF($C971="","Commercial",$C971))),Variables!$B$1:$D$1,0),1))*BD971)+(W971*INDEX(Variables!$B$9:$D$9,IFERROR(MATCH(IF($B971="Robusta","Robusta",(IF($B971="","Arabica",$B971))&amp;" - "&amp;(IF($C971="","Commercial",$C971))),Variables!$B$1:$D$1,0),1))*BD971/365),""))</f>
        <v/>
      </c>
      <c r="BJ971" s="44" t="str">
        <f t="shared" si="48"/>
        <v/>
      </c>
      <c r="BK971" s="44" t="str">
        <f>IF($AX971="Cancelled","",IFERROR(IF(BJ971="","",(W971*INDEX(Variables!$B$7:$D$7,IFERROR(MATCH(IF($B971="Robusta","Robusta",(IF($B971="","Arabica",$B971))&amp;" - "&amp;(IF($C971="","Commercial",$C971))),Variables!$B$1:$D$1,0),1))*(BJ971/365))+(W971*INDEX(Variables!$B$9:$D$9,IFERROR(MATCH(IF($B971="Robusta","Robusta",(IF($B971="","Arabica",$B971))&amp;" - "&amp;(IF($C971="","Commercial",$C971))),Variables!$B$1:$D$1,0),1))*(BJ971/365))+(INDEX(Variables!$B$8:$D$8,IFERROR(MATCH(IF($B971="Robusta","Robusta",(IF($B971="","Arabica",$B971))&amp;" - "&amp;(IF($C971="","Commercial",$C971))),Variables!$B$1:$D$1,0),1))*L971/16.67)),""))</f>
        <v/>
      </c>
    </row>
    <row r="972" spans="1:63">
      <c r="A972" s="13" t="s">
        <v>103</v>
      </c>
      <c r="B972" s="13" t="s">
        <v>104</v>
      </c>
      <c r="C972" s="13" t="s">
        <v>105</v>
      </c>
      <c r="D972" s="31">
        <v>46086</v>
      </c>
      <c r="E972" s="31">
        <v>46174</v>
      </c>
      <c r="F972" s="31">
        <v>46203</v>
      </c>
      <c r="G972" s="13">
        <v>3787399</v>
      </c>
      <c r="J972" s="13" t="s">
        <v>236</v>
      </c>
      <c r="K972" s="13">
        <v>5578</v>
      </c>
      <c r="L972" s="13">
        <v>320</v>
      </c>
      <c r="M972" s="13">
        <v>1</v>
      </c>
      <c r="N972" s="13" t="s">
        <v>2493</v>
      </c>
      <c r="O972" s="13" t="s">
        <v>120</v>
      </c>
      <c r="P972" s="13">
        <v>10070</v>
      </c>
      <c r="R972" s="13" t="s">
        <v>239</v>
      </c>
      <c r="S972" s="13" t="s">
        <v>288</v>
      </c>
      <c r="T972" s="13" t="s">
        <v>289</v>
      </c>
      <c r="U972" s="13" t="s">
        <v>182</v>
      </c>
      <c r="V972" s="23">
        <v>32</v>
      </c>
      <c r="W972" s="44">
        <f>IF($AX972="Cancelled","",IFERROR(((V972+INDEX(Variables!$B$6:$D$6,IFERROR(MATCH(IF($B972="Robusta","Robusta",(IF($B972="","Arabica",$B972))&amp;" - "&amp;(IF($C972="","Commercial",$C972))),Variables!$B$1:$D$1,0),1)))*22.0462)*(L972/16.67),""))</f>
        <v>136609.73456508698</v>
      </c>
      <c r="X972" s="55" t="s">
        <v>37</v>
      </c>
      <c r="Y972" s="13" t="str">
        <f>IF($AX972="Cancelled","",IF(X972="","",IFERROR(IF(INDEX(Variables!$B$38:$B$47,MATCH(X972,Variables!$A$38:$A$47,0))="Yes","Yes","No"),"No")))</f>
        <v>Yes</v>
      </c>
      <c r="Z972" s="58">
        <v>46135</v>
      </c>
      <c r="AB972" s="31">
        <v>46168</v>
      </c>
      <c r="AC972" s="13" t="str">
        <f t="shared" si="47"/>
        <v>Approved</v>
      </c>
      <c r="AF972" s="71">
        <v>46202</v>
      </c>
      <c r="AG972" s="37">
        <f>IF($AX972="Cancelled","",IFERROR(IF(F972="","",F972-Variables!$B$13),""))</f>
        <v>46188</v>
      </c>
      <c r="AH972" s="13">
        <f>IF($AX972="Cancelled","",IFERROR(IF(AB972="","",(AVERAGE(E972:F972)-AB972)-Variables!$B$14),""))</f>
        <v>-9.5</v>
      </c>
      <c r="AJ972" s="47">
        <v>46214</v>
      </c>
      <c r="AK972" s="14">
        <f>IF($AX972="Cancelled","",IFERROR(IF(AJ972="","",IF(AND(AB972="",AF972=""),"",IF(AF972&gt;AB972,AF972+Variables!$B$15+Variables!$B$16+Variables!$B$17-AJ972,AB972+Variables!$B$16+Variables!$B$17-AJ972))),""))</f>
        <v>3</v>
      </c>
      <c r="AL972" s="48" t="s">
        <v>114</v>
      </c>
      <c r="AM972" s="13" t="s">
        <v>183</v>
      </c>
      <c r="AN972" s="13" t="s">
        <v>2492</v>
      </c>
      <c r="AP972" s="39">
        <v>46231</v>
      </c>
      <c r="AR972" s="13">
        <v>321600002962</v>
      </c>
      <c r="AS972" s="31">
        <v>46231</v>
      </c>
      <c r="AU972" s="31">
        <v>46252</v>
      </c>
      <c r="AV972" s="13">
        <v>8362976576</v>
      </c>
      <c r="AW972" s="39">
        <v>46252</v>
      </c>
      <c r="AX972" s="13" t="str">
        <f>IF(ISNUMBER(SEARCH("cancel",#REF!)),"Cancelled",IF(AND(AS972&lt;&gt;"",AU972&lt;&gt;"",AW972&lt;&gt;""),"Closed","Open"))</f>
        <v>Closed</v>
      </c>
      <c r="AY972" s="15" t="str">
        <f t="shared" si="46"/>
        <v>All dates received</v>
      </c>
      <c r="AZ972" s="13" t="s">
        <v>3047</v>
      </c>
      <c r="BA972" s="13" t="s">
        <v>3057</v>
      </c>
      <c r="BB972" s="13" t="s">
        <v>3058</v>
      </c>
      <c r="BC972" s="13" t="s">
        <v>3295</v>
      </c>
      <c r="BD972" s="13">
        <f>IF($AX972="Cancelled","",IFERROR(IF(OR(AS972="",AJ972=""),"",(AJ972+Variables!$B$18-AS972)),""))</f>
        <v>-2</v>
      </c>
      <c r="BE972" s="13">
        <f>IF($AX972="Cancelled","",IFERROR(IF(OR(AW972="",AS972=""),"",(AS972+Variables!$B$19)-AW972),""))</f>
        <v>-16</v>
      </c>
      <c r="BF972" s="44">
        <f>IF($AX972="Cancelled","",IFERROR(W972*INDEX(Variables!$B$7:$D$7,IFERROR(MATCH(IF($B972="Robusta","Robusta",(IF($B972="","Arabica",$B972))&amp;" - "&amp;(IF($C972="","Commercial",$C972))),Variables!$B$1:$D$1,0),1))*(BE972/365),""))</f>
        <v>-386.14339621579626</v>
      </c>
      <c r="BG972" s="44">
        <f>IF($AX972="Cancelled","",IFERROR((W972*INDEX(Variables!$B$7:$D$7,IFERROR(MATCH(IF($B972="Robusta","Robusta",(IF($B972="","Arabica",$B972))&amp;" - "&amp;(IF($C972="","Commercial",$C972))),Variables!$B$1:$D$1,0),1))*IFERROR(IF(AB972="","",(AVERAGE(E972:F972)-AB972)-Variables!$B$14),"")/365)+(L972/16.67*INDEX(Variables!$B$8:$D$8,IFERROR(MATCH(IF($B972="Robusta","Robusta",(IF($B972="","Arabica",$B972))&amp;" - "&amp;(IF($C972="","Commercial",$C972))),Variables!$B$1:$D$1,0),1))*IFERROR(IF(AB972="","",(AVERAGE(E972:F972)-AB972)-Variables!$B$14),""))+(W972*INDEX(Variables!$B$9:$D$9,IFERROR(MATCH(IF($B972="Robusta","Robusta",(IF($B972="","Arabica",$B972))&amp;" - "&amp;(IF($C972="","Commercial",$C972))),Variables!$B$1:$D$1,0),1))*IFERROR(IF(AB972="","",(AVERAGE(E972:F972)-AB972)-Variables!$B$14),"")/365),""))</f>
        <v>-384.22840831756076</v>
      </c>
      <c r="BH972" s="44">
        <f>IF($AX972="Cancelled","",IFERROR((W972*INDEX(Variables!$B$7:$D$7,IFERROR(MATCH(IF($B972="Robusta","Robusta",(IF($B972="","Arabica",$B972))&amp;" - "&amp;(IF($C972="","Commercial",$C972))),Variables!$B$1:$D$1,0),1))*AK972/365)+(L972/16.67*INDEX(Variables!$B$8:$D$8,IFERROR(MATCH(IF($B972="Robusta","Robusta",(IF($B972="","Arabica",$B972))&amp;" - "&amp;(IF($C972="","Commercial",$C972))),Variables!$B$1:$D$1,0),1))*AK972)+(W972*INDEX(Variables!$B$9:$D$9,IFERROR(MATCH(IF($B972="Robusta","Robusta",(IF($B972="","Arabica",$B972))&amp;" - "&amp;(IF($C972="","Commercial",$C972))),Variables!$B$1:$D$1,0),1))*AK972/365),""))</f>
        <v>121.33528683712446</v>
      </c>
      <c r="BI972" s="44">
        <f>IF($AX972="Cancelled","",IFERROR((W972*INDEX(Variables!$B$7:$D$7,IFERROR(MATCH(IF($B972="Robusta","Robusta",(IF($B972="","Arabica",$B972))&amp;" - "&amp;(IF($C972="","Commercial",$C972))),Variables!$B$1:$D$1,0),1))*BD972/365)+(L972/16.67*INDEX(Variables!$B$8:$D$8,IFERROR(MATCH(IF($B972="Robusta","Robusta",(IF($B972="","Arabica",$B972))&amp;" - "&amp;(IF($C972="","Commercial",$C972))),Variables!$B$1:$D$1,0),1))*BD972)+(W972*INDEX(Variables!$B$9:$D$9,IFERROR(MATCH(IF($B972="Robusta","Robusta",(IF($B972="","Arabica",$B972))&amp;" - "&amp;(IF($C972="","Commercial",$C972))),Variables!$B$1:$D$1,0),1))*BD972/365),""))</f>
        <v>-80.890191224749628</v>
      </c>
      <c r="BJ972" s="44">
        <f t="shared" si="48"/>
        <v>-28</v>
      </c>
      <c r="BK972" s="44">
        <f>IF($AX972="Cancelled","",IFERROR(IF(BJ972="","",(W972*INDEX(Variables!$B$7:$D$7,IFERROR(MATCH(IF($B972="Robusta","Robusta",(IF($B972="","Arabica",$B972))&amp;" - "&amp;(IF($C972="","Commercial",$C972))),Variables!$B$1:$D$1,0),1))*(BJ972/365))+(W972*INDEX(Variables!$B$9:$D$9,IFERROR(MATCH(IF($B972="Robusta","Robusta",(IF($B972="","Arabica",$B972))&amp;" - "&amp;(IF($C972="","Commercial",$C972))),Variables!$B$1:$D$1,0),1))*(BJ972/365))+(INDEX(Variables!$B$8:$D$8,IFERROR(MATCH(IF($B972="Robusta","Robusta",(IF($B972="","Arabica",$B972))&amp;" - "&amp;(IF($C972="","Commercial",$C972))),Variables!$B$1:$D$1,0),1))*L972/16.67)),""))</f>
        <v>-668.46267714649491</v>
      </c>
    </row>
    <row r="973" spans="1:63">
      <c r="A973" s="13" t="s">
        <v>103</v>
      </c>
      <c r="B973" s="13" t="s">
        <v>104</v>
      </c>
      <c r="C973" s="13" t="s">
        <v>105</v>
      </c>
      <c r="D973" s="31">
        <v>46086</v>
      </c>
      <c r="E973" s="31">
        <v>46113</v>
      </c>
      <c r="F973" s="31">
        <v>46142</v>
      </c>
      <c r="G973" s="13">
        <v>3787400</v>
      </c>
      <c r="J973" s="13" t="s">
        <v>447</v>
      </c>
      <c r="K973" s="13" t="s">
        <v>2497</v>
      </c>
      <c r="L973" s="13">
        <v>247</v>
      </c>
      <c r="M973" s="13">
        <v>0</v>
      </c>
      <c r="N973" s="13" t="s">
        <v>2087</v>
      </c>
      <c r="O973" s="13" t="s">
        <v>1372</v>
      </c>
      <c r="P973" s="13">
        <v>10040</v>
      </c>
      <c r="R973" s="13" t="s">
        <v>239</v>
      </c>
      <c r="S973" s="13" t="s">
        <v>154</v>
      </c>
      <c r="T973" s="13" t="s">
        <v>155</v>
      </c>
      <c r="U973" s="13" t="s">
        <v>125</v>
      </c>
      <c r="V973" s="23">
        <v>53</v>
      </c>
      <c r="W973" s="44">
        <f>IF($AX973="Cancelled","",IFERROR(((V973+INDEX(Variables!$B$6:$D$6,IFERROR(MATCH(IF($B973="Robusta","Robusta",(IF($B973="","Arabica",$B973))&amp;" - "&amp;(IF($C973="","Commercial",$C973))),Variables!$B$1:$D$1,0),1)))*22.0462)*(L973/16.67),""))</f>
        <v>112305.48526214756</v>
      </c>
      <c r="X973" s="55" t="s">
        <v>37</v>
      </c>
      <c r="Y973" s="13" t="str">
        <f>IF($AX973="Cancelled","",IF(X973="","",IFERROR(IF(INDEX(Variables!$B$38:$B$47,MATCH(X973,Variables!$A$38:$A$47,0))="Yes","Yes","No"),"No")))</f>
        <v>Yes</v>
      </c>
      <c r="Z973" s="58">
        <v>46093</v>
      </c>
      <c r="AB973" s="31">
        <v>46101</v>
      </c>
      <c r="AC973" s="13" t="str">
        <f t="shared" si="47"/>
        <v>Approved</v>
      </c>
      <c r="AF973" s="71">
        <v>46105</v>
      </c>
      <c r="AG973" s="37">
        <f>IF($AX973="Cancelled","",IFERROR(IF(F973="","",F973-Variables!$B$13),""))</f>
        <v>46127</v>
      </c>
      <c r="AH973" s="13">
        <f>IF($AX973="Cancelled","",IFERROR(IF(AB973="","",(AVERAGE(E973:F973)-AB973)-Variables!$B$14),""))</f>
        <v>-3.5</v>
      </c>
      <c r="AJ973" s="47">
        <v>46112</v>
      </c>
      <c r="AK973" s="14">
        <f>IF($AX973="Cancelled","",IFERROR(IF(AJ973="","",IF(AND(AB973="",AF973=""),"",IF(AF973&gt;AB973,AF973+Variables!$B$15+Variables!$B$16+Variables!$B$17-AJ973,AB973+Variables!$B$16+Variables!$B$17-AJ973))),""))</f>
        <v>8</v>
      </c>
      <c r="AL973" s="48" t="s">
        <v>114</v>
      </c>
      <c r="AM973" s="13" t="s">
        <v>168</v>
      </c>
      <c r="AN973" s="13" t="s">
        <v>2104</v>
      </c>
      <c r="AP973" s="39">
        <v>46126</v>
      </c>
      <c r="AR973" s="13" t="s">
        <v>2105</v>
      </c>
      <c r="AS973" s="31">
        <v>46126</v>
      </c>
      <c r="AU973" s="31">
        <v>46182</v>
      </c>
      <c r="AV973" s="13" t="s">
        <v>865</v>
      </c>
      <c r="AW973" s="31">
        <v>46182</v>
      </c>
      <c r="AX973" s="13" t="str">
        <f>IF(ISNUMBER(SEARCH("cancel",#REF!)),"Cancelled",IF(AND(AS973&lt;&gt;"",AU973&lt;&gt;"",AW973&lt;&gt;""),"Closed","Open"))</f>
        <v>Closed</v>
      </c>
      <c r="AY973" s="15" t="str">
        <f t="shared" si="46"/>
        <v>All dates received</v>
      </c>
      <c r="BD973" s="13">
        <f>IF($AX973="Cancelled","",IFERROR(IF(OR(AS973="",AJ973=""),"",(AJ973+Variables!$B$18-AS973)),""))</f>
        <v>1</v>
      </c>
      <c r="BE973" s="13">
        <f>IF($AX973="Cancelled","",IFERROR(IF(OR(AW973="",AS973=""),"",(AS973+Variables!$B$19)-AW973),""))</f>
        <v>-51</v>
      </c>
      <c r="BF973" s="44">
        <f>IF($AX973="Cancelled","",IFERROR(W973*INDEX(Variables!$B$7:$D$7,IFERROR(MATCH(IF($B973="Robusta","Robusta",(IF($B973="","Arabica",$B973))&amp;" - "&amp;(IF($C973="","Commercial",$C973))),Variables!$B$1:$D$1,0),1))*(BE973/365),""))</f>
        <v>-1011.8546379460643</v>
      </c>
      <c r="BG973" s="44">
        <f>IF($AX973="Cancelled","",IFERROR((W973*INDEX(Variables!$B$7:$D$7,IFERROR(MATCH(IF($B973="Robusta","Robusta",(IF($B973="","Arabica",$B973))&amp;" - "&amp;(IF($C973="","Commercial",$C973))),Variables!$B$1:$D$1,0),1))*IFERROR(IF(AB973="","",(AVERAGE(E973:F973)-AB973)-Variables!$B$14),"")/365)+(L973/16.67*INDEX(Variables!$B$8:$D$8,IFERROR(MATCH(IF($B973="Robusta","Robusta",(IF($B973="","Arabica",$B973))&amp;" - "&amp;(IF($C973="","Commercial",$C973))),Variables!$B$1:$D$1,0),1))*IFERROR(IF(AB973="","",(AVERAGE(E973:F973)-AB973)-Variables!$B$14),""))+(W973*INDEX(Variables!$B$9:$D$9,IFERROR(MATCH(IF($B973="Robusta","Robusta",(IF($B973="","Arabica",$B973))&amp;" - "&amp;(IF($C973="","Commercial",$C973))),Variables!$B$1:$D$1,0),1))*IFERROR(IF(AB973="","",(AVERAGE(E973:F973)-AB973)-Variables!$B$14),"")/365),""))</f>
        <v>-113.56123312559579</v>
      </c>
      <c r="BH973" s="44">
        <f>IF($AX973="Cancelled","",IFERROR((W973*INDEX(Variables!$B$7:$D$7,IFERROR(MATCH(IF($B973="Robusta","Robusta",(IF($B973="","Arabica",$B973))&amp;" - "&amp;(IF($C973="","Commercial",$C973))),Variables!$B$1:$D$1,0),1))*AK973/365)+(L973/16.67*INDEX(Variables!$B$8:$D$8,IFERROR(MATCH(IF($B973="Robusta","Robusta",(IF($B973="","Arabica",$B973))&amp;" - "&amp;(IF($C973="","Commercial",$C973))),Variables!$B$1:$D$1,0),1))*AK973)+(W973*INDEX(Variables!$B$9:$D$9,IFERROR(MATCH(IF($B973="Robusta","Robusta",(IF($B973="","Arabica",$B973))&amp;" - "&amp;(IF($C973="","Commercial",$C973))),Variables!$B$1:$D$1,0),1))*AK973/365),""))</f>
        <v>259.56853285850468</v>
      </c>
      <c r="BI973" s="44">
        <f>IF($AX973="Cancelled","",IFERROR((W973*INDEX(Variables!$B$7:$D$7,IFERROR(MATCH(IF($B973="Robusta","Robusta",(IF($B973="","Arabica",$B973))&amp;" - "&amp;(IF($C973="","Commercial",$C973))),Variables!$B$1:$D$1,0),1))*BD973/365)+(L973/16.67*INDEX(Variables!$B$8:$D$8,IFERROR(MATCH(IF($B973="Robusta","Robusta",(IF($B973="","Arabica",$B973))&amp;" - "&amp;(IF($C973="","Commercial",$C973))),Variables!$B$1:$D$1,0),1))*BD973)+(W973*INDEX(Variables!$B$9:$D$9,IFERROR(MATCH(IF($B973="Robusta","Robusta",(IF($B973="","Arabica",$B973))&amp;" - "&amp;(IF($C973="","Commercial",$C973))),Variables!$B$1:$D$1,0),1))*BD973/365),""))</f>
        <v>32.446066607313085</v>
      </c>
      <c r="BJ973" s="44">
        <f t="shared" si="48"/>
        <v>16</v>
      </c>
      <c r="BK973" s="44">
        <f>IF($AX973="Cancelled","",IFERROR(IF(BJ973="","",(W973*INDEX(Variables!$B$7:$D$7,IFERROR(MATCH(IF($B973="Robusta","Robusta",(IF($B973="","Arabica",$B973))&amp;" - "&amp;(IF($C973="","Commercial",$C973))),Variables!$B$1:$D$1,0),1))*(BJ973/365))+(W973*INDEX(Variables!$B$9:$D$9,IFERROR(MATCH(IF($B973="Robusta","Robusta",(IF($B973="","Arabica",$B973))&amp;" - "&amp;(IF($C973="","Commercial",$C973))),Variables!$B$1:$D$1,0),1))*(BJ973/365))+(INDEX(Variables!$B$8:$D$8,IFERROR(MATCH(IF($B973="Robusta","Robusta",(IF($B973="","Arabica",$B973))&amp;" - "&amp;(IF($C973="","Commercial",$C973))),Variables!$B$1:$D$1,0),1))*L973/16.67)),""))</f>
        <v>333.88706571700931</v>
      </c>
    </row>
    <row r="974" spans="1:63">
      <c r="A974" s="13" t="s">
        <v>103</v>
      </c>
      <c r="B974" s="13" t="s">
        <v>104</v>
      </c>
      <c r="C974" s="13" t="s">
        <v>105</v>
      </c>
      <c r="D974" s="31">
        <v>46084</v>
      </c>
      <c r="E974" s="31">
        <v>46143</v>
      </c>
      <c r="F974" s="31">
        <v>46156</v>
      </c>
      <c r="G974" s="13">
        <v>3787401</v>
      </c>
      <c r="J974" s="13" t="s">
        <v>236</v>
      </c>
      <c r="K974" s="13">
        <v>5486</v>
      </c>
      <c r="L974" s="13">
        <v>320</v>
      </c>
      <c r="M974" s="13">
        <v>1</v>
      </c>
      <c r="N974" s="13" t="s">
        <v>2168</v>
      </c>
      <c r="O974" s="13" t="s">
        <v>120</v>
      </c>
      <c r="P974" s="13">
        <v>10070</v>
      </c>
      <c r="R974" s="13" t="s">
        <v>239</v>
      </c>
      <c r="S974" s="13" t="s">
        <v>180</v>
      </c>
      <c r="T974" s="13" t="s">
        <v>253</v>
      </c>
      <c r="U974" s="13" t="s">
        <v>182</v>
      </c>
      <c r="V974" s="23">
        <v>34</v>
      </c>
      <c r="W974" s="44">
        <f>IF($AX974="Cancelled","",IFERROR(((V974+INDEX(Variables!$B$6:$D$6,IFERROR(MATCH(IF($B974="Robusta","Robusta",(IF($B974="","Arabica",$B974))&amp;" - "&amp;(IF($C974="","Commercial",$C974))),Variables!$B$1:$D$1,0),1)))*22.0462)*(L974/16.67),""))</f>
        <v>137456.13936412716</v>
      </c>
      <c r="X974" s="55" t="s">
        <v>37</v>
      </c>
      <c r="Y974" s="13" t="str">
        <f>IF($AX974="Cancelled","",IF(X974="","",IFERROR(IF(INDEX(Variables!$B$38:$B$47,MATCH(X974,Variables!$A$38:$A$47,0))="Yes","Yes","No"),"No")))</f>
        <v>Yes</v>
      </c>
      <c r="Z974" s="58">
        <v>46108</v>
      </c>
      <c r="AB974" s="31">
        <v>46121</v>
      </c>
      <c r="AC974" s="13" t="str">
        <f t="shared" si="47"/>
        <v>Approved</v>
      </c>
      <c r="AF974" s="71">
        <v>46133</v>
      </c>
      <c r="AG974" s="37">
        <f>IF($AX974="Cancelled","",IFERROR(IF(F974="","",F974-Variables!$B$13),""))</f>
        <v>46141</v>
      </c>
      <c r="AH974" s="13">
        <f>IF($AX974="Cancelled","",IFERROR(IF(AB974="","",(AVERAGE(E974:F974)-AB974)-Variables!$B$14),""))</f>
        <v>-1.5</v>
      </c>
      <c r="AJ974" s="47">
        <v>46134</v>
      </c>
      <c r="AK974" s="14">
        <f>IF($AX974="Cancelled","",IFERROR(IF(AJ974="","",IF(AND(AB974="",AF974=""),"",IF(AF974&gt;AB974,AF974+Variables!$B$15+Variables!$B$16+Variables!$B$17-AJ974,AB974+Variables!$B$16+Variables!$B$17-AJ974))),""))</f>
        <v>14</v>
      </c>
      <c r="AL974" s="48" t="s">
        <v>114</v>
      </c>
      <c r="AM974" s="13" t="s">
        <v>168</v>
      </c>
      <c r="AN974" s="13" t="s">
        <v>2498</v>
      </c>
      <c r="AP974" s="39">
        <v>46156</v>
      </c>
      <c r="AR974" s="13" t="s">
        <v>2499</v>
      </c>
      <c r="AS974" s="31">
        <v>46156</v>
      </c>
      <c r="AU974" s="31">
        <v>46189</v>
      </c>
      <c r="AV974" s="13" t="e">
        <v>#REF!</v>
      </c>
      <c r="AW974" s="31">
        <v>46189</v>
      </c>
      <c r="AX974" s="13" t="str">
        <f>IF(ISNUMBER(SEARCH("cancel",#REF!)),"Cancelled",IF(AND(AS974&lt;&gt;"",AU974&lt;&gt;"",AW974&lt;&gt;""),"Closed","Open"))</f>
        <v>Closed</v>
      </c>
      <c r="AY974" s="15" t="str">
        <f t="shared" si="46"/>
        <v>All dates received</v>
      </c>
      <c r="BD974" s="13">
        <f>IF($AX974="Cancelled","",IFERROR(IF(OR(AS974="",AJ974=""),"",(AJ974+Variables!$B$18-AS974)),""))</f>
        <v>-7</v>
      </c>
      <c r="BE974" s="13">
        <f>IF($AX974="Cancelled","",IFERROR(IF(OR(AW974="",AS974=""),"",(AS974+Variables!$B$19)-AW974),""))</f>
        <v>-28</v>
      </c>
      <c r="BF974" s="44">
        <f>IF($AX974="Cancelled","",IFERROR(W974*INDEX(Variables!$B$7:$D$7,IFERROR(MATCH(IF($B974="Robusta","Robusta",(IF($B974="","Arabica",$B974))&amp;" - "&amp;(IF($C974="","Commercial",$C974))),Variables!$B$1:$D$1,0),1))*(BE974/365),""))</f>
        <v>-679.93775219658789</v>
      </c>
      <c r="BG974" s="44">
        <f>IF($AX974="Cancelled","",IFERROR((W974*INDEX(Variables!$B$7:$D$7,IFERROR(MATCH(IF($B974="Robusta","Robusta",(IF($B974="","Arabica",$B974))&amp;" - "&amp;(IF($C974="","Commercial",$C974))),Variables!$B$1:$D$1,0),1))*IFERROR(IF(AB974="","",(AVERAGE(E974:F974)-AB974)-Variables!$B$14),"")/365)+(L974/16.67*INDEX(Variables!$B$8:$D$8,IFERROR(MATCH(IF($B974="Robusta","Robusta",(IF($B974="","Arabica",$B974))&amp;" - "&amp;(IF($C974="","Commercial",$C974))),Variables!$B$1:$D$1,0),1))*IFERROR(IF(AB974="","",(AVERAGE(E974:F974)-AB974)-Variables!$B$14),""))+(W974*INDEX(Variables!$B$9:$D$9,IFERROR(MATCH(IF($B974="Robusta","Robusta",(IF($B974="","Arabica",$B974))&amp;" - "&amp;(IF($C974="","Commercial",$C974))),Variables!$B$1:$D$1,0),1))*IFERROR(IF(AB974="","",(AVERAGE(E974:F974)-AB974)-Variables!$B$14),"")/365),""))</f>
        <v>-60.89482832202296</v>
      </c>
      <c r="BH974" s="44">
        <f>IF($AX974="Cancelled","",IFERROR((W974*INDEX(Variables!$B$7:$D$7,IFERROR(MATCH(IF($B974="Robusta","Robusta",(IF($B974="","Arabica",$B974))&amp;" - "&amp;(IF($C974="","Commercial",$C974))),Variables!$B$1:$D$1,0),1))*AK974/365)+(L974/16.67*INDEX(Variables!$B$8:$D$8,IFERROR(MATCH(IF($B974="Robusta","Robusta",(IF($B974="","Arabica",$B974))&amp;" - "&amp;(IF($C974="","Commercial",$C974))),Variables!$B$1:$D$1,0),1))*AK974)+(W974*INDEX(Variables!$B$9:$D$9,IFERROR(MATCH(IF($B974="Robusta","Robusta",(IF($B974="","Arabica",$B974))&amp;" - "&amp;(IF($C974="","Commercial",$C974))),Variables!$B$1:$D$1,0),1))*AK974/365),""))</f>
        <v>568.35173100554766</v>
      </c>
      <c r="BI974" s="44">
        <f>IF($AX974="Cancelled","",IFERROR((W974*INDEX(Variables!$B$7:$D$7,IFERROR(MATCH(IF($B974="Robusta","Robusta",(IF($B974="","Arabica",$B974))&amp;" - "&amp;(IF($C974="","Commercial",$C974))),Variables!$B$1:$D$1,0),1))*BD974/365)+(L974/16.67*INDEX(Variables!$B$8:$D$8,IFERROR(MATCH(IF($B974="Robusta","Robusta",(IF($B974="","Arabica",$B974))&amp;" - "&amp;(IF($C974="","Commercial",$C974))),Variables!$B$1:$D$1,0),1))*BD974)+(W974*INDEX(Variables!$B$9:$D$9,IFERROR(MATCH(IF($B974="Robusta","Robusta",(IF($B974="","Arabica",$B974))&amp;" - "&amp;(IF($C974="","Commercial",$C974))),Variables!$B$1:$D$1,0),1))*BD974/365),""))</f>
        <v>-284.17586550277383</v>
      </c>
      <c r="BJ974" s="44">
        <f t="shared" si="48"/>
        <v>0</v>
      </c>
      <c r="BK974" s="44">
        <f>IF($AX974="Cancelled","",IFERROR(IF(BJ974="","",(W974*INDEX(Variables!$B$7:$D$7,IFERROR(MATCH(IF($B974="Robusta","Robusta",(IF($B974="","Arabica",$B974))&amp;" - "&amp;(IF($C974="","Commercial",$C974))),Variables!$B$1:$D$1,0),1))*(BJ974/365))+(W974*INDEX(Variables!$B$9:$D$9,IFERROR(MATCH(IF($B974="Robusta","Robusta",(IF($B974="","Arabica",$B974))&amp;" - "&amp;(IF($C974="","Commercial",$C974))),Variables!$B$1:$D$1,0),1))*(BJ974/365))+(INDEX(Variables!$B$8:$D$8,IFERROR(MATCH(IF($B974="Robusta","Robusta",(IF($B974="","Arabica",$B974))&amp;" - "&amp;(IF($C974="","Commercial",$C974))),Variables!$B$1:$D$1,0),1))*L974/16.67)),""))</f>
        <v>16</v>
      </c>
    </row>
    <row r="975" spans="1:63">
      <c r="A975" s="13" t="s">
        <v>103</v>
      </c>
      <c r="B975" s="13" t="s">
        <v>104</v>
      </c>
      <c r="C975" s="13" t="s">
        <v>105</v>
      </c>
      <c r="D975" s="31">
        <v>46090</v>
      </c>
      <c r="E975" s="31">
        <v>46143</v>
      </c>
      <c r="F975" s="31">
        <v>46173</v>
      </c>
      <c r="G975" s="13">
        <v>3787402</v>
      </c>
      <c r="J975" s="13" t="s">
        <v>118</v>
      </c>
      <c r="M975" s="13">
        <v>0</v>
      </c>
      <c r="N975" s="13" t="s">
        <v>467</v>
      </c>
      <c r="P975" s="13">
        <v>0</v>
      </c>
      <c r="R975" s="13" t="s">
        <v>467</v>
      </c>
      <c r="S975" s="13" t="s">
        <v>467</v>
      </c>
      <c r="T975" s="13" t="s">
        <v>467</v>
      </c>
      <c r="U975" s="13" t="s">
        <v>467</v>
      </c>
      <c r="W975" s="44">
        <f>IF($AX975="Cancelled","",IFERROR(((V975+INDEX(Variables!$B$6:$D$6,IFERROR(MATCH(IF($B975="Robusta","Robusta",(IF($B975="","Arabica",$B975))&amp;" - "&amp;(IF($C975="","Commercial",$C975))),Variables!$B$1:$D$1,0),1)))*22.0462)*(L975/16.67),""))</f>
        <v>0</v>
      </c>
      <c r="Y975" s="13" t="str">
        <f>IF($AX975="Cancelled","",IF(X975="","",IFERROR(IF(INDEX(Variables!$B$38:$B$47,MATCH(X975,Variables!$A$38:$A$47,0))="Yes","Yes","No"),"No")))</f>
        <v/>
      </c>
      <c r="Z975" s="31">
        <v>46090</v>
      </c>
      <c r="AB975" s="31">
        <v>46090</v>
      </c>
      <c r="AC975" s="13" t="str">
        <f t="shared" si="47"/>
        <v>Approved</v>
      </c>
      <c r="AD975" s="31">
        <v>46090</v>
      </c>
      <c r="AF975" s="71">
        <v>46090</v>
      </c>
      <c r="AG975" s="37">
        <f>IF($AX975="Cancelled","",IFERROR(IF(F975="","",F975-Variables!$B$13),""))</f>
        <v>46158</v>
      </c>
      <c r="AH975" s="13">
        <f>IF($AX975="Cancelled","",IFERROR(IF(AB975="","",(AVERAGE(E975:F975)-AB975)-Variables!$B$14),""))</f>
        <v>38</v>
      </c>
      <c r="AI975" s="13">
        <v>46090</v>
      </c>
      <c r="AJ975" s="47">
        <v>46090</v>
      </c>
      <c r="AK975" s="14">
        <f>IF($AX975="Cancelled","",IFERROR(IF(AJ975="","",IF(AND(AB975="",AF975=""),"",IF(AF975&gt;AB975,AF975+Variables!$B$15+Variables!$B$16+Variables!$B$17-AJ975,AB975+Variables!$B$16+Variables!$B$17-AJ975))),""))</f>
        <v>8</v>
      </c>
      <c r="AL975" s="48" t="s">
        <v>114</v>
      </c>
      <c r="AM975" s="13" t="s">
        <v>467</v>
      </c>
      <c r="AN975" s="13" t="s">
        <v>467</v>
      </c>
      <c r="AO975" s="31">
        <v>46090</v>
      </c>
      <c r="AP975" s="39">
        <v>46090</v>
      </c>
      <c r="AQ975" s="31">
        <v>46090</v>
      </c>
      <c r="AR975" s="13" t="s">
        <v>467</v>
      </c>
      <c r="AS975" s="31">
        <v>46090</v>
      </c>
      <c r="AU975" s="31">
        <v>46090</v>
      </c>
      <c r="AV975" s="13" t="s">
        <v>467</v>
      </c>
      <c r="AW975" s="31">
        <v>46090</v>
      </c>
      <c r="AX975" s="13" t="str">
        <f>IF(ISNUMBER(SEARCH("cancel",#REF!)),"Cancelled",IF(AND(AS975&lt;&gt;"",AU975&lt;&gt;"",AW975&lt;&gt;""),"Closed","Open"))</f>
        <v>Closed</v>
      </c>
      <c r="AY975" s="15" t="str">
        <f t="shared" si="46"/>
        <v>All dates received</v>
      </c>
      <c r="BD975" s="13">
        <f>IF($AX975="Cancelled","",IFERROR(IF(OR(AS975="",AJ975=""),"",(AJ975+Variables!$B$18-AS975)),""))</f>
        <v>15</v>
      </c>
      <c r="BE975" s="13">
        <f>IF($AX975="Cancelled","",IFERROR(IF(OR(AW975="",AS975=""),"",(AS975+Variables!$B$19)-AW975),""))</f>
        <v>5</v>
      </c>
      <c r="BF975" s="44">
        <f>IF($AX975="Cancelled","",IFERROR(W975*INDEX(Variables!$B$7:$D$7,IFERROR(MATCH(IF($B975="Robusta","Robusta",(IF($B975="","Arabica",$B975))&amp;" - "&amp;(IF($C975="","Commercial",$C975))),Variables!$B$1:$D$1,0),1))*(BE975/365),""))</f>
        <v>0</v>
      </c>
      <c r="BG975" s="44">
        <f>IF($AX975="Cancelled","",IFERROR((W975*INDEX(Variables!$B$7:$D$7,IFERROR(MATCH(IF($B975="Robusta","Robusta",(IF($B975="","Arabica",$B975))&amp;" - "&amp;(IF($C975="","Commercial",$C975))),Variables!$B$1:$D$1,0),1))*IFERROR(IF(AB975="","",(AVERAGE(E975:F975)-AB975)-Variables!$B$14),"")/365)+(L975/16.67*INDEX(Variables!$B$8:$D$8,IFERROR(MATCH(IF($B975="Robusta","Robusta",(IF($B975="","Arabica",$B975))&amp;" - "&amp;(IF($C975="","Commercial",$C975))),Variables!$B$1:$D$1,0),1))*IFERROR(IF(AB975="","",(AVERAGE(E975:F975)-AB975)-Variables!$B$14),""))+(W975*INDEX(Variables!$B$9:$D$9,IFERROR(MATCH(IF($B975="Robusta","Robusta",(IF($B975="","Arabica",$B975))&amp;" - "&amp;(IF($C975="","Commercial",$C975))),Variables!$B$1:$D$1,0),1))*IFERROR(IF(AB975="","",(AVERAGE(E975:F975)-AB975)-Variables!$B$14),"")/365),""))</f>
        <v>0</v>
      </c>
      <c r="BH975" s="44">
        <f>IF($AX975="Cancelled","",IFERROR((W975*INDEX(Variables!$B$7:$D$7,IFERROR(MATCH(IF($B975="Robusta","Robusta",(IF($B975="","Arabica",$B975))&amp;" - "&amp;(IF($C975="","Commercial",$C975))),Variables!$B$1:$D$1,0),1))*AK975/365)+(L975/16.67*INDEX(Variables!$B$8:$D$8,IFERROR(MATCH(IF($B975="Robusta","Robusta",(IF($B975="","Arabica",$B975))&amp;" - "&amp;(IF($C975="","Commercial",$C975))),Variables!$B$1:$D$1,0),1))*AK975)+(W975*INDEX(Variables!$B$9:$D$9,IFERROR(MATCH(IF($B975="Robusta","Robusta",(IF($B975="","Arabica",$B975))&amp;" - "&amp;(IF($C975="","Commercial",$C975))),Variables!$B$1:$D$1,0),1))*AK975/365),""))</f>
        <v>0</v>
      </c>
      <c r="BI975" s="44">
        <f>IF($AX975="Cancelled","",IFERROR((W975*INDEX(Variables!$B$7:$D$7,IFERROR(MATCH(IF($B975="Robusta","Robusta",(IF($B975="","Arabica",$B975))&amp;" - "&amp;(IF($C975="","Commercial",$C975))),Variables!$B$1:$D$1,0),1))*BD975/365)+(L975/16.67*INDEX(Variables!$B$8:$D$8,IFERROR(MATCH(IF($B975="Robusta","Robusta",(IF($B975="","Arabica",$B975))&amp;" - "&amp;(IF($C975="","Commercial",$C975))),Variables!$B$1:$D$1,0),1))*BD975)+(W975*INDEX(Variables!$B$9:$D$9,IFERROR(MATCH(IF($B975="Robusta","Robusta",(IF($B975="","Arabica",$B975))&amp;" - "&amp;(IF($C975="","Commercial",$C975))),Variables!$B$1:$D$1,0),1))*BD975/365),""))</f>
        <v>0</v>
      </c>
      <c r="BJ975" s="44">
        <f t="shared" si="48"/>
        <v>83</v>
      </c>
      <c r="BK975" s="44">
        <f>IF($AX975="Cancelled","",IFERROR(IF(BJ975="","",(W975*INDEX(Variables!$B$7:$D$7,IFERROR(MATCH(IF($B975="Robusta","Robusta",(IF($B975="","Arabica",$B975))&amp;" - "&amp;(IF($C975="","Commercial",$C975))),Variables!$B$1:$D$1,0),1))*(BJ975/365))+(W975*INDEX(Variables!$B$9:$D$9,IFERROR(MATCH(IF($B975="Robusta","Robusta",(IF($B975="","Arabica",$B975))&amp;" - "&amp;(IF($C975="","Commercial",$C975))),Variables!$B$1:$D$1,0),1))*(BJ975/365))+(INDEX(Variables!$B$8:$D$8,IFERROR(MATCH(IF($B975="Robusta","Robusta",(IF($B975="","Arabica",$B975))&amp;" - "&amp;(IF($C975="","Commercial",$C975))),Variables!$B$1:$D$1,0),1))*L975/16.67)),""))</f>
        <v>0</v>
      </c>
    </row>
    <row r="976" spans="1:63">
      <c r="A976" s="13" t="s">
        <v>103</v>
      </c>
      <c r="B976" s="13" t="s">
        <v>104</v>
      </c>
      <c r="C976" s="13" t="s">
        <v>105</v>
      </c>
      <c r="D976" s="31">
        <v>46090</v>
      </c>
      <c r="E976" s="31">
        <v>46174</v>
      </c>
      <c r="F976" s="31">
        <v>46203</v>
      </c>
      <c r="G976" s="13">
        <v>3787403</v>
      </c>
      <c r="J976" s="13" t="s">
        <v>118</v>
      </c>
      <c r="M976" s="13">
        <v>0</v>
      </c>
      <c r="N976" s="13" t="s">
        <v>467</v>
      </c>
      <c r="P976" s="13">
        <v>0</v>
      </c>
      <c r="R976" s="13" t="s">
        <v>467</v>
      </c>
      <c r="S976" s="13" t="s">
        <v>467</v>
      </c>
      <c r="T976" s="13" t="s">
        <v>467</v>
      </c>
      <c r="U976" s="13" t="s">
        <v>467</v>
      </c>
      <c r="W976" s="44">
        <f>IF($AX976="Cancelled","",IFERROR(((V976+INDEX(Variables!$B$6:$D$6,IFERROR(MATCH(IF($B976="Robusta","Robusta",(IF($B976="","Arabica",$B976))&amp;" - "&amp;(IF($C976="","Commercial",$C976))),Variables!$B$1:$D$1,0),1)))*22.0462)*(L976/16.67),""))</f>
        <v>0</v>
      </c>
      <c r="Y976" s="13" t="str">
        <f>IF($AX976="Cancelled","",IF(X976="","",IFERROR(IF(INDEX(Variables!$B$38:$B$47,MATCH(X976,Variables!$A$38:$A$47,0))="Yes","Yes","No"),"No")))</f>
        <v/>
      </c>
      <c r="Z976" s="31">
        <v>46090</v>
      </c>
      <c r="AB976" s="31">
        <v>46090</v>
      </c>
      <c r="AC976" s="13" t="str">
        <f t="shared" si="47"/>
        <v>Approved</v>
      </c>
      <c r="AF976" s="71">
        <v>46090</v>
      </c>
      <c r="AG976" s="37">
        <f>IF($AX976="Cancelled","",IFERROR(IF(F976="","",F976-Variables!$B$13),""))</f>
        <v>46188</v>
      </c>
      <c r="AH976" s="13">
        <f>IF($AX976="Cancelled","",IFERROR(IF(AB976="","",(AVERAGE(E976:F976)-AB976)-Variables!$B$14),""))</f>
        <v>68.5</v>
      </c>
      <c r="AJ976" s="47">
        <v>46090</v>
      </c>
      <c r="AK976" s="14">
        <f>IF($AX976="Cancelled","",IFERROR(IF(AJ976="","",IF(AND(AB976="",AF976=""),"",IF(AF976&gt;AB976,AF976+Variables!$B$15+Variables!$B$16+Variables!$B$17-AJ976,AB976+Variables!$B$16+Variables!$B$17-AJ976))),""))</f>
        <v>8</v>
      </c>
      <c r="AL976" s="48" t="s">
        <v>114</v>
      </c>
      <c r="AM976" s="13" t="s">
        <v>467</v>
      </c>
      <c r="AN976" s="13" t="s">
        <v>467</v>
      </c>
      <c r="AO976" s="31">
        <v>46090</v>
      </c>
      <c r="AP976" s="39">
        <v>46090</v>
      </c>
      <c r="AQ976" s="31">
        <v>46090</v>
      </c>
      <c r="AR976" s="13" t="s">
        <v>467</v>
      </c>
      <c r="AS976" s="39" t="s">
        <v>8</v>
      </c>
      <c r="AU976" s="31" t="s">
        <v>8</v>
      </c>
      <c r="AV976" s="13" t="s">
        <v>467</v>
      </c>
      <c r="AW976" s="39" t="s">
        <v>8</v>
      </c>
      <c r="AX976" s="13" t="str">
        <f>IF(ISNUMBER(SEARCH("cancel",#REF!)),"Cancelled",IF(AND(AS976&lt;&gt;"",AU976&lt;&gt;"",AW976&lt;&gt;""),"Closed","Open"))</f>
        <v>Closed</v>
      </c>
      <c r="AY976" s="15" t="str">
        <f t="shared" si="46"/>
        <v>All dates received</v>
      </c>
      <c r="BD976" s="13" t="str">
        <f>IF($AX976="Cancelled","",IFERROR(IF(OR(AS976="",AJ976=""),"",(AJ976+Variables!$B$18-AS976)),""))</f>
        <v/>
      </c>
      <c r="BE976" s="13" t="str">
        <f>IF($AX976="Cancelled","",IFERROR(IF(OR(AW976="",AS976=""),"",(AS976+Variables!$B$19)-AW976),""))</f>
        <v/>
      </c>
      <c r="BF976" s="44" t="str">
        <f>IF($AX976="Cancelled","",IFERROR(W976*INDEX(Variables!$B$7:$D$7,IFERROR(MATCH(IF($B976="Robusta","Robusta",(IF($B976="","Arabica",$B976))&amp;" - "&amp;(IF($C976="","Commercial",$C976))),Variables!$B$1:$D$1,0),1))*(BE976/365),""))</f>
        <v/>
      </c>
      <c r="BG976" s="44">
        <f>IF($AX976="Cancelled","",IFERROR((W976*INDEX(Variables!$B$7:$D$7,IFERROR(MATCH(IF($B976="Robusta","Robusta",(IF($B976="","Arabica",$B976))&amp;" - "&amp;(IF($C976="","Commercial",$C976))),Variables!$B$1:$D$1,0),1))*IFERROR(IF(AB976="","",(AVERAGE(E976:F976)-AB976)-Variables!$B$14),"")/365)+(L976/16.67*INDEX(Variables!$B$8:$D$8,IFERROR(MATCH(IF($B976="Robusta","Robusta",(IF($B976="","Arabica",$B976))&amp;" - "&amp;(IF($C976="","Commercial",$C976))),Variables!$B$1:$D$1,0),1))*IFERROR(IF(AB976="","",(AVERAGE(E976:F976)-AB976)-Variables!$B$14),""))+(W976*INDEX(Variables!$B$9:$D$9,IFERROR(MATCH(IF($B976="Robusta","Robusta",(IF($B976="","Arabica",$B976))&amp;" - "&amp;(IF($C976="","Commercial",$C976))),Variables!$B$1:$D$1,0),1))*IFERROR(IF(AB976="","",(AVERAGE(E976:F976)-AB976)-Variables!$B$14),"")/365),""))</f>
        <v>0</v>
      </c>
      <c r="BH976" s="44">
        <f>IF($AX976="Cancelled","",IFERROR((W976*INDEX(Variables!$B$7:$D$7,IFERROR(MATCH(IF($B976="Robusta","Robusta",(IF($B976="","Arabica",$B976))&amp;" - "&amp;(IF($C976="","Commercial",$C976))),Variables!$B$1:$D$1,0),1))*AK976/365)+(L976/16.67*INDEX(Variables!$B$8:$D$8,IFERROR(MATCH(IF($B976="Robusta","Robusta",(IF($B976="","Arabica",$B976))&amp;" - "&amp;(IF($C976="","Commercial",$C976))),Variables!$B$1:$D$1,0),1))*AK976)+(W976*INDEX(Variables!$B$9:$D$9,IFERROR(MATCH(IF($B976="Robusta","Robusta",(IF($B976="","Arabica",$B976))&amp;" - "&amp;(IF($C976="","Commercial",$C976))),Variables!$B$1:$D$1,0),1))*AK976/365),""))</f>
        <v>0</v>
      </c>
      <c r="BI976" s="44" t="str">
        <f>IF($AX976="Cancelled","",IFERROR((W976*INDEX(Variables!$B$7:$D$7,IFERROR(MATCH(IF($B976="Robusta","Robusta",(IF($B976="","Arabica",$B976))&amp;" - "&amp;(IF($C976="","Commercial",$C976))),Variables!$B$1:$D$1,0),1))*BD976/365)+(L976/16.67*INDEX(Variables!$B$8:$D$8,IFERROR(MATCH(IF($B976="Robusta","Robusta",(IF($B976="","Arabica",$B976))&amp;" - "&amp;(IF($C976="","Commercial",$C976))),Variables!$B$1:$D$1,0),1))*BD976)+(W976*INDEX(Variables!$B$9:$D$9,IFERROR(MATCH(IF($B976="Robusta","Robusta",(IF($B976="","Arabica",$B976))&amp;" - "&amp;(IF($C976="","Commercial",$C976))),Variables!$B$1:$D$1,0),1))*BD976/365),""))</f>
        <v/>
      </c>
      <c r="BJ976" s="44" t="str">
        <f t="shared" si="48"/>
        <v/>
      </c>
      <c r="BK976" s="44" t="str">
        <f>IF($AX976="Cancelled","",IFERROR(IF(BJ976="","",(W976*INDEX(Variables!$B$7:$D$7,IFERROR(MATCH(IF($B976="Robusta","Robusta",(IF($B976="","Arabica",$B976))&amp;" - "&amp;(IF($C976="","Commercial",$C976))),Variables!$B$1:$D$1,0),1))*(BJ976/365))+(W976*INDEX(Variables!$B$9:$D$9,IFERROR(MATCH(IF($B976="Robusta","Robusta",(IF($B976="","Arabica",$B976))&amp;" - "&amp;(IF($C976="","Commercial",$C976))),Variables!$B$1:$D$1,0),1))*(BJ976/365))+(INDEX(Variables!$B$8:$D$8,IFERROR(MATCH(IF($B976="Robusta","Robusta",(IF($B976="","Arabica",$B976))&amp;" - "&amp;(IF($C976="","Commercial",$C976))),Variables!$B$1:$D$1,0),1))*L976/16.67)),""))</f>
        <v/>
      </c>
    </row>
    <row r="977" spans="1:63">
      <c r="A977" s="13" t="s">
        <v>103</v>
      </c>
      <c r="B977" s="13" t="s">
        <v>104</v>
      </c>
      <c r="C977" s="13" t="s">
        <v>105</v>
      </c>
      <c r="D977" s="31">
        <v>46090</v>
      </c>
      <c r="E977" s="31">
        <v>46174</v>
      </c>
      <c r="F977" s="31">
        <v>46203</v>
      </c>
      <c r="G977" s="13">
        <v>3787404</v>
      </c>
      <c r="J977" s="13" t="s">
        <v>118</v>
      </c>
      <c r="M977" s="13">
        <v>0</v>
      </c>
      <c r="N977" s="13" t="s">
        <v>467</v>
      </c>
      <c r="P977" s="13">
        <v>0</v>
      </c>
      <c r="R977" s="13" t="s">
        <v>467</v>
      </c>
      <c r="S977" s="13" t="s">
        <v>467</v>
      </c>
      <c r="T977" s="13" t="s">
        <v>467</v>
      </c>
      <c r="U977" s="13" t="s">
        <v>467</v>
      </c>
      <c r="W977" s="44">
        <f>IF($AX977="Cancelled","",IFERROR(((V977+INDEX(Variables!$B$6:$D$6,IFERROR(MATCH(IF($B977="Robusta","Robusta",(IF($B977="","Arabica",$B977))&amp;" - "&amp;(IF($C977="","Commercial",$C977))),Variables!$B$1:$D$1,0),1)))*22.0462)*(L977/16.67),""))</f>
        <v>0</v>
      </c>
      <c r="Y977" s="13" t="str">
        <f>IF($AX977="Cancelled","",IF(X977="","",IFERROR(IF(INDEX(Variables!$B$38:$B$47,MATCH(X977,Variables!$A$38:$A$47,0))="Yes","Yes","No"),"No")))</f>
        <v/>
      </c>
      <c r="Z977" s="31">
        <v>46090</v>
      </c>
      <c r="AB977" s="31">
        <v>46090</v>
      </c>
      <c r="AC977" s="13" t="str">
        <f t="shared" si="47"/>
        <v>Approved</v>
      </c>
      <c r="AF977" s="71">
        <v>46090</v>
      </c>
      <c r="AG977" s="37">
        <f>IF($AX977="Cancelled","",IFERROR(IF(F977="","",F977-Variables!$B$13),""))</f>
        <v>46188</v>
      </c>
      <c r="AH977" s="13">
        <f>IF($AX977="Cancelled","",IFERROR(IF(AB977="","",(AVERAGE(E977:F977)-AB977)-Variables!$B$14),""))</f>
        <v>68.5</v>
      </c>
      <c r="AJ977" s="47">
        <v>46090</v>
      </c>
      <c r="AK977" s="14">
        <f>IF($AX977="Cancelled","",IFERROR(IF(AJ977="","",IF(AND(AB977="",AF977=""),"",IF(AF977&gt;AB977,AF977+Variables!$B$15+Variables!$B$16+Variables!$B$17-AJ977,AB977+Variables!$B$16+Variables!$B$17-AJ977))),""))</f>
        <v>8</v>
      </c>
      <c r="AL977" s="48" t="s">
        <v>114</v>
      </c>
      <c r="AM977" s="13" t="s">
        <v>467</v>
      </c>
      <c r="AN977" s="13" t="s">
        <v>467</v>
      </c>
      <c r="AO977" s="31">
        <v>46090</v>
      </c>
      <c r="AP977" s="39">
        <v>46090</v>
      </c>
      <c r="AQ977" s="31">
        <v>46090</v>
      </c>
      <c r="AR977" s="13" t="s">
        <v>467</v>
      </c>
      <c r="AS977" s="39" t="s">
        <v>8</v>
      </c>
      <c r="AU977" s="31" t="s">
        <v>8</v>
      </c>
      <c r="AV977" s="13" t="s">
        <v>467</v>
      </c>
      <c r="AW977" s="39" t="s">
        <v>8</v>
      </c>
      <c r="AX977" s="13" t="str">
        <f>IF(ISNUMBER(SEARCH("cancel",#REF!)),"Cancelled",IF(AND(AS977&lt;&gt;"",AU977&lt;&gt;"",AW977&lt;&gt;""),"Closed","Open"))</f>
        <v>Closed</v>
      </c>
      <c r="AY977" s="15" t="str">
        <f t="shared" si="46"/>
        <v>All dates received</v>
      </c>
      <c r="BD977" s="13" t="str">
        <f>IF($AX977="Cancelled","",IFERROR(IF(OR(AS977="",AJ977=""),"",(AJ977+Variables!$B$18-AS977)),""))</f>
        <v/>
      </c>
      <c r="BE977" s="13" t="str">
        <f>IF($AX977="Cancelled","",IFERROR(IF(OR(AW977="",AS977=""),"",(AS977+Variables!$B$19)-AW977),""))</f>
        <v/>
      </c>
      <c r="BF977" s="44" t="str">
        <f>IF($AX977="Cancelled","",IFERROR(W977*INDEX(Variables!$B$7:$D$7,IFERROR(MATCH(IF($B977="Robusta","Robusta",(IF($B977="","Arabica",$B977))&amp;" - "&amp;(IF($C977="","Commercial",$C977))),Variables!$B$1:$D$1,0),1))*(BE977/365),""))</f>
        <v/>
      </c>
      <c r="BG977" s="44">
        <f>IF($AX977="Cancelled","",IFERROR((W977*INDEX(Variables!$B$7:$D$7,IFERROR(MATCH(IF($B977="Robusta","Robusta",(IF($B977="","Arabica",$B977))&amp;" - "&amp;(IF($C977="","Commercial",$C977))),Variables!$B$1:$D$1,0),1))*IFERROR(IF(AB977="","",(AVERAGE(E977:F977)-AB977)-Variables!$B$14),"")/365)+(L977/16.67*INDEX(Variables!$B$8:$D$8,IFERROR(MATCH(IF($B977="Robusta","Robusta",(IF($B977="","Arabica",$B977))&amp;" - "&amp;(IF($C977="","Commercial",$C977))),Variables!$B$1:$D$1,0),1))*IFERROR(IF(AB977="","",(AVERAGE(E977:F977)-AB977)-Variables!$B$14),""))+(W977*INDEX(Variables!$B$9:$D$9,IFERROR(MATCH(IF($B977="Robusta","Robusta",(IF($B977="","Arabica",$B977))&amp;" - "&amp;(IF($C977="","Commercial",$C977))),Variables!$B$1:$D$1,0),1))*IFERROR(IF(AB977="","",(AVERAGE(E977:F977)-AB977)-Variables!$B$14),"")/365),""))</f>
        <v>0</v>
      </c>
      <c r="BH977" s="44">
        <f>IF($AX977="Cancelled","",IFERROR((W977*INDEX(Variables!$B$7:$D$7,IFERROR(MATCH(IF($B977="Robusta","Robusta",(IF($B977="","Arabica",$B977))&amp;" - "&amp;(IF($C977="","Commercial",$C977))),Variables!$B$1:$D$1,0),1))*AK977/365)+(L977/16.67*INDEX(Variables!$B$8:$D$8,IFERROR(MATCH(IF($B977="Robusta","Robusta",(IF($B977="","Arabica",$B977))&amp;" - "&amp;(IF($C977="","Commercial",$C977))),Variables!$B$1:$D$1,0),1))*AK977)+(W977*INDEX(Variables!$B$9:$D$9,IFERROR(MATCH(IF($B977="Robusta","Robusta",(IF($B977="","Arabica",$B977))&amp;" - "&amp;(IF($C977="","Commercial",$C977))),Variables!$B$1:$D$1,0),1))*AK977/365),""))</f>
        <v>0</v>
      </c>
      <c r="BI977" s="44" t="str">
        <f>IF($AX977="Cancelled","",IFERROR((W977*INDEX(Variables!$B$7:$D$7,IFERROR(MATCH(IF($B977="Robusta","Robusta",(IF($B977="","Arabica",$B977))&amp;" - "&amp;(IF($C977="","Commercial",$C977))),Variables!$B$1:$D$1,0),1))*BD977/365)+(L977/16.67*INDEX(Variables!$B$8:$D$8,IFERROR(MATCH(IF($B977="Robusta","Robusta",(IF($B977="","Arabica",$B977))&amp;" - "&amp;(IF($C977="","Commercial",$C977))),Variables!$B$1:$D$1,0),1))*BD977)+(W977*INDEX(Variables!$B$9:$D$9,IFERROR(MATCH(IF($B977="Robusta","Robusta",(IF($B977="","Arabica",$B977))&amp;" - "&amp;(IF($C977="","Commercial",$C977))),Variables!$B$1:$D$1,0),1))*BD977/365),""))</f>
        <v/>
      </c>
      <c r="BJ977" s="44" t="str">
        <f t="shared" si="48"/>
        <v/>
      </c>
      <c r="BK977" s="44" t="str">
        <f>IF($AX977="Cancelled","",IFERROR(IF(BJ977="","",(W977*INDEX(Variables!$B$7:$D$7,IFERROR(MATCH(IF($B977="Robusta","Robusta",(IF($B977="","Arabica",$B977))&amp;" - "&amp;(IF($C977="","Commercial",$C977))),Variables!$B$1:$D$1,0),1))*(BJ977/365))+(W977*INDEX(Variables!$B$9:$D$9,IFERROR(MATCH(IF($B977="Robusta","Robusta",(IF($B977="","Arabica",$B977))&amp;" - "&amp;(IF($C977="","Commercial",$C977))),Variables!$B$1:$D$1,0),1))*(BJ977/365))+(INDEX(Variables!$B$8:$D$8,IFERROR(MATCH(IF($B977="Robusta","Robusta",(IF($B977="","Arabica",$B977))&amp;" - "&amp;(IF($C977="","Commercial",$C977))),Variables!$B$1:$D$1,0),1))*L977/16.67)),""))</f>
        <v/>
      </c>
    </row>
    <row r="978" spans="1:63">
      <c r="A978" s="13" t="s">
        <v>103</v>
      </c>
      <c r="B978" s="13" t="s">
        <v>104</v>
      </c>
      <c r="C978" s="13" t="s">
        <v>105</v>
      </c>
      <c r="D978" s="31">
        <v>46090</v>
      </c>
      <c r="E978" s="31">
        <v>46143</v>
      </c>
      <c r="F978" s="31">
        <v>46173</v>
      </c>
      <c r="G978" s="13">
        <v>3787405</v>
      </c>
      <c r="J978" s="13" t="s">
        <v>118</v>
      </c>
      <c r="M978" s="13">
        <v>0</v>
      </c>
      <c r="N978" s="13" t="s">
        <v>467</v>
      </c>
      <c r="P978" s="13">
        <v>0</v>
      </c>
      <c r="R978" s="13" t="s">
        <v>467</v>
      </c>
      <c r="S978" s="13" t="s">
        <v>467</v>
      </c>
      <c r="T978" s="13" t="s">
        <v>467</v>
      </c>
      <c r="U978" s="13" t="s">
        <v>467</v>
      </c>
      <c r="W978" s="44">
        <f>IF($AX978="Cancelled","",IFERROR(((V978+INDEX(Variables!$B$6:$D$6,IFERROR(MATCH(IF($B978="Robusta","Robusta",(IF($B978="","Arabica",$B978))&amp;" - "&amp;(IF($C978="","Commercial",$C978))),Variables!$B$1:$D$1,0),1)))*22.0462)*(L978/16.67),""))</f>
        <v>0</v>
      </c>
      <c r="Y978" s="13" t="str">
        <f>IF($AX978="Cancelled","",IF(X978="","",IFERROR(IF(INDEX(Variables!$B$38:$B$47,MATCH(X978,Variables!$A$38:$A$47,0))="Yes","Yes","No"),"No")))</f>
        <v/>
      </c>
      <c r="Z978" s="31">
        <v>46090</v>
      </c>
      <c r="AB978" s="31">
        <v>46090</v>
      </c>
      <c r="AC978" s="13" t="str">
        <f t="shared" si="47"/>
        <v>Approved</v>
      </c>
      <c r="AD978" s="31">
        <v>46090</v>
      </c>
      <c r="AF978" s="71">
        <v>46090</v>
      </c>
      <c r="AG978" s="37">
        <f>IF($AX978="Cancelled","",IFERROR(IF(F978="","",F978-Variables!$B$13),""))</f>
        <v>46158</v>
      </c>
      <c r="AH978" s="13">
        <f>IF($AX978="Cancelled","",IFERROR(IF(AB978="","",(AVERAGE(E978:F978)-AB978)-Variables!$B$14),""))</f>
        <v>38</v>
      </c>
      <c r="AI978" s="13">
        <v>46090</v>
      </c>
      <c r="AJ978" s="47">
        <v>46090</v>
      </c>
      <c r="AK978" s="14">
        <f>IF($AX978="Cancelled","",IFERROR(IF(AJ978="","",IF(AND(AB978="",AF978=""),"",IF(AF978&gt;AB978,AF978+Variables!$B$15+Variables!$B$16+Variables!$B$17-AJ978,AB978+Variables!$B$16+Variables!$B$17-AJ978))),""))</f>
        <v>8</v>
      </c>
      <c r="AL978" s="48" t="s">
        <v>114</v>
      </c>
      <c r="AM978" s="13" t="s">
        <v>467</v>
      </c>
      <c r="AN978" s="13" t="s">
        <v>467</v>
      </c>
      <c r="AO978" s="31">
        <v>46090</v>
      </c>
      <c r="AP978" s="39">
        <v>46090</v>
      </c>
      <c r="AQ978" s="31">
        <v>46090</v>
      </c>
      <c r="AR978" s="13" t="s">
        <v>467</v>
      </c>
      <c r="AS978" s="31">
        <v>46090</v>
      </c>
      <c r="AU978" s="31">
        <v>46090</v>
      </c>
      <c r="AV978" s="13" t="s">
        <v>467</v>
      </c>
      <c r="AW978" s="31">
        <v>46090</v>
      </c>
      <c r="AX978" s="13" t="str">
        <f>IF(ISNUMBER(SEARCH("cancel",#REF!)),"Cancelled",IF(AND(AS978&lt;&gt;"",AU978&lt;&gt;"",AW978&lt;&gt;""),"Closed","Open"))</f>
        <v>Closed</v>
      </c>
      <c r="AY978" s="15" t="str">
        <f t="shared" si="46"/>
        <v>All dates received</v>
      </c>
      <c r="BD978" s="13">
        <f>IF($AX978="Cancelled","",IFERROR(IF(OR(AS978="",AJ978=""),"",(AJ978+Variables!$B$18-AS978)),""))</f>
        <v>15</v>
      </c>
      <c r="BE978" s="13">
        <f>IF($AX978="Cancelled","",IFERROR(IF(OR(AW978="",AS978=""),"",(AS978+Variables!$B$19)-AW978),""))</f>
        <v>5</v>
      </c>
      <c r="BF978" s="44">
        <f>IF($AX978="Cancelled","",IFERROR(W978*INDEX(Variables!$B$7:$D$7,IFERROR(MATCH(IF($B978="Robusta","Robusta",(IF($B978="","Arabica",$B978))&amp;" - "&amp;(IF($C978="","Commercial",$C978))),Variables!$B$1:$D$1,0),1))*(BE978/365),""))</f>
        <v>0</v>
      </c>
      <c r="BG978" s="44">
        <f>IF($AX978="Cancelled","",IFERROR((W978*INDEX(Variables!$B$7:$D$7,IFERROR(MATCH(IF($B978="Robusta","Robusta",(IF($B978="","Arabica",$B978))&amp;" - "&amp;(IF($C978="","Commercial",$C978))),Variables!$B$1:$D$1,0),1))*IFERROR(IF(AB978="","",(AVERAGE(E978:F978)-AB978)-Variables!$B$14),"")/365)+(L978/16.67*INDEX(Variables!$B$8:$D$8,IFERROR(MATCH(IF($B978="Robusta","Robusta",(IF($B978="","Arabica",$B978))&amp;" - "&amp;(IF($C978="","Commercial",$C978))),Variables!$B$1:$D$1,0),1))*IFERROR(IF(AB978="","",(AVERAGE(E978:F978)-AB978)-Variables!$B$14),""))+(W978*INDEX(Variables!$B$9:$D$9,IFERROR(MATCH(IF($B978="Robusta","Robusta",(IF($B978="","Arabica",$B978))&amp;" - "&amp;(IF($C978="","Commercial",$C978))),Variables!$B$1:$D$1,0),1))*IFERROR(IF(AB978="","",(AVERAGE(E978:F978)-AB978)-Variables!$B$14),"")/365),""))</f>
        <v>0</v>
      </c>
      <c r="BH978" s="44">
        <f>IF($AX978="Cancelled","",IFERROR((W978*INDEX(Variables!$B$7:$D$7,IFERROR(MATCH(IF($B978="Robusta","Robusta",(IF($B978="","Arabica",$B978))&amp;" - "&amp;(IF($C978="","Commercial",$C978))),Variables!$B$1:$D$1,0),1))*AK978/365)+(L978/16.67*INDEX(Variables!$B$8:$D$8,IFERROR(MATCH(IF($B978="Robusta","Robusta",(IF($B978="","Arabica",$B978))&amp;" - "&amp;(IF($C978="","Commercial",$C978))),Variables!$B$1:$D$1,0),1))*AK978)+(W978*INDEX(Variables!$B$9:$D$9,IFERROR(MATCH(IF($B978="Robusta","Robusta",(IF($B978="","Arabica",$B978))&amp;" - "&amp;(IF($C978="","Commercial",$C978))),Variables!$B$1:$D$1,0),1))*AK978/365),""))</f>
        <v>0</v>
      </c>
      <c r="BI978" s="44">
        <f>IF($AX978="Cancelled","",IFERROR((W978*INDEX(Variables!$B$7:$D$7,IFERROR(MATCH(IF($B978="Robusta","Robusta",(IF($B978="","Arabica",$B978))&amp;" - "&amp;(IF($C978="","Commercial",$C978))),Variables!$B$1:$D$1,0),1))*BD978/365)+(L978/16.67*INDEX(Variables!$B$8:$D$8,IFERROR(MATCH(IF($B978="Robusta","Robusta",(IF($B978="","Arabica",$B978))&amp;" - "&amp;(IF($C978="","Commercial",$C978))),Variables!$B$1:$D$1,0),1))*BD978)+(W978*INDEX(Variables!$B$9:$D$9,IFERROR(MATCH(IF($B978="Robusta","Robusta",(IF($B978="","Arabica",$B978))&amp;" - "&amp;(IF($C978="","Commercial",$C978))),Variables!$B$1:$D$1,0),1))*BD978/365),""))</f>
        <v>0</v>
      </c>
      <c r="BJ978" s="44">
        <f t="shared" si="48"/>
        <v>83</v>
      </c>
      <c r="BK978" s="44">
        <f>IF($AX978="Cancelled","",IFERROR(IF(BJ978="","",(W978*INDEX(Variables!$B$7:$D$7,IFERROR(MATCH(IF($B978="Robusta","Robusta",(IF($B978="","Arabica",$B978))&amp;" - "&amp;(IF($C978="","Commercial",$C978))),Variables!$B$1:$D$1,0),1))*(BJ978/365))+(W978*INDEX(Variables!$B$9:$D$9,IFERROR(MATCH(IF($B978="Robusta","Robusta",(IF($B978="","Arabica",$B978))&amp;" - "&amp;(IF($C978="","Commercial",$C978))),Variables!$B$1:$D$1,0),1))*(BJ978/365))+(INDEX(Variables!$B$8:$D$8,IFERROR(MATCH(IF($B978="Robusta","Robusta",(IF($B978="","Arabica",$B978))&amp;" - "&amp;(IF($C978="","Commercial",$C978))),Variables!$B$1:$D$1,0),1))*L978/16.67)),""))</f>
        <v>0</v>
      </c>
    </row>
    <row r="979" spans="1:63">
      <c r="A979" s="13" t="s">
        <v>103</v>
      </c>
      <c r="B979" s="13" t="s">
        <v>104</v>
      </c>
      <c r="C979" s="13" t="s">
        <v>105</v>
      </c>
      <c r="D979" s="31">
        <v>46090</v>
      </c>
      <c r="E979" s="31">
        <v>46174</v>
      </c>
      <c r="F979" s="31">
        <v>46203</v>
      </c>
      <c r="G979" s="13">
        <v>3787406</v>
      </c>
      <c r="J979" s="13" t="s">
        <v>118</v>
      </c>
      <c r="M979" s="13">
        <v>0</v>
      </c>
      <c r="N979" s="13" t="s">
        <v>467</v>
      </c>
      <c r="P979" s="13">
        <v>0</v>
      </c>
      <c r="R979" s="13" t="s">
        <v>467</v>
      </c>
      <c r="S979" s="13" t="s">
        <v>467</v>
      </c>
      <c r="T979" s="13" t="s">
        <v>467</v>
      </c>
      <c r="U979" s="13" t="s">
        <v>467</v>
      </c>
      <c r="W979" s="44">
        <f>IF($AX979="Cancelled","",IFERROR(((V979+INDEX(Variables!$B$6:$D$6,IFERROR(MATCH(IF($B979="Robusta","Robusta",(IF($B979="","Arabica",$B979))&amp;" - "&amp;(IF($C979="","Commercial",$C979))),Variables!$B$1:$D$1,0),1)))*22.0462)*(L979/16.67),""))</f>
        <v>0</v>
      </c>
      <c r="Y979" s="13" t="str">
        <f>IF($AX979="Cancelled","",IF(X979="","",IFERROR(IF(INDEX(Variables!$B$38:$B$47,MATCH(X979,Variables!$A$38:$A$47,0))="Yes","Yes","No"),"No")))</f>
        <v/>
      </c>
      <c r="Z979" s="31">
        <v>46090</v>
      </c>
      <c r="AB979" s="31">
        <v>46090</v>
      </c>
      <c r="AC979" s="13" t="str">
        <f t="shared" si="47"/>
        <v>Approved</v>
      </c>
      <c r="AF979" s="71">
        <v>46090</v>
      </c>
      <c r="AG979" s="37">
        <f>IF($AX979="Cancelled","",IFERROR(IF(F979="","",F979-Variables!$B$13),""))</f>
        <v>46188</v>
      </c>
      <c r="AH979" s="13">
        <f>IF($AX979="Cancelled","",IFERROR(IF(AB979="","",(AVERAGE(E979:F979)-AB979)-Variables!$B$14),""))</f>
        <v>68.5</v>
      </c>
      <c r="AJ979" s="47">
        <v>46090</v>
      </c>
      <c r="AK979" s="14">
        <f>IF($AX979="Cancelled","",IFERROR(IF(AJ979="","",IF(AND(AB979="",AF979=""),"",IF(AF979&gt;AB979,AF979+Variables!$B$15+Variables!$B$16+Variables!$B$17-AJ979,AB979+Variables!$B$16+Variables!$B$17-AJ979))),""))</f>
        <v>8</v>
      </c>
      <c r="AL979" s="48" t="s">
        <v>114</v>
      </c>
      <c r="AM979" s="13" t="s">
        <v>467</v>
      </c>
      <c r="AN979" s="13" t="s">
        <v>467</v>
      </c>
      <c r="AO979" s="31">
        <v>46090</v>
      </c>
      <c r="AP979" s="39">
        <v>46090</v>
      </c>
      <c r="AQ979" s="31">
        <v>46090</v>
      </c>
      <c r="AR979" s="13" t="s">
        <v>467</v>
      </c>
      <c r="AS979" s="39" t="s">
        <v>8</v>
      </c>
      <c r="AU979" s="31" t="s">
        <v>8</v>
      </c>
      <c r="AV979" s="13" t="s">
        <v>467</v>
      </c>
      <c r="AW979" s="39" t="s">
        <v>8</v>
      </c>
      <c r="AX979" s="13" t="str">
        <f>IF(ISNUMBER(SEARCH("cancel",#REF!)),"Cancelled",IF(AND(AS979&lt;&gt;"",AU979&lt;&gt;"",AW979&lt;&gt;""),"Closed","Open"))</f>
        <v>Closed</v>
      </c>
      <c r="AY979" s="15" t="str">
        <f t="shared" si="46"/>
        <v>All dates received</v>
      </c>
      <c r="BD979" s="13" t="str">
        <f>IF($AX979="Cancelled","",IFERROR(IF(OR(AS979="",AJ979=""),"",(AJ979+Variables!$B$18-AS979)),""))</f>
        <v/>
      </c>
      <c r="BE979" s="13" t="str">
        <f>IF($AX979="Cancelled","",IFERROR(IF(OR(AW979="",AS979=""),"",(AS979+Variables!$B$19)-AW979),""))</f>
        <v/>
      </c>
      <c r="BF979" s="44" t="str">
        <f>IF($AX979="Cancelled","",IFERROR(W979*INDEX(Variables!$B$7:$D$7,IFERROR(MATCH(IF($B979="Robusta","Robusta",(IF($B979="","Arabica",$B979))&amp;" - "&amp;(IF($C979="","Commercial",$C979))),Variables!$B$1:$D$1,0),1))*(BE979/365),""))</f>
        <v/>
      </c>
      <c r="BG979" s="44">
        <f>IF($AX979="Cancelled","",IFERROR((W979*INDEX(Variables!$B$7:$D$7,IFERROR(MATCH(IF($B979="Robusta","Robusta",(IF($B979="","Arabica",$B979))&amp;" - "&amp;(IF($C979="","Commercial",$C979))),Variables!$B$1:$D$1,0),1))*IFERROR(IF(AB979="","",(AVERAGE(E979:F979)-AB979)-Variables!$B$14),"")/365)+(L979/16.67*INDEX(Variables!$B$8:$D$8,IFERROR(MATCH(IF($B979="Robusta","Robusta",(IF($B979="","Arabica",$B979))&amp;" - "&amp;(IF($C979="","Commercial",$C979))),Variables!$B$1:$D$1,0),1))*IFERROR(IF(AB979="","",(AVERAGE(E979:F979)-AB979)-Variables!$B$14),""))+(W979*INDEX(Variables!$B$9:$D$9,IFERROR(MATCH(IF($B979="Robusta","Robusta",(IF($B979="","Arabica",$B979))&amp;" - "&amp;(IF($C979="","Commercial",$C979))),Variables!$B$1:$D$1,0),1))*IFERROR(IF(AB979="","",(AVERAGE(E979:F979)-AB979)-Variables!$B$14),"")/365),""))</f>
        <v>0</v>
      </c>
      <c r="BH979" s="44">
        <f>IF($AX979="Cancelled","",IFERROR((W979*INDEX(Variables!$B$7:$D$7,IFERROR(MATCH(IF($B979="Robusta","Robusta",(IF($B979="","Arabica",$B979))&amp;" - "&amp;(IF($C979="","Commercial",$C979))),Variables!$B$1:$D$1,0),1))*AK979/365)+(L979/16.67*INDEX(Variables!$B$8:$D$8,IFERROR(MATCH(IF($B979="Robusta","Robusta",(IF($B979="","Arabica",$B979))&amp;" - "&amp;(IF($C979="","Commercial",$C979))),Variables!$B$1:$D$1,0),1))*AK979)+(W979*INDEX(Variables!$B$9:$D$9,IFERROR(MATCH(IF($B979="Robusta","Robusta",(IF($B979="","Arabica",$B979))&amp;" - "&amp;(IF($C979="","Commercial",$C979))),Variables!$B$1:$D$1,0),1))*AK979/365),""))</f>
        <v>0</v>
      </c>
      <c r="BI979" s="44" t="str">
        <f>IF($AX979="Cancelled","",IFERROR((W979*INDEX(Variables!$B$7:$D$7,IFERROR(MATCH(IF($B979="Robusta","Robusta",(IF($B979="","Arabica",$B979))&amp;" - "&amp;(IF($C979="","Commercial",$C979))),Variables!$B$1:$D$1,0),1))*BD979/365)+(L979/16.67*INDEX(Variables!$B$8:$D$8,IFERROR(MATCH(IF($B979="Robusta","Robusta",(IF($B979="","Arabica",$B979))&amp;" - "&amp;(IF($C979="","Commercial",$C979))),Variables!$B$1:$D$1,0),1))*BD979)+(W979*INDEX(Variables!$B$9:$D$9,IFERROR(MATCH(IF($B979="Robusta","Robusta",(IF($B979="","Arabica",$B979))&amp;" - "&amp;(IF($C979="","Commercial",$C979))),Variables!$B$1:$D$1,0),1))*BD979/365),""))</f>
        <v/>
      </c>
      <c r="BJ979" s="44" t="str">
        <f t="shared" si="48"/>
        <v/>
      </c>
      <c r="BK979" s="44" t="str">
        <f>IF($AX979="Cancelled","",IFERROR(IF(BJ979="","",(W979*INDEX(Variables!$B$7:$D$7,IFERROR(MATCH(IF($B979="Robusta","Robusta",(IF($B979="","Arabica",$B979))&amp;" - "&amp;(IF($C979="","Commercial",$C979))),Variables!$B$1:$D$1,0),1))*(BJ979/365))+(W979*INDEX(Variables!$B$9:$D$9,IFERROR(MATCH(IF($B979="Robusta","Robusta",(IF($B979="","Arabica",$B979))&amp;" - "&amp;(IF($C979="","Commercial",$C979))),Variables!$B$1:$D$1,0),1))*(BJ979/365))+(INDEX(Variables!$B$8:$D$8,IFERROR(MATCH(IF($B979="Robusta","Robusta",(IF($B979="","Arabica",$B979))&amp;" - "&amp;(IF($C979="","Commercial",$C979))),Variables!$B$1:$D$1,0),1))*L979/16.67)),""))</f>
        <v/>
      </c>
    </row>
    <row r="980" spans="1:63">
      <c r="A980" s="13" t="s">
        <v>103</v>
      </c>
      <c r="B980" s="13" t="s">
        <v>104</v>
      </c>
      <c r="C980" s="13" t="s">
        <v>105</v>
      </c>
      <c r="D980" s="31">
        <v>46090</v>
      </c>
      <c r="E980" s="31">
        <v>46188</v>
      </c>
      <c r="F980" s="31">
        <v>46203</v>
      </c>
      <c r="G980" s="13">
        <v>3787407</v>
      </c>
      <c r="J980" s="13" t="s">
        <v>236</v>
      </c>
      <c r="K980" s="13" t="s">
        <v>2500</v>
      </c>
      <c r="L980" s="13">
        <v>220</v>
      </c>
      <c r="M980" s="13">
        <v>1</v>
      </c>
      <c r="N980" s="13" t="s">
        <v>2165</v>
      </c>
      <c r="O980" s="13" t="s">
        <v>355</v>
      </c>
      <c r="P980" s="13">
        <v>10060</v>
      </c>
      <c r="R980" s="13" t="s">
        <v>239</v>
      </c>
      <c r="S980" s="13" t="s">
        <v>180</v>
      </c>
      <c r="T980" s="13" t="s">
        <v>253</v>
      </c>
      <c r="U980" s="13" t="s">
        <v>182</v>
      </c>
      <c r="V980" s="23">
        <v>45</v>
      </c>
      <c r="W980" s="44">
        <f>IF($AX980="Cancelled","",IFERROR(((V980+INDEX(Variables!$B$6:$D$6,IFERROR(MATCH(IF($B980="Robusta","Robusta",(IF($B980="","Arabica",$B980))&amp;" - "&amp;(IF($C980="","Commercial",$C980))),Variables!$B$1:$D$1,0),1)))*22.0462)*(L980/16.67),""))</f>
        <v>97701.563959208142</v>
      </c>
      <c r="X980" s="55" t="s">
        <v>37</v>
      </c>
      <c r="Y980" s="13" t="str">
        <f>IF($AX980="Cancelled","",IF(X980="","",IFERROR(IF(INDEX(Variables!$B$38:$B$47,MATCH(X980,Variables!$A$38:$A$47,0))="Yes","Yes","No"),"No")))</f>
        <v>Yes</v>
      </c>
      <c r="Z980" s="58">
        <v>46165</v>
      </c>
      <c r="AB980" s="31">
        <v>46164</v>
      </c>
      <c r="AC980" s="13" t="str">
        <f t="shared" si="47"/>
        <v>Approved</v>
      </c>
      <c r="AF980" s="71">
        <v>46195</v>
      </c>
      <c r="AG980" s="37">
        <f>IF($AX980="Cancelled","",IFERROR(IF(F980="","",F980-Variables!$B$13),""))</f>
        <v>46188</v>
      </c>
      <c r="AH980" s="13">
        <f>IF($AX980="Cancelled","",IFERROR(IF(AB980="","",(AVERAGE(E980:F980)-AB980)-Variables!$B$14),""))</f>
        <v>1.5</v>
      </c>
      <c r="AJ980" s="47">
        <v>46202</v>
      </c>
      <c r="AK980" s="14">
        <f>IF($AX980="Cancelled","",IFERROR(IF(AJ980="","",IF(AND(AB980="",AF980=""),"",IF(AF980&gt;AB980,AF980+Variables!$B$15+Variables!$B$16+Variables!$B$17-AJ980,AB980+Variables!$B$16+Variables!$B$17-AJ980))),""))</f>
        <v>8</v>
      </c>
      <c r="AL980" s="48" t="s">
        <v>114</v>
      </c>
      <c r="AM980" s="13" t="s">
        <v>1482</v>
      </c>
      <c r="AN980" s="13" t="s">
        <v>2501</v>
      </c>
      <c r="AP980" s="39">
        <v>46223</v>
      </c>
      <c r="AR980" s="13" t="s">
        <v>2502</v>
      </c>
      <c r="AS980" s="31">
        <v>46223</v>
      </c>
      <c r="AU980" s="31">
        <v>46248</v>
      </c>
      <c r="AV980" s="13" t="s">
        <v>865</v>
      </c>
      <c r="AW980" s="39">
        <v>46248</v>
      </c>
      <c r="AX980" s="13" t="str">
        <f>IF(ISNUMBER(SEARCH("cancel",#REF!)),"Cancelled",IF(AND(AS980&lt;&gt;"",AU980&lt;&gt;"",AW980&lt;&gt;""),"Closed","Open"))</f>
        <v>Closed</v>
      </c>
      <c r="AY980" s="15" t="str">
        <f t="shared" si="46"/>
        <v>All dates received</v>
      </c>
      <c r="AZ980" s="13" t="s">
        <v>3053</v>
      </c>
      <c r="BA980" s="13" t="s">
        <v>3048</v>
      </c>
      <c r="BB980" s="13" t="s">
        <v>3049</v>
      </c>
      <c r="BC980" s="13" t="s">
        <v>3290</v>
      </c>
      <c r="BD980" s="13">
        <f>IF($AX980="Cancelled","",IFERROR(IF(OR(AS980="",AJ980=""),"",(AJ980+Variables!$B$18-AS980)),""))</f>
        <v>-6</v>
      </c>
      <c r="BE980" s="13">
        <f>IF($AX980="Cancelled","",IFERROR(IF(OR(AW980="",AS980=""),"",(AS980+Variables!$B$19)-AW980),""))</f>
        <v>-20</v>
      </c>
      <c r="BF980" s="44">
        <f>IF($AX980="Cancelled","",IFERROR(W980*INDEX(Variables!$B$7:$D$7,IFERROR(MATCH(IF($B980="Robusta","Robusta",(IF($B980="","Arabica",$B980))&amp;" - "&amp;(IF($C980="","Commercial",$C980))),Variables!$B$1:$D$1,0),1))*(BE980/365),""))</f>
        <v>-345.20612534413431</v>
      </c>
      <c r="BG980" s="44">
        <f>IF($AX980="Cancelled","",IFERROR((W980*INDEX(Variables!$B$7:$D$7,IFERROR(MATCH(IF($B980="Robusta","Robusta",(IF($B980="","Arabica",$B980))&amp;" - "&amp;(IF($C980="","Commercial",$C980))),Variables!$B$1:$D$1,0),1))*IFERROR(IF(AB980="","",(AVERAGE(E980:F980)-AB980)-Variables!$B$14),"")/365)+(L980/16.67*INDEX(Variables!$B$8:$D$8,IFERROR(MATCH(IF($B980="Robusta","Robusta",(IF($B980="","Arabica",$B980))&amp;" - "&amp;(IF($C980="","Commercial",$C980))),Variables!$B$1:$D$1,0),1))*IFERROR(IF(AB980="","",(AVERAGE(E980:F980)-AB980)-Variables!$B$14),""))+(W980*INDEX(Variables!$B$9:$D$9,IFERROR(MATCH(IF($B980="Robusta","Robusta",(IF($B980="","Arabica",$B980))&amp;" - "&amp;(IF($C980="","Commercial",$C980))),Variables!$B$1:$D$1,0),1))*IFERROR(IF(AB980="","",(AVERAGE(E980:F980)-AB980)-Variables!$B$14),"")/365),""))</f>
        <v>42.724237387601676</v>
      </c>
      <c r="BH980" s="44">
        <f>IF($AX980="Cancelled","",IFERROR((W980*INDEX(Variables!$B$7:$D$7,IFERROR(MATCH(IF($B980="Robusta","Robusta",(IF($B980="","Arabica",$B980))&amp;" - "&amp;(IF($C980="","Commercial",$C980))),Variables!$B$1:$D$1,0),1))*AK980/365)+(L980/16.67*INDEX(Variables!$B$8:$D$8,IFERROR(MATCH(IF($B980="Robusta","Robusta",(IF($B980="","Arabica",$B980))&amp;" - "&amp;(IF($C980="","Commercial",$C980))),Variables!$B$1:$D$1,0),1))*AK980)+(W980*INDEX(Variables!$B$9:$D$9,IFERROR(MATCH(IF($B980="Robusta","Robusta",(IF($B980="","Arabica",$B980))&amp;" - "&amp;(IF($C980="","Commercial",$C980))),Variables!$B$1:$D$1,0),1))*AK980/365),""))</f>
        <v>227.86259940054225</v>
      </c>
      <c r="BI980" s="44">
        <f>IF($AX980="Cancelled","",IFERROR((W980*INDEX(Variables!$B$7:$D$7,IFERROR(MATCH(IF($B980="Robusta","Robusta",(IF($B980="","Arabica",$B980))&amp;" - "&amp;(IF($C980="","Commercial",$C980))),Variables!$B$1:$D$1,0),1))*BD980/365)+(L980/16.67*INDEX(Variables!$B$8:$D$8,IFERROR(MATCH(IF($B980="Robusta","Robusta",(IF($B980="","Arabica",$B980))&amp;" - "&amp;(IF($C980="","Commercial",$C980))),Variables!$B$1:$D$1,0),1))*BD980)+(W980*INDEX(Variables!$B$9:$D$9,IFERROR(MATCH(IF($B980="Robusta","Robusta",(IF($B980="","Arabica",$B980))&amp;" - "&amp;(IF($C980="","Commercial",$C980))),Variables!$B$1:$D$1,0),1))*BD980/365),""))</f>
        <v>-170.8969495504067</v>
      </c>
      <c r="BJ980" s="44">
        <f t="shared" si="48"/>
        <v>-20</v>
      </c>
      <c r="BK980" s="44">
        <f>IF($AX980="Cancelled","",IFERROR(IF(BJ980="","",(W980*INDEX(Variables!$B$7:$D$7,IFERROR(MATCH(IF($B980="Robusta","Robusta",(IF($B980="","Arabica",$B980))&amp;" - "&amp;(IF($C980="","Commercial",$C980))),Variables!$B$1:$D$1,0),1))*(BJ980/365))+(W980*INDEX(Variables!$B$9:$D$9,IFERROR(MATCH(IF($B980="Robusta","Robusta",(IF($B980="","Arabica",$B980))&amp;" - "&amp;(IF($C980="","Commercial",$C980))),Variables!$B$1:$D$1,0),1))*(BJ980/365))+(INDEX(Variables!$B$8:$D$8,IFERROR(MATCH(IF($B980="Robusta","Robusta",(IF($B980="","Arabica",$B980))&amp;" - "&amp;(IF($C980="","Commercial",$C980))),Variables!$B$1:$D$1,0),1))*L980/16.67)),""))</f>
        <v>-338.65649850135566</v>
      </c>
    </row>
    <row r="981" spans="1:63">
      <c r="A981" s="13" t="s">
        <v>103</v>
      </c>
      <c r="B981" s="13" t="s">
        <v>104</v>
      </c>
      <c r="C981" s="13" t="s">
        <v>105</v>
      </c>
      <c r="D981" s="31">
        <v>46090</v>
      </c>
      <c r="E981" s="31">
        <v>46188</v>
      </c>
      <c r="F981" s="31">
        <v>46203</v>
      </c>
      <c r="G981" s="13">
        <v>3787408</v>
      </c>
      <c r="J981" s="13" t="s">
        <v>236</v>
      </c>
      <c r="K981" s="13" t="s">
        <v>2503</v>
      </c>
      <c r="L981" s="13">
        <v>100</v>
      </c>
      <c r="M981" s="13">
        <v>0</v>
      </c>
      <c r="N981" s="13" t="s">
        <v>1276</v>
      </c>
      <c r="O981" s="13" t="s">
        <v>120</v>
      </c>
      <c r="P981" s="13">
        <v>10070</v>
      </c>
      <c r="R981" s="13" t="s">
        <v>239</v>
      </c>
      <c r="S981" s="13" t="s">
        <v>180</v>
      </c>
      <c r="T981" s="13" t="s">
        <v>253</v>
      </c>
      <c r="U981" s="13" t="s">
        <v>182</v>
      </c>
      <c r="V981" s="23">
        <v>33</v>
      </c>
      <c r="W981" s="44">
        <f>IF($AX981="Cancelled","",IFERROR(((V981+INDEX(Variables!$B$6:$D$6,IFERROR(MATCH(IF($B981="Robusta","Robusta",(IF($B981="","Arabica",$B981))&amp;" - "&amp;(IF($C981="","Commercial",$C981))),Variables!$B$1:$D$1,0),1)))*22.0462)*(L981/16.67),""))</f>
        <v>42822.792801439704</v>
      </c>
      <c r="X981" s="55" t="s">
        <v>37</v>
      </c>
      <c r="Y981" s="13" t="str">
        <f>IF($AX981="Cancelled","",IF(X981="","",IFERROR(IF(INDEX(Variables!$B$38:$B$47,MATCH(X981,Variables!$A$38:$A$47,0))="Yes","Yes","No"),"No")))</f>
        <v>Yes</v>
      </c>
      <c r="Z981" s="58">
        <v>46165</v>
      </c>
      <c r="AB981" s="31">
        <v>46164</v>
      </c>
      <c r="AC981" s="13" t="str">
        <f t="shared" si="47"/>
        <v>Approved</v>
      </c>
      <c r="AF981" s="71">
        <v>46195</v>
      </c>
      <c r="AG981" s="37">
        <f>IF($AX981="Cancelled","",IFERROR(IF(F981="","",F981-Variables!$B$13),""))</f>
        <v>46188</v>
      </c>
      <c r="AH981" s="13">
        <f>IF($AX981="Cancelled","",IFERROR(IF(AB981="","",(AVERAGE(E981:F981)-AB981)-Variables!$B$14),""))</f>
        <v>1.5</v>
      </c>
      <c r="AJ981" s="47">
        <v>46202</v>
      </c>
      <c r="AK981" s="14">
        <f>IF($AX981="Cancelled","",IFERROR(IF(AJ981="","",IF(AND(AB981="",AF981=""),"",IF(AF981&gt;AB981,AF981+Variables!$B$15+Variables!$B$16+Variables!$B$17-AJ981,AB981+Variables!$B$16+Variables!$B$17-AJ981))),""))</f>
        <v>8</v>
      </c>
      <c r="AL981" s="48" t="s">
        <v>114</v>
      </c>
      <c r="AM981" s="13" t="s">
        <v>1482</v>
      </c>
      <c r="AN981" s="13" t="s">
        <v>2501</v>
      </c>
      <c r="AP981" s="39">
        <v>46223</v>
      </c>
      <c r="AR981" s="13" t="s">
        <v>2502</v>
      </c>
      <c r="AS981" s="31">
        <v>46223</v>
      </c>
      <c r="AU981" s="31">
        <v>46248</v>
      </c>
      <c r="AV981" s="13" t="s">
        <v>865</v>
      </c>
      <c r="AW981" s="39">
        <v>46248</v>
      </c>
      <c r="AX981" s="13" t="str">
        <f>IF(ISNUMBER(SEARCH("cancel",#REF!)),"Cancelled",IF(AND(AS981&lt;&gt;"",AU981&lt;&gt;"",AW981&lt;&gt;""),"Closed","Open"))</f>
        <v>Closed</v>
      </c>
      <c r="AY981" s="15" t="str">
        <f t="shared" si="46"/>
        <v>All dates received</v>
      </c>
      <c r="AZ981" s="13" t="s">
        <v>3053</v>
      </c>
      <c r="BA981" s="13" t="s">
        <v>3048</v>
      </c>
      <c r="BB981" s="13" t="s">
        <v>3049</v>
      </c>
      <c r="BC981" s="13" t="s">
        <v>3290</v>
      </c>
      <c r="BD981" s="13">
        <f>IF($AX981="Cancelled","",IFERROR(IF(OR(AS981="",AJ981=""),"",(AJ981+Variables!$B$18-AS981)),""))</f>
        <v>-6</v>
      </c>
      <c r="BE981" s="13">
        <f>IF($AX981="Cancelled","",IFERROR(IF(OR(AW981="",AS981=""),"",(AS981+Variables!$B$19)-AW981),""))</f>
        <v>-20</v>
      </c>
      <c r="BF981" s="44">
        <f>IF($AX981="Cancelled","",IFERROR(W981*INDEX(Variables!$B$7:$D$7,IFERROR(MATCH(IF($B981="Robusta","Robusta",(IF($B981="","Arabica",$B981))&amp;" - "&amp;(IF($C981="","Commercial",$C981))),Variables!$B$1:$D$1,0),1))*(BE981/365),""))</f>
        <v>-151.30454191676685</v>
      </c>
      <c r="BG981" s="44">
        <f>IF($AX981="Cancelled","",IFERROR((W981*INDEX(Variables!$B$7:$D$7,IFERROR(MATCH(IF($B981="Robusta","Robusta",(IF($B981="","Arabica",$B981))&amp;" - "&amp;(IF($C981="","Commercial",$C981))),Variables!$B$1:$D$1,0),1))*IFERROR(IF(AB981="","",(AVERAGE(E981:F981)-AB981)-Variables!$B$14),"")/365)+(L981/16.67*INDEX(Variables!$B$8:$D$8,IFERROR(MATCH(IF($B981="Robusta","Robusta",(IF($B981="","Arabica",$B981))&amp;" - "&amp;(IF($C981="","Commercial",$C981))),Variables!$B$1:$D$1,0),1))*IFERROR(IF(AB981="","",(AVERAGE(E981:F981)-AB981)-Variables!$B$14),""))+(W981*INDEX(Variables!$B$9:$D$9,IFERROR(MATCH(IF($B981="Robusta","Robusta",(IF($B981="","Arabica",$B981))&amp;" - "&amp;(IF($C981="","Commercial",$C981))),Variables!$B$1:$D$1,0),1))*IFERROR(IF(AB981="","",(AVERAGE(E981:F981)-AB981)-Variables!$B$14),"")/365),""))</f>
        <v>18.994136209466433</v>
      </c>
      <c r="BH981" s="44">
        <f>IF($AX981="Cancelled","",IFERROR((W981*INDEX(Variables!$B$7:$D$7,IFERROR(MATCH(IF($B981="Robusta","Robusta",(IF($B981="","Arabica",$B981))&amp;" - "&amp;(IF($C981="","Commercial",$C981))),Variables!$B$1:$D$1,0),1))*AK981/365)+(L981/16.67*INDEX(Variables!$B$8:$D$8,IFERROR(MATCH(IF($B981="Robusta","Robusta",(IF($B981="","Arabica",$B981))&amp;" - "&amp;(IF($C981="","Commercial",$C981))),Variables!$B$1:$D$1,0),1))*AK981)+(W981*INDEX(Variables!$B$9:$D$9,IFERROR(MATCH(IF($B981="Robusta","Robusta",(IF($B981="","Arabica",$B981))&amp;" - "&amp;(IF($C981="","Commercial",$C981))),Variables!$B$1:$D$1,0),1))*AK981/365),""))</f>
        <v>101.30205978382097</v>
      </c>
      <c r="BI981" s="44">
        <f>IF($AX981="Cancelled","",IFERROR((W981*INDEX(Variables!$B$7:$D$7,IFERROR(MATCH(IF($B981="Robusta","Robusta",(IF($B981="","Arabica",$B981))&amp;" - "&amp;(IF($C981="","Commercial",$C981))),Variables!$B$1:$D$1,0),1))*BD981/365)+(L981/16.67*INDEX(Variables!$B$8:$D$8,IFERROR(MATCH(IF($B981="Robusta","Robusta",(IF($B981="","Arabica",$B981))&amp;" - "&amp;(IF($C981="","Commercial",$C981))),Variables!$B$1:$D$1,0),1))*BD981)+(W981*INDEX(Variables!$B$9:$D$9,IFERROR(MATCH(IF($B981="Robusta","Robusta",(IF($B981="","Arabica",$B981))&amp;" - "&amp;(IF($C981="","Commercial",$C981))),Variables!$B$1:$D$1,0),1))*BD981/365),""))</f>
        <v>-75.976544837865731</v>
      </c>
      <c r="BJ981" s="44">
        <f t="shared" si="48"/>
        <v>-20</v>
      </c>
      <c r="BK981" s="44">
        <f>IF($AX981="Cancelled","",IFERROR(IF(BJ981="","",(W981*INDEX(Variables!$B$7:$D$7,IFERROR(MATCH(IF($B981="Robusta","Robusta",(IF($B981="","Arabica",$B981))&amp;" - "&amp;(IF($C981="","Commercial",$C981))),Variables!$B$1:$D$1,0),1))*(BJ981/365))+(W981*INDEX(Variables!$B$9:$D$9,IFERROR(MATCH(IF($B981="Robusta","Robusta",(IF($B981="","Arabica",$B981))&amp;" - "&amp;(IF($C981="","Commercial",$C981))),Variables!$B$1:$D$1,0),1))*(BJ981/365))+(INDEX(Variables!$B$8:$D$8,IFERROR(MATCH(IF($B981="Robusta","Robusta",(IF($B981="","Arabica",$B981))&amp;" - "&amp;(IF($C981="","Commercial",$C981))),Variables!$B$1:$D$1,0),1))*L981/16.67)),""))</f>
        <v>-148.25514945955243</v>
      </c>
    </row>
    <row r="982" spans="1:63">
      <c r="A982" s="13" t="s">
        <v>103</v>
      </c>
      <c r="B982" s="13" t="s">
        <v>104</v>
      </c>
      <c r="C982" s="13" t="s">
        <v>105</v>
      </c>
      <c r="D982" s="31">
        <v>46090</v>
      </c>
      <c r="E982" s="31">
        <v>46082</v>
      </c>
      <c r="F982" s="31">
        <v>46112</v>
      </c>
      <c r="G982" s="13">
        <v>3787409</v>
      </c>
      <c r="J982" s="13" t="s">
        <v>118</v>
      </c>
      <c r="K982" s="13">
        <v>5477</v>
      </c>
      <c r="L982" s="13">
        <v>1440</v>
      </c>
      <c r="M982" s="13">
        <v>4</v>
      </c>
      <c r="N982" s="13" t="s">
        <v>2504</v>
      </c>
      <c r="O982" s="13" t="s">
        <v>269</v>
      </c>
      <c r="P982" s="13">
        <v>10310</v>
      </c>
      <c r="Q982" s="13" t="s">
        <v>1461</v>
      </c>
      <c r="R982" s="13" t="s">
        <v>122</v>
      </c>
      <c r="S982" s="13" t="s">
        <v>2505</v>
      </c>
      <c r="T982" s="13" t="s">
        <v>133</v>
      </c>
      <c r="U982" s="13" t="s">
        <v>125</v>
      </c>
      <c r="V982" s="23">
        <v>48</v>
      </c>
      <c r="W982" s="44">
        <f>IF($AX982="Cancelled","",IFERROR(((V982+INDEX(Variables!$B$6:$D$6,IFERROR(MATCH(IF($B982="Robusta","Robusta",(IF($B982="","Arabica",$B982))&amp;" - "&amp;(IF($C982="","Commercial",$C982))),Variables!$B$1:$D$1,0),1)))*22.0462)*(L982/16.67),""))</f>
        <v>645214.37830833835</v>
      </c>
      <c r="X982" s="55" t="s">
        <v>37</v>
      </c>
      <c r="Y982" s="13" t="str">
        <f>IF($AX982="Cancelled","",IF(X982="","",IFERROR(IF(INDEX(Variables!$B$38:$B$47,MATCH(X982,Variables!$A$38:$A$47,0))="Yes","Yes","No"),"No")))</f>
        <v>Yes</v>
      </c>
      <c r="Z982" s="58">
        <v>46128</v>
      </c>
      <c r="AB982" s="31">
        <v>46169</v>
      </c>
      <c r="AC982" s="13" t="str">
        <f t="shared" si="47"/>
        <v>Approved</v>
      </c>
      <c r="AF982" s="71">
        <v>46189</v>
      </c>
      <c r="AG982" s="37">
        <f>IF($AX982="Cancelled","",IFERROR(IF(F982="","",F982-Variables!$B$13),""))</f>
        <v>46097</v>
      </c>
      <c r="AH982" s="13">
        <f>IF($AX982="Cancelled","",IFERROR(IF(AB982="","",(AVERAGE(E982:F982)-AB982)-Variables!$B$14),""))</f>
        <v>-102</v>
      </c>
      <c r="AJ982" s="47">
        <v>46192</v>
      </c>
      <c r="AK982" s="14">
        <f>IF($AX982="Cancelled","",IFERROR(IF(AJ982="","",IF(AND(AB982="",AF982=""),"",IF(AF982&gt;AB982,AF982+Variables!$B$15+Variables!$B$16+Variables!$B$17-AJ982,AB982+Variables!$B$16+Variables!$B$17-AJ982))),""))</f>
        <v>12</v>
      </c>
      <c r="AL982" s="48" t="s">
        <v>114</v>
      </c>
      <c r="AM982" s="13" t="s">
        <v>115</v>
      </c>
      <c r="AN982" s="13" t="s">
        <v>2405</v>
      </c>
      <c r="AP982" s="39">
        <v>46212</v>
      </c>
      <c r="AR982" s="13" t="s">
        <v>2506</v>
      </c>
      <c r="AS982" s="31">
        <v>46212</v>
      </c>
      <c r="AU982" s="31">
        <v>46251</v>
      </c>
      <c r="AV982" s="13" t="s">
        <v>865</v>
      </c>
      <c r="AW982" s="31">
        <v>46251</v>
      </c>
      <c r="AX982" s="13" t="str">
        <f>IF(ISNUMBER(SEARCH("cancel",#REF!)),"Cancelled",IF(AND(AS982&lt;&gt;"",AU982&lt;&gt;"",AW982&lt;&gt;""),"Closed","Open"))</f>
        <v>Closed</v>
      </c>
      <c r="AY982" s="15" t="str">
        <f t="shared" si="46"/>
        <v>All dates received</v>
      </c>
      <c r="BD982" s="13">
        <f>IF($AX982="Cancelled","",IFERROR(IF(OR(AS982="",AJ982=""),"",(AJ982+Variables!$B$18-AS982)),""))</f>
        <v>-5</v>
      </c>
      <c r="BE982" s="13">
        <f>IF($AX982="Cancelled","",IFERROR(IF(OR(AW982="",AS982=""),"",(AS982+Variables!$B$19)-AW982),""))</f>
        <v>-34</v>
      </c>
      <c r="BF982" s="44">
        <f>IF($AX982="Cancelled","",IFERROR(W982*INDEX(Variables!$B$7:$D$7,IFERROR(MATCH(IF($B982="Robusta","Robusta",(IF($B982="","Arabica",$B982))&amp;" - "&amp;(IF($C982="","Commercial",$C982))),Variables!$B$1:$D$1,0),1))*(BE982/365),""))</f>
        <v>-3875.519583255983</v>
      </c>
      <c r="BG982" s="44">
        <f>IF($AX982="Cancelled","",IFERROR((W982*INDEX(Variables!$B$7:$D$7,IFERROR(MATCH(IF($B982="Robusta","Robusta",(IF($B982="","Arabica",$B982))&amp;" - "&amp;(IF($C982="","Commercial",$C982))),Variables!$B$1:$D$1,0),1))*IFERROR(IF(AB982="","",(AVERAGE(E982:F982)-AB982)-Variables!$B$14),"")/365)+(L982/16.67*INDEX(Variables!$B$8:$D$8,IFERROR(MATCH(IF($B982="Robusta","Robusta",(IF($B982="","Arabica",$B982))&amp;" - "&amp;(IF($C982="","Commercial",$C982))),Variables!$B$1:$D$1,0),1))*IFERROR(IF(AB982="","",(AVERAGE(E982:F982)-AB982)-Variables!$B$14),""))+(W982*INDEX(Variables!$B$9:$D$9,IFERROR(MATCH(IF($B982="Robusta","Robusta",(IF($B982="","Arabica",$B982))&amp;" - "&amp;(IF($C982="","Commercial",$C982))),Variables!$B$1:$D$1,0),1))*IFERROR(IF(AB982="","",(AVERAGE(E982:F982)-AB982)-Variables!$B$14),"")/365),""))</f>
        <v>-19120.447529751917</v>
      </c>
      <c r="BH982" s="44">
        <f>IF($AX982="Cancelled","",IFERROR((W982*INDEX(Variables!$B$7:$D$7,IFERROR(MATCH(IF($B982="Robusta","Robusta",(IF($B982="","Arabica",$B982))&amp;" - "&amp;(IF($C982="","Commercial",$C982))),Variables!$B$1:$D$1,0),1))*AK982/365)+(L982/16.67*INDEX(Variables!$B$8:$D$8,IFERROR(MATCH(IF($B982="Robusta","Robusta",(IF($B982="","Arabica",$B982))&amp;" - "&amp;(IF($C982="","Commercial",$C982))),Variables!$B$1:$D$1,0),1))*AK982)+(W982*INDEX(Variables!$B$9:$D$9,IFERROR(MATCH(IF($B982="Robusta","Robusta",(IF($B982="","Arabica",$B982))&amp;" - "&amp;(IF($C982="","Commercial",$C982))),Variables!$B$1:$D$1,0),1))*AK982/365),""))</f>
        <v>2249.4644152649316</v>
      </c>
      <c r="BI982" s="44">
        <f>IF($AX982="Cancelled","",IFERROR((W982*INDEX(Variables!$B$7:$D$7,IFERROR(MATCH(IF($B982="Robusta","Robusta",(IF($B982="","Arabica",$B982))&amp;" - "&amp;(IF($C982="","Commercial",$C982))),Variables!$B$1:$D$1,0),1))*BD982/365)+(L982/16.67*INDEX(Variables!$B$8:$D$8,IFERROR(MATCH(IF($B982="Robusta","Robusta",(IF($B982="","Arabica",$B982))&amp;" - "&amp;(IF($C982="","Commercial",$C982))),Variables!$B$1:$D$1,0),1))*BD982)+(W982*INDEX(Variables!$B$9:$D$9,IFERROR(MATCH(IF($B982="Robusta","Robusta",(IF($B982="","Arabica",$B982))&amp;" - "&amp;(IF($C982="","Commercial",$C982))),Variables!$B$1:$D$1,0),1))*BD982/365),""))</f>
        <v>-937.2768396937214</v>
      </c>
      <c r="BJ982" s="44">
        <f t="shared" si="48"/>
        <v>-100</v>
      </c>
      <c r="BK982" s="44">
        <f>IF($AX982="Cancelled","",IFERROR(IF(BJ982="","",(W982*INDEX(Variables!$B$7:$D$7,IFERROR(MATCH(IF($B982="Robusta","Robusta",(IF($B982="","Arabica",$B982))&amp;" - "&amp;(IF($C982="","Commercial",$C982))),Variables!$B$1:$D$1,0),1))*(BJ982/365))+(W982*INDEX(Variables!$B$9:$D$9,IFERROR(MATCH(IF($B982="Robusta","Robusta",(IF($B982="","Arabica",$B982))&amp;" - "&amp;(IF($C982="","Commercial",$C982))),Variables!$B$1:$D$1,0),1))*(BJ982/365))+(INDEX(Variables!$B$8:$D$8,IFERROR(MATCH(IF($B982="Robusta","Robusta",(IF($B982="","Arabica",$B982))&amp;" - "&amp;(IF($C982="","Commercial",$C982))),Variables!$B$1:$D$1,0),1))*L982/16.67)),""))</f>
        <v>-11473.536793874426</v>
      </c>
    </row>
    <row r="983" spans="1:63">
      <c r="A983" s="13" t="s">
        <v>103</v>
      </c>
      <c r="B983" s="13" t="s">
        <v>104</v>
      </c>
      <c r="C983" s="13" t="s">
        <v>105</v>
      </c>
      <c r="D983" s="31">
        <v>46090</v>
      </c>
      <c r="E983" s="31">
        <v>46113</v>
      </c>
      <c r="F983" s="31">
        <v>46142</v>
      </c>
      <c r="G983" s="13">
        <v>3787410</v>
      </c>
      <c r="J983" s="13" t="s">
        <v>118</v>
      </c>
      <c r="M983" s="13">
        <v>0</v>
      </c>
      <c r="N983" s="13" t="s">
        <v>467</v>
      </c>
      <c r="P983" s="13">
        <v>0</v>
      </c>
      <c r="R983" s="13" t="s">
        <v>467</v>
      </c>
      <c r="S983" s="13" t="s">
        <v>467</v>
      </c>
      <c r="T983" s="13" t="s">
        <v>467</v>
      </c>
      <c r="U983" s="13" t="s">
        <v>467</v>
      </c>
      <c r="W983" s="44">
        <f>IF($AX983="Cancelled","",IFERROR(((V983+INDEX(Variables!$B$6:$D$6,IFERROR(MATCH(IF($B983="Robusta","Robusta",(IF($B983="","Arabica",$B983))&amp;" - "&amp;(IF($C983="","Commercial",$C983))),Variables!$B$1:$D$1,0),1)))*22.0462)*(L983/16.67),""))</f>
        <v>0</v>
      </c>
      <c r="Y983" s="13" t="str">
        <f>IF($AX983="Cancelled","",IF(X983="","",IFERROR(IF(INDEX(Variables!$B$38:$B$47,MATCH(X983,Variables!$A$38:$A$47,0))="Yes","Yes","No"),"No")))</f>
        <v/>
      </c>
      <c r="Z983" s="31">
        <v>46090</v>
      </c>
      <c r="AB983" s="31">
        <v>46090</v>
      </c>
      <c r="AC983" s="13" t="str">
        <f t="shared" si="47"/>
        <v>Approved</v>
      </c>
      <c r="AD983" s="31">
        <v>46090</v>
      </c>
      <c r="AF983" s="71">
        <v>46090</v>
      </c>
      <c r="AG983" s="37">
        <f>IF($AX983="Cancelled","",IFERROR(IF(F983="","",F983-Variables!$B$13),""))</f>
        <v>46127</v>
      </c>
      <c r="AH983" s="13">
        <f>IF($AX983="Cancelled","",IFERROR(IF(AB983="","",(AVERAGE(E983:F983)-AB983)-Variables!$B$14),""))</f>
        <v>7.5</v>
      </c>
      <c r="AI983" s="13">
        <v>46090</v>
      </c>
      <c r="AJ983" s="47">
        <v>46090</v>
      </c>
      <c r="AK983" s="14">
        <f>IF($AX983="Cancelled","",IFERROR(IF(AJ983="","",IF(AND(AB983="",AF983=""),"",IF(AF983&gt;AB983,AF983+Variables!$B$15+Variables!$B$16+Variables!$B$17-AJ983,AB983+Variables!$B$16+Variables!$B$17-AJ983))),""))</f>
        <v>8</v>
      </c>
      <c r="AL983" s="48" t="s">
        <v>114</v>
      </c>
      <c r="AM983" s="13" t="s">
        <v>467</v>
      </c>
      <c r="AN983" s="13" t="s">
        <v>467</v>
      </c>
      <c r="AO983" s="31">
        <v>46090</v>
      </c>
      <c r="AP983" s="39">
        <v>46090</v>
      </c>
      <c r="AQ983" s="31">
        <v>46090</v>
      </c>
      <c r="AR983" s="13" t="s">
        <v>467</v>
      </c>
      <c r="AS983" s="31">
        <v>46090</v>
      </c>
      <c r="AU983" s="31">
        <v>46090</v>
      </c>
      <c r="AV983" s="13" t="s">
        <v>467</v>
      </c>
      <c r="AW983" s="31">
        <v>46090</v>
      </c>
      <c r="AX983" s="13" t="str">
        <f>IF(ISNUMBER(SEARCH("cancel",#REF!)),"Cancelled",IF(AND(AS983&lt;&gt;"",AU983&lt;&gt;"",AW983&lt;&gt;""),"Closed","Open"))</f>
        <v>Closed</v>
      </c>
      <c r="AY983" s="15" t="str">
        <f t="shared" si="46"/>
        <v>All dates received</v>
      </c>
      <c r="BD983" s="13">
        <f>IF($AX983="Cancelled","",IFERROR(IF(OR(AS983="",AJ983=""),"",(AJ983+Variables!$B$18-AS983)),""))</f>
        <v>15</v>
      </c>
      <c r="BE983" s="13">
        <f>IF($AX983="Cancelled","",IFERROR(IF(OR(AW983="",AS983=""),"",(AS983+Variables!$B$19)-AW983),""))</f>
        <v>5</v>
      </c>
      <c r="BF983" s="44">
        <f>IF($AX983="Cancelled","",IFERROR(W983*INDEX(Variables!$B$7:$D$7,IFERROR(MATCH(IF($B983="Robusta","Robusta",(IF($B983="","Arabica",$B983))&amp;" - "&amp;(IF($C983="","Commercial",$C983))),Variables!$B$1:$D$1,0),1))*(BE983/365),""))</f>
        <v>0</v>
      </c>
      <c r="BG983" s="44">
        <f>IF($AX983="Cancelled","",IFERROR((W983*INDEX(Variables!$B$7:$D$7,IFERROR(MATCH(IF($B983="Robusta","Robusta",(IF($B983="","Arabica",$B983))&amp;" - "&amp;(IF($C983="","Commercial",$C983))),Variables!$B$1:$D$1,0),1))*IFERROR(IF(AB983="","",(AVERAGE(E983:F983)-AB983)-Variables!$B$14),"")/365)+(L983/16.67*INDEX(Variables!$B$8:$D$8,IFERROR(MATCH(IF($B983="Robusta","Robusta",(IF($B983="","Arabica",$B983))&amp;" - "&amp;(IF($C983="","Commercial",$C983))),Variables!$B$1:$D$1,0),1))*IFERROR(IF(AB983="","",(AVERAGE(E983:F983)-AB983)-Variables!$B$14),""))+(W983*INDEX(Variables!$B$9:$D$9,IFERROR(MATCH(IF($B983="Robusta","Robusta",(IF($B983="","Arabica",$B983))&amp;" - "&amp;(IF($C983="","Commercial",$C983))),Variables!$B$1:$D$1,0),1))*IFERROR(IF(AB983="","",(AVERAGE(E983:F983)-AB983)-Variables!$B$14),"")/365),""))</f>
        <v>0</v>
      </c>
      <c r="BH983" s="44">
        <f>IF($AX983="Cancelled","",IFERROR((W983*INDEX(Variables!$B$7:$D$7,IFERROR(MATCH(IF($B983="Robusta","Robusta",(IF($B983="","Arabica",$B983))&amp;" - "&amp;(IF($C983="","Commercial",$C983))),Variables!$B$1:$D$1,0),1))*AK983/365)+(L983/16.67*INDEX(Variables!$B$8:$D$8,IFERROR(MATCH(IF($B983="Robusta","Robusta",(IF($B983="","Arabica",$B983))&amp;" - "&amp;(IF($C983="","Commercial",$C983))),Variables!$B$1:$D$1,0),1))*AK983)+(W983*INDEX(Variables!$B$9:$D$9,IFERROR(MATCH(IF($B983="Robusta","Robusta",(IF($B983="","Arabica",$B983))&amp;" - "&amp;(IF($C983="","Commercial",$C983))),Variables!$B$1:$D$1,0),1))*AK983/365),""))</f>
        <v>0</v>
      </c>
      <c r="BI983" s="44">
        <f>IF($AX983="Cancelled","",IFERROR((W983*INDEX(Variables!$B$7:$D$7,IFERROR(MATCH(IF($B983="Robusta","Robusta",(IF($B983="","Arabica",$B983))&amp;" - "&amp;(IF($C983="","Commercial",$C983))),Variables!$B$1:$D$1,0),1))*BD983/365)+(L983/16.67*INDEX(Variables!$B$8:$D$8,IFERROR(MATCH(IF($B983="Robusta","Robusta",(IF($B983="","Arabica",$B983))&amp;" - "&amp;(IF($C983="","Commercial",$C983))),Variables!$B$1:$D$1,0),1))*BD983)+(W983*INDEX(Variables!$B$9:$D$9,IFERROR(MATCH(IF($B983="Robusta","Robusta",(IF($B983="","Arabica",$B983))&amp;" - "&amp;(IF($C983="","Commercial",$C983))),Variables!$B$1:$D$1,0),1))*BD983/365),""))</f>
        <v>0</v>
      </c>
      <c r="BJ983" s="44">
        <f t="shared" si="48"/>
        <v>52</v>
      </c>
      <c r="BK983" s="44">
        <f>IF($AX983="Cancelled","",IFERROR(IF(BJ983="","",(W983*INDEX(Variables!$B$7:$D$7,IFERROR(MATCH(IF($B983="Robusta","Robusta",(IF($B983="","Arabica",$B983))&amp;" - "&amp;(IF($C983="","Commercial",$C983))),Variables!$B$1:$D$1,0),1))*(BJ983/365))+(W983*INDEX(Variables!$B$9:$D$9,IFERROR(MATCH(IF($B983="Robusta","Robusta",(IF($B983="","Arabica",$B983))&amp;" - "&amp;(IF($C983="","Commercial",$C983))),Variables!$B$1:$D$1,0),1))*(BJ983/365))+(INDEX(Variables!$B$8:$D$8,IFERROR(MATCH(IF($B983="Robusta","Robusta",(IF($B983="","Arabica",$B983))&amp;" - "&amp;(IF($C983="","Commercial",$C983))),Variables!$B$1:$D$1,0),1))*L983/16.67)),""))</f>
        <v>0</v>
      </c>
    </row>
    <row r="984" spans="1:63">
      <c r="A984" s="13" t="s">
        <v>103</v>
      </c>
      <c r="B984" s="13" t="s">
        <v>104</v>
      </c>
      <c r="C984" s="13" t="s">
        <v>105</v>
      </c>
      <c r="D984" s="31">
        <v>46091</v>
      </c>
      <c r="E984" s="31">
        <v>46113</v>
      </c>
      <c r="F984" s="31">
        <v>46142</v>
      </c>
      <c r="G984" s="13">
        <v>3787411</v>
      </c>
      <c r="J984" s="13" t="s">
        <v>506</v>
      </c>
      <c r="K984" s="13" t="s">
        <v>2507</v>
      </c>
      <c r="L984" s="13">
        <v>200</v>
      </c>
      <c r="M984" s="13">
        <v>0</v>
      </c>
      <c r="N984" s="13" t="s">
        <v>2508</v>
      </c>
      <c r="O984" s="13">
        <v>10070</v>
      </c>
      <c r="P984" s="13">
        <v>10070</v>
      </c>
      <c r="R984" s="13" t="s">
        <v>239</v>
      </c>
      <c r="S984" s="13" t="s">
        <v>509</v>
      </c>
      <c r="T984" s="13" t="s">
        <v>329</v>
      </c>
      <c r="U984" s="13" t="s">
        <v>330</v>
      </c>
      <c r="V984" s="23">
        <v>32</v>
      </c>
      <c r="W984" s="44">
        <f>IF($AX984="Cancelled","",IFERROR(((V984+INDEX(Variables!$B$6:$D$6,IFERROR(MATCH(IF($B984="Robusta","Robusta",(IF($B984="","Arabica",$B984))&amp;" - "&amp;(IF($C984="","Commercial",$C984))),Variables!$B$1:$D$1,0),1)))*22.0462)*(L984/16.67),""))</f>
        <v>85381.084103179353</v>
      </c>
      <c r="X984" s="55" t="s">
        <v>37</v>
      </c>
      <c r="Y984" s="13" t="str">
        <f>IF($AX984="Cancelled","",IF(X984="","",IFERROR(IF(INDEX(Variables!$B$38:$B$47,MATCH(X984,Variables!$A$38:$A$47,0))="Yes","Yes","No"),"No")))</f>
        <v>Yes</v>
      </c>
      <c r="Z984" s="58">
        <v>46099</v>
      </c>
      <c r="AB984" s="31">
        <v>46107</v>
      </c>
      <c r="AC984" s="13" t="str">
        <f t="shared" si="47"/>
        <v>Approved</v>
      </c>
      <c r="AF984" s="71">
        <v>46134</v>
      </c>
      <c r="AG984" s="37">
        <f>IF($AX984="Cancelled","",IFERROR(IF(F984="","",F984-Variables!$B$13),""))</f>
        <v>46127</v>
      </c>
      <c r="AH984" s="13">
        <f>IF($AX984="Cancelled","",IFERROR(IF(AB984="","",(AVERAGE(E984:F984)-AB984)-Variables!$B$14),""))</f>
        <v>-9.5</v>
      </c>
      <c r="AJ984" s="47">
        <v>46136</v>
      </c>
      <c r="AK984" s="14">
        <f>IF($AX984="Cancelled","",IFERROR(IF(AJ984="","",IF(AND(AB984="",AF984=""),"",IF(AF984&gt;AB984,AF984+Variables!$B$15+Variables!$B$16+Variables!$B$17-AJ984,AB984+Variables!$B$16+Variables!$B$17-AJ984))),""))</f>
        <v>13</v>
      </c>
      <c r="AL984" s="48" t="s">
        <v>114</v>
      </c>
      <c r="AM984" s="13" t="s">
        <v>115</v>
      </c>
      <c r="AN984" s="13" t="s">
        <v>2287</v>
      </c>
      <c r="AP984" s="39">
        <v>46160</v>
      </c>
      <c r="AR984" s="13">
        <v>269584125</v>
      </c>
      <c r="AS984" s="31">
        <v>46160</v>
      </c>
      <c r="AU984" s="31">
        <v>46174</v>
      </c>
      <c r="AV984" s="13" t="s">
        <v>8</v>
      </c>
      <c r="AW984" s="31">
        <v>46174</v>
      </c>
      <c r="AX984" s="13" t="str">
        <f>IF(ISNUMBER(SEARCH("cancel",#REF!)),"Cancelled",IF(AND(AS984&lt;&gt;"",AU984&lt;&gt;"",AW984&lt;&gt;""),"Closed","Open"))</f>
        <v>Closed</v>
      </c>
      <c r="AY984" s="15" t="str">
        <f t="shared" si="46"/>
        <v>All dates received</v>
      </c>
      <c r="BD984" s="13">
        <f>IF($AX984="Cancelled","",IFERROR(IF(OR(AS984="",AJ984=""),"",(AJ984+Variables!$B$18-AS984)),""))</f>
        <v>-9</v>
      </c>
      <c r="BE984" s="13">
        <f>IF($AX984="Cancelled","",IFERROR(IF(OR(AW984="",AS984=""),"",(AS984+Variables!$B$19)-AW984),""))</f>
        <v>-9</v>
      </c>
      <c r="BF984" s="44">
        <f>IF($AX984="Cancelled","",IFERROR(W984*INDEX(Variables!$B$7:$D$7,IFERROR(MATCH(IF($B984="Robusta","Robusta",(IF($B984="","Arabica",$B984))&amp;" - "&amp;(IF($C984="","Commercial",$C984))),Variables!$B$1:$D$1,0),1))*(BE984/365),""))</f>
        <v>-135.75353773211583</v>
      </c>
      <c r="BG984" s="44">
        <f>IF($AX984="Cancelled","",IFERROR((W984*INDEX(Variables!$B$7:$D$7,IFERROR(MATCH(IF($B984="Robusta","Robusta",(IF($B984="","Arabica",$B984))&amp;" - "&amp;(IF($C984="","Commercial",$C984))),Variables!$B$1:$D$1,0),1))*IFERROR(IF(AB984="","",(AVERAGE(E984:F984)-AB984)-Variables!$B$14),"")/365)+(L984/16.67*INDEX(Variables!$B$8:$D$8,IFERROR(MATCH(IF($B984="Robusta","Robusta",(IF($B984="","Arabica",$B984))&amp;" - "&amp;(IF($C984="","Commercial",$C984))),Variables!$B$1:$D$1,0),1))*IFERROR(IF(AB984="","",(AVERAGE(E984:F984)-AB984)-Variables!$B$14),""))+(W984*INDEX(Variables!$B$9:$D$9,IFERROR(MATCH(IF($B984="Robusta","Robusta",(IF($B984="","Arabica",$B984))&amp;" - "&amp;(IF($C984="","Commercial",$C984))),Variables!$B$1:$D$1,0),1))*IFERROR(IF(AB984="","",(AVERAGE(E984:F984)-AB984)-Variables!$B$14),"")/365),""))</f>
        <v>-240.14275519847547</v>
      </c>
      <c r="BH984" s="44">
        <f>IF($AX984="Cancelled","",IFERROR((W984*INDEX(Variables!$B$7:$D$7,IFERROR(MATCH(IF($B984="Robusta","Robusta",(IF($B984="","Arabica",$B984))&amp;" - "&amp;(IF($C984="","Commercial",$C984))),Variables!$B$1:$D$1,0),1))*AK984/365)+(L984/16.67*INDEX(Variables!$B$8:$D$8,IFERROR(MATCH(IF($B984="Robusta","Robusta",(IF($B984="","Arabica",$B984))&amp;" - "&amp;(IF($C984="","Commercial",$C984))),Variables!$B$1:$D$1,0),1))*AK984)+(W984*INDEX(Variables!$B$9:$D$9,IFERROR(MATCH(IF($B984="Robusta","Robusta",(IF($B984="","Arabica",$B984))&amp;" - "&amp;(IF($C984="","Commercial",$C984))),Variables!$B$1:$D$1,0),1))*AK984/365),""))</f>
        <v>328.6164018505454</v>
      </c>
      <c r="BI984" s="44">
        <f>IF($AX984="Cancelled","",IFERROR((W984*INDEX(Variables!$B$7:$D$7,IFERROR(MATCH(IF($B984="Robusta","Robusta",(IF($B984="","Arabica",$B984))&amp;" - "&amp;(IF($C984="","Commercial",$C984))),Variables!$B$1:$D$1,0),1))*BD984/365)+(L984/16.67*INDEX(Variables!$B$8:$D$8,IFERROR(MATCH(IF($B984="Robusta","Robusta",(IF($B984="","Arabica",$B984))&amp;" - "&amp;(IF($C984="","Commercial",$C984))),Variables!$B$1:$D$1,0),1))*BD984)+(W984*INDEX(Variables!$B$9:$D$9,IFERROR(MATCH(IF($B984="Robusta","Robusta",(IF($B984="","Arabica",$B984))&amp;" - "&amp;(IF($C984="","Commercial",$C984))),Variables!$B$1:$D$1,0),1))*BD984/365),""))</f>
        <v>-227.50366281960831</v>
      </c>
      <c r="BJ984" s="44">
        <f t="shared" si="48"/>
        <v>-18</v>
      </c>
      <c r="BK984" s="44">
        <f>IF($AX984="Cancelled","",IFERROR(IF(BJ984="","",(W984*INDEX(Variables!$B$7:$D$7,IFERROR(MATCH(IF($B984="Robusta","Robusta",(IF($B984="","Arabica",$B984))&amp;" - "&amp;(IF($C984="","Commercial",$C984))),Variables!$B$1:$D$1,0),1))*(BJ984/365))+(W984*INDEX(Variables!$B$9:$D$9,IFERROR(MATCH(IF($B984="Robusta","Robusta",(IF($B984="","Arabica",$B984))&amp;" - "&amp;(IF($C984="","Commercial",$C984))),Variables!$B$1:$D$1,0),1))*(BJ984/365))+(INDEX(Variables!$B$8:$D$8,IFERROR(MATCH(IF($B984="Robusta","Robusta",(IF($B984="","Arabica",$B984))&amp;" - "&amp;(IF($C984="","Commercial",$C984))),Variables!$B$1:$D$1,0),1))*L984/16.67)),""))</f>
        <v>-265.00732563921662</v>
      </c>
    </row>
    <row r="985" spans="1:63">
      <c r="A985" s="13" t="s">
        <v>103</v>
      </c>
      <c r="B985" s="13" t="s">
        <v>104</v>
      </c>
      <c r="C985" s="13" t="s">
        <v>105</v>
      </c>
      <c r="D985" s="31">
        <v>46091</v>
      </c>
      <c r="E985" s="31">
        <v>46113</v>
      </c>
      <c r="F985" s="31">
        <v>46142</v>
      </c>
      <c r="G985" s="13">
        <v>3787412</v>
      </c>
      <c r="J985" s="13" t="s">
        <v>118</v>
      </c>
      <c r="K985" s="13">
        <v>5512</v>
      </c>
      <c r="L985" s="13">
        <v>1800</v>
      </c>
      <c r="M985" s="13">
        <v>5</v>
      </c>
      <c r="N985" s="13" t="s">
        <v>2094</v>
      </c>
      <c r="O985" s="13" t="s">
        <v>2095</v>
      </c>
      <c r="P985" s="13">
        <v>10077</v>
      </c>
      <c r="R985" s="13" t="s">
        <v>122</v>
      </c>
      <c r="S985" s="13" t="s">
        <v>154</v>
      </c>
      <c r="T985" s="13" t="s">
        <v>155</v>
      </c>
      <c r="U985" s="13" t="s">
        <v>125</v>
      </c>
      <c r="V985" s="23">
        <v>-11</v>
      </c>
      <c r="W985" s="44">
        <f>IF($AX985="Cancelled","",IFERROR(((V985+INDEX(Variables!$B$6:$D$6,IFERROR(MATCH(IF($B985="Robusta","Robusta",(IF($B985="","Arabica",$B985))&amp;" - "&amp;(IF($C985="","Commercial",$C985))),Variables!$B$1:$D$1,0),1)))*22.0462)*(L985/16.67),""))</f>
        <v>666067.67654469097</v>
      </c>
      <c r="X985" s="55" t="s">
        <v>37</v>
      </c>
      <c r="Y985" s="13" t="str">
        <f>IF($AX985="Cancelled","",IF(X985="","",IFERROR(IF(INDEX(Variables!$B$38:$B$47,MATCH(X985,Variables!$A$38:$A$47,0))="Yes","Yes","No"),"No")))</f>
        <v>Yes</v>
      </c>
      <c r="Z985" s="58">
        <v>46094</v>
      </c>
      <c r="AB985" s="31">
        <v>46101</v>
      </c>
      <c r="AC985" s="13" t="str">
        <f t="shared" si="47"/>
        <v>Approved</v>
      </c>
      <c r="AF985" s="71">
        <v>46158</v>
      </c>
      <c r="AG985" s="37">
        <f>IF($AX985="Cancelled","",IFERROR(IF(F985="","",F985-Variables!$B$13),""))</f>
        <v>46127</v>
      </c>
      <c r="AH985" s="13">
        <f>IF($AX985="Cancelled","",IFERROR(IF(AB985="","",(AVERAGE(E985:F985)-AB985)-Variables!$B$14),""))</f>
        <v>-3.5</v>
      </c>
      <c r="AJ985" s="47">
        <v>46158</v>
      </c>
      <c r="AK985" s="14">
        <f>IF($AX985="Cancelled","",IFERROR(IF(AJ985="","",IF(AND(AB985="",AF985=""),"",IF(AF985&gt;AB985,AF985+Variables!$B$15+Variables!$B$16+Variables!$B$17-AJ985,AB985+Variables!$B$16+Variables!$B$17-AJ985))),""))</f>
        <v>15</v>
      </c>
      <c r="AL985" s="48" t="s">
        <v>114</v>
      </c>
      <c r="AM985" s="13" t="s">
        <v>168</v>
      </c>
      <c r="AN985" s="13" t="s">
        <v>2261</v>
      </c>
      <c r="AP985" s="39">
        <v>46176</v>
      </c>
      <c r="AR985" s="13" t="s">
        <v>2509</v>
      </c>
      <c r="AS985" s="31">
        <v>46176</v>
      </c>
      <c r="AU985" s="31">
        <v>46184</v>
      </c>
      <c r="AV985" s="13" t="e">
        <v>#REF!</v>
      </c>
      <c r="AW985" s="31">
        <v>46184</v>
      </c>
      <c r="AX985" s="13" t="str">
        <f>IF(ISNUMBER(SEARCH("cancel",#REF!)),"Cancelled",IF(AND(AS985&lt;&gt;"",AU985&lt;&gt;"",AW985&lt;&gt;""),"Closed","Open"))</f>
        <v>Closed</v>
      </c>
      <c r="AY985" s="15" t="str">
        <f t="shared" si="46"/>
        <v>All dates received</v>
      </c>
      <c r="BD985" s="13">
        <f>IF($AX985="Cancelled","",IFERROR(IF(OR(AS985="",AJ985=""),"",(AJ985+Variables!$B$18-AS985)),""))</f>
        <v>-3</v>
      </c>
      <c r="BE985" s="13">
        <f>IF($AX985="Cancelled","",IFERROR(IF(OR(AW985="",AS985=""),"",(AS985+Variables!$B$19)-AW985),""))</f>
        <v>-3</v>
      </c>
      <c r="BF985" s="44">
        <f>IF($AX985="Cancelled","",IFERROR(W985*INDEX(Variables!$B$7:$D$7,IFERROR(MATCH(IF($B985="Robusta","Robusta",(IF($B985="","Arabica",$B985))&amp;" - "&amp;(IF($C985="","Commercial",$C985))),Variables!$B$1:$D$1,0),1))*(BE985/365),""))</f>
        <v>-353.00966410265806</v>
      </c>
      <c r="BG985" s="44">
        <f>IF($AX985="Cancelled","",IFERROR((W985*INDEX(Variables!$B$7:$D$7,IFERROR(MATCH(IF($B985="Robusta","Robusta",(IF($B985="","Arabica",$B985))&amp;" - "&amp;(IF($C985="","Commercial",$C985))),Variables!$B$1:$D$1,0),1))*IFERROR(IF(AB985="","",(AVERAGE(E985:F985)-AB985)-Variables!$B$14),"")/365)+(L985/16.67*INDEX(Variables!$B$8:$D$8,IFERROR(MATCH(IF($B985="Robusta","Robusta",(IF($B985="","Arabica",$B985))&amp;" - "&amp;(IF($C985="","Commercial",$C985))),Variables!$B$1:$D$1,0),1))*IFERROR(IF(AB985="","",(AVERAGE(E985:F985)-AB985)-Variables!$B$14),""))+(W985*INDEX(Variables!$B$9:$D$9,IFERROR(MATCH(IF($B985="Robusta","Robusta",(IF($B985="","Arabica",$B985))&amp;" - "&amp;(IF($C985="","Commercial",$C985))),Variables!$B$1:$D$1,0),1))*IFERROR(IF(AB985="","",(AVERAGE(E985:F985)-AB985)-Variables!$B$14),"")/365),""))</f>
        <v>-732.1540799233037</v>
      </c>
      <c r="BH985" s="44">
        <f>IF($AX985="Cancelled","",IFERROR((W985*INDEX(Variables!$B$7:$D$7,IFERROR(MATCH(IF($B985="Robusta","Robusta",(IF($B985="","Arabica",$B985))&amp;" - "&amp;(IF($C985="","Commercial",$C985))),Variables!$B$1:$D$1,0),1))*AK985/365)+(L985/16.67*INDEX(Variables!$B$8:$D$8,IFERROR(MATCH(IF($B985="Robusta","Robusta",(IF($B985="","Arabica",$B985))&amp;" - "&amp;(IF($C985="","Commercial",$C985))),Variables!$B$1:$D$1,0),1))*AK985)+(W985*INDEX(Variables!$B$9:$D$9,IFERROR(MATCH(IF($B985="Robusta","Robusta",(IF($B985="","Arabica",$B985))&amp;" - "&amp;(IF($C985="","Commercial",$C985))),Variables!$B$1:$D$1,0),1))*AK985/365),""))</f>
        <v>3137.8031996713016</v>
      </c>
      <c r="BI985" s="44">
        <f>IF($AX985="Cancelled","",IFERROR((W985*INDEX(Variables!$B$7:$D$7,IFERROR(MATCH(IF($B985="Robusta","Robusta",(IF($B985="","Arabica",$B985))&amp;" - "&amp;(IF($C985="","Commercial",$C985))),Variables!$B$1:$D$1,0),1))*BD985/365)+(L985/16.67*INDEX(Variables!$B$8:$D$8,IFERROR(MATCH(IF($B985="Robusta","Robusta",(IF($B985="","Arabica",$B985))&amp;" - "&amp;(IF($C985="","Commercial",$C985))),Variables!$B$1:$D$1,0),1))*BD985)+(W985*INDEX(Variables!$B$9:$D$9,IFERROR(MATCH(IF($B985="Robusta","Robusta",(IF($B985="","Arabica",$B985))&amp;" - "&amp;(IF($C985="","Commercial",$C985))),Variables!$B$1:$D$1,0),1))*BD985/365),""))</f>
        <v>-627.56063993426028</v>
      </c>
      <c r="BJ985" s="44">
        <f t="shared" si="48"/>
        <v>-34</v>
      </c>
      <c r="BK985" s="44">
        <f>IF($AX985="Cancelled","",IFERROR(IF(BJ985="","",(W985*INDEX(Variables!$B$7:$D$7,IFERROR(MATCH(IF($B985="Robusta","Robusta",(IF($B985="","Arabica",$B985))&amp;" - "&amp;(IF($C985="","Commercial",$C985))),Variables!$B$1:$D$1,0),1))*(BJ985/365))+(W985*INDEX(Variables!$B$9:$D$9,IFERROR(MATCH(IF($B985="Robusta","Robusta",(IF($B985="","Arabica",$B985))&amp;" - "&amp;(IF($C985="","Commercial",$C985))),Variables!$B$1:$D$1,0),1))*(BJ985/365))+(INDEX(Variables!$B$8:$D$8,IFERROR(MATCH(IF($B985="Robusta","Robusta",(IF($B985="","Arabica",$B985))&amp;" - "&amp;(IF($C985="","Commercial",$C985))),Variables!$B$1:$D$1,0),1))*L985/16.67)),""))</f>
        <v>-3962.3539192549506</v>
      </c>
    </row>
    <row r="986" spans="1:63">
      <c r="A986" s="13" t="s">
        <v>103</v>
      </c>
      <c r="B986" s="13" t="s">
        <v>104</v>
      </c>
      <c r="C986" s="13" t="s">
        <v>105</v>
      </c>
      <c r="D986" s="31">
        <v>46091</v>
      </c>
      <c r="E986" s="31">
        <v>46113</v>
      </c>
      <c r="F986" s="31">
        <v>46142</v>
      </c>
      <c r="G986" s="13">
        <v>3787413</v>
      </c>
      <c r="J986" s="13" t="s">
        <v>2315</v>
      </c>
      <c r="K986" s="13">
        <v>5501</v>
      </c>
      <c r="L986" s="13">
        <v>960</v>
      </c>
      <c r="M986" s="13">
        <v>3</v>
      </c>
      <c r="N986" s="13" t="s">
        <v>2510</v>
      </c>
      <c r="O986" s="13" t="s">
        <v>538</v>
      </c>
      <c r="P986" s="13">
        <v>10080</v>
      </c>
      <c r="R986" s="13" t="s">
        <v>110</v>
      </c>
      <c r="S986" s="13" t="s">
        <v>339</v>
      </c>
      <c r="T986" s="13" t="s">
        <v>340</v>
      </c>
      <c r="U986" s="13" t="s">
        <v>113</v>
      </c>
      <c r="V986" s="23">
        <v>24</v>
      </c>
      <c r="W986" s="44">
        <f>IF($AX986="Cancelled","",IFERROR(((V986+INDEX(Variables!$B$6:$D$6,IFERROR(MATCH(IF($B986="Robusta","Robusta",(IF($B986="","Arabica",$B986))&amp;" - "&amp;(IF($C986="","Commercial",$C986))),Variables!$B$1:$D$1,0),1)))*22.0462)*(L986/16.67),""))</f>
        <v>399672.3461067786</v>
      </c>
      <c r="X986" s="55" t="s">
        <v>37</v>
      </c>
      <c r="Y986" s="13" t="str">
        <f>IF($AX986="Cancelled","",IF(X986="","",IFERROR(IF(INDEX(Variables!$B$38:$B$47,MATCH(X986,Variables!$A$38:$A$47,0))="Yes","Yes","No"),"No")))</f>
        <v>Yes</v>
      </c>
      <c r="Z986" s="58">
        <v>46121</v>
      </c>
      <c r="AB986" s="31">
        <v>46132</v>
      </c>
      <c r="AC986" s="13" t="str">
        <f t="shared" si="47"/>
        <v>Approved</v>
      </c>
      <c r="AF986" s="71">
        <v>46141</v>
      </c>
      <c r="AG986" s="37">
        <f>IF($AX986="Cancelled","",IFERROR(IF(F986="","",F986-Variables!$B$13),""))</f>
        <v>46127</v>
      </c>
      <c r="AH986" s="13">
        <f>IF($AX986="Cancelled","",IFERROR(IF(AB986="","",(AVERAGE(E986:F986)-AB986)-Variables!$B$14),""))</f>
        <v>-34.5</v>
      </c>
      <c r="AJ986" s="47">
        <v>46151</v>
      </c>
      <c r="AK986" s="14">
        <f>IF($AX986="Cancelled","",IFERROR(IF(AJ986="","",IF(AND(AB986="",AF986=""),"",IF(AF986&gt;AB986,AF986+Variables!$B$15+Variables!$B$16+Variables!$B$17-AJ986,AB986+Variables!$B$16+Variables!$B$17-AJ986))),""))</f>
        <v>5</v>
      </c>
      <c r="AL986" s="48" t="s">
        <v>114</v>
      </c>
      <c r="AM986" s="13" t="s">
        <v>1784</v>
      </c>
      <c r="AN986" s="13" t="s">
        <v>2511</v>
      </c>
      <c r="AP986" s="39">
        <v>46171</v>
      </c>
      <c r="AR986" s="13" t="s">
        <v>2512</v>
      </c>
      <c r="AS986" s="31">
        <v>46157</v>
      </c>
      <c r="AU986" s="31">
        <v>46195</v>
      </c>
      <c r="AV986" s="13" t="e">
        <v>#REF!</v>
      </c>
      <c r="AW986" s="31">
        <v>46195</v>
      </c>
      <c r="AX986" s="13" t="str">
        <f>IF(ISNUMBER(SEARCH("cancel",#REF!)),"Cancelled",IF(AND(AS986&lt;&gt;"",AU986&lt;&gt;"",AW986&lt;&gt;""),"Closed","Open"))</f>
        <v>Closed</v>
      </c>
      <c r="AY986" s="15" t="str">
        <f t="shared" si="46"/>
        <v>All dates received</v>
      </c>
      <c r="BD986" s="13">
        <f>IF($AX986="Cancelled","",IFERROR(IF(OR(AS986="",AJ986=""),"",(AJ986+Variables!$B$18-AS986)),""))</f>
        <v>9</v>
      </c>
      <c r="BE986" s="13">
        <f>IF($AX986="Cancelled","",IFERROR(IF(OR(AW986="",AS986=""),"",(AS986+Variables!$B$19)-AW986),""))</f>
        <v>-33</v>
      </c>
      <c r="BF986" s="44">
        <f>IF($AX986="Cancelled","",IFERROR(W986*INDEX(Variables!$B$7:$D$7,IFERROR(MATCH(IF($B986="Robusta","Robusta",(IF($B986="","Arabica",$B986))&amp;" - "&amp;(IF($C986="","Commercial",$C986))),Variables!$B$1:$D$1,0),1))*(BE986/365),""))</f>
        <v>-2330.0488250744525</v>
      </c>
      <c r="BG986" s="44">
        <f>IF($AX986="Cancelled","",IFERROR((W986*INDEX(Variables!$B$7:$D$7,IFERROR(MATCH(IF($B986="Robusta","Robusta",(IF($B986="","Arabica",$B986))&amp;" - "&amp;(IF($C986="","Commercial",$C986))),Variables!$B$1:$D$1,0),1))*IFERROR(IF(AB986="","",(AVERAGE(E986:F986)-AB986)-Variables!$B$14),"")/365)+(L986/16.67*INDEX(Variables!$B$8:$D$8,IFERROR(MATCH(IF($B986="Robusta","Robusta",(IF($B986="","Arabica",$B986))&amp;" - "&amp;(IF($C986="","Commercial",$C986))),Variables!$B$1:$D$1,0),1))*IFERROR(IF(AB986="","",(AVERAGE(E986:F986)-AB986)-Variables!$B$14),""))+(W986*INDEX(Variables!$B$9:$D$9,IFERROR(MATCH(IF($B986="Robusta","Robusta",(IF($B986="","Arabica",$B986))&amp;" - "&amp;(IF($C986="","Commercial",$C986))),Variables!$B$1:$D$1,0),1))*IFERROR(IF(AB986="","",(AVERAGE(E986:F986)-AB986)-Variables!$B$14),"")/365),""))</f>
        <v>-4123.3643625256309</v>
      </c>
      <c r="BH986" s="44">
        <f>IF($AX986="Cancelled","",IFERROR((W986*INDEX(Variables!$B$7:$D$7,IFERROR(MATCH(IF($B986="Robusta","Robusta",(IF($B986="","Arabica",$B986))&amp;" - "&amp;(IF($C986="","Commercial",$C986))),Variables!$B$1:$D$1,0),1))*AK986/365)+(L986/16.67*INDEX(Variables!$B$8:$D$8,IFERROR(MATCH(IF($B986="Robusta","Robusta",(IF($B986="","Arabica",$B986))&amp;" - "&amp;(IF($C986="","Commercial",$C986))),Variables!$B$1:$D$1,0),1))*AK986)+(W986*INDEX(Variables!$B$9:$D$9,IFERROR(MATCH(IF($B986="Robusta","Robusta",(IF($B986="","Arabica",$B986))&amp;" - "&amp;(IF($C986="","Commercial",$C986))),Variables!$B$1:$D$1,0),1))*AK986/365),""))</f>
        <v>597.58903804719296</v>
      </c>
      <c r="BI986" s="44">
        <f>IF($AX986="Cancelled","",IFERROR((W986*INDEX(Variables!$B$7:$D$7,IFERROR(MATCH(IF($B986="Robusta","Robusta",(IF($B986="","Arabica",$B986))&amp;" - "&amp;(IF($C986="","Commercial",$C986))),Variables!$B$1:$D$1,0),1))*BD986/365)+(L986/16.67*INDEX(Variables!$B$8:$D$8,IFERROR(MATCH(IF($B986="Robusta","Robusta",(IF($B986="","Arabica",$B986))&amp;" - "&amp;(IF($C986="","Commercial",$C986))),Variables!$B$1:$D$1,0),1))*BD986)+(W986*INDEX(Variables!$B$9:$D$9,IFERROR(MATCH(IF($B986="Robusta","Robusta",(IF($B986="","Arabica",$B986))&amp;" - "&amp;(IF($C986="","Commercial",$C986))),Variables!$B$1:$D$1,0),1))*BD986/365),""))</f>
        <v>1075.6602684849472</v>
      </c>
      <c r="BJ986" s="44">
        <f t="shared" si="48"/>
        <v>-15</v>
      </c>
      <c r="BK986" s="44">
        <f>IF($AX986="Cancelled","",IFERROR(IF(BJ986="","",(W986*INDEX(Variables!$B$7:$D$7,IFERROR(MATCH(IF($B986="Robusta","Robusta",(IF($B986="","Arabica",$B986))&amp;" - "&amp;(IF($C986="","Commercial",$C986))),Variables!$B$1:$D$1,0),1))*(BJ986/365))+(W986*INDEX(Variables!$B$9:$D$9,IFERROR(MATCH(IF($B986="Robusta","Robusta",(IF($B986="","Arabica",$B986))&amp;" - "&amp;(IF($C986="","Commercial",$C986))),Variables!$B$1:$D$1,0),1))*(BJ986/365))+(INDEX(Variables!$B$8:$D$8,IFERROR(MATCH(IF($B986="Robusta","Robusta",(IF($B986="","Arabica",$B986))&amp;" - "&amp;(IF($C986="","Commercial",$C986))),Variables!$B$1:$D$1,0),1))*L986/16.67)),""))</f>
        <v>-1024.7671141415788</v>
      </c>
    </row>
    <row r="987" spans="1:63">
      <c r="A987" s="13" t="s">
        <v>103</v>
      </c>
      <c r="B987" s="13" t="s">
        <v>104</v>
      </c>
      <c r="C987" s="13" t="s">
        <v>105</v>
      </c>
      <c r="D987" s="31">
        <v>46091</v>
      </c>
      <c r="E987" s="31">
        <v>46143</v>
      </c>
      <c r="F987" s="31">
        <v>46156</v>
      </c>
      <c r="G987" s="13">
        <v>3787414</v>
      </c>
      <c r="J987" s="13" t="s">
        <v>2315</v>
      </c>
      <c r="K987" s="13">
        <v>5565</v>
      </c>
      <c r="L987" s="13">
        <v>960</v>
      </c>
      <c r="M987" s="13">
        <v>3</v>
      </c>
      <c r="N987" s="13" t="s">
        <v>2510</v>
      </c>
      <c r="O987" s="13" t="s">
        <v>538</v>
      </c>
      <c r="P987" s="13">
        <v>10080</v>
      </c>
      <c r="R987" s="13" t="s">
        <v>110</v>
      </c>
      <c r="S987" s="13" t="s">
        <v>339</v>
      </c>
      <c r="T987" s="13" t="s">
        <v>2349</v>
      </c>
      <c r="U987" s="13" t="s">
        <v>113</v>
      </c>
      <c r="V987" s="23">
        <v>24</v>
      </c>
      <c r="W987" s="44">
        <f>IF($AX987="Cancelled","",IFERROR(((V987+INDEX(Variables!$B$6:$D$6,IFERROR(MATCH(IF($B987="Robusta","Robusta",(IF($B987="","Arabica",$B987))&amp;" - "&amp;(IF($C987="","Commercial",$C987))),Variables!$B$1:$D$1,0),1)))*22.0462)*(L987/16.67),""))</f>
        <v>399672.3461067786</v>
      </c>
      <c r="X987" s="55" t="s">
        <v>37</v>
      </c>
      <c r="Y987" s="13" t="str">
        <f>IF($AX987="Cancelled","",IF(X987="","",IFERROR(IF(INDEX(Variables!$B$38:$B$47,MATCH(X987,Variables!$A$38:$A$47,0))="Yes","Yes","No"),"No")))</f>
        <v>Yes</v>
      </c>
      <c r="Z987" s="58">
        <v>46121</v>
      </c>
      <c r="AB987" s="31">
        <v>46132</v>
      </c>
      <c r="AC987" s="13" t="str">
        <f t="shared" si="47"/>
        <v>Approved</v>
      </c>
      <c r="AF987" s="71">
        <v>46197</v>
      </c>
      <c r="AG987" s="37">
        <f>IF($AX987="Cancelled","",IFERROR(IF(F987="","",F987-Variables!$B$13),""))</f>
        <v>46141</v>
      </c>
      <c r="AH987" s="13">
        <f>IF($AX987="Cancelled","",IFERROR(IF(AB987="","",(AVERAGE(E987:F987)-AB987)-Variables!$B$14),""))</f>
        <v>-12.5</v>
      </c>
      <c r="AJ987" s="47">
        <v>46203</v>
      </c>
      <c r="AK987" s="14">
        <f>IF($AX987="Cancelled","",IFERROR(IF(AJ987="","",IF(AND(AB987="",AF987=""),"",IF(AF987&gt;AB987,AF987+Variables!$B$15+Variables!$B$16+Variables!$B$17-AJ987,AB987+Variables!$B$16+Variables!$B$17-AJ987))),""))</f>
        <v>9</v>
      </c>
      <c r="AL987" s="48" t="s">
        <v>114</v>
      </c>
      <c r="AM987" s="13" t="s">
        <v>1784</v>
      </c>
      <c r="AN987" s="13" t="s">
        <v>2347</v>
      </c>
      <c r="AP987" s="39">
        <v>46216</v>
      </c>
      <c r="AR987" s="13" t="s">
        <v>2513</v>
      </c>
      <c r="AS987" s="31">
        <v>46216</v>
      </c>
      <c r="AU987" s="31">
        <v>46264</v>
      </c>
      <c r="AV987" s="13" t="e">
        <v>#REF!</v>
      </c>
      <c r="AW987" s="31">
        <v>46264</v>
      </c>
      <c r="AX987" s="13" t="str">
        <f>IF(ISNUMBER(SEARCH("cancel",#REF!)),"Cancelled",IF(AND(AS987&lt;&gt;"",AU987&lt;&gt;"",AW987&lt;&gt;""),"Closed","Open"))</f>
        <v>Closed</v>
      </c>
      <c r="AY987" s="15" t="str">
        <f t="shared" si="46"/>
        <v>All dates received</v>
      </c>
      <c r="BD987" s="13">
        <f>IF($AX987="Cancelled","",IFERROR(IF(OR(AS987="",AJ987=""),"",(AJ987+Variables!$B$18-AS987)),""))</f>
        <v>2</v>
      </c>
      <c r="BE987" s="13">
        <f>IF($AX987="Cancelled","",IFERROR(IF(OR(AW987="",AS987=""),"",(AS987+Variables!$B$19)-AW987),""))</f>
        <v>-43</v>
      </c>
      <c r="BF987" s="44">
        <f>IF($AX987="Cancelled","",IFERROR(W987*INDEX(Variables!$B$7:$D$7,IFERROR(MATCH(IF($B987="Robusta","Robusta",(IF($B987="","Arabica",$B987))&amp;" - "&amp;(IF($C987="","Commercial",$C987))),Variables!$B$1:$D$1,0),1))*(BE987/365),""))</f>
        <v>-3036.1242266121653</v>
      </c>
      <c r="BG987" s="44">
        <f>IF($AX987="Cancelled","",IFERROR((W987*INDEX(Variables!$B$7:$D$7,IFERROR(MATCH(IF($B987="Robusta","Robusta",(IF($B987="","Arabica",$B987))&amp;" - "&amp;(IF($C987="","Commercial",$C987))),Variables!$B$1:$D$1,0),1))*IFERROR(IF(AB987="","",(AVERAGE(E987:F987)-AB987)-Variables!$B$14),"")/365)+(L987/16.67*INDEX(Variables!$B$8:$D$8,IFERROR(MATCH(IF($B987="Robusta","Robusta",(IF($B987="","Arabica",$B987))&amp;" - "&amp;(IF($C987="","Commercial",$C987))),Variables!$B$1:$D$1,0),1))*IFERROR(IF(AB987="","",(AVERAGE(E987:F987)-AB987)-Variables!$B$14),""))+(W987*INDEX(Variables!$B$9:$D$9,IFERROR(MATCH(IF($B987="Robusta","Robusta",(IF($B987="","Arabica",$B987))&amp;" - "&amp;(IF($C987="","Commercial",$C987))),Variables!$B$1:$D$1,0),1))*IFERROR(IF(AB987="","",(AVERAGE(E987:F987)-AB987)-Variables!$B$14),"")/365),""))</f>
        <v>-1493.9725951179826</v>
      </c>
      <c r="BH987" s="44">
        <f>IF($AX987="Cancelled","",IFERROR((W987*INDEX(Variables!$B$7:$D$7,IFERROR(MATCH(IF($B987="Robusta","Robusta",(IF($B987="","Arabica",$B987))&amp;" - "&amp;(IF($C987="","Commercial",$C987))),Variables!$B$1:$D$1,0),1))*AK987/365)+(L987/16.67*INDEX(Variables!$B$8:$D$8,IFERROR(MATCH(IF($B987="Robusta","Robusta",(IF($B987="","Arabica",$B987))&amp;" - "&amp;(IF($C987="","Commercial",$C987))),Variables!$B$1:$D$1,0),1))*AK987)+(W987*INDEX(Variables!$B$9:$D$9,IFERROR(MATCH(IF($B987="Robusta","Robusta",(IF($B987="","Arabica",$B987))&amp;" - "&amp;(IF($C987="","Commercial",$C987))),Variables!$B$1:$D$1,0),1))*AK987/365),""))</f>
        <v>1075.6602684849472</v>
      </c>
      <c r="BI987" s="44">
        <f>IF($AX987="Cancelled","",IFERROR((W987*INDEX(Variables!$B$7:$D$7,IFERROR(MATCH(IF($B987="Robusta","Robusta",(IF($B987="","Arabica",$B987))&amp;" - "&amp;(IF($C987="","Commercial",$C987))),Variables!$B$1:$D$1,0),1))*BD987/365)+(L987/16.67*INDEX(Variables!$B$8:$D$8,IFERROR(MATCH(IF($B987="Robusta","Robusta",(IF($B987="","Arabica",$B987))&amp;" - "&amp;(IF($C987="","Commercial",$C987))),Variables!$B$1:$D$1,0),1))*BD987)+(W987*INDEX(Variables!$B$9:$D$9,IFERROR(MATCH(IF($B987="Robusta","Robusta",(IF($B987="","Arabica",$B987))&amp;" - "&amp;(IF($C987="","Commercial",$C987))),Variables!$B$1:$D$1,0),1))*BD987/365),""))</f>
        <v>239.03561521887715</v>
      </c>
      <c r="BJ987" s="44">
        <f t="shared" si="48"/>
        <v>-60</v>
      </c>
      <c r="BK987" s="44">
        <f>IF($AX987="Cancelled","",IFERROR(IF(BJ987="","",(W987*INDEX(Variables!$B$7:$D$7,IFERROR(MATCH(IF($B987="Robusta","Robusta",(IF($B987="","Arabica",$B987))&amp;" - "&amp;(IF($C987="","Commercial",$C987))),Variables!$B$1:$D$1,0),1))*(BJ987/365))+(W987*INDEX(Variables!$B$9:$D$9,IFERROR(MATCH(IF($B987="Robusta","Robusta",(IF($B987="","Arabica",$B987))&amp;" - "&amp;(IF($C987="","Commercial",$C987))),Variables!$B$1:$D$1,0),1))*(BJ987/365))+(INDEX(Variables!$B$8:$D$8,IFERROR(MATCH(IF($B987="Robusta","Robusta",(IF($B987="","Arabica",$B987))&amp;" - "&amp;(IF($C987="","Commercial",$C987))),Variables!$B$1:$D$1,0),1))*L987/16.67)),""))</f>
        <v>-4243.068456566315</v>
      </c>
    </row>
    <row r="988" spans="1:63">
      <c r="A988" s="13" t="s">
        <v>103</v>
      </c>
      <c r="B988" s="13" t="s">
        <v>104</v>
      </c>
      <c r="C988" s="13" t="s">
        <v>105</v>
      </c>
      <c r="D988" s="31">
        <v>46091</v>
      </c>
      <c r="E988" s="31">
        <v>46174</v>
      </c>
      <c r="F988" s="31">
        <v>46203</v>
      </c>
      <c r="G988" s="13">
        <v>3787415</v>
      </c>
      <c r="J988" s="13" t="s">
        <v>2315</v>
      </c>
      <c r="K988" s="13">
        <v>5580</v>
      </c>
      <c r="L988" s="13">
        <v>640</v>
      </c>
      <c r="M988" s="13">
        <v>2</v>
      </c>
      <c r="N988" s="13" t="s">
        <v>2510</v>
      </c>
      <c r="O988" s="13" t="s">
        <v>538</v>
      </c>
      <c r="P988" s="13">
        <v>10080</v>
      </c>
      <c r="R988" s="13" t="s">
        <v>110</v>
      </c>
      <c r="S988" s="13" t="s">
        <v>339</v>
      </c>
      <c r="T988" s="13" t="s">
        <v>2349</v>
      </c>
      <c r="U988" s="13" t="s">
        <v>113</v>
      </c>
      <c r="V988" s="23">
        <v>24</v>
      </c>
      <c r="W988" s="44">
        <f>IF($AX988="Cancelled","",IFERROR(((V988+INDEX(Variables!$B$6:$D$6,IFERROR(MATCH(IF($B988="Robusta","Robusta",(IF($B988="","Arabica",$B988))&amp;" - "&amp;(IF($C988="","Commercial",$C988))),Variables!$B$1:$D$1,0),1)))*22.0462)*(L988/16.67),""))</f>
        <v>266448.2307378524</v>
      </c>
      <c r="X988" s="55" t="s">
        <v>37</v>
      </c>
      <c r="Y988" s="13" t="str">
        <f>IF($AX988="Cancelled","",IF(X988="","",IFERROR(IF(INDEX(Variables!$B$38:$B$47,MATCH(X988,Variables!$A$38:$A$47,0))="Yes","Yes","No"),"No")))</f>
        <v>Yes</v>
      </c>
      <c r="Z988" s="58">
        <v>46141</v>
      </c>
      <c r="AB988" s="31">
        <v>46147</v>
      </c>
      <c r="AC988" s="13" t="str">
        <f t="shared" si="47"/>
        <v>Approved</v>
      </c>
      <c r="AF988" s="71">
        <v>46211</v>
      </c>
      <c r="AG988" s="37">
        <f>IF($AX988="Cancelled","",IFERROR(IF(F988="","",F988-Variables!$B$13),""))</f>
        <v>46188</v>
      </c>
      <c r="AH988" s="13">
        <f>IF($AX988="Cancelled","",IFERROR(IF(AB988="","",(AVERAGE(E988:F988)-AB988)-Variables!$B$14),""))</f>
        <v>11.5</v>
      </c>
      <c r="AJ988" s="47">
        <v>46211</v>
      </c>
      <c r="AK988" s="14">
        <f>IF($AX988="Cancelled","",IFERROR(IF(AJ988="","",IF(AND(AB988="",AF988=""),"",IF(AF988&gt;AB988,AF988+Variables!$B$15+Variables!$B$16+Variables!$B$17-AJ988,AB988+Variables!$B$16+Variables!$B$17-AJ988))),""))</f>
        <v>15</v>
      </c>
      <c r="AL988" s="48" t="s">
        <v>114</v>
      </c>
      <c r="AM988" s="13" t="s">
        <v>134</v>
      </c>
      <c r="AN988" s="13" t="s">
        <v>2514</v>
      </c>
      <c r="AP988" s="39">
        <v>46224</v>
      </c>
      <c r="AR988" s="13" t="s">
        <v>2515</v>
      </c>
      <c r="AS988" s="31">
        <v>46224</v>
      </c>
      <c r="AU988" s="31">
        <v>46266</v>
      </c>
      <c r="AV988" s="13" t="s">
        <v>865</v>
      </c>
      <c r="AW988" s="39">
        <v>46266</v>
      </c>
      <c r="AX988" s="13" t="str">
        <f>IF(ISNUMBER(SEARCH("cancel",#REF!)),"Cancelled",IF(AND(AS988&lt;&gt;"",AU988&lt;&gt;"",AW988&lt;&gt;""),"Closed","Open"))</f>
        <v>Closed</v>
      </c>
      <c r="AY988" s="15" t="str">
        <f t="shared" si="46"/>
        <v>All dates received</v>
      </c>
      <c r="AZ988" s="13" t="s">
        <v>3047</v>
      </c>
      <c r="BA988" s="13" t="s">
        <v>3057</v>
      </c>
      <c r="BB988" s="13" t="s">
        <v>3058</v>
      </c>
      <c r="BC988" s="13" t="s">
        <v>3295</v>
      </c>
      <c r="BD988" s="13">
        <f>IF($AX988="Cancelled","",IFERROR(IF(OR(AS988="",AJ988=""),"",(AJ988+Variables!$B$18-AS988)),""))</f>
        <v>2</v>
      </c>
      <c r="BE988" s="13">
        <f>IF($AX988="Cancelled","",IFERROR(IF(OR(AW988="",AS988=""),"",(AS988+Variables!$B$19)-AW988),""))</f>
        <v>-37</v>
      </c>
      <c r="BF988" s="44">
        <f>IF($AX988="Cancelled","",IFERROR(W988*INDEX(Variables!$B$7:$D$7,IFERROR(MATCH(IF($B988="Robusta","Robusta",(IF($B988="","Arabica",$B988))&amp;" - "&amp;(IF($C988="","Commercial",$C988))),Variables!$B$1:$D$1,0),1))*(BE988/365),""))</f>
        <v>-1741.6526571263585</v>
      </c>
      <c r="BG988" s="44">
        <f>IF($AX988="Cancelled","",IFERROR((W988*INDEX(Variables!$B$7:$D$7,IFERROR(MATCH(IF($B988="Robusta","Robusta",(IF($B988="","Arabica",$B988))&amp;" - "&amp;(IF($C988="","Commercial",$C988))),Variables!$B$1:$D$1,0),1))*IFERROR(IF(AB988="","",(AVERAGE(E988:F988)-AB988)-Variables!$B$14),"")/365)+(L988/16.67*INDEX(Variables!$B$8:$D$8,IFERROR(MATCH(IF($B988="Robusta","Robusta",(IF($B988="","Arabica",$B988))&amp;" - "&amp;(IF($C988="","Commercial",$C988))),Variables!$B$1:$D$1,0),1))*IFERROR(IF(AB988="","",(AVERAGE(E988:F988)-AB988)-Variables!$B$14),""))+(W988*INDEX(Variables!$B$9:$D$9,IFERROR(MATCH(IF($B988="Robusta","Robusta",(IF($B988="","Arabica",$B988))&amp;" - "&amp;(IF($C988="","Commercial",$C988))),Variables!$B$1:$D$1,0),1))*IFERROR(IF(AB988="","",(AVERAGE(E988:F988)-AB988)-Variables!$B$14),"")/365),""))</f>
        <v>916.30319167236246</v>
      </c>
      <c r="BH988" s="44">
        <f>IF($AX988="Cancelled","",IFERROR((W988*INDEX(Variables!$B$7:$D$7,IFERROR(MATCH(IF($B988="Robusta","Robusta",(IF($B988="","Arabica",$B988))&amp;" - "&amp;(IF($C988="","Commercial",$C988))),Variables!$B$1:$D$1,0),1))*AK988/365)+(L988/16.67*INDEX(Variables!$B$8:$D$8,IFERROR(MATCH(IF($B988="Robusta","Robusta",(IF($B988="","Arabica",$B988))&amp;" - "&amp;(IF($C988="","Commercial",$C988))),Variables!$B$1:$D$1,0),1))*AK988)+(W988*INDEX(Variables!$B$9:$D$9,IFERROR(MATCH(IF($B988="Robusta","Robusta",(IF($B988="","Arabica",$B988))&amp;" - "&amp;(IF($C988="","Commercial",$C988))),Variables!$B$1:$D$1,0),1))*AK988/365),""))</f>
        <v>1195.1780760943859</v>
      </c>
      <c r="BI988" s="44">
        <f>IF($AX988="Cancelled","",IFERROR((W988*INDEX(Variables!$B$7:$D$7,IFERROR(MATCH(IF($B988="Robusta","Robusta",(IF($B988="","Arabica",$B988))&amp;" - "&amp;(IF($C988="","Commercial",$C988))),Variables!$B$1:$D$1,0),1))*BD988/365)+(L988/16.67*INDEX(Variables!$B$8:$D$8,IFERROR(MATCH(IF($B988="Robusta","Robusta",(IF($B988="","Arabica",$B988))&amp;" - "&amp;(IF($C988="","Commercial",$C988))),Variables!$B$1:$D$1,0),1))*BD988)+(W988*INDEX(Variables!$B$9:$D$9,IFERROR(MATCH(IF($B988="Robusta","Robusta",(IF($B988="","Arabica",$B988))&amp;" - "&amp;(IF($C988="","Commercial",$C988))),Variables!$B$1:$D$1,0),1))*BD988/365),""))</f>
        <v>159.35707681258478</v>
      </c>
      <c r="BJ988" s="44">
        <f t="shared" si="48"/>
        <v>-21</v>
      </c>
      <c r="BK988" s="44">
        <f>IF($AX988="Cancelled","",IFERROR(IF(BJ988="","",(W988*INDEX(Variables!$B$7:$D$7,IFERROR(MATCH(IF($B988="Robusta","Robusta",(IF($B988="","Arabica",$B988))&amp;" - "&amp;(IF($C988="","Commercial",$C988))),Variables!$B$1:$D$1,0),1))*(BJ988/365))+(W988*INDEX(Variables!$B$9:$D$9,IFERROR(MATCH(IF($B988="Robusta","Robusta",(IF($B988="","Arabica",$B988))&amp;" - "&amp;(IF($C988="","Commercial",$C988))),Variables!$B$1:$D$1,0),1))*(BJ988/365))+(INDEX(Variables!$B$8:$D$8,IFERROR(MATCH(IF($B988="Robusta","Robusta",(IF($B988="","Arabica",$B988))&amp;" - "&amp;(IF($C988="","Commercial",$C988))),Variables!$B$1:$D$1,0),1))*L988/16.67)),""))</f>
        <v>-969.24930653214028</v>
      </c>
    </row>
    <row r="989" spans="1:63">
      <c r="A989" s="13" t="s">
        <v>103</v>
      </c>
      <c r="B989" s="13" t="s">
        <v>104</v>
      </c>
      <c r="C989" s="13" t="s">
        <v>105</v>
      </c>
      <c r="D989" s="31">
        <v>46091</v>
      </c>
      <c r="E989" s="31">
        <v>46174</v>
      </c>
      <c r="F989" s="31">
        <v>46203</v>
      </c>
      <c r="G989" s="13">
        <v>3787415</v>
      </c>
      <c r="J989" s="13" t="s">
        <v>2315</v>
      </c>
      <c r="K989" s="13">
        <v>5580</v>
      </c>
      <c r="L989" s="13">
        <v>320</v>
      </c>
      <c r="M989" s="13">
        <v>1</v>
      </c>
      <c r="N989" s="13" t="s">
        <v>2510</v>
      </c>
      <c r="O989" s="13" t="s">
        <v>538</v>
      </c>
      <c r="P989" s="13">
        <v>10080</v>
      </c>
      <c r="R989" s="13" t="s">
        <v>110</v>
      </c>
      <c r="S989" s="13" t="s">
        <v>339</v>
      </c>
      <c r="T989" s="13" t="s">
        <v>2349</v>
      </c>
      <c r="U989" s="13" t="s">
        <v>113</v>
      </c>
      <c r="V989" s="23">
        <v>24</v>
      </c>
      <c r="W989" s="44">
        <f>IF($AX989="Cancelled","",IFERROR(((V989+INDEX(Variables!$B$6:$D$6,IFERROR(MATCH(IF($B989="Robusta","Robusta",(IF($B989="","Arabica",$B989))&amp;" - "&amp;(IF($C989="","Commercial",$C989))),Variables!$B$1:$D$1,0),1)))*22.0462)*(L989/16.67),""))</f>
        <v>133224.1153689262</v>
      </c>
      <c r="X989" s="55" t="s">
        <v>37</v>
      </c>
      <c r="Y989" s="13" t="str">
        <f>IF($AX989="Cancelled","",IF(X989="","",IFERROR(IF(INDEX(Variables!$B$38:$B$47,MATCH(X989,Variables!$A$38:$A$47,0))="Yes","Yes","No"),"No")))</f>
        <v>Yes</v>
      </c>
      <c r="Z989" s="58">
        <v>46141</v>
      </c>
      <c r="AB989" s="31">
        <v>46147</v>
      </c>
      <c r="AC989" s="13" t="str">
        <f t="shared" si="47"/>
        <v>Approved</v>
      </c>
      <c r="AF989" s="71">
        <v>46211</v>
      </c>
      <c r="AG989" s="37">
        <f>IF($AX989="Cancelled","",IFERROR(IF(F989="","",F989-Variables!$B$13),""))</f>
        <v>46188</v>
      </c>
      <c r="AH989" s="13">
        <f>IF($AX989="Cancelled","",IFERROR(IF(AB989="","",(AVERAGE(E989:F989)-AB989)-Variables!$B$14),""))</f>
        <v>11.5</v>
      </c>
      <c r="AJ989" s="47">
        <v>46212</v>
      </c>
      <c r="AK989" s="14">
        <f>IF($AX989="Cancelled","",IFERROR(IF(AJ989="","",IF(AND(AB989="",AF989=""),"",IF(AF989&gt;AB989,AF989+Variables!$B$15+Variables!$B$16+Variables!$B$17-AJ989,AB989+Variables!$B$16+Variables!$B$17-AJ989))),""))</f>
        <v>14</v>
      </c>
      <c r="AL989" s="48" t="s">
        <v>114</v>
      </c>
      <c r="AM989" s="13" t="s">
        <v>134</v>
      </c>
      <c r="AN989" s="13" t="s">
        <v>2514</v>
      </c>
      <c r="AP989" s="39">
        <v>46224</v>
      </c>
      <c r="AR989" s="13" t="s">
        <v>2515</v>
      </c>
      <c r="AS989" s="31">
        <v>46224</v>
      </c>
      <c r="AU989" s="31">
        <v>46266</v>
      </c>
      <c r="AV989" s="13" t="s">
        <v>865</v>
      </c>
      <c r="AW989" s="39">
        <v>46266</v>
      </c>
      <c r="AX989" s="13" t="str">
        <f>IF(ISNUMBER(SEARCH("cancel",#REF!)),"Cancelled",IF(AND(AS989&lt;&gt;"",AU989&lt;&gt;"",AW989&lt;&gt;""),"Closed","Open"))</f>
        <v>Closed</v>
      </c>
      <c r="AY989" s="15" t="str">
        <f t="shared" si="46"/>
        <v>All dates received</v>
      </c>
      <c r="AZ989" s="13" t="s">
        <v>3047</v>
      </c>
      <c r="BA989" s="13" t="s">
        <v>3057</v>
      </c>
      <c r="BB989" s="13" t="s">
        <v>3058</v>
      </c>
      <c r="BC989" s="13" t="s">
        <v>3295</v>
      </c>
      <c r="BD989" s="13">
        <f>IF($AX989="Cancelled","",IFERROR(IF(OR(AS989="",AJ989=""),"",(AJ989+Variables!$B$18-AS989)),""))</f>
        <v>3</v>
      </c>
      <c r="BE989" s="13">
        <f>IF($AX989="Cancelled","",IFERROR(IF(OR(AW989="",AS989=""),"",(AS989+Variables!$B$19)-AW989),""))</f>
        <v>-37</v>
      </c>
      <c r="BF989" s="44">
        <f>IF($AX989="Cancelled","",IFERROR(W989*INDEX(Variables!$B$7:$D$7,IFERROR(MATCH(IF($B989="Robusta","Robusta",(IF($B989="","Arabica",$B989))&amp;" - "&amp;(IF($C989="","Commercial",$C989))),Variables!$B$1:$D$1,0),1))*(BE989/365),""))</f>
        <v>-870.82632856317923</v>
      </c>
      <c r="BG989" s="44">
        <f>IF($AX989="Cancelled","",IFERROR((W989*INDEX(Variables!$B$7:$D$7,IFERROR(MATCH(IF($B989="Robusta","Robusta",(IF($B989="","Arabica",$B989))&amp;" - "&amp;(IF($C989="","Commercial",$C989))),Variables!$B$1:$D$1,0),1))*IFERROR(IF(AB989="","",(AVERAGE(E989:F989)-AB989)-Variables!$B$14),"")/365)+(L989/16.67*INDEX(Variables!$B$8:$D$8,IFERROR(MATCH(IF($B989="Robusta","Robusta",(IF($B989="","Arabica",$B989))&amp;" - "&amp;(IF($C989="","Commercial",$C989))),Variables!$B$1:$D$1,0),1))*IFERROR(IF(AB989="","",(AVERAGE(E989:F989)-AB989)-Variables!$B$14),""))+(W989*INDEX(Variables!$B$9:$D$9,IFERROR(MATCH(IF($B989="Robusta","Robusta",(IF($B989="","Arabica",$B989))&amp;" - "&amp;(IF($C989="","Commercial",$C989))),Variables!$B$1:$D$1,0),1))*IFERROR(IF(AB989="","",(AVERAGE(E989:F989)-AB989)-Variables!$B$14),"")/365),""))</f>
        <v>458.15159583618123</v>
      </c>
      <c r="BH989" s="44">
        <f>IF($AX989="Cancelled","",IFERROR((W989*INDEX(Variables!$B$7:$D$7,IFERROR(MATCH(IF($B989="Robusta","Robusta",(IF($B989="","Arabica",$B989))&amp;" - "&amp;(IF($C989="","Commercial",$C989))),Variables!$B$1:$D$1,0),1))*AK989/365)+(L989/16.67*INDEX(Variables!$B$8:$D$8,IFERROR(MATCH(IF($B989="Robusta","Robusta",(IF($B989="","Arabica",$B989))&amp;" - "&amp;(IF($C989="","Commercial",$C989))),Variables!$B$1:$D$1,0),1))*AK989)+(W989*INDEX(Variables!$B$9:$D$9,IFERROR(MATCH(IF($B989="Robusta","Robusta",(IF($B989="","Arabica",$B989))&amp;" - "&amp;(IF($C989="","Commercial",$C989))),Variables!$B$1:$D$1,0),1))*AK989/365),""))</f>
        <v>557.7497688440468</v>
      </c>
      <c r="BI989" s="44">
        <f>IF($AX989="Cancelled","",IFERROR((W989*INDEX(Variables!$B$7:$D$7,IFERROR(MATCH(IF($B989="Robusta","Robusta",(IF($B989="","Arabica",$B989))&amp;" - "&amp;(IF($C989="","Commercial",$C989))),Variables!$B$1:$D$1,0),1))*BD989/365)+(L989/16.67*INDEX(Variables!$B$8:$D$8,IFERROR(MATCH(IF($B989="Robusta","Robusta",(IF($B989="","Arabica",$B989))&amp;" - "&amp;(IF($C989="","Commercial",$C989))),Variables!$B$1:$D$1,0),1))*BD989)+(W989*INDEX(Variables!$B$9:$D$9,IFERROR(MATCH(IF($B989="Robusta","Robusta",(IF($B989="","Arabica",$B989))&amp;" - "&amp;(IF($C989="","Commercial",$C989))),Variables!$B$1:$D$1,0),1))*BD989/365),""))</f>
        <v>119.51780760943858</v>
      </c>
      <c r="BJ989" s="44">
        <f t="shared" si="48"/>
        <v>-21</v>
      </c>
      <c r="BK989" s="44">
        <f>IF($AX989="Cancelled","",IFERROR(IF(BJ989="","",(W989*INDEX(Variables!$B$7:$D$7,IFERROR(MATCH(IF($B989="Robusta","Robusta",(IF($B989="","Arabica",$B989))&amp;" - "&amp;(IF($C989="","Commercial",$C989))),Variables!$B$1:$D$1,0),1))*(BJ989/365))+(W989*INDEX(Variables!$B$9:$D$9,IFERROR(MATCH(IF($B989="Robusta","Robusta",(IF($B989="","Arabica",$B989))&amp;" - "&amp;(IF($C989="","Commercial",$C989))),Variables!$B$1:$D$1,0),1))*(BJ989/365))+(INDEX(Variables!$B$8:$D$8,IFERROR(MATCH(IF($B989="Robusta","Robusta",(IF($B989="","Arabica",$B989))&amp;" - "&amp;(IF($C989="","Commercial",$C989))),Variables!$B$1:$D$1,0),1))*L989/16.67)),""))</f>
        <v>-484.62465326607014</v>
      </c>
    </row>
    <row r="990" spans="1:63">
      <c r="A990" s="13" t="s">
        <v>103</v>
      </c>
      <c r="B990" s="13" t="s">
        <v>104</v>
      </c>
      <c r="C990" s="13" t="s">
        <v>292</v>
      </c>
      <c r="D990" s="31">
        <v>46092</v>
      </c>
      <c r="E990" s="31">
        <v>46082</v>
      </c>
      <c r="F990" s="31">
        <v>46112</v>
      </c>
      <c r="G990" s="13">
        <v>3787416</v>
      </c>
      <c r="J990" s="13" t="s">
        <v>294</v>
      </c>
      <c r="K990" s="13" t="s">
        <v>2516</v>
      </c>
      <c r="L990" s="13">
        <v>11</v>
      </c>
      <c r="M990" s="13">
        <v>0</v>
      </c>
      <c r="N990" s="13" t="s">
        <v>2517</v>
      </c>
      <c r="O990" s="13" t="s">
        <v>771</v>
      </c>
      <c r="P990" s="13">
        <v>10010</v>
      </c>
      <c r="R990" s="13" t="s">
        <v>384</v>
      </c>
      <c r="S990" s="13" t="s">
        <v>299</v>
      </c>
      <c r="T990" s="13" t="s">
        <v>305</v>
      </c>
      <c r="U990" s="13" t="s">
        <v>125</v>
      </c>
      <c r="V990" s="13">
        <v>226</v>
      </c>
      <c r="W990" s="44">
        <f>IF($AX990="Cancelled","",IFERROR(((V990+INDEX(Variables!$B$6:$D$6,IFERROR(MATCH(IF($B990="Robusta","Robusta",(IF($B990="","Arabica",$B990))&amp;" - "&amp;(IF($C990="","Commercial",$C990))),Variables!$B$1:$D$1,0),1)))*22.0462)*(L990/16.67),""))</f>
        <v>7518.1906274745033</v>
      </c>
      <c r="X990" s="55" t="s">
        <v>39</v>
      </c>
      <c r="Y990" s="13" t="str">
        <f>IF($AX990="Cancelled","",IF(X990="","",IFERROR(IF(INDEX(Variables!$B$38:$B$47,MATCH(X990,Variables!$A$38:$A$47,0))="Yes","Yes","No"),"No")))</f>
        <v>No</v>
      </c>
      <c r="Z990" s="31"/>
      <c r="AC990" s="13" t="str">
        <f t="shared" si="47"/>
        <v/>
      </c>
      <c r="AF990" s="71">
        <v>46112</v>
      </c>
      <c r="AG990" s="37">
        <f>IF($AX990="Cancelled","",IFERROR(IF(F990="","",F990-Variables!$B$13),""))</f>
        <v>46097</v>
      </c>
      <c r="AH990" s="13" t="str">
        <f>IF($AX990="Cancelled","",IFERROR(IF(AB990="","",(AVERAGE(E990:F990)-AB990)-Variables!$B$14),""))</f>
        <v/>
      </c>
      <c r="AK990" s="14" t="str">
        <f>IF($AX990="Cancelled","",IFERROR(IF(AJ990="","",IF(AND(AB990="",AF990=""),"",IF(AF990&gt;AB990,AF990+Variables!$B$15+Variables!$B$16+Variables!$B$17-AJ990,AB990+Variables!$B$16+Variables!$B$17-AJ990))),""))</f>
        <v/>
      </c>
      <c r="AL990" s="48" t="s">
        <v>114</v>
      </c>
      <c r="AM990" s="13" t="s">
        <v>1526</v>
      </c>
      <c r="AN990" s="13" t="s">
        <v>2423</v>
      </c>
      <c r="AP990" s="39" t="e">
        <v>#N/A</v>
      </c>
      <c r="AR990" s="13" t="s">
        <v>2424</v>
      </c>
      <c r="AS990" s="31">
        <v>46150</v>
      </c>
      <c r="AU990" s="31">
        <v>46191</v>
      </c>
      <c r="AV990" s="13" t="s">
        <v>865</v>
      </c>
      <c r="AW990" s="31">
        <v>46191</v>
      </c>
      <c r="AX990" s="13" t="str">
        <f>IF(ISNUMBER(SEARCH("cancel",#REF!)),"Cancelled",IF(AND(AS990&lt;&gt;"",AU990&lt;&gt;"",AW990&lt;&gt;""),"Closed","Open"))</f>
        <v>Closed</v>
      </c>
      <c r="AY990" s="15" t="str">
        <f t="shared" si="46"/>
        <v>All dates received</v>
      </c>
      <c r="BD990" s="13" t="str">
        <f>IF($AX990="Cancelled","",IFERROR(IF(OR(AS990="",AJ990=""),"",(AJ990+Variables!$B$18-AS990)),""))</f>
        <v/>
      </c>
      <c r="BE990" s="13">
        <f>IF($AX990="Cancelled","",IFERROR(IF(OR(AW990="",AS990=""),"",(AS990+Variables!$B$19)-AW990),""))</f>
        <v>-36</v>
      </c>
      <c r="BF990" s="44">
        <f>IF($AX990="Cancelled","",IFERROR(W990*INDEX(Variables!$B$7:$D$7,IFERROR(MATCH(IF($B990="Robusta","Robusta",(IF($B990="","Arabica",$B990))&amp;" - "&amp;(IF($C990="","Commercial",$C990))),Variables!$B$1:$D$1,0),1))*(BE990/365),""))</f>
        <v>-47.81485200121017</v>
      </c>
      <c r="BG990" s="44" t="str">
        <f>IF($AX990="Cancelled","",IFERROR((W990*INDEX(Variables!$B$7:$D$7,IFERROR(MATCH(IF($B990="Robusta","Robusta",(IF($B990="","Arabica",$B990))&amp;" - "&amp;(IF($C990="","Commercial",$C990))),Variables!$B$1:$D$1,0),1))*IFERROR(IF(AB990="","",(AVERAGE(E990:F990)-AB990)-Variables!$B$14),"")/365)+(L990/16.67*INDEX(Variables!$B$8:$D$8,IFERROR(MATCH(IF($B990="Robusta","Robusta",(IF($B990="","Arabica",$B990))&amp;" - "&amp;(IF($C990="","Commercial",$C990))),Variables!$B$1:$D$1,0),1))*IFERROR(IF(AB990="","",(AVERAGE(E990:F990)-AB990)-Variables!$B$14),""))+(W990*INDEX(Variables!$B$9:$D$9,IFERROR(MATCH(IF($B990="Robusta","Robusta",(IF($B990="","Arabica",$B990))&amp;" - "&amp;(IF($C990="","Commercial",$C990))),Variables!$B$1:$D$1,0),1))*IFERROR(IF(AB990="","",(AVERAGE(E990:F990)-AB990)-Variables!$B$14),"")/365),""))</f>
        <v/>
      </c>
      <c r="BH990" s="44" t="str">
        <f>IF($AX990="Cancelled","",IFERROR((W990*INDEX(Variables!$B$7:$D$7,IFERROR(MATCH(IF($B990="Robusta","Robusta",(IF($B990="","Arabica",$B990))&amp;" - "&amp;(IF($C990="","Commercial",$C990))),Variables!$B$1:$D$1,0),1))*AK990/365)+(L990/16.67*INDEX(Variables!$B$8:$D$8,IFERROR(MATCH(IF($B990="Robusta","Robusta",(IF($B990="","Arabica",$B990))&amp;" - "&amp;(IF($C990="","Commercial",$C990))),Variables!$B$1:$D$1,0),1))*AK990)+(W990*INDEX(Variables!$B$9:$D$9,IFERROR(MATCH(IF($B990="Robusta","Robusta",(IF($B990="","Arabica",$B990))&amp;" - "&amp;(IF($C990="","Commercial",$C990))),Variables!$B$1:$D$1,0),1))*AK990/365),""))</f>
        <v/>
      </c>
      <c r="BI990" s="44" t="str">
        <f>IF($AX990="Cancelled","",IFERROR((W990*INDEX(Variables!$B$7:$D$7,IFERROR(MATCH(IF($B990="Robusta","Robusta",(IF($B990="","Arabica",$B990))&amp;" - "&amp;(IF($C990="","Commercial",$C990))),Variables!$B$1:$D$1,0),1))*BD990/365)+(L990/16.67*INDEX(Variables!$B$8:$D$8,IFERROR(MATCH(IF($B990="Robusta","Robusta",(IF($B990="","Arabica",$B990))&amp;" - "&amp;(IF($C990="","Commercial",$C990))),Variables!$B$1:$D$1,0),1))*BD990)+(W990*INDEX(Variables!$B$9:$D$9,IFERROR(MATCH(IF($B990="Robusta","Robusta",(IF($B990="","Arabica",$B990))&amp;" - "&amp;(IF($C990="","Commercial",$C990))),Variables!$B$1:$D$1,0),1))*BD990/365),""))</f>
        <v/>
      </c>
      <c r="BJ990" s="44">
        <f t="shared" si="48"/>
        <v>-38</v>
      </c>
      <c r="BK990" s="44">
        <f>IF($AX990="Cancelled","",IFERROR(IF(BJ990="","",(W990*INDEX(Variables!$B$7:$D$7,IFERROR(MATCH(IF($B990="Robusta","Robusta",(IF($B990="","Arabica",$B990))&amp;" - "&amp;(IF($C990="","Commercial",$C990))),Variables!$B$1:$D$1,0),1))*(BJ990/365))+(W990*INDEX(Variables!$B$9:$D$9,IFERROR(MATCH(IF($B990="Robusta","Robusta",(IF($B990="","Arabica",$B990))&amp;" - "&amp;(IF($C990="","Commercial",$C990))),Variables!$B$1:$D$1,0),1))*(BJ990/365))+(INDEX(Variables!$B$8:$D$8,IFERROR(MATCH(IF($B990="Robusta","Robusta",(IF($B990="","Arabica",$B990))&amp;" - "&amp;(IF($C990="","Commercial",$C990))),Variables!$B$1:$D$1,0),1))*L990/16.67)),""))</f>
        <v>-50.571904259745558</v>
      </c>
    </row>
    <row r="991" spans="1:63">
      <c r="A991" s="13" t="s">
        <v>103</v>
      </c>
      <c r="B991" s="13" t="s">
        <v>104</v>
      </c>
      <c r="C991" s="13" t="s">
        <v>292</v>
      </c>
      <c r="D991" s="31">
        <v>46092</v>
      </c>
      <c r="E991" s="31">
        <v>46082</v>
      </c>
      <c r="F991" s="31">
        <v>46112</v>
      </c>
      <c r="G991" s="13">
        <v>3787417</v>
      </c>
      <c r="J991" s="13" t="s">
        <v>294</v>
      </c>
      <c r="K991" s="13" t="s">
        <v>2518</v>
      </c>
      <c r="L991" s="13">
        <v>25</v>
      </c>
      <c r="M991" s="13">
        <v>0</v>
      </c>
      <c r="N991" s="13" t="s">
        <v>2519</v>
      </c>
      <c r="O991" s="13" t="s">
        <v>771</v>
      </c>
      <c r="P991" s="13">
        <v>10010</v>
      </c>
      <c r="R991" s="13" t="s">
        <v>384</v>
      </c>
      <c r="S991" s="13" t="s">
        <v>299</v>
      </c>
      <c r="T991" s="13" t="s">
        <v>305</v>
      </c>
      <c r="U991" s="13" t="s">
        <v>125</v>
      </c>
      <c r="V991" s="13">
        <v>206</v>
      </c>
      <c r="W991" s="44">
        <f>IF($AX991="Cancelled","",IFERROR(((V991+INDEX(Variables!$B$6:$D$6,IFERROR(MATCH(IF($B991="Robusta","Robusta",(IF($B991="","Arabica",$B991))&amp;" - "&amp;(IF($C991="","Commercial",$C991))),Variables!$B$1:$D$1,0),1)))*22.0462)*(L991/16.67),""))</f>
        <v>16425.543131373721</v>
      </c>
      <c r="X991" s="55" t="s">
        <v>39</v>
      </c>
      <c r="Y991" s="13" t="str">
        <f>IF($AX991="Cancelled","",IF(X991="","",IFERROR(IF(INDEX(Variables!$B$38:$B$47,MATCH(X991,Variables!$A$38:$A$47,0))="Yes","Yes","No"),"No")))</f>
        <v>No</v>
      </c>
      <c r="Z991" s="31"/>
      <c r="AC991" s="13" t="str">
        <f t="shared" si="47"/>
        <v/>
      </c>
      <c r="AF991" s="71">
        <v>46112</v>
      </c>
      <c r="AG991" s="37">
        <f>IF($AX991="Cancelled","",IFERROR(IF(F991="","",F991-Variables!$B$13),""))</f>
        <v>46097</v>
      </c>
      <c r="AH991" s="13" t="str">
        <f>IF($AX991="Cancelled","",IFERROR(IF(AB991="","",(AVERAGE(E991:F991)-AB991)-Variables!$B$14),""))</f>
        <v/>
      </c>
      <c r="AK991" s="14" t="str">
        <f>IF($AX991="Cancelled","",IFERROR(IF(AJ991="","",IF(AND(AB991="",AF991=""),"",IF(AF991&gt;AB991,AF991+Variables!$B$15+Variables!$B$16+Variables!$B$17-AJ991,AB991+Variables!$B$16+Variables!$B$17-AJ991))),""))</f>
        <v/>
      </c>
      <c r="AL991" s="48" t="s">
        <v>114</v>
      </c>
      <c r="AM991" s="13" t="s">
        <v>1526</v>
      </c>
      <c r="AN991" s="13" t="s">
        <v>2423</v>
      </c>
      <c r="AP991" s="39" t="e">
        <v>#N/A</v>
      </c>
      <c r="AR991" s="13" t="s">
        <v>2424</v>
      </c>
      <c r="AS991" s="31">
        <v>46150</v>
      </c>
      <c r="AU991" s="31">
        <v>46191</v>
      </c>
      <c r="AV991" s="13" t="s">
        <v>865</v>
      </c>
      <c r="AW991" s="31">
        <v>46191</v>
      </c>
      <c r="AX991" s="13" t="str">
        <f>IF(ISNUMBER(SEARCH("cancel",#REF!)),"Cancelled",IF(AND(AS991&lt;&gt;"",AU991&lt;&gt;"",AW991&lt;&gt;""),"Closed","Open"))</f>
        <v>Closed</v>
      </c>
      <c r="AY991" s="15" t="str">
        <f t="shared" si="46"/>
        <v>All dates received</v>
      </c>
      <c r="BD991" s="13" t="str">
        <f>IF($AX991="Cancelled","",IFERROR(IF(OR(AS991="",AJ991=""),"",(AJ991+Variables!$B$18-AS991)),""))</f>
        <v/>
      </c>
      <c r="BE991" s="13">
        <f>IF($AX991="Cancelled","",IFERROR(IF(OR(AW991="",AS991=""),"",(AS991+Variables!$B$19)-AW991),""))</f>
        <v>-36</v>
      </c>
      <c r="BF991" s="44">
        <f>IF($AX991="Cancelled","",IFERROR(W991*INDEX(Variables!$B$7:$D$7,IFERROR(MATCH(IF($B991="Robusta","Robusta",(IF($B991="","Arabica",$B991))&amp;" - "&amp;(IF($C991="","Commercial",$C991))),Variables!$B$1:$D$1,0),1))*(BE991/365),""))</f>
        <v>-104.4646182548252</v>
      </c>
      <c r="BG991" s="44" t="str">
        <f>IF($AX991="Cancelled","",IFERROR((W991*INDEX(Variables!$B$7:$D$7,IFERROR(MATCH(IF($B991="Robusta","Robusta",(IF($B991="","Arabica",$B991))&amp;" - "&amp;(IF($C991="","Commercial",$C991))),Variables!$B$1:$D$1,0),1))*IFERROR(IF(AB991="","",(AVERAGE(E991:F991)-AB991)-Variables!$B$14),"")/365)+(L991/16.67*INDEX(Variables!$B$8:$D$8,IFERROR(MATCH(IF($B991="Robusta","Robusta",(IF($B991="","Arabica",$B991))&amp;" - "&amp;(IF($C991="","Commercial",$C991))),Variables!$B$1:$D$1,0),1))*IFERROR(IF(AB991="","",(AVERAGE(E991:F991)-AB991)-Variables!$B$14),""))+(W991*INDEX(Variables!$B$9:$D$9,IFERROR(MATCH(IF($B991="Robusta","Robusta",(IF($B991="","Arabica",$B991))&amp;" - "&amp;(IF($C991="","Commercial",$C991))),Variables!$B$1:$D$1,0),1))*IFERROR(IF(AB991="","",(AVERAGE(E991:F991)-AB991)-Variables!$B$14),"")/365),""))</f>
        <v/>
      </c>
      <c r="BH991" s="44" t="str">
        <f>IF($AX991="Cancelled","",IFERROR((W991*INDEX(Variables!$B$7:$D$7,IFERROR(MATCH(IF($B991="Robusta","Robusta",(IF($B991="","Arabica",$B991))&amp;" - "&amp;(IF($C991="","Commercial",$C991))),Variables!$B$1:$D$1,0),1))*AK991/365)+(L991/16.67*INDEX(Variables!$B$8:$D$8,IFERROR(MATCH(IF($B991="Robusta","Robusta",(IF($B991="","Arabica",$B991))&amp;" - "&amp;(IF($C991="","Commercial",$C991))),Variables!$B$1:$D$1,0),1))*AK991)+(W991*INDEX(Variables!$B$9:$D$9,IFERROR(MATCH(IF($B991="Robusta","Robusta",(IF($B991="","Arabica",$B991))&amp;" - "&amp;(IF($C991="","Commercial",$C991))),Variables!$B$1:$D$1,0),1))*AK991/365),""))</f>
        <v/>
      </c>
      <c r="BI991" s="44" t="str">
        <f>IF($AX991="Cancelled","",IFERROR((W991*INDEX(Variables!$B$7:$D$7,IFERROR(MATCH(IF($B991="Robusta","Robusta",(IF($B991="","Arabica",$B991))&amp;" - "&amp;(IF($C991="","Commercial",$C991))),Variables!$B$1:$D$1,0),1))*BD991/365)+(L991/16.67*INDEX(Variables!$B$8:$D$8,IFERROR(MATCH(IF($B991="Robusta","Robusta",(IF($B991="","Arabica",$B991))&amp;" - "&amp;(IF($C991="","Commercial",$C991))),Variables!$B$1:$D$1,0),1))*BD991)+(W991*INDEX(Variables!$B$9:$D$9,IFERROR(MATCH(IF($B991="Robusta","Robusta",(IF($B991="","Arabica",$B991))&amp;" - "&amp;(IF($C991="","Commercial",$C991))),Variables!$B$1:$D$1,0),1))*BD991/365),""))</f>
        <v/>
      </c>
      <c r="BJ991" s="44">
        <f t="shared" si="48"/>
        <v>-38</v>
      </c>
      <c r="BK991" s="44">
        <f>IF($AX991="Cancelled","",IFERROR(IF(BJ991="","",(W991*INDEX(Variables!$B$7:$D$7,IFERROR(MATCH(IF($B991="Robusta","Robusta",(IF($B991="","Arabica",$B991))&amp;" - "&amp;(IF($C991="","Commercial",$C991))),Variables!$B$1:$D$1,0),1))*(BJ991/365))+(W991*INDEX(Variables!$B$9:$D$9,IFERROR(MATCH(IF($B991="Robusta","Robusta",(IF($B991="","Arabica",$B991))&amp;" - "&amp;(IF($C991="","Commercial",$C991))),Variables!$B$1:$D$1,0),1))*(BJ991/365))+(INDEX(Variables!$B$8:$D$8,IFERROR(MATCH(IF($B991="Robusta","Robusta",(IF($B991="","Arabica",$B991))&amp;" - "&amp;(IF($C991="","Commercial",$C991))),Variables!$B$1:$D$1,0),1))*L991/16.67)),""))</f>
        <v>-110.43977816388259</v>
      </c>
    </row>
    <row r="992" spans="1:63">
      <c r="A992" s="13" t="s">
        <v>103</v>
      </c>
      <c r="B992" s="13" t="s">
        <v>104</v>
      </c>
      <c r="C992" s="13" t="s">
        <v>105</v>
      </c>
      <c r="D992" s="31">
        <v>46091</v>
      </c>
      <c r="E992" s="31">
        <v>46204</v>
      </c>
      <c r="F992" s="31">
        <v>46234</v>
      </c>
      <c r="G992" s="13">
        <v>3787418</v>
      </c>
      <c r="J992" s="13" t="s">
        <v>2315</v>
      </c>
      <c r="K992" s="13">
        <v>5602</v>
      </c>
      <c r="L992" s="13">
        <v>960</v>
      </c>
      <c r="M992" s="13">
        <v>3</v>
      </c>
      <c r="N992" s="13" t="s">
        <v>2520</v>
      </c>
      <c r="O992" s="13" t="s">
        <v>538</v>
      </c>
      <c r="P992" s="13">
        <v>10080</v>
      </c>
      <c r="R992" s="13" t="s">
        <v>239</v>
      </c>
      <c r="S992" s="13" t="s">
        <v>2404</v>
      </c>
      <c r="T992" s="13" t="s">
        <v>112</v>
      </c>
      <c r="U992" s="13" t="s">
        <v>113</v>
      </c>
      <c r="V992" s="23">
        <v>24</v>
      </c>
      <c r="W992" s="44">
        <f>IF($AX992="Cancelled","",IFERROR(((V992+INDEX(Variables!$B$6:$D$6,IFERROR(MATCH(IF($B992="Robusta","Robusta",(IF($B992="","Arabica",$B992))&amp;" - "&amp;(IF($C992="","Commercial",$C992))),Variables!$B$1:$D$1,0),1)))*22.0462)*(L992/16.67),""))</f>
        <v>399672.3461067786</v>
      </c>
      <c r="X992" s="55" t="s">
        <v>37</v>
      </c>
      <c r="Y992" s="13" t="str">
        <f>IF($AX992="Cancelled","",IF(X992="","",IFERROR(IF(INDEX(Variables!$B$38:$B$47,MATCH(X992,Variables!$A$38:$A$47,0))="Yes","Yes","No"),"No")))</f>
        <v>Yes</v>
      </c>
      <c r="Z992" s="58">
        <v>46213</v>
      </c>
      <c r="AC992" s="13" t="str">
        <f t="shared" si="47"/>
        <v/>
      </c>
      <c r="AF992" s="71">
        <v>46239</v>
      </c>
      <c r="AG992" s="37">
        <f>IF($AX992="Cancelled","",IFERROR(IF(F992="","",F992-Variables!$B$13),""))</f>
        <v>46219</v>
      </c>
      <c r="AH992" s="13" t="str">
        <f>IF($AX992="Cancelled","",IFERROR(IF(AB992="","",(AVERAGE(E992:F992)-AB992)-Variables!$B$14),""))</f>
        <v/>
      </c>
      <c r="AJ992" s="47">
        <v>46241</v>
      </c>
      <c r="AK992" s="14">
        <f>IF($AX992="Cancelled","",IFERROR(IF(AJ992="","",IF(AND(AB992="",AF992=""),"",IF(AF992&gt;AB992,AF992+Variables!$B$15+Variables!$B$16+Variables!$B$17-AJ992,AB992+Variables!$B$16+Variables!$B$17-AJ992))),""))</f>
        <v>13</v>
      </c>
      <c r="AL992" s="48" t="s">
        <v>114</v>
      </c>
      <c r="AM992" s="13" t="s">
        <v>134</v>
      </c>
      <c r="AN992" s="13" t="s">
        <v>2521</v>
      </c>
      <c r="AP992" s="39">
        <v>46256</v>
      </c>
      <c r="AR992" s="13" t="s">
        <v>2522</v>
      </c>
      <c r="AS992" s="31">
        <v>46256</v>
      </c>
      <c r="AU992" s="39">
        <v>46281</v>
      </c>
      <c r="AV992" s="13" t="s">
        <v>865</v>
      </c>
      <c r="AW992" s="39">
        <v>46281</v>
      </c>
      <c r="AX992" s="13" t="str">
        <f>IF(ISNUMBER(SEARCH("cancel",#REF!)),"Cancelled",IF(AND(AS992&lt;&gt;"",AU992&lt;&gt;"",AW992&lt;&gt;""),"Closed","Open"))</f>
        <v>Closed</v>
      </c>
      <c r="AY992" s="15" t="str">
        <f t="shared" si="46"/>
        <v>All dates received</v>
      </c>
      <c r="AZ992" s="13" t="s">
        <v>3053</v>
      </c>
      <c r="BA992" s="13" t="s">
        <v>3048</v>
      </c>
      <c r="BB992" s="13" t="s">
        <v>3049</v>
      </c>
      <c r="BC992" s="13" t="s">
        <v>3048</v>
      </c>
      <c r="BD992" s="13">
        <f>IF($AX992="Cancelled","",IFERROR(IF(OR(AS992="",AJ992=""),"",(AJ992+Variables!$B$18-AS992)),""))</f>
        <v>0</v>
      </c>
      <c r="BE992" s="13">
        <f>IF($AX992="Cancelled","",IFERROR(IF(OR(AW992="",AS992=""),"",(AS992+Variables!$B$19)-AW992),""))</f>
        <v>-20</v>
      </c>
      <c r="BF992" s="44">
        <f>IF($AX992="Cancelled","",IFERROR(W992*INDEX(Variables!$B$7:$D$7,IFERROR(MATCH(IF($B992="Robusta","Robusta",(IF($B992="","Arabica",$B992))&amp;" - "&amp;(IF($C992="","Commercial",$C992))),Variables!$B$1:$D$1,0),1))*(BE992/365),""))</f>
        <v>-1412.1508030754258</v>
      </c>
      <c r="BG992" s="44" t="str">
        <f>IF($AX992="Cancelled","",IFERROR((W992*INDEX(Variables!$B$7:$D$7,IFERROR(MATCH(IF($B992="Robusta","Robusta",(IF($B992="","Arabica",$B992))&amp;" - "&amp;(IF($C992="","Commercial",$C992))),Variables!$B$1:$D$1,0),1))*IFERROR(IF(AB992="","",(AVERAGE(E992:F992)-AB992)-Variables!$B$14),"")/365)+(L992/16.67*INDEX(Variables!$B$8:$D$8,IFERROR(MATCH(IF($B992="Robusta","Robusta",(IF($B992="","Arabica",$B992))&amp;" - "&amp;(IF($C992="","Commercial",$C992))),Variables!$B$1:$D$1,0),1))*IFERROR(IF(AB992="","",(AVERAGE(E992:F992)-AB992)-Variables!$B$14),""))+(W992*INDEX(Variables!$B$9:$D$9,IFERROR(MATCH(IF($B992="Robusta","Robusta",(IF($B992="","Arabica",$B992))&amp;" - "&amp;(IF($C992="","Commercial",$C992))),Variables!$B$1:$D$1,0),1))*IFERROR(IF(AB992="","",(AVERAGE(E992:F992)-AB992)-Variables!$B$14),"")/365),""))</f>
        <v/>
      </c>
      <c r="BH992" s="44">
        <f>IF($AX992="Cancelled","",IFERROR((W992*INDEX(Variables!$B$7:$D$7,IFERROR(MATCH(IF($B992="Robusta","Robusta",(IF($B992="","Arabica",$B992))&amp;" - "&amp;(IF($C992="","Commercial",$C992))),Variables!$B$1:$D$1,0),1))*AK992/365)+(L992/16.67*INDEX(Variables!$B$8:$D$8,IFERROR(MATCH(IF($B992="Robusta","Robusta",(IF($B992="","Arabica",$B992))&amp;" - "&amp;(IF($C992="","Commercial",$C992))),Variables!$B$1:$D$1,0),1))*AK992)+(W992*INDEX(Variables!$B$9:$D$9,IFERROR(MATCH(IF($B992="Robusta","Robusta",(IF($B992="","Arabica",$B992))&amp;" - "&amp;(IF($C992="","Commercial",$C992))),Variables!$B$1:$D$1,0),1))*AK992/365),""))</f>
        <v>1553.7314989227016</v>
      </c>
      <c r="BI992" s="44">
        <f>IF($AX992="Cancelled","",IFERROR((W992*INDEX(Variables!$B$7:$D$7,IFERROR(MATCH(IF($B992="Robusta","Robusta",(IF($B992="","Arabica",$B992))&amp;" - "&amp;(IF($C992="","Commercial",$C992))),Variables!$B$1:$D$1,0),1))*BD992/365)+(L992/16.67*INDEX(Variables!$B$8:$D$8,IFERROR(MATCH(IF($B992="Robusta","Robusta",(IF($B992="","Arabica",$B992))&amp;" - "&amp;(IF($C992="","Commercial",$C992))),Variables!$B$1:$D$1,0),1))*BD992)+(W992*INDEX(Variables!$B$9:$D$9,IFERROR(MATCH(IF($B992="Robusta","Robusta",(IF($B992="","Arabica",$B992))&amp;" - "&amp;(IF($C992="","Commercial",$C992))),Variables!$B$1:$D$1,0),1))*BD992/365),""))</f>
        <v>0</v>
      </c>
      <c r="BJ992" s="44">
        <f t="shared" si="48"/>
        <v>-22</v>
      </c>
      <c r="BK992" s="44">
        <f>IF($AX992="Cancelled","",IFERROR(IF(BJ992="","",(W992*INDEX(Variables!$B$7:$D$7,IFERROR(MATCH(IF($B992="Robusta","Robusta",(IF($B992="","Arabica",$B992))&amp;" - "&amp;(IF($C992="","Commercial",$C992))),Variables!$B$1:$D$1,0),1))*(BJ992/365))+(W992*INDEX(Variables!$B$9:$D$9,IFERROR(MATCH(IF($B992="Robusta","Robusta",(IF($B992="","Arabica",$B992))&amp;" - "&amp;(IF($C992="","Commercial",$C992))),Variables!$B$1:$D$1,0),1))*(BJ992/365))+(INDEX(Variables!$B$8:$D$8,IFERROR(MATCH(IF($B992="Robusta","Robusta",(IF($B992="","Arabica",$B992))&amp;" - "&amp;(IF($C992="","Commercial",$C992))),Variables!$B$1:$D$1,0),1))*L992/16.67)),""))</f>
        <v>-1525.391767407649</v>
      </c>
    </row>
    <row r="993" spans="1:63">
      <c r="A993" s="13" t="s">
        <v>103</v>
      </c>
      <c r="B993" s="13" t="s">
        <v>104</v>
      </c>
      <c r="C993" s="13" t="s">
        <v>105</v>
      </c>
      <c r="D993" s="31">
        <v>46090</v>
      </c>
      <c r="E993" s="31">
        <v>46143</v>
      </c>
      <c r="F993" s="31">
        <v>46173</v>
      </c>
      <c r="G993" s="13">
        <v>3787419</v>
      </c>
      <c r="J993" s="13" t="s">
        <v>118</v>
      </c>
      <c r="K993" s="13">
        <v>5507</v>
      </c>
      <c r="L993" s="13">
        <v>1080</v>
      </c>
      <c r="M993" s="13">
        <v>3</v>
      </c>
      <c r="N993" s="13" t="s">
        <v>2523</v>
      </c>
      <c r="O993" s="13" t="s">
        <v>109</v>
      </c>
      <c r="P993" s="13">
        <v>10080</v>
      </c>
      <c r="R993" s="13" t="s">
        <v>122</v>
      </c>
      <c r="S993" s="13" t="s">
        <v>123</v>
      </c>
      <c r="T993" s="13" t="s">
        <v>124</v>
      </c>
      <c r="U993" s="13" t="s">
        <v>125</v>
      </c>
      <c r="V993" s="23">
        <v>20</v>
      </c>
      <c r="W993" s="44">
        <f>IF($AX993="Cancelled","",IFERROR(((V993+INDEX(Variables!$B$6:$D$6,IFERROR(MATCH(IF($B993="Robusta","Robusta",(IF($B993="","Arabica",$B993))&amp;" - "&amp;(IF($C993="","Commercial",$C993))),Variables!$B$1:$D$1,0),1)))*22.0462)*(L993/16.67),""))</f>
        <v>443918.1569766046</v>
      </c>
      <c r="X993" s="55" t="s">
        <v>37</v>
      </c>
      <c r="Y993" s="13" t="str">
        <f>IF($AX993="Cancelled","",IF(X993="","",IFERROR(IF(INDEX(Variables!$B$38:$B$47,MATCH(X993,Variables!$A$38:$A$47,0))="Yes","Yes","No"),"No")))</f>
        <v>Yes</v>
      </c>
      <c r="Z993" s="58">
        <v>46108</v>
      </c>
      <c r="AB993" s="31">
        <v>46127</v>
      </c>
      <c r="AC993" s="13" t="str">
        <f t="shared" si="47"/>
        <v>Approved</v>
      </c>
      <c r="AF993" s="71">
        <v>46141</v>
      </c>
      <c r="AG993" s="37">
        <f>IF($AX993="Cancelled","",IFERROR(IF(F993="","",F993-Variables!$B$13),""))</f>
        <v>46158</v>
      </c>
      <c r="AH993" s="13">
        <f>IF($AX993="Cancelled","",IFERROR(IF(AB993="","",(AVERAGE(E993:F993)-AB993)-Variables!$B$14),""))</f>
        <v>1</v>
      </c>
      <c r="AJ993" s="47">
        <v>46150</v>
      </c>
      <c r="AK993" s="14">
        <f>IF($AX993="Cancelled","",IFERROR(IF(AJ993="","",IF(AND(AB993="",AF993=""),"",IF(AF993&gt;AB993,AF993+Variables!$B$15+Variables!$B$16+Variables!$B$17-AJ993,AB993+Variables!$B$16+Variables!$B$17-AJ993))),""))</f>
        <v>6</v>
      </c>
      <c r="AL993" s="48" t="s">
        <v>114</v>
      </c>
      <c r="AM993" s="13" t="s">
        <v>168</v>
      </c>
      <c r="AN993" s="13" t="s">
        <v>2089</v>
      </c>
      <c r="AP993" s="39">
        <v>46166</v>
      </c>
      <c r="AR993" s="13" t="s">
        <v>2524</v>
      </c>
      <c r="AS993" s="31">
        <v>46166</v>
      </c>
      <c r="AU993" s="31">
        <v>46183</v>
      </c>
      <c r="AV993" s="13" t="e">
        <v>#REF!</v>
      </c>
      <c r="AW993" s="31">
        <v>46183</v>
      </c>
      <c r="AX993" s="13" t="str">
        <f>IF(ISNUMBER(SEARCH("cancel",#REF!)),"Cancelled",IF(AND(AS993&lt;&gt;"",AU993&lt;&gt;"",AW993&lt;&gt;""),"Closed","Open"))</f>
        <v>Closed</v>
      </c>
      <c r="AY993" s="15" t="str">
        <f t="shared" si="46"/>
        <v>All dates received</v>
      </c>
      <c r="BD993" s="13">
        <f>IF($AX993="Cancelled","",IFERROR(IF(OR(AS993="",AJ993=""),"",(AJ993+Variables!$B$18-AS993)),""))</f>
        <v>-1</v>
      </c>
      <c r="BE993" s="13">
        <f>IF($AX993="Cancelled","",IFERROR(IF(OR(AW993="",AS993=""),"",(AS993+Variables!$B$19)-AW993),""))</f>
        <v>-12</v>
      </c>
      <c r="BF993" s="44">
        <f>IF($AX993="Cancelled","",IFERROR(W993*INDEX(Variables!$B$7:$D$7,IFERROR(MATCH(IF($B993="Robusta","Robusta",(IF($B993="","Arabica",$B993))&amp;" - "&amp;(IF($C993="","Commercial",$C993))),Variables!$B$1:$D$1,0),1))*(BE993/365),""))</f>
        <v>-941.0899522782513</v>
      </c>
      <c r="BG993" s="44">
        <f>IF($AX993="Cancelled","",IFERROR((W993*INDEX(Variables!$B$7:$D$7,IFERROR(MATCH(IF($B993="Robusta","Robusta",(IF($B993="","Arabica",$B993))&amp;" - "&amp;(IF($C993="","Commercial",$C993))),Variables!$B$1:$D$1,0),1))*IFERROR(IF(AB993="","",(AVERAGE(E993:F993)-AB993)-Variables!$B$14),"")/365)+(L993/16.67*INDEX(Variables!$B$8:$D$8,IFERROR(MATCH(IF($B993="Robusta","Robusta",(IF($B993="","Arabica",$B993))&amp;" - "&amp;(IF($C993="","Commercial",$C993))),Variables!$B$1:$D$1,0),1))*IFERROR(IF(AB993="","",(AVERAGE(E993:F993)-AB993)-Variables!$B$14),""))+(W993*INDEX(Variables!$B$9:$D$9,IFERROR(MATCH(IF($B993="Robusta","Robusta",(IF($B993="","Arabica",$B993))&amp;" - "&amp;(IF($C993="","Commercial",$C993))),Variables!$B$1:$D$1,0),1))*IFERROR(IF(AB993="","",(AVERAGE(E993:F993)-AB993)-Variables!$B$14),"")/365),""))</f>
        <v>133.43520149504511</v>
      </c>
      <c r="BH993" s="44">
        <f>IF($AX993="Cancelled","",IFERROR((W993*INDEX(Variables!$B$7:$D$7,IFERROR(MATCH(IF($B993="Robusta","Robusta",(IF($B993="","Arabica",$B993))&amp;" - "&amp;(IF($C993="","Commercial",$C993))),Variables!$B$1:$D$1,0),1))*AK993/365)+(L993/16.67*INDEX(Variables!$B$8:$D$8,IFERROR(MATCH(IF($B993="Robusta","Robusta",(IF($B993="","Arabica",$B993))&amp;" - "&amp;(IF($C993="","Commercial",$C993))),Variables!$B$1:$D$1,0),1))*AK993)+(W993*INDEX(Variables!$B$9:$D$9,IFERROR(MATCH(IF($B993="Robusta","Robusta",(IF($B993="","Arabica",$B993))&amp;" - "&amp;(IF($C993="","Commercial",$C993))),Variables!$B$1:$D$1,0),1))*AK993/365),""))</f>
        <v>800.6112089702707</v>
      </c>
      <c r="BI993" s="44">
        <f>IF($AX993="Cancelled","",IFERROR((W993*INDEX(Variables!$B$7:$D$7,IFERROR(MATCH(IF($B993="Robusta","Robusta",(IF($B993="","Arabica",$B993))&amp;" - "&amp;(IF($C993="","Commercial",$C993))),Variables!$B$1:$D$1,0),1))*BD993/365)+(L993/16.67*INDEX(Variables!$B$8:$D$8,IFERROR(MATCH(IF($B993="Robusta","Robusta",(IF($B993="","Arabica",$B993))&amp;" - "&amp;(IF($C993="","Commercial",$C993))),Variables!$B$1:$D$1,0),1))*BD993)+(W993*INDEX(Variables!$B$9:$D$9,IFERROR(MATCH(IF($B993="Robusta","Robusta",(IF($B993="","Arabica",$B993))&amp;" - "&amp;(IF($C993="","Commercial",$C993))),Variables!$B$1:$D$1,0),1))*BD993/365),""))</f>
        <v>-133.43520149504511</v>
      </c>
      <c r="BJ993" s="44">
        <f t="shared" si="48"/>
        <v>7</v>
      </c>
      <c r="BK993" s="44">
        <f>IF($AX993="Cancelled","",IFERROR(IF(BJ993="","",(W993*INDEX(Variables!$B$7:$D$7,IFERROR(MATCH(IF($B993="Robusta","Robusta",(IF($B993="","Arabica",$B993))&amp;" - "&amp;(IF($C993="","Commercial",$C993))),Variables!$B$1:$D$1,0),1))*(BJ993/365))+(W993*INDEX(Variables!$B$9:$D$9,IFERROR(MATCH(IF($B993="Robusta","Robusta",(IF($B993="","Arabica",$B993))&amp;" - "&amp;(IF($C993="","Commercial",$C993))),Variables!$B$1:$D$1,0),1))*(BJ993/365))+(INDEX(Variables!$B$8:$D$8,IFERROR(MATCH(IF($B993="Robusta","Robusta",(IF($B993="","Arabica",$B993))&amp;" - "&amp;(IF($C993="","Commercial",$C993))),Variables!$B$1:$D$1,0),1))*L993/16.67)),""))</f>
        <v>610.04641046531583</v>
      </c>
    </row>
    <row r="994" spans="1:63">
      <c r="A994" s="13" t="s">
        <v>103</v>
      </c>
      <c r="B994" s="13" t="s">
        <v>104</v>
      </c>
      <c r="C994" s="13" t="s">
        <v>105</v>
      </c>
      <c r="D994" s="31">
        <v>46090</v>
      </c>
      <c r="E994" s="31">
        <v>46174</v>
      </c>
      <c r="F994" s="31">
        <v>46203</v>
      </c>
      <c r="G994" s="13">
        <v>3787420</v>
      </c>
      <c r="J994" s="13" t="s">
        <v>118</v>
      </c>
      <c r="K994" s="13">
        <v>5559</v>
      </c>
      <c r="L994" s="13">
        <v>1080</v>
      </c>
      <c r="M994" s="13">
        <v>3</v>
      </c>
      <c r="N994" s="13" t="s">
        <v>2523</v>
      </c>
      <c r="O994" s="13" t="s">
        <v>109</v>
      </c>
      <c r="P994" s="13">
        <v>10080</v>
      </c>
      <c r="R994" s="13" t="s">
        <v>122</v>
      </c>
      <c r="S994" s="13" t="s">
        <v>123</v>
      </c>
      <c r="T994" s="13" t="s">
        <v>124</v>
      </c>
      <c r="U994" s="13" t="s">
        <v>125</v>
      </c>
      <c r="V994" s="23">
        <v>20</v>
      </c>
      <c r="W994" s="44">
        <f>IF($AX994="Cancelled","",IFERROR(((V994+INDEX(Variables!$B$6:$D$6,IFERROR(MATCH(IF($B994="Robusta","Robusta",(IF($B994="","Arabica",$B994))&amp;" - "&amp;(IF($C994="","Commercial",$C994))),Variables!$B$1:$D$1,0),1)))*22.0462)*(L994/16.67),""))</f>
        <v>443918.1569766046</v>
      </c>
      <c r="X994" s="55" t="s">
        <v>37</v>
      </c>
      <c r="Y994" s="13" t="str">
        <f>IF($AX994="Cancelled","",IF(X994="","",IFERROR(IF(INDEX(Variables!$B$38:$B$47,MATCH(X994,Variables!$A$38:$A$47,0))="Yes","Yes","No"),"No")))</f>
        <v>Yes</v>
      </c>
      <c r="Z994" s="58">
        <v>46133</v>
      </c>
      <c r="AB994" s="31">
        <v>46146</v>
      </c>
      <c r="AC994" s="13" t="str">
        <f t="shared" si="47"/>
        <v>Approved</v>
      </c>
      <c r="AF994" s="71">
        <v>46190</v>
      </c>
      <c r="AG994" s="37">
        <f>IF($AX994="Cancelled","",IFERROR(IF(F994="","",F994-Variables!$B$13),""))</f>
        <v>46188</v>
      </c>
      <c r="AH994" s="13">
        <f>IF($AX994="Cancelled","",IFERROR(IF(AB994="","",(AVERAGE(E994:F994)-AB994)-Variables!$B$14),""))</f>
        <v>12.5</v>
      </c>
      <c r="AJ994" s="47">
        <v>46197</v>
      </c>
      <c r="AK994" s="14">
        <f>IF($AX994="Cancelled","",IFERROR(IF(AJ994="","",IF(AND(AB994="",AF994=""),"",IF(AF994&gt;AB994,AF994+Variables!$B$15+Variables!$B$16+Variables!$B$17-AJ994,AB994+Variables!$B$16+Variables!$B$17-AJ994))),""))</f>
        <v>8</v>
      </c>
      <c r="AL994" s="48" t="s">
        <v>114</v>
      </c>
      <c r="AM994" s="13" t="s">
        <v>168</v>
      </c>
      <c r="AN994" s="13" t="s">
        <v>2405</v>
      </c>
      <c r="AP994" s="39">
        <v>46212</v>
      </c>
      <c r="AR994" s="13" t="s">
        <v>2525</v>
      </c>
      <c r="AS994" s="31">
        <v>46212</v>
      </c>
      <c r="AU994" s="31">
        <v>46252</v>
      </c>
      <c r="AV994" s="13" t="s">
        <v>865</v>
      </c>
      <c r="AW994" s="39">
        <v>46252</v>
      </c>
      <c r="AX994" s="13" t="str">
        <f>IF(ISNUMBER(SEARCH("cancel",#REF!)),"Cancelled",IF(AND(AS994&lt;&gt;"",AU994&lt;&gt;"",AW994&lt;&gt;""),"Closed","Open"))</f>
        <v>Closed</v>
      </c>
      <c r="AY994" s="15" t="str">
        <f t="shared" si="46"/>
        <v>All dates received</v>
      </c>
      <c r="AZ994" s="13" t="s">
        <v>3053</v>
      </c>
      <c r="BA994" s="13" t="s">
        <v>3048</v>
      </c>
      <c r="BB994" s="13" t="s">
        <v>3049</v>
      </c>
      <c r="BC994" s="13" t="s">
        <v>3048</v>
      </c>
      <c r="BD994" s="13">
        <f>IF($AX994="Cancelled","",IFERROR(IF(OR(AS994="",AJ994=""),"",(AJ994+Variables!$B$18-AS994)),""))</f>
        <v>0</v>
      </c>
      <c r="BE994" s="13">
        <f>IF($AX994="Cancelled","",IFERROR(IF(OR(AW994="",AS994=""),"",(AS994+Variables!$B$19)-AW994),""))</f>
        <v>-35</v>
      </c>
      <c r="BF994" s="44">
        <f>IF($AX994="Cancelled","",IFERROR(W994*INDEX(Variables!$B$7:$D$7,IFERROR(MATCH(IF($B994="Robusta","Robusta",(IF($B994="","Arabica",$B994))&amp;" - "&amp;(IF($C994="","Commercial",$C994))),Variables!$B$1:$D$1,0),1))*(BE994/365),""))</f>
        <v>-2744.8456941448999</v>
      </c>
      <c r="BG994" s="44">
        <f>IF($AX994="Cancelled","",IFERROR((W994*INDEX(Variables!$B$7:$D$7,IFERROR(MATCH(IF($B994="Robusta","Robusta",(IF($B994="","Arabica",$B994))&amp;" - "&amp;(IF($C994="","Commercial",$C994))),Variables!$B$1:$D$1,0),1))*IFERROR(IF(AB994="","",(AVERAGE(E994:F994)-AB994)-Variables!$B$14),"")/365)+(L994/16.67*INDEX(Variables!$B$8:$D$8,IFERROR(MATCH(IF($B994="Robusta","Robusta",(IF($B994="","Arabica",$B994))&amp;" - "&amp;(IF($C994="","Commercial",$C994))),Variables!$B$1:$D$1,0),1))*IFERROR(IF(AB994="","",(AVERAGE(E994:F994)-AB994)-Variables!$B$14),""))+(W994*INDEX(Variables!$B$9:$D$9,IFERROR(MATCH(IF($B994="Robusta","Robusta",(IF($B994="","Arabica",$B994))&amp;" - "&amp;(IF($C994="","Commercial",$C994))),Variables!$B$1:$D$1,0),1))*IFERROR(IF(AB994="","",(AVERAGE(E994:F994)-AB994)-Variables!$B$14),"")/365),""))</f>
        <v>1667.9400186880637</v>
      </c>
      <c r="BH994" s="44">
        <f>IF($AX994="Cancelled","",IFERROR((W994*INDEX(Variables!$B$7:$D$7,IFERROR(MATCH(IF($B994="Robusta","Robusta",(IF($B994="","Arabica",$B994))&amp;" - "&amp;(IF($C994="","Commercial",$C994))),Variables!$B$1:$D$1,0),1))*AK994/365)+(L994/16.67*INDEX(Variables!$B$8:$D$8,IFERROR(MATCH(IF($B994="Robusta","Robusta",(IF($B994="","Arabica",$B994))&amp;" - "&amp;(IF($C994="","Commercial",$C994))),Variables!$B$1:$D$1,0),1))*AK994)+(W994*INDEX(Variables!$B$9:$D$9,IFERROR(MATCH(IF($B994="Robusta","Robusta",(IF($B994="","Arabica",$B994))&amp;" - "&amp;(IF($C994="","Commercial",$C994))),Variables!$B$1:$D$1,0),1))*AK994/365),""))</f>
        <v>1067.4816119603609</v>
      </c>
      <c r="BI994" s="44">
        <f>IF($AX994="Cancelled","",IFERROR((W994*INDEX(Variables!$B$7:$D$7,IFERROR(MATCH(IF($B994="Robusta","Robusta",(IF($B994="","Arabica",$B994))&amp;" - "&amp;(IF($C994="","Commercial",$C994))),Variables!$B$1:$D$1,0),1))*BD994/365)+(L994/16.67*INDEX(Variables!$B$8:$D$8,IFERROR(MATCH(IF($B994="Robusta","Robusta",(IF($B994="","Arabica",$B994))&amp;" - "&amp;(IF($C994="","Commercial",$C994))),Variables!$B$1:$D$1,0),1))*BD994)+(W994*INDEX(Variables!$B$9:$D$9,IFERROR(MATCH(IF($B994="Robusta","Robusta",(IF($B994="","Arabica",$B994))&amp;" - "&amp;(IF($C994="","Commercial",$C994))),Variables!$B$1:$D$1,0),1))*BD994/365),""))</f>
        <v>0</v>
      </c>
      <c r="BJ994" s="44">
        <f t="shared" si="48"/>
        <v>-9</v>
      </c>
      <c r="BK994" s="44">
        <f>IF($AX994="Cancelled","",IFERROR(IF(BJ994="","",(W994*INDEX(Variables!$B$7:$D$7,IFERROR(MATCH(IF($B994="Robusta","Robusta",(IF($B994="","Arabica",$B994))&amp;" - "&amp;(IF($C994="","Commercial",$C994))),Variables!$B$1:$D$1,0),1))*(BJ994/365))+(W994*INDEX(Variables!$B$9:$D$9,IFERROR(MATCH(IF($B994="Robusta","Robusta",(IF($B994="","Arabica",$B994))&amp;" - "&amp;(IF($C994="","Commercial",$C994))),Variables!$B$1:$D$1,0),1))*(BJ994/365))+(INDEX(Variables!$B$8:$D$8,IFERROR(MATCH(IF($B994="Robusta","Robusta",(IF($B994="","Arabica",$B994))&amp;" - "&amp;(IF($C994="","Commercial",$C994))),Variables!$B$1:$D$1,0),1))*L994/16.67)),""))</f>
        <v>-660.91681345540599</v>
      </c>
    </row>
    <row r="995" spans="1:63">
      <c r="A995" s="13" t="s">
        <v>103</v>
      </c>
      <c r="B995" s="13" t="s">
        <v>104</v>
      </c>
      <c r="C995" s="13" t="s">
        <v>105</v>
      </c>
      <c r="D995" s="31">
        <v>46090</v>
      </c>
      <c r="E995" s="31">
        <v>46174</v>
      </c>
      <c r="F995" s="31">
        <v>46203</v>
      </c>
      <c r="G995" s="13">
        <v>3787421</v>
      </c>
      <c r="J995" s="13" t="s">
        <v>118</v>
      </c>
      <c r="K995" s="13" t="s">
        <v>2526</v>
      </c>
      <c r="L995" s="13">
        <v>1800</v>
      </c>
      <c r="M995" s="13">
        <v>5</v>
      </c>
      <c r="N995" s="13" t="s">
        <v>2527</v>
      </c>
      <c r="O995" s="13" t="s">
        <v>332</v>
      </c>
      <c r="P995" s="13">
        <v>10120</v>
      </c>
      <c r="R995" s="13" t="s">
        <v>122</v>
      </c>
      <c r="S995" s="13" t="s">
        <v>138</v>
      </c>
      <c r="T995" s="13" t="s">
        <v>139</v>
      </c>
      <c r="U995" s="13" t="s">
        <v>125</v>
      </c>
      <c r="V995" s="23">
        <v>-28</v>
      </c>
      <c r="W995" s="44">
        <f>IF($AX995="Cancelled","",IFERROR(((V995+INDEX(Variables!$B$6:$D$6,IFERROR(MATCH(IF($B995="Robusta","Robusta",(IF($B995="","Arabica",$B995))&amp;" - "&amp;(IF($C995="","Commercial",$C995))),Variables!$B$1:$D$1,0),1)))*22.0462)*(L995/16.67),""))</f>
        <v>625598.94709058176</v>
      </c>
      <c r="X995" s="55" t="s">
        <v>37</v>
      </c>
      <c r="Y995" s="13" t="str">
        <f>IF($AX995="Cancelled","",IF(X995="","",IFERROR(IF(INDEX(Variables!$B$38:$B$47,MATCH(X995,Variables!$A$38:$A$47,0))="Yes","Yes","No"),"No")))</f>
        <v>Yes</v>
      </c>
      <c r="Z995" s="58">
        <v>46133</v>
      </c>
      <c r="AB995" s="31">
        <v>46162</v>
      </c>
      <c r="AC995" s="13" t="str">
        <f t="shared" si="47"/>
        <v>Approved</v>
      </c>
      <c r="AF995" s="71">
        <v>46192</v>
      </c>
      <c r="AG995" s="37">
        <f>IF($AX995="Cancelled","",IFERROR(IF(F995="","",F995-Variables!$B$13),""))</f>
        <v>46188</v>
      </c>
      <c r="AH995" s="13">
        <f>IF($AX995="Cancelled","",IFERROR(IF(AB995="","",(AVERAGE(E995:F995)-AB995)-Variables!$B$14),""))</f>
        <v>-3.5</v>
      </c>
      <c r="AJ995" s="47">
        <v>46195</v>
      </c>
      <c r="AK995" s="14">
        <f>IF($AX995="Cancelled","",IFERROR(IF(AJ995="","",IF(AND(AB995="",AF995=""),"",IF(AF995&gt;AB995,AF995+Variables!$B$15+Variables!$B$16+Variables!$B$17-AJ995,AB995+Variables!$B$16+Variables!$B$17-AJ995))),""))</f>
        <v>12</v>
      </c>
      <c r="AL995" s="48" t="s">
        <v>114</v>
      </c>
      <c r="AM995" s="13" t="s">
        <v>168</v>
      </c>
      <c r="AN995" s="13" t="s">
        <v>2528</v>
      </c>
      <c r="AP995" s="39">
        <v>46212</v>
      </c>
      <c r="AR995" s="13">
        <v>934320</v>
      </c>
      <c r="AS995" s="31">
        <v>46212</v>
      </c>
      <c r="AU995" s="31">
        <v>46224</v>
      </c>
      <c r="AV995" s="13" t="s">
        <v>865</v>
      </c>
      <c r="AW995" s="39">
        <v>46224</v>
      </c>
      <c r="AX995" s="13" t="str">
        <f>IF(ISNUMBER(SEARCH("cancel",#REF!)),"Cancelled",IF(AND(AS995&lt;&gt;"",AU995&lt;&gt;"",AW995&lt;&gt;""),"Closed","Open"))</f>
        <v>Closed</v>
      </c>
      <c r="AY995" s="15" t="str">
        <f t="shared" si="46"/>
        <v>All dates received</v>
      </c>
      <c r="AZ995" s="13" t="s">
        <v>3053</v>
      </c>
      <c r="BA995" s="13" t="s">
        <v>3048</v>
      </c>
      <c r="BB995" s="13" t="s">
        <v>3049</v>
      </c>
      <c r="BC995" s="13" t="s">
        <v>3290</v>
      </c>
      <c r="BD995" s="13">
        <f>IF($AX995="Cancelled","",IFERROR(IF(OR(AS995="",AJ995=""),"",(AJ995+Variables!$B$18-AS995)),""))</f>
        <v>-2</v>
      </c>
      <c r="BE995" s="13">
        <f>IF($AX995="Cancelled","",IFERROR(IF(OR(AW995="",AS995=""),"",(AS995+Variables!$B$19)-AW995),""))</f>
        <v>-7</v>
      </c>
      <c r="BF995" s="44">
        <f>IF($AX995="Cancelled","",IFERROR(W995*INDEX(Variables!$B$7:$D$7,IFERROR(MATCH(IF($B995="Robusta","Robusta",(IF($B995="","Arabica",$B995))&amp;" - "&amp;(IF($C995="","Commercial",$C995))),Variables!$B$1:$D$1,0),1))*(BE995/365),""))</f>
        <v>-773.64376707558961</v>
      </c>
      <c r="BG995" s="44">
        <f>IF($AX995="Cancelled","",IFERROR((W995*INDEX(Variables!$B$7:$D$7,IFERROR(MATCH(IF($B995="Robusta","Robusta",(IF($B995="","Arabica",$B995))&amp;" - "&amp;(IF($C995="","Commercial",$C995))),Variables!$B$1:$D$1,0),1))*IFERROR(IF(AB995="","",(AVERAGE(E995:F995)-AB995)-Variables!$B$14),"")/365)+(L995/16.67*INDEX(Variables!$B$8:$D$8,IFERROR(MATCH(IF($B995="Robusta","Robusta",(IF($B995="","Arabica",$B995))&amp;" - "&amp;(IF($C995="","Commercial",$C995))),Variables!$B$1:$D$1,0),1))*IFERROR(IF(AB995="","",(AVERAGE(E995:F995)-AB995)-Variables!$B$14),""))+(W995*INDEX(Variables!$B$9:$D$9,IFERROR(MATCH(IF($B995="Robusta","Robusta",(IF($B995="","Arabica",$B995))&amp;" - "&amp;(IF($C995="","Commercial",$C995))),Variables!$B$1:$D$1,0),1))*IFERROR(IF(AB995="","",(AVERAGE(E995:F995)-AB995)-Variables!$B$14),"")/365),""))</f>
        <v>-706.80876413096576</v>
      </c>
      <c r="BH995" s="44">
        <f>IF($AX995="Cancelled","",IFERROR((W995*INDEX(Variables!$B$7:$D$7,IFERROR(MATCH(IF($B995="Robusta","Robusta",(IF($B995="","Arabica",$B995))&amp;" - "&amp;(IF($C995="","Commercial",$C995))),Variables!$B$1:$D$1,0),1))*AK995/365)+(L995/16.67*INDEX(Variables!$B$8:$D$8,IFERROR(MATCH(IF($B995="Robusta","Robusta",(IF($B995="","Arabica",$B995))&amp;" - "&amp;(IF($C995="","Commercial",$C995))),Variables!$B$1:$D$1,0),1))*AK995)+(W995*INDEX(Variables!$B$9:$D$9,IFERROR(MATCH(IF($B995="Robusta","Robusta",(IF($B995="","Arabica",$B995))&amp;" - "&amp;(IF($C995="","Commercial",$C995))),Variables!$B$1:$D$1,0),1))*AK995/365),""))</f>
        <v>2423.344334163311</v>
      </c>
      <c r="BI995" s="44">
        <f>IF($AX995="Cancelled","",IFERROR((W995*INDEX(Variables!$B$7:$D$7,IFERROR(MATCH(IF($B995="Robusta","Robusta",(IF($B995="","Arabica",$B995))&amp;" - "&amp;(IF($C995="","Commercial",$C995))),Variables!$B$1:$D$1,0),1))*BD995/365)+(L995/16.67*INDEX(Variables!$B$8:$D$8,IFERROR(MATCH(IF($B995="Robusta","Robusta",(IF($B995="","Arabica",$B995))&amp;" - "&amp;(IF($C995="","Commercial",$C995))),Variables!$B$1:$D$1,0),1))*BD995)+(W995*INDEX(Variables!$B$9:$D$9,IFERROR(MATCH(IF($B995="Robusta","Robusta",(IF($B995="","Arabica",$B995))&amp;" - "&amp;(IF($C995="","Commercial",$C995))),Variables!$B$1:$D$1,0),1))*BD995/365),""))</f>
        <v>-403.89072236055188</v>
      </c>
      <c r="BJ995" s="44">
        <f t="shared" si="48"/>
        <v>-9</v>
      </c>
      <c r="BK995" s="44">
        <f>IF($AX995="Cancelled","",IFERROR(IF(BJ995="","",(W995*INDEX(Variables!$B$7:$D$7,IFERROR(MATCH(IF($B995="Robusta","Robusta",(IF($B995="","Arabica",$B995))&amp;" - "&amp;(IF($C995="","Commercial",$C995))),Variables!$B$1:$D$1,0),1))*(BJ995/365))+(W995*INDEX(Variables!$B$9:$D$9,IFERROR(MATCH(IF($B995="Robusta","Robusta",(IF($B995="","Arabica",$B995))&amp;" - "&amp;(IF($C995="","Commercial",$C995))),Variables!$B$1:$D$1,0),1))*(BJ995/365))+(INDEX(Variables!$B$8:$D$8,IFERROR(MATCH(IF($B995="Robusta","Robusta",(IF($B995="","Arabica",$B995))&amp;" - "&amp;(IF($C995="","Commercial",$C995))),Variables!$B$1:$D$1,0),1))*L995/16.67)),""))</f>
        <v>-917.50825062248327</v>
      </c>
    </row>
    <row r="996" spans="1:63">
      <c r="A996" s="13" t="s">
        <v>103</v>
      </c>
      <c r="B996" s="13" t="s">
        <v>104</v>
      </c>
      <c r="C996" s="13" t="s">
        <v>105</v>
      </c>
      <c r="D996" s="31">
        <v>46090</v>
      </c>
      <c r="E996" s="31">
        <v>46174</v>
      </c>
      <c r="F996" s="31">
        <v>46203</v>
      </c>
      <c r="G996" s="13">
        <v>3787421</v>
      </c>
      <c r="J996" s="13" t="s">
        <v>118</v>
      </c>
      <c r="K996" s="13" t="s">
        <v>2526</v>
      </c>
      <c r="L996" s="13">
        <v>720</v>
      </c>
      <c r="M996" s="13">
        <v>2</v>
      </c>
      <c r="N996" s="13" t="s">
        <v>2527</v>
      </c>
      <c r="O996" s="13" t="s">
        <v>332</v>
      </c>
      <c r="P996" s="13">
        <v>10120</v>
      </c>
      <c r="R996" s="13" t="s">
        <v>122</v>
      </c>
      <c r="S996" s="13" t="s">
        <v>138</v>
      </c>
      <c r="T996" s="13" t="s">
        <v>139</v>
      </c>
      <c r="U996" s="13" t="s">
        <v>125</v>
      </c>
      <c r="V996" s="23">
        <v>-28</v>
      </c>
      <c r="W996" s="44">
        <f>IF($AX996="Cancelled","",IFERROR(((V996+INDEX(Variables!$B$6:$D$6,IFERROR(MATCH(IF($B996="Robusta","Robusta",(IF($B996="","Arabica",$B996))&amp;" - "&amp;(IF($C996="","Commercial",$C996))),Variables!$B$1:$D$1,0),1)))*22.0462)*(L996/16.67),""))</f>
        <v>250239.57883623274</v>
      </c>
      <c r="X996" s="55" t="s">
        <v>37</v>
      </c>
      <c r="Y996" s="13" t="str">
        <f>IF($AX996="Cancelled","",IF(X996="","",IFERROR(IF(INDEX(Variables!$B$38:$B$47,MATCH(X996,Variables!$A$38:$A$47,0))="Yes","Yes","No"),"No")))</f>
        <v>Yes</v>
      </c>
      <c r="Z996" s="58">
        <v>46133</v>
      </c>
      <c r="AB996" s="31">
        <v>46162</v>
      </c>
      <c r="AC996" s="13" t="str">
        <f t="shared" si="47"/>
        <v>Approved</v>
      </c>
      <c r="AF996" s="71">
        <v>46192</v>
      </c>
      <c r="AG996" s="37">
        <f>IF($AX996="Cancelled","",IFERROR(IF(F996="","",F996-Variables!$B$13),""))</f>
        <v>46188</v>
      </c>
      <c r="AH996" s="13">
        <f>IF($AX996="Cancelled","",IFERROR(IF(AB996="","",(AVERAGE(E996:F996)-AB996)-Variables!$B$14),""))</f>
        <v>-3.5</v>
      </c>
      <c r="AJ996" s="47">
        <v>46202</v>
      </c>
      <c r="AK996" s="14">
        <f>IF($AX996="Cancelled","",IFERROR(IF(AJ996="","",IF(AND(AB996="",AF996=""),"",IF(AF996&gt;AB996,AF996+Variables!$B$15+Variables!$B$16+Variables!$B$17-AJ996,AB996+Variables!$B$16+Variables!$B$17-AJ996))),""))</f>
        <v>5</v>
      </c>
      <c r="AL996" s="48" t="s">
        <v>114</v>
      </c>
      <c r="AM996" s="13" t="s">
        <v>168</v>
      </c>
      <c r="AN996" s="13" t="s">
        <v>2528</v>
      </c>
      <c r="AP996" s="39">
        <v>46212</v>
      </c>
      <c r="AR996" s="13">
        <v>934320</v>
      </c>
      <c r="AS996" s="31">
        <v>46212</v>
      </c>
      <c r="AU996" s="31">
        <v>46224</v>
      </c>
      <c r="AV996" s="13" t="s">
        <v>865</v>
      </c>
      <c r="AW996" s="39">
        <v>46224</v>
      </c>
      <c r="AX996" s="13" t="str">
        <f>IF(ISNUMBER(SEARCH("cancel",#REF!)),"Cancelled",IF(AND(AS996&lt;&gt;"",AU996&lt;&gt;"",AW996&lt;&gt;""),"Closed","Open"))</f>
        <v>Closed</v>
      </c>
      <c r="AY996" s="15" t="str">
        <f t="shared" si="46"/>
        <v>All dates received</v>
      </c>
      <c r="AZ996" s="13" t="s">
        <v>3053</v>
      </c>
      <c r="BA996" s="13" t="s">
        <v>3048</v>
      </c>
      <c r="BB996" s="13" t="s">
        <v>3049</v>
      </c>
      <c r="BC996" s="13" t="s">
        <v>3290</v>
      </c>
      <c r="BD996" s="13">
        <f>IF($AX996="Cancelled","",IFERROR(IF(OR(AS996="",AJ996=""),"",(AJ996+Variables!$B$18-AS996)),""))</f>
        <v>5</v>
      </c>
      <c r="BE996" s="13">
        <f>IF($AX996="Cancelled","",IFERROR(IF(OR(AW996="",AS996=""),"",(AS996+Variables!$B$19)-AW996),""))</f>
        <v>-7</v>
      </c>
      <c r="BF996" s="44">
        <f>IF($AX996="Cancelled","",IFERROR(W996*INDEX(Variables!$B$7:$D$7,IFERROR(MATCH(IF($B996="Robusta","Robusta",(IF($B996="","Arabica",$B996))&amp;" - "&amp;(IF($C996="","Commercial",$C996))),Variables!$B$1:$D$1,0),1))*(BE996/365),""))</f>
        <v>-309.4575068302359</v>
      </c>
      <c r="BG996" s="44">
        <f>IF($AX996="Cancelled","",IFERROR((W996*INDEX(Variables!$B$7:$D$7,IFERROR(MATCH(IF($B996="Robusta","Robusta",(IF($B996="","Arabica",$B996))&amp;" - "&amp;(IF($C996="","Commercial",$C996))),Variables!$B$1:$D$1,0),1))*IFERROR(IF(AB996="","",(AVERAGE(E996:F996)-AB996)-Variables!$B$14),"")/365)+(L996/16.67*INDEX(Variables!$B$8:$D$8,IFERROR(MATCH(IF($B996="Robusta","Robusta",(IF($B996="","Arabica",$B996))&amp;" - "&amp;(IF($C996="","Commercial",$C996))),Variables!$B$1:$D$1,0),1))*IFERROR(IF(AB996="","",(AVERAGE(E996:F996)-AB996)-Variables!$B$14),""))+(W996*INDEX(Variables!$B$9:$D$9,IFERROR(MATCH(IF($B996="Robusta","Robusta",(IF($B996="","Arabica",$B996))&amp;" - "&amp;(IF($C996="","Commercial",$C996))),Variables!$B$1:$D$1,0),1))*IFERROR(IF(AB996="","",(AVERAGE(E996:F996)-AB996)-Variables!$B$14),"")/365),""))</f>
        <v>-282.72350565238639</v>
      </c>
      <c r="BH996" s="44">
        <f>IF($AX996="Cancelled","",IFERROR((W996*INDEX(Variables!$B$7:$D$7,IFERROR(MATCH(IF($B996="Robusta","Robusta",(IF($B996="","Arabica",$B996))&amp;" - "&amp;(IF($C996="","Commercial",$C996))),Variables!$B$1:$D$1,0),1))*AK996/365)+(L996/16.67*INDEX(Variables!$B$8:$D$8,IFERROR(MATCH(IF($B996="Robusta","Robusta",(IF($B996="","Arabica",$B996))&amp;" - "&amp;(IF($C996="","Commercial",$C996))),Variables!$B$1:$D$1,0),1))*AK996)+(W996*INDEX(Variables!$B$9:$D$9,IFERROR(MATCH(IF($B996="Robusta","Robusta",(IF($B996="","Arabica",$B996))&amp;" - "&amp;(IF($C996="","Commercial",$C996))),Variables!$B$1:$D$1,0),1))*AK996/365),""))</f>
        <v>403.89072236055193</v>
      </c>
      <c r="BI996" s="44">
        <f>IF($AX996="Cancelled","",IFERROR((W996*INDEX(Variables!$B$7:$D$7,IFERROR(MATCH(IF($B996="Robusta","Robusta",(IF($B996="","Arabica",$B996))&amp;" - "&amp;(IF($C996="","Commercial",$C996))),Variables!$B$1:$D$1,0),1))*BD996/365)+(L996/16.67*INDEX(Variables!$B$8:$D$8,IFERROR(MATCH(IF($B996="Robusta","Robusta",(IF($B996="","Arabica",$B996))&amp;" - "&amp;(IF($C996="","Commercial",$C996))),Variables!$B$1:$D$1,0),1))*BD996)+(W996*INDEX(Variables!$B$9:$D$9,IFERROR(MATCH(IF($B996="Robusta","Robusta",(IF($B996="","Arabica",$B996))&amp;" - "&amp;(IF($C996="","Commercial",$C996))),Variables!$B$1:$D$1,0),1))*BD996/365),""))</f>
        <v>403.89072236055193</v>
      </c>
      <c r="BJ996" s="44">
        <f t="shared" si="48"/>
        <v>-9</v>
      </c>
      <c r="BK996" s="44">
        <f>IF($AX996="Cancelled","",IFERROR(IF(BJ996="","",(W996*INDEX(Variables!$B$7:$D$7,IFERROR(MATCH(IF($B996="Robusta","Robusta",(IF($B996="","Arabica",$B996))&amp;" - "&amp;(IF($C996="","Commercial",$C996))),Variables!$B$1:$D$1,0),1))*(BJ996/365))+(W996*INDEX(Variables!$B$9:$D$9,IFERROR(MATCH(IF($B996="Robusta","Robusta",(IF($B996="","Arabica",$B996))&amp;" - "&amp;(IF($C996="","Commercial",$C996))),Variables!$B$1:$D$1,0),1))*(BJ996/365))+(INDEX(Variables!$B$8:$D$8,IFERROR(MATCH(IF($B996="Robusta","Robusta",(IF($B996="","Arabica",$B996))&amp;" - "&amp;(IF($C996="","Commercial",$C996))),Variables!$B$1:$D$1,0),1))*L996/16.67)),""))</f>
        <v>-367.00330024899341</v>
      </c>
    </row>
    <row r="997" spans="1:63">
      <c r="A997" s="13" t="s">
        <v>103</v>
      </c>
      <c r="B997" s="13" t="s">
        <v>104</v>
      </c>
      <c r="C997" s="13" t="s">
        <v>105</v>
      </c>
      <c r="D997" s="31">
        <v>46090</v>
      </c>
      <c r="E997" s="31">
        <v>46174</v>
      </c>
      <c r="F997" s="31">
        <v>46203</v>
      </c>
      <c r="G997" s="13">
        <v>3787421</v>
      </c>
      <c r="J997" s="13" t="s">
        <v>118</v>
      </c>
      <c r="K997" s="13" t="s">
        <v>2529</v>
      </c>
      <c r="L997" s="13">
        <v>360</v>
      </c>
      <c r="M997" s="13">
        <v>1</v>
      </c>
      <c r="N997" s="13" t="s">
        <v>2527</v>
      </c>
      <c r="O997" s="13" t="s">
        <v>332</v>
      </c>
      <c r="P997" s="13">
        <v>10120</v>
      </c>
      <c r="R997" s="13" t="s">
        <v>122</v>
      </c>
      <c r="S997" s="13" t="s">
        <v>123</v>
      </c>
      <c r="T997" s="13" t="s">
        <v>124</v>
      </c>
      <c r="U997" s="13" t="s">
        <v>125</v>
      </c>
      <c r="V997" s="23">
        <v>-28</v>
      </c>
      <c r="W997" s="44">
        <f>IF($AX997="Cancelled","",IFERROR(((V997+INDEX(Variables!$B$6:$D$6,IFERROR(MATCH(IF($B997="Robusta","Robusta",(IF($B997="","Arabica",$B997))&amp;" - "&amp;(IF($C997="","Commercial",$C997))),Variables!$B$1:$D$1,0),1)))*22.0462)*(L997/16.67),""))</f>
        <v>125119.78941811637</v>
      </c>
      <c r="X997" s="55" t="s">
        <v>37</v>
      </c>
      <c r="Y997" s="13" t="str">
        <f>IF($AX997="Cancelled","",IF(X997="","",IFERROR(IF(INDEX(Variables!$B$38:$B$47,MATCH(X997,Variables!$A$38:$A$47,0))="Yes","Yes","No"),"No")))</f>
        <v>Yes</v>
      </c>
      <c r="Z997" s="58">
        <v>46133</v>
      </c>
      <c r="AB997" s="31">
        <v>46162</v>
      </c>
      <c r="AC997" s="13" t="str">
        <f t="shared" si="47"/>
        <v>Approved</v>
      </c>
      <c r="AF997" s="71">
        <v>46192</v>
      </c>
      <c r="AG997" s="37">
        <f>IF($AX997="Cancelled","",IFERROR(IF(F997="","",F997-Variables!$B$13),""))</f>
        <v>46188</v>
      </c>
      <c r="AH997" s="13">
        <f>IF($AX997="Cancelled","",IFERROR(IF(AB997="","",(AVERAGE(E997:F997)-AB997)-Variables!$B$14),""))</f>
        <v>-3.5</v>
      </c>
      <c r="AJ997" s="47">
        <v>46195</v>
      </c>
      <c r="AK997" s="14">
        <f>IF($AX997="Cancelled","",IFERROR(IF(AJ997="","",IF(AND(AB997="",AF997=""),"",IF(AF997&gt;AB997,AF997+Variables!$B$15+Variables!$B$16+Variables!$B$17-AJ997,AB997+Variables!$B$16+Variables!$B$17-AJ997))),""))</f>
        <v>12</v>
      </c>
      <c r="AL997" s="48" t="s">
        <v>114</v>
      </c>
      <c r="AM997" s="13" t="s">
        <v>168</v>
      </c>
      <c r="AN997" s="13" t="s">
        <v>2528</v>
      </c>
      <c r="AP997" s="39">
        <v>46212</v>
      </c>
      <c r="AR997" s="13">
        <v>934320</v>
      </c>
      <c r="AS997" s="31">
        <v>46212</v>
      </c>
      <c r="AU997" s="31">
        <v>46224</v>
      </c>
      <c r="AV997" s="13" t="s">
        <v>865</v>
      </c>
      <c r="AW997" s="39">
        <v>46224</v>
      </c>
      <c r="AX997" s="13" t="str">
        <f>IF(ISNUMBER(SEARCH("cancel",#REF!)),"Cancelled",IF(AND(AS997&lt;&gt;"",AU997&lt;&gt;"",AW997&lt;&gt;""),"Closed","Open"))</f>
        <v>Closed</v>
      </c>
      <c r="AY997" s="15" t="str">
        <f t="shared" si="46"/>
        <v>All dates received</v>
      </c>
      <c r="AZ997" s="13" t="s">
        <v>3053</v>
      </c>
      <c r="BA997" s="13" t="s">
        <v>3048</v>
      </c>
      <c r="BB997" s="13" t="s">
        <v>3049</v>
      </c>
      <c r="BC997" s="13" t="s">
        <v>3290</v>
      </c>
      <c r="BD997" s="13">
        <f>IF($AX997="Cancelled","",IFERROR(IF(OR(AS997="",AJ997=""),"",(AJ997+Variables!$B$18-AS997)),""))</f>
        <v>-2</v>
      </c>
      <c r="BE997" s="13">
        <f>IF($AX997="Cancelled","",IFERROR(IF(OR(AW997="",AS997=""),"",(AS997+Variables!$B$19)-AW997),""))</f>
        <v>-7</v>
      </c>
      <c r="BF997" s="44">
        <f>IF($AX997="Cancelled","",IFERROR(W997*INDEX(Variables!$B$7:$D$7,IFERROR(MATCH(IF($B997="Robusta","Robusta",(IF($B997="","Arabica",$B997))&amp;" - "&amp;(IF($C997="","Commercial",$C997))),Variables!$B$1:$D$1,0),1))*(BE997/365),""))</f>
        <v>-154.72875341511795</v>
      </c>
      <c r="BG997" s="44">
        <f>IF($AX997="Cancelled","",IFERROR((W997*INDEX(Variables!$B$7:$D$7,IFERROR(MATCH(IF($B997="Robusta","Robusta",(IF($B997="","Arabica",$B997))&amp;" - "&amp;(IF($C997="","Commercial",$C997))),Variables!$B$1:$D$1,0),1))*IFERROR(IF(AB997="","",(AVERAGE(E997:F997)-AB997)-Variables!$B$14),"")/365)+(L997/16.67*INDEX(Variables!$B$8:$D$8,IFERROR(MATCH(IF($B997="Robusta","Robusta",(IF($B997="","Arabica",$B997))&amp;" - "&amp;(IF($C997="","Commercial",$C997))),Variables!$B$1:$D$1,0),1))*IFERROR(IF(AB997="","",(AVERAGE(E997:F997)-AB997)-Variables!$B$14),""))+(W997*INDEX(Variables!$B$9:$D$9,IFERROR(MATCH(IF($B997="Robusta","Robusta",(IF($B997="","Arabica",$B997))&amp;" - "&amp;(IF($C997="","Commercial",$C997))),Variables!$B$1:$D$1,0),1))*IFERROR(IF(AB997="","",(AVERAGE(E997:F997)-AB997)-Variables!$B$14),"")/365),""))</f>
        <v>-141.3617528261932</v>
      </c>
      <c r="BH997" s="44">
        <f>IF($AX997="Cancelled","",IFERROR((W997*INDEX(Variables!$B$7:$D$7,IFERROR(MATCH(IF($B997="Robusta","Robusta",(IF($B997="","Arabica",$B997))&amp;" - "&amp;(IF($C997="","Commercial",$C997))),Variables!$B$1:$D$1,0),1))*AK997/365)+(L997/16.67*INDEX(Variables!$B$8:$D$8,IFERROR(MATCH(IF($B997="Robusta","Robusta",(IF($B997="","Arabica",$B997))&amp;" - "&amp;(IF($C997="","Commercial",$C997))),Variables!$B$1:$D$1,0),1))*AK997)+(W997*INDEX(Variables!$B$9:$D$9,IFERROR(MATCH(IF($B997="Robusta","Robusta",(IF($B997="","Arabica",$B997))&amp;" - "&amp;(IF($C997="","Commercial",$C997))),Variables!$B$1:$D$1,0),1))*AK997/365),""))</f>
        <v>484.66886683266233</v>
      </c>
      <c r="BI997" s="44">
        <f>IF($AX997="Cancelled","",IFERROR((W997*INDEX(Variables!$B$7:$D$7,IFERROR(MATCH(IF($B997="Robusta","Robusta",(IF($B997="","Arabica",$B997))&amp;" - "&amp;(IF($C997="","Commercial",$C997))),Variables!$B$1:$D$1,0),1))*BD997/365)+(L997/16.67*INDEX(Variables!$B$8:$D$8,IFERROR(MATCH(IF($B997="Robusta","Robusta",(IF($B997="","Arabica",$B997))&amp;" - "&amp;(IF($C997="","Commercial",$C997))),Variables!$B$1:$D$1,0),1))*BD997)+(W997*INDEX(Variables!$B$9:$D$9,IFERROR(MATCH(IF($B997="Robusta","Robusta",(IF($B997="","Arabica",$B997))&amp;" - "&amp;(IF($C997="","Commercial",$C997))),Variables!$B$1:$D$1,0),1))*BD997/365),""))</f>
        <v>-80.778144472110384</v>
      </c>
      <c r="BJ997" s="44">
        <f t="shared" si="48"/>
        <v>-9</v>
      </c>
      <c r="BK997" s="44">
        <f>IF($AX997="Cancelled","",IFERROR(IF(BJ997="","",(W997*INDEX(Variables!$B$7:$D$7,IFERROR(MATCH(IF($B997="Robusta","Robusta",(IF($B997="","Arabica",$B997))&amp;" - "&amp;(IF($C997="","Commercial",$C997))),Variables!$B$1:$D$1,0),1))*(BJ997/365))+(W997*INDEX(Variables!$B$9:$D$9,IFERROR(MATCH(IF($B997="Robusta","Robusta",(IF($B997="","Arabica",$B997))&amp;" - "&amp;(IF($C997="","Commercial",$C997))),Variables!$B$1:$D$1,0),1))*(BJ997/365))+(INDEX(Variables!$B$8:$D$8,IFERROR(MATCH(IF($B997="Robusta","Robusta",(IF($B997="","Arabica",$B997))&amp;" - "&amp;(IF($C997="","Commercial",$C997))),Variables!$B$1:$D$1,0),1))*L997/16.67)),""))</f>
        <v>-183.50165012449671</v>
      </c>
    </row>
    <row r="998" spans="1:63">
      <c r="A998" s="13" t="s">
        <v>103</v>
      </c>
      <c r="B998" s="13" t="s">
        <v>104</v>
      </c>
      <c r="C998" s="13" t="s">
        <v>105</v>
      </c>
      <c r="D998" s="31">
        <v>46090</v>
      </c>
      <c r="E998" s="31">
        <v>46143</v>
      </c>
      <c r="F998" s="31">
        <v>46173</v>
      </c>
      <c r="G998" s="13">
        <v>3787422</v>
      </c>
      <c r="J998" s="13" t="s">
        <v>118</v>
      </c>
      <c r="K998" s="13">
        <v>5508</v>
      </c>
      <c r="L998" s="13">
        <v>1800</v>
      </c>
      <c r="M998" s="13">
        <v>5</v>
      </c>
      <c r="N998" s="13" t="s">
        <v>1138</v>
      </c>
      <c r="O998" s="13" t="s">
        <v>332</v>
      </c>
      <c r="P998" s="13">
        <v>10120</v>
      </c>
      <c r="R998" s="13" t="s">
        <v>122</v>
      </c>
      <c r="S998" s="13" t="s">
        <v>138</v>
      </c>
      <c r="T998" s="13" t="s">
        <v>139</v>
      </c>
      <c r="U998" s="13" t="s">
        <v>125</v>
      </c>
      <c r="V998" s="23">
        <v>-29</v>
      </c>
      <c r="W998" s="44">
        <f>IF($AX998="Cancelled","",IFERROR(((V998+INDEX(Variables!$B$6:$D$6,IFERROR(MATCH(IF($B998="Robusta","Robusta",(IF($B998="","Arabica",$B998))&amp;" - "&amp;(IF($C998="","Commercial",$C998))),Variables!$B$1:$D$1,0),1)))*22.0462)*(L998/16.67),""))</f>
        <v>623218.43359328131</v>
      </c>
      <c r="X998" s="55" t="s">
        <v>37</v>
      </c>
      <c r="Y998" s="13" t="str">
        <f>IF($AX998="Cancelled","",IF(X998="","",IFERROR(IF(INDEX(Variables!$B$38:$B$47,MATCH(X998,Variables!$A$38:$A$47,0))="Yes","Yes","No"),"No")))</f>
        <v>Yes</v>
      </c>
      <c r="Z998" s="58">
        <v>46108</v>
      </c>
      <c r="AB998" s="31">
        <v>46129</v>
      </c>
      <c r="AC998" s="13" t="str">
        <f t="shared" si="47"/>
        <v>Approved</v>
      </c>
      <c r="AF998" s="71">
        <v>46149</v>
      </c>
      <c r="AG998" s="37">
        <f>IF($AX998="Cancelled","",IFERROR(IF(F998="","",F998-Variables!$B$13),""))</f>
        <v>46158</v>
      </c>
      <c r="AH998" s="13">
        <f>IF($AX998="Cancelled","",IFERROR(IF(AB998="","",(AVERAGE(E998:F998)-AB998)-Variables!$B$14),""))</f>
        <v>-1</v>
      </c>
      <c r="AJ998" s="47">
        <v>46151</v>
      </c>
      <c r="AK998" s="14">
        <f>IF($AX998="Cancelled","",IFERROR(IF(AJ998="","",IF(AND(AB998="",AF998=""),"",IF(AF998&gt;AB998,AF998+Variables!$B$15+Variables!$B$16+Variables!$B$17-AJ998,AB998+Variables!$B$16+Variables!$B$17-AJ998))),""))</f>
        <v>13</v>
      </c>
      <c r="AL998" s="48" t="s">
        <v>114</v>
      </c>
      <c r="AM998" s="13" t="s">
        <v>168</v>
      </c>
      <c r="AN998" s="13" t="s">
        <v>2089</v>
      </c>
      <c r="AP998" s="39">
        <v>46166</v>
      </c>
      <c r="AR998" s="13" t="s">
        <v>2530</v>
      </c>
      <c r="AS998" s="31">
        <v>46166</v>
      </c>
      <c r="AU998" s="31">
        <v>46183</v>
      </c>
      <c r="AV998" s="13" t="e">
        <v>#REF!</v>
      </c>
      <c r="AW998" s="31">
        <v>46183</v>
      </c>
      <c r="AX998" s="13" t="str">
        <f>IF(ISNUMBER(SEARCH("cancel",#REF!)),"Cancelled",IF(AND(AS998&lt;&gt;"",AU998&lt;&gt;"",AW998&lt;&gt;""),"Closed","Open"))</f>
        <v>Closed</v>
      </c>
      <c r="AY998" s="15" t="str">
        <f t="shared" si="46"/>
        <v>All dates received</v>
      </c>
      <c r="BD998" s="13">
        <f>IF($AX998="Cancelled","",IFERROR(IF(OR(AS998="",AJ998=""),"",(AJ998+Variables!$B$18-AS998)),""))</f>
        <v>0</v>
      </c>
      <c r="BE998" s="13">
        <f>IF($AX998="Cancelled","",IFERROR(IF(OR(AW998="",AS998=""),"",(AS998+Variables!$B$19)-AW998),""))</f>
        <v>-12</v>
      </c>
      <c r="BF998" s="44">
        <f>IF($AX998="Cancelled","",IFERROR(W998*INDEX(Variables!$B$7:$D$7,IFERROR(MATCH(IF($B998="Robusta","Robusta",(IF($B998="","Arabica",$B998))&amp;" - "&amp;(IF($C998="","Commercial",$C998))),Variables!$B$1:$D$1,0),1))*(BE998/365),""))</f>
        <v>-1321.1998579281758</v>
      </c>
      <c r="BG998" s="44">
        <f>IF($AX998="Cancelled","",IFERROR((W998*INDEX(Variables!$B$7:$D$7,IFERROR(MATCH(IF($B998="Robusta","Robusta",(IF($B998="","Arabica",$B998))&amp;" - "&amp;(IF($C998="","Commercial",$C998))),Variables!$B$1:$D$1,0),1))*IFERROR(IF(AB998="","",(AVERAGE(E998:F998)-AB998)-Variables!$B$14),"")/365)+(L998/16.67*INDEX(Variables!$B$8:$D$8,IFERROR(MATCH(IF($B998="Robusta","Robusta",(IF($B998="","Arabica",$B998))&amp;" - "&amp;(IF($C998="","Commercial",$C998))),Variables!$B$1:$D$1,0),1))*IFERROR(IF(AB998="","",(AVERAGE(E998:F998)-AB998)-Variables!$B$14),""))+(W998*INDEX(Variables!$B$9:$D$9,IFERROR(MATCH(IF($B998="Robusta","Robusta",(IF($B998="","Arabica",$B998))&amp;" - "&amp;(IF($C998="","Commercial",$C998))),Variables!$B$1:$D$1,0),1))*IFERROR(IF(AB998="","",(AVERAGE(E998:F998)-AB998)-Variables!$B$14),"")/365),""))</f>
        <v>-201.51938948628708</v>
      </c>
      <c r="BH998" s="44">
        <f>IF($AX998="Cancelled","",IFERROR((W998*INDEX(Variables!$B$7:$D$7,IFERROR(MATCH(IF($B998="Robusta","Robusta",(IF($B998="","Arabica",$B998))&amp;" - "&amp;(IF($C998="","Commercial",$C998))),Variables!$B$1:$D$1,0),1))*AK998/365)+(L998/16.67*INDEX(Variables!$B$8:$D$8,IFERROR(MATCH(IF($B998="Robusta","Robusta",(IF($B998="","Arabica",$B998))&amp;" - "&amp;(IF($C998="","Commercial",$C998))),Variables!$B$1:$D$1,0),1))*AK998)+(W998*INDEX(Variables!$B$9:$D$9,IFERROR(MATCH(IF($B998="Robusta","Robusta",(IF($B998="","Arabica",$B998))&amp;" - "&amp;(IF($C998="","Commercial",$C998))),Variables!$B$1:$D$1,0),1))*AK998/365),""))</f>
        <v>2619.7520633217323</v>
      </c>
      <c r="BI998" s="44">
        <f>IF($AX998="Cancelled","",IFERROR((W998*INDEX(Variables!$B$7:$D$7,IFERROR(MATCH(IF($B998="Robusta","Robusta",(IF($B998="","Arabica",$B998))&amp;" - "&amp;(IF($C998="","Commercial",$C998))),Variables!$B$1:$D$1,0),1))*BD998/365)+(L998/16.67*INDEX(Variables!$B$8:$D$8,IFERROR(MATCH(IF($B998="Robusta","Robusta",(IF($B998="","Arabica",$B998))&amp;" - "&amp;(IF($C998="","Commercial",$C998))),Variables!$B$1:$D$1,0),1))*BD998)+(W998*INDEX(Variables!$B$9:$D$9,IFERROR(MATCH(IF($B998="Robusta","Robusta",(IF($B998="","Arabica",$B998))&amp;" - "&amp;(IF($C998="","Commercial",$C998))),Variables!$B$1:$D$1,0),1))*BD998/365),""))</f>
        <v>0</v>
      </c>
      <c r="BJ998" s="44">
        <f t="shared" si="48"/>
        <v>7</v>
      </c>
      <c r="BK998" s="44">
        <f>IF($AX998="Cancelled","",IFERROR(IF(BJ998="","",(W998*INDEX(Variables!$B$7:$D$7,IFERROR(MATCH(IF($B998="Robusta","Robusta",(IF($B998="","Arabica",$B998))&amp;" - "&amp;(IF($C998="","Commercial",$C998))),Variables!$B$1:$D$1,0),1))*(BJ998/365))+(W998*INDEX(Variables!$B$9:$D$9,IFERROR(MATCH(IF($B998="Robusta","Robusta",(IF($B998="","Arabica",$B998))&amp;" - "&amp;(IF($C998="","Commercial",$C998))),Variables!$B$1:$D$1,0),1))*(BJ998/365))+(INDEX(Variables!$B$8:$D$8,IFERROR(MATCH(IF($B998="Robusta","Robusta",(IF($B998="","Arabica",$B998))&amp;" - "&amp;(IF($C998="","Commercial",$C998))),Variables!$B$1:$D$1,0),1))*L998/16.67)),""))</f>
        <v>870.63572640400957</v>
      </c>
    </row>
    <row r="999" spans="1:63">
      <c r="A999" s="13" t="s">
        <v>103</v>
      </c>
      <c r="B999" s="13" t="s">
        <v>104</v>
      </c>
      <c r="C999" s="13" t="s">
        <v>105</v>
      </c>
      <c r="D999" s="31">
        <v>46090</v>
      </c>
      <c r="E999" s="31">
        <v>46174</v>
      </c>
      <c r="F999" s="31">
        <v>46203</v>
      </c>
      <c r="G999" s="13">
        <v>3787423</v>
      </c>
      <c r="J999" s="13" t="s">
        <v>118</v>
      </c>
      <c r="K999" s="13" t="s">
        <v>2531</v>
      </c>
      <c r="L999" s="13">
        <v>360</v>
      </c>
      <c r="M999" s="13">
        <v>1</v>
      </c>
      <c r="N999" s="13" t="s">
        <v>1138</v>
      </c>
      <c r="O999" s="13" t="s">
        <v>332</v>
      </c>
      <c r="P999" s="13">
        <v>10120</v>
      </c>
      <c r="R999" s="13" t="s">
        <v>122</v>
      </c>
      <c r="S999" s="13" t="s">
        <v>167</v>
      </c>
      <c r="T999" s="13" t="s">
        <v>155</v>
      </c>
      <c r="U999" s="13" t="s">
        <v>125</v>
      </c>
      <c r="V999" s="23">
        <v>-29</v>
      </c>
      <c r="W999" s="44">
        <f>IF($AX999="Cancelled","",IFERROR(((V999+INDEX(Variables!$B$6:$D$6,IFERROR(MATCH(IF($B999="Robusta","Robusta",(IF($B999="","Arabica",$B999))&amp;" - "&amp;(IF($C999="","Commercial",$C999))),Variables!$B$1:$D$1,0),1)))*22.0462)*(L999/16.67),""))</f>
        <v>124643.68671865627</v>
      </c>
      <c r="X999" s="55" t="s">
        <v>37</v>
      </c>
      <c r="Y999" s="13" t="str">
        <f>IF($AX999="Cancelled","",IF(X999="","",IFERROR(IF(INDEX(Variables!$B$38:$B$47,MATCH(X999,Variables!$A$38:$A$47,0))="Yes","Yes","No"),"No")))</f>
        <v>Yes</v>
      </c>
      <c r="Z999" s="58">
        <v>46177</v>
      </c>
      <c r="AB999" s="31">
        <v>46191</v>
      </c>
      <c r="AC999" s="13" t="str">
        <f t="shared" si="47"/>
        <v>Approved</v>
      </c>
      <c r="AF999" s="71">
        <v>46192</v>
      </c>
      <c r="AG999" s="37">
        <f>IF($AX999="Cancelled","",IFERROR(IF(F999="","",F999-Variables!$B$13),""))</f>
        <v>46188</v>
      </c>
      <c r="AH999" s="13">
        <f>IF($AX999="Cancelled","",IFERROR(IF(AB999="","",(AVERAGE(E999:F999)-AB999)-Variables!$B$14),""))</f>
        <v>-32.5</v>
      </c>
      <c r="AJ999" s="47">
        <v>46197</v>
      </c>
      <c r="AK999" s="14">
        <f>IF($AX999="Cancelled","",IFERROR(IF(AJ999="","",IF(AND(AB999="",AF999=""),"",IF(AF999&gt;AB999,AF999+Variables!$B$15+Variables!$B$16+Variables!$B$17-AJ999,AB999+Variables!$B$16+Variables!$B$17-AJ999))),""))</f>
        <v>10</v>
      </c>
      <c r="AL999" s="48" t="s">
        <v>114</v>
      </c>
      <c r="AM999" s="13" t="s">
        <v>168</v>
      </c>
      <c r="AN999" s="13" t="s">
        <v>2405</v>
      </c>
      <c r="AP999" s="39">
        <v>46212</v>
      </c>
      <c r="AR999" s="13" t="s">
        <v>2525</v>
      </c>
      <c r="AS999" s="31">
        <v>46212</v>
      </c>
      <c r="AU999" s="31">
        <v>46232</v>
      </c>
      <c r="AV999" s="13" t="s">
        <v>865</v>
      </c>
      <c r="AW999" s="39">
        <v>46232</v>
      </c>
      <c r="AX999" s="13" t="str">
        <f>IF(ISNUMBER(SEARCH("cancel",#REF!)),"Cancelled",IF(AND(AS999&lt;&gt;"",AU999&lt;&gt;"",AW999&lt;&gt;""),"Closed","Open"))</f>
        <v>Closed</v>
      </c>
      <c r="AY999" s="15" t="str">
        <f t="shared" si="46"/>
        <v>All dates received</v>
      </c>
      <c r="AZ999" s="13" t="s">
        <v>3047</v>
      </c>
      <c r="BA999" s="13" t="s">
        <v>3062</v>
      </c>
      <c r="BB999" s="13" t="s">
        <v>3055</v>
      </c>
      <c r="BC999" s="13" t="s">
        <v>3297</v>
      </c>
      <c r="BD999" s="13">
        <f>IF($AX999="Cancelled","",IFERROR(IF(OR(AS999="",AJ999=""),"",(AJ999+Variables!$B$18-AS999)),""))</f>
        <v>0</v>
      </c>
      <c r="BE999" s="13">
        <f>IF($AX999="Cancelled","",IFERROR(IF(OR(AW999="",AS999=""),"",(AS999+Variables!$B$19)-AW999),""))</f>
        <v>-15</v>
      </c>
      <c r="BF999" s="44">
        <f>IF($AX999="Cancelled","",IFERROR(W999*INDEX(Variables!$B$7:$D$7,IFERROR(MATCH(IF($B999="Robusta","Robusta",(IF($B999="","Arabica",$B999))&amp;" - "&amp;(IF($C999="","Commercial",$C999))),Variables!$B$1:$D$1,0),1))*(BE999/365),""))</f>
        <v>-330.299964482044</v>
      </c>
      <c r="BG999" s="44">
        <f>IF($AX999="Cancelled","",IFERROR((W999*INDEX(Variables!$B$7:$D$7,IFERROR(MATCH(IF($B999="Robusta","Robusta",(IF($B999="","Arabica",$B999))&amp;" - "&amp;(IF($C999="","Commercial",$C999))),Variables!$B$1:$D$1,0),1))*IFERROR(IF(AB999="","",(AVERAGE(E999:F999)-AB999)-Variables!$B$14),"")/365)+(L999/16.67*INDEX(Variables!$B$8:$D$8,IFERROR(MATCH(IF($B999="Robusta","Robusta",(IF($B999="","Arabica",$B999))&amp;" - "&amp;(IF($C999="","Commercial",$C999))),Variables!$B$1:$D$1,0),1))*IFERROR(IF(AB999="","",(AVERAGE(E999:F999)-AB999)-Variables!$B$14),""))+(W999*INDEX(Variables!$B$9:$D$9,IFERROR(MATCH(IF($B999="Robusta","Robusta",(IF($B999="","Arabica",$B999))&amp;" - "&amp;(IF($C999="","Commercial",$C999))),Variables!$B$1:$D$1,0),1))*IFERROR(IF(AB999="","",(AVERAGE(E999:F999)-AB999)-Variables!$B$14),"")/365),""))</f>
        <v>-1309.8760316608661</v>
      </c>
      <c r="BH999" s="44">
        <f>IF($AX999="Cancelled","",IFERROR((W999*INDEX(Variables!$B$7:$D$7,IFERROR(MATCH(IF($B999="Robusta","Robusta",(IF($B999="","Arabica",$B999))&amp;" - "&amp;(IF($C999="","Commercial",$C999))),Variables!$B$1:$D$1,0),1))*AK999/365)+(L999/16.67*INDEX(Variables!$B$8:$D$8,IFERROR(MATCH(IF($B999="Robusta","Robusta",(IF($B999="","Arabica",$B999))&amp;" - "&amp;(IF($C999="","Commercial",$C999))),Variables!$B$1:$D$1,0),1))*AK999)+(W999*INDEX(Variables!$B$9:$D$9,IFERROR(MATCH(IF($B999="Robusta","Robusta",(IF($B999="","Arabica",$B999))&amp;" - "&amp;(IF($C999="","Commercial",$C999))),Variables!$B$1:$D$1,0),1))*AK999/365),""))</f>
        <v>403.03877897257416</v>
      </c>
      <c r="BI999" s="44">
        <f>IF($AX999="Cancelled","",IFERROR((W999*INDEX(Variables!$B$7:$D$7,IFERROR(MATCH(IF($B999="Robusta","Robusta",(IF($B999="","Arabica",$B999))&amp;" - "&amp;(IF($C999="","Commercial",$C999))),Variables!$B$1:$D$1,0),1))*BD999/365)+(L999/16.67*INDEX(Variables!$B$8:$D$8,IFERROR(MATCH(IF($B999="Robusta","Robusta",(IF($B999="","Arabica",$B999))&amp;" - "&amp;(IF($C999="","Commercial",$C999))),Variables!$B$1:$D$1,0),1))*BD999)+(W999*INDEX(Variables!$B$9:$D$9,IFERROR(MATCH(IF($B999="Robusta","Robusta",(IF($B999="","Arabica",$B999))&amp;" - "&amp;(IF($C999="","Commercial",$C999))),Variables!$B$1:$D$1,0),1))*BD999/365),""))</f>
        <v>0</v>
      </c>
      <c r="BJ999" s="44">
        <f t="shared" si="48"/>
        <v>-9</v>
      </c>
      <c r="BK999" s="44">
        <f>IF($AX999="Cancelled","",IFERROR(IF(BJ999="","",(W999*INDEX(Variables!$B$7:$D$7,IFERROR(MATCH(IF($B999="Robusta","Robusta",(IF($B999="","Arabica",$B999))&amp;" - "&amp;(IF($C999="","Commercial",$C999))),Variables!$B$1:$D$1,0),1))*(BJ999/365))+(W999*INDEX(Variables!$B$9:$D$9,IFERROR(MATCH(IF($B999="Robusta","Robusta",(IF($B999="","Arabica",$B999))&amp;" - "&amp;(IF($C999="","Commercial",$C999))),Variables!$B$1:$D$1,0),1))*(BJ999/365))+(INDEX(Variables!$B$8:$D$8,IFERROR(MATCH(IF($B999="Robusta","Robusta",(IF($B999="","Arabica",$B999))&amp;" - "&amp;(IF($C999="","Commercial",$C999))),Variables!$B$1:$D$1,0),1))*L999/16.67)),""))</f>
        <v>-182.73490107531674</v>
      </c>
    </row>
    <row r="1000" spans="1:63">
      <c r="A1000" s="13" t="s">
        <v>103</v>
      </c>
      <c r="B1000" s="13" t="s">
        <v>104</v>
      </c>
      <c r="C1000" s="13" t="s">
        <v>105</v>
      </c>
      <c r="D1000" s="31">
        <v>46090</v>
      </c>
      <c r="E1000" s="31">
        <v>46174</v>
      </c>
      <c r="F1000" s="31">
        <v>46203</v>
      </c>
      <c r="G1000" s="13">
        <v>3787423</v>
      </c>
      <c r="J1000" s="13" t="s">
        <v>118</v>
      </c>
      <c r="K1000" s="13" t="s">
        <v>2532</v>
      </c>
      <c r="L1000" s="13">
        <v>720</v>
      </c>
      <c r="M1000" s="13">
        <v>2</v>
      </c>
      <c r="N1000" s="13" t="s">
        <v>1138</v>
      </c>
      <c r="O1000" s="13" t="s">
        <v>332</v>
      </c>
      <c r="P1000" s="13">
        <v>10120</v>
      </c>
      <c r="R1000" s="13" t="s">
        <v>122</v>
      </c>
      <c r="S1000" s="13" t="s">
        <v>138</v>
      </c>
      <c r="T1000" s="13" t="s">
        <v>139</v>
      </c>
      <c r="U1000" s="13" t="s">
        <v>125</v>
      </c>
      <c r="V1000" s="23">
        <v>-29</v>
      </c>
      <c r="W1000" s="44">
        <f>IF($AX1000="Cancelled","",IFERROR(((V1000+INDEX(Variables!$B$6:$D$6,IFERROR(MATCH(IF($B1000="Robusta","Robusta",(IF($B1000="","Arabica",$B1000))&amp;" - "&amp;(IF($C1000="","Commercial",$C1000))),Variables!$B$1:$D$1,0),1)))*22.0462)*(L1000/16.67),""))</f>
        <v>249287.37343731255</v>
      </c>
      <c r="X1000" s="55" t="s">
        <v>37</v>
      </c>
      <c r="Y1000" s="13" t="str">
        <f>IF($AX1000="Cancelled","",IF(X1000="","",IFERROR(IF(INDEX(Variables!$B$38:$B$47,MATCH(X1000,Variables!$A$38:$A$47,0))="Yes","Yes","No"),"No")))</f>
        <v>Yes</v>
      </c>
      <c r="Z1000" s="58">
        <v>46177</v>
      </c>
      <c r="AB1000" s="31">
        <v>46191</v>
      </c>
      <c r="AC1000" s="13" t="str">
        <f t="shared" si="47"/>
        <v>Approved</v>
      </c>
      <c r="AF1000" s="71">
        <v>46192</v>
      </c>
      <c r="AG1000" s="37">
        <f>IF($AX1000="Cancelled","",IFERROR(IF(F1000="","",F1000-Variables!$B$13),""))</f>
        <v>46188</v>
      </c>
      <c r="AH1000" s="13">
        <f>IF($AX1000="Cancelled","",IFERROR(IF(AB1000="","",(AVERAGE(E1000:F1000)-AB1000)-Variables!$B$14),""))</f>
        <v>-32.5</v>
      </c>
      <c r="AJ1000" s="47">
        <v>46200</v>
      </c>
      <c r="AK1000" s="14">
        <f>IF($AX1000="Cancelled","",IFERROR(IF(AJ1000="","",IF(AND(AB1000="",AF1000=""),"",IF(AF1000&gt;AB1000,AF1000+Variables!$B$15+Variables!$B$16+Variables!$B$17-AJ1000,AB1000+Variables!$B$16+Variables!$B$17-AJ1000))),""))</f>
        <v>7</v>
      </c>
      <c r="AL1000" s="48" t="s">
        <v>114</v>
      </c>
      <c r="AM1000" s="13" t="s">
        <v>168</v>
      </c>
      <c r="AN1000" s="13" t="s">
        <v>2405</v>
      </c>
      <c r="AP1000" s="39">
        <v>46212</v>
      </c>
      <c r="AR1000" s="13" t="s">
        <v>2525</v>
      </c>
      <c r="AS1000" s="31">
        <v>46212</v>
      </c>
      <c r="AU1000" s="31">
        <v>46232</v>
      </c>
      <c r="AV1000" s="13" t="s">
        <v>865</v>
      </c>
      <c r="AW1000" s="39">
        <v>46232</v>
      </c>
      <c r="AX1000" s="13" t="str">
        <f>IF(ISNUMBER(SEARCH("cancel",#REF!)),"Cancelled",IF(AND(AS1000&lt;&gt;"",AU1000&lt;&gt;"",AW1000&lt;&gt;""),"Closed","Open"))</f>
        <v>Closed</v>
      </c>
      <c r="AY1000" s="15" t="str">
        <f t="shared" si="46"/>
        <v>All dates received</v>
      </c>
      <c r="AZ1000" s="13" t="s">
        <v>3047</v>
      </c>
      <c r="BA1000" s="13" t="s">
        <v>3062</v>
      </c>
      <c r="BB1000" s="13" t="s">
        <v>3055</v>
      </c>
      <c r="BC1000" s="13" t="s">
        <v>3297</v>
      </c>
      <c r="BD1000" s="13">
        <f>IF($AX1000="Cancelled","",IFERROR(IF(OR(AS1000="",AJ1000=""),"",(AJ1000+Variables!$B$18-AS1000)),""))</f>
        <v>3</v>
      </c>
      <c r="BE1000" s="13">
        <f>IF($AX1000="Cancelled","",IFERROR(IF(OR(AW1000="",AS1000=""),"",(AS1000+Variables!$B$19)-AW1000),""))</f>
        <v>-15</v>
      </c>
      <c r="BF1000" s="44">
        <f>IF($AX1000="Cancelled","",IFERROR(W1000*INDEX(Variables!$B$7:$D$7,IFERROR(MATCH(IF($B1000="Robusta","Robusta",(IF($B1000="","Arabica",$B1000))&amp;" - "&amp;(IF($C1000="","Commercial",$C1000))),Variables!$B$1:$D$1,0),1))*(BE1000/365),""))</f>
        <v>-660.59992896408801</v>
      </c>
      <c r="BG1000" s="44">
        <f>IF($AX1000="Cancelled","",IFERROR((W1000*INDEX(Variables!$B$7:$D$7,IFERROR(MATCH(IF($B1000="Robusta","Robusta",(IF($B1000="","Arabica",$B1000))&amp;" - "&amp;(IF($C1000="","Commercial",$C1000))),Variables!$B$1:$D$1,0),1))*IFERROR(IF(AB1000="","",(AVERAGE(E1000:F1000)-AB1000)-Variables!$B$14),"")/365)+(L1000/16.67*INDEX(Variables!$B$8:$D$8,IFERROR(MATCH(IF($B1000="Robusta","Robusta",(IF($B1000="","Arabica",$B1000))&amp;" - "&amp;(IF($C1000="","Commercial",$C1000))),Variables!$B$1:$D$1,0),1))*IFERROR(IF(AB1000="","",(AVERAGE(E1000:F1000)-AB1000)-Variables!$B$14),""))+(W1000*INDEX(Variables!$B$9:$D$9,IFERROR(MATCH(IF($B1000="Robusta","Robusta",(IF($B1000="","Arabica",$B1000))&amp;" - "&amp;(IF($C1000="","Commercial",$C1000))),Variables!$B$1:$D$1,0),1))*IFERROR(IF(AB1000="","",(AVERAGE(E1000:F1000)-AB1000)-Variables!$B$14),"")/365),""))</f>
        <v>-2619.7520633217323</v>
      </c>
      <c r="BH1000" s="44">
        <f>IF($AX1000="Cancelled","",IFERROR((W1000*INDEX(Variables!$B$7:$D$7,IFERROR(MATCH(IF($B1000="Robusta","Robusta",(IF($B1000="","Arabica",$B1000))&amp;" - "&amp;(IF($C1000="","Commercial",$C1000))),Variables!$B$1:$D$1,0),1))*AK1000/365)+(L1000/16.67*INDEX(Variables!$B$8:$D$8,IFERROR(MATCH(IF($B1000="Robusta","Robusta",(IF($B1000="","Arabica",$B1000))&amp;" - "&amp;(IF($C1000="","Commercial",$C1000))),Variables!$B$1:$D$1,0),1))*AK1000)+(W1000*INDEX(Variables!$B$9:$D$9,IFERROR(MATCH(IF($B1000="Robusta","Robusta",(IF($B1000="","Arabica",$B1000))&amp;" - "&amp;(IF($C1000="","Commercial",$C1000))),Variables!$B$1:$D$1,0),1))*AK1000/365),""))</f>
        <v>564.25429056160397</v>
      </c>
      <c r="BI1000" s="44">
        <f>IF($AX1000="Cancelled","",IFERROR((W1000*INDEX(Variables!$B$7:$D$7,IFERROR(MATCH(IF($B1000="Robusta","Robusta",(IF($B1000="","Arabica",$B1000))&amp;" - "&amp;(IF($C1000="","Commercial",$C1000))),Variables!$B$1:$D$1,0),1))*BD1000/365)+(L1000/16.67*INDEX(Variables!$B$8:$D$8,IFERROR(MATCH(IF($B1000="Robusta","Robusta",(IF($B1000="","Arabica",$B1000))&amp;" - "&amp;(IF($C1000="","Commercial",$C1000))),Variables!$B$1:$D$1,0),1))*BD1000)+(W1000*INDEX(Variables!$B$9:$D$9,IFERROR(MATCH(IF($B1000="Robusta","Robusta",(IF($B1000="","Arabica",$B1000))&amp;" - "&amp;(IF($C1000="","Commercial",$C1000))),Variables!$B$1:$D$1,0),1))*BD1000/365),""))</f>
        <v>241.82326738354453</v>
      </c>
      <c r="BJ1000" s="44">
        <f t="shared" si="48"/>
        <v>-9</v>
      </c>
      <c r="BK1000" s="44">
        <f>IF($AX1000="Cancelled","",IFERROR(IF(BJ1000="","",(W1000*INDEX(Variables!$B$7:$D$7,IFERROR(MATCH(IF($B1000="Robusta","Robusta",(IF($B1000="","Arabica",$B1000))&amp;" - "&amp;(IF($C1000="","Commercial",$C1000))),Variables!$B$1:$D$1,0),1))*(BJ1000/365))+(W1000*INDEX(Variables!$B$9:$D$9,IFERROR(MATCH(IF($B1000="Robusta","Robusta",(IF($B1000="","Arabica",$B1000))&amp;" - "&amp;(IF($C1000="","Commercial",$C1000))),Variables!$B$1:$D$1,0),1))*(BJ1000/365))+(INDEX(Variables!$B$8:$D$8,IFERROR(MATCH(IF($B1000="Robusta","Robusta",(IF($B1000="","Arabica",$B1000))&amp;" - "&amp;(IF($C1000="","Commercial",$C1000))),Variables!$B$1:$D$1,0),1))*L1000/16.67)),""))</f>
        <v>-365.46980215063348</v>
      </c>
    </row>
    <row r="1001" spans="1:63">
      <c r="A1001" s="13" t="s">
        <v>103</v>
      </c>
      <c r="B1001" s="13" t="s">
        <v>104</v>
      </c>
      <c r="C1001" s="13" t="s">
        <v>105</v>
      </c>
      <c r="D1001" s="31">
        <v>46090</v>
      </c>
      <c r="E1001" s="31">
        <v>46174</v>
      </c>
      <c r="F1001" s="31">
        <v>46203</v>
      </c>
      <c r="G1001" s="13">
        <v>3787423</v>
      </c>
      <c r="J1001" s="13" t="s">
        <v>118</v>
      </c>
      <c r="K1001" s="13" t="s">
        <v>2533</v>
      </c>
      <c r="L1001" s="13">
        <v>360</v>
      </c>
      <c r="M1001" s="13">
        <v>1</v>
      </c>
      <c r="N1001" s="13" t="s">
        <v>1138</v>
      </c>
      <c r="O1001" s="13" t="s">
        <v>332</v>
      </c>
      <c r="P1001" s="13">
        <v>10120</v>
      </c>
      <c r="R1001" s="13" t="s">
        <v>122</v>
      </c>
      <c r="S1001" s="13" t="s">
        <v>138</v>
      </c>
      <c r="T1001" s="13" t="s">
        <v>139</v>
      </c>
      <c r="U1001" s="13" t="s">
        <v>125</v>
      </c>
      <c r="V1001" s="23">
        <v>-29</v>
      </c>
      <c r="W1001" s="44">
        <f>IF($AX1001="Cancelled","",IFERROR(((V1001+INDEX(Variables!$B$6:$D$6,IFERROR(MATCH(IF($B1001="Robusta","Robusta",(IF($B1001="","Arabica",$B1001))&amp;" - "&amp;(IF($C1001="","Commercial",$C1001))),Variables!$B$1:$D$1,0),1)))*22.0462)*(L1001/16.67),""))</f>
        <v>124643.68671865627</v>
      </c>
      <c r="X1001" s="55" t="s">
        <v>37</v>
      </c>
      <c r="Y1001" s="13" t="str">
        <f>IF($AX1001="Cancelled","",IF(X1001="","",IFERROR(IF(INDEX(Variables!$B$38:$B$47,MATCH(X1001,Variables!$A$38:$A$47,0))="Yes","Yes","No"),"No")))</f>
        <v>Yes</v>
      </c>
      <c r="Z1001" s="58">
        <v>46177</v>
      </c>
      <c r="AB1001" s="31">
        <v>46191</v>
      </c>
      <c r="AC1001" s="13" t="str">
        <f t="shared" si="47"/>
        <v>Approved</v>
      </c>
      <c r="AF1001" s="71">
        <v>46192</v>
      </c>
      <c r="AG1001" s="37">
        <f>IF($AX1001="Cancelled","",IFERROR(IF(F1001="","",F1001-Variables!$B$13),""))</f>
        <v>46188</v>
      </c>
      <c r="AH1001" s="13">
        <f>IF($AX1001="Cancelled","",IFERROR(IF(AB1001="","",(AVERAGE(E1001:F1001)-AB1001)-Variables!$B$14),""))</f>
        <v>-32.5</v>
      </c>
      <c r="AJ1001" s="47">
        <v>46203</v>
      </c>
      <c r="AK1001" s="14">
        <f>IF($AX1001="Cancelled","",IFERROR(IF(AJ1001="","",IF(AND(AB1001="",AF1001=""),"",IF(AF1001&gt;AB1001,AF1001+Variables!$B$15+Variables!$B$16+Variables!$B$17-AJ1001,AB1001+Variables!$B$16+Variables!$B$17-AJ1001))),""))</f>
        <v>4</v>
      </c>
      <c r="AL1001" s="48" t="s">
        <v>114</v>
      </c>
      <c r="AM1001" s="13" t="s">
        <v>168</v>
      </c>
      <c r="AN1001" s="13" t="s">
        <v>2405</v>
      </c>
      <c r="AP1001" s="39">
        <v>46212</v>
      </c>
      <c r="AR1001" s="13" t="s">
        <v>2525</v>
      </c>
      <c r="AS1001" s="31">
        <v>46219</v>
      </c>
      <c r="AU1001" s="31">
        <v>46232</v>
      </c>
      <c r="AV1001" s="13" t="s">
        <v>865</v>
      </c>
      <c r="AW1001" s="39">
        <v>46232</v>
      </c>
      <c r="AX1001" s="13" t="str">
        <f>IF(ISNUMBER(SEARCH("cancel",#REF!)),"Cancelled",IF(AND(AS1001&lt;&gt;"",AU1001&lt;&gt;"",AW1001&lt;&gt;""),"Closed","Open"))</f>
        <v>Closed</v>
      </c>
      <c r="AY1001" s="15" t="str">
        <f t="shared" si="46"/>
        <v>All dates received</v>
      </c>
      <c r="AZ1001" s="13" t="s">
        <v>3047</v>
      </c>
      <c r="BA1001" s="13" t="s">
        <v>3062</v>
      </c>
      <c r="BB1001" s="13" t="s">
        <v>3055</v>
      </c>
      <c r="BC1001" s="13" t="s">
        <v>3297</v>
      </c>
      <c r="BD1001" s="13">
        <f>IF($AX1001="Cancelled","",IFERROR(IF(OR(AS1001="",AJ1001=""),"",(AJ1001+Variables!$B$18-AS1001)),""))</f>
        <v>-1</v>
      </c>
      <c r="BE1001" s="13">
        <f>IF($AX1001="Cancelled","",IFERROR(IF(OR(AW1001="",AS1001=""),"",(AS1001+Variables!$B$19)-AW1001),""))</f>
        <v>-8</v>
      </c>
      <c r="BF1001" s="44">
        <f>IF($AX1001="Cancelled","",IFERROR(W1001*INDEX(Variables!$B$7:$D$7,IFERROR(MATCH(IF($B1001="Robusta","Robusta",(IF($B1001="","Arabica",$B1001))&amp;" - "&amp;(IF($C1001="","Commercial",$C1001))),Variables!$B$1:$D$1,0),1))*(BE1001/365),""))</f>
        <v>-176.15998105709014</v>
      </c>
      <c r="BG1001" s="44">
        <f>IF($AX1001="Cancelled","",IFERROR((W1001*INDEX(Variables!$B$7:$D$7,IFERROR(MATCH(IF($B1001="Robusta","Robusta",(IF($B1001="","Arabica",$B1001))&amp;" - "&amp;(IF($C1001="","Commercial",$C1001))),Variables!$B$1:$D$1,0),1))*IFERROR(IF(AB1001="","",(AVERAGE(E1001:F1001)-AB1001)-Variables!$B$14),"")/365)+(L1001/16.67*INDEX(Variables!$B$8:$D$8,IFERROR(MATCH(IF($B1001="Robusta","Robusta",(IF($B1001="","Arabica",$B1001))&amp;" - "&amp;(IF($C1001="","Commercial",$C1001))),Variables!$B$1:$D$1,0),1))*IFERROR(IF(AB1001="","",(AVERAGE(E1001:F1001)-AB1001)-Variables!$B$14),""))+(W1001*INDEX(Variables!$B$9:$D$9,IFERROR(MATCH(IF($B1001="Robusta","Robusta",(IF($B1001="","Arabica",$B1001))&amp;" - "&amp;(IF($C1001="","Commercial",$C1001))),Variables!$B$1:$D$1,0),1))*IFERROR(IF(AB1001="","",(AVERAGE(E1001:F1001)-AB1001)-Variables!$B$14),"")/365),""))</f>
        <v>-1309.8760316608661</v>
      </c>
      <c r="BH1001" s="44">
        <f>IF($AX1001="Cancelled","",IFERROR((W1001*INDEX(Variables!$B$7:$D$7,IFERROR(MATCH(IF($B1001="Robusta","Robusta",(IF($B1001="","Arabica",$B1001))&amp;" - "&amp;(IF($C1001="","Commercial",$C1001))),Variables!$B$1:$D$1,0),1))*AK1001/365)+(L1001/16.67*INDEX(Variables!$B$8:$D$8,IFERROR(MATCH(IF($B1001="Robusta","Robusta",(IF($B1001="","Arabica",$B1001))&amp;" - "&amp;(IF($C1001="","Commercial",$C1001))),Variables!$B$1:$D$1,0),1))*AK1001)+(W1001*INDEX(Variables!$B$9:$D$9,IFERROR(MATCH(IF($B1001="Robusta","Robusta",(IF($B1001="","Arabica",$B1001))&amp;" - "&amp;(IF($C1001="","Commercial",$C1001))),Variables!$B$1:$D$1,0),1))*AK1001/365),""))</f>
        <v>161.21551158902966</v>
      </c>
      <c r="BI1001" s="44">
        <f>IF($AX1001="Cancelled","",IFERROR((W1001*INDEX(Variables!$B$7:$D$7,IFERROR(MATCH(IF($B1001="Robusta","Robusta",(IF($B1001="","Arabica",$B1001))&amp;" - "&amp;(IF($C1001="","Commercial",$C1001))),Variables!$B$1:$D$1,0),1))*BD1001/365)+(L1001/16.67*INDEX(Variables!$B$8:$D$8,IFERROR(MATCH(IF($B1001="Robusta","Robusta",(IF($B1001="","Arabica",$B1001))&amp;" - "&amp;(IF($C1001="","Commercial",$C1001))),Variables!$B$1:$D$1,0),1))*BD1001)+(W1001*INDEX(Variables!$B$9:$D$9,IFERROR(MATCH(IF($B1001="Robusta","Robusta",(IF($B1001="","Arabica",$B1001))&amp;" - "&amp;(IF($C1001="","Commercial",$C1001))),Variables!$B$1:$D$1,0),1))*BD1001/365),""))</f>
        <v>-40.303877897257415</v>
      </c>
      <c r="BJ1001" s="44">
        <f t="shared" si="48"/>
        <v>-16</v>
      </c>
      <c r="BK1001" s="44">
        <f>IF($AX1001="Cancelled","",IFERROR(IF(BJ1001="","",(W1001*INDEX(Variables!$B$7:$D$7,IFERROR(MATCH(IF($B1001="Robusta","Robusta",(IF($B1001="","Arabica",$B1001))&amp;" - "&amp;(IF($C1001="","Commercial",$C1001))),Variables!$B$1:$D$1,0),1))*(BJ1001/365))+(W1001*INDEX(Variables!$B$9:$D$9,IFERROR(MATCH(IF($B1001="Robusta","Robusta",(IF($B1001="","Arabica",$B1001))&amp;" - "&amp;(IF($C1001="","Commercial",$C1001))),Variables!$B$1:$D$1,0),1))*(BJ1001/365))+(INDEX(Variables!$B$8:$D$8,IFERROR(MATCH(IF($B1001="Robusta","Robusta",(IF($B1001="","Arabica",$B1001))&amp;" - "&amp;(IF($C1001="","Commercial",$C1001))),Variables!$B$1:$D$1,0),1))*L1001/16.67)),""))</f>
        <v>-338.86204635611864</v>
      </c>
    </row>
    <row r="1002" spans="1:63">
      <c r="A1002" s="13" t="s">
        <v>103</v>
      </c>
      <c r="B1002" s="13" t="s">
        <v>104</v>
      </c>
      <c r="C1002" s="13" t="s">
        <v>105</v>
      </c>
      <c r="D1002" s="31">
        <v>46090</v>
      </c>
      <c r="E1002" s="31">
        <v>46174</v>
      </c>
      <c r="F1002" s="31">
        <v>46203</v>
      </c>
      <c r="G1002" s="13">
        <v>3787423</v>
      </c>
      <c r="J1002" s="13" t="s">
        <v>118</v>
      </c>
      <c r="K1002" s="13" t="s">
        <v>2534</v>
      </c>
      <c r="L1002" s="13">
        <v>360</v>
      </c>
      <c r="M1002" s="13">
        <v>1</v>
      </c>
      <c r="N1002" s="13" t="s">
        <v>1138</v>
      </c>
      <c r="O1002" s="13" t="s">
        <v>332</v>
      </c>
      <c r="P1002" s="13">
        <v>10120</v>
      </c>
      <c r="R1002" s="13" t="s">
        <v>122</v>
      </c>
      <c r="S1002" s="13" t="s">
        <v>154</v>
      </c>
      <c r="T1002" s="13" t="s">
        <v>155</v>
      </c>
      <c r="U1002" s="13" t="s">
        <v>125</v>
      </c>
      <c r="V1002" s="23">
        <v>-29</v>
      </c>
      <c r="W1002" s="44">
        <f>IF($AX1002="Cancelled","",IFERROR(((V1002+INDEX(Variables!$B$6:$D$6,IFERROR(MATCH(IF($B1002="Robusta","Robusta",(IF($B1002="","Arabica",$B1002))&amp;" - "&amp;(IF($C1002="","Commercial",$C1002))),Variables!$B$1:$D$1,0),1)))*22.0462)*(L1002/16.67),""))</f>
        <v>124643.68671865627</v>
      </c>
      <c r="X1002" s="55" t="s">
        <v>37</v>
      </c>
      <c r="Y1002" s="13" t="str">
        <f>IF($AX1002="Cancelled","",IF(X1002="","",IFERROR(IF(INDEX(Variables!$B$38:$B$47,MATCH(X1002,Variables!$A$38:$A$47,0))="Yes","Yes","No"),"No")))</f>
        <v>Yes</v>
      </c>
      <c r="Z1002" s="58">
        <v>46177</v>
      </c>
      <c r="AB1002" s="31">
        <v>46191</v>
      </c>
      <c r="AC1002" s="13" t="str">
        <f t="shared" si="47"/>
        <v>Approved</v>
      </c>
      <c r="AF1002" s="71">
        <v>46192</v>
      </c>
      <c r="AG1002" s="37">
        <f>IF($AX1002="Cancelled","",IFERROR(IF(F1002="","",F1002-Variables!$B$13),""))</f>
        <v>46188</v>
      </c>
      <c r="AH1002" s="13">
        <f>IF($AX1002="Cancelled","",IFERROR(IF(AB1002="","",(AVERAGE(E1002:F1002)-AB1002)-Variables!$B$14),""))</f>
        <v>-32.5</v>
      </c>
      <c r="AJ1002" s="47">
        <v>46199</v>
      </c>
      <c r="AK1002" s="14">
        <f>IF($AX1002="Cancelled","",IFERROR(IF(AJ1002="","",IF(AND(AB1002="",AF1002=""),"",IF(AF1002&gt;AB1002,AF1002+Variables!$B$15+Variables!$B$16+Variables!$B$17-AJ1002,AB1002+Variables!$B$16+Variables!$B$17-AJ1002))),""))</f>
        <v>8</v>
      </c>
      <c r="AL1002" s="48" t="s">
        <v>114</v>
      </c>
      <c r="AM1002" s="13" t="s">
        <v>168</v>
      </c>
      <c r="AN1002" s="13" t="s">
        <v>2405</v>
      </c>
      <c r="AP1002" s="39">
        <v>46212</v>
      </c>
      <c r="AR1002" s="13" t="s">
        <v>2525</v>
      </c>
      <c r="AS1002" s="31">
        <v>46212</v>
      </c>
      <c r="AU1002" s="31">
        <v>46232</v>
      </c>
      <c r="AV1002" s="13" t="s">
        <v>865</v>
      </c>
      <c r="AW1002" s="39">
        <v>46232</v>
      </c>
      <c r="AX1002" s="13" t="str">
        <f>IF(ISNUMBER(SEARCH("cancel",#REF!)),"Cancelled",IF(AND(AS1002&lt;&gt;"",AU1002&lt;&gt;"",AW1002&lt;&gt;""),"Closed","Open"))</f>
        <v>Closed</v>
      </c>
      <c r="AY1002" s="15" t="str">
        <f t="shared" si="46"/>
        <v>All dates received</v>
      </c>
      <c r="AZ1002" s="13" t="s">
        <v>3047</v>
      </c>
      <c r="BA1002" s="13" t="s">
        <v>3062</v>
      </c>
      <c r="BB1002" s="13" t="s">
        <v>3055</v>
      </c>
      <c r="BC1002" s="13" t="s">
        <v>3297</v>
      </c>
      <c r="BD1002" s="13">
        <f>IF($AX1002="Cancelled","",IFERROR(IF(OR(AS1002="",AJ1002=""),"",(AJ1002+Variables!$B$18-AS1002)),""))</f>
        <v>2</v>
      </c>
      <c r="BE1002" s="13">
        <f>IF($AX1002="Cancelled","",IFERROR(IF(OR(AW1002="",AS1002=""),"",(AS1002+Variables!$B$19)-AW1002),""))</f>
        <v>-15</v>
      </c>
      <c r="BF1002" s="44">
        <f>IF($AX1002="Cancelled","",IFERROR(W1002*INDEX(Variables!$B$7:$D$7,IFERROR(MATCH(IF($B1002="Robusta","Robusta",(IF($B1002="","Arabica",$B1002))&amp;" - "&amp;(IF($C1002="","Commercial",$C1002))),Variables!$B$1:$D$1,0),1))*(BE1002/365),""))</f>
        <v>-330.299964482044</v>
      </c>
      <c r="BG1002" s="44">
        <f>IF($AX1002="Cancelled","",IFERROR((W1002*INDEX(Variables!$B$7:$D$7,IFERROR(MATCH(IF($B1002="Robusta","Robusta",(IF($B1002="","Arabica",$B1002))&amp;" - "&amp;(IF($C1002="","Commercial",$C1002))),Variables!$B$1:$D$1,0),1))*IFERROR(IF(AB1002="","",(AVERAGE(E1002:F1002)-AB1002)-Variables!$B$14),"")/365)+(L1002/16.67*INDEX(Variables!$B$8:$D$8,IFERROR(MATCH(IF($B1002="Robusta","Robusta",(IF($B1002="","Arabica",$B1002))&amp;" - "&amp;(IF($C1002="","Commercial",$C1002))),Variables!$B$1:$D$1,0),1))*IFERROR(IF(AB1002="","",(AVERAGE(E1002:F1002)-AB1002)-Variables!$B$14),""))+(W1002*INDEX(Variables!$B$9:$D$9,IFERROR(MATCH(IF($B1002="Robusta","Robusta",(IF($B1002="","Arabica",$B1002))&amp;" - "&amp;(IF($C1002="","Commercial",$C1002))),Variables!$B$1:$D$1,0),1))*IFERROR(IF(AB1002="","",(AVERAGE(E1002:F1002)-AB1002)-Variables!$B$14),"")/365),""))</f>
        <v>-1309.8760316608661</v>
      </c>
      <c r="BH1002" s="44">
        <f>IF($AX1002="Cancelled","",IFERROR((W1002*INDEX(Variables!$B$7:$D$7,IFERROR(MATCH(IF($B1002="Robusta","Robusta",(IF($B1002="","Arabica",$B1002))&amp;" - "&amp;(IF($C1002="","Commercial",$C1002))),Variables!$B$1:$D$1,0),1))*AK1002/365)+(L1002/16.67*INDEX(Variables!$B$8:$D$8,IFERROR(MATCH(IF($B1002="Robusta","Robusta",(IF($B1002="","Arabica",$B1002))&amp;" - "&amp;(IF($C1002="","Commercial",$C1002))),Variables!$B$1:$D$1,0),1))*AK1002)+(W1002*INDEX(Variables!$B$9:$D$9,IFERROR(MATCH(IF($B1002="Robusta","Robusta",(IF($B1002="","Arabica",$B1002))&amp;" - "&amp;(IF($C1002="","Commercial",$C1002))),Variables!$B$1:$D$1,0),1))*AK1002/365),""))</f>
        <v>322.43102317805932</v>
      </c>
      <c r="BI1002" s="44">
        <f>IF($AX1002="Cancelled","",IFERROR((W1002*INDEX(Variables!$B$7:$D$7,IFERROR(MATCH(IF($B1002="Robusta","Robusta",(IF($B1002="","Arabica",$B1002))&amp;" - "&amp;(IF($C1002="","Commercial",$C1002))),Variables!$B$1:$D$1,0),1))*BD1002/365)+(L1002/16.67*INDEX(Variables!$B$8:$D$8,IFERROR(MATCH(IF($B1002="Robusta","Robusta",(IF($B1002="","Arabica",$B1002))&amp;" - "&amp;(IF($C1002="","Commercial",$C1002))),Variables!$B$1:$D$1,0),1))*BD1002)+(W1002*INDEX(Variables!$B$9:$D$9,IFERROR(MATCH(IF($B1002="Robusta","Robusta",(IF($B1002="","Arabica",$B1002))&amp;" - "&amp;(IF($C1002="","Commercial",$C1002))),Variables!$B$1:$D$1,0),1))*BD1002/365),""))</f>
        <v>80.60775579451483</v>
      </c>
      <c r="BJ1002" s="44">
        <f t="shared" si="48"/>
        <v>-9</v>
      </c>
      <c r="BK1002" s="44">
        <f>IF($AX1002="Cancelled","",IFERROR(IF(BJ1002="","",(W1002*INDEX(Variables!$B$7:$D$7,IFERROR(MATCH(IF($B1002="Robusta","Robusta",(IF($B1002="","Arabica",$B1002))&amp;" - "&amp;(IF($C1002="","Commercial",$C1002))),Variables!$B$1:$D$1,0),1))*(BJ1002/365))+(W1002*INDEX(Variables!$B$9:$D$9,IFERROR(MATCH(IF($B1002="Robusta","Robusta",(IF($B1002="","Arabica",$B1002))&amp;" - "&amp;(IF($C1002="","Commercial",$C1002))),Variables!$B$1:$D$1,0),1))*(BJ1002/365))+(INDEX(Variables!$B$8:$D$8,IFERROR(MATCH(IF($B1002="Robusta","Robusta",(IF($B1002="","Arabica",$B1002))&amp;" - "&amp;(IF($C1002="","Commercial",$C1002))),Variables!$B$1:$D$1,0),1))*L1002/16.67)),""))</f>
        <v>-182.73490107531674</v>
      </c>
    </row>
    <row r="1003" spans="1:63">
      <c r="A1003" s="13" t="s">
        <v>103</v>
      </c>
      <c r="B1003" s="13" t="s">
        <v>104</v>
      </c>
      <c r="C1003" s="13" t="s">
        <v>105</v>
      </c>
      <c r="D1003" s="31">
        <v>46094</v>
      </c>
      <c r="E1003" s="31">
        <v>46174</v>
      </c>
      <c r="F1003" s="31">
        <v>46203</v>
      </c>
      <c r="G1003" s="13">
        <v>3787424</v>
      </c>
      <c r="J1003" s="13" t="s">
        <v>2535</v>
      </c>
      <c r="K1003" s="13">
        <v>5510</v>
      </c>
      <c r="L1003" s="13">
        <v>1280</v>
      </c>
      <c r="M1003" s="13">
        <v>4</v>
      </c>
      <c r="N1003" s="13" t="s">
        <v>2536</v>
      </c>
      <c r="O1003" s="13" t="s">
        <v>538</v>
      </c>
      <c r="P1003" s="13">
        <v>10080</v>
      </c>
      <c r="R1003" s="13" t="s">
        <v>239</v>
      </c>
      <c r="S1003" s="13" t="s">
        <v>288</v>
      </c>
      <c r="T1003" s="13" t="s">
        <v>289</v>
      </c>
      <c r="U1003" s="13" t="s">
        <v>182</v>
      </c>
      <c r="V1003" s="23">
        <v>27</v>
      </c>
      <c r="W1003" s="44">
        <f>IF($AX1003="Cancelled","",IFERROR(((V1003+INDEX(Variables!$B$6:$D$6,IFERROR(MATCH(IF($B1003="Robusta","Robusta",(IF($B1003="","Arabica",$B1003))&amp;" - "&amp;(IF($C1003="","Commercial",$C1003))),Variables!$B$1:$D$1,0),1)))*22.0462)*(L1003/16.67),""))</f>
        <v>537974.89026994596</v>
      </c>
      <c r="X1003" s="55" t="s">
        <v>37</v>
      </c>
      <c r="Y1003" s="13" t="str">
        <f>IF($AX1003="Cancelled","",IF(X1003="","",IFERROR(IF(INDEX(Variables!$B$38:$B$47,MATCH(X1003,Variables!$A$38:$A$47,0))="Yes","Yes","No"),"No")))</f>
        <v>Yes</v>
      </c>
      <c r="Z1003" s="58">
        <v>46133</v>
      </c>
      <c r="AB1003" s="31">
        <v>46140</v>
      </c>
      <c r="AC1003" s="13" t="str">
        <f t="shared" si="47"/>
        <v>Approved</v>
      </c>
      <c r="AF1003" s="71">
        <v>46177</v>
      </c>
      <c r="AG1003" s="37">
        <f>IF($AX1003="Cancelled","",IFERROR(IF(F1003="","",F1003-Variables!$B$13),""))</f>
        <v>46188</v>
      </c>
      <c r="AH1003" s="13">
        <f>IF($AX1003="Cancelled","",IFERROR(IF(AB1003="","",(AVERAGE(E1003:F1003)-AB1003)-Variables!$B$14),""))</f>
        <v>18.5</v>
      </c>
      <c r="AJ1003" s="47">
        <v>46196</v>
      </c>
      <c r="AK1003" s="14">
        <f>IF($AX1003="Cancelled","",IFERROR(IF(AJ1003="","",IF(AND(AB1003="",AF1003=""),"",IF(AF1003&gt;AB1003,AF1003+Variables!$B$15+Variables!$B$16+Variables!$B$17-AJ1003,AB1003+Variables!$B$16+Variables!$B$17-AJ1003))),""))</f>
        <v>-4</v>
      </c>
      <c r="AL1003" s="48" t="s">
        <v>114</v>
      </c>
      <c r="AM1003" s="13" t="s">
        <v>1848</v>
      </c>
      <c r="AN1003" s="13" t="s">
        <v>2537</v>
      </c>
      <c r="AP1003" s="39">
        <v>46213</v>
      </c>
      <c r="AR1003" s="13" t="s">
        <v>2538</v>
      </c>
      <c r="AS1003" s="31">
        <v>46213</v>
      </c>
      <c r="AU1003" s="31">
        <v>46223</v>
      </c>
      <c r="AV1003" s="13" t="s">
        <v>865</v>
      </c>
      <c r="AW1003" s="39">
        <v>46223</v>
      </c>
      <c r="AX1003" s="13" t="str">
        <f>IF(ISNUMBER(SEARCH("cancel",#REF!)),"Cancelled",IF(AND(AS1003&lt;&gt;"",AU1003&lt;&gt;"",AW1003&lt;&gt;""),"Closed","Open"))</f>
        <v>Closed</v>
      </c>
      <c r="AY1003" s="15" t="str">
        <f t="shared" si="46"/>
        <v>All dates received</v>
      </c>
      <c r="AZ1003" s="13" t="s">
        <v>3047</v>
      </c>
      <c r="BA1003" s="13" t="s">
        <v>3062</v>
      </c>
      <c r="BB1003" s="13" t="s">
        <v>3055</v>
      </c>
      <c r="BC1003" s="13" t="s">
        <v>3298</v>
      </c>
      <c r="BD1003" s="13">
        <f>IF($AX1003="Cancelled","",IFERROR(IF(OR(AS1003="",AJ1003=""),"",(AJ1003+Variables!$B$18-AS1003)),""))</f>
        <v>-2</v>
      </c>
      <c r="BE1003" s="13">
        <f>IF($AX1003="Cancelled","",IFERROR(IF(OR(AW1003="",AS1003=""),"",(AS1003+Variables!$B$19)-AW1003),""))</f>
        <v>-5</v>
      </c>
      <c r="BF1003" s="44">
        <f>IF($AX1003="Cancelled","",IFERROR(W1003*INDEX(Variables!$B$7:$D$7,IFERROR(MATCH(IF($B1003="Robusta","Robusta",(IF($B1003="","Arabica",$B1003))&amp;" - "&amp;(IF($C1003="","Commercial",$C1003))),Variables!$B$1:$D$1,0),1))*(BE1003/365),""))</f>
        <v>-475.20280095020149</v>
      </c>
      <c r="BG1003" s="44">
        <f>IF($AX1003="Cancelled","",IFERROR((W1003*INDEX(Variables!$B$7:$D$7,IFERROR(MATCH(IF($B1003="Robusta","Robusta",(IF($B1003="","Arabica",$B1003))&amp;" - "&amp;(IF($C1003="","Commercial",$C1003))),Variables!$B$1:$D$1,0),1))*IFERROR(IF(AB1003="","",(AVERAGE(E1003:F1003)-AB1003)-Variables!$B$14),"")/365)+(L1003/16.67*INDEX(Variables!$B$8:$D$8,IFERROR(MATCH(IF($B1003="Robusta","Robusta",(IF($B1003="","Arabica",$B1003))&amp;" - "&amp;(IF($C1003="","Commercial",$C1003))),Variables!$B$1:$D$1,0),1))*IFERROR(IF(AB1003="","",(AVERAGE(E1003:F1003)-AB1003)-Variables!$B$14),""))+(W1003*INDEX(Variables!$B$9:$D$9,IFERROR(MATCH(IF($B1003="Robusta","Robusta",(IF($B1003="","Arabica",$B1003))&amp;" - "&amp;(IF($C1003="","Commercial",$C1003))),Variables!$B$1:$D$1,0),1))*IFERROR(IF(AB1003="","",(AVERAGE(E1003:F1003)-AB1003)-Variables!$B$14),"")/365),""))</f>
        <v>2964.9176038889127</v>
      </c>
      <c r="BH1003" s="44">
        <f>IF($AX1003="Cancelled","",IFERROR((W1003*INDEX(Variables!$B$7:$D$7,IFERROR(MATCH(IF($B1003="Robusta","Robusta",(IF($B1003="","Arabica",$B1003))&amp;" - "&amp;(IF($C1003="","Commercial",$C1003))),Variables!$B$1:$D$1,0),1))*AK1003/365)+(L1003/16.67*INDEX(Variables!$B$8:$D$8,IFERROR(MATCH(IF($B1003="Robusta","Robusta",(IF($B1003="","Arabica",$B1003))&amp;" - "&amp;(IF($C1003="","Commercial",$C1003))),Variables!$B$1:$D$1,0),1))*AK1003)+(W1003*INDEX(Variables!$B$9:$D$9,IFERROR(MATCH(IF($B1003="Robusta","Robusta",(IF($B1003="","Arabica",$B1003))&amp;" - "&amp;(IF($C1003="","Commercial",$C1003))),Variables!$B$1:$D$1,0),1))*AK1003/365),""))</f>
        <v>-641.06326570571093</v>
      </c>
      <c r="BI1003" s="44">
        <f>IF($AX1003="Cancelled","",IFERROR((W1003*INDEX(Variables!$B$7:$D$7,IFERROR(MATCH(IF($B1003="Robusta","Robusta",(IF($B1003="","Arabica",$B1003))&amp;" - "&amp;(IF($C1003="","Commercial",$C1003))),Variables!$B$1:$D$1,0),1))*BD1003/365)+(L1003/16.67*INDEX(Variables!$B$8:$D$8,IFERROR(MATCH(IF($B1003="Robusta","Robusta",(IF($B1003="","Arabica",$B1003))&amp;" - "&amp;(IF($C1003="","Commercial",$C1003))),Variables!$B$1:$D$1,0),1))*BD1003)+(W1003*INDEX(Variables!$B$9:$D$9,IFERROR(MATCH(IF($B1003="Robusta","Robusta",(IF($B1003="","Arabica",$B1003))&amp;" - "&amp;(IF($C1003="","Commercial",$C1003))),Variables!$B$1:$D$1,0),1))*BD1003/365),""))</f>
        <v>-320.53163285285547</v>
      </c>
      <c r="BJ1003" s="44">
        <f t="shared" si="48"/>
        <v>-10</v>
      </c>
      <c r="BK1003" s="44">
        <f>IF($AX1003="Cancelled","",IFERROR(IF(BJ1003="","",(W1003*INDEX(Variables!$B$7:$D$7,IFERROR(MATCH(IF($B1003="Robusta","Robusta",(IF($B1003="","Arabica",$B1003))&amp;" - "&amp;(IF($C1003="","Commercial",$C1003))),Variables!$B$1:$D$1,0),1))*(BJ1003/365))+(W1003*INDEX(Variables!$B$9:$D$9,IFERROR(MATCH(IF($B1003="Robusta","Robusta",(IF($B1003="","Arabica",$B1003))&amp;" - "&amp;(IF($C1003="","Commercial",$C1003))),Variables!$B$1:$D$1,0),1))*(BJ1003/365))+(INDEX(Variables!$B$8:$D$8,IFERROR(MATCH(IF($B1003="Robusta","Robusta",(IF($B1003="","Arabica",$B1003))&amp;" - "&amp;(IF($C1003="","Commercial",$C1003))),Variables!$B$1:$D$1,0),1))*L1003/16.67)),""))</f>
        <v>-898.65816426427716</v>
      </c>
    </row>
    <row r="1004" spans="1:63">
      <c r="A1004" s="13" t="s">
        <v>103</v>
      </c>
      <c r="B1004" s="13" t="s">
        <v>104</v>
      </c>
      <c r="C1004" s="13" t="s">
        <v>292</v>
      </c>
      <c r="D1004" s="31">
        <v>46093</v>
      </c>
      <c r="E1004" s="31">
        <v>46082</v>
      </c>
      <c r="F1004" s="31">
        <v>46112</v>
      </c>
      <c r="G1004" s="13">
        <v>3787425</v>
      </c>
      <c r="J1004" s="13" t="s">
        <v>294</v>
      </c>
      <c r="K1004" s="13" t="s">
        <v>2539</v>
      </c>
      <c r="L1004" s="13">
        <v>30</v>
      </c>
      <c r="M1004" s="13">
        <v>0</v>
      </c>
      <c r="N1004" s="13" t="s">
        <v>2540</v>
      </c>
      <c r="O1004" s="13" t="s">
        <v>297</v>
      </c>
      <c r="P1004" s="13">
        <v>10020</v>
      </c>
      <c r="R1004" s="13" t="s">
        <v>384</v>
      </c>
      <c r="S1004" s="13" t="s">
        <v>299</v>
      </c>
      <c r="T1004" s="13" t="s">
        <v>305</v>
      </c>
      <c r="U1004" s="13" t="s">
        <v>125</v>
      </c>
      <c r="V1004" s="13">
        <v>180</v>
      </c>
      <c r="W1004" s="44">
        <f>IF($AX1004="Cancelled","",IFERROR(((V1004+INDEX(Variables!$B$6:$D$6,IFERROR(MATCH(IF($B1004="Robusta","Robusta",(IF($B1004="","Arabica",$B1004))&amp;" - "&amp;(IF($C1004="","Commercial",$C1004))),Variables!$B$1:$D$1,0),1)))*22.0462)*(L1004/16.67),""))</f>
        <v>18679.095908818235</v>
      </c>
      <c r="X1004" s="55" t="s">
        <v>39</v>
      </c>
      <c r="Y1004" s="13" t="str">
        <f>IF($AX1004="Cancelled","",IF(X1004="","",IFERROR(IF(INDEX(Variables!$B$38:$B$47,MATCH(X1004,Variables!$A$38:$A$47,0))="Yes","Yes","No"),"No")))</f>
        <v>No</v>
      </c>
      <c r="Z1004" s="31"/>
      <c r="AC1004" s="13" t="str">
        <f t="shared" si="47"/>
        <v/>
      </c>
      <c r="AF1004" s="71">
        <v>46112</v>
      </c>
      <c r="AG1004" s="37">
        <f>IF($AX1004="Cancelled","",IFERROR(IF(F1004="","",F1004-Variables!$B$13),""))</f>
        <v>46097</v>
      </c>
      <c r="AH1004" s="13" t="str">
        <f>IF($AX1004="Cancelled","",IFERROR(IF(AB1004="","",(AVERAGE(E1004:F1004)-AB1004)-Variables!$B$14),""))</f>
        <v/>
      </c>
      <c r="AK1004" s="14" t="str">
        <f>IF($AX1004="Cancelled","",IFERROR(IF(AJ1004="","",IF(AND(AB1004="",AF1004=""),"",IF(AF1004&gt;AB1004,AF1004+Variables!$B$15+Variables!$B$16+Variables!$B$17-AJ1004,AB1004+Variables!$B$16+Variables!$B$17-AJ1004))),""))</f>
        <v/>
      </c>
      <c r="AL1004" s="48" t="s">
        <v>114</v>
      </c>
      <c r="AM1004" s="13" t="s">
        <v>1526</v>
      </c>
      <c r="AN1004" s="13" t="s">
        <v>2423</v>
      </c>
      <c r="AP1004" s="39" t="e">
        <v>#N/A</v>
      </c>
      <c r="AR1004" s="13" t="s">
        <v>2424</v>
      </c>
      <c r="AS1004" s="31">
        <v>46150</v>
      </c>
      <c r="AU1004" s="31">
        <v>46191</v>
      </c>
      <c r="AV1004" s="13" t="s">
        <v>865</v>
      </c>
      <c r="AW1004" s="31">
        <v>46191</v>
      </c>
      <c r="AX1004" s="13" t="str">
        <f>IF(ISNUMBER(SEARCH("cancel",#REF!)),"Cancelled",IF(AND(AS1004&lt;&gt;"",AU1004&lt;&gt;"",AW1004&lt;&gt;""),"Closed","Open"))</f>
        <v>Closed</v>
      </c>
      <c r="AY1004" s="15" t="str">
        <f t="shared" si="46"/>
        <v>All dates received</v>
      </c>
      <c r="BD1004" s="13" t="str">
        <f>IF($AX1004="Cancelled","",IFERROR(IF(OR(AS1004="",AJ1004=""),"",(AJ1004+Variables!$B$18-AS1004)),""))</f>
        <v/>
      </c>
      <c r="BE1004" s="13">
        <f>IF($AX1004="Cancelled","",IFERROR(IF(OR(AW1004="",AS1004=""),"",(AS1004+Variables!$B$19)-AW1004),""))</f>
        <v>-36</v>
      </c>
      <c r="BF1004" s="44">
        <f>IF($AX1004="Cancelled","",IFERROR(W1004*INDEX(Variables!$B$7:$D$7,IFERROR(MATCH(IF($B1004="Robusta","Robusta",(IF($B1004="","Arabica",$B1004))&amp;" - "&amp;(IF($C1004="","Commercial",$C1004))),Variables!$B$1:$D$1,0),1))*(BE1004/365),""))</f>
        <v>-118.7969620153906</v>
      </c>
      <c r="BG1004" s="44" t="str">
        <f>IF($AX1004="Cancelled","",IFERROR((W1004*INDEX(Variables!$B$7:$D$7,IFERROR(MATCH(IF($B1004="Robusta","Robusta",(IF($B1004="","Arabica",$B1004))&amp;" - "&amp;(IF($C1004="","Commercial",$C1004))),Variables!$B$1:$D$1,0),1))*IFERROR(IF(AB1004="","",(AVERAGE(E1004:F1004)-AB1004)-Variables!$B$14),"")/365)+(L1004/16.67*INDEX(Variables!$B$8:$D$8,IFERROR(MATCH(IF($B1004="Robusta","Robusta",(IF($B1004="","Arabica",$B1004))&amp;" - "&amp;(IF($C1004="","Commercial",$C1004))),Variables!$B$1:$D$1,0),1))*IFERROR(IF(AB1004="","",(AVERAGE(E1004:F1004)-AB1004)-Variables!$B$14),""))+(W1004*INDEX(Variables!$B$9:$D$9,IFERROR(MATCH(IF($B1004="Robusta","Robusta",(IF($B1004="","Arabica",$B1004))&amp;" - "&amp;(IF($C1004="","Commercial",$C1004))),Variables!$B$1:$D$1,0),1))*IFERROR(IF(AB1004="","",(AVERAGE(E1004:F1004)-AB1004)-Variables!$B$14),"")/365),""))</f>
        <v/>
      </c>
      <c r="BH1004" s="44" t="str">
        <f>IF($AX1004="Cancelled","",IFERROR((W1004*INDEX(Variables!$B$7:$D$7,IFERROR(MATCH(IF($B1004="Robusta","Robusta",(IF($B1004="","Arabica",$B1004))&amp;" - "&amp;(IF($C1004="","Commercial",$C1004))),Variables!$B$1:$D$1,0),1))*AK1004/365)+(L1004/16.67*INDEX(Variables!$B$8:$D$8,IFERROR(MATCH(IF($B1004="Robusta","Robusta",(IF($B1004="","Arabica",$B1004))&amp;" - "&amp;(IF($C1004="","Commercial",$C1004))),Variables!$B$1:$D$1,0),1))*AK1004)+(W1004*INDEX(Variables!$B$9:$D$9,IFERROR(MATCH(IF($B1004="Robusta","Robusta",(IF($B1004="","Arabica",$B1004))&amp;" - "&amp;(IF($C1004="","Commercial",$C1004))),Variables!$B$1:$D$1,0),1))*AK1004/365),""))</f>
        <v/>
      </c>
      <c r="BI1004" s="44" t="str">
        <f>IF($AX1004="Cancelled","",IFERROR((W1004*INDEX(Variables!$B$7:$D$7,IFERROR(MATCH(IF($B1004="Robusta","Robusta",(IF($B1004="","Arabica",$B1004))&amp;" - "&amp;(IF($C1004="","Commercial",$C1004))),Variables!$B$1:$D$1,0),1))*BD1004/365)+(L1004/16.67*INDEX(Variables!$B$8:$D$8,IFERROR(MATCH(IF($B1004="Robusta","Robusta",(IF($B1004="","Arabica",$B1004))&amp;" - "&amp;(IF($C1004="","Commercial",$C1004))),Variables!$B$1:$D$1,0),1))*BD1004)+(W1004*INDEX(Variables!$B$9:$D$9,IFERROR(MATCH(IF($B1004="Robusta","Robusta",(IF($B1004="","Arabica",$B1004))&amp;" - "&amp;(IF($C1004="","Commercial",$C1004))),Variables!$B$1:$D$1,0),1))*BD1004/365),""))</f>
        <v/>
      </c>
      <c r="BJ1004" s="44">
        <f t="shared" si="48"/>
        <v>-38</v>
      </c>
      <c r="BK1004" s="44">
        <f>IF($AX1004="Cancelled","",IFERROR(IF(BJ1004="","",(W1004*INDEX(Variables!$B$7:$D$7,IFERROR(MATCH(IF($B1004="Robusta","Robusta",(IF($B1004="","Arabica",$B1004))&amp;" - "&amp;(IF($C1004="","Commercial",$C1004))),Variables!$B$1:$D$1,0),1))*(BJ1004/365))+(W1004*INDEX(Variables!$B$9:$D$9,IFERROR(MATCH(IF($B1004="Robusta","Robusta",(IF($B1004="","Arabica",$B1004))&amp;" - "&amp;(IF($C1004="","Commercial",$C1004))),Variables!$B$1:$D$1,0),1))*(BJ1004/365))+(INDEX(Variables!$B$8:$D$8,IFERROR(MATCH(IF($B1004="Robusta","Robusta",(IF($B1004="","Arabica",$B1004))&amp;" - "&amp;(IF($C1004="","Commercial",$C1004))),Variables!$B$1:$D$1,0),1))*L1004/16.67)),""))</f>
        <v>-125.51339990230902</v>
      </c>
    </row>
    <row r="1005" spans="1:63">
      <c r="A1005" s="13" t="s">
        <v>103</v>
      </c>
      <c r="B1005" s="13" t="s">
        <v>104</v>
      </c>
      <c r="C1005" s="13" t="s">
        <v>105</v>
      </c>
      <c r="D1005" s="31">
        <v>46094</v>
      </c>
      <c r="E1005" s="31">
        <v>46143</v>
      </c>
      <c r="F1005" s="31">
        <v>46173</v>
      </c>
      <c r="G1005" s="13">
        <v>3787426</v>
      </c>
      <c r="J1005" s="13" t="s">
        <v>2541</v>
      </c>
      <c r="K1005" s="13">
        <v>5525</v>
      </c>
      <c r="L1005" s="13">
        <v>640</v>
      </c>
      <c r="M1005" s="13">
        <v>2</v>
      </c>
      <c r="N1005" s="13" t="s">
        <v>2542</v>
      </c>
      <c r="O1005" s="13" t="s">
        <v>332</v>
      </c>
      <c r="P1005" s="13">
        <v>10120</v>
      </c>
      <c r="R1005" s="13" t="s">
        <v>110</v>
      </c>
      <c r="S1005" s="13" t="s">
        <v>553</v>
      </c>
      <c r="T1005" s="13" t="s">
        <v>112</v>
      </c>
      <c r="U1005" s="13" t="s">
        <v>113</v>
      </c>
      <c r="V1005" s="23">
        <v>-25</v>
      </c>
      <c r="W1005" s="44">
        <f>IF($AX1005="Cancelled","",IFERROR(((V1005+INDEX(Variables!$B$6:$D$6,IFERROR(MATCH(IF($B1005="Robusta","Robusta",(IF($B1005="","Arabica",$B1005))&amp;" - "&amp;(IF($C1005="","Commercial",$C1005))),Variables!$B$1:$D$1,0),1)))*22.0462)*(L1005/16.67),""))</f>
        <v>224974.39558488302</v>
      </c>
      <c r="X1005" s="55" t="s">
        <v>37</v>
      </c>
      <c r="Y1005" s="13" t="str">
        <f>IF($AX1005="Cancelled","",IF(X1005="","",IFERROR(IF(INDEX(Variables!$B$38:$B$47,MATCH(X1005,Variables!$A$38:$A$47,0))="Yes","Yes","No"),"No")))</f>
        <v>Yes</v>
      </c>
      <c r="Z1005" s="58">
        <v>46121</v>
      </c>
      <c r="AB1005" s="31">
        <v>46153</v>
      </c>
      <c r="AC1005" s="13" t="str">
        <f t="shared" si="47"/>
        <v>Approved</v>
      </c>
      <c r="AF1005" s="71">
        <v>46170</v>
      </c>
      <c r="AG1005" s="37">
        <f>IF($AX1005="Cancelled","",IFERROR(IF(F1005="","",F1005-Variables!$B$13),""))</f>
        <v>46158</v>
      </c>
      <c r="AH1005" s="13">
        <f>IF($AX1005="Cancelled","",IFERROR(IF(AB1005="","",(AVERAGE(E1005:F1005)-AB1005)-Variables!$B$14),""))</f>
        <v>-25</v>
      </c>
      <c r="AJ1005" s="47">
        <v>46182</v>
      </c>
      <c r="AK1005" s="14">
        <f>IF($AX1005="Cancelled","",IFERROR(IF(AJ1005="","",IF(AND(AB1005="",AF1005=""),"",IF(AF1005&gt;AB1005,AF1005+Variables!$B$15+Variables!$B$16+Variables!$B$17-AJ1005,AB1005+Variables!$B$16+Variables!$B$17-AJ1005))),""))</f>
        <v>3</v>
      </c>
      <c r="AL1005" s="48" t="s">
        <v>114</v>
      </c>
      <c r="AM1005" s="13" t="s">
        <v>168</v>
      </c>
      <c r="AN1005" s="13" t="s">
        <v>2360</v>
      </c>
      <c r="AP1005" s="39">
        <v>46201</v>
      </c>
      <c r="AR1005" s="13" t="s">
        <v>2543</v>
      </c>
      <c r="AS1005" s="31">
        <v>46201</v>
      </c>
      <c r="AU1005" s="31">
        <v>46226</v>
      </c>
      <c r="AV1005" s="13" t="e">
        <v>#REF!</v>
      </c>
      <c r="AW1005" s="31">
        <v>46226</v>
      </c>
      <c r="AX1005" s="13" t="str">
        <f>IF(ISNUMBER(SEARCH("cancel",#REF!)),"Cancelled",IF(AND(AS1005&lt;&gt;"",AU1005&lt;&gt;"",AW1005&lt;&gt;""),"Closed","Open"))</f>
        <v>Closed</v>
      </c>
      <c r="AY1005" s="15" t="str">
        <f t="shared" si="46"/>
        <v>All dates received</v>
      </c>
      <c r="BD1005" s="13">
        <f>IF($AX1005="Cancelled","",IFERROR(IF(OR(AS1005="",AJ1005=""),"",(AJ1005+Variables!$B$18-AS1005)),""))</f>
        <v>-4</v>
      </c>
      <c r="BE1005" s="13">
        <f>IF($AX1005="Cancelled","",IFERROR(IF(OR(AW1005="",AS1005=""),"",(AS1005+Variables!$B$19)-AW1005),""))</f>
        <v>-20</v>
      </c>
      <c r="BF1005" s="44">
        <f>IF($AX1005="Cancelled","",IFERROR(W1005*INDEX(Variables!$B$7:$D$7,IFERROR(MATCH(IF($B1005="Robusta","Robusta",(IF($B1005="","Arabica",$B1005))&amp;" - "&amp;(IF($C1005="","Commercial",$C1005))),Variables!$B$1:$D$1,0),1))*(BE1005/365),""))</f>
        <v>-794.89556005389284</v>
      </c>
      <c r="BG1005" s="44">
        <f>IF($AX1005="Cancelled","",IFERROR((W1005*INDEX(Variables!$B$7:$D$7,IFERROR(MATCH(IF($B1005="Robusta","Robusta",(IF($B1005="","Arabica",$B1005))&amp;" - "&amp;(IF($C1005="","Commercial",$C1005))),Variables!$B$1:$D$1,0),1))*IFERROR(IF(AB1005="","",(AVERAGE(E1005:F1005)-AB1005)-Variables!$B$14),"")/365)+(L1005/16.67*INDEX(Variables!$B$8:$D$8,IFERROR(MATCH(IF($B1005="Robusta","Robusta",(IF($B1005="","Arabica",$B1005))&amp;" - "&amp;(IF($C1005="","Commercial",$C1005))),Variables!$B$1:$D$1,0),1))*IFERROR(IF(AB1005="","",(AVERAGE(E1005:F1005)-AB1005)-Variables!$B$14),""))+(W1005*INDEX(Variables!$B$9:$D$9,IFERROR(MATCH(IF($B1005="Robusta","Robusta",(IF($B1005="","Arabica",$B1005))&amp;" - "&amp;(IF($C1005="","Commercial",$C1005))),Variables!$B$1:$D$1,0),1))*IFERROR(IF(AB1005="","",(AVERAGE(E1005:F1005)-AB1005)-Variables!$B$14),"")/365),""))</f>
        <v>-1806.4291223310449</v>
      </c>
      <c r="BH1005" s="44">
        <f>IF($AX1005="Cancelled","",IFERROR((W1005*INDEX(Variables!$B$7:$D$7,IFERROR(MATCH(IF($B1005="Robusta","Robusta",(IF($B1005="","Arabica",$B1005))&amp;" - "&amp;(IF($C1005="","Commercial",$C1005))),Variables!$B$1:$D$1,0),1))*AK1005/365)+(L1005/16.67*INDEX(Variables!$B$8:$D$8,IFERROR(MATCH(IF($B1005="Robusta","Robusta",(IF($B1005="","Arabica",$B1005))&amp;" - "&amp;(IF($C1005="","Commercial",$C1005))),Variables!$B$1:$D$1,0),1))*AK1005)+(W1005*INDEX(Variables!$B$9:$D$9,IFERROR(MATCH(IF($B1005="Robusta","Robusta",(IF($B1005="","Arabica",$B1005))&amp;" - "&amp;(IF($C1005="","Commercial",$C1005))),Variables!$B$1:$D$1,0),1))*AK1005/365),""))</f>
        <v>216.77149467972544</v>
      </c>
      <c r="BI1005" s="44">
        <f>IF($AX1005="Cancelled","",IFERROR((W1005*INDEX(Variables!$B$7:$D$7,IFERROR(MATCH(IF($B1005="Robusta","Robusta",(IF($B1005="","Arabica",$B1005))&amp;" - "&amp;(IF($C1005="","Commercial",$C1005))),Variables!$B$1:$D$1,0),1))*BD1005/365)+(L1005/16.67*INDEX(Variables!$B$8:$D$8,IFERROR(MATCH(IF($B1005="Robusta","Robusta",(IF($B1005="","Arabica",$B1005))&amp;" - "&amp;(IF($C1005="","Commercial",$C1005))),Variables!$B$1:$D$1,0),1))*BD1005)+(W1005*INDEX(Variables!$B$9:$D$9,IFERROR(MATCH(IF($B1005="Robusta","Robusta",(IF($B1005="","Arabica",$B1005))&amp;" - "&amp;(IF($C1005="","Commercial",$C1005))),Variables!$B$1:$D$1,0),1))*BD1005/365),""))</f>
        <v>-289.02865957296723</v>
      </c>
      <c r="BJ1005" s="44">
        <f t="shared" si="48"/>
        <v>-28</v>
      </c>
      <c r="BK1005" s="44">
        <f>IF($AX1005="Cancelled","",IFERROR(IF(BJ1005="","",(W1005*INDEX(Variables!$B$7:$D$7,IFERROR(MATCH(IF($B1005="Robusta","Robusta",(IF($B1005="","Arabica",$B1005))&amp;" - "&amp;(IF($C1005="","Commercial",$C1005))),Variables!$B$1:$D$1,0),1))*(BJ1005/365))+(W1005*INDEX(Variables!$B$9:$D$9,IFERROR(MATCH(IF($B1005="Robusta","Robusta",(IF($B1005="","Arabica",$B1005))&amp;" - "&amp;(IF($C1005="","Commercial",$C1005))),Variables!$B$1:$D$1,0),1))*(BJ1005/365))+(INDEX(Variables!$B$8:$D$8,IFERROR(MATCH(IF($B1005="Robusta","Robusta",(IF($B1005="","Arabica",$B1005))&amp;" - "&amp;(IF($C1005="","Commercial",$C1005))),Variables!$B$1:$D$1,0),1))*L1005/16.67)),""))</f>
        <v>-1095.2006170107707</v>
      </c>
    </row>
    <row r="1006" spans="1:63">
      <c r="A1006" s="13" t="s">
        <v>103</v>
      </c>
      <c r="B1006" s="13" t="s">
        <v>104</v>
      </c>
      <c r="C1006" s="13" t="s">
        <v>105</v>
      </c>
      <c r="D1006" s="31">
        <v>46094</v>
      </c>
      <c r="E1006" s="31">
        <v>46174</v>
      </c>
      <c r="F1006" s="31">
        <v>46203</v>
      </c>
      <c r="G1006" s="13">
        <v>3787427</v>
      </c>
      <c r="J1006" s="13" t="s">
        <v>2541</v>
      </c>
      <c r="K1006" s="13">
        <v>5543</v>
      </c>
      <c r="L1006" s="13">
        <v>640</v>
      </c>
      <c r="M1006" s="13">
        <v>2</v>
      </c>
      <c r="N1006" s="13" t="s">
        <v>2542</v>
      </c>
      <c r="O1006" s="13" t="s">
        <v>332</v>
      </c>
      <c r="P1006" s="13">
        <v>10120</v>
      </c>
      <c r="R1006" s="13" t="s">
        <v>110</v>
      </c>
      <c r="S1006" s="13" t="s">
        <v>2404</v>
      </c>
      <c r="T1006" s="13" t="s">
        <v>112</v>
      </c>
      <c r="U1006" s="13" t="s">
        <v>113</v>
      </c>
      <c r="V1006" s="23">
        <v>-25</v>
      </c>
      <c r="W1006" s="44">
        <f>IF($AX1006="Cancelled","",IFERROR(((V1006+INDEX(Variables!$B$6:$D$6,IFERROR(MATCH(IF($B1006="Robusta","Robusta",(IF($B1006="","Arabica",$B1006))&amp;" - "&amp;(IF($C1006="","Commercial",$C1006))),Variables!$B$1:$D$1,0),1)))*22.0462)*(L1006/16.67),""))</f>
        <v>224974.39558488302</v>
      </c>
      <c r="X1006" s="55" t="s">
        <v>37</v>
      </c>
      <c r="Y1006" s="13" t="str">
        <f>IF($AX1006="Cancelled","",IF(X1006="","",IFERROR(IF(INDEX(Variables!$B$38:$B$47,MATCH(X1006,Variables!$A$38:$A$47,0))="Yes","Yes","No"),"No")))</f>
        <v>Yes</v>
      </c>
      <c r="Z1006" s="58">
        <v>46141</v>
      </c>
      <c r="AB1006" s="31">
        <v>46153</v>
      </c>
      <c r="AC1006" s="13" t="str">
        <f t="shared" si="47"/>
        <v>Approved</v>
      </c>
      <c r="AF1006" s="71">
        <v>46179</v>
      </c>
      <c r="AG1006" s="37">
        <f>IF($AX1006="Cancelled","",IFERROR(IF(F1006="","",F1006-Variables!$B$13),""))</f>
        <v>46188</v>
      </c>
      <c r="AH1006" s="13">
        <f>IF($AX1006="Cancelled","",IFERROR(IF(AB1006="","",(AVERAGE(E1006:F1006)-AB1006)-Variables!$B$14),""))</f>
        <v>5.5</v>
      </c>
      <c r="AJ1006" s="47">
        <v>46188</v>
      </c>
      <c r="AK1006" s="14">
        <f>IF($AX1006="Cancelled","",IFERROR(IF(AJ1006="","",IF(AND(AB1006="",AF1006=""),"",IF(AF1006&gt;AB1006,AF1006+Variables!$B$15+Variables!$B$16+Variables!$B$17-AJ1006,AB1006+Variables!$B$16+Variables!$B$17-AJ1006))),""))</f>
        <v>6</v>
      </c>
      <c r="AL1006" s="48" t="s">
        <v>114</v>
      </c>
      <c r="AM1006" s="13" t="s">
        <v>168</v>
      </c>
      <c r="AN1006" s="13" t="s">
        <v>2360</v>
      </c>
      <c r="AP1006" s="39">
        <v>46201</v>
      </c>
      <c r="AR1006" s="13" t="s">
        <v>2544</v>
      </c>
      <c r="AS1006" s="31">
        <v>46201</v>
      </c>
      <c r="AU1006" s="31">
        <v>46232</v>
      </c>
      <c r="AV1006" s="13" t="s">
        <v>865</v>
      </c>
      <c r="AW1006" s="39">
        <v>46232</v>
      </c>
      <c r="AX1006" s="13" t="str">
        <f>IF(ISNUMBER(SEARCH("cancel",#REF!)),"Cancelled",IF(AND(AS1006&lt;&gt;"",AU1006&lt;&gt;"",AW1006&lt;&gt;""),"Closed","Open"))</f>
        <v>Closed</v>
      </c>
      <c r="AY1006" s="15" t="str">
        <f t="shared" si="46"/>
        <v>All dates received</v>
      </c>
      <c r="BD1006" s="13">
        <f>IF($AX1006="Cancelled","",IFERROR(IF(OR(AS1006="",AJ1006=""),"",(AJ1006+Variables!$B$18-AS1006)),""))</f>
        <v>2</v>
      </c>
      <c r="BE1006" s="13">
        <f>IF($AX1006="Cancelled","",IFERROR(IF(OR(AW1006="",AS1006=""),"",(AS1006+Variables!$B$19)-AW1006),""))</f>
        <v>-26</v>
      </c>
      <c r="BF1006" s="44">
        <f>IF($AX1006="Cancelled","",IFERROR(W1006*INDEX(Variables!$B$7:$D$7,IFERROR(MATCH(IF($B1006="Robusta","Robusta",(IF($B1006="","Arabica",$B1006))&amp;" - "&amp;(IF($C1006="","Commercial",$C1006))),Variables!$B$1:$D$1,0),1))*(BE1006/365),""))</f>
        <v>-1033.3642280700608</v>
      </c>
      <c r="BG1006" s="44">
        <f>IF($AX1006="Cancelled","",IFERROR((W1006*INDEX(Variables!$B$7:$D$7,IFERROR(MATCH(IF($B1006="Robusta","Robusta",(IF($B1006="","Arabica",$B1006))&amp;" - "&amp;(IF($C1006="","Commercial",$C1006))),Variables!$B$1:$D$1,0),1))*IFERROR(IF(AB1006="","",(AVERAGE(E1006:F1006)-AB1006)-Variables!$B$14),"")/365)+(L1006/16.67*INDEX(Variables!$B$8:$D$8,IFERROR(MATCH(IF($B1006="Robusta","Robusta",(IF($B1006="","Arabica",$B1006))&amp;" - "&amp;(IF($C1006="","Commercial",$C1006))),Variables!$B$1:$D$1,0),1))*IFERROR(IF(AB1006="","",(AVERAGE(E1006:F1006)-AB1006)-Variables!$B$14),""))+(W1006*INDEX(Variables!$B$9:$D$9,IFERROR(MATCH(IF($B1006="Robusta","Robusta",(IF($B1006="","Arabica",$B1006))&amp;" - "&amp;(IF($C1006="","Commercial",$C1006))),Variables!$B$1:$D$1,0),1))*IFERROR(IF(AB1006="","",(AVERAGE(E1006:F1006)-AB1006)-Variables!$B$14),"")/365),""))</f>
        <v>397.41440691282992</v>
      </c>
      <c r="BH1006" s="44">
        <f>IF($AX1006="Cancelled","",IFERROR((W1006*INDEX(Variables!$B$7:$D$7,IFERROR(MATCH(IF($B1006="Robusta","Robusta",(IF($B1006="","Arabica",$B1006))&amp;" - "&amp;(IF($C1006="","Commercial",$C1006))),Variables!$B$1:$D$1,0),1))*AK1006/365)+(L1006/16.67*INDEX(Variables!$B$8:$D$8,IFERROR(MATCH(IF($B1006="Robusta","Robusta",(IF($B1006="","Arabica",$B1006))&amp;" - "&amp;(IF($C1006="","Commercial",$C1006))),Variables!$B$1:$D$1,0),1))*AK1006)+(W1006*INDEX(Variables!$B$9:$D$9,IFERROR(MATCH(IF($B1006="Robusta","Robusta",(IF($B1006="","Arabica",$B1006))&amp;" - "&amp;(IF($C1006="","Commercial",$C1006))),Variables!$B$1:$D$1,0),1))*AK1006/365),""))</f>
        <v>433.54298935945087</v>
      </c>
      <c r="BI1006" s="44">
        <f>IF($AX1006="Cancelled","",IFERROR((W1006*INDEX(Variables!$B$7:$D$7,IFERROR(MATCH(IF($B1006="Robusta","Robusta",(IF($B1006="","Arabica",$B1006))&amp;" - "&amp;(IF($C1006="","Commercial",$C1006))),Variables!$B$1:$D$1,0),1))*BD1006/365)+(L1006/16.67*INDEX(Variables!$B$8:$D$8,IFERROR(MATCH(IF($B1006="Robusta","Robusta",(IF($B1006="","Arabica",$B1006))&amp;" - "&amp;(IF($C1006="","Commercial",$C1006))),Variables!$B$1:$D$1,0),1))*BD1006)+(W1006*INDEX(Variables!$B$9:$D$9,IFERROR(MATCH(IF($B1006="Robusta","Robusta",(IF($B1006="","Arabica",$B1006))&amp;" - "&amp;(IF($C1006="","Commercial",$C1006))),Variables!$B$1:$D$1,0),1))*BD1006/365),""))</f>
        <v>144.51432978648361</v>
      </c>
      <c r="BJ1006" s="44">
        <f t="shared" si="48"/>
        <v>2</v>
      </c>
      <c r="BK1006" s="44">
        <f>IF($AX1006="Cancelled","",IFERROR(IF(BJ1006="","",(W1006*INDEX(Variables!$B$7:$D$7,IFERROR(MATCH(IF($B1006="Robusta","Robusta",(IF($B1006="","Arabica",$B1006))&amp;" - "&amp;(IF($C1006="","Commercial",$C1006))),Variables!$B$1:$D$1,0),1))*(BJ1006/365))+(W1006*INDEX(Variables!$B$9:$D$9,IFERROR(MATCH(IF($B1006="Robusta","Robusta",(IF($B1006="","Arabica",$B1006))&amp;" - "&amp;(IF($C1006="","Commercial",$C1006))),Variables!$B$1:$D$1,0),1))*(BJ1006/365))+(INDEX(Variables!$B$8:$D$8,IFERROR(MATCH(IF($B1006="Robusta","Robusta",(IF($B1006="","Arabica",$B1006))&amp;" - "&amp;(IF($C1006="","Commercial",$C1006))),Variables!$B$1:$D$1,0),1))*L1006/16.67)),""))</f>
        <v>112.51432978648361</v>
      </c>
    </row>
    <row r="1007" spans="1:63">
      <c r="A1007" s="13" t="s">
        <v>103</v>
      </c>
      <c r="B1007" s="13" t="s">
        <v>104</v>
      </c>
      <c r="C1007" s="13" t="s">
        <v>105</v>
      </c>
      <c r="D1007" s="31">
        <v>46094</v>
      </c>
      <c r="E1007" s="31">
        <v>46204</v>
      </c>
      <c r="F1007" s="31">
        <v>46234</v>
      </c>
      <c r="G1007" s="13">
        <v>3787428</v>
      </c>
      <c r="J1007" s="13" t="s">
        <v>2541</v>
      </c>
      <c r="K1007" s="13">
        <v>5585</v>
      </c>
      <c r="L1007" s="13">
        <v>640</v>
      </c>
      <c r="M1007" s="13">
        <v>2</v>
      </c>
      <c r="N1007" s="13" t="s">
        <v>2542</v>
      </c>
      <c r="O1007" s="13" t="s">
        <v>332</v>
      </c>
      <c r="P1007" s="13">
        <v>10120</v>
      </c>
      <c r="R1007" s="13" t="s">
        <v>110</v>
      </c>
      <c r="S1007" s="13" t="s">
        <v>2404</v>
      </c>
      <c r="T1007" s="13" t="s">
        <v>112</v>
      </c>
      <c r="U1007" s="13" t="s">
        <v>113</v>
      </c>
      <c r="V1007" s="23">
        <v>-25</v>
      </c>
      <c r="W1007" s="44">
        <f>IF($AX1007="Cancelled","",IFERROR(((V1007+INDEX(Variables!$B$6:$D$6,IFERROR(MATCH(IF($B1007="Robusta","Robusta",(IF($B1007="","Arabica",$B1007))&amp;" - "&amp;(IF($C1007="","Commercial",$C1007))),Variables!$B$1:$D$1,0),1)))*22.0462)*(L1007/16.67),""))</f>
        <v>224974.39558488302</v>
      </c>
      <c r="X1007" s="55" t="s">
        <v>37</v>
      </c>
      <c r="Y1007" s="13" t="str">
        <f>IF($AX1007="Cancelled","",IF(X1007="","",IFERROR(IF(INDEX(Variables!$B$38:$B$47,MATCH(X1007,Variables!$A$38:$A$47,0))="Yes","Yes","No"),"No")))</f>
        <v>Yes</v>
      </c>
      <c r="Z1007" s="58">
        <v>46167</v>
      </c>
      <c r="AC1007" s="13" t="str">
        <f t="shared" si="47"/>
        <v/>
      </c>
      <c r="AF1007" s="71">
        <v>46226</v>
      </c>
      <c r="AG1007" s="37">
        <f>IF($AX1007="Cancelled","",IFERROR(IF(F1007="","",F1007-Variables!$B$13),""))</f>
        <v>46219</v>
      </c>
      <c r="AH1007" s="13" t="str">
        <f>IF($AX1007="Cancelled","",IFERROR(IF(AB1007="","",(AVERAGE(E1007:F1007)-AB1007)-Variables!$B$14),""))</f>
        <v/>
      </c>
      <c r="AJ1007" s="47">
        <v>46226</v>
      </c>
      <c r="AK1007" s="14">
        <f>IF($AX1007="Cancelled","",IFERROR(IF(AJ1007="","",IF(AND(AB1007="",AF1007=""),"",IF(AF1007&gt;AB1007,AF1007+Variables!$B$15+Variables!$B$16+Variables!$B$17-AJ1007,AB1007+Variables!$B$16+Variables!$B$17-AJ1007))),""))</f>
        <v>15</v>
      </c>
      <c r="AL1007" s="48" t="s">
        <v>114</v>
      </c>
      <c r="AM1007" s="13" t="s">
        <v>168</v>
      </c>
      <c r="AN1007" s="13" t="s">
        <v>1681</v>
      </c>
      <c r="AP1007" s="39">
        <v>46251</v>
      </c>
      <c r="AR1007" s="13" t="s">
        <v>2545</v>
      </c>
      <c r="AS1007" s="31">
        <v>46251</v>
      </c>
      <c r="AU1007" s="39">
        <v>46258</v>
      </c>
      <c r="AV1007" s="13" t="s">
        <v>865</v>
      </c>
      <c r="AW1007" s="39">
        <v>46258</v>
      </c>
      <c r="AX1007" s="13" t="str">
        <f>IF(ISNUMBER(SEARCH("cancel",#REF!)),"Cancelled",IF(AND(AS1007&lt;&gt;"",AU1007&lt;&gt;"",AW1007&lt;&gt;""),"Closed","Open"))</f>
        <v>Closed</v>
      </c>
      <c r="AY1007" s="15" t="str">
        <f t="shared" si="46"/>
        <v>All dates received</v>
      </c>
      <c r="AZ1007" s="13" t="s">
        <v>3047</v>
      </c>
      <c r="BA1007" s="13" t="s">
        <v>3051</v>
      </c>
      <c r="BB1007" s="13" t="s">
        <v>3052</v>
      </c>
      <c r="BC1007" s="13" t="s">
        <v>3292</v>
      </c>
      <c r="BD1007" s="13">
        <f>IF($AX1007="Cancelled","",IFERROR(IF(OR(AS1007="",AJ1007=""),"",(AJ1007+Variables!$B$18-AS1007)),""))</f>
        <v>-10</v>
      </c>
      <c r="BE1007" s="13">
        <f>IF($AX1007="Cancelled","",IFERROR(IF(OR(AW1007="",AS1007=""),"",(AS1007+Variables!$B$19)-AW1007),""))</f>
        <v>-2</v>
      </c>
      <c r="BF1007" s="44">
        <f>IF($AX1007="Cancelled","",IFERROR(W1007*INDEX(Variables!$B$7:$D$7,IFERROR(MATCH(IF($B1007="Robusta","Robusta",(IF($B1007="","Arabica",$B1007))&amp;" - "&amp;(IF($C1007="","Commercial",$C1007))),Variables!$B$1:$D$1,0),1))*(BE1007/365),""))</f>
        <v>-79.489556005389289</v>
      </c>
      <c r="BG1007" s="44" t="str">
        <f>IF($AX1007="Cancelled","",IFERROR((W1007*INDEX(Variables!$B$7:$D$7,IFERROR(MATCH(IF($B1007="Robusta","Robusta",(IF($B1007="","Arabica",$B1007))&amp;" - "&amp;(IF($C1007="","Commercial",$C1007))),Variables!$B$1:$D$1,0),1))*IFERROR(IF(AB1007="","",(AVERAGE(E1007:F1007)-AB1007)-Variables!$B$14),"")/365)+(L1007/16.67*INDEX(Variables!$B$8:$D$8,IFERROR(MATCH(IF($B1007="Robusta","Robusta",(IF($B1007="","Arabica",$B1007))&amp;" - "&amp;(IF($C1007="","Commercial",$C1007))),Variables!$B$1:$D$1,0),1))*IFERROR(IF(AB1007="","",(AVERAGE(E1007:F1007)-AB1007)-Variables!$B$14),""))+(W1007*INDEX(Variables!$B$9:$D$9,IFERROR(MATCH(IF($B1007="Robusta","Robusta",(IF($B1007="","Arabica",$B1007))&amp;" - "&amp;(IF($C1007="","Commercial",$C1007))),Variables!$B$1:$D$1,0),1))*IFERROR(IF(AB1007="","",(AVERAGE(E1007:F1007)-AB1007)-Variables!$B$14),"")/365),""))</f>
        <v/>
      </c>
      <c r="BH1007" s="44">
        <f>IF($AX1007="Cancelled","",IFERROR((W1007*INDEX(Variables!$B$7:$D$7,IFERROR(MATCH(IF($B1007="Robusta","Robusta",(IF($B1007="","Arabica",$B1007))&amp;" - "&amp;(IF($C1007="","Commercial",$C1007))),Variables!$B$1:$D$1,0),1))*AK1007/365)+(L1007/16.67*INDEX(Variables!$B$8:$D$8,IFERROR(MATCH(IF($B1007="Robusta","Robusta",(IF($B1007="","Arabica",$B1007))&amp;" - "&amp;(IF($C1007="","Commercial",$C1007))),Variables!$B$1:$D$1,0),1))*AK1007)+(W1007*INDEX(Variables!$B$9:$D$9,IFERROR(MATCH(IF($B1007="Robusta","Robusta",(IF($B1007="","Arabica",$B1007))&amp;" - "&amp;(IF($C1007="","Commercial",$C1007))),Variables!$B$1:$D$1,0),1))*AK1007/365),""))</f>
        <v>1083.857473398627</v>
      </c>
      <c r="BI1007" s="44">
        <f>IF($AX1007="Cancelled","",IFERROR((W1007*INDEX(Variables!$B$7:$D$7,IFERROR(MATCH(IF($B1007="Robusta","Robusta",(IF($B1007="","Arabica",$B1007))&amp;" - "&amp;(IF($C1007="","Commercial",$C1007))),Variables!$B$1:$D$1,0),1))*BD1007/365)+(L1007/16.67*INDEX(Variables!$B$8:$D$8,IFERROR(MATCH(IF($B1007="Robusta","Robusta",(IF($B1007="","Arabica",$B1007))&amp;" - "&amp;(IF($C1007="","Commercial",$C1007))),Variables!$B$1:$D$1,0),1))*BD1007)+(W1007*INDEX(Variables!$B$9:$D$9,IFERROR(MATCH(IF($B1007="Robusta","Robusta",(IF($B1007="","Arabica",$B1007))&amp;" - "&amp;(IF($C1007="","Commercial",$C1007))),Variables!$B$1:$D$1,0),1))*BD1007/365),""))</f>
        <v>-722.57164893241804</v>
      </c>
      <c r="BJ1007" s="44">
        <f t="shared" si="48"/>
        <v>-17</v>
      </c>
      <c r="BK1007" s="44">
        <f>IF($AX1007="Cancelled","",IFERROR(IF(BJ1007="","",(W1007*INDEX(Variables!$B$7:$D$7,IFERROR(MATCH(IF($B1007="Robusta","Robusta",(IF($B1007="","Arabica",$B1007))&amp;" - "&amp;(IF($C1007="","Commercial",$C1007))),Variables!$B$1:$D$1,0),1))*(BJ1007/365))+(W1007*INDEX(Variables!$B$9:$D$9,IFERROR(MATCH(IF($B1007="Robusta","Robusta",(IF($B1007="","Arabica",$B1007))&amp;" - "&amp;(IF($C1007="","Commercial",$C1007))),Variables!$B$1:$D$1,0),1))*(BJ1007/365))+(INDEX(Variables!$B$8:$D$8,IFERROR(MATCH(IF($B1007="Robusta","Robusta",(IF($B1007="","Arabica",$B1007))&amp;" - "&amp;(IF($C1007="","Commercial",$C1007))),Variables!$B$1:$D$1,0),1))*L1007/16.67)),""))</f>
        <v>-652.37180318511071</v>
      </c>
    </row>
    <row r="1008" spans="1:63">
      <c r="A1008" s="13" t="s">
        <v>103</v>
      </c>
      <c r="B1008" s="13" t="s">
        <v>104</v>
      </c>
      <c r="C1008" s="13" t="s">
        <v>292</v>
      </c>
      <c r="D1008" s="31">
        <v>46094</v>
      </c>
      <c r="E1008" s="31">
        <v>46113</v>
      </c>
      <c r="F1008" s="31">
        <v>46142</v>
      </c>
      <c r="G1008" s="13">
        <v>3787429</v>
      </c>
      <c r="J1008" s="13" t="s">
        <v>501</v>
      </c>
      <c r="K1008" s="13" t="s">
        <v>2546</v>
      </c>
      <c r="L1008" s="13">
        <v>2</v>
      </c>
      <c r="M1008" s="13">
        <v>0</v>
      </c>
      <c r="N1008" s="13" t="s">
        <v>2547</v>
      </c>
      <c r="O1008" s="13" t="s">
        <v>771</v>
      </c>
      <c r="P1008" s="13">
        <v>10010</v>
      </c>
      <c r="R1008" s="13" t="s">
        <v>671</v>
      </c>
      <c r="S1008" s="13" t="s">
        <v>437</v>
      </c>
      <c r="T1008" s="13" t="s">
        <v>438</v>
      </c>
      <c r="U1008" s="13" t="s">
        <v>182</v>
      </c>
      <c r="V1008" s="23">
        <v>214</v>
      </c>
      <c r="W1008" s="44">
        <f>IF($AX1008="Cancelled","",IFERROR(((V1008+INDEX(Variables!$B$6:$D$6,IFERROR(MATCH(IF($B1008="Robusta","Robusta",(IF($B1008="","Arabica",$B1008))&amp;" - "&amp;(IF($C1008="","Commercial",$C1008))),Variables!$B$1:$D$1,0),1)))*22.0462)*(L1008/16.67),""))</f>
        <v>1335.2035704859027</v>
      </c>
      <c r="Y1008" s="13" t="str">
        <f>IF($AX1008="Cancelled","",IF(X1008="","",IFERROR(IF(INDEX(Variables!$B$38:$B$47,MATCH(X1008,Variables!$A$38:$A$47,0))="Yes","Yes","No"),"No")))</f>
        <v/>
      </c>
      <c r="Z1008" s="31"/>
      <c r="AC1008" s="13" t="str">
        <f t="shared" si="47"/>
        <v/>
      </c>
      <c r="AF1008" s="71">
        <v>46155</v>
      </c>
      <c r="AG1008" s="37">
        <f>IF($AX1008="Cancelled","",IFERROR(IF(F1008="","",F1008-Variables!$B$13),""))</f>
        <v>46127</v>
      </c>
      <c r="AH1008" s="13" t="str">
        <f>IF($AX1008="Cancelled","",IFERROR(IF(AB1008="","",(AVERAGE(E1008:F1008)-AB1008)-Variables!$B$14),""))</f>
        <v/>
      </c>
      <c r="AJ1008" s="47">
        <v>46168</v>
      </c>
      <c r="AK1008" s="14">
        <f>IF($AX1008="Cancelled","",IFERROR(IF(AJ1008="","",IF(AND(AB1008="",AF1008=""),"",IF(AF1008&gt;AB1008,AF1008+Variables!$B$15+Variables!$B$16+Variables!$B$17-AJ1008,AB1008+Variables!$B$16+Variables!$B$17-AJ1008))),""))</f>
        <v>2</v>
      </c>
      <c r="AL1008" s="48" t="s">
        <v>114</v>
      </c>
      <c r="AM1008" s="13" t="s">
        <v>1781</v>
      </c>
      <c r="AN1008" s="13" t="s">
        <v>2177</v>
      </c>
      <c r="AP1008" s="39" t="e">
        <v>#N/A</v>
      </c>
      <c r="AR1008" s="13" t="s">
        <v>2178</v>
      </c>
      <c r="AS1008" s="31">
        <v>46179</v>
      </c>
      <c r="AU1008" s="31">
        <v>46211</v>
      </c>
      <c r="AV1008" s="13" t="e">
        <v>#N/A</v>
      </c>
      <c r="AW1008" s="31">
        <v>46211</v>
      </c>
      <c r="AX1008" s="13" t="str">
        <f>IF(ISNUMBER(SEARCH("cancel",#REF!)),"Cancelled",IF(AND(AS1008&lt;&gt;"",AU1008&lt;&gt;"",AW1008&lt;&gt;""),"Closed","Open"))</f>
        <v>Closed</v>
      </c>
      <c r="AY1008" s="15" t="str">
        <f t="shared" si="46"/>
        <v>All dates received</v>
      </c>
      <c r="BD1008" s="13">
        <f>IF($AX1008="Cancelled","",IFERROR(IF(OR(AS1008="",AJ1008=""),"",(AJ1008+Variables!$B$18-AS1008)),""))</f>
        <v>4</v>
      </c>
      <c r="BE1008" s="13">
        <f>IF($AX1008="Cancelled","",IFERROR(IF(OR(AW1008="",AS1008=""),"",(AS1008+Variables!$B$19)-AW1008),""))</f>
        <v>-27</v>
      </c>
      <c r="BF1008" s="44">
        <f>IF($AX1008="Cancelled","",IFERROR(W1008*INDEX(Variables!$B$7:$D$7,IFERROR(MATCH(IF($B1008="Robusta","Robusta",(IF($B1008="","Arabica",$B1008))&amp;" - "&amp;(IF($C1008="","Commercial",$C1008))),Variables!$B$1:$D$1,0),1))*(BE1008/365),""))</f>
        <v>-6.3688090936033532</v>
      </c>
      <c r="BG1008" s="44" t="str">
        <f>IF($AX1008="Cancelled","",IFERROR((W1008*INDEX(Variables!$B$7:$D$7,IFERROR(MATCH(IF($B1008="Robusta","Robusta",(IF($B1008="","Arabica",$B1008))&amp;" - "&amp;(IF($C1008="","Commercial",$C1008))),Variables!$B$1:$D$1,0),1))*IFERROR(IF(AB1008="","",(AVERAGE(E1008:F1008)-AB1008)-Variables!$B$14),"")/365)+(L1008/16.67*INDEX(Variables!$B$8:$D$8,IFERROR(MATCH(IF($B1008="Robusta","Robusta",(IF($B1008="","Arabica",$B1008))&amp;" - "&amp;(IF($C1008="","Commercial",$C1008))),Variables!$B$1:$D$1,0),1))*IFERROR(IF(AB1008="","",(AVERAGE(E1008:F1008)-AB1008)-Variables!$B$14),""))+(W1008*INDEX(Variables!$B$9:$D$9,IFERROR(MATCH(IF($B1008="Robusta","Robusta",(IF($B1008="","Arabica",$B1008))&amp;" - "&amp;(IF($C1008="","Commercial",$C1008))),Variables!$B$1:$D$1,0),1))*IFERROR(IF(AB1008="","",(AVERAGE(E1008:F1008)-AB1008)-Variables!$B$14),"")/365),""))</f>
        <v/>
      </c>
      <c r="BH1008" s="44">
        <f>IF($AX1008="Cancelled","",IFERROR((W1008*INDEX(Variables!$B$7:$D$7,IFERROR(MATCH(IF($B1008="Robusta","Robusta",(IF($B1008="","Arabica",$B1008))&amp;" - "&amp;(IF($C1008="","Commercial",$C1008))),Variables!$B$1:$D$1,0),1))*AK1008/365)+(L1008/16.67*INDEX(Variables!$B$8:$D$8,IFERROR(MATCH(IF($B1008="Robusta","Robusta",(IF($B1008="","Arabica",$B1008))&amp;" - "&amp;(IF($C1008="","Commercial",$C1008))),Variables!$B$1:$D$1,0),1))*AK1008)+(W1008*INDEX(Variables!$B$9:$D$9,IFERROR(MATCH(IF($B1008="Robusta","Robusta",(IF($B1008="","Arabica",$B1008))&amp;" - "&amp;(IF($C1008="","Commercial",$C1008))),Variables!$B$1:$D$1,0),1))*AK1008/365),""))</f>
        <v>0.67784558027907404</v>
      </c>
      <c r="BI1008" s="44">
        <f>IF($AX1008="Cancelled","",IFERROR((W1008*INDEX(Variables!$B$7:$D$7,IFERROR(MATCH(IF($B1008="Robusta","Robusta",(IF($B1008="","Arabica",$B1008))&amp;" - "&amp;(IF($C1008="","Commercial",$C1008))),Variables!$B$1:$D$1,0),1))*BD1008/365)+(L1008/16.67*INDEX(Variables!$B$8:$D$8,IFERROR(MATCH(IF($B1008="Robusta","Robusta",(IF($B1008="","Arabica",$B1008))&amp;" - "&amp;(IF($C1008="","Commercial",$C1008))),Variables!$B$1:$D$1,0),1))*BD1008)+(W1008*INDEX(Variables!$B$9:$D$9,IFERROR(MATCH(IF($B1008="Robusta","Robusta",(IF($B1008="","Arabica",$B1008))&amp;" - "&amp;(IF($C1008="","Commercial",$C1008))),Variables!$B$1:$D$1,0),1))*BD1008/365),""))</f>
        <v>1.3556911605581481</v>
      </c>
      <c r="BJ1008" s="44">
        <f t="shared" si="48"/>
        <v>-37</v>
      </c>
      <c r="BK1008" s="44">
        <f>IF($AX1008="Cancelled","",IFERROR(IF(BJ1008="","",(W1008*INDEX(Variables!$B$7:$D$7,IFERROR(MATCH(IF($B1008="Robusta","Robusta",(IF($B1008="","Arabica",$B1008))&amp;" - "&amp;(IF($C1008="","Commercial",$C1008))),Variables!$B$1:$D$1,0),1))*(BJ1008/365))+(W1008*INDEX(Variables!$B$9:$D$9,IFERROR(MATCH(IF($B1008="Robusta","Robusta",(IF($B1008="","Arabica",$B1008))&amp;" - "&amp;(IF($C1008="","Commercial",$C1008))),Variables!$B$1:$D$1,0),1))*(BJ1008/365))+(INDEX(Variables!$B$8:$D$8,IFERROR(MATCH(IF($B1008="Robusta","Robusta",(IF($B1008="","Arabica",$B1008))&amp;" - "&amp;(IF($C1008="","Commercial",$C1008))),Variables!$B$1:$D$1,0),1))*L1008/16.67)),""))</f>
        <v>-8.7401432351628685</v>
      </c>
    </row>
    <row r="1009" spans="1:63">
      <c r="A1009" s="13" t="s">
        <v>103</v>
      </c>
      <c r="B1009" s="13" t="s">
        <v>104</v>
      </c>
      <c r="C1009" s="13" t="s">
        <v>292</v>
      </c>
      <c r="D1009" s="31">
        <v>46094</v>
      </c>
      <c r="E1009" s="31">
        <v>46113</v>
      </c>
      <c r="F1009" s="31">
        <v>46142</v>
      </c>
      <c r="G1009" s="13">
        <v>3787430</v>
      </c>
      <c r="J1009" s="13" t="s">
        <v>501</v>
      </c>
      <c r="K1009" s="13" t="s">
        <v>2548</v>
      </c>
      <c r="L1009" s="13">
        <v>12</v>
      </c>
      <c r="M1009" s="13">
        <v>0</v>
      </c>
      <c r="N1009" s="13" t="s">
        <v>2549</v>
      </c>
      <c r="O1009" s="13" t="s">
        <v>297</v>
      </c>
      <c r="P1009" s="13">
        <v>10020</v>
      </c>
      <c r="R1009" s="13" t="s">
        <v>671</v>
      </c>
      <c r="S1009" s="13" t="s">
        <v>437</v>
      </c>
      <c r="T1009" s="13" t="s">
        <v>438</v>
      </c>
      <c r="U1009" s="13" t="s">
        <v>182</v>
      </c>
      <c r="V1009" s="23">
        <v>172</v>
      </c>
      <c r="W1009" s="44">
        <f>IF($AX1009="Cancelled","",IFERROR(((V1009+INDEX(Variables!$B$6:$D$6,IFERROR(MATCH(IF($B1009="Robusta","Robusta",(IF($B1009="","Arabica",$B1009))&amp;" - "&amp;(IF($C1009="","Commercial",$C1009))),Variables!$B$1:$D$1,0),1)))*22.0462)*(L1009/16.67),""))</f>
        <v>7344.6776436712644</v>
      </c>
      <c r="Y1009" s="13" t="str">
        <f>IF($AX1009="Cancelled","",IF(X1009="","",IFERROR(IF(INDEX(Variables!$B$38:$B$47,MATCH(X1009,Variables!$A$38:$A$47,0))="Yes","Yes","No"),"No")))</f>
        <v/>
      </c>
      <c r="Z1009" s="31"/>
      <c r="AC1009" s="13" t="str">
        <f t="shared" si="47"/>
        <v/>
      </c>
      <c r="AF1009" s="71">
        <v>46155</v>
      </c>
      <c r="AG1009" s="35">
        <f>IF($AX1009="Cancelled","",IFERROR(IF(F1009="","",F1009-Variables!$B$13),""))</f>
        <v>46127</v>
      </c>
      <c r="AH1009" s="13" t="str">
        <f>IF($AX1009="Cancelled","",IFERROR(IF(AB1009="","",(AVERAGE(E1009:F1009)-AB1009)-Variables!$B$14),""))</f>
        <v/>
      </c>
      <c r="AJ1009" s="47">
        <v>46168</v>
      </c>
      <c r="AK1009" s="14">
        <f>IF($AX1009="Cancelled","",IFERROR(IF(AJ1009="","",IF(AND(AB1009="",AF1009=""),"",IF(AF1009&gt;AB1009,AF1009+Variables!$B$15+Variables!$B$16+Variables!$B$17-AJ1009,AB1009+Variables!$B$16+Variables!$B$17-AJ1009))),""))</f>
        <v>2</v>
      </c>
      <c r="AL1009" s="48" t="s">
        <v>114</v>
      </c>
      <c r="AM1009" s="13" t="s">
        <v>1781</v>
      </c>
      <c r="AN1009" s="13" t="s">
        <v>2177</v>
      </c>
      <c r="AP1009" s="39" t="e">
        <v>#N/A</v>
      </c>
      <c r="AR1009" s="13" t="s">
        <v>2178</v>
      </c>
      <c r="AS1009" s="31">
        <v>46179</v>
      </c>
      <c r="AU1009" s="31">
        <v>46211</v>
      </c>
      <c r="AV1009" s="13" t="e">
        <v>#N/A</v>
      </c>
      <c r="AW1009" s="31">
        <v>46211</v>
      </c>
      <c r="AX1009" s="13" t="str">
        <f>IF(ISNUMBER(SEARCH("cancel",#REF!)),"Cancelled",IF(AND(AS1009&lt;&gt;"",AU1009&lt;&gt;"",AW1009&lt;&gt;""),"Closed","Open"))</f>
        <v>Closed</v>
      </c>
      <c r="AY1009" s="15" t="str">
        <f t="shared" si="46"/>
        <v>All dates received</v>
      </c>
      <c r="BD1009" s="13">
        <f>IF($AX1009="Cancelled","",IFERROR(IF(OR(AS1009="",AJ1009=""),"",(AJ1009+Variables!$B$18-AS1009)),""))</f>
        <v>4</v>
      </c>
      <c r="BE1009" s="13">
        <f>IF($AX1009="Cancelled","",IFERROR(IF(OR(AW1009="",AS1009=""),"",(AS1009+Variables!$B$19)-AW1009),""))</f>
        <v>-27</v>
      </c>
      <c r="BF1009" s="44">
        <f>IF($AX1009="Cancelled","",IFERROR(W1009*INDEX(Variables!$B$7:$D$7,IFERROR(MATCH(IF($B1009="Robusta","Robusta",(IF($B1009="","Arabica",$B1009))&amp;" - "&amp;(IF($C1009="","Commercial",$C1009))),Variables!$B$1:$D$1,0),1))*(BE1009/365),""))</f>
        <v>-35.033496614734133</v>
      </c>
      <c r="BG1009" s="44" t="str">
        <f>IF($AX1009="Cancelled","",IFERROR((W1009*INDEX(Variables!$B$7:$D$7,IFERROR(MATCH(IF($B1009="Robusta","Robusta",(IF($B1009="","Arabica",$B1009))&amp;" - "&amp;(IF($C1009="","Commercial",$C1009))),Variables!$B$1:$D$1,0),1))*IFERROR(IF(AB1009="","",(AVERAGE(E1009:F1009)-AB1009)-Variables!$B$14),"")/365)+(L1009/16.67*INDEX(Variables!$B$8:$D$8,IFERROR(MATCH(IF($B1009="Robusta","Robusta",(IF($B1009="","Arabica",$B1009))&amp;" - "&amp;(IF($C1009="","Commercial",$C1009))),Variables!$B$1:$D$1,0),1))*IFERROR(IF(AB1009="","",(AVERAGE(E1009:F1009)-AB1009)-Variables!$B$14),""))+(W1009*INDEX(Variables!$B$9:$D$9,IFERROR(MATCH(IF($B1009="Robusta","Robusta",(IF($B1009="","Arabica",$B1009))&amp;" - "&amp;(IF($C1009="","Commercial",$C1009))),Variables!$B$1:$D$1,0),1))*IFERROR(IF(AB1009="","",(AVERAGE(E1009:F1009)-AB1009)-Variables!$B$14),"")/365),""))</f>
        <v/>
      </c>
      <c r="BH1009" s="44">
        <f>IF($AX1009="Cancelled","",IFERROR((W1009*INDEX(Variables!$B$7:$D$7,IFERROR(MATCH(IF($B1009="Robusta","Robusta",(IF($B1009="","Arabica",$B1009))&amp;" - "&amp;(IF($C1009="","Commercial",$C1009))),Variables!$B$1:$D$1,0),1))*AK1009/365)+(L1009/16.67*INDEX(Variables!$B$8:$D$8,IFERROR(MATCH(IF($B1009="Robusta","Robusta",(IF($B1009="","Arabica",$B1009))&amp;" - "&amp;(IF($C1009="","Commercial",$C1009))),Variables!$B$1:$D$1,0),1))*AK1009)+(W1009*INDEX(Variables!$B$9:$D$9,IFERROR(MATCH(IF($B1009="Robusta","Robusta",(IF($B1009="","Arabica",$B1009))&amp;" - "&amp;(IF($C1009="","Commercial",$C1009))),Variables!$B$1:$D$1,0),1))*AK1009/365),""))</f>
        <v>3.8285293330406751</v>
      </c>
      <c r="BI1009" s="44">
        <f>IF($AX1009="Cancelled","",IFERROR((W1009*INDEX(Variables!$B$7:$D$7,IFERROR(MATCH(IF($B1009="Robusta","Robusta",(IF($B1009="","Arabica",$B1009))&amp;" - "&amp;(IF($C1009="","Commercial",$C1009))),Variables!$B$1:$D$1,0),1))*BD1009/365)+(L1009/16.67*INDEX(Variables!$B$8:$D$8,IFERROR(MATCH(IF($B1009="Robusta","Robusta",(IF($B1009="","Arabica",$B1009))&amp;" - "&amp;(IF($C1009="","Commercial",$C1009))),Variables!$B$1:$D$1,0),1))*BD1009)+(W1009*INDEX(Variables!$B$9:$D$9,IFERROR(MATCH(IF($B1009="Robusta","Robusta",(IF($B1009="","Arabica",$B1009))&amp;" - "&amp;(IF($C1009="","Commercial",$C1009))),Variables!$B$1:$D$1,0),1))*BD1009/365),""))</f>
        <v>7.6570586660813502</v>
      </c>
      <c r="BJ1009" s="44">
        <f t="shared" si="48"/>
        <v>-37</v>
      </c>
      <c r="BK1009" s="44">
        <f>IF($AX1009="Cancelled","",IFERROR(IF(BJ1009="","",(W1009*INDEX(Variables!$B$7:$D$7,IFERROR(MATCH(IF($B1009="Robusta","Robusta",(IF($B1009="","Arabica",$B1009))&amp;" - "&amp;(IF($C1009="","Commercial",$C1009))),Variables!$B$1:$D$1,0),1))*(BJ1009/365))+(W1009*INDEX(Variables!$B$9:$D$9,IFERROR(MATCH(IF($B1009="Robusta","Robusta",(IF($B1009="","Arabica",$B1009))&amp;" - "&amp;(IF($C1009="","Commercial",$C1009))),Variables!$B$1:$D$1,0),1))*(BJ1009/365))+(INDEX(Variables!$B$8:$D$8,IFERROR(MATCH(IF($B1009="Robusta","Robusta",(IF($B1009="","Arabica",$B1009))&amp;" - "&amp;(IF($C1009="","Commercial",$C1009))),Variables!$B$1:$D$1,0),1))*L1009/16.67)),""))</f>
        <v>-48.027792661252484</v>
      </c>
    </row>
    <row r="1010" spans="1:63">
      <c r="A1010" s="13" t="s">
        <v>103</v>
      </c>
      <c r="B1010" s="13" t="s">
        <v>104</v>
      </c>
      <c r="C1010" s="13" t="s">
        <v>105</v>
      </c>
      <c r="D1010" s="31">
        <v>46094</v>
      </c>
      <c r="E1010" s="31">
        <v>46143</v>
      </c>
      <c r="F1010" s="31">
        <v>46173</v>
      </c>
      <c r="G1010" s="13">
        <v>3787431</v>
      </c>
      <c r="J1010" s="13" t="s">
        <v>415</v>
      </c>
      <c r="K1010" s="13">
        <v>5558</v>
      </c>
      <c r="L1010" s="13">
        <v>333</v>
      </c>
      <c r="M1010" s="13">
        <v>1</v>
      </c>
      <c r="N1010" s="13" t="s">
        <v>2550</v>
      </c>
      <c r="O1010" s="13" t="s">
        <v>1172</v>
      </c>
      <c r="P1010" s="13">
        <v>10260</v>
      </c>
      <c r="R1010" s="13" t="s">
        <v>271</v>
      </c>
      <c r="S1010" s="13" t="s">
        <v>2551</v>
      </c>
      <c r="T1010" s="13" t="s">
        <v>373</v>
      </c>
      <c r="U1010" s="13" t="s">
        <v>125</v>
      </c>
      <c r="V1010" s="23">
        <v>-112</v>
      </c>
      <c r="W1010" s="44">
        <f>IF($AX1010="Cancelled","",IFERROR(((V1010+INDEX(Variables!$B$6:$D$6,IFERROR(MATCH(IF($B1010="Robusta","Robusta",(IF($B1010="","Arabica",$B1010))&amp;" - "&amp;(IF($C1010="","Commercial",$C1010))),Variables!$B$1:$D$1,0),1)))*22.0462)*(L1010/16.67),""))</f>
        <v>78742.625463707256</v>
      </c>
      <c r="X1010" s="55" t="s">
        <v>37</v>
      </c>
      <c r="Y1010" s="13" t="str">
        <f>IF($AX1010="Cancelled","",IF(X1010="","",IFERROR(IF(INDEX(Variables!$B$38:$B$47,MATCH(X1010,Variables!$A$38:$A$47,0))="Yes","Yes","No"),"No")))</f>
        <v>Yes</v>
      </c>
      <c r="Z1010" s="58">
        <v>46107</v>
      </c>
      <c r="AB1010" s="31">
        <v>46118</v>
      </c>
      <c r="AC1010" s="13" t="str">
        <f t="shared" si="47"/>
        <v>Approved</v>
      </c>
      <c r="AF1010" s="71">
        <v>46182</v>
      </c>
      <c r="AG1010" s="35">
        <f>IF($AX1010="Cancelled","",IFERROR(IF(F1010="","",F1010-Variables!$B$13),""))</f>
        <v>46158</v>
      </c>
      <c r="AH1010" s="13">
        <f>IF($AX1010="Cancelled","",IFERROR(IF(AB1010="","",(AVERAGE(E1010:F1010)-AB1010)-Variables!$B$14),""))</f>
        <v>10</v>
      </c>
      <c r="AJ1010" s="47">
        <v>46195</v>
      </c>
      <c r="AK1010" s="14">
        <f>IF($AX1010="Cancelled","",IFERROR(IF(AJ1010="","",IF(AND(AB1010="",AF1010=""),"",IF(AF1010&gt;AB1010,AF1010+Variables!$B$15+Variables!$B$16+Variables!$B$17-AJ1010,AB1010+Variables!$B$16+Variables!$B$17-AJ1010))),""))</f>
        <v>2</v>
      </c>
      <c r="AL1010" s="48" t="s">
        <v>114</v>
      </c>
      <c r="AM1010" s="13" t="s">
        <v>1784</v>
      </c>
      <c r="AN1010" s="13" t="s">
        <v>2552</v>
      </c>
      <c r="AP1010" s="39">
        <v>46213</v>
      </c>
      <c r="AR1010" s="13" t="s">
        <v>2553</v>
      </c>
      <c r="AS1010" s="31">
        <v>46213</v>
      </c>
      <c r="AU1010" s="31">
        <v>46269</v>
      </c>
      <c r="AV1010" s="13" t="e">
        <v>#REF!</v>
      </c>
      <c r="AW1010" s="31">
        <v>46269</v>
      </c>
      <c r="AX1010" s="13" t="str">
        <f>IF(ISNUMBER(SEARCH("cancel",#REF!)),"Cancelled",IF(AND(AS1010&lt;&gt;"",AU1010&lt;&gt;"",AW1010&lt;&gt;""),"Closed","Open"))</f>
        <v>Closed</v>
      </c>
      <c r="AY1010" s="15" t="str">
        <f t="shared" si="46"/>
        <v>All dates received</v>
      </c>
      <c r="BD1010" s="13">
        <f>IF($AX1010="Cancelled","",IFERROR(IF(OR(AS1010="",AJ1010=""),"",(AJ1010+Variables!$B$18-AS1010)),""))</f>
        <v>-3</v>
      </c>
      <c r="BE1010" s="13">
        <f>IF($AX1010="Cancelled","",IFERROR(IF(OR(AW1010="",AS1010=""),"",(AS1010+Variables!$B$19)-AW1010),""))</f>
        <v>-51</v>
      </c>
      <c r="BF1010" s="44">
        <f>IF($AX1010="Cancelled","",IFERROR(W1010*INDEX(Variables!$B$7:$D$7,IFERROR(MATCH(IF($B1010="Robusta","Robusta",(IF($B1010="","Arabica",$B1010))&amp;" - "&amp;(IF($C1010="","Commercial",$C1010))),Variables!$B$1:$D$1,0),1))*(BE1010/365),""))</f>
        <v>-709.45858604786054</v>
      </c>
      <c r="BG1010" s="44">
        <f>IF($AX1010="Cancelled","",IFERROR((W1010*INDEX(Variables!$B$7:$D$7,IFERROR(MATCH(IF($B1010="Robusta","Robusta",(IF($B1010="","Arabica",$B1010))&amp;" - "&amp;(IF($C1010="","Commercial",$C1010))),Variables!$B$1:$D$1,0),1))*IFERROR(IF(AB1010="","",(AVERAGE(E1010:F1010)-AB1010)-Variables!$B$14),"")/365)+(L1010/16.67*INDEX(Variables!$B$8:$D$8,IFERROR(MATCH(IF($B1010="Robusta","Robusta",(IF($B1010="","Arabica",$B1010))&amp;" - "&amp;(IF($C1010="","Commercial",$C1010))),Variables!$B$1:$D$1,0),1))*IFERROR(IF(AB1010="","",(AVERAGE(E1010:F1010)-AB1010)-Variables!$B$14),""))+(W1010*INDEX(Variables!$B$9:$D$9,IFERROR(MATCH(IF($B1010="Robusta","Robusta",(IF($B1010="","Arabica",$B1010))&amp;" - "&amp;(IF($C1010="","Commercial",$C1010))),Variables!$B$1:$D$1,0),1))*IFERROR(IF(AB1010="","",(AVERAGE(E1010:F1010)-AB1010)-Variables!$B$14),"")/365),""))</f>
        <v>307.40291693763965</v>
      </c>
      <c r="BH1010" s="44">
        <f>IF($AX1010="Cancelled","",IFERROR((W1010*INDEX(Variables!$B$7:$D$7,IFERROR(MATCH(IF($B1010="Robusta","Robusta",(IF($B1010="","Arabica",$B1010))&amp;" - "&amp;(IF($C1010="","Commercial",$C1010))),Variables!$B$1:$D$1,0),1))*AK1010/365)+(L1010/16.67*INDEX(Variables!$B$8:$D$8,IFERROR(MATCH(IF($B1010="Robusta","Robusta",(IF($B1010="","Arabica",$B1010))&amp;" - "&amp;(IF($C1010="","Commercial",$C1010))),Variables!$B$1:$D$1,0),1))*AK1010)+(W1010*INDEX(Variables!$B$9:$D$9,IFERROR(MATCH(IF($B1010="Robusta","Robusta",(IF($B1010="","Arabica",$B1010))&amp;" - "&amp;(IF($C1010="","Commercial",$C1010))),Variables!$B$1:$D$1,0),1))*AK1010/365),""))</f>
        <v>61.480583387527915</v>
      </c>
      <c r="BI1010" s="44">
        <f>IF($AX1010="Cancelled","",IFERROR((W1010*INDEX(Variables!$B$7:$D$7,IFERROR(MATCH(IF($B1010="Robusta","Robusta",(IF($B1010="","Arabica",$B1010))&amp;" - "&amp;(IF($C1010="","Commercial",$C1010))),Variables!$B$1:$D$1,0),1))*BD1010/365)+(L1010/16.67*INDEX(Variables!$B$8:$D$8,IFERROR(MATCH(IF($B1010="Robusta","Robusta",(IF($B1010="","Arabica",$B1010))&amp;" - "&amp;(IF($C1010="","Commercial",$C1010))),Variables!$B$1:$D$1,0),1))*BD1010)+(W1010*INDEX(Variables!$B$9:$D$9,IFERROR(MATCH(IF($B1010="Robusta","Robusta",(IF($B1010="","Arabica",$B1010))&amp;" - "&amp;(IF($C1010="","Commercial",$C1010))),Variables!$B$1:$D$1,0),1))*BD1010/365),""))</f>
        <v>-92.220875081291865</v>
      </c>
      <c r="BJ1010" s="44">
        <f t="shared" si="48"/>
        <v>-40</v>
      </c>
      <c r="BK1010" s="44">
        <f>IF($AX1010="Cancelled","",IFERROR(IF(BJ1010="","",(W1010*INDEX(Variables!$B$7:$D$7,IFERROR(MATCH(IF($B1010="Robusta","Robusta",(IF($B1010="","Arabica",$B1010))&amp;" - "&amp;(IF($C1010="","Commercial",$C1010))),Variables!$B$1:$D$1,0),1))*(BJ1010/365))+(W1010*INDEX(Variables!$B$9:$D$9,IFERROR(MATCH(IF($B1010="Robusta","Robusta",(IF($B1010="","Arabica",$B1010))&amp;" - "&amp;(IF($C1010="","Commercial",$C1010))),Variables!$B$1:$D$1,0),1))*(BJ1010/365))+(INDEX(Variables!$B$8:$D$8,IFERROR(MATCH(IF($B1010="Robusta","Robusta",(IF($B1010="","Arabica",$B1010))&amp;" - "&amp;(IF($C1010="","Commercial",$C1010))),Variables!$B$1:$D$1,0),1))*L1010/16.67)),""))</f>
        <v>-546.96166775055826</v>
      </c>
    </row>
    <row r="1011" spans="1:63">
      <c r="A1011" s="13" t="s">
        <v>103</v>
      </c>
      <c r="B1011" s="13" t="s">
        <v>104</v>
      </c>
      <c r="C1011" s="13" t="s">
        <v>292</v>
      </c>
      <c r="D1011" s="31">
        <v>46098</v>
      </c>
      <c r="E1011" s="31">
        <v>46113</v>
      </c>
      <c r="F1011" s="31">
        <v>46142</v>
      </c>
      <c r="G1011" s="13">
        <v>3787432</v>
      </c>
      <c r="J1011" s="13" t="s">
        <v>501</v>
      </c>
      <c r="K1011" s="13" t="s">
        <v>2554</v>
      </c>
      <c r="L1011" s="13">
        <v>17</v>
      </c>
      <c r="M1011" s="13">
        <v>0</v>
      </c>
      <c r="N1011" s="13" t="s">
        <v>2555</v>
      </c>
      <c r="O1011" s="13" t="s">
        <v>771</v>
      </c>
      <c r="P1011" s="13">
        <v>10010</v>
      </c>
      <c r="R1011" s="13" t="s">
        <v>384</v>
      </c>
      <c r="S1011" s="13" t="s">
        <v>437</v>
      </c>
      <c r="T1011" s="13" t="s">
        <v>438</v>
      </c>
      <c r="U1011" s="13" t="s">
        <v>182</v>
      </c>
      <c r="V1011" s="23">
        <v>213</v>
      </c>
      <c r="W1011" s="44">
        <f>IF($AX1011="Cancelled","",IFERROR(((V1011+INDEX(Variables!$B$6:$D$6,IFERROR(MATCH(IF($B1011="Robusta","Robusta",(IF($B1011="","Arabica",$B1011))&amp;" - "&amp;(IF($C1011="","Commercial",$C1011))),Variables!$B$1:$D$1,0),1)))*22.0462)*(L1011/16.67),""))</f>
        <v>11326.747721655669</v>
      </c>
      <c r="Y1011" s="13" t="str">
        <f>IF($AX1011="Cancelled","",IF(X1011="","",IFERROR(IF(INDEX(Variables!$B$38:$B$47,MATCH(X1011,Variables!$A$38:$A$47,0))="Yes","Yes","No"),"No")))</f>
        <v/>
      </c>
      <c r="Z1011" s="31"/>
      <c r="AC1011" s="13" t="str">
        <f t="shared" si="47"/>
        <v/>
      </c>
      <c r="AF1011" s="71">
        <v>46163</v>
      </c>
      <c r="AG1011" s="37">
        <f>IF($AX1011="Cancelled","",IFERROR(IF(F1011="","",F1011-Variables!$B$13),""))</f>
        <v>46127</v>
      </c>
      <c r="AH1011" s="13" t="str">
        <f>IF($AX1011="Cancelled","",IFERROR(IF(AB1011="","",(AVERAGE(E1011:F1011)-AB1011)-Variables!$B$14),""))</f>
        <v/>
      </c>
      <c r="AJ1011" s="47">
        <v>46165</v>
      </c>
      <c r="AK1011" s="14">
        <f>IF($AX1011="Cancelled","",IFERROR(IF(AJ1011="","",IF(AND(AB1011="",AF1011=""),"",IF(AF1011&gt;AB1011,AF1011+Variables!$B$15+Variables!$B$16+Variables!$B$17-AJ1011,AB1011+Variables!$B$16+Variables!$B$17-AJ1011))),""))</f>
        <v>13</v>
      </c>
      <c r="AL1011" s="48" t="s">
        <v>114</v>
      </c>
      <c r="AM1011" s="13" t="s">
        <v>1781</v>
      </c>
      <c r="AN1011" s="13" t="s">
        <v>2177</v>
      </c>
      <c r="AP1011" s="39" t="e">
        <v>#N/A</v>
      </c>
      <c r="AR1011" s="13" t="s">
        <v>2198</v>
      </c>
      <c r="AS1011" s="31">
        <v>46179</v>
      </c>
      <c r="AU1011" s="31">
        <v>46226</v>
      </c>
      <c r="AV1011" s="13" t="s">
        <v>865</v>
      </c>
      <c r="AW1011" s="31">
        <v>46226</v>
      </c>
      <c r="AX1011" s="13" t="str">
        <f>IF(ISNUMBER(SEARCH("cancel",#REF!)),"Cancelled",IF(AND(AS1011&lt;&gt;"",AU1011&lt;&gt;"",AW1011&lt;&gt;""),"Closed","Open"))</f>
        <v>Closed</v>
      </c>
      <c r="AY1011" s="15" t="str">
        <f t="shared" si="46"/>
        <v>All dates received</v>
      </c>
      <c r="BD1011" s="13">
        <f>IF($AX1011="Cancelled","",IFERROR(IF(OR(AS1011="",AJ1011=""),"",(AJ1011+Variables!$B$18-AS1011)),""))</f>
        <v>1</v>
      </c>
      <c r="BE1011" s="13">
        <f>IF($AX1011="Cancelled","",IFERROR(IF(OR(AW1011="",AS1011=""),"",(AS1011+Variables!$B$19)-AW1011),""))</f>
        <v>-42</v>
      </c>
      <c r="BF1011" s="44">
        <f>IF($AX1011="Cancelled","",IFERROR(W1011*INDEX(Variables!$B$7:$D$7,IFERROR(MATCH(IF($B1011="Robusta","Robusta",(IF($B1011="","Arabica",$B1011))&amp;" - "&amp;(IF($C1011="","Commercial",$C1011))),Variables!$B$1:$D$1,0),1))*(BE1011/365),""))</f>
        <v>-84.04299096265342</v>
      </c>
      <c r="BG1011" s="44" t="str">
        <f>IF($AX1011="Cancelled","",IFERROR((W1011*INDEX(Variables!$B$7:$D$7,IFERROR(MATCH(IF($B1011="Robusta","Robusta",(IF($B1011="","Arabica",$B1011))&amp;" - "&amp;(IF($C1011="","Commercial",$C1011))),Variables!$B$1:$D$1,0),1))*IFERROR(IF(AB1011="","",(AVERAGE(E1011:F1011)-AB1011)-Variables!$B$14),"")/365)+(L1011/16.67*INDEX(Variables!$B$8:$D$8,IFERROR(MATCH(IF($B1011="Robusta","Robusta",(IF($B1011="","Arabica",$B1011))&amp;" - "&amp;(IF($C1011="","Commercial",$C1011))),Variables!$B$1:$D$1,0),1))*IFERROR(IF(AB1011="","",(AVERAGE(E1011:F1011)-AB1011)-Variables!$B$14),""))+(W1011*INDEX(Variables!$B$9:$D$9,IFERROR(MATCH(IF($B1011="Robusta","Robusta",(IF($B1011="","Arabica",$B1011))&amp;" - "&amp;(IF($C1011="","Commercial",$C1011))),Variables!$B$1:$D$1,0),1))*IFERROR(IF(AB1011="","",(AVERAGE(E1011:F1011)-AB1011)-Variables!$B$14),"")/365),""))</f>
        <v/>
      </c>
      <c r="BH1011" s="44">
        <f>IF($AX1011="Cancelled","",IFERROR((W1011*INDEX(Variables!$B$7:$D$7,IFERROR(MATCH(IF($B1011="Robusta","Robusta",(IF($B1011="","Arabica",$B1011))&amp;" - "&amp;(IF($C1011="","Commercial",$C1011))),Variables!$B$1:$D$1,0),1))*AK1011/365)+(L1011/16.67*INDEX(Variables!$B$8:$D$8,IFERROR(MATCH(IF($B1011="Robusta","Robusta",(IF($B1011="","Arabica",$B1011))&amp;" - "&amp;(IF($C1011="","Commercial",$C1011))),Variables!$B$1:$D$1,0),1))*AK1011)+(W1011*INDEX(Variables!$B$9:$D$9,IFERROR(MATCH(IF($B1011="Robusta","Robusta",(IF($B1011="","Arabica",$B1011))&amp;" - "&amp;(IF($C1011="","Commercial",$C1011))),Variables!$B$1:$D$1,0),1))*AK1011/365),""))</f>
        <v>37.398668452434656</v>
      </c>
      <c r="BI1011" s="44">
        <f>IF($AX1011="Cancelled","",IFERROR((W1011*INDEX(Variables!$B$7:$D$7,IFERROR(MATCH(IF($B1011="Robusta","Robusta",(IF($B1011="","Arabica",$B1011))&amp;" - "&amp;(IF($C1011="","Commercial",$C1011))),Variables!$B$1:$D$1,0),1))*BD1011/365)+(L1011/16.67*INDEX(Variables!$B$8:$D$8,IFERROR(MATCH(IF($B1011="Robusta","Robusta",(IF($B1011="","Arabica",$B1011))&amp;" - "&amp;(IF($C1011="","Commercial",$C1011))),Variables!$B$1:$D$1,0),1))*BD1011)+(W1011*INDEX(Variables!$B$9:$D$9,IFERROR(MATCH(IF($B1011="Robusta","Robusta",(IF($B1011="","Arabica",$B1011))&amp;" - "&amp;(IF($C1011="","Commercial",$C1011))),Variables!$B$1:$D$1,0),1))*BD1011/365),""))</f>
        <v>2.8768206501872813</v>
      </c>
      <c r="BJ1011" s="44">
        <f t="shared" si="48"/>
        <v>-37</v>
      </c>
      <c r="BK1011" s="44">
        <f>IF($AX1011="Cancelled","",IFERROR(IF(BJ1011="","",(W1011*INDEX(Variables!$B$7:$D$7,IFERROR(MATCH(IF($B1011="Robusta","Robusta",(IF($B1011="","Arabica",$B1011))&amp;" - "&amp;(IF($C1011="","Commercial",$C1011))),Variables!$B$1:$D$1,0),1))*(BJ1011/365))+(W1011*INDEX(Variables!$B$9:$D$9,IFERROR(MATCH(IF($B1011="Robusta","Robusta",(IF($B1011="","Arabica",$B1011))&amp;" - "&amp;(IF($C1011="","Commercial",$C1011))),Variables!$B$1:$D$1,0),1))*(BJ1011/365))+(INDEX(Variables!$B$8:$D$8,IFERROR(MATCH(IF($B1011="Robusta","Robusta",(IF($B1011="","Arabica",$B1011))&amp;" - "&amp;(IF($C1011="","Commercial",$C1011))),Variables!$B$1:$D$1,0),1))*L1011/16.67)),""))</f>
        <v>-74.142364056929395</v>
      </c>
    </row>
    <row r="1012" spans="1:63">
      <c r="A1012" s="13" t="s">
        <v>103</v>
      </c>
      <c r="B1012" s="13" t="s">
        <v>104</v>
      </c>
      <c r="C1012" s="13" t="s">
        <v>292</v>
      </c>
      <c r="D1012" s="31">
        <v>46098</v>
      </c>
      <c r="E1012" s="31">
        <v>46113</v>
      </c>
      <c r="F1012" s="31">
        <v>46142</v>
      </c>
      <c r="G1012" s="13">
        <v>3787433</v>
      </c>
      <c r="J1012" s="13" t="s">
        <v>501</v>
      </c>
      <c r="K1012" s="13" t="s">
        <v>2556</v>
      </c>
      <c r="L1012" s="13">
        <v>20</v>
      </c>
      <c r="M1012" s="13">
        <v>0</v>
      </c>
      <c r="N1012" s="13" t="s">
        <v>2557</v>
      </c>
      <c r="O1012" s="13" t="s">
        <v>771</v>
      </c>
      <c r="P1012" s="13">
        <v>10010</v>
      </c>
      <c r="R1012" s="13" t="s">
        <v>384</v>
      </c>
      <c r="S1012" s="13" t="s">
        <v>437</v>
      </c>
      <c r="T1012" s="13" t="s">
        <v>438</v>
      </c>
      <c r="U1012" s="13" t="s">
        <v>182</v>
      </c>
      <c r="V1012" s="23">
        <v>213</v>
      </c>
      <c r="W1012" s="44">
        <f>IF($AX1012="Cancelled","",IFERROR(((V1012+INDEX(Variables!$B$6:$D$6,IFERROR(MATCH(IF($B1012="Robusta","Robusta",(IF($B1012="","Arabica",$B1012))&amp;" - "&amp;(IF($C1012="","Commercial",$C1012))),Variables!$B$1:$D$1,0),1)))*22.0462)*(L1012/16.67),""))</f>
        <v>13325.585554889021</v>
      </c>
      <c r="Y1012" s="13" t="str">
        <f>IF($AX1012="Cancelled","",IF(X1012="","",IFERROR(IF(INDEX(Variables!$B$38:$B$47,MATCH(X1012,Variables!$A$38:$A$47,0))="Yes","Yes","No"),"No")))</f>
        <v/>
      </c>
      <c r="Z1012" s="31"/>
      <c r="AC1012" s="13" t="str">
        <f t="shared" si="47"/>
        <v/>
      </c>
      <c r="AF1012" s="71">
        <v>46163</v>
      </c>
      <c r="AG1012" s="37">
        <f>IF($AX1012="Cancelled","",IFERROR(IF(F1012="","",F1012-Variables!$B$13),""))</f>
        <v>46127</v>
      </c>
      <c r="AH1012" s="13" t="str">
        <f>IF($AX1012="Cancelled","",IFERROR(IF(AB1012="","",(AVERAGE(E1012:F1012)-AB1012)-Variables!$B$14),""))</f>
        <v/>
      </c>
      <c r="AJ1012" s="47">
        <v>46165</v>
      </c>
      <c r="AK1012" s="14">
        <f>IF($AX1012="Cancelled","",IFERROR(IF(AJ1012="","",IF(AND(AB1012="",AF1012=""),"",IF(AF1012&gt;AB1012,AF1012+Variables!$B$15+Variables!$B$16+Variables!$B$17-AJ1012,AB1012+Variables!$B$16+Variables!$B$17-AJ1012))),""))</f>
        <v>13</v>
      </c>
      <c r="AL1012" s="48" t="s">
        <v>114</v>
      </c>
      <c r="AM1012" s="13" t="s">
        <v>1781</v>
      </c>
      <c r="AN1012" s="13" t="s">
        <v>2177</v>
      </c>
      <c r="AP1012" s="39" t="e">
        <v>#N/A</v>
      </c>
      <c r="AR1012" s="13" t="s">
        <v>2198</v>
      </c>
      <c r="AS1012" s="31">
        <v>46179</v>
      </c>
      <c r="AU1012" s="31">
        <v>46226</v>
      </c>
      <c r="AV1012" s="13" t="s">
        <v>865</v>
      </c>
      <c r="AW1012" s="31">
        <v>46226</v>
      </c>
      <c r="AX1012" s="13" t="str">
        <f>IF(ISNUMBER(SEARCH("cancel",#REF!)),"Cancelled",IF(AND(AS1012&lt;&gt;"",AU1012&lt;&gt;"",AW1012&lt;&gt;""),"Closed","Open"))</f>
        <v>Closed</v>
      </c>
      <c r="AY1012" s="15" t="str">
        <f t="shared" si="46"/>
        <v>All dates received</v>
      </c>
      <c r="BD1012" s="13">
        <f>IF($AX1012="Cancelled","",IFERROR(IF(OR(AS1012="",AJ1012=""),"",(AJ1012+Variables!$B$18-AS1012)),""))</f>
        <v>1</v>
      </c>
      <c r="BE1012" s="13">
        <f>IF($AX1012="Cancelled","",IFERROR(IF(OR(AW1012="",AS1012=""),"",(AS1012+Variables!$B$19)-AW1012),""))</f>
        <v>-42</v>
      </c>
      <c r="BF1012" s="44">
        <f>IF($AX1012="Cancelled","",IFERROR(W1012*INDEX(Variables!$B$7:$D$7,IFERROR(MATCH(IF($B1012="Robusta","Robusta",(IF($B1012="","Arabica",$B1012))&amp;" - "&amp;(IF($C1012="","Commercial",$C1012))),Variables!$B$1:$D$1,0),1))*(BE1012/365),""))</f>
        <v>-98.874107014886363</v>
      </c>
      <c r="BG1012" s="44" t="str">
        <f>IF($AX1012="Cancelled","",IFERROR((W1012*INDEX(Variables!$B$7:$D$7,IFERROR(MATCH(IF($B1012="Robusta","Robusta",(IF($B1012="","Arabica",$B1012))&amp;" - "&amp;(IF($C1012="","Commercial",$C1012))),Variables!$B$1:$D$1,0),1))*IFERROR(IF(AB1012="","",(AVERAGE(E1012:F1012)-AB1012)-Variables!$B$14),"")/365)+(L1012/16.67*INDEX(Variables!$B$8:$D$8,IFERROR(MATCH(IF($B1012="Robusta","Robusta",(IF($B1012="","Arabica",$B1012))&amp;" - "&amp;(IF($C1012="","Commercial",$C1012))),Variables!$B$1:$D$1,0),1))*IFERROR(IF(AB1012="","",(AVERAGE(E1012:F1012)-AB1012)-Variables!$B$14),""))+(W1012*INDEX(Variables!$B$9:$D$9,IFERROR(MATCH(IF($B1012="Robusta","Robusta",(IF($B1012="","Arabica",$B1012))&amp;" - "&amp;(IF($C1012="","Commercial",$C1012))),Variables!$B$1:$D$1,0),1))*IFERROR(IF(AB1012="","",(AVERAGE(E1012:F1012)-AB1012)-Variables!$B$14),"")/365),""))</f>
        <v/>
      </c>
      <c r="BH1012" s="44">
        <f>IF($AX1012="Cancelled","",IFERROR((W1012*INDEX(Variables!$B$7:$D$7,IFERROR(MATCH(IF($B1012="Robusta","Robusta",(IF($B1012="","Arabica",$B1012))&amp;" - "&amp;(IF($C1012="","Commercial",$C1012))),Variables!$B$1:$D$1,0),1))*AK1012/365)+(L1012/16.67*INDEX(Variables!$B$8:$D$8,IFERROR(MATCH(IF($B1012="Robusta","Robusta",(IF($B1012="","Arabica",$B1012))&amp;" - "&amp;(IF($C1012="","Commercial",$C1012))),Variables!$B$1:$D$1,0),1))*AK1012)+(W1012*INDEX(Variables!$B$9:$D$9,IFERROR(MATCH(IF($B1012="Robusta","Robusta",(IF($B1012="","Arabica",$B1012))&amp;" - "&amp;(IF($C1012="","Commercial",$C1012))),Variables!$B$1:$D$1,0),1))*AK1012/365),""))</f>
        <v>43.998433473452536</v>
      </c>
      <c r="BI1012" s="44">
        <f>IF($AX1012="Cancelled","",IFERROR((W1012*INDEX(Variables!$B$7:$D$7,IFERROR(MATCH(IF($B1012="Robusta","Robusta",(IF($B1012="","Arabica",$B1012))&amp;" - "&amp;(IF($C1012="","Commercial",$C1012))),Variables!$B$1:$D$1,0),1))*BD1012/365)+(L1012/16.67*INDEX(Variables!$B$8:$D$8,IFERROR(MATCH(IF($B1012="Robusta","Robusta",(IF($B1012="","Arabica",$B1012))&amp;" - "&amp;(IF($C1012="","Commercial",$C1012))),Variables!$B$1:$D$1,0),1))*BD1012)+(W1012*INDEX(Variables!$B$9:$D$9,IFERROR(MATCH(IF($B1012="Robusta","Robusta",(IF($B1012="","Arabica",$B1012))&amp;" - "&amp;(IF($C1012="","Commercial",$C1012))),Variables!$B$1:$D$1,0),1))*BD1012/365),""))</f>
        <v>3.3844948825732715</v>
      </c>
      <c r="BJ1012" s="44">
        <f t="shared" si="48"/>
        <v>-37</v>
      </c>
      <c r="BK1012" s="44">
        <f>IF($AX1012="Cancelled","",IFERROR(IF(BJ1012="","",(W1012*INDEX(Variables!$B$7:$D$7,IFERROR(MATCH(IF($B1012="Robusta","Robusta",(IF($B1012="","Arabica",$B1012))&amp;" - "&amp;(IF($C1012="","Commercial",$C1012))),Variables!$B$1:$D$1,0),1))*(BJ1012/365))+(W1012*INDEX(Variables!$B$9:$D$9,IFERROR(MATCH(IF($B1012="Robusta","Robusta",(IF($B1012="","Arabica",$B1012))&amp;" - "&amp;(IF($C1012="","Commercial",$C1012))),Variables!$B$1:$D$1,0),1))*(BJ1012/365))+(INDEX(Variables!$B$8:$D$8,IFERROR(MATCH(IF($B1012="Robusta","Robusta",(IF($B1012="","Arabica",$B1012))&amp;" - "&amp;(IF($C1012="","Commercial",$C1012))),Variables!$B$1:$D$1,0),1))*L1012/16.67)),""))</f>
        <v>-87.226310655211051</v>
      </c>
    </row>
    <row r="1013" spans="1:63">
      <c r="A1013" s="13" t="s">
        <v>103</v>
      </c>
      <c r="B1013" s="13" t="s">
        <v>104</v>
      </c>
      <c r="C1013" s="13" t="s">
        <v>292</v>
      </c>
      <c r="D1013" s="31">
        <v>46098</v>
      </c>
      <c r="E1013" s="31">
        <v>46113</v>
      </c>
      <c r="F1013" s="31">
        <v>46142</v>
      </c>
      <c r="G1013" s="13">
        <v>3787434</v>
      </c>
      <c r="J1013" s="13" t="s">
        <v>294</v>
      </c>
      <c r="K1013" s="13" t="s">
        <v>2558</v>
      </c>
      <c r="L1013" s="13">
        <v>20</v>
      </c>
      <c r="M1013" s="13">
        <v>1</v>
      </c>
      <c r="N1013" s="13" t="s">
        <v>2559</v>
      </c>
      <c r="O1013" s="13" t="s">
        <v>771</v>
      </c>
      <c r="P1013" s="13">
        <v>10010</v>
      </c>
      <c r="R1013" s="13" t="s">
        <v>384</v>
      </c>
      <c r="S1013" s="13" t="s">
        <v>437</v>
      </c>
      <c r="T1013" s="13" t="s">
        <v>438</v>
      </c>
      <c r="U1013" s="13" t="s">
        <v>182</v>
      </c>
      <c r="V1013" s="23">
        <v>213</v>
      </c>
      <c r="W1013" s="44">
        <f>IF($AX1013="Cancelled","",IFERROR(((V1013+INDEX(Variables!$B$6:$D$6,IFERROR(MATCH(IF($B1013="Robusta","Robusta",(IF($B1013="","Arabica",$B1013))&amp;" - "&amp;(IF($C1013="","Commercial",$C1013))),Variables!$B$1:$D$1,0),1)))*22.0462)*(L1013/16.67),""))</f>
        <v>13325.585554889021</v>
      </c>
      <c r="Y1013" s="13" t="str">
        <f>IF($AX1013="Cancelled","",IF(X1013="","",IFERROR(IF(INDEX(Variables!$B$38:$B$47,MATCH(X1013,Variables!$A$38:$A$47,0))="Yes","Yes","No"),"No")))</f>
        <v/>
      </c>
      <c r="Z1013" s="31"/>
      <c r="AC1013" s="13" t="str">
        <f t="shared" si="47"/>
        <v/>
      </c>
      <c r="AF1013" s="71">
        <v>46126</v>
      </c>
      <c r="AG1013" s="37">
        <f>IF($AX1013="Cancelled","",IFERROR(IF(F1013="","",F1013-Variables!$B$13),""))</f>
        <v>46127</v>
      </c>
      <c r="AH1013" s="13" t="str">
        <f>IF($AX1013="Cancelled","",IFERROR(IF(AB1013="","",(AVERAGE(E1013:F1013)-AB1013)-Variables!$B$14),""))</f>
        <v/>
      </c>
      <c r="AJ1013" s="47">
        <v>46142</v>
      </c>
      <c r="AK1013" s="14">
        <f>IF($AX1013="Cancelled","",IFERROR(IF(AJ1013="","",IF(AND(AB1013="",AF1013=""),"",IF(AF1013&gt;AB1013,AF1013+Variables!$B$15+Variables!$B$16+Variables!$B$17-AJ1013,AB1013+Variables!$B$16+Variables!$B$17-AJ1013))),""))</f>
        <v>-1</v>
      </c>
      <c r="AL1013" s="48" t="s">
        <v>114</v>
      </c>
      <c r="AM1013" s="13" t="s">
        <v>115</v>
      </c>
      <c r="AN1013" s="13" t="s">
        <v>2560</v>
      </c>
      <c r="AP1013" s="39" t="e">
        <v>#N/A</v>
      </c>
      <c r="AR1013" s="13">
        <v>270218785</v>
      </c>
      <c r="AS1013" s="31">
        <v>46155</v>
      </c>
      <c r="AU1013" s="31">
        <v>46191</v>
      </c>
      <c r="AV1013" s="13" t="e">
        <v>#N/A</v>
      </c>
      <c r="AW1013" s="31">
        <v>46191</v>
      </c>
      <c r="AX1013" s="13" t="str">
        <f>IF(ISNUMBER(SEARCH("cancel",#REF!)),"Cancelled",IF(AND(AS1013&lt;&gt;"",AU1013&lt;&gt;"",AW1013&lt;&gt;""),"Closed","Open"))</f>
        <v>Closed</v>
      </c>
      <c r="AY1013" s="15" t="str">
        <f t="shared" si="46"/>
        <v>All dates received</v>
      </c>
      <c r="BD1013" s="13">
        <f>IF($AX1013="Cancelled","",IFERROR(IF(OR(AS1013="",AJ1013=""),"",(AJ1013+Variables!$B$18-AS1013)),""))</f>
        <v>2</v>
      </c>
      <c r="BE1013" s="13">
        <f>IF($AX1013="Cancelled","",IFERROR(IF(OR(AW1013="",AS1013=""),"",(AS1013+Variables!$B$19)-AW1013),""))</f>
        <v>-31</v>
      </c>
      <c r="BF1013" s="44">
        <f>IF($AX1013="Cancelled","",IFERROR(W1013*INDEX(Variables!$B$7:$D$7,IFERROR(MATCH(IF($B1013="Robusta","Robusta",(IF($B1013="","Arabica",$B1013))&amp;" - "&amp;(IF($C1013="","Commercial",$C1013))),Variables!$B$1:$D$1,0),1))*(BE1013/365),""))</f>
        <v>-72.978507558606609</v>
      </c>
      <c r="BG1013" s="44" t="str">
        <f>IF($AX1013="Cancelled","",IFERROR((W1013*INDEX(Variables!$B$7:$D$7,IFERROR(MATCH(IF($B1013="Robusta","Robusta",(IF($B1013="","Arabica",$B1013))&amp;" - "&amp;(IF($C1013="","Commercial",$C1013))),Variables!$B$1:$D$1,0),1))*IFERROR(IF(AB1013="","",(AVERAGE(E1013:F1013)-AB1013)-Variables!$B$14),"")/365)+(L1013/16.67*INDEX(Variables!$B$8:$D$8,IFERROR(MATCH(IF($B1013="Robusta","Robusta",(IF($B1013="","Arabica",$B1013))&amp;" - "&amp;(IF($C1013="","Commercial",$C1013))),Variables!$B$1:$D$1,0),1))*IFERROR(IF(AB1013="","",(AVERAGE(E1013:F1013)-AB1013)-Variables!$B$14),""))+(W1013*INDEX(Variables!$B$9:$D$9,IFERROR(MATCH(IF($B1013="Robusta","Robusta",(IF($B1013="","Arabica",$B1013))&amp;" - "&amp;(IF($C1013="","Commercial",$C1013))),Variables!$B$1:$D$1,0),1))*IFERROR(IF(AB1013="","",(AVERAGE(E1013:F1013)-AB1013)-Variables!$B$14),"")/365),""))</f>
        <v/>
      </c>
      <c r="BH1013" s="44">
        <f>IF($AX1013="Cancelled","",IFERROR((W1013*INDEX(Variables!$B$7:$D$7,IFERROR(MATCH(IF($B1013="Robusta","Robusta",(IF($B1013="","Arabica",$B1013))&amp;" - "&amp;(IF($C1013="","Commercial",$C1013))),Variables!$B$1:$D$1,0),1))*AK1013/365)+(L1013/16.67*INDEX(Variables!$B$8:$D$8,IFERROR(MATCH(IF($B1013="Robusta","Robusta",(IF($B1013="","Arabica",$B1013))&amp;" - "&amp;(IF($C1013="","Commercial",$C1013))),Variables!$B$1:$D$1,0),1))*AK1013)+(W1013*INDEX(Variables!$B$9:$D$9,IFERROR(MATCH(IF($B1013="Robusta","Robusta",(IF($B1013="","Arabica",$B1013))&amp;" - "&amp;(IF($C1013="","Commercial",$C1013))),Variables!$B$1:$D$1,0),1))*AK1013/365),""))</f>
        <v>-3.3844948825732715</v>
      </c>
      <c r="BI1013" s="44">
        <f>IF($AX1013="Cancelled","",IFERROR((W1013*INDEX(Variables!$B$7:$D$7,IFERROR(MATCH(IF($B1013="Robusta","Robusta",(IF($B1013="","Arabica",$B1013))&amp;" - "&amp;(IF($C1013="","Commercial",$C1013))),Variables!$B$1:$D$1,0),1))*BD1013/365)+(L1013/16.67*INDEX(Variables!$B$8:$D$8,IFERROR(MATCH(IF($B1013="Robusta","Robusta",(IF($B1013="","Arabica",$B1013))&amp;" - "&amp;(IF($C1013="","Commercial",$C1013))),Variables!$B$1:$D$1,0),1))*BD1013)+(W1013*INDEX(Variables!$B$9:$D$9,IFERROR(MATCH(IF($B1013="Robusta","Robusta",(IF($B1013="","Arabica",$B1013))&amp;" - "&amp;(IF($C1013="","Commercial",$C1013))),Variables!$B$1:$D$1,0),1))*BD1013/365),""))</f>
        <v>6.7689897651465429</v>
      </c>
      <c r="BJ1013" s="44">
        <f t="shared" si="48"/>
        <v>-13</v>
      </c>
      <c r="BK1013" s="44">
        <f>IF($AX1013="Cancelled","",IFERROR(IF(BJ1013="","",(W1013*INDEX(Variables!$B$7:$D$7,IFERROR(MATCH(IF($B1013="Robusta","Robusta",(IF($B1013="","Arabica",$B1013))&amp;" - "&amp;(IF($C1013="","Commercial",$C1013))),Variables!$B$1:$D$1,0),1))*(BJ1013/365))+(W1013*INDEX(Variables!$B$9:$D$9,IFERROR(MATCH(IF($B1013="Robusta","Robusta",(IF($B1013="","Arabica",$B1013))&amp;" - "&amp;(IF($C1013="","Commercial",$C1013))),Variables!$B$1:$D$1,0),1))*(BJ1013/365))+(INDEX(Variables!$B$8:$D$8,IFERROR(MATCH(IF($B1013="Robusta","Robusta",(IF($B1013="","Arabica",$B1013))&amp;" - "&amp;(IF($C1013="","Commercial",$C1013))),Variables!$B$1:$D$1,0),1))*L1013/16.67)),""))</f>
        <v>-29.998433473452529</v>
      </c>
    </row>
    <row r="1014" spans="1:63">
      <c r="A1014" s="13" t="s">
        <v>103</v>
      </c>
      <c r="B1014" s="13" t="s">
        <v>104</v>
      </c>
      <c r="C1014" s="13" t="s">
        <v>292</v>
      </c>
      <c r="D1014" s="31">
        <v>46098</v>
      </c>
      <c r="E1014" s="31">
        <v>46113</v>
      </c>
      <c r="F1014" s="31">
        <v>46142</v>
      </c>
      <c r="G1014" s="13">
        <v>3787435</v>
      </c>
      <c r="J1014" s="13" t="s">
        <v>294</v>
      </c>
      <c r="K1014" s="13" t="s">
        <v>2561</v>
      </c>
      <c r="L1014" s="13">
        <v>20</v>
      </c>
      <c r="M1014" s="13">
        <v>0</v>
      </c>
      <c r="N1014" s="13" t="s">
        <v>2562</v>
      </c>
      <c r="O1014" s="13" t="s">
        <v>771</v>
      </c>
      <c r="P1014" s="13">
        <v>10010</v>
      </c>
      <c r="R1014" s="13" t="s">
        <v>384</v>
      </c>
      <c r="S1014" s="13" t="s">
        <v>437</v>
      </c>
      <c r="T1014" s="13" t="s">
        <v>438</v>
      </c>
      <c r="U1014" s="13" t="s">
        <v>182</v>
      </c>
      <c r="V1014" s="23">
        <v>208</v>
      </c>
      <c r="W1014" s="44">
        <f>IF($AX1014="Cancelled","",IFERROR(((V1014+INDEX(Variables!$B$6:$D$6,IFERROR(MATCH(IF($B1014="Robusta","Robusta",(IF($B1014="","Arabica",$B1014))&amp;" - "&amp;(IF($C1014="","Commercial",$C1014))),Variables!$B$1:$D$1,0),1)))*22.0462)*(L1014/16.67),""))</f>
        <v>13193.33480503899</v>
      </c>
      <c r="Y1014" s="13" t="str">
        <f>IF($AX1014="Cancelled","",IF(X1014="","",IFERROR(IF(INDEX(Variables!$B$38:$B$47,MATCH(X1014,Variables!$A$38:$A$47,0))="Yes","Yes","No"),"No")))</f>
        <v/>
      </c>
      <c r="Z1014" s="31"/>
      <c r="AC1014" s="13" t="str">
        <f t="shared" si="47"/>
        <v/>
      </c>
      <c r="AF1014" s="71">
        <v>46126</v>
      </c>
      <c r="AG1014" s="37">
        <f>IF($AX1014="Cancelled","",IFERROR(IF(F1014="","",F1014-Variables!$B$13),""))</f>
        <v>46127</v>
      </c>
      <c r="AH1014" s="13" t="str">
        <f>IF($AX1014="Cancelled","",IFERROR(IF(AB1014="","",(AVERAGE(E1014:F1014)-AB1014)-Variables!$B$14),""))</f>
        <v/>
      </c>
      <c r="AJ1014" s="47">
        <v>46142</v>
      </c>
      <c r="AK1014" s="14">
        <f>IF($AX1014="Cancelled","",IFERROR(IF(AJ1014="","",IF(AND(AB1014="",AF1014=""),"",IF(AF1014&gt;AB1014,AF1014+Variables!$B$15+Variables!$B$16+Variables!$B$17-AJ1014,AB1014+Variables!$B$16+Variables!$B$17-AJ1014))),""))</f>
        <v>-1</v>
      </c>
      <c r="AL1014" s="48" t="s">
        <v>114</v>
      </c>
      <c r="AM1014" s="13" t="s">
        <v>115</v>
      </c>
      <c r="AN1014" s="13" t="s">
        <v>2560</v>
      </c>
      <c r="AP1014" s="39" t="e">
        <v>#N/A</v>
      </c>
      <c r="AR1014" s="13">
        <v>270218785</v>
      </c>
      <c r="AS1014" s="31">
        <v>46155</v>
      </c>
      <c r="AU1014" s="31">
        <v>46191</v>
      </c>
      <c r="AV1014" s="13" t="e">
        <v>#N/A</v>
      </c>
      <c r="AW1014" s="31">
        <v>46191</v>
      </c>
      <c r="AX1014" s="13" t="str">
        <f>IF(ISNUMBER(SEARCH("cancel",#REF!)),"Cancelled",IF(AND(AS1014&lt;&gt;"",AU1014&lt;&gt;"",AW1014&lt;&gt;""),"Closed","Open"))</f>
        <v>Closed</v>
      </c>
      <c r="AY1014" s="15" t="str">
        <f t="shared" si="46"/>
        <v>All dates received</v>
      </c>
      <c r="BD1014" s="13">
        <f>IF($AX1014="Cancelled","",IFERROR(IF(OR(AS1014="",AJ1014=""),"",(AJ1014+Variables!$B$18-AS1014)),""))</f>
        <v>2</v>
      </c>
      <c r="BE1014" s="13">
        <f>IF($AX1014="Cancelled","",IFERROR(IF(OR(AW1014="",AS1014=""),"",(AS1014+Variables!$B$19)-AW1014),""))</f>
        <v>-31</v>
      </c>
      <c r="BF1014" s="44">
        <f>IF($AX1014="Cancelled","",IFERROR(W1014*INDEX(Variables!$B$7:$D$7,IFERROR(MATCH(IF($B1014="Robusta","Robusta",(IF($B1014="","Arabica",$B1014))&amp;" - "&amp;(IF($C1014="","Commercial",$C1014))),Variables!$B$1:$D$1,0),1))*(BE1014/365),""))</f>
        <v>-72.254227015150803</v>
      </c>
      <c r="BG1014" s="44" t="str">
        <f>IF($AX1014="Cancelled","",IFERROR((W1014*INDEX(Variables!$B$7:$D$7,IFERROR(MATCH(IF($B1014="Robusta","Robusta",(IF($B1014="","Arabica",$B1014))&amp;" - "&amp;(IF($C1014="","Commercial",$C1014))),Variables!$B$1:$D$1,0),1))*IFERROR(IF(AB1014="","",(AVERAGE(E1014:F1014)-AB1014)-Variables!$B$14),"")/365)+(L1014/16.67*INDEX(Variables!$B$8:$D$8,IFERROR(MATCH(IF($B1014="Robusta","Robusta",(IF($B1014="","Arabica",$B1014))&amp;" - "&amp;(IF($C1014="","Commercial",$C1014))),Variables!$B$1:$D$1,0),1))*IFERROR(IF(AB1014="","",(AVERAGE(E1014:F1014)-AB1014)-Variables!$B$14),""))+(W1014*INDEX(Variables!$B$9:$D$9,IFERROR(MATCH(IF($B1014="Robusta","Robusta",(IF($B1014="","Arabica",$B1014))&amp;" - "&amp;(IF($C1014="","Commercial",$C1014))),Variables!$B$1:$D$1,0),1))*IFERROR(IF(AB1014="","",(AVERAGE(E1014:F1014)-AB1014)-Variables!$B$14),"")/365),""))</f>
        <v/>
      </c>
      <c r="BH1014" s="44">
        <f>IF($AX1014="Cancelled","",IFERROR((W1014*INDEX(Variables!$B$7:$D$7,IFERROR(MATCH(IF($B1014="Robusta","Robusta",(IF($B1014="","Arabica",$B1014))&amp;" - "&amp;(IF($C1014="","Commercial",$C1014))),Variables!$B$1:$D$1,0),1))*AK1014/365)+(L1014/16.67*INDEX(Variables!$B$8:$D$8,IFERROR(MATCH(IF($B1014="Robusta","Robusta",(IF($B1014="","Arabica",$B1014))&amp;" - "&amp;(IF($C1014="","Commercial",$C1014))),Variables!$B$1:$D$1,0),1))*AK1014)+(W1014*INDEX(Variables!$B$9:$D$9,IFERROR(MATCH(IF($B1014="Robusta","Robusta",(IF($B1014="","Arabica",$B1014))&amp;" - "&amp;(IF($C1014="","Commercial",$C1014))),Variables!$B$1:$D$1,0),1))*AK1014/365),""))</f>
        <v>-3.3608297884627785</v>
      </c>
      <c r="BI1014" s="44">
        <f>IF($AX1014="Cancelled","",IFERROR((W1014*INDEX(Variables!$B$7:$D$7,IFERROR(MATCH(IF($B1014="Robusta","Robusta",(IF($B1014="","Arabica",$B1014))&amp;" - "&amp;(IF($C1014="","Commercial",$C1014))),Variables!$B$1:$D$1,0),1))*BD1014/365)+(L1014/16.67*INDEX(Variables!$B$8:$D$8,IFERROR(MATCH(IF($B1014="Robusta","Robusta",(IF($B1014="","Arabica",$B1014))&amp;" - "&amp;(IF($C1014="","Commercial",$C1014))),Variables!$B$1:$D$1,0),1))*BD1014)+(W1014*INDEX(Variables!$B$9:$D$9,IFERROR(MATCH(IF($B1014="Robusta","Robusta",(IF($B1014="","Arabica",$B1014))&amp;" - "&amp;(IF($C1014="","Commercial",$C1014))),Variables!$B$1:$D$1,0),1))*BD1014/365),""))</f>
        <v>6.7216595769255569</v>
      </c>
      <c r="BJ1014" s="44">
        <f t="shared" si="48"/>
        <v>-13</v>
      </c>
      <c r="BK1014" s="44">
        <f>IF($AX1014="Cancelled","",IFERROR(IF(BJ1014="","",(W1014*INDEX(Variables!$B$7:$D$7,IFERROR(MATCH(IF($B1014="Robusta","Robusta",(IF($B1014="","Arabica",$B1014))&amp;" - "&amp;(IF($C1014="","Commercial",$C1014))),Variables!$B$1:$D$1,0),1))*(BJ1014/365))+(W1014*INDEX(Variables!$B$9:$D$9,IFERROR(MATCH(IF($B1014="Robusta","Robusta",(IF($B1014="","Arabica",$B1014))&amp;" - "&amp;(IF($C1014="","Commercial",$C1014))),Variables!$B$1:$D$1,0),1))*(BJ1014/365))+(INDEX(Variables!$B$8:$D$8,IFERROR(MATCH(IF($B1014="Robusta","Robusta",(IF($B1014="","Arabica",$B1014))&amp;" - "&amp;(IF($C1014="","Commercial",$C1014))),Variables!$B$1:$D$1,0),1))*L1014/16.67)),""))</f>
        <v>-29.690787250016118</v>
      </c>
    </row>
    <row r="1015" spans="1:63">
      <c r="A1015" s="13" t="s">
        <v>103</v>
      </c>
      <c r="B1015" s="13" t="s">
        <v>104</v>
      </c>
      <c r="C1015" s="13" t="s">
        <v>292</v>
      </c>
      <c r="D1015" s="31">
        <v>46098</v>
      </c>
      <c r="E1015" s="31">
        <v>46113</v>
      </c>
      <c r="F1015" s="31">
        <v>46142</v>
      </c>
      <c r="G1015" s="13">
        <v>3787436</v>
      </c>
      <c r="J1015" s="13" t="s">
        <v>294</v>
      </c>
      <c r="K1015" s="13" t="s">
        <v>2563</v>
      </c>
      <c r="L1015" s="13">
        <v>20</v>
      </c>
      <c r="M1015" s="13">
        <v>0</v>
      </c>
      <c r="N1015" s="13" t="s">
        <v>2564</v>
      </c>
      <c r="O1015" s="13" t="s">
        <v>771</v>
      </c>
      <c r="P1015" s="13">
        <v>10010</v>
      </c>
      <c r="R1015" s="13" t="s">
        <v>384</v>
      </c>
      <c r="S1015" s="13" t="s">
        <v>437</v>
      </c>
      <c r="T1015" s="13" t="s">
        <v>438</v>
      </c>
      <c r="U1015" s="13" t="s">
        <v>182</v>
      </c>
      <c r="V1015" s="23">
        <v>205</v>
      </c>
      <c r="W1015" s="44">
        <f>IF($AX1015="Cancelled","",IFERROR(((V1015+INDEX(Variables!$B$6:$D$6,IFERROR(MATCH(IF($B1015="Robusta","Robusta",(IF($B1015="","Arabica",$B1015))&amp;" - "&amp;(IF($C1015="","Commercial",$C1015))),Variables!$B$1:$D$1,0),1)))*22.0462)*(L1015/16.67),""))</f>
        <v>13113.984355128974</v>
      </c>
      <c r="Y1015" s="13" t="str">
        <f>IF($AX1015="Cancelled","",IF(X1015="","",IFERROR(IF(INDEX(Variables!$B$38:$B$47,MATCH(X1015,Variables!$A$38:$A$47,0))="Yes","Yes","No"),"No")))</f>
        <v/>
      </c>
      <c r="Z1015" s="31"/>
      <c r="AC1015" s="13" t="str">
        <f t="shared" si="47"/>
        <v/>
      </c>
      <c r="AF1015" s="71">
        <v>46126</v>
      </c>
      <c r="AG1015" s="37">
        <f>IF($AX1015="Cancelled","",IFERROR(IF(F1015="","",F1015-Variables!$B$13),""))</f>
        <v>46127</v>
      </c>
      <c r="AH1015" s="13" t="str">
        <f>IF($AX1015="Cancelled","",IFERROR(IF(AB1015="","",(AVERAGE(E1015:F1015)-AB1015)-Variables!$B$14),""))</f>
        <v/>
      </c>
      <c r="AJ1015" s="47">
        <v>46142</v>
      </c>
      <c r="AK1015" s="14">
        <f>IF($AX1015="Cancelled","",IFERROR(IF(AJ1015="","",IF(AND(AB1015="",AF1015=""),"",IF(AF1015&gt;AB1015,AF1015+Variables!$B$15+Variables!$B$16+Variables!$B$17-AJ1015,AB1015+Variables!$B$16+Variables!$B$17-AJ1015))),""))</f>
        <v>-1</v>
      </c>
      <c r="AL1015" s="48" t="s">
        <v>114</v>
      </c>
      <c r="AM1015" s="13" t="s">
        <v>115</v>
      </c>
      <c r="AN1015" s="13" t="s">
        <v>2560</v>
      </c>
      <c r="AP1015" s="39" t="e">
        <v>#N/A</v>
      </c>
      <c r="AR1015" s="13">
        <v>270218785</v>
      </c>
      <c r="AS1015" s="31">
        <v>46155</v>
      </c>
      <c r="AU1015" s="31">
        <v>46191</v>
      </c>
      <c r="AV1015" s="13" t="e">
        <v>#N/A</v>
      </c>
      <c r="AW1015" s="31">
        <v>46191</v>
      </c>
      <c r="AX1015" s="13" t="str">
        <f>IF(ISNUMBER(SEARCH("cancel",#REF!)),"Cancelled",IF(AND(AS1015&lt;&gt;"",AU1015&lt;&gt;"",AW1015&lt;&gt;""),"Closed","Open"))</f>
        <v>Closed</v>
      </c>
      <c r="AY1015" s="15" t="str">
        <f t="shared" si="46"/>
        <v>All dates received</v>
      </c>
      <c r="BD1015" s="13">
        <f>IF($AX1015="Cancelled","",IFERROR(IF(OR(AS1015="",AJ1015=""),"",(AJ1015+Variables!$B$18-AS1015)),""))</f>
        <v>2</v>
      </c>
      <c r="BE1015" s="13">
        <f>IF($AX1015="Cancelled","",IFERROR(IF(OR(AW1015="",AS1015=""),"",(AS1015+Variables!$B$19)-AW1015),""))</f>
        <v>-31</v>
      </c>
      <c r="BF1015" s="44">
        <f>IF($AX1015="Cancelled","",IFERROR(W1015*INDEX(Variables!$B$7:$D$7,IFERROR(MATCH(IF($B1015="Robusta","Robusta",(IF($B1015="","Arabica",$B1015))&amp;" - "&amp;(IF($C1015="","Commercial",$C1015))),Variables!$B$1:$D$1,0),1))*(BE1015/365),""))</f>
        <v>-71.819658689077329</v>
      </c>
      <c r="BG1015" s="44" t="str">
        <f>IF($AX1015="Cancelled","",IFERROR((W1015*INDEX(Variables!$B$7:$D$7,IFERROR(MATCH(IF($B1015="Robusta","Robusta",(IF($B1015="","Arabica",$B1015))&amp;" - "&amp;(IF($C1015="","Commercial",$C1015))),Variables!$B$1:$D$1,0),1))*IFERROR(IF(AB1015="","",(AVERAGE(E1015:F1015)-AB1015)-Variables!$B$14),"")/365)+(L1015/16.67*INDEX(Variables!$B$8:$D$8,IFERROR(MATCH(IF($B1015="Robusta","Robusta",(IF($B1015="","Arabica",$B1015))&amp;" - "&amp;(IF($C1015="","Commercial",$C1015))),Variables!$B$1:$D$1,0),1))*IFERROR(IF(AB1015="","",(AVERAGE(E1015:F1015)-AB1015)-Variables!$B$14),""))+(W1015*INDEX(Variables!$B$9:$D$9,IFERROR(MATCH(IF($B1015="Robusta","Robusta",(IF($B1015="","Arabica",$B1015))&amp;" - "&amp;(IF($C1015="","Commercial",$C1015))),Variables!$B$1:$D$1,0),1))*IFERROR(IF(AB1015="","",(AVERAGE(E1015:F1015)-AB1015)-Variables!$B$14),"")/365),""))</f>
        <v/>
      </c>
      <c r="BH1015" s="44">
        <f>IF($AX1015="Cancelled","",IFERROR((W1015*INDEX(Variables!$B$7:$D$7,IFERROR(MATCH(IF($B1015="Robusta","Robusta",(IF($B1015="","Arabica",$B1015))&amp;" - "&amp;(IF($C1015="","Commercial",$C1015))),Variables!$B$1:$D$1,0),1))*AK1015/365)+(L1015/16.67*INDEX(Variables!$B$8:$D$8,IFERROR(MATCH(IF($B1015="Robusta","Robusta",(IF($B1015="","Arabica",$B1015))&amp;" - "&amp;(IF($C1015="","Commercial",$C1015))),Variables!$B$1:$D$1,0),1))*AK1015)+(W1015*INDEX(Variables!$B$9:$D$9,IFERROR(MATCH(IF($B1015="Robusta","Robusta",(IF($B1015="","Arabica",$B1015))&amp;" - "&amp;(IF($C1015="","Commercial",$C1015))),Variables!$B$1:$D$1,0),1))*AK1015/365),""))</f>
        <v>-3.3466307319964828</v>
      </c>
      <c r="BI1015" s="44">
        <f>IF($AX1015="Cancelled","",IFERROR((W1015*INDEX(Variables!$B$7:$D$7,IFERROR(MATCH(IF($B1015="Robusta","Robusta",(IF($B1015="","Arabica",$B1015))&amp;" - "&amp;(IF($C1015="","Commercial",$C1015))),Variables!$B$1:$D$1,0),1))*BD1015/365)+(L1015/16.67*INDEX(Variables!$B$8:$D$8,IFERROR(MATCH(IF($B1015="Robusta","Robusta",(IF($B1015="","Arabica",$B1015))&amp;" - "&amp;(IF($C1015="","Commercial",$C1015))),Variables!$B$1:$D$1,0),1))*BD1015)+(W1015*INDEX(Variables!$B$9:$D$9,IFERROR(MATCH(IF($B1015="Robusta","Robusta",(IF($B1015="","Arabica",$B1015))&amp;" - "&amp;(IF($C1015="","Commercial",$C1015))),Variables!$B$1:$D$1,0),1))*BD1015/365),""))</f>
        <v>6.6932614639929655</v>
      </c>
      <c r="BJ1015" s="44">
        <f t="shared" si="48"/>
        <v>-13</v>
      </c>
      <c r="BK1015" s="44">
        <f>IF($AX1015="Cancelled","",IFERROR(IF(BJ1015="","",(W1015*INDEX(Variables!$B$7:$D$7,IFERROR(MATCH(IF($B1015="Robusta","Robusta",(IF($B1015="","Arabica",$B1015))&amp;" - "&amp;(IF($C1015="","Commercial",$C1015))),Variables!$B$1:$D$1,0),1))*(BJ1015/365))+(W1015*INDEX(Variables!$B$9:$D$9,IFERROR(MATCH(IF($B1015="Robusta","Robusta",(IF($B1015="","Arabica",$B1015))&amp;" - "&amp;(IF($C1015="","Commercial",$C1015))),Variables!$B$1:$D$1,0),1))*(BJ1015/365))+(INDEX(Variables!$B$8:$D$8,IFERROR(MATCH(IF($B1015="Robusta","Robusta",(IF($B1015="","Arabica",$B1015))&amp;" - "&amp;(IF($C1015="","Commercial",$C1015))),Variables!$B$1:$D$1,0),1))*L1015/16.67)),""))</f>
        <v>-29.506199515954279</v>
      </c>
    </row>
    <row r="1016" spans="1:63">
      <c r="A1016" s="13" t="s">
        <v>103</v>
      </c>
      <c r="B1016" s="13" t="s">
        <v>104</v>
      </c>
      <c r="C1016" s="13" t="s">
        <v>292</v>
      </c>
      <c r="D1016" s="31">
        <v>46098</v>
      </c>
      <c r="E1016" s="31">
        <v>46113</v>
      </c>
      <c r="F1016" s="31">
        <v>46142</v>
      </c>
      <c r="G1016" s="13">
        <v>3787437</v>
      </c>
      <c r="J1016" s="13" t="s">
        <v>294</v>
      </c>
      <c r="K1016" s="13" t="s">
        <v>2565</v>
      </c>
      <c r="L1016" s="13">
        <v>20</v>
      </c>
      <c r="M1016" s="13">
        <v>0</v>
      </c>
      <c r="N1016" s="13" t="s">
        <v>2566</v>
      </c>
      <c r="O1016" s="13" t="s">
        <v>771</v>
      </c>
      <c r="P1016" s="13">
        <v>10010</v>
      </c>
      <c r="R1016" s="13" t="s">
        <v>384</v>
      </c>
      <c r="S1016" s="13" t="s">
        <v>437</v>
      </c>
      <c r="T1016" s="13" t="s">
        <v>438</v>
      </c>
      <c r="U1016" s="13" t="s">
        <v>182</v>
      </c>
      <c r="V1016" s="23">
        <v>217</v>
      </c>
      <c r="W1016" s="44">
        <f>IF($AX1016="Cancelled","",IFERROR(((V1016+INDEX(Variables!$B$6:$D$6,IFERROR(MATCH(IF($B1016="Robusta","Robusta",(IF($B1016="","Arabica",$B1016))&amp;" - "&amp;(IF($C1016="","Commercial",$C1016))),Variables!$B$1:$D$1,0),1)))*22.0462)*(L1016/16.67),""))</f>
        <v>13431.386154769045</v>
      </c>
      <c r="Y1016" s="13" t="str">
        <f>IF($AX1016="Cancelled","",IF(X1016="","",IFERROR(IF(INDEX(Variables!$B$38:$B$47,MATCH(X1016,Variables!$A$38:$A$47,0))="Yes","Yes","No"),"No")))</f>
        <v/>
      </c>
      <c r="Z1016" s="31"/>
      <c r="AC1016" s="13" t="str">
        <f t="shared" si="47"/>
        <v/>
      </c>
      <c r="AF1016" s="71">
        <v>46127</v>
      </c>
      <c r="AG1016" s="37">
        <f>IF($AX1016="Cancelled","",IFERROR(IF(F1016="","",F1016-Variables!$B$13),""))</f>
        <v>46127</v>
      </c>
      <c r="AH1016" s="13" t="str">
        <f>IF($AX1016="Cancelled","",IFERROR(IF(AB1016="","",(AVERAGE(E1016:F1016)-AB1016)-Variables!$B$14),""))</f>
        <v/>
      </c>
      <c r="AJ1016" s="47">
        <v>46142</v>
      </c>
      <c r="AK1016" s="14">
        <f>IF($AX1016="Cancelled","",IFERROR(IF(AJ1016="","",IF(AND(AB1016="",AF1016=""),"",IF(AF1016&gt;AB1016,AF1016+Variables!$B$15+Variables!$B$16+Variables!$B$17-AJ1016,AB1016+Variables!$B$16+Variables!$B$17-AJ1016))),""))</f>
        <v>0</v>
      </c>
      <c r="AL1016" s="48" t="s">
        <v>114</v>
      </c>
      <c r="AM1016" s="13" t="s">
        <v>115</v>
      </c>
      <c r="AN1016" s="13" t="s">
        <v>2560</v>
      </c>
      <c r="AP1016" s="39" t="e">
        <v>#N/A</v>
      </c>
      <c r="AR1016" s="13">
        <v>270218785</v>
      </c>
      <c r="AS1016" s="31">
        <v>46155</v>
      </c>
      <c r="AU1016" s="31">
        <v>46191</v>
      </c>
      <c r="AV1016" s="13" t="e">
        <v>#N/A</v>
      </c>
      <c r="AW1016" s="31">
        <v>46191</v>
      </c>
      <c r="AX1016" s="13" t="str">
        <f>IF(ISNUMBER(SEARCH("cancel",#REF!)),"Cancelled",IF(AND(AS1016&lt;&gt;"",AU1016&lt;&gt;"",AW1016&lt;&gt;""),"Closed","Open"))</f>
        <v>Closed</v>
      </c>
      <c r="AY1016" s="15" t="str">
        <f t="shared" si="46"/>
        <v>All dates received</v>
      </c>
      <c r="BD1016" s="13">
        <f>IF($AX1016="Cancelled","",IFERROR(IF(OR(AS1016="",AJ1016=""),"",(AJ1016+Variables!$B$18-AS1016)),""))</f>
        <v>2</v>
      </c>
      <c r="BE1016" s="13">
        <f>IF($AX1016="Cancelled","",IFERROR(IF(OR(AW1016="",AS1016=""),"",(AS1016+Variables!$B$19)-AW1016),""))</f>
        <v>-31</v>
      </c>
      <c r="BF1016" s="44">
        <f>IF($AX1016="Cancelled","",IFERROR(W1016*INDEX(Variables!$B$7:$D$7,IFERROR(MATCH(IF($B1016="Robusta","Robusta",(IF($B1016="","Arabica",$B1016))&amp;" - "&amp;(IF($C1016="","Commercial",$C1016))),Variables!$B$1:$D$1,0),1))*(BE1016/365),""))</f>
        <v>-73.557931993371241</v>
      </c>
      <c r="BG1016" s="44" t="str">
        <f>IF($AX1016="Cancelled","",IFERROR((W1016*INDEX(Variables!$B$7:$D$7,IFERROR(MATCH(IF($B1016="Robusta","Robusta",(IF($B1016="","Arabica",$B1016))&amp;" - "&amp;(IF($C1016="","Commercial",$C1016))),Variables!$B$1:$D$1,0),1))*IFERROR(IF(AB1016="","",(AVERAGE(E1016:F1016)-AB1016)-Variables!$B$14),"")/365)+(L1016/16.67*INDEX(Variables!$B$8:$D$8,IFERROR(MATCH(IF($B1016="Robusta","Robusta",(IF($B1016="","Arabica",$B1016))&amp;" - "&amp;(IF($C1016="","Commercial",$C1016))),Variables!$B$1:$D$1,0),1))*IFERROR(IF(AB1016="","",(AVERAGE(E1016:F1016)-AB1016)-Variables!$B$14),""))+(W1016*INDEX(Variables!$B$9:$D$9,IFERROR(MATCH(IF($B1016="Robusta","Robusta",(IF($B1016="","Arabica",$B1016))&amp;" - "&amp;(IF($C1016="","Commercial",$C1016))),Variables!$B$1:$D$1,0),1))*IFERROR(IF(AB1016="","",(AVERAGE(E1016:F1016)-AB1016)-Variables!$B$14),"")/365),""))</f>
        <v/>
      </c>
      <c r="BH1016" s="44">
        <f>IF($AX1016="Cancelled","",IFERROR((W1016*INDEX(Variables!$B$7:$D$7,IFERROR(MATCH(IF($B1016="Robusta","Robusta",(IF($B1016="","Arabica",$B1016))&amp;" - "&amp;(IF($C1016="","Commercial",$C1016))),Variables!$B$1:$D$1,0),1))*AK1016/365)+(L1016/16.67*INDEX(Variables!$B$8:$D$8,IFERROR(MATCH(IF($B1016="Robusta","Robusta",(IF($B1016="","Arabica",$B1016))&amp;" - "&amp;(IF($C1016="","Commercial",$C1016))),Variables!$B$1:$D$1,0),1))*AK1016)+(W1016*INDEX(Variables!$B$9:$D$9,IFERROR(MATCH(IF($B1016="Robusta","Robusta",(IF($B1016="","Arabica",$B1016))&amp;" - "&amp;(IF($C1016="","Commercial",$C1016))),Variables!$B$1:$D$1,0),1))*AK1016/365),""))</f>
        <v>0</v>
      </c>
      <c r="BI1016" s="44">
        <f>IF($AX1016="Cancelled","",IFERROR((W1016*INDEX(Variables!$B$7:$D$7,IFERROR(MATCH(IF($B1016="Robusta","Robusta",(IF($B1016="","Arabica",$B1016))&amp;" - "&amp;(IF($C1016="","Commercial",$C1016))),Variables!$B$1:$D$1,0),1))*BD1016/365)+(L1016/16.67*INDEX(Variables!$B$8:$D$8,IFERROR(MATCH(IF($B1016="Robusta","Robusta",(IF($B1016="","Arabica",$B1016))&amp;" - "&amp;(IF($C1016="","Commercial",$C1016))),Variables!$B$1:$D$1,0),1))*BD1016)+(W1016*INDEX(Variables!$B$9:$D$9,IFERROR(MATCH(IF($B1016="Robusta","Robusta",(IF($B1016="","Arabica",$B1016))&amp;" - "&amp;(IF($C1016="","Commercial",$C1016))),Variables!$B$1:$D$1,0),1))*BD1016/365),""))</f>
        <v>6.8068539157233321</v>
      </c>
      <c r="BJ1016" s="44">
        <f t="shared" si="48"/>
        <v>-13</v>
      </c>
      <c r="BK1016" s="44">
        <f>IF($AX1016="Cancelled","",IFERROR(IF(BJ1016="","",(W1016*INDEX(Variables!$B$7:$D$7,IFERROR(MATCH(IF($B1016="Robusta","Robusta",(IF($B1016="","Arabica",$B1016))&amp;" - "&amp;(IF($C1016="","Commercial",$C1016))),Variables!$B$1:$D$1,0),1))*(BJ1016/365))+(W1016*INDEX(Variables!$B$9:$D$9,IFERROR(MATCH(IF($B1016="Robusta","Robusta",(IF($B1016="","Arabica",$B1016))&amp;" - "&amp;(IF($C1016="","Commercial",$C1016))),Variables!$B$1:$D$1,0),1))*(BJ1016/365))+(INDEX(Variables!$B$8:$D$8,IFERROR(MATCH(IF($B1016="Robusta","Robusta",(IF($B1016="","Arabica",$B1016))&amp;" - "&amp;(IF($C1016="","Commercial",$C1016))),Variables!$B$1:$D$1,0),1))*L1016/16.67)),""))</f>
        <v>-30.244550452201658</v>
      </c>
    </row>
    <row r="1017" spans="1:63">
      <c r="A1017" s="13" t="s">
        <v>103</v>
      </c>
      <c r="B1017" s="13" t="s">
        <v>104</v>
      </c>
      <c r="C1017" s="13" t="s">
        <v>292</v>
      </c>
      <c r="D1017" s="31">
        <v>46098</v>
      </c>
      <c r="E1017" s="31">
        <v>46113</v>
      </c>
      <c r="F1017" s="31">
        <v>46142</v>
      </c>
      <c r="G1017" s="13">
        <v>3787438</v>
      </c>
      <c r="J1017" s="13" t="s">
        <v>294</v>
      </c>
      <c r="K1017" s="13" t="s">
        <v>2567</v>
      </c>
      <c r="L1017" s="13">
        <v>20</v>
      </c>
      <c r="M1017" s="13">
        <v>0</v>
      </c>
      <c r="N1017" s="13" t="s">
        <v>2568</v>
      </c>
      <c r="O1017" s="13" t="s">
        <v>771</v>
      </c>
      <c r="P1017" s="13">
        <v>10010</v>
      </c>
      <c r="R1017" s="13" t="s">
        <v>384</v>
      </c>
      <c r="S1017" s="13" t="s">
        <v>437</v>
      </c>
      <c r="T1017" s="13" t="s">
        <v>438</v>
      </c>
      <c r="U1017" s="13" t="s">
        <v>182</v>
      </c>
      <c r="V1017" s="23">
        <v>217</v>
      </c>
      <c r="W1017" s="44">
        <f>IF($AX1017="Cancelled","",IFERROR(((V1017+INDEX(Variables!$B$6:$D$6,IFERROR(MATCH(IF($B1017="Robusta","Robusta",(IF($B1017="","Arabica",$B1017))&amp;" - "&amp;(IF($C1017="","Commercial",$C1017))),Variables!$B$1:$D$1,0),1)))*22.0462)*(L1017/16.67),""))</f>
        <v>13431.386154769045</v>
      </c>
      <c r="Y1017" s="13" t="str">
        <f>IF($AX1017="Cancelled","",IF(X1017="","",IFERROR(IF(INDEX(Variables!$B$38:$B$47,MATCH(X1017,Variables!$A$38:$A$47,0))="Yes","Yes","No"),"No")))</f>
        <v/>
      </c>
      <c r="Z1017" s="31"/>
      <c r="AC1017" s="13" t="str">
        <f t="shared" si="47"/>
        <v/>
      </c>
      <c r="AF1017" s="71">
        <v>46127</v>
      </c>
      <c r="AG1017" s="37">
        <f>IF($AX1017="Cancelled","",IFERROR(IF(F1017="","",F1017-Variables!$B$13),""))</f>
        <v>46127</v>
      </c>
      <c r="AH1017" s="13" t="str">
        <f>IF($AX1017="Cancelled","",IFERROR(IF(AB1017="","",(AVERAGE(E1017:F1017)-AB1017)-Variables!$B$14),""))</f>
        <v/>
      </c>
      <c r="AJ1017" s="47">
        <v>46142</v>
      </c>
      <c r="AK1017" s="14">
        <f>IF($AX1017="Cancelled","",IFERROR(IF(AJ1017="","",IF(AND(AB1017="",AF1017=""),"",IF(AF1017&gt;AB1017,AF1017+Variables!$B$15+Variables!$B$16+Variables!$B$17-AJ1017,AB1017+Variables!$B$16+Variables!$B$17-AJ1017))),""))</f>
        <v>0</v>
      </c>
      <c r="AL1017" s="48" t="s">
        <v>114</v>
      </c>
      <c r="AM1017" s="13" t="s">
        <v>115</v>
      </c>
      <c r="AN1017" s="13" t="s">
        <v>2560</v>
      </c>
      <c r="AP1017" s="39" t="e">
        <v>#N/A</v>
      </c>
      <c r="AR1017" s="13">
        <v>270218785</v>
      </c>
      <c r="AS1017" s="31">
        <v>46155</v>
      </c>
      <c r="AU1017" s="31">
        <v>46191</v>
      </c>
      <c r="AV1017" s="13" t="e">
        <v>#N/A</v>
      </c>
      <c r="AW1017" s="31">
        <v>46191</v>
      </c>
      <c r="AX1017" s="13" t="str">
        <f>IF(ISNUMBER(SEARCH("cancel",#REF!)),"Cancelled",IF(AND(AS1017&lt;&gt;"",AU1017&lt;&gt;"",AW1017&lt;&gt;""),"Closed","Open"))</f>
        <v>Closed</v>
      </c>
      <c r="AY1017" s="15" t="str">
        <f t="shared" si="46"/>
        <v>All dates received</v>
      </c>
      <c r="BD1017" s="13">
        <f>IF($AX1017="Cancelled","",IFERROR(IF(OR(AS1017="",AJ1017=""),"",(AJ1017+Variables!$B$18-AS1017)),""))</f>
        <v>2</v>
      </c>
      <c r="BE1017" s="13">
        <f>IF($AX1017="Cancelled","",IFERROR(IF(OR(AW1017="",AS1017=""),"",(AS1017+Variables!$B$19)-AW1017),""))</f>
        <v>-31</v>
      </c>
      <c r="BF1017" s="44">
        <f>IF($AX1017="Cancelled","",IFERROR(W1017*INDEX(Variables!$B$7:$D$7,IFERROR(MATCH(IF($B1017="Robusta","Robusta",(IF($B1017="","Arabica",$B1017))&amp;" - "&amp;(IF($C1017="","Commercial",$C1017))),Variables!$B$1:$D$1,0),1))*(BE1017/365),""))</f>
        <v>-73.557931993371241</v>
      </c>
      <c r="BG1017" s="44" t="str">
        <f>IF($AX1017="Cancelled","",IFERROR((W1017*INDEX(Variables!$B$7:$D$7,IFERROR(MATCH(IF($B1017="Robusta","Robusta",(IF($B1017="","Arabica",$B1017))&amp;" - "&amp;(IF($C1017="","Commercial",$C1017))),Variables!$B$1:$D$1,0),1))*IFERROR(IF(AB1017="","",(AVERAGE(E1017:F1017)-AB1017)-Variables!$B$14),"")/365)+(L1017/16.67*INDEX(Variables!$B$8:$D$8,IFERROR(MATCH(IF($B1017="Robusta","Robusta",(IF($B1017="","Arabica",$B1017))&amp;" - "&amp;(IF($C1017="","Commercial",$C1017))),Variables!$B$1:$D$1,0),1))*IFERROR(IF(AB1017="","",(AVERAGE(E1017:F1017)-AB1017)-Variables!$B$14),""))+(W1017*INDEX(Variables!$B$9:$D$9,IFERROR(MATCH(IF($B1017="Robusta","Robusta",(IF($B1017="","Arabica",$B1017))&amp;" - "&amp;(IF($C1017="","Commercial",$C1017))),Variables!$B$1:$D$1,0),1))*IFERROR(IF(AB1017="","",(AVERAGE(E1017:F1017)-AB1017)-Variables!$B$14),"")/365),""))</f>
        <v/>
      </c>
      <c r="BH1017" s="44">
        <f>IF($AX1017="Cancelled","",IFERROR((W1017*INDEX(Variables!$B$7:$D$7,IFERROR(MATCH(IF($B1017="Robusta","Robusta",(IF($B1017="","Arabica",$B1017))&amp;" - "&amp;(IF($C1017="","Commercial",$C1017))),Variables!$B$1:$D$1,0),1))*AK1017/365)+(L1017/16.67*INDEX(Variables!$B$8:$D$8,IFERROR(MATCH(IF($B1017="Robusta","Robusta",(IF($B1017="","Arabica",$B1017))&amp;" - "&amp;(IF($C1017="","Commercial",$C1017))),Variables!$B$1:$D$1,0),1))*AK1017)+(W1017*INDEX(Variables!$B$9:$D$9,IFERROR(MATCH(IF($B1017="Robusta","Robusta",(IF($B1017="","Arabica",$B1017))&amp;" - "&amp;(IF($C1017="","Commercial",$C1017))),Variables!$B$1:$D$1,0),1))*AK1017/365),""))</f>
        <v>0</v>
      </c>
      <c r="BI1017" s="44">
        <f>IF($AX1017="Cancelled","",IFERROR((W1017*INDEX(Variables!$B$7:$D$7,IFERROR(MATCH(IF($B1017="Robusta","Robusta",(IF($B1017="","Arabica",$B1017))&amp;" - "&amp;(IF($C1017="","Commercial",$C1017))),Variables!$B$1:$D$1,0),1))*BD1017/365)+(L1017/16.67*INDEX(Variables!$B$8:$D$8,IFERROR(MATCH(IF($B1017="Robusta","Robusta",(IF($B1017="","Arabica",$B1017))&amp;" - "&amp;(IF($C1017="","Commercial",$C1017))),Variables!$B$1:$D$1,0),1))*BD1017)+(W1017*INDEX(Variables!$B$9:$D$9,IFERROR(MATCH(IF($B1017="Robusta","Robusta",(IF($B1017="","Arabica",$B1017))&amp;" - "&amp;(IF($C1017="","Commercial",$C1017))),Variables!$B$1:$D$1,0),1))*BD1017/365),""))</f>
        <v>6.8068539157233321</v>
      </c>
      <c r="BJ1017" s="44">
        <f t="shared" si="48"/>
        <v>-13</v>
      </c>
      <c r="BK1017" s="44">
        <f>IF($AX1017="Cancelled","",IFERROR(IF(BJ1017="","",(W1017*INDEX(Variables!$B$7:$D$7,IFERROR(MATCH(IF($B1017="Robusta","Robusta",(IF($B1017="","Arabica",$B1017))&amp;" - "&amp;(IF($C1017="","Commercial",$C1017))),Variables!$B$1:$D$1,0),1))*(BJ1017/365))+(W1017*INDEX(Variables!$B$9:$D$9,IFERROR(MATCH(IF($B1017="Robusta","Robusta",(IF($B1017="","Arabica",$B1017))&amp;" - "&amp;(IF($C1017="","Commercial",$C1017))),Variables!$B$1:$D$1,0),1))*(BJ1017/365))+(INDEX(Variables!$B$8:$D$8,IFERROR(MATCH(IF($B1017="Robusta","Robusta",(IF($B1017="","Arabica",$B1017))&amp;" - "&amp;(IF($C1017="","Commercial",$C1017))),Variables!$B$1:$D$1,0),1))*L1017/16.67)),""))</f>
        <v>-30.244550452201658</v>
      </c>
    </row>
    <row r="1018" spans="1:63" s="26" customFormat="1">
      <c r="A1018" s="26" t="s">
        <v>103</v>
      </c>
      <c r="B1018" s="26" t="s">
        <v>104</v>
      </c>
      <c r="C1018" s="26" t="s">
        <v>292</v>
      </c>
      <c r="D1018" s="34">
        <v>46098</v>
      </c>
      <c r="E1018" s="34">
        <v>46113</v>
      </c>
      <c r="F1018" s="34">
        <v>46142</v>
      </c>
      <c r="G1018" s="26">
        <v>3787439</v>
      </c>
      <c r="J1018" s="13" t="s">
        <v>294</v>
      </c>
      <c r="K1018" s="26" t="s">
        <v>2569</v>
      </c>
      <c r="L1018" s="26">
        <v>8</v>
      </c>
      <c r="M1018" s="13">
        <v>0</v>
      </c>
      <c r="N1018" s="26" t="s">
        <v>2570</v>
      </c>
      <c r="O1018" s="26" t="s">
        <v>771</v>
      </c>
      <c r="P1018" s="13">
        <v>10010</v>
      </c>
      <c r="R1018" s="13" t="s">
        <v>384</v>
      </c>
      <c r="S1018" s="13" t="s">
        <v>437</v>
      </c>
      <c r="T1018" s="13" t="s">
        <v>438</v>
      </c>
      <c r="U1018" s="13" t="s">
        <v>182</v>
      </c>
      <c r="V1018" s="27">
        <v>208</v>
      </c>
      <c r="W1018" s="51">
        <f>IF($AX1018="Cancelled","",IFERROR(((V1018+INDEX(Variables!$B$6:$D$6,IFERROR(MATCH(IF($B1018="Robusta","Robusta",(IF($B1018="","Arabica",$B1018))&amp;" - "&amp;(IF($C1018="","Commercial",$C1018))),Variables!$B$1:$D$1,0),1)))*22.0462)*(L1018/16.67),""))</f>
        <v>5277.3339220155958</v>
      </c>
      <c r="X1018" s="56"/>
      <c r="Y1018" s="26" t="str">
        <f>IF($AX1018="Cancelled","",IF(X1018="","",IFERROR(IF(INDEX(Variables!$B$38:$B$47,MATCH(X1018,Variables!$A$38:$A$47,0))="Yes","Yes","No"),"No")))</f>
        <v/>
      </c>
      <c r="Z1018" s="34"/>
      <c r="AB1018" s="34"/>
      <c r="AC1018" s="26" t="str">
        <f t="shared" si="47"/>
        <v/>
      </c>
      <c r="AD1018" s="34"/>
      <c r="AE1018" s="34"/>
      <c r="AF1018" s="71">
        <v>46126</v>
      </c>
      <c r="AG1018" s="38">
        <f>IF($AX1018="Cancelled","",IFERROR(IF(F1018="","",F1018-Variables!$B$13),""))</f>
        <v>46127</v>
      </c>
      <c r="AH1018" s="26" t="str">
        <f>IF($AX1018="Cancelled","",IFERROR(IF(AB1018="","",(AVERAGE(E1018:F1018)-AB1018)-Variables!$B$14),""))</f>
        <v/>
      </c>
      <c r="AJ1018" s="47">
        <v>46142</v>
      </c>
      <c r="AK1018" s="14">
        <f>IF($AX1018="Cancelled","",IFERROR(IF(AJ1018="","",IF(AND(AB1018="",AF1018=""),"",IF(AF1018&gt;AB1018,AF1018+Variables!$B$15+Variables!$B$16+Variables!$B$17-AJ1018,AB1018+Variables!$B$16+Variables!$B$17-AJ1018))),""))</f>
        <v>-1</v>
      </c>
      <c r="AL1018" s="48" t="s">
        <v>114</v>
      </c>
      <c r="AM1018" s="13" t="s">
        <v>115</v>
      </c>
      <c r="AN1018" s="13" t="s">
        <v>2560</v>
      </c>
      <c r="AO1018" s="34"/>
      <c r="AP1018" s="39" t="e">
        <v>#N/A</v>
      </c>
      <c r="AQ1018" s="34"/>
      <c r="AR1018" s="13">
        <v>270218785</v>
      </c>
      <c r="AS1018" s="34">
        <v>46155</v>
      </c>
      <c r="AT1018" s="34"/>
      <c r="AU1018" s="31">
        <v>46191</v>
      </c>
      <c r="AV1018" s="13" t="e">
        <v>#N/A</v>
      </c>
      <c r="AW1018" s="31">
        <v>46191</v>
      </c>
      <c r="AX1018" s="26" t="str">
        <f>IF(ISNUMBER(SEARCH("cancel",#REF!)),"Cancelled",IF(AND(AS1018&lt;&gt;"",AU1018&lt;&gt;"",AW1018&lt;&gt;""),"Closed","Open"))</f>
        <v>Closed</v>
      </c>
      <c r="AY1018" s="28" t="str">
        <f t="shared" si="46"/>
        <v>All dates received</v>
      </c>
      <c r="BD1018" s="26">
        <f>IF($AX1018="Cancelled","",IFERROR(IF(OR(AS1018="",AJ1018=""),"",(AJ1018+Variables!$B$18-AS1018)),""))</f>
        <v>2</v>
      </c>
      <c r="BE1018" s="26">
        <f>IF($AX1018="Cancelled","",IFERROR(IF(OR(AW1018="",AS1018=""),"",(AS1018+Variables!$B$19)-AW1018),""))</f>
        <v>-31</v>
      </c>
      <c r="BF1018" s="51">
        <f>IF($AX1018="Cancelled","",IFERROR(W1018*INDEX(Variables!$B$7:$D$7,IFERROR(MATCH(IF($B1018="Robusta","Robusta",(IF($B1018="","Arabica",$B1018))&amp;" - "&amp;(IF($C1018="","Commercial",$C1018))),Variables!$B$1:$D$1,0),1))*(BE1018/365),""))</f>
        <v>-28.901690806060316</v>
      </c>
      <c r="BG1018" s="51" t="str">
        <f>IF($AX1018="Cancelled","",IFERROR((W1018*INDEX(Variables!$B$7:$D$7,IFERROR(MATCH(IF($B1018="Robusta","Robusta",(IF($B1018="","Arabica",$B1018))&amp;" - "&amp;(IF($C1018="","Commercial",$C1018))),Variables!$B$1:$D$1,0),1))*IFERROR(IF(AB1018="","",(AVERAGE(E1018:F1018)-AB1018)-Variables!$B$14),"")/365)+(L1018/16.67*INDEX(Variables!$B$8:$D$8,IFERROR(MATCH(IF($B1018="Robusta","Robusta",(IF($B1018="","Arabica",$B1018))&amp;" - "&amp;(IF($C1018="","Commercial",$C1018))),Variables!$B$1:$D$1,0),1))*IFERROR(IF(AB1018="","",(AVERAGE(E1018:F1018)-AB1018)-Variables!$B$14),""))+(W1018*INDEX(Variables!$B$9:$D$9,IFERROR(MATCH(IF($B1018="Robusta","Robusta",(IF($B1018="","Arabica",$B1018))&amp;" - "&amp;(IF($C1018="","Commercial",$C1018))),Variables!$B$1:$D$1,0),1))*IFERROR(IF(AB1018="","",(AVERAGE(E1018:F1018)-AB1018)-Variables!$B$14),"")/365),""))</f>
        <v/>
      </c>
      <c r="BH1018" s="51">
        <f>IF($AX1018="Cancelled","",IFERROR((W1018*INDEX(Variables!$B$7:$D$7,IFERROR(MATCH(IF($B1018="Robusta","Robusta",(IF($B1018="","Arabica",$B1018))&amp;" - "&amp;(IF($C1018="","Commercial",$C1018))),Variables!$B$1:$D$1,0),1))*AK1018/365)+(L1018/16.67*INDEX(Variables!$B$8:$D$8,IFERROR(MATCH(IF($B1018="Robusta","Robusta",(IF($B1018="","Arabica",$B1018))&amp;" - "&amp;(IF($C1018="","Commercial",$C1018))),Variables!$B$1:$D$1,0),1))*AK1018)+(W1018*INDEX(Variables!$B$9:$D$9,IFERROR(MATCH(IF($B1018="Robusta","Robusta",(IF($B1018="","Arabica",$B1018))&amp;" - "&amp;(IF($C1018="","Commercial",$C1018))),Variables!$B$1:$D$1,0),1))*AK1018/365),""))</f>
        <v>-1.3443319153851114</v>
      </c>
      <c r="BI1018" s="51">
        <f>IF($AX1018="Cancelled","",IFERROR((W1018*INDEX(Variables!$B$7:$D$7,IFERROR(MATCH(IF($B1018="Robusta","Robusta",(IF($B1018="","Arabica",$B1018))&amp;" - "&amp;(IF($C1018="","Commercial",$C1018))),Variables!$B$1:$D$1,0),1))*BD1018/365)+(L1018/16.67*INDEX(Variables!$B$8:$D$8,IFERROR(MATCH(IF($B1018="Robusta","Robusta",(IF($B1018="","Arabica",$B1018))&amp;" - "&amp;(IF($C1018="","Commercial",$C1018))),Variables!$B$1:$D$1,0),1))*BD1018)+(W1018*INDEX(Variables!$B$9:$D$9,IFERROR(MATCH(IF($B1018="Robusta","Robusta",(IF($B1018="","Arabica",$B1018))&amp;" - "&amp;(IF($C1018="","Commercial",$C1018))),Variables!$B$1:$D$1,0),1))*BD1018/365),""))</f>
        <v>2.6886638307702229</v>
      </c>
      <c r="BJ1018" s="51">
        <f t="shared" si="48"/>
        <v>-13</v>
      </c>
      <c r="BK1018" s="51">
        <f>IF($AX1018="Cancelled","",IFERROR(IF(BJ1018="","",(W1018*INDEX(Variables!$B$7:$D$7,IFERROR(MATCH(IF($B1018="Robusta","Robusta",(IF($B1018="","Arabica",$B1018))&amp;" - "&amp;(IF($C1018="","Commercial",$C1018))),Variables!$B$1:$D$1,0),1))*(BJ1018/365))+(W1018*INDEX(Variables!$B$9:$D$9,IFERROR(MATCH(IF($B1018="Robusta","Robusta",(IF($B1018="","Arabica",$B1018))&amp;" - "&amp;(IF($C1018="","Commercial",$C1018))),Variables!$B$1:$D$1,0),1))*(BJ1018/365))+(INDEX(Variables!$B$8:$D$8,IFERROR(MATCH(IF($B1018="Robusta","Robusta",(IF($B1018="","Arabica",$B1018))&amp;" - "&amp;(IF($C1018="","Commercial",$C1018))),Variables!$B$1:$D$1,0),1))*L1018/16.67)),""))</f>
        <v>-11.876314900006445</v>
      </c>
    </row>
    <row r="1019" spans="1:63">
      <c r="A1019" s="13" t="s">
        <v>103</v>
      </c>
      <c r="B1019" s="13" t="s">
        <v>104</v>
      </c>
      <c r="C1019" s="13" t="s">
        <v>292</v>
      </c>
      <c r="D1019" s="31">
        <v>46098</v>
      </c>
      <c r="E1019" s="31">
        <v>46113</v>
      </c>
      <c r="F1019" s="31">
        <v>46142</v>
      </c>
      <c r="G1019" s="13">
        <v>3787440</v>
      </c>
      <c r="J1019" s="13" t="s">
        <v>294</v>
      </c>
      <c r="K1019" s="13" t="s">
        <v>2571</v>
      </c>
      <c r="L1019" s="13">
        <v>8</v>
      </c>
      <c r="M1019" s="13">
        <v>0</v>
      </c>
      <c r="N1019" s="13" t="s">
        <v>2572</v>
      </c>
      <c r="O1019" s="13" t="s">
        <v>297</v>
      </c>
      <c r="P1019" s="13">
        <v>10020</v>
      </c>
      <c r="R1019" s="13" t="s">
        <v>384</v>
      </c>
      <c r="S1019" s="13" t="s">
        <v>437</v>
      </c>
      <c r="T1019" s="13" t="s">
        <v>438</v>
      </c>
      <c r="U1019" s="13" t="s">
        <v>182</v>
      </c>
      <c r="V1019" s="23">
        <v>200</v>
      </c>
      <c r="W1019" s="44">
        <f>IF($AX1019="Cancelled","",IFERROR(((V1019+INDEX(Variables!$B$6:$D$6,IFERROR(MATCH(IF($B1019="Robusta","Robusta",(IF($B1019="","Arabica",$B1019))&amp;" - "&amp;(IF($C1019="","Commercial",$C1019))),Variables!$B$1:$D$1,0),1)))*22.0462)*(L1019/16.67),""))</f>
        <v>5192.6934421115766</v>
      </c>
      <c r="Y1019" s="13" t="str">
        <f>IF($AX1019="Cancelled","",IF(X1019="","",IFERROR(IF(INDEX(Variables!$B$38:$B$47,MATCH(X1019,Variables!$A$38:$A$47,0))="Yes","Yes","No"),"No")))</f>
        <v/>
      </c>
      <c r="Z1019" s="31"/>
      <c r="AC1019" s="13" t="str">
        <f t="shared" si="47"/>
        <v/>
      </c>
      <c r="AF1019" s="71">
        <v>46126</v>
      </c>
      <c r="AG1019" s="37">
        <f>IF($AX1019="Cancelled","",IFERROR(IF(F1019="","",F1019-Variables!$B$13),""))</f>
        <v>46127</v>
      </c>
      <c r="AH1019" s="13" t="str">
        <f>IF($AX1019="Cancelled","",IFERROR(IF(AB1019="","",(AVERAGE(E1019:F1019)-AB1019)-Variables!$B$14),""))</f>
        <v/>
      </c>
      <c r="AJ1019" s="47">
        <v>46142</v>
      </c>
      <c r="AK1019" s="14">
        <f>IF($AX1019="Cancelled","",IFERROR(IF(AJ1019="","",IF(AND(AB1019="",AF1019=""),"",IF(AF1019&gt;AB1019,AF1019+Variables!$B$15+Variables!$B$16+Variables!$B$17-AJ1019,AB1019+Variables!$B$16+Variables!$B$17-AJ1019))),""))</f>
        <v>-1</v>
      </c>
      <c r="AL1019" s="48" t="s">
        <v>114</v>
      </c>
      <c r="AM1019" s="13" t="s">
        <v>115</v>
      </c>
      <c r="AN1019" s="13" t="s">
        <v>2560</v>
      </c>
      <c r="AP1019" s="39" t="e">
        <v>#N/A</v>
      </c>
      <c r="AR1019" s="13">
        <v>270218785</v>
      </c>
      <c r="AS1019" s="31">
        <v>46155</v>
      </c>
      <c r="AU1019" s="31">
        <v>46191</v>
      </c>
      <c r="AV1019" s="13" t="e">
        <v>#N/A</v>
      </c>
      <c r="AW1019" s="31">
        <v>46191</v>
      </c>
      <c r="AX1019" s="13" t="str">
        <f>IF(ISNUMBER(SEARCH("cancel",#REF!)),"Cancelled",IF(AND(AS1019&lt;&gt;"",AU1019&lt;&gt;"",AW1019&lt;&gt;""),"Closed","Open"))</f>
        <v>Closed</v>
      </c>
      <c r="AY1019" s="15" t="str">
        <f t="shared" si="46"/>
        <v>All dates received</v>
      </c>
      <c r="BD1019" s="13">
        <f>IF($AX1019="Cancelled","",IFERROR(IF(OR(AS1019="",AJ1019=""),"",(AJ1019+Variables!$B$18-AS1019)),""))</f>
        <v>2</v>
      </c>
      <c r="BE1019" s="13">
        <f>IF($AX1019="Cancelled","",IFERROR(IF(OR(AW1019="",AS1019=""),"",(AS1019+Variables!$B$19)-AW1019),""))</f>
        <v>-31</v>
      </c>
      <c r="BF1019" s="44">
        <f>IF($AX1019="Cancelled","",IFERROR(W1019*INDEX(Variables!$B$7:$D$7,IFERROR(MATCH(IF($B1019="Robusta","Robusta",(IF($B1019="","Arabica",$B1019))&amp;" - "&amp;(IF($C1019="","Commercial",$C1019))),Variables!$B$1:$D$1,0),1))*(BE1019/365),""))</f>
        <v>-28.438151258248602</v>
      </c>
      <c r="BG1019" s="44" t="str">
        <f>IF($AX1019="Cancelled","",IFERROR((W1019*INDEX(Variables!$B$7:$D$7,IFERROR(MATCH(IF($B1019="Robusta","Robusta",(IF($B1019="","Arabica",$B1019))&amp;" - "&amp;(IF($C1019="","Commercial",$C1019))),Variables!$B$1:$D$1,0),1))*IFERROR(IF(AB1019="","",(AVERAGE(E1019:F1019)-AB1019)-Variables!$B$14),"")/365)+(L1019/16.67*INDEX(Variables!$B$8:$D$8,IFERROR(MATCH(IF($B1019="Robusta","Robusta",(IF($B1019="","Arabica",$B1019))&amp;" - "&amp;(IF($C1019="","Commercial",$C1019))),Variables!$B$1:$D$1,0),1))*IFERROR(IF(AB1019="","",(AVERAGE(E1019:F1019)-AB1019)-Variables!$B$14),""))+(W1019*INDEX(Variables!$B$9:$D$9,IFERROR(MATCH(IF($B1019="Robusta","Robusta",(IF($B1019="","Arabica",$B1019))&amp;" - "&amp;(IF($C1019="","Commercial",$C1019))),Variables!$B$1:$D$1,0),1))*IFERROR(IF(AB1019="","",(AVERAGE(E1019:F1019)-AB1019)-Variables!$B$14),"")/365),""))</f>
        <v/>
      </c>
      <c r="BH1019" s="44">
        <f>IF($AX1019="Cancelled","",IFERROR((W1019*INDEX(Variables!$B$7:$D$7,IFERROR(MATCH(IF($B1019="Robusta","Robusta",(IF($B1019="","Arabica",$B1019))&amp;" - "&amp;(IF($C1019="","Commercial",$C1019))),Variables!$B$1:$D$1,0),1))*AK1019/365)+(L1019/16.67*INDEX(Variables!$B$8:$D$8,IFERROR(MATCH(IF($B1019="Robusta","Robusta",(IF($B1019="","Arabica",$B1019))&amp;" - "&amp;(IF($C1019="","Commercial",$C1019))),Variables!$B$1:$D$1,0),1))*AK1019)+(W1019*INDEX(Variables!$B$9:$D$9,IFERROR(MATCH(IF($B1019="Robusta","Robusta",(IF($B1019="","Arabica",$B1019))&amp;" - "&amp;(IF($C1019="","Commercial",$C1019))),Variables!$B$1:$D$1,0),1))*AK1019/365),""))</f>
        <v>-1.3291862551543958</v>
      </c>
      <c r="BI1019" s="44">
        <f>IF($AX1019="Cancelled","",IFERROR((W1019*INDEX(Variables!$B$7:$D$7,IFERROR(MATCH(IF($B1019="Robusta","Robusta",(IF($B1019="","Arabica",$B1019))&amp;" - "&amp;(IF($C1019="","Commercial",$C1019))),Variables!$B$1:$D$1,0),1))*BD1019/365)+(L1019/16.67*INDEX(Variables!$B$8:$D$8,IFERROR(MATCH(IF($B1019="Robusta","Robusta",(IF($B1019="","Arabica",$B1019))&amp;" - "&amp;(IF($C1019="","Commercial",$C1019))),Variables!$B$1:$D$1,0),1))*BD1019)+(W1019*INDEX(Variables!$B$9:$D$9,IFERROR(MATCH(IF($B1019="Robusta","Robusta",(IF($B1019="","Arabica",$B1019))&amp;" - "&amp;(IF($C1019="","Commercial",$C1019))),Variables!$B$1:$D$1,0),1))*BD1019/365),""))</f>
        <v>2.6583725103087916</v>
      </c>
      <c r="BJ1019" s="44">
        <f t="shared" si="48"/>
        <v>-13</v>
      </c>
      <c r="BK1019" s="44">
        <f>IF($AX1019="Cancelled","",IFERROR(IF(BJ1019="","",(W1019*INDEX(Variables!$B$7:$D$7,IFERROR(MATCH(IF($B1019="Robusta","Robusta",(IF($B1019="","Arabica",$B1019))&amp;" - "&amp;(IF($C1019="","Commercial",$C1019))),Variables!$B$1:$D$1,0),1))*(BJ1019/365))+(W1019*INDEX(Variables!$B$9:$D$9,IFERROR(MATCH(IF($B1019="Robusta","Robusta",(IF($B1019="","Arabica",$B1019))&amp;" - "&amp;(IF($C1019="","Commercial",$C1019))),Variables!$B$1:$D$1,0),1))*(BJ1019/365))+(INDEX(Variables!$B$8:$D$8,IFERROR(MATCH(IF($B1019="Robusta","Robusta",(IF($B1019="","Arabica",$B1019))&amp;" - "&amp;(IF($C1019="","Commercial",$C1019))),Variables!$B$1:$D$1,0),1))*L1019/16.67)),""))</f>
        <v>-11.679421317007144</v>
      </c>
    </row>
    <row r="1020" spans="1:63">
      <c r="A1020" s="13" t="s">
        <v>103</v>
      </c>
      <c r="B1020" s="13" t="s">
        <v>104</v>
      </c>
      <c r="C1020" s="13" t="s">
        <v>105</v>
      </c>
      <c r="D1020" s="31">
        <v>46098</v>
      </c>
      <c r="E1020" s="31">
        <v>46204</v>
      </c>
      <c r="F1020" s="31">
        <v>46234</v>
      </c>
      <c r="G1020" s="13">
        <v>3787441</v>
      </c>
      <c r="J1020" s="13" t="s">
        <v>118</v>
      </c>
      <c r="K1020" s="13">
        <v>5592</v>
      </c>
      <c r="L1020" s="13">
        <v>360</v>
      </c>
      <c r="M1020" s="13">
        <v>1</v>
      </c>
      <c r="N1020" s="13" t="s">
        <v>2573</v>
      </c>
      <c r="O1020" s="13" t="s">
        <v>1205</v>
      </c>
      <c r="P1020" s="13">
        <v>10045</v>
      </c>
      <c r="Q1020" s="13" t="s">
        <v>745</v>
      </c>
      <c r="R1020" s="13" t="s">
        <v>122</v>
      </c>
      <c r="S1020" s="13" t="s">
        <v>816</v>
      </c>
      <c r="T1020" s="13" t="s">
        <v>817</v>
      </c>
      <c r="U1020" s="13" t="s">
        <v>125</v>
      </c>
      <c r="V1020" s="23">
        <v>35</v>
      </c>
      <c r="W1020" s="44">
        <f>IF($AX1020="Cancelled","",IFERROR(((V1020+INDEX(Variables!$B$6:$D$6,IFERROR(MATCH(IF($B1020="Robusta","Robusta",(IF($B1020="","Arabica",$B1020))&amp;" - "&amp;(IF($C1020="","Commercial",$C1020))),Variables!$B$1:$D$1,0),1)))*22.0462)*(L1020/16.67),""))</f>
        <v>155114.25948410318</v>
      </c>
      <c r="X1020" s="55" t="s">
        <v>37</v>
      </c>
      <c r="Y1020" s="13" t="str">
        <f>IF($AX1020="Cancelled","",IF(X1020="","",IFERROR(IF(INDEX(Variables!$B$38:$B$47,MATCH(X1020,Variables!$A$38:$A$47,0))="Yes","Yes","No"),"No")))</f>
        <v>Yes</v>
      </c>
      <c r="Z1020" s="58">
        <v>46177</v>
      </c>
      <c r="AB1020" s="31">
        <v>46185</v>
      </c>
      <c r="AC1020" s="13" t="str">
        <f t="shared" si="47"/>
        <v>Approved</v>
      </c>
      <c r="AF1020" s="71">
        <v>46232</v>
      </c>
      <c r="AG1020" s="35">
        <f>IF($AX1020="Cancelled","",IFERROR(IF(F1020="","",F1020-Variables!$B$13),""))</f>
        <v>46219</v>
      </c>
      <c r="AH1020" s="13">
        <f>IF($AX1020="Cancelled","",IFERROR(IF(AB1020="","",(AVERAGE(E1020:F1020)-AB1020)-Variables!$B$14),""))</f>
        <v>4</v>
      </c>
      <c r="AJ1020" s="47">
        <v>46232</v>
      </c>
      <c r="AK1020" s="14">
        <f>IF($AX1020="Cancelled","",IFERROR(IF(AJ1020="","",IF(AND(AB1020="",AF1020=""),"",IF(AF1020&gt;AB1020,AF1020+Variables!$B$15+Variables!$B$16+Variables!$B$17-AJ1020,AB1020+Variables!$B$16+Variables!$B$17-AJ1020))),""))</f>
        <v>15</v>
      </c>
      <c r="AL1020" s="48" t="s">
        <v>114</v>
      </c>
      <c r="AM1020" s="13" t="s">
        <v>115</v>
      </c>
      <c r="AN1020" s="13" t="s">
        <v>2298</v>
      </c>
      <c r="AP1020" s="39">
        <v>46243</v>
      </c>
      <c r="AR1020" s="13">
        <v>274624706</v>
      </c>
      <c r="AS1020" s="31">
        <v>46243</v>
      </c>
      <c r="AU1020" s="39">
        <v>46280</v>
      </c>
      <c r="AV1020" s="13" t="s">
        <v>865</v>
      </c>
      <c r="AW1020" s="39">
        <v>46280</v>
      </c>
      <c r="AX1020" s="13" t="str">
        <f>IF(ISNUMBER(SEARCH("cancel",#REF!)),"Cancelled",IF(AND(AS1020&lt;&gt;"",AU1020&lt;&gt;"",AW1020&lt;&gt;""),"Closed","Open"))</f>
        <v>Closed</v>
      </c>
      <c r="AY1020" s="15" t="str">
        <f t="shared" si="46"/>
        <v>All dates received</v>
      </c>
      <c r="AZ1020" s="13" t="s">
        <v>3047</v>
      </c>
      <c r="BA1020" s="13" t="s">
        <v>3051</v>
      </c>
      <c r="BB1020" s="13" t="s">
        <v>3052</v>
      </c>
      <c r="BC1020" s="13" t="s">
        <v>3292</v>
      </c>
      <c r="BD1020" s="13">
        <f>IF($AX1020="Cancelled","",IFERROR(IF(OR(AS1020="",AJ1020=""),"",(AJ1020+Variables!$B$18-AS1020)),""))</f>
        <v>4</v>
      </c>
      <c r="BE1020" s="13">
        <f>IF($AX1020="Cancelled","",IFERROR(IF(OR(AW1020="",AS1020=""),"",(AS1020+Variables!$B$19)-AW1020),""))</f>
        <v>-32</v>
      </c>
      <c r="BF1020" s="44">
        <f>IF($AX1020="Cancelled","",IFERROR(W1020*INDEX(Variables!$B$7:$D$7,IFERROR(MATCH(IF($B1020="Robusta","Robusta",(IF($B1020="","Arabica",$B1020))&amp;" - "&amp;(IF($C1020="","Commercial",$C1020))),Variables!$B$1:$D$1,0),1))*(BE1020/365),""))</f>
        <v>-876.89720135064886</v>
      </c>
      <c r="BG1020" s="44">
        <f>IF($AX1020="Cancelled","",IFERROR((W1020*INDEX(Variables!$B$7:$D$7,IFERROR(MATCH(IF($B1020="Robusta","Robusta",(IF($B1020="","Arabica",$B1020))&amp;" - "&amp;(IF($C1020="","Commercial",$C1020))),Variables!$B$1:$D$1,0),1))*IFERROR(IF(AB1020="","",(AVERAGE(E1020:F1020)-AB1020)-Variables!$B$14),"")/365)+(L1020/16.67*INDEX(Variables!$B$8:$D$8,IFERROR(MATCH(IF($B1020="Robusta","Robusta",(IF($B1020="","Arabica",$B1020))&amp;" - "&amp;(IF($C1020="","Commercial",$C1020))),Variables!$B$1:$D$1,0),1))*IFERROR(IF(AB1020="","",(AVERAGE(E1020:F1020)-AB1020)-Variables!$B$14),""))+(W1020*INDEX(Variables!$B$9:$D$9,IFERROR(MATCH(IF($B1020="Robusta","Robusta",(IF($B1020="","Arabica",$B1020))&amp;" - "&amp;(IF($C1020="","Commercial",$C1020))),Variables!$B$1:$D$1,0),1))*IFERROR(IF(AB1020="","",(AVERAGE(E1020:F1020)-AB1020)-Variables!$B$14),"")/365),""))</f>
        <v>183.02526232126002</v>
      </c>
      <c r="BH1020" s="44">
        <f>IF($AX1020="Cancelled","",IFERROR((W1020*INDEX(Variables!$B$7:$D$7,IFERROR(MATCH(IF($B1020="Robusta","Robusta",(IF($B1020="","Arabica",$B1020))&amp;" - "&amp;(IF($C1020="","Commercial",$C1020))),Variables!$B$1:$D$1,0),1))*AK1020/365)+(L1020/16.67*INDEX(Variables!$B$8:$D$8,IFERROR(MATCH(IF($B1020="Robusta","Robusta",(IF($B1020="","Arabica",$B1020))&amp;" - "&amp;(IF($C1020="","Commercial",$C1020))),Variables!$B$1:$D$1,0),1))*AK1020)+(W1020*INDEX(Variables!$B$9:$D$9,IFERROR(MATCH(IF($B1020="Robusta","Robusta",(IF($B1020="","Arabica",$B1020))&amp;" - "&amp;(IF($C1020="","Commercial",$C1020))),Variables!$B$1:$D$1,0),1))*AK1020/365),""))</f>
        <v>686.34473370472506</v>
      </c>
      <c r="BI1020" s="44">
        <f>IF($AX1020="Cancelled","",IFERROR((W1020*INDEX(Variables!$B$7:$D$7,IFERROR(MATCH(IF($B1020="Robusta","Robusta",(IF($B1020="","Arabica",$B1020))&amp;" - "&amp;(IF($C1020="","Commercial",$C1020))),Variables!$B$1:$D$1,0),1))*BD1020/365)+(L1020/16.67*INDEX(Variables!$B$8:$D$8,IFERROR(MATCH(IF($B1020="Robusta","Robusta",(IF($B1020="","Arabica",$B1020))&amp;" - "&amp;(IF($C1020="","Commercial",$C1020))),Variables!$B$1:$D$1,0),1))*BD1020)+(W1020*INDEX(Variables!$B$9:$D$9,IFERROR(MATCH(IF($B1020="Robusta","Robusta",(IF($B1020="","Arabica",$B1020))&amp;" - "&amp;(IF($C1020="","Commercial",$C1020))),Variables!$B$1:$D$1,0),1))*BD1020/365),""))</f>
        <v>183.02526232126002</v>
      </c>
      <c r="BJ1020" s="44">
        <f t="shared" si="48"/>
        <v>-9</v>
      </c>
      <c r="BK1020" s="44">
        <f>IF($AX1020="Cancelled","",IFERROR(IF(BJ1020="","",(W1020*INDEX(Variables!$B$7:$D$7,IFERROR(MATCH(IF($B1020="Robusta","Robusta",(IF($B1020="","Arabica",$B1020))&amp;" - "&amp;(IF($C1020="","Commercial",$C1020))),Variables!$B$1:$D$1,0),1))*(BJ1020/365))+(W1020*INDEX(Variables!$B$9:$D$9,IFERROR(MATCH(IF($B1020="Robusta","Robusta",(IF($B1020="","Arabica",$B1020))&amp;" - "&amp;(IF($C1020="","Commercial",$C1020))),Variables!$B$1:$D$1,0),1))*(BJ1020/365))+(INDEX(Variables!$B$8:$D$8,IFERROR(MATCH(IF($B1020="Robusta","Robusta",(IF($B1020="","Arabica",$B1020))&amp;" - "&amp;(IF($C1020="","Commercial",$C1020))),Variables!$B$1:$D$1,0),1))*L1020/16.67)),""))</f>
        <v>-231.80684022283495</v>
      </c>
    </row>
    <row r="1021" spans="1:63">
      <c r="A1021" s="13" t="s">
        <v>103</v>
      </c>
      <c r="B1021" s="13" t="s">
        <v>104</v>
      </c>
      <c r="C1021" s="13" t="s">
        <v>105</v>
      </c>
      <c r="D1021" s="31">
        <v>46098</v>
      </c>
      <c r="E1021" s="31">
        <v>46204</v>
      </c>
      <c r="F1021" s="31">
        <v>46234</v>
      </c>
      <c r="G1021" s="13">
        <v>3787441</v>
      </c>
      <c r="J1021" s="13" t="s">
        <v>118</v>
      </c>
      <c r="K1021" s="13">
        <v>5592</v>
      </c>
      <c r="L1021" s="13">
        <v>360</v>
      </c>
      <c r="M1021" s="13">
        <v>1</v>
      </c>
      <c r="N1021" s="13" t="s">
        <v>2573</v>
      </c>
      <c r="O1021" s="13" t="s">
        <v>1205</v>
      </c>
      <c r="P1021" s="13">
        <v>10045</v>
      </c>
      <c r="Q1021" s="13" t="s">
        <v>745</v>
      </c>
      <c r="R1021" s="13" t="s">
        <v>122</v>
      </c>
      <c r="S1021" s="13" t="s">
        <v>816</v>
      </c>
      <c r="T1021" s="13" t="s">
        <v>817</v>
      </c>
      <c r="U1021" s="13" t="s">
        <v>125</v>
      </c>
      <c r="V1021" s="23">
        <v>35</v>
      </c>
      <c r="W1021" s="44">
        <f>IF($AX1021="Cancelled","",IFERROR(((V1021+INDEX(Variables!$B$6:$D$6,IFERROR(MATCH(IF($B1021="Robusta","Robusta",(IF($B1021="","Arabica",$B1021))&amp;" - "&amp;(IF($C1021="","Commercial",$C1021))),Variables!$B$1:$D$1,0),1)))*22.0462)*(L1021/16.67),""))</f>
        <v>155114.25948410318</v>
      </c>
      <c r="X1021" s="55" t="s">
        <v>37</v>
      </c>
      <c r="Y1021" s="13" t="str">
        <f>IF($AX1021="Cancelled","",IF(X1021="","",IFERROR(IF(INDEX(Variables!$B$38:$B$47,MATCH(X1021,Variables!$A$38:$A$47,0))="Yes","Yes","No"),"No")))</f>
        <v>Yes</v>
      </c>
      <c r="Z1021" s="58">
        <v>46177</v>
      </c>
      <c r="AB1021" s="31">
        <v>46185</v>
      </c>
      <c r="AC1021" s="13" t="str">
        <f t="shared" si="47"/>
        <v>Approved</v>
      </c>
      <c r="AF1021" s="71">
        <v>46232</v>
      </c>
      <c r="AG1021" s="37">
        <f>IF($AX1021="Cancelled","",IFERROR(IF(F1021="","",F1021-Variables!$B$13),""))</f>
        <v>46219</v>
      </c>
      <c r="AH1021" s="13">
        <f>IF($AX1021="Cancelled","",IFERROR(IF(AB1021="","",(AVERAGE(E1021:F1021)-AB1021)-Variables!$B$14),""))</f>
        <v>4</v>
      </c>
      <c r="AJ1021" s="47">
        <v>46232</v>
      </c>
      <c r="AK1021" s="14">
        <f>IF($AX1021="Cancelled","",IFERROR(IF(AJ1021="","",IF(AND(AB1021="",AF1021=""),"",IF(AF1021&gt;AB1021,AF1021+Variables!$B$15+Variables!$B$16+Variables!$B$17-AJ1021,AB1021+Variables!$B$16+Variables!$B$17-AJ1021))),""))</f>
        <v>15</v>
      </c>
      <c r="AL1021" s="48" t="s">
        <v>114</v>
      </c>
      <c r="AM1021" s="13" t="s">
        <v>115</v>
      </c>
      <c r="AN1021" s="13" t="s">
        <v>2298</v>
      </c>
      <c r="AP1021" s="39">
        <v>46243</v>
      </c>
      <c r="AR1021" s="13">
        <v>274624706</v>
      </c>
      <c r="AS1021" s="31">
        <v>46249</v>
      </c>
      <c r="AU1021" s="39">
        <v>46280</v>
      </c>
      <c r="AV1021" s="13" t="s">
        <v>865</v>
      </c>
      <c r="AW1021" s="39">
        <v>46280</v>
      </c>
      <c r="AX1021" s="13" t="str">
        <f>IF(ISNUMBER(SEARCH("cancel",#REF!)),"Cancelled",IF(AND(AS1021&lt;&gt;"",AU1021&lt;&gt;"",AW1021&lt;&gt;""),"Closed","Open"))</f>
        <v>Closed</v>
      </c>
      <c r="AY1021" s="15" t="str">
        <f t="shared" si="46"/>
        <v>All dates received</v>
      </c>
      <c r="AZ1021" s="13" t="s">
        <v>3047</v>
      </c>
      <c r="BA1021" s="13" t="s">
        <v>3051</v>
      </c>
      <c r="BB1021" s="13" t="s">
        <v>3052</v>
      </c>
      <c r="BC1021" s="13" t="s">
        <v>3292</v>
      </c>
      <c r="BD1021" s="13">
        <f>IF($AX1021="Cancelled","",IFERROR(IF(OR(AS1021="",AJ1021=""),"",(AJ1021+Variables!$B$18-AS1021)),""))</f>
        <v>-2</v>
      </c>
      <c r="BE1021" s="13">
        <f>IF($AX1021="Cancelled","",IFERROR(IF(OR(AW1021="",AS1021=""),"",(AS1021+Variables!$B$19)-AW1021),""))</f>
        <v>-26</v>
      </c>
      <c r="BF1021" s="44">
        <f>IF($AX1021="Cancelled","",IFERROR(W1021*INDEX(Variables!$B$7:$D$7,IFERROR(MATCH(IF($B1021="Robusta","Robusta",(IF($B1021="","Arabica",$B1021))&amp;" - "&amp;(IF($C1021="","Commercial",$C1021))),Variables!$B$1:$D$1,0),1))*(BE1021/365),""))</f>
        <v>-712.4789760974021</v>
      </c>
      <c r="BG1021" s="44">
        <f>IF($AX1021="Cancelled","",IFERROR((W1021*INDEX(Variables!$B$7:$D$7,IFERROR(MATCH(IF($B1021="Robusta","Robusta",(IF($B1021="","Arabica",$B1021))&amp;" - "&amp;(IF($C1021="","Commercial",$C1021))),Variables!$B$1:$D$1,0),1))*IFERROR(IF(AB1021="","",(AVERAGE(E1021:F1021)-AB1021)-Variables!$B$14),"")/365)+(L1021/16.67*INDEX(Variables!$B$8:$D$8,IFERROR(MATCH(IF($B1021="Robusta","Robusta",(IF($B1021="","Arabica",$B1021))&amp;" - "&amp;(IF($C1021="","Commercial",$C1021))),Variables!$B$1:$D$1,0),1))*IFERROR(IF(AB1021="","",(AVERAGE(E1021:F1021)-AB1021)-Variables!$B$14),""))+(W1021*INDEX(Variables!$B$9:$D$9,IFERROR(MATCH(IF($B1021="Robusta","Robusta",(IF($B1021="","Arabica",$B1021))&amp;" - "&amp;(IF($C1021="","Commercial",$C1021))),Variables!$B$1:$D$1,0),1))*IFERROR(IF(AB1021="","",(AVERAGE(E1021:F1021)-AB1021)-Variables!$B$14),"")/365),""))</f>
        <v>183.02526232126002</v>
      </c>
      <c r="BH1021" s="44">
        <f>IF($AX1021="Cancelled","",IFERROR((W1021*INDEX(Variables!$B$7:$D$7,IFERROR(MATCH(IF($B1021="Robusta","Robusta",(IF($B1021="","Arabica",$B1021))&amp;" - "&amp;(IF($C1021="","Commercial",$C1021))),Variables!$B$1:$D$1,0),1))*AK1021/365)+(L1021/16.67*INDEX(Variables!$B$8:$D$8,IFERROR(MATCH(IF($B1021="Robusta","Robusta",(IF($B1021="","Arabica",$B1021))&amp;" - "&amp;(IF($C1021="","Commercial",$C1021))),Variables!$B$1:$D$1,0),1))*AK1021)+(W1021*INDEX(Variables!$B$9:$D$9,IFERROR(MATCH(IF($B1021="Robusta","Robusta",(IF($B1021="","Arabica",$B1021))&amp;" - "&amp;(IF($C1021="","Commercial",$C1021))),Variables!$B$1:$D$1,0),1))*AK1021/365),""))</f>
        <v>686.34473370472506</v>
      </c>
      <c r="BI1021" s="44">
        <f>IF($AX1021="Cancelled","",IFERROR((W1021*INDEX(Variables!$B$7:$D$7,IFERROR(MATCH(IF($B1021="Robusta","Robusta",(IF($B1021="","Arabica",$B1021))&amp;" - "&amp;(IF($C1021="","Commercial",$C1021))),Variables!$B$1:$D$1,0),1))*BD1021/365)+(L1021/16.67*INDEX(Variables!$B$8:$D$8,IFERROR(MATCH(IF($B1021="Robusta","Robusta",(IF($B1021="","Arabica",$B1021))&amp;" - "&amp;(IF($C1021="","Commercial",$C1021))),Variables!$B$1:$D$1,0),1))*BD1021)+(W1021*INDEX(Variables!$B$9:$D$9,IFERROR(MATCH(IF($B1021="Robusta","Robusta",(IF($B1021="","Arabica",$B1021))&amp;" - "&amp;(IF($C1021="","Commercial",$C1021))),Variables!$B$1:$D$1,0),1))*BD1021/365),""))</f>
        <v>-91.512631160630008</v>
      </c>
      <c r="BJ1021" s="44">
        <f t="shared" si="48"/>
        <v>-15</v>
      </c>
      <c r="BK1021" s="44">
        <f>IF($AX1021="Cancelled","",IFERROR(IF(BJ1021="","",(W1021*INDEX(Variables!$B$7:$D$7,IFERROR(MATCH(IF($B1021="Robusta","Robusta",(IF($B1021="","Arabica",$B1021))&amp;" - "&amp;(IF($C1021="","Commercial",$C1021))),Variables!$B$1:$D$1,0),1))*(BJ1021/365))+(W1021*INDEX(Variables!$B$9:$D$9,IFERROR(MATCH(IF($B1021="Robusta","Robusta",(IF($B1021="","Arabica",$B1021))&amp;" - "&amp;(IF($C1021="","Commercial",$C1021))),Variables!$B$1:$D$1,0),1))*(BJ1021/365))+(INDEX(Variables!$B$8:$D$8,IFERROR(MATCH(IF($B1021="Robusta","Robusta",(IF($B1021="","Arabica",$B1021))&amp;" - "&amp;(IF($C1021="","Commercial",$C1021))),Variables!$B$1:$D$1,0),1))*L1021/16.67)),""))</f>
        <v>-398.34473370472489</v>
      </c>
    </row>
    <row r="1022" spans="1:63">
      <c r="A1022" s="13" t="s">
        <v>103</v>
      </c>
      <c r="B1022" s="13" t="s">
        <v>104</v>
      </c>
      <c r="C1022" s="13" t="s">
        <v>105</v>
      </c>
      <c r="D1022" s="31">
        <v>46098</v>
      </c>
      <c r="E1022" s="31">
        <v>46235</v>
      </c>
      <c r="F1022" s="31">
        <v>46265</v>
      </c>
      <c r="G1022" s="13">
        <v>3787442</v>
      </c>
      <c r="J1022" s="13" t="s">
        <v>118</v>
      </c>
      <c r="K1022" s="13">
        <v>5611</v>
      </c>
      <c r="L1022" s="13">
        <v>720</v>
      </c>
      <c r="M1022" s="13">
        <v>2</v>
      </c>
      <c r="N1022" s="13" t="s">
        <v>2573</v>
      </c>
      <c r="O1022" s="13" t="s">
        <v>1205</v>
      </c>
      <c r="P1022" s="13">
        <v>10045</v>
      </c>
      <c r="Q1022" s="13" t="s">
        <v>745</v>
      </c>
      <c r="R1022" s="13" t="s">
        <v>122</v>
      </c>
      <c r="S1022" s="13" t="s">
        <v>816</v>
      </c>
      <c r="T1022" s="13" t="s">
        <v>817</v>
      </c>
      <c r="U1022" s="13" t="s">
        <v>125</v>
      </c>
      <c r="V1022" s="23">
        <v>35</v>
      </c>
      <c r="W1022" s="44">
        <f>IF($AX1022="Cancelled","",IFERROR(((V1022+INDEX(Variables!$B$6:$D$6,IFERROR(MATCH(IF($B1022="Robusta","Robusta",(IF($B1022="","Arabica",$B1022))&amp;" - "&amp;(IF($C1022="","Commercial",$C1022))),Variables!$B$1:$D$1,0),1)))*22.0462)*(L1022/16.67),""))</f>
        <v>310228.51896820636</v>
      </c>
      <c r="X1022" s="55" t="s">
        <v>37</v>
      </c>
      <c r="Y1022" s="13" t="str">
        <f>IF($AX1022="Cancelled","",IF(X1022="","",IFERROR(IF(INDEX(Variables!$B$38:$B$47,MATCH(X1022,Variables!$A$38:$A$47,0))="Yes","Yes","No"),"No")))</f>
        <v>Yes</v>
      </c>
      <c r="Z1022" s="58">
        <v>46217</v>
      </c>
      <c r="AB1022" s="31">
        <v>46231</v>
      </c>
      <c r="AC1022" s="13" t="str">
        <f t="shared" si="47"/>
        <v>Approved</v>
      </c>
      <c r="AF1022" s="71">
        <v>46245</v>
      </c>
      <c r="AG1022" s="37">
        <f>IF($AX1022="Cancelled","",IFERROR(IF(F1022="","",F1022-Variables!$B$13),""))</f>
        <v>46250</v>
      </c>
      <c r="AH1022" s="13">
        <f>IF($AX1022="Cancelled","",IFERROR(IF(AB1022="","",(AVERAGE(E1022:F1022)-AB1022)-Variables!$B$14),""))</f>
        <v>-11</v>
      </c>
      <c r="AJ1022" s="47">
        <v>46248</v>
      </c>
      <c r="AK1022" s="14">
        <f>IF($AX1022="Cancelled","",IFERROR(IF(AJ1022="","",IF(AND(AB1022="",AF1022=""),"",IF(AF1022&gt;AB1022,AF1022+Variables!$B$15+Variables!$B$16+Variables!$B$17-AJ1022,AB1022+Variables!$B$16+Variables!$B$17-AJ1022))),""))</f>
        <v>12</v>
      </c>
      <c r="AL1022" s="48" t="s">
        <v>114</v>
      </c>
      <c r="AM1022" s="13" t="s">
        <v>115</v>
      </c>
      <c r="AN1022" s="13" t="s">
        <v>2574</v>
      </c>
      <c r="AP1022" s="39">
        <v>46257</v>
      </c>
      <c r="AR1022" s="13">
        <v>275408242</v>
      </c>
      <c r="AS1022" s="31">
        <v>46257</v>
      </c>
      <c r="AU1022" s="39">
        <v>46286</v>
      </c>
      <c r="AV1022" s="13" t="s">
        <v>865</v>
      </c>
      <c r="AW1022" s="39">
        <v>46286</v>
      </c>
      <c r="AX1022" s="13" t="str">
        <f>IF(ISNUMBER(SEARCH("cancel",#REF!)),"Cancelled",IF(AND(AS1022&lt;&gt;"",AU1022&lt;&gt;"",AW1022&lt;&gt;""),"Closed","Open"))</f>
        <v>Closed</v>
      </c>
      <c r="AY1022" s="15" t="str">
        <f t="shared" si="46"/>
        <v>All dates received</v>
      </c>
      <c r="BD1022" s="13">
        <f>IF($AX1022="Cancelled","",IFERROR(IF(OR(AS1022="",AJ1022=""),"",(AJ1022+Variables!$B$18-AS1022)),""))</f>
        <v>6</v>
      </c>
      <c r="BE1022" s="13">
        <f>IF($AX1022="Cancelled","",IFERROR(IF(OR(AW1022="",AS1022=""),"",(AS1022+Variables!$B$19)-AW1022),""))</f>
        <v>-24</v>
      </c>
      <c r="BF1022" s="44">
        <f>IF($AX1022="Cancelled","",IFERROR(W1022*INDEX(Variables!$B$7:$D$7,IFERROR(MATCH(IF($B1022="Robusta","Robusta",(IF($B1022="","Arabica",$B1022))&amp;" - "&amp;(IF($C1022="","Commercial",$C1022))),Variables!$B$1:$D$1,0),1))*(BE1022/365),""))</f>
        <v>-1315.3458020259732</v>
      </c>
      <c r="BG1022" s="44">
        <f>IF($AX1022="Cancelled","",IFERROR((W1022*INDEX(Variables!$B$7:$D$7,IFERROR(MATCH(IF($B1022="Robusta","Robusta",(IF($B1022="","Arabica",$B1022))&amp;" - "&amp;(IF($C1022="","Commercial",$C1022))),Variables!$B$1:$D$1,0),1))*IFERROR(IF(AB1022="","",(AVERAGE(E1022:F1022)-AB1022)-Variables!$B$14),"")/365)+(L1022/16.67*INDEX(Variables!$B$8:$D$8,IFERROR(MATCH(IF($B1022="Robusta","Robusta",(IF($B1022="","Arabica",$B1022))&amp;" - "&amp;(IF($C1022="","Commercial",$C1022))),Variables!$B$1:$D$1,0),1))*IFERROR(IF(AB1022="","",(AVERAGE(E1022:F1022)-AB1022)-Variables!$B$14),""))+(W1022*INDEX(Variables!$B$9:$D$9,IFERROR(MATCH(IF($B1022="Robusta","Robusta",(IF($B1022="","Arabica",$B1022))&amp;" - "&amp;(IF($C1022="","Commercial",$C1022))),Variables!$B$1:$D$1,0),1))*IFERROR(IF(AB1022="","",(AVERAGE(E1022:F1022)-AB1022)-Variables!$B$14),"")/365),""))</f>
        <v>-1006.63894276693</v>
      </c>
      <c r="BH1022" s="44">
        <f>IF($AX1022="Cancelled","",IFERROR((W1022*INDEX(Variables!$B$7:$D$7,IFERROR(MATCH(IF($B1022="Robusta","Robusta",(IF($B1022="","Arabica",$B1022))&amp;" - "&amp;(IF($C1022="","Commercial",$C1022))),Variables!$B$1:$D$1,0),1))*AK1022/365)+(L1022/16.67*INDEX(Variables!$B$8:$D$8,IFERROR(MATCH(IF($B1022="Robusta","Robusta",(IF($B1022="","Arabica",$B1022))&amp;" - "&amp;(IF($C1022="","Commercial",$C1022))),Variables!$B$1:$D$1,0),1))*AK1022)+(W1022*INDEX(Variables!$B$9:$D$9,IFERROR(MATCH(IF($B1022="Robusta","Robusta",(IF($B1022="","Arabica",$B1022))&amp;" - "&amp;(IF($C1022="","Commercial",$C1022))),Variables!$B$1:$D$1,0),1))*AK1022/365),""))</f>
        <v>1098.1515739275599</v>
      </c>
      <c r="BI1022" s="44">
        <f>IF($AX1022="Cancelled","",IFERROR((W1022*INDEX(Variables!$B$7:$D$7,IFERROR(MATCH(IF($B1022="Robusta","Robusta",(IF($B1022="","Arabica",$B1022))&amp;" - "&amp;(IF($C1022="","Commercial",$C1022))),Variables!$B$1:$D$1,0),1))*BD1022/365)+(L1022/16.67*INDEX(Variables!$B$8:$D$8,IFERROR(MATCH(IF($B1022="Robusta","Robusta",(IF($B1022="","Arabica",$B1022))&amp;" - "&amp;(IF($C1022="","Commercial",$C1022))),Variables!$B$1:$D$1,0),1))*BD1022)+(W1022*INDEX(Variables!$B$9:$D$9,IFERROR(MATCH(IF($B1022="Robusta","Robusta",(IF($B1022="","Arabica",$B1022))&amp;" - "&amp;(IF($C1022="","Commercial",$C1022))),Variables!$B$1:$D$1,0),1))*BD1022/365),""))</f>
        <v>549.07578696377993</v>
      </c>
      <c r="BJ1022" s="44">
        <f t="shared" si="48"/>
        <v>8</v>
      </c>
      <c r="BK1022" s="44">
        <f>IF($AX1022="Cancelled","",IFERROR(IF(BJ1022="","",(W1022*INDEX(Variables!$B$7:$D$7,IFERROR(MATCH(IF($B1022="Robusta","Robusta",(IF($B1022="","Arabica",$B1022))&amp;" - "&amp;(IF($C1022="","Commercial",$C1022))),Variables!$B$1:$D$1,0),1))*(BJ1022/365))+(W1022*INDEX(Variables!$B$9:$D$9,IFERROR(MATCH(IF($B1022="Robusta","Robusta",(IF($B1022="","Arabica",$B1022))&amp;" - "&amp;(IF($C1022="","Commercial",$C1022))),Variables!$B$1:$D$1,0),1))*(BJ1022/365))+(INDEX(Variables!$B$8:$D$8,IFERROR(MATCH(IF($B1022="Robusta","Robusta",(IF($B1022="","Arabica",$B1022))&amp;" - "&amp;(IF($C1022="","Commercial",$C1022))),Variables!$B$1:$D$1,0),1))*L1022/16.67)),""))</f>
        <v>480.10104928503995</v>
      </c>
    </row>
    <row r="1023" spans="1:63" s="33" customFormat="1">
      <c r="A1023" s="33" t="s">
        <v>103</v>
      </c>
      <c r="B1023" s="13" t="s">
        <v>104</v>
      </c>
      <c r="C1023" s="13" t="s">
        <v>105</v>
      </c>
      <c r="D1023" s="31">
        <v>46098</v>
      </c>
      <c r="E1023" s="31">
        <v>46266</v>
      </c>
      <c r="F1023" s="31">
        <v>46295</v>
      </c>
      <c r="G1023" s="33">
        <v>3787443</v>
      </c>
      <c r="H1023" s="13"/>
      <c r="I1023" s="13"/>
      <c r="J1023" s="13" t="s">
        <v>118</v>
      </c>
      <c r="K1023" s="13">
        <v>5627</v>
      </c>
      <c r="L1023" s="13">
        <v>720</v>
      </c>
      <c r="M1023" s="13">
        <v>2</v>
      </c>
      <c r="N1023" s="13" t="s">
        <v>2575</v>
      </c>
      <c r="O1023" s="13" t="s">
        <v>1205</v>
      </c>
      <c r="P1023" s="13">
        <v>10045</v>
      </c>
      <c r="Q1023" s="13" t="s">
        <v>1461</v>
      </c>
      <c r="R1023" s="13" t="s">
        <v>122</v>
      </c>
      <c r="S1023" s="13" t="s">
        <v>816</v>
      </c>
      <c r="T1023" s="13" t="s">
        <v>817</v>
      </c>
      <c r="U1023" s="13" t="s">
        <v>125</v>
      </c>
      <c r="V1023" s="23">
        <v>35</v>
      </c>
      <c r="W1023" s="44">
        <f>IF($AX1023="Cancelled","",IFERROR(((V1023+INDEX(Variables!$B$6:$D$6,IFERROR(MATCH(IF($B1023="Robusta","Robusta",(IF($B1023="","Arabica",$B1023))&amp;" - "&amp;(IF($C1023="","Commercial",$C1023))),Variables!$B$1:$D$1,0),1)))*22.0462)*(L1023/16.67),""))</f>
        <v>310228.51896820636</v>
      </c>
      <c r="X1023" s="55" t="s">
        <v>37</v>
      </c>
      <c r="Y1023" s="13" t="str">
        <f>IF($AX1023="Cancelled","",IF(X1023="","",IFERROR(IF(INDEX(Variables!$B$38:$B$47,MATCH(X1023,Variables!$A$38:$A$47,0))="Yes","Yes","No"),"No")))</f>
        <v>Yes</v>
      </c>
      <c r="Z1023" s="58">
        <v>46227</v>
      </c>
      <c r="AA1023" s="13"/>
      <c r="AB1023" s="31">
        <v>46234</v>
      </c>
      <c r="AC1023" s="13" t="str">
        <f t="shared" si="47"/>
        <v>Approved</v>
      </c>
      <c r="AD1023" s="31">
        <v>46226</v>
      </c>
      <c r="AE1023" s="31"/>
      <c r="AF1023" s="71">
        <v>46260</v>
      </c>
      <c r="AG1023" s="37">
        <f>IF($AX1023="Cancelled","",IFERROR(IF(F1023="","",F1023-Variables!$B$13),""))</f>
        <v>46280</v>
      </c>
      <c r="AH1023" s="13">
        <f>IF($AX1023="Cancelled","",IFERROR(IF(AB1023="","",(AVERAGE(E1023:F1023)-AB1023)-Variables!$B$14),""))</f>
        <v>16.5</v>
      </c>
      <c r="AI1023" s="13"/>
      <c r="AJ1023" s="47">
        <v>46262</v>
      </c>
      <c r="AK1023" s="14">
        <f>IF($AX1023="Cancelled","",IFERROR(IF(AJ1023="","",IF(AND(AB1023="",AF1023=""),"",IF(AF1023&gt;AB1023,AF1023+Variables!$B$15+Variables!$B$16+Variables!$B$17-AJ1023,AB1023+Variables!$B$16+Variables!$B$17-AJ1023))),""))</f>
        <v>13</v>
      </c>
      <c r="AL1023" s="48" t="s">
        <v>114</v>
      </c>
      <c r="AM1023" s="33" t="s">
        <v>115</v>
      </c>
      <c r="AN1023" s="33" t="s">
        <v>2576</v>
      </c>
      <c r="AO1023" s="39">
        <v>46269</v>
      </c>
      <c r="AP1023" s="39">
        <v>46276</v>
      </c>
      <c r="AQ1023" s="39">
        <v>46336</v>
      </c>
      <c r="AR1023" s="33">
        <v>275929376</v>
      </c>
      <c r="AS1023" s="40">
        <v>46276</v>
      </c>
      <c r="AT1023" s="40"/>
      <c r="AU1023" s="39">
        <v>46290</v>
      </c>
      <c r="AV1023" s="33" t="s">
        <v>865</v>
      </c>
      <c r="AW1023" s="39">
        <v>46290</v>
      </c>
      <c r="AX1023" s="33" t="str">
        <f>IF(ISNUMBER(SEARCH("cancel",#REF!)),"Cancelled",IF(AND(AS1023&lt;&gt;"",AU1023&lt;&gt;"",AW1023&lt;&gt;""),"Closed","Open"))</f>
        <v>Closed</v>
      </c>
      <c r="AY1023" s="15" t="str">
        <f t="shared" si="46"/>
        <v>All dates received</v>
      </c>
      <c r="BD1023" s="33">
        <f>IF($AX1023="Cancelled","",IFERROR(IF(OR(AS1023="",AJ1023=""),"",(AJ1023+Variables!$B$18-AS1023)),""))</f>
        <v>1</v>
      </c>
      <c r="BE1023" s="33">
        <f>IF($AX1023="Cancelled","",IFERROR(IF(OR(AW1023="",AS1023=""),"",(AS1023+Variables!$B$19)-AW1023),""))</f>
        <v>-9</v>
      </c>
      <c r="BF1023" s="43">
        <f>IF($AX1023="Cancelled","",IFERROR(W1023*INDEX(Variables!$B$7:$D$7,IFERROR(MATCH(IF($B1023="Robusta","Robusta",(IF($B1023="","Arabica",$B1023))&amp;" - "&amp;(IF($C1023="","Commercial",$C1023))),Variables!$B$1:$D$1,0),1))*(BE1023/365),""))</f>
        <v>-493.25467575973994</v>
      </c>
      <c r="BG1023" s="43">
        <f>IF($AX1023="Cancelled","",IFERROR((W1023*INDEX(Variables!$B$7:$D$7,IFERROR(MATCH(IF($B1023="Robusta","Robusta",(IF($B1023="","Arabica",$B1023))&amp;" - "&amp;(IF($C1023="","Commercial",$C1023))),Variables!$B$1:$D$1,0),1))*IFERROR(IF(AB1023="","",(AVERAGE(E1023:F1023)-AB1023)-Variables!$B$14),"")/365)+(L1023/16.67*INDEX(Variables!$B$8:$D$8,IFERROR(MATCH(IF($B1023="Robusta","Robusta",(IF($B1023="","Arabica",$B1023))&amp;" - "&amp;(IF($C1023="","Commercial",$C1023))),Variables!$B$1:$D$1,0),1))*IFERROR(IF(AB1023="","",(AVERAGE(E1023:F1023)-AB1023)-Variables!$B$14),""))+(W1023*INDEX(Variables!$B$9:$D$9,IFERROR(MATCH(IF($B1023="Robusta","Robusta",(IF($B1023="","Arabica",$B1023))&amp;" - "&amp;(IF($C1023="","Commercial",$C1023))),Variables!$B$1:$D$1,0),1))*IFERROR(IF(AB1023="","",(AVERAGE(E1023:F1023)-AB1023)-Variables!$B$14),"")/365),""))</f>
        <v>1509.9584141503949</v>
      </c>
      <c r="BH1023" s="43">
        <f>IF($AX1023="Cancelled","",IFERROR((W1023*INDEX(Variables!$B$7:$D$7,IFERROR(MATCH(IF($B1023="Robusta","Robusta",(IF($B1023="","Arabica",$B1023))&amp;" - "&amp;(IF($C1023="","Commercial",$C1023))),Variables!$B$1:$D$1,0),1))*AK1023/365)+(L1023/16.67*INDEX(Variables!$B$8:$D$8,IFERROR(MATCH(IF($B1023="Robusta","Robusta",(IF($B1023="","Arabica",$B1023))&amp;" - "&amp;(IF($C1023="","Commercial",$C1023))),Variables!$B$1:$D$1,0),1))*AK1023)+(W1023*INDEX(Variables!$B$9:$D$9,IFERROR(MATCH(IF($B1023="Robusta","Robusta",(IF($B1023="","Arabica",$B1023))&amp;" - "&amp;(IF($C1023="","Commercial",$C1023))),Variables!$B$1:$D$1,0),1))*AK1023/365),""))</f>
        <v>1189.6642050881899</v>
      </c>
      <c r="BI1023" s="43">
        <f>IF($AX1023="Cancelled","",IFERROR((W1023*INDEX(Variables!$B$7:$D$7,IFERROR(MATCH(IF($B1023="Robusta","Robusta",(IF($B1023="","Arabica",$B1023))&amp;" - "&amp;(IF($C1023="","Commercial",$C1023))),Variables!$B$1:$D$1,0),1))*BD1023/365)+(L1023/16.67*INDEX(Variables!$B$8:$D$8,IFERROR(MATCH(IF($B1023="Robusta","Robusta",(IF($B1023="","Arabica",$B1023))&amp;" - "&amp;(IF($C1023="","Commercial",$C1023))),Variables!$B$1:$D$1,0),1))*BD1023)+(W1023*INDEX(Variables!$B$9:$D$9,IFERROR(MATCH(IF($B1023="Robusta","Robusta",(IF($B1023="","Arabica",$B1023))&amp;" - "&amp;(IF($C1023="","Commercial",$C1023))),Variables!$B$1:$D$1,0),1))*BD1023/365),""))</f>
        <v>91.512631160630008</v>
      </c>
      <c r="BJ1023" s="43">
        <f t="shared" si="48"/>
        <v>19</v>
      </c>
      <c r="BK1023" s="43">
        <f>IF($AX1023="Cancelled","",IFERROR(IF(BJ1023="","",(W1023*INDEX(Variables!$B$7:$D$7,IFERROR(MATCH(IF($B1023="Robusta","Robusta",(IF($B1023="","Arabica",$B1023))&amp;" - "&amp;(IF($C1023="","Commercial",$C1023))),Variables!$B$1:$D$1,0),1))*(BJ1023/365))+(W1023*INDEX(Variables!$B$9:$D$9,IFERROR(MATCH(IF($B1023="Robusta","Robusta",(IF($B1023="","Arabica",$B1023))&amp;" - "&amp;(IF($C1023="","Commercial",$C1023))),Variables!$B$1:$D$1,0),1))*(BJ1023/365))+(INDEX(Variables!$B$8:$D$8,IFERROR(MATCH(IF($B1023="Robusta","Robusta",(IF($B1023="","Arabica",$B1023))&amp;" - "&amp;(IF($C1023="","Commercial",$C1023))),Variables!$B$1:$D$1,0),1))*L1023/16.67)),""))</f>
        <v>1090.7399920519699</v>
      </c>
    </row>
    <row r="1024" spans="1:63" s="33" customFormat="1">
      <c r="A1024" s="33" t="s">
        <v>103</v>
      </c>
      <c r="B1024" s="13" t="s">
        <v>104</v>
      </c>
      <c r="C1024" s="13" t="s">
        <v>105</v>
      </c>
      <c r="D1024" s="31">
        <v>46098</v>
      </c>
      <c r="E1024" s="31">
        <v>46266</v>
      </c>
      <c r="F1024" s="31">
        <v>46295</v>
      </c>
      <c r="G1024" s="33">
        <v>3787444</v>
      </c>
      <c r="H1024" s="13"/>
      <c r="I1024" s="13"/>
      <c r="J1024" s="13" t="s">
        <v>118</v>
      </c>
      <c r="K1024" s="13">
        <v>5643</v>
      </c>
      <c r="L1024" s="13">
        <v>720</v>
      </c>
      <c r="M1024" s="13">
        <v>2</v>
      </c>
      <c r="N1024" s="13" t="s">
        <v>2575</v>
      </c>
      <c r="O1024" s="13" t="s">
        <v>1205</v>
      </c>
      <c r="P1024" s="13">
        <v>10045</v>
      </c>
      <c r="Q1024" s="13" t="s">
        <v>1461</v>
      </c>
      <c r="R1024" s="13" t="s">
        <v>122</v>
      </c>
      <c r="S1024" s="13" t="s">
        <v>816</v>
      </c>
      <c r="T1024" s="13" t="s">
        <v>817</v>
      </c>
      <c r="U1024" s="13" t="s">
        <v>125</v>
      </c>
      <c r="V1024" s="23">
        <v>35</v>
      </c>
      <c r="W1024" s="44">
        <f>IF($AX1024="Cancelled","",IFERROR(((V1024+INDEX(Variables!$B$6:$D$6,IFERROR(MATCH(IF($B1024="Robusta","Robusta",(IF($B1024="","Arabica",$B1024))&amp;" - "&amp;(IF($C1024="","Commercial",$C1024))),Variables!$B$1:$D$1,0),1)))*22.0462)*(L1024/16.67),""))</f>
        <v>310228.51896820636</v>
      </c>
      <c r="X1024" s="55" t="s">
        <v>37</v>
      </c>
      <c r="Y1024" s="13" t="str">
        <f>IF($AX1024="Cancelled","",IF(X1024="","",IFERROR(IF(INDEX(Variables!$B$38:$B$47,MATCH(X1024,Variables!$A$38:$A$47,0))="Yes","Yes","No"),"No")))</f>
        <v>Yes</v>
      </c>
      <c r="Z1024" s="58">
        <v>46255</v>
      </c>
      <c r="AA1024" s="13"/>
      <c r="AB1024" s="31">
        <v>46261</v>
      </c>
      <c r="AC1024" s="13" t="str">
        <f t="shared" si="47"/>
        <v>Approved</v>
      </c>
      <c r="AD1024" s="31">
        <v>46252</v>
      </c>
      <c r="AE1024" s="31"/>
      <c r="AF1024" s="71">
        <v>46275</v>
      </c>
      <c r="AG1024" s="37">
        <f>IF($AX1024="Cancelled","",IFERROR(IF(F1024="","",F1024-Variables!$B$13),""))</f>
        <v>46280</v>
      </c>
      <c r="AH1024" s="13">
        <f>IF($AX1024="Cancelled","",IFERROR(IF(AB1024="","",(AVERAGE(E1024:F1024)-AB1024)-Variables!$B$14),""))</f>
        <v>-10.5</v>
      </c>
      <c r="AI1024" s="13"/>
      <c r="AJ1024" s="47">
        <v>46279</v>
      </c>
      <c r="AK1024" s="14">
        <f>IF($AX1024="Cancelled","",IFERROR(IF(AJ1024="","",IF(AND(AB1024="",AF1024=""),"",IF(AF1024&gt;AB1024,AF1024+Variables!$B$15+Variables!$B$16+Variables!$B$17-AJ1024,AB1024+Variables!$B$16+Variables!$B$17-AJ1024))),""))</f>
        <v>11</v>
      </c>
      <c r="AL1024" s="48" t="s">
        <v>114</v>
      </c>
      <c r="AM1024" s="33" t="s">
        <v>115</v>
      </c>
      <c r="AN1024" s="33" t="s">
        <v>2577</v>
      </c>
      <c r="AO1024" s="39">
        <v>46282</v>
      </c>
      <c r="AP1024" s="39">
        <v>46289</v>
      </c>
      <c r="AQ1024" s="39">
        <v>46336</v>
      </c>
      <c r="AR1024" s="33">
        <v>276580871</v>
      </c>
      <c r="AS1024" s="39">
        <v>46289</v>
      </c>
      <c r="AT1024" s="39"/>
      <c r="AU1024" s="39">
        <v>46310</v>
      </c>
      <c r="AV1024" s="33" t="s">
        <v>865</v>
      </c>
      <c r="AW1024" s="39">
        <v>46303</v>
      </c>
      <c r="AX1024" s="33" t="str">
        <f>IF(ISNUMBER(SEARCH("cancel",#REF!)),"Cancelled",IF(AND(AS1024&lt;&gt;"",AU1024&lt;&gt;"",AW1024&lt;&gt;""),"Closed","Open"))</f>
        <v>Closed</v>
      </c>
      <c r="AY1024" s="15" t="str">
        <f t="shared" si="46"/>
        <v>All dates received</v>
      </c>
      <c r="BD1024" s="33">
        <f>IF($AX1024="Cancelled","",IFERROR(IF(OR(AS1024="",AJ1024=""),"",(AJ1024+Variables!$B$18-AS1024)),""))</f>
        <v>5</v>
      </c>
      <c r="BE1024" s="33">
        <f>IF($AX1024="Cancelled","",IFERROR(IF(OR(AW1024="",AS1024=""),"",(AS1024+Variables!$B$19)-AW1024),""))</f>
        <v>-9</v>
      </c>
      <c r="BF1024" s="43">
        <f>IF($AX1024="Cancelled","",IFERROR(W1024*INDEX(Variables!$B$7:$D$7,IFERROR(MATCH(IF($B1024="Robusta","Robusta",(IF($B1024="","Arabica",$B1024))&amp;" - "&amp;(IF($C1024="","Commercial",$C1024))),Variables!$B$1:$D$1,0),1))*(BE1024/365),""))</f>
        <v>-493.25467575973994</v>
      </c>
      <c r="BG1024" s="43">
        <f>IF($AX1024="Cancelled","",IFERROR((W1024*INDEX(Variables!$B$7:$D$7,IFERROR(MATCH(IF($B1024="Robusta","Robusta",(IF($B1024="","Arabica",$B1024))&amp;" - "&amp;(IF($C1024="","Commercial",$C1024))),Variables!$B$1:$D$1,0),1))*IFERROR(IF(AB1024="","",(AVERAGE(E1024:F1024)-AB1024)-Variables!$B$14),"")/365)+(L1024/16.67*INDEX(Variables!$B$8:$D$8,IFERROR(MATCH(IF($B1024="Robusta","Robusta",(IF($B1024="","Arabica",$B1024))&amp;" - "&amp;(IF($C1024="","Commercial",$C1024))),Variables!$B$1:$D$1,0),1))*IFERROR(IF(AB1024="","",(AVERAGE(E1024:F1024)-AB1024)-Variables!$B$14),""))+(W1024*INDEX(Variables!$B$9:$D$9,IFERROR(MATCH(IF($B1024="Robusta","Robusta",(IF($B1024="","Arabica",$B1024))&amp;" - "&amp;(IF($C1024="","Commercial",$C1024))),Variables!$B$1:$D$1,0),1))*IFERROR(IF(AB1024="","",(AVERAGE(E1024:F1024)-AB1024)-Variables!$B$14),"")/365),""))</f>
        <v>-960.88262718661497</v>
      </c>
      <c r="BH1024" s="43">
        <f>IF($AX1024="Cancelled","",IFERROR((W1024*INDEX(Variables!$B$7:$D$7,IFERROR(MATCH(IF($B1024="Robusta","Robusta",(IF($B1024="","Arabica",$B1024))&amp;" - "&amp;(IF($C1024="","Commercial",$C1024))),Variables!$B$1:$D$1,0),1))*AK1024/365)+(L1024/16.67*INDEX(Variables!$B$8:$D$8,IFERROR(MATCH(IF($B1024="Robusta","Robusta",(IF($B1024="","Arabica",$B1024))&amp;" - "&amp;(IF($C1024="","Commercial",$C1024))),Variables!$B$1:$D$1,0),1))*AK1024)+(W1024*INDEX(Variables!$B$9:$D$9,IFERROR(MATCH(IF($B1024="Robusta","Robusta",(IF($B1024="","Arabica",$B1024))&amp;" - "&amp;(IF($C1024="","Commercial",$C1024))),Variables!$B$1:$D$1,0),1))*AK1024/365),""))</f>
        <v>1006.63894276693</v>
      </c>
      <c r="BI1024" s="43">
        <f>IF($AX1024="Cancelled","",IFERROR((W1024*INDEX(Variables!$B$7:$D$7,IFERROR(MATCH(IF($B1024="Robusta","Robusta",(IF($B1024="","Arabica",$B1024))&amp;" - "&amp;(IF($C1024="","Commercial",$C1024))),Variables!$B$1:$D$1,0),1))*BD1024/365)+(L1024/16.67*INDEX(Variables!$B$8:$D$8,IFERROR(MATCH(IF($B1024="Robusta","Robusta",(IF($B1024="","Arabica",$B1024))&amp;" - "&amp;(IF($C1024="","Commercial",$C1024))),Variables!$B$1:$D$1,0),1))*BD1024)+(W1024*INDEX(Variables!$B$9:$D$9,IFERROR(MATCH(IF($B1024="Robusta","Robusta",(IF($B1024="","Arabica",$B1024))&amp;" - "&amp;(IF($C1024="","Commercial",$C1024))),Variables!$B$1:$D$1,0),1))*BD1024/365),""))</f>
        <v>457.56315580314998</v>
      </c>
      <c r="BJ1024" s="43">
        <f t="shared" si="48"/>
        <v>6</v>
      </c>
      <c r="BK1024" s="43">
        <f>IF($AX1024="Cancelled","",IFERROR(IF(BJ1024="","",(W1024*INDEX(Variables!$B$7:$D$7,IFERROR(MATCH(IF($B1024="Robusta","Robusta",(IF($B1024="","Arabica",$B1024))&amp;" - "&amp;(IF($C1024="","Commercial",$C1024))),Variables!$B$1:$D$1,0),1))*(BJ1024/365))+(W1024*INDEX(Variables!$B$9:$D$9,IFERROR(MATCH(IF($B1024="Robusta","Robusta",(IF($B1024="","Arabica",$B1024))&amp;" - "&amp;(IF($C1024="","Commercial",$C1024))),Variables!$B$1:$D$1,0),1))*(BJ1024/365))+(INDEX(Variables!$B$8:$D$8,IFERROR(MATCH(IF($B1024="Robusta","Robusta",(IF($B1024="","Arabica",$B1024))&amp;" - "&amp;(IF($C1024="","Commercial",$C1024))),Variables!$B$1:$D$1,0),1))*L1024/16.67)),""))</f>
        <v>369.07578696377993</v>
      </c>
    </row>
    <row r="1025" spans="1:63">
      <c r="A1025" s="13" t="s">
        <v>103</v>
      </c>
      <c r="B1025" s="13" t="s">
        <v>104</v>
      </c>
      <c r="C1025" s="13" t="s">
        <v>105</v>
      </c>
      <c r="D1025" s="31">
        <v>46099</v>
      </c>
      <c r="E1025" s="31">
        <v>46204</v>
      </c>
      <c r="F1025" s="31">
        <v>46234</v>
      </c>
      <c r="G1025" s="13">
        <v>3787445</v>
      </c>
      <c r="J1025" s="13" t="s">
        <v>506</v>
      </c>
      <c r="K1025" s="13">
        <v>5591</v>
      </c>
      <c r="L1025" s="13">
        <v>320</v>
      </c>
      <c r="M1025" s="13">
        <v>1</v>
      </c>
      <c r="N1025" s="13" t="s">
        <v>2578</v>
      </c>
      <c r="O1025" s="13" t="s">
        <v>120</v>
      </c>
      <c r="P1025" s="13">
        <v>10070</v>
      </c>
      <c r="R1025" s="13" t="s">
        <v>239</v>
      </c>
      <c r="S1025" s="13" t="s">
        <v>509</v>
      </c>
      <c r="T1025" s="13" t="s">
        <v>329</v>
      </c>
      <c r="U1025" s="13" t="s">
        <v>330</v>
      </c>
      <c r="V1025" s="23">
        <v>32</v>
      </c>
      <c r="W1025" s="44">
        <f>IF($AX1025="Cancelled","",IFERROR(((V1025+INDEX(Variables!$B$6:$D$6,IFERROR(MATCH(IF($B1025="Robusta","Robusta",(IF($B1025="","Arabica",$B1025))&amp;" - "&amp;(IF($C1025="","Commercial",$C1025))),Variables!$B$1:$D$1,0),1)))*22.0462)*(L1025/16.67),""))</f>
        <v>136609.73456508698</v>
      </c>
      <c r="X1025" s="55" t="s">
        <v>37</v>
      </c>
      <c r="Y1025" s="13" t="str">
        <f>IF($AX1025="Cancelled","",IF(X1025="","",IFERROR(IF(INDEX(Variables!$B$38:$B$47,MATCH(X1025,Variables!$A$38:$A$47,0))="Yes","Yes","No"),"No")))</f>
        <v>Yes</v>
      </c>
      <c r="Z1025" s="58">
        <v>46177</v>
      </c>
      <c r="AB1025" s="31">
        <v>46184</v>
      </c>
      <c r="AC1025" s="13" t="str">
        <f t="shared" si="47"/>
        <v>Approved</v>
      </c>
      <c r="AF1025" s="71">
        <v>46233</v>
      </c>
      <c r="AG1025" s="37">
        <f>IF($AX1025="Cancelled","",IFERROR(IF(F1025="","",F1025-Variables!$B$13),""))</f>
        <v>46219</v>
      </c>
      <c r="AH1025" s="13">
        <f>IF($AX1025="Cancelled","",IFERROR(IF(AB1025="","",(AVERAGE(E1025:F1025)-AB1025)-Variables!$B$14),""))</f>
        <v>5</v>
      </c>
      <c r="AJ1025" s="47">
        <v>46244</v>
      </c>
      <c r="AK1025" s="14">
        <f>IF($AX1025="Cancelled","",IFERROR(IF(AJ1025="","",IF(AND(AB1025="",AF1025=""),"",IF(AF1025&gt;AB1025,AF1025+Variables!$B$15+Variables!$B$16+Variables!$B$17-AJ1025,AB1025+Variables!$B$16+Variables!$B$17-AJ1025))),""))</f>
        <v>4</v>
      </c>
      <c r="AL1025" s="48" t="s">
        <v>114</v>
      </c>
      <c r="AM1025" s="13" t="s">
        <v>115</v>
      </c>
      <c r="AN1025" s="13" t="s">
        <v>2579</v>
      </c>
      <c r="AP1025" s="39">
        <v>46252</v>
      </c>
      <c r="AR1025" s="13">
        <v>274568698</v>
      </c>
      <c r="AS1025" s="31">
        <v>46252</v>
      </c>
      <c r="AU1025" s="39">
        <v>46274</v>
      </c>
      <c r="AV1025" s="13" t="s">
        <v>865</v>
      </c>
      <c r="AW1025" s="39">
        <v>46274</v>
      </c>
      <c r="AX1025" s="13" t="str">
        <f>IF(ISNUMBER(SEARCH("cancel",#REF!)),"Cancelled",IF(AND(AS1025&lt;&gt;"",AU1025&lt;&gt;"",AW1025&lt;&gt;""),"Closed","Open"))</f>
        <v>Closed</v>
      </c>
      <c r="AY1025" s="15" t="str">
        <f t="shared" ref="AY1025:AY1085" si="49">IF($AX1025="Cancelled","",IF(AND(AS1025&lt;&gt;"",AU1025&lt;&gt;"",AW1025&lt;&gt;""),"All dates received",_xlfn.TEXTJOIN(" and ",TRUE(),IF(AS1025="","No sailing date",""),IF(AU1025="","No shipping advice sent",""),IF(AW1025="","No docs dispatch date",""))))</f>
        <v>All dates received</v>
      </c>
      <c r="AZ1025" s="13" t="s">
        <v>3047</v>
      </c>
      <c r="BA1025" s="13" t="s">
        <v>3051</v>
      </c>
      <c r="BB1025" s="13" t="s">
        <v>3052</v>
      </c>
      <c r="BC1025" s="13" t="s">
        <v>3292</v>
      </c>
      <c r="BD1025" s="13">
        <f>IF($AX1025="Cancelled","",IFERROR(IF(OR(AS1025="",AJ1025=""),"",(AJ1025+Variables!$B$18-AS1025)),""))</f>
        <v>7</v>
      </c>
      <c r="BE1025" s="13">
        <f>IF($AX1025="Cancelled","",IFERROR(IF(OR(AW1025="",AS1025=""),"",(AS1025+Variables!$B$19)-AW1025),""))</f>
        <v>-17</v>
      </c>
      <c r="BF1025" s="44">
        <f>IF($AX1025="Cancelled","",IFERROR(W1025*INDEX(Variables!$B$7:$D$7,IFERROR(MATCH(IF($B1025="Robusta","Robusta",(IF($B1025="","Arabica",$B1025))&amp;" - "&amp;(IF($C1025="","Commercial",$C1025))),Variables!$B$1:$D$1,0),1))*(BE1025/365),""))</f>
        <v>-410.27735847928352</v>
      </c>
      <c r="BG1025" s="44">
        <f>IF($AX1025="Cancelled","",IFERROR((W1025*INDEX(Variables!$B$7:$D$7,IFERROR(MATCH(IF($B1025="Robusta","Robusta",(IF($B1025="","Arabica",$B1025))&amp;" - "&amp;(IF($C1025="","Commercial",$C1025))),Variables!$B$1:$D$1,0),1))*IFERROR(IF(AB1025="","",(AVERAGE(E1025:F1025)-AB1025)-Variables!$B$14),"")/365)+(L1025/16.67*INDEX(Variables!$B$8:$D$8,IFERROR(MATCH(IF($B1025="Robusta","Robusta",(IF($B1025="","Arabica",$B1025))&amp;" - "&amp;(IF($C1025="","Commercial",$C1025))),Variables!$B$1:$D$1,0),1))*IFERROR(IF(AB1025="","",(AVERAGE(E1025:F1025)-AB1025)-Variables!$B$14),""))+(W1025*INDEX(Variables!$B$9:$D$9,IFERROR(MATCH(IF($B1025="Robusta","Robusta",(IF($B1025="","Arabica",$B1025))&amp;" - "&amp;(IF($C1025="","Commercial",$C1025))),Variables!$B$1:$D$1,0),1))*IFERROR(IF(AB1025="","",(AVERAGE(E1025:F1025)-AB1025)-Variables!$B$14),"")/365),""))</f>
        <v>202.22547806187407</v>
      </c>
      <c r="BH1025" s="44">
        <f>IF($AX1025="Cancelled","",IFERROR((W1025*INDEX(Variables!$B$7:$D$7,IFERROR(MATCH(IF($B1025="Robusta","Robusta",(IF($B1025="","Arabica",$B1025))&amp;" - "&amp;(IF($C1025="","Commercial",$C1025))),Variables!$B$1:$D$1,0),1))*AK1025/365)+(L1025/16.67*INDEX(Variables!$B$8:$D$8,IFERROR(MATCH(IF($B1025="Robusta","Robusta",(IF($B1025="","Arabica",$B1025))&amp;" - "&amp;(IF($C1025="","Commercial",$C1025))),Variables!$B$1:$D$1,0),1))*AK1025)+(W1025*INDEX(Variables!$B$9:$D$9,IFERROR(MATCH(IF($B1025="Robusta","Robusta",(IF($B1025="","Arabica",$B1025))&amp;" - "&amp;(IF($C1025="","Commercial",$C1025))),Variables!$B$1:$D$1,0),1))*AK1025/365),""))</f>
        <v>161.78038244949926</v>
      </c>
      <c r="BI1025" s="44">
        <f>IF($AX1025="Cancelled","",IFERROR((W1025*INDEX(Variables!$B$7:$D$7,IFERROR(MATCH(IF($B1025="Robusta","Robusta",(IF($B1025="","Arabica",$B1025))&amp;" - "&amp;(IF($C1025="","Commercial",$C1025))),Variables!$B$1:$D$1,0),1))*BD1025/365)+(L1025/16.67*INDEX(Variables!$B$8:$D$8,IFERROR(MATCH(IF($B1025="Robusta","Robusta",(IF($B1025="","Arabica",$B1025))&amp;" - "&amp;(IF($C1025="","Commercial",$C1025))),Variables!$B$1:$D$1,0),1))*BD1025)+(W1025*INDEX(Variables!$B$9:$D$9,IFERROR(MATCH(IF($B1025="Robusta","Robusta",(IF($B1025="","Arabica",$B1025))&amp;" - "&amp;(IF($C1025="","Commercial",$C1025))),Variables!$B$1:$D$1,0),1))*BD1025/365),""))</f>
        <v>283.11566928662376</v>
      </c>
      <c r="BJ1025" s="44">
        <f t="shared" si="48"/>
        <v>-18</v>
      </c>
      <c r="BK1025" s="44">
        <f>IF($AX1025="Cancelled","",IFERROR(IF(BJ1025="","",(W1025*INDEX(Variables!$B$7:$D$7,IFERROR(MATCH(IF($B1025="Robusta","Robusta",(IF($B1025="","Arabica",$B1025))&amp;" - "&amp;(IF($C1025="","Commercial",$C1025))),Variables!$B$1:$D$1,0),1))*(BJ1025/365))+(W1025*INDEX(Variables!$B$9:$D$9,IFERROR(MATCH(IF($B1025="Robusta","Robusta",(IF($B1025="","Arabica",$B1025))&amp;" - "&amp;(IF($C1025="","Commercial",$C1025))),Variables!$B$1:$D$1,0),1))*(BJ1025/365))+(INDEX(Variables!$B$8:$D$8,IFERROR(MATCH(IF($B1025="Robusta","Robusta",(IF($B1025="","Arabica",$B1025))&amp;" - "&amp;(IF($C1025="","Commercial",$C1025))),Variables!$B$1:$D$1,0),1))*L1025/16.67)),""))</f>
        <v>-424.01172102274671</v>
      </c>
    </row>
    <row r="1026" spans="1:63">
      <c r="A1026" s="13" t="s">
        <v>103</v>
      </c>
      <c r="B1026" s="13" t="s">
        <v>104</v>
      </c>
      <c r="C1026" s="13" t="s">
        <v>105</v>
      </c>
      <c r="D1026" s="31">
        <v>46099</v>
      </c>
      <c r="E1026" s="31">
        <v>46113</v>
      </c>
      <c r="F1026" s="31">
        <v>46142</v>
      </c>
      <c r="G1026" s="13">
        <v>3787446</v>
      </c>
      <c r="H1026" s="13">
        <v>5553</v>
      </c>
      <c r="J1026" s="13" t="s">
        <v>118</v>
      </c>
      <c r="K1026" s="13">
        <v>5553</v>
      </c>
      <c r="L1026" s="13">
        <v>2880</v>
      </c>
      <c r="M1026" s="13">
        <v>9</v>
      </c>
      <c r="N1026" s="13" t="s">
        <v>2094</v>
      </c>
      <c r="O1026" s="13" t="s">
        <v>2095</v>
      </c>
      <c r="P1026" s="13">
        <v>10077</v>
      </c>
      <c r="R1026" s="13" t="s">
        <v>122</v>
      </c>
      <c r="S1026" s="13" t="s">
        <v>154</v>
      </c>
      <c r="T1026" s="13" t="s">
        <v>155</v>
      </c>
      <c r="U1026" s="13" t="s">
        <v>125</v>
      </c>
      <c r="V1026" s="23">
        <v>-12</v>
      </c>
      <c r="W1026" s="44">
        <f>IF($AX1026="Cancelled","",IFERROR(((V1026+INDEX(Variables!$B$6:$D$6,IFERROR(MATCH(IF($B1026="Robusta","Robusta",(IF($B1026="","Arabica",$B1026))&amp;" - "&amp;(IF($C1026="","Commercial",$C1026))),Variables!$B$1:$D$1,0),1)))*22.0462)*(L1026/16.67),""))</f>
        <v>1061899.4608758248</v>
      </c>
      <c r="X1026" s="55" t="s">
        <v>37</v>
      </c>
      <c r="Y1026" s="13" t="str">
        <f>IF($AX1026="Cancelled","",IF(X1026="","",IFERROR(IF(INDEX(Variables!$B$38:$B$47,MATCH(X1026,Variables!$A$38:$A$47,0))="Yes","Yes","No"),"No")))</f>
        <v>Yes</v>
      </c>
      <c r="Z1026" s="58">
        <v>46164</v>
      </c>
      <c r="AB1026" s="31">
        <v>46174</v>
      </c>
      <c r="AC1026" s="13" t="str">
        <f t="shared" ref="AC1026:AC1089" si="50">IF($AX1026="Cancelled","",IF(ISNUMBER(AB1026),"Approved",""))</f>
        <v>Approved</v>
      </c>
      <c r="AF1026" s="71">
        <v>46190</v>
      </c>
      <c r="AG1026" s="37">
        <f>IF($AX1026="Cancelled","",IFERROR(IF(F1026="","",F1026-Variables!$B$13),""))</f>
        <v>46127</v>
      </c>
      <c r="AH1026" s="13">
        <f>IF($AX1026="Cancelled","",IFERROR(IF(AB1026="","",(AVERAGE(E1026:F1026)-AB1026)-Variables!$B$14),""))</f>
        <v>-76.5</v>
      </c>
      <c r="AJ1026" s="47">
        <v>46193</v>
      </c>
      <c r="AK1026" s="14">
        <f>IF($AX1026="Cancelled","",IFERROR(IF(AJ1026="","",IF(AND(AB1026="",AF1026=""),"",IF(AF1026&gt;AB1026,AF1026+Variables!$B$15+Variables!$B$16+Variables!$B$17-AJ1026,AB1026+Variables!$B$16+Variables!$B$17-AJ1026))),""))</f>
        <v>12</v>
      </c>
      <c r="AL1026" s="48" t="s">
        <v>114</v>
      </c>
      <c r="AM1026" s="13" t="s">
        <v>168</v>
      </c>
      <c r="AN1026" s="13" t="s">
        <v>2405</v>
      </c>
      <c r="AP1026" s="39">
        <v>46212</v>
      </c>
      <c r="AR1026" s="13" t="s">
        <v>2580</v>
      </c>
      <c r="AS1026" s="31">
        <v>46212</v>
      </c>
      <c r="AU1026" s="31">
        <v>46307</v>
      </c>
      <c r="AV1026" s="13" t="e">
        <v>#REF!</v>
      </c>
      <c r="AW1026" s="31">
        <v>46307</v>
      </c>
      <c r="AX1026" s="13" t="str">
        <f>IF(ISNUMBER(SEARCH("cancel",#REF!)),"Cancelled",IF(AND(AS1026&lt;&gt;"",AU1026&lt;&gt;"",AW1026&lt;&gt;""),"Closed","Open"))</f>
        <v>Closed</v>
      </c>
      <c r="AY1026" s="15" t="str">
        <f t="shared" si="49"/>
        <v>All dates received</v>
      </c>
      <c r="BD1026" s="13">
        <f>IF($AX1026="Cancelled","",IFERROR(IF(OR(AS1026="",AJ1026=""),"",(AJ1026+Variables!$B$18-AS1026)),""))</f>
        <v>-4</v>
      </c>
      <c r="BE1026" s="13">
        <f>IF($AX1026="Cancelled","",IFERROR(IF(OR(AW1026="",AS1026=""),"",(AS1026+Variables!$B$19)-AW1026),""))</f>
        <v>-90</v>
      </c>
      <c r="BF1026" s="44">
        <f>IF($AX1026="Cancelled","",IFERROR(W1026*INDEX(Variables!$B$7:$D$7,IFERROR(MATCH(IF($B1026="Robusta","Robusta",(IF($B1026="","Arabica",$B1026))&amp;" - "&amp;(IF($C1026="","Commercial",$C1026))),Variables!$B$1:$D$1,0),1))*(BE1026/365),""))</f>
        <v>-16883.904677939288</v>
      </c>
      <c r="BG1026" s="44">
        <f>IF($AX1026="Cancelled","",IFERROR((W1026*INDEX(Variables!$B$7:$D$7,IFERROR(MATCH(IF($B1026="Robusta","Robusta",(IF($B1026="","Arabica",$B1026))&amp;" - "&amp;(IF($C1026="","Commercial",$C1026))),Variables!$B$1:$D$1,0),1))*IFERROR(IF(AB1026="","",(AVERAGE(E1026:F1026)-AB1026)-Variables!$B$14),"")/365)+(L1026/16.67*INDEX(Variables!$B$8:$D$8,IFERROR(MATCH(IF($B1026="Robusta","Robusta",(IF($B1026="","Arabica",$B1026))&amp;" - "&amp;(IF($C1026="","Commercial",$C1026))),Variables!$B$1:$D$1,0),1))*IFERROR(IF(AB1026="","",(AVERAGE(E1026:F1026)-AB1026)-Variables!$B$14),""))+(W1026*INDEX(Variables!$B$9:$D$9,IFERROR(MATCH(IF($B1026="Robusta","Robusta",(IF($B1026="","Arabica",$B1026))&amp;" - "&amp;(IF($C1026="","Commercial",$C1026))),Variables!$B$1:$D$1,0),1))*IFERROR(IF(AB1026="","",(AVERAGE(E1026:F1026)-AB1026)-Variables!$B$14),"")/365),""))</f>
        <v>-25552.335173973588</v>
      </c>
      <c r="BH1026" s="44">
        <f>IF($AX1026="Cancelled","",IFERROR((W1026*INDEX(Variables!$B$7:$D$7,IFERROR(MATCH(IF($B1026="Robusta","Robusta",(IF($B1026="","Arabica",$B1026))&amp;" - "&amp;(IF($C1026="","Commercial",$C1026))),Variables!$B$1:$D$1,0),1))*AK1026/365)+(L1026/16.67*INDEX(Variables!$B$8:$D$8,IFERROR(MATCH(IF($B1026="Robusta","Robusta",(IF($B1026="","Arabica",$B1026))&amp;" - "&amp;(IF($C1026="","Commercial",$C1026))),Variables!$B$1:$D$1,0),1))*AK1026)+(W1026*INDEX(Variables!$B$9:$D$9,IFERROR(MATCH(IF($B1026="Robusta","Robusta",(IF($B1026="","Arabica",$B1026))&amp;" - "&amp;(IF($C1026="","Commercial",$C1026))),Variables!$B$1:$D$1,0),1))*AK1026/365),""))</f>
        <v>4008.2094390546808</v>
      </c>
      <c r="BI1026" s="44">
        <f>IF($AX1026="Cancelled","",IFERROR((W1026*INDEX(Variables!$B$7:$D$7,IFERROR(MATCH(IF($B1026="Robusta","Robusta",(IF($B1026="","Arabica",$B1026))&amp;" - "&amp;(IF($C1026="","Commercial",$C1026))),Variables!$B$1:$D$1,0),1))*BD1026/365)+(L1026/16.67*INDEX(Variables!$B$8:$D$8,IFERROR(MATCH(IF($B1026="Robusta","Robusta",(IF($B1026="","Arabica",$B1026))&amp;" - "&amp;(IF($C1026="","Commercial",$C1026))),Variables!$B$1:$D$1,0),1))*BD1026)+(W1026*INDEX(Variables!$B$9:$D$9,IFERROR(MATCH(IF($B1026="Robusta","Robusta",(IF($B1026="","Arabica",$B1026))&amp;" - "&amp;(IF($C1026="","Commercial",$C1026))),Variables!$B$1:$D$1,0),1))*BD1026/365),""))</f>
        <v>-1336.0698130182268</v>
      </c>
      <c r="BJ1026" s="44">
        <f t="shared" ref="BJ1026:BJ1089" si="51">IF($AX1026="Cancelled","",IFERROR(IF(AS1026="","",F1026-AS1026),""))</f>
        <v>-70</v>
      </c>
      <c r="BK1026" s="44">
        <f>IF($AX1026="Cancelled","",IFERROR(IF(BJ1026="","",(W1026*INDEX(Variables!$B$7:$D$7,IFERROR(MATCH(IF($B1026="Robusta","Robusta",(IF($B1026="","Arabica",$B1026))&amp;" - "&amp;(IF($C1026="","Commercial",$C1026))),Variables!$B$1:$D$1,0),1))*(BJ1026/365))+(W1026*INDEX(Variables!$B$9:$D$9,IFERROR(MATCH(IF($B1026="Robusta","Robusta",(IF($B1026="","Arabica",$B1026))&amp;" - "&amp;(IF($C1026="","Commercial",$C1026))),Variables!$B$1:$D$1,0),1))*(BJ1026/365))+(INDEX(Variables!$B$8:$D$8,IFERROR(MATCH(IF($B1026="Robusta","Robusta",(IF($B1026="","Arabica",$B1026))&amp;" - "&amp;(IF($C1026="","Commercial",$C1026))),Variables!$B$1:$D$1,0),1))*L1026/16.67)),""))</f>
        <v>-13157.221727818966</v>
      </c>
    </row>
    <row r="1027" spans="1:63">
      <c r="A1027" s="13" t="s">
        <v>103</v>
      </c>
      <c r="B1027" s="13" t="s">
        <v>104</v>
      </c>
      <c r="C1027" s="13" t="s">
        <v>105</v>
      </c>
      <c r="D1027" s="31">
        <v>46099</v>
      </c>
      <c r="E1027" s="31">
        <v>46113</v>
      </c>
      <c r="F1027" s="31">
        <v>46142</v>
      </c>
      <c r="G1027" s="13">
        <v>3787446</v>
      </c>
      <c r="H1027" s="13">
        <v>5553</v>
      </c>
      <c r="J1027" s="13" t="s">
        <v>118</v>
      </c>
      <c r="K1027" s="13">
        <v>5553</v>
      </c>
      <c r="L1027" s="13">
        <v>720</v>
      </c>
      <c r="M1027" s="13">
        <v>2</v>
      </c>
      <c r="N1027" s="13" t="s">
        <v>2094</v>
      </c>
      <c r="O1027" s="13" t="s">
        <v>2095</v>
      </c>
      <c r="P1027" s="13">
        <v>10077</v>
      </c>
      <c r="R1027" s="13" t="s">
        <v>122</v>
      </c>
      <c r="S1027" s="13" t="s">
        <v>154</v>
      </c>
      <c r="T1027" s="13" t="s">
        <v>155</v>
      </c>
      <c r="U1027" s="13" t="s">
        <v>125</v>
      </c>
      <c r="V1027" s="23">
        <v>-12</v>
      </c>
      <c r="W1027" s="44">
        <f>IF($AX1027="Cancelled","",IFERROR(((V1027+INDEX(Variables!$B$6:$D$6,IFERROR(MATCH(IF($B1027="Robusta","Robusta",(IF($B1027="","Arabica",$B1027))&amp;" - "&amp;(IF($C1027="","Commercial",$C1027))),Variables!$B$1:$D$1,0),1)))*22.0462)*(L1027/16.67),""))</f>
        <v>265474.8652189562</v>
      </c>
      <c r="X1027" s="55" t="s">
        <v>37</v>
      </c>
      <c r="Y1027" s="13" t="str">
        <f>IF($AX1027="Cancelled","",IF(X1027="","",IFERROR(IF(INDEX(Variables!$B$38:$B$47,MATCH(X1027,Variables!$A$38:$A$47,0))="Yes","Yes","No"),"No")))</f>
        <v>Yes</v>
      </c>
      <c r="Z1027" s="58">
        <v>46164</v>
      </c>
      <c r="AB1027" s="31">
        <v>46174</v>
      </c>
      <c r="AC1027" s="13" t="str">
        <f t="shared" si="50"/>
        <v>Approved</v>
      </c>
      <c r="AF1027" s="71">
        <v>46190</v>
      </c>
      <c r="AG1027" s="37">
        <f>IF($AX1027="Cancelled","",IFERROR(IF(F1027="","",F1027-Variables!$B$13),""))</f>
        <v>46127</v>
      </c>
      <c r="AH1027" s="13">
        <f>IF($AX1027="Cancelled","",IFERROR(IF(AB1027="","",(AVERAGE(E1027:F1027)-AB1027)-Variables!$B$14),""))</f>
        <v>-76.5</v>
      </c>
      <c r="AJ1027" s="47">
        <v>46200</v>
      </c>
      <c r="AK1027" s="14">
        <f>IF($AX1027="Cancelled","",IFERROR(IF(AJ1027="","",IF(AND(AB1027="",AF1027=""),"",IF(AF1027&gt;AB1027,AF1027+Variables!$B$15+Variables!$B$16+Variables!$B$17-AJ1027,AB1027+Variables!$B$16+Variables!$B$17-AJ1027))),""))</f>
        <v>5</v>
      </c>
      <c r="AL1027" s="48" t="s">
        <v>114</v>
      </c>
      <c r="AM1027" s="13" t="s">
        <v>168</v>
      </c>
      <c r="AN1027" s="13" t="s">
        <v>2405</v>
      </c>
      <c r="AP1027" s="39">
        <v>46212</v>
      </c>
      <c r="AR1027" s="13" t="s">
        <v>2580</v>
      </c>
      <c r="AS1027" s="31">
        <v>46212</v>
      </c>
      <c r="AU1027" s="31">
        <v>46309</v>
      </c>
      <c r="AV1027" s="13" t="e">
        <v>#REF!</v>
      </c>
      <c r="AW1027" s="31">
        <v>46309</v>
      </c>
      <c r="AX1027" s="13" t="str">
        <f>IF(ISNUMBER(SEARCH("cancel",#REF!)),"Cancelled",IF(AND(AS1027&lt;&gt;"",AU1027&lt;&gt;"",AW1027&lt;&gt;""),"Closed","Open"))</f>
        <v>Closed</v>
      </c>
      <c r="AY1027" s="15" t="str">
        <f t="shared" si="49"/>
        <v>All dates received</v>
      </c>
      <c r="BD1027" s="13">
        <f>IF($AX1027="Cancelled","",IFERROR(IF(OR(AS1027="",AJ1027=""),"",(AJ1027+Variables!$B$18-AS1027)),""))</f>
        <v>3</v>
      </c>
      <c r="BE1027" s="13">
        <f>IF($AX1027="Cancelled","",IFERROR(IF(OR(AW1027="",AS1027=""),"",(AS1027+Variables!$B$19)-AW1027),""))</f>
        <v>-92</v>
      </c>
      <c r="BF1027" s="44">
        <f>IF($AX1027="Cancelled","",IFERROR(W1027*INDEX(Variables!$B$7:$D$7,IFERROR(MATCH(IF($B1027="Robusta","Robusta",(IF($B1027="","Arabica",$B1027))&amp;" - "&amp;(IF($C1027="","Commercial",$C1027))),Variables!$B$1:$D$1,0),1))*(BE1027/365),""))</f>
        <v>-4314.7756399178188</v>
      </c>
      <c r="BG1027" s="44">
        <f>IF($AX1027="Cancelled","",IFERROR((W1027*INDEX(Variables!$B$7:$D$7,IFERROR(MATCH(IF($B1027="Robusta","Robusta",(IF($B1027="","Arabica",$B1027))&amp;" - "&amp;(IF($C1027="","Commercial",$C1027))),Variables!$B$1:$D$1,0),1))*IFERROR(IF(AB1027="","",(AVERAGE(E1027:F1027)-AB1027)-Variables!$B$14),"")/365)+(L1027/16.67*INDEX(Variables!$B$8:$D$8,IFERROR(MATCH(IF($B1027="Robusta","Robusta",(IF($B1027="","Arabica",$B1027))&amp;" - "&amp;(IF($C1027="","Commercial",$C1027))),Variables!$B$1:$D$1,0),1))*IFERROR(IF(AB1027="","",(AVERAGE(E1027:F1027)-AB1027)-Variables!$B$14),""))+(W1027*INDEX(Variables!$B$9:$D$9,IFERROR(MATCH(IF($B1027="Robusta","Robusta",(IF($B1027="","Arabica",$B1027))&amp;" - "&amp;(IF($C1027="","Commercial",$C1027))),Variables!$B$1:$D$1,0),1))*IFERROR(IF(AB1027="","",(AVERAGE(E1027:F1027)-AB1027)-Variables!$B$14),"")/365),""))</f>
        <v>-6388.083793493397</v>
      </c>
      <c r="BH1027" s="44">
        <f>IF($AX1027="Cancelled","",IFERROR((W1027*INDEX(Variables!$B$7:$D$7,IFERROR(MATCH(IF($B1027="Robusta","Robusta",(IF($B1027="","Arabica",$B1027))&amp;" - "&amp;(IF($C1027="","Commercial",$C1027))),Variables!$B$1:$D$1,0),1))*AK1027/365)+(L1027/16.67*INDEX(Variables!$B$8:$D$8,IFERROR(MATCH(IF($B1027="Robusta","Robusta",(IF($B1027="","Arabica",$B1027))&amp;" - "&amp;(IF($C1027="","Commercial",$C1027))),Variables!$B$1:$D$1,0),1))*AK1027)+(W1027*INDEX(Variables!$B$9:$D$9,IFERROR(MATCH(IF($B1027="Robusta","Robusta",(IF($B1027="","Arabica",$B1027))&amp;" - "&amp;(IF($C1027="","Commercial",$C1027))),Variables!$B$1:$D$1,0),1))*AK1027/365),""))</f>
        <v>417.52181656819585</v>
      </c>
      <c r="BI1027" s="44">
        <f>IF($AX1027="Cancelled","",IFERROR((W1027*INDEX(Variables!$B$7:$D$7,IFERROR(MATCH(IF($B1027="Robusta","Robusta",(IF($B1027="","Arabica",$B1027))&amp;" - "&amp;(IF($C1027="","Commercial",$C1027))),Variables!$B$1:$D$1,0),1))*BD1027/365)+(L1027/16.67*INDEX(Variables!$B$8:$D$8,IFERROR(MATCH(IF($B1027="Robusta","Robusta",(IF($B1027="","Arabica",$B1027))&amp;" - "&amp;(IF($C1027="","Commercial",$C1027))),Variables!$B$1:$D$1,0),1))*BD1027)+(W1027*INDEX(Variables!$B$9:$D$9,IFERROR(MATCH(IF($B1027="Robusta","Robusta",(IF($B1027="","Arabica",$B1027))&amp;" - "&amp;(IF($C1027="","Commercial",$C1027))),Variables!$B$1:$D$1,0),1))*BD1027/365),""))</f>
        <v>250.51308994091755</v>
      </c>
      <c r="BJ1027" s="44">
        <f t="shared" si="51"/>
        <v>-70</v>
      </c>
      <c r="BK1027" s="44">
        <f>IF($AX1027="Cancelled","",IFERROR(IF(BJ1027="","",(W1027*INDEX(Variables!$B$7:$D$7,IFERROR(MATCH(IF($B1027="Robusta","Robusta",(IF($B1027="","Arabica",$B1027))&amp;" - "&amp;(IF($C1027="","Commercial",$C1027))),Variables!$B$1:$D$1,0),1))*(BJ1027/365))+(W1027*INDEX(Variables!$B$9:$D$9,IFERROR(MATCH(IF($B1027="Robusta","Robusta",(IF($B1027="","Arabica",$B1027))&amp;" - "&amp;(IF($C1027="","Commercial",$C1027))),Variables!$B$1:$D$1,0),1))*(BJ1027/365))+(INDEX(Variables!$B$8:$D$8,IFERROR(MATCH(IF($B1027="Robusta","Robusta",(IF($B1027="","Arabica",$B1027))&amp;" - "&amp;(IF($C1027="","Commercial",$C1027))),Variables!$B$1:$D$1,0),1))*L1027/16.67)),""))</f>
        <v>-3289.3054319547414</v>
      </c>
    </row>
    <row r="1028" spans="1:63">
      <c r="A1028" s="13" t="s">
        <v>103</v>
      </c>
      <c r="B1028" s="13" t="s">
        <v>104</v>
      </c>
      <c r="C1028" s="13" t="s">
        <v>292</v>
      </c>
      <c r="D1028" s="31">
        <v>46099</v>
      </c>
      <c r="E1028" s="31">
        <v>46113</v>
      </c>
      <c r="F1028" s="31">
        <v>46142</v>
      </c>
      <c r="G1028" s="13">
        <v>3787447</v>
      </c>
      <c r="J1028" s="13" t="s">
        <v>294</v>
      </c>
      <c r="K1028" s="13" t="s">
        <v>2581</v>
      </c>
      <c r="L1028" s="13">
        <v>25</v>
      </c>
      <c r="M1028" s="13">
        <v>1</v>
      </c>
      <c r="N1028" s="13" t="s">
        <v>2582</v>
      </c>
      <c r="O1028" s="13" t="s">
        <v>297</v>
      </c>
      <c r="P1028" s="13">
        <v>10020</v>
      </c>
      <c r="R1028" s="13" t="s">
        <v>384</v>
      </c>
      <c r="S1028" s="13" t="s">
        <v>299</v>
      </c>
      <c r="T1028" s="13" t="s">
        <v>305</v>
      </c>
      <c r="U1028" s="13" t="s">
        <v>125</v>
      </c>
      <c r="V1028" s="23">
        <v>190</v>
      </c>
      <c r="W1028" s="44">
        <f>IF($AX1028="Cancelled","",IFERROR(((V1028+INDEX(Variables!$B$6:$D$6,IFERROR(MATCH(IF($B1028="Robusta","Robusta",(IF($B1028="","Arabica",$B1028))&amp;" - "&amp;(IF($C1028="","Commercial",$C1028))),Variables!$B$1:$D$1,0),1)))*22.0462)*(L1028/16.67),""))</f>
        <v>15896.540131973601</v>
      </c>
      <c r="Y1028" s="13" t="str">
        <f>IF($AX1028="Cancelled","",IF(X1028="","",IFERROR(IF(INDEX(Variables!$B$38:$B$47,MATCH(X1028,Variables!$A$38:$A$47,0))="Yes","Yes","No"),"No")))</f>
        <v/>
      </c>
      <c r="Z1028" s="31"/>
      <c r="AC1028" s="13" t="str">
        <f t="shared" si="50"/>
        <v/>
      </c>
      <c r="AF1028" s="71">
        <v>46134</v>
      </c>
      <c r="AG1028" s="37">
        <f>IF($AX1028="Cancelled","",IFERROR(IF(F1028="","",F1028-Variables!$B$13),""))</f>
        <v>46127</v>
      </c>
      <c r="AH1028" s="13" t="str">
        <f>IF($AX1028="Cancelled","",IFERROR(IF(AB1028="","",(AVERAGE(E1028:F1028)-AB1028)-Variables!$B$14),""))</f>
        <v/>
      </c>
      <c r="AJ1028" s="47">
        <v>46142</v>
      </c>
      <c r="AK1028" s="14">
        <f>IF($AX1028="Cancelled","",IFERROR(IF(AJ1028="","",IF(AND(AB1028="",AF1028=""),"",IF(AF1028&gt;AB1028,AF1028+Variables!$B$15+Variables!$B$16+Variables!$B$17-AJ1028,AB1028+Variables!$B$16+Variables!$B$17-AJ1028))),""))</f>
        <v>7</v>
      </c>
      <c r="AL1028" s="48" t="s">
        <v>114</v>
      </c>
      <c r="AM1028" s="13" t="s">
        <v>1526</v>
      </c>
      <c r="AN1028" s="13" t="s">
        <v>2583</v>
      </c>
      <c r="AP1028" s="39" t="e">
        <v>#N/A</v>
      </c>
      <c r="AR1028" s="13" t="s">
        <v>2584</v>
      </c>
      <c r="AS1028" s="31">
        <v>46163</v>
      </c>
      <c r="AU1028" s="31">
        <v>46191</v>
      </c>
      <c r="AV1028" s="13" t="s">
        <v>2585</v>
      </c>
      <c r="AW1028" s="31">
        <v>46308</v>
      </c>
      <c r="AX1028" s="13" t="str">
        <f>IF(ISNUMBER(SEARCH("cancel",#REF!)),"Cancelled",IF(AND(AS1028&lt;&gt;"",AU1028&lt;&gt;"",AW1028&lt;&gt;""),"Closed","Open"))</f>
        <v>Closed</v>
      </c>
      <c r="AY1028" s="15" t="str">
        <f t="shared" si="49"/>
        <v>All dates received</v>
      </c>
      <c r="BD1028" s="13">
        <f>IF($AX1028="Cancelled","",IFERROR(IF(OR(AS1028="",AJ1028=""),"",(AJ1028+Variables!$B$18-AS1028)),""))</f>
        <v>-6</v>
      </c>
      <c r="BE1028" s="13">
        <f>IF($AX1028="Cancelled","",IFERROR(IF(OR(AW1028="",AS1028=""),"",(AS1028+Variables!$B$19)-AW1028),""))</f>
        <v>-140</v>
      </c>
      <c r="BF1028" s="44">
        <f>IF($AX1028="Cancelled","",IFERROR(W1028*INDEX(Variables!$B$7:$D$7,IFERROR(MATCH(IF($B1028="Robusta","Robusta",(IF($B1028="","Arabica",$B1028))&amp;" - "&amp;(IF($C1028="","Commercial",$C1028))),Variables!$B$1:$D$1,0),1))*(BE1028/365),""))</f>
        <v>-393.1675156540075</v>
      </c>
      <c r="BG1028" s="44" t="str">
        <f>IF($AX1028="Cancelled","",IFERROR((W1028*INDEX(Variables!$B$7:$D$7,IFERROR(MATCH(IF($B1028="Robusta","Robusta",(IF($B1028="","Arabica",$B1028))&amp;" - "&amp;(IF($C1028="","Commercial",$C1028))),Variables!$B$1:$D$1,0),1))*IFERROR(IF(AB1028="","",(AVERAGE(E1028:F1028)-AB1028)-Variables!$B$14),"")/365)+(L1028/16.67*INDEX(Variables!$B$8:$D$8,IFERROR(MATCH(IF($B1028="Robusta","Robusta",(IF($B1028="","Arabica",$B1028))&amp;" - "&amp;(IF($C1028="","Commercial",$C1028))),Variables!$B$1:$D$1,0),1))*IFERROR(IF(AB1028="","",(AVERAGE(E1028:F1028)-AB1028)-Variables!$B$14),""))+(W1028*INDEX(Variables!$B$9:$D$9,IFERROR(MATCH(IF($B1028="Robusta","Robusta",(IF($B1028="","Arabica",$B1028))&amp;" - "&amp;(IF($C1028="","Commercial",$C1028))),Variables!$B$1:$D$1,0),1))*IFERROR(IF(AB1028="","",(AVERAGE(E1028:F1028)-AB1028)-Variables!$B$14),"")/365),""))</f>
        <v/>
      </c>
      <c r="BH1028" s="44">
        <f>IF($AX1028="Cancelled","",IFERROR((W1028*INDEX(Variables!$B$7:$D$7,IFERROR(MATCH(IF($B1028="Robusta","Robusta",(IF($B1028="","Arabica",$B1028))&amp;" - "&amp;(IF($C1028="","Commercial",$C1028))),Variables!$B$1:$D$1,0),1))*AK1028/365)+(L1028/16.67*INDEX(Variables!$B$8:$D$8,IFERROR(MATCH(IF($B1028="Robusta","Robusta",(IF($B1028="","Arabica",$B1028))&amp;" - "&amp;(IF($C1028="","Commercial",$C1028))),Variables!$B$1:$D$1,0),1))*AK1028)+(W1028*INDEX(Variables!$B$9:$D$9,IFERROR(MATCH(IF($B1028="Robusta","Robusta",(IF($B1028="","Arabica",$B1028))&amp;" - "&amp;(IF($C1028="","Commercial",$C1028))),Variables!$B$1:$D$1,0),1))*AK1028/365),""))</f>
        <v>28.661810184568779</v>
      </c>
      <c r="BI1028" s="44">
        <f>IF($AX1028="Cancelled","",IFERROR((W1028*INDEX(Variables!$B$7:$D$7,IFERROR(MATCH(IF($B1028="Robusta","Robusta",(IF($B1028="","Arabica",$B1028))&amp;" - "&amp;(IF($C1028="","Commercial",$C1028))),Variables!$B$1:$D$1,0),1))*BD1028/365)+(L1028/16.67*INDEX(Variables!$B$8:$D$8,IFERROR(MATCH(IF($B1028="Robusta","Robusta",(IF($B1028="","Arabica",$B1028))&amp;" - "&amp;(IF($C1028="","Commercial",$C1028))),Variables!$B$1:$D$1,0),1))*BD1028)+(W1028*INDEX(Variables!$B$9:$D$9,IFERROR(MATCH(IF($B1028="Robusta","Robusta",(IF($B1028="","Arabica",$B1028))&amp;" - "&amp;(IF($C1028="","Commercial",$C1028))),Variables!$B$1:$D$1,0),1))*BD1028/365),""))</f>
        <v>-24.567265872487528</v>
      </c>
      <c r="BJ1028" s="44">
        <f t="shared" si="51"/>
        <v>-21</v>
      </c>
      <c r="BK1028" s="44">
        <f>IF($AX1028="Cancelled","",IFERROR(IF(BJ1028="","",(W1028*INDEX(Variables!$B$7:$D$7,IFERROR(MATCH(IF($B1028="Robusta","Robusta",(IF($B1028="","Arabica",$B1028))&amp;" - "&amp;(IF($C1028="","Commercial",$C1028))),Variables!$B$1:$D$1,0),1))*(BJ1028/365))+(W1028*INDEX(Variables!$B$9:$D$9,IFERROR(MATCH(IF($B1028="Robusta","Robusta",(IF($B1028="","Arabica",$B1028))&amp;" - "&amp;(IF($C1028="","Commercial",$C1028))),Variables!$B$1:$D$1,0),1))*(BJ1028/365))+(INDEX(Variables!$B$8:$D$8,IFERROR(MATCH(IF($B1028="Robusta","Robusta",(IF($B1028="","Arabica",$B1028))&amp;" - "&amp;(IF($C1028="","Commercial",$C1028))),Variables!$B$1:$D$1,0),1))*L1028/16.67)),""))</f>
        <v>-58.485430553706344</v>
      </c>
    </row>
    <row r="1029" spans="1:63">
      <c r="A1029" s="13" t="s">
        <v>103</v>
      </c>
      <c r="B1029" s="13" t="s">
        <v>104</v>
      </c>
      <c r="C1029" s="13" t="s">
        <v>292</v>
      </c>
      <c r="D1029" s="31">
        <v>46099</v>
      </c>
      <c r="E1029" s="31">
        <v>46113</v>
      </c>
      <c r="F1029" s="31">
        <v>46142</v>
      </c>
      <c r="G1029" s="13">
        <v>3787448</v>
      </c>
      <c r="J1029" s="13" t="s">
        <v>294</v>
      </c>
      <c r="K1029" s="13" t="s">
        <v>2586</v>
      </c>
      <c r="L1029" s="13">
        <v>11</v>
      </c>
      <c r="M1029" s="13">
        <v>0</v>
      </c>
      <c r="N1029" s="13" t="s">
        <v>2587</v>
      </c>
      <c r="O1029" s="13" t="s">
        <v>297</v>
      </c>
      <c r="P1029" s="13">
        <v>10020</v>
      </c>
      <c r="R1029" s="13" t="s">
        <v>384</v>
      </c>
      <c r="S1029" s="13" t="s">
        <v>299</v>
      </c>
      <c r="T1029" s="13" t="s">
        <v>305</v>
      </c>
      <c r="U1029" s="13" t="s">
        <v>125</v>
      </c>
      <c r="V1029" s="23">
        <v>180</v>
      </c>
      <c r="W1029" s="44">
        <f>IF($AX1029="Cancelled","",IFERROR(((V1029+INDEX(Variables!$B$6:$D$6,IFERROR(MATCH(IF($B1029="Robusta","Robusta",(IF($B1029="","Arabica",$B1029))&amp;" - "&amp;(IF($C1029="","Commercial",$C1029))),Variables!$B$1:$D$1,0),1)))*22.0462)*(L1029/16.67),""))</f>
        <v>6849.001833233352</v>
      </c>
      <c r="Y1029" s="13" t="str">
        <f>IF($AX1029="Cancelled","",IF(X1029="","",IFERROR(IF(INDEX(Variables!$B$38:$B$47,MATCH(X1029,Variables!$A$38:$A$47,0))="Yes","Yes","No"),"No")))</f>
        <v/>
      </c>
      <c r="Z1029" s="31"/>
      <c r="AC1029" s="13" t="str">
        <f t="shared" si="50"/>
        <v/>
      </c>
      <c r="AF1029" s="71">
        <v>46140</v>
      </c>
      <c r="AG1029" s="37">
        <f>IF($AX1029="Cancelled","",IFERROR(IF(F1029="","",F1029-Variables!$B$13),""))</f>
        <v>46127</v>
      </c>
      <c r="AH1029" s="13" t="str">
        <f>IF($AX1029="Cancelled","",IFERROR(IF(AB1029="","",(AVERAGE(E1029:F1029)-AB1029)-Variables!$B$14),""))</f>
        <v/>
      </c>
      <c r="AJ1029" s="47">
        <v>46142</v>
      </c>
      <c r="AK1029" s="14">
        <f>IF($AX1029="Cancelled","",IFERROR(IF(AJ1029="","",IF(AND(AB1029="",AF1029=""),"",IF(AF1029&gt;AB1029,AF1029+Variables!$B$15+Variables!$B$16+Variables!$B$17-AJ1029,AB1029+Variables!$B$16+Variables!$B$17-AJ1029))),""))</f>
        <v>13</v>
      </c>
      <c r="AL1029" s="48" t="s">
        <v>114</v>
      </c>
      <c r="AM1029" s="13" t="s">
        <v>1526</v>
      </c>
      <c r="AN1029" s="13" t="s">
        <v>2583</v>
      </c>
      <c r="AP1029" s="39" t="e">
        <v>#N/A</v>
      </c>
      <c r="AR1029" s="13" t="s">
        <v>2584</v>
      </c>
      <c r="AS1029" s="31">
        <v>46163</v>
      </c>
      <c r="AU1029" s="31">
        <v>46191</v>
      </c>
      <c r="AV1029" s="13" t="s">
        <v>2585</v>
      </c>
      <c r="AW1029" s="31">
        <v>46308</v>
      </c>
      <c r="AX1029" s="13" t="str">
        <f>IF(ISNUMBER(SEARCH("cancel",#REF!)),"Cancelled",IF(AND(AS1029&lt;&gt;"",AU1029&lt;&gt;"",AW1029&lt;&gt;""),"Closed","Open"))</f>
        <v>Closed</v>
      </c>
      <c r="AY1029" s="15" t="str">
        <f t="shared" si="49"/>
        <v>All dates received</v>
      </c>
      <c r="BD1029" s="13">
        <f>IF($AX1029="Cancelled","",IFERROR(IF(OR(AS1029="",AJ1029=""),"",(AJ1029+Variables!$B$18-AS1029)),""))</f>
        <v>-6</v>
      </c>
      <c r="BE1029" s="13">
        <f>IF($AX1029="Cancelled","",IFERROR(IF(OR(AW1029="",AS1029=""),"",(AS1029+Variables!$B$19)-AW1029),""))</f>
        <v>-140</v>
      </c>
      <c r="BF1029" s="44">
        <f>IF($AX1029="Cancelled","",IFERROR(W1029*INDEX(Variables!$B$7:$D$7,IFERROR(MATCH(IF($B1029="Robusta","Robusta",(IF($B1029="","Arabica",$B1029))&amp;" - "&amp;(IF($C1029="","Commercial",$C1029))),Variables!$B$1:$D$1,0),1))*(BE1029/365),""))</f>
        <v>-169.39566805898289</v>
      </c>
      <c r="BG1029" s="44" t="str">
        <f>IF($AX1029="Cancelled","",IFERROR((W1029*INDEX(Variables!$B$7:$D$7,IFERROR(MATCH(IF($B1029="Robusta","Robusta",(IF($B1029="","Arabica",$B1029))&amp;" - "&amp;(IF($C1029="","Commercial",$C1029))),Variables!$B$1:$D$1,0),1))*IFERROR(IF(AB1029="","",(AVERAGE(E1029:F1029)-AB1029)-Variables!$B$14),"")/365)+(L1029/16.67*INDEX(Variables!$B$8:$D$8,IFERROR(MATCH(IF($B1029="Robusta","Robusta",(IF($B1029="","Arabica",$B1029))&amp;" - "&amp;(IF($C1029="","Commercial",$C1029))),Variables!$B$1:$D$1,0),1))*IFERROR(IF(AB1029="","",(AVERAGE(E1029:F1029)-AB1029)-Variables!$B$14),""))+(W1029*INDEX(Variables!$B$9:$D$9,IFERROR(MATCH(IF($B1029="Robusta","Robusta",(IF($B1029="","Arabica",$B1029))&amp;" - "&amp;(IF($C1029="","Commercial",$C1029))),Variables!$B$1:$D$1,0),1))*IFERROR(IF(AB1029="","",(AVERAGE(E1029:F1029)-AB1029)-Variables!$B$14),"")/365),""))</f>
        <v/>
      </c>
      <c r="BH1029" s="44">
        <f>IF($AX1029="Cancelled","",IFERROR((W1029*INDEX(Variables!$B$7:$D$7,IFERROR(MATCH(IF($B1029="Robusta","Robusta",(IF($B1029="","Arabica",$B1029))&amp;" - "&amp;(IF($C1029="","Commercial",$C1029))),Variables!$B$1:$D$1,0),1))*AK1029/365)+(L1029/16.67*INDEX(Variables!$B$8:$D$8,IFERROR(MATCH(IF($B1029="Robusta","Robusta",(IF($B1029="","Arabica",$B1029))&amp;" - "&amp;(IF($C1029="","Commercial",$C1029))),Variables!$B$1:$D$1,0),1))*AK1029)+(W1029*INDEX(Variables!$B$9:$D$9,IFERROR(MATCH(IF($B1029="Robusta","Robusta",(IF($B1029="","Arabica",$B1029))&amp;" - "&amp;(IF($C1029="","Commercial",$C1029))),Variables!$B$1:$D$1,0),1))*AK1029/365),""))</f>
        <v>23.082382619324729</v>
      </c>
      <c r="BI1029" s="44">
        <f>IF($AX1029="Cancelled","",IFERROR((W1029*INDEX(Variables!$B$7:$D$7,IFERROR(MATCH(IF($B1029="Robusta","Robusta",(IF($B1029="","Arabica",$B1029))&amp;" - "&amp;(IF($C1029="","Commercial",$C1029))),Variables!$B$1:$D$1,0),1))*BD1029/365)+(L1029/16.67*INDEX(Variables!$B$8:$D$8,IFERROR(MATCH(IF($B1029="Robusta","Robusta",(IF($B1029="","Arabica",$B1029))&amp;" - "&amp;(IF($C1029="","Commercial",$C1029))),Variables!$B$1:$D$1,0),1))*BD1029)+(W1029*INDEX(Variables!$B$9:$D$9,IFERROR(MATCH(IF($B1029="Robusta","Robusta",(IF($B1029="","Arabica",$B1029))&amp;" - "&amp;(IF($C1029="","Commercial",$C1029))),Variables!$B$1:$D$1,0),1))*BD1029/365),""))</f>
        <v>-10.653407362765259</v>
      </c>
      <c r="BJ1029" s="44">
        <f t="shared" si="51"/>
        <v>-21</v>
      </c>
      <c r="BK1029" s="44">
        <f>IF($AX1029="Cancelled","",IFERROR(IF(BJ1029="","",(W1029*INDEX(Variables!$B$7:$D$7,IFERROR(MATCH(IF($B1029="Robusta","Robusta",(IF($B1029="","Arabica",$B1029))&amp;" - "&amp;(IF($C1029="","Commercial",$C1029))),Variables!$B$1:$D$1,0),1))*(BJ1029/365))+(W1029*INDEX(Variables!$B$9:$D$9,IFERROR(MATCH(IF($B1029="Robusta","Robusta",(IF($B1029="","Arabica",$B1029))&amp;" - "&amp;(IF($C1029="","Commercial",$C1029))),Variables!$B$1:$D$1,0),1))*(BJ1029/365))+(INDEX(Variables!$B$8:$D$8,IFERROR(MATCH(IF($B1029="Robusta","Robusta",(IF($B1029="","Arabica",$B1029))&amp;" - "&amp;(IF($C1029="","Commercial",$C1029))),Variables!$B$1:$D$1,0),1))*L1029/16.67)),""))</f>
        <v>-25.186925769678407</v>
      </c>
    </row>
    <row r="1030" spans="1:63">
      <c r="A1030" s="13" t="s">
        <v>103</v>
      </c>
      <c r="B1030" s="13" t="s">
        <v>104</v>
      </c>
      <c r="C1030" s="13" t="s">
        <v>292</v>
      </c>
      <c r="D1030" s="31">
        <v>46099</v>
      </c>
      <c r="E1030" s="31">
        <v>46113</v>
      </c>
      <c r="F1030" s="31">
        <v>46142</v>
      </c>
      <c r="G1030" s="13">
        <v>3787449</v>
      </c>
      <c r="J1030" s="13" t="s">
        <v>294</v>
      </c>
      <c r="K1030" s="13" t="s">
        <v>2588</v>
      </c>
      <c r="L1030" s="13">
        <v>30</v>
      </c>
      <c r="M1030" s="13">
        <v>0</v>
      </c>
      <c r="N1030" s="13" t="s">
        <v>2589</v>
      </c>
      <c r="O1030" s="13" t="s">
        <v>771</v>
      </c>
      <c r="P1030" s="13">
        <v>10010</v>
      </c>
      <c r="R1030" s="13" t="s">
        <v>384</v>
      </c>
      <c r="S1030" s="13" t="s">
        <v>299</v>
      </c>
      <c r="T1030" s="13" t="s">
        <v>305</v>
      </c>
      <c r="U1030" s="13" t="s">
        <v>125</v>
      </c>
      <c r="V1030" s="23">
        <v>218</v>
      </c>
      <c r="W1030" s="44">
        <f>IF($AX1030="Cancelled","",IFERROR(((V1030+INDEX(Variables!$B$6:$D$6,IFERROR(MATCH(IF($B1030="Robusta","Robusta",(IF($B1030="","Arabica",$B1030))&amp;" - "&amp;(IF($C1030="","Commercial",$C1030))),Variables!$B$1:$D$1,0),1)))*22.0462)*(L1030/16.67),""))</f>
        <v>20186.754457108578</v>
      </c>
      <c r="Y1030" s="13" t="str">
        <f>IF($AX1030="Cancelled","",IF(X1030="","",IFERROR(IF(INDEX(Variables!$B$38:$B$47,MATCH(X1030,Variables!$A$38:$A$47,0))="Yes","Yes","No"),"No")))</f>
        <v/>
      </c>
      <c r="Z1030" s="31"/>
      <c r="AC1030" s="13" t="str">
        <f t="shared" si="50"/>
        <v/>
      </c>
      <c r="AF1030" s="71">
        <v>46125</v>
      </c>
      <c r="AG1030" s="37">
        <f>IF($AX1030="Cancelled","",IFERROR(IF(F1030="","",F1030-Variables!$B$13),""))</f>
        <v>46127</v>
      </c>
      <c r="AH1030" s="13" t="str">
        <f>IF($AX1030="Cancelled","",IFERROR(IF(AB1030="","",(AVERAGE(E1030:F1030)-AB1030)-Variables!$B$14),""))</f>
        <v/>
      </c>
      <c r="AK1030" s="14" t="str">
        <f>IF($AX1030="Cancelled","",IFERROR(IF(AJ1030="","",IF(AND(AB1030="",AF1030=""),"",IF(AF1030&gt;AB1030,AF1030+Variables!$B$15+Variables!$B$16+Variables!$B$17-AJ1030,AB1030+Variables!$B$16+Variables!$B$17-AJ1030))),""))</f>
        <v/>
      </c>
      <c r="AL1030" s="48" t="s">
        <v>114</v>
      </c>
      <c r="AM1030" s="13" t="s">
        <v>1526</v>
      </c>
      <c r="AN1030" s="13" t="s">
        <v>2423</v>
      </c>
      <c r="AP1030" s="39" t="e">
        <v>#N/A</v>
      </c>
      <c r="AR1030" s="13" t="s">
        <v>2424</v>
      </c>
      <c r="AS1030" s="31">
        <v>46150</v>
      </c>
      <c r="AU1030" s="31">
        <v>46191</v>
      </c>
      <c r="AV1030" s="13" t="s">
        <v>865</v>
      </c>
      <c r="AW1030" s="31">
        <v>46191</v>
      </c>
      <c r="AX1030" s="13" t="str">
        <f>IF(ISNUMBER(SEARCH("cancel",#REF!)),"Cancelled",IF(AND(AS1030&lt;&gt;"",AU1030&lt;&gt;"",AW1030&lt;&gt;""),"Closed","Open"))</f>
        <v>Closed</v>
      </c>
      <c r="AY1030" s="15" t="str">
        <f t="shared" si="49"/>
        <v>All dates received</v>
      </c>
      <c r="BD1030" s="13" t="str">
        <f>IF($AX1030="Cancelled","",IFERROR(IF(OR(AS1030="",AJ1030=""),"",(AJ1030+Variables!$B$18-AS1030)),""))</f>
        <v/>
      </c>
      <c r="BE1030" s="13">
        <f>IF($AX1030="Cancelled","",IFERROR(IF(OR(AW1030="",AS1030=""),"",(AS1030+Variables!$B$19)-AW1030),""))</f>
        <v>-36</v>
      </c>
      <c r="BF1030" s="44">
        <f>IF($AX1030="Cancelled","",IFERROR(W1030*INDEX(Variables!$B$7:$D$7,IFERROR(MATCH(IF($B1030="Robusta","Robusta",(IF($B1030="","Arabica",$B1030))&amp;" - "&amp;(IF($C1030="","Commercial",$C1030))),Variables!$B$1:$D$1,0),1))*(BE1030/365),""))</f>
        <v>-128.38550185520549</v>
      </c>
      <c r="BG1030" s="44" t="str">
        <f>IF($AX1030="Cancelled","",IFERROR((W1030*INDEX(Variables!$B$7:$D$7,IFERROR(MATCH(IF($B1030="Robusta","Robusta",(IF($B1030="","Arabica",$B1030))&amp;" - "&amp;(IF($C1030="","Commercial",$C1030))),Variables!$B$1:$D$1,0),1))*IFERROR(IF(AB1030="","",(AVERAGE(E1030:F1030)-AB1030)-Variables!$B$14),"")/365)+(L1030/16.67*INDEX(Variables!$B$8:$D$8,IFERROR(MATCH(IF($B1030="Robusta","Robusta",(IF($B1030="","Arabica",$B1030))&amp;" - "&amp;(IF($C1030="","Commercial",$C1030))),Variables!$B$1:$D$1,0),1))*IFERROR(IF(AB1030="","",(AVERAGE(E1030:F1030)-AB1030)-Variables!$B$14),""))+(W1030*INDEX(Variables!$B$9:$D$9,IFERROR(MATCH(IF($B1030="Robusta","Robusta",(IF($B1030="","Arabica",$B1030))&amp;" - "&amp;(IF($C1030="","Commercial",$C1030))),Variables!$B$1:$D$1,0),1))*IFERROR(IF(AB1030="","",(AVERAGE(E1030:F1030)-AB1030)-Variables!$B$14),"")/365),""))</f>
        <v/>
      </c>
      <c r="BH1030" s="44" t="str">
        <f>IF($AX1030="Cancelled","",IFERROR((W1030*INDEX(Variables!$B$7:$D$7,IFERROR(MATCH(IF($B1030="Robusta","Robusta",(IF($B1030="","Arabica",$B1030))&amp;" - "&amp;(IF($C1030="","Commercial",$C1030))),Variables!$B$1:$D$1,0),1))*AK1030/365)+(L1030/16.67*INDEX(Variables!$B$8:$D$8,IFERROR(MATCH(IF($B1030="Robusta","Robusta",(IF($B1030="","Arabica",$B1030))&amp;" - "&amp;(IF($C1030="","Commercial",$C1030))),Variables!$B$1:$D$1,0),1))*AK1030)+(W1030*INDEX(Variables!$B$9:$D$9,IFERROR(MATCH(IF($B1030="Robusta","Robusta",(IF($B1030="","Arabica",$B1030))&amp;" - "&amp;(IF($C1030="","Commercial",$C1030))),Variables!$B$1:$D$1,0),1))*AK1030/365),""))</f>
        <v/>
      </c>
      <c r="BI1030" s="44" t="str">
        <f>IF($AX1030="Cancelled","",IFERROR((W1030*INDEX(Variables!$B$7:$D$7,IFERROR(MATCH(IF($B1030="Robusta","Robusta",(IF($B1030="","Arabica",$B1030))&amp;" - "&amp;(IF($C1030="","Commercial",$C1030))),Variables!$B$1:$D$1,0),1))*BD1030/365)+(L1030/16.67*INDEX(Variables!$B$8:$D$8,IFERROR(MATCH(IF($B1030="Robusta","Robusta",(IF($B1030="","Arabica",$B1030))&amp;" - "&amp;(IF($C1030="","Commercial",$C1030))),Variables!$B$1:$D$1,0),1))*BD1030)+(W1030*INDEX(Variables!$B$9:$D$9,IFERROR(MATCH(IF($B1030="Robusta","Robusta",(IF($B1030="","Arabica",$B1030))&amp;" - "&amp;(IF($C1030="","Commercial",$C1030))),Variables!$B$1:$D$1,0),1))*BD1030/365),""))</f>
        <v/>
      </c>
      <c r="BJ1030" s="44">
        <f t="shared" si="51"/>
        <v>-8</v>
      </c>
      <c r="BK1030" s="44">
        <f>IF($AX1030="Cancelled","",IFERROR(IF(BJ1030="","",(W1030*INDEX(Variables!$B$7:$D$7,IFERROR(MATCH(IF($B1030="Robusta","Robusta",(IF($B1030="","Arabica",$B1030))&amp;" - "&amp;(IF($C1030="","Commercial",$C1030))),Variables!$B$1:$D$1,0),1))*(BJ1030/365))+(W1030*INDEX(Variables!$B$9:$D$9,IFERROR(MATCH(IF($B1030="Robusta","Robusta",(IF($B1030="","Arabica",$B1030))&amp;" - "&amp;(IF($C1030="","Commercial",$C1030))),Variables!$B$1:$D$1,0),1))*(BJ1030/365))+(INDEX(Variables!$B$8:$D$8,IFERROR(MATCH(IF($B1030="Robusta","Robusta",(IF($B1030="","Arabica",$B1030))&amp;" - "&amp;(IF($C1030="","Commercial",$C1030))),Variables!$B$1:$D$1,0),1))*L1030/16.67)),""))</f>
        <v>-27.397919720205181</v>
      </c>
    </row>
    <row r="1031" spans="1:63">
      <c r="A1031" s="13" t="s">
        <v>103</v>
      </c>
      <c r="B1031" s="13" t="s">
        <v>104</v>
      </c>
      <c r="C1031" s="13" t="s">
        <v>292</v>
      </c>
      <c r="D1031" s="31">
        <v>46099</v>
      </c>
      <c r="E1031" s="31">
        <v>46113</v>
      </c>
      <c r="F1031" s="31">
        <v>46142</v>
      </c>
      <c r="G1031" s="13">
        <v>3787450</v>
      </c>
      <c r="J1031" s="13" t="s">
        <v>294</v>
      </c>
      <c r="K1031" s="13" t="s">
        <v>2590</v>
      </c>
      <c r="L1031" s="13">
        <v>33</v>
      </c>
      <c r="M1031" s="13">
        <v>0</v>
      </c>
      <c r="N1031" s="13" t="s">
        <v>2591</v>
      </c>
      <c r="O1031" s="13" t="s">
        <v>771</v>
      </c>
      <c r="P1031" s="13">
        <v>10010</v>
      </c>
      <c r="R1031" s="13" t="s">
        <v>384</v>
      </c>
      <c r="S1031" s="13" t="s">
        <v>299</v>
      </c>
      <c r="T1031" s="13" t="s">
        <v>305</v>
      </c>
      <c r="U1031" s="13" t="s">
        <v>125</v>
      </c>
      <c r="V1031" s="23">
        <v>208</v>
      </c>
      <c r="W1031" s="44">
        <f>IF($AX1031="Cancelled","",IFERROR(((V1031+INDEX(Variables!$B$6:$D$6,IFERROR(MATCH(IF($B1031="Robusta","Robusta",(IF($B1031="","Arabica",$B1031))&amp;" - "&amp;(IF($C1031="","Commercial",$C1031))),Variables!$B$1:$D$1,0),1)))*22.0462)*(L1031/16.67),""))</f>
        <v>21769.002428314332</v>
      </c>
      <c r="Y1031" s="13" t="str">
        <f>IF($AX1031="Cancelled","",IF(X1031="","",IFERROR(IF(INDEX(Variables!$B$38:$B$47,MATCH(X1031,Variables!$A$38:$A$47,0))="Yes","Yes","No"),"No")))</f>
        <v/>
      </c>
      <c r="Z1031" s="31"/>
      <c r="AC1031" s="13" t="str">
        <f t="shared" si="50"/>
        <v/>
      </c>
      <c r="AF1031" s="71">
        <v>46129</v>
      </c>
      <c r="AG1031" s="37">
        <f>IF($AX1031="Cancelled","",IFERROR(IF(F1031="","",F1031-Variables!$B$13),""))</f>
        <v>46127</v>
      </c>
      <c r="AH1031" s="13" t="str">
        <f>IF($AX1031="Cancelled","",IFERROR(IF(AB1031="","",(AVERAGE(E1031:F1031)-AB1031)-Variables!$B$14),""))</f>
        <v/>
      </c>
      <c r="AJ1031" s="47">
        <v>46142</v>
      </c>
      <c r="AK1031" s="14">
        <f>IF($AX1031="Cancelled","",IFERROR(IF(AJ1031="","",IF(AND(AB1031="",AF1031=""),"",IF(AF1031&gt;AB1031,AF1031+Variables!$B$15+Variables!$B$16+Variables!$B$17-AJ1031,AB1031+Variables!$B$16+Variables!$B$17-AJ1031))),""))</f>
        <v>2</v>
      </c>
      <c r="AL1031" s="48" t="s">
        <v>114</v>
      </c>
      <c r="AM1031" s="13" t="s">
        <v>1526</v>
      </c>
      <c r="AN1031" s="13" t="s">
        <v>2583</v>
      </c>
      <c r="AP1031" s="39" t="e">
        <v>#N/A</v>
      </c>
      <c r="AR1031" s="13" t="s">
        <v>2584</v>
      </c>
      <c r="AS1031" s="31">
        <v>46163</v>
      </c>
      <c r="AU1031" s="31">
        <v>46191</v>
      </c>
      <c r="AV1031" s="13" t="s">
        <v>2585</v>
      </c>
      <c r="AW1031" s="31">
        <v>46308</v>
      </c>
      <c r="AX1031" s="13" t="str">
        <f>IF(ISNUMBER(SEARCH("cancel",#REF!)),"Cancelled",IF(AND(AS1031&lt;&gt;"",AU1031&lt;&gt;"",AW1031&lt;&gt;""),"Closed","Open"))</f>
        <v>Closed</v>
      </c>
      <c r="AY1031" s="15" t="str">
        <f t="shared" si="49"/>
        <v>All dates received</v>
      </c>
      <c r="BD1031" s="13">
        <f>IF($AX1031="Cancelled","",IFERROR(IF(OR(AS1031="",AJ1031=""),"",(AJ1031+Variables!$B$18-AS1031)),""))</f>
        <v>-6</v>
      </c>
      <c r="BE1031" s="13">
        <f>IF($AX1031="Cancelled","",IFERROR(IF(OR(AW1031="",AS1031=""),"",(AS1031+Variables!$B$19)-AW1031),""))</f>
        <v>-140</v>
      </c>
      <c r="BF1031" s="44">
        <f>IF($AX1031="Cancelled","",IFERROR(W1031*INDEX(Variables!$B$7:$D$7,IFERROR(MATCH(IF($B1031="Robusta","Robusta",(IF($B1031="","Arabica",$B1031))&amp;" - "&amp;(IF($C1031="","Commercial",$C1031))),Variables!$B$1:$D$1,0),1))*(BE1031/365),""))</f>
        <v>-538.41053033870423</v>
      </c>
      <c r="BG1031" s="44" t="str">
        <f>IF($AX1031="Cancelled","",IFERROR((W1031*INDEX(Variables!$B$7:$D$7,IFERROR(MATCH(IF($B1031="Robusta","Robusta",(IF($B1031="","Arabica",$B1031))&amp;" - "&amp;(IF($C1031="","Commercial",$C1031))),Variables!$B$1:$D$1,0),1))*IFERROR(IF(AB1031="","",(AVERAGE(E1031:F1031)-AB1031)-Variables!$B$14),"")/365)+(L1031/16.67*INDEX(Variables!$B$8:$D$8,IFERROR(MATCH(IF($B1031="Robusta","Robusta",(IF($B1031="","Arabica",$B1031))&amp;" - "&amp;(IF($C1031="","Commercial",$C1031))),Variables!$B$1:$D$1,0),1))*IFERROR(IF(AB1031="","",(AVERAGE(E1031:F1031)-AB1031)-Variables!$B$14),""))+(W1031*INDEX(Variables!$B$9:$D$9,IFERROR(MATCH(IF($B1031="Robusta","Robusta",(IF($B1031="","Arabica",$B1031))&amp;" - "&amp;(IF($C1031="","Commercial",$C1031))),Variables!$B$1:$D$1,0),1))*IFERROR(IF(AB1031="","",(AVERAGE(E1031:F1031)-AB1031)-Variables!$B$14),"")/365),""))</f>
        <v/>
      </c>
      <c r="BH1031" s="44">
        <f>IF($AX1031="Cancelled","",IFERROR((W1031*INDEX(Variables!$B$7:$D$7,IFERROR(MATCH(IF($B1031="Robusta","Robusta",(IF($B1031="","Arabica",$B1031))&amp;" - "&amp;(IF($C1031="","Commercial",$C1031))),Variables!$B$1:$D$1,0),1))*AK1031/365)+(L1031/16.67*INDEX(Variables!$B$8:$D$8,IFERROR(MATCH(IF($B1031="Robusta","Robusta",(IF($B1031="","Arabica",$B1031))&amp;" - "&amp;(IF($C1031="","Commercial",$C1031))),Variables!$B$1:$D$1,0),1))*AK1031)+(W1031*INDEX(Variables!$B$9:$D$9,IFERROR(MATCH(IF($B1031="Robusta","Robusta",(IF($B1031="","Arabica",$B1031))&amp;" - "&amp;(IF($C1031="","Commercial",$C1031))),Variables!$B$1:$D$1,0),1))*AK1031/365),""))</f>
        <v>11.090738301927168</v>
      </c>
      <c r="BI1031" s="44">
        <f>IF($AX1031="Cancelled","",IFERROR((W1031*INDEX(Variables!$B$7:$D$7,IFERROR(MATCH(IF($B1031="Robusta","Robusta",(IF($B1031="","Arabica",$B1031))&amp;" - "&amp;(IF($C1031="","Commercial",$C1031))),Variables!$B$1:$D$1,0),1))*BD1031/365)+(L1031/16.67*INDEX(Variables!$B$8:$D$8,IFERROR(MATCH(IF($B1031="Robusta","Robusta",(IF($B1031="","Arabica",$B1031))&amp;" - "&amp;(IF($C1031="","Commercial",$C1031))),Variables!$B$1:$D$1,0),1))*BD1031)+(W1031*INDEX(Variables!$B$9:$D$9,IFERROR(MATCH(IF($B1031="Robusta","Robusta",(IF($B1031="","Arabica",$B1031))&amp;" - "&amp;(IF($C1031="","Commercial",$C1031))),Variables!$B$1:$D$1,0),1))*BD1031/365),""))</f>
        <v>-33.27221490578151</v>
      </c>
      <c r="BJ1031" s="44">
        <f t="shared" si="51"/>
        <v>-21</v>
      </c>
      <c r="BK1031" s="44">
        <f>IF($AX1031="Cancelled","",IFERROR(IF(BJ1031="","",(W1031*INDEX(Variables!$B$7:$D$7,IFERROR(MATCH(IF($B1031="Robusta","Robusta",(IF($B1031="","Arabica",$B1031))&amp;" - "&amp;(IF($C1031="","Commercial",$C1031))),Variables!$B$1:$D$1,0),1))*(BJ1031/365))+(W1031*INDEX(Variables!$B$9:$D$9,IFERROR(MATCH(IF($B1031="Robusta","Robusta",(IF($B1031="","Arabica",$B1031))&amp;" - "&amp;(IF($C1031="","Commercial",$C1031))),Variables!$B$1:$D$1,0),1))*(BJ1031/365))+(INDEX(Variables!$B$8:$D$8,IFERROR(MATCH(IF($B1031="Robusta","Robusta",(IF($B1031="","Arabica",$B1031))&amp;" - "&amp;(IF($C1031="","Commercial",$C1031))),Variables!$B$1:$D$1,0),1))*L1031/16.67)),""))</f>
        <v>-80.15275217023526</v>
      </c>
    </row>
    <row r="1032" spans="1:63">
      <c r="A1032" s="13" t="s">
        <v>103</v>
      </c>
      <c r="B1032" s="13" t="s">
        <v>104</v>
      </c>
      <c r="C1032" s="13" t="s">
        <v>292</v>
      </c>
      <c r="D1032" s="31">
        <v>46099</v>
      </c>
      <c r="E1032" s="31">
        <v>46113</v>
      </c>
      <c r="F1032" s="31">
        <v>46142</v>
      </c>
      <c r="G1032" s="13">
        <v>3787451</v>
      </c>
      <c r="J1032" s="13" t="s">
        <v>294</v>
      </c>
      <c r="K1032" s="13" t="s">
        <v>2592</v>
      </c>
      <c r="L1032" s="13">
        <v>10</v>
      </c>
      <c r="M1032" s="13">
        <v>0</v>
      </c>
      <c r="N1032" s="13" t="s">
        <v>2593</v>
      </c>
      <c r="O1032" s="13" t="s">
        <v>771</v>
      </c>
      <c r="P1032" s="13">
        <v>10010</v>
      </c>
      <c r="R1032" s="13" t="s">
        <v>384</v>
      </c>
      <c r="S1032" s="13" t="s">
        <v>299</v>
      </c>
      <c r="T1032" s="13" t="s">
        <v>305</v>
      </c>
      <c r="U1032" s="13" t="s">
        <v>125</v>
      </c>
      <c r="V1032" s="23">
        <v>205</v>
      </c>
      <c r="W1032" s="44">
        <f>IF($AX1032="Cancelled","",IFERROR(((V1032+INDEX(Variables!$B$6:$D$6,IFERROR(MATCH(IF($B1032="Robusta","Robusta",(IF($B1032="","Arabica",$B1032))&amp;" - "&amp;(IF($C1032="","Commercial",$C1032))),Variables!$B$1:$D$1,0),1)))*22.0462)*(L1032/16.67),""))</f>
        <v>6556.9921775644871</v>
      </c>
      <c r="Y1032" s="13" t="str">
        <f>IF($AX1032="Cancelled","",IF(X1032="","",IFERROR(IF(INDEX(Variables!$B$38:$B$47,MATCH(X1032,Variables!$A$38:$A$47,0))="Yes","Yes","No"),"No")))</f>
        <v/>
      </c>
      <c r="Z1032" s="31"/>
      <c r="AC1032" s="13" t="str">
        <f t="shared" si="50"/>
        <v/>
      </c>
      <c r="AF1032" s="71">
        <v>46135</v>
      </c>
      <c r="AG1032" s="37">
        <f>IF($AX1032="Cancelled","",IFERROR(IF(F1032="","",F1032-Variables!$B$13),""))</f>
        <v>46127</v>
      </c>
      <c r="AH1032" s="13" t="str">
        <f>IF($AX1032="Cancelled","",IFERROR(IF(AB1032="","",(AVERAGE(E1032:F1032)-AB1032)-Variables!$B$14),""))</f>
        <v/>
      </c>
      <c r="AJ1032" s="47">
        <v>46142</v>
      </c>
      <c r="AK1032" s="14">
        <f>IF($AX1032="Cancelled","",IFERROR(IF(AJ1032="","",IF(AND(AB1032="",AF1032=""),"",IF(AF1032&gt;AB1032,AF1032+Variables!$B$15+Variables!$B$16+Variables!$B$17-AJ1032,AB1032+Variables!$B$16+Variables!$B$17-AJ1032))),""))</f>
        <v>8</v>
      </c>
      <c r="AL1032" s="48" t="s">
        <v>114</v>
      </c>
      <c r="AM1032" s="13" t="s">
        <v>1526</v>
      </c>
      <c r="AN1032" s="13" t="s">
        <v>2583</v>
      </c>
      <c r="AP1032" s="39" t="e">
        <v>#N/A</v>
      </c>
      <c r="AR1032" s="13" t="s">
        <v>2584</v>
      </c>
      <c r="AS1032" s="31">
        <v>46163</v>
      </c>
      <c r="AU1032" s="31">
        <v>46191</v>
      </c>
      <c r="AV1032" s="13" t="s">
        <v>2585</v>
      </c>
      <c r="AW1032" s="31">
        <v>46308</v>
      </c>
      <c r="AX1032" s="13" t="str">
        <f>IF(ISNUMBER(SEARCH("cancel",#REF!)),"Cancelled",IF(AND(AS1032&lt;&gt;"",AU1032&lt;&gt;"",AW1032&lt;&gt;""),"Closed","Open"))</f>
        <v>Closed</v>
      </c>
      <c r="AY1032" s="15" t="str">
        <f t="shared" si="49"/>
        <v>All dates received</v>
      </c>
      <c r="BD1032" s="13">
        <f>IF($AX1032="Cancelled","",IFERROR(IF(OR(AS1032="",AJ1032=""),"",(AJ1032+Variables!$B$18-AS1032)),""))</f>
        <v>-6</v>
      </c>
      <c r="BE1032" s="13">
        <f>IF($AX1032="Cancelled","",IFERROR(IF(OR(AW1032="",AS1032=""),"",(AS1032+Variables!$B$19)-AW1032),""))</f>
        <v>-140</v>
      </c>
      <c r="BF1032" s="44">
        <f>IF($AX1032="Cancelled","",IFERROR(W1032*INDEX(Variables!$B$7:$D$7,IFERROR(MATCH(IF($B1032="Robusta","Robusta",(IF($B1032="","Arabica",$B1032))&amp;" - "&amp;(IF($C1032="","Commercial",$C1032))),Variables!$B$1:$D$1,0),1))*(BE1032/365),""))</f>
        <v>-162.17342284630362</v>
      </c>
      <c r="BG1032" s="44" t="str">
        <f>IF($AX1032="Cancelled","",IFERROR((W1032*INDEX(Variables!$B$7:$D$7,IFERROR(MATCH(IF($B1032="Robusta","Robusta",(IF($B1032="","Arabica",$B1032))&amp;" - "&amp;(IF($C1032="","Commercial",$C1032))),Variables!$B$1:$D$1,0),1))*IFERROR(IF(AB1032="","",(AVERAGE(E1032:F1032)-AB1032)-Variables!$B$14),"")/365)+(L1032/16.67*INDEX(Variables!$B$8:$D$8,IFERROR(MATCH(IF($B1032="Robusta","Robusta",(IF($B1032="","Arabica",$B1032))&amp;" - "&amp;(IF($C1032="","Commercial",$C1032))),Variables!$B$1:$D$1,0),1))*IFERROR(IF(AB1032="","",(AVERAGE(E1032:F1032)-AB1032)-Variables!$B$14),""))+(W1032*INDEX(Variables!$B$9:$D$9,IFERROR(MATCH(IF($B1032="Robusta","Robusta",(IF($B1032="","Arabica",$B1032))&amp;" - "&amp;(IF($C1032="","Commercial",$C1032))),Variables!$B$1:$D$1,0),1))*IFERROR(IF(AB1032="","",(AVERAGE(E1032:F1032)-AB1032)-Variables!$B$14),"")/365),""))</f>
        <v/>
      </c>
      <c r="BH1032" s="44">
        <f>IF($AX1032="Cancelled","",IFERROR((W1032*INDEX(Variables!$B$7:$D$7,IFERROR(MATCH(IF($B1032="Robusta","Robusta",(IF($B1032="","Arabica",$B1032))&amp;" - "&amp;(IF($C1032="","Commercial",$C1032))),Variables!$B$1:$D$1,0),1))*AK1032/365)+(L1032/16.67*INDEX(Variables!$B$8:$D$8,IFERROR(MATCH(IF($B1032="Robusta","Robusta",(IF($B1032="","Arabica",$B1032))&amp;" - "&amp;(IF($C1032="","Commercial",$C1032))),Variables!$B$1:$D$1,0),1))*AK1032)+(W1032*INDEX(Variables!$B$9:$D$9,IFERROR(MATCH(IF($B1032="Robusta","Robusta",(IF($B1032="","Arabica",$B1032))&amp;" - "&amp;(IF($C1032="","Commercial",$C1032))),Variables!$B$1:$D$1,0),1))*AK1032/365),""))</f>
        <v>13.386522927985931</v>
      </c>
      <c r="BI1032" s="44">
        <f>IF($AX1032="Cancelled","",IFERROR((W1032*INDEX(Variables!$B$7:$D$7,IFERROR(MATCH(IF($B1032="Robusta","Robusta",(IF($B1032="","Arabica",$B1032))&amp;" - "&amp;(IF($C1032="","Commercial",$C1032))),Variables!$B$1:$D$1,0),1))*BD1032/365)+(L1032/16.67*INDEX(Variables!$B$8:$D$8,IFERROR(MATCH(IF($B1032="Robusta","Robusta",(IF($B1032="","Arabica",$B1032))&amp;" - "&amp;(IF($C1032="","Commercial",$C1032))),Variables!$B$1:$D$1,0),1))*BD1032)+(W1032*INDEX(Variables!$B$9:$D$9,IFERROR(MATCH(IF($B1032="Robusta","Robusta",(IF($B1032="","Arabica",$B1032))&amp;" - "&amp;(IF($C1032="","Commercial",$C1032))),Variables!$B$1:$D$1,0),1))*BD1032/365),""))</f>
        <v>-10.039892195989447</v>
      </c>
      <c r="BJ1032" s="44">
        <f t="shared" si="51"/>
        <v>-21</v>
      </c>
      <c r="BK1032" s="44">
        <f>IF($AX1032="Cancelled","",IFERROR(IF(BJ1032="","",(W1032*INDEX(Variables!$B$7:$D$7,IFERROR(MATCH(IF($B1032="Robusta","Robusta",(IF($B1032="","Arabica",$B1032))&amp;" - "&amp;(IF($C1032="","Commercial",$C1032))),Variables!$B$1:$D$1,0),1))*(BJ1032/365))+(W1032*INDEX(Variables!$B$9:$D$9,IFERROR(MATCH(IF($B1032="Robusta","Robusta",(IF($B1032="","Arabica",$B1032))&amp;" - "&amp;(IF($C1032="","Commercial",$C1032))),Variables!$B$1:$D$1,0),1))*(BJ1032/365))+(INDEX(Variables!$B$8:$D$8,IFERROR(MATCH(IF($B1032="Robusta","Robusta",(IF($B1032="","Arabica",$B1032))&amp;" - "&amp;(IF($C1032="","Commercial",$C1032))),Variables!$B$1:$D$1,0),1))*L1032/16.67)),""))</f>
        <v>-24.139622685963072</v>
      </c>
    </row>
    <row r="1033" spans="1:63">
      <c r="A1033" s="13" t="s">
        <v>103</v>
      </c>
      <c r="B1033" s="13" t="s">
        <v>104</v>
      </c>
      <c r="C1033" s="13" t="s">
        <v>292</v>
      </c>
      <c r="D1033" s="31">
        <v>46099</v>
      </c>
      <c r="E1033" s="31">
        <v>46113</v>
      </c>
      <c r="F1033" s="31">
        <v>46142</v>
      </c>
      <c r="G1033" s="13">
        <v>3787452</v>
      </c>
      <c r="J1033" s="13" t="s">
        <v>294</v>
      </c>
      <c r="K1033" s="13" t="s">
        <v>2594</v>
      </c>
      <c r="L1033" s="13">
        <v>32</v>
      </c>
      <c r="M1033" s="13">
        <v>0</v>
      </c>
      <c r="N1033" s="13" t="s">
        <v>2595</v>
      </c>
      <c r="O1033" s="13" t="s">
        <v>297</v>
      </c>
      <c r="P1033" s="13">
        <v>10020</v>
      </c>
      <c r="R1033" s="13" t="s">
        <v>384</v>
      </c>
      <c r="S1033" s="13" t="s">
        <v>299</v>
      </c>
      <c r="T1033" s="13" t="s">
        <v>305</v>
      </c>
      <c r="U1033" s="13" t="s">
        <v>125</v>
      </c>
      <c r="V1033" s="23">
        <v>180</v>
      </c>
      <c r="W1033" s="44">
        <f>IF($AX1033="Cancelled","",IFERROR(((V1033+INDEX(Variables!$B$6:$D$6,IFERROR(MATCH(IF($B1033="Robusta","Robusta",(IF($B1033="","Arabica",$B1033))&amp;" - "&amp;(IF($C1033="","Commercial",$C1033))),Variables!$B$1:$D$1,0),1)))*22.0462)*(L1033/16.67),""))</f>
        <v>19924.368969406118</v>
      </c>
      <c r="Y1033" s="13" t="str">
        <f>IF($AX1033="Cancelled","",IF(X1033="","",IFERROR(IF(INDEX(Variables!$B$38:$B$47,MATCH(X1033,Variables!$A$38:$A$47,0))="Yes","Yes","No"),"No")))</f>
        <v/>
      </c>
      <c r="Z1033" s="31"/>
      <c r="AC1033" s="13" t="str">
        <f t="shared" si="50"/>
        <v/>
      </c>
      <c r="AF1033" s="71">
        <v>46129</v>
      </c>
      <c r="AG1033" s="37">
        <f>IF($AX1033="Cancelled","",IFERROR(IF(F1033="","",F1033-Variables!$B$13),""))</f>
        <v>46127</v>
      </c>
      <c r="AH1033" s="13" t="str">
        <f>IF($AX1033="Cancelled","",IFERROR(IF(AB1033="","",(AVERAGE(E1033:F1033)-AB1033)-Variables!$B$14),""))</f>
        <v/>
      </c>
      <c r="AJ1033" s="47">
        <v>46142</v>
      </c>
      <c r="AK1033" s="14">
        <f>IF($AX1033="Cancelled","",IFERROR(IF(AJ1033="","",IF(AND(AB1033="",AF1033=""),"",IF(AF1033&gt;AB1033,AF1033+Variables!$B$15+Variables!$B$16+Variables!$B$17-AJ1033,AB1033+Variables!$B$16+Variables!$B$17-AJ1033))),""))</f>
        <v>2</v>
      </c>
      <c r="AL1033" s="48" t="s">
        <v>114</v>
      </c>
      <c r="AM1033" s="13" t="s">
        <v>1526</v>
      </c>
      <c r="AN1033" s="13" t="s">
        <v>2583</v>
      </c>
      <c r="AP1033" s="39" t="e">
        <v>#N/A</v>
      </c>
      <c r="AR1033" s="13" t="s">
        <v>2584</v>
      </c>
      <c r="AS1033" s="31">
        <v>46163</v>
      </c>
      <c r="AU1033" s="31">
        <v>46191</v>
      </c>
      <c r="AV1033" s="13" t="s">
        <v>2585</v>
      </c>
      <c r="AW1033" s="31">
        <v>46308</v>
      </c>
      <c r="AX1033" s="13" t="str">
        <f>IF(ISNUMBER(SEARCH("cancel",#REF!)),"Cancelled",IF(AND(AS1033&lt;&gt;"",AU1033&lt;&gt;"",AW1033&lt;&gt;""),"Closed","Open"))</f>
        <v>Closed</v>
      </c>
      <c r="AY1033" s="15" t="str">
        <f t="shared" si="49"/>
        <v>All dates received</v>
      </c>
      <c r="BD1033" s="13">
        <f>IF($AX1033="Cancelled","",IFERROR(IF(OR(AS1033="",AJ1033=""),"",(AJ1033+Variables!$B$18-AS1033)),""))</f>
        <v>-6</v>
      </c>
      <c r="BE1033" s="13">
        <f>IF($AX1033="Cancelled","",IFERROR(IF(OR(AW1033="",AS1033=""),"",(AS1033+Variables!$B$19)-AW1033),""))</f>
        <v>-140</v>
      </c>
      <c r="BF1033" s="44">
        <f>IF($AX1033="Cancelled","",IFERROR(W1033*INDEX(Variables!$B$7:$D$7,IFERROR(MATCH(IF($B1033="Robusta","Robusta",(IF($B1033="","Arabica",$B1033))&amp;" - "&amp;(IF($C1033="","Commercial",$C1033))),Variables!$B$1:$D$1,0),1))*(BE1033/365),""))</f>
        <v>-492.78739798976841</v>
      </c>
      <c r="BG1033" s="44" t="str">
        <f>IF($AX1033="Cancelled","",IFERROR((W1033*INDEX(Variables!$B$7:$D$7,IFERROR(MATCH(IF($B1033="Robusta","Robusta",(IF($B1033="","Arabica",$B1033))&amp;" - "&amp;(IF($C1033="","Commercial",$C1033))),Variables!$B$1:$D$1,0),1))*IFERROR(IF(AB1033="","",(AVERAGE(E1033:F1033)-AB1033)-Variables!$B$14),"")/365)+(L1033/16.67*INDEX(Variables!$B$8:$D$8,IFERROR(MATCH(IF($B1033="Robusta","Robusta",(IF($B1033="","Arabica",$B1033))&amp;" - "&amp;(IF($C1033="","Commercial",$C1033))),Variables!$B$1:$D$1,0),1))*IFERROR(IF(AB1033="","",(AVERAGE(E1033:F1033)-AB1033)-Variables!$B$14),""))+(W1033*INDEX(Variables!$B$9:$D$9,IFERROR(MATCH(IF($B1033="Robusta","Robusta",(IF($B1033="","Arabica",$B1033))&amp;" - "&amp;(IF($C1033="","Commercial",$C1033))),Variables!$B$1:$D$1,0),1))*IFERROR(IF(AB1033="","",(AVERAGE(E1033:F1033)-AB1033)-Variables!$B$14),"")/365),""))</f>
        <v/>
      </c>
      <c r="BH1033" s="44">
        <f>IF($AX1033="Cancelled","",IFERROR((W1033*INDEX(Variables!$B$7:$D$7,IFERROR(MATCH(IF($B1033="Robusta","Robusta",(IF($B1033="","Arabica",$B1033))&amp;" - "&amp;(IF($C1033="","Commercial",$C1033))),Variables!$B$1:$D$1,0),1))*AK1033/365)+(L1033/16.67*INDEX(Variables!$B$8:$D$8,IFERROR(MATCH(IF($B1033="Robusta","Robusta",(IF($B1033="","Arabica",$B1033))&amp;" - "&amp;(IF($C1033="","Commercial",$C1033))),Variables!$B$1:$D$1,0),1))*AK1033)+(W1033*INDEX(Variables!$B$9:$D$9,IFERROR(MATCH(IF($B1033="Robusta","Robusta",(IF($B1033="","Arabica",$B1033))&amp;" - "&amp;(IF($C1033="","Commercial",$C1033))),Variables!$B$1:$D$1,0),1))*AK1033/365),""))</f>
        <v>10.330576836620857</v>
      </c>
      <c r="BI1033" s="44">
        <f>IF($AX1033="Cancelled","",IFERROR((W1033*INDEX(Variables!$B$7:$D$7,IFERROR(MATCH(IF($B1033="Robusta","Robusta",(IF($B1033="","Arabica",$B1033))&amp;" - "&amp;(IF($C1033="","Commercial",$C1033))),Variables!$B$1:$D$1,0),1))*BD1033/365)+(L1033/16.67*INDEX(Variables!$B$8:$D$8,IFERROR(MATCH(IF($B1033="Robusta","Robusta",(IF($B1033="","Arabica",$B1033))&amp;" - "&amp;(IF($C1033="","Commercial",$C1033))),Variables!$B$1:$D$1,0),1))*BD1033)+(W1033*INDEX(Variables!$B$9:$D$9,IFERROR(MATCH(IF($B1033="Robusta","Robusta",(IF($B1033="","Arabica",$B1033))&amp;" - "&amp;(IF($C1033="","Commercial",$C1033))),Variables!$B$1:$D$1,0),1))*BD1033/365),""))</f>
        <v>-30.991730509862574</v>
      </c>
      <c r="BJ1033" s="44">
        <f t="shared" si="51"/>
        <v>-21</v>
      </c>
      <c r="BK1033" s="44">
        <f>IF($AX1033="Cancelled","",IFERROR(IF(BJ1033="","",(W1033*INDEX(Variables!$B$7:$D$7,IFERROR(MATCH(IF($B1033="Robusta","Robusta",(IF($B1033="","Arabica",$B1033))&amp;" - "&amp;(IF($C1033="","Commercial",$C1033))),Variables!$B$1:$D$1,0),1))*(BJ1033/365))+(W1033*INDEX(Variables!$B$9:$D$9,IFERROR(MATCH(IF($B1033="Robusta","Robusta",(IF($B1033="","Arabica",$B1033))&amp;" - "&amp;(IF($C1033="","Commercial",$C1033))),Variables!$B$1:$D$1,0),1))*(BJ1033/365))+(INDEX(Variables!$B$8:$D$8,IFERROR(MATCH(IF($B1033="Robusta","Robusta",(IF($B1033="","Arabica",$B1033))&amp;" - "&amp;(IF($C1033="","Commercial",$C1033))),Variables!$B$1:$D$1,0),1))*L1033/16.67)),""))</f>
        <v>-73.271056784519018</v>
      </c>
    </row>
    <row r="1034" spans="1:63">
      <c r="A1034" s="13" t="s">
        <v>103</v>
      </c>
      <c r="B1034" s="13" t="s">
        <v>104</v>
      </c>
      <c r="C1034" s="13" t="s">
        <v>292</v>
      </c>
      <c r="D1034" s="31">
        <v>46099</v>
      </c>
      <c r="E1034" s="31">
        <v>46113</v>
      </c>
      <c r="F1034" s="31">
        <v>46142</v>
      </c>
      <c r="G1034" s="13">
        <v>3787453</v>
      </c>
      <c r="J1034" s="13" t="s">
        <v>294</v>
      </c>
      <c r="K1034" s="13" t="s">
        <v>2596</v>
      </c>
      <c r="L1034" s="13">
        <v>26</v>
      </c>
      <c r="M1034" s="13">
        <v>0</v>
      </c>
      <c r="N1034" s="13" t="s">
        <v>2597</v>
      </c>
      <c r="O1034" s="13" t="s">
        <v>771</v>
      </c>
      <c r="P1034" s="13">
        <v>10010</v>
      </c>
      <c r="R1034" s="13" t="s">
        <v>384</v>
      </c>
      <c r="S1034" s="13" t="s">
        <v>299</v>
      </c>
      <c r="T1034" s="13" t="s">
        <v>305</v>
      </c>
      <c r="U1034" s="13" t="s">
        <v>125</v>
      </c>
      <c r="V1034" s="23">
        <v>204</v>
      </c>
      <c r="W1034" s="44">
        <f>IF($AX1034="Cancelled","",IFERROR(((V1034+INDEX(Variables!$B$6:$D$6,IFERROR(MATCH(IF($B1034="Robusta","Robusta",(IF($B1034="","Arabica",$B1034))&amp;" - "&amp;(IF($C1034="","Commercial",$C1034))),Variables!$B$1:$D$1,0),1)))*22.0462)*(L1034/16.67),""))</f>
        <v>17013.794466706659</v>
      </c>
      <c r="Y1034" s="13" t="str">
        <f>IF($AX1034="Cancelled","",IF(X1034="","",IFERROR(IF(INDEX(Variables!$B$38:$B$47,MATCH(X1034,Variables!$A$38:$A$47,0))="Yes","Yes","No"),"No")))</f>
        <v/>
      </c>
      <c r="Z1034" s="31"/>
      <c r="AC1034" s="13" t="str">
        <f t="shared" si="50"/>
        <v/>
      </c>
      <c r="AF1034" s="71">
        <v>46129</v>
      </c>
      <c r="AG1034" s="37">
        <f>IF($AX1034="Cancelled","",IFERROR(IF(F1034="","",F1034-Variables!$B$13),""))</f>
        <v>46127</v>
      </c>
      <c r="AH1034" s="13" t="str">
        <f>IF($AX1034="Cancelled","",IFERROR(IF(AB1034="","",(AVERAGE(E1034:F1034)-AB1034)-Variables!$B$14),""))</f>
        <v/>
      </c>
      <c r="AJ1034" s="47">
        <v>46142</v>
      </c>
      <c r="AK1034" s="14">
        <f>IF($AX1034="Cancelled","",IFERROR(IF(AJ1034="","",IF(AND(AB1034="",AF1034=""),"",IF(AF1034&gt;AB1034,AF1034+Variables!$B$15+Variables!$B$16+Variables!$B$17-AJ1034,AB1034+Variables!$B$16+Variables!$B$17-AJ1034))),""))</f>
        <v>2</v>
      </c>
      <c r="AL1034" s="48" t="s">
        <v>114</v>
      </c>
      <c r="AM1034" s="13" t="s">
        <v>1526</v>
      </c>
      <c r="AN1034" s="13" t="s">
        <v>2583</v>
      </c>
      <c r="AP1034" s="39" t="e">
        <v>#N/A</v>
      </c>
      <c r="AR1034" s="13" t="s">
        <v>2584</v>
      </c>
      <c r="AS1034" s="31">
        <v>46163</v>
      </c>
      <c r="AU1034" s="31">
        <v>46191</v>
      </c>
      <c r="AV1034" s="13" t="s">
        <v>2585</v>
      </c>
      <c r="AW1034" s="31">
        <v>46308</v>
      </c>
      <c r="AX1034" s="13" t="str">
        <f>IF(ISNUMBER(SEARCH("cancel",#REF!)),"Cancelled",IF(AND(AS1034&lt;&gt;"",AU1034&lt;&gt;"",AW1034&lt;&gt;""),"Closed","Open"))</f>
        <v>Closed</v>
      </c>
      <c r="AY1034" s="15" t="str">
        <f t="shared" si="49"/>
        <v>All dates received</v>
      </c>
      <c r="BD1034" s="13">
        <f>IF($AX1034="Cancelled","",IFERROR(IF(OR(AS1034="",AJ1034=""),"",(AJ1034+Variables!$B$18-AS1034)),""))</f>
        <v>-6</v>
      </c>
      <c r="BE1034" s="13">
        <f>IF($AX1034="Cancelled","",IFERROR(IF(OR(AW1034="",AS1034=""),"",(AS1034+Variables!$B$19)-AW1034),""))</f>
        <v>-140</v>
      </c>
      <c r="BF1034" s="44">
        <f>IF($AX1034="Cancelled","",IFERROR(W1034*INDEX(Variables!$B$7:$D$7,IFERROR(MATCH(IF($B1034="Robusta","Robusta",(IF($B1034="","Arabica",$B1034))&amp;" - "&amp;(IF($C1034="","Commercial",$C1034))),Variables!$B$1:$D$1,0),1))*(BE1034/365),""))</f>
        <v>-420.80045385904134</v>
      </c>
      <c r="BG1034" s="44" t="str">
        <f>IF($AX1034="Cancelled","",IFERROR((W1034*INDEX(Variables!$B$7:$D$7,IFERROR(MATCH(IF($B1034="Robusta","Robusta",(IF($B1034="","Arabica",$B1034))&amp;" - "&amp;(IF($C1034="","Commercial",$C1034))),Variables!$B$1:$D$1,0),1))*IFERROR(IF(AB1034="","",(AVERAGE(E1034:F1034)-AB1034)-Variables!$B$14),"")/365)+(L1034/16.67*INDEX(Variables!$B$8:$D$8,IFERROR(MATCH(IF($B1034="Robusta","Robusta",(IF($B1034="","Arabica",$B1034))&amp;" - "&amp;(IF($C1034="","Commercial",$C1034))),Variables!$B$1:$D$1,0),1))*IFERROR(IF(AB1034="","",(AVERAGE(E1034:F1034)-AB1034)-Variables!$B$14),""))+(W1034*INDEX(Variables!$B$9:$D$9,IFERROR(MATCH(IF($B1034="Robusta","Robusta",(IF($B1034="","Arabica",$B1034))&amp;" - "&amp;(IF($C1034="","Commercial",$C1034))),Variables!$B$1:$D$1,0),1))*IFERROR(IF(AB1034="","",(AVERAGE(E1034:F1034)-AB1034)-Variables!$B$14),"")/365),""))</f>
        <v/>
      </c>
      <c r="BH1034" s="44">
        <f>IF($AX1034="Cancelled","",IFERROR((W1034*INDEX(Variables!$B$7:$D$7,IFERROR(MATCH(IF($B1034="Robusta","Robusta",(IF($B1034="","Arabica",$B1034))&amp;" - "&amp;(IF($C1034="","Commercial",$C1034))),Variables!$B$1:$D$1,0),1))*AK1034/365)+(L1034/16.67*INDEX(Variables!$B$8:$D$8,IFERROR(MATCH(IF($B1034="Robusta","Robusta",(IF($B1034="","Arabica",$B1034))&amp;" - "&amp;(IF($C1034="","Commercial",$C1034))),Variables!$B$1:$D$1,0),1))*AK1034)+(W1034*INDEX(Variables!$B$9:$D$9,IFERROR(MATCH(IF($B1034="Robusta","Robusta",(IF($B1034="","Arabica",$B1034))&amp;" - "&amp;(IF($C1034="","Commercial",$C1034))),Variables!$B$1:$D$1,0),1))*AK1034/365),""))</f>
        <v>8.6889340542533997</v>
      </c>
      <c r="BI1034" s="44">
        <f>IF($AX1034="Cancelled","",IFERROR((W1034*INDEX(Variables!$B$7:$D$7,IFERROR(MATCH(IF($B1034="Robusta","Robusta",(IF($B1034="","Arabica",$B1034))&amp;" - "&amp;(IF($C1034="","Commercial",$C1034))),Variables!$B$1:$D$1,0),1))*BD1034/365)+(L1034/16.67*INDEX(Variables!$B$8:$D$8,IFERROR(MATCH(IF($B1034="Robusta","Robusta",(IF($B1034="","Arabica",$B1034))&amp;" - "&amp;(IF($C1034="","Commercial",$C1034))),Variables!$B$1:$D$1,0),1))*BD1034)+(W1034*INDEX(Variables!$B$9:$D$9,IFERROR(MATCH(IF($B1034="Robusta","Robusta",(IF($B1034="","Arabica",$B1034))&amp;" - "&amp;(IF($C1034="","Commercial",$C1034))),Variables!$B$1:$D$1,0),1))*BD1034/365),""))</f>
        <v>-26.066802162760201</v>
      </c>
      <c r="BJ1034" s="44">
        <f t="shared" si="51"/>
        <v>-21</v>
      </c>
      <c r="BK1034" s="44">
        <f>IF($AX1034="Cancelled","",IFERROR(IF(BJ1034="","",(W1034*INDEX(Variables!$B$7:$D$7,IFERROR(MATCH(IF($B1034="Robusta","Robusta",(IF($B1034="","Arabica",$B1034))&amp;" - "&amp;(IF($C1034="","Commercial",$C1034))),Variables!$B$1:$D$1,0),1))*(BJ1034/365))+(W1034*INDEX(Variables!$B$9:$D$9,IFERROR(MATCH(IF($B1034="Robusta","Robusta",(IF($B1034="","Arabica",$B1034))&amp;" - "&amp;(IF($C1034="","Commercial",$C1034))),Variables!$B$1:$D$1,0),1))*(BJ1034/365))+(INDEX(Variables!$B$8:$D$8,IFERROR(MATCH(IF($B1034="Robusta","Robusta",(IF($B1034="","Arabica",$B1034))&amp;" - "&amp;(IF($C1034="","Commercial",$C1034))),Variables!$B$1:$D$1,0),1))*L1034/16.67)),""))</f>
        <v>-62.633807569660696</v>
      </c>
    </row>
    <row r="1035" spans="1:63">
      <c r="A1035" s="13" t="s">
        <v>103</v>
      </c>
      <c r="B1035" s="13" t="s">
        <v>104</v>
      </c>
      <c r="C1035" s="13" t="s">
        <v>292</v>
      </c>
      <c r="D1035" s="31">
        <v>46099</v>
      </c>
      <c r="E1035" s="31">
        <v>46113</v>
      </c>
      <c r="F1035" s="31">
        <v>46142</v>
      </c>
      <c r="G1035" s="13">
        <v>3787454</v>
      </c>
      <c r="J1035" s="13" t="s">
        <v>294</v>
      </c>
      <c r="K1035" s="13" t="s">
        <v>2598</v>
      </c>
      <c r="L1035" s="13">
        <v>16</v>
      </c>
      <c r="M1035" s="13">
        <v>0</v>
      </c>
      <c r="N1035" s="13" t="s">
        <v>2599</v>
      </c>
      <c r="O1035" s="13" t="s">
        <v>771</v>
      </c>
      <c r="P1035" s="13">
        <v>10010</v>
      </c>
      <c r="R1035" s="13" t="s">
        <v>384</v>
      </c>
      <c r="S1035" s="13" t="s">
        <v>299</v>
      </c>
      <c r="T1035" s="13" t="s">
        <v>305</v>
      </c>
      <c r="U1035" s="13" t="s">
        <v>125</v>
      </c>
      <c r="V1035" s="23">
        <v>200</v>
      </c>
      <c r="W1035" s="44">
        <f>IF($AX1035="Cancelled","",IFERROR(((V1035+INDEX(Variables!$B$6:$D$6,IFERROR(MATCH(IF($B1035="Robusta","Robusta",(IF($B1035="","Arabica",$B1035))&amp;" - "&amp;(IF($C1035="","Commercial",$C1035))),Variables!$B$1:$D$1,0),1)))*22.0462)*(L1035/16.67),""))</f>
        <v>10385.386884223153</v>
      </c>
      <c r="Y1035" s="13" t="str">
        <f>IF($AX1035="Cancelled","",IF(X1035="","",IFERROR(IF(INDEX(Variables!$B$38:$B$47,MATCH(X1035,Variables!$A$38:$A$47,0))="Yes","Yes","No"),"No")))</f>
        <v/>
      </c>
      <c r="Z1035" s="31"/>
      <c r="AC1035" s="13" t="str">
        <f t="shared" si="50"/>
        <v/>
      </c>
      <c r="AF1035" s="71">
        <v>46133</v>
      </c>
      <c r="AG1035" s="37">
        <f>IF($AX1035="Cancelled","",IFERROR(IF(F1035="","",F1035-Variables!$B$13),""))</f>
        <v>46127</v>
      </c>
      <c r="AH1035" s="13" t="str">
        <f>IF($AX1035="Cancelled","",IFERROR(IF(AB1035="","",(AVERAGE(E1035:F1035)-AB1035)-Variables!$B$14),""))</f>
        <v/>
      </c>
      <c r="AJ1035" s="47">
        <v>46142</v>
      </c>
      <c r="AK1035" s="14">
        <f>IF($AX1035="Cancelled","",IFERROR(IF(AJ1035="","",IF(AND(AB1035="",AF1035=""),"",IF(AF1035&gt;AB1035,AF1035+Variables!$B$15+Variables!$B$16+Variables!$B$17-AJ1035,AB1035+Variables!$B$16+Variables!$B$17-AJ1035))),""))</f>
        <v>6</v>
      </c>
      <c r="AL1035" s="48" t="s">
        <v>114</v>
      </c>
      <c r="AM1035" s="13" t="s">
        <v>1526</v>
      </c>
      <c r="AN1035" s="13" t="s">
        <v>2583</v>
      </c>
      <c r="AP1035" s="39" t="e">
        <v>#N/A</v>
      </c>
      <c r="AR1035" s="13" t="s">
        <v>2584</v>
      </c>
      <c r="AS1035" s="31">
        <v>46163</v>
      </c>
      <c r="AU1035" s="31">
        <v>46191</v>
      </c>
      <c r="AV1035" s="13" t="s">
        <v>2585</v>
      </c>
      <c r="AW1035" s="31">
        <v>46308</v>
      </c>
      <c r="AX1035" s="13" t="str">
        <f>IF(ISNUMBER(SEARCH("cancel",#REF!)),"Cancelled",IF(AND(AS1035&lt;&gt;"",AU1035&lt;&gt;"",AW1035&lt;&gt;""),"Closed","Open"))</f>
        <v>Closed</v>
      </c>
      <c r="AY1035" s="15" t="str">
        <f t="shared" si="49"/>
        <v>All dates received</v>
      </c>
      <c r="BD1035" s="13">
        <f>IF($AX1035="Cancelled","",IFERROR(IF(OR(AS1035="",AJ1035=""),"",(AJ1035+Variables!$B$18-AS1035)),""))</f>
        <v>-6</v>
      </c>
      <c r="BE1035" s="13">
        <f>IF($AX1035="Cancelled","",IFERROR(IF(OR(AW1035="",AS1035=""),"",(AS1035+Variables!$B$19)-AW1035),""))</f>
        <v>-140</v>
      </c>
      <c r="BF1035" s="44">
        <f>IF($AX1035="Cancelled","",IFERROR(W1035*INDEX(Variables!$B$7:$D$7,IFERROR(MATCH(IF($B1035="Robusta","Robusta",(IF($B1035="","Arabica",$B1035))&amp;" - "&amp;(IF($C1035="","Commercial",$C1035))),Variables!$B$1:$D$1,0),1))*(BE1035/365),""))</f>
        <v>-256.86072104224542</v>
      </c>
      <c r="BG1035" s="44" t="str">
        <f>IF($AX1035="Cancelled","",IFERROR((W1035*INDEX(Variables!$B$7:$D$7,IFERROR(MATCH(IF($B1035="Robusta","Robusta",(IF($B1035="","Arabica",$B1035))&amp;" - "&amp;(IF($C1035="","Commercial",$C1035))),Variables!$B$1:$D$1,0),1))*IFERROR(IF(AB1035="","",(AVERAGE(E1035:F1035)-AB1035)-Variables!$B$14),"")/365)+(L1035/16.67*INDEX(Variables!$B$8:$D$8,IFERROR(MATCH(IF($B1035="Robusta","Robusta",(IF($B1035="","Arabica",$B1035))&amp;" - "&amp;(IF($C1035="","Commercial",$C1035))),Variables!$B$1:$D$1,0),1))*IFERROR(IF(AB1035="","",(AVERAGE(E1035:F1035)-AB1035)-Variables!$B$14),""))+(W1035*INDEX(Variables!$B$9:$D$9,IFERROR(MATCH(IF($B1035="Robusta","Robusta",(IF($B1035="","Arabica",$B1035))&amp;" - "&amp;(IF($C1035="","Commercial",$C1035))),Variables!$B$1:$D$1,0),1))*IFERROR(IF(AB1035="","",(AVERAGE(E1035:F1035)-AB1035)-Variables!$B$14),"")/365),""))</f>
        <v/>
      </c>
      <c r="BH1035" s="44">
        <f>IF($AX1035="Cancelled","",IFERROR((W1035*INDEX(Variables!$B$7:$D$7,IFERROR(MATCH(IF($B1035="Robusta","Robusta",(IF($B1035="","Arabica",$B1035))&amp;" - "&amp;(IF($C1035="","Commercial",$C1035))),Variables!$B$1:$D$1,0),1))*AK1035/365)+(L1035/16.67*INDEX(Variables!$B$8:$D$8,IFERROR(MATCH(IF($B1035="Robusta","Robusta",(IF($B1035="","Arabica",$B1035))&amp;" - "&amp;(IF($C1035="","Commercial",$C1035))),Variables!$B$1:$D$1,0),1))*AK1035)+(W1035*INDEX(Variables!$B$9:$D$9,IFERROR(MATCH(IF($B1035="Robusta","Robusta",(IF($B1035="","Arabica",$B1035))&amp;" - "&amp;(IF($C1035="","Commercial",$C1035))),Variables!$B$1:$D$1,0),1))*AK1035/365),""))</f>
        <v>15.95023506185275</v>
      </c>
      <c r="BI1035" s="44">
        <f>IF($AX1035="Cancelled","",IFERROR((W1035*INDEX(Variables!$B$7:$D$7,IFERROR(MATCH(IF($B1035="Robusta","Robusta",(IF($B1035="","Arabica",$B1035))&amp;" - "&amp;(IF($C1035="","Commercial",$C1035))),Variables!$B$1:$D$1,0),1))*BD1035/365)+(L1035/16.67*INDEX(Variables!$B$8:$D$8,IFERROR(MATCH(IF($B1035="Robusta","Robusta",(IF($B1035="","Arabica",$B1035))&amp;" - "&amp;(IF($C1035="","Commercial",$C1035))),Variables!$B$1:$D$1,0),1))*BD1035)+(W1035*INDEX(Variables!$B$9:$D$9,IFERROR(MATCH(IF($B1035="Robusta","Robusta",(IF($B1035="","Arabica",$B1035))&amp;" - "&amp;(IF($C1035="","Commercial",$C1035))),Variables!$B$1:$D$1,0),1))*BD1035/365),""))</f>
        <v>-15.95023506185275</v>
      </c>
      <c r="BJ1035" s="44">
        <f t="shared" si="51"/>
        <v>-21</v>
      </c>
      <c r="BK1035" s="44">
        <f>IF($AX1035="Cancelled","",IFERROR(IF(BJ1035="","",(W1035*INDEX(Variables!$B$7:$D$7,IFERROR(MATCH(IF($B1035="Robusta","Robusta",(IF($B1035="","Arabica",$B1035))&amp;" - "&amp;(IF($C1035="","Commercial",$C1035))),Variables!$B$1:$D$1,0),1))*(BJ1035/365))+(W1035*INDEX(Variables!$B$9:$D$9,IFERROR(MATCH(IF($B1035="Robusta","Robusta",(IF($B1035="","Arabica",$B1035))&amp;" - "&amp;(IF($C1035="","Commercial",$C1035))),Variables!$B$1:$D$1,0),1))*(BJ1035/365))+(INDEX(Variables!$B$8:$D$8,IFERROR(MATCH(IF($B1035="Robusta","Robusta",(IF($B1035="","Arabica",$B1035))&amp;" - "&amp;(IF($C1035="","Commercial",$C1035))),Variables!$B$1:$D$1,0),1))*L1035/16.67)),""))</f>
        <v>-38.225822716484629</v>
      </c>
    </row>
    <row r="1036" spans="1:63">
      <c r="A1036" s="13" t="s">
        <v>103</v>
      </c>
      <c r="B1036" s="13" t="s">
        <v>104</v>
      </c>
      <c r="C1036" s="13" t="s">
        <v>292</v>
      </c>
      <c r="D1036" s="31">
        <v>46099</v>
      </c>
      <c r="E1036" s="31">
        <v>46113</v>
      </c>
      <c r="F1036" s="31">
        <v>46142</v>
      </c>
      <c r="G1036" s="13">
        <v>3787455</v>
      </c>
      <c r="J1036" s="13" t="s">
        <v>294</v>
      </c>
      <c r="K1036" s="13" t="s">
        <v>2600</v>
      </c>
      <c r="L1036" s="13">
        <v>39</v>
      </c>
      <c r="M1036" s="13">
        <v>0</v>
      </c>
      <c r="N1036" s="13" t="s">
        <v>2601</v>
      </c>
      <c r="O1036" s="13" t="s">
        <v>297</v>
      </c>
      <c r="P1036" s="13">
        <v>10020</v>
      </c>
      <c r="R1036" s="13" t="s">
        <v>384</v>
      </c>
      <c r="S1036" s="13" t="s">
        <v>299</v>
      </c>
      <c r="T1036" s="13" t="s">
        <v>305</v>
      </c>
      <c r="U1036" s="13" t="s">
        <v>125</v>
      </c>
      <c r="V1036" s="23">
        <v>191</v>
      </c>
      <c r="W1036" s="44">
        <f>IF($AX1036="Cancelled","",IFERROR(((V1036+INDEX(Variables!$B$6:$D$6,IFERROR(MATCH(IF($B1036="Robusta","Robusta",(IF($B1036="","Arabica",$B1036))&amp;" - "&amp;(IF($C1036="","Commercial",$C1036))),Variables!$B$1:$D$1,0),1)))*22.0462)*(L1036/16.67),""))</f>
        <v>24850.180398320332</v>
      </c>
      <c r="Y1036" s="13" t="str">
        <f>IF($AX1036="Cancelled","",IF(X1036="","",IFERROR(IF(INDEX(Variables!$B$38:$B$47,MATCH(X1036,Variables!$A$38:$A$47,0))="Yes","Yes","No"),"No")))</f>
        <v/>
      </c>
      <c r="Z1036" s="31"/>
      <c r="AC1036" s="13" t="str">
        <f t="shared" si="50"/>
        <v/>
      </c>
      <c r="AF1036" s="71">
        <v>46129</v>
      </c>
      <c r="AG1036" s="37">
        <f>IF($AX1036="Cancelled","",IFERROR(IF(F1036="","",F1036-Variables!$B$13),""))</f>
        <v>46127</v>
      </c>
      <c r="AH1036" s="13" t="str">
        <f>IF($AX1036="Cancelled","",IFERROR(IF(AB1036="","",(AVERAGE(E1036:F1036)-AB1036)-Variables!$B$14),""))</f>
        <v/>
      </c>
      <c r="AJ1036" s="47">
        <v>46142</v>
      </c>
      <c r="AK1036" s="14">
        <f>IF($AX1036="Cancelled","",IFERROR(IF(AJ1036="","",IF(AND(AB1036="",AF1036=""),"",IF(AF1036&gt;AB1036,AF1036+Variables!$B$15+Variables!$B$16+Variables!$B$17-AJ1036,AB1036+Variables!$B$16+Variables!$B$17-AJ1036))),""))</f>
        <v>2</v>
      </c>
      <c r="AL1036" s="48" t="s">
        <v>114</v>
      </c>
      <c r="AM1036" s="13" t="s">
        <v>1526</v>
      </c>
      <c r="AN1036" s="13" t="s">
        <v>2583</v>
      </c>
      <c r="AP1036" s="39" t="e">
        <v>#N/A</v>
      </c>
      <c r="AR1036" s="13" t="s">
        <v>2584</v>
      </c>
      <c r="AS1036" s="31">
        <v>46163</v>
      </c>
      <c r="AU1036" s="31">
        <v>46191</v>
      </c>
      <c r="AV1036" s="13" t="s">
        <v>2585</v>
      </c>
      <c r="AW1036" s="31">
        <v>46308</v>
      </c>
      <c r="AX1036" s="13" t="str">
        <f>IF(ISNUMBER(SEARCH("cancel",#REF!)),"Cancelled",IF(AND(AS1036&lt;&gt;"",AU1036&lt;&gt;"",AW1036&lt;&gt;""),"Closed","Open"))</f>
        <v>Closed</v>
      </c>
      <c r="AY1036" s="15" t="str">
        <f t="shared" si="49"/>
        <v>All dates received</v>
      </c>
      <c r="BD1036" s="13">
        <f>IF($AX1036="Cancelled","",IFERROR(IF(OR(AS1036="",AJ1036=""),"",(AJ1036+Variables!$B$18-AS1036)),""))</f>
        <v>-6</v>
      </c>
      <c r="BE1036" s="13">
        <f>IF($AX1036="Cancelled","",IFERROR(IF(OR(AW1036="",AS1036=""),"",(AS1036+Variables!$B$19)-AW1036),""))</f>
        <v>-140</v>
      </c>
      <c r="BF1036" s="44">
        <f>IF($AX1036="Cancelled","",IFERROR(W1036*INDEX(Variables!$B$7:$D$7,IFERROR(MATCH(IF($B1036="Robusta","Robusta",(IF($B1036="","Arabica",$B1036))&amp;" - "&amp;(IF($C1036="","Commercial",$C1036))),Variables!$B$1:$D$1,0),1))*(BE1036/365),""))</f>
        <v>-614.61699273227396</v>
      </c>
      <c r="BG1036" s="44" t="str">
        <f>IF($AX1036="Cancelled","",IFERROR((W1036*INDEX(Variables!$B$7:$D$7,IFERROR(MATCH(IF($B1036="Robusta","Robusta",(IF($B1036="","Arabica",$B1036))&amp;" - "&amp;(IF($C1036="","Commercial",$C1036))),Variables!$B$1:$D$1,0),1))*IFERROR(IF(AB1036="","",(AVERAGE(E1036:F1036)-AB1036)-Variables!$B$14),"")/365)+(L1036/16.67*INDEX(Variables!$B$8:$D$8,IFERROR(MATCH(IF($B1036="Robusta","Robusta",(IF($B1036="","Arabica",$B1036))&amp;" - "&amp;(IF($C1036="","Commercial",$C1036))),Variables!$B$1:$D$1,0),1))*IFERROR(IF(AB1036="","",(AVERAGE(E1036:F1036)-AB1036)-Variables!$B$14),""))+(W1036*INDEX(Variables!$B$9:$D$9,IFERROR(MATCH(IF($B1036="Robusta","Robusta",(IF($B1036="","Arabica",$B1036))&amp;" - "&amp;(IF($C1036="","Commercial",$C1036))),Variables!$B$1:$D$1,0),1))*IFERROR(IF(AB1036="","",(AVERAGE(E1036:F1036)-AB1036)-Variables!$B$14),"")/365),""))</f>
        <v/>
      </c>
      <c r="BH1036" s="44">
        <f>IF($AX1036="Cancelled","",IFERROR((W1036*INDEX(Variables!$B$7:$D$7,IFERROR(MATCH(IF($B1036="Robusta","Robusta",(IF($B1036="","Arabica",$B1036))&amp;" - "&amp;(IF($C1036="","Commercial",$C1036))),Variables!$B$1:$D$1,0),1))*AK1036/365)+(L1036/16.67*INDEX(Variables!$B$8:$D$8,IFERROR(MATCH(IF($B1036="Robusta","Robusta",(IF($B1036="","Arabica",$B1036))&amp;" - "&amp;(IF($C1036="","Commercial",$C1036))),Variables!$B$1:$D$1,0),1))*AK1036)+(W1036*INDEX(Variables!$B$9:$D$9,IFERROR(MATCH(IF($B1036="Robusta","Robusta",(IF($B1036="","Arabica",$B1036))&amp;" - "&amp;(IF($C1036="","Commercial",$C1036))),Variables!$B$1:$D$1,0),1))*AK1036/365),""))</f>
        <v>12.793437027099699</v>
      </c>
      <c r="BI1036" s="44">
        <f>IF($AX1036="Cancelled","",IFERROR((W1036*INDEX(Variables!$B$7:$D$7,IFERROR(MATCH(IF($B1036="Robusta","Robusta",(IF($B1036="","Arabica",$B1036))&amp;" - "&amp;(IF($C1036="","Commercial",$C1036))),Variables!$B$1:$D$1,0),1))*BD1036/365)+(L1036/16.67*INDEX(Variables!$B$8:$D$8,IFERROR(MATCH(IF($B1036="Robusta","Robusta",(IF($B1036="","Arabica",$B1036))&amp;" - "&amp;(IF($C1036="","Commercial",$C1036))),Variables!$B$1:$D$1,0),1))*BD1036)+(W1036*INDEX(Variables!$B$9:$D$9,IFERROR(MATCH(IF($B1036="Robusta","Robusta",(IF($B1036="","Arabica",$B1036))&amp;" - "&amp;(IF($C1036="","Commercial",$C1036))),Variables!$B$1:$D$1,0),1))*BD1036/365),""))</f>
        <v>-38.380311081299105</v>
      </c>
      <c r="BJ1036" s="44">
        <f t="shared" si="51"/>
        <v>-21</v>
      </c>
      <c r="BK1036" s="44">
        <f>IF($AX1036="Cancelled","",IFERROR(IF(BJ1036="","",(W1036*INDEX(Variables!$B$7:$D$7,IFERROR(MATCH(IF($B1036="Robusta","Robusta",(IF($B1036="","Arabica",$B1036))&amp;" - "&amp;(IF($C1036="","Commercial",$C1036))),Variables!$B$1:$D$1,0),1))*(BJ1036/365))+(W1036*INDEX(Variables!$B$9:$D$9,IFERROR(MATCH(IF($B1036="Robusta","Robusta",(IF($B1036="","Arabica",$B1036))&amp;" - "&amp;(IF($C1036="","Commercial",$C1036))),Variables!$B$1:$D$1,0),1))*(BJ1036/365))+(INDEX(Variables!$B$8:$D$8,IFERROR(MATCH(IF($B1036="Robusta","Robusta",(IF($B1036="","Arabica",$B1036))&amp;" - "&amp;(IF($C1036="","Commercial",$C1036))),Variables!$B$1:$D$1,0),1))*L1036/16.67)),""))</f>
        <v>-91.431088784546844</v>
      </c>
    </row>
    <row r="1037" spans="1:63">
      <c r="A1037" s="13" t="s">
        <v>103</v>
      </c>
      <c r="B1037" s="13" t="s">
        <v>104</v>
      </c>
      <c r="C1037" s="13" t="s">
        <v>292</v>
      </c>
      <c r="D1037" s="31">
        <v>46099</v>
      </c>
      <c r="E1037" s="31">
        <v>46113</v>
      </c>
      <c r="F1037" s="31">
        <v>46142</v>
      </c>
      <c r="G1037" s="13">
        <v>3787456</v>
      </c>
      <c r="J1037" s="13" t="s">
        <v>294</v>
      </c>
      <c r="K1037" s="13" t="s">
        <v>2602</v>
      </c>
      <c r="L1037" s="13">
        <v>29</v>
      </c>
      <c r="M1037" s="13">
        <v>0</v>
      </c>
      <c r="N1037" s="13" t="s">
        <v>2603</v>
      </c>
      <c r="O1037" s="13" t="s">
        <v>771</v>
      </c>
      <c r="P1037" s="13">
        <v>10010</v>
      </c>
      <c r="R1037" s="13" t="s">
        <v>384</v>
      </c>
      <c r="S1037" s="13" t="s">
        <v>299</v>
      </c>
      <c r="T1037" s="13" t="s">
        <v>305</v>
      </c>
      <c r="U1037" s="13" t="s">
        <v>125</v>
      </c>
      <c r="V1037" s="23">
        <v>196</v>
      </c>
      <c r="W1037" s="44">
        <f>IF($AX1037="Cancelled","",IFERROR(((V1037+INDEX(Variables!$B$6:$D$6,IFERROR(MATCH(IF($B1037="Robusta","Robusta",(IF($B1037="","Arabica",$B1037))&amp;" - "&amp;(IF($C1037="","Commercial",$C1037))),Variables!$B$1:$D$1,0),1)))*22.0462)*(L1037/16.67),""))</f>
        <v>18670.102857828431</v>
      </c>
      <c r="Y1037" s="13" t="str">
        <f>IF($AX1037="Cancelled","",IF(X1037="","",IFERROR(IF(INDEX(Variables!$B$38:$B$47,MATCH(X1037,Variables!$A$38:$A$47,0))="Yes","Yes","No"),"No")))</f>
        <v/>
      </c>
      <c r="Z1037" s="31"/>
      <c r="AC1037" s="13" t="str">
        <f t="shared" si="50"/>
        <v/>
      </c>
      <c r="AF1037" s="71">
        <v>46133</v>
      </c>
      <c r="AG1037" s="37">
        <f>IF($AX1037="Cancelled","",IFERROR(IF(F1037="","",F1037-Variables!$B$13),""))</f>
        <v>46127</v>
      </c>
      <c r="AH1037" s="13" t="str">
        <f>IF($AX1037="Cancelled","",IFERROR(IF(AB1037="","",(AVERAGE(E1037:F1037)-AB1037)-Variables!$B$14),""))</f>
        <v/>
      </c>
      <c r="AJ1037" s="47">
        <v>46142</v>
      </c>
      <c r="AK1037" s="14">
        <f>IF($AX1037="Cancelled","",IFERROR(IF(AJ1037="","",IF(AND(AB1037="",AF1037=""),"",IF(AF1037&gt;AB1037,AF1037+Variables!$B$15+Variables!$B$16+Variables!$B$17-AJ1037,AB1037+Variables!$B$16+Variables!$B$17-AJ1037))),""))</f>
        <v>6</v>
      </c>
      <c r="AL1037" s="48" t="s">
        <v>114</v>
      </c>
      <c r="AM1037" s="13" t="s">
        <v>1526</v>
      </c>
      <c r="AN1037" s="13" t="s">
        <v>2583</v>
      </c>
      <c r="AP1037" s="39" t="e">
        <v>#N/A</v>
      </c>
      <c r="AR1037" s="13" t="s">
        <v>2584</v>
      </c>
      <c r="AS1037" s="31">
        <v>46163</v>
      </c>
      <c r="AU1037" s="31">
        <v>46191</v>
      </c>
      <c r="AV1037" s="13" t="s">
        <v>2585</v>
      </c>
      <c r="AW1037" s="31">
        <v>46308</v>
      </c>
      <c r="AX1037" s="13" t="str">
        <f>IF(ISNUMBER(SEARCH("cancel",#REF!)),"Cancelled",IF(AND(AS1037&lt;&gt;"",AU1037&lt;&gt;"",AW1037&lt;&gt;""),"Closed","Open"))</f>
        <v>Closed</v>
      </c>
      <c r="AY1037" s="15" t="str">
        <f t="shared" si="49"/>
        <v>All dates received</v>
      </c>
      <c r="BD1037" s="13">
        <f>IF($AX1037="Cancelled","",IFERROR(IF(OR(AS1037="",AJ1037=""),"",(AJ1037+Variables!$B$18-AS1037)),""))</f>
        <v>-6</v>
      </c>
      <c r="BE1037" s="13">
        <f>IF($AX1037="Cancelled","",IFERROR(IF(OR(AW1037="",AS1037=""),"",(AS1037+Variables!$B$19)-AW1037),""))</f>
        <v>-140</v>
      </c>
      <c r="BF1037" s="44">
        <f>IF($AX1037="Cancelled","",IFERROR(W1037*INDEX(Variables!$B$7:$D$7,IFERROR(MATCH(IF($B1037="Robusta","Robusta",(IF($B1037="","Arabica",$B1037))&amp;" - "&amp;(IF($C1037="","Commercial",$C1037))),Variables!$B$1:$D$1,0),1))*(BE1037/365),""))</f>
        <v>-461.76576139690144</v>
      </c>
      <c r="BG1037" s="44" t="str">
        <f>IF($AX1037="Cancelled","",IFERROR((W1037*INDEX(Variables!$B$7:$D$7,IFERROR(MATCH(IF($B1037="Robusta","Robusta",(IF($B1037="","Arabica",$B1037))&amp;" - "&amp;(IF($C1037="","Commercial",$C1037))),Variables!$B$1:$D$1,0),1))*IFERROR(IF(AB1037="","",(AVERAGE(E1037:F1037)-AB1037)-Variables!$B$14),"")/365)+(L1037/16.67*INDEX(Variables!$B$8:$D$8,IFERROR(MATCH(IF($B1037="Robusta","Robusta",(IF($B1037="","Arabica",$B1037))&amp;" - "&amp;(IF($C1037="","Commercial",$C1037))),Variables!$B$1:$D$1,0),1))*IFERROR(IF(AB1037="","",(AVERAGE(E1037:F1037)-AB1037)-Variables!$B$14),""))+(W1037*INDEX(Variables!$B$9:$D$9,IFERROR(MATCH(IF($B1037="Robusta","Robusta",(IF($B1037="","Arabica",$B1037))&amp;" - "&amp;(IF($C1037="","Commercial",$C1037))),Variables!$B$1:$D$1,0),1))*IFERROR(IF(AB1037="","",(AVERAGE(E1037:F1037)-AB1037)-Variables!$B$14),"")/365),""))</f>
        <v/>
      </c>
      <c r="BH1037" s="44">
        <f>IF($AX1037="Cancelled","",IFERROR((W1037*INDEX(Variables!$B$7:$D$7,IFERROR(MATCH(IF($B1037="Robusta","Robusta",(IF($B1037="","Arabica",$B1037))&amp;" - "&amp;(IF($C1037="","Commercial",$C1037))),Variables!$B$1:$D$1,0),1))*AK1037/365)+(L1037/16.67*INDEX(Variables!$B$8:$D$8,IFERROR(MATCH(IF($B1037="Robusta","Robusta",(IF($B1037="","Arabica",$B1037))&amp;" - "&amp;(IF($C1037="","Commercial",$C1037))),Variables!$B$1:$D$1,0),1))*AK1037)+(W1037*INDEX(Variables!$B$9:$D$9,IFERROR(MATCH(IF($B1037="Robusta","Robusta",(IF($B1037="","Arabica",$B1037))&amp;" - "&amp;(IF($C1037="","Commercial",$C1037))),Variables!$B$1:$D$1,0),1))*AK1037/365),""))</f>
        <v>28.745091994599083</v>
      </c>
      <c r="BI1037" s="44">
        <f>IF($AX1037="Cancelled","",IFERROR((W1037*INDEX(Variables!$B$7:$D$7,IFERROR(MATCH(IF($B1037="Robusta","Robusta",(IF($B1037="","Arabica",$B1037))&amp;" - "&amp;(IF($C1037="","Commercial",$C1037))),Variables!$B$1:$D$1,0),1))*BD1037/365)+(L1037/16.67*INDEX(Variables!$B$8:$D$8,IFERROR(MATCH(IF($B1037="Robusta","Robusta",(IF($B1037="","Arabica",$B1037))&amp;" - "&amp;(IF($C1037="","Commercial",$C1037))),Variables!$B$1:$D$1,0),1))*BD1037)+(W1037*INDEX(Variables!$B$9:$D$9,IFERROR(MATCH(IF($B1037="Robusta","Robusta",(IF($B1037="","Arabica",$B1037))&amp;" - "&amp;(IF($C1037="","Commercial",$C1037))),Variables!$B$1:$D$1,0),1))*BD1037/365),""))</f>
        <v>-28.745091994599083</v>
      </c>
      <c r="BJ1037" s="44">
        <f t="shared" si="51"/>
        <v>-21</v>
      </c>
      <c r="BK1037" s="44">
        <f>IF($AX1037="Cancelled","",IFERROR(IF(BJ1037="","",(W1037*INDEX(Variables!$B$7:$D$7,IFERROR(MATCH(IF($B1037="Robusta","Robusta",(IF($B1037="","Arabica",$B1037))&amp;" - "&amp;(IF($C1037="","Commercial",$C1037))),Variables!$B$1:$D$1,0),1))*(BJ1037/365))+(W1037*INDEX(Variables!$B$9:$D$9,IFERROR(MATCH(IF($B1037="Robusta","Robusta",(IF($B1037="","Arabica",$B1037))&amp;" - "&amp;(IF($C1037="","Commercial",$C1037))),Variables!$B$1:$D$1,0),1))*(BJ1037/365))+(INDEX(Variables!$B$8:$D$8,IFERROR(MATCH(IF($B1037="Robusta","Robusta",(IF($B1037="","Arabica",$B1037))&amp;" - "&amp;(IF($C1037="","Commercial",$C1037))),Variables!$B$1:$D$1,0),1))*L1037/16.67)),""))</f>
        <v>-68.707821981096771</v>
      </c>
    </row>
    <row r="1038" spans="1:63">
      <c r="A1038" s="13" t="s">
        <v>103</v>
      </c>
      <c r="B1038" s="13" t="s">
        <v>104</v>
      </c>
      <c r="C1038" s="13" t="s">
        <v>105</v>
      </c>
      <c r="D1038" s="31">
        <v>46100</v>
      </c>
      <c r="E1038" s="31">
        <v>46143</v>
      </c>
      <c r="F1038" s="31">
        <v>46173</v>
      </c>
      <c r="G1038" s="13">
        <v>3787457</v>
      </c>
      <c r="J1038" s="13" t="s">
        <v>1731</v>
      </c>
      <c r="K1038" s="13">
        <v>5540</v>
      </c>
      <c r="L1038" s="13">
        <v>320</v>
      </c>
      <c r="M1038" s="13">
        <v>1</v>
      </c>
      <c r="N1038" s="13" t="s">
        <v>2604</v>
      </c>
      <c r="O1038" s="13" t="s">
        <v>538</v>
      </c>
      <c r="P1038" s="13">
        <v>10080</v>
      </c>
      <c r="R1038" s="13" t="s">
        <v>239</v>
      </c>
      <c r="S1038" s="13" t="s">
        <v>2605</v>
      </c>
      <c r="T1038" s="13" t="s">
        <v>2073</v>
      </c>
      <c r="U1038" s="13" t="s">
        <v>182</v>
      </c>
      <c r="V1038" s="23">
        <v>28</v>
      </c>
      <c r="W1038" s="44">
        <f>IF($AX1038="Cancelled","",IFERROR(((V1038+INDEX(Variables!$B$6:$D$6,IFERROR(MATCH(IF($B1038="Robusta","Robusta",(IF($B1038="","Arabica",$B1038))&amp;" - "&amp;(IF($C1038="","Commercial",$C1038))),Variables!$B$1:$D$1,0),1)))*22.0462)*(L1038/16.67),""))</f>
        <v>134916.92496700658</v>
      </c>
      <c r="X1038" s="55" t="s">
        <v>37</v>
      </c>
      <c r="Y1038" s="13" t="str">
        <f>IF($AX1038="Cancelled","",IF(X1038="","",IFERROR(IF(INDEX(Variables!$B$38:$B$47,MATCH(X1038,Variables!$A$38:$A$47,0))="Yes","Yes","No"),"No")))</f>
        <v>Yes</v>
      </c>
      <c r="Z1038" s="58">
        <v>46119</v>
      </c>
      <c r="AB1038" s="31">
        <v>46125</v>
      </c>
      <c r="AC1038" s="13" t="str">
        <f t="shared" si="50"/>
        <v>Approved</v>
      </c>
      <c r="AF1038" s="71">
        <v>46177</v>
      </c>
      <c r="AG1038" s="37">
        <f>IF($AX1038="Cancelled","",IFERROR(IF(F1038="","",F1038-Variables!$B$13),""))</f>
        <v>46158</v>
      </c>
      <c r="AH1038" s="13">
        <f>IF($AX1038="Cancelled","",IFERROR(IF(AB1038="","",(AVERAGE(E1038:F1038)-AB1038)-Variables!$B$14),""))</f>
        <v>3</v>
      </c>
      <c r="AJ1038" s="47">
        <v>46183</v>
      </c>
      <c r="AK1038" s="14">
        <f>IF($AX1038="Cancelled","",IFERROR(IF(AJ1038="","",IF(AND(AB1038="",AF1038=""),"",IF(AF1038&gt;AB1038,AF1038+Variables!$B$15+Variables!$B$16+Variables!$B$17-AJ1038,AB1038+Variables!$B$16+Variables!$B$17-AJ1038))),""))</f>
        <v>9</v>
      </c>
      <c r="AL1038" s="48" t="s">
        <v>114</v>
      </c>
      <c r="AM1038" s="13" t="s">
        <v>1482</v>
      </c>
      <c r="AN1038" s="13" t="s">
        <v>2191</v>
      </c>
      <c r="AP1038" s="39">
        <v>46213</v>
      </c>
      <c r="AR1038" s="13" t="s">
        <v>2606</v>
      </c>
      <c r="AS1038" s="31">
        <v>46213</v>
      </c>
      <c r="AU1038" s="31">
        <v>46225</v>
      </c>
      <c r="AV1038" s="13" t="e">
        <v>#REF!</v>
      </c>
      <c r="AW1038" s="31">
        <v>46225</v>
      </c>
      <c r="AX1038" s="13" t="str">
        <f>IF(ISNUMBER(SEARCH("cancel",#REF!)),"Cancelled",IF(AND(AS1038&lt;&gt;"",AU1038&lt;&gt;"",AW1038&lt;&gt;""),"Closed","Open"))</f>
        <v>Closed</v>
      </c>
      <c r="AY1038" s="15" t="str">
        <f t="shared" si="49"/>
        <v>All dates received</v>
      </c>
      <c r="BD1038" s="13">
        <f>IF($AX1038="Cancelled","",IFERROR(IF(OR(AS1038="",AJ1038=""),"",(AJ1038+Variables!$B$18-AS1038)),""))</f>
        <v>-15</v>
      </c>
      <c r="BE1038" s="13">
        <f>IF($AX1038="Cancelled","",IFERROR(IF(OR(AW1038="",AS1038=""),"",(AS1038+Variables!$B$19)-AW1038),""))</f>
        <v>-7</v>
      </c>
      <c r="BF1038" s="44">
        <f>IF($AX1038="Cancelled","",IFERROR(W1038*INDEX(Variables!$B$7:$D$7,IFERROR(MATCH(IF($B1038="Robusta","Robusta",(IF($B1038="","Arabica",$B1038))&amp;" - "&amp;(IF($C1038="","Commercial",$C1038))),Variables!$B$1:$D$1,0),1))*(BE1038/365),""))</f>
        <v>-166.8443314349386</v>
      </c>
      <c r="BG1038" s="44">
        <f>IF($AX1038="Cancelled","",IFERROR((W1038*INDEX(Variables!$B$7:$D$7,IFERROR(MATCH(IF($B1038="Robusta","Robusta",(IF($B1038="","Arabica",$B1038))&amp;" - "&amp;(IF($C1038="","Commercial",$C1038))),Variables!$B$1:$D$1,0),1))*IFERROR(IF(AB1038="","",(AVERAGE(E1038:F1038)-AB1038)-Variables!$B$14),"")/365)+(L1038/16.67*INDEX(Variables!$B$8:$D$8,IFERROR(MATCH(IF($B1038="Robusta","Robusta",(IF($B1038="","Arabica",$B1038))&amp;" - "&amp;(IF($C1038="","Commercial",$C1038))),Variables!$B$1:$D$1,0),1))*IFERROR(IF(AB1038="","",(AVERAGE(E1038:F1038)-AB1038)-Variables!$B$14),""))+(W1038*INDEX(Variables!$B$9:$D$9,IFERROR(MATCH(IF($B1038="Robusta","Robusta",(IF($B1038="","Arabica",$B1038))&amp;" - "&amp;(IF($C1038="","Commercial",$C1038))),Variables!$B$1:$D$1,0),1))*IFERROR(IF(AB1038="","",(AVERAGE(E1038:F1038)-AB1038)-Variables!$B$14),"")/365),""))</f>
        <v>120.42654722328153</v>
      </c>
      <c r="BH1038" s="44">
        <f>IF($AX1038="Cancelled","",IFERROR((W1038*INDEX(Variables!$B$7:$D$7,IFERROR(MATCH(IF($B1038="Robusta","Robusta",(IF($B1038="","Arabica",$B1038))&amp;" - "&amp;(IF($C1038="","Commercial",$C1038))),Variables!$B$1:$D$1,0),1))*AK1038/365)+(L1038/16.67*INDEX(Variables!$B$8:$D$8,IFERROR(MATCH(IF($B1038="Robusta","Robusta",(IF($B1038="","Arabica",$B1038))&amp;" - "&amp;(IF($C1038="","Commercial",$C1038))),Variables!$B$1:$D$1,0),1))*AK1038)+(W1038*INDEX(Variables!$B$9:$D$9,IFERROR(MATCH(IF($B1038="Robusta","Robusta",(IF($B1038="","Arabica",$B1038))&amp;" - "&amp;(IF($C1038="","Commercial",$C1038))),Variables!$B$1:$D$1,0),1))*AK1038/365),""))</f>
        <v>361.27964166984458</v>
      </c>
      <c r="BI1038" s="44">
        <f>IF($AX1038="Cancelled","",IFERROR((W1038*INDEX(Variables!$B$7:$D$7,IFERROR(MATCH(IF($B1038="Robusta","Robusta",(IF($B1038="","Arabica",$B1038))&amp;" - "&amp;(IF($C1038="","Commercial",$C1038))),Variables!$B$1:$D$1,0),1))*BD1038/365)+(L1038/16.67*INDEX(Variables!$B$8:$D$8,IFERROR(MATCH(IF($B1038="Robusta","Robusta",(IF($B1038="","Arabica",$B1038))&amp;" - "&amp;(IF($C1038="","Commercial",$C1038))),Variables!$B$1:$D$1,0),1))*BD1038)+(W1038*INDEX(Variables!$B$9:$D$9,IFERROR(MATCH(IF($B1038="Robusta","Robusta",(IF($B1038="","Arabica",$B1038))&amp;" - "&amp;(IF($C1038="","Commercial",$C1038))),Variables!$B$1:$D$1,0),1))*BD1038/365),""))</f>
        <v>-602.13273611640773</v>
      </c>
      <c r="BJ1038" s="44">
        <f t="shared" si="51"/>
        <v>-40</v>
      </c>
      <c r="BK1038" s="44">
        <f>IF($AX1038="Cancelled","",IFERROR(IF(BJ1038="","",(W1038*INDEX(Variables!$B$7:$D$7,IFERROR(MATCH(IF($B1038="Robusta","Robusta",(IF($B1038="","Arabica",$B1038))&amp;" - "&amp;(IF($C1038="","Commercial",$C1038))),Variables!$B$1:$D$1,0),1))*(BJ1038/365))+(W1038*INDEX(Variables!$B$9:$D$9,IFERROR(MATCH(IF($B1038="Robusta","Robusta",(IF($B1038="","Arabica",$B1038))&amp;" - "&amp;(IF($C1038="","Commercial",$C1038))),Variables!$B$1:$D$1,0),1))*(BJ1038/365))+(INDEX(Variables!$B$8:$D$8,IFERROR(MATCH(IF($B1038="Robusta","Robusta",(IF($B1038="","Arabica",$B1038))&amp;" - "&amp;(IF($C1038="","Commercial",$C1038))),Variables!$B$1:$D$1,0),1))*L1038/16.67)),""))</f>
        <v>-949.68729631042015</v>
      </c>
    </row>
    <row r="1039" spans="1:63">
      <c r="A1039" s="13" t="s">
        <v>103</v>
      </c>
      <c r="B1039" s="13" t="s">
        <v>104</v>
      </c>
      <c r="C1039" s="13" t="s">
        <v>105</v>
      </c>
      <c r="D1039" s="31">
        <v>46100</v>
      </c>
      <c r="E1039" s="31">
        <v>46143</v>
      </c>
      <c r="F1039" s="31">
        <v>46173</v>
      </c>
      <c r="G1039" s="13">
        <v>3787458</v>
      </c>
      <c r="J1039" s="13" t="s">
        <v>1731</v>
      </c>
      <c r="K1039" s="13" t="s">
        <v>2607</v>
      </c>
      <c r="L1039" s="13">
        <v>80</v>
      </c>
      <c r="M1039" s="13">
        <v>1</v>
      </c>
      <c r="N1039" s="13" t="s">
        <v>2608</v>
      </c>
      <c r="O1039" s="13" t="s">
        <v>261</v>
      </c>
      <c r="P1039" s="13">
        <v>10060</v>
      </c>
      <c r="R1039" s="13" t="s">
        <v>671</v>
      </c>
      <c r="S1039" s="13" t="s">
        <v>2605</v>
      </c>
      <c r="T1039" s="13" t="s">
        <v>2609</v>
      </c>
      <c r="U1039" s="13" t="s">
        <v>182</v>
      </c>
      <c r="V1039" s="23">
        <v>45</v>
      </c>
      <c r="W1039" s="44">
        <f>IF($AX1039="Cancelled","",IFERROR(((V1039+INDEX(Variables!$B$6:$D$6,IFERROR(MATCH(IF($B1039="Robusta","Robusta",(IF($B1039="","Arabica",$B1039))&amp;" - "&amp;(IF($C1039="","Commercial",$C1039))),Variables!$B$1:$D$1,0),1)))*22.0462)*(L1039/16.67),""))</f>
        <v>35527.84143971205</v>
      </c>
      <c r="X1039" s="55" t="s">
        <v>37</v>
      </c>
      <c r="Y1039" s="13" t="str">
        <f>IF($AX1039="Cancelled","",IF(X1039="","",IFERROR(IF(INDEX(Variables!$B$38:$B$47,MATCH(X1039,Variables!$A$38:$A$47,0))="Yes","Yes","No"),"No")))</f>
        <v>Yes</v>
      </c>
      <c r="Z1039" s="58">
        <v>46119</v>
      </c>
      <c r="AB1039" s="31">
        <v>46143</v>
      </c>
      <c r="AC1039" s="13" t="str">
        <f t="shared" si="50"/>
        <v>Approved</v>
      </c>
      <c r="AF1039" s="71">
        <v>46170</v>
      </c>
      <c r="AG1039" s="37">
        <f>IF($AX1039="Cancelled","",IFERROR(IF(F1039="","",F1039-Variables!$B$13),""))</f>
        <v>46158</v>
      </c>
      <c r="AH1039" s="13">
        <f>IF($AX1039="Cancelled","",IFERROR(IF(AB1039="","",(AVERAGE(E1039:F1039)-AB1039)-Variables!$B$14),""))</f>
        <v>-15</v>
      </c>
      <c r="AJ1039" s="47">
        <v>46171</v>
      </c>
      <c r="AK1039" s="14">
        <f>IF($AX1039="Cancelled","",IFERROR(IF(AJ1039="","",IF(AND(AB1039="",AF1039=""),"",IF(AF1039&gt;AB1039,AF1039+Variables!$B$15+Variables!$B$16+Variables!$B$17-AJ1039,AB1039+Variables!$B$16+Variables!$B$17-AJ1039))),""))</f>
        <v>14</v>
      </c>
      <c r="AL1039" s="48" t="s">
        <v>114</v>
      </c>
      <c r="AM1039" s="13" t="s">
        <v>1482</v>
      </c>
      <c r="AN1039" s="13" t="s">
        <v>2610</v>
      </c>
      <c r="AP1039" s="39">
        <v>46197</v>
      </c>
      <c r="AR1039" s="13" t="s">
        <v>2611</v>
      </c>
      <c r="AS1039" s="31">
        <v>46197</v>
      </c>
      <c r="AU1039" s="31">
        <v>46209</v>
      </c>
      <c r="AV1039" s="13" t="e">
        <v>#REF!</v>
      </c>
      <c r="AW1039" s="31">
        <v>46209</v>
      </c>
      <c r="AX1039" s="13" t="str">
        <f>IF(ISNUMBER(SEARCH("cancel",#REF!)),"Cancelled",IF(AND(AS1039&lt;&gt;"",AU1039&lt;&gt;"",AW1039&lt;&gt;""),"Closed","Open"))</f>
        <v>Closed</v>
      </c>
      <c r="AY1039" s="15" t="str">
        <f t="shared" si="49"/>
        <v>All dates received</v>
      </c>
      <c r="BD1039" s="13">
        <f>IF($AX1039="Cancelled","",IFERROR(IF(OR(AS1039="",AJ1039=""),"",(AJ1039+Variables!$B$18-AS1039)),""))</f>
        <v>-11</v>
      </c>
      <c r="BE1039" s="13">
        <f>IF($AX1039="Cancelled","",IFERROR(IF(OR(AW1039="",AS1039=""),"",(AS1039+Variables!$B$19)-AW1039),""))</f>
        <v>-7</v>
      </c>
      <c r="BF1039" s="44">
        <f>IF($AX1039="Cancelled","",IFERROR(W1039*INDEX(Variables!$B$7:$D$7,IFERROR(MATCH(IF($B1039="Robusta","Robusta",(IF($B1039="","Arabica",$B1039))&amp;" - "&amp;(IF($C1039="","Commercial",$C1039))),Variables!$B$1:$D$1,0),1))*(BE1039/365),""))</f>
        <v>-43.935325043798912</v>
      </c>
      <c r="BG1039" s="44">
        <f>IF($AX1039="Cancelled","",IFERROR((W1039*INDEX(Variables!$B$7:$D$7,IFERROR(MATCH(IF($B1039="Robusta","Robusta",(IF($B1039="","Arabica",$B1039))&amp;" - "&amp;(IF($C1039="","Commercial",$C1039))),Variables!$B$1:$D$1,0),1))*IFERROR(IF(AB1039="","",(AVERAGE(E1039:F1039)-AB1039)-Variables!$B$14),"")/365)+(L1039/16.67*INDEX(Variables!$B$8:$D$8,IFERROR(MATCH(IF($B1039="Robusta","Robusta",(IF($B1039="","Arabica",$B1039))&amp;" - "&amp;(IF($C1039="","Commercial",$C1039))),Variables!$B$1:$D$1,0),1))*IFERROR(IF(AB1039="","",(AVERAGE(E1039:F1039)-AB1039)-Variables!$B$14),""))+(W1039*INDEX(Variables!$B$9:$D$9,IFERROR(MATCH(IF($B1039="Robusta","Robusta",(IF($B1039="","Arabica",$B1039))&amp;" - "&amp;(IF($C1039="","Commercial",$C1039))),Variables!$B$1:$D$1,0),1))*IFERROR(IF(AB1039="","",(AVERAGE(E1039:F1039)-AB1039)-Variables!$B$14),"")/365),""))</f>
        <v>-155.36086322764245</v>
      </c>
      <c r="BH1039" s="44">
        <f>IF($AX1039="Cancelled","",IFERROR((W1039*INDEX(Variables!$B$7:$D$7,IFERROR(MATCH(IF($B1039="Robusta","Robusta",(IF($B1039="","Arabica",$B1039))&amp;" - "&amp;(IF($C1039="","Commercial",$C1039))),Variables!$B$1:$D$1,0),1))*AK1039/365)+(L1039/16.67*INDEX(Variables!$B$8:$D$8,IFERROR(MATCH(IF($B1039="Robusta","Robusta",(IF($B1039="","Arabica",$B1039))&amp;" - "&amp;(IF($C1039="","Commercial",$C1039))),Variables!$B$1:$D$1,0),1))*AK1039)+(W1039*INDEX(Variables!$B$9:$D$9,IFERROR(MATCH(IF($B1039="Robusta","Robusta",(IF($B1039="","Arabica",$B1039))&amp;" - "&amp;(IF($C1039="","Commercial",$C1039))),Variables!$B$1:$D$1,0),1))*AK1039/365),""))</f>
        <v>145.00347234579962</v>
      </c>
      <c r="BI1039" s="44">
        <f>IF($AX1039="Cancelled","",IFERROR((W1039*INDEX(Variables!$B$7:$D$7,IFERROR(MATCH(IF($B1039="Robusta","Robusta",(IF($B1039="","Arabica",$B1039))&amp;" - "&amp;(IF($C1039="","Commercial",$C1039))),Variables!$B$1:$D$1,0),1))*BD1039/365)+(L1039/16.67*INDEX(Variables!$B$8:$D$8,IFERROR(MATCH(IF($B1039="Robusta","Robusta",(IF($B1039="","Arabica",$B1039))&amp;" - "&amp;(IF($C1039="","Commercial",$C1039))),Variables!$B$1:$D$1,0),1))*BD1039)+(W1039*INDEX(Variables!$B$9:$D$9,IFERROR(MATCH(IF($B1039="Robusta","Robusta",(IF($B1039="","Arabica",$B1039))&amp;" - "&amp;(IF($C1039="","Commercial",$C1039))),Variables!$B$1:$D$1,0),1))*BD1039/365),""))</f>
        <v>-113.93129970027113</v>
      </c>
      <c r="BJ1039" s="44">
        <f t="shared" si="51"/>
        <v>-24</v>
      </c>
      <c r="BK1039" s="44">
        <f>IF($AX1039="Cancelled","",IFERROR(IF(BJ1039="","",(W1039*INDEX(Variables!$B$7:$D$7,IFERROR(MATCH(IF($B1039="Robusta","Robusta",(IF($B1039="","Arabica",$B1039))&amp;" - "&amp;(IF($C1039="","Commercial",$C1039))),Variables!$B$1:$D$1,0),1))*(BJ1039/365))+(W1039*INDEX(Variables!$B$9:$D$9,IFERROR(MATCH(IF($B1039="Robusta","Robusta",(IF($B1039="","Arabica",$B1039))&amp;" - "&amp;(IF($C1039="","Commercial",$C1039))),Variables!$B$1:$D$1,0),1))*(BJ1039/365))+(INDEX(Variables!$B$8:$D$8,IFERROR(MATCH(IF($B1039="Robusta","Robusta",(IF($B1039="","Arabica",$B1039))&amp;" - "&amp;(IF($C1039="","Commercial",$C1039))),Variables!$B$1:$D$1,0),1))*L1039/16.67)),""))</f>
        <v>-148.57738116422789</v>
      </c>
    </row>
    <row r="1040" spans="1:63">
      <c r="A1040" s="13" t="s">
        <v>103</v>
      </c>
      <c r="B1040" s="13" t="s">
        <v>104</v>
      </c>
      <c r="C1040" s="13" t="s">
        <v>105</v>
      </c>
      <c r="D1040" s="31">
        <v>46101</v>
      </c>
      <c r="E1040" s="31">
        <v>46082</v>
      </c>
      <c r="F1040" s="31">
        <v>46112</v>
      </c>
      <c r="G1040" s="13">
        <v>3787459</v>
      </c>
      <c r="J1040" s="13" t="s">
        <v>118</v>
      </c>
      <c r="K1040" s="13">
        <v>5463</v>
      </c>
      <c r="L1040" s="13">
        <v>720</v>
      </c>
      <c r="M1040" s="13">
        <v>2</v>
      </c>
      <c r="N1040" s="13" t="s">
        <v>2612</v>
      </c>
      <c r="O1040" s="13" t="s">
        <v>1205</v>
      </c>
      <c r="P1040" s="13">
        <v>10045</v>
      </c>
      <c r="Q1040" s="13" t="s">
        <v>745</v>
      </c>
      <c r="R1040" s="13" t="s">
        <v>122</v>
      </c>
      <c r="S1040" s="13" t="s">
        <v>167</v>
      </c>
      <c r="T1040" s="13" t="s">
        <v>155</v>
      </c>
      <c r="U1040" s="13" t="s">
        <v>125</v>
      </c>
      <c r="V1040" s="13">
        <v>26</v>
      </c>
      <c r="W1040" s="44">
        <f>IF($AX1040="Cancelled","",IFERROR(((V1040+INDEX(Variables!$B$6:$D$6,IFERROR(MATCH(IF($B1040="Robusta","Robusta",(IF($B1040="","Arabica",$B1040))&amp;" - "&amp;(IF($C1040="","Commercial",$C1040))),Variables!$B$1:$D$1,0),1)))*22.0462)*(L1040/16.67),""))</f>
        <v>301658.6703779244</v>
      </c>
      <c r="X1040" s="55" t="s">
        <v>39</v>
      </c>
      <c r="Y1040" s="13" t="str">
        <f>IF($AX1040="Cancelled","",IF(X1040="","",IFERROR(IF(INDEX(Variables!$B$38:$B$47,MATCH(X1040,Variables!$A$38:$A$47,0))="Yes","Yes","No"),"No")))</f>
        <v>No</v>
      </c>
      <c r="Z1040" s="31"/>
      <c r="AB1040" s="31">
        <v>46066.875</v>
      </c>
      <c r="AC1040" s="13" t="str">
        <f t="shared" si="50"/>
        <v>Approved</v>
      </c>
      <c r="AF1040" s="71">
        <v>46111</v>
      </c>
      <c r="AG1040" s="37">
        <f>IF($AX1040="Cancelled","",IFERROR(IF(F1040="","",F1040-Variables!$B$13),""))</f>
        <v>46097</v>
      </c>
      <c r="AH1040" s="13">
        <f>IF($AX1040="Cancelled","",IFERROR(IF(AB1040="","",(AVERAGE(E1040:F1040)-AB1040)-Variables!$B$14),""))</f>
        <v>0.125</v>
      </c>
      <c r="AJ1040" s="47">
        <v>46111</v>
      </c>
      <c r="AK1040" s="14">
        <f>IF($AX1040="Cancelled","",IFERROR(IF(AJ1040="","",IF(AND(AB1040="",AF1040=""),"",IF(AF1040&gt;AB1040,AF1040+Variables!$B$15+Variables!$B$16+Variables!$B$17-AJ1040,AB1040+Variables!$B$16+Variables!$B$17-AJ1040))),""))</f>
        <v>15</v>
      </c>
      <c r="AL1040" s="48" t="s">
        <v>114</v>
      </c>
      <c r="AM1040" s="13" t="s">
        <v>168</v>
      </c>
      <c r="AN1040" s="13" t="s">
        <v>2104</v>
      </c>
      <c r="AP1040" s="39">
        <v>46126</v>
      </c>
      <c r="AR1040" s="13" t="s">
        <v>2613</v>
      </c>
      <c r="AS1040" s="31">
        <v>46126</v>
      </c>
      <c r="AU1040" s="31">
        <v>46183</v>
      </c>
      <c r="AV1040" s="13" t="s">
        <v>865</v>
      </c>
      <c r="AW1040" s="31">
        <v>46183</v>
      </c>
      <c r="AX1040" s="13" t="str">
        <f>IF(ISNUMBER(SEARCH("cancel",#REF!)),"Cancelled",IF(AND(AS1040&lt;&gt;"",AU1040&lt;&gt;"",AW1040&lt;&gt;""),"Closed","Open"))</f>
        <v>Closed</v>
      </c>
      <c r="AY1040" s="15" t="str">
        <f t="shared" si="49"/>
        <v>All dates received</v>
      </c>
      <c r="BD1040" s="13">
        <f>IF($AX1040="Cancelled","",IFERROR(IF(OR(AS1040="",AJ1040=""),"",(AJ1040+Variables!$B$18-AS1040)),""))</f>
        <v>0</v>
      </c>
      <c r="BE1040" s="13">
        <f>IF($AX1040="Cancelled","",IFERROR(IF(OR(AW1040="",AS1040=""),"",(AS1040+Variables!$B$19)-AW1040),""))</f>
        <v>-52</v>
      </c>
      <c r="BF1040" s="44">
        <f>IF($AX1040="Cancelled","",IFERROR(W1040*INDEX(Variables!$B$7:$D$7,IFERROR(MATCH(IF($B1040="Robusta","Robusta",(IF($B1040="","Arabica",$B1040))&amp;" - "&amp;(IF($C1040="","Commercial",$C1040))),Variables!$B$1:$D$1,0),1))*(BE1040/365),""))</f>
        <v>-2771.1889457048128</v>
      </c>
      <c r="BG1040" s="44">
        <f>IF($AX1040="Cancelled","",IFERROR((W1040*INDEX(Variables!$B$7:$D$7,IFERROR(MATCH(IF($B1040="Robusta","Robusta",(IF($B1040="","Arabica",$B1040))&amp;" - "&amp;(IF($C1040="","Commercial",$C1040))),Variables!$B$1:$D$1,0),1))*IFERROR(IF(AB1040="","",(AVERAGE(E1040:F1040)-AB1040)-Variables!$B$14),"")/365)+(L1040/16.67*INDEX(Variables!$B$8:$D$8,IFERROR(MATCH(IF($B1040="Robusta","Robusta",(IF($B1040="","Arabica",$B1040))&amp;" - "&amp;(IF($C1040="","Commercial",$C1040))),Variables!$B$1:$D$1,0),1))*IFERROR(IF(AB1040="","",(AVERAGE(E1040:F1040)-AB1040)-Variables!$B$14),""))+(W1040*INDEX(Variables!$B$9:$D$9,IFERROR(MATCH(IF($B1040="Robusta","Robusta",(IF($B1040="","Arabica",$B1040))&amp;" - "&amp;(IF($C1040="","Commercial",$C1040))),Variables!$B$1:$D$1,0),1))*IFERROR(IF(AB1040="","",(AVERAGE(E1040:F1040)-AB1040)-Variables!$B$14),"")/365),""))</f>
        <v>11.247391632783756</v>
      </c>
      <c r="BH1040" s="44">
        <f>IF($AX1040="Cancelled","",IFERROR((W1040*INDEX(Variables!$B$7:$D$7,IFERROR(MATCH(IF($B1040="Robusta","Robusta",(IF($B1040="","Arabica",$B1040))&amp;" - "&amp;(IF($C1040="","Commercial",$C1040))),Variables!$B$1:$D$1,0),1))*AK1040/365)+(L1040/16.67*INDEX(Variables!$B$8:$D$8,IFERROR(MATCH(IF($B1040="Robusta","Robusta",(IF($B1040="","Arabica",$B1040))&amp;" - "&amp;(IF($C1040="","Commercial",$C1040))),Variables!$B$1:$D$1,0),1))*AK1040)+(W1040*INDEX(Variables!$B$9:$D$9,IFERROR(MATCH(IF($B1040="Robusta","Robusta",(IF($B1040="","Arabica",$B1040))&amp;" - "&amp;(IF($C1040="","Commercial",$C1040))),Variables!$B$1:$D$1,0),1))*AK1040/365),""))</f>
        <v>1349.6869959340509</v>
      </c>
      <c r="BI1040" s="44">
        <f>IF($AX1040="Cancelled","",IFERROR((W1040*INDEX(Variables!$B$7:$D$7,IFERROR(MATCH(IF($B1040="Robusta","Robusta",(IF($B1040="","Arabica",$B1040))&amp;" - "&amp;(IF($C1040="","Commercial",$C1040))),Variables!$B$1:$D$1,0),1))*BD1040/365)+(L1040/16.67*INDEX(Variables!$B$8:$D$8,IFERROR(MATCH(IF($B1040="Robusta","Robusta",(IF($B1040="","Arabica",$B1040))&amp;" - "&amp;(IF($C1040="","Commercial",$C1040))),Variables!$B$1:$D$1,0),1))*BD1040)+(W1040*INDEX(Variables!$B$9:$D$9,IFERROR(MATCH(IF($B1040="Robusta","Robusta",(IF($B1040="","Arabica",$B1040))&amp;" - "&amp;(IF($C1040="","Commercial",$C1040))),Variables!$B$1:$D$1,0),1))*BD1040/365),""))</f>
        <v>0</v>
      </c>
      <c r="BJ1040" s="44">
        <f t="shared" si="51"/>
        <v>-14</v>
      </c>
      <c r="BK1040" s="44">
        <f>IF($AX1040="Cancelled","",IFERROR(IF(BJ1040="","",(W1040*INDEX(Variables!$B$7:$D$7,IFERROR(MATCH(IF($B1040="Robusta","Robusta",(IF($B1040="","Arabica",$B1040))&amp;" - "&amp;(IF($C1040="","Commercial",$C1040))),Variables!$B$1:$D$1,0),1))*(BJ1040/365))+(W1040*INDEX(Variables!$B$9:$D$9,IFERROR(MATCH(IF($B1040="Robusta","Robusta",(IF($B1040="","Arabica",$B1040))&amp;" - "&amp;(IF($C1040="","Commercial",$C1040))),Variables!$B$1:$D$1,0),1))*(BJ1040/365))+(INDEX(Variables!$B$8:$D$8,IFERROR(MATCH(IF($B1040="Robusta","Robusta",(IF($B1040="","Arabica",$B1040))&amp;" - "&amp;(IF($C1040="","Commercial",$C1040))),Variables!$B$1:$D$1,0),1))*L1040/16.67)),""))</f>
        <v>-719.70786287178066</v>
      </c>
    </row>
    <row r="1041" spans="1:63">
      <c r="A1041" s="13" t="s">
        <v>103</v>
      </c>
      <c r="B1041" s="13" t="s">
        <v>104</v>
      </c>
      <c r="C1041" s="13" t="s">
        <v>292</v>
      </c>
      <c r="D1041" s="31">
        <v>46104</v>
      </c>
      <c r="E1041" s="31">
        <v>46113</v>
      </c>
      <c r="F1041" s="31">
        <v>46142</v>
      </c>
      <c r="G1041" s="13">
        <v>3787460</v>
      </c>
      <c r="J1041" s="13" t="s">
        <v>501</v>
      </c>
      <c r="K1041" s="13" t="s">
        <v>2614</v>
      </c>
      <c r="L1041" s="13">
        <v>25</v>
      </c>
      <c r="M1041" s="13">
        <v>0</v>
      </c>
      <c r="N1041" s="13" t="s">
        <v>2615</v>
      </c>
      <c r="O1041" s="13" t="s">
        <v>771</v>
      </c>
      <c r="P1041" s="13">
        <v>10010</v>
      </c>
      <c r="R1041" s="13" t="s">
        <v>384</v>
      </c>
      <c r="S1041" s="13" t="s">
        <v>437</v>
      </c>
      <c r="T1041" s="13" t="s">
        <v>438</v>
      </c>
      <c r="U1041" s="13" t="s">
        <v>182</v>
      </c>
      <c r="V1041" s="23">
        <v>214</v>
      </c>
      <c r="W1041" s="44">
        <f>IF($AX1041="Cancelled","",IFERROR(((V1041+INDEX(Variables!$B$6:$D$6,IFERROR(MATCH(IF($B1041="Robusta","Robusta",(IF($B1041="","Arabica",$B1041))&amp;" - "&amp;(IF($C1041="","Commercial",$C1041))),Variables!$B$1:$D$1,0),1)))*22.0462)*(L1041/16.67),""))</f>
        <v>16690.044631073783</v>
      </c>
      <c r="Y1041" s="13" t="str">
        <f>IF($AX1041="Cancelled","",IF(X1041="","",IFERROR(IF(INDEX(Variables!$B$38:$B$47,MATCH(X1041,Variables!$A$38:$A$47,0))="Yes","Yes","No"),"No")))</f>
        <v/>
      </c>
      <c r="Z1041" s="31"/>
      <c r="AC1041" s="13" t="str">
        <f t="shared" si="50"/>
        <v/>
      </c>
      <c r="AF1041" s="71">
        <v>46155</v>
      </c>
      <c r="AG1041" s="37">
        <f>IF($AX1041="Cancelled","",IFERROR(IF(F1041="","",F1041-Variables!$B$13),""))</f>
        <v>46127</v>
      </c>
      <c r="AH1041" s="13" t="str">
        <f>IF($AX1041="Cancelled","",IFERROR(IF(AB1041="","",(AVERAGE(E1041:F1041)-AB1041)-Variables!$B$14),""))</f>
        <v/>
      </c>
      <c r="AJ1041" s="47">
        <v>46165</v>
      </c>
      <c r="AK1041" s="14">
        <f>IF($AX1041="Cancelled","",IFERROR(IF(AJ1041="","",IF(AND(AB1041="",AF1041=""),"",IF(AF1041&gt;AB1041,AF1041+Variables!$B$15+Variables!$B$16+Variables!$B$17-AJ1041,AB1041+Variables!$B$16+Variables!$B$17-AJ1041))),""))</f>
        <v>5</v>
      </c>
      <c r="AL1041" s="48" t="s">
        <v>114</v>
      </c>
      <c r="AM1041" s="13" t="s">
        <v>1781</v>
      </c>
      <c r="AN1041" s="13" t="s">
        <v>2177</v>
      </c>
      <c r="AP1041" s="39" t="e">
        <v>#N/A</v>
      </c>
      <c r="AR1041" s="13" t="s">
        <v>2198</v>
      </c>
      <c r="AS1041" s="31">
        <v>46179</v>
      </c>
      <c r="AU1041" s="31">
        <v>46226</v>
      </c>
      <c r="AV1041" s="13" t="s">
        <v>865</v>
      </c>
      <c r="AW1041" s="31">
        <v>46226</v>
      </c>
      <c r="AX1041" s="13" t="str">
        <f>IF(ISNUMBER(SEARCH("cancel",#REF!)),"Cancelled",IF(AND(AS1041&lt;&gt;"",AU1041&lt;&gt;"",AW1041&lt;&gt;""),"Closed","Open"))</f>
        <v>Closed</v>
      </c>
      <c r="AY1041" s="15" t="str">
        <f t="shared" si="49"/>
        <v>All dates received</v>
      </c>
      <c r="BD1041" s="13">
        <f>IF($AX1041="Cancelled","",IFERROR(IF(OR(AS1041="",AJ1041=""),"",(AJ1041+Variables!$B$18-AS1041)),""))</f>
        <v>1</v>
      </c>
      <c r="BE1041" s="13">
        <f>IF($AX1041="Cancelled","",IFERROR(IF(OR(AW1041="",AS1041=""),"",(AS1041+Variables!$B$19)-AW1041),""))</f>
        <v>-42</v>
      </c>
      <c r="BF1041" s="44">
        <f>IF($AX1041="Cancelled","",IFERROR(W1041*INDEX(Variables!$B$7:$D$7,IFERROR(MATCH(IF($B1041="Robusta","Robusta",(IF($B1041="","Arabica",$B1041))&amp;" - "&amp;(IF($C1041="","Commercial",$C1041))),Variables!$B$1:$D$1,0),1))*(BE1041/365),""))</f>
        <v>-123.83795459784298</v>
      </c>
      <c r="BG1041" s="44" t="str">
        <f>IF($AX1041="Cancelled","",IFERROR((W1041*INDEX(Variables!$B$7:$D$7,IFERROR(MATCH(IF($B1041="Robusta","Robusta",(IF($B1041="","Arabica",$B1041))&amp;" - "&amp;(IF($C1041="","Commercial",$C1041))),Variables!$B$1:$D$1,0),1))*IFERROR(IF(AB1041="","",(AVERAGE(E1041:F1041)-AB1041)-Variables!$B$14),"")/365)+(L1041/16.67*INDEX(Variables!$B$8:$D$8,IFERROR(MATCH(IF($B1041="Robusta","Robusta",(IF($B1041="","Arabica",$B1041))&amp;" - "&amp;(IF($C1041="","Commercial",$C1041))),Variables!$B$1:$D$1,0),1))*IFERROR(IF(AB1041="","",(AVERAGE(E1041:F1041)-AB1041)-Variables!$B$14),""))+(W1041*INDEX(Variables!$B$9:$D$9,IFERROR(MATCH(IF($B1041="Robusta","Robusta",(IF($B1041="","Arabica",$B1041))&amp;" - "&amp;(IF($C1041="","Commercial",$C1041))),Variables!$B$1:$D$1,0),1))*IFERROR(IF(AB1041="","",(AVERAGE(E1041:F1041)-AB1041)-Variables!$B$14),"")/365),""))</f>
        <v/>
      </c>
      <c r="BH1041" s="44">
        <f>IF($AX1041="Cancelled","",IFERROR((W1041*INDEX(Variables!$B$7:$D$7,IFERROR(MATCH(IF($B1041="Robusta","Robusta",(IF($B1041="","Arabica",$B1041))&amp;" - "&amp;(IF($C1041="","Commercial",$C1041))),Variables!$B$1:$D$1,0),1))*AK1041/365)+(L1041/16.67*INDEX(Variables!$B$8:$D$8,IFERROR(MATCH(IF($B1041="Robusta","Robusta",(IF($B1041="","Arabica",$B1041))&amp;" - "&amp;(IF($C1041="","Commercial",$C1041))),Variables!$B$1:$D$1,0),1))*AK1041)+(W1041*INDEX(Variables!$B$9:$D$9,IFERROR(MATCH(IF($B1041="Robusta","Robusta",(IF($B1041="","Arabica",$B1041))&amp;" - "&amp;(IF($C1041="","Commercial",$C1041))),Variables!$B$1:$D$1,0),1))*AK1041/365),""))</f>
        <v>21.182674383721061</v>
      </c>
      <c r="BI1041" s="44">
        <f>IF($AX1041="Cancelled","",IFERROR((W1041*INDEX(Variables!$B$7:$D$7,IFERROR(MATCH(IF($B1041="Robusta","Robusta",(IF($B1041="","Arabica",$B1041))&amp;" - "&amp;(IF($C1041="","Commercial",$C1041))),Variables!$B$1:$D$1,0),1))*BD1041/365)+(L1041/16.67*INDEX(Variables!$B$8:$D$8,IFERROR(MATCH(IF($B1041="Robusta","Robusta",(IF($B1041="","Arabica",$B1041))&amp;" - "&amp;(IF($C1041="","Commercial",$C1041))),Variables!$B$1:$D$1,0),1))*BD1041)+(W1041*INDEX(Variables!$B$9:$D$9,IFERROR(MATCH(IF($B1041="Robusta","Robusta",(IF($B1041="","Arabica",$B1041))&amp;" - "&amp;(IF($C1041="","Commercial",$C1041))),Variables!$B$1:$D$1,0),1))*BD1041/365),""))</f>
        <v>4.236534876744213</v>
      </c>
      <c r="BJ1041" s="44">
        <f t="shared" si="51"/>
        <v>-37</v>
      </c>
      <c r="BK1041" s="44">
        <f>IF($AX1041="Cancelled","",IFERROR(IF(BJ1041="","",(W1041*INDEX(Variables!$B$7:$D$7,IFERROR(MATCH(IF($B1041="Robusta","Robusta",(IF($B1041="","Arabica",$B1041))&amp;" - "&amp;(IF($C1041="","Commercial",$C1041))),Variables!$B$1:$D$1,0),1))*(BJ1041/365))+(W1041*INDEX(Variables!$B$9:$D$9,IFERROR(MATCH(IF($B1041="Robusta","Robusta",(IF($B1041="","Arabica",$B1041))&amp;" - "&amp;(IF($C1041="","Commercial",$C1041))),Variables!$B$1:$D$1,0),1))*(BJ1041/365))+(INDEX(Variables!$B$8:$D$8,IFERROR(MATCH(IF($B1041="Robusta","Robusta",(IF($B1041="","Arabica",$B1041))&amp;" - "&amp;(IF($C1041="","Commercial",$C1041))),Variables!$B$1:$D$1,0),1))*L1041/16.67)),""))</f>
        <v>-109.25179043953587</v>
      </c>
    </row>
    <row r="1042" spans="1:63">
      <c r="A1042" s="13" t="s">
        <v>103</v>
      </c>
      <c r="B1042" s="13" t="s">
        <v>104</v>
      </c>
      <c r="C1042" s="13" t="s">
        <v>292</v>
      </c>
      <c r="D1042" s="31">
        <v>46104</v>
      </c>
      <c r="E1042" s="31">
        <v>46113</v>
      </c>
      <c r="F1042" s="31">
        <v>46142</v>
      </c>
      <c r="G1042" s="13">
        <v>3787461</v>
      </c>
      <c r="J1042" s="13" t="s">
        <v>501</v>
      </c>
      <c r="K1042" s="13" t="s">
        <v>2616</v>
      </c>
      <c r="L1042" s="13">
        <v>25</v>
      </c>
      <c r="M1042" s="13">
        <v>0</v>
      </c>
      <c r="N1042" s="13" t="s">
        <v>2617</v>
      </c>
      <c r="O1042" s="13" t="s">
        <v>771</v>
      </c>
      <c r="P1042" s="13">
        <v>10010</v>
      </c>
      <c r="R1042" s="13" t="s">
        <v>384</v>
      </c>
      <c r="S1042" s="13" t="s">
        <v>437</v>
      </c>
      <c r="T1042" s="13" t="s">
        <v>438</v>
      </c>
      <c r="U1042" s="13" t="s">
        <v>182</v>
      </c>
      <c r="V1042" s="23">
        <v>208</v>
      </c>
      <c r="W1042" s="44">
        <f>IF($AX1042="Cancelled","",IFERROR(((V1042+INDEX(Variables!$B$6:$D$6,IFERROR(MATCH(IF($B1042="Robusta","Robusta",(IF($B1042="","Arabica",$B1042))&amp;" - "&amp;(IF($C1042="","Commercial",$C1042))),Variables!$B$1:$D$1,0),1)))*22.0462)*(L1042/16.67),""))</f>
        <v>16491.668506298734</v>
      </c>
      <c r="Y1042" s="13" t="str">
        <f>IF($AX1042="Cancelled","",IF(X1042="","",IFERROR(IF(INDEX(Variables!$B$38:$B$47,MATCH(X1042,Variables!$A$38:$A$47,0))="Yes","Yes","No"),"No")))</f>
        <v/>
      </c>
      <c r="Z1042" s="31"/>
      <c r="AC1042" s="13" t="str">
        <f t="shared" si="50"/>
        <v/>
      </c>
      <c r="AF1042" s="71">
        <v>46158</v>
      </c>
      <c r="AG1042" s="37">
        <f>IF($AX1042="Cancelled","",IFERROR(IF(F1042="","",F1042-Variables!$B$13),""))</f>
        <v>46127</v>
      </c>
      <c r="AH1042" s="13" t="str">
        <f>IF($AX1042="Cancelled","",IFERROR(IF(AB1042="","",(AVERAGE(E1042:F1042)-AB1042)-Variables!$B$14),""))</f>
        <v/>
      </c>
      <c r="AJ1042" s="47">
        <v>46165</v>
      </c>
      <c r="AK1042" s="14">
        <f>IF($AX1042="Cancelled","",IFERROR(IF(AJ1042="","",IF(AND(AB1042="",AF1042=""),"",IF(AF1042&gt;AB1042,AF1042+Variables!$B$15+Variables!$B$16+Variables!$B$17-AJ1042,AB1042+Variables!$B$16+Variables!$B$17-AJ1042))),""))</f>
        <v>8</v>
      </c>
      <c r="AL1042" s="48" t="s">
        <v>114</v>
      </c>
      <c r="AM1042" s="13" t="s">
        <v>1781</v>
      </c>
      <c r="AN1042" s="13" t="s">
        <v>2177</v>
      </c>
      <c r="AP1042" s="39" t="e">
        <v>#N/A</v>
      </c>
      <c r="AR1042" s="13" t="s">
        <v>2198</v>
      </c>
      <c r="AS1042" s="31">
        <v>46179</v>
      </c>
      <c r="AU1042" s="31">
        <v>46226</v>
      </c>
      <c r="AV1042" s="13" t="s">
        <v>865</v>
      </c>
      <c r="AW1042" s="31">
        <v>46226</v>
      </c>
      <c r="AX1042" s="13" t="str">
        <f>IF(ISNUMBER(SEARCH("cancel",#REF!)),"Cancelled",IF(AND(AS1042&lt;&gt;"",AU1042&lt;&gt;"",AW1042&lt;&gt;""),"Closed","Open"))</f>
        <v>Closed</v>
      </c>
      <c r="AY1042" s="15" t="str">
        <f t="shared" si="49"/>
        <v>All dates received</v>
      </c>
      <c r="BD1042" s="13">
        <f>IF($AX1042="Cancelled","",IFERROR(IF(OR(AS1042="",AJ1042=""),"",(AJ1042+Variables!$B$18-AS1042)),""))</f>
        <v>1</v>
      </c>
      <c r="BE1042" s="13">
        <f>IF($AX1042="Cancelled","",IFERROR(IF(OR(AW1042="",AS1042=""),"",(AS1042+Variables!$B$19)-AW1042),""))</f>
        <v>-42</v>
      </c>
      <c r="BF1042" s="44">
        <f>IF($AX1042="Cancelled","",IFERROR(W1042*INDEX(Variables!$B$7:$D$7,IFERROR(MATCH(IF($B1042="Robusta","Robusta",(IF($B1042="","Arabica",$B1042))&amp;" - "&amp;(IF($C1042="","Commercial",$C1042))),Variables!$B$1:$D$1,0),1))*(BE1042/365),""))</f>
        <v>-122.36602962243278</v>
      </c>
      <c r="BG1042" s="44" t="str">
        <f>IF($AX1042="Cancelled","",IFERROR((W1042*INDEX(Variables!$B$7:$D$7,IFERROR(MATCH(IF($B1042="Robusta","Robusta",(IF($B1042="","Arabica",$B1042))&amp;" - "&amp;(IF($C1042="","Commercial",$C1042))),Variables!$B$1:$D$1,0),1))*IFERROR(IF(AB1042="","",(AVERAGE(E1042:F1042)-AB1042)-Variables!$B$14),"")/365)+(L1042/16.67*INDEX(Variables!$B$8:$D$8,IFERROR(MATCH(IF($B1042="Robusta","Robusta",(IF($B1042="","Arabica",$B1042))&amp;" - "&amp;(IF($C1042="","Commercial",$C1042))),Variables!$B$1:$D$1,0),1))*IFERROR(IF(AB1042="","",(AVERAGE(E1042:F1042)-AB1042)-Variables!$B$14),""))+(W1042*INDEX(Variables!$B$9:$D$9,IFERROR(MATCH(IF($B1042="Robusta","Robusta",(IF($B1042="","Arabica",$B1042))&amp;" - "&amp;(IF($C1042="","Commercial",$C1042))),Variables!$B$1:$D$1,0),1))*IFERROR(IF(AB1042="","",(AVERAGE(E1042:F1042)-AB1042)-Variables!$B$14),"")/365),""))</f>
        <v/>
      </c>
      <c r="BH1042" s="44">
        <f>IF($AX1042="Cancelled","",IFERROR((W1042*INDEX(Variables!$B$7:$D$7,IFERROR(MATCH(IF($B1042="Robusta","Robusta",(IF($B1042="","Arabica",$B1042))&amp;" - "&amp;(IF($C1042="","Commercial",$C1042))),Variables!$B$1:$D$1,0),1))*AK1042/365)+(L1042/16.67*INDEX(Variables!$B$8:$D$8,IFERROR(MATCH(IF($B1042="Robusta","Robusta",(IF($B1042="","Arabica",$B1042))&amp;" - "&amp;(IF($C1042="","Commercial",$C1042))),Variables!$B$1:$D$1,0),1))*AK1042)+(W1042*INDEX(Variables!$B$9:$D$9,IFERROR(MATCH(IF($B1042="Robusta","Robusta",(IF($B1042="","Arabica",$B1042))&amp;" - "&amp;(IF($C1042="","Commercial",$C1042))),Variables!$B$1:$D$1,0),1))*AK1042/365),""))</f>
        <v>33.608297884627781</v>
      </c>
      <c r="BI1042" s="44">
        <f>IF($AX1042="Cancelled","",IFERROR((W1042*INDEX(Variables!$B$7:$D$7,IFERROR(MATCH(IF($B1042="Robusta","Robusta",(IF($B1042="","Arabica",$B1042))&amp;" - "&amp;(IF($C1042="","Commercial",$C1042))),Variables!$B$1:$D$1,0),1))*BD1042/365)+(L1042/16.67*INDEX(Variables!$B$8:$D$8,IFERROR(MATCH(IF($B1042="Robusta","Robusta",(IF($B1042="","Arabica",$B1042))&amp;" - "&amp;(IF($C1042="","Commercial",$C1042))),Variables!$B$1:$D$1,0),1))*BD1042)+(W1042*INDEX(Variables!$B$9:$D$9,IFERROR(MATCH(IF($B1042="Robusta","Robusta",(IF($B1042="","Arabica",$B1042))&amp;" - "&amp;(IF($C1042="","Commercial",$C1042))),Variables!$B$1:$D$1,0),1))*BD1042/365),""))</f>
        <v>4.2010372355784726</v>
      </c>
      <c r="BJ1042" s="44">
        <f t="shared" si="51"/>
        <v>-37</v>
      </c>
      <c r="BK1042" s="44">
        <f>IF($AX1042="Cancelled","",IFERROR(IF(BJ1042="","",(W1042*INDEX(Variables!$B$7:$D$7,IFERROR(MATCH(IF($B1042="Robusta","Robusta",(IF($B1042="","Arabica",$B1042))&amp;" - "&amp;(IF($C1042="","Commercial",$C1042))),Variables!$B$1:$D$1,0),1))*(BJ1042/365))+(W1042*INDEX(Variables!$B$9:$D$9,IFERROR(MATCH(IF($B1042="Robusta","Robusta",(IF($B1042="","Arabica",$B1042))&amp;" - "&amp;(IF($C1042="","Commercial",$C1042))),Variables!$B$1:$D$1,0),1))*(BJ1042/365))+(INDEX(Variables!$B$8:$D$8,IFERROR(MATCH(IF($B1042="Robusta","Robusta",(IF($B1042="","Arabica",$B1042))&amp;" - "&amp;(IF($C1042="","Commercial",$C1042))),Variables!$B$1:$D$1,0),1))*L1042/16.67)),""))</f>
        <v>-107.93837771640348</v>
      </c>
    </row>
    <row r="1043" spans="1:63">
      <c r="A1043" s="13" t="s">
        <v>103</v>
      </c>
      <c r="B1043" s="13" t="s">
        <v>104</v>
      </c>
      <c r="C1043" s="13" t="s">
        <v>292</v>
      </c>
      <c r="D1043" s="31">
        <v>46104</v>
      </c>
      <c r="E1043" s="31">
        <v>46113</v>
      </c>
      <c r="F1043" s="31">
        <v>46142</v>
      </c>
      <c r="G1043" s="13">
        <v>3787462</v>
      </c>
      <c r="J1043" s="13" t="s">
        <v>501</v>
      </c>
      <c r="M1043" s="13">
        <v>0</v>
      </c>
      <c r="N1043" s="13" t="s">
        <v>467</v>
      </c>
      <c r="P1043" s="13">
        <v>0</v>
      </c>
      <c r="R1043" s="13" t="s">
        <v>467</v>
      </c>
      <c r="S1043" s="13" t="s">
        <v>467</v>
      </c>
      <c r="T1043" s="13" t="s">
        <v>467</v>
      </c>
      <c r="U1043" s="13" t="s">
        <v>467</v>
      </c>
      <c r="W1043" s="44">
        <f>IF($AX1043="Cancelled","",IFERROR(((V1043+INDEX(Variables!$B$6:$D$6,IFERROR(MATCH(IF($B1043="Robusta","Robusta",(IF($B1043="","Arabica",$B1043))&amp;" - "&amp;(IF($C1043="","Commercial",$C1043))),Variables!$B$1:$D$1,0),1)))*22.0462)*(L1043/16.67),""))</f>
        <v>0</v>
      </c>
      <c r="Y1043" s="13" t="str">
        <f>IF($AX1043="Cancelled","",IF(X1043="","",IFERROR(IF(INDEX(Variables!$B$38:$B$47,MATCH(X1043,Variables!$A$38:$A$47,0))="Yes","Yes","No"),"No")))</f>
        <v/>
      </c>
      <c r="Z1043" s="31">
        <v>46104</v>
      </c>
      <c r="AB1043" s="31">
        <v>46104</v>
      </c>
      <c r="AC1043" s="13" t="str">
        <f t="shared" si="50"/>
        <v>Approved</v>
      </c>
      <c r="AD1043" s="31">
        <v>46104</v>
      </c>
      <c r="AF1043" s="71">
        <v>46104</v>
      </c>
      <c r="AG1043" s="31">
        <f>IF($AX1043="Cancelled","",IFERROR(IF(F1043="","",F1043-Variables!$B$13),""))</f>
        <v>46127</v>
      </c>
      <c r="AH1043" s="13">
        <f>IF($AX1043="Cancelled","",IFERROR(IF(AB1043="","",(AVERAGE(E1043:F1043)-AB1043)-Variables!$B$14),""))</f>
        <v>-6.5</v>
      </c>
      <c r="AI1043" s="13">
        <v>46104</v>
      </c>
      <c r="AJ1043" s="47">
        <v>46104</v>
      </c>
      <c r="AK1043" s="14">
        <f>IF($AX1043="Cancelled","",IFERROR(IF(AJ1043="","",IF(AND(AB1043="",AF1043=""),"",IF(AF1043&gt;AB1043,AF1043+Variables!$B$15+Variables!$B$16+Variables!$B$17-AJ1043,AB1043+Variables!$B$16+Variables!$B$17-AJ1043))),""))</f>
        <v>8</v>
      </c>
      <c r="AL1043" s="48" t="s">
        <v>114</v>
      </c>
      <c r="AM1043" s="13" t="s">
        <v>467</v>
      </c>
      <c r="AN1043" s="13" t="s">
        <v>467</v>
      </c>
      <c r="AO1043" s="31">
        <v>46104</v>
      </c>
      <c r="AP1043" s="39">
        <v>46104</v>
      </c>
      <c r="AQ1043" s="31">
        <v>46104</v>
      </c>
      <c r="AR1043" s="13" t="s">
        <v>467</v>
      </c>
      <c r="AS1043" s="31">
        <v>46104</v>
      </c>
      <c r="AU1043" s="31">
        <v>46104</v>
      </c>
      <c r="AV1043" s="13" t="s">
        <v>467</v>
      </c>
      <c r="AW1043" s="31">
        <v>46104</v>
      </c>
      <c r="AX1043" s="13" t="str">
        <f>IF(ISNUMBER(SEARCH("cancel",#REF!)),"Cancelled",IF(AND(AS1043&lt;&gt;"",AU1043&lt;&gt;"",AW1043&lt;&gt;""),"Closed","Open"))</f>
        <v>Closed</v>
      </c>
      <c r="AY1043" s="15" t="str">
        <f t="shared" si="49"/>
        <v>All dates received</v>
      </c>
      <c r="BD1043" s="13">
        <f>IF($AX1043="Cancelled","",IFERROR(IF(OR(AS1043="",AJ1043=""),"",(AJ1043+Variables!$B$18-AS1043)),""))</f>
        <v>15</v>
      </c>
      <c r="BE1043" s="13">
        <f>IF($AX1043="Cancelled","",IFERROR(IF(OR(AW1043="",AS1043=""),"",(AS1043+Variables!$B$19)-AW1043),""))</f>
        <v>5</v>
      </c>
      <c r="BF1043" s="44">
        <f>IF($AX1043="Cancelled","",IFERROR(W1043*INDEX(Variables!$B$7:$D$7,IFERROR(MATCH(IF($B1043="Robusta","Robusta",(IF($B1043="","Arabica",$B1043))&amp;" - "&amp;(IF($C1043="","Commercial",$C1043))),Variables!$B$1:$D$1,0),1))*(BE1043/365),""))</f>
        <v>0</v>
      </c>
      <c r="BG1043" s="44">
        <f>IF($AX1043="Cancelled","",IFERROR((W1043*INDEX(Variables!$B$7:$D$7,IFERROR(MATCH(IF($B1043="Robusta","Robusta",(IF($B1043="","Arabica",$B1043))&amp;" - "&amp;(IF($C1043="","Commercial",$C1043))),Variables!$B$1:$D$1,0),1))*IFERROR(IF(AB1043="","",(AVERAGE(E1043:F1043)-AB1043)-Variables!$B$14),"")/365)+(L1043/16.67*INDEX(Variables!$B$8:$D$8,IFERROR(MATCH(IF($B1043="Robusta","Robusta",(IF($B1043="","Arabica",$B1043))&amp;" - "&amp;(IF($C1043="","Commercial",$C1043))),Variables!$B$1:$D$1,0),1))*IFERROR(IF(AB1043="","",(AVERAGE(E1043:F1043)-AB1043)-Variables!$B$14),""))+(W1043*INDEX(Variables!$B$9:$D$9,IFERROR(MATCH(IF($B1043="Robusta","Robusta",(IF($B1043="","Arabica",$B1043))&amp;" - "&amp;(IF($C1043="","Commercial",$C1043))),Variables!$B$1:$D$1,0),1))*IFERROR(IF(AB1043="","",(AVERAGE(E1043:F1043)-AB1043)-Variables!$B$14),"")/365),""))</f>
        <v>0</v>
      </c>
      <c r="BH1043" s="44">
        <f>IF($AX1043="Cancelled","",IFERROR((W1043*INDEX(Variables!$B$7:$D$7,IFERROR(MATCH(IF($B1043="Robusta","Robusta",(IF($B1043="","Arabica",$B1043))&amp;" - "&amp;(IF($C1043="","Commercial",$C1043))),Variables!$B$1:$D$1,0),1))*AK1043/365)+(L1043/16.67*INDEX(Variables!$B$8:$D$8,IFERROR(MATCH(IF($B1043="Robusta","Robusta",(IF($B1043="","Arabica",$B1043))&amp;" - "&amp;(IF($C1043="","Commercial",$C1043))),Variables!$B$1:$D$1,0),1))*AK1043)+(W1043*INDEX(Variables!$B$9:$D$9,IFERROR(MATCH(IF($B1043="Robusta","Robusta",(IF($B1043="","Arabica",$B1043))&amp;" - "&amp;(IF($C1043="","Commercial",$C1043))),Variables!$B$1:$D$1,0),1))*AK1043/365),""))</f>
        <v>0</v>
      </c>
      <c r="BI1043" s="44">
        <f>IF($AX1043="Cancelled","",IFERROR((W1043*INDEX(Variables!$B$7:$D$7,IFERROR(MATCH(IF($B1043="Robusta","Robusta",(IF($B1043="","Arabica",$B1043))&amp;" - "&amp;(IF($C1043="","Commercial",$C1043))),Variables!$B$1:$D$1,0),1))*BD1043/365)+(L1043/16.67*INDEX(Variables!$B$8:$D$8,IFERROR(MATCH(IF($B1043="Robusta","Robusta",(IF($B1043="","Arabica",$B1043))&amp;" - "&amp;(IF($C1043="","Commercial",$C1043))),Variables!$B$1:$D$1,0),1))*BD1043)+(W1043*INDEX(Variables!$B$9:$D$9,IFERROR(MATCH(IF($B1043="Robusta","Robusta",(IF($B1043="","Arabica",$B1043))&amp;" - "&amp;(IF($C1043="","Commercial",$C1043))),Variables!$B$1:$D$1,0),1))*BD1043/365),""))</f>
        <v>0</v>
      </c>
      <c r="BJ1043" s="44">
        <f t="shared" si="51"/>
        <v>38</v>
      </c>
      <c r="BK1043" s="44">
        <f>IF($AX1043="Cancelled","",IFERROR(IF(BJ1043="","",(W1043*INDEX(Variables!$B$7:$D$7,IFERROR(MATCH(IF($B1043="Robusta","Robusta",(IF($B1043="","Arabica",$B1043))&amp;" - "&amp;(IF($C1043="","Commercial",$C1043))),Variables!$B$1:$D$1,0),1))*(BJ1043/365))+(W1043*INDEX(Variables!$B$9:$D$9,IFERROR(MATCH(IF($B1043="Robusta","Robusta",(IF($B1043="","Arabica",$B1043))&amp;" - "&amp;(IF($C1043="","Commercial",$C1043))),Variables!$B$1:$D$1,0),1))*(BJ1043/365))+(INDEX(Variables!$B$8:$D$8,IFERROR(MATCH(IF($B1043="Robusta","Robusta",(IF($B1043="","Arabica",$B1043))&amp;" - "&amp;(IF($C1043="","Commercial",$C1043))),Variables!$B$1:$D$1,0),1))*L1043/16.67)),""))</f>
        <v>0</v>
      </c>
    </row>
    <row r="1044" spans="1:63">
      <c r="A1044" s="13" t="s">
        <v>103</v>
      </c>
      <c r="B1044" s="13" t="s">
        <v>104</v>
      </c>
      <c r="C1044" s="13" t="s">
        <v>292</v>
      </c>
      <c r="D1044" s="31">
        <v>46105</v>
      </c>
      <c r="E1044" s="31">
        <v>46113</v>
      </c>
      <c r="F1044" s="31">
        <v>46142</v>
      </c>
      <c r="G1044" s="13">
        <v>3787463</v>
      </c>
      <c r="J1044" s="13" t="s">
        <v>294</v>
      </c>
      <c r="K1044" s="13" t="s">
        <v>2618</v>
      </c>
      <c r="L1044" s="13">
        <v>20</v>
      </c>
      <c r="M1044" s="13">
        <v>1</v>
      </c>
      <c r="N1044" s="13" t="s">
        <v>2619</v>
      </c>
      <c r="O1044" s="13" t="s">
        <v>771</v>
      </c>
      <c r="P1044" s="13">
        <v>10010</v>
      </c>
      <c r="R1044" s="13" t="s">
        <v>384</v>
      </c>
      <c r="S1044" s="13" t="s">
        <v>339</v>
      </c>
      <c r="T1044" s="13" t="s">
        <v>340</v>
      </c>
      <c r="U1044" s="13" t="s">
        <v>113</v>
      </c>
      <c r="V1044" s="23">
        <v>211</v>
      </c>
      <c r="W1044" s="44">
        <f>IF($AX1044="Cancelled","",IFERROR(((V1044+INDEX(Variables!$B$6:$D$6,IFERROR(MATCH(IF($B1044="Robusta","Robusta",(IF($B1044="","Arabica",$B1044))&amp;" - "&amp;(IF($C1044="","Commercial",$C1044))),Variables!$B$1:$D$1,0),1)))*22.0462)*(L1044/16.67),""))</f>
        <v>13272.685254949009</v>
      </c>
      <c r="Y1044" s="13" t="str">
        <f>IF($AX1044="Cancelled","",IF(X1044="","",IFERROR(IF(INDEX(Variables!$B$38:$B$47,MATCH(X1044,Variables!$A$38:$A$47,0))="Yes","Yes","No"),"No")))</f>
        <v/>
      </c>
      <c r="Z1044" s="31"/>
      <c r="AC1044" s="13" t="str">
        <f t="shared" si="50"/>
        <v/>
      </c>
      <c r="AF1044" s="71">
        <v>46148</v>
      </c>
      <c r="AG1044" s="31">
        <f>IF($AX1044="Cancelled","",IFERROR(IF(F1044="","",F1044-Variables!$B$13),""))</f>
        <v>46127</v>
      </c>
      <c r="AH1044" s="13" t="str">
        <f>IF($AX1044="Cancelled","",IFERROR(IF(AB1044="","",(AVERAGE(E1044:F1044)-AB1044)-Variables!$B$14),""))</f>
        <v/>
      </c>
      <c r="AJ1044" s="47">
        <v>46158</v>
      </c>
      <c r="AK1044" s="14">
        <f>IF($AX1044="Cancelled","",IFERROR(IF(AJ1044="","",IF(AND(AB1044="",AF1044=""),"",IF(AF1044&gt;AB1044,AF1044+Variables!$B$15+Variables!$B$16+Variables!$B$17-AJ1044,AB1044+Variables!$B$16+Variables!$B$17-AJ1044))),""))</f>
        <v>5</v>
      </c>
      <c r="AL1044" s="48" t="s">
        <v>114</v>
      </c>
      <c r="AM1044" s="13" t="s">
        <v>1784</v>
      </c>
      <c r="AN1044" s="13" t="s">
        <v>2620</v>
      </c>
      <c r="AP1044" s="39" t="e">
        <v>#N/A</v>
      </c>
      <c r="AR1044" s="13" t="s">
        <v>2621</v>
      </c>
      <c r="AS1044" s="31">
        <v>46176</v>
      </c>
      <c r="AU1044" s="31">
        <v>46207</v>
      </c>
      <c r="AV1044" s="13" t="e">
        <v>#N/A</v>
      </c>
      <c r="AW1044" s="31">
        <v>46207</v>
      </c>
      <c r="AX1044" s="13" t="str">
        <f>IF(ISNUMBER(SEARCH("cancel",#REF!)),"Cancelled",IF(AND(AS1044&lt;&gt;"",AU1044&lt;&gt;"",AW1044&lt;&gt;""),"Closed","Open"))</f>
        <v>Closed</v>
      </c>
      <c r="AY1044" s="24" t="str">
        <f t="shared" si="49"/>
        <v>All dates received</v>
      </c>
      <c r="BD1044" s="13">
        <f>IF($AX1044="Cancelled","",IFERROR(IF(OR(AS1044="",AJ1044=""),"",(AJ1044+Variables!$B$18-AS1044)),""))</f>
        <v>-3</v>
      </c>
      <c r="BE1044" s="13">
        <f>IF($AX1044="Cancelled","",IFERROR(IF(OR(AW1044="",AS1044=""),"",(AS1044+Variables!$B$19)-AW1044),""))</f>
        <v>-26</v>
      </c>
      <c r="BF1044" s="44">
        <f>IF($AX1044="Cancelled","",IFERROR(W1044*INDEX(Variables!$B$7:$D$7,IFERROR(MATCH(IF($B1044="Robusta","Robusta",(IF($B1044="","Arabica",$B1044))&amp;" - "&amp;(IF($C1044="","Commercial",$C1044))),Variables!$B$1:$D$1,0),1))*(BE1044/365),""))</f>
        <v>-60.964796092639716</v>
      </c>
      <c r="BG1044" s="44" t="str">
        <f>IF($AX1044="Cancelled","",IFERROR((W1044*INDEX(Variables!$B$7:$D$7,IFERROR(MATCH(IF($B1044="Robusta","Robusta",(IF($B1044="","Arabica",$B1044))&amp;" - "&amp;(IF($C1044="","Commercial",$C1044))),Variables!$B$1:$D$1,0),1))*IFERROR(IF(AB1044="","",(AVERAGE(E1044:F1044)-AB1044)-Variables!$B$14),"")/365)+(L1044/16.67*INDEX(Variables!$B$8:$D$8,IFERROR(MATCH(IF($B1044="Robusta","Robusta",(IF($B1044="","Arabica",$B1044))&amp;" - "&amp;(IF($C1044="","Commercial",$C1044))),Variables!$B$1:$D$1,0),1))*IFERROR(IF(AB1044="","",(AVERAGE(E1044:F1044)-AB1044)-Variables!$B$14),""))+(W1044*INDEX(Variables!$B$9:$D$9,IFERROR(MATCH(IF($B1044="Robusta","Robusta",(IF($B1044="","Arabica",$B1044))&amp;" - "&amp;(IF($C1044="","Commercial",$C1044))),Variables!$B$1:$D$1,0),1))*IFERROR(IF(AB1044="","",(AVERAGE(E1044:F1044)-AB1044)-Variables!$B$14),"")/365),""))</f>
        <v/>
      </c>
      <c r="BH1044" s="44">
        <f>IF($AX1044="Cancelled","",IFERROR((W1044*INDEX(Variables!$B$7:$D$7,IFERROR(MATCH(IF($B1044="Robusta","Robusta",(IF($B1044="","Arabica",$B1044))&amp;" - "&amp;(IF($C1044="","Commercial",$C1044))),Variables!$B$1:$D$1,0),1))*AK1044/365)+(L1044/16.67*INDEX(Variables!$B$8:$D$8,IFERROR(MATCH(IF($B1044="Robusta","Robusta",(IF($B1044="","Arabica",$B1044))&amp;" - "&amp;(IF($C1044="","Commercial",$C1044))),Variables!$B$1:$D$1,0),1))*AK1044)+(W1044*INDEX(Variables!$B$9:$D$9,IFERROR(MATCH(IF($B1044="Robusta","Robusta",(IF($B1044="","Arabica",$B1044))&amp;" - "&amp;(IF($C1044="","Commercial",$C1044))),Variables!$B$1:$D$1,0),1))*AK1044/365),""))</f>
        <v>16.875144224645371</v>
      </c>
      <c r="BI1044" s="44">
        <f>IF($AX1044="Cancelled","",IFERROR((W1044*INDEX(Variables!$B$7:$D$7,IFERROR(MATCH(IF($B1044="Robusta","Robusta",(IF($B1044="","Arabica",$B1044))&amp;" - "&amp;(IF($C1044="","Commercial",$C1044))),Variables!$B$1:$D$1,0),1))*BD1044/365)+(L1044/16.67*INDEX(Variables!$B$8:$D$8,IFERROR(MATCH(IF($B1044="Robusta","Robusta",(IF($B1044="","Arabica",$B1044))&amp;" - "&amp;(IF($C1044="","Commercial",$C1044))),Variables!$B$1:$D$1,0),1))*BD1044)+(W1044*INDEX(Variables!$B$9:$D$9,IFERROR(MATCH(IF($B1044="Robusta","Robusta",(IF($B1044="","Arabica",$B1044))&amp;" - "&amp;(IF($C1044="","Commercial",$C1044))),Variables!$B$1:$D$1,0),1))*BD1044/365),""))</f>
        <v>-10.125086534787224</v>
      </c>
      <c r="BJ1044" s="44">
        <f t="shared" si="51"/>
        <v>-34</v>
      </c>
      <c r="BK1044" s="44">
        <f>IF($AX1044="Cancelled","",IFERROR(IF(BJ1044="","",(W1044*INDEX(Variables!$B$7:$D$7,IFERROR(MATCH(IF($B1044="Robusta","Robusta",(IF($B1044="","Arabica",$B1044))&amp;" - "&amp;(IF($C1044="","Commercial",$C1044))),Variables!$B$1:$D$1,0),1))*(BJ1044/365))+(W1044*INDEX(Variables!$B$9:$D$9,IFERROR(MATCH(IF($B1044="Robusta","Robusta",(IF($B1044="","Arabica",$B1044))&amp;" - "&amp;(IF($C1044="","Commercial",$C1044))),Variables!$B$1:$D$1,0),1))*(BJ1044/365))+(INDEX(Variables!$B$8:$D$8,IFERROR(MATCH(IF($B1044="Robusta","Robusta",(IF($B1044="","Arabica",$B1044))&amp;" - "&amp;(IF($C1044="","Commercial",$C1044))),Variables!$B$1:$D$1,0),1))*L1044/16.67)),""))</f>
        <v>-79.750980727588527</v>
      </c>
    </row>
    <row r="1045" spans="1:63">
      <c r="A1045" s="13" t="s">
        <v>103</v>
      </c>
      <c r="B1045" s="13" t="s">
        <v>104</v>
      </c>
      <c r="C1045" s="13" t="s">
        <v>292</v>
      </c>
      <c r="D1045" s="31">
        <v>46105</v>
      </c>
      <c r="E1045" s="31">
        <v>46113</v>
      </c>
      <c r="F1045" s="31">
        <v>46142</v>
      </c>
      <c r="G1045" s="13">
        <v>3787464</v>
      </c>
      <c r="J1045" s="13" t="s">
        <v>294</v>
      </c>
      <c r="K1045" s="13" t="s">
        <v>2622</v>
      </c>
      <c r="L1045" s="13">
        <v>15</v>
      </c>
      <c r="M1045" s="13">
        <v>0</v>
      </c>
      <c r="N1045" s="13" t="s">
        <v>2623</v>
      </c>
      <c r="O1045" s="13" t="s">
        <v>771</v>
      </c>
      <c r="P1045" s="13">
        <v>10010</v>
      </c>
      <c r="R1045" s="13" t="s">
        <v>384</v>
      </c>
      <c r="S1045" s="13" t="s">
        <v>339</v>
      </c>
      <c r="T1045" s="13" t="s">
        <v>340</v>
      </c>
      <c r="U1045" s="13" t="s">
        <v>113</v>
      </c>
      <c r="V1045" s="23">
        <v>203</v>
      </c>
      <c r="W1045" s="44">
        <f>IF($AX1045="Cancelled","",IFERROR(((V1045+INDEX(Variables!$B$6:$D$6,IFERROR(MATCH(IF($B1045="Robusta","Robusta",(IF($B1045="","Arabica",$B1045))&amp;" - "&amp;(IF($C1045="","Commercial",$C1045))),Variables!$B$1:$D$1,0),1)))*22.0462)*(L1045/16.67),""))</f>
        <v>9795.8130413917206</v>
      </c>
      <c r="Y1045" s="13" t="str">
        <f>IF($AX1045="Cancelled","",IF(X1045="","",IFERROR(IF(INDEX(Variables!$B$38:$B$47,MATCH(X1045,Variables!$A$38:$A$47,0))="Yes","Yes","No"),"No")))</f>
        <v/>
      </c>
      <c r="Z1045" s="31"/>
      <c r="AC1045" s="13" t="str">
        <f t="shared" si="50"/>
        <v/>
      </c>
      <c r="AF1045" s="71">
        <v>46148</v>
      </c>
      <c r="AG1045" s="31">
        <f>IF($AX1045="Cancelled","",IFERROR(IF(F1045="","",F1045-Variables!$B$13),""))</f>
        <v>46127</v>
      </c>
      <c r="AH1045" s="13" t="str">
        <f>IF($AX1045="Cancelled","",IFERROR(IF(AB1045="","",(AVERAGE(E1045:F1045)-AB1045)-Variables!$B$14),""))</f>
        <v/>
      </c>
      <c r="AJ1045" s="47">
        <v>46158</v>
      </c>
      <c r="AK1045" s="14">
        <f>IF($AX1045="Cancelled","",IFERROR(IF(AJ1045="","",IF(AND(AB1045="",AF1045=""),"",IF(AF1045&gt;AB1045,AF1045+Variables!$B$15+Variables!$B$16+Variables!$B$17-AJ1045,AB1045+Variables!$B$16+Variables!$B$17-AJ1045))),""))</f>
        <v>5</v>
      </c>
      <c r="AL1045" s="48" t="s">
        <v>114</v>
      </c>
      <c r="AM1045" s="13" t="s">
        <v>1784</v>
      </c>
      <c r="AN1045" s="13" t="s">
        <v>2620</v>
      </c>
      <c r="AP1045" s="39" t="e">
        <v>#N/A</v>
      </c>
      <c r="AR1045" s="13" t="s">
        <v>2621</v>
      </c>
      <c r="AS1045" s="31">
        <v>46176</v>
      </c>
      <c r="AU1045" s="31">
        <v>46207</v>
      </c>
      <c r="AV1045" s="13" t="e">
        <v>#N/A</v>
      </c>
      <c r="AW1045" s="31">
        <v>46207</v>
      </c>
      <c r="AX1045" s="13" t="str">
        <f>IF(ISNUMBER(SEARCH("cancel",#REF!)),"Cancelled",IF(AND(AS1045&lt;&gt;"",AU1045&lt;&gt;"",AW1045&lt;&gt;""),"Closed","Open"))</f>
        <v>Closed</v>
      </c>
      <c r="AY1045" s="24" t="str">
        <f t="shared" si="49"/>
        <v>All dates received</v>
      </c>
      <c r="BD1045" s="13">
        <f>IF($AX1045="Cancelled","",IFERROR(IF(OR(AS1045="",AJ1045=""),"",(AJ1045+Variables!$B$18-AS1045)),""))</f>
        <v>-3</v>
      </c>
      <c r="BE1045" s="13">
        <f>IF($AX1045="Cancelled","",IFERROR(IF(OR(AW1045="",AS1045=""),"",(AS1045+Variables!$B$19)-AW1045),""))</f>
        <v>-26</v>
      </c>
      <c r="BF1045" s="44">
        <f>IF($AX1045="Cancelled","",IFERROR(W1045*INDEX(Variables!$B$7:$D$7,IFERROR(MATCH(IF($B1045="Robusta","Robusta",(IF($B1045="","Arabica",$B1045))&amp;" - "&amp;(IF($C1045="","Commercial",$C1045))),Variables!$B$1:$D$1,0),1))*(BE1045/365),""))</f>
        <v>-44.994643748324279</v>
      </c>
      <c r="BG1045" s="44" t="str">
        <f>IF($AX1045="Cancelled","",IFERROR((W1045*INDEX(Variables!$B$7:$D$7,IFERROR(MATCH(IF($B1045="Robusta","Robusta",(IF($B1045="","Arabica",$B1045))&amp;" - "&amp;(IF($C1045="","Commercial",$C1045))),Variables!$B$1:$D$1,0),1))*IFERROR(IF(AB1045="","",(AVERAGE(E1045:F1045)-AB1045)-Variables!$B$14),"")/365)+(L1045/16.67*INDEX(Variables!$B$8:$D$8,IFERROR(MATCH(IF($B1045="Robusta","Robusta",(IF($B1045="","Arabica",$B1045))&amp;" - "&amp;(IF($C1045="","Commercial",$C1045))),Variables!$B$1:$D$1,0),1))*IFERROR(IF(AB1045="","",(AVERAGE(E1045:F1045)-AB1045)-Variables!$B$14),""))+(W1045*INDEX(Variables!$B$9:$D$9,IFERROR(MATCH(IF($B1045="Robusta","Robusta",(IF($B1045="","Arabica",$B1045))&amp;" - "&amp;(IF($C1045="","Commercial",$C1045))),Variables!$B$1:$D$1,0),1))*IFERROR(IF(AB1045="","",(AVERAGE(E1045:F1045)-AB1045)-Variables!$B$14),"")/365),""))</f>
        <v/>
      </c>
      <c r="BH1045" s="44">
        <f>IF($AX1045="Cancelled","",IFERROR((W1045*INDEX(Variables!$B$7:$D$7,IFERROR(MATCH(IF($B1045="Robusta","Robusta",(IF($B1045="","Arabica",$B1045))&amp;" - "&amp;(IF($C1045="","Commercial",$C1045))),Variables!$B$1:$D$1,0),1))*AK1045/365)+(L1045/16.67*INDEX(Variables!$B$8:$D$8,IFERROR(MATCH(IF($B1045="Robusta","Robusta",(IF($B1045="","Arabica",$B1045))&amp;" - "&amp;(IF($C1045="","Commercial",$C1045))),Variables!$B$1:$D$1,0),1))*AK1045)+(W1045*INDEX(Variables!$B$9:$D$9,IFERROR(MATCH(IF($B1045="Robusta","Robusta",(IF($B1045="","Arabica",$B1045))&amp;" - "&amp;(IF($C1045="","Commercial",$C1045))),Variables!$B$1:$D$1,0),1))*AK1045/365),""))</f>
        <v>12.514367603821071</v>
      </c>
      <c r="BI1045" s="44">
        <f>IF($AX1045="Cancelled","",IFERROR((W1045*INDEX(Variables!$B$7:$D$7,IFERROR(MATCH(IF($B1045="Robusta","Robusta",(IF($B1045="","Arabica",$B1045))&amp;" - "&amp;(IF($C1045="","Commercial",$C1045))),Variables!$B$1:$D$1,0),1))*BD1045/365)+(L1045/16.67*INDEX(Variables!$B$8:$D$8,IFERROR(MATCH(IF($B1045="Robusta","Robusta",(IF($B1045="","Arabica",$B1045))&amp;" - "&amp;(IF($C1045="","Commercial",$C1045))),Variables!$B$1:$D$1,0),1))*BD1045)+(W1045*INDEX(Variables!$B$9:$D$9,IFERROR(MATCH(IF($B1045="Robusta","Robusta",(IF($B1045="","Arabica",$B1045))&amp;" - "&amp;(IF($C1045="","Commercial",$C1045))),Variables!$B$1:$D$1,0),1))*BD1045/365),""))</f>
        <v>-7.5086205622926423</v>
      </c>
      <c r="BJ1045" s="44">
        <f t="shared" si="51"/>
        <v>-34</v>
      </c>
      <c r="BK1045" s="44">
        <f>IF($AX1045="Cancelled","",IFERROR(IF(BJ1045="","",(W1045*INDEX(Variables!$B$7:$D$7,IFERROR(MATCH(IF($B1045="Robusta","Robusta",(IF($B1045="","Arabica",$B1045))&amp;" - "&amp;(IF($C1045="","Commercial",$C1045))),Variables!$B$1:$D$1,0),1))*(BJ1045/365))+(W1045*INDEX(Variables!$B$9:$D$9,IFERROR(MATCH(IF($B1045="Robusta","Robusta",(IF($B1045="","Arabica",$B1045))&amp;" - "&amp;(IF($C1045="","Commercial",$C1045))),Variables!$B$1:$D$1,0),1))*(BJ1045/365))+(INDEX(Variables!$B$8:$D$8,IFERROR(MATCH(IF($B1045="Robusta","Robusta",(IF($B1045="","Arabica",$B1045))&amp;" - "&amp;(IF($C1045="","Commercial",$C1045))),Variables!$B$1:$D$1,0),1))*L1045/16.67)),""))</f>
        <v>-58.847699705983288</v>
      </c>
    </row>
    <row r="1046" spans="1:63">
      <c r="A1046" s="13" t="s">
        <v>103</v>
      </c>
      <c r="B1046" s="13" t="s">
        <v>104</v>
      </c>
      <c r="C1046" s="13" t="s">
        <v>292</v>
      </c>
      <c r="D1046" s="31">
        <v>46105</v>
      </c>
      <c r="E1046" s="31">
        <v>46113</v>
      </c>
      <c r="F1046" s="31">
        <v>46142</v>
      </c>
      <c r="G1046" s="13">
        <v>3787465</v>
      </c>
      <c r="J1046" s="13" t="s">
        <v>294</v>
      </c>
      <c r="K1046" s="13" t="s">
        <v>2624</v>
      </c>
      <c r="L1046" s="13">
        <v>10</v>
      </c>
      <c r="M1046" s="13">
        <v>0</v>
      </c>
      <c r="N1046" s="13" t="s">
        <v>2625</v>
      </c>
      <c r="O1046" s="13" t="s">
        <v>771</v>
      </c>
      <c r="P1046" s="13">
        <v>10010</v>
      </c>
      <c r="R1046" s="13" t="s">
        <v>384</v>
      </c>
      <c r="S1046" s="13" t="s">
        <v>339</v>
      </c>
      <c r="T1046" s="13" t="s">
        <v>340</v>
      </c>
      <c r="U1046" s="13" t="s">
        <v>113</v>
      </c>
      <c r="V1046" s="23">
        <v>234</v>
      </c>
      <c r="W1046" s="44">
        <f>IF($AX1046="Cancelled","",IFERROR(((V1046+INDEX(Variables!$B$6:$D$6,IFERROR(MATCH(IF($B1046="Robusta","Robusta",(IF($B1046="","Arabica",$B1046))&amp;" - "&amp;(IF($C1046="","Commercial",$C1046))),Variables!$B$1:$D$1,0),1)))*22.0462)*(L1046/16.67),""))</f>
        <v>6940.5193521295723</v>
      </c>
      <c r="Y1046" s="13" t="str">
        <f>IF($AX1046="Cancelled","",IF(X1046="","",IFERROR(IF(INDEX(Variables!$B$38:$B$47,MATCH(X1046,Variables!$A$38:$A$47,0))="Yes","Yes","No"),"No")))</f>
        <v/>
      </c>
      <c r="Z1046" s="31"/>
      <c r="AC1046" s="13" t="str">
        <f t="shared" si="50"/>
        <v/>
      </c>
      <c r="AF1046" s="71">
        <v>46148</v>
      </c>
      <c r="AG1046" s="31">
        <f>IF($AX1046="Cancelled","",IFERROR(IF(F1046="","",F1046-Variables!$B$13),""))</f>
        <v>46127</v>
      </c>
      <c r="AH1046" s="13" t="str">
        <f>IF($AX1046="Cancelled","",IFERROR(IF(AB1046="","",(AVERAGE(E1046:F1046)-AB1046)-Variables!$B$14),""))</f>
        <v/>
      </c>
      <c r="AJ1046" s="47">
        <v>46158</v>
      </c>
      <c r="AK1046" s="14">
        <f>IF($AX1046="Cancelled","",IFERROR(IF(AJ1046="","",IF(AND(AB1046="",AF1046=""),"",IF(AF1046&gt;AB1046,AF1046+Variables!$B$15+Variables!$B$16+Variables!$B$17-AJ1046,AB1046+Variables!$B$16+Variables!$B$17-AJ1046))),""))</f>
        <v>5</v>
      </c>
      <c r="AL1046" s="48" t="s">
        <v>114</v>
      </c>
      <c r="AM1046" s="13" t="s">
        <v>1784</v>
      </c>
      <c r="AN1046" s="13" t="s">
        <v>2620</v>
      </c>
      <c r="AP1046" s="39" t="e">
        <v>#N/A</v>
      </c>
      <c r="AR1046" s="13" t="s">
        <v>2621</v>
      </c>
      <c r="AS1046" s="31">
        <v>46176</v>
      </c>
      <c r="AU1046" s="31">
        <v>46207</v>
      </c>
      <c r="AV1046" s="13" t="e">
        <v>#N/A</v>
      </c>
      <c r="AW1046" s="31">
        <v>46207</v>
      </c>
      <c r="AX1046" s="13" t="str">
        <f>IF(ISNUMBER(SEARCH("cancel",#REF!)),"Cancelled",IF(AND(AS1046&lt;&gt;"",AU1046&lt;&gt;"",AW1046&lt;&gt;""),"Closed","Open"))</f>
        <v>Closed</v>
      </c>
      <c r="AY1046" s="24" t="str">
        <f t="shared" si="49"/>
        <v>All dates received</v>
      </c>
      <c r="BD1046" s="13">
        <f>IF($AX1046="Cancelled","",IFERROR(IF(OR(AS1046="",AJ1046=""),"",(AJ1046+Variables!$B$18-AS1046)),""))</f>
        <v>-3</v>
      </c>
      <c r="BE1046" s="13">
        <f>IF($AX1046="Cancelled","",IFERROR(IF(OR(AW1046="",AS1046=""),"",(AS1046+Variables!$B$19)-AW1046),""))</f>
        <v>-26</v>
      </c>
      <c r="BF1046" s="44">
        <f>IF($AX1046="Cancelled","",IFERROR(W1046*INDEX(Variables!$B$7:$D$7,IFERROR(MATCH(IF($B1046="Robusta","Robusta",(IF($B1046="","Arabica",$B1046))&amp;" - "&amp;(IF($C1046="","Commercial",$C1046))),Variables!$B$1:$D$1,0),1))*(BE1046/365),""))</f>
        <v>-31.879558578534596</v>
      </c>
      <c r="BG1046" s="44" t="str">
        <f>IF($AX1046="Cancelled","",IFERROR((W1046*INDEX(Variables!$B$7:$D$7,IFERROR(MATCH(IF($B1046="Robusta","Robusta",(IF($B1046="","Arabica",$B1046))&amp;" - "&amp;(IF($C1046="","Commercial",$C1046))),Variables!$B$1:$D$1,0),1))*IFERROR(IF(AB1046="","",(AVERAGE(E1046:F1046)-AB1046)-Variables!$B$14),"")/365)+(L1046/16.67*INDEX(Variables!$B$8:$D$8,IFERROR(MATCH(IF($B1046="Robusta","Robusta",(IF($B1046="","Arabica",$B1046))&amp;" - "&amp;(IF($C1046="","Commercial",$C1046))),Variables!$B$1:$D$1,0),1))*IFERROR(IF(AB1046="","",(AVERAGE(E1046:F1046)-AB1046)-Variables!$B$14),""))+(W1046*INDEX(Variables!$B$9:$D$9,IFERROR(MATCH(IF($B1046="Robusta","Robusta",(IF($B1046="","Arabica",$B1046))&amp;" - "&amp;(IF($C1046="","Commercial",$C1046))),Variables!$B$1:$D$1,0),1))*IFERROR(IF(AB1046="","",(AVERAGE(E1046:F1046)-AB1046)-Variables!$B$14),"")/365),""))</f>
        <v/>
      </c>
      <c r="BH1046" s="44">
        <f>IF($AX1046="Cancelled","",IFERROR((W1046*INDEX(Variables!$B$7:$D$7,IFERROR(MATCH(IF($B1046="Robusta","Robusta",(IF($B1046="","Arabica",$B1046))&amp;" - "&amp;(IF($C1046="","Commercial",$C1046))),Variables!$B$1:$D$1,0),1))*AK1046/365)+(L1046/16.67*INDEX(Variables!$B$8:$D$8,IFERROR(MATCH(IF($B1046="Robusta","Robusta",(IF($B1046="","Arabica",$B1046))&amp;" - "&amp;(IF($C1046="","Commercial",$C1046))),Variables!$B$1:$D$1,0),1))*AK1046)+(W1046*INDEX(Variables!$B$9:$D$9,IFERROR(MATCH(IF($B1046="Robusta","Robusta",(IF($B1046="","Arabica",$B1046))&amp;" - "&amp;(IF($C1046="","Commercial",$C1046))),Variables!$B$1:$D$1,0),1))*AK1046/365),""))</f>
        <v>8.7097206945933543</v>
      </c>
      <c r="BI1046" s="44">
        <f>IF($AX1046="Cancelled","",IFERROR((W1046*INDEX(Variables!$B$7:$D$7,IFERROR(MATCH(IF($B1046="Robusta","Robusta",(IF($B1046="","Arabica",$B1046))&amp;" - "&amp;(IF($C1046="","Commercial",$C1046))),Variables!$B$1:$D$1,0),1))*BD1046/365)+(L1046/16.67*INDEX(Variables!$B$8:$D$8,IFERROR(MATCH(IF($B1046="Robusta","Robusta",(IF($B1046="","Arabica",$B1046))&amp;" - "&amp;(IF($C1046="","Commercial",$C1046))),Variables!$B$1:$D$1,0),1))*BD1046)+(W1046*INDEX(Variables!$B$9:$D$9,IFERROR(MATCH(IF($B1046="Robusta","Robusta",(IF($B1046="","Arabica",$B1046))&amp;" - "&amp;(IF($C1046="","Commercial",$C1046))),Variables!$B$1:$D$1,0),1))*BD1046/365),""))</f>
        <v>-5.2258324167560124</v>
      </c>
      <c r="BJ1046" s="44">
        <f t="shared" si="51"/>
        <v>-34</v>
      </c>
      <c r="BK1046" s="44">
        <f>IF($AX1046="Cancelled","",IFERROR(IF(BJ1046="","",(W1046*INDEX(Variables!$B$7:$D$7,IFERROR(MATCH(IF($B1046="Robusta","Robusta",(IF($B1046="","Arabica",$B1046))&amp;" - "&amp;(IF($C1046="","Commercial",$C1046))),Variables!$B$1:$D$1,0),1))*(BJ1046/365))+(W1046*INDEX(Variables!$B$9:$D$9,IFERROR(MATCH(IF($B1046="Robusta","Robusta",(IF($B1046="","Arabica",$B1046))&amp;" - "&amp;(IF($C1046="","Commercial",$C1046))),Variables!$B$1:$D$1,0),1))*(BJ1046/365))+(INDEX(Variables!$B$8:$D$8,IFERROR(MATCH(IF($B1046="Robusta","Robusta",(IF($B1046="","Arabica",$B1046))&amp;" - "&amp;(IF($C1046="","Commercial",$C1046))),Variables!$B$1:$D$1,0),1))*L1046/16.67)),""))</f>
        <v>-41.726100723234808</v>
      </c>
    </row>
    <row r="1047" spans="1:63">
      <c r="A1047" s="13" t="s">
        <v>103</v>
      </c>
      <c r="B1047" s="13" t="s">
        <v>104</v>
      </c>
      <c r="C1047" s="13" t="s">
        <v>292</v>
      </c>
      <c r="D1047" s="31">
        <v>46105</v>
      </c>
      <c r="E1047" s="31">
        <v>46113</v>
      </c>
      <c r="F1047" s="31">
        <v>46142</v>
      </c>
      <c r="G1047" s="13">
        <v>3787466</v>
      </c>
      <c r="J1047" s="13" t="s">
        <v>294</v>
      </c>
      <c r="K1047" s="13" t="s">
        <v>2626</v>
      </c>
      <c r="L1047" s="13">
        <v>5</v>
      </c>
      <c r="M1047" s="13">
        <v>0</v>
      </c>
      <c r="N1047" s="13" t="s">
        <v>2627</v>
      </c>
      <c r="O1047" s="13" t="s">
        <v>771</v>
      </c>
      <c r="P1047" s="13">
        <v>10010</v>
      </c>
      <c r="R1047" s="13" t="s">
        <v>384</v>
      </c>
      <c r="S1047" s="13" t="s">
        <v>339</v>
      </c>
      <c r="T1047" s="13" t="s">
        <v>340</v>
      </c>
      <c r="U1047" s="13" t="s">
        <v>113</v>
      </c>
      <c r="V1047" s="23">
        <v>222</v>
      </c>
      <c r="W1047" s="44">
        <f>IF($AX1047="Cancelled","",IFERROR(((V1047+INDEX(Variables!$B$6:$D$6,IFERROR(MATCH(IF($B1047="Robusta","Robusta",(IF($B1047="","Arabica",$B1047))&amp;" - "&amp;(IF($C1047="","Commercial",$C1047))),Variables!$B$1:$D$1,0),1)))*22.0462)*(L1047/16.67),""))</f>
        <v>3390.9092261547685</v>
      </c>
      <c r="Y1047" s="13" t="str">
        <f>IF($AX1047="Cancelled","",IF(X1047="","",IFERROR(IF(INDEX(Variables!$B$38:$B$47,MATCH(X1047,Variables!$A$38:$A$47,0))="Yes","Yes","No"),"No")))</f>
        <v/>
      </c>
      <c r="Z1047" s="31"/>
      <c r="AC1047" s="13" t="str">
        <f t="shared" si="50"/>
        <v/>
      </c>
      <c r="AF1047" s="71">
        <v>46148</v>
      </c>
      <c r="AG1047" s="31">
        <f>IF($AX1047="Cancelled","",IFERROR(IF(F1047="","",F1047-Variables!$B$13),""))</f>
        <v>46127</v>
      </c>
      <c r="AH1047" s="13" t="str">
        <f>IF($AX1047="Cancelled","",IFERROR(IF(AB1047="","",(AVERAGE(E1047:F1047)-AB1047)-Variables!$B$14),""))</f>
        <v/>
      </c>
      <c r="AJ1047" s="47">
        <v>46158</v>
      </c>
      <c r="AK1047" s="14">
        <f>IF($AX1047="Cancelled","",IFERROR(IF(AJ1047="","",IF(AND(AB1047="",AF1047=""),"",IF(AF1047&gt;AB1047,AF1047+Variables!$B$15+Variables!$B$16+Variables!$B$17-AJ1047,AB1047+Variables!$B$16+Variables!$B$17-AJ1047))),""))</f>
        <v>5</v>
      </c>
      <c r="AL1047" s="48" t="s">
        <v>114</v>
      </c>
      <c r="AM1047" s="13" t="s">
        <v>1784</v>
      </c>
      <c r="AN1047" s="13" t="s">
        <v>2620</v>
      </c>
      <c r="AP1047" s="39" t="e">
        <v>#N/A</v>
      </c>
      <c r="AR1047" s="13" t="s">
        <v>2621</v>
      </c>
      <c r="AS1047" s="31">
        <v>46176</v>
      </c>
      <c r="AU1047" s="31">
        <v>46207</v>
      </c>
      <c r="AV1047" s="13" t="e">
        <v>#N/A</v>
      </c>
      <c r="AW1047" s="31">
        <v>46207</v>
      </c>
      <c r="AX1047" s="13" t="str">
        <f>IF(ISNUMBER(SEARCH("cancel",#REF!)),"Cancelled",IF(AND(AS1047&lt;&gt;"",AU1047&lt;&gt;"",AW1047&lt;&gt;""),"Closed","Open"))</f>
        <v>Closed</v>
      </c>
      <c r="AY1047" s="24" t="str">
        <f t="shared" si="49"/>
        <v>All dates received</v>
      </c>
      <c r="BD1047" s="13">
        <f>IF($AX1047="Cancelled","",IFERROR(IF(OR(AS1047="",AJ1047=""),"",(AJ1047+Variables!$B$18-AS1047)),""))</f>
        <v>-3</v>
      </c>
      <c r="BE1047" s="13">
        <f>IF($AX1047="Cancelled","",IFERROR(IF(OR(AW1047="",AS1047=""),"",(AS1047+Variables!$B$19)-AW1047),""))</f>
        <v>-26</v>
      </c>
      <c r="BF1047" s="44">
        <f>IF($AX1047="Cancelled","",IFERROR(W1047*INDEX(Variables!$B$7:$D$7,IFERROR(MATCH(IF($B1047="Robusta","Robusta",(IF($B1047="","Arabica",$B1047))&amp;" - "&amp;(IF($C1047="","Commercial",$C1047))),Variables!$B$1:$D$1,0),1))*(BE1047/365),""))</f>
        <v>-15.575302628689542</v>
      </c>
      <c r="BG1047" s="44" t="str">
        <f>IF($AX1047="Cancelled","",IFERROR((W1047*INDEX(Variables!$B$7:$D$7,IFERROR(MATCH(IF($B1047="Robusta","Robusta",(IF($B1047="","Arabica",$B1047))&amp;" - "&amp;(IF($C1047="","Commercial",$C1047))),Variables!$B$1:$D$1,0),1))*IFERROR(IF(AB1047="","",(AVERAGE(E1047:F1047)-AB1047)-Variables!$B$14),"")/365)+(L1047/16.67*INDEX(Variables!$B$8:$D$8,IFERROR(MATCH(IF($B1047="Robusta","Robusta",(IF($B1047="","Arabica",$B1047))&amp;" - "&amp;(IF($C1047="","Commercial",$C1047))),Variables!$B$1:$D$1,0),1))*IFERROR(IF(AB1047="","",(AVERAGE(E1047:F1047)-AB1047)-Variables!$B$14),""))+(W1047*INDEX(Variables!$B$9:$D$9,IFERROR(MATCH(IF($B1047="Robusta","Robusta",(IF($B1047="","Arabica",$B1047))&amp;" - "&amp;(IF($C1047="","Commercial",$C1047))),Variables!$B$1:$D$1,0),1))*IFERROR(IF(AB1047="","",(AVERAGE(E1047:F1047)-AB1047)-Variables!$B$14),"")/365),""))</f>
        <v/>
      </c>
      <c r="BH1047" s="44">
        <f>IF($AX1047="Cancelled","",IFERROR((W1047*INDEX(Variables!$B$7:$D$7,IFERROR(MATCH(IF($B1047="Robusta","Robusta",(IF($B1047="","Arabica",$B1047))&amp;" - "&amp;(IF($C1047="","Commercial",$C1047))),Variables!$B$1:$D$1,0),1))*AK1047/365)+(L1047/16.67*INDEX(Variables!$B$8:$D$8,IFERROR(MATCH(IF($B1047="Robusta","Robusta",(IF($B1047="","Arabica",$B1047))&amp;" - "&amp;(IF($C1047="","Commercial",$C1047))),Variables!$B$1:$D$1,0),1))*AK1047)+(W1047*INDEX(Variables!$B$9:$D$9,IFERROR(MATCH(IF($B1047="Robusta","Robusta",(IF($B1047="","Arabica",$B1047))&amp;" - "&amp;(IF($C1047="","Commercial",$C1047))),Variables!$B$1:$D$1,0),1))*AK1047/365),""))</f>
        <v>4.2838650649651981</v>
      </c>
      <c r="BI1047" s="44">
        <f>IF($AX1047="Cancelled","",IFERROR((W1047*INDEX(Variables!$B$7:$D$7,IFERROR(MATCH(IF($B1047="Robusta","Robusta",(IF($B1047="","Arabica",$B1047))&amp;" - "&amp;(IF($C1047="","Commercial",$C1047))),Variables!$B$1:$D$1,0),1))*BD1047/365)+(L1047/16.67*INDEX(Variables!$B$8:$D$8,IFERROR(MATCH(IF($B1047="Robusta","Robusta",(IF($B1047="","Arabica",$B1047))&amp;" - "&amp;(IF($C1047="","Commercial",$C1047))),Variables!$B$1:$D$1,0),1))*BD1047)+(W1047*INDEX(Variables!$B$9:$D$9,IFERROR(MATCH(IF($B1047="Robusta","Robusta",(IF($B1047="","Arabica",$B1047))&amp;" - "&amp;(IF($C1047="","Commercial",$C1047))),Variables!$B$1:$D$1,0),1))*BD1047/365),""))</f>
        <v>-2.5703190389791191</v>
      </c>
      <c r="BJ1047" s="44">
        <f t="shared" si="51"/>
        <v>-34</v>
      </c>
      <c r="BK1047" s="44">
        <f>IF($AX1047="Cancelled","",IFERROR(IF(BJ1047="","",(W1047*INDEX(Variables!$B$7:$D$7,IFERROR(MATCH(IF($B1047="Robusta","Robusta",(IF($B1047="","Arabica",$B1047))&amp;" - "&amp;(IF($C1047="","Commercial",$C1047))),Variables!$B$1:$D$1,0),1))*(BJ1047/365))+(W1047*INDEX(Variables!$B$9:$D$9,IFERROR(MATCH(IF($B1047="Robusta","Robusta",(IF($B1047="","Arabica",$B1047))&amp;" - "&amp;(IF($C1047="","Commercial",$C1047))),Variables!$B$1:$D$1,0),1))*(BJ1047/365))+(INDEX(Variables!$B$8:$D$8,IFERROR(MATCH(IF($B1047="Robusta","Robusta",(IF($B1047="","Arabica",$B1047))&amp;" - "&amp;(IF($C1047="","Commercial",$C1047))),Variables!$B$1:$D$1,0),1))*L1047/16.67)),""))</f>
        <v>-20.380282441763349</v>
      </c>
    </row>
    <row r="1048" spans="1:63">
      <c r="A1048" s="13" t="s">
        <v>103</v>
      </c>
      <c r="B1048" s="13" t="s">
        <v>104</v>
      </c>
      <c r="C1048" s="13" t="s">
        <v>292</v>
      </c>
      <c r="D1048" s="31">
        <v>46105</v>
      </c>
      <c r="E1048" s="31">
        <v>46113</v>
      </c>
      <c r="F1048" s="31">
        <v>46142</v>
      </c>
      <c r="G1048" s="13">
        <v>3787467</v>
      </c>
      <c r="J1048" s="13" t="s">
        <v>294</v>
      </c>
      <c r="K1048" s="13" t="s">
        <v>2628</v>
      </c>
      <c r="L1048" s="13">
        <v>6</v>
      </c>
      <c r="M1048" s="13">
        <v>0</v>
      </c>
      <c r="N1048" s="13" t="s">
        <v>2629</v>
      </c>
      <c r="O1048" s="13" t="s">
        <v>771</v>
      </c>
      <c r="P1048" s="13">
        <v>10010</v>
      </c>
      <c r="R1048" s="13" t="s">
        <v>384</v>
      </c>
      <c r="S1048" s="13" t="s">
        <v>339</v>
      </c>
      <c r="T1048" s="13" t="s">
        <v>340</v>
      </c>
      <c r="U1048" s="13" t="s">
        <v>113</v>
      </c>
      <c r="V1048" s="23">
        <v>222</v>
      </c>
      <c r="W1048" s="44">
        <f>IF($AX1048="Cancelled","",IFERROR(((V1048+INDEX(Variables!$B$6:$D$6,IFERROR(MATCH(IF($B1048="Robusta","Robusta",(IF($B1048="","Arabica",$B1048))&amp;" - "&amp;(IF($C1048="","Commercial",$C1048))),Variables!$B$1:$D$1,0),1)))*22.0462)*(L1048/16.67),""))</f>
        <v>4069.091071385722</v>
      </c>
      <c r="Y1048" s="13" t="str">
        <f>IF($AX1048="Cancelled","",IF(X1048="","",IFERROR(IF(INDEX(Variables!$B$38:$B$47,MATCH(X1048,Variables!$A$38:$A$47,0))="Yes","Yes","No"),"No")))</f>
        <v/>
      </c>
      <c r="Z1048" s="31"/>
      <c r="AC1048" s="13" t="str">
        <f t="shared" si="50"/>
        <v/>
      </c>
      <c r="AF1048" s="71">
        <v>46148</v>
      </c>
      <c r="AG1048" s="31">
        <f>IF($AX1048="Cancelled","",IFERROR(IF(F1048="","",F1048-Variables!$B$13),""))</f>
        <v>46127</v>
      </c>
      <c r="AH1048" s="13" t="str">
        <f>IF($AX1048="Cancelled","",IFERROR(IF(AB1048="","",(AVERAGE(E1048:F1048)-AB1048)-Variables!$B$14),""))</f>
        <v/>
      </c>
      <c r="AJ1048" s="47">
        <v>46158</v>
      </c>
      <c r="AK1048" s="14">
        <f>IF($AX1048="Cancelled","",IFERROR(IF(AJ1048="","",IF(AND(AB1048="",AF1048=""),"",IF(AF1048&gt;AB1048,AF1048+Variables!$B$15+Variables!$B$16+Variables!$B$17-AJ1048,AB1048+Variables!$B$16+Variables!$B$17-AJ1048))),""))</f>
        <v>5</v>
      </c>
      <c r="AL1048" s="48" t="s">
        <v>114</v>
      </c>
      <c r="AM1048" s="13" t="s">
        <v>1784</v>
      </c>
      <c r="AN1048" s="13" t="s">
        <v>2620</v>
      </c>
      <c r="AP1048" s="39" t="e">
        <v>#N/A</v>
      </c>
      <c r="AR1048" s="13" t="s">
        <v>2621</v>
      </c>
      <c r="AS1048" s="31">
        <v>46176</v>
      </c>
      <c r="AU1048" s="31">
        <v>46207</v>
      </c>
      <c r="AV1048" s="13" t="e">
        <v>#N/A</v>
      </c>
      <c r="AW1048" s="31">
        <v>46207</v>
      </c>
      <c r="AX1048" s="13" t="str">
        <f>IF(ISNUMBER(SEARCH("cancel",#REF!)),"Cancelled",IF(AND(AS1048&lt;&gt;"",AU1048&lt;&gt;"",AW1048&lt;&gt;""),"Closed","Open"))</f>
        <v>Closed</v>
      </c>
      <c r="AY1048" s="24" t="str">
        <f t="shared" si="49"/>
        <v>All dates received</v>
      </c>
      <c r="BD1048" s="13">
        <f>IF($AX1048="Cancelled","",IFERROR(IF(OR(AS1048="",AJ1048=""),"",(AJ1048+Variables!$B$18-AS1048)),""))</f>
        <v>-3</v>
      </c>
      <c r="BE1048" s="13">
        <f>IF($AX1048="Cancelled","",IFERROR(IF(OR(AW1048="",AS1048=""),"",(AS1048+Variables!$B$19)-AW1048),""))</f>
        <v>-26</v>
      </c>
      <c r="BF1048" s="44">
        <f>IF($AX1048="Cancelled","",IFERROR(W1048*INDEX(Variables!$B$7:$D$7,IFERROR(MATCH(IF($B1048="Robusta","Robusta",(IF($B1048="","Arabica",$B1048))&amp;" - "&amp;(IF($C1048="","Commercial",$C1048))),Variables!$B$1:$D$1,0),1))*(BE1048/365),""))</f>
        <v>-18.690363154427452</v>
      </c>
      <c r="BG1048" s="44" t="str">
        <f>IF($AX1048="Cancelled","",IFERROR((W1048*INDEX(Variables!$B$7:$D$7,IFERROR(MATCH(IF($B1048="Robusta","Robusta",(IF($B1048="","Arabica",$B1048))&amp;" - "&amp;(IF($C1048="","Commercial",$C1048))),Variables!$B$1:$D$1,0),1))*IFERROR(IF(AB1048="","",(AVERAGE(E1048:F1048)-AB1048)-Variables!$B$14),"")/365)+(L1048/16.67*INDEX(Variables!$B$8:$D$8,IFERROR(MATCH(IF($B1048="Robusta","Robusta",(IF($B1048="","Arabica",$B1048))&amp;" - "&amp;(IF($C1048="","Commercial",$C1048))),Variables!$B$1:$D$1,0),1))*IFERROR(IF(AB1048="","",(AVERAGE(E1048:F1048)-AB1048)-Variables!$B$14),""))+(W1048*INDEX(Variables!$B$9:$D$9,IFERROR(MATCH(IF($B1048="Robusta","Robusta",(IF($B1048="","Arabica",$B1048))&amp;" - "&amp;(IF($C1048="","Commercial",$C1048))),Variables!$B$1:$D$1,0),1))*IFERROR(IF(AB1048="","",(AVERAGE(E1048:F1048)-AB1048)-Variables!$B$14),"")/365),""))</f>
        <v/>
      </c>
      <c r="BH1048" s="44">
        <f>IF($AX1048="Cancelled","",IFERROR((W1048*INDEX(Variables!$B$7:$D$7,IFERROR(MATCH(IF($B1048="Robusta","Robusta",(IF($B1048="","Arabica",$B1048))&amp;" - "&amp;(IF($C1048="","Commercial",$C1048))),Variables!$B$1:$D$1,0),1))*AK1048/365)+(L1048/16.67*INDEX(Variables!$B$8:$D$8,IFERROR(MATCH(IF($B1048="Robusta","Robusta",(IF($B1048="","Arabica",$B1048))&amp;" - "&amp;(IF($C1048="","Commercial",$C1048))),Variables!$B$1:$D$1,0),1))*AK1048)+(W1048*INDEX(Variables!$B$9:$D$9,IFERROR(MATCH(IF($B1048="Robusta","Robusta",(IF($B1048="","Arabica",$B1048))&amp;" - "&amp;(IF($C1048="","Commercial",$C1048))),Variables!$B$1:$D$1,0),1))*AK1048/365),""))</f>
        <v>5.1406380779582381</v>
      </c>
      <c r="BI1048" s="44">
        <f>IF($AX1048="Cancelled","",IFERROR((W1048*INDEX(Variables!$B$7:$D$7,IFERROR(MATCH(IF($B1048="Robusta","Robusta",(IF($B1048="","Arabica",$B1048))&amp;" - "&amp;(IF($C1048="","Commercial",$C1048))),Variables!$B$1:$D$1,0),1))*BD1048/365)+(L1048/16.67*INDEX(Variables!$B$8:$D$8,IFERROR(MATCH(IF($B1048="Robusta","Robusta",(IF($B1048="","Arabica",$B1048))&amp;" - "&amp;(IF($C1048="","Commercial",$C1048))),Variables!$B$1:$D$1,0),1))*BD1048)+(W1048*INDEX(Variables!$B$9:$D$9,IFERROR(MATCH(IF($B1048="Robusta","Robusta",(IF($B1048="","Arabica",$B1048))&amp;" - "&amp;(IF($C1048="","Commercial",$C1048))),Variables!$B$1:$D$1,0),1))*BD1048/365),""))</f>
        <v>-3.0843828467749428</v>
      </c>
      <c r="BJ1048" s="44">
        <f t="shared" si="51"/>
        <v>-34</v>
      </c>
      <c r="BK1048" s="44">
        <f>IF($AX1048="Cancelled","",IFERROR(IF(BJ1048="","",(W1048*INDEX(Variables!$B$7:$D$7,IFERROR(MATCH(IF($B1048="Robusta","Robusta",(IF($B1048="","Arabica",$B1048))&amp;" - "&amp;(IF($C1048="","Commercial",$C1048))),Variables!$B$1:$D$1,0),1))*(BJ1048/365))+(W1048*INDEX(Variables!$B$9:$D$9,IFERROR(MATCH(IF($B1048="Robusta","Robusta",(IF($B1048="","Arabica",$B1048))&amp;" - "&amp;(IF($C1048="","Commercial",$C1048))),Variables!$B$1:$D$1,0),1))*(BJ1048/365))+(INDEX(Variables!$B$8:$D$8,IFERROR(MATCH(IF($B1048="Robusta","Robusta",(IF($B1048="","Arabica",$B1048))&amp;" - "&amp;(IF($C1048="","Commercial",$C1048))),Variables!$B$1:$D$1,0),1))*L1048/16.67)),""))</f>
        <v>-24.456338930116022</v>
      </c>
    </row>
    <row r="1049" spans="1:63">
      <c r="A1049" s="13" t="s">
        <v>103</v>
      </c>
      <c r="B1049" s="13" t="s">
        <v>104</v>
      </c>
      <c r="C1049" s="13" t="s">
        <v>292</v>
      </c>
      <c r="D1049" s="31">
        <v>46105</v>
      </c>
      <c r="E1049" s="31">
        <v>46113</v>
      </c>
      <c r="F1049" s="31">
        <v>46142</v>
      </c>
      <c r="G1049" s="13">
        <v>3787468</v>
      </c>
      <c r="J1049" s="13" t="s">
        <v>294</v>
      </c>
      <c r="K1049" s="13" t="s">
        <v>2630</v>
      </c>
      <c r="L1049" s="13">
        <v>6</v>
      </c>
      <c r="M1049" s="13">
        <v>0</v>
      </c>
      <c r="N1049" s="13" t="s">
        <v>2631</v>
      </c>
      <c r="O1049" s="13" t="s">
        <v>771</v>
      </c>
      <c r="P1049" s="13">
        <v>10010</v>
      </c>
      <c r="R1049" s="13" t="s">
        <v>384</v>
      </c>
      <c r="S1049" s="13" t="s">
        <v>339</v>
      </c>
      <c r="T1049" s="13" t="s">
        <v>340</v>
      </c>
      <c r="U1049" s="13" t="s">
        <v>113</v>
      </c>
      <c r="V1049" s="23">
        <v>218</v>
      </c>
      <c r="W1049" s="44">
        <f>IF($AX1049="Cancelled","",IFERROR(((V1049+INDEX(Variables!$B$6:$D$6,IFERROR(MATCH(IF($B1049="Robusta","Robusta",(IF($B1049="","Arabica",$B1049))&amp;" - "&amp;(IF($C1049="","Commercial",$C1049))),Variables!$B$1:$D$1,0),1)))*22.0462)*(L1049/16.67),""))</f>
        <v>4037.350891421715</v>
      </c>
      <c r="Y1049" s="13" t="str">
        <f>IF($AX1049="Cancelled","",IF(X1049="","",IFERROR(IF(INDEX(Variables!$B$38:$B$47,MATCH(X1049,Variables!$A$38:$A$47,0))="Yes","Yes","No"),"No")))</f>
        <v/>
      </c>
      <c r="Z1049" s="31"/>
      <c r="AC1049" s="13" t="str">
        <f t="shared" si="50"/>
        <v/>
      </c>
      <c r="AF1049" s="71">
        <v>46148</v>
      </c>
      <c r="AG1049" s="31">
        <f>IF($AX1049="Cancelled","",IFERROR(IF(F1049="","",F1049-Variables!$B$13),""))</f>
        <v>46127</v>
      </c>
      <c r="AH1049" s="13" t="str">
        <f>IF($AX1049="Cancelled","",IFERROR(IF(AB1049="","",(AVERAGE(E1049:F1049)-AB1049)-Variables!$B$14),""))</f>
        <v/>
      </c>
      <c r="AJ1049" s="47">
        <v>46158</v>
      </c>
      <c r="AK1049" s="14">
        <f>IF($AX1049="Cancelled","",IFERROR(IF(AJ1049="","",IF(AND(AB1049="",AF1049=""),"",IF(AF1049&gt;AB1049,AF1049+Variables!$B$15+Variables!$B$16+Variables!$B$17-AJ1049,AB1049+Variables!$B$16+Variables!$B$17-AJ1049))),""))</f>
        <v>5</v>
      </c>
      <c r="AL1049" s="48" t="s">
        <v>114</v>
      </c>
      <c r="AM1049" s="13" t="s">
        <v>1784</v>
      </c>
      <c r="AN1049" s="13" t="s">
        <v>2620</v>
      </c>
      <c r="AP1049" s="39" t="e">
        <v>#N/A</v>
      </c>
      <c r="AR1049" s="13" t="s">
        <v>2621</v>
      </c>
      <c r="AS1049" s="31">
        <v>46176</v>
      </c>
      <c r="AU1049" s="31">
        <v>46207</v>
      </c>
      <c r="AV1049" s="13" t="e">
        <v>#N/A</v>
      </c>
      <c r="AW1049" s="31">
        <v>46207</v>
      </c>
      <c r="AX1049" s="13" t="str">
        <f>IF(ISNUMBER(SEARCH("cancel",#REF!)),"Cancelled",IF(AND(AS1049&lt;&gt;"",AU1049&lt;&gt;"",AW1049&lt;&gt;""),"Closed","Open"))</f>
        <v>Closed</v>
      </c>
      <c r="AY1049" s="24" t="str">
        <f t="shared" si="49"/>
        <v>All dates received</v>
      </c>
      <c r="BD1049" s="13">
        <f>IF($AX1049="Cancelled","",IFERROR(IF(OR(AS1049="",AJ1049=""),"",(AJ1049+Variables!$B$18-AS1049)),""))</f>
        <v>-3</v>
      </c>
      <c r="BE1049" s="13">
        <f>IF($AX1049="Cancelled","",IFERROR(IF(OR(AW1049="",AS1049=""),"",(AS1049+Variables!$B$19)-AW1049),""))</f>
        <v>-26</v>
      </c>
      <c r="BF1049" s="44">
        <f>IF($AX1049="Cancelled","",IFERROR(W1049*INDEX(Variables!$B$7:$D$7,IFERROR(MATCH(IF($B1049="Robusta","Robusta",(IF($B1049="","Arabica",$B1049))&amp;" - "&amp;(IF($C1049="","Commercial",$C1049))),Variables!$B$1:$D$1,0),1))*(BE1049/365),""))</f>
        <v>-18.544572490196344</v>
      </c>
      <c r="BG1049" s="44" t="str">
        <f>IF($AX1049="Cancelled","",IFERROR((W1049*INDEX(Variables!$B$7:$D$7,IFERROR(MATCH(IF($B1049="Robusta","Robusta",(IF($B1049="","Arabica",$B1049))&amp;" - "&amp;(IF($C1049="","Commercial",$C1049))),Variables!$B$1:$D$1,0),1))*IFERROR(IF(AB1049="","",(AVERAGE(E1049:F1049)-AB1049)-Variables!$B$14),"")/365)+(L1049/16.67*INDEX(Variables!$B$8:$D$8,IFERROR(MATCH(IF($B1049="Robusta","Robusta",(IF($B1049="","Arabica",$B1049))&amp;" - "&amp;(IF($C1049="","Commercial",$C1049))),Variables!$B$1:$D$1,0),1))*IFERROR(IF(AB1049="","",(AVERAGE(E1049:F1049)-AB1049)-Variables!$B$14),""))+(W1049*INDEX(Variables!$B$9:$D$9,IFERROR(MATCH(IF($B1049="Robusta","Robusta",(IF($B1049="","Arabica",$B1049))&amp;" - "&amp;(IF($C1049="","Commercial",$C1049))),Variables!$B$1:$D$1,0),1))*IFERROR(IF(AB1049="","",(AVERAGE(E1049:F1049)-AB1049)-Variables!$B$14),"")/365),""))</f>
        <v/>
      </c>
      <c r="BH1049" s="44">
        <f>IF($AX1049="Cancelled","",IFERROR((W1049*INDEX(Variables!$B$7:$D$7,IFERROR(MATCH(IF($B1049="Robusta","Robusta",(IF($B1049="","Arabica",$B1049))&amp;" - "&amp;(IF($C1049="","Commercial",$C1049))),Variables!$B$1:$D$1,0),1))*AK1049/365)+(L1049/16.67*INDEX(Variables!$B$8:$D$8,IFERROR(MATCH(IF($B1049="Robusta","Robusta",(IF($B1049="","Arabica",$B1049))&amp;" - "&amp;(IF($C1049="","Commercial",$C1049))),Variables!$B$1:$D$1,0),1))*AK1049)+(W1049*INDEX(Variables!$B$9:$D$9,IFERROR(MATCH(IF($B1049="Robusta","Robusta",(IF($B1049="","Arabica",$B1049))&amp;" - "&amp;(IF($C1049="","Commercial",$C1049))),Variables!$B$1:$D$1,0),1))*AK1049/365),""))</f>
        <v>5.1122399650256458</v>
      </c>
      <c r="BI1049" s="44">
        <f>IF($AX1049="Cancelled","",IFERROR((W1049*INDEX(Variables!$B$7:$D$7,IFERROR(MATCH(IF($B1049="Robusta","Robusta",(IF($B1049="","Arabica",$B1049))&amp;" - "&amp;(IF($C1049="","Commercial",$C1049))),Variables!$B$1:$D$1,0),1))*BD1049/365)+(L1049/16.67*INDEX(Variables!$B$8:$D$8,IFERROR(MATCH(IF($B1049="Robusta","Robusta",(IF($B1049="","Arabica",$B1049))&amp;" - "&amp;(IF($C1049="","Commercial",$C1049))),Variables!$B$1:$D$1,0),1))*BD1049)+(W1049*INDEX(Variables!$B$9:$D$9,IFERROR(MATCH(IF($B1049="Robusta","Robusta",(IF($B1049="","Arabica",$B1049))&amp;" - "&amp;(IF($C1049="","Commercial",$C1049))),Variables!$B$1:$D$1,0),1))*BD1049/365),""))</f>
        <v>-3.0673439790153876</v>
      </c>
      <c r="BJ1049" s="44">
        <f t="shared" si="51"/>
        <v>-34</v>
      </c>
      <c r="BK1049" s="44">
        <f>IF($AX1049="Cancelled","",IFERROR(IF(BJ1049="","",(W1049*INDEX(Variables!$B$7:$D$7,IFERROR(MATCH(IF($B1049="Robusta","Robusta",(IF($B1049="","Arabica",$B1049))&amp;" - "&amp;(IF($C1049="","Commercial",$C1049))),Variables!$B$1:$D$1,0),1))*(BJ1049/365))+(W1049*INDEX(Variables!$B$9:$D$9,IFERROR(MATCH(IF($B1049="Robusta","Robusta",(IF($B1049="","Arabica",$B1049))&amp;" - "&amp;(IF($C1049="","Commercial",$C1049))),Variables!$B$1:$D$1,0),1))*(BJ1049/365))+(INDEX(Variables!$B$8:$D$8,IFERROR(MATCH(IF($B1049="Robusta","Robusta",(IF($B1049="","Arabica",$B1049))&amp;" - "&amp;(IF($C1049="","Commercial",$C1049))),Variables!$B$1:$D$1,0),1))*L1049/16.67)),""))</f>
        <v>-24.263231762174396</v>
      </c>
    </row>
    <row r="1050" spans="1:63">
      <c r="A1050" s="13" t="s">
        <v>103</v>
      </c>
      <c r="B1050" s="13" t="s">
        <v>104</v>
      </c>
      <c r="C1050" s="13" t="s">
        <v>292</v>
      </c>
      <c r="D1050" s="31">
        <v>46105</v>
      </c>
      <c r="E1050" s="31">
        <v>46113</v>
      </c>
      <c r="F1050" s="31">
        <v>46142</v>
      </c>
      <c r="G1050" s="13">
        <v>3787469</v>
      </c>
      <c r="J1050" s="13" t="s">
        <v>294</v>
      </c>
      <c r="K1050" s="13" t="s">
        <v>2632</v>
      </c>
      <c r="L1050" s="13">
        <v>6</v>
      </c>
      <c r="M1050" s="13">
        <v>0</v>
      </c>
      <c r="N1050" s="13" t="s">
        <v>2633</v>
      </c>
      <c r="O1050" s="13" t="s">
        <v>771</v>
      </c>
      <c r="P1050" s="13">
        <v>10010</v>
      </c>
      <c r="R1050" s="13" t="s">
        <v>384</v>
      </c>
      <c r="S1050" s="13" t="s">
        <v>339</v>
      </c>
      <c r="T1050" s="13" t="s">
        <v>340</v>
      </c>
      <c r="U1050" s="13" t="s">
        <v>113</v>
      </c>
      <c r="V1050" s="23">
        <v>234</v>
      </c>
      <c r="W1050" s="44">
        <f>IF($AX1050="Cancelled","",IFERROR(((V1050+INDEX(Variables!$B$6:$D$6,IFERROR(MATCH(IF($B1050="Robusta","Robusta",(IF($B1050="","Arabica",$B1050))&amp;" - "&amp;(IF($C1050="","Commercial",$C1050))),Variables!$B$1:$D$1,0),1)))*22.0462)*(L1050/16.67),""))</f>
        <v>4164.3116112777434</v>
      </c>
      <c r="Y1050" s="13" t="str">
        <f>IF($AX1050="Cancelled","",IF(X1050="","",IFERROR(IF(INDEX(Variables!$B$38:$B$47,MATCH(X1050,Variables!$A$38:$A$47,0))="Yes","Yes","No"),"No")))</f>
        <v/>
      </c>
      <c r="Z1050" s="31"/>
      <c r="AC1050" s="13" t="str">
        <f t="shared" si="50"/>
        <v/>
      </c>
      <c r="AF1050" s="71">
        <v>46148</v>
      </c>
      <c r="AG1050" s="31">
        <f>IF($AX1050="Cancelled","",IFERROR(IF(F1050="","",F1050-Variables!$B$13),""))</f>
        <v>46127</v>
      </c>
      <c r="AH1050" s="13" t="str">
        <f>IF($AX1050="Cancelled","",IFERROR(IF(AB1050="","",(AVERAGE(E1050:F1050)-AB1050)-Variables!$B$14),""))</f>
        <v/>
      </c>
      <c r="AJ1050" s="47">
        <v>46158</v>
      </c>
      <c r="AK1050" s="14">
        <f>IF($AX1050="Cancelled","",IFERROR(IF(AJ1050="","",IF(AND(AB1050="",AF1050=""),"",IF(AF1050&gt;AB1050,AF1050+Variables!$B$15+Variables!$B$16+Variables!$B$17-AJ1050,AB1050+Variables!$B$16+Variables!$B$17-AJ1050))),""))</f>
        <v>5</v>
      </c>
      <c r="AL1050" s="48" t="s">
        <v>114</v>
      </c>
      <c r="AM1050" s="13" t="s">
        <v>1784</v>
      </c>
      <c r="AN1050" s="13" t="s">
        <v>2620</v>
      </c>
      <c r="AP1050" s="39" t="e">
        <v>#N/A</v>
      </c>
      <c r="AR1050" s="13" t="s">
        <v>2621</v>
      </c>
      <c r="AS1050" s="31">
        <v>46176</v>
      </c>
      <c r="AU1050" s="31">
        <v>46207</v>
      </c>
      <c r="AV1050" s="13" t="e">
        <v>#N/A</v>
      </c>
      <c r="AW1050" s="31">
        <v>46207</v>
      </c>
      <c r="AX1050" s="13" t="str">
        <f>IF(ISNUMBER(SEARCH("cancel",#REF!)),"Cancelled",IF(AND(AS1050&lt;&gt;"",AU1050&lt;&gt;"",AW1050&lt;&gt;""),"Closed","Open"))</f>
        <v>Closed</v>
      </c>
      <c r="AY1050" s="24" t="str">
        <f t="shared" si="49"/>
        <v>All dates received</v>
      </c>
      <c r="BD1050" s="13">
        <f>IF($AX1050="Cancelled","",IFERROR(IF(OR(AS1050="",AJ1050=""),"",(AJ1050+Variables!$B$18-AS1050)),""))</f>
        <v>-3</v>
      </c>
      <c r="BE1050" s="13">
        <f>IF($AX1050="Cancelled","",IFERROR(IF(OR(AW1050="",AS1050=""),"",(AS1050+Variables!$B$19)-AW1050),""))</f>
        <v>-26</v>
      </c>
      <c r="BF1050" s="44">
        <f>IF($AX1050="Cancelled","",IFERROR(W1050*INDEX(Variables!$B$7:$D$7,IFERROR(MATCH(IF($B1050="Robusta","Robusta",(IF($B1050="","Arabica",$B1050))&amp;" - "&amp;(IF($C1050="","Commercial",$C1050))),Variables!$B$1:$D$1,0),1))*(BE1050/365),""))</f>
        <v>-19.127735147120756</v>
      </c>
      <c r="BG1050" s="44" t="str">
        <f>IF($AX1050="Cancelled","",IFERROR((W1050*INDEX(Variables!$B$7:$D$7,IFERROR(MATCH(IF($B1050="Robusta","Robusta",(IF($B1050="","Arabica",$B1050))&amp;" - "&amp;(IF($C1050="","Commercial",$C1050))),Variables!$B$1:$D$1,0),1))*IFERROR(IF(AB1050="","",(AVERAGE(E1050:F1050)-AB1050)-Variables!$B$14),"")/365)+(L1050/16.67*INDEX(Variables!$B$8:$D$8,IFERROR(MATCH(IF($B1050="Robusta","Robusta",(IF($B1050="","Arabica",$B1050))&amp;" - "&amp;(IF($C1050="","Commercial",$C1050))),Variables!$B$1:$D$1,0),1))*IFERROR(IF(AB1050="","",(AVERAGE(E1050:F1050)-AB1050)-Variables!$B$14),""))+(W1050*INDEX(Variables!$B$9:$D$9,IFERROR(MATCH(IF($B1050="Robusta","Robusta",(IF($B1050="","Arabica",$B1050))&amp;" - "&amp;(IF($C1050="","Commercial",$C1050))),Variables!$B$1:$D$1,0),1))*IFERROR(IF(AB1050="","",(AVERAGE(E1050:F1050)-AB1050)-Variables!$B$14),"")/365),""))</f>
        <v/>
      </c>
      <c r="BH1050" s="44">
        <f>IF($AX1050="Cancelled","",IFERROR((W1050*INDEX(Variables!$B$7:$D$7,IFERROR(MATCH(IF($B1050="Robusta","Robusta",(IF($B1050="","Arabica",$B1050))&amp;" - "&amp;(IF($C1050="","Commercial",$C1050))),Variables!$B$1:$D$1,0),1))*AK1050/365)+(L1050/16.67*INDEX(Variables!$B$8:$D$8,IFERROR(MATCH(IF($B1050="Robusta","Robusta",(IF($B1050="","Arabica",$B1050))&amp;" - "&amp;(IF($C1050="","Commercial",$C1050))),Variables!$B$1:$D$1,0),1))*AK1050)+(W1050*INDEX(Variables!$B$9:$D$9,IFERROR(MATCH(IF($B1050="Robusta","Robusta",(IF($B1050="","Arabica",$B1050))&amp;" - "&amp;(IF($C1050="","Commercial",$C1050))),Variables!$B$1:$D$1,0),1))*AK1050/365),""))</f>
        <v>5.2258324167560124</v>
      </c>
      <c r="BI1050" s="44">
        <f>IF($AX1050="Cancelled","",IFERROR((W1050*INDEX(Variables!$B$7:$D$7,IFERROR(MATCH(IF($B1050="Robusta","Robusta",(IF($B1050="","Arabica",$B1050))&amp;" - "&amp;(IF($C1050="","Commercial",$C1050))),Variables!$B$1:$D$1,0),1))*BD1050/365)+(L1050/16.67*INDEX(Variables!$B$8:$D$8,IFERROR(MATCH(IF($B1050="Robusta","Robusta",(IF($B1050="","Arabica",$B1050))&amp;" - "&amp;(IF($C1050="","Commercial",$C1050))),Variables!$B$1:$D$1,0),1))*BD1050)+(W1050*INDEX(Variables!$B$9:$D$9,IFERROR(MATCH(IF($B1050="Robusta","Robusta",(IF($B1050="","Arabica",$B1050))&amp;" - "&amp;(IF($C1050="","Commercial",$C1050))),Variables!$B$1:$D$1,0),1))*BD1050/365),""))</f>
        <v>-3.1354994500536075</v>
      </c>
      <c r="BJ1050" s="44">
        <f t="shared" si="51"/>
        <v>-34</v>
      </c>
      <c r="BK1050" s="44">
        <f>IF($AX1050="Cancelled","",IFERROR(IF(BJ1050="","",(W1050*INDEX(Variables!$B$7:$D$7,IFERROR(MATCH(IF($B1050="Robusta","Robusta",(IF($B1050="","Arabica",$B1050))&amp;" - "&amp;(IF($C1050="","Commercial",$C1050))),Variables!$B$1:$D$1,0),1))*(BJ1050/365))+(W1050*INDEX(Variables!$B$9:$D$9,IFERROR(MATCH(IF($B1050="Robusta","Robusta",(IF($B1050="","Arabica",$B1050))&amp;" - "&amp;(IF($C1050="","Commercial",$C1050))),Variables!$B$1:$D$1,0),1))*(BJ1050/365))+(INDEX(Variables!$B$8:$D$8,IFERROR(MATCH(IF($B1050="Robusta","Robusta",(IF($B1050="","Arabica",$B1050))&amp;" - "&amp;(IF($C1050="","Commercial",$C1050))),Variables!$B$1:$D$1,0),1))*L1050/16.67)),""))</f>
        <v>-25.035660433940883</v>
      </c>
    </row>
    <row r="1051" spans="1:63">
      <c r="A1051" s="13" t="s">
        <v>103</v>
      </c>
      <c r="B1051" s="13" t="s">
        <v>104</v>
      </c>
      <c r="C1051" s="13" t="s">
        <v>292</v>
      </c>
      <c r="D1051" s="31">
        <v>46105</v>
      </c>
      <c r="E1051" s="31">
        <v>46113</v>
      </c>
      <c r="F1051" s="31">
        <v>46142</v>
      </c>
      <c r="G1051" s="13">
        <v>3787470</v>
      </c>
      <c r="J1051" s="13" t="s">
        <v>294</v>
      </c>
      <c r="K1051" s="13" t="s">
        <v>2634</v>
      </c>
      <c r="L1051" s="13">
        <v>2</v>
      </c>
      <c r="M1051" s="13">
        <v>0</v>
      </c>
      <c r="N1051" s="13" t="s">
        <v>2635</v>
      </c>
      <c r="O1051" s="13" t="s">
        <v>1054</v>
      </c>
      <c r="P1051" s="13">
        <v>10020</v>
      </c>
      <c r="R1051" s="13" t="s">
        <v>384</v>
      </c>
      <c r="S1051" s="13" t="s">
        <v>339</v>
      </c>
      <c r="T1051" s="13" t="s">
        <v>340</v>
      </c>
      <c r="U1051" s="13" t="s">
        <v>113</v>
      </c>
      <c r="V1051" s="23">
        <v>110</v>
      </c>
      <c r="W1051" s="44">
        <f>IF($AX1051="Cancelled","",IFERROR(((V1051+INDEX(Variables!$B$6:$D$6,IFERROR(MATCH(IF($B1051="Robusta","Robusta",(IF($B1051="","Arabica",$B1051))&amp;" - "&amp;(IF($C1051="","Commercial",$C1051))),Variables!$B$1:$D$1,0),1)))*22.0462)*(L1051/16.67),""))</f>
        <v>1060.1220107978402</v>
      </c>
      <c r="Y1051" s="13" t="str">
        <f>IF($AX1051="Cancelled","",IF(X1051="","",IFERROR(IF(INDEX(Variables!$B$38:$B$47,MATCH(X1051,Variables!$A$38:$A$47,0))="Yes","Yes","No"),"No")))</f>
        <v/>
      </c>
      <c r="Z1051" s="31"/>
      <c r="AC1051" s="13" t="str">
        <f t="shared" si="50"/>
        <v/>
      </c>
      <c r="AF1051" s="71">
        <v>46148</v>
      </c>
      <c r="AG1051" s="36">
        <f>IF($AX1051="Cancelled","",IFERROR(IF(F1051="","",F1051-Variables!$B$13),""))</f>
        <v>46127</v>
      </c>
      <c r="AH1051" s="13" t="str">
        <f>IF($AX1051="Cancelled","",IFERROR(IF(AB1051="","",(AVERAGE(E1051:F1051)-AB1051)-Variables!$B$14),""))</f>
        <v/>
      </c>
      <c r="AJ1051" s="47">
        <v>46158</v>
      </c>
      <c r="AK1051" s="14">
        <f>IF($AX1051="Cancelled","",IFERROR(IF(AJ1051="","",IF(AND(AB1051="",AF1051=""),"",IF(AF1051&gt;AB1051,AF1051+Variables!$B$15+Variables!$B$16+Variables!$B$17-AJ1051,AB1051+Variables!$B$16+Variables!$B$17-AJ1051))),""))</f>
        <v>5</v>
      </c>
      <c r="AL1051" s="48" t="s">
        <v>114</v>
      </c>
      <c r="AM1051" s="13" t="s">
        <v>1784</v>
      </c>
      <c r="AN1051" s="13" t="s">
        <v>2620</v>
      </c>
      <c r="AP1051" s="39" t="e">
        <v>#N/A</v>
      </c>
      <c r="AR1051" s="13" t="s">
        <v>2621</v>
      </c>
      <c r="AS1051" s="31">
        <v>46176</v>
      </c>
      <c r="AU1051" s="31">
        <v>46207</v>
      </c>
      <c r="AV1051" s="13" t="e">
        <v>#N/A</v>
      </c>
      <c r="AW1051" s="31">
        <v>46207</v>
      </c>
      <c r="AX1051" s="13" t="str">
        <f>IF(ISNUMBER(SEARCH("cancel",#REF!)),"Cancelled",IF(AND(AS1051&lt;&gt;"",AU1051&lt;&gt;"",AW1051&lt;&gt;""),"Closed","Open"))</f>
        <v>Closed</v>
      </c>
      <c r="AY1051" s="24" t="str">
        <f t="shared" si="49"/>
        <v>All dates received</v>
      </c>
      <c r="BD1051" s="13">
        <f>IF($AX1051="Cancelled","",IFERROR(IF(OR(AS1051="",AJ1051=""),"",(AJ1051+Variables!$B$18-AS1051)),""))</f>
        <v>-3</v>
      </c>
      <c r="BE1051" s="13">
        <f>IF($AX1051="Cancelled","",IFERROR(IF(OR(AW1051="",AS1051=""),"",(AS1051+Variables!$B$19)-AW1051),""))</f>
        <v>-26</v>
      </c>
      <c r="BF1051" s="44">
        <f>IF($AX1051="Cancelled","",IFERROR(W1051*INDEX(Variables!$B$7:$D$7,IFERROR(MATCH(IF($B1051="Robusta","Robusta",(IF($B1051="","Arabica",$B1051))&amp;" - "&amp;(IF($C1051="","Commercial",$C1051))),Variables!$B$1:$D$1,0),1))*(BE1051/365),""))</f>
        <v>-4.8694081853188509</v>
      </c>
      <c r="BG1051" s="44" t="str">
        <f>IF($AX1051="Cancelled","",IFERROR((W1051*INDEX(Variables!$B$7:$D$7,IFERROR(MATCH(IF($B1051="Robusta","Robusta",(IF($B1051="","Arabica",$B1051))&amp;" - "&amp;(IF($C1051="","Commercial",$C1051))),Variables!$B$1:$D$1,0),1))*IFERROR(IF(AB1051="","",(AVERAGE(E1051:F1051)-AB1051)-Variables!$B$14),"")/365)+(L1051/16.67*INDEX(Variables!$B$8:$D$8,IFERROR(MATCH(IF($B1051="Robusta","Robusta",(IF($B1051="","Arabica",$B1051))&amp;" - "&amp;(IF($C1051="","Commercial",$C1051))),Variables!$B$1:$D$1,0),1))*IFERROR(IF(AB1051="","",(AVERAGE(E1051:F1051)-AB1051)-Variables!$B$14),""))+(W1051*INDEX(Variables!$B$9:$D$9,IFERROR(MATCH(IF($B1051="Robusta","Robusta",(IF($B1051="","Arabica",$B1051))&amp;" - "&amp;(IF($C1051="","Commercial",$C1051))),Variables!$B$1:$D$1,0),1))*IFERROR(IF(AB1051="","",(AVERAGE(E1051:F1051)-AB1051)-Variables!$B$14),"")/365),""))</f>
        <v/>
      </c>
      <c r="BH1051" s="44">
        <f>IF($AX1051="Cancelled","",IFERROR((W1051*INDEX(Variables!$B$7:$D$7,IFERROR(MATCH(IF($B1051="Robusta","Robusta",(IF($B1051="","Arabica",$B1051))&amp;" - "&amp;(IF($C1051="","Commercial",$C1051))),Variables!$B$1:$D$1,0),1))*AK1051/365)+(L1051/16.67*INDEX(Variables!$B$8:$D$8,IFERROR(MATCH(IF($B1051="Robusta","Robusta",(IF($B1051="","Arabica",$B1051))&amp;" - "&amp;(IF($C1051="","Commercial",$C1051))),Variables!$B$1:$D$1,0),1))*AK1051)+(W1051*INDEX(Variables!$B$9:$D$9,IFERROR(MATCH(IF($B1051="Robusta","Robusta",(IF($B1051="","Arabica",$B1051))&amp;" - "&amp;(IF($C1051="","Commercial",$C1051))),Variables!$B$1:$D$1,0),1))*AK1051/365),""))</f>
        <v>1.4484969719485579</v>
      </c>
      <c r="BI1051" s="44">
        <f>IF($AX1051="Cancelled","",IFERROR((W1051*INDEX(Variables!$B$7:$D$7,IFERROR(MATCH(IF($B1051="Robusta","Robusta",(IF($B1051="","Arabica",$B1051))&amp;" - "&amp;(IF($C1051="","Commercial",$C1051))),Variables!$B$1:$D$1,0),1))*BD1051/365)+(L1051/16.67*INDEX(Variables!$B$8:$D$8,IFERROR(MATCH(IF($B1051="Robusta","Robusta",(IF($B1051="","Arabica",$B1051))&amp;" - "&amp;(IF($C1051="","Commercial",$C1051))),Variables!$B$1:$D$1,0),1))*BD1051)+(W1051*INDEX(Variables!$B$9:$D$9,IFERROR(MATCH(IF($B1051="Robusta","Robusta",(IF($B1051="","Arabica",$B1051))&amp;" - "&amp;(IF($C1051="","Commercial",$C1051))),Variables!$B$1:$D$1,0),1))*BD1051/365),""))</f>
        <v>-0.86909818316913479</v>
      </c>
      <c r="BJ1051" s="44">
        <f t="shared" si="51"/>
        <v>-34</v>
      </c>
      <c r="BK1051" s="44">
        <f>IF($AX1051="Cancelled","",IFERROR(IF(BJ1051="","",(W1051*INDEX(Variables!$B$7:$D$7,IFERROR(MATCH(IF($B1051="Robusta","Robusta",(IF($B1051="","Arabica",$B1051))&amp;" - "&amp;(IF($C1051="","Commercial",$C1051))),Variables!$B$1:$D$1,0),1))*(BJ1051/365))+(W1051*INDEX(Variables!$B$9:$D$9,IFERROR(MATCH(IF($B1051="Robusta","Robusta",(IF($B1051="","Arabica",$B1051))&amp;" - "&amp;(IF($C1051="","Commercial",$C1051))),Variables!$B$1:$D$1,0),1))*(BJ1051/365))+(INDEX(Variables!$B$8:$D$8,IFERROR(MATCH(IF($B1051="Robusta","Robusta",(IF($B1051="","Arabica",$B1051))&amp;" - "&amp;(IF($C1051="","Commercial",$C1051))),Variables!$B$1:$D$1,0),1))*L1051/16.67)),""))</f>
        <v>-6.3497794092501954</v>
      </c>
    </row>
    <row r="1052" spans="1:63">
      <c r="A1052" s="13" t="s">
        <v>103</v>
      </c>
      <c r="B1052" s="13" t="s">
        <v>104</v>
      </c>
      <c r="C1052" s="13" t="s">
        <v>292</v>
      </c>
      <c r="D1052" s="31">
        <v>46105</v>
      </c>
      <c r="E1052" s="31">
        <v>46113</v>
      </c>
      <c r="F1052" s="31">
        <v>46142</v>
      </c>
      <c r="G1052" s="13">
        <v>3787471</v>
      </c>
      <c r="J1052" s="13" t="s">
        <v>294</v>
      </c>
      <c r="K1052" s="13" t="s">
        <v>2636</v>
      </c>
      <c r="L1052" s="13">
        <v>15</v>
      </c>
      <c r="M1052" s="13">
        <v>0</v>
      </c>
      <c r="N1052" s="13" t="s">
        <v>2637</v>
      </c>
      <c r="O1052" s="13" t="s">
        <v>1054</v>
      </c>
      <c r="P1052" s="13">
        <v>10020</v>
      </c>
      <c r="R1052" s="13" t="s">
        <v>239</v>
      </c>
      <c r="S1052" s="13" t="s">
        <v>339</v>
      </c>
      <c r="T1052" s="13" t="s">
        <v>340</v>
      </c>
      <c r="U1052" s="13" t="s">
        <v>113</v>
      </c>
      <c r="V1052" s="23">
        <v>151</v>
      </c>
      <c r="W1052" s="44">
        <f>IF($AX1052="Cancelled","",IFERROR(((V1052+INDEX(Variables!$B$6:$D$6,IFERROR(MATCH(IF($B1052="Robusta","Robusta",(IF($B1052="","Arabica",$B1052))&amp;" - "&amp;(IF($C1052="","Commercial",$C1052))),Variables!$B$1:$D$1,0),1)))*22.0462)*(L1052/16.67),""))</f>
        <v>8764.2571925614866</v>
      </c>
      <c r="Y1052" s="13" t="str">
        <f>IF($AX1052="Cancelled","",IF(X1052="","",IFERROR(IF(INDEX(Variables!$B$38:$B$47,MATCH(X1052,Variables!$A$38:$A$47,0))="Yes","Yes","No"),"No")))</f>
        <v/>
      </c>
      <c r="Z1052" s="31"/>
      <c r="AC1052" s="13" t="str">
        <f t="shared" si="50"/>
        <v/>
      </c>
      <c r="AF1052" s="71">
        <v>46148</v>
      </c>
      <c r="AG1052" s="36">
        <f>IF($AX1052="Cancelled","",IFERROR(IF(F1052="","",F1052-Variables!$B$13),""))</f>
        <v>46127</v>
      </c>
      <c r="AH1052" s="13" t="str">
        <f>IF($AX1052="Cancelled","",IFERROR(IF(AB1052="","",(AVERAGE(E1052:F1052)-AB1052)-Variables!$B$14),""))</f>
        <v/>
      </c>
      <c r="AJ1052" s="47">
        <v>46158</v>
      </c>
      <c r="AK1052" s="14">
        <f>IF($AX1052="Cancelled","",IFERROR(IF(AJ1052="","",IF(AND(AB1052="",AF1052=""),"",IF(AF1052&gt;AB1052,AF1052+Variables!$B$15+Variables!$B$16+Variables!$B$17-AJ1052,AB1052+Variables!$B$16+Variables!$B$17-AJ1052))),""))</f>
        <v>5</v>
      </c>
      <c r="AL1052" s="48" t="s">
        <v>114</v>
      </c>
      <c r="AM1052" s="13" t="s">
        <v>1784</v>
      </c>
      <c r="AN1052" s="13" t="s">
        <v>2620</v>
      </c>
      <c r="AP1052" s="39" t="e">
        <v>#N/A</v>
      </c>
      <c r="AR1052" s="13" t="s">
        <v>2621</v>
      </c>
      <c r="AS1052" s="31">
        <v>46176</v>
      </c>
      <c r="AU1052" s="31">
        <v>46207</v>
      </c>
      <c r="AV1052" s="13" t="e">
        <v>#N/A</v>
      </c>
      <c r="AW1052" s="31">
        <v>46207</v>
      </c>
      <c r="AX1052" s="13" t="str">
        <f>IF(ISNUMBER(SEARCH("cancel",#REF!)),"Cancelled",IF(AND(AS1052&lt;&gt;"",AU1052&lt;&gt;"",AW1052&lt;&gt;""),"Closed","Open"))</f>
        <v>Closed</v>
      </c>
      <c r="AY1052" s="24" t="str">
        <f t="shared" si="49"/>
        <v>All dates received</v>
      </c>
      <c r="BD1052" s="13">
        <f>IF($AX1052="Cancelled","",IFERROR(IF(OR(AS1052="",AJ1052=""),"",(AJ1052+Variables!$B$18-AS1052)),""))</f>
        <v>-3</v>
      </c>
      <c r="BE1052" s="13">
        <f>IF($AX1052="Cancelled","",IFERROR(IF(OR(AW1052="",AS1052=""),"",(AS1052+Variables!$B$19)-AW1052),""))</f>
        <v>-26</v>
      </c>
      <c r="BF1052" s="44">
        <f>IF($AX1052="Cancelled","",IFERROR(W1052*INDEX(Variables!$B$7:$D$7,IFERROR(MATCH(IF($B1052="Robusta","Robusta",(IF($B1052="","Arabica",$B1052))&amp;" - "&amp;(IF($C1052="","Commercial",$C1052))),Variables!$B$1:$D$1,0),1))*(BE1052/365),""))</f>
        <v>-40.256447160813408</v>
      </c>
      <c r="BG1052" s="44" t="str">
        <f>IF($AX1052="Cancelled","",IFERROR((W1052*INDEX(Variables!$B$7:$D$7,IFERROR(MATCH(IF($B1052="Robusta","Robusta",(IF($B1052="","Arabica",$B1052))&amp;" - "&amp;(IF($C1052="","Commercial",$C1052))),Variables!$B$1:$D$1,0),1))*IFERROR(IF(AB1052="","",(AVERAGE(E1052:F1052)-AB1052)-Variables!$B$14),"")/365)+(L1052/16.67*INDEX(Variables!$B$8:$D$8,IFERROR(MATCH(IF($B1052="Robusta","Robusta",(IF($B1052="","Arabica",$B1052))&amp;" - "&amp;(IF($C1052="","Commercial",$C1052))),Variables!$B$1:$D$1,0),1))*IFERROR(IF(AB1052="","",(AVERAGE(E1052:F1052)-AB1052)-Variables!$B$14),""))+(W1052*INDEX(Variables!$B$9:$D$9,IFERROR(MATCH(IF($B1052="Robusta","Robusta",(IF($B1052="","Arabica",$B1052))&amp;" - "&amp;(IF($C1052="","Commercial",$C1052))),Variables!$B$1:$D$1,0),1))*IFERROR(IF(AB1052="","",(AVERAGE(E1052:F1052)-AB1052)-Variables!$B$14),"")/365),""))</f>
        <v/>
      </c>
      <c r="BH1052" s="44">
        <f>IF($AX1052="Cancelled","",IFERROR((W1052*INDEX(Variables!$B$7:$D$7,IFERROR(MATCH(IF($B1052="Robusta","Robusta",(IF($B1052="","Arabica",$B1052))&amp;" - "&amp;(IF($C1052="","Commercial",$C1052))),Variables!$B$1:$D$1,0),1))*AK1052/365)+(L1052/16.67*INDEX(Variables!$B$8:$D$8,IFERROR(MATCH(IF($B1052="Robusta","Robusta",(IF($B1052="","Arabica",$B1052))&amp;" - "&amp;(IF($C1052="","Commercial",$C1052))),Variables!$B$1:$D$1,0),1))*AK1052)+(W1052*INDEX(Variables!$B$9:$D$9,IFERROR(MATCH(IF($B1052="Robusta","Robusta",(IF($B1052="","Arabica",$B1052))&amp;" - "&amp;(IF($C1052="","Commercial",$C1052))),Variables!$B$1:$D$1,0),1))*AK1052/365),""))</f>
        <v>11.591428933511844</v>
      </c>
      <c r="BI1052" s="44">
        <f>IF($AX1052="Cancelled","",IFERROR((W1052*INDEX(Variables!$B$7:$D$7,IFERROR(MATCH(IF($B1052="Robusta","Robusta",(IF($B1052="","Arabica",$B1052))&amp;" - "&amp;(IF($C1052="","Commercial",$C1052))),Variables!$B$1:$D$1,0),1))*BD1052/365)+(L1052/16.67*INDEX(Variables!$B$8:$D$8,IFERROR(MATCH(IF($B1052="Robusta","Robusta",(IF($B1052="","Arabica",$B1052))&amp;" - "&amp;(IF($C1052="","Commercial",$C1052))),Variables!$B$1:$D$1,0),1))*BD1052)+(W1052*INDEX(Variables!$B$9:$D$9,IFERROR(MATCH(IF($B1052="Robusta","Robusta",(IF($B1052="","Arabica",$B1052))&amp;" - "&amp;(IF($C1052="","Commercial",$C1052))),Variables!$B$1:$D$1,0),1))*BD1052/365),""))</f>
        <v>-6.9548573601071064</v>
      </c>
      <c r="BJ1052" s="44">
        <f t="shared" si="51"/>
        <v>-34</v>
      </c>
      <c r="BK1052" s="44">
        <f>IF($AX1052="Cancelled","",IFERROR(IF(BJ1052="","",(W1052*INDEX(Variables!$B$7:$D$7,IFERROR(MATCH(IF($B1052="Robusta","Robusta",(IF($B1052="","Arabica",$B1052))&amp;" - "&amp;(IF($C1052="","Commercial",$C1052))),Variables!$B$1:$D$1,0),1))*(BJ1052/365))+(W1052*INDEX(Variables!$B$9:$D$9,IFERROR(MATCH(IF($B1052="Robusta","Robusta",(IF($B1052="","Arabica",$B1052))&amp;" - "&amp;(IF($C1052="","Commercial",$C1052))),Variables!$B$1:$D$1,0),1))*(BJ1052/365))+(INDEX(Variables!$B$8:$D$8,IFERROR(MATCH(IF($B1052="Robusta","Robusta",(IF($B1052="","Arabica",$B1052))&amp;" - "&amp;(IF($C1052="","Commercial",$C1052))),Variables!$B$1:$D$1,0),1))*L1052/16.67)),""))</f>
        <v>-52.571716747880551</v>
      </c>
    </row>
    <row r="1053" spans="1:63">
      <c r="A1053" s="13" t="s">
        <v>103</v>
      </c>
      <c r="B1053" s="13" t="s">
        <v>104</v>
      </c>
      <c r="C1053" s="13" t="s">
        <v>292</v>
      </c>
      <c r="D1053" s="31">
        <v>46105</v>
      </c>
      <c r="E1053" s="31">
        <v>46113</v>
      </c>
      <c r="F1053" s="31">
        <v>46142</v>
      </c>
      <c r="G1053" s="13">
        <v>3787472</v>
      </c>
      <c r="J1053" s="13" t="s">
        <v>294</v>
      </c>
      <c r="K1053" s="13" t="s">
        <v>2638</v>
      </c>
      <c r="L1053" s="13">
        <v>11</v>
      </c>
      <c r="M1053" s="13">
        <v>0</v>
      </c>
      <c r="N1053" s="13" t="s">
        <v>2639</v>
      </c>
      <c r="O1053" s="13" t="s">
        <v>1054</v>
      </c>
      <c r="P1053" s="13">
        <v>10020</v>
      </c>
      <c r="R1053" s="13" t="s">
        <v>384</v>
      </c>
      <c r="S1053" s="13" t="s">
        <v>339</v>
      </c>
      <c r="T1053" s="13" t="s">
        <v>340</v>
      </c>
      <c r="U1053" s="13" t="s">
        <v>113</v>
      </c>
      <c r="V1053" s="23">
        <v>173</v>
      </c>
      <c r="W1053" s="44">
        <f>IF($AX1053="Cancelled","",IFERROR(((V1053+INDEX(Variables!$B$6:$D$6,IFERROR(MATCH(IF($B1053="Robusta","Robusta",(IF($B1053="","Arabica",$B1053))&amp;" - "&amp;(IF($C1053="","Commercial",$C1053))),Variables!$B$1:$D$1,0),1)))*22.0462)*(L1053/16.67),""))</f>
        <v>6747.1687558488293</v>
      </c>
      <c r="Y1053" s="13" t="str">
        <f>IF($AX1053="Cancelled","",IF(X1053="","",IFERROR(IF(INDEX(Variables!$B$38:$B$47,MATCH(X1053,Variables!$A$38:$A$47,0))="Yes","Yes","No"),"No")))</f>
        <v/>
      </c>
      <c r="Z1053" s="31"/>
      <c r="AC1053" s="13" t="str">
        <f t="shared" si="50"/>
        <v/>
      </c>
      <c r="AF1053" s="71">
        <v>46148</v>
      </c>
      <c r="AG1053" s="36">
        <f>IF($AX1053="Cancelled","",IFERROR(IF(F1053="","",F1053-Variables!$B$13),""))</f>
        <v>46127</v>
      </c>
      <c r="AH1053" s="13" t="str">
        <f>IF($AX1053="Cancelled","",IFERROR(IF(AB1053="","",(AVERAGE(E1053:F1053)-AB1053)-Variables!$B$14),""))</f>
        <v/>
      </c>
      <c r="AJ1053" s="47">
        <v>46158</v>
      </c>
      <c r="AK1053" s="14">
        <f>IF($AX1053="Cancelled","",IFERROR(IF(AJ1053="","",IF(AND(AB1053="",AF1053=""),"",IF(AF1053&gt;AB1053,AF1053+Variables!$B$15+Variables!$B$16+Variables!$B$17-AJ1053,AB1053+Variables!$B$16+Variables!$B$17-AJ1053))),""))</f>
        <v>5</v>
      </c>
      <c r="AL1053" s="48" t="s">
        <v>114</v>
      </c>
      <c r="AM1053" s="13" t="s">
        <v>1784</v>
      </c>
      <c r="AN1053" s="13" t="s">
        <v>2620</v>
      </c>
      <c r="AP1053" s="39" t="e">
        <v>#N/A</v>
      </c>
      <c r="AR1053" s="13" t="s">
        <v>2621</v>
      </c>
      <c r="AS1053" s="31">
        <v>46176</v>
      </c>
      <c r="AU1053" s="31">
        <v>46207</v>
      </c>
      <c r="AV1053" s="13" t="e">
        <v>#N/A</v>
      </c>
      <c r="AW1053" s="31">
        <v>46207</v>
      </c>
      <c r="AX1053" s="13" t="str">
        <f>IF(ISNUMBER(SEARCH("cancel",#REF!)),"Cancelled",IF(AND(AS1053&lt;&gt;"",AU1053&lt;&gt;"",AW1053&lt;&gt;""),"Closed","Open"))</f>
        <v>Closed</v>
      </c>
      <c r="AY1053" s="24" t="str">
        <f t="shared" si="49"/>
        <v>All dates received</v>
      </c>
      <c r="BD1053" s="13">
        <f>IF($AX1053="Cancelled","",IFERROR(IF(OR(AS1053="",AJ1053=""),"",(AJ1053+Variables!$B$18-AS1053)),""))</f>
        <v>-3</v>
      </c>
      <c r="BE1053" s="13">
        <f>IF($AX1053="Cancelled","",IFERROR(IF(OR(AW1053="",AS1053=""),"",(AS1053+Variables!$B$19)-AW1053),""))</f>
        <v>-26</v>
      </c>
      <c r="BF1053" s="44">
        <f>IF($AX1053="Cancelled","",IFERROR(W1053*INDEX(Variables!$B$7:$D$7,IFERROR(MATCH(IF($B1053="Robusta","Robusta",(IF($B1053="","Arabica",$B1053))&amp;" - "&amp;(IF($C1053="","Commercial",$C1053))),Variables!$B$1:$D$1,0),1))*(BE1053/365),""))</f>
        <v>-30.991450448926795</v>
      </c>
      <c r="BG1053" s="44" t="str">
        <f>IF($AX1053="Cancelled","",IFERROR((W1053*INDEX(Variables!$B$7:$D$7,IFERROR(MATCH(IF($B1053="Robusta","Robusta",(IF($B1053="","Arabica",$B1053))&amp;" - "&amp;(IF($C1053="","Commercial",$C1053))),Variables!$B$1:$D$1,0),1))*IFERROR(IF(AB1053="","",(AVERAGE(E1053:F1053)-AB1053)-Variables!$B$14),"")/365)+(L1053/16.67*INDEX(Variables!$B$8:$D$8,IFERROR(MATCH(IF($B1053="Robusta","Robusta",(IF($B1053="","Arabica",$B1053))&amp;" - "&amp;(IF($C1053="","Commercial",$C1053))),Variables!$B$1:$D$1,0),1))*IFERROR(IF(AB1053="","",(AVERAGE(E1053:F1053)-AB1053)-Variables!$B$14),""))+(W1053*INDEX(Variables!$B$9:$D$9,IFERROR(MATCH(IF($B1053="Robusta","Robusta",(IF($B1053="","Arabica",$B1053))&amp;" - "&amp;(IF($C1053="","Commercial",$C1053))),Variables!$B$1:$D$1,0),1))*IFERROR(IF(AB1053="","",(AVERAGE(E1053:F1053)-AB1053)-Variables!$B$14),"")/365),""))</f>
        <v/>
      </c>
      <c r="BH1053" s="44">
        <f>IF($AX1053="Cancelled","",IFERROR((W1053*INDEX(Variables!$B$7:$D$7,IFERROR(MATCH(IF($B1053="Robusta","Robusta",(IF($B1053="","Arabica",$B1053))&amp;" - "&amp;(IF($C1053="","Commercial",$C1053))),Variables!$B$1:$D$1,0),1))*AK1053/365)+(L1053/16.67*INDEX(Variables!$B$8:$D$8,IFERROR(MATCH(IF($B1053="Robusta","Robusta",(IF($B1053="","Arabica",$B1053))&amp;" - "&amp;(IF($C1053="","Commercial",$C1053))),Variables!$B$1:$D$1,0),1))*AK1053)+(W1053*INDEX(Variables!$B$9:$D$9,IFERROR(MATCH(IF($B1053="Robusta","Robusta",(IF($B1053="","Arabica",$B1053))&amp;" - "&amp;(IF($C1053="","Commercial",$C1053))),Variables!$B$1:$D$1,0),1))*AK1053/365),""))</f>
        <v>8.7867288566456505</v>
      </c>
      <c r="BI1053" s="44">
        <f>IF($AX1053="Cancelled","",IFERROR((W1053*INDEX(Variables!$B$7:$D$7,IFERROR(MATCH(IF($B1053="Robusta","Robusta",(IF($B1053="","Arabica",$B1053))&amp;" - "&amp;(IF($C1053="","Commercial",$C1053))),Variables!$B$1:$D$1,0),1))*BD1053/365)+(L1053/16.67*INDEX(Variables!$B$8:$D$8,IFERROR(MATCH(IF($B1053="Robusta","Robusta",(IF($B1053="","Arabica",$B1053))&amp;" - "&amp;(IF($C1053="","Commercial",$C1053))),Variables!$B$1:$D$1,0),1))*BD1053)+(W1053*INDEX(Variables!$B$9:$D$9,IFERROR(MATCH(IF($B1053="Robusta","Robusta",(IF($B1053="","Arabica",$B1053))&amp;" - "&amp;(IF($C1053="","Commercial",$C1053))),Variables!$B$1:$D$1,0),1))*BD1053/365),""))</f>
        <v>-5.2720373139873908</v>
      </c>
      <c r="BJ1053" s="44">
        <f t="shared" si="51"/>
        <v>-34</v>
      </c>
      <c r="BK1053" s="44">
        <f>IF($AX1053="Cancelled","",IFERROR(IF(BJ1053="","",(W1053*INDEX(Variables!$B$7:$D$7,IFERROR(MATCH(IF($B1053="Robusta","Robusta",(IF($B1053="","Arabica",$B1053))&amp;" - "&amp;(IF($C1053="","Commercial",$C1053))),Variables!$B$1:$D$1,0),1))*(BJ1053/365))+(W1053*INDEX(Variables!$B$9:$D$9,IFERROR(MATCH(IF($B1053="Robusta","Robusta",(IF($B1053="","Arabica",$B1053))&amp;" - "&amp;(IF($C1053="","Commercial",$C1053))),Variables!$B$1:$D$1,0),1))*(BJ1053/365))+(INDEX(Variables!$B$8:$D$8,IFERROR(MATCH(IF($B1053="Robusta","Robusta",(IF($B1053="","Arabica",$B1053))&amp;" - "&amp;(IF($C1053="","Commercial",$C1053))),Variables!$B$1:$D$1,0),1))*L1053/16.67)),""))</f>
        <v>-40.499756225190431</v>
      </c>
    </row>
    <row r="1054" spans="1:63">
      <c r="A1054" s="13" t="s">
        <v>103</v>
      </c>
      <c r="B1054" s="13" t="s">
        <v>104</v>
      </c>
      <c r="C1054" s="13" t="s">
        <v>292</v>
      </c>
      <c r="D1054" s="31">
        <v>46105</v>
      </c>
      <c r="E1054" s="31">
        <v>46113</v>
      </c>
      <c r="F1054" s="31">
        <v>46142</v>
      </c>
      <c r="G1054" s="13">
        <v>3787473</v>
      </c>
      <c r="J1054" s="13" t="s">
        <v>294</v>
      </c>
      <c r="K1054" s="13" t="s">
        <v>2640</v>
      </c>
      <c r="L1054" s="13">
        <v>10</v>
      </c>
      <c r="M1054" s="13">
        <v>0</v>
      </c>
      <c r="N1054" s="13" t="s">
        <v>2641</v>
      </c>
      <c r="O1054" s="13" t="s">
        <v>771</v>
      </c>
      <c r="P1054" s="13">
        <v>10010</v>
      </c>
      <c r="R1054" s="13" t="s">
        <v>384</v>
      </c>
      <c r="S1054" s="13" t="s">
        <v>339</v>
      </c>
      <c r="T1054" s="13" t="s">
        <v>340</v>
      </c>
      <c r="U1054" s="13" t="s">
        <v>113</v>
      </c>
      <c r="V1054" s="23">
        <v>199</v>
      </c>
      <c r="W1054" s="44">
        <f>IF($AX1054="Cancelled","",IFERROR(((V1054+INDEX(Variables!$B$6:$D$6,IFERROR(MATCH(IF($B1054="Robusta","Robusta",(IF($B1054="","Arabica",$B1054))&amp;" - "&amp;(IF($C1054="","Commercial",$C1054))),Variables!$B$1:$D$1,0),1)))*22.0462)*(L1054/16.67),""))</f>
        <v>6477.6417276544689</v>
      </c>
      <c r="Y1054" s="13" t="str">
        <f>IF($AX1054="Cancelled","",IF(X1054="","",IFERROR(IF(INDEX(Variables!$B$38:$B$47,MATCH(X1054,Variables!$A$38:$A$47,0))="Yes","Yes","No"),"No")))</f>
        <v/>
      </c>
      <c r="Z1054" s="31"/>
      <c r="AC1054" s="13" t="str">
        <f t="shared" si="50"/>
        <v/>
      </c>
      <c r="AF1054" s="71">
        <v>46148</v>
      </c>
      <c r="AG1054" s="36">
        <f>IF($AX1054="Cancelled","",IFERROR(IF(F1054="","",F1054-Variables!$B$13),""))</f>
        <v>46127</v>
      </c>
      <c r="AH1054" s="13" t="str">
        <f>IF($AX1054="Cancelled","",IFERROR(IF(AB1054="","",(AVERAGE(E1054:F1054)-AB1054)-Variables!$B$14),""))</f>
        <v/>
      </c>
      <c r="AJ1054" s="47">
        <v>46158</v>
      </c>
      <c r="AK1054" s="14">
        <f>IF($AX1054="Cancelled","",IFERROR(IF(AJ1054="","",IF(AND(AB1054="",AF1054=""),"",IF(AF1054&gt;AB1054,AF1054+Variables!$B$15+Variables!$B$16+Variables!$B$17-AJ1054,AB1054+Variables!$B$16+Variables!$B$17-AJ1054))),""))</f>
        <v>5</v>
      </c>
      <c r="AL1054" s="48" t="s">
        <v>114</v>
      </c>
      <c r="AM1054" s="13" t="s">
        <v>1784</v>
      </c>
      <c r="AN1054" s="13" t="s">
        <v>2620</v>
      </c>
      <c r="AP1054" s="39" t="e">
        <v>#N/A</v>
      </c>
      <c r="AR1054" s="13" t="s">
        <v>2621</v>
      </c>
      <c r="AS1054" s="31">
        <v>46176</v>
      </c>
      <c r="AU1054" s="31">
        <v>46207</v>
      </c>
      <c r="AV1054" s="13" t="e">
        <v>#N/A</v>
      </c>
      <c r="AW1054" s="31">
        <v>46207</v>
      </c>
      <c r="AX1054" s="13" t="str">
        <f>IF(ISNUMBER(SEARCH("cancel",#REF!)),"Cancelled",IF(AND(AS1054&lt;&gt;"",AU1054&lt;&gt;"",AW1054&lt;&gt;""),"Closed","Open"))</f>
        <v>Closed</v>
      </c>
      <c r="AY1054" s="24" t="str">
        <f t="shared" si="49"/>
        <v>All dates received</v>
      </c>
      <c r="BD1054" s="13">
        <f>IF($AX1054="Cancelled","",IFERROR(IF(OR(AS1054="",AJ1054=""),"",(AJ1054+Variables!$B$18-AS1054)),""))</f>
        <v>-3</v>
      </c>
      <c r="BE1054" s="13">
        <f>IF($AX1054="Cancelled","",IFERROR(IF(OR(AW1054="",AS1054=""),"",(AS1054+Variables!$B$19)-AW1054),""))</f>
        <v>-26</v>
      </c>
      <c r="BF1054" s="44">
        <f>IF($AX1054="Cancelled","",IFERROR(W1054*INDEX(Variables!$B$7:$D$7,IFERROR(MATCH(IF($B1054="Robusta","Robusta",(IF($B1054="","Arabica",$B1054))&amp;" - "&amp;(IF($C1054="","Commercial",$C1054))),Variables!$B$1:$D$1,0),1))*(BE1054/365),""))</f>
        <v>-29.753444725164346</v>
      </c>
      <c r="BG1054" s="44" t="str">
        <f>IF($AX1054="Cancelled","",IFERROR((W1054*INDEX(Variables!$B$7:$D$7,IFERROR(MATCH(IF($B1054="Robusta","Robusta",(IF($B1054="","Arabica",$B1054))&amp;" - "&amp;(IF($C1054="","Commercial",$C1054))),Variables!$B$1:$D$1,0),1))*IFERROR(IF(AB1054="","",(AVERAGE(E1054:F1054)-AB1054)-Variables!$B$14),"")/365)+(L1054/16.67*INDEX(Variables!$B$8:$D$8,IFERROR(MATCH(IF($B1054="Robusta","Robusta",(IF($B1054="","Arabica",$B1054))&amp;" - "&amp;(IF($C1054="","Commercial",$C1054))),Variables!$B$1:$D$1,0),1))*IFERROR(IF(AB1054="","",(AVERAGE(E1054:F1054)-AB1054)-Variables!$B$14),""))+(W1054*INDEX(Variables!$B$9:$D$9,IFERROR(MATCH(IF($B1054="Robusta","Robusta",(IF($B1054="","Arabica",$B1054))&amp;" - "&amp;(IF($C1054="","Commercial",$C1054))),Variables!$B$1:$D$1,0),1))*IFERROR(IF(AB1054="","",(AVERAGE(E1054:F1054)-AB1054)-Variables!$B$14),"")/365),""))</f>
        <v/>
      </c>
      <c r="BH1054" s="44">
        <f>IF($AX1054="Cancelled","",IFERROR((W1054*INDEX(Variables!$B$7:$D$7,IFERROR(MATCH(IF($B1054="Robusta","Robusta",(IF($B1054="","Arabica",$B1054))&amp;" - "&amp;(IF($C1054="","Commercial",$C1054))),Variables!$B$1:$D$1,0),1))*AK1054/365)+(L1054/16.67*INDEX(Variables!$B$8:$D$8,IFERROR(MATCH(IF($B1054="Robusta","Robusta",(IF($B1054="","Arabica",$B1054))&amp;" - "&amp;(IF($C1054="","Commercial",$C1054))),Variables!$B$1:$D$1,0),1))*AK1054)+(W1054*INDEX(Variables!$B$9:$D$9,IFERROR(MATCH(IF($B1054="Robusta","Robusta",(IF($B1054="","Arabica",$B1054))&amp;" - "&amp;(IF($C1054="","Commercial",$C1054))),Variables!$B$1:$D$1,0),1))*AK1054/365),""))</f>
        <v>8.2955815476597294</v>
      </c>
      <c r="BI1054" s="44">
        <f>IF($AX1054="Cancelled","",IFERROR((W1054*INDEX(Variables!$B$7:$D$7,IFERROR(MATCH(IF($B1054="Robusta","Robusta",(IF($B1054="","Arabica",$B1054))&amp;" - "&amp;(IF($C1054="","Commercial",$C1054))),Variables!$B$1:$D$1,0),1))*BD1054/365)+(L1054/16.67*INDEX(Variables!$B$8:$D$8,IFERROR(MATCH(IF($B1054="Robusta","Robusta",(IF($B1054="","Arabica",$B1054))&amp;" - "&amp;(IF($C1054="","Commercial",$C1054))),Variables!$B$1:$D$1,0),1))*BD1054)+(W1054*INDEX(Variables!$B$9:$D$9,IFERROR(MATCH(IF($B1054="Robusta","Robusta",(IF($B1054="","Arabica",$B1054))&amp;" - "&amp;(IF($C1054="","Commercial",$C1054))),Variables!$B$1:$D$1,0),1))*BD1054/365),""))</f>
        <v>-4.9773489285958377</v>
      </c>
      <c r="BJ1054" s="44">
        <f t="shared" si="51"/>
        <v>-34</v>
      </c>
      <c r="BK1054" s="44">
        <f>IF($AX1054="Cancelled","",IFERROR(IF(BJ1054="","",(W1054*INDEX(Variables!$B$7:$D$7,IFERROR(MATCH(IF($B1054="Robusta","Robusta",(IF($B1054="","Arabica",$B1054))&amp;" - "&amp;(IF($C1054="","Commercial",$C1054))),Variables!$B$1:$D$1,0),1))*(BJ1054/365))+(W1054*INDEX(Variables!$B$9:$D$9,IFERROR(MATCH(IF($B1054="Robusta","Robusta",(IF($B1054="","Arabica",$B1054))&amp;" - "&amp;(IF($C1054="","Commercial",$C1054))),Variables!$B$1:$D$1,0),1))*(BJ1054/365))+(INDEX(Variables!$B$8:$D$8,IFERROR(MATCH(IF($B1054="Robusta","Robusta",(IF($B1054="","Arabica",$B1054))&amp;" - "&amp;(IF($C1054="","Commercial",$C1054))),Variables!$B$1:$D$1,0),1))*L1054/16.67)),""))</f>
        <v>-38.90995452408616</v>
      </c>
    </row>
    <row r="1055" spans="1:63">
      <c r="A1055" s="13" t="s">
        <v>103</v>
      </c>
      <c r="B1055" s="13" t="s">
        <v>104</v>
      </c>
      <c r="C1055" s="13" t="s">
        <v>292</v>
      </c>
      <c r="D1055" s="31">
        <v>46105</v>
      </c>
      <c r="E1055" s="31">
        <v>46113</v>
      </c>
      <c r="F1055" s="31">
        <v>46142</v>
      </c>
      <c r="G1055" s="13">
        <v>3787474</v>
      </c>
      <c r="J1055" s="13" t="s">
        <v>294</v>
      </c>
      <c r="K1055" s="13" t="s">
        <v>2642</v>
      </c>
      <c r="L1055" s="13">
        <v>18</v>
      </c>
      <c r="M1055" s="13">
        <v>0</v>
      </c>
      <c r="N1055" s="13" t="s">
        <v>2643</v>
      </c>
      <c r="O1055" s="13" t="s">
        <v>771</v>
      </c>
      <c r="P1055" s="13">
        <v>10010</v>
      </c>
      <c r="R1055" s="13" t="s">
        <v>384</v>
      </c>
      <c r="S1055" s="13" t="s">
        <v>339</v>
      </c>
      <c r="T1055" s="13" t="s">
        <v>340</v>
      </c>
      <c r="U1055" s="13" t="s">
        <v>113</v>
      </c>
      <c r="V1055" s="23">
        <v>199</v>
      </c>
      <c r="W1055" s="44">
        <f>IF($AX1055="Cancelled","",IFERROR(((V1055+INDEX(Variables!$B$6:$D$6,IFERROR(MATCH(IF($B1055="Robusta","Robusta",(IF($B1055="","Arabica",$B1055))&amp;" - "&amp;(IF($C1055="","Commercial",$C1055))),Variables!$B$1:$D$1,0),1)))*22.0462)*(L1055/16.67),""))</f>
        <v>11659.755109778043</v>
      </c>
      <c r="Y1055" s="13" t="str">
        <f>IF($AX1055="Cancelled","",IF(X1055="","",IFERROR(IF(INDEX(Variables!$B$38:$B$47,MATCH(X1055,Variables!$A$38:$A$47,0))="Yes","Yes","No"),"No")))</f>
        <v/>
      </c>
      <c r="Z1055" s="31"/>
      <c r="AC1055" s="13" t="str">
        <f t="shared" si="50"/>
        <v/>
      </c>
      <c r="AF1055" s="71">
        <v>46148</v>
      </c>
      <c r="AG1055" s="31">
        <f>IF($AX1055="Cancelled","",IFERROR(IF(F1055="","",F1055-Variables!$B$13),""))</f>
        <v>46127</v>
      </c>
      <c r="AH1055" s="13" t="str">
        <f>IF($AX1055="Cancelled","",IFERROR(IF(AB1055="","",(AVERAGE(E1055:F1055)-AB1055)-Variables!$B$14),""))</f>
        <v/>
      </c>
      <c r="AJ1055" s="47">
        <v>46158</v>
      </c>
      <c r="AK1055" s="14">
        <f>IF($AX1055="Cancelled","",IFERROR(IF(AJ1055="","",IF(AND(AB1055="",AF1055=""),"",IF(AF1055&gt;AB1055,AF1055+Variables!$B$15+Variables!$B$16+Variables!$B$17-AJ1055,AB1055+Variables!$B$16+Variables!$B$17-AJ1055))),""))</f>
        <v>5</v>
      </c>
      <c r="AL1055" s="48" t="s">
        <v>114</v>
      </c>
      <c r="AM1055" s="13" t="s">
        <v>1784</v>
      </c>
      <c r="AN1055" s="13" t="s">
        <v>2620</v>
      </c>
      <c r="AP1055" s="39" t="e">
        <v>#N/A</v>
      </c>
      <c r="AR1055" s="13" t="s">
        <v>2621</v>
      </c>
      <c r="AS1055" s="31">
        <v>46176</v>
      </c>
      <c r="AU1055" s="31">
        <v>46207</v>
      </c>
      <c r="AV1055" s="13" t="e">
        <v>#N/A</v>
      </c>
      <c r="AW1055" s="31">
        <v>46207</v>
      </c>
      <c r="AX1055" s="13" t="str">
        <f>IF(ISNUMBER(SEARCH("cancel",#REF!)),"Cancelled",IF(AND(AS1055&lt;&gt;"",AU1055&lt;&gt;"",AW1055&lt;&gt;""),"Closed","Open"))</f>
        <v>Closed</v>
      </c>
      <c r="AY1055" s="24" t="str">
        <f t="shared" si="49"/>
        <v>All dates received</v>
      </c>
      <c r="BD1055" s="13">
        <f>IF($AX1055="Cancelled","",IFERROR(IF(OR(AS1055="",AJ1055=""),"",(AJ1055+Variables!$B$18-AS1055)),""))</f>
        <v>-3</v>
      </c>
      <c r="BE1055" s="13">
        <f>IF($AX1055="Cancelled","",IFERROR(IF(OR(AW1055="",AS1055=""),"",(AS1055+Variables!$B$19)-AW1055),""))</f>
        <v>-26</v>
      </c>
      <c r="BF1055" s="44">
        <f>IF($AX1055="Cancelled","",IFERROR(W1055*INDEX(Variables!$B$7:$D$7,IFERROR(MATCH(IF($B1055="Robusta","Robusta",(IF($B1055="","Arabica",$B1055))&amp;" - "&amp;(IF($C1055="","Commercial",$C1055))),Variables!$B$1:$D$1,0),1))*(BE1055/365),""))</f>
        <v>-53.55620050529582</v>
      </c>
      <c r="BG1055" s="44" t="str">
        <f>IF($AX1055="Cancelled","",IFERROR((W1055*INDEX(Variables!$B$7:$D$7,IFERROR(MATCH(IF($B1055="Robusta","Robusta",(IF($B1055="","Arabica",$B1055))&amp;" - "&amp;(IF($C1055="","Commercial",$C1055))),Variables!$B$1:$D$1,0),1))*IFERROR(IF(AB1055="","",(AVERAGE(E1055:F1055)-AB1055)-Variables!$B$14),"")/365)+(L1055/16.67*INDEX(Variables!$B$8:$D$8,IFERROR(MATCH(IF($B1055="Robusta","Robusta",(IF($B1055="","Arabica",$B1055))&amp;" - "&amp;(IF($C1055="","Commercial",$C1055))),Variables!$B$1:$D$1,0),1))*IFERROR(IF(AB1055="","",(AVERAGE(E1055:F1055)-AB1055)-Variables!$B$14),""))+(W1055*INDEX(Variables!$B$9:$D$9,IFERROR(MATCH(IF($B1055="Robusta","Robusta",(IF($B1055="","Arabica",$B1055))&amp;" - "&amp;(IF($C1055="","Commercial",$C1055))),Variables!$B$1:$D$1,0),1))*IFERROR(IF(AB1055="","",(AVERAGE(E1055:F1055)-AB1055)-Variables!$B$14),"")/365),""))</f>
        <v/>
      </c>
      <c r="BH1055" s="44">
        <f>IF($AX1055="Cancelled","",IFERROR((W1055*INDEX(Variables!$B$7:$D$7,IFERROR(MATCH(IF($B1055="Robusta","Robusta",(IF($B1055="","Arabica",$B1055))&amp;" - "&amp;(IF($C1055="","Commercial",$C1055))),Variables!$B$1:$D$1,0),1))*AK1055/365)+(L1055/16.67*INDEX(Variables!$B$8:$D$8,IFERROR(MATCH(IF($B1055="Robusta","Robusta",(IF($B1055="","Arabica",$B1055))&amp;" - "&amp;(IF($C1055="","Commercial",$C1055))),Variables!$B$1:$D$1,0),1))*AK1055)+(W1055*INDEX(Variables!$B$9:$D$9,IFERROR(MATCH(IF($B1055="Robusta","Robusta",(IF($B1055="","Arabica",$B1055))&amp;" - "&amp;(IF($C1055="","Commercial",$C1055))),Variables!$B$1:$D$1,0),1))*AK1055/365),""))</f>
        <v>14.932046785787513</v>
      </c>
      <c r="BI1055" s="44">
        <f>IF($AX1055="Cancelled","",IFERROR((W1055*INDEX(Variables!$B$7:$D$7,IFERROR(MATCH(IF($B1055="Robusta","Robusta",(IF($B1055="","Arabica",$B1055))&amp;" - "&amp;(IF($C1055="","Commercial",$C1055))),Variables!$B$1:$D$1,0),1))*BD1055/365)+(L1055/16.67*INDEX(Variables!$B$8:$D$8,IFERROR(MATCH(IF($B1055="Robusta","Robusta",(IF($B1055="","Arabica",$B1055))&amp;" - "&amp;(IF($C1055="","Commercial",$C1055))),Variables!$B$1:$D$1,0),1))*BD1055)+(W1055*INDEX(Variables!$B$9:$D$9,IFERROR(MATCH(IF($B1055="Robusta","Robusta",(IF($B1055="","Arabica",$B1055))&amp;" - "&amp;(IF($C1055="","Commercial",$C1055))),Variables!$B$1:$D$1,0),1))*BD1055/365),""))</f>
        <v>-8.9592280714725057</v>
      </c>
      <c r="BJ1055" s="44">
        <f t="shared" si="51"/>
        <v>-34</v>
      </c>
      <c r="BK1055" s="44">
        <f>IF($AX1055="Cancelled","",IFERROR(IF(BJ1055="","",(W1055*INDEX(Variables!$B$7:$D$7,IFERROR(MATCH(IF($B1055="Robusta","Robusta",(IF($B1055="","Arabica",$B1055))&amp;" - "&amp;(IF($C1055="","Commercial",$C1055))),Variables!$B$1:$D$1,0),1))*(BJ1055/365))+(W1055*INDEX(Variables!$B$9:$D$9,IFERROR(MATCH(IF($B1055="Robusta","Robusta",(IF($B1055="","Arabica",$B1055))&amp;" - "&amp;(IF($C1055="","Commercial",$C1055))),Variables!$B$1:$D$1,0),1))*(BJ1055/365))+(INDEX(Variables!$B$8:$D$8,IFERROR(MATCH(IF($B1055="Robusta","Robusta",(IF($B1055="","Arabica",$B1055))&amp;" - "&amp;(IF($C1055="","Commercial",$C1055))),Variables!$B$1:$D$1,0),1))*L1055/16.67)),""))</f>
        <v>-70.037918143355071</v>
      </c>
    </row>
    <row r="1056" spans="1:63">
      <c r="A1056" s="13" t="s">
        <v>103</v>
      </c>
      <c r="B1056" s="13" t="s">
        <v>104</v>
      </c>
      <c r="C1056" s="13" t="s">
        <v>105</v>
      </c>
      <c r="D1056" s="31">
        <v>46106</v>
      </c>
      <c r="E1056" s="31">
        <v>46113</v>
      </c>
      <c r="F1056" s="31">
        <v>46142</v>
      </c>
      <c r="G1056" s="13">
        <v>3787475</v>
      </c>
      <c r="J1056" s="13" t="s">
        <v>2644</v>
      </c>
      <c r="K1056" s="13">
        <v>5502</v>
      </c>
      <c r="L1056" s="13">
        <v>300</v>
      </c>
      <c r="M1056" s="13">
        <v>1</v>
      </c>
      <c r="N1056" s="13" t="s">
        <v>261</v>
      </c>
      <c r="O1056" s="13" t="s">
        <v>261</v>
      </c>
      <c r="P1056" s="13">
        <v>10060</v>
      </c>
      <c r="R1056" s="13" t="s">
        <v>110</v>
      </c>
      <c r="S1056" s="13" t="s">
        <v>437</v>
      </c>
      <c r="T1056" s="13" t="s">
        <v>438</v>
      </c>
      <c r="U1056" s="13" t="s">
        <v>182</v>
      </c>
      <c r="V1056" s="23">
        <v>40</v>
      </c>
      <c r="W1056" s="44">
        <f>IF($AX1056="Cancelled","",IFERROR(((V1056+INDEX(Variables!$B$6:$D$6,IFERROR(MATCH(IF($B1056="Robusta","Robusta",(IF($B1056="","Arabica",$B1056))&amp;" - "&amp;(IF($C1056="","Commercial",$C1056))),Variables!$B$1:$D$1,0),1)))*22.0462)*(L1056/16.67),""))</f>
        <v>131245.64415116975</v>
      </c>
      <c r="X1056" s="55" t="s">
        <v>37</v>
      </c>
      <c r="Y1056" s="13" t="str">
        <f>IF($AX1056="Cancelled","",IF(X1056="","",IFERROR(IF(INDEX(Variables!$B$38:$B$47,MATCH(X1056,Variables!$A$38:$A$47,0))="Yes","Yes","No"),"No")))</f>
        <v>Yes</v>
      </c>
      <c r="Z1056" s="58">
        <v>46126</v>
      </c>
      <c r="AC1056" s="13" t="str">
        <f t="shared" si="50"/>
        <v/>
      </c>
      <c r="AF1056" s="71">
        <v>46142</v>
      </c>
      <c r="AG1056" s="37">
        <f>IF($AX1056="Cancelled","",IFERROR(IF(F1056="","",F1056-Variables!$B$13),""))</f>
        <v>46127</v>
      </c>
      <c r="AH1056" s="13" t="str">
        <f>IF($AX1056="Cancelled","",IFERROR(IF(AB1056="","",(AVERAGE(E1056:F1056)-AB1056)-Variables!$B$14),""))</f>
        <v/>
      </c>
      <c r="AJ1056" s="47">
        <v>46141</v>
      </c>
      <c r="AK1056" s="14">
        <f>IF($AX1056="Cancelled","",IFERROR(IF(AJ1056="","",IF(AND(AB1056="",AF1056=""),"",IF(AF1056&gt;AB1056,AF1056+Variables!$B$15+Variables!$B$16+Variables!$B$17-AJ1056,AB1056+Variables!$B$16+Variables!$B$17-AJ1056))),""))</f>
        <v>16</v>
      </c>
      <c r="AL1056" s="48" t="s">
        <v>114</v>
      </c>
      <c r="AM1056" s="13" t="s">
        <v>1848</v>
      </c>
      <c r="AN1056" s="13" t="s">
        <v>2645</v>
      </c>
      <c r="AP1056" s="39">
        <v>46157</v>
      </c>
      <c r="AR1056" s="13" t="s">
        <v>2646</v>
      </c>
      <c r="AS1056" s="31">
        <v>46157</v>
      </c>
      <c r="AU1056" s="31">
        <v>46182</v>
      </c>
      <c r="AV1056" s="13">
        <v>1292730600</v>
      </c>
      <c r="AW1056" s="31">
        <v>46182</v>
      </c>
      <c r="AX1056" s="13" t="str">
        <f>IF(ISNUMBER(SEARCH("cancel",#REF!)),"Cancelled",IF(AND(AS1056&lt;&gt;"",AU1056&lt;&gt;"",AW1056&lt;&gt;""),"Closed","Open"))</f>
        <v>Closed</v>
      </c>
      <c r="AY1056" s="15" t="str">
        <f t="shared" si="49"/>
        <v>All dates received</v>
      </c>
      <c r="BD1056" s="13">
        <f>IF($AX1056="Cancelled","",IFERROR(IF(OR(AS1056="",AJ1056=""),"",(AJ1056+Variables!$B$18-AS1056)),""))</f>
        <v>-1</v>
      </c>
      <c r="BE1056" s="13">
        <f>IF($AX1056="Cancelled","",IFERROR(IF(OR(AW1056="",AS1056=""),"",(AS1056+Variables!$B$19)-AW1056),""))</f>
        <v>-20</v>
      </c>
      <c r="BF1056" s="44">
        <f>IF($AX1056="Cancelled","",IFERROR(W1056*INDEX(Variables!$B$7:$D$7,IFERROR(MATCH(IF($B1056="Robusta","Robusta",(IF($B1056="","Arabica",$B1056))&amp;" - "&amp;(IF($C1056="","Commercial",$C1056))),Variables!$B$1:$D$1,0),1))*(BE1056/365),""))</f>
        <v>-463.72645891970183</v>
      </c>
      <c r="BG1056" s="44" t="str">
        <f>IF($AX1056="Cancelled","",IFERROR((W1056*INDEX(Variables!$B$7:$D$7,IFERROR(MATCH(IF($B1056="Robusta","Robusta",(IF($B1056="","Arabica",$B1056))&amp;" - "&amp;(IF($C1056="","Commercial",$C1056))),Variables!$B$1:$D$1,0),1))*IFERROR(IF(AB1056="","",(AVERAGE(E1056:F1056)-AB1056)-Variables!$B$14),"")/365)+(L1056/16.67*INDEX(Variables!$B$8:$D$8,IFERROR(MATCH(IF($B1056="Robusta","Robusta",(IF($B1056="","Arabica",$B1056))&amp;" - "&amp;(IF($C1056="","Commercial",$C1056))),Variables!$B$1:$D$1,0),1))*IFERROR(IF(AB1056="","",(AVERAGE(E1056:F1056)-AB1056)-Variables!$B$14),""))+(W1056*INDEX(Variables!$B$9:$D$9,IFERROR(MATCH(IF($B1056="Robusta","Robusta",(IF($B1056="","Arabica",$B1056))&amp;" - "&amp;(IF($C1056="","Commercial",$C1056))),Variables!$B$1:$D$1,0),1))*IFERROR(IF(AB1056="","",(AVERAGE(E1056:F1056)-AB1056)-Variables!$B$14),"")/365),""))</f>
        <v/>
      </c>
      <c r="BH1056" s="44">
        <f>IF($AX1056="Cancelled","",IFERROR((W1056*INDEX(Variables!$B$7:$D$7,IFERROR(MATCH(IF($B1056="Robusta","Robusta",(IF($B1056="","Arabica",$B1056))&amp;" - "&amp;(IF($C1056="","Commercial",$C1056))),Variables!$B$1:$D$1,0),1))*AK1056/365)+(L1056/16.67*INDEX(Variables!$B$8:$D$8,IFERROR(MATCH(IF($B1056="Robusta","Robusta",(IF($B1056="","Arabica",$B1056))&amp;" - "&amp;(IF($C1056="","Commercial",$C1056))),Variables!$B$1:$D$1,0),1))*AK1056)+(W1056*INDEX(Variables!$B$9:$D$9,IFERROR(MATCH(IF($B1056="Robusta","Robusta",(IF($B1056="","Arabica",$B1056))&amp;" - "&amp;(IF($C1056="","Commercial",$C1056))),Variables!$B$1:$D$1,0),1))*AK1056/365),""))</f>
        <v>615.76383032405147</v>
      </c>
      <c r="BI1056" s="44">
        <f>IF($AX1056="Cancelled","",IFERROR((W1056*INDEX(Variables!$B$7:$D$7,IFERROR(MATCH(IF($B1056="Robusta","Robusta",(IF($B1056="","Arabica",$B1056))&amp;" - "&amp;(IF($C1056="","Commercial",$C1056))),Variables!$B$1:$D$1,0),1))*BD1056/365)+(L1056/16.67*INDEX(Variables!$B$8:$D$8,IFERROR(MATCH(IF($B1056="Robusta","Robusta",(IF($B1056="","Arabica",$B1056))&amp;" - "&amp;(IF($C1056="","Commercial",$C1056))),Variables!$B$1:$D$1,0),1))*BD1056)+(W1056*INDEX(Variables!$B$9:$D$9,IFERROR(MATCH(IF($B1056="Robusta","Robusta",(IF($B1056="","Arabica",$B1056))&amp;" - "&amp;(IF($C1056="","Commercial",$C1056))),Variables!$B$1:$D$1,0),1))*BD1056/365),""))</f>
        <v>-38.485239395253217</v>
      </c>
      <c r="BJ1056" s="44">
        <f t="shared" si="51"/>
        <v>-15</v>
      </c>
      <c r="BK1056" s="44">
        <f>IF($AX1056="Cancelled","",IFERROR(IF(BJ1056="","",(W1056*INDEX(Variables!$B$7:$D$7,IFERROR(MATCH(IF($B1056="Robusta","Robusta",(IF($B1056="","Arabica",$B1056))&amp;" - "&amp;(IF($C1056="","Commercial",$C1056))),Variables!$B$1:$D$1,0),1))*(BJ1056/365))+(W1056*INDEX(Variables!$B$9:$D$9,IFERROR(MATCH(IF($B1056="Robusta","Robusta",(IF($B1056="","Arabica",$B1056))&amp;" - "&amp;(IF($C1056="","Commercial",$C1056))),Variables!$B$1:$D$1,0),1))*(BJ1056/365))+(INDEX(Variables!$B$8:$D$8,IFERROR(MATCH(IF($B1056="Robusta","Robusta",(IF($B1056="","Arabica",$B1056))&amp;" - "&amp;(IF($C1056="","Commercial",$C1056))),Variables!$B$1:$D$1,0),1))*L1056/16.67)),""))</f>
        <v>-337.27859092879834</v>
      </c>
    </row>
    <row r="1057" spans="1:63">
      <c r="A1057" s="13" t="s">
        <v>103</v>
      </c>
      <c r="B1057" s="13" t="s">
        <v>104</v>
      </c>
      <c r="C1057" s="13" t="s">
        <v>292</v>
      </c>
      <c r="D1057" s="31">
        <v>46105</v>
      </c>
      <c r="E1057" s="31">
        <v>46143</v>
      </c>
      <c r="F1057" s="31">
        <v>46173</v>
      </c>
      <c r="G1057" s="13">
        <v>3787477</v>
      </c>
      <c r="J1057" s="13" t="s">
        <v>236</v>
      </c>
      <c r="K1057" s="13" t="s">
        <v>2647</v>
      </c>
      <c r="L1057" s="13">
        <v>20</v>
      </c>
      <c r="M1057" s="13">
        <v>1</v>
      </c>
      <c r="N1057" s="13" t="s">
        <v>2648</v>
      </c>
      <c r="O1057" s="13" t="s">
        <v>297</v>
      </c>
      <c r="P1057" s="13">
        <v>10020</v>
      </c>
      <c r="R1057" s="13" t="s">
        <v>239</v>
      </c>
      <c r="S1057" s="13" t="s">
        <v>180</v>
      </c>
      <c r="T1057" s="13" t="s">
        <v>253</v>
      </c>
      <c r="U1057" s="13" t="s">
        <v>182</v>
      </c>
      <c r="V1057" s="23">
        <v>175</v>
      </c>
      <c r="W1057" s="44">
        <f>IF($AX1057="Cancelled","",IFERROR(((V1057+INDEX(Variables!$B$6:$D$6,IFERROR(MATCH(IF($B1057="Robusta","Robusta",(IF($B1057="","Arabica",$B1057))&amp;" - "&amp;(IF($C1057="","Commercial",$C1057))),Variables!$B$1:$D$1,0),1)))*22.0462)*(L1057/16.67),""))</f>
        <v>12320.479856028793</v>
      </c>
      <c r="Y1057" s="13" t="str">
        <f>IF($AX1057="Cancelled","",IF(X1057="","",IFERROR(IF(INDEX(Variables!$B$38:$B$47,MATCH(X1057,Variables!$A$38:$A$47,0))="Yes","Yes","No"),"No")))</f>
        <v/>
      </c>
      <c r="Z1057" s="31"/>
      <c r="AC1057" s="13" t="str">
        <f t="shared" si="50"/>
        <v/>
      </c>
      <c r="AF1057" s="71">
        <v>46168</v>
      </c>
      <c r="AG1057" s="36">
        <f>IF($AX1057="Cancelled","",IFERROR(IF(F1057="","",F1057-Variables!$B$13),""))</f>
        <v>46158</v>
      </c>
      <c r="AH1057" s="13" t="str">
        <f>IF($AX1057="Cancelled","",IFERROR(IF(AB1057="","",(AVERAGE(E1057:F1057)-AB1057)-Variables!$B$14),""))</f>
        <v/>
      </c>
      <c r="AJ1057" s="47">
        <v>46182</v>
      </c>
      <c r="AK1057" s="14">
        <f>IF($AX1057="Cancelled","",IFERROR(IF(AJ1057="","",IF(AND(AB1057="",AF1057=""),"",IF(AF1057&gt;AB1057,AF1057+Variables!$B$15+Variables!$B$16+Variables!$B$17-AJ1057,AB1057+Variables!$B$16+Variables!$B$17-AJ1057))),""))</f>
        <v>1</v>
      </c>
      <c r="AL1057" s="48" t="s">
        <v>114</v>
      </c>
      <c r="AM1057" s="13" t="s">
        <v>183</v>
      </c>
      <c r="AN1057" s="13" t="s">
        <v>2485</v>
      </c>
      <c r="AP1057" s="39" t="e">
        <v>#N/A</v>
      </c>
      <c r="AR1057" s="13">
        <v>321600002457</v>
      </c>
      <c r="AS1057" s="31">
        <v>46202</v>
      </c>
      <c r="AU1057" s="31">
        <v>46225</v>
      </c>
      <c r="AV1057" s="13" t="s">
        <v>2649</v>
      </c>
      <c r="AW1057" s="31">
        <v>46225</v>
      </c>
      <c r="AX1057" s="13" t="str">
        <f>IF(ISNUMBER(SEARCH("cancel",#REF!)),"Cancelled",IF(AND(AS1057&lt;&gt;"",AU1057&lt;&gt;"",AW1057&lt;&gt;""),"Closed","Open"))</f>
        <v>Closed</v>
      </c>
      <c r="AY1057" s="24" t="str">
        <f t="shared" si="49"/>
        <v>All dates received</v>
      </c>
      <c r="BD1057" s="13">
        <f>IF($AX1057="Cancelled","",IFERROR(IF(OR(AS1057="",AJ1057=""),"",(AJ1057+Variables!$B$18-AS1057)),""))</f>
        <v>-5</v>
      </c>
      <c r="BE1057" s="13">
        <f>IF($AX1057="Cancelled","",IFERROR(IF(OR(AW1057="",AS1057=""),"",(AS1057+Variables!$B$19)-AW1057),""))</f>
        <v>-18</v>
      </c>
      <c r="BF1057" s="44">
        <f>IF($AX1057="Cancelled","",IFERROR(W1057*INDEX(Variables!$B$7:$D$7,IFERROR(MATCH(IF($B1057="Robusta","Robusta",(IF($B1057="","Arabica",$B1057))&amp;" - "&amp;(IF($C1057="","Commercial",$C1057))),Variables!$B$1:$D$1,0),1))*(BE1057/365),""))</f>
        <v>-39.178437345489193</v>
      </c>
      <c r="BG1057" s="44" t="str">
        <f>IF($AX1057="Cancelled","",IFERROR((W1057*INDEX(Variables!$B$7:$D$7,IFERROR(MATCH(IF($B1057="Robusta","Robusta",(IF($B1057="","Arabica",$B1057))&amp;" - "&amp;(IF($C1057="","Commercial",$C1057))),Variables!$B$1:$D$1,0),1))*IFERROR(IF(AB1057="","",(AVERAGE(E1057:F1057)-AB1057)-Variables!$B$14),"")/365)+(L1057/16.67*INDEX(Variables!$B$8:$D$8,IFERROR(MATCH(IF($B1057="Robusta","Robusta",(IF($B1057="","Arabica",$B1057))&amp;" - "&amp;(IF($C1057="","Commercial",$C1057))),Variables!$B$1:$D$1,0),1))*IFERROR(IF(AB1057="","",(AVERAGE(E1057:F1057)-AB1057)-Variables!$B$14),""))+(W1057*INDEX(Variables!$B$9:$D$9,IFERROR(MATCH(IF($B1057="Robusta","Robusta",(IF($B1057="","Arabica",$B1057))&amp;" - "&amp;(IF($C1057="","Commercial",$C1057))),Variables!$B$1:$D$1,0),1))*IFERROR(IF(AB1057="","",(AVERAGE(E1057:F1057)-AB1057)-Variables!$B$14),"")/365),""))</f>
        <v/>
      </c>
      <c r="BH1057" s="44">
        <f>IF($AX1057="Cancelled","",IFERROR((W1057*INDEX(Variables!$B$7:$D$7,IFERROR(MATCH(IF($B1057="Robusta","Robusta",(IF($B1057="","Arabica",$B1057))&amp;" - "&amp;(IF($C1057="","Commercial",$C1057))),Variables!$B$1:$D$1,0),1))*AK1057/365)+(L1057/16.67*INDEX(Variables!$B$8:$D$8,IFERROR(MATCH(IF($B1057="Robusta","Robusta",(IF($B1057="","Arabica",$B1057))&amp;" - "&amp;(IF($C1057="","Commercial",$C1057))),Variables!$B$1:$D$1,0),1))*AK1057)+(W1057*INDEX(Variables!$B$9:$D$9,IFERROR(MATCH(IF($B1057="Robusta","Robusta",(IF($B1057="","Arabica",$B1057))&amp;" - "&amp;(IF($C1057="","Commercial",$C1057))),Variables!$B$1:$D$1,0),1))*AK1057/365),""))</f>
        <v>3.2046401673335247</v>
      </c>
      <c r="BI1057" s="44">
        <f>IF($AX1057="Cancelled","",IFERROR((W1057*INDEX(Variables!$B$7:$D$7,IFERROR(MATCH(IF($B1057="Robusta","Robusta",(IF($B1057="","Arabica",$B1057))&amp;" - "&amp;(IF($C1057="","Commercial",$C1057))),Variables!$B$1:$D$1,0),1))*BD1057/365)+(L1057/16.67*INDEX(Variables!$B$8:$D$8,IFERROR(MATCH(IF($B1057="Robusta","Robusta",(IF($B1057="","Arabica",$B1057))&amp;" - "&amp;(IF($C1057="","Commercial",$C1057))),Variables!$B$1:$D$1,0),1))*BD1057)+(W1057*INDEX(Variables!$B$9:$D$9,IFERROR(MATCH(IF($B1057="Robusta","Robusta",(IF($B1057="","Arabica",$B1057))&amp;" - "&amp;(IF($C1057="","Commercial",$C1057))),Variables!$B$1:$D$1,0),1))*BD1057/365),""))</f>
        <v>-16.023200836667623</v>
      </c>
      <c r="BJ1057" s="44">
        <f t="shared" si="51"/>
        <v>-29</v>
      </c>
      <c r="BK1057" s="44">
        <f>IF($AX1057="Cancelled","",IFERROR(IF(BJ1057="","",(W1057*INDEX(Variables!$B$7:$D$7,IFERROR(MATCH(IF($B1057="Robusta","Robusta",(IF($B1057="","Arabica",$B1057))&amp;" - "&amp;(IF($C1057="","Commercial",$C1057))),Variables!$B$1:$D$1,0),1))*(BJ1057/365))+(W1057*INDEX(Variables!$B$9:$D$9,IFERROR(MATCH(IF($B1057="Robusta","Robusta",(IF($B1057="","Arabica",$B1057))&amp;" - "&amp;(IF($C1057="","Commercial",$C1057))),Variables!$B$1:$D$1,0),1))*(BJ1057/365))+(INDEX(Variables!$B$8:$D$8,IFERROR(MATCH(IF($B1057="Robusta","Robusta",(IF($B1057="","Arabica",$B1057))&amp;" - "&amp;(IF($C1057="","Commercial",$C1057))),Variables!$B$1:$D$1,0),1))*L1057/16.67)),""))</f>
        <v>-62.934564852672224</v>
      </c>
    </row>
    <row r="1058" spans="1:63">
      <c r="A1058" s="13" t="s">
        <v>103</v>
      </c>
      <c r="B1058" s="13" t="s">
        <v>104</v>
      </c>
      <c r="C1058" s="13" t="s">
        <v>292</v>
      </c>
      <c r="D1058" s="31">
        <v>46105</v>
      </c>
      <c r="E1058" s="31">
        <v>46143</v>
      </c>
      <c r="F1058" s="31">
        <v>46173</v>
      </c>
      <c r="G1058" s="13">
        <v>3787478</v>
      </c>
      <c r="J1058" s="13" t="s">
        <v>236</v>
      </c>
      <c r="K1058" s="13" t="s">
        <v>2650</v>
      </c>
      <c r="L1058" s="13">
        <v>20</v>
      </c>
      <c r="M1058" s="13">
        <v>0</v>
      </c>
      <c r="N1058" s="13" t="s">
        <v>2651</v>
      </c>
      <c r="O1058" s="13" t="s">
        <v>297</v>
      </c>
      <c r="P1058" s="13">
        <v>10020</v>
      </c>
      <c r="R1058" s="13" t="s">
        <v>239</v>
      </c>
      <c r="S1058" s="13" t="s">
        <v>180</v>
      </c>
      <c r="T1058" s="13" t="s">
        <v>253</v>
      </c>
      <c r="U1058" s="13" t="s">
        <v>182</v>
      </c>
      <c r="V1058" s="23">
        <v>158</v>
      </c>
      <c r="W1058" s="44">
        <f>IF($AX1058="Cancelled","",IFERROR(((V1058+INDEX(Variables!$B$6:$D$6,IFERROR(MATCH(IF($B1058="Robusta","Robusta",(IF($B1058="","Arabica",$B1058))&amp;" - "&amp;(IF($C1058="","Commercial",$C1058))),Variables!$B$1:$D$1,0),1)))*22.0462)*(L1058/16.67),""))</f>
        <v>11870.827306538691</v>
      </c>
      <c r="Y1058" s="13" t="str">
        <f>IF($AX1058="Cancelled","",IF(X1058="","",IFERROR(IF(INDEX(Variables!$B$38:$B$47,MATCH(X1058,Variables!$A$38:$A$47,0))="Yes","Yes","No"),"No")))</f>
        <v/>
      </c>
      <c r="Z1058" s="31"/>
      <c r="AC1058" s="13" t="str">
        <f t="shared" si="50"/>
        <v/>
      </c>
      <c r="AF1058" s="71">
        <v>46168</v>
      </c>
      <c r="AG1058" s="36">
        <f>IF($AX1058="Cancelled","",IFERROR(IF(F1058="","",F1058-Variables!$B$13),""))</f>
        <v>46158</v>
      </c>
      <c r="AH1058" s="13" t="str">
        <f>IF($AX1058="Cancelled","",IFERROR(IF(AB1058="","",(AVERAGE(E1058:F1058)-AB1058)-Variables!$B$14),""))</f>
        <v/>
      </c>
      <c r="AJ1058" s="47">
        <v>46182</v>
      </c>
      <c r="AK1058" s="14">
        <f>IF($AX1058="Cancelled","",IFERROR(IF(AJ1058="","",IF(AND(AB1058="",AF1058=""),"",IF(AF1058&gt;AB1058,AF1058+Variables!$B$15+Variables!$B$16+Variables!$B$17-AJ1058,AB1058+Variables!$B$16+Variables!$B$17-AJ1058))),""))</f>
        <v>1</v>
      </c>
      <c r="AL1058" s="48" t="s">
        <v>114</v>
      </c>
      <c r="AM1058" s="13" t="s">
        <v>183</v>
      </c>
      <c r="AN1058" s="13" t="s">
        <v>2485</v>
      </c>
      <c r="AP1058" s="39" t="e">
        <v>#N/A</v>
      </c>
      <c r="AR1058" s="13">
        <v>321600002457</v>
      </c>
      <c r="AS1058" s="31">
        <v>46202</v>
      </c>
      <c r="AU1058" s="31">
        <v>46225</v>
      </c>
      <c r="AV1058" s="13" t="s">
        <v>2649</v>
      </c>
      <c r="AW1058" s="31">
        <v>46225</v>
      </c>
      <c r="AX1058" s="13" t="str">
        <f>IF(ISNUMBER(SEARCH("cancel",#REF!)),"Cancelled",IF(AND(AS1058&lt;&gt;"",AU1058&lt;&gt;"",AW1058&lt;&gt;""),"Closed","Open"))</f>
        <v>Closed</v>
      </c>
      <c r="AY1058" s="24" t="str">
        <f t="shared" si="49"/>
        <v>All dates received</v>
      </c>
      <c r="BD1058" s="13">
        <f>IF($AX1058="Cancelled","",IFERROR(IF(OR(AS1058="",AJ1058=""),"",(AJ1058+Variables!$B$18-AS1058)),""))</f>
        <v>-5</v>
      </c>
      <c r="BE1058" s="13">
        <f>IF($AX1058="Cancelled","",IFERROR(IF(OR(AW1058="",AS1058=""),"",(AS1058+Variables!$B$19)-AW1058),""))</f>
        <v>-18</v>
      </c>
      <c r="BF1058" s="44">
        <f>IF($AX1058="Cancelled","",IFERROR(W1058*INDEX(Variables!$B$7:$D$7,IFERROR(MATCH(IF($B1058="Robusta","Robusta",(IF($B1058="","Arabica",$B1058))&amp;" - "&amp;(IF($C1058="","Commercial",$C1058))),Variables!$B$1:$D$1,0),1))*(BE1058/365),""))</f>
        <v>-37.74856736937646</v>
      </c>
      <c r="BG1058" s="44" t="str">
        <f>IF($AX1058="Cancelled","",IFERROR((W1058*INDEX(Variables!$B$7:$D$7,IFERROR(MATCH(IF($B1058="Robusta","Robusta",(IF($B1058="","Arabica",$B1058))&amp;" - "&amp;(IF($C1058="","Commercial",$C1058))),Variables!$B$1:$D$1,0),1))*IFERROR(IF(AB1058="","",(AVERAGE(E1058:F1058)-AB1058)-Variables!$B$14),"")/365)+(L1058/16.67*INDEX(Variables!$B$8:$D$8,IFERROR(MATCH(IF($B1058="Robusta","Robusta",(IF($B1058="","Arabica",$B1058))&amp;" - "&amp;(IF($C1058="","Commercial",$C1058))),Variables!$B$1:$D$1,0),1))*IFERROR(IF(AB1058="","",(AVERAGE(E1058:F1058)-AB1058)-Variables!$B$14),""))+(W1058*INDEX(Variables!$B$9:$D$9,IFERROR(MATCH(IF($B1058="Robusta","Robusta",(IF($B1058="","Arabica",$B1058))&amp;" - "&amp;(IF($C1058="","Commercial",$C1058))),Variables!$B$1:$D$1,0),1))*IFERROR(IF(AB1058="","",(AVERAGE(E1058:F1058)-AB1058)-Variables!$B$14),"")/365),""))</f>
        <v/>
      </c>
      <c r="BH1058" s="44">
        <f>IF($AX1058="Cancelled","",IFERROR((W1058*INDEX(Variables!$B$7:$D$7,IFERROR(MATCH(IF($B1058="Robusta","Robusta",(IF($B1058="","Arabica",$B1058))&amp;" - "&amp;(IF($C1058="","Commercial",$C1058))),Variables!$B$1:$D$1,0),1))*AK1058/365)+(L1058/16.67*INDEX(Variables!$B$8:$D$8,IFERROR(MATCH(IF($B1058="Robusta","Robusta",(IF($B1058="","Arabica",$B1058))&amp;" - "&amp;(IF($C1058="","Commercial",$C1058))),Variables!$B$1:$D$1,0),1))*AK1058)+(W1058*INDEX(Variables!$B$9:$D$9,IFERROR(MATCH(IF($B1058="Robusta","Robusta",(IF($B1058="","Arabica",$B1058))&amp;" - "&amp;(IF($C1058="","Commercial",$C1058))),Variables!$B$1:$D$1,0),1))*AK1058/365),""))</f>
        <v>3.1241788473578489</v>
      </c>
      <c r="BI1058" s="44">
        <f>IF($AX1058="Cancelled","",IFERROR((W1058*INDEX(Variables!$B$7:$D$7,IFERROR(MATCH(IF($B1058="Robusta","Robusta",(IF($B1058="","Arabica",$B1058))&amp;" - "&amp;(IF($C1058="","Commercial",$C1058))),Variables!$B$1:$D$1,0),1))*BD1058/365)+(L1058/16.67*INDEX(Variables!$B$8:$D$8,IFERROR(MATCH(IF($B1058="Robusta","Robusta",(IF($B1058="","Arabica",$B1058))&amp;" - "&amp;(IF($C1058="","Commercial",$C1058))),Variables!$B$1:$D$1,0),1))*BD1058)+(W1058*INDEX(Variables!$B$9:$D$9,IFERROR(MATCH(IF($B1058="Robusta","Robusta",(IF($B1058="","Arabica",$B1058))&amp;" - "&amp;(IF($C1058="","Commercial",$C1058))),Variables!$B$1:$D$1,0),1))*BD1058/365),""))</f>
        <v>-15.620894236789246</v>
      </c>
      <c r="BJ1058" s="44">
        <f t="shared" si="51"/>
        <v>-29</v>
      </c>
      <c r="BK1058" s="44">
        <f>IF($AX1058="Cancelled","",IFERROR(IF(BJ1058="","",(W1058*INDEX(Variables!$B$7:$D$7,IFERROR(MATCH(IF($B1058="Robusta","Robusta",(IF($B1058="","Arabica",$B1058))&amp;" - "&amp;(IF($C1058="","Commercial",$C1058))),Variables!$B$1:$D$1,0),1))*(BJ1058/365))+(W1058*INDEX(Variables!$B$9:$D$9,IFERROR(MATCH(IF($B1058="Robusta","Robusta",(IF($B1058="","Arabica",$B1058))&amp;" - "&amp;(IF($C1058="","Commercial",$C1058))),Variables!$B$1:$D$1,0),1))*(BJ1058/365))+(INDEX(Variables!$B$8:$D$8,IFERROR(MATCH(IF($B1058="Robusta","Robusta",(IF($B1058="","Arabica",$B1058))&amp;" - "&amp;(IF($C1058="","Commercial",$C1058))),Variables!$B$1:$D$1,0),1))*L1058/16.67)),""))</f>
        <v>-60.601186573377625</v>
      </c>
    </row>
    <row r="1059" spans="1:63">
      <c r="A1059" s="13" t="s">
        <v>103</v>
      </c>
      <c r="B1059" s="13" t="s">
        <v>104</v>
      </c>
      <c r="C1059" s="13" t="s">
        <v>292</v>
      </c>
      <c r="D1059" s="31">
        <v>46105</v>
      </c>
      <c r="E1059" s="31">
        <v>46143</v>
      </c>
      <c r="F1059" s="31">
        <v>46173</v>
      </c>
      <c r="G1059" s="13">
        <v>3787479</v>
      </c>
      <c r="J1059" s="13" t="s">
        <v>236</v>
      </c>
      <c r="K1059" s="13" t="s">
        <v>2652</v>
      </c>
      <c r="L1059" s="13">
        <v>20</v>
      </c>
      <c r="M1059" s="13">
        <v>0</v>
      </c>
      <c r="N1059" s="13" t="s">
        <v>2653</v>
      </c>
      <c r="O1059" s="13" t="s">
        <v>771</v>
      </c>
      <c r="P1059" s="13">
        <v>10010</v>
      </c>
      <c r="R1059" s="13" t="s">
        <v>239</v>
      </c>
      <c r="S1059" s="13" t="s">
        <v>180</v>
      </c>
      <c r="T1059" s="13" t="s">
        <v>253</v>
      </c>
      <c r="U1059" s="13" t="s">
        <v>182</v>
      </c>
      <c r="V1059" s="23">
        <v>198</v>
      </c>
      <c r="W1059" s="44">
        <f>IF($AX1059="Cancelled","",IFERROR(((V1059+INDEX(Variables!$B$6:$D$6,IFERROR(MATCH(IF($B1059="Robusta","Robusta",(IF($B1059="","Arabica",$B1059))&amp;" - "&amp;(IF($C1059="","Commercial",$C1059))),Variables!$B$1:$D$1,0),1)))*22.0462)*(L1059/16.67),""))</f>
        <v>12928.833305338931</v>
      </c>
      <c r="Y1059" s="13" t="str">
        <f>IF($AX1059="Cancelled","",IF(X1059="","",IFERROR(IF(INDEX(Variables!$B$38:$B$47,MATCH(X1059,Variables!$A$38:$A$47,0))="Yes","Yes","No"),"No")))</f>
        <v/>
      </c>
      <c r="Z1059" s="31"/>
      <c r="AC1059" s="13" t="str">
        <f t="shared" si="50"/>
        <v/>
      </c>
      <c r="AF1059" s="71">
        <v>46168</v>
      </c>
      <c r="AG1059" s="36">
        <f>IF($AX1059="Cancelled","",IFERROR(IF(F1059="","",F1059-Variables!$B$13),""))</f>
        <v>46158</v>
      </c>
      <c r="AH1059" s="13" t="str">
        <f>IF($AX1059="Cancelled","",IFERROR(IF(AB1059="","",(AVERAGE(E1059:F1059)-AB1059)-Variables!$B$14),""))</f>
        <v/>
      </c>
      <c r="AJ1059" s="47">
        <v>46182</v>
      </c>
      <c r="AK1059" s="14">
        <f>IF($AX1059="Cancelled","",IFERROR(IF(AJ1059="","",IF(AND(AB1059="",AF1059=""),"",IF(AF1059&gt;AB1059,AF1059+Variables!$B$15+Variables!$B$16+Variables!$B$17-AJ1059,AB1059+Variables!$B$16+Variables!$B$17-AJ1059))),""))</f>
        <v>1</v>
      </c>
      <c r="AL1059" s="48" t="s">
        <v>114</v>
      </c>
      <c r="AM1059" s="13" t="s">
        <v>183</v>
      </c>
      <c r="AN1059" s="13" t="s">
        <v>2485</v>
      </c>
      <c r="AP1059" s="39" t="e">
        <v>#N/A</v>
      </c>
      <c r="AR1059" s="13">
        <v>321600002457</v>
      </c>
      <c r="AS1059" s="31">
        <v>46202</v>
      </c>
      <c r="AU1059" s="31">
        <v>46225</v>
      </c>
      <c r="AV1059" s="13" t="s">
        <v>2649</v>
      </c>
      <c r="AW1059" s="31">
        <v>46225</v>
      </c>
      <c r="AX1059" s="13" t="str">
        <f>IF(ISNUMBER(SEARCH("cancel",#REF!)),"Cancelled",IF(AND(AS1059&lt;&gt;"",AU1059&lt;&gt;"",AW1059&lt;&gt;""),"Closed","Open"))</f>
        <v>Closed</v>
      </c>
      <c r="AY1059" s="24" t="str">
        <f t="shared" si="49"/>
        <v>All dates received</v>
      </c>
      <c r="BD1059" s="13">
        <f>IF($AX1059="Cancelled","",IFERROR(IF(OR(AS1059="",AJ1059=""),"",(AJ1059+Variables!$B$18-AS1059)),""))</f>
        <v>-5</v>
      </c>
      <c r="BE1059" s="13">
        <f>IF($AX1059="Cancelled","",IFERROR(IF(OR(AW1059="",AS1059=""),"",(AS1059+Variables!$B$19)-AW1059),""))</f>
        <v>-18</v>
      </c>
      <c r="BF1059" s="44">
        <f>IF($AX1059="Cancelled","",IFERROR(W1059*INDEX(Variables!$B$7:$D$7,IFERROR(MATCH(IF($B1059="Robusta","Robusta",(IF($B1059="","Arabica",$B1059))&amp;" - "&amp;(IF($C1059="","Commercial",$C1059))),Variables!$B$1:$D$1,0),1))*(BE1059/365),""))</f>
        <v>-41.112967313171147</v>
      </c>
      <c r="BG1059" s="44" t="str">
        <f>IF($AX1059="Cancelled","",IFERROR((W1059*INDEX(Variables!$B$7:$D$7,IFERROR(MATCH(IF($B1059="Robusta","Robusta",(IF($B1059="","Arabica",$B1059))&amp;" - "&amp;(IF($C1059="","Commercial",$C1059))),Variables!$B$1:$D$1,0),1))*IFERROR(IF(AB1059="","",(AVERAGE(E1059:F1059)-AB1059)-Variables!$B$14),"")/365)+(L1059/16.67*INDEX(Variables!$B$8:$D$8,IFERROR(MATCH(IF($B1059="Robusta","Robusta",(IF($B1059="","Arabica",$B1059))&amp;" - "&amp;(IF($C1059="","Commercial",$C1059))),Variables!$B$1:$D$1,0),1))*IFERROR(IF(AB1059="","",(AVERAGE(E1059:F1059)-AB1059)-Variables!$B$14),""))+(W1059*INDEX(Variables!$B$9:$D$9,IFERROR(MATCH(IF($B1059="Robusta","Robusta",(IF($B1059="","Arabica",$B1059))&amp;" - "&amp;(IF($C1059="","Commercial",$C1059))),Variables!$B$1:$D$1,0),1))*IFERROR(IF(AB1059="","",(AVERAGE(E1059:F1059)-AB1059)-Variables!$B$14),"")/365),""))</f>
        <v/>
      </c>
      <c r="BH1059" s="44">
        <f>IF($AX1059="Cancelled","",IFERROR((W1059*INDEX(Variables!$B$7:$D$7,IFERROR(MATCH(IF($B1059="Robusta","Robusta",(IF($B1059="","Arabica",$B1059))&amp;" - "&amp;(IF($C1059="","Commercial",$C1059))),Variables!$B$1:$D$1,0),1))*AK1059/365)+(L1059/16.67*INDEX(Variables!$B$8:$D$8,IFERROR(MATCH(IF($B1059="Robusta","Robusta",(IF($B1059="","Arabica",$B1059))&amp;" - "&amp;(IF($C1059="","Commercial",$C1059))),Variables!$B$1:$D$1,0),1))*AK1059)+(W1059*INDEX(Variables!$B$9:$D$9,IFERROR(MATCH(IF($B1059="Robusta","Robusta",(IF($B1059="","Arabica",$B1059))&amp;" - "&amp;(IF($C1059="","Commercial",$C1059))),Variables!$B$1:$D$1,0),1))*AK1059/365),""))</f>
        <v>3.3134996002417925</v>
      </c>
      <c r="BI1059" s="44">
        <f>IF($AX1059="Cancelled","",IFERROR((W1059*INDEX(Variables!$B$7:$D$7,IFERROR(MATCH(IF($B1059="Robusta","Robusta",(IF($B1059="","Arabica",$B1059))&amp;" - "&amp;(IF($C1059="","Commercial",$C1059))),Variables!$B$1:$D$1,0),1))*BD1059/365)+(L1059/16.67*INDEX(Variables!$B$8:$D$8,IFERROR(MATCH(IF($B1059="Robusta","Robusta",(IF($B1059="","Arabica",$B1059))&amp;" - "&amp;(IF($C1059="","Commercial",$C1059))),Variables!$B$1:$D$1,0),1))*BD1059)+(W1059*INDEX(Variables!$B$9:$D$9,IFERROR(MATCH(IF($B1059="Robusta","Robusta",(IF($B1059="","Arabica",$B1059))&amp;" - "&amp;(IF($C1059="","Commercial",$C1059))),Variables!$B$1:$D$1,0),1))*BD1059/365),""))</f>
        <v>-16.567498001208961</v>
      </c>
      <c r="BJ1059" s="44">
        <f t="shared" si="51"/>
        <v>-29</v>
      </c>
      <c r="BK1059" s="44">
        <f>IF($AX1059="Cancelled","",IFERROR(IF(BJ1059="","",(W1059*INDEX(Variables!$B$7:$D$7,IFERROR(MATCH(IF($B1059="Robusta","Robusta",(IF($B1059="","Arabica",$B1059))&amp;" - "&amp;(IF($C1059="","Commercial",$C1059))),Variables!$B$1:$D$1,0),1))*(BJ1059/365))+(W1059*INDEX(Variables!$B$9:$D$9,IFERROR(MATCH(IF($B1059="Robusta","Robusta",(IF($B1059="","Arabica",$B1059))&amp;" - "&amp;(IF($C1059="","Commercial",$C1059))),Variables!$B$1:$D$1,0),1))*(BJ1059/365))+(INDEX(Variables!$B$8:$D$8,IFERROR(MATCH(IF($B1059="Robusta","Robusta",(IF($B1059="","Arabica",$B1059))&amp;" - "&amp;(IF($C1059="","Commercial",$C1059))),Variables!$B$1:$D$1,0),1))*L1059/16.67)),""))</f>
        <v>-66.09148840701198</v>
      </c>
    </row>
    <row r="1060" spans="1:63">
      <c r="A1060" s="13" t="s">
        <v>103</v>
      </c>
      <c r="B1060" s="13" t="s">
        <v>104</v>
      </c>
      <c r="C1060" s="13" t="s">
        <v>292</v>
      </c>
      <c r="D1060" s="31">
        <v>46105</v>
      </c>
      <c r="E1060" s="31">
        <v>46143</v>
      </c>
      <c r="F1060" s="31">
        <v>46173</v>
      </c>
      <c r="G1060" s="13">
        <v>3787480</v>
      </c>
      <c r="J1060" s="13" t="s">
        <v>236</v>
      </c>
      <c r="K1060" s="13" t="s">
        <v>2654</v>
      </c>
      <c r="L1060" s="13">
        <v>20</v>
      </c>
      <c r="M1060" s="13">
        <v>0</v>
      </c>
      <c r="N1060" s="13" t="s">
        <v>2655</v>
      </c>
      <c r="O1060" s="13" t="s">
        <v>771</v>
      </c>
      <c r="P1060" s="13">
        <v>10010</v>
      </c>
      <c r="R1060" s="13" t="s">
        <v>239</v>
      </c>
      <c r="S1060" s="13" t="s">
        <v>180</v>
      </c>
      <c r="T1060" s="13" t="s">
        <v>253</v>
      </c>
      <c r="U1060" s="13" t="s">
        <v>182</v>
      </c>
      <c r="V1060" s="23">
        <v>198</v>
      </c>
      <c r="W1060" s="44">
        <f>IF($AX1060="Cancelled","",IFERROR(((V1060+INDEX(Variables!$B$6:$D$6,IFERROR(MATCH(IF($B1060="Robusta","Robusta",(IF($B1060="","Arabica",$B1060))&amp;" - "&amp;(IF($C1060="","Commercial",$C1060))),Variables!$B$1:$D$1,0),1)))*22.0462)*(L1060/16.67),""))</f>
        <v>12928.833305338931</v>
      </c>
      <c r="Y1060" s="13" t="str">
        <f>IF($AX1060="Cancelled","",IF(X1060="","",IFERROR(IF(INDEX(Variables!$B$38:$B$47,MATCH(X1060,Variables!$A$38:$A$47,0))="Yes","Yes","No"),"No")))</f>
        <v/>
      </c>
      <c r="Z1060" s="31"/>
      <c r="AC1060" s="13" t="str">
        <f t="shared" si="50"/>
        <v/>
      </c>
      <c r="AF1060" s="71">
        <v>46168</v>
      </c>
      <c r="AG1060" s="36">
        <f>IF($AX1060="Cancelled","",IFERROR(IF(F1060="","",F1060-Variables!$B$13),""))</f>
        <v>46158</v>
      </c>
      <c r="AH1060" s="13" t="str">
        <f>IF($AX1060="Cancelled","",IFERROR(IF(AB1060="","",(AVERAGE(E1060:F1060)-AB1060)-Variables!$B$14),""))</f>
        <v/>
      </c>
      <c r="AJ1060" s="47">
        <v>46182</v>
      </c>
      <c r="AK1060" s="14">
        <f>IF($AX1060="Cancelled","",IFERROR(IF(AJ1060="","",IF(AND(AB1060="",AF1060=""),"",IF(AF1060&gt;AB1060,AF1060+Variables!$B$15+Variables!$B$16+Variables!$B$17-AJ1060,AB1060+Variables!$B$16+Variables!$B$17-AJ1060))),""))</f>
        <v>1</v>
      </c>
      <c r="AL1060" s="48" t="s">
        <v>114</v>
      </c>
      <c r="AM1060" s="13" t="s">
        <v>183</v>
      </c>
      <c r="AN1060" s="13" t="s">
        <v>2485</v>
      </c>
      <c r="AP1060" s="39" t="e">
        <v>#N/A</v>
      </c>
      <c r="AR1060" s="13">
        <v>321600002457</v>
      </c>
      <c r="AS1060" s="31">
        <v>46202</v>
      </c>
      <c r="AU1060" s="31">
        <v>46225</v>
      </c>
      <c r="AV1060" s="13" t="s">
        <v>2649</v>
      </c>
      <c r="AW1060" s="31">
        <v>46225</v>
      </c>
      <c r="AX1060" s="13" t="str">
        <f>IF(ISNUMBER(SEARCH("cancel",#REF!)),"Cancelled",IF(AND(AS1060&lt;&gt;"",AU1060&lt;&gt;"",AW1060&lt;&gt;""),"Closed","Open"))</f>
        <v>Closed</v>
      </c>
      <c r="AY1060" s="24" t="str">
        <f t="shared" si="49"/>
        <v>All dates received</v>
      </c>
      <c r="BD1060" s="13">
        <f>IF($AX1060="Cancelled","",IFERROR(IF(OR(AS1060="",AJ1060=""),"",(AJ1060+Variables!$B$18-AS1060)),""))</f>
        <v>-5</v>
      </c>
      <c r="BE1060" s="13">
        <f>IF($AX1060="Cancelled","",IFERROR(IF(OR(AW1060="",AS1060=""),"",(AS1060+Variables!$B$19)-AW1060),""))</f>
        <v>-18</v>
      </c>
      <c r="BF1060" s="44">
        <f>IF($AX1060="Cancelled","",IFERROR(W1060*INDEX(Variables!$B$7:$D$7,IFERROR(MATCH(IF($B1060="Robusta","Robusta",(IF($B1060="","Arabica",$B1060))&amp;" - "&amp;(IF($C1060="","Commercial",$C1060))),Variables!$B$1:$D$1,0),1))*(BE1060/365),""))</f>
        <v>-41.112967313171147</v>
      </c>
      <c r="BG1060" s="44" t="str">
        <f>IF($AX1060="Cancelled","",IFERROR((W1060*INDEX(Variables!$B$7:$D$7,IFERROR(MATCH(IF($B1060="Robusta","Robusta",(IF($B1060="","Arabica",$B1060))&amp;" - "&amp;(IF($C1060="","Commercial",$C1060))),Variables!$B$1:$D$1,0),1))*IFERROR(IF(AB1060="","",(AVERAGE(E1060:F1060)-AB1060)-Variables!$B$14),"")/365)+(L1060/16.67*INDEX(Variables!$B$8:$D$8,IFERROR(MATCH(IF($B1060="Robusta","Robusta",(IF($B1060="","Arabica",$B1060))&amp;" - "&amp;(IF($C1060="","Commercial",$C1060))),Variables!$B$1:$D$1,0),1))*IFERROR(IF(AB1060="","",(AVERAGE(E1060:F1060)-AB1060)-Variables!$B$14),""))+(W1060*INDEX(Variables!$B$9:$D$9,IFERROR(MATCH(IF($B1060="Robusta","Robusta",(IF($B1060="","Arabica",$B1060))&amp;" - "&amp;(IF($C1060="","Commercial",$C1060))),Variables!$B$1:$D$1,0),1))*IFERROR(IF(AB1060="","",(AVERAGE(E1060:F1060)-AB1060)-Variables!$B$14),"")/365),""))</f>
        <v/>
      </c>
      <c r="BH1060" s="44">
        <f>IF($AX1060="Cancelled","",IFERROR((W1060*INDEX(Variables!$B$7:$D$7,IFERROR(MATCH(IF($B1060="Robusta","Robusta",(IF($B1060="","Arabica",$B1060))&amp;" - "&amp;(IF($C1060="","Commercial",$C1060))),Variables!$B$1:$D$1,0),1))*AK1060/365)+(L1060/16.67*INDEX(Variables!$B$8:$D$8,IFERROR(MATCH(IF($B1060="Robusta","Robusta",(IF($B1060="","Arabica",$B1060))&amp;" - "&amp;(IF($C1060="","Commercial",$C1060))),Variables!$B$1:$D$1,0),1))*AK1060)+(W1060*INDEX(Variables!$B$9:$D$9,IFERROR(MATCH(IF($B1060="Robusta","Robusta",(IF($B1060="","Arabica",$B1060))&amp;" - "&amp;(IF($C1060="","Commercial",$C1060))),Variables!$B$1:$D$1,0),1))*AK1060/365),""))</f>
        <v>3.3134996002417925</v>
      </c>
      <c r="BI1060" s="44">
        <f>IF($AX1060="Cancelled","",IFERROR((W1060*INDEX(Variables!$B$7:$D$7,IFERROR(MATCH(IF($B1060="Robusta","Robusta",(IF($B1060="","Arabica",$B1060))&amp;" - "&amp;(IF($C1060="","Commercial",$C1060))),Variables!$B$1:$D$1,0),1))*BD1060/365)+(L1060/16.67*INDEX(Variables!$B$8:$D$8,IFERROR(MATCH(IF($B1060="Robusta","Robusta",(IF($B1060="","Arabica",$B1060))&amp;" - "&amp;(IF($C1060="","Commercial",$C1060))),Variables!$B$1:$D$1,0),1))*BD1060)+(W1060*INDEX(Variables!$B$9:$D$9,IFERROR(MATCH(IF($B1060="Robusta","Robusta",(IF($B1060="","Arabica",$B1060))&amp;" - "&amp;(IF($C1060="","Commercial",$C1060))),Variables!$B$1:$D$1,0),1))*BD1060/365),""))</f>
        <v>-16.567498001208961</v>
      </c>
      <c r="BJ1060" s="44">
        <f t="shared" si="51"/>
        <v>-29</v>
      </c>
      <c r="BK1060" s="44">
        <f>IF($AX1060="Cancelled","",IFERROR(IF(BJ1060="","",(W1060*INDEX(Variables!$B$7:$D$7,IFERROR(MATCH(IF($B1060="Robusta","Robusta",(IF($B1060="","Arabica",$B1060))&amp;" - "&amp;(IF($C1060="","Commercial",$C1060))),Variables!$B$1:$D$1,0),1))*(BJ1060/365))+(W1060*INDEX(Variables!$B$9:$D$9,IFERROR(MATCH(IF($B1060="Robusta","Robusta",(IF($B1060="","Arabica",$B1060))&amp;" - "&amp;(IF($C1060="","Commercial",$C1060))),Variables!$B$1:$D$1,0),1))*(BJ1060/365))+(INDEX(Variables!$B$8:$D$8,IFERROR(MATCH(IF($B1060="Robusta","Robusta",(IF($B1060="","Arabica",$B1060))&amp;" - "&amp;(IF($C1060="","Commercial",$C1060))),Variables!$B$1:$D$1,0),1))*L1060/16.67)),""))</f>
        <v>-66.09148840701198</v>
      </c>
    </row>
    <row r="1061" spans="1:63">
      <c r="A1061" s="13" t="s">
        <v>103</v>
      </c>
      <c r="B1061" s="13" t="s">
        <v>104</v>
      </c>
      <c r="C1061" s="13" t="s">
        <v>292</v>
      </c>
      <c r="D1061" s="31">
        <v>46108</v>
      </c>
      <c r="E1061" s="31">
        <v>46113</v>
      </c>
      <c r="F1061" s="31">
        <v>46142</v>
      </c>
      <c r="G1061" s="13">
        <v>3787484</v>
      </c>
      <c r="J1061" s="13" t="s">
        <v>1641</v>
      </c>
      <c r="K1061" s="13" t="s">
        <v>2656</v>
      </c>
      <c r="L1061" s="13">
        <v>120</v>
      </c>
      <c r="M1061" s="13">
        <v>1</v>
      </c>
      <c r="N1061" s="13" t="s">
        <v>2657</v>
      </c>
      <c r="O1061" s="13" t="s">
        <v>297</v>
      </c>
      <c r="P1061" s="13">
        <v>10020</v>
      </c>
      <c r="R1061" s="13" t="s">
        <v>239</v>
      </c>
      <c r="S1061" s="13" t="s">
        <v>776</v>
      </c>
      <c r="T1061" s="13" t="s">
        <v>777</v>
      </c>
      <c r="U1061" s="13" t="s">
        <v>125</v>
      </c>
      <c r="V1061" s="23">
        <v>128</v>
      </c>
      <c r="W1061" s="44">
        <f>IF($AX1061="Cancelled","",IFERROR(((V1061+INDEX(Variables!$B$6:$D$6,IFERROR(MATCH(IF($B1061="Robusta","Robusta",(IF($B1061="","Arabica",$B1061))&amp;" - "&amp;(IF($C1061="","Commercial",$C1061))),Variables!$B$1:$D$1,0),1)))*22.0462)*(L1061/16.67),""))</f>
        <v>66463.936844631055</v>
      </c>
      <c r="Y1061" s="13" t="str">
        <f>IF($AX1061="Cancelled","",IF(X1061="","",IFERROR(IF(INDEX(Variables!$B$38:$B$47,MATCH(X1061,Variables!$A$38:$A$47,0))="Yes","Yes","No"),"No")))</f>
        <v/>
      </c>
      <c r="Z1061" s="31"/>
      <c r="AC1061" s="13" t="str">
        <f t="shared" si="50"/>
        <v/>
      </c>
      <c r="AF1061" s="71">
        <v>46153</v>
      </c>
      <c r="AG1061" s="36">
        <f>IF($AX1061="Cancelled","",IFERROR(IF(F1061="","",F1061-Variables!$B$13),""))</f>
        <v>46127</v>
      </c>
      <c r="AH1061" s="13" t="str">
        <f>IF($AX1061="Cancelled","",IFERROR(IF(AB1061="","",(AVERAGE(E1061:F1061)-AB1061)-Variables!$B$14),""))</f>
        <v/>
      </c>
      <c r="AJ1061" s="47">
        <v>46154</v>
      </c>
      <c r="AK1061" s="14">
        <f>IF($AX1061="Cancelled","",IFERROR(IF(AJ1061="","",IF(AND(AB1061="",AF1061=""),"",IF(AF1061&gt;AB1061,AF1061+Variables!$B$15+Variables!$B$16+Variables!$B$17-AJ1061,AB1061+Variables!$B$16+Variables!$B$17-AJ1061))),""))</f>
        <v>14</v>
      </c>
      <c r="AL1061" s="48" t="s">
        <v>114</v>
      </c>
      <c r="AM1061" s="13" t="s">
        <v>1526</v>
      </c>
      <c r="AN1061" s="13" t="s">
        <v>2583</v>
      </c>
      <c r="AP1061" s="39" t="e">
        <v>#N/A</v>
      </c>
      <c r="AR1061" s="13" t="s">
        <v>2658</v>
      </c>
      <c r="AS1061" s="31">
        <v>46166</v>
      </c>
      <c r="AU1061" s="31">
        <v>46191</v>
      </c>
      <c r="AV1061" s="13" t="s">
        <v>2659</v>
      </c>
      <c r="AW1061" s="31">
        <v>46191</v>
      </c>
      <c r="AX1061" s="13" t="str">
        <f>IF(ISNUMBER(SEARCH("cancel",#REF!)),"Cancelled",IF(AND(AS1061&lt;&gt;"",AU1061&lt;&gt;"",AW1061&lt;&gt;""),"Closed","Open"))</f>
        <v>Closed</v>
      </c>
      <c r="AY1061" s="24" t="str">
        <f t="shared" si="49"/>
        <v>All dates received</v>
      </c>
      <c r="BD1061" s="13">
        <f>IF($AX1061="Cancelled","",IFERROR(IF(OR(AS1061="",AJ1061=""),"",(AJ1061+Variables!$B$18-AS1061)),""))</f>
        <v>3</v>
      </c>
      <c r="BE1061" s="13">
        <f>IF($AX1061="Cancelled","",IFERROR(IF(OR(AW1061="",AS1061=""),"",(AS1061+Variables!$B$19)-AW1061),""))</f>
        <v>-20</v>
      </c>
      <c r="BF1061" s="44">
        <f>IF($AX1061="Cancelled","",IFERROR(W1061*INDEX(Variables!$B$7:$D$7,IFERROR(MATCH(IF($B1061="Robusta","Robusta",(IF($B1061="","Arabica",$B1061))&amp;" - "&amp;(IF($C1061="","Commercial",$C1061))),Variables!$B$1:$D$1,0),1))*(BE1061/365),""))</f>
        <v>-234.8351160768695</v>
      </c>
      <c r="BG1061" s="44" t="str">
        <f>IF($AX1061="Cancelled","",IFERROR((W1061*INDEX(Variables!$B$7:$D$7,IFERROR(MATCH(IF($B1061="Robusta","Robusta",(IF($B1061="","Arabica",$B1061))&amp;" - "&amp;(IF($C1061="","Commercial",$C1061))),Variables!$B$1:$D$1,0),1))*IFERROR(IF(AB1061="","",(AVERAGE(E1061:F1061)-AB1061)-Variables!$B$14),"")/365)+(L1061/16.67*INDEX(Variables!$B$8:$D$8,IFERROR(MATCH(IF($B1061="Robusta","Robusta",(IF($B1061="","Arabica",$B1061))&amp;" - "&amp;(IF($C1061="","Commercial",$C1061))),Variables!$B$1:$D$1,0),1))*IFERROR(IF(AB1061="","",(AVERAGE(E1061:F1061)-AB1061)-Variables!$B$14),""))+(W1061*INDEX(Variables!$B$9:$D$9,IFERROR(MATCH(IF($B1061="Robusta","Robusta",(IF($B1061="","Arabica",$B1061))&amp;" - "&amp;(IF($C1061="","Commercial",$C1061))),Variables!$B$1:$D$1,0),1))*IFERROR(IF(AB1061="","",(AVERAGE(E1061:F1061)-AB1061)-Variables!$B$14),"")/365),""))</f>
        <v/>
      </c>
      <c r="BH1061" s="44">
        <f>IF($AX1061="Cancelled","",IFERROR((W1061*INDEX(Variables!$B$7:$D$7,IFERROR(MATCH(IF($B1061="Robusta","Robusta",(IF($B1061="","Arabica",$B1061))&amp;" - "&amp;(IF($C1061="","Commercial",$C1061))),Variables!$B$1:$D$1,0),1))*AK1061/365)+(L1061/16.67*INDEX(Variables!$B$8:$D$8,IFERROR(MATCH(IF($B1061="Robusta","Robusta",(IF($B1061="","Arabica",$B1061))&amp;" - "&amp;(IF($C1061="","Commercial",$C1061))),Variables!$B$1:$D$1,0),1))*AK1061)+(W1061*INDEX(Variables!$B$9:$D$9,IFERROR(MATCH(IF($B1061="Robusta","Robusta",(IF($B1061="","Arabica",$B1061))&amp;" - "&amp;(IF($C1061="","Commercial",$C1061))),Variables!$B$1:$D$1,0),1))*AK1061/365),""))</f>
        <v>250.5038157463708</v>
      </c>
      <c r="BI1061" s="44">
        <f>IF($AX1061="Cancelled","",IFERROR((W1061*INDEX(Variables!$B$7:$D$7,IFERROR(MATCH(IF($B1061="Robusta","Robusta",(IF($B1061="","Arabica",$B1061))&amp;" - "&amp;(IF($C1061="","Commercial",$C1061))),Variables!$B$1:$D$1,0),1))*BD1061/365)+(L1061/16.67*INDEX(Variables!$B$8:$D$8,IFERROR(MATCH(IF($B1061="Robusta","Robusta",(IF($B1061="","Arabica",$B1061))&amp;" - "&amp;(IF($C1061="","Commercial",$C1061))),Variables!$B$1:$D$1,0),1))*BD1061)+(W1061*INDEX(Variables!$B$9:$D$9,IFERROR(MATCH(IF($B1061="Robusta","Robusta",(IF($B1061="","Arabica",$B1061))&amp;" - "&amp;(IF($C1061="","Commercial",$C1061))),Variables!$B$1:$D$1,0),1))*BD1061/365),""))</f>
        <v>53.679389088508032</v>
      </c>
      <c r="BJ1061" s="44">
        <f t="shared" si="51"/>
        <v>-24</v>
      </c>
      <c r="BK1061" s="44">
        <f>IF($AX1061="Cancelled","",IFERROR(IF(BJ1061="","",(W1061*INDEX(Variables!$B$7:$D$7,IFERROR(MATCH(IF($B1061="Robusta","Robusta",(IF($B1061="","Arabica",$B1061))&amp;" - "&amp;(IF($C1061="","Commercial",$C1061))),Variables!$B$1:$D$1,0),1))*(BJ1061/365))+(W1061*INDEX(Variables!$B$9:$D$9,IFERROR(MATCH(IF($B1061="Robusta","Robusta",(IF($B1061="","Arabica",$B1061))&amp;" - "&amp;(IF($C1061="","Commercial",$C1061))),Variables!$B$1:$D$1,0),1))*(BJ1061/365))+(INDEX(Variables!$B$8:$D$8,IFERROR(MATCH(IF($B1061="Robusta","Robusta",(IF($B1061="","Arabica",$B1061))&amp;" - "&amp;(IF($C1061="","Commercial",$C1061))),Variables!$B$1:$D$1,0),1))*L1061/16.67)),""))</f>
        <v>-279.43511270806425</v>
      </c>
    </row>
    <row r="1062" spans="1:63">
      <c r="A1062" s="13" t="s">
        <v>103</v>
      </c>
      <c r="B1062" s="13" t="s">
        <v>104</v>
      </c>
      <c r="C1062" s="13" t="s">
        <v>292</v>
      </c>
      <c r="D1062" s="31">
        <v>46108</v>
      </c>
      <c r="E1062" s="31">
        <v>46113</v>
      </c>
      <c r="F1062" s="31">
        <v>46142</v>
      </c>
      <c r="G1062" s="13">
        <v>3787485</v>
      </c>
      <c r="J1062" s="13" t="s">
        <v>1641</v>
      </c>
      <c r="K1062" s="13" t="s">
        <v>2660</v>
      </c>
      <c r="L1062" s="13">
        <v>70</v>
      </c>
      <c r="M1062" s="13">
        <v>0</v>
      </c>
      <c r="N1062" s="13" t="s">
        <v>2661</v>
      </c>
      <c r="O1062" s="13" t="s">
        <v>297</v>
      </c>
      <c r="P1062" s="13">
        <v>10020</v>
      </c>
      <c r="R1062" s="13" t="s">
        <v>239</v>
      </c>
      <c r="S1062" s="13" t="s">
        <v>776</v>
      </c>
      <c r="T1062" s="13" t="s">
        <v>777</v>
      </c>
      <c r="U1062" s="13" t="s">
        <v>125</v>
      </c>
      <c r="V1062" s="23">
        <v>78</v>
      </c>
      <c r="W1062" s="44">
        <f>IF($AX1062="Cancelled","",IFERROR(((V1062+INDEX(Variables!$B$6:$D$6,IFERROR(MATCH(IF($B1062="Robusta","Robusta",(IF($B1062="","Arabica",$B1062))&amp;" - "&amp;(IF($C1062="","Commercial",$C1062))),Variables!$B$1:$D$1,0),1)))*22.0462)*(L1062/16.67),""))</f>
        <v>34141.853581283736</v>
      </c>
      <c r="Y1062" s="13" t="str">
        <f>IF($AX1062="Cancelled","",IF(X1062="","",IFERROR(IF(INDEX(Variables!$B$38:$B$47,MATCH(X1062,Variables!$A$38:$A$47,0))="Yes","Yes","No"),"No")))</f>
        <v/>
      </c>
      <c r="Z1062" s="31"/>
      <c r="AC1062" s="13" t="str">
        <f t="shared" si="50"/>
        <v/>
      </c>
      <c r="AF1062" s="71">
        <v>46153</v>
      </c>
      <c r="AG1062" s="36">
        <f>IF($AX1062="Cancelled","",IFERROR(IF(F1062="","",F1062-Variables!$B$13),""))</f>
        <v>46127</v>
      </c>
      <c r="AH1062" s="13" t="str">
        <f>IF($AX1062="Cancelled","",IFERROR(IF(AB1062="","",(AVERAGE(E1062:F1062)-AB1062)-Variables!$B$14),""))</f>
        <v/>
      </c>
      <c r="AJ1062" s="47">
        <v>46154</v>
      </c>
      <c r="AK1062" s="14">
        <f>IF($AX1062="Cancelled","",IFERROR(IF(AJ1062="","",IF(AND(AB1062="",AF1062=""),"",IF(AF1062&gt;AB1062,AF1062+Variables!$B$15+Variables!$B$16+Variables!$B$17-AJ1062,AB1062+Variables!$B$16+Variables!$B$17-AJ1062))),""))</f>
        <v>14</v>
      </c>
      <c r="AL1062" s="48" t="s">
        <v>114</v>
      </c>
      <c r="AM1062" s="13" t="s">
        <v>1526</v>
      </c>
      <c r="AN1062" s="13" t="s">
        <v>2583</v>
      </c>
      <c r="AP1062" s="39" t="e">
        <v>#N/A</v>
      </c>
      <c r="AR1062" s="13" t="s">
        <v>2658</v>
      </c>
      <c r="AS1062" s="31">
        <v>46166</v>
      </c>
      <c r="AU1062" s="31">
        <v>46191</v>
      </c>
      <c r="AV1062" s="13" t="s">
        <v>2659</v>
      </c>
      <c r="AW1062" s="31">
        <v>46191</v>
      </c>
      <c r="AX1062" s="13" t="str">
        <f>IF(ISNUMBER(SEARCH("cancel",#REF!)),"Cancelled",IF(AND(AS1062&lt;&gt;"",AU1062&lt;&gt;"",AW1062&lt;&gt;""),"Closed","Open"))</f>
        <v>Closed</v>
      </c>
      <c r="AY1062" s="24" t="str">
        <f t="shared" si="49"/>
        <v>All dates received</v>
      </c>
      <c r="BD1062" s="13">
        <f>IF($AX1062="Cancelled","",IFERROR(IF(OR(AS1062="",AJ1062=""),"",(AJ1062+Variables!$B$18-AS1062)),""))</f>
        <v>3</v>
      </c>
      <c r="BE1062" s="13">
        <f>IF($AX1062="Cancelled","",IFERROR(IF(OR(AW1062="",AS1062=""),"",(AS1062+Variables!$B$19)-AW1062),""))</f>
        <v>-20</v>
      </c>
      <c r="BF1062" s="44">
        <f>IF($AX1062="Cancelled","",IFERROR(W1062*INDEX(Variables!$B$7:$D$7,IFERROR(MATCH(IF($B1062="Robusta","Robusta",(IF($B1062="","Arabica",$B1062))&amp;" - "&amp;(IF($C1062="","Commercial",$C1062))),Variables!$B$1:$D$1,0),1))*(BE1062/365),""))</f>
        <v>-120.63242909583857</v>
      </c>
      <c r="BG1062" s="44" t="str">
        <f>IF($AX1062="Cancelled","",IFERROR((W1062*INDEX(Variables!$B$7:$D$7,IFERROR(MATCH(IF($B1062="Robusta","Robusta",(IF($B1062="","Arabica",$B1062))&amp;" - "&amp;(IF($C1062="","Commercial",$C1062))),Variables!$B$1:$D$1,0),1))*IFERROR(IF(AB1062="","",(AVERAGE(E1062:F1062)-AB1062)-Variables!$B$14),"")/365)+(L1062/16.67*INDEX(Variables!$B$8:$D$8,IFERROR(MATCH(IF($B1062="Robusta","Robusta",(IF($B1062="","Arabica",$B1062))&amp;" - "&amp;(IF($C1062="","Commercial",$C1062))),Variables!$B$1:$D$1,0),1))*IFERROR(IF(AB1062="","",(AVERAGE(E1062:F1062)-AB1062)-Variables!$B$14),""))+(W1062*INDEX(Variables!$B$9:$D$9,IFERROR(MATCH(IF($B1062="Robusta","Robusta",(IF($B1062="","Arabica",$B1062))&amp;" - "&amp;(IF($C1062="","Commercial",$C1062))),Variables!$B$1:$D$1,0),1))*IFERROR(IF(AB1062="","",(AVERAGE(E1062:F1062)-AB1062)-Variables!$B$14),"")/365),""))</f>
        <v/>
      </c>
      <c r="BH1062" s="44">
        <f>IF($AX1062="Cancelled","",IFERROR((W1062*INDEX(Variables!$B$7:$D$7,IFERROR(MATCH(IF($B1062="Robusta","Robusta",(IF($B1062="","Arabica",$B1062))&amp;" - "&amp;(IF($C1062="","Commercial",$C1062))),Variables!$B$1:$D$1,0),1))*AK1062/365)+(L1062/16.67*INDEX(Variables!$B$8:$D$8,IFERROR(MATCH(IF($B1062="Robusta","Robusta",(IF($B1062="","Arabica",$B1062))&amp;" - "&amp;(IF($C1062="","Commercial",$C1062))),Variables!$B$1:$D$1,0),1))*AK1062)+(W1062*INDEX(Variables!$B$9:$D$9,IFERROR(MATCH(IF($B1062="Robusta","Robusta",(IF($B1062="","Arabica",$B1062))&amp;" - "&amp;(IF($C1062="","Commercial",$C1062))),Variables!$B$1:$D$1,0),1))*AK1062/365),""))</f>
        <v>134.5313297379081</v>
      </c>
      <c r="BI1062" s="44">
        <f>IF($AX1062="Cancelled","",IFERROR((W1062*INDEX(Variables!$B$7:$D$7,IFERROR(MATCH(IF($B1062="Robusta","Robusta",(IF($B1062="","Arabica",$B1062))&amp;" - "&amp;(IF($C1062="","Commercial",$C1062))),Variables!$B$1:$D$1,0),1))*BD1062/365)+(L1062/16.67*INDEX(Variables!$B$8:$D$8,IFERROR(MATCH(IF($B1062="Robusta","Robusta",(IF($B1062="","Arabica",$B1062))&amp;" - "&amp;(IF($C1062="","Commercial",$C1062))),Variables!$B$1:$D$1,0),1))*BD1062)+(W1062*INDEX(Variables!$B$9:$D$9,IFERROR(MATCH(IF($B1062="Robusta","Robusta",(IF($B1062="","Arabica",$B1062))&amp;" - "&amp;(IF($C1062="","Commercial",$C1062))),Variables!$B$1:$D$1,0),1))*BD1062/365),""))</f>
        <v>28.828142086694591</v>
      </c>
      <c r="BJ1062" s="44">
        <f t="shared" si="51"/>
        <v>-24</v>
      </c>
      <c r="BK1062" s="44">
        <f>IF($AX1062="Cancelled","",IFERROR(IF(BJ1062="","",(W1062*INDEX(Variables!$B$7:$D$7,IFERROR(MATCH(IF($B1062="Robusta","Robusta",(IF($B1062="","Arabica",$B1062))&amp;" - "&amp;(IF($C1062="","Commercial",$C1062))),Variables!$B$1:$D$1,0),1))*(BJ1062/365))+(W1062*INDEX(Variables!$B$9:$D$9,IFERROR(MATCH(IF($B1062="Robusta","Robusta",(IF($B1062="","Arabica",$B1062))&amp;" - "&amp;(IF($C1062="","Commercial",$C1062))),Variables!$B$1:$D$1,0),1))*(BJ1062/365))+(INDEX(Variables!$B$8:$D$8,IFERROR(MATCH(IF($B1062="Robusta","Robusta",(IF($B1062="","Arabica",$B1062))&amp;" - "&amp;(IF($C1062="","Commercial",$C1062))),Variables!$B$1:$D$1,0),1))*L1062/16.67)),""))</f>
        <v>-143.1251366935567</v>
      </c>
    </row>
    <row r="1063" spans="1:63">
      <c r="A1063" s="13" t="s">
        <v>103</v>
      </c>
      <c r="B1063" s="13" t="s">
        <v>104</v>
      </c>
      <c r="C1063" s="13" t="s">
        <v>292</v>
      </c>
      <c r="D1063" s="31">
        <v>46108</v>
      </c>
      <c r="E1063" s="31">
        <v>46113</v>
      </c>
      <c r="F1063" s="31">
        <v>46142</v>
      </c>
      <c r="G1063" s="13">
        <v>3787486</v>
      </c>
      <c r="J1063" s="13" t="s">
        <v>1641</v>
      </c>
      <c r="K1063" s="13" t="s">
        <v>2662</v>
      </c>
      <c r="L1063" s="13">
        <v>17</v>
      </c>
      <c r="M1063" s="13">
        <v>0</v>
      </c>
      <c r="N1063" s="13" t="s">
        <v>2663</v>
      </c>
      <c r="O1063" s="13" t="s">
        <v>297</v>
      </c>
      <c r="P1063" s="13">
        <v>10020</v>
      </c>
      <c r="R1063" s="13" t="s">
        <v>239</v>
      </c>
      <c r="S1063" s="13" t="s">
        <v>776</v>
      </c>
      <c r="T1063" s="13" t="s">
        <v>777</v>
      </c>
      <c r="U1063" s="13" t="s">
        <v>125</v>
      </c>
      <c r="V1063" s="23">
        <v>74</v>
      </c>
      <c r="W1063" s="44">
        <f>IF($AX1063="Cancelled","",IFERROR(((V1063+INDEX(Variables!$B$6:$D$6,IFERROR(MATCH(IF($B1063="Robusta","Robusta",(IF($B1063="","Arabica",$B1063))&amp;" - "&amp;(IF($C1063="","Commercial",$C1063))),Variables!$B$1:$D$1,0),1)))*22.0462)*(L1063/16.67),""))</f>
        <v>8201.6625026994589</v>
      </c>
      <c r="Y1063" s="13" t="str">
        <f>IF($AX1063="Cancelled","",IF(X1063="","",IFERROR(IF(INDEX(Variables!$B$38:$B$47,MATCH(X1063,Variables!$A$38:$A$47,0))="Yes","Yes","No"),"No")))</f>
        <v/>
      </c>
      <c r="Z1063" s="31"/>
      <c r="AC1063" s="13" t="str">
        <f t="shared" si="50"/>
        <v/>
      </c>
      <c r="AF1063" s="71">
        <v>46153</v>
      </c>
      <c r="AG1063" s="36">
        <f>IF($AX1063="Cancelled","",IFERROR(IF(F1063="","",F1063-Variables!$B$13),""))</f>
        <v>46127</v>
      </c>
      <c r="AH1063" s="13" t="str">
        <f>IF($AX1063="Cancelled","",IFERROR(IF(AB1063="","",(AVERAGE(E1063:F1063)-AB1063)-Variables!$B$14),""))</f>
        <v/>
      </c>
      <c r="AJ1063" s="47">
        <v>46154</v>
      </c>
      <c r="AK1063" s="14">
        <f>IF($AX1063="Cancelled","",IFERROR(IF(AJ1063="","",IF(AND(AB1063="",AF1063=""),"",IF(AF1063&gt;AB1063,AF1063+Variables!$B$15+Variables!$B$16+Variables!$B$17-AJ1063,AB1063+Variables!$B$16+Variables!$B$17-AJ1063))),""))</f>
        <v>14</v>
      </c>
      <c r="AL1063" s="48" t="s">
        <v>114</v>
      </c>
      <c r="AM1063" s="13" t="s">
        <v>1526</v>
      </c>
      <c r="AN1063" s="13" t="s">
        <v>2583</v>
      </c>
      <c r="AP1063" s="39" t="e">
        <v>#N/A</v>
      </c>
      <c r="AR1063" s="13" t="s">
        <v>2658</v>
      </c>
      <c r="AS1063" s="31">
        <v>46166</v>
      </c>
      <c r="AU1063" s="31">
        <v>46191</v>
      </c>
      <c r="AV1063" s="13" t="s">
        <v>2659</v>
      </c>
      <c r="AW1063" s="31">
        <v>46191</v>
      </c>
      <c r="AX1063" s="13" t="str">
        <f>IF(ISNUMBER(SEARCH("cancel",#REF!)),"Cancelled",IF(AND(AS1063&lt;&gt;"",AU1063&lt;&gt;"",AW1063&lt;&gt;""),"Closed","Open"))</f>
        <v>Closed</v>
      </c>
      <c r="AY1063" s="24" t="str">
        <f t="shared" si="49"/>
        <v>All dates received</v>
      </c>
      <c r="BD1063" s="13">
        <f>IF($AX1063="Cancelled","",IFERROR(IF(OR(AS1063="",AJ1063=""),"",(AJ1063+Variables!$B$18-AS1063)),""))</f>
        <v>3</v>
      </c>
      <c r="BE1063" s="13">
        <f>IF($AX1063="Cancelled","",IFERROR(IF(OR(AW1063="",AS1063=""),"",(AS1063+Variables!$B$19)-AW1063),""))</f>
        <v>-20</v>
      </c>
      <c r="BF1063" s="44">
        <f>IF($AX1063="Cancelled","",IFERROR(W1063*INDEX(Variables!$B$7:$D$7,IFERROR(MATCH(IF($B1063="Robusta","Robusta",(IF($B1063="","Arabica",$B1063))&amp;" - "&amp;(IF($C1063="","Commercial",$C1063))),Variables!$B$1:$D$1,0),1))*(BE1063/365),""))</f>
        <v>-28.978698182551621</v>
      </c>
      <c r="BG1063" s="44" t="str">
        <f>IF($AX1063="Cancelled","",IFERROR((W1063*INDEX(Variables!$B$7:$D$7,IFERROR(MATCH(IF($B1063="Robusta","Robusta",(IF($B1063="","Arabica",$B1063))&amp;" - "&amp;(IF($C1063="","Commercial",$C1063))),Variables!$B$1:$D$1,0),1))*IFERROR(IF(AB1063="","",(AVERAGE(E1063:F1063)-AB1063)-Variables!$B$14),"")/365)+(L1063/16.67*INDEX(Variables!$B$8:$D$8,IFERROR(MATCH(IF($B1063="Robusta","Robusta",(IF($B1063="","Arabica",$B1063))&amp;" - "&amp;(IF($C1063="","Commercial",$C1063))),Variables!$B$1:$D$1,0),1))*IFERROR(IF(AB1063="","",(AVERAGE(E1063:F1063)-AB1063)-Variables!$B$14),""))+(W1063*INDEX(Variables!$B$9:$D$9,IFERROR(MATCH(IF($B1063="Robusta","Robusta",(IF($B1063="","Arabica",$B1063))&amp;" - "&amp;(IF($C1063="","Commercial",$C1063))),Variables!$B$1:$D$1,0),1))*IFERROR(IF(AB1063="","",(AVERAGE(E1063:F1063)-AB1063)-Variables!$B$14),"")/365),""))</f>
        <v/>
      </c>
      <c r="BH1063" s="44">
        <f>IF($AX1063="Cancelled","",IFERROR((W1063*INDEX(Variables!$B$7:$D$7,IFERROR(MATCH(IF($B1063="Robusta","Robusta",(IF($B1063="","Arabica",$B1063))&amp;" - "&amp;(IF($C1063="","Commercial",$C1063))),Variables!$B$1:$D$1,0),1))*AK1063/365)+(L1063/16.67*INDEX(Variables!$B$8:$D$8,IFERROR(MATCH(IF($B1063="Robusta","Robusta",(IF($B1063="","Arabica",$B1063))&amp;" - "&amp;(IF($C1063="","Commercial",$C1063))),Variables!$B$1:$D$1,0),1))*AK1063)+(W1063*INDEX(Variables!$B$9:$D$9,IFERROR(MATCH(IF($B1063="Robusta","Robusta",(IF($B1063="","Arabica",$B1063))&amp;" - "&amp;(IF($C1063="","Commercial",$C1063))),Variables!$B$1:$D$1,0),1))*AK1063/365),""))</f>
        <v>32.446602668988646</v>
      </c>
      <c r="BI1063" s="44">
        <f>IF($AX1063="Cancelled","",IFERROR((W1063*INDEX(Variables!$B$7:$D$7,IFERROR(MATCH(IF($B1063="Robusta","Robusta",(IF($B1063="","Arabica",$B1063))&amp;" - "&amp;(IF($C1063="","Commercial",$C1063))),Variables!$B$1:$D$1,0),1))*BD1063/365)+(L1063/16.67*INDEX(Variables!$B$8:$D$8,IFERROR(MATCH(IF($B1063="Robusta","Robusta",(IF($B1063="","Arabica",$B1063))&amp;" - "&amp;(IF($C1063="","Commercial",$C1063))),Variables!$B$1:$D$1,0),1))*BD1063)+(W1063*INDEX(Variables!$B$9:$D$9,IFERROR(MATCH(IF($B1063="Robusta","Robusta",(IF($B1063="","Arabica",$B1063))&amp;" - "&amp;(IF($C1063="","Commercial",$C1063))),Variables!$B$1:$D$1,0),1))*BD1063/365),""))</f>
        <v>6.952843429068996</v>
      </c>
      <c r="BJ1063" s="44">
        <f t="shared" si="51"/>
        <v>-24</v>
      </c>
      <c r="BK1063" s="44">
        <f>IF($AX1063="Cancelled","",IFERROR(IF(BJ1063="","",(W1063*INDEX(Variables!$B$7:$D$7,IFERROR(MATCH(IF($B1063="Robusta","Robusta",(IF($B1063="","Arabica",$B1063))&amp;" - "&amp;(IF($C1063="","Commercial",$C1063))),Variables!$B$1:$D$1,0),1))*(BJ1063/365))+(W1063*INDEX(Variables!$B$9:$D$9,IFERROR(MATCH(IF($B1063="Robusta","Robusta",(IF($B1063="","Arabica",$B1063))&amp;" - "&amp;(IF($C1063="","Commercial",$C1063))),Variables!$B$1:$D$1,0),1))*(BJ1063/365))+(INDEX(Variables!$B$8:$D$8,IFERROR(MATCH(IF($B1063="Robusta","Robusta",(IF($B1063="","Arabica",$B1063))&amp;" - "&amp;(IF($C1063="","Commercial",$C1063))),Variables!$B$1:$D$1,0),1))*L1063/16.67)),""))</f>
        <v>-34.372747432551961</v>
      </c>
    </row>
    <row r="1064" spans="1:63">
      <c r="A1064" s="13" t="s">
        <v>103</v>
      </c>
      <c r="B1064" s="13" t="s">
        <v>104</v>
      </c>
      <c r="C1064" s="13" t="s">
        <v>292</v>
      </c>
      <c r="D1064" s="31">
        <v>46108</v>
      </c>
      <c r="E1064" s="31">
        <v>46113</v>
      </c>
      <c r="F1064" s="31">
        <v>46142</v>
      </c>
      <c r="G1064" s="13">
        <v>3787487</v>
      </c>
      <c r="J1064" s="13" t="s">
        <v>1641</v>
      </c>
      <c r="K1064" s="13" t="s">
        <v>2664</v>
      </c>
      <c r="L1064" s="13">
        <v>20</v>
      </c>
      <c r="M1064" s="13">
        <v>0</v>
      </c>
      <c r="N1064" s="13" t="s">
        <v>2665</v>
      </c>
      <c r="O1064" s="13" t="s">
        <v>297</v>
      </c>
      <c r="P1064" s="13">
        <v>10020</v>
      </c>
      <c r="R1064" s="13" t="s">
        <v>239</v>
      </c>
      <c r="S1064" s="13" t="s">
        <v>776</v>
      </c>
      <c r="T1064" s="13" t="s">
        <v>777</v>
      </c>
      <c r="U1064" s="13" t="s">
        <v>125</v>
      </c>
      <c r="V1064" s="23">
        <v>74</v>
      </c>
      <c r="W1064" s="44">
        <f>IF($AX1064="Cancelled","",IFERROR(((V1064+INDEX(Variables!$B$6:$D$6,IFERROR(MATCH(IF($B1064="Robusta","Robusta",(IF($B1064="","Arabica",$B1064))&amp;" - "&amp;(IF($C1064="","Commercial",$C1064))),Variables!$B$1:$D$1,0),1)))*22.0462)*(L1064/16.67),""))</f>
        <v>9649.0147090581868</v>
      </c>
      <c r="Y1064" s="13" t="str">
        <f>IF($AX1064="Cancelled","",IF(X1064="","",IFERROR(IF(INDEX(Variables!$B$38:$B$47,MATCH(X1064,Variables!$A$38:$A$47,0))="Yes","Yes","No"),"No")))</f>
        <v/>
      </c>
      <c r="Z1064" s="31"/>
      <c r="AC1064" s="13" t="str">
        <f t="shared" si="50"/>
        <v/>
      </c>
      <c r="AF1064" s="71">
        <v>46153</v>
      </c>
      <c r="AG1064" s="36">
        <f>IF($AX1064="Cancelled","",IFERROR(IF(F1064="","",F1064-Variables!$B$13),""))</f>
        <v>46127</v>
      </c>
      <c r="AH1064" s="13" t="str">
        <f>IF($AX1064="Cancelled","",IFERROR(IF(AB1064="","",(AVERAGE(E1064:F1064)-AB1064)-Variables!$B$14),""))</f>
        <v/>
      </c>
      <c r="AJ1064" s="47">
        <v>46154</v>
      </c>
      <c r="AK1064" s="14">
        <f>IF($AX1064="Cancelled","",IFERROR(IF(AJ1064="","",IF(AND(AB1064="",AF1064=""),"",IF(AF1064&gt;AB1064,AF1064+Variables!$B$15+Variables!$B$16+Variables!$B$17-AJ1064,AB1064+Variables!$B$16+Variables!$B$17-AJ1064))),""))</f>
        <v>14</v>
      </c>
      <c r="AL1064" s="48" t="s">
        <v>114</v>
      </c>
      <c r="AM1064" s="13" t="s">
        <v>1526</v>
      </c>
      <c r="AN1064" s="13" t="s">
        <v>2583</v>
      </c>
      <c r="AP1064" s="39" t="e">
        <v>#N/A</v>
      </c>
      <c r="AR1064" s="13" t="s">
        <v>2658</v>
      </c>
      <c r="AS1064" s="31">
        <v>46166</v>
      </c>
      <c r="AU1064" s="31">
        <v>46191</v>
      </c>
      <c r="AV1064" s="13" t="s">
        <v>2659</v>
      </c>
      <c r="AW1064" s="31">
        <v>46191</v>
      </c>
      <c r="AX1064" s="13" t="str">
        <f>IF(ISNUMBER(SEARCH("cancel",#REF!)),"Cancelled",IF(AND(AS1064&lt;&gt;"",AU1064&lt;&gt;"",AW1064&lt;&gt;""),"Closed","Open"))</f>
        <v>Closed</v>
      </c>
      <c r="AY1064" s="24" t="str">
        <f t="shared" si="49"/>
        <v>All dates received</v>
      </c>
      <c r="BD1064" s="13">
        <f>IF($AX1064="Cancelled","",IFERROR(IF(OR(AS1064="",AJ1064=""),"",(AJ1064+Variables!$B$18-AS1064)),""))</f>
        <v>3</v>
      </c>
      <c r="BE1064" s="13">
        <f>IF($AX1064="Cancelled","",IFERROR(IF(OR(AW1064="",AS1064=""),"",(AS1064+Variables!$B$19)-AW1064),""))</f>
        <v>-20</v>
      </c>
      <c r="BF1064" s="44">
        <f>IF($AX1064="Cancelled","",IFERROR(W1064*INDEX(Variables!$B$7:$D$7,IFERROR(MATCH(IF($B1064="Robusta","Robusta",(IF($B1064="","Arabica",$B1064))&amp;" - "&amp;(IF($C1064="","Commercial",$C1064))),Variables!$B$1:$D$1,0),1))*(BE1064/365),""))</f>
        <v>-34.09258609711955</v>
      </c>
      <c r="BG1064" s="44" t="str">
        <f>IF($AX1064="Cancelled","",IFERROR((W1064*INDEX(Variables!$B$7:$D$7,IFERROR(MATCH(IF($B1064="Robusta","Robusta",(IF($B1064="","Arabica",$B1064))&amp;" - "&amp;(IF($C1064="","Commercial",$C1064))),Variables!$B$1:$D$1,0),1))*IFERROR(IF(AB1064="","",(AVERAGE(E1064:F1064)-AB1064)-Variables!$B$14),"")/365)+(L1064/16.67*INDEX(Variables!$B$8:$D$8,IFERROR(MATCH(IF($B1064="Robusta","Robusta",(IF($B1064="","Arabica",$B1064))&amp;" - "&amp;(IF($C1064="","Commercial",$C1064))),Variables!$B$1:$D$1,0),1))*IFERROR(IF(AB1064="","",(AVERAGE(E1064:F1064)-AB1064)-Variables!$B$14),""))+(W1064*INDEX(Variables!$B$9:$D$9,IFERROR(MATCH(IF($B1064="Robusta","Robusta",(IF($B1064="","Arabica",$B1064))&amp;" - "&amp;(IF($C1064="","Commercial",$C1064))),Variables!$B$1:$D$1,0),1))*IFERROR(IF(AB1064="","",(AVERAGE(E1064:F1064)-AB1064)-Variables!$B$14),"")/365),""))</f>
        <v/>
      </c>
      <c r="BH1064" s="44">
        <f>IF($AX1064="Cancelled","",IFERROR((W1064*INDEX(Variables!$B$7:$D$7,IFERROR(MATCH(IF($B1064="Robusta","Robusta",(IF($B1064="","Arabica",$B1064))&amp;" - "&amp;(IF($C1064="","Commercial",$C1064))),Variables!$B$1:$D$1,0),1))*AK1064/365)+(L1064/16.67*INDEX(Variables!$B$8:$D$8,IFERROR(MATCH(IF($B1064="Robusta","Robusta",(IF($B1064="","Arabica",$B1064))&amp;" - "&amp;(IF($C1064="","Commercial",$C1064))),Variables!$B$1:$D$1,0),1))*AK1064)+(W1064*INDEX(Variables!$B$9:$D$9,IFERROR(MATCH(IF($B1064="Robusta","Robusta",(IF($B1064="","Arabica",$B1064))&amp;" - "&amp;(IF($C1064="","Commercial",$C1064))),Variables!$B$1:$D$1,0),1))*AK1064/365),""))</f>
        <v>38.172473728221938</v>
      </c>
      <c r="BI1064" s="44">
        <f>IF($AX1064="Cancelled","",IFERROR((W1064*INDEX(Variables!$B$7:$D$7,IFERROR(MATCH(IF($B1064="Robusta","Robusta",(IF($B1064="","Arabica",$B1064))&amp;" - "&amp;(IF($C1064="","Commercial",$C1064))),Variables!$B$1:$D$1,0),1))*BD1064/365)+(L1064/16.67*INDEX(Variables!$B$8:$D$8,IFERROR(MATCH(IF($B1064="Robusta","Robusta",(IF($B1064="","Arabica",$B1064))&amp;" - "&amp;(IF($C1064="","Commercial",$C1064))),Variables!$B$1:$D$1,0),1))*BD1064)+(W1064*INDEX(Variables!$B$9:$D$9,IFERROR(MATCH(IF($B1064="Robusta","Robusta",(IF($B1064="","Arabica",$B1064))&amp;" - "&amp;(IF($C1064="","Commercial",$C1064))),Variables!$B$1:$D$1,0),1))*BD1064/365),""))</f>
        <v>8.1798157989047002</v>
      </c>
      <c r="BJ1064" s="44">
        <f t="shared" si="51"/>
        <v>-24</v>
      </c>
      <c r="BK1064" s="44">
        <f>IF($AX1064="Cancelled","",IFERROR(IF(BJ1064="","",(W1064*INDEX(Variables!$B$7:$D$7,IFERROR(MATCH(IF($B1064="Robusta","Robusta",(IF($B1064="","Arabica",$B1064))&amp;" - "&amp;(IF($C1064="","Commercial",$C1064))),Variables!$B$1:$D$1,0),1))*(BJ1064/365))+(W1064*INDEX(Variables!$B$9:$D$9,IFERROR(MATCH(IF($B1064="Robusta","Robusta",(IF($B1064="","Arabica",$B1064))&amp;" - "&amp;(IF($C1064="","Commercial",$C1064))),Variables!$B$1:$D$1,0),1))*(BJ1064/365))+(INDEX(Variables!$B$8:$D$8,IFERROR(MATCH(IF($B1064="Robusta","Robusta",(IF($B1064="","Arabica",$B1064))&amp;" - "&amp;(IF($C1064="","Commercial",$C1064))),Variables!$B$1:$D$1,0),1))*L1064/16.67)),""))</f>
        <v>-40.438526391237602</v>
      </c>
    </row>
    <row r="1065" spans="1:63">
      <c r="A1065" s="13" t="s">
        <v>103</v>
      </c>
      <c r="B1065" s="13" t="s">
        <v>104</v>
      </c>
      <c r="C1065" s="13" t="s">
        <v>292</v>
      </c>
      <c r="D1065" s="31">
        <v>46108</v>
      </c>
      <c r="E1065" s="31">
        <v>46113</v>
      </c>
      <c r="F1065" s="31">
        <v>46142</v>
      </c>
      <c r="G1065" s="13">
        <v>3787488</v>
      </c>
      <c r="J1065" s="13" t="s">
        <v>1641</v>
      </c>
      <c r="K1065" s="13" t="s">
        <v>2666</v>
      </c>
      <c r="L1065" s="13">
        <v>36</v>
      </c>
      <c r="M1065" s="13">
        <v>0</v>
      </c>
      <c r="N1065" s="13" t="s">
        <v>2667</v>
      </c>
      <c r="O1065" s="13" t="s">
        <v>297</v>
      </c>
      <c r="P1065" s="13">
        <v>10020</v>
      </c>
      <c r="R1065" s="13" t="s">
        <v>239</v>
      </c>
      <c r="S1065" s="13" t="s">
        <v>776</v>
      </c>
      <c r="T1065" s="13" t="s">
        <v>777</v>
      </c>
      <c r="U1065" s="13" t="s">
        <v>125</v>
      </c>
      <c r="V1065" s="23">
        <v>114</v>
      </c>
      <c r="W1065" s="44">
        <f>IF($AX1065="Cancelled","",IFERROR(((V1065+INDEX(Variables!$B$6:$D$6,IFERROR(MATCH(IF($B1065="Robusta","Robusta",(IF($B1065="","Arabica",$B1065))&amp;" - "&amp;(IF($C1065="","Commercial",$C1065))),Variables!$B$1:$D$1,0),1)))*22.0462)*(L1065/16.67),""))</f>
        <v>19272.637274145171</v>
      </c>
      <c r="Y1065" s="13" t="str">
        <f>IF($AX1065="Cancelled","",IF(X1065="","",IFERROR(IF(INDEX(Variables!$B$38:$B$47,MATCH(X1065,Variables!$A$38:$A$47,0))="Yes","Yes","No"),"No")))</f>
        <v/>
      </c>
      <c r="Z1065" s="31"/>
      <c r="AC1065" s="13" t="str">
        <f t="shared" si="50"/>
        <v/>
      </c>
      <c r="AF1065" s="71">
        <v>46153</v>
      </c>
      <c r="AG1065" s="36">
        <f>IF($AX1065="Cancelled","",IFERROR(IF(F1065="","",F1065-Variables!$B$13),""))</f>
        <v>46127</v>
      </c>
      <c r="AH1065" s="13" t="str">
        <f>IF($AX1065="Cancelled","",IFERROR(IF(AB1065="","",(AVERAGE(E1065:F1065)-AB1065)-Variables!$B$14),""))</f>
        <v/>
      </c>
      <c r="AJ1065" s="47">
        <v>46154</v>
      </c>
      <c r="AK1065" s="14">
        <f>IF($AX1065="Cancelled","",IFERROR(IF(AJ1065="","",IF(AND(AB1065="",AF1065=""),"",IF(AF1065&gt;AB1065,AF1065+Variables!$B$15+Variables!$B$16+Variables!$B$17-AJ1065,AB1065+Variables!$B$16+Variables!$B$17-AJ1065))),""))</f>
        <v>14</v>
      </c>
      <c r="AL1065" s="48" t="s">
        <v>114</v>
      </c>
      <c r="AM1065" s="13" t="s">
        <v>1526</v>
      </c>
      <c r="AN1065" s="13" t="s">
        <v>2583</v>
      </c>
      <c r="AP1065" s="39" t="e">
        <v>#N/A</v>
      </c>
      <c r="AR1065" s="13" t="s">
        <v>2658</v>
      </c>
      <c r="AS1065" s="31">
        <v>46166</v>
      </c>
      <c r="AU1065" s="31">
        <v>46191</v>
      </c>
      <c r="AV1065" s="13" t="s">
        <v>2659</v>
      </c>
      <c r="AW1065" s="31">
        <v>46191</v>
      </c>
      <c r="AX1065" s="13" t="str">
        <f>IF(ISNUMBER(SEARCH("cancel",#REF!)),"Cancelled",IF(AND(AS1065&lt;&gt;"",AU1065&lt;&gt;"",AW1065&lt;&gt;""),"Closed","Open"))</f>
        <v>Closed</v>
      </c>
      <c r="AY1065" s="24" t="str">
        <f t="shared" si="49"/>
        <v>All dates received</v>
      </c>
      <c r="BD1065" s="13">
        <f>IF($AX1065="Cancelled","",IFERROR(IF(OR(AS1065="",AJ1065=""),"",(AJ1065+Variables!$B$18-AS1065)),""))</f>
        <v>3</v>
      </c>
      <c r="BE1065" s="13">
        <f>IF($AX1065="Cancelled","",IFERROR(IF(OR(AW1065="",AS1065=""),"",(AS1065+Variables!$B$19)-AW1065),""))</f>
        <v>-20</v>
      </c>
      <c r="BF1065" s="44">
        <f>IF($AX1065="Cancelled","",IFERROR(W1065*INDEX(Variables!$B$7:$D$7,IFERROR(MATCH(IF($B1065="Robusta","Robusta",(IF($B1065="","Arabica",$B1065))&amp;" - "&amp;(IF($C1065="","Commercial",$C1065))),Variables!$B$1:$D$1,0),1))*(BE1065/365),""))</f>
        <v>-68.09545486240458</v>
      </c>
      <c r="BG1065" s="44" t="str">
        <f>IF($AX1065="Cancelled","",IFERROR((W1065*INDEX(Variables!$B$7:$D$7,IFERROR(MATCH(IF($B1065="Robusta","Robusta",(IF($B1065="","Arabica",$B1065))&amp;" - "&amp;(IF($C1065="","Commercial",$C1065))),Variables!$B$1:$D$1,0),1))*IFERROR(IF(AB1065="","",(AVERAGE(E1065:F1065)-AB1065)-Variables!$B$14),"")/365)+(L1065/16.67*INDEX(Variables!$B$8:$D$8,IFERROR(MATCH(IF($B1065="Robusta","Robusta",(IF($B1065="","Arabica",$B1065))&amp;" - "&amp;(IF($C1065="","Commercial",$C1065))),Variables!$B$1:$D$1,0),1))*IFERROR(IF(AB1065="","",(AVERAGE(E1065:F1065)-AB1065)-Variables!$B$14),""))+(W1065*INDEX(Variables!$B$9:$D$9,IFERROR(MATCH(IF($B1065="Robusta","Robusta",(IF($B1065="","Arabica",$B1065))&amp;" - "&amp;(IF($C1065="","Commercial",$C1065))),Variables!$B$1:$D$1,0),1))*IFERROR(IF(AB1065="","",(AVERAGE(E1065:F1065)-AB1065)-Variables!$B$14),"")/365),""))</f>
        <v/>
      </c>
      <c r="BH1065" s="44">
        <f>IF($AX1065="Cancelled","",IFERROR((W1065*INDEX(Variables!$B$7:$D$7,IFERROR(MATCH(IF($B1065="Robusta","Robusta",(IF($B1065="","Arabica",$B1065))&amp;" - "&amp;(IF($C1065="","Commercial",$C1065))),Variables!$B$1:$D$1,0),1))*AK1065/365)+(L1065/16.67*INDEX(Variables!$B$8:$D$8,IFERROR(MATCH(IF($B1065="Robusta","Robusta",(IF($B1065="","Arabica",$B1065))&amp;" - "&amp;(IF($C1065="","Commercial",$C1065))),Variables!$B$1:$D$1,0),1))*AK1065)+(W1065*INDEX(Variables!$B$9:$D$9,IFERROR(MATCH(IF($B1065="Robusta","Robusta",(IF($B1065="","Arabica",$B1065))&amp;" - "&amp;(IF($C1065="","Commercial",$C1065))),Variables!$B$1:$D$1,0),1))*AK1065/365),""))</f>
        <v>73.481335683474882</v>
      </c>
      <c r="BI1065" s="44">
        <f>IF($AX1065="Cancelled","",IFERROR((W1065*INDEX(Variables!$B$7:$D$7,IFERROR(MATCH(IF($B1065="Robusta","Robusta",(IF($B1065="","Arabica",$B1065))&amp;" - "&amp;(IF($C1065="","Commercial",$C1065))),Variables!$B$1:$D$1,0),1))*BD1065/365)+(L1065/16.67*INDEX(Variables!$B$8:$D$8,IFERROR(MATCH(IF($B1065="Robusta","Robusta",(IF($B1065="","Arabica",$B1065))&amp;" - "&amp;(IF($C1065="","Commercial",$C1065))),Variables!$B$1:$D$1,0),1))*BD1065)+(W1065*INDEX(Variables!$B$9:$D$9,IFERROR(MATCH(IF($B1065="Robusta","Robusta",(IF($B1065="","Arabica",$B1065))&amp;" - "&amp;(IF($C1065="","Commercial",$C1065))),Variables!$B$1:$D$1,0),1))*BD1065/365),""))</f>
        <v>15.74600050360176</v>
      </c>
      <c r="BJ1065" s="44">
        <f t="shared" si="51"/>
        <v>-24</v>
      </c>
      <c r="BK1065" s="44">
        <f>IF($AX1065="Cancelled","",IFERROR(IF(BJ1065="","",(W1065*INDEX(Variables!$B$7:$D$7,IFERROR(MATCH(IF($B1065="Robusta","Robusta",(IF($B1065="","Arabica",$B1065))&amp;" - "&amp;(IF($C1065="","Commercial",$C1065))),Variables!$B$1:$D$1,0),1))*(BJ1065/365))+(W1065*INDEX(Variables!$B$9:$D$9,IFERROR(MATCH(IF($B1065="Robusta","Robusta",(IF($B1065="","Arabica",$B1065))&amp;" - "&amp;(IF($C1065="","Commercial",$C1065))),Variables!$B$1:$D$1,0),1))*(BJ1065/365))+(INDEX(Variables!$B$8:$D$8,IFERROR(MATCH(IF($B1065="Robusta","Robusta",(IF($B1065="","Arabica",$B1065))&amp;" - "&amp;(IF($C1065="","Commercial",$C1065))),Variables!$B$1:$D$1,0),1))*L1065/16.67)),""))</f>
        <v>-80.968004028814065</v>
      </c>
    </row>
    <row r="1066" spans="1:63">
      <c r="A1066" s="13" t="s">
        <v>103</v>
      </c>
      <c r="B1066" s="13" t="s">
        <v>104</v>
      </c>
      <c r="C1066" s="13" t="s">
        <v>292</v>
      </c>
      <c r="D1066" s="31">
        <v>46111</v>
      </c>
      <c r="E1066" s="31">
        <v>46113</v>
      </c>
      <c r="F1066" s="31">
        <v>46142</v>
      </c>
      <c r="G1066" s="13">
        <v>3787489</v>
      </c>
      <c r="J1066" s="13" t="s">
        <v>909</v>
      </c>
      <c r="K1066" s="13" t="s">
        <v>2668</v>
      </c>
      <c r="L1066" s="13">
        <v>21</v>
      </c>
      <c r="M1066" s="13">
        <v>0</v>
      </c>
      <c r="N1066" s="13" t="s">
        <v>2669</v>
      </c>
      <c r="O1066" s="13" t="s">
        <v>297</v>
      </c>
      <c r="P1066" s="13">
        <v>10020</v>
      </c>
      <c r="R1066" s="13" t="s">
        <v>239</v>
      </c>
      <c r="S1066" s="13" t="s">
        <v>442</v>
      </c>
      <c r="T1066" s="13" t="s">
        <v>112</v>
      </c>
      <c r="U1066" s="13" t="s">
        <v>113</v>
      </c>
      <c r="V1066" s="23">
        <v>180</v>
      </c>
      <c r="W1066" s="44">
        <f>IF($AX1066="Cancelled","",IFERROR(((V1066+INDEX(Variables!$B$6:$D$6,IFERROR(MATCH(IF($B1066="Robusta","Robusta",(IF($B1066="","Arabica",$B1066))&amp;" - "&amp;(IF($C1066="","Commercial",$C1066))),Variables!$B$1:$D$1,0),1)))*22.0462)*(L1066/16.67),""))</f>
        <v>13075.367136172763</v>
      </c>
      <c r="Y1066" s="13" t="str">
        <f>IF($AX1066="Cancelled","",IF(X1066="","",IFERROR(IF(INDEX(Variables!$B$38:$B$47,MATCH(X1066,Variables!$A$38:$A$47,0))="Yes","Yes","No"),"No")))</f>
        <v/>
      </c>
      <c r="Z1066" s="31"/>
      <c r="AC1066" s="13" t="str">
        <f t="shared" si="50"/>
        <v/>
      </c>
      <c r="AF1066" s="71">
        <v>46148</v>
      </c>
      <c r="AG1066" s="36">
        <f>IF($AX1066="Cancelled","",IFERROR(IF(F1066="","",F1066-Variables!$B$13),""))</f>
        <v>46127</v>
      </c>
      <c r="AH1066" s="13" t="str">
        <f>IF($AX1066="Cancelled","",IFERROR(IF(AB1066="","",(AVERAGE(E1066:F1066)-AB1066)-Variables!$B$14),""))</f>
        <v/>
      </c>
      <c r="AJ1066" s="47">
        <v>46162</v>
      </c>
      <c r="AK1066" s="14">
        <f>IF($AX1066="Cancelled","",IFERROR(IF(AJ1066="","",IF(AND(AB1066="",AF1066=""),"",IF(AF1066&gt;AB1066,AF1066+Variables!$B$15+Variables!$B$16+Variables!$B$17-AJ1066,AB1066+Variables!$B$16+Variables!$B$17-AJ1066))),""))</f>
        <v>1</v>
      </c>
      <c r="AL1066" s="48" t="s">
        <v>114</v>
      </c>
      <c r="AM1066" s="13" t="s">
        <v>134</v>
      </c>
      <c r="AN1066" s="13" t="s">
        <v>2468</v>
      </c>
      <c r="AP1066" s="39" t="e">
        <v>#N/A</v>
      </c>
      <c r="AR1066" s="13" t="s">
        <v>2469</v>
      </c>
      <c r="AS1066" s="31">
        <v>46166</v>
      </c>
      <c r="AU1066" s="31">
        <v>46197</v>
      </c>
      <c r="AV1066" s="13" t="s">
        <v>865</v>
      </c>
      <c r="AW1066" s="31">
        <v>46197</v>
      </c>
      <c r="AX1066" s="13" t="str">
        <f>IF(ISNUMBER(SEARCH("cancel",#REF!)),"Cancelled",IF(AND(AS1066&lt;&gt;"",AU1066&lt;&gt;"",AW1066&lt;&gt;""),"Closed","Open"))</f>
        <v>Closed</v>
      </c>
      <c r="AY1066" s="24" t="str">
        <f t="shared" si="49"/>
        <v>All dates received</v>
      </c>
      <c r="BD1066" s="13">
        <f>IF($AX1066="Cancelled","",IFERROR(IF(OR(AS1066="",AJ1066=""),"",(AJ1066+Variables!$B$18-AS1066)),""))</f>
        <v>11</v>
      </c>
      <c r="BE1066" s="13">
        <f>IF($AX1066="Cancelled","",IFERROR(IF(OR(AW1066="",AS1066=""),"",(AS1066+Variables!$B$19)-AW1066),""))</f>
        <v>-26</v>
      </c>
      <c r="BF1066" s="44">
        <f>IF($AX1066="Cancelled","",IFERROR(W1066*INDEX(Variables!$B$7:$D$7,IFERROR(MATCH(IF($B1066="Robusta","Robusta",(IF($B1066="","Arabica",$B1066))&amp;" - "&amp;(IF($C1066="","Commercial",$C1066))),Variables!$B$1:$D$1,0),1))*(BE1066/365),""))</f>
        <v>-60.058464130003024</v>
      </c>
      <c r="BG1066" s="44" t="str">
        <f>IF($AX1066="Cancelled","",IFERROR((W1066*INDEX(Variables!$B$7:$D$7,IFERROR(MATCH(IF($B1066="Robusta","Robusta",(IF($B1066="","Arabica",$B1066))&amp;" - "&amp;(IF($C1066="","Commercial",$C1066))),Variables!$B$1:$D$1,0),1))*IFERROR(IF(AB1066="","",(AVERAGE(E1066:F1066)-AB1066)-Variables!$B$14),"")/365)+(L1066/16.67*INDEX(Variables!$B$8:$D$8,IFERROR(MATCH(IF($B1066="Robusta","Robusta",(IF($B1066="","Arabica",$B1066))&amp;" - "&amp;(IF($C1066="","Commercial",$C1066))),Variables!$B$1:$D$1,0),1))*IFERROR(IF(AB1066="","",(AVERAGE(E1066:F1066)-AB1066)-Variables!$B$14),""))+(W1066*INDEX(Variables!$B$9:$D$9,IFERROR(MATCH(IF($B1066="Robusta","Robusta",(IF($B1066="","Arabica",$B1066))&amp;" - "&amp;(IF($C1066="","Commercial",$C1066))),Variables!$B$1:$D$1,0),1))*IFERROR(IF(AB1066="","",(AVERAGE(E1066:F1066)-AB1066)-Variables!$B$14),"")/365),""))</f>
        <v/>
      </c>
      <c r="BH1066" s="44">
        <f>IF($AX1066="Cancelled","",IFERROR((W1066*INDEX(Variables!$B$7:$D$7,IFERROR(MATCH(IF($B1066="Robusta","Robusta",(IF($B1066="","Arabica",$B1066))&amp;" - "&amp;(IF($C1066="","Commercial",$C1066))),Variables!$B$1:$D$1,0),1))*AK1066/365)+(L1066/16.67*INDEX(Variables!$B$8:$D$8,IFERROR(MATCH(IF($B1066="Robusta","Robusta",(IF($B1066="","Arabica",$B1066))&amp;" - "&amp;(IF($C1066="","Commercial",$C1066))),Variables!$B$1:$D$1,0),1))*AK1066)+(W1066*INDEX(Variables!$B$9:$D$9,IFERROR(MATCH(IF($B1066="Robusta","Robusta",(IF($B1066="","Arabica",$B1066))&amp;" - "&amp;(IF($C1066="","Commercial",$C1066))),Variables!$B$1:$D$1,0),1))*AK1066/365),""))</f>
        <v>3.3897205245162185</v>
      </c>
      <c r="BI1066" s="44">
        <f>IF($AX1066="Cancelled","",IFERROR((W1066*INDEX(Variables!$B$7:$D$7,IFERROR(MATCH(IF($B1066="Robusta","Robusta",(IF($B1066="","Arabica",$B1066))&amp;" - "&amp;(IF($C1066="","Commercial",$C1066))),Variables!$B$1:$D$1,0),1))*BD1066/365)+(L1066/16.67*INDEX(Variables!$B$8:$D$8,IFERROR(MATCH(IF($B1066="Robusta","Robusta",(IF($B1066="","Arabica",$B1066))&amp;" - "&amp;(IF($C1066="","Commercial",$C1066))),Variables!$B$1:$D$1,0),1))*BD1066)+(W1066*INDEX(Variables!$B$9:$D$9,IFERROR(MATCH(IF($B1066="Robusta","Robusta",(IF($B1066="","Arabica",$B1066))&amp;" - "&amp;(IF($C1066="","Commercial",$C1066))),Variables!$B$1:$D$1,0),1))*BD1066/365),""))</f>
        <v>37.286925769678405</v>
      </c>
      <c r="BJ1066" s="44">
        <f t="shared" si="51"/>
        <v>-24</v>
      </c>
      <c r="BK1066" s="44">
        <f>IF($AX1066="Cancelled","",IFERROR(IF(BJ1066="","",(W1066*INDEX(Variables!$B$7:$D$7,IFERROR(MATCH(IF($B1066="Robusta","Robusta",(IF($B1066="","Arabica",$B1066))&amp;" - "&amp;(IF($C1066="","Commercial",$C1066))),Variables!$B$1:$D$1,0),1))*(BJ1066/365))+(W1066*INDEX(Variables!$B$9:$D$9,IFERROR(MATCH(IF($B1066="Robusta","Robusta",(IF($B1066="","Arabica",$B1066))&amp;" - "&amp;(IF($C1066="","Commercial",$C1066))),Variables!$B$1:$D$1,0),1))*(BJ1066/365))+(INDEX(Variables!$B$8:$D$8,IFERROR(MATCH(IF($B1066="Robusta","Robusta",(IF($B1066="","Arabica",$B1066))&amp;" - "&amp;(IF($C1066="","Commercial",$C1066))),Variables!$B$1:$D$1,0),1))*L1066/16.67)),""))</f>
        <v>-55.103292588389237</v>
      </c>
    </row>
    <row r="1067" spans="1:63">
      <c r="A1067" s="13" t="s">
        <v>103</v>
      </c>
      <c r="B1067" s="13" t="s">
        <v>104</v>
      </c>
      <c r="C1067" s="13" t="s">
        <v>292</v>
      </c>
      <c r="D1067" s="31">
        <v>46111</v>
      </c>
      <c r="E1067" s="31">
        <v>46113</v>
      </c>
      <c r="F1067" s="31">
        <v>46142</v>
      </c>
      <c r="G1067" s="13">
        <v>3787490</v>
      </c>
      <c r="J1067" s="13" t="s">
        <v>501</v>
      </c>
      <c r="K1067" s="13" t="s">
        <v>2670</v>
      </c>
      <c r="L1067" s="13">
        <v>83</v>
      </c>
      <c r="M1067" s="13">
        <v>0</v>
      </c>
      <c r="N1067" s="13" t="s">
        <v>2671</v>
      </c>
      <c r="O1067" s="13" t="s">
        <v>771</v>
      </c>
      <c r="P1067" s="13">
        <v>10010</v>
      </c>
      <c r="R1067" s="13" t="s">
        <v>239</v>
      </c>
      <c r="S1067" s="13" t="s">
        <v>437</v>
      </c>
      <c r="T1067" s="13" t="s">
        <v>438</v>
      </c>
      <c r="U1067" s="13" t="s">
        <v>182</v>
      </c>
      <c r="V1067" s="23">
        <v>183</v>
      </c>
      <c r="W1067" s="44">
        <f>IF($AX1067="Cancelled","",IFERROR(((V1067+INDEX(Variables!$B$6:$D$6,IFERROR(MATCH(IF($B1067="Robusta","Robusta",(IF($B1067="","Arabica",$B1067))&amp;" - "&amp;(IF($C1067="","Commercial",$C1067))),Variables!$B$1:$D$1,0),1)))*22.0462)*(L1067/16.67),""))</f>
        <v>52008.136381523691</v>
      </c>
      <c r="Y1067" s="13" t="str">
        <f>IF($AX1067="Cancelled","",IF(X1067="","",IFERROR(IF(INDEX(Variables!$B$38:$B$47,MATCH(X1067,Variables!$A$38:$A$47,0))="Yes","Yes","No"),"No")))</f>
        <v/>
      </c>
      <c r="Z1067" s="31"/>
      <c r="AC1067" s="13" t="str">
        <f t="shared" si="50"/>
        <v/>
      </c>
      <c r="AF1067" s="71">
        <v>46155</v>
      </c>
      <c r="AG1067" s="36">
        <f>IF($AX1067="Cancelled","",IFERROR(IF(F1067="","",F1067-Variables!$B$13),""))</f>
        <v>46127</v>
      </c>
      <c r="AH1067" s="13" t="str">
        <f>IF($AX1067="Cancelled","",IFERROR(IF(AB1067="","",(AVERAGE(E1067:F1067)-AB1067)-Variables!$B$14),""))</f>
        <v/>
      </c>
      <c r="AJ1067" s="47">
        <v>46168</v>
      </c>
      <c r="AK1067" s="14">
        <f>IF($AX1067="Cancelled","",IFERROR(IF(AJ1067="","",IF(AND(AB1067="",AF1067=""),"",IF(AF1067&gt;AB1067,AF1067+Variables!$B$15+Variables!$B$16+Variables!$B$17-AJ1067,AB1067+Variables!$B$16+Variables!$B$17-AJ1067))),""))</f>
        <v>2</v>
      </c>
      <c r="AL1067" s="48" t="s">
        <v>114</v>
      </c>
      <c r="AM1067" s="13" t="s">
        <v>1781</v>
      </c>
      <c r="AN1067" s="13" t="s">
        <v>2177</v>
      </c>
      <c r="AP1067" s="39" t="e">
        <v>#N/A</v>
      </c>
      <c r="AR1067" s="13" t="s">
        <v>2178</v>
      </c>
      <c r="AS1067" s="31">
        <v>46179</v>
      </c>
      <c r="AU1067" s="31">
        <v>46211</v>
      </c>
      <c r="AV1067" s="13" t="e">
        <v>#N/A</v>
      </c>
      <c r="AW1067" s="31">
        <v>46211</v>
      </c>
      <c r="AX1067" s="13" t="str">
        <f>IF(ISNUMBER(SEARCH("cancel",#REF!)),"Cancelled",IF(AND(AS1067&lt;&gt;"",AU1067&lt;&gt;"",AW1067&lt;&gt;""),"Closed","Open"))</f>
        <v>Closed</v>
      </c>
      <c r="AY1067" s="24" t="str">
        <f t="shared" si="49"/>
        <v>All dates received</v>
      </c>
      <c r="BD1067" s="13">
        <f>IF($AX1067="Cancelled","",IFERROR(IF(OR(AS1067="",AJ1067=""),"",(AJ1067+Variables!$B$18-AS1067)),""))</f>
        <v>4</v>
      </c>
      <c r="BE1067" s="13">
        <f>IF($AX1067="Cancelled","",IFERROR(IF(OR(AW1067="",AS1067=""),"",(AS1067+Variables!$B$19)-AW1067),""))</f>
        <v>-27</v>
      </c>
      <c r="BF1067" s="44">
        <f>IF($AX1067="Cancelled","",IFERROR(W1067*INDEX(Variables!$B$7:$D$7,IFERROR(MATCH(IF($B1067="Robusta","Robusta",(IF($B1067="","Arabica",$B1067))&amp;" - "&amp;(IF($C1067="","Commercial",$C1067))),Variables!$B$1:$D$1,0),1))*(BE1067/365),""))</f>
        <v>-248.07445040569468</v>
      </c>
      <c r="BG1067" s="44" t="str">
        <f>IF($AX1067="Cancelled","",IFERROR((W1067*INDEX(Variables!$B$7:$D$7,IFERROR(MATCH(IF($B1067="Robusta","Robusta",(IF($B1067="","Arabica",$B1067))&amp;" - "&amp;(IF($C1067="","Commercial",$C1067))),Variables!$B$1:$D$1,0),1))*IFERROR(IF(AB1067="","",(AVERAGE(E1067:F1067)-AB1067)-Variables!$B$14),"")/365)+(L1067/16.67*INDEX(Variables!$B$8:$D$8,IFERROR(MATCH(IF($B1067="Robusta","Robusta",(IF($B1067="","Arabica",$B1067))&amp;" - "&amp;(IF($C1067="","Commercial",$C1067))),Variables!$B$1:$D$1,0),1))*IFERROR(IF(AB1067="","",(AVERAGE(E1067:F1067)-AB1067)-Variables!$B$14),""))+(W1067*INDEX(Variables!$B$9:$D$9,IFERROR(MATCH(IF($B1067="Robusta","Robusta",(IF($B1067="","Arabica",$B1067))&amp;" - "&amp;(IF($C1067="","Commercial",$C1067))),Variables!$B$1:$D$1,0),1))*IFERROR(IF(AB1067="","",(AVERAGE(E1067:F1067)-AB1067)-Variables!$B$14),"")/365),""))</f>
        <v/>
      </c>
      <c r="BH1067" s="44">
        <f>IF($AX1067="Cancelled","",IFERROR((W1067*INDEX(Variables!$B$7:$D$7,IFERROR(MATCH(IF($B1067="Robusta","Robusta",(IF($B1067="","Arabica",$B1067))&amp;" - "&amp;(IF($C1067="","Commercial",$C1067))),Variables!$B$1:$D$1,0),1))*AK1067/365)+(L1067/16.67*INDEX(Variables!$B$8:$D$8,IFERROR(MATCH(IF($B1067="Robusta","Robusta",(IF($B1067="","Arabica",$B1067))&amp;" - "&amp;(IF($C1067="","Commercial",$C1067))),Variables!$B$1:$D$1,0),1))*AK1067)+(W1067*INDEX(Variables!$B$9:$D$9,IFERROR(MATCH(IF($B1067="Robusta","Robusta",(IF($B1067="","Arabica",$B1067))&amp;" - "&amp;(IF($C1067="","Commercial",$C1067))),Variables!$B$1:$D$1,0),1))*AK1067/365),""))</f>
        <v>26.912785838655605</v>
      </c>
      <c r="BI1067" s="44">
        <f>IF($AX1067="Cancelled","",IFERROR((W1067*INDEX(Variables!$B$7:$D$7,IFERROR(MATCH(IF($B1067="Robusta","Robusta",(IF($B1067="","Arabica",$B1067))&amp;" - "&amp;(IF($C1067="","Commercial",$C1067))),Variables!$B$1:$D$1,0),1))*BD1067/365)+(L1067/16.67*INDEX(Variables!$B$8:$D$8,IFERROR(MATCH(IF($B1067="Robusta","Robusta",(IF($B1067="","Arabica",$B1067))&amp;" - "&amp;(IF($C1067="","Commercial",$C1067))),Variables!$B$1:$D$1,0),1))*BD1067)+(W1067*INDEX(Variables!$B$9:$D$9,IFERROR(MATCH(IF($B1067="Robusta","Robusta",(IF($B1067="","Arabica",$B1067))&amp;" - "&amp;(IF($C1067="","Commercial",$C1067))),Variables!$B$1:$D$1,0),1))*BD1067/365),""))</f>
        <v>53.82557167731121</v>
      </c>
      <c r="BJ1067" s="44">
        <f t="shared" si="51"/>
        <v>-37</v>
      </c>
      <c r="BK1067" s="44">
        <f>IF($AX1067="Cancelled","",IFERROR(IF(BJ1067="","",(W1067*INDEX(Variables!$B$7:$D$7,IFERROR(MATCH(IF($B1067="Robusta","Robusta",(IF($B1067="","Arabica",$B1067))&amp;" - "&amp;(IF($C1067="","Commercial",$C1067))),Variables!$B$1:$D$1,0),1))*(BJ1067/365))+(W1067*INDEX(Variables!$B$9:$D$9,IFERROR(MATCH(IF($B1067="Robusta","Robusta",(IF($B1067="","Arabica",$B1067))&amp;" - "&amp;(IF($C1067="","Commercial",$C1067))),Variables!$B$1:$D$1,0),1))*(BJ1067/365))+(INDEX(Variables!$B$8:$D$8,IFERROR(MATCH(IF($B1067="Robusta","Robusta",(IF($B1067="","Arabica",$B1067))&amp;" - "&amp;(IF($C1067="","Commercial",$C1067))),Variables!$B$1:$D$1,0),1))*L1067/16.67)),""))</f>
        <v>-340.18653801512875</v>
      </c>
    </row>
    <row r="1068" spans="1:63">
      <c r="A1068" s="13" t="s">
        <v>103</v>
      </c>
      <c r="B1068" s="13" t="s">
        <v>104</v>
      </c>
      <c r="C1068" s="13" t="s">
        <v>105</v>
      </c>
      <c r="D1068" s="31">
        <v>46111</v>
      </c>
      <c r="E1068" s="31">
        <v>46174</v>
      </c>
      <c r="F1068" s="31">
        <v>46203</v>
      </c>
      <c r="G1068" s="13">
        <v>3787491</v>
      </c>
      <c r="J1068" s="13" t="s">
        <v>2535</v>
      </c>
      <c r="K1068" s="13">
        <v>5509</v>
      </c>
      <c r="L1068" s="13">
        <v>3200</v>
      </c>
      <c r="M1068" s="13">
        <v>10</v>
      </c>
      <c r="N1068" s="13" t="s">
        <v>2672</v>
      </c>
      <c r="O1068" s="13" t="s">
        <v>538</v>
      </c>
      <c r="P1068" s="13">
        <v>10080</v>
      </c>
      <c r="R1068" s="13" t="s">
        <v>239</v>
      </c>
      <c r="S1068" s="13" t="s">
        <v>288</v>
      </c>
      <c r="T1068" s="13" t="s">
        <v>289</v>
      </c>
      <c r="U1068" s="13" t="s">
        <v>182</v>
      </c>
      <c r="V1068" s="23">
        <v>29</v>
      </c>
      <c r="W1068" s="44">
        <f>IF($AX1068="Cancelled","",IFERROR(((V1068+INDEX(Variables!$B$6:$D$6,IFERROR(MATCH(IF($B1068="Robusta","Robusta",(IF($B1068="","Arabica",$B1068))&amp;" - "&amp;(IF($C1068="","Commercial",$C1068))),Variables!$B$1:$D$1,0),1)))*22.0462)*(L1068/16.67),""))</f>
        <v>1353401.2736652666</v>
      </c>
      <c r="X1068" s="55" t="s">
        <v>37</v>
      </c>
      <c r="Y1068" s="13" t="str">
        <f>IF($AX1068="Cancelled","",IF(X1068="","",IFERROR(IF(INDEX(Variables!$B$38:$B$47,MATCH(X1068,Variables!$A$38:$A$47,0))="Yes","Yes","No"),"No")))</f>
        <v>Yes</v>
      </c>
      <c r="Z1068" s="58">
        <v>46133</v>
      </c>
      <c r="AB1068" s="31">
        <v>46140</v>
      </c>
      <c r="AC1068" s="13" t="str">
        <f t="shared" si="50"/>
        <v>Approved</v>
      </c>
      <c r="AF1068" s="71">
        <v>46183</v>
      </c>
      <c r="AG1068" s="35">
        <f>IF($AX1068="Cancelled","",IFERROR(IF(F1068="","",F1068-Variables!$B$13),""))</f>
        <v>46188</v>
      </c>
      <c r="AH1068" s="13">
        <f>IF($AX1068="Cancelled","",IFERROR(IF(AB1068="","",(AVERAGE(E1068:F1068)-AB1068)-Variables!$B$14),""))</f>
        <v>18.5</v>
      </c>
      <c r="AJ1068" s="47">
        <v>46191</v>
      </c>
      <c r="AK1068" s="14">
        <f>IF($AX1068="Cancelled","",IFERROR(IF(AJ1068="","",IF(AND(AB1068="",AF1068=""),"",IF(AF1068&gt;AB1068,AF1068+Variables!$B$15+Variables!$B$16+Variables!$B$17-AJ1068,AB1068+Variables!$B$16+Variables!$B$17-AJ1068))),""))</f>
        <v>7</v>
      </c>
      <c r="AL1068" s="48" t="s">
        <v>114</v>
      </c>
      <c r="AM1068" s="13" t="s">
        <v>1848</v>
      </c>
      <c r="AN1068" s="13" t="s">
        <v>2673</v>
      </c>
      <c r="AP1068" s="39"/>
      <c r="AR1068" s="13" t="s">
        <v>2538</v>
      </c>
      <c r="AS1068" s="31">
        <v>46213</v>
      </c>
      <c r="AU1068" s="31">
        <v>46223</v>
      </c>
      <c r="AV1068" s="13" t="s">
        <v>865</v>
      </c>
      <c r="AW1068" s="39">
        <v>46223</v>
      </c>
      <c r="AX1068" s="13" t="str">
        <f>IF(ISNUMBER(SEARCH("cancel",#REF!)),"Cancelled",IF(AND(AS1068&lt;&gt;"",AU1068&lt;&gt;"",AW1068&lt;&gt;""),"Closed","Open"))</f>
        <v>Closed</v>
      </c>
      <c r="AY1068" s="15" t="str">
        <f t="shared" si="49"/>
        <v>All dates received</v>
      </c>
      <c r="AZ1068" s="13" t="s">
        <v>3047</v>
      </c>
      <c r="BA1068" s="13" t="s">
        <v>3062</v>
      </c>
      <c r="BB1068" s="13" t="s">
        <v>3055</v>
      </c>
      <c r="BC1068" s="13" t="s">
        <v>3298</v>
      </c>
      <c r="BD1068" s="13">
        <f>IF($AX1068="Cancelled","",IFERROR(IF(OR(AS1068="",AJ1068=""),"",(AJ1068+Variables!$B$18-AS1068)),""))</f>
        <v>-7</v>
      </c>
      <c r="BE1068" s="13">
        <f>IF($AX1068="Cancelled","",IFERROR(IF(OR(AW1068="",AS1068=""),"",(AS1068+Variables!$B$19)-AW1068),""))</f>
        <v>-5</v>
      </c>
      <c r="BF1068" s="44">
        <f>IF($AX1068="Cancelled","",IFERROR(W1068*INDEX(Variables!$B$7:$D$7,IFERROR(MATCH(IF($B1068="Robusta","Robusta",(IF($B1068="","Arabica",$B1068))&amp;" - "&amp;(IF($C1068="","Commercial",$C1068))),Variables!$B$1:$D$1,0),1))*(BE1068/365),""))</f>
        <v>-1195.4834466950472</v>
      </c>
      <c r="BG1068" s="44">
        <f>IF($AX1068="Cancelled","",IFERROR((W1068*INDEX(Variables!$B$7:$D$7,IFERROR(MATCH(IF($B1068="Robusta","Robusta",(IF($B1068="","Arabica",$B1068))&amp;" - "&amp;(IF($C1068="","Commercial",$C1068))),Variables!$B$1:$D$1,0),1))*IFERROR(IF(AB1068="","",(AVERAGE(E1068:F1068)-AB1068)-Variables!$B$14),"")/365)+(L1068/16.67*INDEX(Variables!$B$8:$D$8,IFERROR(MATCH(IF($B1068="Robusta","Robusta",(IF($B1068="","Arabica",$B1068))&amp;" - "&amp;(IF($C1068="","Commercial",$C1068))),Variables!$B$1:$D$1,0),1))*IFERROR(IF(AB1068="","",(AVERAGE(E1068:F1068)-AB1068)-Variables!$B$14),""))+(W1068*INDEX(Variables!$B$9:$D$9,IFERROR(MATCH(IF($B1068="Robusta","Robusta",(IF($B1068="","Arabica",$B1068))&amp;" - "&amp;(IF($C1068="","Commercial",$C1068))),Variables!$B$1:$D$1,0),1))*IFERROR(IF(AB1068="","",(AVERAGE(E1068:F1068)-AB1068)-Variables!$B$14),"")/365),""))</f>
        <v>7440.3134811491045</v>
      </c>
      <c r="BH1068" s="44">
        <f>IF($AX1068="Cancelled","",IFERROR((W1068*INDEX(Variables!$B$7:$D$7,IFERROR(MATCH(IF($B1068="Robusta","Robusta",(IF($B1068="","Arabica",$B1068))&amp;" - "&amp;(IF($C1068="","Commercial",$C1068))),Variables!$B$1:$D$1,0),1))*AK1068/365)+(L1068/16.67*INDEX(Variables!$B$8:$D$8,IFERROR(MATCH(IF($B1068="Robusta","Robusta",(IF($B1068="","Arabica",$B1068))&amp;" - "&amp;(IF($C1068="","Commercial",$C1068))),Variables!$B$1:$D$1,0),1))*AK1068)+(W1068*INDEX(Variables!$B$9:$D$9,IFERROR(MATCH(IF($B1068="Robusta","Robusta",(IF($B1068="","Arabica",$B1068))&amp;" - "&amp;(IF($C1068="","Commercial",$C1068))),Variables!$B$1:$D$1,0),1))*AK1068/365),""))</f>
        <v>2815.2537496239856</v>
      </c>
      <c r="BI1068" s="44">
        <f>IF($AX1068="Cancelled","",IFERROR((W1068*INDEX(Variables!$B$7:$D$7,IFERROR(MATCH(IF($B1068="Robusta","Robusta",(IF($B1068="","Arabica",$B1068))&amp;" - "&amp;(IF($C1068="","Commercial",$C1068))),Variables!$B$1:$D$1,0),1))*BD1068/365)+(L1068/16.67*INDEX(Variables!$B$8:$D$8,IFERROR(MATCH(IF($B1068="Robusta","Robusta",(IF($B1068="","Arabica",$B1068))&amp;" - "&amp;(IF($C1068="","Commercial",$C1068))),Variables!$B$1:$D$1,0),1))*BD1068)+(W1068*INDEX(Variables!$B$9:$D$9,IFERROR(MATCH(IF($B1068="Robusta","Robusta",(IF($B1068="","Arabica",$B1068))&amp;" - "&amp;(IF($C1068="","Commercial",$C1068))),Variables!$B$1:$D$1,0),1))*BD1068/365),""))</f>
        <v>-2815.2537496239856</v>
      </c>
      <c r="BJ1068" s="44">
        <f t="shared" si="51"/>
        <v>-10</v>
      </c>
      <c r="BK1068" s="44">
        <f>IF($AX1068="Cancelled","",IFERROR(IF(BJ1068="","",(W1068*INDEX(Variables!$B$7:$D$7,IFERROR(MATCH(IF($B1068="Robusta","Robusta",(IF($B1068="","Arabica",$B1068))&amp;" - "&amp;(IF($C1068="","Commercial",$C1068))),Variables!$B$1:$D$1,0),1))*(BJ1068/365))+(W1068*INDEX(Variables!$B$9:$D$9,IFERROR(MATCH(IF($B1068="Robusta","Robusta",(IF($B1068="","Arabica",$B1068))&amp;" - "&amp;(IF($C1068="","Commercial",$C1068))),Variables!$B$1:$D$1,0),1))*(BJ1068/365))+(INDEX(Variables!$B$8:$D$8,IFERROR(MATCH(IF($B1068="Robusta","Robusta",(IF($B1068="","Arabica",$B1068))&amp;" - "&amp;(IF($C1068="","Commercial",$C1068))),Variables!$B$1:$D$1,0),1))*L1068/16.67)),""))</f>
        <v>-2261.7910708914078</v>
      </c>
    </row>
    <row r="1069" spans="1:63">
      <c r="A1069" s="13" t="s">
        <v>103</v>
      </c>
      <c r="B1069" s="13" t="s">
        <v>104</v>
      </c>
      <c r="C1069" s="13" t="s">
        <v>105</v>
      </c>
      <c r="D1069" s="31">
        <v>46114</v>
      </c>
      <c r="E1069" s="31">
        <v>46174</v>
      </c>
      <c r="F1069" s="31">
        <v>46203</v>
      </c>
      <c r="G1069" s="13">
        <v>3787492</v>
      </c>
      <c r="J1069" s="13" t="s">
        <v>916</v>
      </c>
      <c r="L1069" s="13">
        <v>320</v>
      </c>
      <c r="M1069" s="13">
        <v>1</v>
      </c>
      <c r="N1069" s="13" t="s">
        <v>2674</v>
      </c>
      <c r="O1069" s="13" t="s">
        <v>2675</v>
      </c>
      <c r="P1069" s="13">
        <v>37030</v>
      </c>
      <c r="R1069" s="13" t="s">
        <v>110</v>
      </c>
      <c r="S1069" s="13" t="s">
        <v>918</v>
      </c>
      <c r="T1069" s="13" t="s">
        <v>124</v>
      </c>
      <c r="U1069" s="13" t="s">
        <v>125</v>
      </c>
      <c r="V1069" s="23">
        <v>63</v>
      </c>
      <c r="W1069" s="44">
        <f>IF($AX1069="Cancelled","",IFERROR(((V1069+INDEX(Variables!$B$6:$D$6,IFERROR(MATCH(IF($B1069="Robusta","Robusta",(IF($B1069="","Arabica",$B1069))&amp;" - "&amp;(IF($C1069="","Commercial",$C1069))),Variables!$B$1:$D$1,0),1)))*22.0462)*(L1069/16.67),""))</f>
        <v>149729.00895020994</v>
      </c>
      <c r="X1069" s="55" t="s">
        <v>37</v>
      </c>
      <c r="Y1069" s="13" t="str">
        <f>IF($AX1069="Cancelled","",IF(X1069="","",IFERROR(IF(INDEX(Variables!$B$38:$B$47,MATCH(X1069,Variables!$A$38:$A$47,0))="Yes","Yes","No"),"No")))</f>
        <v>Yes</v>
      </c>
      <c r="Z1069" s="58">
        <v>46153</v>
      </c>
      <c r="AB1069" s="31">
        <v>46160</v>
      </c>
      <c r="AC1069" s="13" t="str">
        <f t="shared" si="50"/>
        <v>Approved</v>
      </c>
      <c r="AF1069" s="71"/>
      <c r="AG1069" s="35">
        <f>IF($AX1069="Cancelled","",IFERROR(IF(F1069="","",F1069-Variables!$B$13),""))</f>
        <v>46188</v>
      </c>
      <c r="AH1069" s="13">
        <f>IF($AX1069="Cancelled","",IFERROR(IF(AB1069="","",(AVERAGE(E1069:F1069)-AB1069)-Variables!$B$14),""))</f>
        <v>-1.5</v>
      </c>
      <c r="AK1069" s="14" t="str">
        <f>IF($AX1069="Cancelled","",IFERROR(IF(AJ1069="","",IF(AND(AB1069="",AF1069=""),"",IF(AF1069&gt;AB1069,AF1069+Variables!$B$15+Variables!$B$16+Variables!$B$17-AJ1069,AB1069+Variables!$B$16+Variables!$B$17-AJ1069))),""))</f>
        <v/>
      </c>
      <c r="AL1069" s="48" t="s">
        <v>114</v>
      </c>
      <c r="AM1069" s="13" t="s">
        <v>168</v>
      </c>
      <c r="AN1069" s="13" t="s">
        <v>2676</v>
      </c>
      <c r="AP1069" s="39"/>
      <c r="AR1069" s="13" t="s">
        <v>2677</v>
      </c>
      <c r="AS1069" s="31">
        <v>46215</v>
      </c>
      <c r="AU1069" s="31">
        <v>46231</v>
      </c>
      <c r="AV1069" s="13" t="s">
        <v>865</v>
      </c>
      <c r="AW1069" s="39">
        <v>46231</v>
      </c>
      <c r="AX1069" s="13" t="str">
        <f>IF(ISNUMBER(SEARCH("cancel",#REF!)),"Cancelled",IF(AND(AS1069&lt;&gt;"",AU1069&lt;&gt;"",AW1069&lt;&gt;""),"Closed","Open"))</f>
        <v>Closed</v>
      </c>
      <c r="AY1069" s="15" t="str">
        <f t="shared" si="49"/>
        <v>All dates received</v>
      </c>
      <c r="BD1069" s="13" t="str">
        <f>IF($AX1069="Cancelled","",IFERROR(IF(OR(AS1069="",AJ1069=""),"",(AJ1069+Variables!$B$18-AS1069)),""))</f>
        <v/>
      </c>
      <c r="BE1069" s="13">
        <f>IF($AX1069="Cancelled","",IFERROR(IF(OR(AW1069="",AS1069=""),"",(AS1069+Variables!$B$19)-AW1069),""))</f>
        <v>-11</v>
      </c>
      <c r="BF1069" s="44">
        <f>IF($AX1069="Cancelled","",IFERROR(W1069*INDEX(Variables!$B$7:$D$7,IFERROR(MATCH(IF($B1069="Robusta","Robusta",(IF($B1069="","Arabica",$B1069))&amp;" - "&amp;(IF($C1069="","Commercial",$C1069))),Variables!$B$1:$D$1,0),1))*(BE1069/365),""))</f>
        <v>-290.96826002800412</v>
      </c>
      <c r="BG1069" s="44">
        <f>IF($AX1069="Cancelled","",IFERROR((W1069*INDEX(Variables!$B$7:$D$7,IFERROR(MATCH(IF($B1069="Robusta","Robusta",(IF($B1069="","Arabica",$B1069))&amp;" - "&amp;(IF($C1069="","Commercial",$C1069))),Variables!$B$1:$D$1,0),1))*IFERROR(IF(AB1069="","",(AVERAGE(E1069:F1069)-AB1069)-Variables!$B$14),"")/365)+(L1069/16.67*INDEX(Variables!$B$8:$D$8,IFERROR(MATCH(IF($B1069="Robusta","Robusta",(IF($B1069="","Arabica",$B1069))&amp;" - "&amp;(IF($C1069="","Commercial",$C1069))),Variables!$B$1:$D$1,0),1))*IFERROR(IF(AB1069="","",(AVERAGE(E1069:F1069)-AB1069)-Variables!$B$14),""))+(W1069*INDEX(Variables!$B$9:$D$9,IFERROR(MATCH(IF($B1069="Robusta","Robusta",(IF($B1069="","Arabica",$B1069))&amp;" - "&amp;(IF($C1069="","Commercial",$C1069))),Variables!$B$1:$D$1,0),1))*IFERROR(IF(AB1069="","",(AVERAGE(E1069:F1069)-AB1069)-Variables!$B$14),"")/365),""))</f>
        <v>-64.189009422203569</v>
      </c>
      <c r="BH1069" s="44" t="str">
        <f>IF($AX1069="Cancelled","",IFERROR((W1069*INDEX(Variables!$B$7:$D$7,IFERROR(MATCH(IF($B1069="Robusta","Robusta",(IF($B1069="","Arabica",$B1069))&amp;" - "&amp;(IF($C1069="","Commercial",$C1069))),Variables!$B$1:$D$1,0),1))*AK1069/365)+(L1069/16.67*INDEX(Variables!$B$8:$D$8,IFERROR(MATCH(IF($B1069="Robusta","Robusta",(IF($B1069="","Arabica",$B1069))&amp;" - "&amp;(IF($C1069="","Commercial",$C1069))),Variables!$B$1:$D$1,0),1))*AK1069)+(W1069*INDEX(Variables!$B$9:$D$9,IFERROR(MATCH(IF($B1069="Robusta","Robusta",(IF($B1069="","Arabica",$B1069))&amp;" - "&amp;(IF($C1069="","Commercial",$C1069))),Variables!$B$1:$D$1,0),1))*AK1069/365),""))</f>
        <v/>
      </c>
      <c r="BI1069" s="44" t="str">
        <f>IF($AX1069="Cancelled","",IFERROR((W1069*INDEX(Variables!$B$7:$D$7,IFERROR(MATCH(IF($B1069="Robusta","Robusta",(IF($B1069="","Arabica",$B1069))&amp;" - "&amp;(IF($C1069="","Commercial",$C1069))),Variables!$B$1:$D$1,0),1))*BD1069/365)+(L1069/16.67*INDEX(Variables!$B$8:$D$8,IFERROR(MATCH(IF($B1069="Robusta","Robusta",(IF($B1069="","Arabica",$B1069))&amp;" - "&amp;(IF($C1069="","Commercial",$C1069))),Variables!$B$1:$D$1,0),1))*BD1069)+(W1069*INDEX(Variables!$B$9:$D$9,IFERROR(MATCH(IF($B1069="Robusta","Robusta",(IF($B1069="","Arabica",$B1069))&amp;" - "&amp;(IF($C1069="","Commercial",$C1069))),Variables!$B$1:$D$1,0),1))*BD1069/365),""))</f>
        <v/>
      </c>
      <c r="BJ1069" s="44">
        <f t="shared" si="51"/>
        <v>-12</v>
      </c>
      <c r="BK1069" s="44">
        <f>IF($AX1069="Cancelled","",IFERROR(IF(BJ1069="","",(W1069*INDEX(Variables!$B$7:$D$7,IFERROR(MATCH(IF($B1069="Robusta","Robusta",(IF($B1069="","Arabica",$B1069))&amp;" - "&amp;(IF($C1069="","Commercial",$C1069))),Variables!$B$1:$D$1,0),1))*(BJ1069/365))+(W1069*INDEX(Variables!$B$9:$D$9,IFERROR(MATCH(IF($B1069="Robusta","Robusta",(IF($B1069="","Arabica",$B1069))&amp;" - "&amp;(IF($C1069="","Commercial",$C1069))),Variables!$B$1:$D$1,0),1))*(BJ1069/365))+(INDEX(Variables!$B$8:$D$8,IFERROR(MATCH(IF($B1069="Robusta","Robusta",(IF($B1069="","Arabica",$B1069))&amp;" - "&amp;(IF($C1069="","Commercial",$C1069))),Variables!$B$1:$D$1,0),1))*L1069/16.67)),""))</f>
        <v>-305.51207537762861</v>
      </c>
    </row>
    <row r="1070" spans="1:63">
      <c r="A1070" s="13" t="s">
        <v>103</v>
      </c>
      <c r="B1070" s="13" t="s">
        <v>104</v>
      </c>
      <c r="C1070" s="13" t="s">
        <v>105</v>
      </c>
      <c r="D1070" s="31">
        <v>46114</v>
      </c>
      <c r="E1070" s="31">
        <v>46143</v>
      </c>
      <c r="F1070" s="31">
        <v>46173</v>
      </c>
      <c r="G1070" s="13">
        <v>3787493</v>
      </c>
      <c r="H1070" s="13">
        <v>40580</v>
      </c>
      <c r="J1070" s="13" t="s">
        <v>1040</v>
      </c>
      <c r="K1070" s="13">
        <v>5503</v>
      </c>
      <c r="L1070" s="13">
        <v>320</v>
      </c>
      <c r="M1070" s="13">
        <v>1</v>
      </c>
      <c r="N1070" s="13" t="s">
        <v>544</v>
      </c>
      <c r="O1070" s="13" t="s">
        <v>261</v>
      </c>
      <c r="P1070" s="13">
        <v>10060</v>
      </c>
      <c r="R1070" s="13" t="s">
        <v>239</v>
      </c>
      <c r="S1070" s="13" t="s">
        <v>288</v>
      </c>
      <c r="T1070" s="13" t="s">
        <v>289</v>
      </c>
      <c r="U1070" s="13" t="s">
        <v>182</v>
      </c>
      <c r="V1070" s="23">
        <v>50</v>
      </c>
      <c r="W1070" s="44">
        <f>IF($AX1070="Cancelled","",IFERROR(((V1070+INDEX(Variables!$B$6:$D$6,IFERROR(MATCH(IF($B1070="Robusta","Robusta",(IF($B1070="","Arabica",$B1070))&amp;" - "&amp;(IF($C1070="","Commercial",$C1070))),Variables!$B$1:$D$1,0),1)))*22.0462)*(L1070/16.67),""))</f>
        <v>144227.3777564487</v>
      </c>
      <c r="X1070" s="55" t="s">
        <v>37</v>
      </c>
      <c r="Y1070" s="13" t="str">
        <f>IF($AX1070="Cancelled","",IF(X1070="","",IFERROR(IF(INDEX(Variables!$B$38:$B$47,MATCH(X1070,Variables!$A$38:$A$47,0))="Yes","Yes","No"),"No")))</f>
        <v>Yes</v>
      </c>
      <c r="Z1070" s="58">
        <v>46129</v>
      </c>
      <c r="AC1070" s="13" t="str">
        <f t="shared" si="50"/>
        <v/>
      </c>
      <c r="AF1070" s="71">
        <v>46140</v>
      </c>
      <c r="AG1070" s="35">
        <f>IF($AX1070="Cancelled","",IFERROR(IF(F1070="","",F1070-Variables!$B$13),""))</f>
        <v>46158</v>
      </c>
      <c r="AH1070" s="13" t="str">
        <f>IF($AX1070="Cancelled","",IFERROR(IF(AB1070="","",(AVERAGE(E1070:F1070)-AB1070)-Variables!$B$14),""))</f>
        <v/>
      </c>
      <c r="AJ1070" s="47">
        <v>46154</v>
      </c>
      <c r="AK1070" s="14">
        <f>IF($AX1070="Cancelled","",IFERROR(IF(AJ1070="","",IF(AND(AB1070="",AF1070=""),"",IF(AF1070&gt;AB1070,AF1070+Variables!$B$15+Variables!$B$16+Variables!$B$17-AJ1070,AB1070+Variables!$B$16+Variables!$B$17-AJ1070))),""))</f>
        <v>1</v>
      </c>
      <c r="AL1070" s="48" t="s">
        <v>114</v>
      </c>
      <c r="AM1070" s="13" t="s">
        <v>168</v>
      </c>
      <c r="AN1070" s="13" t="s">
        <v>2678</v>
      </c>
      <c r="AP1070" s="39">
        <v>46162</v>
      </c>
      <c r="AR1070" s="13" t="s">
        <v>2679</v>
      </c>
      <c r="AS1070" s="31">
        <v>46162</v>
      </c>
      <c r="AU1070" s="31">
        <v>46212</v>
      </c>
      <c r="AV1070" s="13" t="e">
        <v>#REF!</v>
      </c>
      <c r="AW1070" s="31">
        <v>46212</v>
      </c>
      <c r="AX1070" s="13" t="str">
        <f>IF(ISNUMBER(SEARCH("cancel",#REF!)),"Cancelled",IF(AND(AS1070&lt;&gt;"",AU1070&lt;&gt;"",AW1070&lt;&gt;""),"Closed","Open"))</f>
        <v>Closed</v>
      </c>
      <c r="AY1070" s="15" t="str">
        <f t="shared" si="49"/>
        <v>All dates received</v>
      </c>
      <c r="BD1070" s="13">
        <f>IF($AX1070="Cancelled","",IFERROR(IF(OR(AS1070="",AJ1070=""),"",(AJ1070+Variables!$B$18-AS1070)),""))</f>
        <v>7</v>
      </c>
      <c r="BE1070" s="13">
        <f>IF($AX1070="Cancelled","",IFERROR(IF(OR(AW1070="",AS1070=""),"",(AS1070+Variables!$B$19)-AW1070),""))</f>
        <v>-45</v>
      </c>
      <c r="BF1070" s="44">
        <f>IF($AX1070="Cancelled","",IFERROR(W1070*INDEX(Variables!$B$7:$D$7,IFERROR(MATCH(IF($B1070="Robusta","Robusta",(IF($B1070="","Arabica",$B1070))&amp;" - "&amp;(IF($C1070="","Commercial",$C1070))),Variables!$B$1:$D$1,0),1))*(BE1070/365),""))</f>
        <v>-1146.5875008452313</v>
      </c>
      <c r="BG1070" s="44" t="str">
        <f>IF($AX1070="Cancelled","",IFERROR((W1070*INDEX(Variables!$B$7:$D$7,IFERROR(MATCH(IF($B1070="Robusta","Robusta",(IF($B1070="","Arabica",$B1070))&amp;" - "&amp;(IF($C1070="","Commercial",$C1070))),Variables!$B$1:$D$1,0),1))*IFERROR(IF(AB1070="","",(AVERAGE(E1070:F1070)-AB1070)-Variables!$B$14),"")/365)+(L1070/16.67*INDEX(Variables!$B$8:$D$8,IFERROR(MATCH(IF($B1070="Robusta","Robusta",(IF($B1070="","Arabica",$B1070))&amp;" - "&amp;(IF($C1070="","Commercial",$C1070))),Variables!$B$1:$D$1,0),1))*IFERROR(IF(AB1070="","",(AVERAGE(E1070:F1070)-AB1070)-Variables!$B$14),""))+(W1070*INDEX(Variables!$B$9:$D$9,IFERROR(MATCH(IF($B1070="Robusta","Robusta",(IF($B1070="","Arabica",$B1070))&amp;" - "&amp;(IF($C1070="","Commercial",$C1070))),Variables!$B$1:$D$1,0),1))*IFERROR(IF(AB1070="","",(AVERAGE(E1070:F1070)-AB1070)-Variables!$B$14),"")/365),""))</f>
        <v/>
      </c>
      <c r="BH1070" s="44">
        <f>IF($AX1070="Cancelled","",IFERROR((W1070*INDEX(Variables!$B$7:$D$7,IFERROR(MATCH(IF($B1070="Robusta","Robusta",(IF($B1070="","Arabica",$B1070))&amp;" - "&amp;(IF($C1070="","Commercial",$C1070))),Variables!$B$1:$D$1,0),1))*AK1070/365)+(L1070/16.67*INDEX(Variables!$B$8:$D$8,IFERROR(MATCH(IF($B1070="Robusta","Robusta",(IF($B1070="","Arabica",$B1070))&amp;" - "&amp;(IF($C1070="","Commercial",$C1070))),Variables!$B$1:$D$1,0),1))*AK1070)+(W1070*INDEX(Variables!$B$9:$D$9,IFERROR(MATCH(IF($B1070="Robusta","Robusta",(IF($B1070="","Arabica",$B1070))&amp;" - "&amp;(IF($C1070="","Commercial",$C1070))),Variables!$B$1:$D$1,0),1))*AK1070/365),""))</f>
        <v>41.80820503313921</v>
      </c>
      <c r="BI1070" s="44">
        <f>IF($AX1070="Cancelled","",IFERROR((W1070*INDEX(Variables!$B$7:$D$7,IFERROR(MATCH(IF($B1070="Robusta","Robusta",(IF($B1070="","Arabica",$B1070))&amp;" - "&amp;(IF($C1070="","Commercial",$C1070))),Variables!$B$1:$D$1,0),1))*BD1070/365)+(L1070/16.67*INDEX(Variables!$B$8:$D$8,IFERROR(MATCH(IF($B1070="Robusta","Robusta",(IF($B1070="","Arabica",$B1070))&amp;" - "&amp;(IF($C1070="","Commercial",$C1070))),Variables!$B$1:$D$1,0),1))*BD1070)+(W1070*INDEX(Variables!$B$9:$D$9,IFERROR(MATCH(IF($B1070="Robusta","Robusta",(IF($B1070="","Arabica",$B1070))&amp;" - "&amp;(IF($C1070="","Commercial",$C1070))),Variables!$B$1:$D$1,0),1))*BD1070/365),""))</f>
        <v>292.65743523197449</v>
      </c>
      <c r="BJ1070" s="44">
        <f t="shared" si="51"/>
        <v>11</v>
      </c>
      <c r="BK1070" s="44">
        <f>IF($AX1070="Cancelled","",IFERROR(IF(BJ1070="","",(W1070*INDEX(Variables!$B$7:$D$7,IFERROR(MATCH(IF($B1070="Robusta","Robusta",(IF($B1070="","Arabica",$B1070))&amp;" - "&amp;(IF($C1070="","Commercial",$C1070))),Variables!$B$1:$D$1,0),1))*(BJ1070/365))+(W1070*INDEX(Variables!$B$9:$D$9,IFERROR(MATCH(IF($B1070="Robusta","Robusta",(IF($B1070="","Arabica",$B1070))&amp;" - "&amp;(IF($C1070="","Commercial",$C1070))),Variables!$B$1:$D$1,0),1))*(BJ1070/365))+(INDEX(Variables!$B$8:$D$8,IFERROR(MATCH(IF($B1070="Robusta","Robusta",(IF($B1070="","Arabica",$B1070))&amp;" - "&amp;(IF($C1070="","Commercial",$C1070))),Variables!$B$1:$D$1,0),1))*L1070/16.67)),""))</f>
        <v>299.89025536453136</v>
      </c>
    </row>
    <row r="1071" spans="1:63">
      <c r="A1071" s="13" t="s">
        <v>103</v>
      </c>
      <c r="B1071" s="13" t="s">
        <v>104</v>
      </c>
      <c r="C1071" s="13" t="s">
        <v>105</v>
      </c>
      <c r="D1071" s="31">
        <v>46114</v>
      </c>
      <c r="E1071" s="31">
        <v>46143</v>
      </c>
      <c r="F1071" s="31">
        <v>46173</v>
      </c>
      <c r="G1071" s="13">
        <v>3787494</v>
      </c>
      <c r="J1071" s="13" t="s">
        <v>2680</v>
      </c>
      <c r="K1071" s="13" t="s">
        <v>2681</v>
      </c>
      <c r="L1071" s="13">
        <v>145</v>
      </c>
      <c r="M1071" s="13">
        <v>0</v>
      </c>
      <c r="N1071" s="13" t="s">
        <v>2682</v>
      </c>
      <c r="O1071" s="13" t="s">
        <v>355</v>
      </c>
      <c r="P1071" s="13">
        <v>10060</v>
      </c>
      <c r="R1071" s="13" t="s">
        <v>671</v>
      </c>
      <c r="S1071" s="13" t="s">
        <v>2605</v>
      </c>
      <c r="T1071" s="13" t="s">
        <v>2609</v>
      </c>
      <c r="U1071" s="13" t="s">
        <v>182</v>
      </c>
      <c r="V1071" s="23">
        <v>38</v>
      </c>
      <c r="W1071" s="44">
        <f>IF($AX1071="Cancelled","",IFERROR(((V1071+INDEX(Variables!$B$6:$D$6,IFERROR(MATCH(IF($B1071="Robusta","Robusta",(IF($B1071="","Arabica",$B1071))&amp;" - "&amp;(IF($C1071="","Commercial",$C1071))),Variables!$B$1:$D$1,0),1)))*22.0462)*(L1071/16.67),""))</f>
        <v>63051.867498500287</v>
      </c>
      <c r="X1071" s="55" t="s">
        <v>37</v>
      </c>
      <c r="Y1071" s="13" t="str">
        <f>IF($AX1071="Cancelled","",IF(X1071="","",IFERROR(IF(INDEX(Variables!$B$38:$B$47,MATCH(X1071,Variables!$A$38:$A$47,0))="Yes","Yes","No"),"No")))</f>
        <v>Yes</v>
      </c>
      <c r="Z1071" s="58">
        <v>46129</v>
      </c>
      <c r="AB1071" s="31">
        <v>46143</v>
      </c>
      <c r="AC1071" s="13" t="str">
        <f t="shared" si="50"/>
        <v>Approved</v>
      </c>
      <c r="AF1071" s="71">
        <v>46170</v>
      </c>
      <c r="AG1071" s="37">
        <f>IF($AX1071="Cancelled","",IFERROR(IF(F1071="","",F1071-Variables!$B$13),""))</f>
        <v>46158</v>
      </c>
      <c r="AH1071" s="13">
        <f>IF($AX1071="Cancelled","",IFERROR(IF(AB1071="","",(AVERAGE(E1071:F1071)-AB1071)-Variables!$B$14),""))</f>
        <v>-15</v>
      </c>
      <c r="AJ1071" s="47">
        <v>46171</v>
      </c>
      <c r="AK1071" s="14">
        <f>IF($AX1071="Cancelled","",IFERROR(IF(AJ1071="","",IF(AND(AB1071="",AF1071=""),"",IF(AF1071&gt;AB1071,AF1071+Variables!$B$15+Variables!$B$16+Variables!$B$17-AJ1071,AB1071+Variables!$B$16+Variables!$B$17-AJ1071))),""))</f>
        <v>14</v>
      </c>
      <c r="AL1071" s="48" t="s">
        <v>114</v>
      </c>
      <c r="AM1071" s="13" t="s">
        <v>1482</v>
      </c>
      <c r="AN1071" s="13" t="s">
        <v>2610</v>
      </c>
      <c r="AP1071" s="39">
        <v>46197</v>
      </c>
      <c r="AR1071" s="13" t="s">
        <v>2611</v>
      </c>
      <c r="AS1071" s="31">
        <v>46197</v>
      </c>
      <c r="AU1071" s="31">
        <v>46209</v>
      </c>
      <c r="AV1071" s="13" t="e">
        <v>#REF!</v>
      </c>
      <c r="AW1071" s="31">
        <v>46209</v>
      </c>
      <c r="AX1071" s="13" t="str">
        <f>IF(ISNUMBER(SEARCH("cancel",#REF!)),"Cancelled",IF(AND(AS1071&lt;&gt;"",AU1071&lt;&gt;"",AW1071&lt;&gt;""),"Closed","Open"))</f>
        <v>Closed</v>
      </c>
      <c r="AY1071" s="15" t="str">
        <f t="shared" si="49"/>
        <v>All dates received</v>
      </c>
      <c r="BD1071" s="13">
        <f>IF($AX1071="Cancelled","",IFERROR(IF(OR(AS1071="",AJ1071=""),"",(AJ1071+Variables!$B$18-AS1071)),""))</f>
        <v>-11</v>
      </c>
      <c r="BE1071" s="13">
        <f>IF($AX1071="Cancelled","",IFERROR(IF(OR(AW1071="",AS1071=""),"",(AS1071+Variables!$B$19)-AW1071),""))</f>
        <v>-7</v>
      </c>
      <c r="BF1071" s="44">
        <f>IF($AX1071="Cancelled","",IFERROR(W1071*INDEX(Variables!$B$7:$D$7,IFERROR(MATCH(IF($B1071="Robusta","Robusta",(IF($B1071="","Arabica",$B1071))&amp;" - "&amp;(IF($C1071="","Commercial",$C1071))),Variables!$B$1:$D$1,0),1))*(BE1071/365),""))</f>
        <v>-77.972772364061839</v>
      </c>
      <c r="BG1071" s="44">
        <f>IF($AX1071="Cancelled","",IFERROR((W1071*INDEX(Variables!$B$7:$D$7,IFERROR(MATCH(IF($B1071="Robusta","Robusta",(IF($B1071="","Arabica",$B1071))&amp;" - "&amp;(IF($C1071="","Commercial",$C1071))),Variables!$B$1:$D$1,0),1))*IFERROR(IF(AB1071="","",(AVERAGE(E1071:F1071)-AB1071)-Variables!$B$14),"")/365)+(L1071/16.67*INDEX(Variables!$B$8:$D$8,IFERROR(MATCH(IF($B1071="Robusta","Robusta",(IF($B1071="","Arabica",$B1071))&amp;" - "&amp;(IF($C1071="","Commercial",$C1071))),Variables!$B$1:$D$1,0),1))*IFERROR(IF(AB1071="","",(AVERAGE(E1071:F1071)-AB1071)-Variables!$B$14),""))+(W1071*INDEX(Variables!$B$9:$D$9,IFERROR(MATCH(IF($B1071="Robusta","Robusta",(IF($B1071="","Arabica",$B1071))&amp;" - "&amp;(IF($C1071="","Commercial",$C1071))),Variables!$B$1:$D$1,0),1))*IFERROR(IF(AB1071="","",(AVERAGE(E1071:F1071)-AB1071)-Variables!$B$14),"")/365),""))</f>
        <v>-277.98855402177941</v>
      </c>
      <c r="BH1071" s="44">
        <f>IF($AX1071="Cancelled","",IFERROR((W1071*INDEX(Variables!$B$7:$D$7,IFERROR(MATCH(IF($B1071="Robusta","Robusta",(IF($B1071="","Arabica",$B1071))&amp;" - "&amp;(IF($C1071="","Commercial",$C1071))),Variables!$B$1:$D$1,0),1))*AK1071/365)+(L1071/16.67*INDEX(Variables!$B$8:$D$8,IFERROR(MATCH(IF($B1071="Robusta","Robusta",(IF($B1071="","Arabica",$B1071))&amp;" - "&amp;(IF($C1071="","Commercial",$C1071))),Variables!$B$1:$D$1,0),1))*AK1071)+(W1071*INDEX(Variables!$B$9:$D$9,IFERROR(MATCH(IF($B1071="Robusta","Robusta",(IF($B1071="","Arabica",$B1071))&amp;" - "&amp;(IF($C1071="","Commercial",$C1071))),Variables!$B$1:$D$1,0),1))*AK1071/365),""))</f>
        <v>259.45598375366075</v>
      </c>
      <c r="BI1071" s="44">
        <f>IF($AX1071="Cancelled","",IFERROR((W1071*INDEX(Variables!$B$7:$D$7,IFERROR(MATCH(IF($B1071="Robusta","Robusta",(IF($B1071="","Arabica",$B1071))&amp;" - "&amp;(IF($C1071="","Commercial",$C1071))),Variables!$B$1:$D$1,0),1))*BD1071/365)+(L1071/16.67*INDEX(Variables!$B$8:$D$8,IFERROR(MATCH(IF($B1071="Robusta","Robusta",(IF($B1071="","Arabica",$B1071))&amp;" - "&amp;(IF($C1071="","Commercial",$C1071))),Variables!$B$1:$D$1,0),1))*BD1071)+(W1071*INDEX(Variables!$B$9:$D$9,IFERROR(MATCH(IF($B1071="Robusta","Robusta",(IF($B1071="","Arabica",$B1071))&amp;" - "&amp;(IF($C1071="","Commercial",$C1071))),Variables!$B$1:$D$1,0),1))*BD1071/365),""))</f>
        <v>-203.8582729493049</v>
      </c>
      <c r="BJ1071" s="44">
        <f t="shared" si="51"/>
        <v>-24</v>
      </c>
      <c r="BK1071" s="44">
        <f>IF($AX1071="Cancelled","",IFERROR(IF(BJ1071="","",(W1071*INDEX(Variables!$B$7:$D$7,IFERROR(MATCH(IF($B1071="Robusta","Robusta",(IF($B1071="","Arabica",$B1071))&amp;" - "&amp;(IF($C1071="","Commercial",$C1071))),Variables!$B$1:$D$1,0),1))*(BJ1071/365))+(W1071*INDEX(Variables!$B$9:$D$9,IFERROR(MATCH(IF($B1071="Robusta","Robusta",(IF($B1071="","Arabica",$B1071))&amp;" - "&amp;(IF($C1071="","Commercial",$C1071))),Variables!$B$1:$D$1,0),1))*(BJ1071/365))+(INDEX(Variables!$B$8:$D$8,IFERROR(MATCH(IF($B1071="Robusta","Robusta",(IF($B1071="","Arabica",$B1071))&amp;" - "&amp;(IF($C1071="","Commercial",$C1071))),Variables!$B$1:$D$1,0),1))*L1071/16.67)),""))</f>
        <v>-263.53168643484702</v>
      </c>
    </row>
    <row r="1072" spans="1:63">
      <c r="A1072" s="13" t="s">
        <v>103</v>
      </c>
      <c r="B1072" s="13" t="s">
        <v>104</v>
      </c>
      <c r="C1072" s="13" t="s">
        <v>105</v>
      </c>
      <c r="D1072" s="31">
        <v>46114</v>
      </c>
      <c r="E1072" s="31">
        <v>46156</v>
      </c>
      <c r="F1072" s="31">
        <v>46173</v>
      </c>
      <c r="G1072" s="13">
        <v>3787495</v>
      </c>
      <c r="J1072" s="13" t="s">
        <v>118</v>
      </c>
      <c r="K1072" s="13">
        <v>5550</v>
      </c>
      <c r="L1072" s="13">
        <v>1080</v>
      </c>
      <c r="M1072" s="13">
        <v>3</v>
      </c>
      <c r="N1072" s="13" t="s">
        <v>2683</v>
      </c>
      <c r="O1072" s="13" t="s">
        <v>332</v>
      </c>
      <c r="P1072" s="13">
        <v>10120</v>
      </c>
      <c r="Q1072" s="13" t="s">
        <v>745</v>
      </c>
      <c r="R1072" s="13" t="s">
        <v>122</v>
      </c>
      <c r="S1072" s="13" t="s">
        <v>2684</v>
      </c>
      <c r="T1072" s="13" t="s">
        <v>139</v>
      </c>
      <c r="U1072" s="13" t="s">
        <v>125</v>
      </c>
      <c r="V1072" s="23">
        <v>-12</v>
      </c>
      <c r="W1072" s="44">
        <f>IF($AX1072="Cancelled","",IFERROR(((V1072+INDEX(Variables!$B$6:$D$6,IFERROR(MATCH(IF($B1072="Robusta","Robusta",(IF($B1072="","Arabica",$B1072))&amp;" - "&amp;(IF($C1072="","Commercial",$C1072))),Variables!$B$1:$D$1,0),1)))*22.0462)*(L1072/16.67),""))</f>
        <v>398212.29782843427</v>
      </c>
      <c r="X1072" s="55" t="s">
        <v>37</v>
      </c>
      <c r="Y1072" s="13" t="str">
        <f>IF($AX1072="Cancelled","",IF(X1072="","",IFERROR(IF(INDEX(Variables!$B$38:$B$47,MATCH(X1072,Variables!$A$38:$A$47,0))="Yes","Yes","No"),"No")))</f>
        <v>Yes</v>
      </c>
      <c r="Z1072" s="58">
        <v>46127</v>
      </c>
      <c r="AB1072" s="31">
        <v>46136</v>
      </c>
      <c r="AC1072" s="13" t="str">
        <f t="shared" si="50"/>
        <v>Approved</v>
      </c>
      <c r="AF1072" s="71">
        <v>46188</v>
      </c>
      <c r="AG1072" s="37">
        <f>IF($AX1072="Cancelled","",IFERROR(IF(F1072="","",F1072-Variables!$B$13),""))</f>
        <v>46158</v>
      </c>
      <c r="AH1072" s="13">
        <f>IF($AX1072="Cancelled","",IFERROR(IF(AB1072="","",(AVERAGE(E1072:F1072)-AB1072)-Variables!$B$14),""))</f>
        <v>-1.5</v>
      </c>
      <c r="AJ1072" s="47">
        <v>46195</v>
      </c>
      <c r="AK1072" s="14">
        <f>IF($AX1072="Cancelled","",IFERROR(IF(AJ1072="","",IF(AND(AB1072="",AF1072=""),"",IF(AF1072&gt;AB1072,AF1072+Variables!$B$15+Variables!$B$16+Variables!$B$17-AJ1072,AB1072+Variables!$B$16+Variables!$B$17-AJ1072))),""))</f>
        <v>8</v>
      </c>
      <c r="AL1072" s="48" t="s">
        <v>114</v>
      </c>
      <c r="AM1072" s="13" t="s">
        <v>168</v>
      </c>
      <c r="AN1072" s="13" t="s">
        <v>2405</v>
      </c>
      <c r="AP1072" s="39">
        <v>46212</v>
      </c>
      <c r="AR1072" s="13" t="s">
        <v>2685</v>
      </c>
      <c r="AS1072" s="31">
        <v>46212</v>
      </c>
      <c r="AU1072" s="31">
        <v>46239</v>
      </c>
      <c r="AV1072" s="13" t="e">
        <v>#REF!</v>
      </c>
      <c r="AW1072" s="31">
        <v>46239</v>
      </c>
      <c r="AX1072" s="13" t="str">
        <f>IF(ISNUMBER(SEARCH("cancel",#REF!)),"Cancelled",IF(AND(AS1072&lt;&gt;"",AU1072&lt;&gt;"",AW1072&lt;&gt;""),"Closed","Open"))</f>
        <v>Closed</v>
      </c>
      <c r="AY1072" s="15" t="str">
        <f t="shared" si="49"/>
        <v>All dates received</v>
      </c>
      <c r="BD1072" s="13">
        <f>IF($AX1072="Cancelled","",IFERROR(IF(OR(AS1072="",AJ1072=""),"",(AJ1072+Variables!$B$18-AS1072)),""))</f>
        <v>-2</v>
      </c>
      <c r="BE1072" s="13">
        <f>IF($AX1072="Cancelled","",IFERROR(IF(OR(AW1072="",AS1072=""),"",(AS1072+Variables!$B$19)-AW1072),""))</f>
        <v>-22</v>
      </c>
      <c r="BF1072" s="44">
        <f>IF($AX1072="Cancelled","",IFERROR(W1072*INDEX(Variables!$B$7:$D$7,IFERROR(MATCH(IF($B1072="Robusta","Robusta",(IF($B1072="","Arabica",$B1072))&amp;" - "&amp;(IF($C1072="","Commercial",$C1072))),Variables!$B$1:$D$1,0),1))*(BE1072/365),""))</f>
        <v>-1547.6912621444346</v>
      </c>
      <c r="BG1072" s="44">
        <f>IF($AX1072="Cancelled","",IFERROR((W1072*INDEX(Variables!$B$7:$D$7,IFERROR(MATCH(IF($B1072="Robusta","Robusta",(IF($B1072="","Arabica",$B1072))&amp;" - "&amp;(IF($C1072="","Commercial",$C1072))),Variables!$B$1:$D$1,0),1))*IFERROR(IF(AB1072="","",(AVERAGE(E1072:F1072)-AB1072)-Variables!$B$14),"")/365)+(L1072/16.67*INDEX(Variables!$B$8:$D$8,IFERROR(MATCH(IF($B1072="Robusta","Robusta",(IF($B1072="","Arabica",$B1072))&amp;" - "&amp;(IF($C1072="","Commercial",$C1072))),Variables!$B$1:$D$1,0),1))*IFERROR(IF(AB1072="","",(AVERAGE(E1072:F1072)-AB1072)-Variables!$B$14),""))+(W1072*INDEX(Variables!$B$9:$D$9,IFERROR(MATCH(IF($B1072="Robusta","Robusta",(IF($B1072="","Arabica",$B1072))&amp;" - "&amp;(IF($C1072="","Commercial",$C1072))),Variables!$B$1:$D$1,0),1))*IFERROR(IF(AB1072="","",(AVERAGE(E1072:F1072)-AB1072)-Variables!$B$14),"")/365),""))</f>
        <v>-187.88481745568811</v>
      </c>
      <c r="BH1072" s="44">
        <f>IF($AX1072="Cancelled","",IFERROR((W1072*INDEX(Variables!$B$7:$D$7,IFERROR(MATCH(IF($B1072="Robusta","Robusta",(IF($B1072="","Arabica",$B1072))&amp;" - "&amp;(IF($C1072="","Commercial",$C1072))),Variables!$B$1:$D$1,0),1))*AK1072/365)+(L1072/16.67*INDEX(Variables!$B$8:$D$8,IFERROR(MATCH(IF($B1072="Robusta","Robusta",(IF($B1072="","Arabica",$B1072))&amp;" - "&amp;(IF($C1072="","Commercial",$C1072))),Variables!$B$1:$D$1,0),1))*AK1072)+(W1072*INDEX(Variables!$B$9:$D$9,IFERROR(MATCH(IF($B1072="Robusta","Robusta",(IF($B1072="","Arabica",$B1072))&amp;" - "&amp;(IF($C1072="","Commercial",$C1072))),Variables!$B$1:$D$1,0),1))*AK1072/365),""))</f>
        <v>1002.05235976367</v>
      </c>
      <c r="BI1072" s="44">
        <f>IF($AX1072="Cancelled","",IFERROR((W1072*INDEX(Variables!$B$7:$D$7,IFERROR(MATCH(IF($B1072="Robusta","Robusta",(IF($B1072="","Arabica",$B1072))&amp;" - "&amp;(IF($C1072="","Commercial",$C1072))),Variables!$B$1:$D$1,0),1))*BD1072/365)+(L1072/16.67*INDEX(Variables!$B$8:$D$8,IFERROR(MATCH(IF($B1072="Robusta","Robusta",(IF($B1072="","Arabica",$B1072))&amp;" - "&amp;(IF($C1072="","Commercial",$C1072))),Variables!$B$1:$D$1,0),1))*BD1072)+(W1072*INDEX(Variables!$B$9:$D$9,IFERROR(MATCH(IF($B1072="Robusta","Robusta",(IF($B1072="","Arabica",$B1072))&amp;" - "&amp;(IF($C1072="","Commercial",$C1072))),Variables!$B$1:$D$1,0),1))*BD1072/365),""))</f>
        <v>-250.5130899409175</v>
      </c>
      <c r="BJ1072" s="44">
        <f t="shared" si="51"/>
        <v>-39</v>
      </c>
      <c r="BK1072" s="44">
        <f>IF($AX1072="Cancelled","",IFERROR(IF(BJ1072="","",(W1072*INDEX(Variables!$B$7:$D$7,IFERROR(MATCH(IF($B1072="Robusta","Robusta",(IF($B1072="","Arabica",$B1072))&amp;" - "&amp;(IF($C1072="","Commercial",$C1072))),Variables!$B$1:$D$1,0),1))*(BJ1072/365))+(W1072*INDEX(Variables!$B$9:$D$9,IFERROR(MATCH(IF($B1072="Robusta","Robusta",(IF($B1072="","Arabica",$B1072))&amp;" - "&amp;(IF($C1072="","Commercial",$C1072))),Variables!$B$1:$D$1,0),1))*(BJ1072/365))+(INDEX(Variables!$B$8:$D$8,IFERROR(MATCH(IF($B1072="Robusta","Robusta",(IF($B1072="","Arabica",$B1072))&amp;" - "&amp;(IF($C1072="","Commercial",$C1072))),Variables!$B$1:$D$1,0),1))*L1072/16.67)),""))</f>
        <v>-2725.0052538478913</v>
      </c>
    </row>
    <row r="1073" spans="1:63">
      <c r="A1073" s="13" t="s">
        <v>103</v>
      </c>
      <c r="B1073" s="13" t="s">
        <v>104</v>
      </c>
      <c r="C1073" s="13" t="s">
        <v>292</v>
      </c>
      <c r="D1073" s="31">
        <v>46114</v>
      </c>
      <c r="E1073" s="31">
        <v>46113</v>
      </c>
      <c r="F1073" s="31">
        <v>46142</v>
      </c>
      <c r="G1073" s="13">
        <v>3787496</v>
      </c>
      <c r="J1073" s="13" t="s">
        <v>294</v>
      </c>
      <c r="K1073" s="13" t="s">
        <v>2686</v>
      </c>
      <c r="L1073" s="13">
        <v>18</v>
      </c>
      <c r="M1073" s="13">
        <v>0</v>
      </c>
      <c r="N1073" s="13" t="s">
        <v>2687</v>
      </c>
      <c r="O1073" s="13" t="s">
        <v>771</v>
      </c>
      <c r="P1073" s="13">
        <v>10010</v>
      </c>
      <c r="R1073" s="13" t="s">
        <v>384</v>
      </c>
      <c r="S1073" s="13" t="s">
        <v>437</v>
      </c>
      <c r="T1073" s="13" t="s">
        <v>438</v>
      </c>
      <c r="U1073" s="13" t="s">
        <v>182</v>
      </c>
      <c r="V1073" s="23">
        <v>218</v>
      </c>
      <c r="W1073" s="44">
        <f>IF($AX1073="Cancelled","",IFERROR(((V1073+INDEX(Variables!$B$6:$D$6,IFERROR(MATCH(IF($B1073="Robusta","Robusta",(IF($B1073="","Arabica",$B1073))&amp;" - "&amp;(IF($C1073="","Commercial",$C1073))),Variables!$B$1:$D$1,0),1)))*22.0462)*(L1073/16.67),""))</f>
        <v>12112.052674265147</v>
      </c>
      <c r="Y1073" s="13" t="str">
        <f>IF($AX1073="Cancelled","",IF(X1073="","",IFERROR(IF(INDEX(Variables!$B$38:$B$47,MATCH(X1073,Variables!$A$38:$A$47,0))="Yes","Yes","No"),"No")))</f>
        <v/>
      </c>
      <c r="Z1073" s="31"/>
      <c r="AC1073" s="13" t="str">
        <f t="shared" si="50"/>
        <v/>
      </c>
      <c r="AF1073" s="71">
        <v>46141</v>
      </c>
      <c r="AG1073" s="36">
        <f>IF($AX1073="Cancelled","",IFERROR(IF(F1073="","",F1073-Variables!$B$13),""))</f>
        <v>46127</v>
      </c>
      <c r="AH1073" s="13" t="str">
        <f>IF($AX1073="Cancelled","",IFERROR(IF(AB1073="","",(AVERAGE(E1073:F1073)-AB1073)-Variables!$B$14),""))</f>
        <v/>
      </c>
      <c r="AJ1073" s="47">
        <v>46142</v>
      </c>
      <c r="AK1073" s="14">
        <f>IF($AX1073="Cancelled","",IFERROR(IF(AJ1073="","",IF(AND(AB1073="",AF1073=""),"",IF(AF1073&gt;AB1073,AF1073+Variables!$B$15+Variables!$B$16+Variables!$B$17-AJ1073,AB1073+Variables!$B$16+Variables!$B$17-AJ1073))),""))</f>
        <v>14</v>
      </c>
      <c r="AL1073" s="48" t="s">
        <v>114</v>
      </c>
      <c r="AM1073" s="13" t="s">
        <v>115</v>
      </c>
      <c r="AN1073" s="13" t="s">
        <v>2560</v>
      </c>
      <c r="AP1073" s="39" t="e">
        <v>#N/A</v>
      </c>
      <c r="AR1073" s="13">
        <v>270218785</v>
      </c>
      <c r="AS1073" s="31">
        <v>46155</v>
      </c>
      <c r="AU1073" s="31">
        <v>46191</v>
      </c>
      <c r="AV1073" s="13" t="e">
        <v>#N/A</v>
      </c>
      <c r="AW1073" s="31">
        <v>46191</v>
      </c>
      <c r="AX1073" s="13" t="str">
        <f>IF(ISNUMBER(SEARCH("cancel",#REF!)),"Cancelled",IF(AND(AS1073&lt;&gt;"",AU1073&lt;&gt;"",AW1073&lt;&gt;""),"Closed","Open"))</f>
        <v>Closed</v>
      </c>
      <c r="AY1073" s="24" t="str">
        <f t="shared" si="49"/>
        <v>All dates received</v>
      </c>
      <c r="BD1073" s="13">
        <f>IF($AX1073="Cancelled","",IFERROR(IF(OR(AS1073="",AJ1073=""),"",(AJ1073+Variables!$B$18-AS1073)),""))</f>
        <v>2</v>
      </c>
      <c r="BE1073" s="13">
        <f>IF($AX1073="Cancelled","",IFERROR(IF(OR(AW1073="",AS1073=""),"",(AS1073+Variables!$B$19)-AW1073),""))</f>
        <v>-31</v>
      </c>
      <c r="BF1073" s="44">
        <f>IF($AX1073="Cancelled","",IFERROR(W1073*INDEX(Variables!$B$7:$D$7,IFERROR(MATCH(IF($B1073="Robusta","Robusta",(IF($B1073="","Arabica",$B1073))&amp;" - "&amp;(IF($C1073="","Commercial",$C1073))),Variables!$B$1:$D$1,0),1))*(BE1073/365),""))</f>
        <v>-66.332509291856169</v>
      </c>
      <c r="BG1073" s="44" t="str">
        <f>IF($AX1073="Cancelled","",IFERROR((W1073*INDEX(Variables!$B$7:$D$7,IFERROR(MATCH(IF($B1073="Robusta","Robusta",(IF($B1073="","Arabica",$B1073))&amp;" - "&amp;(IF($C1073="","Commercial",$C1073))),Variables!$B$1:$D$1,0),1))*IFERROR(IF(AB1073="","",(AVERAGE(E1073:F1073)-AB1073)-Variables!$B$14),"")/365)+(L1073/16.67*INDEX(Variables!$B$8:$D$8,IFERROR(MATCH(IF($B1073="Robusta","Robusta",(IF($B1073="","Arabica",$B1073))&amp;" - "&amp;(IF($C1073="","Commercial",$C1073))),Variables!$B$1:$D$1,0),1))*IFERROR(IF(AB1073="","",(AVERAGE(E1073:F1073)-AB1073)-Variables!$B$14),""))+(W1073*INDEX(Variables!$B$9:$D$9,IFERROR(MATCH(IF($B1073="Robusta","Robusta",(IF($B1073="","Arabica",$B1073))&amp;" - "&amp;(IF($C1073="","Commercial",$C1073))),Variables!$B$1:$D$1,0),1))*IFERROR(IF(AB1073="","",(AVERAGE(E1073:F1073)-AB1073)-Variables!$B$14),"")/365),""))</f>
        <v/>
      </c>
      <c r="BH1073" s="44">
        <f>IF($AX1073="Cancelled","",IFERROR((W1073*INDEX(Variables!$B$7:$D$7,IFERROR(MATCH(IF($B1073="Robusta","Robusta",(IF($B1073="","Arabica",$B1073))&amp;" - "&amp;(IF($C1073="","Commercial",$C1073))),Variables!$B$1:$D$1,0),1))*AK1073/365)+(L1073/16.67*INDEX(Variables!$B$8:$D$8,IFERROR(MATCH(IF($B1073="Robusta","Robusta",(IF($B1073="","Arabica",$B1073))&amp;" - "&amp;(IF($C1073="","Commercial",$C1073))),Variables!$B$1:$D$1,0),1))*AK1073)+(W1073*INDEX(Variables!$B$9:$D$9,IFERROR(MATCH(IF($B1073="Robusta","Robusta",(IF($B1073="","Arabica",$B1073))&amp;" - "&amp;(IF($C1073="","Commercial",$C1073))),Variables!$B$1:$D$1,0),1))*AK1073/365),""))</f>
        <v>42.942815706215434</v>
      </c>
      <c r="BI1073" s="44">
        <f>IF($AX1073="Cancelled","",IFERROR((W1073*INDEX(Variables!$B$7:$D$7,IFERROR(MATCH(IF($B1073="Robusta","Robusta",(IF($B1073="","Arabica",$B1073))&amp;" - "&amp;(IF($C1073="","Commercial",$C1073))),Variables!$B$1:$D$1,0),1))*BD1073/365)+(L1073/16.67*INDEX(Variables!$B$8:$D$8,IFERROR(MATCH(IF($B1073="Robusta","Robusta",(IF($B1073="","Arabica",$B1073))&amp;" - "&amp;(IF($C1073="","Commercial",$C1073))),Variables!$B$1:$D$1,0),1))*BD1073)+(W1073*INDEX(Variables!$B$9:$D$9,IFERROR(MATCH(IF($B1073="Robusta","Robusta",(IF($B1073="","Arabica",$B1073))&amp;" - "&amp;(IF($C1073="","Commercial",$C1073))),Variables!$B$1:$D$1,0),1))*BD1073/365),""))</f>
        <v>6.1346879580307778</v>
      </c>
      <c r="BJ1073" s="44">
        <f t="shared" si="51"/>
        <v>-13</v>
      </c>
      <c r="BK1073" s="44">
        <f>IF($AX1073="Cancelled","",IFERROR(IF(BJ1073="","",(W1073*INDEX(Variables!$B$7:$D$7,IFERROR(MATCH(IF($B1073="Robusta","Robusta",(IF($B1073="","Arabica",$B1073))&amp;" - "&amp;(IF($C1073="","Commercial",$C1073))),Variables!$B$1:$D$1,0),1))*(BJ1073/365))+(W1073*INDEX(Variables!$B$9:$D$9,IFERROR(MATCH(IF($B1073="Robusta","Robusta",(IF($B1073="","Arabica",$B1073))&amp;" - "&amp;(IF($C1073="","Commercial",$C1073))),Variables!$B$1:$D$1,0),1))*(BJ1073/365))+(INDEX(Variables!$B$8:$D$8,IFERROR(MATCH(IF($B1073="Robusta","Robusta",(IF($B1073="","Arabica",$B1073))&amp;" - "&amp;(IF($C1073="","Commercial",$C1073))),Variables!$B$1:$D$1,0),1))*L1073/16.67)),""))</f>
        <v>-27.275471727200049</v>
      </c>
    </row>
    <row r="1074" spans="1:63">
      <c r="A1074" s="13" t="s">
        <v>103</v>
      </c>
      <c r="B1074" s="13" t="s">
        <v>104</v>
      </c>
      <c r="C1074" s="13" t="s">
        <v>292</v>
      </c>
      <c r="D1074" s="31">
        <v>46114</v>
      </c>
      <c r="E1074" s="31">
        <v>46113</v>
      </c>
      <c r="F1074" s="31">
        <v>46142</v>
      </c>
      <c r="G1074" s="13">
        <v>3787497</v>
      </c>
      <c r="J1074" s="13" t="s">
        <v>294</v>
      </c>
      <c r="K1074" s="13" t="s">
        <v>2688</v>
      </c>
      <c r="L1074" s="13">
        <v>13</v>
      </c>
      <c r="M1074" s="13">
        <v>0</v>
      </c>
      <c r="N1074" s="13" t="s">
        <v>2689</v>
      </c>
      <c r="O1074" s="13" t="s">
        <v>297</v>
      </c>
      <c r="P1074" s="13">
        <v>10020</v>
      </c>
      <c r="R1074" s="13" t="s">
        <v>384</v>
      </c>
      <c r="S1074" s="13" t="s">
        <v>437</v>
      </c>
      <c r="T1074" s="13" t="s">
        <v>438</v>
      </c>
      <c r="U1074" s="13" t="s">
        <v>182</v>
      </c>
      <c r="V1074" s="23">
        <v>181</v>
      </c>
      <c r="W1074" s="44">
        <f>IF($AX1074="Cancelled","",IFERROR(((V1074+INDEX(Variables!$B$6:$D$6,IFERROR(MATCH(IF($B1074="Robusta","Robusta",(IF($B1074="","Arabica",$B1074))&amp;" - "&amp;(IF($C1074="","Commercial",$C1074))),Variables!$B$1:$D$1,0),1)))*22.0462)*(L1074/16.67),""))</f>
        <v>8111.4674913017398</v>
      </c>
      <c r="Y1074" s="13" t="str">
        <f>IF($AX1074="Cancelled","",IF(X1074="","",IFERROR(IF(INDEX(Variables!$B$38:$B$47,MATCH(X1074,Variables!$A$38:$A$47,0))="Yes","Yes","No"),"No")))</f>
        <v/>
      </c>
      <c r="Z1074" s="31"/>
      <c r="AC1074" s="13" t="str">
        <f t="shared" si="50"/>
        <v/>
      </c>
      <c r="AF1074" s="71">
        <v>46140</v>
      </c>
      <c r="AG1074" s="36">
        <f>IF($AX1074="Cancelled","",IFERROR(IF(F1074="","",F1074-Variables!$B$13),""))</f>
        <v>46127</v>
      </c>
      <c r="AH1074" s="13" t="str">
        <f>IF($AX1074="Cancelled","",IFERROR(IF(AB1074="","",(AVERAGE(E1074:F1074)-AB1074)-Variables!$B$14),""))</f>
        <v/>
      </c>
      <c r="AJ1074" s="47">
        <v>46142</v>
      </c>
      <c r="AK1074" s="14">
        <f>IF($AX1074="Cancelled","",IFERROR(IF(AJ1074="","",IF(AND(AB1074="",AF1074=""),"",IF(AF1074&gt;AB1074,AF1074+Variables!$B$15+Variables!$B$16+Variables!$B$17-AJ1074,AB1074+Variables!$B$16+Variables!$B$17-AJ1074))),""))</f>
        <v>13</v>
      </c>
      <c r="AL1074" s="48" t="s">
        <v>114</v>
      </c>
      <c r="AM1074" s="13" t="s">
        <v>115</v>
      </c>
      <c r="AN1074" s="13" t="s">
        <v>2560</v>
      </c>
      <c r="AP1074" s="39" t="e">
        <v>#N/A</v>
      </c>
      <c r="AR1074" s="13">
        <v>270218785</v>
      </c>
      <c r="AS1074" s="31">
        <v>46155</v>
      </c>
      <c r="AU1074" s="31">
        <v>46191</v>
      </c>
      <c r="AV1074" s="13" t="e">
        <v>#N/A</v>
      </c>
      <c r="AW1074" s="31">
        <v>46191</v>
      </c>
      <c r="AX1074" s="13" t="str">
        <f>IF(ISNUMBER(SEARCH("cancel",#REF!)),"Cancelled",IF(AND(AS1074&lt;&gt;"",AU1074&lt;&gt;"",AW1074&lt;&gt;""),"Closed","Open"))</f>
        <v>Closed</v>
      </c>
      <c r="AY1074" s="24" t="str">
        <f t="shared" si="49"/>
        <v>All dates received</v>
      </c>
      <c r="BD1074" s="13">
        <f>IF($AX1074="Cancelled","",IFERROR(IF(OR(AS1074="",AJ1074=""),"",(AJ1074+Variables!$B$18-AS1074)),""))</f>
        <v>2</v>
      </c>
      <c r="BE1074" s="13">
        <f>IF($AX1074="Cancelled","",IFERROR(IF(OR(AW1074="",AS1074=""),"",(AS1074+Variables!$B$19)-AW1074),""))</f>
        <v>-31</v>
      </c>
      <c r="BF1074" s="44">
        <f>IF($AX1074="Cancelled","",IFERROR(W1074*INDEX(Variables!$B$7:$D$7,IFERROR(MATCH(IF($B1074="Robusta","Robusta",(IF($B1074="","Arabica",$B1074))&amp;" - "&amp;(IF($C1074="","Commercial",$C1074))),Variables!$B$1:$D$1,0),1))*(BE1074/365),""))</f>
        <v>-44.423022852318155</v>
      </c>
      <c r="BG1074" s="44" t="str">
        <f>IF($AX1074="Cancelled","",IFERROR((W1074*INDEX(Variables!$B$7:$D$7,IFERROR(MATCH(IF($B1074="Robusta","Robusta",(IF($B1074="","Arabica",$B1074))&amp;" - "&amp;(IF($C1074="","Commercial",$C1074))),Variables!$B$1:$D$1,0),1))*IFERROR(IF(AB1074="","",(AVERAGE(E1074:F1074)-AB1074)-Variables!$B$14),"")/365)+(L1074/16.67*INDEX(Variables!$B$8:$D$8,IFERROR(MATCH(IF($B1074="Robusta","Robusta",(IF($B1074="","Arabica",$B1074))&amp;" - "&amp;(IF($C1074="","Commercial",$C1074))),Variables!$B$1:$D$1,0),1))*IFERROR(IF(AB1074="","",(AVERAGE(E1074:F1074)-AB1074)-Variables!$B$14),""))+(W1074*INDEX(Variables!$B$9:$D$9,IFERROR(MATCH(IF($B1074="Robusta","Robusta",(IF($B1074="","Arabica",$B1074))&amp;" - "&amp;(IF($C1074="","Commercial",$C1074))),Variables!$B$1:$D$1,0),1))*IFERROR(IF(AB1074="","",(AVERAGE(E1074:F1074)-AB1074)-Variables!$B$14),"")/365),""))</f>
        <v/>
      </c>
      <c r="BH1074" s="44">
        <f>IF($AX1074="Cancelled","",IFERROR((W1074*INDEX(Variables!$B$7:$D$7,IFERROR(MATCH(IF($B1074="Robusta","Robusta",(IF($B1074="","Arabica",$B1074))&amp;" - "&amp;(IF($C1074="","Commercial",$C1074))),Variables!$B$1:$D$1,0),1))*AK1074/365)+(L1074/16.67*INDEX(Variables!$B$8:$D$8,IFERROR(MATCH(IF($B1074="Robusta","Robusta",(IF($B1074="","Arabica",$B1074))&amp;" - "&amp;(IF($C1074="","Commercial",$C1074))),Variables!$B$1:$D$1,0),1))*AK1074)+(W1074*INDEX(Variables!$B$9:$D$9,IFERROR(MATCH(IF($B1074="Robusta","Robusta",(IF($B1074="","Arabica",$B1074))&amp;" - "&amp;(IF($C1074="","Commercial",$C1074))),Variables!$B$1:$D$1,0),1))*AK1074/365),""))</f>
        <v>27.319173468248685</v>
      </c>
      <c r="BI1074" s="44">
        <f>IF($AX1074="Cancelled","",IFERROR((W1074*INDEX(Variables!$B$7:$D$7,IFERROR(MATCH(IF($B1074="Robusta","Robusta",(IF($B1074="","Arabica",$B1074))&amp;" - "&amp;(IF($C1074="","Commercial",$C1074))),Variables!$B$1:$D$1,0),1))*BD1074/365)+(L1074/16.67*INDEX(Variables!$B$8:$D$8,IFERROR(MATCH(IF($B1074="Robusta","Robusta",(IF($B1074="","Arabica",$B1074))&amp;" - "&amp;(IF($C1074="","Commercial",$C1074))),Variables!$B$1:$D$1,0),1))*BD1074)+(W1074*INDEX(Variables!$B$9:$D$9,IFERROR(MATCH(IF($B1074="Robusta","Robusta",(IF($B1074="","Arabica",$B1074))&amp;" - "&amp;(IF($C1074="","Commercial",$C1074))),Variables!$B$1:$D$1,0),1))*BD1074/365),""))</f>
        <v>4.2029497643459512</v>
      </c>
      <c r="BJ1074" s="44">
        <f t="shared" si="51"/>
        <v>-13</v>
      </c>
      <c r="BK1074" s="44">
        <f>IF($AX1074="Cancelled","",IFERROR(IF(BJ1074="","",(W1074*INDEX(Variables!$B$7:$D$7,IFERROR(MATCH(IF($B1074="Robusta","Robusta",(IF($B1074="","Arabica",$B1074))&amp;" - "&amp;(IF($C1074="","Commercial",$C1074))),Variables!$B$1:$D$1,0),1))*(BJ1074/365))+(W1074*INDEX(Variables!$B$9:$D$9,IFERROR(MATCH(IF($B1074="Robusta","Robusta",(IF($B1074="","Arabica",$B1074))&amp;" - "&amp;(IF($C1074="","Commercial",$C1074))),Variables!$B$1:$D$1,0),1))*(BJ1074/365))+(INDEX(Variables!$B$8:$D$8,IFERROR(MATCH(IF($B1074="Robusta","Robusta",(IF($B1074="","Arabica",$B1074))&amp;" - "&amp;(IF($C1074="","Commercial",$C1074))),Variables!$B$1:$D$1,0),1))*L1074/16.67)),""))</f>
        <v>-18.219173468248687</v>
      </c>
    </row>
    <row r="1075" spans="1:63">
      <c r="A1075" s="13" t="s">
        <v>103</v>
      </c>
      <c r="B1075" s="13" t="s">
        <v>104</v>
      </c>
      <c r="C1075" s="13" t="s">
        <v>105</v>
      </c>
      <c r="D1075" s="31">
        <v>46115</v>
      </c>
      <c r="E1075" s="31">
        <v>46113</v>
      </c>
      <c r="F1075" s="31">
        <v>46142</v>
      </c>
      <c r="G1075" s="13">
        <v>3787499</v>
      </c>
      <c r="J1075" s="13" t="s">
        <v>2541</v>
      </c>
      <c r="K1075" s="13">
        <v>5588</v>
      </c>
      <c r="L1075" s="13">
        <v>1600</v>
      </c>
      <c r="M1075" s="13">
        <v>5</v>
      </c>
      <c r="N1075" s="13" t="s">
        <v>2690</v>
      </c>
      <c r="O1075" s="13" t="s">
        <v>456</v>
      </c>
      <c r="P1075" s="13">
        <v>10150</v>
      </c>
      <c r="R1075" s="13" t="s">
        <v>110</v>
      </c>
      <c r="S1075" s="13" t="s">
        <v>272</v>
      </c>
      <c r="T1075" s="13" t="s">
        <v>112</v>
      </c>
      <c r="U1075" s="13" t="s">
        <v>113</v>
      </c>
      <c r="V1075" s="23">
        <v>-77</v>
      </c>
      <c r="W1075" s="44">
        <f>IF($AX1075="Cancelled","",IFERROR(((V1075+INDEX(Variables!$B$6:$D$6,IFERROR(MATCH(IF($B1075="Robusta","Robusta",(IF($B1075="","Arabica",$B1075))&amp;" - "&amp;(IF($C1075="","Commercial",$C1075))),Variables!$B$1:$D$1,0),1)))*22.0462)*(L1075/16.67),""))</f>
        <v>452403.36508698255</v>
      </c>
      <c r="X1075" s="55" t="s">
        <v>37</v>
      </c>
      <c r="Y1075" s="13" t="str">
        <f>IF($AX1075="Cancelled","",IF(X1075="","",IFERROR(IF(INDEX(Variables!$B$38:$B$47,MATCH(X1075,Variables!$A$38:$A$47,0))="Yes","Yes","No"),"No")))</f>
        <v>Yes</v>
      </c>
      <c r="Z1075" s="58">
        <v>46141</v>
      </c>
      <c r="AB1075" s="31" t="s">
        <v>2691</v>
      </c>
      <c r="AC1075" s="13" t="str">
        <f t="shared" si="50"/>
        <v/>
      </c>
      <c r="AF1075" s="71">
        <v>46216</v>
      </c>
      <c r="AG1075" s="35">
        <f>IF($AX1075="Cancelled","",IFERROR(IF(F1075="","",F1075-Variables!$B$13),""))</f>
        <v>46127</v>
      </c>
      <c r="AH1075" s="13" t="str">
        <f>IF($AX1075="Cancelled","",IFERROR(IF(AB1075="","",(AVERAGE(E1075:F1075)-AB1075)-Variables!$B$14),""))</f>
        <v/>
      </c>
      <c r="AJ1075" s="47">
        <v>46224</v>
      </c>
      <c r="AK1075" s="14" t="str">
        <f>IF($AX1075="Cancelled","",IFERROR(IF(AJ1075="","",IF(AND(AB1075="",AF1075=""),"",IF(AF1075&gt;AB1075,AF1075+Variables!$B$15+Variables!$B$16+Variables!$B$17-AJ1075,AB1075+Variables!$B$16+Variables!$B$17-AJ1075))),""))</f>
        <v/>
      </c>
      <c r="AL1075" s="48" t="s">
        <v>114</v>
      </c>
      <c r="AM1075" s="13" t="s">
        <v>134</v>
      </c>
      <c r="AN1075" s="13" t="s">
        <v>2692</v>
      </c>
      <c r="AP1075" s="39">
        <v>46233</v>
      </c>
      <c r="AR1075" s="13" t="s">
        <v>2693</v>
      </c>
      <c r="AS1075" s="31">
        <v>46233</v>
      </c>
      <c r="AU1075" s="31">
        <v>46269</v>
      </c>
      <c r="AV1075" s="13" t="e">
        <v>#REF!</v>
      </c>
      <c r="AW1075" s="31">
        <v>46269</v>
      </c>
      <c r="AX1075" s="13" t="str">
        <f>IF(ISNUMBER(SEARCH("cancel",#REF!)),"Cancelled",IF(AND(AS1075&lt;&gt;"",AU1075&lt;&gt;"",AW1075&lt;&gt;""),"Closed","Open"))</f>
        <v>Closed</v>
      </c>
      <c r="AY1075" s="15" t="str">
        <f t="shared" si="49"/>
        <v>All dates received</v>
      </c>
      <c r="BD1075" s="13">
        <f>IF($AX1075="Cancelled","",IFERROR(IF(OR(AS1075="",AJ1075=""),"",(AJ1075+Variables!$B$18-AS1075)),""))</f>
        <v>6</v>
      </c>
      <c r="BE1075" s="13">
        <f>IF($AX1075="Cancelled","",IFERROR(IF(OR(AW1075="",AS1075=""),"",(AS1075+Variables!$B$19)-AW1075),""))</f>
        <v>-31</v>
      </c>
      <c r="BF1075" s="44">
        <f>IF($AX1075="Cancelled","",IFERROR(W1075*INDEX(Variables!$B$7:$D$7,IFERROR(MATCH(IF($B1075="Robusta","Robusta",(IF($B1075="","Arabica",$B1075))&amp;" - "&amp;(IF($C1075="","Commercial",$C1075))),Variables!$B$1:$D$1,0),1))*(BE1075/365),""))</f>
        <v>-2477.6188830536071</v>
      </c>
      <c r="BG1075" s="44" t="str">
        <f>IF($AX1075="Cancelled","",IFERROR((W1075*INDEX(Variables!$B$7:$D$7,IFERROR(MATCH(IF($B1075="Robusta","Robusta",(IF($B1075="","Arabica",$B1075))&amp;" - "&amp;(IF($C1075="","Commercial",$C1075))),Variables!$B$1:$D$1,0),1))*IFERROR(IF(AB1075="","",(AVERAGE(E1075:F1075)-AB1075)-Variables!$B$14),"")/365)+(L1075/16.67*INDEX(Variables!$B$8:$D$8,IFERROR(MATCH(IF($B1075="Robusta","Robusta",(IF($B1075="","Arabica",$B1075))&amp;" - "&amp;(IF($C1075="","Commercial",$C1075))),Variables!$B$1:$D$1,0),1))*IFERROR(IF(AB1075="","",(AVERAGE(E1075:F1075)-AB1075)-Variables!$B$14),""))+(W1075*INDEX(Variables!$B$9:$D$9,IFERROR(MATCH(IF($B1075="Robusta","Robusta",(IF($B1075="","Arabica",$B1075))&amp;" - "&amp;(IF($C1075="","Commercial",$C1075))),Variables!$B$1:$D$1,0),1))*IFERROR(IF(AB1075="","",(AVERAGE(E1075:F1075)-AB1075)-Variables!$B$14),"")/365),""))</f>
        <v/>
      </c>
      <c r="BH1075" s="44" t="str">
        <f>IF($AX1075="Cancelled","",IFERROR((W1075*INDEX(Variables!$B$7:$D$7,IFERROR(MATCH(IF($B1075="Robusta","Robusta",(IF($B1075="","Arabica",$B1075))&amp;" - "&amp;(IF($C1075="","Commercial",$C1075))),Variables!$B$1:$D$1,0),1))*AK1075/365)+(L1075/16.67*INDEX(Variables!$B$8:$D$8,IFERROR(MATCH(IF($B1075="Robusta","Robusta",(IF($B1075="","Arabica",$B1075))&amp;" - "&amp;(IF($C1075="","Commercial",$C1075))),Variables!$B$1:$D$1,0),1))*AK1075)+(W1075*INDEX(Variables!$B$9:$D$9,IFERROR(MATCH(IF($B1075="Robusta","Robusta",(IF($B1075="","Arabica",$B1075))&amp;" - "&amp;(IF($C1075="","Commercial",$C1075))),Variables!$B$1:$D$1,0),1))*AK1075/365),""))</f>
        <v/>
      </c>
      <c r="BI1075" s="44">
        <f>IF($AX1075="Cancelled","",IFERROR((W1075*INDEX(Variables!$B$7:$D$7,IFERROR(MATCH(IF($B1075="Robusta","Robusta",(IF($B1075="","Arabica",$B1075))&amp;" - "&amp;(IF($C1075="","Commercial",$C1075))),Variables!$B$1:$D$1,0),1))*BD1075/365)+(L1075/16.67*INDEX(Variables!$B$8:$D$8,IFERROR(MATCH(IF($B1075="Robusta","Robusta",(IF($B1075="","Arabica",$B1075))&amp;" - "&amp;(IF($C1075="","Commercial",$C1075))),Variables!$B$1:$D$1,0),1))*BD1075)+(W1075*INDEX(Variables!$B$9:$D$9,IFERROR(MATCH(IF($B1075="Robusta","Robusta",(IF($B1075="","Arabica",$B1075))&amp;" - "&amp;(IF($C1075="","Commercial",$C1075))),Variables!$B$1:$D$1,0),1))*BD1075/365),""))</f>
        <v>965.72132359904606</v>
      </c>
      <c r="BJ1075" s="44">
        <f t="shared" si="51"/>
        <v>-91</v>
      </c>
      <c r="BK1075" s="44">
        <f>IF($AX1075="Cancelled","",IFERROR(IF(BJ1075="","",(W1075*INDEX(Variables!$B$7:$D$7,IFERROR(MATCH(IF($B1075="Robusta","Robusta",(IF($B1075="","Arabica",$B1075))&amp;" - "&amp;(IF($C1075="","Commercial",$C1075))),Variables!$B$1:$D$1,0),1))*(BJ1075/365))+(W1075*INDEX(Variables!$B$9:$D$9,IFERROR(MATCH(IF($B1075="Robusta","Robusta",(IF($B1075="","Arabica",$B1075))&amp;" - "&amp;(IF($C1075="","Commercial",$C1075))),Variables!$B$1:$D$1,0),1))*(BJ1075/365))+(INDEX(Variables!$B$8:$D$8,IFERROR(MATCH(IF($B1075="Robusta","Robusta",(IF($B1075="","Arabica",$B1075))&amp;" - "&amp;(IF($C1075="","Commercial",$C1075))),Variables!$B$1:$D$1,0),1))*L1075/16.67)),""))</f>
        <v>-7286.7734079188658</v>
      </c>
    </row>
    <row r="1076" spans="1:63">
      <c r="A1076" s="13" t="s">
        <v>103</v>
      </c>
      <c r="B1076" s="13" t="s">
        <v>104</v>
      </c>
      <c r="C1076" s="13" t="s">
        <v>105</v>
      </c>
      <c r="D1076" s="31">
        <v>46115</v>
      </c>
      <c r="E1076" s="31">
        <v>46143</v>
      </c>
      <c r="F1076" s="31">
        <v>46173</v>
      </c>
      <c r="G1076" s="13">
        <v>3787500</v>
      </c>
      <c r="J1076" s="13" t="s">
        <v>2541</v>
      </c>
      <c r="K1076" s="13">
        <v>5562</v>
      </c>
      <c r="L1076" s="13">
        <v>1600</v>
      </c>
      <c r="M1076" s="13">
        <v>5</v>
      </c>
      <c r="N1076" s="13" t="s">
        <v>2690</v>
      </c>
      <c r="O1076" s="13" t="s">
        <v>405</v>
      </c>
      <c r="P1076" s="13">
        <v>10150</v>
      </c>
      <c r="R1076" s="13" t="s">
        <v>110</v>
      </c>
      <c r="S1076" s="13" t="s">
        <v>272</v>
      </c>
      <c r="T1076" s="13" t="s">
        <v>112</v>
      </c>
      <c r="U1076" s="13" t="s">
        <v>113</v>
      </c>
      <c r="V1076" s="23">
        <v>-77</v>
      </c>
      <c r="W1076" s="44">
        <f>IF($AX1076="Cancelled","",IFERROR(((V1076+INDEX(Variables!$B$6:$D$6,IFERROR(MATCH(IF($B1076="Robusta","Robusta",(IF($B1076="","Arabica",$B1076))&amp;" - "&amp;(IF($C1076="","Commercial",$C1076))),Variables!$B$1:$D$1,0),1)))*22.0462)*(L1076/16.67),""))</f>
        <v>452403.36508698255</v>
      </c>
      <c r="X1076" s="55" t="s">
        <v>37</v>
      </c>
      <c r="Y1076" s="13" t="str">
        <f>IF($AX1076="Cancelled","",IF(X1076="","",IFERROR(IF(INDEX(Variables!$B$38:$B$47,MATCH(X1076,Variables!$A$38:$A$47,0))="Yes","Yes","No"),"No")))</f>
        <v>Yes</v>
      </c>
      <c r="Z1076" s="58">
        <v>46121</v>
      </c>
      <c r="AB1076" s="31">
        <v>46225</v>
      </c>
      <c r="AC1076" s="13" t="str">
        <f t="shared" si="50"/>
        <v>Approved</v>
      </c>
      <c r="AF1076" s="71">
        <v>46218</v>
      </c>
      <c r="AG1076" s="35">
        <f>IF($AX1076="Cancelled","",IFERROR(IF(F1076="","",F1076-Variables!$B$13),""))</f>
        <v>46158</v>
      </c>
      <c r="AH1076" s="13">
        <f>IF($AX1076="Cancelled","",IFERROR(IF(AB1076="","",(AVERAGE(E1076:F1076)-AB1076)-Variables!$B$14),""))</f>
        <v>-97</v>
      </c>
      <c r="AJ1076" s="47">
        <v>46230</v>
      </c>
      <c r="AK1076" s="14">
        <f>IF($AX1076="Cancelled","",IFERROR(IF(AJ1076="","",IF(AND(AB1076="",AF1076=""),"",IF(AF1076&gt;AB1076,AF1076+Variables!$B$15+Variables!$B$16+Variables!$B$17-AJ1076,AB1076+Variables!$B$16+Variables!$B$17-AJ1076))),""))</f>
        <v>3</v>
      </c>
      <c r="AL1076" s="48" t="s">
        <v>114</v>
      </c>
      <c r="AM1076" s="13" t="s">
        <v>134</v>
      </c>
      <c r="AN1076" s="13" t="s">
        <v>2692</v>
      </c>
      <c r="AP1076" s="39">
        <v>46233</v>
      </c>
      <c r="AR1076" s="13" t="s">
        <v>2694</v>
      </c>
      <c r="AS1076" s="31">
        <v>46233</v>
      </c>
      <c r="AU1076" s="31">
        <v>46269</v>
      </c>
      <c r="AV1076" s="13" t="e">
        <v>#REF!</v>
      </c>
      <c r="AW1076" s="31">
        <v>46269</v>
      </c>
      <c r="AX1076" s="13" t="str">
        <f>IF(ISNUMBER(SEARCH("cancel",#REF!)),"Cancelled",IF(AND(AS1076&lt;&gt;"",AU1076&lt;&gt;"",AW1076&lt;&gt;""),"Closed","Open"))</f>
        <v>Closed</v>
      </c>
      <c r="AY1076" s="15" t="str">
        <f t="shared" si="49"/>
        <v>All dates received</v>
      </c>
      <c r="BD1076" s="13">
        <f>IF($AX1076="Cancelled","",IFERROR(IF(OR(AS1076="",AJ1076=""),"",(AJ1076+Variables!$B$18-AS1076)),""))</f>
        <v>12</v>
      </c>
      <c r="BE1076" s="13">
        <f>IF($AX1076="Cancelled","",IFERROR(IF(OR(AW1076="",AS1076=""),"",(AS1076+Variables!$B$19)-AW1076),""))</f>
        <v>-31</v>
      </c>
      <c r="BF1076" s="44">
        <f>IF($AX1076="Cancelled","",IFERROR(W1076*INDEX(Variables!$B$7:$D$7,IFERROR(MATCH(IF($B1076="Robusta","Robusta",(IF($B1076="","Arabica",$B1076))&amp;" - "&amp;(IF($C1076="","Commercial",$C1076))),Variables!$B$1:$D$1,0),1))*(BE1076/365),""))</f>
        <v>-2477.6188830536071</v>
      </c>
      <c r="BG1076" s="44">
        <f>IF($AX1076="Cancelled","",IFERROR((W1076*INDEX(Variables!$B$7:$D$7,IFERROR(MATCH(IF($B1076="Robusta","Robusta",(IF($B1076="","Arabica",$B1076))&amp;" - "&amp;(IF($C1076="","Commercial",$C1076))),Variables!$B$1:$D$1,0),1))*IFERROR(IF(AB1076="","",(AVERAGE(E1076:F1076)-AB1076)-Variables!$B$14),"")/365)+(L1076/16.67*INDEX(Variables!$B$8:$D$8,IFERROR(MATCH(IF($B1076="Robusta","Robusta",(IF($B1076="","Arabica",$B1076))&amp;" - "&amp;(IF($C1076="","Commercial",$C1076))),Variables!$B$1:$D$1,0),1))*IFERROR(IF(AB1076="","",(AVERAGE(E1076:F1076)-AB1076)-Variables!$B$14),""))+(W1076*INDEX(Variables!$B$9:$D$9,IFERROR(MATCH(IF($B1076="Robusta","Robusta",(IF($B1076="","Arabica",$B1076))&amp;" - "&amp;(IF($C1076="","Commercial",$C1076))),Variables!$B$1:$D$1,0),1))*IFERROR(IF(AB1076="","",(AVERAGE(E1076:F1076)-AB1076)-Variables!$B$14),"")/365),""))</f>
        <v>-15612.494731517911</v>
      </c>
      <c r="BH1076" s="44">
        <f>IF($AX1076="Cancelled","",IFERROR((W1076*INDEX(Variables!$B$7:$D$7,IFERROR(MATCH(IF($B1076="Robusta","Robusta",(IF($B1076="","Arabica",$B1076))&amp;" - "&amp;(IF($C1076="","Commercial",$C1076))),Variables!$B$1:$D$1,0),1))*AK1076/365)+(L1076/16.67*INDEX(Variables!$B$8:$D$8,IFERROR(MATCH(IF($B1076="Robusta","Robusta",(IF($B1076="","Arabica",$B1076))&amp;" - "&amp;(IF($C1076="","Commercial",$C1076))),Variables!$B$1:$D$1,0),1))*AK1076)+(W1076*INDEX(Variables!$B$9:$D$9,IFERROR(MATCH(IF($B1076="Robusta","Robusta",(IF($B1076="","Arabica",$B1076))&amp;" - "&amp;(IF($C1076="","Commercial",$C1076))),Variables!$B$1:$D$1,0),1))*AK1076/365),""))</f>
        <v>482.86066179952303</v>
      </c>
      <c r="BI1076" s="44">
        <f>IF($AX1076="Cancelled","",IFERROR((W1076*INDEX(Variables!$B$7:$D$7,IFERROR(MATCH(IF($B1076="Robusta","Robusta",(IF($B1076="","Arabica",$B1076))&amp;" - "&amp;(IF($C1076="","Commercial",$C1076))),Variables!$B$1:$D$1,0),1))*BD1076/365)+(L1076/16.67*INDEX(Variables!$B$8:$D$8,IFERROR(MATCH(IF($B1076="Robusta","Robusta",(IF($B1076="","Arabica",$B1076))&amp;" - "&amp;(IF($C1076="","Commercial",$C1076))),Variables!$B$1:$D$1,0),1))*BD1076)+(W1076*INDEX(Variables!$B$9:$D$9,IFERROR(MATCH(IF($B1076="Robusta","Robusta",(IF($B1076="","Arabica",$B1076))&amp;" - "&amp;(IF($C1076="","Commercial",$C1076))),Variables!$B$1:$D$1,0),1))*BD1076/365),""))</f>
        <v>1931.4426471980921</v>
      </c>
      <c r="BJ1076" s="44">
        <f t="shared" si="51"/>
        <v>-60</v>
      </c>
      <c r="BK1076" s="44">
        <f>IF($AX1076="Cancelled","",IFERROR(IF(BJ1076="","",(W1076*INDEX(Variables!$B$7:$D$7,IFERROR(MATCH(IF($B1076="Robusta","Robusta",(IF($B1076="","Arabica",$B1076))&amp;" - "&amp;(IF($C1076="","Commercial",$C1076))),Variables!$B$1:$D$1,0),1))*(BJ1076/365))+(W1076*INDEX(Variables!$B$9:$D$9,IFERROR(MATCH(IF($B1076="Robusta","Robusta",(IF($B1076="","Arabica",$B1076))&amp;" - "&amp;(IF($C1076="","Commercial",$C1076))),Variables!$B$1:$D$1,0),1))*(BJ1076/365))+(INDEX(Variables!$B$8:$D$8,IFERROR(MATCH(IF($B1076="Robusta","Robusta",(IF($B1076="","Arabica",$B1076))&amp;" - "&amp;(IF($C1076="","Commercial",$C1076))),Variables!$B$1:$D$1,0),1))*L1076/16.67)),""))</f>
        <v>-4777.2132359904608</v>
      </c>
    </row>
    <row r="1077" spans="1:63">
      <c r="A1077" s="13" t="s">
        <v>103</v>
      </c>
      <c r="B1077" s="13" t="s">
        <v>104</v>
      </c>
      <c r="C1077" s="13" t="s">
        <v>105</v>
      </c>
      <c r="D1077" s="31">
        <v>46115</v>
      </c>
      <c r="E1077" s="31">
        <v>46174</v>
      </c>
      <c r="F1077" s="31">
        <v>46203</v>
      </c>
      <c r="G1077" s="13">
        <v>3787501</v>
      </c>
      <c r="J1077" s="13" t="s">
        <v>2541</v>
      </c>
      <c r="K1077" s="13">
        <v>5596</v>
      </c>
      <c r="L1077" s="13">
        <v>1600</v>
      </c>
      <c r="M1077" s="13">
        <v>5</v>
      </c>
      <c r="N1077" s="13" t="s">
        <v>2690</v>
      </c>
      <c r="O1077" s="13" t="s">
        <v>405</v>
      </c>
      <c r="P1077" s="13">
        <v>10150</v>
      </c>
      <c r="R1077" s="13" t="s">
        <v>110</v>
      </c>
      <c r="S1077" s="13" t="s">
        <v>272</v>
      </c>
      <c r="T1077" s="13" t="s">
        <v>112</v>
      </c>
      <c r="U1077" s="13" t="s">
        <v>113</v>
      </c>
      <c r="V1077" s="23">
        <v>-77</v>
      </c>
      <c r="W1077" s="44">
        <f>IF($AX1077="Cancelled","",IFERROR(((V1077+INDEX(Variables!$B$6:$D$6,IFERROR(MATCH(IF($B1077="Robusta","Robusta",(IF($B1077="","Arabica",$B1077))&amp;" - "&amp;(IF($C1077="","Commercial",$C1077))),Variables!$B$1:$D$1,0),1)))*22.0462)*(L1077/16.67),""))</f>
        <v>452403.36508698255</v>
      </c>
      <c r="X1077" s="55" t="s">
        <v>37</v>
      </c>
      <c r="Y1077" s="13" t="str">
        <f>IF($AX1077="Cancelled","",IF(X1077="","",IFERROR(IF(INDEX(Variables!$B$38:$B$47,MATCH(X1077,Variables!$A$38:$A$47,0))="Yes","Yes","No"),"No")))</f>
        <v>Yes</v>
      </c>
      <c r="Z1077" s="58">
        <v>46163</v>
      </c>
      <c r="AB1077" s="31">
        <v>46231</v>
      </c>
      <c r="AC1077" s="13" t="str">
        <f t="shared" si="50"/>
        <v>Approved</v>
      </c>
      <c r="AF1077" s="71">
        <v>46232</v>
      </c>
      <c r="AG1077" s="35">
        <f>IF($AX1077="Cancelled","",IFERROR(IF(F1077="","",F1077-Variables!$B$13),""))</f>
        <v>46188</v>
      </c>
      <c r="AH1077" s="13">
        <f>IF($AX1077="Cancelled","",IFERROR(IF(AB1077="","",(AVERAGE(E1077:F1077)-AB1077)-Variables!$B$14),""))</f>
        <v>-72.5</v>
      </c>
      <c r="AJ1077" s="47">
        <v>46238</v>
      </c>
      <c r="AK1077" s="14">
        <f>IF($AX1077="Cancelled","",IFERROR(IF(AJ1077="","",IF(AND(AB1077="",AF1077=""),"",IF(AF1077&gt;AB1077,AF1077+Variables!$B$15+Variables!$B$16+Variables!$B$17-AJ1077,AB1077+Variables!$B$16+Variables!$B$17-AJ1077))),""))</f>
        <v>9</v>
      </c>
      <c r="AL1077" s="48" t="s">
        <v>114</v>
      </c>
      <c r="AM1077" s="13" t="s">
        <v>134</v>
      </c>
      <c r="AN1077" s="13" t="s">
        <v>2695</v>
      </c>
      <c r="AP1077" s="39">
        <v>46247</v>
      </c>
      <c r="AR1077" s="13" t="s">
        <v>2696</v>
      </c>
      <c r="AS1077" s="31">
        <v>46247</v>
      </c>
      <c r="AU1077" s="31">
        <v>46272</v>
      </c>
      <c r="AV1077" s="13" t="s">
        <v>865</v>
      </c>
      <c r="AW1077" s="39">
        <v>46272</v>
      </c>
      <c r="AX1077" s="13" t="str">
        <f>IF(ISNUMBER(SEARCH("cancel",#REF!)),"Cancelled",IF(AND(AS1077&lt;&gt;"",AU1077&lt;&gt;"",AW1077&lt;&gt;""),"Closed","Open"))</f>
        <v>Closed</v>
      </c>
      <c r="AY1077" s="15" t="str">
        <f t="shared" si="49"/>
        <v>All dates received</v>
      </c>
      <c r="AZ1077" s="13" t="s">
        <v>3047</v>
      </c>
      <c r="BA1077" s="13" t="s">
        <v>3062</v>
      </c>
      <c r="BB1077" s="13" t="s">
        <v>3055</v>
      </c>
      <c r="BC1077" s="13" t="s">
        <v>3298</v>
      </c>
      <c r="BD1077" s="13">
        <f>IF($AX1077="Cancelled","",IFERROR(IF(OR(AS1077="",AJ1077=""),"",(AJ1077+Variables!$B$18-AS1077)),""))</f>
        <v>6</v>
      </c>
      <c r="BE1077" s="13">
        <f>IF($AX1077="Cancelled","",IFERROR(IF(OR(AW1077="",AS1077=""),"",(AS1077+Variables!$B$19)-AW1077),""))</f>
        <v>-20</v>
      </c>
      <c r="BF1077" s="44">
        <f>IF($AX1077="Cancelled","",IFERROR(W1077*INDEX(Variables!$B$7:$D$7,IFERROR(MATCH(IF($B1077="Robusta","Robusta",(IF($B1077="","Arabica",$B1077))&amp;" - "&amp;(IF($C1077="","Commercial",$C1077))),Variables!$B$1:$D$1,0),1))*(BE1077/365),""))</f>
        <v>-1598.4637955184562</v>
      </c>
      <c r="BG1077" s="44">
        <f>IF($AX1077="Cancelled","",IFERROR((W1077*INDEX(Variables!$B$7:$D$7,IFERROR(MATCH(IF($B1077="Robusta","Robusta",(IF($B1077="","Arabica",$B1077))&amp;" - "&amp;(IF($C1077="","Commercial",$C1077))),Variables!$B$1:$D$1,0),1))*IFERROR(IF(AB1077="","",(AVERAGE(E1077:F1077)-AB1077)-Variables!$B$14),"")/365)+(L1077/16.67*INDEX(Variables!$B$8:$D$8,IFERROR(MATCH(IF($B1077="Robusta","Robusta",(IF($B1077="","Arabica",$B1077))&amp;" - "&amp;(IF($C1077="","Commercial",$C1077))),Variables!$B$1:$D$1,0),1))*IFERROR(IF(AB1077="","",(AVERAGE(E1077:F1077)-AB1077)-Variables!$B$14),""))+(W1077*INDEX(Variables!$B$9:$D$9,IFERROR(MATCH(IF($B1077="Robusta","Robusta",(IF($B1077="","Arabica",$B1077))&amp;" - "&amp;(IF($C1077="","Commercial",$C1077))),Variables!$B$1:$D$1,0),1))*IFERROR(IF(AB1077="","",(AVERAGE(E1077:F1077)-AB1077)-Variables!$B$14),"")/365),""))</f>
        <v>-11669.132660155141</v>
      </c>
      <c r="BH1077" s="44">
        <f>IF($AX1077="Cancelled","",IFERROR((W1077*INDEX(Variables!$B$7:$D$7,IFERROR(MATCH(IF($B1077="Robusta","Robusta",(IF($B1077="","Arabica",$B1077))&amp;" - "&amp;(IF($C1077="","Commercial",$C1077))),Variables!$B$1:$D$1,0),1))*AK1077/365)+(L1077/16.67*INDEX(Variables!$B$8:$D$8,IFERROR(MATCH(IF($B1077="Robusta","Robusta",(IF($B1077="","Arabica",$B1077))&amp;" - "&amp;(IF($C1077="","Commercial",$C1077))),Variables!$B$1:$D$1,0),1))*AK1077)+(W1077*INDEX(Variables!$B$9:$D$9,IFERROR(MATCH(IF($B1077="Robusta","Robusta",(IF($B1077="","Arabica",$B1077))&amp;" - "&amp;(IF($C1077="","Commercial",$C1077))),Variables!$B$1:$D$1,0),1))*AK1077/365),""))</f>
        <v>1448.581985398569</v>
      </c>
      <c r="BI1077" s="44">
        <f>IF($AX1077="Cancelled","",IFERROR((W1077*INDEX(Variables!$B$7:$D$7,IFERROR(MATCH(IF($B1077="Robusta","Robusta",(IF($B1077="","Arabica",$B1077))&amp;" - "&amp;(IF($C1077="","Commercial",$C1077))),Variables!$B$1:$D$1,0),1))*BD1077/365)+(L1077/16.67*INDEX(Variables!$B$8:$D$8,IFERROR(MATCH(IF($B1077="Robusta","Robusta",(IF($B1077="","Arabica",$B1077))&amp;" - "&amp;(IF($C1077="","Commercial",$C1077))),Variables!$B$1:$D$1,0),1))*BD1077)+(W1077*INDEX(Variables!$B$9:$D$9,IFERROR(MATCH(IF($B1077="Robusta","Robusta",(IF($B1077="","Arabica",$B1077))&amp;" - "&amp;(IF($C1077="","Commercial",$C1077))),Variables!$B$1:$D$1,0),1))*BD1077/365),""))</f>
        <v>965.72132359904606</v>
      </c>
      <c r="BJ1077" s="44">
        <f t="shared" si="51"/>
        <v>-44</v>
      </c>
      <c r="BK1077" s="44">
        <f>IF($AX1077="Cancelled","",IFERROR(IF(BJ1077="","",(W1077*INDEX(Variables!$B$7:$D$7,IFERROR(MATCH(IF($B1077="Robusta","Robusta",(IF($B1077="","Arabica",$B1077))&amp;" - "&amp;(IF($C1077="","Commercial",$C1077))),Variables!$B$1:$D$1,0),1))*(BJ1077/365))+(W1077*INDEX(Variables!$B$9:$D$9,IFERROR(MATCH(IF($B1077="Robusta","Robusta",(IF($B1077="","Arabica",$B1077))&amp;" - "&amp;(IF($C1077="","Commercial",$C1077))),Variables!$B$1:$D$1,0),1))*(BJ1077/365))+(INDEX(Variables!$B$8:$D$8,IFERROR(MATCH(IF($B1077="Robusta","Robusta",(IF($B1077="","Arabica",$B1077))&amp;" - "&amp;(IF($C1077="","Commercial",$C1077))),Variables!$B$1:$D$1,0),1))*L1077/16.67)),""))</f>
        <v>-3481.9563730596715</v>
      </c>
    </row>
    <row r="1078" spans="1:63">
      <c r="A1078" s="13" t="s">
        <v>103</v>
      </c>
      <c r="B1078" s="13" t="s">
        <v>104</v>
      </c>
      <c r="C1078" s="13" t="s">
        <v>105</v>
      </c>
      <c r="D1078" s="31">
        <v>46115</v>
      </c>
      <c r="E1078" s="31">
        <v>46143</v>
      </c>
      <c r="F1078" s="31">
        <v>46173</v>
      </c>
      <c r="G1078" s="13">
        <v>3787502</v>
      </c>
      <c r="J1078" s="13" t="s">
        <v>2541</v>
      </c>
      <c r="K1078" s="13">
        <v>5547</v>
      </c>
      <c r="L1078" s="13">
        <v>600</v>
      </c>
      <c r="M1078" s="13">
        <v>2</v>
      </c>
      <c r="N1078" s="13" t="s">
        <v>2697</v>
      </c>
      <c r="O1078" s="13" t="s">
        <v>1172</v>
      </c>
      <c r="P1078" s="13">
        <v>10260</v>
      </c>
      <c r="R1078" s="13" t="s">
        <v>110</v>
      </c>
      <c r="S1078" s="13" t="s">
        <v>2121</v>
      </c>
      <c r="T1078" s="13" t="s">
        <v>112</v>
      </c>
      <c r="U1078" s="13" t="s">
        <v>113</v>
      </c>
      <c r="V1078" s="23">
        <v>-146</v>
      </c>
      <c r="W1078" s="44">
        <f>IF($AX1078="Cancelled","",IFERROR(((V1078+INDEX(Variables!$B$6:$D$6,IFERROR(MATCH(IF($B1078="Robusta","Robusta",(IF($B1078="","Arabica",$B1078))&amp;" - "&amp;(IF($C1078="","Commercial",$C1078))),Variables!$B$1:$D$1,0),1)))*22.0462)*(L1078/16.67),""))</f>
        <v>114899.45146970605</v>
      </c>
      <c r="X1078" s="55" t="s">
        <v>37</v>
      </c>
      <c r="Y1078" s="13" t="str">
        <f>IF($AX1078="Cancelled","",IF(X1078="","",IFERROR(IF(INDEX(Variables!$B$38:$B$47,MATCH(X1078,Variables!$A$38:$A$47,0))="Yes","Yes","No"),"No")))</f>
        <v>Yes</v>
      </c>
      <c r="Z1078" s="58">
        <v>46121</v>
      </c>
      <c r="AB1078" s="31">
        <v>46169</v>
      </c>
      <c r="AC1078" s="13" t="str">
        <f t="shared" si="50"/>
        <v>Approved</v>
      </c>
      <c r="AF1078" s="71">
        <v>46184</v>
      </c>
      <c r="AG1078" s="35">
        <f>IF($AX1078="Cancelled","",IFERROR(IF(F1078="","",F1078-Variables!$B$13),""))</f>
        <v>46158</v>
      </c>
      <c r="AH1078" s="13">
        <f>IF($AX1078="Cancelled","",IFERROR(IF(AB1078="","",(AVERAGE(E1078:F1078)-AB1078)-Variables!$B$14),""))</f>
        <v>-41</v>
      </c>
      <c r="AJ1078" s="47">
        <v>46190</v>
      </c>
      <c r="AK1078" s="14">
        <f>IF($AX1078="Cancelled","",IFERROR(IF(AJ1078="","",IF(AND(AB1078="",AF1078=""),"",IF(AF1078&gt;AB1078,AF1078+Variables!$B$15+Variables!$B$16+Variables!$B$17-AJ1078,AB1078+Variables!$B$16+Variables!$B$17-AJ1078))),""))</f>
        <v>9</v>
      </c>
      <c r="AL1078" s="48" t="s">
        <v>114</v>
      </c>
      <c r="AM1078" s="13" t="s">
        <v>168</v>
      </c>
      <c r="AN1078" s="13" t="s">
        <v>2360</v>
      </c>
      <c r="AP1078" s="39">
        <v>46201</v>
      </c>
      <c r="AR1078" s="13" t="s">
        <v>2698</v>
      </c>
      <c r="AS1078" s="31">
        <v>46201</v>
      </c>
      <c r="AU1078" s="31">
        <v>46234</v>
      </c>
      <c r="AV1078" s="13" t="s">
        <v>2699</v>
      </c>
      <c r="AW1078" s="31">
        <v>46234</v>
      </c>
      <c r="AX1078" s="13" t="str">
        <f>IF(ISNUMBER(SEARCH("cancel",#REF!)),"Cancelled",IF(AND(AS1078&lt;&gt;"",AU1078&lt;&gt;"",AW1078&lt;&gt;""),"Closed","Open"))</f>
        <v>Closed</v>
      </c>
      <c r="AY1078" s="15" t="str">
        <f t="shared" si="49"/>
        <v>All dates received</v>
      </c>
      <c r="BD1078" s="13">
        <f>IF($AX1078="Cancelled","",IFERROR(IF(OR(AS1078="",AJ1078=""),"",(AJ1078+Variables!$B$18-AS1078)),""))</f>
        <v>4</v>
      </c>
      <c r="BE1078" s="13">
        <f>IF($AX1078="Cancelled","",IFERROR(IF(OR(AW1078="",AS1078=""),"",(AS1078+Variables!$B$19)-AW1078),""))</f>
        <v>-28</v>
      </c>
      <c r="BF1078" s="44">
        <f>IF($AX1078="Cancelled","",IFERROR(W1078*INDEX(Variables!$B$7:$D$7,IFERROR(MATCH(IF($B1078="Robusta","Robusta",(IF($B1078="","Arabica",$B1078))&amp;" - "&amp;(IF($C1078="","Commercial",$C1078))),Variables!$B$1:$D$1,0),1))*(BE1078/365),""))</f>
        <v>-568.35929717171689</v>
      </c>
      <c r="BG1078" s="44">
        <f>IF($AX1078="Cancelled","",IFERROR((W1078*INDEX(Variables!$B$7:$D$7,IFERROR(MATCH(IF($B1078="Robusta","Robusta",(IF($B1078="","Arabica",$B1078))&amp;" - "&amp;(IF($C1078="","Commercial",$C1078))),Variables!$B$1:$D$1,0),1))*IFERROR(IF(AB1078="","",(AVERAGE(E1078:F1078)-AB1078)-Variables!$B$14),"")/365)+(L1078/16.67*INDEX(Variables!$B$8:$D$8,IFERROR(MATCH(IF($B1078="Robusta","Robusta",(IF($B1078="","Arabica",$B1078))&amp;" - "&amp;(IF($C1078="","Commercial",$C1078))),Variables!$B$1:$D$1,0),1))*IFERROR(IF(AB1078="","",(AVERAGE(E1078:F1078)-AB1078)-Variables!$B$14),""))+(W1078*INDEX(Variables!$B$9:$D$9,IFERROR(MATCH(IF($B1078="Robusta","Robusta",(IF($B1078="","Arabica",$B1078))&amp;" - "&amp;(IF($C1078="","Commercial",$C1078))),Variables!$B$1:$D$1,0),1))*IFERROR(IF(AB1078="","",(AVERAGE(E1078:F1078)-AB1078)-Variables!$B$14),"")/365),""))</f>
        <v>-2072.9695842910478</v>
      </c>
      <c r="BH1078" s="44">
        <f>IF($AX1078="Cancelled","",IFERROR((W1078*INDEX(Variables!$B$7:$D$7,IFERROR(MATCH(IF($B1078="Robusta","Robusta",(IF($B1078="","Arabica",$B1078))&amp;" - "&amp;(IF($C1078="","Commercial",$C1078))),Variables!$B$1:$D$1,0),1))*AK1078/365)+(L1078/16.67*INDEX(Variables!$B$8:$D$8,IFERROR(MATCH(IF($B1078="Robusta","Robusta",(IF($B1078="","Arabica",$B1078))&amp;" - "&amp;(IF($C1078="","Commercial",$C1078))),Variables!$B$1:$D$1,0),1))*AK1078)+(W1078*INDEX(Variables!$B$9:$D$9,IFERROR(MATCH(IF($B1078="Robusta","Robusta",(IF($B1078="","Arabica",$B1078))&amp;" - "&amp;(IF($C1078="","Commercial",$C1078))),Variables!$B$1:$D$1,0),1))*AK1078/365),""))</f>
        <v>455.04210386876662</v>
      </c>
      <c r="BI1078" s="44">
        <f>IF($AX1078="Cancelled","",IFERROR((W1078*INDEX(Variables!$B$7:$D$7,IFERROR(MATCH(IF($B1078="Robusta","Robusta",(IF($B1078="","Arabica",$B1078))&amp;" - "&amp;(IF($C1078="","Commercial",$C1078))),Variables!$B$1:$D$1,0),1))*BD1078/365)+(L1078/16.67*INDEX(Variables!$B$8:$D$8,IFERROR(MATCH(IF($B1078="Robusta","Robusta",(IF($B1078="","Arabica",$B1078))&amp;" - "&amp;(IF($C1078="","Commercial",$C1078))),Variables!$B$1:$D$1,0),1))*BD1078)+(W1078*INDEX(Variables!$B$9:$D$9,IFERROR(MATCH(IF($B1078="Robusta","Robusta",(IF($B1078="","Arabica",$B1078))&amp;" - "&amp;(IF($C1078="","Commercial",$C1078))),Variables!$B$1:$D$1,0),1))*BD1078/365),""))</f>
        <v>202.24093505278515</v>
      </c>
      <c r="BJ1078" s="44">
        <f t="shared" si="51"/>
        <v>-28</v>
      </c>
      <c r="BK1078" s="44">
        <f>IF($AX1078="Cancelled","",IFERROR(IF(BJ1078="","",(W1078*INDEX(Variables!$B$7:$D$7,IFERROR(MATCH(IF($B1078="Robusta","Robusta",(IF($B1078="","Arabica",$B1078))&amp;" - "&amp;(IF($C1078="","Commercial",$C1078))),Variables!$B$1:$D$1,0),1))*(BJ1078/365))+(W1078*INDEX(Variables!$B$9:$D$9,IFERROR(MATCH(IF($B1078="Robusta","Robusta",(IF($B1078="","Arabica",$B1078))&amp;" - "&amp;(IF($C1078="","Commercial",$C1078))),Variables!$B$1:$D$1,0),1))*(BJ1078/365))+(INDEX(Variables!$B$8:$D$8,IFERROR(MATCH(IF($B1078="Robusta","Robusta",(IF($B1078="","Arabica",$B1078))&amp;" - "&amp;(IF($C1078="","Commercial",$C1078))),Variables!$B$1:$D$1,0),1))*L1078/16.67)),""))</f>
        <v>-545.68654536949623</v>
      </c>
    </row>
    <row r="1079" spans="1:63">
      <c r="A1079" s="13" t="s">
        <v>103</v>
      </c>
      <c r="B1079" s="13" t="s">
        <v>104</v>
      </c>
      <c r="C1079" s="13" t="s">
        <v>105</v>
      </c>
      <c r="D1079" s="31">
        <v>46115</v>
      </c>
      <c r="E1079" s="31">
        <v>46174</v>
      </c>
      <c r="F1079" s="31">
        <v>46203</v>
      </c>
      <c r="G1079" s="13">
        <v>3787503</v>
      </c>
      <c r="J1079" s="13" t="s">
        <v>2541</v>
      </c>
      <c r="K1079" s="13">
        <v>5560</v>
      </c>
      <c r="L1079" s="13">
        <v>600</v>
      </c>
      <c r="M1079" s="13">
        <v>2</v>
      </c>
      <c r="N1079" s="13" t="s">
        <v>2697</v>
      </c>
      <c r="O1079" s="13" t="s">
        <v>1172</v>
      </c>
      <c r="P1079" s="13">
        <v>10260</v>
      </c>
      <c r="R1079" s="13" t="s">
        <v>110</v>
      </c>
      <c r="S1079" s="13" t="s">
        <v>553</v>
      </c>
      <c r="T1079" s="13" t="s">
        <v>112</v>
      </c>
      <c r="U1079" s="13" t="s">
        <v>113</v>
      </c>
      <c r="V1079" s="23">
        <v>-146</v>
      </c>
      <c r="W1079" s="44">
        <f>IF($AX1079="Cancelled","",IFERROR(((V1079+INDEX(Variables!$B$6:$D$6,IFERROR(MATCH(IF($B1079="Robusta","Robusta",(IF($B1079="","Arabica",$B1079))&amp;" - "&amp;(IF($C1079="","Commercial",$C1079))),Variables!$B$1:$D$1,0),1)))*22.0462)*(L1079/16.67),""))</f>
        <v>114899.45146970605</v>
      </c>
      <c r="X1079" s="55" t="s">
        <v>37</v>
      </c>
      <c r="Y1079" s="13" t="str">
        <f>IF($AX1079="Cancelled","",IF(X1079="","",IFERROR(IF(INDEX(Variables!$B$38:$B$47,MATCH(X1079,Variables!$A$38:$A$47,0))="Yes","Yes","No"),"No")))</f>
        <v>Yes</v>
      </c>
      <c r="Z1079" s="58">
        <v>46150</v>
      </c>
      <c r="AB1079" s="31">
        <v>46157</v>
      </c>
      <c r="AC1079" s="13" t="str">
        <f t="shared" si="50"/>
        <v>Approved</v>
      </c>
      <c r="AF1079" s="71">
        <v>46196</v>
      </c>
      <c r="AG1079" s="35">
        <f>IF($AX1079="Cancelled","",IFERROR(IF(F1079="","",F1079-Variables!$B$13),""))</f>
        <v>46188</v>
      </c>
      <c r="AH1079" s="13">
        <f>IF($AX1079="Cancelled","",IFERROR(IF(AB1079="","",(AVERAGE(E1079:F1079)-AB1079)-Variables!$B$14),""))</f>
        <v>1.5</v>
      </c>
      <c r="AJ1079" s="47">
        <v>46209</v>
      </c>
      <c r="AK1079" s="14">
        <f>IF($AX1079="Cancelled","",IFERROR(IF(AJ1079="","",IF(AND(AB1079="",AF1079=""),"",IF(AF1079&gt;AB1079,AF1079+Variables!$B$15+Variables!$B$16+Variables!$B$17-AJ1079,AB1079+Variables!$B$16+Variables!$B$17-AJ1079))),""))</f>
        <v>2</v>
      </c>
      <c r="AL1079" s="48" t="s">
        <v>114</v>
      </c>
      <c r="AM1079" s="13" t="s">
        <v>168</v>
      </c>
      <c r="AN1079" s="13" t="s">
        <v>2700</v>
      </c>
      <c r="AP1079" s="39">
        <v>46219</v>
      </c>
      <c r="AR1079" s="13" t="s">
        <v>2701</v>
      </c>
      <c r="AS1079" s="31">
        <v>46219</v>
      </c>
      <c r="AU1079" s="31">
        <v>46248</v>
      </c>
      <c r="AV1079" s="13" t="s">
        <v>865</v>
      </c>
      <c r="AW1079" s="39">
        <v>46248</v>
      </c>
      <c r="AX1079" s="13" t="str">
        <f>IF(ISNUMBER(SEARCH("cancel",#REF!)),"Cancelled",IF(AND(AS1079&lt;&gt;"",AU1079&lt;&gt;"",AW1079&lt;&gt;""),"Closed","Open"))</f>
        <v>Closed</v>
      </c>
      <c r="AY1079" s="15" t="str">
        <f t="shared" si="49"/>
        <v>All dates received</v>
      </c>
      <c r="AZ1079" s="13" t="s">
        <v>3047</v>
      </c>
      <c r="BA1079" s="13" t="s">
        <v>3057</v>
      </c>
      <c r="BB1079" s="13" t="s">
        <v>3058</v>
      </c>
      <c r="BC1079" s="13" t="s">
        <v>3295</v>
      </c>
      <c r="BD1079" s="13">
        <f>IF($AX1079="Cancelled","",IFERROR(IF(OR(AS1079="",AJ1079=""),"",(AJ1079+Variables!$B$18-AS1079)),""))</f>
        <v>5</v>
      </c>
      <c r="BE1079" s="13">
        <f>IF($AX1079="Cancelled","",IFERROR(IF(OR(AW1079="",AS1079=""),"",(AS1079+Variables!$B$19)-AW1079),""))</f>
        <v>-24</v>
      </c>
      <c r="BF1079" s="44">
        <f>IF($AX1079="Cancelled","",IFERROR(W1079*INDEX(Variables!$B$7:$D$7,IFERROR(MATCH(IF($B1079="Robusta","Robusta",(IF($B1079="","Arabica",$B1079))&amp;" - "&amp;(IF($C1079="","Commercial",$C1079))),Variables!$B$1:$D$1,0),1))*(BE1079/365),""))</f>
        <v>-487.16511186147147</v>
      </c>
      <c r="BG1079" s="44">
        <f>IF($AX1079="Cancelled","",IFERROR((W1079*INDEX(Variables!$B$7:$D$7,IFERROR(MATCH(IF($B1079="Robusta","Robusta",(IF($B1079="","Arabica",$B1079))&amp;" - "&amp;(IF($C1079="","Commercial",$C1079))),Variables!$B$1:$D$1,0),1))*IFERROR(IF(AB1079="","",(AVERAGE(E1079:F1079)-AB1079)-Variables!$B$14),"")/365)+(L1079/16.67*INDEX(Variables!$B$8:$D$8,IFERROR(MATCH(IF($B1079="Robusta","Robusta",(IF($B1079="","Arabica",$B1079))&amp;" - "&amp;(IF($C1079="","Commercial",$C1079))),Variables!$B$1:$D$1,0),1))*IFERROR(IF(AB1079="","",(AVERAGE(E1079:F1079)-AB1079)-Variables!$B$14),""))+(W1079*INDEX(Variables!$B$9:$D$9,IFERROR(MATCH(IF($B1079="Robusta","Robusta",(IF($B1079="","Arabica",$B1079))&amp;" - "&amp;(IF($C1079="","Commercial",$C1079))),Variables!$B$1:$D$1,0),1))*IFERROR(IF(AB1079="","",(AVERAGE(E1079:F1079)-AB1079)-Variables!$B$14),"")/365),""))</f>
        <v>75.840350644794441</v>
      </c>
      <c r="BH1079" s="44">
        <f>IF($AX1079="Cancelled","",IFERROR((W1079*INDEX(Variables!$B$7:$D$7,IFERROR(MATCH(IF($B1079="Robusta","Robusta",(IF($B1079="","Arabica",$B1079))&amp;" - "&amp;(IF($C1079="","Commercial",$C1079))),Variables!$B$1:$D$1,0),1))*AK1079/365)+(L1079/16.67*INDEX(Variables!$B$8:$D$8,IFERROR(MATCH(IF($B1079="Robusta","Robusta",(IF($B1079="","Arabica",$B1079))&amp;" - "&amp;(IF($C1079="","Commercial",$C1079))),Variables!$B$1:$D$1,0),1))*AK1079)+(W1079*INDEX(Variables!$B$9:$D$9,IFERROR(MATCH(IF($B1079="Robusta","Robusta",(IF($B1079="","Arabica",$B1079))&amp;" - "&amp;(IF($C1079="","Commercial",$C1079))),Variables!$B$1:$D$1,0),1))*AK1079/365),""))</f>
        <v>101.12046752639257</v>
      </c>
      <c r="BI1079" s="44">
        <f>IF($AX1079="Cancelled","",IFERROR((W1079*INDEX(Variables!$B$7:$D$7,IFERROR(MATCH(IF($B1079="Robusta","Robusta",(IF($B1079="","Arabica",$B1079))&amp;" - "&amp;(IF($C1079="","Commercial",$C1079))),Variables!$B$1:$D$1,0),1))*BD1079/365)+(L1079/16.67*INDEX(Variables!$B$8:$D$8,IFERROR(MATCH(IF($B1079="Robusta","Robusta",(IF($B1079="","Arabica",$B1079))&amp;" - "&amp;(IF($C1079="","Commercial",$C1079))),Variables!$B$1:$D$1,0),1))*BD1079)+(W1079*INDEX(Variables!$B$9:$D$9,IFERROR(MATCH(IF($B1079="Robusta","Robusta",(IF($B1079="","Arabica",$B1079))&amp;" - "&amp;(IF($C1079="","Commercial",$C1079))),Variables!$B$1:$D$1,0),1))*BD1079/365),""))</f>
        <v>252.80116881598147</v>
      </c>
      <c r="BJ1079" s="44">
        <f t="shared" si="51"/>
        <v>-16</v>
      </c>
      <c r="BK1079" s="44">
        <f>IF($AX1079="Cancelled","",IFERROR(IF(BJ1079="","",(W1079*INDEX(Variables!$B$7:$D$7,IFERROR(MATCH(IF($B1079="Robusta","Robusta",(IF($B1079="","Arabica",$B1079))&amp;" - "&amp;(IF($C1079="","Commercial",$C1079))),Variables!$B$1:$D$1,0),1))*(BJ1079/365))+(W1079*INDEX(Variables!$B$9:$D$9,IFERROR(MATCH(IF($B1079="Robusta","Robusta",(IF($B1079="","Arabica",$B1079))&amp;" - "&amp;(IF($C1079="","Commercial",$C1079))),Variables!$B$1:$D$1,0),1))*(BJ1079/365))+(INDEX(Variables!$B$8:$D$8,IFERROR(MATCH(IF($B1079="Robusta","Robusta",(IF($B1079="","Arabica",$B1079))&amp;" - "&amp;(IF($C1079="","Commercial",$C1079))),Variables!$B$1:$D$1,0),1))*L1079/16.67)),""))</f>
        <v>-298.96374021114065</v>
      </c>
    </row>
    <row r="1080" spans="1:63">
      <c r="A1080" s="13" t="s">
        <v>103</v>
      </c>
      <c r="B1080" s="13" t="s">
        <v>104</v>
      </c>
      <c r="C1080" s="13" t="s">
        <v>292</v>
      </c>
      <c r="D1080" s="31">
        <v>46119</v>
      </c>
      <c r="E1080" s="31">
        <v>46113</v>
      </c>
      <c r="F1080" s="31">
        <v>46142</v>
      </c>
      <c r="G1080" s="13">
        <v>3787504</v>
      </c>
      <c r="J1080" s="13" t="s">
        <v>1641</v>
      </c>
      <c r="K1080" s="13" t="s">
        <v>2702</v>
      </c>
      <c r="L1080" s="13">
        <v>37</v>
      </c>
      <c r="M1080" s="13">
        <v>0</v>
      </c>
      <c r="N1080" s="13" t="s">
        <v>2703</v>
      </c>
      <c r="O1080" s="13" t="s">
        <v>771</v>
      </c>
      <c r="P1080" s="13">
        <v>10010</v>
      </c>
      <c r="R1080" s="13" t="s">
        <v>239</v>
      </c>
      <c r="S1080" s="13" t="s">
        <v>776</v>
      </c>
      <c r="T1080" s="13" t="s">
        <v>777</v>
      </c>
      <c r="U1080" s="13" t="s">
        <v>125</v>
      </c>
      <c r="V1080" s="23">
        <v>198</v>
      </c>
      <c r="W1080" s="44">
        <f>IF($AX1080="Cancelled","",IFERROR(((V1080+INDEX(Variables!$B$6:$D$6,IFERROR(MATCH(IF($B1080="Robusta","Robusta",(IF($B1080="","Arabica",$B1080))&amp;" - "&amp;(IF($C1080="","Commercial",$C1080))),Variables!$B$1:$D$1,0),1)))*22.0462)*(L1080/16.67),""))</f>
        <v>23918.341614877019</v>
      </c>
      <c r="Y1080" s="13" t="str">
        <f>IF($AX1080="Cancelled","",IF(X1080="","",IFERROR(IF(INDEX(Variables!$B$38:$B$47,MATCH(X1080,Variables!$A$38:$A$47,0))="Yes","Yes","No"),"No")))</f>
        <v/>
      </c>
      <c r="Z1080" s="31"/>
      <c r="AC1080" s="13" t="str">
        <f t="shared" si="50"/>
        <v/>
      </c>
      <c r="AF1080" s="71">
        <v>46153</v>
      </c>
      <c r="AG1080" s="36">
        <f>IF($AX1080="Cancelled","",IFERROR(IF(F1080="","",F1080-Variables!$B$13),""))</f>
        <v>46127</v>
      </c>
      <c r="AH1080" s="13" t="str">
        <f>IF($AX1080="Cancelled","",IFERROR(IF(AB1080="","",(AVERAGE(E1080:F1080)-AB1080)-Variables!$B$14),""))</f>
        <v/>
      </c>
      <c r="AJ1080" s="47">
        <v>46154</v>
      </c>
      <c r="AK1080" s="14">
        <f>IF($AX1080="Cancelled","",IFERROR(IF(AJ1080="","",IF(AND(AB1080="",AF1080=""),"",IF(AF1080&gt;AB1080,AF1080+Variables!$B$15+Variables!$B$16+Variables!$B$17-AJ1080,AB1080+Variables!$B$16+Variables!$B$17-AJ1080))),""))</f>
        <v>14</v>
      </c>
      <c r="AL1080" s="48" t="s">
        <v>114</v>
      </c>
      <c r="AM1080" s="13" t="s">
        <v>1526</v>
      </c>
      <c r="AN1080" s="13" t="s">
        <v>2583</v>
      </c>
      <c r="AP1080" s="39" t="e">
        <v>#N/A</v>
      </c>
      <c r="AR1080" s="13" t="s">
        <v>2658</v>
      </c>
      <c r="AS1080" s="31">
        <v>46166</v>
      </c>
      <c r="AU1080" s="31">
        <v>46191</v>
      </c>
      <c r="AV1080" s="13" t="s">
        <v>2659</v>
      </c>
      <c r="AW1080" s="31">
        <v>46191</v>
      </c>
      <c r="AX1080" s="13" t="str">
        <f>IF(ISNUMBER(SEARCH("cancel",#REF!)),"Cancelled",IF(AND(AS1080&lt;&gt;"",AU1080&lt;&gt;"",AW1080&lt;&gt;""),"Closed","Open"))</f>
        <v>Closed</v>
      </c>
      <c r="AY1080" s="24" t="str">
        <f t="shared" si="49"/>
        <v>All dates received</v>
      </c>
      <c r="BD1080" s="13">
        <f>IF($AX1080="Cancelled","",IFERROR(IF(OR(AS1080="",AJ1080=""),"",(AJ1080+Variables!$B$18-AS1080)),""))</f>
        <v>3</v>
      </c>
      <c r="BE1080" s="13">
        <f>IF($AX1080="Cancelled","",IFERROR(IF(OR(AW1080="",AS1080=""),"",(AS1080+Variables!$B$19)-AW1080),""))</f>
        <v>-20</v>
      </c>
      <c r="BF1080" s="44">
        <f>IF($AX1080="Cancelled","",IFERROR(W1080*INDEX(Variables!$B$7:$D$7,IFERROR(MATCH(IF($B1080="Robusta","Robusta",(IF($B1080="","Arabica",$B1080))&amp;" - "&amp;(IF($C1080="","Commercial",$C1080))),Variables!$B$1:$D$1,0),1))*(BE1080/365),""))</f>
        <v>-84.509988365962897</v>
      </c>
      <c r="BG1080" s="44" t="str">
        <f>IF($AX1080="Cancelled","",IFERROR((W1080*INDEX(Variables!$B$7:$D$7,IFERROR(MATCH(IF($B1080="Robusta","Robusta",(IF($B1080="","Arabica",$B1080))&amp;" - "&amp;(IF($C1080="","Commercial",$C1080))),Variables!$B$1:$D$1,0),1))*IFERROR(IF(AB1080="","",(AVERAGE(E1080:F1080)-AB1080)-Variables!$B$14),"")/365)+(L1080/16.67*INDEX(Variables!$B$8:$D$8,IFERROR(MATCH(IF($B1080="Robusta","Robusta",(IF($B1080="","Arabica",$B1080))&amp;" - "&amp;(IF($C1080="","Commercial",$C1080))),Variables!$B$1:$D$1,0),1))*IFERROR(IF(AB1080="","",(AVERAGE(E1080:F1080)-AB1080)-Variables!$B$14),""))+(W1080*INDEX(Variables!$B$9:$D$9,IFERROR(MATCH(IF($B1080="Robusta","Robusta",(IF($B1080="","Arabica",$B1080))&amp;" - "&amp;(IF($C1080="","Commercial",$C1080))),Variables!$B$1:$D$1,0),1))*IFERROR(IF(AB1080="","",(AVERAGE(E1080:F1080)-AB1080)-Variables!$B$14),"")/365),""))</f>
        <v/>
      </c>
      <c r="BH1080" s="44">
        <f>IF($AX1080="Cancelled","",IFERROR((W1080*INDEX(Variables!$B$7:$D$7,IFERROR(MATCH(IF($B1080="Robusta","Robusta",(IF($B1080="","Arabica",$B1080))&amp;" - "&amp;(IF($C1080="","Commercial",$C1080))),Variables!$B$1:$D$1,0),1))*AK1080/365)+(L1080/16.67*INDEX(Variables!$B$8:$D$8,IFERROR(MATCH(IF($B1080="Robusta","Robusta",(IF($B1080="","Arabica",$B1080))&amp;" - "&amp;(IF($C1080="","Commercial",$C1080))),Variables!$B$1:$D$1,0),1))*AK1080)+(W1080*INDEX(Variables!$B$9:$D$9,IFERROR(MATCH(IF($B1080="Robusta","Robusta",(IF($B1080="","Arabica",$B1080))&amp;" - "&amp;(IF($C1080="","Commercial",$C1080))),Variables!$B$1:$D$1,0),1))*AK1080/365),""))</f>
        <v>85.819639646262431</v>
      </c>
      <c r="BI1080" s="44">
        <f>IF($AX1080="Cancelled","",IFERROR((W1080*INDEX(Variables!$B$7:$D$7,IFERROR(MATCH(IF($B1080="Robusta","Robusta",(IF($B1080="","Arabica",$B1080))&amp;" - "&amp;(IF($C1080="","Commercial",$C1080))),Variables!$B$1:$D$1,0),1))*BD1080/365)+(L1080/16.67*INDEX(Variables!$B$8:$D$8,IFERROR(MATCH(IF($B1080="Robusta","Robusta",(IF($B1080="","Arabica",$B1080))&amp;" - "&amp;(IF($C1080="","Commercial",$C1080))),Variables!$B$1:$D$1,0),1))*BD1080)+(W1080*INDEX(Variables!$B$9:$D$9,IFERROR(MATCH(IF($B1080="Robusta","Robusta",(IF($B1080="","Arabica",$B1080))&amp;" - "&amp;(IF($C1080="","Commercial",$C1080))),Variables!$B$1:$D$1,0),1))*BD1080/365),""))</f>
        <v>18.389922781341948</v>
      </c>
      <c r="BJ1080" s="44">
        <f t="shared" si="51"/>
        <v>-24</v>
      </c>
      <c r="BK1080" s="44">
        <f>IF($AX1080="Cancelled","",IFERROR(IF(BJ1080="","",(W1080*INDEX(Variables!$B$7:$D$7,IFERROR(MATCH(IF($B1080="Robusta","Robusta",(IF($B1080="","Arabica",$B1080))&amp;" - "&amp;(IF($C1080="","Commercial",$C1080))),Variables!$B$1:$D$1,0),1))*(BJ1080/365))+(W1080*INDEX(Variables!$B$9:$D$9,IFERROR(MATCH(IF($B1080="Robusta","Robusta",(IF($B1080="","Arabica",$B1080))&amp;" - "&amp;(IF($C1080="","Commercial",$C1080))),Variables!$B$1:$D$1,0),1))*(BJ1080/365))+(INDEX(Variables!$B$8:$D$8,IFERROR(MATCH(IF($B1080="Robusta","Robusta",(IF($B1080="","Arabica",$B1080))&amp;" - "&amp;(IF($C1080="","Commercial",$C1080))),Variables!$B$1:$D$1,0),1))*L1080/16.67)),""))</f>
        <v>-100.86938225073558</v>
      </c>
    </row>
    <row r="1081" spans="1:63">
      <c r="A1081" s="13" t="s">
        <v>103</v>
      </c>
      <c r="B1081" s="13" t="s">
        <v>104</v>
      </c>
      <c r="C1081" s="13" t="s">
        <v>292</v>
      </c>
      <c r="D1081" s="31">
        <v>46119</v>
      </c>
      <c r="E1081" s="31">
        <v>46113</v>
      </c>
      <c r="F1081" s="31">
        <v>46142</v>
      </c>
      <c r="G1081" s="13">
        <v>3787505</v>
      </c>
      <c r="J1081" s="13" t="s">
        <v>1641</v>
      </c>
      <c r="K1081" s="13" t="s">
        <v>2704</v>
      </c>
      <c r="L1081" s="13">
        <v>20</v>
      </c>
      <c r="M1081" s="13">
        <v>0</v>
      </c>
      <c r="N1081" s="13" t="s">
        <v>2705</v>
      </c>
      <c r="O1081" s="13" t="s">
        <v>297</v>
      </c>
      <c r="P1081" s="13">
        <v>10020</v>
      </c>
      <c r="R1081" s="13" t="s">
        <v>239</v>
      </c>
      <c r="S1081" s="13" t="s">
        <v>776</v>
      </c>
      <c r="T1081" s="13" t="s">
        <v>777</v>
      </c>
      <c r="U1081" s="13" t="s">
        <v>125</v>
      </c>
      <c r="V1081" s="23">
        <v>203</v>
      </c>
      <c r="W1081" s="44">
        <f>IF($AX1081="Cancelled","",IFERROR(((V1081+INDEX(Variables!$B$6:$D$6,IFERROR(MATCH(IF($B1081="Robusta","Robusta",(IF($B1081="","Arabica",$B1081))&amp;" - "&amp;(IF($C1081="","Commercial",$C1081))),Variables!$B$1:$D$1,0),1)))*22.0462)*(L1081/16.67),""))</f>
        <v>13061.08405518896</v>
      </c>
      <c r="Y1081" s="13" t="str">
        <f>IF($AX1081="Cancelled","",IF(X1081="","",IFERROR(IF(INDEX(Variables!$B$38:$B$47,MATCH(X1081,Variables!$A$38:$A$47,0))="Yes","Yes","No"),"No")))</f>
        <v/>
      </c>
      <c r="Z1081" s="31"/>
      <c r="AC1081" s="13" t="str">
        <f t="shared" si="50"/>
        <v/>
      </c>
      <c r="AF1081" s="71">
        <v>46153</v>
      </c>
      <c r="AG1081" s="36">
        <f>IF($AX1081="Cancelled","",IFERROR(IF(F1081="","",F1081-Variables!$B$13),""))</f>
        <v>46127</v>
      </c>
      <c r="AH1081" s="13" t="str">
        <f>IF($AX1081="Cancelled","",IFERROR(IF(AB1081="","",(AVERAGE(E1081:F1081)-AB1081)-Variables!$B$14),""))</f>
        <v/>
      </c>
      <c r="AJ1081" s="47">
        <v>46154</v>
      </c>
      <c r="AK1081" s="14">
        <f>IF($AX1081="Cancelled","",IFERROR(IF(AJ1081="","",IF(AND(AB1081="",AF1081=""),"",IF(AF1081&gt;AB1081,AF1081+Variables!$B$15+Variables!$B$16+Variables!$B$17-AJ1081,AB1081+Variables!$B$16+Variables!$B$17-AJ1081))),""))</f>
        <v>14</v>
      </c>
      <c r="AL1081" s="48" t="s">
        <v>114</v>
      </c>
      <c r="AM1081" s="13" t="s">
        <v>1526</v>
      </c>
      <c r="AN1081" s="13" t="s">
        <v>2583</v>
      </c>
      <c r="AP1081" s="39" t="e">
        <v>#N/A</v>
      </c>
      <c r="AR1081" s="13" t="s">
        <v>2658</v>
      </c>
      <c r="AS1081" s="31">
        <v>46166</v>
      </c>
      <c r="AU1081" s="31">
        <v>46191</v>
      </c>
      <c r="AV1081" s="13" t="s">
        <v>2659</v>
      </c>
      <c r="AW1081" s="31">
        <v>46191</v>
      </c>
      <c r="AX1081" s="13" t="str">
        <f>IF(ISNUMBER(SEARCH("cancel",#REF!)),"Cancelled",IF(AND(AS1081&lt;&gt;"",AU1081&lt;&gt;"",AW1081&lt;&gt;""),"Closed","Open"))</f>
        <v>Closed</v>
      </c>
      <c r="AY1081" s="24" t="str">
        <f t="shared" si="49"/>
        <v>All dates received</v>
      </c>
      <c r="BD1081" s="13">
        <f>IF($AX1081="Cancelled","",IFERROR(IF(OR(AS1081="",AJ1081=""),"",(AJ1081+Variables!$B$18-AS1081)),""))</f>
        <v>3</v>
      </c>
      <c r="BE1081" s="13">
        <f>IF($AX1081="Cancelled","",IFERROR(IF(OR(AW1081="",AS1081=""),"",(AS1081+Variables!$B$19)-AW1081),""))</f>
        <v>-20</v>
      </c>
      <c r="BF1081" s="44">
        <f>IF($AX1081="Cancelled","",IFERROR(W1081*INDEX(Variables!$B$7:$D$7,IFERROR(MATCH(IF($B1081="Robusta","Robusta",(IF($B1081="","Arabica",$B1081))&amp;" - "&amp;(IF($C1081="","Commercial",$C1081))),Variables!$B$1:$D$1,0),1))*(BE1081/365),""))</f>
        <v>-46.148352562383863</v>
      </c>
      <c r="BG1081" s="44" t="str">
        <f>IF($AX1081="Cancelled","",IFERROR((W1081*INDEX(Variables!$B$7:$D$7,IFERROR(MATCH(IF($B1081="Robusta","Robusta",(IF($B1081="","Arabica",$B1081))&amp;" - "&amp;(IF($C1081="","Commercial",$C1081))),Variables!$B$1:$D$1,0),1))*IFERROR(IF(AB1081="","",(AVERAGE(E1081:F1081)-AB1081)-Variables!$B$14),"")/365)+(L1081/16.67*INDEX(Variables!$B$8:$D$8,IFERROR(MATCH(IF($B1081="Robusta","Robusta",(IF($B1081="","Arabica",$B1081))&amp;" - "&amp;(IF($C1081="","Commercial",$C1081))),Variables!$B$1:$D$1,0),1))*IFERROR(IF(AB1081="","",(AVERAGE(E1081:F1081)-AB1081)-Variables!$B$14),""))+(W1081*INDEX(Variables!$B$9:$D$9,IFERROR(MATCH(IF($B1081="Robusta","Robusta",(IF($B1081="","Arabica",$B1081))&amp;" - "&amp;(IF($C1081="","Commercial",$C1081))),Variables!$B$1:$D$1,0),1))*IFERROR(IF(AB1081="","",(AVERAGE(E1081:F1081)-AB1081)-Variables!$B$14),"")/365),""))</f>
        <v/>
      </c>
      <c r="BH1081" s="44">
        <f>IF($AX1081="Cancelled","",IFERROR((W1081*INDEX(Variables!$B$7:$D$7,IFERROR(MATCH(IF($B1081="Robusta","Robusta",(IF($B1081="","Arabica",$B1081))&amp;" - "&amp;(IF($C1081="","Commercial",$C1081))),Variables!$B$1:$D$1,0),1))*AK1081/365)+(L1081/16.67*INDEX(Variables!$B$8:$D$8,IFERROR(MATCH(IF($B1081="Robusta","Robusta",(IF($B1081="","Arabica",$B1081))&amp;" - "&amp;(IF($C1081="","Commercial",$C1081))),Variables!$B$1:$D$1,0),1))*AK1081)+(W1081*INDEX(Variables!$B$9:$D$9,IFERROR(MATCH(IF($B1081="Robusta","Robusta",(IF($B1081="","Arabica",$B1081))&amp;" - "&amp;(IF($C1081="","Commercial",$C1081))),Variables!$B$1:$D$1,0),1))*AK1081/365),""))</f>
        <v>46.720305720931989</v>
      </c>
      <c r="BI1081" s="44">
        <f>IF($AX1081="Cancelled","",IFERROR((W1081*INDEX(Variables!$B$7:$D$7,IFERROR(MATCH(IF($B1081="Robusta","Robusta",(IF($B1081="","Arabica",$B1081))&amp;" - "&amp;(IF($C1081="","Commercial",$C1081))),Variables!$B$1:$D$1,0),1))*BD1081/365)+(L1081/16.67*INDEX(Variables!$B$8:$D$8,IFERROR(MATCH(IF($B1081="Robusta","Robusta",(IF($B1081="","Arabica",$B1081))&amp;" - "&amp;(IF($C1081="","Commercial",$C1081))),Variables!$B$1:$D$1,0),1))*BD1081)+(W1081*INDEX(Variables!$B$9:$D$9,IFERROR(MATCH(IF($B1081="Robusta","Robusta",(IF($B1081="","Arabica",$B1081))&amp;" - "&amp;(IF($C1081="","Commercial",$C1081))),Variables!$B$1:$D$1,0),1))*BD1081/365),""))</f>
        <v>10.011494083056855</v>
      </c>
      <c r="BJ1081" s="44">
        <f t="shared" si="51"/>
        <v>-24</v>
      </c>
      <c r="BK1081" s="44">
        <f>IF($AX1081="Cancelled","",IFERROR(IF(BJ1081="","",(W1081*INDEX(Variables!$B$7:$D$7,IFERROR(MATCH(IF($B1081="Robusta","Robusta",(IF($B1081="","Arabica",$B1081))&amp;" - "&amp;(IF($C1081="","Commercial",$C1081))),Variables!$B$1:$D$1,0),1))*(BJ1081/365))+(W1081*INDEX(Variables!$B$9:$D$9,IFERROR(MATCH(IF($B1081="Robusta","Robusta",(IF($B1081="","Arabica",$B1081))&amp;" - "&amp;(IF($C1081="","Commercial",$C1081))),Variables!$B$1:$D$1,0),1))*(BJ1081/365))+(INDEX(Variables!$B$8:$D$8,IFERROR(MATCH(IF($B1081="Robusta","Robusta",(IF($B1081="","Arabica",$B1081))&amp;" - "&amp;(IF($C1081="","Commercial",$C1081))),Variables!$B$1:$D$1,0),1))*L1081/16.67)),""))</f>
        <v>-55.091952664454844</v>
      </c>
    </row>
    <row r="1082" spans="1:63">
      <c r="A1082" s="13" t="s">
        <v>103</v>
      </c>
      <c r="B1082" s="13" t="s">
        <v>104</v>
      </c>
      <c r="C1082" s="13" t="s">
        <v>105</v>
      </c>
      <c r="D1082" s="31">
        <v>46119</v>
      </c>
      <c r="E1082" s="31">
        <v>46113</v>
      </c>
      <c r="F1082" s="31">
        <v>46173</v>
      </c>
      <c r="G1082" s="13">
        <v>3787506</v>
      </c>
      <c r="J1082" s="13" t="s">
        <v>107</v>
      </c>
      <c r="L1082" s="13">
        <v>333</v>
      </c>
      <c r="M1082" s="13">
        <v>1</v>
      </c>
      <c r="N1082" s="13" t="s">
        <v>2706</v>
      </c>
      <c r="O1082" s="13" t="s">
        <v>405</v>
      </c>
      <c r="P1082" s="13">
        <v>10150</v>
      </c>
      <c r="R1082" s="13" t="s">
        <v>271</v>
      </c>
      <c r="S1082" s="13" t="s">
        <v>167</v>
      </c>
      <c r="T1082" s="13" t="s">
        <v>155</v>
      </c>
      <c r="U1082" s="13" t="s">
        <v>125</v>
      </c>
      <c r="V1082" s="23">
        <v>-56</v>
      </c>
      <c r="W1082" s="44">
        <f>IF($AX1082="Cancelled","",IFERROR(((V1082+INDEX(Variables!$B$6:$D$6,IFERROR(MATCH(IF($B1082="Robusta","Robusta",(IF($B1082="","Arabica",$B1082))&amp;" - "&amp;(IF($C1082="","Commercial",$C1082))),Variables!$B$1:$D$1,0),1)))*22.0462)*(L1082/16.67),""))</f>
        <v>103404.74529574084</v>
      </c>
      <c r="X1082" s="55" t="s">
        <v>37</v>
      </c>
      <c r="Y1082" s="13" t="str">
        <f>IF($AX1082="Cancelled","",IF(X1082="","",IFERROR(IF(INDEX(Variables!$B$38:$B$47,MATCH(X1082,Variables!$A$38:$A$47,0))="Yes","Yes","No"),"No")))</f>
        <v>Yes</v>
      </c>
      <c r="Z1082" s="58">
        <v>46141</v>
      </c>
      <c r="AB1082" s="31">
        <v>46146</v>
      </c>
      <c r="AC1082" s="13" t="str">
        <f t="shared" si="50"/>
        <v>Approved</v>
      </c>
      <c r="AF1082" s="71">
        <v>46160</v>
      </c>
      <c r="AG1082" s="35">
        <f>IF($AX1082="Cancelled","",IFERROR(IF(F1082="","",F1082-Variables!$B$13),""))</f>
        <v>46158</v>
      </c>
      <c r="AH1082" s="13">
        <f>IF($AX1082="Cancelled","",IFERROR(IF(AB1082="","",(AVERAGE(E1082:F1082)-AB1082)-Variables!$B$14),""))</f>
        <v>-33</v>
      </c>
      <c r="AJ1082" s="47">
        <v>46162</v>
      </c>
      <c r="AK1082" s="14">
        <f>IF($AX1082="Cancelled","",IFERROR(IF(AJ1082="","",IF(AND(AB1082="",AF1082=""),"",IF(AF1082&gt;AB1082,AF1082+Variables!$B$15+Variables!$B$16+Variables!$B$17-AJ1082,AB1082+Variables!$B$16+Variables!$B$17-AJ1082))),""))</f>
        <v>13</v>
      </c>
      <c r="AL1082" s="48" t="s">
        <v>114</v>
      </c>
      <c r="AM1082" s="13" t="s">
        <v>1526</v>
      </c>
      <c r="AN1082" s="13" t="s">
        <v>2707</v>
      </c>
      <c r="AP1082" s="39">
        <v>46176</v>
      </c>
      <c r="AR1082" s="13">
        <v>929320</v>
      </c>
      <c r="AS1082" s="31">
        <v>46176</v>
      </c>
      <c r="AU1082" s="31">
        <v>46204</v>
      </c>
      <c r="AV1082" s="13" t="e">
        <v>#REF!</v>
      </c>
      <c r="AW1082" s="31">
        <v>46204</v>
      </c>
      <c r="AX1082" s="13" t="str">
        <f>IF(ISNUMBER(SEARCH("cancel",#REF!)),"Cancelled",IF(AND(AS1082&lt;&gt;"",AU1082&lt;&gt;"",AW1082&lt;&gt;""),"Closed","Open"))</f>
        <v>Closed</v>
      </c>
      <c r="AY1082" s="15" t="str">
        <f t="shared" si="49"/>
        <v>All dates received</v>
      </c>
      <c r="BD1082" s="13">
        <f>IF($AX1082="Cancelled","",IFERROR(IF(OR(AS1082="",AJ1082=""),"",(AJ1082+Variables!$B$18-AS1082)),""))</f>
        <v>1</v>
      </c>
      <c r="BE1082" s="13">
        <f>IF($AX1082="Cancelled","",IFERROR(IF(OR(AW1082="",AS1082=""),"",(AS1082+Variables!$B$19)-AW1082),""))</f>
        <v>-23</v>
      </c>
      <c r="BF1082" s="44">
        <f>IF($AX1082="Cancelled","",IFERROR(W1082*INDEX(Variables!$B$7:$D$7,IFERROR(MATCH(IF($B1082="Robusta","Robusta",(IF($B1082="","Arabica",$B1082))&amp;" - "&amp;(IF($C1082="","Commercial",$C1082))),Variables!$B$1:$D$1,0),1))*(BE1082/365),""))</f>
        <v>-420.16056368084242</v>
      </c>
      <c r="BG1082" s="44">
        <f>IF($AX1082="Cancelled","",IFERROR((W1082*INDEX(Variables!$B$7:$D$7,IFERROR(MATCH(IF($B1082="Robusta","Robusta",(IF($B1082="","Arabica",$B1082))&amp;" - "&amp;(IF($C1082="","Commercial",$C1082))),Variables!$B$1:$D$1,0),1))*IFERROR(IF(AB1082="","",(AVERAGE(E1082:F1082)-AB1082)-Variables!$B$14),"")/365)+(L1082/16.67*INDEX(Variables!$B$8:$D$8,IFERROR(MATCH(IF($B1082="Robusta","Robusta",(IF($B1082="","Arabica",$B1082))&amp;" - "&amp;(IF($C1082="","Commercial",$C1082))),Variables!$B$1:$D$1,0),1))*IFERROR(IF(AB1082="","",(AVERAGE(E1082:F1082)-AB1082)-Variables!$B$14),""))+(W1082*INDEX(Variables!$B$9:$D$9,IFERROR(MATCH(IF($B1082="Robusta","Robusta",(IF($B1082="","Arabica",$B1082))&amp;" - "&amp;(IF($C1082="","Commercial",$C1082))),Variables!$B$1:$D$1,0),1))*IFERROR(IF(AB1082="","",(AVERAGE(E1082:F1082)-AB1082)-Variables!$B$14),"")/365),""))</f>
        <v>-1160.0608286351264</v>
      </c>
      <c r="BH1082" s="44">
        <f>IF($AX1082="Cancelled","",IFERROR((W1082*INDEX(Variables!$B$7:$D$7,IFERROR(MATCH(IF($B1082="Robusta","Robusta",(IF($B1082="","Arabica",$B1082))&amp;" - "&amp;(IF($C1082="","Commercial",$C1082))),Variables!$B$1:$D$1,0),1))*AK1082/365)+(L1082/16.67*INDEX(Variables!$B$8:$D$8,IFERROR(MATCH(IF($B1082="Robusta","Robusta",(IF($B1082="","Arabica",$B1082))&amp;" - "&amp;(IF($C1082="","Commercial",$C1082))),Variables!$B$1:$D$1,0),1))*AK1082)+(W1082*INDEX(Variables!$B$9:$D$9,IFERROR(MATCH(IF($B1082="Robusta","Robusta",(IF($B1082="","Arabica",$B1082))&amp;" - "&amp;(IF($C1082="","Commercial",$C1082))),Variables!$B$1:$D$1,0),1))*AK1082/365),""))</f>
        <v>456.9936597653529</v>
      </c>
      <c r="BI1082" s="44">
        <f>IF($AX1082="Cancelled","",IFERROR((W1082*INDEX(Variables!$B$7:$D$7,IFERROR(MATCH(IF($B1082="Robusta","Robusta",(IF($B1082="","Arabica",$B1082))&amp;" - "&amp;(IF($C1082="","Commercial",$C1082))),Variables!$B$1:$D$1,0),1))*BD1082/365)+(L1082/16.67*INDEX(Variables!$B$8:$D$8,IFERROR(MATCH(IF($B1082="Robusta","Robusta",(IF($B1082="","Arabica",$B1082))&amp;" - "&amp;(IF($C1082="","Commercial",$C1082))),Variables!$B$1:$D$1,0),1))*BD1082)+(W1082*INDEX(Variables!$B$9:$D$9,IFERROR(MATCH(IF($B1082="Robusta","Robusta",(IF($B1082="","Arabica",$B1082))&amp;" - "&amp;(IF($C1082="","Commercial",$C1082))),Variables!$B$1:$D$1,0),1))*BD1082/365),""))</f>
        <v>35.153358443488685</v>
      </c>
      <c r="BJ1082" s="44">
        <f t="shared" si="51"/>
        <v>-3</v>
      </c>
      <c r="BK1082" s="44">
        <f>IF($AX1082="Cancelled","",IFERROR(IF(BJ1082="","",(W1082*INDEX(Variables!$B$7:$D$7,IFERROR(MATCH(IF($B1082="Robusta","Robusta",(IF($B1082="","Arabica",$B1082))&amp;" - "&amp;(IF($C1082="","Commercial",$C1082))),Variables!$B$1:$D$1,0),1))*(BJ1082/365))+(W1082*INDEX(Variables!$B$9:$D$9,IFERROR(MATCH(IF($B1082="Robusta","Robusta",(IF($B1082="","Arabica",$B1082))&amp;" - "&amp;(IF($C1082="","Commercial",$C1082))),Variables!$B$1:$D$1,0),1))*(BJ1082/365))+(INDEX(Variables!$B$8:$D$8,IFERROR(MATCH(IF($B1082="Robusta","Robusta",(IF($B1082="","Arabica",$B1082))&amp;" - "&amp;(IF($C1082="","Commercial",$C1082))),Variables!$B$1:$D$1,0),1))*L1082/16.67)),""))</f>
        <v>-38.860075330466046</v>
      </c>
    </row>
    <row r="1083" spans="1:63">
      <c r="A1083" s="13" t="s">
        <v>103</v>
      </c>
      <c r="B1083" s="13" t="s">
        <v>104</v>
      </c>
      <c r="C1083" s="13" t="s">
        <v>105</v>
      </c>
      <c r="D1083" s="31">
        <v>46119</v>
      </c>
      <c r="E1083" s="31">
        <v>46113</v>
      </c>
      <c r="F1083" s="31">
        <v>46173</v>
      </c>
      <c r="G1083" s="13">
        <v>3787506</v>
      </c>
      <c r="J1083" s="13" t="s">
        <v>107</v>
      </c>
      <c r="M1083" s="13">
        <v>0</v>
      </c>
      <c r="N1083" s="13" t="s">
        <v>467</v>
      </c>
      <c r="O1083" s="13" t="s">
        <v>405</v>
      </c>
      <c r="P1083" s="13">
        <v>10150</v>
      </c>
      <c r="R1083" s="13" t="s">
        <v>467</v>
      </c>
      <c r="S1083" s="13" t="s">
        <v>467</v>
      </c>
      <c r="T1083" s="13" t="s">
        <v>467</v>
      </c>
      <c r="U1083" s="13" t="s">
        <v>467</v>
      </c>
      <c r="V1083" s="23">
        <v>-56</v>
      </c>
      <c r="W1083" s="44">
        <f>IF($AX1083="Cancelled","",IFERROR(((V1083+INDEX(Variables!$B$6:$D$6,IFERROR(MATCH(IF($B1083="Robusta","Robusta",(IF($B1083="","Arabica",$B1083))&amp;" - "&amp;(IF($C1083="","Commercial",$C1083))),Variables!$B$1:$D$1,0),1)))*22.0462)*(L1083/16.67),""))</f>
        <v>0</v>
      </c>
      <c r="X1083" s="55" t="s">
        <v>37</v>
      </c>
      <c r="Y1083" s="13" t="str">
        <f>IF($AX1083="Cancelled","",IF(X1083="","",IFERROR(IF(INDEX(Variables!$B$38:$B$47,MATCH(X1083,Variables!$A$38:$A$47,0))="Yes","Yes","No"),"No")))</f>
        <v>Yes</v>
      </c>
      <c r="Z1083" s="58">
        <v>46175</v>
      </c>
      <c r="AB1083" s="31">
        <v>46119</v>
      </c>
      <c r="AC1083" s="13" t="str">
        <f t="shared" si="50"/>
        <v>Approved</v>
      </c>
      <c r="AD1083" s="31">
        <v>46119</v>
      </c>
      <c r="AF1083" s="71">
        <v>46119</v>
      </c>
      <c r="AG1083" s="35">
        <f>IF($AX1083="Cancelled","",IFERROR(IF(F1083="","",F1083-Variables!$B$13),""))</f>
        <v>46158</v>
      </c>
      <c r="AH1083" s="13">
        <f>IF($AX1083="Cancelled","",IFERROR(IF(AB1083="","",(AVERAGE(E1083:F1083)-AB1083)-Variables!$B$14),""))</f>
        <v>-6</v>
      </c>
      <c r="AI1083" s="13">
        <v>46119</v>
      </c>
      <c r="AJ1083" s="47">
        <v>46119</v>
      </c>
      <c r="AK1083" s="14">
        <f>IF($AX1083="Cancelled","",IFERROR(IF(AJ1083="","",IF(AND(AB1083="",AF1083=""),"",IF(AF1083&gt;AB1083,AF1083+Variables!$B$15+Variables!$B$16+Variables!$B$17-AJ1083,AB1083+Variables!$B$16+Variables!$B$17-AJ1083))),""))</f>
        <v>8</v>
      </c>
      <c r="AL1083" s="48" t="s">
        <v>114</v>
      </c>
      <c r="AM1083" s="13" t="s">
        <v>467</v>
      </c>
      <c r="AN1083" s="13" t="s">
        <v>467</v>
      </c>
      <c r="AO1083" s="31">
        <v>46119</v>
      </c>
      <c r="AP1083" s="39">
        <v>46119</v>
      </c>
      <c r="AQ1083" s="31">
        <v>46119</v>
      </c>
      <c r="AR1083" s="13" t="s">
        <v>467</v>
      </c>
      <c r="AS1083" s="31">
        <v>46119</v>
      </c>
      <c r="AU1083" s="31">
        <v>46119</v>
      </c>
      <c r="AV1083" s="13" t="s">
        <v>467</v>
      </c>
      <c r="AW1083" s="31">
        <v>46119</v>
      </c>
      <c r="AX1083" s="13" t="str">
        <f>IF(ISNUMBER(SEARCH("cancel",#REF!)),"Cancelled",IF(AND(AS1083&lt;&gt;"",AU1083&lt;&gt;"",AW1083&lt;&gt;""),"Closed","Open"))</f>
        <v>Closed</v>
      </c>
      <c r="AY1083" s="15" t="str">
        <f t="shared" si="49"/>
        <v>All dates received</v>
      </c>
      <c r="BD1083" s="13">
        <f>IF($AX1083="Cancelled","",IFERROR(IF(OR(AS1083="",AJ1083=""),"",(AJ1083+Variables!$B$18-AS1083)),""))</f>
        <v>15</v>
      </c>
      <c r="BE1083" s="13">
        <f>IF($AX1083="Cancelled","",IFERROR(IF(OR(AW1083="",AS1083=""),"",(AS1083+Variables!$B$19)-AW1083),""))</f>
        <v>5</v>
      </c>
      <c r="BF1083" s="44">
        <f>IF($AX1083="Cancelled","",IFERROR(W1083*INDEX(Variables!$B$7:$D$7,IFERROR(MATCH(IF($B1083="Robusta","Robusta",(IF($B1083="","Arabica",$B1083))&amp;" - "&amp;(IF($C1083="","Commercial",$C1083))),Variables!$B$1:$D$1,0),1))*(BE1083/365),""))</f>
        <v>0</v>
      </c>
      <c r="BG1083" s="44">
        <f>IF($AX1083="Cancelled","",IFERROR((W1083*INDEX(Variables!$B$7:$D$7,IFERROR(MATCH(IF($B1083="Robusta","Robusta",(IF($B1083="","Arabica",$B1083))&amp;" - "&amp;(IF($C1083="","Commercial",$C1083))),Variables!$B$1:$D$1,0),1))*IFERROR(IF(AB1083="","",(AVERAGE(E1083:F1083)-AB1083)-Variables!$B$14),"")/365)+(L1083/16.67*INDEX(Variables!$B$8:$D$8,IFERROR(MATCH(IF($B1083="Robusta","Robusta",(IF($B1083="","Arabica",$B1083))&amp;" - "&amp;(IF($C1083="","Commercial",$C1083))),Variables!$B$1:$D$1,0),1))*IFERROR(IF(AB1083="","",(AVERAGE(E1083:F1083)-AB1083)-Variables!$B$14),""))+(W1083*INDEX(Variables!$B$9:$D$9,IFERROR(MATCH(IF($B1083="Robusta","Robusta",(IF($B1083="","Arabica",$B1083))&amp;" - "&amp;(IF($C1083="","Commercial",$C1083))),Variables!$B$1:$D$1,0),1))*IFERROR(IF(AB1083="","",(AVERAGE(E1083:F1083)-AB1083)-Variables!$B$14),"")/365),""))</f>
        <v>0</v>
      </c>
      <c r="BH1083" s="44">
        <f>IF($AX1083="Cancelled","",IFERROR((W1083*INDEX(Variables!$B$7:$D$7,IFERROR(MATCH(IF($B1083="Robusta","Robusta",(IF($B1083="","Arabica",$B1083))&amp;" - "&amp;(IF($C1083="","Commercial",$C1083))),Variables!$B$1:$D$1,0),1))*AK1083/365)+(L1083/16.67*INDEX(Variables!$B$8:$D$8,IFERROR(MATCH(IF($B1083="Robusta","Robusta",(IF($B1083="","Arabica",$B1083))&amp;" - "&amp;(IF($C1083="","Commercial",$C1083))),Variables!$B$1:$D$1,0),1))*AK1083)+(W1083*INDEX(Variables!$B$9:$D$9,IFERROR(MATCH(IF($B1083="Robusta","Robusta",(IF($B1083="","Arabica",$B1083))&amp;" - "&amp;(IF($C1083="","Commercial",$C1083))),Variables!$B$1:$D$1,0),1))*AK1083/365),""))</f>
        <v>0</v>
      </c>
      <c r="BI1083" s="44">
        <f>IF($AX1083="Cancelled","",IFERROR((W1083*INDEX(Variables!$B$7:$D$7,IFERROR(MATCH(IF($B1083="Robusta","Robusta",(IF($B1083="","Arabica",$B1083))&amp;" - "&amp;(IF($C1083="","Commercial",$C1083))),Variables!$B$1:$D$1,0),1))*BD1083/365)+(L1083/16.67*INDEX(Variables!$B$8:$D$8,IFERROR(MATCH(IF($B1083="Robusta","Robusta",(IF($B1083="","Arabica",$B1083))&amp;" - "&amp;(IF($C1083="","Commercial",$C1083))),Variables!$B$1:$D$1,0),1))*BD1083)+(W1083*INDEX(Variables!$B$9:$D$9,IFERROR(MATCH(IF($B1083="Robusta","Robusta",(IF($B1083="","Arabica",$B1083))&amp;" - "&amp;(IF($C1083="","Commercial",$C1083))),Variables!$B$1:$D$1,0),1))*BD1083/365),""))</f>
        <v>0</v>
      </c>
      <c r="BJ1083" s="44">
        <f t="shared" si="51"/>
        <v>54</v>
      </c>
      <c r="BK1083" s="44">
        <f>IF($AX1083="Cancelled","",IFERROR(IF(BJ1083="","",(W1083*INDEX(Variables!$B$7:$D$7,IFERROR(MATCH(IF($B1083="Robusta","Robusta",(IF($B1083="","Arabica",$B1083))&amp;" - "&amp;(IF($C1083="","Commercial",$C1083))),Variables!$B$1:$D$1,0),1))*(BJ1083/365))+(W1083*INDEX(Variables!$B$9:$D$9,IFERROR(MATCH(IF($B1083="Robusta","Robusta",(IF($B1083="","Arabica",$B1083))&amp;" - "&amp;(IF($C1083="","Commercial",$C1083))),Variables!$B$1:$D$1,0),1))*(BJ1083/365))+(INDEX(Variables!$B$8:$D$8,IFERROR(MATCH(IF($B1083="Robusta","Robusta",(IF($B1083="","Arabica",$B1083))&amp;" - "&amp;(IF($C1083="","Commercial",$C1083))),Variables!$B$1:$D$1,0),1))*L1083/16.67)),""))</f>
        <v>0</v>
      </c>
    </row>
    <row r="1084" spans="1:63">
      <c r="A1084" s="13" t="s">
        <v>103</v>
      </c>
      <c r="B1084" s="13" t="s">
        <v>104</v>
      </c>
      <c r="C1084" s="13" t="s">
        <v>105</v>
      </c>
      <c r="D1084" s="31">
        <v>46119</v>
      </c>
      <c r="E1084" s="31">
        <v>46113</v>
      </c>
      <c r="F1084" s="31">
        <v>46142</v>
      </c>
      <c r="G1084" s="13">
        <v>3787507</v>
      </c>
      <c r="J1084" s="13" t="s">
        <v>2708</v>
      </c>
      <c r="K1084" s="13">
        <v>5496</v>
      </c>
      <c r="L1084" s="13">
        <v>300</v>
      </c>
      <c r="M1084" s="13">
        <v>1</v>
      </c>
      <c r="N1084" s="13" t="s">
        <v>2709</v>
      </c>
      <c r="O1084" s="13" t="s">
        <v>1172</v>
      </c>
      <c r="P1084" s="13">
        <v>10260</v>
      </c>
      <c r="R1084" s="13" t="s">
        <v>110</v>
      </c>
      <c r="S1084" s="13" t="s">
        <v>1258</v>
      </c>
      <c r="T1084" s="13" t="s">
        <v>112</v>
      </c>
      <c r="U1084" s="13" t="s">
        <v>113</v>
      </c>
      <c r="V1084" s="23">
        <v>-156</v>
      </c>
      <c r="W1084" s="44">
        <f>IF($AX1084="Cancelled","",IFERROR(((V1084+INDEX(Variables!$B$6:$D$6,IFERROR(MATCH(IF($B1084="Robusta","Robusta",(IF($B1084="","Arabica",$B1084))&amp;" - "&amp;(IF($C1084="","Commercial",$C1084))),Variables!$B$1:$D$1,0),1)))*22.0462)*(L1084/16.67),""))</f>
        <v>53482.203239352122</v>
      </c>
      <c r="X1084" s="55" t="s">
        <v>37</v>
      </c>
      <c r="Y1084" s="13" t="str">
        <f>IF($AX1084="Cancelled","",IF(X1084="","",IFERROR(IF(INDEX(Variables!$B$38:$B$47,MATCH(X1084,Variables!$A$38:$A$47,0))="Yes","Yes","No"),"No")))</f>
        <v>Yes</v>
      </c>
      <c r="Z1084" s="58">
        <v>46122</v>
      </c>
      <c r="AB1084" s="31">
        <v>46127</v>
      </c>
      <c r="AC1084" s="13" t="str">
        <f t="shared" si="50"/>
        <v>Approved</v>
      </c>
      <c r="AF1084" s="71">
        <v>46136</v>
      </c>
      <c r="AG1084" s="35">
        <f>IF($AX1084="Cancelled","",IFERROR(IF(F1084="","",F1084-Variables!$B$13),""))</f>
        <v>46127</v>
      </c>
      <c r="AH1084" s="13">
        <f>IF($AX1084="Cancelled","",IFERROR(IF(AB1084="","",(AVERAGE(E1084:F1084)-AB1084)-Variables!$B$14),""))</f>
        <v>-29.5</v>
      </c>
      <c r="AJ1084" s="47">
        <v>46142</v>
      </c>
      <c r="AK1084" s="14">
        <f>IF($AX1084="Cancelled","",IFERROR(IF(AJ1084="","",IF(AND(AB1084="",AF1084=""),"",IF(AF1084&gt;AB1084,AF1084+Variables!$B$15+Variables!$B$16+Variables!$B$17-AJ1084,AB1084+Variables!$B$16+Variables!$B$17-AJ1084))),""))</f>
        <v>9</v>
      </c>
      <c r="AL1084" s="48" t="s">
        <v>114</v>
      </c>
      <c r="AM1084" s="13" t="s">
        <v>168</v>
      </c>
      <c r="AN1084" s="13" t="s">
        <v>2089</v>
      </c>
      <c r="AP1084" s="39">
        <v>46166</v>
      </c>
      <c r="AR1084" s="13" t="s">
        <v>2710</v>
      </c>
      <c r="AS1084" s="31">
        <v>46166</v>
      </c>
      <c r="AU1084" s="31">
        <v>46197</v>
      </c>
      <c r="AV1084" s="13">
        <v>4811348953</v>
      </c>
      <c r="AW1084" s="31">
        <v>46197</v>
      </c>
      <c r="AX1084" s="13" t="str">
        <f>IF(ISNUMBER(SEARCH("cancel",#REF!)),"Cancelled",IF(AND(AS1084&lt;&gt;"",AU1084&lt;&gt;"",AW1084&lt;&gt;""),"Closed","Open"))</f>
        <v>Closed</v>
      </c>
      <c r="AY1084" s="15" t="str">
        <f t="shared" si="49"/>
        <v>All dates received</v>
      </c>
      <c r="BD1084" s="13">
        <f>IF($AX1084="Cancelled","",IFERROR(IF(OR(AS1084="",AJ1084=""),"",(AJ1084+Variables!$B$18-AS1084)),""))</f>
        <v>-9</v>
      </c>
      <c r="BE1084" s="13">
        <f>IF($AX1084="Cancelled","",IFERROR(IF(OR(AW1084="",AS1084=""),"",(AS1084+Variables!$B$19)-AW1084),""))</f>
        <v>-26</v>
      </c>
      <c r="BF1084" s="44">
        <f>IF($AX1084="Cancelled","",IFERROR(W1084*INDEX(Variables!$B$7:$D$7,IFERROR(MATCH(IF($B1084="Robusta","Robusta",(IF($B1084="","Arabica",$B1084))&amp;" - "&amp;(IF($C1084="","Commercial",$C1084))),Variables!$B$1:$D$1,0),1))*(BE1084/365),""))</f>
        <v>-245.65726922940914</v>
      </c>
      <c r="BG1084" s="44">
        <f>IF($AX1084="Cancelled","",IFERROR((W1084*INDEX(Variables!$B$7:$D$7,IFERROR(MATCH(IF($B1084="Robusta","Robusta",(IF($B1084="","Arabica",$B1084))&amp;" - "&amp;(IF($C1084="","Commercial",$C1084))),Variables!$B$1:$D$1,0),1))*IFERROR(IF(AB1084="","",(AVERAGE(E1084:F1084)-AB1084)-Variables!$B$14),"")/365)+(L1084/16.67*INDEX(Variables!$B$8:$D$8,IFERROR(MATCH(IF($B1084="Robusta","Robusta",(IF($B1084="","Arabica",$B1084))&amp;" - "&amp;(IF($C1084="","Commercial",$C1084))),Variables!$B$1:$D$1,0),1))*IFERROR(IF(AB1084="","",(AVERAGE(E1084:F1084)-AB1084)-Variables!$B$14),""))+(W1084*INDEX(Variables!$B$9:$D$9,IFERROR(MATCH(IF($B1084="Robusta","Robusta",(IF($B1084="","Arabica",$B1084))&amp;" - "&amp;(IF($C1084="","Commercial",$C1084))),Variables!$B$1:$D$1,0),1))*IFERROR(IF(AB1084="","",(AVERAGE(E1084:F1084)-AB1084)-Variables!$B$14),"")/365),""))</f>
        <v>-724.81983971935904</v>
      </c>
      <c r="BH1084" s="44">
        <f>IF($AX1084="Cancelled","",IFERROR((W1084*INDEX(Variables!$B$7:$D$7,IFERROR(MATCH(IF($B1084="Robusta","Robusta",(IF($B1084="","Arabica",$B1084))&amp;" - "&amp;(IF($C1084="","Commercial",$C1084))),Variables!$B$1:$D$1,0),1))*AK1084/365)+(L1084/16.67*INDEX(Variables!$B$8:$D$8,IFERROR(MATCH(IF($B1084="Robusta","Robusta",(IF($B1084="","Arabica",$B1084))&amp;" - "&amp;(IF($C1084="","Commercial",$C1084))),Variables!$B$1:$D$1,0),1))*AK1084)+(W1084*INDEX(Variables!$B$9:$D$9,IFERROR(MATCH(IF($B1084="Robusta","Robusta",(IF($B1084="","Arabica",$B1084))&amp;" - "&amp;(IF($C1084="","Commercial",$C1084))),Variables!$B$1:$D$1,0),1))*AK1084/365),""))</f>
        <v>221.13147652455021</v>
      </c>
      <c r="BI1084" s="44">
        <f>IF($AX1084="Cancelled","",IFERROR((W1084*INDEX(Variables!$B$7:$D$7,IFERROR(MATCH(IF($B1084="Robusta","Robusta",(IF($B1084="","Arabica",$B1084))&amp;" - "&amp;(IF($C1084="","Commercial",$C1084))),Variables!$B$1:$D$1,0),1))*BD1084/365)+(L1084/16.67*INDEX(Variables!$B$8:$D$8,IFERROR(MATCH(IF($B1084="Robusta","Robusta",(IF($B1084="","Arabica",$B1084))&amp;" - "&amp;(IF($C1084="","Commercial",$C1084))),Variables!$B$1:$D$1,0),1))*BD1084)+(W1084*INDEX(Variables!$B$9:$D$9,IFERROR(MATCH(IF($B1084="Robusta","Robusta",(IF($B1084="","Arabica",$B1084))&amp;" - "&amp;(IF($C1084="","Commercial",$C1084))),Variables!$B$1:$D$1,0),1))*BD1084/365),""))</f>
        <v>-221.13147652455021</v>
      </c>
      <c r="BJ1084" s="44">
        <f t="shared" si="51"/>
        <v>-24</v>
      </c>
      <c r="BK1084" s="44">
        <f>IF($AX1084="Cancelled","",IFERROR(IF(BJ1084="","",(W1084*INDEX(Variables!$B$7:$D$7,IFERROR(MATCH(IF($B1084="Robusta","Robusta",(IF($B1084="","Arabica",$B1084))&amp;" - "&amp;(IF($C1084="","Commercial",$C1084))),Variables!$B$1:$D$1,0),1))*(BJ1084/365))+(W1084*INDEX(Variables!$B$9:$D$9,IFERROR(MATCH(IF($B1084="Robusta","Robusta",(IF($B1084="","Arabica",$B1084))&amp;" - "&amp;(IF($C1084="","Commercial",$C1084))),Variables!$B$1:$D$1,0),1))*(BJ1084/365))+(INDEX(Variables!$B$8:$D$8,IFERROR(MATCH(IF($B1084="Robusta","Robusta",(IF($B1084="","Arabica",$B1084))&amp;" - "&amp;(IF($C1084="","Commercial",$C1084))),Variables!$B$1:$D$1,0),1))*L1084/16.67)),""))</f>
        <v>-214.68393739880051</v>
      </c>
    </row>
    <row r="1085" spans="1:63">
      <c r="A1085" s="13" t="s">
        <v>103</v>
      </c>
      <c r="B1085" s="13" t="s">
        <v>104</v>
      </c>
      <c r="C1085" s="13" t="s">
        <v>105</v>
      </c>
      <c r="D1085" s="31">
        <v>46120</v>
      </c>
      <c r="E1085" s="31">
        <v>46174</v>
      </c>
      <c r="F1085" s="31">
        <v>46203</v>
      </c>
      <c r="G1085" s="13">
        <v>3787508</v>
      </c>
      <c r="J1085" s="13" t="s">
        <v>236</v>
      </c>
      <c r="K1085" s="13">
        <v>5570</v>
      </c>
      <c r="L1085" s="13">
        <v>320</v>
      </c>
      <c r="M1085" s="13">
        <v>1</v>
      </c>
      <c r="N1085" s="13" t="s">
        <v>1276</v>
      </c>
      <c r="O1085" s="13" t="s">
        <v>120</v>
      </c>
      <c r="P1085" s="13">
        <v>10070</v>
      </c>
      <c r="R1085" s="13" t="s">
        <v>239</v>
      </c>
      <c r="S1085" s="13" t="s">
        <v>180</v>
      </c>
      <c r="T1085" s="13" t="s">
        <v>253</v>
      </c>
      <c r="U1085" s="13" t="s">
        <v>182</v>
      </c>
      <c r="V1085" s="23">
        <v>38</v>
      </c>
      <c r="W1085" s="44">
        <f>IF($AX1085="Cancelled","",IFERROR(((V1085+INDEX(Variables!$B$6:$D$6,IFERROR(MATCH(IF($B1085="Robusta","Robusta",(IF($B1085="","Arabica",$B1085))&amp;" - "&amp;(IF($C1085="","Commercial",$C1085))),Variables!$B$1:$D$1,0),1)))*22.0462)*(L1085/16.67),""))</f>
        <v>139148.94896220753</v>
      </c>
      <c r="X1085" s="55" t="s">
        <v>37</v>
      </c>
      <c r="Y1085" s="13" t="str">
        <f>IF($AX1085="Cancelled","",IF(X1085="","",IFERROR(IF(INDEX(Variables!$B$38:$B$47,MATCH(X1085,Variables!$A$38:$A$47,0))="Yes","Yes","No"),"No")))</f>
        <v>Yes</v>
      </c>
      <c r="Z1085" s="58">
        <v>46165</v>
      </c>
      <c r="AB1085" s="31">
        <v>46162</v>
      </c>
      <c r="AC1085" s="13" t="str">
        <f t="shared" si="50"/>
        <v>Approved</v>
      </c>
      <c r="AF1085" s="71">
        <v>46202</v>
      </c>
      <c r="AG1085" s="35">
        <f>IF($AX1085="Cancelled","",IFERROR(IF(F1085="","",F1085-Variables!$B$13),""))</f>
        <v>46188</v>
      </c>
      <c r="AH1085" s="13">
        <f>IF($AX1085="Cancelled","",IFERROR(IF(AB1085="","",(AVERAGE(E1085:F1085)-AB1085)-Variables!$B$14),""))</f>
        <v>-3.5</v>
      </c>
      <c r="AJ1085" s="47">
        <v>46209</v>
      </c>
      <c r="AK1085" s="14">
        <f>IF($AX1085="Cancelled","",IFERROR(IF(AJ1085="","",IF(AND(AB1085="",AF1085=""),"",IF(AF1085&gt;AB1085,AF1085+Variables!$B$15+Variables!$B$16+Variables!$B$17-AJ1085,AB1085+Variables!$B$16+Variables!$B$17-AJ1085))),""))</f>
        <v>8</v>
      </c>
      <c r="AL1085" s="48" t="s">
        <v>114</v>
      </c>
      <c r="AM1085" s="13" t="s">
        <v>168</v>
      </c>
      <c r="AN1085" s="13" t="s">
        <v>2711</v>
      </c>
      <c r="AP1085" s="39">
        <v>46223</v>
      </c>
      <c r="AR1085" s="13" t="s">
        <v>2712</v>
      </c>
      <c r="AS1085" s="31">
        <v>46223</v>
      </c>
      <c r="AU1085" s="31">
        <v>46232</v>
      </c>
      <c r="AV1085" s="13" t="s">
        <v>865</v>
      </c>
      <c r="AW1085" s="39">
        <v>46232</v>
      </c>
      <c r="AX1085" s="13" t="str">
        <f>IF(ISNUMBER(SEARCH("cancel",#REF!)),"Cancelled",IF(AND(AS1085&lt;&gt;"",AU1085&lt;&gt;"",AW1085&lt;&gt;""),"Closed","Open"))</f>
        <v>Closed</v>
      </c>
      <c r="AY1085" s="15" t="str">
        <f t="shared" si="49"/>
        <v>All dates received</v>
      </c>
      <c r="AZ1085" s="13" t="s">
        <v>3047</v>
      </c>
      <c r="BA1085" s="13" t="s">
        <v>3057</v>
      </c>
      <c r="BB1085" s="13" t="s">
        <v>3058</v>
      </c>
      <c r="BC1085" s="13" t="s">
        <v>3296</v>
      </c>
      <c r="BD1085" s="13">
        <f>IF($AX1085="Cancelled","",IFERROR(IF(OR(AS1085="",AJ1085=""),"",(AJ1085+Variables!$B$18-AS1085)),""))</f>
        <v>1</v>
      </c>
      <c r="BE1085" s="13">
        <f>IF($AX1085="Cancelled","",IFERROR(IF(OR(AW1085="",AS1085=""),"",(AS1085+Variables!$B$19)-AW1085),""))</f>
        <v>-4</v>
      </c>
      <c r="BF1085" s="44">
        <f>IF($AX1085="Cancelled","",IFERROR(W1085*INDEX(Variables!$B$7:$D$7,IFERROR(MATCH(IF($B1085="Robusta","Robusta",(IF($B1085="","Arabica",$B1085))&amp;" - "&amp;(IF($C1085="","Commercial",$C1085))),Variables!$B$1:$D$1,0),1))*(BE1085/365),""))</f>
        <v>-98.330195690639542</v>
      </c>
      <c r="BG1085" s="44">
        <f>IF($AX1085="Cancelled","",IFERROR((W1085*INDEX(Variables!$B$7:$D$7,IFERROR(MATCH(IF($B1085="Robusta","Robusta",(IF($B1085="","Arabica",$B1085))&amp;" - "&amp;(IF($C1085="","Commercial",$C1085))),Variables!$B$1:$D$1,0),1))*IFERROR(IF(AB1085="","",(AVERAGE(E1085:F1085)-AB1085)-Variables!$B$14),"")/365)+(L1085/16.67*INDEX(Variables!$B$8:$D$8,IFERROR(MATCH(IF($B1085="Robusta","Robusta",(IF($B1085="","Arabica",$B1085))&amp;" - "&amp;(IF($C1085="","Commercial",$C1085))),Variables!$B$1:$D$1,0),1))*IFERROR(IF(AB1085="","",(AVERAGE(E1085:F1085)-AB1085)-Variables!$B$14),""))+(W1085*INDEX(Variables!$B$9:$D$9,IFERROR(MATCH(IF($B1085="Robusta","Robusta",(IF($B1085="","Arabica",$B1085))&amp;" - "&amp;(IF($C1085="","Commercial",$C1085))),Variables!$B$1:$D$1,0),1))*IFERROR(IF(AB1085="","",(AVERAGE(E1085:F1085)-AB1085)-Variables!$B$14),"")/365),""))</f>
        <v>-143.14812896753699</v>
      </c>
      <c r="BH1085" s="44">
        <f>IF($AX1085="Cancelled","",IFERROR((W1085*INDEX(Variables!$B$7:$D$7,IFERROR(MATCH(IF($B1085="Robusta","Robusta",(IF($B1085="","Arabica",$B1085))&amp;" - "&amp;(IF($C1085="","Commercial",$C1085))),Variables!$B$1:$D$1,0),1))*AK1085/365)+(L1085/16.67*INDEX(Variables!$B$8:$D$8,IFERROR(MATCH(IF($B1085="Robusta","Robusta",(IF($B1085="","Arabica",$B1085))&amp;" - "&amp;(IF($C1085="","Commercial",$C1085))),Variables!$B$1:$D$1,0),1))*AK1085)+(W1085*INDEX(Variables!$B$9:$D$9,IFERROR(MATCH(IF($B1085="Robusta","Robusta",(IF($B1085="","Arabica",$B1085))&amp;" - "&amp;(IF($C1085="","Commercial",$C1085))),Variables!$B$1:$D$1,0),1))*AK1085/365),""))</f>
        <v>327.19572335437022</v>
      </c>
      <c r="BI1085" s="44">
        <f>IF($AX1085="Cancelled","",IFERROR((W1085*INDEX(Variables!$B$7:$D$7,IFERROR(MATCH(IF($B1085="Robusta","Robusta",(IF($B1085="","Arabica",$B1085))&amp;" - "&amp;(IF($C1085="","Commercial",$C1085))),Variables!$B$1:$D$1,0),1))*BD1085/365)+(L1085/16.67*INDEX(Variables!$B$8:$D$8,IFERROR(MATCH(IF($B1085="Robusta","Robusta",(IF($B1085="","Arabica",$B1085))&amp;" - "&amp;(IF($C1085="","Commercial",$C1085))),Variables!$B$1:$D$1,0),1))*BD1085)+(W1085*INDEX(Variables!$B$9:$D$9,IFERROR(MATCH(IF($B1085="Robusta","Robusta",(IF($B1085="","Arabica",$B1085))&amp;" - "&amp;(IF($C1085="","Commercial",$C1085))),Variables!$B$1:$D$1,0),1))*BD1085/365),""))</f>
        <v>40.899465419296277</v>
      </c>
      <c r="BJ1085" s="44">
        <f t="shared" si="51"/>
        <v>-20</v>
      </c>
      <c r="BK1085" s="44">
        <f>IF($AX1085="Cancelled","",IFERROR(IF(BJ1085="","",(W1085*INDEX(Variables!$B$7:$D$7,IFERROR(MATCH(IF($B1085="Robusta","Robusta",(IF($B1085="","Arabica",$B1085))&amp;" - "&amp;(IF($C1085="","Commercial",$C1085))),Variables!$B$1:$D$1,0),1))*(BJ1085/365))+(W1085*INDEX(Variables!$B$9:$D$9,IFERROR(MATCH(IF($B1085="Robusta","Robusta",(IF($B1085="","Arabica",$B1085))&amp;" - "&amp;(IF($C1085="","Commercial",$C1085))),Variables!$B$1:$D$1,0),1))*(BJ1085/365))+(INDEX(Variables!$B$8:$D$8,IFERROR(MATCH(IF($B1085="Robusta","Robusta",(IF($B1085="","Arabica",$B1085))&amp;" - "&amp;(IF($C1085="","Commercial",$C1085))),Variables!$B$1:$D$1,0),1))*L1085/16.67)),""))</f>
        <v>-481.98930838592554</v>
      </c>
    </row>
    <row r="1086" spans="1:63">
      <c r="A1086" s="13" t="s">
        <v>103</v>
      </c>
      <c r="B1086" s="13" t="s">
        <v>104</v>
      </c>
      <c r="C1086" s="13" t="s">
        <v>105</v>
      </c>
      <c r="D1086" s="31">
        <v>46120</v>
      </c>
      <c r="E1086" s="31">
        <v>46204</v>
      </c>
      <c r="F1086" s="31">
        <v>46234</v>
      </c>
      <c r="G1086" s="13">
        <v>3787509</v>
      </c>
      <c r="J1086" s="13" t="s">
        <v>236</v>
      </c>
      <c r="K1086" s="13">
        <v>5610</v>
      </c>
      <c r="L1086" s="13">
        <v>320</v>
      </c>
      <c r="M1086" s="13">
        <v>1</v>
      </c>
      <c r="N1086" s="13" t="s">
        <v>1276</v>
      </c>
      <c r="O1086" s="13" t="s">
        <v>120</v>
      </c>
      <c r="P1086" s="13">
        <v>10070</v>
      </c>
      <c r="R1086" s="13" t="s">
        <v>239</v>
      </c>
      <c r="S1086" s="13" t="s">
        <v>2190</v>
      </c>
      <c r="T1086" s="13" t="s">
        <v>253</v>
      </c>
      <c r="U1086" s="13" t="s">
        <v>182</v>
      </c>
      <c r="V1086" s="23">
        <v>38</v>
      </c>
      <c r="W1086" s="44">
        <f>IF($AX1086="Cancelled","",IFERROR(((V1086+INDEX(Variables!$B$6:$D$6,IFERROR(MATCH(IF($B1086="Robusta","Robusta",(IF($B1086="","Arabica",$B1086))&amp;" - "&amp;(IF($C1086="","Commercial",$C1086))),Variables!$B$1:$D$1,0),1)))*22.0462)*(L1086/16.67),""))</f>
        <v>139148.94896220753</v>
      </c>
      <c r="X1086" s="55" t="s">
        <v>37</v>
      </c>
      <c r="Y1086" s="13" t="str">
        <f>IF($AX1086="Cancelled","",IF(X1086="","",IFERROR(IF(INDEX(Variables!$B$38:$B$47,MATCH(X1086,Variables!$A$38:$A$47,0))="Yes","Yes","No"),"No")))</f>
        <v>Yes</v>
      </c>
      <c r="Z1086" s="58">
        <v>46212</v>
      </c>
      <c r="AB1086" s="31">
        <v>46241</v>
      </c>
      <c r="AC1086" s="13" t="str">
        <f t="shared" si="50"/>
        <v>Approved</v>
      </c>
      <c r="AF1086" s="71">
        <v>46244</v>
      </c>
      <c r="AG1086" s="35">
        <f>IF($AX1086="Cancelled","",IFERROR(IF(F1086="","",F1086-Variables!$B$13),""))</f>
        <v>46219</v>
      </c>
      <c r="AH1086" s="13">
        <f>IF($AX1086="Cancelled","",IFERROR(IF(AB1086="","",(AVERAGE(E1086:F1086)-AB1086)-Variables!$B$14),""))</f>
        <v>-52</v>
      </c>
      <c r="AJ1086" s="47">
        <v>46247</v>
      </c>
      <c r="AK1086" s="14">
        <f>IF($AX1086="Cancelled","",IFERROR(IF(AJ1086="","",IF(AND(AB1086="",AF1086=""),"",IF(AF1086&gt;AB1086,AF1086+Variables!$B$15+Variables!$B$16+Variables!$B$17-AJ1086,AB1086+Variables!$B$16+Variables!$B$17-AJ1086))),""))</f>
        <v>12</v>
      </c>
      <c r="AL1086" s="48" t="s">
        <v>114</v>
      </c>
      <c r="AM1086" s="13" t="s">
        <v>168</v>
      </c>
      <c r="AN1086" s="13" t="s">
        <v>2713</v>
      </c>
      <c r="AP1086" s="39">
        <v>46262</v>
      </c>
      <c r="AR1086" s="13" t="s">
        <v>2714</v>
      </c>
      <c r="AS1086" s="31">
        <v>46262</v>
      </c>
      <c r="AU1086" s="39">
        <v>46279</v>
      </c>
      <c r="AV1086" s="13" t="s">
        <v>865</v>
      </c>
      <c r="AW1086" s="39">
        <v>46279</v>
      </c>
      <c r="AX1086" s="13" t="str">
        <f>IF(ISNUMBER(SEARCH("cancel",#REF!)),"Cancelled",IF(AND(AS1086&lt;&gt;"",AU1086&lt;&gt;"",AW1086&lt;&gt;""),"Closed","Open"))</f>
        <v>Closed</v>
      </c>
      <c r="AY1086" s="15" t="str">
        <f t="shared" ref="AY1086:AY1148" si="52">IF($AX1086="Cancelled","",IF(AND(AS1086&lt;&gt;"",AU1086&lt;&gt;"",AW1086&lt;&gt;""),"All dates received",_xlfn.TEXTJOIN(" and ",TRUE(),IF(AS1086="","No sailing date",""),IF(AU1086="","No shipping advice sent",""),IF(AW1086="","No docs dispatch date",""))))</f>
        <v>All dates received</v>
      </c>
      <c r="AZ1086" s="13" t="s">
        <v>3047</v>
      </c>
      <c r="BA1086" s="13" t="s">
        <v>3051</v>
      </c>
      <c r="BB1086" s="13" t="s">
        <v>3052</v>
      </c>
      <c r="BC1086" s="13" t="s">
        <v>3299</v>
      </c>
      <c r="BD1086" s="13">
        <f>IF($AX1086="Cancelled","",IFERROR(IF(OR(AS1086="",AJ1086=""),"",(AJ1086+Variables!$B$18-AS1086)),""))</f>
        <v>0</v>
      </c>
      <c r="BE1086" s="13">
        <f>IF($AX1086="Cancelled","",IFERROR(IF(OR(AW1086="",AS1086=""),"",(AS1086+Variables!$B$19)-AW1086),""))</f>
        <v>-12</v>
      </c>
      <c r="BF1086" s="44">
        <f>IF($AX1086="Cancelled","",IFERROR(W1086*INDEX(Variables!$B$7:$D$7,IFERROR(MATCH(IF($B1086="Robusta","Robusta",(IF($B1086="","Arabica",$B1086))&amp;" - "&amp;(IF($C1086="","Commercial",$C1086))),Variables!$B$1:$D$1,0),1))*(BE1086/365),""))</f>
        <v>-294.99058707191858</v>
      </c>
      <c r="BG1086" s="44">
        <f>IF($AX1086="Cancelled","",IFERROR((W1086*INDEX(Variables!$B$7:$D$7,IFERROR(MATCH(IF($B1086="Robusta","Robusta",(IF($B1086="","Arabica",$B1086))&amp;" - "&amp;(IF($C1086="","Commercial",$C1086))),Variables!$B$1:$D$1,0),1))*IFERROR(IF(AB1086="","",(AVERAGE(E1086:F1086)-AB1086)-Variables!$B$14),"")/365)+(L1086/16.67*INDEX(Variables!$B$8:$D$8,IFERROR(MATCH(IF($B1086="Robusta","Robusta",(IF($B1086="","Arabica",$B1086))&amp;" - "&amp;(IF($C1086="","Commercial",$C1086))),Variables!$B$1:$D$1,0),1))*IFERROR(IF(AB1086="","",(AVERAGE(E1086:F1086)-AB1086)-Variables!$B$14),""))+(W1086*INDEX(Variables!$B$9:$D$9,IFERROR(MATCH(IF($B1086="Robusta","Robusta",(IF($B1086="","Arabica",$B1086))&amp;" - "&amp;(IF($C1086="","Commercial",$C1086))),Variables!$B$1:$D$1,0),1))*IFERROR(IF(AB1086="","",(AVERAGE(E1086:F1086)-AB1086)-Variables!$B$14),"")/365),""))</f>
        <v>-2126.7722018034065</v>
      </c>
      <c r="BH1086" s="44">
        <f>IF($AX1086="Cancelled","",IFERROR((W1086*INDEX(Variables!$B$7:$D$7,IFERROR(MATCH(IF($B1086="Robusta","Robusta",(IF($B1086="","Arabica",$B1086))&amp;" - "&amp;(IF($C1086="","Commercial",$C1086))),Variables!$B$1:$D$1,0),1))*AK1086/365)+(L1086/16.67*INDEX(Variables!$B$8:$D$8,IFERROR(MATCH(IF($B1086="Robusta","Robusta",(IF($B1086="","Arabica",$B1086))&amp;" - "&amp;(IF($C1086="","Commercial",$C1086))),Variables!$B$1:$D$1,0),1))*AK1086)+(W1086*INDEX(Variables!$B$9:$D$9,IFERROR(MATCH(IF($B1086="Robusta","Robusta",(IF($B1086="","Arabica",$B1086))&amp;" - "&amp;(IF($C1086="","Commercial",$C1086))),Variables!$B$1:$D$1,0),1))*AK1086/365),""))</f>
        <v>490.79358503155527</v>
      </c>
      <c r="BI1086" s="44">
        <f>IF($AX1086="Cancelled","",IFERROR((W1086*INDEX(Variables!$B$7:$D$7,IFERROR(MATCH(IF($B1086="Robusta","Robusta",(IF($B1086="","Arabica",$B1086))&amp;" - "&amp;(IF($C1086="","Commercial",$C1086))),Variables!$B$1:$D$1,0),1))*BD1086/365)+(L1086/16.67*INDEX(Variables!$B$8:$D$8,IFERROR(MATCH(IF($B1086="Robusta","Robusta",(IF($B1086="","Arabica",$B1086))&amp;" - "&amp;(IF($C1086="","Commercial",$C1086))),Variables!$B$1:$D$1,0),1))*BD1086)+(W1086*INDEX(Variables!$B$9:$D$9,IFERROR(MATCH(IF($B1086="Robusta","Robusta",(IF($B1086="","Arabica",$B1086))&amp;" - "&amp;(IF($C1086="","Commercial",$C1086))),Variables!$B$1:$D$1,0),1))*BD1086/365),""))</f>
        <v>0</v>
      </c>
      <c r="BJ1086" s="44">
        <f t="shared" si="51"/>
        <v>-28</v>
      </c>
      <c r="BK1086" s="44">
        <f>IF($AX1086="Cancelled","",IFERROR(IF(BJ1086="","",(W1086*INDEX(Variables!$B$7:$D$7,IFERROR(MATCH(IF($B1086="Robusta","Robusta",(IF($B1086="","Arabica",$B1086))&amp;" - "&amp;(IF($C1086="","Commercial",$C1086))),Variables!$B$1:$D$1,0),1))*(BJ1086/365))+(W1086*INDEX(Variables!$B$9:$D$9,IFERROR(MATCH(IF($B1086="Robusta","Robusta",(IF($B1086="","Arabica",$B1086))&amp;" - "&amp;(IF($C1086="","Commercial",$C1086))),Variables!$B$1:$D$1,0),1))*(BJ1086/365))+(INDEX(Variables!$B$8:$D$8,IFERROR(MATCH(IF($B1086="Robusta","Robusta",(IF($B1086="","Arabica",$B1086))&amp;" - "&amp;(IF($C1086="","Commercial",$C1086))),Variables!$B$1:$D$1,0),1))*L1086/16.67)),""))</f>
        <v>-681.18503174029581</v>
      </c>
    </row>
    <row r="1087" spans="1:63">
      <c r="A1087" s="13" t="s">
        <v>103</v>
      </c>
      <c r="B1087" s="13" t="s">
        <v>104</v>
      </c>
      <c r="C1087" s="13" t="s">
        <v>105</v>
      </c>
      <c r="D1087" s="31">
        <v>46120</v>
      </c>
      <c r="E1087" s="31">
        <v>46143</v>
      </c>
      <c r="F1087" s="31">
        <v>46173</v>
      </c>
      <c r="G1087" s="13">
        <v>3787510</v>
      </c>
      <c r="H1087" s="13">
        <v>40581</v>
      </c>
      <c r="J1087" s="13" t="s">
        <v>2715</v>
      </c>
      <c r="K1087" s="13">
        <v>5505</v>
      </c>
      <c r="L1087" s="13">
        <v>320</v>
      </c>
      <c r="M1087" s="13">
        <v>1</v>
      </c>
      <c r="N1087" s="13" t="s">
        <v>1274</v>
      </c>
      <c r="O1087" s="13" t="s">
        <v>355</v>
      </c>
      <c r="P1087" s="13">
        <v>10060</v>
      </c>
      <c r="R1087" s="13" t="s">
        <v>239</v>
      </c>
      <c r="S1087" s="13" t="s">
        <v>288</v>
      </c>
      <c r="T1087" s="13" t="s">
        <v>289</v>
      </c>
      <c r="U1087" s="13" t="s">
        <v>182</v>
      </c>
      <c r="V1087" s="23">
        <v>50</v>
      </c>
      <c r="W1087" s="44">
        <f>IF($AX1087="Cancelled","",IFERROR(((V1087+INDEX(Variables!$B$6:$D$6,IFERROR(MATCH(IF($B1087="Robusta","Robusta",(IF($B1087="","Arabica",$B1087))&amp;" - "&amp;(IF($C1087="","Commercial",$C1087))),Variables!$B$1:$D$1,0),1)))*22.0462)*(L1087/16.67),""))</f>
        <v>144227.3777564487</v>
      </c>
      <c r="X1087" s="55" t="s">
        <v>37</v>
      </c>
      <c r="Y1087" s="13" t="str">
        <f>IF($AX1087="Cancelled","",IF(X1087="","",IFERROR(IF(INDEX(Variables!$B$38:$B$47,MATCH(X1087,Variables!$A$38:$A$47,0))="Yes","Yes","No"),"No")))</f>
        <v>Yes</v>
      </c>
      <c r="Z1087" s="58">
        <v>46129</v>
      </c>
      <c r="AB1087" s="31">
        <v>46139</v>
      </c>
      <c r="AC1087" s="13" t="str">
        <f t="shared" si="50"/>
        <v>Approved</v>
      </c>
      <c r="AF1087" s="71">
        <v>46150</v>
      </c>
      <c r="AG1087" s="35">
        <f>IF($AX1087="Cancelled","",IFERROR(IF(F1087="","",F1087-Variables!$B$13),""))</f>
        <v>46158</v>
      </c>
      <c r="AH1087" s="13">
        <f>IF($AX1087="Cancelled","",IFERROR(IF(AB1087="","",(AVERAGE(E1087:F1087)-AB1087)-Variables!$B$14),""))</f>
        <v>-11</v>
      </c>
      <c r="AJ1087" s="47">
        <v>46154</v>
      </c>
      <c r="AK1087" s="14">
        <f>IF($AX1087="Cancelled","",IFERROR(IF(AJ1087="","",IF(AND(AB1087="",AF1087=""),"",IF(AF1087&gt;AB1087,AF1087+Variables!$B$15+Variables!$B$16+Variables!$B$17-AJ1087,AB1087+Variables!$B$16+Variables!$B$17-AJ1087))),""))</f>
        <v>11</v>
      </c>
      <c r="AL1087" s="48" t="s">
        <v>114</v>
      </c>
      <c r="AM1087" s="13" t="s">
        <v>168</v>
      </c>
      <c r="AN1087" s="13" t="s">
        <v>2678</v>
      </c>
      <c r="AP1087" s="39">
        <v>46162</v>
      </c>
      <c r="AR1087" s="13" t="s">
        <v>2716</v>
      </c>
      <c r="AS1087" s="31">
        <v>46162</v>
      </c>
      <c r="AU1087" s="31">
        <v>46189</v>
      </c>
      <c r="AV1087" s="13" t="e">
        <v>#REF!</v>
      </c>
      <c r="AW1087" s="31">
        <v>46189</v>
      </c>
      <c r="AX1087" s="13" t="str">
        <f>IF(ISNUMBER(SEARCH("cancel",#REF!)),"Cancelled",IF(AND(AS1087&lt;&gt;"",AU1087&lt;&gt;"",AW1087&lt;&gt;""),"Closed","Open"))</f>
        <v>Closed</v>
      </c>
      <c r="AY1087" s="15" t="str">
        <f t="shared" si="52"/>
        <v>All dates received</v>
      </c>
      <c r="BD1087" s="13">
        <f>IF($AX1087="Cancelled","",IFERROR(IF(OR(AS1087="",AJ1087=""),"",(AJ1087+Variables!$B$18-AS1087)),""))</f>
        <v>7</v>
      </c>
      <c r="BE1087" s="13">
        <f>IF($AX1087="Cancelled","",IFERROR(IF(OR(AW1087="",AS1087=""),"",(AS1087+Variables!$B$19)-AW1087),""))</f>
        <v>-22</v>
      </c>
      <c r="BF1087" s="44">
        <f>IF($AX1087="Cancelled","",IFERROR(W1087*INDEX(Variables!$B$7:$D$7,IFERROR(MATCH(IF($B1087="Robusta","Robusta",(IF($B1087="","Arabica",$B1087))&amp;" - "&amp;(IF($C1087="","Commercial",$C1087))),Variables!$B$1:$D$1,0),1))*(BE1087/365),""))</f>
        <v>-560.55388930211313</v>
      </c>
      <c r="BG1087" s="44">
        <f>IF($AX1087="Cancelled","",IFERROR((W1087*INDEX(Variables!$B$7:$D$7,IFERROR(MATCH(IF($B1087="Robusta","Robusta",(IF($B1087="","Arabica",$B1087))&amp;" - "&amp;(IF($C1087="","Commercial",$C1087))),Variables!$B$1:$D$1,0),1))*IFERROR(IF(AB1087="","",(AVERAGE(E1087:F1087)-AB1087)-Variables!$B$14),"")/365)+(L1087/16.67*INDEX(Variables!$B$8:$D$8,IFERROR(MATCH(IF($B1087="Robusta","Robusta",(IF($B1087="","Arabica",$B1087))&amp;" - "&amp;(IF($C1087="","Commercial",$C1087))),Variables!$B$1:$D$1,0),1))*IFERROR(IF(AB1087="","",(AVERAGE(E1087:F1087)-AB1087)-Variables!$B$14),""))+(W1087*INDEX(Variables!$B$9:$D$9,IFERROR(MATCH(IF($B1087="Robusta","Robusta",(IF($B1087="","Arabica",$B1087))&amp;" - "&amp;(IF($C1087="","Commercial",$C1087))),Variables!$B$1:$D$1,0),1))*IFERROR(IF(AB1087="","",(AVERAGE(E1087:F1087)-AB1087)-Variables!$B$14),"")/365),""))</f>
        <v>-459.89025536453136</v>
      </c>
      <c r="BH1087" s="44">
        <f>IF($AX1087="Cancelled","",IFERROR((W1087*INDEX(Variables!$B$7:$D$7,IFERROR(MATCH(IF($B1087="Robusta","Robusta",(IF($B1087="","Arabica",$B1087))&amp;" - "&amp;(IF($C1087="","Commercial",$C1087))),Variables!$B$1:$D$1,0),1))*AK1087/365)+(L1087/16.67*INDEX(Variables!$B$8:$D$8,IFERROR(MATCH(IF($B1087="Robusta","Robusta",(IF($B1087="","Arabica",$B1087))&amp;" - "&amp;(IF($C1087="","Commercial",$C1087))),Variables!$B$1:$D$1,0),1))*AK1087)+(W1087*INDEX(Variables!$B$9:$D$9,IFERROR(MATCH(IF($B1087="Robusta","Robusta",(IF($B1087="","Arabica",$B1087))&amp;" - "&amp;(IF($C1087="","Commercial",$C1087))),Variables!$B$1:$D$1,0),1))*AK1087/365),""))</f>
        <v>459.89025536453136</v>
      </c>
      <c r="BI1087" s="44">
        <f>IF($AX1087="Cancelled","",IFERROR((W1087*INDEX(Variables!$B$7:$D$7,IFERROR(MATCH(IF($B1087="Robusta","Robusta",(IF($B1087="","Arabica",$B1087))&amp;" - "&amp;(IF($C1087="","Commercial",$C1087))),Variables!$B$1:$D$1,0),1))*BD1087/365)+(L1087/16.67*INDEX(Variables!$B$8:$D$8,IFERROR(MATCH(IF($B1087="Robusta","Robusta",(IF($B1087="","Arabica",$B1087))&amp;" - "&amp;(IF($C1087="","Commercial",$C1087))),Variables!$B$1:$D$1,0),1))*BD1087)+(W1087*INDEX(Variables!$B$9:$D$9,IFERROR(MATCH(IF($B1087="Robusta","Robusta",(IF($B1087="","Arabica",$B1087))&amp;" - "&amp;(IF($C1087="","Commercial",$C1087))),Variables!$B$1:$D$1,0),1))*BD1087/365),""))</f>
        <v>292.65743523197449</v>
      </c>
      <c r="BJ1087" s="44">
        <f t="shared" si="51"/>
        <v>11</v>
      </c>
      <c r="BK1087" s="44">
        <f>IF($AX1087="Cancelled","",IFERROR(IF(BJ1087="","",(W1087*INDEX(Variables!$B$7:$D$7,IFERROR(MATCH(IF($B1087="Robusta","Robusta",(IF($B1087="","Arabica",$B1087))&amp;" - "&amp;(IF($C1087="","Commercial",$C1087))),Variables!$B$1:$D$1,0),1))*(BJ1087/365))+(W1087*INDEX(Variables!$B$9:$D$9,IFERROR(MATCH(IF($B1087="Robusta","Robusta",(IF($B1087="","Arabica",$B1087))&amp;" - "&amp;(IF($C1087="","Commercial",$C1087))),Variables!$B$1:$D$1,0),1))*(BJ1087/365))+(INDEX(Variables!$B$8:$D$8,IFERROR(MATCH(IF($B1087="Robusta","Robusta",(IF($B1087="","Arabica",$B1087))&amp;" - "&amp;(IF($C1087="","Commercial",$C1087))),Variables!$B$1:$D$1,0),1))*L1087/16.67)),""))</f>
        <v>299.89025536453136</v>
      </c>
    </row>
    <row r="1088" spans="1:63">
      <c r="A1088" s="13" t="s">
        <v>103</v>
      </c>
      <c r="B1088" s="13" t="s">
        <v>104</v>
      </c>
      <c r="C1088" s="13" t="s">
        <v>105</v>
      </c>
      <c r="D1088" s="31">
        <v>46121</v>
      </c>
      <c r="E1088" s="31">
        <v>46143</v>
      </c>
      <c r="F1088" s="31">
        <v>46173</v>
      </c>
      <c r="G1088" s="13">
        <v>3787511</v>
      </c>
      <c r="J1088" s="13" t="s">
        <v>236</v>
      </c>
      <c r="K1088" s="13">
        <v>5531</v>
      </c>
      <c r="L1088" s="13">
        <v>320</v>
      </c>
      <c r="M1088" s="13">
        <v>1</v>
      </c>
      <c r="N1088" s="13" t="s">
        <v>2717</v>
      </c>
      <c r="O1088" s="13" t="s">
        <v>332</v>
      </c>
      <c r="P1088" s="13">
        <v>10120</v>
      </c>
      <c r="R1088" s="13" t="s">
        <v>110</v>
      </c>
      <c r="S1088" s="13" t="s">
        <v>2372</v>
      </c>
      <c r="T1088" s="13" t="s">
        <v>2372</v>
      </c>
      <c r="U1088" s="13" t="s">
        <v>182</v>
      </c>
      <c r="V1088" s="23">
        <v>-30</v>
      </c>
      <c r="W1088" s="44">
        <f>IF($AX1088="Cancelled","",IFERROR(((V1088+INDEX(Variables!$B$6:$D$6,IFERROR(MATCH(IF($B1088="Robusta","Robusta",(IF($B1088="","Arabica",$B1088))&amp;" - "&amp;(IF($C1088="","Commercial",$C1088))),Variables!$B$1:$D$1,0),1)))*22.0462)*(L1088/16.67),""))</f>
        <v>110371.18579484102</v>
      </c>
      <c r="X1088" s="55" t="s">
        <v>37</v>
      </c>
      <c r="Y1088" s="13" t="str">
        <f>IF($AX1088="Cancelled","",IF(X1088="","",IFERROR(IF(INDEX(Variables!$B$38:$B$47,MATCH(X1088,Variables!$A$38:$A$47,0))="Yes","Yes","No"),"No")))</f>
        <v>Yes</v>
      </c>
      <c r="Z1088" s="58">
        <v>46129</v>
      </c>
      <c r="AB1088" s="31">
        <v>46146</v>
      </c>
      <c r="AC1088" s="13" t="str">
        <f t="shared" si="50"/>
        <v>Approved</v>
      </c>
      <c r="AF1088" s="71">
        <v>46172</v>
      </c>
      <c r="AG1088" s="35">
        <f>IF($AX1088="Cancelled","",IFERROR(IF(F1088="","",F1088-Variables!$B$13),""))</f>
        <v>46158</v>
      </c>
      <c r="AH1088" s="13">
        <f>IF($AX1088="Cancelled","",IFERROR(IF(AB1088="","",(AVERAGE(E1088:F1088)-AB1088)-Variables!$B$14),""))</f>
        <v>-18</v>
      </c>
      <c r="AJ1088" s="47">
        <v>46182</v>
      </c>
      <c r="AK1088" s="14">
        <f>IF($AX1088="Cancelled","",IFERROR(IF(AJ1088="","",IF(AND(AB1088="",AF1088=""),"",IF(AF1088&gt;AB1088,AF1088+Variables!$B$15+Variables!$B$16+Variables!$B$17-AJ1088,AB1088+Variables!$B$16+Variables!$B$17-AJ1088))),""))</f>
        <v>5</v>
      </c>
      <c r="AL1088" s="48" t="s">
        <v>114</v>
      </c>
      <c r="AM1088" s="13" t="s">
        <v>1784</v>
      </c>
      <c r="AN1088" s="13" t="s">
        <v>2552</v>
      </c>
      <c r="AP1088" s="39">
        <v>46213</v>
      </c>
      <c r="AR1088" s="13" t="s">
        <v>2718</v>
      </c>
      <c r="AS1088" s="31">
        <v>46212</v>
      </c>
      <c r="AU1088" s="31">
        <v>46224</v>
      </c>
      <c r="AV1088" s="13" t="e">
        <v>#REF!</v>
      </c>
      <c r="AW1088" s="31">
        <v>46224</v>
      </c>
      <c r="AX1088" s="13" t="str">
        <f>IF(ISNUMBER(SEARCH("cancel",#REF!)),"Cancelled",IF(AND(AS1088&lt;&gt;"",AU1088&lt;&gt;"",AW1088&lt;&gt;""),"Closed","Open"))</f>
        <v>Closed</v>
      </c>
      <c r="AY1088" s="15" t="str">
        <f t="shared" si="52"/>
        <v>All dates received</v>
      </c>
      <c r="BD1088" s="13">
        <f>IF($AX1088="Cancelled","",IFERROR(IF(OR(AS1088="",AJ1088=""),"",(AJ1088+Variables!$B$18-AS1088)),""))</f>
        <v>-15</v>
      </c>
      <c r="BE1088" s="13">
        <f>IF($AX1088="Cancelled","",IFERROR(IF(OR(AW1088="",AS1088=""),"",(AS1088+Variables!$B$19)-AW1088),""))</f>
        <v>-7</v>
      </c>
      <c r="BF1088" s="44">
        <f>IF($AX1088="Cancelled","",IFERROR(W1088*INDEX(Variables!$B$7:$D$7,IFERROR(MATCH(IF($B1088="Robusta","Robusta",(IF($B1088="","Arabica",$B1088))&amp;" - "&amp;(IF($C1088="","Commercial",$C1088))),Variables!$B$1:$D$1,0),1))*(BE1088/365),""))</f>
        <v>-136.48996749759092</v>
      </c>
      <c r="BG1088" s="44">
        <f>IF($AX1088="Cancelled","",IFERROR((W1088*INDEX(Variables!$B$7:$D$7,IFERROR(MATCH(IF($B1088="Robusta","Robusta",(IF($B1088="","Arabica",$B1088))&amp;" - "&amp;(IF($C1088="","Commercial",$C1088))),Variables!$B$1:$D$1,0),1))*IFERROR(IF(AB1088="","",(AVERAGE(E1088:F1088)-AB1088)-Variables!$B$14),"")/365)+(L1088/16.67*INDEX(Variables!$B$8:$D$8,IFERROR(MATCH(IF($B1088="Robusta","Robusta",(IF($B1088="","Arabica",$B1088))&amp;" - "&amp;(IF($C1088="","Commercial",$C1088))),Variables!$B$1:$D$1,0),1))*IFERROR(IF(AB1088="","",(AVERAGE(E1088:F1088)-AB1088)-Variables!$B$14),""))+(W1088*INDEX(Variables!$B$9:$D$9,IFERROR(MATCH(IF($B1088="Robusta","Robusta",(IF($B1088="","Arabica",$B1088))&amp;" - "&amp;(IF($C1088="","Commercial",$C1088))),Variables!$B$1:$D$1,0),1))*IFERROR(IF(AB1088="","",(AVERAGE(E1088:F1088)-AB1088)-Variables!$B$14),"")/365),""))</f>
        <v>-643.49893693535421</v>
      </c>
      <c r="BH1088" s="44">
        <f>IF($AX1088="Cancelled","",IFERROR((W1088*INDEX(Variables!$B$7:$D$7,IFERROR(MATCH(IF($B1088="Robusta","Robusta",(IF($B1088="","Arabica",$B1088))&amp;" - "&amp;(IF($C1088="","Commercial",$C1088))),Variables!$B$1:$D$1,0),1))*AK1088/365)+(L1088/16.67*INDEX(Variables!$B$8:$D$8,IFERROR(MATCH(IF($B1088="Robusta","Robusta",(IF($B1088="","Arabica",$B1088))&amp;" - "&amp;(IF($C1088="","Commercial",$C1088))),Variables!$B$1:$D$1,0),1))*AK1088)+(W1088*INDEX(Variables!$B$9:$D$9,IFERROR(MATCH(IF($B1088="Robusta","Robusta",(IF($B1088="","Arabica",$B1088))&amp;" - "&amp;(IF($C1088="","Commercial",$C1088))),Variables!$B$1:$D$1,0),1))*AK1088/365),""))</f>
        <v>178.74970470426507</v>
      </c>
      <c r="BI1088" s="44">
        <f>IF($AX1088="Cancelled","",IFERROR((W1088*INDEX(Variables!$B$7:$D$7,IFERROR(MATCH(IF($B1088="Robusta","Robusta",(IF($B1088="","Arabica",$B1088))&amp;" - "&amp;(IF($C1088="","Commercial",$C1088))),Variables!$B$1:$D$1,0),1))*BD1088/365)+(L1088/16.67*INDEX(Variables!$B$8:$D$8,IFERROR(MATCH(IF($B1088="Robusta","Robusta",(IF($B1088="","Arabica",$B1088))&amp;" - "&amp;(IF($C1088="","Commercial",$C1088))),Variables!$B$1:$D$1,0),1))*BD1088)+(W1088*INDEX(Variables!$B$9:$D$9,IFERROR(MATCH(IF($B1088="Robusta","Robusta",(IF($B1088="","Arabica",$B1088))&amp;" - "&amp;(IF($C1088="","Commercial",$C1088))),Variables!$B$1:$D$1,0),1))*BD1088/365),""))</f>
        <v>-536.24911411279516</v>
      </c>
      <c r="BJ1088" s="44">
        <f t="shared" si="51"/>
        <v>-39</v>
      </c>
      <c r="BK1088" s="44">
        <f>IF($AX1088="Cancelled","",IFERROR(IF(BJ1088="","",(W1088*INDEX(Variables!$B$7:$D$7,IFERROR(MATCH(IF($B1088="Robusta","Robusta",(IF($B1088="","Arabica",$B1088))&amp;" - "&amp;(IF($C1088="","Commercial",$C1088))),Variables!$B$1:$D$1,0),1))*(BJ1088/365))+(W1088*INDEX(Variables!$B$9:$D$9,IFERROR(MATCH(IF($B1088="Robusta","Robusta",(IF($B1088="","Arabica",$B1088))&amp;" - "&amp;(IF($C1088="","Commercial",$C1088))),Variables!$B$1:$D$1,0),1))*(BJ1088/365))+(INDEX(Variables!$B$8:$D$8,IFERROR(MATCH(IF($B1088="Robusta","Robusta",(IF($B1088="","Arabica",$B1088))&amp;" - "&amp;(IF($C1088="","Commercial",$C1088))),Variables!$B$1:$D$1,0),1))*L1088/16.67)),""))</f>
        <v>-754.24769669326747</v>
      </c>
    </row>
    <row r="1089" spans="1:63">
      <c r="A1089" s="13" t="s">
        <v>103</v>
      </c>
      <c r="B1089" s="13" t="s">
        <v>104</v>
      </c>
      <c r="C1089" s="13" t="s">
        <v>105</v>
      </c>
      <c r="D1089" s="31">
        <v>46121</v>
      </c>
      <c r="E1089" s="31">
        <v>46113</v>
      </c>
      <c r="F1089" s="31">
        <v>46142</v>
      </c>
      <c r="G1089" s="13">
        <v>3787512</v>
      </c>
      <c r="H1089" s="13">
        <v>5524</v>
      </c>
      <c r="J1089" s="13" t="s">
        <v>2715</v>
      </c>
      <c r="L1089" s="13">
        <v>320</v>
      </c>
      <c r="M1089" s="13">
        <v>1</v>
      </c>
      <c r="N1089" s="13" t="s">
        <v>2719</v>
      </c>
      <c r="O1089" s="13" t="s">
        <v>355</v>
      </c>
      <c r="P1089" s="13">
        <v>10060</v>
      </c>
      <c r="R1089" s="13" t="s">
        <v>239</v>
      </c>
      <c r="S1089" s="13" t="s">
        <v>283</v>
      </c>
      <c r="T1089" s="13" t="s">
        <v>112</v>
      </c>
      <c r="U1089" s="13" t="s">
        <v>113</v>
      </c>
      <c r="V1089" s="23">
        <v>50</v>
      </c>
      <c r="W1089" s="44">
        <f>IF($AX1089="Cancelled","",IFERROR(((V1089+INDEX(Variables!$B$6:$D$6,IFERROR(MATCH(IF($B1089="Robusta","Robusta",(IF($B1089="","Arabica",$B1089))&amp;" - "&amp;(IF($C1089="","Commercial",$C1089))),Variables!$B$1:$D$1,0),1)))*22.0462)*(L1089/16.67),""))</f>
        <v>144227.3777564487</v>
      </c>
      <c r="X1089" s="55" t="s">
        <v>37</v>
      </c>
      <c r="Y1089" s="13" t="str">
        <f>IF($AX1089="Cancelled","",IF(X1089="","",IFERROR(IF(INDEX(Variables!$B$38:$B$47,MATCH(X1089,Variables!$A$38:$A$47,0))="Yes","Yes","No"),"No")))</f>
        <v>Yes</v>
      </c>
      <c r="Z1089" s="58">
        <v>46148</v>
      </c>
      <c r="AB1089" s="31">
        <v>46154</v>
      </c>
      <c r="AC1089" s="13" t="str">
        <f t="shared" si="50"/>
        <v>Approved</v>
      </c>
      <c r="AF1089" s="71">
        <v>46140</v>
      </c>
      <c r="AG1089" s="35">
        <f>IF($AX1089="Cancelled","",IFERROR(IF(F1089="","",F1089-Variables!$B$13),""))</f>
        <v>46127</v>
      </c>
      <c r="AH1089" s="13">
        <f>IF($AX1089="Cancelled","",IFERROR(IF(AB1089="","",(AVERAGE(E1089:F1089)-AB1089)-Variables!$B$14),""))</f>
        <v>-56.5</v>
      </c>
      <c r="AJ1089" s="47">
        <v>46170</v>
      </c>
      <c r="AK1089" s="14">
        <f>IF($AX1089="Cancelled","",IFERROR(IF(AJ1089="","",IF(AND(AB1089="",AF1089=""),"",IF(AF1089&gt;AB1089,AF1089+Variables!$B$15+Variables!$B$16+Variables!$B$17-AJ1089,AB1089+Variables!$B$16+Variables!$B$17-AJ1089))),""))</f>
        <v>-8</v>
      </c>
      <c r="AL1089" s="48" t="s">
        <v>114</v>
      </c>
      <c r="AM1089" s="13" t="s">
        <v>134</v>
      </c>
      <c r="AN1089" s="13" t="s">
        <v>2720</v>
      </c>
      <c r="AP1089" s="39">
        <v>46186</v>
      </c>
      <c r="AR1089" s="13" t="s">
        <v>2721</v>
      </c>
      <c r="AS1089" s="31">
        <v>46186</v>
      </c>
      <c r="AU1089" s="31">
        <v>46203</v>
      </c>
      <c r="AV1089" s="13" t="e">
        <v>#REF!</v>
      </c>
      <c r="AW1089" s="31">
        <v>46203</v>
      </c>
      <c r="AX1089" s="13" t="str">
        <f>IF(ISNUMBER(SEARCH("cancel",#REF!)),"Cancelled",IF(AND(AS1089&lt;&gt;"",AU1089&lt;&gt;"",AW1089&lt;&gt;""),"Closed","Open"))</f>
        <v>Closed</v>
      </c>
      <c r="AY1089" s="15" t="str">
        <f t="shared" si="52"/>
        <v>All dates received</v>
      </c>
      <c r="BD1089" s="13">
        <f>IF($AX1089="Cancelled","",IFERROR(IF(OR(AS1089="",AJ1089=""),"",(AJ1089+Variables!$B$18-AS1089)),""))</f>
        <v>-1</v>
      </c>
      <c r="BE1089" s="13">
        <f>IF($AX1089="Cancelled","",IFERROR(IF(OR(AW1089="",AS1089=""),"",(AS1089+Variables!$B$19)-AW1089),""))</f>
        <v>-12</v>
      </c>
      <c r="BF1089" s="44">
        <f>IF($AX1089="Cancelled","",IFERROR(W1089*INDEX(Variables!$B$7:$D$7,IFERROR(MATCH(IF($B1089="Robusta","Robusta",(IF($B1089="","Arabica",$B1089))&amp;" - "&amp;(IF($C1089="","Commercial",$C1089))),Variables!$B$1:$D$1,0),1))*(BE1089/365),""))</f>
        <v>-305.75666689206167</v>
      </c>
      <c r="BG1089" s="44">
        <f>IF($AX1089="Cancelled","",IFERROR((W1089*INDEX(Variables!$B$7:$D$7,IFERROR(MATCH(IF($B1089="Robusta","Robusta",(IF($B1089="","Arabica",$B1089))&amp;" - "&amp;(IF($C1089="","Commercial",$C1089))),Variables!$B$1:$D$1,0),1))*IFERROR(IF(AB1089="","",(AVERAGE(E1089:F1089)-AB1089)-Variables!$B$14),"")/365)+(L1089/16.67*INDEX(Variables!$B$8:$D$8,IFERROR(MATCH(IF($B1089="Robusta","Robusta",(IF($B1089="","Arabica",$B1089))&amp;" - "&amp;(IF($C1089="","Commercial",$C1089))),Variables!$B$1:$D$1,0),1))*IFERROR(IF(AB1089="","",(AVERAGE(E1089:F1089)-AB1089)-Variables!$B$14),""))+(W1089*INDEX(Variables!$B$9:$D$9,IFERROR(MATCH(IF($B1089="Robusta","Robusta",(IF($B1089="","Arabica",$B1089))&amp;" - "&amp;(IF($C1089="","Commercial",$C1089))),Variables!$B$1:$D$1,0),1))*IFERROR(IF(AB1089="","",(AVERAGE(E1089:F1089)-AB1089)-Variables!$B$14),"")/365),""))</f>
        <v>-2362.1635843723652</v>
      </c>
      <c r="BH1089" s="44">
        <f>IF($AX1089="Cancelled","",IFERROR((W1089*INDEX(Variables!$B$7:$D$7,IFERROR(MATCH(IF($B1089="Robusta","Robusta",(IF($B1089="","Arabica",$B1089))&amp;" - "&amp;(IF($C1089="","Commercial",$C1089))),Variables!$B$1:$D$1,0),1))*AK1089/365)+(L1089/16.67*INDEX(Variables!$B$8:$D$8,IFERROR(MATCH(IF($B1089="Robusta","Robusta",(IF($B1089="","Arabica",$B1089))&amp;" - "&amp;(IF($C1089="","Commercial",$C1089))),Variables!$B$1:$D$1,0),1))*AK1089)+(W1089*INDEX(Variables!$B$9:$D$9,IFERROR(MATCH(IF($B1089="Robusta","Robusta",(IF($B1089="","Arabica",$B1089))&amp;" - "&amp;(IF($C1089="","Commercial",$C1089))),Variables!$B$1:$D$1,0),1))*AK1089/365),""))</f>
        <v>-334.46564026511368</v>
      </c>
      <c r="BI1089" s="44">
        <f>IF($AX1089="Cancelled","",IFERROR((W1089*INDEX(Variables!$B$7:$D$7,IFERROR(MATCH(IF($B1089="Robusta","Robusta",(IF($B1089="","Arabica",$B1089))&amp;" - "&amp;(IF($C1089="","Commercial",$C1089))),Variables!$B$1:$D$1,0),1))*BD1089/365)+(L1089/16.67*INDEX(Variables!$B$8:$D$8,IFERROR(MATCH(IF($B1089="Robusta","Robusta",(IF($B1089="","Arabica",$B1089))&amp;" - "&amp;(IF($C1089="","Commercial",$C1089))),Variables!$B$1:$D$1,0),1))*BD1089)+(W1089*INDEX(Variables!$B$9:$D$9,IFERROR(MATCH(IF($B1089="Robusta","Robusta",(IF($B1089="","Arabica",$B1089))&amp;" - "&amp;(IF($C1089="","Commercial",$C1089))),Variables!$B$1:$D$1,0),1))*BD1089/365),""))</f>
        <v>-41.80820503313921</v>
      </c>
      <c r="BJ1089" s="44">
        <f t="shared" si="51"/>
        <v>-44</v>
      </c>
      <c r="BK1089" s="44">
        <f>IF($AX1089="Cancelled","",IFERROR(IF(BJ1089="","",(W1089*INDEX(Variables!$B$7:$D$7,IFERROR(MATCH(IF($B1089="Robusta","Robusta",(IF($B1089="","Arabica",$B1089))&amp;" - "&amp;(IF($C1089="","Commercial",$C1089))),Variables!$B$1:$D$1,0),1))*(BJ1089/365))+(W1089*INDEX(Variables!$B$9:$D$9,IFERROR(MATCH(IF($B1089="Robusta","Robusta",(IF($B1089="","Arabica",$B1089))&amp;" - "&amp;(IF($C1089="","Commercial",$C1089))),Variables!$B$1:$D$1,0),1))*(BJ1089/365))+(INDEX(Variables!$B$8:$D$8,IFERROR(MATCH(IF($B1089="Robusta","Robusta",(IF($B1089="","Arabica",$B1089))&amp;" - "&amp;(IF($C1089="","Commercial",$C1089))),Variables!$B$1:$D$1,0),1))*L1089/16.67)),""))</f>
        <v>-1119.5610214581254</v>
      </c>
    </row>
    <row r="1090" spans="1:63">
      <c r="A1090" s="13" t="s">
        <v>103</v>
      </c>
      <c r="B1090" s="13" t="s">
        <v>104</v>
      </c>
      <c r="C1090" s="13" t="s">
        <v>105</v>
      </c>
      <c r="D1090" s="31">
        <v>46121</v>
      </c>
      <c r="E1090" s="31">
        <v>46113</v>
      </c>
      <c r="F1090" s="31">
        <v>46142</v>
      </c>
      <c r="G1090" s="13">
        <v>3787513</v>
      </c>
      <c r="H1090" s="13">
        <v>40526</v>
      </c>
      <c r="J1090" s="13" t="s">
        <v>2715</v>
      </c>
      <c r="K1090" s="13">
        <v>5506</v>
      </c>
      <c r="L1090" s="13">
        <v>320</v>
      </c>
      <c r="M1090" s="13">
        <v>1</v>
      </c>
      <c r="N1090" s="13" t="s">
        <v>2722</v>
      </c>
      <c r="O1090" s="13" t="s">
        <v>120</v>
      </c>
      <c r="P1090" s="13">
        <v>10070</v>
      </c>
      <c r="R1090" s="13" t="s">
        <v>239</v>
      </c>
      <c r="S1090" s="13" t="s">
        <v>283</v>
      </c>
      <c r="T1090" s="13" t="s">
        <v>2349</v>
      </c>
      <c r="U1090" s="13" t="s">
        <v>113</v>
      </c>
      <c r="V1090" s="23">
        <v>40</v>
      </c>
      <c r="W1090" s="44">
        <f>IF($AX1090="Cancelled","",IFERROR(((V1090+INDEX(Variables!$B$6:$D$6,IFERROR(MATCH(IF($B1090="Robusta","Robusta",(IF($B1090="","Arabica",$B1090))&amp;" - "&amp;(IF($C1090="","Commercial",$C1090))),Variables!$B$1:$D$1,0),1)))*22.0462)*(L1090/16.67),""))</f>
        <v>139995.35376124774</v>
      </c>
      <c r="X1090" s="55" t="s">
        <v>37</v>
      </c>
      <c r="Y1090" s="13" t="str">
        <f>IF($AX1090="Cancelled","",IF(X1090="","",IFERROR(IF(INDEX(Variables!$B$38:$B$47,MATCH(X1090,Variables!$A$38:$A$47,0))="Yes","Yes","No"),"No")))</f>
        <v>Yes</v>
      </c>
      <c r="Z1090" s="58">
        <v>46129</v>
      </c>
      <c r="AB1090" s="31">
        <v>46139</v>
      </c>
      <c r="AC1090" s="13" t="str">
        <f t="shared" ref="AC1090:AC1153" si="53">IF($AX1090="Cancelled","",IF(ISNUMBER(AB1090),"Approved",""))</f>
        <v>Approved</v>
      </c>
      <c r="AF1090" s="71">
        <v>46151</v>
      </c>
      <c r="AG1090" s="35">
        <f>IF($AX1090="Cancelled","",IFERROR(IF(F1090="","",F1090-Variables!$B$13),""))</f>
        <v>46127</v>
      </c>
      <c r="AH1090" s="13">
        <f>IF($AX1090="Cancelled","",IFERROR(IF(AB1090="","",(AVERAGE(E1090:F1090)-AB1090)-Variables!$B$14),""))</f>
        <v>-41.5</v>
      </c>
      <c r="AJ1090" s="47">
        <v>46154</v>
      </c>
      <c r="AK1090" s="14">
        <f>IF($AX1090="Cancelled","",IFERROR(IF(AJ1090="","",IF(AND(AB1090="",AF1090=""),"",IF(AF1090&gt;AB1090,AF1090+Variables!$B$15+Variables!$B$16+Variables!$B$17-AJ1090,AB1090+Variables!$B$16+Variables!$B$17-AJ1090))),""))</f>
        <v>12</v>
      </c>
      <c r="AL1090" s="48" t="s">
        <v>114</v>
      </c>
      <c r="AM1090" s="13" t="s">
        <v>1482</v>
      </c>
      <c r="AN1090" s="13" t="s">
        <v>2678</v>
      </c>
      <c r="AP1090" s="39">
        <v>46162</v>
      </c>
      <c r="AR1090" s="13" t="s">
        <v>2723</v>
      </c>
      <c r="AS1090" s="31">
        <v>46162</v>
      </c>
      <c r="AU1090" s="31">
        <v>46197</v>
      </c>
      <c r="AV1090" s="13" t="e">
        <v>#REF!</v>
      </c>
      <c r="AW1090" s="31">
        <v>46197</v>
      </c>
      <c r="AX1090" s="13" t="str">
        <f>IF(ISNUMBER(SEARCH("cancel",#REF!)),"Cancelled",IF(AND(AS1090&lt;&gt;"",AU1090&lt;&gt;"",AW1090&lt;&gt;""),"Closed","Open"))</f>
        <v>Closed</v>
      </c>
      <c r="AY1090" s="15" t="str">
        <f t="shared" si="52"/>
        <v>All dates received</v>
      </c>
      <c r="BD1090" s="13">
        <f>IF($AX1090="Cancelled","",IFERROR(IF(OR(AS1090="",AJ1090=""),"",(AJ1090+Variables!$B$18-AS1090)),""))</f>
        <v>7</v>
      </c>
      <c r="BE1090" s="13">
        <f>IF($AX1090="Cancelled","",IFERROR(IF(OR(AW1090="",AS1090=""),"",(AS1090+Variables!$B$19)-AW1090),""))</f>
        <v>-30</v>
      </c>
      <c r="BF1090" s="44">
        <f>IF($AX1090="Cancelled","",IFERROR(W1090*INDEX(Variables!$B$7:$D$7,IFERROR(MATCH(IF($B1090="Robusta","Robusta",(IF($B1090="","Arabica",$B1090))&amp;" - "&amp;(IF($C1090="","Commercial",$C1090))),Variables!$B$1:$D$1,0),1))*(BE1090/365),""))</f>
        <v>-741.96233427152288</v>
      </c>
      <c r="BG1090" s="44">
        <f>IF($AX1090="Cancelled","",IFERROR((W1090*INDEX(Variables!$B$7:$D$7,IFERROR(MATCH(IF($B1090="Robusta","Robusta",(IF($B1090="","Arabica",$B1090))&amp;" - "&amp;(IF($C1090="","Commercial",$C1090))),Variables!$B$1:$D$1,0),1))*IFERROR(IF(AB1090="","",(AVERAGE(E1090:F1090)-AB1090)-Variables!$B$14),"")/365)+(L1090/16.67*INDEX(Variables!$B$8:$D$8,IFERROR(MATCH(IF($B1090="Robusta","Robusta",(IF($B1090="","Arabica",$B1090))&amp;" - "&amp;(IF($C1090="","Commercial",$C1090))),Variables!$B$1:$D$1,0),1))*IFERROR(IF(AB1090="","",(AVERAGE(E1090:F1090)-AB1090)-Variables!$B$14),""))+(W1090*INDEX(Variables!$B$9:$D$9,IFERROR(MATCH(IF($B1090="Robusta","Robusta",(IF($B1090="","Arabica",$B1090))&amp;" - "&amp;(IF($C1090="","Commercial",$C1090))),Variables!$B$1:$D$1,0),1))*IFERROR(IF(AB1090="","",(AVERAGE(E1090:F1090)-AB1090)-Variables!$B$14),"")/365),""))</f>
        <v>-1703.6132638965425</v>
      </c>
      <c r="BH1090" s="44">
        <f>IF($AX1090="Cancelled","",IFERROR((W1090*INDEX(Variables!$B$7:$D$7,IFERROR(MATCH(IF($B1090="Robusta","Robusta",(IF($B1090="","Arabica",$B1090))&amp;" - "&amp;(IF($C1090="","Commercial",$C1090))),Variables!$B$1:$D$1,0),1))*AK1090/365)+(L1090/16.67*INDEX(Variables!$B$8:$D$8,IFERROR(MATCH(IF($B1090="Robusta","Robusta",(IF($B1090="","Arabica",$B1090))&amp;" - "&amp;(IF($C1090="","Commercial",$C1090))),Variables!$B$1:$D$1,0),1))*AK1090)+(W1090*INDEX(Variables!$B$9:$D$9,IFERROR(MATCH(IF($B1090="Robusta","Robusta",(IF($B1090="","Arabica",$B1090))&amp;" - "&amp;(IF($C1090="","Commercial",$C1090))),Variables!$B$1:$D$1,0),1))*AK1090/365),""))</f>
        <v>492.61106425924123</v>
      </c>
      <c r="BI1090" s="44">
        <f>IF($AX1090="Cancelled","",IFERROR((W1090*INDEX(Variables!$B$7:$D$7,IFERROR(MATCH(IF($B1090="Robusta","Robusta",(IF($B1090="","Arabica",$B1090))&amp;" - "&amp;(IF($C1090="","Commercial",$C1090))),Variables!$B$1:$D$1,0),1))*BD1090/365)+(L1090/16.67*INDEX(Variables!$B$8:$D$8,IFERROR(MATCH(IF($B1090="Robusta","Robusta",(IF($B1090="","Arabica",$B1090))&amp;" - "&amp;(IF($C1090="","Commercial",$C1090))),Variables!$B$1:$D$1,0),1))*BD1090)+(W1090*INDEX(Variables!$B$9:$D$9,IFERROR(MATCH(IF($B1090="Robusta","Robusta",(IF($B1090="","Arabica",$B1090))&amp;" - "&amp;(IF($C1090="","Commercial",$C1090))),Variables!$B$1:$D$1,0),1))*BD1090/365),""))</f>
        <v>287.356454151224</v>
      </c>
      <c r="BJ1090" s="44">
        <f t="shared" ref="BJ1090:BJ1153" si="54">IF($AX1090="Cancelled","",IFERROR(IF(AS1090="","",F1090-AS1090),""))</f>
        <v>-20</v>
      </c>
      <c r="BK1090" s="44">
        <f>IF($AX1090="Cancelled","",IFERROR(IF(BJ1090="","",(W1090*INDEX(Variables!$B$7:$D$7,IFERROR(MATCH(IF($B1090="Robusta","Robusta",(IF($B1090="","Arabica",$B1090))&amp;" - "&amp;(IF($C1090="","Commercial",$C1090))),Variables!$B$1:$D$1,0),1))*(BJ1090/365))+(W1090*INDEX(Variables!$B$9:$D$9,IFERROR(MATCH(IF($B1090="Robusta","Robusta",(IF($B1090="","Arabica",$B1090))&amp;" - "&amp;(IF($C1090="","Commercial",$C1090))),Variables!$B$1:$D$1,0),1))*(BJ1090/365))+(INDEX(Variables!$B$8:$D$8,IFERROR(MATCH(IF($B1090="Robusta","Robusta",(IF($B1090="","Arabica",$B1090))&amp;" - "&amp;(IF($C1090="","Commercial",$C1090))),Variables!$B$1:$D$1,0),1))*L1090/16.67)),""))</f>
        <v>-485.01844043206864</v>
      </c>
    </row>
    <row r="1091" spans="1:63">
      <c r="A1091" s="13" t="s">
        <v>103</v>
      </c>
      <c r="B1091" s="13" t="s">
        <v>104</v>
      </c>
      <c r="C1091" s="13" t="s">
        <v>292</v>
      </c>
      <c r="D1091" s="31">
        <v>46122</v>
      </c>
      <c r="E1091" s="31">
        <v>46113</v>
      </c>
      <c r="F1091" s="31">
        <v>46142</v>
      </c>
      <c r="G1091" s="13">
        <v>3787514</v>
      </c>
      <c r="J1091" s="13" t="s">
        <v>611</v>
      </c>
      <c r="K1091" s="13" t="s">
        <v>2724</v>
      </c>
      <c r="L1091" s="13">
        <v>20</v>
      </c>
      <c r="M1091" s="13">
        <v>0</v>
      </c>
      <c r="N1091" s="13" t="s">
        <v>2725</v>
      </c>
      <c r="O1091" s="13" t="s">
        <v>297</v>
      </c>
      <c r="P1091" s="13">
        <v>10020</v>
      </c>
      <c r="R1091" s="13" t="s">
        <v>384</v>
      </c>
      <c r="S1091" s="13" t="s">
        <v>339</v>
      </c>
      <c r="T1091" s="13" t="s">
        <v>340</v>
      </c>
      <c r="U1091" s="13" t="s">
        <v>113</v>
      </c>
      <c r="V1091" s="23">
        <v>185</v>
      </c>
      <c r="W1091" s="44">
        <f>IF($AX1091="Cancelled","",IFERROR(((V1091+INDEX(Variables!$B$6:$D$6,IFERROR(MATCH(IF($B1091="Robusta","Robusta",(IF($B1091="","Arabica",$B1091))&amp;" - "&amp;(IF($C1091="","Commercial",$C1091))),Variables!$B$1:$D$1,0),1)))*22.0462)*(L1091/16.67),""))</f>
        <v>12584.981355728853</v>
      </c>
      <c r="Y1091" s="13" t="str">
        <f>IF($AX1091="Cancelled","",IF(X1091="","",IFERROR(IF(INDEX(Variables!$B$38:$B$47,MATCH(X1091,Variables!$A$38:$A$47,0))="Yes","Yes","No"),"No")))</f>
        <v/>
      </c>
      <c r="Z1091" s="31"/>
      <c r="AC1091" s="13" t="str">
        <f t="shared" si="53"/>
        <v/>
      </c>
      <c r="AF1091" s="71">
        <v>46148</v>
      </c>
      <c r="AG1091" s="36">
        <f>IF($AX1091="Cancelled","",IFERROR(IF(F1091="","",F1091-Variables!$B$13),""))</f>
        <v>46127</v>
      </c>
      <c r="AH1091" s="13" t="str">
        <f>IF($AX1091="Cancelled","",IFERROR(IF(AB1091="","",(AVERAGE(E1091:F1091)-AB1091)-Variables!$B$14),""))</f>
        <v/>
      </c>
      <c r="AJ1091" s="47">
        <v>46158</v>
      </c>
      <c r="AK1091" s="14">
        <f>IF($AX1091="Cancelled","",IFERROR(IF(AJ1091="","",IF(AND(AB1091="",AF1091=""),"",IF(AF1091&gt;AB1091,AF1091+Variables!$B$15+Variables!$B$16+Variables!$B$17-AJ1091,AB1091+Variables!$B$16+Variables!$B$17-AJ1091))),""))</f>
        <v>5</v>
      </c>
      <c r="AL1091" s="48" t="s">
        <v>114</v>
      </c>
      <c r="AM1091" s="13" t="s">
        <v>1784</v>
      </c>
      <c r="AN1091" s="13" t="s">
        <v>2620</v>
      </c>
      <c r="AP1091" s="39" t="e">
        <v>#N/A</v>
      </c>
      <c r="AR1091" s="13" t="s">
        <v>2621</v>
      </c>
      <c r="AS1091" s="31">
        <v>46176</v>
      </c>
      <c r="AU1091" s="31">
        <v>46207</v>
      </c>
      <c r="AV1091" s="13" t="e">
        <v>#N/A</v>
      </c>
      <c r="AW1091" s="31">
        <v>46207</v>
      </c>
      <c r="AX1091" s="13" t="str">
        <f>IF(ISNUMBER(SEARCH("cancel",#REF!)),"Cancelled",IF(AND(AS1091&lt;&gt;"",AU1091&lt;&gt;"",AW1091&lt;&gt;""),"Closed","Open"))</f>
        <v>Closed</v>
      </c>
      <c r="AY1091" s="24" t="str">
        <f t="shared" si="52"/>
        <v>All dates received</v>
      </c>
      <c r="BD1091" s="13">
        <f>IF($AX1091="Cancelled","",IFERROR(IF(OR(AS1091="",AJ1091=""),"",(AJ1091+Variables!$B$18-AS1091)),""))</f>
        <v>-3</v>
      </c>
      <c r="BE1091" s="13">
        <f>IF($AX1091="Cancelled","",IFERROR(IF(OR(AW1091="",AS1091=""),"",(AS1091+Variables!$B$19)-AW1091),""))</f>
        <v>-26</v>
      </c>
      <c r="BF1091" s="44">
        <f>IF($AX1091="Cancelled","",IFERROR(W1091*INDEX(Variables!$B$7:$D$7,IFERROR(MATCH(IF($B1091="Robusta","Robusta",(IF($B1091="","Arabica",$B1091))&amp;" - "&amp;(IF($C1091="","Commercial",$C1091))),Variables!$B$1:$D$1,0),1))*(BE1091/365),""))</f>
        <v>-57.805998367632476</v>
      </c>
      <c r="BG1091" s="44" t="str">
        <f>IF($AX1091="Cancelled","",IFERROR((W1091*INDEX(Variables!$B$7:$D$7,IFERROR(MATCH(IF($B1091="Robusta","Robusta",(IF($B1091="","Arabica",$B1091))&amp;" - "&amp;(IF($C1091="","Commercial",$C1091))),Variables!$B$1:$D$1,0),1))*IFERROR(IF(AB1091="","",(AVERAGE(E1091:F1091)-AB1091)-Variables!$B$14),"")/365)+(L1091/16.67*INDEX(Variables!$B$8:$D$8,IFERROR(MATCH(IF($B1091="Robusta","Robusta",(IF($B1091="","Arabica",$B1091))&amp;" - "&amp;(IF($C1091="","Commercial",$C1091))),Variables!$B$1:$D$1,0),1))*IFERROR(IF(AB1091="","",(AVERAGE(E1091:F1091)-AB1091)-Variables!$B$14),""))+(W1091*INDEX(Variables!$B$9:$D$9,IFERROR(MATCH(IF($B1091="Robusta","Robusta",(IF($B1091="","Arabica",$B1091))&amp;" - "&amp;(IF($C1091="","Commercial",$C1091))),Variables!$B$1:$D$1,0),1))*IFERROR(IF(AB1091="","",(AVERAGE(E1091:F1091)-AB1091)-Variables!$B$14),"")/365),""))</f>
        <v/>
      </c>
      <c r="BH1091" s="44">
        <f>IF($AX1091="Cancelled","",IFERROR((W1091*INDEX(Variables!$B$7:$D$7,IFERROR(MATCH(IF($B1091="Robusta","Robusta",(IF($B1091="","Arabica",$B1091))&amp;" - "&amp;(IF($C1091="","Commercial",$C1091))),Variables!$B$1:$D$1,0),1))*AK1091/365)+(L1091/16.67*INDEX(Variables!$B$8:$D$8,IFERROR(MATCH(IF($B1091="Robusta","Robusta",(IF($B1091="","Arabica",$B1091))&amp;" - "&amp;(IF($C1091="","Commercial",$C1091))),Variables!$B$1:$D$1,0),1))*AK1091)+(W1091*INDEX(Variables!$B$9:$D$9,IFERROR(MATCH(IF($B1091="Robusta","Robusta",(IF($B1091="","Arabica",$B1091))&amp;" - "&amp;(IF($C1091="","Commercial",$C1091))),Variables!$B$1:$D$1,0),1))*AK1091/365),""))</f>
        <v>16.259851777772557</v>
      </c>
      <c r="BI1091" s="44">
        <f>IF($AX1091="Cancelled","",IFERROR((W1091*INDEX(Variables!$B$7:$D$7,IFERROR(MATCH(IF($B1091="Robusta","Robusta",(IF($B1091="","Arabica",$B1091))&amp;" - "&amp;(IF($C1091="","Commercial",$C1091))),Variables!$B$1:$D$1,0),1))*BD1091/365)+(L1091/16.67*INDEX(Variables!$B$8:$D$8,IFERROR(MATCH(IF($B1091="Robusta","Robusta",(IF($B1091="","Arabica",$B1091))&amp;" - "&amp;(IF($C1091="","Commercial",$C1091))),Variables!$B$1:$D$1,0),1))*BD1091)+(W1091*INDEX(Variables!$B$9:$D$9,IFERROR(MATCH(IF($B1091="Robusta","Robusta",(IF($B1091="","Arabica",$B1091))&amp;" - "&amp;(IF($C1091="","Commercial",$C1091))),Variables!$B$1:$D$1,0),1))*BD1091/365),""))</f>
        <v>-9.7559110666635327</v>
      </c>
      <c r="BJ1091" s="44">
        <f t="shared" si="54"/>
        <v>-34</v>
      </c>
      <c r="BK1091" s="44">
        <f>IF($AX1091="Cancelled","",IFERROR(IF(BJ1091="","",(W1091*INDEX(Variables!$B$7:$D$7,IFERROR(MATCH(IF($B1091="Robusta","Robusta",(IF($B1091="","Arabica",$B1091))&amp;" - "&amp;(IF($C1091="","Commercial",$C1091))),Variables!$B$1:$D$1,0),1))*(BJ1091/365))+(W1091*INDEX(Variables!$B$9:$D$9,IFERROR(MATCH(IF($B1091="Robusta","Robusta",(IF($B1091="","Arabica",$B1091))&amp;" - "&amp;(IF($C1091="","Commercial",$C1091))),Variables!$B$1:$D$1,0),1))*(BJ1091/365))+(INDEX(Variables!$B$8:$D$8,IFERROR(MATCH(IF($B1091="Robusta","Robusta",(IF($B1091="","Arabica",$B1091))&amp;" - "&amp;(IF($C1091="","Commercial",$C1091))),Variables!$B$1:$D$1,0),1))*L1091/16.67)),""))</f>
        <v>-75.566992088853368</v>
      </c>
    </row>
    <row r="1092" spans="1:63">
      <c r="A1092" s="13" t="s">
        <v>103</v>
      </c>
      <c r="B1092" s="13" t="s">
        <v>104</v>
      </c>
      <c r="C1092" s="13" t="s">
        <v>292</v>
      </c>
      <c r="D1092" s="31">
        <v>46122</v>
      </c>
      <c r="E1092" s="31">
        <v>46113</v>
      </c>
      <c r="F1092" s="31">
        <v>46142</v>
      </c>
      <c r="G1092" s="13">
        <v>3787515</v>
      </c>
      <c r="J1092" s="13" t="s">
        <v>611</v>
      </c>
      <c r="K1092" s="13" t="s">
        <v>2726</v>
      </c>
      <c r="L1092" s="13">
        <v>20</v>
      </c>
      <c r="M1092" s="13">
        <v>0</v>
      </c>
      <c r="N1092" s="13" t="s">
        <v>2727</v>
      </c>
      <c r="O1092" s="13" t="s">
        <v>771</v>
      </c>
      <c r="P1092" s="13">
        <v>10010</v>
      </c>
      <c r="R1092" s="13" t="s">
        <v>384</v>
      </c>
      <c r="S1092" s="13" t="s">
        <v>339</v>
      </c>
      <c r="T1092" s="13" t="s">
        <v>340</v>
      </c>
      <c r="U1092" s="13" t="s">
        <v>113</v>
      </c>
      <c r="V1092" s="23">
        <v>205</v>
      </c>
      <c r="W1092" s="44">
        <f>IF($AX1092="Cancelled","",IFERROR(((V1092+INDEX(Variables!$B$6:$D$6,IFERROR(MATCH(IF($B1092="Robusta","Robusta",(IF($B1092="","Arabica",$B1092))&amp;" - "&amp;(IF($C1092="","Commercial",$C1092))),Variables!$B$1:$D$1,0),1)))*22.0462)*(L1092/16.67),""))</f>
        <v>13113.984355128974</v>
      </c>
      <c r="Y1092" s="13" t="str">
        <f>IF($AX1092="Cancelled","",IF(X1092="","",IFERROR(IF(INDEX(Variables!$B$38:$B$47,MATCH(X1092,Variables!$A$38:$A$47,0))="Yes","Yes","No"),"No")))</f>
        <v/>
      </c>
      <c r="Z1092" s="31"/>
      <c r="AC1092" s="13" t="str">
        <f t="shared" si="53"/>
        <v/>
      </c>
      <c r="AF1092" s="71">
        <v>46153</v>
      </c>
      <c r="AG1092" s="36">
        <f>IF($AX1092="Cancelled","",IFERROR(IF(F1092="","",F1092-Variables!$B$13),""))</f>
        <v>46127</v>
      </c>
      <c r="AH1092" s="13" t="str">
        <f>IF($AX1092="Cancelled","",IFERROR(IF(AB1092="","",(AVERAGE(E1092:F1092)-AB1092)-Variables!$B$14),""))</f>
        <v/>
      </c>
      <c r="AJ1092" s="47">
        <v>46158</v>
      </c>
      <c r="AK1092" s="14">
        <f>IF($AX1092="Cancelled","",IFERROR(IF(AJ1092="","",IF(AND(AB1092="",AF1092=""),"",IF(AF1092&gt;AB1092,AF1092+Variables!$B$15+Variables!$B$16+Variables!$B$17-AJ1092,AB1092+Variables!$B$16+Variables!$B$17-AJ1092))),""))</f>
        <v>10</v>
      </c>
      <c r="AL1092" s="48" t="s">
        <v>114</v>
      </c>
      <c r="AM1092" s="13" t="s">
        <v>1784</v>
      </c>
      <c r="AN1092" s="13" t="s">
        <v>2620</v>
      </c>
      <c r="AP1092" s="39" t="e">
        <v>#N/A</v>
      </c>
      <c r="AR1092" s="13" t="s">
        <v>2621</v>
      </c>
      <c r="AS1092" s="31">
        <v>46176</v>
      </c>
      <c r="AU1092" s="31">
        <v>46207</v>
      </c>
      <c r="AV1092" s="13" t="e">
        <v>#N/A</v>
      </c>
      <c r="AW1092" s="31">
        <v>46207</v>
      </c>
      <c r="AX1092" s="13" t="str">
        <f>IF(ISNUMBER(SEARCH("cancel",#REF!)),"Cancelled",IF(AND(AS1092&lt;&gt;"",AU1092&lt;&gt;"",AW1092&lt;&gt;""),"Closed","Open"))</f>
        <v>Closed</v>
      </c>
      <c r="AY1092" s="24" t="str">
        <f t="shared" si="52"/>
        <v>All dates received</v>
      </c>
      <c r="BD1092" s="13">
        <f>IF($AX1092="Cancelled","",IFERROR(IF(OR(AS1092="",AJ1092=""),"",(AJ1092+Variables!$B$18-AS1092)),""))</f>
        <v>-3</v>
      </c>
      <c r="BE1092" s="13">
        <f>IF($AX1092="Cancelled","",IFERROR(IF(OR(AW1092="",AS1092=""),"",(AS1092+Variables!$B$19)-AW1092),""))</f>
        <v>-26</v>
      </c>
      <c r="BF1092" s="44">
        <f>IF($AX1092="Cancelled","",IFERROR(W1092*INDEX(Variables!$B$7:$D$7,IFERROR(MATCH(IF($B1092="Robusta","Robusta",(IF($B1092="","Arabica",$B1092))&amp;" - "&amp;(IF($C1092="","Commercial",$C1092))),Variables!$B$1:$D$1,0),1))*(BE1092/365),""))</f>
        <v>-60.235842771484208</v>
      </c>
      <c r="BG1092" s="44" t="str">
        <f>IF($AX1092="Cancelled","",IFERROR((W1092*INDEX(Variables!$B$7:$D$7,IFERROR(MATCH(IF($B1092="Robusta","Robusta",(IF($B1092="","Arabica",$B1092))&amp;" - "&amp;(IF($C1092="","Commercial",$C1092))),Variables!$B$1:$D$1,0),1))*IFERROR(IF(AB1092="","",(AVERAGE(E1092:F1092)-AB1092)-Variables!$B$14),"")/365)+(L1092/16.67*INDEX(Variables!$B$8:$D$8,IFERROR(MATCH(IF($B1092="Robusta","Robusta",(IF($B1092="","Arabica",$B1092))&amp;" - "&amp;(IF($C1092="","Commercial",$C1092))),Variables!$B$1:$D$1,0),1))*IFERROR(IF(AB1092="","",(AVERAGE(E1092:F1092)-AB1092)-Variables!$B$14),""))+(W1092*INDEX(Variables!$B$9:$D$9,IFERROR(MATCH(IF($B1092="Robusta","Robusta",(IF($B1092="","Arabica",$B1092))&amp;" - "&amp;(IF($C1092="","Commercial",$C1092))),Variables!$B$1:$D$1,0),1))*IFERROR(IF(AB1092="","",(AVERAGE(E1092:F1092)-AB1092)-Variables!$B$14),"")/365),""))</f>
        <v/>
      </c>
      <c r="BH1092" s="44">
        <f>IF($AX1092="Cancelled","",IFERROR((W1092*INDEX(Variables!$B$7:$D$7,IFERROR(MATCH(IF($B1092="Robusta","Robusta",(IF($B1092="","Arabica",$B1092))&amp;" - "&amp;(IF($C1092="","Commercial",$C1092))),Variables!$B$1:$D$1,0),1))*AK1092/365)+(L1092/16.67*INDEX(Variables!$B$8:$D$8,IFERROR(MATCH(IF($B1092="Robusta","Robusta",(IF($B1092="","Arabica",$B1092))&amp;" - "&amp;(IF($C1092="","Commercial",$C1092))),Variables!$B$1:$D$1,0),1))*AK1092)+(W1092*INDEX(Variables!$B$9:$D$9,IFERROR(MATCH(IF($B1092="Robusta","Robusta",(IF($B1092="","Arabica",$B1092))&amp;" - "&amp;(IF($C1092="","Commercial",$C1092))),Variables!$B$1:$D$1,0),1))*AK1092/365),""))</f>
        <v>33.466307319964827</v>
      </c>
      <c r="BI1092" s="44">
        <f>IF($AX1092="Cancelled","",IFERROR((W1092*INDEX(Variables!$B$7:$D$7,IFERROR(MATCH(IF($B1092="Robusta","Robusta",(IF($B1092="","Arabica",$B1092))&amp;" - "&amp;(IF($C1092="","Commercial",$C1092))),Variables!$B$1:$D$1,0),1))*BD1092/365)+(L1092/16.67*INDEX(Variables!$B$8:$D$8,IFERROR(MATCH(IF($B1092="Robusta","Robusta",(IF($B1092="","Arabica",$B1092))&amp;" - "&amp;(IF($C1092="","Commercial",$C1092))),Variables!$B$1:$D$1,0),1))*BD1092)+(W1092*INDEX(Variables!$B$9:$D$9,IFERROR(MATCH(IF($B1092="Robusta","Robusta",(IF($B1092="","Arabica",$B1092))&amp;" - "&amp;(IF($C1092="","Commercial",$C1092))),Variables!$B$1:$D$1,0),1))*BD1092/365),""))</f>
        <v>-10.039892195989447</v>
      </c>
      <c r="BJ1092" s="44">
        <f t="shared" si="54"/>
        <v>-34</v>
      </c>
      <c r="BK1092" s="44">
        <f>IF($AX1092="Cancelled","",IFERROR(IF(BJ1092="","",(W1092*INDEX(Variables!$B$7:$D$7,IFERROR(MATCH(IF($B1092="Robusta","Robusta",(IF($B1092="","Arabica",$B1092))&amp;" - "&amp;(IF($C1092="","Commercial",$C1092))),Variables!$B$1:$D$1,0),1))*(BJ1092/365))+(W1092*INDEX(Variables!$B$9:$D$9,IFERROR(MATCH(IF($B1092="Robusta","Robusta",(IF($B1092="","Arabica",$B1092))&amp;" - "&amp;(IF($C1092="","Commercial",$C1092))),Variables!$B$1:$D$1,0),1))*(BJ1092/365))+(INDEX(Variables!$B$8:$D$8,IFERROR(MATCH(IF($B1092="Robusta","Robusta",(IF($B1092="","Arabica",$B1092))&amp;" - "&amp;(IF($C1092="","Commercial",$C1092))),Variables!$B$1:$D$1,0),1))*L1092/16.67)),""))</f>
        <v>-78.785444887880431</v>
      </c>
    </row>
    <row r="1093" spans="1:63">
      <c r="A1093" s="13" t="s">
        <v>103</v>
      </c>
      <c r="B1093" s="13" t="s">
        <v>104</v>
      </c>
      <c r="C1093" s="13" t="s">
        <v>292</v>
      </c>
      <c r="D1093" s="31">
        <v>46122</v>
      </c>
      <c r="E1093" s="31">
        <v>46113</v>
      </c>
      <c r="F1093" s="31">
        <v>46142</v>
      </c>
      <c r="G1093" s="13">
        <v>3787516</v>
      </c>
      <c r="J1093" s="13" t="s">
        <v>611</v>
      </c>
      <c r="K1093" s="13" t="s">
        <v>2728</v>
      </c>
      <c r="L1093" s="13">
        <v>20</v>
      </c>
      <c r="M1093" s="13">
        <v>0</v>
      </c>
      <c r="N1093" s="13" t="s">
        <v>2729</v>
      </c>
      <c r="O1093" s="13" t="s">
        <v>297</v>
      </c>
      <c r="P1093" s="13">
        <v>10020</v>
      </c>
      <c r="R1093" s="13" t="s">
        <v>384</v>
      </c>
      <c r="S1093" s="13" t="s">
        <v>339</v>
      </c>
      <c r="T1093" s="13" t="s">
        <v>340</v>
      </c>
      <c r="U1093" s="13" t="s">
        <v>113</v>
      </c>
      <c r="V1093" s="23">
        <v>214</v>
      </c>
      <c r="W1093" s="44">
        <f>IF($AX1093="Cancelled","",IFERROR(((V1093+INDEX(Variables!$B$6:$D$6,IFERROR(MATCH(IF($B1093="Robusta","Robusta",(IF($B1093="","Arabica",$B1093))&amp;" - "&amp;(IF($C1093="","Commercial",$C1093))),Variables!$B$1:$D$1,0),1)))*22.0462)*(L1093/16.67),""))</f>
        <v>13352.035704859027</v>
      </c>
      <c r="Y1093" s="13" t="str">
        <f>IF($AX1093="Cancelled","",IF(X1093="","",IFERROR(IF(INDEX(Variables!$B$38:$B$47,MATCH(X1093,Variables!$A$38:$A$47,0))="Yes","Yes","No"),"No")))</f>
        <v/>
      </c>
      <c r="Z1093" s="31"/>
      <c r="AC1093" s="13" t="str">
        <f t="shared" si="53"/>
        <v/>
      </c>
      <c r="AF1093" s="71">
        <v>46148</v>
      </c>
      <c r="AG1093" s="36">
        <f>IF($AX1093="Cancelled","",IFERROR(IF(F1093="","",F1093-Variables!$B$13),""))</f>
        <v>46127</v>
      </c>
      <c r="AH1093" s="13" t="str">
        <f>IF($AX1093="Cancelled","",IFERROR(IF(AB1093="","",(AVERAGE(E1093:F1093)-AB1093)-Variables!$B$14),""))</f>
        <v/>
      </c>
      <c r="AJ1093" s="47">
        <v>46158</v>
      </c>
      <c r="AK1093" s="14">
        <f>IF($AX1093="Cancelled","",IFERROR(IF(AJ1093="","",IF(AND(AB1093="",AF1093=""),"",IF(AF1093&gt;AB1093,AF1093+Variables!$B$15+Variables!$B$16+Variables!$B$17-AJ1093,AB1093+Variables!$B$16+Variables!$B$17-AJ1093))),""))</f>
        <v>5</v>
      </c>
      <c r="AL1093" s="48" t="s">
        <v>114</v>
      </c>
      <c r="AM1093" s="13" t="s">
        <v>1784</v>
      </c>
      <c r="AN1093" s="13" t="s">
        <v>2620</v>
      </c>
      <c r="AP1093" s="39" t="e">
        <v>#N/A</v>
      </c>
      <c r="AR1093" s="13" t="s">
        <v>2621</v>
      </c>
      <c r="AS1093" s="31">
        <v>46176</v>
      </c>
      <c r="AU1093" s="31">
        <v>46207</v>
      </c>
      <c r="AV1093" s="13" t="e">
        <v>#N/A</v>
      </c>
      <c r="AW1093" s="31">
        <v>46207</v>
      </c>
      <c r="AX1093" s="13" t="str">
        <f>IF(ISNUMBER(SEARCH("cancel",#REF!)),"Cancelled",IF(AND(AS1093&lt;&gt;"",AU1093&lt;&gt;"",AW1093&lt;&gt;""),"Closed","Open"))</f>
        <v>Closed</v>
      </c>
      <c r="AY1093" s="24" t="str">
        <f t="shared" si="52"/>
        <v>All dates received</v>
      </c>
      <c r="BD1093" s="13">
        <f>IF($AX1093="Cancelled","",IFERROR(IF(OR(AS1093="",AJ1093=""),"",(AJ1093+Variables!$B$18-AS1093)),""))</f>
        <v>-3</v>
      </c>
      <c r="BE1093" s="13">
        <f>IF($AX1093="Cancelled","",IFERROR(IF(OR(AW1093="",AS1093=""),"",(AS1093+Variables!$B$19)-AW1093),""))</f>
        <v>-26</v>
      </c>
      <c r="BF1093" s="44">
        <f>IF($AX1093="Cancelled","",IFERROR(W1093*INDEX(Variables!$B$7:$D$7,IFERROR(MATCH(IF($B1093="Robusta","Robusta",(IF($B1093="","Arabica",$B1093))&amp;" - "&amp;(IF($C1093="","Commercial",$C1093))),Variables!$B$1:$D$1,0),1))*(BE1093/365),""))</f>
        <v>-61.329272753217481</v>
      </c>
      <c r="BG1093" s="44" t="str">
        <f>IF($AX1093="Cancelled","",IFERROR((W1093*INDEX(Variables!$B$7:$D$7,IFERROR(MATCH(IF($B1093="Robusta","Robusta",(IF($B1093="","Arabica",$B1093))&amp;" - "&amp;(IF($C1093="","Commercial",$C1093))),Variables!$B$1:$D$1,0),1))*IFERROR(IF(AB1093="","",(AVERAGE(E1093:F1093)-AB1093)-Variables!$B$14),"")/365)+(L1093/16.67*INDEX(Variables!$B$8:$D$8,IFERROR(MATCH(IF($B1093="Robusta","Robusta",(IF($B1093="","Arabica",$B1093))&amp;" - "&amp;(IF($C1093="","Commercial",$C1093))),Variables!$B$1:$D$1,0),1))*IFERROR(IF(AB1093="","",(AVERAGE(E1093:F1093)-AB1093)-Variables!$B$14),""))+(W1093*INDEX(Variables!$B$9:$D$9,IFERROR(MATCH(IF($B1093="Robusta","Robusta",(IF($B1093="","Arabica",$B1093))&amp;" - "&amp;(IF($C1093="","Commercial",$C1093))),Variables!$B$1:$D$1,0),1))*IFERROR(IF(AB1093="","",(AVERAGE(E1093:F1093)-AB1093)-Variables!$B$14),"")/365),""))</f>
        <v/>
      </c>
      <c r="BH1093" s="44">
        <f>IF($AX1093="Cancelled","",IFERROR((W1093*INDEX(Variables!$B$7:$D$7,IFERROR(MATCH(IF($B1093="Robusta","Robusta",(IF($B1093="","Arabica",$B1093))&amp;" - "&amp;(IF($C1093="","Commercial",$C1093))),Variables!$B$1:$D$1,0),1))*AK1093/365)+(L1093/16.67*INDEX(Variables!$B$8:$D$8,IFERROR(MATCH(IF($B1093="Robusta","Robusta",(IF($B1093="","Arabica",$B1093))&amp;" - "&amp;(IF($C1093="","Commercial",$C1093))),Variables!$B$1:$D$1,0),1))*AK1093)+(W1093*INDEX(Variables!$B$9:$D$9,IFERROR(MATCH(IF($B1093="Robusta","Robusta",(IF($B1093="","Arabica",$B1093))&amp;" - "&amp;(IF($C1093="","Commercial",$C1093))),Variables!$B$1:$D$1,0),1))*AK1093/365),""))</f>
        <v>16.946139506976852</v>
      </c>
      <c r="BI1093" s="44">
        <f>IF($AX1093="Cancelled","",IFERROR((W1093*INDEX(Variables!$B$7:$D$7,IFERROR(MATCH(IF($B1093="Robusta","Robusta",(IF($B1093="","Arabica",$B1093))&amp;" - "&amp;(IF($C1093="","Commercial",$C1093))),Variables!$B$1:$D$1,0),1))*BD1093/365)+(L1093/16.67*INDEX(Variables!$B$8:$D$8,IFERROR(MATCH(IF($B1093="Robusta","Robusta",(IF($B1093="","Arabica",$B1093))&amp;" - "&amp;(IF($C1093="","Commercial",$C1093))),Variables!$B$1:$D$1,0),1))*BD1093)+(W1093*INDEX(Variables!$B$9:$D$9,IFERROR(MATCH(IF($B1093="Robusta","Robusta",(IF($B1093="","Arabica",$B1093))&amp;" - "&amp;(IF($C1093="","Commercial",$C1093))),Variables!$B$1:$D$1,0),1))*BD1093/365),""))</f>
        <v>-10.167683704186111</v>
      </c>
      <c r="BJ1093" s="44">
        <f t="shared" si="54"/>
        <v>-34</v>
      </c>
      <c r="BK1093" s="44">
        <f>IF($AX1093="Cancelled","",IFERROR(IF(BJ1093="","",(W1093*INDEX(Variables!$B$7:$D$7,IFERROR(MATCH(IF($B1093="Robusta","Robusta",(IF($B1093="","Arabica",$B1093))&amp;" - "&amp;(IF($C1093="","Commercial",$C1093))),Variables!$B$1:$D$1,0),1))*(BJ1093/365))+(W1093*INDEX(Variables!$B$9:$D$9,IFERROR(MATCH(IF($B1093="Robusta","Robusta",(IF($B1093="","Arabica",$B1093))&amp;" - "&amp;(IF($C1093="","Commercial",$C1093))),Variables!$B$1:$D$1,0),1))*(BJ1093/365))+(INDEX(Variables!$B$8:$D$8,IFERROR(MATCH(IF($B1093="Robusta","Robusta",(IF($B1093="","Arabica",$B1093))&amp;" - "&amp;(IF($C1093="","Commercial",$C1093))),Variables!$B$1:$D$1,0),1))*L1093/16.67)),""))</f>
        <v>-80.233748647442596</v>
      </c>
    </row>
    <row r="1094" spans="1:63">
      <c r="A1094" s="13" t="s">
        <v>103</v>
      </c>
      <c r="B1094" s="13" t="s">
        <v>104</v>
      </c>
      <c r="C1094" s="13" t="s">
        <v>292</v>
      </c>
      <c r="D1094" s="31">
        <v>46122</v>
      </c>
      <c r="E1094" s="31">
        <v>46113</v>
      </c>
      <c r="F1094" s="31">
        <v>46142</v>
      </c>
      <c r="G1094" s="13">
        <v>3787517</v>
      </c>
      <c r="J1094" s="13" t="s">
        <v>611</v>
      </c>
      <c r="K1094" s="13" t="s">
        <v>2730</v>
      </c>
      <c r="L1094" s="13">
        <v>20</v>
      </c>
      <c r="M1094" s="13">
        <v>0</v>
      </c>
      <c r="N1094" s="13" t="s">
        <v>2731</v>
      </c>
      <c r="O1094" s="13" t="s">
        <v>771</v>
      </c>
      <c r="P1094" s="13">
        <v>10010</v>
      </c>
      <c r="R1094" s="13" t="s">
        <v>384</v>
      </c>
      <c r="S1094" s="13" t="s">
        <v>339</v>
      </c>
      <c r="T1094" s="13" t="s">
        <v>340</v>
      </c>
      <c r="U1094" s="13" t="s">
        <v>113</v>
      </c>
      <c r="V1094" s="23">
        <v>220</v>
      </c>
      <c r="W1094" s="44">
        <f>IF($AX1094="Cancelled","",IFERROR(((V1094+INDEX(Variables!$B$6:$D$6,IFERROR(MATCH(IF($B1094="Robusta","Robusta",(IF($B1094="","Arabica",$B1094))&amp;" - "&amp;(IF($C1094="","Commercial",$C1094))),Variables!$B$1:$D$1,0),1)))*22.0462)*(L1094/16.67),""))</f>
        <v>13510.736604679063</v>
      </c>
      <c r="Y1094" s="13" t="str">
        <f>IF($AX1094="Cancelled","",IF(X1094="","",IFERROR(IF(INDEX(Variables!$B$38:$B$47,MATCH(X1094,Variables!$A$38:$A$47,0))="Yes","Yes","No"),"No")))</f>
        <v/>
      </c>
      <c r="Z1094" s="31"/>
      <c r="AC1094" s="13" t="str">
        <f t="shared" si="53"/>
        <v/>
      </c>
      <c r="AF1094" s="71">
        <v>46148</v>
      </c>
      <c r="AG1094" s="36">
        <f>IF($AX1094="Cancelled","",IFERROR(IF(F1094="","",F1094-Variables!$B$13),""))</f>
        <v>46127</v>
      </c>
      <c r="AH1094" s="13" t="str">
        <f>IF($AX1094="Cancelled","",IFERROR(IF(AB1094="","",(AVERAGE(E1094:F1094)-AB1094)-Variables!$B$14),""))</f>
        <v/>
      </c>
      <c r="AJ1094" s="47">
        <v>46158</v>
      </c>
      <c r="AK1094" s="14">
        <f>IF($AX1094="Cancelled","",IFERROR(IF(AJ1094="","",IF(AND(AB1094="",AF1094=""),"",IF(AF1094&gt;AB1094,AF1094+Variables!$B$15+Variables!$B$16+Variables!$B$17-AJ1094,AB1094+Variables!$B$16+Variables!$B$17-AJ1094))),""))</f>
        <v>5</v>
      </c>
      <c r="AL1094" s="48" t="s">
        <v>114</v>
      </c>
      <c r="AM1094" s="13" t="s">
        <v>1784</v>
      </c>
      <c r="AN1094" s="13" t="s">
        <v>2620</v>
      </c>
      <c r="AP1094" s="39" t="e">
        <v>#N/A</v>
      </c>
      <c r="AR1094" s="13" t="s">
        <v>2621</v>
      </c>
      <c r="AS1094" s="31">
        <v>46176</v>
      </c>
      <c r="AU1094" s="31">
        <v>46207</v>
      </c>
      <c r="AV1094" s="13" t="e">
        <v>#N/A</v>
      </c>
      <c r="AW1094" s="31">
        <v>46207</v>
      </c>
      <c r="AX1094" s="13" t="str">
        <f>IF(ISNUMBER(SEARCH("cancel",#REF!)),"Cancelled",IF(AND(AS1094&lt;&gt;"",AU1094&lt;&gt;"",AW1094&lt;&gt;""),"Closed","Open"))</f>
        <v>Closed</v>
      </c>
      <c r="AY1094" s="24" t="str">
        <f t="shared" si="52"/>
        <v>All dates received</v>
      </c>
      <c r="BD1094" s="13">
        <f>IF($AX1094="Cancelled","",IFERROR(IF(OR(AS1094="",AJ1094=""),"",(AJ1094+Variables!$B$18-AS1094)),""))</f>
        <v>-3</v>
      </c>
      <c r="BE1094" s="13">
        <f>IF($AX1094="Cancelled","",IFERROR(IF(OR(AW1094="",AS1094=""),"",(AS1094+Variables!$B$19)-AW1094),""))</f>
        <v>-26</v>
      </c>
      <c r="BF1094" s="44">
        <f>IF($AX1094="Cancelled","",IFERROR(W1094*INDEX(Variables!$B$7:$D$7,IFERROR(MATCH(IF($B1094="Robusta","Robusta",(IF($B1094="","Arabica",$B1094))&amp;" - "&amp;(IF($C1094="","Commercial",$C1094))),Variables!$B$1:$D$1,0),1))*(BE1094/365),""))</f>
        <v>-62.058226074372996</v>
      </c>
      <c r="BG1094" s="44" t="str">
        <f>IF($AX1094="Cancelled","",IFERROR((W1094*INDEX(Variables!$B$7:$D$7,IFERROR(MATCH(IF($B1094="Robusta","Robusta",(IF($B1094="","Arabica",$B1094))&amp;" - "&amp;(IF($C1094="","Commercial",$C1094))),Variables!$B$1:$D$1,0),1))*IFERROR(IF(AB1094="","",(AVERAGE(E1094:F1094)-AB1094)-Variables!$B$14),"")/365)+(L1094/16.67*INDEX(Variables!$B$8:$D$8,IFERROR(MATCH(IF($B1094="Robusta","Robusta",(IF($B1094="","Arabica",$B1094))&amp;" - "&amp;(IF($C1094="","Commercial",$C1094))),Variables!$B$1:$D$1,0),1))*IFERROR(IF(AB1094="","",(AVERAGE(E1094:F1094)-AB1094)-Variables!$B$14),""))+(W1094*INDEX(Variables!$B$9:$D$9,IFERROR(MATCH(IF($B1094="Robusta","Robusta",(IF($B1094="","Arabica",$B1094))&amp;" - "&amp;(IF($C1094="","Commercial",$C1094))),Variables!$B$1:$D$1,0),1))*IFERROR(IF(AB1094="","",(AVERAGE(E1094:F1094)-AB1094)-Variables!$B$14),"")/365),""))</f>
        <v/>
      </c>
      <c r="BH1094" s="44">
        <f>IF($AX1094="Cancelled","",IFERROR((W1094*INDEX(Variables!$B$7:$D$7,IFERROR(MATCH(IF($B1094="Robusta","Robusta",(IF($B1094="","Arabica",$B1094))&amp;" - "&amp;(IF($C1094="","Commercial",$C1094))),Variables!$B$1:$D$1,0),1))*AK1094/365)+(L1094/16.67*INDEX(Variables!$B$8:$D$8,IFERROR(MATCH(IF($B1094="Robusta","Robusta",(IF($B1094="","Arabica",$B1094))&amp;" - "&amp;(IF($C1094="","Commercial",$C1094))),Variables!$B$1:$D$1,0),1))*AK1094)+(W1094*INDEX(Variables!$B$9:$D$9,IFERROR(MATCH(IF($B1094="Robusta","Robusta",(IF($B1094="","Arabica",$B1094))&amp;" - "&amp;(IF($C1094="","Commercial",$C1094))),Variables!$B$1:$D$1,0),1))*AK1094/365),""))</f>
        <v>17.08813007163981</v>
      </c>
      <c r="BI1094" s="44">
        <f>IF($AX1094="Cancelled","",IFERROR((W1094*INDEX(Variables!$B$7:$D$7,IFERROR(MATCH(IF($B1094="Robusta","Robusta",(IF($B1094="","Arabica",$B1094))&amp;" - "&amp;(IF($C1094="","Commercial",$C1094))),Variables!$B$1:$D$1,0),1))*BD1094/365)+(L1094/16.67*INDEX(Variables!$B$8:$D$8,IFERROR(MATCH(IF($B1094="Robusta","Robusta",(IF($B1094="","Arabica",$B1094))&amp;" - "&amp;(IF($C1094="","Commercial",$C1094))),Variables!$B$1:$D$1,0),1))*BD1094)+(W1094*INDEX(Variables!$B$9:$D$9,IFERROR(MATCH(IF($B1094="Robusta","Robusta",(IF($B1094="","Arabica",$B1094))&amp;" - "&amp;(IF($C1094="","Commercial",$C1094))),Variables!$B$1:$D$1,0),1))*BD1094/365),""))</f>
        <v>-10.252878042983884</v>
      </c>
      <c r="BJ1094" s="44">
        <f t="shared" si="54"/>
        <v>-34</v>
      </c>
      <c r="BK1094" s="44">
        <f>IF($AX1094="Cancelled","",IFERROR(IF(BJ1094="","",(W1094*INDEX(Variables!$B$7:$D$7,IFERROR(MATCH(IF($B1094="Robusta","Robusta",(IF($B1094="","Arabica",$B1094))&amp;" - "&amp;(IF($C1094="","Commercial",$C1094))),Variables!$B$1:$D$1,0),1))*(BJ1094/365))+(W1094*INDEX(Variables!$B$9:$D$9,IFERROR(MATCH(IF($B1094="Robusta","Robusta",(IF($B1094="","Arabica",$B1094))&amp;" - "&amp;(IF($C1094="","Commercial",$C1094))),Variables!$B$1:$D$1,0),1))*(BJ1094/365))+(INDEX(Variables!$B$8:$D$8,IFERROR(MATCH(IF($B1094="Robusta","Robusta",(IF($B1094="","Arabica",$B1094))&amp;" - "&amp;(IF($C1094="","Commercial",$C1094))),Variables!$B$1:$D$1,0),1))*L1094/16.67)),""))</f>
        <v>-81.199284487150692</v>
      </c>
    </row>
    <row r="1095" spans="1:63" s="33" customFormat="1">
      <c r="A1095" s="33" t="s">
        <v>103</v>
      </c>
      <c r="B1095" s="13" t="s">
        <v>104</v>
      </c>
      <c r="C1095" s="13" t="s">
        <v>105</v>
      </c>
      <c r="D1095" s="31">
        <v>46122</v>
      </c>
      <c r="E1095" s="31">
        <v>46266</v>
      </c>
      <c r="F1095" s="31">
        <v>46295</v>
      </c>
      <c r="G1095" s="33">
        <v>3787518</v>
      </c>
      <c r="H1095" s="13"/>
      <c r="I1095" s="13"/>
      <c r="J1095" s="13" t="s">
        <v>506</v>
      </c>
      <c r="K1095" s="13">
        <v>5631</v>
      </c>
      <c r="L1095" s="13">
        <v>320</v>
      </c>
      <c r="M1095" s="13">
        <v>1</v>
      </c>
      <c r="N1095" s="13" t="s">
        <v>2578</v>
      </c>
      <c r="O1095" s="13" t="s">
        <v>120</v>
      </c>
      <c r="P1095" s="13">
        <v>10070</v>
      </c>
      <c r="Q1095" s="13"/>
      <c r="R1095" s="13" t="s">
        <v>239</v>
      </c>
      <c r="S1095" s="13" t="s">
        <v>1615</v>
      </c>
      <c r="T1095" s="13" t="s">
        <v>329</v>
      </c>
      <c r="U1095" s="13" t="s">
        <v>330</v>
      </c>
      <c r="V1095" s="23">
        <v>40</v>
      </c>
      <c r="W1095" s="44">
        <f>IF($AX1095="Cancelled","",IFERROR(((V1095+INDEX(Variables!$B$6:$D$6,IFERROR(MATCH(IF($B1095="Robusta","Robusta",(IF($B1095="","Arabica",$B1095))&amp;" - "&amp;(IF($C1095="","Commercial",$C1095))),Variables!$B$1:$D$1,0),1)))*22.0462)*(L1095/16.67),""))</f>
        <v>139995.35376124774</v>
      </c>
      <c r="X1095" s="55" t="s">
        <v>37</v>
      </c>
      <c r="Y1095" s="13" t="str">
        <f>IF($AX1095="Cancelled","",IF(X1095="","",IFERROR(IF(INDEX(Variables!$B$38:$B$47,MATCH(X1095,Variables!$A$38:$A$47,0))="Yes","Yes","No"),"No")))</f>
        <v>Yes</v>
      </c>
      <c r="Z1095" s="58">
        <v>46231</v>
      </c>
      <c r="AA1095" s="13"/>
      <c r="AB1095" s="31">
        <v>46247</v>
      </c>
      <c r="AC1095" s="13" t="str">
        <f t="shared" si="53"/>
        <v>Approved</v>
      </c>
      <c r="AD1095" s="31">
        <v>46247</v>
      </c>
      <c r="AE1095" s="31"/>
      <c r="AF1095" s="71">
        <v>46259</v>
      </c>
      <c r="AG1095" s="35">
        <f>IF($AX1095="Cancelled","",IFERROR(IF(F1095="","",F1095-Variables!$B$13),""))</f>
        <v>46280</v>
      </c>
      <c r="AH1095" s="13">
        <f>IF($AX1095="Cancelled","",IFERROR(IF(AB1095="","",(AVERAGE(E1095:F1095)-AB1095)-Variables!$B$14),""))</f>
        <v>3.5</v>
      </c>
      <c r="AI1095" s="13"/>
      <c r="AJ1095" s="47">
        <v>46260</v>
      </c>
      <c r="AK1095" s="14">
        <f>IF($AX1095="Cancelled","",IFERROR(IF(AJ1095="","",IF(AND(AB1095="",AF1095=""),"",IF(AF1095&gt;AB1095,AF1095+Variables!$B$15+Variables!$B$16+Variables!$B$17-AJ1095,AB1095+Variables!$B$16+Variables!$B$17-AJ1095))),""))</f>
        <v>14</v>
      </c>
      <c r="AL1095" s="48" t="s">
        <v>114</v>
      </c>
      <c r="AM1095" s="33" t="s">
        <v>1784</v>
      </c>
      <c r="AN1095" s="33" t="s">
        <v>2732</v>
      </c>
      <c r="AO1095" s="39">
        <v>46264</v>
      </c>
      <c r="AP1095" s="39">
        <v>46279</v>
      </c>
      <c r="AQ1095" s="39">
        <v>46342</v>
      </c>
      <c r="AR1095" s="33" t="s">
        <v>2733</v>
      </c>
      <c r="AS1095" s="39">
        <v>46289</v>
      </c>
      <c r="AT1095" s="39"/>
      <c r="AU1095" s="39">
        <v>46301</v>
      </c>
      <c r="AV1095" s="33" t="s">
        <v>865</v>
      </c>
      <c r="AW1095" s="39">
        <v>46301</v>
      </c>
      <c r="AX1095" s="33" t="str">
        <f>IF(ISNUMBER(SEARCH("cancel",#REF!)),"Cancelled",IF(AND(AS1095&lt;&gt;"",AU1095&lt;&gt;"",AW1095&lt;&gt;""),"Closed","Open"))</f>
        <v>Closed</v>
      </c>
      <c r="AY1095" s="15" t="str">
        <f t="shared" si="52"/>
        <v>All dates received</v>
      </c>
      <c r="BD1095" s="33">
        <f>IF($AX1095="Cancelled","",IFERROR(IF(OR(AS1095="",AJ1095=""),"",(AJ1095+Variables!$B$18-AS1095)),""))</f>
        <v>-14</v>
      </c>
      <c r="BE1095" s="33">
        <f>IF($AX1095="Cancelled","",IFERROR(IF(OR(AW1095="",AS1095=""),"",(AS1095+Variables!$B$19)-AW1095),""))</f>
        <v>-7</v>
      </c>
      <c r="BF1095" s="43">
        <f>IF($AX1095="Cancelled","",IFERROR(W1095*INDEX(Variables!$B$7:$D$7,IFERROR(MATCH(IF($B1095="Robusta","Robusta",(IF($B1095="","Arabica",$B1095))&amp;" - "&amp;(IF($C1095="","Commercial",$C1095))),Variables!$B$1:$D$1,0),1))*(BE1095/365),""))</f>
        <v>-173.12454466335535</v>
      </c>
      <c r="BG1095" s="43">
        <f>IF($AX1095="Cancelled","",IFERROR((W1095*INDEX(Variables!$B$7:$D$7,IFERROR(MATCH(IF($B1095="Robusta","Robusta",(IF($B1095="","Arabica",$B1095))&amp;" - "&amp;(IF($C1095="","Commercial",$C1095))),Variables!$B$1:$D$1,0),1))*IFERROR(IF(AB1095="","",(AVERAGE(E1095:F1095)-AB1095)-Variables!$B$14),"")/365)+(L1095/16.67*INDEX(Variables!$B$8:$D$8,IFERROR(MATCH(IF($B1095="Robusta","Robusta",(IF($B1095="","Arabica",$B1095))&amp;" - "&amp;(IF($C1095="","Commercial",$C1095))),Variables!$B$1:$D$1,0),1))*IFERROR(IF(AB1095="","",(AVERAGE(E1095:F1095)-AB1095)-Variables!$B$14),""))+(W1095*INDEX(Variables!$B$9:$D$9,IFERROR(MATCH(IF($B1095="Robusta","Robusta",(IF($B1095="","Arabica",$B1095))&amp;" - "&amp;(IF($C1095="","Commercial",$C1095))),Variables!$B$1:$D$1,0),1))*IFERROR(IF(AB1095="","",(AVERAGE(E1095:F1095)-AB1095)-Variables!$B$14),"")/365),""))</f>
        <v>143.678227075612</v>
      </c>
      <c r="BH1095" s="43">
        <f>IF($AX1095="Cancelled","",IFERROR((W1095*INDEX(Variables!$B$7:$D$7,IFERROR(MATCH(IF($B1095="Robusta","Robusta",(IF($B1095="","Arabica",$B1095))&amp;" - "&amp;(IF($C1095="","Commercial",$C1095))),Variables!$B$1:$D$1,0),1))*AK1095/365)+(L1095/16.67*INDEX(Variables!$B$8:$D$8,IFERROR(MATCH(IF($B1095="Robusta","Robusta",(IF($B1095="","Arabica",$B1095))&amp;" - "&amp;(IF($C1095="","Commercial",$C1095))),Variables!$B$1:$D$1,0),1))*AK1095)+(W1095*INDEX(Variables!$B$9:$D$9,IFERROR(MATCH(IF($B1095="Robusta","Robusta",(IF($B1095="","Arabica",$B1095))&amp;" - "&amp;(IF($C1095="","Commercial",$C1095))),Variables!$B$1:$D$1,0),1))*AK1095/365),""))</f>
        <v>574.712908302448</v>
      </c>
      <c r="BI1095" s="43">
        <f>IF($AX1095="Cancelled","",IFERROR((W1095*INDEX(Variables!$B$7:$D$7,IFERROR(MATCH(IF($B1095="Robusta","Robusta",(IF($B1095="","Arabica",$B1095))&amp;" - "&amp;(IF($C1095="","Commercial",$C1095))),Variables!$B$1:$D$1,0),1))*BD1095/365)+(L1095/16.67*INDEX(Variables!$B$8:$D$8,IFERROR(MATCH(IF($B1095="Robusta","Robusta",(IF($B1095="","Arabica",$B1095))&amp;" - "&amp;(IF($C1095="","Commercial",$C1095))),Variables!$B$1:$D$1,0),1))*BD1095)+(W1095*INDEX(Variables!$B$9:$D$9,IFERROR(MATCH(IF($B1095="Robusta","Robusta",(IF($B1095="","Arabica",$B1095))&amp;" - "&amp;(IF($C1095="","Commercial",$C1095))),Variables!$B$1:$D$1,0),1))*BD1095/365),""))</f>
        <v>-574.712908302448</v>
      </c>
      <c r="BJ1095" s="43">
        <f t="shared" si="54"/>
        <v>6</v>
      </c>
      <c r="BK1095" s="43">
        <f>IF($AX1095="Cancelled","",IFERROR(IF(BJ1095="","",(W1095*INDEX(Variables!$B$7:$D$7,IFERROR(MATCH(IF($B1095="Robusta","Robusta",(IF($B1095="","Arabica",$B1095))&amp;" - "&amp;(IF($C1095="","Commercial",$C1095))),Variables!$B$1:$D$1,0),1))*(BJ1095/365))+(W1095*INDEX(Variables!$B$9:$D$9,IFERROR(MATCH(IF($B1095="Robusta","Robusta",(IF($B1095="","Arabica",$B1095))&amp;" - "&amp;(IF($C1095="","Commercial",$C1095))),Variables!$B$1:$D$1,0),1))*(BJ1095/365))+(INDEX(Variables!$B$8:$D$8,IFERROR(MATCH(IF($B1095="Robusta","Robusta",(IF($B1095="","Arabica",$B1095))&amp;" - "&amp;(IF($C1095="","Commercial",$C1095))),Variables!$B$1:$D$1,0),1))*L1095/16.67)),""))</f>
        <v>166.30553212962059</v>
      </c>
    </row>
    <row r="1096" spans="1:63">
      <c r="A1096" s="13" t="s">
        <v>103</v>
      </c>
      <c r="B1096" s="13" t="s">
        <v>104</v>
      </c>
      <c r="C1096" s="13" t="s">
        <v>292</v>
      </c>
      <c r="D1096" s="31">
        <v>46122</v>
      </c>
      <c r="E1096" s="31">
        <v>46143</v>
      </c>
      <c r="F1096" s="31">
        <v>46173</v>
      </c>
      <c r="G1096" s="13">
        <v>3787519</v>
      </c>
      <c r="J1096" s="13" t="s">
        <v>236</v>
      </c>
      <c r="K1096" s="13" t="s">
        <v>2734</v>
      </c>
      <c r="L1096" s="13">
        <v>10</v>
      </c>
      <c r="M1096" s="13">
        <v>0</v>
      </c>
      <c r="N1096" s="13" t="s">
        <v>2735</v>
      </c>
      <c r="O1096" s="13" t="s">
        <v>771</v>
      </c>
      <c r="P1096" s="13">
        <v>10010</v>
      </c>
      <c r="R1096" s="13" t="s">
        <v>671</v>
      </c>
      <c r="S1096" s="13" t="s">
        <v>2372</v>
      </c>
      <c r="T1096" s="13" t="s">
        <v>2372</v>
      </c>
      <c r="U1096" s="13" t="s">
        <v>182</v>
      </c>
      <c r="V1096" s="23">
        <v>219</v>
      </c>
      <c r="W1096" s="44">
        <f>IF($AX1096="Cancelled","",IFERROR(((V1096+INDEX(Variables!$B$6:$D$6,IFERROR(MATCH(IF($B1096="Robusta","Robusta",(IF($B1096="","Arabica",$B1096))&amp;" - "&amp;(IF($C1096="","Commercial",$C1096))),Variables!$B$1:$D$1,0),1)))*22.0462)*(L1096/16.67),""))</f>
        <v>6742.1432273545279</v>
      </c>
      <c r="Y1096" s="13" t="str">
        <f>IF($AX1096="Cancelled","",IF(X1096="","",IFERROR(IF(INDEX(Variables!$B$38:$B$47,MATCH(X1096,Variables!$A$38:$A$47,0))="Yes","Yes","No"),"No")))</f>
        <v/>
      </c>
      <c r="Z1096" s="31"/>
      <c r="AC1096" s="13" t="str">
        <f t="shared" si="53"/>
        <v/>
      </c>
      <c r="AF1096" s="71">
        <v>46168</v>
      </c>
      <c r="AG1096" s="36">
        <f>IF($AX1096="Cancelled","",IFERROR(IF(F1096="","",F1096-Variables!$B$13),""))</f>
        <v>46158</v>
      </c>
      <c r="AH1096" s="13" t="str">
        <f>IF($AX1096="Cancelled","",IFERROR(IF(AB1096="","",(AVERAGE(E1096:F1096)-AB1096)-Variables!$B$14),""))</f>
        <v/>
      </c>
      <c r="AJ1096" s="47">
        <v>46195</v>
      </c>
      <c r="AK1096" s="14">
        <f>IF($AX1096="Cancelled","",IFERROR(IF(AJ1096="","",IF(AND(AB1096="",AF1096=""),"",IF(AF1096&gt;AB1096,AF1096+Variables!$B$15+Variables!$B$16+Variables!$B$17-AJ1096,AB1096+Variables!$B$16+Variables!$B$17-AJ1096))),""))</f>
        <v>-12</v>
      </c>
      <c r="AL1096" s="48" t="s">
        <v>114</v>
      </c>
      <c r="AM1096" s="13" t="s">
        <v>1784</v>
      </c>
      <c r="AN1096" s="13" t="s">
        <v>2373</v>
      </c>
      <c r="AP1096" s="39"/>
      <c r="AR1096" s="13" t="s">
        <v>2374</v>
      </c>
      <c r="AS1096" s="31">
        <v>46203</v>
      </c>
      <c r="AU1096" s="31">
        <v>46234</v>
      </c>
      <c r="AV1096" s="13" t="e">
        <v>#N/A</v>
      </c>
      <c r="AW1096" s="31">
        <v>46234</v>
      </c>
      <c r="AX1096" s="13" t="str">
        <f>IF(ISNUMBER(SEARCH("cancel",#REF!)),"Cancelled",IF(AND(AS1096&lt;&gt;"",AU1096&lt;&gt;"",AW1096&lt;&gt;""),"Closed","Open"))</f>
        <v>Closed</v>
      </c>
      <c r="AY1096" s="24" t="str">
        <f t="shared" si="52"/>
        <v>All dates received</v>
      </c>
      <c r="BD1096" s="13">
        <f>IF($AX1096="Cancelled","",IFERROR(IF(OR(AS1096="",AJ1096=""),"",(AJ1096+Variables!$B$18-AS1096)),""))</f>
        <v>7</v>
      </c>
      <c r="BE1096" s="13">
        <f>IF($AX1096="Cancelled","",IFERROR(IF(OR(AW1096="",AS1096=""),"",(AS1096+Variables!$B$19)-AW1096),""))</f>
        <v>-26</v>
      </c>
      <c r="BF1096" s="44">
        <f>IF($AX1096="Cancelled","",IFERROR(W1096*INDEX(Variables!$B$7:$D$7,IFERROR(MATCH(IF($B1096="Robusta","Robusta",(IF($B1096="","Arabica",$B1096))&amp;" - "&amp;(IF($C1096="","Commercial",$C1096))),Variables!$B$1:$D$1,0),1))*(BE1096/365),""))</f>
        <v>-30.968366927090205</v>
      </c>
      <c r="BG1096" s="44" t="str">
        <f>IF($AX1096="Cancelled","",IFERROR((W1096*INDEX(Variables!$B$7:$D$7,IFERROR(MATCH(IF($B1096="Robusta","Robusta",(IF($B1096="","Arabica",$B1096))&amp;" - "&amp;(IF($C1096="","Commercial",$C1096))),Variables!$B$1:$D$1,0),1))*IFERROR(IF(AB1096="","",(AVERAGE(E1096:F1096)-AB1096)-Variables!$B$14),"")/365)+(L1096/16.67*INDEX(Variables!$B$8:$D$8,IFERROR(MATCH(IF($B1096="Robusta","Robusta",(IF($B1096="","Arabica",$B1096))&amp;" - "&amp;(IF($C1096="","Commercial",$C1096))),Variables!$B$1:$D$1,0),1))*IFERROR(IF(AB1096="","",(AVERAGE(E1096:F1096)-AB1096)-Variables!$B$14),""))+(W1096*INDEX(Variables!$B$9:$D$9,IFERROR(MATCH(IF($B1096="Robusta","Robusta",(IF($B1096="","Arabica",$B1096))&amp;" - "&amp;(IF($C1096="","Commercial",$C1096))),Variables!$B$1:$D$1,0),1))*IFERROR(IF(AB1096="","",(AVERAGE(E1096:F1096)-AB1096)-Variables!$B$14),"")/365),""))</f>
        <v/>
      </c>
      <c r="BH1096" s="44">
        <f>IF($AX1096="Cancelled","",IFERROR((W1096*INDEX(Variables!$B$7:$D$7,IFERROR(MATCH(IF($B1096="Robusta","Robusta",(IF($B1096="","Arabica",$B1096))&amp;" - "&amp;(IF($C1096="","Commercial",$C1096))),Variables!$B$1:$D$1,0),1))*AK1096/365)+(L1096/16.67*INDEX(Variables!$B$8:$D$8,IFERROR(MATCH(IF($B1096="Robusta","Robusta",(IF($B1096="","Arabica",$B1096))&amp;" - "&amp;(IF($C1096="","Commercial",$C1096))),Variables!$B$1:$D$1,0),1))*AK1096)+(W1096*INDEX(Variables!$B$9:$D$9,IFERROR(MATCH(IF($B1096="Robusta","Robusta",(IF($B1096="","Arabica",$B1096))&amp;" - "&amp;(IF($C1096="","Commercial",$C1096))),Variables!$B$1:$D$1,0),1))*AK1096/365),""))</f>
        <v>-20.477357973035176</v>
      </c>
      <c r="BI1096" s="44">
        <f>IF($AX1096="Cancelled","",IFERROR((W1096*INDEX(Variables!$B$7:$D$7,IFERROR(MATCH(IF($B1096="Robusta","Robusta",(IF($B1096="","Arabica",$B1096))&amp;" - "&amp;(IF($C1096="","Commercial",$C1096))),Variables!$B$1:$D$1,0),1))*BD1096/365)+(L1096/16.67*INDEX(Variables!$B$8:$D$8,IFERROR(MATCH(IF($B1096="Robusta","Robusta",(IF($B1096="","Arabica",$B1096))&amp;" - "&amp;(IF($C1096="","Commercial",$C1096))),Variables!$B$1:$D$1,0),1))*BD1096)+(W1096*INDEX(Variables!$B$9:$D$9,IFERROR(MATCH(IF($B1096="Robusta","Robusta",(IF($B1096="","Arabica",$B1096))&amp;" - "&amp;(IF($C1096="","Commercial",$C1096))),Variables!$B$1:$D$1,0),1))*BD1096/365),""))</f>
        <v>11.945125484270521</v>
      </c>
      <c r="BJ1096" s="44">
        <f t="shared" si="54"/>
        <v>-30</v>
      </c>
      <c r="BK1096" s="44">
        <f>IF($AX1096="Cancelled","",IFERROR(IF(BJ1096="","",(W1096*INDEX(Variables!$B$7:$D$7,IFERROR(MATCH(IF($B1096="Robusta","Robusta",(IF($B1096="","Arabica",$B1096))&amp;" - "&amp;(IF($C1096="","Commercial",$C1096))),Variables!$B$1:$D$1,0),1))*(BJ1096/365))+(W1096*INDEX(Variables!$B$9:$D$9,IFERROR(MATCH(IF($B1096="Robusta","Robusta",(IF($B1096="","Arabica",$B1096))&amp;" - "&amp;(IF($C1096="","Commercial",$C1096))),Variables!$B$1:$D$1,0),1))*(BJ1096/365))+(INDEX(Variables!$B$8:$D$8,IFERROR(MATCH(IF($B1096="Robusta","Robusta",(IF($B1096="","Arabica",$B1096))&amp;" - "&amp;(IF($C1096="","Commercial",$C1096))),Variables!$B$1:$D$1,0),1))*L1096/16.67)),""))</f>
        <v>-35.693394932587942</v>
      </c>
    </row>
    <row r="1097" spans="1:63">
      <c r="A1097" s="13" t="s">
        <v>103</v>
      </c>
      <c r="B1097" s="13" t="s">
        <v>104</v>
      </c>
      <c r="C1097" s="13" t="s">
        <v>292</v>
      </c>
      <c r="D1097" s="31">
        <v>46122</v>
      </c>
      <c r="E1097" s="31">
        <v>46143</v>
      </c>
      <c r="F1097" s="31">
        <v>46173</v>
      </c>
      <c r="G1097" s="13">
        <v>3787520</v>
      </c>
      <c r="J1097" s="13" t="s">
        <v>236</v>
      </c>
      <c r="K1097" s="13" t="s">
        <v>2736</v>
      </c>
      <c r="L1097" s="13">
        <v>20</v>
      </c>
      <c r="M1097" s="13">
        <v>0</v>
      </c>
      <c r="N1097" s="13" t="s">
        <v>2737</v>
      </c>
      <c r="O1097" s="13" t="s">
        <v>771</v>
      </c>
      <c r="P1097" s="13">
        <v>10010</v>
      </c>
      <c r="R1097" s="13" t="s">
        <v>671</v>
      </c>
      <c r="S1097" s="13" t="s">
        <v>2372</v>
      </c>
      <c r="T1097" s="13" t="s">
        <v>2372</v>
      </c>
      <c r="U1097" s="13" t="s">
        <v>182</v>
      </c>
      <c r="V1097" s="23">
        <v>194</v>
      </c>
      <c r="W1097" s="44">
        <f>IF($AX1097="Cancelled","",IFERROR(((V1097+INDEX(Variables!$B$6:$D$6,IFERROR(MATCH(IF($B1097="Robusta","Robusta",(IF($B1097="","Arabica",$B1097))&amp;" - "&amp;(IF($C1097="","Commercial",$C1097))),Variables!$B$1:$D$1,0),1)))*22.0462)*(L1097/16.67),""))</f>
        <v>12823.032705458907</v>
      </c>
      <c r="Y1097" s="13" t="str">
        <f>IF($AX1097="Cancelled","",IF(X1097="","",IFERROR(IF(INDEX(Variables!$B$38:$B$47,MATCH(X1097,Variables!$A$38:$A$47,0))="Yes","Yes","No"),"No")))</f>
        <v/>
      </c>
      <c r="Z1097" s="31"/>
      <c r="AC1097" s="13" t="str">
        <f t="shared" si="53"/>
        <v/>
      </c>
      <c r="AF1097" s="71">
        <v>46185</v>
      </c>
      <c r="AG1097" s="36">
        <f>IF($AX1097="Cancelled","",IFERROR(IF(F1097="","",F1097-Variables!$B$13),""))</f>
        <v>46158</v>
      </c>
      <c r="AH1097" s="13" t="str">
        <f>IF($AX1097="Cancelled","",IFERROR(IF(AB1097="","",(AVERAGE(E1097:F1097)-AB1097)-Variables!$B$14),""))</f>
        <v/>
      </c>
      <c r="AJ1097" s="47">
        <v>46195</v>
      </c>
      <c r="AK1097" s="14">
        <f>IF($AX1097="Cancelled","",IFERROR(IF(AJ1097="","",IF(AND(AB1097="",AF1097=""),"",IF(AF1097&gt;AB1097,AF1097+Variables!$B$15+Variables!$B$16+Variables!$B$17-AJ1097,AB1097+Variables!$B$16+Variables!$B$17-AJ1097))),""))</f>
        <v>5</v>
      </c>
      <c r="AL1097" s="48" t="s">
        <v>114</v>
      </c>
      <c r="AM1097" s="13" t="s">
        <v>1784</v>
      </c>
      <c r="AN1097" s="13" t="s">
        <v>2373</v>
      </c>
      <c r="AP1097" s="39"/>
      <c r="AR1097" s="13" t="s">
        <v>2374</v>
      </c>
      <c r="AS1097" s="31">
        <v>46203</v>
      </c>
      <c r="AU1097" s="31">
        <v>46234</v>
      </c>
      <c r="AV1097" s="13" t="e">
        <v>#N/A</v>
      </c>
      <c r="AW1097" s="31">
        <v>46234</v>
      </c>
      <c r="AX1097" s="13" t="str">
        <f>IF(ISNUMBER(SEARCH("cancel",#REF!)),"Cancelled",IF(AND(AS1097&lt;&gt;"",AU1097&lt;&gt;"",AW1097&lt;&gt;""),"Closed","Open"))</f>
        <v>Closed</v>
      </c>
      <c r="AY1097" s="24" t="str">
        <f t="shared" si="52"/>
        <v>All dates received</v>
      </c>
      <c r="BD1097" s="13">
        <f>IF($AX1097="Cancelled","",IFERROR(IF(OR(AS1097="",AJ1097=""),"",(AJ1097+Variables!$B$18-AS1097)),""))</f>
        <v>7</v>
      </c>
      <c r="BE1097" s="13">
        <f>IF($AX1097="Cancelled","",IFERROR(IF(OR(AW1097="",AS1097=""),"",(AS1097+Variables!$B$19)-AW1097),""))</f>
        <v>-26</v>
      </c>
      <c r="BF1097" s="44">
        <f>IF($AX1097="Cancelled","",IFERROR(W1097*INDEX(Variables!$B$7:$D$7,IFERROR(MATCH(IF($B1097="Robusta","Robusta",(IF($B1097="","Arabica",$B1097))&amp;" - "&amp;(IF($C1097="","Commercial",$C1097))),Variables!$B$1:$D$1,0),1))*(BE1097/365),""))</f>
        <v>-58.899428349365756</v>
      </c>
      <c r="BG1097" s="44" t="str">
        <f>IF($AX1097="Cancelled","",IFERROR((W1097*INDEX(Variables!$B$7:$D$7,IFERROR(MATCH(IF($B1097="Robusta","Robusta",(IF($B1097="","Arabica",$B1097))&amp;" - "&amp;(IF($C1097="","Commercial",$C1097))),Variables!$B$1:$D$1,0),1))*IFERROR(IF(AB1097="","",(AVERAGE(E1097:F1097)-AB1097)-Variables!$B$14),"")/365)+(L1097/16.67*INDEX(Variables!$B$8:$D$8,IFERROR(MATCH(IF($B1097="Robusta","Robusta",(IF($B1097="","Arabica",$B1097))&amp;" - "&amp;(IF($C1097="","Commercial",$C1097))),Variables!$B$1:$D$1,0),1))*IFERROR(IF(AB1097="","",(AVERAGE(E1097:F1097)-AB1097)-Variables!$B$14),""))+(W1097*INDEX(Variables!$B$9:$D$9,IFERROR(MATCH(IF($B1097="Robusta","Robusta",(IF($B1097="","Arabica",$B1097))&amp;" - "&amp;(IF($C1097="","Commercial",$C1097))),Variables!$B$1:$D$1,0),1))*IFERROR(IF(AB1097="","",(AVERAGE(E1097:F1097)-AB1097)-Variables!$B$14),"")/365),""))</f>
        <v/>
      </c>
      <c r="BH1097" s="44">
        <f>IF($AX1097="Cancelled","",IFERROR((W1097*INDEX(Variables!$B$7:$D$7,IFERROR(MATCH(IF($B1097="Robusta","Robusta",(IF($B1097="","Arabica",$B1097))&amp;" - "&amp;(IF($C1097="","Commercial",$C1097))),Variables!$B$1:$D$1,0),1))*AK1097/365)+(L1097/16.67*INDEX(Variables!$B$8:$D$8,IFERROR(MATCH(IF($B1097="Robusta","Robusta",(IF($B1097="","Arabica",$B1097))&amp;" - "&amp;(IF($C1097="","Commercial",$C1097))),Variables!$B$1:$D$1,0),1))*AK1097)+(W1097*INDEX(Variables!$B$9:$D$9,IFERROR(MATCH(IF($B1097="Robusta","Robusta",(IF($B1097="","Arabica",$B1097))&amp;" - "&amp;(IF($C1097="","Commercial",$C1097))),Variables!$B$1:$D$1,0),1))*AK1097/365),""))</f>
        <v>16.472837624766992</v>
      </c>
      <c r="BI1097" s="44">
        <f>IF($AX1097="Cancelled","",IFERROR((W1097*INDEX(Variables!$B$7:$D$7,IFERROR(MATCH(IF($B1097="Robusta","Robusta",(IF($B1097="","Arabica",$B1097))&amp;" - "&amp;(IF($C1097="","Commercial",$C1097))),Variables!$B$1:$D$1,0),1))*BD1097/365)+(L1097/16.67*INDEX(Variables!$B$8:$D$8,IFERROR(MATCH(IF($B1097="Robusta","Robusta",(IF($B1097="","Arabica",$B1097))&amp;" - "&amp;(IF($C1097="","Commercial",$C1097))),Variables!$B$1:$D$1,0),1))*BD1097)+(W1097*INDEX(Variables!$B$9:$D$9,IFERROR(MATCH(IF($B1097="Robusta","Robusta",(IF($B1097="","Arabica",$B1097))&amp;" - "&amp;(IF($C1097="","Commercial",$C1097))),Variables!$B$1:$D$1,0),1))*BD1097/365),""))</f>
        <v>23.06197267467379</v>
      </c>
      <c r="BJ1097" s="44">
        <f t="shared" si="54"/>
        <v>-30</v>
      </c>
      <c r="BK1097" s="44">
        <f>IF($AX1097="Cancelled","",IFERROR(IF(BJ1097="","",(W1097*INDEX(Variables!$B$7:$D$7,IFERROR(MATCH(IF($B1097="Robusta","Robusta",(IF($B1097="","Arabica",$B1097))&amp;" - "&amp;(IF($C1097="","Commercial",$C1097))),Variables!$B$1:$D$1,0),1))*(BJ1097/365))+(W1097*INDEX(Variables!$B$9:$D$9,IFERROR(MATCH(IF($B1097="Robusta","Robusta",(IF($B1097="","Arabica",$B1097))&amp;" - "&amp;(IF($C1097="","Commercial",$C1097))),Variables!$B$1:$D$1,0),1))*(BJ1097/365))+(INDEX(Variables!$B$8:$D$8,IFERROR(MATCH(IF($B1097="Robusta","Robusta",(IF($B1097="","Arabica",$B1097))&amp;" - "&amp;(IF($C1097="","Commercial",$C1097))),Variables!$B$1:$D$1,0),1))*L1097/16.67)),""))</f>
        <v>-67.837025748601945</v>
      </c>
    </row>
    <row r="1098" spans="1:63">
      <c r="A1098" s="13" t="s">
        <v>103</v>
      </c>
      <c r="B1098" s="13" t="s">
        <v>104</v>
      </c>
      <c r="C1098" s="13" t="s">
        <v>292</v>
      </c>
      <c r="D1098" s="31">
        <v>46122</v>
      </c>
      <c r="E1098" s="31">
        <v>46143</v>
      </c>
      <c r="F1098" s="31">
        <v>46173</v>
      </c>
      <c r="G1098" s="13">
        <v>3787521</v>
      </c>
      <c r="J1098" s="13" t="s">
        <v>236</v>
      </c>
      <c r="K1098" s="13" t="s">
        <v>2738</v>
      </c>
      <c r="L1098" s="13">
        <v>15</v>
      </c>
      <c r="M1098" s="13">
        <v>0</v>
      </c>
      <c r="N1098" s="13" t="s">
        <v>2739</v>
      </c>
      <c r="O1098" s="13" t="s">
        <v>771</v>
      </c>
      <c r="P1098" s="13">
        <v>10010</v>
      </c>
      <c r="R1098" s="13" t="s">
        <v>671</v>
      </c>
      <c r="S1098" s="13" t="s">
        <v>2372</v>
      </c>
      <c r="T1098" s="13" t="s">
        <v>2372</v>
      </c>
      <c r="U1098" s="13" t="s">
        <v>182</v>
      </c>
      <c r="V1098" s="23">
        <v>203</v>
      </c>
      <c r="W1098" s="44">
        <f>IF($AX1098="Cancelled","",IFERROR(((V1098+INDEX(Variables!$B$6:$D$6,IFERROR(MATCH(IF($B1098="Robusta","Robusta",(IF($B1098="","Arabica",$B1098))&amp;" - "&amp;(IF($C1098="","Commercial",$C1098))),Variables!$B$1:$D$1,0),1)))*22.0462)*(L1098/16.67),""))</f>
        <v>9795.8130413917206</v>
      </c>
      <c r="Y1098" s="13" t="str">
        <f>IF($AX1098="Cancelled","",IF(X1098="","",IFERROR(IF(INDEX(Variables!$B$38:$B$47,MATCH(X1098,Variables!$A$38:$A$47,0))="Yes","Yes","No"),"No")))</f>
        <v/>
      </c>
      <c r="Z1098" s="31"/>
      <c r="AC1098" s="13" t="str">
        <f t="shared" si="53"/>
        <v/>
      </c>
      <c r="AF1098" s="71">
        <v>46168</v>
      </c>
      <c r="AG1098" s="36">
        <f>IF($AX1098="Cancelled","",IFERROR(IF(F1098="","",F1098-Variables!$B$13),""))</f>
        <v>46158</v>
      </c>
      <c r="AH1098" s="13" t="str">
        <f>IF($AX1098="Cancelled","",IFERROR(IF(AB1098="","",(AVERAGE(E1098:F1098)-AB1098)-Variables!$B$14),""))</f>
        <v/>
      </c>
      <c r="AJ1098" s="47">
        <v>46195</v>
      </c>
      <c r="AK1098" s="14">
        <f>IF($AX1098="Cancelled","",IFERROR(IF(AJ1098="","",IF(AND(AB1098="",AF1098=""),"",IF(AF1098&gt;AB1098,AF1098+Variables!$B$15+Variables!$B$16+Variables!$B$17-AJ1098,AB1098+Variables!$B$16+Variables!$B$17-AJ1098))),""))</f>
        <v>-12</v>
      </c>
      <c r="AL1098" s="48" t="s">
        <v>114</v>
      </c>
      <c r="AM1098" s="13" t="s">
        <v>1784</v>
      </c>
      <c r="AN1098" s="13" t="s">
        <v>2373</v>
      </c>
      <c r="AP1098" s="39"/>
      <c r="AR1098" s="13" t="s">
        <v>2374</v>
      </c>
      <c r="AS1098" s="31">
        <v>46203</v>
      </c>
      <c r="AU1098" s="31">
        <v>46234</v>
      </c>
      <c r="AV1098" s="13" t="e">
        <v>#N/A</v>
      </c>
      <c r="AW1098" s="31">
        <v>46234</v>
      </c>
      <c r="AX1098" s="13" t="str">
        <f>IF(ISNUMBER(SEARCH("cancel",#REF!)),"Cancelled",IF(AND(AS1098&lt;&gt;"",AU1098&lt;&gt;"",AW1098&lt;&gt;""),"Closed","Open"))</f>
        <v>Closed</v>
      </c>
      <c r="AY1098" s="24" t="str">
        <f t="shared" si="52"/>
        <v>All dates received</v>
      </c>
      <c r="BD1098" s="13">
        <f>IF($AX1098="Cancelled","",IFERROR(IF(OR(AS1098="",AJ1098=""),"",(AJ1098+Variables!$B$18-AS1098)),""))</f>
        <v>7</v>
      </c>
      <c r="BE1098" s="13">
        <f>IF($AX1098="Cancelled","",IFERROR(IF(OR(AW1098="",AS1098=""),"",(AS1098+Variables!$B$19)-AW1098),""))</f>
        <v>-26</v>
      </c>
      <c r="BF1098" s="44">
        <f>IF($AX1098="Cancelled","",IFERROR(W1098*INDEX(Variables!$B$7:$D$7,IFERROR(MATCH(IF($B1098="Robusta","Robusta",(IF($B1098="","Arabica",$B1098))&amp;" - "&amp;(IF($C1098="","Commercial",$C1098))),Variables!$B$1:$D$1,0),1))*(BE1098/365),""))</f>
        <v>-44.994643748324279</v>
      </c>
      <c r="BG1098" s="44" t="str">
        <f>IF($AX1098="Cancelled","",IFERROR((W1098*INDEX(Variables!$B$7:$D$7,IFERROR(MATCH(IF($B1098="Robusta","Robusta",(IF($B1098="","Arabica",$B1098))&amp;" - "&amp;(IF($C1098="","Commercial",$C1098))),Variables!$B$1:$D$1,0),1))*IFERROR(IF(AB1098="","",(AVERAGE(E1098:F1098)-AB1098)-Variables!$B$14),"")/365)+(L1098/16.67*INDEX(Variables!$B$8:$D$8,IFERROR(MATCH(IF($B1098="Robusta","Robusta",(IF($B1098="","Arabica",$B1098))&amp;" - "&amp;(IF($C1098="","Commercial",$C1098))),Variables!$B$1:$D$1,0),1))*IFERROR(IF(AB1098="","",(AVERAGE(E1098:F1098)-AB1098)-Variables!$B$14),""))+(W1098*INDEX(Variables!$B$9:$D$9,IFERROR(MATCH(IF($B1098="Robusta","Robusta",(IF($B1098="","Arabica",$B1098))&amp;" - "&amp;(IF($C1098="","Commercial",$C1098))),Variables!$B$1:$D$1,0),1))*IFERROR(IF(AB1098="","",(AVERAGE(E1098:F1098)-AB1098)-Variables!$B$14),"")/365),""))</f>
        <v/>
      </c>
      <c r="BH1098" s="44">
        <f>IF($AX1098="Cancelled","",IFERROR((W1098*INDEX(Variables!$B$7:$D$7,IFERROR(MATCH(IF($B1098="Robusta","Robusta",(IF($B1098="","Arabica",$B1098))&amp;" - "&amp;(IF($C1098="","Commercial",$C1098))),Variables!$B$1:$D$1,0),1))*AK1098/365)+(L1098/16.67*INDEX(Variables!$B$8:$D$8,IFERROR(MATCH(IF($B1098="Robusta","Robusta",(IF($B1098="","Arabica",$B1098))&amp;" - "&amp;(IF($C1098="","Commercial",$C1098))),Variables!$B$1:$D$1,0),1))*AK1098)+(W1098*INDEX(Variables!$B$9:$D$9,IFERROR(MATCH(IF($B1098="Robusta","Robusta",(IF($B1098="","Arabica",$B1098))&amp;" - "&amp;(IF($C1098="","Commercial",$C1098))),Variables!$B$1:$D$1,0),1))*AK1098/365),""))</f>
        <v>-30.034482249170569</v>
      </c>
      <c r="BI1098" s="44">
        <f>IF($AX1098="Cancelled","",IFERROR((W1098*INDEX(Variables!$B$7:$D$7,IFERROR(MATCH(IF($B1098="Robusta","Robusta",(IF($B1098="","Arabica",$B1098))&amp;" - "&amp;(IF($C1098="","Commercial",$C1098))),Variables!$B$1:$D$1,0),1))*BD1098/365)+(L1098/16.67*INDEX(Variables!$B$8:$D$8,IFERROR(MATCH(IF($B1098="Robusta","Robusta",(IF($B1098="","Arabica",$B1098))&amp;" - "&amp;(IF($C1098="","Commercial",$C1098))),Variables!$B$1:$D$1,0),1))*BD1098)+(W1098*INDEX(Variables!$B$9:$D$9,IFERROR(MATCH(IF($B1098="Robusta","Robusta",(IF($B1098="","Arabica",$B1098))&amp;" - "&amp;(IF($C1098="","Commercial",$C1098))),Variables!$B$1:$D$1,0),1))*BD1098/365),""))</f>
        <v>17.520114645349501</v>
      </c>
      <c r="BJ1098" s="44">
        <f t="shared" si="54"/>
        <v>-30</v>
      </c>
      <c r="BK1098" s="44">
        <f>IF($AX1098="Cancelled","",IFERROR(IF(BJ1098="","",(W1098*INDEX(Variables!$B$7:$D$7,IFERROR(MATCH(IF($B1098="Robusta","Robusta",(IF($B1098="","Arabica",$B1098))&amp;" - "&amp;(IF($C1098="","Commercial",$C1098))),Variables!$B$1:$D$1,0),1))*(BJ1098/365))+(W1098*INDEX(Variables!$B$9:$D$9,IFERROR(MATCH(IF($B1098="Robusta","Robusta",(IF($B1098="","Arabica",$B1098))&amp;" - "&amp;(IF($C1098="","Commercial",$C1098))),Variables!$B$1:$D$1,0),1))*(BJ1098/365))+(INDEX(Variables!$B$8:$D$8,IFERROR(MATCH(IF($B1098="Robusta","Robusta",(IF($B1098="","Arabica",$B1098))&amp;" - "&amp;(IF($C1098="","Commercial",$C1098))),Variables!$B$1:$D$1,0),1))*L1098/16.67)),""))</f>
        <v>-51.836205622926428</v>
      </c>
    </row>
    <row r="1099" spans="1:63">
      <c r="A1099" s="13" t="s">
        <v>103</v>
      </c>
      <c r="B1099" s="13" t="s">
        <v>104</v>
      </c>
      <c r="C1099" s="13" t="s">
        <v>292</v>
      </c>
      <c r="D1099" s="31">
        <v>46122</v>
      </c>
      <c r="E1099" s="31">
        <v>46143</v>
      </c>
      <c r="F1099" s="31">
        <v>46173</v>
      </c>
      <c r="G1099" s="13">
        <v>3787522</v>
      </c>
      <c r="J1099" s="13" t="s">
        <v>236</v>
      </c>
      <c r="K1099" s="13" t="s">
        <v>2740</v>
      </c>
      <c r="L1099" s="13">
        <v>15</v>
      </c>
      <c r="M1099" s="13">
        <v>0</v>
      </c>
      <c r="N1099" s="13" t="s">
        <v>2741</v>
      </c>
      <c r="O1099" s="13" t="s">
        <v>771</v>
      </c>
      <c r="P1099" s="13">
        <v>10010</v>
      </c>
      <c r="R1099" s="13" t="s">
        <v>671</v>
      </c>
      <c r="S1099" s="13" t="s">
        <v>2372</v>
      </c>
      <c r="T1099" s="13" t="s">
        <v>2372</v>
      </c>
      <c r="U1099" s="13" t="s">
        <v>182</v>
      </c>
      <c r="V1099" s="23">
        <v>187</v>
      </c>
      <c r="W1099" s="44">
        <f>IF($AX1099="Cancelled","",IFERROR(((V1099+INDEX(Variables!$B$6:$D$6,IFERROR(MATCH(IF($B1099="Robusta","Robusta",(IF($B1099="","Arabica",$B1099))&amp;" - "&amp;(IF($C1099="","Commercial",$C1099))),Variables!$B$1:$D$1,0),1)))*22.0462)*(L1099/16.67),""))</f>
        <v>9478.411241751648</v>
      </c>
      <c r="Y1099" s="13" t="str">
        <f>IF($AX1099="Cancelled","",IF(X1099="","",IFERROR(IF(INDEX(Variables!$B$38:$B$47,MATCH(X1099,Variables!$A$38:$A$47,0))="Yes","Yes","No"),"No")))</f>
        <v/>
      </c>
      <c r="Z1099" s="31"/>
      <c r="AC1099" s="13" t="str">
        <f t="shared" si="53"/>
        <v/>
      </c>
      <c r="AF1099" s="71">
        <v>46168</v>
      </c>
      <c r="AG1099" s="36">
        <f>IF($AX1099="Cancelled","",IFERROR(IF(F1099="","",F1099-Variables!$B$13),""))</f>
        <v>46158</v>
      </c>
      <c r="AH1099" s="13" t="str">
        <f>IF($AX1099="Cancelled","",IFERROR(IF(AB1099="","",(AVERAGE(E1099:F1099)-AB1099)-Variables!$B$14),""))</f>
        <v/>
      </c>
      <c r="AJ1099" s="47">
        <v>46195</v>
      </c>
      <c r="AK1099" s="14">
        <f>IF($AX1099="Cancelled","",IFERROR(IF(AJ1099="","",IF(AND(AB1099="",AF1099=""),"",IF(AF1099&gt;AB1099,AF1099+Variables!$B$15+Variables!$B$16+Variables!$B$17-AJ1099,AB1099+Variables!$B$16+Variables!$B$17-AJ1099))),""))</f>
        <v>-12</v>
      </c>
      <c r="AL1099" s="48" t="s">
        <v>114</v>
      </c>
      <c r="AM1099" s="13" t="s">
        <v>1784</v>
      </c>
      <c r="AN1099" s="13" t="s">
        <v>2373</v>
      </c>
      <c r="AP1099" s="39"/>
      <c r="AR1099" s="13" t="s">
        <v>2374</v>
      </c>
      <c r="AS1099" s="31">
        <v>46203</v>
      </c>
      <c r="AU1099" s="31">
        <v>46234</v>
      </c>
      <c r="AV1099" s="13" t="e">
        <v>#N/A</v>
      </c>
      <c r="AW1099" s="31">
        <v>46234</v>
      </c>
      <c r="AX1099" s="13" t="str">
        <f>IF(ISNUMBER(SEARCH("cancel",#REF!)),"Cancelled",IF(AND(AS1099&lt;&gt;"",AU1099&lt;&gt;"",AW1099&lt;&gt;""),"Closed","Open"))</f>
        <v>Closed</v>
      </c>
      <c r="AY1099" s="24" t="str">
        <f t="shared" si="52"/>
        <v>All dates received</v>
      </c>
      <c r="BD1099" s="13">
        <f>IF($AX1099="Cancelled","",IFERROR(IF(OR(AS1099="",AJ1099=""),"",(AJ1099+Variables!$B$18-AS1099)),""))</f>
        <v>7</v>
      </c>
      <c r="BE1099" s="13">
        <f>IF($AX1099="Cancelled","",IFERROR(IF(OR(AW1099="",AS1099=""),"",(AS1099+Variables!$B$19)-AW1099),""))</f>
        <v>-26</v>
      </c>
      <c r="BF1099" s="44">
        <f>IF($AX1099="Cancelled","",IFERROR(W1099*INDEX(Variables!$B$7:$D$7,IFERROR(MATCH(IF($B1099="Robusta","Robusta",(IF($B1099="","Arabica",$B1099))&amp;" - "&amp;(IF($C1099="","Commercial",$C1099))),Variables!$B$1:$D$1,0),1))*(BE1099/365),""))</f>
        <v>-43.536737106013234</v>
      </c>
      <c r="BG1099" s="44" t="str">
        <f>IF($AX1099="Cancelled","",IFERROR((W1099*INDEX(Variables!$B$7:$D$7,IFERROR(MATCH(IF($B1099="Robusta","Robusta",(IF($B1099="","Arabica",$B1099))&amp;" - "&amp;(IF($C1099="","Commercial",$C1099))),Variables!$B$1:$D$1,0),1))*IFERROR(IF(AB1099="","",(AVERAGE(E1099:F1099)-AB1099)-Variables!$B$14),"")/365)+(L1099/16.67*INDEX(Variables!$B$8:$D$8,IFERROR(MATCH(IF($B1099="Robusta","Robusta",(IF($B1099="","Arabica",$B1099))&amp;" - "&amp;(IF($C1099="","Commercial",$C1099))),Variables!$B$1:$D$1,0),1))*IFERROR(IF(AB1099="","",(AVERAGE(E1099:F1099)-AB1099)-Variables!$B$14),""))+(W1099*INDEX(Variables!$B$9:$D$9,IFERROR(MATCH(IF($B1099="Robusta","Robusta",(IF($B1099="","Arabica",$B1099))&amp;" - "&amp;(IF($C1099="","Commercial",$C1099))),Variables!$B$1:$D$1,0),1))*IFERROR(IF(AB1099="","",(AVERAGE(E1099:F1099)-AB1099)-Variables!$B$14),"")/365),""))</f>
        <v/>
      </c>
      <c r="BH1099" s="44">
        <f>IF($AX1099="Cancelled","",IFERROR((W1099*INDEX(Variables!$B$7:$D$7,IFERROR(MATCH(IF($B1099="Robusta","Robusta",(IF($B1099="","Arabica",$B1099))&amp;" - "&amp;(IF($C1099="","Commercial",$C1099))),Variables!$B$1:$D$1,0),1))*AK1099/365)+(L1099/16.67*INDEX(Variables!$B$8:$D$8,IFERROR(MATCH(IF($B1099="Robusta","Robusta",(IF($B1099="","Arabica",$B1099))&amp;" - "&amp;(IF($C1099="","Commercial",$C1099))),Variables!$B$1:$D$1,0),1))*AK1099)+(W1099*INDEX(Variables!$B$9:$D$9,IFERROR(MATCH(IF($B1099="Robusta","Robusta",(IF($B1099="","Arabica",$B1099))&amp;" - "&amp;(IF($C1099="","Commercial",$C1099))),Variables!$B$1:$D$1,0),1))*AK1099/365),""))</f>
        <v>-29.352927538788371</v>
      </c>
      <c r="BI1099" s="44">
        <f>IF($AX1099="Cancelled","",IFERROR((W1099*INDEX(Variables!$B$7:$D$7,IFERROR(MATCH(IF($B1099="Robusta","Robusta",(IF($B1099="","Arabica",$B1099))&amp;" - "&amp;(IF($C1099="","Commercial",$C1099))),Variables!$B$1:$D$1,0),1))*BD1099/365)+(L1099/16.67*INDEX(Variables!$B$8:$D$8,IFERROR(MATCH(IF($B1099="Robusta","Robusta",(IF($B1099="","Arabica",$B1099))&amp;" - "&amp;(IF($C1099="","Commercial",$C1099))),Variables!$B$1:$D$1,0),1))*BD1099)+(W1099*INDEX(Variables!$B$9:$D$9,IFERROR(MATCH(IF($B1099="Robusta","Robusta",(IF($B1099="","Arabica",$B1099))&amp;" - "&amp;(IF($C1099="","Commercial",$C1099))),Variables!$B$1:$D$1,0),1))*BD1099/365),""))</f>
        <v>17.122541064293216</v>
      </c>
      <c r="BJ1099" s="44">
        <f t="shared" si="54"/>
        <v>-30</v>
      </c>
      <c r="BK1099" s="44">
        <f>IF($AX1099="Cancelled","",IFERROR(IF(BJ1099="","",(W1099*INDEX(Variables!$B$7:$D$7,IFERROR(MATCH(IF($B1099="Robusta","Robusta",(IF($B1099="","Arabica",$B1099))&amp;" - "&amp;(IF($C1099="","Commercial",$C1099))),Variables!$B$1:$D$1,0),1))*(BJ1099/365))+(W1099*INDEX(Variables!$B$9:$D$9,IFERROR(MATCH(IF($B1099="Robusta","Robusta",(IF($B1099="","Arabica",$B1099))&amp;" - "&amp;(IF($C1099="","Commercial",$C1099))),Variables!$B$1:$D$1,0),1))*(BJ1099/365))+(INDEX(Variables!$B$8:$D$8,IFERROR(MATCH(IF($B1099="Robusta","Robusta",(IF($B1099="","Arabica",$B1099))&amp;" - "&amp;(IF($C1099="","Commercial",$C1099))),Variables!$B$1:$D$1,0),1))*L1099/16.67)),""))</f>
        <v>-50.132318846970925</v>
      </c>
    </row>
    <row r="1100" spans="1:63">
      <c r="A1100" s="13" t="s">
        <v>103</v>
      </c>
      <c r="B1100" s="13" t="s">
        <v>104</v>
      </c>
      <c r="C1100" s="13" t="s">
        <v>292</v>
      </c>
      <c r="D1100" s="31">
        <v>46122</v>
      </c>
      <c r="E1100" s="31">
        <v>46143</v>
      </c>
      <c r="F1100" s="31">
        <v>46173</v>
      </c>
      <c r="G1100" s="13">
        <v>3787523</v>
      </c>
      <c r="J1100" s="13" t="s">
        <v>236</v>
      </c>
      <c r="K1100" s="13" t="s">
        <v>2742</v>
      </c>
      <c r="L1100" s="13">
        <v>15</v>
      </c>
      <c r="M1100" s="13">
        <v>0</v>
      </c>
      <c r="N1100" s="13" t="s">
        <v>2743</v>
      </c>
      <c r="O1100" s="13" t="s">
        <v>1054</v>
      </c>
      <c r="P1100" s="13">
        <v>10020</v>
      </c>
      <c r="R1100" s="13" t="s">
        <v>671</v>
      </c>
      <c r="S1100" s="13" t="s">
        <v>2372</v>
      </c>
      <c r="T1100" s="13" t="s">
        <v>2372</v>
      </c>
      <c r="U1100" s="13" t="s">
        <v>182</v>
      </c>
      <c r="V1100" s="23">
        <v>175</v>
      </c>
      <c r="W1100" s="44">
        <f>IF($AX1100="Cancelled","",IFERROR(((V1100+INDEX(Variables!$B$6:$D$6,IFERROR(MATCH(IF($B1100="Robusta","Robusta",(IF($B1100="","Arabica",$B1100))&amp;" - "&amp;(IF($C1100="","Commercial",$C1100))),Variables!$B$1:$D$1,0),1)))*22.0462)*(L1100/16.67),""))</f>
        <v>9240.3598920215954</v>
      </c>
      <c r="Y1100" s="13" t="str">
        <f>IF($AX1100="Cancelled","",IF(X1100="","",IFERROR(IF(INDEX(Variables!$B$38:$B$47,MATCH(X1100,Variables!$A$38:$A$47,0))="Yes","Yes","No"),"No")))</f>
        <v/>
      </c>
      <c r="Z1100" s="31"/>
      <c r="AC1100" s="13" t="str">
        <f t="shared" si="53"/>
        <v/>
      </c>
      <c r="AF1100" s="71">
        <v>46168</v>
      </c>
      <c r="AG1100" s="36">
        <f>IF($AX1100="Cancelled","",IFERROR(IF(F1100="","",F1100-Variables!$B$13),""))</f>
        <v>46158</v>
      </c>
      <c r="AH1100" s="13" t="str">
        <f>IF($AX1100="Cancelled","",IFERROR(IF(AB1100="","",(AVERAGE(E1100:F1100)-AB1100)-Variables!$B$14),""))</f>
        <v/>
      </c>
      <c r="AJ1100" s="47">
        <v>46195</v>
      </c>
      <c r="AK1100" s="14">
        <f>IF($AX1100="Cancelled","",IFERROR(IF(AJ1100="","",IF(AND(AB1100="",AF1100=""),"",IF(AF1100&gt;AB1100,AF1100+Variables!$B$15+Variables!$B$16+Variables!$B$17-AJ1100,AB1100+Variables!$B$16+Variables!$B$17-AJ1100))),""))</f>
        <v>-12</v>
      </c>
      <c r="AL1100" s="48" t="s">
        <v>114</v>
      </c>
      <c r="AM1100" s="13" t="s">
        <v>1784</v>
      </c>
      <c r="AN1100" s="13" t="s">
        <v>2373</v>
      </c>
      <c r="AP1100" s="39"/>
      <c r="AR1100" s="13" t="s">
        <v>2374</v>
      </c>
      <c r="AS1100" s="31">
        <v>46203</v>
      </c>
      <c r="AU1100" s="31">
        <v>46234</v>
      </c>
      <c r="AV1100" s="13" t="e">
        <v>#N/A</v>
      </c>
      <c r="AW1100" s="31">
        <v>46234</v>
      </c>
      <c r="AX1100" s="13" t="str">
        <f>IF(ISNUMBER(SEARCH("cancel",#REF!)),"Cancelled",IF(AND(AS1100&lt;&gt;"",AU1100&lt;&gt;"",AW1100&lt;&gt;""),"Closed","Open"))</f>
        <v>Closed</v>
      </c>
      <c r="AY1100" s="24" t="str">
        <f t="shared" si="52"/>
        <v>All dates received</v>
      </c>
      <c r="BD1100" s="13">
        <f>IF($AX1100="Cancelled","",IFERROR(IF(OR(AS1100="",AJ1100=""),"",(AJ1100+Variables!$B$18-AS1100)),""))</f>
        <v>7</v>
      </c>
      <c r="BE1100" s="13">
        <f>IF($AX1100="Cancelled","",IFERROR(IF(OR(AW1100="",AS1100=""),"",(AS1100+Variables!$B$19)-AW1100),""))</f>
        <v>-26</v>
      </c>
      <c r="BF1100" s="44">
        <f>IF($AX1100="Cancelled","",IFERROR(W1100*INDEX(Variables!$B$7:$D$7,IFERROR(MATCH(IF($B1100="Robusta","Robusta",(IF($B1100="","Arabica",$B1100))&amp;" - "&amp;(IF($C1100="","Commercial",$C1100))),Variables!$B$1:$D$1,0),1))*(BE1100/365),""))</f>
        <v>-42.443307124279961</v>
      </c>
      <c r="BG1100" s="44" t="str">
        <f>IF($AX1100="Cancelled","",IFERROR((W1100*INDEX(Variables!$B$7:$D$7,IFERROR(MATCH(IF($B1100="Robusta","Robusta",(IF($B1100="","Arabica",$B1100))&amp;" - "&amp;(IF($C1100="","Commercial",$C1100))),Variables!$B$1:$D$1,0),1))*IFERROR(IF(AB1100="","",(AVERAGE(E1100:F1100)-AB1100)-Variables!$B$14),"")/365)+(L1100/16.67*INDEX(Variables!$B$8:$D$8,IFERROR(MATCH(IF($B1100="Robusta","Robusta",(IF($B1100="","Arabica",$B1100))&amp;" - "&amp;(IF($C1100="","Commercial",$C1100))),Variables!$B$1:$D$1,0),1))*IFERROR(IF(AB1100="","",(AVERAGE(E1100:F1100)-AB1100)-Variables!$B$14),""))+(W1100*INDEX(Variables!$B$9:$D$9,IFERROR(MATCH(IF($B1100="Robusta","Robusta",(IF($B1100="","Arabica",$B1100))&amp;" - "&amp;(IF($C1100="","Commercial",$C1100))),Variables!$B$1:$D$1,0),1))*IFERROR(IF(AB1100="","",(AVERAGE(E1100:F1100)-AB1100)-Variables!$B$14),"")/365),""))</f>
        <v/>
      </c>
      <c r="BH1100" s="44">
        <f>IF($AX1100="Cancelled","",IFERROR((W1100*INDEX(Variables!$B$7:$D$7,IFERROR(MATCH(IF($B1100="Robusta","Robusta",(IF($B1100="","Arabica",$B1100))&amp;" - "&amp;(IF($C1100="","Commercial",$C1100))),Variables!$B$1:$D$1,0),1))*AK1100/365)+(L1100/16.67*INDEX(Variables!$B$8:$D$8,IFERROR(MATCH(IF($B1100="Robusta","Robusta",(IF($B1100="","Arabica",$B1100))&amp;" - "&amp;(IF($C1100="","Commercial",$C1100))),Variables!$B$1:$D$1,0),1))*AK1100)+(W1100*INDEX(Variables!$B$9:$D$9,IFERROR(MATCH(IF($B1100="Robusta","Robusta",(IF($B1100="","Arabica",$B1100))&amp;" - "&amp;(IF($C1100="","Commercial",$C1100))),Variables!$B$1:$D$1,0),1))*AK1100/365),""))</f>
        <v>-28.841761506001724</v>
      </c>
      <c r="BI1100" s="44">
        <f>IF($AX1100="Cancelled","",IFERROR((W1100*INDEX(Variables!$B$7:$D$7,IFERROR(MATCH(IF($B1100="Robusta","Robusta",(IF($B1100="","Arabica",$B1100))&amp;" - "&amp;(IF($C1100="","Commercial",$C1100))),Variables!$B$1:$D$1,0),1))*BD1100/365)+(L1100/16.67*INDEX(Variables!$B$8:$D$8,IFERROR(MATCH(IF($B1100="Robusta","Robusta",(IF($B1100="","Arabica",$B1100))&amp;" - "&amp;(IF($C1100="","Commercial",$C1100))),Variables!$B$1:$D$1,0),1))*BD1100)+(W1100*INDEX(Variables!$B$9:$D$9,IFERROR(MATCH(IF($B1100="Robusta","Robusta",(IF($B1100="","Arabica",$B1100))&amp;" - "&amp;(IF($C1100="","Commercial",$C1100))),Variables!$B$1:$D$1,0),1))*BD1100/365),""))</f>
        <v>16.824360878501007</v>
      </c>
      <c r="BJ1100" s="44">
        <f t="shared" si="54"/>
        <v>-30</v>
      </c>
      <c r="BK1100" s="44">
        <f>IF($AX1100="Cancelled","",IFERROR(IF(BJ1100="","",(W1100*INDEX(Variables!$B$7:$D$7,IFERROR(MATCH(IF($B1100="Robusta","Robusta",(IF($B1100="","Arabica",$B1100))&amp;" - "&amp;(IF($C1100="","Commercial",$C1100))),Variables!$B$1:$D$1,0),1))*(BJ1100/365))+(W1100*INDEX(Variables!$B$9:$D$9,IFERROR(MATCH(IF($B1100="Robusta","Robusta",(IF($B1100="","Arabica",$B1100))&amp;" - "&amp;(IF($C1100="","Commercial",$C1100))),Variables!$B$1:$D$1,0),1))*(BJ1100/365))+(INDEX(Variables!$B$8:$D$8,IFERROR(MATCH(IF($B1100="Robusta","Robusta",(IF($B1100="","Arabica",$B1100))&amp;" - "&amp;(IF($C1100="","Commercial",$C1100))),Variables!$B$1:$D$1,0),1))*L1100/16.67)),""))</f>
        <v>-48.854403765004307</v>
      </c>
    </row>
    <row r="1101" spans="1:63">
      <c r="A1101" s="13" t="s">
        <v>103</v>
      </c>
      <c r="B1101" s="13" t="s">
        <v>104</v>
      </c>
      <c r="C1101" s="13" t="s">
        <v>292</v>
      </c>
      <c r="D1101" s="31">
        <v>46122</v>
      </c>
      <c r="E1101" s="31">
        <v>46143</v>
      </c>
      <c r="F1101" s="31">
        <v>46173</v>
      </c>
      <c r="G1101" s="13">
        <v>3787524</v>
      </c>
      <c r="J1101" s="13" t="s">
        <v>236</v>
      </c>
      <c r="K1101" s="13" t="s">
        <v>2744</v>
      </c>
      <c r="L1101" s="13">
        <v>10</v>
      </c>
      <c r="M1101" s="13">
        <v>0</v>
      </c>
      <c r="N1101" s="13" t="s">
        <v>2745</v>
      </c>
      <c r="O1101" s="13" t="s">
        <v>1054</v>
      </c>
      <c r="P1101" s="13">
        <v>10020</v>
      </c>
      <c r="R1101" s="13" t="s">
        <v>671</v>
      </c>
      <c r="S1101" s="13" t="s">
        <v>2372</v>
      </c>
      <c r="T1101" s="13" t="s">
        <v>2372</v>
      </c>
      <c r="U1101" s="13" t="s">
        <v>182</v>
      </c>
      <c r="V1101" s="23">
        <v>117</v>
      </c>
      <c r="W1101" s="44">
        <f>IF($AX1101="Cancelled","",IFERROR(((V1101+INDEX(Variables!$B$6:$D$6,IFERROR(MATCH(IF($B1101="Robusta","Robusta",(IF($B1101="","Arabica",$B1101))&amp;" - "&amp;(IF($C1101="","Commercial",$C1101))),Variables!$B$1:$D$1,0),1)))*22.0462)*(L1101/16.67),""))</f>
        <v>5393.1855788842231</v>
      </c>
      <c r="Y1101" s="13" t="str">
        <f>IF($AX1101="Cancelled","",IF(X1101="","",IFERROR(IF(INDEX(Variables!$B$38:$B$47,MATCH(X1101,Variables!$A$38:$A$47,0))="Yes","Yes","No"),"No")))</f>
        <v/>
      </c>
      <c r="Z1101" s="31"/>
      <c r="AC1101" s="13" t="str">
        <f t="shared" si="53"/>
        <v/>
      </c>
      <c r="AF1101" s="71">
        <v>46168</v>
      </c>
      <c r="AG1101" s="31">
        <f>IF($AX1101="Cancelled","",IFERROR(IF(F1101="","",F1101-Variables!$B$13),""))</f>
        <v>46158</v>
      </c>
      <c r="AH1101" s="13" t="str">
        <f>IF($AX1101="Cancelled","",IFERROR(IF(AB1101="","",(AVERAGE(E1101:F1101)-AB1101)-Variables!$B$14),""))</f>
        <v/>
      </c>
      <c r="AJ1101" s="47">
        <v>46195</v>
      </c>
      <c r="AK1101" s="14">
        <f>IF($AX1101="Cancelled","",IFERROR(IF(AJ1101="","",IF(AND(AB1101="",AF1101=""),"",IF(AF1101&gt;AB1101,AF1101+Variables!$B$15+Variables!$B$16+Variables!$B$17-AJ1101,AB1101+Variables!$B$16+Variables!$B$17-AJ1101))),""))</f>
        <v>-12</v>
      </c>
      <c r="AL1101" s="48" t="s">
        <v>114</v>
      </c>
      <c r="AM1101" s="13" t="s">
        <v>1784</v>
      </c>
      <c r="AN1101" s="13" t="s">
        <v>2373</v>
      </c>
      <c r="AP1101" s="39"/>
      <c r="AR1101" s="13" t="s">
        <v>2374</v>
      </c>
      <c r="AS1101" s="31">
        <v>46203</v>
      </c>
      <c r="AU1101" s="31">
        <v>46234</v>
      </c>
      <c r="AV1101" s="13" t="e">
        <v>#N/A</v>
      </c>
      <c r="AW1101" s="31">
        <v>46234</v>
      </c>
      <c r="AX1101" s="13" t="str">
        <f>IF(ISNUMBER(SEARCH("cancel",#REF!)),"Cancelled",IF(AND(AS1101&lt;&gt;"",AU1101&lt;&gt;"",AW1101&lt;&gt;""),"Closed","Open"))</f>
        <v>Closed</v>
      </c>
      <c r="AY1101" s="24" t="str">
        <f t="shared" si="52"/>
        <v>All dates received</v>
      </c>
      <c r="BD1101" s="13">
        <f>IF($AX1101="Cancelled","",IFERROR(IF(OR(AS1101="",AJ1101=""),"",(AJ1101+Variables!$B$18-AS1101)),""))</f>
        <v>7</v>
      </c>
      <c r="BE1101" s="13">
        <f>IF($AX1101="Cancelled","",IFERROR(IF(OR(AW1101="",AS1101=""),"",(AS1101+Variables!$B$19)-AW1101),""))</f>
        <v>-26</v>
      </c>
      <c r="BF1101" s="44">
        <f>IF($AX1101="Cancelled","",IFERROR(W1101*INDEX(Variables!$B$7:$D$7,IFERROR(MATCH(IF($B1101="Robusta","Robusta",(IF($B1101="","Arabica",$B1101))&amp;" - "&amp;(IF($C1101="","Commercial",$C1101))),Variables!$B$1:$D$1,0),1))*(BE1101/365),""))</f>
        <v>-24.772263697268318</v>
      </c>
      <c r="BG1101" s="44" t="str">
        <f>IF($AX1101="Cancelled","",IFERROR((W1101*INDEX(Variables!$B$7:$D$7,IFERROR(MATCH(IF($B1101="Robusta","Robusta",(IF($B1101="","Arabica",$B1101))&amp;" - "&amp;(IF($C1101="","Commercial",$C1101))),Variables!$B$1:$D$1,0),1))*IFERROR(IF(AB1101="","",(AVERAGE(E1101:F1101)-AB1101)-Variables!$B$14),"")/365)+(L1101/16.67*INDEX(Variables!$B$8:$D$8,IFERROR(MATCH(IF($B1101="Robusta","Robusta",(IF($B1101="","Arabica",$B1101))&amp;" - "&amp;(IF($C1101="","Commercial",$C1101))),Variables!$B$1:$D$1,0),1))*IFERROR(IF(AB1101="","",(AVERAGE(E1101:F1101)-AB1101)-Variables!$B$14),""))+(W1101*INDEX(Variables!$B$9:$D$9,IFERROR(MATCH(IF($B1101="Robusta","Robusta",(IF($B1101="","Arabica",$B1101))&amp;" - "&amp;(IF($C1101="","Commercial",$C1101))),Variables!$B$1:$D$1,0),1))*IFERROR(IF(AB1101="","",(AVERAGE(E1101:F1101)-AB1101)-Variables!$B$14),"")/365),""))</f>
        <v/>
      </c>
      <c r="BH1101" s="44">
        <f>IF($AX1101="Cancelled","",IFERROR((W1101*INDEX(Variables!$B$7:$D$7,IFERROR(MATCH(IF($B1101="Robusta","Robusta",(IF($B1101="","Arabica",$B1101))&amp;" - "&amp;(IF($C1101="","Commercial",$C1101))),Variables!$B$1:$D$1,0),1))*AK1101/365)+(L1101/16.67*INDEX(Variables!$B$8:$D$8,IFERROR(MATCH(IF($B1101="Robusta","Robusta",(IF($B1101="","Arabica",$B1101))&amp;" - "&amp;(IF($C1101="","Commercial",$C1101))),Variables!$B$1:$D$1,0),1))*AK1101)+(W1101*INDEX(Variables!$B$9:$D$9,IFERROR(MATCH(IF($B1101="Robusta","Robusta",(IF($B1101="","Arabica",$B1101))&amp;" - "&amp;(IF($C1101="","Commercial",$C1101))),Variables!$B$1:$D$1,0),1))*AK1101/365),""))</f>
        <v>-17.580750453910838</v>
      </c>
      <c r="BI1101" s="44">
        <f>IF($AX1101="Cancelled","",IFERROR((W1101*INDEX(Variables!$B$7:$D$7,IFERROR(MATCH(IF($B1101="Robusta","Robusta",(IF($B1101="","Arabica",$B1101))&amp;" - "&amp;(IF($C1101="","Commercial",$C1101))),Variables!$B$1:$D$1,0),1))*BD1101/365)+(L1101/16.67*INDEX(Variables!$B$8:$D$8,IFERROR(MATCH(IF($B1101="Robusta","Robusta",(IF($B1101="","Arabica",$B1101))&amp;" - "&amp;(IF($C1101="","Commercial",$C1101))),Variables!$B$1:$D$1,0),1))*BD1101)+(W1101*INDEX(Variables!$B$9:$D$9,IFERROR(MATCH(IF($B1101="Robusta","Robusta",(IF($B1101="","Arabica",$B1101))&amp;" - "&amp;(IF($C1101="","Commercial",$C1101))),Variables!$B$1:$D$1,0),1))*BD1101/365),""))</f>
        <v>10.255437764781325</v>
      </c>
      <c r="BJ1101" s="44">
        <f t="shared" si="54"/>
        <v>-30</v>
      </c>
      <c r="BK1101" s="44">
        <f>IF($AX1101="Cancelled","",IFERROR(IF(BJ1101="","",(W1101*INDEX(Variables!$B$7:$D$7,IFERROR(MATCH(IF($B1101="Robusta","Robusta",(IF($B1101="","Arabica",$B1101))&amp;" - "&amp;(IF($C1101="","Commercial",$C1101))),Variables!$B$1:$D$1,0),1))*(BJ1101/365))+(W1101*INDEX(Variables!$B$9:$D$9,IFERROR(MATCH(IF($B1101="Robusta","Robusta",(IF($B1101="","Arabica",$B1101))&amp;" - "&amp;(IF($C1101="","Commercial",$C1101))),Variables!$B$1:$D$1,0),1))*(BJ1101/365))+(INDEX(Variables!$B$8:$D$8,IFERROR(MATCH(IF($B1101="Robusta","Robusta",(IF($B1101="","Arabica",$B1101))&amp;" - "&amp;(IF($C1101="","Commercial",$C1101))),Variables!$B$1:$D$1,0),1))*L1101/16.67)),""))</f>
        <v>-28.451876134777102</v>
      </c>
    </row>
    <row r="1102" spans="1:63">
      <c r="A1102" s="13" t="s">
        <v>103</v>
      </c>
      <c r="B1102" s="13" t="s">
        <v>104</v>
      </c>
      <c r="C1102" s="13" t="s">
        <v>292</v>
      </c>
      <c r="D1102" s="31">
        <v>46122</v>
      </c>
      <c r="E1102" s="31">
        <v>46143</v>
      </c>
      <c r="F1102" s="31">
        <v>46173</v>
      </c>
      <c r="G1102" s="13">
        <v>3787525</v>
      </c>
      <c r="J1102" s="13" t="s">
        <v>236</v>
      </c>
      <c r="K1102" s="13" t="s">
        <v>2746</v>
      </c>
      <c r="L1102" s="13">
        <v>10</v>
      </c>
      <c r="M1102" s="13">
        <v>0</v>
      </c>
      <c r="N1102" s="13" t="s">
        <v>2747</v>
      </c>
      <c r="O1102" s="13" t="s">
        <v>771</v>
      </c>
      <c r="P1102" s="13">
        <v>10010</v>
      </c>
      <c r="R1102" s="13" t="s">
        <v>671</v>
      </c>
      <c r="S1102" s="13" t="s">
        <v>2372</v>
      </c>
      <c r="T1102" s="13" t="s">
        <v>2372</v>
      </c>
      <c r="U1102" s="13" t="s">
        <v>182</v>
      </c>
      <c r="V1102" s="23">
        <v>183</v>
      </c>
      <c r="W1102" s="44">
        <f>IF($AX1102="Cancelled","",IFERROR(((V1102+INDEX(Variables!$B$6:$D$6,IFERROR(MATCH(IF($B1102="Robusta","Robusta",(IF($B1102="","Arabica",$B1102))&amp;" - "&amp;(IF($C1102="","Commercial",$C1102))),Variables!$B$1:$D$1,0),1)))*22.0462)*(L1102/16.67),""))</f>
        <v>6266.0405278944208</v>
      </c>
      <c r="Y1102" s="13" t="str">
        <f>IF($AX1102="Cancelled","",IF(X1102="","",IFERROR(IF(INDEX(Variables!$B$38:$B$47,MATCH(X1102,Variables!$A$38:$A$47,0))="Yes","Yes","No"),"No")))</f>
        <v/>
      </c>
      <c r="Z1102" s="31"/>
      <c r="AC1102" s="13" t="str">
        <f t="shared" si="53"/>
        <v/>
      </c>
      <c r="AF1102" s="71">
        <v>46168</v>
      </c>
      <c r="AG1102" s="31">
        <f>IF($AX1102="Cancelled","",IFERROR(IF(F1102="","",F1102-Variables!$B$13),""))</f>
        <v>46158</v>
      </c>
      <c r="AH1102" s="13" t="str">
        <f>IF($AX1102="Cancelled","",IFERROR(IF(AB1102="","",(AVERAGE(E1102:F1102)-AB1102)-Variables!$B$14),""))</f>
        <v/>
      </c>
      <c r="AJ1102" s="47">
        <v>46195</v>
      </c>
      <c r="AK1102" s="14">
        <f>IF($AX1102="Cancelled","",IFERROR(IF(AJ1102="","",IF(AND(AB1102="",AF1102=""),"",IF(AF1102&gt;AB1102,AF1102+Variables!$B$15+Variables!$B$16+Variables!$B$17-AJ1102,AB1102+Variables!$B$16+Variables!$B$17-AJ1102))),""))</f>
        <v>-12</v>
      </c>
      <c r="AL1102" s="48" t="s">
        <v>114</v>
      </c>
      <c r="AM1102" s="13" t="s">
        <v>1784</v>
      </c>
      <c r="AN1102" s="13" t="s">
        <v>2373</v>
      </c>
      <c r="AP1102" s="39"/>
      <c r="AR1102" s="13" t="s">
        <v>2374</v>
      </c>
      <c r="AS1102" s="31">
        <v>46203</v>
      </c>
      <c r="AU1102" s="31">
        <v>46234</v>
      </c>
      <c r="AV1102" s="13" t="e">
        <v>#N/A</v>
      </c>
      <c r="AW1102" s="31">
        <v>46234</v>
      </c>
      <c r="AX1102" s="13" t="str">
        <f>IF(ISNUMBER(SEARCH("cancel",#REF!)),"Cancelled",IF(AND(AS1102&lt;&gt;"",AU1102&lt;&gt;"",AW1102&lt;&gt;""),"Closed","Open"))</f>
        <v>Closed</v>
      </c>
      <c r="AY1102" s="24" t="str">
        <f t="shared" si="52"/>
        <v>All dates received</v>
      </c>
      <c r="BD1102" s="13">
        <f>IF($AX1102="Cancelled","",IFERROR(IF(OR(AS1102="",AJ1102=""),"",(AJ1102+Variables!$B$18-AS1102)),""))</f>
        <v>7</v>
      </c>
      <c r="BE1102" s="13">
        <f>IF($AX1102="Cancelled","",IFERROR(IF(OR(AW1102="",AS1102=""),"",(AS1102+Variables!$B$19)-AW1102),""))</f>
        <v>-26</v>
      </c>
      <c r="BF1102" s="44">
        <f>IF($AX1102="Cancelled","",IFERROR(W1102*INDEX(Variables!$B$7:$D$7,IFERROR(MATCH(IF($B1102="Robusta","Robusta",(IF($B1102="","Arabica",$B1102))&amp;" - "&amp;(IF($C1102="","Commercial",$C1102))),Variables!$B$1:$D$1,0),1))*(BE1102/365),""))</f>
        <v>-28.781506963623656</v>
      </c>
      <c r="BG1102" s="44" t="str">
        <f>IF($AX1102="Cancelled","",IFERROR((W1102*INDEX(Variables!$B$7:$D$7,IFERROR(MATCH(IF($B1102="Robusta","Robusta",(IF($B1102="","Arabica",$B1102))&amp;" - "&amp;(IF($C1102="","Commercial",$C1102))),Variables!$B$1:$D$1,0),1))*IFERROR(IF(AB1102="","",(AVERAGE(E1102:F1102)-AB1102)-Variables!$B$14),"")/365)+(L1102/16.67*INDEX(Variables!$B$8:$D$8,IFERROR(MATCH(IF($B1102="Robusta","Robusta",(IF($B1102="","Arabica",$B1102))&amp;" - "&amp;(IF($C1102="","Commercial",$C1102))),Variables!$B$1:$D$1,0),1))*IFERROR(IF(AB1102="","",(AVERAGE(E1102:F1102)-AB1102)-Variables!$B$14),""))+(W1102*INDEX(Variables!$B$9:$D$9,IFERROR(MATCH(IF($B1102="Robusta","Robusta",(IF($B1102="","Arabica",$B1102))&amp;" - "&amp;(IF($C1102="","Commercial",$C1102))),Variables!$B$1:$D$1,0),1))*IFERROR(IF(AB1102="","",(AVERAGE(E1102:F1102)-AB1102)-Variables!$B$14),"")/365),""))</f>
        <v/>
      </c>
      <c r="BH1102" s="44">
        <f>IF($AX1102="Cancelled","",IFERROR((W1102*INDEX(Variables!$B$7:$D$7,IFERROR(MATCH(IF($B1102="Robusta","Robusta",(IF($B1102="","Arabica",$B1102))&amp;" - "&amp;(IF($C1102="","Commercial",$C1102))),Variables!$B$1:$D$1,0),1))*AK1102/365)+(L1102/16.67*INDEX(Variables!$B$8:$D$8,IFERROR(MATCH(IF($B1102="Robusta","Robusta",(IF($B1102="","Arabica",$B1102))&amp;" - "&amp;(IF($C1102="","Commercial",$C1102))),Variables!$B$1:$D$1,0),1))*AK1102)+(W1102*INDEX(Variables!$B$9:$D$9,IFERROR(MATCH(IF($B1102="Robusta","Robusta",(IF($B1102="","Arabica",$B1102))&amp;" - "&amp;(IF($C1102="","Commercial",$C1102))),Variables!$B$1:$D$1,0),1))*AK1102/365),""))</f>
        <v>-19.455025907461884</v>
      </c>
      <c r="BI1102" s="44">
        <f>IF($AX1102="Cancelled","",IFERROR((W1102*INDEX(Variables!$B$7:$D$7,IFERROR(MATCH(IF($B1102="Robusta","Robusta",(IF($B1102="","Arabica",$B1102))&amp;" - "&amp;(IF($C1102="","Commercial",$C1102))),Variables!$B$1:$D$1,0),1))*BD1102/365)+(L1102/16.67*INDEX(Variables!$B$8:$D$8,IFERROR(MATCH(IF($B1102="Robusta","Robusta",(IF($B1102="","Arabica",$B1102))&amp;" - "&amp;(IF($C1102="","Commercial",$C1102))),Variables!$B$1:$D$1,0),1))*BD1102)+(W1102*INDEX(Variables!$B$9:$D$9,IFERROR(MATCH(IF($B1102="Robusta","Robusta",(IF($B1102="","Arabica",$B1102))&amp;" - "&amp;(IF($C1102="","Commercial",$C1102))),Variables!$B$1:$D$1,0),1))*BD1102/365),""))</f>
        <v>11.348765112686097</v>
      </c>
      <c r="BJ1102" s="44">
        <f t="shared" si="54"/>
        <v>-30</v>
      </c>
      <c r="BK1102" s="44">
        <f>IF($AX1102="Cancelled","",IFERROR(IF(BJ1102="","",(W1102*INDEX(Variables!$B$7:$D$7,IFERROR(MATCH(IF($B1102="Robusta","Robusta",(IF($B1102="","Arabica",$B1102))&amp;" - "&amp;(IF($C1102="","Commercial",$C1102))),Variables!$B$1:$D$1,0),1))*(BJ1102/365))+(W1102*INDEX(Variables!$B$9:$D$9,IFERROR(MATCH(IF($B1102="Robusta","Robusta",(IF($B1102="","Arabica",$B1102))&amp;" - "&amp;(IF($C1102="","Commercial",$C1102))),Variables!$B$1:$D$1,0),1))*(BJ1102/365))+(INDEX(Variables!$B$8:$D$8,IFERROR(MATCH(IF($B1102="Robusta","Robusta",(IF($B1102="","Arabica",$B1102))&amp;" - "&amp;(IF($C1102="","Commercial",$C1102))),Variables!$B$1:$D$1,0),1))*L1102/16.67)),""))</f>
        <v>-33.137564768654705</v>
      </c>
    </row>
    <row r="1103" spans="1:63">
      <c r="A1103" s="13" t="s">
        <v>103</v>
      </c>
      <c r="B1103" s="13" t="s">
        <v>104</v>
      </c>
      <c r="C1103" s="13" t="s">
        <v>292</v>
      </c>
      <c r="D1103" s="31">
        <v>46122</v>
      </c>
      <c r="E1103" s="31">
        <v>46143</v>
      </c>
      <c r="F1103" s="31">
        <v>46173</v>
      </c>
      <c r="G1103" s="13">
        <v>3787526</v>
      </c>
      <c r="J1103" s="13" t="s">
        <v>236</v>
      </c>
      <c r="K1103" s="13" t="s">
        <v>2748</v>
      </c>
      <c r="L1103" s="13">
        <v>10</v>
      </c>
      <c r="M1103" s="13">
        <v>0</v>
      </c>
      <c r="N1103" s="13" t="s">
        <v>2749</v>
      </c>
      <c r="O1103" s="13" t="s">
        <v>771</v>
      </c>
      <c r="P1103" s="13">
        <v>10010</v>
      </c>
      <c r="R1103" s="13" t="s">
        <v>671</v>
      </c>
      <c r="S1103" s="13" t="s">
        <v>2372</v>
      </c>
      <c r="T1103" s="13" t="s">
        <v>2372</v>
      </c>
      <c r="U1103" s="13" t="s">
        <v>182</v>
      </c>
      <c r="V1103" s="23">
        <v>232</v>
      </c>
      <c r="W1103" s="44">
        <f>IF($AX1103="Cancelled","",IFERROR(((V1103+INDEX(Variables!$B$6:$D$6,IFERROR(MATCH(IF($B1103="Robusta","Robusta",(IF($B1103="","Arabica",$B1103))&amp;" - "&amp;(IF($C1103="","Commercial",$C1103))),Variables!$B$1:$D$1,0),1)))*22.0462)*(L1103/16.67),""))</f>
        <v>6914.0692021595669</v>
      </c>
      <c r="Y1103" s="13" t="str">
        <f>IF($AX1103="Cancelled","",IF(X1103="","",IFERROR(IF(INDEX(Variables!$B$38:$B$47,MATCH(X1103,Variables!$A$38:$A$47,0))="Yes","Yes","No"),"No")))</f>
        <v/>
      </c>
      <c r="Z1103" s="31"/>
      <c r="AC1103" s="13" t="str">
        <f t="shared" si="53"/>
        <v/>
      </c>
      <c r="AF1103" s="71">
        <v>46168</v>
      </c>
      <c r="AG1103" s="31">
        <f>IF($AX1103="Cancelled","",IFERROR(IF(F1103="","",F1103-Variables!$B$13),""))</f>
        <v>46158</v>
      </c>
      <c r="AH1103" s="13" t="str">
        <f>IF($AX1103="Cancelled","",IFERROR(IF(AB1103="","",(AVERAGE(E1103:F1103)-AB1103)-Variables!$B$14),""))</f>
        <v/>
      </c>
      <c r="AJ1103" s="47">
        <v>46195</v>
      </c>
      <c r="AK1103" s="14">
        <f>IF($AX1103="Cancelled","",IFERROR(IF(AJ1103="","",IF(AND(AB1103="",AF1103=""),"",IF(AF1103&gt;AB1103,AF1103+Variables!$B$15+Variables!$B$16+Variables!$B$17-AJ1103,AB1103+Variables!$B$16+Variables!$B$17-AJ1103))),""))</f>
        <v>-12</v>
      </c>
      <c r="AL1103" s="48" t="s">
        <v>114</v>
      </c>
      <c r="AM1103" s="13" t="s">
        <v>1784</v>
      </c>
      <c r="AN1103" s="13" t="s">
        <v>2373</v>
      </c>
      <c r="AP1103" s="39"/>
      <c r="AR1103" s="13" t="s">
        <v>2374</v>
      </c>
      <c r="AS1103" s="31">
        <v>46203</v>
      </c>
      <c r="AU1103" s="31">
        <v>46234</v>
      </c>
      <c r="AV1103" s="13" t="e">
        <v>#N/A</v>
      </c>
      <c r="AW1103" s="31">
        <v>46234</v>
      </c>
      <c r="AX1103" s="13" t="str">
        <f>IF(ISNUMBER(SEARCH("cancel",#REF!)),"Cancelled",IF(AND(AS1103&lt;&gt;"",AU1103&lt;&gt;"",AW1103&lt;&gt;""),"Closed","Open"))</f>
        <v>Closed</v>
      </c>
      <c r="AY1103" s="24" t="str">
        <f t="shared" si="52"/>
        <v>All dates received</v>
      </c>
      <c r="BD1103" s="13">
        <f>IF($AX1103="Cancelled","",IFERROR(IF(OR(AS1103="",AJ1103=""),"",(AJ1103+Variables!$B$18-AS1103)),""))</f>
        <v>7</v>
      </c>
      <c r="BE1103" s="13">
        <f>IF($AX1103="Cancelled","",IFERROR(IF(OR(AW1103="",AS1103=""),"",(AS1103+Variables!$B$19)-AW1103),""))</f>
        <v>-26</v>
      </c>
      <c r="BF1103" s="44">
        <f>IF($AX1103="Cancelled","",IFERROR(W1103*INDEX(Variables!$B$7:$D$7,IFERROR(MATCH(IF($B1103="Robusta","Robusta",(IF($B1103="","Arabica",$B1103))&amp;" - "&amp;(IF($C1103="","Commercial",$C1103))),Variables!$B$1:$D$1,0),1))*(BE1103/365),""))</f>
        <v>-31.758066358342013</v>
      </c>
      <c r="BG1103" s="44" t="str">
        <f>IF($AX1103="Cancelled","",IFERROR((W1103*INDEX(Variables!$B$7:$D$7,IFERROR(MATCH(IF($B1103="Robusta","Robusta",(IF($B1103="","Arabica",$B1103))&amp;" - "&amp;(IF($C1103="","Commercial",$C1103))),Variables!$B$1:$D$1,0),1))*IFERROR(IF(AB1103="","",(AVERAGE(E1103:F1103)-AB1103)-Variables!$B$14),"")/365)+(L1103/16.67*INDEX(Variables!$B$8:$D$8,IFERROR(MATCH(IF($B1103="Robusta","Robusta",(IF($B1103="","Arabica",$B1103))&amp;" - "&amp;(IF($C1103="","Commercial",$C1103))),Variables!$B$1:$D$1,0),1))*IFERROR(IF(AB1103="","",(AVERAGE(E1103:F1103)-AB1103)-Variables!$B$14),""))+(W1103*INDEX(Variables!$B$9:$D$9,IFERROR(MATCH(IF($B1103="Robusta","Robusta",(IF($B1103="","Arabica",$B1103))&amp;" - "&amp;(IF($C1103="","Commercial",$C1103))),Variables!$B$1:$D$1,0),1))*IFERROR(IF(AB1103="","",(AVERAGE(E1103:F1103)-AB1103)-Variables!$B$14),"")/365),""))</f>
        <v/>
      </c>
      <c r="BH1103" s="44">
        <f>IF($AX1103="Cancelled","",IFERROR((W1103*INDEX(Variables!$B$7:$D$7,IFERROR(MATCH(IF($B1103="Robusta","Robusta",(IF($B1103="","Arabica",$B1103))&amp;" - "&amp;(IF($C1103="","Commercial",$C1103))),Variables!$B$1:$D$1,0),1))*AK1103/365)+(L1103/16.67*INDEX(Variables!$B$8:$D$8,IFERROR(MATCH(IF($B1103="Robusta","Robusta",(IF($B1103="","Arabica",$B1103))&amp;" - "&amp;(IF($C1103="","Commercial",$C1103))),Variables!$B$1:$D$1,0),1))*AK1103)+(W1103*INDEX(Variables!$B$9:$D$9,IFERROR(MATCH(IF($B1103="Robusta","Robusta",(IF($B1103="","Arabica",$B1103))&amp;" - "&amp;(IF($C1103="","Commercial",$C1103))),Variables!$B$1:$D$1,0),1))*AK1103/365),""))</f>
        <v>-20.846533441158865</v>
      </c>
      <c r="BI1103" s="44">
        <f>IF($AX1103="Cancelled","",IFERROR((W1103*INDEX(Variables!$B$7:$D$7,IFERROR(MATCH(IF($B1103="Robusta","Robusta",(IF($B1103="","Arabica",$B1103))&amp;" - "&amp;(IF($C1103="","Commercial",$C1103))),Variables!$B$1:$D$1,0),1))*BD1103/365)+(L1103/16.67*INDEX(Variables!$B$8:$D$8,IFERROR(MATCH(IF($B1103="Robusta","Robusta",(IF($B1103="","Arabica",$B1103))&amp;" - "&amp;(IF($C1103="","Commercial",$C1103))),Variables!$B$1:$D$1,0),1))*BD1103)+(W1103*INDEX(Variables!$B$9:$D$9,IFERROR(MATCH(IF($B1103="Robusta","Robusta",(IF($B1103="","Arabica",$B1103))&amp;" - "&amp;(IF($C1103="","Commercial",$C1103))),Variables!$B$1:$D$1,0),1))*BD1103/365),""))</f>
        <v>12.160477840676007</v>
      </c>
      <c r="BJ1103" s="44">
        <f t="shared" si="54"/>
        <v>-30</v>
      </c>
      <c r="BK1103" s="44">
        <f>IF($AX1103="Cancelled","",IFERROR(IF(BJ1103="","",(W1103*INDEX(Variables!$B$7:$D$7,IFERROR(MATCH(IF($B1103="Robusta","Robusta",(IF($B1103="","Arabica",$B1103))&amp;" - "&amp;(IF($C1103="","Commercial",$C1103))),Variables!$B$1:$D$1,0),1))*(BJ1103/365))+(W1103*INDEX(Variables!$B$9:$D$9,IFERROR(MATCH(IF($B1103="Robusta","Robusta",(IF($B1103="","Arabica",$B1103))&amp;" - "&amp;(IF($C1103="","Commercial",$C1103))),Variables!$B$1:$D$1,0),1))*(BJ1103/365))+(INDEX(Variables!$B$8:$D$8,IFERROR(MATCH(IF($B1103="Robusta","Robusta",(IF($B1103="","Arabica",$B1103))&amp;" - "&amp;(IF($C1103="","Commercial",$C1103))),Variables!$B$1:$D$1,0),1))*L1103/16.67)),""))</f>
        <v>-36.616333602897171</v>
      </c>
    </row>
    <row r="1104" spans="1:63">
      <c r="A1104" s="13" t="s">
        <v>103</v>
      </c>
      <c r="B1104" s="13" t="s">
        <v>104</v>
      </c>
      <c r="C1104" s="13" t="s">
        <v>292</v>
      </c>
      <c r="D1104" s="31">
        <v>46122</v>
      </c>
      <c r="E1104" s="31">
        <v>46143</v>
      </c>
      <c r="F1104" s="31">
        <v>46173</v>
      </c>
      <c r="G1104" s="13">
        <v>3787527</v>
      </c>
      <c r="J1104" s="13" t="s">
        <v>236</v>
      </c>
      <c r="K1104" s="13" t="s">
        <v>2750</v>
      </c>
      <c r="L1104" s="13">
        <v>20</v>
      </c>
      <c r="M1104" s="13">
        <v>0</v>
      </c>
      <c r="N1104" s="13" t="s">
        <v>2751</v>
      </c>
      <c r="O1104" s="13" t="s">
        <v>771</v>
      </c>
      <c r="P1104" s="13">
        <v>10010</v>
      </c>
      <c r="R1104" s="13" t="s">
        <v>671</v>
      </c>
      <c r="S1104" s="13" t="s">
        <v>2372</v>
      </c>
      <c r="T1104" s="13" t="s">
        <v>2372</v>
      </c>
      <c r="U1104" s="13" t="s">
        <v>182</v>
      </c>
      <c r="V1104" s="23">
        <v>232</v>
      </c>
      <c r="W1104" s="44">
        <f>IF($AX1104="Cancelled","",IFERROR(((V1104+INDEX(Variables!$B$6:$D$6,IFERROR(MATCH(IF($B1104="Robusta","Robusta",(IF($B1104="","Arabica",$B1104))&amp;" - "&amp;(IF($C1104="","Commercial",$C1104))),Variables!$B$1:$D$1,0),1)))*22.0462)*(L1104/16.67),""))</f>
        <v>13828.138404319134</v>
      </c>
      <c r="Y1104" s="13" t="str">
        <f>IF($AX1104="Cancelled","",IF(X1104="","",IFERROR(IF(INDEX(Variables!$B$38:$B$47,MATCH(X1104,Variables!$A$38:$A$47,0))="Yes","Yes","No"),"No")))</f>
        <v/>
      </c>
      <c r="Z1104" s="31"/>
      <c r="AC1104" s="13" t="str">
        <f t="shared" si="53"/>
        <v/>
      </c>
      <c r="AF1104" s="71">
        <v>46168</v>
      </c>
      <c r="AG1104" s="36">
        <f>IF($AX1104="Cancelled","",IFERROR(IF(F1104="","",F1104-Variables!$B$13),""))</f>
        <v>46158</v>
      </c>
      <c r="AH1104" s="13" t="str">
        <f>IF($AX1104="Cancelled","",IFERROR(IF(AB1104="","",(AVERAGE(E1104:F1104)-AB1104)-Variables!$B$14),""))</f>
        <v/>
      </c>
      <c r="AJ1104" s="47">
        <v>46195</v>
      </c>
      <c r="AK1104" s="14">
        <f>IF($AX1104="Cancelled","",IFERROR(IF(AJ1104="","",IF(AND(AB1104="",AF1104=""),"",IF(AF1104&gt;AB1104,AF1104+Variables!$B$15+Variables!$B$16+Variables!$B$17-AJ1104,AB1104+Variables!$B$16+Variables!$B$17-AJ1104))),""))</f>
        <v>-12</v>
      </c>
      <c r="AL1104" s="48" t="s">
        <v>114</v>
      </c>
      <c r="AM1104" s="13" t="s">
        <v>1784</v>
      </c>
      <c r="AN1104" s="13" t="s">
        <v>2373</v>
      </c>
      <c r="AP1104" s="39"/>
      <c r="AR1104" s="13" t="s">
        <v>2374</v>
      </c>
      <c r="AS1104" s="31">
        <v>46203</v>
      </c>
      <c r="AU1104" s="31">
        <v>46234</v>
      </c>
      <c r="AV1104" s="13" t="e">
        <v>#N/A</v>
      </c>
      <c r="AW1104" s="31">
        <v>46234</v>
      </c>
      <c r="AX1104" s="13" t="str">
        <f>IF(ISNUMBER(SEARCH("cancel",#REF!)),"Cancelled",IF(AND(AS1104&lt;&gt;"",AU1104&lt;&gt;"",AW1104&lt;&gt;""),"Closed","Open"))</f>
        <v>Closed</v>
      </c>
      <c r="AY1104" s="24" t="str">
        <f t="shared" si="52"/>
        <v>All dates received</v>
      </c>
      <c r="BD1104" s="13">
        <f>IF($AX1104="Cancelled","",IFERROR(IF(OR(AS1104="",AJ1104=""),"",(AJ1104+Variables!$B$18-AS1104)),""))</f>
        <v>7</v>
      </c>
      <c r="BE1104" s="13">
        <f>IF($AX1104="Cancelled","",IFERROR(IF(OR(AW1104="",AS1104=""),"",(AS1104+Variables!$B$19)-AW1104),""))</f>
        <v>-26</v>
      </c>
      <c r="BF1104" s="44">
        <f>IF($AX1104="Cancelled","",IFERROR(W1104*INDEX(Variables!$B$7:$D$7,IFERROR(MATCH(IF($B1104="Robusta","Robusta",(IF($B1104="","Arabica",$B1104))&amp;" - "&amp;(IF($C1104="","Commercial",$C1104))),Variables!$B$1:$D$1,0),1))*(BE1104/365),""))</f>
        <v>-63.516132716684027</v>
      </c>
      <c r="BG1104" s="44" t="str">
        <f>IF($AX1104="Cancelled","",IFERROR((W1104*INDEX(Variables!$B$7:$D$7,IFERROR(MATCH(IF($B1104="Robusta","Robusta",(IF($B1104="","Arabica",$B1104))&amp;" - "&amp;(IF($C1104="","Commercial",$C1104))),Variables!$B$1:$D$1,0),1))*IFERROR(IF(AB1104="","",(AVERAGE(E1104:F1104)-AB1104)-Variables!$B$14),"")/365)+(L1104/16.67*INDEX(Variables!$B$8:$D$8,IFERROR(MATCH(IF($B1104="Robusta","Robusta",(IF($B1104="","Arabica",$B1104))&amp;" - "&amp;(IF($C1104="","Commercial",$C1104))),Variables!$B$1:$D$1,0),1))*IFERROR(IF(AB1104="","",(AVERAGE(E1104:F1104)-AB1104)-Variables!$B$14),""))+(W1104*INDEX(Variables!$B$9:$D$9,IFERROR(MATCH(IF($B1104="Robusta","Robusta",(IF($B1104="","Arabica",$B1104))&amp;" - "&amp;(IF($C1104="","Commercial",$C1104))),Variables!$B$1:$D$1,0),1))*IFERROR(IF(AB1104="","",(AVERAGE(E1104:F1104)-AB1104)-Variables!$B$14),"")/365),""))</f>
        <v/>
      </c>
      <c r="BH1104" s="44">
        <f>IF($AX1104="Cancelled","",IFERROR((W1104*INDEX(Variables!$B$7:$D$7,IFERROR(MATCH(IF($B1104="Robusta","Robusta",(IF($B1104="","Arabica",$B1104))&amp;" - "&amp;(IF($C1104="","Commercial",$C1104))),Variables!$B$1:$D$1,0),1))*AK1104/365)+(L1104/16.67*INDEX(Variables!$B$8:$D$8,IFERROR(MATCH(IF($B1104="Robusta","Robusta",(IF($B1104="","Arabica",$B1104))&amp;" - "&amp;(IF($C1104="","Commercial",$C1104))),Variables!$B$1:$D$1,0),1))*AK1104)+(W1104*INDEX(Variables!$B$9:$D$9,IFERROR(MATCH(IF($B1104="Robusta","Robusta",(IF($B1104="","Arabica",$B1104))&amp;" - "&amp;(IF($C1104="","Commercial",$C1104))),Variables!$B$1:$D$1,0),1))*AK1104/365),""))</f>
        <v>-41.69306688231773</v>
      </c>
      <c r="BI1104" s="44">
        <f>IF($AX1104="Cancelled","",IFERROR((W1104*INDEX(Variables!$B$7:$D$7,IFERROR(MATCH(IF($B1104="Robusta","Robusta",(IF($B1104="","Arabica",$B1104))&amp;" - "&amp;(IF($C1104="","Commercial",$C1104))),Variables!$B$1:$D$1,0),1))*BD1104/365)+(L1104/16.67*INDEX(Variables!$B$8:$D$8,IFERROR(MATCH(IF($B1104="Robusta","Robusta",(IF($B1104="","Arabica",$B1104))&amp;" - "&amp;(IF($C1104="","Commercial",$C1104))),Variables!$B$1:$D$1,0),1))*BD1104)+(W1104*INDEX(Variables!$B$9:$D$9,IFERROR(MATCH(IF($B1104="Robusta","Robusta",(IF($B1104="","Arabica",$B1104))&amp;" - "&amp;(IF($C1104="","Commercial",$C1104))),Variables!$B$1:$D$1,0),1))*BD1104/365),""))</f>
        <v>24.320955681352014</v>
      </c>
      <c r="BJ1104" s="44">
        <f t="shared" si="54"/>
        <v>-30</v>
      </c>
      <c r="BK1104" s="44">
        <f>IF($AX1104="Cancelled","",IFERROR(IF(BJ1104="","",(W1104*INDEX(Variables!$B$7:$D$7,IFERROR(MATCH(IF($B1104="Robusta","Robusta",(IF($B1104="","Arabica",$B1104))&amp;" - "&amp;(IF($C1104="","Commercial",$C1104))),Variables!$B$1:$D$1,0),1))*(BJ1104/365))+(W1104*INDEX(Variables!$B$9:$D$9,IFERROR(MATCH(IF($B1104="Robusta","Robusta",(IF($B1104="","Arabica",$B1104))&amp;" - "&amp;(IF($C1104="","Commercial",$C1104))),Variables!$B$1:$D$1,0),1))*(BJ1104/365))+(INDEX(Variables!$B$8:$D$8,IFERROR(MATCH(IF($B1104="Robusta","Robusta",(IF($B1104="","Arabica",$B1104))&amp;" - "&amp;(IF($C1104="","Commercial",$C1104))),Variables!$B$1:$D$1,0),1))*L1104/16.67)),""))</f>
        <v>-73.232667205794343</v>
      </c>
    </row>
    <row r="1105" spans="1:63">
      <c r="A1105" s="13" t="s">
        <v>103</v>
      </c>
      <c r="B1105" s="13" t="s">
        <v>104</v>
      </c>
      <c r="C1105" s="13" t="s">
        <v>292</v>
      </c>
      <c r="D1105" s="31">
        <v>46122</v>
      </c>
      <c r="E1105" s="31">
        <v>46143</v>
      </c>
      <c r="F1105" s="31">
        <v>46173</v>
      </c>
      <c r="G1105" s="13">
        <v>3787528</v>
      </c>
      <c r="J1105" s="13" t="s">
        <v>236</v>
      </c>
      <c r="K1105" s="13" t="s">
        <v>2752</v>
      </c>
      <c r="L1105" s="13">
        <v>15</v>
      </c>
      <c r="M1105" s="13">
        <v>0</v>
      </c>
      <c r="N1105" s="13" t="s">
        <v>2753</v>
      </c>
      <c r="O1105" s="13" t="s">
        <v>771</v>
      </c>
      <c r="P1105" s="13">
        <v>10010</v>
      </c>
      <c r="R1105" s="13" t="s">
        <v>671</v>
      </c>
      <c r="S1105" s="13" t="s">
        <v>2372</v>
      </c>
      <c r="T1105" s="13" t="s">
        <v>2372</v>
      </c>
      <c r="U1105" s="13" t="s">
        <v>182</v>
      </c>
      <c r="V1105" s="23">
        <v>232</v>
      </c>
      <c r="W1105" s="44">
        <f>IF($AX1105="Cancelled","",IFERROR(((V1105+INDEX(Variables!$B$6:$D$6,IFERROR(MATCH(IF($B1105="Robusta","Robusta",(IF($B1105="","Arabica",$B1105))&amp;" - "&amp;(IF($C1105="","Commercial",$C1105))),Variables!$B$1:$D$1,0),1)))*22.0462)*(L1105/16.67),""))</f>
        <v>10371.10380323935</v>
      </c>
      <c r="Y1105" s="13" t="str">
        <f>IF($AX1105="Cancelled","",IF(X1105="","",IFERROR(IF(INDEX(Variables!$B$38:$B$47,MATCH(X1105,Variables!$A$38:$A$47,0))="Yes","Yes","No"),"No")))</f>
        <v/>
      </c>
      <c r="Z1105" s="31"/>
      <c r="AC1105" s="13" t="str">
        <f t="shared" si="53"/>
        <v/>
      </c>
      <c r="AF1105" s="71">
        <v>46168</v>
      </c>
      <c r="AG1105" s="36">
        <f>IF($AX1105="Cancelled","",IFERROR(IF(F1105="","",F1105-Variables!$B$13),""))</f>
        <v>46158</v>
      </c>
      <c r="AH1105" s="13" t="str">
        <f>IF($AX1105="Cancelled","",IFERROR(IF(AB1105="","",(AVERAGE(E1105:F1105)-AB1105)-Variables!$B$14),""))</f>
        <v/>
      </c>
      <c r="AJ1105" s="47">
        <v>46195</v>
      </c>
      <c r="AK1105" s="14">
        <f>IF($AX1105="Cancelled","",IFERROR(IF(AJ1105="","",IF(AND(AB1105="",AF1105=""),"",IF(AF1105&gt;AB1105,AF1105+Variables!$B$15+Variables!$B$16+Variables!$B$17-AJ1105,AB1105+Variables!$B$16+Variables!$B$17-AJ1105))),""))</f>
        <v>-12</v>
      </c>
      <c r="AL1105" s="48" t="s">
        <v>114</v>
      </c>
      <c r="AM1105" s="13" t="s">
        <v>1784</v>
      </c>
      <c r="AN1105" s="13" t="s">
        <v>2373</v>
      </c>
      <c r="AP1105" s="39"/>
      <c r="AR1105" s="13" t="s">
        <v>2374</v>
      </c>
      <c r="AS1105" s="31">
        <v>46203</v>
      </c>
      <c r="AU1105" s="31">
        <v>46234</v>
      </c>
      <c r="AV1105" s="13" t="e">
        <v>#N/A</v>
      </c>
      <c r="AW1105" s="31">
        <v>46234</v>
      </c>
      <c r="AX1105" s="13" t="str">
        <f>IF(ISNUMBER(SEARCH("cancel",#REF!)),"Cancelled",IF(AND(AS1105&lt;&gt;"",AU1105&lt;&gt;"",AW1105&lt;&gt;""),"Closed","Open"))</f>
        <v>Closed</v>
      </c>
      <c r="AY1105" s="24" t="str">
        <f t="shared" si="52"/>
        <v>All dates received</v>
      </c>
      <c r="BD1105" s="13">
        <f>IF($AX1105="Cancelled","",IFERROR(IF(OR(AS1105="",AJ1105=""),"",(AJ1105+Variables!$B$18-AS1105)),""))</f>
        <v>7</v>
      </c>
      <c r="BE1105" s="13">
        <f>IF($AX1105="Cancelled","",IFERROR(IF(OR(AW1105="",AS1105=""),"",(AS1105+Variables!$B$19)-AW1105),""))</f>
        <v>-26</v>
      </c>
      <c r="BF1105" s="44">
        <f>IF($AX1105="Cancelled","",IFERROR(W1105*INDEX(Variables!$B$7:$D$7,IFERROR(MATCH(IF($B1105="Robusta","Robusta",(IF($B1105="","Arabica",$B1105))&amp;" - "&amp;(IF($C1105="","Commercial",$C1105))),Variables!$B$1:$D$1,0),1))*(BE1105/365),""))</f>
        <v>-47.637099537513016</v>
      </c>
      <c r="BG1105" s="44" t="str">
        <f>IF($AX1105="Cancelled","",IFERROR((W1105*INDEX(Variables!$B$7:$D$7,IFERROR(MATCH(IF($B1105="Robusta","Robusta",(IF($B1105="","Arabica",$B1105))&amp;" - "&amp;(IF($C1105="","Commercial",$C1105))),Variables!$B$1:$D$1,0),1))*IFERROR(IF(AB1105="","",(AVERAGE(E1105:F1105)-AB1105)-Variables!$B$14),"")/365)+(L1105/16.67*INDEX(Variables!$B$8:$D$8,IFERROR(MATCH(IF($B1105="Robusta","Robusta",(IF($B1105="","Arabica",$B1105))&amp;" - "&amp;(IF($C1105="","Commercial",$C1105))),Variables!$B$1:$D$1,0),1))*IFERROR(IF(AB1105="","",(AVERAGE(E1105:F1105)-AB1105)-Variables!$B$14),""))+(W1105*INDEX(Variables!$B$9:$D$9,IFERROR(MATCH(IF($B1105="Robusta","Robusta",(IF($B1105="","Arabica",$B1105))&amp;" - "&amp;(IF($C1105="","Commercial",$C1105))),Variables!$B$1:$D$1,0),1))*IFERROR(IF(AB1105="","",(AVERAGE(E1105:F1105)-AB1105)-Variables!$B$14),"")/365),""))</f>
        <v/>
      </c>
      <c r="BH1105" s="44">
        <f>IF($AX1105="Cancelled","",IFERROR((W1105*INDEX(Variables!$B$7:$D$7,IFERROR(MATCH(IF($B1105="Robusta","Robusta",(IF($B1105="","Arabica",$B1105))&amp;" - "&amp;(IF($C1105="","Commercial",$C1105))),Variables!$B$1:$D$1,0),1))*AK1105/365)+(L1105/16.67*INDEX(Variables!$B$8:$D$8,IFERROR(MATCH(IF($B1105="Robusta","Robusta",(IF($B1105="","Arabica",$B1105))&amp;" - "&amp;(IF($C1105="","Commercial",$C1105))),Variables!$B$1:$D$1,0),1))*AK1105)+(W1105*INDEX(Variables!$B$9:$D$9,IFERROR(MATCH(IF($B1105="Robusta","Robusta",(IF($B1105="","Arabica",$B1105))&amp;" - "&amp;(IF($C1105="","Commercial",$C1105))),Variables!$B$1:$D$1,0),1))*AK1105/365),""))</f>
        <v>-31.269800161738303</v>
      </c>
      <c r="BI1105" s="44">
        <f>IF($AX1105="Cancelled","",IFERROR((W1105*INDEX(Variables!$B$7:$D$7,IFERROR(MATCH(IF($B1105="Robusta","Robusta",(IF($B1105="","Arabica",$B1105))&amp;" - "&amp;(IF($C1105="","Commercial",$C1105))),Variables!$B$1:$D$1,0),1))*BD1105/365)+(L1105/16.67*INDEX(Variables!$B$8:$D$8,IFERROR(MATCH(IF($B1105="Robusta","Robusta",(IF($B1105="","Arabica",$B1105))&amp;" - "&amp;(IF($C1105="","Commercial",$C1105))),Variables!$B$1:$D$1,0),1))*BD1105)+(W1105*INDEX(Variables!$B$9:$D$9,IFERROR(MATCH(IF($B1105="Robusta","Robusta",(IF($B1105="","Arabica",$B1105))&amp;" - "&amp;(IF($C1105="","Commercial",$C1105))),Variables!$B$1:$D$1,0),1))*BD1105/365),""))</f>
        <v>18.240716761014006</v>
      </c>
      <c r="BJ1105" s="44">
        <f t="shared" si="54"/>
        <v>-30</v>
      </c>
      <c r="BK1105" s="44">
        <f>IF($AX1105="Cancelled","",IFERROR(IF(BJ1105="","",(W1105*INDEX(Variables!$B$7:$D$7,IFERROR(MATCH(IF($B1105="Robusta","Robusta",(IF($B1105="","Arabica",$B1105))&amp;" - "&amp;(IF($C1105="","Commercial",$C1105))),Variables!$B$1:$D$1,0),1))*(BJ1105/365))+(W1105*INDEX(Variables!$B$9:$D$9,IFERROR(MATCH(IF($B1105="Robusta","Robusta",(IF($B1105="","Arabica",$B1105))&amp;" - "&amp;(IF($C1105="","Commercial",$C1105))),Variables!$B$1:$D$1,0),1))*(BJ1105/365))+(INDEX(Variables!$B$8:$D$8,IFERROR(MATCH(IF($B1105="Robusta","Robusta",(IF($B1105="","Arabica",$B1105))&amp;" - "&amp;(IF($C1105="","Commercial",$C1105))),Variables!$B$1:$D$1,0),1))*L1105/16.67)),""))</f>
        <v>-54.92450040434575</v>
      </c>
    </row>
    <row r="1106" spans="1:63">
      <c r="A1106" s="13" t="s">
        <v>103</v>
      </c>
      <c r="B1106" s="13" t="s">
        <v>104</v>
      </c>
      <c r="C1106" s="13" t="s">
        <v>105</v>
      </c>
      <c r="D1106" s="31">
        <v>46122</v>
      </c>
      <c r="E1106" s="31">
        <v>46143</v>
      </c>
      <c r="F1106" s="31">
        <v>46173</v>
      </c>
      <c r="G1106" s="13">
        <v>3787529</v>
      </c>
      <c r="J1106" s="13" t="s">
        <v>236</v>
      </c>
      <c r="K1106" s="13" t="s">
        <v>2754</v>
      </c>
      <c r="L1106" s="13">
        <v>130</v>
      </c>
      <c r="M1106" s="13">
        <v>0</v>
      </c>
      <c r="N1106" s="13" t="s">
        <v>2755</v>
      </c>
      <c r="O1106" s="13" t="s">
        <v>1095</v>
      </c>
      <c r="P1106" s="13">
        <v>10135</v>
      </c>
      <c r="R1106" s="13" t="s">
        <v>239</v>
      </c>
      <c r="S1106" s="13" t="s">
        <v>2372</v>
      </c>
      <c r="T1106" s="13" t="s">
        <v>2756</v>
      </c>
      <c r="U1106" s="13" t="s">
        <v>182</v>
      </c>
      <c r="V1106" s="23">
        <v>-30</v>
      </c>
      <c r="W1106" s="44">
        <f>IF($AX1106="Cancelled","",IFERROR(((V1106+INDEX(Variables!$B$6:$D$6,IFERROR(MATCH(IF($B1106="Robusta","Robusta",(IF($B1106="","Arabica",$B1106))&amp;" - "&amp;(IF($C1106="","Commercial",$C1106))),Variables!$B$1:$D$1,0),1)))*22.0462)*(L1106/16.67),""))</f>
        <v>44838.294229154162</v>
      </c>
      <c r="X1106" s="55" t="s">
        <v>37</v>
      </c>
      <c r="Y1106" s="13" t="str">
        <f>IF($AX1106="Cancelled","",IF(X1106="","",IFERROR(IF(INDEX(Variables!$B$38:$B$47,MATCH(X1106,Variables!$A$38:$A$47,0))="Yes","Yes","No"),"No")))</f>
        <v>Yes</v>
      </c>
      <c r="Z1106" s="58">
        <v>46129</v>
      </c>
      <c r="AB1106" s="31">
        <v>46146</v>
      </c>
      <c r="AC1106" s="13" t="str">
        <f t="shared" si="53"/>
        <v>Approved</v>
      </c>
      <c r="AF1106" s="71">
        <v>46172</v>
      </c>
      <c r="AG1106" s="37">
        <f>IF($AX1106="Cancelled","",IFERROR(IF(F1106="","",F1106-Variables!$B$13),""))</f>
        <v>46158</v>
      </c>
      <c r="AH1106" s="13">
        <f>IF($AX1106="Cancelled","",IFERROR(IF(AB1106="","",(AVERAGE(E1106:F1106)-AB1106)-Variables!$B$14),""))</f>
        <v>-18</v>
      </c>
      <c r="AJ1106" s="47">
        <v>46195</v>
      </c>
      <c r="AK1106" s="14">
        <f>IF($AX1106="Cancelled","",IFERROR(IF(AJ1106="","",IF(AND(AB1106="",AF1106=""),"",IF(AF1106&gt;AB1106,AF1106+Variables!$B$15+Variables!$B$16+Variables!$B$17-AJ1106,AB1106+Variables!$B$16+Variables!$B$17-AJ1106))),""))</f>
        <v>-8</v>
      </c>
      <c r="AL1106" s="48" t="s">
        <v>114</v>
      </c>
      <c r="AM1106" s="13" t="s">
        <v>1784</v>
      </c>
      <c r="AN1106" s="13" t="s">
        <v>2373</v>
      </c>
      <c r="AP1106" s="39"/>
      <c r="AR1106" s="13" t="s">
        <v>2374</v>
      </c>
      <c r="AS1106" s="31">
        <v>46203</v>
      </c>
      <c r="AU1106" s="31">
        <v>46234</v>
      </c>
      <c r="AV1106" s="13" t="e">
        <v>#REF!</v>
      </c>
      <c r="AW1106" s="31">
        <v>46234</v>
      </c>
      <c r="AX1106" s="13" t="str">
        <f>IF(ISNUMBER(SEARCH("cancel",#REF!)),"Cancelled",IF(AND(AS1106&lt;&gt;"",AU1106&lt;&gt;"",AW1106&lt;&gt;""),"Closed","Open"))</f>
        <v>Closed</v>
      </c>
      <c r="AY1106" s="15" t="str">
        <f t="shared" si="52"/>
        <v>All dates received</v>
      </c>
      <c r="BD1106" s="13">
        <f>IF($AX1106="Cancelled","",IFERROR(IF(OR(AS1106="",AJ1106=""),"",(AJ1106+Variables!$B$18-AS1106)),""))</f>
        <v>7</v>
      </c>
      <c r="BE1106" s="13">
        <f>IF($AX1106="Cancelled","",IFERROR(IF(OR(AW1106="",AS1106=""),"",(AS1106+Variables!$B$19)-AW1106),""))</f>
        <v>-26</v>
      </c>
      <c r="BF1106" s="44">
        <f>IF($AX1106="Cancelled","",IFERROR(W1106*INDEX(Variables!$B$7:$D$7,IFERROR(MATCH(IF($B1106="Robusta","Robusta",(IF($B1106="","Arabica",$B1106))&amp;" - "&amp;(IF($C1106="","Commercial",$C1106))),Variables!$B$1:$D$1,0),1))*(BE1106/365),""))</f>
        <v>-205.95361167047201</v>
      </c>
      <c r="BG1106" s="44">
        <f>IF($AX1106="Cancelled","",IFERROR((W1106*INDEX(Variables!$B$7:$D$7,IFERROR(MATCH(IF($B1106="Robusta","Robusta",(IF($B1106="","Arabica",$B1106))&amp;" - "&amp;(IF($C1106="","Commercial",$C1106))),Variables!$B$1:$D$1,0),1))*IFERROR(IF(AB1106="","",(AVERAGE(E1106:F1106)-AB1106)-Variables!$B$14),"")/365)+(L1106/16.67*INDEX(Variables!$B$8:$D$8,IFERROR(MATCH(IF($B1106="Robusta","Robusta",(IF($B1106="","Arabica",$B1106))&amp;" - "&amp;(IF($C1106="","Commercial",$C1106))),Variables!$B$1:$D$1,0),1))*IFERROR(IF(AB1106="","",(AVERAGE(E1106:F1106)-AB1106)-Variables!$B$14),""))+(W1106*INDEX(Variables!$B$9:$D$9,IFERROR(MATCH(IF($B1106="Robusta","Robusta",(IF($B1106="","Arabica",$B1106))&amp;" - "&amp;(IF($C1106="","Commercial",$C1106))),Variables!$B$1:$D$1,0),1))*IFERROR(IF(AB1106="","",(AVERAGE(E1106:F1106)-AB1106)-Variables!$B$14),"")/365),""))</f>
        <v>-261.42144312998761</v>
      </c>
      <c r="BH1106" s="44">
        <f>IF($AX1106="Cancelled","",IFERROR((W1106*INDEX(Variables!$B$7:$D$7,IFERROR(MATCH(IF($B1106="Robusta","Robusta",(IF($B1106="","Arabica",$B1106))&amp;" - "&amp;(IF($C1106="","Commercial",$C1106))),Variables!$B$1:$D$1,0),1))*AK1106/365)+(L1106/16.67*INDEX(Variables!$B$8:$D$8,IFERROR(MATCH(IF($B1106="Robusta","Robusta",(IF($B1106="","Arabica",$B1106))&amp;" - "&amp;(IF($C1106="","Commercial",$C1106))),Variables!$B$1:$D$1,0),1))*AK1106)+(W1106*INDEX(Variables!$B$9:$D$9,IFERROR(MATCH(IF($B1106="Robusta","Robusta",(IF($B1106="","Arabica",$B1106))&amp;" - "&amp;(IF($C1106="","Commercial",$C1106))),Variables!$B$1:$D$1,0),1))*AK1106/365),""))</f>
        <v>-116.1873080577723</v>
      </c>
      <c r="BI1106" s="44">
        <f>IF($AX1106="Cancelled","",IFERROR((W1106*INDEX(Variables!$B$7:$D$7,IFERROR(MATCH(IF($B1106="Robusta","Robusta",(IF($B1106="","Arabica",$B1106))&amp;" - "&amp;(IF($C1106="","Commercial",$C1106))),Variables!$B$1:$D$1,0),1))*BD1106/365)+(L1106/16.67*INDEX(Variables!$B$8:$D$8,IFERROR(MATCH(IF($B1106="Robusta","Robusta",(IF($B1106="","Arabica",$B1106))&amp;" - "&amp;(IF($C1106="","Commercial",$C1106))),Variables!$B$1:$D$1,0),1))*BD1106)+(W1106*INDEX(Variables!$B$9:$D$9,IFERROR(MATCH(IF($B1106="Robusta","Robusta",(IF($B1106="","Arabica",$B1106))&amp;" - "&amp;(IF($C1106="","Commercial",$C1106))),Variables!$B$1:$D$1,0),1))*BD1106/365),""))</f>
        <v>101.66389455055075</v>
      </c>
      <c r="BJ1106" s="44">
        <f t="shared" si="54"/>
        <v>-30</v>
      </c>
      <c r="BK1106" s="44">
        <f>IF($AX1106="Cancelled","",IFERROR(IF(BJ1106="","",(W1106*INDEX(Variables!$B$7:$D$7,IFERROR(MATCH(IF($B1106="Robusta","Robusta",(IF($B1106="","Arabica",$B1106))&amp;" - "&amp;(IF($C1106="","Commercial",$C1106))),Variables!$B$1:$D$1,0),1))*(BJ1106/365))+(W1106*INDEX(Variables!$B$9:$D$9,IFERROR(MATCH(IF($B1106="Robusta","Robusta",(IF($B1106="","Arabica",$B1106))&amp;" - "&amp;(IF($C1106="","Commercial",$C1106))),Variables!$B$1:$D$1,0),1))*(BJ1106/365))+(INDEX(Variables!$B$8:$D$8,IFERROR(MATCH(IF($B1106="Robusta","Robusta",(IF($B1106="","Arabica",$B1106))&amp;" - "&amp;(IF($C1106="","Commercial",$C1106))),Variables!$B$1:$D$1,0),1))*L1106/16.67)),""))</f>
        <v>-234.20240521664607</v>
      </c>
    </row>
    <row r="1107" spans="1:63">
      <c r="A1107" s="13" t="s">
        <v>103</v>
      </c>
      <c r="B1107" s="13" t="s">
        <v>104</v>
      </c>
      <c r="C1107" s="13" t="s">
        <v>292</v>
      </c>
      <c r="D1107" s="31">
        <v>46122</v>
      </c>
      <c r="E1107" s="31">
        <v>46143</v>
      </c>
      <c r="F1107" s="31">
        <v>46173</v>
      </c>
      <c r="G1107" s="13">
        <v>3787530</v>
      </c>
      <c r="J1107" s="13" t="s">
        <v>2757</v>
      </c>
      <c r="K1107" s="13" t="s">
        <v>2758</v>
      </c>
      <c r="L1107" s="13">
        <v>9</v>
      </c>
      <c r="M1107" s="13">
        <v>1</v>
      </c>
      <c r="N1107" s="13" t="s">
        <v>2759</v>
      </c>
      <c r="O1107" s="13" t="s">
        <v>771</v>
      </c>
      <c r="P1107" s="13">
        <v>10010</v>
      </c>
      <c r="R1107" s="13" t="s">
        <v>671</v>
      </c>
      <c r="S1107" s="13" t="s">
        <v>1155</v>
      </c>
      <c r="T1107" s="13" t="s">
        <v>329</v>
      </c>
      <c r="U1107" s="13" t="s">
        <v>330</v>
      </c>
      <c r="V1107" s="23">
        <v>234</v>
      </c>
      <c r="W1107" s="44">
        <f>IF($AX1107="Cancelled","",IFERROR(((V1107+INDEX(Variables!$B$6:$D$6,IFERROR(MATCH(IF($B1107="Robusta","Robusta",(IF($B1107="","Arabica",$B1107))&amp;" - "&amp;(IF($C1107="","Commercial",$C1107))),Variables!$B$1:$D$1,0),1)))*22.0462)*(L1107/16.67),""))</f>
        <v>6246.4674169166155</v>
      </c>
      <c r="Y1107" s="13" t="str">
        <f>IF($AX1107="Cancelled","",IF(X1107="","",IFERROR(IF(INDEX(Variables!$B$38:$B$47,MATCH(X1107,Variables!$A$38:$A$47,0))="Yes","Yes","No"),"No")))</f>
        <v/>
      </c>
      <c r="Z1107" s="31"/>
      <c r="AC1107" s="13" t="str">
        <f t="shared" si="53"/>
        <v/>
      </c>
      <c r="AF1107" s="71">
        <v>46157</v>
      </c>
      <c r="AG1107" s="31">
        <f>IF($AX1107="Cancelled","",IFERROR(IF(F1107="","",F1107-Variables!$B$13),""))</f>
        <v>46158</v>
      </c>
      <c r="AH1107" s="13" t="str">
        <f>IF($AX1107="Cancelled","",IFERROR(IF(AB1107="","",(AVERAGE(E1107:F1107)-AB1107)-Variables!$B$14),""))</f>
        <v/>
      </c>
      <c r="AJ1107" s="47">
        <v>46162</v>
      </c>
      <c r="AK1107" s="14">
        <f>IF($AX1107="Cancelled","",IFERROR(IF(AJ1107="","",IF(AND(AB1107="",AF1107=""),"",IF(AF1107&gt;AB1107,AF1107+Variables!$B$15+Variables!$B$16+Variables!$B$17-AJ1107,AB1107+Variables!$B$16+Variables!$B$17-AJ1107))),""))</f>
        <v>10</v>
      </c>
      <c r="AL1107" s="48" t="s">
        <v>114</v>
      </c>
      <c r="AM1107" s="13" t="s">
        <v>1482</v>
      </c>
      <c r="AN1107" s="13" t="s">
        <v>2760</v>
      </c>
      <c r="AP1107" s="39" t="e">
        <v>#N/A</v>
      </c>
      <c r="AR1107" s="13" t="s">
        <v>2761</v>
      </c>
      <c r="AS1107" s="31">
        <v>46176</v>
      </c>
      <c r="AU1107" s="31">
        <v>46206</v>
      </c>
      <c r="AV1107" s="13" t="e">
        <v>#N/A</v>
      </c>
      <c r="AW1107" s="31">
        <v>46206</v>
      </c>
      <c r="AX1107" s="13" t="str">
        <f>IF(ISNUMBER(SEARCH("cancel",#REF!)),"Cancelled",IF(AND(AS1107&lt;&gt;"",AU1107&lt;&gt;"",AW1107&lt;&gt;""),"Closed","Open"))</f>
        <v>Closed</v>
      </c>
      <c r="AY1107" s="24" t="str">
        <f t="shared" si="52"/>
        <v>All dates received</v>
      </c>
      <c r="BD1107" s="13">
        <f>IF($AX1107="Cancelled","",IFERROR(IF(OR(AS1107="",AJ1107=""),"",(AJ1107+Variables!$B$18-AS1107)),""))</f>
        <v>1</v>
      </c>
      <c r="BE1107" s="13">
        <f>IF($AX1107="Cancelled","",IFERROR(IF(OR(AW1107="",AS1107=""),"",(AS1107+Variables!$B$19)-AW1107),""))</f>
        <v>-25</v>
      </c>
      <c r="BF1107" s="44">
        <f>IF($AX1107="Cancelled","",IFERROR(W1107*INDEX(Variables!$B$7:$D$7,IFERROR(MATCH(IF($B1107="Robusta","Robusta",(IF($B1107="","Arabica",$B1107))&amp;" - "&amp;(IF($C1107="","Commercial",$C1107))),Variables!$B$1:$D$1,0),1))*(BE1107/365),""))</f>
        <v>-27.588079539116482</v>
      </c>
      <c r="BG1107" s="44" t="str">
        <f>IF($AX1107="Cancelled","",IFERROR((W1107*INDEX(Variables!$B$7:$D$7,IFERROR(MATCH(IF($B1107="Robusta","Robusta",(IF($B1107="","Arabica",$B1107))&amp;" - "&amp;(IF($C1107="","Commercial",$C1107))),Variables!$B$1:$D$1,0),1))*IFERROR(IF(AB1107="","",(AVERAGE(E1107:F1107)-AB1107)-Variables!$B$14),"")/365)+(L1107/16.67*INDEX(Variables!$B$8:$D$8,IFERROR(MATCH(IF($B1107="Robusta","Robusta",(IF($B1107="","Arabica",$B1107))&amp;" - "&amp;(IF($C1107="","Commercial",$C1107))),Variables!$B$1:$D$1,0),1))*IFERROR(IF(AB1107="","",(AVERAGE(E1107:F1107)-AB1107)-Variables!$B$14),""))+(W1107*INDEX(Variables!$B$9:$D$9,IFERROR(MATCH(IF($B1107="Robusta","Robusta",(IF($B1107="","Arabica",$B1107))&amp;" - "&amp;(IF($C1107="","Commercial",$C1107))),Variables!$B$1:$D$1,0),1))*IFERROR(IF(AB1107="","",(AVERAGE(E1107:F1107)-AB1107)-Variables!$B$14),"")/365),""))</f>
        <v/>
      </c>
      <c r="BH1107" s="44">
        <f>IF($AX1107="Cancelled","",IFERROR((W1107*INDEX(Variables!$B$7:$D$7,IFERROR(MATCH(IF($B1107="Robusta","Robusta",(IF($B1107="","Arabica",$B1107))&amp;" - "&amp;(IF($C1107="","Commercial",$C1107))),Variables!$B$1:$D$1,0),1))*AK1107/365)+(L1107/16.67*INDEX(Variables!$B$8:$D$8,IFERROR(MATCH(IF($B1107="Robusta","Robusta",(IF($B1107="","Arabica",$B1107))&amp;" - "&amp;(IF($C1107="","Commercial",$C1107))),Variables!$B$1:$D$1,0),1))*AK1107)+(W1107*INDEX(Variables!$B$9:$D$9,IFERROR(MATCH(IF($B1107="Robusta","Robusta",(IF($B1107="","Arabica",$B1107))&amp;" - "&amp;(IF($C1107="","Commercial",$C1107))),Variables!$B$1:$D$1,0),1))*AK1107/365),""))</f>
        <v>15.67749725026804</v>
      </c>
      <c r="BI1107" s="44">
        <f>IF($AX1107="Cancelled","",IFERROR((W1107*INDEX(Variables!$B$7:$D$7,IFERROR(MATCH(IF($B1107="Robusta","Robusta",(IF($B1107="","Arabica",$B1107))&amp;" - "&amp;(IF($C1107="","Commercial",$C1107))),Variables!$B$1:$D$1,0),1))*BD1107/365)+(L1107/16.67*INDEX(Variables!$B$8:$D$8,IFERROR(MATCH(IF($B1107="Robusta","Robusta",(IF($B1107="","Arabica",$B1107))&amp;" - "&amp;(IF($C1107="","Commercial",$C1107))),Variables!$B$1:$D$1,0),1))*BD1107)+(W1107*INDEX(Variables!$B$9:$D$9,IFERROR(MATCH(IF($B1107="Robusta","Robusta",(IF($B1107="","Arabica",$B1107))&amp;" - "&amp;(IF($C1107="","Commercial",$C1107))),Variables!$B$1:$D$1,0),1))*BD1107/365),""))</f>
        <v>1.5677497250268042</v>
      </c>
      <c r="BJ1107" s="44">
        <f t="shared" si="54"/>
        <v>-3</v>
      </c>
      <c r="BK1107" s="44">
        <f>IF($AX1107="Cancelled","",IFERROR(IF(BJ1107="","",(W1107*INDEX(Variables!$B$7:$D$7,IFERROR(MATCH(IF($B1107="Robusta","Robusta",(IF($B1107="","Arabica",$B1107))&amp;" - "&amp;(IF($C1107="","Commercial",$C1107))),Variables!$B$1:$D$1,0),1))*(BJ1107/365))+(W1107*INDEX(Variables!$B$9:$D$9,IFERROR(MATCH(IF($B1107="Robusta","Robusta",(IF($B1107="","Arabica",$B1107))&amp;" - "&amp;(IF($C1107="","Commercial",$C1107))),Variables!$B$1:$D$1,0),1))*(BJ1107/365))+(INDEX(Variables!$B$8:$D$8,IFERROR(MATCH(IF($B1107="Robusta","Robusta",(IF($B1107="","Arabica",$B1107))&amp;" - "&amp;(IF($C1107="","Commercial",$C1107))),Variables!$B$1:$D$1,0),1))*L1107/16.67)),""))</f>
        <v>-2.9032491750804112</v>
      </c>
    </row>
    <row r="1108" spans="1:63">
      <c r="A1108" s="13" t="s">
        <v>103</v>
      </c>
      <c r="B1108" s="13" t="s">
        <v>104</v>
      </c>
      <c r="C1108" s="13" t="s">
        <v>292</v>
      </c>
      <c r="D1108" s="31">
        <v>46122</v>
      </c>
      <c r="E1108" s="31">
        <v>46143</v>
      </c>
      <c r="F1108" s="31">
        <v>46173</v>
      </c>
      <c r="G1108" s="13">
        <v>3787531</v>
      </c>
      <c r="J1108" s="13" t="s">
        <v>2757</v>
      </c>
      <c r="K1108" s="13" t="s">
        <v>2762</v>
      </c>
      <c r="L1108" s="13">
        <v>9</v>
      </c>
      <c r="M1108" s="13">
        <v>0</v>
      </c>
      <c r="N1108" s="13" t="s">
        <v>2763</v>
      </c>
      <c r="O1108" s="13" t="s">
        <v>771</v>
      </c>
      <c r="P1108" s="13">
        <v>10010</v>
      </c>
      <c r="R1108" s="13" t="s">
        <v>671</v>
      </c>
      <c r="S1108" s="13" t="s">
        <v>1155</v>
      </c>
      <c r="T1108" s="13" t="s">
        <v>329</v>
      </c>
      <c r="U1108" s="13" t="s">
        <v>330</v>
      </c>
      <c r="V1108" s="23">
        <v>208</v>
      </c>
      <c r="W1108" s="44">
        <f>IF($AX1108="Cancelled","",IFERROR(((V1108+INDEX(Variables!$B$6:$D$6,IFERROR(MATCH(IF($B1108="Robusta","Robusta",(IF($B1108="","Arabica",$B1108))&amp;" - "&amp;(IF($C1108="","Commercial",$C1108))),Variables!$B$1:$D$1,0),1)))*22.0462)*(L1108/16.67),""))</f>
        <v>5937.0006622675455</v>
      </c>
      <c r="Y1108" s="13" t="str">
        <f>IF($AX1108="Cancelled","",IF(X1108="","",IFERROR(IF(INDEX(Variables!$B$38:$B$47,MATCH(X1108,Variables!$A$38:$A$47,0))="Yes","Yes","No"),"No")))</f>
        <v/>
      </c>
      <c r="Z1108" s="31"/>
      <c r="AC1108" s="13" t="str">
        <f t="shared" si="53"/>
        <v/>
      </c>
      <c r="AF1108" s="71">
        <v>46157</v>
      </c>
      <c r="AG1108" s="31">
        <f>IF($AX1108="Cancelled","",IFERROR(IF(F1108="","",F1108-Variables!$B$13),""))</f>
        <v>46158</v>
      </c>
      <c r="AH1108" s="13" t="str">
        <f>IF($AX1108="Cancelled","",IFERROR(IF(AB1108="","",(AVERAGE(E1108:F1108)-AB1108)-Variables!$B$14),""))</f>
        <v/>
      </c>
      <c r="AJ1108" s="47">
        <v>46162</v>
      </c>
      <c r="AK1108" s="14">
        <f>IF($AX1108="Cancelled","",IFERROR(IF(AJ1108="","",IF(AND(AB1108="",AF1108=""),"",IF(AF1108&gt;AB1108,AF1108+Variables!$B$15+Variables!$B$16+Variables!$B$17-AJ1108,AB1108+Variables!$B$16+Variables!$B$17-AJ1108))),""))</f>
        <v>10</v>
      </c>
      <c r="AL1108" s="48" t="s">
        <v>114</v>
      </c>
      <c r="AM1108" s="13" t="s">
        <v>1482</v>
      </c>
      <c r="AN1108" s="13" t="s">
        <v>2760</v>
      </c>
      <c r="AP1108" s="39" t="e">
        <v>#N/A</v>
      </c>
      <c r="AR1108" s="13" t="s">
        <v>2761</v>
      </c>
      <c r="AS1108" s="31">
        <v>46176</v>
      </c>
      <c r="AU1108" s="31">
        <v>46206</v>
      </c>
      <c r="AV1108" s="13" t="e">
        <v>#N/A</v>
      </c>
      <c r="AW1108" s="31">
        <v>46206</v>
      </c>
      <c r="AX1108" s="13" t="str">
        <f>IF(ISNUMBER(SEARCH("cancel",#REF!)),"Cancelled",IF(AND(AS1108&lt;&gt;"",AU1108&lt;&gt;"",AW1108&lt;&gt;""),"Closed","Open"))</f>
        <v>Closed</v>
      </c>
      <c r="AY1108" s="24" t="str">
        <f t="shared" si="52"/>
        <v>All dates received</v>
      </c>
      <c r="BD1108" s="13">
        <f>IF($AX1108="Cancelled","",IFERROR(IF(OR(AS1108="",AJ1108=""),"",(AJ1108+Variables!$B$18-AS1108)),""))</f>
        <v>1</v>
      </c>
      <c r="BE1108" s="13">
        <f>IF($AX1108="Cancelled","",IFERROR(IF(OR(AW1108="",AS1108=""),"",(AS1108+Variables!$B$19)-AW1108),""))</f>
        <v>-25</v>
      </c>
      <c r="BF1108" s="44">
        <f>IF($AX1108="Cancelled","",IFERROR(W1108*INDEX(Variables!$B$7:$D$7,IFERROR(MATCH(IF($B1108="Robusta","Robusta",(IF($B1108="","Arabica",$B1108))&amp;" - "&amp;(IF($C1108="","Commercial",$C1108))),Variables!$B$1:$D$1,0),1))*(BE1108/365),""))</f>
        <v>-26.221292061949885</v>
      </c>
      <c r="BG1108" s="44" t="str">
        <f>IF($AX1108="Cancelled","",IFERROR((W1108*INDEX(Variables!$B$7:$D$7,IFERROR(MATCH(IF($B1108="Robusta","Robusta",(IF($B1108="","Arabica",$B1108))&amp;" - "&amp;(IF($C1108="","Commercial",$C1108))),Variables!$B$1:$D$1,0),1))*IFERROR(IF(AB1108="","",(AVERAGE(E1108:F1108)-AB1108)-Variables!$B$14),"")/365)+(L1108/16.67*INDEX(Variables!$B$8:$D$8,IFERROR(MATCH(IF($B1108="Robusta","Robusta",(IF($B1108="","Arabica",$B1108))&amp;" - "&amp;(IF($C1108="","Commercial",$C1108))),Variables!$B$1:$D$1,0),1))*IFERROR(IF(AB1108="","",(AVERAGE(E1108:F1108)-AB1108)-Variables!$B$14),""))+(W1108*INDEX(Variables!$B$9:$D$9,IFERROR(MATCH(IF($B1108="Robusta","Robusta",(IF($B1108="","Arabica",$B1108))&amp;" - "&amp;(IF($C1108="","Commercial",$C1108))),Variables!$B$1:$D$1,0),1))*IFERROR(IF(AB1108="","",(AVERAGE(E1108:F1108)-AB1108)-Variables!$B$14),"")/365),""))</f>
        <v/>
      </c>
      <c r="BH1108" s="44">
        <f>IF($AX1108="Cancelled","",IFERROR((W1108*INDEX(Variables!$B$7:$D$7,IFERROR(MATCH(IF($B1108="Robusta","Robusta",(IF($B1108="","Arabica",$B1108))&amp;" - "&amp;(IF($C1108="","Commercial",$C1108))),Variables!$B$1:$D$1,0),1))*AK1108/365)+(L1108/16.67*INDEX(Variables!$B$8:$D$8,IFERROR(MATCH(IF($B1108="Robusta","Robusta",(IF($B1108="","Arabica",$B1108))&amp;" - "&amp;(IF($C1108="","Commercial",$C1108))),Variables!$B$1:$D$1,0),1))*AK1108)+(W1108*INDEX(Variables!$B$9:$D$9,IFERROR(MATCH(IF($B1108="Robusta","Robusta",(IF($B1108="","Arabica",$B1108))&amp;" - "&amp;(IF($C1108="","Commercial",$C1108))),Variables!$B$1:$D$1,0),1))*AK1108/365),""))</f>
        <v>15.123734048082502</v>
      </c>
      <c r="BI1108" s="44">
        <f>IF($AX1108="Cancelled","",IFERROR((W1108*INDEX(Variables!$B$7:$D$7,IFERROR(MATCH(IF($B1108="Robusta","Robusta",(IF($B1108="","Arabica",$B1108))&amp;" - "&amp;(IF($C1108="","Commercial",$C1108))),Variables!$B$1:$D$1,0),1))*BD1108/365)+(L1108/16.67*INDEX(Variables!$B$8:$D$8,IFERROR(MATCH(IF($B1108="Robusta","Robusta",(IF($B1108="","Arabica",$B1108))&amp;" - "&amp;(IF($C1108="","Commercial",$C1108))),Variables!$B$1:$D$1,0),1))*BD1108)+(W1108*INDEX(Variables!$B$9:$D$9,IFERROR(MATCH(IF($B1108="Robusta","Robusta",(IF($B1108="","Arabica",$B1108))&amp;" - "&amp;(IF($C1108="","Commercial",$C1108))),Variables!$B$1:$D$1,0),1))*BD1108/365),""))</f>
        <v>1.5123734048082504</v>
      </c>
      <c r="BJ1108" s="44">
        <f t="shared" si="54"/>
        <v>-3</v>
      </c>
      <c r="BK1108" s="44">
        <f>IF($AX1108="Cancelled","",IFERROR(IF(BJ1108="","",(W1108*INDEX(Variables!$B$7:$D$7,IFERROR(MATCH(IF($B1108="Robusta","Robusta",(IF($B1108="","Arabica",$B1108))&amp;" - "&amp;(IF($C1108="","Commercial",$C1108))),Variables!$B$1:$D$1,0),1))*(BJ1108/365))+(W1108*INDEX(Variables!$B$9:$D$9,IFERROR(MATCH(IF($B1108="Robusta","Robusta",(IF($B1108="","Arabica",$B1108))&amp;" - "&amp;(IF($C1108="","Commercial",$C1108))),Variables!$B$1:$D$1,0),1))*(BJ1108/365))+(INDEX(Variables!$B$8:$D$8,IFERROR(MATCH(IF($B1108="Robusta","Robusta",(IF($B1108="","Arabica",$B1108))&amp;" - "&amp;(IF($C1108="","Commercial",$C1108))),Variables!$B$1:$D$1,0),1))*L1108/16.67)),""))</f>
        <v>-2.73712021442475</v>
      </c>
    </row>
    <row r="1109" spans="1:63">
      <c r="A1109" s="13" t="s">
        <v>103</v>
      </c>
      <c r="B1109" s="13" t="s">
        <v>104</v>
      </c>
      <c r="C1109" s="13" t="s">
        <v>292</v>
      </c>
      <c r="D1109" s="31">
        <v>46122</v>
      </c>
      <c r="E1109" s="31">
        <v>46143</v>
      </c>
      <c r="F1109" s="31">
        <v>46173</v>
      </c>
      <c r="G1109" s="13">
        <v>3787532</v>
      </c>
      <c r="J1109" s="13" t="s">
        <v>2757</v>
      </c>
      <c r="K1109" s="13" t="s">
        <v>2764</v>
      </c>
      <c r="L1109" s="13">
        <v>9</v>
      </c>
      <c r="M1109" s="13">
        <v>0</v>
      </c>
      <c r="N1109" s="13" t="s">
        <v>2765</v>
      </c>
      <c r="O1109" s="13" t="s">
        <v>771</v>
      </c>
      <c r="P1109" s="13">
        <v>10010</v>
      </c>
      <c r="R1109" s="13" t="s">
        <v>671</v>
      </c>
      <c r="S1109" s="13" t="s">
        <v>1155</v>
      </c>
      <c r="T1109" s="13" t="s">
        <v>329</v>
      </c>
      <c r="U1109" s="13" t="s">
        <v>330</v>
      </c>
      <c r="V1109" s="23">
        <v>204</v>
      </c>
      <c r="W1109" s="44">
        <f>IF($AX1109="Cancelled","",IFERROR(((V1109+INDEX(Variables!$B$6:$D$6,IFERROR(MATCH(IF($B1109="Robusta","Robusta",(IF($B1109="","Arabica",$B1109))&amp;" - "&amp;(IF($C1109="","Commercial",$C1109))),Variables!$B$1:$D$1,0),1)))*22.0462)*(L1109/16.67),""))</f>
        <v>5889.3903923215348</v>
      </c>
      <c r="Y1109" s="13" t="str">
        <f>IF($AX1109="Cancelled","",IF(X1109="","",IFERROR(IF(INDEX(Variables!$B$38:$B$47,MATCH(X1109,Variables!$A$38:$A$47,0))="Yes","Yes","No"),"No")))</f>
        <v/>
      </c>
      <c r="Z1109" s="31"/>
      <c r="AC1109" s="13" t="str">
        <f t="shared" si="53"/>
        <v/>
      </c>
      <c r="AF1109" s="71">
        <v>46157</v>
      </c>
      <c r="AG1109" s="31">
        <f>IF($AX1109="Cancelled","",IFERROR(IF(F1109="","",F1109-Variables!$B$13),""))</f>
        <v>46158</v>
      </c>
      <c r="AH1109" s="13" t="str">
        <f>IF($AX1109="Cancelled","",IFERROR(IF(AB1109="","",(AVERAGE(E1109:F1109)-AB1109)-Variables!$B$14),""))</f>
        <v/>
      </c>
      <c r="AJ1109" s="47">
        <v>46162</v>
      </c>
      <c r="AK1109" s="14">
        <f>IF($AX1109="Cancelled","",IFERROR(IF(AJ1109="","",IF(AND(AB1109="",AF1109=""),"",IF(AF1109&gt;AB1109,AF1109+Variables!$B$15+Variables!$B$16+Variables!$B$17-AJ1109,AB1109+Variables!$B$16+Variables!$B$17-AJ1109))),""))</f>
        <v>10</v>
      </c>
      <c r="AL1109" s="48" t="s">
        <v>114</v>
      </c>
      <c r="AM1109" s="13" t="s">
        <v>1482</v>
      </c>
      <c r="AN1109" s="13" t="s">
        <v>2760</v>
      </c>
      <c r="AP1109" s="39" t="e">
        <v>#N/A</v>
      </c>
      <c r="AR1109" s="13" t="s">
        <v>2761</v>
      </c>
      <c r="AS1109" s="31">
        <v>46176</v>
      </c>
      <c r="AU1109" s="31">
        <v>46206</v>
      </c>
      <c r="AV1109" s="13" t="e">
        <v>#N/A</v>
      </c>
      <c r="AW1109" s="31">
        <v>46206</v>
      </c>
      <c r="AX1109" s="13" t="str">
        <f>IF(ISNUMBER(SEARCH("cancel",#REF!)),"Cancelled",IF(AND(AS1109&lt;&gt;"",AU1109&lt;&gt;"",AW1109&lt;&gt;""),"Closed","Open"))</f>
        <v>Closed</v>
      </c>
      <c r="AY1109" s="24" t="str">
        <f t="shared" si="52"/>
        <v>All dates received</v>
      </c>
      <c r="BD1109" s="13">
        <f>IF($AX1109="Cancelled","",IFERROR(IF(OR(AS1109="",AJ1109=""),"",(AJ1109+Variables!$B$18-AS1109)),""))</f>
        <v>1</v>
      </c>
      <c r="BE1109" s="13">
        <f>IF($AX1109="Cancelled","",IFERROR(IF(OR(AW1109="",AS1109=""),"",(AS1109+Variables!$B$19)-AW1109),""))</f>
        <v>-25</v>
      </c>
      <c r="BF1109" s="44">
        <f>IF($AX1109="Cancelled","",IFERROR(W1109*INDEX(Variables!$B$7:$D$7,IFERROR(MATCH(IF($B1109="Robusta","Robusta",(IF($B1109="","Arabica",$B1109))&amp;" - "&amp;(IF($C1109="","Commercial",$C1109))),Variables!$B$1:$D$1,0),1))*(BE1109/365),""))</f>
        <v>-26.011017065462717</v>
      </c>
      <c r="BG1109" s="44" t="str">
        <f>IF($AX1109="Cancelled","",IFERROR((W1109*INDEX(Variables!$B$7:$D$7,IFERROR(MATCH(IF($B1109="Robusta","Robusta",(IF($B1109="","Arabica",$B1109))&amp;" - "&amp;(IF($C1109="","Commercial",$C1109))),Variables!$B$1:$D$1,0),1))*IFERROR(IF(AB1109="","",(AVERAGE(E1109:F1109)-AB1109)-Variables!$B$14),"")/365)+(L1109/16.67*INDEX(Variables!$B$8:$D$8,IFERROR(MATCH(IF($B1109="Robusta","Robusta",(IF($B1109="","Arabica",$B1109))&amp;" - "&amp;(IF($C1109="","Commercial",$C1109))),Variables!$B$1:$D$1,0),1))*IFERROR(IF(AB1109="","",(AVERAGE(E1109:F1109)-AB1109)-Variables!$B$14),""))+(W1109*INDEX(Variables!$B$9:$D$9,IFERROR(MATCH(IF($B1109="Robusta","Robusta",(IF($B1109="","Arabica",$B1109))&amp;" - "&amp;(IF($C1109="","Commercial",$C1109))),Variables!$B$1:$D$1,0),1))*IFERROR(IF(AB1109="","",(AVERAGE(E1109:F1109)-AB1109)-Variables!$B$14),"")/365),""))</f>
        <v/>
      </c>
      <c r="BH1109" s="44">
        <f>IF($AX1109="Cancelled","",IFERROR((W1109*INDEX(Variables!$B$7:$D$7,IFERROR(MATCH(IF($B1109="Robusta","Robusta",(IF($B1109="","Arabica",$B1109))&amp;" - "&amp;(IF($C1109="","Commercial",$C1109))),Variables!$B$1:$D$1,0),1))*AK1109/365)+(L1109/16.67*INDEX(Variables!$B$8:$D$8,IFERROR(MATCH(IF($B1109="Robusta","Robusta",(IF($B1109="","Arabica",$B1109))&amp;" - "&amp;(IF($C1109="","Commercial",$C1109))),Variables!$B$1:$D$1,0),1))*AK1109)+(W1109*INDEX(Variables!$B$9:$D$9,IFERROR(MATCH(IF($B1109="Robusta","Robusta",(IF($B1109="","Arabica",$B1109))&amp;" - "&amp;(IF($C1109="","Commercial",$C1109))),Variables!$B$1:$D$1,0),1))*AK1109/365),""))</f>
        <v>15.038539709284729</v>
      </c>
      <c r="BI1109" s="44">
        <f>IF($AX1109="Cancelled","",IFERROR((W1109*INDEX(Variables!$B$7:$D$7,IFERROR(MATCH(IF($B1109="Robusta","Robusta",(IF($B1109="","Arabica",$B1109))&amp;" - "&amp;(IF($C1109="","Commercial",$C1109))),Variables!$B$1:$D$1,0),1))*BD1109/365)+(L1109/16.67*INDEX(Variables!$B$8:$D$8,IFERROR(MATCH(IF($B1109="Robusta","Robusta",(IF($B1109="","Arabica",$B1109))&amp;" - "&amp;(IF($C1109="","Commercial",$C1109))),Variables!$B$1:$D$1,0),1))*BD1109)+(W1109*INDEX(Variables!$B$9:$D$9,IFERROR(MATCH(IF($B1109="Robusta","Robusta",(IF($B1109="","Arabica",$B1109))&amp;" - "&amp;(IF($C1109="","Commercial",$C1109))),Variables!$B$1:$D$1,0),1))*BD1109/365),""))</f>
        <v>1.5038539709284728</v>
      </c>
      <c r="BJ1109" s="44">
        <f t="shared" si="54"/>
        <v>-3</v>
      </c>
      <c r="BK1109" s="44">
        <f>IF($AX1109="Cancelled","",IFERROR(IF(BJ1109="","",(W1109*INDEX(Variables!$B$7:$D$7,IFERROR(MATCH(IF($B1109="Robusta","Robusta",(IF($B1109="","Arabica",$B1109))&amp;" - "&amp;(IF($C1109="","Commercial",$C1109))),Variables!$B$1:$D$1,0),1))*(BJ1109/365))+(W1109*INDEX(Variables!$B$9:$D$9,IFERROR(MATCH(IF($B1109="Robusta","Robusta",(IF($B1109="","Arabica",$B1109))&amp;" - "&amp;(IF($C1109="","Commercial",$C1109))),Variables!$B$1:$D$1,0),1))*(BJ1109/365))+(INDEX(Variables!$B$8:$D$8,IFERROR(MATCH(IF($B1109="Robusta","Robusta",(IF($B1109="","Arabica",$B1109))&amp;" - "&amp;(IF($C1109="","Commercial",$C1109))),Variables!$B$1:$D$1,0),1))*L1109/16.67)),""))</f>
        <v>-2.711561912785418</v>
      </c>
    </row>
    <row r="1110" spans="1:63">
      <c r="A1110" s="13" t="s">
        <v>103</v>
      </c>
      <c r="B1110" s="13" t="s">
        <v>104</v>
      </c>
      <c r="C1110" s="13" t="s">
        <v>105</v>
      </c>
      <c r="D1110" s="31">
        <v>46122</v>
      </c>
      <c r="E1110" s="31">
        <v>46143</v>
      </c>
      <c r="F1110" s="31">
        <v>46173</v>
      </c>
      <c r="G1110" s="13">
        <v>3787533</v>
      </c>
      <c r="J1110" s="13" t="s">
        <v>2757</v>
      </c>
      <c r="K1110" s="13" t="s">
        <v>2766</v>
      </c>
      <c r="L1110" s="13">
        <v>272</v>
      </c>
      <c r="M1110" s="13">
        <v>0</v>
      </c>
      <c r="N1110" s="13" t="s">
        <v>2767</v>
      </c>
      <c r="O1110" s="13" t="s">
        <v>355</v>
      </c>
      <c r="P1110" s="13">
        <v>10060</v>
      </c>
      <c r="R1110" s="13" t="s">
        <v>239</v>
      </c>
      <c r="S1110" s="13" t="s">
        <v>1155</v>
      </c>
      <c r="T1110" s="13" t="s">
        <v>329</v>
      </c>
      <c r="U1110" s="13" t="s">
        <v>330</v>
      </c>
      <c r="V1110" s="23">
        <v>53</v>
      </c>
      <c r="W1110" s="44">
        <f>IF($AX1110="Cancelled","",IFERROR(((V1110+INDEX(Variables!$B$6:$D$6,IFERROR(MATCH(IF($B1110="Robusta","Robusta",(IF($B1110="","Arabica",$B1110))&amp;" - "&amp;(IF($C1110="","Commercial",$C1110))),Variables!$B$1:$D$1,0),1)))*22.0462)*(L1110/16.67),""))</f>
        <v>123672.43721175764</v>
      </c>
      <c r="X1110" s="55" t="s">
        <v>37</v>
      </c>
      <c r="Y1110" s="13" t="str">
        <f>IF($AX1110="Cancelled","",IF(X1110="","",IFERROR(IF(INDEX(Variables!$B$38:$B$47,MATCH(X1110,Variables!$A$38:$A$47,0))="Yes","Yes","No"),"No")))</f>
        <v>Yes</v>
      </c>
      <c r="Z1110" s="58">
        <v>46126</v>
      </c>
      <c r="AB1110" s="31">
        <v>46140</v>
      </c>
      <c r="AC1110" s="13" t="str">
        <f t="shared" si="53"/>
        <v>Approved</v>
      </c>
      <c r="AF1110" s="71">
        <v>46156</v>
      </c>
      <c r="AG1110" s="37">
        <f>IF($AX1110="Cancelled","",IFERROR(IF(F1110="","",F1110-Variables!$B$13),""))</f>
        <v>46158</v>
      </c>
      <c r="AH1110" s="13">
        <f>IF($AX1110="Cancelled","",IFERROR(IF(AB1110="","",(AVERAGE(E1110:F1110)-AB1110)-Variables!$B$14),""))</f>
        <v>-12</v>
      </c>
      <c r="AJ1110" s="47">
        <v>46162</v>
      </c>
      <c r="AK1110" s="14">
        <f>IF($AX1110="Cancelled","",IFERROR(IF(AJ1110="","",IF(AND(AB1110="",AF1110=""),"",IF(AF1110&gt;AB1110,AF1110+Variables!$B$15+Variables!$B$16+Variables!$B$17-AJ1110,AB1110+Variables!$B$16+Variables!$B$17-AJ1110))),""))</f>
        <v>9</v>
      </c>
      <c r="AL1110" s="48" t="s">
        <v>114</v>
      </c>
      <c r="AM1110" s="13" t="s">
        <v>1840</v>
      </c>
      <c r="AN1110" s="13" t="s">
        <v>2760</v>
      </c>
      <c r="AP1110" s="39">
        <v>46180</v>
      </c>
      <c r="AR1110" s="13" t="s">
        <v>2768</v>
      </c>
      <c r="AS1110" s="31">
        <v>46180</v>
      </c>
      <c r="AU1110" s="31">
        <v>46206</v>
      </c>
      <c r="AV1110" s="13" t="e">
        <v>#REF!</v>
      </c>
      <c r="AW1110" s="31">
        <v>46206</v>
      </c>
      <c r="AX1110" s="13" t="str">
        <f>IF(ISNUMBER(SEARCH("cancel",#REF!)),"Cancelled",IF(AND(AS1110&lt;&gt;"",AU1110&lt;&gt;"",AW1110&lt;&gt;""),"Closed","Open"))</f>
        <v>Closed</v>
      </c>
      <c r="AY1110" s="15" t="str">
        <f t="shared" si="52"/>
        <v>All dates received</v>
      </c>
      <c r="BD1110" s="13">
        <f>IF($AX1110="Cancelled","",IFERROR(IF(OR(AS1110="",AJ1110=""),"",(AJ1110+Variables!$B$18-AS1110)),""))</f>
        <v>-3</v>
      </c>
      <c r="BE1110" s="13">
        <f>IF($AX1110="Cancelled","",IFERROR(IF(OR(AW1110="",AS1110=""),"",(AS1110+Variables!$B$19)-AW1110),""))</f>
        <v>-21</v>
      </c>
      <c r="BF1110" s="44">
        <f>IF($AX1110="Cancelled","",IFERROR(W1110*INDEX(Variables!$B$7:$D$7,IFERROR(MATCH(IF($B1110="Robusta","Robusta",(IF($B1110="","Arabica",$B1110))&amp;" - "&amp;(IF($C1110="","Commercial",$C1110))),Variables!$B$1:$D$1,0),1))*(BE1110/365),""))</f>
        <v>-458.8166779350575</v>
      </c>
      <c r="BG1110" s="44">
        <f>IF($AX1110="Cancelled","",IFERROR((W1110*INDEX(Variables!$B$7:$D$7,IFERROR(MATCH(IF($B1110="Robusta","Robusta",(IF($B1110="","Arabica",$B1110))&amp;" - "&amp;(IF($C1110="","Commercial",$C1110))),Variables!$B$1:$D$1,0),1))*IFERROR(IF(AB1110="","",(AVERAGE(E1110:F1110)-AB1110)-Variables!$B$14),"")/365)+(L1110/16.67*INDEX(Variables!$B$8:$D$8,IFERROR(MATCH(IF($B1110="Robusta","Robusta",(IF($B1110="","Arabica",$B1110))&amp;" - "&amp;(IF($C1110="","Commercial",$C1110))),Variables!$B$1:$D$1,0),1))*IFERROR(IF(AB1110="","",(AVERAGE(E1110:F1110)-AB1110)-Variables!$B$14),""))+(W1110*INDEX(Variables!$B$9:$D$9,IFERROR(MATCH(IF($B1110="Robusta","Robusta",(IF($B1110="","Arabica",$B1110))&amp;" - "&amp;(IF($C1110="","Commercial",$C1110))),Variables!$B$1:$D$1,0),1))*IFERROR(IF(AB1110="","",(AVERAGE(E1110:F1110)-AB1110)-Variables!$B$14),"")/365),""))</f>
        <v>-428.7609773533195</v>
      </c>
      <c r="BH1110" s="44">
        <f>IF($AX1110="Cancelled","",IFERROR((W1110*INDEX(Variables!$B$7:$D$7,IFERROR(MATCH(IF($B1110="Robusta","Robusta",(IF($B1110="","Arabica",$B1110))&amp;" - "&amp;(IF($C1110="","Commercial",$C1110))),Variables!$B$1:$D$1,0),1))*AK1110/365)+(L1110/16.67*INDEX(Variables!$B$8:$D$8,IFERROR(MATCH(IF($B1110="Robusta","Robusta",(IF($B1110="","Arabica",$B1110))&amp;" - "&amp;(IF($C1110="","Commercial",$C1110))),Variables!$B$1:$D$1,0),1))*AK1110)+(W1110*INDEX(Variables!$B$9:$D$9,IFERROR(MATCH(IF($B1110="Robusta","Robusta",(IF($B1110="","Arabica",$B1110))&amp;" - "&amp;(IF($C1110="","Commercial",$C1110))),Variables!$B$1:$D$1,0),1))*AK1110/365),""))</f>
        <v>321.57073301498963</v>
      </c>
      <c r="BI1110" s="44">
        <f>IF($AX1110="Cancelled","",IFERROR((W1110*INDEX(Variables!$B$7:$D$7,IFERROR(MATCH(IF($B1110="Robusta","Robusta",(IF($B1110="","Arabica",$B1110))&amp;" - "&amp;(IF($C1110="","Commercial",$C1110))),Variables!$B$1:$D$1,0),1))*BD1110/365)+(L1110/16.67*INDEX(Variables!$B$8:$D$8,IFERROR(MATCH(IF($B1110="Robusta","Robusta",(IF($B1110="","Arabica",$B1110))&amp;" - "&amp;(IF($C1110="","Commercial",$C1110))),Variables!$B$1:$D$1,0),1))*BD1110)+(W1110*INDEX(Variables!$B$9:$D$9,IFERROR(MATCH(IF($B1110="Robusta","Robusta",(IF($B1110="","Arabica",$B1110))&amp;" - "&amp;(IF($C1110="","Commercial",$C1110))),Variables!$B$1:$D$1,0),1))*BD1110/365),""))</f>
        <v>-107.19024433832988</v>
      </c>
      <c r="BJ1110" s="44">
        <f t="shared" si="54"/>
        <v>-7</v>
      </c>
      <c r="BK1110" s="44">
        <f>IF($AX1110="Cancelled","",IFERROR(IF(BJ1110="","",(W1110*INDEX(Variables!$B$7:$D$7,IFERROR(MATCH(IF($B1110="Robusta","Robusta",(IF($B1110="","Arabica",$B1110))&amp;" - "&amp;(IF($C1110="","Commercial",$C1110))),Variables!$B$1:$D$1,0),1))*(BJ1110/365))+(W1110*INDEX(Variables!$B$9:$D$9,IFERROR(MATCH(IF($B1110="Robusta","Robusta",(IF($B1110="","Arabica",$B1110))&amp;" - "&amp;(IF($C1110="","Commercial",$C1110))),Variables!$B$1:$D$1,0),1))*(BJ1110/365))+(INDEX(Variables!$B$8:$D$8,IFERROR(MATCH(IF($B1110="Robusta","Robusta",(IF($B1110="","Arabica",$B1110))&amp;" - "&amp;(IF($C1110="","Commercial",$C1110))),Variables!$B$1:$D$1,0),1))*L1110/16.67)),""))</f>
        <v>-141.31057012276969</v>
      </c>
    </row>
    <row r="1111" spans="1:63">
      <c r="A1111" s="13" t="s">
        <v>103</v>
      </c>
      <c r="B1111" s="13" t="s">
        <v>104</v>
      </c>
      <c r="C1111" s="13" t="s">
        <v>105</v>
      </c>
      <c r="D1111" s="31">
        <v>46122</v>
      </c>
      <c r="E1111" s="31">
        <v>46174</v>
      </c>
      <c r="F1111" s="31">
        <v>46203</v>
      </c>
      <c r="G1111" s="13">
        <v>3787534</v>
      </c>
      <c r="J1111" s="13" t="s">
        <v>2541</v>
      </c>
      <c r="K1111" s="13">
        <v>5606</v>
      </c>
      <c r="L1111" s="13">
        <v>960</v>
      </c>
      <c r="M1111" s="13">
        <v>3</v>
      </c>
      <c r="N1111" s="13" t="s">
        <v>2769</v>
      </c>
      <c r="O1111" s="13" t="s">
        <v>405</v>
      </c>
      <c r="P1111" s="13">
        <v>10150</v>
      </c>
      <c r="R1111" s="13" t="s">
        <v>110</v>
      </c>
      <c r="S1111" s="13" t="s">
        <v>272</v>
      </c>
      <c r="T1111" s="13" t="s">
        <v>112</v>
      </c>
      <c r="U1111" s="13" t="s">
        <v>113</v>
      </c>
      <c r="V1111" s="23">
        <v>-77</v>
      </c>
      <c r="W1111" s="44">
        <f>IF($AX1111="Cancelled","",IFERROR(((V1111+INDEX(Variables!$B$6:$D$6,IFERROR(MATCH(IF($B1111="Robusta","Robusta",(IF($B1111="","Arabica",$B1111))&amp;" - "&amp;(IF($C1111="","Commercial",$C1111))),Variables!$B$1:$D$1,0),1)))*22.0462)*(L1111/16.67),""))</f>
        <v>271442.01905218954</v>
      </c>
      <c r="X1111" s="55" t="s">
        <v>37</v>
      </c>
      <c r="Y1111" s="13" t="str">
        <f>IF($AX1111="Cancelled","",IF(X1111="","",IFERROR(IF(INDEX(Variables!$B$38:$B$47,MATCH(X1111,Variables!$A$38:$A$47,0))="Yes","Yes","No"),"No")))</f>
        <v>Yes</v>
      </c>
      <c r="Z1111" s="58">
        <v>46163</v>
      </c>
      <c r="AB1111" s="31">
        <v>46237</v>
      </c>
      <c r="AC1111" s="13" t="str">
        <f t="shared" si="53"/>
        <v>Approved</v>
      </c>
      <c r="AF1111" s="71">
        <v>46232</v>
      </c>
      <c r="AG1111" s="37">
        <f>IF($AX1111="Cancelled","",IFERROR(IF(F1111="","",F1111-Variables!$B$13),""))</f>
        <v>46188</v>
      </c>
      <c r="AH1111" s="13">
        <f>IF($AX1111="Cancelled","",IFERROR(IF(AB1111="","",(AVERAGE(E1111:F1111)-AB1111)-Variables!$B$14),""))</f>
        <v>-78.5</v>
      </c>
      <c r="AJ1111" s="47">
        <v>46240</v>
      </c>
      <c r="AK1111" s="14">
        <f>IF($AX1111="Cancelled","",IFERROR(IF(AJ1111="","",IF(AND(AB1111="",AF1111=""),"",IF(AF1111&gt;AB1111,AF1111+Variables!$B$15+Variables!$B$16+Variables!$B$17-AJ1111,AB1111+Variables!$B$16+Variables!$B$17-AJ1111))),""))</f>
        <v>5</v>
      </c>
      <c r="AL1111" s="48" t="s">
        <v>114</v>
      </c>
      <c r="AM1111" s="13" t="s">
        <v>134</v>
      </c>
      <c r="AN1111" s="13" t="s">
        <v>2521</v>
      </c>
      <c r="AP1111" s="39">
        <v>46256</v>
      </c>
      <c r="AR1111" s="13" t="s">
        <v>2770</v>
      </c>
      <c r="AS1111" s="31">
        <v>46256</v>
      </c>
      <c r="AU1111" s="31">
        <v>46282</v>
      </c>
      <c r="AV1111" s="13" t="s">
        <v>865</v>
      </c>
      <c r="AW1111" s="39">
        <v>46282</v>
      </c>
      <c r="AX1111" s="13" t="str">
        <f>IF(ISNUMBER(SEARCH("cancel",#REF!)),"Cancelled",IF(AND(AS1111&lt;&gt;"",AU1111&lt;&gt;"",AW1111&lt;&gt;""),"Closed","Open"))</f>
        <v>Closed</v>
      </c>
      <c r="AY1111" s="15" t="str">
        <f t="shared" si="52"/>
        <v>All dates received</v>
      </c>
      <c r="AZ1111" s="13" t="s">
        <v>3047</v>
      </c>
      <c r="BA1111" s="13" t="s">
        <v>3062</v>
      </c>
      <c r="BB1111" s="13" t="s">
        <v>3055</v>
      </c>
      <c r="BC1111" s="13" t="s">
        <v>3298</v>
      </c>
      <c r="BD1111" s="13">
        <f>IF($AX1111="Cancelled","",IFERROR(IF(OR(AS1111="",AJ1111=""),"",(AJ1111+Variables!$B$18-AS1111)),""))</f>
        <v>-1</v>
      </c>
      <c r="BE1111" s="13">
        <f>IF($AX1111="Cancelled","",IFERROR(IF(OR(AW1111="",AS1111=""),"",(AS1111+Variables!$B$19)-AW1111),""))</f>
        <v>-21</v>
      </c>
      <c r="BF1111" s="44">
        <f>IF($AX1111="Cancelled","",IFERROR(W1111*INDEX(Variables!$B$7:$D$7,IFERROR(MATCH(IF($B1111="Robusta","Robusta",(IF($B1111="","Arabica",$B1111))&amp;" - "&amp;(IF($C1111="","Commercial",$C1111))),Variables!$B$1:$D$1,0),1))*(BE1111/365),""))</f>
        <v>-1007.0321911766276</v>
      </c>
      <c r="BG1111" s="44">
        <f>IF($AX1111="Cancelled","",IFERROR((W1111*INDEX(Variables!$B$7:$D$7,IFERROR(MATCH(IF($B1111="Robusta","Robusta",(IF($B1111="","Arabica",$B1111))&amp;" - "&amp;(IF($C1111="","Commercial",$C1111))),Variables!$B$1:$D$1,0),1))*IFERROR(IF(AB1111="","",(AVERAGE(E1111:F1111)-AB1111)-Variables!$B$14),"")/365)+(L1111/16.67*INDEX(Variables!$B$8:$D$8,IFERROR(MATCH(IF($B1111="Robusta","Robusta",(IF($B1111="","Arabica",$B1111))&amp;" - "&amp;(IF($C1111="","Commercial",$C1111))),Variables!$B$1:$D$1,0),1))*IFERROR(IF(AB1111="","",(AVERAGE(E1111:F1111)-AB1111)-Variables!$B$14),""))+(W1111*INDEX(Variables!$B$9:$D$9,IFERROR(MATCH(IF($B1111="Robusta","Robusta",(IF($B1111="","Arabica",$B1111))&amp;" - "&amp;(IF($C1111="","Commercial",$C1111))),Variables!$B$1:$D$1,0),1))*IFERROR(IF(AB1111="","",(AVERAGE(E1111:F1111)-AB1111)-Variables!$B$14),"")/365),""))</f>
        <v>-7580.9123902525125</v>
      </c>
      <c r="BH1111" s="44">
        <f>IF($AX1111="Cancelled","",IFERROR((W1111*INDEX(Variables!$B$7:$D$7,IFERROR(MATCH(IF($B1111="Robusta","Robusta",(IF($B1111="","Arabica",$B1111))&amp;" - "&amp;(IF($C1111="","Commercial",$C1111))),Variables!$B$1:$D$1,0),1))*AK1111/365)+(L1111/16.67*INDEX(Variables!$B$8:$D$8,IFERROR(MATCH(IF($B1111="Robusta","Robusta",(IF($B1111="","Arabica",$B1111))&amp;" - "&amp;(IF($C1111="","Commercial",$C1111))),Variables!$B$1:$D$1,0),1))*AK1111)+(W1111*INDEX(Variables!$B$9:$D$9,IFERROR(MATCH(IF($B1111="Robusta","Robusta",(IF($B1111="","Arabica",$B1111))&amp;" - "&amp;(IF($C1111="","Commercial",$C1111))),Variables!$B$1:$D$1,0),1))*AK1111/365),""))</f>
        <v>482.86066179952309</v>
      </c>
      <c r="BI1111" s="44">
        <f>IF($AX1111="Cancelled","",IFERROR((W1111*INDEX(Variables!$B$7:$D$7,IFERROR(MATCH(IF($B1111="Robusta","Robusta",(IF($B1111="","Arabica",$B1111))&amp;" - "&amp;(IF($C1111="","Commercial",$C1111))),Variables!$B$1:$D$1,0),1))*BD1111/365)+(L1111/16.67*INDEX(Variables!$B$8:$D$8,IFERROR(MATCH(IF($B1111="Robusta","Robusta",(IF($B1111="","Arabica",$B1111))&amp;" - "&amp;(IF($C1111="","Commercial",$C1111))),Variables!$B$1:$D$1,0),1))*BD1111)+(W1111*INDEX(Variables!$B$9:$D$9,IFERROR(MATCH(IF($B1111="Robusta","Robusta",(IF($B1111="","Arabica",$B1111))&amp;" - "&amp;(IF($C1111="","Commercial",$C1111))),Variables!$B$1:$D$1,0),1))*BD1111/365),""))</f>
        <v>-96.5721323599046</v>
      </c>
      <c r="BJ1111" s="44">
        <f t="shared" si="54"/>
        <v>-53</v>
      </c>
      <c r="BK1111" s="44">
        <f>IF($AX1111="Cancelled","",IFERROR(IF(BJ1111="","",(W1111*INDEX(Variables!$B$7:$D$7,IFERROR(MATCH(IF($B1111="Robusta","Robusta",(IF($B1111="","Arabica",$B1111))&amp;" - "&amp;(IF($C1111="","Commercial",$C1111))),Variables!$B$1:$D$1,0),1))*(BJ1111/365))+(W1111*INDEX(Variables!$B$9:$D$9,IFERROR(MATCH(IF($B1111="Robusta","Robusta",(IF($B1111="","Arabica",$B1111))&amp;" - "&amp;(IF($C1111="","Commercial",$C1111))),Variables!$B$1:$D$1,0),1))*(BJ1111/365))+(INDEX(Variables!$B$8:$D$8,IFERROR(MATCH(IF($B1111="Robusta","Robusta",(IF($B1111="","Arabica",$B1111))&amp;" - "&amp;(IF($C1111="","Commercial",$C1111))),Variables!$B$1:$D$1,0),1))*L1111/16.67)),""))</f>
        <v>-2526.3230150749446</v>
      </c>
    </row>
    <row r="1112" spans="1:63">
      <c r="A1112" s="13" t="s">
        <v>103</v>
      </c>
      <c r="B1112" s="13" t="s">
        <v>104</v>
      </c>
      <c r="C1112" s="13" t="s">
        <v>105</v>
      </c>
      <c r="D1112" s="31">
        <v>46125</v>
      </c>
      <c r="E1112" s="31">
        <v>46143</v>
      </c>
      <c r="F1112" s="31">
        <v>46173</v>
      </c>
      <c r="G1112" s="13">
        <v>3787535</v>
      </c>
      <c r="J1112" s="13" t="s">
        <v>2771</v>
      </c>
      <c r="K1112" s="13">
        <v>5544</v>
      </c>
      <c r="L1112" s="13">
        <v>320</v>
      </c>
      <c r="M1112" s="13">
        <v>1</v>
      </c>
      <c r="N1112" s="13" t="s">
        <v>2772</v>
      </c>
      <c r="O1112" s="13" t="s">
        <v>355</v>
      </c>
      <c r="P1112" s="13">
        <v>10060</v>
      </c>
      <c r="R1112" s="13" t="s">
        <v>239</v>
      </c>
      <c r="S1112" s="13" t="s">
        <v>180</v>
      </c>
      <c r="T1112" s="13" t="s">
        <v>253</v>
      </c>
      <c r="U1112" s="13" t="s">
        <v>182</v>
      </c>
      <c r="V1112" s="23">
        <v>50</v>
      </c>
      <c r="W1112" s="44">
        <f>IF($AX1112="Cancelled","",IFERROR(((V1112+INDEX(Variables!$B$6:$D$6,IFERROR(MATCH(IF($B1112="Robusta","Robusta",(IF($B1112="","Arabica",$B1112))&amp;" - "&amp;(IF($C1112="","Commercial",$C1112))),Variables!$B$1:$D$1,0),1)))*22.0462)*(L1112/16.67),""))</f>
        <v>144227.3777564487</v>
      </c>
      <c r="X1112" s="55" t="s">
        <v>37</v>
      </c>
      <c r="Y1112" s="13" t="str">
        <f>IF($AX1112="Cancelled","",IF(X1112="","",IFERROR(IF(INDEX(Variables!$B$38:$B$47,MATCH(X1112,Variables!$A$38:$A$47,0))="Yes","Yes","No"),"No")))</f>
        <v>Yes</v>
      </c>
      <c r="Z1112" s="58">
        <v>46133</v>
      </c>
      <c r="AB1112" s="31">
        <v>46154</v>
      </c>
      <c r="AC1112" s="13" t="str">
        <f t="shared" si="53"/>
        <v>Approved</v>
      </c>
      <c r="AF1112" s="71">
        <v>46183</v>
      </c>
      <c r="AG1112" s="37">
        <f>IF($AX1112="Cancelled","",IFERROR(IF(F1112="","",F1112-Variables!$B$13),""))</f>
        <v>46158</v>
      </c>
      <c r="AH1112" s="13">
        <f>IF($AX1112="Cancelled","",IFERROR(IF(AB1112="","",(AVERAGE(E1112:F1112)-AB1112)-Variables!$B$14),""))</f>
        <v>-26</v>
      </c>
      <c r="AJ1112" s="47">
        <v>46192</v>
      </c>
      <c r="AK1112" s="14">
        <f>IF($AX1112="Cancelled","",IFERROR(IF(AJ1112="","",IF(AND(AB1112="",AF1112=""),"",IF(AF1112&gt;AB1112,AF1112+Variables!$B$15+Variables!$B$16+Variables!$B$17-AJ1112,AB1112+Variables!$B$16+Variables!$B$17-AJ1112))),""))</f>
        <v>6</v>
      </c>
      <c r="AL1112" s="48" t="s">
        <v>114</v>
      </c>
      <c r="AM1112" s="13" t="s">
        <v>1840</v>
      </c>
      <c r="AN1112" s="13" t="s">
        <v>2191</v>
      </c>
      <c r="AP1112" s="39">
        <v>46213</v>
      </c>
      <c r="AR1112" s="13" t="s">
        <v>2773</v>
      </c>
      <c r="AS1112" s="31">
        <v>46213</v>
      </c>
      <c r="AU1112" s="31">
        <v>46230</v>
      </c>
      <c r="AV1112" s="13">
        <v>1995552230</v>
      </c>
      <c r="AW1112" s="31">
        <v>46230</v>
      </c>
      <c r="AX1112" s="13" t="str">
        <f>IF(ISNUMBER(SEARCH("cancel",#REF!)),"Cancelled",IF(AND(AS1112&lt;&gt;"",AU1112&lt;&gt;"",AW1112&lt;&gt;""),"Closed","Open"))</f>
        <v>Closed</v>
      </c>
      <c r="AY1112" s="15" t="str">
        <f t="shared" si="52"/>
        <v>All dates received</v>
      </c>
      <c r="BD1112" s="13">
        <f>IF($AX1112="Cancelled","",IFERROR(IF(OR(AS1112="",AJ1112=""),"",(AJ1112+Variables!$B$18-AS1112)),""))</f>
        <v>-6</v>
      </c>
      <c r="BE1112" s="13">
        <f>IF($AX1112="Cancelled","",IFERROR(IF(OR(AW1112="",AS1112=""),"",(AS1112+Variables!$B$19)-AW1112),""))</f>
        <v>-12</v>
      </c>
      <c r="BF1112" s="44">
        <f>IF($AX1112="Cancelled","",IFERROR(W1112*INDEX(Variables!$B$7:$D$7,IFERROR(MATCH(IF($B1112="Robusta","Robusta",(IF($B1112="","Arabica",$B1112))&amp;" - "&amp;(IF($C1112="","Commercial",$C1112))),Variables!$B$1:$D$1,0),1))*(BE1112/365),""))</f>
        <v>-305.75666689206167</v>
      </c>
      <c r="BG1112" s="44">
        <f>IF($AX1112="Cancelled","",IFERROR((W1112*INDEX(Variables!$B$7:$D$7,IFERROR(MATCH(IF($B1112="Robusta","Robusta",(IF($B1112="","Arabica",$B1112))&amp;" - "&amp;(IF($C1112="","Commercial",$C1112))),Variables!$B$1:$D$1,0),1))*IFERROR(IF(AB1112="","",(AVERAGE(E1112:F1112)-AB1112)-Variables!$B$14),"")/365)+(L1112/16.67*INDEX(Variables!$B$8:$D$8,IFERROR(MATCH(IF($B1112="Robusta","Robusta",(IF($B1112="","Arabica",$B1112))&amp;" - "&amp;(IF($C1112="","Commercial",$C1112))),Variables!$B$1:$D$1,0),1))*IFERROR(IF(AB1112="","",(AVERAGE(E1112:F1112)-AB1112)-Variables!$B$14),""))+(W1112*INDEX(Variables!$B$9:$D$9,IFERROR(MATCH(IF($B1112="Robusta","Robusta",(IF($B1112="","Arabica",$B1112))&amp;" - "&amp;(IF($C1112="","Commercial",$C1112))),Variables!$B$1:$D$1,0),1))*IFERROR(IF(AB1112="","",(AVERAGE(E1112:F1112)-AB1112)-Variables!$B$14),"")/365),""))</f>
        <v>-1087.0133308616194</v>
      </c>
      <c r="BH1112" s="44">
        <f>IF($AX1112="Cancelled","",IFERROR((W1112*INDEX(Variables!$B$7:$D$7,IFERROR(MATCH(IF($B1112="Robusta","Robusta",(IF($B1112="","Arabica",$B1112))&amp;" - "&amp;(IF($C1112="","Commercial",$C1112))),Variables!$B$1:$D$1,0),1))*AK1112/365)+(L1112/16.67*INDEX(Variables!$B$8:$D$8,IFERROR(MATCH(IF($B1112="Robusta","Robusta",(IF($B1112="","Arabica",$B1112))&amp;" - "&amp;(IF($C1112="","Commercial",$C1112))),Variables!$B$1:$D$1,0),1))*AK1112)+(W1112*INDEX(Variables!$B$9:$D$9,IFERROR(MATCH(IF($B1112="Robusta","Robusta",(IF($B1112="","Arabica",$B1112))&amp;" - "&amp;(IF($C1112="","Commercial",$C1112))),Variables!$B$1:$D$1,0),1))*AK1112/365),""))</f>
        <v>250.84923019883527</v>
      </c>
      <c r="BI1112" s="44">
        <f>IF($AX1112="Cancelled","",IFERROR((W1112*INDEX(Variables!$B$7:$D$7,IFERROR(MATCH(IF($B1112="Robusta","Robusta",(IF($B1112="","Arabica",$B1112))&amp;" - "&amp;(IF($C1112="","Commercial",$C1112))),Variables!$B$1:$D$1,0),1))*BD1112/365)+(L1112/16.67*INDEX(Variables!$B$8:$D$8,IFERROR(MATCH(IF($B1112="Robusta","Robusta",(IF($B1112="","Arabica",$B1112))&amp;" - "&amp;(IF($C1112="","Commercial",$C1112))),Variables!$B$1:$D$1,0),1))*BD1112)+(W1112*INDEX(Variables!$B$9:$D$9,IFERROR(MATCH(IF($B1112="Robusta","Robusta",(IF($B1112="","Arabica",$B1112))&amp;" - "&amp;(IF($C1112="","Commercial",$C1112))),Variables!$B$1:$D$1,0),1))*BD1112/365),""))</f>
        <v>-250.84923019883527</v>
      </c>
      <c r="BJ1112" s="44">
        <f t="shared" si="54"/>
        <v>-40</v>
      </c>
      <c r="BK1112" s="44">
        <f>IF($AX1112="Cancelled","",IFERROR(IF(BJ1112="","",(W1112*INDEX(Variables!$B$7:$D$7,IFERROR(MATCH(IF($B1112="Robusta","Robusta",(IF($B1112="","Arabica",$B1112))&amp;" - "&amp;(IF($C1112="","Commercial",$C1112))),Variables!$B$1:$D$1,0),1))*(BJ1112/365))+(W1112*INDEX(Variables!$B$9:$D$9,IFERROR(MATCH(IF($B1112="Robusta","Robusta",(IF($B1112="","Arabica",$B1112))&amp;" - "&amp;(IF($C1112="","Commercial",$C1112))),Variables!$B$1:$D$1,0),1))*(BJ1112/365))+(INDEX(Variables!$B$8:$D$8,IFERROR(MATCH(IF($B1112="Robusta","Robusta",(IF($B1112="","Arabica",$B1112))&amp;" - "&amp;(IF($C1112="","Commercial",$C1112))),Variables!$B$1:$D$1,0),1))*L1112/16.67)),""))</f>
        <v>-1016.3282013255684</v>
      </c>
    </row>
    <row r="1113" spans="1:63">
      <c r="A1113" s="13" t="s">
        <v>103</v>
      </c>
      <c r="B1113" s="13" t="s">
        <v>104</v>
      </c>
      <c r="C1113" s="13" t="s">
        <v>105</v>
      </c>
      <c r="D1113" s="31">
        <v>46125</v>
      </c>
      <c r="E1113" s="31">
        <v>46143</v>
      </c>
      <c r="F1113" s="31">
        <v>46173</v>
      </c>
      <c r="G1113" s="13">
        <v>3787536</v>
      </c>
      <c r="J1113" s="13" t="s">
        <v>2771</v>
      </c>
      <c r="K1113" s="13">
        <v>5545</v>
      </c>
      <c r="L1113" s="13">
        <v>320</v>
      </c>
      <c r="M1113" s="13">
        <v>1</v>
      </c>
      <c r="N1113" s="13" t="s">
        <v>2774</v>
      </c>
      <c r="O1113" s="13" t="s">
        <v>355</v>
      </c>
      <c r="P1113" s="13">
        <v>10060</v>
      </c>
      <c r="R1113" s="13" t="s">
        <v>239</v>
      </c>
      <c r="S1113" s="13" t="s">
        <v>180</v>
      </c>
      <c r="T1113" s="13" t="s">
        <v>253</v>
      </c>
      <c r="U1113" s="13" t="s">
        <v>182</v>
      </c>
      <c r="V1113" s="23">
        <v>50</v>
      </c>
      <c r="W1113" s="44">
        <f>IF($AX1113="Cancelled","",IFERROR(((V1113+INDEX(Variables!$B$6:$D$6,IFERROR(MATCH(IF($B1113="Robusta","Robusta",(IF($B1113="","Arabica",$B1113))&amp;" - "&amp;(IF($C1113="","Commercial",$C1113))),Variables!$B$1:$D$1,0),1)))*22.0462)*(L1113/16.67),""))</f>
        <v>144227.3777564487</v>
      </c>
      <c r="X1113" s="55" t="s">
        <v>37</v>
      </c>
      <c r="Y1113" s="13" t="str">
        <f>IF($AX1113="Cancelled","",IF(X1113="","",IFERROR(IF(INDEX(Variables!$B$38:$B$47,MATCH(X1113,Variables!$A$38:$A$47,0))="Yes","Yes","No"),"No")))</f>
        <v>Yes</v>
      </c>
      <c r="Z1113" s="58">
        <v>46133</v>
      </c>
      <c r="AB1113" s="31">
        <v>46154</v>
      </c>
      <c r="AC1113" s="13" t="str">
        <f t="shared" si="53"/>
        <v>Approved</v>
      </c>
      <c r="AF1113" s="71">
        <v>46184</v>
      </c>
      <c r="AG1113" s="37">
        <f>IF($AX1113="Cancelled","",IFERROR(IF(F1113="","",F1113-Variables!$B$13),""))</f>
        <v>46158</v>
      </c>
      <c r="AH1113" s="13">
        <f>IF($AX1113="Cancelled","",IFERROR(IF(AB1113="","",(AVERAGE(E1113:F1113)-AB1113)-Variables!$B$14),""))</f>
        <v>-26</v>
      </c>
      <c r="AJ1113" s="47">
        <v>46192</v>
      </c>
      <c r="AK1113" s="14">
        <f>IF($AX1113="Cancelled","",IFERROR(IF(AJ1113="","",IF(AND(AB1113="",AF1113=""),"",IF(AF1113&gt;AB1113,AF1113+Variables!$B$15+Variables!$B$16+Variables!$B$17-AJ1113,AB1113+Variables!$B$16+Variables!$B$17-AJ1113))),""))</f>
        <v>7</v>
      </c>
      <c r="AL1113" s="48" t="s">
        <v>114</v>
      </c>
      <c r="AM1113" s="13" t="s">
        <v>1840</v>
      </c>
      <c r="AN1113" s="13" t="s">
        <v>2191</v>
      </c>
      <c r="AP1113" s="39">
        <v>46213</v>
      </c>
      <c r="AR1113" s="13" t="s">
        <v>2775</v>
      </c>
      <c r="AS1113" s="31">
        <v>46213</v>
      </c>
      <c r="AU1113" s="31">
        <v>46230</v>
      </c>
      <c r="AV1113" s="13" t="e">
        <v>#REF!</v>
      </c>
      <c r="AW1113" s="31">
        <v>46230</v>
      </c>
      <c r="AX1113" s="13" t="str">
        <f>IF(ISNUMBER(SEARCH("cancel",#REF!)),"Cancelled",IF(AND(AS1113&lt;&gt;"",AU1113&lt;&gt;"",AW1113&lt;&gt;""),"Closed","Open"))</f>
        <v>Closed</v>
      </c>
      <c r="AY1113" s="15" t="str">
        <f t="shared" si="52"/>
        <v>All dates received</v>
      </c>
      <c r="BD1113" s="13">
        <f>IF($AX1113="Cancelled","",IFERROR(IF(OR(AS1113="",AJ1113=""),"",(AJ1113+Variables!$B$18-AS1113)),""))</f>
        <v>-6</v>
      </c>
      <c r="BE1113" s="13">
        <f>IF($AX1113="Cancelled","",IFERROR(IF(OR(AW1113="",AS1113=""),"",(AS1113+Variables!$B$19)-AW1113),""))</f>
        <v>-12</v>
      </c>
      <c r="BF1113" s="44">
        <f>IF($AX1113="Cancelled","",IFERROR(W1113*INDEX(Variables!$B$7:$D$7,IFERROR(MATCH(IF($B1113="Robusta","Robusta",(IF($B1113="","Arabica",$B1113))&amp;" - "&amp;(IF($C1113="","Commercial",$C1113))),Variables!$B$1:$D$1,0),1))*(BE1113/365),""))</f>
        <v>-305.75666689206167</v>
      </c>
      <c r="BG1113" s="44">
        <f>IF($AX1113="Cancelled","",IFERROR((W1113*INDEX(Variables!$B$7:$D$7,IFERROR(MATCH(IF($B1113="Robusta","Robusta",(IF($B1113="","Arabica",$B1113))&amp;" - "&amp;(IF($C1113="","Commercial",$C1113))),Variables!$B$1:$D$1,0),1))*IFERROR(IF(AB1113="","",(AVERAGE(E1113:F1113)-AB1113)-Variables!$B$14),"")/365)+(L1113/16.67*INDEX(Variables!$B$8:$D$8,IFERROR(MATCH(IF($B1113="Robusta","Robusta",(IF($B1113="","Arabica",$B1113))&amp;" - "&amp;(IF($C1113="","Commercial",$C1113))),Variables!$B$1:$D$1,0),1))*IFERROR(IF(AB1113="","",(AVERAGE(E1113:F1113)-AB1113)-Variables!$B$14),""))+(W1113*INDEX(Variables!$B$9:$D$9,IFERROR(MATCH(IF($B1113="Robusta","Robusta",(IF($B1113="","Arabica",$B1113))&amp;" - "&amp;(IF($C1113="","Commercial",$C1113))),Variables!$B$1:$D$1,0),1))*IFERROR(IF(AB1113="","",(AVERAGE(E1113:F1113)-AB1113)-Variables!$B$14),"")/365),""))</f>
        <v>-1087.0133308616194</v>
      </c>
      <c r="BH1113" s="44">
        <f>IF($AX1113="Cancelled","",IFERROR((W1113*INDEX(Variables!$B$7:$D$7,IFERROR(MATCH(IF($B1113="Robusta","Robusta",(IF($B1113="","Arabica",$B1113))&amp;" - "&amp;(IF($C1113="","Commercial",$C1113))),Variables!$B$1:$D$1,0),1))*AK1113/365)+(L1113/16.67*INDEX(Variables!$B$8:$D$8,IFERROR(MATCH(IF($B1113="Robusta","Robusta",(IF($B1113="","Arabica",$B1113))&amp;" - "&amp;(IF($C1113="","Commercial",$C1113))),Variables!$B$1:$D$1,0),1))*AK1113)+(W1113*INDEX(Variables!$B$9:$D$9,IFERROR(MATCH(IF($B1113="Robusta","Robusta",(IF($B1113="","Arabica",$B1113))&amp;" - "&amp;(IF($C1113="","Commercial",$C1113))),Variables!$B$1:$D$1,0),1))*AK1113/365),""))</f>
        <v>292.65743523197449</v>
      </c>
      <c r="BI1113" s="44">
        <f>IF($AX1113="Cancelled","",IFERROR((W1113*INDEX(Variables!$B$7:$D$7,IFERROR(MATCH(IF($B1113="Robusta","Robusta",(IF($B1113="","Arabica",$B1113))&amp;" - "&amp;(IF($C1113="","Commercial",$C1113))),Variables!$B$1:$D$1,0),1))*BD1113/365)+(L1113/16.67*INDEX(Variables!$B$8:$D$8,IFERROR(MATCH(IF($B1113="Robusta","Robusta",(IF($B1113="","Arabica",$B1113))&amp;" - "&amp;(IF($C1113="","Commercial",$C1113))),Variables!$B$1:$D$1,0),1))*BD1113)+(W1113*INDEX(Variables!$B$9:$D$9,IFERROR(MATCH(IF($B1113="Robusta","Robusta",(IF($B1113="","Arabica",$B1113))&amp;" - "&amp;(IF($C1113="","Commercial",$C1113))),Variables!$B$1:$D$1,0),1))*BD1113/365),""))</f>
        <v>-250.84923019883527</v>
      </c>
      <c r="BJ1113" s="44">
        <f t="shared" si="54"/>
        <v>-40</v>
      </c>
      <c r="BK1113" s="44">
        <f>IF($AX1113="Cancelled","",IFERROR(IF(BJ1113="","",(W1113*INDEX(Variables!$B$7:$D$7,IFERROR(MATCH(IF($B1113="Robusta","Robusta",(IF($B1113="","Arabica",$B1113))&amp;" - "&amp;(IF($C1113="","Commercial",$C1113))),Variables!$B$1:$D$1,0),1))*(BJ1113/365))+(W1113*INDEX(Variables!$B$9:$D$9,IFERROR(MATCH(IF($B1113="Robusta","Robusta",(IF($B1113="","Arabica",$B1113))&amp;" - "&amp;(IF($C1113="","Commercial",$C1113))),Variables!$B$1:$D$1,0),1))*(BJ1113/365))+(INDEX(Variables!$B$8:$D$8,IFERROR(MATCH(IF($B1113="Robusta","Robusta",(IF($B1113="","Arabica",$B1113))&amp;" - "&amp;(IF($C1113="","Commercial",$C1113))),Variables!$B$1:$D$1,0),1))*L1113/16.67)),""))</f>
        <v>-1016.3282013255684</v>
      </c>
    </row>
    <row r="1114" spans="1:63">
      <c r="A1114" s="13" t="s">
        <v>103</v>
      </c>
      <c r="B1114" s="13" t="s">
        <v>104</v>
      </c>
      <c r="C1114" s="13" t="s">
        <v>292</v>
      </c>
      <c r="D1114" s="31">
        <v>46125</v>
      </c>
      <c r="E1114" s="31">
        <v>46113</v>
      </c>
      <c r="F1114" s="31">
        <v>46142</v>
      </c>
      <c r="G1114" s="13">
        <v>3787537</v>
      </c>
      <c r="J1114" s="13" t="s">
        <v>294</v>
      </c>
      <c r="K1114" s="13" t="s">
        <v>2776</v>
      </c>
      <c r="L1114" s="13">
        <v>20</v>
      </c>
      <c r="M1114" s="13">
        <v>0</v>
      </c>
      <c r="N1114" s="13" t="s">
        <v>2777</v>
      </c>
      <c r="O1114" s="13" t="s">
        <v>297</v>
      </c>
      <c r="P1114" s="13">
        <v>10020</v>
      </c>
      <c r="R1114" s="13" t="s">
        <v>384</v>
      </c>
      <c r="S1114" s="13" t="s">
        <v>299</v>
      </c>
      <c r="T1114" s="13" t="s">
        <v>305</v>
      </c>
      <c r="U1114" s="13" t="s">
        <v>125</v>
      </c>
      <c r="V1114" s="23">
        <v>215</v>
      </c>
      <c r="W1114" s="44">
        <f>IF($AX1114="Cancelled","",IFERROR(((V1114+INDEX(Variables!$B$6:$D$6,IFERROR(MATCH(IF($B1114="Robusta","Robusta",(IF($B1114="","Arabica",$B1114))&amp;" - "&amp;(IF($C1114="","Commercial",$C1114))),Variables!$B$1:$D$1,0),1)))*22.0462)*(L1114/16.67),""))</f>
        <v>13378.485854829032</v>
      </c>
      <c r="Y1114" s="13" t="str">
        <f>IF($AX1114="Cancelled","",IF(X1114="","",IFERROR(IF(INDEX(Variables!$B$38:$B$47,MATCH(X1114,Variables!$A$38:$A$47,0))="Yes","Yes","No"),"No")))</f>
        <v/>
      </c>
      <c r="Z1114" s="31"/>
      <c r="AC1114" s="13" t="str">
        <f t="shared" si="53"/>
        <v/>
      </c>
      <c r="AF1114" s="71">
        <v>46140</v>
      </c>
      <c r="AG1114" s="36">
        <f>IF($AX1114="Cancelled","",IFERROR(IF(F1114="","",F1114-Variables!$B$13),""))</f>
        <v>46127</v>
      </c>
      <c r="AH1114" s="13" t="str">
        <f>IF($AX1114="Cancelled","",IFERROR(IF(AB1114="","",(AVERAGE(E1114:F1114)-AB1114)-Variables!$B$14),""))</f>
        <v/>
      </c>
      <c r="AJ1114" s="47">
        <v>46142</v>
      </c>
      <c r="AK1114" s="14">
        <f>IF($AX1114="Cancelled","",IFERROR(IF(AJ1114="","",IF(AND(AB1114="",AF1114=""),"",IF(AF1114&gt;AB1114,AF1114+Variables!$B$15+Variables!$B$16+Variables!$B$17-AJ1114,AB1114+Variables!$B$16+Variables!$B$17-AJ1114))),""))</f>
        <v>13</v>
      </c>
      <c r="AL1114" s="48" t="s">
        <v>114</v>
      </c>
      <c r="AM1114" s="13" t="s">
        <v>1526</v>
      </c>
      <c r="AN1114" s="13" t="s">
        <v>2583</v>
      </c>
      <c r="AP1114" s="39" t="e">
        <v>#N/A</v>
      </c>
      <c r="AR1114" s="13" t="s">
        <v>2584</v>
      </c>
      <c r="AS1114" s="31">
        <v>46163</v>
      </c>
      <c r="AU1114" s="31">
        <v>46191</v>
      </c>
      <c r="AV1114" s="13" t="s">
        <v>2585</v>
      </c>
      <c r="AW1114" s="31">
        <v>46308</v>
      </c>
      <c r="AX1114" s="13" t="str">
        <f>IF(ISNUMBER(SEARCH("cancel",#REF!)),"Cancelled",IF(AND(AS1114&lt;&gt;"",AU1114&lt;&gt;"",AW1114&lt;&gt;""),"Closed","Open"))</f>
        <v>Closed</v>
      </c>
      <c r="AY1114" s="24" t="str">
        <f t="shared" si="52"/>
        <v>All dates received</v>
      </c>
      <c r="BD1114" s="13">
        <f>IF($AX1114="Cancelled","",IFERROR(IF(OR(AS1114="",AJ1114=""),"",(AJ1114+Variables!$B$18-AS1114)),""))</f>
        <v>-6</v>
      </c>
      <c r="BE1114" s="13">
        <f>IF($AX1114="Cancelled","",IFERROR(IF(OR(AW1114="",AS1114=""),"",(AS1114+Variables!$B$19)-AW1114),""))</f>
        <v>-140</v>
      </c>
      <c r="BF1114" s="44">
        <f>IF($AX1114="Cancelled","",IFERROR(W1114*INDEX(Variables!$B$7:$D$7,IFERROR(MATCH(IF($B1114="Robusta","Robusta",(IF($B1114="","Arabica",$B1114))&amp;" - "&amp;(IF($C1114="","Commercial",$C1114))),Variables!$B$1:$D$1,0),1))*(BE1114/365),""))</f>
        <v>-330.888734472208</v>
      </c>
      <c r="BG1114" s="44" t="str">
        <f>IF($AX1114="Cancelled","",IFERROR((W1114*INDEX(Variables!$B$7:$D$7,IFERROR(MATCH(IF($B1114="Robusta","Robusta",(IF($B1114="","Arabica",$B1114))&amp;" - "&amp;(IF($C1114="","Commercial",$C1114))),Variables!$B$1:$D$1,0),1))*IFERROR(IF(AB1114="","",(AVERAGE(E1114:F1114)-AB1114)-Variables!$B$14),"")/365)+(L1114/16.67*INDEX(Variables!$B$8:$D$8,IFERROR(MATCH(IF($B1114="Robusta","Robusta",(IF($B1114="","Arabica",$B1114))&amp;" - "&amp;(IF($C1114="","Commercial",$C1114))),Variables!$B$1:$D$1,0),1))*IFERROR(IF(AB1114="","",(AVERAGE(E1114:F1114)-AB1114)-Variables!$B$14),""))+(W1114*INDEX(Variables!$B$9:$D$9,IFERROR(MATCH(IF($B1114="Robusta","Robusta",(IF($B1114="","Arabica",$B1114))&amp;" - "&amp;(IF($C1114="","Commercial",$C1114))),Variables!$B$1:$D$1,0),1))*IFERROR(IF(AB1114="","",(AVERAGE(E1114:F1114)-AB1114)-Variables!$B$14),"")/365),""))</f>
        <v/>
      </c>
      <c r="BH1114" s="44">
        <f>IF($AX1114="Cancelled","",IFERROR((W1114*INDEX(Variables!$B$7:$D$7,IFERROR(MATCH(IF($B1114="Robusta","Robusta",(IF($B1114="","Arabica",$B1114))&amp;" - "&amp;(IF($C1114="","Commercial",$C1114))),Variables!$B$1:$D$1,0),1))*AK1114/365)+(L1114/16.67*INDEX(Variables!$B$8:$D$8,IFERROR(MATCH(IF($B1114="Robusta","Robusta",(IF($B1114="","Arabica",$B1114))&amp;" - "&amp;(IF($C1114="","Commercial",$C1114))),Variables!$B$1:$D$1,0),1))*AK1114)+(W1114*INDEX(Variables!$B$9:$D$9,IFERROR(MATCH(IF($B1114="Robusta","Robusta",(IF($B1114="","Arabica",$B1114))&amp;" - "&amp;(IF($C1114="","Commercial",$C1114))),Variables!$B$1:$D$1,0),1))*AK1114/365),""))</f>
        <v>44.121491962827086</v>
      </c>
      <c r="BI1114" s="44">
        <f>IF($AX1114="Cancelled","",IFERROR((W1114*INDEX(Variables!$B$7:$D$7,IFERROR(MATCH(IF($B1114="Robusta","Robusta",(IF($B1114="","Arabica",$B1114))&amp;" - "&amp;(IF($C1114="","Commercial",$C1114))),Variables!$B$1:$D$1,0),1))*BD1114/365)+(L1114/16.67*INDEX(Variables!$B$8:$D$8,IFERROR(MATCH(IF($B1114="Robusta","Robusta",(IF($B1114="","Arabica",$B1114))&amp;" - "&amp;(IF($C1114="","Commercial",$C1114))),Variables!$B$1:$D$1,0),1))*BD1114)+(W1114*INDEX(Variables!$B$9:$D$9,IFERROR(MATCH(IF($B1114="Robusta","Robusta",(IF($B1114="","Arabica",$B1114))&amp;" - "&amp;(IF($C1114="","Commercial",$C1114))),Variables!$B$1:$D$1,0),1))*BD1114/365),""))</f>
        <v>-20.363765521304813</v>
      </c>
      <c r="BJ1114" s="44">
        <f t="shared" si="54"/>
        <v>-21</v>
      </c>
      <c r="BK1114" s="44">
        <f>IF($AX1114="Cancelled","",IFERROR(IF(BJ1114="","",(W1114*INDEX(Variables!$B$7:$D$7,IFERROR(MATCH(IF($B1114="Robusta","Robusta",(IF($B1114="","Arabica",$B1114))&amp;" - "&amp;(IF($C1114="","Commercial",$C1114))),Variables!$B$1:$D$1,0),1))*(BJ1114/365))+(W1114*INDEX(Variables!$B$9:$D$9,IFERROR(MATCH(IF($B1114="Robusta","Robusta",(IF($B1114="","Arabica",$B1114))&amp;" - "&amp;(IF($C1114="","Commercial",$C1114))),Variables!$B$1:$D$1,0),1))*(BJ1114/365))+(INDEX(Variables!$B$8:$D$8,IFERROR(MATCH(IF($B1114="Robusta","Robusta",(IF($B1114="","Arabica",$B1114))&amp;" - "&amp;(IF($C1114="","Commercial",$C1114))),Variables!$B$1:$D$1,0),1))*L1114/16.67)),""))</f>
        <v>-49.273179324566847</v>
      </c>
    </row>
    <row r="1115" spans="1:63">
      <c r="A1115" s="13" t="s">
        <v>103</v>
      </c>
      <c r="B1115" s="13" t="s">
        <v>104</v>
      </c>
      <c r="C1115" s="13" t="s">
        <v>292</v>
      </c>
      <c r="D1115" s="31">
        <v>46126</v>
      </c>
      <c r="E1115" s="31">
        <v>46143</v>
      </c>
      <c r="F1115" s="31">
        <v>46173</v>
      </c>
      <c r="G1115" s="13">
        <v>3787539</v>
      </c>
      <c r="J1115" s="13" t="s">
        <v>294</v>
      </c>
      <c r="K1115" s="13" t="s">
        <v>2778</v>
      </c>
      <c r="L1115" s="13">
        <v>40</v>
      </c>
      <c r="M1115" s="13">
        <v>1</v>
      </c>
      <c r="N1115" s="13" t="s">
        <v>2779</v>
      </c>
      <c r="O1115" s="13" t="s">
        <v>297</v>
      </c>
      <c r="P1115" s="13">
        <v>10020</v>
      </c>
      <c r="R1115" s="13" t="s">
        <v>384</v>
      </c>
      <c r="S1115" s="13" t="s">
        <v>299</v>
      </c>
      <c r="T1115" s="13" t="s">
        <v>305</v>
      </c>
      <c r="U1115" s="13" t="s">
        <v>125</v>
      </c>
      <c r="V1115" s="23">
        <v>133</v>
      </c>
      <c r="W1115" s="44">
        <f>IF($AX1115="Cancelled","",IFERROR(((V1115+INDEX(Variables!$B$6:$D$6,IFERROR(MATCH(IF($B1115="Robusta","Robusta",(IF($B1115="","Arabica",$B1115))&amp;" - "&amp;(IF($C1115="","Commercial",$C1115))),Variables!$B$1:$D$1,0),1)))*22.0462)*(L1115/16.67),""))</f>
        <v>22419.147114577085</v>
      </c>
      <c r="Y1115" s="13" t="str">
        <f>IF($AX1115="Cancelled","",IF(X1115="","",IFERROR(IF(INDEX(Variables!$B$38:$B$47,MATCH(X1115,Variables!$A$38:$A$47,0))="Yes","Yes","No"),"No")))</f>
        <v/>
      </c>
      <c r="Z1115" s="31"/>
      <c r="AC1115" s="13" t="str">
        <f t="shared" si="53"/>
        <v/>
      </c>
      <c r="AF1115" s="71">
        <v>46155</v>
      </c>
      <c r="AG1115" s="36">
        <f>IF($AX1115="Cancelled","",IFERROR(IF(F1115="","",F1115-Variables!$B$13),""))</f>
        <v>46158</v>
      </c>
      <c r="AH1115" s="13" t="str">
        <f>IF($AX1115="Cancelled","",IFERROR(IF(AB1115="","",(AVERAGE(E1115:F1115)-AB1115)-Variables!$B$14),""))</f>
        <v/>
      </c>
      <c r="AJ1115" s="47">
        <v>46162</v>
      </c>
      <c r="AK1115" s="14">
        <f>IF($AX1115="Cancelled","",IFERROR(IF(AJ1115="","",IF(AND(AB1115="",AF1115=""),"",IF(AF1115&gt;AB1115,AF1115+Variables!$B$15+Variables!$B$16+Variables!$B$17-AJ1115,AB1115+Variables!$B$16+Variables!$B$17-AJ1115))),""))</f>
        <v>8</v>
      </c>
      <c r="AL1115" s="48" t="s">
        <v>114</v>
      </c>
      <c r="AM1115" s="13" t="s">
        <v>168</v>
      </c>
      <c r="AN1115" s="13" t="s">
        <v>2261</v>
      </c>
      <c r="AP1115" s="39" t="e">
        <v>#N/A</v>
      </c>
      <c r="AR1115" s="13" t="s">
        <v>2780</v>
      </c>
      <c r="AS1115" s="31">
        <v>46175</v>
      </c>
      <c r="AU1115" s="31">
        <v>46218</v>
      </c>
      <c r="AV1115" s="13" t="s">
        <v>2781</v>
      </c>
      <c r="AW1115" s="31">
        <v>46218</v>
      </c>
      <c r="AX1115" s="13" t="str">
        <f>IF(ISNUMBER(SEARCH("cancel",#REF!)),"Cancelled",IF(AND(AS1115&lt;&gt;"",AU1115&lt;&gt;"",AW1115&lt;&gt;""),"Closed","Open"))</f>
        <v>Closed</v>
      </c>
      <c r="AY1115" s="24" t="str">
        <f t="shared" si="52"/>
        <v>All dates received</v>
      </c>
      <c r="BD1115" s="13">
        <f>IF($AX1115="Cancelled","",IFERROR(IF(OR(AS1115="",AJ1115=""),"",(AJ1115+Variables!$B$18-AS1115)),""))</f>
        <v>2</v>
      </c>
      <c r="BE1115" s="13">
        <f>IF($AX1115="Cancelled","",IFERROR(IF(OR(AW1115="",AS1115=""),"",(AS1115+Variables!$B$19)-AW1115),""))</f>
        <v>-38</v>
      </c>
      <c r="BF1115" s="44">
        <f>IF($AX1115="Cancelled","",IFERROR(W1115*INDEX(Variables!$B$7:$D$7,IFERROR(MATCH(IF($B1115="Robusta","Robusta",(IF($B1115="","Arabica",$B1115))&amp;" - "&amp;(IF($C1115="","Commercial",$C1115))),Variables!$B$1:$D$1,0),1))*(BE1115/365),""))</f>
        <v>-150.50456237457573</v>
      </c>
      <c r="BG1115" s="44" t="str">
        <f>IF($AX1115="Cancelled","",IFERROR((W1115*INDEX(Variables!$B$7:$D$7,IFERROR(MATCH(IF($B1115="Robusta","Robusta",(IF($B1115="","Arabica",$B1115))&amp;" - "&amp;(IF($C1115="","Commercial",$C1115))),Variables!$B$1:$D$1,0),1))*IFERROR(IF(AB1115="","",(AVERAGE(E1115:F1115)-AB1115)-Variables!$B$14),"")/365)+(L1115/16.67*INDEX(Variables!$B$8:$D$8,IFERROR(MATCH(IF($B1115="Robusta","Robusta",(IF($B1115="","Arabica",$B1115))&amp;" - "&amp;(IF($C1115="","Commercial",$C1115))),Variables!$B$1:$D$1,0),1))*IFERROR(IF(AB1115="","",(AVERAGE(E1115:F1115)-AB1115)-Variables!$B$14),""))+(W1115*INDEX(Variables!$B$9:$D$9,IFERROR(MATCH(IF($B1115="Robusta","Robusta",(IF($B1115="","Arabica",$B1115))&amp;" - "&amp;(IF($C1115="","Commercial",$C1115))),Variables!$B$1:$D$1,0),1))*IFERROR(IF(AB1115="","",(AVERAGE(E1115:F1115)-AB1115)-Variables!$B$14),"")/365),""))</f>
        <v/>
      </c>
      <c r="BH1115" s="44">
        <f>IF($AX1115="Cancelled","",IFERROR((W1115*INDEX(Variables!$B$7:$D$7,IFERROR(MATCH(IF($B1115="Robusta","Robusta",(IF($B1115="","Arabica",$B1115))&amp;" - "&amp;(IF($C1115="","Commercial",$C1115))),Variables!$B$1:$D$1,0),1))*AK1115/365)+(L1115/16.67*INDEX(Variables!$B$8:$D$8,IFERROR(MATCH(IF($B1115="Robusta","Robusta",(IF($B1115="","Arabica",$B1115))&amp;" - "&amp;(IF($C1115="","Commercial",$C1115))),Variables!$B$1:$D$1,0),1))*AK1115)+(W1115*INDEX(Variables!$B$9:$D$9,IFERROR(MATCH(IF($B1115="Robusta","Robusta",(IF($B1115="","Arabica",$B1115))&amp;" - "&amp;(IF($C1115="","Commercial",$C1115))),Variables!$B$1:$D$1,0),1))*AK1115/365),""))</f>
        <v>48.093654028886149</v>
      </c>
      <c r="BI1115" s="44">
        <f>IF($AX1115="Cancelled","",IFERROR((W1115*INDEX(Variables!$B$7:$D$7,IFERROR(MATCH(IF($B1115="Robusta","Robusta",(IF($B1115="","Arabica",$B1115))&amp;" - "&amp;(IF($C1115="","Commercial",$C1115))),Variables!$B$1:$D$1,0),1))*BD1115/365)+(L1115/16.67*INDEX(Variables!$B$8:$D$8,IFERROR(MATCH(IF($B1115="Robusta","Robusta",(IF($B1115="","Arabica",$B1115))&amp;" - "&amp;(IF($C1115="","Commercial",$C1115))),Variables!$B$1:$D$1,0),1))*BD1115)+(W1115*INDEX(Variables!$B$9:$D$9,IFERROR(MATCH(IF($B1115="Robusta","Robusta",(IF($B1115="","Arabica",$B1115))&amp;" - "&amp;(IF($C1115="","Commercial",$C1115))),Variables!$B$1:$D$1,0),1))*BD1115/365),""))</f>
        <v>12.023413507221537</v>
      </c>
      <c r="BJ1115" s="44">
        <f t="shared" si="54"/>
        <v>-2</v>
      </c>
      <c r="BK1115" s="44">
        <f>IF($AX1115="Cancelled","",IFERROR(IF(BJ1115="","",(W1115*INDEX(Variables!$B$7:$D$7,IFERROR(MATCH(IF($B1115="Robusta","Robusta",(IF($B1115="","Arabica",$B1115))&amp;" - "&amp;(IF($C1115="","Commercial",$C1115))),Variables!$B$1:$D$1,0),1))*(BJ1115/365))+(W1115*INDEX(Variables!$B$9:$D$9,IFERROR(MATCH(IF($B1115="Robusta","Robusta",(IF($B1115="","Arabica",$B1115))&amp;" - "&amp;(IF($C1115="","Commercial",$C1115))),Variables!$B$1:$D$1,0),1))*(BJ1115/365))+(INDEX(Variables!$B$8:$D$8,IFERROR(MATCH(IF($B1115="Robusta","Robusta",(IF($B1115="","Arabica",$B1115))&amp;" - "&amp;(IF($C1115="","Commercial",$C1115))),Variables!$B$1:$D$1,0),1))*L1115/16.67)),""))</f>
        <v>-6.0234135072215373</v>
      </c>
    </row>
    <row r="1116" spans="1:63">
      <c r="A1116" s="13" t="s">
        <v>103</v>
      </c>
      <c r="B1116" s="13" t="s">
        <v>104</v>
      </c>
      <c r="C1116" s="13" t="s">
        <v>292</v>
      </c>
      <c r="D1116" s="31">
        <v>46126</v>
      </c>
      <c r="E1116" s="31">
        <v>46143</v>
      </c>
      <c r="F1116" s="31">
        <v>46173</v>
      </c>
      <c r="G1116" s="13">
        <v>3787540</v>
      </c>
      <c r="J1116" s="13" t="s">
        <v>294</v>
      </c>
      <c r="K1116" s="13" t="s">
        <v>2782</v>
      </c>
      <c r="L1116" s="13">
        <v>40</v>
      </c>
      <c r="M1116" s="13">
        <v>0</v>
      </c>
      <c r="N1116" s="13" t="s">
        <v>2783</v>
      </c>
      <c r="O1116" s="13" t="s">
        <v>297</v>
      </c>
      <c r="P1116" s="13">
        <v>10020</v>
      </c>
      <c r="R1116" s="13" t="s">
        <v>384</v>
      </c>
      <c r="S1116" s="13" t="s">
        <v>299</v>
      </c>
      <c r="T1116" s="13" t="s">
        <v>305</v>
      </c>
      <c r="U1116" s="13" t="s">
        <v>125</v>
      </c>
      <c r="V1116" s="23">
        <v>130</v>
      </c>
      <c r="W1116" s="44">
        <f>IF($AX1116="Cancelled","",IFERROR(((V1116+INDEX(Variables!$B$6:$D$6,IFERROR(MATCH(IF($B1116="Robusta","Robusta",(IF($B1116="","Arabica",$B1116))&amp;" - "&amp;(IF($C1116="","Commercial",$C1116))),Variables!$B$1:$D$1,0),1)))*22.0462)*(L1116/16.67),""))</f>
        <v>22260.446214757048</v>
      </c>
      <c r="Y1116" s="13" t="str">
        <f>IF($AX1116="Cancelled","",IF(X1116="","",IFERROR(IF(INDEX(Variables!$B$38:$B$47,MATCH(X1116,Variables!$A$38:$A$47,0))="Yes","Yes","No"),"No")))</f>
        <v/>
      </c>
      <c r="Z1116" s="31"/>
      <c r="AC1116" s="13" t="str">
        <f t="shared" si="53"/>
        <v/>
      </c>
      <c r="AF1116" s="71">
        <v>46155</v>
      </c>
      <c r="AG1116" s="31">
        <f>IF($AX1116="Cancelled","",IFERROR(IF(F1116="","",F1116-Variables!$B$13),""))</f>
        <v>46158</v>
      </c>
      <c r="AH1116" s="13" t="str">
        <f>IF($AX1116="Cancelled","",IFERROR(IF(AB1116="","",(AVERAGE(E1116:F1116)-AB1116)-Variables!$B$14),""))</f>
        <v/>
      </c>
      <c r="AJ1116" s="47">
        <v>46162</v>
      </c>
      <c r="AK1116" s="14">
        <f>IF($AX1116="Cancelled","",IFERROR(IF(AJ1116="","",IF(AND(AB1116="",AF1116=""),"",IF(AF1116&gt;AB1116,AF1116+Variables!$B$15+Variables!$B$16+Variables!$B$17-AJ1116,AB1116+Variables!$B$16+Variables!$B$17-AJ1116))),""))</f>
        <v>8</v>
      </c>
      <c r="AL1116" s="48" t="s">
        <v>114</v>
      </c>
      <c r="AM1116" s="13" t="s">
        <v>168</v>
      </c>
      <c r="AN1116" s="13" t="s">
        <v>2261</v>
      </c>
      <c r="AP1116" s="39" t="e">
        <v>#N/A</v>
      </c>
      <c r="AR1116" s="13" t="s">
        <v>2780</v>
      </c>
      <c r="AS1116" s="31">
        <v>46175</v>
      </c>
      <c r="AU1116" s="31">
        <v>46218</v>
      </c>
      <c r="AV1116" s="13" t="s">
        <v>2781</v>
      </c>
      <c r="AW1116" s="31">
        <v>46218</v>
      </c>
      <c r="AX1116" s="13" t="str">
        <f>IF(ISNUMBER(SEARCH("cancel",#REF!)),"Cancelled",IF(AND(AS1116&lt;&gt;"",AU1116&lt;&gt;"",AW1116&lt;&gt;""),"Closed","Open"))</f>
        <v>Closed</v>
      </c>
      <c r="AY1116" s="24" t="str">
        <f t="shared" si="52"/>
        <v>All dates received</v>
      </c>
      <c r="BD1116" s="13">
        <f>IF($AX1116="Cancelled","",IFERROR(IF(OR(AS1116="",AJ1116=""),"",(AJ1116+Variables!$B$18-AS1116)),""))</f>
        <v>2</v>
      </c>
      <c r="BE1116" s="13">
        <f>IF($AX1116="Cancelled","",IFERROR(IF(OR(AW1116="",AS1116=""),"",(AS1116+Variables!$B$19)-AW1116),""))</f>
        <v>-38</v>
      </c>
      <c r="BF1116" s="44">
        <f>IF($AX1116="Cancelled","",IFERROR(W1116*INDEX(Variables!$B$7:$D$7,IFERROR(MATCH(IF($B1116="Robusta","Robusta",(IF($B1116="","Arabica",$B1116))&amp;" - "&amp;(IF($C1116="","Commercial",$C1116))),Variables!$B$1:$D$1,0),1))*(BE1116/365),""))</f>
        <v>-149.43916905904075</v>
      </c>
      <c r="BG1116" s="44" t="str">
        <f>IF($AX1116="Cancelled","",IFERROR((W1116*INDEX(Variables!$B$7:$D$7,IFERROR(MATCH(IF($B1116="Robusta","Robusta",(IF($B1116="","Arabica",$B1116))&amp;" - "&amp;(IF($C1116="","Commercial",$C1116))),Variables!$B$1:$D$1,0),1))*IFERROR(IF(AB1116="","",(AVERAGE(E1116:F1116)-AB1116)-Variables!$B$14),"")/365)+(L1116/16.67*INDEX(Variables!$B$8:$D$8,IFERROR(MATCH(IF($B1116="Robusta","Robusta",(IF($B1116="","Arabica",$B1116))&amp;" - "&amp;(IF($C1116="","Commercial",$C1116))),Variables!$B$1:$D$1,0),1))*IFERROR(IF(AB1116="","",(AVERAGE(E1116:F1116)-AB1116)-Variables!$B$14),""))+(W1116*INDEX(Variables!$B$9:$D$9,IFERROR(MATCH(IF($B1116="Robusta","Robusta",(IF($B1116="","Arabica",$B1116))&amp;" - "&amp;(IF($C1116="","Commercial",$C1116))),Variables!$B$1:$D$1,0),1))*IFERROR(IF(AB1116="","",(AVERAGE(E1116:F1116)-AB1116)-Variables!$B$14),"")/365),""))</f>
        <v/>
      </c>
      <c r="BH1116" s="44">
        <f>IF($AX1116="Cancelled","",IFERROR((W1116*INDEX(Variables!$B$7:$D$7,IFERROR(MATCH(IF($B1116="Robusta","Robusta",(IF($B1116="","Arabica",$B1116))&amp;" - "&amp;(IF($C1116="","Commercial",$C1116))),Variables!$B$1:$D$1,0),1))*AK1116/365)+(L1116/16.67*INDEX(Variables!$B$8:$D$8,IFERROR(MATCH(IF($B1116="Robusta","Robusta",(IF($B1116="","Arabica",$B1116))&amp;" - "&amp;(IF($C1116="","Commercial",$C1116))),Variables!$B$1:$D$1,0),1))*AK1116)+(W1116*INDEX(Variables!$B$9:$D$9,IFERROR(MATCH(IF($B1116="Robusta","Robusta",(IF($B1116="","Arabica",$B1116))&amp;" - "&amp;(IF($C1116="","Commercial",$C1116))),Variables!$B$1:$D$1,0),1))*AK1116/365),""))</f>
        <v>47.866469125425418</v>
      </c>
      <c r="BI1116" s="44">
        <f>IF($AX1116="Cancelled","",IFERROR((W1116*INDEX(Variables!$B$7:$D$7,IFERROR(MATCH(IF($B1116="Robusta","Robusta",(IF($B1116="","Arabica",$B1116))&amp;" - "&amp;(IF($C1116="","Commercial",$C1116))),Variables!$B$1:$D$1,0),1))*BD1116/365)+(L1116/16.67*INDEX(Variables!$B$8:$D$8,IFERROR(MATCH(IF($B1116="Robusta","Robusta",(IF($B1116="","Arabica",$B1116))&amp;" - "&amp;(IF($C1116="","Commercial",$C1116))),Variables!$B$1:$D$1,0),1))*BD1116)+(W1116*INDEX(Variables!$B$9:$D$9,IFERROR(MATCH(IF($B1116="Robusta","Robusta",(IF($B1116="","Arabica",$B1116))&amp;" - "&amp;(IF($C1116="","Commercial",$C1116))),Variables!$B$1:$D$1,0),1))*BD1116/365),""))</f>
        <v>11.966617281356354</v>
      </c>
      <c r="BJ1116" s="44">
        <f t="shared" si="54"/>
        <v>-2</v>
      </c>
      <c r="BK1116" s="44">
        <f>IF($AX1116="Cancelled","",IFERROR(IF(BJ1116="","",(W1116*INDEX(Variables!$B$7:$D$7,IFERROR(MATCH(IF($B1116="Robusta","Robusta",(IF($B1116="","Arabica",$B1116))&amp;" - "&amp;(IF($C1116="","Commercial",$C1116))),Variables!$B$1:$D$1,0),1))*(BJ1116/365))+(W1116*INDEX(Variables!$B$9:$D$9,IFERROR(MATCH(IF($B1116="Robusta","Robusta",(IF($B1116="","Arabica",$B1116))&amp;" - "&amp;(IF($C1116="","Commercial",$C1116))),Variables!$B$1:$D$1,0),1))*(BJ1116/365))+(INDEX(Variables!$B$8:$D$8,IFERROR(MATCH(IF($B1116="Robusta","Robusta",(IF($B1116="","Arabica",$B1116))&amp;" - "&amp;(IF($C1116="","Commercial",$C1116))),Variables!$B$1:$D$1,0),1))*L1116/16.67)),""))</f>
        <v>-5.9666172813563545</v>
      </c>
    </row>
    <row r="1117" spans="1:63">
      <c r="A1117" s="13" t="s">
        <v>103</v>
      </c>
      <c r="B1117" s="13" t="s">
        <v>104</v>
      </c>
      <c r="C1117" s="13" t="s">
        <v>292</v>
      </c>
      <c r="D1117" s="31">
        <v>46126</v>
      </c>
      <c r="E1117" s="31">
        <v>46143</v>
      </c>
      <c r="F1117" s="31">
        <v>46173</v>
      </c>
      <c r="G1117" s="13">
        <v>3787541</v>
      </c>
      <c r="J1117" s="13" t="s">
        <v>294</v>
      </c>
      <c r="K1117" s="13" t="s">
        <v>2784</v>
      </c>
      <c r="L1117" s="13">
        <v>42</v>
      </c>
      <c r="M1117" s="13">
        <v>0</v>
      </c>
      <c r="N1117" s="13" t="s">
        <v>2785</v>
      </c>
      <c r="O1117" s="13" t="s">
        <v>297</v>
      </c>
      <c r="P1117" s="13">
        <v>10020</v>
      </c>
      <c r="R1117" s="13" t="s">
        <v>384</v>
      </c>
      <c r="S1117" s="13" t="s">
        <v>299</v>
      </c>
      <c r="T1117" s="13" t="s">
        <v>305</v>
      </c>
      <c r="U1117" s="13" t="s">
        <v>125</v>
      </c>
      <c r="V1117" s="23">
        <v>130</v>
      </c>
      <c r="W1117" s="44">
        <f>IF($AX1117="Cancelled","",IFERROR(((V1117+INDEX(Variables!$B$6:$D$6,IFERROR(MATCH(IF($B1117="Robusta","Robusta",(IF($B1117="","Arabica",$B1117))&amp;" - "&amp;(IF($C1117="","Commercial",$C1117))),Variables!$B$1:$D$1,0),1)))*22.0462)*(L1117/16.67),""))</f>
        <v>23373.4685254949</v>
      </c>
      <c r="Y1117" s="13" t="str">
        <f>IF($AX1117="Cancelled","",IF(X1117="","",IFERROR(IF(INDEX(Variables!$B$38:$B$47,MATCH(X1117,Variables!$A$38:$A$47,0))="Yes","Yes","No"),"No")))</f>
        <v/>
      </c>
      <c r="Z1117" s="31"/>
      <c r="AC1117" s="13" t="str">
        <f t="shared" si="53"/>
        <v/>
      </c>
      <c r="AF1117" s="71">
        <v>46155</v>
      </c>
      <c r="AG1117" s="31">
        <f>IF($AX1117="Cancelled","",IFERROR(IF(F1117="","",F1117-Variables!$B$13),""))</f>
        <v>46158</v>
      </c>
      <c r="AH1117" s="13" t="str">
        <f>IF($AX1117="Cancelled","",IFERROR(IF(AB1117="","",(AVERAGE(E1117:F1117)-AB1117)-Variables!$B$14),""))</f>
        <v/>
      </c>
      <c r="AJ1117" s="47">
        <v>46162</v>
      </c>
      <c r="AK1117" s="14">
        <f>IF($AX1117="Cancelled","",IFERROR(IF(AJ1117="","",IF(AND(AB1117="",AF1117=""),"",IF(AF1117&gt;AB1117,AF1117+Variables!$B$15+Variables!$B$16+Variables!$B$17-AJ1117,AB1117+Variables!$B$16+Variables!$B$17-AJ1117))),""))</f>
        <v>8</v>
      </c>
      <c r="AL1117" s="48" t="s">
        <v>114</v>
      </c>
      <c r="AM1117" s="13" t="s">
        <v>168</v>
      </c>
      <c r="AN1117" s="13" t="s">
        <v>2261</v>
      </c>
      <c r="AP1117" s="39" t="e">
        <v>#N/A</v>
      </c>
      <c r="AR1117" s="13" t="s">
        <v>2780</v>
      </c>
      <c r="AS1117" s="31">
        <v>46175</v>
      </c>
      <c r="AU1117" s="31">
        <v>46218</v>
      </c>
      <c r="AV1117" s="13" t="s">
        <v>2781</v>
      </c>
      <c r="AW1117" s="31">
        <v>46218</v>
      </c>
      <c r="AX1117" s="13" t="str">
        <f>IF(ISNUMBER(SEARCH("cancel",#REF!)),"Cancelled",IF(AND(AS1117&lt;&gt;"",AU1117&lt;&gt;"",AW1117&lt;&gt;""),"Closed","Open"))</f>
        <v>Closed</v>
      </c>
      <c r="AY1117" s="24" t="str">
        <f t="shared" si="52"/>
        <v>All dates received</v>
      </c>
      <c r="BD1117" s="13">
        <f>IF($AX1117="Cancelled","",IFERROR(IF(OR(AS1117="",AJ1117=""),"",(AJ1117+Variables!$B$18-AS1117)),""))</f>
        <v>2</v>
      </c>
      <c r="BE1117" s="13">
        <f>IF($AX1117="Cancelled","",IFERROR(IF(OR(AW1117="",AS1117=""),"",(AS1117+Variables!$B$19)-AW1117),""))</f>
        <v>-38</v>
      </c>
      <c r="BF1117" s="44">
        <f>IF($AX1117="Cancelled","",IFERROR(W1117*INDEX(Variables!$B$7:$D$7,IFERROR(MATCH(IF($B1117="Robusta","Robusta",(IF($B1117="","Arabica",$B1117))&amp;" - "&amp;(IF($C1117="","Commercial",$C1117))),Variables!$B$1:$D$1,0),1))*(BE1117/365),""))</f>
        <v>-156.91112751199276</v>
      </c>
      <c r="BG1117" s="44" t="str">
        <f>IF($AX1117="Cancelled","",IFERROR((W1117*INDEX(Variables!$B$7:$D$7,IFERROR(MATCH(IF($B1117="Robusta","Robusta",(IF($B1117="","Arabica",$B1117))&amp;" - "&amp;(IF($C1117="","Commercial",$C1117))),Variables!$B$1:$D$1,0),1))*IFERROR(IF(AB1117="","",(AVERAGE(E1117:F1117)-AB1117)-Variables!$B$14),"")/365)+(L1117/16.67*INDEX(Variables!$B$8:$D$8,IFERROR(MATCH(IF($B1117="Robusta","Robusta",(IF($B1117="","Arabica",$B1117))&amp;" - "&amp;(IF($C1117="","Commercial",$C1117))),Variables!$B$1:$D$1,0),1))*IFERROR(IF(AB1117="","",(AVERAGE(E1117:F1117)-AB1117)-Variables!$B$14),""))+(W1117*INDEX(Variables!$B$9:$D$9,IFERROR(MATCH(IF($B1117="Robusta","Robusta",(IF($B1117="","Arabica",$B1117))&amp;" - "&amp;(IF($C1117="","Commercial",$C1117))),Variables!$B$1:$D$1,0),1))*IFERROR(IF(AB1117="","",(AVERAGE(E1117:F1117)-AB1117)-Variables!$B$14),"")/365),""))</f>
        <v/>
      </c>
      <c r="BH1117" s="44">
        <f>IF($AX1117="Cancelled","",IFERROR((W1117*INDEX(Variables!$B$7:$D$7,IFERROR(MATCH(IF($B1117="Robusta","Robusta",(IF($B1117="","Arabica",$B1117))&amp;" - "&amp;(IF($C1117="","Commercial",$C1117))),Variables!$B$1:$D$1,0),1))*AK1117/365)+(L1117/16.67*INDEX(Variables!$B$8:$D$8,IFERROR(MATCH(IF($B1117="Robusta","Robusta",(IF($B1117="","Arabica",$B1117))&amp;" - "&amp;(IF($C1117="","Commercial",$C1117))),Variables!$B$1:$D$1,0),1))*AK1117)+(W1117*INDEX(Variables!$B$9:$D$9,IFERROR(MATCH(IF($B1117="Robusta","Robusta",(IF($B1117="","Arabica",$B1117))&amp;" - "&amp;(IF($C1117="","Commercial",$C1117))),Variables!$B$1:$D$1,0),1))*AK1117/365),""))</f>
        <v>50.259792581696679</v>
      </c>
      <c r="BI1117" s="44">
        <f>IF($AX1117="Cancelled","",IFERROR((W1117*INDEX(Variables!$B$7:$D$7,IFERROR(MATCH(IF($B1117="Robusta","Robusta",(IF($B1117="","Arabica",$B1117))&amp;" - "&amp;(IF($C1117="","Commercial",$C1117))),Variables!$B$1:$D$1,0),1))*BD1117/365)+(L1117/16.67*INDEX(Variables!$B$8:$D$8,IFERROR(MATCH(IF($B1117="Robusta","Robusta",(IF($B1117="","Arabica",$B1117))&amp;" - "&amp;(IF($C1117="","Commercial",$C1117))),Variables!$B$1:$D$1,0),1))*BD1117)+(W1117*INDEX(Variables!$B$9:$D$9,IFERROR(MATCH(IF($B1117="Robusta","Robusta",(IF($B1117="","Arabica",$B1117))&amp;" - "&amp;(IF($C1117="","Commercial",$C1117))),Variables!$B$1:$D$1,0),1))*BD1117/365),""))</f>
        <v>12.56494814542417</v>
      </c>
      <c r="BJ1117" s="44">
        <f t="shared" si="54"/>
        <v>-2</v>
      </c>
      <c r="BK1117" s="44">
        <f>IF($AX1117="Cancelled","",IFERROR(IF(BJ1117="","",(W1117*INDEX(Variables!$B$7:$D$7,IFERROR(MATCH(IF($B1117="Robusta","Robusta",(IF($B1117="","Arabica",$B1117))&amp;" - "&amp;(IF($C1117="","Commercial",$C1117))),Variables!$B$1:$D$1,0),1))*(BJ1117/365))+(W1117*INDEX(Variables!$B$9:$D$9,IFERROR(MATCH(IF($B1117="Robusta","Robusta",(IF($B1117="","Arabica",$B1117))&amp;" - "&amp;(IF($C1117="","Commercial",$C1117))),Variables!$B$1:$D$1,0),1))*(BJ1117/365))+(INDEX(Variables!$B$8:$D$8,IFERROR(MATCH(IF($B1117="Robusta","Robusta",(IF($B1117="","Arabica",$B1117))&amp;" - "&amp;(IF($C1117="","Commercial",$C1117))),Variables!$B$1:$D$1,0),1))*L1117/16.67)),""))</f>
        <v>-6.2649481454241709</v>
      </c>
    </row>
    <row r="1118" spans="1:63">
      <c r="A1118" s="13" t="s">
        <v>103</v>
      </c>
      <c r="B1118" s="13" t="s">
        <v>104</v>
      </c>
      <c r="C1118" s="13" t="s">
        <v>292</v>
      </c>
      <c r="D1118" s="31">
        <v>46126</v>
      </c>
      <c r="E1118" s="31">
        <v>46143</v>
      </c>
      <c r="F1118" s="31">
        <v>46173</v>
      </c>
      <c r="G1118" s="13">
        <v>3787542</v>
      </c>
      <c r="J1118" s="13" t="s">
        <v>294</v>
      </c>
      <c r="K1118" s="13" t="s">
        <v>2786</v>
      </c>
      <c r="L1118" s="13">
        <v>10</v>
      </c>
      <c r="M1118" s="13">
        <v>0</v>
      </c>
      <c r="N1118" s="13" t="s">
        <v>2787</v>
      </c>
      <c r="O1118" s="13" t="s">
        <v>297</v>
      </c>
      <c r="P1118" s="13">
        <v>10020</v>
      </c>
      <c r="R1118" s="13" t="s">
        <v>384</v>
      </c>
      <c r="S1118" s="13" t="s">
        <v>299</v>
      </c>
      <c r="T1118" s="13" t="s">
        <v>305</v>
      </c>
      <c r="U1118" s="13" t="s">
        <v>125</v>
      </c>
      <c r="V1118" s="23">
        <v>130</v>
      </c>
      <c r="W1118" s="44">
        <f>IF($AX1118="Cancelled","",IFERROR(((V1118+INDEX(Variables!$B$6:$D$6,IFERROR(MATCH(IF($B1118="Robusta","Robusta",(IF($B1118="","Arabica",$B1118))&amp;" - "&amp;(IF($C1118="","Commercial",$C1118))),Variables!$B$1:$D$1,0),1)))*22.0462)*(L1118/16.67),""))</f>
        <v>5565.1115536892621</v>
      </c>
      <c r="Y1118" s="13" t="str">
        <f>IF($AX1118="Cancelled","",IF(X1118="","",IFERROR(IF(INDEX(Variables!$B$38:$B$47,MATCH(X1118,Variables!$A$38:$A$47,0))="Yes","Yes","No"),"No")))</f>
        <v/>
      </c>
      <c r="Z1118" s="31"/>
      <c r="AC1118" s="13" t="str">
        <f t="shared" si="53"/>
        <v/>
      </c>
      <c r="AF1118" s="71">
        <v>46160</v>
      </c>
      <c r="AG1118" s="36">
        <f>IF($AX1118="Cancelled","",IFERROR(IF(F1118="","",F1118-Variables!$B$13),""))</f>
        <v>46158</v>
      </c>
      <c r="AH1118" s="13" t="str">
        <f>IF($AX1118="Cancelled","",IFERROR(IF(AB1118="","",(AVERAGE(E1118:F1118)-AB1118)-Variables!$B$14),""))</f>
        <v/>
      </c>
      <c r="AJ1118" s="47">
        <v>46162</v>
      </c>
      <c r="AK1118" s="14">
        <f>IF($AX1118="Cancelled","",IFERROR(IF(AJ1118="","",IF(AND(AB1118="",AF1118=""),"",IF(AF1118&gt;AB1118,AF1118+Variables!$B$15+Variables!$B$16+Variables!$B$17-AJ1118,AB1118+Variables!$B$16+Variables!$B$17-AJ1118))),""))</f>
        <v>13</v>
      </c>
      <c r="AL1118" s="48" t="s">
        <v>114</v>
      </c>
      <c r="AM1118" s="13" t="s">
        <v>168</v>
      </c>
      <c r="AN1118" s="13" t="s">
        <v>2261</v>
      </c>
      <c r="AP1118" s="39" t="e">
        <v>#N/A</v>
      </c>
      <c r="AR1118" s="13" t="s">
        <v>2780</v>
      </c>
      <c r="AS1118" s="31">
        <v>46175</v>
      </c>
      <c r="AU1118" s="31">
        <v>46218</v>
      </c>
      <c r="AV1118" s="13" t="s">
        <v>2781</v>
      </c>
      <c r="AW1118" s="31">
        <v>46218</v>
      </c>
      <c r="AX1118" s="13" t="str">
        <f>IF(ISNUMBER(SEARCH("cancel",#REF!)),"Cancelled",IF(AND(AS1118&lt;&gt;"",AU1118&lt;&gt;"",AW1118&lt;&gt;""),"Closed","Open"))</f>
        <v>Closed</v>
      </c>
      <c r="AY1118" s="24" t="str">
        <f t="shared" si="52"/>
        <v>All dates received</v>
      </c>
      <c r="BD1118" s="13">
        <f>IF($AX1118="Cancelled","",IFERROR(IF(OR(AS1118="",AJ1118=""),"",(AJ1118+Variables!$B$18-AS1118)),""))</f>
        <v>2</v>
      </c>
      <c r="BE1118" s="13">
        <f>IF($AX1118="Cancelled","",IFERROR(IF(OR(AW1118="",AS1118=""),"",(AS1118+Variables!$B$19)-AW1118),""))</f>
        <v>-38</v>
      </c>
      <c r="BF1118" s="44">
        <f>IF($AX1118="Cancelled","",IFERROR(W1118*INDEX(Variables!$B$7:$D$7,IFERROR(MATCH(IF($B1118="Robusta","Robusta",(IF($B1118="","Arabica",$B1118))&amp;" - "&amp;(IF($C1118="","Commercial",$C1118))),Variables!$B$1:$D$1,0),1))*(BE1118/365),""))</f>
        <v>-37.359792264760188</v>
      </c>
      <c r="BG1118" s="44" t="str">
        <f>IF($AX1118="Cancelled","",IFERROR((W1118*INDEX(Variables!$B$7:$D$7,IFERROR(MATCH(IF($B1118="Robusta","Robusta",(IF($B1118="","Arabica",$B1118))&amp;" - "&amp;(IF($C1118="","Commercial",$C1118))),Variables!$B$1:$D$1,0),1))*IFERROR(IF(AB1118="","",(AVERAGE(E1118:F1118)-AB1118)-Variables!$B$14),"")/365)+(L1118/16.67*INDEX(Variables!$B$8:$D$8,IFERROR(MATCH(IF($B1118="Robusta","Robusta",(IF($B1118="","Arabica",$B1118))&amp;" - "&amp;(IF($C1118="","Commercial",$C1118))),Variables!$B$1:$D$1,0),1))*IFERROR(IF(AB1118="","",(AVERAGE(E1118:F1118)-AB1118)-Variables!$B$14),""))+(W1118*INDEX(Variables!$B$9:$D$9,IFERROR(MATCH(IF($B1118="Robusta","Robusta",(IF($B1118="","Arabica",$B1118))&amp;" - "&amp;(IF($C1118="","Commercial",$C1118))),Variables!$B$1:$D$1,0),1))*IFERROR(IF(AB1118="","",(AVERAGE(E1118:F1118)-AB1118)-Variables!$B$14),"")/365),""))</f>
        <v/>
      </c>
      <c r="BH1118" s="44">
        <f>IF($AX1118="Cancelled","",IFERROR((W1118*INDEX(Variables!$B$7:$D$7,IFERROR(MATCH(IF($B1118="Robusta","Robusta",(IF($B1118="","Arabica",$B1118))&amp;" - "&amp;(IF($C1118="","Commercial",$C1118))),Variables!$B$1:$D$1,0),1))*AK1118/365)+(L1118/16.67*INDEX(Variables!$B$8:$D$8,IFERROR(MATCH(IF($B1118="Robusta","Robusta",(IF($B1118="","Arabica",$B1118))&amp;" - "&amp;(IF($C1118="","Commercial",$C1118))),Variables!$B$1:$D$1,0),1))*AK1118)+(W1118*INDEX(Variables!$B$9:$D$9,IFERROR(MATCH(IF($B1118="Robusta","Robusta",(IF($B1118="","Arabica",$B1118))&amp;" - "&amp;(IF($C1118="","Commercial",$C1118))),Variables!$B$1:$D$1,0),1))*AK1118/365),""))</f>
        <v>19.445753082204078</v>
      </c>
      <c r="BI1118" s="44">
        <f>IF($AX1118="Cancelled","",IFERROR((W1118*INDEX(Variables!$B$7:$D$7,IFERROR(MATCH(IF($B1118="Robusta","Robusta",(IF($B1118="","Arabica",$B1118))&amp;" - "&amp;(IF($C1118="","Commercial",$C1118))),Variables!$B$1:$D$1,0),1))*BD1118/365)+(L1118/16.67*INDEX(Variables!$B$8:$D$8,IFERROR(MATCH(IF($B1118="Robusta","Robusta",(IF($B1118="","Arabica",$B1118))&amp;" - "&amp;(IF($C1118="","Commercial",$C1118))),Variables!$B$1:$D$1,0),1))*BD1118)+(W1118*INDEX(Variables!$B$9:$D$9,IFERROR(MATCH(IF($B1118="Robusta","Robusta",(IF($B1118="","Arabica",$B1118))&amp;" - "&amp;(IF($C1118="","Commercial",$C1118))),Variables!$B$1:$D$1,0),1))*BD1118/365),""))</f>
        <v>2.9916543203390886</v>
      </c>
      <c r="BJ1118" s="44">
        <f t="shared" si="54"/>
        <v>-2</v>
      </c>
      <c r="BK1118" s="44">
        <f>IF($AX1118="Cancelled","",IFERROR(IF(BJ1118="","",(W1118*INDEX(Variables!$B$7:$D$7,IFERROR(MATCH(IF($B1118="Robusta","Robusta",(IF($B1118="","Arabica",$B1118))&amp;" - "&amp;(IF($C1118="","Commercial",$C1118))),Variables!$B$1:$D$1,0),1))*(BJ1118/365))+(W1118*INDEX(Variables!$B$9:$D$9,IFERROR(MATCH(IF($B1118="Robusta","Robusta",(IF($B1118="","Arabica",$B1118))&amp;" - "&amp;(IF($C1118="","Commercial",$C1118))),Variables!$B$1:$D$1,0),1))*(BJ1118/365))+(INDEX(Variables!$B$8:$D$8,IFERROR(MATCH(IF($B1118="Robusta","Robusta",(IF($B1118="","Arabica",$B1118))&amp;" - "&amp;(IF($C1118="","Commercial",$C1118))),Variables!$B$1:$D$1,0),1))*L1118/16.67)),""))</f>
        <v>-1.4916543203390886</v>
      </c>
    </row>
    <row r="1119" spans="1:63">
      <c r="A1119" s="13" t="s">
        <v>103</v>
      </c>
      <c r="B1119" s="13" t="s">
        <v>104</v>
      </c>
      <c r="C1119" s="13" t="s">
        <v>292</v>
      </c>
      <c r="D1119" s="31">
        <v>46126</v>
      </c>
      <c r="E1119" s="31">
        <v>46143</v>
      </c>
      <c r="F1119" s="31">
        <v>46173</v>
      </c>
      <c r="G1119" s="13">
        <v>3787543</v>
      </c>
      <c r="J1119" s="13" t="s">
        <v>294</v>
      </c>
      <c r="K1119" s="13" t="s">
        <v>2788</v>
      </c>
      <c r="L1119" s="13">
        <v>40</v>
      </c>
      <c r="M1119" s="13">
        <v>0</v>
      </c>
      <c r="N1119" s="13" t="s">
        <v>2789</v>
      </c>
      <c r="O1119" s="13" t="s">
        <v>304</v>
      </c>
      <c r="P1119" s="13">
        <v>10010</v>
      </c>
      <c r="R1119" s="13" t="s">
        <v>384</v>
      </c>
      <c r="S1119" s="13" t="s">
        <v>299</v>
      </c>
      <c r="T1119" s="13" t="s">
        <v>305</v>
      </c>
      <c r="U1119" s="13" t="s">
        <v>125</v>
      </c>
      <c r="V1119" s="23">
        <v>144</v>
      </c>
      <c r="W1119" s="44">
        <f>IF($AX1119="Cancelled","",IFERROR(((V1119+INDEX(Variables!$B$6:$D$6,IFERROR(MATCH(IF($B1119="Robusta","Robusta",(IF($B1119="","Arabica",$B1119))&amp;" - "&amp;(IF($C1119="","Commercial",$C1119))),Variables!$B$1:$D$1,0),1)))*22.0462)*(L1119/16.67),""))</f>
        <v>23001.050413917212</v>
      </c>
      <c r="Y1119" s="13" t="str">
        <f>IF($AX1119="Cancelled","",IF(X1119="","",IFERROR(IF(INDEX(Variables!$B$38:$B$47,MATCH(X1119,Variables!$A$38:$A$47,0))="Yes","Yes","No"),"No")))</f>
        <v/>
      </c>
      <c r="Z1119" s="31"/>
      <c r="AC1119" s="13" t="str">
        <f t="shared" si="53"/>
        <v/>
      </c>
      <c r="AF1119" s="71">
        <v>46155</v>
      </c>
      <c r="AG1119" s="36">
        <f>IF($AX1119="Cancelled","",IFERROR(IF(F1119="","",F1119-Variables!$B$13),""))</f>
        <v>46158</v>
      </c>
      <c r="AH1119" s="13" t="str">
        <f>IF($AX1119="Cancelled","",IFERROR(IF(AB1119="","",(AVERAGE(E1119:F1119)-AB1119)-Variables!$B$14),""))</f>
        <v/>
      </c>
      <c r="AJ1119" s="47">
        <v>46162</v>
      </c>
      <c r="AK1119" s="14">
        <f>IF($AX1119="Cancelled","",IFERROR(IF(AJ1119="","",IF(AND(AB1119="",AF1119=""),"",IF(AF1119&gt;AB1119,AF1119+Variables!$B$15+Variables!$B$16+Variables!$B$17-AJ1119,AB1119+Variables!$B$16+Variables!$B$17-AJ1119))),""))</f>
        <v>8</v>
      </c>
      <c r="AL1119" s="48" t="s">
        <v>114</v>
      </c>
      <c r="AM1119" s="13" t="s">
        <v>168</v>
      </c>
      <c r="AN1119" s="13" t="s">
        <v>2261</v>
      </c>
      <c r="AP1119" s="39" t="e">
        <v>#N/A</v>
      </c>
      <c r="AR1119" s="13" t="s">
        <v>2780</v>
      </c>
      <c r="AS1119" s="31">
        <v>46175</v>
      </c>
      <c r="AU1119" s="31">
        <v>46218</v>
      </c>
      <c r="AV1119" s="13" t="s">
        <v>2781</v>
      </c>
      <c r="AW1119" s="31">
        <v>46218</v>
      </c>
      <c r="AX1119" s="13" t="str">
        <f>IF(ISNUMBER(SEARCH("cancel",#REF!)),"Cancelled",IF(AND(AS1119&lt;&gt;"",AU1119&lt;&gt;"",AW1119&lt;&gt;""),"Closed","Open"))</f>
        <v>Closed</v>
      </c>
      <c r="AY1119" s="24" t="str">
        <f t="shared" si="52"/>
        <v>All dates received</v>
      </c>
      <c r="BD1119" s="13">
        <f>IF($AX1119="Cancelled","",IFERROR(IF(OR(AS1119="",AJ1119=""),"",(AJ1119+Variables!$B$18-AS1119)),""))</f>
        <v>2</v>
      </c>
      <c r="BE1119" s="13">
        <f>IF($AX1119="Cancelled","",IFERROR(IF(OR(AW1119="",AS1119=""),"",(AS1119+Variables!$B$19)-AW1119),""))</f>
        <v>-38</v>
      </c>
      <c r="BF1119" s="44">
        <f>IF($AX1119="Cancelled","",IFERROR(W1119*INDEX(Variables!$B$7:$D$7,IFERROR(MATCH(IF($B1119="Robusta","Robusta",(IF($B1119="","Arabica",$B1119))&amp;" - "&amp;(IF($C1119="","Commercial",$C1119))),Variables!$B$1:$D$1,0),1))*(BE1119/365),""))</f>
        <v>-154.41100453153732</v>
      </c>
      <c r="BG1119" s="44" t="str">
        <f>IF($AX1119="Cancelled","",IFERROR((W1119*INDEX(Variables!$B$7:$D$7,IFERROR(MATCH(IF($B1119="Robusta","Robusta",(IF($B1119="","Arabica",$B1119))&amp;" - "&amp;(IF($C1119="","Commercial",$C1119))),Variables!$B$1:$D$1,0),1))*IFERROR(IF(AB1119="","",(AVERAGE(E1119:F1119)-AB1119)-Variables!$B$14),"")/365)+(L1119/16.67*INDEX(Variables!$B$8:$D$8,IFERROR(MATCH(IF($B1119="Robusta","Robusta",(IF($B1119="","Arabica",$B1119))&amp;" - "&amp;(IF($C1119="","Commercial",$C1119))),Variables!$B$1:$D$1,0),1))*IFERROR(IF(AB1119="","",(AVERAGE(E1119:F1119)-AB1119)-Variables!$B$14),""))+(W1119*INDEX(Variables!$B$9:$D$9,IFERROR(MATCH(IF($B1119="Robusta","Robusta",(IF($B1119="","Arabica",$B1119))&amp;" - "&amp;(IF($C1119="","Commercial",$C1119))),Variables!$B$1:$D$1,0),1))*IFERROR(IF(AB1119="","",(AVERAGE(E1119:F1119)-AB1119)-Variables!$B$14),"")/365),""))</f>
        <v/>
      </c>
      <c r="BH1119" s="44">
        <f>IF($AX1119="Cancelled","",IFERROR((W1119*INDEX(Variables!$B$7:$D$7,IFERROR(MATCH(IF($B1119="Robusta","Robusta",(IF($B1119="","Arabica",$B1119))&amp;" - "&amp;(IF($C1119="","Commercial",$C1119))),Variables!$B$1:$D$1,0),1))*AK1119/365)+(L1119/16.67*INDEX(Variables!$B$8:$D$8,IFERROR(MATCH(IF($B1119="Robusta","Robusta",(IF($B1119="","Arabica",$B1119))&amp;" - "&amp;(IF($C1119="","Commercial",$C1119))),Variables!$B$1:$D$1,0),1))*AK1119)+(W1119*INDEX(Variables!$B$9:$D$9,IFERROR(MATCH(IF($B1119="Robusta","Robusta",(IF($B1119="","Arabica",$B1119))&amp;" - "&amp;(IF($C1119="","Commercial",$C1119))),Variables!$B$1:$D$1,0),1))*AK1119/365),""))</f>
        <v>48.926665341575493</v>
      </c>
      <c r="BI1119" s="44">
        <f>IF($AX1119="Cancelled","",IFERROR((W1119*INDEX(Variables!$B$7:$D$7,IFERROR(MATCH(IF($B1119="Robusta","Robusta",(IF($B1119="","Arabica",$B1119))&amp;" - "&amp;(IF($C1119="","Commercial",$C1119))),Variables!$B$1:$D$1,0),1))*BD1119/365)+(L1119/16.67*INDEX(Variables!$B$8:$D$8,IFERROR(MATCH(IF($B1119="Robusta","Robusta",(IF($B1119="","Arabica",$B1119))&amp;" - "&amp;(IF($C1119="","Commercial",$C1119))),Variables!$B$1:$D$1,0),1))*BD1119)+(W1119*INDEX(Variables!$B$9:$D$9,IFERROR(MATCH(IF($B1119="Robusta","Robusta",(IF($B1119="","Arabica",$B1119))&amp;" - "&amp;(IF($C1119="","Commercial",$C1119))),Variables!$B$1:$D$1,0),1))*BD1119/365),""))</f>
        <v>12.231666335393873</v>
      </c>
      <c r="BJ1119" s="44">
        <f t="shared" si="54"/>
        <v>-2</v>
      </c>
      <c r="BK1119" s="44">
        <f>IF($AX1119="Cancelled","",IFERROR(IF(BJ1119="","",(W1119*INDEX(Variables!$B$7:$D$7,IFERROR(MATCH(IF($B1119="Robusta","Robusta",(IF($B1119="","Arabica",$B1119))&amp;" - "&amp;(IF($C1119="","Commercial",$C1119))),Variables!$B$1:$D$1,0),1))*(BJ1119/365))+(W1119*INDEX(Variables!$B$9:$D$9,IFERROR(MATCH(IF($B1119="Robusta","Robusta",(IF($B1119="","Arabica",$B1119))&amp;" - "&amp;(IF($C1119="","Commercial",$C1119))),Variables!$B$1:$D$1,0),1))*(BJ1119/365))+(INDEX(Variables!$B$8:$D$8,IFERROR(MATCH(IF($B1119="Robusta","Robusta",(IF($B1119="","Arabica",$B1119))&amp;" - "&amp;(IF($C1119="","Commercial",$C1119))),Variables!$B$1:$D$1,0),1))*L1119/16.67)),""))</f>
        <v>-6.2316663353938733</v>
      </c>
    </row>
    <row r="1120" spans="1:63">
      <c r="A1120" s="13" t="s">
        <v>103</v>
      </c>
      <c r="B1120" s="13" t="s">
        <v>104</v>
      </c>
      <c r="C1120" s="13" t="s">
        <v>292</v>
      </c>
      <c r="D1120" s="31">
        <v>46126</v>
      </c>
      <c r="E1120" s="31">
        <v>46143</v>
      </c>
      <c r="F1120" s="31">
        <v>46173</v>
      </c>
      <c r="G1120" s="13">
        <v>3787544</v>
      </c>
      <c r="J1120" s="13" t="s">
        <v>294</v>
      </c>
      <c r="K1120" s="13" t="s">
        <v>2790</v>
      </c>
      <c r="L1120" s="13">
        <v>30</v>
      </c>
      <c r="M1120" s="13">
        <v>0</v>
      </c>
      <c r="N1120" s="13" t="s">
        <v>2791</v>
      </c>
      <c r="O1120" s="13" t="s">
        <v>297</v>
      </c>
      <c r="P1120" s="13">
        <v>10020</v>
      </c>
      <c r="R1120" s="13" t="s">
        <v>384</v>
      </c>
      <c r="S1120" s="13" t="s">
        <v>299</v>
      </c>
      <c r="T1120" s="13" t="s">
        <v>305</v>
      </c>
      <c r="U1120" s="13" t="s">
        <v>125</v>
      </c>
      <c r="V1120" s="23">
        <v>140</v>
      </c>
      <c r="W1120" s="44">
        <f>IF($AX1120="Cancelled","",IFERROR(((V1120+INDEX(Variables!$B$6:$D$6,IFERROR(MATCH(IF($B1120="Robusta","Robusta",(IF($B1120="","Arabica",$B1120))&amp;" - "&amp;(IF($C1120="","Commercial",$C1120))),Variables!$B$1:$D$1,0),1)))*22.0462)*(L1120/16.67),""))</f>
        <v>17092.086910617876</v>
      </c>
      <c r="Y1120" s="13" t="str">
        <f>IF($AX1120="Cancelled","",IF(X1120="","",IFERROR(IF(INDEX(Variables!$B$38:$B$47,MATCH(X1120,Variables!$A$38:$A$47,0))="Yes","Yes","No"),"No")))</f>
        <v/>
      </c>
      <c r="Z1120" s="31"/>
      <c r="AC1120" s="13" t="str">
        <f t="shared" si="53"/>
        <v/>
      </c>
      <c r="AF1120" s="71">
        <v>46155</v>
      </c>
      <c r="AG1120" s="31">
        <f>IF($AX1120="Cancelled","",IFERROR(IF(F1120="","",F1120-Variables!$B$13),""))</f>
        <v>46158</v>
      </c>
      <c r="AH1120" s="13" t="str">
        <f>IF($AX1120="Cancelled","",IFERROR(IF(AB1120="","",(AVERAGE(E1120:F1120)-AB1120)-Variables!$B$14),""))</f>
        <v/>
      </c>
      <c r="AJ1120" s="47">
        <v>46162</v>
      </c>
      <c r="AK1120" s="14">
        <f>IF($AX1120="Cancelled","",IFERROR(IF(AJ1120="","",IF(AND(AB1120="",AF1120=""),"",IF(AF1120&gt;AB1120,AF1120+Variables!$B$15+Variables!$B$16+Variables!$B$17-AJ1120,AB1120+Variables!$B$16+Variables!$B$17-AJ1120))),""))</f>
        <v>8</v>
      </c>
      <c r="AL1120" s="48" t="s">
        <v>114</v>
      </c>
      <c r="AM1120" s="13" t="s">
        <v>168</v>
      </c>
      <c r="AN1120" s="13" t="s">
        <v>2261</v>
      </c>
      <c r="AP1120" s="39" t="e">
        <v>#N/A</v>
      </c>
      <c r="AR1120" s="13" t="s">
        <v>2780</v>
      </c>
      <c r="AS1120" s="31">
        <v>46175</v>
      </c>
      <c r="AU1120" s="31">
        <v>46218</v>
      </c>
      <c r="AV1120" s="13" t="s">
        <v>2781</v>
      </c>
      <c r="AW1120" s="31">
        <v>46218</v>
      </c>
      <c r="AX1120" s="13" t="str">
        <f>IF(ISNUMBER(SEARCH("cancel",#REF!)),"Cancelled",IF(AND(AS1120&lt;&gt;"",AU1120&lt;&gt;"",AW1120&lt;&gt;""),"Closed","Open"))</f>
        <v>Closed</v>
      </c>
      <c r="AY1120" s="24" t="str">
        <f t="shared" si="52"/>
        <v>All dates received</v>
      </c>
      <c r="BD1120" s="13">
        <f>IF($AX1120="Cancelled","",IFERROR(IF(OR(AS1120="",AJ1120=""),"",(AJ1120+Variables!$B$18-AS1120)),""))</f>
        <v>2</v>
      </c>
      <c r="BE1120" s="13">
        <f>IF($AX1120="Cancelled","",IFERROR(IF(OR(AW1120="",AS1120=""),"",(AS1120+Variables!$B$19)-AW1120),""))</f>
        <v>-38</v>
      </c>
      <c r="BF1120" s="44">
        <f>IF($AX1120="Cancelled","",IFERROR(W1120*INDEX(Variables!$B$7:$D$7,IFERROR(MATCH(IF($B1120="Robusta","Robusta",(IF($B1120="","Arabica",$B1120))&amp;" - "&amp;(IF($C1120="","Commercial",$C1120))),Variables!$B$1:$D$1,0),1))*(BE1120/365),""))</f>
        <v>-114.74286008311802</v>
      </c>
      <c r="BG1120" s="44" t="str">
        <f>IF($AX1120="Cancelled","",IFERROR((W1120*INDEX(Variables!$B$7:$D$7,IFERROR(MATCH(IF($B1120="Robusta","Robusta",(IF($B1120="","Arabica",$B1120))&amp;" - "&amp;(IF($C1120="","Commercial",$C1120))),Variables!$B$1:$D$1,0),1))*IFERROR(IF(AB1120="","",(AVERAGE(E1120:F1120)-AB1120)-Variables!$B$14),"")/365)+(L1120/16.67*INDEX(Variables!$B$8:$D$8,IFERROR(MATCH(IF($B1120="Robusta","Robusta",(IF($B1120="","Arabica",$B1120))&amp;" - "&amp;(IF($C1120="","Commercial",$C1120))),Variables!$B$1:$D$1,0),1))*IFERROR(IF(AB1120="","",(AVERAGE(E1120:F1120)-AB1120)-Variables!$B$14),""))+(W1120*INDEX(Variables!$B$9:$D$9,IFERROR(MATCH(IF($B1120="Robusta","Robusta",(IF($B1120="","Arabica",$B1120))&amp;" - "&amp;(IF($C1120="","Commercial",$C1120))),Variables!$B$1:$D$1,0),1))*IFERROR(IF(AB1120="","",(AVERAGE(E1120:F1120)-AB1120)-Variables!$B$14),"")/365),""))</f>
        <v/>
      </c>
      <c r="BH1120" s="44">
        <f>IF($AX1120="Cancelled","",IFERROR((W1120*INDEX(Variables!$B$7:$D$7,IFERROR(MATCH(IF($B1120="Robusta","Robusta",(IF($B1120="","Arabica",$B1120))&amp;" - "&amp;(IF($C1120="","Commercial",$C1120))),Variables!$B$1:$D$1,0),1))*AK1120/365)+(L1120/16.67*INDEX(Variables!$B$8:$D$8,IFERROR(MATCH(IF($B1120="Robusta","Robusta",(IF($B1120="","Arabica",$B1120))&amp;" - "&amp;(IF($C1120="","Commercial",$C1120))),Variables!$B$1:$D$1,0),1))*AK1120)+(W1120*INDEX(Variables!$B$9:$D$9,IFERROR(MATCH(IF($B1120="Robusta","Robusta",(IF($B1120="","Arabica",$B1120))&amp;" - "&amp;(IF($C1120="","Commercial",$C1120))),Variables!$B$1:$D$1,0),1))*AK1120/365),""))</f>
        <v>36.467814102720894</v>
      </c>
      <c r="BI1120" s="44">
        <f>IF($AX1120="Cancelled","",IFERROR((W1120*INDEX(Variables!$B$7:$D$7,IFERROR(MATCH(IF($B1120="Robusta","Robusta",(IF($B1120="","Arabica",$B1120))&amp;" - "&amp;(IF($C1120="","Commercial",$C1120))),Variables!$B$1:$D$1,0),1))*BD1120/365)+(L1120/16.67*INDEX(Variables!$B$8:$D$8,IFERROR(MATCH(IF($B1120="Robusta","Robusta",(IF($B1120="","Arabica",$B1120))&amp;" - "&amp;(IF($C1120="","Commercial",$C1120))),Variables!$B$1:$D$1,0),1))*BD1120)+(W1120*INDEX(Variables!$B$9:$D$9,IFERROR(MATCH(IF($B1120="Robusta","Robusta",(IF($B1120="","Arabica",$B1120))&amp;" - "&amp;(IF($C1120="","Commercial",$C1120))),Variables!$B$1:$D$1,0),1))*BD1120/365),""))</f>
        <v>9.1169535256802234</v>
      </c>
      <c r="BJ1120" s="44">
        <f t="shared" si="54"/>
        <v>-2</v>
      </c>
      <c r="BK1120" s="44">
        <f>IF($AX1120="Cancelled","",IFERROR(IF(BJ1120="","",(W1120*INDEX(Variables!$B$7:$D$7,IFERROR(MATCH(IF($B1120="Robusta","Robusta",(IF($B1120="","Arabica",$B1120))&amp;" - "&amp;(IF($C1120="","Commercial",$C1120))),Variables!$B$1:$D$1,0),1))*(BJ1120/365))+(W1120*INDEX(Variables!$B$9:$D$9,IFERROR(MATCH(IF($B1120="Robusta","Robusta",(IF($B1120="","Arabica",$B1120))&amp;" - "&amp;(IF($C1120="","Commercial",$C1120))),Variables!$B$1:$D$1,0),1))*(BJ1120/365))+(INDEX(Variables!$B$8:$D$8,IFERROR(MATCH(IF($B1120="Robusta","Robusta",(IF($B1120="","Arabica",$B1120))&amp;" - "&amp;(IF($C1120="","Commercial",$C1120))),Variables!$B$1:$D$1,0),1))*L1120/16.67)),""))</f>
        <v>-4.6169535256802234</v>
      </c>
    </row>
    <row r="1121" spans="1:63">
      <c r="A1121" s="13" t="s">
        <v>103</v>
      </c>
      <c r="B1121" s="13" t="s">
        <v>104</v>
      </c>
      <c r="C1121" s="13" t="s">
        <v>105</v>
      </c>
      <c r="D1121" s="31">
        <v>46126</v>
      </c>
      <c r="E1121" s="31">
        <v>46174</v>
      </c>
      <c r="F1121" s="31">
        <v>46203</v>
      </c>
      <c r="G1121" s="13">
        <v>3787545</v>
      </c>
      <c r="J1121" s="13" t="s">
        <v>118</v>
      </c>
      <c r="K1121" s="13">
        <v>5563</v>
      </c>
      <c r="L1121" s="13">
        <v>720</v>
      </c>
      <c r="M1121" s="13">
        <v>2</v>
      </c>
      <c r="N1121" s="13" t="s">
        <v>1138</v>
      </c>
      <c r="O1121" s="13" t="s">
        <v>332</v>
      </c>
      <c r="P1121" s="13">
        <v>10120</v>
      </c>
      <c r="R1121" s="13" t="s">
        <v>122</v>
      </c>
      <c r="S1121" s="13" t="s">
        <v>138</v>
      </c>
      <c r="T1121" s="13" t="s">
        <v>139</v>
      </c>
      <c r="U1121" s="13" t="s">
        <v>125</v>
      </c>
      <c r="V1121" s="23">
        <v>-27</v>
      </c>
      <c r="W1121" s="44">
        <f>IF($AX1121="Cancelled","",IFERROR(((V1121+INDEX(Variables!$B$6:$D$6,IFERROR(MATCH(IF($B1121="Robusta","Robusta",(IF($B1121="","Arabica",$B1121))&amp;" - "&amp;(IF($C1121="","Commercial",$C1121))),Variables!$B$1:$D$1,0),1)))*22.0462)*(L1121/16.67),""))</f>
        <v>251191.78423515294</v>
      </c>
      <c r="X1121" s="55" t="s">
        <v>37</v>
      </c>
      <c r="Y1121" s="13" t="str">
        <f>IF($AX1121="Cancelled","",IF(X1121="","",IFERROR(IF(INDEX(Variables!$B$38:$B$47,MATCH(X1121,Variables!$A$38:$A$47,0))="Yes","Yes","No"),"No")))</f>
        <v>Yes</v>
      </c>
      <c r="Z1121" s="58">
        <v>46195</v>
      </c>
      <c r="AB1121" s="31">
        <v>46206</v>
      </c>
      <c r="AC1121" s="13" t="str">
        <f t="shared" si="53"/>
        <v>Approved</v>
      </c>
      <c r="AF1121" s="71">
        <v>46214</v>
      </c>
      <c r="AG1121" s="35">
        <f>IF($AX1121="Cancelled","",IFERROR(IF(F1121="","",F1121-Variables!$B$13),""))</f>
        <v>46188</v>
      </c>
      <c r="AH1121" s="13">
        <f>IF($AX1121="Cancelled","",IFERROR(IF(AB1121="","",(AVERAGE(E1121:F1121)-AB1121)-Variables!$B$14),""))</f>
        <v>-47.5</v>
      </c>
      <c r="AJ1121" s="47">
        <v>46218</v>
      </c>
      <c r="AK1121" s="14">
        <f>IF($AX1121="Cancelled","",IFERROR(IF(AJ1121="","",IF(AND(AB1121="",AF1121=""),"",IF(AF1121&gt;AB1121,AF1121+Variables!$B$15+Variables!$B$16+Variables!$B$17-AJ1121,AB1121+Variables!$B$16+Variables!$B$17-AJ1121))),""))</f>
        <v>11</v>
      </c>
      <c r="AL1121" s="48" t="s">
        <v>114</v>
      </c>
      <c r="AM1121" s="13" t="s">
        <v>1526</v>
      </c>
      <c r="AN1121" s="13" t="s">
        <v>1680</v>
      </c>
      <c r="AP1121" s="39">
        <v>46227</v>
      </c>
      <c r="AR1121" s="13" t="s">
        <v>2792</v>
      </c>
      <c r="AS1121" s="31">
        <v>46227</v>
      </c>
      <c r="AU1121" s="31">
        <v>46245</v>
      </c>
      <c r="AV1121" s="13" t="s">
        <v>865</v>
      </c>
      <c r="AW1121" s="39">
        <v>46245</v>
      </c>
      <c r="AX1121" s="13" t="str">
        <f>IF(ISNUMBER(SEARCH("cancel",#REF!)),"Cancelled",IF(AND(AS1121&lt;&gt;"",AU1121&lt;&gt;"",AW1121&lt;&gt;""),"Closed","Open"))</f>
        <v>Closed</v>
      </c>
      <c r="AY1121" s="15" t="str">
        <f t="shared" si="52"/>
        <v>All dates received</v>
      </c>
      <c r="AZ1121" s="13" t="s">
        <v>3047</v>
      </c>
      <c r="BA1121" s="13" t="s">
        <v>3062</v>
      </c>
      <c r="BB1121" s="13" t="s">
        <v>3055</v>
      </c>
      <c r="BC1121" s="13" t="s">
        <v>3300</v>
      </c>
      <c r="BD1121" s="13">
        <f>IF($AX1121="Cancelled","",IFERROR(IF(OR(AS1121="",AJ1121=""),"",(AJ1121+Variables!$B$18-AS1121)),""))</f>
        <v>6</v>
      </c>
      <c r="BE1121" s="13">
        <f>IF($AX1121="Cancelled","",IFERROR(IF(OR(AW1121="",AS1121=""),"",(AS1121+Variables!$B$19)-AW1121),""))</f>
        <v>-13</v>
      </c>
      <c r="BF1121" s="44">
        <f>IF($AX1121="Cancelled","",IFERROR(W1121*INDEX(Variables!$B$7:$D$7,IFERROR(MATCH(IF($B1121="Robusta","Robusta",(IF($B1121="","Arabica",$B1121))&amp;" - "&amp;(IF($C1121="","Commercial",$C1121))),Variables!$B$1:$D$1,0),1))*(BE1121/365),""))</f>
        <v>-576.893658362476</v>
      </c>
      <c r="BG1121" s="44">
        <f>IF($AX1121="Cancelled","",IFERROR((W1121*INDEX(Variables!$B$7:$D$7,IFERROR(MATCH(IF($B1121="Robusta","Robusta",(IF($B1121="","Arabica",$B1121))&amp;" - "&amp;(IF($C1121="","Commercial",$C1121))),Variables!$B$1:$D$1,0),1))*IFERROR(IF(AB1121="","",(AVERAGE(E1121:F1121)-AB1121)-Variables!$B$14),"")/365)+(L1121/16.67*INDEX(Variables!$B$8:$D$8,IFERROR(MATCH(IF($B1121="Robusta","Robusta",(IF($B1121="","Arabica",$B1121))&amp;" - "&amp;(IF($C1121="","Commercial",$C1121))),Variables!$B$1:$D$1,0),1))*IFERROR(IF(AB1121="","",(AVERAGE(E1121:F1121)-AB1121)-Variables!$B$14),""))+(W1121*INDEX(Variables!$B$9:$D$9,IFERROR(MATCH(IF($B1121="Robusta","Robusta",(IF($B1121="","Arabica",$B1121))&amp;" - "&amp;(IF($C1121="","Commercial",$C1121))),Variables!$B$1:$D$1,0),1))*IFERROR(IF(AB1121="","",(AVERAGE(E1121:F1121)-AB1121)-Variables!$B$14),"")/365),""))</f>
        <v>-3845.0553246110321</v>
      </c>
      <c r="BH1121" s="44">
        <f>IF($AX1121="Cancelled","",IFERROR((W1121*INDEX(Variables!$B$7:$D$7,IFERROR(MATCH(IF($B1121="Robusta","Robusta",(IF($B1121="","Arabica",$B1121))&amp;" - "&amp;(IF($C1121="","Commercial",$C1121))),Variables!$B$1:$D$1,0),1))*AK1121/365)+(L1121/16.67*INDEX(Variables!$B$8:$D$8,IFERROR(MATCH(IF($B1121="Robusta","Robusta",(IF($B1121="","Arabica",$B1121))&amp;" - "&amp;(IF($C1121="","Commercial",$C1121))),Variables!$B$1:$D$1,0),1))*AK1121)+(W1121*INDEX(Variables!$B$9:$D$9,IFERROR(MATCH(IF($B1121="Robusta","Robusta",(IF($B1121="","Arabica",$B1121))&amp;" - "&amp;(IF($C1121="","Commercial",$C1121))),Variables!$B$1:$D$1,0),1))*AK1121/365),""))</f>
        <v>890.4338646467653</v>
      </c>
      <c r="BI1121" s="44">
        <f>IF($AX1121="Cancelled","",IFERROR((W1121*INDEX(Variables!$B$7:$D$7,IFERROR(MATCH(IF($B1121="Robusta","Robusta",(IF($B1121="","Arabica",$B1121))&amp;" - "&amp;(IF($C1121="","Commercial",$C1121))),Variables!$B$1:$D$1,0),1))*BD1121/365)+(L1121/16.67*INDEX(Variables!$B$8:$D$8,IFERROR(MATCH(IF($B1121="Robusta","Robusta",(IF($B1121="","Arabica",$B1121))&amp;" - "&amp;(IF($C1121="","Commercial",$C1121))),Variables!$B$1:$D$1,0),1))*BD1121)+(W1121*INDEX(Variables!$B$9:$D$9,IFERROR(MATCH(IF($B1121="Robusta","Robusta",(IF($B1121="","Arabica",$B1121))&amp;" - "&amp;(IF($C1121="","Commercial",$C1121))),Variables!$B$1:$D$1,0),1))*BD1121/365),""))</f>
        <v>485.6911988982356</v>
      </c>
      <c r="BJ1121" s="44">
        <f t="shared" si="54"/>
        <v>-24</v>
      </c>
      <c r="BK1121" s="44">
        <f>IF($AX1121="Cancelled","",IFERROR(IF(BJ1121="","",(W1121*INDEX(Variables!$B$7:$D$7,IFERROR(MATCH(IF($B1121="Robusta","Robusta",(IF($B1121="","Arabica",$B1121))&amp;" - "&amp;(IF($C1121="","Commercial",$C1121))),Variables!$B$1:$D$1,0),1))*(BJ1121/365))+(W1121*INDEX(Variables!$B$9:$D$9,IFERROR(MATCH(IF($B1121="Robusta","Robusta",(IF($B1121="","Arabica",$B1121))&amp;" - "&amp;(IF($C1121="","Commercial",$C1121))),Variables!$B$1:$D$1,0),1))*(BJ1121/365))+(INDEX(Variables!$B$8:$D$8,IFERROR(MATCH(IF($B1121="Robusta","Robusta",(IF($B1121="","Arabica",$B1121))&amp;" - "&amp;(IF($C1121="","Commercial",$C1121))),Variables!$B$1:$D$1,0),1))*L1121/16.67)),""))</f>
        <v>-1042.7647955929422</v>
      </c>
    </row>
    <row r="1122" spans="1:63">
      <c r="A1122" s="13" t="s">
        <v>103</v>
      </c>
      <c r="B1122" s="13" t="s">
        <v>104</v>
      </c>
      <c r="C1122" s="13" t="s">
        <v>105</v>
      </c>
      <c r="D1122" s="31">
        <v>46126</v>
      </c>
      <c r="E1122" s="31">
        <v>46204</v>
      </c>
      <c r="F1122" s="31">
        <v>46234</v>
      </c>
      <c r="G1122" s="13">
        <v>3787546</v>
      </c>
      <c r="J1122" s="13" t="s">
        <v>118</v>
      </c>
      <c r="K1122" s="13">
        <v>5586</v>
      </c>
      <c r="L1122" s="13">
        <v>720</v>
      </c>
      <c r="M1122" s="13">
        <v>2</v>
      </c>
      <c r="N1122" s="13" t="s">
        <v>1138</v>
      </c>
      <c r="O1122" s="13" t="s">
        <v>332</v>
      </c>
      <c r="P1122" s="13">
        <v>10120</v>
      </c>
      <c r="R1122" s="13" t="s">
        <v>122</v>
      </c>
      <c r="S1122" s="13" t="s">
        <v>2793</v>
      </c>
      <c r="T1122" s="13" t="s">
        <v>124</v>
      </c>
      <c r="U1122" s="13" t="s">
        <v>125</v>
      </c>
      <c r="V1122" s="23">
        <v>-27</v>
      </c>
      <c r="W1122" s="44">
        <f>IF($AX1122="Cancelled","",IFERROR(((V1122+INDEX(Variables!$B$6:$D$6,IFERROR(MATCH(IF($B1122="Robusta","Robusta",(IF($B1122="","Arabica",$B1122))&amp;" - "&amp;(IF($C1122="","Commercial",$C1122))),Variables!$B$1:$D$1,0),1)))*22.0462)*(L1122/16.67),""))</f>
        <v>251191.78423515294</v>
      </c>
      <c r="X1122" s="55" t="s">
        <v>37</v>
      </c>
      <c r="Y1122" s="13" t="str">
        <f>IF($AX1122="Cancelled","",IF(X1122="","",IFERROR(IF(INDEX(Variables!$B$38:$B$47,MATCH(X1122,Variables!$A$38:$A$47,0))="Yes","Yes","No"),"No")))</f>
        <v>Yes</v>
      </c>
      <c r="Z1122" s="58">
        <v>46167</v>
      </c>
      <c r="AB1122" s="31">
        <v>46209</v>
      </c>
      <c r="AC1122" s="13" t="str">
        <f t="shared" si="53"/>
        <v>Approved</v>
      </c>
      <c r="AF1122" s="71">
        <v>46214</v>
      </c>
      <c r="AG1122" s="35">
        <f>IF($AX1122="Cancelled","",IFERROR(IF(F1122="","",F1122-Variables!$B$13),""))</f>
        <v>46219</v>
      </c>
      <c r="AH1122" s="13">
        <f>IF($AX1122="Cancelled","",IFERROR(IF(AB1122="","",(AVERAGE(E1122:F1122)-AB1122)-Variables!$B$14),""))</f>
        <v>-20</v>
      </c>
      <c r="AJ1122" s="47">
        <v>46218</v>
      </c>
      <c r="AK1122" s="14">
        <f>IF($AX1122="Cancelled","",IFERROR(IF(AJ1122="","",IF(AND(AB1122="",AF1122=""),"",IF(AF1122&gt;AB1122,AF1122+Variables!$B$15+Variables!$B$16+Variables!$B$17-AJ1122,AB1122+Variables!$B$16+Variables!$B$17-AJ1122))),""))</f>
        <v>11</v>
      </c>
      <c r="AL1122" s="48" t="s">
        <v>114</v>
      </c>
      <c r="AM1122" s="13" t="s">
        <v>168</v>
      </c>
      <c r="AN1122" s="13" t="s">
        <v>2362</v>
      </c>
      <c r="AP1122" s="39">
        <v>46227</v>
      </c>
      <c r="AR1122" s="13" t="s">
        <v>2794</v>
      </c>
      <c r="AS1122" s="31">
        <v>46227</v>
      </c>
      <c r="AU1122" s="39">
        <v>46238</v>
      </c>
      <c r="AV1122" s="13" t="s">
        <v>865</v>
      </c>
      <c r="AW1122" s="39">
        <v>46238</v>
      </c>
      <c r="AX1122" s="13" t="str">
        <f>IF(ISNUMBER(SEARCH("cancel",#REF!)),"Cancelled",IF(AND(AS1122&lt;&gt;"",AU1122&lt;&gt;"",AW1122&lt;&gt;""),"Closed","Open"))</f>
        <v>Closed</v>
      </c>
      <c r="AY1122" s="15" t="str">
        <f t="shared" si="52"/>
        <v>All dates received</v>
      </c>
      <c r="BD1122" s="13">
        <f>IF($AX1122="Cancelled","",IFERROR(IF(OR(AS1122="",AJ1122=""),"",(AJ1122+Variables!$B$18-AS1122)),""))</f>
        <v>6</v>
      </c>
      <c r="BE1122" s="13">
        <f>IF($AX1122="Cancelled","",IFERROR(IF(OR(AW1122="",AS1122=""),"",(AS1122+Variables!$B$19)-AW1122),""))</f>
        <v>-6</v>
      </c>
      <c r="BF1122" s="44">
        <f>IF($AX1122="Cancelled","",IFERROR(W1122*INDEX(Variables!$B$7:$D$7,IFERROR(MATCH(IF($B1122="Robusta","Robusta",(IF($B1122="","Arabica",$B1122))&amp;" - "&amp;(IF($C1122="","Commercial",$C1122))),Variables!$B$1:$D$1,0),1))*(BE1122/365),""))</f>
        <v>-266.258611551912</v>
      </c>
      <c r="BG1122" s="44">
        <f>IF($AX1122="Cancelled","",IFERROR((W1122*INDEX(Variables!$B$7:$D$7,IFERROR(MATCH(IF($B1122="Robusta","Robusta",(IF($B1122="","Arabica",$B1122))&amp;" - "&amp;(IF($C1122="","Commercial",$C1122))),Variables!$B$1:$D$1,0),1))*IFERROR(IF(AB1122="","",(AVERAGE(E1122:F1122)-AB1122)-Variables!$B$14),"")/365)+(L1122/16.67*INDEX(Variables!$B$8:$D$8,IFERROR(MATCH(IF($B1122="Robusta","Robusta",(IF($B1122="","Arabica",$B1122))&amp;" - "&amp;(IF($C1122="","Commercial",$C1122))),Variables!$B$1:$D$1,0),1))*IFERROR(IF(AB1122="","",(AVERAGE(E1122:F1122)-AB1122)-Variables!$B$14),""))+(W1122*INDEX(Variables!$B$9:$D$9,IFERROR(MATCH(IF($B1122="Robusta","Robusta",(IF($B1122="","Arabica",$B1122))&amp;" - "&amp;(IF($C1122="","Commercial",$C1122))),Variables!$B$1:$D$1,0),1))*IFERROR(IF(AB1122="","",(AVERAGE(E1122:F1122)-AB1122)-Variables!$B$14),"")/365),""))</f>
        <v>-1618.9706629941186</v>
      </c>
      <c r="BH1122" s="44">
        <f>IF($AX1122="Cancelled","",IFERROR((W1122*INDEX(Variables!$B$7:$D$7,IFERROR(MATCH(IF($B1122="Robusta","Robusta",(IF($B1122="","Arabica",$B1122))&amp;" - "&amp;(IF($C1122="","Commercial",$C1122))),Variables!$B$1:$D$1,0),1))*AK1122/365)+(L1122/16.67*INDEX(Variables!$B$8:$D$8,IFERROR(MATCH(IF($B1122="Robusta","Robusta",(IF($B1122="","Arabica",$B1122))&amp;" - "&amp;(IF($C1122="","Commercial",$C1122))),Variables!$B$1:$D$1,0),1))*AK1122)+(W1122*INDEX(Variables!$B$9:$D$9,IFERROR(MATCH(IF($B1122="Robusta","Robusta",(IF($B1122="","Arabica",$B1122))&amp;" - "&amp;(IF($C1122="","Commercial",$C1122))),Variables!$B$1:$D$1,0),1))*AK1122/365),""))</f>
        <v>890.4338646467653</v>
      </c>
      <c r="BI1122" s="44">
        <f>IF($AX1122="Cancelled","",IFERROR((W1122*INDEX(Variables!$B$7:$D$7,IFERROR(MATCH(IF($B1122="Robusta","Robusta",(IF($B1122="","Arabica",$B1122))&amp;" - "&amp;(IF($C1122="","Commercial",$C1122))),Variables!$B$1:$D$1,0),1))*BD1122/365)+(L1122/16.67*INDEX(Variables!$B$8:$D$8,IFERROR(MATCH(IF($B1122="Robusta","Robusta",(IF($B1122="","Arabica",$B1122))&amp;" - "&amp;(IF($C1122="","Commercial",$C1122))),Variables!$B$1:$D$1,0),1))*BD1122)+(W1122*INDEX(Variables!$B$9:$D$9,IFERROR(MATCH(IF($B1122="Robusta","Robusta",(IF($B1122="","Arabica",$B1122))&amp;" - "&amp;(IF($C1122="","Commercial",$C1122))),Variables!$B$1:$D$1,0),1))*BD1122/365),""))</f>
        <v>485.6911988982356</v>
      </c>
      <c r="BJ1122" s="44">
        <f t="shared" si="54"/>
        <v>7</v>
      </c>
      <c r="BK1122" s="44">
        <f>IF($AX1122="Cancelled","",IFERROR(IF(BJ1122="","",(W1122*INDEX(Variables!$B$7:$D$7,IFERROR(MATCH(IF($B1122="Robusta","Robusta",(IF($B1122="","Arabica",$B1122))&amp;" - "&amp;(IF($C1122="","Commercial",$C1122))),Variables!$B$1:$D$1,0),1))*(BJ1122/365))+(W1122*INDEX(Variables!$B$9:$D$9,IFERROR(MATCH(IF($B1122="Robusta","Robusta",(IF($B1122="","Arabica",$B1122))&amp;" - "&amp;(IF($C1122="","Commercial",$C1122))),Variables!$B$1:$D$1,0),1))*(BJ1122/365))+(INDEX(Variables!$B$8:$D$8,IFERROR(MATCH(IF($B1122="Robusta","Robusta",(IF($B1122="","Arabica",$B1122))&amp;" - "&amp;(IF($C1122="","Commercial",$C1122))),Variables!$B$1:$D$1,0),1))*L1122/16.67)),""))</f>
        <v>350.63973204794149</v>
      </c>
    </row>
    <row r="1123" spans="1:63">
      <c r="A1123" s="13" t="s">
        <v>103</v>
      </c>
      <c r="B1123" s="13" t="s">
        <v>104</v>
      </c>
      <c r="C1123" s="13" t="s">
        <v>105</v>
      </c>
      <c r="D1123" s="31">
        <v>46127</v>
      </c>
      <c r="E1123" s="31">
        <v>46143</v>
      </c>
      <c r="F1123" s="31">
        <v>46173</v>
      </c>
      <c r="G1123" s="13">
        <v>3787547</v>
      </c>
      <c r="J1123" s="13" t="s">
        <v>260</v>
      </c>
      <c r="K1123" s="13">
        <v>5551</v>
      </c>
      <c r="L1123" s="13">
        <v>333</v>
      </c>
      <c r="M1123" s="13">
        <v>1</v>
      </c>
      <c r="N1123" s="13" t="s">
        <v>2795</v>
      </c>
      <c r="O1123" s="13" t="s">
        <v>456</v>
      </c>
      <c r="P1123" s="13">
        <v>10140</v>
      </c>
      <c r="R1123" s="13" t="s">
        <v>271</v>
      </c>
      <c r="S1123" s="13" t="s">
        <v>167</v>
      </c>
      <c r="T1123" s="13" t="s">
        <v>155</v>
      </c>
      <c r="U1123" s="13" t="s">
        <v>125</v>
      </c>
      <c r="V1123" s="23">
        <v>-56</v>
      </c>
      <c r="W1123" s="44">
        <f>IF($AX1123="Cancelled","",IFERROR(((V1123+INDEX(Variables!$B$6:$D$6,IFERROR(MATCH(IF($B1123="Robusta","Robusta",(IF($B1123="","Arabica",$B1123))&amp;" - "&amp;(IF($C1123="","Commercial",$C1123))),Variables!$B$1:$D$1,0),1)))*22.0462)*(L1123/16.67),""))</f>
        <v>103404.74529574084</v>
      </c>
      <c r="X1123" s="55" t="s">
        <v>37</v>
      </c>
      <c r="Y1123" s="13" t="str">
        <f>IF($AX1123="Cancelled","",IF(X1123="","",IFERROR(IF(INDEX(Variables!$B$38:$B$47,MATCH(X1123,Variables!$A$38:$A$47,0))="Yes","Yes","No"),"No")))</f>
        <v>Yes</v>
      </c>
      <c r="Z1123" s="58">
        <v>46157</v>
      </c>
      <c r="AB1123" s="31">
        <v>46178</v>
      </c>
      <c r="AC1123" s="13" t="str">
        <f t="shared" si="53"/>
        <v>Approved</v>
      </c>
      <c r="AF1123" s="71">
        <v>46184</v>
      </c>
      <c r="AG1123" s="35">
        <f>IF($AX1123="Cancelled","",IFERROR(IF(F1123="","",F1123-Variables!$B$13),""))</f>
        <v>46158</v>
      </c>
      <c r="AH1123" s="13">
        <f>IF($AX1123="Cancelled","",IFERROR(IF(AB1123="","",(AVERAGE(E1123:F1123)-AB1123)-Variables!$B$14),""))</f>
        <v>-50</v>
      </c>
      <c r="AJ1123" s="47">
        <v>46193</v>
      </c>
      <c r="AK1123" s="14">
        <f>IF($AX1123="Cancelled","",IFERROR(IF(AJ1123="","",IF(AND(AB1123="",AF1123=""),"",IF(AF1123&gt;AB1123,AF1123+Variables!$B$15+Variables!$B$16+Variables!$B$17-AJ1123,AB1123+Variables!$B$16+Variables!$B$17-AJ1123))),""))</f>
        <v>6</v>
      </c>
      <c r="AL1123" s="48" t="s">
        <v>114</v>
      </c>
      <c r="AM1123" s="13" t="s">
        <v>1526</v>
      </c>
      <c r="AN1123" s="13" t="s">
        <v>2796</v>
      </c>
      <c r="AP1123" s="39">
        <v>46211</v>
      </c>
      <c r="AR1123" s="13">
        <v>935227</v>
      </c>
      <c r="AS1123" s="31">
        <v>46211</v>
      </c>
      <c r="AU1123" s="31">
        <v>46234</v>
      </c>
      <c r="AV1123" s="13" t="e">
        <v>#REF!</v>
      </c>
      <c r="AW1123" s="31">
        <v>46234</v>
      </c>
      <c r="AX1123" s="13" t="str">
        <f>IF(ISNUMBER(SEARCH("cancel",#REF!)),"Cancelled",IF(AND(AS1123&lt;&gt;"",AU1123&lt;&gt;"",AW1123&lt;&gt;""),"Closed","Open"))</f>
        <v>Closed</v>
      </c>
      <c r="AY1123" s="15" t="str">
        <f t="shared" si="52"/>
        <v>All dates received</v>
      </c>
      <c r="BD1123" s="13">
        <f>IF($AX1123="Cancelled","",IFERROR(IF(OR(AS1123="",AJ1123=""),"",(AJ1123+Variables!$B$18-AS1123)),""))</f>
        <v>-3</v>
      </c>
      <c r="BE1123" s="13">
        <f>IF($AX1123="Cancelled","",IFERROR(IF(OR(AW1123="",AS1123=""),"",(AS1123+Variables!$B$19)-AW1123),""))</f>
        <v>-18</v>
      </c>
      <c r="BF1123" s="44">
        <f>IF($AX1123="Cancelled","",IFERROR(W1123*INDEX(Variables!$B$7:$D$7,IFERROR(MATCH(IF($B1123="Robusta","Robusta",(IF($B1123="","Arabica",$B1123))&amp;" - "&amp;(IF($C1123="","Commercial",$C1123))),Variables!$B$1:$D$1,0),1))*(BE1123/365),""))</f>
        <v>-328.8213107067462</v>
      </c>
      <c r="BG1123" s="44">
        <f>IF($AX1123="Cancelled","",IFERROR((W1123*INDEX(Variables!$B$7:$D$7,IFERROR(MATCH(IF($B1123="Robusta","Robusta",(IF($B1123="","Arabica",$B1123))&amp;" - "&amp;(IF($C1123="","Commercial",$C1123))),Variables!$B$1:$D$1,0),1))*IFERROR(IF(AB1123="","",(AVERAGE(E1123:F1123)-AB1123)-Variables!$B$14),"")/365)+(L1123/16.67*INDEX(Variables!$B$8:$D$8,IFERROR(MATCH(IF($B1123="Robusta","Robusta",(IF($B1123="","Arabica",$B1123))&amp;" - "&amp;(IF($C1123="","Commercial",$C1123))),Variables!$B$1:$D$1,0),1))*IFERROR(IF(AB1123="","",(AVERAGE(E1123:F1123)-AB1123)-Variables!$B$14),""))+(W1123*INDEX(Variables!$B$9:$D$9,IFERROR(MATCH(IF($B1123="Robusta","Robusta",(IF($B1123="","Arabica",$B1123))&amp;" - "&amp;(IF($C1123="","Commercial",$C1123))),Variables!$B$1:$D$1,0),1))*IFERROR(IF(AB1123="","",(AVERAGE(E1123:F1123)-AB1123)-Variables!$B$14),"")/365),""))</f>
        <v>-1757.6679221744344</v>
      </c>
      <c r="BH1123" s="44">
        <f>IF($AX1123="Cancelled","",IFERROR((W1123*INDEX(Variables!$B$7:$D$7,IFERROR(MATCH(IF($B1123="Robusta","Robusta",(IF($B1123="","Arabica",$B1123))&amp;" - "&amp;(IF($C1123="","Commercial",$C1123))),Variables!$B$1:$D$1,0),1))*AK1123/365)+(L1123/16.67*INDEX(Variables!$B$8:$D$8,IFERROR(MATCH(IF($B1123="Robusta","Robusta",(IF($B1123="","Arabica",$B1123))&amp;" - "&amp;(IF($C1123="","Commercial",$C1123))),Variables!$B$1:$D$1,0),1))*AK1123)+(W1123*INDEX(Variables!$B$9:$D$9,IFERROR(MATCH(IF($B1123="Robusta","Robusta",(IF($B1123="","Arabica",$B1123))&amp;" - "&amp;(IF($C1123="","Commercial",$C1123))),Variables!$B$1:$D$1,0),1))*AK1123/365),""))</f>
        <v>210.92015066093211</v>
      </c>
      <c r="BI1123" s="44">
        <f>IF($AX1123="Cancelled","",IFERROR((W1123*INDEX(Variables!$B$7:$D$7,IFERROR(MATCH(IF($B1123="Robusta","Robusta",(IF($B1123="","Arabica",$B1123))&amp;" - "&amp;(IF($C1123="","Commercial",$C1123))),Variables!$B$1:$D$1,0),1))*BD1123/365)+(L1123/16.67*INDEX(Variables!$B$8:$D$8,IFERROR(MATCH(IF($B1123="Robusta","Robusta",(IF($B1123="","Arabica",$B1123))&amp;" - "&amp;(IF($C1123="","Commercial",$C1123))),Variables!$B$1:$D$1,0),1))*BD1123)+(W1123*INDEX(Variables!$B$9:$D$9,IFERROR(MATCH(IF($B1123="Robusta","Robusta",(IF($B1123="","Arabica",$B1123))&amp;" - "&amp;(IF($C1123="","Commercial",$C1123))),Variables!$B$1:$D$1,0),1))*BD1123/365),""))</f>
        <v>-105.46007533046605</v>
      </c>
      <c r="BJ1123" s="44">
        <f t="shared" si="54"/>
        <v>-38</v>
      </c>
      <c r="BK1123" s="44">
        <f>IF($AX1123="Cancelled","",IFERROR(IF(BJ1123="","",(W1123*INDEX(Variables!$B$7:$D$7,IFERROR(MATCH(IF($B1123="Robusta","Robusta",(IF($B1123="","Arabica",$B1123))&amp;" - "&amp;(IF($C1123="","Commercial",$C1123))),Variables!$B$1:$D$1,0),1))*(BJ1123/365))+(W1123*INDEX(Variables!$B$9:$D$9,IFERROR(MATCH(IF($B1123="Robusta","Robusta",(IF($B1123="","Arabica",$B1123))&amp;" - "&amp;(IF($C1123="","Commercial",$C1123))),Variables!$B$1:$D$1,0),1))*(BJ1123/365))+(INDEX(Variables!$B$8:$D$8,IFERROR(MATCH(IF($B1123="Robusta","Robusta",(IF($B1123="","Arabica",$B1123))&amp;" - "&amp;(IF($C1123="","Commercial",$C1123))),Variables!$B$1:$D$1,0),1))*L1123/16.67)),""))</f>
        <v>-686.47762085257011</v>
      </c>
    </row>
    <row r="1124" spans="1:63">
      <c r="A1124" s="13" t="s">
        <v>103</v>
      </c>
      <c r="B1124" s="13" t="s">
        <v>104</v>
      </c>
      <c r="C1124" s="13" t="s">
        <v>105</v>
      </c>
      <c r="D1124" s="31">
        <v>46128</v>
      </c>
      <c r="E1124" s="31">
        <v>46174</v>
      </c>
      <c r="F1124" s="31">
        <v>46203</v>
      </c>
      <c r="G1124" s="13">
        <v>3787548</v>
      </c>
      <c r="J1124" s="13" t="s">
        <v>506</v>
      </c>
      <c r="K1124" s="13">
        <v>5579</v>
      </c>
      <c r="L1124" s="13">
        <v>320</v>
      </c>
      <c r="M1124" s="13">
        <v>1</v>
      </c>
      <c r="N1124" s="13" t="s">
        <v>2797</v>
      </c>
      <c r="O1124" s="13" t="s">
        <v>120</v>
      </c>
      <c r="P1124" s="13">
        <v>10070</v>
      </c>
      <c r="R1124" s="13" t="s">
        <v>239</v>
      </c>
      <c r="S1124" s="13" t="s">
        <v>1155</v>
      </c>
      <c r="T1124" s="13" t="s">
        <v>329</v>
      </c>
      <c r="U1124" s="13" t="s">
        <v>330</v>
      </c>
      <c r="V1124" s="23">
        <v>40</v>
      </c>
      <c r="W1124" s="44">
        <f>IF($AX1124="Cancelled","",IFERROR(((V1124+INDEX(Variables!$B$6:$D$6,IFERROR(MATCH(IF($B1124="Robusta","Robusta",(IF($B1124="","Arabica",$B1124))&amp;" - "&amp;(IF($C1124="","Commercial",$C1124))),Variables!$B$1:$D$1,0),1)))*22.0462)*(L1124/16.67),""))</f>
        <v>139995.35376124774</v>
      </c>
      <c r="X1124" s="55" t="s">
        <v>37</v>
      </c>
      <c r="Y1124" s="13" t="str">
        <f>IF($AX1124="Cancelled","",IF(X1124="","",IFERROR(IF(INDEX(Variables!$B$38:$B$47,MATCH(X1124,Variables!$A$38:$A$47,0))="Yes","Yes","No"),"No")))</f>
        <v>Yes</v>
      </c>
      <c r="Z1124" s="58">
        <v>46133</v>
      </c>
      <c r="AB1124" s="31">
        <v>46148</v>
      </c>
      <c r="AC1124" s="13" t="str">
        <f t="shared" si="53"/>
        <v>Approved</v>
      </c>
      <c r="AF1124" s="71">
        <v>46199</v>
      </c>
      <c r="AG1124" s="35">
        <f>IF($AX1124="Cancelled","",IFERROR(IF(F1124="","",F1124-Variables!$B$13),""))</f>
        <v>46188</v>
      </c>
      <c r="AH1124" s="13">
        <f>IF($AX1124="Cancelled","",IFERROR(IF(AB1124="","",(AVERAGE(E1124:F1124)-AB1124)-Variables!$B$14),""))</f>
        <v>10.5</v>
      </c>
      <c r="AJ1124" s="47">
        <v>46216</v>
      </c>
      <c r="AK1124" s="14">
        <f>IF($AX1124="Cancelled","",IFERROR(IF(AJ1124="","",IF(AND(AB1124="",AF1124=""),"",IF(AF1124&gt;AB1124,AF1124+Variables!$B$15+Variables!$B$16+Variables!$B$17-AJ1124,AB1124+Variables!$B$16+Variables!$B$17-AJ1124))),""))</f>
        <v>-2</v>
      </c>
      <c r="AL1124" s="48" t="s">
        <v>114</v>
      </c>
      <c r="AM1124" s="13" t="s">
        <v>115</v>
      </c>
      <c r="AN1124" s="13" t="s">
        <v>2310</v>
      </c>
      <c r="AP1124" s="39">
        <v>46224</v>
      </c>
      <c r="AR1124" s="13">
        <v>272815870</v>
      </c>
      <c r="AS1124" s="31" t="s">
        <v>2311</v>
      </c>
      <c r="AU1124" s="31">
        <v>46269</v>
      </c>
      <c r="AV1124" s="13" t="s">
        <v>865</v>
      </c>
      <c r="AW1124" s="39">
        <v>46269</v>
      </c>
      <c r="AX1124" s="13" t="str">
        <f>IF(ISNUMBER(SEARCH("cancel",#REF!)),"Cancelled",IF(AND(AS1124&lt;&gt;"",AU1124&lt;&gt;"",AW1124&lt;&gt;""),"Closed","Open"))</f>
        <v>Closed</v>
      </c>
      <c r="AY1124" s="15" t="str">
        <f t="shared" si="52"/>
        <v>All dates received</v>
      </c>
      <c r="AZ1124" s="13" t="s">
        <v>3047</v>
      </c>
      <c r="BA1124" s="13" t="s">
        <v>3057</v>
      </c>
      <c r="BB1124" s="13" t="s">
        <v>3058</v>
      </c>
      <c r="BC1124" s="13" t="s">
        <v>3301</v>
      </c>
      <c r="BD1124" s="13" t="str">
        <f>IF($AX1124="Cancelled","",IFERROR(IF(OR(AS1124="",AJ1124=""),"",(AJ1124+Variables!$B$18-AS1124)),""))</f>
        <v/>
      </c>
      <c r="BE1124" s="13" t="str">
        <f>IF($AX1124="Cancelled","",IFERROR(IF(OR(AW1124="",AS1124=""),"",(AS1124+Variables!$B$19)-AW1124),""))</f>
        <v/>
      </c>
      <c r="BF1124" s="44" t="str">
        <f>IF($AX1124="Cancelled","",IFERROR(W1124*INDEX(Variables!$B$7:$D$7,IFERROR(MATCH(IF($B1124="Robusta","Robusta",(IF($B1124="","Arabica",$B1124))&amp;" - "&amp;(IF($C1124="","Commercial",$C1124))),Variables!$B$1:$D$1,0),1))*(BE1124/365),""))</f>
        <v/>
      </c>
      <c r="BG1124" s="44">
        <f>IF($AX1124="Cancelled","",IFERROR((W1124*INDEX(Variables!$B$7:$D$7,IFERROR(MATCH(IF($B1124="Robusta","Robusta",(IF($B1124="","Arabica",$B1124))&amp;" - "&amp;(IF($C1124="","Commercial",$C1124))),Variables!$B$1:$D$1,0),1))*IFERROR(IF(AB1124="","",(AVERAGE(E1124:F1124)-AB1124)-Variables!$B$14),"")/365)+(L1124/16.67*INDEX(Variables!$B$8:$D$8,IFERROR(MATCH(IF($B1124="Robusta","Robusta",(IF($B1124="","Arabica",$B1124))&amp;" - "&amp;(IF($C1124="","Commercial",$C1124))),Variables!$B$1:$D$1,0),1))*IFERROR(IF(AB1124="","",(AVERAGE(E1124:F1124)-AB1124)-Variables!$B$14),""))+(W1124*INDEX(Variables!$B$9:$D$9,IFERROR(MATCH(IF($B1124="Robusta","Robusta",(IF($B1124="","Arabica",$B1124))&amp;" - "&amp;(IF($C1124="","Commercial",$C1124))),Variables!$B$1:$D$1,0),1))*IFERROR(IF(AB1124="","",(AVERAGE(E1124:F1124)-AB1124)-Variables!$B$14),"")/365),""))</f>
        <v>431.03468122683603</v>
      </c>
      <c r="BH1124" s="44">
        <f>IF($AX1124="Cancelled","",IFERROR((W1124*INDEX(Variables!$B$7:$D$7,IFERROR(MATCH(IF($B1124="Robusta","Robusta",(IF($B1124="","Arabica",$B1124))&amp;" - "&amp;(IF($C1124="","Commercial",$C1124))),Variables!$B$1:$D$1,0),1))*AK1124/365)+(L1124/16.67*INDEX(Variables!$B$8:$D$8,IFERROR(MATCH(IF($B1124="Robusta","Robusta",(IF($B1124="","Arabica",$B1124))&amp;" - "&amp;(IF($C1124="","Commercial",$C1124))),Variables!$B$1:$D$1,0),1))*AK1124)+(W1124*INDEX(Variables!$B$9:$D$9,IFERROR(MATCH(IF($B1124="Robusta","Robusta",(IF($B1124="","Arabica",$B1124))&amp;" - "&amp;(IF($C1124="","Commercial",$C1124))),Variables!$B$1:$D$1,0),1))*AK1124/365),""))</f>
        <v>-82.101844043206867</v>
      </c>
      <c r="BI1124" s="44" t="str">
        <f>IF($AX1124="Cancelled","",IFERROR((W1124*INDEX(Variables!$B$7:$D$7,IFERROR(MATCH(IF($B1124="Robusta","Robusta",(IF($B1124="","Arabica",$B1124))&amp;" - "&amp;(IF($C1124="","Commercial",$C1124))),Variables!$B$1:$D$1,0),1))*BD1124/365)+(L1124/16.67*INDEX(Variables!$B$8:$D$8,IFERROR(MATCH(IF($B1124="Robusta","Robusta",(IF($B1124="","Arabica",$B1124))&amp;" - "&amp;(IF($C1124="","Commercial",$C1124))),Variables!$B$1:$D$1,0),1))*BD1124)+(W1124*INDEX(Variables!$B$9:$D$9,IFERROR(MATCH(IF($B1124="Robusta","Robusta",(IF($B1124="","Arabica",$B1124))&amp;" - "&amp;(IF($C1124="","Commercial",$C1124))),Variables!$B$1:$D$1,0),1))*BD1124/365),""))</f>
        <v/>
      </c>
      <c r="BJ1124" s="44" t="str">
        <f t="shared" si="54"/>
        <v/>
      </c>
      <c r="BK1124" s="44" t="str">
        <f>IF($AX1124="Cancelled","",IFERROR(IF(BJ1124="","",(W1124*INDEX(Variables!$B$7:$D$7,IFERROR(MATCH(IF($B1124="Robusta","Robusta",(IF($B1124="","Arabica",$B1124))&amp;" - "&amp;(IF($C1124="","Commercial",$C1124))),Variables!$B$1:$D$1,0),1))*(BJ1124/365))+(W1124*INDEX(Variables!$B$9:$D$9,IFERROR(MATCH(IF($B1124="Robusta","Robusta",(IF($B1124="","Arabica",$B1124))&amp;" - "&amp;(IF($C1124="","Commercial",$C1124))),Variables!$B$1:$D$1,0),1))*(BJ1124/365))+(INDEX(Variables!$B$8:$D$8,IFERROR(MATCH(IF($B1124="Robusta","Robusta",(IF($B1124="","Arabica",$B1124))&amp;" - "&amp;(IF($C1124="","Commercial",$C1124))),Variables!$B$1:$D$1,0),1))*L1124/16.67)),""))</f>
        <v/>
      </c>
    </row>
    <row r="1125" spans="1:63">
      <c r="A1125" s="13" t="s">
        <v>103</v>
      </c>
      <c r="B1125" s="13" t="s">
        <v>104</v>
      </c>
      <c r="C1125" s="13" t="s">
        <v>105</v>
      </c>
      <c r="D1125" s="31">
        <v>46128</v>
      </c>
      <c r="E1125" s="31">
        <v>46143</v>
      </c>
      <c r="F1125" s="31">
        <v>46173</v>
      </c>
      <c r="G1125" s="13">
        <v>3787549</v>
      </c>
      <c r="J1125" s="13" t="s">
        <v>236</v>
      </c>
      <c r="K1125" s="13" t="s">
        <v>2798</v>
      </c>
      <c r="L1125" s="13">
        <v>100</v>
      </c>
      <c r="M1125" s="13">
        <v>0</v>
      </c>
      <c r="N1125" s="13" t="s">
        <v>2165</v>
      </c>
      <c r="O1125" s="13" t="s">
        <v>355</v>
      </c>
      <c r="P1125" s="13">
        <v>10060</v>
      </c>
      <c r="R1125" s="13" t="s">
        <v>239</v>
      </c>
      <c r="S1125" s="13" t="s">
        <v>180</v>
      </c>
      <c r="T1125" s="13" t="s">
        <v>253</v>
      </c>
      <c r="U1125" s="13" t="s">
        <v>182</v>
      </c>
      <c r="V1125" s="23">
        <v>53</v>
      </c>
      <c r="W1125" s="44">
        <f>IF($AX1125="Cancelled","",IFERROR(((V1125+INDEX(Variables!$B$6:$D$6,IFERROR(MATCH(IF($B1125="Robusta","Robusta",(IF($B1125="","Arabica",$B1125))&amp;" - "&amp;(IF($C1125="","Commercial",$C1125))),Variables!$B$1:$D$1,0),1)))*22.0462)*(L1125/16.67),""))</f>
        <v>45467.807798440299</v>
      </c>
      <c r="X1125" s="55" t="s">
        <v>37</v>
      </c>
      <c r="Y1125" s="13" t="str">
        <f>IF($AX1125="Cancelled","",IF(X1125="","",IFERROR(IF(INDEX(Variables!$B$38:$B$47,MATCH(X1125,Variables!$A$38:$A$47,0))="Yes","Yes","No"),"No")))</f>
        <v>Yes</v>
      </c>
      <c r="Z1125" s="58">
        <v>46136</v>
      </c>
      <c r="AB1125" s="31">
        <v>46150</v>
      </c>
      <c r="AC1125" s="13" t="str">
        <f t="shared" si="53"/>
        <v>Approved</v>
      </c>
      <c r="AF1125" s="71">
        <v>46172</v>
      </c>
      <c r="AG1125" s="35">
        <f>IF($AX1125="Cancelled","",IFERROR(IF(F1125="","",F1125-Variables!$B$13),""))</f>
        <v>46158</v>
      </c>
      <c r="AH1125" s="13">
        <f>IF($AX1125="Cancelled","",IFERROR(IF(AB1125="","",(AVERAGE(E1125:F1125)-AB1125)-Variables!$B$14),""))</f>
        <v>-22</v>
      </c>
      <c r="AJ1125" s="47">
        <v>46182</v>
      </c>
      <c r="AK1125" s="14">
        <f>IF($AX1125="Cancelled","",IFERROR(IF(AJ1125="","",IF(AND(AB1125="",AF1125=""),"",IF(AF1125&gt;AB1125,AF1125+Variables!$B$15+Variables!$B$16+Variables!$B$17-AJ1125,AB1125+Variables!$B$16+Variables!$B$17-AJ1125))),""))</f>
        <v>5</v>
      </c>
      <c r="AL1125" s="48" t="s">
        <v>114</v>
      </c>
      <c r="AM1125" s="13" t="s">
        <v>183</v>
      </c>
      <c r="AN1125" s="13" t="s">
        <v>2485</v>
      </c>
      <c r="AP1125" s="39">
        <v>46202</v>
      </c>
      <c r="AR1125" s="13">
        <v>321600002457</v>
      </c>
      <c r="AS1125" s="31" t="s">
        <v>2490</v>
      </c>
      <c r="AU1125" s="31">
        <v>46225</v>
      </c>
      <c r="AV1125" s="13" t="s">
        <v>2649</v>
      </c>
      <c r="AW1125" s="31">
        <v>46225</v>
      </c>
      <c r="AX1125" s="13" t="str">
        <f>IF(ISNUMBER(SEARCH("cancel",#REF!)),"Cancelled",IF(AND(AS1125&lt;&gt;"",AU1125&lt;&gt;"",AW1125&lt;&gt;""),"Closed","Open"))</f>
        <v>Closed</v>
      </c>
      <c r="AY1125" s="15" t="str">
        <f t="shared" si="52"/>
        <v>All dates received</v>
      </c>
      <c r="BD1125" s="13" t="str">
        <f>IF($AX1125="Cancelled","",IFERROR(IF(OR(AS1125="",AJ1125=""),"",(AJ1125+Variables!$B$18-AS1125)),""))</f>
        <v/>
      </c>
      <c r="BE1125" s="13" t="str">
        <f>IF($AX1125="Cancelled","",IFERROR(IF(OR(AW1125="",AS1125=""),"",(AS1125+Variables!$B$19)-AW1125),""))</f>
        <v/>
      </c>
      <c r="BF1125" s="44" t="str">
        <f>IF($AX1125="Cancelled","",IFERROR(W1125*INDEX(Variables!$B$7:$D$7,IFERROR(MATCH(IF($B1125="Robusta","Robusta",(IF($B1125="","Arabica",$B1125))&amp;" - "&amp;(IF($C1125="","Commercial",$C1125))),Variables!$B$1:$D$1,0),1))*(BE1125/365),""))</f>
        <v/>
      </c>
      <c r="BG1125" s="44">
        <f>IF($AX1125="Cancelled","",IFERROR((W1125*INDEX(Variables!$B$7:$D$7,IFERROR(MATCH(IF($B1125="Robusta","Robusta",(IF($B1125="","Arabica",$B1125))&amp;" - "&amp;(IF($C1125="","Commercial",$C1125))),Variables!$B$1:$D$1,0),1))*IFERROR(IF(AB1125="","",(AVERAGE(E1125:F1125)-AB1125)-Variables!$B$14),"")/365)+(L1125/16.67*INDEX(Variables!$B$8:$D$8,IFERROR(MATCH(IF($B1125="Robusta","Robusta",(IF($B1125="","Arabica",$B1125))&amp;" - "&amp;(IF($C1125="","Commercial",$C1125))),Variables!$B$1:$D$1,0),1))*IFERROR(IF(AB1125="","",(AVERAGE(E1125:F1125)-AB1125)-Variables!$B$14),""))+(W1125*INDEX(Variables!$B$9:$D$9,IFERROR(MATCH(IF($B1125="Robusta","Robusta",(IF($B1125="","Arabica",$B1125))&amp;" - "&amp;(IF($C1125="","Commercial",$C1125))),Variables!$B$1:$D$1,0),1))*IFERROR(IF(AB1125="","",(AVERAGE(E1125:F1125)-AB1125)-Variables!$B$14),"")/365),""))</f>
        <v>-288.9933058141246</v>
      </c>
      <c r="BH1125" s="44">
        <f>IF($AX1125="Cancelled","",IFERROR((W1125*INDEX(Variables!$B$7:$D$7,IFERROR(MATCH(IF($B1125="Robusta","Robusta",(IF($B1125="","Arabica",$B1125))&amp;" - "&amp;(IF($C1125="","Commercial",$C1125))),Variables!$B$1:$D$1,0),1))*AK1125/365)+(L1125/16.67*INDEX(Variables!$B$8:$D$8,IFERROR(MATCH(IF($B1125="Robusta","Robusta",(IF($B1125="","Arabica",$B1125))&amp;" - "&amp;(IF($C1125="","Commercial",$C1125))),Variables!$B$1:$D$1,0),1))*AK1125)+(W1125*INDEX(Variables!$B$9:$D$9,IFERROR(MATCH(IF($B1125="Robusta","Robusta",(IF($B1125="","Arabica",$B1125))&amp;" - "&amp;(IF($C1125="","Commercial",$C1125))),Variables!$B$1:$D$1,0),1))*AK1125/365),""))</f>
        <v>65.680296775937421</v>
      </c>
      <c r="BI1125" s="44" t="str">
        <f>IF($AX1125="Cancelled","",IFERROR((W1125*INDEX(Variables!$B$7:$D$7,IFERROR(MATCH(IF($B1125="Robusta","Robusta",(IF($B1125="","Arabica",$B1125))&amp;" - "&amp;(IF($C1125="","Commercial",$C1125))),Variables!$B$1:$D$1,0),1))*BD1125/365)+(L1125/16.67*INDEX(Variables!$B$8:$D$8,IFERROR(MATCH(IF($B1125="Robusta","Robusta",(IF($B1125="","Arabica",$B1125))&amp;" - "&amp;(IF($C1125="","Commercial",$C1125))),Variables!$B$1:$D$1,0),1))*BD1125)+(W1125*INDEX(Variables!$B$9:$D$9,IFERROR(MATCH(IF($B1125="Robusta","Robusta",(IF($B1125="","Arabica",$B1125))&amp;" - "&amp;(IF($C1125="","Commercial",$C1125))),Variables!$B$1:$D$1,0),1))*BD1125/365),""))</f>
        <v/>
      </c>
      <c r="BJ1125" s="44" t="str">
        <f t="shared" si="54"/>
        <v/>
      </c>
      <c r="BK1125" s="44" t="str">
        <f>IF($AX1125="Cancelled","",IFERROR(IF(BJ1125="","",(W1125*INDEX(Variables!$B$7:$D$7,IFERROR(MATCH(IF($B1125="Robusta","Robusta",(IF($B1125="","Arabica",$B1125))&amp;" - "&amp;(IF($C1125="","Commercial",$C1125))),Variables!$B$1:$D$1,0),1))*(BJ1125/365))+(W1125*INDEX(Variables!$B$9:$D$9,IFERROR(MATCH(IF($B1125="Robusta","Robusta",(IF($B1125="","Arabica",$B1125))&amp;" - "&amp;(IF($C1125="","Commercial",$C1125))),Variables!$B$1:$D$1,0),1))*(BJ1125/365))+(INDEX(Variables!$B$8:$D$8,IFERROR(MATCH(IF($B1125="Robusta","Robusta",(IF($B1125="","Arabica",$B1125))&amp;" - "&amp;(IF($C1125="","Commercial",$C1125))),Variables!$B$1:$D$1,0),1))*L1125/16.67)),""))</f>
        <v/>
      </c>
    </row>
    <row r="1126" spans="1:63">
      <c r="A1126" s="13" t="s">
        <v>103</v>
      </c>
      <c r="B1126" s="13" t="s">
        <v>104</v>
      </c>
      <c r="C1126" s="13" t="s">
        <v>105</v>
      </c>
      <c r="D1126" s="31">
        <v>46129</v>
      </c>
      <c r="E1126" s="31">
        <v>46143</v>
      </c>
      <c r="F1126" s="31">
        <v>46173</v>
      </c>
      <c r="G1126" s="13">
        <v>3787550</v>
      </c>
      <c r="J1126" s="13" t="s">
        <v>1356</v>
      </c>
      <c r="K1126" s="13" t="s">
        <v>2799</v>
      </c>
      <c r="L1126" s="13">
        <v>50</v>
      </c>
      <c r="M1126" s="13">
        <v>1</v>
      </c>
      <c r="N1126" s="13" t="s">
        <v>2800</v>
      </c>
      <c r="O1126" s="13" t="s">
        <v>238</v>
      </c>
      <c r="P1126" s="13">
        <v>10090</v>
      </c>
      <c r="Q1126" s="13" t="s">
        <v>121</v>
      </c>
      <c r="R1126" s="13" t="s">
        <v>239</v>
      </c>
      <c r="S1126" s="13" t="s">
        <v>2801</v>
      </c>
      <c r="T1126" s="13" t="s">
        <v>596</v>
      </c>
      <c r="U1126" s="13" t="s">
        <v>125</v>
      </c>
      <c r="V1126" s="23">
        <v>33</v>
      </c>
      <c r="W1126" s="44">
        <f>IF($AX1126="Cancelled","",IFERROR(((V1126+INDEX(Variables!$B$6:$D$6,IFERROR(MATCH(IF($B1126="Robusta","Robusta",(IF($B1126="","Arabica",$B1126))&amp;" - "&amp;(IF($C1126="","Commercial",$C1126))),Variables!$B$1:$D$1,0),1)))*22.0462)*(L1126/16.67),""))</f>
        <v>21411.396400719852</v>
      </c>
      <c r="X1126" s="55" t="s">
        <v>37</v>
      </c>
      <c r="Y1126" s="13" t="str">
        <f>IF($AX1126="Cancelled","",IF(X1126="","",IFERROR(IF(INDEX(Variables!$B$38:$B$47,MATCH(X1126,Variables!$A$38:$A$47,0))="Yes","Yes","No"),"No")))</f>
        <v>Yes</v>
      </c>
      <c r="Z1126" s="58">
        <v>46139</v>
      </c>
      <c r="AB1126" s="31">
        <v>46154</v>
      </c>
      <c r="AC1126" s="13" t="str">
        <f t="shared" si="53"/>
        <v>Approved</v>
      </c>
      <c r="AF1126" s="71">
        <v>46182</v>
      </c>
      <c r="AG1126" s="35">
        <f>IF($AX1126="Cancelled","",IFERROR(IF(F1126="","",F1126-Variables!$B$13),""))</f>
        <v>46158</v>
      </c>
      <c r="AH1126" s="13">
        <f>IF($AX1126="Cancelled","",IFERROR(IF(AB1126="","",(AVERAGE(E1126:F1126)-AB1126)-Variables!$B$14),""))</f>
        <v>-26</v>
      </c>
      <c r="AJ1126" s="47">
        <v>46202</v>
      </c>
      <c r="AK1126" s="14">
        <f>IF($AX1126="Cancelled","",IFERROR(IF(AJ1126="","",IF(AND(AB1126="",AF1126=""),"",IF(AF1126&gt;AB1126,AF1126+Variables!$B$15+Variables!$B$16+Variables!$B$17-AJ1126,AB1126+Variables!$B$16+Variables!$B$17-AJ1126))),""))</f>
        <v>-5</v>
      </c>
      <c r="AL1126" s="48" t="s">
        <v>114</v>
      </c>
      <c r="AM1126" s="13" t="s">
        <v>168</v>
      </c>
      <c r="AN1126" s="13" t="s">
        <v>2802</v>
      </c>
      <c r="AP1126" s="39">
        <v>46211</v>
      </c>
      <c r="AR1126" s="13" t="s">
        <v>2803</v>
      </c>
      <c r="AS1126" s="31">
        <v>46211</v>
      </c>
      <c r="AU1126" s="31">
        <v>46249</v>
      </c>
      <c r="AV1126" s="13" t="e">
        <v>#REF!</v>
      </c>
      <c r="AW1126" s="31">
        <v>46249</v>
      </c>
      <c r="AX1126" s="13" t="str">
        <f>IF(ISNUMBER(SEARCH("cancel",#REF!)),"Cancelled",IF(AND(AS1126&lt;&gt;"",AU1126&lt;&gt;"",AW1126&lt;&gt;""),"Closed","Open"))</f>
        <v>Closed</v>
      </c>
      <c r="AY1126" s="15" t="str">
        <f t="shared" si="52"/>
        <v>All dates received</v>
      </c>
      <c r="BD1126" s="13">
        <f>IF($AX1126="Cancelled","",IFERROR(IF(OR(AS1126="",AJ1126=""),"",(AJ1126+Variables!$B$18-AS1126)),""))</f>
        <v>6</v>
      </c>
      <c r="BE1126" s="13">
        <f>IF($AX1126="Cancelled","",IFERROR(IF(OR(AW1126="",AS1126=""),"",(AS1126+Variables!$B$19)-AW1126),""))</f>
        <v>-33</v>
      </c>
      <c r="BF1126" s="44">
        <f>IF($AX1126="Cancelled","",IFERROR(W1126*INDEX(Variables!$B$7:$D$7,IFERROR(MATCH(IF($B1126="Robusta","Robusta",(IF($B1126="","Arabica",$B1126))&amp;" - "&amp;(IF($C1126="","Commercial",$C1126))),Variables!$B$1:$D$1,0),1))*(BE1126/365),""))</f>
        <v>-124.82624708133267</v>
      </c>
      <c r="BG1126" s="44">
        <f>IF($AX1126="Cancelled","",IFERROR((W1126*INDEX(Variables!$B$7:$D$7,IFERROR(MATCH(IF($B1126="Robusta","Robusta",(IF($B1126="","Arabica",$B1126))&amp;" - "&amp;(IF($C1126="","Commercial",$C1126))),Variables!$B$1:$D$1,0),1))*IFERROR(IF(AB1126="","",(AVERAGE(E1126:F1126)-AB1126)-Variables!$B$14),"")/365)+(L1126/16.67*INDEX(Variables!$B$8:$D$8,IFERROR(MATCH(IF($B1126="Robusta","Robusta",(IF($B1126="","Arabica",$B1126))&amp;" - "&amp;(IF($C1126="","Commercial",$C1126))),Variables!$B$1:$D$1,0),1))*IFERROR(IF(AB1126="","",(AVERAGE(E1126:F1126)-AB1126)-Variables!$B$14),""))+(W1126*INDEX(Variables!$B$9:$D$9,IFERROR(MATCH(IF($B1126="Robusta","Robusta",(IF($B1126="","Arabica",$B1126))&amp;" - "&amp;(IF($C1126="","Commercial",$C1126))),Variables!$B$1:$D$1,0),1))*IFERROR(IF(AB1126="","",(AVERAGE(E1126:F1126)-AB1126)-Variables!$B$14),"")/365),""))</f>
        <v>-164.61584714870909</v>
      </c>
      <c r="BH1126" s="44">
        <f>IF($AX1126="Cancelled","",IFERROR((W1126*INDEX(Variables!$B$7:$D$7,IFERROR(MATCH(IF($B1126="Robusta","Robusta",(IF($B1126="","Arabica",$B1126))&amp;" - "&amp;(IF($C1126="","Commercial",$C1126))),Variables!$B$1:$D$1,0),1))*AK1126/365)+(L1126/16.67*INDEX(Variables!$B$8:$D$8,IFERROR(MATCH(IF($B1126="Robusta","Robusta",(IF($B1126="","Arabica",$B1126))&amp;" - "&amp;(IF($C1126="","Commercial",$C1126))),Variables!$B$1:$D$1,0),1))*AK1126)+(W1126*INDEX(Variables!$B$9:$D$9,IFERROR(MATCH(IF($B1126="Robusta","Robusta",(IF($B1126="","Arabica",$B1126))&amp;" - "&amp;(IF($C1126="","Commercial",$C1126))),Variables!$B$1:$D$1,0),1))*AK1126/365),""))</f>
        <v>-31.656893682444053</v>
      </c>
      <c r="BI1126" s="44">
        <f>IF($AX1126="Cancelled","",IFERROR((W1126*INDEX(Variables!$B$7:$D$7,IFERROR(MATCH(IF($B1126="Robusta","Robusta",(IF($B1126="","Arabica",$B1126))&amp;" - "&amp;(IF($C1126="","Commercial",$C1126))),Variables!$B$1:$D$1,0),1))*BD1126/365)+(L1126/16.67*INDEX(Variables!$B$8:$D$8,IFERROR(MATCH(IF($B1126="Robusta","Robusta",(IF($B1126="","Arabica",$B1126))&amp;" - "&amp;(IF($C1126="","Commercial",$C1126))),Variables!$B$1:$D$1,0),1))*BD1126)+(W1126*INDEX(Variables!$B$9:$D$9,IFERROR(MATCH(IF($B1126="Robusta","Robusta",(IF($B1126="","Arabica",$B1126))&amp;" - "&amp;(IF($C1126="","Commercial",$C1126))),Variables!$B$1:$D$1,0),1))*BD1126/365),""))</f>
        <v>37.988272418932866</v>
      </c>
      <c r="BJ1126" s="44">
        <f t="shared" si="54"/>
        <v>-38</v>
      </c>
      <c r="BK1126" s="44">
        <f>IF($AX1126="Cancelled","",IFERROR(IF(BJ1126="","",(W1126*INDEX(Variables!$B$7:$D$7,IFERROR(MATCH(IF($B1126="Robusta","Robusta",(IF($B1126="","Arabica",$B1126))&amp;" - "&amp;(IF($C1126="","Commercial",$C1126))),Variables!$B$1:$D$1,0),1))*(BJ1126/365))+(W1126*INDEX(Variables!$B$9:$D$9,IFERROR(MATCH(IF($B1126="Robusta","Robusta",(IF($B1126="","Arabica",$B1126))&amp;" - "&amp;(IF($C1126="","Commercial",$C1126))),Variables!$B$1:$D$1,0),1))*(BJ1126/365))+(INDEX(Variables!$B$8:$D$8,IFERROR(MATCH(IF($B1126="Robusta","Robusta",(IF($B1126="","Arabica",$B1126))&amp;" - "&amp;(IF($C1126="","Commercial",$C1126))),Variables!$B$1:$D$1,0),1))*L1126/16.67)),""))</f>
        <v>-143.09239198657482</v>
      </c>
    </row>
    <row r="1127" spans="1:63">
      <c r="A1127" s="13" t="s">
        <v>103</v>
      </c>
      <c r="B1127" s="13" t="s">
        <v>104</v>
      </c>
      <c r="C1127" s="13" t="s">
        <v>105</v>
      </c>
      <c r="D1127" s="31">
        <v>46129</v>
      </c>
      <c r="E1127" s="31">
        <v>46143</v>
      </c>
      <c r="F1127" s="31">
        <v>46173</v>
      </c>
      <c r="G1127" s="13">
        <v>3787551</v>
      </c>
      <c r="J1127" s="13" t="s">
        <v>1356</v>
      </c>
      <c r="K1127" s="13" t="s">
        <v>2804</v>
      </c>
      <c r="L1127" s="13">
        <v>100</v>
      </c>
      <c r="M1127" s="13">
        <v>0</v>
      </c>
      <c r="N1127" s="13" t="s">
        <v>2805</v>
      </c>
      <c r="O1127" s="13" t="s">
        <v>1359</v>
      </c>
      <c r="P1127" s="13">
        <v>10100</v>
      </c>
      <c r="Q1127" s="13" t="s">
        <v>121</v>
      </c>
      <c r="R1127" s="13" t="s">
        <v>239</v>
      </c>
      <c r="S1127" s="13" t="s">
        <v>2801</v>
      </c>
      <c r="T1127" s="13" t="s">
        <v>596</v>
      </c>
      <c r="U1127" s="13" t="s">
        <v>125</v>
      </c>
      <c r="V1127" s="23">
        <v>25</v>
      </c>
      <c r="W1127" s="44">
        <f>IF($AX1127="Cancelled","",IFERROR(((V1127+INDEX(Variables!$B$6:$D$6,IFERROR(MATCH(IF($B1127="Robusta","Robusta",(IF($B1127="","Arabica",$B1127))&amp;" - "&amp;(IF($C1127="","Commercial",$C1127))),Variables!$B$1:$D$1,0),1)))*22.0462)*(L1127/16.67),""))</f>
        <v>41764.786802639464</v>
      </c>
      <c r="X1127" s="55" t="s">
        <v>37</v>
      </c>
      <c r="Y1127" s="13" t="str">
        <f>IF($AX1127="Cancelled","",IF(X1127="","",IFERROR(IF(INDEX(Variables!$B$38:$B$47,MATCH(X1127,Variables!$A$38:$A$47,0))="Yes","Yes","No"),"No")))</f>
        <v>Yes</v>
      </c>
      <c r="Z1127" s="58">
        <v>46139</v>
      </c>
      <c r="AB1127" s="31">
        <v>46154</v>
      </c>
      <c r="AC1127" s="13" t="str">
        <f t="shared" si="53"/>
        <v>Approved</v>
      </c>
      <c r="AF1127" s="71">
        <v>46191</v>
      </c>
      <c r="AG1127" s="35">
        <f>IF($AX1127="Cancelled","",IFERROR(IF(F1127="","",F1127-Variables!$B$13),""))</f>
        <v>46158</v>
      </c>
      <c r="AH1127" s="13">
        <f>IF($AX1127="Cancelled","",IFERROR(IF(AB1127="","",(AVERAGE(E1127:F1127)-AB1127)-Variables!$B$14),""))</f>
        <v>-26</v>
      </c>
      <c r="AJ1127" s="47">
        <v>46202</v>
      </c>
      <c r="AK1127" s="14">
        <f>IF($AX1127="Cancelled","",IFERROR(IF(AJ1127="","",IF(AND(AB1127="",AF1127=""),"",IF(AF1127&gt;AB1127,AF1127+Variables!$B$15+Variables!$B$16+Variables!$B$17-AJ1127,AB1127+Variables!$B$16+Variables!$B$17-AJ1127))),""))</f>
        <v>4</v>
      </c>
      <c r="AL1127" s="48" t="s">
        <v>114</v>
      </c>
      <c r="AM1127" s="13" t="s">
        <v>168</v>
      </c>
      <c r="AN1127" s="13" t="s">
        <v>2802</v>
      </c>
      <c r="AP1127" s="39">
        <v>46211</v>
      </c>
      <c r="AR1127" s="13" t="s">
        <v>2803</v>
      </c>
      <c r="AS1127" s="31">
        <v>46211</v>
      </c>
      <c r="AU1127" s="31">
        <v>46249</v>
      </c>
      <c r="AV1127" s="13" t="e">
        <v>#REF!</v>
      </c>
      <c r="AW1127" s="31">
        <v>46249</v>
      </c>
      <c r="AX1127" s="13" t="str">
        <f>IF(ISNUMBER(SEARCH("cancel",#REF!)),"Cancelled",IF(AND(AS1127&lt;&gt;"",AU1127&lt;&gt;"",AW1127&lt;&gt;""),"Closed","Open"))</f>
        <v>Closed</v>
      </c>
      <c r="AY1127" s="15" t="str">
        <f t="shared" si="52"/>
        <v>All dates received</v>
      </c>
      <c r="BD1127" s="13">
        <f>IF($AX1127="Cancelled","",IFERROR(IF(OR(AS1127="",AJ1127=""),"",(AJ1127+Variables!$B$18-AS1127)),""))</f>
        <v>6</v>
      </c>
      <c r="BE1127" s="13">
        <f>IF($AX1127="Cancelled","",IFERROR(IF(OR(AW1127="",AS1127=""),"",(AS1127+Variables!$B$19)-AW1127),""))</f>
        <v>-33</v>
      </c>
      <c r="BF1127" s="44">
        <f>IF($AX1127="Cancelled","",IFERROR(W1127*INDEX(Variables!$B$7:$D$7,IFERROR(MATCH(IF($B1127="Robusta","Robusta",(IF($B1127="","Arabica",$B1127))&amp;" - "&amp;(IF($C1127="","Commercial",$C1127))),Variables!$B$1:$D$1,0),1))*(BE1127/365),""))</f>
        <v>-243.48442759904174</v>
      </c>
      <c r="BG1127" s="44">
        <f>IF($AX1127="Cancelled","",IFERROR((W1127*INDEX(Variables!$B$7:$D$7,IFERROR(MATCH(IF($B1127="Robusta","Robusta",(IF($B1127="","Arabica",$B1127))&amp;" - "&amp;(IF($C1127="","Commercial",$C1127))),Variables!$B$1:$D$1,0),1))*IFERROR(IF(AB1127="","",(AVERAGE(E1127:F1127)-AB1127)-Variables!$B$14),"")/365)+(L1127/16.67*INDEX(Variables!$B$8:$D$8,IFERROR(MATCH(IF($B1127="Robusta","Robusta",(IF($B1127="","Arabica",$B1127))&amp;" - "&amp;(IF($C1127="","Commercial",$C1127))),Variables!$B$1:$D$1,0),1))*IFERROR(IF(AB1127="","",(AVERAGE(E1127:F1127)-AB1127)-Variables!$B$14),""))+(W1127*INDEX(Variables!$B$9:$D$9,IFERROR(MATCH(IF($B1127="Robusta","Robusta",(IF($B1127="","Arabica",$B1127))&amp;" - "&amp;(IF($C1127="","Commercial",$C1127))),Variables!$B$1:$D$1,0),1))*IFERROR(IF(AB1127="","",(AVERAGE(E1127:F1127)-AB1127)-Variables!$B$14),"")/365),""))</f>
        <v>-324.30935472243561</v>
      </c>
      <c r="BH1127" s="44">
        <f>IF($AX1127="Cancelled","",IFERROR((W1127*INDEX(Variables!$B$7:$D$7,IFERROR(MATCH(IF($B1127="Robusta","Robusta",(IF($B1127="","Arabica",$B1127))&amp;" - "&amp;(IF($C1127="","Commercial",$C1127))),Variables!$B$1:$D$1,0),1))*AK1127/365)+(L1127/16.67*INDEX(Variables!$B$8:$D$8,IFERROR(MATCH(IF($B1127="Robusta","Robusta",(IF($B1127="","Arabica",$B1127))&amp;" - "&amp;(IF($C1127="","Commercial",$C1127))),Variables!$B$1:$D$1,0),1))*AK1127)+(W1127*INDEX(Variables!$B$9:$D$9,IFERROR(MATCH(IF($B1127="Robusta","Robusta",(IF($B1127="","Arabica",$B1127))&amp;" - "&amp;(IF($C1127="","Commercial",$C1127))),Variables!$B$1:$D$1,0),1))*AK1127/365),""))</f>
        <v>49.893746880374714</v>
      </c>
      <c r="BI1127" s="44">
        <f>IF($AX1127="Cancelled","",IFERROR((W1127*INDEX(Variables!$B$7:$D$7,IFERROR(MATCH(IF($B1127="Robusta","Robusta",(IF($B1127="","Arabica",$B1127))&amp;" - "&amp;(IF($C1127="","Commercial",$C1127))),Variables!$B$1:$D$1,0),1))*BD1127/365)+(L1127/16.67*INDEX(Variables!$B$8:$D$8,IFERROR(MATCH(IF($B1127="Robusta","Robusta",(IF($B1127="","Arabica",$B1127))&amp;" - "&amp;(IF($C1127="","Commercial",$C1127))),Variables!$B$1:$D$1,0),1))*BD1127)+(W1127*INDEX(Variables!$B$9:$D$9,IFERROR(MATCH(IF($B1127="Robusta","Robusta",(IF($B1127="","Arabica",$B1127))&amp;" - "&amp;(IF($C1127="","Commercial",$C1127))),Variables!$B$1:$D$1,0),1))*BD1127/365),""))</f>
        <v>74.840620320562081</v>
      </c>
      <c r="BJ1127" s="44">
        <f t="shared" si="54"/>
        <v>-38</v>
      </c>
      <c r="BK1127" s="44">
        <f>IF($AX1127="Cancelled","",IFERROR(IF(BJ1127="","",(W1127*INDEX(Variables!$B$7:$D$7,IFERROR(MATCH(IF($B1127="Robusta","Robusta",(IF($B1127="","Arabica",$B1127))&amp;" - "&amp;(IF($C1127="","Commercial",$C1127))),Variables!$B$1:$D$1,0),1))*(BJ1127/365))+(W1127*INDEX(Variables!$B$9:$D$9,IFERROR(MATCH(IF($B1127="Robusta","Robusta",(IF($B1127="","Arabica",$B1127))&amp;" - "&amp;(IF($C1127="","Commercial",$C1127))),Variables!$B$1:$D$1,0),1))*(BJ1127/365))+(INDEX(Variables!$B$8:$D$8,IFERROR(MATCH(IF($B1127="Robusta","Robusta",(IF($B1127="","Arabica",$B1127))&amp;" - "&amp;(IF($C1127="","Commercial",$C1127))),Variables!$B$1:$D$1,0),1))*L1127/16.67)),""))</f>
        <v>-278.99059536355981</v>
      </c>
    </row>
    <row r="1128" spans="1:63">
      <c r="A1128" s="13" t="s">
        <v>103</v>
      </c>
      <c r="B1128" s="13" t="s">
        <v>104</v>
      </c>
      <c r="C1128" s="13" t="s">
        <v>105</v>
      </c>
      <c r="D1128" s="31">
        <v>46129</v>
      </c>
      <c r="E1128" s="31">
        <v>46143</v>
      </c>
      <c r="F1128" s="31">
        <v>46173</v>
      </c>
      <c r="G1128" s="13">
        <v>3787552</v>
      </c>
      <c r="J1128" s="13" t="s">
        <v>1356</v>
      </c>
      <c r="K1128" s="13" t="s">
        <v>2806</v>
      </c>
      <c r="L1128" s="13">
        <v>100</v>
      </c>
      <c r="M1128" s="13">
        <v>0</v>
      </c>
      <c r="N1128" s="13" t="s">
        <v>2807</v>
      </c>
      <c r="O1128" s="13" t="s">
        <v>1359</v>
      </c>
      <c r="P1128" s="13">
        <v>10100</v>
      </c>
      <c r="Q1128" s="13" t="s">
        <v>121</v>
      </c>
      <c r="R1128" s="13" t="s">
        <v>239</v>
      </c>
      <c r="S1128" s="13" t="s">
        <v>2801</v>
      </c>
      <c r="T1128" s="13" t="s">
        <v>596</v>
      </c>
      <c r="U1128" s="13" t="s">
        <v>125</v>
      </c>
      <c r="V1128" s="23">
        <v>28</v>
      </c>
      <c r="W1128" s="44">
        <f>IF($AX1128="Cancelled","",IFERROR(((V1128+INDEX(Variables!$B$6:$D$6,IFERROR(MATCH(IF($B1128="Robusta","Robusta",(IF($B1128="","Arabica",$B1128))&amp;" - "&amp;(IF($C1128="","Commercial",$C1128))),Variables!$B$1:$D$1,0),1)))*22.0462)*(L1128/16.67),""))</f>
        <v>42161.539052189553</v>
      </c>
      <c r="X1128" s="55" t="s">
        <v>37</v>
      </c>
      <c r="Y1128" s="13" t="str">
        <f>IF($AX1128="Cancelled","",IF(X1128="","",IFERROR(IF(INDEX(Variables!$B$38:$B$47,MATCH(X1128,Variables!$A$38:$A$47,0))="Yes","Yes","No"),"No")))</f>
        <v>Yes</v>
      </c>
      <c r="Z1128" s="58">
        <v>46139</v>
      </c>
      <c r="AB1128" s="31">
        <v>46154</v>
      </c>
      <c r="AC1128" s="13" t="str">
        <f t="shared" si="53"/>
        <v>Approved</v>
      </c>
      <c r="AF1128" s="71">
        <v>46191</v>
      </c>
      <c r="AG1128" s="35">
        <f>IF($AX1128="Cancelled","",IFERROR(IF(F1128="","",F1128-Variables!$B$13),""))</f>
        <v>46158</v>
      </c>
      <c r="AH1128" s="13">
        <f>IF($AX1128="Cancelled","",IFERROR(IF(AB1128="","",(AVERAGE(E1128:F1128)-AB1128)-Variables!$B$14),""))</f>
        <v>-26</v>
      </c>
      <c r="AJ1128" s="47">
        <v>46202</v>
      </c>
      <c r="AK1128" s="14">
        <f>IF($AX1128="Cancelled","",IFERROR(IF(AJ1128="","",IF(AND(AB1128="",AF1128=""),"",IF(AF1128&gt;AB1128,AF1128+Variables!$B$15+Variables!$B$16+Variables!$B$17-AJ1128,AB1128+Variables!$B$16+Variables!$B$17-AJ1128))),""))</f>
        <v>4</v>
      </c>
      <c r="AL1128" s="48" t="s">
        <v>114</v>
      </c>
      <c r="AM1128" s="13" t="s">
        <v>168</v>
      </c>
      <c r="AN1128" s="13" t="s">
        <v>2802</v>
      </c>
      <c r="AP1128" s="39">
        <v>46211</v>
      </c>
      <c r="AR1128" s="13" t="s">
        <v>2803</v>
      </c>
      <c r="AS1128" s="31">
        <v>46211</v>
      </c>
      <c r="AU1128" s="31">
        <v>46249</v>
      </c>
      <c r="AV1128" s="13" t="e">
        <v>#REF!</v>
      </c>
      <c r="AW1128" s="31">
        <v>46249</v>
      </c>
      <c r="AX1128" s="13" t="str">
        <f>IF(ISNUMBER(SEARCH("cancel",#REF!)),"Cancelled",IF(AND(AS1128&lt;&gt;"",AU1128&lt;&gt;"",AW1128&lt;&gt;""),"Closed","Open"))</f>
        <v>Closed</v>
      </c>
      <c r="AY1128" s="15" t="str">
        <f t="shared" si="52"/>
        <v>All dates received</v>
      </c>
      <c r="BD1128" s="13">
        <f>IF($AX1128="Cancelled","",IFERROR(IF(OR(AS1128="",AJ1128=""),"",(AJ1128+Variables!$B$18-AS1128)),""))</f>
        <v>6</v>
      </c>
      <c r="BE1128" s="13">
        <f>IF($AX1128="Cancelled","",IFERROR(IF(OR(AW1128="",AS1128=""),"",(AS1128+Variables!$B$19)-AW1128),""))</f>
        <v>-33</v>
      </c>
      <c r="BF1128" s="44">
        <f>IF($AX1128="Cancelled","",IFERROR(W1128*INDEX(Variables!$B$7:$D$7,IFERROR(MATCH(IF($B1128="Robusta","Robusta",(IF($B1128="","Arabica",$B1128))&amp;" - "&amp;(IF($C1128="","Commercial",$C1128))),Variables!$B$1:$D$1,0),1))*(BE1128/365),""))</f>
        <v>-245.79745256040059</v>
      </c>
      <c r="BG1128" s="44">
        <f>IF($AX1128="Cancelled","",IFERROR((W1128*INDEX(Variables!$B$7:$D$7,IFERROR(MATCH(IF($B1128="Robusta","Robusta",(IF($B1128="","Arabica",$B1128))&amp;" - "&amp;(IF($C1128="","Commercial",$C1128))),Variables!$B$1:$D$1,0),1))*IFERROR(IF(AB1128="","",(AVERAGE(E1128:F1128)-AB1128)-Variables!$B$14),"")/365)+(L1128/16.67*INDEX(Variables!$B$8:$D$8,IFERROR(MATCH(IF($B1128="Robusta","Robusta",(IF($B1128="","Arabica",$B1128))&amp;" - "&amp;(IF($C1128="","Commercial",$C1128))),Variables!$B$1:$D$1,0),1))*IFERROR(IF(AB1128="","",(AVERAGE(E1128:F1128)-AB1128)-Variables!$B$14),""))+(W1128*INDEX(Variables!$B$9:$D$9,IFERROR(MATCH(IF($B1128="Robusta","Robusta",(IF($B1128="","Arabica",$B1128))&amp;" - "&amp;(IF($C1128="","Commercial",$C1128))),Variables!$B$1:$D$1,0),1))*IFERROR(IF(AB1128="","",(AVERAGE(E1128:F1128)-AB1128)-Variables!$B$14),"")/365),""))</f>
        <v>-326.15523206305409</v>
      </c>
      <c r="BH1128" s="44">
        <f>IF($AX1128="Cancelled","",IFERROR((W1128*INDEX(Variables!$B$7:$D$7,IFERROR(MATCH(IF($B1128="Robusta","Robusta",(IF($B1128="","Arabica",$B1128))&amp;" - "&amp;(IF($C1128="","Commercial",$C1128))),Variables!$B$1:$D$1,0),1))*AK1128/365)+(L1128/16.67*INDEX(Variables!$B$8:$D$8,IFERROR(MATCH(IF($B1128="Robusta","Robusta",(IF($B1128="","Arabica",$B1128))&amp;" - "&amp;(IF($C1128="","Commercial",$C1128))),Variables!$B$1:$D$1,0),1))*AK1128)+(W1128*INDEX(Variables!$B$9:$D$9,IFERROR(MATCH(IF($B1128="Robusta","Robusta",(IF($B1128="","Arabica",$B1128))&amp;" - "&amp;(IF($C1128="","Commercial",$C1128))),Variables!$B$1:$D$1,0),1))*AK1128/365),""))</f>
        <v>50.17772800970063</v>
      </c>
      <c r="BI1128" s="44">
        <f>IF($AX1128="Cancelled","",IFERROR((W1128*INDEX(Variables!$B$7:$D$7,IFERROR(MATCH(IF($B1128="Robusta","Robusta",(IF($B1128="","Arabica",$B1128))&amp;" - "&amp;(IF($C1128="","Commercial",$C1128))),Variables!$B$1:$D$1,0),1))*BD1128/365)+(L1128/16.67*INDEX(Variables!$B$8:$D$8,IFERROR(MATCH(IF($B1128="Robusta","Robusta",(IF($B1128="","Arabica",$B1128))&amp;" - "&amp;(IF($C1128="","Commercial",$C1128))),Variables!$B$1:$D$1,0),1))*BD1128)+(W1128*INDEX(Variables!$B$9:$D$9,IFERROR(MATCH(IF($B1128="Robusta","Robusta",(IF($B1128="","Arabica",$B1128))&amp;" - "&amp;(IF($C1128="","Commercial",$C1128))),Variables!$B$1:$D$1,0),1))*BD1128/365),""))</f>
        <v>75.266592014550952</v>
      </c>
      <c r="BJ1128" s="44">
        <f t="shared" si="54"/>
        <v>-38</v>
      </c>
      <c r="BK1128" s="44">
        <f>IF($AX1128="Cancelled","",IFERROR(IF(BJ1128="","",(W1128*INDEX(Variables!$B$7:$D$7,IFERROR(MATCH(IF($B1128="Robusta","Robusta",(IF($B1128="","Arabica",$B1128))&amp;" - "&amp;(IF($C1128="","Commercial",$C1128))),Variables!$B$1:$D$1,0),1))*(BJ1128/365))+(W1128*INDEX(Variables!$B$9:$D$9,IFERROR(MATCH(IF($B1128="Robusta","Robusta",(IF($B1128="","Arabica",$B1128))&amp;" - "&amp;(IF($C1128="","Commercial",$C1128))),Variables!$B$1:$D$1,0),1))*(BJ1128/365))+(INDEX(Variables!$B$8:$D$8,IFERROR(MATCH(IF($B1128="Robusta","Robusta",(IF($B1128="","Arabica",$B1128))&amp;" - "&amp;(IF($C1128="","Commercial",$C1128))),Variables!$B$1:$D$1,0),1))*L1128/16.67)),""))</f>
        <v>-281.68841609215593</v>
      </c>
    </row>
    <row r="1129" spans="1:63">
      <c r="A1129" s="13" t="s">
        <v>103</v>
      </c>
      <c r="B1129" s="13" t="s">
        <v>104</v>
      </c>
      <c r="C1129" s="13" t="s">
        <v>292</v>
      </c>
      <c r="D1129" s="31">
        <v>46129</v>
      </c>
      <c r="E1129" s="31">
        <v>46143</v>
      </c>
      <c r="F1129" s="31">
        <v>46173</v>
      </c>
      <c r="G1129" s="13">
        <v>3787553</v>
      </c>
      <c r="J1129" s="13" t="s">
        <v>236</v>
      </c>
      <c r="K1129" s="13" t="s">
        <v>2808</v>
      </c>
      <c r="L1129" s="13">
        <v>10</v>
      </c>
      <c r="M1129" s="13">
        <v>0</v>
      </c>
      <c r="N1129" s="13" t="s">
        <v>2809</v>
      </c>
      <c r="O1129" s="13" t="s">
        <v>771</v>
      </c>
      <c r="P1129" s="13">
        <v>10010</v>
      </c>
      <c r="R1129" s="13" t="s">
        <v>239</v>
      </c>
      <c r="S1129" s="13" t="s">
        <v>180</v>
      </c>
      <c r="T1129" s="13" t="s">
        <v>253</v>
      </c>
      <c r="U1129" s="13" t="s">
        <v>182</v>
      </c>
      <c r="V1129" s="23">
        <v>218</v>
      </c>
      <c r="W1129" s="44">
        <f>IF($AX1129="Cancelled","",IFERROR(((V1129+INDEX(Variables!$B$6:$D$6,IFERROR(MATCH(IF($B1129="Robusta","Robusta",(IF($B1129="","Arabica",$B1129))&amp;" - "&amp;(IF($C1129="","Commercial",$C1129))),Variables!$B$1:$D$1,0),1)))*22.0462)*(L1129/16.67),""))</f>
        <v>6728.9181523695252</v>
      </c>
      <c r="Y1129" s="13" t="str">
        <f>IF($AX1129="Cancelled","",IF(X1129="","",IFERROR(IF(INDEX(Variables!$B$38:$B$47,MATCH(X1129,Variables!$A$38:$A$47,0))="Yes","Yes","No"),"No")))</f>
        <v/>
      </c>
      <c r="Z1129" s="31"/>
      <c r="AC1129" s="13" t="str">
        <f t="shared" si="53"/>
        <v/>
      </c>
      <c r="AF1129" s="71">
        <v>46168</v>
      </c>
      <c r="AG1129" s="36">
        <f>IF($AX1129="Cancelled","",IFERROR(IF(F1129="","",F1129-Variables!$B$13),""))</f>
        <v>46158</v>
      </c>
      <c r="AH1129" s="13" t="str">
        <f>IF($AX1129="Cancelled","",IFERROR(IF(AB1129="","",(AVERAGE(E1129:F1129)-AB1129)-Variables!$B$14),""))</f>
        <v/>
      </c>
      <c r="AJ1129" s="47">
        <v>46182</v>
      </c>
      <c r="AK1129" s="14">
        <f>IF($AX1129="Cancelled","",IFERROR(IF(AJ1129="","",IF(AND(AB1129="",AF1129=""),"",IF(AF1129&gt;AB1129,AF1129+Variables!$B$15+Variables!$B$16+Variables!$B$17-AJ1129,AB1129+Variables!$B$16+Variables!$B$17-AJ1129))),""))</f>
        <v>1</v>
      </c>
      <c r="AL1129" s="48" t="s">
        <v>114</v>
      </c>
      <c r="AM1129" s="13" t="s">
        <v>183</v>
      </c>
      <c r="AN1129" s="13" t="s">
        <v>2485</v>
      </c>
      <c r="AP1129" s="39" t="e">
        <v>#N/A</v>
      </c>
      <c r="AR1129" s="13">
        <v>321600002457</v>
      </c>
      <c r="AS1129" s="31">
        <v>46202</v>
      </c>
      <c r="AU1129" s="31">
        <v>46225</v>
      </c>
      <c r="AV1129" s="13" t="s">
        <v>2649</v>
      </c>
      <c r="AW1129" s="31">
        <v>46225</v>
      </c>
      <c r="AX1129" s="13" t="str">
        <f>IF(ISNUMBER(SEARCH("cancel",#REF!)),"Cancelled",IF(AND(AS1129&lt;&gt;"",AU1129&lt;&gt;"",AW1129&lt;&gt;""),"Closed","Open"))</f>
        <v>Closed</v>
      </c>
      <c r="AY1129" s="24" t="str">
        <f t="shared" si="52"/>
        <v>All dates received</v>
      </c>
      <c r="BD1129" s="13">
        <f>IF($AX1129="Cancelled","",IFERROR(IF(OR(AS1129="",AJ1129=""),"",(AJ1129+Variables!$B$18-AS1129)),""))</f>
        <v>-5</v>
      </c>
      <c r="BE1129" s="13">
        <f>IF($AX1129="Cancelled","",IFERROR(IF(OR(AW1129="",AS1129=""),"",(AS1129+Variables!$B$19)-AW1129),""))</f>
        <v>-18</v>
      </c>
      <c r="BF1129" s="44">
        <f>IF($AX1129="Cancelled","",IFERROR(W1129*INDEX(Variables!$B$7:$D$7,IFERROR(MATCH(IF($B1129="Robusta","Robusta",(IF($B1129="","Arabica",$B1129))&amp;" - "&amp;(IF($C1129="","Commercial",$C1129))),Variables!$B$1:$D$1,0),1))*(BE1129/365),""))</f>
        <v>-21.397583642534244</v>
      </c>
      <c r="BG1129" s="44" t="str">
        <f>IF($AX1129="Cancelled","",IFERROR((W1129*INDEX(Variables!$B$7:$D$7,IFERROR(MATCH(IF($B1129="Robusta","Robusta",(IF($B1129="","Arabica",$B1129))&amp;" - "&amp;(IF($C1129="","Commercial",$C1129))),Variables!$B$1:$D$1,0),1))*IFERROR(IF(AB1129="","",(AVERAGE(E1129:F1129)-AB1129)-Variables!$B$14),"")/365)+(L1129/16.67*INDEX(Variables!$B$8:$D$8,IFERROR(MATCH(IF($B1129="Robusta","Robusta",(IF($B1129="","Arabica",$B1129))&amp;" - "&amp;(IF($C1129="","Commercial",$C1129))),Variables!$B$1:$D$1,0),1))*IFERROR(IF(AB1129="","",(AVERAGE(E1129:F1129)-AB1129)-Variables!$B$14),""))+(W1129*INDEX(Variables!$B$9:$D$9,IFERROR(MATCH(IF($B1129="Robusta","Robusta",(IF($B1129="","Arabica",$B1129))&amp;" - "&amp;(IF($C1129="","Commercial",$C1129))),Variables!$B$1:$D$1,0),1))*IFERROR(IF(AB1129="","",(AVERAGE(E1129:F1129)-AB1129)-Variables!$B$14),"")/365),""))</f>
        <v/>
      </c>
      <c r="BH1129" s="44">
        <f>IF($AX1129="Cancelled","",IFERROR((W1129*INDEX(Variables!$B$7:$D$7,IFERROR(MATCH(IF($B1129="Robusta","Robusta",(IF($B1129="","Arabica",$B1129))&amp;" - "&amp;(IF($C1129="","Commercial",$C1129))),Variables!$B$1:$D$1,0),1))*AK1129/365)+(L1129/16.67*INDEX(Variables!$B$8:$D$8,IFERROR(MATCH(IF($B1129="Robusta","Robusta",(IF($B1129="","Arabica",$B1129))&amp;" - "&amp;(IF($C1129="","Commercial",$C1129))),Variables!$B$1:$D$1,0),1))*AK1129)+(W1129*INDEX(Variables!$B$9:$D$9,IFERROR(MATCH(IF($B1129="Robusta","Robusta",(IF($B1129="","Arabica",$B1129))&amp;" - "&amp;(IF($C1129="","Commercial",$C1129))),Variables!$B$1:$D$1,0),1))*AK1129/365),""))</f>
        <v>1.7040799883418822</v>
      </c>
      <c r="BI1129" s="44">
        <f>IF($AX1129="Cancelled","",IFERROR((W1129*INDEX(Variables!$B$7:$D$7,IFERROR(MATCH(IF($B1129="Robusta","Robusta",(IF($B1129="","Arabica",$B1129))&amp;" - "&amp;(IF($C1129="","Commercial",$C1129))),Variables!$B$1:$D$1,0),1))*BD1129/365)+(L1129/16.67*INDEX(Variables!$B$8:$D$8,IFERROR(MATCH(IF($B1129="Robusta","Robusta",(IF($B1129="","Arabica",$B1129))&amp;" - "&amp;(IF($C1129="","Commercial",$C1129))),Variables!$B$1:$D$1,0),1))*BD1129)+(W1129*INDEX(Variables!$B$9:$D$9,IFERROR(MATCH(IF($B1129="Robusta","Robusta",(IF($B1129="","Arabica",$B1129))&amp;" - "&amp;(IF($C1129="","Commercial",$C1129))),Variables!$B$1:$D$1,0),1))*BD1129/365),""))</f>
        <v>-8.5203999417094121</v>
      </c>
      <c r="BJ1129" s="44">
        <f t="shared" si="54"/>
        <v>-29</v>
      </c>
      <c r="BK1129" s="44">
        <f>IF($AX1129="Cancelled","",IFERROR(IF(BJ1129="","",(W1129*INDEX(Variables!$B$7:$D$7,IFERROR(MATCH(IF($B1129="Robusta","Robusta",(IF($B1129="","Arabica",$B1129))&amp;" - "&amp;(IF($C1129="","Commercial",$C1129))),Variables!$B$1:$D$1,0),1))*(BJ1129/365))+(W1129*INDEX(Variables!$B$9:$D$9,IFERROR(MATCH(IF($B1129="Robusta","Robusta",(IF($B1129="","Arabica",$B1129))&amp;" - "&amp;(IF($C1129="","Commercial",$C1129))),Variables!$B$1:$D$1,0),1))*(BJ1129/365))+(INDEX(Variables!$B$8:$D$8,IFERROR(MATCH(IF($B1129="Robusta","Robusta",(IF($B1129="","Arabica",$B1129))&amp;" - "&amp;(IF($C1129="","Commercial",$C1129))),Variables!$B$1:$D$1,0),1))*L1129/16.67)),""))</f>
        <v>-34.418319661914587</v>
      </c>
    </row>
    <row r="1130" spans="1:63">
      <c r="A1130" s="13" t="s">
        <v>103</v>
      </c>
      <c r="B1130" s="13" t="s">
        <v>104</v>
      </c>
      <c r="C1130" s="13" t="s">
        <v>292</v>
      </c>
      <c r="D1130" s="31">
        <v>46129</v>
      </c>
      <c r="E1130" s="31">
        <v>46143</v>
      </c>
      <c r="F1130" s="31">
        <v>46173</v>
      </c>
      <c r="G1130" s="13">
        <v>3787554</v>
      </c>
      <c r="J1130" s="13" t="s">
        <v>236</v>
      </c>
      <c r="K1130" s="13" t="s">
        <v>2810</v>
      </c>
      <c r="L1130" s="13">
        <v>12</v>
      </c>
      <c r="M1130" s="13">
        <v>0</v>
      </c>
      <c r="N1130" s="13" t="s">
        <v>2811</v>
      </c>
      <c r="O1130" s="13" t="s">
        <v>771</v>
      </c>
      <c r="P1130" s="13">
        <v>10010</v>
      </c>
      <c r="R1130" s="13" t="s">
        <v>239</v>
      </c>
      <c r="S1130" s="13" t="s">
        <v>180</v>
      </c>
      <c r="T1130" s="13" t="s">
        <v>253</v>
      </c>
      <c r="U1130" s="13" t="s">
        <v>182</v>
      </c>
      <c r="V1130" s="23">
        <v>181</v>
      </c>
      <c r="W1130" s="44">
        <f>IF($AX1130="Cancelled","",IFERROR(((V1130+INDEX(Variables!$B$6:$D$6,IFERROR(MATCH(IF($B1130="Robusta","Robusta",(IF($B1130="","Arabica",$B1130))&amp;" - "&amp;(IF($C1130="","Commercial",$C1130))),Variables!$B$1:$D$1,0),1)))*22.0462)*(L1130/16.67),""))</f>
        <v>7487.5084535092974</v>
      </c>
      <c r="Y1130" s="13" t="str">
        <f>IF($AX1130="Cancelled","",IF(X1130="","",IFERROR(IF(INDEX(Variables!$B$38:$B$47,MATCH(X1130,Variables!$A$38:$A$47,0))="Yes","Yes","No"),"No")))</f>
        <v/>
      </c>
      <c r="Z1130" s="31"/>
      <c r="AC1130" s="13" t="str">
        <f t="shared" si="53"/>
        <v/>
      </c>
      <c r="AF1130" s="71">
        <v>46168</v>
      </c>
      <c r="AG1130" s="36">
        <f>IF($AX1130="Cancelled","",IFERROR(IF(F1130="","",F1130-Variables!$B$13),""))</f>
        <v>46158</v>
      </c>
      <c r="AH1130" s="13" t="str">
        <f>IF($AX1130="Cancelled","",IFERROR(IF(AB1130="","",(AVERAGE(E1130:F1130)-AB1130)-Variables!$B$14),""))</f>
        <v/>
      </c>
      <c r="AJ1130" s="47">
        <v>46182</v>
      </c>
      <c r="AK1130" s="14">
        <f>IF($AX1130="Cancelled","",IFERROR(IF(AJ1130="","",IF(AND(AB1130="",AF1130=""),"",IF(AF1130&gt;AB1130,AF1130+Variables!$B$15+Variables!$B$16+Variables!$B$17-AJ1130,AB1130+Variables!$B$16+Variables!$B$17-AJ1130))),""))</f>
        <v>1</v>
      </c>
      <c r="AL1130" s="48" t="s">
        <v>114</v>
      </c>
      <c r="AM1130" s="13" t="s">
        <v>183</v>
      </c>
      <c r="AN1130" s="13" t="s">
        <v>2485</v>
      </c>
      <c r="AP1130" s="39" t="e">
        <v>#N/A</v>
      </c>
      <c r="AR1130" s="13">
        <v>321600002457</v>
      </c>
      <c r="AS1130" s="31">
        <v>46202</v>
      </c>
      <c r="AU1130" s="31">
        <v>46225</v>
      </c>
      <c r="AV1130" s="13" t="s">
        <v>2649</v>
      </c>
      <c r="AW1130" s="31">
        <v>46225</v>
      </c>
      <c r="AX1130" s="13" t="str">
        <f>IF(ISNUMBER(SEARCH("cancel",#REF!)),"Cancelled",IF(AND(AS1130&lt;&gt;"",AU1130&lt;&gt;"",AW1130&lt;&gt;""),"Closed","Open"))</f>
        <v>Closed</v>
      </c>
      <c r="AY1130" s="24" t="str">
        <f t="shared" si="52"/>
        <v>All dates received</v>
      </c>
      <c r="BD1130" s="13">
        <f>IF($AX1130="Cancelled","",IFERROR(IF(OR(AS1130="",AJ1130=""),"",(AJ1130+Variables!$B$18-AS1130)),""))</f>
        <v>-5</v>
      </c>
      <c r="BE1130" s="13">
        <f>IF($AX1130="Cancelled","",IFERROR(IF(OR(AW1130="",AS1130=""),"",(AS1130+Variables!$B$19)-AW1130),""))</f>
        <v>-18</v>
      </c>
      <c r="BF1130" s="44">
        <f>IF($AX1130="Cancelled","",IFERROR(W1130*INDEX(Variables!$B$7:$D$7,IFERROR(MATCH(IF($B1130="Robusta","Robusta",(IF($B1130="","Arabica",$B1130))&amp;" - "&amp;(IF($C1130="","Commercial",$C1130))),Variables!$B$1:$D$1,0),1))*(BE1130/365),""))</f>
        <v>-23.80985840223504</v>
      </c>
      <c r="BG1130" s="44" t="str">
        <f>IF($AX1130="Cancelled","",IFERROR((W1130*INDEX(Variables!$B$7:$D$7,IFERROR(MATCH(IF($B1130="Robusta","Robusta",(IF($B1130="","Arabica",$B1130))&amp;" - "&amp;(IF($C1130="","Commercial",$C1130))),Variables!$B$1:$D$1,0),1))*IFERROR(IF(AB1130="","",(AVERAGE(E1130:F1130)-AB1130)-Variables!$B$14),"")/365)+(L1130/16.67*INDEX(Variables!$B$8:$D$8,IFERROR(MATCH(IF($B1130="Robusta","Robusta",(IF($B1130="","Arabica",$B1130))&amp;" - "&amp;(IF($C1130="","Commercial",$C1130))),Variables!$B$1:$D$1,0),1))*IFERROR(IF(AB1130="","",(AVERAGE(E1130:F1130)-AB1130)-Variables!$B$14),""))+(W1130*INDEX(Variables!$B$9:$D$9,IFERROR(MATCH(IF($B1130="Robusta","Robusta",(IF($B1130="","Arabica",$B1130))&amp;" - "&amp;(IF($C1130="","Commercial",$C1130))),Variables!$B$1:$D$1,0),1))*IFERROR(IF(AB1130="","",(AVERAGE(E1130:F1130)-AB1130)-Variables!$B$14),"")/365),""))</f>
        <v/>
      </c>
      <c r="BH1130" s="44">
        <f>IF($AX1130="Cancelled","",IFERROR((W1130*INDEX(Variables!$B$7:$D$7,IFERROR(MATCH(IF($B1130="Robusta","Robusta",(IF($B1130="","Arabica",$B1130))&amp;" - "&amp;(IF($C1130="","Commercial",$C1130))),Variables!$B$1:$D$1,0),1))*AK1130/365)+(L1130/16.67*INDEX(Variables!$B$8:$D$8,IFERROR(MATCH(IF($B1130="Robusta","Robusta",(IF($B1130="","Arabica",$B1130))&amp;" - "&amp;(IF($C1130="","Commercial",$C1130))),Variables!$B$1:$D$1,0),1))*AK1130)+(W1130*INDEX(Variables!$B$9:$D$9,IFERROR(MATCH(IF($B1130="Robusta","Robusta",(IF($B1130="","Arabica",$B1130))&amp;" - "&amp;(IF($C1130="","Commercial",$C1130))),Variables!$B$1:$D$1,0),1))*AK1130/365),""))</f>
        <v>1.9398229681596697</v>
      </c>
      <c r="BI1130" s="44">
        <f>IF($AX1130="Cancelled","",IFERROR((W1130*INDEX(Variables!$B$7:$D$7,IFERROR(MATCH(IF($B1130="Robusta","Robusta",(IF($B1130="","Arabica",$B1130))&amp;" - "&amp;(IF($C1130="","Commercial",$C1130))),Variables!$B$1:$D$1,0),1))*BD1130/365)+(L1130/16.67*INDEX(Variables!$B$8:$D$8,IFERROR(MATCH(IF($B1130="Robusta","Robusta",(IF($B1130="","Arabica",$B1130))&amp;" - "&amp;(IF($C1130="","Commercial",$C1130))),Variables!$B$1:$D$1,0),1))*BD1130)+(W1130*INDEX(Variables!$B$9:$D$9,IFERROR(MATCH(IF($B1130="Robusta","Robusta",(IF($B1130="","Arabica",$B1130))&amp;" - "&amp;(IF($C1130="","Commercial",$C1130))),Variables!$B$1:$D$1,0),1))*BD1130/365),""))</f>
        <v>-9.6991148407983498</v>
      </c>
      <c r="BJ1130" s="44">
        <f t="shared" si="54"/>
        <v>-29</v>
      </c>
      <c r="BK1130" s="44">
        <f>IF($AX1130="Cancelled","",IFERROR(IF(BJ1130="","",(W1130*INDEX(Variables!$B$7:$D$7,IFERROR(MATCH(IF($B1130="Robusta","Robusta",(IF($B1130="","Arabica",$B1130))&amp;" - "&amp;(IF($C1130="","Commercial",$C1130))),Variables!$B$1:$D$1,0),1))*(BJ1130/365))+(W1130*INDEX(Variables!$B$9:$D$9,IFERROR(MATCH(IF($B1130="Robusta","Robusta",(IF($B1130="","Arabica",$B1130))&amp;" - "&amp;(IF($C1130="","Commercial",$C1130))),Variables!$B$1:$D$1,0),1))*(BJ1130/365))+(INDEX(Variables!$B$8:$D$8,IFERROR(MATCH(IF($B1130="Robusta","Robusta",(IF($B1130="","Arabica",$B1130))&amp;" - "&amp;(IF($C1130="","Commercial",$C1130))),Variables!$B$1:$D$1,0),1))*L1130/16.67)),""))</f>
        <v>-38.254866076630428</v>
      </c>
    </row>
    <row r="1131" spans="1:63">
      <c r="A1131" s="13" t="s">
        <v>103</v>
      </c>
      <c r="B1131" s="13" t="s">
        <v>104</v>
      </c>
      <c r="C1131" s="13" t="s">
        <v>292</v>
      </c>
      <c r="D1131" s="31">
        <v>46129</v>
      </c>
      <c r="E1131" s="31">
        <v>46143</v>
      </c>
      <c r="F1131" s="31">
        <v>46173</v>
      </c>
      <c r="G1131" s="13">
        <v>3787555</v>
      </c>
      <c r="J1131" s="13" t="s">
        <v>2535</v>
      </c>
      <c r="K1131" s="13" t="s">
        <v>2812</v>
      </c>
      <c r="L1131" s="13">
        <v>32</v>
      </c>
      <c r="M1131" s="13">
        <v>0</v>
      </c>
      <c r="N1131" s="13" t="s">
        <v>2813</v>
      </c>
      <c r="O1131" s="13" t="s">
        <v>771</v>
      </c>
      <c r="P1131" s="13">
        <v>10010</v>
      </c>
      <c r="R1131" s="13" t="s">
        <v>384</v>
      </c>
      <c r="S1131" s="13" t="s">
        <v>288</v>
      </c>
      <c r="T1131" s="13" t="s">
        <v>289</v>
      </c>
      <c r="U1131" s="13" t="s">
        <v>182</v>
      </c>
      <c r="V1131" s="23">
        <v>239</v>
      </c>
      <c r="W1131" s="44">
        <f>IF($AX1131="Cancelled","",IFERROR(((V1131+INDEX(Variables!$B$6:$D$6,IFERROR(MATCH(IF($B1131="Robusta","Robusta",(IF($B1131="","Arabica",$B1131))&amp;" - "&amp;(IF($C1131="","Commercial",$C1131))),Variables!$B$1:$D$1,0),1)))*22.0462)*(L1131/16.67),""))</f>
        <v>22421.263126574679</v>
      </c>
      <c r="Y1131" s="13" t="str">
        <f>IF($AX1131="Cancelled","",IF(X1131="","",IFERROR(IF(INDEX(Variables!$B$38:$B$47,MATCH(X1131,Variables!$A$38:$A$47,0))="Yes","Yes","No"),"No")))</f>
        <v/>
      </c>
      <c r="Z1131" s="31"/>
      <c r="AC1131" s="13" t="str">
        <f t="shared" si="53"/>
        <v/>
      </c>
      <c r="AF1131" s="71">
        <v>46168</v>
      </c>
      <c r="AG1131" s="36">
        <f>IF($AX1131="Cancelled","",IFERROR(IF(F1131="","",F1131-Variables!$B$13),""))</f>
        <v>46158</v>
      </c>
      <c r="AH1131" s="13" t="str">
        <f>IF($AX1131="Cancelled","",IFERROR(IF(AB1131="","",(AVERAGE(E1131:F1131)-AB1131)-Variables!$B$14),""))</f>
        <v/>
      </c>
      <c r="AJ1131" s="47">
        <v>46196</v>
      </c>
      <c r="AK1131" s="14">
        <f>IF($AX1131="Cancelled","",IFERROR(IF(AJ1131="","",IF(AND(AB1131="",AF1131=""),"",IF(AF1131&gt;AB1131,AF1131+Variables!$B$15+Variables!$B$16+Variables!$B$17-AJ1131,AB1131+Variables!$B$16+Variables!$B$17-AJ1131))),""))</f>
        <v>-13</v>
      </c>
      <c r="AL1131" s="48" t="s">
        <v>114</v>
      </c>
      <c r="AM1131" s="13" t="s">
        <v>1848</v>
      </c>
      <c r="AN1131" s="13" t="s">
        <v>2537</v>
      </c>
      <c r="AP1131" s="39" t="e">
        <v>#N/A</v>
      </c>
      <c r="AR1131" s="13" t="s">
        <v>2538</v>
      </c>
      <c r="AS1131" s="31">
        <v>46213</v>
      </c>
      <c r="AU1131" s="31">
        <v>46223</v>
      </c>
      <c r="AV1131" s="13" t="e">
        <v>#N/A</v>
      </c>
      <c r="AW1131" s="39">
        <v>46223</v>
      </c>
      <c r="AX1131" s="13" t="str">
        <f>IF(ISNUMBER(SEARCH("cancel",#REF!)),"Cancelled",IF(AND(AS1131&lt;&gt;"",AU1131&lt;&gt;"",AW1131&lt;&gt;""),"Closed","Open"))</f>
        <v>Closed</v>
      </c>
      <c r="AY1131" s="24" t="str">
        <f t="shared" si="52"/>
        <v>All dates received</v>
      </c>
      <c r="BD1131" s="13">
        <f>IF($AX1131="Cancelled","",IFERROR(IF(OR(AS1131="",AJ1131=""),"",(AJ1131+Variables!$B$18-AS1131)),""))</f>
        <v>-2</v>
      </c>
      <c r="BE1131" s="13">
        <f>IF($AX1131="Cancelled","",IFERROR(IF(OR(AW1131="",AS1131=""),"",(AS1131+Variables!$B$19)-AW1131),""))</f>
        <v>-5</v>
      </c>
      <c r="BF1131" s="44">
        <f>IF($AX1131="Cancelled","",IFERROR(W1131*INDEX(Variables!$B$7:$D$7,IFERROR(MATCH(IF($B1131="Robusta","Robusta",(IF($B1131="","Arabica",$B1131))&amp;" - "&amp;(IF($C1131="","Commercial",$C1131))),Variables!$B$1:$D$1,0),1))*(BE1131/365),""))</f>
        <v>-19.805101002471421</v>
      </c>
      <c r="BG1131" s="44" t="str">
        <f>IF($AX1131="Cancelled","",IFERROR((W1131*INDEX(Variables!$B$7:$D$7,IFERROR(MATCH(IF($B1131="Robusta","Robusta",(IF($B1131="","Arabica",$B1131))&amp;" - "&amp;(IF($C1131="","Commercial",$C1131))),Variables!$B$1:$D$1,0),1))*IFERROR(IF(AB1131="","",(AVERAGE(E1131:F1131)-AB1131)-Variables!$B$14),"")/365)+(L1131/16.67*INDEX(Variables!$B$8:$D$8,IFERROR(MATCH(IF($B1131="Robusta","Robusta",(IF($B1131="","Arabica",$B1131))&amp;" - "&amp;(IF($C1131="","Commercial",$C1131))),Variables!$B$1:$D$1,0),1))*IFERROR(IF(AB1131="","",(AVERAGE(E1131:F1131)-AB1131)-Variables!$B$14),""))+(W1131*INDEX(Variables!$B$9:$D$9,IFERROR(MATCH(IF($B1131="Robusta","Robusta",(IF($B1131="","Arabica",$B1131))&amp;" - "&amp;(IF($C1131="","Commercial",$C1131))),Variables!$B$1:$D$1,0),1))*IFERROR(IF(AB1131="","",(AVERAGE(E1131:F1131)-AB1131)-Variables!$B$14),"")/365),""))</f>
        <v/>
      </c>
      <c r="BH1131" s="44">
        <f>IF($AX1131="Cancelled","",IFERROR((W1131*INDEX(Variables!$B$7:$D$7,IFERROR(MATCH(IF($B1131="Robusta","Robusta",(IF($B1131="","Arabica",$B1131))&amp;" - "&amp;(IF($C1131="","Commercial",$C1131))),Variables!$B$1:$D$1,0),1))*AK1131/365)+(L1131/16.67*INDEX(Variables!$B$8:$D$8,IFERROR(MATCH(IF($B1131="Robusta","Robusta",(IF($B1131="","Arabica",$B1131))&amp;" - "&amp;(IF($C1131="","Commercial",$C1131))),Variables!$B$1:$D$1,0),1))*AK1131)+(W1131*INDEX(Variables!$B$9:$D$9,IFERROR(MATCH(IF($B1131="Robusta","Robusta",(IF($B1131="","Arabica",$B1131))&amp;" - "&amp;(IF($C1131="","Commercial",$C1131))),Variables!$B$1:$D$1,0),1))*AK1131/365),""))</f>
        <v>-72.957110136514956</v>
      </c>
      <c r="BI1131" s="44">
        <f>IF($AX1131="Cancelled","",IFERROR((W1131*INDEX(Variables!$B$7:$D$7,IFERROR(MATCH(IF($B1131="Robusta","Robusta",(IF($B1131="","Arabica",$B1131))&amp;" - "&amp;(IF($C1131="","Commercial",$C1131))),Variables!$B$1:$D$1,0),1))*BD1131/365)+(L1131/16.67*INDEX(Variables!$B$8:$D$8,IFERROR(MATCH(IF($B1131="Robusta","Robusta",(IF($B1131="","Arabica",$B1131))&amp;" - "&amp;(IF($C1131="","Commercial",$C1131))),Variables!$B$1:$D$1,0),1))*BD1131)+(W1131*INDEX(Variables!$B$9:$D$9,IFERROR(MATCH(IF($B1131="Robusta","Robusta",(IF($B1131="","Arabica",$B1131))&amp;" - "&amp;(IF($C1131="","Commercial",$C1131))),Variables!$B$1:$D$1,0),1))*BD1131/365),""))</f>
        <v>-11.224170790233071</v>
      </c>
      <c r="BJ1131" s="44">
        <f t="shared" si="54"/>
        <v>-40</v>
      </c>
      <c r="BK1131" s="44">
        <f>IF($AX1131="Cancelled","",IFERROR(IF(BJ1131="","",(W1131*INDEX(Variables!$B$7:$D$7,IFERROR(MATCH(IF($B1131="Robusta","Robusta",(IF($B1131="","Arabica",$B1131))&amp;" - "&amp;(IF($C1131="","Commercial",$C1131))),Variables!$B$1:$D$1,0),1))*(BJ1131/365))+(W1131*INDEX(Variables!$B$9:$D$9,IFERROR(MATCH(IF($B1131="Robusta","Robusta",(IF($B1131="","Arabica",$B1131))&amp;" - "&amp;(IF($C1131="","Commercial",$C1131))),Variables!$B$1:$D$1,0),1))*(BJ1131/365))+(INDEX(Variables!$B$8:$D$8,IFERROR(MATCH(IF($B1131="Robusta","Robusta",(IF($B1131="","Arabica",$B1131))&amp;" - "&amp;(IF($C1131="","Commercial",$C1131))),Variables!$B$1:$D$1,0),1))*L1131/16.67)),""))</f>
        <v>-158.88341580466141</v>
      </c>
    </row>
    <row r="1132" spans="1:63">
      <c r="A1132" s="13" t="s">
        <v>103</v>
      </c>
      <c r="B1132" s="13" t="s">
        <v>104</v>
      </c>
      <c r="C1132" s="13" t="s">
        <v>292</v>
      </c>
      <c r="D1132" s="31">
        <v>46129</v>
      </c>
      <c r="E1132" s="31">
        <v>46143</v>
      </c>
      <c r="F1132" s="31">
        <v>46173</v>
      </c>
      <c r="G1132" s="13">
        <v>3787556</v>
      </c>
      <c r="J1132" s="13" t="s">
        <v>2535</v>
      </c>
      <c r="K1132" s="13" t="s">
        <v>2814</v>
      </c>
      <c r="L1132" s="13">
        <v>15</v>
      </c>
      <c r="M1132" s="13">
        <v>0</v>
      </c>
      <c r="N1132" s="13" t="s">
        <v>2815</v>
      </c>
      <c r="O1132" s="13" t="s">
        <v>771</v>
      </c>
      <c r="P1132" s="13">
        <v>10010</v>
      </c>
      <c r="R1132" s="13" t="s">
        <v>384</v>
      </c>
      <c r="S1132" s="13" t="s">
        <v>288</v>
      </c>
      <c r="T1132" s="13" t="s">
        <v>289</v>
      </c>
      <c r="U1132" s="13" t="s">
        <v>182</v>
      </c>
      <c r="V1132" s="23">
        <v>249</v>
      </c>
      <c r="W1132" s="44">
        <f>IF($AX1132="Cancelled","",IFERROR(((V1132+INDEX(Variables!$B$6:$D$6,IFERROR(MATCH(IF($B1132="Robusta","Robusta",(IF($B1132="","Arabica",$B1132))&amp;" - "&amp;(IF($C1132="","Commercial",$C1132))),Variables!$B$1:$D$1,0),1)))*22.0462)*(L1132/16.67),""))</f>
        <v>10708.343215356925</v>
      </c>
      <c r="Y1132" s="13" t="str">
        <f>IF($AX1132="Cancelled","",IF(X1132="","",IFERROR(IF(INDEX(Variables!$B$38:$B$47,MATCH(X1132,Variables!$A$38:$A$47,0))="Yes","Yes","No"),"No")))</f>
        <v/>
      </c>
      <c r="Z1132" s="31"/>
      <c r="AC1132" s="13" t="str">
        <f t="shared" si="53"/>
        <v/>
      </c>
      <c r="AF1132" s="71">
        <v>46168</v>
      </c>
      <c r="AG1132" s="36">
        <f>IF($AX1132="Cancelled","",IFERROR(IF(F1132="","",F1132-Variables!$B$13),""))</f>
        <v>46158</v>
      </c>
      <c r="AH1132" s="13" t="str">
        <f>IF($AX1132="Cancelled","",IFERROR(IF(AB1132="","",(AVERAGE(E1132:F1132)-AB1132)-Variables!$B$14),""))</f>
        <v/>
      </c>
      <c r="AJ1132" s="47">
        <v>46196</v>
      </c>
      <c r="AK1132" s="14">
        <f>IF($AX1132="Cancelled","",IFERROR(IF(AJ1132="","",IF(AND(AB1132="",AF1132=""),"",IF(AF1132&gt;AB1132,AF1132+Variables!$B$15+Variables!$B$16+Variables!$B$17-AJ1132,AB1132+Variables!$B$16+Variables!$B$17-AJ1132))),""))</f>
        <v>-13</v>
      </c>
      <c r="AL1132" s="48" t="s">
        <v>114</v>
      </c>
      <c r="AM1132" s="13" t="s">
        <v>1848</v>
      </c>
      <c r="AN1132" s="13" t="s">
        <v>2537</v>
      </c>
      <c r="AP1132" s="39" t="e">
        <v>#N/A</v>
      </c>
      <c r="AR1132" s="13" t="s">
        <v>2538</v>
      </c>
      <c r="AS1132" s="31">
        <v>46213</v>
      </c>
      <c r="AU1132" s="31">
        <v>46223</v>
      </c>
      <c r="AV1132" s="13" t="e">
        <v>#N/A</v>
      </c>
      <c r="AW1132" s="39">
        <v>46223</v>
      </c>
      <c r="AX1132" s="13" t="str">
        <f>IF(ISNUMBER(SEARCH("cancel",#REF!)),"Cancelled",IF(AND(AS1132&lt;&gt;"",AU1132&lt;&gt;"",AW1132&lt;&gt;""),"Closed","Open"))</f>
        <v>Closed</v>
      </c>
      <c r="AY1132" s="24" t="str">
        <f t="shared" si="52"/>
        <v>All dates received</v>
      </c>
      <c r="BD1132" s="13">
        <f>IF($AX1132="Cancelled","",IFERROR(IF(OR(AS1132="",AJ1132=""),"",(AJ1132+Variables!$B$18-AS1132)),""))</f>
        <v>-2</v>
      </c>
      <c r="BE1132" s="13">
        <f>IF($AX1132="Cancelled","",IFERROR(IF(OR(AW1132="",AS1132=""),"",(AS1132+Variables!$B$19)-AW1132),""))</f>
        <v>-5</v>
      </c>
      <c r="BF1132" s="44">
        <f>IF($AX1132="Cancelled","",IFERROR(W1132*INDEX(Variables!$B$7:$D$7,IFERROR(MATCH(IF($B1132="Robusta","Robusta",(IF($B1132="","Arabica",$B1132))&amp;" - "&amp;(IF($C1132="","Commercial",$C1132))),Variables!$B$1:$D$1,0),1))*(BE1132/365),""))</f>
        <v>-9.4588702586477851</v>
      </c>
      <c r="BG1132" s="44" t="str">
        <f>IF($AX1132="Cancelled","",IFERROR((W1132*INDEX(Variables!$B$7:$D$7,IFERROR(MATCH(IF($B1132="Robusta","Robusta",(IF($B1132="","Arabica",$B1132))&amp;" - "&amp;(IF($C1132="","Commercial",$C1132))),Variables!$B$1:$D$1,0),1))*IFERROR(IF(AB1132="","",(AVERAGE(E1132:F1132)-AB1132)-Variables!$B$14),"")/365)+(L1132/16.67*INDEX(Variables!$B$8:$D$8,IFERROR(MATCH(IF($B1132="Robusta","Robusta",(IF($B1132="","Arabica",$B1132))&amp;" - "&amp;(IF($C1132="","Commercial",$C1132))),Variables!$B$1:$D$1,0),1))*IFERROR(IF(AB1132="","",(AVERAGE(E1132:F1132)-AB1132)-Variables!$B$14),""))+(W1132*INDEX(Variables!$B$9:$D$9,IFERROR(MATCH(IF($B1132="Robusta","Robusta",(IF($B1132="","Arabica",$B1132))&amp;" - "&amp;(IF($C1132="","Commercial",$C1132))),Variables!$B$1:$D$1,0),1))*IFERROR(IF(AB1132="","",(AVERAGE(E1132:F1132)-AB1132)-Variables!$B$14),"")/365),""))</f>
        <v/>
      </c>
      <c r="BH1132" s="44">
        <f>IF($AX1132="Cancelled","",IFERROR((W1132*INDEX(Variables!$B$7:$D$7,IFERROR(MATCH(IF($B1132="Robusta","Robusta",(IF($B1132="","Arabica",$B1132))&amp;" - "&amp;(IF($C1132="","Commercial",$C1132))),Variables!$B$1:$D$1,0),1))*AK1132/365)+(L1132/16.67*INDEX(Variables!$B$8:$D$8,IFERROR(MATCH(IF($B1132="Robusta","Robusta",(IF($B1132="","Arabica",$B1132))&amp;" - "&amp;(IF($C1132="","Commercial",$C1132))),Variables!$B$1:$D$1,0),1))*AK1132)+(W1132*INDEX(Variables!$B$9:$D$9,IFERROR(MATCH(IF($B1132="Robusta","Robusta",(IF($B1132="","Arabica",$B1132))&amp;" - "&amp;(IF($C1132="","Commercial",$C1132))),Variables!$B$1:$D$1,0),1))*AK1132/365),""))</f>
        <v>-34.660114711646003</v>
      </c>
      <c r="BI1132" s="44">
        <f>IF($AX1132="Cancelled","",IFERROR((W1132*INDEX(Variables!$B$7:$D$7,IFERROR(MATCH(IF($B1132="Robusta","Robusta",(IF($B1132="","Arabica",$B1132))&amp;" - "&amp;(IF($C1132="","Commercial",$C1132))),Variables!$B$1:$D$1,0),1))*BD1132/365)+(L1132/16.67*INDEX(Variables!$B$8:$D$8,IFERROR(MATCH(IF($B1132="Robusta","Robusta",(IF($B1132="","Arabica",$B1132))&amp;" - "&amp;(IF($C1132="","Commercial",$C1132))),Variables!$B$1:$D$1,0),1))*BD1132)+(W1132*INDEX(Variables!$B$9:$D$9,IFERROR(MATCH(IF($B1132="Robusta","Robusta",(IF($B1132="","Arabica",$B1132))&amp;" - "&amp;(IF($C1132="","Commercial",$C1132))),Variables!$B$1:$D$1,0),1))*BD1132/365),""))</f>
        <v>-5.33232534025323</v>
      </c>
      <c r="BJ1132" s="44">
        <f t="shared" si="54"/>
        <v>-40</v>
      </c>
      <c r="BK1132" s="44">
        <f>IF($AX1132="Cancelled","",IFERROR(IF(BJ1132="","",(W1132*INDEX(Variables!$B$7:$D$7,IFERROR(MATCH(IF($B1132="Robusta","Robusta",(IF($B1132="","Arabica",$B1132))&amp;" - "&amp;(IF($C1132="","Commercial",$C1132))),Variables!$B$1:$D$1,0),1))*(BJ1132/365))+(W1132*INDEX(Variables!$B$9:$D$9,IFERROR(MATCH(IF($B1132="Robusta","Robusta",(IF($B1132="","Arabica",$B1132))&amp;" - "&amp;(IF($C1132="","Commercial",$C1132))),Variables!$B$1:$D$1,0),1))*(BJ1132/365))+(INDEX(Variables!$B$8:$D$8,IFERROR(MATCH(IF($B1132="Robusta","Robusta",(IF($B1132="","Arabica",$B1132))&amp;" - "&amp;(IF($C1132="","Commercial",$C1132))),Variables!$B$1:$D$1,0),1))*L1132/16.67)),""))</f>
        <v>-75.896506805064604</v>
      </c>
    </row>
    <row r="1133" spans="1:63">
      <c r="A1133" s="13" t="s">
        <v>103</v>
      </c>
      <c r="B1133" s="13" t="s">
        <v>104</v>
      </c>
      <c r="C1133" s="13" t="s">
        <v>292</v>
      </c>
      <c r="D1133" s="31">
        <v>46129</v>
      </c>
      <c r="E1133" s="31">
        <v>46143</v>
      </c>
      <c r="F1133" s="31">
        <v>46173</v>
      </c>
      <c r="G1133" s="13">
        <v>3787557</v>
      </c>
      <c r="J1133" s="13" t="s">
        <v>2535</v>
      </c>
      <c r="K1133" s="13" t="s">
        <v>2816</v>
      </c>
      <c r="L1133" s="13">
        <v>19</v>
      </c>
      <c r="M1133" s="13">
        <v>0</v>
      </c>
      <c r="N1133" s="13" t="s">
        <v>2817</v>
      </c>
      <c r="O1133" s="13" t="s">
        <v>771</v>
      </c>
      <c r="P1133" s="13">
        <v>10010</v>
      </c>
      <c r="R1133" s="13" t="s">
        <v>384</v>
      </c>
      <c r="S1133" s="13" t="s">
        <v>288</v>
      </c>
      <c r="T1133" s="13" t="s">
        <v>289</v>
      </c>
      <c r="U1133" s="13" t="s">
        <v>182</v>
      </c>
      <c r="V1133" s="23">
        <v>217</v>
      </c>
      <c r="W1133" s="44">
        <f>IF($AX1133="Cancelled","",IFERROR(((V1133+INDEX(Variables!$B$6:$D$6,IFERROR(MATCH(IF($B1133="Robusta","Robusta",(IF($B1133="","Arabica",$B1133))&amp;" - "&amp;(IF($C1133="","Commercial",$C1133))),Variables!$B$1:$D$1,0),1)))*22.0462)*(L1133/16.67),""))</f>
        <v>12759.816847030592</v>
      </c>
      <c r="Y1133" s="13" t="str">
        <f>IF($AX1133="Cancelled","",IF(X1133="","",IFERROR(IF(INDEX(Variables!$B$38:$B$47,MATCH(X1133,Variables!$A$38:$A$47,0))="Yes","Yes","No"),"No")))</f>
        <v/>
      </c>
      <c r="Z1133" s="31"/>
      <c r="AC1133" s="13" t="str">
        <f t="shared" si="53"/>
        <v/>
      </c>
      <c r="AF1133" s="71">
        <v>46168</v>
      </c>
      <c r="AG1133" s="36">
        <f>IF($AX1133="Cancelled","",IFERROR(IF(F1133="","",F1133-Variables!$B$13),""))</f>
        <v>46158</v>
      </c>
      <c r="AH1133" s="13" t="str">
        <f>IF($AX1133="Cancelled","",IFERROR(IF(AB1133="","",(AVERAGE(E1133:F1133)-AB1133)-Variables!$B$14),""))</f>
        <v/>
      </c>
      <c r="AJ1133" s="47">
        <v>46196</v>
      </c>
      <c r="AK1133" s="14">
        <f>IF($AX1133="Cancelled","",IFERROR(IF(AJ1133="","",IF(AND(AB1133="",AF1133=""),"",IF(AF1133&gt;AB1133,AF1133+Variables!$B$15+Variables!$B$16+Variables!$B$17-AJ1133,AB1133+Variables!$B$16+Variables!$B$17-AJ1133))),""))</f>
        <v>-13</v>
      </c>
      <c r="AL1133" s="48" t="s">
        <v>114</v>
      </c>
      <c r="AM1133" s="13" t="s">
        <v>1848</v>
      </c>
      <c r="AN1133" s="13" t="s">
        <v>2537</v>
      </c>
      <c r="AP1133" s="39" t="e">
        <v>#N/A</v>
      </c>
      <c r="AR1133" s="13" t="s">
        <v>2538</v>
      </c>
      <c r="AS1133" s="31">
        <v>46213</v>
      </c>
      <c r="AU1133" s="31">
        <v>46223</v>
      </c>
      <c r="AV1133" s="13" t="e">
        <v>#N/A</v>
      </c>
      <c r="AW1133" s="39">
        <v>46223</v>
      </c>
      <c r="AX1133" s="13" t="str">
        <f>IF(ISNUMBER(SEARCH("cancel",#REF!)),"Cancelled",IF(AND(AS1133&lt;&gt;"",AU1133&lt;&gt;"",AW1133&lt;&gt;""),"Closed","Open"))</f>
        <v>Closed</v>
      </c>
      <c r="AY1133" s="24" t="str">
        <f t="shared" si="52"/>
        <v>All dates received</v>
      </c>
      <c r="BD1133" s="13">
        <f>IF($AX1133="Cancelled","",IFERROR(IF(OR(AS1133="",AJ1133=""),"",(AJ1133+Variables!$B$18-AS1133)),""))</f>
        <v>-2</v>
      </c>
      <c r="BE1133" s="13">
        <f>IF($AX1133="Cancelled","",IFERROR(IF(OR(AW1133="",AS1133=""),"",(AS1133+Variables!$B$19)-AW1133),""))</f>
        <v>-5</v>
      </c>
      <c r="BF1133" s="44">
        <f>IF($AX1133="Cancelled","",IFERROR(W1133*INDEX(Variables!$B$7:$D$7,IFERROR(MATCH(IF($B1133="Robusta","Robusta",(IF($B1133="","Arabica",$B1133))&amp;" - "&amp;(IF($C1133="","Commercial",$C1133))),Variables!$B$1:$D$1,0),1))*(BE1133/365),""))</f>
        <v>-11.270973450597205</v>
      </c>
      <c r="BG1133" s="44" t="str">
        <f>IF($AX1133="Cancelled","",IFERROR((W1133*INDEX(Variables!$B$7:$D$7,IFERROR(MATCH(IF($B1133="Robusta","Robusta",(IF($B1133="","Arabica",$B1133))&amp;" - "&amp;(IF($C1133="","Commercial",$C1133))),Variables!$B$1:$D$1,0),1))*IFERROR(IF(AB1133="","",(AVERAGE(E1133:F1133)-AB1133)-Variables!$B$14),"")/365)+(L1133/16.67*INDEX(Variables!$B$8:$D$8,IFERROR(MATCH(IF($B1133="Robusta","Robusta",(IF($B1133="","Arabica",$B1133))&amp;" - "&amp;(IF($C1133="","Commercial",$C1133))),Variables!$B$1:$D$1,0),1))*IFERROR(IF(AB1133="","",(AVERAGE(E1133:F1133)-AB1133)-Variables!$B$14),""))+(W1133*INDEX(Variables!$B$9:$D$9,IFERROR(MATCH(IF($B1133="Robusta","Robusta",(IF($B1133="","Arabica",$B1133))&amp;" - "&amp;(IF($C1133="","Commercial",$C1133))),Variables!$B$1:$D$1,0),1))*IFERROR(IF(AB1133="","",(AVERAGE(E1133:F1133)-AB1133)-Variables!$B$14),"")/365),""))</f>
        <v/>
      </c>
      <c r="BH1133" s="44">
        <f>IF($AX1133="Cancelled","",IFERROR((W1133*INDEX(Variables!$B$7:$D$7,IFERROR(MATCH(IF($B1133="Robusta","Robusta",(IF($B1133="","Arabica",$B1133))&amp;" - "&amp;(IF($C1133="","Commercial",$C1133))),Variables!$B$1:$D$1,0),1))*AK1133/365)+(L1133/16.67*INDEX(Variables!$B$8:$D$8,IFERROR(MATCH(IF($B1133="Robusta","Robusta",(IF($B1133="","Arabica",$B1133))&amp;" - "&amp;(IF($C1133="","Commercial",$C1133))),Variables!$B$1:$D$1,0),1))*AK1133)+(W1133*INDEX(Variables!$B$9:$D$9,IFERROR(MATCH(IF($B1133="Robusta","Robusta",(IF($B1133="","Arabica",$B1133))&amp;" - "&amp;(IF($C1133="","Commercial",$C1133))),Variables!$B$1:$D$1,0),1))*AK1133/365),""))</f>
        <v>-42.032322929591579</v>
      </c>
      <c r="BI1133" s="44">
        <f>IF($AX1133="Cancelled","",IFERROR((W1133*INDEX(Variables!$B$7:$D$7,IFERROR(MATCH(IF($B1133="Robusta","Robusta",(IF($B1133="","Arabica",$B1133))&amp;" - "&amp;(IF($C1133="","Commercial",$C1133))),Variables!$B$1:$D$1,0),1))*BD1133/365)+(L1133/16.67*INDEX(Variables!$B$8:$D$8,IFERROR(MATCH(IF($B1133="Robusta","Robusta",(IF($B1133="","Arabica",$B1133))&amp;" - "&amp;(IF($C1133="","Commercial",$C1133))),Variables!$B$1:$D$1,0),1))*BD1133)+(W1133*INDEX(Variables!$B$9:$D$9,IFERROR(MATCH(IF($B1133="Robusta","Robusta",(IF($B1133="","Arabica",$B1133))&amp;" - "&amp;(IF($C1133="","Commercial",$C1133))),Variables!$B$1:$D$1,0),1))*BD1133/365),""))</f>
        <v>-6.466511219937165</v>
      </c>
      <c r="BJ1133" s="44">
        <f t="shared" si="54"/>
        <v>-40</v>
      </c>
      <c r="BK1133" s="44">
        <f>IF($AX1133="Cancelled","",IFERROR(IF(BJ1133="","",(W1133*INDEX(Variables!$B$7:$D$7,IFERROR(MATCH(IF($B1133="Robusta","Robusta",(IF($B1133="","Arabica",$B1133))&amp;" - "&amp;(IF($C1133="","Commercial",$C1133))),Variables!$B$1:$D$1,0),1))*(BJ1133/365))+(W1133*INDEX(Variables!$B$9:$D$9,IFERROR(MATCH(IF($B1133="Robusta","Robusta",(IF($B1133="","Arabica",$B1133))&amp;" - "&amp;(IF($C1133="","Commercial",$C1133))),Variables!$B$1:$D$1,0),1))*(BJ1133/365))+(INDEX(Variables!$B$8:$D$8,IFERROR(MATCH(IF($B1133="Robusta","Robusta",(IF($B1133="","Arabica",$B1133))&amp;" - "&amp;(IF($C1133="","Commercial",$C1133))),Variables!$B$1:$D$1,0),1))*L1133/16.67)),""))</f>
        <v>-90.380224398743295</v>
      </c>
    </row>
    <row r="1134" spans="1:63" s="33" customFormat="1">
      <c r="A1134" s="33" t="s">
        <v>103</v>
      </c>
      <c r="B1134" s="13" t="s">
        <v>104</v>
      </c>
      <c r="C1134" s="13" t="s">
        <v>105</v>
      </c>
      <c r="D1134" s="31">
        <v>46133</v>
      </c>
      <c r="E1134" s="31">
        <v>46266</v>
      </c>
      <c r="F1134" s="31">
        <v>46279</v>
      </c>
      <c r="G1134" s="33">
        <v>3787558</v>
      </c>
      <c r="H1134" s="13"/>
      <c r="I1134" s="13"/>
      <c r="J1134" s="13" t="s">
        <v>2315</v>
      </c>
      <c r="K1134" s="13">
        <v>5624</v>
      </c>
      <c r="L1134" s="13">
        <v>320</v>
      </c>
      <c r="M1134" s="13">
        <v>1</v>
      </c>
      <c r="N1134" s="13" t="s">
        <v>2818</v>
      </c>
      <c r="O1134" s="13" t="s">
        <v>538</v>
      </c>
      <c r="P1134" s="13">
        <v>10080</v>
      </c>
      <c r="Q1134" s="13"/>
      <c r="R1134" s="13" t="s">
        <v>110</v>
      </c>
      <c r="S1134" s="13" t="s">
        <v>553</v>
      </c>
      <c r="T1134" s="13" t="s">
        <v>112</v>
      </c>
      <c r="U1134" s="13" t="s">
        <v>113</v>
      </c>
      <c r="V1134" s="23">
        <v>30</v>
      </c>
      <c r="W1134" s="44">
        <f>IF($AX1134="Cancelled","",IFERROR(((V1134+INDEX(Variables!$B$6:$D$6,IFERROR(MATCH(IF($B1134="Robusta","Robusta",(IF($B1134="","Arabica",$B1134))&amp;" - "&amp;(IF($C1134="","Commercial",$C1134))),Variables!$B$1:$D$1,0),1)))*22.0462)*(L1134/16.67),""))</f>
        <v>135763.32976604678</v>
      </c>
      <c r="X1134" s="55" t="s">
        <v>37</v>
      </c>
      <c r="Y1134" s="13" t="str">
        <f>IF($AX1134="Cancelled","",IF(X1134="","",IFERROR(IF(INDEX(Variables!$B$38:$B$47,MATCH(X1134,Variables!$A$38:$A$47,0))="Yes","Yes","No"),"No")))</f>
        <v>Yes</v>
      </c>
      <c r="Z1134" s="58">
        <v>46227</v>
      </c>
      <c r="AA1134" s="13"/>
      <c r="AB1134" s="31">
        <v>46237</v>
      </c>
      <c r="AC1134" s="13" t="str">
        <f t="shared" si="53"/>
        <v>Approved</v>
      </c>
      <c r="AD1134" s="31">
        <v>46274</v>
      </c>
      <c r="AE1134" s="31"/>
      <c r="AF1134" s="71">
        <v>46267</v>
      </c>
      <c r="AG1134" s="35">
        <f>IF($AX1134="Cancelled","",IFERROR(IF(F1134="","",F1134-Variables!$B$13),""))</f>
        <v>46264</v>
      </c>
      <c r="AH1134" s="13">
        <f>IF($AX1134="Cancelled","",IFERROR(IF(AB1134="","",(AVERAGE(E1134:F1134)-AB1134)-Variables!$B$14),""))</f>
        <v>5.5</v>
      </c>
      <c r="AI1134" s="13"/>
      <c r="AJ1134" s="47">
        <v>46272</v>
      </c>
      <c r="AK1134" s="14">
        <f>IF($AX1134="Cancelled","",IFERROR(IF(AJ1134="","",IF(AND(AB1134="",AF1134=""),"",IF(AF1134&gt;AB1134,AF1134+Variables!$B$15+Variables!$B$16+Variables!$B$17-AJ1134,AB1134+Variables!$B$16+Variables!$B$17-AJ1134))),""))</f>
        <v>10</v>
      </c>
      <c r="AL1134" s="48" t="s">
        <v>114</v>
      </c>
      <c r="AM1134" s="33" t="s">
        <v>134</v>
      </c>
      <c r="AN1134" s="33" t="s">
        <v>2819</v>
      </c>
      <c r="AO1134" s="39">
        <v>46276</v>
      </c>
      <c r="AP1134" s="39">
        <v>46273</v>
      </c>
      <c r="AQ1134" s="39">
        <v>46346</v>
      </c>
      <c r="AR1134" s="33" t="s">
        <v>2820</v>
      </c>
      <c r="AS1134" s="39">
        <v>46287</v>
      </c>
      <c r="AT1134" s="39"/>
      <c r="AU1134" s="41">
        <v>46307</v>
      </c>
      <c r="AV1134" s="33" t="s">
        <v>865</v>
      </c>
      <c r="AW1134" s="41">
        <v>46307</v>
      </c>
      <c r="AX1134" s="33" t="str">
        <f>IF(ISNUMBER(SEARCH("cancel",#REF!)),"Cancelled",IF(AND(AS1134&lt;&gt;"",AU1134&lt;&gt;"",AW1134&lt;&gt;""),"Closed","Open"))</f>
        <v>Closed</v>
      </c>
      <c r="AY1134" s="15" t="str">
        <f t="shared" si="52"/>
        <v>All dates received</v>
      </c>
      <c r="AZ1134" s="13" t="s">
        <v>3053</v>
      </c>
      <c r="BA1134" s="13" t="s">
        <v>3048</v>
      </c>
      <c r="BB1134" s="13" t="s">
        <v>3049</v>
      </c>
      <c r="BC1134" s="33" t="s">
        <v>3048</v>
      </c>
      <c r="BD1134" s="33">
        <f>IF($AX1134="Cancelled","",IFERROR(IF(OR(AS1134="",AJ1134=""),"",(AJ1134+Variables!$B$18-AS1134)),""))</f>
        <v>0</v>
      </c>
      <c r="BE1134" s="33">
        <f>IF($AX1134="Cancelled","",IFERROR(IF(OR(AW1134="",AS1134=""),"",(AS1134+Variables!$B$19)-AW1134),""))</f>
        <v>-15</v>
      </c>
      <c r="BF1134" s="43">
        <f>IF($AX1134="Cancelled","",IFERROR(W1134*INDEX(Variables!$B$7:$D$7,IFERROR(MATCH(IF($B1134="Robusta","Robusta",(IF($B1134="","Arabica",$B1134))&amp;" - "&amp;(IF($C1134="","Commercial",$C1134))),Variables!$B$1:$D$1,0),1))*(BE1134/365),""))</f>
        <v>-359.76650065644577</v>
      </c>
      <c r="BG1134" s="43">
        <f>IF($AX1134="Cancelled","",IFERROR((W1134*INDEX(Variables!$B$7:$D$7,IFERROR(MATCH(IF($B1134="Robusta","Robusta",(IF($B1134="","Arabica",$B1134))&amp;" - "&amp;(IF($C1134="","Commercial",$C1134))),Variables!$B$1:$D$1,0),1))*IFERROR(IF(AB1134="","",(AVERAGE(E1134:F1134)-AB1134)-Variables!$B$14),"")/365)+(L1134/16.67*INDEX(Variables!$B$8:$D$8,IFERROR(MATCH(IF($B1134="Robusta","Robusta",(IF($B1134="","Arabica",$B1134))&amp;" - "&amp;(IF($C1134="","Commercial",$C1134))),Variables!$B$1:$D$1,0),1))*IFERROR(IF(AB1134="","",(AVERAGE(E1134:F1134)-AB1134)-Variables!$B$14),""))+(W1134*INDEX(Variables!$B$9:$D$9,IFERROR(MATCH(IF($B1134="Robusta","Robusta",(IF($B1134="","Arabica",$B1134))&amp;" - "&amp;(IF($C1134="","Commercial",$C1134))),Variables!$B$1:$D$1,0),1))*IFERROR(IF(AB1134="","",(AVERAGE(E1134:F1134)-AB1134)-Variables!$B$14),"")/365),""))</f>
        <v>221.61501455537214</v>
      </c>
      <c r="BH1134" s="43">
        <f>IF($AX1134="Cancelled","",IFERROR((W1134*INDEX(Variables!$B$7:$D$7,IFERROR(MATCH(IF($B1134="Robusta","Robusta",(IF($B1134="","Arabica",$B1134))&amp;" - "&amp;(IF($C1134="","Commercial",$C1134))),Variables!$B$1:$D$1,0),1))*AK1134/365)+(L1134/16.67*INDEX(Variables!$B$8:$D$8,IFERROR(MATCH(IF($B1134="Robusta","Robusta",(IF($B1134="","Arabica",$B1134))&amp;" - "&amp;(IF($C1134="","Commercial",$C1134))),Variables!$B$1:$D$1,0),1))*AK1134)+(W1134*INDEX(Variables!$B$9:$D$9,IFERROR(MATCH(IF($B1134="Robusta","Robusta",(IF($B1134="","Arabica",$B1134))&amp;" - "&amp;(IF($C1134="","Commercial",$C1134))),Variables!$B$1:$D$1,0),1))*AK1134/365),""))</f>
        <v>402.93639010067659</v>
      </c>
      <c r="BI1134" s="43">
        <f>IF($AX1134="Cancelled","",IFERROR((W1134*INDEX(Variables!$B$7:$D$7,IFERROR(MATCH(IF($B1134="Robusta","Robusta",(IF($B1134="","Arabica",$B1134))&amp;" - "&amp;(IF($C1134="","Commercial",$C1134))),Variables!$B$1:$D$1,0),1))*BD1134/365)+(L1134/16.67*INDEX(Variables!$B$8:$D$8,IFERROR(MATCH(IF($B1134="Robusta","Robusta",(IF($B1134="","Arabica",$B1134))&amp;" - "&amp;(IF($C1134="","Commercial",$C1134))),Variables!$B$1:$D$1,0),1))*BD1134)+(W1134*INDEX(Variables!$B$9:$D$9,IFERROR(MATCH(IF($B1134="Robusta","Robusta",(IF($B1134="","Arabica",$B1134))&amp;" - "&amp;(IF($C1134="","Commercial",$C1134))),Variables!$B$1:$D$1,0),1))*BD1134/365),""))</f>
        <v>0</v>
      </c>
      <c r="BJ1134" s="43">
        <f t="shared" si="54"/>
        <v>-8</v>
      </c>
      <c r="BK1134" s="43">
        <f>IF($AX1134="Cancelled","",IFERROR(IF(BJ1134="","",(W1134*INDEX(Variables!$B$7:$D$7,IFERROR(MATCH(IF($B1134="Robusta","Robusta",(IF($B1134="","Arabica",$B1134))&amp;" - "&amp;(IF($C1134="","Commercial",$C1134))),Variables!$B$1:$D$1,0),1))*(BJ1134/365))+(W1134*INDEX(Variables!$B$9:$D$9,IFERROR(MATCH(IF($B1134="Robusta","Robusta",(IF($B1134="","Arabica",$B1134))&amp;" - "&amp;(IF($C1134="","Commercial",$C1134))),Variables!$B$1:$D$1,0),1))*(BJ1134/365))+(INDEX(Variables!$B$8:$D$8,IFERROR(MATCH(IF($B1134="Robusta","Robusta",(IF($B1134="","Arabica",$B1134))&amp;" - "&amp;(IF($C1134="","Commercial",$C1134))),Variables!$B$1:$D$1,0),1))*L1134/16.67)),""))</f>
        <v>-178.34911208054129</v>
      </c>
    </row>
    <row r="1135" spans="1:63">
      <c r="A1135" s="13" t="s">
        <v>103</v>
      </c>
      <c r="B1135" s="13" t="s">
        <v>104</v>
      </c>
      <c r="C1135" s="13" t="s">
        <v>105</v>
      </c>
      <c r="D1135" s="31">
        <v>46133</v>
      </c>
      <c r="E1135" s="31">
        <v>46113</v>
      </c>
      <c r="F1135" s="31">
        <v>46142</v>
      </c>
      <c r="G1135" s="13">
        <v>3787559</v>
      </c>
      <c r="J1135" s="13" t="s">
        <v>2821</v>
      </c>
      <c r="K1135" s="13">
        <v>5526</v>
      </c>
      <c r="L1135" s="13">
        <v>300</v>
      </c>
      <c r="M1135" s="13">
        <v>1</v>
      </c>
      <c r="N1135" s="13" t="s">
        <v>2822</v>
      </c>
      <c r="O1135" s="13" t="s">
        <v>1172</v>
      </c>
      <c r="P1135" s="13">
        <v>10260</v>
      </c>
      <c r="R1135" s="13" t="s">
        <v>110</v>
      </c>
      <c r="S1135" s="13" t="s">
        <v>2823</v>
      </c>
      <c r="T1135" s="13" t="s">
        <v>430</v>
      </c>
      <c r="U1135" s="13" t="s">
        <v>182</v>
      </c>
      <c r="V1135" s="23">
        <v>-139</v>
      </c>
      <c r="W1135" s="44">
        <f>IF($AX1135="Cancelled","",IFERROR(((V1135+INDEX(Variables!$B$6:$D$6,IFERROR(MATCH(IF($B1135="Robusta","Robusta",(IF($B1135="","Arabica",$B1135))&amp;" - "&amp;(IF($C1135="","Commercial",$C1135))),Variables!$B$1:$D$1,0),1)))*22.0462)*(L1135/16.67),""))</f>
        <v>60226.991481703648</v>
      </c>
      <c r="X1135" s="55" t="s">
        <v>2824</v>
      </c>
      <c r="Y1135" s="13" t="str">
        <f>IF($AX1135="Cancelled","",IF(X1135="","",IFERROR(IF(INDEX(Variables!$B$38:$B$47,MATCH(X1135,Variables!$A$38:$A$47,0))="Yes","Yes","No"),"No")))</f>
        <v>No</v>
      </c>
      <c r="Z1135" s="31"/>
      <c r="AC1135" s="13" t="str">
        <f t="shared" si="53"/>
        <v/>
      </c>
      <c r="AF1135" s="71">
        <v>46160</v>
      </c>
      <c r="AG1135" s="35">
        <f>IF($AX1135="Cancelled","",IFERROR(IF(F1135="","",F1135-Variables!$B$13),""))</f>
        <v>46127</v>
      </c>
      <c r="AH1135" s="13" t="str">
        <f>IF($AX1135="Cancelled","",IFERROR(IF(AB1135="","",(AVERAGE(E1135:F1135)-AB1135)-Variables!$B$14),""))</f>
        <v/>
      </c>
      <c r="AJ1135" s="47">
        <v>46178</v>
      </c>
      <c r="AK1135" s="14">
        <f>IF($AX1135="Cancelled","",IFERROR(IF(AJ1135="","",IF(AND(AB1135="",AF1135=""),"",IF(AF1135&gt;AB1135,AF1135+Variables!$B$15+Variables!$B$16+Variables!$B$17-AJ1135,AB1135+Variables!$B$16+Variables!$B$17-AJ1135))),""))</f>
        <v>-3</v>
      </c>
      <c r="AL1135" s="48" t="s">
        <v>114</v>
      </c>
      <c r="AM1135" s="13" t="s">
        <v>168</v>
      </c>
      <c r="AN1135" s="13" t="s">
        <v>1852</v>
      </c>
      <c r="AP1135" s="39">
        <v>46192</v>
      </c>
      <c r="AR1135" s="13" t="s">
        <v>2825</v>
      </c>
      <c r="AS1135" s="31">
        <v>46192</v>
      </c>
      <c r="AU1135" s="31">
        <v>46213</v>
      </c>
      <c r="AV1135" s="13" t="e">
        <v>#REF!</v>
      </c>
      <c r="AW1135" s="31">
        <v>46213</v>
      </c>
      <c r="AX1135" s="13" t="str">
        <f>IF(ISNUMBER(SEARCH("cancel",#REF!)),"Cancelled",IF(AND(AS1135&lt;&gt;"",AU1135&lt;&gt;"",AW1135&lt;&gt;""),"Closed","Open"))</f>
        <v>Closed</v>
      </c>
      <c r="AY1135" s="15" t="str">
        <f t="shared" si="52"/>
        <v>All dates received</v>
      </c>
      <c r="BD1135" s="13">
        <f>IF($AX1135="Cancelled","",IFERROR(IF(OR(AS1135="",AJ1135=""),"",(AJ1135+Variables!$B$18-AS1135)),""))</f>
        <v>1</v>
      </c>
      <c r="BE1135" s="13">
        <f>IF($AX1135="Cancelled","",IFERROR(IF(OR(AW1135="",AS1135=""),"",(AS1135+Variables!$B$19)-AW1135),""))</f>
        <v>-16</v>
      </c>
      <c r="BF1135" s="44">
        <f>IF($AX1135="Cancelled","",IFERROR(W1135*INDEX(Variables!$B$7:$D$7,IFERROR(MATCH(IF($B1135="Robusta","Robusta",(IF($B1135="","Arabica",$B1135))&amp;" - "&amp;(IF($C1135="","Commercial",$C1135))),Variables!$B$1:$D$1,0),1))*(BE1135/365),""))</f>
        <v>-170.23863715601146</v>
      </c>
      <c r="BG1135" s="44" t="str">
        <f>IF($AX1135="Cancelled","",IFERROR((W1135*INDEX(Variables!$B$7:$D$7,IFERROR(MATCH(IF($B1135="Robusta","Robusta",(IF($B1135="","Arabica",$B1135))&amp;" - "&amp;(IF($C1135="","Commercial",$C1135))),Variables!$B$1:$D$1,0),1))*IFERROR(IF(AB1135="","",(AVERAGE(E1135:F1135)-AB1135)-Variables!$B$14),"")/365)+(L1135/16.67*INDEX(Variables!$B$8:$D$8,IFERROR(MATCH(IF($B1135="Robusta","Robusta",(IF($B1135="","Arabica",$B1135))&amp;" - "&amp;(IF($C1135="","Commercial",$C1135))),Variables!$B$1:$D$1,0),1))*IFERROR(IF(AB1135="","",(AVERAGE(E1135:F1135)-AB1135)-Variables!$B$14),""))+(W1135*INDEX(Variables!$B$9:$D$9,IFERROR(MATCH(IF($B1135="Robusta","Robusta",(IF($B1135="","Arabica",$B1135))&amp;" - "&amp;(IF($C1135="","Commercial",$C1135))),Variables!$B$1:$D$1,0),1))*IFERROR(IF(AB1135="","",(AVERAGE(E1135:F1135)-AB1135)-Variables!$B$14),"")/365),""))</f>
        <v/>
      </c>
      <c r="BH1135" s="44">
        <f>IF($AX1135="Cancelled","",IFERROR((W1135*INDEX(Variables!$B$7:$D$7,IFERROR(MATCH(IF($B1135="Robusta","Robusta",(IF($B1135="","Arabica",$B1135))&amp;" - "&amp;(IF($C1135="","Commercial",$C1135))),Variables!$B$1:$D$1,0),1))*AK1135/365)+(L1135/16.67*INDEX(Variables!$B$8:$D$8,IFERROR(MATCH(IF($B1135="Robusta","Robusta",(IF($B1135="","Arabica",$B1135))&amp;" - "&amp;(IF($C1135="","Commercial",$C1135))),Variables!$B$1:$D$1,0),1))*AK1135)+(W1135*INDEX(Variables!$B$9:$D$9,IFERROR(MATCH(IF($B1135="Robusta","Robusta",(IF($B1135="","Arabica",$B1135))&amp;" - "&amp;(IF($C1135="","Commercial",$C1135))),Variables!$B$1:$D$1,0),1))*AK1135/365),""))</f>
        <v>-77.331251573755495</v>
      </c>
      <c r="BI1135" s="44">
        <f>IF($AX1135="Cancelled","",IFERROR((W1135*INDEX(Variables!$B$7:$D$7,IFERROR(MATCH(IF($B1135="Robusta","Robusta",(IF($B1135="","Arabica",$B1135))&amp;" - "&amp;(IF($C1135="","Commercial",$C1135))),Variables!$B$1:$D$1,0),1))*BD1135/365)+(L1135/16.67*INDEX(Variables!$B$8:$D$8,IFERROR(MATCH(IF($B1135="Robusta","Robusta",(IF($B1135="","Arabica",$B1135))&amp;" - "&amp;(IF($C1135="","Commercial",$C1135))),Variables!$B$1:$D$1,0),1))*BD1135)+(W1135*INDEX(Variables!$B$9:$D$9,IFERROR(MATCH(IF($B1135="Robusta","Robusta",(IF($B1135="","Arabica",$B1135))&amp;" - "&amp;(IF($C1135="","Commercial",$C1135))),Variables!$B$1:$D$1,0),1))*BD1135/365),""))</f>
        <v>25.777083857918498</v>
      </c>
      <c r="BJ1135" s="44">
        <f t="shared" si="54"/>
        <v>-50</v>
      </c>
      <c r="BK1135" s="44">
        <f>IF($AX1135="Cancelled","",IFERROR(IF(BJ1135="","",(W1135*INDEX(Variables!$B$7:$D$7,IFERROR(MATCH(IF($B1135="Robusta","Robusta",(IF($B1135="","Arabica",$B1135))&amp;" - "&amp;(IF($C1135="","Commercial",$C1135))),Variables!$B$1:$D$1,0),1))*(BJ1135/365))+(W1135*INDEX(Variables!$B$9:$D$9,IFERROR(MATCH(IF($B1135="Robusta","Robusta",(IF($B1135="","Arabica",$B1135))&amp;" - "&amp;(IF($C1135="","Commercial",$C1135))),Variables!$B$1:$D$1,0),1))*(BJ1135/365))+(INDEX(Variables!$B$8:$D$8,IFERROR(MATCH(IF($B1135="Robusta","Robusta",(IF($B1135="","Arabica",$B1135))&amp;" - "&amp;(IF($C1135="","Commercial",$C1135))),Variables!$B$1:$D$1,0),1))*L1135/16.67)),""))</f>
        <v>-523.85419289592483</v>
      </c>
    </row>
    <row r="1136" spans="1:63">
      <c r="A1136" s="13" t="s">
        <v>103</v>
      </c>
      <c r="B1136" s="13" t="s">
        <v>104</v>
      </c>
      <c r="C1136" s="13" t="s">
        <v>105</v>
      </c>
      <c r="D1136" s="31">
        <v>46133</v>
      </c>
      <c r="E1136" s="31">
        <v>46143</v>
      </c>
      <c r="F1136" s="31">
        <v>46173</v>
      </c>
      <c r="G1136" s="13">
        <v>3787560</v>
      </c>
      <c r="J1136" s="13" t="s">
        <v>2821</v>
      </c>
      <c r="K1136" s="13">
        <v>5567</v>
      </c>
      <c r="L1136" s="13">
        <v>600</v>
      </c>
      <c r="M1136" s="13">
        <v>2</v>
      </c>
      <c r="N1136" s="13" t="s">
        <v>2822</v>
      </c>
      <c r="O1136" s="13" t="s">
        <v>1172</v>
      </c>
      <c r="P1136" s="13">
        <v>10260</v>
      </c>
      <c r="R1136" s="13" t="s">
        <v>110</v>
      </c>
      <c r="S1136" s="13" t="s">
        <v>2823</v>
      </c>
      <c r="T1136" s="13" t="s">
        <v>430</v>
      </c>
      <c r="U1136" s="13" t="s">
        <v>182</v>
      </c>
      <c r="V1136" s="23">
        <v>-139</v>
      </c>
      <c r="W1136" s="44">
        <f>IF($AX1136="Cancelled","",IFERROR(((V1136+INDEX(Variables!$B$6:$D$6,IFERROR(MATCH(IF($B1136="Robusta","Robusta",(IF($B1136="","Arabica",$B1136))&amp;" - "&amp;(IF($C1136="","Commercial",$C1136))),Variables!$B$1:$D$1,0),1)))*22.0462)*(L1136/16.67),""))</f>
        <v>120453.9829634073</v>
      </c>
      <c r="X1136" s="55" t="s">
        <v>39</v>
      </c>
      <c r="Y1136" s="13" t="str">
        <f>IF($AX1136="Cancelled","",IF(X1136="","",IFERROR(IF(INDEX(Variables!$B$38:$B$47,MATCH(X1136,Variables!$A$38:$A$47,0))="Yes","Yes","No"),"No")))</f>
        <v>No</v>
      </c>
      <c r="Z1136" s="31"/>
      <c r="AC1136" s="13" t="str">
        <f t="shared" si="53"/>
        <v/>
      </c>
      <c r="AF1136" s="71">
        <v>46199</v>
      </c>
      <c r="AG1136" s="35">
        <f>IF($AX1136="Cancelled","",IFERROR(IF(F1136="","",F1136-Variables!$B$13),""))</f>
        <v>46158</v>
      </c>
      <c r="AH1136" s="13" t="str">
        <f>IF($AX1136="Cancelled","",IFERROR(IF(AB1136="","",(AVERAGE(E1136:F1136)-AB1136)-Variables!$B$14),""))</f>
        <v/>
      </c>
      <c r="AJ1136" s="47">
        <v>46200</v>
      </c>
      <c r="AK1136" s="14">
        <f>IF($AX1136="Cancelled","",IFERROR(IF(AJ1136="","",IF(AND(AB1136="",AF1136=""),"",IF(AF1136&gt;AB1136,AF1136+Variables!$B$15+Variables!$B$16+Variables!$B$17-AJ1136,AB1136+Variables!$B$16+Variables!$B$17-AJ1136))),""))</f>
        <v>14</v>
      </c>
      <c r="AL1136" s="48" t="s">
        <v>114</v>
      </c>
      <c r="AM1136" s="13" t="s">
        <v>168</v>
      </c>
      <c r="AN1136" s="13" t="s">
        <v>2700</v>
      </c>
      <c r="AP1136" s="39">
        <v>46219</v>
      </c>
      <c r="AR1136" s="13" t="s">
        <v>2701</v>
      </c>
      <c r="AS1136" s="31">
        <v>46219</v>
      </c>
      <c r="AU1136" s="31">
        <v>46281</v>
      </c>
      <c r="AV1136" s="13" t="e">
        <v>#REF!</v>
      </c>
      <c r="AW1136" s="31">
        <v>46281</v>
      </c>
      <c r="AX1136" s="13" t="str">
        <f>IF(ISNUMBER(SEARCH("cancel",#REF!)),"Cancelled",IF(AND(AS1136&lt;&gt;"",AU1136&lt;&gt;"",AW1136&lt;&gt;""),"Closed","Open"))</f>
        <v>Closed</v>
      </c>
      <c r="AY1136" s="15" t="str">
        <f t="shared" si="52"/>
        <v>All dates received</v>
      </c>
      <c r="BD1136" s="13">
        <f>IF($AX1136="Cancelled","",IFERROR(IF(OR(AS1136="",AJ1136=""),"",(AJ1136+Variables!$B$18-AS1136)),""))</f>
        <v>-4</v>
      </c>
      <c r="BE1136" s="13">
        <f>IF($AX1136="Cancelled","",IFERROR(IF(OR(AW1136="",AS1136=""),"",(AS1136+Variables!$B$19)-AW1136),""))</f>
        <v>-57</v>
      </c>
      <c r="BF1136" s="44">
        <f>IF($AX1136="Cancelled","",IFERROR(W1136*INDEX(Variables!$B$7:$D$7,IFERROR(MATCH(IF($B1136="Robusta","Robusta",(IF($B1136="","Arabica",$B1136))&amp;" - "&amp;(IF($C1136="","Commercial",$C1136))),Variables!$B$1:$D$1,0),1))*(BE1136/365),""))</f>
        <v>-1212.9502897365815</v>
      </c>
      <c r="BG1136" s="44" t="str">
        <f>IF($AX1136="Cancelled","",IFERROR((W1136*INDEX(Variables!$B$7:$D$7,IFERROR(MATCH(IF($B1136="Robusta","Robusta",(IF($B1136="","Arabica",$B1136))&amp;" - "&amp;(IF($C1136="","Commercial",$C1136))),Variables!$B$1:$D$1,0),1))*IFERROR(IF(AB1136="","",(AVERAGE(E1136:F1136)-AB1136)-Variables!$B$14),"")/365)+(L1136/16.67*INDEX(Variables!$B$8:$D$8,IFERROR(MATCH(IF($B1136="Robusta","Robusta",(IF($B1136="","Arabica",$B1136))&amp;" - "&amp;(IF($C1136="","Commercial",$C1136))),Variables!$B$1:$D$1,0),1))*IFERROR(IF(AB1136="","",(AVERAGE(E1136:F1136)-AB1136)-Variables!$B$14),""))+(W1136*INDEX(Variables!$B$9:$D$9,IFERROR(MATCH(IF($B1136="Robusta","Robusta",(IF($B1136="","Arabica",$B1136))&amp;" - "&amp;(IF($C1136="","Commercial",$C1136))),Variables!$B$1:$D$1,0),1))*IFERROR(IF(AB1136="","",(AVERAGE(E1136:F1136)-AB1136)-Variables!$B$14),"")/365),""))</f>
        <v/>
      </c>
      <c r="BH1136" s="44">
        <f>IF($AX1136="Cancelled","",IFERROR((W1136*INDEX(Variables!$B$7:$D$7,IFERROR(MATCH(IF($B1136="Robusta","Robusta",(IF($B1136="","Arabica",$B1136))&amp;" - "&amp;(IF($C1136="","Commercial",$C1136))),Variables!$B$1:$D$1,0),1))*AK1136/365)+(L1136/16.67*INDEX(Variables!$B$8:$D$8,IFERROR(MATCH(IF($B1136="Robusta","Robusta",(IF($B1136="","Arabica",$B1136))&amp;" - "&amp;(IF($C1136="","Commercial",$C1136))),Variables!$B$1:$D$1,0),1))*AK1136)+(W1136*INDEX(Variables!$B$9:$D$9,IFERROR(MATCH(IF($B1136="Robusta","Robusta",(IF($B1136="","Arabica",$B1136))&amp;" - "&amp;(IF($C1136="","Commercial",$C1136))),Variables!$B$1:$D$1,0),1))*AK1136/365),""))</f>
        <v>721.75834802171789</v>
      </c>
      <c r="BI1136" s="44">
        <f>IF($AX1136="Cancelled","",IFERROR((W1136*INDEX(Variables!$B$7:$D$7,IFERROR(MATCH(IF($B1136="Robusta","Robusta",(IF($B1136="","Arabica",$B1136))&amp;" - "&amp;(IF($C1136="","Commercial",$C1136))),Variables!$B$1:$D$1,0),1))*BD1136/365)+(L1136/16.67*INDEX(Variables!$B$8:$D$8,IFERROR(MATCH(IF($B1136="Robusta","Robusta",(IF($B1136="","Arabica",$B1136))&amp;" - "&amp;(IF($C1136="","Commercial",$C1136))),Variables!$B$1:$D$1,0),1))*BD1136)+(W1136*INDEX(Variables!$B$9:$D$9,IFERROR(MATCH(IF($B1136="Robusta","Robusta",(IF($B1136="","Arabica",$B1136))&amp;" - "&amp;(IF($C1136="","Commercial",$C1136))),Variables!$B$1:$D$1,0),1))*BD1136/365),""))</f>
        <v>-206.21667086334799</v>
      </c>
      <c r="BJ1136" s="44">
        <f t="shared" si="54"/>
        <v>-46</v>
      </c>
      <c r="BK1136" s="44">
        <f>IF($AX1136="Cancelled","",IFERROR(IF(BJ1136="","",(W1136*INDEX(Variables!$B$7:$D$7,IFERROR(MATCH(IF($B1136="Robusta","Robusta",(IF($B1136="","Arabica",$B1136))&amp;" - "&amp;(IF($C1136="","Commercial",$C1136))),Variables!$B$1:$D$1,0),1))*(BJ1136/365))+(W1136*INDEX(Variables!$B$9:$D$9,IFERROR(MATCH(IF($B1136="Robusta","Robusta",(IF($B1136="","Arabica",$B1136))&amp;" - "&amp;(IF($C1136="","Commercial",$C1136))),Variables!$B$1:$D$1,0),1))*(BJ1136/365))+(INDEX(Variables!$B$8:$D$8,IFERROR(MATCH(IF($B1136="Robusta","Robusta",(IF($B1136="","Arabica",$B1136))&amp;" - "&amp;(IF($C1136="","Commercial",$C1136))),Variables!$B$1:$D$1,0),1))*L1136/16.67)),""))</f>
        <v>-961.49171492850178</v>
      </c>
    </row>
    <row r="1137" spans="1:63">
      <c r="A1137" s="13" t="s">
        <v>103</v>
      </c>
      <c r="B1137" s="13" t="s">
        <v>104</v>
      </c>
      <c r="C1137" s="13" t="s">
        <v>105</v>
      </c>
      <c r="D1137" s="31">
        <v>46133</v>
      </c>
      <c r="E1137" s="31">
        <v>46174</v>
      </c>
      <c r="F1137" s="31">
        <v>46203</v>
      </c>
      <c r="G1137" s="13">
        <v>3787561</v>
      </c>
      <c r="J1137" s="13" t="s">
        <v>2821</v>
      </c>
      <c r="K1137" s="13">
        <v>5583</v>
      </c>
      <c r="L1137" s="13">
        <v>900</v>
      </c>
      <c r="M1137" s="13">
        <v>3</v>
      </c>
      <c r="N1137" s="13" t="s">
        <v>2822</v>
      </c>
      <c r="O1137" s="13" t="s">
        <v>1172</v>
      </c>
      <c r="P1137" s="13">
        <v>10260</v>
      </c>
      <c r="R1137" s="13" t="s">
        <v>110</v>
      </c>
      <c r="S1137" s="13" t="s">
        <v>2823</v>
      </c>
      <c r="T1137" s="13" t="s">
        <v>430</v>
      </c>
      <c r="U1137" s="13" t="s">
        <v>182</v>
      </c>
      <c r="V1137" s="23">
        <v>-139</v>
      </c>
      <c r="W1137" s="44">
        <f>IF($AX1137="Cancelled","",IFERROR(((V1137+INDEX(Variables!$B$6:$D$6,IFERROR(MATCH(IF($B1137="Robusta","Robusta",(IF($B1137="","Arabica",$B1137))&amp;" - "&amp;(IF($C1137="","Commercial",$C1137))),Variables!$B$1:$D$1,0),1)))*22.0462)*(L1137/16.67),""))</f>
        <v>180680.97444511094</v>
      </c>
      <c r="X1137" s="55" t="s">
        <v>39</v>
      </c>
      <c r="Y1137" s="13" t="str">
        <f>IF($AX1137="Cancelled","",IF(X1137="","",IFERROR(IF(INDEX(Variables!$B$38:$B$47,MATCH(X1137,Variables!$A$38:$A$47,0))="Yes","Yes","No"),"No")))</f>
        <v>No</v>
      </c>
      <c r="Z1137" s="31"/>
      <c r="AC1137" s="13" t="str">
        <f t="shared" si="53"/>
        <v/>
      </c>
      <c r="AF1137" s="71">
        <v>46216</v>
      </c>
      <c r="AG1137" s="35">
        <f>IF($AX1137="Cancelled","",IFERROR(IF(F1137="","",F1137-Variables!$B$13),""))</f>
        <v>46188</v>
      </c>
      <c r="AH1137" s="13" t="str">
        <f>IF($AX1137="Cancelled","",IFERROR(IF(AB1137="","",(AVERAGE(E1137:F1137)-AB1137)-Variables!$B$14),""))</f>
        <v/>
      </c>
      <c r="AJ1137" s="47">
        <v>46219</v>
      </c>
      <c r="AK1137" s="14">
        <f>IF($AX1137="Cancelled","",IFERROR(IF(AJ1137="","",IF(AND(AB1137="",AF1137=""),"",IF(AF1137&gt;AB1137,AF1137+Variables!$B$15+Variables!$B$16+Variables!$B$17-AJ1137,AB1137+Variables!$B$16+Variables!$B$17-AJ1137))),""))</f>
        <v>12</v>
      </c>
      <c r="AL1137" s="48" t="s">
        <v>114</v>
      </c>
      <c r="AM1137" s="13" t="s">
        <v>168</v>
      </c>
      <c r="AN1137" s="13" t="s">
        <v>2826</v>
      </c>
      <c r="AP1137" s="39">
        <v>46241</v>
      </c>
      <c r="AR1137" s="13" t="s">
        <v>2827</v>
      </c>
      <c r="AS1137" s="31">
        <v>46241</v>
      </c>
      <c r="AU1137" s="31">
        <v>46272</v>
      </c>
      <c r="AV1137" s="13" t="s">
        <v>865</v>
      </c>
      <c r="AW1137" s="39">
        <v>46272</v>
      </c>
      <c r="AX1137" s="13" t="str">
        <f>IF(ISNUMBER(SEARCH("cancel",#REF!)),"Cancelled",IF(AND(AS1137&lt;&gt;"",AU1137&lt;&gt;"",AW1137&lt;&gt;""),"Closed","Open"))</f>
        <v>Closed</v>
      </c>
      <c r="AY1137" s="15" t="str">
        <f t="shared" si="52"/>
        <v>All dates received</v>
      </c>
      <c r="AZ1137" s="13" t="s">
        <v>3053</v>
      </c>
      <c r="BA1137" s="13" t="s">
        <v>3048</v>
      </c>
      <c r="BB1137" s="13" t="s">
        <v>3049</v>
      </c>
      <c r="BC1137" s="13" t="s">
        <v>3302</v>
      </c>
      <c r="BD1137" s="13">
        <f>IF($AX1137="Cancelled","",IFERROR(IF(OR(AS1137="",AJ1137=""),"",(AJ1137+Variables!$B$18-AS1137)),""))</f>
        <v>-7</v>
      </c>
      <c r="BE1137" s="13">
        <f>IF($AX1137="Cancelled","",IFERROR(IF(OR(AW1137="",AS1137=""),"",(AS1137+Variables!$B$19)-AW1137),""))</f>
        <v>-26</v>
      </c>
      <c r="BF1137" s="44">
        <f>IF($AX1137="Cancelled","",IFERROR(W1137*INDEX(Variables!$B$7:$D$7,IFERROR(MATCH(IF($B1137="Robusta","Robusta",(IF($B1137="","Arabica",$B1137))&amp;" - "&amp;(IF($C1137="","Commercial",$C1137))),Variables!$B$1:$D$1,0),1))*(BE1137/365),""))</f>
        <v>-829.91335613555577</v>
      </c>
      <c r="BG1137" s="44" t="str">
        <f>IF($AX1137="Cancelled","",IFERROR((W1137*INDEX(Variables!$B$7:$D$7,IFERROR(MATCH(IF($B1137="Robusta","Robusta",(IF($B1137="","Arabica",$B1137))&amp;" - "&amp;(IF($C1137="","Commercial",$C1137))),Variables!$B$1:$D$1,0),1))*IFERROR(IF(AB1137="","",(AVERAGE(E1137:F1137)-AB1137)-Variables!$B$14),"")/365)+(L1137/16.67*INDEX(Variables!$B$8:$D$8,IFERROR(MATCH(IF($B1137="Robusta","Robusta",(IF($B1137="","Arabica",$B1137))&amp;" - "&amp;(IF($C1137="","Commercial",$C1137))),Variables!$B$1:$D$1,0),1))*IFERROR(IF(AB1137="","",(AVERAGE(E1137:F1137)-AB1137)-Variables!$B$14),""))+(W1137*INDEX(Variables!$B$9:$D$9,IFERROR(MATCH(IF($B1137="Robusta","Robusta",(IF($B1137="","Arabica",$B1137))&amp;" - "&amp;(IF($C1137="","Commercial",$C1137))),Variables!$B$1:$D$1,0),1))*IFERROR(IF(AB1137="","",(AVERAGE(E1137:F1137)-AB1137)-Variables!$B$14),"")/365),""))</f>
        <v/>
      </c>
      <c r="BH1137" s="44">
        <f>IF($AX1137="Cancelled","",IFERROR((W1137*INDEX(Variables!$B$7:$D$7,IFERROR(MATCH(IF($B1137="Robusta","Robusta",(IF($B1137="","Arabica",$B1137))&amp;" - "&amp;(IF($C1137="","Commercial",$C1137))),Variables!$B$1:$D$1,0),1))*AK1137/365)+(L1137/16.67*INDEX(Variables!$B$8:$D$8,IFERROR(MATCH(IF($B1137="Robusta","Robusta",(IF($B1137="","Arabica",$B1137))&amp;" - "&amp;(IF($C1137="","Commercial",$C1137))),Variables!$B$1:$D$1,0),1))*AK1137)+(W1137*INDEX(Variables!$B$9:$D$9,IFERROR(MATCH(IF($B1137="Robusta","Robusta",(IF($B1137="","Arabica",$B1137))&amp;" - "&amp;(IF($C1137="","Commercial",$C1137))),Variables!$B$1:$D$1,0),1))*AK1137/365),""))</f>
        <v>927.97501888506588</v>
      </c>
      <c r="BI1137" s="44">
        <f>IF($AX1137="Cancelled","",IFERROR((W1137*INDEX(Variables!$B$7:$D$7,IFERROR(MATCH(IF($B1137="Robusta","Robusta",(IF($B1137="","Arabica",$B1137))&amp;" - "&amp;(IF($C1137="","Commercial",$C1137))),Variables!$B$1:$D$1,0),1))*BD1137/365)+(L1137/16.67*INDEX(Variables!$B$8:$D$8,IFERROR(MATCH(IF($B1137="Robusta","Robusta",(IF($B1137="","Arabica",$B1137))&amp;" - "&amp;(IF($C1137="","Commercial",$C1137))),Variables!$B$1:$D$1,0),1))*BD1137)+(W1137*INDEX(Variables!$B$9:$D$9,IFERROR(MATCH(IF($B1137="Robusta","Robusta",(IF($B1137="","Arabica",$B1137))&amp;" - "&amp;(IF($C1137="","Commercial",$C1137))),Variables!$B$1:$D$1,0),1))*BD1137/365),""))</f>
        <v>-541.31876101628848</v>
      </c>
      <c r="BJ1137" s="44">
        <f t="shared" si="54"/>
        <v>-38</v>
      </c>
      <c r="BK1137" s="44">
        <f>IF($AX1137="Cancelled","",IFERROR(IF(BJ1137="","",(W1137*INDEX(Variables!$B$7:$D$7,IFERROR(MATCH(IF($B1137="Robusta","Robusta",(IF($B1137="","Arabica",$B1137))&amp;" - "&amp;(IF($C1137="","Commercial",$C1137))),Variables!$B$1:$D$1,0),1))*(BJ1137/365))+(W1137*INDEX(Variables!$B$9:$D$9,IFERROR(MATCH(IF($B1137="Robusta","Robusta",(IF($B1137="","Arabica",$B1137))&amp;" - "&amp;(IF($C1137="","Commercial",$C1137))),Variables!$B$1:$D$1,0),1))*(BJ1137/365))+(INDEX(Variables!$B$8:$D$8,IFERROR(MATCH(IF($B1137="Robusta","Robusta",(IF($B1137="","Arabica",$B1137))&amp;" - "&amp;(IF($C1137="","Commercial",$C1137))),Variables!$B$1:$D$1,0),1))*L1137/16.67)),""))</f>
        <v>-1183.5875598027085</v>
      </c>
    </row>
    <row r="1138" spans="1:63">
      <c r="A1138" s="13" t="s">
        <v>103</v>
      </c>
      <c r="B1138" s="13" t="s">
        <v>104</v>
      </c>
      <c r="C1138" s="13" t="s">
        <v>105</v>
      </c>
      <c r="D1138" s="31">
        <v>46133</v>
      </c>
      <c r="E1138" s="31">
        <v>46113</v>
      </c>
      <c r="F1138" s="31">
        <v>46142</v>
      </c>
      <c r="G1138" s="13">
        <v>3787562</v>
      </c>
      <c r="J1138" s="13" t="s">
        <v>2821</v>
      </c>
      <c r="K1138" s="13">
        <v>5527</v>
      </c>
      <c r="L1138" s="13">
        <v>600</v>
      </c>
      <c r="M1138" s="13">
        <v>2</v>
      </c>
      <c r="N1138" s="13" t="s">
        <v>2828</v>
      </c>
      <c r="O1138" s="13" t="s">
        <v>1172</v>
      </c>
      <c r="P1138" s="13">
        <v>10260</v>
      </c>
      <c r="R1138" s="13" t="s">
        <v>110</v>
      </c>
      <c r="S1138" s="13" t="s">
        <v>2823</v>
      </c>
      <c r="T1138" s="13" t="s">
        <v>430</v>
      </c>
      <c r="U1138" s="13" t="s">
        <v>182</v>
      </c>
      <c r="V1138" s="23">
        <v>-139</v>
      </c>
      <c r="W1138" s="44">
        <f>IF($AX1138="Cancelled","",IFERROR(((V1138+INDEX(Variables!$B$6:$D$6,IFERROR(MATCH(IF($B1138="Robusta","Robusta",(IF($B1138="","Arabica",$B1138))&amp;" - "&amp;(IF($C1138="","Commercial",$C1138))),Variables!$B$1:$D$1,0),1)))*22.0462)*(L1138/16.67),""))</f>
        <v>120453.9829634073</v>
      </c>
      <c r="X1138" s="55" t="s">
        <v>39</v>
      </c>
      <c r="Y1138" s="13" t="str">
        <f>IF($AX1138="Cancelled","",IF(X1138="","",IFERROR(IF(INDEX(Variables!$B$38:$B$47,MATCH(X1138,Variables!$A$38:$A$47,0))="Yes","Yes","No"),"No")))</f>
        <v>No</v>
      </c>
      <c r="Z1138" s="31"/>
      <c r="AC1138" s="13" t="str">
        <f t="shared" si="53"/>
        <v/>
      </c>
      <c r="AF1138" s="71">
        <v>46160</v>
      </c>
      <c r="AG1138" s="35">
        <f>IF($AX1138="Cancelled","",IFERROR(IF(F1138="","",F1138-Variables!$B$13),""))</f>
        <v>46127</v>
      </c>
      <c r="AH1138" s="13" t="str">
        <f>IF($AX1138="Cancelled","",IFERROR(IF(AB1138="","",(AVERAGE(E1138:F1138)-AB1138)-Variables!$B$14),""))</f>
        <v/>
      </c>
      <c r="AJ1138" s="47">
        <v>46181</v>
      </c>
      <c r="AK1138" s="14">
        <f>IF($AX1138="Cancelled","",IFERROR(IF(AJ1138="","",IF(AND(AB1138="",AF1138=""),"",IF(AF1138&gt;AB1138,AF1138+Variables!$B$15+Variables!$B$16+Variables!$B$17-AJ1138,AB1138+Variables!$B$16+Variables!$B$17-AJ1138))),""))</f>
        <v>-6</v>
      </c>
      <c r="AL1138" s="48" t="s">
        <v>114</v>
      </c>
      <c r="AM1138" s="13" t="s">
        <v>168</v>
      </c>
      <c r="AN1138" s="13" t="s">
        <v>2186</v>
      </c>
      <c r="AP1138" s="39">
        <v>46197</v>
      </c>
      <c r="AR1138" s="13" t="s">
        <v>2829</v>
      </c>
      <c r="AS1138" s="31">
        <v>46197</v>
      </c>
      <c r="AU1138" s="31">
        <v>46217</v>
      </c>
      <c r="AV1138" s="13" t="e">
        <v>#REF!</v>
      </c>
      <c r="AW1138" s="31">
        <v>46217</v>
      </c>
      <c r="AX1138" s="13" t="str">
        <f>IF(ISNUMBER(SEARCH("cancel",#REF!)),"Cancelled",IF(AND(AS1138&lt;&gt;"",AU1138&lt;&gt;"",AW1138&lt;&gt;""),"Closed","Open"))</f>
        <v>Closed</v>
      </c>
      <c r="AY1138" s="15" t="str">
        <f t="shared" si="52"/>
        <v>All dates received</v>
      </c>
      <c r="BD1138" s="13">
        <f>IF($AX1138="Cancelled","",IFERROR(IF(OR(AS1138="",AJ1138=""),"",(AJ1138+Variables!$B$18-AS1138)),""))</f>
        <v>-1</v>
      </c>
      <c r="BE1138" s="13">
        <f>IF($AX1138="Cancelled","",IFERROR(IF(OR(AW1138="",AS1138=""),"",(AS1138+Variables!$B$19)-AW1138),""))</f>
        <v>-15</v>
      </c>
      <c r="BF1138" s="44">
        <f>IF($AX1138="Cancelled","",IFERROR(W1138*INDEX(Variables!$B$7:$D$7,IFERROR(MATCH(IF($B1138="Robusta","Robusta",(IF($B1138="","Arabica",$B1138))&amp;" - "&amp;(IF($C1138="","Commercial",$C1138))),Variables!$B$1:$D$1,0),1))*(BE1138/365),""))</f>
        <v>-319.19744466752144</v>
      </c>
      <c r="BG1138" s="44" t="str">
        <f>IF($AX1138="Cancelled","",IFERROR((W1138*INDEX(Variables!$B$7:$D$7,IFERROR(MATCH(IF($B1138="Robusta","Robusta",(IF($B1138="","Arabica",$B1138))&amp;" - "&amp;(IF($C1138="","Commercial",$C1138))),Variables!$B$1:$D$1,0),1))*IFERROR(IF(AB1138="","",(AVERAGE(E1138:F1138)-AB1138)-Variables!$B$14),"")/365)+(L1138/16.67*INDEX(Variables!$B$8:$D$8,IFERROR(MATCH(IF($B1138="Robusta","Robusta",(IF($B1138="","Arabica",$B1138))&amp;" - "&amp;(IF($C1138="","Commercial",$C1138))),Variables!$B$1:$D$1,0),1))*IFERROR(IF(AB1138="","",(AVERAGE(E1138:F1138)-AB1138)-Variables!$B$14),""))+(W1138*INDEX(Variables!$B$9:$D$9,IFERROR(MATCH(IF($B1138="Robusta","Robusta",(IF($B1138="","Arabica",$B1138))&amp;" - "&amp;(IF($C1138="","Commercial",$C1138))),Variables!$B$1:$D$1,0),1))*IFERROR(IF(AB1138="","",(AVERAGE(E1138:F1138)-AB1138)-Variables!$B$14),"")/365),""))</f>
        <v/>
      </c>
      <c r="BH1138" s="44">
        <f>IF($AX1138="Cancelled","",IFERROR((W1138*INDEX(Variables!$B$7:$D$7,IFERROR(MATCH(IF($B1138="Robusta","Robusta",(IF($B1138="","Arabica",$B1138))&amp;" - "&amp;(IF($C1138="","Commercial",$C1138))),Variables!$B$1:$D$1,0),1))*AK1138/365)+(L1138/16.67*INDEX(Variables!$B$8:$D$8,IFERROR(MATCH(IF($B1138="Robusta","Robusta",(IF($B1138="","Arabica",$B1138))&amp;" - "&amp;(IF($C1138="","Commercial",$C1138))),Variables!$B$1:$D$1,0),1))*AK1138)+(W1138*INDEX(Variables!$B$9:$D$9,IFERROR(MATCH(IF($B1138="Robusta","Robusta",(IF($B1138="","Arabica",$B1138))&amp;" - "&amp;(IF($C1138="","Commercial",$C1138))),Variables!$B$1:$D$1,0),1))*AK1138/365),""))</f>
        <v>-309.32500629502198</v>
      </c>
      <c r="BI1138" s="44">
        <f>IF($AX1138="Cancelled","",IFERROR((W1138*INDEX(Variables!$B$7:$D$7,IFERROR(MATCH(IF($B1138="Robusta","Robusta",(IF($B1138="","Arabica",$B1138))&amp;" - "&amp;(IF($C1138="","Commercial",$C1138))),Variables!$B$1:$D$1,0),1))*BD1138/365)+(L1138/16.67*INDEX(Variables!$B$8:$D$8,IFERROR(MATCH(IF($B1138="Robusta","Robusta",(IF($B1138="","Arabica",$B1138))&amp;" - "&amp;(IF($C1138="","Commercial",$C1138))),Variables!$B$1:$D$1,0),1))*BD1138)+(W1138*INDEX(Variables!$B$9:$D$9,IFERROR(MATCH(IF($B1138="Robusta","Robusta",(IF($B1138="","Arabica",$B1138))&amp;" - "&amp;(IF($C1138="","Commercial",$C1138))),Variables!$B$1:$D$1,0),1))*BD1138/365),""))</f>
        <v>-51.554167715836996</v>
      </c>
      <c r="BJ1138" s="44">
        <f t="shared" si="54"/>
        <v>-55</v>
      </c>
      <c r="BK1138" s="44">
        <f>IF($AX1138="Cancelled","",IFERROR(IF(BJ1138="","",(W1138*INDEX(Variables!$B$7:$D$7,IFERROR(MATCH(IF($B1138="Robusta","Robusta",(IF($B1138="","Arabica",$B1138))&amp;" - "&amp;(IF($C1138="","Commercial",$C1138))),Variables!$B$1:$D$1,0),1))*(BJ1138/365))+(W1138*INDEX(Variables!$B$9:$D$9,IFERROR(MATCH(IF($B1138="Robusta","Robusta",(IF($B1138="","Arabica",$B1138))&amp;" - "&amp;(IF($C1138="","Commercial",$C1138))),Variables!$B$1:$D$1,0),1))*(BJ1138/365))+(INDEX(Variables!$B$8:$D$8,IFERROR(MATCH(IF($B1138="Robusta","Robusta",(IF($B1138="","Arabica",$B1138))&amp;" - "&amp;(IF($C1138="","Commercial",$C1138))),Variables!$B$1:$D$1,0),1))*L1138/16.67)),""))</f>
        <v>-1155.4792243710347</v>
      </c>
    </row>
    <row r="1139" spans="1:63">
      <c r="A1139" s="13" t="s">
        <v>103</v>
      </c>
      <c r="B1139" s="13" t="s">
        <v>104</v>
      </c>
      <c r="C1139" s="13" t="s">
        <v>105</v>
      </c>
      <c r="D1139" s="31">
        <v>46133</v>
      </c>
      <c r="E1139" s="31">
        <v>46143</v>
      </c>
      <c r="F1139" s="31">
        <v>46173</v>
      </c>
      <c r="G1139" s="13">
        <v>3787563</v>
      </c>
      <c r="J1139" s="13" t="s">
        <v>2821</v>
      </c>
      <c r="K1139" s="13">
        <v>5568</v>
      </c>
      <c r="L1139" s="13">
        <v>900</v>
      </c>
      <c r="M1139" s="13">
        <v>3</v>
      </c>
      <c r="N1139" s="13" t="s">
        <v>2828</v>
      </c>
      <c r="O1139" s="13" t="s">
        <v>1172</v>
      </c>
      <c r="P1139" s="13">
        <v>10260</v>
      </c>
      <c r="R1139" s="13" t="s">
        <v>110</v>
      </c>
      <c r="S1139" s="13" t="s">
        <v>429</v>
      </c>
      <c r="T1139" s="13" t="s">
        <v>430</v>
      </c>
      <c r="U1139" s="13" t="s">
        <v>182</v>
      </c>
      <c r="V1139" s="23">
        <v>-139</v>
      </c>
      <c r="W1139" s="44">
        <f>IF($AX1139="Cancelled","",IFERROR(((V1139+INDEX(Variables!$B$6:$D$6,IFERROR(MATCH(IF($B1139="Robusta","Robusta",(IF($B1139="","Arabica",$B1139))&amp;" - "&amp;(IF($C1139="","Commercial",$C1139))),Variables!$B$1:$D$1,0),1)))*22.0462)*(L1139/16.67),""))</f>
        <v>180680.97444511094</v>
      </c>
      <c r="X1139" s="55" t="s">
        <v>39</v>
      </c>
      <c r="Y1139" s="13" t="str">
        <f>IF($AX1139="Cancelled","",IF(X1139="","",IFERROR(IF(INDEX(Variables!$B$38:$B$47,MATCH(X1139,Variables!$A$38:$A$47,0))="Yes","Yes","No"),"No")))</f>
        <v>No</v>
      </c>
      <c r="Z1139" s="31"/>
      <c r="AC1139" s="13" t="str">
        <f t="shared" si="53"/>
        <v/>
      </c>
      <c r="AF1139" s="71">
        <v>46200</v>
      </c>
      <c r="AG1139" s="35">
        <f>IF($AX1139="Cancelled","",IFERROR(IF(F1139="","",F1139-Variables!$B$13),""))</f>
        <v>46158</v>
      </c>
      <c r="AH1139" s="13" t="str">
        <f>IF($AX1139="Cancelled","",IFERROR(IF(AB1139="","",(AVERAGE(E1139:F1139)-AB1139)-Variables!$B$14),""))</f>
        <v/>
      </c>
      <c r="AJ1139" s="47">
        <v>46211</v>
      </c>
      <c r="AK1139" s="14">
        <f>IF($AX1139="Cancelled","",IFERROR(IF(AJ1139="","",IF(AND(AB1139="",AF1139=""),"",IF(AF1139&gt;AB1139,AF1139+Variables!$B$15+Variables!$B$16+Variables!$B$17-AJ1139,AB1139+Variables!$B$16+Variables!$B$17-AJ1139))),""))</f>
        <v>4</v>
      </c>
      <c r="AL1139" s="48" t="s">
        <v>114</v>
      </c>
      <c r="AM1139" s="13" t="s">
        <v>168</v>
      </c>
      <c r="AN1139" s="13" t="s">
        <v>2700</v>
      </c>
      <c r="AP1139" s="39">
        <v>46219</v>
      </c>
      <c r="AR1139" s="13" t="s">
        <v>2701</v>
      </c>
      <c r="AS1139" s="31">
        <v>46219</v>
      </c>
      <c r="AU1139" s="31">
        <v>46276</v>
      </c>
      <c r="AV1139" s="13" t="e">
        <v>#REF!</v>
      </c>
      <c r="AW1139" s="31">
        <v>46276</v>
      </c>
      <c r="AX1139" s="13" t="str">
        <f>IF(ISNUMBER(SEARCH("cancel",#REF!)),"Cancelled",IF(AND(AS1139&lt;&gt;"",AU1139&lt;&gt;"",AW1139&lt;&gt;""),"Closed","Open"))</f>
        <v>Closed</v>
      </c>
      <c r="AY1139" s="15" t="str">
        <f t="shared" si="52"/>
        <v>All dates received</v>
      </c>
      <c r="BD1139" s="13">
        <f>IF($AX1139="Cancelled","",IFERROR(IF(OR(AS1139="",AJ1139=""),"",(AJ1139+Variables!$B$18-AS1139)),""))</f>
        <v>7</v>
      </c>
      <c r="BE1139" s="13">
        <f>IF($AX1139="Cancelled","",IFERROR(IF(OR(AW1139="",AS1139=""),"",(AS1139+Variables!$B$19)-AW1139),""))</f>
        <v>-52</v>
      </c>
      <c r="BF1139" s="44">
        <f>IF($AX1139="Cancelled","",IFERROR(W1139*INDEX(Variables!$B$7:$D$7,IFERROR(MATCH(IF($B1139="Robusta","Robusta",(IF($B1139="","Arabica",$B1139))&amp;" - "&amp;(IF($C1139="","Commercial",$C1139))),Variables!$B$1:$D$1,0),1))*(BE1139/365),""))</f>
        <v>-1659.8267122711115</v>
      </c>
      <c r="BG1139" s="44" t="str">
        <f>IF($AX1139="Cancelled","",IFERROR((W1139*INDEX(Variables!$B$7:$D$7,IFERROR(MATCH(IF($B1139="Robusta","Robusta",(IF($B1139="","Arabica",$B1139))&amp;" - "&amp;(IF($C1139="","Commercial",$C1139))),Variables!$B$1:$D$1,0),1))*IFERROR(IF(AB1139="","",(AVERAGE(E1139:F1139)-AB1139)-Variables!$B$14),"")/365)+(L1139/16.67*INDEX(Variables!$B$8:$D$8,IFERROR(MATCH(IF($B1139="Robusta","Robusta",(IF($B1139="","Arabica",$B1139))&amp;" - "&amp;(IF($C1139="","Commercial",$C1139))),Variables!$B$1:$D$1,0),1))*IFERROR(IF(AB1139="","",(AVERAGE(E1139:F1139)-AB1139)-Variables!$B$14),""))+(W1139*INDEX(Variables!$B$9:$D$9,IFERROR(MATCH(IF($B1139="Robusta","Robusta",(IF($B1139="","Arabica",$B1139))&amp;" - "&amp;(IF($C1139="","Commercial",$C1139))),Variables!$B$1:$D$1,0),1))*IFERROR(IF(AB1139="","",(AVERAGE(E1139:F1139)-AB1139)-Variables!$B$14),"")/365),""))</f>
        <v/>
      </c>
      <c r="BH1139" s="44">
        <f>IF($AX1139="Cancelled","",IFERROR((W1139*INDEX(Variables!$B$7:$D$7,IFERROR(MATCH(IF($B1139="Robusta","Robusta",(IF($B1139="","Arabica",$B1139))&amp;" - "&amp;(IF($C1139="","Commercial",$C1139))),Variables!$B$1:$D$1,0),1))*AK1139/365)+(L1139/16.67*INDEX(Variables!$B$8:$D$8,IFERROR(MATCH(IF($B1139="Robusta","Robusta",(IF($B1139="","Arabica",$B1139))&amp;" - "&amp;(IF($C1139="","Commercial",$C1139))),Variables!$B$1:$D$1,0),1))*AK1139)+(W1139*INDEX(Variables!$B$9:$D$9,IFERROR(MATCH(IF($B1139="Robusta","Robusta",(IF($B1139="","Arabica",$B1139))&amp;" - "&amp;(IF($C1139="","Commercial",$C1139))),Variables!$B$1:$D$1,0),1))*AK1139/365),""))</f>
        <v>309.32500629502198</v>
      </c>
      <c r="BI1139" s="44">
        <f>IF($AX1139="Cancelled","",IFERROR((W1139*INDEX(Variables!$B$7:$D$7,IFERROR(MATCH(IF($B1139="Robusta","Robusta",(IF($B1139="","Arabica",$B1139))&amp;" - "&amp;(IF($C1139="","Commercial",$C1139))),Variables!$B$1:$D$1,0),1))*BD1139/365)+(L1139/16.67*INDEX(Variables!$B$8:$D$8,IFERROR(MATCH(IF($B1139="Robusta","Robusta",(IF($B1139="","Arabica",$B1139))&amp;" - "&amp;(IF($C1139="","Commercial",$C1139))),Variables!$B$1:$D$1,0),1))*BD1139)+(W1139*INDEX(Variables!$B$9:$D$9,IFERROR(MATCH(IF($B1139="Robusta","Robusta",(IF($B1139="","Arabica",$B1139))&amp;" - "&amp;(IF($C1139="","Commercial",$C1139))),Variables!$B$1:$D$1,0),1))*BD1139/365),""))</f>
        <v>541.31876101628848</v>
      </c>
      <c r="BJ1139" s="44">
        <f t="shared" si="54"/>
        <v>-46</v>
      </c>
      <c r="BK1139" s="44">
        <f>IF($AX1139="Cancelled","",IFERROR(IF(BJ1139="","",(W1139*INDEX(Variables!$B$7:$D$7,IFERROR(MATCH(IF($B1139="Robusta","Robusta",(IF($B1139="","Arabica",$B1139))&amp;" - "&amp;(IF($C1139="","Commercial",$C1139))),Variables!$B$1:$D$1,0),1))*(BJ1139/365))+(W1139*INDEX(Variables!$B$9:$D$9,IFERROR(MATCH(IF($B1139="Robusta","Robusta",(IF($B1139="","Arabica",$B1139))&amp;" - "&amp;(IF($C1139="","Commercial",$C1139))),Variables!$B$1:$D$1,0),1))*(BJ1139/365))+(INDEX(Variables!$B$8:$D$8,IFERROR(MATCH(IF($B1139="Robusta","Robusta",(IF($B1139="","Arabica",$B1139))&amp;" - "&amp;(IF($C1139="","Commercial",$C1139))),Variables!$B$1:$D$1,0),1))*L1139/16.67)),""))</f>
        <v>-1442.2375723927526</v>
      </c>
    </row>
    <row r="1140" spans="1:63">
      <c r="A1140" s="13" t="s">
        <v>103</v>
      </c>
      <c r="B1140" s="13" t="s">
        <v>104</v>
      </c>
      <c r="C1140" s="13" t="s">
        <v>105</v>
      </c>
      <c r="D1140" s="31">
        <v>46133</v>
      </c>
      <c r="E1140" s="31">
        <v>46174</v>
      </c>
      <c r="F1140" s="31">
        <v>46203</v>
      </c>
      <c r="G1140" s="13">
        <v>3787564</v>
      </c>
      <c r="J1140" s="13" t="s">
        <v>2821</v>
      </c>
      <c r="K1140" s="13">
        <v>5584</v>
      </c>
      <c r="L1140" s="13">
        <v>1500</v>
      </c>
      <c r="M1140" s="13">
        <v>5</v>
      </c>
      <c r="N1140" s="13" t="s">
        <v>2828</v>
      </c>
      <c r="O1140" s="13" t="s">
        <v>1172</v>
      </c>
      <c r="P1140" s="13">
        <v>10260</v>
      </c>
      <c r="R1140" s="13" t="s">
        <v>110</v>
      </c>
      <c r="S1140" s="13" t="s">
        <v>2823</v>
      </c>
      <c r="T1140" s="13" t="s">
        <v>430</v>
      </c>
      <c r="U1140" s="13" t="s">
        <v>182</v>
      </c>
      <c r="V1140" s="23">
        <v>-139</v>
      </c>
      <c r="W1140" s="44">
        <f>IF($AX1140="Cancelled","",IFERROR(((V1140+INDEX(Variables!$B$6:$D$6,IFERROR(MATCH(IF($B1140="Robusta","Robusta",(IF($B1140="","Arabica",$B1140))&amp;" - "&amp;(IF($C1140="","Commercial",$C1140))),Variables!$B$1:$D$1,0),1)))*22.0462)*(L1140/16.67),""))</f>
        <v>301134.95740851824</v>
      </c>
      <c r="X1140" s="55" t="s">
        <v>39</v>
      </c>
      <c r="Y1140" s="13" t="str">
        <f>IF($AX1140="Cancelled","",IF(X1140="","",IFERROR(IF(INDEX(Variables!$B$38:$B$47,MATCH(X1140,Variables!$A$38:$A$47,0))="Yes","Yes","No"),"No")))</f>
        <v>No</v>
      </c>
      <c r="Z1140" s="31"/>
      <c r="AC1140" s="13" t="str">
        <f t="shared" si="53"/>
        <v/>
      </c>
      <c r="AF1140" s="71">
        <v>46226</v>
      </c>
      <c r="AG1140" s="35">
        <f>IF($AX1140="Cancelled","",IFERROR(IF(F1140="","",F1140-Variables!$B$13),""))</f>
        <v>46188</v>
      </c>
      <c r="AH1140" s="13" t="str">
        <f>IF($AX1140="Cancelled","",IFERROR(IF(AB1140="","",(AVERAGE(E1140:F1140)-AB1140)-Variables!$B$14),""))</f>
        <v/>
      </c>
      <c r="AJ1140" s="47">
        <v>46225</v>
      </c>
      <c r="AK1140" s="14">
        <f>IF($AX1140="Cancelled","",IFERROR(IF(AJ1140="","",IF(AND(AB1140="",AF1140=""),"",IF(AF1140&gt;AB1140,AF1140+Variables!$B$15+Variables!$B$16+Variables!$B$17-AJ1140,AB1140+Variables!$B$16+Variables!$B$17-AJ1140))),""))</f>
        <v>16</v>
      </c>
      <c r="AL1140" s="48" t="s">
        <v>114</v>
      </c>
      <c r="AM1140" s="13" t="s">
        <v>168</v>
      </c>
      <c r="AN1140" s="13" t="s">
        <v>2826</v>
      </c>
      <c r="AP1140" s="39">
        <v>46241</v>
      </c>
      <c r="AR1140" s="13" t="s">
        <v>2830</v>
      </c>
      <c r="AS1140" s="31">
        <v>46241</v>
      </c>
      <c r="AU1140" s="31">
        <v>46275</v>
      </c>
      <c r="AV1140" s="13" t="s">
        <v>865</v>
      </c>
      <c r="AW1140" s="39">
        <v>46275</v>
      </c>
      <c r="AX1140" s="13" t="str">
        <f>IF(ISNUMBER(SEARCH("cancel",#REF!)),"Cancelled",IF(AND(AS1140&lt;&gt;"",AU1140&lt;&gt;"",AW1140&lt;&gt;""),"Closed","Open"))</f>
        <v>Closed</v>
      </c>
      <c r="AY1140" s="15" t="str">
        <f t="shared" si="52"/>
        <v>All dates received</v>
      </c>
      <c r="AZ1140" s="13" t="s">
        <v>3053</v>
      </c>
      <c r="BA1140" s="13" t="s">
        <v>3048</v>
      </c>
      <c r="BB1140" s="13" t="s">
        <v>3049</v>
      </c>
      <c r="BC1140" s="13" t="s">
        <v>3302</v>
      </c>
      <c r="BD1140" s="13">
        <f>IF($AX1140="Cancelled","",IFERROR(IF(OR(AS1140="",AJ1140=""),"",(AJ1140+Variables!$B$18-AS1140)),""))</f>
        <v>-1</v>
      </c>
      <c r="BE1140" s="13">
        <f>IF($AX1140="Cancelled","",IFERROR(IF(OR(AW1140="",AS1140=""),"",(AS1140+Variables!$B$19)-AW1140),""))</f>
        <v>-29</v>
      </c>
      <c r="BF1140" s="44">
        <f>IF($AX1140="Cancelled","",IFERROR(W1140*INDEX(Variables!$B$7:$D$7,IFERROR(MATCH(IF($B1140="Robusta","Robusta",(IF($B1140="","Arabica",$B1140))&amp;" - "&amp;(IF($C1140="","Commercial",$C1140))),Variables!$B$1:$D$1,0),1))*(BE1140/365),""))</f>
        <v>-1542.7876492263538</v>
      </c>
      <c r="BG1140" s="44" t="str">
        <f>IF($AX1140="Cancelled","",IFERROR((W1140*INDEX(Variables!$B$7:$D$7,IFERROR(MATCH(IF($B1140="Robusta","Robusta",(IF($B1140="","Arabica",$B1140))&amp;" - "&amp;(IF($C1140="","Commercial",$C1140))),Variables!$B$1:$D$1,0),1))*IFERROR(IF(AB1140="","",(AVERAGE(E1140:F1140)-AB1140)-Variables!$B$14),"")/365)+(L1140/16.67*INDEX(Variables!$B$8:$D$8,IFERROR(MATCH(IF($B1140="Robusta","Robusta",(IF($B1140="","Arabica",$B1140))&amp;" - "&amp;(IF($C1140="","Commercial",$C1140))),Variables!$B$1:$D$1,0),1))*IFERROR(IF(AB1140="","",(AVERAGE(E1140:F1140)-AB1140)-Variables!$B$14),""))+(W1140*INDEX(Variables!$B$9:$D$9,IFERROR(MATCH(IF($B1140="Robusta","Robusta",(IF($B1140="","Arabica",$B1140))&amp;" - "&amp;(IF($C1140="","Commercial",$C1140))),Variables!$B$1:$D$1,0),1))*IFERROR(IF(AB1140="","",(AVERAGE(E1140:F1140)-AB1140)-Variables!$B$14),"")/365),""))</f>
        <v/>
      </c>
      <c r="BH1140" s="44">
        <f>IF($AX1140="Cancelled","",IFERROR((W1140*INDEX(Variables!$B$7:$D$7,IFERROR(MATCH(IF($B1140="Robusta","Robusta",(IF($B1140="","Arabica",$B1140))&amp;" - "&amp;(IF($C1140="","Commercial",$C1140))),Variables!$B$1:$D$1,0),1))*AK1140/365)+(L1140/16.67*INDEX(Variables!$B$8:$D$8,IFERROR(MATCH(IF($B1140="Robusta","Robusta",(IF($B1140="","Arabica",$B1140))&amp;" - "&amp;(IF($C1140="","Commercial",$C1140))),Variables!$B$1:$D$1,0),1))*AK1140)+(W1140*INDEX(Variables!$B$9:$D$9,IFERROR(MATCH(IF($B1140="Robusta","Robusta",(IF($B1140="","Arabica",$B1140))&amp;" - "&amp;(IF($C1140="","Commercial",$C1140))),Variables!$B$1:$D$1,0),1))*AK1140/365),""))</f>
        <v>2062.1667086334796</v>
      </c>
      <c r="BI1140" s="44">
        <f>IF($AX1140="Cancelled","",IFERROR((W1140*INDEX(Variables!$B$7:$D$7,IFERROR(MATCH(IF($B1140="Robusta","Robusta",(IF($B1140="","Arabica",$B1140))&amp;" - "&amp;(IF($C1140="","Commercial",$C1140))),Variables!$B$1:$D$1,0),1))*BD1140/365)+(L1140/16.67*INDEX(Variables!$B$8:$D$8,IFERROR(MATCH(IF($B1140="Robusta","Robusta",(IF($B1140="","Arabica",$B1140))&amp;" - "&amp;(IF($C1140="","Commercial",$C1140))),Variables!$B$1:$D$1,0),1))*BD1140)+(W1140*INDEX(Variables!$B$9:$D$9,IFERROR(MATCH(IF($B1140="Robusta","Robusta",(IF($B1140="","Arabica",$B1140))&amp;" - "&amp;(IF($C1140="","Commercial",$C1140))),Variables!$B$1:$D$1,0),1))*BD1140/365),""))</f>
        <v>-128.88541928959248</v>
      </c>
      <c r="BJ1140" s="44">
        <f t="shared" si="54"/>
        <v>-38</v>
      </c>
      <c r="BK1140" s="44">
        <f>IF($AX1140="Cancelled","",IFERROR(IF(BJ1140="","",(W1140*INDEX(Variables!$B$7:$D$7,IFERROR(MATCH(IF($B1140="Robusta","Robusta",(IF($B1140="","Arabica",$B1140))&amp;" - "&amp;(IF($C1140="","Commercial",$C1140))),Variables!$B$1:$D$1,0),1))*(BJ1140/365))+(W1140*INDEX(Variables!$B$9:$D$9,IFERROR(MATCH(IF($B1140="Robusta","Robusta",(IF($B1140="","Arabica",$B1140))&amp;" - "&amp;(IF($C1140="","Commercial",$C1140))),Variables!$B$1:$D$1,0),1))*(BJ1140/365))+(INDEX(Variables!$B$8:$D$8,IFERROR(MATCH(IF($B1140="Robusta","Robusta",(IF($B1140="","Arabica",$B1140))&amp;" - "&amp;(IF($C1140="","Commercial",$C1140))),Variables!$B$1:$D$1,0),1))*L1140/16.67)),""))</f>
        <v>-1972.6459330045143</v>
      </c>
    </row>
    <row r="1141" spans="1:63">
      <c r="A1141" s="13" t="s">
        <v>103</v>
      </c>
      <c r="B1141" s="13" t="s">
        <v>104</v>
      </c>
      <c r="C1141" s="13" t="s">
        <v>105</v>
      </c>
      <c r="D1141" s="31">
        <v>46134</v>
      </c>
      <c r="E1141" s="31">
        <v>46235</v>
      </c>
      <c r="F1141" s="31">
        <v>46248</v>
      </c>
      <c r="G1141" s="13">
        <v>3787565</v>
      </c>
      <c r="J1141" s="13" t="s">
        <v>107</v>
      </c>
      <c r="K1141" s="13">
        <v>5608</v>
      </c>
      <c r="L1141" s="13">
        <v>320</v>
      </c>
      <c r="M1141" s="13">
        <v>1</v>
      </c>
      <c r="N1141" s="13" t="s">
        <v>2831</v>
      </c>
      <c r="O1141" s="13" t="s">
        <v>538</v>
      </c>
      <c r="P1141" s="13">
        <v>10080</v>
      </c>
      <c r="R1141" s="13" t="s">
        <v>110</v>
      </c>
      <c r="S1141" s="13" t="s">
        <v>2121</v>
      </c>
      <c r="T1141" s="13" t="s">
        <v>112</v>
      </c>
      <c r="U1141" s="13" t="s">
        <v>113</v>
      </c>
      <c r="V1141" s="23">
        <v>28</v>
      </c>
      <c r="W1141" s="44">
        <f>IF($AX1141="Cancelled","",IFERROR(((V1141+INDEX(Variables!$B$6:$D$6,IFERROR(MATCH(IF($B1141="Robusta","Robusta",(IF($B1141="","Arabica",$B1141))&amp;" - "&amp;(IF($C1141="","Commercial",$C1141))),Variables!$B$1:$D$1,0),1)))*22.0462)*(L1141/16.67),""))</f>
        <v>134916.92496700658</v>
      </c>
      <c r="X1141" s="55" t="s">
        <v>37</v>
      </c>
      <c r="Y1141" s="13" t="str">
        <f>IF($AX1141="Cancelled","",IF(X1141="","",IFERROR(IF(INDEX(Variables!$B$38:$B$47,MATCH(X1141,Variables!$A$38:$A$47,0))="Yes","Yes","No"),"No")))</f>
        <v>Yes</v>
      </c>
      <c r="Z1141" s="58">
        <v>46217</v>
      </c>
      <c r="AB1141" s="31">
        <v>46227</v>
      </c>
      <c r="AC1141" s="13" t="str">
        <f t="shared" si="53"/>
        <v>Approved</v>
      </c>
      <c r="AF1141" s="71">
        <v>46241</v>
      </c>
      <c r="AG1141" s="37">
        <f>IF($AX1141="Cancelled","",IFERROR(IF(F1141="","",F1141-Variables!$B$13),""))</f>
        <v>46233</v>
      </c>
      <c r="AH1141" s="13">
        <f>IF($AX1141="Cancelled","",IFERROR(IF(AB1141="","",(AVERAGE(E1141:F1141)-AB1141)-Variables!$B$14),""))</f>
        <v>-15.5</v>
      </c>
      <c r="AJ1141" s="47">
        <v>46247</v>
      </c>
      <c r="AK1141" s="14">
        <f>IF($AX1141="Cancelled","",IFERROR(IF(AJ1141="","",IF(AND(AB1141="",AF1141=""),"",IF(AF1141&gt;AB1141,AF1141+Variables!$B$15+Variables!$B$16+Variables!$B$17-AJ1141,AB1141+Variables!$B$16+Variables!$B$17-AJ1141))),""))</f>
        <v>9</v>
      </c>
      <c r="AL1141" s="48" t="s">
        <v>224</v>
      </c>
      <c r="AM1141" s="13" t="s">
        <v>168</v>
      </c>
      <c r="AN1141" s="13" t="s">
        <v>2832</v>
      </c>
      <c r="AP1141" s="39">
        <v>46256</v>
      </c>
      <c r="AR1141" s="13" t="s">
        <v>2833</v>
      </c>
      <c r="AS1141" s="31">
        <v>46256</v>
      </c>
      <c r="AU1141" s="39">
        <v>46283</v>
      </c>
      <c r="AV1141" s="13" t="s">
        <v>865</v>
      </c>
      <c r="AW1141" s="39">
        <v>46283</v>
      </c>
      <c r="AX1141" s="13" t="str">
        <f>IF(ISNUMBER(SEARCH("cancel",#REF!)),"Cancelled",IF(AND(AS1141&lt;&gt;"",AU1141&lt;&gt;"",AW1141&lt;&gt;""),"Closed","Open"))</f>
        <v>Closed</v>
      </c>
      <c r="AY1141" s="15" t="str">
        <f t="shared" si="52"/>
        <v>All dates received</v>
      </c>
      <c r="AZ1141" s="13" t="s">
        <v>3053</v>
      </c>
      <c r="BA1141" s="13" t="s">
        <v>3048</v>
      </c>
      <c r="BB1141" s="13" t="s">
        <v>3049</v>
      </c>
      <c r="BC1141" s="13" t="s">
        <v>3048</v>
      </c>
      <c r="BD1141" s="13">
        <f>IF($AX1141="Cancelled","",IFERROR(IF(OR(AS1141="",AJ1141=""),"",(AJ1141+Variables!$B$18-AS1141)),""))</f>
        <v>6</v>
      </c>
      <c r="BE1141" s="13">
        <f>IF($AX1141="Cancelled","",IFERROR(IF(OR(AW1141="",AS1141=""),"",(AS1141+Variables!$B$19)-AW1141),""))</f>
        <v>-22</v>
      </c>
      <c r="BF1141" s="44">
        <f>IF($AX1141="Cancelled","",IFERROR(W1141*INDEX(Variables!$B$7:$D$7,IFERROR(MATCH(IF($B1141="Robusta","Robusta",(IF($B1141="","Arabica",$B1141))&amp;" - "&amp;(IF($C1141="","Commercial",$C1141))),Variables!$B$1:$D$1,0),1))*(BE1141/365),""))</f>
        <v>-524.36789879552134</v>
      </c>
      <c r="BG1141" s="44">
        <f>IF($AX1141="Cancelled","",IFERROR((W1141*INDEX(Variables!$B$7:$D$7,IFERROR(MATCH(IF($B1141="Robusta","Robusta",(IF($B1141="","Arabica",$B1141))&amp;" - "&amp;(IF($C1141="","Commercial",$C1141))),Variables!$B$1:$D$1,0),1))*IFERROR(IF(AB1141="","",(AVERAGE(E1141:F1141)-AB1141)-Variables!$B$14),"")/365)+(L1141/16.67*INDEX(Variables!$B$8:$D$8,IFERROR(MATCH(IF($B1141="Robusta","Robusta",(IF($B1141="","Arabica",$B1141))&amp;" - "&amp;(IF($C1141="","Commercial",$C1141))),Variables!$B$1:$D$1,0),1))*IFERROR(IF(AB1141="","",(AVERAGE(E1141:F1141)-AB1141)-Variables!$B$14),""))+(W1141*INDEX(Variables!$B$9:$D$9,IFERROR(MATCH(IF($B1141="Robusta","Robusta",(IF($B1141="","Arabica",$B1141))&amp;" - "&amp;(IF($C1141="","Commercial",$C1141))),Variables!$B$1:$D$1,0),1))*IFERROR(IF(AB1141="","",(AVERAGE(E1141:F1141)-AB1141)-Variables!$B$14),"")/365),""))</f>
        <v>-622.20382732028793</v>
      </c>
      <c r="BH1141" s="44">
        <f>IF($AX1141="Cancelled","",IFERROR((W1141*INDEX(Variables!$B$7:$D$7,IFERROR(MATCH(IF($B1141="Robusta","Robusta",(IF($B1141="","Arabica",$B1141))&amp;" - "&amp;(IF($C1141="","Commercial",$C1141))),Variables!$B$1:$D$1,0),1))*AK1141/365)+(L1141/16.67*INDEX(Variables!$B$8:$D$8,IFERROR(MATCH(IF($B1141="Robusta","Robusta",(IF($B1141="","Arabica",$B1141))&amp;" - "&amp;(IF($C1141="","Commercial",$C1141))),Variables!$B$1:$D$1,0),1))*AK1141)+(W1141*INDEX(Variables!$B$9:$D$9,IFERROR(MATCH(IF($B1141="Robusta","Robusta",(IF($B1141="","Arabica",$B1141))&amp;" - "&amp;(IF($C1141="","Commercial",$C1141))),Variables!$B$1:$D$1,0),1))*AK1141/365),""))</f>
        <v>361.27964166984458</v>
      </c>
      <c r="BI1141" s="44">
        <f>IF($AX1141="Cancelled","",IFERROR((W1141*INDEX(Variables!$B$7:$D$7,IFERROR(MATCH(IF($B1141="Robusta","Robusta",(IF($B1141="","Arabica",$B1141))&amp;" - "&amp;(IF($C1141="","Commercial",$C1141))),Variables!$B$1:$D$1,0),1))*BD1141/365)+(L1141/16.67*INDEX(Variables!$B$8:$D$8,IFERROR(MATCH(IF($B1141="Robusta","Robusta",(IF($B1141="","Arabica",$B1141))&amp;" - "&amp;(IF($C1141="","Commercial",$C1141))),Variables!$B$1:$D$1,0),1))*BD1141)+(W1141*INDEX(Variables!$B$9:$D$9,IFERROR(MATCH(IF($B1141="Robusta","Robusta",(IF($B1141="","Arabica",$B1141))&amp;" - "&amp;(IF($C1141="","Commercial",$C1141))),Variables!$B$1:$D$1,0),1))*BD1141/365),""))</f>
        <v>240.85309444656306</v>
      </c>
      <c r="BJ1141" s="44">
        <f t="shared" si="54"/>
        <v>-8</v>
      </c>
      <c r="BK1141" s="44">
        <f>IF($AX1141="Cancelled","",IFERROR(IF(BJ1141="","",(W1141*INDEX(Variables!$B$7:$D$7,IFERROR(MATCH(IF($B1141="Robusta","Robusta",(IF($B1141="","Arabica",$B1141))&amp;" - "&amp;(IF($C1141="","Commercial",$C1141))),Variables!$B$1:$D$1,0),1))*(BJ1141/365))+(W1141*INDEX(Variables!$B$9:$D$9,IFERROR(MATCH(IF($B1141="Robusta","Robusta",(IF($B1141="","Arabica",$B1141))&amp;" - "&amp;(IF($C1141="","Commercial",$C1141))),Variables!$B$1:$D$1,0),1))*(BJ1141/365))+(INDEX(Variables!$B$8:$D$8,IFERROR(MATCH(IF($B1141="Robusta","Robusta",(IF($B1141="","Arabica",$B1141))&amp;" - "&amp;(IF($C1141="","Commercial",$C1141))),Variables!$B$1:$D$1,0),1))*L1141/16.67)),""))</f>
        <v>-177.13745926208406</v>
      </c>
    </row>
    <row r="1142" spans="1:63" s="33" customFormat="1">
      <c r="A1142" s="33" t="s">
        <v>103</v>
      </c>
      <c r="B1142" s="13" t="s">
        <v>104</v>
      </c>
      <c r="C1142" s="13" t="s">
        <v>105</v>
      </c>
      <c r="D1142" s="31">
        <v>46134</v>
      </c>
      <c r="E1142" s="31">
        <v>46266</v>
      </c>
      <c r="F1142" s="31">
        <v>46279</v>
      </c>
      <c r="G1142" s="33">
        <v>3787566</v>
      </c>
      <c r="H1142" s="13"/>
      <c r="I1142" s="13"/>
      <c r="J1142" s="13" t="s">
        <v>107</v>
      </c>
      <c r="K1142" s="13">
        <v>5621</v>
      </c>
      <c r="L1142" s="13">
        <v>320</v>
      </c>
      <c r="M1142" s="13">
        <v>1</v>
      </c>
      <c r="N1142" s="13" t="s">
        <v>2831</v>
      </c>
      <c r="O1142" s="13" t="s">
        <v>538</v>
      </c>
      <c r="P1142" s="13">
        <v>10080</v>
      </c>
      <c r="Q1142" s="13"/>
      <c r="R1142" s="13" t="s">
        <v>110</v>
      </c>
      <c r="S1142" s="13" t="s">
        <v>553</v>
      </c>
      <c r="T1142" s="13" t="s">
        <v>112</v>
      </c>
      <c r="U1142" s="13" t="s">
        <v>113</v>
      </c>
      <c r="V1142" s="23">
        <v>28</v>
      </c>
      <c r="W1142" s="44">
        <f>IF($AX1142="Cancelled","",IFERROR(((V1142+INDEX(Variables!$B$6:$D$6,IFERROR(MATCH(IF($B1142="Robusta","Robusta",(IF($B1142="","Arabica",$B1142))&amp;" - "&amp;(IF($C1142="","Commercial",$C1142))),Variables!$B$1:$D$1,0),1)))*22.0462)*(L1142/16.67),""))</f>
        <v>134916.92496700658</v>
      </c>
      <c r="X1142" s="55" t="s">
        <v>37</v>
      </c>
      <c r="Y1142" s="13" t="str">
        <f>IF($AX1142="Cancelled","",IF(X1142="","",IFERROR(IF(INDEX(Variables!$B$38:$B$47,MATCH(X1142,Variables!$A$38:$A$47,0))="Yes","Yes","No"),"No")))</f>
        <v>Yes</v>
      </c>
      <c r="Z1142" s="58">
        <v>46233</v>
      </c>
      <c r="AA1142" s="13"/>
      <c r="AB1142" s="31">
        <v>46238</v>
      </c>
      <c r="AC1142" s="13" t="str">
        <f t="shared" si="53"/>
        <v>Approved</v>
      </c>
      <c r="AD1142" s="31">
        <v>46240</v>
      </c>
      <c r="AE1142" s="31"/>
      <c r="AF1142" s="71">
        <v>46262</v>
      </c>
      <c r="AG1142" s="37">
        <f>IF($AX1142="Cancelled","",IFERROR(IF(F1142="","",F1142-Variables!$B$13),""))</f>
        <v>46264</v>
      </c>
      <c r="AH1142" s="13">
        <f>IF($AX1142="Cancelled","",IFERROR(IF(AB1142="","",(AVERAGE(E1142:F1142)-AB1142)-Variables!$B$14),""))</f>
        <v>4.5</v>
      </c>
      <c r="AI1142" s="13"/>
      <c r="AJ1142" s="47">
        <v>46267</v>
      </c>
      <c r="AK1142" s="14">
        <f>IF($AX1142="Cancelled","",IFERROR(IF(AJ1142="","",IF(AND(AB1142="",AF1142=""),"",IF(AF1142&gt;AB1142,AF1142+Variables!$B$15+Variables!$B$16+Variables!$B$17-AJ1142,AB1142+Variables!$B$16+Variables!$B$17-AJ1142))),""))</f>
        <v>10</v>
      </c>
      <c r="AL1142" s="48" t="s">
        <v>224</v>
      </c>
      <c r="AM1142" s="33" t="s">
        <v>168</v>
      </c>
      <c r="AN1142" s="33" t="s">
        <v>2834</v>
      </c>
      <c r="AO1142" s="39">
        <v>46268</v>
      </c>
      <c r="AP1142" s="39">
        <v>46281</v>
      </c>
      <c r="AQ1142" s="39">
        <v>46358</v>
      </c>
      <c r="AR1142" s="33" t="s">
        <v>2835</v>
      </c>
      <c r="AS1142" s="39">
        <v>46283</v>
      </c>
      <c r="AT1142" s="39"/>
      <c r="AU1142" s="39">
        <v>46309</v>
      </c>
      <c r="AV1142" s="33" t="s">
        <v>865</v>
      </c>
      <c r="AW1142" s="39">
        <v>46309</v>
      </c>
      <c r="AX1142" s="33" t="str">
        <f>IF(ISNUMBER(SEARCH("cancel",#REF!)),"Cancelled",IF(AND(AS1142&lt;&gt;"",AU1142&lt;&gt;"",AW1142&lt;&gt;""),"Closed","Open"))</f>
        <v>Closed</v>
      </c>
      <c r="AY1142" s="15" t="str">
        <f t="shared" si="52"/>
        <v>All dates received</v>
      </c>
      <c r="AZ1142" s="13" t="s">
        <v>3053</v>
      </c>
      <c r="BA1142" s="13" t="s">
        <v>3048</v>
      </c>
      <c r="BB1142" s="13" t="s">
        <v>3049</v>
      </c>
      <c r="BC1142" s="33" t="s">
        <v>3048</v>
      </c>
      <c r="BD1142" s="33">
        <f>IF($AX1142="Cancelled","",IFERROR(IF(OR(AS1142="",AJ1142=""),"",(AJ1142+Variables!$B$18-AS1142)),""))</f>
        <v>-1</v>
      </c>
      <c r="BE1142" s="33">
        <f>IF($AX1142="Cancelled","",IFERROR(IF(OR(AW1142="",AS1142=""),"",(AS1142+Variables!$B$19)-AW1142),""))</f>
        <v>-21</v>
      </c>
      <c r="BF1142" s="43">
        <f>IF($AX1142="Cancelled","",IFERROR(W1142*INDEX(Variables!$B$7:$D$7,IFERROR(MATCH(IF($B1142="Robusta","Robusta",(IF($B1142="","Arabica",$B1142))&amp;" - "&amp;(IF($C1142="","Commercial",$C1142))),Variables!$B$1:$D$1,0),1))*(BE1142/365),""))</f>
        <v>-500.53299430481582</v>
      </c>
      <c r="BG1142" s="43">
        <f>IF($AX1142="Cancelled","",IFERROR((W1142*INDEX(Variables!$B$7:$D$7,IFERROR(MATCH(IF($B1142="Robusta","Robusta",(IF($B1142="","Arabica",$B1142))&amp;" - "&amp;(IF($C1142="","Commercial",$C1142))),Variables!$B$1:$D$1,0),1))*IFERROR(IF(AB1142="","",(AVERAGE(E1142:F1142)-AB1142)-Variables!$B$14),"")/365)+(L1142/16.67*INDEX(Variables!$B$8:$D$8,IFERROR(MATCH(IF($B1142="Robusta","Robusta",(IF($B1142="","Arabica",$B1142))&amp;" - "&amp;(IF($C1142="","Commercial",$C1142))),Variables!$B$1:$D$1,0),1))*IFERROR(IF(AB1142="","",(AVERAGE(E1142:F1142)-AB1142)-Variables!$B$14),""))+(W1142*INDEX(Variables!$B$9:$D$9,IFERROR(MATCH(IF($B1142="Robusta","Robusta",(IF($B1142="","Arabica",$B1142))&amp;" - "&amp;(IF($C1142="","Commercial",$C1142))),Variables!$B$1:$D$1,0),1))*IFERROR(IF(AB1142="","",(AVERAGE(E1142:F1142)-AB1142)-Variables!$B$14),"")/365),""))</f>
        <v>180.63982083492229</v>
      </c>
      <c r="BH1142" s="43">
        <f>IF($AX1142="Cancelled","",IFERROR((W1142*INDEX(Variables!$B$7:$D$7,IFERROR(MATCH(IF($B1142="Robusta","Robusta",(IF($B1142="","Arabica",$B1142))&amp;" - "&amp;(IF($C1142="","Commercial",$C1142))),Variables!$B$1:$D$1,0),1))*AK1142/365)+(L1142/16.67*INDEX(Variables!$B$8:$D$8,IFERROR(MATCH(IF($B1142="Robusta","Robusta",(IF($B1142="","Arabica",$B1142))&amp;" - "&amp;(IF($C1142="","Commercial",$C1142))),Variables!$B$1:$D$1,0),1))*AK1142)+(W1142*INDEX(Variables!$B$9:$D$9,IFERROR(MATCH(IF($B1142="Robusta","Robusta",(IF($B1142="","Arabica",$B1142))&amp;" - "&amp;(IF($C1142="","Commercial",$C1142))),Variables!$B$1:$D$1,0),1))*AK1142/365),""))</f>
        <v>401.42182407760509</v>
      </c>
      <c r="BI1142" s="43">
        <f>IF($AX1142="Cancelled","",IFERROR((W1142*INDEX(Variables!$B$7:$D$7,IFERROR(MATCH(IF($B1142="Robusta","Robusta",(IF($B1142="","Arabica",$B1142))&amp;" - "&amp;(IF($C1142="","Commercial",$C1142))),Variables!$B$1:$D$1,0),1))*BD1142/365)+(L1142/16.67*INDEX(Variables!$B$8:$D$8,IFERROR(MATCH(IF($B1142="Robusta","Robusta",(IF($B1142="","Arabica",$B1142))&amp;" - "&amp;(IF($C1142="","Commercial",$C1142))),Variables!$B$1:$D$1,0),1))*BD1142)+(W1142*INDEX(Variables!$B$9:$D$9,IFERROR(MATCH(IF($B1142="Robusta","Robusta",(IF($B1142="","Arabica",$B1142))&amp;" - "&amp;(IF($C1142="","Commercial",$C1142))),Variables!$B$1:$D$1,0),1))*BD1142/365),""))</f>
        <v>-40.142182407760508</v>
      </c>
      <c r="BJ1142" s="43">
        <f t="shared" si="54"/>
        <v>-4</v>
      </c>
      <c r="BK1142" s="43">
        <f>IF($AX1142="Cancelled","",IFERROR(IF(BJ1142="","",(W1142*INDEX(Variables!$B$7:$D$7,IFERROR(MATCH(IF($B1142="Robusta","Robusta",(IF($B1142="","Arabica",$B1142))&amp;" - "&amp;(IF($C1142="","Commercial",$C1142))),Variables!$B$1:$D$1,0),1))*(BJ1142/365))+(W1142*INDEX(Variables!$B$9:$D$9,IFERROR(MATCH(IF($B1142="Robusta","Robusta",(IF($B1142="","Arabica",$B1142))&amp;" - "&amp;(IF($C1142="","Commercial",$C1142))),Variables!$B$1:$D$1,0),1))*(BJ1142/365))+(INDEX(Variables!$B$8:$D$8,IFERROR(MATCH(IF($B1142="Robusta","Robusta",(IF($B1142="","Arabica",$B1142))&amp;" - "&amp;(IF($C1142="","Commercial",$C1142))),Variables!$B$1:$D$1,0),1))*L1142/16.67)),""))</f>
        <v>-80.568729631042032</v>
      </c>
    </row>
    <row r="1143" spans="1:63" s="33" customFormat="1">
      <c r="A1143" s="33" t="s">
        <v>103</v>
      </c>
      <c r="B1143" s="13" t="s">
        <v>104</v>
      </c>
      <c r="C1143" s="13" t="s">
        <v>105</v>
      </c>
      <c r="D1143" s="31">
        <v>46134</v>
      </c>
      <c r="E1143" s="31">
        <v>46266</v>
      </c>
      <c r="F1143" s="31">
        <v>46295</v>
      </c>
      <c r="G1143" s="33">
        <v>3787567</v>
      </c>
      <c r="H1143" s="13"/>
      <c r="I1143" s="13"/>
      <c r="J1143" s="13" t="s">
        <v>107</v>
      </c>
      <c r="K1143" s="13">
        <v>5640</v>
      </c>
      <c r="L1143" s="13">
        <v>320</v>
      </c>
      <c r="M1143" s="13">
        <v>1</v>
      </c>
      <c r="N1143" s="13" t="s">
        <v>2831</v>
      </c>
      <c r="O1143" s="13" t="s">
        <v>538</v>
      </c>
      <c r="P1143" s="13">
        <v>10080</v>
      </c>
      <c r="Q1143" s="13"/>
      <c r="R1143" s="13" t="s">
        <v>110</v>
      </c>
      <c r="S1143" s="13" t="s">
        <v>553</v>
      </c>
      <c r="T1143" s="13" t="s">
        <v>112</v>
      </c>
      <c r="U1143" s="13" t="s">
        <v>113</v>
      </c>
      <c r="V1143" s="23">
        <v>28</v>
      </c>
      <c r="W1143" s="44">
        <f>IF($AX1143="Cancelled","",IFERROR(((V1143+INDEX(Variables!$B$6:$D$6,IFERROR(MATCH(IF($B1143="Robusta","Robusta",(IF($B1143="","Arabica",$B1143))&amp;" - "&amp;(IF($C1143="","Commercial",$C1143))),Variables!$B$1:$D$1,0),1)))*22.0462)*(L1143/16.67),""))</f>
        <v>134916.92496700658</v>
      </c>
      <c r="X1143" s="55" t="s">
        <v>37</v>
      </c>
      <c r="Y1143" s="13" t="str">
        <f>IF($AX1143="Cancelled","",IF(X1143="","",IFERROR(IF(INDEX(Variables!$B$38:$B$47,MATCH(X1143,Variables!$A$38:$A$47,0))="Yes","Yes","No"),"No")))</f>
        <v>Yes</v>
      </c>
      <c r="Z1143" s="58">
        <v>46252</v>
      </c>
      <c r="AA1143" s="13"/>
      <c r="AB1143" s="31">
        <v>46261</v>
      </c>
      <c r="AC1143" s="13" t="str">
        <f t="shared" si="53"/>
        <v>Approved</v>
      </c>
      <c r="AD1143" s="31">
        <v>46265</v>
      </c>
      <c r="AE1143" s="31"/>
      <c r="AF1143" s="71">
        <v>46274</v>
      </c>
      <c r="AG1143" s="37">
        <f>IF($AX1143="Cancelled","",IFERROR(IF(F1143="","",F1143-Variables!$B$13),""))</f>
        <v>46280</v>
      </c>
      <c r="AH1143" s="13">
        <f>IF($AX1143="Cancelled","",IFERROR(IF(AB1143="","",(AVERAGE(E1143:F1143)-AB1143)-Variables!$B$14),""))</f>
        <v>-10.5</v>
      </c>
      <c r="AI1143" s="13"/>
      <c r="AJ1143" s="47">
        <v>46276</v>
      </c>
      <c r="AK1143" s="14">
        <f>IF($AX1143="Cancelled","",IFERROR(IF(AJ1143="","",IF(AND(AB1143="",AF1143=""),"",IF(AF1143&gt;AB1143,AF1143+Variables!$B$15+Variables!$B$16+Variables!$B$17-AJ1143,AB1143+Variables!$B$16+Variables!$B$17-AJ1143))),""))</f>
        <v>13</v>
      </c>
      <c r="AL1143" s="48" t="s">
        <v>224</v>
      </c>
      <c r="AM1143" s="33" t="s">
        <v>168</v>
      </c>
      <c r="AN1143" s="33" t="s">
        <v>2836</v>
      </c>
      <c r="AO1143" s="39">
        <v>46279</v>
      </c>
      <c r="AP1143" s="39">
        <v>46287</v>
      </c>
      <c r="AQ1143" s="39">
        <v>46344</v>
      </c>
      <c r="AR1143" s="33" t="s">
        <v>2837</v>
      </c>
      <c r="AS1143" s="39">
        <v>46288</v>
      </c>
      <c r="AT1143" s="39"/>
      <c r="AU1143" s="39">
        <v>46308</v>
      </c>
      <c r="AV1143" s="33" t="s">
        <v>865</v>
      </c>
      <c r="AW1143" s="39">
        <v>46308</v>
      </c>
      <c r="AX1143" s="33" t="str">
        <f>IF(ISNUMBER(SEARCH("cancel",#REF!)),"Cancelled",IF(AND(AS1143&lt;&gt;"",AU1143&lt;&gt;"",AW1143&lt;&gt;""),"Closed","Open"))</f>
        <v>Closed</v>
      </c>
      <c r="AY1143" s="15" t="str">
        <f t="shared" si="52"/>
        <v>All dates received</v>
      </c>
      <c r="BD1143" s="33">
        <f>IF($AX1143="Cancelled","",IFERROR(IF(OR(AS1143="",AJ1143=""),"",(AJ1143+Variables!$B$18-AS1143)),""))</f>
        <v>3</v>
      </c>
      <c r="BE1143" s="33">
        <f>IF($AX1143="Cancelled","",IFERROR(IF(OR(AW1143="",AS1143=""),"",(AS1143+Variables!$B$19)-AW1143),""))</f>
        <v>-15</v>
      </c>
      <c r="BF1143" s="43">
        <f>IF($AX1143="Cancelled","",IFERROR(W1143*INDEX(Variables!$B$7:$D$7,IFERROR(MATCH(IF($B1143="Robusta","Robusta",(IF($B1143="","Arabica",$B1143))&amp;" - "&amp;(IF($C1143="","Commercial",$C1143))),Variables!$B$1:$D$1,0),1))*(BE1143/365),""))</f>
        <v>-357.52356736058272</v>
      </c>
      <c r="BG1143" s="43">
        <f>IF($AX1143="Cancelled","",IFERROR((W1143*INDEX(Variables!$B$7:$D$7,IFERROR(MATCH(IF($B1143="Robusta","Robusta",(IF($B1143="","Arabica",$B1143))&amp;" - "&amp;(IF($C1143="","Commercial",$C1143))),Variables!$B$1:$D$1,0),1))*IFERROR(IF(AB1143="","",(AVERAGE(E1143:F1143)-AB1143)-Variables!$B$14),"")/365)+(L1143/16.67*INDEX(Variables!$B$8:$D$8,IFERROR(MATCH(IF($B1143="Robusta","Robusta",(IF($B1143="","Arabica",$B1143))&amp;" - "&amp;(IF($C1143="","Commercial",$C1143))),Variables!$B$1:$D$1,0),1))*IFERROR(IF(AB1143="","",(AVERAGE(E1143:F1143)-AB1143)-Variables!$B$14),""))+(W1143*INDEX(Variables!$B$9:$D$9,IFERROR(MATCH(IF($B1143="Robusta","Robusta",(IF($B1143="","Arabica",$B1143))&amp;" - "&amp;(IF($C1143="","Commercial",$C1143))),Variables!$B$1:$D$1,0),1))*IFERROR(IF(AB1143="","",(AVERAGE(E1143:F1143)-AB1143)-Variables!$B$14),"")/365),""))</f>
        <v>-421.4929152814853</v>
      </c>
      <c r="BH1143" s="43">
        <f>IF($AX1143="Cancelled","",IFERROR((W1143*INDEX(Variables!$B$7:$D$7,IFERROR(MATCH(IF($B1143="Robusta","Robusta",(IF($B1143="","Arabica",$B1143))&amp;" - "&amp;(IF($C1143="","Commercial",$C1143))),Variables!$B$1:$D$1,0),1))*AK1143/365)+(L1143/16.67*INDEX(Variables!$B$8:$D$8,IFERROR(MATCH(IF($B1143="Robusta","Robusta",(IF($B1143="","Arabica",$B1143))&amp;" - "&amp;(IF($C1143="","Commercial",$C1143))),Variables!$B$1:$D$1,0),1))*AK1143)+(W1143*INDEX(Variables!$B$9:$D$9,IFERROR(MATCH(IF($B1143="Robusta","Robusta",(IF($B1143="","Arabica",$B1143))&amp;" - "&amp;(IF($C1143="","Commercial",$C1143))),Variables!$B$1:$D$1,0),1))*AK1143/365),""))</f>
        <v>521.84837130088658</v>
      </c>
      <c r="BI1143" s="43">
        <f>IF($AX1143="Cancelled","",IFERROR((W1143*INDEX(Variables!$B$7:$D$7,IFERROR(MATCH(IF($B1143="Robusta","Robusta",(IF($B1143="","Arabica",$B1143))&amp;" - "&amp;(IF($C1143="","Commercial",$C1143))),Variables!$B$1:$D$1,0),1))*BD1143/365)+(L1143/16.67*INDEX(Variables!$B$8:$D$8,IFERROR(MATCH(IF($B1143="Robusta","Robusta",(IF($B1143="","Arabica",$B1143))&amp;" - "&amp;(IF($C1143="","Commercial",$C1143))),Variables!$B$1:$D$1,0),1))*BD1143)+(W1143*INDEX(Variables!$B$9:$D$9,IFERROR(MATCH(IF($B1143="Robusta","Robusta",(IF($B1143="","Arabica",$B1143))&amp;" - "&amp;(IF($C1143="","Commercial",$C1143))),Variables!$B$1:$D$1,0),1))*BD1143/365),""))</f>
        <v>120.42654722328153</v>
      </c>
      <c r="BJ1143" s="43">
        <f t="shared" si="54"/>
        <v>7</v>
      </c>
      <c r="BK1143" s="43">
        <f>IF($AX1143="Cancelled","",IFERROR(IF(BJ1143="","",(W1143*INDEX(Variables!$B$7:$D$7,IFERROR(MATCH(IF($B1143="Robusta","Robusta",(IF($B1143="","Arabica",$B1143))&amp;" - "&amp;(IF($C1143="","Commercial",$C1143))),Variables!$B$1:$D$1,0),1))*(BJ1143/365))+(W1143*INDEX(Variables!$B$9:$D$9,IFERROR(MATCH(IF($B1143="Robusta","Robusta",(IF($B1143="","Arabica",$B1143))&amp;" - "&amp;(IF($C1143="","Commercial",$C1143))),Variables!$B$1:$D$1,0),1))*(BJ1143/365))+(INDEX(Variables!$B$8:$D$8,IFERROR(MATCH(IF($B1143="Robusta","Robusta",(IF($B1143="","Arabica",$B1143))&amp;" - "&amp;(IF($C1143="","Commercial",$C1143))),Variables!$B$1:$D$1,0),1))*L1143/16.67)),""))</f>
        <v>184.99527685432355</v>
      </c>
    </row>
    <row r="1144" spans="1:63">
      <c r="A1144" s="13" t="s">
        <v>103</v>
      </c>
      <c r="B1144" s="13" t="s">
        <v>104</v>
      </c>
      <c r="C1144" s="13" t="s">
        <v>105</v>
      </c>
      <c r="D1144" s="31">
        <v>46134</v>
      </c>
      <c r="E1144" s="31">
        <v>46357</v>
      </c>
      <c r="F1144" s="31">
        <v>46370</v>
      </c>
      <c r="G1144" s="13">
        <v>3787568</v>
      </c>
      <c r="J1144" s="13" t="s">
        <v>107</v>
      </c>
      <c r="L1144" s="13">
        <v>320</v>
      </c>
      <c r="M1144" s="13">
        <v>1</v>
      </c>
      <c r="N1144" s="13" t="s">
        <v>2831</v>
      </c>
      <c r="O1144" s="13" t="s">
        <v>538</v>
      </c>
      <c r="P1144" s="13">
        <v>10080</v>
      </c>
      <c r="R1144" s="13" t="s">
        <v>110</v>
      </c>
      <c r="V1144" s="23">
        <v>28</v>
      </c>
      <c r="W1144" s="44">
        <f>IF($AX1144="Cancelled","",IFERROR(((V1144+INDEX(Variables!$B$6:$D$6,IFERROR(MATCH(IF($B1144="Robusta","Robusta",(IF($B1144="","Arabica",$B1144))&amp;" - "&amp;(IF($C1144="","Commercial",$C1144))),Variables!$B$1:$D$1,0),1)))*22.0462)*(L1144/16.67),""))</f>
        <v>134916.92496700658</v>
      </c>
      <c r="X1144" s="55" t="s">
        <v>37</v>
      </c>
      <c r="Y1144" s="13" t="str">
        <f>IF($AX1144="Cancelled","",IF(X1144="","",IFERROR(IF(INDEX(Variables!$B$38:$B$47,MATCH(X1144,Variables!$A$38:$A$47,0))="Yes","Yes","No"),"No")))</f>
        <v>Yes</v>
      </c>
      <c r="Z1144" s="58" t="s">
        <v>2304</v>
      </c>
      <c r="AC1144" s="13" t="str">
        <f t="shared" si="53"/>
        <v/>
      </c>
      <c r="AF1144" s="71"/>
      <c r="AG1144" s="37">
        <f>IF($AX1144="Cancelled","",IFERROR(IF(F1144="","",F1144-Variables!$B$13),""))</f>
        <v>46355</v>
      </c>
      <c r="AH1144" s="13" t="str">
        <f>IF($AX1144="Cancelled","",IFERROR(IF(AB1144="","",(AVERAGE(E1144:F1144)-AB1144)-Variables!$B$14),""))</f>
        <v/>
      </c>
      <c r="AK1144" s="14" t="str">
        <f>IF($AX1144="Cancelled","",IFERROR(IF(AJ1144="","",IF(AND(AB1144="",AF1144=""),"",IF(AF1144&gt;AB1144,AF1144+Variables!$B$15+Variables!$B$16+Variables!$B$17-AJ1144,AB1144+Variables!$B$16+Variables!$B$17-AJ1144))),""))</f>
        <v/>
      </c>
      <c r="AM1144" s="13" t="e">
        <v>#REF!</v>
      </c>
      <c r="AN1144" s="13">
        <v>0</v>
      </c>
      <c r="AP1144" s="39"/>
      <c r="AR1144" s="13" t="e">
        <v>#REF!</v>
      </c>
      <c r="AV1144" s="13" t="e">
        <v>#REF!</v>
      </c>
      <c r="AX1144" s="13" t="str">
        <f>IF(ISNUMBER(SEARCH("cancel",#REF!)),"Cancelled",IF(AND(AS1144&lt;&gt;"",AU1144&lt;&gt;"",AW1144&lt;&gt;""),"Closed","Open"))</f>
        <v>Open</v>
      </c>
      <c r="AY1144" s="15" t="str">
        <f t="shared" si="52"/>
        <v>No sailing date and No shipping advice sent and No docs dispatch date</v>
      </c>
      <c r="BD1144" s="13" t="str">
        <f>IF($AX1144="Cancelled","",IFERROR(IF(OR(AS1144="",AJ1144=""),"",(AJ1144+Variables!$B$18-AS1144)),""))</f>
        <v/>
      </c>
      <c r="BE1144" s="13" t="str">
        <f>IF($AX1144="Cancelled","",IFERROR(IF(OR(AW1144="",AS1144=""),"",(AS1144+Variables!$B$19)-AW1144),""))</f>
        <v/>
      </c>
      <c r="BF1144" s="44" t="str">
        <f>IF($AX1144="Cancelled","",IFERROR(W1144*INDEX(Variables!$B$7:$D$7,IFERROR(MATCH(IF($B1144="Robusta","Robusta",(IF($B1144="","Arabica",$B1144))&amp;" - "&amp;(IF($C1144="","Commercial",$C1144))),Variables!$B$1:$D$1,0),1))*(BE1144/365),""))</f>
        <v/>
      </c>
      <c r="BG1144" s="44" t="str">
        <f>IF($AX1144="Cancelled","",IFERROR((W1144*INDEX(Variables!$B$7:$D$7,IFERROR(MATCH(IF($B1144="Robusta","Robusta",(IF($B1144="","Arabica",$B1144))&amp;" - "&amp;(IF($C1144="","Commercial",$C1144))),Variables!$B$1:$D$1,0),1))*IFERROR(IF(AB1144="","",(AVERAGE(E1144:F1144)-AB1144)-Variables!$B$14),"")/365)+(L1144/16.67*INDEX(Variables!$B$8:$D$8,IFERROR(MATCH(IF($B1144="Robusta","Robusta",(IF($B1144="","Arabica",$B1144))&amp;" - "&amp;(IF($C1144="","Commercial",$C1144))),Variables!$B$1:$D$1,0),1))*IFERROR(IF(AB1144="","",(AVERAGE(E1144:F1144)-AB1144)-Variables!$B$14),""))+(W1144*INDEX(Variables!$B$9:$D$9,IFERROR(MATCH(IF($B1144="Robusta","Robusta",(IF($B1144="","Arabica",$B1144))&amp;" - "&amp;(IF($C1144="","Commercial",$C1144))),Variables!$B$1:$D$1,0),1))*IFERROR(IF(AB1144="","",(AVERAGE(E1144:F1144)-AB1144)-Variables!$B$14),"")/365),""))</f>
        <v/>
      </c>
      <c r="BH1144" s="44" t="str">
        <f>IF($AX1144="Cancelled","",IFERROR((W1144*INDEX(Variables!$B$7:$D$7,IFERROR(MATCH(IF($B1144="Robusta","Robusta",(IF($B1144="","Arabica",$B1144))&amp;" - "&amp;(IF($C1144="","Commercial",$C1144))),Variables!$B$1:$D$1,0),1))*AK1144/365)+(L1144/16.67*INDEX(Variables!$B$8:$D$8,IFERROR(MATCH(IF($B1144="Robusta","Robusta",(IF($B1144="","Arabica",$B1144))&amp;" - "&amp;(IF($C1144="","Commercial",$C1144))),Variables!$B$1:$D$1,0),1))*AK1144)+(W1144*INDEX(Variables!$B$9:$D$9,IFERROR(MATCH(IF($B1144="Robusta","Robusta",(IF($B1144="","Arabica",$B1144))&amp;" - "&amp;(IF($C1144="","Commercial",$C1144))),Variables!$B$1:$D$1,0),1))*AK1144/365),""))</f>
        <v/>
      </c>
      <c r="BI1144" s="44" t="str">
        <f>IF($AX1144="Cancelled","",IFERROR((W1144*INDEX(Variables!$B$7:$D$7,IFERROR(MATCH(IF($B1144="Robusta","Robusta",(IF($B1144="","Arabica",$B1144))&amp;" - "&amp;(IF($C1144="","Commercial",$C1144))),Variables!$B$1:$D$1,0),1))*BD1144/365)+(L1144/16.67*INDEX(Variables!$B$8:$D$8,IFERROR(MATCH(IF($B1144="Robusta","Robusta",(IF($B1144="","Arabica",$B1144))&amp;" - "&amp;(IF($C1144="","Commercial",$C1144))),Variables!$B$1:$D$1,0),1))*BD1144)+(W1144*INDEX(Variables!$B$9:$D$9,IFERROR(MATCH(IF($B1144="Robusta","Robusta",(IF($B1144="","Arabica",$B1144))&amp;" - "&amp;(IF($C1144="","Commercial",$C1144))),Variables!$B$1:$D$1,0),1))*BD1144/365),""))</f>
        <v/>
      </c>
      <c r="BJ1144" s="44" t="str">
        <f t="shared" si="54"/>
        <v/>
      </c>
      <c r="BK1144" s="44" t="str">
        <f>IF($AX1144="Cancelled","",IFERROR(IF(BJ1144="","",(W1144*INDEX(Variables!$B$7:$D$7,IFERROR(MATCH(IF($B1144="Robusta","Robusta",(IF($B1144="","Arabica",$B1144))&amp;" - "&amp;(IF($C1144="","Commercial",$C1144))),Variables!$B$1:$D$1,0),1))*(BJ1144/365))+(W1144*INDEX(Variables!$B$9:$D$9,IFERROR(MATCH(IF($B1144="Robusta","Robusta",(IF($B1144="","Arabica",$B1144))&amp;" - "&amp;(IF($C1144="","Commercial",$C1144))),Variables!$B$1:$D$1,0),1))*(BJ1144/365))+(INDEX(Variables!$B$8:$D$8,IFERROR(MATCH(IF($B1144="Robusta","Robusta",(IF($B1144="","Arabica",$B1144))&amp;" - "&amp;(IF($C1144="","Commercial",$C1144))),Variables!$B$1:$D$1,0),1))*L1144/16.67)),""))</f>
        <v/>
      </c>
    </row>
    <row r="1145" spans="1:63">
      <c r="A1145" s="13" t="s">
        <v>103</v>
      </c>
      <c r="B1145" s="13" t="s">
        <v>104</v>
      </c>
      <c r="C1145" s="13" t="s">
        <v>105</v>
      </c>
      <c r="D1145" s="31">
        <v>46134</v>
      </c>
      <c r="E1145" s="31">
        <v>46134</v>
      </c>
      <c r="F1145" s="31">
        <v>46150</v>
      </c>
      <c r="G1145" s="13">
        <v>3787569</v>
      </c>
      <c r="J1145" s="13" t="s">
        <v>118</v>
      </c>
      <c r="K1145" s="13">
        <v>5548</v>
      </c>
      <c r="L1145" s="13">
        <v>320</v>
      </c>
      <c r="M1145" s="13">
        <v>1</v>
      </c>
      <c r="N1145" s="13" t="s">
        <v>2838</v>
      </c>
      <c r="O1145" s="13" t="s">
        <v>1205</v>
      </c>
      <c r="P1145" s="13">
        <v>10045</v>
      </c>
      <c r="Q1145" s="13" t="s">
        <v>745</v>
      </c>
      <c r="R1145" s="13" t="s">
        <v>110</v>
      </c>
      <c r="S1145" s="13" t="s">
        <v>167</v>
      </c>
      <c r="T1145" s="13" t="s">
        <v>155</v>
      </c>
      <c r="U1145" s="13" t="s">
        <v>125</v>
      </c>
      <c r="V1145" s="23">
        <v>25</v>
      </c>
      <c r="W1145" s="44">
        <f>IF($AX1145="Cancelled","",IFERROR(((V1145+INDEX(Variables!$B$6:$D$6,IFERROR(MATCH(IF($B1145="Robusta","Robusta",(IF($B1145="","Arabica",$B1145))&amp;" - "&amp;(IF($C1145="","Commercial",$C1145))),Variables!$B$1:$D$1,0),1)))*22.0462)*(L1145/16.67),""))</f>
        <v>133647.31776844629</v>
      </c>
      <c r="X1145" s="55" t="s">
        <v>37</v>
      </c>
      <c r="Y1145" s="13" t="str">
        <f>IF($AX1145="Cancelled","",IF(X1145="","",IFERROR(IF(INDEX(Variables!$B$38:$B$47,MATCH(X1145,Variables!$A$38:$A$47,0))="Yes","Yes","No"),"No")))</f>
        <v>Yes</v>
      </c>
      <c r="Z1145" s="58">
        <v>46141</v>
      </c>
      <c r="AB1145" s="31">
        <v>46157</v>
      </c>
      <c r="AC1145" s="13" t="str">
        <f t="shared" si="53"/>
        <v>Approved</v>
      </c>
      <c r="AF1145" s="71">
        <v>46182</v>
      </c>
      <c r="AG1145" s="37">
        <f>IF($AX1145="Cancelled","",IFERROR(IF(F1145="","",F1145-Variables!$B$13),""))</f>
        <v>46135</v>
      </c>
      <c r="AH1145" s="13">
        <f>IF($AX1145="Cancelled","",IFERROR(IF(AB1145="","",(AVERAGE(E1145:F1145)-AB1145)-Variables!$B$14),""))</f>
        <v>-45</v>
      </c>
      <c r="AJ1145" s="47">
        <v>46183</v>
      </c>
      <c r="AK1145" s="14">
        <f>IF($AX1145="Cancelled","",IFERROR(IF(AJ1145="","",IF(AND(AB1145="",AF1145=""),"",IF(AF1145&gt;AB1145,AF1145+Variables!$B$15+Variables!$B$16+Variables!$B$17-AJ1145,AB1145+Variables!$B$16+Variables!$B$17-AJ1145))),""))</f>
        <v>14</v>
      </c>
      <c r="AL1145" s="48" t="s">
        <v>114</v>
      </c>
      <c r="AM1145" s="13" t="s">
        <v>168</v>
      </c>
      <c r="AN1145" s="13" t="s">
        <v>2360</v>
      </c>
      <c r="AP1145" s="39">
        <v>46201</v>
      </c>
      <c r="AR1145" s="13" t="s">
        <v>2839</v>
      </c>
      <c r="AS1145" s="31">
        <v>46201</v>
      </c>
      <c r="AU1145" s="31">
        <v>46252</v>
      </c>
      <c r="AV1145" s="13" t="e">
        <v>#REF!</v>
      </c>
      <c r="AW1145" s="31">
        <v>46252</v>
      </c>
      <c r="AX1145" s="13" t="str">
        <f>IF(ISNUMBER(SEARCH("cancel",#REF!)),"Cancelled",IF(AND(AS1145&lt;&gt;"",AU1145&lt;&gt;"",AW1145&lt;&gt;""),"Closed","Open"))</f>
        <v>Closed</v>
      </c>
      <c r="AY1145" s="15" t="str">
        <f t="shared" si="52"/>
        <v>All dates received</v>
      </c>
      <c r="BD1145" s="13">
        <f>IF($AX1145="Cancelled","",IFERROR(IF(OR(AS1145="",AJ1145=""),"",(AJ1145+Variables!$B$18-AS1145)),""))</f>
        <v>-3</v>
      </c>
      <c r="BE1145" s="13">
        <f>IF($AX1145="Cancelled","",IFERROR(IF(OR(AW1145="",AS1145=""),"",(AS1145+Variables!$B$19)-AW1145),""))</f>
        <v>-46</v>
      </c>
      <c r="BF1145" s="44">
        <f>IF($AX1145="Cancelled","",IFERROR(W1145*INDEX(Variables!$B$7:$D$7,IFERROR(MATCH(IF($B1145="Robusta","Robusta",(IF($B1145="","Arabica",$B1145))&amp;" - "&amp;(IF($C1145="","Commercial",$C1145))),Variables!$B$1:$D$1,0),1))*(BE1145/365),""))</f>
        <v>-1086.0881134114832</v>
      </c>
      <c r="BG1145" s="44">
        <f>IF($AX1145="Cancelled","",IFERROR((W1145*INDEX(Variables!$B$7:$D$7,IFERROR(MATCH(IF($B1145="Robusta","Robusta",(IF($B1145="","Arabica",$B1145))&amp;" - "&amp;(IF($C1145="","Commercial",$C1145))),Variables!$B$1:$D$1,0),1))*IFERROR(IF(AB1145="","",(AVERAGE(E1145:F1145)-AB1145)-Variables!$B$14),"")/365)+(L1145/16.67*INDEX(Variables!$B$8:$D$8,IFERROR(MATCH(IF($B1145="Robusta","Robusta",(IF($B1145="","Arabica",$B1145))&amp;" - "&amp;(IF($C1145="","Commercial",$C1145))),Variables!$B$1:$D$1,0),1))*IFERROR(IF(AB1145="","",(AVERAGE(E1145:F1145)-AB1145)-Variables!$B$14),""))+(W1145*INDEX(Variables!$B$9:$D$9,IFERROR(MATCH(IF($B1145="Robusta","Robusta",(IF($B1145="","Arabica",$B1145))&amp;" - "&amp;(IF($C1145="","Commercial",$C1145))),Variables!$B$1:$D$1,0),1))*IFERROR(IF(AB1145="","",(AVERAGE(E1145:F1145)-AB1145)-Variables!$B$14),"")/365),""))</f>
        <v>-1796.1748876934896</v>
      </c>
      <c r="BH1145" s="44">
        <f>IF($AX1145="Cancelled","",IFERROR((W1145*INDEX(Variables!$B$7:$D$7,IFERROR(MATCH(IF($B1145="Robusta","Robusta",(IF($B1145="","Arabica",$B1145))&amp;" - "&amp;(IF($C1145="","Commercial",$C1145))),Variables!$B$1:$D$1,0),1))*AK1145/365)+(L1145/16.67*INDEX(Variables!$B$8:$D$8,IFERROR(MATCH(IF($B1145="Robusta","Robusta",(IF($B1145="","Arabica",$B1145))&amp;" - "&amp;(IF($C1145="","Commercial",$C1145))),Variables!$B$1:$D$1,0),1))*AK1145)+(W1145*INDEX(Variables!$B$9:$D$9,IFERROR(MATCH(IF($B1145="Robusta","Robusta",(IF($B1145="","Arabica",$B1145))&amp;" - "&amp;(IF($C1145="","Commercial",$C1145))),Variables!$B$1:$D$1,0),1))*AK1145/365),""))</f>
        <v>558.80996506019676</v>
      </c>
      <c r="BI1145" s="44">
        <f>IF($AX1145="Cancelled","",IFERROR((W1145*INDEX(Variables!$B$7:$D$7,IFERROR(MATCH(IF($B1145="Robusta","Robusta",(IF($B1145="","Arabica",$B1145))&amp;" - "&amp;(IF($C1145="","Commercial",$C1145))),Variables!$B$1:$D$1,0),1))*BD1145/365)+(L1145/16.67*INDEX(Variables!$B$8:$D$8,IFERROR(MATCH(IF($B1145="Robusta","Robusta",(IF($B1145="","Arabica",$B1145))&amp;" - "&amp;(IF($C1145="","Commercial",$C1145))),Variables!$B$1:$D$1,0),1))*BD1145)+(W1145*INDEX(Variables!$B$9:$D$9,IFERROR(MATCH(IF($B1145="Robusta","Robusta",(IF($B1145="","Arabica",$B1145))&amp;" - "&amp;(IF($C1145="","Commercial",$C1145))),Variables!$B$1:$D$1,0),1))*BD1145/365),""))</f>
        <v>-119.7449925128993</v>
      </c>
      <c r="BJ1145" s="44">
        <f t="shared" si="54"/>
        <v>-51</v>
      </c>
      <c r="BK1145" s="44">
        <f>IF($AX1145="Cancelled","",IFERROR(IF(BJ1145="","",(W1145*INDEX(Variables!$B$7:$D$7,IFERROR(MATCH(IF($B1145="Robusta","Robusta",(IF($B1145="","Arabica",$B1145))&amp;" - "&amp;(IF($C1145="","Commercial",$C1145))),Variables!$B$1:$D$1,0),1))*(BJ1145/365))+(W1145*INDEX(Variables!$B$9:$D$9,IFERROR(MATCH(IF($B1145="Robusta","Robusta",(IF($B1145="","Arabica",$B1145))&amp;" - "&amp;(IF($C1145="","Commercial",$C1145))),Variables!$B$1:$D$1,0),1))*(BJ1145/365))+(INDEX(Variables!$B$8:$D$8,IFERROR(MATCH(IF($B1145="Robusta","Robusta",(IF($B1145="","Arabica",$B1145))&amp;" - "&amp;(IF($C1145="","Commercial",$C1145))),Variables!$B$1:$D$1,0),1))*L1145/16.67)),""))</f>
        <v>-1203.6648727192883</v>
      </c>
    </row>
    <row r="1146" spans="1:63">
      <c r="A1146" s="13" t="s">
        <v>103</v>
      </c>
      <c r="B1146" s="13" t="s">
        <v>104</v>
      </c>
      <c r="C1146" s="13" t="s">
        <v>105</v>
      </c>
      <c r="D1146" s="31">
        <v>46133</v>
      </c>
      <c r="E1146" s="31">
        <v>46327</v>
      </c>
      <c r="F1146" s="31">
        <v>46340</v>
      </c>
      <c r="G1146" s="13">
        <v>3787570</v>
      </c>
      <c r="J1146" s="13" t="s">
        <v>2315</v>
      </c>
      <c r="K1146" s="13">
        <v>5666</v>
      </c>
      <c r="L1146" s="13">
        <v>320</v>
      </c>
      <c r="M1146" s="13">
        <v>1</v>
      </c>
      <c r="N1146" s="13" t="s">
        <v>2840</v>
      </c>
      <c r="O1146" s="13" t="s">
        <v>109</v>
      </c>
      <c r="P1146" s="13">
        <v>10080</v>
      </c>
      <c r="R1146" s="13" t="s">
        <v>110</v>
      </c>
      <c r="S1146" s="13" t="s">
        <v>1457</v>
      </c>
      <c r="T1146" s="13" t="s">
        <v>112</v>
      </c>
      <c r="U1146" s="13" t="s">
        <v>113</v>
      </c>
      <c r="V1146" s="23">
        <v>30</v>
      </c>
      <c r="W1146" s="44">
        <f>IF($AX1146="Cancelled","",IFERROR(((V1146+INDEX(Variables!$B$6:$D$6,IFERROR(MATCH(IF($B1146="Robusta","Robusta",(IF($B1146="","Arabica",$B1146))&amp;" - "&amp;(IF($C1146="","Commercial",$C1146))),Variables!$B$1:$D$1,0),1)))*22.0462)*(L1146/16.67),""))</f>
        <v>135763.32976604678</v>
      </c>
      <c r="X1146" s="55" t="s">
        <v>37</v>
      </c>
      <c r="Y1146" s="13" t="str">
        <f>IF($AX1146="Cancelled","",IF(X1146="","",IFERROR(IF(INDEX(Variables!$B$38:$B$47,MATCH(X1146,Variables!$A$38:$A$47,0))="Yes","Yes","No"),"No")))</f>
        <v>Yes</v>
      </c>
      <c r="Z1146" s="58">
        <v>46282</v>
      </c>
      <c r="AB1146" s="31">
        <v>46296</v>
      </c>
      <c r="AC1146" s="13" t="str">
        <f t="shared" si="53"/>
        <v>Approved</v>
      </c>
      <c r="AF1146" s="71">
        <v>46307</v>
      </c>
      <c r="AG1146" s="37">
        <f>IF($AX1146="Cancelled","",IFERROR(IF(F1146="","",F1146-Variables!$B$13),""))</f>
        <v>46325</v>
      </c>
      <c r="AH1146" s="13">
        <f>IF($AX1146="Cancelled","",IFERROR(IF(AB1146="","",(AVERAGE(E1146:F1146)-AB1146)-Variables!$B$14),""))</f>
        <v>7.5</v>
      </c>
      <c r="AK1146" s="14" t="str">
        <f>IF($AX1146="Cancelled","",IFERROR(IF(AJ1146="","",IF(AND(AB1146="",AF1146=""),"",IF(AF1146&gt;AB1146,AF1146+Variables!$B$15+Variables!$B$16+Variables!$B$17-AJ1146,AB1146+Variables!$B$16+Variables!$B$17-AJ1146))),""))</f>
        <v/>
      </c>
      <c r="AM1146" s="13" t="s">
        <v>134</v>
      </c>
      <c r="AN1146" s="13" t="s">
        <v>2841</v>
      </c>
      <c r="AP1146" s="39"/>
      <c r="AR1146" s="13" t="s">
        <v>2842</v>
      </c>
      <c r="AV1146" s="13" t="e">
        <v>#REF!</v>
      </c>
      <c r="AX1146" s="13" t="str">
        <f>IF(ISNUMBER(SEARCH("cancel",#REF!)),"Cancelled",IF(AND(AS1146&lt;&gt;"",AU1146&lt;&gt;"",AW1146&lt;&gt;""),"Closed","Open"))</f>
        <v>Open</v>
      </c>
      <c r="AY1146" s="15" t="str">
        <f t="shared" si="52"/>
        <v>No sailing date and No shipping advice sent and No docs dispatch date</v>
      </c>
      <c r="BD1146" s="13" t="str">
        <f>IF($AX1146="Cancelled","",IFERROR(IF(OR(AS1146="",AJ1146=""),"",(AJ1146+Variables!$B$18-AS1146)),""))</f>
        <v/>
      </c>
      <c r="BE1146" s="13" t="str">
        <f>IF($AX1146="Cancelled","",IFERROR(IF(OR(AW1146="",AS1146=""),"",(AS1146+Variables!$B$19)-AW1146),""))</f>
        <v/>
      </c>
      <c r="BF1146" s="44" t="str">
        <f>IF($AX1146="Cancelled","",IFERROR(W1146*INDEX(Variables!$B$7:$D$7,IFERROR(MATCH(IF($B1146="Robusta","Robusta",(IF($B1146="","Arabica",$B1146))&amp;" - "&amp;(IF($C1146="","Commercial",$C1146))),Variables!$B$1:$D$1,0),1))*(BE1146/365),""))</f>
        <v/>
      </c>
      <c r="BG1146" s="44">
        <f>IF($AX1146="Cancelled","",IFERROR((W1146*INDEX(Variables!$B$7:$D$7,IFERROR(MATCH(IF($B1146="Robusta","Robusta",(IF($B1146="","Arabica",$B1146))&amp;" - "&amp;(IF($C1146="","Commercial",$C1146))),Variables!$B$1:$D$1,0),1))*IFERROR(IF(AB1146="","",(AVERAGE(E1146:F1146)-AB1146)-Variables!$B$14),"")/365)+(L1146/16.67*INDEX(Variables!$B$8:$D$8,IFERROR(MATCH(IF($B1146="Robusta","Robusta",(IF($B1146="","Arabica",$B1146))&amp;" - "&amp;(IF($C1146="","Commercial",$C1146))),Variables!$B$1:$D$1,0),1))*IFERROR(IF(AB1146="","",(AVERAGE(E1146:F1146)-AB1146)-Variables!$B$14),""))+(W1146*INDEX(Variables!$B$9:$D$9,IFERROR(MATCH(IF($B1146="Robusta","Robusta",(IF($B1146="","Arabica",$B1146))&amp;" - "&amp;(IF($C1146="","Commercial",$C1146))),Variables!$B$1:$D$1,0),1))*IFERROR(IF(AB1146="","",(AVERAGE(E1146:F1146)-AB1146)-Variables!$B$14),"")/365),""))</f>
        <v>302.20229257550744</v>
      </c>
      <c r="BH1146" s="44" t="str">
        <f>IF($AX1146="Cancelled","",IFERROR((W1146*INDEX(Variables!$B$7:$D$7,IFERROR(MATCH(IF($B1146="Robusta","Robusta",(IF($B1146="","Arabica",$B1146))&amp;" - "&amp;(IF($C1146="","Commercial",$C1146))),Variables!$B$1:$D$1,0),1))*AK1146/365)+(L1146/16.67*INDEX(Variables!$B$8:$D$8,IFERROR(MATCH(IF($B1146="Robusta","Robusta",(IF($B1146="","Arabica",$B1146))&amp;" - "&amp;(IF($C1146="","Commercial",$C1146))),Variables!$B$1:$D$1,0),1))*AK1146)+(W1146*INDEX(Variables!$B$9:$D$9,IFERROR(MATCH(IF($B1146="Robusta","Robusta",(IF($B1146="","Arabica",$B1146))&amp;" - "&amp;(IF($C1146="","Commercial",$C1146))),Variables!$B$1:$D$1,0),1))*AK1146/365),""))</f>
        <v/>
      </c>
      <c r="BI1146" s="44" t="str">
        <f>IF($AX1146="Cancelled","",IFERROR((W1146*INDEX(Variables!$B$7:$D$7,IFERROR(MATCH(IF($B1146="Robusta","Robusta",(IF($B1146="","Arabica",$B1146))&amp;" - "&amp;(IF($C1146="","Commercial",$C1146))),Variables!$B$1:$D$1,0),1))*BD1146/365)+(L1146/16.67*INDEX(Variables!$B$8:$D$8,IFERROR(MATCH(IF($B1146="Robusta","Robusta",(IF($B1146="","Arabica",$B1146))&amp;" - "&amp;(IF($C1146="","Commercial",$C1146))),Variables!$B$1:$D$1,0),1))*BD1146)+(W1146*INDEX(Variables!$B$9:$D$9,IFERROR(MATCH(IF($B1146="Robusta","Robusta",(IF($B1146="","Arabica",$B1146))&amp;" - "&amp;(IF($C1146="","Commercial",$C1146))),Variables!$B$1:$D$1,0),1))*BD1146/365),""))</f>
        <v/>
      </c>
      <c r="BJ1146" s="44" t="str">
        <f t="shared" si="54"/>
        <v/>
      </c>
      <c r="BK1146" s="44" t="str">
        <f>IF($AX1146="Cancelled","",IFERROR(IF(BJ1146="","",(W1146*INDEX(Variables!$B$7:$D$7,IFERROR(MATCH(IF($B1146="Robusta","Robusta",(IF($B1146="","Arabica",$B1146))&amp;" - "&amp;(IF($C1146="","Commercial",$C1146))),Variables!$B$1:$D$1,0),1))*(BJ1146/365))+(W1146*INDEX(Variables!$B$9:$D$9,IFERROR(MATCH(IF($B1146="Robusta","Robusta",(IF($B1146="","Arabica",$B1146))&amp;" - "&amp;(IF($C1146="","Commercial",$C1146))),Variables!$B$1:$D$1,0),1))*(BJ1146/365))+(INDEX(Variables!$B$8:$D$8,IFERROR(MATCH(IF($B1146="Robusta","Robusta",(IF($B1146="","Arabica",$B1146))&amp;" - "&amp;(IF($C1146="","Commercial",$C1146))),Variables!$B$1:$D$1,0),1))*L1146/16.67)),""))</f>
        <v/>
      </c>
    </row>
    <row r="1147" spans="1:63">
      <c r="A1147" s="13" t="s">
        <v>103</v>
      </c>
      <c r="B1147" s="13" t="s">
        <v>104</v>
      </c>
      <c r="C1147" s="13" t="s">
        <v>292</v>
      </c>
      <c r="D1147" s="31">
        <v>46136</v>
      </c>
      <c r="E1147" s="31">
        <v>46174</v>
      </c>
      <c r="F1147" s="31">
        <v>46203</v>
      </c>
      <c r="G1147" s="13">
        <v>3787571</v>
      </c>
      <c r="J1147" s="13" t="s">
        <v>2535</v>
      </c>
      <c r="K1147" s="13" t="s">
        <v>2843</v>
      </c>
      <c r="L1147" s="13">
        <v>88</v>
      </c>
      <c r="M1147" s="13">
        <v>0</v>
      </c>
      <c r="N1147" s="13" t="s">
        <v>2844</v>
      </c>
      <c r="O1147" s="13" t="s">
        <v>771</v>
      </c>
      <c r="P1147" s="13">
        <v>10010</v>
      </c>
      <c r="R1147" s="13" t="s">
        <v>384</v>
      </c>
      <c r="S1147" s="13" t="s">
        <v>288</v>
      </c>
      <c r="T1147" s="13" t="s">
        <v>289</v>
      </c>
      <c r="U1147" s="13" t="s">
        <v>182</v>
      </c>
      <c r="V1147" s="23">
        <v>230</v>
      </c>
      <c r="W1147" s="44">
        <f>IF($AX1147="Cancelled","",IFERROR(((V1147+INDEX(Variables!$B$6:$D$6,IFERROR(MATCH(IF($B1147="Robusta","Robusta",(IF($B1147="","Arabica",$B1147))&amp;" - "&amp;(IF($C1147="","Commercial",$C1147))),Variables!$B$1:$D$1,0),1)))*22.0462)*(L1147/16.67),""))</f>
        <v>60611.047659268137</v>
      </c>
      <c r="Y1147" s="13" t="str">
        <f>IF($AX1147="Cancelled","",IF(X1147="","",IFERROR(IF(INDEX(Variables!$B$38:$B$47,MATCH(X1147,Variables!$A$38:$A$47,0))="Yes","Yes","No"),"No")))</f>
        <v/>
      </c>
      <c r="Z1147" s="31"/>
      <c r="AC1147" s="13" t="str">
        <f t="shared" si="53"/>
        <v/>
      </c>
      <c r="AF1147" s="71">
        <v>46168</v>
      </c>
      <c r="AG1147" s="36">
        <f>IF($AX1147="Cancelled","",IFERROR(IF(F1147="","",F1147-Variables!$B$13),""))</f>
        <v>46188</v>
      </c>
      <c r="AH1147" s="13" t="str">
        <f>IF($AX1147="Cancelled","",IFERROR(IF(AB1147="","",(AVERAGE(E1147:F1147)-AB1147)-Variables!$B$14),""))</f>
        <v/>
      </c>
      <c r="AJ1147" s="47">
        <v>46196</v>
      </c>
      <c r="AK1147" s="14">
        <f>IF($AX1147="Cancelled","",IFERROR(IF(AJ1147="","",IF(AND(AB1147="",AF1147=""),"",IF(AF1147&gt;AB1147,AF1147+Variables!$B$15+Variables!$B$16+Variables!$B$17-AJ1147,AB1147+Variables!$B$16+Variables!$B$17-AJ1147))),""))</f>
        <v>-13</v>
      </c>
      <c r="AL1147" s="48" t="s">
        <v>114</v>
      </c>
      <c r="AM1147" s="13" t="s">
        <v>1848</v>
      </c>
      <c r="AN1147" s="13" t="s">
        <v>2537</v>
      </c>
      <c r="AP1147" s="39" t="e">
        <v>#N/A</v>
      </c>
      <c r="AR1147" s="13" t="s">
        <v>2538</v>
      </c>
      <c r="AS1147" s="31">
        <v>46213</v>
      </c>
      <c r="AU1147" s="31">
        <v>46223</v>
      </c>
      <c r="AV1147" s="13" t="s">
        <v>865</v>
      </c>
      <c r="AW1147" s="39">
        <v>46223</v>
      </c>
      <c r="AX1147" s="13" t="str">
        <f>IF(ISNUMBER(SEARCH("cancel",#REF!)),"Cancelled",IF(AND(AS1147&lt;&gt;"",AU1147&lt;&gt;"",AW1147&lt;&gt;""),"Closed","Open"))</f>
        <v>Closed</v>
      </c>
      <c r="AY1147" s="24" t="str">
        <f t="shared" si="52"/>
        <v>All dates received</v>
      </c>
      <c r="BD1147" s="13">
        <f>IF($AX1147="Cancelled","",IFERROR(IF(OR(AS1147="",AJ1147=""),"",(AJ1147+Variables!$B$18-AS1147)),""))</f>
        <v>-2</v>
      </c>
      <c r="BE1147" s="13">
        <f>IF($AX1147="Cancelled","",IFERROR(IF(OR(AW1147="",AS1147=""),"",(AS1147+Variables!$B$19)-AW1147),""))</f>
        <v>-5</v>
      </c>
      <c r="BF1147" s="44">
        <f>IF($AX1147="Cancelled","",IFERROR(W1147*INDEX(Variables!$B$7:$D$7,IFERROR(MATCH(IF($B1147="Robusta","Robusta",(IF($B1147="","Arabica",$B1147))&amp;" - "&amp;(IF($C1147="","Commercial",$C1147))),Variables!$B$1:$D$1,0),1))*(BE1147/365),""))</f>
        <v>-53.53881777225287</v>
      </c>
      <c r="BG1147" s="44" t="str">
        <f>IF($AX1147="Cancelled","",IFERROR((W1147*INDEX(Variables!$B$7:$D$7,IFERROR(MATCH(IF($B1147="Robusta","Robusta",(IF($B1147="","Arabica",$B1147))&amp;" - "&amp;(IF($C1147="","Commercial",$C1147))),Variables!$B$1:$D$1,0),1))*IFERROR(IF(AB1147="","",(AVERAGE(E1147:F1147)-AB1147)-Variables!$B$14),"")/365)+(L1147/16.67*INDEX(Variables!$B$8:$D$8,IFERROR(MATCH(IF($B1147="Robusta","Robusta",(IF($B1147="","Arabica",$B1147))&amp;" - "&amp;(IF($C1147="","Commercial",$C1147))),Variables!$B$1:$D$1,0),1))*IFERROR(IF(AB1147="","",(AVERAGE(E1147:F1147)-AB1147)-Variables!$B$14),""))+(W1147*INDEX(Variables!$B$9:$D$9,IFERROR(MATCH(IF($B1147="Robusta","Robusta",(IF($B1147="","Arabica",$B1147))&amp;" - "&amp;(IF($C1147="","Commercial",$C1147))),Variables!$B$1:$D$1,0),1))*IFERROR(IF(AB1147="","",(AVERAGE(E1147:F1147)-AB1147)-Variables!$B$14),"")/365),""))</f>
        <v/>
      </c>
      <c r="BH1147" s="44">
        <f>IF($AX1147="Cancelled","",IFERROR((W1147*INDEX(Variables!$B$7:$D$7,IFERROR(MATCH(IF($B1147="Robusta","Robusta",(IF($B1147="","Arabica",$B1147))&amp;" - "&amp;(IF($C1147="","Commercial",$C1147))),Variables!$B$1:$D$1,0),1))*AK1147/365)+(L1147/16.67*INDEX(Variables!$B$8:$D$8,IFERROR(MATCH(IF($B1147="Robusta","Robusta",(IF($B1147="","Arabica",$B1147))&amp;" - "&amp;(IF($C1147="","Commercial",$C1147))),Variables!$B$1:$D$1,0),1))*AK1147)+(W1147*INDEX(Variables!$B$9:$D$9,IFERROR(MATCH(IF($B1147="Robusta","Robusta",(IF($B1147="","Arabica",$B1147))&amp;" - "&amp;(IF($C1147="","Commercial",$C1147))),Variables!$B$1:$D$1,0),1))*AK1147/365),""))</f>
        <v>-198.19549478579981</v>
      </c>
      <c r="BI1147" s="44">
        <f>IF($AX1147="Cancelled","",IFERROR((W1147*INDEX(Variables!$B$7:$D$7,IFERROR(MATCH(IF($B1147="Robusta","Robusta",(IF($B1147="","Arabica",$B1147))&amp;" - "&amp;(IF($C1147="","Commercial",$C1147))),Variables!$B$1:$D$1,0),1))*BD1147/365)+(L1147/16.67*INDEX(Variables!$B$8:$D$8,IFERROR(MATCH(IF($B1147="Robusta","Robusta",(IF($B1147="","Arabica",$B1147))&amp;" - "&amp;(IF($C1147="","Commercial",$C1147))),Variables!$B$1:$D$1,0),1))*BD1147)+(W1147*INDEX(Variables!$B$9:$D$9,IFERROR(MATCH(IF($B1147="Robusta","Robusta",(IF($B1147="","Arabica",$B1147))&amp;" - "&amp;(IF($C1147="","Commercial",$C1147))),Variables!$B$1:$D$1,0),1))*BD1147/365),""))</f>
        <v>-30.491614582430735</v>
      </c>
      <c r="BJ1147" s="44">
        <f t="shared" si="54"/>
        <v>-10</v>
      </c>
      <c r="BK1147" s="44">
        <f>IF($AX1147="Cancelled","",IFERROR(IF(BJ1147="","",(W1147*INDEX(Variables!$B$7:$D$7,IFERROR(MATCH(IF($B1147="Robusta","Robusta",(IF($B1147="","Arabica",$B1147))&amp;" - "&amp;(IF($C1147="","Commercial",$C1147))),Variables!$B$1:$D$1,0),1))*(BJ1147/365))+(W1147*INDEX(Variables!$B$9:$D$9,IFERROR(MATCH(IF($B1147="Robusta","Robusta",(IF($B1147="","Arabica",$B1147))&amp;" - "&amp;(IF($C1147="","Commercial",$C1147))),Variables!$B$1:$D$1,0),1))*(BJ1147/365))+(INDEX(Variables!$B$8:$D$8,IFERROR(MATCH(IF($B1147="Robusta","Robusta",(IF($B1147="","Arabica",$B1147))&amp;" - "&amp;(IF($C1147="","Commercial",$C1147))),Variables!$B$1:$D$1,0),1))*L1147/16.67)),""))</f>
        <v>-104.05807291215366</v>
      </c>
    </row>
    <row r="1148" spans="1:63">
      <c r="A1148" s="13" t="s">
        <v>103</v>
      </c>
      <c r="B1148" s="13" t="s">
        <v>104</v>
      </c>
      <c r="C1148" s="13" t="s">
        <v>105</v>
      </c>
      <c r="D1148" s="31">
        <v>46136</v>
      </c>
      <c r="E1148" s="31">
        <v>46143</v>
      </c>
      <c r="F1148" s="31">
        <v>46173</v>
      </c>
      <c r="G1148" s="13">
        <v>3787572</v>
      </c>
      <c r="J1148" s="13" t="s">
        <v>2708</v>
      </c>
      <c r="K1148" s="13" t="s">
        <v>2845</v>
      </c>
      <c r="L1148" s="13">
        <v>640</v>
      </c>
      <c r="M1148" s="13">
        <v>2</v>
      </c>
      <c r="N1148" s="13" t="s">
        <v>2846</v>
      </c>
      <c r="O1148" s="13" t="s">
        <v>2847</v>
      </c>
      <c r="P1148" s="13">
        <v>10260</v>
      </c>
      <c r="R1148" s="13" t="s">
        <v>110</v>
      </c>
      <c r="S1148" s="13" t="s">
        <v>2848</v>
      </c>
      <c r="T1148" s="13" t="s">
        <v>112</v>
      </c>
      <c r="U1148" s="13" t="s">
        <v>113</v>
      </c>
      <c r="V1148" s="23">
        <v>-145</v>
      </c>
      <c r="W1148" s="44">
        <f>IF($AX1148="Cancelled","",IFERROR(((V1148+INDEX(Variables!$B$6:$D$6,IFERROR(MATCH(IF($B1148="Robusta","Robusta",(IF($B1148="","Arabica",$B1148))&amp;" - "&amp;(IF($C1148="","Commercial",$C1148))),Variables!$B$1:$D$1,0),1)))*22.0462)*(L1148/16.67),""))</f>
        <v>123405.81970005998</v>
      </c>
      <c r="X1148" s="55" t="s">
        <v>37</v>
      </c>
      <c r="Y1148" s="13" t="str">
        <f>IF($AX1148="Cancelled","",IF(X1148="","",IFERROR(IF(INDEX(Variables!$B$38:$B$47,MATCH(X1148,Variables!$A$38:$A$47,0))="Yes","Yes","No"),"No")))</f>
        <v>Yes</v>
      </c>
      <c r="Z1148" s="58">
        <v>46141</v>
      </c>
      <c r="AB1148" s="31">
        <v>46147</v>
      </c>
      <c r="AC1148" s="13" t="str">
        <f t="shared" si="53"/>
        <v>Approved</v>
      </c>
      <c r="AF1148" s="71">
        <v>46178</v>
      </c>
      <c r="AG1148" s="35">
        <f>IF($AX1148="Cancelled","",IFERROR(IF(F1148="","",F1148-Variables!$B$13),""))</f>
        <v>46158</v>
      </c>
      <c r="AH1148" s="13">
        <f>IF($AX1148="Cancelled","",IFERROR(IF(AB1148="","",(AVERAGE(E1148:F1148)-AB1148)-Variables!$B$14),""))</f>
        <v>-19</v>
      </c>
      <c r="AJ1148" s="47">
        <v>46183</v>
      </c>
      <c r="AK1148" s="14">
        <f>IF($AX1148="Cancelled","",IFERROR(IF(AJ1148="","",IF(AND(AB1148="",AF1148=""),"",IF(AF1148&gt;AB1148,AF1148+Variables!$B$15+Variables!$B$16+Variables!$B$17-AJ1148,AB1148+Variables!$B$16+Variables!$B$17-AJ1148))),""))</f>
        <v>10</v>
      </c>
      <c r="AL1148" s="48" t="s">
        <v>114</v>
      </c>
      <c r="AM1148" s="13" t="s">
        <v>168</v>
      </c>
      <c r="AN1148" s="13" t="s">
        <v>2360</v>
      </c>
      <c r="AP1148" s="39">
        <v>46201</v>
      </c>
      <c r="AR1148" s="13" t="s">
        <v>2849</v>
      </c>
      <c r="AS1148" s="31">
        <v>46201</v>
      </c>
      <c r="AU1148" s="31">
        <v>46258</v>
      </c>
      <c r="AV1148" s="13" t="e">
        <v>#REF!</v>
      </c>
      <c r="AW1148" s="31">
        <v>46258</v>
      </c>
      <c r="AX1148" s="13" t="str">
        <f>IF(ISNUMBER(SEARCH("cancel",#REF!)),"Cancelled",IF(AND(AS1148&lt;&gt;"",AU1148&lt;&gt;"",AW1148&lt;&gt;""),"Closed","Open"))</f>
        <v>Closed</v>
      </c>
      <c r="AY1148" s="15" t="str">
        <f t="shared" si="52"/>
        <v>All dates received</v>
      </c>
      <c r="BD1148" s="13">
        <f>IF($AX1148="Cancelled","",IFERROR(IF(OR(AS1148="",AJ1148=""),"",(AJ1148+Variables!$B$18-AS1148)),""))</f>
        <v>-3</v>
      </c>
      <c r="BE1148" s="13">
        <f>IF($AX1148="Cancelled","",IFERROR(IF(OR(AW1148="",AS1148=""),"",(AS1148+Variables!$B$19)-AW1148),""))</f>
        <v>-52</v>
      </c>
      <c r="BF1148" s="44">
        <f>IF($AX1148="Cancelled","",IFERROR(W1148*INDEX(Variables!$B$7:$D$7,IFERROR(MATCH(IF($B1148="Robusta","Robusta",(IF($B1148="","Arabica",$B1148))&amp;" - "&amp;(IF($C1148="","Commercial",$C1148))),Variables!$B$1:$D$1,0),1))*(BE1148/365),""))</f>
        <v>-1133.6682050610598</v>
      </c>
      <c r="BG1148" s="44">
        <f>IF($AX1148="Cancelled","",IFERROR((W1148*INDEX(Variables!$B$7:$D$7,IFERROR(MATCH(IF($B1148="Robusta","Robusta",(IF($B1148="","Arabica",$B1148))&amp;" - "&amp;(IF($C1148="","Commercial",$C1148))),Variables!$B$1:$D$1,0),1))*IFERROR(IF(AB1148="","",(AVERAGE(E1148:F1148)-AB1148)-Variables!$B$14),"")/365)+(L1148/16.67*INDEX(Variables!$B$8:$D$8,IFERROR(MATCH(IF($B1148="Robusta","Robusta",(IF($B1148="","Arabica",$B1148))&amp;" - "&amp;(IF($C1148="","Commercial",$C1148))),Variables!$B$1:$D$1,0),1))*IFERROR(IF(AB1148="","",(AVERAGE(E1148:F1148)-AB1148)-Variables!$B$14),""))+(W1148*INDEX(Variables!$B$9:$D$9,IFERROR(MATCH(IF($B1148="Robusta","Robusta",(IF($B1148="","Arabica",$B1148))&amp;" - "&amp;(IF($C1148="","Commercial",$C1148))),Variables!$B$1:$D$1,0),1))*IFERROR(IF(AB1148="","",(AVERAGE(E1148:F1148)-AB1148)-Variables!$B$14),"")/365),""))</f>
        <v>-1027.5650797112808</v>
      </c>
      <c r="BH1148" s="44">
        <f>IF($AX1148="Cancelled","",IFERROR((W1148*INDEX(Variables!$B$7:$D$7,IFERROR(MATCH(IF($B1148="Robusta","Robusta",(IF($B1148="","Arabica",$B1148))&amp;" - "&amp;(IF($C1148="","Commercial",$C1148))),Variables!$B$1:$D$1,0),1))*AK1148/365)+(L1148/16.67*INDEX(Variables!$B$8:$D$8,IFERROR(MATCH(IF($B1148="Robusta","Robusta",(IF($B1148="","Arabica",$B1148))&amp;" - "&amp;(IF($C1148="","Commercial",$C1148))),Variables!$B$1:$D$1,0),1))*AK1148)+(W1148*INDEX(Variables!$B$9:$D$9,IFERROR(MATCH(IF($B1148="Robusta","Robusta",(IF($B1148="","Arabica",$B1148))&amp;" - "&amp;(IF($C1148="","Commercial",$C1148))),Variables!$B$1:$D$1,0),1))*AK1148/365),""))</f>
        <v>540.82372616383202</v>
      </c>
      <c r="BI1148" s="44">
        <f>IF($AX1148="Cancelled","",IFERROR((W1148*INDEX(Variables!$B$7:$D$7,IFERROR(MATCH(IF($B1148="Robusta","Robusta",(IF($B1148="","Arabica",$B1148))&amp;" - "&amp;(IF($C1148="","Commercial",$C1148))),Variables!$B$1:$D$1,0),1))*BD1148/365)+(L1148/16.67*INDEX(Variables!$B$8:$D$8,IFERROR(MATCH(IF($B1148="Robusta","Robusta",(IF($B1148="","Arabica",$B1148))&amp;" - "&amp;(IF($C1148="","Commercial",$C1148))),Variables!$B$1:$D$1,0),1))*BD1148)+(W1148*INDEX(Variables!$B$9:$D$9,IFERROR(MATCH(IF($B1148="Robusta","Robusta",(IF($B1148="","Arabica",$B1148))&amp;" - "&amp;(IF($C1148="","Commercial",$C1148))),Variables!$B$1:$D$1,0),1))*BD1148/365),""))</f>
        <v>-162.24711784914959</v>
      </c>
      <c r="BJ1148" s="44">
        <f t="shared" si="54"/>
        <v>-28</v>
      </c>
      <c r="BK1148" s="44">
        <f>IF($AX1148="Cancelled","",IFERROR(IF(BJ1148="","",(W1148*INDEX(Variables!$B$7:$D$7,IFERROR(MATCH(IF($B1148="Robusta","Robusta",(IF($B1148="","Arabica",$B1148))&amp;" - "&amp;(IF($C1148="","Commercial",$C1148))),Variables!$B$1:$D$1,0),1))*(BJ1148/365))+(W1148*INDEX(Variables!$B$9:$D$9,IFERROR(MATCH(IF($B1148="Robusta","Robusta",(IF($B1148="","Arabica",$B1148))&amp;" - "&amp;(IF($C1148="","Commercial",$C1148))),Variables!$B$1:$D$1,0),1))*(BJ1148/365))+(INDEX(Variables!$B$8:$D$8,IFERROR(MATCH(IF($B1148="Robusta","Robusta",(IF($B1148="","Arabica",$B1148))&amp;" - "&amp;(IF($C1148="","Commercial",$C1148))),Variables!$B$1:$D$1,0),1))*L1148/16.67)),""))</f>
        <v>-586.30643325872973</v>
      </c>
    </row>
    <row r="1149" spans="1:63">
      <c r="A1149" s="13" t="s">
        <v>103</v>
      </c>
      <c r="B1149" s="13" t="s">
        <v>104</v>
      </c>
      <c r="C1149" s="13" t="s">
        <v>105</v>
      </c>
      <c r="D1149" s="31">
        <v>46136</v>
      </c>
      <c r="E1149" s="31">
        <v>46143</v>
      </c>
      <c r="F1149" s="31">
        <v>46173</v>
      </c>
      <c r="G1149" s="13">
        <v>3787572</v>
      </c>
      <c r="J1149" s="13" t="s">
        <v>2708</v>
      </c>
      <c r="K1149" s="13" t="s">
        <v>2850</v>
      </c>
      <c r="L1149" s="13">
        <v>320</v>
      </c>
      <c r="M1149" s="13">
        <v>1</v>
      </c>
      <c r="N1149" s="13" t="s">
        <v>2846</v>
      </c>
      <c r="O1149" s="13" t="s">
        <v>2847</v>
      </c>
      <c r="P1149" s="13">
        <v>10260</v>
      </c>
      <c r="R1149" s="13" t="s">
        <v>110</v>
      </c>
      <c r="S1149" s="13" t="s">
        <v>2851</v>
      </c>
      <c r="T1149" s="13" t="s">
        <v>112</v>
      </c>
      <c r="U1149" s="13" t="s">
        <v>113</v>
      </c>
      <c r="V1149" s="23">
        <v>-145</v>
      </c>
      <c r="W1149" s="44">
        <f>IF($AX1149="Cancelled","",IFERROR(((V1149+INDEX(Variables!$B$6:$D$6,IFERROR(MATCH(IF($B1149="Robusta","Robusta",(IF($B1149="","Arabica",$B1149))&amp;" - "&amp;(IF($C1149="","Commercial",$C1149))),Variables!$B$1:$D$1,0),1)))*22.0462)*(L1149/16.67),""))</f>
        <v>61702.909850029988</v>
      </c>
      <c r="X1149" s="55" t="s">
        <v>37</v>
      </c>
      <c r="Y1149" s="13" t="str">
        <f>IF($AX1149="Cancelled","",IF(X1149="","",IFERROR(IF(INDEX(Variables!$B$38:$B$47,MATCH(X1149,Variables!$A$38:$A$47,0))="Yes","Yes","No"),"No")))</f>
        <v>Yes</v>
      </c>
      <c r="Z1149" s="58">
        <v>46141</v>
      </c>
      <c r="AB1149" s="31">
        <v>46147</v>
      </c>
      <c r="AC1149" s="13" t="str">
        <f t="shared" si="53"/>
        <v>Approved</v>
      </c>
      <c r="AF1149" s="71">
        <v>46178</v>
      </c>
      <c r="AG1149" s="35">
        <f>IF($AX1149="Cancelled","",IFERROR(IF(F1149="","",F1149-Variables!$B$13),""))</f>
        <v>46158</v>
      </c>
      <c r="AH1149" s="13">
        <f>IF($AX1149="Cancelled","",IFERROR(IF(AB1149="","",(AVERAGE(E1149:F1149)-AB1149)-Variables!$B$14),""))</f>
        <v>-19</v>
      </c>
      <c r="AJ1149" s="47">
        <v>46183</v>
      </c>
      <c r="AK1149" s="14">
        <f>IF($AX1149="Cancelled","",IFERROR(IF(AJ1149="","",IF(AND(AB1149="",AF1149=""),"",IF(AF1149&gt;AB1149,AF1149+Variables!$B$15+Variables!$B$16+Variables!$B$17-AJ1149,AB1149+Variables!$B$16+Variables!$B$17-AJ1149))),""))</f>
        <v>10</v>
      </c>
      <c r="AL1149" s="48" t="s">
        <v>114</v>
      </c>
      <c r="AM1149" s="13" t="s">
        <v>168</v>
      </c>
      <c r="AN1149" s="13" t="s">
        <v>2360</v>
      </c>
      <c r="AP1149" s="39">
        <v>46201</v>
      </c>
      <c r="AR1149" s="13" t="s">
        <v>2849</v>
      </c>
      <c r="AS1149" s="31">
        <v>46201</v>
      </c>
      <c r="AU1149" s="31">
        <v>46258</v>
      </c>
      <c r="AV1149" s="13" t="e">
        <v>#REF!</v>
      </c>
      <c r="AW1149" s="31">
        <v>46258</v>
      </c>
      <c r="AX1149" s="13" t="str">
        <f>IF(ISNUMBER(SEARCH("cancel",#REF!)),"Cancelled",IF(AND(AS1149&lt;&gt;"",AU1149&lt;&gt;"",AW1149&lt;&gt;""),"Closed","Open"))</f>
        <v>Closed</v>
      </c>
      <c r="AY1149" s="15" t="str">
        <f t="shared" ref="AY1149:AY1212" si="55">IF($AX1149="Cancelled","",IF(AND(AS1149&lt;&gt;"",AU1149&lt;&gt;"",AW1149&lt;&gt;""),"All dates received",_xlfn.TEXTJOIN(" and ",TRUE(),IF(AS1149="","No sailing date",""),IF(AU1149="","No shipping advice sent",""),IF(AW1149="","No docs dispatch date",""))))</f>
        <v>All dates received</v>
      </c>
      <c r="BD1149" s="13">
        <f>IF($AX1149="Cancelled","",IFERROR(IF(OR(AS1149="",AJ1149=""),"",(AJ1149+Variables!$B$18-AS1149)),""))</f>
        <v>-3</v>
      </c>
      <c r="BE1149" s="13">
        <f>IF($AX1149="Cancelled","",IFERROR(IF(OR(AW1149="",AS1149=""),"",(AS1149+Variables!$B$19)-AW1149),""))</f>
        <v>-52</v>
      </c>
      <c r="BF1149" s="44">
        <f>IF($AX1149="Cancelled","",IFERROR(W1149*INDEX(Variables!$B$7:$D$7,IFERROR(MATCH(IF($B1149="Robusta","Robusta",(IF($B1149="","Arabica",$B1149))&amp;" - "&amp;(IF($C1149="","Commercial",$C1149))),Variables!$B$1:$D$1,0),1))*(BE1149/365),""))</f>
        <v>-566.83410253052989</v>
      </c>
      <c r="BG1149" s="44">
        <f>IF($AX1149="Cancelled","",IFERROR((W1149*INDEX(Variables!$B$7:$D$7,IFERROR(MATCH(IF($B1149="Robusta","Robusta",(IF($B1149="","Arabica",$B1149))&amp;" - "&amp;(IF($C1149="","Commercial",$C1149))),Variables!$B$1:$D$1,0),1))*IFERROR(IF(AB1149="","",(AVERAGE(E1149:F1149)-AB1149)-Variables!$B$14),"")/365)+(L1149/16.67*INDEX(Variables!$B$8:$D$8,IFERROR(MATCH(IF($B1149="Robusta","Robusta",(IF($B1149="","Arabica",$B1149))&amp;" - "&amp;(IF($C1149="","Commercial",$C1149))),Variables!$B$1:$D$1,0),1))*IFERROR(IF(AB1149="","",(AVERAGE(E1149:F1149)-AB1149)-Variables!$B$14),""))+(W1149*INDEX(Variables!$B$9:$D$9,IFERROR(MATCH(IF($B1149="Robusta","Robusta",(IF($B1149="","Arabica",$B1149))&amp;" - "&amp;(IF($C1149="","Commercial",$C1149))),Variables!$B$1:$D$1,0),1))*IFERROR(IF(AB1149="","",(AVERAGE(E1149:F1149)-AB1149)-Variables!$B$14),"")/365),""))</f>
        <v>-513.78253985564038</v>
      </c>
      <c r="BH1149" s="44">
        <f>IF($AX1149="Cancelled","",IFERROR((W1149*INDEX(Variables!$B$7:$D$7,IFERROR(MATCH(IF($B1149="Robusta","Robusta",(IF($B1149="","Arabica",$B1149))&amp;" - "&amp;(IF($C1149="","Commercial",$C1149))),Variables!$B$1:$D$1,0),1))*AK1149/365)+(L1149/16.67*INDEX(Variables!$B$8:$D$8,IFERROR(MATCH(IF($B1149="Robusta","Robusta",(IF($B1149="","Arabica",$B1149))&amp;" - "&amp;(IF($C1149="","Commercial",$C1149))),Variables!$B$1:$D$1,0),1))*AK1149)+(W1149*INDEX(Variables!$B$9:$D$9,IFERROR(MATCH(IF($B1149="Robusta","Robusta",(IF($B1149="","Arabica",$B1149))&amp;" - "&amp;(IF($C1149="","Commercial",$C1149))),Variables!$B$1:$D$1,0),1))*AK1149/365),""))</f>
        <v>270.41186308191601</v>
      </c>
      <c r="BI1149" s="44">
        <f>IF($AX1149="Cancelled","",IFERROR((W1149*INDEX(Variables!$B$7:$D$7,IFERROR(MATCH(IF($B1149="Robusta","Robusta",(IF($B1149="","Arabica",$B1149))&amp;" - "&amp;(IF($C1149="","Commercial",$C1149))),Variables!$B$1:$D$1,0),1))*BD1149/365)+(L1149/16.67*INDEX(Variables!$B$8:$D$8,IFERROR(MATCH(IF($B1149="Robusta","Robusta",(IF($B1149="","Arabica",$B1149))&amp;" - "&amp;(IF($C1149="","Commercial",$C1149))),Variables!$B$1:$D$1,0),1))*BD1149)+(W1149*INDEX(Variables!$B$9:$D$9,IFERROR(MATCH(IF($B1149="Robusta","Robusta",(IF($B1149="","Arabica",$B1149))&amp;" - "&amp;(IF($C1149="","Commercial",$C1149))),Variables!$B$1:$D$1,0),1))*BD1149/365),""))</f>
        <v>-81.123558924574795</v>
      </c>
      <c r="BJ1149" s="44">
        <f t="shared" si="54"/>
        <v>-28</v>
      </c>
      <c r="BK1149" s="44">
        <f>IF($AX1149="Cancelled","",IFERROR(IF(BJ1149="","",(W1149*INDEX(Variables!$B$7:$D$7,IFERROR(MATCH(IF($B1149="Robusta","Robusta",(IF($B1149="","Arabica",$B1149))&amp;" - "&amp;(IF($C1149="","Commercial",$C1149))),Variables!$B$1:$D$1,0),1))*(BJ1149/365))+(W1149*INDEX(Variables!$B$9:$D$9,IFERROR(MATCH(IF($B1149="Robusta","Robusta",(IF($B1149="","Arabica",$B1149))&amp;" - "&amp;(IF($C1149="","Commercial",$C1149))),Variables!$B$1:$D$1,0),1))*(BJ1149/365))+(INDEX(Variables!$B$8:$D$8,IFERROR(MATCH(IF($B1149="Robusta","Robusta",(IF($B1149="","Arabica",$B1149))&amp;" - "&amp;(IF($C1149="","Commercial",$C1149))),Variables!$B$1:$D$1,0),1))*L1149/16.67)),""))</f>
        <v>-293.15321662936486</v>
      </c>
    </row>
    <row r="1150" spans="1:63">
      <c r="A1150" s="13" t="s">
        <v>103</v>
      </c>
      <c r="B1150" s="13" t="s">
        <v>104</v>
      </c>
      <c r="C1150" s="13" t="s">
        <v>105</v>
      </c>
      <c r="D1150" s="31">
        <v>46139</v>
      </c>
      <c r="E1150" s="31">
        <v>46143</v>
      </c>
      <c r="F1150" s="31">
        <v>46173</v>
      </c>
      <c r="G1150" s="13">
        <v>3787573</v>
      </c>
      <c r="J1150" s="13" t="s">
        <v>1795</v>
      </c>
      <c r="K1150" s="13">
        <v>5539</v>
      </c>
      <c r="L1150" s="13">
        <v>600</v>
      </c>
      <c r="M1150" s="13">
        <v>2</v>
      </c>
      <c r="N1150" s="13" t="s">
        <v>2852</v>
      </c>
      <c r="O1150" s="13" t="s">
        <v>1172</v>
      </c>
      <c r="P1150" s="13">
        <v>10260</v>
      </c>
      <c r="Q1150" s="13" t="s">
        <v>745</v>
      </c>
      <c r="R1150" s="13" t="s">
        <v>110</v>
      </c>
      <c r="S1150" s="13" t="s">
        <v>1797</v>
      </c>
      <c r="T1150" s="13" t="s">
        <v>430</v>
      </c>
      <c r="U1150" s="13" t="s">
        <v>182</v>
      </c>
      <c r="V1150" s="23">
        <v>-136</v>
      </c>
      <c r="W1150" s="44">
        <f>IF($AX1150="Cancelled","",IFERROR(((V1150+INDEX(Variables!$B$6:$D$6,IFERROR(MATCH(IF($B1150="Robusta","Robusta",(IF($B1150="","Arabica",$B1150))&amp;" - "&amp;(IF($C1150="","Commercial",$C1150))),Variables!$B$1:$D$1,0),1)))*22.0462)*(L1150/16.67),""))</f>
        <v>122834.49646070784</v>
      </c>
      <c r="X1150" s="55" t="s">
        <v>37</v>
      </c>
      <c r="Y1150" s="13" t="str">
        <f>IF($AX1150="Cancelled","",IF(X1150="","",IFERROR(IF(INDEX(Variables!$B$38:$B$47,MATCH(X1150,Variables!$A$38:$A$47,0))="Yes","Yes","No"),"No")))</f>
        <v>Yes</v>
      </c>
      <c r="Z1150" s="58">
        <v>46147</v>
      </c>
      <c r="AB1150" s="31">
        <v>46183</v>
      </c>
      <c r="AC1150" s="13" t="str">
        <f t="shared" si="53"/>
        <v>Approved</v>
      </c>
      <c r="AF1150" s="71">
        <v>46188</v>
      </c>
      <c r="AG1150" s="35">
        <f>IF($AX1150="Cancelled","",IFERROR(IF(F1150="","",F1150-Variables!$B$13),""))</f>
        <v>46158</v>
      </c>
      <c r="AH1150" s="13">
        <f>IF($AX1150="Cancelled","",IFERROR(IF(AB1150="","",(AVERAGE(E1150:F1150)-AB1150)-Variables!$B$14),""))</f>
        <v>-55</v>
      </c>
      <c r="AJ1150" s="47">
        <v>46197</v>
      </c>
      <c r="AK1150" s="14">
        <f>IF($AX1150="Cancelled","",IFERROR(IF(AJ1150="","",IF(AND(AB1150="",AF1150=""),"",IF(AF1150&gt;AB1150,AF1150+Variables!$B$15+Variables!$B$16+Variables!$B$17-AJ1150,AB1150+Variables!$B$16+Variables!$B$17-AJ1150))),""))</f>
        <v>6</v>
      </c>
      <c r="AL1150" s="48" t="s">
        <v>114</v>
      </c>
      <c r="AM1150" s="13" t="s">
        <v>168</v>
      </c>
      <c r="AN1150" s="13" t="s">
        <v>2405</v>
      </c>
      <c r="AP1150" s="39">
        <v>46212</v>
      </c>
      <c r="AR1150" s="13" t="s">
        <v>2853</v>
      </c>
      <c r="AS1150" s="31">
        <v>46212</v>
      </c>
      <c r="AU1150" s="31">
        <v>46231</v>
      </c>
      <c r="AV1150" s="13" t="e">
        <v>#REF!</v>
      </c>
      <c r="AW1150" s="31">
        <v>46231</v>
      </c>
      <c r="AX1150" s="13" t="str">
        <f>IF(ISNUMBER(SEARCH("cancel",#REF!)),"Cancelled",IF(AND(AS1150&lt;&gt;"",AU1150&lt;&gt;"",AW1150&lt;&gt;""),"Closed","Open"))</f>
        <v>Closed</v>
      </c>
      <c r="AY1150" s="15" t="str">
        <f t="shared" si="55"/>
        <v>All dates received</v>
      </c>
      <c r="BD1150" s="13">
        <f>IF($AX1150="Cancelled","",IFERROR(IF(OR(AS1150="",AJ1150=""),"",(AJ1150+Variables!$B$18-AS1150)),""))</f>
        <v>0</v>
      </c>
      <c r="BE1150" s="13">
        <f>IF($AX1150="Cancelled","",IFERROR(IF(OR(AW1150="",AS1150=""),"",(AS1150+Variables!$B$19)-AW1150),""))</f>
        <v>-14</v>
      </c>
      <c r="BF1150" s="44">
        <f>IF($AX1150="Cancelled","",IFERROR(W1150*INDEX(Variables!$B$7:$D$7,IFERROR(MATCH(IF($B1150="Robusta","Robusta",(IF($B1150="","Arabica",$B1150))&amp;" - "&amp;(IF($C1150="","Commercial",$C1150))),Variables!$B$1:$D$1,0),1))*(BE1150/365),""))</f>
        <v>-303.80531492466076</v>
      </c>
      <c r="BG1150" s="44">
        <f>IF($AX1150="Cancelled","",IFERROR((W1150*INDEX(Variables!$B$7:$D$7,IFERROR(MATCH(IF($B1150="Robusta","Robusta",(IF($B1150="","Arabica",$B1150))&amp;" - "&amp;(IF($C1150="","Commercial",$C1150))),Variables!$B$1:$D$1,0),1))*IFERROR(IF(AB1150="","",(AVERAGE(E1150:F1150)-AB1150)-Variables!$B$14),"")/365)+(L1150/16.67*INDEX(Variables!$B$8:$D$8,IFERROR(MATCH(IF($B1150="Robusta","Robusta",(IF($B1150="","Arabica",$B1150))&amp;" - "&amp;(IF($C1150="","Commercial",$C1150))),Variables!$B$1:$D$1,0),1))*IFERROR(IF(AB1150="","",(AVERAGE(E1150:F1150)-AB1150)-Variables!$B$14),""))+(W1150*INDEX(Variables!$B$9:$D$9,IFERROR(MATCH(IF($B1150="Robusta","Robusta",(IF($B1150="","Arabica",$B1150))&amp;" - "&amp;(IF($C1150="","Commercial",$C1150))),Variables!$B$1:$D$1,0),1))*IFERROR(IF(AB1150="","",(AVERAGE(E1150:F1150)-AB1150)-Variables!$B$14),"")/365),""))</f>
        <v>-2858.9076675404226</v>
      </c>
      <c r="BH1150" s="44">
        <f>IF($AX1150="Cancelled","",IFERROR((W1150*INDEX(Variables!$B$7:$D$7,IFERROR(MATCH(IF($B1150="Robusta","Robusta",(IF($B1150="","Arabica",$B1150))&amp;" - "&amp;(IF($C1150="","Commercial",$C1150))),Variables!$B$1:$D$1,0),1))*AK1150/365)+(L1150/16.67*INDEX(Variables!$B$8:$D$8,IFERROR(MATCH(IF($B1150="Robusta","Robusta",(IF($B1150="","Arabica",$B1150))&amp;" - "&amp;(IF($C1150="","Commercial",$C1150))),Variables!$B$1:$D$1,0),1))*AK1150)+(W1150*INDEX(Variables!$B$9:$D$9,IFERROR(MATCH(IF($B1150="Robusta","Robusta",(IF($B1150="","Arabica",$B1150))&amp;" - "&amp;(IF($C1150="","Commercial",$C1150))),Variables!$B$1:$D$1,0),1))*AK1150/365),""))</f>
        <v>311.88083645895523</v>
      </c>
      <c r="BI1150" s="44">
        <f>IF($AX1150="Cancelled","",IFERROR((W1150*INDEX(Variables!$B$7:$D$7,IFERROR(MATCH(IF($B1150="Robusta","Robusta",(IF($B1150="","Arabica",$B1150))&amp;" - "&amp;(IF($C1150="","Commercial",$C1150))),Variables!$B$1:$D$1,0),1))*BD1150/365)+(L1150/16.67*INDEX(Variables!$B$8:$D$8,IFERROR(MATCH(IF($B1150="Robusta","Robusta",(IF($B1150="","Arabica",$B1150))&amp;" - "&amp;(IF($C1150="","Commercial",$C1150))),Variables!$B$1:$D$1,0),1))*BD1150)+(W1150*INDEX(Variables!$B$9:$D$9,IFERROR(MATCH(IF($B1150="Robusta","Robusta",(IF($B1150="","Arabica",$B1150))&amp;" - "&amp;(IF($C1150="","Commercial",$C1150))),Variables!$B$1:$D$1,0),1))*BD1150/365),""))</f>
        <v>0</v>
      </c>
      <c r="BJ1150" s="44">
        <f t="shared" si="54"/>
        <v>-39</v>
      </c>
      <c r="BK1150" s="44">
        <f>IF($AX1150="Cancelled","",IFERROR(IF(BJ1150="","",(W1150*INDEX(Variables!$B$7:$D$7,IFERROR(MATCH(IF($B1150="Robusta","Robusta",(IF($B1150="","Arabica",$B1150))&amp;" - "&amp;(IF($C1150="","Commercial",$C1150))),Variables!$B$1:$D$1,0),1))*(BJ1150/365))+(W1150*INDEX(Variables!$B$9:$D$9,IFERROR(MATCH(IF($B1150="Robusta","Robusta",(IF($B1150="","Arabica",$B1150))&amp;" - "&amp;(IF($C1150="","Commercial",$C1150))),Variables!$B$1:$D$1,0),1))*(BJ1150/365))+(INDEX(Variables!$B$8:$D$8,IFERROR(MATCH(IF($B1150="Robusta","Robusta",(IF($B1150="","Arabica",$B1150))&amp;" - "&amp;(IF($C1150="","Commercial",$C1150))),Variables!$B$1:$D$1,0),1))*L1150/16.67)),""))</f>
        <v>-827.22543698320897</v>
      </c>
    </row>
    <row r="1151" spans="1:63">
      <c r="A1151" s="13" t="s">
        <v>103</v>
      </c>
      <c r="B1151" s="13" t="s">
        <v>104</v>
      </c>
      <c r="C1151" s="13" t="s">
        <v>105</v>
      </c>
      <c r="D1151" s="31">
        <v>46139</v>
      </c>
      <c r="E1151" s="31">
        <v>46174</v>
      </c>
      <c r="F1151" s="31">
        <v>46203</v>
      </c>
      <c r="G1151" s="13">
        <v>3787574</v>
      </c>
      <c r="J1151" s="13" t="s">
        <v>1795</v>
      </c>
      <c r="K1151" s="13">
        <v>5573</v>
      </c>
      <c r="L1151" s="13">
        <v>1200</v>
      </c>
      <c r="M1151" s="13">
        <v>4</v>
      </c>
      <c r="N1151" s="13" t="s">
        <v>2854</v>
      </c>
      <c r="O1151" s="13" t="s">
        <v>1172</v>
      </c>
      <c r="P1151" s="13">
        <v>10260</v>
      </c>
      <c r="Q1151" s="13" t="s">
        <v>745</v>
      </c>
      <c r="R1151" s="13" t="s">
        <v>110</v>
      </c>
      <c r="S1151" s="13" t="s">
        <v>1797</v>
      </c>
      <c r="T1151" s="13" t="s">
        <v>430</v>
      </c>
      <c r="U1151" s="13" t="s">
        <v>182</v>
      </c>
      <c r="V1151" s="23">
        <v>-136</v>
      </c>
      <c r="W1151" s="44">
        <f>IF($AX1151="Cancelled","",IFERROR(((V1151+INDEX(Variables!$B$6:$D$6,IFERROR(MATCH(IF($B1151="Robusta","Robusta",(IF($B1151="","Arabica",$B1151))&amp;" - "&amp;(IF($C1151="","Commercial",$C1151))),Variables!$B$1:$D$1,0),1)))*22.0462)*(L1151/16.67),""))</f>
        <v>245668.99292141569</v>
      </c>
      <c r="X1151" s="55" t="s">
        <v>37</v>
      </c>
      <c r="Y1151" s="13" t="str">
        <f>IF($AX1151="Cancelled","",IF(X1151="","",IFERROR(IF(INDEX(Variables!$B$38:$B$47,MATCH(X1151,Variables!$A$38:$A$47,0))="Yes","Yes","No"),"No")))</f>
        <v>Yes</v>
      </c>
      <c r="Z1151" s="58">
        <v>46147</v>
      </c>
      <c r="AB1151" s="31">
        <v>46171</v>
      </c>
      <c r="AC1151" s="13" t="str">
        <f t="shared" si="53"/>
        <v>Approved</v>
      </c>
      <c r="AF1151" s="71">
        <v>46217</v>
      </c>
      <c r="AG1151" s="35">
        <f>IF($AX1151="Cancelled","",IFERROR(IF(F1151="","",F1151-Variables!$B$13),""))</f>
        <v>46188</v>
      </c>
      <c r="AH1151" s="13">
        <f>IF($AX1151="Cancelled","",IFERROR(IF(AB1151="","",(AVERAGE(E1151:F1151)-AB1151)-Variables!$B$14),""))</f>
        <v>-12.5</v>
      </c>
      <c r="AJ1151" s="47">
        <v>46218</v>
      </c>
      <c r="AK1151" s="14">
        <f>IF($AX1151="Cancelled","",IFERROR(IF(AJ1151="","",IF(AND(AB1151="",AF1151=""),"",IF(AF1151&gt;AB1151,AF1151+Variables!$B$15+Variables!$B$16+Variables!$B$17-AJ1151,AB1151+Variables!$B$16+Variables!$B$17-AJ1151))),""))</f>
        <v>14</v>
      </c>
      <c r="AL1151" s="48" t="s">
        <v>114</v>
      </c>
      <c r="AM1151" s="13" t="s">
        <v>115</v>
      </c>
      <c r="AN1151" s="13" t="s">
        <v>2855</v>
      </c>
      <c r="AP1151" s="39">
        <v>46228</v>
      </c>
      <c r="AR1151" s="13">
        <v>274081863</v>
      </c>
      <c r="AS1151" s="31">
        <v>46228</v>
      </c>
      <c r="AU1151" s="31">
        <v>46261</v>
      </c>
      <c r="AV1151" s="13" t="s">
        <v>865</v>
      </c>
      <c r="AW1151" s="39">
        <v>46261</v>
      </c>
      <c r="AX1151" s="13" t="str">
        <f>IF(ISNUMBER(SEARCH("cancel",#REF!)),"Cancelled",IF(AND(AS1151&lt;&gt;"",AU1151&lt;&gt;"",AW1151&lt;&gt;""),"Closed","Open"))</f>
        <v>Closed</v>
      </c>
      <c r="AY1151" s="15" t="str">
        <f t="shared" si="55"/>
        <v>All dates received</v>
      </c>
      <c r="AZ1151" s="13" t="s">
        <v>3053</v>
      </c>
      <c r="BA1151" s="13" t="s">
        <v>3048</v>
      </c>
      <c r="BB1151" s="13" t="s">
        <v>3049</v>
      </c>
      <c r="BC1151" s="13" t="s">
        <v>3302</v>
      </c>
      <c r="BD1151" s="13">
        <f>IF($AX1151="Cancelled","",IFERROR(IF(OR(AS1151="",AJ1151=""),"",(AJ1151+Variables!$B$18-AS1151)),""))</f>
        <v>5</v>
      </c>
      <c r="BE1151" s="13">
        <f>IF($AX1151="Cancelled","",IFERROR(IF(OR(AW1151="",AS1151=""),"",(AS1151+Variables!$B$19)-AW1151),""))</f>
        <v>-28</v>
      </c>
      <c r="BF1151" s="44">
        <f>IF($AX1151="Cancelled","",IFERROR(W1151*INDEX(Variables!$B$7:$D$7,IFERROR(MATCH(IF($B1151="Robusta","Robusta",(IF($B1151="","Arabica",$B1151))&amp;" - "&amp;(IF($C1151="","Commercial",$C1151))),Variables!$B$1:$D$1,0),1))*(BE1151/365),""))</f>
        <v>-1215.2212596986431</v>
      </c>
      <c r="BG1151" s="44">
        <f>IF($AX1151="Cancelled","",IFERROR((W1151*INDEX(Variables!$B$7:$D$7,IFERROR(MATCH(IF($B1151="Robusta","Robusta",(IF($B1151="","Arabica",$B1151))&amp;" - "&amp;(IF($C1151="","Commercial",$C1151))),Variables!$B$1:$D$1,0),1))*IFERROR(IF(AB1151="","",(AVERAGE(E1151:F1151)-AB1151)-Variables!$B$14),"")/365)+(L1151/16.67*INDEX(Variables!$B$8:$D$8,IFERROR(MATCH(IF($B1151="Robusta","Robusta",(IF($B1151="","Arabica",$B1151))&amp;" - "&amp;(IF($C1151="","Commercial",$C1151))),Variables!$B$1:$D$1,0),1))*IFERROR(IF(AB1151="","",(AVERAGE(E1151:F1151)-AB1151)-Variables!$B$14),""))+(W1151*INDEX(Variables!$B$9:$D$9,IFERROR(MATCH(IF($B1151="Robusta","Robusta",(IF($B1151="","Arabica",$B1151))&amp;" - "&amp;(IF($C1151="","Commercial",$C1151))),Variables!$B$1:$D$1,0),1))*IFERROR(IF(AB1151="","",(AVERAGE(E1151:F1151)-AB1151)-Variables!$B$14),"")/365),""))</f>
        <v>-1299.5034852456467</v>
      </c>
      <c r="BH1151" s="44">
        <f>IF($AX1151="Cancelled","",IFERROR((W1151*INDEX(Variables!$B$7:$D$7,IFERROR(MATCH(IF($B1151="Robusta","Robusta",(IF($B1151="","Arabica",$B1151))&amp;" - "&amp;(IF($C1151="","Commercial",$C1151))),Variables!$B$1:$D$1,0),1))*AK1151/365)+(L1151/16.67*INDEX(Variables!$B$8:$D$8,IFERROR(MATCH(IF($B1151="Robusta","Robusta",(IF($B1151="","Arabica",$B1151))&amp;" - "&amp;(IF($C1151="","Commercial",$C1151))),Variables!$B$1:$D$1,0),1))*AK1151)+(W1151*INDEX(Variables!$B$9:$D$9,IFERROR(MATCH(IF($B1151="Robusta","Robusta",(IF($B1151="","Arabica",$B1151))&amp;" - "&amp;(IF($C1151="","Commercial",$C1151))),Variables!$B$1:$D$1,0),1))*AK1151/365),""))</f>
        <v>1455.4439034751242</v>
      </c>
      <c r="BI1151" s="44">
        <f>IF($AX1151="Cancelled","",IFERROR((W1151*INDEX(Variables!$B$7:$D$7,IFERROR(MATCH(IF($B1151="Robusta","Robusta",(IF($B1151="","Arabica",$B1151))&amp;" - "&amp;(IF($C1151="","Commercial",$C1151))),Variables!$B$1:$D$1,0),1))*BD1151/365)+(L1151/16.67*INDEX(Variables!$B$8:$D$8,IFERROR(MATCH(IF($B1151="Robusta","Robusta",(IF($B1151="","Arabica",$B1151))&amp;" - "&amp;(IF($C1151="","Commercial",$C1151))),Variables!$B$1:$D$1,0),1))*BD1151)+(W1151*INDEX(Variables!$B$9:$D$9,IFERROR(MATCH(IF($B1151="Robusta","Robusta",(IF($B1151="","Arabica",$B1151))&amp;" - "&amp;(IF($C1151="","Commercial",$C1151))),Variables!$B$1:$D$1,0),1))*BD1151/365),""))</f>
        <v>519.8013940982587</v>
      </c>
      <c r="BJ1151" s="44">
        <f t="shared" si="54"/>
        <v>-25</v>
      </c>
      <c r="BK1151" s="44">
        <f>IF($AX1151="Cancelled","",IFERROR(IF(BJ1151="","",(W1151*INDEX(Variables!$B$7:$D$7,IFERROR(MATCH(IF($B1151="Robusta","Robusta",(IF($B1151="","Arabica",$B1151))&amp;" - "&amp;(IF($C1151="","Commercial",$C1151))),Variables!$B$1:$D$1,0),1))*(BJ1151/365))+(W1151*INDEX(Variables!$B$9:$D$9,IFERROR(MATCH(IF($B1151="Robusta","Robusta",(IF($B1151="","Arabica",$B1151))&amp;" - "&amp;(IF($C1151="","Commercial",$C1151))),Variables!$B$1:$D$1,0),1))*(BJ1151/365))+(INDEX(Variables!$B$8:$D$8,IFERROR(MATCH(IF($B1151="Robusta","Robusta",(IF($B1151="","Arabica",$B1151))&amp;" - "&amp;(IF($C1151="","Commercial",$C1151))),Variables!$B$1:$D$1,0),1))*L1151/16.67)),""))</f>
        <v>-1039.0069704912933</v>
      </c>
    </row>
    <row r="1152" spans="1:63">
      <c r="A1152" s="13" t="s">
        <v>103</v>
      </c>
      <c r="B1152" s="13" t="s">
        <v>104</v>
      </c>
      <c r="C1152" s="13" t="s">
        <v>105</v>
      </c>
      <c r="D1152" s="31">
        <v>46140</v>
      </c>
      <c r="E1152" s="31">
        <v>46140</v>
      </c>
      <c r="F1152" s="31">
        <v>46173</v>
      </c>
      <c r="G1152" s="13">
        <v>3787575</v>
      </c>
      <c r="J1152" s="13" t="s">
        <v>2856</v>
      </c>
      <c r="K1152" s="13">
        <v>5541</v>
      </c>
      <c r="L1152" s="13">
        <v>320</v>
      </c>
      <c r="M1152" s="13">
        <v>1</v>
      </c>
      <c r="N1152" s="13" t="s">
        <v>2857</v>
      </c>
      <c r="O1152" s="13" t="s">
        <v>775</v>
      </c>
      <c r="P1152" s="13">
        <v>10030</v>
      </c>
      <c r="R1152" s="13" t="s">
        <v>110</v>
      </c>
      <c r="S1152" s="13" t="s">
        <v>154</v>
      </c>
      <c r="T1152" s="13" t="s">
        <v>155</v>
      </c>
      <c r="U1152" s="13" t="s">
        <v>125</v>
      </c>
      <c r="V1152" s="23">
        <v>88</v>
      </c>
      <c r="W1152" s="44">
        <f>IF($AX1152="Cancelled","",IFERROR(((V1152+INDEX(Variables!$B$6:$D$6,IFERROR(MATCH(IF($B1152="Robusta","Robusta",(IF($B1152="","Arabica",$B1152))&amp;" - "&amp;(IF($C1152="","Commercial",$C1152))),Variables!$B$1:$D$1,0),1)))*22.0462)*(L1152/16.67),""))</f>
        <v>160309.06893821232</v>
      </c>
      <c r="X1152" s="55" t="s">
        <v>37</v>
      </c>
      <c r="Y1152" s="13" t="str">
        <f>IF($AX1152="Cancelled","",IF(X1152="","",IFERROR(IF(INDEX(Variables!$B$38:$B$47,MATCH(X1152,Variables!$A$38:$A$47,0))="Yes","Yes","No"),"No")))</f>
        <v>Yes</v>
      </c>
      <c r="Z1152" s="58">
        <v>46157</v>
      </c>
      <c r="AB1152" s="31">
        <v>46163</v>
      </c>
      <c r="AC1152" s="13" t="str">
        <f t="shared" si="53"/>
        <v>Approved</v>
      </c>
      <c r="AF1152" s="71">
        <v>46168</v>
      </c>
      <c r="AG1152" s="35">
        <f>IF($AX1152="Cancelled","",IFERROR(IF(F1152="","",F1152-Variables!$B$13),""))</f>
        <v>46158</v>
      </c>
      <c r="AH1152" s="13">
        <f>IF($AX1152="Cancelled","",IFERROR(IF(AB1152="","",(AVERAGE(E1152:F1152)-AB1152)-Variables!$B$14),""))</f>
        <v>-36.5</v>
      </c>
      <c r="AJ1152" s="47">
        <v>46192</v>
      </c>
      <c r="AK1152" s="14">
        <f>IF($AX1152="Cancelled","",IFERROR(IF(AJ1152="","",IF(AND(AB1152="",AF1152=""),"",IF(AF1152&gt;AB1152,AF1152+Variables!$B$15+Variables!$B$16+Variables!$B$17-AJ1152,AB1152+Variables!$B$16+Variables!$B$17-AJ1152))),""))</f>
        <v>-9</v>
      </c>
      <c r="AL1152" s="48" t="s">
        <v>114</v>
      </c>
      <c r="AM1152" s="13" t="s">
        <v>1840</v>
      </c>
      <c r="AN1152" s="13" t="s">
        <v>2191</v>
      </c>
      <c r="AP1152" s="39">
        <v>46213</v>
      </c>
      <c r="AR1152" s="13" t="s">
        <v>2858</v>
      </c>
      <c r="AS1152" s="31">
        <v>46213</v>
      </c>
      <c r="AU1152" s="31">
        <v>46260</v>
      </c>
      <c r="AV1152" s="13" t="e">
        <v>#REF!</v>
      </c>
      <c r="AW1152" s="31">
        <v>46260</v>
      </c>
      <c r="AX1152" s="13" t="str">
        <f>IF(ISNUMBER(SEARCH("cancel",#REF!)),"Cancelled",IF(AND(AS1152&lt;&gt;"",AU1152&lt;&gt;"",AW1152&lt;&gt;""),"Closed","Open"))</f>
        <v>Closed</v>
      </c>
      <c r="AY1152" s="15" t="str">
        <f t="shared" si="55"/>
        <v>All dates received</v>
      </c>
      <c r="BD1152" s="13">
        <f>IF($AX1152="Cancelled","",IFERROR(IF(OR(AS1152="",AJ1152=""),"",(AJ1152+Variables!$B$18-AS1152)),""))</f>
        <v>-6</v>
      </c>
      <c r="BE1152" s="13">
        <f>IF($AX1152="Cancelled","",IFERROR(IF(OR(AW1152="",AS1152=""),"",(AS1152+Variables!$B$19)-AW1152),""))</f>
        <v>-42</v>
      </c>
      <c r="BF1152" s="44">
        <f>IF($AX1152="Cancelled","",IFERROR(W1152*INDEX(Variables!$B$7:$D$7,IFERROR(MATCH(IF($B1152="Robusta","Robusta",(IF($B1152="","Arabica",$B1152))&amp;" - "&amp;(IF($C1152="","Commercial",$C1152))),Variables!$B$1:$D$1,0),1))*(BE1152/365),""))</f>
        <v>-1189.4723854621343</v>
      </c>
      <c r="BG1152" s="44">
        <f>IF($AX1152="Cancelled","",IFERROR((W1152*INDEX(Variables!$B$7:$D$7,IFERROR(MATCH(IF($B1152="Robusta","Robusta",(IF($B1152="","Arabica",$B1152))&amp;" - "&amp;(IF($C1152="","Commercial",$C1152))),Variables!$B$1:$D$1,0),1))*IFERROR(IF(AB1152="","",(AVERAGE(E1152:F1152)-AB1152)-Variables!$B$14),"")/365)+(L1152/16.67*INDEX(Variables!$B$8:$D$8,IFERROR(MATCH(IF($B1152="Robusta","Robusta",(IF($B1152="","Arabica",$B1152))&amp;" - "&amp;(IF($C1152="","Commercial",$C1152))),Variables!$B$1:$D$1,0),1))*IFERROR(IF(AB1152="","",(AVERAGE(E1152:F1152)-AB1152)-Variables!$B$14),""))+(W1152*INDEX(Variables!$B$9:$D$9,IFERROR(MATCH(IF($B1152="Robusta","Robusta",(IF($B1152="","Arabica",$B1152))&amp;" - "&amp;(IF($C1152="","Commercial",$C1152))),Variables!$B$1:$D$1,0),1))*IFERROR(IF(AB1152="","",(AVERAGE(E1152:F1152)-AB1152)-Variables!$B$14),"")/365),""))</f>
        <v>-1631.0346374095932</v>
      </c>
      <c r="BH1152" s="44">
        <f>IF($AX1152="Cancelled","",IFERROR((W1152*INDEX(Variables!$B$7:$D$7,IFERROR(MATCH(IF($B1152="Robusta","Robusta",(IF($B1152="","Arabica",$B1152))&amp;" - "&amp;(IF($C1152="","Commercial",$C1152))),Variables!$B$1:$D$1,0),1))*AK1152/365)+(L1152/16.67*INDEX(Variables!$B$8:$D$8,IFERROR(MATCH(IF($B1152="Robusta","Robusta",(IF($B1152="","Arabica",$B1152))&amp;" - "&amp;(IF($C1152="","Commercial",$C1152))),Variables!$B$1:$D$1,0),1))*AK1152)+(W1152*INDEX(Variables!$B$9:$D$9,IFERROR(MATCH(IF($B1152="Robusta","Robusta",(IF($B1152="","Arabica",$B1152))&amp;" - "&amp;(IF($C1152="","Commercial",$C1152))),Variables!$B$1:$D$1,0),1))*AK1152/365),""))</f>
        <v>-402.17292429277637</v>
      </c>
      <c r="BI1152" s="44">
        <f>IF($AX1152="Cancelled","",IFERROR((W1152*INDEX(Variables!$B$7:$D$7,IFERROR(MATCH(IF($B1152="Robusta","Robusta",(IF($B1152="","Arabica",$B1152))&amp;" - "&amp;(IF($C1152="","Commercial",$C1152))),Variables!$B$1:$D$1,0),1))*BD1152/365)+(L1152/16.67*INDEX(Variables!$B$8:$D$8,IFERROR(MATCH(IF($B1152="Robusta","Robusta",(IF($B1152="","Arabica",$B1152))&amp;" - "&amp;(IF($C1152="","Commercial",$C1152))),Variables!$B$1:$D$1,0),1))*BD1152)+(W1152*INDEX(Variables!$B$9:$D$9,IFERROR(MATCH(IF($B1152="Robusta","Robusta",(IF($B1152="","Arabica",$B1152))&amp;" - "&amp;(IF($C1152="","Commercial",$C1152))),Variables!$B$1:$D$1,0),1))*BD1152/365),""))</f>
        <v>-268.11528286185091</v>
      </c>
      <c r="BJ1152" s="44">
        <f t="shared" si="54"/>
        <v>-40</v>
      </c>
      <c r="BK1152" s="44">
        <f>IF($AX1152="Cancelled","",IFERROR(IF(BJ1152="","",(W1152*INDEX(Variables!$B$7:$D$7,IFERROR(MATCH(IF($B1152="Robusta","Robusta",(IF($B1152="","Arabica",$B1152))&amp;" - "&amp;(IF($C1152="","Commercial",$C1152))),Variables!$B$1:$D$1,0),1))*(BJ1152/365))+(W1152*INDEX(Variables!$B$9:$D$9,IFERROR(MATCH(IF($B1152="Robusta","Robusta",(IF($B1152="","Arabica",$B1152))&amp;" - "&amp;(IF($C1152="","Commercial",$C1152))),Variables!$B$1:$D$1,0),1))*(BJ1152/365))+(INDEX(Variables!$B$8:$D$8,IFERROR(MATCH(IF($B1152="Robusta","Robusta",(IF($B1152="","Arabica",$B1152))&amp;" - "&amp;(IF($C1152="","Commercial",$C1152))),Variables!$B$1:$D$1,0),1))*L1152/16.67)),""))</f>
        <v>-1131.4352190790059</v>
      </c>
    </row>
    <row r="1153" spans="1:63">
      <c r="A1153" s="13" t="s">
        <v>103</v>
      </c>
      <c r="B1153" s="13" t="s">
        <v>104</v>
      </c>
      <c r="C1153" s="13" t="s">
        <v>105</v>
      </c>
      <c r="D1153" s="31">
        <v>46142</v>
      </c>
      <c r="E1153" s="31">
        <v>46235</v>
      </c>
      <c r="F1153" s="31">
        <v>46265</v>
      </c>
      <c r="G1153" s="13">
        <v>3787576</v>
      </c>
      <c r="J1153" s="13" t="s">
        <v>447</v>
      </c>
      <c r="K1153" s="13" t="s">
        <v>2859</v>
      </c>
      <c r="L1153" s="13">
        <v>160</v>
      </c>
      <c r="M1153" s="13">
        <v>1</v>
      </c>
      <c r="N1153" s="13" t="s">
        <v>247</v>
      </c>
      <c r="O1153" s="13" t="s">
        <v>120</v>
      </c>
      <c r="P1153" s="13">
        <v>10070</v>
      </c>
      <c r="R1153" s="13" t="s">
        <v>239</v>
      </c>
      <c r="S1153" s="13" t="s">
        <v>154</v>
      </c>
      <c r="T1153" s="13" t="s">
        <v>155</v>
      </c>
      <c r="U1153" s="13" t="s">
        <v>125</v>
      </c>
      <c r="V1153" s="23">
        <v>37</v>
      </c>
      <c r="W1153" s="44">
        <f>IF($AX1153="Cancelled","",IFERROR(((V1153+INDEX(Variables!$B$6:$D$6,IFERROR(MATCH(IF($B1153="Robusta","Robusta",(IF($B1153="","Arabica",$B1153))&amp;" - "&amp;(IF($C1153="","Commercial",$C1153))),Variables!$B$1:$D$1,0),1)))*22.0462)*(L1153/16.67),""))</f>
        <v>69362.873281343724</v>
      </c>
      <c r="X1153" s="55" t="s">
        <v>37</v>
      </c>
      <c r="Y1153" s="13" t="str">
        <f>IF($AX1153="Cancelled","",IF(X1153="","",IFERROR(IF(INDEX(Variables!$B$38:$B$47,MATCH(X1153,Variables!$A$38:$A$47,0))="Yes","Yes","No"),"No")))</f>
        <v>Yes</v>
      </c>
      <c r="Z1153" s="58">
        <v>46227</v>
      </c>
      <c r="AB1153" s="31">
        <v>46232</v>
      </c>
      <c r="AC1153" s="13" t="str">
        <f t="shared" si="53"/>
        <v>Approved</v>
      </c>
      <c r="AF1153" s="71">
        <v>46246</v>
      </c>
      <c r="AG1153" s="35">
        <f>IF($AX1153="Cancelled","",IFERROR(IF(F1153="","",F1153-Variables!$B$13),""))</f>
        <v>46250</v>
      </c>
      <c r="AH1153" s="13">
        <f>IF($AX1153="Cancelled","",IFERROR(IF(AB1153="","",(AVERAGE(E1153:F1153)-AB1153)-Variables!$B$14),""))</f>
        <v>-12</v>
      </c>
      <c r="AJ1153" s="47">
        <v>46253</v>
      </c>
      <c r="AK1153" s="14">
        <f>IF($AX1153="Cancelled","",IFERROR(IF(AJ1153="","",IF(AND(AB1153="",AF1153=""),"",IF(AF1153&gt;AB1153,AF1153+Variables!$B$15+Variables!$B$16+Variables!$B$17-AJ1153,AB1153+Variables!$B$16+Variables!$B$17-AJ1153))),""))</f>
        <v>8</v>
      </c>
      <c r="AL1153" s="48" t="s">
        <v>114</v>
      </c>
      <c r="AM1153" s="13" t="s">
        <v>168</v>
      </c>
      <c r="AN1153" s="13" t="s">
        <v>1683</v>
      </c>
      <c r="AP1153" s="39">
        <v>46273</v>
      </c>
      <c r="AR1153" s="13" t="s">
        <v>2860</v>
      </c>
      <c r="AS1153" s="31">
        <v>46273</v>
      </c>
      <c r="AU1153" s="39">
        <v>46295</v>
      </c>
      <c r="AV1153" s="13" t="s">
        <v>865</v>
      </c>
      <c r="AW1153" s="39">
        <v>46295</v>
      </c>
      <c r="AX1153" s="13" t="str">
        <f>IF(ISNUMBER(SEARCH("cancel",#REF!)),"Cancelled",IF(AND(AS1153&lt;&gt;"",AU1153&lt;&gt;"",AW1153&lt;&gt;""),"Closed","Open"))</f>
        <v>Closed</v>
      </c>
      <c r="AY1153" s="15" t="str">
        <f t="shared" si="55"/>
        <v>All dates received</v>
      </c>
      <c r="AZ1153" s="13" t="s">
        <v>3053</v>
      </c>
      <c r="BA1153" s="13" t="s">
        <v>3048</v>
      </c>
      <c r="BB1153" s="13" t="s">
        <v>3049</v>
      </c>
      <c r="BC1153" s="13" t="s">
        <v>3048</v>
      </c>
      <c r="BD1153" s="13">
        <f>IF($AX1153="Cancelled","",IFERROR(IF(OR(AS1153="",AJ1153=""),"",(AJ1153+Variables!$B$18-AS1153)),""))</f>
        <v>-5</v>
      </c>
      <c r="BE1153" s="13">
        <f>IF($AX1153="Cancelled","",IFERROR(IF(OR(AW1153="",AS1153=""),"",(AS1153+Variables!$B$19)-AW1153),""))</f>
        <v>-17</v>
      </c>
      <c r="BF1153" s="44">
        <f>IF($AX1153="Cancelled","",IFERROR(W1153*INDEX(Variables!$B$7:$D$7,IFERROR(MATCH(IF($B1153="Robusta","Robusta",(IF($B1153="","Arabica",$B1153))&amp;" - "&amp;(IF($C1153="","Commercial",$C1153))),Variables!$B$1:$D$1,0),1))*(BE1153/365),""))</f>
        <v>-208.31616807544785</v>
      </c>
      <c r="BG1153" s="44">
        <f>IF($AX1153="Cancelled","",IFERROR((W1153*INDEX(Variables!$B$7:$D$7,IFERROR(MATCH(IF($B1153="Robusta","Robusta",(IF($B1153="","Arabica",$B1153))&amp;" - "&amp;(IF($C1153="","Commercial",$C1153))),Variables!$B$1:$D$1,0),1))*IFERROR(IF(AB1153="","",(AVERAGE(E1153:F1153)-AB1153)-Variables!$B$14),"")/365)+(L1153/16.67*INDEX(Variables!$B$8:$D$8,IFERROR(MATCH(IF($B1153="Robusta","Robusta",(IF($B1153="","Arabica",$B1153))&amp;" - "&amp;(IF($C1153="","Commercial",$C1153))),Variables!$B$1:$D$1,0),1))*IFERROR(IF(AB1153="","",(AVERAGE(E1153:F1153)-AB1153)-Variables!$B$14),""))+(W1153*INDEX(Variables!$B$9:$D$9,IFERROR(MATCH(IF($B1153="Robusta","Robusta",(IF($B1153="","Arabica",$B1153))&amp;" - "&amp;(IF($C1153="","Commercial",$C1153))),Variables!$B$1:$D$1,0),1))*IFERROR(IF(AB1153="","",(AVERAGE(E1153:F1153)-AB1153)-Variables!$B$14),"")/365),""))</f>
        <v>-244.94242270885624</v>
      </c>
      <c r="BH1153" s="44">
        <f>IF($AX1153="Cancelled","",IFERROR((W1153*INDEX(Variables!$B$7:$D$7,IFERROR(MATCH(IF($B1153="Robusta","Robusta",(IF($B1153="","Arabica",$B1153))&amp;" - "&amp;(IF($C1153="","Commercial",$C1153))),Variables!$B$1:$D$1,0),1))*AK1153/365)+(L1153/16.67*INDEX(Variables!$B$8:$D$8,IFERROR(MATCH(IF($B1153="Robusta","Robusta",(IF($B1153="","Arabica",$B1153))&amp;" - "&amp;(IF($C1153="","Commercial",$C1153))),Variables!$B$1:$D$1,0),1))*AK1153)+(W1153*INDEX(Variables!$B$9:$D$9,IFERROR(MATCH(IF($B1153="Robusta","Robusta",(IF($B1153="","Arabica",$B1153))&amp;" - "&amp;(IF($C1153="","Commercial",$C1153))),Variables!$B$1:$D$1,0),1))*AK1153/365),""))</f>
        <v>163.29494847257081</v>
      </c>
      <c r="BI1153" s="44">
        <f>IF($AX1153="Cancelled","",IFERROR((W1153*INDEX(Variables!$B$7:$D$7,IFERROR(MATCH(IF($B1153="Robusta","Robusta",(IF($B1153="","Arabica",$B1153))&amp;" - "&amp;(IF($C1153="","Commercial",$C1153))),Variables!$B$1:$D$1,0),1))*BD1153/365)+(L1153/16.67*INDEX(Variables!$B$8:$D$8,IFERROR(MATCH(IF($B1153="Robusta","Robusta",(IF($B1153="","Arabica",$B1153))&amp;" - "&amp;(IF($C1153="","Commercial",$C1153))),Variables!$B$1:$D$1,0),1))*BD1153)+(W1153*INDEX(Variables!$B$9:$D$9,IFERROR(MATCH(IF($B1153="Robusta","Robusta",(IF($B1153="","Arabica",$B1153))&amp;" - "&amp;(IF($C1153="","Commercial",$C1153))),Variables!$B$1:$D$1,0),1))*BD1153/365),""))</f>
        <v>-102.05934279535677</v>
      </c>
      <c r="BJ1153" s="44">
        <f t="shared" si="54"/>
        <v>-8</v>
      </c>
      <c r="BK1153" s="44">
        <f>IF($AX1153="Cancelled","",IFERROR(IF(BJ1153="","",(W1153*INDEX(Variables!$B$7:$D$7,IFERROR(MATCH(IF($B1153="Robusta","Robusta",(IF($B1153="","Arabica",$B1153))&amp;" - "&amp;(IF($C1153="","Commercial",$C1153))),Variables!$B$1:$D$1,0),1))*(BJ1153/365))+(W1153*INDEX(Variables!$B$9:$D$9,IFERROR(MATCH(IF($B1153="Robusta","Robusta",(IF($B1153="","Arabica",$B1153))&amp;" - "&amp;(IF($C1153="","Commercial",$C1153))),Variables!$B$1:$D$1,0),1))*(BJ1153/365))+(INDEX(Variables!$B$8:$D$8,IFERROR(MATCH(IF($B1153="Robusta","Robusta",(IF($B1153="","Arabica",$B1153))&amp;" - "&amp;(IF($C1153="","Commercial",$C1153))),Variables!$B$1:$D$1,0),1))*L1153/16.67)),""))</f>
        <v>-91.294948472570809</v>
      </c>
    </row>
    <row r="1154" spans="1:63">
      <c r="A1154" s="13" t="s">
        <v>103</v>
      </c>
      <c r="B1154" s="13" t="s">
        <v>104</v>
      </c>
      <c r="C1154" s="13" t="s">
        <v>105</v>
      </c>
      <c r="D1154" s="31">
        <v>46142</v>
      </c>
      <c r="E1154" s="31">
        <v>46235</v>
      </c>
      <c r="F1154" s="31">
        <v>46265</v>
      </c>
      <c r="G1154" s="13">
        <v>3787577</v>
      </c>
      <c r="J1154" s="13" t="s">
        <v>447</v>
      </c>
      <c r="K1154" s="13" t="s">
        <v>2861</v>
      </c>
      <c r="L1154" s="13">
        <v>160</v>
      </c>
      <c r="M1154" s="13">
        <v>0</v>
      </c>
      <c r="N1154" s="13" t="s">
        <v>2862</v>
      </c>
      <c r="O1154" s="13" t="s">
        <v>1372</v>
      </c>
      <c r="P1154" s="13">
        <v>10040</v>
      </c>
      <c r="R1154" s="13" t="s">
        <v>239</v>
      </c>
      <c r="S1154" s="13" t="s">
        <v>154</v>
      </c>
      <c r="T1154" s="13" t="s">
        <v>155</v>
      </c>
      <c r="U1154" s="13" t="s">
        <v>125</v>
      </c>
      <c r="V1154" s="23">
        <v>60</v>
      </c>
      <c r="W1154" s="44">
        <f>IF($AX1154="Cancelled","",IFERROR(((V1154+INDEX(Variables!$B$6:$D$6,IFERROR(MATCH(IF($B1154="Robusta","Robusta",(IF($B1154="","Arabica",$B1154))&amp;" - "&amp;(IF($C1154="","Commercial",$C1154))),Variables!$B$1:$D$1,0),1)))*22.0462)*(L1154/16.67),""))</f>
        <v>74229.700875824827</v>
      </c>
      <c r="X1154" s="55" t="s">
        <v>37</v>
      </c>
      <c r="Y1154" s="13" t="str">
        <f>IF($AX1154="Cancelled","",IF(X1154="","",IFERROR(IF(INDEX(Variables!$B$38:$B$47,MATCH(X1154,Variables!$A$38:$A$47,0))="Yes","Yes","No"),"No")))</f>
        <v>Yes</v>
      </c>
      <c r="Z1154" s="58">
        <v>46227</v>
      </c>
      <c r="AB1154" s="31">
        <v>46232</v>
      </c>
      <c r="AC1154" s="13" t="str">
        <f t="shared" ref="AC1154:AC1217" si="56">IF($AX1154="Cancelled","",IF(ISNUMBER(AB1154),"Approved",""))</f>
        <v>Approved</v>
      </c>
      <c r="AF1154" s="71">
        <v>46248</v>
      </c>
      <c r="AG1154" s="35">
        <f>IF($AX1154="Cancelled","",IFERROR(IF(F1154="","",F1154-Variables!$B$13),""))</f>
        <v>46250</v>
      </c>
      <c r="AH1154" s="13">
        <f>IF($AX1154="Cancelled","",IFERROR(IF(AB1154="","",(AVERAGE(E1154:F1154)-AB1154)-Variables!$B$14),""))</f>
        <v>-12</v>
      </c>
      <c r="AJ1154" s="47">
        <v>46253</v>
      </c>
      <c r="AK1154" s="14">
        <f>IF($AX1154="Cancelled","",IFERROR(IF(AJ1154="","",IF(AND(AB1154="",AF1154=""),"",IF(AF1154&gt;AB1154,AF1154+Variables!$B$15+Variables!$B$16+Variables!$B$17-AJ1154,AB1154+Variables!$B$16+Variables!$B$17-AJ1154))),""))</f>
        <v>10</v>
      </c>
      <c r="AL1154" s="48" t="s">
        <v>114</v>
      </c>
      <c r="AM1154" s="13" t="s">
        <v>168</v>
      </c>
      <c r="AN1154" s="13" t="s">
        <v>1683</v>
      </c>
      <c r="AP1154" s="39">
        <v>46273</v>
      </c>
      <c r="AR1154" s="13" t="s">
        <v>2860</v>
      </c>
      <c r="AS1154" s="31">
        <v>46273</v>
      </c>
      <c r="AU1154" s="39">
        <v>46295</v>
      </c>
      <c r="AV1154" s="13" t="s">
        <v>865</v>
      </c>
      <c r="AW1154" s="39">
        <v>46295</v>
      </c>
      <c r="AX1154" s="13" t="str">
        <f>IF(ISNUMBER(SEARCH("cancel",#REF!)),"Cancelled",IF(AND(AS1154&lt;&gt;"",AU1154&lt;&gt;"",AW1154&lt;&gt;""),"Closed","Open"))</f>
        <v>Closed</v>
      </c>
      <c r="AY1154" s="15" t="str">
        <f t="shared" si="55"/>
        <v>All dates received</v>
      </c>
      <c r="AZ1154" s="13" t="s">
        <v>3053</v>
      </c>
      <c r="BA1154" s="13" t="s">
        <v>3048</v>
      </c>
      <c r="BB1154" s="13" t="s">
        <v>3049</v>
      </c>
      <c r="BC1154" s="13" t="s">
        <v>3048</v>
      </c>
      <c r="BD1154" s="13">
        <f>IF($AX1154="Cancelled","",IFERROR(IF(OR(AS1154="",AJ1154=""),"",(AJ1154+Variables!$B$18-AS1154)),""))</f>
        <v>-5</v>
      </c>
      <c r="BE1154" s="13">
        <f>IF($AX1154="Cancelled","",IFERROR(IF(OR(AW1154="",AS1154=""),"",(AS1154+Variables!$B$19)-AW1154),""))</f>
        <v>-17</v>
      </c>
      <c r="BF1154" s="44">
        <f>IF($AX1154="Cancelled","",IFERROR(W1154*INDEX(Variables!$B$7:$D$7,IFERROR(MATCH(IF($B1154="Robusta","Robusta",(IF($B1154="","Arabica",$B1154))&amp;" - "&amp;(IF($C1154="","Commercial",$C1154))),Variables!$B$1:$D$1,0),1))*(BE1154/365),""))</f>
        <v>-222.93261672015589</v>
      </c>
      <c r="BG1154" s="44">
        <f>IF($AX1154="Cancelled","",IFERROR((W1154*INDEX(Variables!$B$7:$D$7,IFERROR(MATCH(IF($B1154="Robusta","Robusta",(IF($B1154="","Arabica",$B1154))&amp;" - "&amp;(IF($C1154="","Commercial",$C1154))),Variables!$B$1:$D$1,0),1))*IFERROR(IF(AB1154="","",(AVERAGE(E1154:F1154)-AB1154)-Variables!$B$14),"")/365)+(L1154/16.67*INDEX(Variables!$B$8:$D$8,IFERROR(MATCH(IF($B1154="Robusta","Robusta",(IF($B1154="","Arabica",$B1154))&amp;" - "&amp;(IF($C1154="","Commercial",$C1154))),Variables!$B$1:$D$1,0),1))*IFERROR(IF(AB1154="","",(AVERAGE(E1154:F1154)-AB1154)-Variables!$B$14),""))+(W1154*INDEX(Variables!$B$9:$D$9,IFERROR(MATCH(IF($B1154="Robusta","Robusta",(IF($B1154="","Arabica",$B1154))&amp;" - "&amp;(IF($C1154="","Commercial",$C1154))),Variables!$B$1:$D$1,0),1))*IFERROR(IF(AB1154="","",(AVERAGE(E1154:F1154)-AB1154)-Variables!$B$14),"")/365),""))</f>
        <v>-255.3929282680499</v>
      </c>
      <c r="BH1154" s="44">
        <f>IF($AX1154="Cancelled","",IFERROR((W1154*INDEX(Variables!$B$7:$D$7,IFERROR(MATCH(IF($B1154="Robusta","Robusta",(IF($B1154="","Arabica",$B1154))&amp;" - "&amp;(IF($C1154="","Commercial",$C1154))),Variables!$B$1:$D$1,0),1))*AK1154/365)+(L1154/16.67*INDEX(Variables!$B$8:$D$8,IFERROR(MATCH(IF($B1154="Robusta","Robusta",(IF($B1154="","Arabica",$B1154))&amp;" - "&amp;(IF($C1154="","Commercial",$C1154))),Variables!$B$1:$D$1,0),1))*AK1154)+(W1154*INDEX(Variables!$B$9:$D$9,IFERROR(MATCH(IF($B1154="Robusta","Robusta",(IF($B1154="","Arabica",$B1154))&amp;" - "&amp;(IF($C1154="","Commercial",$C1154))),Variables!$B$1:$D$1,0),1))*AK1154/365),""))</f>
        <v>212.82744022337494</v>
      </c>
      <c r="BI1154" s="44">
        <f>IF($AX1154="Cancelled","",IFERROR((W1154*INDEX(Variables!$B$7:$D$7,IFERROR(MATCH(IF($B1154="Robusta","Robusta",(IF($B1154="","Arabica",$B1154))&amp;" - "&amp;(IF($C1154="","Commercial",$C1154))),Variables!$B$1:$D$1,0),1))*BD1154/365)+(L1154/16.67*INDEX(Variables!$B$8:$D$8,IFERROR(MATCH(IF($B1154="Robusta","Robusta",(IF($B1154="","Arabica",$B1154))&amp;" - "&amp;(IF($C1154="","Commercial",$C1154))),Variables!$B$1:$D$1,0),1))*BD1154)+(W1154*INDEX(Variables!$B$9:$D$9,IFERROR(MATCH(IF($B1154="Robusta","Robusta",(IF($B1154="","Arabica",$B1154))&amp;" - "&amp;(IF($C1154="","Commercial",$C1154))),Variables!$B$1:$D$1,0),1))*BD1154/365),""))</f>
        <v>-106.41372011168747</v>
      </c>
      <c r="BJ1154" s="44">
        <f t="shared" ref="BJ1154:BJ1217" si="57">IF($AX1154="Cancelled","",IFERROR(IF(AS1154="","",F1154-AS1154),""))</f>
        <v>-8</v>
      </c>
      <c r="BK1154" s="44">
        <f>IF($AX1154="Cancelled","",IFERROR(IF(BJ1154="","",(W1154*INDEX(Variables!$B$7:$D$7,IFERROR(MATCH(IF($B1154="Robusta","Robusta",(IF($B1154="","Arabica",$B1154))&amp;" - "&amp;(IF($C1154="","Commercial",$C1154))),Variables!$B$1:$D$1,0),1))*(BJ1154/365))+(W1154*INDEX(Variables!$B$9:$D$9,IFERROR(MATCH(IF($B1154="Robusta","Robusta",(IF($B1154="","Arabica",$B1154))&amp;" - "&amp;(IF($C1154="","Commercial",$C1154))),Variables!$B$1:$D$1,0),1))*(BJ1154/365))+(INDEX(Variables!$B$8:$D$8,IFERROR(MATCH(IF($B1154="Robusta","Robusta",(IF($B1154="","Arabica",$B1154))&amp;" - "&amp;(IF($C1154="","Commercial",$C1154))),Variables!$B$1:$D$1,0),1))*L1154/16.67)),""))</f>
        <v>-98.261952178699943</v>
      </c>
    </row>
    <row r="1155" spans="1:63">
      <c r="A1155" s="13" t="s">
        <v>103</v>
      </c>
      <c r="B1155" s="13" t="s">
        <v>104</v>
      </c>
      <c r="C1155" s="13" t="s">
        <v>105</v>
      </c>
      <c r="D1155" s="31">
        <v>46142</v>
      </c>
      <c r="E1155" s="31">
        <v>46174</v>
      </c>
      <c r="F1155" s="31">
        <v>46203</v>
      </c>
      <c r="G1155" s="13">
        <v>3787578</v>
      </c>
      <c r="J1155" s="13" t="s">
        <v>260</v>
      </c>
      <c r="K1155" s="13">
        <v>5576</v>
      </c>
      <c r="L1155" s="13">
        <v>320</v>
      </c>
      <c r="M1155" s="13">
        <v>1</v>
      </c>
      <c r="N1155" s="13" t="s">
        <v>2863</v>
      </c>
      <c r="O1155" s="13" t="s">
        <v>456</v>
      </c>
      <c r="P1155" s="13">
        <v>10140</v>
      </c>
      <c r="R1155" s="13" t="s">
        <v>110</v>
      </c>
      <c r="S1155" s="13" t="s">
        <v>1048</v>
      </c>
      <c r="T1155" s="13" t="s">
        <v>263</v>
      </c>
      <c r="U1155" s="13" t="s">
        <v>125</v>
      </c>
      <c r="V1155" s="23">
        <v>-60</v>
      </c>
      <c r="W1155" s="44">
        <f>IF($AX1155="Cancelled","",IFERROR(((V1155+INDEX(Variables!$B$6:$D$6,IFERROR(MATCH(IF($B1155="Robusta","Robusta",(IF($B1155="","Arabica",$B1155))&amp;" - "&amp;(IF($C1155="","Commercial",$C1155))),Variables!$B$1:$D$1,0),1)))*22.0462)*(L1155/16.67),""))</f>
        <v>97675.113809238144</v>
      </c>
      <c r="X1155" s="55" t="s">
        <v>37</v>
      </c>
      <c r="Y1155" s="13" t="str">
        <f>IF($AX1155="Cancelled","",IF(X1155="","",IFERROR(IF(INDEX(Variables!$B$38:$B$47,MATCH(X1155,Variables!$A$38:$A$47,0))="Yes","Yes","No"),"No")))</f>
        <v>Yes</v>
      </c>
      <c r="Z1155" s="58">
        <v>46170</v>
      </c>
      <c r="AB1155" s="31">
        <v>46178</v>
      </c>
      <c r="AC1155" s="13" t="str">
        <f t="shared" si="56"/>
        <v>Approved</v>
      </c>
      <c r="AF1155" s="71">
        <v>46196</v>
      </c>
      <c r="AG1155" s="35">
        <f>IF($AX1155="Cancelled","",IFERROR(IF(F1155="","",F1155-Variables!$B$13),""))</f>
        <v>46188</v>
      </c>
      <c r="AH1155" s="13">
        <f>IF($AX1155="Cancelled","",IFERROR(IF(AB1155="","",(AVERAGE(E1155:F1155)-AB1155)-Variables!$B$14),""))</f>
        <v>-19.5</v>
      </c>
      <c r="AJ1155" s="47">
        <v>46211</v>
      </c>
      <c r="AK1155" s="14">
        <f>IF($AX1155="Cancelled","",IFERROR(IF(AJ1155="","",IF(AND(AB1155="",AF1155=""),"",IF(AF1155&gt;AB1155,AF1155+Variables!$B$15+Variables!$B$16+Variables!$B$17-AJ1155,AB1155+Variables!$B$16+Variables!$B$17-AJ1155))),""))</f>
        <v>0</v>
      </c>
      <c r="AL1155" s="48" t="s">
        <v>114</v>
      </c>
      <c r="AM1155" s="13" t="s">
        <v>168</v>
      </c>
      <c r="AN1155" s="13" t="s">
        <v>2700</v>
      </c>
      <c r="AP1155" s="39">
        <v>46219</v>
      </c>
      <c r="AR1155" s="13" t="s">
        <v>2864</v>
      </c>
      <c r="AS1155" s="31">
        <v>46219</v>
      </c>
      <c r="AU1155" s="31">
        <v>46269</v>
      </c>
      <c r="AV1155" s="13" t="s">
        <v>865</v>
      </c>
      <c r="AW1155" s="39">
        <v>46269</v>
      </c>
      <c r="AX1155" s="13" t="str">
        <f>IF(ISNUMBER(SEARCH("cancel",#REF!)),"Cancelled",IF(AND(AS1155&lt;&gt;"",AU1155&lt;&gt;"",AW1155&lt;&gt;""),"Closed","Open"))</f>
        <v>Closed</v>
      </c>
      <c r="AY1155" s="15" t="str">
        <f t="shared" si="55"/>
        <v>All dates received</v>
      </c>
      <c r="AZ1155" s="13" t="s">
        <v>3047</v>
      </c>
      <c r="BA1155" s="13" t="s">
        <v>3057</v>
      </c>
      <c r="BB1155" s="13" t="s">
        <v>3058</v>
      </c>
      <c r="BC1155" s="13" t="s">
        <v>3296</v>
      </c>
      <c r="BD1155" s="13">
        <f>IF($AX1155="Cancelled","",IFERROR(IF(OR(AS1155="",AJ1155=""),"",(AJ1155+Variables!$B$18-AS1155)),""))</f>
        <v>7</v>
      </c>
      <c r="BE1155" s="13">
        <f>IF($AX1155="Cancelled","",IFERROR(IF(OR(AW1155="",AS1155=""),"",(AS1155+Variables!$B$19)-AW1155),""))</f>
        <v>-45</v>
      </c>
      <c r="BF1155" s="44">
        <f>IF($AX1155="Cancelled","",IFERROR(W1155*INDEX(Variables!$B$7:$D$7,IFERROR(MATCH(IF($B1155="Robusta","Robusta",(IF($B1155="","Arabica",$B1155))&amp;" - "&amp;(IF($C1155="","Commercial",$C1155))),Variables!$B$1:$D$1,0),1))*(BE1155/365),""))</f>
        <v>-776.50350702781509</v>
      </c>
      <c r="BG1155" s="44">
        <f>IF($AX1155="Cancelled","",IFERROR((W1155*INDEX(Variables!$B$7:$D$7,IFERROR(MATCH(IF($B1155="Robusta","Robusta",(IF($B1155="","Arabica",$B1155))&amp;" - "&amp;(IF($C1155="","Commercial",$C1155))),Variables!$B$1:$D$1,0),1))*IFERROR(IF(AB1155="","",(AVERAGE(E1155:F1155)-AB1155)-Variables!$B$14),"")/365)+(L1155/16.67*INDEX(Variables!$B$8:$D$8,IFERROR(MATCH(IF($B1155="Robusta","Robusta",(IF($B1155="","Arabica",$B1155))&amp;" - "&amp;(IF($C1155="","Commercial",$C1155))),Variables!$B$1:$D$1,0),1))*IFERROR(IF(AB1155="","",(AVERAGE(E1155:F1155)-AB1155)-Variables!$B$14),""))+(W1155*INDEX(Variables!$B$9:$D$9,IFERROR(MATCH(IF($B1155="Robusta","Robusta",(IF($B1155="","Arabica",$B1155))&amp;" - "&amp;(IF($C1155="","Commercial",$C1155))),Variables!$B$1:$D$1,0),1))*IFERROR(IF(AB1155="","",(AVERAGE(E1155:F1155)-AB1155)-Variables!$B$14),"")/365),""))</f>
        <v>-652.82279217179087</v>
      </c>
      <c r="BH1155" s="44">
        <f>IF($AX1155="Cancelled","",IFERROR((W1155*INDEX(Variables!$B$7:$D$7,IFERROR(MATCH(IF($B1155="Robusta","Robusta",(IF($B1155="","Arabica",$B1155))&amp;" - "&amp;(IF($C1155="","Commercial",$C1155))),Variables!$B$1:$D$1,0),1))*AK1155/365)+(L1155/16.67*INDEX(Variables!$B$8:$D$8,IFERROR(MATCH(IF($B1155="Robusta","Robusta",(IF($B1155="","Arabica",$B1155))&amp;" - "&amp;(IF($C1155="","Commercial",$C1155))),Variables!$B$1:$D$1,0),1))*AK1155)+(W1155*INDEX(Variables!$B$9:$D$9,IFERROR(MATCH(IF($B1155="Robusta","Robusta",(IF($B1155="","Arabica",$B1155))&amp;" - "&amp;(IF($C1155="","Commercial",$C1155))),Variables!$B$1:$D$1,0),1))*AK1155/365),""))</f>
        <v>0</v>
      </c>
      <c r="BI1155" s="44">
        <f>IF($AX1155="Cancelled","",IFERROR((W1155*INDEX(Variables!$B$7:$D$7,IFERROR(MATCH(IF($B1155="Robusta","Robusta",(IF($B1155="","Arabica",$B1155))&amp;" - "&amp;(IF($C1155="","Commercial",$C1155))),Variables!$B$1:$D$1,0),1))*BD1155/365)+(L1155/16.67*INDEX(Variables!$B$8:$D$8,IFERROR(MATCH(IF($B1155="Robusta","Robusta",(IF($B1155="","Arabica",$B1155))&amp;" - "&amp;(IF($C1155="","Commercial",$C1155))),Variables!$B$1:$D$1,0),1))*BD1155)+(W1155*INDEX(Variables!$B$9:$D$9,IFERROR(MATCH(IF($B1155="Robusta","Robusta",(IF($B1155="","Arabica",$B1155))&amp;" - "&amp;(IF($C1155="","Commercial",$C1155))),Variables!$B$1:$D$1,0),1))*BD1155/365),""))</f>
        <v>234.34664334371979</v>
      </c>
      <c r="BJ1155" s="44">
        <f t="shared" si="57"/>
        <v>-16</v>
      </c>
      <c r="BK1155" s="44">
        <f>IF($AX1155="Cancelled","",IFERROR(IF(BJ1155="","",(W1155*INDEX(Variables!$B$7:$D$7,IFERROR(MATCH(IF($B1155="Robusta","Robusta",(IF($B1155="","Arabica",$B1155))&amp;" - "&amp;(IF($C1155="","Commercial",$C1155))),Variables!$B$1:$D$1,0),1))*(BJ1155/365))+(W1155*INDEX(Variables!$B$9:$D$9,IFERROR(MATCH(IF($B1155="Robusta","Robusta",(IF($B1155="","Arabica",$B1155))&amp;" - "&amp;(IF($C1155="","Commercial",$C1155))),Variables!$B$1:$D$1,0),1))*(BJ1155/365))+(INDEX(Variables!$B$8:$D$8,IFERROR(MATCH(IF($B1155="Robusta","Robusta",(IF($B1155="","Arabica",$B1155))&amp;" - "&amp;(IF($C1155="","Commercial",$C1155))),Variables!$B$1:$D$1,0),1))*L1155/16.67)),""))</f>
        <v>-263.64947049993094</v>
      </c>
    </row>
    <row r="1156" spans="1:63" s="33" customFormat="1">
      <c r="A1156" s="33" t="s">
        <v>103</v>
      </c>
      <c r="B1156" s="13" t="s">
        <v>104</v>
      </c>
      <c r="C1156" s="13" t="s">
        <v>105</v>
      </c>
      <c r="D1156" s="31">
        <v>46147</v>
      </c>
      <c r="E1156" s="31">
        <v>46266</v>
      </c>
      <c r="F1156" s="31">
        <v>46295</v>
      </c>
      <c r="G1156" s="33">
        <v>3787579</v>
      </c>
      <c r="H1156" s="13"/>
      <c r="I1156" s="13"/>
      <c r="J1156" s="13" t="s">
        <v>118</v>
      </c>
      <c r="K1156" s="13">
        <v>5634</v>
      </c>
      <c r="L1156" s="13">
        <v>360</v>
      </c>
      <c r="M1156" s="13">
        <v>1</v>
      </c>
      <c r="N1156" s="13" t="s">
        <v>2865</v>
      </c>
      <c r="O1156" s="13" t="s">
        <v>179</v>
      </c>
      <c r="P1156" s="13">
        <v>10110</v>
      </c>
      <c r="Q1156" s="13"/>
      <c r="R1156" s="13" t="s">
        <v>122</v>
      </c>
      <c r="S1156" s="13" t="s">
        <v>1439</v>
      </c>
      <c r="T1156" s="13" t="s">
        <v>1440</v>
      </c>
      <c r="U1156" s="13" t="s">
        <v>125</v>
      </c>
      <c r="V1156" s="23">
        <v>19</v>
      </c>
      <c r="W1156" s="44">
        <f>IF($AX1156="Cancelled","",IFERROR(((V1156+INDEX(Variables!$B$6:$D$6,IFERROR(MATCH(IF($B1156="Robusta","Robusta",(IF($B1156="","Arabica",$B1156))&amp;" - "&amp;(IF($C1156="","Commercial",$C1156))),Variables!$B$1:$D$1,0),1)))*22.0462)*(L1156/16.67),""))</f>
        <v>147496.61629274144</v>
      </c>
      <c r="X1156" s="55" t="s">
        <v>37</v>
      </c>
      <c r="Y1156" s="13" t="str">
        <f>IF($AX1156="Cancelled","",IF(X1156="","",IFERROR(IF(INDEX(Variables!$B$38:$B$47,MATCH(X1156,Variables!$A$38:$A$47,0))="Yes","Yes","No"),"No")))</f>
        <v>Yes</v>
      </c>
      <c r="Z1156" s="58">
        <v>46227</v>
      </c>
      <c r="AA1156" s="13"/>
      <c r="AB1156" s="31">
        <v>46234</v>
      </c>
      <c r="AC1156" s="13" t="str">
        <f t="shared" si="56"/>
        <v>Approved</v>
      </c>
      <c r="AD1156" s="31">
        <v>46224</v>
      </c>
      <c r="AE1156" s="31"/>
      <c r="AF1156" s="71">
        <v>46255</v>
      </c>
      <c r="AG1156" s="35">
        <f>IF($AX1156="Cancelled","",IFERROR(IF(F1156="","",F1156-Variables!$B$13),""))</f>
        <v>46280</v>
      </c>
      <c r="AH1156" s="13">
        <f>IF($AX1156="Cancelled","",IFERROR(IF(AB1156="","",(AVERAGE(E1156:F1156)-AB1156)-Variables!$B$14),""))</f>
        <v>16.5</v>
      </c>
      <c r="AI1156" s="13"/>
      <c r="AJ1156" s="47">
        <v>46258</v>
      </c>
      <c r="AK1156" s="14">
        <f>IF($AX1156="Cancelled","",IFERROR(IF(AJ1156="","",IF(AND(AB1156="",AF1156=""),"",IF(AF1156&gt;AB1156,AF1156+Variables!$B$15+Variables!$B$16+Variables!$B$17-AJ1156,AB1156+Variables!$B$16+Variables!$B$17-AJ1156))),""))</f>
        <v>12</v>
      </c>
      <c r="AL1156" s="48" t="s">
        <v>114</v>
      </c>
      <c r="AM1156" s="33" t="s">
        <v>168</v>
      </c>
      <c r="AN1156" s="33" t="s">
        <v>2866</v>
      </c>
      <c r="AO1156" s="39">
        <v>46259</v>
      </c>
      <c r="AP1156" s="39">
        <v>46273</v>
      </c>
      <c r="AQ1156" s="39">
        <v>46333</v>
      </c>
      <c r="AR1156" s="33" t="s">
        <v>2867</v>
      </c>
      <c r="AS1156" s="39">
        <v>46270</v>
      </c>
      <c r="AT1156" s="39"/>
      <c r="AU1156" s="39">
        <v>46280</v>
      </c>
      <c r="AV1156" s="33" t="s">
        <v>865</v>
      </c>
      <c r="AW1156" s="39">
        <v>46314</v>
      </c>
      <c r="AX1156" s="33" t="str">
        <f>IF(ISNUMBER(SEARCH("cancel",#REF!)),"Cancelled",IF(AND(AS1156&lt;&gt;"",AU1156&lt;&gt;"",AW1156&lt;&gt;""),"Closed","Open"))</f>
        <v>Closed</v>
      </c>
      <c r="AY1156" s="15" t="str">
        <f t="shared" si="55"/>
        <v>All dates received</v>
      </c>
      <c r="BD1156" s="33">
        <f>IF($AX1156="Cancelled","",IFERROR(IF(OR(AS1156="",AJ1156=""),"",(AJ1156+Variables!$B$18-AS1156)),""))</f>
        <v>3</v>
      </c>
      <c r="BE1156" s="33">
        <f>IF($AX1156="Cancelled","",IFERROR(IF(OR(AW1156="",AS1156=""),"",(AS1156+Variables!$B$19)-AW1156),""))</f>
        <v>-39</v>
      </c>
      <c r="BF1156" s="43">
        <f>IF($AX1156="Cancelled","",IFERROR(W1156*INDEX(Variables!$B$7:$D$7,IFERROR(MATCH(IF($B1156="Robusta","Robusta",(IF($B1156="","Arabica",$B1156))&amp;" - "&amp;(IF($C1156="","Commercial",$C1156))),Variables!$B$1:$D$1,0),1))*(BE1156/365),""))</f>
        <v>-1016.233825022906</v>
      </c>
      <c r="BG1156" s="43">
        <f>IF($AX1156="Cancelled","",IFERROR((W1156*INDEX(Variables!$B$7:$D$7,IFERROR(MATCH(IF($B1156="Robusta","Robusta",(IF($B1156="","Arabica",$B1156))&amp;" - "&amp;(IF($C1156="","Commercial",$C1156))),Variables!$B$1:$D$1,0),1))*IFERROR(IF(AB1156="","",(AVERAGE(E1156:F1156)-AB1156)-Variables!$B$14),"")/365)+(L1156/16.67*INDEX(Variables!$B$8:$D$8,IFERROR(MATCH(IF($B1156="Robusta","Robusta",(IF($B1156="","Arabica",$B1156))&amp;" - "&amp;(IF($C1156="","Commercial",$C1156))),Variables!$B$1:$D$1,0),1))*IFERROR(IF(AB1156="","",(AVERAGE(E1156:F1156)-AB1156)-Variables!$B$14),""))+(W1156*INDEX(Variables!$B$9:$D$9,IFERROR(MATCH(IF($B1156="Robusta","Robusta",(IF($B1156="","Arabica",$B1156))&amp;" - "&amp;(IF($C1156="","Commercial",$C1156))),Variables!$B$1:$D$1,0),1))*IFERROR(IF(AB1156="","",(AVERAGE(E1156:F1156)-AB1156)-Variables!$B$14),"")/365),""))</f>
        <v>732.48790163258502</v>
      </c>
      <c r="BH1156" s="43">
        <f>IF($AX1156="Cancelled","",IFERROR((W1156*INDEX(Variables!$B$7:$D$7,IFERROR(MATCH(IF($B1156="Robusta","Robusta",(IF($B1156="","Arabica",$B1156))&amp;" - "&amp;(IF($C1156="","Commercial",$C1156))),Variables!$B$1:$D$1,0),1))*AK1156/365)+(L1156/16.67*INDEX(Variables!$B$8:$D$8,IFERROR(MATCH(IF($B1156="Robusta","Robusta",(IF($B1156="","Arabica",$B1156))&amp;" - "&amp;(IF($C1156="","Commercial",$C1156))),Variables!$B$1:$D$1,0),1))*AK1156)+(W1156*INDEX(Variables!$B$9:$D$9,IFERROR(MATCH(IF($B1156="Robusta","Robusta",(IF($B1156="","Arabica",$B1156))&amp;" - "&amp;(IF($C1156="","Commercial",$C1156))),Variables!$B$1:$D$1,0),1))*AK1156/365),""))</f>
        <v>532.71847391460722</v>
      </c>
      <c r="BI1156" s="43">
        <f>IF($AX1156="Cancelled","",IFERROR((W1156*INDEX(Variables!$B$7:$D$7,IFERROR(MATCH(IF($B1156="Robusta","Robusta",(IF($B1156="","Arabica",$B1156))&amp;" - "&amp;(IF($C1156="","Commercial",$C1156))),Variables!$B$1:$D$1,0),1))*BD1156/365)+(L1156/16.67*INDEX(Variables!$B$8:$D$8,IFERROR(MATCH(IF($B1156="Robusta","Robusta",(IF($B1156="","Arabica",$B1156))&amp;" - "&amp;(IF($C1156="","Commercial",$C1156))),Variables!$B$1:$D$1,0),1))*BD1156)+(W1156*INDEX(Variables!$B$9:$D$9,IFERROR(MATCH(IF($B1156="Robusta","Robusta",(IF($B1156="","Arabica",$B1156))&amp;" - "&amp;(IF($C1156="","Commercial",$C1156))),Variables!$B$1:$D$1,0),1))*BD1156/365),""))</f>
        <v>133.1796184786518</v>
      </c>
      <c r="BJ1156" s="43">
        <f t="shared" si="57"/>
        <v>25</v>
      </c>
      <c r="BK1156" s="43">
        <f>IF($AX1156="Cancelled","",IFERROR(IF(BJ1156="","",(W1156*INDEX(Variables!$B$7:$D$7,IFERROR(MATCH(IF($B1156="Robusta","Robusta",(IF($B1156="","Arabica",$B1156))&amp;" - "&amp;(IF($C1156="","Commercial",$C1156))),Variables!$B$1:$D$1,0),1))*(BJ1156/365))+(W1156*INDEX(Variables!$B$9:$D$9,IFERROR(MATCH(IF($B1156="Robusta","Robusta",(IF($B1156="","Arabica",$B1156))&amp;" - "&amp;(IF($C1156="","Commercial",$C1156))),Variables!$B$1:$D$1,0),1))*(BJ1156/365))+(INDEX(Variables!$B$8:$D$8,IFERROR(MATCH(IF($B1156="Robusta","Robusta",(IF($B1156="","Arabica",$B1156))&amp;" - "&amp;(IF($C1156="","Commercial",$C1156))),Variables!$B$1:$D$1,0),1))*L1156/16.67)),""))</f>
        <v>677.83015398876489</v>
      </c>
    </row>
    <row r="1157" spans="1:63">
      <c r="A1157" s="13" t="s">
        <v>103</v>
      </c>
      <c r="B1157" s="13" t="s">
        <v>104</v>
      </c>
      <c r="C1157" s="13" t="s">
        <v>105</v>
      </c>
      <c r="D1157" s="31">
        <v>46147</v>
      </c>
      <c r="E1157" s="31">
        <v>46235</v>
      </c>
      <c r="F1157" s="31">
        <v>46265</v>
      </c>
      <c r="G1157" s="13">
        <v>3787580</v>
      </c>
      <c r="J1157" s="13" t="s">
        <v>506</v>
      </c>
      <c r="K1157" s="13">
        <v>5617</v>
      </c>
      <c r="L1157" s="13">
        <v>333</v>
      </c>
      <c r="M1157" s="13">
        <v>1</v>
      </c>
      <c r="N1157" s="13" t="s">
        <v>2868</v>
      </c>
      <c r="O1157" s="13" t="s">
        <v>418</v>
      </c>
      <c r="P1157" s="13">
        <v>10070</v>
      </c>
      <c r="R1157" s="13" t="s">
        <v>271</v>
      </c>
      <c r="S1157" s="13" t="s">
        <v>1155</v>
      </c>
      <c r="T1157" s="13" t="s">
        <v>329</v>
      </c>
      <c r="U1157" s="13" t="s">
        <v>330</v>
      </c>
      <c r="V1157" s="23">
        <v>36</v>
      </c>
      <c r="W1157" s="44">
        <f>IF($AX1157="Cancelled","",IFERROR(((V1157+INDEX(Variables!$B$6:$D$6,IFERROR(MATCH(IF($B1157="Robusta","Robusta",(IF($B1157="","Arabica",$B1157))&amp;" - "&amp;(IF($C1157="","Commercial",$C1157))),Variables!$B$1:$D$1,0),1)))*22.0462)*(L1157/16.67),""))</f>
        <v>143921.08501979604</v>
      </c>
      <c r="X1157" s="55" t="s">
        <v>37</v>
      </c>
      <c r="Y1157" s="13" t="str">
        <f>IF($AX1157="Cancelled","",IF(X1157="","",IFERROR(IF(INDEX(Variables!$B$38:$B$47,MATCH(X1157,Variables!$A$38:$A$47,0))="Yes","Yes","No"),"No")))</f>
        <v>Yes</v>
      </c>
      <c r="Z1157" s="58">
        <v>46217</v>
      </c>
      <c r="AB1157" s="31">
        <v>46225</v>
      </c>
      <c r="AC1157" s="13" t="str">
        <f t="shared" si="56"/>
        <v>Approved</v>
      </c>
      <c r="AF1157" s="71">
        <v>46241</v>
      </c>
      <c r="AG1157" s="35">
        <f>IF($AX1157="Cancelled","",IFERROR(IF(F1157="","",F1157-Variables!$B$13),""))</f>
        <v>46250</v>
      </c>
      <c r="AH1157" s="13">
        <f>IF($AX1157="Cancelled","",IFERROR(IF(AB1157="","",(AVERAGE(E1157:F1157)-AB1157)-Variables!$B$14),""))</f>
        <v>-5</v>
      </c>
      <c r="AJ1157" s="47">
        <v>46247</v>
      </c>
      <c r="AK1157" s="14">
        <f>IF($AX1157="Cancelled","",IFERROR(IF(AJ1157="","",IF(AND(AB1157="",AF1157=""),"",IF(AF1157&gt;AB1157,AF1157+Variables!$B$15+Variables!$B$16+Variables!$B$17-AJ1157,AB1157+Variables!$B$16+Variables!$B$17-AJ1157))),""))</f>
        <v>9</v>
      </c>
      <c r="AL1157" s="48" t="s">
        <v>114</v>
      </c>
      <c r="AM1157" s="13" t="s">
        <v>134</v>
      </c>
      <c r="AN1157" s="13" t="s">
        <v>2869</v>
      </c>
      <c r="AP1157" s="39">
        <v>46266</v>
      </c>
      <c r="AR1157" s="13" t="s">
        <v>2870</v>
      </c>
      <c r="AS1157" s="31">
        <v>46266</v>
      </c>
      <c r="AU1157" s="39">
        <v>46283</v>
      </c>
      <c r="AV1157" s="13" t="s">
        <v>865</v>
      </c>
      <c r="AW1157" s="39">
        <v>46283</v>
      </c>
      <c r="AX1157" s="13" t="str">
        <f>IF(ISNUMBER(SEARCH("cancel",#REF!)),"Cancelled",IF(AND(AS1157&lt;&gt;"",AU1157&lt;&gt;"",AW1157&lt;&gt;""),"Closed","Open"))</f>
        <v>Closed</v>
      </c>
      <c r="AY1157" s="15" t="str">
        <f t="shared" si="55"/>
        <v>All dates received</v>
      </c>
      <c r="AZ1157" s="13" t="s">
        <v>3053</v>
      </c>
      <c r="BA1157" s="13" t="s">
        <v>3048</v>
      </c>
      <c r="BB1157" s="13" t="s">
        <v>3049</v>
      </c>
      <c r="BC1157" s="13" t="s">
        <v>3048</v>
      </c>
      <c r="BD1157" s="13">
        <f>IF($AX1157="Cancelled","",IFERROR(IF(OR(AS1157="",AJ1157=""),"",(AJ1157+Variables!$B$18-AS1157)),""))</f>
        <v>-4</v>
      </c>
      <c r="BE1157" s="13">
        <f>IF($AX1157="Cancelled","",IFERROR(IF(OR(AW1157="",AS1157=""),"",(AS1157+Variables!$B$19)-AW1157),""))</f>
        <v>-12</v>
      </c>
      <c r="BF1157" s="44">
        <f>IF($AX1157="Cancelled","",IFERROR(W1157*INDEX(Variables!$B$7:$D$7,IFERROR(MATCH(IF($B1157="Robusta","Robusta",(IF($B1157="","Arabica",$B1157))&amp;" - "&amp;(IF($C1157="","Commercial",$C1157))),Variables!$B$1:$D$1,0),1))*(BE1157/365),""))</f>
        <v>-305.10733770290932</v>
      </c>
      <c r="BG1157" s="44">
        <f>IF($AX1157="Cancelled","",IFERROR((W1157*INDEX(Variables!$B$7:$D$7,IFERROR(MATCH(IF($B1157="Robusta","Robusta",(IF($B1157="","Arabica",$B1157))&amp;" - "&amp;(IF($C1157="","Commercial",$C1157))),Variables!$B$1:$D$1,0),1))*IFERROR(IF(AB1157="","",(AVERAGE(E1157:F1157)-AB1157)-Variables!$B$14),"")/365)+(L1157/16.67*INDEX(Variables!$B$8:$D$8,IFERROR(MATCH(IF($B1157="Robusta","Robusta",(IF($B1157="","Arabica",$B1157))&amp;" - "&amp;(IF($C1157="","Commercial",$C1157))),Variables!$B$1:$D$1,0),1))*IFERROR(IF(AB1157="","",(AVERAGE(E1157:F1157)-AB1157)-Variables!$B$14),""))+(W1157*INDEX(Variables!$B$9:$D$9,IFERROR(MATCH(IF($B1157="Robusta","Robusta",(IF($B1157="","Arabica",$B1157))&amp;" - "&amp;(IF($C1157="","Commercial",$C1157))),Variables!$B$1:$D$1,0),1))*IFERROR(IF(AB1157="","",(AVERAGE(E1157:F1157)-AB1157)-Variables!$B$14),"")/365),""))</f>
        <v>-212.01698337589661</v>
      </c>
      <c r="BH1157" s="44">
        <f>IF($AX1157="Cancelled","",IFERROR((W1157*INDEX(Variables!$B$7:$D$7,IFERROR(MATCH(IF($B1157="Robusta","Robusta",(IF($B1157="","Arabica",$B1157))&amp;" - "&amp;(IF($C1157="","Commercial",$C1157))),Variables!$B$1:$D$1,0),1))*AK1157/365)+(L1157/16.67*INDEX(Variables!$B$8:$D$8,IFERROR(MATCH(IF($B1157="Robusta","Robusta",(IF($B1157="","Arabica",$B1157))&amp;" - "&amp;(IF($C1157="","Commercial",$C1157))),Variables!$B$1:$D$1,0),1))*AK1157)+(W1157*INDEX(Variables!$B$9:$D$9,IFERROR(MATCH(IF($B1157="Robusta","Robusta",(IF($B1157="","Arabica",$B1157))&amp;" - "&amp;(IF($C1157="","Commercial",$C1157))),Variables!$B$1:$D$1,0),1))*AK1157/365),""))</f>
        <v>381.63057007661388</v>
      </c>
      <c r="BI1157" s="44">
        <f>IF($AX1157="Cancelled","",IFERROR((W1157*INDEX(Variables!$B$7:$D$7,IFERROR(MATCH(IF($B1157="Robusta","Robusta",(IF($B1157="","Arabica",$B1157))&amp;" - "&amp;(IF($C1157="","Commercial",$C1157))),Variables!$B$1:$D$1,0),1))*BD1157/365)+(L1157/16.67*INDEX(Variables!$B$8:$D$8,IFERROR(MATCH(IF($B1157="Robusta","Robusta",(IF($B1157="","Arabica",$B1157))&amp;" - "&amp;(IF($C1157="","Commercial",$C1157))),Variables!$B$1:$D$1,0),1))*BD1157)+(W1157*INDEX(Variables!$B$9:$D$9,IFERROR(MATCH(IF($B1157="Robusta","Robusta",(IF($B1157="","Arabica",$B1157))&amp;" - "&amp;(IF($C1157="","Commercial",$C1157))),Variables!$B$1:$D$1,0),1))*BD1157/365),""))</f>
        <v>-169.61358670071729</v>
      </c>
      <c r="BJ1157" s="44">
        <f t="shared" si="57"/>
        <v>-1</v>
      </c>
      <c r="BK1157" s="44">
        <f>IF($AX1157="Cancelled","",IFERROR(IF(BJ1157="","",(W1157*INDEX(Variables!$B$7:$D$7,IFERROR(MATCH(IF($B1157="Robusta","Robusta",(IF($B1157="","Arabica",$B1157))&amp;" - "&amp;(IF($C1157="","Commercial",$C1157))),Variables!$B$1:$D$1,0),1))*(BJ1157/365))+(W1157*INDEX(Variables!$B$9:$D$9,IFERROR(MATCH(IF($B1157="Robusta","Robusta",(IF($B1157="","Arabica",$B1157))&amp;" - "&amp;(IF($C1157="","Commercial",$C1157))),Variables!$B$1:$D$1,0),1))*(BJ1157/365))+(INDEX(Variables!$B$8:$D$8,IFERROR(MATCH(IF($B1157="Robusta","Robusta",(IF($B1157="","Arabica",$B1157))&amp;" - "&amp;(IF($C1157="","Commercial",$C1157))),Variables!$B$1:$D$1,0),1))*L1157/16.67)),""))</f>
        <v>-9.1033966751793116</v>
      </c>
    </row>
    <row r="1158" spans="1:63">
      <c r="A1158" s="13" t="s">
        <v>103</v>
      </c>
      <c r="B1158" s="13" t="s">
        <v>104</v>
      </c>
      <c r="C1158" s="13" t="s">
        <v>105</v>
      </c>
      <c r="D1158" s="31">
        <v>46147</v>
      </c>
      <c r="E1158" s="31">
        <v>46296</v>
      </c>
      <c r="F1158" s="31">
        <v>46326</v>
      </c>
      <c r="G1158" s="13">
        <v>3787581</v>
      </c>
      <c r="J1158" s="13" t="s">
        <v>506</v>
      </c>
      <c r="K1158" s="13">
        <v>5664</v>
      </c>
      <c r="L1158" s="13">
        <v>333</v>
      </c>
      <c r="M1158" s="13">
        <v>1</v>
      </c>
      <c r="N1158" s="13" t="s">
        <v>2868</v>
      </c>
      <c r="O1158" s="13" t="s">
        <v>418</v>
      </c>
      <c r="P1158" s="13">
        <v>10070</v>
      </c>
      <c r="R1158" s="13" t="s">
        <v>271</v>
      </c>
      <c r="S1158" s="13" t="s">
        <v>1155</v>
      </c>
      <c r="T1158" s="13" t="s">
        <v>329</v>
      </c>
      <c r="U1158" s="13" t="s">
        <v>330</v>
      </c>
      <c r="V1158" s="23">
        <v>36</v>
      </c>
      <c r="W1158" s="44">
        <f>IF($AX1158="Cancelled","",IFERROR(((V1158+INDEX(Variables!$B$6:$D$6,IFERROR(MATCH(IF($B1158="Robusta","Robusta",(IF($B1158="","Arabica",$B1158))&amp;" - "&amp;(IF($C1158="","Commercial",$C1158))),Variables!$B$1:$D$1,0),1)))*22.0462)*(L1158/16.67),""))</f>
        <v>143921.08501979604</v>
      </c>
      <c r="X1158" s="55" t="s">
        <v>37</v>
      </c>
      <c r="Y1158" s="13" t="str">
        <f>IF($AX1158="Cancelled","",IF(X1158="","",IFERROR(IF(INDEX(Variables!$B$38:$B$47,MATCH(X1158,Variables!$A$38:$A$47,0))="Yes","Yes","No"),"No")))</f>
        <v>Yes</v>
      </c>
      <c r="Z1158" s="58">
        <v>46266</v>
      </c>
      <c r="AB1158" s="31">
        <v>46287</v>
      </c>
      <c r="AC1158" s="13" t="str">
        <f t="shared" si="56"/>
        <v>Approved</v>
      </c>
      <c r="AD1158" s="31">
        <v>46296</v>
      </c>
      <c r="AF1158" s="71">
        <v>46297</v>
      </c>
      <c r="AG1158" s="35">
        <f>IF($AX1158="Cancelled","",IFERROR(IF(F1158="","",F1158-Variables!$B$13),""))</f>
        <v>46311</v>
      </c>
      <c r="AH1158" s="13">
        <f>IF($AX1158="Cancelled","",IFERROR(IF(AB1158="","",(AVERAGE(E1158:F1158)-AB1158)-Variables!$B$14),""))</f>
        <v>-6</v>
      </c>
      <c r="AJ1158" s="47">
        <v>46301</v>
      </c>
      <c r="AK1158" s="14">
        <f>IF($AX1158="Cancelled","",IFERROR(IF(AJ1158="","",IF(AND(AB1158="",AF1158=""),"",IF(AF1158&gt;AB1158,AF1158+Variables!$B$15+Variables!$B$16+Variables!$B$17-AJ1158,AB1158+Variables!$B$16+Variables!$B$17-AJ1158))),""))</f>
        <v>11</v>
      </c>
      <c r="AL1158" s="48" t="s">
        <v>114</v>
      </c>
      <c r="AM1158" s="13" t="s">
        <v>134</v>
      </c>
      <c r="AN1158" s="13" t="s">
        <v>2871</v>
      </c>
      <c r="AP1158" s="39">
        <v>46310</v>
      </c>
      <c r="AR1158" s="13" t="s">
        <v>2872</v>
      </c>
      <c r="AS1158" s="31">
        <v>46310</v>
      </c>
      <c r="AU1158" s="31">
        <v>46321</v>
      </c>
      <c r="AV1158" s="13" t="s">
        <v>865</v>
      </c>
      <c r="AW1158" s="31">
        <v>46321</v>
      </c>
      <c r="AX1158" s="13" t="str">
        <f>IF(ISNUMBER(SEARCH("cancel",#REF!)),"Cancelled",IF(AND(AS1158&lt;&gt;"",AU1158&lt;&gt;"",AW1158&lt;&gt;""),"Closed","Open"))</f>
        <v>Closed</v>
      </c>
      <c r="AY1158" s="15" t="str">
        <f t="shared" si="55"/>
        <v>All dates received</v>
      </c>
      <c r="BD1158" s="13">
        <f>IF($AX1158="Cancelled","",IFERROR(IF(OR(AS1158="",AJ1158=""),"",(AJ1158+Variables!$B$18-AS1158)),""))</f>
        <v>6</v>
      </c>
      <c r="BE1158" s="13">
        <f>IF($AX1158="Cancelled","",IFERROR(IF(OR(AW1158="",AS1158=""),"",(AS1158+Variables!$B$19)-AW1158),""))</f>
        <v>-6</v>
      </c>
      <c r="BF1158" s="44">
        <f>IF($AX1158="Cancelled","",IFERROR(W1158*INDEX(Variables!$B$7:$D$7,IFERROR(MATCH(IF($B1158="Robusta","Robusta",(IF($B1158="","Arabica",$B1158))&amp;" - "&amp;(IF($C1158="","Commercial",$C1158))),Variables!$B$1:$D$1,0),1))*(BE1158/365),""))</f>
        <v>-152.55366885145466</v>
      </c>
      <c r="BG1158" s="44">
        <f>IF($AX1158="Cancelled","",IFERROR((W1158*INDEX(Variables!$B$7:$D$7,IFERROR(MATCH(IF($B1158="Robusta","Robusta",(IF($B1158="","Arabica",$B1158))&amp;" - "&amp;(IF($C1158="","Commercial",$C1158))),Variables!$B$1:$D$1,0),1))*IFERROR(IF(AB1158="","",(AVERAGE(E1158:F1158)-AB1158)-Variables!$B$14),"")/365)+(L1158/16.67*INDEX(Variables!$B$8:$D$8,IFERROR(MATCH(IF($B1158="Robusta","Robusta",(IF($B1158="","Arabica",$B1158))&amp;" - "&amp;(IF($C1158="","Commercial",$C1158))),Variables!$B$1:$D$1,0),1))*IFERROR(IF(AB1158="","",(AVERAGE(E1158:F1158)-AB1158)-Variables!$B$14),""))+(W1158*INDEX(Variables!$B$9:$D$9,IFERROR(MATCH(IF($B1158="Robusta","Robusta",(IF($B1158="","Arabica",$B1158))&amp;" - "&amp;(IF($C1158="","Commercial",$C1158))),Variables!$B$1:$D$1,0),1))*IFERROR(IF(AB1158="","",(AVERAGE(E1158:F1158)-AB1158)-Variables!$B$14),"")/365),""))</f>
        <v>-254.42038005107591</v>
      </c>
      <c r="BH1158" s="44">
        <f>IF($AX1158="Cancelled","",IFERROR((W1158*INDEX(Variables!$B$7:$D$7,IFERROR(MATCH(IF($B1158="Robusta","Robusta",(IF($B1158="","Arabica",$B1158))&amp;" - "&amp;(IF($C1158="","Commercial",$C1158))),Variables!$B$1:$D$1,0),1))*AK1158/365)+(L1158/16.67*INDEX(Variables!$B$8:$D$8,IFERROR(MATCH(IF($B1158="Robusta","Robusta",(IF($B1158="","Arabica",$B1158))&amp;" - "&amp;(IF($C1158="","Commercial",$C1158))),Variables!$B$1:$D$1,0),1))*AK1158)+(W1158*INDEX(Variables!$B$9:$D$9,IFERROR(MATCH(IF($B1158="Robusta","Robusta",(IF($B1158="","Arabica",$B1158))&amp;" - "&amp;(IF($C1158="","Commercial",$C1158))),Variables!$B$1:$D$1,0),1))*AK1158/365),""))</f>
        <v>466.43736342697247</v>
      </c>
      <c r="BI1158" s="44">
        <f>IF($AX1158="Cancelled","",IFERROR((W1158*INDEX(Variables!$B$7:$D$7,IFERROR(MATCH(IF($B1158="Robusta","Robusta",(IF($B1158="","Arabica",$B1158))&amp;" - "&amp;(IF($C1158="","Commercial",$C1158))),Variables!$B$1:$D$1,0),1))*BD1158/365)+(L1158/16.67*INDEX(Variables!$B$8:$D$8,IFERROR(MATCH(IF($B1158="Robusta","Robusta",(IF($B1158="","Arabica",$B1158))&amp;" - "&amp;(IF($C1158="","Commercial",$C1158))),Variables!$B$1:$D$1,0),1))*BD1158)+(W1158*INDEX(Variables!$B$9:$D$9,IFERROR(MATCH(IF($B1158="Robusta","Robusta",(IF($B1158="","Arabica",$B1158))&amp;" - "&amp;(IF($C1158="","Commercial",$C1158))),Variables!$B$1:$D$1,0),1))*BD1158/365),""))</f>
        <v>254.42038005107591</v>
      </c>
      <c r="BJ1158" s="44">
        <f t="shared" si="57"/>
        <v>16</v>
      </c>
      <c r="BK1158" s="44">
        <f>IF($AX1158="Cancelled","",IFERROR(IF(BJ1158="","",(W1158*INDEX(Variables!$B$7:$D$7,IFERROR(MATCH(IF($B1158="Robusta","Robusta",(IF($B1158="","Arabica",$B1158))&amp;" - "&amp;(IF($C1158="","Commercial",$C1158))),Variables!$B$1:$D$1,0),1))*(BJ1158/365))+(W1158*INDEX(Variables!$B$9:$D$9,IFERROR(MATCH(IF($B1158="Robusta","Robusta",(IF($B1158="","Arabica",$B1158))&amp;" - "&amp;(IF($C1158="","Commercial",$C1158))),Variables!$B$1:$D$1,0),1))*(BJ1158/365))+(INDEX(Variables!$B$8:$D$8,IFERROR(MATCH(IF($B1158="Robusta","Robusta",(IF($B1158="","Arabica",$B1158))&amp;" - "&amp;(IF($C1158="","Commercial",$C1158))),Variables!$B$1:$D$1,0),1))*L1158/16.67)),""))</f>
        <v>428.704346802869</v>
      </c>
    </row>
    <row r="1159" spans="1:63">
      <c r="A1159" s="13" t="s">
        <v>103</v>
      </c>
      <c r="B1159" s="13" t="s">
        <v>104</v>
      </c>
      <c r="C1159" s="13" t="s">
        <v>105</v>
      </c>
      <c r="D1159" s="31">
        <v>46147</v>
      </c>
      <c r="E1159" s="31">
        <v>46147</v>
      </c>
      <c r="F1159" s="31">
        <v>46173</v>
      </c>
      <c r="G1159" s="13">
        <v>3787582</v>
      </c>
      <c r="J1159" s="13" t="s">
        <v>260</v>
      </c>
      <c r="K1159" s="13" t="s">
        <v>2873</v>
      </c>
      <c r="L1159" s="13">
        <v>260</v>
      </c>
      <c r="M1159" s="13">
        <v>1</v>
      </c>
      <c r="N1159" s="13" t="s">
        <v>2874</v>
      </c>
      <c r="O1159" s="13" t="s">
        <v>584</v>
      </c>
      <c r="P1159" s="13">
        <v>10040</v>
      </c>
      <c r="Q1159" s="13" t="s">
        <v>745</v>
      </c>
      <c r="R1159" s="13" t="s">
        <v>110</v>
      </c>
      <c r="S1159" s="13" t="s">
        <v>2875</v>
      </c>
      <c r="T1159" s="13" t="s">
        <v>263</v>
      </c>
      <c r="U1159" s="13" t="s">
        <v>125</v>
      </c>
      <c r="V1159" s="23">
        <v>50</v>
      </c>
      <c r="W1159" s="44">
        <f>IF($AX1159="Cancelled","",IFERROR(((V1159+INDEX(Variables!$B$6:$D$6,IFERROR(MATCH(IF($B1159="Robusta","Robusta",(IF($B1159="","Arabica",$B1159))&amp;" - "&amp;(IF($C1159="","Commercial",$C1159))),Variables!$B$1:$D$1,0),1)))*22.0462)*(L1159/16.67),""))</f>
        <v>117184.74442711457</v>
      </c>
      <c r="X1159" s="55" t="s">
        <v>37</v>
      </c>
      <c r="Y1159" s="13" t="str">
        <f>IF($AX1159="Cancelled","",IF(X1159="","",IFERROR(IF(INDEX(Variables!$B$38:$B$47,MATCH(X1159,Variables!$A$38:$A$47,0))="Yes","Yes","No"),"No")))</f>
        <v>Yes</v>
      </c>
      <c r="Z1159" s="58">
        <v>46157</v>
      </c>
      <c r="AB1159" s="31">
        <v>46181</v>
      </c>
      <c r="AC1159" s="13" t="str">
        <f t="shared" si="56"/>
        <v>Approved</v>
      </c>
      <c r="AF1159" s="71">
        <v>46185</v>
      </c>
      <c r="AG1159" s="35">
        <f>IF($AX1159="Cancelled","",IFERROR(IF(F1159="","",F1159-Variables!$B$13),""))</f>
        <v>46158</v>
      </c>
      <c r="AH1159" s="13">
        <f>IF($AX1159="Cancelled","",IFERROR(IF(AB1159="","",(AVERAGE(E1159:F1159)-AB1159)-Variables!$B$14),""))</f>
        <v>-51</v>
      </c>
      <c r="AJ1159" s="47">
        <v>46196</v>
      </c>
      <c r="AK1159" s="14">
        <f>IF($AX1159="Cancelled","",IFERROR(IF(AJ1159="","",IF(AND(AB1159="",AF1159=""),"",IF(AF1159&gt;AB1159,AF1159+Variables!$B$15+Variables!$B$16+Variables!$B$17-AJ1159,AB1159+Variables!$B$16+Variables!$B$17-AJ1159))),""))</f>
        <v>4</v>
      </c>
      <c r="AL1159" s="48" t="s">
        <v>114</v>
      </c>
      <c r="AM1159" s="13" t="s">
        <v>168</v>
      </c>
      <c r="AN1159" s="13" t="s">
        <v>2405</v>
      </c>
      <c r="AP1159" s="39">
        <v>46212</v>
      </c>
      <c r="AR1159" s="13" t="s">
        <v>2876</v>
      </c>
      <c r="AS1159" s="31">
        <v>46212</v>
      </c>
      <c r="AU1159" s="31">
        <v>46253</v>
      </c>
      <c r="AV1159" s="13" t="e">
        <v>#REF!</v>
      </c>
      <c r="AW1159" s="31">
        <v>46253</v>
      </c>
      <c r="AX1159" s="13" t="str">
        <f>IF(ISNUMBER(SEARCH("cancel",#REF!)),"Cancelled",IF(AND(AS1159&lt;&gt;"",AU1159&lt;&gt;"",AW1159&lt;&gt;""),"Closed","Open"))</f>
        <v>Closed</v>
      </c>
      <c r="AY1159" s="15" t="str">
        <f t="shared" si="55"/>
        <v>All dates received</v>
      </c>
      <c r="BD1159" s="13">
        <f>IF($AX1159="Cancelled","",IFERROR(IF(OR(AS1159="",AJ1159=""),"",(AJ1159+Variables!$B$18-AS1159)),""))</f>
        <v>-1</v>
      </c>
      <c r="BE1159" s="13">
        <f>IF($AX1159="Cancelled","",IFERROR(IF(OR(AW1159="",AS1159=""),"",(AS1159+Variables!$B$19)-AW1159),""))</f>
        <v>-36</v>
      </c>
      <c r="BF1159" s="44">
        <f>IF($AX1159="Cancelled","",IFERROR(W1159*INDEX(Variables!$B$7:$D$7,IFERROR(MATCH(IF($B1159="Robusta","Robusta",(IF($B1159="","Arabica",$B1159))&amp;" - "&amp;(IF($C1159="","Commercial",$C1159))),Variables!$B$1:$D$1,0),1))*(BE1159/365),""))</f>
        <v>-745.28187554940041</v>
      </c>
      <c r="BG1159" s="44">
        <f>IF($AX1159="Cancelled","",IFERROR((W1159*INDEX(Variables!$B$7:$D$7,IFERROR(MATCH(IF($B1159="Robusta","Robusta",(IF($B1159="","Arabica",$B1159))&amp;" - "&amp;(IF($C1159="","Commercial",$C1159))),Variables!$B$1:$D$1,0),1))*IFERROR(IF(AB1159="","",(AVERAGE(E1159:F1159)-AB1159)-Variables!$B$14),"")/365)+(L1159/16.67*INDEX(Variables!$B$8:$D$8,IFERROR(MATCH(IF($B1159="Robusta","Robusta",(IF($B1159="","Arabica",$B1159))&amp;" - "&amp;(IF($C1159="","Commercial",$C1159))),Variables!$B$1:$D$1,0),1))*IFERROR(IF(AB1159="","",(AVERAGE(E1159:F1159)-AB1159)-Variables!$B$14),""))+(W1159*INDEX(Variables!$B$9:$D$9,IFERROR(MATCH(IF($B1159="Robusta","Robusta",(IF($B1159="","Arabica",$B1159))&amp;" - "&amp;(IF($C1159="","Commercial",$C1159))),Variables!$B$1:$D$1,0),1))*IFERROR(IF(AB1159="","",(AVERAGE(E1159:F1159)-AB1159)-Variables!$B$14),"")/365),""))</f>
        <v>-1732.4274960607061</v>
      </c>
      <c r="BH1159" s="44">
        <f>IF($AX1159="Cancelled","",IFERROR((W1159*INDEX(Variables!$B$7:$D$7,IFERROR(MATCH(IF($B1159="Robusta","Robusta",(IF($B1159="","Arabica",$B1159))&amp;" - "&amp;(IF($C1159="","Commercial",$C1159))),Variables!$B$1:$D$1,0),1))*AK1159/365)+(L1159/16.67*INDEX(Variables!$B$8:$D$8,IFERROR(MATCH(IF($B1159="Robusta","Robusta",(IF($B1159="","Arabica",$B1159))&amp;" - "&amp;(IF($C1159="","Commercial",$C1159))),Variables!$B$1:$D$1,0),1))*AK1159)+(W1159*INDEX(Variables!$B$9:$D$9,IFERROR(MATCH(IF($B1159="Robusta","Robusta",(IF($B1159="","Arabica",$B1159))&amp;" - "&amp;(IF($C1159="","Commercial",$C1159))),Variables!$B$1:$D$1,0),1))*AK1159/365),""))</f>
        <v>135.87666635770245</v>
      </c>
      <c r="BI1159" s="44">
        <f>IF($AX1159="Cancelled","",IFERROR((W1159*INDEX(Variables!$B$7:$D$7,IFERROR(MATCH(IF($B1159="Robusta","Robusta",(IF($B1159="","Arabica",$B1159))&amp;" - "&amp;(IF($C1159="","Commercial",$C1159))),Variables!$B$1:$D$1,0),1))*BD1159/365)+(L1159/16.67*INDEX(Variables!$B$8:$D$8,IFERROR(MATCH(IF($B1159="Robusta","Robusta",(IF($B1159="","Arabica",$B1159))&amp;" - "&amp;(IF($C1159="","Commercial",$C1159))),Variables!$B$1:$D$1,0),1))*BD1159)+(W1159*INDEX(Variables!$B$9:$D$9,IFERROR(MATCH(IF($B1159="Robusta","Robusta",(IF($B1159="","Arabica",$B1159))&amp;" - "&amp;(IF($C1159="","Commercial",$C1159))),Variables!$B$1:$D$1,0),1))*BD1159/365),""))</f>
        <v>-33.969166589425612</v>
      </c>
      <c r="BJ1159" s="44">
        <f t="shared" si="57"/>
        <v>-39</v>
      </c>
      <c r="BK1159" s="44">
        <f>IF($AX1159="Cancelled","",IFERROR(IF(BJ1159="","",(W1159*INDEX(Variables!$B$7:$D$7,IFERROR(MATCH(IF($B1159="Robusta","Robusta",(IF($B1159="","Arabica",$B1159))&amp;" - "&amp;(IF($C1159="","Commercial",$C1159))),Variables!$B$1:$D$1,0),1))*(BJ1159/365))+(W1159*INDEX(Variables!$B$9:$D$9,IFERROR(MATCH(IF($B1159="Robusta","Robusta",(IF($B1159="","Arabica",$B1159))&amp;" - "&amp;(IF($C1159="","Commercial",$C1159))),Variables!$B$1:$D$1,0),1))*(BJ1159/365))+(INDEX(Variables!$B$8:$D$8,IFERROR(MATCH(IF($B1159="Robusta","Robusta",(IF($B1159="","Arabica",$B1159))&amp;" - "&amp;(IF($C1159="","Commercial",$C1159))),Variables!$B$1:$D$1,0),1))*L1159/16.67)),""))</f>
        <v>-804.79749698759883</v>
      </c>
    </row>
    <row r="1160" spans="1:63">
      <c r="A1160" s="13" t="s">
        <v>103</v>
      </c>
      <c r="B1160" s="13" t="s">
        <v>104</v>
      </c>
      <c r="C1160" s="13" t="s">
        <v>105</v>
      </c>
      <c r="D1160" s="31">
        <v>46147</v>
      </c>
      <c r="E1160" s="31">
        <v>46147</v>
      </c>
      <c r="F1160" s="31">
        <v>46173</v>
      </c>
      <c r="G1160" s="13">
        <v>3787583</v>
      </c>
      <c r="J1160" s="13" t="s">
        <v>260</v>
      </c>
      <c r="K1160" s="13" t="s">
        <v>2877</v>
      </c>
      <c r="L1160" s="13">
        <v>60</v>
      </c>
      <c r="M1160" s="13">
        <v>0</v>
      </c>
      <c r="N1160" s="13" t="s">
        <v>2878</v>
      </c>
      <c r="O1160" s="13" t="s">
        <v>456</v>
      </c>
      <c r="P1160" s="13">
        <v>10140</v>
      </c>
      <c r="R1160" s="13" t="s">
        <v>110</v>
      </c>
      <c r="S1160" s="13" t="s">
        <v>2875</v>
      </c>
      <c r="T1160" s="13" t="s">
        <v>263</v>
      </c>
      <c r="U1160" s="13" t="s">
        <v>125</v>
      </c>
      <c r="V1160" s="23">
        <v>-60</v>
      </c>
      <c r="W1160" s="44">
        <f>IF($AX1160="Cancelled","",IFERROR(((V1160+INDEX(Variables!$B$6:$D$6,IFERROR(MATCH(IF($B1160="Robusta","Robusta",(IF($B1160="","Arabica",$B1160))&amp;" - "&amp;(IF($C1160="","Commercial",$C1160))),Variables!$B$1:$D$1,0),1)))*22.0462)*(L1160/16.67),""))</f>
        <v>18314.083839232153</v>
      </c>
      <c r="X1160" s="55" t="s">
        <v>37</v>
      </c>
      <c r="Y1160" s="13" t="str">
        <f>IF($AX1160="Cancelled","",IF(X1160="","",IFERROR(IF(INDEX(Variables!$B$38:$B$47,MATCH(X1160,Variables!$A$38:$A$47,0))="Yes","Yes","No"),"No")))</f>
        <v>Yes</v>
      </c>
      <c r="Z1160" s="58">
        <v>46157</v>
      </c>
      <c r="AB1160" s="31">
        <v>46164</v>
      </c>
      <c r="AC1160" s="13" t="str">
        <f t="shared" si="56"/>
        <v>Approved</v>
      </c>
      <c r="AF1160" s="71">
        <v>46184</v>
      </c>
      <c r="AG1160" s="35">
        <f>IF($AX1160="Cancelled","",IFERROR(IF(F1160="","",F1160-Variables!$B$13),""))</f>
        <v>46158</v>
      </c>
      <c r="AH1160" s="13">
        <f>IF($AX1160="Cancelled","",IFERROR(IF(AB1160="","",(AVERAGE(E1160:F1160)-AB1160)-Variables!$B$14),""))</f>
        <v>-34</v>
      </c>
      <c r="AJ1160" s="47">
        <v>46196</v>
      </c>
      <c r="AK1160" s="14">
        <f>IF($AX1160="Cancelled","",IFERROR(IF(AJ1160="","",IF(AND(AB1160="",AF1160=""),"",IF(AF1160&gt;AB1160,AF1160+Variables!$B$15+Variables!$B$16+Variables!$B$17-AJ1160,AB1160+Variables!$B$16+Variables!$B$17-AJ1160))),""))</f>
        <v>3</v>
      </c>
      <c r="AL1160" s="48" t="s">
        <v>114</v>
      </c>
      <c r="AM1160" s="13" t="s">
        <v>168</v>
      </c>
      <c r="AN1160" s="13" t="s">
        <v>2405</v>
      </c>
      <c r="AP1160" s="39">
        <v>46212</v>
      </c>
      <c r="AR1160" s="13" t="s">
        <v>2876</v>
      </c>
      <c r="AS1160" s="31">
        <v>46212</v>
      </c>
      <c r="AU1160" s="31">
        <v>46253</v>
      </c>
      <c r="AV1160" s="13" t="e">
        <v>#REF!</v>
      </c>
      <c r="AW1160" s="31">
        <v>46253</v>
      </c>
      <c r="AX1160" s="13" t="str">
        <f>IF(ISNUMBER(SEARCH("cancel",#REF!)),"Cancelled",IF(AND(AS1160&lt;&gt;"",AU1160&lt;&gt;"",AW1160&lt;&gt;""),"Closed","Open"))</f>
        <v>Closed</v>
      </c>
      <c r="AY1160" s="15" t="str">
        <f t="shared" si="55"/>
        <v>All dates received</v>
      </c>
      <c r="BD1160" s="13">
        <f>IF($AX1160="Cancelled","",IFERROR(IF(OR(AS1160="",AJ1160=""),"",(AJ1160+Variables!$B$18-AS1160)),""))</f>
        <v>-1</v>
      </c>
      <c r="BE1160" s="13">
        <f>IF($AX1160="Cancelled","",IFERROR(IF(OR(AW1160="",AS1160=""),"",(AS1160+Variables!$B$19)-AW1160),""))</f>
        <v>-36</v>
      </c>
      <c r="BF1160" s="44">
        <f>IF($AX1160="Cancelled","",IFERROR(W1160*INDEX(Variables!$B$7:$D$7,IFERROR(MATCH(IF($B1160="Robusta","Robusta",(IF($B1160="","Arabica",$B1160))&amp;" - "&amp;(IF($C1160="","Commercial",$C1160))),Variables!$B$1:$D$1,0),1))*(BE1160/365),""))</f>
        <v>-116.47552605417229</v>
      </c>
      <c r="BG1160" s="44">
        <f>IF($AX1160="Cancelled","",IFERROR((W1160*INDEX(Variables!$B$7:$D$7,IFERROR(MATCH(IF($B1160="Robusta","Robusta",(IF($B1160="","Arabica",$B1160))&amp;" - "&amp;(IF($C1160="","Commercial",$C1160))),Variables!$B$1:$D$1,0),1))*IFERROR(IF(AB1160="","",(AVERAGE(E1160:F1160)-AB1160)-Variables!$B$14),"")/365)+(L1160/16.67*INDEX(Variables!$B$8:$D$8,IFERROR(MATCH(IF($B1160="Robusta","Robusta",(IF($B1160="","Arabica",$B1160))&amp;" - "&amp;(IF($C1160="","Commercial",$C1160))),Variables!$B$1:$D$1,0),1))*IFERROR(IF(AB1160="","",(AVERAGE(E1160:F1160)-AB1160)-Variables!$B$14),""))+(W1160*INDEX(Variables!$B$9:$D$9,IFERROR(MATCH(IF($B1160="Robusta","Robusta",(IF($B1160="","Arabica",$B1160))&amp;" - "&amp;(IF($C1160="","Commercial",$C1160))),Variables!$B$1:$D$1,0),1))*IFERROR(IF(AB1160="","",(AVERAGE(E1160:F1160)-AB1160)-Variables!$B$14),"")/365),""))</f>
        <v>-213.42283590231628</v>
      </c>
      <c r="BH1160" s="44">
        <f>IF($AX1160="Cancelled","",IFERROR((W1160*INDEX(Variables!$B$7:$D$7,IFERROR(MATCH(IF($B1160="Robusta","Robusta",(IF($B1160="","Arabica",$B1160))&amp;" - "&amp;(IF($C1160="","Commercial",$C1160))),Variables!$B$1:$D$1,0),1))*AK1160/365)+(L1160/16.67*INDEX(Variables!$B$8:$D$8,IFERROR(MATCH(IF($B1160="Robusta","Robusta",(IF($B1160="","Arabica",$B1160))&amp;" - "&amp;(IF($C1160="","Commercial",$C1160))),Variables!$B$1:$D$1,0),1))*AK1160)+(W1160*INDEX(Variables!$B$9:$D$9,IFERROR(MATCH(IF($B1160="Robusta","Robusta",(IF($B1160="","Arabica",$B1160))&amp;" - "&amp;(IF($C1160="","Commercial",$C1160))),Variables!$B$1:$D$1,0),1))*AK1160/365),""))</f>
        <v>18.831426697263197</v>
      </c>
      <c r="BI1160" s="44">
        <f>IF($AX1160="Cancelled","",IFERROR((W1160*INDEX(Variables!$B$7:$D$7,IFERROR(MATCH(IF($B1160="Robusta","Robusta",(IF($B1160="","Arabica",$B1160))&amp;" - "&amp;(IF($C1160="","Commercial",$C1160))),Variables!$B$1:$D$1,0),1))*BD1160/365)+(L1160/16.67*INDEX(Variables!$B$8:$D$8,IFERROR(MATCH(IF($B1160="Robusta","Robusta",(IF($B1160="","Arabica",$B1160))&amp;" - "&amp;(IF($C1160="","Commercial",$C1160))),Variables!$B$1:$D$1,0),1))*BD1160)+(W1160*INDEX(Variables!$B$9:$D$9,IFERROR(MATCH(IF($B1160="Robusta","Robusta",(IF($B1160="","Arabica",$B1160))&amp;" - "&amp;(IF($C1160="","Commercial",$C1160))),Variables!$B$1:$D$1,0),1))*BD1160/365),""))</f>
        <v>-6.2771422324210668</v>
      </c>
      <c r="BJ1160" s="44">
        <f t="shared" si="57"/>
        <v>-39</v>
      </c>
      <c r="BK1160" s="44">
        <f>IF($AX1160="Cancelled","",IFERROR(IF(BJ1160="","",(W1160*INDEX(Variables!$B$7:$D$7,IFERROR(MATCH(IF($B1160="Robusta","Robusta",(IF($B1160="","Arabica",$B1160))&amp;" - "&amp;(IF($C1160="","Commercial",$C1160))),Variables!$B$1:$D$1,0),1))*(BJ1160/365))+(W1160*INDEX(Variables!$B$9:$D$9,IFERROR(MATCH(IF($B1160="Robusta","Robusta",(IF($B1160="","Arabica",$B1160))&amp;" - "&amp;(IF($C1160="","Commercial",$C1160))),Variables!$B$1:$D$1,0),1))*(BJ1160/365))+(INDEX(Variables!$B$8:$D$8,IFERROR(MATCH(IF($B1160="Robusta","Robusta",(IF($B1160="","Arabica",$B1160))&amp;" - "&amp;(IF($C1160="","Commercial",$C1160))),Variables!$B$1:$D$1,0),1))*L1160/16.67)),""))</f>
        <v>-124.80854706442162</v>
      </c>
    </row>
    <row r="1161" spans="1:63">
      <c r="A1161" s="13" t="s">
        <v>103</v>
      </c>
      <c r="B1161" s="13" t="s">
        <v>104</v>
      </c>
      <c r="C1161" s="13" t="s">
        <v>105</v>
      </c>
      <c r="D1161" s="31">
        <v>46147</v>
      </c>
      <c r="E1161" s="31">
        <v>46204</v>
      </c>
      <c r="F1161" s="31">
        <v>46234</v>
      </c>
      <c r="G1161" s="13">
        <v>3787587</v>
      </c>
      <c r="J1161" s="13" t="s">
        <v>260</v>
      </c>
      <c r="K1161" s="13">
        <v>5587</v>
      </c>
      <c r="L1161" s="13">
        <v>320</v>
      </c>
      <c r="M1161" s="13">
        <v>1</v>
      </c>
      <c r="N1161" s="13" t="s">
        <v>2879</v>
      </c>
      <c r="O1161" s="13" t="s">
        <v>456</v>
      </c>
      <c r="P1161" s="13">
        <v>10140</v>
      </c>
      <c r="R1161" s="13" t="s">
        <v>110</v>
      </c>
      <c r="S1161" s="13" t="s">
        <v>262</v>
      </c>
      <c r="T1161" s="13" t="s">
        <v>263</v>
      </c>
      <c r="U1161" s="13" t="s">
        <v>125</v>
      </c>
      <c r="V1161" s="23">
        <v>-65</v>
      </c>
      <c r="W1161" s="44">
        <f>IF($AX1161="Cancelled","",IFERROR(((V1161+INDEX(Variables!$B$6:$D$6,IFERROR(MATCH(IF($B1161="Robusta","Robusta",(IF($B1161="","Arabica",$B1161))&amp;" - "&amp;(IF($C1161="","Commercial",$C1161))),Variables!$B$1:$D$1,0),1)))*22.0462)*(L1161/16.67),""))</f>
        <v>95559.101811637665</v>
      </c>
      <c r="X1161" s="55" t="s">
        <v>37</v>
      </c>
      <c r="Y1161" s="13" t="str">
        <f>IF($AX1161="Cancelled","",IF(X1161="","",IFERROR(IF(INDEX(Variables!$B$38:$B$47,MATCH(X1161,Variables!$A$38:$A$47,0))="Yes","Yes","No"),"No")))</f>
        <v>Yes</v>
      </c>
      <c r="Z1161" s="58" t="s">
        <v>2880</v>
      </c>
      <c r="AB1161" s="31">
        <v>46176</v>
      </c>
      <c r="AC1161" s="13" t="str">
        <f t="shared" si="56"/>
        <v>Approved</v>
      </c>
      <c r="AF1161" s="71">
        <v>46216</v>
      </c>
      <c r="AG1161" s="35">
        <f>IF($AX1161="Cancelled","",IFERROR(IF(F1161="","",F1161-Variables!$B$13),""))</f>
        <v>46219</v>
      </c>
      <c r="AH1161" s="13">
        <f>IF($AX1161="Cancelled","",IFERROR(IF(AB1161="","",(AVERAGE(E1161:F1161)-AB1161)-Variables!$B$14),""))</f>
        <v>13</v>
      </c>
      <c r="AJ1161" s="47">
        <v>46219</v>
      </c>
      <c r="AK1161" s="14">
        <f>IF($AX1161="Cancelled","",IFERROR(IF(AJ1161="","",IF(AND(AB1161="",AF1161=""),"",IF(AF1161&gt;AB1161,AF1161+Variables!$B$15+Variables!$B$16+Variables!$B$17-AJ1161,AB1161+Variables!$B$16+Variables!$B$17-AJ1161))),""))</f>
        <v>12</v>
      </c>
      <c r="AL1161" s="48" t="s">
        <v>114</v>
      </c>
      <c r="AM1161" s="13" t="s">
        <v>168</v>
      </c>
      <c r="AN1161" s="13" t="s">
        <v>2362</v>
      </c>
      <c r="AP1161" s="39">
        <v>46227</v>
      </c>
      <c r="AR1161" s="13" t="s">
        <v>2881</v>
      </c>
      <c r="AS1161" s="31">
        <v>46227</v>
      </c>
      <c r="AU1161" s="31">
        <v>46258</v>
      </c>
      <c r="AV1161" s="13" t="s">
        <v>865</v>
      </c>
      <c r="AW1161" s="39">
        <v>46258</v>
      </c>
      <c r="AX1161" s="13" t="str">
        <f>IF(ISNUMBER(SEARCH("cancel",#REF!)),"Cancelled",IF(AND(AS1161&lt;&gt;"",AU1161&lt;&gt;"",AW1161&lt;&gt;""),"Closed","Open"))</f>
        <v>Closed</v>
      </c>
      <c r="AY1161" s="15" t="str">
        <f t="shared" si="55"/>
        <v>All dates received</v>
      </c>
      <c r="BD1161" s="13">
        <f>IF($AX1161="Cancelled","",IFERROR(IF(OR(AS1161="",AJ1161=""),"",(AJ1161+Variables!$B$18-AS1161)),""))</f>
        <v>7</v>
      </c>
      <c r="BE1161" s="13">
        <f>IF($AX1161="Cancelled","",IFERROR(IF(OR(AW1161="",AS1161=""),"",(AS1161+Variables!$B$19)-AW1161),""))</f>
        <v>-26</v>
      </c>
      <c r="BF1161" s="44">
        <f>IF($AX1161="Cancelled","",IFERROR(W1161*INDEX(Variables!$B$7:$D$7,IFERROR(MATCH(IF($B1161="Robusta","Robusta",(IF($B1161="","Arabica",$B1161))&amp;" - "&amp;(IF($C1161="","Commercial",$C1161))),Variables!$B$1:$D$1,0),1))*(BE1161/365),""))</f>
        <v>-438.92709311177521</v>
      </c>
      <c r="BG1161" s="44">
        <f>IF($AX1161="Cancelled","",IFERROR((W1161*INDEX(Variables!$B$7:$D$7,IFERROR(MATCH(IF($B1161="Robusta","Robusta",(IF($B1161="","Arabica",$B1161))&amp;" - "&amp;(IF($C1161="","Commercial",$C1161))),Variables!$B$1:$D$1,0),1))*IFERROR(IF(AB1161="","",(AVERAGE(E1161:F1161)-AB1161)-Variables!$B$14),"")/365)+(L1161/16.67*INDEX(Variables!$B$8:$D$8,IFERROR(MATCH(IF($B1161="Robusta","Robusta",(IF($B1161="","Arabica",$B1161))&amp;" - "&amp;(IF($C1161="","Commercial",$C1161))),Variables!$B$1:$D$1,0),1))*IFERROR(IF(AB1161="","",(AVERAGE(E1161:F1161)-AB1161)-Variables!$B$14),""))+(W1161*INDEX(Variables!$B$9:$D$9,IFERROR(MATCH(IF($B1161="Robusta","Robusta",(IF($B1161="","Arabica",$B1161))&amp;" - "&amp;(IF($C1161="","Commercial",$C1161))),Variables!$B$1:$D$1,0),1))*IFERROR(IF(AB1161="","",(AVERAGE(E1161:F1161)-AB1161)-Variables!$B$14),"")/365),""))</f>
        <v>430.29285520621136</v>
      </c>
      <c r="BH1161" s="44">
        <f>IF($AX1161="Cancelled","",IFERROR((W1161*INDEX(Variables!$B$7:$D$7,IFERROR(MATCH(IF($B1161="Robusta","Robusta",(IF($B1161="","Arabica",$B1161))&amp;" - "&amp;(IF($C1161="","Commercial",$C1161))),Variables!$B$1:$D$1,0),1))*AK1161/365)+(L1161/16.67*INDEX(Variables!$B$8:$D$8,IFERROR(MATCH(IF($B1161="Robusta","Robusta",(IF($B1161="","Arabica",$B1161))&amp;" - "&amp;(IF($C1161="","Commercial",$C1161))),Variables!$B$1:$D$1,0),1))*AK1161)+(W1161*INDEX(Variables!$B$9:$D$9,IFERROR(MATCH(IF($B1161="Robusta","Robusta",(IF($B1161="","Arabica",$B1161))&amp;" - "&amp;(IF($C1161="","Commercial",$C1161))),Variables!$B$1:$D$1,0),1))*AK1161/365),""))</f>
        <v>397.19340480573362</v>
      </c>
      <c r="BI1161" s="44">
        <f>IF($AX1161="Cancelled","",IFERROR((W1161*INDEX(Variables!$B$7:$D$7,IFERROR(MATCH(IF($B1161="Robusta","Robusta",(IF($B1161="","Arabica",$B1161))&amp;" - "&amp;(IF($C1161="","Commercial",$C1161))),Variables!$B$1:$D$1,0),1))*BD1161/365)+(L1161/16.67*INDEX(Variables!$B$8:$D$8,IFERROR(MATCH(IF($B1161="Robusta","Robusta",(IF($B1161="","Arabica",$B1161))&amp;" - "&amp;(IF($C1161="","Commercial",$C1161))),Variables!$B$1:$D$1,0),1))*BD1161)+(W1161*INDEX(Variables!$B$9:$D$9,IFERROR(MATCH(IF($B1161="Robusta","Robusta",(IF($B1161="","Arabica",$B1161))&amp;" - "&amp;(IF($C1161="","Commercial",$C1161))),Variables!$B$1:$D$1,0),1))*BD1161/365),""))</f>
        <v>231.6961528033446</v>
      </c>
      <c r="BJ1161" s="44">
        <f t="shared" si="57"/>
        <v>7</v>
      </c>
      <c r="BK1161" s="44">
        <f>IF($AX1161="Cancelled","",IFERROR(IF(BJ1161="","",(W1161*INDEX(Variables!$B$7:$D$7,IFERROR(MATCH(IF($B1161="Robusta","Robusta",(IF($B1161="","Arabica",$B1161))&amp;" - "&amp;(IF($C1161="","Commercial",$C1161))),Variables!$B$1:$D$1,0),1))*(BJ1161/365))+(W1161*INDEX(Variables!$B$9:$D$9,IFERROR(MATCH(IF($B1161="Robusta","Robusta",(IF($B1161="","Arabica",$B1161))&amp;" - "&amp;(IF($C1161="","Commercial",$C1161))),Variables!$B$1:$D$1,0),1))*(BJ1161/365))+(INDEX(Variables!$B$8:$D$8,IFERROR(MATCH(IF($B1161="Robusta","Robusta",(IF($B1161="","Arabica",$B1161))&amp;" - "&amp;(IF($C1161="","Commercial",$C1161))),Variables!$B$1:$D$1,0),1))*L1161/16.67)),""))</f>
        <v>135.6961528033446</v>
      </c>
    </row>
    <row r="1162" spans="1:63">
      <c r="A1162" s="13" t="s">
        <v>103</v>
      </c>
      <c r="B1162" s="13" t="s">
        <v>104</v>
      </c>
      <c r="C1162" s="13" t="s">
        <v>105</v>
      </c>
      <c r="D1162" s="31">
        <v>46147</v>
      </c>
      <c r="E1162" s="31">
        <v>46235</v>
      </c>
      <c r="F1162" s="31">
        <v>46265</v>
      </c>
      <c r="G1162" s="13">
        <v>3787588</v>
      </c>
      <c r="J1162" s="13" t="s">
        <v>260</v>
      </c>
      <c r="K1162" s="13">
        <v>5600</v>
      </c>
      <c r="L1162" s="13">
        <v>320</v>
      </c>
      <c r="M1162" s="13">
        <v>1</v>
      </c>
      <c r="N1162" s="13" t="s">
        <v>2879</v>
      </c>
      <c r="O1162" s="13" t="s">
        <v>456</v>
      </c>
      <c r="P1162" s="13">
        <v>10140</v>
      </c>
      <c r="R1162" s="13" t="s">
        <v>110</v>
      </c>
      <c r="S1162" s="13" t="s">
        <v>1048</v>
      </c>
      <c r="T1162" s="13" t="s">
        <v>263</v>
      </c>
      <c r="U1162" s="13" t="s">
        <v>125</v>
      </c>
      <c r="V1162" s="23">
        <v>-65</v>
      </c>
      <c r="W1162" s="44">
        <f>IF($AX1162="Cancelled","",IFERROR(((V1162+INDEX(Variables!$B$6:$D$6,IFERROR(MATCH(IF($B1162="Robusta","Robusta",(IF($B1162="","Arabica",$B1162))&amp;" - "&amp;(IF($C1162="","Commercial",$C1162))),Variables!$B$1:$D$1,0),1)))*22.0462)*(L1162/16.67),""))</f>
        <v>95559.101811637665</v>
      </c>
      <c r="X1162" s="55" t="s">
        <v>37</v>
      </c>
      <c r="Y1162" s="13" t="str">
        <f>IF($AX1162="Cancelled","",IF(X1162="","",IFERROR(IF(INDEX(Variables!$B$38:$B$47,MATCH(X1162,Variables!$A$38:$A$47,0))="Yes","Yes","No"),"No")))</f>
        <v>Yes</v>
      </c>
      <c r="Z1162" s="58">
        <v>46212</v>
      </c>
      <c r="AB1162" s="31">
        <v>46230</v>
      </c>
      <c r="AC1162" s="13" t="str">
        <f t="shared" si="56"/>
        <v>Approved</v>
      </c>
      <c r="AF1162" s="71">
        <v>46230</v>
      </c>
      <c r="AG1162" s="35">
        <f>IF($AX1162="Cancelled","",IFERROR(IF(F1162="","",F1162-Variables!$B$13),""))</f>
        <v>46250</v>
      </c>
      <c r="AH1162" s="13">
        <f>IF($AX1162="Cancelled","",IFERROR(IF(AB1162="","",(AVERAGE(E1162:F1162)-AB1162)-Variables!$B$14),""))</f>
        <v>-10</v>
      </c>
      <c r="AJ1162" s="47">
        <v>46237</v>
      </c>
      <c r="AK1162" s="14">
        <f>IF($AX1162="Cancelled","",IFERROR(IF(AJ1162="","",IF(AND(AB1162="",AF1162=""),"",IF(AF1162&gt;AB1162,AF1162+Variables!$B$15+Variables!$B$16+Variables!$B$17-AJ1162,AB1162+Variables!$B$16+Variables!$B$17-AJ1162))),""))</f>
        <v>1</v>
      </c>
      <c r="AL1162" s="48" t="s">
        <v>114</v>
      </c>
      <c r="AM1162" s="13" t="s">
        <v>115</v>
      </c>
      <c r="AN1162" s="13" t="s">
        <v>2188</v>
      </c>
      <c r="AP1162" s="39">
        <v>46263</v>
      </c>
      <c r="AR1162" s="13">
        <v>275084825</v>
      </c>
      <c r="AS1162" s="31">
        <v>46263</v>
      </c>
      <c r="AU1162" s="39">
        <v>46280</v>
      </c>
      <c r="AV1162" s="13" t="s">
        <v>865</v>
      </c>
      <c r="AW1162" s="39">
        <v>46280</v>
      </c>
      <c r="AX1162" s="13" t="str">
        <f>IF(ISNUMBER(SEARCH("cancel",#REF!)),"Cancelled",IF(AND(AS1162&lt;&gt;"",AU1162&lt;&gt;"",AW1162&lt;&gt;""),"Closed","Open"))</f>
        <v>Closed</v>
      </c>
      <c r="AY1162" s="15" t="str">
        <f t="shared" si="55"/>
        <v>All dates received</v>
      </c>
      <c r="BD1162" s="13">
        <f>IF($AX1162="Cancelled","",IFERROR(IF(OR(AS1162="",AJ1162=""),"",(AJ1162+Variables!$B$18-AS1162)),""))</f>
        <v>-11</v>
      </c>
      <c r="BE1162" s="13">
        <f>IF($AX1162="Cancelled","",IFERROR(IF(OR(AW1162="",AS1162=""),"",(AS1162+Variables!$B$19)-AW1162),""))</f>
        <v>-12</v>
      </c>
      <c r="BF1162" s="44">
        <f>IF($AX1162="Cancelled","",IFERROR(W1162*INDEX(Variables!$B$7:$D$7,IFERROR(MATCH(IF($B1162="Robusta","Robusta",(IF($B1162="","Arabica",$B1162))&amp;" - "&amp;(IF($C1162="","Commercial",$C1162))),Variables!$B$1:$D$1,0),1))*(BE1162/365),""))</f>
        <v>-202.58173528235776</v>
      </c>
      <c r="BG1162" s="44">
        <f>IF($AX1162="Cancelled","",IFERROR((W1162*INDEX(Variables!$B$7:$D$7,IFERROR(MATCH(IF($B1162="Robusta","Robusta",(IF($B1162="","Arabica",$B1162))&amp;" - "&amp;(IF($C1162="","Commercial",$C1162))),Variables!$B$1:$D$1,0),1))*IFERROR(IF(AB1162="","",(AVERAGE(E1162:F1162)-AB1162)-Variables!$B$14),"")/365)+(L1162/16.67*INDEX(Variables!$B$8:$D$8,IFERROR(MATCH(IF($B1162="Robusta","Robusta",(IF($B1162="","Arabica",$B1162))&amp;" - "&amp;(IF($C1162="","Commercial",$C1162))),Variables!$B$1:$D$1,0),1))*IFERROR(IF(AB1162="","",(AVERAGE(E1162:F1162)-AB1162)-Variables!$B$14),""))+(W1162*INDEX(Variables!$B$9:$D$9,IFERROR(MATCH(IF($B1162="Robusta","Robusta",(IF($B1162="","Arabica",$B1162))&amp;" - "&amp;(IF($C1162="","Commercial",$C1162))),Variables!$B$1:$D$1,0),1))*IFERROR(IF(AB1162="","",(AVERAGE(E1162:F1162)-AB1162)-Variables!$B$14),"")/365),""))</f>
        <v>-330.99450400477798</v>
      </c>
      <c r="BH1162" s="44">
        <f>IF($AX1162="Cancelled","",IFERROR((W1162*INDEX(Variables!$B$7:$D$7,IFERROR(MATCH(IF($B1162="Robusta","Robusta",(IF($B1162="","Arabica",$B1162))&amp;" - "&amp;(IF($C1162="","Commercial",$C1162))),Variables!$B$1:$D$1,0),1))*AK1162/365)+(L1162/16.67*INDEX(Variables!$B$8:$D$8,IFERROR(MATCH(IF($B1162="Robusta","Robusta",(IF($B1162="","Arabica",$B1162))&amp;" - "&amp;(IF($C1162="","Commercial",$C1162))),Variables!$B$1:$D$1,0),1))*AK1162)+(W1162*INDEX(Variables!$B$9:$D$9,IFERROR(MATCH(IF($B1162="Robusta","Robusta",(IF($B1162="","Arabica",$B1162))&amp;" - "&amp;(IF($C1162="","Commercial",$C1162))),Variables!$B$1:$D$1,0),1))*AK1162/365),""))</f>
        <v>33.099450400477807</v>
      </c>
      <c r="BI1162" s="44">
        <f>IF($AX1162="Cancelled","",IFERROR((W1162*INDEX(Variables!$B$7:$D$7,IFERROR(MATCH(IF($B1162="Robusta","Robusta",(IF($B1162="","Arabica",$B1162))&amp;" - "&amp;(IF($C1162="","Commercial",$C1162))),Variables!$B$1:$D$1,0),1))*BD1162/365)+(L1162/16.67*INDEX(Variables!$B$8:$D$8,IFERROR(MATCH(IF($B1162="Robusta","Robusta",(IF($B1162="","Arabica",$B1162))&amp;" - "&amp;(IF($C1162="","Commercial",$C1162))),Variables!$B$1:$D$1,0),1))*BD1162)+(W1162*INDEX(Variables!$B$9:$D$9,IFERROR(MATCH(IF($B1162="Robusta","Robusta",(IF($B1162="","Arabica",$B1162))&amp;" - "&amp;(IF($C1162="","Commercial",$C1162))),Variables!$B$1:$D$1,0),1))*BD1162/365),""))</f>
        <v>-364.09395440525577</v>
      </c>
      <c r="BJ1162" s="44">
        <f t="shared" si="57"/>
        <v>2</v>
      </c>
      <c r="BK1162" s="44">
        <f>IF($AX1162="Cancelled","",IFERROR(IF(BJ1162="","",(W1162*INDEX(Variables!$B$7:$D$7,IFERROR(MATCH(IF($B1162="Robusta","Robusta",(IF($B1162="","Arabica",$B1162))&amp;" - "&amp;(IF($C1162="","Commercial",$C1162))),Variables!$B$1:$D$1,0),1))*(BJ1162/365))+(W1162*INDEX(Variables!$B$9:$D$9,IFERROR(MATCH(IF($B1162="Robusta","Robusta",(IF($B1162="","Arabica",$B1162))&amp;" - "&amp;(IF($C1162="","Commercial",$C1162))),Variables!$B$1:$D$1,0),1))*(BJ1162/365))+(INDEX(Variables!$B$8:$D$8,IFERROR(MATCH(IF($B1162="Robusta","Robusta",(IF($B1162="","Arabica",$B1162))&amp;" - "&amp;(IF($C1162="","Commercial",$C1162))),Variables!$B$1:$D$1,0),1))*L1162/16.67)),""))</f>
        <v>50.198900800955599</v>
      </c>
    </row>
    <row r="1163" spans="1:63">
      <c r="A1163" s="13" t="s">
        <v>103</v>
      </c>
      <c r="B1163" s="13" t="s">
        <v>104</v>
      </c>
      <c r="C1163" s="13" t="s">
        <v>105</v>
      </c>
      <c r="D1163" s="31">
        <v>46149</v>
      </c>
      <c r="E1163" s="31">
        <v>46150</v>
      </c>
      <c r="F1163" s="31">
        <v>46173</v>
      </c>
      <c r="G1163" s="13">
        <v>3787589</v>
      </c>
      <c r="J1163" s="13" t="s">
        <v>107</v>
      </c>
      <c r="K1163" s="13">
        <v>5532</v>
      </c>
      <c r="L1163" s="13">
        <v>2000</v>
      </c>
      <c r="M1163" s="13">
        <v>6</v>
      </c>
      <c r="N1163" s="13" t="s">
        <v>2769</v>
      </c>
      <c r="O1163" s="13" t="s">
        <v>405</v>
      </c>
      <c r="P1163" s="13">
        <v>10150</v>
      </c>
      <c r="R1163" s="13" t="s">
        <v>271</v>
      </c>
      <c r="S1163" s="13" t="s">
        <v>167</v>
      </c>
      <c r="T1163" s="13" t="s">
        <v>155</v>
      </c>
      <c r="U1163" s="13" t="s">
        <v>125</v>
      </c>
      <c r="V1163" s="23">
        <v>-70</v>
      </c>
      <c r="W1163" s="44">
        <f>IF($AX1163="Cancelled","",IFERROR(((V1163+INDEX(Variables!$B$6:$D$6,IFERROR(MATCH(IF($B1163="Robusta","Robusta",(IF($B1163="","Arabica",$B1163))&amp;" - "&amp;(IF($C1163="","Commercial",$C1163))),Variables!$B$1:$D$1,0),1)))*22.0462)*(L1163/16.67),""))</f>
        <v>584019.31133773236</v>
      </c>
      <c r="X1163" s="55" t="s">
        <v>37</v>
      </c>
      <c r="Y1163" s="13" t="str">
        <f>IF($AX1163="Cancelled","",IF(X1163="","",IFERROR(IF(INDEX(Variables!$B$38:$B$47,MATCH(X1163,Variables!$A$38:$A$47,0))="Yes","Yes","No"),"No")))</f>
        <v>Yes</v>
      </c>
      <c r="Z1163" s="58">
        <v>46175</v>
      </c>
      <c r="AB1163" s="31">
        <v>46182</v>
      </c>
      <c r="AC1163" s="13" t="str">
        <f t="shared" si="56"/>
        <v>Approved</v>
      </c>
      <c r="AF1163" s="71">
        <v>46195</v>
      </c>
      <c r="AG1163" s="35">
        <f>IF($AX1163="Cancelled","",IFERROR(IF(F1163="","",F1163-Variables!$B$13),""))</f>
        <v>46158</v>
      </c>
      <c r="AH1163" s="13">
        <f>IF($AX1163="Cancelled","",IFERROR(IF(AB1163="","",(AVERAGE(E1163:F1163)-AB1163)-Variables!$B$14),""))</f>
        <v>-50.5</v>
      </c>
      <c r="AJ1163" s="47">
        <v>46206</v>
      </c>
      <c r="AK1163" s="14">
        <f>IF($AX1163="Cancelled","",IFERROR(IF(AJ1163="","",IF(AND(AB1163="",AF1163=""),"",IF(AF1163&gt;AB1163,AF1163+Variables!$B$15+Variables!$B$16+Variables!$B$17-AJ1163,AB1163+Variables!$B$16+Variables!$B$17-AJ1163))),""))</f>
        <v>4</v>
      </c>
      <c r="AL1163" s="48" t="s">
        <v>114</v>
      </c>
      <c r="AM1163" s="13" t="s">
        <v>168</v>
      </c>
      <c r="AN1163" s="13" t="s">
        <v>2882</v>
      </c>
      <c r="AP1163" s="39">
        <v>46211</v>
      </c>
      <c r="AR1163" s="13" t="s">
        <v>2883</v>
      </c>
      <c r="AS1163" s="31">
        <v>46219</v>
      </c>
      <c r="AU1163" s="31">
        <v>46280</v>
      </c>
      <c r="AV1163" s="13" t="e">
        <v>#REF!</v>
      </c>
      <c r="AW1163" s="31">
        <v>46280</v>
      </c>
      <c r="AX1163" s="13" t="str">
        <f>IF(ISNUMBER(SEARCH("cancel",#REF!)),"Cancelled",IF(AND(AS1163&lt;&gt;"",AU1163&lt;&gt;"",AW1163&lt;&gt;""),"Closed","Open"))</f>
        <v>Closed</v>
      </c>
      <c r="AY1163" s="15" t="str">
        <f t="shared" si="55"/>
        <v>All dates received</v>
      </c>
      <c r="BD1163" s="13">
        <f>IF($AX1163="Cancelled","",IFERROR(IF(OR(AS1163="",AJ1163=""),"",(AJ1163+Variables!$B$18-AS1163)),""))</f>
        <v>2</v>
      </c>
      <c r="BE1163" s="13">
        <f>IF($AX1163="Cancelled","",IFERROR(IF(OR(AW1163="",AS1163=""),"",(AS1163+Variables!$B$19)-AW1163),""))</f>
        <v>-56</v>
      </c>
      <c r="BF1163" s="44">
        <f>IF($AX1163="Cancelled","",IFERROR(W1163*INDEX(Variables!$B$7:$D$7,IFERROR(MATCH(IF($B1163="Robusta","Robusta",(IF($B1163="","Arabica",$B1163))&amp;" - "&amp;(IF($C1163="","Commercial",$C1163))),Variables!$B$1:$D$1,0),1))*(BE1163/365),""))</f>
        <v>-5777.7961701434187</v>
      </c>
      <c r="BG1163" s="44">
        <f>IF($AX1163="Cancelled","",IFERROR((W1163*INDEX(Variables!$B$7:$D$7,IFERROR(MATCH(IF($B1163="Robusta","Robusta",(IF($B1163="","Arabica",$B1163))&amp;" - "&amp;(IF($C1163="","Commercial",$C1163))),Variables!$B$1:$D$1,0),1))*IFERROR(IF(AB1163="","",(AVERAGE(E1163:F1163)-AB1163)-Variables!$B$14),"")/365)+(L1163/16.67*INDEX(Variables!$B$8:$D$8,IFERROR(MATCH(IF($B1163="Robusta","Robusta",(IF($B1163="","Arabica",$B1163))&amp;" - "&amp;(IF($C1163="","Commercial",$C1163))),Variables!$B$1:$D$1,0),1))*IFERROR(IF(AB1163="","",(AVERAGE(E1163:F1163)-AB1163)-Variables!$B$14),""))+(W1163*INDEX(Variables!$B$9:$D$9,IFERROR(MATCH(IF($B1163="Robusta","Robusta",(IF($B1163="","Arabica",$B1163))&amp;" - "&amp;(IF($C1163="","Commercial",$C1163))),Variables!$B$1:$D$1,0),1))*IFERROR(IF(AB1163="","",(AVERAGE(E1163:F1163)-AB1163)-Variables!$B$14),"")/365),""))</f>
        <v>-10327.505307392817</v>
      </c>
      <c r="BH1163" s="44">
        <f>IF($AX1163="Cancelled","",IFERROR((W1163*INDEX(Variables!$B$7:$D$7,IFERROR(MATCH(IF($B1163="Robusta","Robusta",(IF($B1163="","Arabica",$B1163))&amp;" - "&amp;(IF($C1163="","Commercial",$C1163))),Variables!$B$1:$D$1,0),1))*AK1163/365)+(L1163/16.67*INDEX(Variables!$B$8:$D$8,IFERROR(MATCH(IF($B1163="Robusta","Robusta",(IF($B1163="","Arabica",$B1163))&amp;" - "&amp;(IF($C1163="","Commercial",$C1163))),Variables!$B$1:$D$1,0),1))*AK1163)+(W1163*INDEX(Variables!$B$9:$D$9,IFERROR(MATCH(IF($B1163="Robusta","Robusta",(IF($B1163="","Arabica",$B1163))&amp;" - "&amp;(IF($C1163="","Commercial",$C1163))),Variables!$B$1:$D$1,0),1))*AK1163/365),""))</f>
        <v>818.02022236774781</v>
      </c>
      <c r="BI1163" s="44">
        <f>IF($AX1163="Cancelled","",IFERROR((W1163*INDEX(Variables!$B$7:$D$7,IFERROR(MATCH(IF($B1163="Robusta","Robusta",(IF($B1163="","Arabica",$B1163))&amp;" - "&amp;(IF($C1163="","Commercial",$C1163))),Variables!$B$1:$D$1,0),1))*BD1163/365)+(L1163/16.67*INDEX(Variables!$B$8:$D$8,IFERROR(MATCH(IF($B1163="Robusta","Robusta",(IF($B1163="","Arabica",$B1163))&amp;" - "&amp;(IF($C1163="","Commercial",$C1163))),Variables!$B$1:$D$1,0),1))*BD1163)+(W1163*INDEX(Variables!$B$9:$D$9,IFERROR(MATCH(IF($B1163="Robusta","Robusta",(IF($B1163="","Arabica",$B1163))&amp;" - "&amp;(IF($C1163="","Commercial",$C1163))),Variables!$B$1:$D$1,0),1))*BD1163/365),""))</f>
        <v>409.0101111838739</v>
      </c>
      <c r="BJ1163" s="44">
        <f t="shared" si="57"/>
        <v>-46</v>
      </c>
      <c r="BK1163" s="44">
        <f>IF($AX1163="Cancelled","",IFERROR(IF(BJ1163="","",(W1163*INDEX(Variables!$B$7:$D$7,IFERROR(MATCH(IF($B1163="Robusta","Robusta",(IF($B1163="","Arabica",$B1163))&amp;" - "&amp;(IF($C1163="","Commercial",$C1163))),Variables!$B$1:$D$1,0),1))*(BJ1163/365))+(W1163*INDEX(Variables!$B$9:$D$9,IFERROR(MATCH(IF($B1163="Robusta","Robusta",(IF($B1163="","Arabica",$B1163))&amp;" - "&amp;(IF($C1163="","Commercial",$C1163))),Variables!$B$1:$D$1,0),1))*(BJ1163/365))+(INDEX(Variables!$B$8:$D$8,IFERROR(MATCH(IF($B1163="Robusta","Robusta",(IF($B1163="","Arabica",$B1163))&amp;" - "&amp;(IF($C1163="","Commercial",$C1163))),Variables!$B$1:$D$1,0),1))*L1163/16.67)),""))</f>
        <v>-4707.2325572290993</v>
      </c>
    </row>
    <row r="1164" spans="1:63">
      <c r="A1164" s="13" t="s">
        <v>103</v>
      </c>
      <c r="B1164" s="13" t="s">
        <v>104</v>
      </c>
      <c r="C1164" s="13" t="s">
        <v>105</v>
      </c>
      <c r="D1164" s="31">
        <v>46149</v>
      </c>
      <c r="E1164" s="31">
        <v>46150</v>
      </c>
      <c r="F1164" s="31">
        <v>46173</v>
      </c>
      <c r="G1164" s="13">
        <v>3787590</v>
      </c>
      <c r="J1164" s="13" t="s">
        <v>107</v>
      </c>
      <c r="K1164" s="13">
        <v>5533</v>
      </c>
      <c r="L1164" s="13">
        <v>667</v>
      </c>
      <c r="M1164" s="13">
        <v>2</v>
      </c>
      <c r="N1164" s="13" t="s">
        <v>2884</v>
      </c>
      <c r="O1164" s="13" t="s">
        <v>405</v>
      </c>
      <c r="P1164" s="13">
        <v>10150</v>
      </c>
      <c r="R1164" s="13" t="s">
        <v>271</v>
      </c>
      <c r="S1164" s="13" t="s">
        <v>167</v>
      </c>
      <c r="T1164" s="13" t="s">
        <v>155</v>
      </c>
      <c r="U1164" s="13" t="s">
        <v>125</v>
      </c>
      <c r="V1164" s="23">
        <v>-64</v>
      </c>
      <c r="W1164" s="44">
        <f>IF($AX1164="Cancelled","",IFERROR(((V1164+INDEX(Variables!$B$6:$D$6,IFERROR(MATCH(IF($B1164="Robusta","Robusta",(IF($B1164="","Arabica",$B1164))&amp;" - "&amp;(IF($C1164="","Commercial",$C1164))),Variables!$B$1:$D$1,0),1)))*22.0462)*(L1164/16.67),""))</f>
        <v>200063.11534013198</v>
      </c>
      <c r="X1164" s="55" t="s">
        <v>37</v>
      </c>
      <c r="Y1164" s="13" t="str">
        <f>IF($AX1164="Cancelled","",IF(X1164="","",IFERROR(IF(INDEX(Variables!$B$38:$B$47,MATCH(X1164,Variables!$A$38:$A$47,0))="Yes","Yes","No"),"No")))</f>
        <v>Yes</v>
      </c>
      <c r="Z1164" s="58">
        <v>46157</v>
      </c>
      <c r="AB1164" s="31">
        <v>46163</v>
      </c>
      <c r="AC1164" s="13" t="str">
        <f t="shared" si="56"/>
        <v>Approved</v>
      </c>
      <c r="AF1164" s="71">
        <v>46184</v>
      </c>
      <c r="AG1164" s="35">
        <f>IF($AX1164="Cancelled","",IFERROR(IF(F1164="","",F1164-Variables!$B$13),""))</f>
        <v>46158</v>
      </c>
      <c r="AH1164" s="13">
        <f>IF($AX1164="Cancelled","",IFERROR(IF(AB1164="","",(AVERAGE(E1164:F1164)-AB1164)-Variables!$B$14),""))</f>
        <v>-31.5</v>
      </c>
      <c r="AJ1164" s="47">
        <v>46199</v>
      </c>
      <c r="AK1164" s="14">
        <f>IF($AX1164="Cancelled","",IFERROR(IF(AJ1164="","",IF(AND(AB1164="",AF1164=""),"",IF(AF1164&gt;AB1164,AF1164+Variables!$B$15+Variables!$B$16+Variables!$B$17-AJ1164,AB1164+Variables!$B$16+Variables!$B$17-AJ1164))),""))</f>
        <v>0</v>
      </c>
      <c r="AL1164" s="48" t="s">
        <v>114</v>
      </c>
      <c r="AM1164" s="13" t="s">
        <v>1526</v>
      </c>
      <c r="AN1164" s="13" t="s">
        <v>2885</v>
      </c>
      <c r="AP1164" s="39">
        <v>46211</v>
      </c>
      <c r="AR1164" s="13" t="s">
        <v>2886</v>
      </c>
      <c r="AS1164" s="31">
        <v>46219</v>
      </c>
      <c r="AU1164" s="31">
        <v>46275</v>
      </c>
      <c r="AV1164" s="13" t="e">
        <v>#REF!</v>
      </c>
      <c r="AW1164" s="31">
        <v>46275</v>
      </c>
      <c r="AX1164" s="13" t="str">
        <f>IF(ISNUMBER(SEARCH("cancel",#REF!)),"Cancelled",IF(AND(AS1164&lt;&gt;"",AU1164&lt;&gt;"",AW1164&lt;&gt;""),"Closed","Open"))</f>
        <v>Closed</v>
      </c>
      <c r="AY1164" s="15" t="str">
        <f t="shared" si="55"/>
        <v>All dates received</v>
      </c>
      <c r="BD1164" s="13">
        <f>IF($AX1164="Cancelled","",IFERROR(IF(OR(AS1164="",AJ1164=""),"",(AJ1164+Variables!$B$18-AS1164)),""))</f>
        <v>-5</v>
      </c>
      <c r="BE1164" s="13">
        <f>IF($AX1164="Cancelled","",IFERROR(IF(OR(AW1164="",AS1164=""),"",(AS1164+Variables!$B$19)-AW1164),""))</f>
        <v>-51</v>
      </c>
      <c r="BF1164" s="44">
        <f>IF($AX1164="Cancelled","",IFERROR(W1164*INDEX(Variables!$B$7:$D$7,IFERROR(MATCH(IF($B1164="Robusta","Robusta",(IF($B1164="","Arabica",$B1164))&amp;" - "&amp;(IF($C1164="","Commercial",$C1164))),Variables!$B$1:$D$1,0),1))*(BE1164/365),""))</f>
        <v>-1802.5369879870095</v>
      </c>
      <c r="BG1164" s="44">
        <f>IF($AX1164="Cancelled","",IFERROR((W1164*INDEX(Variables!$B$7:$D$7,IFERROR(MATCH(IF($B1164="Robusta","Robusta",(IF($B1164="","Arabica",$B1164))&amp;" - "&amp;(IF($C1164="","Commercial",$C1164))),Variables!$B$1:$D$1,0),1))*IFERROR(IF(AB1164="","",(AVERAGE(E1164:F1164)-AB1164)-Variables!$B$14),"")/365)+(L1164/16.67*INDEX(Variables!$B$8:$D$8,IFERROR(MATCH(IF($B1164="Robusta","Robusta",(IF($B1164="","Arabica",$B1164))&amp;" - "&amp;(IF($C1164="","Commercial",$C1164))),Variables!$B$1:$D$1,0),1))*IFERROR(IF(AB1164="","",(AVERAGE(E1164:F1164)-AB1164)-Variables!$B$14),""))+(W1164*INDEX(Variables!$B$9:$D$9,IFERROR(MATCH(IF($B1164="Robusta","Robusta",(IF($B1164="","Arabica",$B1164))&amp;" - "&amp;(IF($C1164="","Commercial",$C1164))),Variables!$B$1:$D$1,0),1))*IFERROR(IF(AB1164="","",(AVERAGE(E1164:F1164)-AB1164)-Variables!$B$14),"")/365),""))</f>
        <v>-2178.2096628457066</v>
      </c>
      <c r="BH1164" s="44">
        <f>IF($AX1164="Cancelled","",IFERROR((W1164*INDEX(Variables!$B$7:$D$7,IFERROR(MATCH(IF($B1164="Robusta","Robusta",(IF($B1164="","Arabica",$B1164))&amp;" - "&amp;(IF($C1164="","Commercial",$C1164))),Variables!$B$1:$D$1,0),1))*AK1164/365)+(L1164/16.67*INDEX(Variables!$B$8:$D$8,IFERROR(MATCH(IF($B1164="Robusta","Robusta",(IF($B1164="","Arabica",$B1164))&amp;" - "&amp;(IF($C1164="","Commercial",$C1164))),Variables!$B$1:$D$1,0),1))*AK1164)+(W1164*INDEX(Variables!$B$9:$D$9,IFERROR(MATCH(IF($B1164="Robusta","Robusta",(IF($B1164="","Arabica",$B1164))&amp;" - "&amp;(IF($C1164="","Commercial",$C1164))),Variables!$B$1:$D$1,0),1))*AK1164/365),""))</f>
        <v>0</v>
      </c>
      <c r="BI1164" s="44">
        <f>IF($AX1164="Cancelled","",IFERROR((W1164*INDEX(Variables!$B$7:$D$7,IFERROR(MATCH(IF($B1164="Robusta","Robusta",(IF($B1164="","Arabica",$B1164))&amp;" - "&amp;(IF($C1164="","Commercial",$C1164))),Variables!$B$1:$D$1,0),1))*BD1164/365)+(L1164/16.67*INDEX(Variables!$B$8:$D$8,IFERROR(MATCH(IF($B1164="Robusta","Robusta",(IF($B1164="","Arabica",$B1164))&amp;" - "&amp;(IF($C1164="","Commercial",$C1164))),Variables!$B$1:$D$1,0),1))*BD1164)+(W1164*INDEX(Variables!$B$9:$D$9,IFERROR(MATCH(IF($B1164="Robusta","Robusta",(IF($B1164="","Arabica",$B1164))&amp;" - "&amp;(IF($C1164="","Commercial",$C1164))),Variables!$B$1:$D$1,0),1))*BD1164/365),""))</f>
        <v>-345.74756553106454</v>
      </c>
      <c r="BJ1164" s="44">
        <f t="shared" si="57"/>
        <v>-46</v>
      </c>
      <c r="BK1164" s="44">
        <f>IF($AX1164="Cancelled","",IFERROR(IF(BJ1164="","",(W1164*INDEX(Variables!$B$7:$D$7,IFERROR(MATCH(IF($B1164="Robusta","Robusta",(IF($B1164="","Arabica",$B1164))&amp;" - "&amp;(IF($C1164="","Commercial",$C1164))),Variables!$B$1:$D$1,0),1))*(BJ1164/365))+(W1164*INDEX(Variables!$B$9:$D$9,IFERROR(MATCH(IF($B1164="Robusta","Robusta",(IF($B1164="","Arabica",$B1164))&amp;" - "&amp;(IF($C1164="","Commercial",$C1164))),Variables!$B$1:$D$1,0),1))*(BJ1164/365))+(INDEX(Variables!$B$8:$D$8,IFERROR(MATCH(IF($B1164="Robusta","Robusta",(IF($B1164="","Arabica",$B1164))&amp;" - "&amp;(IF($C1164="","Commercial",$C1164))),Variables!$B$1:$D$1,0),1))*L1164/16.67)),""))</f>
        <v>-1613.4276028857939</v>
      </c>
    </row>
    <row r="1165" spans="1:63">
      <c r="A1165" s="13" t="s">
        <v>103</v>
      </c>
      <c r="B1165" s="13" t="s">
        <v>104</v>
      </c>
      <c r="C1165" s="13" t="s">
        <v>105</v>
      </c>
      <c r="D1165" s="31">
        <v>46149</v>
      </c>
      <c r="E1165" s="31">
        <v>46150</v>
      </c>
      <c r="F1165" s="31">
        <v>46173</v>
      </c>
      <c r="G1165" s="13">
        <v>3787591</v>
      </c>
      <c r="J1165" s="13" t="s">
        <v>107</v>
      </c>
      <c r="K1165" s="13">
        <v>5534</v>
      </c>
      <c r="L1165" s="13">
        <v>960</v>
      </c>
      <c r="M1165" s="13">
        <v>3</v>
      </c>
      <c r="N1165" s="13" t="s">
        <v>2884</v>
      </c>
      <c r="O1165" s="13" t="s">
        <v>405</v>
      </c>
      <c r="P1165" s="13">
        <v>10150</v>
      </c>
      <c r="R1165" s="13" t="s">
        <v>110</v>
      </c>
      <c r="S1165" s="13" t="s">
        <v>2848</v>
      </c>
      <c r="T1165" s="13" t="s">
        <v>112</v>
      </c>
      <c r="U1165" s="13" t="s">
        <v>113</v>
      </c>
      <c r="V1165" s="23">
        <v>-64</v>
      </c>
      <c r="W1165" s="44">
        <f>IF($AX1165="Cancelled","",IFERROR(((V1165+INDEX(Variables!$B$6:$D$6,IFERROR(MATCH(IF($B1165="Robusta","Robusta",(IF($B1165="","Arabica",$B1165))&amp;" - "&amp;(IF($C1165="","Commercial",$C1165))),Variables!$B$1:$D$1,0),1)))*22.0462)*(L1165/16.67),""))</f>
        <v>287946.91263347329</v>
      </c>
      <c r="X1165" s="55" t="s">
        <v>37</v>
      </c>
      <c r="Y1165" s="13" t="str">
        <f>IF($AX1165="Cancelled","",IF(X1165="","",IFERROR(IF(INDEX(Variables!$B$38:$B$47,MATCH(X1165,Variables!$A$38:$A$47,0))="Yes","Yes","No"),"No")))</f>
        <v>Yes</v>
      </c>
      <c r="Z1165" s="58">
        <v>46157</v>
      </c>
      <c r="AC1165" s="13" t="str">
        <f t="shared" si="56"/>
        <v/>
      </c>
      <c r="AF1165" s="71">
        <v>46182</v>
      </c>
      <c r="AG1165" s="35">
        <f>IF($AX1165="Cancelled","",IFERROR(IF(F1165="","",F1165-Variables!$B$13),""))</f>
        <v>46158</v>
      </c>
      <c r="AH1165" s="13" t="str">
        <f>IF($AX1165="Cancelled","",IFERROR(IF(AB1165="","",(AVERAGE(E1165:F1165)-AB1165)-Variables!$B$14),""))</f>
        <v/>
      </c>
      <c r="AJ1165" s="47">
        <v>46181</v>
      </c>
      <c r="AK1165" s="14">
        <f>IF($AX1165="Cancelled","",IFERROR(IF(AJ1165="","",IF(AND(AB1165="",AF1165=""),"",IF(AF1165&gt;AB1165,AF1165+Variables!$B$15+Variables!$B$16+Variables!$B$17-AJ1165,AB1165+Variables!$B$16+Variables!$B$17-AJ1165))),""))</f>
        <v>16</v>
      </c>
      <c r="AL1165" s="48" t="s">
        <v>114</v>
      </c>
      <c r="AM1165" s="13" t="s">
        <v>168</v>
      </c>
      <c r="AN1165" s="13" t="s">
        <v>2186</v>
      </c>
      <c r="AP1165" s="39">
        <v>46197</v>
      </c>
      <c r="AR1165" s="13" t="s">
        <v>2887</v>
      </c>
      <c r="AS1165" s="31">
        <v>46197</v>
      </c>
      <c r="AU1165" s="31">
        <v>46220</v>
      </c>
      <c r="AV1165" s="13" t="e">
        <v>#REF!</v>
      </c>
      <c r="AW1165" s="31">
        <v>46220</v>
      </c>
      <c r="AX1165" s="13" t="str">
        <f>IF(ISNUMBER(SEARCH("cancel",#REF!)),"Cancelled",IF(AND(AS1165&lt;&gt;"",AU1165&lt;&gt;"",AW1165&lt;&gt;""),"Closed","Open"))</f>
        <v>Closed</v>
      </c>
      <c r="AY1165" s="15" t="str">
        <f t="shared" si="55"/>
        <v>All dates received</v>
      </c>
      <c r="BD1165" s="13">
        <f>IF($AX1165="Cancelled","",IFERROR(IF(OR(AS1165="",AJ1165=""),"",(AJ1165+Variables!$B$18-AS1165)),""))</f>
        <v>-1</v>
      </c>
      <c r="BE1165" s="13">
        <f>IF($AX1165="Cancelled","",IFERROR(IF(OR(AW1165="",AS1165=""),"",(AS1165+Variables!$B$19)-AW1165),""))</f>
        <v>-18</v>
      </c>
      <c r="BF1165" s="44">
        <f>IF($AX1165="Cancelled","",IFERROR(W1165*INDEX(Variables!$B$7:$D$7,IFERROR(MATCH(IF($B1165="Robusta","Robusta",(IF($B1165="","Arabica",$B1165))&amp;" - "&amp;(IF($C1165="","Commercial",$C1165))),Variables!$B$1:$D$1,0),1))*(BE1165/365),""))</f>
        <v>-915.65508870316364</v>
      </c>
      <c r="BG1165" s="44" t="str">
        <f>IF($AX1165="Cancelled","",IFERROR((W1165*INDEX(Variables!$B$7:$D$7,IFERROR(MATCH(IF($B1165="Robusta","Robusta",(IF($B1165="","Arabica",$B1165))&amp;" - "&amp;(IF($C1165="","Commercial",$C1165))),Variables!$B$1:$D$1,0),1))*IFERROR(IF(AB1165="","",(AVERAGE(E1165:F1165)-AB1165)-Variables!$B$14),"")/365)+(L1165/16.67*INDEX(Variables!$B$8:$D$8,IFERROR(MATCH(IF($B1165="Robusta","Robusta",(IF($B1165="","Arabica",$B1165))&amp;" - "&amp;(IF($C1165="","Commercial",$C1165))),Variables!$B$1:$D$1,0),1))*IFERROR(IF(AB1165="","",(AVERAGE(E1165:F1165)-AB1165)-Variables!$B$14),""))+(W1165*INDEX(Variables!$B$9:$D$9,IFERROR(MATCH(IF($B1165="Robusta","Robusta",(IF($B1165="","Arabica",$B1165))&amp;" - "&amp;(IF($C1165="","Commercial",$C1165))),Variables!$B$1:$D$1,0),1))*IFERROR(IF(AB1165="","",(AVERAGE(E1165:F1165)-AB1165)-Variables!$B$14),"")/365),""))</f>
        <v/>
      </c>
      <c r="BH1165" s="44">
        <f>IF($AX1165="Cancelled","",IFERROR((W1165*INDEX(Variables!$B$7:$D$7,IFERROR(MATCH(IF($B1165="Robusta","Robusta",(IF($B1165="","Arabica",$B1165))&amp;" - "&amp;(IF($C1165="","Commercial",$C1165))),Variables!$B$1:$D$1,0),1))*AK1165/365)+(L1165/16.67*INDEX(Variables!$B$8:$D$8,IFERROR(MATCH(IF($B1165="Robusta","Robusta",(IF($B1165="","Arabica",$B1165))&amp;" - "&amp;(IF($C1165="","Commercial",$C1165))),Variables!$B$1:$D$1,0),1))*AK1165)+(W1165*INDEX(Variables!$B$9:$D$9,IFERROR(MATCH(IF($B1165="Robusta","Robusta",(IF($B1165="","Arabica",$B1165))&amp;" - "&amp;(IF($C1165="","Commercial",$C1165))),Variables!$B$1:$D$1,0),1))*AK1165/365),""))</f>
        <v>1592.4085776783058</v>
      </c>
      <c r="BI1165" s="44">
        <f>IF($AX1165="Cancelled","",IFERROR((W1165*INDEX(Variables!$B$7:$D$7,IFERROR(MATCH(IF($B1165="Robusta","Robusta",(IF($B1165="","Arabica",$B1165))&amp;" - "&amp;(IF($C1165="","Commercial",$C1165))),Variables!$B$1:$D$1,0),1))*BD1165/365)+(L1165/16.67*INDEX(Variables!$B$8:$D$8,IFERROR(MATCH(IF($B1165="Robusta","Robusta",(IF($B1165="","Arabica",$B1165))&amp;" - "&amp;(IF($C1165="","Commercial",$C1165))),Variables!$B$1:$D$1,0),1))*BD1165)+(W1165*INDEX(Variables!$B$9:$D$9,IFERROR(MATCH(IF($B1165="Robusta","Robusta",(IF($B1165="","Arabica",$B1165))&amp;" - "&amp;(IF($C1165="","Commercial",$C1165))),Variables!$B$1:$D$1,0),1))*BD1165/365),""))</f>
        <v>-99.525536104894115</v>
      </c>
      <c r="BJ1165" s="44">
        <f t="shared" si="57"/>
        <v>-24</v>
      </c>
      <c r="BK1165" s="44">
        <f>IF($AX1165="Cancelled","",IFERROR(IF(BJ1165="","",(W1165*INDEX(Variables!$B$7:$D$7,IFERROR(MATCH(IF($B1165="Robusta","Robusta",(IF($B1165="","Arabica",$B1165))&amp;" - "&amp;(IF($C1165="","Commercial",$C1165))),Variables!$B$1:$D$1,0),1))*(BJ1165/365))+(W1165*INDEX(Variables!$B$9:$D$9,IFERROR(MATCH(IF($B1165="Robusta","Robusta",(IF($B1165="","Arabica",$B1165))&amp;" - "&amp;(IF($C1165="","Commercial",$C1165))),Variables!$B$1:$D$1,0),1))*(BJ1165/365))+(INDEX(Variables!$B$8:$D$8,IFERROR(MATCH(IF($B1165="Robusta","Robusta",(IF($B1165="","Arabica",$B1165))&amp;" - "&amp;(IF($C1165="","Commercial",$C1165))),Variables!$B$1:$D$1,0),1))*L1165/16.67)),""))</f>
        <v>-1188.612866517459</v>
      </c>
    </row>
    <row r="1166" spans="1:63">
      <c r="A1166" s="13" t="s">
        <v>103</v>
      </c>
      <c r="B1166" s="13" t="s">
        <v>104</v>
      </c>
      <c r="C1166" s="13" t="s">
        <v>105</v>
      </c>
      <c r="D1166" s="31">
        <v>46149</v>
      </c>
      <c r="E1166" s="31">
        <v>46204</v>
      </c>
      <c r="F1166" s="31">
        <v>46234</v>
      </c>
      <c r="G1166" s="13">
        <v>3787592</v>
      </c>
      <c r="J1166" s="13" t="s">
        <v>2888</v>
      </c>
      <c r="K1166" s="13">
        <v>5589</v>
      </c>
      <c r="L1166" s="13">
        <v>270</v>
      </c>
      <c r="M1166" s="13">
        <v>1</v>
      </c>
      <c r="N1166" s="13" t="s">
        <v>2889</v>
      </c>
      <c r="O1166" s="13" t="s">
        <v>120</v>
      </c>
      <c r="P1166" s="13">
        <v>10070</v>
      </c>
      <c r="R1166" s="13" t="s">
        <v>110</v>
      </c>
      <c r="S1166" s="13" t="s">
        <v>154</v>
      </c>
      <c r="T1166" s="13" t="s">
        <v>155</v>
      </c>
      <c r="U1166" s="13" t="s">
        <v>125</v>
      </c>
      <c r="V1166" s="23">
        <v>30</v>
      </c>
      <c r="W1166" s="44">
        <f>IF($AX1166="Cancelled","",IFERROR(((V1166+INDEX(Variables!$B$6:$D$6,IFERROR(MATCH(IF($B1166="Robusta","Robusta",(IF($B1166="","Arabica",$B1166))&amp;" - "&amp;(IF($C1166="","Commercial",$C1166))),Variables!$B$1:$D$1,0),1)))*22.0462)*(L1166/16.67),""))</f>
        <v>114550.30949010195</v>
      </c>
      <c r="X1166" s="55" t="s">
        <v>37</v>
      </c>
      <c r="Y1166" s="13" t="str">
        <f>IF($AX1166="Cancelled","",IF(X1166="","",IFERROR(IF(INDEX(Variables!$B$38:$B$47,MATCH(X1166,Variables!$A$38:$A$47,0))="Yes","Yes","No"),"No")))</f>
        <v>Yes</v>
      </c>
      <c r="Z1166" s="58">
        <v>46181</v>
      </c>
      <c r="AB1166" s="31">
        <v>46210</v>
      </c>
      <c r="AC1166" s="13" t="str">
        <f t="shared" si="56"/>
        <v>Approved</v>
      </c>
      <c r="AF1166" s="71">
        <v>46233</v>
      </c>
      <c r="AG1166" s="35">
        <f>IF($AX1166="Cancelled","",IFERROR(IF(F1166="","",F1166-Variables!$B$13),""))</f>
        <v>46219</v>
      </c>
      <c r="AH1166" s="13">
        <f>IF($AX1166="Cancelled","",IFERROR(IF(AB1166="","",(AVERAGE(E1166:F1166)-AB1166)-Variables!$B$14),""))</f>
        <v>-21</v>
      </c>
      <c r="AJ1166" s="47">
        <v>46234</v>
      </c>
      <c r="AK1166" s="14">
        <f>IF($AX1166="Cancelled","",IFERROR(IF(AJ1166="","",IF(AND(AB1166="",AF1166=""),"",IF(AF1166&gt;AB1166,AF1166+Variables!$B$15+Variables!$B$16+Variables!$B$17-AJ1166,AB1166+Variables!$B$16+Variables!$B$17-AJ1166))),""))</f>
        <v>14</v>
      </c>
      <c r="AL1166" s="48" t="s">
        <v>114</v>
      </c>
      <c r="AM1166" s="13" t="s">
        <v>115</v>
      </c>
      <c r="AN1166" s="13" t="s">
        <v>2890</v>
      </c>
      <c r="AP1166" s="39">
        <v>46249</v>
      </c>
      <c r="AR1166" s="13">
        <v>274500945</v>
      </c>
      <c r="AS1166" s="31">
        <v>46248</v>
      </c>
      <c r="AU1166" s="31">
        <v>46266</v>
      </c>
      <c r="AV1166" s="13" t="s">
        <v>865</v>
      </c>
      <c r="AW1166" s="39">
        <v>46294</v>
      </c>
      <c r="AX1166" s="13" t="str">
        <f>IF(ISNUMBER(SEARCH("cancel",#REF!)),"Cancelled",IF(AND(AS1166&lt;&gt;"",AU1166&lt;&gt;"",AW1166&lt;&gt;""),"Closed","Open"))</f>
        <v>Closed</v>
      </c>
      <c r="AY1166" s="15" t="str">
        <f t="shared" si="55"/>
        <v>All dates received</v>
      </c>
      <c r="AZ1166" s="13" t="s">
        <v>3047</v>
      </c>
      <c r="BA1166" s="13" t="s">
        <v>3051</v>
      </c>
      <c r="BB1166" s="13" t="s">
        <v>3052</v>
      </c>
      <c r="BC1166" s="13" t="s">
        <v>3292</v>
      </c>
      <c r="BD1166" s="13">
        <f>IF($AX1166="Cancelled","",IFERROR(IF(OR(AS1166="",AJ1166=""),"",(AJ1166+Variables!$B$18-AS1166)),""))</f>
        <v>1</v>
      </c>
      <c r="BE1166" s="13">
        <f>IF($AX1166="Cancelled","",IFERROR(IF(OR(AW1166="",AS1166=""),"",(AS1166+Variables!$B$19)-AW1166),""))</f>
        <v>-41</v>
      </c>
      <c r="BF1166" s="44">
        <f>IF($AX1166="Cancelled","",IFERROR(W1166*INDEX(Variables!$B$7:$D$7,IFERROR(MATCH(IF($B1166="Robusta","Robusta",(IF($B1166="","Arabica",$B1166))&amp;" - "&amp;(IF($C1166="","Commercial",$C1166))),Variables!$B$1:$D$1,0),1))*(BE1166/365),""))</f>
        <v>-829.71149213892807</v>
      </c>
      <c r="BG1166" s="44">
        <f>IF($AX1166="Cancelled","",IFERROR((W1166*INDEX(Variables!$B$7:$D$7,IFERROR(MATCH(IF($B1166="Robusta","Robusta",(IF($B1166="","Arabica",$B1166))&amp;" - "&amp;(IF($C1166="","Commercial",$C1166))),Variables!$B$1:$D$1,0),1))*IFERROR(IF(AB1166="","",(AVERAGE(E1166:F1166)-AB1166)-Variables!$B$14),"")/365)+(L1166/16.67*INDEX(Variables!$B$8:$D$8,IFERROR(MATCH(IF($B1166="Robusta","Robusta",(IF($B1166="","Arabica",$B1166))&amp;" - "&amp;(IF($C1166="","Commercial",$C1166))),Variables!$B$1:$D$1,0),1))*IFERROR(IF(AB1166="","",(AVERAGE(E1166:F1166)-AB1166)-Variables!$B$14),""))+(W1166*INDEX(Variables!$B$9:$D$9,IFERROR(MATCH(IF($B1166="Robusta","Robusta",(IF($B1166="","Arabica",$B1166))&amp;" - "&amp;(IF($C1166="","Commercial",$C1166))),Variables!$B$1:$D$1,0),1))*IFERROR(IF(AB1166="","",(AVERAGE(E1166:F1166)-AB1166)-Variables!$B$14),"")/365),""))</f>
        <v>-713.95291620963621</v>
      </c>
      <c r="BH1166" s="44">
        <f>IF($AX1166="Cancelled","",IFERROR((W1166*INDEX(Variables!$B$7:$D$7,IFERROR(MATCH(IF($B1166="Robusta","Robusta",(IF($B1166="","Arabica",$B1166))&amp;" - "&amp;(IF($C1166="","Commercial",$C1166))),Variables!$B$1:$D$1,0),1))*AK1166/365)+(L1166/16.67*INDEX(Variables!$B$8:$D$8,IFERROR(MATCH(IF($B1166="Robusta","Robusta",(IF($B1166="","Arabica",$B1166))&amp;" - "&amp;(IF($C1166="","Commercial",$C1166))),Variables!$B$1:$D$1,0),1))*AK1166)+(W1166*INDEX(Variables!$B$9:$D$9,IFERROR(MATCH(IF($B1166="Robusta","Robusta",(IF($B1166="","Arabica",$B1166))&amp;" - "&amp;(IF($C1166="","Commercial",$C1166))),Variables!$B$1:$D$1,0),1))*AK1166/365),""))</f>
        <v>475.96861080642418</v>
      </c>
      <c r="BI1166" s="44">
        <f>IF($AX1166="Cancelled","",IFERROR((W1166*INDEX(Variables!$B$7:$D$7,IFERROR(MATCH(IF($B1166="Robusta","Robusta",(IF($B1166="","Arabica",$B1166))&amp;" - "&amp;(IF($C1166="","Commercial",$C1166))),Variables!$B$1:$D$1,0),1))*BD1166/365)+(L1166/16.67*INDEX(Variables!$B$8:$D$8,IFERROR(MATCH(IF($B1166="Robusta","Robusta",(IF($B1166="","Arabica",$B1166))&amp;" - "&amp;(IF($C1166="","Commercial",$C1166))),Variables!$B$1:$D$1,0),1))*BD1166)+(W1166*INDEX(Variables!$B$9:$D$9,IFERROR(MATCH(IF($B1166="Robusta","Robusta",(IF($B1166="","Arabica",$B1166))&amp;" - "&amp;(IF($C1166="","Commercial",$C1166))),Variables!$B$1:$D$1,0),1))*BD1166/365),""))</f>
        <v>33.997757914744589</v>
      </c>
      <c r="BJ1166" s="44">
        <f t="shared" si="57"/>
        <v>-14</v>
      </c>
      <c r="BK1166" s="44">
        <f>IF($AX1166="Cancelled","",IFERROR(IF(BJ1166="","",(W1166*INDEX(Variables!$B$7:$D$7,IFERROR(MATCH(IF($B1166="Robusta","Robusta",(IF($B1166="","Arabica",$B1166))&amp;" - "&amp;(IF($C1166="","Commercial",$C1166))),Variables!$B$1:$D$1,0),1))*(BJ1166/365))+(W1166*INDEX(Variables!$B$9:$D$9,IFERROR(MATCH(IF($B1166="Robusta","Robusta",(IF($B1166="","Arabica",$B1166))&amp;" - "&amp;(IF($C1166="","Commercial",$C1166))),Variables!$B$1:$D$1,0),1))*(BJ1166/365))+(INDEX(Variables!$B$8:$D$8,IFERROR(MATCH(IF($B1166="Robusta","Robusta",(IF($B1166="","Arabica",$B1166))&amp;" - "&amp;(IF($C1166="","Commercial",$C1166))),Variables!$B$1:$D$1,0),1))*L1166/16.67)),""))</f>
        <v>-273.46861080642424</v>
      </c>
    </row>
    <row r="1167" spans="1:63">
      <c r="A1167" s="13" t="s">
        <v>103</v>
      </c>
      <c r="B1167" s="13" t="s">
        <v>104</v>
      </c>
      <c r="C1167" s="13" t="s">
        <v>105</v>
      </c>
      <c r="D1167" s="31">
        <v>46149</v>
      </c>
      <c r="E1167" s="31">
        <v>46235</v>
      </c>
      <c r="F1167" s="31">
        <v>46265</v>
      </c>
      <c r="G1167" s="13">
        <v>3787593</v>
      </c>
      <c r="J1167" s="13" t="s">
        <v>2888</v>
      </c>
      <c r="K1167" s="13" t="s">
        <v>2891</v>
      </c>
      <c r="L1167" s="13">
        <v>220</v>
      </c>
      <c r="M1167" s="13">
        <v>1</v>
      </c>
      <c r="N1167" s="13" t="s">
        <v>2892</v>
      </c>
      <c r="O1167" s="13" t="s">
        <v>120</v>
      </c>
      <c r="P1167" s="13">
        <v>10070</v>
      </c>
      <c r="R1167" s="13" t="s">
        <v>110</v>
      </c>
      <c r="S1167" s="13" t="s">
        <v>154</v>
      </c>
      <c r="T1167" s="13" t="s">
        <v>155</v>
      </c>
      <c r="U1167" s="13" t="s">
        <v>125</v>
      </c>
      <c r="V1167" s="23">
        <v>30</v>
      </c>
      <c r="W1167" s="44">
        <f>IF($AX1167="Cancelled","",IFERROR(((V1167+INDEX(Variables!$B$6:$D$6,IFERROR(MATCH(IF($B1167="Robusta","Robusta",(IF($B1167="","Arabica",$B1167))&amp;" - "&amp;(IF($C1167="","Commercial",$C1167))),Variables!$B$1:$D$1,0),1)))*22.0462)*(L1167/16.67),""))</f>
        <v>93337.28921415715</v>
      </c>
      <c r="X1167" s="55" t="s">
        <v>37</v>
      </c>
      <c r="Y1167" s="13" t="str">
        <f>IF($AX1167="Cancelled","",IF(X1167="","",IFERROR(IF(INDEX(Variables!$B$38:$B$47,MATCH(X1167,Variables!$A$38:$A$47,0))="Yes","Yes","No"),"No")))</f>
        <v>Yes</v>
      </c>
      <c r="Z1167" s="58">
        <v>46217</v>
      </c>
      <c r="AB1167" s="31">
        <v>46223</v>
      </c>
      <c r="AC1167" s="13" t="str">
        <f t="shared" si="56"/>
        <v>Approved</v>
      </c>
      <c r="AF1167" s="71">
        <v>46245</v>
      </c>
      <c r="AG1167" s="35">
        <f>IF($AX1167="Cancelled","",IFERROR(IF(F1167="","",F1167-Variables!$B$13),""))</f>
        <v>46250</v>
      </c>
      <c r="AH1167" s="13">
        <f>IF($AX1167="Cancelled","",IFERROR(IF(AB1167="","",(AVERAGE(E1167:F1167)-AB1167)-Variables!$B$14),""))</f>
        <v>-3</v>
      </c>
      <c r="AJ1167" s="47">
        <v>46247</v>
      </c>
      <c r="AK1167" s="14">
        <f>IF($AX1167="Cancelled","",IFERROR(IF(AJ1167="","",IF(AND(AB1167="",AF1167=""),"",IF(AF1167&gt;AB1167,AF1167+Variables!$B$15+Variables!$B$16+Variables!$B$17-AJ1167,AB1167+Variables!$B$16+Variables!$B$17-AJ1167))),""))</f>
        <v>13</v>
      </c>
      <c r="AL1167" s="48" t="s">
        <v>114</v>
      </c>
      <c r="AM1167" s="13" t="s">
        <v>115</v>
      </c>
      <c r="AN1167" s="13" t="s">
        <v>2188</v>
      </c>
      <c r="AP1167" s="39">
        <v>46263</v>
      </c>
      <c r="AR1167" s="13">
        <v>275502875</v>
      </c>
      <c r="AS1167" s="31">
        <v>46263</v>
      </c>
      <c r="AU1167" s="39">
        <v>46294</v>
      </c>
      <c r="AV1167" s="13" t="s">
        <v>865</v>
      </c>
      <c r="AW1167" s="39">
        <v>46294</v>
      </c>
      <c r="AX1167" s="13" t="str">
        <f>IF(ISNUMBER(SEARCH("cancel",#REF!)),"Cancelled",IF(AND(AS1167&lt;&gt;"",AU1167&lt;&gt;"",AW1167&lt;&gt;""),"Closed","Open"))</f>
        <v>Closed</v>
      </c>
      <c r="AY1167" s="15" t="str">
        <f t="shared" si="55"/>
        <v>All dates received</v>
      </c>
      <c r="BD1167" s="13">
        <f>IF($AX1167="Cancelled","",IFERROR(IF(OR(AS1167="",AJ1167=""),"",(AJ1167+Variables!$B$18-AS1167)),""))</f>
        <v>-1</v>
      </c>
      <c r="BE1167" s="13">
        <f>IF($AX1167="Cancelled","",IFERROR(IF(OR(AW1167="",AS1167=""),"",(AS1167+Variables!$B$19)-AW1167),""))</f>
        <v>-26</v>
      </c>
      <c r="BF1167" s="44">
        <f>IF($AX1167="Cancelled","",IFERROR(W1167*INDEX(Variables!$B$7:$D$7,IFERROR(MATCH(IF($B1167="Robusta","Robusta",(IF($B1167="","Arabica",$B1167))&amp;" - "&amp;(IF($C1167="","Commercial",$C1167))),Variables!$B$1:$D$1,0),1))*(BE1167/365),""))</f>
        <v>-428.72174661559791</v>
      </c>
      <c r="BG1167" s="44">
        <f>IF($AX1167="Cancelled","",IFERROR((W1167*INDEX(Variables!$B$7:$D$7,IFERROR(MATCH(IF($B1167="Robusta","Robusta",(IF($B1167="","Arabica",$B1167))&amp;" - "&amp;(IF($C1167="","Commercial",$C1167))),Variables!$B$1:$D$1,0),1))*IFERROR(IF(AB1167="","",(AVERAGE(E1167:F1167)-AB1167)-Variables!$B$14),"")/365)+(L1167/16.67*INDEX(Variables!$B$8:$D$8,IFERROR(MATCH(IF($B1167="Robusta","Robusta",(IF($B1167="","Arabica",$B1167))&amp;" - "&amp;(IF($C1167="","Commercial",$C1167))),Variables!$B$1:$D$1,0),1))*IFERROR(IF(AB1167="","",(AVERAGE(E1167:F1167)-AB1167)-Variables!$B$14),""))+(W1167*INDEX(Variables!$B$9:$D$9,IFERROR(MATCH(IF($B1167="Robusta","Robusta",(IF($B1167="","Arabica",$B1167))&amp;" - "&amp;(IF($C1167="","Commercial",$C1167))),Variables!$B$1:$D$1,0),1))*IFERROR(IF(AB1167="","",(AVERAGE(E1167:F1167)-AB1167)-Variables!$B$14),"")/365),""))</f>
        <v>-83.105630458264542</v>
      </c>
      <c r="BH1167" s="44">
        <f>IF($AX1167="Cancelled","",IFERROR((W1167*INDEX(Variables!$B$7:$D$7,IFERROR(MATCH(IF($B1167="Robusta","Robusta",(IF($B1167="","Arabica",$B1167))&amp;" - "&amp;(IF($C1167="","Commercial",$C1167))),Variables!$B$1:$D$1,0),1))*AK1167/365)+(L1167/16.67*INDEX(Variables!$B$8:$D$8,IFERROR(MATCH(IF($B1167="Robusta","Robusta",(IF($B1167="","Arabica",$B1167))&amp;" - "&amp;(IF($C1167="","Commercial",$C1167))),Variables!$B$1:$D$1,0),1))*AK1167)+(W1167*INDEX(Variables!$B$9:$D$9,IFERROR(MATCH(IF($B1167="Robusta","Robusta",(IF($B1167="","Arabica",$B1167))&amp;" - "&amp;(IF($C1167="","Commercial",$C1167))),Variables!$B$1:$D$1,0),1))*AK1167/365),""))</f>
        <v>360.12439865247973</v>
      </c>
      <c r="BI1167" s="44">
        <f>IF($AX1167="Cancelled","",IFERROR((W1167*INDEX(Variables!$B$7:$D$7,IFERROR(MATCH(IF($B1167="Robusta","Robusta",(IF($B1167="","Arabica",$B1167))&amp;" - "&amp;(IF($C1167="","Commercial",$C1167))),Variables!$B$1:$D$1,0),1))*BD1167/365)+(L1167/16.67*INDEX(Variables!$B$8:$D$8,IFERROR(MATCH(IF($B1167="Robusta","Robusta",(IF($B1167="","Arabica",$B1167))&amp;" - "&amp;(IF($C1167="","Commercial",$C1167))),Variables!$B$1:$D$1,0),1))*BD1167)+(W1167*INDEX(Variables!$B$9:$D$9,IFERROR(MATCH(IF($B1167="Robusta","Robusta",(IF($B1167="","Arabica",$B1167))&amp;" - "&amp;(IF($C1167="","Commercial",$C1167))),Variables!$B$1:$D$1,0),1))*BD1167/365),""))</f>
        <v>-27.701876819421518</v>
      </c>
      <c r="BJ1167" s="44">
        <f t="shared" si="57"/>
        <v>2</v>
      </c>
      <c r="BK1167" s="44">
        <f>IF($AX1167="Cancelled","",IFERROR(IF(BJ1167="","",(W1167*INDEX(Variables!$B$7:$D$7,IFERROR(MATCH(IF($B1167="Robusta","Robusta",(IF($B1167="","Arabica",$B1167))&amp;" - "&amp;(IF($C1167="","Commercial",$C1167))),Variables!$B$1:$D$1,0),1))*(BJ1167/365))+(W1167*INDEX(Variables!$B$9:$D$9,IFERROR(MATCH(IF($B1167="Robusta","Robusta",(IF($B1167="","Arabica",$B1167))&amp;" - "&amp;(IF($C1167="","Commercial",$C1167))),Variables!$B$1:$D$1,0),1))*(BJ1167/365))+(INDEX(Variables!$B$8:$D$8,IFERROR(MATCH(IF($B1167="Robusta","Robusta",(IF($B1167="","Arabica",$B1167))&amp;" - "&amp;(IF($C1167="","Commercial",$C1167))),Variables!$B$1:$D$1,0),1))*L1167/16.67)),""))</f>
        <v>44.403753638843035</v>
      </c>
    </row>
    <row r="1168" spans="1:63">
      <c r="A1168" s="13" t="s">
        <v>103</v>
      </c>
      <c r="B1168" s="13" t="s">
        <v>104</v>
      </c>
      <c r="C1168" s="13" t="s">
        <v>105</v>
      </c>
      <c r="D1168" s="31">
        <v>46153</v>
      </c>
      <c r="E1168" s="31">
        <v>46235</v>
      </c>
      <c r="F1168" s="31">
        <v>46265</v>
      </c>
      <c r="G1168" s="13">
        <v>3787594</v>
      </c>
      <c r="J1168" s="13" t="s">
        <v>1731</v>
      </c>
      <c r="K1168" s="13">
        <v>5604</v>
      </c>
      <c r="L1168" s="13">
        <v>320</v>
      </c>
      <c r="M1168" s="13">
        <v>1</v>
      </c>
      <c r="N1168" s="13" t="s">
        <v>2683</v>
      </c>
      <c r="O1168" s="13" t="s">
        <v>332</v>
      </c>
      <c r="P1168" s="13">
        <v>10120</v>
      </c>
      <c r="Q1168" s="13" t="s">
        <v>745</v>
      </c>
      <c r="R1168" s="13" t="s">
        <v>110</v>
      </c>
      <c r="S1168" s="13" t="s">
        <v>2893</v>
      </c>
      <c r="T1168" s="13" t="s">
        <v>112</v>
      </c>
      <c r="U1168" s="13" t="s">
        <v>113</v>
      </c>
      <c r="V1168" s="23">
        <v>-12</v>
      </c>
      <c r="W1168" s="44">
        <f>IF($AX1168="Cancelled","",IFERROR(((V1168+INDEX(Variables!$B$6:$D$6,IFERROR(MATCH(IF($B1168="Robusta","Robusta",(IF($B1168="","Arabica",$B1168))&amp;" - "&amp;(IF($C1168="","Commercial",$C1168))),Variables!$B$1:$D$1,0),1)))*22.0462)*(L1168/16.67),""))</f>
        <v>117988.82898620274</v>
      </c>
      <c r="X1168" s="55" t="s">
        <v>37</v>
      </c>
      <c r="Y1168" s="13" t="str">
        <f>IF($AX1168="Cancelled","",IF(X1168="","",IFERROR(IF(INDEX(Variables!$B$38:$B$47,MATCH(X1168,Variables!$A$38:$A$47,0))="Yes","Yes","No"),"No")))</f>
        <v>Yes</v>
      </c>
      <c r="Z1168" s="58">
        <v>46220</v>
      </c>
      <c r="AB1168" s="31">
        <v>46230</v>
      </c>
      <c r="AC1168" s="13" t="str">
        <f t="shared" si="56"/>
        <v>Approved</v>
      </c>
      <c r="AF1168" s="71">
        <v>46245</v>
      </c>
      <c r="AG1168" s="35">
        <f>IF($AX1168="Cancelled","",IFERROR(IF(F1168="","",F1168-Variables!$B$13),""))</f>
        <v>46250</v>
      </c>
      <c r="AH1168" s="13">
        <f>IF($AX1168="Cancelled","",IFERROR(IF(AB1168="","",(AVERAGE(E1168:F1168)-AB1168)-Variables!$B$14),""))</f>
        <v>-10</v>
      </c>
      <c r="AJ1168" s="47">
        <v>46248</v>
      </c>
      <c r="AK1168" s="14">
        <f>IF($AX1168="Cancelled","",IFERROR(IF(AJ1168="","",IF(AND(AB1168="",AF1168=""),"",IF(AF1168&gt;AB1168,AF1168+Variables!$B$15+Variables!$B$16+Variables!$B$17-AJ1168,AB1168+Variables!$B$16+Variables!$B$17-AJ1168))),""))</f>
        <v>12</v>
      </c>
      <c r="AL1168" s="48" t="s">
        <v>114</v>
      </c>
      <c r="AM1168" s="13" t="s">
        <v>115</v>
      </c>
      <c r="AN1168" s="13" t="s">
        <v>2189</v>
      </c>
      <c r="AP1168" s="39">
        <v>46257</v>
      </c>
      <c r="AR1168" s="13">
        <v>275266688</v>
      </c>
      <c r="AS1168" s="31">
        <v>46257</v>
      </c>
      <c r="AU1168" s="39">
        <v>46282</v>
      </c>
      <c r="AV1168" s="13" t="s">
        <v>865</v>
      </c>
      <c r="AW1168" s="39">
        <v>46282</v>
      </c>
      <c r="AX1168" s="13" t="str">
        <f>IF(ISNUMBER(SEARCH("cancel",#REF!)),"Cancelled",IF(AND(AS1168&lt;&gt;"",AU1168&lt;&gt;"",AW1168&lt;&gt;""),"Closed","Open"))</f>
        <v>Closed</v>
      </c>
      <c r="AY1168" s="15" t="str">
        <f t="shared" si="55"/>
        <v>All dates received</v>
      </c>
      <c r="BD1168" s="13">
        <f>IF($AX1168="Cancelled","",IFERROR(IF(OR(AS1168="",AJ1168=""),"",(AJ1168+Variables!$B$18-AS1168)),""))</f>
        <v>6</v>
      </c>
      <c r="BE1168" s="13">
        <f>IF($AX1168="Cancelled","",IFERROR(IF(OR(AW1168="",AS1168=""),"",(AS1168+Variables!$B$19)-AW1168),""))</f>
        <v>-20</v>
      </c>
      <c r="BF1168" s="44">
        <f>IF($AX1168="Cancelled","",IFERROR(W1168*INDEX(Variables!$B$7:$D$7,IFERROR(MATCH(IF($B1168="Robusta","Robusta",(IF($B1168="","Arabica",$B1168))&amp;" - "&amp;(IF($C1168="","Commercial",$C1168))),Variables!$B$1:$D$1,0),1))*(BE1168/365),""))</f>
        <v>-416.88653525776016</v>
      </c>
      <c r="BG1168" s="44">
        <f>IF($AX1168="Cancelled","",IFERROR((W1168*INDEX(Variables!$B$7:$D$7,IFERROR(MATCH(IF($B1168="Robusta","Robusta",(IF($B1168="","Arabica",$B1168))&amp;" - "&amp;(IF($C1168="","Commercial",$C1168))),Variables!$B$1:$D$1,0),1))*IFERROR(IF(AB1168="","",(AVERAGE(E1168:F1168)-AB1168)-Variables!$B$14),"")/365)+(L1168/16.67*INDEX(Variables!$B$8:$D$8,IFERROR(MATCH(IF($B1168="Robusta","Robusta",(IF($B1168="","Arabica",$B1168))&amp;" - "&amp;(IF($C1168="","Commercial",$C1168))),Variables!$B$1:$D$1,0),1))*IFERROR(IF(AB1168="","",(AVERAGE(E1168:F1168)-AB1168)-Variables!$B$14),""))+(W1168*INDEX(Variables!$B$9:$D$9,IFERROR(MATCH(IF($B1168="Robusta","Robusta",(IF($B1168="","Arabica",$B1168))&amp;" - "&amp;(IF($C1168="","Commercial",$C1168))),Variables!$B$1:$D$1,0),1))*IFERROR(IF(AB1168="","",(AVERAGE(E1168:F1168)-AB1168)-Variables!$B$14),"")/365),""))</f>
        <v>-371.13050361617411</v>
      </c>
      <c r="BH1168" s="44">
        <f>IF($AX1168="Cancelled","",IFERROR((W1168*INDEX(Variables!$B$7:$D$7,IFERROR(MATCH(IF($B1168="Robusta","Robusta",(IF($B1168="","Arabica",$B1168))&amp;" - "&amp;(IF($C1168="","Commercial",$C1168))),Variables!$B$1:$D$1,0),1))*AK1168/365)+(L1168/16.67*INDEX(Variables!$B$8:$D$8,IFERROR(MATCH(IF($B1168="Robusta","Robusta",(IF($B1168="","Arabica",$B1168))&amp;" - "&amp;(IF($C1168="","Commercial",$C1168))),Variables!$B$1:$D$1,0),1))*AK1168)+(W1168*INDEX(Variables!$B$9:$D$9,IFERROR(MATCH(IF($B1168="Robusta","Robusta",(IF($B1168="","Arabica",$B1168))&amp;" - "&amp;(IF($C1168="","Commercial",$C1168))),Variables!$B$1:$D$1,0),1))*AK1168/365),""))</f>
        <v>445.35660433940893</v>
      </c>
      <c r="BI1168" s="44">
        <f>IF($AX1168="Cancelled","",IFERROR((W1168*INDEX(Variables!$B$7:$D$7,IFERROR(MATCH(IF($B1168="Robusta","Robusta",(IF($B1168="","Arabica",$B1168))&amp;" - "&amp;(IF($C1168="","Commercial",$C1168))),Variables!$B$1:$D$1,0),1))*BD1168/365)+(L1168/16.67*INDEX(Variables!$B$8:$D$8,IFERROR(MATCH(IF($B1168="Robusta","Robusta",(IF($B1168="","Arabica",$B1168))&amp;" - "&amp;(IF($C1168="","Commercial",$C1168))),Variables!$B$1:$D$1,0),1))*BD1168)+(W1168*INDEX(Variables!$B$9:$D$9,IFERROR(MATCH(IF($B1168="Robusta","Robusta",(IF($B1168="","Arabica",$B1168))&amp;" - "&amp;(IF($C1168="","Commercial",$C1168))),Variables!$B$1:$D$1,0),1))*BD1168/365),""))</f>
        <v>222.67830216970447</v>
      </c>
      <c r="BJ1168" s="44">
        <f t="shared" si="57"/>
        <v>8</v>
      </c>
      <c r="BK1168" s="44">
        <f>IF($AX1168="Cancelled","",IFERROR(IF(BJ1168="","",(W1168*INDEX(Variables!$B$7:$D$7,IFERROR(MATCH(IF($B1168="Robusta","Robusta",(IF($B1168="","Arabica",$B1168))&amp;" - "&amp;(IF($C1168="","Commercial",$C1168))),Variables!$B$1:$D$1,0),1))*(BJ1168/365))+(W1168*INDEX(Variables!$B$9:$D$9,IFERROR(MATCH(IF($B1168="Robusta","Robusta",(IF($B1168="","Arabica",$B1168))&amp;" - "&amp;(IF($C1168="","Commercial",$C1168))),Variables!$B$1:$D$1,0),1))*(BJ1168/365))+(INDEX(Variables!$B$8:$D$8,IFERROR(MATCH(IF($B1168="Robusta","Robusta",(IF($B1168="","Arabica",$B1168))&amp;" - "&amp;(IF($C1168="","Commercial",$C1168))),Variables!$B$1:$D$1,0),1))*L1168/16.67)),""))</f>
        <v>184.90440289293926</v>
      </c>
    </row>
    <row r="1169" spans="1:63">
      <c r="A1169" s="13" t="s">
        <v>103</v>
      </c>
      <c r="B1169" s="13" t="s">
        <v>104</v>
      </c>
      <c r="C1169" s="13" t="s">
        <v>105</v>
      </c>
      <c r="D1169" s="31">
        <v>46153</v>
      </c>
      <c r="E1169" s="31">
        <v>46235</v>
      </c>
      <c r="F1169" s="31">
        <v>46248</v>
      </c>
      <c r="G1169" s="13">
        <v>3787595</v>
      </c>
      <c r="J1169" s="13" t="s">
        <v>611</v>
      </c>
      <c r="K1169" s="13">
        <v>5613</v>
      </c>
      <c r="L1169" s="13">
        <v>320</v>
      </c>
      <c r="M1169" s="13">
        <v>1</v>
      </c>
      <c r="N1169" s="13" t="s">
        <v>2894</v>
      </c>
      <c r="O1169" s="13" t="s">
        <v>120</v>
      </c>
      <c r="P1169" s="13">
        <v>10070</v>
      </c>
      <c r="Q1169" s="13" t="s">
        <v>745</v>
      </c>
      <c r="R1169" s="13" t="s">
        <v>110</v>
      </c>
      <c r="S1169" s="13" t="s">
        <v>339</v>
      </c>
      <c r="T1169" s="13" t="s">
        <v>340</v>
      </c>
      <c r="U1169" s="13" t="s">
        <v>113</v>
      </c>
      <c r="V1169" s="23">
        <v>48</v>
      </c>
      <c r="W1169" s="44">
        <f>IF($AX1169="Cancelled","",IFERROR(((V1169+INDEX(Variables!$B$6:$D$6,IFERROR(MATCH(IF($B1169="Robusta","Robusta",(IF($B1169="","Arabica",$B1169))&amp;" - "&amp;(IF($C1169="","Commercial",$C1169))),Variables!$B$1:$D$1,0),1)))*22.0462)*(L1169/16.67),""))</f>
        <v>143380.97295740849</v>
      </c>
      <c r="X1169" s="55" t="s">
        <v>37</v>
      </c>
      <c r="Y1169" s="13" t="str">
        <f>IF($AX1169="Cancelled","",IF(X1169="","",IFERROR(IF(INDEX(Variables!$B$38:$B$47,MATCH(X1169,Variables!$A$38:$A$47,0))="Yes","Yes","No"),"No")))</f>
        <v>Yes</v>
      </c>
      <c r="Z1169" s="58">
        <v>46217</v>
      </c>
      <c r="AB1169" s="31">
        <v>46231</v>
      </c>
      <c r="AC1169" s="13" t="str">
        <f t="shared" si="56"/>
        <v>Approved</v>
      </c>
      <c r="AF1169" s="71">
        <v>46251</v>
      </c>
      <c r="AG1169" s="35">
        <f>IF($AX1169="Cancelled","",IFERROR(IF(F1169="","",F1169-Variables!$B$13),""))</f>
        <v>46233</v>
      </c>
      <c r="AH1169" s="13">
        <f>IF($AX1169="Cancelled","",IFERROR(IF(AB1169="","",(AVERAGE(E1169:F1169)-AB1169)-Variables!$B$14),""))</f>
        <v>-19.5</v>
      </c>
      <c r="AJ1169" s="47">
        <v>46252</v>
      </c>
      <c r="AK1169" s="14">
        <f>IF($AX1169="Cancelled","",IFERROR(IF(AJ1169="","",IF(AND(AB1169="",AF1169=""),"",IF(AF1169&gt;AB1169,AF1169+Variables!$B$15+Variables!$B$16+Variables!$B$17-AJ1169,AB1169+Variables!$B$16+Variables!$B$17-AJ1169))),""))</f>
        <v>14</v>
      </c>
      <c r="AL1169" s="48" t="s">
        <v>114</v>
      </c>
      <c r="AM1169" s="13" t="s">
        <v>168</v>
      </c>
      <c r="AN1169" s="13" t="s">
        <v>1683</v>
      </c>
      <c r="AP1169" s="39">
        <v>46273</v>
      </c>
      <c r="AR1169" s="13" t="s">
        <v>2895</v>
      </c>
      <c r="AS1169" s="31">
        <v>46273</v>
      </c>
      <c r="AU1169" s="39">
        <v>46287</v>
      </c>
      <c r="AV1169" s="13" t="s">
        <v>865</v>
      </c>
      <c r="AW1169" s="39">
        <v>46287</v>
      </c>
      <c r="AX1169" s="13" t="str">
        <f>IF(ISNUMBER(SEARCH("cancel",#REF!)),"Cancelled",IF(AND(AS1169&lt;&gt;"",AU1169&lt;&gt;"",AW1169&lt;&gt;""),"Closed","Open"))</f>
        <v>Closed</v>
      </c>
      <c r="AY1169" s="15" t="str">
        <f t="shared" si="55"/>
        <v>All dates received</v>
      </c>
      <c r="AZ1169" s="13" t="s">
        <v>3053</v>
      </c>
      <c r="BA1169" s="13" t="s">
        <v>3048</v>
      </c>
      <c r="BB1169" s="13" t="s">
        <v>3049</v>
      </c>
      <c r="BC1169" s="13" t="s">
        <v>3048</v>
      </c>
      <c r="BD1169" s="13">
        <f>IF($AX1169="Cancelled","",IFERROR(IF(OR(AS1169="",AJ1169=""),"",(AJ1169+Variables!$B$18-AS1169)),""))</f>
        <v>-6</v>
      </c>
      <c r="BE1169" s="13">
        <f>IF($AX1169="Cancelled","",IFERROR(IF(OR(AW1169="",AS1169=""),"",(AS1169+Variables!$B$19)-AW1169),""))</f>
        <v>-9</v>
      </c>
      <c r="BF1169" s="44">
        <f>IF($AX1169="Cancelled","",IFERROR(W1169*INDEX(Variables!$B$7:$D$7,IFERROR(MATCH(IF($B1169="Robusta","Robusta",(IF($B1169="","Arabica",$B1169))&amp;" - "&amp;(IF($C1169="","Commercial",$C1169))),Variables!$B$1:$D$1,0),1))*(BE1169/365),""))</f>
        <v>-227.97174019152834</v>
      </c>
      <c r="BG1169" s="44">
        <f>IF($AX1169="Cancelled","",IFERROR((W1169*INDEX(Variables!$B$7:$D$7,IFERROR(MATCH(IF($B1169="Robusta","Robusta",(IF($B1169="","Arabica",$B1169))&amp;" - "&amp;(IF($C1169="","Commercial",$C1169))),Variables!$B$1:$D$1,0),1))*IFERROR(IF(AB1169="","",(AVERAGE(E1169:F1169)-AB1169)-Variables!$B$14),"")/365)+(L1169/16.67*INDEX(Variables!$B$8:$D$8,IFERROR(MATCH(IF($B1169="Robusta","Robusta",(IF($B1169="","Arabica",$B1169))&amp;" - "&amp;(IF($C1169="","Commercial",$C1169))),Variables!$B$1:$D$1,0),1))*IFERROR(IF(AB1169="","",(AVERAGE(E1169:F1169)-AB1169)-Variables!$B$14),""))+(W1169*INDEX(Variables!$B$9:$D$9,IFERROR(MATCH(IF($B1169="Robusta","Robusta",(IF($B1169="","Arabica",$B1169))&amp;" - "&amp;(IF($C1169="","Commercial",$C1169))),Variables!$B$1:$D$1,0),1))*IFERROR(IF(AB1169="","",(AVERAGE(E1169:F1169)-AB1169)-Variables!$B$14),"")/365),""))</f>
        <v>-812.30659440122497</v>
      </c>
      <c r="BH1169" s="44">
        <f>IF($AX1169="Cancelled","",IFERROR((W1169*INDEX(Variables!$B$7:$D$7,IFERROR(MATCH(IF($B1169="Robusta","Robusta",(IF($B1169="","Arabica",$B1169))&amp;" - "&amp;(IF($C1169="","Commercial",$C1169))),Variables!$B$1:$D$1,0),1))*AK1169/365)+(L1169/16.67*INDEX(Variables!$B$8:$D$8,IFERROR(MATCH(IF($B1169="Robusta","Robusta",(IF($B1169="","Arabica",$B1169))&amp;" - "&amp;(IF($C1169="","Commercial",$C1169))),Variables!$B$1:$D$1,0),1))*AK1169)+(W1169*INDEX(Variables!$B$9:$D$9,IFERROR(MATCH(IF($B1169="Robusta","Robusta",(IF($B1169="","Arabica",$B1169))&amp;" - "&amp;(IF($C1169="","Commercial",$C1169))),Variables!$B$1:$D$1,0),1))*AK1169/365),""))</f>
        <v>583.19447803164883</v>
      </c>
      <c r="BI1169" s="44">
        <f>IF($AX1169="Cancelled","",IFERROR((W1169*INDEX(Variables!$B$7:$D$7,IFERROR(MATCH(IF($B1169="Robusta","Robusta",(IF($B1169="","Arabica",$B1169))&amp;" - "&amp;(IF($C1169="","Commercial",$C1169))),Variables!$B$1:$D$1,0),1))*BD1169/365)+(L1169/16.67*INDEX(Variables!$B$8:$D$8,IFERROR(MATCH(IF($B1169="Robusta","Robusta",(IF($B1169="","Arabica",$B1169))&amp;" - "&amp;(IF($C1169="","Commercial",$C1169))),Variables!$B$1:$D$1,0),1))*BD1169)+(W1169*INDEX(Variables!$B$9:$D$9,IFERROR(MATCH(IF($B1169="Robusta","Robusta",(IF($B1169="","Arabica",$B1169))&amp;" - "&amp;(IF($C1169="","Commercial",$C1169))),Variables!$B$1:$D$1,0),1))*BD1169/365),""))</f>
        <v>-249.94049058499232</v>
      </c>
      <c r="BJ1169" s="44">
        <f t="shared" si="57"/>
        <v>-25</v>
      </c>
      <c r="BK1169" s="44">
        <f>IF($AX1169="Cancelled","",IFERROR(IF(BJ1169="","",(W1169*INDEX(Variables!$B$7:$D$7,IFERROR(MATCH(IF($B1169="Robusta","Robusta",(IF($B1169="","Arabica",$B1169))&amp;" - "&amp;(IF($C1169="","Commercial",$C1169))),Variables!$B$1:$D$1,0),1))*(BJ1169/365))+(W1169*INDEX(Variables!$B$9:$D$9,IFERROR(MATCH(IF($B1169="Robusta","Robusta",(IF($B1169="","Arabica",$B1169))&amp;" - "&amp;(IF($C1169="","Commercial",$C1169))),Variables!$B$1:$D$1,0),1))*(BJ1169/365))+(INDEX(Variables!$B$8:$D$8,IFERROR(MATCH(IF($B1169="Robusta","Robusta",(IF($B1169="","Arabica",$B1169))&amp;" - "&amp;(IF($C1169="","Commercial",$C1169))),Variables!$B$1:$D$1,0),1))*L1169/16.67)),""))</f>
        <v>-625.41871077080134</v>
      </c>
    </row>
    <row r="1170" spans="1:63">
      <c r="A1170" s="13" t="s">
        <v>103</v>
      </c>
      <c r="B1170" s="13" t="s">
        <v>104</v>
      </c>
      <c r="C1170" s="13" t="s">
        <v>105</v>
      </c>
      <c r="D1170" s="31">
        <v>46155</v>
      </c>
      <c r="E1170" s="31">
        <v>46235</v>
      </c>
      <c r="F1170" s="31">
        <v>46265</v>
      </c>
      <c r="G1170" s="13">
        <v>3787596</v>
      </c>
      <c r="J1170" s="13" t="s">
        <v>236</v>
      </c>
      <c r="K1170" s="13">
        <v>5620</v>
      </c>
      <c r="L1170" s="13">
        <v>320</v>
      </c>
      <c r="M1170" s="13">
        <v>1</v>
      </c>
      <c r="N1170" s="13" t="s">
        <v>2896</v>
      </c>
      <c r="O1170" s="13" t="s">
        <v>120</v>
      </c>
      <c r="P1170" s="13">
        <v>10070</v>
      </c>
      <c r="R1170" s="13" t="s">
        <v>239</v>
      </c>
      <c r="S1170" s="13" t="s">
        <v>180</v>
      </c>
      <c r="T1170" s="13" t="s">
        <v>253</v>
      </c>
      <c r="U1170" s="13" t="s">
        <v>182</v>
      </c>
      <c r="V1170" s="23">
        <v>37</v>
      </c>
      <c r="W1170" s="44">
        <f>IF($AX1170="Cancelled","",IFERROR(((V1170+INDEX(Variables!$B$6:$D$6,IFERROR(MATCH(IF($B1170="Robusta","Robusta",(IF($B1170="","Arabica",$B1170))&amp;" - "&amp;(IF($C1170="","Commercial",$C1170))),Variables!$B$1:$D$1,0),1)))*22.0462)*(L1170/16.67),""))</f>
        <v>138725.74656268745</v>
      </c>
      <c r="X1170" s="55" t="s">
        <v>37</v>
      </c>
      <c r="Y1170" s="13" t="str">
        <f>IF($AX1170="Cancelled","",IF(X1170="","",IFERROR(IF(INDEX(Variables!$B$38:$B$47,MATCH(X1170,Variables!$A$38:$A$47,0))="Yes","Yes","No"),"No")))</f>
        <v>Yes</v>
      </c>
      <c r="Z1170" s="58">
        <v>46224</v>
      </c>
      <c r="AB1170" s="31">
        <v>46241</v>
      </c>
      <c r="AC1170" s="13" t="str">
        <f t="shared" si="56"/>
        <v>Approved</v>
      </c>
      <c r="AF1170" s="71">
        <v>46251</v>
      </c>
      <c r="AG1170" s="35">
        <f>IF($AX1170="Cancelled","",IFERROR(IF(F1170="","",F1170-Variables!$B$13),""))</f>
        <v>46250</v>
      </c>
      <c r="AH1170" s="13">
        <f>IF($AX1170="Cancelled","",IFERROR(IF(AB1170="","",(AVERAGE(E1170:F1170)-AB1170)-Variables!$B$14),""))</f>
        <v>-21</v>
      </c>
      <c r="AJ1170" s="47">
        <v>46253</v>
      </c>
      <c r="AK1170" s="14">
        <f>IF($AX1170="Cancelled","",IFERROR(IF(AJ1170="","",IF(AND(AB1170="",AF1170=""),"",IF(AF1170&gt;AB1170,AF1170+Variables!$B$15+Variables!$B$16+Variables!$B$17-AJ1170,AB1170+Variables!$B$16+Variables!$B$17-AJ1170))),""))</f>
        <v>13</v>
      </c>
      <c r="AL1170" s="48" t="s">
        <v>114</v>
      </c>
      <c r="AM1170" s="13" t="s">
        <v>1482</v>
      </c>
      <c r="AN1170" s="13" t="s">
        <v>2897</v>
      </c>
      <c r="AP1170" s="39">
        <v>46268</v>
      </c>
      <c r="AR1170" s="13" t="s">
        <v>2898</v>
      </c>
      <c r="AS1170" s="31">
        <v>46268</v>
      </c>
      <c r="AU1170" s="39">
        <v>46287</v>
      </c>
      <c r="AV1170" s="13" t="s">
        <v>865</v>
      </c>
      <c r="AW1170" s="39">
        <v>46287</v>
      </c>
      <c r="AX1170" s="13" t="str">
        <f>IF(ISNUMBER(SEARCH("cancel",#REF!)),"Cancelled",IF(AND(AS1170&lt;&gt;"",AU1170&lt;&gt;"",AW1170&lt;&gt;""),"Closed","Open"))</f>
        <v>Closed</v>
      </c>
      <c r="AY1170" s="15" t="str">
        <f t="shared" si="55"/>
        <v>All dates received</v>
      </c>
      <c r="AZ1170" s="13" t="s">
        <v>3053</v>
      </c>
      <c r="BA1170" s="13" t="s">
        <v>3048</v>
      </c>
      <c r="BB1170" s="13" t="s">
        <v>3049</v>
      </c>
      <c r="BC1170" s="13" t="s">
        <v>3048</v>
      </c>
      <c r="BD1170" s="13">
        <f>IF($AX1170="Cancelled","",IFERROR(IF(OR(AS1170="",AJ1170=""),"",(AJ1170+Variables!$B$18-AS1170)),""))</f>
        <v>0</v>
      </c>
      <c r="BE1170" s="13">
        <f>IF($AX1170="Cancelled","",IFERROR(IF(OR(AW1170="",AS1170=""),"",(AS1170+Variables!$B$19)-AW1170),""))</f>
        <v>-14</v>
      </c>
      <c r="BF1170" s="44">
        <f>IF($AX1170="Cancelled","",IFERROR(W1170*INDEX(Variables!$B$7:$D$7,IFERROR(MATCH(IF($B1170="Robusta","Robusta",(IF($B1170="","Arabica",$B1170))&amp;" - "&amp;(IF($C1170="","Commercial",$C1170))),Variables!$B$1:$D$1,0),1))*(BE1170/365),""))</f>
        <v>-343.10898271250232</v>
      </c>
      <c r="BG1170" s="44">
        <f>IF($AX1170="Cancelled","",IFERROR((W1170*INDEX(Variables!$B$7:$D$7,IFERROR(MATCH(IF($B1170="Robusta","Robusta",(IF($B1170="","Arabica",$B1170))&amp;" - "&amp;(IF($C1170="","Commercial",$C1170))),Variables!$B$1:$D$1,0),1))*IFERROR(IF(AB1170="","",(AVERAGE(E1170:F1170)-AB1170)-Variables!$B$14),"")/365)+(L1170/16.67*INDEX(Variables!$B$8:$D$8,IFERROR(MATCH(IF($B1170="Robusta","Robusta",(IF($B1170="","Arabica",$B1170))&amp;" - "&amp;(IF($C1170="","Commercial",$C1170))),Variables!$B$1:$D$1,0),1))*IFERROR(IF(AB1170="","",(AVERAGE(E1170:F1170)-AB1170)-Variables!$B$14),""))+(W1170*INDEX(Variables!$B$9:$D$9,IFERROR(MATCH(IF($B1170="Robusta","Robusta",(IF($B1170="","Arabica",$B1170))&amp;" - "&amp;(IF($C1170="","Commercial",$C1170))),Variables!$B$1:$D$1,0),1))*IFERROR(IF(AB1170="","",(AVERAGE(E1170:F1170)-AB1170)-Variables!$B$14),"")/365),""))</f>
        <v>-857.29847948099689</v>
      </c>
      <c r="BH1170" s="44">
        <f>IF($AX1170="Cancelled","",IFERROR((W1170*INDEX(Variables!$B$7:$D$7,IFERROR(MATCH(IF($B1170="Robusta","Robusta",(IF($B1170="","Arabica",$B1170))&amp;" - "&amp;(IF($C1170="","Commercial",$C1170))),Variables!$B$1:$D$1,0),1))*AK1170/365)+(L1170/16.67*INDEX(Variables!$B$8:$D$8,IFERROR(MATCH(IF($B1170="Robusta","Robusta",(IF($B1170="","Arabica",$B1170))&amp;" - "&amp;(IF($C1170="","Commercial",$C1170))),Variables!$B$1:$D$1,0),1))*AK1170)+(W1170*INDEX(Variables!$B$9:$D$9,IFERROR(MATCH(IF($B1170="Robusta","Robusta",(IF($B1170="","Arabica",$B1170))&amp;" - "&amp;(IF($C1170="","Commercial",$C1170))),Variables!$B$1:$D$1,0),1))*AK1170/365),""))</f>
        <v>530.70858253585516</v>
      </c>
      <c r="BI1170" s="44">
        <f>IF($AX1170="Cancelled","",IFERROR((W1170*INDEX(Variables!$B$7:$D$7,IFERROR(MATCH(IF($B1170="Robusta","Robusta",(IF($B1170="","Arabica",$B1170))&amp;" - "&amp;(IF($C1170="","Commercial",$C1170))),Variables!$B$1:$D$1,0),1))*BD1170/365)+(L1170/16.67*INDEX(Variables!$B$8:$D$8,IFERROR(MATCH(IF($B1170="Robusta","Robusta",(IF($B1170="","Arabica",$B1170))&amp;" - "&amp;(IF($C1170="","Commercial",$C1170))),Variables!$B$1:$D$1,0),1))*BD1170)+(W1170*INDEX(Variables!$B$9:$D$9,IFERROR(MATCH(IF($B1170="Robusta","Robusta",(IF($B1170="","Arabica",$B1170))&amp;" - "&amp;(IF($C1170="","Commercial",$C1170))),Variables!$B$1:$D$1,0),1))*BD1170/365),""))</f>
        <v>0</v>
      </c>
      <c r="BJ1170" s="44">
        <f t="shared" si="57"/>
        <v>-3</v>
      </c>
      <c r="BK1170" s="44">
        <f>IF($AX1170="Cancelled","",IFERROR(IF(BJ1170="","",(W1170*INDEX(Variables!$B$7:$D$7,IFERROR(MATCH(IF($B1170="Robusta","Robusta",(IF($B1170="","Arabica",$B1170))&amp;" - "&amp;(IF($C1170="","Commercial",$C1170))),Variables!$B$1:$D$1,0),1))*(BJ1170/365))+(W1170*INDEX(Variables!$B$9:$D$9,IFERROR(MATCH(IF($B1170="Robusta","Robusta",(IF($B1170="","Arabica",$B1170))&amp;" - "&amp;(IF($C1170="","Commercial",$C1170))),Variables!$B$1:$D$1,0),1))*(BJ1170/365))+(INDEX(Variables!$B$8:$D$8,IFERROR(MATCH(IF($B1170="Robusta","Robusta",(IF($B1170="","Arabica",$B1170))&amp;" - "&amp;(IF($C1170="","Commercial",$C1170))),Variables!$B$1:$D$1,0),1))*L1170/16.67)),""))</f>
        <v>-58.471211354428107</v>
      </c>
    </row>
    <row r="1171" spans="1:63">
      <c r="A1171" s="13" t="s">
        <v>103</v>
      </c>
      <c r="B1171" s="13" t="s">
        <v>104</v>
      </c>
      <c r="C1171" s="13" t="s">
        <v>105</v>
      </c>
      <c r="D1171" s="31">
        <v>46155</v>
      </c>
      <c r="E1171" s="31">
        <v>46174</v>
      </c>
      <c r="F1171" s="31">
        <v>46187</v>
      </c>
      <c r="G1171" s="13">
        <v>3787597</v>
      </c>
      <c r="J1171" s="13" t="s">
        <v>107</v>
      </c>
      <c r="M1171" s="13">
        <v>0</v>
      </c>
      <c r="N1171" s="13" t="s">
        <v>467</v>
      </c>
      <c r="O1171" s="13" t="s">
        <v>405</v>
      </c>
      <c r="P1171" s="13">
        <v>10150</v>
      </c>
      <c r="R1171" s="13" t="s">
        <v>467</v>
      </c>
      <c r="S1171" s="13" t="s">
        <v>467</v>
      </c>
      <c r="T1171" s="13" t="s">
        <v>467</v>
      </c>
      <c r="U1171" s="13" t="s">
        <v>467</v>
      </c>
      <c r="V1171" s="23">
        <v>-57</v>
      </c>
      <c r="W1171" s="44">
        <f>IF($AX1171="Cancelled","",IFERROR(((V1171+INDEX(Variables!$B$6:$D$6,IFERROR(MATCH(IF($B1171="Robusta","Robusta",(IF($B1171="","Arabica",$B1171))&amp;" - "&amp;(IF($C1171="","Commercial",$C1171))),Variables!$B$1:$D$1,0),1)))*22.0462)*(L1171/16.67),""))</f>
        <v>0</v>
      </c>
      <c r="X1171" s="55" t="s">
        <v>37</v>
      </c>
      <c r="Y1171" s="13" t="str">
        <f>IF($AX1171="Cancelled","",IF(X1171="","",IFERROR(IF(INDEX(Variables!$B$38:$B$47,MATCH(X1171,Variables!$A$38:$A$47,0))="Yes","Yes","No"),"No")))</f>
        <v>Yes</v>
      </c>
      <c r="Z1171" s="31">
        <v>46155</v>
      </c>
      <c r="AB1171" s="31">
        <v>46155</v>
      </c>
      <c r="AC1171" s="13" t="str">
        <f t="shared" si="56"/>
        <v>Approved</v>
      </c>
      <c r="AF1171" s="71">
        <v>46155</v>
      </c>
      <c r="AG1171" s="35">
        <f>IF($AX1171="Cancelled","",IFERROR(IF(F1171="","",F1171-Variables!$B$13),""))</f>
        <v>46172</v>
      </c>
      <c r="AH1171" s="13">
        <f>IF($AX1171="Cancelled","",IFERROR(IF(AB1171="","",(AVERAGE(E1171:F1171)-AB1171)-Variables!$B$14),""))</f>
        <v>-4.5</v>
      </c>
      <c r="AJ1171" s="47">
        <v>46155</v>
      </c>
      <c r="AK1171" s="14">
        <f>IF($AX1171="Cancelled","",IFERROR(IF(AJ1171="","",IF(AND(AB1171="",AF1171=""),"",IF(AF1171&gt;AB1171,AF1171+Variables!$B$15+Variables!$B$16+Variables!$B$17-AJ1171,AB1171+Variables!$B$16+Variables!$B$17-AJ1171))),""))</f>
        <v>8</v>
      </c>
      <c r="AL1171" s="48" t="s">
        <v>114</v>
      </c>
      <c r="AM1171" s="13" t="s">
        <v>467</v>
      </c>
      <c r="AN1171" s="13" t="s">
        <v>467</v>
      </c>
      <c r="AO1171" s="31">
        <v>46155</v>
      </c>
      <c r="AP1171" s="39">
        <v>46155</v>
      </c>
      <c r="AQ1171" s="31">
        <v>46155</v>
      </c>
      <c r="AR1171" s="13" t="s">
        <v>467</v>
      </c>
      <c r="AS1171" s="39" t="s">
        <v>8</v>
      </c>
      <c r="AU1171" s="31" t="s">
        <v>8</v>
      </c>
      <c r="AV1171" s="13" t="s">
        <v>467</v>
      </c>
      <c r="AW1171" s="39" t="s">
        <v>8</v>
      </c>
      <c r="AX1171" s="13" t="str">
        <f>IF(ISNUMBER(SEARCH("cancel",#REF!)),"Cancelled",IF(AND(AS1171&lt;&gt;"",AU1171&lt;&gt;"",AW1171&lt;&gt;""),"Closed","Open"))</f>
        <v>Closed</v>
      </c>
      <c r="AY1171" s="15" t="str">
        <f t="shared" si="55"/>
        <v>All dates received</v>
      </c>
      <c r="BD1171" s="13" t="str">
        <f>IF($AX1171="Cancelled","",IFERROR(IF(OR(AS1171="",AJ1171=""),"",(AJ1171+Variables!$B$18-AS1171)),""))</f>
        <v/>
      </c>
      <c r="BE1171" s="13" t="str">
        <f>IF($AX1171="Cancelled","",IFERROR(IF(OR(AW1171="",AS1171=""),"",(AS1171+Variables!$B$19)-AW1171),""))</f>
        <v/>
      </c>
      <c r="BF1171" s="44" t="str">
        <f>IF($AX1171="Cancelled","",IFERROR(W1171*INDEX(Variables!$B$7:$D$7,IFERROR(MATCH(IF($B1171="Robusta","Robusta",(IF($B1171="","Arabica",$B1171))&amp;" - "&amp;(IF($C1171="","Commercial",$C1171))),Variables!$B$1:$D$1,0),1))*(BE1171/365),""))</f>
        <v/>
      </c>
      <c r="BG1171" s="44">
        <f>IF($AX1171="Cancelled","",IFERROR((W1171*INDEX(Variables!$B$7:$D$7,IFERROR(MATCH(IF($B1171="Robusta","Robusta",(IF($B1171="","Arabica",$B1171))&amp;" - "&amp;(IF($C1171="","Commercial",$C1171))),Variables!$B$1:$D$1,0),1))*IFERROR(IF(AB1171="","",(AVERAGE(E1171:F1171)-AB1171)-Variables!$B$14),"")/365)+(L1171/16.67*INDEX(Variables!$B$8:$D$8,IFERROR(MATCH(IF($B1171="Robusta","Robusta",(IF($B1171="","Arabica",$B1171))&amp;" - "&amp;(IF($C1171="","Commercial",$C1171))),Variables!$B$1:$D$1,0),1))*IFERROR(IF(AB1171="","",(AVERAGE(E1171:F1171)-AB1171)-Variables!$B$14),""))+(W1171*INDEX(Variables!$B$9:$D$9,IFERROR(MATCH(IF($B1171="Robusta","Robusta",(IF($B1171="","Arabica",$B1171))&amp;" - "&amp;(IF($C1171="","Commercial",$C1171))),Variables!$B$1:$D$1,0),1))*IFERROR(IF(AB1171="","",(AVERAGE(E1171:F1171)-AB1171)-Variables!$B$14),"")/365),""))</f>
        <v>0</v>
      </c>
      <c r="BH1171" s="44">
        <f>IF($AX1171="Cancelled","",IFERROR((W1171*INDEX(Variables!$B$7:$D$7,IFERROR(MATCH(IF($B1171="Robusta","Robusta",(IF($B1171="","Arabica",$B1171))&amp;" - "&amp;(IF($C1171="","Commercial",$C1171))),Variables!$B$1:$D$1,0),1))*AK1171/365)+(L1171/16.67*INDEX(Variables!$B$8:$D$8,IFERROR(MATCH(IF($B1171="Robusta","Robusta",(IF($B1171="","Arabica",$B1171))&amp;" - "&amp;(IF($C1171="","Commercial",$C1171))),Variables!$B$1:$D$1,0),1))*AK1171)+(W1171*INDEX(Variables!$B$9:$D$9,IFERROR(MATCH(IF($B1171="Robusta","Robusta",(IF($B1171="","Arabica",$B1171))&amp;" - "&amp;(IF($C1171="","Commercial",$C1171))),Variables!$B$1:$D$1,0),1))*AK1171/365),""))</f>
        <v>0</v>
      </c>
      <c r="BI1171" s="44" t="str">
        <f>IF($AX1171="Cancelled","",IFERROR((W1171*INDEX(Variables!$B$7:$D$7,IFERROR(MATCH(IF($B1171="Robusta","Robusta",(IF($B1171="","Arabica",$B1171))&amp;" - "&amp;(IF($C1171="","Commercial",$C1171))),Variables!$B$1:$D$1,0),1))*BD1171/365)+(L1171/16.67*INDEX(Variables!$B$8:$D$8,IFERROR(MATCH(IF($B1171="Robusta","Robusta",(IF($B1171="","Arabica",$B1171))&amp;" - "&amp;(IF($C1171="","Commercial",$C1171))),Variables!$B$1:$D$1,0),1))*BD1171)+(W1171*INDEX(Variables!$B$9:$D$9,IFERROR(MATCH(IF($B1171="Robusta","Robusta",(IF($B1171="","Arabica",$B1171))&amp;" - "&amp;(IF($C1171="","Commercial",$C1171))),Variables!$B$1:$D$1,0),1))*BD1171/365),""))</f>
        <v/>
      </c>
      <c r="BJ1171" s="44" t="str">
        <f t="shared" si="57"/>
        <v/>
      </c>
      <c r="BK1171" s="44" t="str">
        <f>IF($AX1171="Cancelled","",IFERROR(IF(BJ1171="","",(W1171*INDEX(Variables!$B$7:$D$7,IFERROR(MATCH(IF($B1171="Robusta","Robusta",(IF($B1171="","Arabica",$B1171))&amp;" - "&amp;(IF($C1171="","Commercial",$C1171))),Variables!$B$1:$D$1,0),1))*(BJ1171/365))+(W1171*INDEX(Variables!$B$9:$D$9,IFERROR(MATCH(IF($B1171="Robusta","Robusta",(IF($B1171="","Arabica",$B1171))&amp;" - "&amp;(IF($C1171="","Commercial",$C1171))),Variables!$B$1:$D$1,0),1))*(BJ1171/365))+(INDEX(Variables!$B$8:$D$8,IFERROR(MATCH(IF($B1171="Robusta","Robusta",(IF($B1171="","Arabica",$B1171))&amp;" - "&amp;(IF($C1171="","Commercial",$C1171))),Variables!$B$1:$D$1,0),1))*L1171/16.67)),""))</f>
        <v/>
      </c>
    </row>
    <row r="1172" spans="1:63" s="33" customFormat="1">
      <c r="A1172" s="33" t="s">
        <v>103</v>
      </c>
      <c r="B1172" s="13" t="s">
        <v>104</v>
      </c>
      <c r="C1172" s="13" t="s">
        <v>105</v>
      </c>
      <c r="D1172" s="31">
        <v>46156</v>
      </c>
      <c r="E1172" s="31">
        <v>46266</v>
      </c>
      <c r="F1172" s="31">
        <v>46295</v>
      </c>
      <c r="G1172" s="33">
        <v>3787601</v>
      </c>
      <c r="H1172" s="13"/>
      <c r="I1172" s="13"/>
      <c r="J1172" s="13" t="s">
        <v>2899</v>
      </c>
      <c r="K1172" s="13">
        <v>5655</v>
      </c>
      <c r="L1172" s="13">
        <v>320</v>
      </c>
      <c r="M1172" s="13">
        <v>1</v>
      </c>
      <c r="N1172" s="13" t="s">
        <v>2900</v>
      </c>
      <c r="O1172" s="13" t="s">
        <v>261</v>
      </c>
      <c r="P1172" s="13">
        <v>10060</v>
      </c>
      <c r="Q1172" s="13"/>
      <c r="R1172" s="13" t="s">
        <v>239</v>
      </c>
      <c r="S1172" s="13" t="s">
        <v>288</v>
      </c>
      <c r="T1172" s="13" t="s">
        <v>289</v>
      </c>
      <c r="U1172" s="13" t="s">
        <v>182</v>
      </c>
      <c r="V1172" s="23">
        <v>61</v>
      </c>
      <c r="W1172" s="44">
        <f>IF($AX1172="Cancelled","",IFERROR(((V1172+INDEX(Variables!$B$6:$D$6,IFERROR(MATCH(IF($B1172="Robusta","Robusta",(IF($B1172="","Arabica",$B1172))&amp;" - "&amp;(IF($C1172="","Commercial",$C1172))),Variables!$B$1:$D$1,0),1)))*22.0462)*(L1172/16.67),""))</f>
        <v>148882.60415116974</v>
      </c>
      <c r="X1172" s="55" t="s">
        <v>37</v>
      </c>
      <c r="Y1172" s="13" t="str">
        <f>IF($AX1172="Cancelled","",IF(X1172="","",IFERROR(IF(INDEX(Variables!$B$38:$B$47,MATCH(X1172,Variables!$A$38:$A$47,0))="Yes","Yes","No"),"No")))</f>
        <v>Yes</v>
      </c>
      <c r="Z1172" s="58">
        <v>46254</v>
      </c>
      <c r="AA1172" s="13"/>
      <c r="AB1172" s="31">
        <v>46265</v>
      </c>
      <c r="AC1172" s="13" t="str">
        <f t="shared" si="56"/>
        <v>Approved</v>
      </c>
      <c r="AD1172" s="31">
        <v>46275</v>
      </c>
      <c r="AE1172" s="31"/>
      <c r="AF1172" s="71">
        <v>46290</v>
      </c>
      <c r="AG1172" s="35">
        <f>IF($AX1172="Cancelled","",IFERROR(IF(F1172="","",F1172-Variables!$B$13),""))</f>
        <v>46280</v>
      </c>
      <c r="AH1172" s="13">
        <f>IF($AX1172="Cancelled","",IFERROR(IF(AB1172="","",(AVERAGE(E1172:F1172)-AB1172)-Variables!$B$14),""))</f>
        <v>-14.5</v>
      </c>
      <c r="AI1172" s="13"/>
      <c r="AJ1172" s="47">
        <v>46290</v>
      </c>
      <c r="AK1172" s="14">
        <f>IF($AX1172="Cancelled","",IFERROR(IF(AJ1172="","",IF(AND(AB1172="",AF1172=""),"",IF(AF1172&gt;AB1172,AF1172+Variables!$B$15+Variables!$B$16+Variables!$B$17-AJ1172,AB1172+Variables!$B$16+Variables!$B$17-AJ1172))),""))</f>
        <v>15</v>
      </c>
      <c r="AL1172" s="48" t="s">
        <v>114</v>
      </c>
      <c r="AM1172" s="33" t="s">
        <v>168</v>
      </c>
      <c r="AN1172" s="33" t="s">
        <v>2901</v>
      </c>
      <c r="AO1172" s="39">
        <v>46290</v>
      </c>
      <c r="AP1172" s="39">
        <v>46294</v>
      </c>
      <c r="AQ1172" s="39">
        <v>46319</v>
      </c>
      <c r="AR1172" s="33" t="s">
        <v>2902</v>
      </c>
      <c r="AS1172" s="39">
        <v>46296</v>
      </c>
      <c r="AT1172" s="39"/>
      <c r="AU1172" s="39">
        <v>46314</v>
      </c>
      <c r="AV1172" s="33" t="s">
        <v>865</v>
      </c>
      <c r="AW1172" s="39">
        <v>46314</v>
      </c>
      <c r="AX1172" s="33" t="str">
        <f>IF(ISNUMBER(SEARCH("cancel",#REF!)),"Cancelled",IF(AND(AS1172&lt;&gt;"",AU1172&lt;&gt;"",AW1172&lt;&gt;""),"Closed","Open"))</f>
        <v>Closed</v>
      </c>
      <c r="AY1172" s="15" t="str">
        <f t="shared" si="55"/>
        <v>All dates received</v>
      </c>
      <c r="AZ1172" s="13" t="s">
        <v>3053</v>
      </c>
      <c r="BA1172" s="13" t="s">
        <v>3048</v>
      </c>
      <c r="BB1172" s="13" t="s">
        <v>3049</v>
      </c>
      <c r="BC1172" s="33" t="s">
        <v>3048</v>
      </c>
      <c r="BD1172" s="33">
        <f>IF($AX1172="Cancelled","",IFERROR(IF(OR(AS1172="",AJ1172=""),"",(AJ1172+Variables!$B$18-AS1172)),""))</f>
        <v>9</v>
      </c>
      <c r="BE1172" s="33">
        <f>IF($AX1172="Cancelled","",IFERROR(IF(OR(AW1172="",AS1172=""),"",(AS1172+Variables!$B$19)-AW1172),""))</f>
        <v>-13</v>
      </c>
      <c r="BF1172" s="43">
        <f>IF($AX1172="Cancelled","",IFERROR(W1172*INDEX(Variables!$B$7:$D$7,IFERROR(MATCH(IF($B1172="Robusta","Robusta",(IF($B1172="","Arabica",$B1172))&amp;" - "&amp;(IF($C1172="","Commercial",$C1172))),Variables!$B$1:$D$1,0),1))*(BE1172/365),""))</f>
        <v>-341.92770451001439</v>
      </c>
      <c r="BG1172" s="43">
        <f>IF($AX1172="Cancelled","",IFERROR((W1172*INDEX(Variables!$B$7:$D$7,IFERROR(MATCH(IF($B1172="Robusta","Robusta",(IF($B1172="","Arabica",$B1172))&amp;" - "&amp;(IF($C1172="","Commercial",$C1172))),Variables!$B$1:$D$1,0),1))*IFERROR(IF(AB1172="","",(AVERAGE(E1172:F1172)-AB1172)-Variables!$B$14),"")/365)+(L1172/16.67*INDEX(Variables!$B$8:$D$8,IFERROR(MATCH(IF($B1172="Robusta","Robusta",(IF($B1172="","Arabica",$B1172))&amp;" - "&amp;(IF($C1172="","Commercial",$C1172))),Variables!$B$1:$D$1,0),1))*IFERROR(IF(AB1172="","",(AVERAGE(E1172:F1172)-AB1172)-Variables!$B$14),""))+(W1172*INDEX(Variables!$B$9:$D$9,IFERROR(MATCH(IF($B1172="Robusta","Robusta",(IF($B1172="","Arabica",$B1172))&amp;" - "&amp;(IF($C1172="","Commercial",$C1172))),Variables!$B$1:$D$1,0),1))*IFERROR(IF(AB1172="","",(AVERAGE(E1172:F1172)-AB1172)-Variables!$B$14),"")/365),""))</f>
        <v>-618.29763701451418</v>
      </c>
      <c r="BH1172" s="43">
        <f>IF($AX1172="Cancelled","",IFERROR((W1172*INDEX(Variables!$B$7:$D$7,IFERROR(MATCH(IF($B1172="Robusta","Robusta",(IF($B1172="","Arabica",$B1172))&amp;" - "&amp;(IF($C1172="","Commercial",$C1172))),Variables!$B$1:$D$1,0),1))*AK1172/365)+(L1172/16.67*INDEX(Variables!$B$8:$D$8,IFERROR(MATCH(IF($B1172="Robusta","Robusta",(IF($B1172="","Arabica",$B1172))&amp;" - "&amp;(IF($C1172="","Commercial",$C1172))),Variables!$B$1:$D$1,0),1))*AK1172)+(W1172*INDEX(Variables!$B$9:$D$9,IFERROR(MATCH(IF($B1172="Robusta","Robusta",(IF($B1172="","Arabica",$B1172))&amp;" - "&amp;(IF($C1172="","Commercial",$C1172))),Variables!$B$1:$D$1,0),1))*AK1172/365),""))</f>
        <v>639.61824518742844</v>
      </c>
      <c r="BI1172" s="43">
        <f>IF($AX1172="Cancelled","",IFERROR((W1172*INDEX(Variables!$B$7:$D$7,IFERROR(MATCH(IF($B1172="Robusta","Robusta",(IF($B1172="","Arabica",$B1172))&amp;" - "&amp;(IF($C1172="","Commercial",$C1172))),Variables!$B$1:$D$1,0),1))*BD1172/365)+(L1172/16.67*INDEX(Variables!$B$8:$D$8,IFERROR(MATCH(IF($B1172="Robusta","Robusta",(IF($B1172="","Arabica",$B1172))&amp;" - "&amp;(IF($C1172="","Commercial",$C1172))),Variables!$B$1:$D$1,0),1))*BD1172)+(W1172*INDEX(Variables!$B$9:$D$9,IFERROR(MATCH(IF($B1172="Robusta","Robusta",(IF($B1172="","Arabica",$B1172))&amp;" - "&amp;(IF($C1172="","Commercial",$C1172))),Variables!$B$1:$D$1,0),1))*BD1172/365),""))</f>
        <v>383.77094711245712</v>
      </c>
      <c r="BJ1172" s="43">
        <f t="shared" si="57"/>
        <v>-1</v>
      </c>
      <c r="BK1172" s="43">
        <f>IF($AX1172="Cancelled","",IFERROR(IF(BJ1172="","",(W1172*INDEX(Variables!$B$7:$D$7,IFERROR(MATCH(IF($B1172="Robusta","Robusta",(IF($B1172="","Arabica",$B1172))&amp;" - "&amp;(IF($C1172="","Commercial",$C1172))),Variables!$B$1:$D$1,0),1))*(BJ1172/365))+(W1172*INDEX(Variables!$B$9:$D$9,IFERROR(MATCH(IF($B1172="Robusta","Robusta",(IF($B1172="","Arabica",$B1172))&amp;" - "&amp;(IF($C1172="","Commercial",$C1172))),Variables!$B$1:$D$1,0),1))*(BJ1172/365))+(INDEX(Variables!$B$8:$D$8,IFERROR(MATCH(IF($B1172="Robusta","Robusta",(IF($B1172="","Arabica",$B1172))&amp;" - "&amp;(IF($C1172="","Commercial",$C1172))),Variables!$B$1:$D$1,0),1))*L1172/16.67)),""))</f>
        <v>-10.641216345828568</v>
      </c>
    </row>
    <row r="1173" spans="1:63">
      <c r="A1173" s="13" t="s">
        <v>103</v>
      </c>
      <c r="B1173" s="13" t="s">
        <v>104</v>
      </c>
      <c r="C1173" s="13" t="s">
        <v>105</v>
      </c>
      <c r="D1173" s="31">
        <v>46163</v>
      </c>
      <c r="E1173" s="31">
        <v>46235</v>
      </c>
      <c r="F1173" s="31">
        <v>46265</v>
      </c>
      <c r="G1173" s="13">
        <v>3787602</v>
      </c>
      <c r="J1173" s="13" t="s">
        <v>611</v>
      </c>
      <c r="K1173" s="13">
        <v>5616</v>
      </c>
      <c r="L1173" s="13">
        <v>320</v>
      </c>
      <c r="M1173" s="13">
        <v>1</v>
      </c>
      <c r="N1173" s="13" t="s">
        <v>2903</v>
      </c>
      <c r="O1173" s="13" t="s">
        <v>120</v>
      </c>
      <c r="P1173" s="13">
        <v>10070</v>
      </c>
      <c r="R1173" s="13" t="s">
        <v>110</v>
      </c>
      <c r="S1173" s="13" t="s">
        <v>2121</v>
      </c>
      <c r="T1173" s="13" t="s">
        <v>112</v>
      </c>
      <c r="U1173" s="13" t="s">
        <v>113</v>
      </c>
      <c r="V1173" s="23">
        <v>38</v>
      </c>
      <c r="W1173" s="44">
        <f>IF($AX1173="Cancelled","",IFERROR(((V1173+INDEX(Variables!$B$6:$D$6,IFERROR(MATCH(IF($B1173="Robusta","Robusta",(IF($B1173="","Arabica",$B1173))&amp;" - "&amp;(IF($C1173="","Commercial",$C1173))),Variables!$B$1:$D$1,0),1)))*22.0462)*(L1173/16.67),""))</f>
        <v>139148.94896220753</v>
      </c>
      <c r="X1173" s="55" t="s">
        <v>37</v>
      </c>
      <c r="Y1173" s="13" t="str">
        <f>IF($AX1173="Cancelled","",IF(X1173="","",IFERROR(IF(INDEX(Variables!$B$38:$B$47,MATCH(X1173,Variables!$A$38:$A$47,0))="Yes","Yes","No"),"No")))</f>
        <v>Yes</v>
      </c>
      <c r="Z1173" s="58">
        <v>46217</v>
      </c>
      <c r="AB1173" s="31">
        <v>46224</v>
      </c>
      <c r="AC1173" s="13" t="str">
        <f t="shared" si="56"/>
        <v>Approved</v>
      </c>
      <c r="AF1173" s="71">
        <v>46248</v>
      </c>
      <c r="AG1173" s="35">
        <f>IF($AX1173="Cancelled","",IFERROR(IF(F1173="","",F1173-Variables!$B$13),""))</f>
        <v>46250</v>
      </c>
      <c r="AH1173" s="13">
        <f>IF($AX1173="Cancelled","",IFERROR(IF(AB1173="","",(AVERAGE(E1173:F1173)-AB1173)-Variables!$B$14),""))</f>
        <v>-4</v>
      </c>
      <c r="AJ1173" s="47">
        <v>46253</v>
      </c>
      <c r="AK1173" s="14">
        <f>IF($AX1173="Cancelled","",IFERROR(IF(AJ1173="","",IF(AND(AB1173="",AF1173=""),"",IF(AF1173&gt;AB1173,AF1173+Variables!$B$15+Variables!$B$16+Variables!$B$17-AJ1173,AB1173+Variables!$B$16+Variables!$B$17-AJ1173))),""))</f>
        <v>10</v>
      </c>
      <c r="AL1173" s="48" t="s">
        <v>114</v>
      </c>
      <c r="AM1173" s="13" t="s">
        <v>134</v>
      </c>
      <c r="AN1173" s="13" t="s">
        <v>2869</v>
      </c>
      <c r="AP1173" s="39">
        <v>46266</v>
      </c>
      <c r="AR1173" s="13" t="s">
        <v>2904</v>
      </c>
      <c r="AS1173" s="31">
        <v>46266</v>
      </c>
      <c r="AU1173" s="39">
        <v>46297</v>
      </c>
      <c r="AV1173" s="13" t="s">
        <v>865</v>
      </c>
      <c r="AW1173" s="39">
        <v>46297</v>
      </c>
      <c r="AX1173" s="13" t="str">
        <f>IF(ISNUMBER(SEARCH("cancel",#REF!)),"Cancelled",IF(AND(AS1173&lt;&gt;"",AU1173&lt;&gt;"",AW1173&lt;&gt;""),"Closed","Open"))</f>
        <v>Closed</v>
      </c>
      <c r="AY1173" s="15" t="str">
        <f t="shared" si="55"/>
        <v>All dates received</v>
      </c>
      <c r="BD1173" s="13">
        <f>IF($AX1173="Cancelled","",IFERROR(IF(OR(AS1173="",AJ1173=""),"",(AJ1173+Variables!$B$18-AS1173)),""))</f>
        <v>2</v>
      </c>
      <c r="BE1173" s="13">
        <f>IF($AX1173="Cancelled","",IFERROR(IF(OR(AW1173="",AS1173=""),"",(AS1173+Variables!$B$19)-AW1173),""))</f>
        <v>-26</v>
      </c>
      <c r="BF1173" s="44">
        <f>IF($AX1173="Cancelled","",IFERROR(W1173*INDEX(Variables!$B$7:$D$7,IFERROR(MATCH(IF($B1173="Robusta","Robusta",(IF($B1173="","Arabica",$B1173))&amp;" - "&amp;(IF($C1173="","Commercial",$C1173))),Variables!$B$1:$D$1,0),1))*(BE1173/365),""))</f>
        <v>-639.14627198915707</v>
      </c>
      <c r="BG1173" s="44">
        <f>IF($AX1173="Cancelled","",IFERROR((W1173*INDEX(Variables!$B$7:$D$7,IFERROR(MATCH(IF($B1173="Robusta","Robusta",(IF($B1173="","Arabica",$B1173))&amp;" - "&amp;(IF($C1173="","Commercial",$C1173))),Variables!$B$1:$D$1,0),1))*IFERROR(IF(AB1173="","",(AVERAGE(E1173:F1173)-AB1173)-Variables!$B$14),"")/365)+(L1173/16.67*INDEX(Variables!$B$8:$D$8,IFERROR(MATCH(IF($B1173="Robusta","Robusta",(IF($B1173="","Arabica",$B1173))&amp;" - "&amp;(IF($C1173="","Commercial",$C1173))),Variables!$B$1:$D$1,0),1))*IFERROR(IF(AB1173="","",(AVERAGE(E1173:F1173)-AB1173)-Variables!$B$14),""))+(W1173*INDEX(Variables!$B$9:$D$9,IFERROR(MATCH(IF($B1173="Robusta","Robusta",(IF($B1173="","Arabica",$B1173))&amp;" - "&amp;(IF($C1173="","Commercial",$C1173))),Variables!$B$1:$D$1,0),1))*IFERROR(IF(AB1173="","",(AVERAGE(E1173:F1173)-AB1173)-Variables!$B$14),"")/365),""))</f>
        <v>-163.59786167718511</v>
      </c>
      <c r="BH1173" s="44">
        <f>IF($AX1173="Cancelled","",IFERROR((W1173*INDEX(Variables!$B$7:$D$7,IFERROR(MATCH(IF($B1173="Robusta","Robusta",(IF($B1173="","Arabica",$B1173))&amp;" - "&amp;(IF($C1173="","Commercial",$C1173))),Variables!$B$1:$D$1,0),1))*AK1173/365)+(L1173/16.67*INDEX(Variables!$B$8:$D$8,IFERROR(MATCH(IF($B1173="Robusta","Robusta",(IF($B1173="","Arabica",$B1173))&amp;" - "&amp;(IF($C1173="","Commercial",$C1173))),Variables!$B$1:$D$1,0),1))*AK1173)+(W1173*INDEX(Variables!$B$9:$D$9,IFERROR(MATCH(IF($B1173="Robusta","Robusta",(IF($B1173="","Arabica",$B1173))&amp;" - "&amp;(IF($C1173="","Commercial",$C1173))),Variables!$B$1:$D$1,0),1))*AK1173/365),""))</f>
        <v>408.99465419296274</v>
      </c>
      <c r="BI1173" s="44">
        <f>IF($AX1173="Cancelled","",IFERROR((W1173*INDEX(Variables!$B$7:$D$7,IFERROR(MATCH(IF($B1173="Robusta","Robusta",(IF($B1173="","Arabica",$B1173))&amp;" - "&amp;(IF($C1173="","Commercial",$C1173))),Variables!$B$1:$D$1,0),1))*BD1173/365)+(L1173/16.67*INDEX(Variables!$B$8:$D$8,IFERROR(MATCH(IF($B1173="Robusta","Robusta",(IF($B1173="","Arabica",$B1173))&amp;" - "&amp;(IF($C1173="","Commercial",$C1173))),Variables!$B$1:$D$1,0),1))*BD1173)+(W1173*INDEX(Variables!$B$9:$D$9,IFERROR(MATCH(IF($B1173="Robusta","Robusta",(IF($B1173="","Arabica",$B1173))&amp;" - "&amp;(IF($C1173="","Commercial",$C1173))),Variables!$B$1:$D$1,0),1))*BD1173/365),""))</f>
        <v>81.798930838592554</v>
      </c>
      <c r="BJ1173" s="44">
        <f t="shared" si="57"/>
        <v>-1</v>
      </c>
      <c r="BK1173" s="44">
        <f>IF($AX1173="Cancelled","",IFERROR(IF(BJ1173="","",(W1173*INDEX(Variables!$B$7:$D$7,IFERROR(MATCH(IF($B1173="Robusta","Robusta",(IF($B1173="","Arabica",$B1173))&amp;" - "&amp;(IF($C1173="","Commercial",$C1173))),Variables!$B$1:$D$1,0),1))*(BJ1173/365))+(W1173*INDEX(Variables!$B$9:$D$9,IFERROR(MATCH(IF($B1173="Robusta","Robusta",(IF($B1173="","Arabica",$B1173))&amp;" - "&amp;(IF($C1173="","Commercial",$C1173))),Variables!$B$1:$D$1,0),1))*(BJ1173/365))+(INDEX(Variables!$B$8:$D$8,IFERROR(MATCH(IF($B1173="Robusta","Robusta",(IF($B1173="","Arabica",$B1173))&amp;" - "&amp;(IF($C1173="","Commercial",$C1173))),Variables!$B$1:$D$1,0),1))*L1173/16.67)),""))</f>
        <v>-8.899465419296277</v>
      </c>
    </row>
    <row r="1174" spans="1:63">
      <c r="A1174" s="13" t="s">
        <v>103</v>
      </c>
      <c r="B1174" s="13" t="s">
        <v>104</v>
      </c>
      <c r="C1174" s="13" t="s">
        <v>105</v>
      </c>
      <c r="D1174" s="31">
        <v>46164</v>
      </c>
      <c r="E1174" s="31">
        <v>46143</v>
      </c>
      <c r="F1174" s="31">
        <v>46173</v>
      </c>
      <c r="G1174" s="13">
        <v>3787603</v>
      </c>
      <c r="J1174" s="13" t="s">
        <v>2905</v>
      </c>
      <c r="L1174" s="13">
        <v>351</v>
      </c>
      <c r="M1174" s="13">
        <v>2</v>
      </c>
      <c r="N1174" s="13" t="s">
        <v>2906</v>
      </c>
      <c r="O1174" s="13" t="s">
        <v>456</v>
      </c>
      <c r="P1174" s="13">
        <v>10140</v>
      </c>
      <c r="R1174" s="13" t="s">
        <v>110</v>
      </c>
      <c r="S1174" s="13" t="s">
        <v>1090</v>
      </c>
      <c r="T1174" s="13" t="s">
        <v>103</v>
      </c>
      <c r="U1174" s="13" t="s">
        <v>1091</v>
      </c>
      <c r="V1174" s="23">
        <v>-55</v>
      </c>
      <c r="W1174" s="44">
        <f>IF($AX1174="Cancelled","",IFERROR(((V1174+INDEX(Variables!$B$6:$D$6,IFERROR(MATCH(IF($B1174="Robusta","Robusta",(IF($B1174="","Arabica",$B1174))&amp;" - "&amp;(IF($C1174="","Commercial",$C1174))),Variables!$B$1:$D$1,0),1)))*22.0462)*(L1174/16.67),""))</f>
        <v>109458.3911193761</v>
      </c>
      <c r="X1174" s="55" t="s">
        <v>39</v>
      </c>
      <c r="Y1174" s="13" t="str">
        <f>IF($AX1174="Cancelled","",IF(X1174="","",IFERROR(IF(INDEX(Variables!$B$38:$B$47,MATCH(X1174,Variables!$A$38:$A$47,0))="Yes","Yes","No"),"No")))</f>
        <v>No</v>
      </c>
      <c r="Z1174" s="31"/>
      <c r="AC1174" s="13" t="str">
        <f t="shared" si="56"/>
        <v/>
      </c>
      <c r="AF1174" s="71">
        <v>46177</v>
      </c>
      <c r="AG1174" s="35">
        <f>IF($AX1174="Cancelled","",IFERROR(IF(F1174="","",F1174-Variables!$B$13),""))</f>
        <v>46158</v>
      </c>
      <c r="AH1174" s="13" t="str">
        <f>IF($AX1174="Cancelled","",IFERROR(IF(AB1174="","",(AVERAGE(E1174:F1174)-AB1174)-Variables!$B$14),""))</f>
        <v/>
      </c>
      <c r="AK1174" s="14" t="str">
        <f>IF($AX1174="Cancelled","",IFERROR(IF(AJ1174="","",IF(AND(AB1174="",AF1174=""),"",IF(AF1174&gt;AB1174,AF1174+Variables!$B$15+Variables!$B$16+Variables!$B$17-AJ1174,AB1174+Variables!$B$16+Variables!$B$17-AJ1174))),""))</f>
        <v/>
      </c>
      <c r="AL1174" s="48" t="s">
        <v>114</v>
      </c>
      <c r="AM1174" s="13" t="s">
        <v>8</v>
      </c>
      <c r="AN1174" s="13" t="s">
        <v>8</v>
      </c>
      <c r="AP1174" s="39"/>
      <c r="AR1174" s="13" t="s">
        <v>8</v>
      </c>
      <c r="AS1174" s="31">
        <v>46206</v>
      </c>
      <c r="AU1174" s="31">
        <v>46206</v>
      </c>
      <c r="AV1174" s="13" t="s">
        <v>8</v>
      </c>
      <c r="AW1174" s="31">
        <v>46206</v>
      </c>
      <c r="AX1174" s="13" t="str">
        <f>IF(ISNUMBER(SEARCH("cancel",#REF!)),"Cancelled",IF(AND(AS1174&lt;&gt;"",AU1174&lt;&gt;"",AW1174&lt;&gt;""),"Closed","Open"))</f>
        <v>Closed</v>
      </c>
      <c r="AY1174" s="15" t="str">
        <f t="shared" si="55"/>
        <v>All dates received</v>
      </c>
      <c r="BD1174" s="13" t="str">
        <f>IF($AX1174="Cancelled","",IFERROR(IF(OR(AS1174="",AJ1174=""),"",(AJ1174+Variables!$B$18-AS1174)),""))</f>
        <v/>
      </c>
      <c r="BE1174" s="13">
        <f>IF($AX1174="Cancelled","",IFERROR(IF(OR(AW1174="",AS1174=""),"",(AS1174+Variables!$B$19)-AW1174),""))</f>
        <v>5</v>
      </c>
      <c r="BF1174" s="44">
        <f>IF($AX1174="Cancelled","",IFERROR(W1174*INDEX(Variables!$B$7:$D$7,IFERROR(MATCH(IF($B1174="Robusta","Robusta",(IF($B1174="","Arabica",$B1174))&amp;" - "&amp;(IF($C1174="","Commercial",$C1174))),Variables!$B$1:$D$1,0),1))*(BE1174/365),""))</f>
        <v>96.686546134764839</v>
      </c>
      <c r="BG1174" s="44" t="str">
        <f>IF($AX1174="Cancelled","",IFERROR((W1174*INDEX(Variables!$B$7:$D$7,IFERROR(MATCH(IF($B1174="Robusta","Robusta",(IF($B1174="","Arabica",$B1174))&amp;" - "&amp;(IF($C1174="","Commercial",$C1174))),Variables!$B$1:$D$1,0),1))*IFERROR(IF(AB1174="","",(AVERAGE(E1174:F1174)-AB1174)-Variables!$B$14),"")/365)+(L1174/16.67*INDEX(Variables!$B$8:$D$8,IFERROR(MATCH(IF($B1174="Robusta","Robusta",(IF($B1174="","Arabica",$B1174))&amp;" - "&amp;(IF($C1174="","Commercial",$C1174))),Variables!$B$1:$D$1,0),1))*IFERROR(IF(AB1174="","",(AVERAGE(E1174:F1174)-AB1174)-Variables!$B$14),""))+(W1174*INDEX(Variables!$B$9:$D$9,IFERROR(MATCH(IF($B1174="Robusta","Robusta",(IF($B1174="","Arabica",$B1174))&amp;" - "&amp;(IF($C1174="","Commercial",$C1174))),Variables!$B$1:$D$1,0),1))*IFERROR(IF(AB1174="","",(AVERAGE(E1174:F1174)-AB1174)-Variables!$B$14),"")/365),""))</f>
        <v/>
      </c>
      <c r="BH1174" s="44" t="str">
        <f>IF($AX1174="Cancelled","",IFERROR((W1174*INDEX(Variables!$B$7:$D$7,IFERROR(MATCH(IF($B1174="Robusta","Robusta",(IF($B1174="","Arabica",$B1174))&amp;" - "&amp;(IF($C1174="","Commercial",$C1174))),Variables!$B$1:$D$1,0),1))*AK1174/365)+(L1174/16.67*INDEX(Variables!$B$8:$D$8,IFERROR(MATCH(IF($B1174="Robusta","Robusta",(IF($B1174="","Arabica",$B1174))&amp;" - "&amp;(IF($C1174="","Commercial",$C1174))),Variables!$B$1:$D$1,0),1))*AK1174)+(W1174*INDEX(Variables!$B$9:$D$9,IFERROR(MATCH(IF($B1174="Robusta","Robusta",(IF($B1174="","Arabica",$B1174))&amp;" - "&amp;(IF($C1174="","Commercial",$C1174))),Variables!$B$1:$D$1,0),1))*AK1174/365),""))</f>
        <v/>
      </c>
      <c r="BI1174" s="44" t="str">
        <f>IF($AX1174="Cancelled","",IFERROR((W1174*INDEX(Variables!$B$7:$D$7,IFERROR(MATCH(IF($B1174="Robusta","Robusta",(IF($B1174="","Arabica",$B1174))&amp;" - "&amp;(IF($C1174="","Commercial",$C1174))),Variables!$B$1:$D$1,0),1))*BD1174/365)+(L1174/16.67*INDEX(Variables!$B$8:$D$8,IFERROR(MATCH(IF($B1174="Robusta","Robusta",(IF($B1174="","Arabica",$B1174))&amp;" - "&amp;(IF($C1174="","Commercial",$C1174))),Variables!$B$1:$D$1,0),1))*BD1174)+(W1174*INDEX(Variables!$B$9:$D$9,IFERROR(MATCH(IF($B1174="Robusta","Robusta",(IF($B1174="","Arabica",$B1174))&amp;" - "&amp;(IF($C1174="","Commercial",$C1174))),Variables!$B$1:$D$1,0),1))*BD1174/365),""))</f>
        <v/>
      </c>
      <c r="BJ1174" s="44">
        <f t="shared" si="57"/>
        <v>-33</v>
      </c>
      <c r="BK1174" s="44">
        <f>IF($AX1174="Cancelled","",IFERROR(IF(BJ1174="","",(W1174*INDEX(Variables!$B$7:$D$7,IFERROR(MATCH(IF($B1174="Robusta","Robusta",(IF($B1174="","Arabica",$B1174))&amp;" - "&amp;(IF($C1174="","Commercial",$C1174))),Variables!$B$1:$D$1,0),1))*(BJ1174/365))+(W1174*INDEX(Variables!$B$9:$D$9,IFERROR(MATCH(IF($B1174="Robusta","Robusta",(IF($B1174="","Arabica",$B1174))&amp;" - "&amp;(IF($C1174="","Commercial",$C1174))),Variables!$B$1:$D$1,0),1))*(BJ1174/365))+(INDEX(Variables!$B$8:$D$8,IFERROR(MATCH(IF($B1174="Robusta","Robusta",(IF($B1174="","Arabica",$B1174))&amp;" - "&amp;(IF($C1174="","Commercial",$C1174))),Variables!$B$1:$D$1,0),1))*L1174/16.67)),""))</f>
        <v>-628.80794722297878</v>
      </c>
    </row>
    <row r="1175" spans="1:63">
      <c r="A1175" s="13" t="s">
        <v>103</v>
      </c>
      <c r="B1175" s="13" t="s">
        <v>104</v>
      </c>
      <c r="C1175" s="13" t="s">
        <v>105</v>
      </c>
      <c r="D1175" s="31">
        <v>46170</v>
      </c>
      <c r="E1175" s="31">
        <v>46235</v>
      </c>
      <c r="F1175" s="31">
        <v>46265</v>
      </c>
      <c r="G1175" s="13">
        <v>3787604</v>
      </c>
      <c r="J1175" s="13" t="s">
        <v>2315</v>
      </c>
      <c r="K1175" s="13">
        <v>5603</v>
      </c>
      <c r="L1175" s="13">
        <v>1280</v>
      </c>
      <c r="M1175" s="13">
        <v>4</v>
      </c>
      <c r="N1175" s="13" t="s">
        <v>2907</v>
      </c>
      <c r="O1175" s="13" t="s">
        <v>538</v>
      </c>
      <c r="P1175" s="13">
        <v>10080</v>
      </c>
      <c r="R1175" s="13" t="s">
        <v>239</v>
      </c>
      <c r="S1175" s="13" t="s">
        <v>553</v>
      </c>
      <c r="T1175" s="13" t="s">
        <v>112</v>
      </c>
      <c r="U1175" s="13" t="s">
        <v>113</v>
      </c>
      <c r="V1175" s="23">
        <v>38</v>
      </c>
      <c r="W1175" s="44">
        <f>IF($AX1175="Cancelled","",IFERROR(((V1175+INDEX(Variables!$B$6:$D$6,IFERROR(MATCH(IF($B1175="Robusta","Robusta",(IF($B1175="","Arabica",$B1175))&amp;" - "&amp;(IF($C1175="","Commercial",$C1175))),Variables!$B$1:$D$1,0),1)))*22.0462)*(L1175/16.67),""))</f>
        <v>556595.79584883014</v>
      </c>
      <c r="X1175" s="55" t="s">
        <v>37</v>
      </c>
      <c r="Y1175" s="13" t="str">
        <f>IF($AX1175="Cancelled","",IF(X1175="","",IFERROR(IF(INDEX(Variables!$B$38:$B$47,MATCH(X1175,Variables!$A$38:$A$47,0))="Yes","Yes","No"),"No")))</f>
        <v>Yes</v>
      </c>
      <c r="Z1175" s="58">
        <v>46217</v>
      </c>
      <c r="AB1175" s="31">
        <v>46258</v>
      </c>
      <c r="AC1175" s="13" t="str">
        <f t="shared" si="56"/>
        <v>Approved</v>
      </c>
      <c r="AF1175" s="71">
        <v>46247</v>
      </c>
      <c r="AG1175" s="35">
        <f>IF($AX1175="Cancelled","",IFERROR(IF(F1175="","",F1175-Variables!$B$13),""))</f>
        <v>46250</v>
      </c>
      <c r="AH1175" s="13">
        <f>IF($AX1175="Cancelled","",IFERROR(IF(AB1175="","",(AVERAGE(E1175:F1175)-AB1175)-Variables!$B$14),""))</f>
        <v>-38</v>
      </c>
      <c r="AJ1175" s="47">
        <v>46252</v>
      </c>
      <c r="AK1175" s="14">
        <f>IF($AX1175="Cancelled","",IFERROR(IF(AJ1175="","",IF(AND(AB1175="",AF1175=""),"",IF(AF1175&gt;AB1175,AF1175+Variables!$B$15+Variables!$B$16+Variables!$B$17-AJ1175,AB1175+Variables!$B$16+Variables!$B$17-AJ1175))),""))</f>
        <v>14</v>
      </c>
      <c r="AL1175" s="48" t="s">
        <v>114</v>
      </c>
      <c r="AM1175" s="13" t="s">
        <v>134</v>
      </c>
      <c r="AN1175" s="13" t="s">
        <v>2908</v>
      </c>
      <c r="AP1175" s="39">
        <v>46270</v>
      </c>
      <c r="AR1175" s="13" t="s">
        <v>2909</v>
      </c>
      <c r="AS1175" s="31">
        <v>46270</v>
      </c>
      <c r="AU1175" s="39">
        <v>46295</v>
      </c>
      <c r="AV1175" s="13" t="s">
        <v>865</v>
      </c>
      <c r="AW1175" s="39">
        <v>46295</v>
      </c>
      <c r="AX1175" s="13" t="str">
        <f>IF(ISNUMBER(SEARCH("cancel",#REF!)),"Cancelled",IF(AND(AS1175&lt;&gt;"",AU1175&lt;&gt;"",AW1175&lt;&gt;""),"Closed","Open"))</f>
        <v>Closed</v>
      </c>
      <c r="AY1175" s="15" t="str">
        <f t="shared" si="55"/>
        <v>All dates received</v>
      </c>
      <c r="AZ1175" s="13" t="s">
        <v>3053</v>
      </c>
      <c r="BA1175" s="13" t="s">
        <v>3048</v>
      </c>
      <c r="BB1175" s="13" t="s">
        <v>3049</v>
      </c>
      <c r="BC1175" s="13" t="s">
        <v>3048</v>
      </c>
      <c r="BD1175" s="13">
        <f>IF($AX1175="Cancelled","",IFERROR(IF(OR(AS1175="",AJ1175=""),"",(AJ1175+Variables!$B$18-AS1175)),""))</f>
        <v>-3</v>
      </c>
      <c r="BE1175" s="13">
        <f>IF($AX1175="Cancelled","",IFERROR(IF(OR(AW1175="",AS1175=""),"",(AS1175+Variables!$B$19)-AW1175),""))</f>
        <v>-20</v>
      </c>
      <c r="BF1175" s="44">
        <f>IF($AX1175="Cancelled","",IFERROR(W1175*INDEX(Variables!$B$7:$D$7,IFERROR(MATCH(IF($B1175="Robusta","Robusta",(IF($B1175="","Arabica",$B1175))&amp;" - "&amp;(IF($C1175="","Commercial",$C1175))),Variables!$B$1:$D$1,0),1))*(BE1175/365),""))</f>
        <v>-1966.6039138127908</v>
      </c>
      <c r="BG1175" s="44">
        <f>IF($AX1175="Cancelled","",IFERROR((W1175*INDEX(Variables!$B$7:$D$7,IFERROR(MATCH(IF($B1175="Robusta","Robusta",(IF($B1175="","Arabica",$B1175))&amp;" - "&amp;(IF($C1175="","Commercial",$C1175))),Variables!$B$1:$D$1,0),1))*IFERROR(IF(AB1175="","",(AVERAGE(E1175:F1175)-AB1175)-Variables!$B$14),"")/365)+(L1175/16.67*INDEX(Variables!$B$8:$D$8,IFERROR(MATCH(IF($B1175="Robusta","Robusta",(IF($B1175="","Arabica",$B1175))&amp;" - "&amp;(IF($C1175="","Commercial",$C1175))),Variables!$B$1:$D$1,0),1))*IFERROR(IF(AB1175="","",(AVERAGE(E1175:F1175)-AB1175)-Variables!$B$14),""))+(W1175*INDEX(Variables!$B$9:$D$9,IFERROR(MATCH(IF($B1175="Robusta","Robusta",(IF($B1175="","Arabica",$B1175))&amp;" - "&amp;(IF($C1175="","Commercial",$C1175))),Variables!$B$1:$D$1,0),1))*IFERROR(IF(AB1175="","",(AVERAGE(E1175:F1175)-AB1175)-Variables!$B$14),"")/365),""))</f>
        <v>-6216.718743733034</v>
      </c>
      <c r="BH1175" s="44">
        <f>IF($AX1175="Cancelled","",IFERROR((W1175*INDEX(Variables!$B$7:$D$7,IFERROR(MATCH(IF($B1175="Robusta","Robusta",(IF($B1175="","Arabica",$B1175))&amp;" - "&amp;(IF($C1175="","Commercial",$C1175))),Variables!$B$1:$D$1,0),1))*AK1175/365)+(L1175/16.67*INDEX(Variables!$B$8:$D$8,IFERROR(MATCH(IF($B1175="Robusta","Robusta",(IF($B1175="","Arabica",$B1175))&amp;" - "&amp;(IF($C1175="","Commercial",$C1175))),Variables!$B$1:$D$1,0),1))*AK1175)+(W1175*INDEX(Variables!$B$9:$D$9,IFERROR(MATCH(IF($B1175="Robusta","Robusta",(IF($B1175="","Arabica",$B1175))&amp;" - "&amp;(IF($C1175="","Commercial",$C1175))),Variables!$B$1:$D$1,0),1))*AK1175/365),""))</f>
        <v>2290.3700634805919</v>
      </c>
      <c r="BI1175" s="44">
        <f>IF($AX1175="Cancelled","",IFERROR((W1175*INDEX(Variables!$B$7:$D$7,IFERROR(MATCH(IF($B1175="Robusta","Robusta",(IF($B1175="","Arabica",$B1175))&amp;" - "&amp;(IF($C1175="","Commercial",$C1175))),Variables!$B$1:$D$1,0),1))*BD1175/365)+(L1175/16.67*INDEX(Variables!$B$8:$D$8,IFERROR(MATCH(IF($B1175="Robusta","Robusta",(IF($B1175="","Arabica",$B1175))&amp;" - "&amp;(IF($C1175="","Commercial",$C1175))),Variables!$B$1:$D$1,0),1))*BD1175)+(W1175*INDEX(Variables!$B$9:$D$9,IFERROR(MATCH(IF($B1175="Robusta","Robusta",(IF($B1175="","Arabica",$B1175))&amp;" - "&amp;(IF($C1175="","Commercial",$C1175))),Variables!$B$1:$D$1,0),1))*BD1175/365),""))</f>
        <v>-490.79358503155527</v>
      </c>
      <c r="BJ1175" s="44">
        <f t="shared" si="57"/>
        <v>-5</v>
      </c>
      <c r="BK1175" s="44">
        <f>IF($AX1175="Cancelled","",IFERROR(IF(BJ1175="","",(W1175*INDEX(Variables!$B$7:$D$7,IFERROR(MATCH(IF($B1175="Robusta","Robusta",(IF($B1175="","Arabica",$B1175))&amp;" - "&amp;(IF($C1175="","Commercial",$C1175))),Variables!$B$1:$D$1,0),1))*(BJ1175/365))+(W1175*INDEX(Variables!$B$9:$D$9,IFERROR(MATCH(IF($B1175="Robusta","Robusta",(IF($B1175="","Arabica",$B1175))&amp;" - "&amp;(IF($C1175="","Commercial",$C1175))),Variables!$B$1:$D$1,0),1))*(BJ1175/365))+(INDEX(Variables!$B$8:$D$8,IFERROR(MATCH(IF($B1175="Robusta","Robusta",(IF($B1175="","Arabica",$B1175))&amp;" - "&amp;(IF($C1175="","Commercial",$C1175))),Variables!$B$1:$D$1,0),1))*L1175/16.67)),""))</f>
        <v>-433.98930838592554</v>
      </c>
    </row>
    <row r="1176" spans="1:63" s="33" customFormat="1">
      <c r="A1176" s="33" t="s">
        <v>103</v>
      </c>
      <c r="B1176" s="13" t="s">
        <v>104</v>
      </c>
      <c r="C1176" s="13" t="s">
        <v>105</v>
      </c>
      <c r="D1176" s="31">
        <v>46170</v>
      </c>
      <c r="E1176" s="31">
        <v>46266</v>
      </c>
      <c r="F1176" s="31">
        <v>46295</v>
      </c>
      <c r="G1176" s="33">
        <v>3787605</v>
      </c>
      <c r="H1176" s="13"/>
      <c r="I1176" s="13"/>
      <c r="J1176" s="13" t="s">
        <v>2315</v>
      </c>
      <c r="K1176" s="13">
        <v>5622</v>
      </c>
      <c r="L1176" s="13">
        <v>1280</v>
      </c>
      <c r="M1176" s="13">
        <v>4</v>
      </c>
      <c r="N1176" s="13" t="s">
        <v>2907</v>
      </c>
      <c r="O1176" s="13" t="s">
        <v>538</v>
      </c>
      <c r="P1176" s="13">
        <v>10080</v>
      </c>
      <c r="Q1176" s="13"/>
      <c r="R1176" s="13" t="s">
        <v>239</v>
      </c>
      <c r="S1176" s="13" t="s">
        <v>553</v>
      </c>
      <c r="T1176" s="13" t="s">
        <v>112</v>
      </c>
      <c r="U1176" s="13" t="s">
        <v>113</v>
      </c>
      <c r="V1176" s="23">
        <v>38</v>
      </c>
      <c r="W1176" s="44">
        <f>IF($AX1176="Cancelled","",IFERROR(((V1176+INDEX(Variables!$B$6:$D$6,IFERROR(MATCH(IF($B1176="Robusta","Robusta",(IF($B1176="","Arabica",$B1176))&amp;" - "&amp;(IF($C1176="","Commercial",$C1176))),Variables!$B$1:$D$1,0),1)))*22.0462)*(L1176/16.67),""))</f>
        <v>556595.79584883014</v>
      </c>
      <c r="X1176" s="55" t="s">
        <v>37</v>
      </c>
      <c r="Y1176" s="13" t="str">
        <f>IF($AX1176="Cancelled","",IF(X1176="","",IFERROR(IF(INDEX(Variables!$B$38:$B$47,MATCH(X1176,Variables!$A$38:$A$47,0))="Yes","Yes","No"),"No")))</f>
        <v>Yes</v>
      </c>
      <c r="Z1176" s="58">
        <v>46262</v>
      </c>
      <c r="AA1176" s="13"/>
      <c r="AB1176" s="31">
        <v>46268</v>
      </c>
      <c r="AC1176" s="13" t="str">
        <f t="shared" si="56"/>
        <v>Approved</v>
      </c>
      <c r="AD1176" s="31">
        <v>46244</v>
      </c>
      <c r="AE1176" s="31"/>
      <c r="AF1176" s="71">
        <v>46281</v>
      </c>
      <c r="AG1176" s="35">
        <f>IF($AX1176="Cancelled","",IFERROR(IF(F1176="","",F1176-Variables!$B$13),""))</f>
        <v>46280</v>
      </c>
      <c r="AH1176" s="13">
        <f>IF($AX1176="Cancelled","",IFERROR(IF(AB1176="","",(AVERAGE(E1176:F1176)-AB1176)-Variables!$B$14),""))</f>
        <v>-17.5</v>
      </c>
      <c r="AI1176" s="13"/>
      <c r="AJ1176" s="47">
        <v>46252</v>
      </c>
      <c r="AK1176" s="14">
        <f>IF($AX1176="Cancelled","",IFERROR(IF(AJ1176="","",IF(AND(AB1176="",AF1176=""),"",IF(AF1176&gt;AB1176,AF1176+Variables!$B$15+Variables!$B$16+Variables!$B$17-AJ1176,AB1176+Variables!$B$16+Variables!$B$17-AJ1176))),""))</f>
        <v>44</v>
      </c>
      <c r="AL1176" s="48" t="s">
        <v>114</v>
      </c>
      <c r="AM1176" s="33" t="s">
        <v>134</v>
      </c>
      <c r="AN1176" s="33" t="s">
        <v>2910</v>
      </c>
      <c r="AO1176" s="39">
        <v>46289</v>
      </c>
      <c r="AP1176" s="39">
        <v>46273</v>
      </c>
      <c r="AQ1176" s="39">
        <v>46354</v>
      </c>
      <c r="AR1176" s="33" t="s">
        <v>2911</v>
      </c>
      <c r="AS1176" s="39">
        <v>46295</v>
      </c>
      <c r="AT1176" s="39"/>
      <c r="AU1176" s="39">
        <v>46299</v>
      </c>
      <c r="AV1176" s="33" t="s">
        <v>865</v>
      </c>
      <c r="AW1176" s="39">
        <v>46318</v>
      </c>
      <c r="AX1176" s="33" t="str">
        <f>IF(ISNUMBER(SEARCH("cancel",#REF!)),"Cancelled",IF(AND(AS1176&lt;&gt;"",AU1176&lt;&gt;"",AW1176&lt;&gt;""),"Closed","Open"))</f>
        <v>Closed</v>
      </c>
      <c r="AY1176" s="15" t="str">
        <f t="shared" si="55"/>
        <v>All dates received</v>
      </c>
      <c r="BD1176" s="33">
        <f>IF($AX1176="Cancelled","",IFERROR(IF(OR(AS1176="",AJ1176=""),"",(AJ1176+Variables!$B$18-AS1176)),""))</f>
        <v>-28</v>
      </c>
      <c r="BE1176" s="33">
        <f>IF($AX1176="Cancelled","",IFERROR(IF(OR(AW1176="",AS1176=""),"",(AS1176+Variables!$B$19)-AW1176),""))</f>
        <v>-18</v>
      </c>
      <c r="BF1176" s="43">
        <f>IF($AX1176="Cancelled","",IFERROR(W1176*INDEX(Variables!$B$7:$D$7,IFERROR(MATCH(IF($B1176="Robusta","Robusta",(IF($B1176="","Arabica",$B1176))&amp;" - "&amp;(IF($C1176="","Commercial",$C1176))),Variables!$B$1:$D$1,0),1))*(BE1176/365),""))</f>
        <v>-1769.9435224315116</v>
      </c>
      <c r="BG1176" s="43">
        <f>IF($AX1176="Cancelled","",IFERROR((W1176*INDEX(Variables!$B$7:$D$7,IFERROR(MATCH(IF($B1176="Robusta","Robusta",(IF($B1176="","Arabica",$B1176))&amp;" - "&amp;(IF($C1176="","Commercial",$C1176))),Variables!$B$1:$D$1,0),1))*IFERROR(IF(AB1176="","",(AVERAGE(E1176:F1176)-AB1176)-Variables!$B$14),"")/365)+(L1176/16.67*INDEX(Variables!$B$8:$D$8,IFERROR(MATCH(IF($B1176="Robusta","Robusta",(IF($B1176="","Arabica",$B1176))&amp;" - "&amp;(IF($C1176="","Commercial",$C1176))),Variables!$B$1:$D$1,0),1))*IFERROR(IF(AB1176="","",(AVERAGE(E1176:F1176)-AB1176)-Variables!$B$14),""))+(W1176*INDEX(Variables!$B$9:$D$9,IFERROR(MATCH(IF($B1176="Robusta","Robusta",(IF($B1176="","Arabica",$B1176))&amp;" - "&amp;(IF($C1176="","Commercial",$C1176))),Variables!$B$1:$D$1,0),1))*IFERROR(IF(AB1176="","",(AVERAGE(E1176:F1176)-AB1176)-Variables!$B$14),"")/365),""))</f>
        <v>-2862.9625793507398</v>
      </c>
      <c r="BH1176" s="43">
        <f>IF($AX1176="Cancelled","",IFERROR((W1176*INDEX(Variables!$B$7:$D$7,IFERROR(MATCH(IF($B1176="Robusta","Robusta",(IF($B1176="","Arabica",$B1176))&amp;" - "&amp;(IF($C1176="","Commercial",$C1176))),Variables!$B$1:$D$1,0),1))*AK1176/365)+(L1176/16.67*INDEX(Variables!$B$8:$D$8,IFERROR(MATCH(IF($B1176="Robusta","Robusta",(IF($B1176="","Arabica",$B1176))&amp;" - "&amp;(IF($C1176="","Commercial",$C1176))),Variables!$B$1:$D$1,0),1))*AK1176)+(W1176*INDEX(Variables!$B$9:$D$9,IFERROR(MATCH(IF($B1176="Robusta","Robusta",(IF($B1176="","Arabica",$B1176))&amp;" - "&amp;(IF($C1176="","Commercial",$C1176))),Variables!$B$1:$D$1,0),1))*AK1176/365),""))</f>
        <v>7198.3059137961445</v>
      </c>
      <c r="BI1176" s="43">
        <f>IF($AX1176="Cancelled","",IFERROR((W1176*INDEX(Variables!$B$7:$D$7,IFERROR(MATCH(IF($B1176="Robusta","Robusta",(IF($B1176="","Arabica",$B1176))&amp;" - "&amp;(IF($C1176="","Commercial",$C1176))),Variables!$B$1:$D$1,0),1))*BD1176/365)+(L1176/16.67*INDEX(Variables!$B$8:$D$8,IFERROR(MATCH(IF($B1176="Robusta","Robusta",(IF($B1176="","Arabica",$B1176))&amp;" - "&amp;(IF($C1176="","Commercial",$C1176))),Variables!$B$1:$D$1,0),1))*BD1176)+(W1176*INDEX(Variables!$B$9:$D$9,IFERROR(MATCH(IF($B1176="Robusta","Robusta",(IF($B1176="","Arabica",$B1176))&amp;" - "&amp;(IF($C1176="","Commercial",$C1176))),Variables!$B$1:$D$1,0),1))*BD1176/365),""))</f>
        <v>-4580.7401269611837</v>
      </c>
      <c r="BJ1176" s="43">
        <f t="shared" si="57"/>
        <v>0</v>
      </c>
      <c r="BK1176" s="43">
        <f>IF($AX1176="Cancelled","",IFERROR(IF(BJ1176="","",(W1176*INDEX(Variables!$B$7:$D$7,IFERROR(MATCH(IF($B1176="Robusta","Robusta",(IF($B1176="","Arabica",$B1176))&amp;" - "&amp;(IF($C1176="","Commercial",$C1176))),Variables!$B$1:$D$1,0),1))*(BJ1176/365))+(W1176*INDEX(Variables!$B$9:$D$9,IFERROR(MATCH(IF($B1176="Robusta","Robusta",(IF($B1176="","Arabica",$B1176))&amp;" - "&amp;(IF($C1176="","Commercial",$C1176))),Variables!$B$1:$D$1,0),1))*(BJ1176/365))+(INDEX(Variables!$B$8:$D$8,IFERROR(MATCH(IF($B1176="Robusta","Robusta",(IF($B1176="","Arabica",$B1176))&amp;" - "&amp;(IF($C1176="","Commercial",$C1176))),Variables!$B$1:$D$1,0),1))*L1176/16.67)),""))</f>
        <v>64</v>
      </c>
    </row>
    <row r="1177" spans="1:63" s="33" customFormat="1">
      <c r="A1177" s="33" t="s">
        <v>103</v>
      </c>
      <c r="B1177" s="13" t="s">
        <v>104</v>
      </c>
      <c r="C1177" s="13" t="s">
        <v>105</v>
      </c>
      <c r="D1177" s="31">
        <v>46170</v>
      </c>
      <c r="E1177" s="31">
        <v>46266</v>
      </c>
      <c r="F1177" s="31">
        <v>46295</v>
      </c>
      <c r="G1177" s="33">
        <v>3787606</v>
      </c>
      <c r="H1177" s="13"/>
      <c r="I1177" s="13"/>
      <c r="J1177" s="13" t="s">
        <v>2315</v>
      </c>
      <c r="K1177" s="13">
        <v>5650</v>
      </c>
      <c r="L1177" s="13">
        <v>1280</v>
      </c>
      <c r="M1177" s="13">
        <v>4</v>
      </c>
      <c r="N1177" s="13" t="s">
        <v>2907</v>
      </c>
      <c r="O1177" s="13" t="s">
        <v>538</v>
      </c>
      <c r="P1177" s="13">
        <v>10080</v>
      </c>
      <c r="Q1177" s="13"/>
      <c r="R1177" s="13" t="s">
        <v>239</v>
      </c>
      <c r="S1177" s="13" t="s">
        <v>553</v>
      </c>
      <c r="T1177" s="13" t="s">
        <v>112</v>
      </c>
      <c r="U1177" s="13" t="s">
        <v>113</v>
      </c>
      <c r="V1177" s="23">
        <v>38</v>
      </c>
      <c r="W1177" s="44">
        <f>IF($AX1177="Cancelled","",IFERROR(((V1177+INDEX(Variables!$B$6:$D$6,IFERROR(MATCH(IF($B1177="Robusta","Robusta",(IF($B1177="","Arabica",$B1177))&amp;" - "&amp;(IF($C1177="","Commercial",$C1177))),Variables!$B$1:$D$1,0),1)))*22.0462)*(L1177/16.67),""))</f>
        <v>556595.79584883014</v>
      </c>
      <c r="X1177" s="55" t="s">
        <v>37</v>
      </c>
      <c r="Y1177" s="13" t="str">
        <f>IF($AX1177="Cancelled","",IF(X1177="","",IFERROR(IF(INDEX(Variables!$B$38:$B$47,MATCH(X1177,Variables!$A$38:$A$47,0))="Yes","Yes","No"),"No")))</f>
        <v>Yes</v>
      </c>
      <c r="Z1177" s="58">
        <v>46281</v>
      </c>
      <c r="AA1177" s="13"/>
      <c r="AB1177" s="31">
        <v>46301</v>
      </c>
      <c r="AC1177" s="13" t="str">
        <f t="shared" si="56"/>
        <v>Approved</v>
      </c>
      <c r="AD1177" s="31">
        <v>46311</v>
      </c>
      <c r="AE1177" s="31"/>
      <c r="AF1177" s="71"/>
      <c r="AG1177" s="35">
        <f>IF($AX1177="Cancelled","",IFERROR(IF(F1177="","",F1177-Variables!$B$13),""))</f>
        <v>46280</v>
      </c>
      <c r="AH1177" s="13">
        <f>IF($AX1177="Cancelled","",IFERROR(IF(AB1177="","",(AVERAGE(E1177:F1177)-AB1177)-Variables!$B$14),""))</f>
        <v>-50.5</v>
      </c>
      <c r="AI1177" s="13"/>
      <c r="AJ1177" s="47">
        <v>46277</v>
      </c>
      <c r="AK1177" s="14">
        <f>IF($AX1177="Cancelled","",IFERROR(IF(AJ1177="","",IF(AND(AB1177="",AF1177=""),"",IF(AF1177&gt;AB1177,AF1177+Variables!$B$15+Variables!$B$16+Variables!$B$17-AJ1177,AB1177+Variables!$B$16+Variables!$B$17-AJ1177))),""))</f>
        <v>32</v>
      </c>
      <c r="AL1177" s="48" t="s">
        <v>114</v>
      </c>
      <c r="AM1177" s="33" t="s">
        <v>168</v>
      </c>
      <c r="AN1177" s="33" t="s">
        <v>3024</v>
      </c>
      <c r="AO1177" s="39">
        <v>46295</v>
      </c>
      <c r="AP1177" s="39">
        <v>46292</v>
      </c>
      <c r="AQ1177" s="39">
        <v>46370</v>
      </c>
      <c r="AR1177" s="33" t="s">
        <v>3288</v>
      </c>
      <c r="AS1177" s="39">
        <v>46316</v>
      </c>
      <c r="AT1177" s="39"/>
      <c r="AU1177" s="39"/>
      <c r="AW1177" s="39"/>
      <c r="AX1177" s="33" t="str">
        <f>IF(ISNUMBER(SEARCH("cancel",#REF!)),"Cancelled",IF(AND(AS1177&lt;&gt;"",AU1177&lt;&gt;"",AW1177&lt;&gt;""),"Closed","Open"))</f>
        <v>Open</v>
      </c>
      <c r="AY1177" s="15" t="str">
        <f t="shared" si="55"/>
        <v>No shipping advice sent and No docs dispatch date</v>
      </c>
      <c r="AZ1177" s="13" t="s">
        <v>3047</v>
      </c>
      <c r="BA1177" s="13" t="s">
        <v>3062</v>
      </c>
      <c r="BB1177" s="13" t="s">
        <v>3055</v>
      </c>
      <c r="BC1177" s="33" t="s">
        <v>3303</v>
      </c>
      <c r="BD1177" s="33">
        <f>IF($AX1177="Cancelled","",IFERROR(IF(OR(AS1177="",AJ1177=""),"",(AJ1177+Variables!$B$18-AS1177)),""))</f>
        <v>-24</v>
      </c>
      <c r="BE1177" s="33" t="str">
        <f>IF($AX1177="Cancelled","",IFERROR(IF(OR(AW1177="",AS1177=""),"",(AS1177+Variables!$B$19)-AW1177),""))</f>
        <v/>
      </c>
      <c r="BF1177" s="43" t="str">
        <f>IF($AX1177="Cancelled","",IFERROR(W1177*INDEX(Variables!$B$7:$D$7,IFERROR(MATCH(IF($B1177="Robusta","Robusta",(IF($B1177="","Arabica",$B1177))&amp;" - "&amp;(IF($C1177="","Commercial",$C1177))),Variables!$B$1:$D$1,0),1))*(BE1177/365),""))</f>
        <v/>
      </c>
      <c r="BG1177" s="43">
        <f>IF($AX1177="Cancelled","",IFERROR((W1177*INDEX(Variables!$B$7:$D$7,IFERROR(MATCH(IF($B1177="Robusta","Robusta",(IF($B1177="","Arabica",$B1177))&amp;" - "&amp;(IF($C1177="","Commercial",$C1177))),Variables!$B$1:$D$1,0),1))*IFERROR(IF(AB1177="","",(AVERAGE(E1177:F1177)-AB1177)-Variables!$B$14),"")/365)+(L1177/16.67*INDEX(Variables!$B$8:$D$8,IFERROR(MATCH(IF($B1177="Robusta","Robusta",(IF($B1177="","Arabica",$B1177))&amp;" - "&amp;(IF($C1177="","Commercial",$C1177))),Variables!$B$1:$D$1,0),1))*IFERROR(IF(AB1177="","",(AVERAGE(E1177:F1177)-AB1177)-Variables!$B$14),""))+(W1177*INDEX(Variables!$B$9:$D$9,IFERROR(MATCH(IF($B1177="Robusta","Robusta",(IF($B1177="","Arabica",$B1177))&amp;" - "&amp;(IF($C1177="","Commercial",$C1177))),Variables!$B$1:$D$1,0),1))*IFERROR(IF(AB1177="","",(AVERAGE(E1177:F1177)-AB1177)-Variables!$B$14),"")/365),""))</f>
        <v>-8261.6920146978482</v>
      </c>
      <c r="BH1177" s="43">
        <f>IF($AX1177="Cancelled","",IFERROR((W1177*INDEX(Variables!$B$7:$D$7,IFERROR(MATCH(IF($B1177="Robusta","Robusta",(IF($B1177="","Arabica",$B1177))&amp;" - "&amp;(IF($C1177="","Commercial",$C1177))),Variables!$B$1:$D$1,0),1))*AK1177/365)+(L1177/16.67*INDEX(Variables!$B$8:$D$8,IFERROR(MATCH(IF($B1177="Robusta","Robusta",(IF($B1177="","Arabica",$B1177))&amp;" - "&amp;(IF($C1177="","Commercial",$C1177))),Variables!$B$1:$D$1,0),1))*AK1177)+(W1177*INDEX(Variables!$B$9:$D$9,IFERROR(MATCH(IF($B1177="Robusta","Robusta",(IF($B1177="","Arabica",$B1177))&amp;" - "&amp;(IF($C1177="","Commercial",$C1177))),Variables!$B$1:$D$1,0),1))*AK1177/365),""))</f>
        <v>5235.1315736699235</v>
      </c>
      <c r="BI1177" s="43">
        <f>IF($AX1177="Cancelled","",IFERROR((W1177*INDEX(Variables!$B$7:$D$7,IFERROR(MATCH(IF($B1177="Robusta","Robusta",(IF($B1177="","Arabica",$B1177))&amp;" - "&amp;(IF($C1177="","Commercial",$C1177))),Variables!$B$1:$D$1,0),1))*BD1177/365)+(L1177/16.67*INDEX(Variables!$B$8:$D$8,IFERROR(MATCH(IF($B1177="Robusta","Robusta",(IF($B1177="","Arabica",$B1177))&amp;" - "&amp;(IF($C1177="","Commercial",$C1177))),Variables!$B$1:$D$1,0),1))*BD1177)+(W1177*INDEX(Variables!$B$9:$D$9,IFERROR(MATCH(IF($B1177="Robusta","Robusta",(IF($B1177="","Arabica",$B1177))&amp;" - "&amp;(IF($C1177="","Commercial",$C1177))),Variables!$B$1:$D$1,0),1))*BD1177/365),""))</f>
        <v>-3926.3486802524421</v>
      </c>
      <c r="BJ1177" s="43">
        <f t="shared" si="57"/>
        <v>-21</v>
      </c>
      <c r="BK1177" s="43">
        <f>IF($AX1177="Cancelled","",IFERROR(IF(BJ1177="","",(W1177*INDEX(Variables!$B$7:$D$7,IFERROR(MATCH(IF($B1177="Robusta","Robusta",(IF($B1177="","Arabica",$B1177))&amp;" - "&amp;(IF($C1177="","Commercial",$C1177))),Variables!$B$1:$D$1,0),1))*(BJ1177/365))+(W1177*INDEX(Variables!$B$9:$D$9,IFERROR(MATCH(IF($B1177="Robusta","Robusta",(IF($B1177="","Arabica",$B1177))&amp;" - "&amp;(IF($C1177="","Commercial",$C1177))),Variables!$B$1:$D$1,0),1))*(BJ1177/365))+(INDEX(Variables!$B$8:$D$8,IFERROR(MATCH(IF($B1177="Robusta","Robusta",(IF($B1177="","Arabica",$B1177))&amp;" - "&amp;(IF($C1177="","Commercial",$C1177))),Variables!$B$1:$D$1,0),1))*L1177/16.67)),""))</f>
        <v>-2027.5550952208873</v>
      </c>
    </row>
    <row r="1178" spans="1:63">
      <c r="A1178" s="13" t="s">
        <v>103</v>
      </c>
      <c r="B1178" s="13" t="s">
        <v>104</v>
      </c>
      <c r="C1178" s="13" t="s">
        <v>105</v>
      </c>
      <c r="D1178" s="31">
        <v>46170</v>
      </c>
      <c r="E1178" s="31">
        <v>46327</v>
      </c>
      <c r="F1178" s="31">
        <v>46356</v>
      </c>
      <c r="G1178" s="13">
        <v>3787607</v>
      </c>
      <c r="J1178" s="13" t="s">
        <v>2315</v>
      </c>
      <c r="L1178" s="13">
        <v>1280</v>
      </c>
      <c r="M1178" s="13">
        <v>4</v>
      </c>
      <c r="N1178" s="13" t="s">
        <v>2907</v>
      </c>
      <c r="O1178" s="13" t="s">
        <v>538</v>
      </c>
      <c r="P1178" s="13">
        <v>10080</v>
      </c>
      <c r="R1178" s="13" t="s">
        <v>239</v>
      </c>
      <c r="V1178" s="23">
        <v>38</v>
      </c>
      <c r="W1178" s="44">
        <f>IF($AX1178="Cancelled","",IFERROR(((V1178+INDEX(Variables!$B$6:$D$6,IFERROR(MATCH(IF($B1178="Robusta","Robusta",(IF($B1178="","Arabica",$B1178))&amp;" - "&amp;(IF($C1178="","Commercial",$C1178))),Variables!$B$1:$D$1,0),1)))*22.0462)*(L1178/16.67),""))</f>
        <v>556595.79584883014</v>
      </c>
      <c r="X1178" s="55" t="s">
        <v>37</v>
      </c>
      <c r="Y1178" s="13" t="str">
        <f>IF($AX1178="Cancelled","",IF(X1178="","",IFERROR(IF(INDEX(Variables!$B$38:$B$47,MATCH(X1178,Variables!$A$38:$A$47,0))="Yes","Yes","No"),"No")))</f>
        <v>Yes</v>
      </c>
      <c r="Z1178" s="58">
        <v>46314</v>
      </c>
      <c r="AC1178" s="13" t="str">
        <f t="shared" si="56"/>
        <v/>
      </c>
      <c r="AF1178" s="71"/>
      <c r="AG1178" s="35">
        <f>IF($AX1178="Cancelled","",IFERROR(IF(F1178="","",F1178-Variables!$B$13),""))</f>
        <v>46341</v>
      </c>
      <c r="AH1178" s="13" t="str">
        <f>IF($AX1178="Cancelled","",IFERROR(IF(AB1178="","",(AVERAGE(E1178:F1178)-AB1178)-Variables!$B$14),""))</f>
        <v/>
      </c>
      <c r="AK1178" s="14" t="str">
        <f>IF($AX1178="Cancelled","",IFERROR(IF(AJ1178="","",IF(AND(AB1178="",AF1178=""),"",IF(AF1178&gt;AB1178,AF1178+Variables!$B$15+Variables!$B$16+Variables!$B$17-AJ1178,AB1178+Variables!$B$16+Variables!$B$17-AJ1178))),""))</f>
        <v/>
      </c>
      <c r="AM1178" s="13" t="e">
        <v>#REF!</v>
      </c>
      <c r="AN1178" s="13">
        <v>0</v>
      </c>
      <c r="AP1178" s="39"/>
      <c r="AR1178" s="13" t="e">
        <v>#REF!</v>
      </c>
      <c r="AV1178" s="13" t="e">
        <v>#REF!</v>
      </c>
      <c r="AX1178" s="13" t="str">
        <f>IF(ISNUMBER(SEARCH("cancel",#REF!)),"Cancelled",IF(AND(AS1178&lt;&gt;"",AU1178&lt;&gt;"",AW1178&lt;&gt;""),"Closed","Open"))</f>
        <v>Open</v>
      </c>
      <c r="AY1178" s="15" t="str">
        <f t="shared" si="55"/>
        <v>No sailing date and No shipping advice sent and No docs dispatch date</v>
      </c>
      <c r="BD1178" s="13" t="str">
        <f>IF($AX1178="Cancelled","",IFERROR(IF(OR(AS1178="",AJ1178=""),"",(AJ1178+Variables!$B$18-AS1178)),""))</f>
        <v/>
      </c>
      <c r="BE1178" s="13" t="str">
        <f>IF($AX1178="Cancelled","",IFERROR(IF(OR(AW1178="",AS1178=""),"",(AS1178+Variables!$B$19)-AW1178),""))</f>
        <v/>
      </c>
      <c r="BF1178" s="44" t="str">
        <f>IF($AX1178="Cancelled","",IFERROR(W1178*INDEX(Variables!$B$7:$D$7,IFERROR(MATCH(IF($B1178="Robusta","Robusta",(IF($B1178="","Arabica",$B1178))&amp;" - "&amp;(IF($C1178="","Commercial",$C1178))),Variables!$B$1:$D$1,0),1))*(BE1178/365),""))</f>
        <v/>
      </c>
      <c r="BG1178" s="44" t="str">
        <f>IF($AX1178="Cancelled","",IFERROR((W1178*INDEX(Variables!$B$7:$D$7,IFERROR(MATCH(IF($B1178="Robusta","Robusta",(IF($B1178="","Arabica",$B1178))&amp;" - "&amp;(IF($C1178="","Commercial",$C1178))),Variables!$B$1:$D$1,0),1))*IFERROR(IF(AB1178="","",(AVERAGE(E1178:F1178)-AB1178)-Variables!$B$14),"")/365)+(L1178/16.67*INDEX(Variables!$B$8:$D$8,IFERROR(MATCH(IF($B1178="Robusta","Robusta",(IF($B1178="","Arabica",$B1178))&amp;" - "&amp;(IF($C1178="","Commercial",$C1178))),Variables!$B$1:$D$1,0),1))*IFERROR(IF(AB1178="","",(AVERAGE(E1178:F1178)-AB1178)-Variables!$B$14),""))+(W1178*INDEX(Variables!$B$9:$D$9,IFERROR(MATCH(IF($B1178="Robusta","Robusta",(IF($B1178="","Arabica",$B1178))&amp;" - "&amp;(IF($C1178="","Commercial",$C1178))),Variables!$B$1:$D$1,0),1))*IFERROR(IF(AB1178="","",(AVERAGE(E1178:F1178)-AB1178)-Variables!$B$14),"")/365),""))</f>
        <v/>
      </c>
      <c r="BH1178" s="44" t="str">
        <f>IF($AX1178="Cancelled","",IFERROR((W1178*INDEX(Variables!$B$7:$D$7,IFERROR(MATCH(IF($B1178="Robusta","Robusta",(IF($B1178="","Arabica",$B1178))&amp;" - "&amp;(IF($C1178="","Commercial",$C1178))),Variables!$B$1:$D$1,0),1))*AK1178/365)+(L1178/16.67*INDEX(Variables!$B$8:$D$8,IFERROR(MATCH(IF($B1178="Robusta","Robusta",(IF($B1178="","Arabica",$B1178))&amp;" - "&amp;(IF($C1178="","Commercial",$C1178))),Variables!$B$1:$D$1,0),1))*AK1178)+(W1178*INDEX(Variables!$B$9:$D$9,IFERROR(MATCH(IF($B1178="Robusta","Robusta",(IF($B1178="","Arabica",$B1178))&amp;" - "&amp;(IF($C1178="","Commercial",$C1178))),Variables!$B$1:$D$1,0),1))*AK1178/365),""))</f>
        <v/>
      </c>
      <c r="BI1178" s="44" t="str">
        <f>IF($AX1178="Cancelled","",IFERROR((W1178*INDEX(Variables!$B$7:$D$7,IFERROR(MATCH(IF($B1178="Robusta","Robusta",(IF($B1178="","Arabica",$B1178))&amp;" - "&amp;(IF($C1178="","Commercial",$C1178))),Variables!$B$1:$D$1,0),1))*BD1178/365)+(L1178/16.67*INDEX(Variables!$B$8:$D$8,IFERROR(MATCH(IF($B1178="Robusta","Robusta",(IF($B1178="","Arabica",$B1178))&amp;" - "&amp;(IF($C1178="","Commercial",$C1178))),Variables!$B$1:$D$1,0),1))*BD1178)+(W1178*INDEX(Variables!$B$9:$D$9,IFERROR(MATCH(IF($B1178="Robusta","Robusta",(IF($B1178="","Arabica",$B1178))&amp;" - "&amp;(IF($C1178="","Commercial",$C1178))),Variables!$B$1:$D$1,0),1))*BD1178/365),""))</f>
        <v/>
      </c>
      <c r="BJ1178" s="44" t="str">
        <f t="shared" si="57"/>
        <v/>
      </c>
      <c r="BK1178" s="44" t="str">
        <f>IF($AX1178="Cancelled","",IFERROR(IF(BJ1178="","",(W1178*INDEX(Variables!$B$7:$D$7,IFERROR(MATCH(IF($B1178="Robusta","Robusta",(IF($B1178="","Arabica",$B1178))&amp;" - "&amp;(IF($C1178="","Commercial",$C1178))),Variables!$B$1:$D$1,0),1))*(BJ1178/365))+(W1178*INDEX(Variables!$B$9:$D$9,IFERROR(MATCH(IF($B1178="Robusta","Robusta",(IF($B1178="","Arabica",$B1178))&amp;" - "&amp;(IF($C1178="","Commercial",$C1178))),Variables!$B$1:$D$1,0),1))*(BJ1178/365))+(INDEX(Variables!$B$8:$D$8,IFERROR(MATCH(IF($B1178="Robusta","Robusta",(IF($B1178="","Arabica",$B1178))&amp;" - "&amp;(IF($C1178="","Commercial",$C1178))),Variables!$B$1:$D$1,0),1))*L1178/16.67)),""))</f>
        <v/>
      </c>
    </row>
    <row r="1179" spans="1:63">
      <c r="A1179" s="13" t="s">
        <v>103</v>
      </c>
      <c r="B1179" s="13" t="s">
        <v>104</v>
      </c>
      <c r="C1179" s="13" t="s">
        <v>105</v>
      </c>
      <c r="D1179" s="31">
        <v>46175</v>
      </c>
      <c r="E1179" s="31">
        <v>46204</v>
      </c>
      <c r="F1179" s="31">
        <v>46234</v>
      </c>
      <c r="G1179" s="13">
        <v>3787608</v>
      </c>
      <c r="J1179" s="13" t="s">
        <v>916</v>
      </c>
      <c r="K1179" s="13">
        <v>5590</v>
      </c>
      <c r="L1179" s="13">
        <v>640</v>
      </c>
      <c r="M1179" s="13">
        <v>2</v>
      </c>
      <c r="N1179" s="13" t="s">
        <v>2912</v>
      </c>
      <c r="O1179" s="13" t="s">
        <v>456</v>
      </c>
      <c r="P1179" s="13">
        <v>10140</v>
      </c>
      <c r="Q1179" s="13" t="s">
        <v>121</v>
      </c>
      <c r="R1179" s="13" t="s">
        <v>110</v>
      </c>
      <c r="S1179" s="13" t="s">
        <v>2913</v>
      </c>
      <c r="T1179" s="13" t="s">
        <v>124</v>
      </c>
      <c r="U1179" s="13" t="s">
        <v>125</v>
      </c>
      <c r="V1179" s="23">
        <v>-44</v>
      </c>
      <c r="W1179" s="44">
        <f>IF($AX1179="Cancelled","",IFERROR(((V1179+INDEX(Variables!$B$6:$D$6,IFERROR(MATCH(IF($B1179="Robusta","Robusta",(IF($B1179="","Arabica",$B1179))&amp;" - "&amp;(IF($C1179="","Commercial",$C1179))),Variables!$B$1:$D$1,0),1)))*22.0462)*(L1179/16.67),""))</f>
        <v>208892.70440311937</v>
      </c>
      <c r="X1179" s="55" t="s">
        <v>37</v>
      </c>
      <c r="Y1179" s="13" t="str">
        <f>IF($AX1179="Cancelled","",IF(X1179="","",IFERROR(IF(INDEX(Variables!$B$38:$B$47,MATCH(X1179,Variables!$A$38:$A$47,0))="Yes","Yes","No"),"No")))</f>
        <v>Yes</v>
      </c>
      <c r="Z1179" s="58">
        <v>46181</v>
      </c>
      <c r="AB1179" s="31">
        <v>46203</v>
      </c>
      <c r="AC1179" s="13" t="str">
        <f t="shared" si="56"/>
        <v>Approved</v>
      </c>
      <c r="AF1179" s="71">
        <v>46212</v>
      </c>
      <c r="AG1179" s="35">
        <f>IF($AX1179="Cancelled","",IFERROR(IF(F1179="","",F1179-Variables!$B$13),""))</f>
        <v>46219</v>
      </c>
      <c r="AH1179" s="13">
        <f>IF($AX1179="Cancelled","",IFERROR(IF(AB1179="","",(AVERAGE(E1179:F1179)-AB1179)-Variables!$B$14),""))</f>
        <v>-14</v>
      </c>
      <c r="AJ1179" s="47">
        <v>46224</v>
      </c>
      <c r="AK1179" s="14">
        <f>IF($AX1179="Cancelled","",IFERROR(IF(AJ1179="","",IF(AND(AB1179="",AF1179=""),"",IF(AF1179&gt;AB1179,AF1179+Variables!$B$15+Variables!$B$16+Variables!$B$17-AJ1179,AB1179+Variables!$B$16+Variables!$B$17-AJ1179))),""))</f>
        <v>3</v>
      </c>
      <c r="AL1179" s="48" t="s">
        <v>114</v>
      </c>
      <c r="AM1179" s="13" t="s">
        <v>1526</v>
      </c>
      <c r="AN1179" s="13" t="s">
        <v>2914</v>
      </c>
      <c r="AP1179" s="39">
        <v>46235</v>
      </c>
      <c r="AR1179" s="13">
        <v>939870</v>
      </c>
      <c r="AS1179" s="31">
        <v>46235</v>
      </c>
      <c r="AU1179" s="39">
        <v>46245</v>
      </c>
      <c r="AV1179" s="13" t="s">
        <v>865</v>
      </c>
      <c r="AW1179" s="39">
        <v>46245</v>
      </c>
      <c r="AX1179" s="13" t="str">
        <f>IF(ISNUMBER(SEARCH("cancel",#REF!)),"Cancelled",IF(AND(AS1179&lt;&gt;"",AU1179&lt;&gt;"",AW1179&lt;&gt;""),"Closed","Open"))</f>
        <v>Closed</v>
      </c>
      <c r="AY1179" s="15" t="str">
        <f t="shared" si="55"/>
        <v>All dates received</v>
      </c>
      <c r="AZ1179" s="13" t="s">
        <v>3053</v>
      </c>
      <c r="BA1179" s="13" t="s">
        <v>3048</v>
      </c>
      <c r="BB1179" s="13" t="s">
        <v>3049</v>
      </c>
      <c r="BC1179" s="13" t="s">
        <v>3048</v>
      </c>
      <c r="BD1179" s="13">
        <f>IF($AX1179="Cancelled","",IFERROR(IF(OR(AS1179="",AJ1179=""),"",(AJ1179+Variables!$B$18-AS1179)),""))</f>
        <v>4</v>
      </c>
      <c r="BE1179" s="13">
        <f>IF($AX1179="Cancelled","",IFERROR(IF(OR(AW1179="",AS1179=""),"",(AS1179+Variables!$B$19)-AW1179),""))</f>
        <v>-5</v>
      </c>
      <c r="BF1179" s="44">
        <f>IF($AX1179="Cancelled","",IFERROR(W1179*INDEX(Variables!$B$7:$D$7,IFERROR(MATCH(IF($B1179="Robusta","Robusta",(IF($B1179="","Arabica",$B1179))&amp;" - "&amp;(IF($C1179="","Commercial",$C1179))),Variables!$B$1:$D$1,0),1))*(BE1179/365),""))</f>
        <v>-184.51864580634006</v>
      </c>
      <c r="BG1179" s="44">
        <f>IF($AX1179="Cancelled","",IFERROR((W1179*INDEX(Variables!$B$7:$D$7,IFERROR(MATCH(IF($B1179="Robusta","Robusta",(IF($B1179="","Arabica",$B1179))&amp;" - "&amp;(IF($C1179="","Commercial",$C1179))),Variables!$B$1:$D$1,0),1))*IFERROR(IF(AB1179="","",(AVERAGE(E1179:F1179)-AB1179)-Variables!$B$14),"")/365)+(L1179/16.67*INDEX(Variables!$B$8:$D$8,IFERROR(MATCH(IF($B1179="Robusta","Robusta",(IF($B1179="","Arabica",$B1179))&amp;" - "&amp;(IF($C1179="","Commercial",$C1179))),Variables!$B$1:$D$1,0),1))*IFERROR(IF(AB1179="","",(AVERAGE(E1179:F1179)-AB1179)-Variables!$B$14),""))+(W1179*INDEX(Variables!$B$9:$D$9,IFERROR(MATCH(IF($B1179="Robusta","Robusta",(IF($B1179="","Arabica",$B1179))&amp;" - "&amp;(IF($C1179="","Commercial",$C1179))),Variables!$B$1:$D$1,0),1))*IFERROR(IF(AB1179="","",(AVERAGE(E1179:F1179)-AB1179)-Variables!$B$14),"")/365),""))</f>
        <v>-971.31285229168191</v>
      </c>
      <c r="BH1179" s="44">
        <f>IF($AX1179="Cancelled","",IFERROR((W1179*INDEX(Variables!$B$7:$D$7,IFERROR(MATCH(IF($B1179="Robusta","Robusta",(IF($B1179="","Arabica",$B1179))&amp;" - "&amp;(IF($C1179="","Commercial",$C1179))),Variables!$B$1:$D$1,0),1))*AK1179/365)+(L1179/16.67*INDEX(Variables!$B$8:$D$8,IFERROR(MATCH(IF($B1179="Robusta","Robusta",(IF($B1179="","Arabica",$B1179))&amp;" - "&amp;(IF($C1179="","Commercial",$C1179))),Variables!$B$1:$D$1,0),1))*AK1179)+(W1179*INDEX(Variables!$B$9:$D$9,IFERROR(MATCH(IF($B1179="Robusta","Robusta",(IF($B1179="","Arabica",$B1179))&amp;" - "&amp;(IF($C1179="","Commercial",$C1179))),Variables!$B$1:$D$1,0),1))*AK1179/365),""))</f>
        <v>208.13846834821757</v>
      </c>
      <c r="BI1179" s="44">
        <f>IF($AX1179="Cancelled","",IFERROR((W1179*INDEX(Variables!$B$7:$D$7,IFERROR(MATCH(IF($B1179="Robusta","Robusta",(IF($B1179="","Arabica",$B1179))&amp;" - "&amp;(IF($C1179="","Commercial",$C1179))),Variables!$B$1:$D$1,0),1))*BD1179/365)+(L1179/16.67*INDEX(Variables!$B$8:$D$8,IFERROR(MATCH(IF($B1179="Robusta","Robusta",(IF($B1179="","Arabica",$B1179))&amp;" - "&amp;(IF($C1179="","Commercial",$C1179))),Variables!$B$1:$D$1,0),1))*BD1179)+(W1179*INDEX(Variables!$B$9:$D$9,IFERROR(MATCH(IF($B1179="Robusta","Robusta",(IF($B1179="","Arabica",$B1179))&amp;" - "&amp;(IF($C1179="","Commercial",$C1179))),Variables!$B$1:$D$1,0),1))*BD1179/365),""))</f>
        <v>277.51795779762347</v>
      </c>
      <c r="BJ1179" s="44">
        <f t="shared" si="57"/>
        <v>-1</v>
      </c>
      <c r="BK1179" s="44">
        <f>IF($AX1179="Cancelled","",IFERROR(IF(BJ1179="","",(W1179*INDEX(Variables!$B$7:$D$7,IFERROR(MATCH(IF($B1179="Robusta","Robusta",(IF($B1179="","Arabica",$B1179))&amp;" - "&amp;(IF($C1179="","Commercial",$C1179))),Variables!$B$1:$D$1,0),1))*(BJ1179/365))+(W1179*INDEX(Variables!$B$9:$D$9,IFERROR(MATCH(IF($B1179="Robusta","Robusta",(IF($B1179="","Arabica",$B1179))&amp;" - "&amp;(IF($C1179="","Commercial",$C1179))),Variables!$B$1:$D$1,0),1))*(BJ1179/365))+(INDEX(Variables!$B$8:$D$8,IFERROR(MATCH(IF($B1179="Robusta","Robusta",(IF($B1179="","Arabica",$B1179))&amp;" - "&amp;(IF($C1179="","Commercial",$C1179))),Variables!$B$1:$D$1,0),1))*L1179/16.67)),""))</f>
        <v>-5.3794894494058525</v>
      </c>
    </row>
    <row r="1180" spans="1:63">
      <c r="A1180" s="13" t="s">
        <v>103</v>
      </c>
      <c r="B1180" s="13" t="s">
        <v>104</v>
      </c>
      <c r="C1180" s="13" t="s">
        <v>105</v>
      </c>
      <c r="D1180" s="31">
        <v>46175</v>
      </c>
      <c r="E1180" s="31">
        <v>46175</v>
      </c>
      <c r="F1180" s="31">
        <v>46203</v>
      </c>
      <c r="G1180" s="13">
        <v>3787609</v>
      </c>
      <c r="J1180" s="13" t="s">
        <v>1824</v>
      </c>
      <c r="K1180" s="13">
        <v>5571</v>
      </c>
      <c r="L1180" s="13">
        <v>330</v>
      </c>
      <c r="M1180" s="13">
        <v>1</v>
      </c>
      <c r="N1180" s="13" t="s">
        <v>2915</v>
      </c>
      <c r="O1180" s="13" t="s">
        <v>584</v>
      </c>
      <c r="P1180" s="13">
        <v>10040</v>
      </c>
      <c r="R1180" s="13" t="s">
        <v>239</v>
      </c>
      <c r="S1180" s="13" t="s">
        <v>896</v>
      </c>
      <c r="T1180" s="13" t="s">
        <v>897</v>
      </c>
      <c r="U1180" s="13" t="s">
        <v>125</v>
      </c>
      <c r="V1180" s="23">
        <v>72</v>
      </c>
      <c r="W1180" s="44">
        <f>IF($AX1180="Cancelled","",IFERROR(((V1180+INDEX(Variables!$B$6:$D$6,IFERROR(MATCH(IF($B1180="Robusta","Robusta",(IF($B1180="","Arabica",$B1180))&amp;" - "&amp;(IF($C1180="","Commercial",$C1180))),Variables!$B$1:$D$1,0),1)))*22.0462)*(L1180/16.67),""))</f>
        <v>158335.88775044988</v>
      </c>
      <c r="X1180" s="55" t="s">
        <v>39</v>
      </c>
      <c r="Y1180" s="13" t="str">
        <f>IF($AX1180="Cancelled","",IF(X1180="","",IFERROR(IF(INDEX(Variables!$B$38:$B$47,MATCH(X1180,Variables!$A$38:$A$47,0))="Yes","Yes","No"),"No")))</f>
        <v>No</v>
      </c>
      <c r="Z1180" s="31"/>
      <c r="AC1180" s="13" t="str">
        <f t="shared" si="56"/>
        <v/>
      </c>
      <c r="AF1180" s="71">
        <v>46199</v>
      </c>
      <c r="AG1180" s="35">
        <f>IF($AX1180="Cancelled","",IFERROR(IF(F1180="","",F1180-Variables!$B$13),""))</f>
        <v>46188</v>
      </c>
      <c r="AH1180" s="13" t="str">
        <f>IF($AX1180="Cancelled","",IFERROR(IF(AB1180="","",(AVERAGE(E1180:F1180)-AB1180)-Variables!$B$14),""))</f>
        <v/>
      </c>
      <c r="AJ1180" s="47">
        <v>46206</v>
      </c>
      <c r="AK1180" s="14">
        <f>IF($AX1180="Cancelled","",IFERROR(IF(AJ1180="","",IF(AND(AB1180="",AF1180=""),"",IF(AF1180&gt;AB1180,AF1180+Variables!$B$15+Variables!$B$16+Variables!$B$17-AJ1180,AB1180+Variables!$B$16+Variables!$B$17-AJ1180))),""))</f>
        <v>8</v>
      </c>
      <c r="AL1180" s="48" t="s">
        <v>114</v>
      </c>
      <c r="AM1180" s="13" t="s">
        <v>168</v>
      </c>
      <c r="AN1180" s="13" t="s">
        <v>2700</v>
      </c>
      <c r="AP1180" s="39">
        <v>46219</v>
      </c>
      <c r="AR1180" s="13" t="s">
        <v>2916</v>
      </c>
      <c r="AS1180" s="31">
        <v>46219</v>
      </c>
      <c r="AU1180" s="31">
        <v>46281</v>
      </c>
      <c r="AV1180" s="13" t="s">
        <v>865</v>
      </c>
      <c r="AW1180" s="39">
        <v>46281</v>
      </c>
      <c r="AX1180" s="13" t="str">
        <f>IF(ISNUMBER(SEARCH("cancel",#REF!)),"Cancelled",IF(AND(AS1180&lt;&gt;"",AU1180&lt;&gt;"",AW1180&lt;&gt;""),"Closed","Open"))</f>
        <v>Closed</v>
      </c>
      <c r="AY1180" s="15" t="str">
        <f t="shared" si="55"/>
        <v>All dates received</v>
      </c>
      <c r="AZ1180" s="13" t="s">
        <v>3047</v>
      </c>
      <c r="BA1180" s="13" t="s">
        <v>3057</v>
      </c>
      <c r="BB1180" s="13" t="s">
        <v>3058</v>
      </c>
      <c r="BC1180" s="13" t="s">
        <v>3296</v>
      </c>
      <c r="BD1180" s="13">
        <f>IF($AX1180="Cancelled","",IFERROR(IF(OR(AS1180="",AJ1180=""),"",(AJ1180+Variables!$B$18-AS1180)),""))</f>
        <v>2</v>
      </c>
      <c r="BE1180" s="13">
        <f>IF($AX1180="Cancelled","",IFERROR(IF(OR(AW1180="",AS1180=""),"",(AS1180+Variables!$B$19)-AW1180),""))</f>
        <v>-57</v>
      </c>
      <c r="BF1180" s="44">
        <f>IF($AX1180="Cancelled","",IFERROR(W1180*INDEX(Variables!$B$7:$D$7,IFERROR(MATCH(IF($B1180="Robusta","Robusta",(IF($B1180="","Arabica",$B1180))&amp;" - "&amp;(IF($C1180="","Commercial",$C1180))),Variables!$B$1:$D$1,0),1))*(BE1180/365),""))</f>
        <v>-1594.4143663638831</v>
      </c>
      <c r="BG1180" s="44" t="str">
        <f>IF($AX1180="Cancelled","",IFERROR((W1180*INDEX(Variables!$B$7:$D$7,IFERROR(MATCH(IF($B1180="Robusta","Robusta",(IF($B1180="","Arabica",$B1180))&amp;" - "&amp;(IF($C1180="","Commercial",$C1180))),Variables!$B$1:$D$1,0),1))*IFERROR(IF(AB1180="","",(AVERAGE(E1180:F1180)-AB1180)-Variables!$B$14),"")/365)+(L1180/16.67*INDEX(Variables!$B$8:$D$8,IFERROR(MATCH(IF($B1180="Robusta","Robusta",(IF($B1180="","Arabica",$B1180))&amp;" - "&amp;(IF($C1180="","Commercial",$C1180))),Variables!$B$1:$D$1,0),1))*IFERROR(IF(AB1180="","",(AVERAGE(E1180:F1180)-AB1180)-Variables!$B$14),""))+(W1180*INDEX(Variables!$B$9:$D$9,IFERROR(MATCH(IF($B1180="Robusta","Robusta",(IF($B1180="","Arabica",$B1180))&amp;" - "&amp;(IF($C1180="","Commercial",$C1180))),Variables!$B$1:$D$1,0),1))*IFERROR(IF(AB1180="","",(AVERAGE(E1180:F1180)-AB1180)-Variables!$B$14),"")/365),""))</f>
        <v/>
      </c>
      <c r="BH1180" s="44">
        <f>IF($AX1180="Cancelled","",IFERROR((W1180*INDEX(Variables!$B$7:$D$7,IFERROR(MATCH(IF($B1180="Robusta","Robusta",(IF($B1180="","Arabica",$B1180))&amp;" - "&amp;(IF($C1180="","Commercial",$C1180))),Variables!$B$1:$D$1,0),1))*AK1180/365)+(L1180/16.67*INDEX(Variables!$B$8:$D$8,IFERROR(MATCH(IF($B1180="Robusta","Robusta",(IF($B1180="","Arabica",$B1180))&amp;" - "&amp;(IF($C1180="","Commercial",$C1180))),Variables!$B$1:$D$1,0),1))*AK1180)+(W1180*INDEX(Variables!$B$9:$D$9,IFERROR(MATCH(IF($B1180="Robusta","Robusta",(IF($B1180="","Arabica",$B1180))&amp;" - "&amp;(IF($C1180="","Commercial",$C1180))),Variables!$B$1:$D$1,0),1))*AK1180/365),""))</f>
        <v>358.66237818277278</v>
      </c>
      <c r="BI1180" s="44">
        <f>IF($AX1180="Cancelled","",IFERROR((W1180*INDEX(Variables!$B$7:$D$7,IFERROR(MATCH(IF($B1180="Robusta","Robusta",(IF($B1180="","Arabica",$B1180))&amp;" - "&amp;(IF($C1180="","Commercial",$C1180))),Variables!$B$1:$D$1,0),1))*BD1180/365)+(L1180/16.67*INDEX(Variables!$B$8:$D$8,IFERROR(MATCH(IF($B1180="Robusta","Robusta",(IF($B1180="","Arabica",$B1180))&amp;" - "&amp;(IF($C1180="","Commercial",$C1180))),Variables!$B$1:$D$1,0),1))*BD1180)+(W1180*INDEX(Variables!$B$9:$D$9,IFERROR(MATCH(IF($B1180="Robusta","Robusta",(IF($B1180="","Arabica",$B1180))&amp;" - "&amp;(IF($C1180="","Commercial",$C1180))),Variables!$B$1:$D$1,0),1))*BD1180/365),""))</f>
        <v>89.665594545693196</v>
      </c>
      <c r="BJ1180" s="44">
        <f t="shared" si="57"/>
        <v>-16</v>
      </c>
      <c r="BK1180" s="44">
        <f>IF($AX1180="Cancelled","",IFERROR(IF(BJ1180="","",(W1180*INDEX(Variables!$B$7:$D$7,IFERROR(MATCH(IF($B1180="Robusta","Robusta",(IF($B1180="","Arabica",$B1180))&amp;" - "&amp;(IF($C1180="","Commercial",$C1180))),Variables!$B$1:$D$1,0),1))*(BJ1180/365))+(W1180*INDEX(Variables!$B$9:$D$9,IFERROR(MATCH(IF($B1180="Robusta","Robusta",(IF($B1180="","Arabica",$B1180))&amp;" - "&amp;(IF($C1180="","Commercial",$C1180))),Variables!$B$1:$D$1,0),1))*(BJ1180/365))+(INDEX(Variables!$B$8:$D$8,IFERROR(MATCH(IF($B1180="Robusta","Robusta",(IF($B1180="","Arabica",$B1180))&amp;" - "&amp;(IF($C1180="","Commercial",$C1180))),Variables!$B$1:$D$1,0),1))*L1180/16.67)),""))</f>
        <v>-436.82475636554557</v>
      </c>
    </row>
    <row r="1181" spans="1:63">
      <c r="A1181" s="13" t="s">
        <v>103</v>
      </c>
      <c r="B1181" s="13" t="s">
        <v>104</v>
      </c>
      <c r="C1181" s="13" t="s">
        <v>105</v>
      </c>
      <c r="D1181" s="31">
        <v>46175</v>
      </c>
      <c r="E1181" s="31">
        <v>46235</v>
      </c>
      <c r="F1181" s="31">
        <v>46265</v>
      </c>
      <c r="G1181" s="13">
        <v>3787610</v>
      </c>
      <c r="J1181" s="13" t="s">
        <v>916</v>
      </c>
      <c r="K1181" s="13">
        <v>5599</v>
      </c>
      <c r="L1181" s="13">
        <v>640</v>
      </c>
      <c r="M1181" s="13">
        <v>2</v>
      </c>
      <c r="N1181" s="13" t="s">
        <v>2912</v>
      </c>
      <c r="O1181" s="13" t="s">
        <v>456</v>
      </c>
      <c r="P1181" s="13">
        <v>10140</v>
      </c>
      <c r="Q1181" s="13" t="s">
        <v>121</v>
      </c>
      <c r="R1181" s="13" t="s">
        <v>110</v>
      </c>
      <c r="S1181" s="13" t="s">
        <v>918</v>
      </c>
      <c r="T1181" s="13" t="s">
        <v>124</v>
      </c>
      <c r="U1181" s="13" t="s">
        <v>125</v>
      </c>
      <c r="V1181" s="23">
        <v>-44</v>
      </c>
      <c r="W1181" s="44">
        <f>IF($AX1181="Cancelled","",IFERROR(((V1181+INDEX(Variables!$B$6:$D$6,IFERROR(MATCH(IF($B1181="Robusta","Robusta",(IF($B1181="","Arabica",$B1181))&amp;" - "&amp;(IF($C1181="","Commercial",$C1181))),Variables!$B$1:$D$1,0),1)))*22.0462)*(L1181/16.67),""))</f>
        <v>208892.70440311937</v>
      </c>
      <c r="X1181" s="55" t="s">
        <v>37</v>
      </c>
      <c r="Y1181" s="13" t="str">
        <f>IF($AX1181="Cancelled","",IF(X1181="","",IFERROR(IF(INDEX(Variables!$B$38:$B$47,MATCH(X1181,Variables!$A$38:$A$47,0))="Yes","Yes","No"),"No")))</f>
        <v>Yes</v>
      </c>
      <c r="Z1181" s="58">
        <v>46212</v>
      </c>
      <c r="AB1181" s="31">
        <v>46224</v>
      </c>
      <c r="AC1181" s="13" t="str">
        <f t="shared" si="56"/>
        <v>Approved</v>
      </c>
      <c r="AF1181" s="71">
        <v>46227</v>
      </c>
      <c r="AG1181" s="35">
        <f>IF($AX1181="Cancelled","",IFERROR(IF(F1181="","",F1181-Variables!$B$13),""))</f>
        <v>46250</v>
      </c>
      <c r="AH1181" s="13">
        <f>IF($AX1181="Cancelled","",IFERROR(IF(AB1181="","",(AVERAGE(E1181:F1181)-AB1181)-Variables!$B$14),""))</f>
        <v>-4</v>
      </c>
      <c r="AJ1181" s="47">
        <v>46237</v>
      </c>
      <c r="AK1181" s="14">
        <f>IF($AX1181="Cancelled","",IFERROR(IF(AJ1181="","",IF(AND(AB1181="",AF1181=""),"",IF(AF1181&gt;AB1181,AF1181+Variables!$B$15+Variables!$B$16+Variables!$B$17-AJ1181,AB1181+Variables!$B$16+Variables!$B$17-AJ1181))),""))</f>
        <v>5</v>
      </c>
      <c r="AL1181" s="48" t="s">
        <v>114</v>
      </c>
      <c r="AM1181" s="13" t="s">
        <v>1526</v>
      </c>
      <c r="AN1181" s="13" t="s">
        <v>2917</v>
      </c>
      <c r="AP1181" s="39">
        <v>46251</v>
      </c>
      <c r="AR1181" s="13" t="s">
        <v>2918</v>
      </c>
      <c r="AS1181" s="31">
        <v>46282</v>
      </c>
      <c r="AU1181" s="39">
        <v>46269</v>
      </c>
      <c r="AV1181" s="13" t="s">
        <v>865</v>
      </c>
      <c r="AW1181" s="39">
        <v>46269</v>
      </c>
      <c r="AX1181" s="13" t="str">
        <f>IF(ISNUMBER(SEARCH("cancel",#REF!)),"Cancelled",IF(AND(AS1181&lt;&gt;"",AU1181&lt;&gt;"",AW1181&lt;&gt;""),"Closed","Open"))</f>
        <v>Closed</v>
      </c>
      <c r="AY1181" s="15" t="str">
        <f t="shared" si="55"/>
        <v>All dates received</v>
      </c>
      <c r="BD1181" s="13">
        <f>IF($AX1181="Cancelled","",IFERROR(IF(OR(AS1181="",AJ1181=""),"",(AJ1181+Variables!$B$18-AS1181)),""))</f>
        <v>-30</v>
      </c>
      <c r="BE1181" s="13">
        <f>IF($AX1181="Cancelled","",IFERROR(IF(OR(AW1181="",AS1181=""),"",(AS1181+Variables!$B$19)-AW1181),""))</f>
        <v>18</v>
      </c>
      <c r="BF1181" s="44">
        <f>IF($AX1181="Cancelled","",IFERROR(W1181*INDEX(Variables!$B$7:$D$7,IFERROR(MATCH(IF($B1181="Robusta","Robusta",(IF($B1181="","Arabica",$B1181))&amp;" - "&amp;(IF($C1181="","Commercial",$C1181))),Variables!$B$1:$D$1,0),1))*(BE1181/365),""))</f>
        <v>664.26712490282421</v>
      </c>
      <c r="BG1181" s="44">
        <f>IF($AX1181="Cancelled","",IFERROR((W1181*INDEX(Variables!$B$7:$D$7,IFERROR(MATCH(IF($B1181="Robusta","Robusta",(IF($B1181="","Arabica",$B1181))&amp;" - "&amp;(IF($C1181="","Commercial",$C1181))),Variables!$B$1:$D$1,0),1))*IFERROR(IF(AB1181="","",(AVERAGE(E1181:F1181)-AB1181)-Variables!$B$14),"")/365)+(L1181/16.67*INDEX(Variables!$B$8:$D$8,IFERROR(MATCH(IF($B1181="Robusta","Robusta",(IF($B1181="","Arabica",$B1181))&amp;" - "&amp;(IF($C1181="","Commercial",$C1181))),Variables!$B$1:$D$1,0),1))*IFERROR(IF(AB1181="","",(AVERAGE(E1181:F1181)-AB1181)-Variables!$B$14),""))+(W1181*INDEX(Variables!$B$9:$D$9,IFERROR(MATCH(IF($B1181="Robusta","Robusta",(IF($B1181="","Arabica",$B1181))&amp;" - "&amp;(IF($C1181="","Commercial",$C1181))),Variables!$B$1:$D$1,0),1))*IFERROR(IF(AB1181="","",(AVERAGE(E1181:F1181)-AB1181)-Variables!$B$14),"")/365),""))</f>
        <v>-277.51795779762347</v>
      </c>
      <c r="BH1181" s="44">
        <f>IF($AX1181="Cancelled","",IFERROR((W1181*INDEX(Variables!$B$7:$D$7,IFERROR(MATCH(IF($B1181="Robusta","Robusta",(IF($B1181="","Arabica",$B1181))&amp;" - "&amp;(IF($C1181="","Commercial",$C1181))),Variables!$B$1:$D$1,0),1))*AK1181/365)+(L1181/16.67*INDEX(Variables!$B$8:$D$8,IFERROR(MATCH(IF($B1181="Robusta","Robusta",(IF($B1181="","Arabica",$B1181))&amp;" - "&amp;(IF($C1181="","Commercial",$C1181))),Variables!$B$1:$D$1,0),1))*AK1181)+(W1181*INDEX(Variables!$B$9:$D$9,IFERROR(MATCH(IF($B1181="Robusta","Robusta",(IF($B1181="","Arabica",$B1181))&amp;" - "&amp;(IF($C1181="","Commercial",$C1181))),Variables!$B$1:$D$1,0),1))*AK1181/365),""))</f>
        <v>346.89744724702933</v>
      </c>
      <c r="BI1181" s="44">
        <f>IF($AX1181="Cancelled","",IFERROR((W1181*INDEX(Variables!$B$7:$D$7,IFERROR(MATCH(IF($B1181="Robusta","Robusta",(IF($B1181="","Arabica",$B1181))&amp;" - "&amp;(IF($C1181="","Commercial",$C1181))),Variables!$B$1:$D$1,0),1))*BD1181/365)+(L1181/16.67*INDEX(Variables!$B$8:$D$8,IFERROR(MATCH(IF($B1181="Robusta","Robusta",(IF($B1181="","Arabica",$B1181))&amp;" - "&amp;(IF($C1181="","Commercial",$C1181))),Variables!$B$1:$D$1,0),1))*BD1181)+(W1181*INDEX(Variables!$B$9:$D$9,IFERROR(MATCH(IF($B1181="Robusta","Robusta",(IF($B1181="","Arabica",$B1181))&amp;" - "&amp;(IF($C1181="","Commercial",$C1181))),Variables!$B$1:$D$1,0),1))*BD1181/365),""))</f>
        <v>-2081.3846834821757</v>
      </c>
      <c r="BJ1181" s="44">
        <f t="shared" si="57"/>
        <v>-17</v>
      </c>
      <c r="BK1181" s="44">
        <f>IF($AX1181="Cancelled","",IFERROR(IF(BJ1181="","",(W1181*INDEX(Variables!$B$7:$D$7,IFERROR(MATCH(IF($B1181="Robusta","Robusta",(IF($B1181="","Arabica",$B1181))&amp;" - "&amp;(IF($C1181="","Commercial",$C1181))),Variables!$B$1:$D$1,0),1))*(BJ1181/365))+(W1181*INDEX(Variables!$B$9:$D$9,IFERROR(MATCH(IF($B1181="Robusta","Robusta",(IF($B1181="","Arabica",$B1181))&amp;" - "&amp;(IF($C1181="","Commercial",$C1181))),Variables!$B$1:$D$1,0),1))*(BJ1181/365))+(INDEX(Variables!$B$8:$D$8,IFERROR(MATCH(IF($B1181="Robusta","Robusta",(IF($B1181="","Arabica",$B1181))&amp;" - "&amp;(IF($C1181="","Commercial",$C1181))),Variables!$B$1:$D$1,0),1))*L1181/16.67)),""))</f>
        <v>-603.45132063989956</v>
      </c>
    </row>
    <row r="1182" spans="1:63">
      <c r="A1182" s="13" t="s">
        <v>103</v>
      </c>
      <c r="B1182" s="13" t="s">
        <v>104</v>
      </c>
      <c r="C1182" s="13" t="s">
        <v>105</v>
      </c>
      <c r="D1182" s="31">
        <v>46175</v>
      </c>
      <c r="E1182" s="31">
        <v>46296</v>
      </c>
      <c r="F1182" s="31">
        <v>46326</v>
      </c>
      <c r="G1182" s="13">
        <v>3787611</v>
      </c>
      <c r="J1182" s="13" t="s">
        <v>916</v>
      </c>
      <c r="K1182" s="13">
        <v>5658</v>
      </c>
      <c r="L1182" s="13">
        <v>320</v>
      </c>
      <c r="M1182" s="13">
        <v>1</v>
      </c>
      <c r="N1182" s="13" t="s">
        <v>2912</v>
      </c>
      <c r="O1182" s="13" t="s">
        <v>456</v>
      </c>
      <c r="P1182" s="13">
        <v>10140</v>
      </c>
      <c r="Q1182" s="13" t="s">
        <v>121</v>
      </c>
      <c r="R1182" s="13" t="s">
        <v>110</v>
      </c>
      <c r="S1182" s="13" t="s">
        <v>918</v>
      </c>
      <c r="T1182" s="13" t="s">
        <v>124</v>
      </c>
      <c r="U1182" s="13" t="s">
        <v>125</v>
      </c>
      <c r="V1182" s="23">
        <v>-44</v>
      </c>
      <c r="W1182" s="44">
        <f>IF($AX1182="Cancelled","",IFERROR(((V1182+INDEX(Variables!$B$6:$D$6,IFERROR(MATCH(IF($B1182="Robusta","Robusta",(IF($B1182="","Arabica",$B1182))&amp;" - "&amp;(IF($C1182="","Commercial",$C1182))),Variables!$B$1:$D$1,0),1)))*22.0462)*(L1182/16.67),""))</f>
        <v>104446.35220155968</v>
      </c>
      <c r="X1182" s="55" t="s">
        <v>37</v>
      </c>
      <c r="Y1182" s="13" t="str">
        <f>IF($AX1182="Cancelled","",IF(X1182="","",IFERROR(IF(INDEX(Variables!$B$38:$B$47,MATCH(X1182,Variables!$A$38:$A$47,0))="Yes","Yes","No"),"No")))</f>
        <v>Yes</v>
      </c>
      <c r="Z1182" s="58">
        <v>46276</v>
      </c>
      <c r="AB1182" s="31">
        <v>46282</v>
      </c>
      <c r="AC1182" s="13" t="str">
        <f t="shared" si="56"/>
        <v>Approved</v>
      </c>
      <c r="AD1182" s="31">
        <v>46273</v>
      </c>
      <c r="AF1182" s="71">
        <v>46288</v>
      </c>
      <c r="AG1182" s="35">
        <f>IF($AX1182="Cancelled","",IFERROR(IF(F1182="","",F1182-Variables!$B$13),""))</f>
        <v>46311</v>
      </c>
      <c r="AH1182" s="13">
        <f>IF($AX1182="Cancelled","",IFERROR(IF(AB1182="","",(AVERAGE(E1182:F1182)-AB1182)-Variables!$B$14),""))</f>
        <v>-1</v>
      </c>
      <c r="AJ1182" s="47">
        <v>46289</v>
      </c>
      <c r="AK1182" s="14">
        <f>IF($AX1182="Cancelled","",IFERROR(IF(AJ1182="","",IF(AND(AB1182="",AF1182=""),"",IF(AF1182&gt;AB1182,AF1182+Variables!$B$15+Variables!$B$16+Variables!$B$17-AJ1182,AB1182+Variables!$B$16+Variables!$B$17-AJ1182))),""))</f>
        <v>14</v>
      </c>
      <c r="AL1182" s="48" t="s">
        <v>114</v>
      </c>
      <c r="AM1182" s="13" t="s">
        <v>1526</v>
      </c>
      <c r="AN1182" s="13" t="s">
        <v>3285</v>
      </c>
      <c r="AP1182" s="39">
        <v>46307</v>
      </c>
      <c r="AR1182" s="13" t="s">
        <v>3275</v>
      </c>
      <c r="AS1182" s="31">
        <v>46307</v>
      </c>
      <c r="AU1182" s="31">
        <v>46311</v>
      </c>
      <c r="AV1182" s="13" t="s">
        <v>865</v>
      </c>
      <c r="AW1182" s="31">
        <v>46311</v>
      </c>
      <c r="AX1182" s="13" t="str">
        <f>IF(ISNUMBER(SEARCH("cancel",#REF!)),"Cancelled",IF(AND(AS1182&lt;&gt;"",AU1182&lt;&gt;"",AW1182&lt;&gt;""),"Closed","Open"))</f>
        <v>Closed</v>
      </c>
      <c r="AY1182" s="15" t="str">
        <f t="shared" si="55"/>
        <v>All dates received</v>
      </c>
      <c r="BD1182" s="13">
        <f>IF($AX1182="Cancelled","",IFERROR(IF(OR(AS1182="",AJ1182=""),"",(AJ1182+Variables!$B$18-AS1182)),""))</f>
        <v>-3</v>
      </c>
      <c r="BE1182" s="13">
        <f>IF($AX1182="Cancelled","",IFERROR(IF(OR(AW1182="",AS1182=""),"",(AS1182+Variables!$B$19)-AW1182),""))</f>
        <v>1</v>
      </c>
      <c r="BF1182" s="44">
        <f>IF($AX1182="Cancelled","",IFERROR(W1182*INDEX(Variables!$B$7:$D$7,IFERROR(MATCH(IF($B1182="Robusta","Robusta",(IF($B1182="","Arabica",$B1182))&amp;" - "&amp;(IF($C1182="","Commercial",$C1182))),Variables!$B$1:$D$1,0),1))*(BE1182/365),""))</f>
        <v>18.451864580634005</v>
      </c>
      <c r="BG1182" s="44">
        <f>IF($AX1182="Cancelled","",IFERROR((W1182*INDEX(Variables!$B$7:$D$7,IFERROR(MATCH(IF($B1182="Robusta","Robusta",(IF($B1182="","Arabica",$B1182))&amp;" - "&amp;(IF($C1182="","Commercial",$C1182))),Variables!$B$1:$D$1,0),1))*IFERROR(IF(AB1182="","",(AVERAGE(E1182:F1182)-AB1182)-Variables!$B$14),"")/365)+(L1182/16.67*INDEX(Variables!$B$8:$D$8,IFERROR(MATCH(IF($B1182="Robusta","Robusta",(IF($B1182="","Arabica",$B1182))&amp;" - "&amp;(IF($C1182="","Commercial",$C1182))),Variables!$B$1:$D$1,0),1))*IFERROR(IF(AB1182="","",(AVERAGE(E1182:F1182)-AB1182)-Variables!$B$14),""))+(W1182*INDEX(Variables!$B$9:$D$9,IFERROR(MATCH(IF($B1182="Robusta","Robusta",(IF($B1182="","Arabica",$B1182))&amp;" - "&amp;(IF($C1182="","Commercial",$C1182))),Variables!$B$1:$D$1,0),1))*IFERROR(IF(AB1182="","",(AVERAGE(E1182:F1182)-AB1182)-Variables!$B$14),"")/365),""))</f>
        <v>-34.689744724702933</v>
      </c>
      <c r="BH1182" s="44">
        <f>IF($AX1182="Cancelled","",IFERROR((W1182*INDEX(Variables!$B$7:$D$7,IFERROR(MATCH(IF($B1182="Robusta","Robusta",(IF($B1182="","Arabica",$B1182))&amp;" - "&amp;(IF($C1182="","Commercial",$C1182))),Variables!$B$1:$D$1,0),1))*AK1182/365)+(L1182/16.67*INDEX(Variables!$B$8:$D$8,IFERROR(MATCH(IF($B1182="Robusta","Robusta",(IF($B1182="","Arabica",$B1182))&amp;" - "&amp;(IF($C1182="","Commercial",$C1182))),Variables!$B$1:$D$1,0),1))*AK1182)+(W1182*INDEX(Variables!$B$9:$D$9,IFERROR(MATCH(IF($B1182="Robusta","Robusta",(IF($B1182="","Arabica",$B1182))&amp;" - "&amp;(IF($C1182="","Commercial",$C1182))),Variables!$B$1:$D$1,0),1))*AK1182/365),""))</f>
        <v>485.65642614584095</v>
      </c>
      <c r="BI1182" s="44">
        <f>IF($AX1182="Cancelled","",IFERROR((W1182*INDEX(Variables!$B$7:$D$7,IFERROR(MATCH(IF($B1182="Robusta","Robusta",(IF($B1182="","Arabica",$B1182))&amp;" - "&amp;(IF($C1182="","Commercial",$C1182))),Variables!$B$1:$D$1,0),1))*BD1182/365)+(L1182/16.67*INDEX(Variables!$B$8:$D$8,IFERROR(MATCH(IF($B1182="Robusta","Robusta",(IF($B1182="","Arabica",$B1182))&amp;" - "&amp;(IF($C1182="","Commercial",$C1182))),Variables!$B$1:$D$1,0),1))*BD1182)+(W1182*INDEX(Variables!$B$9:$D$9,IFERROR(MATCH(IF($B1182="Robusta","Robusta",(IF($B1182="","Arabica",$B1182))&amp;" - "&amp;(IF($C1182="","Commercial",$C1182))),Variables!$B$1:$D$1,0),1))*BD1182/365),""))</f>
        <v>-104.06923417410879</v>
      </c>
      <c r="BJ1182" s="44">
        <f t="shared" si="57"/>
        <v>19</v>
      </c>
      <c r="BK1182" s="44">
        <f>IF($AX1182="Cancelled","",IFERROR(IF(BJ1182="","",(W1182*INDEX(Variables!$B$7:$D$7,IFERROR(MATCH(IF($B1182="Robusta","Robusta",(IF($B1182="","Arabica",$B1182))&amp;" - "&amp;(IF($C1182="","Commercial",$C1182))),Variables!$B$1:$D$1,0),1))*(BJ1182/365))+(W1182*INDEX(Variables!$B$9:$D$9,IFERROR(MATCH(IF($B1182="Robusta","Robusta",(IF($B1182="","Arabica",$B1182))&amp;" - "&amp;(IF($C1182="","Commercial",$C1182))),Variables!$B$1:$D$1,0),1))*(BJ1182/365))+(INDEX(Variables!$B$8:$D$8,IFERROR(MATCH(IF($B1182="Robusta","Robusta",(IF($B1182="","Arabica",$B1182))&amp;" - "&amp;(IF($C1182="","Commercial",$C1182))),Variables!$B$1:$D$1,0),1))*L1182/16.67)),""))</f>
        <v>371.10514976935565</v>
      </c>
    </row>
    <row r="1183" spans="1:63">
      <c r="A1183" s="13" t="s">
        <v>103</v>
      </c>
      <c r="B1183" s="13" t="s">
        <v>104</v>
      </c>
      <c r="C1183" s="13" t="s">
        <v>105</v>
      </c>
      <c r="D1183" s="31">
        <v>46175</v>
      </c>
      <c r="E1183" s="31">
        <v>46327</v>
      </c>
      <c r="F1183" s="31">
        <v>46356</v>
      </c>
      <c r="G1183" s="13">
        <v>3787612</v>
      </c>
      <c r="J1183" s="13" t="s">
        <v>916</v>
      </c>
      <c r="L1183" s="13">
        <v>320</v>
      </c>
      <c r="M1183" s="13">
        <v>1</v>
      </c>
      <c r="N1183" s="13" t="s">
        <v>2912</v>
      </c>
      <c r="O1183" s="13" t="s">
        <v>456</v>
      </c>
      <c r="P1183" s="13">
        <v>10140</v>
      </c>
      <c r="Q1183" s="13" t="s">
        <v>121</v>
      </c>
      <c r="R1183" s="13" t="s">
        <v>110</v>
      </c>
      <c r="V1183" s="23">
        <v>-44</v>
      </c>
      <c r="W1183" s="44">
        <f>IF($AX1183="Cancelled","",IFERROR(((V1183+INDEX(Variables!$B$6:$D$6,IFERROR(MATCH(IF($B1183="Robusta","Robusta",(IF($B1183="","Arabica",$B1183))&amp;" - "&amp;(IF($C1183="","Commercial",$C1183))),Variables!$B$1:$D$1,0),1)))*22.0462)*(L1183/16.67),""))</f>
        <v>104446.35220155968</v>
      </c>
      <c r="X1183" s="55" t="s">
        <v>37</v>
      </c>
      <c r="Y1183" s="13" t="str">
        <f>IF($AX1183="Cancelled","",IF(X1183="","",IFERROR(IF(INDEX(Variables!$B$38:$B$47,MATCH(X1183,Variables!$A$38:$A$47,0))="Yes","Yes","No"),"No")))</f>
        <v>Yes</v>
      </c>
      <c r="Z1183" s="58">
        <v>46293</v>
      </c>
      <c r="AB1183" s="31">
        <v>46297</v>
      </c>
      <c r="AC1183" s="13" t="str">
        <f t="shared" si="56"/>
        <v>Approved</v>
      </c>
      <c r="AF1183" s="71">
        <v>46307</v>
      </c>
      <c r="AG1183" s="35">
        <f>IF($AX1183="Cancelled","",IFERROR(IF(F1183="","",F1183-Variables!$B$13),""))</f>
        <v>46341</v>
      </c>
      <c r="AH1183" s="13">
        <f>IF($AX1183="Cancelled","",IFERROR(IF(AB1183="","",(AVERAGE(E1183:F1183)-AB1183)-Variables!$B$14),""))</f>
        <v>14.5</v>
      </c>
      <c r="AK1183" s="14" t="str">
        <f>IF($AX1183="Cancelled","",IFERROR(IF(AJ1183="","",IF(AND(AB1183="",AF1183=""),"",IF(AF1183&gt;AB1183,AF1183+Variables!$B$15+Variables!$B$16+Variables!$B$17-AJ1183,AB1183+Variables!$B$16+Variables!$B$17-AJ1183))),""))</f>
        <v/>
      </c>
      <c r="AM1183" s="13" t="e">
        <v>#REF!</v>
      </c>
      <c r="AN1183" s="13">
        <v>0</v>
      </c>
      <c r="AP1183" s="39"/>
      <c r="AR1183" s="13" t="e">
        <v>#REF!</v>
      </c>
      <c r="AV1183" s="13" t="e">
        <v>#REF!</v>
      </c>
      <c r="AX1183" s="13" t="str">
        <f>IF(ISNUMBER(SEARCH("cancel",#REF!)),"Cancelled",IF(AND(AS1183&lt;&gt;"",AU1183&lt;&gt;"",AW1183&lt;&gt;""),"Closed","Open"))</f>
        <v>Open</v>
      </c>
      <c r="AY1183" s="15" t="str">
        <f t="shared" si="55"/>
        <v>No sailing date and No shipping advice sent and No docs dispatch date</v>
      </c>
      <c r="BD1183" s="13" t="str">
        <f>IF($AX1183="Cancelled","",IFERROR(IF(OR(AS1183="",AJ1183=""),"",(AJ1183+Variables!$B$18-AS1183)),""))</f>
        <v/>
      </c>
      <c r="BE1183" s="13" t="str">
        <f>IF($AX1183="Cancelled","",IFERROR(IF(OR(AW1183="",AS1183=""),"",(AS1183+Variables!$B$19)-AW1183),""))</f>
        <v/>
      </c>
      <c r="BF1183" s="44" t="str">
        <f>IF($AX1183="Cancelled","",IFERROR(W1183*INDEX(Variables!$B$7:$D$7,IFERROR(MATCH(IF($B1183="Robusta","Robusta",(IF($B1183="","Arabica",$B1183))&amp;" - "&amp;(IF($C1183="","Commercial",$C1183))),Variables!$B$1:$D$1,0),1))*(BE1183/365),""))</f>
        <v/>
      </c>
      <c r="BG1183" s="44">
        <f>IF($AX1183="Cancelled","",IFERROR((W1183*INDEX(Variables!$B$7:$D$7,IFERROR(MATCH(IF($B1183="Robusta","Robusta",(IF($B1183="","Arabica",$B1183))&amp;" - "&amp;(IF($C1183="","Commercial",$C1183))),Variables!$B$1:$D$1,0),1))*IFERROR(IF(AB1183="","",(AVERAGE(E1183:F1183)-AB1183)-Variables!$B$14),"")/365)+(L1183/16.67*INDEX(Variables!$B$8:$D$8,IFERROR(MATCH(IF($B1183="Robusta","Robusta",(IF($B1183="","Arabica",$B1183))&amp;" - "&amp;(IF($C1183="","Commercial",$C1183))),Variables!$B$1:$D$1,0),1))*IFERROR(IF(AB1183="","",(AVERAGE(E1183:F1183)-AB1183)-Variables!$B$14),""))+(W1183*INDEX(Variables!$B$9:$D$9,IFERROR(MATCH(IF($B1183="Robusta","Robusta",(IF($B1183="","Arabica",$B1183))&amp;" - "&amp;(IF($C1183="","Commercial",$C1183))),Variables!$B$1:$D$1,0),1))*IFERROR(IF(AB1183="","",(AVERAGE(E1183:F1183)-AB1183)-Variables!$B$14),"")/365),""))</f>
        <v>503.00129850819246</v>
      </c>
      <c r="BH1183" s="44" t="str">
        <f>IF($AX1183="Cancelled","",IFERROR((W1183*INDEX(Variables!$B$7:$D$7,IFERROR(MATCH(IF($B1183="Robusta","Robusta",(IF($B1183="","Arabica",$B1183))&amp;" - "&amp;(IF($C1183="","Commercial",$C1183))),Variables!$B$1:$D$1,0),1))*AK1183/365)+(L1183/16.67*INDEX(Variables!$B$8:$D$8,IFERROR(MATCH(IF($B1183="Robusta","Robusta",(IF($B1183="","Arabica",$B1183))&amp;" - "&amp;(IF($C1183="","Commercial",$C1183))),Variables!$B$1:$D$1,0),1))*AK1183)+(W1183*INDEX(Variables!$B$9:$D$9,IFERROR(MATCH(IF($B1183="Robusta","Robusta",(IF($B1183="","Arabica",$B1183))&amp;" - "&amp;(IF($C1183="","Commercial",$C1183))),Variables!$B$1:$D$1,0),1))*AK1183/365),""))</f>
        <v/>
      </c>
      <c r="BI1183" s="44" t="str">
        <f>IF($AX1183="Cancelled","",IFERROR((W1183*INDEX(Variables!$B$7:$D$7,IFERROR(MATCH(IF($B1183="Robusta","Robusta",(IF($B1183="","Arabica",$B1183))&amp;" - "&amp;(IF($C1183="","Commercial",$C1183))),Variables!$B$1:$D$1,0),1))*BD1183/365)+(L1183/16.67*INDEX(Variables!$B$8:$D$8,IFERROR(MATCH(IF($B1183="Robusta","Robusta",(IF($B1183="","Arabica",$B1183))&amp;" - "&amp;(IF($C1183="","Commercial",$C1183))),Variables!$B$1:$D$1,0),1))*BD1183)+(W1183*INDEX(Variables!$B$9:$D$9,IFERROR(MATCH(IF($B1183="Robusta","Robusta",(IF($B1183="","Arabica",$B1183))&amp;" - "&amp;(IF($C1183="","Commercial",$C1183))),Variables!$B$1:$D$1,0),1))*BD1183/365),""))</f>
        <v/>
      </c>
      <c r="BJ1183" s="44" t="str">
        <f t="shared" si="57"/>
        <v/>
      </c>
      <c r="BK1183" s="44" t="str">
        <f>IF($AX1183="Cancelled","",IFERROR(IF(BJ1183="","",(W1183*INDEX(Variables!$B$7:$D$7,IFERROR(MATCH(IF($B1183="Robusta","Robusta",(IF($B1183="","Arabica",$B1183))&amp;" - "&amp;(IF($C1183="","Commercial",$C1183))),Variables!$B$1:$D$1,0),1))*(BJ1183/365))+(W1183*INDEX(Variables!$B$9:$D$9,IFERROR(MATCH(IF($B1183="Robusta","Robusta",(IF($B1183="","Arabica",$B1183))&amp;" - "&amp;(IF($C1183="","Commercial",$C1183))),Variables!$B$1:$D$1,0),1))*(BJ1183/365))+(INDEX(Variables!$B$8:$D$8,IFERROR(MATCH(IF($B1183="Robusta","Robusta",(IF($B1183="","Arabica",$B1183))&amp;" - "&amp;(IF($C1183="","Commercial",$C1183))),Variables!$B$1:$D$1,0),1))*L1183/16.67)),""))</f>
        <v/>
      </c>
    </row>
    <row r="1184" spans="1:63">
      <c r="A1184" s="13" t="s">
        <v>103</v>
      </c>
      <c r="B1184" s="13" t="s">
        <v>104</v>
      </c>
      <c r="C1184" s="13" t="s">
        <v>105</v>
      </c>
      <c r="D1184" s="31">
        <v>46175</v>
      </c>
      <c r="E1184" s="31">
        <v>46357</v>
      </c>
      <c r="F1184" s="31">
        <v>46387</v>
      </c>
      <c r="G1184" s="13">
        <v>3787613</v>
      </c>
      <c r="J1184" s="13" t="s">
        <v>916</v>
      </c>
      <c r="L1184" s="13">
        <v>320</v>
      </c>
      <c r="M1184" s="13">
        <v>1</v>
      </c>
      <c r="N1184" s="13" t="s">
        <v>2912</v>
      </c>
      <c r="O1184" s="13" t="s">
        <v>456</v>
      </c>
      <c r="P1184" s="13">
        <v>10140</v>
      </c>
      <c r="Q1184" s="13" t="s">
        <v>121</v>
      </c>
      <c r="R1184" s="13" t="s">
        <v>110</v>
      </c>
      <c r="V1184" s="23">
        <v>-44</v>
      </c>
      <c r="W1184" s="44">
        <f>IF($AX1184="Cancelled","",IFERROR(((V1184+INDEX(Variables!$B$6:$D$6,IFERROR(MATCH(IF($B1184="Robusta","Robusta",(IF($B1184="","Arabica",$B1184))&amp;" - "&amp;(IF($C1184="","Commercial",$C1184))),Variables!$B$1:$D$1,0),1)))*22.0462)*(L1184/16.67),""))</f>
        <v>104446.35220155968</v>
      </c>
      <c r="X1184" s="55" t="s">
        <v>37</v>
      </c>
      <c r="Y1184" s="13" t="str">
        <f>IF($AX1184="Cancelled","",IF(X1184="","",IFERROR(IF(INDEX(Variables!$B$38:$B$47,MATCH(X1184,Variables!$A$38:$A$47,0))="Yes","Yes","No"),"No")))</f>
        <v>Yes</v>
      </c>
      <c r="Z1184" s="58" t="s">
        <v>2919</v>
      </c>
      <c r="AB1184" s="31" t="s">
        <v>2920</v>
      </c>
      <c r="AC1184" s="13" t="str">
        <f t="shared" si="56"/>
        <v/>
      </c>
      <c r="AF1184" s="71"/>
      <c r="AG1184" s="37">
        <f>IF($AX1184="Cancelled","",IFERROR(IF(F1184="","",F1184-Variables!$B$13),""))</f>
        <v>46372</v>
      </c>
      <c r="AH1184" s="13">
        <f>IF($AX1184="Cancelled","",IFERROR(IF(AB1184="","",(AVERAGE(E1184:F1184)-AB1184)-Variables!$B$14),""))</f>
        <v>24</v>
      </c>
      <c r="AK1184" s="14" t="str">
        <f>IF($AX1184="Cancelled","",IFERROR(IF(AJ1184="","",IF(AND(AB1184="",AF1184=""),"",IF(AF1184&gt;AB1184,AF1184+Variables!$B$15+Variables!$B$16+Variables!$B$17-AJ1184,AB1184+Variables!$B$16+Variables!$B$17-AJ1184))),""))</f>
        <v/>
      </c>
      <c r="AM1184" s="13" t="e">
        <v>#REF!</v>
      </c>
      <c r="AN1184" s="13">
        <v>0</v>
      </c>
      <c r="AP1184" s="39"/>
      <c r="AR1184" s="13" t="e">
        <v>#REF!</v>
      </c>
      <c r="AV1184" s="13" t="e">
        <v>#REF!</v>
      </c>
      <c r="AX1184" s="13" t="str">
        <f>IF(ISNUMBER(SEARCH("cancel",#REF!)),"Cancelled",IF(AND(AS1184&lt;&gt;"",AU1184&lt;&gt;"",AW1184&lt;&gt;""),"Closed","Open"))</f>
        <v>Open</v>
      </c>
      <c r="AY1184" s="15" t="str">
        <f t="shared" si="55"/>
        <v>No sailing date and No shipping advice sent and No docs dispatch date</v>
      </c>
      <c r="BD1184" s="13" t="str">
        <f>IF($AX1184="Cancelled","",IFERROR(IF(OR(AS1184="",AJ1184=""),"",(AJ1184+Variables!$B$18-AS1184)),""))</f>
        <v/>
      </c>
      <c r="BE1184" s="13" t="str">
        <f>IF($AX1184="Cancelled","",IFERROR(IF(OR(AW1184="",AS1184=""),"",(AS1184+Variables!$B$19)-AW1184),""))</f>
        <v/>
      </c>
      <c r="BF1184" s="44" t="str">
        <f>IF($AX1184="Cancelled","",IFERROR(W1184*INDEX(Variables!$B$7:$D$7,IFERROR(MATCH(IF($B1184="Robusta","Robusta",(IF($B1184="","Arabica",$B1184))&amp;" - "&amp;(IF($C1184="","Commercial",$C1184))),Variables!$B$1:$D$1,0),1))*(BE1184/365),""))</f>
        <v/>
      </c>
      <c r="BG1184" s="44">
        <f>IF($AX1184="Cancelled","",IFERROR((W1184*INDEX(Variables!$B$7:$D$7,IFERROR(MATCH(IF($B1184="Robusta","Robusta",(IF($B1184="","Arabica",$B1184))&amp;" - "&amp;(IF($C1184="","Commercial",$C1184))),Variables!$B$1:$D$1,0),1))*IFERROR(IF(AB1184="","",(AVERAGE(E1184:F1184)-AB1184)-Variables!$B$14),"")/365)+(L1184/16.67*INDEX(Variables!$B$8:$D$8,IFERROR(MATCH(IF($B1184="Robusta","Robusta",(IF($B1184="","Arabica",$B1184))&amp;" - "&amp;(IF($C1184="","Commercial",$C1184))),Variables!$B$1:$D$1,0),1))*IFERROR(IF(AB1184="","",(AVERAGE(E1184:F1184)-AB1184)-Variables!$B$14),""))+(W1184*INDEX(Variables!$B$9:$D$9,IFERROR(MATCH(IF($B1184="Robusta","Robusta",(IF($B1184="","Arabica",$B1184))&amp;" - "&amp;(IF($C1184="","Commercial",$C1184))),Variables!$B$1:$D$1,0),1))*IFERROR(IF(AB1184="","",(AVERAGE(E1184:F1184)-AB1184)-Variables!$B$14),"")/365),""))</f>
        <v>832.55387339287029</v>
      </c>
      <c r="BH1184" s="44" t="str">
        <f>IF($AX1184="Cancelled","",IFERROR((W1184*INDEX(Variables!$B$7:$D$7,IFERROR(MATCH(IF($B1184="Robusta","Robusta",(IF($B1184="","Arabica",$B1184))&amp;" - "&amp;(IF($C1184="","Commercial",$C1184))),Variables!$B$1:$D$1,0),1))*AK1184/365)+(L1184/16.67*INDEX(Variables!$B$8:$D$8,IFERROR(MATCH(IF($B1184="Robusta","Robusta",(IF($B1184="","Arabica",$B1184))&amp;" - "&amp;(IF($C1184="","Commercial",$C1184))),Variables!$B$1:$D$1,0),1))*AK1184)+(W1184*INDEX(Variables!$B$9:$D$9,IFERROR(MATCH(IF($B1184="Robusta","Robusta",(IF($B1184="","Arabica",$B1184))&amp;" - "&amp;(IF($C1184="","Commercial",$C1184))),Variables!$B$1:$D$1,0),1))*AK1184/365),""))</f>
        <v/>
      </c>
      <c r="BI1184" s="44" t="str">
        <f>IF($AX1184="Cancelled","",IFERROR((W1184*INDEX(Variables!$B$7:$D$7,IFERROR(MATCH(IF($B1184="Robusta","Robusta",(IF($B1184="","Arabica",$B1184))&amp;" - "&amp;(IF($C1184="","Commercial",$C1184))),Variables!$B$1:$D$1,0),1))*BD1184/365)+(L1184/16.67*INDEX(Variables!$B$8:$D$8,IFERROR(MATCH(IF($B1184="Robusta","Robusta",(IF($B1184="","Arabica",$B1184))&amp;" - "&amp;(IF($C1184="","Commercial",$C1184))),Variables!$B$1:$D$1,0),1))*BD1184)+(W1184*INDEX(Variables!$B$9:$D$9,IFERROR(MATCH(IF($B1184="Robusta","Robusta",(IF($B1184="","Arabica",$B1184))&amp;" - "&amp;(IF($C1184="","Commercial",$C1184))),Variables!$B$1:$D$1,0),1))*BD1184/365),""))</f>
        <v/>
      </c>
      <c r="BJ1184" s="44" t="str">
        <f t="shared" si="57"/>
        <v/>
      </c>
      <c r="BK1184" s="44" t="str">
        <f>IF($AX1184="Cancelled","",IFERROR(IF(BJ1184="","",(W1184*INDEX(Variables!$B$7:$D$7,IFERROR(MATCH(IF($B1184="Robusta","Robusta",(IF($B1184="","Arabica",$B1184))&amp;" - "&amp;(IF($C1184="","Commercial",$C1184))),Variables!$B$1:$D$1,0),1))*(BJ1184/365))+(W1184*INDEX(Variables!$B$9:$D$9,IFERROR(MATCH(IF($B1184="Robusta","Robusta",(IF($B1184="","Arabica",$B1184))&amp;" - "&amp;(IF($C1184="","Commercial",$C1184))),Variables!$B$1:$D$1,0),1))*(BJ1184/365))+(INDEX(Variables!$B$8:$D$8,IFERROR(MATCH(IF($B1184="Robusta","Robusta",(IF($B1184="","Arabica",$B1184))&amp;" - "&amp;(IF($C1184="","Commercial",$C1184))),Variables!$B$1:$D$1,0),1))*L1184/16.67)),""))</f>
        <v/>
      </c>
    </row>
    <row r="1185" spans="1:63">
      <c r="A1185" s="13" t="s">
        <v>103</v>
      </c>
      <c r="B1185" s="13" t="s">
        <v>104</v>
      </c>
      <c r="C1185" s="13" t="s">
        <v>105</v>
      </c>
      <c r="D1185" s="31">
        <v>46177</v>
      </c>
      <c r="E1185" s="31">
        <v>46235</v>
      </c>
      <c r="F1185" s="31">
        <v>46265</v>
      </c>
      <c r="G1185" s="13">
        <v>3787614</v>
      </c>
      <c r="J1185" s="13" t="s">
        <v>447</v>
      </c>
      <c r="K1185" s="13" t="s">
        <v>2921</v>
      </c>
      <c r="L1185" s="13">
        <v>200</v>
      </c>
      <c r="M1185" s="13">
        <v>1</v>
      </c>
      <c r="N1185" s="13" t="s">
        <v>2922</v>
      </c>
      <c r="O1185" s="13" t="s">
        <v>418</v>
      </c>
      <c r="P1185" s="13">
        <v>10070</v>
      </c>
      <c r="R1185" s="13" t="s">
        <v>239</v>
      </c>
      <c r="S1185" s="13" t="s">
        <v>154</v>
      </c>
      <c r="T1185" s="13" t="s">
        <v>155</v>
      </c>
      <c r="U1185" s="13" t="s">
        <v>125</v>
      </c>
      <c r="V1185" s="23">
        <v>40</v>
      </c>
      <c r="W1185" s="44">
        <f>IF($AX1185="Cancelled","",IFERROR(((V1185+INDEX(Variables!$B$6:$D$6,IFERROR(MATCH(IF($B1185="Robusta","Robusta",(IF($B1185="","Arabica",$B1185))&amp;" - "&amp;(IF($C1185="","Commercial",$C1185))),Variables!$B$1:$D$1,0),1)))*22.0462)*(L1185/16.67),""))</f>
        <v>87497.096100779832</v>
      </c>
      <c r="X1185" s="55" t="s">
        <v>37</v>
      </c>
      <c r="Y1185" s="13" t="str">
        <f>IF($AX1185="Cancelled","",IF(X1185="","",IFERROR(IF(INDEX(Variables!$B$38:$B$47,MATCH(X1185,Variables!$A$38:$A$47,0))="Yes","Yes","No"),"No")))</f>
        <v>Yes</v>
      </c>
      <c r="Z1185" s="58">
        <v>46227</v>
      </c>
      <c r="AB1185" s="31">
        <v>46247</v>
      </c>
      <c r="AC1185" s="13" t="str">
        <f t="shared" si="56"/>
        <v>Approved</v>
      </c>
      <c r="AF1185" s="71">
        <v>46254</v>
      </c>
      <c r="AG1185" s="37">
        <f>IF($AX1185="Cancelled","",IFERROR(IF(F1185="","",F1185-Variables!$B$13),""))</f>
        <v>46250</v>
      </c>
      <c r="AH1185" s="13">
        <f>IF($AX1185="Cancelled","",IFERROR(IF(AB1185="","",(AVERAGE(E1185:F1185)-AB1185)-Variables!$B$14),""))</f>
        <v>-27</v>
      </c>
      <c r="AJ1185" s="47">
        <v>46259</v>
      </c>
      <c r="AK1185" s="14">
        <f>IF($AX1185="Cancelled","",IFERROR(IF(AJ1185="","",IF(AND(AB1185="",AF1185=""),"",IF(AF1185&gt;AB1185,AF1185+Variables!$B$15+Variables!$B$16+Variables!$B$17-AJ1185,AB1185+Variables!$B$16+Variables!$B$17-AJ1185))),""))</f>
        <v>10</v>
      </c>
      <c r="AL1185" s="48" t="s">
        <v>114</v>
      </c>
      <c r="AM1185" s="13" t="s">
        <v>168</v>
      </c>
      <c r="AN1185" s="13" t="s">
        <v>1683</v>
      </c>
      <c r="AP1185" s="39">
        <v>46273</v>
      </c>
      <c r="AR1185" s="13" t="s">
        <v>2923</v>
      </c>
      <c r="AS1185" s="31">
        <v>46273</v>
      </c>
      <c r="AU1185" s="39">
        <v>46302</v>
      </c>
      <c r="AV1185" s="13" t="s">
        <v>865</v>
      </c>
      <c r="AW1185" s="39">
        <v>46302</v>
      </c>
      <c r="AX1185" s="13" t="str">
        <f>IF(ISNUMBER(SEARCH("cancel",#REF!)),"Cancelled",IF(AND(AS1185&lt;&gt;"",AU1185&lt;&gt;"",AW1185&lt;&gt;""),"Closed","Open"))</f>
        <v>Closed</v>
      </c>
      <c r="AY1185" s="25" t="str">
        <f t="shared" si="55"/>
        <v>All dates received</v>
      </c>
      <c r="AZ1185" s="13" t="s">
        <v>3053</v>
      </c>
      <c r="BA1185" s="13" t="s">
        <v>3048</v>
      </c>
      <c r="BB1185" s="13" t="s">
        <v>3049</v>
      </c>
      <c r="BC1185" s="13" t="s">
        <v>3304</v>
      </c>
      <c r="BD1185" s="13">
        <f>IF($AX1185="Cancelled","",IFERROR(IF(OR(AS1185="",AJ1185=""),"",(AJ1185+Variables!$B$18-AS1185)),""))</f>
        <v>1</v>
      </c>
      <c r="BE1185" s="13">
        <f>IF($AX1185="Cancelled","",IFERROR(IF(OR(AW1185="",AS1185=""),"",(AS1185+Variables!$B$19)-AW1185),""))</f>
        <v>-24</v>
      </c>
      <c r="BF1185" s="44">
        <f>IF($AX1185="Cancelled","",IFERROR(W1185*INDEX(Variables!$B$7:$D$7,IFERROR(MATCH(IF($B1185="Robusta","Robusta",(IF($B1185="","Arabica",$B1185))&amp;" - "&amp;(IF($C1185="","Commercial",$C1185))),Variables!$B$1:$D$1,0),1))*(BE1185/365),""))</f>
        <v>-370.98116713576138</v>
      </c>
      <c r="BG1185" s="44">
        <f>IF($AX1185="Cancelled","",IFERROR((W1185*INDEX(Variables!$B$7:$D$7,IFERROR(MATCH(IF($B1185="Robusta","Robusta",(IF($B1185="","Arabica",$B1185))&amp;" - "&amp;(IF($C1185="","Commercial",$C1185))),Variables!$B$1:$D$1,0),1))*IFERROR(IF(AB1185="","",(AVERAGE(E1185:F1185)-AB1185)-Variables!$B$14),"")/365)+(L1185/16.67*INDEX(Variables!$B$8:$D$8,IFERROR(MATCH(IF($B1185="Robusta","Robusta",(IF($B1185="","Arabica",$B1185))&amp;" - "&amp;(IF($C1185="","Commercial",$C1185))),Variables!$B$1:$D$1,0),1))*IFERROR(IF(AB1185="","",(AVERAGE(E1185:F1185)-AB1185)-Variables!$B$14),""))+(W1185*INDEX(Variables!$B$9:$D$9,IFERROR(MATCH(IF($B1185="Robusta","Robusta",(IF($B1185="","Arabica",$B1185))&amp;" - "&amp;(IF($C1185="","Commercial",$C1185))),Variables!$B$1:$D$1,0),1))*IFERROR(IF(AB1185="","",(AVERAGE(E1185:F1185)-AB1185)-Variables!$B$14),"")/365),""))</f>
        <v>-692.73430911455796</v>
      </c>
      <c r="BH1185" s="44">
        <f>IF($AX1185="Cancelled","",IFERROR((W1185*INDEX(Variables!$B$7:$D$7,IFERROR(MATCH(IF($B1185="Robusta","Robusta",(IF($B1185="","Arabica",$B1185))&amp;" - "&amp;(IF($C1185="","Commercial",$C1185))),Variables!$B$1:$D$1,0),1))*AK1185/365)+(L1185/16.67*INDEX(Variables!$B$8:$D$8,IFERROR(MATCH(IF($B1185="Robusta","Robusta",(IF($B1185="","Arabica",$B1185))&amp;" - "&amp;(IF($C1185="","Commercial",$C1185))),Variables!$B$1:$D$1,0),1))*AK1185)+(W1185*INDEX(Variables!$B$9:$D$9,IFERROR(MATCH(IF($B1185="Robusta","Robusta",(IF($B1185="","Arabica",$B1185))&amp;" - "&amp;(IF($C1185="","Commercial",$C1185))),Variables!$B$1:$D$1,0),1))*AK1185/365),""))</f>
        <v>256.56826263502148</v>
      </c>
      <c r="BI1185" s="44">
        <f>IF($AX1185="Cancelled","",IFERROR((W1185*INDEX(Variables!$B$7:$D$7,IFERROR(MATCH(IF($B1185="Robusta","Robusta",(IF($B1185="","Arabica",$B1185))&amp;" - "&amp;(IF($C1185="","Commercial",$C1185))),Variables!$B$1:$D$1,0),1))*BD1185/365)+(L1185/16.67*INDEX(Variables!$B$8:$D$8,IFERROR(MATCH(IF($B1185="Robusta","Robusta",(IF($B1185="","Arabica",$B1185))&amp;" - "&amp;(IF($C1185="","Commercial",$C1185))),Variables!$B$1:$D$1,0),1))*BD1185)+(W1185*INDEX(Variables!$B$9:$D$9,IFERROR(MATCH(IF($B1185="Robusta","Robusta",(IF($B1185="","Arabica",$B1185))&amp;" - "&amp;(IF($C1185="","Commercial",$C1185))),Variables!$B$1:$D$1,0),1))*BD1185/365),""))</f>
        <v>25.656826263502143</v>
      </c>
      <c r="BJ1185" s="44">
        <f t="shared" si="57"/>
        <v>-8</v>
      </c>
      <c r="BK1185" s="44">
        <f>IF($AX1185="Cancelled","",IFERROR(IF(BJ1185="","",(W1185*INDEX(Variables!$B$7:$D$7,IFERROR(MATCH(IF($B1185="Robusta","Robusta",(IF($B1185="","Arabica",$B1185))&amp;" - "&amp;(IF($C1185="","Commercial",$C1185))),Variables!$B$1:$D$1,0),1))*(BJ1185/365))+(W1185*INDEX(Variables!$B$9:$D$9,IFERROR(MATCH(IF($B1185="Robusta","Robusta",(IF($B1185="","Arabica",$B1185))&amp;" - "&amp;(IF($C1185="","Commercial",$C1185))),Variables!$B$1:$D$1,0),1))*(BJ1185/365))+(INDEX(Variables!$B$8:$D$8,IFERROR(MATCH(IF($B1185="Robusta","Robusta",(IF($B1185="","Arabica",$B1185))&amp;" - "&amp;(IF($C1185="","Commercial",$C1185))),Variables!$B$1:$D$1,0),1))*L1185/16.67)),""))</f>
        <v>-115.25461010801718</v>
      </c>
    </row>
    <row r="1186" spans="1:63">
      <c r="A1186" s="13" t="s">
        <v>103</v>
      </c>
      <c r="B1186" s="13" t="s">
        <v>104</v>
      </c>
      <c r="C1186" s="13" t="s">
        <v>105</v>
      </c>
      <c r="D1186" s="31">
        <v>46177</v>
      </c>
      <c r="E1186" s="31">
        <v>46235</v>
      </c>
      <c r="F1186" s="31">
        <v>46265</v>
      </c>
      <c r="G1186" s="13">
        <v>3787615</v>
      </c>
      <c r="J1186" s="13" t="s">
        <v>447</v>
      </c>
      <c r="K1186" s="13" t="s">
        <v>2924</v>
      </c>
      <c r="L1186" s="13">
        <v>120</v>
      </c>
      <c r="M1186" s="13">
        <v>0</v>
      </c>
      <c r="N1186" s="13" t="s">
        <v>2925</v>
      </c>
      <c r="O1186" s="13" t="s">
        <v>584</v>
      </c>
      <c r="P1186" s="13">
        <v>10040</v>
      </c>
      <c r="R1186" s="13" t="s">
        <v>239</v>
      </c>
      <c r="S1186" s="13" t="s">
        <v>154</v>
      </c>
      <c r="T1186" s="13" t="s">
        <v>155</v>
      </c>
      <c r="U1186" s="13" t="s">
        <v>125</v>
      </c>
      <c r="V1186" s="23">
        <v>66</v>
      </c>
      <c r="W1186" s="44">
        <f>IF($AX1186="Cancelled","",IFERROR(((V1186+INDEX(Variables!$B$6:$D$6,IFERROR(MATCH(IF($B1186="Robusta","Robusta",(IF($B1186="","Arabica",$B1186))&amp;" - "&amp;(IF($C1186="","Commercial",$C1186))),Variables!$B$1:$D$1,0),1)))*22.0462)*(L1186/16.67),""))</f>
        <v>56624.481055788834</v>
      </c>
      <c r="X1186" s="55" t="s">
        <v>37</v>
      </c>
      <c r="Y1186" s="13" t="str">
        <f>IF($AX1186="Cancelled","",IF(X1186="","",IFERROR(IF(INDEX(Variables!$B$38:$B$47,MATCH(X1186,Variables!$A$38:$A$47,0))="Yes","Yes","No"),"No")))</f>
        <v>Yes</v>
      </c>
      <c r="Z1186" s="58">
        <v>46227</v>
      </c>
      <c r="AB1186" s="31">
        <v>46232</v>
      </c>
      <c r="AC1186" s="13" t="str">
        <f t="shared" si="56"/>
        <v>Approved</v>
      </c>
      <c r="AF1186" s="71">
        <v>46251</v>
      </c>
      <c r="AG1186" s="37">
        <f>IF($AX1186="Cancelled","",IFERROR(IF(F1186="","",F1186-Variables!$B$13),""))</f>
        <v>46250</v>
      </c>
      <c r="AH1186" s="13">
        <f>IF($AX1186="Cancelled","",IFERROR(IF(AB1186="","",(AVERAGE(E1186:F1186)-AB1186)-Variables!$B$14),""))</f>
        <v>-12</v>
      </c>
      <c r="AJ1186" s="47">
        <v>46259</v>
      </c>
      <c r="AK1186" s="14">
        <f>IF($AX1186="Cancelled","",IFERROR(IF(AJ1186="","",IF(AND(AB1186="",AF1186=""),"",IF(AF1186&gt;AB1186,AF1186+Variables!$B$15+Variables!$B$16+Variables!$B$17-AJ1186,AB1186+Variables!$B$16+Variables!$B$17-AJ1186))),""))</f>
        <v>7</v>
      </c>
      <c r="AL1186" s="48" t="s">
        <v>114</v>
      </c>
      <c r="AM1186" s="13" t="s">
        <v>168</v>
      </c>
      <c r="AN1186" s="13" t="s">
        <v>1683</v>
      </c>
      <c r="AO1186" s="31">
        <v>46259</v>
      </c>
      <c r="AP1186" s="39">
        <v>46273</v>
      </c>
      <c r="AR1186" s="13" t="s">
        <v>2923</v>
      </c>
      <c r="AS1186" s="31">
        <v>46273</v>
      </c>
      <c r="AU1186" s="39">
        <v>46302</v>
      </c>
      <c r="AV1186" s="13" t="s">
        <v>865</v>
      </c>
      <c r="AW1186" s="39">
        <v>46302</v>
      </c>
      <c r="AX1186" s="13" t="str">
        <f>IF(ISNUMBER(SEARCH("cancel",#REF!)),"Cancelled",IF(AND(AS1186&lt;&gt;"",AU1186&lt;&gt;"",AW1186&lt;&gt;""),"Closed","Open"))</f>
        <v>Closed</v>
      </c>
      <c r="AY1186" s="25" t="str">
        <f t="shared" si="55"/>
        <v>All dates received</v>
      </c>
      <c r="AZ1186" s="13" t="s">
        <v>3053</v>
      </c>
      <c r="BA1186" s="13" t="s">
        <v>3048</v>
      </c>
      <c r="BB1186" s="13" t="s">
        <v>3049</v>
      </c>
      <c r="BC1186" s="13" t="s">
        <v>3304</v>
      </c>
      <c r="BD1186" s="13">
        <f>IF($AX1186="Cancelled","",IFERROR(IF(OR(AS1186="",AJ1186=""),"",(AJ1186+Variables!$B$18-AS1186)),""))</f>
        <v>1</v>
      </c>
      <c r="BE1186" s="13">
        <f>IF($AX1186="Cancelled","",IFERROR(IF(OR(AW1186="",AS1186=""),"",(AS1186+Variables!$B$19)-AW1186),""))</f>
        <v>-24</v>
      </c>
      <c r="BF1186" s="44">
        <f>IF($AX1186="Cancelled","",IFERROR(W1186*INDEX(Variables!$B$7:$D$7,IFERROR(MATCH(IF($B1186="Robusta","Robusta",(IF($B1186="","Arabica",$B1186))&amp;" - "&amp;(IF($C1186="","Commercial",$C1186))),Variables!$B$1:$D$1,0),1))*(BE1186/365),""))</f>
        <v>-240.08357998918927</v>
      </c>
      <c r="BG1186" s="44">
        <f>IF($AX1186="Cancelled","",IFERROR((W1186*INDEX(Variables!$B$7:$D$7,IFERROR(MATCH(IF($B1186="Robusta","Robusta",(IF($B1186="","Arabica",$B1186))&amp;" - "&amp;(IF($C1186="","Commercial",$C1186))),Variables!$B$1:$D$1,0),1))*IFERROR(IF(AB1186="","",(AVERAGE(E1186:F1186)-AB1186)-Variables!$B$14),"")/365)+(L1186/16.67*INDEX(Variables!$B$8:$D$8,IFERROR(MATCH(IF($B1186="Robusta","Robusta",(IF($B1186="","Arabica",$B1186))&amp;" - "&amp;(IF($C1186="","Commercial",$C1186))),Variables!$B$1:$D$1,0),1))*IFERROR(IF(AB1186="","",(AVERAGE(E1186:F1186)-AB1186)-Variables!$B$14),""))+(W1186*INDEX(Variables!$B$9:$D$9,IFERROR(MATCH(IF($B1186="Robusta","Robusta",(IF($B1186="","Arabica",$B1186))&amp;" - "&amp;(IF($C1186="","Commercial",$C1186))),Variables!$B$1:$D$1,0),1))*IFERROR(IF(AB1186="","",(AVERAGE(E1186:F1186)-AB1186)-Variables!$B$14),"")/365),""))</f>
        <v>-193.58936033218401</v>
      </c>
      <c r="BH1186" s="44">
        <f>IF($AX1186="Cancelled","",IFERROR((W1186*INDEX(Variables!$B$7:$D$7,IFERROR(MATCH(IF($B1186="Robusta","Robusta",(IF($B1186="","Arabica",$B1186))&amp;" - "&amp;(IF($C1186="","Commercial",$C1186))),Variables!$B$1:$D$1,0),1))*AK1186/365)+(L1186/16.67*INDEX(Variables!$B$8:$D$8,IFERROR(MATCH(IF($B1186="Robusta","Robusta",(IF($B1186="","Arabica",$B1186))&amp;" - "&amp;(IF($C1186="","Commercial",$C1186))),Variables!$B$1:$D$1,0),1))*AK1186)+(W1186*INDEX(Variables!$B$9:$D$9,IFERROR(MATCH(IF($B1186="Robusta","Robusta",(IF($B1186="","Arabica",$B1186))&amp;" - "&amp;(IF($C1186="","Commercial",$C1186))),Variables!$B$1:$D$1,0),1))*AK1186/365),""))</f>
        <v>112.92712686044069</v>
      </c>
      <c r="BI1186" s="44">
        <f>IF($AX1186="Cancelled","",IFERROR((W1186*INDEX(Variables!$B$7:$D$7,IFERROR(MATCH(IF($B1186="Robusta","Robusta",(IF($B1186="","Arabica",$B1186))&amp;" - "&amp;(IF($C1186="","Commercial",$C1186))),Variables!$B$1:$D$1,0),1))*BD1186/365)+(L1186/16.67*INDEX(Variables!$B$8:$D$8,IFERROR(MATCH(IF($B1186="Robusta","Robusta",(IF($B1186="","Arabica",$B1186))&amp;" - "&amp;(IF($C1186="","Commercial",$C1186))),Variables!$B$1:$D$1,0),1))*BD1186)+(W1186*INDEX(Variables!$B$9:$D$9,IFERROR(MATCH(IF($B1186="Robusta","Robusta",(IF($B1186="","Arabica",$B1186))&amp;" - "&amp;(IF($C1186="","Commercial",$C1186))),Variables!$B$1:$D$1,0),1))*BD1186/365),""))</f>
        <v>16.132446694348673</v>
      </c>
      <c r="BJ1186" s="44">
        <f t="shared" si="57"/>
        <v>-8</v>
      </c>
      <c r="BK1186" s="44">
        <f>IF($AX1186="Cancelled","",IFERROR(IF(BJ1186="","",(W1186*INDEX(Variables!$B$7:$D$7,IFERROR(MATCH(IF($B1186="Robusta","Robusta",(IF($B1186="","Arabica",$B1186))&amp;" - "&amp;(IF($C1186="","Commercial",$C1186))),Variables!$B$1:$D$1,0),1))*(BJ1186/365))+(W1186*INDEX(Variables!$B$9:$D$9,IFERROR(MATCH(IF($B1186="Robusta","Robusta",(IF($B1186="","Arabica",$B1186))&amp;" - "&amp;(IF($C1186="","Commercial",$C1186))),Variables!$B$1:$D$1,0),1))*(BJ1186/365))+(INDEX(Variables!$B$8:$D$8,IFERROR(MATCH(IF($B1186="Robusta","Robusta",(IF($B1186="","Arabica",$B1186))&amp;" - "&amp;(IF($C1186="","Commercial",$C1186))),Variables!$B$1:$D$1,0),1))*L1186/16.67)),""))</f>
        <v>-75.059573554789353</v>
      </c>
    </row>
    <row r="1187" spans="1:63">
      <c r="A1187" s="13" t="s">
        <v>103</v>
      </c>
      <c r="B1187" s="13" t="s">
        <v>104</v>
      </c>
      <c r="C1187" s="13" t="s">
        <v>292</v>
      </c>
      <c r="D1187" s="31">
        <v>46177</v>
      </c>
      <c r="E1187" s="31">
        <v>46177</v>
      </c>
      <c r="F1187" s="31">
        <v>46203</v>
      </c>
      <c r="G1187" s="13">
        <v>3787616</v>
      </c>
      <c r="J1187" s="13" t="s">
        <v>2926</v>
      </c>
      <c r="K1187" s="13" t="s">
        <v>2927</v>
      </c>
      <c r="L1187" s="13">
        <v>10</v>
      </c>
      <c r="M1187" s="13">
        <v>0</v>
      </c>
      <c r="N1187" s="13" t="s">
        <v>2928</v>
      </c>
      <c r="O1187" s="13" t="s">
        <v>771</v>
      </c>
      <c r="P1187" s="13">
        <v>10010</v>
      </c>
      <c r="R1187" s="13" t="s">
        <v>239</v>
      </c>
      <c r="S1187" s="13" t="s">
        <v>2801</v>
      </c>
      <c r="T1187" s="13" t="s">
        <v>596</v>
      </c>
      <c r="U1187" s="13" t="s">
        <v>125</v>
      </c>
      <c r="V1187" s="23">
        <v>213</v>
      </c>
      <c r="W1187" s="44">
        <f>IF($AX1187="Cancelled","",IFERROR(((V1187+INDEX(Variables!$B$6:$D$6,IFERROR(MATCH(IF($B1187="Robusta","Robusta",(IF($B1187="","Arabica",$B1187))&amp;" - "&amp;(IF($C1187="","Commercial",$C1187))),Variables!$B$1:$D$1,0),1)))*22.0462)*(L1187/16.67),""))</f>
        <v>6662.7927774445106</v>
      </c>
      <c r="Y1187" s="13" t="str">
        <f>IF($AX1187="Cancelled","",IF(X1187="","",IFERROR(IF(INDEX(Variables!$B$38:$B$47,MATCH(X1187,Variables!$A$38:$A$47,0))="Yes","Yes","No"),"No")))</f>
        <v/>
      </c>
      <c r="Z1187" s="31"/>
      <c r="AC1187" s="13" t="str">
        <f t="shared" si="56"/>
        <v/>
      </c>
      <c r="AF1187" s="71">
        <v>46192</v>
      </c>
      <c r="AG1187" s="35">
        <f>IF($AX1187="Cancelled","",IFERROR(IF(F1187="","",F1187-Variables!$B$13),""))</f>
        <v>46188</v>
      </c>
      <c r="AH1187" s="13" t="str">
        <f>IF($AX1187="Cancelled","",IFERROR(IF(AB1187="","",(AVERAGE(E1187:F1187)-AB1187)-Variables!$B$14),""))</f>
        <v/>
      </c>
      <c r="AJ1187" s="47">
        <v>46202</v>
      </c>
      <c r="AK1187" s="14">
        <f>IF($AX1187="Cancelled","",IFERROR(IF(AJ1187="","",IF(AND(AB1187="",AF1187=""),"",IF(AF1187&gt;AB1187,AF1187+Variables!$B$15+Variables!$B$16+Variables!$B$17-AJ1187,AB1187+Variables!$B$16+Variables!$B$17-AJ1187))),""))</f>
        <v>5</v>
      </c>
      <c r="AL1187" s="48" t="s">
        <v>114</v>
      </c>
      <c r="AM1187" s="13" t="s">
        <v>168</v>
      </c>
      <c r="AN1187" s="13" t="s">
        <v>2802</v>
      </c>
      <c r="AP1187" s="39" t="e">
        <v>#N/A</v>
      </c>
      <c r="AR1187" s="13" t="s">
        <v>2803</v>
      </c>
      <c r="AS1187" s="31">
        <v>46211</v>
      </c>
      <c r="AU1187" s="31">
        <v>46249</v>
      </c>
      <c r="AV1187" s="13" t="s">
        <v>865</v>
      </c>
      <c r="AW1187" s="31">
        <v>46249</v>
      </c>
      <c r="AX1187" s="13" t="str">
        <f>IF(ISNUMBER(SEARCH("cancel",#REF!)),"Cancelled",IF(AND(AS1187&lt;&gt;"",AU1187&lt;&gt;"",AW1187&lt;&gt;""),"Closed","Open"))</f>
        <v>Closed</v>
      </c>
      <c r="AY1187" s="13" t="str">
        <f t="shared" si="55"/>
        <v>All dates received</v>
      </c>
      <c r="BD1187" s="13">
        <f>IF($AX1187="Cancelled","",IFERROR(IF(OR(AS1187="",AJ1187=""),"",(AJ1187+Variables!$B$18-AS1187)),""))</f>
        <v>6</v>
      </c>
      <c r="BE1187" s="13">
        <f>IF($AX1187="Cancelled","",IFERROR(IF(OR(AW1187="",AS1187=""),"",(AS1187+Variables!$B$19)-AW1187),""))</f>
        <v>-33</v>
      </c>
      <c r="BF1187" s="44">
        <f>IF($AX1187="Cancelled","",IFERROR(W1187*INDEX(Variables!$B$7:$D$7,IFERROR(MATCH(IF($B1187="Robusta","Robusta",(IF($B1187="","Arabica",$B1187))&amp;" - "&amp;(IF($C1187="","Commercial",$C1187))),Variables!$B$1:$D$1,0),1))*(BE1187/365),""))</f>
        <v>-38.843399184419646</v>
      </c>
      <c r="BG1187" s="44" t="str">
        <f>IF($AX1187="Cancelled","",IFERROR((W1187*INDEX(Variables!$B$7:$D$7,IFERROR(MATCH(IF($B1187="Robusta","Robusta",(IF($B1187="","Arabica",$B1187))&amp;" - "&amp;(IF($C1187="","Commercial",$C1187))),Variables!$B$1:$D$1,0),1))*IFERROR(IF(AB1187="","",(AVERAGE(E1187:F1187)-AB1187)-Variables!$B$14),"")/365)+(L1187/16.67*INDEX(Variables!$B$8:$D$8,IFERROR(MATCH(IF($B1187="Robusta","Robusta",(IF($B1187="","Arabica",$B1187))&amp;" - "&amp;(IF($C1187="","Commercial",$C1187))),Variables!$B$1:$D$1,0),1))*IFERROR(IF(AB1187="","",(AVERAGE(E1187:F1187)-AB1187)-Variables!$B$14),""))+(W1187*INDEX(Variables!$B$9:$D$9,IFERROR(MATCH(IF($B1187="Robusta","Robusta",(IF($B1187="","Arabica",$B1187))&amp;" - "&amp;(IF($C1187="","Commercial",$C1187))),Variables!$B$1:$D$1,0),1))*IFERROR(IF(AB1187="","",(AVERAGE(E1187:F1187)-AB1187)-Variables!$B$14),"")/365),""))</f>
        <v/>
      </c>
      <c r="BH1187" s="44">
        <f>IF($AX1187="Cancelled","",IFERROR((W1187*INDEX(Variables!$B$7:$D$7,IFERROR(MATCH(IF($B1187="Robusta","Robusta",(IF($B1187="","Arabica",$B1187))&amp;" - "&amp;(IF($C1187="","Commercial",$C1187))),Variables!$B$1:$D$1,0),1))*AK1187/365)+(L1187/16.67*INDEX(Variables!$B$8:$D$8,IFERROR(MATCH(IF($B1187="Robusta","Robusta",(IF($B1187="","Arabica",$B1187))&amp;" - "&amp;(IF($C1187="","Commercial",$C1187))),Variables!$B$1:$D$1,0),1))*AK1187)+(W1187*INDEX(Variables!$B$9:$D$9,IFERROR(MATCH(IF($B1187="Robusta","Robusta",(IF($B1187="","Arabica",$B1187))&amp;" - "&amp;(IF($C1187="","Commercial",$C1187))),Variables!$B$1:$D$1,0),1))*AK1187/365),""))</f>
        <v>8.4612372064331787</v>
      </c>
      <c r="BI1187" s="44">
        <f>IF($AX1187="Cancelled","",IFERROR((W1187*INDEX(Variables!$B$7:$D$7,IFERROR(MATCH(IF($B1187="Robusta","Robusta",(IF($B1187="","Arabica",$B1187))&amp;" - "&amp;(IF($C1187="","Commercial",$C1187))),Variables!$B$1:$D$1,0),1))*BD1187/365)+(L1187/16.67*INDEX(Variables!$B$8:$D$8,IFERROR(MATCH(IF($B1187="Robusta","Robusta",(IF($B1187="","Arabica",$B1187))&amp;" - "&amp;(IF($C1187="","Commercial",$C1187))),Variables!$B$1:$D$1,0),1))*BD1187)+(W1187*INDEX(Variables!$B$9:$D$9,IFERROR(MATCH(IF($B1187="Robusta","Robusta",(IF($B1187="","Arabica",$B1187))&amp;" - "&amp;(IF($C1187="","Commercial",$C1187))),Variables!$B$1:$D$1,0),1))*BD1187/365),""))</f>
        <v>10.153484647719816</v>
      </c>
      <c r="BJ1187" s="44">
        <f t="shared" si="57"/>
        <v>-8</v>
      </c>
      <c r="BK1187" s="44">
        <f>IF($AX1187="Cancelled","",IFERROR(IF(BJ1187="","",(W1187*INDEX(Variables!$B$7:$D$7,IFERROR(MATCH(IF($B1187="Robusta","Robusta",(IF($B1187="","Arabica",$B1187))&amp;" - "&amp;(IF($C1187="","Commercial",$C1187))),Variables!$B$1:$D$1,0),1))*(BJ1187/365))+(W1187*INDEX(Variables!$B$9:$D$9,IFERROR(MATCH(IF($B1187="Robusta","Robusta",(IF($B1187="","Arabica",$B1187))&amp;" - "&amp;(IF($C1187="","Commercial",$C1187))),Variables!$B$1:$D$1,0),1))*(BJ1187/365))+(INDEX(Variables!$B$8:$D$8,IFERROR(MATCH(IF($B1187="Robusta","Robusta",(IF($B1187="","Arabica",$B1187))&amp;" - "&amp;(IF($C1187="","Commercial",$C1187))),Variables!$B$1:$D$1,0),1))*L1187/16.67)),""))</f>
        <v>-9.0379795302930859</v>
      </c>
    </row>
    <row r="1188" spans="1:63">
      <c r="A1188" s="13" t="s">
        <v>103</v>
      </c>
      <c r="B1188" s="13" t="s">
        <v>104</v>
      </c>
      <c r="C1188" s="13" t="s">
        <v>292</v>
      </c>
      <c r="D1188" s="31">
        <v>46177</v>
      </c>
      <c r="E1188" s="31">
        <v>46177</v>
      </c>
      <c r="F1188" s="31">
        <v>46203</v>
      </c>
      <c r="G1188" s="13">
        <v>3787617</v>
      </c>
      <c r="J1188" s="13" t="s">
        <v>2926</v>
      </c>
      <c r="K1188" s="13" t="s">
        <v>2929</v>
      </c>
      <c r="L1188" s="13">
        <v>10</v>
      </c>
      <c r="M1188" s="13">
        <v>0</v>
      </c>
      <c r="N1188" s="13" t="s">
        <v>2930</v>
      </c>
      <c r="O1188" s="13" t="s">
        <v>1054</v>
      </c>
      <c r="P1188" s="13">
        <v>10020</v>
      </c>
      <c r="R1188" s="13" t="s">
        <v>239</v>
      </c>
      <c r="S1188" s="13" t="s">
        <v>2801</v>
      </c>
      <c r="T1188" s="13" t="s">
        <v>596</v>
      </c>
      <c r="U1188" s="13" t="s">
        <v>125</v>
      </c>
      <c r="V1188" s="23">
        <v>209</v>
      </c>
      <c r="W1188" s="44">
        <f>IF($AX1188="Cancelled","",IFERROR(((V1188+INDEX(Variables!$B$6:$D$6,IFERROR(MATCH(IF($B1188="Robusta","Robusta",(IF($B1188="","Arabica",$B1188))&amp;" - "&amp;(IF($C1188="","Commercial",$C1188))),Variables!$B$1:$D$1,0),1)))*22.0462)*(L1188/16.67),""))</f>
        <v>6609.8924775044979</v>
      </c>
      <c r="Y1188" s="13" t="str">
        <f>IF($AX1188="Cancelled","",IF(X1188="","",IFERROR(IF(INDEX(Variables!$B$38:$B$47,MATCH(X1188,Variables!$A$38:$A$47,0))="Yes","Yes","No"),"No")))</f>
        <v/>
      </c>
      <c r="Z1188" s="31"/>
      <c r="AC1188" s="13" t="str">
        <f t="shared" si="56"/>
        <v/>
      </c>
      <c r="AF1188" s="71">
        <v>46192</v>
      </c>
      <c r="AG1188" s="35">
        <f>IF($AX1188="Cancelled","",IFERROR(IF(F1188="","",F1188-Variables!$B$13),""))</f>
        <v>46188</v>
      </c>
      <c r="AH1188" s="13" t="str">
        <f>IF($AX1188="Cancelled","",IFERROR(IF(AB1188="","",(AVERAGE(E1188:F1188)-AB1188)-Variables!$B$14),""))</f>
        <v/>
      </c>
      <c r="AJ1188" s="47">
        <v>46202</v>
      </c>
      <c r="AK1188" s="14">
        <f>IF($AX1188="Cancelled","",IFERROR(IF(AJ1188="","",IF(AND(AB1188="",AF1188=""),"",IF(AF1188&gt;AB1188,AF1188+Variables!$B$15+Variables!$B$16+Variables!$B$17-AJ1188,AB1188+Variables!$B$16+Variables!$B$17-AJ1188))),""))</f>
        <v>5</v>
      </c>
      <c r="AL1188" s="48" t="s">
        <v>114</v>
      </c>
      <c r="AM1188" s="13" t="s">
        <v>168</v>
      </c>
      <c r="AN1188" s="13" t="s">
        <v>2802</v>
      </c>
      <c r="AP1188" s="39" t="e">
        <v>#N/A</v>
      </c>
      <c r="AR1188" s="13" t="s">
        <v>2803</v>
      </c>
      <c r="AS1188" s="31">
        <v>46211</v>
      </c>
      <c r="AU1188" s="31">
        <v>46249</v>
      </c>
      <c r="AV1188" s="13" t="s">
        <v>865</v>
      </c>
      <c r="AW1188" s="31">
        <v>46249</v>
      </c>
      <c r="AX1188" s="13" t="str">
        <f>IF(ISNUMBER(SEARCH("cancel",#REF!)),"Cancelled",IF(AND(AS1188&lt;&gt;"",AU1188&lt;&gt;"",AW1188&lt;&gt;""),"Closed","Open"))</f>
        <v>Closed</v>
      </c>
      <c r="AY1188" s="13" t="str">
        <f t="shared" si="55"/>
        <v>All dates received</v>
      </c>
      <c r="BD1188" s="13">
        <f>IF($AX1188="Cancelled","",IFERROR(IF(OR(AS1188="",AJ1188=""),"",(AJ1188+Variables!$B$18-AS1188)),""))</f>
        <v>6</v>
      </c>
      <c r="BE1188" s="13">
        <f>IF($AX1188="Cancelled","",IFERROR(IF(OR(AW1188="",AS1188=""),"",(AS1188+Variables!$B$19)-AW1188),""))</f>
        <v>-33</v>
      </c>
      <c r="BF1188" s="44">
        <f>IF($AX1188="Cancelled","",IFERROR(W1188*INDEX(Variables!$B$7:$D$7,IFERROR(MATCH(IF($B1188="Robusta","Robusta",(IF($B1188="","Arabica",$B1188))&amp;" - "&amp;(IF($C1188="","Commercial",$C1188))),Variables!$B$1:$D$1,0),1))*(BE1188/365),""))</f>
        <v>-38.534995856238467</v>
      </c>
      <c r="BG1188" s="44" t="str">
        <f>IF($AX1188="Cancelled","",IFERROR((W1188*INDEX(Variables!$B$7:$D$7,IFERROR(MATCH(IF($B1188="Robusta","Robusta",(IF($B1188="","Arabica",$B1188))&amp;" - "&amp;(IF($C1188="","Commercial",$C1188))),Variables!$B$1:$D$1,0),1))*IFERROR(IF(AB1188="","",(AVERAGE(E1188:F1188)-AB1188)-Variables!$B$14),"")/365)+(L1188/16.67*INDEX(Variables!$B$8:$D$8,IFERROR(MATCH(IF($B1188="Robusta","Robusta",(IF($B1188="","Arabica",$B1188))&amp;" - "&amp;(IF($C1188="","Commercial",$C1188))),Variables!$B$1:$D$1,0),1))*IFERROR(IF(AB1188="","",(AVERAGE(E1188:F1188)-AB1188)-Variables!$B$14),""))+(W1188*INDEX(Variables!$B$9:$D$9,IFERROR(MATCH(IF($B1188="Robusta","Robusta",(IF($B1188="","Arabica",$B1188))&amp;" - "&amp;(IF($C1188="","Commercial",$C1188))),Variables!$B$1:$D$1,0),1))*IFERROR(IF(AB1188="","",(AVERAGE(E1188:F1188)-AB1188)-Variables!$B$14),"")/365),""))</f>
        <v/>
      </c>
      <c r="BH1188" s="44">
        <f>IF($AX1188="Cancelled","",IFERROR((W1188*INDEX(Variables!$B$7:$D$7,IFERROR(MATCH(IF($B1188="Robusta","Robusta",(IF($B1188="","Arabica",$B1188))&amp;" - "&amp;(IF($C1188="","Commercial",$C1188))),Variables!$B$1:$D$1,0),1))*AK1188/365)+(L1188/16.67*INDEX(Variables!$B$8:$D$8,IFERROR(MATCH(IF($B1188="Robusta","Robusta",(IF($B1188="","Arabica",$B1188))&amp;" - "&amp;(IF($C1188="","Commercial",$C1188))),Variables!$B$1:$D$1,0),1))*AK1188)+(W1188*INDEX(Variables!$B$9:$D$9,IFERROR(MATCH(IF($B1188="Robusta","Robusta",(IF($B1188="","Arabica",$B1188))&amp;" - "&amp;(IF($C1188="","Commercial",$C1188))),Variables!$B$1:$D$1,0),1))*AK1188/365),""))</f>
        <v>8.4139070182121927</v>
      </c>
      <c r="BI1188" s="44">
        <f>IF($AX1188="Cancelled","",IFERROR((W1188*INDEX(Variables!$B$7:$D$7,IFERROR(MATCH(IF($B1188="Robusta","Robusta",(IF($B1188="","Arabica",$B1188))&amp;" - "&amp;(IF($C1188="","Commercial",$C1188))),Variables!$B$1:$D$1,0),1))*BD1188/365)+(L1188/16.67*INDEX(Variables!$B$8:$D$8,IFERROR(MATCH(IF($B1188="Robusta","Robusta",(IF($B1188="","Arabica",$B1188))&amp;" - "&amp;(IF($C1188="","Commercial",$C1188))),Variables!$B$1:$D$1,0),1))*BD1188)+(W1188*INDEX(Variables!$B$9:$D$9,IFERROR(MATCH(IF($B1188="Robusta","Robusta",(IF($B1188="","Arabica",$B1188))&amp;" - "&amp;(IF($C1188="","Commercial",$C1188))),Variables!$B$1:$D$1,0),1))*BD1188/365),""))</f>
        <v>10.096688421854632</v>
      </c>
      <c r="BJ1188" s="44">
        <f t="shared" si="57"/>
        <v>-8</v>
      </c>
      <c r="BK1188" s="44">
        <f>IF($AX1188="Cancelled","",IFERROR(IF(BJ1188="","",(W1188*INDEX(Variables!$B$7:$D$7,IFERROR(MATCH(IF($B1188="Robusta","Robusta",(IF($B1188="","Arabica",$B1188))&amp;" - "&amp;(IF($C1188="","Commercial",$C1188))),Variables!$B$1:$D$1,0),1))*(BJ1188/365))+(W1188*INDEX(Variables!$B$9:$D$9,IFERROR(MATCH(IF($B1188="Robusta","Robusta",(IF($B1188="","Arabica",$B1188))&amp;" - "&amp;(IF($C1188="","Commercial",$C1188))),Variables!$B$1:$D$1,0),1))*(BJ1188/365))+(INDEX(Variables!$B$8:$D$8,IFERROR(MATCH(IF($B1188="Robusta","Robusta",(IF($B1188="","Arabica",$B1188))&amp;" - "&amp;(IF($C1188="","Commercial",$C1188))),Variables!$B$1:$D$1,0),1))*L1188/16.67)),""))</f>
        <v>-8.9622512291395093</v>
      </c>
    </row>
    <row r="1189" spans="1:63" s="33" customFormat="1">
      <c r="A1189" s="33" t="s">
        <v>103</v>
      </c>
      <c r="B1189" s="13" t="s">
        <v>104</v>
      </c>
      <c r="C1189" s="13" t="s">
        <v>105</v>
      </c>
      <c r="D1189" s="31">
        <v>46177</v>
      </c>
      <c r="E1189" s="31">
        <v>46266</v>
      </c>
      <c r="F1189" s="31">
        <v>46295</v>
      </c>
      <c r="G1189" s="33">
        <v>3787618</v>
      </c>
      <c r="H1189" s="13"/>
      <c r="I1189" s="13"/>
      <c r="J1189" s="13" t="s">
        <v>506</v>
      </c>
      <c r="K1189" s="13">
        <v>5635</v>
      </c>
      <c r="L1189" s="13">
        <v>320</v>
      </c>
      <c r="M1189" s="13">
        <v>1</v>
      </c>
      <c r="N1189" s="13" t="s">
        <v>2931</v>
      </c>
      <c r="O1189" s="13" t="s">
        <v>418</v>
      </c>
      <c r="P1189" s="13">
        <v>10070</v>
      </c>
      <c r="Q1189" s="13"/>
      <c r="R1189" s="13" t="s">
        <v>239</v>
      </c>
      <c r="S1189" s="13" t="s">
        <v>509</v>
      </c>
      <c r="T1189" s="13" t="s">
        <v>329</v>
      </c>
      <c r="U1189" s="13" t="s">
        <v>330</v>
      </c>
      <c r="V1189" s="23">
        <v>40</v>
      </c>
      <c r="W1189" s="44">
        <f>IF($AX1189="Cancelled","",IFERROR(((V1189+INDEX(Variables!$B$6:$D$6,IFERROR(MATCH(IF($B1189="Robusta","Robusta",(IF($B1189="","Arabica",$B1189))&amp;" - "&amp;(IF($C1189="","Commercial",$C1189))),Variables!$B$1:$D$1,0),1)))*22.0462)*(L1189/16.67),""))</f>
        <v>139995.35376124774</v>
      </c>
      <c r="X1189" s="55" t="s">
        <v>37</v>
      </c>
      <c r="Y1189" s="13" t="str">
        <f>IF($AX1189="Cancelled","",IF(X1189="","",IFERROR(IF(INDEX(Variables!$B$38:$B$47,MATCH(X1189,Variables!$A$38:$A$47,0))="Yes","Yes","No"),"No")))</f>
        <v>Yes</v>
      </c>
      <c r="Z1189" s="58">
        <v>46231</v>
      </c>
      <c r="AA1189" s="13"/>
      <c r="AB1189" s="31">
        <v>46268</v>
      </c>
      <c r="AC1189" s="13" t="str">
        <f t="shared" si="56"/>
        <v>Approved</v>
      </c>
      <c r="AD1189" s="31">
        <v>46224</v>
      </c>
      <c r="AE1189" s="31"/>
      <c r="AF1189" s="71">
        <v>46267</v>
      </c>
      <c r="AG1189" s="37">
        <f>IF($AX1189="Cancelled","",IFERROR(IF(F1189="","",F1189-Variables!$B$13),""))</f>
        <v>46280</v>
      </c>
      <c r="AH1189" s="13">
        <f>IF($AX1189="Cancelled","",IFERROR(IF(AB1189="","",(AVERAGE(E1189:F1189)-AB1189)-Variables!$B$14),""))</f>
        <v>-17.5</v>
      </c>
      <c r="AI1189" s="13"/>
      <c r="AJ1189" s="47">
        <v>46268</v>
      </c>
      <c r="AK1189" s="14">
        <f>IF($AX1189="Cancelled","",IFERROR(IF(AJ1189="","",IF(AND(AB1189="",AF1189=""),"",IF(AF1189&gt;AB1189,AF1189+Variables!$B$15+Variables!$B$16+Variables!$B$17-AJ1189,AB1189+Variables!$B$16+Variables!$B$17-AJ1189))),""))</f>
        <v>8</v>
      </c>
      <c r="AL1189" s="48" t="s">
        <v>114</v>
      </c>
      <c r="AM1189" s="33" t="s">
        <v>115</v>
      </c>
      <c r="AN1189" s="33" t="s">
        <v>2932</v>
      </c>
      <c r="AO1189" s="39">
        <v>46260</v>
      </c>
      <c r="AP1189" s="39">
        <v>46278</v>
      </c>
      <c r="AQ1189" s="39">
        <v>46307</v>
      </c>
      <c r="AR1189" s="33">
        <v>276052013</v>
      </c>
      <c r="AS1189" s="39">
        <v>46278</v>
      </c>
      <c r="AT1189" s="39"/>
      <c r="AU1189" s="39">
        <v>46296</v>
      </c>
      <c r="AV1189" s="33" t="s">
        <v>865</v>
      </c>
      <c r="AW1189" s="39">
        <v>46296</v>
      </c>
      <c r="AX1189" s="33" t="str">
        <f>IF(ISNUMBER(SEARCH("cancel",#REF!)),"Cancelled",IF(AND(AS1189&lt;&gt;"",AU1189&lt;&gt;"",AW1189&lt;&gt;""),"Closed","Open"))</f>
        <v>Closed</v>
      </c>
      <c r="AY1189" s="25" t="str">
        <f t="shared" si="55"/>
        <v>All dates received</v>
      </c>
      <c r="BD1189" s="33">
        <f>IF($AX1189="Cancelled","",IFERROR(IF(OR(AS1189="",AJ1189=""),"",(AJ1189+Variables!$B$18-AS1189)),""))</f>
        <v>5</v>
      </c>
      <c r="BE1189" s="33">
        <f>IF($AX1189="Cancelled","",IFERROR(IF(OR(AW1189="",AS1189=""),"",(AS1189+Variables!$B$19)-AW1189),""))</f>
        <v>-13</v>
      </c>
      <c r="BF1189" s="43">
        <f>IF($AX1189="Cancelled","",IFERROR(W1189*INDEX(Variables!$B$7:$D$7,IFERROR(MATCH(IF($B1189="Robusta","Robusta",(IF($B1189="","Arabica",$B1189))&amp;" - "&amp;(IF($C1189="","Commercial",$C1189))),Variables!$B$1:$D$1,0),1))*(BE1189/365),""))</f>
        <v>-321.51701151765991</v>
      </c>
      <c r="BG1189" s="43">
        <f>IF($AX1189="Cancelled","",IFERROR((W1189*INDEX(Variables!$B$7:$D$7,IFERROR(MATCH(IF($B1189="Robusta","Robusta",(IF($B1189="","Arabica",$B1189))&amp;" - "&amp;(IF($C1189="","Commercial",$C1189))),Variables!$B$1:$D$1,0),1))*IFERROR(IF(AB1189="","",(AVERAGE(E1189:F1189)-AB1189)-Variables!$B$14),"")/365)+(L1189/16.67*INDEX(Variables!$B$8:$D$8,IFERROR(MATCH(IF($B1189="Robusta","Robusta",(IF($B1189="","Arabica",$B1189))&amp;" - "&amp;(IF($C1189="","Commercial",$C1189))),Variables!$B$1:$D$1,0),1))*IFERROR(IF(AB1189="","",(AVERAGE(E1189:F1189)-AB1189)-Variables!$B$14),""))+(W1189*INDEX(Variables!$B$9:$D$9,IFERROR(MATCH(IF($B1189="Robusta","Robusta",(IF($B1189="","Arabica",$B1189))&amp;" - "&amp;(IF($C1189="","Commercial",$C1189))),Variables!$B$1:$D$1,0),1))*IFERROR(IF(AB1189="","",(AVERAGE(E1189:F1189)-AB1189)-Variables!$B$14),"")/365),""))</f>
        <v>-718.3911353780602</v>
      </c>
      <c r="BH1189" s="43">
        <f>IF($AX1189="Cancelled","",IFERROR((W1189*INDEX(Variables!$B$7:$D$7,IFERROR(MATCH(IF($B1189="Robusta","Robusta",(IF($B1189="","Arabica",$B1189))&amp;" - "&amp;(IF($C1189="","Commercial",$C1189))),Variables!$B$1:$D$1,0),1))*AK1189/365)+(L1189/16.67*INDEX(Variables!$B$8:$D$8,IFERROR(MATCH(IF($B1189="Robusta","Robusta",(IF($B1189="","Arabica",$B1189))&amp;" - "&amp;(IF($C1189="","Commercial",$C1189))),Variables!$B$1:$D$1,0),1))*AK1189)+(W1189*INDEX(Variables!$B$9:$D$9,IFERROR(MATCH(IF($B1189="Robusta","Robusta",(IF($B1189="","Arabica",$B1189))&amp;" - "&amp;(IF($C1189="","Commercial",$C1189))),Variables!$B$1:$D$1,0),1))*AK1189/365),""))</f>
        <v>328.40737617282747</v>
      </c>
      <c r="BI1189" s="43">
        <f>IF($AX1189="Cancelled","",IFERROR((W1189*INDEX(Variables!$B$7:$D$7,IFERROR(MATCH(IF($B1189="Robusta","Robusta",(IF($B1189="","Arabica",$B1189))&amp;" - "&amp;(IF($C1189="","Commercial",$C1189))),Variables!$B$1:$D$1,0),1))*BD1189/365)+(L1189/16.67*INDEX(Variables!$B$8:$D$8,IFERROR(MATCH(IF($B1189="Robusta","Robusta",(IF($B1189="","Arabica",$B1189))&amp;" - "&amp;(IF($C1189="","Commercial",$C1189))),Variables!$B$1:$D$1,0),1))*BD1189)+(W1189*INDEX(Variables!$B$9:$D$9,IFERROR(MATCH(IF($B1189="Robusta","Robusta",(IF($B1189="","Arabica",$B1189))&amp;" - "&amp;(IF($C1189="","Commercial",$C1189))),Variables!$B$1:$D$1,0),1))*BD1189/365),""))</f>
        <v>205.25461010801715</v>
      </c>
      <c r="BJ1189" s="43">
        <f t="shared" si="57"/>
        <v>17</v>
      </c>
      <c r="BK1189" s="43">
        <f>IF($AX1189="Cancelled","",IFERROR(IF(BJ1189="","",(W1189*INDEX(Variables!$B$7:$D$7,IFERROR(MATCH(IF($B1189="Robusta","Robusta",(IF($B1189="","Arabica",$B1189))&amp;" - "&amp;(IF($C1189="","Commercial",$C1189))),Variables!$B$1:$D$1,0),1))*(BJ1189/365))+(W1189*INDEX(Variables!$B$9:$D$9,IFERROR(MATCH(IF($B1189="Robusta","Robusta",(IF($B1189="","Arabica",$B1189))&amp;" - "&amp;(IF($C1189="","Commercial",$C1189))),Variables!$B$1:$D$1,0),1))*(BJ1189/365))+(INDEX(Variables!$B$8:$D$8,IFERROR(MATCH(IF($B1189="Robusta","Robusta",(IF($B1189="","Arabica",$B1189))&amp;" - "&amp;(IF($C1189="","Commercial",$C1189))),Variables!$B$1:$D$1,0),1))*L1189/16.67)),""))</f>
        <v>441.86567436725846</v>
      </c>
    </row>
    <row r="1190" spans="1:63">
      <c r="A1190" s="13" t="s">
        <v>103</v>
      </c>
      <c r="B1190" s="13" t="s">
        <v>104</v>
      </c>
      <c r="C1190" s="13" t="s">
        <v>292</v>
      </c>
      <c r="D1190" s="31">
        <v>46177</v>
      </c>
      <c r="E1190" s="31">
        <v>46177</v>
      </c>
      <c r="F1190" s="31">
        <v>46203</v>
      </c>
      <c r="G1190" s="13">
        <v>3787619</v>
      </c>
      <c r="J1190" s="13" t="s">
        <v>2926</v>
      </c>
      <c r="K1190" s="13" t="s">
        <v>2933</v>
      </c>
      <c r="L1190" s="13">
        <v>10</v>
      </c>
      <c r="M1190" s="13">
        <v>0</v>
      </c>
      <c r="N1190" s="13" t="s">
        <v>2934</v>
      </c>
      <c r="O1190" s="13" t="s">
        <v>771</v>
      </c>
      <c r="P1190" s="13">
        <v>10010</v>
      </c>
      <c r="R1190" s="13" t="s">
        <v>239</v>
      </c>
      <c r="S1190" s="13" t="s">
        <v>2801</v>
      </c>
      <c r="T1190" s="13" t="s">
        <v>596</v>
      </c>
      <c r="U1190" s="13" t="s">
        <v>125</v>
      </c>
      <c r="V1190" s="23">
        <v>211</v>
      </c>
      <c r="W1190" s="44">
        <f>IF($AX1190="Cancelled","",IFERROR(((V1190+INDEX(Variables!$B$6:$D$6,IFERROR(MATCH(IF($B1190="Robusta","Robusta",(IF($B1190="","Arabica",$B1190))&amp;" - "&amp;(IF($C1190="","Commercial",$C1190))),Variables!$B$1:$D$1,0),1)))*22.0462)*(L1190/16.67),""))</f>
        <v>6636.3426274745043</v>
      </c>
      <c r="Y1190" s="13" t="str">
        <f>IF($AX1190="Cancelled","",IF(X1190="","",IFERROR(IF(INDEX(Variables!$B$38:$B$47,MATCH(X1190,Variables!$A$38:$A$47,0))="Yes","Yes","No"),"No")))</f>
        <v/>
      </c>
      <c r="Z1190" s="31"/>
      <c r="AC1190" s="13" t="str">
        <f t="shared" si="56"/>
        <v/>
      </c>
      <c r="AF1190" s="71">
        <v>46191</v>
      </c>
      <c r="AG1190" s="35">
        <f>IF($AX1190="Cancelled","",IFERROR(IF(F1190="","",F1190-Variables!$B$13),""))</f>
        <v>46188</v>
      </c>
      <c r="AH1190" s="13" t="str">
        <f>IF($AX1190="Cancelled","",IFERROR(IF(AB1190="","",(AVERAGE(E1190:F1190)-AB1190)-Variables!$B$14),""))</f>
        <v/>
      </c>
      <c r="AJ1190" s="47">
        <v>46202</v>
      </c>
      <c r="AK1190" s="14">
        <f>IF($AX1190="Cancelled","",IFERROR(IF(AJ1190="","",IF(AND(AB1190="",AF1190=""),"",IF(AF1190&gt;AB1190,AF1190+Variables!$B$15+Variables!$B$16+Variables!$B$17-AJ1190,AB1190+Variables!$B$16+Variables!$B$17-AJ1190))),""))</f>
        <v>4</v>
      </c>
      <c r="AL1190" s="48" t="s">
        <v>114</v>
      </c>
      <c r="AM1190" s="13" t="s">
        <v>168</v>
      </c>
      <c r="AN1190" s="13" t="s">
        <v>2802</v>
      </c>
      <c r="AP1190" s="39" t="e">
        <v>#N/A</v>
      </c>
      <c r="AR1190" s="13" t="s">
        <v>2803</v>
      </c>
      <c r="AS1190" s="31">
        <v>46211</v>
      </c>
      <c r="AU1190" s="31">
        <v>46249</v>
      </c>
      <c r="AV1190" s="13" t="s">
        <v>865</v>
      </c>
      <c r="AW1190" s="31">
        <v>46249</v>
      </c>
      <c r="AX1190" s="13" t="str">
        <f>IF(ISNUMBER(SEARCH("cancel",#REF!)),"Cancelled",IF(AND(AS1190&lt;&gt;"",AU1190&lt;&gt;"",AW1190&lt;&gt;""),"Closed","Open"))</f>
        <v>Closed</v>
      </c>
      <c r="AY1190" s="13" t="str">
        <f t="shared" si="55"/>
        <v>All dates received</v>
      </c>
      <c r="BD1190" s="13">
        <f>IF($AX1190="Cancelled","",IFERROR(IF(OR(AS1190="",AJ1190=""),"",(AJ1190+Variables!$B$18-AS1190)),""))</f>
        <v>6</v>
      </c>
      <c r="BE1190" s="13">
        <f>IF($AX1190="Cancelled","",IFERROR(IF(OR(AW1190="",AS1190=""),"",(AS1190+Variables!$B$19)-AW1190),""))</f>
        <v>-33</v>
      </c>
      <c r="BF1190" s="44">
        <f>IF($AX1190="Cancelled","",IFERROR(W1190*INDEX(Variables!$B$7:$D$7,IFERROR(MATCH(IF($B1190="Robusta","Robusta",(IF($B1190="","Arabica",$B1190))&amp;" - "&amp;(IF($C1190="","Commercial",$C1190))),Variables!$B$1:$D$1,0),1))*(BE1190/365),""))</f>
        <v>-38.689197520329053</v>
      </c>
      <c r="BG1190" s="44" t="str">
        <f>IF($AX1190="Cancelled","",IFERROR((W1190*INDEX(Variables!$B$7:$D$7,IFERROR(MATCH(IF($B1190="Robusta","Robusta",(IF($B1190="","Arabica",$B1190))&amp;" - "&amp;(IF($C1190="","Commercial",$C1190))),Variables!$B$1:$D$1,0),1))*IFERROR(IF(AB1190="","",(AVERAGE(E1190:F1190)-AB1190)-Variables!$B$14),"")/365)+(L1190/16.67*INDEX(Variables!$B$8:$D$8,IFERROR(MATCH(IF($B1190="Robusta","Robusta",(IF($B1190="","Arabica",$B1190))&amp;" - "&amp;(IF($C1190="","Commercial",$C1190))),Variables!$B$1:$D$1,0),1))*IFERROR(IF(AB1190="","",(AVERAGE(E1190:F1190)-AB1190)-Variables!$B$14),""))+(W1190*INDEX(Variables!$B$9:$D$9,IFERROR(MATCH(IF($B1190="Robusta","Robusta",(IF($B1190="","Arabica",$B1190))&amp;" - "&amp;(IF($C1190="","Commercial",$C1190))),Variables!$B$1:$D$1,0),1))*IFERROR(IF(AB1190="","",(AVERAGE(E1190:F1190)-AB1190)-Variables!$B$14),"")/365),""))</f>
        <v/>
      </c>
      <c r="BH1190" s="44">
        <f>IF($AX1190="Cancelled","",IFERROR((W1190*INDEX(Variables!$B$7:$D$7,IFERROR(MATCH(IF($B1190="Robusta","Robusta",(IF($B1190="","Arabica",$B1190))&amp;" - "&amp;(IF($C1190="","Commercial",$C1190))),Variables!$B$1:$D$1,0),1))*AK1190/365)+(L1190/16.67*INDEX(Variables!$B$8:$D$8,IFERROR(MATCH(IF($B1190="Robusta","Robusta",(IF($B1190="","Arabica",$B1190))&amp;" - "&amp;(IF($C1190="","Commercial",$C1190))),Variables!$B$1:$D$1,0),1))*AK1190)+(W1190*INDEX(Variables!$B$9:$D$9,IFERROR(MATCH(IF($B1190="Robusta","Robusta",(IF($B1190="","Arabica",$B1190))&amp;" - "&amp;(IF($C1190="","Commercial",$C1190))),Variables!$B$1:$D$1,0),1))*AK1190/365),""))</f>
        <v>6.7500576898581484</v>
      </c>
      <c r="BI1190" s="44">
        <f>IF($AX1190="Cancelled","",IFERROR((W1190*INDEX(Variables!$B$7:$D$7,IFERROR(MATCH(IF($B1190="Robusta","Robusta",(IF($B1190="","Arabica",$B1190))&amp;" - "&amp;(IF($C1190="","Commercial",$C1190))),Variables!$B$1:$D$1,0),1))*BD1190/365)+(L1190/16.67*INDEX(Variables!$B$8:$D$8,IFERROR(MATCH(IF($B1190="Robusta","Robusta",(IF($B1190="","Arabica",$B1190))&amp;" - "&amp;(IF($C1190="","Commercial",$C1190))),Variables!$B$1:$D$1,0),1))*BD1190)+(W1190*INDEX(Variables!$B$9:$D$9,IFERROR(MATCH(IF($B1190="Robusta","Robusta",(IF($B1190="","Arabica",$B1190))&amp;" - "&amp;(IF($C1190="","Commercial",$C1190))),Variables!$B$1:$D$1,0),1))*BD1190/365),""))</f>
        <v>10.125086534787224</v>
      </c>
      <c r="BJ1190" s="44">
        <f t="shared" si="57"/>
        <v>-8</v>
      </c>
      <c r="BK1190" s="44">
        <f>IF($AX1190="Cancelled","",IFERROR(IF(BJ1190="","",(W1190*INDEX(Variables!$B$7:$D$7,IFERROR(MATCH(IF($B1190="Robusta","Robusta",(IF($B1190="","Arabica",$B1190))&amp;" - "&amp;(IF($C1190="","Commercial",$C1190))),Variables!$B$1:$D$1,0),1))*(BJ1190/365))+(W1190*INDEX(Variables!$B$9:$D$9,IFERROR(MATCH(IF($B1190="Robusta","Robusta",(IF($B1190="","Arabica",$B1190))&amp;" - "&amp;(IF($C1190="","Commercial",$C1190))),Variables!$B$1:$D$1,0),1))*(BJ1190/365))+(INDEX(Variables!$B$8:$D$8,IFERROR(MATCH(IF($B1190="Robusta","Robusta",(IF($B1190="","Arabica",$B1190))&amp;" - "&amp;(IF($C1190="","Commercial",$C1190))),Variables!$B$1:$D$1,0),1))*L1190/16.67)),""))</f>
        <v>-9.0001153797162967</v>
      </c>
    </row>
    <row r="1191" spans="1:63">
      <c r="A1191" s="13" t="s">
        <v>103</v>
      </c>
      <c r="B1191" s="13" t="s">
        <v>104</v>
      </c>
      <c r="C1191" s="13" t="s">
        <v>105</v>
      </c>
      <c r="D1191" s="31">
        <v>46178</v>
      </c>
      <c r="E1191" s="31">
        <v>46235</v>
      </c>
      <c r="F1191" s="31">
        <v>46265</v>
      </c>
      <c r="G1191" s="13">
        <v>3787620</v>
      </c>
      <c r="J1191" s="13" t="s">
        <v>236</v>
      </c>
      <c r="K1191" s="13">
        <v>5609</v>
      </c>
      <c r="L1191" s="13">
        <v>320</v>
      </c>
      <c r="M1191" s="13">
        <v>1</v>
      </c>
      <c r="N1191" s="13" t="s">
        <v>2935</v>
      </c>
      <c r="O1191" s="13" t="s">
        <v>418</v>
      </c>
      <c r="P1191" s="13">
        <v>10070</v>
      </c>
      <c r="R1191" s="13" t="s">
        <v>239</v>
      </c>
      <c r="S1191" s="13" t="s">
        <v>2190</v>
      </c>
      <c r="T1191" s="13" t="s">
        <v>253</v>
      </c>
      <c r="U1191" s="13" t="s">
        <v>182</v>
      </c>
      <c r="V1191" s="23">
        <v>37</v>
      </c>
      <c r="W1191" s="44">
        <f>IF($AX1191="Cancelled","",IFERROR(((V1191+INDEX(Variables!$B$6:$D$6,IFERROR(MATCH(IF($B1191="Robusta","Robusta",(IF($B1191="","Arabica",$B1191))&amp;" - "&amp;(IF($C1191="","Commercial",$C1191))),Variables!$B$1:$D$1,0),1)))*22.0462)*(L1191/16.67),""))</f>
        <v>138725.74656268745</v>
      </c>
      <c r="X1191" s="55" t="s">
        <v>37</v>
      </c>
      <c r="Y1191" s="13" t="str">
        <f>IF($AX1191="Cancelled","",IF(X1191="","",IFERROR(IF(INDEX(Variables!$B$38:$B$47,MATCH(X1191,Variables!$A$38:$A$47,0))="Yes","Yes","No"),"No")))</f>
        <v>Yes</v>
      </c>
      <c r="Z1191" s="58">
        <v>46224</v>
      </c>
      <c r="AB1191" s="31">
        <v>46237</v>
      </c>
      <c r="AC1191" s="13" t="str">
        <f t="shared" si="56"/>
        <v>Approved</v>
      </c>
      <c r="AF1191" s="71">
        <v>46251</v>
      </c>
      <c r="AG1191" s="37">
        <f>IF($AX1191="Cancelled","",IFERROR(IF(F1191="","",F1191-Variables!$B$13),""))</f>
        <v>46250</v>
      </c>
      <c r="AH1191" s="13">
        <f>IF($AX1191="Cancelled","",IFERROR(IF(AB1191="","",(AVERAGE(E1191:F1191)-AB1191)-Variables!$B$14),""))</f>
        <v>-17</v>
      </c>
      <c r="AJ1191" s="47">
        <v>46252</v>
      </c>
      <c r="AK1191" s="14">
        <f>IF($AX1191="Cancelled","",IFERROR(IF(AJ1191="","",IF(AND(AB1191="",AF1191=""),"",IF(AF1191&gt;AB1191,AF1191+Variables!$B$15+Variables!$B$16+Variables!$B$17-AJ1191,AB1191+Variables!$B$16+Variables!$B$17-AJ1191))),""))</f>
        <v>14</v>
      </c>
      <c r="AL1191" s="48" t="s">
        <v>114</v>
      </c>
      <c r="AM1191" s="13" t="s">
        <v>1482</v>
      </c>
      <c r="AN1191" s="13" t="s">
        <v>2936</v>
      </c>
      <c r="AP1191" s="39">
        <v>46268</v>
      </c>
      <c r="AR1191" s="13" t="s">
        <v>2937</v>
      </c>
      <c r="AS1191" s="31">
        <v>46268</v>
      </c>
      <c r="AU1191" s="39">
        <v>46286</v>
      </c>
      <c r="AV1191" s="13" t="s">
        <v>865</v>
      </c>
      <c r="AW1191" s="39">
        <v>46286</v>
      </c>
      <c r="AX1191" s="13" t="str">
        <f>IF(ISNUMBER(SEARCH("cancel",#REF!)),"Cancelled",IF(AND(AS1191&lt;&gt;"",AU1191&lt;&gt;"",AW1191&lt;&gt;""),"Closed","Open"))</f>
        <v>Closed</v>
      </c>
      <c r="AY1191" s="25" t="str">
        <f t="shared" si="55"/>
        <v>All dates received</v>
      </c>
      <c r="AZ1191" s="13" t="s">
        <v>3053</v>
      </c>
      <c r="BA1191" s="13" t="s">
        <v>3048</v>
      </c>
      <c r="BB1191" s="13" t="s">
        <v>3049</v>
      </c>
      <c r="BC1191" s="13" t="s">
        <v>3048</v>
      </c>
      <c r="BD1191" s="13">
        <f>IF($AX1191="Cancelled","",IFERROR(IF(OR(AS1191="",AJ1191=""),"",(AJ1191+Variables!$B$18-AS1191)),""))</f>
        <v>-1</v>
      </c>
      <c r="BE1191" s="13">
        <f>IF($AX1191="Cancelled","",IFERROR(IF(OR(AW1191="",AS1191=""),"",(AS1191+Variables!$B$19)-AW1191),""))</f>
        <v>-13</v>
      </c>
      <c r="BF1191" s="44">
        <f>IF($AX1191="Cancelled","",IFERROR(W1191*INDEX(Variables!$B$7:$D$7,IFERROR(MATCH(IF($B1191="Robusta","Robusta",(IF($B1191="","Arabica",$B1191))&amp;" - "&amp;(IF($C1191="","Commercial",$C1191))),Variables!$B$1:$D$1,0),1))*(BE1191/365),""))</f>
        <v>-318.60119823303785</v>
      </c>
      <c r="BG1191" s="44">
        <f>IF($AX1191="Cancelled","",IFERROR((W1191*INDEX(Variables!$B$7:$D$7,IFERROR(MATCH(IF($B1191="Robusta","Robusta",(IF($B1191="","Arabica",$B1191))&amp;" - "&amp;(IF($C1191="","Commercial",$C1191))),Variables!$B$1:$D$1,0),1))*IFERROR(IF(AB1191="","",(AVERAGE(E1191:F1191)-AB1191)-Variables!$B$14),"")/365)+(L1191/16.67*INDEX(Variables!$B$8:$D$8,IFERROR(MATCH(IF($B1191="Robusta","Robusta",(IF($B1191="","Arabica",$B1191))&amp;" - "&amp;(IF($C1191="","Commercial",$C1191))),Variables!$B$1:$D$1,0),1))*IFERROR(IF(AB1191="","",(AVERAGE(E1191:F1191)-AB1191)-Variables!$B$14),""))+(W1191*INDEX(Variables!$B$9:$D$9,IFERROR(MATCH(IF($B1191="Robusta","Robusta",(IF($B1191="","Arabica",$B1191))&amp;" - "&amp;(IF($C1191="","Commercial",$C1191))),Variables!$B$1:$D$1,0),1))*IFERROR(IF(AB1191="","",(AVERAGE(E1191:F1191)-AB1191)-Variables!$B$14),"")/365),""))</f>
        <v>-694.00353100842597</v>
      </c>
      <c r="BH1191" s="44">
        <f>IF($AX1191="Cancelled","",IFERROR((W1191*INDEX(Variables!$B$7:$D$7,IFERROR(MATCH(IF($B1191="Robusta","Robusta",(IF($B1191="","Arabica",$B1191))&amp;" - "&amp;(IF($C1191="","Commercial",$C1191))),Variables!$B$1:$D$1,0),1))*AK1191/365)+(L1191/16.67*INDEX(Variables!$B$8:$D$8,IFERROR(MATCH(IF($B1191="Robusta","Robusta",(IF($B1191="","Arabica",$B1191))&amp;" - "&amp;(IF($C1191="","Commercial",$C1191))),Variables!$B$1:$D$1,0),1))*AK1191)+(W1191*INDEX(Variables!$B$9:$D$9,IFERROR(MATCH(IF($B1191="Robusta","Robusta",(IF($B1191="","Arabica",$B1191))&amp;" - "&amp;(IF($C1191="","Commercial",$C1191))),Variables!$B$1:$D$1,0),1))*AK1191/365),""))</f>
        <v>571.53231965399789</v>
      </c>
      <c r="BI1191" s="44">
        <f>IF($AX1191="Cancelled","",IFERROR((W1191*INDEX(Variables!$B$7:$D$7,IFERROR(MATCH(IF($B1191="Robusta","Robusta",(IF($B1191="","Arabica",$B1191))&amp;" - "&amp;(IF($C1191="","Commercial",$C1191))),Variables!$B$1:$D$1,0),1))*BD1191/365)+(L1191/16.67*INDEX(Variables!$B$8:$D$8,IFERROR(MATCH(IF($B1191="Robusta","Robusta",(IF($B1191="","Arabica",$B1191))&amp;" - "&amp;(IF($C1191="","Commercial",$C1191))),Variables!$B$1:$D$1,0),1))*BD1191)+(W1191*INDEX(Variables!$B$9:$D$9,IFERROR(MATCH(IF($B1191="Robusta","Robusta",(IF($B1191="","Arabica",$B1191))&amp;" - "&amp;(IF($C1191="","Commercial",$C1191))),Variables!$B$1:$D$1,0),1))*BD1191/365),""))</f>
        <v>-40.823737118142702</v>
      </c>
      <c r="BJ1191" s="44">
        <f t="shared" si="57"/>
        <v>-3</v>
      </c>
      <c r="BK1191" s="44">
        <f>IF($AX1191="Cancelled","",IFERROR(IF(BJ1191="","",(W1191*INDEX(Variables!$B$7:$D$7,IFERROR(MATCH(IF($B1191="Robusta","Robusta",(IF($B1191="","Arabica",$B1191))&amp;" - "&amp;(IF($C1191="","Commercial",$C1191))),Variables!$B$1:$D$1,0),1))*(BJ1191/365))+(W1191*INDEX(Variables!$B$9:$D$9,IFERROR(MATCH(IF($B1191="Robusta","Robusta",(IF($B1191="","Arabica",$B1191))&amp;" - "&amp;(IF($C1191="","Commercial",$C1191))),Variables!$B$1:$D$1,0),1))*(BJ1191/365))+(INDEX(Variables!$B$8:$D$8,IFERROR(MATCH(IF($B1191="Robusta","Robusta",(IF($B1191="","Arabica",$B1191))&amp;" - "&amp;(IF($C1191="","Commercial",$C1191))),Variables!$B$1:$D$1,0),1))*L1191/16.67)),""))</f>
        <v>-58.471211354428107</v>
      </c>
    </row>
    <row r="1192" spans="1:63" s="33" customFormat="1">
      <c r="A1192" s="33" t="s">
        <v>103</v>
      </c>
      <c r="B1192" s="13" t="s">
        <v>104</v>
      </c>
      <c r="C1192" s="13" t="s">
        <v>105</v>
      </c>
      <c r="D1192" s="31">
        <v>46178</v>
      </c>
      <c r="E1192" s="31">
        <v>46266</v>
      </c>
      <c r="F1192" s="31">
        <v>46295</v>
      </c>
      <c r="G1192" s="33">
        <v>3787621</v>
      </c>
      <c r="H1192" s="13">
        <v>5625</v>
      </c>
      <c r="I1192" s="13"/>
      <c r="J1192" s="13" t="s">
        <v>236</v>
      </c>
      <c r="K1192" s="13">
        <v>5625</v>
      </c>
      <c r="L1192" s="13">
        <v>320</v>
      </c>
      <c r="M1192" s="13">
        <v>1</v>
      </c>
      <c r="N1192" s="13" t="s">
        <v>120</v>
      </c>
      <c r="O1192" s="13" t="s">
        <v>418</v>
      </c>
      <c r="P1192" s="13">
        <v>10070</v>
      </c>
      <c r="Q1192" s="13"/>
      <c r="R1192" s="13" t="s">
        <v>110</v>
      </c>
      <c r="S1192" s="13" t="s">
        <v>288</v>
      </c>
      <c r="T1192" s="13" t="s">
        <v>289</v>
      </c>
      <c r="U1192" s="13" t="s">
        <v>182</v>
      </c>
      <c r="V1192" s="23">
        <v>37</v>
      </c>
      <c r="W1192" s="44">
        <f>IF($AX1192="Cancelled","",IFERROR(((V1192+INDEX(Variables!$B$6:$D$6,IFERROR(MATCH(IF($B1192="Robusta","Robusta",(IF($B1192="","Arabica",$B1192))&amp;" - "&amp;(IF($C1192="","Commercial",$C1192))),Variables!$B$1:$D$1,0),1)))*22.0462)*(L1192/16.67),""))</f>
        <v>138725.74656268745</v>
      </c>
      <c r="X1192" s="55" t="s">
        <v>37</v>
      </c>
      <c r="Y1192" s="13" t="str">
        <f>IF($AX1192="Cancelled","",IF(X1192="","",IFERROR(IF(INDEX(Variables!$B$38:$B$47,MATCH(X1192,Variables!$A$38:$A$47,0))="Yes","Yes","No"),"No")))</f>
        <v>Yes</v>
      </c>
      <c r="Z1192" s="58">
        <v>46252</v>
      </c>
      <c r="AA1192" s="13"/>
      <c r="AB1192" s="31">
        <v>46260</v>
      </c>
      <c r="AC1192" s="13" t="str">
        <f t="shared" si="56"/>
        <v>Approved</v>
      </c>
      <c r="AD1192" s="31">
        <v>46247</v>
      </c>
      <c r="AE1192" s="31"/>
      <c r="AF1192" s="71">
        <v>46258</v>
      </c>
      <c r="AG1192" s="37">
        <f>IF($AX1192="Cancelled","",IFERROR(IF(F1192="","",F1192-Variables!$B$13),""))</f>
        <v>46280</v>
      </c>
      <c r="AH1192" s="13">
        <f>IF($AX1192="Cancelled","",IFERROR(IF(AB1192="","",(AVERAGE(E1192:F1192)-AB1192)-Variables!$B$14),""))</f>
        <v>-9.5</v>
      </c>
      <c r="AI1192" s="13"/>
      <c r="AJ1192" s="47">
        <v>46272</v>
      </c>
      <c r="AK1192" s="14">
        <f>IF($AX1192="Cancelled","",IFERROR(IF(AJ1192="","",IF(AND(AB1192="",AF1192=""),"",IF(AF1192&gt;AB1192,AF1192+Variables!$B$15+Variables!$B$16+Variables!$B$17-AJ1192,AB1192+Variables!$B$16+Variables!$B$17-AJ1192))),""))</f>
        <v>-4</v>
      </c>
      <c r="AL1192" s="48" t="s">
        <v>114</v>
      </c>
      <c r="AM1192" s="33" t="s">
        <v>1784</v>
      </c>
      <c r="AN1192" s="33" t="s">
        <v>2938</v>
      </c>
      <c r="AO1192" s="39">
        <v>46280</v>
      </c>
      <c r="AP1192" s="39">
        <v>46289</v>
      </c>
      <c r="AQ1192" s="39">
        <v>46329</v>
      </c>
      <c r="AR1192" s="33" t="s">
        <v>2939</v>
      </c>
      <c r="AS1192" s="39">
        <v>46289</v>
      </c>
      <c r="AT1192" s="39"/>
      <c r="AU1192" s="39">
        <v>46304</v>
      </c>
      <c r="AV1192" s="73">
        <v>1525336842</v>
      </c>
      <c r="AW1192" s="39">
        <v>46311</v>
      </c>
      <c r="AX1192" s="33" t="str">
        <f>IF(ISNUMBER(SEARCH("cancel",#REF!)),"Cancelled",IF(AND(AS1192&lt;&gt;"",AU1192&lt;&gt;"",AW1192&lt;&gt;""),"Closed","Open"))</f>
        <v>Closed</v>
      </c>
      <c r="AY1192" s="25" t="str">
        <f t="shared" si="55"/>
        <v>All dates received</v>
      </c>
      <c r="BD1192" s="33">
        <f>IF($AX1192="Cancelled","",IFERROR(IF(OR(AS1192="",AJ1192=""),"",(AJ1192+Variables!$B$18-AS1192)),""))</f>
        <v>-2</v>
      </c>
      <c r="BE1192" s="33">
        <f>IF($AX1192="Cancelled","",IFERROR(IF(OR(AW1192="",AS1192=""),"",(AS1192+Variables!$B$19)-AW1192),""))</f>
        <v>-17</v>
      </c>
      <c r="BF1192" s="43">
        <f>IF($AX1192="Cancelled","",IFERROR(W1192*INDEX(Variables!$B$7:$D$7,IFERROR(MATCH(IF($B1192="Robusta","Robusta",(IF($B1192="","Arabica",$B1192))&amp;" - "&amp;(IF($C1192="","Commercial",$C1192))),Variables!$B$1:$D$1,0),1))*(BE1192/365),""))</f>
        <v>-416.6323361508957</v>
      </c>
      <c r="BG1192" s="43">
        <f>IF($AX1192="Cancelled","",IFERROR((W1192*INDEX(Variables!$B$7:$D$7,IFERROR(MATCH(IF($B1192="Robusta","Robusta",(IF($B1192="","Arabica",$B1192))&amp;" - "&amp;(IF($C1192="","Commercial",$C1192))),Variables!$B$1:$D$1,0),1))*IFERROR(IF(AB1192="","",(AVERAGE(E1192:F1192)-AB1192)-Variables!$B$14),"")/365)+(L1192/16.67*INDEX(Variables!$B$8:$D$8,IFERROR(MATCH(IF($B1192="Robusta","Robusta",(IF($B1192="","Arabica",$B1192))&amp;" - "&amp;(IF($C1192="","Commercial",$C1192))),Variables!$B$1:$D$1,0),1))*IFERROR(IF(AB1192="","",(AVERAGE(E1192:F1192)-AB1192)-Variables!$B$14),""))+(W1192*INDEX(Variables!$B$9:$D$9,IFERROR(MATCH(IF($B1192="Robusta","Robusta",(IF($B1192="","Arabica",$B1192))&amp;" - "&amp;(IF($C1192="","Commercial",$C1192))),Variables!$B$1:$D$1,0),1))*IFERROR(IF(AB1192="","",(AVERAGE(E1192:F1192)-AB1192)-Variables!$B$14),"")/365),""))</f>
        <v>-387.82550262235571</v>
      </c>
      <c r="BH1192" s="43">
        <f>IF($AX1192="Cancelled","",IFERROR((W1192*INDEX(Variables!$B$7:$D$7,IFERROR(MATCH(IF($B1192="Robusta","Robusta",(IF($B1192="","Arabica",$B1192))&amp;" - "&amp;(IF($C1192="","Commercial",$C1192))),Variables!$B$1:$D$1,0),1))*AK1192/365)+(L1192/16.67*INDEX(Variables!$B$8:$D$8,IFERROR(MATCH(IF($B1192="Robusta","Robusta",(IF($B1192="","Arabica",$B1192))&amp;" - "&amp;(IF($C1192="","Commercial",$C1192))),Variables!$B$1:$D$1,0),1))*AK1192)+(W1192*INDEX(Variables!$B$9:$D$9,IFERROR(MATCH(IF($B1192="Robusta","Robusta",(IF($B1192="","Arabica",$B1192))&amp;" - "&amp;(IF($C1192="","Commercial",$C1192))),Variables!$B$1:$D$1,0),1))*AK1192/365),""))</f>
        <v>-163.29494847257081</v>
      </c>
      <c r="BI1192" s="43">
        <f>IF($AX1192="Cancelled","",IFERROR((W1192*INDEX(Variables!$B$7:$D$7,IFERROR(MATCH(IF($B1192="Robusta","Robusta",(IF($B1192="","Arabica",$B1192))&amp;" - "&amp;(IF($C1192="","Commercial",$C1192))),Variables!$B$1:$D$1,0),1))*BD1192/365)+(L1192/16.67*INDEX(Variables!$B$8:$D$8,IFERROR(MATCH(IF($B1192="Robusta","Robusta",(IF($B1192="","Arabica",$B1192))&amp;" - "&amp;(IF($C1192="","Commercial",$C1192))),Variables!$B$1:$D$1,0),1))*BD1192)+(W1192*INDEX(Variables!$B$9:$D$9,IFERROR(MATCH(IF($B1192="Robusta","Robusta",(IF($B1192="","Arabica",$B1192))&amp;" - "&amp;(IF($C1192="","Commercial",$C1192))),Variables!$B$1:$D$1,0),1))*BD1192/365),""))</f>
        <v>-81.647474236285404</v>
      </c>
      <c r="BJ1192" s="43">
        <f t="shared" si="57"/>
        <v>6</v>
      </c>
      <c r="BK1192" s="43">
        <f>IF($AX1192="Cancelled","",IFERROR(IF(BJ1192="","",(W1192*INDEX(Variables!$B$7:$D$7,IFERROR(MATCH(IF($B1192="Robusta","Robusta",(IF($B1192="","Arabica",$B1192))&amp;" - "&amp;(IF($C1192="","Commercial",$C1192))),Variables!$B$1:$D$1,0),1))*(BJ1192/365))+(W1192*INDEX(Variables!$B$9:$D$9,IFERROR(MATCH(IF($B1192="Robusta","Robusta",(IF($B1192="","Arabica",$B1192))&amp;" - "&amp;(IF($C1192="","Commercial",$C1192))),Variables!$B$1:$D$1,0),1))*(BJ1192/365))+(INDEX(Variables!$B$8:$D$8,IFERROR(MATCH(IF($B1192="Robusta","Robusta",(IF($B1192="","Arabica",$B1192))&amp;" - "&amp;(IF($C1192="","Commercial",$C1192))),Variables!$B$1:$D$1,0),1))*L1192/16.67)),""))</f>
        <v>164.94242270885621</v>
      </c>
    </row>
    <row r="1193" spans="1:63">
      <c r="A1193" s="13" t="s">
        <v>103</v>
      </c>
      <c r="B1193" s="13" t="s">
        <v>104</v>
      </c>
      <c r="C1193" s="13" t="s">
        <v>105</v>
      </c>
      <c r="D1193" s="31">
        <v>46181</v>
      </c>
      <c r="E1193" s="31">
        <v>46235</v>
      </c>
      <c r="F1193" s="31">
        <v>46265</v>
      </c>
      <c r="G1193" s="13">
        <v>3787622</v>
      </c>
      <c r="J1193" s="13" t="s">
        <v>2535</v>
      </c>
      <c r="K1193" s="13">
        <v>5632</v>
      </c>
      <c r="L1193" s="13">
        <v>1920</v>
      </c>
      <c r="M1193" s="13">
        <v>6</v>
      </c>
      <c r="N1193" s="13" t="s">
        <v>2940</v>
      </c>
      <c r="O1193" s="13" t="s">
        <v>109</v>
      </c>
      <c r="P1193" s="13">
        <v>10080</v>
      </c>
      <c r="R1193" s="13" t="s">
        <v>239</v>
      </c>
      <c r="S1193" s="13" t="s">
        <v>288</v>
      </c>
      <c r="T1193" s="13" t="s">
        <v>289</v>
      </c>
      <c r="U1193" s="13" t="s">
        <v>182</v>
      </c>
      <c r="V1193" s="23">
        <v>38</v>
      </c>
      <c r="W1193" s="44">
        <f>IF($AX1193="Cancelled","",IFERROR(((V1193+INDEX(Variables!$B$6:$D$6,IFERROR(MATCH(IF($B1193="Robusta","Robusta",(IF($B1193="","Arabica",$B1193))&amp;" - "&amp;(IF($C1193="","Commercial",$C1193))),Variables!$B$1:$D$1,0),1)))*22.0462)*(L1193/16.67),""))</f>
        <v>834893.69377324521</v>
      </c>
      <c r="X1193" s="55" t="s">
        <v>37</v>
      </c>
      <c r="Y1193" s="13" t="str">
        <f>IF($AX1193="Cancelled","",IF(X1193="","",IFERROR(IF(INDEX(Variables!$B$38:$B$47,MATCH(X1193,Variables!$A$38:$A$47,0))="Yes","Yes","No"),"No")))</f>
        <v>Yes</v>
      </c>
      <c r="Z1193" s="58">
        <v>46227</v>
      </c>
      <c r="AB1193" s="31">
        <v>46252</v>
      </c>
      <c r="AC1193" s="13" t="str">
        <f t="shared" si="56"/>
        <v>Approved</v>
      </c>
      <c r="AF1193" s="71">
        <v>46268</v>
      </c>
      <c r="AG1193" s="37">
        <f>IF($AX1193="Cancelled","",IFERROR(IF(F1193="","",F1193-Variables!$B$13),""))</f>
        <v>46250</v>
      </c>
      <c r="AH1193" s="13">
        <f>IF($AX1193="Cancelled","",IFERROR(IF(AB1193="","",(AVERAGE(E1193:F1193)-AB1193)-Variables!$B$14),""))</f>
        <v>-32</v>
      </c>
      <c r="AJ1193" s="47">
        <v>46276</v>
      </c>
      <c r="AK1193" s="14">
        <f>IF($AX1193="Cancelled","",IFERROR(IF(AJ1193="","",IF(AND(AB1193="",AF1193=""),"",IF(AF1193&gt;AB1193,AF1193+Variables!$B$15+Variables!$B$16+Variables!$B$17-AJ1193,AB1193+Variables!$B$16+Variables!$B$17-AJ1193))),""))</f>
        <v>7</v>
      </c>
      <c r="AL1193" s="48" t="s">
        <v>114</v>
      </c>
      <c r="AM1193" s="13" t="s">
        <v>1848</v>
      </c>
      <c r="AN1193" s="13" t="s">
        <v>2941</v>
      </c>
      <c r="AP1193" s="39">
        <v>46289</v>
      </c>
      <c r="AR1193" s="13" t="s">
        <v>2942</v>
      </c>
      <c r="AS1193" s="31">
        <v>46289</v>
      </c>
      <c r="AU1193" s="39">
        <v>46302</v>
      </c>
      <c r="AV1193" s="13" t="s">
        <v>865</v>
      </c>
      <c r="AW1193" s="39">
        <v>46302</v>
      </c>
      <c r="AX1193" s="13" t="str">
        <f>IF(ISNUMBER(SEARCH("cancel",#REF!)),"Cancelled",IF(AND(AS1193&lt;&gt;"",AU1193&lt;&gt;"",AW1193&lt;&gt;""),"Closed","Open"))</f>
        <v>Closed</v>
      </c>
      <c r="AY1193" s="25" t="str">
        <f t="shared" si="55"/>
        <v>All dates received</v>
      </c>
      <c r="AZ1193" s="13" t="s">
        <v>3050</v>
      </c>
      <c r="BA1193" s="13" t="s">
        <v>3065</v>
      </c>
      <c r="BB1193" s="13" t="s">
        <v>3052</v>
      </c>
      <c r="BC1193" s="13" t="s">
        <v>3305</v>
      </c>
      <c r="BD1193" s="13">
        <f>IF($AX1193="Cancelled","",IFERROR(IF(OR(AS1193="",AJ1193=""),"",(AJ1193+Variables!$B$18-AS1193)),""))</f>
        <v>2</v>
      </c>
      <c r="BE1193" s="13">
        <f>IF($AX1193="Cancelled","",IFERROR(IF(OR(AW1193="",AS1193=""),"",(AS1193+Variables!$B$19)-AW1193),""))</f>
        <v>-8</v>
      </c>
      <c r="BF1193" s="44">
        <f>IF($AX1193="Cancelled","",IFERROR(W1193*INDEX(Variables!$B$7:$D$7,IFERROR(MATCH(IF($B1193="Robusta","Robusta",(IF($B1193="","Arabica",$B1193))&amp;" - "&amp;(IF($C1193="","Commercial",$C1193))),Variables!$B$1:$D$1,0),1))*(BE1193/365),""))</f>
        <v>-1179.9623482876746</v>
      </c>
      <c r="BG1193" s="44">
        <f>IF($AX1193="Cancelled","",IFERROR((W1193*INDEX(Variables!$B$7:$D$7,IFERROR(MATCH(IF($B1193="Robusta","Robusta",(IF($B1193="","Arabica",$B1193))&amp;" - "&amp;(IF($C1193="","Commercial",$C1193))),Variables!$B$1:$D$1,0),1))*IFERROR(IF(AB1193="","",(AVERAGE(E1193:F1193)-AB1193)-Variables!$B$14),"")/365)+(L1193/16.67*INDEX(Variables!$B$8:$D$8,IFERROR(MATCH(IF($B1193="Robusta","Robusta",(IF($B1193="","Arabica",$B1193))&amp;" - "&amp;(IF($C1193="","Commercial",$C1193))),Variables!$B$1:$D$1,0),1))*IFERROR(IF(AB1193="","",(AVERAGE(E1193:F1193)-AB1193)-Variables!$B$14),""))+(W1193*INDEX(Variables!$B$9:$D$9,IFERROR(MATCH(IF($B1193="Robusta","Robusta",(IF($B1193="","Arabica",$B1193))&amp;" - "&amp;(IF($C1193="","Commercial",$C1193))),Variables!$B$1:$D$1,0),1))*IFERROR(IF(AB1193="","",(AVERAGE(E1193:F1193)-AB1193)-Variables!$B$14),"")/365),""))</f>
        <v>-7852.6973605048852</v>
      </c>
      <c r="BH1193" s="44">
        <f>IF($AX1193="Cancelled","",IFERROR((W1193*INDEX(Variables!$B$7:$D$7,IFERROR(MATCH(IF($B1193="Robusta","Robusta",(IF($B1193="","Arabica",$B1193))&amp;" - "&amp;(IF($C1193="","Commercial",$C1193))),Variables!$B$1:$D$1,0),1))*AK1193/365)+(L1193/16.67*INDEX(Variables!$B$8:$D$8,IFERROR(MATCH(IF($B1193="Robusta","Robusta",(IF($B1193="","Arabica",$B1193))&amp;" - "&amp;(IF($C1193="","Commercial",$C1193))),Variables!$B$1:$D$1,0),1))*AK1193)+(W1193*INDEX(Variables!$B$9:$D$9,IFERROR(MATCH(IF($B1193="Robusta","Robusta",(IF($B1193="","Arabica",$B1193))&amp;" - "&amp;(IF($C1193="","Commercial",$C1193))),Variables!$B$1:$D$1,0),1))*AK1193/365),""))</f>
        <v>1717.7775476104437</v>
      </c>
      <c r="BI1193" s="44">
        <f>IF($AX1193="Cancelled","",IFERROR((W1193*INDEX(Variables!$B$7:$D$7,IFERROR(MATCH(IF($B1193="Robusta","Robusta",(IF($B1193="","Arabica",$B1193))&amp;" - "&amp;(IF($C1193="","Commercial",$C1193))),Variables!$B$1:$D$1,0),1))*BD1193/365)+(L1193/16.67*INDEX(Variables!$B$8:$D$8,IFERROR(MATCH(IF($B1193="Robusta","Robusta",(IF($B1193="","Arabica",$B1193))&amp;" - "&amp;(IF($C1193="","Commercial",$C1193))),Variables!$B$1:$D$1,0),1))*BD1193)+(W1193*INDEX(Variables!$B$9:$D$9,IFERROR(MATCH(IF($B1193="Robusta","Robusta",(IF($B1193="","Arabica",$B1193))&amp;" - "&amp;(IF($C1193="","Commercial",$C1193))),Variables!$B$1:$D$1,0),1))*BD1193/365),""))</f>
        <v>490.79358503155532</v>
      </c>
      <c r="BJ1193" s="44">
        <f t="shared" si="57"/>
        <v>-24</v>
      </c>
      <c r="BK1193" s="44">
        <f>IF($AX1193="Cancelled","",IFERROR(IF(BJ1193="","",(W1193*INDEX(Variables!$B$7:$D$7,IFERROR(MATCH(IF($B1193="Robusta","Robusta",(IF($B1193="","Arabica",$B1193))&amp;" - "&amp;(IF($C1193="","Commercial",$C1193))),Variables!$B$1:$D$1,0),1))*(BJ1193/365))+(W1193*INDEX(Variables!$B$9:$D$9,IFERROR(MATCH(IF($B1193="Robusta","Robusta",(IF($B1193="","Arabica",$B1193))&amp;" - "&amp;(IF($C1193="","Commercial",$C1193))),Variables!$B$1:$D$1,0),1))*(BJ1193/365))+(INDEX(Variables!$B$8:$D$8,IFERROR(MATCH(IF($B1193="Robusta","Robusta",(IF($B1193="","Arabica",$B1193))&amp;" - "&amp;(IF($C1193="","Commercial",$C1193))),Variables!$B$1:$D$1,0),1))*L1193/16.67)),""))</f>
        <v>-3489.5230203786637</v>
      </c>
    </row>
    <row r="1194" spans="1:63" s="33" customFormat="1">
      <c r="A1194" s="33" t="s">
        <v>103</v>
      </c>
      <c r="B1194" s="13" t="s">
        <v>104</v>
      </c>
      <c r="C1194" s="13" t="s">
        <v>105</v>
      </c>
      <c r="D1194" s="31">
        <v>46181</v>
      </c>
      <c r="E1194" s="31">
        <v>46266</v>
      </c>
      <c r="F1194" s="31">
        <v>46295</v>
      </c>
      <c r="G1194" s="33">
        <v>3787623</v>
      </c>
      <c r="H1194" s="13"/>
      <c r="I1194" s="13"/>
      <c r="J1194" s="13" t="s">
        <v>2535</v>
      </c>
      <c r="K1194" s="13">
        <v>5647</v>
      </c>
      <c r="L1194" s="13">
        <v>1920</v>
      </c>
      <c r="M1194" s="13">
        <v>6</v>
      </c>
      <c r="N1194" s="13" t="s">
        <v>2940</v>
      </c>
      <c r="O1194" s="13" t="s">
        <v>109</v>
      </c>
      <c r="P1194" s="13">
        <v>10080</v>
      </c>
      <c r="Q1194" s="13"/>
      <c r="R1194" s="13" t="s">
        <v>239</v>
      </c>
      <c r="S1194" s="13" t="s">
        <v>288</v>
      </c>
      <c r="T1194" s="13" t="s">
        <v>289</v>
      </c>
      <c r="U1194" s="13" t="s">
        <v>182</v>
      </c>
      <c r="V1194" s="23">
        <v>38</v>
      </c>
      <c r="W1194" s="44">
        <f>IF($AX1194="Cancelled","",IFERROR(((V1194+INDEX(Variables!$B$6:$D$6,IFERROR(MATCH(IF($B1194="Robusta","Robusta",(IF($B1194="","Arabica",$B1194))&amp;" - "&amp;(IF($C1194="","Commercial",$C1194))),Variables!$B$1:$D$1,0),1)))*22.0462)*(L1194/16.67),""))</f>
        <v>834893.69377324521</v>
      </c>
      <c r="X1194" s="55" t="s">
        <v>37</v>
      </c>
      <c r="Y1194" s="13" t="str">
        <f>IF($AX1194="Cancelled","",IF(X1194="","",IFERROR(IF(INDEX(Variables!$B$38:$B$47,MATCH(X1194,Variables!$A$38:$A$47,0))="Yes","Yes","No"),"No")))</f>
        <v>Yes</v>
      </c>
      <c r="Z1194" s="58">
        <v>46255</v>
      </c>
      <c r="AA1194" s="13"/>
      <c r="AB1194" s="31">
        <v>46283</v>
      </c>
      <c r="AC1194" s="13" t="str">
        <f t="shared" si="56"/>
        <v>Approved</v>
      </c>
      <c r="AD1194" s="31">
        <v>46274</v>
      </c>
      <c r="AE1194" s="31"/>
      <c r="AF1194" s="71">
        <v>46283</v>
      </c>
      <c r="AG1194" s="37">
        <f>IF($AX1194="Cancelled","",IFERROR(IF(F1194="","",F1194-Variables!$B$13),""))</f>
        <v>46280</v>
      </c>
      <c r="AH1194" s="13">
        <f>IF($AX1194="Cancelled","",IFERROR(IF(AB1194="","",(AVERAGE(E1194:F1194)-AB1194)-Variables!$B$14),""))</f>
        <v>-32.5</v>
      </c>
      <c r="AI1194" s="13"/>
      <c r="AJ1194" s="47">
        <v>46283</v>
      </c>
      <c r="AK1194" s="14">
        <f>IF($AX1194="Cancelled","",IFERROR(IF(AJ1194="","",IF(AND(AB1194="",AF1194=""),"",IF(AF1194&gt;AB1194,AF1194+Variables!$B$15+Variables!$B$16+Variables!$B$17-AJ1194,AB1194+Variables!$B$16+Variables!$B$17-AJ1194))),""))</f>
        <v>8</v>
      </c>
      <c r="AL1194" s="48" t="s">
        <v>114</v>
      </c>
      <c r="AM1194" s="33" t="s">
        <v>1848</v>
      </c>
      <c r="AN1194" s="33" t="s">
        <v>2943</v>
      </c>
      <c r="AO1194" s="39">
        <v>46281</v>
      </c>
      <c r="AP1194" s="39">
        <v>46292</v>
      </c>
      <c r="AQ1194" s="39">
        <v>46323</v>
      </c>
      <c r="AR1194" s="33" t="s">
        <v>2944</v>
      </c>
      <c r="AS1194" s="39">
        <v>46294</v>
      </c>
      <c r="AT1194" s="39"/>
      <c r="AU1194" s="39">
        <v>46310</v>
      </c>
      <c r="AV1194" s="33">
        <v>5019440705</v>
      </c>
      <c r="AW1194" s="39">
        <v>46310</v>
      </c>
      <c r="AX1194" s="33" t="str">
        <f>IF(ISNUMBER(SEARCH("cancel",#REF!)),"Cancelled",IF(AND(AS1194&lt;&gt;"",AU1194&lt;&gt;"",AW1194&lt;&gt;""),"Closed","Open"))</f>
        <v>Closed</v>
      </c>
      <c r="AY1194" s="25" t="str">
        <f t="shared" si="55"/>
        <v>All dates received</v>
      </c>
      <c r="BD1194" s="33">
        <f>IF($AX1194="Cancelled","",IFERROR(IF(OR(AS1194="",AJ1194=""),"",(AJ1194+Variables!$B$18-AS1194)),""))</f>
        <v>4</v>
      </c>
      <c r="BE1194" s="33">
        <f>IF($AX1194="Cancelled","",IFERROR(IF(OR(AW1194="",AS1194=""),"",(AS1194+Variables!$B$19)-AW1194),""))</f>
        <v>-11</v>
      </c>
      <c r="BF1194" s="43">
        <f>IF($AX1194="Cancelled","",IFERROR(W1194*INDEX(Variables!$B$7:$D$7,IFERROR(MATCH(IF($B1194="Robusta","Robusta",(IF($B1194="","Arabica",$B1194))&amp;" - "&amp;(IF($C1194="","Commercial",$C1194))),Variables!$B$1:$D$1,0),1))*(BE1194/365),""))</f>
        <v>-1622.4482288955526</v>
      </c>
      <c r="BG1194" s="43">
        <f>IF($AX1194="Cancelled","",IFERROR((W1194*INDEX(Variables!$B$7:$D$7,IFERROR(MATCH(IF($B1194="Robusta","Robusta",(IF($B1194="","Arabica",$B1194))&amp;" - "&amp;(IF($C1194="","Commercial",$C1194))),Variables!$B$1:$D$1,0),1))*IFERROR(IF(AB1194="","",(AVERAGE(E1194:F1194)-AB1194)-Variables!$B$14),"")/365)+(L1194/16.67*INDEX(Variables!$B$8:$D$8,IFERROR(MATCH(IF($B1194="Robusta","Robusta",(IF($B1194="","Arabica",$B1194))&amp;" - "&amp;(IF($C1194="","Commercial",$C1194))),Variables!$B$1:$D$1,0),1))*IFERROR(IF(AB1194="","",(AVERAGE(E1194:F1194)-AB1194)-Variables!$B$14),""))+(W1194*INDEX(Variables!$B$9:$D$9,IFERROR(MATCH(IF($B1194="Robusta","Robusta",(IF($B1194="","Arabica",$B1194))&amp;" - "&amp;(IF($C1194="","Commercial",$C1194))),Variables!$B$1:$D$1,0),1))*IFERROR(IF(AB1194="","",(AVERAGE(E1194:F1194)-AB1194)-Variables!$B$14),"")/365),""))</f>
        <v>-7975.3957567627749</v>
      </c>
      <c r="BH1194" s="43">
        <f>IF($AX1194="Cancelled","",IFERROR((W1194*INDEX(Variables!$B$7:$D$7,IFERROR(MATCH(IF($B1194="Robusta","Robusta",(IF($B1194="","Arabica",$B1194))&amp;" - "&amp;(IF($C1194="","Commercial",$C1194))),Variables!$B$1:$D$1,0),1))*AK1194/365)+(L1194/16.67*INDEX(Variables!$B$8:$D$8,IFERROR(MATCH(IF($B1194="Robusta","Robusta",(IF($B1194="","Arabica",$B1194))&amp;" - "&amp;(IF($C1194="","Commercial",$C1194))),Variables!$B$1:$D$1,0),1))*AK1194)+(W1194*INDEX(Variables!$B$9:$D$9,IFERROR(MATCH(IF($B1194="Robusta","Robusta",(IF($B1194="","Arabica",$B1194))&amp;" - "&amp;(IF($C1194="","Commercial",$C1194))),Variables!$B$1:$D$1,0),1))*AK1194/365),""))</f>
        <v>1963.1743401262213</v>
      </c>
      <c r="BI1194" s="43">
        <f>IF($AX1194="Cancelled","",IFERROR((W1194*INDEX(Variables!$B$7:$D$7,IFERROR(MATCH(IF($B1194="Robusta","Robusta",(IF($B1194="","Arabica",$B1194))&amp;" - "&amp;(IF($C1194="","Commercial",$C1194))),Variables!$B$1:$D$1,0),1))*BD1194/365)+(L1194/16.67*INDEX(Variables!$B$8:$D$8,IFERROR(MATCH(IF($B1194="Robusta","Robusta",(IF($B1194="","Arabica",$B1194))&amp;" - "&amp;(IF($C1194="","Commercial",$C1194))),Variables!$B$1:$D$1,0),1))*BD1194)+(W1194*INDEX(Variables!$B$9:$D$9,IFERROR(MATCH(IF($B1194="Robusta","Robusta",(IF($B1194="","Arabica",$B1194))&amp;" - "&amp;(IF($C1194="","Commercial",$C1194))),Variables!$B$1:$D$1,0),1))*BD1194/365),""))</f>
        <v>981.58717006311065</v>
      </c>
      <c r="BJ1194" s="43">
        <f t="shared" si="57"/>
        <v>1</v>
      </c>
      <c r="BK1194" s="43">
        <f>IF($AX1194="Cancelled","",IFERROR(IF(BJ1194="","",(W1194*INDEX(Variables!$B$7:$D$7,IFERROR(MATCH(IF($B1194="Robusta","Robusta",(IF($B1194="","Arabica",$B1194))&amp;" - "&amp;(IF($C1194="","Commercial",$C1194))),Variables!$B$1:$D$1,0),1))*(BJ1194/365))+(W1194*INDEX(Variables!$B$9:$D$9,IFERROR(MATCH(IF($B1194="Robusta","Robusta",(IF($B1194="","Arabica",$B1194))&amp;" - "&amp;(IF($C1194="","Commercial",$C1194))),Variables!$B$1:$D$1,0),1))*(BJ1194/365))+(INDEX(Variables!$B$8:$D$8,IFERROR(MATCH(IF($B1194="Robusta","Robusta",(IF($B1194="","Arabica",$B1194))&amp;" - "&amp;(IF($C1194="","Commercial",$C1194))),Variables!$B$1:$D$1,0),1))*L1194/16.67)),""))</f>
        <v>245.39679251577766</v>
      </c>
    </row>
    <row r="1195" spans="1:63">
      <c r="A1195" s="13" t="s">
        <v>103</v>
      </c>
      <c r="B1195" s="13" t="s">
        <v>104</v>
      </c>
      <c r="C1195" s="13" t="s">
        <v>105</v>
      </c>
      <c r="D1195" s="31">
        <v>46181</v>
      </c>
      <c r="E1195" s="31">
        <v>46296</v>
      </c>
      <c r="F1195" s="31">
        <v>46326</v>
      </c>
      <c r="G1195" s="13">
        <v>3787624</v>
      </c>
      <c r="J1195" s="13" t="s">
        <v>2535</v>
      </c>
      <c r="L1195" s="13">
        <v>1920</v>
      </c>
      <c r="M1195" s="13">
        <v>6</v>
      </c>
      <c r="N1195" s="13" t="s">
        <v>2940</v>
      </c>
      <c r="O1195" s="13" t="s">
        <v>109</v>
      </c>
      <c r="P1195" s="13">
        <v>10080</v>
      </c>
      <c r="R1195" s="13" t="s">
        <v>239</v>
      </c>
      <c r="V1195" s="23">
        <v>38</v>
      </c>
      <c r="W1195" s="44">
        <f>IF($AX1195="Cancelled","",IFERROR(((V1195+INDEX(Variables!$B$6:$D$6,IFERROR(MATCH(IF($B1195="Robusta","Robusta",(IF($B1195="","Arabica",$B1195))&amp;" - "&amp;(IF($C1195="","Commercial",$C1195))),Variables!$B$1:$D$1,0),1)))*22.0462)*(L1195/16.67),""))</f>
        <v>834893.69377324521</v>
      </c>
      <c r="X1195" s="55" t="s">
        <v>37</v>
      </c>
      <c r="Y1195" s="13" t="str">
        <f>IF($AX1195="Cancelled","",IF(X1195="","",IFERROR(IF(INDEX(Variables!$B$38:$B$47,MATCH(X1195,Variables!$A$38:$A$47,0))="Yes","Yes","No"),"No")))</f>
        <v>Yes</v>
      </c>
      <c r="Z1195" s="58">
        <v>46296</v>
      </c>
      <c r="AB1195" s="31">
        <v>46310</v>
      </c>
      <c r="AC1195" s="13" t="str">
        <f t="shared" si="56"/>
        <v>Approved</v>
      </c>
      <c r="AF1195" s="71">
        <v>46311</v>
      </c>
      <c r="AG1195" s="37">
        <f>IF($AX1195="Cancelled","",IFERROR(IF(F1195="","",F1195-Variables!$B$13),""))</f>
        <v>46311</v>
      </c>
      <c r="AH1195" s="13">
        <f>IF($AX1195="Cancelled","",IFERROR(IF(AB1195="","",(AVERAGE(E1195:F1195)-AB1195)-Variables!$B$14),""))</f>
        <v>-29</v>
      </c>
      <c r="AK1195" s="14" t="str">
        <f>IF($AX1195="Cancelled","",IFERROR(IF(AJ1195="","",IF(AND(AB1195="",AF1195=""),"",IF(AF1195&gt;AB1195,AF1195+Variables!$B$15+Variables!$B$16+Variables!$B$17-AJ1195,AB1195+Variables!$B$16+Variables!$B$17-AJ1195))),""))</f>
        <v/>
      </c>
      <c r="AL1195" s="48" t="s">
        <v>114</v>
      </c>
      <c r="AM1195" s="13" t="s">
        <v>1616</v>
      </c>
      <c r="AN1195" s="13">
        <v>0</v>
      </c>
      <c r="AP1195" s="39"/>
      <c r="AR1195" s="13" t="s">
        <v>3276</v>
      </c>
      <c r="AX1195" s="13" t="str">
        <f>IF(ISNUMBER(SEARCH("cancel",#REF!)),"Cancelled",IF(AND(AS1195&lt;&gt;"",AU1195&lt;&gt;"",AW1195&lt;&gt;""),"Closed","Open"))</f>
        <v>Open</v>
      </c>
      <c r="AY1195" s="25" t="str">
        <f t="shared" si="55"/>
        <v>No sailing date and No shipping advice sent and No docs dispatch date</v>
      </c>
      <c r="BD1195" s="13" t="str">
        <f>IF($AX1195="Cancelled","",IFERROR(IF(OR(AS1195="",AJ1195=""),"",(AJ1195+Variables!$B$18-AS1195)),""))</f>
        <v/>
      </c>
      <c r="BE1195" s="13" t="str">
        <f>IF($AX1195="Cancelled","",IFERROR(IF(OR(AW1195="",AS1195=""),"",(AS1195+Variables!$B$19)-AW1195),""))</f>
        <v/>
      </c>
      <c r="BF1195" s="44" t="str">
        <f>IF($AX1195="Cancelled","",IFERROR(W1195*INDEX(Variables!$B$7:$D$7,IFERROR(MATCH(IF($B1195="Robusta","Robusta",(IF($B1195="","Arabica",$B1195))&amp;" - "&amp;(IF($C1195="","Commercial",$C1195))),Variables!$B$1:$D$1,0),1))*(BE1195/365),""))</f>
        <v/>
      </c>
      <c r="BG1195" s="44">
        <f>IF($AX1195="Cancelled","",IFERROR((W1195*INDEX(Variables!$B$7:$D$7,IFERROR(MATCH(IF($B1195="Robusta","Robusta",(IF($B1195="","Arabica",$B1195))&amp;" - "&amp;(IF($C1195="","Commercial",$C1195))),Variables!$B$1:$D$1,0),1))*IFERROR(IF(AB1195="","",(AVERAGE(E1195:F1195)-AB1195)-Variables!$B$14),"")/365)+(L1195/16.67*INDEX(Variables!$B$8:$D$8,IFERROR(MATCH(IF($B1195="Robusta","Robusta",(IF($B1195="","Arabica",$B1195))&amp;" - "&amp;(IF($C1195="","Commercial",$C1195))),Variables!$B$1:$D$1,0),1))*IFERROR(IF(AB1195="","",(AVERAGE(E1195:F1195)-AB1195)-Variables!$B$14),""))+(W1195*INDEX(Variables!$B$9:$D$9,IFERROR(MATCH(IF($B1195="Robusta","Robusta",(IF($B1195="","Arabica",$B1195))&amp;" - "&amp;(IF($C1195="","Commercial",$C1195))),Variables!$B$1:$D$1,0),1))*IFERROR(IF(AB1195="","",(AVERAGE(E1195:F1195)-AB1195)-Variables!$B$14),"")/365),""))</f>
        <v>-7116.5069829575523</v>
      </c>
      <c r="BH1195" s="44" t="str">
        <f>IF($AX1195="Cancelled","",IFERROR((W1195*INDEX(Variables!$B$7:$D$7,IFERROR(MATCH(IF($B1195="Robusta","Robusta",(IF($B1195="","Arabica",$B1195))&amp;" - "&amp;(IF($C1195="","Commercial",$C1195))),Variables!$B$1:$D$1,0),1))*AK1195/365)+(L1195/16.67*INDEX(Variables!$B$8:$D$8,IFERROR(MATCH(IF($B1195="Robusta","Robusta",(IF($B1195="","Arabica",$B1195))&amp;" - "&amp;(IF($C1195="","Commercial",$C1195))),Variables!$B$1:$D$1,0),1))*AK1195)+(W1195*INDEX(Variables!$B$9:$D$9,IFERROR(MATCH(IF($B1195="Robusta","Robusta",(IF($B1195="","Arabica",$B1195))&amp;" - "&amp;(IF($C1195="","Commercial",$C1195))),Variables!$B$1:$D$1,0),1))*AK1195/365),""))</f>
        <v/>
      </c>
      <c r="BI1195" s="44" t="str">
        <f>IF($AX1195="Cancelled","",IFERROR((W1195*INDEX(Variables!$B$7:$D$7,IFERROR(MATCH(IF($B1195="Robusta","Robusta",(IF($B1195="","Arabica",$B1195))&amp;" - "&amp;(IF($C1195="","Commercial",$C1195))),Variables!$B$1:$D$1,0),1))*BD1195/365)+(L1195/16.67*INDEX(Variables!$B$8:$D$8,IFERROR(MATCH(IF($B1195="Robusta","Robusta",(IF($B1195="","Arabica",$B1195))&amp;" - "&amp;(IF($C1195="","Commercial",$C1195))),Variables!$B$1:$D$1,0),1))*BD1195)+(W1195*INDEX(Variables!$B$9:$D$9,IFERROR(MATCH(IF($B1195="Robusta","Robusta",(IF($B1195="","Arabica",$B1195))&amp;" - "&amp;(IF($C1195="","Commercial",$C1195))),Variables!$B$1:$D$1,0),1))*BD1195/365),""))</f>
        <v/>
      </c>
      <c r="BJ1195" s="44" t="str">
        <f t="shared" si="57"/>
        <v/>
      </c>
      <c r="BK1195" s="44" t="str">
        <f>IF($AX1195="Cancelled","",IFERROR(IF(BJ1195="","",(W1195*INDEX(Variables!$B$7:$D$7,IFERROR(MATCH(IF($B1195="Robusta","Robusta",(IF($B1195="","Arabica",$B1195))&amp;" - "&amp;(IF($C1195="","Commercial",$C1195))),Variables!$B$1:$D$1,0),1))*(BJ1195/365))+(W1195*INDEX(Variables!$B$9:$D$9,IFERROR(MATCH(IF($B1195="Robusta","Robusta",(IF($B1195="","Arabica",$B1195))&amp;" - "&amp;(IF($C1195="","Commercial",$C1195))),Variables!$B$1:$D$1,0),1))*(BJ1195/365))+(INDEX(Variables!$B$8:$D$8,IFERROR(MATCH(IF($B1195="Robusta","Robusta",(IF($B1195="","Arabica",$B1195))&amp;" - "&amp;(IF($C1195="","Commercial",$C1195))),Variables!$B$1:$D$1,0),1))*L1195/16.67)),""))</f>
        <v/>
      </c>
    </row>
    <row r="1196" spans="1:63">
      <c r="A1196" s="13" t="s">
        <v>103</v>
      </c>
      <c r="B1196" s="13" t="s">
        <v>104</v>
      </c>
      <c r="C1196" s="13" t="s">
        <v>105</v>
      </c>
      <c r="D1196" s="31">
        <v>46181</v>
      </c>
      <c r="E1196" s="31">
        <v>46327</v>
      </c>
      <c r="F1196" s="31">
        <v>46356</v>
      </c>
      <c r="G1196" s="13">
        <v>3787625</v>
      </c>
      <c r="J1196" s="13" t="s">
        <v>2535</v>
      </c>
      <c r="L1196" s="13">
        <v>1920</v>
      </c>
      <c r="M1196" s="13">
        <v>6</v>
      </c>
      <c r="N1196" s="13" t="s">
        <v>2945</v>
      </c>
      <c r="O1196" s="13" t="s">
        <v>109</v>
      </c>
      <c r="P1196" s="13">
        <v>10080</v>
      </c>
      <c r="R1196" s="13" t="s">
        <v>239</v>
      </c>
      <c r="V1196" s="23">
        <v>38</v>
      </c>
      <c r="W1196" s="44">
        <f>IF($AX1196="Cancelled","",IFERROR(((V1196+INDEX(Variables!$B$6:$D$6,IFERROR(MATCH(IF($B1196="Robusta","Robusta",(IF($B1196="","Arabica",$B1196))&amp;" - "&amp;(IF($C1196="","Commercial",$C1196))),Variables!$B$1:$D$1,0),1)))*22.0462)*(L1196/16.67),""))</f>
        <v>834893.69377324521</v>
      </c>
      <c r="X1196" s="55" t="s">
        <v>37</v>
      </c>
      <c r="Y1196" s="13" t="str">
        <f>IF($AX1196="Cancelled","",IF(X1196="","",IFERROR(IF(INDEX(Variables!$B$38:$B$47,MATCH(X1196,Variables!$A$38:$A$47,0))="Yes","Yes","No"),"No")))</f>
        <v>Yes</v>
      </c>
      <c r="Z1196" s="58">
        <v>46244</v>
      </c>
      <c r="AB1196" s="31">
        <v>46314</v>
      </c>
      <c r="AC1196" s="13" t="str">
        <f t="shared" si="56"/>
        <v>Approved</v>
      </c>
      <c r="AF1196" s="71"/>
      <c r="AG1196" s="37">
        <f>IF($AX1196="Cancelled","",IFERROR(IF(F1196="","",F1196-Variables!$B$13),""))</f>
        <v>46341</v>
      </c>
      <c r="AH1196" s="13">
        <f>IF($AX1196="Cancelled","",IFERROR(IF(AB1196="","",(AVERAGE(E1196:F1196)-AB1196)-Variables!$B$14),""))</f>
        <v>-2.5</v>
      </c>
      <c r="AK1196" s="14" t="str">
        <f>IF($AX1196="Cancelled","",IFERROR(IF(AJ1196="","",IF(AND(AB1196="",AF1196=""),"",IF(AF1196&gt;AB1196,AF1196+Variables!$B$15+Variables!$B$16+Variables!$B$17-AJ1196,AB1196+Variables!$B$16+Variables!$B$17-AJ1196))),""))</f>
        <v/>
      </c>
      <c r="AM1196" s="13" t="e">
        <v>#REF!</v>
      </c>
      <c r="AN1196" s="13">
        <v>0</v>
      </c>
      <c r="AP1196" s="39"/>
      <c r="AR1196" s="13" t="e">
        <v>#REF!</v>
      </c>
      <c r="AV1196" s="13" t="e">
        <v>#REF!</v>
      </c>
      <c r="AX1196" s="13" t="str">
        <f>IF(ISNUMBER(SEARCH("cancel",#REF!)),"Cancelled",IF(AND(AS1196&lt;&gt;"",AU1196&lt;&gt;"",AW1196&lt;&gt;""),"Closed","Open"))</f>
        <v>Open</v>
      </c>
      <c r="AY1196" s="25" t="str">
        <f t="shared" si="55"/>
        <v>No sailing date and No shipping advice sent and No docs dispatch date</v>
      </c>
      <c r="BD1196" s="13" t="str">
        <f>IF($AX1196="Cancelled","",IFERROR(IF(OR(AS1196="",AJ1196=""),"",(AJ1196+Variables!$B$18-AS1196)),""))</f>
        <v/>
      </c>
      <c r="BE1196" s="13" t="str">
        <f>IF($AX1196="Cancelled","",IFERROR(IF(OR(AW1196="",AS1196=""),"",(AS1196+Variables!$B$19)-AW1196),""))</f>
        <v/>
      </c>
      <c r="BF1196" s="44" t="str">
        <f>IF($AX1196="Cancelled","",IFERROR(W1196*INDEX(Variables!$B$7:$D$7,IFERROR(MATCH(IF($B1196="Robusta","Robusta",(IF($B1196="","Arabica",$B1196))&amp;" - "&amp;(IF($C1196="","Commercial",$C1196))),Variables!$B$1:$D$1,0),1))*(BE1196/365),""))</f>
        <v/>
      </c>
      <c r="BG1196" s="44">
        <f>IF($AX1196="Cancelled","",IFERROR((W1196*INDEX(Variables!$B$7:$D$7,IFERROR(MATCH(IF($B1196="Robusta","Robusta",(IF($B1196="","Arabica",$B1196))&amp;" - "&amp;(IF($C1196="","Commercial",$C1196))),Variables!$B$1:$D$1,0),1))*IFERROR(IF(AB1196="","",(AVERAGE(E1196:F1196)-AB1196)-Variables!$B$14),"")/365)+(L1196/16.67*INDEX(Variables!$B$8:$D$8,IFERROR(MATCH(IF($B1196="Robusta","Robusta",(IF($B1196="","Arabica",$B1196))&amp;" - "&amp;(IF($C1196="","Commercial",$C1196))),Variables!$B$1:$D$1,0),1))*IFERROR(IF(AB1196="","",(AVERAGE(E1196:F1196)-AB1196)-Variables!$B$14),""))+(W1196*INDEX(Variables!$B$9:$D$9,IFERROR(MATCH(IF($B1196="Robusta","Robusta",(IF($B1196="","Arabica",$B1196))&amp;" - "&amp;(IF($C1196="","Commercial",$C1196))),Variables!$B$1:$D$1,0),1))*IFERROR(IF(AB1196="","",(AVERAGE(E1196:F1196)-AB1196)-Variables!$B$14),"")/365),""))</f>
        <v>-613.49198128944431</v>
      </c>
      <c r="BH1196" s="44" t="str">
        <f>IF($AX1196="Cancelled","",IFERROR((W1196*INDEX(Variables!$B$7:$D$7,IFERROR(MATCH(IF($B1196="Robusta","Robusta",(IF($B1196="","Arabica",$B1196))&amp;" - "&amp;(IF($C1196="","Commercial",$C1196))),Variables!$B$1:$D$1,0),1))*AK1196/365)+(L1196/16.67*INDEX(Variables!$B$8:$D$8,IFERROR(MATCH(IF($B1196="Robusta","Robusta",(IF($B1196="","Arabica",$B1196))&amp;" - "&amp;(IF($C1196="","Commercial",$C1196))),Variables!$B$1:$D$1,0),1))*AK1196)+(W1196*INDEX(Variables!$B$9:$D$9,IFERROR(MATCH(IF($B1196="Robusta","Robusta",(IF($B1196="","Arabica",$B1196))&amp;" - "&amp;(IF($C1196="","Commercial",$C1196))),Variables!$B$1:$D$1,0),1))*AK1196/365),""))</f>
        <v/>
      </c>
      <c r="BI1196" s="44" t="str">
        <f>IF($AX1196="Cancelled","",IFERROR((W1196*INDEX(Variables!$B$7:$D$7,IFERROR(MATCH(IF($B1196="Robusta","Robusta",(IF($B1196="","Arabica",$B1196))&amp;" - "&amp;(IF($C1196="","Commercial",$C1196))),Variables!$B$1:$D$1,0),1))*BD1196/365)+(L1196/16.67*INDEX(Variables!$B$8:$D$8,IFERROR(MATCH(IF($B1196="Robusta","Robusta",(IF($B1196="","Arabica",$B1196))&amp;" - "&amp;(IF($C1196="","Commercial",$C1196))),Variables!$B$1:$D$1,0),1))*BD1196)+(W1196*INDEX(Variables!$B$9:$D$9,IFERROR(MATCH(IF($B1196="Robusta","Robusta",(IF($B1196="","Arabica",$B1196))&amp;" - "&amp;(IF($C1196="","Commercial",$C1196))),Variables!$B$1:$D$1,0),1))*BD1196/365),""))</f>
        <v/>
      </c>
      <c r="BJ1196" s="44" t="str">
        <f t="shared" si="57"/>
        <v/>
      </c>
      <c r="BK1196" s="44" t="str">
        <f>IF($AX1196="Cancelled","",IFERROR(IF(BJ1196="","",(W1196*INDEX(Variables!$B$7:$D$7,IFERROR(MATCH(IF($B1196="Robusta","Robusta",(IF($B1196="","Arabica",$B1196))&amp;" - "&amp;(IF($C1196="","Commercial",$C1196))),Variables!$B$1:$D$1,0),1))*(BJ1196/365))+(W1196*INDEX(Variables!$B$9:$D$9,IFERROR(MATCH(IF($B1196="Robusta","Robusta",(IF($B1196="","Arabica",$B1196))&amp;" - "&amp;(IF($C1196="","Commercial",$C1196))),Variables!$B$1:$D$1,0),1))*(BJ1196/365))+(INDEX(Variables!$B$8:$D$8,IFERROR(MATCH(IF($B1196="Robusta","Robusta",(IF($B1196="","Arabica",$B1196))&amp;" - "&amp;(IF($C1196="","Commercial",$C1196))),Variables!$B$1:$D$1,0),1))*L1196/16.67)),""))</f>
        <v/>
      </c>
    </row>
    <row r="1197" spans="1:63">
      <c r="A1197" s="13" t="s">
        <v>103</v>
      </c>
      <c r="B1197" s="13" t="s">
        <v>104</v>
      </c>
      <c r="C1197" s="13" t="s">
        <v>105</v>
      </c>
      <c r="D1197" s="31">
        <v>46181</v>
      </c>
      <c r="E1197" s="31">
        <v>46357</v>
      </c>
      <c r="F1197" s="31">
        <v>46387</v>
      </c>
      <c r="G1197" s="13">
        <v>3787626</v>
      </c>
      <c r="J1197" s="13" t="s">
        <v>2535</v>
      </c>
      <c r="L1197" s="13">
        <v>1920</v>
      </c>
      <c r="M1197" s="13">
        <v>6</v>
      </c>
      <c r="N1197" s="13" t="s">
        <v>2940</v>
      </c>
      <c r="O1197" s="13" t="s">
        <v>109</v>
      </c>
      <c r="P1197" s="13">
        <v>10080</v>
      </c>
      <c r="R1197" s="13" t="s">
        <v>239</v>
      </c>
      <c r="V1197" s="23">
        <v>38</v>
      </c>
      <c r="W1197" s="44">
        <f>IF($AX1197="Cancelled","",IFERROR(((V1197+INDEX(Variables!$B$6:$D$6,IFERROR(MATCH(IF($B1197="Robusta","Robusta",(IF($B1197="","Arabica",$B1197))&amp;" - "&amp;(IF($C1197="","Commercial",$C1197))),Variables!$B$1:$D$1,0),1)))*22.0462)*(L1197/16.67),""))</f>
        <v>834893.69377324521</v>
      </c>
      <c r="X1197" s="55" t="s">
        <v>37</v>
      </c>
      <c r="Y1197" s="13" t="str">
        <f>IF($AX1197="Cancelled","",IF(X1197="","",IFERROR(IF(INDEX(Variables!$B$38:$B$47,MATCH(X1197,Variables!$A$38:$A$47,0))="Yes","Yes","No"),"No")))</f>
        <v>Yes</v>
      </c>
      <c r="Z1197" s="58">
        <v>46314</v>
      </c>
      <c r="AA1197" s="13" t="s">
        <v>2946</v>
      </c>
      <c r="AC1197" s="13" t="str">
        <f t="shared" si="56"/>
        <v/>
      </c>
      <c r="AF1197" s="71"/>
      <c r="AG1197" s="37">
        <f>IF($AX1197="Cancelled","",IFERROR(IF(F1197="","",F1197-Variables!$B$13),""))</f>
        <v>46372</v>
      </c>
      <c r="AH1197" s="13" t="str">
        <f>IF($AX1197="Cancelled","",IFERROR(IF(AB1197="","",(AVERAGE(E1197:F1197)-AB1197)-Variables!$B$14),""))</f>
        <v/>
      </c>
      <c r="AK1197" s="14" t="str">
        <f>IF($AX1197="Cancelled","",IFERROR(IF(AJ1197="","",IF(AND(AB1197="",AF1197=""),"",IF(AF1197&gt;AB1197,AF1197+Variables!$B$15+Variables!$B$16+Variables!$B$17-AJ1197,AB1197+Variables!$B$16+Variables!$B$17-AJ1197))),""))</f>
        <v/>
      </c>
      <c r="AM1197" s="13" t="e">
        <v>#REF!</v>
      </c>
      <c r="AN1197" s="13">
        <v>0</v>
      </c>
      <c r="AP1197" s="39"/>
      <c r="AR1197" s="13" t="e">
        <v>#REF!</v>
      </c>
      <c r="AV1197" s="13" t="e">
        <v>#REF!</v>
      </c>
      <c r="AX1197" s="13" t="str">
        <f>IF(ISNUMBER(SEARCH("cancel",#REF!)),"Cancelled",IF(AND(AS1197&lt;&gt;"",AU1197&lt;&gt;"",AW1197&lt;&gt;""),"Closed","Open"))</f>
        <v>Open</v>
      </c>
      <c r="AY1197" s="25" t="str">
        <f t="shared" si="55"/>
        <v>No sailing date and No shipping advice sent and No docs dispatch date</v>
      </c>
      <c r="BD1197" s="13" t="str">
        <f>IF($AX1197="Cancelled","",IFERROR(IF(OR(AS1197="",AJ1197=""),"",(AJ1197+Variables!$B$18-AS1197)),""))</f>
        <v/>
      </c>
      <c r="BE1197" s="13" t="str">
        <f>IF($AX1197="Cancelled","",IFERROR(IF(OR(AW1197="",AS1197=""),"",(AS1197+Variables!$B$19)-AW1197),""))</f>
        <v/>
      </c>
      <c r="BF1197" s="44" t="str">
        <f>IF($AX1197="Cancelled","",IFERROR(W1197*INDEX(Variables!$B$7:$D$7,IFERROR(MATCH(IF($B1197="Robusta","Robusta",(IF($B1197="","Arabica",$B1197))&amp;" - "&amp;(IF($C1197="","Commercial",$C1197))),Variables!$B$1:$D$1,0),1))*(BE1197/365),""))</f>
        <v/>
      </c>
      <c r="BG1197" s="44" t="str">
        <f>IF($AX1197="Cancelled","",IFERROR((W1197*INDEX(Variables!$B$7:$D$7,IFERROR(MATCH(IF($B1197="Robusta","Robusta",(IF($B1197="","Arabica",$B1197))&amp;" - "&amp;(IF($C1197="","Commercial",$C1197))),Variables!$B$1:$D$1,0),1))*IFERROR(IF(AB1197="","",(AVERAGE(E1197:F1197)-AB1197)-Variables!$B$14),"")/365)+(L1197/16.67*INDEX(Variables!$B$8:$D$8,IFERROR(MATCH(IF($B1197="Robusta","Robusta",(IF($B1197="","Arabica",$B1197))&amp;" - "&amp;(IF($C1197="","Commercial",$C1197))),Variables!$B$1:$D$1,0),1))*IFERROR(IF(AB1197="","",(AVERAGE(E1197:F1197)-AB1197)-Variables!$B$14),""))+(W1197*INDEX(Variables!$B$9:$D$9,IFERROR(MATCH(IF($B1197="Robusta","Robusta",(IF($B1197="","Arabica",$B1197))&amp;" - "&amp;(IF($C1197="","Commercial",$C1197))),Variables!$B$1:$D$1,0),1))*IFERROR(IF(AB1197="","",(AVERAGE(E1197:F1197)-AB1197)-Variables!$B$14),"")/365),""))</f>
        <v/>
      </c>
      <c r="BH1197" s="44" t="str">
        <f>IF($AX1197="Cancelled","",IFERROR((W1197*INDEX(Variables!$B$7:$D$7,IFERROR(MATCH(IF($B1197="Robusta","Robusta",(IF($B1197="","Arabica",$B1197))&amp;" - "&amp;(IF($C1197="","Commercial",$C1197))),Variables!$B$1:$D$1,0),1))*AK1197/365)+(L1197/16.67*INDEX(Variables!$B$8:$D$8,IFERROR(MATCH(IF($B1197="Robusta","Robusta",(IF($B1197="","Arabica",$B1197))&amp;" - "&amp;(IF($C1197="","Commercial",$C1197))),Variables!$B$1:$D$1,0),1))*AK1197)+(W1197*INDEX(Variables!$B$9:$D$9,IFERROR(MATCH(IF($B1197="Robusta","Robusta",(IF($B1197="","Arabica",$B1197))&amp;" - "&amp;(IF($C1197="","Commercial",$C1197))),Variables!$B$1:$D$1,0),1))*AK1197/365),""))</f>
        <v/>
      </c>
      <c r="BI1197" s="44" t="str">
        <f>IF($AX1197="Cancelled","",IFERROR((W1197*INDEX(Variables!$B$7:$D$7,IFERROR(MATCH(IF($B1197="Robusta","Robusta",(IF($B1197="","Arabica",$B1197))&amp;" - "&amp;(IF($C1197="","Commercial",$C1197))),Variables!$B$1:$D$1,0),1))*BD1197/365)+(L1197/16.67*INDEX(Variables!$B$8:$D$8,IFERROR(MATCH(IF($B1197="Robusta","Robusta",(IF($B1197="","Arabica",$B1197))&amp;" - "&amp;(IF($C1197="","Commercial",$C1197))),Variables!$B$1:$D$1,0),1))*BD1197)+(W1197*INDEX(Variables!$B$9:$D$9,IFERROR(MATCH(IF($B1197="Robusta","Robusta",(IF($B1197="","Arabica",$B1197))&amp;" - "&amp;(IF($C1197="","Commercial",$C1197))),Variables!$B$1:$D$1,0),1))*BD1197/365),""))</f>
        <v/>
      </c>
      <c r="BJ1197" s="44" t="str">
        <f t="shared" si="57"/>
        <v/>
      </c>
      <c r="BK1197" s="44" t="str">
        <f>IF($AX1197="Cancelled","",IFERROR(IF(BJ1197="","",(W1197*INDEX(Variables!$B$7:$D$7,IFERROR(MATCH(IF($B1197="Robusta","Robusta",(IF($B1197="","Arabica",$B1197))&amp;" - "&amp;(IF($C1197="","Commercial",$C1197))),Variables!$B$1:$D$1,0),1))*(BJ1197/365))+(W1197*INDEX(Variables!$B$9:$D$9,IFERROR(MATCH(IF($B1197="Robusta","Robusta",(IF($B1197="","Arabica",$B1197))&amp;" - "&amp;(IF($C1197="","Commercial",$C1197))),Variables!$B$1:$D$1,0),1))*(BJ1197/365))+(INDEX(Variables!$B$8:$D$8,IFERROR(MATCH(IF($B1197="Robusta","Robusta",(IF($B1197="","Arabica",$B1197))&amp;" - "&amp;(IF($C1197="","Commercial",$C1197))),Variables!$B$1:$D$1,0),1))*L1197/16.67)),""))</f>
        <v/>
      </c>
    </row>
    <row r="1198" spans="1:63">
      <c r="A1198" s="13" t="s">
        <v>103</v>
      </c>
      <c r="B1198" s="13" t="s">
        <v>104</v>
      </c>
      <c r="C1198" s="13" t="s">
        <v>105</v>
      </c>
      <c r="D1198" s="31">
        <v>46181</v>
      </c>
      <c r="E1198" s="31">
        <v>46235</v>
      </c>
      <c r="F1198" s="31">
        <v>46248</v>
      </c>
      <c r="G1198" s="13">
        <v>3787628</v>
      </c>
      <c r="J1198" s="13" t="s">
        <v>118</v>
      </c>
      <c r="K1198" s="13">
        <v>5605</v>
      </c>
      <c r="L1198" s="13">
        <v>333</v>
      </c>
      <c r="M1198" s="13">
        <v>1</v>
      </c>
      <c r="N1198" s="13" t="s">
        <v>2947</v>
      </c>
      <c r="O1198" s="13" t="s">
        <v>332</v>
      </c>
      <c r="P1198" s="13">
        <v>10120</v>
      </c>
      <c r="R1198" s="13" t="s">
        <v>271</v>
      </c>
      <c r="S1198" s="13" t="s">
        <v>2948</v>
      </c>
      <c r="T1198" s="13" t="s">
        <v>2949</v>
      </c>
      <c r="U1198" s="13" t="s">
        <v>182</v>
      </c>
      <c r="V1198" s="23">
        <v>-7</v>
      </c>
      <c r="W1198" s="44">
        <f>IF($AX1198="Cancelled","",IFERROR(((V1198+INDEX(Variables!$B$6:$D$6,IFERROR(MATCH(IF($B1198="Robusta","Robusta",(IF($B1198="","Arabica",$B1198))&amp;" - "&amp;(IF($C1198="","Commercial",$C1198))),Variables!$B$1:$D$1,0),1)))*22.0462)*(L1198/16.67),""))</f>
        <v>124984.10014877023</v>
      </c>
      <c r="X1198" s="55" t="s">
        <v>37</v>
      </c>
      <c r="Y1198" s="13" t="str">
        <f>IF($AX1198="Cancelled","",IF(X1198="","",IFERROR(IF(INDEX(Variables!$B$38:$B$47,MATCH(X1198,Variables!$A$38:$A$47,0))="Yes","Yes","No"),"No")))</f>
        <v>Yes</v>
      </c>
      <c r="Z1198" s="58">
        <v>46227</v>
      </c>
      <c r="AB1198" s="31">
        <v>46235</v>
      </c>
      <c r="AC1198" s="13" t="str">
        <f t="shared" si="56"/>
        <v>Approved</v>
      </c>
      <c r="AF1198" s="71">
        <v>46245</v>
      </c>
      <c r="AG1198" s="37">
        <f>IF($AX1198="Cancelled","",IFERROR(IF(F1198="","",F1198-Variables!$B$13),""))</f>
        <v>46233</v>
      </c>
      <c r="AH1198" s="13">
        <f>IF($AX1198="Cancelled","",IFERROR(IF(AB1198="","",(AVERAGE(E1198:F1198)-AB1198)-Variables!$B$14),""))</f>
        <v>-23.5</v>
      </c>
      <c r="AJ1198" s="47">
        <v>46251</v>
      </c>
      <c r="AK1198" s="14">
        <f>IF($AX1198="Cancelled","",IFERROR(IF(AJ1198="","",IF(AND(AB1198="",AF1198=""),"",IF(AF1198&gt;AB1198,AF1198+Variables!$B$15+Variables!$B$16+Variables!$B$17-AJ1198,AB1198+Variables!$B$16+Variables!$B$17-AJ1198))),""))</f>
        <v>9</v>
      </c>
      <c r="AL1198" s="48" t="s">
        <v>114</v>
      </c>
      <c r="AM1198" s="13" t="s">
        <v>168</v>
      </c>
      <c r="AN1198" s="13" t="s">
        <v>2866</v>
      </c>
      <c r="AO1198" s="31">
        <v>46252</v>
      </c>
      <c r="AP1198" s="39">
        <v>46270</v>
      </c>
      <c r="AQ1198" s="31">
        <v>46329</v>
      </c>
      <c r="AR1198" s="13" t="s">
        <v>2950</v>
      </c>
      <c r="AS1198" s="31">
        <v>46270</v>
      </c>
      <c r="AU1198" s="39">
        <v>46301</v>
      </c>
      <c r="AV1198" s="13">
        <v>2620884394</v>
      </c>
      <c r="AW1198" s="39">
        <v>46301</v>
      </c>
      <c r="AX1198" s="13" t="str">
        <f>IF(ISNUMBER(SEARCH("cancel",#REF!)),"Cancelled",IF(AND(AS1198&lt;&gt;"",AU1198&lt;&gt;"",AW1198&lt;&gt;""),"Closed","Open"))</f>
        <v>Closed</v>
      </c>
      <c r="AY1198" s="25" t="str">
        <f t="shared" si="55"/>
        <v>All dates received</v>
      </c>
      <c r="AZ1198" s="13" t="s">
        <v>3053</v>
      </c>
      <c r="BA1198" s="13" t="s">
        <v>3048</v>
      </c>
      <c r="BB1198" s="13" t="s">
        <v>3049</v>
      </c>
      <c r="BC1198" s="13" t="s">
        <v>3048</v>
      </c>
      <c r="BD1198" s="13">
        <f>IF($AX1198="Cancelled","",IFERROR(IF(OR(AS1198="",AJ1198=""),"",(AJ1198+Variables!$B$18-AS1198)),""))</f>
        <v>-4</v>
      </c>
      <c r="BE1198" s="13">
        <f>IF($AX1198="Cancelled","",IFERROR(IF(OR(AW1198="",AS1198=""),"",(AS1198+Variables!$B$19)-AW1198),""))</f>
        <v>-26</v>
      </c>
      <c r="BF1198" s="44">
        <f>IF($AX1198="Cancelled","",IFERROR(W1198*INDEX(Variables!$B$7:$D$7,IFERROR(MATCH(IF($B1198="Robusta","Robusta",(IF($B1198="","Arabica",$B1198))&amp;" - "&amp;(IF($C1198="","Commercial",$C1198))),Variables!$B$1:$D$1,0),1))*(BE1198/365),""))</f>
        <v>-574.08354330942143</v>
      </c>
      <c r="BG1198" s="44">
        <f>IF($AX1198="Cancelled","",IFERROR((W1198*INDEX(Variables!$B$7:$D$7,IFERROR(MATCH(IF($B1198="Robusta","Robusta",(IF($B1198="","Arabica",$B1198))&amp;" - "&amp;(IF($C1198="","Commercial",$C1198))),Variables!$B$1:$D$1,0),1))*IFERROR(IF(AB1198="","",(AVERAGE(E1198:F1198)-AB1198)-Variables!$B$14),"")/365)+(L1198/16.67*INDEX(Variables!$B$8:$D$8,IFERROR(MATCH(IF($B1198="Robusta","Robusta",(IF($B1198="","Arabica",$B1198))&amp;" - "&amp;(IF($C1198="","Commercial",$C1198))),Variables!$B$1:$D$1,0),1))*IFERROR(IF(AB1198="","",(AVERAGE(E1198:F1198)-AB1198)-Variables!$B$14),""))+(W1198*INDEX(Variables!$B$9:$D$9,IFERROR(MATCH(IF($B1198="Robusta","Robusta",(IF($B1198="","Arabica",$B1198))&amp;" - "&amp;(IF($C1198="","Commercial",$C1198))),Variables!$B$1:$D$1,0),1))*IFERROR(IF(AB1198="","",(AVERAGE(E1198:F1198)-AB1198)-Variables!$B$14),"")/365),""))</f>
        <v>-916.84760846319887</v>
      </c>
      <c r="BH1198" s="44">
        <f>IF($AX1198="Cancelled","",IFERROR((W1198*INDEX(Variables!$B$7:$D$7,IFERROR(MATCH(IF($B1198="Robusta","Robusta",(IF($B1198="","Arabica",$B1198))&amp;" - "&amp;(IF($C1198="","Commercial",$C1198))),Variables!$B$1:$D$1,0),1))*AK1198/365)+(L1198/16.67*INDEX(Variables!$B$8:$D$8,IFERROR(MATCH(IF($B1198="Robusta","Robusta",(IF($B1198="","Arabica",$B1198))&amp;" - "&amp;(IF($C1198="","Commercial",$C1198))),Variables!$B$1:$D$1,0),1))*AK1198)+(W1198*INDEX(Variables!$B$9:$D$9,IFERROR(MATCH(IF($B1198="Robusta","Robusta",(IF($B1198="","Arabica",$B1198))&amp;" - "&amp;(IF($C1198="","Commercial",$C1198))),Variables!$B$1:$D$1,0),1))*AK1198/365),""))</f>
        <v>351.13312664548044</v>
      </c>
      <c r="BI1198" s="44">
        <f>IF($AX1198="Cancelled","",IFERROR((W1198*INDEX(Variables!$B$7:$D$7,IFERROR(MATCH(IF($B1198="Robusta","Robusta",(IF($B1198="","Arabica",$B1198))&amp;" - "&amp;(IF($C1198="","Commercial",$C1198))),Variables!$B$1:$D$1,0),1))*BD1198/365)+(L1198/16.67*INDEX(Variables!$B$8:$D$8,IFERROR(MATCH(IF($B1198="Robusta","Robusta",(IF($B1198="","Arabica",$B1198))&amp;" - "&amp;(IF($C1198="","Commercial",$C1198))),Variables!$B$1:$D$1,0),1))*BD1198)+(W1198*INDEX(Variables!$B$9:$D$9,IFERROR(MATCH(IF($B1198="Robusta","Robusta",(IF($B1198="","Arabica",$B1198))&amp;" - "&amp;(IF($C1198="","Commercial",$C1198))),Variables!$B$1:$D$1,0),1))*BD1198/365),""))</f>
        <v>-156.05916739799127</v>
      </c>
      <c r="BJ1198" s="44">
        <f t="shared" si="57"/>
        <v>-22</v>
      </c>
      <c r="BK1198" s="44">
        <f>IF($AX1198="Cancelled","",IFERROR(IF(BJ1198="","",(W1198*INDEX(Variables!$B$7:$D$7,IFERROR(MATCH(IF($B1198="Robusta","Robusta",(IF($B1198="","Arabica",$B1198))&amp;" - "&amp;(IF($C1198="","Commercial",$C1198))),Variables!$B$1:$D$1,0),1))*(BJ1198/365))+(W1198*INDEX(Variables!$B$9:$D$9,IFERROR(MATCH(IF($B1198="Robusta","Robusta",(IF($B1198="","Arabica",$B1198))&amp;" - "&amp;(IF($C1198="","Commercial",$C1198))),Variables!$B$1:$D$1,0),1))*(BJ1198/365))+(INDEX(Variables!$B$8:$D$8,IFERROR(MATCH(IF($B1198="Robusta","Robusta",(IF($B1198="","Arabica",$B1198))&amp;" - "&amp;(IF($C1198="","Commercial",$C1198))),Variables!$B$1:$D$1,0),1))*L1198/16.67)),""))</f>
        <v>-475.37542068895209</v>
      </c>
    </row>
    <row r="1199" spans="1:63" s="33" customFormat="1">
      <c r="A1199" s="33" t="s">
        <v>103</v>
      </c>
      <c r="B1199" s="13" t="s">
        <v>104</v>
      </c>
      <c r="C1199" s="13" t="s">
        <v>105</v>
      </c>
      <c r="D1199" s="31">
        <v>46182</v>
      </c>
      <c r="E1199" s="31">
        <v>46266</v>
      </c>
      <c r="F1199" s="31">
        <v>46295</v>
      </c>
      <c r="G1199" s="33">
        <v>3787629</v>
      </c>
      <c r="H1199" s="13"/>
      <c r="I1199" s="13"/>
      <c r="J1199" s="13" t="s">
        <v>236</v>
      </c>
      <c r="K1199" s="13">
        <v>5628</v>
      </c>
      <c r="L1199" s="13">
        <v>320</v>
      </c>
      <c r="M1199" s="13">
        <v>1</v>
      </c>
      <c r="N1199" s="13" t="s">
        <v>247</v>
      </c>
      <c r="O1199" s="13" t="s">
        <v>120</v>
      </c>
      <c r="P1199" s="13">
        <v>10070</v>
      </c>
      <c r="Q1199" s="13"/>
      <c r="R1199" s="13" t="s">
        <v>239</v>
      </c>
      <c r="S1199" s="13" t="s">
        <v>180</v>
      </c>
      <c r="T1199" s="13" t="s">
        <v>253</v>
      </c>
      <c r="U1199" s="13" t="s">
        <v>182</v>
      </c>
      <c r="V1199" s="23">
        <v>42</v>
      </c>
      <c r="W1199" s="44">
        <f>IF($AX1199="Cancelled","",IFERROR(((V1199+INDEX(Variables!$B$6:$D$6,IFERROR(MATCH(IF($B1199="Robusta","Robusta",(IF($B1199="","Arabica",$B1199))&amp;" - "&amp;(IF($C1199="","Commercial",$C1199))),Variables!$B$1:$D$1,0),1)))*22.0462)*(L1199/16.67),""))</f>
        <v>140841.75856028791</v>
      </c>
      <c r="X1199" s="55" t="s">
        <v>37</v>
      </c>
      <c r="Y1199" s="13" t="str">
        <f>IF($AX1199="Cancelled","",IF(X1199="","",IFERROR(IF(INDEX(Variables!$B$38:$B$47,MATCH(X1199,Variables!$A$38:$A$47,0))="Yes","Yes","No"),"No")))</f>
        <v>Yes</v>
      </c>
      <c r="Z1199" s="58">
        <v>46227</v>
      </c>
      <c r="AA1199" s="13"/>
      <c r="AB1199" s="31">
        <v>46244</v>
      </c>
      <c r="AC1199" s="13" t="str">
        <f t="shared" si="56"/>
        <v>Approved</v>
      </c>
      <c r="AD1199" s="31">
        <v>46231</v>
      </c>
      <c r="AE1199" s="31"/>
      <c r="AF1199" s="71">
        <v>46258</v>
      </c>
      <c r="AG1199" s="37">
        <f>IF($AX1199="Cancelled","",IFERROR(IF(F1199="","",F1199-Variables!$B$13),""))</f>
        <v>46280</v>
      </c>
      <c r="AH1199" s="13">
        <f>IF($AX1199="Cancelled","",IFERROR(IF(AB1199="","",(AVERAGE(E1199:F1199)-AB1199)-Variables!$B$14),""))</f>
        <v>6.5</v>
      </c>
      <c r="AI1199" s="13"/>
      <c r="AJ1199" s="47">
        <v>46260</v>
      </c>
      <c r="AK1199" s="14">
        <f>IF($AX1199="Cancelled","",IFERROR(IF(AJ1199="","",IF(AND(AB1199="",AF1199=""),"",IF(AF1199&gt;AB1199,AF1199+Variables!$B$15+Variables!$B$16+Variables!$B$17-AJ1199,AB1199+Variables!$B$16+Variables!$B$17-AJ1199))),""))</f>
        <v>13</v>
      </c>
      <c r="AL1199" s="48" t="s">
        <v>114</v>
      </c>
      <c r="AM1199" s="33" t="s">
        <v>168</v>
      </c>
      <c r="AN1199" s="33" t="s">
        <v>2951</v>
      </c>
      <c r="AO1199" s="39">
        <v>46261</v>
      </c>
      <c r="AP1199" s="39">
        <v>46269</v>
      </c>
      <c r="AQ1199" s="39">
        <v>46313</v>
      </c>
      <c r="AR1199" s="33" t="s">
        <v>2952</v>
      </c>
      <c r="AS1199" s="39">
        <v>46274</v>
      </c>
      <c r="AT1199" s="39"/>
      <c r="AU1199" s="39">
        <v>46309</v>
      </c>
      <c r="AV1199" s="33">
        <v>5666844455</v>
      </c>
      <c r="AW1199" s="39">
        <v>46283</v>
      </c>
      <c r="AX1199" s="33" t="str">
        <f>IF(ISNUMBER(SEARCH("cancel",#REF!)),"Cancelled",IF(AND(AS1199&lt;&gt;"",AU1199&lt;&gt;"",AW1199&lt;&gt;""),"Closed","Open"))</f>
        <v>Closed</v>
      </c>
      <c r="AY1199" s="25" t="str">
        <f t="shared" si="55"/>
        <v>All dates received</v>
      </c>
      <c r="BD1199" s="33">
        <f>IF($AX1199="Cancelled","",IFERROR(IF(OR(AS1199="",AJ1199=""),"",(AJ1199+Variables!$B$18-AS1199)),""))</f>
        <v>1</v>
      </c>
      <c r="BE1199" s="33">
        <f>IF($AX1199="Cancelled","",IFERROR(IF(OR(AW1199="",AS1199=""),"",(AS1199+Variables!$B$19)-AW1199),""))</f>
        <v>-4</v>
      </c>
      <c r="BF1199" s="43">
        <f>IF($AX1199="Cancelled","",IFERROR(W1199*INDEX(Variables!$B$7:$D$7,IFERROR(MATCH(IF($B1199="Robusta","Robusta",(IF($B1199="","Arabica",$B1199))&amp;" - "&amp;(IF($C1199="","Commercial",$C1199))),Variables!$B$1:$D$1,0),1))*(BE1199/365),""))</f>
        <v>-99.526426781766546</v>
      </c>
      <c r="BG1199" s="43">
        <f>IF($AX1199="Cancelled","",IFERROR((W1199*INDEX(Variables!$B$7:$D$7,IFERROR(MATCH(IF($B1199="Robusta","Robusta",(IF($B1199="","Arabica",$B1199))&amp;" - "&amp;(IF($C1199="","Commercial",$C1199))),Variables!$B$1:$D$1,0),1))*IFERROR(IF(AB1199="","",(AVERAGE(E1199:F1199)-AB1199)-Variables!$B$14),"")/365)+(L1199/16.67*INDEX(Variables!$B$8:$D$8,IFERROR(MATCH(IF($B1199="Robusta","Robusta",(IF($B1199="","Arabica",$B1199))&amp;" - "&amp;(IF($C1199="","Commercial",$C1199))),Variables!$B$1:$D$1,0),1))*IFERROR(IF(AB1199="","",(AVERAGE(E1199:F1199)-AB1199)-Variables!$B$14),""))+(W1199*INDEX(Variables!$B$9:$D$9,IFERROR(MATCH(IF($B1199="Robusta","Robusta",(IF($B1199="","Arabica",$B1199))&amp;" - "&amp;(IF($C1199="","Commercial",$C1199))),Variables!$B$1:$D$1,0),1))*IFERROR(IF(AB1199="","",(AVERAGE(E1199:F1199)-AB1199)-Variables!$B$14),"")/365),""))</f>
        <v>267.81546105541878</v>
      </c>
      <c r="BH1199" s="43">
        <f>IF($AX1199="Cancelled","",IFERROR((W1199*INDEX(Variables!$B$7:$D$7,IFERROR(MATCH(IF($B1199="Robusta","Robusta",(IF($B1199="","Arabica",$B1199))&amp;" - "&amp;(IF($C1199="","Commercial",$C1199))),Variables!$B$1:$D$1,0),1))*AK1199/365)+(L1199/16.67*INDEX(Variables!$B$8:$D$8,IFERROR(MATCH(IF($B1199="Robusta","Robusta",(IF($B1199="","Arabica",$B1199))&amp;" - "&amp;(IF($C1199="","Commercial",$C1199))),Variables!$B$1:$D$1,0),1))*AK1199)+(W1199*INDEX(Variables!$B$9:$D$9,IFERROR(MATCH(IF($B1199="Robusta","Robusta",(IF($B1199="","Arabica",$B1199))&amp;" - "&amp;(IF($C1199="","Commercial",$C1199))),Variables!$B$1:$D$1,0),1))*AK1199/365),""))</f>
        <v>535.63092211083756</v>
      </c>
      <c r="BI1199" s="43">
        <f>IF($AX1199="Cancelled","",IFERROR((W1199*INDEX(Variables!$B$7:$D$7,IFERROR(MATCH(IF($B1199="Robusta","Robusta",(IF($B1199="","Arabica",$B1199))&amp;" - "&amp;(IF($C1199="","Commercial",$C1199))),Variables!$B$1:$D$1,0),1))*BD1199/365)+(L1199/16.67*INDEX(Variables!$B$8:$D$8,IFERROR(MATCH(IF($B1199="Robusta","Robusta",(IF($B1199="","Arabica",$B1199))&amp;" - "&amp;(IF($C1199="","Commercial",$C1199))),Variables!$B$1:$D$1,0),1))*BD1199)+(W1199*INDEX(Variables!$B$9:$D$9,IFERROR(MATCH(IF($B1199="Robusta","Robusta",(IF($B1199="","Arabica",$B1199))&amp;" - "&amp;(IF($C1199="","Commercial",$C1199))),Variables!$B$1:$D$1,0),1))*BD1199/365),""))</f>
        <v>41.202378623910583</v>
      </c>
      <c r="BJ1199" s="43">
        <f t="shared" si="57"/>
        <v>21</v>
      </c>
      <c r="BK1199" s="43">
        <f>IF($AX1199="Cancelled","",IFERROR(IF(BJ1199="","",(W1199*INDEX(Variables!$B$7:$D$7,IFERROR(MATCH(IF($B1199="Robusta","Robusta",(IF($B1199="","Arabica",$B1199))&amp;" - "&amp;(IF($C1199="","Commercial",$C1199))),Variables!$B$1:$D$1,0),1))*(BJ1199/365))+(W1199*INDEX(Variables!$B$9:$D$9,IFERROR(MATCH(IF($B1199="Robusta","Robusta",(IF($B1199="","Arabica",$B1199))&amp;" - "&amp;(IF($C1199="","Commercial",$C1199))),Variables!$B$1:$D$1,0),1))*(BJ1199/365))+(INDEX(Variables!$B$8:$D$8,IFERROR(MATCH(IF($B1199="Robusta","Robusta",(IF($B1199="","Arabica",$B1199))&amp;" - "&amp;(IF($C1199="","Commercial",$C1199))),Variables!$B$1:$D$1,0),1))*L1199/16.67)),""))</f>
        <v>545.2499511021224</v>
      </c>
    </row>
    <row r="1200" spans="1:63">
      <c r="A1200" s="13" t="s">
        <v>103</v>
      </c>
      <c r="B1200" s="13" t="s">
        <v>104</v>
      </c>
      <c r="C1200" s="13" t="s">
        <v>105</v>
      </c>
      <c r="D1200" s="31">
        <v>46190</v>
      </c>
      <c r="E1200" s="31">
        <v>46174</v>
      </c>
      <c r="F1200" s="31">
        <v>46203</v>
      </c>
      <c r="G1200" s="13">
        <v>3787630</v>
      </c>
      <c r="J1200" s="13" t="s">
        <v>909</v>
      </c>
      <c r="K1200" s="13" t="s">
        <v>2668</v>
      </c>
      <c r="L1200" s="13">
        <v>1</v>
      </c>
      <c r="M1200" s="13">
        <v>0</v>
      </c>
      <c r="N1200" s="13" t="s">
        <v>2953</v>
      </c>
      <c r="O1200" s="13" t="s">
        <v>120</v>
      </c>
      <c r="P1200" s="13">
        <v>10070</v>
      </c>
      <c r="R1200" s="13" t="s">
        <v>239</v>
      </c>
      <c r="S1200" s="13" t="s">
        <v>442</v>
      </c>
      <c r="T1200" s="13" t="s">
        <v>112</v>
      </c>
      <c r="U1200" s="13" t="s">
        <v>113</v>
      </c>
      <c r="V1200" s="23">
        <v>33</v>
      </c>
      <c r="W1200" s="44">
        <f>IF($AX1200="Cancelled","",IFERROR(((V1200+INDEX(Variables!$B$6:$D$6,IFERROR(MATCH(IF($B1200="Robusta","Robusta",(IF($B1200="","Arabica",$B1200))&amp;" - "&amp;(IF($C1200="","Commercial",$C1200))),Variables!$B$1:$D$1,0),1)))*22.0462)*(L1200/16.67),""))</f>
        <v>428.22792801439704</v>
      </c>
      <c r="X1200" s="55" t="s">
        <v>37</v>
      </c>
      <c r="Y1200" s="13" t="str">
        <f>IF($AX1200="Cancelled","",IF(X1200="","",IFERROR(IF(INDEX(Variables!$B$38:$B$47,MATCH(X1200,Variables!$A$38:$A$47,0))="Yes","Yes","No"),"No")))</f>
        <v>Yes</v>
      </c>
      <c r="Z1200" s="31"/>
      <c r="AC1200" s="13" t="str">
        <f t="shared" si="56"/>
        <v/>
      </c>
      <c r="AF1200" s="71">
        <v>46191</v>
      </c>
      <c r="AG1200" s="37">
        <f>IF($AX1200="Cancelled","",IFERROR(IF(F1200="","",F1200-Variables!$B$13),""))</f>
        <v>46188</v>
      </c>
      <c r="AH1200" s="13" t="str">
        <f>IF($AX1200="Cancelled","",IFERROR(IF(AB1200="","",(AVERAGE(E1200:F1200)-AB1200)-Variables!$B$14),""))</f>
        <v/>
      </c>
      <c r="AK1200" s="14" t="str">
        <f>IF($AX1200="Cancelled","",IFERROR(IF(AJ1200="","",IF(AND(AB1200="",AF1200=""),"",IF(AF1200&gt;AB1200,AF1200+Variables!$B$15+Variables!$B$16+Variables!$B$17-AJ1200,AB1200+Variables!$B$16+Variables!$B$17-AJ1200))),""))</f>
        <v/>
      </c>
      <c r="AL1200" s="48" t="s">
        <v>114</v>
      </c>
      <c r="AM1200" s="13" t="s">
        <v>134</v>
      </c>
      <c r="AN1200" s="13" t="s">
        <v>2468</v>
      </c>
      <c r="AP1200" s="39"/>
      <c r="AR1200" s="13" t="s">
        <v>2469</v>
      </c>
      <c r="AS1200" s="31">
        <v>46166</v>
      </c>
      <c r="AU1200" s="31">
        <v>46197</v>
      </c>
      <c r="AV1200" s="13" t="s">
        <v>865</v>
      </c>
      <c r="AW1200" s="31">
        <v>46197</v>
      </c>
      <c r="AX1200" s="13" t="str">
        <f>IF(ISNUMBER(SEARCH("cancel",#REF!)),"Cancelled",IF(AND(AS1200&lt;&gt;"",AU1200&lt;&gt;"",AW1200&lt;&gt;""),"Closed","Open"))</f>
        <v>Closed</v>
      </c>
      <c r="AY1200" s="25" t="str">
        <f t="shared" si="55"/>
        <v>All dates received</v>
      </c>
      <c r="BD1200" s="13" t="str">
        <f>IF($AX1200="Cancelled","",IFERROR(IF(OR(AS1200="",AJ1200=""),"",(AJ1200+Variables!$B$18-AS1200)),""))</f>
        <v/>
      </c>
      <c r="BE1200" s="13">
        <f>IF($AX1200="Cancelled","",IFERROR(IF(OR(AW1200="",AS1200=""),"",(AS1200+Variables!$B$19)-AW1200),""))</f>
        <v>-26</v>
      </c>
      <c r="BF1200" s="44">
        <f>IF($AX1200="Cancelled","",IFERROR(W1200*INDEX(Variables!$B$7:$D$7,IFERROR(MATCH(IF($B1200="Robusta","Robusta",(IF($B1200="","Arabica",$B1200))&amp;" - "&amp;(IF($C1200="","Commercial",$C1200))),Variables!$B$1:$D$1,0),1))*(BE1200/365),""))</f>
        <v>-1.9669590449179692</v>
      </c>
      <c r="BG1200" s="44" t="str">
        <f>IF($AX1200="Cancelled","",IFERROR((W1200*INDEX(Variables!$B$7:$D$7,IFERROR(MATCH(IF($B1200="Robusta","Robusta",(IF($B1200="","Arabica",$B1200))&amp;" - "&amp;(IF($C1200="","Commercial",$C1200))),Variables!$B$1:$D$1,0),1))*IFERROR(IF(AB1200="","",(AVERAGE(E1200:F1200)-AB1200)-Variables!$B$14),"")/365)+(L1200/16.67*INDEX(Variables!$B$8:$D$8,IFERROR(MATCH(IF($B1200="Robusta","Robusta",(IF($B1200="","Arabica",$B1200))&amp;" - "&amp;(IF($C1200="","Commercial",$C1200))),Variables!$B$1:$D$1,0),1))*IFERROR(IF(AB1200="","",(AVERAGE(E1200:F1200)-AB1200)-Variables!$B$14),""))+(W1200*INDEX(Variables!$B$9:$D$9,IFERROR(MATCH(IF($B1200="Robusta","Robusta",(IF($B1200="","Arabica",$B1200))&amp;" - "&amp;(IF($C1200="","Commercial",$C1200))),Variables!$B$1:$D$1,0),1))*IFERROR(IF(AB1200="","",(AVERAGE(E1200:F1200)-AB1200)-Variables!$B$14),"")/365),""))</f>
        <v/>
      </c>
      <c r="BH1200" s="44" t="str">
        <f>IF($AX1200="Cancelled","",IFERROR((W1200*INDEX(Variables!$B$7:$D$7,IFERROR(MATCH(IF($B1200="Robusta","Robusta",(IF($B1200="","Arabica",$B1200))&amp;" - "&amp;(IF($C1200="","Commercial",$C1200))),Variables!$B$1:$D$1,0),1))*AK1200/365)+(L1200/16.67*INDEX(Variables!$B$8:$D$8,IFERROR(MATCH(IF($B1200="Robusta","Robusta",(IF($B1200="","Arabica",$B1200))&amp;" - "&amp;(IF($C1200="","Commercial",$C1200))),Variables!$B$1:$D$1,0),1))*AK1200)+(W1200*INDEX(Variables!$B$9:$D$9,IFERROR(MATCH(IF($B1200="Robusta","Robusta",(IF($B1200="","Arabica",$B1200))&amp;" - "&amp;(IF($C1200="","Commercial",$C1200))),Variables!$B$1:$D$1,0),1))*AK1200/365),""))</f>
        <v/>
      </c>
      <c r="BI1200" s="44" t="str">
        <f>IF($AX1200="Cancelled","",IFERROR((W1200*INDEX(Variables!$B$7:$D$7,IFERROR(MATCH(IF($B1200="Robusta","Robusta",(IF($B1200="","Arabica",$B1200))&amp;" - "&amp;(IF($C1200="","Commercial",$C1200))),Variables!$B$1:$D$1,0),1))*BD1200/365)+(L1200/16.67*INDEX(Variables!$B$8:$D$8,IFERROR(MATCH(IF($B1200="Robusta","Robusta",(IF($B1200="","Arabica",$B1200))&amp;" - "&amp;(IF($C1200="","Commercial",$C1200))),Variables!$B$1:$D$1,0),1))*BD1200)+(W1200*INDEX(Variables!$B$9:$D$9,IFERROR(MATCH(IF($B1200="Robusta","Robusta",(IF($B1200="","Arabica",$B1200))&amp;" - "&amp;(IF($C1200="","Commercial",$C1200))),Variables!$B$1:$D$1,0),1))*BD1200/365),""))</f>
        <v/>
      </c>
      <c r="BJ1200" s="44">
        <f t="shared" si="57"/>
        <v>37</v>
      </c>
      <c r="BK1200" s="44">
        <f>IF($AX1200="Cancelled","",IFERROR(IF(BJ1200="","",(W1200*INDEX(Variables!$B$7:$D$7,IFERROR(MATCH(IF($B1200="Robusta","Robusta",(IF($B1200="","Arabica",$B1200))&amp;" - "&amp;(IF($C1200="","Commercial",$C1200))),Variables!$B$1:$D$1,0),1))*(BJ1200/365))+(W1200*INDEX(Variables!$B$9:$D$9,IFERROR(MATCH(IF($B1200="Robusta","Robusta",(IF($B1200="","Arabica",$B1200))&amp;" - "&amp;(IF($C1200="","Commercial",$C1200))),Variables!$B$1:$D$1,0),1))*(BJ1200/365))+(INDEX(Variables!$B$8:$D$8,IFERROR(MATCH(IF($B1200="Robusta","Robusta",(IF($B1200="","Arabica",$B1200))&amp;" - "&amp;(IF($C1200="","Commercial",$C1200))),Variables!$B$1:$D$1,0),1))*L1200/16.67)),""))</f>
        <v>2.88522026500172</v>
      </c>
    </row>
    <row r="1201" spans="1:63">
      <c r="A1201" s="13" t="s">
        <v>103</v>
      </c>
      <c r="B1201" s="13" t="s">
        <v>104</v>
      </c>
      <c r="C1201" s="13" t="s">
        <v>105</v>
      </c>
      <c r="D1201" s="31">
        <v>46197</v>
      </c>
      <c r="E1201" s="31">
        <v>46197</v>
      </c>
      <c r="F1201" s="31">
        <v>46227</v>
      </c>
      <c r="G1201" s="13">
        <v>3787632</v>
      </c>
      <c r="J1201" s="13" t="s">
        <v>2954</v>
      </c>
      <c r="K1201" s="13">
        <v>2489</v>
      </c>
      <c r="L1201" s="13">
        <v>640</v>
      </c>
      <c r="M1201" s="13">
        <v>2</v>
      </c>
      <c r="N1201" s="13" t="s">
        <v>2955</v>
      </c>
      <c r="O1201" s="13" t="s">
        <v>456</v>
      </c>
      <c r="P1201" s="13">
        <v>10140</v>
      </c>
      <c r="R1201" s="13" t="s">
        <v>110</v>
      </c>
      <c r="S1201" s="13" t="s">
        <v>2956</v>
      </c>
      <c r="T1201" s="13" t="s">
        <v>103</v>
      </c>
      <c r="U1201" s="13" t="s">
        <v>1091</v>
      </c>
      <c r="V1201" s="23">
        <v>-66</v>
      </c>
      <c r="W1201" s="44">
        <f>IF($AX1201="Cancelled","",IFERROR(((V1201+INDEX(Variables!$B$6:$D$6,IFERROR(MATCH(IF($B1201="Robusta","Robusta",(IF($B1201="","Arabica",$B1201))&amp;" - "&amp;(IF($C1201="","Commercial",$C1201))),Variables!$B$1:$D$1,0),1)))*22.0462)*(L1201/16.67),""))</f>
        <v>190271.79882423513</v>
      </c>
      <c r="X1201" s="55" t="s">
        <v>39</v>
      </c>
      <c r="Y1201" s="13" t="str">
        <f>IF($AX1201="Cancelled","",IF(X1201="","",IFERROR(IF(INDEX(Variables!$B$38:$B$47,MATCH(X1201,Variables!$A$38:$A$47,0))="Yes","Yes","No"),"No")))</f>
        <v>No</v>
      </c>
      <c r="Z1201" s="31" t="s">
        <v>39</v>
      </c>
      <c r="AB1201" s="31" t="s">
        <v>39</v>
      </c>
      <c r="AC1201" s="13" t="str">
        <f t="shared" si="56"/>
        <v/>
      </c>
      <c r="AF1201" s="71">
        <v>46216</v>
      </c>
      <c r="AG1201" s="37">
        <f>IF($AX1201="Cancelled","",IFERROR(IF(F1201="","",F1201-Variables!$B$13),""))</f>
        <v>46212</v>
      </c>
      <c r="AH1201" s="13" t="str">
        <f>IF($AX1201="Cancelled","",IFERROR(IF(AB1201="","",(AVERAGE(E1201:F1201)-AB1201)-Variables!$B$14),""))</f>
        <v/>
      </c>
      <c r="AJ1201" s="47">
        <v>46217</v>
      </c>
      <c r="AK1201" s="14" t="str">
        <f>IF($AX1201="Cancelled","",IFERROR(IF(AJ1201="","",IF(AND(AB1201="",AF1201=""),"",IF(AF1201&gt;AB1201,AF1201+Variables!$B$15+Variables!$B$16+Variables!$B$17-AJ1201,AB1201+Variables!$B$16+Variables!$B$17-AJ1201))),""))</f>
        <v/>
      </c>
      <c r="AL1201" s="48" t="s">
        <v>114</v>
      </c>
      <c r="AM1201" s="13" t="s">
        <v>8</v>
      </c>
      <c r="AN1201" s="13" t="s">
        <v>8</v>
      </c>
      <c r="AP1201" s="39"/>
      <c r="AR1201" s="13" t="s">
        <v>8</v>
      </c>
      <c r="AS1201" s="39">
        <v>46217</v>
      </c>
      <c r="AU1201" s="39">
        <v>46217</v>
      </c>
      <c r="AV1201" s="13" t="s">
        <v>865</v>
      </c>
      <c r="AW1201" s="39">
        <v>46217</v>
      </c>
      <c r="AX1201" s="13" t="str">
        <f>IF(ISNUMBER(SEARCH("cancel",#REF!)),"Cancelled",IF(AND(AS1201&lt;&gt;"",AU1201&lt;&gt;"",AW1201&lt;&gt;""),"Closed","Open"))</f>
        <v>Closed</v>
      </c>
      <c r="AY1201" s="25" t="str">
        <f t="shared" si="55"/>
        <v>All dates received</v>
      </c>
      <c r="BD1201" s="13">
        <f>IF($AX1201="Cancelled","",IFERROR(IF(OR(AS1201="",AJ1201=""),"",(AJ1201+Variables!$B$18-AS1201)),""))</f>
        <v>15</v>
      </c>
      <c r="BE1201" s="13">
        <f>IF($AX1201="Cancelled","",IFERROR(IF(OR(AW1201="",AS1201=""),"",(AS1201+Variables!$B$19)-AW1201),""))</f>
        <v>5</v>
      </c>
      <c r="BF1201" s="44">
        <f>IF($AX1201="Cancelled","",IFERROR(W1201*INDEX(Variables!$B$7:$D$7,IFERROR(MATCH(IF($B1201="Robusta","Robusta",(IF($B1201="","Arabica",$B1201))&amp;" - "&amp;(IF($C1201="","Commercial",$C1201))),Variables!$B$1:$D$1,0),1))*(BE1201/365),""))</f>
        <v>168.07046830334374</v>
      </c>
      <c r="BG1201" s="44" t="str">
        <f>IF($AX1201="Cancelled","",IFERROR((W1201*INDEX(Variables!$B$7:$D$7,IFERROR(MATCH(IF($B1201="Robusta","Robusta",(IF($B1201="","Arabica",$B1201))&amp;" - "&amp;(IF($C1201="","Commercial",$C1201))),Variables!$B$1:$D$1,0),1))*IFERROR(IF(AB1201="","",(AVERAGE(E1201:F1201)-AB1201)-Variables!$B$14),"")/365)+(L1201/16.67*INDEX(Variables!$B$8:$D$8,IFERROR(MATCH(IF($B1201="Robusta","Robusta",(IF($B1201="","Arabica",$B1201))&amp;" - "&amp;(IF($C1201="","Commercial",$C1201))),Variables!$B$1:$D$1,0),1))*IFERROR(IF(AB1201="","",(AVERAGE(E1201:F1201)-AB1201)-Variables!$B$14),""))+(W1201*INDEX(Variables!$B$9:$D$9,IFERROR(MATCH(IF($B1201="Robusta","Robusta",(IF($B1201="","Arabica",$B1201))&amp;" - "&amp;(IF($C1201="","Commercial",$C1201))),Variables!$B$1:$D$1,0),1))*IFERROR(IF(AB1201="","",(AVERAGE(E1201:F1201)-AB1201)-Variables!$B$14),"")/365),""))</f>
        <v/>
      </c>
      <c r="BH1201" s="44" t="str">
        <f>IF($AX1201="Cancelled","",IFERROR((W1201*INDEX(Variables!$B$7:$D$7,IFERROR(MATCH(IF($B1201="Robusta","Robusta",(IF($B1201="","Arabica",$B1201))&amp;" - "&amp;(IF($C1201="","Commercial",$C1201))),Variables!$B$1:$D$1,0),1))*AK1201/365)+(L1201/16.67*INDEX(Variables!$B$8:$D$8,IFERROR(MATCH(IF($B1201="Robusta","Robusta",(IF($B1201="","Arabica",$B1201))&amp;" - "&amp;(IF($C1201="","Commercial",$C1201))),Variables!$B$1:$D$1,0),1))*AK1201)+(W1201*INDEX(Variables!$B$9:$D$9,IFERROR(MATCH(IF($B1201="Robusta","Robusta",(IF($B1201="","Arabica",$B1201))&amp;" - "&amp;(IF($C1201="","Commercial",$C1201))),Variables!$B$1:$D$1,0),1))*AK1201/365),""))</f>
        <v/>
      </c>
      <c r="BI1201" s="44">
        <f>IF($AX1201="Cancelled","",IFERROR((W1201*INDEX(Variables!$B$7:$D$7,IFERROR(MATCH(IF($B1201="Robusta","Robusta",(IF($B1201="","Arabica",$B1201))&amp;" - "&amp;(IF($C1201="","Commercial",$C1201))),Variables!$B$1:$D$1,0),1))*BD1201/365)+(L1201/16.67*INDEX(Variables!$B$8:$D$8,IFERROR(MATCH(IF($B1201="Robusta","Robusta",(IF($B1201="","Arabica",$B1201))&amp;" - "&amp;(IF($C1201="","Commercial",$C1201))),Variables!$B$1:$D$1,0),1))*BD1201)+(W1201*INDEX(Variables!$B$9:$D$9,IFERROR(MATCH(IF($B1201="Robusta","Robusta",(IF($B1201="","Arabica",$B1201))&amp;" - "&amp;(IF($C1201="","Commercial",$C1201))),Variables!$B$1:$D$1,0),1))*BD1201/365),""))</f>
        <v>990.71166297972661</v>
      </c>
      <c r="BJ1201" s="44">
        <f t="shared" si="57"/>
        <v>10</v>
      </c>
      <c r="BK1201" s="44">
        <f>IF($AX1201="Cancelled","",IFERROR(IF(BJ1201="","",(W1201*INDEX(Variables!$B$7:$D$7,IFERROR(MATCH(IF($B1201="Robusta","Robusta",(IF($B1201="","Arabica",$B1201))&amp;" - "&amp;(IF($C1201="","Commercial",$C1201))),Variables!$B$1:$D$1,0),1))*(BJ1201/365))+(W1201*INDEX(Variables!$B$9:$D$9,IFERROR(MATCH(IF($B1201="Robusta","Robusta",(IF($B1201="","Arabica",$B1201))&amp;" - "&amp;(IF($C1201="","Commercial",$C1201))),Variables!$B$1:$D$1,0),1))*(BJ1201/365))+(INDEX(Variables!$B$8:$D$8,IFERROR(MATCH(IF($B1201="Robusta","Robusta",(IF($B1201="","Arabica",$B1201))&amp;" - "&amp;(IF($C1201="","Commercial",$C1201))),Variables!$B$1:$D$1,0),1))*L1201/16.67)),""))</f>
        <v>372.47444198648441</v>
      </c>
    </row>
    <row r="1202" spans="1:63">
      <c r="A1202" s="13" t="s">
        <v>103</v>
      </c>
      <c r="B1202" s="13" t="s">
        <v>104</v>
      </c>
      <c r="C1202" s="13" t="s">
        <v>105</v>
      </c>
      <c r="D1202" s="31">
        <v>46197</v>
      </c>
      <c r="E1202" s="31">
        <v>46197</v>
      </c>
      <c r="F1202" s="31">
        <v>46227</v>
      </c>
      <c r="G1202" s="13">
        <v>3787633</v>
      </c>
      <c r="J1202" s="13" t="s">
        <v>2954</v>
      </c>
      <c r="K1202" s="13">
        <v>2490</v>
      </c>
      <c r="L1202" s="13">
        <v>640</v>
      </c>
      <c r="M1202" s="13">
        <v>2</v>
      </c>
      <c r="N1202" s="13" t="s">
        <v>2955</v>
      </c>
      <c r="O1202" s="13" t="s">
        <v>456</v>
      </c>
      <c r="P1202" s="13">
        <v>10140</v>
      </c>
      <c r="R1202" s="13" t="s">
        <v>110</v>
      </c>
      <c r="S1202" s="13" t="s">
        <v>1090</v>
      </c>
      <c r="T1202" s="13" t="s">
        <v>103</v>
      </c>
      <c r="U1202" s="13" t="s">
        <v>1091</v>
      </c>
      <c r="V1202" s="23">
        <v>-66</v>
      </c>
      <c r="W1202" s="44">
        <f>IF($AX1202="Cancelled","",IFERROR(((V1202+INDEX(Variables!$B$6:$D$6,IFERROR(MATCH(IF($B1202="Robusta","Robusta",(IF($B1202="","Arabica",$B1202))&amp;" - "&amp;(IF($C1202="","Commercial",$C1202))),Variables!$B$1:$D$1,0),1)))*22.0462)*(L1202/16.67),""))</f>
        <v>190271.79882423513</v>
      </c>
      <c r="X1202" s="55" t="s">
        <v>39</v>
      </c>
      <c r="Y1202" s="13" t="str">
        <f>IF($AX1202="Cancelled","",IF(X1202="","",IFERROR(IF(INDEX(Variables!$B$38:$B$47,MATCH(X1202,Variables!$A$38:$A$47,0))="Yes","Yes","No"),"No")))</f>
        <v>No</v>
      </c>
      <c r="Z1202" s="31" t="s">
        <v>39</v>
      </c>
      <c r="AB1202" s="31" t="s">
        <v>39</v>
      </c>
      <c r="AC1202" s="13" t="str">
        <f t="shared" si="56"/>
        <v/>
      </c>
      <c r="AF1202" s="71">
        <v>46216</v>
      </c>
      <c r="AG1202" s="37">
        <f>IF($AX1202="Cancelled","",IFERROR(IF(F1202="","",F1202-Variables!$B$13),""))</f>
        <v>46212</v>
      </c>
      <c r="AH1202" s="13" t="str">
        <f>IF($AX1202="Cancelled","",IFERROR(IF(AB1202="","",(AVERAGE(E1202:F1202)-AB1202)-Variables!$B$14),""))</f>
        <v/>
      </c>
      <c r="AJ1202" s="47">
        <v>46218</v>
      </c>
      <c r="AK1202" s="14" t="str">
        <f>IF($AX1202="Cancelled","",IFERROR(IF(AJ1202="","",IF(AND(AB1202="",AF1202=""),"",IF(AF1202&gt;AB1202,AF1202+Variables!$B$15+Variables!$B$16+Variables!$B$17-AJ1202,AB1202+Variables!$B$16+Variables!$B$17-AJ1202))),""))</f>
        <v/>
      </c>
      <c r="AL1202" s="48" t="s">
        <v>114</v>
      </c>
      <c r="AM1202" s="13" t="s">
        <v>8</v>
      </c>
      <c r="AN1202" s="13" t="s">
        <v>8</v>
      </c>
      <c r="AP1202" s="39"/>
      <c r="AR1202" s="13" t="s">
        <v>8</v>
      </c>
      <c r="AS1202" s="39">
        <v>46218</v>
      </c>
      <c r="AU1202" s="39">
        <v>46218</v>
      </c>
      <c r="AV1202" s="13" t="s">
        <v>865</v>
      </c>
      <c r="AW1202" s="39">
        <v>46218</v>
      </c>
      <c r="AX1202" s="13" t="str">
        <f>IF(ISNUMBER(SEARCH("cancel",#REF!)),"Cancelled",IF(AND(AS1202&lt;&gt;"",AU1202&lt;&gt;"",AW1202&lt;&gt;""),"Closed","Open"))</f>
        <v>Closed</v>
      </c>
      <c r="AY1202" s="25" t="str">
        <f t="shared" si="55"/>
        <v>All dates received</v>
      </c>
      <c r="BD1202" s="13">
        <f>IF($AX1202="Cancelled","",IFERROR(IF(OR(AS1202="",AJ1202=""),"",(AJ1202+Variables!$B$18-AS1202)),""))</f>
        <v>15</v>
      </c>
      <c r="BE1202" s="13">
        <f>IF($AX1202="Cancelled","",IFERROR(IF(OR(AW1202="",AS1202=""),"",(AS1202+Variables!$B$19)-AW1202),""))</f>
        <v>5</v>
      </c>
      <c r="BF1202" s="44">
        <f>IF($AX1202="Cancelled","",IFERROR(W1202*INDEX(Variables!$B$7:$D$7,IFERROR(MATCH(IF($B1202="Robusta","Robusta",(IF($B1202="","Arabica",$B1202))&amp;" - "&amp;(IF($C1202="","Commercial",$C1202))),Variables!$B$1:$D$1,0),1))*(BE1202/365),""))</f>
        <v>168.07046830334374</v>
      </c>
      <c r="BG1202" s="44" t="str">
        <f>IF($AX1202="Cancelled","",IFERROR((W1202*INDEX(Variables!$B$7:$D$7,IFERROR(MATCH(IF($B1202="Robusta","Robusta",(IF($B1202="","Arabica",$B1202))&amp;" - "&amp;(IF($C1202="","Commercial",$C1202))),Variables!$B$1:$D$1,0),1))*IFERROR(IF(AB1202="","",(AVERAGE(E1202:F1202)-AB1202)-Variables!$B$14),"")/365)+(L1202/16.67*INDEX(Variables!$B$8:$D$8,IFERROR(MATCH(IF($B1202="Robusta","Robusta",(IF($B1202="","Arabica",$B1202))&amp;" - "&amp;(IF($C1202="","Commercial",$C1202))),Variables!$B$1:$D$1,0),1))*IFERROR(IF(AB1202="","",(AVERAGE(E1202:F1202)-AB1202)-Variables!$B$14),""))+(W1202*INDEX(Variables!$B$9:$D$9,IFERROR(MATCH(IF($B1202="Robusta","Robusta",(IF($B1202="","Arabica",$B1202))&amp;" - "&amp;(IF($C1202="","Commercial",$C1202))),Variables!$B$1:$D$1,0),1))*IFERROR(IF(AB1202="","",(AVERAGE(E1202:F1202)-AB1202)-Variables!$B$14),"")/365),""))</f>
        <v/>
      </c>
      <c r="BH1202" s="44" t="str">
        <f>IF($AX1202="Cancelled","",IFERROR((W1202*INDEX(Variables!$B$7:$D$7,IFERROR(MATCH(IF($B1202="Robusta","Robusta",(IF($B1202="","Arabica",$B1202))&amp;" - "&amp;(IF($C1202="","Commercial",$C1202))),Variables!$B$1:$D$1,0),1))*AK1202/365)+(L1202/16.67*INDEX(Variables!$B$8:$D$8,IFERROR(MATCH(IF($B1202="Robusta","Robusta",(IF($B1202="","Arabica",$B1202))&amp;" - "&amp;(IF($C1202="","Commercial",$C1202))),Variables!$B$1:$D$1,0),1))*AK1202)+(W1202*INDEX(Variables!$B$9:$D$9,IFERROR(MATCH(IF($B1202="Robusta","Robusta",(IF($B1202="","Arabica",$B1202))&amp;" - "&amp;(IF($C1202="","Commercial",$C1202))),Variables!$B$1:$D$1,0),1))*AK1202/365),""))</f>
        <v/>
      </c>
      <c r="BI1202" s="44">
        <f>IF($AX1202="Cancelled","",IFERROR((W1202*INDEX(Variables!$B$7:$D$7,IFERROR(MATCH(IF($B1202="Robusta","Robusta",(IF($B1202="","Arabica",$B1202))&amp;" - "&amp;(IF($C1202="","Commercial",$C1202))),Variables!$B$1:$D$1,0),1))*BD1202/365)+(L1202/16.67*INDEX(Variables!$B$8:$D$8,IFERROR(MATCH(IF($B1202="Robusta","Robusta",(IF($B1202="","Arabica",$B1202))&amp;" - "&amp;(IF($C1202="","Commercial",$C1202))),Variables!$B$1:$D$1,0),1))*BD1202)+(W1202*INDEX(Variables!$B$9:$D$9,IFERROR(MATCH(IF($B1202="Robusta","Robusta",(IF($B1202="","Arabica",$B1202))&amp;" - "&amp;(IF($C1202="","Commercial",$C1202))),Variables!$B$1:$D$1,0),1))*BD1202/365),""))</f>
        <v>990.71166297972661</v>
      </c>
      <c r="BJ1202" s="44">
        <f t="shared" si="57"/>
        <v>9</v>
      </c>
      <c r="BK1202" s="44">
        <f>IF($AX1202="Cancelled","",IFERROR(IF(BJ1202="","",(W1202*INDEX(Variables!$B$7:$D$7,IFERROR(MATCH(IF($B1202="Robusta","Robusta",(IF($B1202="","Arabica",$B1202))&amp;" - "&amp;(IF($C1202="","Commercial",$C1202))),Variables!$B$1:$D$1,0),1))*(BJ1202/365))+(W1202*INDEX(Variables!$B$9:$D$9,IFERROR(MATCH(IF($B1202="Robusta","Robusta",(IF($B1202="","Arabica",$B1202))&amp;" - "&amp;(IF($C1202="","Commercial",$C1202))),Variables!$B$1:$D$1,0),1))*(BJ1202/365))+(INDEX(Variables!$B$8:$D$8,IFERROR(MATCH(IF($B1202="Robusta","Robusta",(IF($B1202="","Arabica",$B1202))&amp;" - "&amp;(IF($C1202="","Commercial",$C1202))),Variables!$B$1:$D$1,0),1))*L1202/16.67)),""))</f>
        <v>338.42699778783594</v>
      </c>
    </row>
    <row r="1203" spans="1:63">
      <c r="A1203" s="13" t="s">
        <v>103</v>
      </c>
      <c r="B1203" s="13" t="s">
        <v>104</v>
      </c>
      <c r="C1203" s="13" t="s">
        <v>105</v>
      </c>
      <c r="D1203" s="31">
        <v>46197</v>
      </c>
      <c r="E1203" s="31">
        <v>46204</v>
      </c>
      <c r="F1203" s="31">
        <v>46234</v>
      </c>
      <c r="G1203" s="13">
        <v>3787634</v>
      </c>
      <c r="J1203" s="13" t="s">
        <v>2315</v>
      </c>
      <c r="L1203" s="13">
        <v>960</v>
      </c>
      <c r="M1203" s="13">
        <v>0</v>
      </c>
      <c r="N1203" s="13" t="s">
        <v>467</v>
      </c>
      <c r="P1203" s="13">
        <v>10150</v>
      </c>
      <c r="R1203" s="13" t="s">
        <v>467</v>
      </c>
      <c r="S1203" s="13" t="s">
        <v>467</v>
      </c>
      <c r="T1203" s="13" t="s">
        <v>467</v>
      </c>
      <c r="U1203" s="13" t="s">
        <v>467</v>
      </c>
      <c r="V1203" s="23">
        <v>-63</v>
      </c>
      <c r="W1203" s="44">
        <f>IF($AX1203="Cancelled","",IFERROR(((V1203+INDEX(Variables!$B$6:$D$6,IFERROR(MATCH(IF($B1203="Robusta","Robusta",(IF($B1203="","Arabica",$B1203))&amp;" - "&amp;(IF($C1203="","Commercial",$C1203))),Variables!$B$1:$D$1,0),1)))*22.0462)*(L1203/16.67),""))</f>
        <v>289216.51983203355</v>
      </c>
      <c r="Y1203" s="13" t="str">
        <f>IF($AX1203="Cancelled","",IF(X1203="","",IFERROR(IF(INDEX(Variables!$B$38:$B$47,MATCH(X1203,Variables!$A$38:$A$47,0))="Yes","Yes","No"),"No")))</f>
        <v/>
      </c>
      <c r="Z1203" s="31">
        <v>46197</v>
      </c>
      <c r="AB1203" s="31">
        <v>46197</v>
      </c>
      <c r="AC1203" s="13" t="str">
        <f t="shared" si="56"/>
        <v>Approved</v>
      </c>
      <c r="AD1203" s="31">
        <v>46197</v>
      </c>
      <c r="AF1203" s="71">
        <v>46197</v>
      </c>
      <c r="AG1203" s="37">
        <f>IF($AX1203="Cancelled","",IFERROR(IF(F1203="","",F1203-Variables!$B$13),""))</f>
        <v>46219</v>
      </c>
      <c r="AH1203" s="13">
        <f>IF($AX1203="Cancelled","",IFERROR(IF(AB1203="","",(AVERAGE(E1203:F1203)-AB1203)-Variables!$B$14),""))</f>
        <v>-8</v>
      </c>
      <c r="AJ1203" s="47">
        <v>46197</v>
      </c>
      <c r="AK1203" s="14">
        <f>IF($AX1203="Cancelled","",IFERROR(IF(AJ1203="","",IF(AND(AB1203="",AF1203=""),"",IF(AF1203&gt;AB1203,AF1203+Variables!$B$15+Variables!$B$16+Variables!$B$17-AJ1203,AB1203+Variables!$B$16+Variables!$B$17-AJ1203))),""))</f>
        <v>8</v>
      </c>
      <c r="AL1203" s="48" t="s">
        <v>114</v>
      </c>
      <c r="AM1203" s="13" t="s">
        <v>467</v>
      </c>
      <c r="AN1203" s="13" t="s">
        <v>467</v>
      </c>
      <c r="AO1203" s="31">
        <v>46197</v>
      </c>
      <c r="AP1203" s="39">
        <v>46197</v>
      </c>
      <c r="AQ1203" s="31">
        <v>46197</v>
      </c>
      <c r="AR1203" s="13" t="s">
        <v>467</v>
      </c>
      <c r="AS1203" s="39" t="s">
        <v>8</v>
      </c>
      <c r="AU1203" s="39" t="s">
        <v>8</v>
      </c>
      <c r="AV1203" s="13" t="s">
        <v>467</v>
      </c>
      <c r="AW1203" s="39" t="s">
        <v>8</v>
      </c>
      <c r="AX1203" s="13" t="str">
        <f>IF(ISNUMBER(SEARCH("cancel",#REF!)),"Cancelled",IF(AND(AS1203&lt;&gt;"",AU1203&lt;&gt;"",AW1203&lt;&gt;""),"Closed","Open"))</f>
        <v>Closed</v>
      </c>
      <c r="AY1203" s="25" t="str">
        <f t="shared" si="55"/>
        <v>All dates received</v>
      </c>
      <c r="BD1203" s="13" t="str">
        <f>IF($AX1203="Cancelled","",IFERROR(IF(OR(AS1203="",AJ1203=""),"",(AJ1203+Variables!$B$18-AS1203)),""))</f>
        <v/>
      </c>
      <c r="BE1203" s="13" t="str">
        <f>IF($AX1203="Cancelled","",IFERROR(IF(OR(AW1203="",AS1203=""),"",(AS1203+Variables!$B$19)-AW1203),""))</f>
        <v/>
      </c>
      <c r="BF1203" s="44" t="str">
        <f>IF($AX1203="Cancelled","",IFERROR(W1203*INDEX(Variables!$B$7:$D$7,IFERROR(MATCH(IF($B1203="Robusta","Robusta",(IF($B1203="","Arabica",$B1203))&amp;" - "&amp;(IF($C1203="","Commercial",$C1203))),Variables!$B$1:$D$1,0),1))*(BE1203/365),""))</f>
        <v/>
      </c>
      <c r="BG1203" s="44">
        <f>IF($AX1203="Cancelled","",IFERROR((W1203*INDEX(Variables!$B$7:$D$7,IFERROR(MATCH(IF($B1203="Robusta","Robusta",(IF($B1203="","Arabica",$B1203))&amp;" - "&amp;(IF($C1203="","Commercial",$C1203))),Variables!$B$1:$D$1,0),1))*IFERROR(IF(AB1203="","",(AVERAGE(E1203:F1203)-AB1203)-Variables!$B$14),"")/365)+(L1203/16.67*INDEX(Variables!$B$8:$D$8,IFERROR(MATCH(IF($B1203="Robusta","Robusta",(IF($B1203="","Arabica",$B1203))&amp;" - "&amp;(IF($C1203="","Commercial",$C1203))),Variables!$B$1:$D$1,0),1))*IFERROR(IF(AB1203="","",(AVERAGE(E1203:F1203)-AB1203)-Variables!$B$14),""))+(W1203*INDEX(Variables!$B$9:$D$9,IFERROR(MATCH(IF($B1203="Robusta","Robusta",(IF($B1203="","Arabica",$B1203))&amp;" - "&amp;(IF($C1203="","Commercial",$C1203))),Variables!$B$1:$D$1,0),1))*IFERROR(IF(AB1203="","",(AVERAGE(E1203:F1203)-AB1203)-Variables!$B$14),"")/365),""))</f>
        <v>-798.02176806683883</v>
      </c>
      <c r="BH1203" s="44">
        <f>IF($AX1203="Cancelled","",IFERROR((W1203*INDEX(Variables!$B$7:$D$7,IFERROR(MATCH(IF($B1203="Robusta","Robusta",(IF($B1203="","Arabica",$B1203))&amp;" - "&amp;(IF($C1203="","Commercial",$C1203))),Variables!$B$1:$D$1,0),1))*AK1203/365)+(L1203/16.67*INDEX(Variables!$B$8:$D$8,IFERROR(MATCH(IF($B1203="Robusta","Robusta",(IF($B1203="","Arabica",$B1203))&amp;" - "&amp;(IF($C1203="","Commercial",$C1203))),Variables!$B$1:$D$1,0),1))*AK1203)+(W1203*INDEX(Variables!$B$9:$D$9,IFERROR(MATCH(IF($B1203="Robusta","Robusta",(IF($B1203="","Arabica",$B1203))&amp;" - "&amp;(IF($C1203="","Commercial",$C1203))),Variables!$B$1:$D$1,0),1))*AK1203/365),""))</f>
        <v>798.02176806683883</v>
      </c>
      <c r="BI1203" s="44" t="str">
        <f>IF($AX1203="Cancelled","",IFERROR((W1203*INDEX(Variables!$B$7:$D$7,IFERROR(MATCH(IF($B1203="Robusta","Robusta",(IF($B1203="","Arabica",$B1203))&amp;" - "&amp;(IF($C1203="","Commercial",$C1203))),Variables!$B$1:$D$1,0),1))*BD1203/365)+(L1203/16.67*INDEX(Variables!$B$8:$D$8,IFERROR(MATCH(IF($B1203="Robusta","Robusta",(IF($B1203="","Arabica",$B1203))&amp;" - "&amp;(IF($C1203="","Commercial",$C1203))),Variables!$B$1:$D$1,0),1))*BD1203)+(W1203*INDEX(Variables!$B$9:$D$9,IFERROR(MATCH(IF($B1203="Robusta","Robusta",(IF($B1203="","Arabica",$B1203))&amp;" - "&amp;(IF($C1203="","Commercial",$C1203))),Variables!$B$1:$D$1,0),1))*BD1203/365),""))</f>
        <v/>
      </c>
      <c r="BJ1203" s="44" t="str">
        <f t="shared" si="57"/>
        <v/>
      </c>
      <c r="BK1203" s="44" t="str">
        <f>IF($AX1203="Cancelled","",IFERROR(IF(BJ1203="","",(W1203*INDEX(Variables!$B$7:$D$7,IFERROR(MATCH(IF($B1203="Robusta","Robusta",(IF($B1203="","Arabica",$B1203))&amp;" - "&amp;(IF($C1203="","Commercial",$C1203))),Variables!$B$1:$D$1,0),1))*(BJ1203/365))+(W1203*INDEX(Variables!$B$9:$D$9,IFERROR(MATCH(IF($B1203="Robusta","Robusta",(IF($B1203="","Arabica",$B1203))&amp;" - "&amp;(IF($C1203="","Commercial",$C1203))),Variables!$B$1:$D$1,0),1))*(BJ1203/365))+(INDEX(Variables!$B$8:$D$8,IFERROR(MATCH(IF($B1203="Robusta","Robusta",(IF($B1203="","Arabica",$B1203))&amp;" - "&amp;(IF($C1203="","Commercial",$C1203))),Variables!$B$1:$D$1,0),1))*L1203/16.67)),""))</f>
        <v/>
      </c>
    </row>
    <row r="1204" spans="1:63">
      <c r="A1204" s="13" t="s">
        <v>103</v>
      </c>
      <c r="B1204" s="13" t="s">
        <v>104</v>
      </c>
      <c r="C1204" s="13" t="s">
        <v>105</v>
      </c>
      <c r="D1204" s="31">
        <v>46199</v>
      </c>
      <c r="E1204" s="31">
        <v>46235</v>
      </c>
      <c r="F1204" s="31">
        <v>46265</v>
      </c>
      <c r="G1204" s="13">
        <v>3787635</v>
      </c>
      <c r="J1204" s="13" t="s">
        <v>1040</v>
      </c>
      <c r="K1204" s="13">
        <v>5615</v>
      </c>
      <c r="L1204" s="13">
        <v>320</v>
      </c>
      <c r="M1204" s="13">
        <v>1</v>
      </c>
      <c r="N1204" s="13" t="s">
        <v>2957</v>
      </c>
      <c r="O1204" s="13" t="s">
        <v>120</v>
      </c>
      <c r="P1204" s="13">
        <v>10070</v>
      </c>
      <c r="R1204" s="13" t="s">
        <v>239</v>
      </c>
      <c r="S1204" s="13" t="s">
        <v>1557</v>
      </c>
      <c r="T1204" s="13" t="s">
        <v>112</v>
      </c>
      <c r="U1204" s="13" t="s">
        <v>113</v>
      </c>
      <c r="V1204" s="23">
        <v>58</v>
      </c>
      <c r="W1204" s="44">
        <f>IF($AX1204="Cancelled","",IFERROR(((V1204+INDEX(Variables!$B$6:$D$6,IFERROR(MATCH(IF($B1204="Robusta","Robusta",(IF($B1204="","Arabica",$B1204))&amp;" - "&amp;(IF($C1204="","Commercial",$C1204))),Variables!$B$1:$D$1,0),1)))*22.0462)*(L1204/16.67),""))</f>
        <v>147612.99695260945</v>
      </c>
      <c r="X1204" s="55" t="s">
        <v>37</v>
      </c>
      <c r="Y1204" s="13" t="str">
        <f>IF($AX1204="Cancelled","",IF(X1204="","",IFERROR(IF(INDEX(Variables!$B$38:$B$47,MATCH(X1204,Variables!$A$38:$A$47,0))="Yes","Yes","No"),"No")))</f>
        <v>Yes</v>
      </c>
      <c r="Z1204" s="58">
        <v>46217</v>
      </c>
      <c r="AB1204" s="31">
        <v>46223</v>
      </c>
      <c r="AC1204" s="13" t="str">
        <f t="shared" si="56"/>
        <v>Approved</v>
      </c>
      <c r="AF1204" s="71">
        <v>46245</v>
      </c>
      <c r="AG1204" s="37">
        <f>IF($AX1204="Cancelled","",IFERROR(IF(F1204="","",F1204-Variables!$B$13),""))</f>
        <v>46250</v>
      </c>
      <c r="AH1204" s="13">
        <f>IF($AX1204="Cancelled","",IFERROR(IF(AB1204="","",(AVERAGE(E1204:F1204)-AB1204)-Variables!$B$14),""))</f>
        <v>-3</v>
      </c>
      <c r="AJ1204" s="47">
        <v>46255</v>
      </c>
      <c r="AK1204" s="14">
        <f>IF($AX1204="Cancelled","",IFERROR(IF(AJ1204="","",IF(AND(AB1204="",AF1204=""),"",IF(AF1204&gt;AB1204,AF1204+Variables!$B$15+Variables!$B$16+Variables!$B$17-AJ1204,AB1204+Variables!$B$16+Variables!$B$17-AJ1204))),""))</f>
        <v>5</v>
      </c>
      <c r="AL1204" s="48" t="s">
        <v>114</v>
      </c>
      <c r="AM1204" s="13" t="s">
        <v>1482</v>
      </c>
      <c r="AN1204" s="13" t="s">
        <v>2936</v>
      </c>
      <c r="AP1204" s="39">
        <v>46268</v>
      </c>
      <c r="AR1204" s="13" t="s">
        <v>2958</v>
      </c>
      <c r="AS1204" s="31">
        <v>46268</v>
      </c>
      <c r="AU1204" s="39">
        <v>46295</v>
      </c>
      <c r="AV1204" s="13" t="s">
        <v>865</v>
      </c>
      <c r="AW1204" s="39">
        <v>46295</v>
      </c>
      <c r="AX1204" s="13" t="str">
        <f>IF(ISNUMBER(SEARCH("cancel",#REF!)),"Cancelled",IF(AND(AS1204&lt;&gt;"",AU1204&lt;&gt;"",AW1204&lt;&gt;""),"Closed","Open"))</f>
        <v>Closed</v>
      </c>
      <c r="AY1204" s="25" t="str">
        <f t="shared" si="55"/>
        <v>All dates received</v>
      </c>
      <c r="AZ1204" s="13" t="s">
        <v>3053</v>
      </c>
      <c r="BA1204" s="13" t="s">
        <v>3048</v>
      </c>
      <c r="BB1204" s="13" t="s">
        <v>3049</v>
      </c>
      <c r="BC1204" s="13" t="s">
        <v>3048</v>
      </c>
      <c r="BD1204" s="13">
        <f>IF($AX1204="Cancelled","",IFERROR(IF(OR(AS1204="",AJ1204=""),"",(AJ1204+Variables!$B$18-AS1204)),""))</f>
        <v>2</v>
      </c>
      <c r="BE1204" s="13">
        <f>IF($AX1204="Cancelled","",IFERROR(IF(OR(AW1204="",AS1204=""),"",(AS1204+Variables!$B$19)-AW1204),""))</f>
        <v>-22</v>
      </c>
      <c r="BF1204" s="44">
        <f>IF($AX1204="Cancelled","",IFERROR(W1204*INDEX(Variables!$B$7:$D$7,IFERROR(MATCH(IF($B1204="Robusta","Robusta",(IF($B1204="","Arabica",$B1204))&amp;" - "&amp;(IF($C1204="","Commercial",$C1204))),Variables!$B$1:$D$1,0),1))*(BE1204/365),""))</f>
        <v>-573.71243130451012</v>
      </c>
      <c r="BG1204" s="44">
        <f>IF($AX1204="Cancelled","",IFERROR((W1204*INDEX(Variables!$B$7:$D$7,IFERROR(MATCH(IF($B1204="Robusta","Robusta",(IF($B1204="","Arabica",$B1204))&amp;" - "&amp;(IF($C1204="","Commercial",$C1204))),Variables!$B$1:$D$1,0),1))*IFERROR(IF(AB1204="","",(AVERAGE(E1204:F1204)-AB1204)-Variables!$B$14),"")/365)+(L1204/16.67*INDEX(Variables!$B$8:$D$8,IFERROR(MATCH(IF($B1204="Robusta","Robusta",(IF($B1204="","Arabica",$B1204))&amp;" - "&amp;(IF($C1204="","Commercial",$C1204))),Variables!$B$1:$D$1,0),1))*IFERROR(IF(AB1204="","",(AVERAGE(E1204:F1204)-AB1204)-Variables!$B$14),""))+(W1204*INDEX(Variables!$B$9:$D$9,IFERROR(MATCH(IF($B1204="Robusta","Robusta",(IF($B1204="","Arabica",$B1204))&amp;" - "&amp;(IF($C1204="","Commercial",$C1204))),Variables!$B$1:$D$1,0),1))*IFERROR(IF(AB1204="","",(AVERAGE(E1204:F1204)-AB1204)-Variables!$B$14),"")/365),""))</f>
        <v>-127.24209432710349</v>
      </c>
      <c r="BH1204" s="44">
        <f>IF($AX1204="Cancelled","",IFERROR((W1204*INDEX(Variables!$B$7:$D$7,IFERROR(MATCH(IF($B1204="Robusta","Robusta",(IF($B1204="","Arabica",$B1204))&amp;" - "&amp;(IF($C1204="","Commercial",$C1204))),Variables!$B$1:$D$1,0),1))*AK1204/365)+(L1204/16.67*INDEX(Variables!$B$8:$D$8,IFERROR(MATCH(IF($B1204="Robusta","Robusta",(IF($B1204="","Arabica",$B1204))&amp;" - "&amp;(IF($C1204="","Commercial",$C1204))),Variables!$B$1:$D$1,0),1))*AK1204)+(W1204*INDEX(Variables!$B$9:$D$9,IFERROR(MATCH(IF($B1204="Robusta","Robusta",(IF($B1204="","Arabica",$B1204))&amp;" - "&amp;(IF($C1204="","Commercial",$C1204))),Variables!$B$1:$D$1,0),1))*AK1204/365),""))</f>
        <v>212.07015721183913</v>
      </c>
      <c r="BI1204" s="44">
        <f>IF($AX1204="Cancelled","",IFERROR((W1204*INDEX(Variables!$B$7:$D$7,IFERROR(MATCH(IF($B1204="Robusta","Robusta",(IF($B1204="","Arabica",$B1204))&amp;" - "&amp;(IF($C1204="","Commercial",$C1204))),Variables!$B$1:$D$1,0),1))*BD1204/365)+(L1204/16.67*INDEX(Variables!$B$8:$D$8,IFERROR(MATCH(IF($B1204="Robusta","Robusta",(IF($B1204="","Arabica",$B1204))&amp;" - "&amp;(IF($C1204="","Commercial",$C1204))),Variables!$B$1:$D$1,0),1))*BD1204)+(W1204*INDEX(Variables!$B$9:$D$9,IFERROR(MATCH(IF($B1204="Robusta","Robusta",(IF($B1204="","Arabica",$B1204))&amp;" - "&amp;(IF($C1204="","Commercial",$C1204))),Variables!$B$1:$D$1,0),1))*BD1204/365),""))</f>
        <v>84.828062884735658</v>
      </c>
      <c r="BJ1204" s="44">
        <f t="shared" si="57"/>
        <v>-3</v>
      </c>
      <c r="BK1204" s="44">
        <f>IF($AX1204="Cancelled","",IFERROR(IF(BJ1204="","",(W1204*INDEX(Variables!$B$7:$D$7,IFERROR(MATCH(IF($B1204="Robusta","Robusta",(IF($B1204="","Arabica",$B1204))&amp;" - "&amp;(IF($C1204="","Commercial",$C1204))),Variables!$B$1:$D$1,0),1))*(BJ1204/365))+(W1204*INDEX(Variables!$B$9:$D$9,IFERROR(MATCH(IF($B1204="Robusta","Robusta",(IF($B1204="","Arabica",$B1204))&amp;" - "&amp;(IF($C1204="","Commercial",$C1204))),Variables!$B$1:$D$1,0),1))*(BJ1204/365))+(INDEX(Variables!$B$8:$D$8,IFERROR(MATCH(IF($B1204="Robusta","Robusta",(IF($B1204="","Arabica",$B1204))&amp;" - "&amp;(IF($C1204="","Commercial",$C1204))),Variables!$B$1:$D$1,0),1))*L1204/16.67)),""))</f>
        <v>-63.242094327103473</v>
      </c>
    </row>
    <row r="1205" spans="1:63" s="33" customFormat="1">
      <c r="A1205" s="33" t="s">
        <v>103</v>
      </c>
      <c r="B1205" s="13" t="s">
        <v>104</v>
      </c>
      <c r="C1205" s="13" t="s">
        <v>105</v>
      </c>
      <c r="D1205" s="31">
        <v>46220</v>
      </c>
      <c r="E1205" s="31">
        <v>46266</v>
      </c>
      <c r="F1205" s="31">
        <v>46295</v>
      </c>
      <c r="G1205" s="33">
        <v>3787656</v>
      </c>
      <c r="H1205" s="13"/>
      <c r="I1205" s="13"/>
      <c r="J1205" s="13" t="s">
        <v>506</v>
      </c>
      <c r="K1205" s="13" t="s">
        <v>2959</v>
      </c>
      <c r="L1205" s="13">
        <v>100</v>
      </c>
      <c r="M1205" s="13">
        <v>1</v>
      </c>
      <c r="N1205" s="13" t="s">
        <v>2960</v>
      </c>
      <c r="O1205" s="13" t="s">
        <v>2961</v>
      </c>
      <c r="P1205" s="13">
        <v>10020</v>
      </c>
      <c r="Q1205" s="13"/>
      <c r="R1205" s="13" t="s">
        <v>239</v>
      </c>
      <c r="S1205" s="13" t="s">
        <v>509</v>
      </c>
      <c r="T1205" s="13" t="s">
        <v>329</v>
      </c>
      <c r="U1205" s="13" t="s">
        <v>330</v>
      </c>
      <c r="V1205" s="23">
        <v>172</v>
      </c>
      <c r="W1205" s="44">
        <f>IF($AX1205="Cancelled","",IFERROR(((V1205+INDEX(Variables!$B$6:$D$6,IFERROR(MATCH(IF($B1205="Robusta","Robusta",(IF($B1205="","Arabica",$B1205))&amp;" - "&amp;(IF($C1205="","Commercial",$C1205))),Variables!$B$1:$D$1,0),1)))*22.0462)*(L1205/16.67),""))</f>
        <v>61205.647030593871</v>
      </c>
      <c r="X1205" s="55" t="s">
        <v>39</v>
      </c>
      <c r="Y1205" s="13" t="str">
        <f>IF($AX1205="Cancelled","",IF(X1205="","",IFERROR(IF(INDEX(Variables!$B$38:$B$47,MATCH(X1205,Variables!$A$38:$A$47,0))="Yes","Yes","No"),"No")))</f>
        <v>No</v>
      </c>
      <c r="Z1205" s="31">
        <v>46231</v>
      </c>
      <c r="AA1205" s="13"/>
      <c r="AB1205" s="31"/>
      <c r="AC1205" s="13" t="str">
        <f t="shared" si="56"/>
        <v/>
      </c>
      <c r="AD1205" s="31">
        <v>46261</v>
      </c>
      <c r="AE1205" s="31"/>
      <c r="AF1205" s="71">
        <v>46266</v>
      </c>
      <c r="AG1205" s="37">
        <f>IF($AX1205="Cancelled","",IFERROR(IF(F1205="","",F1205-Variables!$B$13),""))</f>
        <v>46280</v>
      </c>
      <c r="AH1205" s="13" t="str">
        <f>IF($AX1205="Cancelled","",IFERROR(IF(AB1205="","",(AVERAGE(E1205:F1205)-AB1205)-Variables!$B$14),""))</f>
        <v/>
      </c>
      <c r="AI1205" s="13"/>
      <c r="AJ1205" s="47">
        <v>46273</v>
      </c>
      <c r="AK1205" s="14">
        <f>IF($AX1205="Cancelled","",IFERROR(IF(AJ1205="","",IF(AND(AB1205="",AF1205=""),"",IF(AF1205&gt;AB1205,AF1205+Variables!$B$15+Variables!$B$16+Variables!$B$17-AJ1205,AB1205+Variables!$B$16+Variables!$B$17-AJ1205))),""))</f>
        <v>8</v>
      </c>
      <c r="AL1205" s="48" t="s">
        <v>114</v>
      </c>
      <c r="AM1205" s="33" t="s">
        <v>115</v>
      </c>
      <c r="AN1205" s="33" t="s">
        <v>2962</v>
      </c>
      <c r="AO1205" s="39">
        <v>46279</v>
      </c>
      <c r="AP1205" s="39">
        <v>46278</v>
      </c>
      <c r="AQ1205" s="39">
        <v>46321</v>
      </c>
      <c r="AR1205" s="33">
        <v>276544979</v>
      </c>
      <c r="AS1205" s="39">
        <v>46293</v>
      </c>
      <c r="AT1205" s="39"/>
      <c r="AU1205" s="39">
        <v>46294</v>
      </c>
      <c r="AV1205" s="33" t="s">
        <v>865</v>
      </c>
      <c r="AW1205" s="39">
        <v>46294</v>
      </c>
      <c r="AX1205" s="33" t="str">
        <f>IF(ISNUMBER(SEARCH("cancel",#REF!)),"Cancelled",IF(AND(AS1205&lt;&gt;"",AU1205&lt;&gt;"",AW1205&lt;&gt;""),"Closed","Open"))</f>
        <v>Closed</v>
      </c>
      <c r="AY1205" s="25" t="str">
        <f t="shared" si="55"/>
        <v>All dates received</v>
      </c>
      <c r="BD1205" s="33">
        <f>IF($AX1205="Cancelled","",IFERROR(IF(OR(AS1205="",AJ1205=""),"",(AJ1205+Variables!$B$18-AS1205)),""))</f>
        <v>-5</v>
      </c>
      <c r="BE1205" s="33">
        <f>IF($AX1205="Cancelled","",IFERROR(IF(OR(AW1205="",AS1205=""),"",(AS1205+Variables!$B$19)-AW1205),""))</f>
        <v>4</v>
      </c>
      <c r="BF1205" s="43">
        <f>IF($AX1205="Cancelled","",IFERROR(W1205*INDEX(Variables!$B$7:$D$7,IFERROR(MATCH(IF($B1205="Robusta","Robusta",(IF($B1205="","Arabica",$B1205))&amp;" - "&amp;(IF($C1205="","Commercial",$C1205))),Variables!$B$1:$D$1,0),1))*(BE1205/365),""))</f>
        <v>43.251230388560664</v>
      </c>
      <c r="BG1205" s="43" t="str">
        <f>IF($AX1205="Cancelled","",IFERROR((W1205*INDEX(Variables!$B$7:$D$7,IFERROR(MATCH(IF($B1205="Robusta","Robusta",(IF($B1205="","Arabica",$B1205))&amp;" - "&amp;(IF($C1205="","Commercial",$C1205))),Variables!$B$1:$D$1,0),1))*IFERROR(IF(AB1205="","",(AVERAGE(E1205:F1205)-AB1205)-Variables!$B$14),"")/365)+(L1205/16.67*INDEX(Variables!$B$8:$D$8,IFERROR(MATCH(IF($B1205="Robusta","Robusta",(IF($B1205="","Arabica",$B1205))&amp;" - "&amp;(IF($C1205="","Commercial",$C1205))),Variables!$B$1:$D$1,0),1))*IFERROR(IF(AB1205="","",(AVERAGE(E1205:F1205)-AB1205)-Variables!$B$14),""))+(W1205*INDEX(Variables!$B$9:$D$9,IFERROR(MATCH(IF($B1205="Robusta","Robusta",(IF($B1205="","Arabica",$B1205))&amp;" - "&amp;(IF($C1205="","Commercial",$C1205))),Variables!$B$1:$D$1,0),1))*IFERROR(IF(AB1205="","",(AVERAGE(E1205:F1205)-AB1205)-Variables!$B$14),"")/365),""))</f>
        <v/>
      </c>
      <c r="BH1205" s="43">
        <f>IF($AX1205="Cancelled","",IFERROR((W1205*INDEX(Variables!$B$7:$D$7,IFERROR(MATCH(IF($B1205="Robusta","Robusta",(IF($B1205="","Arabica",$B1205))&amp;" - "&amp;(IF($C1205="","Commercial",$C1205))),Variables!$B$1:$D$1,0),1))*AK1205/365)+(L1205/16.67*INDEX(Variables!$B$8:$D$8,IFERROR(MATCH(IF($B1205="Robusta","Robusta",(IF($B1205="","Arabica",$B1205))&amp;" - "&amp;(IF($C1205="","Commercial",$C1205))),Variables!$B$1:$D$1,0),1))*AK1205)+(W1205*INDEX(Variables!$B$9:$D$9,IFERROR(MATCH(IF($B1205="Robusta","Robusta",(IF($B1205="","Arabica",$B1205))&amp;" - "&amp;(IF($C1205="","Commercial",$C1205))),Variables!$B$1:$D$1,0),1))*AK1205/365),""))</f>
        <v>127.61764443468915</v>
      </c>
      <c r="BI1205" s="43">
        <f>IF($AX1205="Cancelled","",IFERROR((W1205*INDEX(Variables!$B$7:$D$7,IFERROR(MATCH(IF($B1205="Robusta","Robusta",(IF($B1205="","Arabica",$B1205))&amp;" - "&amp;(IF($C1205="","Commercial",$C1205))),Variables!$B$1:$D$1,0),1))*BD1205/365)+(L1205/16.67*INDEX(Variables!$B$8:$D$8,IFERROR(MATCH(IF($B1205="Robusta","Robusta",(IF($B1205="","Arabica",$B1205))&amp;" - "&amp;(IF($C1205="","Commercial",$C1205))),Variables!$B$1:$D$1,0),1))*BD1205)+(W1205*INDEX(Variables!$B$9:$D$9,IFERROR(MATCH(IF($B1205="Robusta","Robusta",(IF($B1205="","Arabica",$B1205))&amp;" - "&amp;(IF($C1205="","Commercial",$C1205))),Variables!$B$1:$D$1,0),1))*BD1205/365),""))</f>
        <v>-79.761027771680716</v>
      </c>
      <c r="BJ1205" s="43">
        <f t="shared" si="57"/>
        <v>2</v>
      </c>
      <c r="BK1205" s="43">
        <f>IF($AX1205="Cancelled","",IFERROR(IF(BJ1205="","",(W1205*INDEX(Variables!$B$7:$D$7,IFERROR(MATCH(IF($B1205="Robusta","Robusta",(IF($B1205="","Arabica",$B1205))&amp;" - "&amp;(IF($C1205="","Commercial",$C1205))),Variables!$B$1:$D$1,0),1))*(BJ1205/365))+(W1205*INDEX(Variables!$B$9:$D$9,IFERROR(MATCH(IF($B1205="Robusta","Robusta",(IF($B1205="","Arabica",$B1205))&amp;" - "&amp;(IF($C1205="","Commercial",$C1205))),Variables!$B$1:$D$1,0),1))*(BJ1205/365))+(INDEX(Variables!$B$8:$D$8,IFERROR(MATCH(IF($B1205="Robusta","Robusta",(IF($B1205="","Arabica",$B1205))&amp;" - "&amp;(IF($C1205="","Commercial",$C1205))),Variables!$B$1:$D$1,0),1))*L1205/16.67)),""))</f>
        <v>26.904411108672292</v>
      </c>
    </row>
    <row r="1206" spans="1:63" s="33" customFormat="1">
      <c r="A1206" s="33" t="s">
        <v>103</v>
      </c>
      <c r="B1206" s="13" t="s">
        <v>104</v>
      </c>
      <c r="C1206" s="13" t="s">
        <v>105</v>
      </c>
      <c r="D1206" s="31">
        <v>46220</v>
      </c>
      <c r="E1206" s="31">
        <v>46266</v>
      </c>
      <c r="F1206" s="31">
        <v>46295</v>
      </c>
      <c r="G1206" s="33">
        <v>3787657</v>
      </c>
      <c r="H1206" s="13"/>
      <c r="I1206" s="13"/>
      <c r="J1206" s="13" t="s">
        <v>506</v>
      </c>
      <c r="K1206" s="13" t="s">
        <v>2963</v>
      </c>
      <c r="L1206" s="13">
        <v>48</v>
      </c>
      <c r="M1206" s="13">
        <v>0</v>
      </c>
      <c r="N1206" s="13" t="s">
        <v>2964</v>
      </c>
      <c r="O1206" s="13" t="s">
        <v>2961</v>
      </c>
      <c r="P1206" s="13">
        <v>10010</v>
      </c>
      <c r="Q1206" s="13"/>
      <c r="R1206" s="13" t="s">
        <v>239</v>
      </c>
      <c r="S1206" s="13" t="s">
        <v>509</v>
      </c>
      <c r="T1206" s="13" t="s">
        <v>329</v>
      </c>
      <c r="U1206" s="13" t="s">
        <v>330</v>
      </c>
      <c r="V1206" s="23">
        <v>172</v>
      </c>
      <c r="W1206" s="44">
        <f>IF($AX1206="Cancelled","",IFERROR(((V1206+INDEX(Variables!$B$6:$D$6,IFERROR(MATCH(IF($B1206="Robusta","Robusta",(IF($B1206="","Arabica",$B1206))&amp;" - "&amp;(IF($C1206="","Commercial",$C1206))),Variables!$B$1:$D$1,0),1)))*22.0462)*(L1206/16.67),""))</f>
        <v>29378.710574685058</v>
      </c>
      <c r="X1206" s="55" t="s">
        <v>39</v>
      </c>
      <c r="Y1206" s="13" t="str">
        <f>IF($AX1206="Cancelled","",IF(X1206="","",IFERROR(IF(INDEX(Variables!$B$38:$B$47,MATCH(X1206,Variables!$A$38:$A$47,0))="Yes","Yes","No"),"No")))</f>
        <v>No</v>
      </c>
      <c r="Z1206" s="31">
        <v>46231</v>
      </c>
      <c r="AA1206" s="13"/>
      <c r="AB1206" s="31"/>
      <c r="AC1206" s="13" t="str">
        <f t="shared" si="56"/>
        <v/>
      </c>
      <c r="AD1206" s="31">
        <v>46261</v>
      </c>
      <c r="AE1206" s="31"/>
      <c r="AF1206" s="71">
        <v>46266</v>
      </c>
      <c r="AG1206" s="37">
        <f>IF($AX1206="Cancelled","",IFERROR(IF(F1206="","",F1206-Variables!$B$13),""))</f>
        <v>46280</v>
      </c>
      <c r="AH1206" s="13" t="str">
        <f>IF($AX1206="Cancelled","",IFERROR(IF(AB1206="","",(AVERAGE(E1206:F1206)-AB1206)-Variables!$B$14),""))</f>
        <v/>
      </c>
      <c r="AI1206" s="13"/>
      <c r="AJ1206" s="47">
        <v>46273</v>
      </c>
      <c r="AK1206" s="14">
        <f>IF($AX1206="Cancelled","",IFERROR(IF(AJ1206="","",IF(AND(AB1206="",AF1206=""),"",IF(AF1206&gt;AB1206,AF1206+Variables!$B$15+Variables!$B$16+Variables!$B$17-AJ1206,AB1206+Variables!$B$16+Variables!$B$17-AJ1206))),""))</f>
        <v>8</v>
      </c>
      <c r="AL1206" s="48" t="s">
        <v>114</v>
      </c>
      <c r="AM1206" s="33" t="s">
        <v>115</v>
      </c>
      <c r="AN1206" s="33" t="s">
        <v>2962</v>
      </c>
      <c r="AO1206" s="39">
        <v>46279</v>
      </c>
      <c r="AP1206" s="39">
        <v>46278</v>
      </c>
      <c r="AQ1206" s="39">
        <v>46321</v>
      </c>
      <c r="AR1206" s="33">
        <v>276544979</v>
      </c>
      <c r="AS1206" s="39">
        <v>46293</v>
      </c>
      <c r="AT1206" s="39"/>
      <c r="AU1206" s="39">
        <v>46294</v>
      </c>
      <c r="AV1206" s="33" t="s">
        <v>865</v>
      </c>
      <c r="AW1206" s="39">
        <v>46294</v>
      </c>
      <c r="AX1206" s="33" t="str">
        <f>IF(ISNUMBER(SEARCH("cancel",#REF!)),"Cancelled",IF(AND(AS1206&lt;&gt;"",AU1206&lt;&gt;"",AW1206&lt;&gt;""),"Closed","Open"))</f>
        <v>Closed</v>
      </c>
      <c r="AY1206" s="25" t="str">
        <f t="shared" si="55"/>
        <v>All dates received</v>
      </c>
      <c r="BD1206" s="33">
        <f>IF($AX1206="Cancelled","",IFERROR(IF(OR(AS1206="",AJ1206=""),"",(AJ1206+Variables!$B$18-AS1206)),""))</f>
        <v>-5</v>
      </c>
      <c r="BE1206" s="33">
        <f>IF($AX1206="Cancelled","",IFERROR(IF(OR(AW1206="",AS1206=""),"",(AS1206+Variables!$B$19)-AW1206),""))</f>
        <v>4</v>
      </c>
      <c r="BF1206" s="43">
        <f>IF($AX1206="Cancelled","",IFERROR(W1206*INDEX(Variables!$B$7:$D$7,IFERROR(MATCH(IF($B1206="Robusta","Robusta",(IF($B1206="","Arabica",$B1206))&amp;" - "&amp;(IF($C1206="","Commercial",$C1206))),Variables!$B$1:$D$1,0),1))*(BE1206/365),""))</f>
        <v>20.760590586509117</v>
      </c>
      <c r="BG1206" s="43" t="str">
        <f>IF($AX1206="Cancelled","",IFERROR((W1206*INDEX(Variables!$B$7:$D$7,IFERROR(MATCH(IF($B1206="Robusta","Robusta",(IF($B1206="","Arabica",$B1206))&amp;" - "&amp;(IF($C1206="","Commercial",$C1206))),Variables!$B$1:$D$1,0),1))*IFERROR(IF(AB1206="","",(AVERAGE(E1206:F1206)-AB1206)-Variables!$B$14),"")/365)+(L1206/16.67*INDEX(Variables!$B$8:$D$8,IFERROR(MATCH(IF($B1206="Robusta","Robusta",(IF($B1206="","Arabica",$B1206))&amp;" - "&amp;(IF($C1206="","Commercial",$C1206))),Variables!$B$1:$D$1,0),1))*IFERROR(IF(AB1206="","",(AVERAGE(E1206:F1206)-AB1206)-Variables!$B$14),""))+(W1206*INDEX(Variables!$B$9:$D$9,IFERROR(MATCH(IF($B1206="Robusta","Robusta",(IF($B1206="","Arabica",$B1206))&amp;" - "&amp;(IF($C1206="","Commercial",$C1206))),Variables!$B$1:$D$1,0),1))*IFERROR(IF(AB1206="","",(AVERAGE(E1206:F1206)-AB1206)-Variables!$B$14),"")/365),""))</f>
        <v/>
      </c>
      <c r="BH1206" s="43">
        <f>IF($AX1206="Cancelled","",IFERROR((W1206*INDEX(Variables!$B$7:$D$7,IFERROR(MATCH(IF($B1206="Robusta","Robusta",(IF($B1206="","Arabica",$B1206))&amp;" - "&amp;(IF($C1206="","Commercial",$C1206))),Variables!$B$1:$D$1,0),1))*AK1206/365)+(L1206/16.67*INDEX(Variables!$B$8:$D$8,IFERROR(MATCH(IF($B1206="Robusta","Robusta",(IF($B1206="","Arabica",$B1206))&amp;" - "&amp;(IF($C1206="","Commercial",$C1206))),Variables!$B$1:$D$1,0),1))*AK1206)+(W1206*INDEX(Variables!$B$9:$D$9,IFERROR(MATCH(IF($B1206="Robusta","Robusta",(IF($B1206="","Arabica",$B1206))&amp;" - "&amp;(IF($C1206="","Commercial",$C1206))),Variables!$B$1:$D$1,0),1))*AK1206/365),""))</f>
        <v>61.256469328650802</v>
      </c>
      <c r="BI1206" s="43">
        <f>IF($AX1206="Cancelled","",IFERROR((W1206*INDEX(Variables!$B$7:$D$7,IFERROR(MATCH(IF($B1206="Robusta","Robusta",(IF($B1206="","Arabica",$B1206))&amp;" - "&amp;(IF($C1206="","Commercial",$C1206))),Variables!$B$1:$D$1,0),1))*BD1206/365)+(L1206/16.67*INDEX(Variables!$B$8:$D$8,IFERROR(MATCH(IF($B1206="Robusta","Robusta",(IF($B1206="","Arabica",$B1206))&amp;" - "&amp;(IF($C1206="","Commercial",$C1206))),Variables!$B$1:$D$1,0),1))*BD1206)+(W1206*INDEX(Variables!$B$9:$D$9,IFERROR(MATCH(IF($B1206="Robusta","Robusta",(IF($B1206="","Arabica",$B1206))&amp;" - "&amp;(IF($C1206="","Commercial",$C1206))),Variables!$B$1:$D$1,0),1))*BD1206/365),""))</f>
        <v>-38.285293330406752</v>
      </c>
      <c r="BJ1206" s="43">
        <f t="shared" si="57"/>
        <v>2</v>
      </c>
      <c r="BK1206" s="43">
        <f>IF($AX1206="Cancelled","",IFERROR(IF(BJ1206="","",(W1206*INDEX(Variables!$B$7:$D$7,IFERROR(MATCH(IF($B1206="Robusta","Robusta",(IF($B1206="","Arabica",$B1206))&amp;" - "&amp;(IF($C1206="","Commercial",$C1206))),Variables!$B$1:$D$1,0),1))*(BJ1206/365))+(W1206*INDEX(Variables!$B$9:$D$9,IFERROR(MATCH(IF($B1206="Robusta","Robusta",(IF($B1206="","Arabica",$B1206))&amp;" - "&amp;(IF($C1206="","Commercial",$C1206))),Variables!$B$1:$D$1,0),1))*(BJ1206/365))+(INDEX(Variables!$B$8:$D$8,IFERROR(MATCH(IF($B1206="Robusta","Robusta",(IF($B1206="","Arabica",$B1206))&amp;" - "&amp;(IF($C1206="","Commercial",$C1206))),Variables!$B$1:$D$1,0),1))*L1206/16.67)),""))</f>
        <v>12.9141173321627</v>
      </c>
    </row>
    <row r="1207" spans="1:63" s="33" customFormat="1">
      <c r="A1207" s="33" t="s">
        <v>103</v>
      </c>
      <c r="B1207" s="13" t="s">
        <v>104</v>
      </c>
      <c r="C1207" s="13" t="s">
        <v>105</v>
      </c>
      <c r="D1207" s="31">
        <v>46225</v>
      </c>
      <c r="E1207" s="31">
        <v>46266</v>
      </c>
      <c r="F1207" s="31">
        <v>46295</v>
      </c>
      <c r="G1207" s="33">
        <v>3787659</v>
      </c>
      <c r="H1207" s="13"/>
      <c r="I1207" s="13"/>
      <c r="J1207" s="13" t="s">
        <v>118</v>
      </c>
      <c r="K1207" s="13">
        <v>5633</v>
      </c>
      <c r="L1207" s="13">
        <v>720</v>
      </c>
      <c r="M1207" s="13">
        <v>2</v>
      </c>
      <c r="N1207" s="13" t="s">
        <v>2965</v>
      </c>
      <c r="O1207" s="13" t="s">
        <v>1205</v>
      </c>
      <c r="P1207" s="13">
        <v>10045</v>
      </c>
      <c r="Q1207" s="13" t="s">
        <v>1461</v>
      </c>
      <c r="R1207" s="13" t="s">
        <v>122</v>
      </c>
      <c r="S1207" s="13" t="s">
        <v>816</v>
      </c>
      <c r="T1207" s="13" t="s">
        <v>817</v>
      </c>
      <c r="U1207" s="13" t="s">
        <v>125</v>
      </c>
      <c r="V1207" s="23">
        <v>67</v>
      </c>
      <c r="W1207" s="44">
        <f>IF($AX1207="Cancelled","",IFERROR(((V1207+INDEX(Variables!$B$6:$D$6,IFERROR(MATCH(IF($B1207="Robusta","Robusta",(IF($B1207="","Arabica",$B1207))&amp;" - "&amp;(IF($C1207="","Commercial",$C1207))),Variables!$B$1:$D$1,0),1)))*22.0462)*(L1207/16.67),""))</f>
        <v>340699.09173365327</v>
      </c>
      <c r="X1207" s="55" t="s">
        <v>37</v>
      </c>
      <c r="Y1207" s="13" t="str">
        <f>IF($AX1207="Cancelled","",IF(X1207="","",IFERROR(IF(INDEX(Variables!$B$38:$B$47,MATCH(X1207,Variables!$A$38:$A$47,0))="Yes","Yes","No"),"No")))</f>
        <v>Yes</v>
      </c>
      <c r="Z1207" s="58">
        <v>46230</v>
      </c>
      <c r="AA1207" s="13"/>
      <c r="AB1207" s="31">
        <v>46247</v>
      </c>
      <c r="AC1207" s="13" t="str">
        <f t="shared" si="56"/>
        <v>Approved</v>
      </c>
      <c r="AD1207" s="31">
        <v>46240</v>
      </c>
      <c r="AE1207" s="31"/>
      <c r="AF1207" s="71">
        <v>46272</v>
      </c>
      <c r="AG1207" s="37">
        <f>IF($AX1207="Cancelled","",IFERROR(IF(F1207="","",F1207-Variables!$B$13),""))</f>
        <v>46280</v>
      </c>
      <c r="AH1207" s="13">
        <f>IF($AX1207="Cancelled","",IFERROR(IF(AB1207="","",(AVERAGE(E1207:F1207)-AB1207)-Variables!$B$14),""))</f>
        <v>3.5</v>
      </c>
      <c r="AI1207" s="13"/>
      <c r="AJ1207" s="47">
        <v>46273</v>
      </c>
      <c r="AK1207" s="14">
        <f>IF($AX1207="Cancelled","",IFERROR(IF(AJ1207="","",IF(AND(AB1207="",AF1207=""),"",IF(AF1207&gt;AB1207,AF1207+Variables!$B$15+Variables!$B$16+Variables!$B$17-AJ1207,AB1207+Variables!$B$16+Variables!$B$17-AJ1207))),""))</f>
        <v>14</v>
      </c>
      <c r="AL1207" s="48" t="s">
        <v>114</v>
      </c>
      <c r="AM1207" s="33" t="s">
        <v>115</v>
      </c>
      <c r="AN1207" s="33" t="s">
        <v>2966</v>
      </c>
      <c r="AO1207" s="39">
        <v>46279</v>
      </c>
      <c r="AP1207" s="39">
        <v>46275</v>
      </c>
      <c r="AQ1207" s="39">
        <v>46343</v>
      </c>
      <c r="AR1207" s="33">
        <v>276114032</v>
      </c>
      <c r="AS1207" s="39">
        <v>46282</v>
      </c>
      <c r="AT1207" s="39"/>
      <c r="AU1207" s="39">
        <v>46303</v>
      </c>
      <c r="AV1207" s="33" t="s">
        <v>865</v>
      </c>
      <c r="AW1207" s="39">
        <v>46303</v>
      </c>
      <c r="AX1207" s="33" t="str">
        <f>IF(ISNUMBER(SEARCH("cancel",#REF!)),"Cancelled",IF(AND(AS1207&lt;&gt;"",AU1207&lt;&gt;"",AW1207&lt;&gt;""),"Closed","Open"))</f>
        <v>Closed</v>
      </c>
      <c r="AY1207" s="25" t="str">
        <f t="shared" si="55"/>
        <v>All dates received</v>
      </c>
      <c r="BD1207" s="33">
        <f>IF($AX1207="Cancelled","",IFERROR(IF(OR(AS1207="",AJ1207=""),"",(AJ1207+Variables!$B$18-AS1207)),""))</f>
        <v>6</v>
      </c>
      <c r="BE1207" s="33">
        <f>IF($AX1207="Cancelled","",IFERROR(IF(OR(AW1207="",AS1207=""),"",(AS1207+Variables!$B$19)-AW1207),""))</f>
        <v>-16</v>
      </c>
      <c r="BF1207" s="43">
        <f>IF($AX1207="Cancelled","",IFERROR(W1207*INDEX(Variables!$B$7:$D$7,IFERROR(MATCH(IF($B1207="Robusta","Robusta",(IF($B1207="","Arabica",$B1207))&amp;" - "&amp;(IF($C1207="","Commercial",$C1207))),Variables!$B$1:$D$1,0),1))*(BE1207/365),""))</f>
        <v>-963.02583991179313</v>
      </c>
      <c r="BG1207" s="43">
        <f>IF($AX1207="Cancelled","",IFERROR((W1207*INDEX(Variables!$B$7:$D$7,IFERROR(MATCH(IF($B1207="Robusta","Robusta",(IF($B1207="","Arabica",$B1207))&amp;" - "&amp;(IF($C1207="","Commercial",$C1207))),Variables!$B$1:$D$1,0),1))*IFERROR(IF(AB1207="","",(AVERAGE(E1207:F1207)-AB1207)-Variables!$B$14),"")/365)+(L1207/16.67*INDEX(Variables!$B$8:$D$8,IFERROR(MATCH(IF($B1207="Robusta","Robusta",(IF($B1207="","Arabica",$B1207))&amp;" - "&amp;(IF($C1207="","Commercial",$C1207))),Variables!$B$1:$D$1,0),1))*IFERROR(IF(AB1207="","",(AVERAGE(E1207:F1207)-AB1207)-Variables!$B$14),""))+(W1207*INDEX(Variables!$B$9:$D$9,IFERROR(MATCH(IF($B1207="Robusta","Robusta",(IF($B1207="","Arabica",$B1207))&amp;" - "&amp;(IF($C1207="","Commercial",$C1207))),Variables!$B$1:$D$1,0),1))*IFERROR(IF(AB1207="","",(AVERAGE(E1207:F1207)-AB1207)-Variables!$B$14),"")/365),""))</f>
        <v>339.37774095290655</v>
      </c>
      <c r="BH1207" s="43">
        <f>IF($AX1207="Cancelled","",IFERROR((W1207*INDEX(Variables!$B$7:$D$7,IFERROR(MATCH(IF($B1207="Robusta","Robusta",(IF($B1207="","Arabica",$B1207))&amp;" - "&amp;(IF($C1207="","Commercial",$C1207))),Variables!$B$1:$D$1,0),1))*AK1207/365)+(L1207/16.67*INDEX(Variables!$B$8:$D$8,IFERROR(MATCH(IF($B1207="Robusta","Robusta",(IF($B1207="","Arabica",$B1207))&amp;" - "&amp;(IF($C1207="","Commercial",$C1207))),Variables!$B$1:$D$1,0),1))*AK1207)+(W1207*INDEX(Variables!$B$9:$D$9,IFERROR(MATCH(IF($B1207="Robusta","Robusta",(IF($B1207="","Arabica",$B1207))&amp;" - "&amp;(IF($C1207="","Commercial",$C1207))),Variables!$B$1:$D$1,0),1))*AK1207/365),""))</f>
        <v>1357.5109638116262</v>
      </c>
      <c r="BI1207" s="43">
        <f>IF($AX1207="Cancelled","",IFERROR((W1207*INDEX(Variables!$B$7:$D$7,IFERROR(MATCH(IF($B1207="Robusta","Robusta",(IF($B1207="","Arabica",$B1207))&amp;" - "&amp;(IF($C1207="","Commercial",$C1207))),Variables!$B$1:$D$1,0),1))*BD1207/365)+(L1207/16.67*INDEX(Variables!$B$8:$D$8,IFERROR(MATCH(IF($B1207="Robusta","Robusta",(IF($B1207="","Arabica",$B1207))&amp;" - "&amp;(IF($C1207="","Commercial",$C1207))),Variables!$B$1:$D$1,0),1))*BD1207)+(W1207*INDEX(Variables!$B$9:$D$9,IFERROR(MATCH(IF($B1207="Robusta","Robusta",(IF($B1207="","Arabica",$B1207))&amp;" - "&amp;(IF($C1207="","Commercial",$C1207))),Variables!$B$1:$D$1,0),1))*BD1207/365),""))</f>
        <v>581.79041306212548</v>
      </c>
      <c r="BJ1207" s="43">
        <f t="shared" si="57"/>
        <v>13</v>
      </c>
      <c r="BK1207" s="43">
        <f>IF($AX1207="Cancelled","",IFERROR(IF(BJ1207="","",(W1207*INDEX(Variables!$B$7:$D$7,IFERROR(MATCH(IF($B1207="Robusta","Robusta",(IF($B1207="","Arabica",$B1207))&amp;" - "&amp;(IF($C1207="","Commercial",$C1207))),Variables!$B$1:$D$1,0),1))*(BJ1207/365))+(W1207*INDEX(Variables!$B$9:$D$9,IFERROR(MATCH(IF($B1207="Robusta","Robusta",(IF($B1207="","Arabica",$B1207))&amp;" - "&amp;(IF($C1207="","Commercial",$C1207))),Variables!$B$1:$D$1,0),1))*(BJ1207/365))+(INDEX(Variables!$B$8:$D$8,IFERROR(MATCH(IF($B1207="Robusta","Robusta",(IF($B1207="","Arabica",$B1207))&amp;" - "&amp;(IF($C1207="","Commercial",$C1207))),Variables!$B$1:$D$1,0),1))*L1207/16.67)),""))</f>
        <v>828.54589496793858</v>
      </c>
    </row>
    <row r="1208" spans="1:63" s="33" customFormat="1">
      <c r="A1208" s="33" t="s">
        <v>103</v>
      </c>
      <c r="B1208" s="13" t="s">
        <v>104</v>
      </c>
      <c r="C1208" s="13" t="s">
        <v>105</v>
      </c>
      <c r="D1208" s="31">
        <v>46225</v>
      </c>
      <c r="E1208" s="31">
        <v>46266</v>
      </c>
      <c r="F1208" s="31">
        <v>46295</v>
      </c>
      <c r="G1208" s="33">
        <v>3787660</v>
      </c>
      <c r="H1208" s="13"/>
      <c r="I1208" s="13"/>
      <c r="J1208" s="13" t="s">
        <v>118</v>
      </c>
      <c r="K1208" s="13">
        <v>5644</v>
      </c>
      <c r="L1208" s="13">
        <v>720</v>
      </c>
      <c r="M1208" s="13">
        <v>2</v>
      </c>
      <c r="N1208" s="13" t="s">
        <v>2965</v>
      </c>
      <c r="O1208" s="13" t="s">
        <v>1205</v>
      </c>
      <c r="P1208" s="13">
        <v>10045</v>
      </c>
      <c r="Q1208" s="13" t="s">
        <v>1461</v>
      </c>
      <c r="R1208" s="13" t="s">
        <v>122</v>
      </c>
      <c r="S1208" s="13" t="s">
        <v>816</v>
      </c>
      <c r="T1208" s="13" t="s">
        <v>817</v>
      </c>
      <c r="U1208" s="13" t="s">
        <v>125</v>
      </c>
      <c r="V1208" s="23">
        <v>67</v>
      </c>
      <c r="W1208" s="44">
        <f>IF($AX1208="Cancelled","",IFERROR(((V1208+INDEX(Variables!$B$6:$D$6,IFERROR(MATCH(IF($B1208="Robusta","Robusta",(IF($B1208="","Arabica",$B1208))&amp;" - "&amp;(IF($C1208="","Commercial",$C1208))),Variables!$B$1:$D$1,0),1)))*22.0462)*(L1208/16.67),""))</f>
        <v>340699.09173365327</v>
      </c>
      <c r="X1208" s="55" t="s">
        <v>37</v>
      </c>
      <c r="Y1208" s="13" t="str">
        <f>IF($AX1208="Cancelled","",IF(X1208="","",IFERROR(IF(INDEX(Variables!$B$38:$B$47,MATCH(X1208,Variables!$A$38:$A$47,0))="Yes","Yes","No"),"No")))</f>
        <v>Yes</v>
      </c>
      <c r="Z1208" s="58">
        <v>46255</v>
      </c>
      <c r="AA1208" s="13"/>
      <c r="AB1208" s="31">
        <v>46261</v>
      </c>
      <c r="AC1208" s="13" t="str">
        <f t="shared" si="56"/>
        <v>Approved</v>
      </c>
      <c r="AD1208" s="31">
        <v>46252</v>
      </c>
      <c r="AE1208" s="31"/>
      <c r="AF1208" s="71">
        <v>46276</v>
      </c>
      <c r="AG1208" s="37">
        <f>IF($AX1208="Cancelled","",IFERROR(IF(F1208="","",F1208-Variables!$B$13),""))</f>
        <v>46280</v>
      </c>
      <c r="AH1208" s="13">
        <f>IF($AX1208="Cancelled","",IFERROR(IF(AB1208="","",(AVERAGE(E1208:F1208)-AB1208)-Variables!$B$14),""))</f>
        <v>-10.5</v>
      </c>
      <c r="AI1208" s="13"/>
      <c r="AJ1208" s="47">
        <v>46279</v>
      </c>
      <c r="AK1208" s="14">
        <f>IF($AX1208="Cancelled","",IFERROR(IF(AJ1208="","",IF(AND(AB1208="",AF1208=""),"",IF(AF1208&gt;AB1208,AF1208+Variables!$B$15+Variables!$B$16+Variables!$B$17-AJ1208,AB1208+Variables!$B$16+Variables!$B$17-AJ1208))),""))</f>
        <v>12</v>
      </c>
      <c r="AL1208" s="48" t="s">
        <v>114</v>
      </c>
      <c r="AM1208" s="33" t="s">
        <v>115</v>
      </c>
      <c r="AN1208" s="33" t="s">
        <v>2577</v>
      </c>
      <c r="AO1208" s="39">
        <v>46276</v>
      </c>
      <c r="AP1208" s="39">
        <v>46289</v>
      </c>
      <c r="AQ1208" s="39">
        <v>46336</v>
      </c>
      <c r="AR1208" s="33">
        <v>276617799</v>
      </c>
      <c r="AS1208" s="39">
        <v>46289</v>
      </c>
      <c r="AT1208" s="39"/>
      <c r="AU1208" s="39">
        <v>46301</v>
      </c>
      <c r="AV1208" s="33" t="s">
        <v>865</v>
      </c>
      <c r="AW1208" s="39">
        <v>46300</v>
      </c>
      <c r="AX1208" s="33" t="str">
        <f>IF(ISNUMBER(SEARCH("cancel",#REF!)),"Cancelled",IF(AND(AS1208&lt;&gt;"",AU1208&lt;&gt;"",AW1208&lt;&gt;""),"Closed","Open"))</f>
        <v>Closed</v>
      </c>
      <c r="AY1208" s="25" t="str">
        <f t="shared" si="55"/>
        <v>All dates received</v>
      </c>
      <c r="BD1208" s="33">
        <f>IF($AX1208="Cancelled","",IFERROR(IF(OR(AS1208="",AJ1208=""),"",(AJ1208+Variables!$B$18-AS1208)),""))</f>
        <v>5</v>
      </c>
      <c r="BE1208" s="33">
        <f>IF($AX1208="Cancelled","",IFERROR(IF(OR(AW1208="",AS1208=""),"",(AS1208+Variables!$B$19)-AW1208),""))</f>
        <v>-6</v>
      </c>
      <c r="BF1208" s="43">
        <f>IF($AX1208="Cancelled","",IFERROR(W1208*INDEX(Variables!$B$7:$D$7,IFERROR(MATCH(IF($B1208="Robusta","Robusta",(IF($B1208="","Arabica",$B1208))&amp;" - "&amp;(IF($C1208="","Commercial",$C1208))),Variables!$B$1:$D$1,0),1))*(BE1208/365),""))</f>
        <v>-361.13468996692239</v>
      </c>
      <c r="BG1208" s="43">
        <f>IF($AX1208="Cancelled","",IFERROR((W1208*INDEX(Variables!$B$7:$D$7,IFERROR(MATCH(IF($B1208="Robusta","Robusta",(IF($B1208="","Arabica",$B1208))&amp;" - "&amp;(IF($C1208="","Commercial",$C1208))),Variables!$B$1:$D$1,0),1))*IFERROR(IF(AB1208="","",(AVERAGE(E1208:F1208)-AB1208)-Variables!$B$14),"")/365)+(L1208/16.67*INDEX(Variables!$B$8:$D$8,IFERROR(MATCH(IF($B1208="Robusta","Robusta",(IF($B1208="","Arabica",$B1208))&amp;" - "&amp;(IF($C1208="","Commercial",$C1208))),Variables!$B$1:$D$1,0),1))*IFERROR(IF(AB1208="","",(AVERAGE(E1208:F1208)-AB1208)-Variables!$B$14),""))+(W1208*INDEX(Variables!$B$9:$D$9,IFERROR(MATCH(IF($B1208="Robusta","Robusta",(IF($B1208="","Arabica",$B1208))&amp;" - "&amp;(IF($C1208="","Commercial",$C1208))),Variables!$B$1:$D$1,0),1))*IFERROR(IF(AB1208="","",(AVERAGE(E1208:F1208)-AB1208)-Variables!$B$14),"")/365),""))</f>
        <v>-1018.1332228587196</v>
      </c>
      <c r="BH1208" s="43">
        <f>IF($AX1208="Cancelled","",IFERROR((W1208*INDEX(Variables!$B$7:$D$7,IFERROR(MATCH(IF($B1208="Robusta","Robusta",(IF($B1208="","Arabica",$B1208))&amp;" - "&amp;(IF($C1208="","Commercial",$C1208))),Variables!$B$1:$D$1,0),1))*AK1208/365)+(L1208/16.67*INDEX(Variables!$B$8:$D$8,IFERROR(MATCH(IF($B1208="Robusta","Robusta",(IF($B1208="","Arabica",$B1208))&amp;" - "&amp;(IF($C1208="","Commercial",$C1208))),Variables!$B$1:$D$1,0),1))*AK1208)+(W1208*INDEX(Variables!$B$9:$D$9,IFERROR(MATCH(IF($B1208="Robusta","Robusta",(IF($B1208="","Arabica",$B1208))&amp;" - "&amp;(IF($C1208="","Commercial",$C1208))),Variables!$B$1:$D$1,0),1))*AK1208/365),""))</f>
        <v>1163.580826124251</v>
      </c>
      <c r="BI1208" s="43">
        <f>IF($AX1208="Cancelled","",IFERROR((W1208*INDEX(Variables!$B$7:$D$7,IFERROR(MATCH(IF($B1208="Robusta","Robusta",(IF($B1208="","Arabica",$B1208))&amp;" - "&amp;(IF($C1208="","Commercial",$C1208))),Variables!$B$1:$D$1,0),1))*BD1208/365)+(L1208/16.67*INDEX(Variables!$B$8:$D$8,IFERROR(MATCH(IF($B1208="Robusta","Robusta",(IF($B1208="","Arabica",$B1208))&amp;" - "&amp;(IF($C1208="","Commercial",$C1208))),Variables!$B$1:$D$1,0),1))*BD1208)+(W1208*INDEX(Variables!$B$9:$D$9,IFERROR(MATCH(IF($B1208="Robusta","Robusta",(IF($B1208="","Arabica",$B1208))&amp;" - "&amp;(IF($C1208="","Commercial",$C1208))),Variables!$B$1:$D$1,0),1))*BD1208/365),""))</f>
        <v>484.82534421843786</v>
      </c>
      <c r="BJ1208" s="43">
        <f t="shared" si="57"/>
        <v>6</v>
      </c>
      <c r="BK1208" s="43">
        <f>IF($AX1208="Cancelled","",IFERROR(IF(BJ1208="","",(W1208*INDEX(Variables!$B$7:$D$7,IFERROR(MATCH(IF($B1208="Robusta","Robusta",(IF($B1208="","Arabica",$B1208))&amp;" - "&amp;(IF($C1208="","Commercial",$C1208))),Variables!$B$1:$D$1,0),1))*(BJ1208/365))+(W1208*INDEX(Variables!$B$9:$D$9,IFERROR(MATCH(IF($B1208="Robusta","Robusta",(IF($B1208="","Arabica",$B1208))&amp;" - "&amp;(IF($C1208="","Commercial",$C1208))),Variables!$B$1:$D$1,0),1))*(BJ1208/365))+(INDEX(Variables!$B$8:$D$8,IFERROR(MATCH(IF($B1208="Robusta","Robusta",(IF($B1208="","Arabica",$B1208))&amp;" - "&amp;(IF($C1208="","Commercial",$C1208))),Variables!$B$1:$D$1,0),1))*L1208/16.67)),""))</f>
        <v>401.79041306212542</v>
      </c>
    </row>
    <row r="1209" spans="1:63">
      <c r="A1209" s="13" t="s">
        <v>103</v>
      </c>
      <c r="B1209" s="13" t="s">
        <v>104</v>
      </c>
      <c r="C1209" s="13" t="s">
        <v>105</v>
      </c>
      <c r="D1209" s="31">
        <v>46225</v>
      </c>
      <c r="E1209" s="31">
        <v>46327</v>
      </c>
      <c r="F1209" s="31">
        <v>46356</v>
      </c>
      <c r="G1209" s="13">
        <v>3787661</v>
      </c>
      <c r="H1209" s="29">
        <v>200000423</v>
      </c>
      <c r="I1209" s="29"/>
      <c r="J1209" s="13" t="s">
        <v>118</v>
      </c>
      <c r="K1209" s="13">
        <v>5673</v>
      </c>
      <c r="L1209" s="13">
        <v>720</v>
      </c>
      <c r="M1209" s="13">
        <v>2</v>
      </c>
      <c r="N1209" s="13" t="s">
        <v>2967</v>
      </c>
      <c r="O1209" s="13" t="s">
        <v>1205</v>
      </c>
      <c r="P1209" s="13">
        <v>10045</v>
      </c>
      <c r="Q1209" s="13" t="s">
        <v>745</v>
      </c>
      <c r="R1209" s="13" t="s">
        <v>122</v>
      </c>
      <c r="V1209" s="23">
        <v>67</v>
      </c>
      <c r="W1209" s="44">
        <f>IF($AX1209="Cancelled","",IFERROR(((V1209+INDEX(Variables!$B$6:$D$6,IFERROR(MATCH(IF($B1209="Robusta","Robusta",(IF($B1209="","Arabica",$B1209))&amp;" - "&amp;(IF($C1209="","Commercial",$C1209))),Variables!$B$1:$D$1,0),1)))*22.0462)*(L1209/16.67),""))</f>
        <v>340699.09173365327</v>
      </c>
      <c r="X1209" s="55" t="s">
        <v>37</v>
      </c>
      <c r="Y1209" s="13" t="str">
        <f>IF($AX1209="Cancelled","",IF(X1209="","",IFERROR(IF(INDEX(Variables!$B$38:$B$47,MATCH(X1209,Variables!$A$38:$A$47,0))="Yes","Yes","No"),"No")))</f>
        <v>Yes</v>
      </c>
      <c r="Z1209" s="58">
        <v>46282</v>
      </c>
      <c r="AB1209" s="31">
        <v>46290</v>
      </c>
      <c r="AC1209" s="13" t="str">
        <f t="shared" si="56"/>
        <v>Approved</v>
      </c>
      <c r="AD1209" s="31" t="s">
        <v>2968</v>
      </c>
      <c r="AF1209" s="71"/>
      <c r="AG1209" s="37">
        <f>IF($AX1209="Cancelled","",IFERROR(IF(F1209="","",F1209-Variables!$B$13),""))</f>
        <v>46341</v>
      </c>
      <c r="AH1209" s="13">
        <f>IF($AX1209="Cancelled","",IFERROR(IF(AB1209="","",(AVERAGE(E1209:F1209)-AB1209)-Variables!$B$14),""))</f>
        <v>21.5</v>
      </c>
      <c r="AK1209" s="14" t="str">
        <f>IF($AX1209="Cancelled","",IFERROR(IF(AJ1209="","",IF(AND(AB1209="",AF1209=""),"",IF(AF1209&gt;AB1209,AF1209+Variables!$B$15+Variables!$B$16+Variables!$B$17-AJ1209,AB1209+Variables!$B$16+Variables!$B$17-AJ1209))),""))</f>
        <v/>
      </c>
      <c r="AM1209" s="13" t="e">
        <v>#REF!</v>
      </c>
      <c r="AN1209" s="13">
        <v>0</v>
      </c>
      <c r="AP1209" s="39"/>
      <c r="AQ1209" s="31" t="s">
        <v>2969</v>
      </c>
      <c r="AR1209" s="13" t="e">
        <v>#REF!</v>
      </c>
      <c r="AV1209" s="13" t="e">
        <v>#REF!</v>
      </c>
      <c r="AX1209" s="13" t="str">
        <f>IF(ISNUMBER(SEARCH("cancel",#REF!)),"Cancelled",IF(AND(AS1209&lt;&gt;"",AU1209&lt;&gt;"",AW1209&lt;&gt;""),"Closed","Open"))</f>
        <v>Open</v>
      </c>
      <c r="AY1209" s="25" t="str">
        <f t="shared" si="55"/>
        <v>No sailing date and No shipping advice sent and No docs dispatch date</v>
      </c>
      <c r="BD1209" s="13" t="str">
        <f>IF($AX1209="Cancelled","",IFERROR(IF(OR(AS1209="",AJ1209=""),"",(AJ1209+Variables!$B$18-AS1209)),""))</f>
        <v/>
      </c>
      <c r="BE1209" s="13" t="str">
        <f>IF($AX1209="Cancelled","",IFERROR(IF(OR(AW1209="",AS1209=""),"",(AS1209+Variables!$B$19)-AW1209),""))</f>
        <v/>
      </c>
      <c r="BF1209" s="44" t="str">
        <f>IF($AX1209="Cancelled","",IFERROR(W1209*INDEX(Variables!$B$7:$D$7,IFERROR(MATCH(IF($B1209="Robusta","Robusta",(IF($B1209="","Arabica",$B1209))&amp;" - "&amp;(IF($C1209="","Commercial",$C1209))),Variables!$B$1:$D$1,0),1))*(BE1209/365),""))</f>
        <v/>
      </c>
      <c r="BG1209" s="44">
        <f>IF($AX1209="Cancelled","",IFERROR((W1209*INDEX(Variables!$B$7:$D$7,IFERROR(MATCH(IF($B1209="Robusta","Robusta",(IF($B1209="","Arabica",$B1209))&amp;" - "&amp;(IF($C1209="","Commercial",$C1209))),Variables!$B$1:$D$1,0),1))*IFERROR(IF(AB1209="","",(AVERAGE(E1209:F1209)-AB1209)-Variables!$B$14),"")/365)+(L1209/16.67*INDEX(Variables!$B$8:$D$8,IFERROR(MATCH(IF($B1209="Robusta","Robusta",(IF($B1209="","Arabica",$B1209))&amp;" - "&amp;(IF($C1209="","Commercial",$C1209))),Variables!$B$1:$D$1,0),1))*IFERROR(IF(AB1209="","",(AVERAGE(E1209:F1209)-AB1209)-Variables!$B$14),""))+(W1209*INDEX(Variables!$B$9:$D$9,IFERROR(MATCH(IF($B1209="Robusta","Robusta",(IF($B1209="","Arabica",$B1209))&amp;" - "&amp;(IF($C1209="","Commercial",$C1209))),Variables!$B$1:$D$1,0),1))*IFERROR(IF(AB1209="","",(AVERAGE(E1209:F1209)-AB1209)-Variables!$B$14),"")/365),""))</f>
        <v>2084.748980139283</v>
      </c>
      <c r="BH1209" s="44" t="str">
        <f>IF($AX1209="Cancelled","",IFERROR((W1209*INDEX(Variables!$B$7:$D$7,IFERROR(MATCH(IF($B1209="Robusta","Robusta",(IF($B1209="","Arabica",$B1209))&amp;" - "&amp;(IF($C1209="","Commercial",$C1209))),Variables!$B$1:$D$1,0),1))*AK1209/365)+(L1209/16.67*INDEX(Variables!$B$8:$D$8,IFERROR(MATCH(IF($B1209="Robusta","Robusta",(IF($B1209="","Arabica",$B1209))&amp;" - "&amp;(IF($C1209="","Commercial",$C1209))),Variables!$B$1:$D$1,0),1))*AK1209)+(W1209*INDEX(Variables!$B$9:$D$9,IFERROR(MATCH(IF($B1209="Robusta","Robusta",(IF($B1209="","Arabica",$B1209))&amp;" - "&amp;(IF($C1209="","Commercial",$C1209))),Variables!$B$1:$D$1,0),1))*AK1209/365),""))</f>
        <v/>
      </c>
      <c r="BI1209" s="44" t="str">
        <f>IF($AX1209="Cancelled","",IFERROR((W1209*INDEX(Variables!$B$7:$D$7,IFERROR(MATCH(IF($B1209="Robusta","Robusta",(IF($B1209="","Arabica",$B1209))&amp;" - "&amp;(IF($C1209="","Commercial",$C1209))),Variables!$B$1:$D$1,0),1))*BD1209/365)+(L1209/16.67*INDEX(Variables!$B$8:$D$8,IFERROR(MATCH(IF($B1209="Robusta","Robusta",(IF($B1209="","Arabica",$B1209))&amp;" - "&amp;(IF($C1209="","Commercial",$C1209))),Variables!$B$1:$D$1,0),1))*BD1209)+(W1209*INDEX(Variables!$B$9:$D$9,IFERROR(MATCH(IF($B1209="Robusta","Robusta",(IF($B1209="","Arabica",$B1209))&amp;" - "&amp;(IF($C1209="","Commercial",$C1209))),Variables!$B$1:$D$1,0),1))*BD1209/365),""))</f>
        <v/>
      </c>
      <c r="BJ1209" s="44" t="str">
        <f t="shared" si="57"/>
        <v/>
      </c>
      <c r="BK1209" s="44" t="str">
        <f>IF($AX1209="Cancelled","",IFERROR(IF(BJ1209="","",(W1209*INDEX(Variables!$B$7:$D$7,IFERROR(MATCH(IF($B1209="Robusta","Robusta",(IF($B1209="","Arabica",$B1209))&amp;" - "&amp;(IF($C1209="","Commercial",$C1209))),Variables!$B$1:$D$1,0),1))*(BJ1209/365))+(W1209*INDEX(Variables!$B$9:$D$9,IFERROR(MATCH(IF($B1209="Robusta","Robusta",(IF($B1209="","Arabica",$B1209))&amp;" - "&amp;(IF($C1209="","Commercial",$C1209))),Variables!$B$1:$D$1,0),1))*(BJ1209/365))+(INDEX(Variables!$B$8:$D$8,IFERROR(MATCH(IF($B1209="Robusta","Robusta",(IF($B1209="","Arabica",$B1209))&amp;" - "&amp;(IF($C1209="","Commercial",$C1209))),Variables!$B$1:$D$1,0),1))*L1209/16.67)),""))</f>
        <v/>
      </c>
    </row>
    <row r="1210" spans="1:63">
      <c r="A1210" s="13" t="s">
        <v>103</v>
      </c>
      <c r="B1210" s="13" t="s">
        <v>104</v>
      </c>
      <c r="C1210" s="13" t="s">
        <v>105</v>
      </c>
      <c r="D1210" s="31">
        <v>46231</v>
      </c>
      <c r="E1210" s="31">
        <v>46204</v>
      </c>
      <c r="F1210" s="31">
        <v>46234</v>
      </c>
      <c r="G1210" s="13">
        <v>3787666</v>
      </c>
      <c r="J1210" s="13" t="s">
        <v>2888</v>
      </c>
      <c r="K1210" s="13" t="s">
        <v>2970</v>
      </c>
      <c r="L1210" s="13">
        <v>50</v>
      </c>
      <c r="M1210" s="13">
        <v>0</v>
      </c>
      <c r="N1210" s="13" t="s">
        <v>2971</v>
      </c>
      <c r="O1210" s="13" t="s">
        <v>418</v>
      </c>
      <c r="P1210" s="13">
        <v>10070</v>
      </c>
      <c r="R1210" s="13" t="s">
        <v>110</v>
      </c>
      <c r="S1210" s="13" t="s">
        <v>154</v>
      </c>
      <c r="T1210" s="13" t="s">
        <v>155</v>
      </c>
      <c r="U1210" s="13" t="s">
        <v>125</v>
      </c>
      <c r="V1210" s="23">
        <v>60</v>
      </c>
      <c r="W1210" s="44">
        <f>IF($AX1210="Cancelled","",IFERROR(((V1210+INDEX(Variables!$B$6:$D$6,IFERROR(MATCH(IF($B1210="Robusta","Robusta",(IF($B1210="","Arabica",$B1210))&amp;" - "&amp;(IF($C1210="","Commercial",$C1210))),Variables!$B$1:$D$1,0),1)))*22.0462)*(L1210/16.67),""))</f>
        <v>23196.781523695256</v>
      </c>
      <c r="X1210" s="55" t="s">
        <v>39</v>
      </c>
      <c r="Y1210" s="13" t="str">
        <f>IF($AX1210="Cancelled","",IF(X1210="","",IFERROR(IF(INDEX(Variables!$B$38:$B$47,MATCH(X1210,Variables!$A$38:$A$47,0))="Yes","Yes","No"),"No")))</f>
        <v>No</v>
      </c>
      <c r="Z1210" s="31"/>
      <c r="AC1210" s="13" t="str">
        <f t="shared" si="56"/>
        <v/>
      </c>
      <c r="AF1210" s="71">
        <v>46233</v>
      </c>
      <c r="AG1210" s="37">
        <f>IF($AX1210="Cancelled","",IFERROR(IF(F1210="","",F1210-Variables!$B$13),""))</f>
        <v>46219</v>
      </c>
      <c r="AH1210" s="13" t="str">
        <f>IF($AX1210="Cancelled","",IFERROR(IF(AB1210="","",(AVERAGE(E1210:F1210)-AB1210)-Variables!$B$14),""))</f>
        <v/>
      </c>
      <c r="AJ1210" s="47">
        <v>46234</v>
      </c>
      <c r="AK1210" s="14">
        <f>IF($AX1210="Cancelled","",IFERROR(IF(AJ1210="","",IF(AND(AB1210="",AF1210=""),"",IF(AF1210&gt;AB1210,AF1210+Variables!$B$15+Variables!$B$16+Variables!$B$17-AJ1210,AB1210+Variables!$B$16+Variables!$B$17-AJ1210))),""))</f>
        <v>14</v>
      </c>
      <c r="AL1210" s="48" t="s">
        <v>114</v>
      </c>
      <c r="AM1210" s="13" t="s">
        <v>115</v>
      </c>
      <c r="AN1210" s="13" t="s">
        <v>2890</v>
      </c>
      <c r="AP1210" s="39">
        <v>46249</v>
      </c>
      <c r="AR1210" s="13">
        <v>274500945</v>
      </c>
      <c r="AS1210" s="31">
        <v>46248</v>
      </c>
      <c r="AU1210" s="31">
        <v>46266</v>
      </c>
      <c r="AV1210" s="13" t="s">
        <v>865</v>
      </c>
      <c r="AW1210" s="39">
        <v>46294</v>
      </c>
      <c r="AX1210" s="13" t="str">
        <f>IF(ISNUMBER(SEARCH("cancel",#REF!)),"Cancelled",IF(AND(AS1210&lt;&gt;"",AU1210&lt;&gt;"",AW1210&lt;&gt;""),"Closed","Open"))</f>
        <v>Closed</v>
      </c>
      <c r="AY1210" s="25" t="str">
        <f t="shared" si="55"/>
        <v>All dates received</v>
      </c>
      <c r="AZ1210" s="13" t="s">
        <v>3047</v>
      </c>
      <c r="BA1210" s="13" t="s">
        <v>3051</v>
      </c>
      <c r="BB1210" s="13" t="s">
        <v>3052</v>
      </c>
      <c r="BC1210" s="13" t="s">
        <v>3292</v>
      </c>
      <c r="BD1210" s="13">
        <f>IF($AX1210="Cancelled","",IFERROR(IF(OR(AS1210="",AJ1210=""),"",(AJ1210+Variables!$B$18-AS1210)),""))</f>
        <v>1</v>
      </c>
      <c r="BE1210" s="13">
        <f>IF($AX1210="Cancelled","",IFERROR(IF(OR(AW1210="",AS1210=""),"",(AS1210+Variables!$B$19)-AW1210),""))</f>
        <v>-41</v>
      </c>
      <c r="BF1210" s="44">
        <f>IF($AX1210="Cancelled","",IFERROR(W1210*INDEX(Variables!$B$7:$D$7,IFERROR(MATCH(IF($B1210="Robusta","Robusta",(IF($B1210="","Arabica",$B1210))&amp;" - "&amp;(IF($C1210="","Commercial",$C1210))),Variables!$B$1:$D$1,0),1))*(BE1210/365),""))</f>
        <v>-168.01906774864688</v>
      </c>
      <c r="BG1210" s="44" t="str">
        <f>IF($AX1210="Cancelled","",IFERROR((W1210*INDEX(Variables!$B$7:$D$7,IFERROR(MATCH(IF($B1210="Robusta","Robusta",(IF($B1210="","Arabica",$B1210))&amp;" - "&amp;(IF($C1210="","Commercial",$C1210))),Variables!$B$1:$D$1,0),1))*IFERROR(IF(AB1210="","",(AVERAGE(E1210:F1210)-AB1210)-Variables!$B$14),"")/365)+(L1210/16.67*INDEX(Variables!$B$8:$D$8,IFERROR(MATCH(IF($B1210="Robusta","Robusta",(IF($B1210="","Arabica",$B1210))&amp;" - "&amp;(IF($C1210="","Commercial",$C1210))),Variables!$B$1:$D$1,0),1))*IFERROR(IF(AB1210="","",(AVERAGE(E1210:F1210)-AB1210)-Variables!$B$14),""))+(W1210*INDEX(Variables!$B$9:$D$9,IFERROR(MATCH(IF($B1210="Robusta","Robusta",(IF($B1210="","Arabica",$B1210))&amp;" - "&amp;(IF($C1210="","Commercial",$C1210))),Variables!$B$1:$D$1,0),1))*IFERROR(IF(AB1210="","",(AVERAGE(E1210:F1210)-AB1210)-Variables!$B$14),"")/365),""))</f>
        <v/>
      </c>
      <c r="BH1210" s="44">
        <f>IF($AX1210="Cancelled","",IFERROR((W1210*INDEX(Variables!$B$7:$D$7,IFERROR(MATCH(IF($B1210="Robusta","Robusta",(IF($B1210="","Arabica",$B1210))&amp;" - "&amp;(IF($C1210="","Commercial",$C1210))),Variables!$B$1:$D$1,0),1))*AK1210/365)+(L1210/16.67*INDEX(Variables!$B$8:$D$8,IFERROR(MATCH(IF($B1210="Robusta","Robusta",(IF($B1210="","Arabica",$B1210))&amp;" - "&amp;(IF($C1210="","Commercial",$C1210))),Variables!$B$1:$D$1,0),1))*AK1210)+(W1210*INDEX(Variables!$B$9:$D$9,IFERROR(MATCH(IF($B1210="Robusta","Robusta",(IF($B1210="","Arabica",$B1210))&amp;" - "&amp;(IF($C1210="","Commercial",$C1210))),Variables!$B$1:$D$1,0),1))*AK1210/365),""))</f>
        <v>93.112005097726524</v>
      </c>
      <c r="BI1210" s="44">
        <f>IF($AX1210="Cancelled","",IFERROR((W1210*INDEX(Variables!$B$7:$D$7,IFERROR(MATCH(IF($B1210="Robusta","Robusta",(IF($B1210="","Arabica",$B1210))&amp;" - "&amp;(IF($C1210="","Commercial",$C1210))),Variables!$B$1:$D$1,0),1))*BD1210/365)+(L1210/16.67*INDEX(Variables!$B$8:$D$8,IFERROR(MATCH(IF($B1210="Robusta","Robusta",(IF($B1210="","Arabica",$B1210))&amp;" - "&amp;(IF($C1210="","Commercial",$C1210))),Variables!$B$1:$D$1,0),1))*BD1210)+(W1210*INDEX(Variables!$B$9:$D$9,IFERROR(MATCH(IF($B1210="Robusta","Robusta",(IF($B1210="","Arabica",$B1210))&amp;" - "&amp;(IF($C1210="","Commercial",$C1210))),Variables!$B$1:$D$1,0),1))*BD1210/365),""))</f>
        <v>6.6508575069804667</v>
      </c>
      <c r="BJ1210" s="44">
        <f t="shared" si="57"/>
        <v>-14</v>
      </c>
      <c r="BK1210" s="44">
        <f>IF($AX1210="Cancelled","",IFERROR(IF(BJ1210="","",(W1210*INDEX(Variables!$B$7:$D$7,IFERROR(MATCH(IF($B1210="Robusta","Robusta",(IF($B1210="","Arabica",$B1210))&amp;" - "&amp;(IF($C1210="","Commercial",$C1210))),Variables!$B$1:$D$1,0),1))*(BJ1210/365))+(W1210*INDEX(Variables!$B$9:$D$9,IFERROR(MATCH(IF($B1210="Robusta","Robusta",(IF($B1210="","Arabica",$B1210))&amp;" - "&amp;(IF($C1210="","Commercial",$C1210))),Variables!$B$1:$D$1,0),1))*(BJ1210/365))+(INDEX(Variables!$B$8:$D$8,IFERROR(MATCH(IF($B1210="Robusta","Robusta",(IF($B1210="","Arabica",$B1210))&amp;" - "&amp;(IF($C1210="","Commercial",$C1210))),Variables!$B$1:$D$1,0),1))*L1210/16.67)),""))</f>
        <v>-55.612005097726524</v>
      </c>
    </row>
    <row r="1211" spans="1:63">
      <c r="A1211" s="13" t="s">
        <v>103</v>
      </c>
      <c r="B1211" s="13" t="s">
        <v>104</v>
      </c>
      <c r="C1211" s="13" t="s">
        <v>105</v>
      </c>
      <c r="D1211" s="31">
        <v>46232</v>
      </c>
      <c r="E1211" s="31">
        <v>46249</v>
      </c>
      <c r="F1211" s="31">
        <v>46265</v>
      </c>
      <c r="G1211" s="13">
        <v>3787669</v>
      </c>
      <c r="J1211" s="13" t="s">
        <v>118</v>
      </c>
      <c r="K1211" s="13">
        <v>5629</v>
      </c>
      <c r="L1211" s="13">
        <v>320</v>
      </c>
      <c r="M1211" s="13">
        <v>1</v>
      </c>
      <c r="N1211" s="13" t="s">
        <v>2972</v>
      </c>
      <c r="O1211" s="13" t="s">
        <v>2973</v>
      </c>
      <c r="P1211" s="13">
        <v>10310</v>
      </c>
      <c r="Q1211" s="59" t="s">
        <v>270</v>
      </c>
      <c r="R1211" s="13" t="s">
        <v>239</v>
      </c>
      <c r="S1211" s="13" t="s">
        <v>2823</v>
      </c>
      <c r="T1211" s="13" t="s">
        <v>430</v>
      </c>
      <c r="U1211" s="13" t="s">
        <v>182</v>
      </c>
      <c r="V1211" s="23">
        <v>90</v>
      </c>
      <c r="W1211" s="44">
        <f>IF($AX1211="Cancelled","",IFERROR(((V1211+INDEX(Variables!$B$6:$D$6,IFERROR(MATCH(IF($B1211="Robusta","Robusta",(IF($B1211="","Arabica",$B1211))&amp;" - "&amp;(IF($C1211="","Commercial",$C1211))),Variables!$B$1:$D$1,0),1)))*22.0462)*(L1211/16.67),""))</f>
        <v>161155.47373725253</v>
      </c>
      <c r="X1211" s="55" t="s">
        <v>37</v>
      </c>
      <c r="Y1211" s="13" t="str">
        <f>IF($AX1211="Cancelled","",IF(X1211="","",IFERROR(IF(INDEX(Variables!$B$38:$B$47,MATCH(X1211,Variables!$A$38:$A$47,0))="Yes","Yes","No"),"No")))</f>
        <v>Yes</v>
      </c>
      <c r="Z1211" s="58">
        <v>46241</v>
      </c>
      <c r="AB1211" s="31">
        <v>46262</v>
      </c>
      <c r="AC1211" s="13" t="str">
        <f t="shared" si="56"/>
        <v>Approved</v>
      </c>
      <c r="AF1211" s="71">
        <v>46201</v>
      </c>
      <c r="AG1211" s="37">
        <f>IF($AX1211="Cancelled","",IFERROR(IF(F1211="","",F1211-Variables!$B$13),""))</f>
        <v>46250</v>
      </c>
      <c r="AH1211" s="13">
        <f>IF($AX1211="Cancelled","",IFERROR(IF(AB1211="","",(AVERAGE(E1211:F1211)-AB1211)-Variables!$B$14),""))</f>
        <v>-35</v>
      </c>
      <c r="AJ1211" s="47">
        <v>46269</v>
      </c>
      <c r="AK1211" s="14">
        <f>IF($AX1211="Cancelled","",IFERROR(IF(AJ1211="","",IF(AND(AB1211="",AF1211=""),"",IF(AF1211&gt;AB1211,AF1211+Variables!$B$15+Variables!$B$16+Variables!$B$17-AJ1211,AB1211+Variables!$B$16+Variables!$B$17-AJ1211))),""))</f>
        <v>1</v>
      </c>
      <c r="AL1211" s="48" t="s">
        <v>114</v>
      </c>
      <c r="AM1211" s="13" t="s">
        <v>115</v>
      </c>
      <c r="AN1211" s="13" t="s">
        <v>2974</v>
      </c>
      <c r="AP1211" s="39">
        <v>46282</v>
      </c>
      <c r="AR1211" s="13">
        <v>276114032</v>
      </c>
      <c r="AS1211" s="31">
        <v>46282</v>
      </c>
      <c r="AU1211" s="39">
        <v>46300</v>
      </c>
      <c r="AV1211" s="13">
        <v>4961573982</v>
      </c>
      <c r="AW1211" s="39">
        <v>46300</v>
      </c>
      <c r="AX1211" s="13" t="str">
        <f>IF(ISNUMBER(SEARCH("cancel",#REF!)),"Cancelled",IF(AND(AS1211&lt;&gt;"",AU1211&lt;&gt;"",AW1211&lt;&gt;""),"Closed","Open"))</f>
        <v>Closed</v>
      </c>
      <c r="AY1211" s="25" t="str">
        <f t="shared" si="55"/>
        <v>All dates received</v>
      </c>
      <c r="AZ1211" s="13" t="s">
        <v>3050</v>
      </c>
      <c r="BA1211" s="13" t="s">
        <v>3062</v>
      </c>
      <c r="BB1211" s="13" t="s">
        <v>3052</v>
      </c>
      <c r="BC1211" s="13" t="s">
        <v>3306</v>
      </c>
      <c r="BD1211" s="13">
        <f>IF($AX1211="Cancelled","",IFERROR(IF(OR(AS1211="",AJ1211=""),"",(AJ1211+Variables!$B$18-AS1211)),""))</f>
        <v>2</v>
      </c>
      <c r="BE1211" s="13">
        <f>IF($AX1211="Cancelled","",IFERROR(IF(OR(AW1211="",AS1211=""),"",(AS1211+Variables!$B$19)-AW1211),""))</f>
        <v>-13</v>
      </c>
      <c r="BF1211" s="44">
        <f>IF($AX1211="Cancelled","",IFERROR(W1211*INDEX(Variables!$B$7:$D$7,IFERROR(MATCH(IF($B1211="Robusta","Robusta",(IF($B1211="","Arabica",$B1211))&amp;" - "&amp;(IF($C1211="","Commercial",$C1211))),Variables!$B$1:$D$1,0),1))*(BE1211/365),""))</f>
        <v>-370.11389959469437</v>
      </c>
      <c r="BG1211" s="44">
        <f>IF($AX1211="Cancelled","",IFERROR((W1211*INDEX(Variables!$B$7:$D$7,IFERROR(MATCH(IF($B1211="Robusta","Robusta",(IF($B1211="","Arabica",$B1211))&amp;" - "&amp;(IF($C1211="","Commercial",$C1211))),Variables!$B$1:$D$1,0),1))*IFERROR(IF(AB1211="","",(AVERAGE(E1211:F1211)-AB1211)-Variables!$B$14),"")/365)+(L1211/16.67*INDEX(Variables!$B$8:$D$8,IFERROR(MATCH(IF($B1211="Robusta","Robusta",(IF($B1211="","Arabica",$B1211))&amp;" - "&amp;(IF($C1211="","Commercial",$C1211))),Variables!$B$1:$D$1,0),1))*IFERROR(IF(AB1211="","",(AVERAGE(E1211:F1211)-AB1211)-Variables!$B$14),""))+(W1211*INDEX(Variables!$B$9:$D$9,IFERROR(MATCH(IF($B1211="Robusta","Robusta",(IF($B1211="","Arabica",$B1211))&amp;" - "&amp;(IF($C1211="","Commercial",$C1211))),Variables!$B$1:$D$1,0),1))*IFERROR(IF(AB1211="","",(AVERAGE(E1211:F1211)-AB1211)-Variables!$B$14),"")/365),""))</f>
        <v>-1569.306797774881</v>
      </c>
      <c r="BH1211" s="44">
        <f>IF($AX1211="Cancelled","",IFERROR((W1211*INDEX(Variables!$B$7:$D$7,IFERROR(MATCH(IF($B1211="Robusta","Robusta",(IF($B1211="","Arabica",$B1211))&amp;" - "&amp;(IF($C1211="","Commercial",$C1211))),Variables!$B$1:$D$1,0),1))*AK1211/365)+(L1211/16.67*INDEX(Variables!$B$8:$D$8,IFERROR(MATCH(IF($B1211="Robusta","Robusta",(IF($B1211="","Arabica",$B1211))&amp;" - "&amp;(IF($C1211="","Commercial",$C1211))),Variables!$B$1:$D$1,0),1))*AK1211)+(W1211*INDEX(Variables!$B$9:$D$9,IFERROR(MATCH(IF($B1211="Robusta","Robusta",(IF($B1211="","Arabica",$B1211))&amp;" - "&amp;(IF($C1211="","Commercial",$C1211))),Variables!$B$1:$D$1,0),1))*AK1211/365),""))</f>
        <v>44.837337079282307</v>
      </c>
      <c r="BI1211" s="44">
        <f>IF($AX1211="Cancelled","",IFERROR((W1211*INDEX(Variables!$B$7:$D$7,IFERROR(MATCH(IF($B1211="Robusta","Robusta",(IF($B1211="","Arabica",$B1211))&amp;" - "&amp;(IF($C1211="","Commercial",$C1211))),Variables!$B$1:$D$1,0),1))*BD1211/365)+(L1211/16.67*INDEX(Variables!$B$8:$D$8,IFERROR(MATCH(IF($B1211="Robusta","Robusta",(IF($B1211="","Arabica",$B1211))&amp;" - "&amp;(IF($C1211="","Commercial",$C1211))),Variables!$B$1:$D$1,0),1))*BD1211)+(W1211*INDEX(Variables!$B$9:$D$9,IFERROR(MATCH(IF($B1211="Robusta","Robusta",(IF($B1211="","Arabica",$B1211))&amp;" - "&amp;(IF($C1211="","Commercial",$C1211))),Variables!$B$1:$D$1,0),1))*BD1211/365),""))</f>
        <v>89.674674158564613</v>
      </c>
      <c r="BJ1211" s="44">
        <f t="shared" si="57"/>
        <v>-17</v>
      </c>
      <c r="BK1211" s="44">
        <f>IF($AX1211="Cancelled","",IFERROR(IF(BJ1211="","",(W1211*INDEX(Variables!$B$7:$D$7,IFERROR(MATCH(IF($B1211="Robusta","Robusta",(IF($B1211="","Arabica",$B1211))&amp;" - "&amp;(IF($C1211="","Commercial",$C1211))),Variables!$B$1:$D$1,0),1))*(BJ1211/365))+(W1211*INDEX(Variables!$B$9:$D$9,IFERROR(MATCH(IF($B1211="Robusta","Robusta",(IF($B1211="","Arabica",$B1211))&amp;" - "&amp;(IF($C1211="","Commercial",$C1211))),Variables!$B$1:$D$1,0),1))*(BJ1211/365))+(INDEX(Variables!$B$8:$D$8,IFERROR(MATCH(IF($B1211="Robusta","Robusta",(IF($B1211="","Arabica",$B1211))&amp;" - "&amp;(IF($C1211="","Commercial",$C1211))),Variables!$B$1:$D$1,0),1))*L1211/16.67)),""))</f>
        <v>-474.23473034779931</v>
      </c>
    </row>
    <row r="1212" spans="1:63">
      <c r="A1212" s="13" t="s">
        <v>103</v>
      </c>
      <c r="B1212" s="13" t="s">
        <v>104</v>
      </c>
      <c r="C1212" s="13" t="s">
        <v>105</v>
      </c>
      <c r="D1212" s="31">
        <v>46237</v>
      </c>
      <c r="E1212" s="31">
        <v>46235</v>
      </c>
      <c r="F1212" s="31">
        <v>46265</v>
      </c>
      <c r="G1212" s="13">
        <v>3787670</v>
      </c>
      <c r="J1212" s="13" t="s">
        <v>2888</v>
      </c>
      <c r="K1212" s="13" t="s">
        <v>2975</v>
      </c>
      <c r="L1212" s="13">
        <v>100</v>
      </c>
      <c r="M1212" s="13">
        <v>0</v>
      </c>
      <c r="N1212" s="13" t="s">
        <v>2976</v>
      </c>
      <c r="O1212" s="13" t="s">
        <v>120</v>
      </c>
      <c r="P1212" s="13">
        <v>10070</v>
      </c>
      <c r="R1212" s="13" t="s">
        <v>239</v>
      </c>
      <c r="S1212" s="13" t="s">
        <v>154</v>
      </c>
      <c r="T1212" s="13" t="s">
        <v>155</v>
      </c>
      <c r="U1212" s="13" t="s">
        <v>125</v>
      </c>
      <c r="V1212" s="23">
        <v>63</v>
      </c>
      <c r="W1212" s="44">
        <f>IF($AX1212="Cancelled","",IFERROR(((V1212+INDEX(Variables!$B$6:$D$6,IFERROR(MATCH(IF($B1212="Robusta","Robusta",(IF($B1212="","Arabica",$B1212))&amp;" - "&amp;(IF($C1212="","Commercial",$C1212))),Variables!$B$1:$D$1,0),1)))*22.0462)*(L1212/16.67),""))</f>
        <v>46790.315296940607</v>
      </c>
      <c r="X1212" s="55" t="s">
        <v>39</v>
      </c>
      <c r="Y1212" s="13" t="str">
        <f>IF($AX1212="Cancelled","",IF(X1212="","",IFERROR(IF(INDEX(Variables!$B$38:$B$47,MATCH(X1212,Variables!$A$38:$A$47,0))="Yes","Yes","No"),"No")))</f>
        <v>No</v>
      </c>
      <c r="Z1212" s="31"/>
      <c r="AC1212" s="13" t="str">
        <f t="shared" si="56"/>
        <v/>
      </c>
      <c r="AF1212" s="71">
        <v>46248</v>
      </c>
      <c r="AG1212" s="37">
        <f>IF($AX1212="Cancelled","",IFERROR(IF(F1212="","",F1212-Variables!$B$13),""))</f>
        <v>46250</v>
      </c>
      <c r="AH1212" s="13" t="str">
        <f>IF($AX1212="Cancelled","",IFERROR(IF(AB1212="","",(AVERAGE(E1212:F1212)-AB1212)-Variables!$B$14),""))</f>
        <v/>
      </c>
      <c r="AJ1212" s="47">
        <v>46247</v>
      </c>
      <c r="AK1212" s="14">
        <f>IF($AX1212="Cancelled","",IFERROR(IF(AJ1212="","",IF(AND(AB1212="",AF1212=""),"",IF(AF1212&gt;AB1212,AF1212+Variables!$B$15+Variables!$B$16+Variables!$B$17-AJ1212,AB1212+Variables!$B$16+Variables!$B$17-AJ1212))),""))</f>
        <v>16</v>
      </c>
      <c r="AL1212" s="48" t="s">
        <v>114</v>
      </c>
      <c r="AM1212" s="13" t="s">
        <v>115</v>
      </c>
      <c r="AN1212" s="13" t="s">
        <v>2188</v>
      </c>
      <c r="AP1212" s="39">
        <v>46263</v>
      </c>
      <c r="AR1212" s="13">
        <v>275502875</v>
      </c>
      <c r="AS1212" s="31">
        <v>46263</v>
      </c>
      <c r="AU1212" s="39">
        <v>46289</v>
      </c>
      <c r="AV1212" s="13" t="s">
        <v>865</v>
      </c>
      <c r="AW1212" s="39">
        <v>46294</v>
      </c>
      <c r="AX1212" s="13" t="str">
        <f>IF(ISNUMBER(SEARCH("cancel",#REF!)),"Cancelled",IF(AND(AS1212&lt;&gt;"",AU1212&lt;&gt;"",AW1212&lt;&gt;""),"Closed","Open"))</f>
        <v>Closed</v>
      </c>
      <c r="AY1212" s="25" t="str">
        <f t="shared" si="55"/>
        <v>All dates received</v>
      </c>
      <c r="BD1212" s="13">
        <f>IF($AX1212="Cancelled","",IFERROR(IF(OR(AS1212="",AJ1212=""),"",(AJ1212+Variables!$B$18-AS1212)),""))</f>
        <v>-1</v>
      </c>
      <c r="BE1212" s="13">
        <f>IF($AX1212="Cancelled","",IFERROR(IF(OR(AW1212="",AS1212=""),"",(AS1212+Variables!$B$19)-AW1212),""))</f>
        <v>-26</v>
      </c>
      <c r="BF1212" s="44">
        <f>IF($AX1212="Cancelled","",IFERROR(W1212*INDEX(Variables!$B$7:$D$7,IFERROR(MATCH(IF($B1212="Robusta","Robusta",(IF($B1212="","Arabica",$B1212))&amp;" - "&amp;(IF($C1212="","Commercial",$C1212))),Variables!$B$1:$D$1,0),1))*(BE1212/365),""))</f>
        <v>-214.91973752068486</v>
      </c>
      <c r="BG1212" s="44" t="str">
        <f>IF($AX1212="Cancelled","",IFERROR((W1212*INDEX(Variables!$B$7:$D$7,IFERROR(MATCH(IF($B1212="Robusta","Robusta",(IF($B1212="","Arabica",$B1212))&amp;" - "&amp;(IF($C1212="","Commercial",$C1212))),Variables!$B$1:$D$1,0),1))*IFERROR(IF(AB1212="","",(AVERAGE(E1212:F1212)-AB1212)-Variables!$B$14),"")/365)+(L1212/16.67*INDEX(Variables!$B$8:$D$8,IFERROR(MATCH(IF($B1212="Robusta","Robusta",(IF($B1212="","Arabica",$B1212))&amp;" - "&amp;(IF($C1212="","Commercial",$C1212))),Variables!$B$1:$D$1,0),1))*IFERROR(IF(AB1212="","",(AVERAGE(E1212:F1212)-AB1212)-Variables!$B$14),""))+(W1212*INDEX(Variables!$B$9:$D$9,IFERROR(MATCH(IF($B1212="Robusta","Robusta",(IF($B1212="","Arabica",$B1212))&amp;" - "&amp;(IF($C1212="","Commercial",$C1212))),Variables!$B$1:$D$1,0),1))*IFERROR(IF(AB1212="","",(AVERAGE(E1212:F1212)-AB1212)-Variables!$B$14),"")/365),""))</f>
        <v/>
      </c>
      <c r="BH1212" s="44">
        <f>IF($AX1212="Cancelled","",IFERROR((W1212*INDEX(Variables!$B$7:$D$7,IFERROR(MATCH(IF($B1212="Robusta","Robusta",(IF($B1212="","Arabica",$B1212))&amp;" - "&amp;(IF($C1212="","Commercial",$C1212))),Variables!$B$1:$D$1,0),1))*AK1212/365)+(L1212/16.67*INDEX(Variables!$B$8:$D$8,IFERROR(MATCH(IF($B1212="Robusta","Robusta",(IF($B1212="","Arabica",$B1212))&amp;" - "&amp;(IF($C1212="","Commercial",$C1212))),Variables!$B$1:$D$1,0),1))*AK1212)+(W1212*INDEX(Variables!$B$9:$D$9,IFERROR(MATCH(IF($B1212="Robusta","Robusta",(IF($B1212="","Arabica",$B1212))&amp;" - "&amp;(IF($C1212="","Commercial",$C1212))),Variables!$B$1:$D$1,0),1))*AK1212/365),""))</f>
        <v>213.96336474067857</v>
      </c>
      <c r="BI1212" s="44">
        <f>IF($AX1212="Cancelled","",IFERROR((W1212*INDEX(Variables!$B$7:$D$7,IFERROR(MATCH(IF($B1212="Robusta","Robusta",(IF($B1212="","Arabica",$B1212))&amp;" - "&amp;(IF($C1212="","Commercial",$C1212))),Variables!$B$1:$D$1,0),1))*BD1212/365)+(L1212/16.67*INDEX(Variables!$B$8:$D$8,IFERROR(MATCH(IF($B1212="Robusta","Robusta",(IF($B1212="","Arabica",$B1212))&amp;" - "&amp;(IF($C1212="","Commercial",$C1212))),Variables!$B$1:$D$1,0),1))*BD1212)+(W1212*INDEX(Variables!$B$9:$D$9,IFERROR(MATCH(IF($B1212="Robusta","Robusta",(IF($B1212="","Arabica",$B1212))&amp;" - "&amp;(IF($C1212="","Commercial",$C1212))),Variables!$B$1:$D$1,0),1))*BD1212/365),""))</f>
        <v>-13.372710296292411</v>
      </c>
      <c r="BJ1212" s="44">
        <f t="shared" si="57"/>
        <v>2</v>
      </c>
      <c r="BK1212" s="44">
        <f>IF($AX1212="Cancelled","",IFERROR(IF(BJ1212="","",(W1212*INDEX(Variables!$B$7:$D$7,IFERROR(MATCH(IF($B1212="Robusta","Robusta",(IF($B1212="","Arabica",$B1212))&amp;" - "&amp;(IF($C1212="","Commercial",$C1212))),Variables!$B$1:$D$1,0),1))*(BJ1212/365))+(W1212*INDEX(Variables!$B$9:$D$9,IFERROR(MATCH(IF($B1212="Robusta","Robusta",(IF($B1212="","Arabica",$B1212))&amp;" - "&amp;(IF($C1212="","Commercial",$C1212))),Variables!$B$1:$D$1,0),1))*(BJ1212/365))+(INDEX(Variables!$B$8:$D$8,IFERROR(MATCH(IF($B1212="Robusta","Robusta",(IF($B1212="","Arabica",$B1212))&amp;" - "&amp;(IF($C1212="","Commercial",$C1212))),Variables!$B$1:$D$1,0),1))*L1212/16.67)),""))</f>
        <v>21.745420592584821</v>
      </c>
    </row>
    <row r="1213" spans="1:63">
      <c r="A1213" s="13" t="s">
        <v>103</v>
      </c>
      <c r="B1213" s="13" t="s">
        <v>104</v>
      </c>
      <c r="C1213" s="13" t="s">
        <v>105</v>
      </c>
      <c r="D1213" s="31">
        <v>46240</v>
      </c>
      <c r="E1213" s="31">
        <v>46296</v>
      </c>
      <c r="F1213" s="31">
        <v>46326</v>
      </c>
      <c r="G1213" s="13">
        <v>3787675</v>
      </c>
      <c r="J1213" s="13" t="s">
        <v>118</v>
      </c>
      <c r="K1213" s="13" t="s">
        <v>2977</v>
      </c>
      <c r="L1213" s="13">
        <v>360</v>
      </c>
      <c r="M1213" s="13">
        <v>1</v>
      </c>
      <c r="N1213" s="13" t="s">
        <v>2978</v>
      </c>
      <c r="O1213" s="13" t="s">
        <v>1205</v>
      </c>
      <c r="P1213" s="13">
        <v>10045</v>
      </c>
      <c r="Q1213" s="13" t="s">
        <v>121</v>
      </c>
      <c r="R1213" s="13" t="s">
        <v>122</v>
      </c>
      <c r="S1213" s="13" t="s">
        <v>154</v>
      </c>
      <c r="T1213" s="13" t="s">
        <v>155</v>
      </c>
      <c r="U1213" s="13" t="s">
        <v>125</v>
      </c>
      <c r="V1213" s="23">
        <v>55</v>
      </c>
      <c r="W1213" s="44">
        <f>IF($AX1213="Cancelled","",IFERROR(((V1213+INDEX(Variables!$B$6:$D$6,IFERROR(MATCH(IF($B1213="Robusta","Robusta",(IF($B1213="","Arabica",$B1213))&amp;" - "&amp;(IF($C1213="","Commercial",$C1213))),Variables!$B$1:$D$1,0),1)))*22.0462)*(L1213/16.67),""))</f>
        <v>164636.31347330534</v>
      </c>
      <c r="X1213" s="55" t="s">
        <v>37</v>
      </c>
      <c r="Y1213" s="13" t="str">
        <f>IF($AX1213="Cancelled","",IF(X1213="","",IFERROR(IF(INDEX(Variables!$B$38:$B$47,MATCH(X1213,Variables!$A$38:$A$47,0))="Yes","Yes","No"),"No")))</f>
        <v>Yes</v>
      </c>
      <c r="Z1213" s="58">
        <v>46255</v>
      </c>
      <c r="AB1213" s="31">
        <v>46265</v>
      </c>
      <c r="AC1213" s="13" t="str">
        <f t="shared" si="56"/>
        <v>Approved</v>
      </c>
      <c r="AD1213" s="31">
        <v>46287</v>
      </c>
      <c r="AF1213" s="71">
        <v>46301</v>
      </c>
      <c r="AG1213" s="37">
        <f>IF($AX1213="Cancelled","",IFERROR(IF(F1213="","",F1213-Variables!$B$13),""))</f>
        <v>46311</v>
      </c>
      <c r="AH1213" s="13">
        <f>IF($AX1213="Cancelled","",IFERROR(IF(AB1213="","",(AVERAGE(E1213:F1213)-AB1213)-Variables!$B$14),""))</f>
        <v>16</v>
      </c>
      <c r="AJ1213" s="47">
        <v>46297</v>
      </c>
      <c r="AK1213" s="14">
        <f>IF($AX1213="Cancelled","",IFERROR(IF(AJ1213="","",IF(AND(AB1213="",AF1213=""),"",IF(AF1213&gt;AB1213,AF1213+Variables!$B$15+Variables!$B$16+Variables!$B$17-AJ1213,AB1213+Variables!$B$16+Variables!$B$17-AJ1213))),""))</f>
        <v>19</v>
      </c>
      <c r="AL1213" s="48" t="s">
        <v>114</v>
      </c>
      <c r="AM1213" s="13" t="s">
        <v>141</v>
      </c>
      <c r="AN1213" s="13" t="s">
        <v>3285</v>
      </c>
      <c r="AP1213" s="39">
        <v>46304</v>
      </c>
      <c r="AR1213" s="13" t="s">
        <v>3277</v>
      </c>
      <c r="AS1213" s="31">
        <v>46307</v>
      </c>
      <c r="AU1213" s="31">
        <v>46318</v>
      </c>
      <c r="AV1213" s="13" t="s">
        <v>865</v>
      </c>
      <c r="AW1213" s="31">
        <v>46318</v>
      </c>
      <c r="AX1213" s="13" t="str">
        <f>IF(ISNUMBER(SEARCH("cancel",#REF!)),"Cancelled",IF(AND(AS1213&lt;&gt;"",AU1213&lt;&gt;"",AW1213&lt;&gt;""),"Closed","Open"))</f>
        <v>Closed</v>
      </c>
      <c r="AY1213" s="25" t="str">
        <f t="shared" ref="AY1213:AY1244" si="58">IF($AX1213="Cancelled","",IF(AND(AS1213&lt;&gt;"",AU1213&lt;&gt;"",AW1213&lt;&gt;""),"All dates received",_xlfn.TEXTJOIN(" and ",TRUE(),IF(AS1213="","No sailing date",""),IF(AU1213="","No shipping advice sent",""),IF(AW1213="","No docs dispatch date",""))))</f>
        <v>All dates received</v>
      </c>
      <c r="BD1213" s="13">
        <f>IF($AX1213="Cancelled","",IFERROR(IF(OR(AS1213="",AJ1213=""),"",(AJ1213+Variables!$B$18-AS1213)),""))</f>
        <v>5</v>
      </c>
      <c r="BE1213" s="13">
        <f>IF($AX1213="Cancelled","",IFERROR(IF(OR(AW1213="",AS1213=""),"",(AS1213+Variables!$B$19)-AW1213),""))</f>
        <v>-6</v>
      </c>
      <c r="BF1213" s="44">
        <f>IF($AX1213="Cancelled","",IFERROR(W1213*INDEX(Variables!$B$7:$D$7,IFERROR(MATCH(IF($B1213="Robusta","Robusta",(IF($B1213="","Arabica",$B1213))&amp;" - "&amp;(IF($C1213="","Commercial",$C1213))),Variables!$B$1:$D$1,0),1))*(BE1213/365),""))</f>
        <v>-174.51142508463073</v>
      </c>
      <c r="BG1213" s="44">
        <f>IF($AX1213="Cancelled","",IFERROR((W1213*INDEX(Variables!$B$7:$D$7,IFERROR(MATCH(IF($B1213="Robusta","Robusta",(IF($B1213="","Arabica",$B1213))&amp;" - "&amp;(IF($C1213="","Commercial",$C1213))),Variables!$B$1:$D$1,0),1))*IFERROR(IF(AB1213="","",(AVERAGE(E1213:F1213)-AB1213)-Variables!$B$14),"")/365)+(L1213/16.67*INDEX(Variables!$B$8:$D$8,IFERROR(MATCH(IF($B1213="Robusta","Robusta",(IF($B1213="","Arabica",$B1213))&amp;" - "&amp;(IF($C1213="","Commercial",$C1213))),Variables!$B$1:$D$1,0),1))*IFERROR(IF(AB1213="","",(AVERAGE(E1213:F1213)-AB1213)-Variables!$B$14),""))+(W1213*INDEX(Variables!$B$9:$D$9,IFERROR(MATCH(IF($B1213="Robusta","Robusta",(IF($B1213="","Arabica",$B1213))&amp;" - "&amp;(IF($C1213="","Commercial",$C1213))),Variables!$B$1:$D$1,0),1))*IFERROR(IF(AB1213="","",(AVERAGE(E1213:F1213)-AB1213)-Variables!$B$14),"")/365),""))</f>
        <v>759.363237700328</v>
      </c>
      <c r="BH1213" s="44">
        <f>IF($AX1213="Cancelled","",IFERROR((W1213*INDEX(Variables!$B$7:$D$7,IFERROR(MATCH(IF($B1213="Robusta","Robusta",(IF($B1213="","Arabica",$B1213))&amp;" - "&amp;(IF($C1213="","Commercial",$C1213))),Variables!$B$1:$D$1,0),1))*AK1213/365)+(L1213/16.67*INDEX(Variables!$B$8:$D$8,IFERROR(MATCH(IF($B1213="Robusta","Robusta",(IF($B1213="","Arabica",$B1213))&amp;" - "&amp;(IF($C1213="","Commercial",$C1213))),Variables!$B$1:$D$1,0),1))*AK1213)+(W1213*INDEX(Variables!$B$9:$D$9,IFERROR(MATCH(IF($B1213="Robusta","Robusta",(IF($B1213="","Arabica",$B1213))&amp;" - "&amp;(IF($C1213="","Commercial",$C1213))),Variables!$B$1:$D$1,0),1))*AK1213/365),""))</f>
        <v>901.74384476913929</v>
      </c>
      <c r="BI1213" s="44">
        <f>IF($AX1213="Cancelled","",IFERROR((W1213*INDEX(Variables!$B$7:$D$7,IFERROR(MATCH(IF($B1213="Robusta","Robusta",(IF($B1213="","Arabica",$B1213))&amp;" - "&amp;(IF($C1213="","Commercial",$C1213))),Variables!$B$1:$D$1,0),1))*BD1213/365)+(L1213/16.67*INDEX(Variables!$B$8:$D$8,IFERROR(MATCH(IF($B1213="Robusta","Robusta",(IF($B1213="","Arabica",$B1213))&amp;" - "&amp;(IF($C1213="","Commercial",$C1213))),Variables!$B$1:$D$1,0),1))*BD1213)+(W1213*INDEX(Variables!$B$9:$D$9,IFERROR(MATCH(IF($B1213="Robusta","Robusta",(IF($B1213="","Arabica",$B1213))&amp;" - "&amp;(IF($C1213="","Commercial",$C1213))),Variables!$B$1:$D$1,0),1))*BD1213/365),""))</f>
        <v>237.30101178135243</v>
      </c>
      <c r="BJ1213" s="44">
        <f t="shared" si="57"/>
        <v>19</v>
      </c>
      <c r="BK1213" s="44">
        <f>IF($AX1213="Cancelled","",IFERROR(IF(BJ1213="","",(W1213*INDEX(Variables!$B$7:$D$7,IFERROR(MATCH(IF($B1213="Robusta","Robusta",(IF($B1213="","Arabica",$B1213))&amp;" - "&amp;(IF($C1213="","Commercial",$C1213))),Variables!$B$1:$D$1,0),1))*(BJ1213/365))+(W1213*INDEX(Variables!$B$9:$D$9,IFERROR(MATCH(IF($B1213="Robusta","Robusta",(IF($B1213="","Arabica",$B1213))&amp;" - "&amp;(IF($C1213="","Commercial",$C1213))),Variables!$B$1:$D$1,0),1))*(BJ1213/365))+(INDEX(Variables!$B$8:$D$8,IFERROR(MATCH(IF($B1213="Robusta","Robusta",(IF($B1213="","Arabica",$B1213))&amp;" - "&amp;(IF($C1213="","Commercial",$C1213))),Variables!$B$1:$D$1,0),1))*L1213/16.67)),""))</f>
        <v>577.74384476913929</v>
      </c>
    </row>
    <row r="1214" spans="1:63">
      <c r="A1214" s="13" t="s">
        <v>103</v>
      </c>
      <c r="B1214" s="13" t="s">
        <v>104</v>
      </c>
      <c r="C1214" s="13" t="s">
        <v>105</v>
      </c>
      <c r="D1214" s="31">
        <v>46240</v>
      </c>
      <c r="E1214" s="31">
        <v>46296</v>
      </c>
      <c r="F1214" s="31">
        <v>46326</v>
      </c>
      <c r="G1214" s="13">
        <v>3787675</v>
      </c>
      <c r="J1214" s="13" t="s">
        <v>118</v>
      </c>
      <c r="K1214" s="13" t="s">
        <v>2979</v>
      </c>
      <c r="L1214" s="13">
        <v>720</v>
      </c>
      <c r="M1214" s="13">
        <v>2</v>
      </c>
      <c r="N1214" s="13" t="s">
        <v>2978</v>
      </c>
      <c r="O1214" s="13" t="s">
        <v>1205</v>
      </c>
      <c r="P1214" s="13">
        <v>10045</v>
      </c>
      <c r="Q1214" s="13" t="s">
        <v>121</v>
      </c>
      <c r="R1214" s="13" t="s">
        <v>122</v>
      </c>
      <c r="S1214" s="13" t="s">
        <v>154</v>
      </c>
      <c r="T1214" s="13" t="s">
        <v>155</v>
      </c>
      <c r="U1214" s="13" t="s">
        <v>125</v>
      </c>
      <c r="V1214" s="23">
        <v>55</v>
      </c>
      <c r="W1214" s="44">
        <f>IF($AX1214="Cancelled","",IFERROR(((V1214+INDEX(Variables!$B$6:$D$6,IFERROR(MATCH(IF($B1214="Robusta","Robusta",(IF($B1214="","Arabica",$B1214))&amp;" - "&amp;(IF($C1214="","Commercial",$C1214))),Variables!$B$1:$D$1,0),1)))*22.0462)*(L1214/16.67),""))</f>
        <v>329272.62694661069</v>
      </c>
      <c r="X1214" s="55" t="s">
        <v>37</v>
      </c>
      <c r="Y1214" s="13" t="str">
        <f>IF($AX1214="Cancelled","",IF(X1214="","",IFERROR(IF(INDEX(Variables!$B$38:$B$47,MATCH(X1214,Variables!$A$38:$A$47,0))="Yes","Yes","No"),"No")))</f>
        <v>Yes</v>
      </c>
      <c r="Z1214" s="58">
        <v>46255</v>
      </c>
      <c r="AB1214" s="31">
        <v>46265</v>
      </c>
      <c r="AC1214" s="13" t="str">
        <f t="shared" si="56"/>
        <v>Approved</v>
      </c>
      <c r="AD1214" s="31">
        <v>46287</v>
      </c>
      <c r="AF1214" s="71">
        <v>46301</v>
      </c>
      <c r="AG1214" s="37">
        <f>IF($AX1214="Cancelled","",IFERROR(IF(F1214="","",F1214-Variables!$B$13),""))</f>
        <v>46311</v>
      </c>
      <c r="AH1214" s="13">
        <f>IF($AX1214="Cancelled","",IFERROR(IF(AB1214="","",(AVERAGE(E1214:F1214)-AB1214)-Variables!$B$14),""))</f>
        <v>16</v>
      </c>
      <c r="AK1214" s="14" t="str">
        <f>IF($AX1214="Cancelled","",IFERROR(IF(AJ1214="","",IF(AND(AB1214="",AF1214=""),"",IF(AF1214&gt;AB1214,AF1214+Variables!$B$15+Variables!$B$16+Variables!$B$17-AJ1214,AB1214+Variables!$B$16+Variables!$B$17-AJ1214))),""))</f>
        <v/>
      </c>
      <c r="AL1214" s="48" t="s">
        <v>114</v>
      </c>
      <c r="AM1214" s="13" t="s">
        <v>141</v>
      </c>
      <c r="AN1214" s="13" t="s">
        <v>3285</v>
      </c>
      <c r="AP1214" s="39">
        <v>46304</v>
      </c>
      <c r="AR1214" s="13" t="s">
        <v>3277</v>
      </c>
      <c r="AS1214" s="31">
        <v>46307</v>
      </c>
      <c r="AU1214" s="31">
        <v>46318</v>
      </c>
      <c r="AV1214" s="13" t="s">
        <v>865</v>
      </c>
      <c r="AW1214" s="31">
        <v>46318</v>
      </c>
      <c r="AX1214" s="13" t="str">
        <f>IF(ISNUMBER(SEARCH("cancel",#REF!)),"Cancelled",IF(AND(AS1214&lt;&gt;"",AU1214&lt;&gt;"",AW1214&lt;&gt;""),"Closed","Open"))</f>
        <v>Closed</v>
      </c>
      <c r="AY1214" s="25" t="str">
        <f t="shared" si="58"/>
        <v>All dates received</v>
      </c>
      <c r="BD1214" s="13" t="str">
        <f>IF($AX1214="Cancelled","",IFERROR(IF(OR(AS1214="",AJ1214=""),"",(AJ1214+Variables!$B$18-AS1214)),""))</f>
        <v/>
      </c>
      <c r="BE1214" s="13">
        <f>IF($AX1214="Cancelled","",IFERROR(IF(OR(AW1214="",AS1214=""),"",(AS1214+Variables!$B$19)-AW1214),""))</f>
        <v>-6</v>
      </c>
      <c r="BF1214" s="44">
        <f>IF($AX1214="Cancelled","",IFERROR(W1214*INDEX(Variables!$B$7:$D$7,IFERROR(MATCH(IF($B1214="Robusta","Robusta",(IF($B1214="","Arabica",$B1214))&amp;" - "&amp;(IF($C1214="","Commercial",$C1214))),Variables!$B$1:$D$1,0),1))*(BE1214/365),""))</f>
        <v>-349.02285016926146</v>
      </c>
      <c r="BG1214" s="44">
        <f>IF($AX1214="Cancelled","",IFERROR((W1214*INDEX(Variables!$B$7:$D$7,IFERROR(MATCH(IF($B1214="Robusta","Robusta",(IF($B1214="","Arabica",$B1214))&amp;" - "&amp;(IF($C1214="","Commercial",$C1214))),Variables!$B$1:$D$1,0),1))*IFERROR(IF(AB1214="","",(AVERAGE(E1214:F1214)-AB1214)-Variables!$B$14),"")/365)+(L1214/16.67*INDEX(Variables!$B$8:$D$8,IFERROR(MATCH(IF($B1214="Robusta","Robusta",(IF($B1214="","Arabica",$B1214))&amp;" - "&amp;(IF($C1214="","Commercial",$C1214))),Variables!$B$1:$D$1,0),1))*IFERROR(IF(AB1214="","",(AVERAGE(E1214:F1214)-AB1214)-Variables!$B$14),""))+(W1214*INDEX(Variables!$B$9:$D$9,IFERROR(MATCH(IF($B1214="Robusta","Robusta",(IF($B1214="","Arabica",$B1214))&amp;" - "&amp;(IF($C1214="","Commercial",$C1214))),Variables!$B$1:$D$1,0),1))*IFERROR(IF(AB1214="","",(AVERAGE(E1214:F1214)-AB1214)-Variables!$B$14),"")/365),""))</f>
        <v>1518.726475400656</v>
      </c>
      <c r="BH1214" s="44" t="str">
        <f>IF($AX1214="Cancelled","",IFERROR((W1214*INDEX(Variables!$B$7:$D$7,IFERROR(MATCH(IF($B1214="Robusta","Robusta",(IF($B1214="","Arabica",$B1214))&amp;" - "&amp;(IF($C1214="","Commercial",$C1214))),Variables!$B$1:$D$1,0),1))*AK1214/365)+(L1214/16.67*INDEX(Variables!$B$8:$D$8,IFERROR(MATCH(IF($B1214="Robusta","Robusta",(IF($B1214="","Arabica",$B1214))&amp;" - "&amp;(IF($C1214="","Commercial",$C1214))),Variables!$B$1:$D$1,0),1))*AK1214)+(W1214*INDEX(Variables!$B$9:$D$9,IFERROR(MATCH(IF($B1214="Robusta","Robusta",(IF($B1214="","Arabica",$B1214))&amp;" - "&amp;(IF($C1214="","Commercial",$C1214))),Variables!$B$1:$D$1,0),1))*AK1214/365),""))</f>
        <v/>
      </c>
      <c r="BI1214" s="44" t="str">
        <f>IF($AX1214="Cancelled","",IFERROR((W1214*INDEX(Variables!$B$7:$D$7,IFERROR(MATCH(IF($B1214="Robusta","Robusta",(IF($B1214="","Arabica",$B1214))&amp;" - "&amp;(IF($C1214="","Commercial",$C1214))),Variables!$B$1:$D$1,0),1))*BD1214/365)+(L1214/16.67*INDEX(Variables!$B$8:$D$8,IFERROR(MATCH(IF($B1214="Robusta","Robusta",(IF($B1214="","Arabica",$B1214))&amp;" - "&amp;(IF($C1214="","Commercial",$C1214))),Variables!$B$1:$D$1,0),1))*BD1214)+(W1214*INDEX(Variables!$B$9:$D$9,IFERROR(MATCH(IF($B1214="Robusta","Robusta",(IF($B1214="","Arabica",$B1214))&amp;" - "&amp;(IF($C1214="","Commercial",$C1214))),Variables!$B$1:$D$1,0),1))*BD1214/365),""))</f>
        <v/>
      </c>
      <c r="BJ1214" s="44">
        <f t="shared" si="57"/>
        <v>19</v>
      </c>
      <c r="BK1214" s="44">
        <f>IF($AX1214="Cancelled","",IFERROR(IF(BJ1214="","",(W1214*INDEX(Variables!$B$7:$D$7,IFERROR(MATCH(IF($B1214="Robusta","Robusta",(IF($B1214="","Arabica",$B1214))&amp;" - "&amp;(IF($C1214="","Commercial",$C1214))),Variables!$B$1:$D$1,0),1))*(BJ1214/365))+(W1214*INDEX(Variables!$B$9:$D$9,IFERROR(MATCH(IF($B1214="Robusta","Robusta",(IF($B1214="","Arabica",$B1214))&amp;" - "&amp;(IF($C1214="","Commercial",$C1214))),Variables!$B$1:$D$1,0),1))*(BJ1214/365))+(INDEX(Variables!$B$8:$D$8,IFERROR(MATCH(IF($B1214="Robusta","Robusta",(IF($B1214="","Arabica",$B1214))&amp;" - "&amp;(IF($C1214="","Commercial",$C1214))),Variables!$B$1:$D$1,0),1))*L1214/16.67)),""))</f>
        <v>1155.4876895382786</v>
      </c>
    </row>
    <row r="1215" spans="1:63">
      <c r="A1215" s="13" t="s">
        <v>103</v>
      </c>
      <c r="B1215" s="13" t="s">
        <v>104</v>
      </c>
      <c r="C1215" s="13" t="s">
        <v>105</v>
      </c>
      <c r="D1215" s="31">
        <v>46240</v>
      </c>
      <c r="E1215" s="31">
        <v>46296</v>
      </c>
      <c r="F1215" s="31">
        <v>46326</v>
      </c>
      <c r="G1215" s="13">
        <v>3787675</v>
      </c>
      <c r="J1215" s="13" t="s">
        <v>118</v>
      </c>
      <c r="K1215" s="13" t="s">
        <v>2980</v>
      </c>
      <c r="L1215" s="13">
        <v>2520</v>
      </c>
      <c r="M1215" s="13">
        <v>7</v>
      </c>
      <c r="N1215" s="13" t="s">
        <v>2978</v>
      </c>
      <c r="O1215" s="13" t="s">
        <v>1205</v>
      </c>
      <c r="P1215" s="13">
        <v>10045</v>
      </c>
      <c r="Q1215" s="13" t="s">
        <v>121</v>
      </c>
      <c r="R1215" s="13" t="s">
        <v>122</v>
      </c>
      <c r="S1215" s="13" t="s">
        <v>123</v>
      </c>
      <c r="T1215" s="13" t="s">
        <v>124</v>
      </c>
      <c r="U1215" s="13" t="s">
        <v>125</v>
      </c>
      <c r="V1215" s="23">
        <v>55</v>
      </c>
      <c r="W1215" s="44">
        <f>IF($AX1215="Cancelled","",IFERROR(((V1215+INDEX(Variables!$B$6:$D$6,IFERROR(MATCH(IF($B1215="Robusta","Robusta",(IF($B1215="","Arabica",$B1215))&amp;" - "&amp;(IF($C1215="","Commercial",$C1215))),Variables!$B$1:$D$1,0),1)))*22.0462)*(L1215/16.67),""))</f>
        <v>1152454.1943131371</v>
      </c>
      <c r="X1215" s="55" t="s">
        <v>37</v>
      </c>
      <c r="Y1215" s="13" t="str">
        <f>IF($AX1215="Cancelled","",IF(X1215="","",IFERROR(IF(INDEX(Variables!$B$38:$B$47,MATCH(X1215,Variables!$A$38:$A$47,0))="Yes","Yes","No"),"No")))</f>
        <v>Yes</v>
      </c>
      <c r="Z1215" s="58">
        <v>46255</v>
      </c>
      <c r="AB1215" s="31">
        <v>46265</v>
      </c>
      <c r="AC1215" s="13" t="str">
        <f t="shared" si="56"/>
        <v>Approved</v>
      </c>
      <c r="AD1215" s="31">
        <v>46287</v>
      </c>
      <c r="AF1215" s="71">
        <v>46301</v>
      </c>
      <c r="AG1215" s="37">
        <f>IF($AX1215="Cancelled","",IFERROR(IF(F1215="","",F1215-Variables!$B$13),""))</f>
        <v>46311</v>
      </c>
      <c r="AH1215" s="13">
        <f>IF($AX1215="Cancelled","",IFERROR(IF(AB1215="","",(AVERAGE(E1215:F1215)-AB1215)-Variables!$B$14),""))</f>
        <v>16</v>
      </c>
      <c r="AJ1215" s="47">
        <v>46301</v>
      </c>
      <c r="AK1215" s="14">
        <f>IF($AX1215="Cancelled","",IFERROR(IF(AJ1215="","",IF(AND(AB1215="",AF1215=""),"",IF(AF1215&gt;AB1215,AF1215+Variables!$B$15+Variables!$B$16+Variables!$B$17-AJ1215,AB1215+Variables!$B$16+Variables!$B$17-AJ1215))),""))</f>
        <v>15</v>
      </c>
      <c r="AL1215" s="48" t="s">
        <v>114</v>
      </c>
      <c r="AM1215" s="13" t="s">
        <v>141</v>
      </c>
      <c r="AN1215" s="13" t="s">
        <v>3285</v>
      </c>
      <c r="AP1215" s="39">
        <v>46304</v>
      </c>
      <c r="AR1215" s="13" t="s">
        <v>3277</v>
      </c>
      <c r="AS1215" s="31">
        <v>46307</v>
      </c>
      <c r="AU1215" s="31">
        <v>46318</v>
      </c>
      <c r="AV1215" s="13" t="s">
        <v>865</v>
      </c>
      <c r="AW1215" s="31">
        <v>46318</v>
      </c>
      <c r="AX1215" s="13" t="str">
        <f>IF(ISNUMBER(SEARCH("cancel",#REF!)),"Cancelled",IF(AND(AS1215&lt;&gt;"",AU1215&lt;&gt;"",AW1215&lt;&gt;""),"Closed","Open"))</f>
        <v>Closed</v>
      </c>
      <c r="AY1215" s="25" t="str">
        <f t="shared" si="58"/>
        <v>All dates received</v>
      </c>
      <c r="BD1215" s="13">
        <f>IF($AX1215="Cancelled","",IFERROR(IF(OR(AS1215="",AJ1215=""),"",(AJ1215+Variables!$B$18-AS1215)),""))</f>
        <v>9</v>
      </c>
      <c r="BE1215" s="13">
        <f>IF($AX1215="Cancelled","",IFERROR(IF(OR(AW1215="",AS1215=""),"",(AS1215+Variables!$B$19)-AW1215),""))</f>
        <v>-6</v>
      </c>
      <c r="BF1215" s="44">
        <f>IF($AX1215="Cancelled","",IFERROR(W1215*INDEX(Variables!$B$7:$D$7,IFERROR(MATCH(IF($B1215="Robusta","Robusta",(IF($B1215="","Arabica",$B1215))&amp;" - "&amp;(IF($C1215="","Commercial",$C1215))),Variables!$B$1:$D$1,0),1))*(BE1215/365),""))</f>
        <v>-1221.5799755924149</v>
      </c>
      <c r="BG1215" s="44">
        <f>IF($AX1215="Cancelled","",IFERROR((W1215*INDEX(Variables!$B$7:$D$7,IFERROR(MATCH(IF($B1215="Robusta","Robusta",(IF($B1215="","Arabica",$B1215))&amp;" - "&amp;(IF($C1215="","Commercial",$C1215))),Variables!$B$1:$D$1,0),1))*IFERROR(IF(AB1215="","",(AVERAGE(E1215:F1215)-AB1215)-Variables!$B$14),"")/365)+(L1215/16.67*INDEX(Variables!$B$8:$D$8,IFERROR(MATCH(IF($B1215="Robusta","Robusta",(IF($B1215="","Arabica",$B1215))&amp;" - "&amp;(IF($C1215="","Commercial",$C1215))),Variables!$B$1:$D$1,0),1))*IFERROR(IF(AB1215="","",(AVERAGE(E1215:F1215)-AB1215)-Variables!$B$14),""))+(W1215*INDEX(Variables!$B$9:$D$9,IFERROR(MATCH(IF($B1215="Robusta","Robusta",(IF($B1215="","Arabica",$B1215))&amp;" - "&amp;(IF($C1215="","Commercial",$C1215))),Variables!$B$1:$D$1,0),1))*IFERROR(IF(AB1215="","",(AVERAGE(E1215:F1215)-AB1215)-Variables!$B$14),"")/365),""))</f>
        <v>5315.5426639022944</v>
      </c>
      <c r="BH1215" s="44">
        <f>IF($AX1215="Cancelled","",IFERROR((W1215*INDEX(Variables!$B$7:$D$7,IFERROR(MATCH(IF($B1215="Robusta","Robusta",(IF($B1215="","Arabica",$B1215))&amp;" - "&amp;(IF($C1215="","Commercial",$C1215))),Variables!$B$1:$D$1,0),1))*AK1215/365)+(L1215/16.67*INDEX(Variables!$B$8:$D$8,IFERROR(MATCH(IF($B1215="Robusta","Robusta",(IF($B1215="","Arabica",$B1215))&amp;" - "&amp;(IF($C1215="","Commercial",$C1215))),Variables!$B$1:$D$1,0),1))*AK1215)+(W1215*INDEX(Variables!$B$9:$D$9,IFERROR(MATCH(IF($B1215="Robusta","Robusta",(IF($B1215="","Arabica",$B1215))&amp;" - "&amp;(IF($C1215="","Commercial",$C1215))),Variables!$B$1:$D$1,0),1))*AK1215/365),""))</f>
        <v>4983.3212474084003</v>
      </c>
      <c r="BI1215" s="44">
        <f>IF($AX1215="Cancelled","",IFERROR((W1215*INDEX(Variables!$B$7:$D$7,IFERROR(MATCH(IF($B1215="Robusta","Robusta",(IF($B1215="","Arabica",$B1215))&amp;" - "&amp;(IF($C1215="","Commercial",$C1215))),Variables!$B$1:$D$1,0),1))*BD1215/365)+(L1215/16.67*INDEX(Variables!$B$8:$D$8,IFERROR(MATCH(IF($B1215="Robusta","Robusta",(IF($B1215="","Arabica",$B1215))&amp;" - "&amp;(IF($C1215="","Commercial",$C1215))),Variables!$B$1:$D$1,0),1))*BD1215)+(W1215*INDEX(Variables!$B$9:$D$9,IFERROR(MATCH(IF($B1215="Robusta","Robusta",(IF($B1215="","Arabica",$B1215))&amp;" - "&amp;(IF($C1215="","Commercial",$C1215))),Variables!$B$1:$D$1,0),1))*BD1215/365),""))</f>
        <v>2989.9927484450409</v>
      </c>
      <c r="BJ1215" s="44">
        <f t="shared" si="57"/>
        <v>19</v>
      </c>
      <c r="BK1215" s="44">
        <f>IF($AX1215="Cancelled","",IFERROR(IF(BJ1215="","",(W1215*INDEX(Variables!$B$7:$D$7,IFERROR(MATCH(IF($B1215="Robusta","Robusta",(IF($B1215="","Arabica",$B1215))&amp;" - "&amp;(IF($C1215="","Commercial",$C1215))),Variables!$B$1:$D$1,0),1))*(BJ1215/365))+(W1215*INDEX(Variables!$B$9:$D$9,IFERROR(MATCH(IF($B1215="Robusta","Robusta",(IF($B1215="","Arabica",$B1215))&amp;" - "&amp;(IF($C1215="","Commercial",$C1215))),Variables!$B$1:$D$1,0),1))*(BJ1215/365))+(INDEX(Variables!$B$8:$D$8,IFERROR(MATCH(IF($B1215="Robusta","Robusta",(IF($B1215="","Arabica",$B1215))&amp;" - "&amp;(IF($C1215="","Commercial",$C1215))),Variables!$B$1:$D$1,0),1))*L1215/16.67)),""))</f>
        <v>4044.2069133839746</v>
      </c>
    </row>
    <row r="1216" spans="1:63">
      <c r="A1216" s="13" t="s">
        <v>103</v>
      </c>
      <c r="B1216" s="13" t="s">
        <v>104</v>
      </c>
      <c r="C1216" s="13" t="s">
        <v>105</v>
      </c>
      <c r="D1216" s="31">
        <v>46240</v>
      </c>
      <c r="E1216" s="31">
        <v>46327</v>
      </c>
      <c r="F1216" s="31">
        <v>46356</v>
      </c>
      <c r="G1216" s="13">
        <v>3787676</v>
      </c>
      <c r="H1216" s="30">
        <v>5900094608</v>
      </c>
      <c r="I1216" s="30"/>
      <c r="J1216" s="13" t="s">
        <v>118</v>
      </c>
      <c r="K1216" s="13">
        <v>5674</v>
      </c>
      <c r="L1216" s="13">
        <v>1800</v>
      </c>
      <c r="M1216" s="13">
        <v>5</v>
      </c>
      <c r="N1216" s="13" t="s">
        <v>2978</v>
      </c>
      <c r="O1216" s="13" t="s">
        <v>1205</v>
      </c>
      <c r="P1216" s="13">
        <v>10045</v>
      </c>
      <c r="Q1216" s="13" t="s">
        <v>121</v>
      </c>
      <c r="R1216" s="13" t="s">
        <v>122</v>
      </c>
      <c r="S1216" s="13" t="s">
        <v>123</v>
      </c>
      <c r="T1216" s="13" t="s">
        <v>124</v>
      </c>
      <c r="U1216" s="13" t="s">
        <v>125</v>
      </c>
      <c r="V1216" s="23">
        <v>52</v>
      </c>
      <c r="W1216" s="44">
        <f>IF($AX1216="Cancelled","",IFERROR(((V1216+INDEX(Variables!$B$6:$D$6,IFERROR(MATCH(IF($B1216="Robusta","Robusta",(IF($B1216="","Arabica",$B1216))&amp;" - "&amp;(IF($C1216="","Commercial",$C1216))),Variables!$B$1:$D$1,0),1)))*22.0462)*(L1216/16.67),""))</f>
        <v>816040.02687462501</v>
      </c>
      <c r="X1216" s="55" t="s">
        <v>37</v>
      </c>
      <c r="Y1216" s="13" t="str">
        <f>IF($AX1216="Cancelled","",IF(X1216="","",IFERROR(IF(INDEX(Variables!$B$38:$B$47,MATCH(X1216,Variables!$A$38:$A$47,0))="Yes","Yes","No"),"No")))</f>
        <v>Yes</v>
      </c>
      <c r="Z1216" s="58">
        <v>46282</v>
      </c>
      <c r="AB1216" s="31">
        <v>46294</v>
      </c>
      <c r="AC1216" s="13" t="str">
        <f t="shared" si="56"/>
        <v>Approved</v>
      </c>
      <c r="AD1216" s="31">
        <v>46283</v>
      </c>
      <c r="AF1216" s="71"/>
      <c r="AG1216" s="37">
        <f>IF($AX1216="Cancelled","",IFERROR(IF(F1216="","",F1216-Variables!$B$13),""))</f>
        <v>46341</v>
      </c>
      <c r="AH1216" s="13">
        <f>IF($AX1216="Cancelled","",IFERROR(IF(AB1216="","",(AVERAGE(E1216:F1216)-AB1216)-Variables!$B$14),""))</f>
        <v>17.5</v>
      </c>
      <c r="AK1216" s="14" t="str">
        <f>IF($AX1216="Cancelled","",IFERROR(IF(AJ1216="","",IF(AND(AB1216="",AF1216=""),"",IF(AF1216&gt;AB1216,AF1216+Variables!$B$15+Variables!$B$16+Variables!$B$17-AJ1216,AB1216+Variables!$B$16+Variables!$B$17-AJ1216))),""))</f>
        <v/>
      </c>
      <c r="AM1216" s="13" t="e">
        <v>#REF!</v>
      </c>
      <c r="AN1216" s="13">
        <v>0</v>
      </c>
      <c r="AP1216" s="39"/>
      <c r="AR1216" s="13" t="e">
        <v>#REF!</v>
      </c>
      <c r="AV1216" s="13" t="e">
        <v>#REF!</v>
      </c>
      <c r="AX1216" s="13" t="str">
        <f>IF(ISNUMBER(SEARCH("cancel",#REF!)),"Cancelled",IF(AND(AS1216&lt;&gt;"",AU1216&lt;&gt;"",AW1216&lt;&gt;""),"Closed","Open"))</f>
        <v>Open</v>
      </c>
      <c r="AY1216" s="25" t="str">
        <f t="shared" si="58"/>
        <v>No sailing date and No shipping advice sent and No docs dispatch date</v>
      </c>
      <c r="BD1216" s="13" t="str">
        <f>IF($AX1216="Cancelled","",IFERROR(IF(OR(AS1216="",AJ1216=""),"",(AJ1216+Variables!$B$18-AS1216)),""))</f>
        <v/>
      </c>
      <c r="BE1216" s="13" t="str">
        <f>IF($AX1216="Cancelled","",IFERROR(IF(OR(AW1216="",AS1216=""),"",(AS1216+Variables!$B$19)-AW1216),""))</f>
        <v/>
      </c>
      <c r="BF1216" s="44" t="str">
        <f>IF($AX1216="Cancelled","",IFERROR(W1216*INDEX(Variables!$B$7:$D$7,IFERROR(MATCH(IF($B1216="Robusta","Robusta",(IF($B1216="","Arabica",$B1216))&amp;" - "&amp;(IF($C1216="","Commercial",$C1216))),Variables!$B$1:$D$1,0),1))*(BE1216/365),""))</f>
        <v/>
      </c>
      <c r="BG1216" s="44">
        <f>IF($AX1216="Cancelled","",IFERROR((W1216*INDEX(Variables!$B$7:$D$7,IFERROR(MATCH(IF($B1216="Robusta","Robusta",(IF($B1216="","Arabica",$B1216))&amp;" - "&amp;(IF($C1216="","Commercial",$C1216))),Variables!$B$1:$D$1,0),1))*IFERROR(IF(AB1216="","",(AVERAGE(E1216:F1216)-AB1216)-Variables!$B$14),"")/365)+(L1216/16.67*INDEX(Variables!$B$8:$D$8,IFERROR(MATCH(IF($B1216="Robusta","Robusta",(IF($B1216="","Arabica",$B1216))&amp;" - "&amp;(IF($C1216="","Commercial",$C1216))),Variables!$B$1:$D$1,0),1))*IFERROR(IF(AB1216="","",(AVERAGE(E1216:F1216)-AB1216)-Variables!$B$14),""))+(W1216*INDEX(Variables!$B$9:$D$9,IFERROR(MATCH(IF($B1216="Robusta","Robusta",(IF($B1216="","Arabica",$B1216))&amp;" - "&amp;(IF($C1216="","Commercial",$C1216))),Variables!$B$1:$D$1,0),1))*IFERROR(IF(AB1216="","",(AVERAGE(E1216:F1216)-AB1216)-Variables!$B$14),"")/365),""))</f>
        <v>4130.4041922392516</v>
      </c>
      <c r="BH1216" s="44" t="str">
        <f>IF($AX1216="Cancelled","",IFERROR((W1216*INDEX(Variables!$B$7:$D$7,IFERROR(MATCH(IF($B1216="Robusta","Robusta",(IF($B1216="","Arabica",$B1216))&amp;" - "&amp;(IF($C1216="","Commercial",$C1216))),Variables!$B$1:$D$1,0),1))*AK1216/365)+(L1216/16.67*INDEX(Variables!$B$8:$D$8,IFERROR(MATCH(IF($B1216="Robusta","Robusta",(IF($B1216="","Arabica",$B1216))&amp;" - "&amp;(IF($C1216="","Commercial",$C1216))),Variables!$B$1:$D$1,0),1))*AK1216)+(W1216*INDEX(Variables!$B$9:$D$9,IFERROR(MATCH(IF($B1216="Robusta","Robusta",(IF($B1216="","Arabica",$B1216))&amp;" - "&amp;(IF($C1216="","Commercial",$C1216))),Variables!$B$1:$D$1,0),1))*AK1216/365),""))</f>
        <v/>
      </c>
      <c r="BI1216" s="44" t="str">
        <f>IF($AX1216="Cancelled","",IFERROR((W1216*INDEX(Variables!$B$7:$D$7,IFERROR(MATCH(IF($B1216="Robusta","Robusta",(IF($B1216="","Arabica",$B1216))&amp;" - "&amp;(IF($C1216="","Commercial",$C1216))),Variables!$B$1:$D$1,0),1))*BD1216/365)+(L1216/16.67*INDEX(Variables!$B$8:$D$8,IFERROR(MATCH(IF($B1216="Robusta","Robusta",(IF($B1216="","Arabica",$B1216))&amp;" - "&amp;(IF($C1216="","Commercial",$C1216))),Variables!$B$1:$D$1,0),1))*BD1216)+(W1216*INDEX(Variables!$B$9:$D$9,IFERROR(MATCH(IF($B1216="Robusta","Robusta",(IF($B1216="","Arabica",$B1216))&amp;" - "&amp;(IF($C1216="","Commercial",$C1216))),Variables!$B$1:$D$1,0),1))*BD1216/365),""))</f>
        <v/>
      </c>
      <c r="BJ1216" s="44" t="str">
        <f t="shared" si="57"/>
        <v/>
      </c>
      <c r="BK1216" s="44" t="str">
        <f>IF($AX1216="Cancelled","",IFERROR(IF(BJ1216="","",(W1216*INDEX(Variables!$B$7:$D$7,IFERROR(MATCH(IF($B1216="Robusta","Robusta",(IF($B1216="","Arabica",$B1216))&amp;" - "&amp;(IF($C1216="","Commercial",$C1216))),Variables!$B$1:$D$1,0),1))*(BJ1216/365))+(W1216*INDEX(Variables!$B$9:$D$9,IFERROR(MATCH(IF($B1216="Robusta","Robusta",(IF($B1216="","Arabica",$B1216))&amp;" - "&amp;(IF($C1216="","Commercial",$C1216))),Variables!$B$1:$D$1,0),1))*(BJ1216/365))+(INDEX(Variables!$B$8:$D$8,IFERROR(MATCH(IF($B1216="Robusta","Robusta",(IF($B1216="","Arabica",$B1216))&amp;" - "&amp;(IF($C1216="","Commercial",$C1216))),Variables!$B$1:$D$1,0),1))*L1216/16.67)),""))</f>
        <v/>
      </c>
    </row>
    <row r="1217" spans="1:63" s="33" customFormat="1">
      <c r="A1217" s="33" t="s">
        <v>103</v>
      </c>
      <c r="B1217" s="13" t="s">
        <v>104</v>
      </c>
      <c r="C1217" s="13" t="s">
        <v>105</v>
      </c>
      <c r="D1217" s="31">
        <v>46240</v>
      </c>
      <c r="E1217" s="31">
        <v>46266</v>
      </c>
      <c r="F1217" s="31">
        <v>46295</v>
      </c>
      <c r="G1217" s="33">
        <v>3787677</v>
      </c>
      <c r="H1217" s="13"/>
      <c r="I1217" s="13"/>
      <c r="J1217" s="13" t="s">
        <v>236</v>
      </c>
      <c r="K1217" s="13">
        <v>5648</v>
      </c>
      <c r="L1217" s="13">
        <v>320</v>
      </c>
      <c r="M1217" s="13">
        <v>1</v>
      </c>
      <c r="N1217" s="13" t="s">
        <v>2981</v>
      </c>
      <c r="O1217" s="13" t="s">
        <v>261</v>
      </c>
      <c r="P1217" s="13">
        <v>10060</v>
      </c>
      <c r="Q1217" s="13"/>
      <c r="R1217" s="13" t="s">
        <v>239</v>
      </c>
      <c r="S1217" s="13" t="s">
        <v>180</v>
      </c>
      <c r="T1217" s="13" t="s">
        <v>253</v>
      </c>
      <c r="U1217" s="13" t="s">
        <v>182</v>
      </c>
      <c r="V1217" s="23">
        <v>75</v>
      </c>
      <c r="W1217" s="44">
        <f>IF($AX1217="Cancelled","",IFERROR(((V1217+INDEX(Variables!$B$6:$D$6,IFERROR(MATCH(IF($B1217="Robusta","Robusta",(IF($B1217="","Arabica",$B1217))&amp;" - "&amp;(IF($C1217="","Commercial",$C1217))),Variables!$B$1:$D$1,0),1)))*22.0462)*(L1217/16.67),""))</f>
        <v>154807.4377444511</v>
      </c>
      <c r="X1217" s="55" t="s">
        <v>37</v>
      </c>
      <c r="Y1217" s="13" t="str">
        <f>IF($AX1217="Cancelled","",IF(X1217="","",IFERROR(IF(INDEX(Variables!$B$38:$B$47,MATCH(X1217,Variables!$A$38:$A$47,0))="Yes","Yes","No"),"No")))</f>
        <v>Yes</v>
      </c>
      <c r="Z1217" s="58">
        <v>46260</v>
      </c>
      <c r="AA1217" s="13"/>
      <c r="AB1217" s="31">
        <v>46269</v>
      </c>
      <c r="AC1217" s="13" t="str">
        <f t="shared" si="56"/>
        <v>Approved</v>
      </c>
      <c r="AD1217" s="31">
        <v>46274</v>
      </c>
      <c r="AE1217" s="31"/>
      <c r="AF1217" s="71">
        <v>46280</v>
      </c>
      <c r="AG1217" s="37">
        <f>IF($AX1217="Cancelled","",IFERROR(IF(F1217="","",F1217-Variables!$B$13),""))</f>
        <v>46280</v>
      </c>
      <c r="AH1217" s="13">
        <f>IF($AX1217="Cancelled","",IFERROR(IF(AB1217="","",(AVERAGE(E1217:F1217)-AB1217)-Variables!$B$14),""))</f>
        <v>-18.5</v>
      </c>
      <c r="AI1217" s="13"/>
      <c r="AJ1217" s="47">
        <v>46280</v>
      </c>
      <c r="AK1217" s="14">
        <f>IF($AX1217="Cancelled","",IFERROR(IF(AJ1217="","",IF(AND(AB1217="",AF1217=""),"",IF(AF1217&gt;AB1217,AF1217+Variables!$B$15+Variables!$B$16+Variables!$B$17-AJ1217,AB1217+Variables!$B$16+Variables!$B$17-AJ1217))),""))</f>
        <v>15</v>
      </c>
      <c r="AL1217" s="48" t="s">
        <v>114</v>
      </c>
      <c r="AM1217" s="33" t="s">
        <v>1482</v>
      </c>
      <c r="AN1217" s="33" t="s">
        <v>2982</v>
      </c>
      <c r="AO1217" s="39">
        <v>46284</v>
      </c>
      <c r="AP1217" s="39">
        <v>46292</v>
      </c>
      <c r="AQ1217" s="39">
        <v>46335</v>
      </c>
      <c r="AR1217" s="33" t="s">
        <v>2983</v>
      </c>
      <c r="AS1217" s="39">
        <v>46294</v>
      </c>
      <c r="AT1217" s="39"/>
      <c r="AU1217" s="39">
        <v>46297</v>
      </c>
      <c r="AV1217" s="33">
        <v>4961623962</v>
      </c>
      <c r="AW1217" s="39">
        <v>46307</v>
      </c>
      <c r="AX1217" s="33" t="str">
        <f>IF(ISNUMBER(SEARCH("cancel",#REF!)),"Cancelled",IF(AND(AS1217&lt;&gt;"",AU1217&lt;&gt;"",AW1217&lt;&gt;""),"Closed","Open"))</f>
        <v>Closed</v>
      </c>
      <c r="AY1217" s="25" t="str">
        <f t="shared" si="58"/>
        <v>All dates received</v>
      </c>
      <c r="BD1217" s="33">
        <f>IF($AX1217="Cancelled","",IFERROR(IF(OR(AS1217="",AJ1217=""),"",(AJ1217+Variables!$B$18-AS1217)),""))</f>
        <v>1</v>
      </c>
      <c r="BE1217" s="33">
        <f>IF($AX1217="Cancelled","",IFERROR(IF(OR(AW1217="",AS1217=""),"",(AS1217+Variables!$B$19)-AW1217),""))</f>
        <v>-8</v>
      </c>
      <c r="BF1217" s="43">
        <f>IF($AX1217="Cancelled","",IFERROR(W1217*INDEX(Variables!$B$7:$D$7,IFERROR(MATCH(IF($B1217="Robusta","Robusta",(IF($B1217="","Arabica",$B1217))&amp;" - "&amp;(IF($C1217="","Commercial",$C1217))),Variables!$B$1:$D$1,0),1))*(BE1217/365),""))</f>
        <v>-218.79066656712868</v>
      </c>
      <c r="BG1217" s="43">
        <f>IF($AX1217="Cancelled","",IFERROR((W1217*INDEX(Variables!$B$7:$D$7,IFERROR(MATCH(IF($B1217="Robusta","Robusta",(IF($B1217="","Arabica",$B1217))&amp;" - "&amp;(IF($C1217="","Commercial",$C1217))),Variables!$B$1:$D$1,0),1))*IFERROR(IF(AB1217="","",(AVERAGE(E1217:F1217)-AB1217)-Variables!$B$14),"")/365)+(L1217/16.67*INDEX(Variables!$B$8:$D$8,IFERROR(MATCH(IF($B1217="Robusta","Robusta",(IF($B1217="","Arabica",$B1217))&amp;" - "&amp;(IF($C1217="","Commercial",$C1217))),Variables!$B$1:$D$1,0),1))*IFERROR(IF(AB1217="","",(AVERAGE(E1217:F1217)-AB1217)-Variables!$B$14),""))+(W1217*INDEX(Variables!$B$9:$D$9,IFERROR(MATCH(IF($B1217="Robusta","Robusta",(IF($B1217="","Arabica",$B1217))&amp;" - "&amp;(IF($C1217="","Commercial",$C1217))),Variables!$B$1:$D$1,0),1))*IFERROR(IF(AB1217="","",(AVERAGE(E1217:F1217)-AB1217)-Variables!$B$14),"")/365),""))</f>
        <v>-808.47613239660507</v>
      </c>
      <c r="BH1217" s="43">
        <f>IF($AX1217="Cancelled","",IFERROR((W1217*INDEX(Variables!$B$7:$D$7,IFERROR(MATCH(IF($B1217="Robusta","Robusta",(IF($B1217="","Arabica",$B1217))&amp;" - "&amp;(IF($C1217="","Commercial",$C1217))),Variables!$B$1:$D$1,0),1))*AK1217/365)+(L1217/16.67*INDEX(Variables!$B$8:$D$8,IFERROR(MATCH(IF($B1217="Robusta","Robusta",(IF($B1217="","Arabica",$B1217))&amp;" - "&amp;(IF($C1217="","Commercial",$C1217))),Variables!$B$1:$D$1,0),1))*AK1217)+(W1217*INDEX(Variables!$B$9:$D$9,IFERROR(MATCH(IF($B1217="Robusta","Robusta",(IF($B1217="","Arabica",$B1217))&amp;" - "&amp;(IF($C1217="","Commercial",$C1217))),Variables!$B$1:$D$1,0),1))*AK1217/365),""))</f>
        <v>655.5211884296798</v>
      </c>
      <c r="BI1217" s="43">
        <f>IF($AX1217="Cancelled","",IFERROR((W1217*INDEX(Variables!$B$7:$D$7,IFERROR(MATCH(IF($B1217="Robusta","Robusta",(IF($B1217="","Arabica",$B1217))&amp;" - "&amp;(IF($C1217="","Commercial",$C1217))),Variables!$B$1:$D$1,0),1))*BD1217/365)+(L1217/16.67*INDEX(Variables!$B$8:$D$8,IFERROR(MATCH(IF($B1217="Robusta","Robusta",(IF($B1217="","Arabica",$B1217))&amp;" - "&amp;(IF($C1217="","Commercial",$C1217))),Variables!$B$1:$D$1,0),1))*BD1217)+(W1217*INDEX(Variables!$B$9:$D$9,IFERROR(MATCH(IF($B1217="Robusta","Robusta",(IF($B1217="","Arabica",$B1217))&amp;" - "&amp;(IF($C1217="","Commercial",$C1217))),Variables!$B$1:$D$1,0),1))*BD1217/365),""))</f>
        <v>43.701412561978657</v>
      </c>
      <c r="BJ1217" s="43">
        <f t="shared" si="57"/>
        <v>1</v>
      </c>
      <c r="BK1217" s="43">
        <f>IF($AX1217="Cancelled","",IFERROR(IF(BJ1217="","",(W1217*INDEX(Variables!$B$7:$D$7,IFERROR(MATCH(IF($B1217="Robusta","Robusta",(IF($B1217="","Arabica",$B1217))&amp;" - "&amp;(IF($C1217="","Commercial",$C1217))),Variables!$B$1:$D$1,0),1))*(BJ1217/365))+(W1217*INDEX(Variables!$B$9:$D$9,IFERROR(MATCH(IF($B1217="Robusta","Robusta",(IF($B1217="","Arabica",$B1217))&amp;" - "&amp;(IF($C1217="","Commercial",$C1217))),Variables!$B$1:$D$1,0),1))*(BJ1217/365))+(INDEX(Variables!$B$8:$D$8,IFERROR(MATCH(IF($B1217="Robusta","Robusta",(IF($B1217="","Arabica",$B1217))&amp;" - "&amp;(IF($C1217="","Commercial",$C1217))),Variables!$B$1:$D$1,0),1))*L1217/16.67)),""))</f>
        <v>43.701412561978657</v>
      </c>
    </row>
    <row r="1218" spans="1:63" s="33" customFormat="1">
      <c r="A1218" s="33" t="s">
        <v>103</v>
      </c>
      <c r="B1218" s="13" t="s">
        <v>104</v>
      </c>
      <c r="C1218" s="13" t="s">
        <v>105</v>
      </c>
      <c r="D1218" s="31">
        <v>46240</v>
      </c>
      <c r="E1218" s="31">
        <v>46266</v>
      </c>
      <c r="F1218" s="31">
        <v>46295</v>
      </c>
      <c r="G1218" s="33">
        <v>3787678</v>
      </c>
      <c r="H1218" s="13"/>
      <c r="I1218" s="13"/>
      <c r="J1218" s="13" t="s">
        <v>506</v>
      </c>
      <c r="K1218" s="13" t="s">
        <v>2984</v>
      </c>
      <c r="L1218" s="13">
        <v>172</v>
      </c>
      <c r="M1218" s="13">
        <v>0</v>
      </c>
      <c r="N1218" s="13" t="s">
        <v>2985</v>
      </c>
      <c r="O1218" s="13" t="s">
        <v>120</v>
      </c>
      <c r="P1218" s="13">
        <v>10070</v>
      </c>
      <c r="Q1218" s="13"/>
      <c r="R1218" s="13" t="s">
        <v>239</v>
      </c>
      <c r="S1218" s="13" t="s">
        <v>509</v>
      </c>
      <c r="T1218" s="13" t="s">
        <v>329</v>
      </c>
      <c r="U1218" s="13" t="s">
        <v>330</v>
      </c>
      <c r="V1218" s="23">
        <v>68</v>
      </c>
      <c r="W1218" s="44">
        <f>IF($AX1218="Cancelled","",IFERROR(((V1218+INDEX(Variables!$B$6:$D$6,IFERROR(MATCH(IF($B1218="Robusta","Robusta",(IF($B1218="","Arabica",$B1218))&amp;" - "&amp;(IF($C1218="","Commercial",$C1218))),Variables!$B$1:$D$1,0),1)))*22.0462)*(L1218/16.67),""))</f>
        <v>81616.698759448103</v>
      </c>
      <c r="X1218" s="55" t="s">
        <v>42</v>
      </c>
      <c r="Y1218" s="13" t="str">
        <f>IF($AX1218="Cancelled","",IF(X1218="","",IFERROR(IF(INDEX(Variables!$B$38:$B$47,MATCH(X1218,Variables!$A$38:$A$47,0))="Yes","Yes","No"),"No")))</f>
        <v>No</v>
      </c>
      <c r="Z1218" s="58">
        <v>46251</v>
      </c>
      <c r="AA1218" s="13"/>
      <c r="AB1218" s="31">
        <v>46253</v>
      </c>
      <c r="AC1218" s="13" t="str">
        <f t="shared" ref="AC1218:AC1249" si="59">IF($AX1218="Cancelled","",IF(ISNUMBER(AB1218),"Approved",""))</f>
        <v>Approved</v>
      </c>
      <c r="AD1218" s="31">
        <v>46261</v>
      </c>
      <c r="AE1218" s="31"/>
      <c r="AF1218" s="71">
        <v>46267</v>
      </c>
      <c r="AG1218" s="37">
        <f>IF($AX1218="Cancelled","",IFERROR(IF(F1218="","",F1218-Variables!$B$13),""))</f>
        <v>46280</v>
      </c>
      <c r="AH1218" s="13">
        <f>IF($AX1218="Cancelled","",IFERROR(IF(AB1218="","",(AVERAGE(E1218:F1218)-AB1218)-Variables!$B$14),""))</f>
        <v>-2.5</v>
      </c>
      <c r="AI1218" s="13"/>
      <c r="AJ1218" s="47">
        <v>46273</v>
      </c>
      <c r="AK1218" s="14">
        <f>IF($AX1218="Cancelled","",IFERROR(IF(AJ1218="","",IF(AND(AB1218="",AF1218=""),"",IF(AF1218&gt;AB1218,AF1218+Variables!$B$15+Variables!$B$16+Variables!$B$17-AJ1218,AB1218+Variables!$B$16+Variables!$B$17-AJ1218))),""))</f>
        <v>9</v>
      </c>
      <c r="AL1218" s="48" t="s">
        <v>114</v>
      </c>
      <c r="AM1218" s="33" t="s">
        <v>115</v>
      </c>
      <c r="AN1218" s="33" t="s">
        <v>2962</v>
      </c>
      <c r="AO1218" s="39">
        <v>46279</v>
      </c>
      <c r="AP1218" s="39">
        <v>46278</v>
      </c>
      <c r="AQ1218" s="39">
        <v>46321</v>
      </c>
      <c r="AR1218" s="33">
        <v>276544979</v>
      </c>
      <c r="AS1218" s="39">
        <v>46293</v>
      </c>
      <c r="AT1218" s="39"/>
      <c r="AU1218" s="39">
        <v>46294</v>
      </c>
      <c r="AV1218" s="33" t="s">
        <v>865</v>
      </c>
      <c r="AW1218" s="39">
        <v>46294</v>
      </c>
      <c r="AX1218" s="33" t="str">
        <f>IF(ISNUMBER(SEARCH("cancel",#REF!)),"Cancelled",IF(AND(AS1218&lt;&gt;"",AU1218&lt;&gt;"",AW1218&lt;&gt;""),"Closed","Open"))</f>
        <v>Closed</v>
      </c>
      <c r="AY1218" s="25" t="str">
        <f t="shared" si="58"/>
        <v>All dates received</v>
      </c>
      <c r="BD1218" s="33">
        <f>IF($AX1218="Cancelled","",IFERROR(IF(OR(AS1218="",AJ1218=""),"",(AJ1218+Variables!$B$18-AS1218)),""))</f>
        <v>-5</v>
      </c>
      <c r="BE1218" s="33">
        <f>IF($AX1218="Cancelled","",IFERROR(IF(OR(AW1218="",AS1218=""),"",(AS1218+Variables!$B$19)-AW1218),""))</f>
        <v>4</v>
      </c>
      <c r="BF1218" s="43">
        <f>IF($AX1218="Cancelled","",IFERROR(W1218*INDEX(Variables!$B$7:$D$7,IFERROR(MATCH(IF($B1218="Robusta","Robusta",(IF($B1218="","Arabica",$B1218))&amp;" - "&amp;(IF($C1218="","Commercial",$C1218))),Variables!$B$1:$D$1,0),1))*(BE1218/365),""))</f>
        <v>57.674786769824486</v>
      </c>
      <c r="BG1218" s="43">
        <f>IF($AX1218="Cancelled","",IFERROR((W1218*INDEX(Variables!$B$7:$D$7,IFERROR(MATCH(IF($B1218="Robusta","Robusta",(IF($B1218="","Arabica",$B1218))&amp;" - "&amp;(IF($C1218="","Commercial",$C1218))),Variables!$B$1:$D$1,0),1))*IFERROR(IF(AB1218="","",(AVERAGE(E1218:F1218)-AB1218)-Variables!$B$14),"")/365)+(L1218/16.67*INDEX(Variables!$B$8:$D$8,IFERROR(MATCH(IF($B1218="Robusta","Robusta",(IF($B1218="","Arabica",$B1218))&amp;" - "&amp;(IF($C1218="","Commercial",$C1218))),Variables!$B$1:$D$1,0),1))*IFERROR(IF(AB1218="","",(AVERAGE(E1218:F1218)-AB1218)-Variables!$B$14),""))+(W1218*INDEX(Variables!$B$9:$D$9,IFERROR(MATCH(IF($B1218="Robusta","Robusta",(IF($B1218="","Arabica",$B1218))&amp;" - "&amp;(IF($C1218="","Commercial",$C1218))),Variables!$B$1:$D$1,0),1))*IFERROR(IF(AB1218="","",(AVERAGE(E1218:F1218)-AB1218)-Variables!$B$14),"")/365),""))</f>
        <v>-58.011453797432978</v>
      </c>
      <c r="BH1218" s="43">
        <f>IF($AX1218="Cancelled","",IFERROR((W1218*INDEX(Variables!$B$7:$D$7,IFERROR(MATCH(IF($B1218="Robusta","Robusta",(IF($B1218="","Arabica",$B1218))&amp;" - "&amp;(IF($C1218="","Commercial",$C1218))),Variables!$B$1:$D$1,0),1))*AK1218/365)+(L1218/16.67*INDEX(Variables!$B$8:$D$8,IFERROR(MATCH(IF($B1218="Robusta","Robusta",(IF($B1218="","Arabica",$B1218))&amp;" - "&amp;(IF($C1218="","Commercial",$C1218))),Variables!$B$1:$D$1,0),1))*AK1218)+(W1218*INDEX(Variables!$B$9:$D$9,IFERROR(MATCH(IF($B1218="Robusta","Robusta",(IF($B1218="","Arabica",$B1218))&amp;" - "&amp;(IF($C1218="","Commercial",$C1218))),Variables!$B$1:$D$1,0),1))*AK1218/365),""))</f>
        <v>208.8412336707587</v>
      </c>
      <c r="BI1218" s="43">
        <f>IF($AX1218="Cancelled","",IFERROR((W1218*INDEX(Variables!$B$7:$D$7,IFERROR(MATCH(IF($B1218="Robusta","Robusta",(IF($B1218="","Arabica",$B1218))&amp;" - "&amp;(IF($C1218="","Commercial",$C1218))),Variables!$B$1:$D$1,0),1))*BD1218/365)+(L1218/16.67*INDEX(Variables!$B$8:$D$8,IFERROR(MATCH(IF($B1218="Robusta","Robusta",(IF($B1218="","Arabica",$B1218))&amp;" - "&amp;(IF($C1218="","Commercial",$C1218))),Variables!$B$1:$D$1,0),1))*BD1218)+(W1218*INDEX(Variables!$B$9:$D$9,IFERROR(MATCH(IF($B1218="Robusta","Robusta",(IF($B1218="","Arabica",$B1218))&amp;" - "&amp;(IF($C1218="","Commercial",$C1218))),Variables!$B$1:$D$1,0),1))*BD1218/365),""))</f>
        <v>-116.02290759486596</v>
      </c>
      <c r="BJ1218" s="43">
        <f t="shared" ref="BJ1218:BJ1244" si="60">IF($AX1218="Cancelled","",IFERROR(IF(AS1218="","",F1218-AS1218),""))</f>
        <v>2</v>
      </c>
      <c r="BK1218" s="43">
        <f>IF($AX1218="Cancelled","",IFERROR(IF(BJ1218="","",(W1218*INDEX(Variables!$B$7:$D$7,IFERROR(MATCH(IF($B1218="Robusta","Robusta",(IF($B1218="","Arabica",$B1218))&amp;" - "&amp;(IF($C1218="","Commercial",$C1218))),Variables!$B$1:$D$1,0),1))*(BJ1218/365))+(W1218*INDEX(Variables!$B$9:$D$9,IFERROR(MATCH(IF($B1218="Robusta","Robusta",(IF($B1218="","Arabica",$B1218))&amp;" - "&amp;(IF($C1218="","Commercial",$C1218))),Variables!$B$1:$D$1,0),1))*(BJ1218/365))+(INDEX(Variables!$B$8:$D$8,IFERROR(MATCH(IF($B1218="Robusta","Robusta",(IF($B1218="","Arabica",$B1218))&amp;" - "&amp;(IF($C1218="","Commercial",$C1218))),Variables!$B$1:$D$1,0),1))*L1218/16.67)),""))</f>
        <v>37.809163037946377</v>
      </c>
    </row>
    <row r="1219" spans="1:63" s="33" customFormat="1">
      <c r="A1219" s="33" t="s">
        <v>103</v>
      </c>
      <c r="B1219" s="13" t="s">
        <v>104</v>
      </c>
      <c r="C1219" s="13" t="s">
        <v>105</v>
      </c>
      <c r="D1219" s="31">
        <v>46244</v>
      </c>
      <c r="E1219" s="31">
        <v>46266</v>
      </c>
      <c r="F1219" s="31">
        <v>46295</v>
      </c>
      <c r="G1219" s="33">
        <v>3787679</v>
      </c>
      <c r="H1219" s="13"/>
      <c r="I1219" s="13"/>
      <c r="J1219" s="13" t="s">
        <v>1285</v>
      </c>
      <c r="K1219" s="13">
        <v>5637</v>
      </c>
      <c r="L1219" s="13">
        <v>320</v>
      </c>
      <c r="M1219" s="13">
        <v>1</v>
      </c>
      <c r="N1219" s="13" t="s">
        <v>2986</v>
      </c>
      <c r="O1219" s="13" t="s">
        <v>261</v>
      </c>
      <c r="P1219" s="13">
        <v>10060</v>
      </c>
      <c r="Q1219" s="13"/>
      <c r="R1219" s="13" t="s">
        <v>239</v>
      </c>
      <c r="S1219" s="13" t="s">
        <v>1557</v>
      </c>
      <c r="T1219" s="13" t="s">
        <v>112</v>
      </c>
      <c r="U1219" s="13" t="s">
        <v>113</v>
      </c>
      <c r="V1219" s="23">
        <v>85</v>
      </c>
      <c r="W1219" s="44">
        <f>IF($AX1219="Cancelled","",IFERROR(((V1219+INDEX(Variables!$B$6:$D$6,IFERROR(MATCH(IF($B1219="Robusta","Robusta",(IF($B1219="","Arabica",$B1219))&amp;" - "&amp;(IF($C1219="","Commercial",$C1219))),Variables!$B$1:$D$1,0),1)))*22.0462)*(L1219/16.67),""))</f>
        <v>159039.46173965206</v>
      </c>
      <c r="X1219" s="55" t="s">
        <v>37</v>
      </c>
      <c r="Y1219" s="13" t="str">
        <f>IF($AX1219="Cancelled","",IF(X1219="","",IFERROR(IF(INDEX(Variables!$B$38:$B$47,MATCH(X1219,Variables!$A$38:$A$47,0))="Yes","Yes","No"),"No")))</f>
        <v>Yes</v>
      </c>
      <c r="Z1219" s="58">
        <v>46246</v>
      </c>
      <c r="AA1219" s="13"/>
      <c r="AB1219" s="31">
        <v>46258</v>
      </c>
      <c r="AC1219" s="13" t="str">
        <f t="shared" si="59"/>
        <v>Approved</v>
      </c>
      <c r="AD1219" s="31">
        <v>46255</v>
      </c>
      <c r="AE1219" s="31"/>
      <c r="AF1219" s="71">
        <v>46265</v>
      </c>
      <c r="AG1219" s="37">
        <f>IF($AX1219="Cancelled","",IFERROR(IF(F1219="","",F1219-Variables!$B$13),""))</f>
        <v>46280</v>
      </c>
      <c r="AH1219" s="13">
        <f>IF($AX1219="Cancelled","",IFERROR(IF(AB1219="","",(AVERAGE(E1219:F1219)-AB1219)-Variables!$B$14),""))</f>
        <v>-7.5</v>
      </c>
      <c r="AI1219" s="13"/>
      <c r="AJ1219" s="47">
        <v>46273</v>
      </c>
      <c r="AK1219" s="14">
        <f>IF($AX1219="Cancelled","",IFERROR(IF(AJ1219="","",IF(AND(AB1219="",AF1219=""),"",IF(AF1219&gt;AB1219,AF1219+Variables!$B$15+Variables!$B$16+Variables!$B$17-AJ1219,AB1219+Variables!$B$16+Variables!$B$17-AJ1219))),""))</f>
        <v>7</v>
      </c>
      <c r="AL1219" s="48" t="s">
        <v>114</v>
      </c>
      <c r="AM1219" s="33" t="s">
        <v>134</v>
      </c>
      <c r="AN1219" s="33" t="s">
        <v>2819</v>
      </c>
      <c r="AO1219" s="39">
        <v>46283</v>
      </c>
      <c r="AP1219" s="39">
        <v>46280</v>
      </c>
      <c r="AQ1219" s="39">
        <v>46342</v>
      </c>
      <c r="AR1219" s="33" t="s">
        <v>2987</v>
      </c>
      <c r="AS1219" s="39">
        <v>46287</v>
      </c>
      <c r="AT1219" s="39"/>
      <c r="AU1219" s="39">
        <v>46307</v>
      </c>
      <c r="AV1219" s="33" t="s">
        <v>865</v>
      </c>
      <c r="AW1219" s="39">
        <v>46307</v>
      </c>
      <c r="AX1219" s="33" t="str">
        <f>IF(ISNUMBER(SEARCH("cancel",#REF!)),"Cancelled",IF(AND(AS1219&lt;&gt;"",AU1219&lt;&gt;"",AW1219&lt;&gt;""),"Closed","Open"))</f>
        <v>Closed</v>
      </c>
      <c r="AY1219" s="25" t="str">
        <f t="shared" si="58"/>
        <v>All dates received</v>
      </c>
      <c r="BD1219" s="33">
        <f>IF($AX1219="Cancelled","",IFERROR(IF(OR(AS1219="",AJ1219=""),"",(AJ1219+Variables!$B$18-AS1219)),""))</f>
        <v>1</v>
      </c>
      <c r="BE1219" s="33">
        <f>IF($AX1219="Cancelled","",IFERROR(IF(OR(AW1219="",AS1219=""),"",(AS1219+Variables!$B$19)-AW1219),""))</f>
        <v>-15</v>
      </c>
      <c r="BF1219" s="43">
        <f>IF($AX1219="Cancelled","",IFERROR(W1219*INDEX(Variables!$B$7:$D$7,IFERROR(MATCH(IF($B1219="Robusta","Robusta",(IF($B1219="","Arabica",$B1219))&amp;" - "&amp;(IF($C1219="","Commercial",$C1219))),Variables!$B$1:$D$1,0),1))*(BE1219/365),""))</f>
        <v>-421.44716629268186</v>
      </c>
      <c r="BG1219" s="43">
        <f>IF($AX1219="Cancelled","",IFERROR((W1219*INDEX(Variables!$B$7:$D$7,IFERROR(MATCH(IF($B1219="Robusta","Robusta",(IF($B1219="","Arabica",$B1219))&amp;" - "&amp;(IF($C1219="","Commercial",$C1219))),Variables!$B$1:$D$1,0),1))*IFERROR(IF(AB1219="","",(AVERAGE(E1219:F1219)-AB1219)-Variables!$B$14),"")/365)+(L1219/16.67*INDEX(Variables!$B$8:$D$8,IFERROR(MATCH(IF($B1219="Robusta","Robusta",(IF($B1219="","Arabica",$B1219))&amp;" - "&amp;(IF($C1219="","Commercial",$C1219))),Variables!$B$1:$D$1,0),1))*IFERROR(IF(AB1219="","",(AVERAGE(E1219:F1219)-AB1219)-Variables!$B$14),""))+(W1219*INDEX(Variables!$B$9:$D$9,IFERROR(MATCH(IF($B1219="Robusta","Robusta",(IF($B1219="","Arabica",$B1219))&amp;" - "&amp;(IF($C1219="","Commercial",$C1219))),Variables!$B$1:$D$1,0),1))*IFERROR(IF(AB1219="","",(AVERAGE(E1219:F1219)-AB1219)-Variables!$B$14),"")/365),""))</f>
        <v>-333.44021680135819</v>
      </c>
      <c r="BH1219" s="43">
        <f>IF($AX1219="Cancelled","",IFERROR((W1219*INDEX(Variables!$B$7:$D$7,IFERROR(MATCH(IF($B1219="Robusta","Robusta",(IF($B1219="","Arabica",$B1219))&amp;" - "&amp;(IF($C1219="","Commercial",$C1219))),Variables!$B$1:$D$1,0),1))*AK1219/365)+(L1219/16.67*INDEX(Variables!$B$8:$D$8,IFERROR(MATCH(IF($B1219="Robusta","Robusta",(IF($B1219="","Arabica",$B1219))&amp;" - "&amp;(IF($C1219="","Commercial",$C1219))),Variables!$B$1:$D$1,0),1))*AK1219)+(W1219*INDEX(Variables!$B$9:$D$9,IFERROR(MATCH(IF($B1219="Robusta","Robusta",(IF($B1219="","Arabica",$B1219))&amp;" - "&amp;(IF($C1219="","Commercial",$C1219))),Variables!$B$1:$D$1,0),1))*AK1219/365),""))</f>
        <v>311.21086901460103</v>
      </c>
      <c r="BI1219" s="43">
        <f>IF($AX1219="Cancelled","",IFERROR((W1219*INDEX(Variables!$B$7:$D$7,IFERROR(MATCH(IF($B1219="Robusta","Robusta",(IF($B1219="","Arabica",$B1219))&amp;" - "&amp;(IF($C1219="","Commercial",$C1219))),Variables!$B$1:$D$1,0),1))*BD1219/365)+(L1219/16.67*INDEX(Variables!$B$8:$D$8,IFERROR(MATCH(IF($B1219="Robusta","Robusta",(IF($B1219="","Arabica",$B1219))&amp;" - "&amp;(IF($C1219="","Commercial",$C1219))),Variables!$B$1:$D$1,0),1))*BD1219)+(W1219*INDEX(Variables!$B$9:$D$9,IFERROR(MATCH(IF($B1219="Robusta","Robusta",(IF($B1219="","Arabica",$B1219))&amp;" - "&amp;(IF($C1219="","Commercial",$C1219))),Variables!$B$1:$D$1,0),1))*BD1219/365),""))</f>
        <v>44.458695573514426</v>
      </c>
      <c r="BJ1219" s="43">
        <f t="shared" si="60"/>
        <v>8</v>
      </c>
      <c r="BK1219" s="43">
        <f>IF($AX1219="Cancelled","",IFERROR(IF(BJ1219="","",(W1219*INDEX(Variables!$B$7:$D$7,IFERROR(MATCH(IF($B1219="Robusta","Robusta",(IF($B1219="","Arabica",$B1219))&amp;" - "&amp;(IF($C1219="","Commercial",$C1219))),Variables!$B$1:$D$1,0),1))*(BJ1219/365))+(W1219*INDEX(Variables!$B$9:$D$9,IFERROR(MATCH(IF($B1219="Robusta","Robusta",(IF($B1219="","Arabica",$B1219))&amp;" - "&amp;(IF($C1219="","Commercial",$C1219))),Variables!$B$1:$D$1,0),1))*(BJ1219/365))+(INDEX(Variables!$B$8:$D$8,IFERROR(MATCH(IF($B1219="Robusta","Robusta",(IF($B1219="","Arabica",$B1219))&amp;" - "&amp;(IF($C1219="","Commercial",$C1219))),Variables!$B$1:$D$1,0),1))*L1219/16.67)),""))</f>
        <v>243.66956458811541</v>
      </c>
    </row>
    <row r="1220" spans="1:63" s="33" customFormat="1">
      <c r="A1220" s="33" t="s">
        <v>103</v>
      </c>
      <c r="B1220" s="13" t="s">
        <v>104</v>
      </c>
      <c r="C1220" s="13" t="s">
        <v>105</v>
      </c>
      <c r="D1220" s="31">
        <v>46246</v>
      </c>
      <c r="E1220" s="31">
        <v>46266</v>
      </c>
      <c r="F1220" s="31">
        <v>46295</v>
      </c>
      <c r="G1220" s="33">
        <v>3787680</v>
      </c>
      <c r="H1220" s="13"/>
      <c r="I1220" s="13"/>
      <c r="J1220" s="13" t="s">
        <v>447</v>
      </c>
      <c r="K1220" s="13">
        <v>5642</v>
      </c>
      <c r="L1220" s="13">
        <v>320</v>
      </c>
      <c r="M1220" s="13">
        <v>1</v>
      </c>
      <c r="N1220" s="13" t="s">
        <v>2988</v>
      </c>
      <c r="O1220" s="13" t="s">
        <v>775</v>
      </c>
      <c r="P1220" s="13">
        <v>10040</v>
      </c>
      <c r="Q1220" s="13" t="s">
        <v>121</v>
      </c>
      <c r="R1220" s="13" t="s">
        <v>239</v>
      </c>
      <c r="S1220" s="13" t="s">
        <v>154</v>
      </c>
      <c r="T1220" s="13" t="s">
        <v>155</v>
      </c>
      <c r="U1220" s="13" t="s">
        <v>125</v>
      </c>
      <c r="V1220" s="23">
        <v>72</v>
      </c>
      <c r="W1220" s="44">
        <f>IF($AX1220="Cancelled","",IFERROR(((V1220+INDEX(Variables!$B$6:$D$6,IFERROR(MATCH(IF($B1220="Robusta","Robusta",(IF($B1220="","Arabica",$B1220))&amp;" - "&amp;(IF($C1220="","Commercial",$C1220))),Variables!$B$1:$D$1,0),1)))*22.0462)*(L1220/16.67),""))</f>
        <v>153537.83054589081</v>
      </c>
      <c r="X1220" s="55" t="s">
        <v>37</v>
      </c>
      <c r="Y1220" s="13" t="str">
        <f>IF($AX1220="Cancelled","",IF(X1220="","",IFERROR(IF(INDEX(Variables!$B$38:$B$47,MATCH(X1220,Variables!$A$38:$A$47,0))="Yes","Yes","No"),"No")))</f>
        <v>Yes</v>
      </c>
      <c r="Z1220" s="58">
        <v>46255</v>
      </c>
      <c r="AA1220" s="13"/>
      <c r="AB1220" s="31">
        <v>46258</v>
      </c>
      <c r="AC1220" s="13" t="str">
        <f t="shared" si="59"/>
        <v>Approved</v>
      </c>
      <c r="AD1220" s="31">
        <v>46267</v>
      </c>
      <c r="AE1220" s="31"/>
      <c r="AF1220" s="71">
        <v>46265</v>
      </c>
      <c r="AG1220" s="37">
        <f>IF($AX1220="Cancelled","",IFERROR(IF(F1220="","",F1220-Variables!$B$13),""))</f>
        <v>46280</v>
      </c>
      <c r="AH1220" s="13">
        <f>IF($AX1220="Cancelled","",IFERROR(IF(AB1220="","",(AVERAGE(E1220:F1220)-AB1220)-Variables!$B$14),""))</f>
        <v>-7.5</v>
      </c>
      <c r="AI1220" s="13"/>
      <c r="AJ1220" s="47">
        <v>46281</v>
      </c>
      <c r="AK1220" s="14">
        <f>IF($AX1220="Cancelled","",IFERROR(IF(AJ1220="","",IF(AND(AB1220="",AF1220=""),"",IF(AF1220&gt;AB1220,AF1220+Variables!$B$15+Variables!$B$16+Variables!$B$17-AJ1220,AB1220+Variables!$B$16+Variables!$B$17-AJ1220))),""))</f>
        <v>-1</v>
      </c>
      <c r="AL1220" s="48" t="s">
        <v>114</v>
      </c>
      <c r="AM1220" s="33" t="s">
        <v>1784</v>
      </c>
      <c r="AN1220" s="33" t="s">
        <v>2989</v>
      </c>
      <c r="AO1220" s="39">
        <v>46284</v>
      </c>
      <c r="AP1220" s="39">
        <v>46292</v>
      </c>
      <c r="AQ1220" s="39">
        <v>46371</v>
      </c>
      <c r="AR1220" s="33" t="s">
        <v>2990</v>
      </c>
      <c r="AS1220" s="39">
        <v>46294</v>
      </c>
      <c r="AT1220" s="39"/>
      <c r="AU1220" s="39">
        <v>46310</v>
      </c>
      <c r="AV1220" s="33" t="s">
        <v>865</v>
      </c>
      <c r="AW1220" s="39">
        <v>46310</v>
      </c>
      <c r="AX1220" s="33" t="str">
        <f>IF(ISNUMBER(SEARCH("cancel",#REF!)),"Cancelled",IF(AND(AS1220&lt;&gt;"",AU1220&lt;&gt;"",AW1220&lt;&gt;""),"Closed","Open"))</f>
        <v>Closed</v>
      </c>
      <c r="AY1220" s="25" t="str">
        <f t="shared" si="58"/>
        <v>All dates received</v>
      </c>
      <c r="BD1220" s="33">
        <f>IF($AX1220="Cancelled","",IFERROR(IF(OR(AS1220="",AJ1220=""),"",(AJ1220+Variables!$B$18-AS1220)),""))</f>
        <v>2</v>
      </c>
      <c r="BE1220" s="33">
        <f>IF($AX1220="Cancelled","",IFERROR(IF(OR(AW1220="",AS1220=""),"",(AS1220+Variables!$B$19)-AW1220),""))</f>
        <v>-11</v>
      </c>
      <c r="BF1220" s="43">
        <f>IF($AX1220="Cancelled","",IFERROR(W1220*INDEX(Variables!$B$7:$D$7,IFERROR(MATCH(IF($B1220="Robusta","Robusta",(IF($B1220="","Arabica",$B1220))&amp;" - "&amp;(IF($C1220="","Commercial",$C1220))),Variables!$B$1:$D$1,0),1))*(BE1220/365),""))</f>
        <v>-298.36993990435252</v>
      </c>
      <c r="BG1220" s="43">
        <f>IF($AX1220="Cancelled","",IFERROR((W1220*INDEX(Variables!$B$7:$D$7,IFERROR(MATCH(IF($B1220="Robusta","Robusta",(IF($B1220="","Arabica",$B1220))&amp;" - "&amp;(IF($C1220="","Commercial",$C1220))),Variables!$B$1:$D$1,0),1))*IFERROR(IF(AB1220="","",(AVERAGE(E1220:F1220)-AB1220)-Variables!$B$14),"")/365)+(L1220/16.67*INDEX(Variables!$B$8:$D$8,IFERROR(MATCH(IF($B1220="Robusta","Robusta",(IF($B1220="","Arabica",$B1220))&amp;" - "&amp;(IF($C1220="","Commercial",$C1220))),Variables!$B$1:$D$1,0),1))*IFERROR(IF(AB1220="","",(AVERAGE(E1220:F1220)-AB1220)-Variables!$B$14),""))+(W1220*INDEX(Variables!$B$9:$D$9,IFERROR(MATCH(IF($B1220="Robusta","Robusta",(IF($B1220="","Arabica",$B1220))&amp;" - "&amp;(IF($C1220="","Commercial",$C1220))),Variables!$B$1:$D$1,0),1))*IFERROR(IF(AB1220="","",(AVERAGE(E1220:F1220)-AB1220)-Variables!$B$14),"")/365),""))</f>
        <v>-326.05670743888436</v>
      </c>
      <c r="BH1220" s="43">
        <f>IF($AX1220="Cancelled","",IFERROR((W1220*INDEX(Variables!$B$7:$D$7,IFERROR(MATCH(IF($B1220="Robusta","Robusta",(IF($B1220="","Arabica",$B1220))&amp;" - "&amp;(IF($C1220="","Commercial",$C1220))),Variables!$B$1:$D$1,0),1))*AK1220/365)+(L1220/16.67*INDEX(Variables!$B$8:$D$8,IFERROR(MATCH(IF($B1220="Robusta","Robusta",(IF($B1220="","Arabica",$B1220))&amp;" - "&amp;(IF($C1220="","Commercial",$C1220))),Variables!$B$1:$D$1,0),1))*AK1220)+(W1220*INDEX(Variables!$B$9:$D$9,IFERROR(MATCH(IF($B1220="Robusta","Robusta",(IF($B1220="","Arabica",$B1220))&amp;" - "&amp;(IF($C1220="","Commercial",$C1220))),Variables!$B$1:$D$1,0),1))*AK1220/365),""))</f>
        <v>-43.474227658517918</v>
      </c>
      <c r="BI1220" s="43">
        <f>IF($AX1220="Cancelled","",IFERROR((W1220*INDEX(Variables!$B$7:$D$7,IFERROR(MATCH(IF($B1220="Robusta","Robusta",(IF($B1220="","Arabica",$B1220))&amp;" - "&amp;(IF($C1220="","Commercial",$C1220))),Variables!$B$1:$D$1,0),1))*BD1220/365)+(L1220/16.67*INDEX(Variables!$B$8:$D$8,IFERROR(MATCH(IF($B1220="Robusta","Robusta",(IF($B1220="","Arabica",$B1220))&amp;" - "&amp;(IF($C1220="","Commercial",$C1220))),Variables!$B$1:$D$1,0),1))*BD1220)+(W1220*INDEX(Variables!$B$9:$D$9,IFERROR(MATCH(IF($B1220="Robusta","Robusta",(IF($B1220="","Arabica",$B1220))&amp;" - "&amp;(IF($C1220="","Commercial",$C1220))),Variables!$B$1:$D$1,0),1))*BD1220/365),""))</f>
        <v>86.948455317035837</v>
      </c>
      <c r="BJ1220" s="43">
        <f t="shared" si="60"/>
        <v>1</v>
      </c>
      <c r="BK1220" s="43">
        <f>IF($AX1220="Cancelled","",IFERROR(IF(BJ1220="","",(W1220*INDEX(Variables!$B$7:$D$7,IFERROR(MATCH(IF($B1220="Robusta","Robusta",(IF($B1220="","Arabica",$B1220))&amp;" - "&amp;(IF($C1220="","Commercial",$C1220))),Variables!$B$1:$D$1,0),1))*(BJ1220/365))+(W1220*INDEX(Variables!$B$9:$D$9,IFERROR(MATCH(IF($B1220="Robusta","Robusta",(IF($B1220="","Arabica",$B1220))&amp;" - "&amp;(IF($C1220="","Commercial",$C1220))),Variables!$B$1:$D$1,0),1))*(BJ1220/365))+(INDEX(Variables!$B$8:$D$8,IFERROR(MATCH(IF($B1220="Robusta","Robusta",(IF($B1220="","Arabica",$B1220))&amp;" - "&amp;(IF($C1220="","Commercial",$C1220))),Variables!$B$1:$D$1,0),1))*L1220/16.67)),""))</f>
        <v>43.474227658517918</v>
      </c>
    </row>
    <row r="1221" spans="1:63">
      <c r="A1221" s="13" t="s">
        <v>103</v>
      </c>
      <c r="B1221" s="13" t="s">
        <v>104</v>
      </c>
      <c r="C1221" s="13" t="s">
        <v>105</v>
      </c>
      <c r="D1221" s="31">
        <v>46254</v>
      </c>
      <c r="E1221" s="31">
        <v>46296</v>
      </c>
      <c r="F1221" s="31">
        <v>46326</v>
      </c>
      <c r="G1221" s="13">
        <v>3787681</v>
      </c>
      <c r="J1221" s="13" t="s">
        <v>2991</v>
      </c>
      <c r="K1221" s="13">
        <v>5663</v>
      </c>
      <c r="L1221" s="13">
        <v>320</v>
      </c>
      <c r="M1221" s="13">
        <v>1</v>
      </c>
      <c r="N1221" s="13" t="s">
        <v>2992</v>
      </c>
      <c r="O1221" s="13" t="s">
        <v>418</v>
      </c>
      <c r="P1221" s="13">
        <v>10070</v>
      </c>
      <c r="R1221" s="13" t="s">
        <v>239</v>
      </c>
      <c r="S1221" s="13" t="s">
        <v>509</v>
      </c>
      <c r="T1221" s="13" t="s">
        <v>329</v>
      </c>
      <c r="U1221" s="13" t="s">
        <v>330</v>
      </c>
      <c r="V1221" s="23">
        <v>57</v>
      </c>
      <c r="W1221" s="44">
        <f>IF($AX1221="Cancelled","",IFERROR(((V1221+INDEX(Variables!$B$6:$D$6,IFERROR(MATCH(IF($B1221="Robusta","Robusta",(IF($B1221="","Arabica",$B1221))&amp;" - "&amp;(IF($C1221="","Commercial",$C1221))),Variables!$B$1:$D$1,0),1)))*22.0462)*(L1221/16.67),""))</f>
        <v>147189.79455308936</v>
      </c>
      <c r="X1221" s="55" t="s">
        <v>37</v>
      </c>
      <c r="Y1221" s="13" t="str">
        <f>IF($AX1221="Cancelled","",IF(X1221="","",IFERROR(IF(INDEX(Variables!$B$38:$B$47,MATCH(X1221,Variables!$A$38:$A$47,0))="Yes","Yes","No"),"No")))</f>
        <v>Yes</v>
      </c>
      <c r="Z1221" s="58">
        <v>46266</v>
      </c>
      <c r="AB1221" s="31">
        <v>46281</v>
      </c>
      <c r="AC1221" s="13" t="str">
        <f t="shared" si="59"/>
        <v>Approved</v>
      </c>
      <c r="AD1221" s="31">
        <v>46259</v>
      </c>
      <c r="AF1221" s="71">
        <v>46296</v>
      </c>
      <c r="AG1221" s="37">
        <f>IF($AX1221="Cancelled","",IFERROR(IF(F1221="","",F1221-Variables!$B$13),""))</f>
        <v>46311</v>
      </c>
      <c r="AH1221" s="13">
        <f>IF($AX1221="Cancelled","",IFERROR(IF(AB1221="","",(AVERAGE(E1221:F1221)-AB1221)-Variables!$B$14),""))</f>
        <v>0</v>
      </c>
      <c r="AJ1221" s="47">
        <v>46301</v>
      </c>
      <c r="AK1221" s="14">
        <f>IF($AX1221="Cancelled","",IFERROR(IF(AJ1221="","",IF(AND(AB1221="",AF1221=""),"",IF(AF1221&gt;AB1221,AF1221+Variables!$B$15+Variables!$B$16+Variables!$B$17-AJ1221,AB1221+Variables!$B$16+Variables!$B$17-AJ1221))),""))</f>
        <v>10</v>
      </c>
      <c r="AL1221" s="48" t="s">
        <v>114</v>
      </c>
      <c r="AM1221" s="13" t="s">
        <v>115</v>
      </c>
      <c r="AN1221" s="13" t="s">
        <v>2993</v>
      </c>
      <c r="AP1221" s="39">
        <v>46306</v>
      </c>
      <c r="AR1221" s="13">
        <v>279154965</v>
      </c>
      <c r="AS1221" s="31">
        <v>46306</v>
      </c>
      <c r="AU1221" s="31">
        <v>46311</v>
      </c>
      <c r="AV1221" s="13" t="s">
        <v>865</v>
      </c>
      <c r="AW1221" s="31">
        <v>46311</v>
      </c>
      <c r="AX1221" s="13" t="str">
        <f>IF(ISNUMBER(SEARCH("cancel",#REF!)),"Cancelled",IF(AND(AS1221&lt;&gt;"",AU1221&lt;&gt;"",AW1221&lt;&gt;""),"Closed","Open"))</f>
        <v>Closed</v>
      </c>
      <c r="AY1221" s="25" t="str">
        <f t="shared" si="58"/>
        <v>All dates received</v>
      </c>
      <c r="BD1221" s="13">
        <f>IF($AX1221="Cancelled","",IFERROR(IF(OR(AS1221="",AJ1221=""),"",(AJ1221+Variables!$B$18-AS1221)),""))</f>
        <v>10</v>
      </c>
      <c r="BE1221" s="13">
        <f>IF($AX1221="Cancelled","",IFERROR(IF(OR(AW1221="",AS1221=""),"",(AS1221+Variables!$B$19)-AW1221),""))</f>
        <v>0</v>
      </c>
      <c r="BF1221" s="44">
        <f>IF($AX1221="Cancelled","",IFERROR(W1221*INDEX(Variables!$B$7:$D$7,IFERROR(MATCH(IF($B1221="Robusta","Robusta",(IF($B1221="","Arabica",$B1221))&amp;" - "&amp;(IF($C1221="","Commercial",$C1221))),Variables!$B$1:$D$1,0),1))*(BE1221/365),""))</f>
        <v>0</v>
      </c>
      <c r="BG1221" s="44">
        <f>IF($AX1221="Cancelled","",IFERROR((W1221*INDEX(Variables!$B$7:$D$7,IFERROR(MATCH(IF($B1221="Robusta","Robusta",(IF($B1221="","Arabica",$B1221))&amp;" - "&amp;(IF($C1221="","Commercial",$C1221))),Variables!$B$1:$D$1,0),1))*IFERROR(IF(AB1221="","",(AVERAGE(E1221:F1221)-AB1221)-Variables!$B$14),"")/365)+(L1221/16.67*INDEX(Variables!$B$8:$D$8,IFERROR(MATCH(IF($B1221="Robusta","Robusta",(IF($B1221="","Arabica",$B1221))&amp;" - "&amp;(IF($C1221="","Commercial",$C1221))),Variables!$B$1:$D$1,0),1))*IFERROR(IF(AB1221="","",(AVERAGE(E1221:F1221)-AB1221)-Variables!$B$14),""))+(W1221*INDEX(Variables!$B$9:$D$9,IFERROR(MATCH(IF($B1221="Robusta","Robusta",(IF($B1221="","Arabica",$B1221))&amp;" - "&amp;(IF($C1221="","Commercial",$C1221))),Variables!$B$1:$D$1,0),1))*IFERROR(IF(AB1221="","",(AVERAGE(E1221:F1221)-AB1221)-Variables!$B$14),"")/365),""))</f>
        <v>0</v>
      </c>
      <c r="BH1221" s="44">
        <f>IF($AX1221="Cancelled","",IFERROR((W1221*INDEX(Variables!$B$7:$D$7,IFERROR(MATCH(IF($B1221="Robusta","Robusta",(IF($B1221="","Arabica",$B1221))&amp;" - "&amp;(IF($C1221="","Commercial",$C1221))),Variables!$B$1:$D$1,0),1))*AK1221/365)+(L1221/16.67*INDEX(Variables!$B$8:$D$8,IFERROR(MATCH(IF($B1221="Robusta","Robusta",(IF($B1221="","Arabica",$B1221))&amp;" - "&amp;(IF($C1221="","Commercial",$C1221))),Variables!$B$1:$D$1,0),1))*AK1221)+(W1221*INDEX(Variables!$B$9:$D$9,IFERROR(MATCH(IF($B1221="Robusta","Robusta",(IF($B1221="","Arabica",$B1221))&amp;" - "&amp;(IF($C1221="","Commercial",$C1221))),Variables!$B$1:$D$1,0),1))*AK1221/365),""))</f>
        <v>423.38303141214254</v>
      </c>
      <c r="BI1221" s="44">
        <f>IF($AX1221="Cancelled","",IFERROR((W1221*INDEX(Variables!$B$7:$D$7,IFERROR(MATCH(IF($B1221="Robusta","Robusta",(IF($B1221="","Arabica",$B1221))&amp;" - "&amp;(IF($C1221="","Commercial",$C1221))),Variables!$B$1:$D$1,0),1))*BD1221/365)+(L1221/16.67*INDEX(Variables!$B$8:$D$8,IFERROR(MATCH(IF($B1221="Robusta","Robusta",(IF($B1221="","Arabica",$B1221))&amp;" - "&amp;(IF($C1221="","Commercial",$C1221))),Variables!$B$1:$D$1,0),1))*BD1221)+(W1221*INDEX(Variables!$B$9:$D$9,IFERROR(MATCH(IF($B1221="Robusta","Robusta",(IF($B1221="","Arabica",$B1221))&amp;" - "&amp;(IF($C1221="","Commercial",$C1221))),Variables!$B$1:$D$1,0),1))*BD1221/365),""))</f>
        <v>423.38303141214254</v>
      </c>
      <c r="BJ1221" s="44">
        <f t="shared" si="60"/>
        <v>20</v>
      </c>
      <c r="BK1221" s="44">
        <f>IF($AX1221="Cancelled","",IFERROR(IF(BJ1221="","",(W1221*INDEX(Variables!$B$7:$D$7,IFERROR(MATCH(IF($B1221="Robusta","Robusta",(IF($B1221="","Arabica",$B1221))&amp;" - "&amp;(IF($C1221="","Commercial",$C1221))),Variables!$B$1:$D$1,0),1))*(BJ1221/365))+(W1221*INDEX(Variables!$B$9:$D$9,IFERROR(MATCH(IF($B1221="Robusta","Robusta",(IF($B1221="","Arabica",$B1221))&amp;" - "&amp;(IF($C1221="","Commercial",$C1221))),Variables!$B$1:$D$1,0),1))*(BJ1221/365))+(INDEX(Variables!$B$8:$D$8,IFERROR(MATCH(IF($B1221="Robusta","Robusta",(IF($B1221="","Arabica",$B1221))&amp;" - "&amp;(IF($C1221="","Commercial",$C1221))),Variables!$B$1:$D$1,0),1))*L1221/16.67)),""))</f>
        <v>542.76606282428509</v>
      </c>
    </row>
    <row r="1222" spans="1:63">
      <c r="A1222" s="13" t="s">
        <v>103</v>
      </c>
      <c r="B1222" s="13" t="s">
        <v>104</v>
      </c>
      <c r="C1222" s="13" t="s">
        <v>105</v>
      </c>
      <c r="D1222" s="31">
        <v>46255</v>
      </c>
      <c r="E1222" s="31">
        <v>46327</v>
      </c>
      <c r="F1222" s="31">
        <v>46356</v>
      </c>
      <c r="G1222" s="13">
        <v>3787682</v>
      </c>
      <c r="J1222" s="13" t="s">
        <v>1152</v>
      </c>
      <c r="K1222" s="13">
        <v>5669</v>
      </c>
      <c r="L1222" s="13">
        <v>320</v>
      </c>
      <c r="M1222" s="13">
        <v>1</v>
      </c>
      <c r="N1222" s="13" t="s">
        <v>2994</v>
      </c>
      <c r="O1222" s="13" t="s">
        <v>418</v>
      </c>
      <c r="P1222" s="13">
        <v>10070</v>
      </c>
      <c r="R1222" s="13" t="s">
        <v>239</v>
      </c>
      <c r="S1222" s="13" t="s">
        <v>2995</v>
      </c>
      <c r="T1222" s="13" t="s">
        <v>329</v>
      </c>
      <c r="U1222" s="13" t="s">
        <v>330</v>
      </c>
      <c r="V1222" s="23">
        <v>54</v>
      </c>
      <c r="W1222" s="44">
        <f>IF($AX1222="Cancelled","",IFERROR(((V1222+INDEX(Variables!$B$6:$D$6,IFERROR(MATCH(IF($B1222="Robusta","Robusta",(IF($B1222="","Arabica",$B1222))&amp;" - "&amp;(IF($C1222="","Commercial",$C1222))),Variables!$B$1:$D$1,0),1)))*22.0462)*(L1222/16.67),""))</f>
        <v>145920.18735452907</v>
      </c>
      <c r="X1222" s="55" t="s">
        <v>37</v>
      </c>
      <c r="Y1222" s="13" t="str">
        <f>IF($AX1222="Cancelled","",IF(X1222="","",IFERROR(IF(INDEX(Variables!$B$38:$B$47,MATCH(X1222,Variables!$A$38:$A$47,0))="Yes","Yes","No"),"No")))</f>
        <v>Yes</v>
      </c>
      <c r="Z1222" s="58">
        <v>46282</v>
      </c>
      <c r="AB1222" s="31">
        <v>46294</v>
      </c>
      <c r="AC1222" s="13" t="str">
        <f t="shared" si="59"/>
        <v>Approved</v>
      </c>
      <c r="AF1222" s="71">
        <v>46309</v>
      </c>
      <c r="AG1222" s="37">
        <f>IF($AX1222="Cancelled","",IFERROR(IF(F1222="","",F1222-Variables!$B$13),""))</f>
        <v>46341</v>
      </c>
      <c r="AH1222" s="13">
        <f>IF($AX1222="Cancelled","",IFERROR(IF(AB1222="","",(AVERAGE(E1222:F1222)-AB1222)-Variables!$B$14),""))</f>
        <v>17.5</v>
      </c>
      <c r="AK1222" s="14" t="str">
        <f>IF($AX1222="Cancelled","",IFERROR(IF(AJ1222="","",IF(AND(AB1222="",AF1222=""),"",IF(AF1222&gt;AB1222,AF1222+Variables!$B$15+Variables!$B$16+Variables!$B$17-AJ1222,AB1222+Variables!$B$16+Variables!$B$17-AJ1222))),""))</f>
        <v/>
      </c>
      <c r="AM1222" s="13" t="s">
        <v>168</v>
      </c>
      <c r="AN1222" s="13">
        <v>0</v>
      </c>
      <c r="AP1222" s="39"/>
      <c r="AR1222" s="13" t="e">
        <v>#REF!</v>
      </c>
      <c r="AV1222" s="13" t="e">
        <v>#REF!</v>
      </c>
      <c r="AX1222" s="13" t="str">
        <f>IF(ISNUMBER(SEARCH("cancel",#REF!)),"Cancelled",IF(AND(AS1222&lt;&gt;"",AU1222&lt;&gt;"",AW1222&lt;&gt;""),"Closed","Open"))</f>
        <v>Open</v>
      </c>
      <c r="AY1222" s="25" t="str">
        <f t="shared" si="58"/>
        <v>No sailing date and No shipping advice sent and No docs dispatch date</v>
      </c>
      <c r="BD1222" s="13" t="str">
        <f>IF($AX1222="Cancelled","",IFERROR(IF(OR(AS1222="",AJ1222=""),"",(AJ1222+Variables!$B$18-AS1222)),""))</f>
        <v/>
      </c>
      <c r="BE1222" s="13" t="str">
        <f>IF($AX1222="Cancelled","",IFERROR(IF(OR(AW1222="",AS1222=""),"",(AS1222+Variables!$B$19)-AW1222),""))</f>
        <v/>
      </c>
      <c r="BF1222" s="44" t="str">
        <f>IF($AX1222="Cancelled","",IFERROR(W1222*INDEX(Variables!$B$7:$D$7,IFERROR(MATCH(IF($B1222="Robusta","Robusta",(IF($B1222="","Arabica",$B1222))&amp;" - "&amp;(IF($C1222="","Commercial",$C1222))),Variables!$B$1:$D$1,0),1))*(BE1222/365),""))</f>
        <v/>
      </c>
      <c r="BG1222" s="44">
        <f>IF($AX1222="Cancelled","",IFERROR((W1222*INDEX(Variables!$B$7:$D$7,IFERROR(MATCH(IF($B1222="Robusta","Robusta",(IF($B1222="","Arabica",$B1222))&amp;" - "&amp;(IF($C1222="","Commercial",$C1222))),Variables!$B$1:$D$1,0),1))*IFERROR(IF(AB1222="","",(AVERAGE(E1222:F1222)-AB1222)-Variables!$B$14),"")/365)+(L1222/16.67*INDEX(Variables!$B$8:$D$8,IFERROR(MATCH(IF($B1222="Robusta","Robusta",(IF($B1222="","Arabica",$B1222))&amp;" - "&amp;(IF($C1222="","Commercial",$C1222))),Variables!$B$1:$D$1,0),1))*IFERROR(IF(AB1222="","",(AVERAGE(E1222:F1222)-AB1222)-Variables!$B$14),""))+(W1222*INDEX(Variables!$B$9:$D$9,IFERROR(MATCH(IF($B1222="Robusta","Robusta",(IF($B1222="","Arabica",$B1222))&amp;" - "&amp;(IF($C1222="","Commercial",$C1222))),Variables!$B$1:$D$1,0),1))*IFERROR(IF(AB1222="","",(AVERAGE(E1222:F1222)-AB1222)-Variables!$B$14),"")/365),""))</f>
        <v>736.94456916068668</v>
      </c>
      <c r="BH1222" s="44" t="str">
        <f>IF($AX1222="Cancelled","",IFERROR((W1222*INDEX(Variables!$B$7:$D$7,IFERROR(MATCH(IF($B1222="Robusta","Robusta",(IF($B1222="","Arabica",$B1222))&amp;" - "&amp;(IF($C1222="","Commercial",$C1222))),Variables!$B$1:$D$1,0),1))*AK1222/365)+(L1222/16.67*INDEX(Variables!$B$8:$D$8,IFERROR(MATCH(IF($B1222="Robusta","Robusta",(IF($B1222="","Arabica",$B1222))&amp;" - "&amp;(IF($C1222="","Commercial",$C1222))),Variables!$B$1:$D$1,0),1))*AK1222)+(W1222*INDEX(Variables!$B$9:$D$9,IFERROR(MATCH(IF($B1222="Robusta","Robusta",(IF($B1222="","Arabica",$B1222))&amp;" - "&amp;(IF($C1222="","Commercial",$C1222))),Variables!$B$1:$D$1,0),1))*AK1222/365),""))</f>
        <v/>
      </c>
      <c r="BI1222" s="44" t="str">
        <f>IF($AX1222="Cancelled","",IFERROR((W1222*INDEX(Variables!$B$7:$D$7,IFERROR(MATCH(IF($B1222="Robusta","Robusta",(IF($B1222="","Arabica",$B1222))&amp;" - "&amp;(IF($C1222="","Commercial",$C1222))),Variables!$B$1:$D$1,0),1))*BD1222/365)+(L1222/16.67*INDEX(Variables!$B$8:$D$8,IFERROR(MATCH(IF($B1222="Robusta","Robusta",(IF($B1222="","Arabica",$B1222))&amp;" - "&amp;(IF($C1222="","Commercial",$C1222))),Variables!$B$1:$D$1,0),1))*BD1222)+(W1222*INDEX(Variables!$B$9:$D$9,IFERROR(MATCH(IF($B1222="Robusta","Robusta",(IF($B1222="","Arabica",$B1222))&amp;" - "&amp;(IF($C1222="","Commercial",$C1222))),Variables!$B$1:$D$1,0),1))*BD1222/365),""))</f>
        <v/>
      </c>
      <c r="BJ1222" s="44" t="str">
        <f t="shared" si="60"/>
        <v/>
      </c>
      <c r="BK1222" s="44" t="str">
        <f>IF($AX1222="Cancelled","",IFERROR(IF(BJ1222="","",(W1222*INDEX(Variables!$B$7:$D$7,IFERROR(MATCH(IF($B1222="Robusta","Robusta",(IF($B1222="","Arabica",$B1222))&amp;" - "&amp;(IF($C1222="","Commercial",$C1222))),Variables!$B$1:$D$1,0),1))*(BJ1222/365))+(W1222*INDEX(Variables!$B$9:$D$9,IFERROR(MATCH(IF($B1222="Robusta","Robusta",(IF($B1222="","Arabica",$B1222))&amp;" - "&amp;(IF($C1222="","Commercial",$C1222))),Variables!$B$1:$D$1,0),1))*(BJ1222/365))+(INDEX(Variables!$B$8:$D$8,IFERROR(MATCH(IF($B1222="Robusta","Robusta",(IF($B1222="","Arabica",$B1222))&amp;" - "&amp;(IF($C1222="","Commercial",$C1222))),Variables!$B$1:$D$1,0),1))*L1222/16.67)),""))</f>
        <v/>
      </c>
    </row>
    <row r="1223" spans="1:63">
      <c r="A1223" s="13" t="s">
        <v>103</v>
      </c>
      <c r="B1223" s="13" t="s">
        <v>104</v>
      </c>
      <c r="C1223" s="13" t="s">
        <v>105</v>
      </c>
      <c r="D1223" s="31">
        <v>46255</v>
      </c>
      <c r="E1223" s="31">
        <v>46280</v>
      </c>
      <c r="F1223" s="31">
        <v>46309</v>
      </c>
      <c r="G1223" s="13">
        <v>3787683</v>
      </c>
      <c r="J1223" s="13" t="s">
        <v>2164</v>
      </c>
      <c r="K1223" s="13">
        <v>5646</v>
      </c>
      <c r="L1223" s="13">
        <v>320</v>
      </c>
      <c r="M1223" s="13">
        <v>1</v>
      </c>
      <c r="N1223" s="13" t="s">
        <v>2996</v>
      </c>
      <c r="O1223" s="13" t="s">
        <v>261</v>
      </c>
      <c r="P1223" s="13">
        <v>10060</v>
      </c>
      <c r="R1223" s="13" t="s">
        <v>239</v>
      </c>
      <c r="S1223" s="13" t="s">
        <v>283</v>
      </c>
      <c r="T1223" s="13" t="s">
        <v>112</v>
      </c>
      <c r="U1223" s="13" t="s">
        <v>113</v>
      </c>
      <c r="V1223" s="23">
        <v>86</v>
      </c>
      <c r="W1223" s="44">
        <f>IF($AX1223="Cancelled","",IFERROR(((V1223+INDEX(Variables!$B$6:$D$6,IFERROR(MATCH(IF($B1223="Robusta","Robusta",(IF($B1223="","Arabica",$B1223))&amp;" - "&amp;(IF($C1223="","Commercial",$C1223))),Variables!$B$1:$D$1,0),1)))*22.0462)*(L1223/16.67),""))</f>
        <v>159462.66413917215</v>
      </c>
      <c r="X1223" s="55" t="s">
        <v>37</v>
      </c>
      <c r="Y1223" s="13" t="str">
        <f>IF($AX1223="Cancelled","",IF(X1223="","",IFERROR(IF(INDEX(Variables!$B$38:$B$47,MATCH(X1223,Variables!$A$38:$A$47,0))="Yes","Yes","No"),"No")))</f>
        <v>Yes</v>
      </c>
      <c r="Z1223" s="58">
        <v>46258</v>
      </c>
      <c r="AB1223" s="31">
        <v>46263</v>
      </c>
      <c r="AC1223" s="13" t="str">
        <f t="shared" si="59"/>
        <v>Approved</v>
      </c>
      <c r="AD1223" s="31">
        <v>46265</v>
      </c>
      <c r="AF1223" s="71">
        <v>46275</v>
      </c>
      <c r="AG1223" s="37">
        <f>IF($AX1223="Cancelled","",IFERROR(IF(F1223="","",F1223-Variables!$B$13),""))</f>
        <v>46294</v>
      </c>
      <c r="AH1223" s="13">
        <f>IF($AX1223="Cancelled","",IFERROR(IF(AB1223="","",(AVERAGE(E1223:F1223)-AB1223)-Variables!$B$14),""))</f>
        <v>1.5</v>
      </c>
      <c r="AJ1223" s="47">
        <v>46280</v>
      </c>
      <c r="AK1223" s="14">
        <f>IF($AX1223="Cancelled","",IFERROR(IF(AJ1223="","",IF(AND(AB1223="",AF1223=""),"",IF(AF1223&gt;AB1223,AF1223+Variables!$B$15+Variables!$B$16+Variables!$B$17-AJ1223,AB1223+Variables!$B$16+Variables!$B$17-AJ1223))),""))</f>
        <v>10</v>
      </c>
      <c r="AL1223" s="48" t="s">
        <v>114</v>
      </c>
      <c r="AM1223" s="13" t="s">
        <v>188</v>
      </c>
      <c r="AN1223" s="13" t="s">
        <v>2989</v>
      </c>
      <c r="AP1223" s="39">
        <v>46295</v>
      </c>
      <c r="AR1223" s="13" t="s">
        <v>3278</v>
      </c>
      <c r="AS1223" s="31">
        <v>46295</v>
      </c>
      <c r="AU1223" s="31">
        <v>46314</v>
      </c>
      <c r="AV1223" s="13" t="s">
        <v>865</v>
      </c>
      <c r="AW1223" s="31">
        <v>46314</v>
      </c>
      <c r="AX1223" s="13" t="str">
        <f>IF(ISNUMBER(SEARCH("cancel",#REF!)),"Cancelled",IF(AND(AS1223&lt;&gt;"",AU1223&lt;&gt;"",AW1223&lt;&gt;""),"Closed","Open"))</f>
        <v>Closed</v>
      </c>
      <c r="AY1223" s="25" t="str">
        <f t="shared" si="58"/>
        <v>All dates received</v>
      </c>
      <c r="BD1223" s="13">
        <f>IF($AX1223="Cancelled","",IFERROR(IF(OR(AS1223="",AJ1223=""),"",(AJ1223+Variables!$B$18-AS1223)),""))</f>
        <v>0</v>
      </c>
      <c r="BE1223" s="13">
        <f>IF($AX1223="Cancelled","",IFERROR(IF(OR(AW1223="",AS1223=""),"",(AS1223+Variables!$B$19)-AW1223),""))</f>
        <v>-14</v>
      </c>
      <c r="BF1223" s="44">
        <f>IF($AX1223="Cancelled","",IFERROR(W1223*INDEX(Variables!$B$7:$D$7,IFERROR(MATCH(IF($B1223="Robusta","Robusta",(IF($B1223="","Arabica",$B1223))&amp;" - "&amp;(IF($C1223="","Commercial",$C1223))),Variables!$B$1:$D$1,0),1))*(BE1223/365),""))</f>
        <v>-394.39739074457253</v>
      </c>
      <c r="BG1223" s="44">
        <f>IF($AX1223="Cancelled","",IFERROR((W1223*INDEX(Variables!$B$7:$D$7,IFERROR(MATCH(IF($B1223="Robusta","Robusta",(IF($B1223="","Arabica",$B1223))&amp;" - "&amp;(IF($C1223="","Commercial",$C1223))),Variables!$B$1:$D$1,0),1))*IFERROR(IF(AB1223="","",(AVERAGE(E1223:F1223)-AB1223)-Variables!$B$14),"")/365)+(L1223/16.67*INDEX(Variables!$B$8:$D$8,IFERROR(MATCH(IF($B1223="Robusta","Robusta",(IF($B1223="","Arabica",$B1223))&amp;" - "&amp;(IF($C1223="","Commercial",$C1223))),Variables!$B$1:$D$1,0),1))*IFERROR(IF(AB1223="","",(AVERAGE(E1223:F1223)-AB1223)-Variables!$B$14),""))+(W1223*INDEX(Variables!$B$9:$D$9,IFERROR(MATCH(IF($B1223="Robusta","Robusta",(IF($B1223="","Arabica",$B1223))&amp;" - "&amp;(IF($C1223="","Commercial",$C1223))),Variables!$B$1:$D$1,0),1))*IFERROR(IF(AB1223="","",(AVERAGE(E1223:F1223)-AB1223)-Variables!$B$14),"")/365),""))</f>
        <v>66.801635812002004</v>
      </c>
      <c r="BH1223" s="44">
        <f>IF($AX1223="Cancelled","",IFERROR((W1223*INDEX(Variables!$B$7:$D$7,IFERROR(MATCH(IF($B1223="Robusta","Robusta",(IF($B1223="","Arabica",$B1223))&amp;" - "&amp;(IF($C1223="","Commercial",$C1223))),Variables!$B$1:$D$1,0),1))*AK1223/365)+(L1223/16.67*INDEX(Variables!$B$8:$D$8,IFERROR(MATCH(IF($B1223="Robusta","Robusta",(IF($B1223="","Arabica",$B1223))&amp;" - "&amp;(IF($C1223="","Commercial",$C1223))),Variables!$B$1:$D$1,0),1))*AK1223)+(W1223*INDEX(Variables!$B$9:$D$9,IFERROR(MATCH(IF($B1223="Robusta","Robusta",(IF($B1223="","Arabica",$B1223))&amp;" - "&amp;(IF($C1223="","Commercial",$C1223))),Variables!$B$1:$D$1,0),1))*AK1223/365),""))</f>
        <v>445.34423874667999</v>
      </c>
      <c r="BI1223" s="44">
        <f>IF($AX1223="Cancelled","",IFERROR((W1223*INDEX(Variables!$B$7:$D$7,IFERROR(MATCH(IF($B1223="Robusta","Robusta",(IF($B1223="","Arabica",$B1223))&amp;" - "&amp;(IF($C1223="","Commercial",$C1223))),Variables!$B$1:$D$1,0),1))*BD1223/365)+(L1223/16.67*INDEX(Variables!$B$8:$D$8,IFERROR(MATCH(IF($B1223="Robusta","Robusta",(IF($B1223="","Arabica",$B1223))&amp;" - "&amp;(IF($C1223="","Commercial",$C1223))),Variables!$B$1:$D$1,0),1))*BD1223)+(W1223*INDEX(Variables!$B$9:$D$9,IFERROR(MATCH(IF($B1223="Robusta","Robusta",(IF($B1223="","Arabica",$B1223))&amp;" - "&amp;(IF($C1223="","Commercial",$C1223))),Variables!$B$1:$D$1,0),1))*BD1223/365),""))</f>
        <v>0</v>
      </c>
      <c r="BJ1223" s="44">
        <f t="shared" si="60"/>
        <v>14</v>
      </c>
      <c r="BK1223" s="44">
        <f>IF($AX1223="Cancelled","",IFERROR(IF(BJ1223="","",(W1223*INDEX(Variables!$B$7:$D$7,IFERROR(MATCH(IF($B1223="Robusta","Robusta",(IF($B1223="","Arabica",$B1223))&amp;" - "&amp;(IF($C1223="","Commercial",$C1223))),Variables!$B$1:$D$1,0),1))*(BJ1223/365))+(W1223*INDEX(Variables!$B$9:$D$9,IFERROR(MATCH(IF($B1223="Robusta","Robusta",(IF($B1223="","Arabica",$B1223))&amp;" - "&amp;(IF($C1223="","Commercial",$C1223))),Variables!$B$1:$D$1,0),1))*(BJ1223/365))+(INDEX(Variables!$B$8:$D$8,IFERROR(MATCH(IF($B1223="Robusta","Robusta",(IF($B1223="","Arabica",$B1223))&amp;" - "&amp;(IF($C1223="","Commercial",$C1223))),Variables!$B$1:$D$1,0),1))*L1223/16.67)),""))</f>
        <v>415.48193424535202</v>
      </c>
    </row>
    <row r="1224" spans="1:63">
      <c r="A1224" s="13" t="s">
        <v>103</v>
      </c>
      <c r="B1224" s="13" t="s">
        <v>104</v>
      </c>
      <c r="C1224" s="13" t="s">
        <v>105</v>
      </c>
      <c r="D1224" s="31">
        <v>46255</v>
      </c>
      <c r="E1224" s="31">
        <v>46280</v>
      </c>
      <c r="F1224" s="31">
        <v>46309</v>
      </c>
      <c r="G1224" s="13">
        <v>3787684</v>
      </c>
      <c r="J1224" s="13" t="s">
        <v>2164</v>
      </c>
      <c r="K1224" s="13">
        <v>5654</v>
      </c>
      <c r="L1224" s="13">
        <v>320</v>
      </c>
      <c r="M1224" s="13">
        <v>1</v>
      </c>
      <c r="N1224" s="13" t="s">
        <v>2997</v>
      </c>
      <c r="O1224" s="13" t="s">
        <v>418</v>
      </c>
      <c r="P1224" s="13">
        <v>10070</v>
      </c>
      <c r="R1224" s="13" t="s">
        <v>239</v>
      </c>
      <c r="S1224" s="13" t="s">
        <v>1557</v>
      </c>
      <c r="T1224" s="13" t="s">
        <v>112</v>
      </c>
      <c r="U1224" s="13" t="s">
        <v>113</v>
      </c>
      <c r="V1224" s="23">
        <v>57</v>
      </c>
      <c r="W1224" s="44">
        <f>IF($AX1224="Cancelled","",IFERROR(((V1224+INDEX(Variables!$B$6:$D$6,IFERROR(MATCH(IF($B1224="Robusta","Robusta",(IF($B1224="","Arabica",$B1224))&amp;" - "&amp;(IF($C1224="","Commercial",$C1224))),Variables!$B$1:$D$1,0),1)))*22.0462)*(L1224/16.67),""))</f>
        <v>147189.79455308936</v>
      </c>
      <c r="X1224" s="55" t="s">
        <v>37</v>
      </c>
      <c r="Y1224" s="13" t="str">
        <f>IF($AX1224="Cancelled","",IF(X1224="","",IFERROR(IF(INDEX(Variables!$B$38:$B$47,MATCH(X1224,Variables!$A$38:$A$47,0))="Yes","Yes","No"),"No")))</f>
        <v>Yes</v>
      </c>
      <c r="Z1224" s="58">
        <v>46258</v>
      </c>
      <c r="AB1224" s="31">
        <v>46263</v>
      </c>
      <c r="AC1224" s="13" t="str">
        <f t="shared" si="59"/>
        <v>Approved</v>
      </c>
      <c r="AD1224" s="31">
        <v>46265</v>
      </c>
      <c r="AF1224" s="71">
        <v>46283</v>
      </c>
      <c r="AG1224" s="37">
        <f>IF($AX1224="Cancelled","",IFERROR(IF(F1224="","",F1224-Variables!$B$13),""))</f>
        <v>46294</v>
      </c>
      <c r="AH1224" s="13">
        <f>IF($AX1224="Cancelled","",IFERROR(IF(AB1224="","",(AVERAGE(E1224:F1224)-AB1224)-Variables!$B$14),""))</f>
        <v>1.5</v>
      </c>
      <c r="AJ1224" s="47">
        <v>46286</v>
      </c>
      <c r="AK1224" s="14">
        <f>IF($AX1224="Cancelled","",IFERROR(IF(AJ1224="","",IF(AND(AB1224="",AF1224=""),"",IF(AF1224&gt;AB1224,AF1224+Variables!$B$15+Variables!$B$16+Variables!$B$17-AJ1224,AB1224+Variables!$B$16+Variables!$B$17-AJ1224))),""))</f>
        <v>12</v>
      </c>
      <c r="AL1224" s="48" t="s">
        <v>114</v>
      </c>
      <c r="AM1224" s="13" t="s">
        <v>134</v>
      </c>
      <c r="AN1224" s="13" t="s">
        <v>2910</v>
      </c>
      <c r="AP1224" s="39">
        <v>46295</v>
      </c>
      <c r="AR1224" s="13" t="s">
        <v>3279</v>
      </c>
      <c r="AS1224" s="31">
        <v>46295</v>
      </c>
      <c r="AU1224" s="31">
        <v>46310</v>
      </c>
      <c r="AV1224" s="13" t="s">
        <v>865</v>
      </c>
      <c r="AW1224" s="31">
        <v>46310</v>
      </c>
      <c r="AX1224" s="13" t="str">
        <f>IF(ISNUMBER(SEARCH("cancel",#REF!)),"Cancelled",IF(AND(AS1224&lt;&gt;"",AU1224&lt;&gt;"",AW1224&lt;&gt;""),"Closed","Open"))</f>
        <v>Closed</v>
      </c>
      <c r="AY1224" s="25" t="str">
        <f t="shared" si="58"/>
        <v>All dates received</v>
      </c>
      <c r="BD1224" s="13">
        <f>IF($AX1224="Cancelled","",IFERROR(IF(OR(AS1224="",AJ1224=""),"",(AJ1224+Variables!$B$18-AS1224)),""))</f>
        <v>6</v>
      </c>
      <c r="BE1224" s="13">
        <f>IF($AX1224="Cancelled","",IFERROR(IF(OR(AW1224="",AS1224=""),"",(AS1224+Variables!$B$19)-AW1224),""))</f>
        <v>-10</v>
      </c>
      <c r="BF1224" s="44">
        <f>IF($AX1224="Cancelled","",IFERROR(W1224*INDEX(Variables!$B$7:$D$7,IFERROR(MATCH(IF($B1224="Robusta","Robusta",(IF($B1224="","Arabica",$B1224))&amp;" - "&amp;(IF($C1224="","Commercial",$C1224))),Variables!$B$1:$D$1,0),1))*(BE1224/365),""))</f>
        <v>-260.03073343373205</v>
      </c>
      <c r="BG1224" s="44">
        <f>IF($AX1224="Cancelled","",IFERROR((W1224*INDEX(Variables!$B$7:$D$7,IFERROR(MATCH(IF($B1224="Robusta","Robusta",(IF($B1224="","Arabica",$B1224))&amp;" - "&amp;(IF($C1224="","Commercial",$C1224))),Variables!$B$1:$D$1,0),1))*IFERROR(IF(AB1224="","",(AVERAGE(E1224:F1224)-AB1224)-Variables!$B$14),"")/365)+(L1224/16.67*INDEX(Variables!$B$8:$D$8,IFERROR(MATCH(IF($B1224="Robusta","Robusta",(IF($B1224="","Arabica",$B1224))&amp;" - "&amp;(IF($C1224="","Commercial",$C1224))),Variables!$B$1:$D$1,0),1))*IFERROR(IF(AB1224="","",(AVERAGE(E1224:F1224)-AB1224)-Variables!$B$14),""))+(W1224*INDEX(Variables!$B$9:$D$9,IFERROR(MATCH(IF($B1224="Robusta","Robusta",(IF($B1224="","Arabica",$B1224))&amp;" - "&amp;(IF($C1224="","Commercial",$C1224))),Variables!$B$1:$D$1,0),1))*IFERROR(IF(AB1224="","",(AVERAGE(E1224:F1224)-AB1224)-Variables!$B$14),"")/365),""))</f>
        <v>63.507454711821381</v>
      </c>
      <c r="BH1224" s="44">
        <f>IF($AX1224="Cancelled","",IFERROR((W1224*INDEX(Variables!$B$7:$D$7,IFERROR(MATCH(IF($B1224="Robusta","Robusta",(IF($B1224="","Arabica",$B1224))&amp;" - "&amp;(IF($C1224="","Commercial",$C1224))),Variables!$B$1:$D$1,0),1))*AK1224/365)+(L1224/16.67*INDEX(Variables!$B$8:$D$8,IFERROR(MATCH(IF($B1224="Robusta","Robusta",(IF($B1224="","Arabica",$B1224))&amp;" - "&amp;(IF($C1224="","Commercial",$C1224))),Variables!$B$1:$D$1,0),1))*AK1224)+(W1224*INDEX(Variables!$B$9:$D$9,IFERROR(MATCH(IF($B1224="Robusta","Robusta",(IF($B1224="","Arabica",$B1224))&amp;" - "&amp;(IF($C1224="","Commercial",$C1224))),Variables!$B$1:$D$1,0),1))*AK1224/365),""))</f>
        <v>508.05963769457105</v>
      </c>
      <c r="BI1224" s="44">
        <f>IF($AX1224="Cancelled","",IFERROR((W1224*INDEX(Variables!$B$7:$D$7,IFERROR(MATCH(IF($B1224="Robusta","Robusta",(IF($B1224="","Arabica",$B1224))&amp;" - "&amp;(IF($C1224="","Commercial",$C1224))),Variables!$B$1:$D$1,0),1))*BD1224/365)+(L1224/16.67*INDEX(Variables!$B$8:$D$8,IFERROR(MATCH(IF($B1224="Robusta","Robusta",(IF($B1224="","Arabica",$B1224))&amp;" - "&amp;(IF($C1224="","Commercial",$C1224))),Variables!$B$1:$D$1,0),1))*BD1224)+(W1224*INDEX(Variables!$B$9:$D$9,IFERROR(MATCH(IF($B1224="Robusta","Robusta",(IF($B1224="","Arabica",$B1224))&amp;" - "&amp;(IF($C1224="","Commercial",$C1224))),Variables!$B$1:$D$1,0),1))*BD1224/365),""))</f>
        <v>254.02981884728553</v>
      </c>
      <c r="BJ1224" s="44">
        <f t="shared" si="60"/>
        <v>14</v>
      </c>
      <c r="BK1224" s="44">
        <f>IF($AX1224="Cancelled","",IFERROR(IF(BJ1224="","",(W1224*INDEX(Variables!$B$7:$D$7,IFERROR(MATCH(IF($B1224="Robusta","Robusta",(IF($B1224="","Arabica",$B1224))&amp;" - "&amp;(IF($C1224="","Commercial",$C1224))),Variables!$B$1:$D$1,0),1))*(BJ1224/365))+(W1224*INDEX(Variables!$B$9:$D$9,IFERROR(MATCH(IF($B1224="Robusta","Robusta",(IF($B1224="","Arabica",$B1224))&amp;" - "&amp;(IF($C1224="","Commercial",$C1224))),Variables!$B$1:$D$1,0),1))*(BJ1224/365))+(INDEX(Variables!$B$8:$D$8,IFERROR(MATCH(IF($B1224="Robusta","Robusta",(IF($B1224="","Arabica",$B1224))&amp;" - "&amp;(IF($C1224="","Commercial",$C1224))),Variables!$B$1:$D$1,0),1))*L1224/16.67)),""))</f>
        <v>384.73624397699956</v>
      </c>
    </row>
    <row r="1225" spans="1:63" s="33" customFormat="1">
      <c r="A1225" s="33" t="s">
        <v>103</v>
      </c>
      <c r="B1225" s="13" t="s">
        <v>104</v>
      </c>
      <c r="C1225" s="13" t="s">
        <v>105</v>
      </c>
      <c r="D1225" s="31">
        <v>46255</v>
      </c>
      <c r="E1225" s="31">
        <v>46266</v>
      </c>
      <c r="F1225" s="31">
        <v>46295</v>
      </c>
      <c r="G1225" s="33">
        <v>3787685</v>
      </c>
      <c r="H1225" s="13"/>
      <c r="I1225" s="13"/>
      <c r="J1225" s="13" t="s">
        <v>2315</v>
      </c>
      <c r="K1225" s="13">
        <v>5651</v>
      </c>
      <c r="L1225" s="13">
        <v>320</v>
      </c>
      <c r="M1225" s="13">
        <v>1</v>
      </c>
      <c r="N1225" s="13" t="s">
        <v>2998</v>
      </c>
      <c r="O1225" s="13" t="s">
        <v>109</v>
      </c>
      <c r="P1225" s="13">
        <v>10080</v>
      </c>
      <c r="Q1225" s="13"/>
      <c r="R1225" s="13" t="s">
        <v>110</v>
      </c>
      <c r="S1225" s="13" t="s">
        <v>2999</v>
      </c>
      <c r="T1225" s="13" t="s">
        <v>112</v>
      </c>
      <c r="U1225" s="13" t="s">
        <v>113</v>
      </c>
      <c r="V1225" s="23">
        <v>45</v>
      </c>
      <c r="W1225" s="44">
        <f>IF($AX1225="Cancelled","",IFERROR(((V1225+INDEX(Variables!$B$6:$D$6,IFERROR(MATCH(IF($B1225="Robusta","Robusta",(IF($B1225="","Arabica",$B1225))&amp;" - "&amp;(IF($C1225="","Commercial",$C1225))),Variables!$B$1:$D$1,0),1)))*22.0462)*(L1225/16.67),""))</f>
        <v>142111.3657588482</v>
      </c>
      <c r="X1225" s="55" t="s">
        <v>37</v>
      </c>
      <c r="Y1225" s="13" t="str">
        <f>IF($AX1225="Cancelled","",IF(X1225="","",IFERROR(IF(INDEX(Variables!$B$38:$B$47,MATCH(X1225,Variables!$A$38:$A$47,0))="Yes","Yes","No"),"No")))</f>
        <v>Yes</v>
      </c>
      <c r="Z1225" s="58">
        <v>46266</v>
      </c>
      <c r="AA1225" s="13"/>
      <c r="AB1225" s="31">
        <v>46273</v>
      </c>
      <c r="AC1225" s="13" t="str">
        <f t="shared" si="59"/>
        <v>Approved</v>
      </c>
      <c r="AD1225" s="31">
        <v>46275</v>
      </c>
      <c r="AE1225" s="31"/>
      <c r="AF1225" s="71">
        <v>46276</v>
      </c>
      <c r="AG1225" s="37">
        <f>IF($AX1225="Cancelled","",IFERROR(IF(F1225="","",F1225-Variables!$B$13),""))</f>
        <v>46280</v>
      </c>
      <c r="AH1225" s="13">
        <f>IF($AX1225="Cancelled","",IFERROR(IF(AB1225="","",(AVERAGE(E1225:F1225)-AB1225)-Variables!$B$14),""))</f>
        <v>-22.5</v>
      </c>
      <c r="AI1225" s="13"/>
      <c r="AJ1225" s="47">
        <v>46286</v>
      </c>
      <c r="AK1225" s="14">
        <f>IF($AX1225="Cancelled","",IFERROR(IF(AJ1225="","",IF(AND(AB1225="",AF1225=""),"",IF(AF1225&gt;AB1225,AF1225+Variables!$B$15+Variables!$B$16+Variables!$B$17-AJ1225,AB1225+Variables!$B$16+Variables!$B$17-AJ1225))),""))</f>
        <v>5</v>
      </c>
      <c r="AL1225" s="48" t="s">
        <v>114</v>
      </c>
      <c r="AM1225" s="33" t="s">
        <v>1784</v>
      </c>
      <c r="AN1225" s="33" t="s">
        <v>3000</v>
      </c>
      <c r="AO1225" s="39">
        <v>46282</v>
      </c>
      <c r="AP1225" s="39">
        <v>46303</v>
      </c>
      <c r="AQ1225" s="39">
        <v>46365</v>
      </c>
      <c r="AR1225" s="33">
        <v>20954709</v>
      </c>
      <c r="AS1225" s="39">
        <v>46304</v>
      </c>
      <c r="AT1225" s="39"/>
      <c r="AU1225" s="39"/>
      <c r="AV1225" s="33" t="s">
        <v>865</v>
      </c>
      <c r="AW1225" s="39"/>
      <c r="AX1225" s="33" t="str">
        <f>IF(ISNUMBER(SEARCH("cancel",#REF!)),"Cancelled",IF(AND(AS1225&lt;&gt;"",AU1225&lt;&gt;"",AW1225&lt;&gt;""),"Closed","Open"))</f>
        <v>Open</v>
      </c>
      <c r="AY1225" s="25" t="str">
        <f t="shared" si="58"/>
        <v>No shipping advice sent and No docs dispatch date</v>
      </c>
      <c r="AZ1225" s="13" t="s">
        <v>3053</v>
      </c>
      <c r="BA1225" s="13" t="s">
        <v>3048</v>
      </c>
      <c r="BB1225" s="13" t="s">
        <v>3049</v>
      </c>
      <c r="BC1225" s="33" t="s">
        <v>3048</v>
      </c>
      <c r="BD1225" s="33">
        <f>IF($AX1225="Cancelled","",IFERROR(IF(OR(AS1225="",AJ1225=""),"",(AJ1225+Variables!$B$18-AS1225)),""))</f>
        <v>-3</v>
      </c>
      <c r="BE1225" s="33" t="str">
        <f>IF($AX1225="Cancelled","",IFERROR(IF(OR(AW1225="",AS1225=""),"",(AS1225+Variables!$B$19)-AW1225),""))</f>
        <v/>
      </c>
      <c r="BF1225" s="43" t="str">
        <f>IF($AX1225="Cancelled","",IFERROR(W1225*INDEX(Variables!$B$7:$D$7,IFERROR(MATCH(IF($B1225="Robusta","Robusta",(IF($B1225="","Arabica",$B1225))&amp;" - "&amp;(IF($C1225="","Commercial",$C1225))),Variables!$B$1:$D$1,0),1))*(BE1225/365),""))</f>
        <v/>
      </c>
      <c r="BG1225" s="43">
        <f>IF($AX1225="Cancelled","",IFERROR((W1225*INDEX(Variables!$B$7:$D$7,IFERROR(MATCH(IF($B1225="Robusta","Robusta",(IF($B1225="","Arabica",$B1225))&amp;" - "&amp;(IF($C1225="","Commercial",$C1225))),Variables!$B$1:$D$1,0),1))*IFERROR(IF(AB1225="","",(AVERAGE(E1225:F1225)-AB1225)-Variables!$B$14),"")/365)+(L1225/16.67*INDEX(Variables!$B$8:$D$8,IFERROR(MATCH(IF($B1225="Robusta","Robusta",(IF($B1225="","Arabica",$B1225))&amp;" - "&amp;(IF($C1225="","Commercial",$C1225))),Variables!$B$1:$D$1,0),1))*IFERROR(IF(AB1225="","",(AVERAGE(E1225:F1225)-AB1225)-Variables!$B$14),""))+(W1225*INDEX(Variables!$B$9:$D$9,IFERROR(MATCH(IF($B1225="Robusta","Robusta",(IF($B1225="","Arabica",$B1225))&amp;" - "&amp;(IF($C1225="","Commercial",$C1225))),Variables!$B$1:$D$1,0),1))*IFERROR(IF(AB1225="","",(AVERAGE(E1225:F1225)-AB1225)-Variables!$B$14),"")/365),""))</f>
        <v>-932.16517936585467</v>
      </c>
      <c r="BH1225" s="43">
        <f>IF($AX1225="Cancelled","",IFERROR((W1225*INDEX(Variables!$B$7:$D$7,IFERROR(MATCH(IF($B1225="Robusta","Robusta",(IF($B1225="","Arabica",$B1225))&amp;" - "&amp;(IF($C1225="","Commercial",$C1225))),Variables!$B$1:$D$1,0),1))*AK1225/365)+(L1225/16.67*INDEX(Variables!$B$8:$D$8,IFERROR(MATCH(IF($B1225="Robusta","Robusta",(IF($B1225="","Arabica",$B1225))&amp;" - "&amp;(IF($C1225="","Commercial",$C1225))),Variables!$B$1:$D$1,0),1))*AK1225)+(W1225*INDEX(Variables!$B$9:$D$9,IFERROR(MATCH(IF($B1225="Robusta","Robusta",(IF($B1225="","Arabica",$B1225))&amp;" - "&amp;(IF($C1225="","Commercial",$C1225))),Variables!$B$1:$D$1,0),1))*AK1225/365),""))</f>
        <v>207.14781763685662</v>
      </c>
      <c r="BI1225" s="43">
        <f>IF($AX1225="Cancelled","",IFERROR((W1225*INDEX(Variables!$B$7:$D$7,IFERROR(MATCH(IF($B1225="Robusta","Robusta",(IF($B1225="","Arabica",$B1225))&amp;" - "&amp;(IF($C1225="","Commercial",$C1225))),Variables!$B$1:$D$1,0),1))*BD1225/365)+(L1225/16.67*INDEX(Variables!$B$8:$D$8,IFERROR(MATCH(IF($B1225="Robusta","Robusta",(IF($B1225="","Arabica",$B1225))&amp;" - "&amp;(IF($C1225="","Commercial",$C1225))),Variables!$B$1:$D$1,0),1))*BD1225)+(W1225*INDEX(Variables!$B$9:$D$9,IFERROR(MATCH(IF($B1225="Robusta","Robusta",(IF($B1225="","Arabica",$B1225))&amp;" - "&amp;(IF($C1225="","Commercial",$C1225))),Variables!$B$1:$D$1,0),1))*BD1225/365),""))</f>
        <v>-124.28869058211396</v>
      </c>
      <c r="BJ1225" s="43">
        <f t="shared" si="60"/>
        <v>-9</v>
      </c>
      <c r="BK1225" s="43">
        <f>IF($AX1225="Cancelled","",IFERROR(IF(BJ1225="","",(W1225*INDEX(Variables!$B$7:$D$7,IFERROR(MATCH(IF($B1225="Robusta","Robusta",(IF($B1225="","Arabica",$B1225))&amp;" - "&amp;(IF($C1225="","Commercial",$C1225))),Variables!$B$1:$D$1,0),1))*(BJ1225/365))+(W1225*INDEX(Variables!$B$9:$D$9,IFERROR(MATCH(IF($B1225="Robusta","Robusta",(IF($B1225="","Arabica",$B1225))&amp;" - "&amp;(IF($C1225="","Commercial",$C1225))),Variables!$B$1:$D$1,0),1))*(BJ1225/365))+(INDEX(Variables!$B$8:$D$8,IFERROR(MATCH(IF($B1225="Robusta","Robusta",(IF($B1225="","Arabica",$B1225))&amp;" - "&amp;(IF($C1225="","Commercial",$C1225))),Variables!$B$1:$D$1,0),1))*L1225/16.67)),""))</f>
        <v>-212.8660717463419</v>
      </c>
    </row>
    <row r="1226" spans="1:63">
      <c r="A1226" s="13" t="s">
        <v>103</v>
      </c>
      <c r="B1226" s="13" t="s">
        <v>104</v>
      </c>
      <c r="C1226" s="13" t="s">
        <v>105</v>
      </c>
      <c r="D1226" s="31">
        <v>46260</v>
      </c>
      <c r="E1226" s="31">
        <v>46296</v>
      </c>
      <c r="F1226" s="31">
        <v>46326</v>
      </c>
      <c r="G1226" s="13">
        <v>3787686</v>
      </c>
      <c r="J1226" s="13" t="s">
        <v>118</v>
      </c>
      <c r="K1226" s="13">
        <v>5665</v>
      </c>
      <c r="L1226" s="13">
        <v>1440</v>
      </c>
      <c r="M1226" s="13">
        <v>4</v>
      </c>
      <c r="N1226" s="13" t="s">
        <v>3001</v>
      </c>
      <c r="O1226" s="13" t="s">
        <v>179</v>
      </c>
      <c r="P1226" s="13">
        <v>10110</v>
      </c>
      <c r="Q1226" s="13" t="s">
        <v>1461</v>
      </c>
      <c r="R1226" s="13" t="s">
        <v>122</v>
      </c>
      <c r="S1226" s="13" t="s">
        <v>3002</v>
      </c>
      <c r="T1226" s="13" t="s">
        <v>133</v>
      </c>
      <c r="U1226" s="13" t="s">
        <v>125</v>
      </c>
      <c r="V1226" s="23">
        <v>38</v>
      </c>
      <c r="W1226" s="44">
        <f>IF($AX1226="Cancelled","",IFERROR(((V1226+INDEX(Variables!$B$6:$D$6,IFERROR(MATCH(IF($B1226="Robusta","Robusta",(IF($B1226="","Arabica",$B1226))&amp;" - "&amp;(IF($C1226="","Commercial",$C1226))),Variables!$B$1:$D$1,0),1)))*22.0462)*(L1226/16.67),""))</f>
        <v>626170.27032993396</v>
      </c>
      <c r="X1226" s="55" t="s">
        <v>37</v>
      </c>
      <c r="Y1226" s="13" t="str">
        <f>IF($AX1226="Cancelled","",IF(X1226="","",IFERROR(IF(INDEX(Variables!$B$38:$B$47,MATCH(X1226,Variables!$A$38:$A$47,0))="Yes","Yes","No"),"No")))</f>
        <v>Yes</v>
      </c>
      <c r="Z1226" s="58">
        <v>46266</v>
      </c>
      <c r="AB1226" s="31">
        <v>46276</v>
      </c>
      <c r="AC1226" s="13" t="str">
        <f t="shared" si="59"/>
        <v>Approved</v>
      </c>
      <c r="AD1226" s="31">
        <v>46276</v>
      </c>
      <c r="AF1226" s="71">
        <v>46297</v>
      </c>
      <c r="AG1226" s="37">
        <f>IF($AX1226="Cancelled","",IFERROR(IF(F1226="","",F1226-Variables!$B$13),""))</f>
        <v>46311</v>
      </c>
      <c r="AH1226" s="13">
        <f>IF($AX1226="Cancelled","",IFERROR(IF(AB1226="","",(AVERAGE(E1226:F1226)-AB1226)-Variables!$B$14),""))</f>
        <v>5</v>
      </c>
      <c r="AJ1226" s="47">
        <v>46300</v>
      </c>
      <c r="AK1226" s="14">
        <f>IF($AX1226="Cancelled","",IFERROR(IF(AJ1226="","",IF(AND(AB1226="",AF1226=""),"",IF(AF1226&gt;AB1226,AF1226+Variables!$B$15+Variables!$B$16+Variables!$B$17-AJ1226,AB1226+Variables!$B$16+Variables!$B$17-AJ1226))),""))</f>
        <v>12</v>
      </c>
      <c r="AL1226" s="48" t="s">
        <v>114</v>
      </c>
      <c r="AM1226" s="13" t="s">
        <v>141</v>
      </c>
      <c r="AN1226" s="13" t="s">
        <v>3286</v>
      </c>
      <c r="AP1226" s="39">
        <v>46314</v>
      </c>
      <c r="AR1226" s="13" t="s">
        <v>3280</v>
      </c>
      <c r="AS1226" s="31">
        <v>46316</v>
      </c>
      <c r="AX1226" s="13" t="str">
        <f>IF(ISNUMBER(SEARCH("cancel",#REF!)),"Cancelled",IF(AND(AS1226&lt;&gt;"",AU1226&lt;&gt;"",AW1226&lt;&gt;""),"Closed","Open"))</f>
        <v>Open</v>
      </c>
      <c r="AY1226" s="25" t="str">
        <f t="shared" si="58"/>
        <v>No shipping advice sent and No docs dispatch date</v>
      </c>
      <c r="BD1226" s="13">
        <f>IF($AX1226="Cancelled","",IFERROR(IF(OR(AS1226="",AJ1226=""),"",(AJ1226+Variables!$B$18-AS1226)),""))</f>
        <v>-1</v>
      </c>
      <c r="BE1226" s="13" t="str">
        <f>IF($AX1226="Cancelled","",IFERROR(IF(OR(AW1226="",AS1226=""),"",(AS1226+Variables!$B$19)-AW1226),""))</f>
        <v/>
      </c>
      <c r="BF1226" s="44" t="str">
        <f>IF($AX1226="Cancelled","",IFERROR(W1226*INDEX(Variables!$B$7:$D$7,IFERROR(MATCH(IF($B1226="Robusta","Robusta",(IF($B1226="","Arabica",$B1226))&amp;" - "&amp;(IF($C1226="","Commercial",$C1226))),Variables!$B$1:$D$1,0),1))*(BE1226/365),""))</f>
        <v/>
      </c>
      <c r="BG1226" s="44">
        <f>IF($AX1226="Cancelled","",IFERROR((W1226*INDEX(Variables!$B$7:$D$7,IFERROR(MATCH(IF($B1226="Robusta","Robusta",(IF($B1226="","Arabica",$B1226))&amp;" - "&amp;(IF($C1226="","Commercial",$C1226))),Variables!$B$1:$D$1,0),1))*IFERROR(IF(AB1226="","",(AVERAGE(E1226:F1226)-AB1226)-Variables!$B$14),"")/365)+(L1226/16.67*INDEX(Variables!$B$8:$D$8,IFERROR(MATCH(IF($B1226="Robusta","Robusta",(IF($B1226="","Arabica",$B1226))&amp;" - "&amp;(IF($C1226="","Commercial",$C1226))),Variables!$B$1:$D$1,0),1))*IFERROR(IF(AB1226="","",(AVERAGE(E1226:F1226)-AB1226)-Variables!$B$14),""))+(W1226*INDEX(Variables!$B$9:$D$9,IFERROR(MATCH(IF($B1226="Robusta","Robusta",(IF($B1226="","Arabica",$B1226))&amp;" - "&amp;(IF($C1226="","Commercial",$C1226))),Variables!$B$1:$D$1,0),1))*IFERROR(IF(AB1226="","",(AVERAGE(E1226:F1226)-AB1226)-Variables!$B$14),"")/365),""))</f>
        <v>920.23797193416635</v>
      </c>
      <c r="BH1226" s="44">
        <f>IF($AX1226="Cancelled","",IFERROR((W1226*INDEX(Variables!$B$7:$D$7,IFERROR(MATCH(IF($B1226="Robusta","Robusta",(IF($B1226="","Arabica",$B1226))&amp;" - "&amp;(IF($C1226="","Commercial",$C1226))),Variables!$B$1:$D$1,0),1))*AK1226/365)+(L1226/16.67*INDEX(Variables!$B$8:$D$8,IFERROR(MATCH(IF($B1226="Robusta","Robusta",(IF($B1226="","Arabica",$B1226))&amp;" - "&amp;(IF($C1226="","Commercial",$C1226))),Variables!$B$1:$D$1,0),1))*AK1226)+(W1226*INDEX(Variables!$B$9:$D$9,IFERROR(MATCH(IF($B1226="Robusta","Robusta",(IF($B1226="","Arabica",$B1226))&amp;" - "&amp;(IF($C1226="","Commercial",$C1226))),Variables!$B$1:$D$1,0),1))*AK1226/365),""))</f>
        <v>2208.5711326419996</v>
      </c>
      <c r="BI1226" s="44">
        <f>IF($AX1226="Cancelled","",IFERROR((W1226*INDEX(Variables!$B$7:$D$7,IFERROR(MATCH(IF($B1226="Robusta","Robusta",(IF($B1226="","Arabica",$B1226))&amp;" - "&amp;(IF($C1226="","Commercial",$C1226))),Variables!$B$1:$D$1,0),1))*BD1226/365)+(L1226/16.67*INDEX(Variables!$B$8:$D$8,IFERROR(MATCH(IF($B1226="Robusta","Robusta",(IF($B1226="","Arabica",$B1226))&amp;" - "&amp;(IF($C1226="","Commercial",$C1226))),Variables!$B$1:$D$1,0),1))*BD1226)+(W1226*INDEX(Variables!$B$9:$D$9,IFERROR(MATCH(IF($B1226="Robusta","Robusta",(IF($B1226="","Arabica",$B1226))&amp;" - "&amp;(IF($C1226="","Commercial",$C1226))),Variables!$B$1:$D$1,0),1))*BD1226/365),""))</f>
        <v>-184.04759438683328</v>
      </c>
      <c r="BJ1226" s="44">
        <f t="shared" si="60"/>
        <v>10</v>
      </c>
      <c r="BK1226" s="44">
        <f>IF($AX1226="Cancelled","",IFERROR(IF(BJ1226="","",(W1226*INDEX(Variables!$B$7:$D$7,IFERROR(MATCH(IF($B1226="Robusta","Robusta",(IF($B1226="","Arabica",$B1226))&amp;" - "&amp;(IF($C1226="","Commercial",$C1226))),Variables!$B$1:$D$1,0),1))*(BJ1226/365))+(W1226*INDEX(Variables!$B$9:$D$9,IFERROR(MATCH(IF($B1226="Robusta","Robusta",(IF($B1226="","Arabica",$B1226))&amp;" - "&amp;(IF($C1226="","Commercial",$C1226))),Variables!$B$1:$D$1,0),1))*(BJ1226/365))+(INDEX(Variables!$B$8:$D$8,IFERROR(MATCH(IF($B1226="Robusta","Robusta",(IF($B1226="","Arabica",$B1226))&amp;" - "&amp;(IF($C1226="","Commercial",$C1226))),Variables!$B$1:$D$1,0),1))*L1226/16.67)),""))</f>
        <v>1192.4759438683325</v>
      </c>
    </row>
    <row r="1227" spans="1:63">
      <c r="A1227" s="13" t="s">
        <v>103</v>
      </c>
      <c r="B1227" s="13" t="s">
        <v>104</v>
      </c>
      <c r="C1227" s="13" t="s">
        <v>105</v>
      </c>
      <c r="D1227" s="31">
        <v>46260</v>
      </c>
      <c r="E1227" s="31">
        <v>46327</v>
      </c>
      <c r="F1227" s="31">
        <v>46356</v>
      </c>
      <c r="G1227" s="13">
        <v>3787687</v>
      </c>
      <c r="J1227" s="13" t="s">
        <v>118</v>
      </c>
      <c r="K1227" s="13">
        <v>5672</v>
      </c>
      <c r="L1227" s="13">
        <v>1440</v>
      </c>
      <c r="M1227" s="13">
        <v>4</v>
      </c>
      <c r="N1227" s="13" t="s">
        <v>3001</v>
      </c>
      <c r="O1227" s="13" t="s">
        <v>179</v>
      </c>
      <c r="P1227" s="13">
        <v>10110</v>
      </c>
      <c r="Q1227" s="13" t="s">
        <v>1461</v>
      </c>
      <c r="R1227" s="13" t="s">
        <v>122</v>
      </c>
      <c r="V1227" s="23">
        <v>38</v>
      </c>
      <c r="W1227" s="44">
        <f>IF($AX1227="Cancelled","",IFERROR(((V1227+INDEX(Variables!$B$6:$D$6,IFERROR(MATCH(IF($B1227="Robusta","Robusta",(IF($B1227="","Arabica",$B1227))&amp;" - "&amp;(IF($C1227="","Commercial",$C1227))),Variables!$B$1:$D$1,0),1)))*22.0462)*(L1227/16.67),""))</f>
        <v>626170.27032993396</v>
      </c>
      <c r="X1227" s="55" t="s">
        <v>37</v>
      </c>
      <c r="Y1227" s="13" t="str">
        <f>IF($AX1227="Cancelled","",IF(X1227="","",IFERROR(IF(INDEX(Variables!$B$38:$B$47,MATCH(X1227,Variables!$A$38:$A$47,0))="Yes","Yes","No"),"No")))</f>
        <v>Yes</v>
      </c>
      <c r="Z1227" s="58">
        <v>46266</v>
      </c>
      <c r="AB1227" s="31">
        <v>46276</v>
      </c>
      <c r="AC1227" s="13" t="str">
        <f t="shared" si="59"/>
        <v>Approved</v>
      </c>
      <c r="AF1227" s="71">
        <v>46314</v>
      </c>
      <c r="AG1227" s="37">
        <f>IF($AX1227="Cancelled","",IFERROR(IF(F1227="","",F1227-Variables!$B$13),""))</f>
        <v>46341</v>
      </c>
      <c r="AH1227" s="13">
        <f>IF($AX1227="Cancelled","",IFERROR(IF(AB1227="","",(AVERAGE(E1227:F1227)-AB1227)-Variables!$B$14),""))</f>
        <v>35.5</v>
      </c>
      <c r="AJ1227" s="47">
        <v>46316</v>
      </c>
      <c r="AK1227" s="14">
        <f>IF($AX1227="Cancelled","",IFERROR(IF(AJ1227="","",IF(AND(AB1227="",AF1227=""),"",IF(AF1227&gt;AB1227,AF1227+Variables!$B$15+Variables!$B$16+Variables!$B$17-AJ1227,AB1227+Variables!$B$16+Variables!$B$17-AJ1227))),""))</f>
        <v>13</v>
      </c>
      <c r="AM1227" s="13" t="e">
        <v>#REF!</v>
      </c>
      <c r="AN1227" s="13">
        <v>0</v>
      </c>
      <c r="AP1227" s="39"/>
      <c r="AR1227" s="13" t="e">
        <v>#REF!</v>
      </c>
      <c r="AV1227" s="13" t="e">
        <v>#REF!</v>
      </c>
      <c r="AX1227" s="13" t="str">
        <f>IF(ISNUMBER(SEARCH("cancel",#REF!)),"Cancelled",IF(AND(AS1227&lt;&gt;"",AU1227&lt;&gt;"",AW1227&lt;&gt;""),"Closed","Open"))</f>
        <v>Open</v>
      </c>
      <c r="AY1227" s="25" t="str">
        <f t="shared" si="58"/>
        <v>No sailing date and No shipping advice sent and No docs dispatch date</v>
      </c>
      <c r="BD1227" s="13" t="str">
        <f>IF($AX1227="Cancelled","",IFERROR(IF(OR(AS1227="",AJ1227=""),"",(AJ1227+Variables!$B$18-AS1227)),""))</f>
        <v/>
      </c>
      <c r="BE1227" s="13" t="str">
        <f>IF($AX1227="Cancelled","",IFERROR(IF(OR(AW1227="",AS1227=""),"",(AS1227+Variables!$B$19)-AW1227),""))</f>
        <v/>
      </c>
      <c r="BF1227" s="44" t="str">
        <f>IF($AX1227="Cancelled","",IFERROR(W1227*INDEX(Variables!$B$7:$D$7,IFERROR(MATCH(IF($B1227="Robusta","Robusta",(IF($B1227="","Arabica",$B1227))&amp;" - "&amp;(IF($C1227="","Commercial",$C1227))),Variables!$B$1:$D$1,0),1))*(BE1227/365),""))</f>
        <v/>
      </c>
      <c r="BG1227" s="44">
        <f>IF($AX1227="Cancelled","",IFERROR((W1227*INDEX(Variables!$B$7:$D$7,IFERROR(MATCH(IF($B1227="Robusta","Robusta",(IF($B1227="","Arabica",$B1227))&amp;" - "&amp;(IF($C1227="","Commercial",$C1227))),Variables!$B$1:$D$1,0),1))*IFERROR(IF(AB1227="","",(AVERAGE(E1227:F1227)-AB1227)-Variables!$B$14),"")/365)+(L1227/16.67*INDEX(Variables!$B$8:$D$8,IFERROR(MATCH(IF($B1227="Robusta","Robusta",(IF($B1227="","Arabica",$B1227))&amp;" - "&amp;(IF($C1227="","Commercial",$C1227))),Variables!$B$1:$D$1,0),1))*IFERROR(IF(AB1227="","",(AVERAGE(E1227:F1227)-AB1227)-Variables!$B$14),""))+(W1227*INDEX(Variables!$B$9:$D$9,IFERROR(MATCH(IF($B1227="Robusta","Robusta",(IF($B1227="","Arabica",$B1227))&amp;" - "&amp;(IF($C1227="","Commercial",$C1227))),Variables!$B$1:$D$1,0),1))*IFERROR(IF(AB1227="","",(AVERAGE(E1227:F1227)-AB1227)-Variables!$B$14),"")/365),""))</f>
        <v>6533.6896007325813</v>
      </c>
      <c r="BH1227" s="44">
        <f>IF($AX1227="Cancelled","",IFERROR((W1227*INDEX(Variables!$B$7:$D$7,IFERROR(MATCH(IF($B1227="Robusta","Robusta",(IF($B1227="","Arabica",$B1227))&amp;" - "&amp;(IF($C1227="","Commercial",$C1227))),Variables!$B$1:$D$1,0),1))*AK1227/365)+(L1227/16.67*INDEX(Variables!$B$8:$D$8,IFERROR(MATCH(IF($B1227="Robusta","Robusta",(IF($B1227="","Arabica",$B1227))&amp;" - "&amp;(IF($C1227="","Commercial",$C1227))),Variables!$B$1:$D$1,0),1))*AK1227)+(W1227*INDEX(Variables!$B$9:$D$9,IFERROR(MATCH(IF($B1227="Robusta","Robusta",(IF($B1227="","Arabica",$B1227))&amp;" - "&amp;(IF($C1227="","Commercial",$C1227))),Variables!$B$1:$D$1,0),1))*AK1227/365),""))</f>
        <v>2392.6187270288324</v>
      </c>
      <c r="BI1227" s="44" t="str">
        <f>IF($AX1227="Cancelled","",IFERROR((W1227*INDEX(Variables!$B$7:$D$7,IFERROR(MATCH(IF($B1227="Robusta","Robusta",(IF($B1227="","Arabica",$B1227))&amp;" - "&amp;(IF($C1227="","Commercial",$C1227))),Variables!$B$1:$D$1,0),1))*BD1227/365)+(L1227/16.67*INDEX(Variables!$B$8:$D$8,IFERROR(MATCH(IF($B1227="Robusta","Robusta",(IF($B1227="","Arabica",$B1227))&amp;" - "&amp;(IF($C1227="","Commercial",$C1227))),Variables!$B$1:$D$1,0),1))*BD1227)+(W1227*INDEX(Variables!$B$9:$D$9,IFERROR(MATCH(IF($B1227="Robusta","Robusta",(IF($B1227="","Arabica",$B1227))&amp;" - "&amp;(IF($C1227="","Commercial",$C1227))),Variables!$B$1:$D$1,0),1))*BD1227/365),""))</f>
        <v/>
      </c>
      <c r="BJ1227" s="44" t="str">
        <f t="shared" si="60"/>
        <v/>
      </c>
      <c r="BK1227" s="44" t="str">
        <f>IF($AX1227="Cancelled","",IFERROR(IF(BJ1227="","",(W1227*INDEX(Variables!$B$7:$D$7,IFERROR(MATCH(IF($B1227="Robusta","Robusta",(IF($B1227="","Arabica",$B1227))&amp;" - "&amp;(IF($C1227="","Commercial",$C1227))),Variables!$B$1:$D$1,0),1))*(BJ1227/365))+(W1227*INDEX(Variables!$B$9:$D$9,IFERROR(MATCH(IF($B1227="Robusta","Robusta",(IF($B1227="","Arabica",$B1227))&amp;" - "&amp;(IF($C1227="","Commercial",$C1227))),Variables!$B$1:$D$1,0),1))*(BJ1227/365))+(INDEX(Variables!$B$8:$D$8,IFERROR(MATCH(IF($B1227="Robusta","Robusta",(IF($B1227="","Arabica",$B1227))&amp;" - "&amp;(IF($C1227="","Commercial",$C1227))),Variables!$B$1:$D$1,0),1))*L1227/16.67)),""))</f>
        <v/>
      </c>
    </row>
    <row r="1228" spans="1:63" s="33" customFormat="1">
      <c r="A1228" s="33" t="s">
        <v>103</v>
      </c>
      <c r="B1228" s="13" t="s">
        <v>104</v>
      </c>
      <c r="C1228" s="13" t="s">
        <v>105</v>
      </c>
      <c r="D1228" s="31">
        <v>46261</v>
      </c>
      <c r="E1228" s="31">
        <v>46266</v>
      </c>
      <c r="F1228" s="31">
        <v>46295</v>
      </c>
      <c r="G1228" s="33">
        <v>3787688</v>
      </c>
      <c r="H1228" s="13"/>
      <c r="I1228" s="13"/>
      <c r="J1228" s="13" t="s">
        <v>236</v>
      </c>
      <c r="K1228" s="13">
        <v>5649</v>
      </c>
      <c r="L1228" s="13">
        <v>320</v>
      </c>
      <c r="M1228" s="13">
        <v>1</v>
      </c>
      <c r="N1228" s="13" t="s">
        <v>3003</v>
      </c>
      <c r="O1228" s="13" t="s">
        <v>179</v>
      </c>
      <c r="P1228" s="13">
        <v>10110</v>
      </c>
      <c r="Q1228" s="13"/>
      <c r="R1228" s="13" t="s">
        <v>239</v>
      </c>
      <c r="S1228" s="13" t="s">
        <v>180</v>
      </c>
      <c r="T1228" s="13" t="s">
        <v>253</v>
      </c>
      <c r="U1228" s="13" t="s">
        <v>182</v>
      </c>
      <c r="V1228" s="23">
        <v>36</v>
      </c>
      <c r="W1228" s="44">
        <f>IF($AX1228="Cancelled","",IFERROR(((V1228+INDEX(Variables!$B$6:$D$6,IFERROR(MATCH(IF($B1228="Robusta","Robusta",(IF($B1228="","Arabica",$B1228))&amp;" - "&amp;(IF($C1228="","Commercial",$C1228))),Variables!$B$1:$D$1,0),1)))*22.0462)*(L1228/16.67),""))</f>
        <v>138302.54416316736</v>
      </c>
      <c r="X1228" s="55" t="s">
        <v>37</v>
      </c>
      <c r="Y1228" s="13" t="str">
        <f>IF($AX1228="Cancelled","",IF(X1228="","",IFERROR(IF(INDEX(Variables!$B$38:$B$47,MATCH(X1228,Variables!$A$38:$A$47,0))="Yes","Yes","No"),"No")))</f>
        <v>Yes</v>
      </c>
      <c r="Z1228" s="58">
        <v>46266</v>
      </c>
      <c r="AA1228" s="13"/>
      <c r="AB1228" s="31">
        <v>46279</v>
      </c>
      <c r="AC1228" s="13" t="str">
        <f t="shared" si="59"/>
        <v>Approved</v>
      </c>
      <c r="AD1228" s="31">
        <v>46272</v>
      </c>
      <c r="AE1228" s="31"/>
      <c r="AF1228" s="71">
        <v>46286</v>
      </c>
      <c r="AG1228" s="37">
        <f>IF($AX1228="Cancelled","",IFERROR(IF(F1228="","",F1228-Variables!$B$13),""))</f>
        <v>46280</v>
      </c>
      <c r="AH1228" s="13">
        <f>IF($AX1228="Cancelled","",IFERROR(IF(AB1228="","",(AVERAGE(E1228:F1228)-AB1228)-Variables!$B$14),""))</f>
        <v>-28.5</v>
      </c>
      <c r="AI1228" s="13"/>
      <c r="AJ1228" s="47">
        <v>46287</v>
      </c>
      <c r="AK1228" s="14">
        <f>IF($AX1228="Cancelled","",IFERROR(IF(AJ1228="","",IF(AND(AB1228="",AF1228=""),"",IF(AF1228&gt;AB1228,AF1228+Variables!$B$15+Variables!$B$16+Variables!$B$17-AJ1228,AB1228+Variables!$B$16+Variables!$B$17-AJ1228))),""))</f>
        <v>14</v>
      </c>
      <c r="AL1228" s="48" t="s">
        <v>114</v>
      </c>
      <c r="AM1228" s="33" t="s">
        <v>168</v>
      </c>
      <c r="AN1228" s="33" t="s">
        <v>3004</v>
      </c>
      <c r="AO1228" s="39">
        <v>46318</v>
      </c>
      <c r="AP1228" s="39">
        <v>46298</v>
      </c>
      <c r="AQ1228" s="39">
        <v>46322</v>
      </c>
      <c r="AR1228" s="33" t="s">
        <v>3005</v>
      </c>
      <c r="AS1228" s="39">
        <v>46299</v>
      </c>
      <c r="AT1228" s="39"/>
      <c r="AU1228" s="39">
        <v>46316</v>
      </c>
      <c r="AV1228" s="33" t="s">
        <v>865</v>
      </c>
      <c r="AW1228" s="39">
        <v>46314</v>
      </c>
      <c r="AX1228" s="33" t="str">
        <f>IF(ISNUMBER(SEARCH("cancel",#REF!)),"Cancelled",IF(AND(AS1228&lt;&gt;"",AU1228&lt;&gt;"",AW1228&lt;&gt;""),"Closed","Open"))</f>
        <v>Closed</v>
      </c>
      <c r="AY1228" s="25" t="str">
        <f t="shared" si="58"/>
        <v>All dates received</v>
      </c>
      <c r="AZ1228" s="13" t="s">
        <v>3053</v>
      </c>
      <c r="BA1228" s="13" t="s">
        <v>3048</v>
      </c>
      <c r="BB1228" s="13" t="s">
        <v>3049</v>
      </c>
      <c r="BC1228" s="33" t="s">
        <v>3048</v>
      </c>
      <c r="BD1228" s="33">
        <f>IF($AX1228="Cancelled","",IFERROR(IF(OR(AS1228="",AJ1228=""),"",(AJ1228+Variables!$B$18-AS1228)),""))</f>
        <v>3</v>
      </c>
      <c r="BE1228" s="33">
        <f>IF($AX1228="Cancelled","",IFERROR(IF(OR(AW1228="",AS1228=""),"",(AS1228+Variables!$B$19)-AW1228),""))</f>
        <v>-10</v>
      </c>
      <c r="BF1228" s="43">
        <f>IF($AX1228="Cancelled","",IFERROR(W1228*INDEX(Variables!$B$7:$D$7,IFERROR(MATCH(IF($B1228="Robusta","Robusta",(IF($B1228="","Arabica",$B1228))&amp;" - "&amp;(IF($C1228="","Commercial",$C1228))),Variables!$B$1:$D$1,0),1))*(BE1228/365),""))</f>
        <v>-244.33020036269016</v>
      </c>
      <c r="BG1228" s="43">
        <f>IF($AX1228="Cancelled","",IFERROR((W1228*INDEX(Variables!$B$7:$D$7,IFERROR(MATCH(IF($B1228="Robusta","Robusta",(IF($B1228="","Arabica",$B1228))&amp;" - "&amp;(IF($C1228="","Commercial",$C1228))),Variables!$B$1:$D$1,0),1))*IFERROR(IF(AB1228="","",(AVERAGE(E1228:F1228)-AB1228)-Variables!$B$14),"")/365)+(L1228/16.67*INDEX(Variables!$B$8:$D$8,IFERROR(MATCH(IF($B1228="Robusta","Robusta",(IF($B1228="","Arabica",$B1228))&amp;" - "&amp;(IF($C1228="","Commercial",$C1228))),Variables!$B$1:$D$1,0),1))*IFERROR(IF(AB1228="","",(AVERAGE(E1228:F1228)-AB1228)-Variables!$B$14),""))+(W1228*INDEX(Variables!$B$9:$D$9,IFERROR(MATCH(IF($B1228="Robusta","Robusta",(IF($B1228="","Arabica",$B1228))&amp;" - "&amp;(IF($C1228="","Commercial",$C1228))),Variables!$B$1:$D$1,0),1))*IFERROR(IF(AB1228="","",(AVERAGE(E1228:F1228)-AB1228)-Variables!$B$14),"")/365),""))</f>
        <v>-1161.3182512841902</v>
      </c>
      <c r="BH1228" s="43">
        <f>IF($AX1228="Cancelled","",IFERROR((W1228*INDEX(Variables!$B$7:$D$7,IFERROR(MATCH(IF($B1228="Robusta","Robusta",(IF($B1228="","Arabica",$B1228))&amp;" - "&amp;(IF($C1228="","Commercial",$C1228))),Variables!$B$1:$D$1,0),1))*AK1228/365)+(L1228/16.67*INDEX(Variables!$B$8:$D$8,IFERROR(MATCH(IF($B1228="Robusta","Robusta",(IF($B1228="","Arabica",$B1228))&amp;" - "&amp;(IF($C1228="","Commercial",$C1228))),Variables!$B$1:$D$1,0),1))*AK1228)+(W1228*INDEX(Variables!$B$9:$D$9,IFERROR(MATCH(IF($B1228="Robusta","Robusta",(IF($B1228="","Arabica",$B1228))&amp;" - "&amp;(IF($C1228="","Commercial",$C1228))),Variables!$B$1:$D$1,0),1))*AK1228/365),""))</f>
        <v>570.47212343784781</v>
      </c>
      <c r="BI1228" s="43">
        <f>IF($AX1228="Cancelled","",IFERROR((W1228*INDEX(Variables!$B$7:$D$7,IFERROR(MATCH(IF($B1228="Robusta","Robusta",(IF($B1228="","Arabica",$B1228))&amp;" - "&amp;(IF($C1228="","Commercial",$C1228))),Variables!$B$1:$D$1,0),1))*BD1228/365)+(L1228/16.67*INDEX(Variables!$B$8:$D$8,IFERROR(MATCH(IF($B1228="Robusta","Robusta",(IF($B1228="","Arabica",$B1228))&amp;" - "&amp;(IF($C1228="","Commercial",$C1228))),Variables!$B$1:$D$1,0),1))*BD1228)+(W1228*INDEX(Variables!$B$9:$D$9,IFERROR(MATCH(IF($B1228="Robusta","Robusta",(IF($B1228="","Arabica",$B1228))&amp;" - "&amp;(IF($C1228="","Commercial",$C1228))),Variables!$B$1:$D$1,0),1))*BD1228/365),""))</f>
        <v>122.24402645096738</v>
      </c>
      <c r="BJ1228" s="43">
        <f t="shared" si="60"/>
        <v>-4</v>
      </c>
      <c r="BK1228" s="43">
        <f>IF($AX1228="Cancelled","",IFERROR(IF(BJ1228="","",(W1228*INDEX(Variables!$B$7:$D$7,IFERROR(MATCH(IF($B1228="Robusta","Robusta",(IF($B1228="","Arabica",$B1228))&amp;" - "&amp;(IF($C1228="","Commercial",$C1228))),Variables!$B$1:$D$1,0),1))*(BJ1228/365))+(W1228*INDEX(Variables!$B$9:$D$9,IFERROR(MATCH(IF($B1228="Robusta","Robusta",(IF($B1228="","Arabica",$B1228))&amp;" - "&amp;(IF($C1228="","Commercial",$C1228))),Variables!$B$1:$D$1,0),1))*(BJ1228/365))+(INDEX(Variables!$B$8:$D$8,IFERROR(MATCH(IF($B1228="Robusta","Robusta",(IF($B1228="","Arabica",$B1228))&amp;" - "&amp;(IF($C1228="","Commercial",$C1228))),Variables!$B$1:$D$1,0),1))*L1228/16.67)),""))</f>
        <v>-82.992035267956524</v>
      </c>
    </row>
    <row r="1229" spans="1:63">
      <c r="A1229" s="13" t="s">
        <v>103</v>
      </c>
      <c r="B1229" s="13" t="s">
        <v>104</v>
      </c>
      <c r="C1229" s="13" t="s">
        <v>105</v>
      </c>
      <c r="D1229" s="31">
        <v>46262</v>
      </c>
      <c r="E1229" s="31">
        <v>46296</v>
      </c>
      <c r="F1229" s="31">
        <v>46326</v>
      </c>
      <c r="G1229" s="13">
        <v>3787689</v>
      </c>
      <c r="J1229" s="13" t="s">
        <v>118</v>
      </c>
      <c r="K1229" s="13">
        <v>5653</v>
      </c>
      <c r="L1229" s="13">
        <v>360</v>
      </c>
      <c r="M1229" s="13">
        <v>1</v>
      </c>
      <c r="N1229" s="13" t="s">
        <v>3006</v>
      </c>
      <c r="O1229" s="13" t="s">
        <v>1095</v>
      </c>
      <c r="P1229" s="13">
        <v>10120</v>
      </c>
      <c r="Q1229" s="13" t="s">
        <v>121</v>
      </c>
      <c r="R1229" s="13" t="s">
        <v>122</v>
      </c>
      <c r="S1229" s="13" t="s">
        <v>1147</v>
      </c>
      <c r="T1229" s="13" t="s">
        <v>133</v>
      </c>
      <c r="U1229" s="13" t="s">
        <v>125</v>
      </c>
      <c r="V1229" s="23">
        <v>-29</v>
      </c>
      <c r="W1229" s="44">
        <f>IF($AX1229="Cancelled","",IFERROR(((V1229+INDEX(Variables!$B$6:$D$6,IFERROR(MATCH(IF($B1229="Robusta","Robusta",(IF($B1229="","Arabica",$B1229))&amp;" - "&amp;(IF($C1229="","Commercial",$C1229))),Variables!$B$1:$D$1,0),1)))*22.0462)*(L1229/16.67),""))</f>
        <v>124643.68671865627</v>
      </c>
      <c r="X1229" s="55" t="s">
        <v>37</v>
      </c>
      <c r="Y1229" s="13" t="str">
        <f>IF($AX1229="Cancelled","",IF(X1229="","",IFERROR(IF(INDEX(Variables!$B$38:$B$47,MATCH(X1229,Variables!$A$38:$A$47,0))="Yes","Yes","No"),"No")))</f>
        <v>Yes</v>
      </c>
      <c r="Z1229" s="58">
        <v>46266</v>
      </c>
      <c r="AB1229" s="31">
        <v>46274</v>
      </c>
      <c r="AC1229" s="13" t="str">
        <f t="shared" si="59"/>
        <v>Approved</v>
      </c>
      <c r="AD1229" s="31">
        <v>46268</v>
      </c>
      <c r="AF1229" s="71">
        <v>46283</v>
      </c>
      <c r="AG1229" s="37">
        <f>IF($AX1229="Cancelled","",IFERROR(IF(F1229="","",F1229-Variables!$B$13),""))</f>
        <v>46311</v>
      </c>
      <c r="AH1229" s="13">
        <f>IF($AX1229="Cancelled","",IFERROR(IF(AB1229="","",(AVERAGE(E1229:F1229)-AB1229)-Variables!$B$14),""))</f>
        <v>7</v>
      </c>
      <c r="AJ1229" s="47">
        <v>46286</v>
      </c>
      <c r="AK1229" s="14">
        <f>IF($AX1229="Cancelled","",IFERROR(IF(AJ1229="","",IF(AND(AB1229="",AF1229=""),"",IF(AF1229&gt;AB1229,AF1229+Variables!$B$15+Variables!$B$16+Variables!$B$17-AJ1229,AB1229+Variables!$B$16+Variables!$B$17-AJ1229))),""))</f>
        <v>12</v>
      </c>
      <c r="AL1229" s="48" t="s">
        <v>114</v>
      </c>
      <c r="AM1229" s="13" t="s">
        <v>115</v>
      </c>
      <c r="AN1229" s="13" t="s">
        <v>3287</v>
      </c>
      <c r="AP1229" s="39">
        <v>46297</v>
      </c>
      <c r="AR1229" s="13">
        <v>277112791</v>
      </c>
      <c r="AS1229" s="31">
        <v>46297</v>
      </c>
      <c r="AU1229" s="31">
        <v>46297</v>
      </c>
      <c r="AV1229" s="13" t="s">
        <v>865</v>
      </c>
      <c r="AW1229" s="31">
        <v>46297</v>
      </c>
      <c r="AX1229" s="13" t="str">
        <f>IF(ISNUMBER(SEARCH("cancel",#REF!)),"Cancelled",IF(AND(AS1229&lt;&gt;"",AU1229&lt;&gt;"",AW1229&lt;&gt;""),"Closed","Open"))</f>
        <v>Closed</v>
      </c>
      <c r="AY1229" s="25" t="str">
        <f t="shared" si="58"/>
        <v>All dates received</v>
      </c>
      <c r="BD1229" s="13">
        <f>IF($AX1229="Cancelled","",IFERROR(IF(OR(AS1229="",AJ1229=""),"",(AJ1229+Variables!$B$18-AS1229)),""))</f>
        <v>4</v>
      </c>
      <c r="BE1229" s="13">
        <f>IF($AX1229="Cancelled","",IFERROR(IF(OR(AW1229="",AS1229=""),"",(AS1229+Variables!$B$19)-AW1229),""))</f>
        <v>5</v>
      </c>
      <c r="BF1229" s="44">
        <f>IF($AX1229="Cancelled","",IFERROR(W1229*INDEX(Variables!$B$7:$D$7,IFERROR(MATCH(IF($B1229="Robusta","Robusta",(IF($B1229="","Arabica",$B1229))&amp;" - "&amp;(IF($C1229="","Commercial",$C1229))),Variables!$B$1:$D$1,0),1))*(BE1229/365),""))</f>
        <v>110.09998816068133</v>
      </c>
      <c r="BG1229" s="44">
        <f>IF($AX1229="Cancelled","",IFERROR((W1229*INDEX(Variables!$B$7:$D$7,IFERROR(MATCH(IF($B1229="Robusta","Robusta",(IF($B1229="","Arabica",$B1229))&amp;" - "&amp;(IF($C1229="","Commercial",$C1229))),Variables!$B$1:$D$1,0),1))*IFERROR(IF(AB1229="","",(AVERAGE(E1229:F1229)-AB1229)-Variables!$B$14),"")/365)+(L1229/16.67*INDEX(Variables!$B$8:$D$8,IFERROR(MATCH(IF($B1229="Robusta","Robusta",(IF($B1229="","Arabica",$B1229))&amp;" - "&amp;(IF($C1229="","Commercial",$C1229))),Variables!$B$1:$D$1,0),1))*IFERROR(IF(AB1229="","",(AVERAGE(E1229:F1229)-AB1229)-Variables!$B$14),""))+(W1229*INDEX(Variables!$B$9:$D$9,IFERROR(MATCH(IF($B1229="Robusta","Robusta",(IF($B1229="","Arabica",$B1229))&amp;" - "&amp;(IF($C1229="","Commercial",$C1229))),Variables!$B$1:$D$1,0),1))*IFERROR(IF(AB1229="","",(AVERAGE(E1229:F1229)-AB1229)-Variables!$B$14),"")/365),""))</f>
        <v>282.12714528080198</v>
      </c>
      <c r="BH1229" s="44">
        <f>IF($AX1229="Cancelled","",IFERROR((W1229*INDEX(Variables!$B$7:$D$7,IFERROR(MATCH(IF($B1229="Robusta","Robusta",(IF($B1229="","Arabica",$B1229))&amp;" - "&amp;(IF($C1229="","Commercial",$C1229))),Variables!$B$1:$D$1,0),1))*AK1229/365)+(L1229/16.67*INDEX(Variables!$B$8:$D$8,IFERROR(MATCH(IF($B1229="Robusta","Robusta",(IF($B1229="","Arabica",$B1229))&amp;" - "&amp;(IF($C1229="","Commercial",$C1229))),Variables!$B$1:$D$1,0),1))*AK1229)+(W1229*INDEX(Variables!$B$9:$D$9,IFERROR(MATCH(IF($B1229="Robusta","Robusta",(IF($B1229="","Arabica",$B1229))&amp;" - "&amp;(IF($C1229="","Commercial",$C1229))),Variables!$B$1:$D$1,0),1))*AK1229/365),""))</f>
        <v>483.64653476708907</v>
      </c>
      <c r="BI1229" s="44">
        <f>IF($AX1229="Cancelled","",IFERROR((W1229*INDEX(Variables!$B$7:$D$7,IFERROR(MATCH(IF($B1229="Robusta","Robusta",(IF($B1229="","Arabica",$B1229))&amp;" - "&amp;(IF($C1229="","Commercial",$C1229))),Variables!$B$1:$D$1,0),1))*BD1229/365)+(L1229/16.67*INDEX(Variables!$B$8:$D$8,IFERROR(MATCH(IF($B1229="Robusta","Robusta",(IF($B1229="","Arabica",$B1229))&amp;" - "&amp;(IF($C1229="","Commercial",$C1229))),Variables!$B$1:$D$1,0),1))*BD1229)+(W1229*INDEX(Variables!$B$9:$D$9,IFERROR(MATCH(IF($B1229="Robusta","Robusta",(IF($B1229="","Arabica",$B1229))&amp;" - "&amp;(IF($C1229="","Commercial",$C1229))),Variables!$B$1:$D$1,0),1))*BD1229/365),""))</f>
        <v>161.21551158902966</v>
      </c>
      <c r="BJ1229" s="44">
        <f t="shared" si="60"/>
        <v>29</v>
      </c>
      <c r="BK1229" s="44">
        <f>IF($AX1229="Cancelled","",IFERROR(IF(BJ1229="","",(W1229*INDEX(Variables!$B$7:$D$7,IFERROR(MATCH(IF($B1229="Robusta","Robusta",(IF($B1229="","Arabica",$B1229))&amp;" - "&amp;(IF($C1229="","Commercial",$C1229))),Variables!$B$1:$D$1,0),1))*(BJ1229/365))+(W1229*INDEX(Variables!$B$9:$D$9,IFERROR(MATCH(IF($B1229="Robusta","Robusta",(IF($B1229="","Arabica",$B1229))&amp;" - "&amp;(IF($C1229="","Commercial",$C1229))),Variables!$B$1:$D$1,0),1))*(BJ1229/365))+(INDEX(Variables!$B$8:$D$8,IFERROR(MATCH(IF($B1229="Robusta","Robusta",(IF($B1229="","Arabica",$B1229))&amp;" - "&amp;(IF($C1229="","Commercial",$C1229))),Variables!$B$1:$D$1,0),1))*L1229/16.67)),""))</f>
        <v>664.8124590204651</v>
      </c>
    </row>
    <row r="1230" spans="1:63">
      <c r="A1230" s="13" t="s">
        <v>103</v>
      </c>
      <c r="B1230" s="13" t="s">
        <v>104</v>
      </c>
      <c r="C1230" s="13" t="s">
        <v>105</v>
      </c>
      <c r="D1230" s="31">
        <v>46266</v>
      </c>
      <c r="E1230" s="31">
        <v>46296</v>
      </c>
      <c r="F1230" s="31">
        <v>46326</v>
      </c>
      <c r="G1230" s="13">
        <v>3787690</v>
      </c>
      <c r="J1230" s="13" t="s">
        <v>118</v>
      </c>
      <c r="K1230" s="13">
        <v>5657</v>
      </c>
      <c r="L1230" s="13">
        <v>320</v>
      </c>
      <c r="M1230" s="13">
        <v>1</v>
      </c>
      <c r="N1230" s="13" t="s">
        <v>3007</v>
      </c>
      <c r="O1230" s="13" t="s">
        <v>2973</v>
      </c>
      <c r="P1230" s="13">
        <v>10310</v>
      </c>
      <c r="Q1230" s="59" t="s">
        <v>270</v>
      </c>
      <c r="R1230" s="13" t="s">
        <v>239</v>
      </c>
      <c r="S1230" s="13" t="s">
        <v>429</v>
      </c>
      <c r="T1230" s="13" t="s">
        <v>430</v>
      </c>
      <c r="U1230" s="13" t="s">
        <v>182</v>
      </c>
      <c r="V1230" s="23">
        <v>88</v>
      </c>
      <c r="W1230" s="44">
        <f>IF($AX1230="Cancelled","",IFERROR(((V1230+INDEX(Variables!$B$6:$D$6,IFERROR(MATCH(IF($B1230="Robusta","Robusta",(IF($B1230="","Arabica",$B1230))&amp;" - "&amp;(IF($C1230="","Commercial",$C1230))),Variables!$B$1:$D$1,0),1)))*22.0462)*(L1230/16.67),""))</f>
        <v>160309.06893821232</v>
      </c>
      <c r="X1230" s="55" t="s">
        <v>37</v>
      </c>
      <c r="Y1230" s="13" t="str">
        <f>IF($AX1230="Cancelled","",IF(X1230="","",IFERROR(IF(INDEX(Variables!$B$38:$B$47,MATCH(X1230,Variables!$A$38:$A$47,0))="Yes","Yes","No"),"No")))</f>
        <v>Yes</v>
      </c>
      <c r="Z1230" s="58">
        <v>46269</v>
      </c>
      <c r="AB1230" s="31">
        <v>46279</v>
      </c>
      <c r="AC1230" s="13" t="str">
        <f t="shared" si="59"/>
        <v>Approved</v>
      </c>
      <c r="AD1230" s="31">
        <v>46287</v>
      </c>
      <c r="AF1230" s="71">
        <v>46281</v>
      </c>
      <c r="AG1230" s="37">
        <f>IF($AX1230="Cancelled","",IFERROR(IF(F1230="","",F1230-Variables!$B$13),""))</f>
        <v>46311</v>
      </c>
      <c r="AH1230" s="13">
        <f>IF($AX1230="Cancelled","",IFERROR(IF(AB1230="","",(AVERAGE(E1230:F1230)-AB1230)-Variables!$B$14),""))</f>
        <v>2</v>
      </c>
      <c r="AJ1230" s="47">
        <v>46290</v>
      </c>
      <c r="AK1230" s="14">
        <f>IF($AX1230="Cancelled","",IFERROR(IF(AJ1230="","",IF(AND(AB1230="",AF1230=""),"",IF(AF1230&gt;AB1230,AF1230+Variables!$B$15+Variables!$B$16+Variables!$B$17-AJ1230,AB1230+Variables!$B$16+Variables!$B$17-AJ1230))),""))</f>
        <v>6</v>
      </c>
      <c r="AL1230" s="48" t="s">
        <v>114</v>
      </c>
      <c r="AM1230" s="13" t="s">
        <v>168</v>
      </c>
      <c r="AN1230" s="13" t="s">
        <v>3004</v>
      </c>
      <c r="AO1230" s="31">
        <v>46290</v>
      </c>
      <c r="AP1230" s="39">
        <v>46299</v>
      </c>
      <c r="AQ1230" s="31">
        <v>46323</v>
      </c>
      <c r="AR1230" s="13" t="s">
        <v>3281</v>
      </c>
      <c r="AS1230" s="31">
        <v>46299</v>
      </c>
      <c r="AU1230" s="31">
        <v>46314</v>
      </c>
      <c r="AV1230" s="13" t="s">
        <v>865</v>
      </c>
      <c r="AW1230" s="31">
        <v>46314</v>
      </c>
      <c r="AX1230" s="13" t="str">
        <f>IF(ISNUMBER(SEARCH("cancel",#REF!)),"Cancelled",IF(AND(AS1230&lt;&gt;"",AU1230&lt;&gt;"",AW1230&lt;&gt;""),"Closed","Open"))</f>
        <v>Closed</v>
      </c>
      <c r="AY1230" s="25" t="str">
        <f t="shared" si="58"/>
        <v>All dates received</v>
      </c>
      <c r="BD1230" s="13">
        <f>IF($AX1230="Cancelled","",IFERROR(IF(OR(AS1230="",AJ1230=""),"",(AJ1230+Variables!$B$18-AS1230)),""))</f>
        <v>6</v>
      </c>
      <c r="BE1230" s="13">
        <f>IF($AX1230="Cancelled","",IFERROR(IF(OR(AW1230="",AS1230=""),"",(AS1230+Variables!$B$19)-AW1230),""))</f>
        <v>-10</v>
      </c>
      <c r="BF1230" s="44">
        <f>IF($AX1230="Cancelled","",IFERROR(W1230*INDEX(Variables!$B$7:$D$7,IFERROR(MATCH(IF($B1230="Robusta","Robusta",(IF($B1230="","Arabica",$B1230))&amp;" - "&amp;(IF($C1230="","Commercial",$C1230))),Variables!$B$1:$D$1,0),1))*(BE1230/365),""))</f>
        <v>-283.20771082431764</v>
      </c>
      <c r="BG1230" s="44">
        <f>IF($AX1230="Cancelled","",IFERROR((W1230*INDEX(Variables!$B$7:$D$7,IFERROR(MATCH(IF($B1230="Robusta","Robusta",(IF($B1230="","Arabica",$B1230))&amp;" - "&amp;(IF($C1230="","Commercial",$C1230))),Variables!$B$1:$D$1,0),1))*IFERROR(IF(AB1230="","",(AVERAGE(E1230:F1230)-AB1230)-Variables!$B$14),"")/365)+(L1230/16.67*INDEX(Variables!$B$8:$D$8,IFERROR(MATCH(IF($B1230="Robusta","Robusta",(IF($B1230="","Arabica",$B1230))&amp;" - "&amp;(IF($C1230="","Commercial",$C1230))),Variables!$B$1:$D$1,0),1))*IFERROR(IF(AB1230="","",(AVERAGE(E1230:F1230)-AB1230)-Variables!$B$14),""))+(W1230*INDEX(Variables!$B$9:$D$9,IFERROR(MATCH(IF($B1230="Robusta","Robusta",(IF($B1230="","Arabica",$B1230))&amp;" - "&amp;(IF($C1230="","Commercial",$C1230))),Variables!$B$1:$D$1,0),1))*IFERROR(IF(AB1230="","",(AVERAGE(E1230:F1230)-AB1230)-Variables!$B$14),"")/365),""))</f>
        <v>89.371760953950314</v>
      </c>
      <c r="BH1230" s="44">
        <f>IF($AX1230="Cancelled","",IFERROR((W1230*INDEX(Variables!$B$7:$D$7,IFERROR(MATCH(IF($B1230="Robusta","Robusta",(IF($B1230="","Arabica",$B1230))&amp;" - "&amp;(IF($C1230="","Commercial",$C1230))),Variables!$B$1:$D$1,0),1))*AK1230/365)+(L1230/16.67*INDEX(Variables!$B$8:$D$8,IFERROR(MATCH(IF($B1230="Robusta","Robusta",(IF($B1230="","Arabica",$B1230))&amp;" - "&amp;(IF($C1230="","Commercial",$C1230))),Variables!$B$1:$D$1,0),1))*AK1230)+(W1230*INDEX(Variables!$B$9:$D$9,IFERROR(MATCH(IF($B1230="Robusta","Robusta",(IF($B1230="","Arabica",$B1230))&amp;" - "&amp;(IF($C1230="","Commercial",$C1230))),Variables!$B$1:$D$1,0),1))*AK1230/365),""))</f>
        <v>268.11528286185091</v>
      </c>
      <c r="BI1230" s="44">
        <f>IF($AX1230="Cancelled","",IFERROR((W1230*INDEX(Variables!$B$7:$D$7,IFERROR(MATCH(IF($B1230="Robusta","Robusta",(IF($B1230="","Arabica",$B1230))&amp;" - "&amp;(IF($C1230="","Commercial",$C1230))),Variables!$B$1:$D$1,0),1))*BD1230/365)+(L1230/16.67*INDEX(Variables!$B$8:$D$8,IFERROR(MATCH(IF($B1230="Robusta","Robusta",(IF($B1230="","Arabica",$B1230))&amp;" - "&amp;(IF($C1230="","Commercial",$C1230))),Variables!$B$1:$D$1,0),1))*BD1230)+(W1230*INDEX(Variables!$B$9:$D$9,IFERROR(MATCH(IF($B1230="Robusta","Robusta",(IF($B1230="","Arabica",$B1230))&amp;" - "&amp;(IF($C1230="","Commercial",$C1230))),Variables!$B$1:$D$1,0),1))*BD1230/365),""))</f>
        <v>268.11528286185091</v>
      </c>
      <c r="BJ1230" s="44">
        <f t="shared" si="60"/>
        <v>27</v>
      </c>
      <c r="BK1230" s="44">
        <f>IF($AX1230="Cancelled","",IFERROR(IF(BJ1230="","",(W1230*INDEX(Variables!$B$7:$D$7,IFERROR(MATCH(IF($B1230="Robusta","Robusta",(IF($B1230="","Arabica",$B1230))&amp;" - "&amp;(IF($C1230="","Commercial",$C1230))),Variables!$B$1:$D$1,0),1))*(BJ1230/365))+(W1230*INDEX(Variables!$B$9:$D$9,IFERROR(MATCH(IF($B1230="Robusta","Robusta",(IF($B1230="","Arabica",$B1230))&amp;" - "&amp;(IF($C1230="","Commercial",$C1230))),Variables!$B$1:$D$1,0),1))*(BJ1230/365))+(INDEX(Variables!$B$8:$D$8,IFERROR(MATCH(IF($B1230="Robusta","Robusta",(IF($B1230="","Arabica",$B1230))&amp;" - "&amp;(IF($C1230="","Commercial",$C1230))),Variables!$B$1:$D$1,0),1))*L1230/16.67)),""))</f>
        <v>790.51877287832917</v>
      </c>
    </row>
    <row r="1231" spans="1:63">
      <c r="A1231" s="13" t="s">
        <v>103</v>
      </c>
      <c r="B1231" s="13" t="s">
        <v>104</v>
      </c>
      <c r="C1231" s="13" t="s">
        <v>105</v>
      </c>
      <c r="D1231" s="31">
        <v>46266</v>
      </c>
      <c r="E1231" s="31">
        <v>46296</v>
      </c>
      <c r="F1231" s="31">
        <v>46326</v>
      </c>
      <c r="G1231" s="13">
        <v>3787691</v>
      </c>
      <c r="J1231" s="13" t="s">
        <v>118</v>
      </c>
      <c r="K1231" s="13">
        <v>5659</v>
      </c>
      <c r="L1231" s="13">
        <v>1800</v>
      </c>
      <c r="M1231" s="13">
        <v>5</v>
      </c>
      <c r="N1231" s="13" t="s">
        <v>3008</v>
      </c>
      <c r="O1231" s="13" t="s">
        <v>1095</v>
      </c>
      <c r="P1231" s="13">
        <v>10120</v>
      </c>
      <c r="Q1231" s="13" t="s">
        <v>121</v>
      </c>
      <c r="R1231" s="13" t="s">
        <v>122</v>
      </c>
      <c r="S1231" s="13" t="s">
        <v>1147</v>
      </c>
      <c r="T1231" s="13" t="s">
        <v>133</v>
      </c>
      <c r="U1231" s="13" t="s">
        <v>125</v>
      </c>
      <c r="V1231" s="23">
        <v>-11</v>
      </c>
      <c r="W1231" s="44">
        <f>IF($AX1231="Cancelled","",IFERROR(((V1231+INDEX(Variables!$B$6:$D$6,IFERROR(MATCH(IF($B1231="Robusta","Robusta",(IF($B1231="","Arabica",$B1231))&amp;" - "&amp;(IF($C1231="","Commercial",$C1231))),Variables!$B$1:$D$1,0),1)))*22.0462)*(L1231/16.67),""))</f>
        <v>666067.67654469097</v>
      </c>
      <c r="X1231" s="55" t="s">
        <v>37</v>
      </c>
      <c r="Y1231" s="13" t="str">
        <f>IF($AX1231="Cancelled","",IF(X1231="","",IFERROR(IF(INDEX(Variables!$B$38:$B$47,MATCH(X1231,Variables!$A$38:$A$47,0))="Yes","Yes","No"),"No")))</f>
        <v>Yes</v>
      </c>
      <c r="Z1231" s="58">
        <v>46275</v>
      </c>
      <c r="AB1231" s="31">
        <v>46289</v>
      </c>
      <c r="AC1231" s="13" t="str">
        <f t="shared" si="59"/>
        <v>Approved</v>
      </c>
      <c r="AD1231" s="31">
        <v>46272</v>
      </c>
      <c r="AF1231" s="71">
        <v>46293</v>
      </c>
      <c r="AG1231" s="37">
        <f>IF($AX1231="Cancelled","",IFERROR(IF(F1231="","",F1231-Variables!$B$13),""))</f>
        <v>46311</v>
      </c>
      <c r="AH1231" s="13">
        <f>IF($AX1231="Cancelled","",IFERROR(IF(AB1231="","",(AVERAGE(E1231:F1231)-AB1231)-Variables!$B$14),""))</f>
        <v>-8</v>
      </c>
      <c r="AJ1231" s="47">
        <v>46295</v>
      </c>
      <c r="AK1231" s="14">
        <f>IF($AX1231="Cancelled","",IFERROR(IF(AJ1231="","",IF(AND(AB1231="",AF1231=""),"",IF(AF1231&gt;AB1231,AF1231+Variables!$B$15+Variables!$B$16+Variables!$B$17-AJ1231,AB1231+Variables!$B$16+Variables!$B$17-AJ1231))),""))</f>
        <v>13</v>
      </c>
      <c r="AL1231" s="48" t="s">
        <v>114</v>
      </c>
      <c r="AM1231" s="13" t="s">
        <v>1526</v>
      </c>
      <c r="AN1231" s="13" t="s">
        <v>3285</v>
      </c>
      <c r="AP1231" s="39">
        <v>46309</v>
      </c>
      <c r="AR1231" s="13" t="s">
        <v>3282</v>
      </c>
      <c r="AS1231" s="31">
        <v>46307</v>
      </c>
      <c r="AU1231" s="31">
        <v>46314</v>
      </c>
      <c r="AV1231" s="13" t="s">
        <v>865</v>
      </c>
      <c r="AW1231" s="31">
        <v>46314</v>
      </c>
      <c r="AX1231" s="13" t="str">
        <f>IF(ISNUMBER(SEARCH("cancel",#REF!)),"Cancelled",IF(AND(AS1231&lt;&gt;"",AU1231&lt;&gt;"",AW1231&lt;&gt;""),"Closed","Open"))</f>
        <v>Closed</v>
      </c>
      <c r="AY1231" s="25" t="str">
        <f t="shared" si="58"/>
        <v>All dates received</v>
      </c>
      <c r="BD1231" s="13">
        <f>IF($AX1231="Cancelled","",IFERROR(IF(OR(AS1231="",AJ1231=""),"",(AJ1231+Variables!$B$18-AS1231)),""))</f>
        <v>3</v>
      </c>
      <c r="BE1231" s="13">
        <f>IF($AX1231="Cancelled","",IFERROR(IF(OR(AW1231="",AS1231=""),"",(AS1231+Variables!$B$19)-AW1231),""))</f>
        <v>-2</v>
      </c>
      <c r="BF1231" s="44">
        <f>IF($AX1231="Cancelled","",IFERROR(W1231*INDEX(Variables!$B$7:$D$7,IFERROR(MATCH(IF($B1231="Robusta","Robusta",(IF($B1231="","Arabica",$B1231))&amp;" - "&amp;(IF($C1231="","Commercial",$C1231))),Variables!$B$1:$D$1,0),1))*(BE1231/365),""))</f>
        <v>-235.33977606843874</v>
      </c>
      <c r="BG1231" s="44">
        <f>IF($AX1231="Cancelled","",IFERROR((W1231*INDEX(Variables!$B$7:$D$7,IFERROR(MATCH(IF($B1231="Robusta","Robusta",(IF($B1231="","Arabica",$B1231))&amp;" - "&amp;(IF($C1231="","Commercial",$C1231))),Variables!$B$1:$D$1,0),1))*IFERROR(IF(AB1231="","",(AVERAGE(E1231:F1231)-AB1231)-Variables!$B$14),"")/365)+(L1231/16.67*INDEX(Variables!$B$8:$D$8,IFERROR(MATCH(IF($B1231="Robusta","Robusta",(IF($B1231="","Arabica",$B1231))&amp;" - "&amp;(IF($C1231="","Commercial",$C1231))),Variables!$B$1:$D$1,0),1))*IFERROR(IF(AB1231="","",(AVERAGE(E1231:F1231)-AB1231)-Variables!$B$14),""))+(W1231*INDEX(Variables!$B$9:$D$9,IFERROR(MATCH(IF($B1231="Robusta","Robusta",(IF($B1231="","Arabica",$B1231))&amp;" - "&amp;(IF($C1231="","Commercial",$C1231))),Variables!$B$1:$D$1,0),1))*IFERROR(IF(AB1231="","",(AVERAGE(E1231:F1231)-AB1231)-Variables!$B$14),"")/365),""))</f>
        <v>-1673.495039824694</v>
      </c>
      <c r="BH1231" s="44">
        <f>IF($AX1231="Cancelled","",IFERROR((W1231*INDEX(Variables!$B$7:$D$7,IFERROR(MATCH(IF($B1231="Robusta","Robusta",(IF($B1231="","Arabica",$B1231))&amp;" - "&amp;(IF($C1231="","Commercial",$C1231))),Variables!$B$1:$D$1,0),1))*AK1231/365)+(L1231/16.67*INDEX(Variables!$B$8:$D$8,IFERROR(MATCH(IF($B1231="Robusta","Robusta",(IF($B1231="","Arabica",$B1231))&amp;" - "&amp;(IF($C1231="","Commercial",$C1231))),Variables!$B$1:$D$1,0),1))*AK1231)+(W1231*INDEX(Variables!$B$9:$D$9,IFERROR(MATCH(IF($B1231="Robusta","Robusta",(IF($B1231="","Arabica",$B1231))&amp;" - "&amp;(IF($C1231="","Commercial",$C1231))),Variables!$B$1:$D$1,0),1))*AK1231/365),""))</f>
        <v>2719.4294397151284</v>
      </c>
      <c r="BI1231" s="44">
        <f>IF($AX1231="Cancelled","",IFERROR((W1231*INDEX(Variables!$B$7:$D$7,IFERROR(MATCH(IF($B1231="Robusta","Robusta",(IF($B1231="","Arabica",$B1231))&amp;" - "&amp;(IF($C1231="","Commercial",$C1231))),Variables!$B$1:$D$1,0),1))*BD1231/365)+(L1231/16.67*INDEX(Variables!$B$8:$D$8,IFERROR(MATCH(IF($B1231="Robusta","Robusta",(IF($B1231="","Arabica",$B1231))&amp;" - "&amp;(IF($C1231="","Commercial",$C1231))),Variables!$B$1:$D$1,0),1))*BD1231)+(W1231*INDEX(Variables!$B$9:$D$9,IFERROR(MATCH(IF($B1231="Robusta","Robusta",(IF($B1231="","Arabica",$B1231))&amp;" - "&amp;(IF($C1231="","Commercial",$C1231))),Variables!$B$1:$D$1,0),1))*BD1231/365),""))</f>
        <v>627.56063993426028</v>
      </c>
      <c r="BJ1231" s="44">
        <f t="shared" si="60"/>
        <v>19</v>
      </c>
      <c r="BK1231" s="44">
        <f>IF($AX1231="Cancelled","",IFERROR(IF(BJ1231="","",(W1231*INDEX(Variables!$B$7:$D$7,IFERROR(MATCH(IF($B1231="Robusta","Robusta",(IF($B1231="","Arabica",$B1231))&amp;" - "&amp;(IF($C1231="","Commercial",$C1231))),Variables!$B$1:$D$1,0),1))*(BJ1231/365))+(W1231*INDEX(Variables!$B$9:$D$9,IFERROR(MATCH(IF($B1231="Robusta","Robusta",(IF($B1231="","Arabica",$B1231))&amp;" - "&amp;(IF($C1231="","Commercial",$C1231))),Variables!$B$1:$D$1,0),1))*(BJ1231/365))+(INDEX(Variables!$B$8:$D$8,IFERROR(MATCH(IF($B1231="Robusta","Robusta",(IF($B1231="","Arabica",$B1231))&amp;" - "&amp;(IF($C1231="","Commercial",$C1231))),Variables!$B$1:$D$1,0),1))*L1231/16.67)),""))</f>
        <v>2354.550719583649</v>
      </c>
    </row>
    <row r="1232" spans="1:63">
      <c r="A1232" s="13" t="s">
        <v>103</v>
      </c>
      <c r="B1232" s="13" t="s">
        <v>104</v>
      </c>
      <c r="C1232" s="13" t="s">
        <v>105</v>
      </c>
      <c r="D1232" s="31">
        <v>46266</v>
      </c>
      <c r="E1232" s="31">
        <v>46357</v>
      </c>
      <c r="F1232" s="31">
        <v>46387</v>
      </c>
      <c r="G1232" s="13">
        <v>3787692</v>
      </c>
      <c r="J1232" s="13" t="s">
        <v>118</v>
      </c>
      <c r="L1232" s="13">
        <v>1800</v>
      </c>
      <c r="M1232" s="13">
        <v>5</v>
      </c>
      <c r="N1232" s="13" t="s">
        <v>3009</v>
      </c>
      <c r="O1232" s="13" t="s">
        <v>1095</v>
      </c>
      <c r="P1232" s="13">
        <v>10120</v>
      </c>
      <c r="Q1232" s="13" t="s">
        <v>121</v>
      </c>
      <c r="R1232" s="13" t="s">
        <v>122</v>
      </c>
      <c r="V1232" s="23">
        <v>-14</v>
      </c>
      <c r="W1232" s="44">
        <f>IF($AX1232="Cancelled","",IFERROR(((V1232+INDEX(Variables!$B$6:$D$6,IFERROR(MATCH(IF($B1232="Robusta","Robusta",(IF($B1232="","Arabica",$B1232))&amp;" - "&amp;(IF($C1232="","Commercial",$C1232))),Variables!$B$1:$D$1,0),1)))*22.0462)*(L1232/16.67),""))</f>
        <v>658926.13605278928</v>
      </c>
      <c r="X1232" s="55" t="s">
        <v>37</v>
      </c>
      <c r="Y1232" s="13" t="str">
        <f>IF($AX1232="Cancelled","",IF(X1232="","",IFERROR(IF(INDEX(Variables!$B$38:$B$47,MATCH(X1232,Variables!$A$38:$A$47,0))="Yes","Yes","No"),"No")))</f>
        <v>Yes</v>
      </c>
      <c r="Z1232" s="58">
        <v>46309</v>
      </c>
      <c r="AC1232" s="13" t="str">
        <f t="shared" si="59"/>
        <v/>
      </c>
      <c r="AF1232" s="71"/>
      <c r="AG1232" s="37">
        <f>IF($AX1232="Cancelled","",IFERROR(IF(F1232="","",F1232-Variables!$B$13),""))</f>
        <v>46372</v>
      </c>
      <c r="AH1232" s="13" t="str">
        <f>IF($AX1232="Cancelled","",IFERROR(IF(AB1232="","",(AVERAGE(E1232:F1232)-AB1232)-Variables!$B$14),""))</f>
        <v/>
      </c>
      <c r="AK1232" s="14" t="str">
        <f>IF($AX1232="Cancelled","",IFERROR(IF(AJ1232="","",IF(AND(AB1232="",AF1232=""),"",IF(AF1232&gt;AB1232,AF1232+Variables!$B$15+Variables!$B$16+Variables!$B$17-AJ1232,AB1232+Variables!$B$16+Variables!$B$17-AJ1232))),""))</f>
        <v/>
      </c>
      <c r="AM1232" s="13" t="e">
        <v>#REF!</v>
      </c>
      <c r="AN1232" s="13">
        <v>0</v>
      </c>
      <c r="AP1232" s="39"/>
      <c r="AR1232" s="13" t="e">
        <v>#REF!</v>
      </c>
      <c r="AV1232" s="13" t="e">
        <v>#REF!</v>
      </c>
      <c r="AX1232" s="13" t="str">
        <f>IF(ISNUMBER(SEARCH("cancel",#REF!)),"Cancelled",IF(AND(AS1232&lt;&gt;"",AU1232&lt;&gt;"",AW1232&lt;&gt;""),"Closed","Open"))</f>
        <v>Open</v>
      </c>
      <c r="AY1232" s="25" t="str">
        <f t="shared" si="58"/>
        <v>No sailing date and No shipping advice sent and No docs dispatch date</v>
      </c>
      <c r="BD1232" s="13" t="str">
        <f>IF($AX1232="Cancelled","",IFERROR(IF(OR(AS1232="",AJ1232=""),"",(AJ1232+Variables!$B$18-AS1232)),""))</f>
        <v/>
      </c>
      <c r="BE1232" s="13" t="str">
        <f>IF($AX1232="Cancelled","",IFERROR(IF(OR(AW1232="",AS1232=""),"",(AS1232+Variables!$B$19)-AW1232),""))</f>
        <v/>
      </c>
      <c r="BF1232" s="44" t="str">
        <f>IF($AX1232="Cancelled","",IFERROR(W1232*INDEX(Variables!$B$7:$D$7,IFERROR(MATCH(IF($B1232="Robusta","Robusta",(IF($B1232="","Arabica",$B1232))&amp;" - "&amp;(IF($C1232="","Commercial",$C1232))),Variables!$B$1:$D$1,0),1))*(BE1232/365),""))</f>
        <v/>
      </c>
      <c r="BG1232" s="44" t="str">
        <f>IF($AX1232="Cancelled","",IFERROR((W1232*INDEX(Variables!$B$7:$D$7,IFERROR(MATCH(IF($B1232="Robusta","Robusta",(IF($B1232="","Arabica",$B1232))&amp;" - "&amp;(IF($C1232="","Commercial",$C1232))),Variables!$B$1:$D$1,0),1))*IFERROR(IF(AB1232="","",(AVERAGE(E1232:F1232)-AB1232)-Variables!$B$14),"")/365)+(L1232/16.67*INDEX(Variables!$B$8:$D$8,IFERROR(MATCH(IF($B1232="Robusta","Robusta",(IF($B1232="","Arabica",$B1232))&amp;" - "&amp;(IF($C1232="","Commercial",$C1232))),Variables!$B$1:$D$1,0),1))*IFERROR(IF(AB1232="","",(AVERAGE(E1232:F1232)-AB1232)-Variables!$B$14),""))+(W1232*INDEX(Variables!$B$9:$D$9,IFERROR(MATCH(IF($B1232="Robusta","Robusta",(IF($B1232="","Arabica",$B1232))&amp;" - "&amp;(IF($C1232="","Commercial",$C1232))),Variables!$B$1:$D$1,0),1))*IFERROR(IF(AB1232="","",(AVERAGE(E1232:F1232)-AB1232)-Variables!$B$14),"")/365),""))</f>
        <v/>
      </c>
      <c r="BH1232" s="44" t="str">
        <f>IF($AX1232="Cancelled","",IFERROR((W1232*INDEX(Variables!$B$7:$D$7,IFERROR(MATCH(IF($B1232="Robusta","Robusta",(IF($B1232="","Arabica",$B1232))&amp;" - "&amp;(IF($C1232="","Commercial",$C1232))),Variables!$B$1:$D$1,0),1))*AK1232/365)+(L1232/16.67*INDEX(Variables!$B$8:$D$8,IFERROR(MATCH(IF($B1232="Robusta","Robusta",(IF($B1232="","Arabica",$B1232))&amp;" - "&amp;(IF($C1232="","Commercial",$C1232))),Variables!$B$1:$D$1,0),1))*AK1232)+(W1232*INDEX(Variables!$B$9:$D$9,IFERROR(MATCH(IF($B1232="Robusta","Robusta",(IF($B1232="","Arabica",$B1232))&amp;" - "&amp;(IF($C1232="","Commercial",$C1232))),Variables!$B$1:$D$1,0),1))*AK1232/365),""))</f>
        <v/>
      </c>
      <c r="BI1232" s="44" t="str">
        <f>IF($AX1232="Cancelled","",IFERROR((W1232*INDEX(Variables!$B$7:$D$7,IFERROR(MATCH(IF($B1232="Robusta","Robusta",(IF($B1232="","Arabica",$B1232))&amp;" - "&amp;(IF($C1232="","Commercial",$C1232))),Variables!$B$1:$D$1,0),1))*BD1232/365)+(L1232/16.67*INDEX(Variables!$B$8:$D$8,IFERROR(MATCH(IF($B1232="Robusta","Robusta",(IF($B1232="","Arabica",$B1232))&amp;" - "&amp;(IF($C1232="","Commercial",$C1232))),Variables!$B$1:$D$1,0),1))*BD1232)+(W1232*INDEX(Variables!$B$9:$D$9,IFERROR(MATCH(IF($B1232="Robusta","Robusta",(IF($B1232="","Arabica",$B1232))&amp;" - "&amp;(IF($C1232="","Commercial",$C1232))),Variables!$B$1:$D$1,0),1))*BD1232/365),""))</f>
        <v/>
      </c>
      <c r="BJ1232" s="44" t="str">
        <f t="shared" si="60"/>
        <v/>
      </c>
      <c r="BK1232" s="44" t="str">
        <f>IF($AX1232="Cancelled","",IFERROR(IF(BJ1232="","",(W1232*INDEX(Variables!$B$7:$D$7,IFERROR(MATCH(IF($B1232="Robusta","Robusta",(IF($B1232="","Arabica",$B1232))&amp;" - "&amp;(IF($C1232="","Commercial",$C1232))),Variables!$B$1:$D$1,0),1))*(BJ1232/365))+(W1232*INDEX(Variables!$B$9:$D$9,IFERROR(MATCH(IF($B1232="Robusta","Robusta",(IF($B1232="","Arabica",$B1232))&amp;" - "&amp;(IF($C1232="","Commercial",$C1232))),Variables!$B$1:$D$1,0),1))*(BJ1232/365))+(INDEX(Variables!$B$8:$D$8,IFERROR(MATCH(IF($B1232="Robusta","Robusta",(IF($B1232="","Arabica",$B1232))&amp;" - "&amp;(IF($C1232="","Commercial",$C1232))),Variables!$B$1:$D$1,0),1))*L1232/16.67)),""))</f>
        <v/>
      </c>
    </row>
    <row r="1233" spans="1:63" s="33" customFormat="1">
      <c r="A1233" s="33" t="s">
        <v>103</v>
      </c>
      <c r="B1233" s="13" t="s">
        <v>104</v>
      </c>
      <c r="C1233" s="13" t="s">
        <v>105</v>
      </c>
      <c r="D1233" s="31">
        <v>46267</v>
      </c>
      <c r="E1233" s="31">
        <v>46267</v>
      </c>
      <c r="F1233" s="31">
        <v>46295</v>
      </c>
      <c r="G1233" s="33">
        <v>3787693</v>
      </c>
      <c r="H1233" s="13"/>
      <c r="I1233" s="13"/>
      <c r="J1233" s="13" t="s">
        <v>1220</v>
      </c>
      <c r="K1233" s="13" t="s">
        <v>3010</v>
      </c>
      <c r="L1233" s="13">
        <v>110</v>
      </c>
      <c r="M1233" s="13">
        <v>1</v>
      </c>
      <c r="N1233" s="13" t="s">
        <v>3011</v>
      </c>
      <c r="O1233" s="13" t="s">
        <v>584</v>
      </c>
      <c r="P1233" s="13">
        <v>10040</v>
      </c>
      <c r="Q1233" s="13"/>
      <c r="R1233" s="13" t="s">
        <v>239</v>
      </c>
      <c r="S1233" s="13" t="s">
        <v>288</v>
      </c>
      <c r="T1233" s="13" t="s">
        <v>289</v>
      </c>
      <c r="U1233" s="13" t="s">
        <v>182</v>
      </c>
      <c r="V1233" s="23">
        <v>176</v>
      </c>
      <c r="W1233" s="44">
        <f>IF($AX1233="Cancelled","",IFERROR(((V1233+INDEX(Variables!$B$6:$D$6,IFERROR(MATCH(IF($B1233="Robusta","Robusta",(IF($B1233="","Arabica",$B1233))&amp;" - "&amp;(IF($C1233="","Commercial",$C1233))),Variables!$B$1:$D$1,0),1)))*22.0462)*(L1233/16.67),""))</f>
        <v>67908.115032993388</v>
      </c>
      <c r="X1233" s="55" t="s">
        <v>3012</v>
      </c>
      <c r="Y1233" s="13" t="str">
        <f>IF($AX1233="Cancelled","",IF(X1233="","",IFERROR(IF(INDEX(Variables!$B$38:$B$47,MATCH(X1233,Variables!$A$38:$A$47,0))="Yes","Yes","No"),"No")))</f>
        <v>No</v>
      </c>
      <c r="Z1233" s="31" t="s">
        <v>3012</v>
      </c>
      <c r="AA1233" s="13"/>
      <c r="AB1233" s="31" t="s">
        <v>3012</v>
      </c>
      <c r="AC1233" s="13" t="str">
        <f t="shared" si="59"/>
        <v/>
      </c>
      <c r="AD1233" s="31">
        <v>46280</v>
      </c>
      <c r="AE1233" s="31"/>
      <c r="AF1233" s="71">
        <v>46281</v>
      </c>
      <c r="AG1233" s="37">
        <f>IF($AX1233="Cancelled","",IFERROR(IF(F1233="","",F1233-Variables!$B$13),""))</f>
        <v>46280</v>
      </c>
      <c r="AH1233" s="13" t="str">
        <f>IF($AX1233="Cancelled","",IFERROR(IF(AB1233="","",(AVERAGE(E1233:F1233)-AB1233)-Variables!$B$14),""))</f>
        <v/>
      </c>
      <c r="AI1233" s="13"/>
      <c r="AJ1233" s="47">
        <v>46288</v>
      </c>
      <c r="AK1233" s="14" t="str">
        <f>IF($AX1233="Cancelled","",IFERROR(IF(AJ1233="","",IF(AND(AB1233="",AF1233=""),"",IF(AF1233&gt;AB1233,AF1233+Variables!$B$15+Variables!$B$16+Variables!$B$17-AJ1233,AB1233+Variables!$B$16+Variables!$B$17-AJ1233))),""))</f>
        <v/>
      </c>
      <c r="AL1233" s="48" t="s">
        <v>114</v>
      </c>
      <c r="AM1233" s="33" t="s">
        <v>1482</v>
      </c>
      <c r="AN1233" s="33" t="s">
        <v>3013</v>
      </c>
      <c r="AO1233" s="39">
        <v>46293</v>
      </c>
      <c r="AP1233" s="39">
        <v>46291</v>
      </c>
      <c r="AQ1233" s="39">
        <v>46328</v>
      </c>
      <c r="AR1233" s="33" t="s">
        <v>3014</v>
      </c>
      <c r="AS1233" s="39">
        <v>46299</v>
      </c>
      <c r="AT1233" s="39"/>
      <c r="AU1233" s="39">
        <v>46304</v>
      </c>
      <c r="AV1233" s="33" t="s">
        <v>865</v>
      </c>
      <c r="AW1233" s="39">
        <v>46317</v>
      </c>
      <c r="AX1233" s="33" t="str">
        <f>IF(ISNUMBER(SEARCH("cancel",#REF!)),"Cancelled",IF(AND(AS1233&lt;&gt;"",AU1233&lt;&gt;"",AW1233&lt;&gt;""),"Closed","Open"))</f>
        <v>Closed</v>
      </c>
      <c r="AY1233" s="25" t="str">
        <f t="shared" si="58"/>
        <v>All dates received</v>
      </c>
      <c r="AZ1233" s="13" t="s">
        <v>3053</v>
      </c>
      <c r="BA1233" s="13" t="s">
        <v>3048</v>
      </c>
      <c r="BB1233" s="13" t="s">
        <v>3049</v>
      </c>
      <c r="BC1233" s="33" t="s">
        <v>3048</v>
      </c>
      <c r="BD1233" s="33">
        <f>IF($AX1233="Cancelled","",IFERROR(IF(OR(AS1233="",AJ1233=""),"",(AJ1233+Variables!$B$18-AS1233)),""))</f>
        <v>4</v>
      </c>
      <c r="BE1233" s="33">
        <f>IF($AX1233="Cancelled","",IFERROR(IF(OR(AW1233="",AS1233=""),"",(AS1233+Variables!$B$19)-AW1233),""))</f>
        <v>-13</v>
      </c>
      <c r="BF1233" s="43">
        <f>IF($AX1233="Cancelled","",IFERROR(W1233*INDEX(Variables!$B$7:$D$7,IFERROR(MATCH(IF($B1233="Robusta","Robusta",(IF($B1233="","Arabica",$B1233))&amp;" - "&amp;(IF($C1233="","Commercial",$C1233))),Variables!$B$1:$D$1,0),1))*(BE1233/365),""))</f>
        <v>-155.95956306122281</v>
      </c>
      <c r="BG1233" s="43" t="str">
        <f>IF($AX1233="Cancelled","",IFERROR((W1233*INDEX(Variables!$B$7:$D$7,IFERROR(MATCH(IF($B1233="Robusta","Robusta",(IF($B1233="","Arabica",$B1233))&amp;" - "&amp;(IF($C1233="","Commercial",$C1233))),Variables!$B$1:$D$1,0),1))*IFERROR(IF(AB1233="","",(AVERAGE(E1233:F1233)-AB1233)-Variables!$B$14),"")/365)+(L1233/16.67*INDEX(Variables!$B$8:$D$8,IFERROR(MATCH(IF($B1233="Robusta","Robusta",(IF($B1233="","Arabica",$B1233))&amp;" - "&amp;(IF($C1233="","Commercial",$C1233))),Variables!$B$1:$D$1,0),1))*IFERROR(IF(AB1233="","",(AVERAGE(E1233:F1233)-AB1233)-Variables!$B$14),""))+(W1233*INDEX(Variables!$B$9:$D$9,IFERROR(MATCH(IF($B1233="Robusta","Robusta",(IF($B1233="","Arabica",$B1233))&amp;" - "&amp;(IF($C1233="","Commercial",$C1233))),Variables!$B$1:$D$1,0),1))*IFERROR(IF(AB1233="","",(AVERAGE(E1233:F1233)-AB1233)-Variables!$B$14),"")/365),""))</f>
        <v/>
      </c>
      <c r="BH1233" s="43" t="str">
        <f>IF($AX1233="Cancelled","",IFERROR((W1233*INDEX(Variables!$B$7:$D$7,IFERROR(MATCH(IF($B1233="Robusta","Robusta",(IF($B1233="","Arabica",$B1233))&amp;" - "&amp;(IF($C1233="","Commercial",$C1233))),Variables!$B$1:$D$1,0),1))*AK1233/365)+(L1233/16.67*INDEX(Variables!$B$8:$D$8,IFERROR(MATCH(IF($B1233="Robusta","Robusta",(IF($B1233="","Arabica",$B1233))&amp;" - "&amp;(IF($C1233="","Commercial",$C1233))),Variables!$B$1:$D$1,0),1))*AK1233)+(W1233*INDEX(Variables!$B$9:$D$9,IFERROR(MATCH(IF($B1233="Robusta","Robusta",(IF($B1233="","Arabica",$B1233))&amp;" - "&amp;(IF($C1233="","Commercial",$C1233))),Variables!$B$1:$D$1,0),1))*AK1233/365),""))</f>
        <v/>
      </c>
      <c r="BI1233" s="43">
        <f>IF($AX1233="Cancelled","",IFERROR((W1233*INDEX(Variables!$B$7:$D$7,IFERROR(MATCH(IF($B1233="Robusta","Robusta",(IF($B1233="","Arabica",$B1233))&amp;" - "&amp;(IF($C1233="","Commercial",$C1233))),Variables!$B$1:$D$1,0),1))*BD1233/365)+(L1233/16.67*INDEX(Variables!$B$8:$D$8,IFERROR(MATCH(IF($B1233="Robusta","Robusta",(IF($B1233="","Arabica",$B1233))&amp;" - "&amp;(IF($C1233="","Commercial",$C1233))),Variables!$B$1:$D$1,0),1))*BD1233)+(W1233*INDEX(Variables!$B$9:$D$9,IFERROR(MATCH(IF($B1233="Robusta","Robusta",(IF($B1233="","Arabica",$B1233))&amp;" - "&amp;(IF($C1233="","Commercial",$C1233))),Variables!$B$1:$D$1,0),1))*BD1233/365),""))</f>
        <v>70.606210095423705</v>
      </c>
      <c r="BJ1233" s="43">
        <f t="shared" si="60"/>
        <v>-4</v>
      </c>
      <c r="BK1233" s="43">
        <f>IF($AX1233="Cancelled","",IFERROR(IF(BJ1233="","",(W1233*INDEX(Variables!$B$7:$D$7,IFERROR(MATCH(IF($B1233="Robusta","Robusta",(IF($B1233="","Arabica",$B1233))&amp;" - "&amp;(IF($C1233="","Commercial",$C1233))),Variables!$B$1:$D$1,0),1))*(BJ1233/365))+(W1233*INDEX(Variables!$B$9:$D$9,IFERROR(MATCH(IF($B1233="Robusta","Robusta",(IF($B1233="","Arabica",$B1233))&amp;" - "&amp;(IF($C1233="","Commercial",$C1233))),Variables!$B$1:$D$1,0),1))*(BJ1233/365))+(INDEX(Variables!$B$8:$D$8,IFERROR(MATCH(IF($B1233="Robusta","Robusta",(IF($B1233="","Arabica",$B1233))&amp;" - "&amp;(IF($C1233="","Commercial",$C1233))),Variables!$B$1:$D$1,0),1))*L1233/16.67)),""))</f>
        <v>-43.10621009542372</v>
      </c>
    </row>
    <row r="1234" spans="1:63" s="33" customFormat="1">
      <c r="A1234" s="33" t="s">
        <v>103</v>
      </c>
      <c r="B1234" s="13" t="s">
        <v>104</v>
      </c>
      <c r="C1234" s="13" t="s">
        <v>105</v>
      </c>
      <c r="D1234" s="31">
        <v>46267</v>
      </c>
      <c r="E1234" s="31">
        <v>46267</v>
      </c>
      <c r="F1234" s="31">
        <v>46295</v>
      </c>
      <c r="G1234" s="33">
        <v>3787694</v>
      </c>
      <c r="H1234" s="13"/>
      <c r="I1234" s="13"/>
      <c r="J1234" s="13" t="s">
        <v>1220</v>
      </c>
      <c r="K1234" s="13" t="s">
        <v>3015</v>
      </c>
      <c r="L1234" s="13">
        <v>190</v>
      </c>
      <c r="M1234" s="13">
        <v>0</v>
      </c>
      <c r="N1234" s="13" t="s">
        <v>3016</v>
      </c>
      <c r="O1234" s="13" t="s">
        <v>584</v>
      </c>
      <c r="P1234" s="13">
        <v>10040</v>
      </c>
      <c r="Q1234" s="13"/>
      <c r="R1234" s="13" t="s">
        <v>239</v>
      </c>
      <c r="S1234" s="13" t="s">
        <v>288</v>
      </c>
      <c r="T1234" s="13" t="s">
        <v>289</v>
      </c>
      <c r="U1234" s="13" t="s">
        <v>182</v>
      </c>
      <c r="V1234" s="23">
        <v>176</v>
      </c>
      <c r="W1234" s="44">
        <f>IF($AX1234="Cancelled","",IFERROR(((V1234+INDEX(Variables!$B$6:$D$6,IFERROR(MATCH(IF($B1234="Robusta","Robusta",(IF($B1234="","Arabica",$B1234))&amp;" - "&amp;(IF($C1234="","Commercial",$C1234))),Variables!$B$1:$D$1,0),1)))*22.0462)*(L1234/16.67),""))</f>
        <v>117295.83505698858</v>
      </c>
      <c r="X1234" s="55" t="s">
        <v>3012</v>
      </c>
      <c r="Y1234" s="13" t="str">
        <f>IF($AX1234="Cancelled","",IF(X1234="","",IFERROR(IF(INDEX(Variables!$B$38:$B$47,MATCH(X1234,Variables!$A$38:$A$47,0))="Yes","Yes","No"),"No")))</f>
        <v>No</v>
      </c>
      <c r="Z1234" s="31" t="s">
        <v>3012</v>
      </c>
      <c r="AA1234" s="13"/>
      <c r="AB1234" s="31" t="s">
        <v>3012</v>
      </c>
      <c r="AC1234" s="13" t="str">
        <f t="shared" si="59"/>
        <v/>
      </c>
      <c r="AD1234" s="31">
        <v>46280</v>
      </c>
      <c r="AE1234" s="31"/>
      <c r="AF1234" s="71">
        <v>46293</v>
      </c>
      <c r="AG1234" s="37">
        <f>IF($AX1234="Cancelled","",IFERROR(IF(F1234="","",F1234-Variables!$B$13),""))</f>
        <v>46280</v>
      </c>
      <c r="AH1234" s="13" t="str">
        <f>IF($AX1234="Cancelled","",IFERROR(IF(AB1234="","",(AVERAGE(E1234:F1234)-AB1234)-Variables!$B$14),""))</f>
        <v/>
      </c>
      <c r="AI1234" s="13"/>
      <c r="AJ1234" s="47">
        <v>46288</v>
      </c>
      <c r="AK1234" s="14" t="str">
        <f>IF($AX1234="Cancelled","",IFERROR(IF(AJ1234="","",IF(AND(AB1234="",AF1234=""),"",IF(AF1234&gt;AB1234,AF1234+Variables!$B$15+Variables!$B$16+Variables!$B$17-AJ1234,AB1234+Variables!$B$16+Variables!$B$17-AJ1234))),""))</f>
        <v/>
      </c>
      <c r="AL1234" s="48" t="s">
        <v>114</v>
      </c>
      <c r="AM1234" s="33" t="s">
        <v>1482</v>
      </c>
      <c r="AN1234" s="33" t="s">
        <v>3013</v>
      </c>
      <c r="AO1234" s="39">
        <v>46293</v>
      </c>
      <c r="AP1234" s="39">
        <v>46291</v>
      </c>
      <c r="AQ1234" s="39">
        <v>46328</v>
      </c>
      <c r="AR1234" s="33" t="s">
        <v>3014</v>
      </c>
      <c r="AS1234" s="39">
        <v>46299</v>
      </c>
      <c r="AT1234" s="39"/>
      <c r="AU1234" s="39">
        <v>46304</v>
      </c>
      <c r="AV1234" s="33" t="s">
        <v>865</v>
      </c>
      <c r="AW1234" s="39">
        <v>46317</v>
      </c>
      <c r="AX1234" s="33" t="str">
        <f>IF(ISNUMBER(SEARCH("cancel",#REF!)),"Cancelled",IF(AND(AS1234&lt;&gt;"",AU1234&lt;&gt;"",AW1234&lt;&gt;""),"Closed","Open"))</f>
        <v>Closed</v>
      </c>
      <c r="AY1234" s="25" t="str">
        <f t="shared" si="58"/>
        <v>All dates received</v>
      </c>
      <c r="AZ1234" s="13" t="s">
        <v>3053</v>
      </c>
      <c r="BA1234" s="13" t="s">
        <v>3048</v>
      </c>
      <c r="BB1234" s="13" t="s">
        <v>3049</v>
      </c>
      <c r="BC1234" s="33" t="s">
        <v>3048</v>
      </c>
      <c r="BD1234" s="33">
        <f>IF($AX1234="Cancelled","",IFERROR(IF(OR(AS1234="",AJ1234=""),"",(AJ1234+Variables!$B$18-AS1234)),""))</f>
        <v>4</v>
      </c>
      <c r="BE1234" s="33">
        <f>IF($AX1234="Cancelled","",IFERROR(IF(OR(AW1234="",AS1234=""),"",(AS1234+Variables!$B$19)-AW1234),""))</f>
        <v>-13</v>
      </c>
      <c r="BF1234" s="43">
        <f>IF($AX1234="Cancelled","",IFERROR(W1234*INDEX(Variables!$B$7:$D$7,IFERROR(MATCH(IF($B1234="Robusta","Robusta",(IF($B1234="","Arabica",$B1234))&amp;" - "&amp;(IF($C1234="","Commercial",$C1234))),Variables!$B$1:$D$1,0),1))*(BE1234/365),""))</f>
        <v>-269.38469983302122</v>
      </c>
      <c r="BG1234" s="43" t="str">
        <f>IF($AX1234="Cancelled","",IFERROR((W1234*INDEX(Variables!$B$7:$D$7,IFERROR(MATCH(IF($B1234="Robusta","Robusta",(IF($B1234="","Arabica",$B1234))&amp;" - "&amp;(IF($C1234="","Commercial",$C1234))),Variables!$B$1:$D$1,0),1))*IFERROR(IF(AB1234="","",(AVERAGE(E1234:F1234)-AB1234)-Variables!$B$14),"")/365)+(L1234/16.67*INDEX(Variables!$B$8:$D$8,IFERROR(MATCH(IF($B1234="Robusta","Robusta",(IF($B1234="","Arabica",$B1234))&amp;" - "&amp;(IF($C1234="","Commercial",$C1234))),Variables!$B$1:$D$1,0),1))*IFERROR(IF(AB1234="","",(AVERAGE(E1234:F1234)-AB1234)-Variables!$B$14),""))+(W1234*INDEX(Variables!$B$9:$D$9,IFERROR(MATCH(IF($B1234="Robusta","Robusta",(IF($B1234="","Arabica",$B1234))&amp;" - "&amp;(IF($C1234="","Commercial",$C1234))),Variables!$B$1:$D$1,0),1))*IFERROR(IF(AB1234="","",(AVERAGE(E1234:F1234)-AB1234)-Variables!$B$14),"")/365),""))</f>
        <v/>
      </c>
      <c r="BH1234" s="43" t="str">
        <f>IF($AX1234="Cancelled","",IFERROR((W1234*INDEX(Variables!$B$7:$D$7,IFERROR(MATCH(IF($B1234="Robusta","Robusta",(IF($B1234="","Arabica",$B1234))&amp;" - "&amp;(IF($C1234="","Commercial",$C1234))),Variables!$B$1:$D$1,0),1))*AK1234/365)+(L1234/16.67*INDEX(Variables!$B$8:$D$8,IFERROR(MATCH(IF($B1234="Robusta","Robusta",(IF($B1234="","Arabica",$B1234))&amp;" - "&amp;(IF($C1234="","Commercial",$C1234))),Variables!$B$1:$D$1,0),1))*AK1234)+(W1234*INDEX(Variables!$B$9:$D$9,IFERROR(MATCH(IF($B1234="Robusta","Robusta",(IF($B1234="","Arabica",$B1234))&amp;" - "&amp;(IF($C1234="","Commercial",$C1234))),Variables!$B$1:$D$1,0),1))*AK1234/365),""))</f>
        <v/>
      </c>
      <c r="BI1234" s="43">
        <f>IF($AX1234="Cancelled","",IFERROR((W1234*INDEX(Variables!$B$7:$D$7,IFERROR(MATCH(IF($B1234="Robusta","Robusta",(IF($B1234="","Arabica",$B1234))&amp;" - "&amp;(IF($C1234="","Commercial",$C1234))),Variables!$B$1:$D$1,0),1))*BD1234/365)+(L1234/16.67*INDEX(Variables!$B$8:$D$8,IFERROR(MATCH(IF($B1234="Robusta","Robusta",(IF($B1234="","Arabica",$B1234))&amp;" - "&amp;(IF($C1234="","Commercial",$C1234))),Variables!$B$1:$D$1,0),1))*BD1234)+(W1234*INDEX(Variables!$B$9:$D$9,IFERROR(MATCH(IF($B1234="Robusta","Robusta",(IF($B1234="","Arabica",$B1234))&amp;" - "&amp;(IF($C1234="","Commercial",$C1234))),Variables!$B$1:$D$1,0),1))*BD1234/365),""))</f>
        <v>121.9561810739137</v>
      </c>
      <c r="BJ1234" s="43">
        <f t="shared" si="60"/>
        <v>-4</v>
      </c>
      <c r="BK1234" s="43">
        <f>IF($AX1234="Cancelled","",IFERROR(IF(BJ1234="","",(W1234*INDEX(Variables!$B$7:$D$7,IFERROR(MATCH(IF($B1234="Robusta","Robusta",(IF($B1234="","Arabica",$B1234))&amp;" - "&amp;(IF($C1234="","Commercial",$C1234))),Variables!$B$1:$D$1,0),1))*(BJ1234/365))+(W1234*INDEX(Variables!$B$9:$D$9,IFERROR(MATCH(IF($B1234="Robusta","Robusta",(IF($B1234="","Arabica",$B1234))&amp;" - "&amp;(IF($C1234="","Commercial",$C1234))),Variables!$B$1:$D$1,0),1))*(BJ1234/365))+(INDEX(Variables!$B$8:$D$8,IFERROR(MATCH(IF($B1234="Robusta","Robusta",(IF($B1234="","Arabica",$B1234))&amp;" - "&amp;(IF($C1234="","Commercial",$C1234))),Variables!$B$1:$D$1,0),1))*L1234/16.67)),""))</f>
        <v>-74.456181073913683</v>
      </c>
    </row>
    <row r="1235" spans="1:63">
      <c r="A1235" s="13" t="s">
        <v>103</v>
      </c>
      <c r="B1235" s="13" t="s">
        <v>104</v>
      </c>
      <c r="C1235" s="13" t="s">
        <v>105</v>
      </c>
      <c r="D1235" s="31">
        <v>46276</v>
      </c>
      <c r="E1235" s="31">
        <v>46327</v>
      </c>
      <c r="F1235" s="31">
        <v>46356</v>
      </c>
      <c r="G1235" s="13">
        <v>3787698</v>
      </c>
      <c r="H1235" s="13" t="s">
        <v>3017</v>
      </c>
      <c r="J1235" s="13" t="s">
        <v>236</v>
      </c>
      <c r="K1235" s="13">
        <v>5675</v>
      </c>
      <c r="L1235" s="13">
        <v>320</v>
      </c>
      <c r="M1235" s="13">
        <v>1</v>
      </c>
      <c r="N1235" s="13" t="s">
        <v>3018</v>
      </c>
      <c r="O1235" s="13" t="s">
        <v>261</v>
      </c>
      <c r="P1235" s="13">
        <v>10060</v>
      </c>
      <c r="R1235" s="13" t="s">
        <v>239</v>
      </c>
      <c r="V1235" s="23">
        <v>84</v>
      </c>
      <c r="W1235" s="44">
        <f>IF($AX1235="Cancelled","",IFERROR(((V1235+INDEX(Variables!$B$6:$D$6,IFERROR(MATCH(IF($B1235="Robusta","Robusta",(IF($B1235="","Arabica",$B1235))&amp;" - "&amp;(IF($C1235="","Commercial",$C1235))),Variables!$B$1:$D$1,0),1)))*22.0462)*(L1235/16.67),""))</f>
        <v>158616.25934013195</v>
      </c>
      <c r="X1235" s="55" t="s">
        <v>37</v>
      </c>
      <c r="Y1235" s="13" t="str">
        <f>IF($AX1235="Cancelled","",IF(X1235="","",IFERROR(IF(INDEX(Variables!$B$38:$B$47,MATCH(X1235,Variables!$A$38:$A$47,0))="Yes","Yes","No"),"No")))</f>
        <v>Yes</v>
      </c>
      <c r="Z1235" s="58">
        <v>46287</v>
      </c>
      <c r="AB1235" s="31">
        <v>46309</v>
      </c>
      <c r="AC1235" s="13" t="str">
        <f t="shared" si="59"/>
        <v>Approved</v>
      </c>
      <c r="AF1235" s="71">
        <v>46309</v>
      </c>
      <c r="AG1235" s="37">
        <f>IF($AX1235="Cancelled","",IFERROR(IF(F1235="","",F1235-Variables!$B$13),""))</f>
        <v>46341</v>
      </c>
      <c r="AH1235" s="13">
        <f>IF($AX1235="Cancelled","",IFERROR(IF(AB1235="","",(AVERAGE(E1235:F1235)-AB1235)-Variables!$B$14),""))</f>
        <v>2.5</v>
      </c>
      <c r="AK1235" s="14" t="str">
        <f>IF($AX1235="Cancelled","",IFERROR(IF(AJ1235="","",IF(AND(AB1235="",AF1235=""),"",IF(AF1235&gt;AB1235,AF1235+Variables!$B$15+Variables!$B$16+Variables!$B$17-AJ1235,AB1235+Variables!$B$16+Variables!$B$17-AJ1235))),""))</f>
        <v/>
      </c>
      <c r="AM1235" s="13" t="e">
        <v>#REF!</v>
      </c>
      <c r="AN1235" s="13">
        <v>0</v>
      </c>
      <c r="AP1235" s="39"/>
      <c r="AR1235" s="13" t="e">
        <v>#REF!</v>
      </c>
      <c r="AV1235" s="13" t="e">
        <v>#REF!</v>
      </c>
      <c r="AX1235" s="13" t="str">
        <f>IF(ISNUMBER(SEARCH("cancel",#REF!)),"Cancelled",IF(AND(AS1235&lt;&gt;"",AU1235&lt;&gt;"",AW1235&lt;&gt;""),"Closed","Open"))</f>
        <v>Open</v>
      </c>
      <c r="AY1235" s="25" t="str">
        <f t="shared" si="58"/>
        <v>No sailing date and No shipping advice sent and No docs dispatch date</v>
      </c>
      <c r="BD1235" s="13" t="str">
        <f>IF($AX1235="Cancelled","",IFERROR(IF(OR(AS1235="",AJ1235=""),"",(AJ1235+Variables!$B$18-AS1235)),""))</f>
        <v/>
      </c>
      <c r="BE1235" s="13" t="str">
        <f>IF($AX1235="Cancelled","",IFERROR(IF(OR(AW1235="",AS1235=""),"",(AS1235+Variables!$B$19)-AW1235),""))</f>
        <v/>
      </c>
      <c r="BF1235" s="44" t="str">
        <f>IF($AX1235="Cancelled","",IFERROR(W1235*INDEX(Variables!$B$7:$D$7,IFERROR(MATCH(IF($B1235="Robusta","Robusta",(IF($B1235="","Arabica",$B1235))&amp;" - "&amp;(IF($C1235="","Commercial",$C1235))),Variables!$B$1:$D$1,0),1))*(BE1235/365),""))</f>
        <v/>
      </c>
      <c r="BG1235" s="44">
        <f>IF($AX1235="Cancelled","",IFERROR((W1235*INDEX(Variables!$B$7:$D$7,IFERROR(MATCH(IF($B1235="Robusta","Robusta",(IF($B1235="","Arabica",$B1235))&amp;" - "&amp;(IF($C1235="","Commercial",$C1235))),Variables!$B$1:$D$1,0),1))*IFERROR(IF(AB1235="","",(AVERAGE(E1235:F1235)-AB1235)-Variables!$B$14),"")/365)+(L1235/16.67*INDEX(Variables!$B$8:$D$8,IFERROR(MATCH(IF($B1235="Robusta","Robusta",(IF($B1235="","Arabica",$B1235))&amp;" - "&amp;(IF($C1235="","Commercial",$C1235))),Variables!$B$1:$D$1,0),1))*IFERROR(IF(AB1235="","",(AVERAGE(E1235:F1235)-AB1235)-Variables!$B$14),""))+(W1235*INDEX(Variables!$B$9:$D$9,IFERROR(MATCH(IF($B1235="Robusta","Robusta",(IF($B1235="","Arabica",$B1235))&amp;" - "&amp;(IF($C1235="","Commercial",$C1235))),Variables!$B$1:$D$1,0),1))*IFERROR(IF(AB1235="","",(AVERAGE(E1235:F1235)-AB1235)-Variables!$B$14),"")/365),""))</f>
        <v>110.95741818090212</v>
      </c>
      <c r="BH1235" s="44" t="str">
        <f>IF($AX1235="Cancelled","",IFERROR((W1235*INDEX(Variables!$B$7:$D$7,IFERROR(MATCH(IF($B1235="Robusta","Robusta",(IF($B1235="","Arabica",$B1235))&amp;" - "&amp;(IF($C1235="","Commercial",$C1235))),Variables!$B$1:$D$1,0),1))*AK1235/365)+(L1235/16.67*INDEX(Variables!$B$8:$D$8,IFERROR(MATCH(IF($B1235="Robusta","Robusta",(IF($B1235="","Arabica",$B1235))&amp;" - "&amp;(IF($C1235="","Commercial",$C1235))),Variables!$B$1:$D$1,0),1))*AK1235)+(W1235*INDEX(Variables!$B$9:$D$9,IFERROR(MATCH(IF($B1235="Robusta","Robusta",(IF($B1235="","Arabica",$B1235))&amp;" - "&amp;(IF($C1235="","Commercial",$C1235))),Variables!$B$1:$D$1,0),1))*AK1235/365),""))</f>
        <v/>
      </c>
      <c r="BI1235" s="44" t="str">
        <f>IF($AX1235="Cancelled","",IFERROR((W1235*INDEX(Variables!$B$7:$D$7,IFERROR(MATCH(IF($B1235="Robusta","Robusta",(IF($B1235="","Arabica",$B1235))&amp;" - "&amp;(IF($C1235="","Commercial",$C1235))),Variables!$B$1:$D$1,0),1))*BD1235/365)+(L1235/16.67*INDEX(Variables!$B$8:$D$8,IFERROR(MATCH(IF($B1235="Robusta","Robusta",(IF($B1235="","Arabica",$B1235))&amp;" - "&amp;(IF($C1235="","Commercial",$C1235))),Variables!$B$1:$D$1,0),1))*BD1235)+(W1235*INDEX(Variables!$B$9:$D$9,IFERROR(MATCH(IF($B1235="Robusta","Robusta",(IF($B1235="","Arabica",$B1235))&amp;" - "&amp;(IF($C1235="","Commercial",$C1235))),Variables!$B$1:$D$1,0),1))*BD1235/365),""))</f>
        <v/>
      </c>
      <c r="BJ1235" s="44" t="str">
        <f t="shared" si="60"/>
        <v/>
      </c>
      <c r="BK1235" s="44" t="str">
        <f>IF($AX1235="Cancelled","",IFERROR(IF(BJ1235="","",(W1235*INDEX(Variables!$B$7:$D$7,IFERROR(MATCH(IF($B1235="Robusta","Robusta",(IF($B1235="","Arabica",$B1235))&amp;" - "&amp;(IF($C1235="","Commercial",$C1235))),Variables!$B$1:$D$1,0),1))*(BJ1235/365))+(W1235*INDEX(Variables!$B$9:$D$9,IFERROR(MATCH(IF($B1235="Robusta","Robusta",(IF($B1235="","Arabica",$B1235))&amp;" - "&amp;(IF($C1235="","Commercial",$C1235))),Variables!$B$1:$D$1,0),1))*(BJ1235/365))+(INDEX(Variables!$B$8:$D$8,IFERROR(MATCH(IF($B1235="Robusta","Robusta",(IF($B1235="","Arabica",$B1235))&amp;" - "&amp;(IF($C1235="","Commercial",$C1235))),Variables!$B$1:$D$1,0),1))*L1235/16.67)),""))</f>
        <v/>
      </c>
    </row>
    <row r="1236" spans="1:63" s="33" customFormat="1">
      <c r="A1236" s="33" t="s">
        <v>103</v>
      </c>
      <c r="B1236" s="13" t="s">
        <v>104</v>
      </c>
      <c r="C1236" s="13" t="s">
        <v>105</v>
      </c>
      <c r="D1236" s="31">
        <v>46277</v>
      </c>
      <c r="E1236" s="31">
        <v>46266</v>
      </c>
      <c r="F1236" s="31">
        <v>46295</v>
      </c>
      <c r="G1236" s="33">
        <v>3787699</v>
      </c>
      <c r="H1236" s="13"/>
      <c r="I1236" s="13"/>
      <c r="J1236" s="13" t="s">
        <v>3019</v>
      </c>
      <c r="K1236" s="13">
        <v>5660</v>
      </c>
      <c r="L1236" s="13">
        <v>640</v>
      </c>
      <c r="M1236" s="13">
        <v>2</v>
      </c>
      <c r="N1236" s="13" t="s">
        <v>3020</v>
      </c>
      <c r="O1236" s="13" t="s">
        <v>456</v>
      </c>
      <c r="P1236" s="13">
        <v>10140</v>
      </c>
      <c r="Q1236" s="13"/>
      <c r="R1236" s="13" t="s">
        <v>110</v>
      </c>
      <c r="S1236" s="13" t="s">
        <v>1457</v>
      </c>
      <c r="T1236" s="13" t="s">
        <v>112</v>
      </c>
      <c r="U1236" s="13" t="s">
        <v>113</v>
      </c>
      <c r="V1236" s="23">
        <v>-68</v>
      </c>
      <c r="W1236" s="44">
        <f>IF($AX1236="Cancelled","",IFERROR(((V1236+INDEX(Variables!$B$6:$D$6,IFERROR(MATCH(IF($B1236="Robusta","Robusta",(IF($B1236="","Arabica",$B1236))&amp;" - "&amp;(IF($C1236="","Commercial",$C1236))),Variables!$B$1:$D$1,0),1)))*22.0462)*(L1236/16.67),""))</f>
        <v>188578.98922615475</v>
      </c>
      <c r="X1236" s="55" t="s">
        <v>37</v>
      </c>
      <c r="Y1236" s="13" t="str">
        <f>IF($AX1236="Cancelled","",IF(X1236="","",IFERROR(IF(INDEX(Variables!$B$38:$B$47,MATCH(X1236,Variables!$A$38:$A$47,0))="Yes","Yes","No"),"No")))</f>
        <v>Yes</v>
      </c>
      <c r="Z1236" s="58">
        <v>46281</v>
      </c>
      <c r="AA1236" s="13"/>
      <c r="AB1236" s="31">
        <v>46287</v>
      </c>
      <c r="AC1236" s="13" t="str">
        <f t="shared" si="59"/>
        <v>Approved</v>
      </c>
      <c r="AD1236" s="31">
        <v>46277</v>
      </c>
      <c r="AE1236" s="31"/>
      <c r="AF1236" s="71">
        <v>46293</v>
      </c>
      <c r="AG1236" s="37">
        <f>IF($AX1236="Cancelled","",IFERROR(IF(F1236="","",F1236-Variables!$B$13),""))</f>
        <v>46280</v>
      </c>
      <c r="AH1236" s="13">
        <f>IF($AX1236="Cancelled","",IFERROR(IF(AB1236="","",(AVERAGE(E1236:F1236)-AB1236)-Variables!$B$14),""))</f>
        <v>-36.5</v>
      </c>
      <c r="AI1236" s="13"/>
      <c r="AJ1236" s="47">
        <v>46296</v>
      </c>
      <c r="AK1236" s="14">
        <f>IF($AX1236="Cancelled","",IFERROR(IF(AJ1236="","",IF(AND(AB1236="",AF1236=""),"",IF(AF1236&gt;AB1236,AF1236+Variables!$B$15+Variables!$B$16+Variables!$B$17-AJ1236,AB1236+Variables!$B$16+Variables!$B$17-AJ1236))),""))</f>
        <v>12</v>
      </c>
      <c r="AL1236" s="48" t="s">
        <v>114</v>
      </c>
      <c r="AM1236" s="33" t="s">
        <v>134</v>
      </c>
      <c r="AN1236" s="33" t="s">
        <v>2871</v>
      </c>
      <c r="AO1236" s="39">
        <v>46300</v>
      </c>
      <c r="AP1236" s="39">
        <v>46301</v>
      </c>
      <c r="AQ1236" s="39">
        <v>46360</v>
      </c>
      <c r="AR1236" s="33" t="s">
        <v>3021</v>
      </c>
      <c r="AS1236" s="39">
        <v>46310</v>
      </c>
      <c r="AT1236" s="39"/>
      <c r="AU1236" s="39">
        <v>46321</v>
      </c>
      <c r="AV1236" s="33" t="s">
        <v>865</v>
      </c>
      <c r="AW1236" s="39">
        <v>46321</v>
      </c>
      <c r="AX1236" s="33" t="str">
        <f>IF(ISNUMBER(SEARCH("cancel",#REF!)),"Cancelled",IF(AND(AS1236&lt;&gt;"",AU1236&lt;&gt;"",AW1236&lt;&gt;""),"Closed","Open"))</f>
        <v>Closed</v>
      </c>
      <c r="AY1236" s="25" t="str">
        <f t="shared" si="58"/>
        <v>All dates received</v>
      </c>
      <c r="AZ1236" s="13" t="s">
        <v>3047</v>
      </c>
      <c r="BA1236" s="13" t="s">
        <v>3062</v>
      </c>
      <c r="BB1236" s="13" t="s">
        <v>3055</v>
      </c>
      <c r="BC1236" s="33" t="s">
        <v>3303</v>
      </c>
      <c r="BD1236" s="33">
        <f>IF($AX1236="Cancelled","",IFERROR(IF(OR(AS1236="",AJ1236=""),"",(AJ1236+Variables!$B$18-AS1236)),""))</f>
        <v>1</v>
      </c>
      <c r="BE1236" s="33">
        <f>IF($AX1236="Cancelled","",IFERROR(IF(OR(AW1236="",AS1236=""),"",(AS1236+Variables!$B$19)-AW1236),""))</f>
        <v>-6</v>
      </c>
      <c r="BF1236" s="43">
        <f>IF($AX1236="Cancelled","",IFERROR(W1236*INDEX(Variables!$B$7:$D$7,IFERROR(MATCH(IF($B1236="Robusta","Robusta",(IF($B1236="","Arabica",$B1236))&amp;" - "&amp;(IF($C1236="","Commercial",$C1236))),Variables!$B$1:$D$1,0),1))*(BE1236/365),""))</f>
        <v>-199.89021532732201</v>
      </c>
      <c r="BG1236" s="43">
        <f>IF($AX1236="Cancelled","",IFERROR((W1236*INDEX(Variables!$B$7:$D$7,IFERROR(MATCH(IF($B1236="Robusta","Robusta",(IF($B1236="","Arabica",$B1236))&amp;" - "&amp;(IF($C1236="","Commercial",$C1236))),Variables!$B$1:$D$1,0),1))*IFERROR(IF(AB1236="","",(AVERAGE(E1236:F1236)-AB1236)-Variables!$B$14),"")/365)+(L1236/16.67*INDEX(Variables!$B$8:$D$8,IFERROR(MATCH(IF($B1236="Robusta","Robusta",(IF($B1236="","Arabica",$B1236))&amp;" - "&amp;(IF($C1236="","Commercial",$C1236))),Variables!$B$1:$D$1,0),1))*IFERROR(IF(AB1236="","",(AVERAGE(E1236:F1236)-AB1236)-Variables!$B$14),""))+(W1236*INDEX(Variables!$B$9:$D$9,IFERROR(MATCH(IF($B1236="Robusta","Robusta",(IF($B1236="","Arabica",$B1236))&amp;" - "&amp;(IF($C1236="","Commercial",$C1236))),Variables!$B$1:$D$1,0),1))*IFERROR(IF(AB1236="","",(AVERAGE(E1236:F1236)-AB1236)-Variables!$B$14),"")/365),""))</f>
        <v>-2399.6753812822458</v>
      </c>
      <c r="BH1236" s="43">
        <f>IF($AX1236="Cancelled","",IFERROR((W1236*INDEX(Variables!$B$7:$D$7,IFERROR(MATCH(IF($B1236="Robusta","Robusta",(IF($B1236="","Arabica",$B1236))&amp;" - "&amp;(IF($C1236="","Commercial",$C1236))),Variables!$B$1:$D$1,0),1))*AK1236/365)+(L1236/16.67*INDEX(Variables!$B$8:$D$8,IFERROR(MATCH(IF($B1236="Robusta","Robusta",(IF($B1236="","Arabica",$B1236))&amp;" - "&amp;(IF($C1236="","Commercial",$C1236))),Variables!$B$1:$D$1,0),1))*AK1236)+(W1236*INDEX(Variables!$B$9:$D$9,IFERROR(MATCH(IF($B1236="Robusta","Robusta",(IF($B1236="","Arabica",$B1236))&amp;" - "&amp;(IF($C1236="","Commercial",$C1236))),Variables!$B$1:$D$1,0),1))*AK1236/365),""))</f>
        <v>788.93437192840963</v>
      </c>
      <c r="BI1236" s="43">
        <f>IF($AX1236="Cancelled","",IFERROR((W1236*INDEX(Variables!$B$7:$D$7,IFERROR(MATCH(IF($B1236="Robusta","Robusta",(IF($B1236="","Arabica",$B1236))&amp;" - "&amp;(IF($C1236="","Commercial",$C1236))),Variables!$B$1:$D$1,0),1))*BD1236/365)+(L1236/16.67*INDEX(Variables!$B$8:$D$8,IFERROR(MATCH(IF($B1236="Robusta","Robusta",(IF($B1236="","Arabica",$B1236))&amp;" - "&amp;(IF($C1236="","Commercial",$C1236))),Variables!$B$1:$D$1,0),1))*BD1236)+(W1236*INDEX(Variables!$B$9:$D$9,IFERROR(MATCH(IF($B1236="Robusta","Robusta",(IF($B1236="","Arabica",$B1236))&amp;" - "&amp;(IF($C1236="","Commercial",$C1236))),Variables!$B$1:$D$1,0),1))*BD1236/365),""))</f>
        <v>65.744530994034136</v>
      </c>
      <c r="BJ1236" s="43">
        <f t="shared" si="60"/>
        <v>-15</v>
      </c>
      <c r="BK1236" s="43">
        <f>IF($AX1236="Cancelled","",IFERROR(IF(BJ1236="","",(W1236*INDEX(Variables!$B$7:$D$7,IFERROR(MATCH(IF($B1236="Robusta","Robusta",(IF($B1236="","Arabica",$B1236))&amp;" - "&amp;(IF($C1236="","Commercial",$C1236))),Variables!$B$1:$D$1,0),1))*(BJ1236/365))+(W1236*INDEX(Variables!$B$9:$D$9,IFERROR(MATCH(IF($B1236="Robusta","Robusta",(IF($B1236="","Arabica",$B1236))&amp;" - "&amp;(IF($C1236="","Commercial",$C1236))),Variables!$B$1:$D$1,0),1))*(BJ1236/365))+(INDEX(Variables!$B$8:$D$8,IFERROR(MATCH(IF($B1236="Robusta","Robusta",(IF($B1236="","Arabica",$B1236))&amp;" - "&amp;(IF($C1236="","Commercial",$C1236))),Variables!$B$1:$D$1,0),1))*L1236/16.67)),""))</f>
        <v>-474.16796491051201</v>
      </c>
    </row>
    <row r="1237" spans="1:63">
      <c r="A1237" s="13" t="s">
        <v>103</v>
      </c>
      <c r="B1237" s="13" t="s">
        <v>104</v>
      </c>
      <c r="C1237" s="13" t="s">
        <v>105</v>
      </c>
      <c r="D1237" s="31">
        <v>46279</v>
      </c>
      <c r="E1237" s="31">
        <v>46296</v>
      </c>
      <c r="F1237" s="31">
        <v>46326</v>
      </c>
      <c r="G1237" s="13">
        <v>3787700</v>
      </c>
      <c r="J1237" s="13" t="s">
        <v>1356</v>
      </c>
      <c r="K1237" s="13">
        <v>5662</v>
      </c>
      <c r="L1237" s="13">
        <v>100</v>
      </c>
      <c r="M1237" s="13">
        <v>1</v>
      </c>
      <c r="N1237" s="13" t="s">
        <v>3022</v>
      </c>
      <c r="O1237" s="13" t="s">
        <v>775</v>
      </c>
      <c r="P1237" s="13">
        <v>10030</v>
      </c>
      <c r="Q1237" s="13" t="s">
        <v>3023</v>
      </c>
      <c r="R1237" s="13" t="s">
        <v>239</v>
      </c>
      <c r="S1237" s="13" t="s">
        <v>2801</v>
      </c>
      <c r="T1237" s="13" t="s">
        <v>596</v>
      </c>
      <c r="U1237" s="13" t="s">
        <v>125</v>
      </c>
      <c r="V1237" s="23">
        <v>106</v>
      </c>
      <c r="W1237" s="44">
        <f>IF($AX1237="Cancelled","",IFERROR(((V1237+INDEX(Variables!$B$6:$D$6,IFERROR(MATCH(IF($B1237="Robusta","Robusta",(IF($B1237="","Arabica",$B1237))&amp;" - "&amp;(IF($C1237="","Commercial",$C1237))),Variables!$B$1:$D$1,0),1)))*22.0462)*(L1237/16.67),""))</f>
        <v>52477.097540491894</v>
      </c>
      <c r="X1237" s="55" t="s">
        <v>37</v>
      </c>
      <c r="Y1237" s="13" t="str">
        <f>IF($AX1237="Cancelled","",IF(X1237="","",IFERROR(IF(INDEX(Variables!$B$38:$B$47,MATCH(X1237,Variables!$A$38:$A$47,0))="Yes","Yes","No"),"No")))</f>
        <v>Yes</v>
      </c>
      <c r="Z1237" s="58">
        <v>46281</v>
      </c>
      <c r="AB1237" s="31">
        <v>46288</v>
      </c>
      <c r="AC1237" s="13" t="str">
        <f t="shared" si="59"/>
        <v>Approved</v>
      </c>
      <c r="AD1237" s="31">
        <v>46296</v>
      </c>
      <c r="AF1237" s="71">
        <v>46302</v>
      </c>
      <c r="AG1237" s="37">
        <f>IF($AX1237="Cancelled","",IFERROR(IF(F1237="","",F1237-Variables!$B$13),""))</f>
        <v>46311</v>
      </c>
      <c r="AH1237" s="13">
        <f>IF($AX1237="Cancelled","",IFERROR(IF(AB1237="","",(AVERAGE(E1237:F1237)-AB1237)-Variables!$B$14),""))</f>
        <v>-7</v>
      </c>
      <c r="AJ1237" s="47">
        <v>46297</v>
      </c>
      <c r="AK1237" s="14">
        <f>IF($AX1237="Cancelled","",IFERROR(IF(AJ1237="","",IF(AND(AB1237="",AF1237=""),"",IF(AF1237&gt;AB1237,AF1237+Variables!$B$15+Variables!$B$16+Variables!$B$17-AJ1237,AB1237+Variables!$B$16+Variables!$B$17-AJ1237))),""))</f>
        <v>20</v>
      </c>
      <c r="AL1237" s="48" t="s">
        <v>114</v>
      </c>
      <c r="AM1237" s="13" t="s">
        <v>168</v>
      </c>
      <c r="AN1237" s="13" t="s">
        <v>3286</v>
      </c>
      <c r="AP1237" s="31">
        <v>46312</v>
      </c>
      <c r="AR1237" s="13" t="s">
        <v>3283</v>
      </c>
      <c r="AS1237" s="31">
        <v>46316</v>
      </c>
      <c r="AX1237" s="13" t="str">
        <f>IF(ISNUMBER(SEARCH("cancel",#REF!)),"Cancelled",IF(AND(AS1237&lt;&gt;"",AU1237&lt;&gt;"",AW1237&lt;&gt;""),"Closed","Open"))</f>
        <v>Open</v>
      </c>
      <c r="AY1237" s="25" t="str">
        <f t="shared" si="58"/>
        <v>No shipping advice sent and No docs dispatch date</v>
      </c>
      <c r="BD1237" s="13">
        <f>IF($AX1237="Cancelled","",IFERROR(IF(OR(AS1237="",AJ1237=""),"",(AJ1237+Variables!$B$18-AS1237)),""))</f>
        <v>-4</v>
      </c>
      <c r="BE1237" s="13" t="str">
        <f>IF($AX1237="Cancelled","",IFERROR(IF(OR(AW1237="",AS1237=""),"",(AS1237+Variables!$B$19)-AW1237),""))</f>
        <v/>
      </c>
      <c r="BF1237" s="44" t="str">
        <f>IF($AX1237="Cancelled","",IFERROR(W1237*INDEX(Variables!$B$7:$D$7,IFERROR(MATCH(IF($B1237="Robusta","Robusta",(IF($B1237="","Arabica",$B1237))&amp;" - "&amp;(IF($C1237="","Commercial",$C1237))),Variables!$B$1:$D$1,0),1))*(BE1237/365),""))</f>
        <v/>
      </c>
      <c r="BG1237" s="44">
        <f>IF($AX1237="Cancelled","",IFERROR((W1237*INDEX(Variables!$B$7:$D$7,IFERROR(MATCH(IF($B1237="Robusta","Robusta",(IF($B1237="","Arabica",$B1237))&amp;" - "&amp;(IF($C1237="","Commercial",$C1237))),Variables!$B$1:$D$1,0),1))*IFERROR(IF(AB1237="","",(AVERAGE(E1237:F1237)-AB1237)-Variables!$B$14),"")/365)+(L1237/16.67*INDEX(Variables!$B$8:$D$8,IFERROR(MATCH(IF($B1237="Robusta","Robusta",(IF($B1237="","Arabica",$B1237))&amp;" - "&amp;(IF($C1237="","Commercial",$C1237))),Variables!$B$1:$D$1,0),1))*IFERROR(IF(AB1237="","",(AVERAGE(E1237:F1237)-AB1237)-Variables!$B$14),""))+(W1237*INDEX(Variables!$B$9:$D$9,IFERROR(MATCH(IF($B1237="Robusta","Robusta",(IF($B1237="","Arabica",$B1237))&amp;" - "&amp;(IF($C1237="","Commercial",$C1237))),Variables!$B$1:$D$1,0),1))*IFERROR(IF(AB1237="","",(AVERAGE(E1237:F1237)-AB1237)-Variables!$B$14),"")/365),""))</f>
        <v>-100.73216540130527</v>
      </c>
      <c r="BH1237" s="44">
        <f>IF($AX1237="Cancelled","",IFERROR((W1237*INDEX(Variables!$B$7:$D$7,IFERROR(MATCH(IF($B1237="Robusta","Robusta",(IF($B1237="","Arabica",$B1237))&amp;" - "&amp;(IF($C1237="","Commercial",$C1237))),Variables!$B$1:$D$1,0),1))*AK1237/365)+(L1237/16.67*INDEX(Variables!$B$8:$D$8,IFERROR(MATCH(IF($B1237="Robusta","Robusta",(IF($B1237="","Arabica",$B1237))&amp;" - "&amp;(IF($C1237="","Commercial",$C1237))),Variables!$B$1:$D$1,0),1))*AK1237)+(W1237*INDEX(Variables!$B$9:$D$9,IFERROR(MATCH(IF($B1237="Robusta","Robusta",(IF($B1237="","Arabica",$B1237))&amp;" - "&amp;(IF($C1237="","Commercial",$C1237))),Variables!$B$1:$D$1,0),1))*AK1237/365),""))</f>
        <v>287.80618686087217</v>
      </c>
      <c r="BI1237" s="44">
        <f>IF($AX1237="Cancelled","",IFERROR((W1237*INDEX(Variables!$B$7:$D$7,IFERROR(MATCH(IF($B1237="Robusta","Robusta",(IF($B1237="","Arabica",$B1237))&amp;" - "&amp;(IF($C1237="","Commercial",$C1237))),Variables!$B$1:$D$1,0),1))*BD1237/365)+(L1237/16.67*INDEX(Variables!$B$8:$D$8,IFERROR(MATCH(IF($B1237="Robusta","Robusta",(IF($B1237="","Arabica",$B1237))&amp;" - "&amp;(IF($C1237="","Commercial",$C1237))),Variables!$B$1:$D$1,0),1))*BD1237)+(W1237*INDEX(Variables!$B$9:$D$9,IFERROR(MATCH(IF($B1237="Robusta","Robusta",(IF($B1237="","Arabica",$B1237))&amp;" - "&amp;(IF($C1237="","Commercial",$C1237))),Variables!$B$1:$D$1,0),1))*BD1237/365),""))</f>
        <v>-57.561237372174439</v>
      </c>
      <c r="BJ1237" s="44">
        <f t="shared" si="60"/>
        <v>10</v>
      </c>
      <c r="BK1237" s="44">
        <f>IF($AX1237="Cancelled","",IFERROR(IF(BJ1237="","",(W1237*INDEX(Variables!$B$7:$D$7,IFERROR(MATCH(IF($B1237="Robusta","Robusta",(IF($B1237="","Arabica",$B1237))&amp;" - "&amp;(IF($C1237="","Commercial",$C1237))),Variables!$B$1:$D$1,0),1))*(BJ1237/365))+(W1237*INDEX(Variables!$B$9:$D$9,IFERROR(MATCH(IF($B1237="Robusta","Robusta",(IF($B1237="","Arabica",$B1237))&amp;" - "&amp;(IF($C1237="","Commercial",$C1237))),Variables!$B$1:$D$1,0),1))*(BJ1237/365))+(INDEX(Variables!$B$8:$D$8,IFERROR(MATCH(IF($B1237="Robusta","Robusta",(IF($B1237="","Arabica",$B1237))&amp;" - "&amp;(IF($C1237="","Commercial",$C1237))),Variables!$B$1:$D$1,0),1))*L1237/16.67)),""))</f>
        <v>98.903093430436101</v>
      </c>
    </row>
    <row r="1238" spans="1:63">
      <c r="A1238" s="13" t="s">
        <v>103</v>
      </c>
      <c r="B1238" s="13" t="s">
        <v>104</v>
      </c>
      <c r="C1238" s="13" t="s">
        <v>105</v>
      </c>
      <c r="D1238" s="31">
        <v>46279</v>
      </c>
      <c r="E1238" s="31">
        <v>46296</v>
      </c>
      <c r="F1238" s="31">
        <v>46326</v>
      </c>
      <c r="G1238" s="13">
        <v>3787701</v>
      </c>
      <c r="J1238" s="13" t="s">
        <v>1356</v>
      </c>
      <c r="K1238" s="13">
        <v>5662</v>
      </c>
      <c r="L1238" s="13">
        <v>70</v>
      </c>
      <c r="M1238" s="13">
        <v>0</v>
      </c>
      <c r="N1238" s="13" t="s">
        <v>3025</v>
      </c>
      <c r="O1238" s="13" t="s">
        <v>261</v>
      </c>
      <c r="P1238" s="13">
        <v>10060</v>
      </c>
      <c r="Q1238" s="13" t="s">
        <v>121</v>
      </c>
      <c r="R1238" s="13" t="s">
        <v>239</v>
      </c>
      <c r="S1238" s="13" t="s">
        <v>2801</v>
      </c>
      <c r="T1238" s="13" t="s">
        <v>596</v>
      </c>
      <c r="U1238" s="13" t="s">
        <v>125</v>
      </c>
      <c r="V1238" s="23">
        <v>58</v>
      </c>
      <c r="W1238" s="44">
        <f>IF($AX1238="Cancelled","",IFERROR(((V1238+INDEX(Variables!$B$6:$D$6,IFERROR(MATCH(IF($B1238="Robusta","Robusta",(IF($B1238="","Arabica",$B1238))&amp;" - "&amp;(IF($C1238="","Commercial",$C1238))),Variables!$B$1:$D$1,0),1)))*22.0462)*(L1238/16.67),""))</f>
        <v>32290.343083383315</v>
      </c>
      <c r="X1238" s="55" t="s">
        <v>37</v>
      </c>
      <c r="Y1238" s="13" t="str">
        <f>IF($AX1238="Cancelled","",IF(X1238="","",IFERROR(IF(INDEX(Variables!$B$38:$B$47,MATCH(X1238,Variables!$A$38:$A$47,0))="Yes","Yes","No"),"No")))</f>
        <v>Yes</v>
      </c>
      <c r="Z1238" s="58">
        <v>46281</v>
      </c>
      <c r="AB1238" s="31">
        <v>46288</v>
      </c>
      <c r="AC1238" s="13" t="str">
        <f t="shared" si="59"/>
        <v>Approved</v>
      </c>
      <c r="AD1238" s="31">
        <v>46296</v>
      </c>
      <c r="AF1238" s="71">
        <v>46297</v>
      </c>
      <c r="AG1238" s="37">
        <f>IF($AX1238="Cancelled","",IFERROR(IF(F1238="","",F1238-Variables!$B$13),""))</f>
        <v>46311</v>
      </c>
      <c r="AH1238" s="13">
        <f>IF($AX1238="Cancelled","",IFERROR(IF(AB1238="","",(AVERAGE(E1238:F1238)-AB1238)-Variables!$B$14),""))</f>
        <v>-7</v>
      </c>
      <c r="AJ1238" s="47">
        <v>46297</v>
      </c>
      <c r="AK1238" s="14">
        <f>IF($AX1238="Cancelled","",IFERROR(IF(AJ1238="","",IF(AND(AB1238="",AF1238=""),"",IF(AF1238&gt;AB1238,AF1238+Variables!$B$15+Variables!$B$16+Variables!$B$17-AJ1238,AB1238+Variables!$B$16+Variables!$B$17-AJ1238))),""))</f>
        <v>15</v>
      </c>
      <c r="AL1238" s="48" t="s">
        <v>114</v>
      </c>
      <c r="AM1238" s="13" t="s">
        <v>168</v>
      </c>
      <c r="AN1238" s="13" t="s">
        <v>3286</v>
      </c>
      <c r="AP1238" s="31">
        <v>46312</v>
      </c>
      <c r="AR1238" s="13" t="s">
        <v>3283</v>
      </c>
      <c r="AS1238" s="31">
        <v>46316</v>
      </c>
      <c r="AX1238" s="13" t="str">
        <f>IF(ISNUMBER(SEARCH("cancel",#REF!)),"Cancelled",IF(AND(AS1238&lt;&gt;"",AU1238&lt;&gt;"",AW1238&lt;&gt;""),"Closed","Open"))</f>
        <v>Open</v>
      </c>
      <c r="AY1238" s="25" t="str">
        <f t="shared" si="58"/>
        <v>No shipping advice sent and No docs dispatch date</v>
      </c>
      <c r="BD1238" s="13">
        <f>IF($AX1238="Cancelled","",IFERROR(IF(OR(AS1238="",AJ1238=""),"",(AJ1238+Variables!$B$18-AS1238)),""))</f>
        <v>-4</v>
      </c>
      <c r="BE1238" s="13" t="str">
        <f>IF($AX1238="Cancelled","",IFERROR(IF(OR(AW1238="",AS1238=""),"",(AS1238+Variables!$B$19)-AW1238),""))</f>
        <v/>
      </c>
      <c r="BF1238" s="44" t="str">
        <f>IF($AX1238="Cancelled","",IFERROR(W1238*INDEX(Variables!$B$7:$D$7,IFERROR(MATCH(IF($B1238="Robusta","Robusta",(IF($B1238="","Arabica",$B1238))&amp;" - "&amp;(IF($C1238="","Commercial",$C1238))),Variables!$B$1:$D$1,0),1))*(BE1238/365),""))</f>
        <v/>
      </c>
      <c r="BG1238" s="44">
        <f>IF($AX1238="Cancelled","",IFERROR((W1238*INDEX(Variables!$B$7:$D$7,IFERROR(MATCH(IF($B1238="Robusta","Robusta",(IF($B1238="","Arabica",$B1238))&amp;" - "&amp;(IF($C1238="","Commercial",$C1238))),Variables!$B$1:$D$1,0),1))*IFERROR(IF(AB1238="","",(AVERAGE(E1238:F1238)-AB1238)-Variables!$B$14),"")/365)+(L1238/16.67*INDEX(Variables!$B$8:$D$8,IFERROR(MATCH(IF($B1238="Robusta","Robusta",(IF($B1238="","Arabica",$B1238))&amp;" - "&amp;(IF($C1238="","Commercial",$C1238))),Variables!$B$1:$D$1,0),1))*IFERROR(IF(AB1238="","",(AVERAGE(E1238:F1238)-AB1238)-Variables!$B$14),""))+(W1238*INDEX(Variables!$B$9:$D$9,IFERROR(MATCH(IF($B1238="Robusta","Robusta",(IF($B1238="","Arabica",$B1238))&amp;" - "&amp;(IF($C1238="","Commercial",$C1238))),Variables!$B$1:$D$1,0),1))*IFERROR(IF(AB1238="","",(AVERAGE(E1238:F1238)-AB1238)-Variables!$B$14),"")/365),""))</f>
        <v>-64.946485646125751</v>
      </c>
      <c r="BH1238" s="44">
        <f>IF($AX1238="Cancelled","",IFERROR((W1238*INDEX(Variables!$B$7:$D$7,IFERROR(MATCH(IF($B1238="Robusta","Robusta",(IF($B1238="","Arabica",$B1238))&amp;" - "&amp;(IF($C1238="","Commercial",$C1238))),Variables!$B$1:$D$1,0),1))*AK1238/365)+(L1238/16.67*INDEX(Variables!$B$8:$D$8,IFERROR(MATCH(IF($B1238="Robusta","Robusta",(IF($B1238="","Arabica",$B1238))&amp;" - "&amp;(IF($C1238="","Commercial",$C1238))),Variables!$B$1:$D$1,0),1))*AK1238)+(W1238*INDEX(Variables!$B$9:$D$9,IFERROR(MATCH(IF($B1238="Robusta","Robusta",(IF($B1238="","Arabica",$B1238))&amp;" - "&amp;(IF($C1238="","Commercial",$C1238))),Variables!$B$1:$D$1,0),1))*AK1238/365),""))</f>
        <v>139.17104067026946</v>
      </c>
      <c r="BI1238" s="44">
        <f>IF($AX1238="Cancelled","",IFERROR((W1238*INDEX(Variables!$B$7:$D$7,IFERROR(MATCH(IF($B1238="Robusta","Robusta",(IF($B1238="","Arabica",$B1238))&amp;" - "&amp;(IF($C1238="","Commercial",$C1238))),Variables!$B$1:$D$1,0),1))*BD1238/365)+(L1238/16.67*INDEX(Variables!$B$8:$D$8,IFERROR(MATCH(IF($B1238="Robusta","Robusta",(IF($B1238="","Arabica",$B1238))&amp;" - "&amp;(IF($C1238="","Commercial",$C1238))),Variables!$B$1:$D$1,0),1))*BD1238)+(W1238*INDEX(Variables!$B$9:$D$9,IFERROR(MATCH(IF($B1238="Robusta","Robusta",(IF($B1238="","Arabica",$B1238))&amp;" - "&amp;(IF($C1238="","Commercial",$C1238))),Variables!$B$1:$D$1,0),1))*BD1238/365),""))</f>
        <v>-37.112277512071856</v>
      </c>
      <c r="BJ1238" s="44">
        <f t="shared" si="60"/>
        <v>10</v>
      </c>
      <c r="BK1238" s="44">
        <f>IF($AX1238="Cancelled","",IFERROR(IF(BJ1238="","",(W1238*INDEX(Variables!$B$7:$D$7,IFERROR(MATCH(IF($B1238="Robusta","Robusta",(IF($B1238="","Arabica",$B1238))&amp;" - "&amp;(IF($C1238="","Commercial",$C1238))),Variables!$B$1:$D$1,0),1))*(BJ1238/365))+(W1238*INDEX(Variables!$B$9:$D$9,IFERROR(MATCH(IF($B1238="Robusta","Robusta",(IF($B1238="","Arabica",$B1238))&amp;" - "&amp;(IF($C1238="","Commercial",$C1238))),Variables!$B$1:$D$1,0),1))*(BJ1238/365))+(INDEX(Variables!$B$8:$D$8,IFERROR(MATCH(IF($B1238="Robusta","Robusta",(IF($B1238="","Arabica",$B1238))&amp;" - "&amp;(IF($C1238="","Commercial",$C1238))),Variables!$B$1:$D$1,0),1))*L1238/16.67)),""))</f>
        <v>61.280693780179625</v>
      </c>
    </row>
    <row r="1239" spans="1:63">
      <c r="A1239" s="13" t="s">
        <v>103</v>
      </c>
      <c r="B1239" s="13" t="s">
        <v>104</v>
      </c>
      <c r="C1239" s="13" t="s">
        <v>105</v>
      </c>
      <c r="D1239" s="31">
        <v>46279</v>
      </c>
      <c r="E1239" s="31">
        <v>46296</v>
      </c>
      <c r="F1239" s="31">
        <v>46326</v>
      </c>
      <c r="G1239" s="13">
        <v>3787702</v>
      </c>
      <c r="J1239" s="13" t="s">
        <v>1356</v>
      </c>
      <c r="K1239" s="13">
        <v>5662</v>
      </c>
      <c r="L1239" s="13">
        <v>70</v>
      </c>
      <c r="M1239" s="13">
        <v>0</v>
      </c>
      <c r="N1239" s="13" t="s">
        <v>3026</v>
      </c>
      <c r="O1239" s="13" t="s">
        <v>179</v>
      </c>
      <c r="P1239" s="13">
        <v>10110</v>
      </c>
      <c r="Q1239" s="13" t="s">
        <v>121</v>
      </c>
      <c r="R1239" s="13" t="s">
        <v>239</v>
      </c>
      <c r="S1239" s="13" t="s">
        <v>2801</v>
      </c>
      <c r="T1239" s="13" t="s">
        <v>596</v>
      </c>
      <c r="U1239" s="13" t="s">
        <v>125</v>
      </c>
      <c r="V1239" s="23">
        <v>50</v>
      </c>
      <c r="W1239" s="44">
        <f>IF($AX1239="Cancelled","",IFERROR(((V1239+INDEX(Variables!$B$6:$D$6,IFERROR(MATCH(IF($B1239="Robusta","Robusta",(IF($B1239="","Arabica",$B1239))&amp;" - "&amp;(IF($C1239="","Commercial",$C1239))),Variables!$B$1:$D$1,0),1)))*22.0462)*(L1239/16.67),""))</f>
        <v>31549.738884223148</v>
      </c>
      <c r="X1239" s="55" t="s">
        <v>37</v>
      </c>
      <c r="Y1239" s="13" t="str">
        <f>IF($AX1239="Cancelled","",IF(X1239="","",IFERROR(IF(INDEX(Variables!$B$38:$B$47,MATCH(X1239,Variables!$A$38:$A$47,0))="Yes","Yes","No"),"No")))</f>
        <v>Yes</v>
      </c>
      <c r="Z1239" s="58">
        <v>46281</v>
      </c>
      <c r="AB1239" s="31">
        <v>46288</v>
      </c>
      <c r="AC1239" s="13" t="str">
        <f t="shared" si="59"/>
        <v>Approved</v>
      </c>
      <c r="AD1239" s="31">
        <v>46296</v>
      </c>
      <c r="AF1239" s="71">
        <v>46294</v>
      </c>
      <c r="AG1239" s="37">
        <f>IF($AX1239="Cancelled","",IFERROR(IF(F1239="","",F1239-Variables!$B$13),""))</f>
        <v>46311</v>
      </c>
      <c r="AH1239" s="13">
        <f>IF($AX1239="Cancelled","",IFERROR(IF(AB1239="","",(AVERAGE(E1239:F1239)-AB1239)-Variables!$B$14),""))</f>
        <v>-7</v>
      </c>
      <c r="AJ1239" s="47">
        <v>46297</v>
      </c>
      <c r="AK1239" s="14">
        <f>IF($AX1239="Cancelled","",IFERROR(IF(AJ1239="","",IF(AND(AB1239="",AF1239=""),"",IF(AF1239&gt;AB1239,AF1239+Variables!$B$15+Variables!$B$16+Variables!$B$17-AJ1239,AB1239+Variables!$B$16+Variables!$B$17-AJ1239))),""))</f>
        <v>12</v>
      </c>
      <c r="AL1239" s="48" t="s">
        <v>114</v>
      </c>
      <c r="AM1239" s="13" t="s">
        <v>168</v>
      </c>
      <c r="AN1239" s="13" t="s">
        <v>3286</v>
      </c>
      <c r="AP1239" s="31">
        <v>46312</v>
      </c>
      <c r="AR1239" s="13" t="s">
        <v>3283</v>
      </c>
      <c r="AS1239" s="31">
        <v>46316</v>
      </c>
      <c r="AX1239" s="13" t="str">
        <f>IF(ISNUMBER(SEARCH("cancel",#REF!)),"Cancelled",IF(AND(AS1239&lt;&gt;"",AU1239&lt;&gt;"",AW1239&lt;&gt;""),"Closed","Open"))</f>
        <v>Open</v>
      </c>
      <c r="AY1239" s="25" t="str">
        <f t="shared" si="58"/>
        <v>No shipping advice sent and No docs dispatch date</v>
      </c>
      <c r="BD1239" s="13">
        <f>IF($AX1239="Cancelled","",IFERROR(IF(OR(AS1239="",AJ1239=""),"",(AJ1239+Variables!$B$18-AS1239)),""))</f>
        <v>-4</v>
      </c>
      <c r="BE1239" s="13" t="str">
        <f>IF($AX1239="Cancelled","",IFERROR(IF(OR(AW1239="",AS1239=""),"",(AS1239+Variables!$B$19)-AW1239),""))</f>
        <v/>
      </c>
      <c r="BF1239" s="44" t="str">
        <f>IF($AX1239="Cancelled","",IFERROR(W1239*INDEX(Variables!$B$7:$D$7,IFERROR(MATCH(IF($B1239="Robusta","Robusta",(IF($B1239="","Arabica",$B1239))&amp;" - "&amp;(IF($C1239="","Commercial",$C1239))),Variables!$B$1:$D$1,0),1))*(BE1239/365),""))</f>
        <v/>
      </c>
      <c r="BG1239" s="44">
        <f>IF($AX1239="Cancelled","",IFERROR((W1239*INDEX(Variables!$B$7:$D$7,IFERROR(MATCH(IF($B1239="Robusta","Robusta",(IF($B1239="","Arabica",$B1239))&amp;" - "&amp;(IF($C1239="","Commercial",$C1239))),Variables!$B$1:$D$1,0),1))*IFERROR(IF(AB1239="","",(AVERAGE(E1239:F1239)-AB1239)-Variables!$B$14),"")/365)+(L1239/16.67*INDEX(Variables!$B$8:$D$8,IFERROR(MATCH(IF($B1239="Robusta","Robusta",(IF($B1239="","Arabica",$B1239))&amp;" - "&amp;(IF($C1239="","Commercial",$C1239))),Variables!$B$1:$D$1,0),1))*IFERROR(IF(AB1239="","",(AVERAGE(E1239:F1239)-AB1239)-Variables!$B$14),""))+(W1239*INDEX(Variables!$B$9:$D$9,IFERROR(MATCH(IF($B1239="Robusta","Robusta",(IF($B1239="","Arabica",$B1239))&amp;" - "&amp;(IF($C1239="","Commercial",$C1239))),Variables!$B$1:$D$1,0),1))*IFERROR(IF(AB1239="","",(AVERAGE(E1239:F1239)-AB1239)-Variables!$B$14),"")/365),""))</f>
        <v>-64.018813956994407</v>
      </c>
      <c r="BH1239" s="44">
        <f>IF($AX1239="Cancelled","",IFERROR((W1239*INDEX(Variables!$B$7:$D$7,IFERROR(MATCH(IF($B1239="Robusta","Robusta",(IF($B1239="","Arabica",$B1239))&amp;" - "&amp;(IF($C1239="","Commercial",$C1239))),Variables!$B$1:$D$1,0),1))*AK1239/365)+(L1239/16.67*INDEX(Variables!$B$8:$D$8,IFERROR(MATCH(IF($B1239="Robusta","Robusta",(IF($B1239="","Arabica",$B1239))&amp;" - "&amp;(IF($C1239="","Commercial",$C1239))),Variables!$B$1:$D$1,0),1))*AK1239)+(W1239*INDEX(Variables!$B$9:$D$9,IFERROR(MATCH(IF($B1239="Robusta","Robusta",(IF($B1239="","Arabica",$B1239))&amp;" - "&amp;(IF($C1239="","Commercial",$C1239))),Variables!$B$1:$D$1,0),1))*AK1239/365),""))</f>
        <v>109.74653821199041</v>
      </c>
      <c r="BI1239" s="44">
        <f>IF($AX1239="Cancelled","",IFERROR((W1239*INDEX(Variables!$B$7:$D$7,IFERROR(MATCH(IF($B1239="Robusta","Robusta",(IF($B1239="","Arabica",$B1239))&amp;" - "&amp;(IF($C1239="","Commercial",$C1239))),Variables!$B$1:$D$1,0),1))*BD1239/365)+(L1239/16.67*INDEX(Variables!$B$8:$D$8,IFERROR(MATCH(IF($B1239="Robusta","Robusta",(IF($B1239="","Arabica",$B1239))&amp;" - "&amp;(IF($C1239="","Commercial",$C1239))),Variables!$B$1:$D$1,0),1))*BD1239)+(W1239*INDEX(Variables!$B$9:$D$9,IFERROR(MATCH(IF($B1239="Robusta","Robusta",(IF($B1239="","Arabica",$B1239))&amp;" - "&amp;(IF($C1239="","Commercial",$C1239))),Variables!$B$1:$D$1,0),1))*BD1239/365),""))</f>
        <v>-36.582179403996811</v>
      </c>
      <c r="BJ1239" s="44">
        <f t="shared" si="60"/>
        <v>10</v>
      </c>
      <c r="BK1239" s="44">
        <f>IF($AX1239="Cancelled","",IFERROR(IF(BJ1239="","",(W1239*INDEX(Variables!$B$7:$D$7,IFERROR(MATCH(IF($B1239="Robusta","Robusta",(IF($B1239="","Arabica",$B1239))&amp;" - "&amp;(IF($C1239="","Commercial",$C1239))),Variables!$B$1:$D$1,0),1))*(BJ1239/365))+(W1239*INDEX(Variables!$B$9:$D$9,IFERROR(MATCH(IF($B1239="Robusta","Robusta",(IF($B1239="","Arabica",$B1239))&amp;" - "&amp;(IF($C1239="","Commercial",$C1239))),Variables!$B$1:$D$1,0),1))*(BJ1239/365))+(INDEX(Variables!$B$8:$D$8,IFERROR(MATCH(IF($B1239="Robusta","Robusta",(IF($B1239="","Arabica",$B1239))&amp;" - "&amp;(IF($C1239="","Commercial",$C1239))),Variables!$B$1:$D$1,0),1))*L1239/16.67)),""))</f>
        <v>59.95544850999201</v>
      </c>
    </row>
    <row r="1240" spans="1:63">
      <c r="A1240" s="13" t="s">
        <v>103</v>
      </c>
      <c r="B1240" s="13" t="s">
        <v>104</v>
      </c>
      <c r="C1240" s="13" t="s">
        <v>105</v>
      </c>
      <c r="D1240" s="31">
        <v>46279</v>
      </c>
      <c r="E1240" s="31">
        <v>46296</v>
      </c>
      <c r="F1240" s="31">
        <v>46326</v>
      </c>
      <c r="G1240" s="13">
        <v>3787703</v>
      </c>
      <c r="J1240" s="13" t="s">
        <v>1356</v>
      </c>
      <c r="K1240" s="13">
        <v>5662</v>
      </c>
      <c r="L1240" s="13">
        <v>80</v>
      </c>
      <c r="M1240" s="13">
        <v>0</v>
      </c>
      <c r="N1240" s="13" t="s">
        <v>3027</v>
      </c>
      <c r="O1240" s="13" t="s">
        <v>179</v>
      </c>
      <c r="P1240" s="13">
        <v>10110</v>
      </c>
      <c r="Q1240" s="13" t="s">
        <v>121</v>
      </c>
      <c r="R1240" s="13" t="s">
        <v>239</v>
      </c>
      <c r="S1240" s="13" t="s">
        <v>2801</v>
      </c>
      <c r="T1240" s="13" t="s">
        <v>596</v>
      </c>
      <c r="U1240" s="13" t="s">
        <v>125</v>
      </c>
      <c r="V1240" s="23">
        <v>55</v>
      </c>
      <c r="W1240" s="44">
        <f>IF($AX1240="Cancelled","",IFERROR(((V1240+INDEX(Variables!$B$6:$D$6,IFERROR(MATCH(IF($B1240="Robusta","Robusta",(IF($B1240="","Arabica",$B1240))&amp;" - "&amp;(IF($C1240="","Commercial",$C1240))),Variables!$B$1:$D$1,0),1)))*22.0462)*(L1240/16.67),""))</f>
        <v>36585.847438512297</v>
      </c>
      <c r="X1240" s="55" t="s">
        <v>37</v>
      </c>
      <c r="Y1240" s="13" t="str">
        <f>IF($AX1240="Cancelled","",IF(X1240="","",IFERROR(IF(INDEX(Variables!$B$38:$B$47,MATCH(X1240,Variables!$A$38:$A$47,0))="Yes","Yes","No"),"No")))</f>
        <v>Yes</v>
      </c>
      <c r="Z1240" s="58">
        <v>46281</v>
      </c>
      <c r="AB1240" s="31">
        <v>46288</v>
      </c>
      <c r="AC1240" s="13" t="str">
        <f t="shared" si="59"/>
        <v>Approved</v>
      </c>
      <c r="AD1240" s="31">
        <v>46296</v>
      </c>
      <c r="AF1240" s="71">
        <v>46294</v>
      </c>
      <c r="AG1240" s="37">
        <f>IF($AX1240="Cancelled","",IFERROR(IF(F1240="","",F1240-Variables!$B$13),""))</f>
        <v>46311</v>
      </c>
      <c r="AH1240" s="13">
        <f>IF($AX1240="Cancelled","",IFERROR(IF(AB1240="","",(AVERAGE(E1240:F1240)-AB1240)-Variables!$B$14),""))</f>
        <v>-7</v>
      </c>
      <c r="AJ1240" s="47">
        <v>46297</v>
      </c>
      <c r="AK1240" s="14">
        <f>IF($AX1240="Cancelled","",IFERROR(IF(AJ1240="","",IF(AND(AB1240="",AF1240=""),"",IF(AF1240&gt;AB1240,AF1240+Variables!$B$15+Variables!$B$16+Variables!$B$17-AJ1240,AB1240+Variables!$B$16+Variables!$B$17-AJ1240))),""))</f>
        <v>12</v>
      </c>
      <c r="AL1240" s="48" t="s">
        <v>114</v>
      </c>
      <c r="AM1240" s="13" t="s">
        <v>168</v>
      </c>
      <c r="AN1240" s="13" t="s">
        <v>3286</v>
      </c>
      <c r="AP1240" s="31">
        <v>46312</v>
      </c>
      <c r="AR1240" s="13" t="s">
        <v>3283</v>
      </c>
      <c r="AS1240" s="31">
        <v>46316</v>
      </c>
      <c r="AX1240" s="13" t="str">
        <f>IF(ISNUMBER(SEARCH("cancel",#REF!)),"Cancelled",IF(AND(AS1240&lt;&gt;"",AU1240&lt;&gt;"",AW1240&lt;&gt;""),"Closed","Open"))</f>
        <v>Open</v>
      </c>
      <c r="AY1240" s="25" t="str">
        <f t="shared" si="58"/>
        <v>No shipping advice sent and No docs dispatch date</v>
      </c>
      <c r="BD1240" s="13">
        <f>IF($AX1240="Cancelled","",IFERROR(IF(OR(AS1240="",AJ1240=""),"",(AJ1240+Variables!$B$18-AS1240)),""))</f>
        <v>-4</v>
      </c>
      <c r="BE1240" s="13" t="str">
        <f>IF($AX1240="Cancelled","",IFERROR(IF(OR(AW1240="",AS1240=""),"",(AS1240+Variables!$B$19)-AW1240),""))</f>
        <v/>
      </c>
      <c r="BF1240" s="44" t="str">
        <f>IF($AX1240="Cancelled","",IFERROR(W1240*INDEX(Variables!$B$7:$D$7,IFERROR(MATCH(IF($B1240="Robusta","Robusta",(IF($B1240="","Arabica",$B1240))&amp;" - "&amp;(IF($C1240="","Commercial",$C1240))),Variables!$B$1:$D$1,0),1))*(BE1240/365),""))</f>
        <v/>
      </c>
      <c r="BG1240" s="44">
        <f>IF($AX1240="Cancelled","",IFERROR((W1240*INDEX(Variables!$B$7:$D$7,IFERROR(MATCH(IF($B1240="Robusta","Robusta",(IF($B1240="","Arabica",$B1240))&amp;" - "&amp;(IF($C1240="","Commercial",$C1240))),Variables!$B$1:$D$1,0),1))*IFERROR(IF(AB1240="","",(AVERAGE(E1240:F1240)-AB1240)-Variables!$B$14),"")/365)+(L1240/16.67*INDEX(Variables!$B$8:$D$8,IFERROR(MATCH(IF($B1240="Robusta","Robusta",(IF($B1240="","Arabica",$B1240))&amp;" - "&amp;(IF($C1240="","Commercial",$C1240))),Variables!$B$1:$D$1,0),1))*IFERROR(IF(AB1240="","",(AVERAGE(E1240:F1240)-AB1240)-Variables!$B$14),""))+(W1240*INDEX(Variables!$B$9:$D$9,IFERROR(MATCH(IF($B1240="Robusta","Robusta",(IF($B1240="","Arabica",$B1240))&amp;" - "&amp;(IF($C1240="","Commercial",$C1240))),Variables!$B$1:$D$1,0),1))*IFERROR(IF(AB1240="","",(AVERAGE(E1240:F1240)-AB1240)-Variables!$B$14),"")/365),""))</f>
        <v>-73.826981443087419</v>
      </c>
      <c r="BH1240" s="44">
        <f>IF($AX1240="Cancelled","",IFERROR((W1240*INDEX(Variables!$B$7:$D$7,IFERROR(MATCH(IF($B1240="Robusta","Robusta",(IF($B1240="","Arabica",$B1240))&amp;" - "&amp;(IF($C1240="","Commercial",$C1240))),Variables!$B$1:$D$1,0),1))*AK1240/365)+(L1240/16.67*INDEX(Variables!$B$8:$D$8,IFERROR(MATCH(IF($B1240="Robusta","Robusta",(IF($B1240="","Arabica",$B1240))&amp;" - "&amp;(IF($C1240="","Commercial",$C1240))),Variables!$B$1:$D$1,0),1))*AK1240)+(W1240*INDEX(Variables!$B$9:$D$9,IFERROR(MATCH(IF($B1240="Robusta","Robusta",(IF($B1240="","Arabica",$B1240))&amp;" - "&amp;(IF($C1240="","Commercial",$C1240))),Variables!$B$1:$D$1,0),1))*AK1240/365),""))</f>
        <v>126.5605396167213</v>
      </c>
      <c r="BI1240" s="44">
        <f>IF($AX1240="Cancelled","",IFERROR((W1240*INDEX(Variables!$B$7:$D$7,IFERROR(MATCH(IF($B1240="Robusta","Robusta",(IF($B1240="","Arabica",$B1240))&amp;" - "&amp;(IF($C1240="","Commercial",$C1240))),Variables!$B$1:$D$1,0),1))*BD1240/365)+(L1240/16.67*INDEX(Variables!$B$8:$D$8,IFERROR(MATCH(IF($B1240="Robusta","Robusta",(IF($B1240="","Arabica",$B1240))&amp;" - "&amp;(IF($C1240="","Commercial",$C1240))),Variables!$B$1:$D$1,0),1))*BD1240)+(W1240*INDEX(Variables!$B$9:$D$9,IFERROR(MATCH(IF($B1240="Robusta","Robusta",(IF($B1240="","Arabica",$B1240))&amp;" - "&amp;(IF($C1240="","Commercial",$C1240))),Variables!$B$1:$D$1,0),1))*BD1240/365),""))</f>
        <v>-42.186846538907105</v>
      </c>
      <c r="BJ1240" s="44">
        <f t="shared" si="60"/>
        <v>10</v>
      </c>
      <c r="BK1240" s="44">
        <f>IF($AX1240="Cancelled","",IFERROR(IF(BJ1240="","",(W1240*INDEX(Variables!$B$7:$D$7,IFERROR(MATCH(IF($B1240="Robusta","Robusta",(IF($B1240="","Arabica",$B1240))&amp;" - "&amp;(IF($C1240="","Commercial",$C1240))),Variables!$B$1:$D$1,0),1))*(BJ1240/365))+(W1240*INDEX(Variables!$B$9:$D$9,IFERROR(MATCH(IF($B1240="Robusta","Robusta",(IF($B1240="","Arabica",$B1240))&amp;" - "&amp;(IF($C1240="","Commercial",$C1240))),Variables!$B$1:$D$1,0),1))*(BJ1240/365))+(INDEX(Variables!$B$8:$D$8,IFERROR(MATCH(IF($B1240="Robusta","Robusta",(IF($B1240="","Arabica",$B1240))&amp;" - "&amp;(IF($C1240="","Commercial",$C1240))),Variables!$B$1:$D$1,0),1))*L1240/16.67)),""))</f>
        <v>69.467116347267748</v>
      </c>
    </row>
    <row r="1241" spans="1:63">
      <c r="A1241" s="13" t="s">
        <v>103</v>
      </c>
      <c r="B1241" s="13" t="s">
        <v>104</v>
      </c>
      <c r="C1241" s="13" t="s">
        <v>105</v>
      </c>
      <c r="D1241" s="31">
        <v>46280</v>
      </c>
      <c r="E1241" s="31">
        <v>46113</v>
      </c>
      <c r="F1241" s="31">
        <v>46113</v>
      </c>
      <c r="G1241" s="13">
        <v>3787705</v>
      </c>
      <c r="J1241" s="13" t="s">
        <v>118</v>
      </c>
      <c r="L1241" s="13">
        <v>3600</v>
      </c>
      <c r="M1241" s="13">
        <v>10</v>
      </c>
      <c r="N1241" s="13" t="s">
        <v>3028</v>
      </c>
      <c r="O1241" s="13" t="s">
        <v>2095</v>
      </c>
      <c r="P1241" s="13">
        <v>10077</v>
      </c>
      <c r="Q1241" s="13" t="s">
        <v>745</v>
      </c>
      <c r="R1241" s="13" t="s">
        <v>122</v>
      </c>
      <c r="S1241" s="13" t="s">
        <v>154</v>
      </c>
      <c r="T1241" s="13" t="s">
        <v>155</v>
      </c>
      <c r="U1241" s="13" t="s">
        <v>125</v>
      </c>
      <c r="V1241" s="23">
        <v>4</v>
      </c>
      <c r="W1241" s="44">
        <f>IF($AX1241="Cancelled","",IFERROR(((V1241+INDEX(Variables!$B$6:$D$6,IFERROR(MATCH(IF($B1241="Robusta","Robusta",(IF($B1241="","Arabica",$B1241))&amp;" - "&amp;(IF($C1241="","Commercial",$C1241))),Variables!$B$1:$D$1,0),1)))*22.0462)*(L1241/16.67),""))</f>
        <v>1403550.7580083981</v>
      </c>
      <c r="X1241" s="55" t="s">
        <v>3029</v>
      </c>
      <c r="Y1241" s="13" t="str">
        <f>IF($AX1241="Cancelled","",IF(X1241="","",IFERROR(IF(INDEX(Variables!$B$38:$B$47,MATCH(X1241,Variables!$A$38:$A$47,0))="Yes","Yes","No"),"No")))</f>
        <v>No</v>
      </c>
      <c r="Z1241" s="31"/>
      <c r="AC1241" s="13" t="str">
        <f t="shared" si="59"/>
        <v/>
      </c>
      <c r="AF1241" s="71">
        <v>46158</v>
      </c>
      <c r="AG1241" s="37">
        <f>IF($AX1241="Cancelled","",IFERROR(IF(F1241="","",F1241-Variables!$B$13),""))</f>
        <v>46098</v>
      </c>
      <c r="AH1241" s="13" t="str">
        <f>IF($AX1241="Cancelled","",IFERROR(IF(AB1241="","",(AVERAGE(E1241:F1241)-AB1241)-Variables!$B$14),""))</f>
        <v/>
      </c>
      <c r="AJ1241" s="31">
        <v>46113</v>
      </c>
      <c r="AK1241" s="14">
        <f>IF($AX1241="Cancelled","",IFERROR(IF(AJ1241="","",IF(AND(AB1241="",AF1241=""),"",IF(AF1241&gt;AB1241,AF1241+Variables!$B$15+Variables!$B$16+Variables!$B$17-AJ1241,AB1241+Variables!$B$16+Variables!$B$17-AJ1241))),""))</f>
        <v>60</v>
      </c>
      <c r="AL1241" s="48" t="s">
        <v>114</v>
      </c>
      <c r="AM1241" s="13" t="s">
        <v>8</v>
      </c>
      <c r="AN1241" s="13" t="s">
        <v>8</v>
      </c>
      <c r="AR1241" s="13" t="s">
        <v>8</v>
      </c>
      <c r="AS1241" s="31">
        <v>46113</v>
      </c>
      <c r="AU1241" s="31">
        <v>46113</v>
      </c>
      <c r="AV1241" s="13" t="s">
        <v>8</v>
      </c>
      <c r="AW1241" s="31">
        <v>46113</v>
      </c>
      <c r="AX1241" s="13" t="str">
        <f>IF(ISNUMBER(SEARCH("cancel",#REF!)),"Cancelled",IF(AND(AS1241&lt;&gt;"",AU1241&lt;&gt;"",AW1241&lt;&gt;""),"Closed","Open"))</f>
        <v>Closed</v>
      </c>
      <c r="AY1241" s="25" t="str">
        <f t="shared" si="58"/>
        <v>All dates received</v>
      </c>
      <c r="BD1241" s="13">
        <f>IF($AX1241="Cancelled","",IFERROR(IF(OR(AS1241="",AJ1241=""),"",(AJ1241+Variables!$B$18-AS1241)),""))</f>
        <v>15</v>
      </c>
      <c r="BE1241" s="13">
        <f>IF($AX1241="Cancelled","",IFERROR(IF(OR(AW1241="",AS1241=""),"",(AS1241+Variables!$B$19)-AW1241),""))</f>
        <v>5</v>
      </c>
      <c r="BF1241" s="44">
        <f>IF($AX1241="Cancelled","",IFERROR(W1241*INDEX(Variables!$B$7:$D$7,IFERROR(MATCH(IF($B1241="Robusta","Robusta",(IF($B1241="","Arabica",$B1241))&amp;" - "&amp;(IF($C1241="","Commercial",$C1241))),Variables!$B$1:$D$1,0),1))*(BE1241/365),""))</f>
        <v>1239.7813792883442</v>
      </c>
      <c r="BG1241" s="44" t="str">
        <f>IF($AX1241="Cancelled","",IFERROR((W1241*INDEX(Variables!$B$7:$D$7,IFERROR(MATCH(IF($B1241="Robusta","Robusta",(IF($B1241="","Arabica",$B1241))&amp;" - "&amp;(IF($C1241="","Commercial",$C1241))),Variables!$B$1:$D$1,0),1))*IFERROR(IF(AB1241="","",(AVERAGE(E1241:F1241)-AB1241)-Variables!$B$14),"")/365)+(L1241/16.67*INDEX(Variables!$B$8:$D$8,IFERROR(MATCH(IF($B1241="Robusta","Robusta",(IF($B1241="","Arabica",$B1241))&amp;" - "&amp;(IF($C1241="","Commercial",$C1241))),Variables!$B$1:$D$1,0),1))*IFERROR(IF(AB1241="","",(AVERAGE(E1241:F1241)-AB1241)-Variables!$B$14),""))+(W1241*INDEX(Variables!$B$9:$D$9,IFERROR(MATCH(IF($B1241="Robusta","Robusta",(IF($B1241="","Arabica",$B1241))&amp;" - "&amp;(IF($C1241="","Commercial",$C1241))),Variables!$B$1:$D$1,0),1))*IFERROR(IF(AB1241="","",(AVERAGE(E1241:F1241)-AB1241)-Variables!$B$14),"")/365),""))</f>
        <v/>
      </c>
      <c r="BH1241" s="44">
        <f>IF($AX1241="Cancelled","",IFERROR((W1241*INDEX(Variables!$B$7:$D$7,IFERROR(MATCH(IF($B1241="Robusta","Robusta",(IF($B1241="","Arabica",$B1241))&amp;" - "&amp;(IF($C1241="","Commercial",$C1241))),Variables!$B$1:$D$1,0),1))*AK1241/365)+(L1241/16.67*INDEX(Variables!$B$8:$D$8,IFERROR(MATCH(IF($B1241="Robusta","Robusta",(IF($B1241="","Arabica",$B1241))&amp;" - "&amp;(IF($C1241="","Commercial",$C1241))),Variables!$B$1:$D$1,0),1))*AK1241)+(W1241*INDEX(Variables!$B$9:$D$9,IFERROR(MATCH(IF($B1241="Robusta","Robusta",(IF($B1241="","Arabica",$B1241))&amp;" - "&amp;(IF($C1241="","Commercial",$C1241))),Variables!$B$1:$D$1,0),1))*AK1241/365),""))</f>
        <v>25869.174646550386</v>
      </c>
      <c r="BI1241" s="44">
        <f>IF($AX1241="Cancelled","",IFERROR((W1241*INDEX(Variables!$B$7:$D$7,IFERROR(MATCH(IF($B1241="Robusta","Robusta",(IF($B1241="","Arabica",$B1241))&amp;" - "&amp;(IF($C1241="","Commercial",$C1241))),Variables!$B$1:$D$1,0),1))*BD1241/365)+(L1241/16.67*INDEX(Variables!$B$8:$D$8,IFERROR(MATCH(IF($B1241="Robusta","Robusta",(IF($B1241="","Arabica",$B1241))&amp;" - "&amp;(IF($C1241="","Commercial",$C1241))),Variables!$B$1:$D$1,0),1))*BD1241)+(W1241*INDEX(Variables!$B$9:$D$9,IFERROR(MATCH(IF($B1241="Robusta","Robusta",(IF($B1241="","Arabica",$B1241))&amp;" - "&amp;(IF($C1241="","Commercial",$C1241))),Variables!$B$1:$D$1,0),1))*BD1241/365),""))</f>
        <v>6467.2936616375964</v>
      </c>
      <c r="BJ1241" s="44">
        <f t="shared" si="60"/>
        <v>0</v>
      </c>
      <c r="BK1241" s="44">
        <f>IF($AX1241="Cancelled","",IFERROR(IF(BJ1241="","",(W1241*INDEX(Variables!$B$7:$D$7,IFERROR(MATCH(IF($B1241="Robusta","Robusta",(IF($B1241="","Arabica",$B1241))&amp;" - "&amp;(IF($C1241="","Commercial",$C1241))),Variables!$B$1:$D$1,0),1))*(BJ1241/365))+(W1241*INDEX(Variables!$B$9:$D$9,IFERROR(MATCH(IF($B1241="Robusta","Robusta",(IF($B1241="","Arabica",$B1241))&amp;" - "&amp;(IF($C1241="","Commercial",$C1241))),Variables!$B$1:$D$1,0),1))*(BJ1241/365))+(INDEX(Variables!$B$8:$D$8,IFERROR(MATCH(IF($B1241="Robusta","Robusta",(IF($B1241="","Arabica",$B1241))&amp;" - "&amp;(IF($C1241="","Commercial",$C1241))),Variables!$B$1:$D$1,0),1))*L1241/16.67)),""))</f>
        <v>180</v>
      </c>
    </row>
    <row r="1242" spans="1:63">
      <c r="A1242" s="13" t="s">
        <v>103</v>
      </c>
      <c r="B1242" s="13" t="s">
        <v>104</v>
      </c>
      <c r="C1242" s="13" t="s">
        <v>105</v>
      </c>
      <c r="D1242" s="31">
        <v>46280</v>
      </c>
      <c r="E1242" s="31">
        <v>46296</v>
      </c>
      <c r="F1242" s="31">
        <v>46326</v>
      </c>
      <c r="G1242" s="13">
        <v>3787706</v>
      </c>
      <c r="J1242" s="13" t="s">
        <v>2856</v>
      </c>
      <c r="L1242" s="13">
        <v>320</v>
      </c>
      <c r="M1242" s="13">
        <v>1</v>
      </c>
      <c r="N1242" s="13" t="s">
        <v>3030</v>
      </c>
      <c r="O1242" s="13" t="s">
        <v>261</v>
      </c>
      <c r="P1242" s="13">
        <v>10060</v>
      </c>
      <c r="R1242" s="13" t="s">
        <v>239</v>
      </c>
      <c r="V1242" s="23">
        <v>83</v>
      </c>
      <c r="W1242" s="44">
        <f>IF($AX1242="Cancelled","",IFERROR(((V1242+INDEX(Variables!$B$6:$D$6,IFERROR(MATCH(IF($B1242="Robusta","Robusta",(IF($B1242="","Arabica",$B1242))&amp;" - "&amp;(IF($C1242="","Commercial",$C1242))),Variables!$B$1:$D$1,0),1)))*22.0462)*(L1242/16.67),""))</f>
        <v>158193.05694061186</v>
      </c>
      <c r="X1242" s="55" t="s">
        <v>37</v>
      </c>
      <c r="Y1242" s="13" t="str">
        <f>IF($AX1242="Cancelled","",IF(X1242="","",IFERROR(IF(INDEX(Variables!$B$38:$B$47,MATCH(X1242,Variables!$A$38:$A$47,0))="Yes","Yes","No"),"No")))</f>
        <v>Yes</v>
      </c>
      <c r="Z1242" s="58">
        <v>46283</v>
      </c>
      <c r="AB1242" s="31">
        <v>46288</v>
      </c>
      <c r="AC1242" s="13" t="str">
        <f t="shared" si="59"/>
        <v>Approved</v>
      </c>
      <c r="AF1242" s="71">
        <v>46297</v>
      </c>
      <c r="AG1242" s="37">
        <f>IF($AX1242="Cancelled","",IFERROR(IF(F1242="","",F1242-Variables!$B$13),""))</f>
        <v>46311</v>
      </c>
      <c r="AH1242" s="13">
        <f>IF($AX1242="Cancelled","",IFERROR(IF(AB1242="","",(AVERAGE(E1242:F1242)-AB1242)-Variables!$B$14),""))</f>
        <v>-7</v>
      </c>
      <c r="AK1242" s="14" t="str">
        <f>IF($AX1242="Cancelled","",IFERROR(IF(AJ1242="","",IF(AND(AB1242="",AF1242=""),"",IF(AF1242&gt;AB1242,AF1242+Variables!$B$15+Variables!$B$16+Variables!$B$17-AJ1242,AB1242+Variables!$B$16+Variables!$B$17-AJ1242))),""))</f>
        <v/>
      </c>
      <c r="AL1242" s="48" t="s">
        <v>114</v>
      </c>
      <c r="AX1242" s="13" t="str">
        <f>IF(ISNUMBER(SEARCH("cancel",#REF!)),"Cancelled",IF(AND(AS1242&lt;&gt;"",AU1242&lt;&gt;"",AW1242&lt;&gt;""),"Closed","Open"))</f>
        <v>Open</v>
      </c>
      <c r="AY1242" s="25" t="str">
        <f t="shared" si="58"/>
        <v>No sailing date and No shipping advice sent and No docs dispatch date</v>
      </c>
      <c r="BD1242" s="13" t="str">
        <f>IF($AX1242="Cancelled","",IFERROR(IF(OR(AS1242="",AJ1242=""),"",(AJ1242+Variables!$B$18-AS1242)),""))</f>
        <v/>
      </c>
      <c r="BE1242" s="13" t="str">
        <f>IF($AX1242="Cancelled","",IFERROR(IF(OR(AW1242="",AS1242=""),"",(AS1242+Variables!$B$19)-AW1242),""))</f>
        <v/>
      </c>
      <c r="BF1242" s="44" t="str">
        <f>IF($AX1242="Cancelled","",IFERROR(W1242*INDEX(Variables!$B$7:$D$7,IFERROR(MATCH(IF($B1242="Robusta","Robusta",(IF($B1242="","Arabica",$B1242))&amp;" - "&amp;(IF($C1242="","Commercial",$C1242))),Variables!$B$1:$D$1,0),1))*(BE1242/365),""))</f>
        <v/>
      </c>
      <c r="BG1242" s="44">
        <f>IF($AX1242="Cancelled","",IFERROR((W1242*INDEX(Variables!$B$7:$D$7,IFERROR(MATCH(IF($B1242="Robusta","Robusta",(IF($B1242="","Arabica",$B1242))&amp;" - "&amp;(IF($C1242="","Commercial",$C1242))),Variables!$B$1:$D$1,0),1))*IFERROR(IF(AB1242="","",(AVERAGE(E1242:F1242)-AB1242)-Variables!$B$14),"")/365)+(L1242/16.67*INDEX(Variables!$B$8:$D$8,IFERROR(MATCH(IF($B1242="Robusta","Robusta",(IF($B1242="","Arabica",$B1242))&amp;" - "&amp;(IF($C1242="","Commercial",$C1242))),Variables!$B$1:$D$1,0),1))*IFERROR(IF(AB1242="","",(AVERAGE(E1242:F1242)-AB1242)-Variables!$B$14),""))+(W1242*INDEX(Variables!$B$9:$D$9,IFERROR(MATCH(IF($B1242="Robusta","Robusta",(IF($B1242="","Arabica",$B1242))&amp;" - "&amp;(IF($C1242="","Commercial",$C1242))),Variables!$B$1:$D$1,0),1))*IFERROR(IF(AB1242="","",(AVERAGE(E1242:F1242)-AB1242)-Variables!$B$14),"")/365),""))</f>
        <v>-310.1506727984509</v>
      </c>
      <c r="BH1242" s="44" t="str">
        <f>IF($AX1242="Cancelled","",IFERROR((W1242*INDEX(Variables!$B$7:$D$7,IFERROR(MATCH(IF($B1242="Robusta","Robusta",(IF($B1242="","Arabica",$B1242))&amp;" - "&amp;(IF($C1242="","Commercial",$C1242))),Variables!$B$1:$D$1,0),1))*AK1242/365)+(L1242/16.67*INDEX(Variables!$B$8:$D$8,IFERROR(MATCH(IF($B1242="Robusta","Robusta",(IF($B1242="","Arabica",$B1242))&amp;" - "&amp;(IF($C1242="","Commercial",$C1242))),Variables!$B$1:$D$1,0),1))*AK1242)+(W1242*INDEX(Variables!$B$9:$D$9,IFERROR(MATCH(IF($B1242="Robusta","Robusta",(IF($B1242="","Arabica",$B1242))&amp;" - "&amp;(IF($C1242="","Commercial",$C1242))),Variables!$B$1:$D$1,0),1))*AK1242/365),""))</f>
        <v/>
      </c>
      <c r="BI1242" s="44" t="str">
        <f>IF($AX1242="Cancelled","",IFERROR((W1242*INDEX(Variables!$B$7:$D$7,IFERROR(MATCH(IF($B1242="Robusta","Robusta",(IF($B1242="","Arabica",$B1242))&amp;" - "&amp;(IF($C1242="","Commercial",$C1242))),Variables!$B$1:$D$1,0),1))*BD1242/365)+(L1242/16.67*INDEX(Variables!$B$8:$D$8,IFERROR(MATCH(IF($B1242="Robusta","Robusta",(IF($B1242="","Arabica",$B1242))&amp;" - "&amp;(IF($C1242="","Commercial",$C1242))),Variables!$B$1:$D$1,0),1))*BD1242)+(W1242*INDEX(Variables!$B$9:$D$9,IFERROR(MATCH(IF($B1242="Robusta","Robusta",(IF($B1242="","Arabica",$B1242))&amp;" - "&amp;(IF($C1242="","Commercial",$C1242))),Variables!$B$1:$D$1,0),1))*BD1242/365),""))</f>
        <v/>
      </c>
      <c r="BJ1242" s="44" t="str">
        <f t="shared" si="60"/>
        <v/>
      </c>
      <c r="BK1242" s="44" t="str">
        <f>IF($AX1242="Cancelled","",IFERROR(IF(BJ1242="","",(W1242*INDEX(Variables!$B$7:$D$7,IFERROR(MATCH(IF($B1242="Robusta","Robusta",(IF($B1242="","Arabica",$B1242))&amp;" - "&amp;(IF($C1242="","Commercial",$C1242))),Variables!$B$1:$D$1,0),1))*(BJ1242/365))+(W1242*INDEX(Variables!$B$9:$D$9,IFERROR(MATCH(IF($B1242="Robusta","Robusta",(IF($B1242="","Arabica",$B1242))&amp;" - "&amp;(IF($C1242="","Commercial",$C1242))),Variables!$B$1:$D$1,0),1))*(BJ1242/365))+(INDEX(Variables!$B$8:$D$8,IFERROR(MATCH(IF($B1242="Robusta","Robusta",(IF($B1242="","Arabica",$B1242))&amp;" - "&amp;(IF($C1242="","Commercial",$C1242))),Variables!$B$1:$D$1,0),1))*L1242/16.67)),""))</f>
        <v/>
      </c>
    </row>
    <row r="1243" spans="1:63">
      <c r="A1243" s="13" t="s">
        <v>103</v>
      </c>
      <c r="B1243" s="13" t="s">
        <v>104</v>
      </c>
      <c r="C1243" s="13" t="s">
        <v>105</v>
      </c>
      <c r="D1243" s="31">
        <v>46283</v>
      </c>
      <c r="E1243" s="31">
        <v>46357</v>
      </c>
      <c r="F1243" s="31">
        <v>46387</v>
      </c>
      <c r="G1243" s="13">
        <v>3787707</v>
      </c>
      <c r="H1243" s="13" t="s">
        <v>3309</v>
      </c>
      <c r="J1243" s="13" t="s">
        <v>506</v>
      </c>
      <c r="L1243" s="13">
        <v>333</v>
      </c>
      <c r="M1243" s="13">
        <v>1</v>
      </c>
      <c r="N1243" s="13" t="s">
        <v>3031</v>
      </c>
      <c r="O1243" s="13" t="s">
        <v>418</v>
      </c>
      <c r="P1243" s="13">
        <v>10070</v>
      </c>
      <c r="R1243" s="13" t="s">
        <v>271</v>
      </c>
      <c r="V1243" s="23">
        <v>73</v>
      </c>
      <c r="W1243" s="44">
        <f>IF($AX1243="Cancelled","",IFERROR(((V1243+INDEX(Variables!$B$6:$D$6,IFERROR(MATCH(IF($B1243="Robusta","Robusta",(IF($B1243="","Arabica",$B1243))&amp;" - "&amp;(IF($C1243="","Commercial",$C1243))),Variables!$B$1:$D$1,0),1)))*22.0462)*(L1243/16.67),""))</f>
        <v>160215.69990881821</v>
      </c>
      <c r="X1243" s="55" t="s">
        <v>37</v>
      </c>
      <c r="Y1243" s="13" t="str">
        <f>IF($AX1243="Cancelled","",IF(X1243="","",IFERROR(IF(INDEX(Variables!$B$38:$B$47,MATCH(X1243,Variables!$A$38:$A$47,0))="Yes","Yes","No"),"No")))</f>
        <v>Yes</v>
      </c>
      <c r="Z1243" s="58">
        <v>46308</v>
      </c>
      <c r="AB1243" s="31" t="s">
        <v>3308</v>
      </c>
      <c r="AC1243" s="13" t="s">
        <v>443</v>
      </c>
      <c r="AF1243" s="71"/>
      <c r="AG1243" s="37">
        <f>IF($AX1243="Cancelled","",IFERROR(IF(F1243="","",F1243-Variables!$B$13),""))</f>
        <v>46372</v>
      </c>
      <c r="AH1243" s="13">
        <f>IF($AX1243="Cancelled","",IFERROR(IF(AB1243="","",(AVERAGE(E1243:F1243)-AB1243)-Variables!$B$14),""))</f>
        <v>20</v>
      </c>
      <c r="AK1243" s="14" t="str">
        <f>IF($AX1243="Cancelled","",IFERROR(IF(AJ1243="","",IF(AND(AB1243="",AF1243=""),"",IF(AF1243&gt;AB1243,AF1243+Variables!$B$15+Variables!$B$16+Variables!$B$17-AJ1243,AB1243+Variables!$B$16+Variables!$B$17-AJ1243))),""))</f>
        <v/>
      </c>
      <c r="AM1243" s="13" t="e">
        <v>#REF!</v>
      </c>
      <c r="AN1243" s="13">
        <v>0</v>
      </c>
      <c r="AR1243" s="13" t="e">
        <v>#REF!</v>
      </c>
      <c r="AV1243" s="13" t="e">
        <v>#REF!</v>
      </c>
      <c r="AX1243" s="13" t="str">
        <f>IF(ISNUMBER(SEARCH("cancel",#REF!)),"Cancelled",IF(AND(AS1243&lt;&gt;"",AU1243&lt;&gt;"",AW1243&lt;&gt;""),"Closed","Open"))</f>
        <v>Open</v>
      </c>
      <c r="AY1243" s="25" t="str">
        <f t="shared" si="58"/>
        <v>No sailing date and No shipping advice sent and No docs dispatch date</v>
      </c>
      <c r="BD1243" s="13" t="str">
        <f>IF($AX1243="Cancelled","",IFERROR(IF(OR(AS1243="",AJ1243=""),"",(AJ1243+Variables!$B$18-AS1243)),""))</f>
        <v/>
      </c>
      <c r="BE1243" s="13" t="str">
        <f>IF($AX1243="Cancelled","",IFERROR(IF(OR(AW1243="",AS1243=""),"",(AS1243+Variables!$B$19)-AW1243),""))</f>
        <v/>
      </c>
      <c r="BF1243" s="44" t="str">
        <f>IF($AX1243="Cancelled","",IFERROR(W1243*INDEX(Variables!$B$7:$D$7,IFERROR(MATCH(IF($B1243="Robusta","Robusta",(IF($B1243="","Arabica",$B1243))&amp;" - "&amp;(IF($C1243="","Commercial",$C1243))),Variables!$B$1:$D$1,0),1))*(BE1243/365),""))</f>
        <v/>
      </c>
      <c r="BG1243" s="44">
        <f>IF($AX1243="Cancelled","",IFERROR((W1243*INDEX(Variables!$B$7:$D$7,IFERROR(MATCH(IF($B1243="Robusta","Robusta",(IF($B1243="","Arabica",$B1243))&amp;" - "&amp;(IF($C1243="","Commercial",$C1243))),Variables!$B$1:$D$1,0),1))*IFERROR(IF(AB1243="","",(AVERAGE(E1243:F1243)-AB1243)-Variables!$B$14),"")/365)+(L1243/16.67*INDEX(Variables!$B$8:$D$8,IFERROR(MATCH(IF($B1243="Robusta","Robusta",(IF($B1243="","Arabica",$B1243))&amp;" - "&amp;(IF($C1243="","Commercial",$C1243))),Variables!$B$1:$D$1,0),1))*IFERROR(IF(AB1243="","",(AVERAGE(E1243:F1243)-AB1243)-Variables!$B$14),""))+(W1243*INDEX(Variables!$B$9:$D$9,IFERROR(MATCH(IF($B1243="Robusta","Robusta",(IF($B1243="","Arabica",$B1243))&amp;" - "&amp;(IF($C1243="","Commercial",$C1243))),Variables!$B$1:$D$1,0),1))*IFERROR(IF(AB1243="","",(AVERAGE(E1243:F1243)-AB1243)-Variables!$B$14),"")/365),""))</f>
        <v>906.38345841066302</v>
      </c>
      <c r="BH1243" s="44" t="str">
        <f>IF($AX1243="Cancelled","",IFERROR((W1243*INDEX(Variables!$B$7:$D$7,IFERROR(MATCH(IF($B1243="Robusta","Robusta",(IF($B1243="","Arabica",$B1243))&amp;" - "&amp;(IF($C1243="","Commercial",$C1243))),Variables!$B$1:$D$1,0),1))*AK1243/365)+(L1243/16.67*INDEX(Variables!$B$8:$D$8,IFERROR(MATCH(IF($B1243="Robusta","Robusta",(IF($B1243="","Arabica",$B1243))&amp;" - "&amp;(IF($C1243="","Commercial",$C1243))),Variables!$B$1:$D$1,0),1))*AK1243)+(W1243*INDEX(Variables!$B$9:$D$9,IFERROR(MATCH(IF($B1243="Robusta","Robusta",(IF($B1243="","Arabica",$B1243))&amp;" - "&amp;(IF($C1243="","Commercial",$C1243))),Variables!$B$1:$D$1,0),1))*AK1243/365),""))</f>
        <v/>
      </c>
      <c r="BI1243" s="44" t="str">
        <f>IF($AX1243="Cancelled","",IFERROR((W1243*INDEX(Variables!$B$7:$D$7,IFERROR(MATCH(IF($B1243="Robusta","Robusta",(IF($B1243="","Arabica",$B1243))&amp;" - "&amp;(IF($C1243="","Commercial",$C1243))),Variables!$B$1:$D$1,0),1))*BD1243/365)+(L1243/16.67*INDEX(Variables!$B$8:$D$8,IFERROR(MATCH(IF($B1243="Robusta","Robusta",(IF($B1243="","Arabica",$B1243))&amp;" - "&amp;(IF($C1243="","Commercial",$C1243))),Variables!$B$1:$D$1,0),1))*BD1243)+(W1243*INDEX(Variables!$B$9:$D$9,IFERROR(MATCH(IF($B1243="Robusta","Robusta",(IF($B1243="","Arabica",$B1243))&amp;" - "&amp;(IF($C1243="","Commercial",$C1243))),Variables!$B$1:$D$1,0),1))*BD1243/365),""))</f>
        <v/>
      </c>
      <c r="BJ1243" s="44" t="str">
        <f t="shared" si="60"/>
        <v/>
      </c>
      <c r="BK1243" s="44" t="str">
        <f>IF($AX1243="Cancelled","",IFERROR(IF(BJ1243="","",(W1243*INDEX(Variables!$B$7:$D$7,IFERROR(MATCH(IF($B1243="Robusta","Robusta",(IF($B1243="","Arabica",$B1243))&amp;" - "&amp;(IF($C1243="","Commercial",$C1243))),Variables!$B$1:$D$1,0),1))*(BJ1243/365))+(W1243*INDEX(Variables!$B$9:$D$9,IFERROR(MATCH(IF($B1243="Robusta","Robusta",(IF($B1243="","Arabica",$B1243))&amp;" - "&amp;(IF($C1243="","Commercial",$C1243))),Variables!$B$1:$D$1,0),1))*(BJ1243/365))+(INDEX(Variables!$B$8:$D$8,IFERROR(MATCH(IF($B1243="Robusta","Robusta",(IF($B1243="","Arabica",$B1243))&amp;" - "&amp;(IF($C1243="","Commercial",$C1243))),Variables!$B$1:$D$1,0),1))*L1243/16.67)),""))</f>
        <v/>
      </c>
    </row>
    <row r="1244" spans="1:63">
      <c r="A1244" s="13" t="s">
        <v>103</v>
      </c>
      <c r="B1244" s="13" t="s">
        <v>104</v>
      </c>
      <c r="C1244" s="13" t="s">
        <v>105</v>
      </c>
      <c r="D1244" s="31">
        <v>46302</v>
      </c>
      <c r="E1244" s="31">
        <v>46357</v>
      </c>
      <c r="F1244" s="31">
        <v>46387</v>
      </c>
      <c r="G1244" s="13">
        <v>3787710</v>
      </c>
      <c r="J1244" s="13" t="s">
        <v>118</v>
      </c>
      <c r="L1244" s="13">
        <v>1667</v>
      </c>
      <c r="M1244" s="13">
        <v>5</v>
      </c>
      <c r="N1244" s="13" t="s">
        <v>3032</v>
      </c>
      <c r="O1244" s="13" t="s">
        <v>1163</v>
      </c>
      <c r="P1244" s="13">
        <v>10310</v>
      </c>
      <c r="Q1244" s="59" t="s">
        <v>270</v>
      </c>
      <c r="R1244" s="13" t="s">
        <v>271</v>
      </c>
      <c r="V1244" s="23">
        <v>77</v>
      </c>
      <c r="W1244" s="44">
        <f>IF($AX1244="Cancelled","",IFERROR(((V1244+INDEX(Variables!$B$6:$D$6,IFERROR(MATCH(IF($B1244="Robusta","Robusta",(IF($B1244="","Arabica",$B1244))&amp;" - "&amp;(IF($C1244="","Commercial",$C1244))),Variables!$B$1:$D$1,0),1)))*22.0462)*(L1244/16.67),""))</f>
        <v>810859.2359999998</v>
      </c>
      <c r="X1244" s="55" t="s">
        <v>37</v>
      </c>
      <c r="Y1244" s="13" t="str">
        <f>IF($AX1244="Cancelled","",IF(X1244="","",IFERROR(IF(INDEX(Variables!$B$38:$B$47,MATCH(X1244,Variables!$A$38:$A$47,0))="Yes","Yes","No"),"No")))</f>
        <v>Yes</v>
      </c>
      <c r="Z1244" s="58">
        <v>46308</v>
      </c>
      <c r="AB1244" s="31">
        <v>46316</v>
      </c>
      <c r="AC1244" s="13" t="str">
        <f t="shared" si="59"/>
        <v>Approved</v>
      </c>
      <c r="AF1244" s="71"/>
      <c r="AG1244" s="37">
        <f>IF($AX1244="Cancelled","",IFERROR(IF(F1244="","",F1244-Variables!$B$13),""))</f>
        <v>46372</v>
      </c>
      <c r="AH1244" s="13">
        <f>IF($AX1244="Cancelled","",IFERROR(IF(AB1244="","",(AVERAGE(E1244:F1244)-AB1244)-Variables!$B$14),""))</f>
        <v>26</v>
      </c>
      <c r="AK1244" s="14"/>
      <c r="AM1244" s="13" t="e">
        <v>#REF!</v>
      </c>
      <c r="AN1244" s="13">
        <v>0</v>
      </c>
      <c r="AR1244" s="13" t="e">
        <v>#REF!</v>
      </c>
      <c r="AV1244" s="13" t="e">
        <v>#REF!</v>
      </c>
      <c r="AX1244" s="13" t="str">
        <f>IF(ISNUMBER(SEARCH("cancel",#REF!)),"Cancelled",IF(AND(AS1244&lt;&gt;"",AU1244&lt;&gt;"",AW1244&lt;&gt;""),"Closed","Open"))</f>
        <v>Open</v>
      </c>
      <c r="AY1244" s="25" t="str">
        <f t="shared" si="58"/>
        <v>No sailing date and No shipping advice sent and No docs dispatch date</v>
      </c>
      <c r="BD1244" s="13" t="str">
        <f>IF($AX1244="Cancelled","",IFERROR(IF(OR(AS1244="",AJ1244=""),"",(AJ1244+Variables!$B$18-AS1244)),""))</f>
        <v/>
      </c>
      <c r="BE1244" s="13" t="str">
        <f>IF($AX1244="Cancelled","",IFERROR(IF(OR(AW1244="",AS1244=""),"",(AS1244+Variables!$B$19)-AW1244),""))</f>
        <v/>
      </c>
      <c r="BF1244" s="44" t="str">
        <f>IF($AX1244="Cancelled","",IFERROR(W1244*INDEX(Variables!$B$7:$D$7,IFERROR(MATCH(IF($B1244="Robusta","Robusta",(IF($B1244="","Arabica",$B1244))&amp;" - "&amp;(IF($C1244="","Commercial",$C1244))),Variables!$B$1:$D$1,0),1))*(BE1244/365),""))</f>
        <v/>
      </c>
      <c r="BG1244" s="44">
        <f>IF($AX1244="Cancelled","",IFERROR((W1244*INDEX(Variables!$B$7:$D$7,IFERROR(MATCH(IF($B1244="Robusta","Robusta",(IF($B1244="","Arabica",$B1244))&amp;" - "&amp;(IF($C1244="","Commercial",$C1244))),Variables!$B$1:$D$1,0),1))*IFERROR(IF(AB1244="","",(AVERAGE(E1244:F1244)-AB1244)-Variables!$B$14),"")/365)+(L1244/16.67*INDEX(Variables!$B$8:$D$8,IFERROR(MATCH(IF($B1244="Robusta","Robusta",(IF($B1244="","Arabica",$B1244))&amp;" - "&amp;(IF($C1244="","Commercial",$C1244))),Variables!$B$1:$D$1,0),1))*IFERROR(IF(AB1244="","",(AVERAGE(E1244:F1244)-AB1244)-Variables!$B$14),""))+(W1244*INDEX(Variables!$B$9:$D$9,IFERROR(MATCH(IF($B1244="Robusta","Robusta",(IF($B1244="","Arabica",$B1244))&amp;" - "&amp;(IF($C1244="","Commercial",$C1244))),Variables!$B$1:$D$1,0),1))*IFERROR(IF(AB1244="","",(AVERAGE(E1244:F1244)-AB1244)-Variables!$B$14),"")/365),""))</f>
        <v>5939.5970478702357</v>
      </c>
      <c r="BH1244" s="44">
        <f>IF($AX1244="Cancelled","",IFERROR((W1244*INDEX(Variables!$B$7:$D$7,IFERROR(MATCH(IF($B1244="Robusta","Robusta",(IF($B1244="","Arabica",$B1244))&amp;" - "&amp;(IF($C1244="","Commercial",$C1244))),Variables!$B$1:$D$1,0),1))*AK1244/365)+(L1244/16.67*INDEX(Variables!$B$8:$D$8,IFERROR(MATCH(IF($B1244="Robusta","Robusta",(IF($B1244="","Arabica",$B1244))&amp;" - "&amp;(IF($C1244="","Commercial",$C1244))),Variables!$B$1:$D$1,0),1))*AK1244)+(W1244*INDEX(Variables!$B$9:$D$9,IFERROR(MATCH(IF($B1244="Robusta","Robusta",(IF($B1244="","Arabica",$B1244))&amp;" - "&amp;(IF($C1244="","Commercial",$C1244))),Variables!$B$1:$D$1,0),1))*AK1244/365),""))</f>
        <v>0</v>
      </c>
      <c r="BI1244" s="44" t="str">
        <f>IF($AX1244="Cancelled","",IFERROR((W1244*INDEX(Variables!$B$7:$D$7,IFERROR(MATCH(IF($B1244="Robusta","Robusta",(IF($B1244="","Arabica",$B1244))&amp;" - "&amp;(IF($C1244="","Commercial",$C1244))),Variables!$B$1:$D$1,0),1))*BD1244/365)+(L1244/16.67*INDEX(Variables!$B$8:$D$8,IFERROR(MATCH(IF($B1244="Robusta","Robusta",(IF($B1244="","Arabica",$B1244))&amp;" - "&amp;(IF($C1244="","Commercial",$C1244))),Variables!$B$1:$D$1,0),1))*BD1244)+(W1244*INDEX(Variables!$B$9:$D$9,IFERROR(MATCH(IF($B1244="Robusta","Robusta",(IF($B1244="","Arabica",$B1244))&amp;" - "&amp;(IF($C1244="","Commercial",$C1244))),Variables!$B$1:$D$1,0),1))*BD1244/365),""))</f>
        <v/>
      </c>
      <c r="BJ1244" s="44" t="str">
        <f t="shared" si="60"/>
        <v/>
      </c>
      <c r="BK1244" s="44" t="str">
        <f>IF($AX1244="Cancelled","",IFERROR(IF(BJ1244="","",(W1244*INDEX(Variables!$B$7:$D$7,IFERROR(MATCH(IF($B1244="Robusta","Robusta",(IF($B1244="","Arabica",$B1244))&amp;" - "&amp;(IF($C1244="","Commercial",$C1244))),Variables!$B$1:$D$1,0),1))*(BJ1244/365))+(W1244*INDEX(Variables!$B$9:$D$9,IFERROR(MATCH(IF($B1244="Robusta","Robusta",(IF($B1244="","Arabica",$B1244))&amp;" - "&amp;(IF($C1244="","Commercial",$C1244))),Variables!$B$1:$D$1,0),1))*(BJ1244/365))+(INDEX(Variables!$B$8:$D$8,IFERROR(MATCH(IF($B1244="Robusta","Robusta",(IF($B1244="","Arabica",$B1244))&amp;" - "&amp;(IF($C1244="","Commercial",$C1244))),Variables!$B$1:$D$1,0),1))*L1244/16.67)),""))</f>
        <v/>
      </c>
    </row>
    <row r="1245" spans="1:63" ht="15" customHeight="1">
      <c r="A1245" s="13" t="s">
        <v>103</v>
      </c>
      <c r="B1245" s="13" t="s">
        <v>104</v>
      </c>
      <c r="C1245" s="13" t="s">
        <v>105</v>
      </c>
      <c r="D1245" s="31">
        <v>46283</v>
      </c>
      <c r="E1245" s="31">
        <v>46419</v>
      </c>
      <c r="F1245" s="31">
        <v>46446</v>
      </c>
      <c r="G1245" s="13">
        <v>3787708</v>
      </c>
      <c r="J1245" s="13" t="s">
        <v>506</v>
      </c>
      <c r="L1245" s="13">
        <v>333</v>
      </c>
      <c r="M1245" s="13">
        <v>1</v>
      </c>
      <c r="N1245" s="13" t="s">
        <v>3031</v>
      </c>
      <c r="O1245" s="13" t="s">
        <v>418</v>
      </c>
      <c r="P1245" s="13">
        <v>10070</v>
      </c>
      <c r="R1245" s="13" t="s">
        <v>271</v>
      </c>
      <c r="AC1245" s="13" t="str">
        <f t="shared" si="59"/>
        <v/>
      </c>
      <c r="AF1245" s="71"/>
      <c r="AG1245" s="37">
        <f>IF($AX1245="Cancelled","",IFERROR(IF(F1245="","",F1245-Variables!$B$13),""))</f>
        <v>46431</v>
      </c>
      <c r="AV1245" s="13" t="e">
        <v>#REF!</v>
      </c>
    </row>
    <row r="1246" spans="1:63" ht="15" customHeight="1">
      <c r="A1246" s="13" t="s">
        <v>103</v>
      </c>
      <c r="B1246" s="13" t="s">
        <v>104</v>
      </c>
      <c r="C1246" s="13" t="s">
        <v>105</v>
      </c>
      <c r="D1246" s="31">
        <v>46303</v>
      </c>
      <c r="E1246" s="31">
        <v>46327</v>
      </c>
      <c r="F1246" s="31">
        <v>46356</v>
      </c>
      <c r="G1246" s="13">
        <v>3787711</v>
      </c>
      <c r="J1246" s="13" t="s">
        <v>611</v>
      </c>
      <c r="K1246" s="13">
        <v>5676</v>
      </c>
      <c r="L1246" s="13">
        <v>320</v>
      </c>
      <c r="M1246" s="13">
        <v>1</v>
      </c>
      <c r="N1246" s="13" t="s">
        <v>3033</v>
      </c>
      <c r="O1246" s="13" t="s">
        <v>261</v>
      </c>
      <c r="P1246" s="13">
        <v>10060</v>
      </c>
      <c r="R1246" s="13" t="s">
        <v>239</v>
      </c>
      <c r="S1246" s="13" t="s">
        <v>553</v>
      </c>
      <c r="T1246" s="13" t="s">
        <v>112</v>
      </c>
      <c r="U1246" s="13" t="s">
        <v>113</v>
      </c>
      <c r="X1246" s="55" t="s">
        <v>37</v>
      </c>
      <c r="Y1246" s="13" t="str">
        <f>IF($AX1246="Cancelled","",IF(X1246="","",IFERROR(IF(INDEX(Variables!$B$38:$B$47,MATCH(X1246,Variables!$A$38:$A$47,0))="Yes","Yes","No"),"No")))</f>
        <v>Yes</v>
      </c>
      <c r="Z1246" s="58">
        <v>46304</v>
      </c>
      <c r="AB1246" s="31">
        <v>46310</v>
      </c>
      <c r="AC1246" s="13" t="str">
        <f t="shared" si="59"/>
        <v>Approved</v>
      </c>
      <c r="AF1246" s="71">
        <v>46314</v>
      </c>
      <c r="AG1246" s="37">
        <f>IF($AX1246="Cancelled","",IFERROR(IF(F1246="","",F1246-Variables!$B$13),""))</f>
        <v>46341</v>
      </c>
      <c r="AJ1246" s="47">
        <v>46318</v>
      </c>
      <c r="AV1246" s="13" t="e">
        <v>#REF!</v>
      </c>
    </row>
    <row r="1247" spans="1:63" ht="15" customHeight="1">
      <c r="A1247" s="13" t="s">
        <v>103</v>
      </c>
      <c r="B1247" s="13" t="s">
        <v>104</v>
      </c>
      <c r="C1247" s="13" t="s">
        <v>105</v>
      </c>
      <c r="D1247" s="31">
        <v>46303</v>
      </c>
      <c r="E1247" s="31">
        <v>46327</v>
      </c>
      <c r="F1247" s="31">
        <v>46356</v>
      </c>
      <c r="G1247" s="13">
        <v>3787713</v>
      </c>
      <c r="J1247" s="13" t="s">
        <v>118</v>
      </c>
      <c r="L1247" s="13">
        <v>320</v>
      </c>
      <c r="M1247" s="13">
        <v>1</v>
      </c>
      <c r="N1247" s="13" t="s">
        <v>3034</v>
      </c>
      <c r="O1247" s="13" t="s">
        <v>1163</v>
      </c>
      <c r="P1247" s="13">
        <v>10310</v>
      </c>
      <c r="Q1247" s="59" t="s">
        <v>270</v>
      </c>
      <c r="R1247" s="13" t="s">
        <v>239</v>
      </c>
      <c r="X1247" s="55" t="s">
        <v>37</v>
      </c>
      <c r="Y1247" s="13" t="str">
        <f>IF($AX1247="Cancelled","",IF(X1247="","",IFERROR(IF(INDEX(Variables!$B$38:$B$47,MATCH(X1247,Variables!$A$38:$A$47,0))="Yes","Yes","No"),"No")))</f>
        <v>Yes</v>
      </c>
      <c r="Z1247" s="58">
        <v>46308</v>
      </c>
      <c r="AB1247" s="31">
        <v>46321</v>
      </c>
      <c r="AC1247" s="13" t="str">
        <f t="shared" si="59"/>
        <v>Approved</v>
      </c>
      <c r="AF1247" s="71"/>
      <c r="AG1247" s="37">
        <f>IF($AX1247="Cancelled","",IFERROR(IF(F1247="","",F1247-Variables!$B$13),""))</f>
        <v>46341</v>
      </c>
    </row>
    <row r="1248" spans="1:63" ht="15" customHeight="1">
      <c r="A1248" s="13" t="s">
        <v>103</v>
      </c>
      <c r="B1248" s="13" t="s">
        <v>104</v>
      </c>
      <c r="C1248" s="13" t="s">
        <v>105</v>
      </c>
      <c r="D1248" s="31">
        <v>46304</v>
      </c>
      <c r="E1248" s="31">
        <v>46327</v>
      </c>
      <c r="F1248" s="31">
        <v>46356</v>
      </c>
      <c r="G1248" s="13">
        <v>3787714</v>
      </c>
      <c r="J1248" s="13" t="s">
        <v>916</v>
      </c>
      <c r="L1248" s="13">
        <v>320</v>
      </c>
      <c r="M1248" s="13">
        <v>1</v>
      </c>
      <c r="N1248" s="13" t="s">
        <v>3035</v>
      </c>
      <c r="O1248" s="13" t="s">
        <v>261</v>
      </c>
      <c r="P1248" s="13">
        <v>10060</v>
      </c>
      <c r="Q1248" s="13" t="s">
        <v>121</v>
      </c>
      <c r="R1248" s="13" t="s">
        <v>110</v>
      </c>
      <c r="S1248" s="13" t="s">
        <v>3036</v>
      </c>
      <c r="T1248" s="13" t="s">
        <v>124</v>
      </c>
      <c r="U1248" s="13" t="s">
        <v>125</v>
      </c>
      <c r="Z1248" s="58">
        <v>46308</v>
      </c>
      <c r="AB1248" s="31">
        <v>46314</v>
      </c>
      <c r="AC1248" s="13" t="str">
        <f t="shared" si="59"/>
        <v>Approved</v>
      </c>
      <c r="AD1248" s="31">
        <v>46307</v>
      </c>
      <c r="AF1248" s="71"/>
      <c r="AG1248" s="37">
        <f>IF($AX1248="Cancelled","",IFERROR(IF(F1248="","",F1248-Variables!$B$13),""))</f>
        <v>46341</v>
      </c>
      <c r="AL1248" s="48" t="s">
        <v>114</v>
      </c>
    </row>
    <row r="1249" spans="1:33" ht="15" customHeight="1">
      <c r="A1249" s="13" t="s">
        <v>103</v>
      </c>
      <c r="B1249" s="13" t="s">
        <v>104</v>
      </c>
      <c r="C1249" s="13" t="s">
        <v>105</v>
      </c>
      <c r="D1249" s="31">
        <v>46307</v>
      </c>
      <c r="E1249" s="31">
        <v>46327</v>
      </c>
      <c r="F1249" s="31">
        <v>46356</v>
      </c>
      <c r="G1249" s="13">
        <v>3787715</v>
      </c>
      <c r="J1249" s="13" t="s">
        <v>294</v>
      </c>
      <c r="L1249" s="13">
        <v>67</v>
      </c>
      <c r="M1249" s="13">
        <v>1</v>
      </c>
      <c r="N1249" s="13" t="s">
        <v>3037</v>
      </c>
      <c r="O1249" s="13" t="s">
        <v>418</v>
      </c>
      <c r="P1249" s="13">
        <v>10070</v>
      </c>
      <c r="R1249" s="13" t="s">
        <v>239</v>
      </c>
      <c r="X1249" s="55" t="s">
        <v>39</v>
      </c>
      <c r="Y1249" s="13" t="str">
        <f>IF($AX1249="Cancelled","",IF(X1249="","",IFERROR(IF(INDEX(Variables!$B$38:$B$47,MATCH(X1249,Variables!$A$38:$A$47,0))="Yes","Yes","No"),"No")))</f>
        <v>No</v>
      </c>
      <c r="Z1249" s="58">
        <v>46308</v>
      </c>
      <c r="AB1249" s="31">
        <v>46308</v>
      </c>
      <c r="AC1249" s="13" t="str">
        <f t="shared" si="59"/>
        <v>Approved</v>
      </c>
      <c r="AF1249" s="71"/>
      <c r="AG1249" s="37">
        <f>IF($AX1249="Cancelled","",IFERROR(IF(F1249="","",F1249-Variables!$B$13),""))</f>
        <v>46341</v>
      </c>
    </row>
    <row r="1250" spans="1:33" ht="15" customHeight="1">
      <c r="A1250" s="13" t="s">
        <v>103</v>
      </c>
      <c r="B1250" s="13" t="s">
        <v>104</v>
      </c>
      <c r="C1250" s="13" t="s">
        <v>105</v>
      </c>
      <c r="D1250" s="31">
        <v>46308</v>
      </c>
      <c r="E1250" s="31">
        <v>46357</v>
      </c>
      <c r="F1250" s="31">
        <v>46387</v>
      </c>
      <c r="G1250" s="13">
        <v>3787716</v>
      </c>
      <c r="J1250" s="13" t="s">
        <v>118</v>
      </c>
      <c r="L1250" s="13">
        <v>333</v>
      </c>
      <c r="M1250" s="13">
        <v>1</v>
      </c>
      <c r="N1250" s="13" t="s">
        <v>3038</v>
      </c>
      <c r="O1250" s="13" t="s">
        <v>1163</v>
      </c>
      <c r="P1250" s="13">
        <v>10310</v>
      </c>
      <c r="Q1250" s="59" t="s">
        <v>270</v>
      </c>
      <c r="R1250" s="13" t="s">
        <v>271</v>
      </c>
      <c r="X1250" s="55" t="s">
        <v>37</v>
      </c>
      <c r="Y1250" s="13" t="str">
        <f>IF($AX1250="Cancelled","",IF(X1250="","",IFERROR(IF(INDEX(Variables!$B$38:$B$47,MATCH(X1250,Variables!$A$38:$A$47,0))="Yes","Yes","No"),"No")))</f>
        <v>Yes</v>
      </c>
      <c r="Z1250" s="31"/>
      <c r="AF1250" s="71"/>
      <c r="AG1250" s="37">
        <f>IF($AX1250="Cancelled","",IFERROR(IF(F1250="","",F1250-Variables!$B$13),""))</f>
        <v>46372</v>
      </c>
    </row>
    <row r="1251" spans="1:33" ht="15" customHeight="1">
      <c r="A1251" s="13" t="s">
        <v>3039</v>
      </c>
      <c r="B1251" s="13" t="s">
        <v>104</v>
      </c>
      <c r="C1251" s="13" t="s">
        <v>105</v>
      </c>
      <c r="D1251" s="31">
        <v>46316</v>
      </c>
      <c r="E1251" s="31">
        <v>46357</v>
      </c>
      <c r="F1251" s="31">
        <v>46387</v>
      </c>
      <c r="G1251" s="13">
        <v>3787732</v>
      </c>
      <c r="J1251" s="13" t="s">
        <v>415</v>
      </c>
      <c r="L1251" s="13">
        <v>333</v>
      </c>
      <c r="M1251" s="13">
        <v>1</v>
      </c>
      <c r="N1251" s="13" t="s">
        <v>3040</v>
      </c>
      <c r="O1251" s="13" t="s">
        <v>261</v>
      </c>
      <c r="P1251" s="13">
        <v>10060</v>
      </c>
      <c r="Q1251" s="13" t="s">
        <v>121</v>
      </c>
      <c r="R1251" s="13" t="s">
        <v>271</v>
      </c>
      <c r="X1251" s="55" t="s">
        <v>37</v>
      </c>
      <c r="Y1251" s="13" t="str">
        <f>IF($AX1251="Cancelled","",IF(X1251="","",IFERROR(IF(INDEX(Variables!$B$38:$B$47,MATCH(X1251,Variables!$A$38:$A$47,0))="Yes","Yes","No"),"No")))</f>
        <v>Yes</v>
      </c>
      <c r="Z1251" s="31"/>
      <c r="AF1251" s="71"/>
      <c r="AG1251" s="37">
        <f>IF($AX1251="Cancelled","",IFERROR(IF(F1251="","",F1251-Variables!$B$13),""))</f>
        <v>46372</v>
      </c>
    </row>
    <row r="1252" spans="1:33" ht="15" customHeight="1">
      <c r="A1252" s="13" t="s">
        <v>103</v>
      </c>
      <c r="B1252" s="13" t="s">
        <v>104</v>
      </c>
      <c r="C1252" s="13" t="s">
        <v>105</v>
      </c>
      <c r="D1252" s="31">
        <v>46317</v>
      </c>
      <c r="E1252" s="31">
        <v>46388</v>
      </c>
      <c r="F1252" s="31">
        <v>46418</v>
      </c>
      <c r="G1252" s="13">
        <v>3787734</v>
      </c>
      <c r="J1252" s="13" t="s">
        <v>236</v>
      </c>
      <c r="L1252" s="13">
        <v>320</v>
      </c>
      <c r="M1252" s="13">
        <v>1</v>
      </c>
      <c r="N1252" s="13" t="s">
        <v>3041</v>
      </c>
      <c r="O1252" s="13" t="s">
        <v>418</v>
      </c>
      <c r="P1252" s="13">
        <v>10070</v>
      </c>
      <c r="R1252" s="13" t="s">
        <v>239</v>
      </c>
      <c r="V1252" s="13">
        <v>57</v>
      </c>
      <c r="X1252" s="55" t="s">
        <v>37</v>
      </c>
      <c r="Y1252" s="13" t="s">
        <v>38</v>
      </c>
      <c r="Z1252" s="31"/>
      <c r="AF1252" s="71"/>
    </row>
    <row r="1253" spans="1:33" ht="15" customHeight="1">
      <c r="A1253" s="13" t="s">
        <v>103</v>
      </c>
      <c r="B1253" s="13" t="s">
        <v>104</v>
      </c>
      <c r="C1253" s="13" t="s">
        <v>105</v>
      </c>
      <c r="D1253" s="31">
        <v>46317</v>
      </c>
      <c r="E1253" s="31">
        <v>46419</v>
      </c>
      <c r="F1253" s="31">
        <v>46446</v>
      </c>
      <c r="G1253" s="13">
        <v>3787735</v>
      </c>
      <c r="J1253" s="13" t="s">
        <v>236</v>
      </c>
      <c r="L1253" s="13">
        <v>320</v>
      </c>
      <c r="M1253" s="13">
        <v>1</v>
      </c>
      <c r="N1253" s="13" t="s">
        <v>3041</v>
      </c>
      <c r="O1253" s="13" t="s">
        <v>418</v>
      </c>
      <c r="P1253" s="13">
        <v>10070</v>
      </c>
      <c r="R1253" s="13" t="s">
        <v>239</v>
      </c>
      <c r="V1253" s="13">
        <v>57</v>
      </c>
      <c r="X1253" s="55" t="s">
        <v>37</v>
      </c>
      <c r="Y1253" s="13" t="s">
        <v>38</v>
      </c>
      <c r="Z1253" s="31"/>
      <c r="AF1253" s="71"/>
    </row>
    <row r="1254" spans="1:33" ht="15" customHeight="1">
      <c r="A1254" s="13" t="s">
        <v>103</v>
      </c>
      <c r="B1254" s="13" t="s">
        <v>104</v>
      </c>
      <c r="C1254" s="13" t="s">
        <v>105</v>
      </c>
      <c r="D1254" s="31">
        <v>46317</v>
      </c>
      <c r="E1254" s="31">
        <v>46357</v>
      </c>
      <c r="F1254" s="31">
        <v>46387</v>
      </c>
      <c r="G1254" s="13">
        <v>3787733</v>
      </c>
      <c r="J1254" s="13" t="s">
        <v>447</v>
      </c>
      <c r="L1254" s="13">
        <v>320</v>
      </c>
      <c r="M1254" s="13">
        <v>1</v>
      </c>
      <c r="N1254" s="13" t="s">
        <v>3042</v>
      </c>
      <c r="O1254" s="13" t="s">
        <v>418</v>
      </c>
      <c r="P1254" s="13">
        <v>10070</v>
      </c>
      <c r="Q1254" s="13" t="s">
        <v>121</v>
      </c>
      <c r="R1254" s="13" t="s">
        <v>110</v>
      </c>
      <c r="X1254" s="55" t="s">
        <v>37</v>
      </c>
      <c r="Y1254" s="13" t="str">
        <f>IF($AX1254="Cancelled","",IF(X1254="","",IFERROR(IF(INDEX(Variables!$B$38:$B$47,MATCH(X1254,Variables!$A$38:$A$47,0))="Yes","Yes","No"),"No")))</f>
        <v>Yes</v>
      </c>
      <c r="Z1254" s="31"/>
      <c r="AF1254" s="71"/>
    </row>
  </sheetData>
  <autoFilter ref="A1:BL1" xr:uid="{00000000-0001-0000-0100-000000000000}"/>
  <sortState xmlns:xlrd2="http://schemas.microsoft.com/office/spreadsheetml/2017/richdata2" ref="A2:BK1244">
    <sortCondition ref="G2:G1244"/>
  </sortState>
  <dataValidations count="5">
    <dataValidation type="list" allowBlank="1" errorTitle="Invalid entry" error="Please choose a value from the list." sqref="B2:B464" xr:uid="{00000000-0002-0000-0100-000000000000}">
      <formula1>"Arabica"</formula1>
      <formula2>0</formula2>
    </dataValidation>
    <dataValidation type="list" allowBlank="1" errorTitle="Invalid entry" error="Please choose a value from the list." sqref="C2:C464" xr:uid="{00000000-0002-0000-0100-000001000000}">
      <formula1>"Commercial,Micro-Lots,N/A"</formula1>
      <formula2>0</formula2>
    </dataValidation>
    <dataValidation type="list" allowBlank="1" errorTitle="Invalid entry" error="Please choose a value from the list." sqref="AA2:AA464" xr:uid="{00000000-0002-0000-0100-000002000000}">
      <formula1>"Pending,Sent,Approved,Rejected,Not Required"</formula1>
      <formula2>0</formula2>
    </dataValidation>
    <dataValidation type="list" allowBlank="1" errorTitle="Invalid entry" error="Please choose a value from the list." sqref="AX2:AX464" xr:uid="{00000000-0002-0000-0100-000003000000}">
      <formula1>"Open,Cancelled,Closed"</formula1>
      <formula2>0</formula2>
    </dataValidation>
    <dataValidation allowBlank="1" showInputMessage="1" showErrorMessage="1" sqref="AZ1:BB1" xr:uid="{37CE3D3E-901C-4E2B-80F0-24583902A3C2}"/>
  </dataValidations>
  <pageMargins left="0.75" right="0.75" top="1" bottom="1" header="0.511811023622047" footer="0.511811023622047"/>
  <pageSetup paperSize="9" orientation="portrait" horizontalDpi="300" verticalDpi="300" r:id="rId1"/>
  <legacyDrawing r:id="rId2"/>
  <extLst>
    <ext xmlns:x14="http://schemas.microsoft.com/office/spreadsheetml/2009/9/main" uri="{CCE6A557-97BC-4b89-ADB6-D9C93CAAB3DF}">
      <x14:dataValidations xmlns:xm="http://schemas.microsoft.com/office/excel/2006/main" count="4">
        <x14:dataValidation type="list" allowBlank="1" showInputMessage="1" showErrorMessage="1" xr:uid="{7FCB8903-FDAA-464C-BD2A-5E662234DEE4}">
          <x14:formula1>
            <xm:f>Sheet1!$A$2:$A$12</xm:f>
          </x14:formula1>
          <xm:sqref>R1:R1048576</xm:sqref>
        </x14:dataValidation>
        <x14:dataValidation type="list" allowBlank="1" showInputMessage="1" showErrorMessage="1" xr:uid="{DB74FD29-A86D-4137-90AF-4E29789BA428}">
          <x14:formula1>
            <xm:f>Sheet1!$D$3:$D$9</xm:f>
          </x14:formula1>
          <xm:sqref>BC1255:BC1048576 BB2:BB1048576</xm:sqref>
        </x14:dataValidation>
        <x14:dataValidation type="list" allowBlank="1" showInputMessage="1" showErrorMessage="1" xr:uid="{FCF4BE13-0772-4D3A-8FC5-7BEF23B37FBA}">
          <x14:formula1>
            <xm:f>Sheet1!$B$3:$B$6</xm:f>
          </x14:formula1>
          <xm:sqref>AZ2:AZ1048576</xm:sqref>
        </x14:dataValidation>
        <x14:dataValidation type="list" allowBlank="1" showInputMessage="1" showErrorMessage="1" xr:uid="{8C1FAC74-5F06-452B-AA6B-724E553ED17B}">
          <x14:formula1>
            <xm:f>Sheet1!$C$3:$C$10</xm:f>
          </x14:formula1>
          <xm:sqref>BA2:BA1048576</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96DF14-A86A-4310-A832-40EB29FB7210}">
  <dimension ref="A1"/>
  <sheetViews>
    <sheetView workbookViewId="0">
      <selection sqref="A1:A1048576"/>
    </sheetView>
  </sheetViews>
  <sheetFormatPr defaultRowHeight="15"/>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CAB434-4FD2-4387-929E-85F75C71654E}">
  <dimension ref="A1:G12"/>
  <sheetViews>
    <sheetView workbookViewId="0"/>
  </sheetViews>
  <sheetFormatPr defaultRowHeight="15"/>
  <cols>
    <col min="1" max="1" width="18" bestFit="1" customWidth="1"/>
    <col min="2" max="2" width="20.7109375" bestFit="1" customWidth="1"/>
    <col min="3" max="3" width="28.42578125" bestFit="1" customWidth="1"/>
    <col min="4" max="4" width="12.7109375" bestFit="1" customWidth="1"/>
  </cols>
  <sheetData>
    <row r="1" spans="1:7" ht="26.45" customHeight="1">
      <c r="A1" s="12" t="s">
        <v>27</v>
      </c>
      <c r="B1" s="67" t="s">
        <v>3043</v>
      </c>
      <c r="C1" s="68"/>
      <c r="D1" s="69"/>
    </row>
    <row r="2" spans="1:7">
      <c r="A2" s="13" t="s">
        <v>110</v>
      </c>
      <c r="B2" s="52" t="s">
        <v>3044</v>
      </c>
      <c r="C2" s="52" t="s">
        <v>3045</v>
      </c>
      <c r="D2" s="52" t="s">
        <v>3046</v>
      </c>
      <c r="E2" s="52"/>
      <c r="F2" s="52"/>
      <c r="G2" s="52"/>
    </row>
    <row r="3" spans="1:7" ht="16.5">
      <c r="A3" s="13" t="s">
        <v>122</v>
      </c>
      <c r="B3" s="54" t="s">
        <v>3047</v>
      </c>
      <c r="C3" t="s">
        <v>3048</v>
      </c>
      <c r="D3" t="s">
        <v>3049</v>
      </c>
      <c r="F3" s="53"/>
    </row>
    <row r="4" spans="1:7" ht="16.5">
      <c r="A4" s="13" t="s">
        <v>239</v>
      </c>
      <c r="B4" s="54" t="s">
        <v>3050</v>
      </c>
      <c r="C4" t="s">
        <v>3051</v>
      </c>
      <c r="D4" t="s">
        <v>3052</v>
      </c>
      <c r="F4" s="53"/>
    </row>
    <row r="5" spans="1:7" ht="16.5">
      <c r="A5" s="13" t="s">
        <v>252</v>
      </c>
      <c r="B5" s="54" t="s">
        <v>3053</v>
      </c>
      <c r="C5" t="s">
        <v>3054</v>
      </c>
      <c r="D5" t="s">
        <v>3055</v>
      </c>
      <c r="F5" s="53"/>
    </row>
    <row r="6" spans="1:7" ht="16.5">
      <c r="A6" s="13" t="s">
        <v>271</v>
      </c>
      <c r="B6" s="54" t="s">
        <v>3056</v>
      </c>
      <c r="C6" t="s">
        <v>3057</v>
      </c>
      <c r="D6" t="s">
        <v>3058</v>
      </c>
      <c r="F6" s="53"/>
    </row>
    <row r="7" spans="1:7">
      <c r="A7" s="13" t="s">
        <v>298</v>
      </c>
      <c r="C7" t="s">
        <v>3059</v>
      </c>
      <c r="D7" t="s">
        <v>3055</v>
      </c>
    </row>
    <row r="8" spans="1:7">
      <c r="A8" s="13" t="s">
        <v>384</v>
      </c>
      <c r="C8" t="s">
        <v>3060</v>
      </c>
      <c r="D8" t="s">
        <v>3061</v>
      </c>
    </row>
    <row r="9" spans="1:7">
      <c r="A9" s="13" t="s">
        <v>467</v>
      </c>
      <c r="C9" t="s">
        <v>3062</v>
      </c>
      <c r="D9" t="s">
        <v>3063</v>
      </c>
    </row>
    <row r="10" spans="1:7">
      <c r="A10" s="13" t="s">
        <v>3064</v>
      </c>
      <c r="C10" t="s">
        <v>3065</v>
      </c>
      <c r="D10" t="s">
        <v>3063</v>
      </c>
    </row>
    <row r="11" spans="1:7">
      <c r="A11" s="13" t="s">
        <v>671</v>
      </c>
    </row>
    <row r="12" spans="1:7">
      <c r="A12" s="13" t="s">
        <v>1679</v>
      </c>
    </row>
  </sheetData>
  <mergeCells count="1">
    <mergeCell ref="B1:D1"/>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74A2AD-BA45-46D2-9D58-B06C2B7676BE}">
  <dimension ref="A1:F1624"/>
  <sheetViews>
    <sheetView workbookViewId="0">
      <selection activeCell="A789" sqref="A789:XFD789"/>
    </sheetView>
  </sheetViews>
  <sheetFormatPr defaultRowHeight="15"/>
  <cols>
    <col min="1" max="1" width="18.140625" customWidth="1"/>
    <col min="2" max="2" width="13.42578125" customWidth="1"/>
    <col min="5" max="5" width="37.85546875" customWidth="1"/>
    <col min="6" max="6" width="15.140625" customWidth="1"/>
  </cols>
  <sheetData>
    <row r="1" spans="1:6">
      <c r="A1" t="s">
        <v>3066</v>
      </c>
      <c r="B1" t="s">
        <v>51</v>
      </c>
      <c r="C1" t="s">
        <v>3067</v>
      </c>
      <c r="D1" t="s">
        <v>52</v>
      </c>
      <c r="E1" t="s">
        <v>3055</v>
      </c>
      <c r="F1" t="s">
        <v>58</v>
      </c>
    </row>
    <row r="2" spans="1:6">
      <c r="A2">
        <v>3786973</v>
      </c>
      <c r="C2">
        <v>45939</v>
      </c>
      <c r="D2" t="s">
        <v>118</v>
      </c>
      <c r="E2" t="s">
        <v>1436</v>
      </c>
      <c r="F2">
        <v>10040</v>
      </c>
    </row>
    <row r="3" spans="1:6">
      <c r="A3">
        <v>3786976</v>
      </c>
      <c r="C3">
        <v>45946</v>
      </c>
      <c r="D3" t="s">
        <v>118</v>
      </c>
      <c r="E3" t="s">
        <v>1442</v>
      </c>
      <c r="F3">
        <v>10120</v>
      </c>
    </row>
    <row r="4" spans="1:6">
      <c r="A4">
        <v>3786978</v>
      </c>
      <c r="C4">
        <v>45946</v>
      </c>
      <c r="D4" t="s">
        <v>118</v>
      </c>
      <c r="E4" t="s">
        <v>1450</v>
      </c>
      <c r="F4">
        <v>10080</v>
      </c>
    </row>
    <row r="5" spans="1:6">
      <c r="A5">
        <v>3786979</v>
      </c>
      <c r="C5">
        <v>45951</v>
      </c>
      <c r="D5" t="s">
        <v>611</v>
      </c>
      <c r="E5" t="s">
        <v>120</v>
      </c>
      <c r="F5">
        <v>10070</v>
      </c>
    </row>
    <row r="6" spans="1:6">
      <c r="A6">
        <v>3786982</v>
      </c>
      <c r="C6">
        <v>45959</v>
      </c>
      <c r="D6" t="s">
        <v>236</v>
      </c>
      <c r="E6" t="s">
        <v>1464</v>
      </c>
      <c r="F6">
        <v>10140</v>
      </c>
    </row>
    <row r="7" spans="1:6">
      <c r="A7">
        <v>3786983</v>
      </c>
      <c r="C7">
        <v>45959</v>
      </c>
      <c r="D7" t="s">
        <v>107</v>
      </c>
      <c r="E7" t="s">
        <v>3068</v>
      </c>
      <c r="F7">
        <v>10080</v>
      </c>
    </row>
    <row r="8" spans="1:6">
      <c r="A8">
        <v>3786984</v>
      </c>
      <c r="C8">
        <v>45968</v>
      </c>
      <c r="D8" t="s">
        <v>118</v>
      </c>
      <c r="E8" t="s">
        <v>1472</v>
      </c>
      <c r="F8">
        <v>10310</v>
      </c>
    </row>
    <row r="9" spans="1:6">
      <c r="A9">
        <v>3786985</v>
      </c>
      <c r="C9">
        <v>45973</v>
      </c>
      <c r="D9" t="s">
        <v>236</v>
      </c>
      <c r="E9" t="s">
        <v>1417</v>
      </c>
      <c r="F9">
        <v>10060</v>
      </c>
    </row>
    <row r="10" spans="1:6">
      <c r="A10">
        <v>3786988</v>
      </c>
      <c r="C10">
        <v>45972</v>
      </c>
      <c r="D10" t="s">
        <v>236</v>
      </c>
      <c r="E10" t="s">
        <v>1417</v>
      </c>
      <c r="F10">
        <v>10060</v>
      </c>
    </row>
    <row r="11" spans="1:6">
      <c r="A11">
        <v>3786989</v>
      </c>
      <c r="C11">
        <v>45972</v>
      </c>
      <c r="D11" t="s">
        <v>236</v>
      </c>
      <c r="E11" t="s">
        <v>1486</v>
      </c>
      <c r="F11">
        <v>10070</v>
      </c>
    </row>
    <row r="12" spans="1:6">
      <c r="A12">
        <v>3786990</v>
      </c>
      <c r="C12">
        <v>45974</v>
      </c>
      <c r="D12" t="s">
        <v>1131</v>
      </c>
      <c r="E12" t="s">
        <v>1417</v>
      </c>
      <c r="F12">
        <v>10060</v>
      </c>
    </row>
    <row r="13" spans="1:6">
      <c r="A13">
        <v>3786991</v>
      </c>
      <c r="C13">
        <v>45980</v>
      </c>
      <c r="D13" t="s">
        <v>118</v>
      </c>
      <c r="E13" t="s">
        <v>1472</v>
      </c>
      <c r="F13">
        <v>10310</v>
      </c>
    </row>
    <row r="14" spans="1:6">
      <c r="A14">
        <v>3786992</v>
      </c>
      <c r="C14">
        <v>45980</v>
      </c>
      <c r="D14" t="s">
        <v>118</v>
      </c>
      <c r="E14" t="s">
        <v>1495</v>
      </c>
      <c r="F14">
        <v>10310</v>
      </c>
    </row>
    <row r="15" spans="1:6">
      <c r="A15">
        <v>3786993</v>
      </c>
      <c r="C15">
        <v>45980</v>
      </c>
      <c r="D15" t="s">
        <v>118</v>
      </c>
      <c r="E15" t="s">
        <v>1495</v>
      </c>
      <c r="F15">
        <v>10310</v>
      </c>
    </row>
    <row r="16" spans="1:6">
      <c r="A16">
        <v>3786994</v>
      </c>
      <c r="C16">
        <v>45980</v>
      </c>
      <c r="D16" t="s">
        <v>118</v>
      </c>
      <c r="E16" t="s">
        <v>1495</v>
      </c>
      <c r="F16">
        <v>10310</v>
      </c>
    </row>
    <row r="17" spans="1:6">
      <c r="A17">
        <v>3786995</v>
      </c>
      <c r="C17">
        <v>45981</v>
      </c>
      <c r="D17" t="s">
        <v>1510</v>
      </c>
      <c r="E17" t="s">
        <v>1417</v>
      </c>
      <c r="F17">
        <v>10060</v>
      </c>
    </row>
    <row r="18" spans="1:6">
      <c r="A18">
        <v>3786996</v>
      </c>
      <c r="C18">
        <v>45981</v>
      </c>
      <c r="D18" t="s">
        <v>1510</v>
      </c>
      <c r="E18" t="s">
        <v>1517</v>
      </c>
      <c r="F18">
        <v>10060</v>
      </c>
    </row>
    <row r="19" spans="1:6">
      <c r="A19">
        <v>3786997</v>
      </c>
      <c r="C19">
        <v>45981</v>
      </c>
      <c r="D19" t="s">
        <v>611</v>
      </c>
      <c r="E19" t="s">
        <v>1523</v>
      </c>
      <c r="F19">
        <v>10060</v>
      </c>
    </row>
    <row r="20" spans="1:6">
      <c r="A20">
        <v>3786998</v>
      </c>
      <c r="C20">
        <v>45985</v>
      </c>
      <c r="D20" t="s">
        <v>415</v>
      </c>
      <c r="E20" t="s">
        <v>1524</v>
      </c>
      <c r="F20">
        <v>10260</v>
      </c>
    </row>
    <row r="21" spans="1:6">
      <c r="A21">
        <v>3787000</v>
      </c>
      <c r="C21">
        <v>45986</v>
      </c>
      <c r="D21" t="s">
        <v>118</v>
      </c>
      <c r="E21" t="s">
        <v>3069</v>
      </c>
      <c r="F21">
        <v>10070</v>
      </c>
    </row>
    <row r="22" spans="1:6">
      <c r="A22">
        <v>3787001</v>
      </c>
      <c r="C22">
        <v>45986</v>
      </c>
      <c r="D22" t="s">
        <v>107</v>
      </c>
      <c r="E22" t="s">
        <v>1535</v>
      </c>
      <c r="F22">
        <v>10070</v>
      </c>
    </row>
    <row r="23" spans="1:6">
      <c r="A23">
        <v>3787002</v>
      </c>
      <c r="C23">
        <v>45986</v>
      </c>
      <c r="D23" t="s">
        <v>118</v>
      </c>
      <c r="E23" t="s">
        <v>1460</v>
      </c>
      <c r="F23">
        <v>10140</v>
      </c>
    </row>
    <row r="24" spans="1:6">
      <c r="A24">
        <v>3787003</v>
      </c>
      <c r="C24">
        <v>45986</v>
      </c>
      <c r="D24" t="s">
        <v>118</v>
      </c>
      <c r="E24" t="s">
        <v>3070</v>
      </c>
      <c r="F24">
        <v>10310</v>
      </c>
    </row>
    <row r="25" spans="1:6">
      <c r="A25">
        <v>3787004</v>
      </c>
      <c r="C25">
        <v>45987</v>
      </c>
      <c r="D25" t="s">
        <v>506</v>
      </c>
      <c r="E25" t="s">
        <v>3071</v>
      </c>
      <c r="F25">
        <v>10010</v>
      </c>
    </row>
    <row r="26" spans="1:6">
      <c r="A26">
        <v>3787005</v>
      </c>
      <c r="C26">
        <v>45987</v>
      </c>
      <c r="D26" t="s">
        <v>506</v>
      </c>
      <c r="E26" t="s">
        <v>3072</v>
      </c>
      <c r="F26">
        <v>10010</v>
      </c>
    </row>
    <row r="27" spans="1:6">
      <c r="A27">
        <v>3787006</v>
      </c>
      <c r="C27">
        <v>45988</v>
      </c>
      <c r="D27" t="s">
        <v>118</v>
      </c>
      <c r="E27" t="s">
        <v>1495</v>
      </c>
      <c r="F27">
        <v>10310</v>
      </c>
    </row>
    <row r="28" spans="1:6">
      <c r="A28">
        <v>3787007</v>
      </c>
      <c r="C28">
        <v>45988</v>
      </c>
      <c r="D28" t="s">
        <v>118</v>
      </c>
      <c r="E28" t="s">
        <v>1549</v>
      </c>
      <c r="F28">
        <v>10310</v>
      </c>
    </row>
    <row r="29" spans="1:6">
      <c r="A29">
        <v>3787008</v>
      </c>
      <c r="C29">
        <v>45988</v>
      </c>
      <c r="D29" t="s">
        <v>118</v>
      </c>
      <c r="E29" t="s">
        <v>1549</v>
      </c>
      <c r="F29">
        <v>10310</v>
      </c>
    </row>
    <row r="30" spans="1:6">
      <c r="A30">
        <v>3787009</v>
      </c>
      <c r="B30" t="s">
        <v>1562</v>
      </c>
      <c r="C30">
        <v>45989</v>
      </c>
      <c r="D30" t="s">
        <v>294</v>
      </c>
      <c r="E30" t="s">
        <v>1564</v>
      </c>
      <c r="F30">
        <v>10020</v>
      </c>
    </row>
    <row r="31" spans="1:6">
      <c r="A31">
        <v>3787010</v>
      </c>
      <c r="B31" t="s">
        <v>1565</v>
      </c>
      <c r="C31">
        <v>45989</v>
      </c>
      <c r="D31" t="s">
        <v>294</v>
      </c>
      <c r="E31" t="s">
        <v>1567</v>
      </c>
      <c r="F31">
        <v>10010</v>
      </c>
    </row>
    <row r="32" spans="1:6">
      <c r="A32">
        <v>3787011</v>
      </c>
      <c r="B32" t="s">
        <v>1568</v>
      </c>
      <c r="C32">
        <v>45989</v>
      </c>
      <c r="D32" t="s">
        <v>294</v>
      </c>
    </row>
    <row r="33" spans="1:6">
      <c r="A33">
        <v>3787012</v>
      </c>
      <c r="B33" t="s">
        <v>1570</v>
      </c>
      <c r="C33">
        <v>45989</v>
      </c>
      <c r="D33" t="s">
        <v>294</v>
      </c>
      <c r="E33" t="s">
        <v>1572</v>
      </c>
      <c r="F33">
        <v>10010</v>
      </c>
    </row>
    <row r="34" spans="1:6">
      <c r="A34">
        <v>3787013</v>
      </c>
      <c r="B34" t="s">
        <v>1573</v>
      </c>
      <c r="C34">
        <v>45989</v>
      </c>
      <c r="D34" t="s">
        <v>294</v>
      </c>
    </row>
    <row r="35" spans="1:6">
      <c r="A35">
        <v>3787014</v>
      </c>
      <c r="B35" t="s">
        <v>1575</v>
      </c>
      <c r="C35">
        <v>45989</v>
      </c>
      <c r="D35" t="s">
        <v>294</v>
      </c>
      <c r="E35" t="s">
        <v>3073</v>
      </c>
      <c r="F35">
        <v>10020</v>
      </c>
    </row>
    <row r="36" spans="1:6">
      <c r="A36">
        <v>3787015</v>
      </c>
      <c r="B36" t="s">
        <v>1578</v>
      </c>
      <c r="C36">
        <v>45989</v>
      </c>
      <c r="D36" t="s">
        <v>294</v>
      </c>
      <c r="E36" t="s">
        <v>1580</v>
      </c>
      <c r="F36">
        <v>10010</v>
      </c>
    </row>
    <row r="37" spans="1:6">
      <c r="A37">
        <v>3787016</v>
      </c>
      <c r="B37" t="s">
        <v>1581</v>
      </c>
      <c r="C37">
        <v>45989</v>
      </c>
      <c r="D37" t="s">
        <v>294</v>
      </c>
      <c r="E37" t="s">
        <v>1583</v>
      </c>
      <c r="F37">
        <v>10010</v>
      </c>
    </row>
    <row r="38" spans="1:6">
      <c r="A38">
        <v>3787017</v>
      </c>
      <c r="C38">
        <v>45989</v>
      </c>
      <c r="D38" t="s">
        <v>506</v>
      </c>
      <c r="E38" t="s">
        <v>1585</v>
      </c>
      <c r="F38">
        <v>10070</v>
      </c>
    </row>
    <row r="39" spans="1:6">
      <c r="A39">
        <v>3787018</v>
      </c>
      <c r="C39">
        <v>45994</v>
      </c>
      <c r="D39" t="s">
        <v>118</v>
      </c>
      <c r="E39" t="s">
        <v>3074</v>
      </c>
      <c r="F39">
        <v>10310</v>
      </c>
    </row>
    <row r="40" spans="1:6">
      <c r="A40">
        <v>3787019</v>
      </c>
      <c r="C40">
        <v>45996</v>
      </c>
      <c r="D40" t="s">
        <v>236</v>
      </c>
      <c r="E40" t="s">
        <v>1590</v>
      </c>
      <c r="F40">
        <v>10070</v>
      </c>
    </row>
    <row r="41" spans="1:6">
      <c r="A41">
        <v>3787020</v>
      </c>
      <c r="C41">
        <v>45993</v>
      </c>
      <c r="D41" t="s">
        <v>230</v>
      </c>
      <c r="E41" t="s">
        <v>1593</v>
      </c>
      <c r="F41">
        <v>10110</v>
      </c>
    </row>
    <row r="42" spans="1:6">
      <c r="A42">
        <v>3787021</v>
      </c>
      <c r="C42">
        <v>45996</v>
      </c>
      <c r="D42" t="s">
        <v>506</v>
      </c>
      <c r="E42" t="s">
        <v>1585</v>
      </c>
      <c r="F42">
        <v>10070</v>
      </c>
    </row>
    <row r="43" spans="1:6">
      <c r="A43">
        <v>3787022</v>
      </c>
      <c r="C43">
        <v>45994</v>
      </c>
      <c r="D43" t="s">
        <v>506</v>
      </c>
      <c r="E43" t="s">
        <v>1585</v>
      </c>
      <c r="F43">
        <v>10070</v>
      </c>
    </row>
    <row r="44" spans="1:6">
      <c r="A44">
        <v>3787023</v>
      </c>
      <c r="C44">
        <v>45994</v>
      </c>
      <c r="D44" t="s">
        <v>118</v>
      </c>
      <c r="E44" t="s">
        <v>1600</v>
      </c>
      <c r="F44">
        <v>10310</v>
      </c>
    </row>
    <row r="45" spans="1:6">
      <c r="A45">
        <v>3787024</v>
      </c>
      <c r="C45">
        <v>45994</v>
      </c>
      <c r="D45" t="s">
        <v>118</v>
      </c>
      <c r="E45" t="s">
        <v>1602</v>
      </c>
      <c r="F45">
        <v>10310</v>
      </c>
    </row>
    <row r="46" spans="1:6">
      <c r="A46">
        <v>3787025</v>
      </c>
      <c r="C46">
        <v>45994</v>
      </c>
      <c r="D46" t="s">
        <v>118</v>
      </c>
      <c r="E46" t="s">
        <v>1602</v>
      </c>
      <c r="F46">
        <v>10310</v>
      </c>
    </row>
    <row r="47" spans="1:6">
      <c r="A47">
        <v>3787026</v>
      </c>
      <c r="C47">
        <v>45995</v>
      </c>
      <c r="D47" t="s">
        <v>118</v>
      </c>
      <c r="E47" t="s">
        <v>1604</v>
      </c>
      <c r="F47">
        <v>10111</v>
      </c>
    </row>
    <row r="48" spans="1:6">
      <c r="A48">
        <v>3787027</v>
      </c>
      <c r="C48">
        <v>45995</v>
      </c>
      <c r="D48" t="s">
        <v>118</v>
      </c>
      <c r="E48" t="s">
        <v>1606</v>
      </c>
      <c r="F48">
        <v>10140</v>
      </c>
    </row>
    <row r="49" spans="1:6">
      <c r="A49">
        <v>3787028</v>
      </c>
      <c r="C49">
        <v>46000</v>
      </c>
      <c r="D49" t="s">
        <v>506</v>
      </c>
      <c r="E49" t="s">
        <v>1609</v>
      </c>
      <c r="F49">
        <v>10020</v>
      </c>
    </row>
    <row r="50" spans="1:6">
      <c r="A50">
        <v>3787029</v>
      </c>
      <c r="C50">
        <v>46000</v>
      </c>
      <c r="D50" t="s">
        <v>2708</v>
      </c>
      <c r="E50" t="s">
        <v>1612</v>
      </c>
      <c r="F50">
        <v>10260</v>
      </c>
    </row>
    <row r="51" spans="1:6">
      <c r="A51">
        <v>3787030</v>
      </c>
      <c r="C51">
        <v>46000</v>
      </c>
      <c r="D51" t="s">
        <v>2708</v>
      </c>
      <c r="E51" t="s">
        <v>1613</v>
      </c>
      <c r="F51">
        <v>10260</v>
      </c>
    </row>
    <row r="52" spans="1:6">
      <c r="A52">
        <v>3787031</v>
      </c>
      <c r="C52">
        <v>46001</v>
      </c>
      <c r="D52" t="s">
        <v>506</v>
      </c>
      <c r="E52" t="s">
        <v>1585</v>
      </c>
      <c r="F52">
        <v>10070</v>
      </c>
    </row>
    <row r="53" spans="1:6">
      <c r="A53">
        <v>3787032</v>
      </c>
      <c r="C53">
        <v>46001</v>
      </c>
      <c r="D53" t="s">
        <v>550</v>
      </c>
      <c r="E53" t="s">
        <v>1620</v>
      </c>
      <c r="F53">
        <v>10060</v>
      </c>
    </row>
    <row r="54" spans="1:6">
      <c r="A54">
        <v>3787033</v>
      </c>
      <c r="C54">
        <v>45993</v>
      </c>
      <c r="D54" t="s">
        <v>260</v>
      </c>
      <c r="E54" t="s">
        <v>1623</v>
      </c>
      <c r="F54">
        <v>37030</v>
      </c>
    </row>
    <row r="55" spans="1:6">
      <c r="A55">
        <v>3787034</v>
      </c>
      <c r="C55">
        <v>45993</v>
      </c>
      <c r="D55" t="s">
        <v>260</v>
      </c>
      <c r="E55" t="s">
        <v>1623</v>
      </c>
      <c r="F55">
        <v>37030</v>
      </c>
    </row>
    <row r="56" spans="1:6">
      <c r="A56">
        <v>3787035</v>
      </c>
      <c r="C56">
        <v>46000</v>
      </c>
      <c r="D56" t="s">
        <v>118</v>
      </c>
      <c r="E56" t="s">
        <v>1602</v>
      </c>
      <c r="F56">
        <v>10310</v>
      </c>
    </row>
    <row r="57" spans="1:6">
      <c r="A57">
        <v>3787036</v>
      </c>
      <c r="C57">
        <v>46002</v>
      </c>
      <c r="D57" t="s">
        <v>236</v>
      </c>
      <c r="E57" t="s">
        <v>1590</v>
      </c>
      <c r="F57">
        <v>10070</v>
      </c>
    </row>
    <row r="58" spans="1:6">
      <c r="A58">
        <v>3787037</v>
      </c>
      <c r="C58">
        <v>46002</v>
      </c>
      <c r="D58" t="s">
        <v>236</v>
      </c>
      <c r="E58" t="s">
        <v>1636</v>
      </c>
      <c r="F58">
        <v>10070</v>
      </c>
    </row>
    <row r="59" spans="1:6">
      <c r="A59">
        <v>3787038</v>
      </c>
      <c r="C59">
        <v>46002</v>
      </c>
      <c r="D59" t="s">
        <v>236</v>
      </c>
      <c r="E59" t="s">
        <v>1636</v>
      </c>
      <c r="F59">
        <v>10070</v>
      </c>
    </row>
    <row r="60" spans="1:6">
      <c r="A60">
        <v>3787039</v>
      </c>
      <c r="C60">
        <v>46002</v>
      </c>
      <c r="D60" t="s">
        <v>236</v>
      </c>
      <c r="E60" t="s">
        <v>1636</v>
      </c>
      <c r="F60">
        <v>10070</v>
      </c>
    </row>
    <row r="61" spans="1:6">
      <c r="A61">
        <v>3787040</v>
      </c>
      <c r="C61">
        <v>46002</v>
      </c>
      <c r="D61" t="s">
        <v>1641</v>
      </c>
      <c r="E61" t="s">
        <v>1643</v>
      </c>
      <c r="F61">
        <v>10010</v>
      </c>
    </row>
    <row r="62" spans="1:6">
      <c r="A62">
        <v>3787041</v>
      </c>
      <c r="C62">
        <v>46002</v>
      </c>
      <c r="D62" t="s">
        <v>1641</v>
      </c>
      <c r="E62" t="s">
        <v>1649</v>
      </c>
      <c r="F62">
        <v>10010</v>
      </c>
    </row>
    <row r="63" spans="1:6">
      <c r="A63">
        <v>3787042</v>
      </c>
      <c r="C63">
        <v>46002</v>
      </c>
      <c r="D63" t="s">
        <v>1641</v>
      </c>
      <c r="E63" t="s">
        <v>1651</v>
      </c>
      <c r="F63">
        <v>10010</v>
      </c>
    </row>
    <row r="64" spans="1:6">
      <c r="A64">
        <v>3787043</v>
      </c>
      <c r="C64">
        <v>46002</v>
      </c>
      <c r="D64" t="s">
        <v>1641</v>
      </c>
      <c r="E64" t="s">
        <v>3075</v>
      </c>
      <c r="F64">
        <v>10010</v>
      </c>
    </row>
    <row r="65" spans="1:6">
      <c r="A65">
        <v>3787044</v>
      </c>
      <c r="C65">
        <v>46002</v>
      </c>
      <c r="D65" t="s">
        <v>1641</v>
      </c>
      <c r="E65" t="s">
        <v>1655</v>
      </c>
      <c r="F65">
        <v>10010</v>
      </c>
    </row>
    <row r="66" spans="1:6">
      <c r="A66">
        <v>3787045</v>
      </c>
      <c r="C66">
        <v>46002</v>
      </c>
      <c r="D66" t="s">
        <v>1641</v>
      </c>
      <c r="E66" t="s">
        <v>1657</v>
      </c>
      <c r="F66">
        <v>10010</v>
      </c>
    </row>
    <row r="67" spans="1:6">
      <c r="A67">
        <v>3787046</v>
      </c>
      <c r="C67">
        <v>46002</v>
      </c>
      <c r="D67" t="s">
        <v>1641</v>
      </c>
      <c r="E67" t="s">
        <v>1659</v>
      </c>
      <c r="F67">
        <v>10010</v>
      </c>
    </row>
    <row r="68" spans="1:6">
      <c r="A68">
        <v>3787047</v>
      </c>
      <c r="C68">
        <v>46002</v>
      </c>
      <c r="D68" t="s">
        <v>1641</v>
      </c>
      <c r="E68" t="s">
        <v>1661</v>
      </c>
      <c r="F68">
        <v>10020</v>
      </c>
    </row>
    <row r="69" spans="1:6">
      <c r="A69">
        <v>3787048</v>
      </c>
      <c r="C69">
        <v>46002</v>
      </c>
      <c r="D69" t="s">
        <v>1641</v>
      </c>
      <c r="E69" t="s">
        <v>1663</v>
      </c>
      <c r="F69">
        <v>10020</v>
      </c>
    </row>
    <row r="70" spans="1:6">
      <c r="A70">
        <v>3787049</v>
      </c>
      <c r="C70">
        <v>46002</v>
      </c>
      <c r="D70" t="s">
        <v>1641</v>
      </c>
      <c r="E70" t="s">
        <v>1665</v>
      </c>
      <c r="F70">
        <v>10020</v>
      </c>
    </row>
    <row r="71" spans="1:6">
      <c r="A71">
        <v>3787050</v>
      </c>
      <c r="C71">
        <v>46002</v>
      </c>
      <c r="D71" t="s">
        <v>1641</v>
      </c>
      <c r="E71" t="s">
        <v>1667</v>
      </c>
      <c r="F71">
        <v>10020</v>
      </c>
    </row>
    <row r="72" spans="1:6">
      <c r="A72">
        <v>3787051</v>
      </c>
      <c r="C72">
        <v>46003</v>
      </c>
      <c r="D72" t="s">
        <v>1669</v>
      </c>
      <c r="E72" t="s">
        <v>261</v>
      </c>
      <c r="F72">
        <v>10060</v>
      </c>
    </row>
    <row r="73" spans="1:6">
      <c r="A73">
        <v>3787052</v>
      </c>
      <c r="C73">
        <v>46006</v>
      </c>
      <c r="D73" t="s">
        <v>447</v>
      </c>
      <c r="E73" t="s">
        <v>1673</v>
      </c>
      <c r="F73">
        <v>10020</v>
      </c>
    </row>
    <row r="74" spans="1:6">
      <c r="A74">
        <v>3787053</v>
      </c>
      <c r="C74">
        <v>46006</v>
      </c>
      <c r="D74" t="s">
        <v>447</v>
      </c>
      <c r="E74" t="s">
        <v>1677</v>
      </c>
      <c r="F74">
        <v>10010</v>
      </c>
    </row>
    <row r="75" spans="1:6">
      <c r="A75">
        <v>3787054</v>
      </c>
      <c r="C75">
        <v>46006</v>
      </c>
      <c r="D75" t="s">
        <v>118</v>
      </c>
      <c r="E75" t="s">
        <v>3076</v>
      </c>
      <c r="F75">
        <v>10040</v>
      </c>
    </row>
    <row r="76" spans="1:6">
      <c r="A76">
        <v>3787055</v>
      </c>
      <c r="C76">
        <v>46006</v>
      </c>
      <c r="D76" t="s">
        <v>118</v>
      </c>
      <c r="E76" t="s">
        <v>3076</v>
      </c>
      <c r="F76">
        <v>10040</v>
      </c>
    </row>
    <row r="77" spans="1:6">
      <c r="A77">
        <v>3787056</v>
      </c>
      <c r="C77">
        <v>46006</v>
      </c>
      <c r="D77" t="s">
        <v>118</v>
      </c>
      <c r="E77" t="s">
        <v>3076</v>
      </c>
      <c r="F77">
        <v>10040</v>
      </c>
    </row>
    <row r="78" spans="1:6">
      <c r="A78">
        <v>3787057</v>
      </c>
      <c r="C78">
        <v>46006</v>
      </c>
      <c r="D78" t="s">
        <v>447</v>
      </c>
      <c r="E78" t="s">
        <v>1686</v>
      </c>
      <c r="F78">
        <v>10020</v>
      </c>
    </row>
    <row r="79" spans="1:6">
      <c r="A79">
        <v>3787058</v>
      </c>
      <c r="C79">
        <v>46006</v>
      </c>
      <c r="D79" t="s">
        <v>447</v>
      </c>
      <c r="E79" t="s">
        <v>1688</v>
      </c>
      <c r="F79">
        <v>10020</v>
      </c>
    </row>
    <row r="80" spans="1:6">
      <c r="A80">
        <v>3787059</v>
      </c>
      <c r="C80">
        <v>46006</v>
      </c>
      <c r="D80" t="s">
        <v>447</v>
      </c>
      <c r="E80" t="s">
        <v>1690</v>
      </c>
      <c r="F80">
        <v>10010</v>
      </c>
    </row>
    <row r="81" spans="1:6">
      <c r="A81">
        <v>3787060</v>
      </c>
      <c r="C81">
        <v>46008</v>
      </c>
      <c r="D81" t="s">
        <v>118</v>
      </c>
      <c r="E81" t="s">
        <v>1141</v>
      </c>
      <c r="F81">
        <v>10080</v>
      </c>
    </row>
    <row r="82" spans="1:6">
      <c r="A82">
        <v>3787061</v>
      </c>
      <c r="C82">
        <v>46008</v>
      </c>
      <c r="D82" t="s">
        <v>118</v>
      </c>
      <c r="E82" t="s">
        <v>1693</v>
      </c>
      <c r="F82">
        <v>10110</v>
      </c>
    </row>
    <row r="83" spans="1:6">
      <c r="A83">
        <v>3787062</v>
      </c>
      <c r="C83">
        <v>46008</v>
      </c>
      <c r="D83" t="s">
        <v>118</v>
      </c>
      <c r="E83" t="s">
        <v>1700</v>
      </c>
      <c r="F83">
        <v>10120</v>
      </c>
    </row>
    <row r="84" spans="1:6">
      <c r="A84">
        <v>3787063</v>
      </c>
      <c r="C84">
        <v>46009</v>
      </c>
      <c r="D84" t="s">
        <v>506</v>
      </c>
      <c r="E84" t="s">
        <v>1706</v>
      </c>
      <c r="F84">
        <v>10070</v>
      </c>
    </row>
    <row r="85" spans="1:6">
      <c r="A85">
        <v>3787064</v>
      </c>
      <c r="C85">
        <v>45994</v>
      </c>
      <c r="D85" t="s">
        <v>118</v>
      </c>
      <c r="E85" t="s">
        <v>1162</v>
      </c>
      <c r="F85">
        <v>10310</v>
      </c>
    </row>
    <row r="86" spans="1:6">
      <c r="A86">
        <v>3787065</v>
      </c>
      <c r="C86">
        <v>46013</v>
      </c>
      <c r="D86" t="s">
        <v>294</v>
      </c>
      <c r="E86" t="s">
        <v>467</v>
      </c>
    </row>
    <row r="87" spans="1:6">
      <c r="A87">
        <v>3787066</v>
      </c>
      <c r="C87">
        <v>46013</v>
      </c>
      <c r="D87" t="s">
        <v>294</v>
      </c>
      <c r="E87" t="s">
        <v>467</v>
      </c>
    </row>
    <row r="88" spans="1:6">
      <c r="A88">
        <v>3787067</v>
      </c>
      <c r="C88">
        <v>46013</v>
      </c>
      <c r="D88" t="s">
        <v>236</v>
      </c>
      <c r="E88" t="s">
        <v>120</v>
      </c>
      <c r="F88">
        <v>10070</v>
      </c>
    </row>
    <row r="89" spans="1:6">
      <c r="A89">
        <v>3787068</v>
      </c>
      <c r="C89">
        <v>46013</v>
      </c>
      <c r="D89" t="s">
        <v>294</v>
      </c>
      <c r="E89" t="s">
        <v>1713</v>
      </c>
      <c r="F89">
        <v>10020</v>
      </c>
    </row>
    <row r="90" spans="1:6">
      <c r="A90">
        <v>3787069</v>
      </c>
      <c r="C90">
        <v>46013</v>
      </c>
      <c r="D90" t="s">
        <v>294</v>
      </c>
      <c r="E90" t="s">
        <v>1716</v>
      </c>
      <c r="F90">
        <v>10020</v>
      </c>
    </row>
    <row r="91" spans="1:6">
      <c r="A91">
        <v>3787070</v>
      </c>
      <c r="C91">
        <v>46013</v>
      </c>
      <c r="D91" t="s">
        <v>294</v>
      </c>
      <c r="E91" t="s">
        <v>1718</v>
      </c>
      <c r="F91">
        <v>10010</v>
      </c>
    </row>
    <row r="92" spans="1:6">
      <c r="A92">
        <v>3787071</v>
      </c>
      <c r="C92">
        <v>46013</v>
      </c>
      <c r="D92" t="s">
        <v>294</v>
      </c>
      <c r="E92" t="s">
        <v>1720</v>
      </c>
      <c r="F92">
        <v>10020</v>
      </c>
    </row>
    <row r="93" spans="1:6">
      <c r="A93">
        <v>3787072</v>
      </c>
      <c r="C93">
        <v>46013</v>
      </c>
      <c r="D93" t="s">
        <v>294</v>
      </c>
      <c r="E93" t="s">
        <v>1722</v>
      </c>
      <c r="F93">
        <v>10020</v>
      </c>
    </row>
    <row r="94" spans="1:6">
      <c r="A94">
        <v>3787073</v>
      </c>
      <c r="C94">
        <v>46013</v>
      </c>
      <c r="D94" t="s">
        <v>294</v>
      </c>
      <c r="E94" t="s">
        <v>1725</v>
      </c>
      <c r="F94">
        <v>10020</v>
      </c>
    </row>
    <row r="95" spans="1:6">
      <c r="A95">
        <v>3787074</v>
      </c>
      <c r="C95">
        <v>46013</v>
      </c>
      <c r="D95" t="s">
        <v>294</v>
      </c>
      <c r="E95" t="s">
        <v>1727</v>
      </c>
      <c r="F95">
        <v>10010</v>
      </c>
    </row>
    <row r="96" spans="1:6">
      <c r="A96">
        <v>3787075</v>
      </c>
      <c r="C96">
        <v>46013</v>
      </c>
      <c r="D96" t="s">
        <v>294</v>
      </c>
      <c r="E96" t="s">
        <v>1729</v>
      </c>
      <c r="F96">
        <v>10010</v>
      </c>
    </row>
    <row r="97" spans="1:6">
      <c r="A97">
        <v>3787076</v>
      </c>
      <c r="C97">
        <v>46014</v>
      </c>
      <c r="D97" t="s">
        <v>1731</v>
      </c>
      <c r="E97" t="s">
        <v>1732</v>
      </c>
      <c r="F97">
        <v>10060</v>
      </c>
    </row>
    <row r="98" spans="1:6">
      <c r="A98">
        <v>3787077</v>
      </c>
      <c r="C98">
        <v>46014</v>
      </c>
      <c r="D98" t="s">
        <v>1735</v>
      </c>
      <c r="E98" t="s">
        <v>3077</v>
      </c>
      <c r="F98">
        <v>10060</v>
      </c>
    </row>
    <row r="99" spans="1:6">
      <c r="A99">
        <v>3787078</v>
      </c>
      <c r="C99">
        <v>46014</v>
      </c>
      <c r="D99" t="s">
        <v>1735</v>
      </c>
      <c r="E99" t="s">
        <v>3078</v>
      </c>
      <c r="F99">
        <v>10060</v>
      </c>
    </row>
    <row r="100" spans="1:6">
      <c r="A100">
        <v>3787079</v>
      </c>
      <c r="C100">
        <v>46022</v>
      </c>
      <c r="D100" t="s">
        <v>1731</v>
      </c>
      <c r="E100" t="s">
        <v>1085</v>
      </c>
      <c r="F100">
        <v>10120</v>
      </c>
    </row>
    <row r="101" spans="1:6">
      <c r="A101">
        <v>3787080</v>
      </c>
      <c r="C101">
        <v>46022</v>
      </c>
      <c r="D101" t="s">
        <v>1746</v>
      </c>
      <c r="E101" t="s">
        <v>1748</v>
      </c>
      <c r="F101">
        <v>10020</v>
      </c>
    </row>
    <row r="102" spans="1:6">
      <c r="A102">
        <v>3787081</v>
      </c>
      <c r="C102">
        <v>46022</v>
      </c>
      <c r="D102" t="s">
        <v>1746</v>
      </c>
      <c r="E102" t="s">
        <v>1751</v>
      </c>
      <c r="F102">
        <v>10020</v>
      </c>
    </row>
    <row r="103" spans="1:6">
      <c r="A103">
        <v>3787082</v>
      </c>
      <c r="C103">
        <v>46022</v>
      </c>
      <c r="D103" t="s">
        <v>1746</v>
      </c>
      <c r="E103" t="s">
        <v>1753</v>
      </c>
      <c r="F103">
        <v>10010</v>
      </c>
    </row>
    <row r="104" spans="1:6">
      <c r="A104">
        <v>3787083</v>
      </c>
      <c r="C104">
        <v>46022</v>
      </c>
      <c r="D104" t="s">
        <v>1746</v>
      </c>
      <c r="E104" t="s">
        <v>1755</v>
      </c>
      <c r="F104">
        <v>10010</v>
      </c>
    </row>
    <row r="105" spans="1:6">
      <c r="A105">
        <v>3787084</v>
      </c>
      <c r="C105">
        <v>46022</v>
      </c>
      <c r="D105" t="s">
        <v>1746</v>
      </c>
      <c r="E105" t="s">
        <v>1757</v>
      </c>
      <c r="F105">
        <v>10010</v>
      </c>
    </row>
    <row r="106" spans="1:6">
      <c r="A106">
        <v>3787085</v>
      </c>
      <c r="C106">
        <v>46022</v>
      </c>
      <c r="D106" t="s">
        <v>1746</v>
      </c>
      <c r="E106" t="s">
        <v>1759</v>
      </c>
      <c r="F106">
        <v>10020</v>
      </c>
    </row>
    <row r="107" spans="1:6">
      <c r="A107">
        <v>3787086</v>
      </c>
      <c r="C107">
        <v>46022</v>
      </c>
      <c r="D107" t="s">
        <v>1746</v>
      </c>
      <c r="E107" t="s">
        <v>1761</v>
      </c>
      <c r="F107">
        <v>10010</v>
      </c>
    </row>
    <row r="108" spans="1:6">
      <c r="A108">
        <v>3787087</v>
      </c>
      <c r="C108">
        <v>46022</v>
      </c>
      <c r="D108" t="s">
        <v>1746</v>
      </c>
      <c r="E108" t="s">
        <v>1763</v>
      </c>
      <c r="F108">
        <v>10020</v>
      </c>
    </row>
    <row r="109" spans="1:6">
      <c r="A109">
        <v>3787088</v>
      </c>
      <c r="C109">
        <v>46029</v>
      </c>
      <c r="D109" t="s">
        <v>447</v>
      </c>
      <c r="E109" t="s">
        <v>1764</v>
      </c>
      <c r="F109">
        <v>10030</v>
      </c>
    </row>
    <row r="110" spans="1:6">
      <c r="A110">
        <v>3787089</v>
      </c>
      <c r="C110">
        <v>45664</v>
      </c>
      <c r="D110" t="s">
        <v>260</v>
      </c>
      <c r="E110" t="s">
        <v>1767</v>
      </c>
      <c r="F110">
        <v>37030</v>
      </c>
    </row>
    <row r="111" spans="1:6">
      <c r="A111">
        <v>3787090</v>
      </c>
      <c r="C111">
        <v>45664</v>
      </c>
      <c r="D111" t="s">
        <v>260</v>
      </c>
      <c r="E111" t="s">
        <v>1767</v>
      </c>
      <c r="F111">
        <v>37030</v>
      </c>
    </row>
    <row r="112" spans="1:6">
      <c r="A112">
        <v>3787091</v>
      </c>
      <c r="C112">
        <v>46031</v>
      </c>
      <c r="D112" t="s">
        <v>1641</v>
      </c>
      <c r="E112" t="s">
        <v>3079</v>
      </c>
      <c r="F112">
        <v>10060</v>
      </c>
    </row>
    <row r="113" spans="1:6">
      <c r="A113">
        <v>3787092</v>
      </c>
      <c r="C113">
        <v>46034</v>
      </c>
      <c r="D113" t="s">
        <v>118</v>
      </c>
      <c r="E113" t="s">
        <v>1602</v>
      </c>
      <c r="F113">
        <v>10310</v>
      </c>
    </row>
    <row r="114" spans="1:6">
      <c r="A114">
        <v>3787093</v>
      </c>
      <c r="C114">
        <v>46034</v>
      </c>
      <c r="D114" t="s">
        <v>118</v>
      </c>
      <c r="E114" t="s">
        <v>1776</v>
      </c>
      <c r="F114">
        <v>10310</v>
      </c>
    </row>
    <row r="115" spans="1:6">
      <c r="A115">
        <v>3787094</v>
      </c>
      <c r="C115">
        <v>46034</v>
      </c>
      <c r="D115" t="s">
        <v>118</v>
      </c>
      <c r="E115" t="s">
        <v>1602</v>
      </c>
      <c r="F115">
        <v>10310</v>
      </c>
    </row>
    <row r="116" spans="1:6">
      <c r="A116">
        <v>3787095</v>
      </c>
      <c r="C116">
        <v>46034</v>
      </c>
      <c r="D116" t="s">
        <v>118</v>
      </c>
      <c r="E116" t="s">
        <v>1776</v>
      </c>
      <c r="F116">
        <v>10310</v>
      </c>
    </row>
    <row r="117" spans="1:6">
      <c r="A117">
        <v>3787096</v>
      </c>
      <c r="C117">
        <v>46034</v>
      </c>
      <c r="D117" t="s">
        <v>118</v>
      </c>
      <c r="E117" t="s">
        <v>1776</v>
      </c>
      <c r="F117">
        <v>10310</v>
      </c>
    </row>
    <row r="118" spans="1:6">
      <c r="A118">
        <v>3787097</v>
      </c>
      <c r="C118">
        <v>46034</v>
      </c>
      <c r="D118" t="s">
        <v>118</v>
      </c>
      <c r="E118" t="s">
        <v>1776</v>
      </c>
      <c r="F118">
        <v>10310</v>
      </c>
    </row>
    <row r="119" spans="1:6">
      <c r="A119">
        <v>3787098</v>
      </c>
      <c r="C119">
        <v>46035</v>
      </c>
      <c r="D119" t="s">
        <v>230</v>
      </c>
      <c r="E119" t="s">
        <v>1789</v>
      </c>
      <c r="F119">
        <v>10310</v>
      </c>
    </row>
    <row r="120" spans="1:6">
      <c r="A120">
        <v>3787099</v>
      </c>
      <c r="C120">
        <v>46036</v>
      </c>
      <c r="D120" t="s">
        <v>447</v>
      </c>
      <c r="E120" t="s">
        <v>1792</v>
      </c>
      <c r="F120">
        <v>10040</v>
      </c>
    </row>
    <row r="121" spans="1:6">
      <c r="A121">
        <v>3787100</v>
      </c>
      <c r="C121">
        <v>46036</v>
      </c>
      <c r="D121" t="s">
        <v>1795</v>
      </c>
      <c r="E121" t="s">
        <v>1796</v>
      </c>
      <c r="F121">
        <v>10260</v>
      </c>
    </row>
    <row r="122" spans="1:6">
      <c r="A122">
        <v>3787101</v>
      </c>
      <c r="C122">
        <v>46036</v>
      </c>
      <c r="D122" t="s">
        <v>447</v>
      </c>
      <c r="E122" t="s">
        <v>1802</v>
      </c>
      <c r="F122">
        <v>10040</v>
      </c>
    </row>
    <row r="123" spans="1:6">
      <c r="A123">
        <v>3787102</v>
      </c>
      <c r="C123">
        <v>46036</v>
      </c>
      <c r="D123" t="s">
        <v>447</v>
      </c>
      <c r="E123" t="s">
        <v>1804</v>
      </c>
      <c r="F123">
        <v>10030</v>
      </c>
    </row>
    <row r="124" spans="1:6">
      <c r="A124">
        <v>3787103</v>
      </c>
      <c r="C124">
        <v>46036</v>
      </c>
      <c r="D124" t="s">
        <v>447</v>
      </c>
      <c r="E124" t="s">
        <v>1806</v>
      </c>
      <c r="F124">
        <v>10010</v>
      </c>
    </row>
    <row r="125" spans="1:6">
      <c r="A125">
        <v>3787104</v>
      </c>
      <c r="C125">
        <v>46036</v>
      </c>
      <c r="D125" t="s">
        <v>447</v>
      </c>
      <c r="E125" t="s">
        <v>1808</v>
      </c>
      <c r="F125">
        <v>10030</v>
      </c>
    </row>
    <row r="126" spans="1:6">
      <c r="A126">
        <v>3787105</v>
      </c>
      <c r="C126">
        <v>46036</v>
      </c>
      <c r="D126" t="s">
        <v>447</v>
      </c>
      <c r="E126" t="s">
        <v>1810</v>
      </c>
      <c r="F126">
        <v>10030</v>
      </c>
    </row>
    <row r="127" spans="1:6">
      <c r="A127">
        <v>3787106</v>
      </c>
      <c r="C127">
        <v>46036</v>
      </c>
      <c r="D127" t="s">
        <v>447</v>
      </c>
      <c r="E127" t="s">
        <v>1812</v>
      </c>
      <c r="F127">
        <v>10030</v>
      </c>
    </row>
    <row r="128" spans="1:6">
      <c r="A128">
        <v>3787107</v>
      </c>
      <c r="C128">
        <v>46036</v>
      </c>
      <c r="D128" t="s">
        <v>909</v>
      </c>
      <c r="E128" t="s">
        <v>1814</v>
      </c>
      <c r="F128">
        <v>10070</v>
      </c>
    </row>
    <row r="129" spans="1:6">
      <c r="A129">
        <v>3787108</v>
      </c>
      <c r="C129">
        <v>46036</v>
      </c>
      <c r="D129" t="s">
        <v>909</v>
      </c>
      <c r="E129" t="s">
        <v>1818</v>
      </c>
      <c r="F129">
        <v>10010</v>
      </c>
    </row>
    <row r="130" spans="1:6">
      <c r="A130">
        <v>3787109</v>
      </c>
      <c r="C130">
        <v>46036</v>
      </c>
      <c r="D130" t="s">
        <v>909</v>
      </c>
      <c r="E130" t="s">
        <v>1818</v>
      </c>
      <c r="F130">
        <v>10010</v>
      </c>
    </row>
    <row r="131" spans="1:6">
      <c r="A131">
        <v>3787110</v>
      </c>
      <c r="C131">
        <v>46036</v>
      </c>
      <c r="D131" t="s">
        <v>909</v>
      </c>
      <c r="E131" t="s">
        <v>1821</v>
      </c>
      <c r="F131">
        <v>10010</v>
      </c>
    </row>
    <row r="132" spans="1:6">
      <c r="A132">
        <v>3787111</v>
      </c>
      <c r="C132">
        <v>46036</v>
      </c>
      <c r="D132" t="s">
        <v>909</v>
      </c>
      <c r="E132" t="s">
        <v>1823</v>
      </c>
      <c r="F132">
        <v>10010</v>
      </c>
    </row>
    <row r="133" spans="1:6">
      <c r="A133">
        <v>3787112</v>
      </c>
      <c r="C133">
        <v>46041</v>
      </c>
      <c r="D133" t="s">
        <v>1824</v>
      </c>
      <c r="E133" t="s">
        <v>1825</v>
      </c>
      <c r="F133">
        <v>10030</v>
      </c>
    </row>
    <row r="134" spans="1:6">
      <c r="A134">
        <v>3787113</v>
      </c>
      <c r="C134">
        <v>46042</v>
      </c>
      <c r="D134" t="s">
        <v>230</v>
      </c>
      <c r="E134" t="s">
        <v>1789</v>
      </c>
      <c r="F134">
        <v>10030</v>
      </c>
    </row>
    <row r="135" spans="1:6">
      <c r="A135">
        <v>3787114</v>
      </c>
      <c r="C135">
        <v>46042</v>
      </c>
      <c r="D135" t="s">
        <v>1356</v>
      </c>
      <c r="E135" t="s">
        <v>1831</v>
      </c>
      <c r="F135">
        <v>10100</v>
      </c>
    </row>
    <row r="136" spans="1:6">
      <c r="A136">
        <v>3787115</v>
      </c>
      <c r="C136">
        <v>46042</v>
      </c>
      <c r="D136" t="s">
        <v>1356</v>
      </c>
      <c r="E136" t="s">
        <v>1835</v>
      </c>
      <c r="F136">
        <v>10100</v>
      </c>
    </row>
    <row r="137" spans="1:6">
      <c r="A137">
        <v>3787116</v>
      </c>
      <c r="C137">
        <v>46042</v>
      </c>
      <c r="D137" t="s">
        <v>1356</v>
      </c>
      <c r="E137" t="s">
        <v>1837</v>
      </c>
      <c r="F137">
        <v>10090</v>
      </c>
    </row>
    <row r="138" spans="1:6">
      <c r="A138">
        <v>3787117</v>
      </c>
      <c r="C138">
        <v>46043</v>
      </c>
      <c r="D138" t="s">
        <v>236</v>
      </c>
      <c r="E138" t="s">
        <v>1839</v>
      </c>
      <c r="F138">
        <v>10010</v>
      </c>
    </row>
    <row r="139" spans="1:6">
      <c r="A139">
        <v>3787118</v>
      </c>
      <c r="C139">
        <v>46043</v>
      </c>
      <c r="D139" t="s">
        <v>236</v>
      </c>
      <c r="E139" t="s">
        <v>1844</v>
      </c>
      <c r="F139">
        <v>10060</v>
      </c>
    </row>
    <row r="140" spans="1:6">
      <c r="A140">
        <v>3787119</v>
      </c>
      <c r="C140">
        <v>46043</v>
      </c>
      <c r="D140" t="s">
        <v>236</v>
      </c>
      <c r="E140" t="s">
        <v>1846</v>
      </c>
      <c r="F140">
        <v>10070</v>
      </c>
    </row>
    <row r="141" spans="1:6">
      <c r="A141">
        <v>3787120</v>
      </c>
      <c r="C141">
        <v>46043</v>
      </c>
      <c r="D141" t="s">
        <v>236</v>
      </c>
      <c r="E141" t="s">
        <v>1844</v>
      </c>
      <c r="F141">
        <v>10060</v>
      </c>
    </row>
    <row r="142" spans="1:6">
      <c r="A142">
        <v>3787121</v>
      </c>
      <c r="C142">
        <v>46043</v>
      </c>
      <c r="D142" t="s">
        <v>118</v>
      </c>
      <c r="E142" t="s">
        <v>1602</v>
      </c>
      <c r="F142">
        <v>10310</v>
      </c>
    </row>
    <row r="143" spans="1:6">
      <c r="A143">
        <v>3787122</v>
      </c>
      <c r="C143">
        <v>46043</v>
      </c>
      <c r="D143" t="s">
        <v>118</v>
      </c>
      <c r="E143" t="s">
        <v>1602</v>
      </c>
      <c r="F143">
        <v>10310</v>
      </c>
    </row>
    <row r="144" spans="1:6">
      <c r="A144">
        <v>3787123</v>
      </c>
      <c r="C144">
        <v>46043</v>
      </c>
      <c r="D144" t="s">
        <v>118</v>
      </c>
      <c r="E144" t="s">
        <v>1602</v>
      </c>
      <c r="F144">
        <v>10310</v>
      </c>
    </row>
    <row r="145" spans="1:6">
      <c r="A145">
        <v>3787124</v>
      </c>
      <c r="C145">
        <v>46044</v>
      </c>
      <c r="D145" t="s">
        <v>1356</v>
      </c>
      <c r="E145" t="s">
        <v>3080</v>
      </c>
      <c r="F145">
        <v>10030</v>
      </c>
    </row>
    <row r="146" spans="1:6">
      <c r="A146">
        <v>3787125</v>
      </c>
      <c r="C146">
        <v>46045</v>
      </c>
      <c r="D146" t="s">
        <v>506</v>
      </c>
      <c r="E146" t="s">
        <v>1862</v>
      </c>
      <c r="F146">
        <v>10030</v>
      </c>
    </row>
    <row r="147" spans="1:6">
      <c r="A147">
        <v>3787126</v>
      </c>
      <c r="C147">
        <v>46045</v>
      </c>
      <c r="D147" t="s">
        <v>506</v>
      </c>
      <c r="E147" t="s">
        <v>1864</v>
      </c>
      <c r="F147">
        <v>10040</v>
      </c>
    </row>
    <row r="148" spans="1:6">
      <c r="A148">
        <v>3787127</v>
      </c>
      <c r="C148">
        <v>46045</v>
      </c>
      <c r="D148" t="s">
        <v>506</v>
      </c>
      <c r="E148" t="s">
        <v>1866</v>
      </c>
      <c r="F148">
        <v>10010</v>
      </c>
    </row>
    <row r="149" spans="1:6">
      <c r="A149">
        <v>3787128</v>
      </c>
      <c r="C149">
        <v>46045</v>
      </c>
      <c r="D149" t="s">
        <v>506</v>
      </c>
      <c r="E149" t="s">
        <v>1868</v>
      </c>
      <c r="F149">
        <v>10030</v>
      </c>
    </row>
    <row r="150" spans="1:6">
      <c r="A150">
        <v>3787129</v>
      </c>
      <c r="C150">
        <v>46045</v>
      </c>
      <c r="D150" t="s">
        <v>506</v>
      </c>
      <c r="E150" t="s">
        <v>1870</v>
      </c>
      <c r="F150">
        <v>10040</v>
      </c>
    </row>
    <row r="151" spans="1:6">
      <c r="A151">
        <v>3787130</v>
      </c>
      <c r="C151">
        <v>46045</v>
      </c>
      <c r="D151" t="s">
        <v>506</v>
      </c>
      <c r="E151" t="s">
        <v>1872</v>
      </c>
      <c r="F151">
        <v>10040</v>
      </c>
    </row>
    <row r="152" spans="1:6">
      <c r="A152">
        <v>3787131</v>
      </c>
      <c r="C152">
        <v>46045</v>
      </c>
      <c r="D152" t="s">
        <v>506</v>
      </c>
      <c r="E152" t="s">
        <v>1874</v>
      </c>
      <c r="F152">
        <v>10040</v>
      </c>
    </row>
    <row r="153" spans="1:6">
      <c r="A153">
        <v>3787132</v>
      </c>
      <c r="C153">
        <v>46045</v>
      </c>
      <c r="D153" t="s">
        <v>506</v>
      </c>
      <c r="E153" t="s">
        <v>1876</v>
      </c>
      <c r="F153">
        <v>10030</v>
      </c>
    </row>
    <row r="154" spans="1:6">
      <c r="A154">
        <v>3787133</v>
      </c>
      <c r="C154">
        <v>46045</v>
      </c>
      <c r="D154" t="s">
        <v>506</v>
      </c>
      <c r="E154" t="s">
        <v>1878</v>
      </c>
      <c r="F154">
        <v>10030</v>
      </c>
    </row>
    <row r="155" spans="1:6">
      <c r="A155">
        <v>3787134</v>
      </c>
      <c r="C155">
        <v>46045</v>
      </c>
      <c r="D155" t="s">
        <v>506</v>
      </c>
      <c r="E155" t="s">
        <v>1880</v>
      </c>
      <c r="F155">
        <v>10030</v>
      </c>
    </row>
    <row r="156" spans="1:6">
      <c r="A156">
        <v>3787135</v>
      </c>
      <c r="C156">
        <v>46045</v>
      </c>
      <c r="D156" t="s">
        <v>506</v>
      </c>
      <c r="E156" t="s">
        <v>1882</v>
      </c>
      <c r="F156">
        <v>10010</v>
      </c>
    </row>
    <row r="157" spans="1:6">
      <c r="A157">
        <v>3787136</v>
      </c>
      <c r="C157">
        <v>46045</v>
      </c>
      <c r="D157" t="s">
        <v>294</v>
      </c>
      <c r="E157" t="s">
        <v>1884</v>
      </c>
      <c r="F157">
        <v>10030</v>
      </c>
    </row>
    <row r="158" spans="1:6">
      <c r="A158">
        <v>3787137</v>
      </c>
      <c r="C158">
        <v>46045</v>
      </c>
      <c r="D158" t="s">
        <v>294</v>
      </c>
      <c r="E158" t="s">
        <v>1886</v>
      </c>
      <c r="F158">
        <v>10030</v>
      </c>
    </row>
    <row r="159" spans="1:6">
      <c r="A159">
        <v>3787138</v>
      </c>
      <c r="C159">
        <v>46045</v>
      </c>
      <c r="D159" t="s">
        <v>294</v>
      </c>
      <c r="E159" t="s">
        <v>1888</v>
      </c>
      <c r="F159">
        <v>10030</v>
      </c>
    </row>
    <row r="160" spans="1:6">
      <c r="A160">
        <v>3787141</v>
      </c>
      <c r="C160">
        <v>46045</v>
      </c>
      <c r="D160" t="s">
        <v>1641</v>
      </c>
      <c r="E160" t="s">
        <v>1901</v>
      </c>
      <c r="F160">
        <v>10010</v>
      </c>
    </row>
    <row r="161" spans="1:6">
      <c r="A161">
        <v>3787142</v>
      </c>
      <c r="C161">
        <v>46045</v>
      </c>
      <c r="D161" t="s">
        <v>1641</v>
      </c>
      <c r="E161" t="s">
        <v>1904</v>
      </c>
      <c r="F161">
        <v>10040</v>
      </c>
    </row>
    <row r="162" spans="1:6">
      <c r="A162">
        <v>3787143</v>
      </c>
      <c r="C162">
        <v>46045</v>
      </c>
      <c r="D162" t="s">
        <v>1641</v>
      </c>
      <c r="E162" t="s">
        <v>1906</v>
      </c>
      <c r="F162">
        <v>10040</v>
      </c>
    </row>
    <row r="163" spans="1:6">
      <c r="A163">
        <v>3787144</v>
      </c>
      <c r="C163">
        <v>46045</v>
      </c>
      <c r="D163" t="s">
        <v>1641</v>
      </c>
      <c r="E163" t="s">
        <v>1908</v>
      </c>
      <c r="F163">
        <v>10040</v>
      </c>
    </row>
    <row r="164" spans="1:6">
      <c r="A164">
        <v>3787145</v>
      </c>
      <c r="C164">
        <v>46045</v>
      </c>
      <c r="D164" t="s">
        <v>1641</v>
      </c>
      <c r="E164" t="s">
        <v>1910</v>
      </c>
      <c r="F164">
        <v>10020</v>
      </c>
    </row>
    <row r="165" spans="1:6">
      <c r="A165">
        <v>3787146</v>
      </c>
      <c r="C165">
        <v>46045</v>
      </c>
      <c r="D165" t="s">
        <v>1641</v>
      </c>
      <c r="E165" t="s">
        <v>1912</v>
      </c>
      <c r="F165">
        <v>10020</v>
      </c>
    </row>
    <row r="166" spans="1:6">
      <c r="A166">
        <v>3787147</v>
      </c>
      <c r="C166">
        <v>46045</v>
      </c>
      <c r="D166" t="s">
        <v>1641</v>
      </c>
      <c r="E166" t="s">
        <v>1914</v>
      </c>
      <c r="F166">
        <v>10030</v>
      </c>
    </row>
    <row r="167" spans="1:6">
      <c r="A167">
        <v>3787148</v>
      </c>
      <c r="C167">
        <v>46045</v>
      </c>
      <c r="D167" t="s">
        <v>1641</v>
      </c>
      <c r="E167" t="s">
        <v>1916</v>
      </c>
      <c r="F167">
        <v>10030</v>
      </c>
    </row>
    <row r="168" spans="1:6">
      <c r="A168">
        <v>3787149</v>
      </c>
      <c r="C168">
        <v>46045</v>
      </c>
      <c r="D168" t="s">
        <v>1641</v>
      </c>
      <c r="E168" t="s">
        <v>1918</v>
      </c>
      <c r="F168">
        <v>10030</v>
      </c>
    </row>
    <row r="169" spans="1:6">
      <c r="A169">
        <v>3787150</v>
      </c>
      <c r="C169">
        <v>46045</v>
      </c>
      <c r="D169" t="s">
        <v>1641</v>
      </c>
      <c r="E169" t="s">
        <v>1920</v>
      </c>
      <c r="F169">
        <v>10030</v>
      </c>
    </row>
    <row r="170" spans="1:6">
      <c r="A170">
        <v>3787151</v>
      </c>
      <c r="C170">
        <v>46045</v>
      </c>
      <c r="D170" t="s">
        <v>1641</v>
      </c>
      <c r="E170" t="s">
        <v>1922</v>
      </c>
      <c r="F170">
        <v>10030</v>
      </c>
    </row>
    <row r="171" spans="1:6">
      <c r="A171">
        <v>3787152</v>
      </c>
      <c r="C171">
        <v>46045</v>
      </c>
      <c r="D171" t="s">
        <v>1641</v>
      </c>
      <c r="E171" t="s">
        <v>1924</v>
      </c>
      <c r="F171">
        <v>10070</v>
      </c>
    </row>
    <row r="172" spans="1:6">
      <c r="A172">
        <v>3787153</v>
      </c>
      <c r="C172">
        <v>46045</v>
      </c>
      <c r="D172" t="s">
        <v>1641</v>
      </c>
      <c r="E172" t="s">
        <v>1928</v>
      </c>
      <c r="F172">
        <v>10030</v>
      </c>
    </row>
    <row r="173" spans="1:6">
      <c r="A173">
        <v>3787154</v>
      </c>
      <c r="C173">
        <v>46045</v>
      </c>
      <c r="D173" t="s">
        <v>1641</v>
      </c>
      <c r="E173" t="s">
        <v>1930</v>
      </c>
      <c r="F173">
        <v>10030</v>
      </c>
    </row>
    <row r="174" spans="1:6">
      <c r="A174">
        <v>3787155</v>
      </c>
      <c r="C174">
        <v>46045</v>
      </c>
      <c r="D174" t="s">
        <v>236</v>
      </c>
      <c r="E174" t="s">
        <v>1932</v>
      </c>
      <c r="F174">
        <v>10060</v>
      </c>
    </row>
    <row r="175" spans="1:6">
      <c r="A175">
        <v>3787156</v>
      </c>
      <c r="C175">
        <v>46045</v>
      </c>
      <c r="D175" t="s">
        <v>236</v>
      </c>
      <c r="E175" t="s">
        <v>1934</v>
      </c>
      <c r="F175">
        <v>10030</v>
      </c>
    </row>
    <row r="176" spans="1:6">
      <c r="A176">
        <v>3787157</v>
      </c>
      <c r="C176">
        <v>46045</v>
      </c>
      <c r="D176" t="s">
        <v>236</v>
      </c>
      <c r="E176" t="s">
        <v>1936</v>
      </c>
      <c r="F176">
        <v>10030</v>
      </c>
    </row>
    <row r="177" spans="1:6">
      <c r="A177">
        <v>3787158</v>
      </c>
      <c r="C177">
        <v>46045</v>
      </c>
      <c r="D177" t="s">
        <v>236</v>
      </c>
      <c r="E177" t="s">
        <v>1938</v>
      </c>
      <c r="F177">
        <v>10020</v>
      </c>
    </row>
    <row r="178" spans="1:6">
      <c r="A178">
        <v>3787159</v>
      </c>
      <c r="C178">
        <v>46048</v>
      </c>
      <c r="D178" t="s">
        <v>1939</v>
      </c>
      <c r="E178" t="s">
        <v>1940</v>
      </c>
      <c r="F178">
        <v>10040</v>
      </c>
    </row>
    <row r="179" spans="1:6">
      <c r="A179">
        <v>3787160</v>
      </c>
      <c r="C179">
        <v>46048</v>
      </c>
      <c r="D179" t="s">
        <v>1356</v>
      </c>
      <c r="E179" t="s">
        <v>1944</v>
      </c>
      <c r="F179">
        <v>10040</v>
      </c>
    </row>
    <row r="180" spans="1:6">
      <c r="A180">
        <v>3787161</v>
      </c>
      <c r="C180">
        <v>46048</v>
      </c>
      <c r="D180" t="s">
        <v>1356</v>
      </c>
      <c r="E180" t="s">
        <v>1946</v>
      </c>
      <c r="F180">
        <v>10020</v>
      </c>
    </row>
    <row r="181" spans="1:6">
      <c r="A181">
        <v>3787162</v>
      </c>
      <c r="C181">
        <v>46048</v>
      </c>
      <c r="D181" t="s">
        <v>1356</v>
      </c>
      <c r="E181" t="s">
        <v>3081</v>
      </c>
      <c r="F181">
        <v>10030</v>
      </c>
    </row>
    <row r="182" spans="1:6">
      <c r="A182">
        <v>3787163</v>
      </c>
      <c r="C182">
        <v>46048</v>
      </c>
      <c r="D182" t="s">
        <v>1356</v>
      </c>
      <c r="E182" t="s">
        <v>1951</v>
      </c>
      <c r="F182">
        <v>10030</v>
      </c>
    </row>
    <row r="183" spans="1:6">
      <c r="A183">
        <v>3787164</v>
      </c>
      <c r="C183">
        <v>46048</v>
      </c>
      <c r="D183" t="s">
        <v>260</v>
      </c>
      <c r="E183" t="s">
        <v>1952</v>
      </c>
      <c r="F183">
        <v>10140</v>
      </c>
    </row>
    <row r="184" spans="1:6">
      <c r="A184">
        <v>3787165</v>
      </c>
      <c r="C184">
        <v>46048</v>
      </c>
      <c r="D184" t="s">
        <v>260</v>
      </c>
      <c r="E184" t="s">
        <v>1952</v>
      </c>
      <c r="F184">
        <v>10140</v>
      </c>
    </row>
    <row r="185" spans="1:6">
      <c r="A185">
        <v>3787166</v>
      </c>
      <c r="B185" t="s">
        <v>1957</v>
      </c>
      <c r="C185">
        <v>46049</v>
      </c>
      <c r="D185" t="s">
        <v>294</v>
      </c>
      <c r="E185" t="s">
        <v>1959</v>
      </c>
      <c r="F185">
        <v>10040</v>
      </c>
    </row>
    <row r="186" spans="1:6">
      <c r="A186">
        <v>3787167</v>
      </c>
      <c r="B186" t="s">
        <v>1962</v>
      </c>
      <c r="C186">
        <v>46049</v>
      </c>
      <c r="D186" t="s">
        <v>294</v>
      </c>
      <c r="E186" t="s">
        <v>1963</v>
      </c>
      <c r="F186">
        <v>10040</v>
      </c>
    </row>
    <row r="187" spans="1:6">
      <c r="A187">
        <v>3787168</v>
      </c>
      <c r="B187" t="s">
        <v>1965</v>
      </c>
      <c r="C187">
        <v>46049</v>
      </c>
      <c r="D187" t="s">
        <v>294</v>
      </c>
      <c r="E187" t="s">
        <v>1966</v>
      </c>
      <c r="F187">
        <v>10040</v>
      </c>
    </row>
    <row r="188" spans="1:6">
      <c r="A188">
        <v>3787169</v>
      </c>
      <c r="B188" t="s">
        <v>1967</v>
      </c>
      <c r="C188">
        <v>46049</v>
      </c>
      <c r="D188" t="s">
        <v>294</v>
      </c>
      <c r="E188" t="s">
        <v>3082</v>
      </c>
      <c r="F188">
        <v>10010</v>
      </c>
    </row>
    <row r="189" spans="1:6">
      <c r="A189">
        <v>3787170</v>
      </c>
      <c r="B189" t="s">
        <v>1970</v>
      </c>
      <c r="C189">
        <v>46049</v>
      </c>
      <c r="D189" t="s">
        <v>294</v>
      </c>
      <c r="E189" t="s">
        <v>1972</v>
      </c>
      <c r="F189">
        <v>10040</v>
      </c>
    </row>
    <row r="190" spans="1:6">
      <c r="A190">
        <v>3787171</v>
      </c>
      <c r="B190" t="s">
        <v>1973</v>
      </c>
      <c r="C190">
        <v>46049</v>
      </c>
      <c r="D190" t="s">
        <v>294</v>
      </c>
      <c r="E190" t="s">
        <v>1975</v>
      </c>
      <c r="F190">
        <v>10030</v>
      </c>
    </row>
    <row r="191" spans="1:6">
      <c r="A191">
        <v>3787172</v>
      </c>
      <c r="B191" t="s">
        <v>1977</v>
      </c>
      <c r="C191">
        <v>46049</v>
      </c>
      <c r="D191" t="s">
        <v>294</v>
      </c>
      <c r="E191" t="s">
        <v>3083</v>
      </c>
      <c r="F191">
        <v>10040</v>
      </c>
    </row>
    <row r="192" spans="1:6">
      <c r="A192">
        <v>3787173</v>
      </c>
      <c r="B192" t="s">
        <v>1980</v>
      </c>
      <c r="C192">
        <v>46049</v>
      </c>
      <c r="D192" t="s">
        <v>294</v>
      </c>
      <c r="E192" t="s">
        <v>1982</v>
      </c>
      <c r="F192">
        <v>10010</v>
      </c>
    </row>
    <row r="193" spans="1:6">
      <c r="A193">
        <v>3787174</v>
      </c>
      <c r="B193" t="s">
        <v>1983</v>
      </c>
      <c r="C193">
        <v>46049</v>
      </c>
      <c r="D193" t="s">
        <v>294</v>
      </c>
      <c r="E193" t="s">
        <v>3084</v>
      </c>
      <c r="F193">
        <v>10010</v>
      </c>
    </row>
    <row r="194" spans="1:6">
      <c r="A194">
        <v>3787175</v>
      </c>
      <c r="B194" t="s">
        <v>1986</v>
      </c>
      <c r="C194">
        <v>46049</v>
      </c>
      <c r="D194" t="s">
        <v>294</v>
      </c>
      <c r="E194" t="s">
        <v>1988</v>
      </c>
      <c r="F194">
        <v>10010</v>
      </c>
    </row>
    <row r="195" spans="1:6">
      <c r="A195">
        <v>3787176</v>
      </c>
      <c r="B195" t="s">
        <v>1989</v>
      </c>
      <c r="C195">
        <v>46049</v>
      </c>
      <c r="D195" t="s">
        <v>294</v>
      </c>
      <c r="E195" t="s">
        <v>1991</v>
      </c>
      <c r="F195">
        <v>10010</v>
      </c>
    </row>
    <row r="196" spans="1:6">
      <c r="A196">
        <v>3787177</v>
      </c>
      <c r="B196" t="s">
        <v>1992</v>
      </c>
      <c r="C196">
        <v>46049</v>
      </c>
      <c r="D196" t="s">
        <v>294</v>
      </c>
      <c r="E196" t="s">
        <v>1994</v>
      </c>
      <c r="F196">
        <v>10040</v>
      </c>
    </row>
    <row r="197" spans="1:6">
      <c r="A197">
        <v>3787178</v>
      </c>
      <c r="B197" t="s">
        <v>1995</v>
      </c>
      <c r="C197">
        <v>46049</v>
      </c>
      <c r="D197" t="s">
        <v>294</v>
      </c>
      <c r="E197" t="s">
        <v>3085</v>
      </c>
      <c r="F197">
        <v>10030</v>
      </c>
    </row>
    <row r="198" spans="1:6">
      <c r="A198">
        <v>3787179</v>
      </c>
      <c r="C198">
        <v>46049</v>
      </c>
      <c r="D198" t="s">
        <v>1641</v>
      </c>
      <c r="E198" t="s">
        <v>1997</v>
      </c>
      <c r="F198">
        <v>10040</v>
      </c>
    </row>
    <row r="199" spans="1:6">
      <c r="A199">
        <v>3787180</v>
      </c>
      <c r="C199">
        <v>46049</v>
      </c>
      <c r="D199" t="s">
        <v>1641</v>
      </c>
      <c r="E199" t="s">
        <v>2001</v>
      </c>
      <c r="F199">
        <v>10040</v>
      </c>
    </row>
    <row r="200" spans="1:6">
      <c r="A200">
        <v>3787181</v>
      </c>
      <c r="C200">
        <v>46049</v>
      </c>
      <c r="D200" t="s">
        <v>1641</v>
      </c>
      <c r="E200" t="s">
        <v>2003</v>
      </c>
      <c r="F200">
        <v>10040</v>
      </c>
    </row>
    <row r="201" spans="1:6">
      <c r="A201">
        <v>3787182</v>
      </c>
      <c r="C201">
        <v>46049</v>
      </c>
      <c r="D201" t="s">
        <v>1641</v>
      </c>
      <c r="E201" t="s">
        <v>2005</v>
      </c>
      <c r="F201">
        <v>10040</v>
      </c>
    </row>
    <row r="202" spans="1:6">
      <c r="A202">
        <v>3787183</v>
      </c>
      <c r="C202">
        <v>46049</v>
      </c>
      <c r="D202" t="s">
        <v>1641</v>
      </c>
      <c r="E202" t="s">
        <v>2007</v>
      </c>
      <c r="F202">
        <v>10030</v>
      </c>
    </row>
    <row r="203" spans="1:6">
      <c r="A203">
        <v>3787184</v>
      </c>
      <c r="C203">
        <v>46049</v>
      </c>
      <c r="D203" t="s">
        <v>1641</v>
      </c>
      <c r="E203" t="s">
        <v>2009</v>
      </c>
      <c r="F203">
        <v>10030</v>
      </c>
    </row>
    <row r="204" spans="1:6">
      <c r="A204">
        <v>3787185</v>
      </c>
      <c r="C204">
        <v>46049</v>
      </c>
      <c r="D204" t="s">
        <v>1641</v>
      </c>
      <c r="E204" t="s">
        <v>2011</v>
      </c>
      <c r="F204">
        <v>10010</v>
      </c>
    </row>
    <row r="205" spans="1:6">
      <c r="A205">
        <v>3787186</v>
      </c>
      <c r="C205">
        <v>46049</v>
      </c>
      <c r="D205" t="s">
        <v>1641</v>
      </c>
      <c r="E205" t="s">
        <v>2013</v>
      </c>
      <c r="F205">
        <v>10010</v>
      </c>
    </row>
    <row r="206" spans="1:6">
      <c r="A206">
        <v>3787187</v>
      </c>
      <c r="C206">
        <v>46049</v>
      </c>
      <c r="D206" t="s">
        <v>1641</v>
      </c>
      <c r="E206" t="s">
        <v>2015</v>
      </c>
      <c r="F206">
        <v>10010</v>
      </c>
    </row>
    <row r="207" spans="1:6">
      <c r="A207">
        <v>3787188</v>
      </c>
      <c r="C207">
        <v>46049</v>
      </c>
      <c r="D207" t="s">
        <v>1641</v>
      </c>
      <c r="E207" t="s">
        <v>2018</v>
      </c>
      <c r="F207">
        <v>10010</v>
      </c>
    </row>
    <row r="208" spans="1:6">
      <c r="A208">
        <v>3787189</v>
      </c>
      <c r="C208">
        <v>46049</v>
      </c>
      <c r="D208" t="s">
        <v>1641</v>
      </c>
      <c r="E208" t="s">
        <v>2020</v>
      </c>
      <c r="F208">
        <v>10040</v>
      </c>
    </row>
    <row r="209" spans="1:6">
      <c r="A209">
        <v>3787190</v>
      </c>
      <c r="C209">
        <v>46049</v>
      </c>
      <c r="D209" t="s">
        <v>1641</v>
      </c>
      <c r="E209" t="s">
        <v>2022</v>
      </c>
      <c r="F209">
        <v>10040</v>
      </c>
    </row>
    <row r="210" spans="1:6">
      <c r="A210">
        <v>3787191</v>
      </c>
      <c r="C210">
        <v>46049</v>
      </c>
      <c r="D210" t="s">
        <v>1641</v>
      </c>
      <c r="E210" t="s">
        <v>2024</v>
      </c>
      <c r="F210">
        <v>10040</v>
      </c>
    </row>
    <row r="211" spans="1:6">
      <c r="A211">
        <v>3787192</v>
      </c>
      <c r="C211">
        <v>46049</v>
      </c>
      <c r="D211" t="s">
        <v>1641</v>
      </c>
      <c r="E211" t="s">
        <v>2026</v>
      </c>
      <c r="F211">
        <v>10040</v>
      </c>
    </row>
    <row r="212" spans="1:6">
      <c r="A212">
        <v>3787193</v>
      </c>
      <c r="C212">
        <v>46049</v>
      </c>
      <c r="D212" t="s">
        <v>1641</v>
      </c>
      <c r="E212" t="s">
        <v>2028</v>
      </c>
      <c r="F212">
        <v>10040</v>
      </c>
    </row>
    <row r="213" spans="1:6">
      <c r="A213">
        <v>3787194</v>
      </c>
      <c r="C213">
        <v>46049</v>
      </c>
      <c r="D213" t="s">
        <v>1641</v>
      </c>
      <c r="E213" t="s">
        <v>2030</v>
      </c>
      <c r="F213">
        <v>10030</v>
      </c>
    </row>
    <row r="214" spans="1:6">
      <c r="A214">
        <v>3787195</v>
      </c>
      <c r="C214">
        <v>46049</v>
      </c>
      <c r="D214" t="s">
        <v>1641</v>
      </c>
      <c r="E214" t="s">
        <v>2032</v>
      </c>
      <c r="F214">
        <v>10020</v>
      </c>
    </row>
    <row r="215" spans="1:6">
      <c r="A215">
        <v>3787196</v>
      </c>
      <c r="C215">
        <v>46049</v>
      </c>
      <c r="D215" t="s">
        <v>1641</v>
      </c>
      <c r="E215" t="s">
        <v>2034</v>
      </c>
      <c r="F215">
        <v>10040</v>
      </c>
    </row>
    <row r="216" spans="1:6">
      <c r="A216">
        <v>3787197</v>
      </c>
      <c r="C216">
        <v>46049</v>
      </c>
      <c r="D216" t="s">
        <v>1641</v>
      </c>
      <c r="E216" t="s">
        <v>3086</v>
      </c>
      <c r="F216">
        <v>10040</v>
      </c>
    </row>
    <row r="217" spans="1:6">
      <c r="A217">
        <v>3787198</v>
      </c>
      <c r="C217">
        <v>46049</v>
      </c>
      <c r="D217" t="s">
        <v>1641</v>
      </c>
      <c r="E217" t="s">
        <v>2038</v>
      </c>
      <c r="F217">
        <v>10040</v>
      </c>
    </row>
    <row r="218" spans="1:6">
      <c r="A218">
        <v>3787199</v>
      </c>
      <c r="C218">
        <v>46049</v>
      </c>
      <c r="D218" t="s">
        <v>1641</v>
      </c>
      <c r="E218" t="s">
        <v>2040</v>
      </c>
      <c r="F218">
        <v>10040</v>
      </c>
    </row>
    <row r="219" spans="1:6">
      <c r="A219">
        <v>3787200</v>
      </c>
      <c r="C219">
        <v>46049</v>
      </c>
      <c r="D219" t="s">
        <v>1641</v>
      </c>
      <c r="E219" t="s">
        <v>2042</v>
      </c>
      <c r="F219">
        <v>10040</v>
      </c>
    </row>
    <row r="220" spans="1:6">
      <c r="A220">
        <v>3787201</v>
      </c>
      <c r="C220">
        <v>46049</v>
      </c>
      <c r="D220" t="s">
        <v>1641</v>
      </c>
      <c r="E220" t="s">
        <v>2044</v>
      </c>
      <c r="F220">
        <v>10030</v>
      </c>
    </row>
    <row r="221" spans="1:6">
      <c r="A221">
        <v>3787202</v>
      </c>
      <c r="C221">
        <v>46049</v>
      </c>
      <c r="D221" t="s">
        <v>230</v>
      </c>
      <c r="E221" t="s">
        <v>2046</v>
      </c>
      <c r="F221">
        <v>10030</v>
      </c>
    </row>
    <row r="222" spans="1:6">
      <c r="A222">
        <v>3787203</v>
      </c>
      <c r="C222">
        <v>46049</v>
      </c>
      <c r="D222" t="s">
        <v>230</v>
      </c>
      <c r="E222" t="s">
        <v>2048</v>
      </c>
      <c r="F222">
        <v>10310</v>
      </c>
    </row>
    <row r="223" spans="1:6">
      <c r="A223">
        <v>3787139</v>
      </c>
      <c r="C223">
        <v>46049</v>
      </c>
      <c r="D223" t="s">
        <v>1234</v>
      </c>
      <c r="E223" t="s">
        <v>3087</v>
      </c>
      <c r="F223">
        <v>10045</v>
      </c>
    </row>
    <row r="224" spans="1:6">
      <c r="A224">
        <v>3787140</v>
      </c>
      <c r="C224">
        <v>46049</v>
      </c>
      <c r="D224" t="s">
        <v>118</v>
      </c>
      <c r="E224" t="s">
        <v>3087</v>
      </c>
      <c r="F224">
        <v>10045</v>
      </c>
    </row>
    <row r="225" spans="1:6">
      <c r="A225">
        <v>3787204</v>
      </c>
      <c r="C225">
        <v>46050</v>
      </c>
      <c r="D225" t="s">
        <v>1356</v>
      </c>
      <c r="E225" t="s">
        <v>2051</v>
      </c>
      <c r="F225">
        <v>10010</v>
      </c>
    </row>
    <row r="226" spans="1:6">
      <c r="A226">
        <v>3787205</v>
      </c>
      <c r="C226">
        <v>46050</v>
      </c>
      <c r="D226" t="s">
        <v>1356</v>
      </c>
      <c r="E226" t="s">
        <v>3088</v>
      </c>
      <c r="F226">
        <v>10010</v>
      </c>
    </row>
    <row r="227" spans="1:6">
      <c r="A227">
        <v>3787206</v>
      </c>
      <c r="C227">
        <v>46050</v>
      </c>
      <c r="D227" t="s">
        <v>1356</v>
      </c>
      <c r="E227" t="s">
        <v>3089</v>
      </c>
      <c r="F227">
        <v>10040</v>
      </c>
    </row>
    <row r="228" spans="1:6">
      <c r="A228">
        <v>3787207</v>
      </c>
      <c r="C228">
        <v>46050</v>
      </c>
      <c r="D228" t="s">
        <v>1356</v>
      </c>
      <c r="E228" t="s">
        <v>2057</v>
      </c>
      <c r="F228">
        <v>10040</v>
      </c>
    </row>
    <row r="229" spans="1:6">
      <c r="A229">
        <v>3787208</v>
      </c>
      <c r="C229">
        <v>46052</v>
      </c>
      <c r="D229" t="s">
        <v>1641</v>
      </c>
      <c r="E229" t="s">
        <v>3090</v>
      </c>
      <c r="F229">
        <v>10010</v>
      </c>
    </row>
    <row r="230" spans="1:6">
      <c r="A230">
        <v>3787209</v>
      </c>
      <c r="C230">
        <v>46052</v>
      </c>
      <c r="D230" t="s">
        <v>1356</v>
      </c>
      <c r="E230" t="s">
        <v>2061</v>
      </c>
      <c r="F230">
        <v>10010</v>
      </c>
    </row>
    <row r="231" spans="1:6">
      <c r="A231">
        <v>3787208</v>
      </c>
      <c r="C231">
        <v>46052</v>
      </c>
      <c r="D231" t="s">
        <v>1641</v>
      </c>
      <c r="E231" t="s">
        <v>3090</v>
      </c>
      <c r="F231">
        <v>10010</v>
      </c>
    </row>
    <row r="232" spans="1:6">
      <c r="A232">
        <v>3787209</v>
      </c>
      <c r="C232">
        <v>46052</v>
      </c>
      <c r="D232" t="s">
        <v>1356</v>
      </c>
      <c r="E232" t="s">
        <v>2061</v>
      </c>
      <c r="F232">
        <v>10010</v>
      </c>
    </row>
    <row r="233" spans="1:6">
      <c r="A233">
        <v>3787091</v>
      </c>
      <c r="C233">
        <v>46055</v>
      </c>
      <c r="D233" t="s">
        <v>1641</v>
      </c>
      <c r="E233" t="s">
        <v>1772</v>
      </c>
      <c r="F233">
        <v>10060</v>
      </c>
    </row>
    <row r="234" spans="1:6">
      <c r="A234">
        <v>3787139</v>
      </c>
      <c r="C234">
        <v>46055</v>
      </c>
      <c r="D234" t="s">
        <v>1234</v>
      </c>
      <c r="E234" t="s">
        <v>1890</v>
      </c>
      <c r="F234">
        <v>10045</v>
      </c>
    </row>
    <row r="235" spans="1:6">
      <c r="A235">
        <v>3787140</v>
      </c>
      <c r="C235">
        <v>46055</v>
      </c>
      <c r="D235" t="s">
        <v>118</v>
      </c>
      <c r="E235" t="s">
        <v>1890</v>
      </c>
      <c r="F235">
        <v>10045</v>
      </c>
    </row>
    <row r="236" spans="1:6">
      <c r="A236">
        <v>3787210</v>
      </c>
      <c r="C236">
        <v>46055</v>
      </c>
      <c r="D236" t="s">
        <v>118</v>
      </c>
      <c r="E236" t="s">
        <v>1890</v>
      </c>
      <c r="F236">
        <v>10045</v>
      </c>
    </row>
    <row r="237" spans="1:6">
      <c r="A237">
        <v>3787211</v>
      </c>
      <c r="C237">
        <v>46055</v>
      </c>
      <c r="D237" t="s">
        <v>118</v>
      </c>
      <c r="E237" t="s">
        <v>1890</v>
      </c>
      <c r="F237">
        <v>10045</v>
      </c>
    </row>
    <row r="238" spans="1:6">
      <c r="A238">
        <v>3787212</v>
      </c>
      <c r="C238">
        <v>46055</v>
      </c>
      <c r="D238" t="s">
        <v>118</v>
      </c>
      <c r="E238" t="s">
        <v>1890</v>
      </c>
      <c r="F238">
        <v>10045</v>
      </c>
    </row>
    <row r="239" spans="1:6">
      <c r="A239">
        <v>3787213</v>
      </c>
      <c r="C239">
        <v>46055</v>
      </c>
      <c r="D239" t="s">
        <v>118</v>
      </c>
      <c r="E239" t="s">
        <v>1890</v>
      </c>
      <c r="F239">
        <v>10045</v>
      </c>
    </row>
    <row r="240" spans="1:6">
      <c r="A240">
        <v>3787214</v>
      </c>
      <c r="C240">
        <v>46055</v>
      </c>
      <c r="D240" t="s">
        <v>118</v>
      </c>
      <c r="E240" t="s">
        <v>1890</v>
      </c>
      <c r="F240">
        <v>10045</v>
      </c>
    </row>
    <row r="241" spans="1:6">
      <c r="A241">
        <v>3787215</v>
      </c>
      <c r="C241">
        <v>46055</v>
      </c>
      <c r="D241" t="s">
        <v>118</v>
      </c>
      <c r="E241" t="s">
        <v>1890</v>
      </c>
      <c r="F241">
        <v>10045</v>
      </c>
    </row>
    <row r="242" spans="1:6">
      <c r="A242">
        <v>3787216</v>
      </c>
      <c r="C242">
        <v>46057</v>
      </c>
      <c r="D242" t="s">
        <v>447</v>
      </c>
      <c r="E242" t="s">
        <v>120</v>
      </c>
      <c r="F242">
        <v>10070</v>
      </c>
    </row>
    <row r="243" spans="1:6">
      <c r="A243">
        <v>3787217</v>
      </c>
      <c r="C243">
        <v>46057</v>
      </c>
      <c r="D243" t="s">
        <v>447</v>
      </c>
      <c r="E243" t="s">
        <v>2087</v>
      </c>
      <c r="F243">
        <v>10040</v>
      </c>
    </row>
    <row r="244" spans="1:6">
      <c r="A244">
        <v>3787218</v>
      </c>
      <c r="C244">
        <v>46057</v>
      </c>
      <c r="D244" t="s">
        <v>447</v>
      </c>
      <c r="E244" t="s">
        <v>120</v>
      </c>
      <c r="F244">
        <v>10070</v>
      </c>
    </row>
    <row r="245" spans="1:6">
      <c r="A245">
        <v>3787219</v>
      </c>
      <c r="C245">
        <v>46057</v>
      </c>
      <c r="D245" t="s">
        <v>447</v>
      </c>
      <c r="E245" t="s">
        <v>2087</v>
      </c>
      <c r="F245">
        <v>10040</v>
      </c>
    </row>
    <row r="246" spans="1:6">
      <c r="A246">
        <v>3787220</v>
      </c>
      <c r="C246">
        <v>46057</v>
      </c>
      <c r="D246" t="s">
        <v>1356</v>
      </c>
      <c r="E246" t="s">
        <v>2093</v>
      </c>
      <c r="F246">
        <v>10020</v>
      </c>
    </row>
    <row r="247" spans="1:6">
      <c r="A247">
        <v>3787221</v>
      </c>
      <c r="C247">
        <v>46058</v>
      </c>
      <c r="D247" t="s">
        <v>1234</v>
      </c>
      <c r="E247" t="s">
        <v>2094</v>
      </c>
      <c r="F247">
        <v>10077</v>
      </c>
    </row>
    <row r="248" spans="1:6">
      <c r="A248">
        <v>3787222</v>
      </c>
      <c r="C248">
        <v>46058</v>
      </c>
      <c r="D248" t="s">
        <v>1234</v>
      </c>
      <c r="E248" t="s">
        <v>2133</v>
      </c>
      <c r="F248">
        <v>10310</v>
      </c>
    </row>
    <row r="249" spans="1:6">
      <c r="A249">
        <v>3787223</v>
      </c>
      <c r="C249">
        <v>46058</v>
      </c>
      <c r="D249" t="s">
        <v>107</v>
      </c>
      <c r="E249" t="s">
        <v>2101</v>
      </c>
      <c r="F249">
        <v>10080</v>
      </c>
    </row>
    <row r="250" spans="1:6">
      <c r="A250">
        <v>3787224</v>
      </c>
      <c r="C250">
        <v>46058</v>
      </c>
      <c r="D250" t="s">
        <v>447</v>
      </c>
      <c r="E250" t="s">
        <v>2103</v>
      </c>
      <c r="F250">
        <v>10020</v>
      </c>
    </row>
    <row r="251" spans="1:6">
      <c r="A251">
        <v>3787225</v>
      </c>
      <c r="C251">
        <v>46058</v>
      </c>
      <c r="D251" t="s">
        <v>447</v>
      </c>
      <c r="E251" t="s">
        <v>2107</v>
      </c>
      <c r="F251">
        <v>10020</v>
      </c>
    </row>
    <row r="252" spans="1:6">
      <c r="A252">
        <v>3787226</v>
      </c>
      <c r="C252">
        <v>46058</v>
      </c>
      <c r="D252" t="s">
        <v>447</v>
      </c>
      <c r="E252" t="s">
        <v>2109</v>
      </c>
      <c r="F252">
        <v>10020</v>
      </c>
    </row>
    <row r="253" spans="1:6">
      <c r="A253">
        <v>3787227</v>
      </c>
      <c r="C253">
        <v>46058</v>
      </c>
      <c r="D253" t="s">
        <v>447</v>
      </c>
      <c r="E253" t="s">
        <v>2111</v>
      </c>
      <c r="F253">
        <v>10010</v>
      </c>
    </row>
    <row r="254" spans="1:6">
      <c r="A254">
        <v>3787228</v>
      </c>
      <c r="C254">
        <v>46058</v>
      </c>
      <c r="D254" t="s">
        <v>236</v>
      </c>
      <c r="E254" t="s">
        <v>2113</v>
      </c>
      <c r="F254">
        <v>10010</v>
      </c>
    </row>
    <row r="255" spans="1:6">
      <c r="A255">
        <v>3787229</v>
      </c>
      <c r="C255">
        <v>46058</v>
      </c>
      <c r="D255" t="s">
        <v>236</v>
      </c>
      <c r="E255" t="s">
        <v>2115</v>
      </c>
      <c r="F255">
        <v>10010</v>
      </c>
    </row>
    <row r="256" spans="1:6">
      <c r="A256">
        <v>3787230</v>
      </c>
      <c r="C256">
        <v>46058</v>
      </c>
      <c r="D256" t="s">
        <v>236</v>
      </c>
      <c r="E256" t="s">
        <v>2117</v>
      </c>
      <c r="F256">
        <v>10020</v>
      </c>
    </row>
    <row r="257" spans="1:6">
      <c r="A257">
        <v>3787231</v>
      </c>
      <c r="C257">
        <v>46059</v>
      </c>
      <c r="D257" t="s">
        <v>415</v>
      </c>
      <c r="E257" t="s">
        <v>2118</v>
      </c>
      <c r="F257">
        <v>10260</v>
      </c>
    </row>
    <row r="258" spans="1:6">
      <c r="A258">
        <v>3787232</v>
      </c>
      <c r="C258">
        <v>46059</v>
      </c>
      <c r="D258" t="s">
        <v>415</v>
      </c>
      <c r="E258" t="s">
        <v>2118</v>
      </c>
      <c r="F258">
        <v>10260</v>
      </c>
    </row>
    <row r="259" spans="1:6">
      <c r="A259">
        <v>3787233</v>
      </c>
      <c r="C259">
        <v>46059</v>
      </c>
      <c r="D259" t="s">
        <v>1731</v>
      </c>
      <c r="E259" t="s">
        <v>120</v>
      </c>
      <c r="F259">
        <v>10070</v>
      </c>
    </row>
    <row r="260" spans="1:6">
      <c r="A260">
        <v>3787234</v>
      </c>
      <c r="C260">
        <v>46062</v>
      </c>
      <c r="D260" t="s">
        <v>236</v>
      </c>
      <c r="E260" t="s">
        <v>2123</v>
      </c>
      <c r="F260">
        <v>10060</v>
      </c>
    </row>
    <row r="261" spans="1:6">
      <c r="A261">
        <v>3787235</v>
      </c>
      <c r="C261">
        <v>46062</v>
      </c>
      <c r="D261" t="s">
        <v>447</v>
      </c>
      <c r="E261" t="s">
        <v>2127</v>
      </c>
      <c r="F261">
        <v>10020</v>
      </c>
    </row>
    <row r="262" spans="1:6">
      <c r="A262">
        <v>3787236</v>
      </c>
      <c r="C262">
        <v>46063</v>
      </c>
      <c r="D262" t="s">
        <v>506</v>
      </c>
      <c r="E262" t="s">
        <v>2128</v>
      </c>
      <c r="F262">
        <v>10070</v>
      </c>
    </row>
    <row r="263" spans="1:6">
      <c r="A263">
        <v>3787237</v>
      </c>
      <c r="C263">
        <v>46063</v>
      </c>
      <c r="D263" t="s">
        <v>1234</v>
      </c>
      <c r="E263" t="s">
        <v>2133</v>
      </c>
      <c r="F263">
        <v>10310</v>
      </c>
    </row>
    <row r="264" spans="1:6">
      <c r="A264">
        <v>3787238</v>
      </c>
      <c r="C264">
        <v>46060</v>
      </c>
      <c r="D264" t="s">
        <v>2138</v>
      </c>
      <c r="E264" t="s">
        <v>2140</v>
      </c>
      <c r="F264">
        <v>10020</v>
      </c>
    </row>
    <row r="265" spans="1:6">
      <c r="A265">
        <v>3787239</v>
      </c>
      <c r="C265">
        <v>46060</v>
      </c>
      <c r="D265" t="s">
        <v>2138</v>
      </c>
      <c r="E265" t="s">
        <v>2144</v>
      </c>
      <c r="F265">
        <v>10010</v>
      </c>
    </row>
    <row r="266" spans="1:6">
      <c r="A266">
        <v>3787240</v>
      </c>
      <c r="C266">
        <v>46060</v>
      </c>
      <c r="D266" t="s">
        <v>2138</v>
      </c>
      <c r="E266" t="s">
        <v>2146</v>
      </c>
      <c r="F266">
        <v>10020</v>
      </c>
    </row>
    <row r="267" spans="1:6">
      <c r="A267">
        <v>3787241</v>
      </c>
      <c r="C267">
        <v>46060</v>
      </c>
      <c r="D267" t="s">
        <v>2138</v>
      </c>
      <c r="E267" t="s">
        <v>2148</v>
      </c>
      <c r="F267">
        <v>10010</v>
      </c>
    </row>
    <row r="268" spans="1:6">
      <c r="A268">
        <v>3787242</v>
      </c>
      <c r="C268">
        <v>46060</v>
      </c>
      <c r="D268" t="s">
        <v>2138</v>
      </c>
      <c r="E268" t="s">
        <v>2150</v>
      </c>
      <c r="F268">
        <v>10020</v>
      </c>
    </row>
    <row r="269" spans="1:6">
      <c r="A269">
        <v>3787243</v>
      </c>
      <c r="C269">
        <v>46060</v>
      </c>
      <c r="D269" t="s">
        <v>2138</v>
      </c>
      <c r="E269" t="s">
        <v>2152</v>
      </c>
      <c r="F269">
        <v>10010</v>
      </c>
    </row>
    <row r="270" spans="1:6">
      <c r="A270">
        <v>3787244</v>
      </c>
      <c r="C270">
        <v>46060</v>
      </c>
      <c r="D270" t="s">
        <v>2138</v>
      </c>
      <c r="E270" t="s">
        <v>2154</v>
      </c>
      <c r="F270">
        <v>10010</v>
      </c>
    </row>
    <row r="271" spans="1:6">
      <c r="A271">
        <v>3787245</v>
      </c>
      <c r="C271">
        <v>46060</v>
      </c>
      <c r="D271" t="s">
        <v>2138</v>
      </c>
      <c r="E271" t="s">
        <v>2156</v>
      </c>
      <c r="F271">
        <v>10010</v>
      </c>
    </row>
    <row r="272" spans="1:6">
      <c r="A272">
        <v>3787246</v>
      </c>
      <c r="C272">
        <v>46060</v>
      </c>
      <c r="D272" t="s">
        <v>2138</v>
      </c>
      <c r="E272" t="s">
        <v>2158</v>
      </c>
      <c r="F272">
        <v>10010</v>
      </c>
    </row>
    <row r="273" spans="1:6">
      <c r="A273">
        <v>3787248</v>
      </c>
      <c r="C273">
        <v>46063</v>
      </c>
      <c r="D273" t="s">
        <v>230</v>
      </c>
      <c r="E273" t="s">
        <v>1789</v>
      </c>
      <c r="F273">
        <v>10030</v>
      </c>
    </row>
    <row r="274" spans="1:6">
      <c r="A274">
        <v>3787249</v>
      </c>
      <c r="C274">
        <v>46064</v>
      </c>
      <c r="D274" t="s">
        <v>2164</v>
      </c>
      <c r="E274" t="s">
        <v>2165</v>
      </c>
      <c r="F274">
        <v>10060</v>
      </c>
    </row>
    <row r="275" spans="1:6">
      <c r="A275">
        <v>3787250</v>
      </c>
      <c r="C275">
        <v>46064</v>
      </c>
      <c r="D275" t="s">
        <v>2164</v>
      </c>
      <c r="E275" t="s">
        <v>2168</v>
      </c>
      <c r="F275">
        <v>10070</v>
      </c>
    </row>
    <row r="276" spans="1:6">
      <c r="A276">
        <v>3787251</v>
      </c>
      <c r="C276">
        <v>46064</v>
      </c>
      <c r="D276" t="s">
        <v>506</v>
      </c>
      <c r="E276" t="s">
        <v>2170</v>
      </c>
      <c r="F276">
        <v>10070</v>
      </c>
    </row>
    <row r="277" spans="1:6">
      <c r="A277">
        <v>3787247</v>
      </c>
      <c r="C277">
        <v>46064</v>
      </c>
      <c r="D277" t="s">
        <v>236</v>
      </c>
      <c r="E277" t="s">
        <v>2123</v>
      </c>
      <c r="F277">
        <v>10060</v>
      </c>
    </row>
    <row r="278" spans="1:6">
      <c r="A278">
        <v>3787252</v>
      </c>
      <c r="C278">
        <v>46064</v>
      </c>
      <c r="D278" t="s">
        <v>916</v>
      </c>
      <c r="E278" t="s">
        <v>261</v>
      </c>
      <c r="F278">
        <v>10060</v>
      </c>
    </row>
    <row r="279" spans="1:6">
      <c r="A279">
        <v>3787253</v>
      </c>
      <c r="C279">
        <v>46064</v>
      </c>
      <c r="D279" t="s">
        <v>118</v>
      </c>
      <c r="E279" t="s">
        <v>2094</v>
      </c>
      <c r="F279">
        <v>10077</v>
      </c>
    </row>
    <row r="280" spans="1:6">
      <c r="A280">
        <v>3787254</v>
      </c>
      <c r="C280">
        <v>46064</v>
      </c>
      <c r="D280" t="s">
        <v>501</v>
      </c>
      <c r="E280" t="s">
        <v>2176</v>
      </c>
      <c r="F280">
        <v>10010</v>
      </c>
    </row>
    <row r="281" spans="1:6">
      <c r="A281">
        <v>3787255</v>
      </c>
      <c r="C281">
        <v>46064</v>
      </c>
      <c r="D281" t="s">
        <v>501</v>
      </c>
      <c r="E281" t="s">
        <v>2180</v>
      </c>
      <c r="F281">
        <v>10010</v>
      </c>
    </row>
    <row r="282" spans="1:6">
      <c r="A282">
        <v>3787256</v>
      </c>
      <c r="C282">
        <v>46064</v>
      </c>
      <c r="D282" t="s">
        <v>501</v>
      </c>
      <c r="E282" t="s">
        <v>2182</v>
      </c>
      <c r="F282">
        <v>10010</v>
      </c>
    </row>
    <row r="283" spans="1:6">
      <c r="A283">
        <v>3787257</v>
      </c>
      <c r="C283">
        <v>46064</v>
      </c>
      <c r="D283" t="s">
        <v>118</v>
      </c>
      <c r="E283" t="s">
        <v>2183</v>
      </c>
      <c r="F283">
        <v>10040</v>
      </c>
    </row>
    <row r="284" spans="1:6">
      <c r="A284">
        <v>3787258</v>
      </c>
      <c r="C284">
        <v>46064</v>
      </c>
      <c r="D284" t="s">
        <v>118</v>
      </c>
      <c r="E284" t="s">
        <v>2185</v>
      </c>
      <c r="F284">
        <v>10045</v>
      </c>
    </row>
    <row r="285" spans="1:6">
      <c r="A285">
        <v>3787259</v>
      </c>
      <c r="C285">
        <v>46064</v>
      </c>
      <c r="D285" t="s">
        <v>118</v>
      </c>
      <c r="E285" t="s">
        <v>2185</v>
      </c>
      <c r="F285">
        <v>10045</v>
      </c>
    </row>
    <row r="286" spans="1:6">
      <c r="A286">
        <v>3787260</v>
      </c>
      <c r="C286">
        <v>46064</v>
      </c>
      <c r="D286" t="s">
        <v>118</v>
      </c>
      <c r="E286" t="s">
        <v>2185</v>
      </c>
      <c r="F286">
        <v>10045</v>
      </c>
    </row>
    <row r="287" spans="1:6">
      <c r="A287">
        <v>3787261</v>
      </c>
      <c r="C287">
        <v>46065</v>
      </c>
      <c r="D287" t="s">
        <v>236</v>
      </c>
      <c r="E287" t="s">
        <v>2123</v>
      </c>
      <c r="F287">
        <v>10060</v>
      </c>
    </row>
    <row r="288" spans="1:6">
      <c r="A288">
        <v>3787262</v>
      </c>
      <c r="C288">
        <v>46065</v>
      </c>
      <c r="D288" t="s">
        <v>415</v>
      </c>
      <c r="E288" t="s">
        <v>1325</v>
      </c>
      <c r="F288">
        <v>10060</v>
      </c>
    </row>
    <row r="289" spans="1:6">
      <c r="A289">
        <v>3787263</v>
      </c>
      <c r="C289">
        <v>46065</v>
      </c>
      <c r="D289" t="s">
        <v>230</v>
      </c>
      <c r="E289" t="s">
        <v>2048</v>
      </c>
      <c r="F289">
        <v>10310</v>
      </c>
    </row>
    <row r="290" spans="1:6">
      <c r="A290">
        <v>3787264</v>
      </c>
      <c r="C290">
        <v>46066</v>
      </c>
      <c r="D290" t="s">
        <v>501</v>
      </c>
      <c r="E290" t="s">
        <v>3091</v>
      </c>
      <c r="F290">
        <v>10020</v>
      </c>
    </row>
    <row r="291" spans="1:6">
      <c r="A291">
        <v>3787265</v>
      </c>
      <c r="C291">
        <v>46066</v>
      </c>
      <c r="D291" t="s">
        <v>501</v>
      </c>
      <c r="E291" t="s">
        <v>3092</v>
      </c>
      <c r="F291">
        <v>10020</v>
      </c>
    </row>
    <row r="292" spans="1:6">
      <c r="A292">
        <v>3787266</v>
      </c>
      <c r="C292">
        <v>46066</v>
      </c>
      <c r="D292" t="s">
        <v>501</v>
      </c>
      <c r="E292" t="s">
        <v>3093</v>
      </c>
      <c r="F292">
        <v>10020</v>
      </c>
    </row>
    <row r="293" spans="1:6">
      <c r="A293">
        <v>3787267</v>
      </c>
      <c r="C293">
        <v>46066</v>
      </c>
      <c r="D293" t="s">
        <v>1735</v>
      </c>
      <c r="E293" t="s">
        <v>2204</v>
      </c>
      <c r="F293">
        <v>10020</v>
      </c>
    </row>
    <row r="294" spans="1:6">
      <c r="A294">
        <v>3787268</v>
      </c>
      <c r="C294">
        <v>46066</v>
      </c>
      <c r="D294" t="s">
        <v>1735</v>
      </c>
      <c r="E294" t="s">
        <v>2206</v>
      </c>
      <c r="F294">
        <v>10020</v>
      </c>
    </row>
    <row r="295" spans="1:6">
      <c r="A295">
        <v>3787269</v>
      </c>
      <c r="C295">
        <v>46066</v>
      </c>
      <c r="D295" t="s">
        <v>294</v>
      </c>
      <c r="E295" t="s">
        <v>3094</v>
      </c>
      <c r="F295">
        <v>10020</v>
      </c>
    </row>
    <row r="296" spans="1:6">
      <c r="A296">
        <v>3787270</v>
      </c>
      <c r="C296">
        <v>46066</v>
      </c>
      <c r="D296" t="s">
        <v>2210</v>
      </c>
      <c r="E296" t="s">
        <v>2212</v>
      </c>
      <c r="F296">
        <v>10010</v>
      </c>
    </row>
    <row r="297" spans="1:6">
      <c r="A297">
        <v>3787271</v>
      </c>
      <c r="C297">
        <v>46066</v>
      </c>
      <c r="D297" t="s">
        <v>2210</v>
      </c>
      <c r="E297" t="s">
        <v>2216</v>
      </c>
      <c r="F297">
        <v>10020</v>
      </c>
    </row>
    <row r="298" spans="1:6">
      <c r="A298">
        <v>3787272</v>
      </c>
      <c r="C298">
        <v>46066</v>
      </c>
      <c r="D298" t="s">
        <v>2210</v>
      </c>
      <c r="E298" t="s">
        <v>2218</v>
      </c>
      <c r="F298">
        <v>10010</v>
      </c>
    </row>
    <row r="299" spans="1:6">
      <c r="A299">
        <v>3787273</v>
      </c>
      <c r="C299">
        <v>46066</v>
      </c>
      <c r="D299" t="s">
        <v>2210</v>
      </c>
      <c r="E299" t="s">
        <v>2220</v>
      </c>
      <c r="F299">
        <v>10020</v>
      </c>
    </row>
    <row r="300" spans="1:6">
      <c r="A300">
        <v>3787274</v>
      </c>
      <c r="C300">
        <v>46066</v>
      </c>
      <c r="D300" t="s">
        <v>2210</v>
      </c>
      <c r="E300" t="s">
        <v>2222</v>
      </c>
      <c r="F300">
        <v>10010</v>
      </c>
    </row>
    <row r="301" spans="1:6">
      <c r="A301">
        <v>3787275</v>
      </c>
      <c r="C301">
        <v>46066</v>
      </c>
      <c r="D301" t="s">
        <v>2210</v>
      </c>
      <c r="E301" t="s">
        <v>2224</v>
      </c>
      <c r="F301">
        <v>10020</v>
      </c>
    </row>
    <row r="302" spans="1:6">
      <c r="A302">
        <v>3787276</v>
      </c>
      <c r="C302">
        <v>46066</v>
      </c>
      <c r="D302" t="s">
        <v>2210</v>
      </c>
      <c r="E302" t="s">
        <v>2226</v>
      </c>
      <c r="F302">
        <v>10010</v>
      </c>
    </row>
    <row r="303" spans="1:6">
      <c r="A303">
        <v>3787277</v>
      </c>
      <c r="C303">
        <v>46066</v>
      </c>
      <c r="D303" t="s">
        <v>2210</v>
      </c>
      <c r="E303" t="s">
        <v>2228</v>
      </c>
      <c r="F303">
        <v>10020</v>
      </c>
    </row>
    <row r="304" spans="1:6">
      <c r="A304">
        <v>3787278</v>
      </c>
      <c r="C304">
        <v>46066</v>
      </c>
      <c r="D304" t="s">
        <v>611</v>
      </c>
      <c r="E304" t="s">
        <v>2230</v>
      </c>
      <c r="F304">
        <v>10010</v>
      </c>
    </row>
    <row r="305" spans="1:6">
      <c r="A305">
        <v>3787279</v>
      </c>
      <c r="C305">
        <v>46066</v>
      </c>
      <c r="D305" t="s">
        <v>611</v>
      </c>
      <c r="E305" t="s">
        <v>2234</v>
      </c>
      <c r="F305">
        <v>10020</v>
      </c>
    </row>
    <row r="306" spans="1:6">
      <c r="A306">
        <v>3787280</v>
      </c>
      <c r="C306">
        <v>46066</v>
      </c>
      <c r="D306" t="s">
        <v>611</v>
      </c>
      <c r="E306" t="s">
        <v>2238</v>
      </c>
      <c r="F306">
        <v>10020</v>
      </c>
    </row>
    <row r="307" spans="1:6">
      <c r="A307">
        <v>3787281</v>
      </c>
      <c r="C307">
        <v>46066</v>
      </c>
      <c r="D307" t="s">
        <v>611</v>
      </c>
      <c r="E307" t="s">
        <v>2240</v>
      </c>
      <c r="F307">
        <v>10020</v>
      </c>
    </row>
    <row r="308" spans="1:6">
      <c r="A308">
        <v>3787282</v>
      </c>
      <c r="C308">
        <v>46066</v>
      </c>
      <c r="D308" t="s">
        <v>611</v>
      </c>
      <c r="E308" t="s">
        <v>2242</v>
      </c>
      <c r="F308">
        <v>10070</v>
      </c>
    </row>
    <row r="309" spans="1:6">
      <c r="A309">
        <v>3787283</v>
      </c>
      <c r="C309">
        <v>46066</v>
      </c>
      <c r="D309" t="s">
        <v>611</v>
      </c>
      <c r="E309" t="s">
        <v>2244</v>
      </c>
      <c r="F309">
        <v>10030</v>
      </c>
    </row>
    <row r="310" spans="1:6">
      <c r="A310">
        <v>3787284</v>
      </c>
      <c r="C310">
        <v>46066</v>
      </c>
      <c r="D310" t="s">
        <v>611</v>
      </c>
      <c r="E310" t="s">
        <v>2246</v>
      </c>
      <c r="F310">
        <v>10010</v>
      </c>
    </row>
    <row r="311" spans="1:6">
      <c r="A311">
        <v>3787285</v>
      </c>
      <c r="C311">
        <v>46066</v>
      </c>
      <c r="D311" t="s">
        <v>611</v>
      </c>
      <c r="E311" t="s">
        <v>2248</v>
      </c>
      <c r="F311">
        <v>10010</v>
      </c>
    </row>
    <row r="312" spans="1:6">
      <c r="A312">
        <v>3787286</v>
      </c>
      <c r="C312">
        <v>46066</v>
      </c>
      <c r="D312" t="s">
        <v>611</v>
      </c>
      <c r="E312" t="s">
        <v>2250</v>
      </c>
      <c r="F312">
        <v>10020</v>
      </c>
    </row>
    <row r="313" spans="1:6">
      <c r="A313">
        <v>3787287</v>
      </c>
      <c r="C313">
        <v>46066</v>
      </c>
      <c r="D313" t="s">
        <v>611</v>
      </c>
      <c r="E313" t="s">
        <v>2252</v>
      </c>
      <c r="F313">
        <v>10020</v>
      </c>
    </row>
    <row r="314" spans="1:6">
      <c r="A314">
        <v>3787288</v>
      </c>
      <c r="C314">
        <v>46066</v>
      </c>
      <c r="D314" t="s">
        <v>611</v>
      </c>
      <c r="E314" t="s">
        <v>2254</v>
      </c>
      <c r="F314">
        <v>10070</v>
      </c>
    </row>
    <row r="315" spans="1:6">
      <c r="A315">
        <v>3787289</v>
      </c>
      <c r="C315">
        <v>46066</v>
      </c>
      <c r="D315" t="s">
        <v>611</v>
      </c>
      <c r="E315" t="s">
        <v>2256</v>
      </c>
      <c r="F315">
        <v>10030</v>
      </c>
    </row>
    <row r="316" spans="1:6">
      <c r="A316">
        <v>3787290</v>
      </c>
      <c r="C316">
        <v>46066</v>
      </c>
      <c r="D316" t="s">
        <v>260</v>
      </c>
      <c r="E316" t="s">
        <v>2257</v>
      </c>
      <c r="F316">
        <v>10140</v>
      </c>
    </row>
    <row r="317" spans="1:6">
      <c r="A317">
        <v>3787291</v>
      </c>
      <c r="C317">
        <v>46066</v>
      </c>
      <c r="D317" t="s">
        <v>260</v>
      </c>
      <c r="E317" t="s">
        <v>2257</v>
      </c>
      <c r="F317">
        <v>10140</v>
      </c>
    </row>
    <row r="318" spans="1:6">
      <c r="A318">
        <v>3787292</v>
      </c>
      <c r="C318">
        <v>46069</v>
      </c>
      <c r="D318" t="s">
        <v>1152</v>
      </c>
      <c r="E318" t="s">
        <v>3095</v>
      </c>
      <c r="F318">
        <v>10010</v>
      </c>
    </row>
    <row r="319" spans="1:6">
      <c r="A319">
        <v>3787293</v>
      </c>
      <c r="C319">
        <v>46069</v>
      </c>
      <c r="D319" t="s">
        <v>1152</v>
      </c>
      <c r="E319" t="s">
        <v>3096</v>
      </c>
      <c r="F319">
        <v>10010</v>
      </c>
    </row>
    <row r="320" spans="1:6">
      <c r="A320">
        <v>3787294</v>
      </c>
      <c r="C320">
        <v>46069</v>
      </c>
      <c r="D320" t="s">
        <v>1152</v>
      </c>
      <c r="E320" t="s">
        <v>3097</v>
      </c>
      <c r="F320">
        <v>10010</v>
      </c>
    </row>
    <row r="321" spans="1:6">
      <c r="A321">
        <v>3787295</v>
      </c>
      <c r="C321">
        <v>46069</v>
      </c>
      <c r="D321" t="s">
        <v>1152</v>
      </c>
      <c r="E321" t="s">
        <v>3098</v>
      </c>
      <c r="F321">
        <v>10010</v>
      </c>
    </row>
    <row r="322" spans="1:6">
      <c r="A322">
        <v>3787296</v>
      </c>
      <c r="C322">
        <v>46069</v>
      </c>
      <c r="D322" t="s">
        <v>1152</v>
      </c>
      <c r="E322" t="s">
        <v>2274</v>
      </c>
      <c r="F322">
        <v>10060</v>
      </c>
    </row>
    <row r="323" spans="1:6">
      <c r="A323">
        <v>3787297</v>
      </c>
      <c r="C323">
        <v>46069</v>
      </c>
      <c r="D323" t="s">
        <v>1152</v>
      </c>
      <c r="E323" t="s">
        <v>2276</v>
      </c>
      <c r="F323">
        <v>10070</v>
      </c>
    </row>
    <row r="324" spans="1:6">
      <c r="A324">
        <v>3787298</v>
      </c>
      <c r="C324">
        <v>46069</v>
      </c>
      <c r="D324" t="s">
        <v>1152</v>
      </c>
      <c r="E324" t="s">
        <v>2278</v>
      </c>
      <c r="F324">
        <v>10070</v>
      </c>
    </row>
    <row r="325" spans="1:6">
      <c r="A325">
        <v>3787299</v>
      </c>
      <c r="C325">
        <v>46070</v>
      </c>
      <c r="D325" t="s">
        <v>294</v>
      </c>
      <c r="E325" t="s">
        <v>2280</v>
      </c>
      <c r="F325">
        <v>10020</v>
      </c>
    </row>
    <row r="326" spans="1:6">
      <c r="A326">
        <v>3787300</v>
      </c>
      <c r="C326">
        <v>46070</v>
      </c>
      <c r="D326" t="s">
        <v>294</v>
      </c>
      <c r="E326" t="s">
        <v>2282</v>
      </c>
      <c r="F326">
        <v>10010</v>
      </c>
    </row>
    <row r="327" spans="1:6">
      <c r="A327">
        <v>3787301</v>
      </c>
      <c r="C327">
        <v>46070</v>
      </c>
      <c r="D327" t="s">
        <v>1356</v>
      </c>
      <c r="E327" t="s">
        <v>2284</v>
      </c>
      <c r="F327">
        <v>10010</v>
      </c>
    </row>
    <row r="328" spans="1:6">
      <c r="A328">
        <v>3787302</v>
      </c>
      <c r="C328">
        <v>46070</v>
      </c>
      <c r="D328" t="s">
        <v>1356</v>
      </c>
      <c r="E328" t="s">
        <v>3099</v>
      </c>
      <c r="F328">
        <v>10070</v>
      </c>
    </row>
    <row r="329" spans="1:6">
      <c r="A329">
        <v>3787303</v>
      </c>
      <c r="C329">
        <v>46071</v>
      </c>
      <c r="D329" t="s">
        <v>506</v>
      </c>
      <c r="E329" t="s">
        <v>3100</v>
      </c>
      <c r="F329">
        <v>10010</v>
      </c>
    </row>
    <row r="330" spans="1:6">
      <c r="A330">
        <v>3787304</v>
      </c>
      <c r="C330">
        <v>46071</v>
      </c>
      <c r="D330" t="s">
        <v>415</v>
      </c>
      <c r="E330" t="s">
        <v>2288</v>
      </c>
      <c r="F330">
        <v>10060</v>
      </c>
    </row>
    <row r="331" spans="1:6">
      <c r="A331">
        <v>3787305</v>
      </c>
      <c r="C331">
        <v>46071</v>
      </c>
      <c r="D331" t="s">
        <v>230</v>
      </c>
      <c r="E331" t="s">
        <v>1789</v>
      </c>
      <c r="F331">
        <v>10030</v>
      </c>
    </row>
    <row r="332" spans="1:6">
      <c r="A332">
        <v>3787306</v>
      </c>
      <c r="C332">
        <v>46071</v>
      </c>
      <c r="D332" t="s">
        <v>230</v>
      </c>
      <c r="E332" t="s">
        <v>2291</v>
      </c>
      <c r="F332">
        <v>10310</v>
      </c>
    </row>
    <row r="333" spans="1:6">
      <c r="A333">
        <v>3787307</v>
      </c>
      <c r="C333">
        <v>46071</v>
      </c>
      <c r="D333" t="s">
        <v>107</v>
      </c>
      <c r="E333" t="s">
        <v>2294</v>
      </c>
      <c r="F333">
        <v>10080</v>
      </c>
    </row>
    <row r="334" spans="1:6">
      <c r="A334">
        <v>3787308</v>
      </c>
      <c r="C334">
        <v>46071</v>
      </c>
      <c r="D334" t="s">
        <v>107</v>
      </c>
      <c r="E334" t="s">
        <v>2294</v>
      </c>
      <c r="F334">
        <v>10080</v>
      </c>
    </row>
    <row r="335" spans="1:6">
      <c r="A335">
        <v>3787309</v>
      </c>
      <c r="C335">
        <v>46071</v>
      </c>
      <c r="D335" t="s">
        <v>107</v>
      </c>
      <c r="E335" t="s">
        <v>2294</v>
      </c>
      <c r="F335">
        <v>10080</v>
      </c>
    </row>
    <row r="336" spans="1:6">
      <c r="A336">
        <v>3787310</v>
      </c>
      <c r="C336">
        <v>46071</v>
      </c>
      <c r="D336" t="s">
        <v>107</v>
      </c>
      <c r="E336" t="s">
        <v>2294</v>
      </c>
      <c r="F336">
        <v>10080</v>
      </c>
    </row>
    <row r="337" spans="1:6">
      <c r="A337">
        <v>3787311</v>
      </c>
      <c r="C337">
        <v>46071</v>
      </c>
      <c r="D337" t="s">
        <v>107</v>
      </c>
      <c r="E337" t="s">
        <v>2294</v>
      </c>
      <c r="F337">
        <v>10080</v>
      </c>
    </row>
    <row r="338" spans="1:6">
      <c r="A338">
        <v>3787312</v>
      </c>
      <c r="C338">
        <v>46071</v>
      </c>
      <c r="D338" t="s">
        <v>107</v>
      </c>
      <c r="E338" t="s">
        <v>2294</v>
      </c>
      <c r="F338">
        <v>10080</v>
      </c>
    </row>
    <row r="339" spans="1:6">
      <c r="A339">
        <v>3787313</v>
      </c>
      <c r="C339">
        <v>46071</v>
      </c>
      <c r="D339" t="s">
        <v>107</v>
      </c>
      <c r="E339" t="s">
        <v>2294</v>
      </c>
      <c r="F339">
        <v>10080</v>
      </c>
    </row>
    <row r="340" spans="1:6">
      <c r="A340">
        <v>3787314</v>
      </c>
      <c r="C340">
        <v>46071</v>
      </c>
      <c r="D340" t="s">
        <v>107</v>
      </c>
      <c r="E340" t="s">
        <v>2294</v>
      </c>
      <c r="F340">
        <v>10080</v>
      </c>
    </row>
    <row r="341" spans="1:6">
      <c r="A341">
        <v>3787315</v>
      </c>
      <c r="C341">
        <v>46071</v>
      </c>
      <c r="D341" t="s">
        <v>107</v>
      </c>
      <c r="E341" t="s">
        <v>2306</v>
      </c>
      <c r="F341">
        <v>10070</v>
      </c>
    </row>
    <row r="342" spans="1:6">
      <c r="A342">
        <v>3787316</v>
      </c>
      <c r="C342">
        <v>46071</v>
      </c>
      <c r="D342" t="s">
        <v>107</v>
      </c>
      <c r="E342" t="s">
        <v>2309</v>
      </c>
      <c r="F342">
        <v>10080</v>
      </c>
    </row>
    <row r="343" spans="1:6">
      <c r="A343">
        <v>3787317</v>
      </c>
      <c r="C343">
        <v>46072</v>
      </c>
      <c r="D343" t="s">
        <v>506</v>
      </c>
      <c r="E343" t="s">
        <v>1585</v>
      </c>
      <c r="F343">
        <v>10070</v>
      </c>
    </row>
    <row r="344" spans="1:6">
      <c r="A344">
        <v>3787318</v>
      </c>
      <c r="C344">
        <v>46072</v>
      </c>
      <c r="D344" t="s">
        <v>2164</v>
      </c>
      <c r="E344" t="s">
        <v>2312</v>
      </c>
      <c r="F344">
        <v>10020</v>
      </c>
    </row>
    <row r="345" spans="1:6">
      <c r="A345">
        <v>3787319</v>
      </c>
      <c r="C345">
        <v>46072</v>
      </c>
      <c r="D345" t="s">
        <v>2164</v>
      </c>
      <c r="E345" t="s">
        <v>2312</v>
      </c>
      <c r="F345">
        <v>10020</v>
      </c>
    </row>
    <row r="346" spans="1:6">
      <c r="A346">
        <v>3787320</v>
      </c>
      <c r="C346">
        <v>46073</v>
      </c>
      <c r="D346" t="s">
        <v>2315</v>
      </c>
      <c r="E346" t="s">
        <v>2316</v>
      </c>
      <c r="F346">
        <v>10080</v>
      </c>
    </row>
    <row r="347" spans="1:6">
      <c r="A347">
        <v>3787321</v>
      </c>
      <c r="C347">
        <v>46073</v>
      </c>
      <c r="D347" t="s">
        <v>2315</v>
      </c>
      <c r="E347" t="s">
        <v>2316</v>
      </c>
      <c r="F347">
        <v>10080</v>
      </c>
    </row>
    <row r="348" spans="1:6">
      <c r="A348">
        <v>3787322</v>
      </c>
      <c r="C348">
        <v>46073</v>
      </c>
      <c r="D348" t="s">
        <v>2315</v>
      </c>
      <c r="E348" t="s">
        <v>2316</v>
      </c>
      <c r="F348">
        <v>10080</v>
      </c>
    </row>
    <row r="349" spans="1:6">
      <c r="A349">
        <v>3787323</v>
      </c>
      <c r="C349">
        <v>46073</v>
      </c>
      <c r="D349" t="s">
        <v>1641</v>
      </c>
      <c r="E349" t="s">
        <v>2322</v>
      </c>
      <c r="F349">
        <v>10020</v>
      </c>
    </row>
    <row r="350" spans="1:6">
      <c r="A350">
        <v>3787324</v>
      </c>
      <c r="C350">
        <v>46073</v>
      </c>
      <c r="D350" t="s">
        <v>1641</v>
      </c>
      <c r="E350" t="s">
        <v>2324</v>
      </c>
      <c r="F350">
        <v>10020</v>
      </c>
    </row>
    <row r="351" spans="1:6">
      <c r="A351">
        <v>3787325</v>
      </c>
      <c r="C351">
        <v>46073</v>
      </c>
      <c r="D351" t="s">
        <v>1641</v>
      </c>
      <c r="E351" t="s">
        <v>2326</v>
      </c>
      <c r="F351">
        <v>10020</v>
      </c>
    </row>
    <row r="352" spans="1:6">
      <c r="A352">
        <v>3787326</v>
      </c>
      <c r="C352">
        <v>46073</v>
      </c>
      <c r="D352" t="s">
        <v>1641</v>
      </c>
      <c r="E352" t="s">
        <v>2328</v>
      </c>
      <c r="F352">
        <v>10010</v>
      </c>
    </row>
    <row r="353" spans="1:6">
      <c r="A353">
        <v>3787327</v>
      </c>
      <c r="C353">
        <v>46073</v>
      </c>
      <c r="D353" t="s">
        <v>1641</v>
      </c>
      <c r="E353" t="s">
        <v>2330</v>
      </c>
      <c r="F353">
        <v>10020</v>
      </c>
    </row>
    <row r="354" spans="1:6">
      <c r="A354">
        <v>3787328</v>
      </c>
      <c r="C354">
        <v>46073</v>
      </c>
      <c r="D354" t="s">
        <v>1641</v>
      </c>
      <c r="E354" t="s">
        <v>2332</v>
      </c>
      <c r="F354">
        <v>10010</v>
      </c>
    </row>
    <row r="355" spans="1:6">
      <c r="A355">
        <v>3787329</v>
      </c>
      <c r="C355">
        <v>46073</v>
      </c>
      <c r="D355" t="s">
        <v>236</v>
      </c>
      <c r="E355" t="s">
        <v>2334</v>
      </c>
      <c r="F355">
        <v>10060</v>
      </c>
    </row>
    <row r="356" spans="1:6">
      <c r="A356">
        <v>3787330</v>
      </c>
      <c r="C356">
        <v>46073</v>
      </c>
      <c r="D356" t="s">
        <v>236</v>
      </c>
      <c r="E356" t="s">
        <v>3101</v>
      </c>
      <c r="F356">
        <v>10070</v>
      </c>
    </row>
    <row r="357" spans="1:6">
      <c r="A357">
        <v>3787331</v>
      </c>
      <c r="C357">
        <v>46073</v>
      </c>
      <c r="D357" t="s">
        <v>447</v>
      </c>
      <c r="E357" t="s">
        <v>2340</v>
      </c>
      <c r="F357">
        <v>10020</v>
      </c>
    </row>
    <row r="358" spans="1:6">
      <c r="A358">
        <v>3787332</v>
      </c>
      <c r="C358">
        <v>46073</v>
      </c>
      <c r="D358" t="s">
        <v>447</v>
      </c>
      <c r="E358" t="s">
        <v>2342</v>
      </c>
      <c r="F358">
        <v>10020</v>
      </c>
    </row>
    <row r="359" spans="1:6">
      <c r="A359">
        <v>3787333</v>
      </c>
      <c r="C359">
        <v>46073</v>
      </c>
      <c r="D359" t="s">
        <v>447</v>
      </c>
      <c r="E359" t="s">
        <v>2344</v>
      </c>
      <c r="F359">
        <v>10020</v>
      </c>
    </row>
    <row r="360" spans="1:6">
      <c r="A360">
        <v>3787334</v>
      </c>
      <c r="C360">
        <v>46073</v>
      </c>
      <c r="D360" t="s">
        <v>2315</v>
      </c>
      <c r="E360" t="s">
        <v>338</v>
      </c>
      <c r="F360">
        <v>10080</v>
      </c>
    </row>
    <row r="361" spans="1:6">
      <c r="A361">
        <v>3787335</v>
      </c>
      <c r="C361">
        <v>46073</v>
      </c>
      <c r="D361" t="s">
        <v>2315</v>
      </c>
      <c r="E361" t="s">
        <v>338</v>
      </c>
      <c r="F361">
        <v>10080</v>
      </c>
    </row>
    <row r="362" spans="1:6">
      <c r="A362">
        <v>3787336</v>
      </c>
      <c r="C362">
        <v>46073</v>
      </c>
      <c r="D362" t="s">
        <v>2315</v>
      </c>
      <c r="E362" t="s">
        <v>338</v>
      </c>
      <c r="F362">
        <v>10080</v>
      </c>
    </row>
    <row r="363" spans="1:6">
      <c r="A363">
        <v>3787337</v>
      </c>
      <c r="C363">
        <v>46073</v>
      </c>
      <c r="D363" t="s">
        <v>2315</v>
      </c>
      <c r="E363" t="s">
        <v>338</v>
      </c>
      <c r="F363">
        <v>10080</v>
      </c>
    </row>
    <row r="364" spans="1:6">
      <c r="A364">
        <v>3787338</v>
      </c>
      <c r="C364">
        <v>46076</v>
      </c>
      <c r="D364" t="s">
        <v>1746</v>
      </c>
      <c r="E364" t="s">
        <v>3102</v>
      </c>
      <c r="F364">
        <v>10020</v>
      </c>
    </row>
    <row r="365" spans="1:6">
      <c r="A365">
        <v>3787339</v>
      </c>
      <c r="C365">
        <v>46076</v>
      </c>
      <c r="D365" t="s">
        <v>1746</v>
      </c>
      <c r="E365" t="s">
        <v>3103</v>
      </c>
      <c r="F365">
        <v>10010</v>
      </c>
    </row>
    <row r="366" spans="1:6">
      <c r="A366">
        <v>3787340</v>
      </c>
      <c r="C366">
        <v>46076</v>
      </c>
      <c r="D366" t="s">
        <v>118</v>
      </c>
      <c r="E366" t="s">
        <v>2359</v>
      </c>
      <c r="F366">
        <v>10110</v>
      </c>
    </row>
    <row r="367" spans="1:6">
      <c r="A367">
        <v>3787341</v>
      </c>
      <c r="C367">
        <v>46076</v>
      </c>
      <c r="D367" t="s">
        <v>118</v>
      </c>
      <c r="E367" t="s">
        <v>2359</v>
      </c>
      <c r="F367">
        <v>10110</v>
      </c>
    </row>
    <row r="368" spans="1:6">
      <c r="A368">
        <v>3787342</v>
      </c>
      <c r="C368">
        <v>46077</v>
      </c>
      <c r="D368" t="s">
        <v>447</v>
      </c>
      <c r="E368" t="s">
        <v>2365</v>
      </c>
      <c r="F368">
        <v>10020</v>
      </c>
    </row>
    <row r="369" spans="1:6">
      <c r="A369">
        <v>3787343</v>
      </c>
      <c r="C369">
        <v>46077</v>
      </c>
      <c r="D369" t="s">
        <v>447</v>
      </c>
      <c r="E369" t="s">
        <v>2367</v>
      </c>
      <c r="F369">
        <v>10020</v>
      </c>
    </row>
    <row r="370" spans="1:6">
      <c r="A370">
        <v>3787344</v>
      </c>
      <c r="C370">
        <v>46077</v>
      </c>
      <c r="D370" t="s">
        <v>294</v>
      </c>
      <c r="E370" t="s">
        <v>2369</v>
      </c>
      <c r="F370">
        <v>10010</v>
      </c>
    </row>
    <row r="371" spans="1:6">
      <c r="A371">
        <v>3787345</v>
      </c>
      <c r="C371">
        <v>46078</v>
      </c>
      <c r="D371" t="s">
        <v>236</v>
      </c>
      <c r="E371" t="s">
        <v>3104</v>
      </c>
      <c r="F371">
        <v>10020</v>
      </c>
    </row>
    <row r="372" spans="1:6">
      <c r="A372">
        <v>3787346</v>
      </c>
      <c r="C372">
        <v>46078</v>
      </c>
      <c r="D372" t="s">
        <v>236</v>
      </c>
      <c r="E372" t="s">
        <v>3105</v>
      </c>
      <c r="F372">
        <v>10020</v>
      </c>
    </row>
    <row r="373" spans="1:6">
      <c r="A373">
        <v>3787347</v>
      </c>
      <c r="C373">
        <v>46078</v>
      </c>
      <c r="D373" t="s">
        <v>2377</v>
      </c>
      <c r="E373" t="s">
        <v>3106</v>
      </c>
      <c r="F373">
        <v>10020</v>
      </c>
    </row>
    <row r="374" spans="1:6">
      <c r="A374">
        <v>3787348</v>
      </c>
      <c r="C374">
        <v>46078</v>
      </c>
      <c r="D374" t="s">
        <v>506</v>
      </c>
      <c r="E374" t="s">
        <v>2382</v>
      </c>
      <c r="F374">
        <v>10010</v>
      </c>
    </row>
    <row r="375" spans="1:6">
      <c r="A375">
        <v>3787349</v>
      </c>
      <c r="C375">
        <v>46078</v>
      </c>
      <c r="D375" t="s">
        <v>506</v>
      </c>
      <c r="E375" t="s">
        <v>2385</v>
      </c>
      <c r="F375">
        <v>10010</v>
      </c>
    </row>
    <row r="376" spans="1:6">
      <c r="A376">
        <v>3787350</v>
      </c>
      <c r="C376">
        <v>46078</v>
      </c>
      <c r="D376" t="s">
        <v>506</v>
      </c>
      <c r="E376" t="s">
        <v>2388</v>
      </c>
      <c r="F376">
        <v>10010</v>
      </c>
    </row>
    <row r="377" spans="1:6">
      <c r="A377">
        <v>3787351</v>
      </c>
      <c r="C377">
        <v>46078</v>
      </c>
      <c r="D377" t="s">
        <v>506</v>
      </c>
      <c r="E377" t="s">
        <v>2391</v>
      </c>
      <c r="F377">
        <v>10020</v>
      </c>
    </row>
    <row r="378" spans="1:6">
      <c r="A378">
        <v>3787352</v>
      </c>
      <c r="C378">
        <v>46078</v>
      </c>
      <c r="D378" t="s">
        <v>506</v>
      </c>
      <c r="E378" t="s">
        <v>2393</v>
      </c>
      <c r="F378">
        <v>10010</v>
      </c>
    </row>
    <row r="379" spans="1:6">
      <c r="A379">
        <v>3787353</v>
      </c>
      <c r="C379">
        <v>46078</v>
      </c>
      <c r="D379" t="s">
        <v>506</v>
      </c>
      <c r="E379" t="s">
        <v>2395</v>
      </c>
      <c r="F379">
        <v>10010</v>
      </c>
    </row>
    <row r="380" spans="1:6">
      <c r="A380">
        <v>3787354</v>
      </c>
      <c r="C380">
        <v>46078</v>
      </c>
      <c r="D380" t="s">
        <v>501</v>
      </c>
      <c r="E380" t="s">
        <v>3107</v>
      </c>
      <c r="F380">
        <v>10020</v>
      </c>
    </row>
    <row r="381" spans="1:6">
      <c r="A381">
        <v>3787355</v>
      </c>
      <c r="C381">
        <v>46078</v>
      </c>
      <c r="D381" t="s">
        <v>501</v>
      </c>
      <c r="E381" t="s">
        <v>3108</v>
      </c>
      <c r="F381">
        <v>10020</v>
      </c>
    </row>
    <row r="382" spans="1:6">
      <c r="A382">
        <v>3787356</v>
      </c>
      <c r="C382">
        <v>46078</v>
      </c>
      <c r="D382" t="s">
        <v>118</v>
      </c>
      <c r="E382" t="s">
        <v>2400</v>
      </c>
      <c r="F382">
        <v>10040</v>
      </c>
    </row>
    <row r="383" spans="1:6">
      <c r="A383">
        <v>3787357</v>
      </c>
      <c r="C383">
        <v>46078</v>
      </c>
      <c r="D383" t="s">
        <v>611</v>
      </c>
      <c r="E383" t="s">
        <v>2403</v>
      </c>
      <c r="F383">
        <v>10030</v>
      </c>
    </row>
    <row r="384" spans="1:6">
      <c r="A384">
        <v>3787358</v>
      </c>
      <c r="C384">
        <v>46078</v>
      </c>
      <c r="D384" t="s">
        <v>611</v>
      </c>
      <c r="E384" t="s">
        <v>2408</v>
      </c>
      <c r="F384">
        <v>10070</v>
      </c>
    </row>
    <row r="385" spans="1:6">
      <c r="A385">
        <v>3787359</v>
      </c>
      <c r="C385">
        <v>46078</v>
      </c>
      <c r="D385" t="s">
        <v>611</v>
      </c>
      <c r="E385" t="s">
        <v>2403</v>
      </c>
      <c r="F385">
        <v>10030</v>
      </c>
    </row>
    <row r="386" spans="1:6">
      <c r="A386">
        <v>3787360</v>
      </c>
      <c r="C386">
        <v>46078</v>
      </c>
      <c r="D386" t="s">
        <v>611</v>
      </c>
      <c r="E386" t="s">
        <v>2408</v>
      </c>
      <c r="F386">
        <v>10070</v>
      </c>
    </row>
    <row r="387" spans="1:6">
      <c r="A387">
        <v>3787361</v>
      </c>
      <c r="C387">
        <v>46078</v>
      </c>
      <c r="D387" t="s">
        <v>2210</v>
      </c>
      <c r="E387" t="s">
        <v>2412</v>
      </c>
      <c r="F387">
        <v>10020</v>
      </c>
    </row>
    <row r="388" spans="1:6">
      <c r="A388">
        <v>3787362</v>
      </c>
      <c r="C388">
        <v>46078</v>
      </c>
      <c r="D388" t="s">
        <v>2210</v>
      </c>
      <c r="E388" t="s">
        <v>2414</v>
      </c>
      <c r="F388">
        <v>10070</v>
      </c>
    </row>
    <row r="389" spans="1:6">
      <c r="A389">
        <v>3787363</v>
      </c>
      <c r="C389">
        <v>46079</v>
      </c>
      <c r="D389" t="s">
        <v>447</v>
      </c>
      <c r="E389" t="s">
        <v>2416</v>
      </c>
      <c r="F389">
        <v>10020</v>
      </c>
    </row>
    <row r="390" spans="1:6">
      <c r="A390">
        <v>3787364</v>
      </c>
      <c r="C390">
        <v>46080</v>
      </c>
      <c r="D390" t="s">
        <v>2315</v>
      </c>
      <c r="E390" t="s">
        <v>417</v>
      </c>
      <c r="F390">
        <v>10080</v>
      </c>
    </row>
    <row r="391" spans="1:6">
      <c r="A391">
        <v>3787365</v>
      </c>
      <c r="C391">
        <v>46080</v>
      </c>
      <c r="D391" t="s">
        <v>294</v>
      </c>
      <c r="E391" t="s">
        <v>2422</v>
      </c>
      <c r="F391">
        <v>10020</v>
      </c>
    </row>
    <row r="392" spans="1:6">
      <c r="A392">
        <v>3787366</v>
      </c>
      <c r="C392">
        <v>46083</v>
      </c>
      <c r="D392" t="s">
        <v>501</v>
      </c>
      <c r="E392" t="s">
        <v>2426</v>
      </c>
      <c r="F392">
        <v>10010</v>
      </c>
    </row>
    <row r="393" spans="1:6">
      <c r="A393">
        <v>3787367</v>
      </c>
      <c r="C393">
        <v>46083</v>
      </c>
      <c r="D393" t="s">
        <v>501</v>
      </c>
      <c r="E393" t="s">
        <v>2428</v>
      </c>
      <c r="F393">
        <v>10010</v>
      </c>
    </row>
    <row r="394" spans="1:6">
      <c r="A394">
        <v>3787368</v>
      </c>
      <c r="C394">
        <v>46083</v>
      </c>
      <c r="D394" t="s">
        <v>501</v>
      </c>
      <c r="E394" t="s">
        <v>3109</v>
      </c>
      <c r="F394">
        <v>10010</v>
      </c>
    </row>
    <row r="395" spans="1:6">
      <c r="A395">
        <v>3787369</v>
      </c>
      <c r="C395">
        <v>46084</v>
      </c>
      <c r="D395" t="s">
        <v>501</v>
      </c>
      <c r="E395" t="s">
        <v>2432</v>
      </c>
      <c r="F395">
        <v>10010</v>
      </c>
    </row>
    <row r="396" spans="1:6">
      <c r="A396">
        <v>3787370</v>
      </c>
      <c r="C396">
        <v>46084</v>
      </c>
      <c r="D396" t="s">
        <v>501</v>
      </c>
      <c r="E396" t="s">
        <v>2434</v>
      </c>
      <c r="F396">
        <v>10010</v>
      </c>
    </row>
    <row r="397" spans="1:6">
      <c r="A397">
        <v>3787371</v>
      </c>
      <c r="C397">
        <v>46084</v>
      </c>
      <c r="D397" t="s">
        <v>2138</v>
      </c>
      <c r="E397" t="s">
        <v>2436</v>
      </c>
      <c r="F397">
        <v>10020</v>
      </c>
    </row>
    <row r="398" spans="1:6">
      <c r="A398">
        <v>3787372</v>
      </c>
      <c r="C398">
        <v>46084</v>
      </c>
      <c r="D398" t="s">
        <v>2138</v>
      </c>
      <c r="E398" t="s">
        <v>2439</v>
      </c>
      <c r="F398">
        <v>10020</v>
      </c>
    </row>
    <row r="399" spans="1:6">
      <c r="A399">
        <v>3787373</v>
      </c>
      <c r="C399">
        <v>46084</v>
      </c>
      <c r="D399" t="s">
        <v>2138</v>
      </c>
      <c r="E399" t="s">
        <v>2441</v>
      </c>
      <c r="F399">
        <v>10010</v>
      </c>
    </row>
    <row r="400" spans="1:6">
      <c r="A400">
        <v>3787374</v>
      </c>
      <c r="C400">
        <v>46084</v>
      </c>
      <c r="D400" t="s">
        <v>2138</v>
      </c>
      <c r="E400" t="s">
        <v>2443</v>
      </c>
      <c r="F400">
        <v>10010</v>
      </c>
    </row>
    <row r="401" spans="1:6">
      <c r="A401">
        <v>3787375</v>
      </c>
      <c r="C401">
        <v>46084</v>
      </c>
      <c r="D401" t="s">
        <v>2138</v>
      </c>
      <c r="E401" t="s">
        <v>2445</v>
      </c>
      <c r="F401">
        <v>10020</v>
      </c>
    </row>
    <row r="402" spans="1:6">
      <c r="A402">
        <v>3787376</v>
      </c>
      <c r="C402">
        <v>46084</v>
      </c>
      <c r="D402" t="s">
        <v>2138</v>
      </c>
      <c r="E402" t="s">
        <v>2447</v>
      </c>
      <c r="F402">
        <v>10040</v>
      </c>
    </row>
    <row r="403" spans="1:6">
      <c r="A403">
        <v>3787377</v>
      </c>
      <c r="C403">
        <v>46084</v>
      </c>
      <c r="D403" t="s">
        <v>2138</v>
      </c>
      <c r="E403" t="s">
        <v>2449</v>
      </c>
      <c r="F403">
        <v>10060</v>
      </c>
    </row>
    <row r="404" spans="1:6">
      <c r="A404">
        <v>3787378</v>
      </c>
      <c r="C404">
        <v>46084</v>
      </c>
      <c r="D404" t="s">
        <v>294</v>
      </c>
      <c r="E404" t="s">
        <v>2451</v>
      </c>
      <c r="F404">
        <v>10020</v>
      </c>
    </row>
    <row r="405" spans="1:6">
      <c r="A405">
        <v>3787379</v>
      </c>
      <c r="C405">
        <v>46084</v>
      </c>
      <c r="D405" t="s">
        <v>294</v>
      </c>
      <c r="E405" t="s">
        <v>3110</v>
      </c>
      <c r="F405">
        <v>10020</v>
      </c>
    </row>
    <row r="406" spans="1:6">
      <c r="A406">
        <v>3787380</v>
      </c>
      <c r="C406">
        <v>46084</v>
      </c>
      <c r="D406" t="s">
        <v>294</v>
      </c>
      <c r="E406" t="s">
        <v>2455</v>
      </c>
      <c r="F406">
        <v>10020</v>
      </c>
    </row>
    <row r="407" spans="1:6">
      <c r="A407">
        <v>3787381</v>
      </c>
      <c r="C407">
        <v>46084</v>
      </c>
      <c r="D407" t="s">
        <v>294</v>
      </c>
      <c r="E407" t="s">
        <v>2457</v>
      </c>
      <c r="F407">
        <v>10020</v>
      </c>
    </row>
    <row r="408" spans="1:6">
      <c r="A408">
        <v>3787382</v>
      </c>
      <c r="C408">
        <v>46085</v>
      </c>
      <c r="D408" t="s">
        <v>454</v>
      </c>
      <c r="E408" t="s">
        <v>2459</v>
      </c>
      <c r="F408">
        <v>10140</v>
      </c>
    </row>
    <row r="409" spans="1:6">
      <c r="A409">
        <v>3787383</v>
      </c>
      <c r="C409">
        <v>46085</v>
      </c>
      <c r="D409" t="s">
        <v>454</v>
      </c>
      <c r="E409" t="s">
        <v>2459</v>
      </c>
      <c r="F409">
        <v>10140</v>
      </c>
    </row>
    <row r="410" spans="1:6">
      <c r="A410">
        <v>3787384</v>
      </c>
      <c r="C410">
        <v>46085</v>
      </c>
      <c r="D410" t="s">
        <v>909</v>
      </c>
      <c r="E410" t="s">
        <v>2466</v>
      </c>
      <c r="F410">
        <v>10020</v>
      </c>
    </row>
    <row r="411" spans="1:6">
      <c r="A411">
        <v>3787385</v>
      </c>
      <c r="C411">
        <v>46085</v>
      </c>
      <c r="D411" t="s">
        <v>909</v>
      </c>
      <c r="E411" t="s">
        <v>2471</v>
      </c>
      <c r="F411">
        <v>10010</v>
      </c>
    </row>
    <row r="412" spans="1:6">
      <c r="A412">
        <v>3787386</v>
      </c>
      <c r="C412">
        <v>46085</v>
      </c>
      <c r="D412" t="s">
        <v>909</v>
      </c>
      <c r="E412" t="s">
        <v>2473</v>
      </c>
      <c r="F412">
        <v>10010</v>
      </c>
    </row>
    <row r="413" spans="1:6">
      <c r="A413">
        <v>3787387</v>
      </c>
      <c r="C413">
        <v>46085</v>
      </c>
      <c r="D413" t="s">
        <v>909</v>
      </c>
      <c r="E413" t="s">
        <v>2475</v>
      </c>
      <c r="F413">
        <v>10010</v>
      </c>
    </row>
    <row r="414" spans="1:6">
      <c r="A414">
        <v>3787388</v>
      </c>
      <c r="C414">
        <v>46085</v>
      </c>
      <c r="D414" t="s">
        <v>909</v>
      </c>
      <c r="E414" t="s">
        <v>2477</v>
      </c>
      <c r="F414">
        <v>10020</v>
      </c>
    </row>
    <row r="415" spans="1:6">
      <c r="A415">
        <v>3787389</v>
      </c>
      <c r="C415">
        <v>46085</v>
      </c>
      <c r="D415" t="s">
        <v>909</v>
      </c>
      <c r="E415" t="s">
        <v>2479</v>
      </c>
      <c r="F415">
        <v>10010</v>
      </c>
    </row>
    <row r="416" spans="1:6">
      <c r="A416">
        <v>3787390</v>
      </c>
      <c r="C416">
        <v>46085</v>
      </c>
      <c r="D416" t="s">
        <v>909</v>
      </c>
      <c r="E416" t="s">
        <v>2481</v>
      </c>
      <c r="F416">
        <v>10020</v>
      </c>
    </row>
    <row r="417" spans="1:6">
      <c r="A417">
        <v>3787391</v>
      </c>
      <c r="C417">
        <v>46085</v>
      </c>
      <c r="D417" t="s">
        <v>454</v>
      </c>
      <c r="E417" t="s">
        <v>2459</v>
      </c>
      <c r="F417">
        <v>10140</v>
      </c>
    </row>
    <row r="418" spans="1:6">
      <c r="A418">
        <v>3787392</v>
      </c>
      <c r="C418">
        <v>46085</v>
      </c>
      <c r="D418" t="s">
        <v>454</v>
      </c>
      <c r="E418" t="s">
        <v>2459</v>
      </c>
      <c r="F418">
        <v>10140</v>
      </c>
    </row>
    <row r="419" spans="1:6">
      <c r="A419">
        <v>3787393</v>
      </c>
      <c r="C419">
        <v>46086</v>
      </c>
      <c r="D419" t="s">
        <v>236</v>
      </c>
      <c r="E419" t="s">
        <v>2165</v>
      </c>
      <c r="F419">
        <v>10060</v>
      </c>
    </row>
    <row r="420" spans="1:6">
      <c r="A420">
        <v>3787394</v>
      </c>
      <c r="C420">
        <v>46086</v>
      </c>
      <c r="D420" t="s">
        <v>236</v>
      </c>
      <c r="E420" t="s">
        <v>2491</v>
      </c>
      <c r="F420">
        <v>10060</v>
      </c>
    </row>
    <row r="421" spans="1:6">
      <c r="A421">
        <v>3787395</v>
      </c>
      <c r="C421">
        <v>46086</v>
      </c>
      <c r="D421" t="s">
        <v>236</v>
      </c>
      <c r="E421" t="s">
        <v>2489</v>
      </c>
      <c r="F421">
        <v>10060</v>
      </c>
    </row>
    <row r="422" spans="1:6">
      <c r="A422">
        <v>3787396</v>
      </c>
      <c r="C422">
        <v>46086</v>
      </c>
      <c r="D422" t="s">
        <v>236</v>
      </c>
      <c r="E422" t="s">
        <v>2491</v>
      </c>
      <c r="F422">
        <v>10060</v>
      </c>
    </row>
    <row r="423" spans="1:6">
      <c r="A423">
        <v>3787397</v>
      </c>
      <c r="C423">
        <v>46086</v>
      </c>
      <c r="D423" t="s">
        <v>236</v>
      </c>
      <c r="E423" t="s">
        <v>2496</v>
      </c>
      <c r="F423">
        <v>10070</v>
      </c>
    </row>
    <row r="424" spans="1:6">
      <c r="A424">
        <v>3787398</v>
      </c>
      <c r="C424">
        <v>46086</v>
      </c>
      <c r="D424" t="s">
        <v>236</v>
      </c>
      <c r="E424" t="s">
        <v>2496</v>
      </c>
      <c r="F424">
        <v>10070</v>
      </c>
    </row>
    <row r="425" spans="1:6">
      <c r="A425">
        <v>3787399</v>
      </c>
      <c r="C425">
        <v>46086</v>
      </c>
      <c r="D425" t="s">
        <v>236</v>
      </c>
      <c r="E425" t="s">
        <v>2496</v>
      </c>
      <c r="F425">
        <v>10070</v>
      </c>
    </row>
    <row r="426" spans="1:6">
      <c r="A426">
        <v>3787400</v>
      </c>
      <c r="C426">
        <v>46086</v>
      </c>
      <c r="D426" t="s">
        <v>447</v>
      </c>
      <c r="E426" t="s">
        <v>2087</v>
      </c>
      <c r="F426">
        <v>10040</v>
      </c>
    </row>
    <row r="427" spans="1:6">
      <c r="A427">
        <v>3787401</v>
      </c>
      <c r="C427">
        <v>46087</v>
      </c>
      <c r="D427" t="s">
        <v>236</v>
      </c>
      <c r="E427" t="s">
        <v>2168</v>
      </c>
      <c r="F427">
        <v>10070</v>
      </c>
    </row>
    <row r="428" spans="1:6">
      <c r="A428">
        <v>3787402</v>
      </c>
      <c r="C428">
        <v>46090</v>
      </c>
      <c r="D428" t="s">
        <v>118</v>
      </c>
      <c r="E428" t="s">
        <v>3111</v>
      </c>
    </row>
    <row r="429" spans="1:6">
      <c r="A429">
        <v>3787403</v>
      </c>
      <c r="C429">
        <v>46090</v>
      </c>
      <c r="D429" t="s">
        <v>118</v>
      </c>
      <c r="E429" t="s">
        <v>3111</v>
      </c>
    </row>
    <row r="430" spans="1:6">
      <c r="A430">
        <v>3787404</v>
      </c>
      <c r="C430">
        <v>46090</v>
      </c>
      <c r="D430" t="s">
        <v>118</v>
      </c>
      <c r="E430" t="s">
        <v>3111</v>
      </c>
    </row>
    <row r="431" spans="1:6">
      <c r="A431">
        <v>3787405</v>
      </c>
      <c r="C431">
        <v>46090</v>
      </c>
      <c r="D431" t="s">
        <v>118</v>
      </c>
      <c r="E431" t="s">
        <v>3111</v>
      </c>
    </row>
    <row r="432" spans="1:6">
      <c r="A432">
        <v>3787406</v>
      </c>
      <c r="C432">
        <v>46090</v>
      </c>
      <c r="D432" t="s">
        <v>118</v>
      </c>
      <c r="E432" t="s">
        <v>3111</v>
      </c>
    </row>
    <row r="433" spans="1:6">
      <c r="A433">
        <v>3787407</v>
      </c>
      <c r="C433">
        <v>46090</v>
      </c>
      <c r="D433" t="s">
        <v>236</v>
      </c>
      <c r="E433" t="s">
        <v>2165</v>
      </c>
      <c r="F433">
        <v>10060</v>
      </c>
    </row>
    <row r="434" spans="1:6">
      <c r="A434">
        <v>3787408</v>
      </c>
      <c r="C434">
        <v>46090</v>
      </c>
      <c r="D434" t="s">
        <v>236</v>
      </c>
      <c r="E434" t="s">
        <v>1276</v>
      </c>
      <c r="F434">
        <v>10070</v>
      </c>
    </row>
    <row r="435" spans="1:6">
      <c r="A435">
        <v>3787409</v>
      </c>
      <c r="C435">
        <v>46090</v>
      </c>
      <c r="D435" t="s">
        <v>118</v>
      </c>
      <c r="E435" t="s">
        <v>2504</v>
      </c>
      <c r="F435">
        <v>10310</v>
      </c>
    </row>
    <row r="436" spans="1:6">
      <c r="A436">
        <v>3787410</v>
      </c>
      <c r="C436">
        <v>46090</v>
      </c>
      <c r="D436" t="s">
        <v>118</v>
      </c>
      <c r="E436" t="s">
        <v>3111</v>
      </c>
    </row>
    <row r="437" spans="1:6">
      <c r="A437">
        <v>3787411</v>
      </c>
      <c r="C437">
        <v>46091</v>
      </c>
      <c r="D437" t="s">
        <v>506</v>
      </c>
      <c r="E437" t="s">
        <v>2508</v>
      </c>
      <c r="F437">
        <v>10070</v>
      </c>
    </row>
    <row r="438" spans="1:6">
      <c r="A438">
        <v>3787412</v>
      </c>
      <c r="C438">
        <v>46091</v>
      </c>
      <c r="D438" t="s">
        <v>118</v>
      </c>
      <c r="E438" t="s">
        <v>2094</v>
      </c>
      <c r="F438">
        <v>10077</v>
      </c>
    </row>
    <row r="439" spans="1:6">
      <c r="A439">
        <v>3787413</v>
      </c>
      <c r="C439">
        <v>46091</v>
      </c>
      <c r="D439" t="s">
        <v>2315</v>
      </c>
      <c r="E439" t="s">
        <v>2510</v>
      </c>
      <c r="F439">
        <v>10080</v>
      </c>
    </row>
    <row r="440" spans="1:6">
      <c r="A440">
        <v>3787414</v>
      </c>
      <c r="C440">
        <v>46091</v>
      </c>
      <c r="D440" t="s">
        <v>2315</v>
      </c>
      <c r="E440" t="s">
        <v>2510</v>
      </c>
      <c r="F440">
        <v>10080</v>
      </c>
    </row>
    <row r="441" spans="1:6">
      <c r="A441">
        <v>3787415</v>
      </c>
      <c r="C441">
        <v>46091</v>
      </c>
      <c r="D441" t="s">
        <v>2315</v>
      </c>
      <c r="E441" t="s">
        <v>2510</v>
      </c>
      <c r="F441">
        <v>10080</v>
      </c>
    </row>
    <row r="442" spans="1:6">
      <c r="A442">
        <v>3787418</v>
      </c>
      <c r="C442">
        <v>46091</v>
      </c>
      <c r="D442" t="s">
        <v>2315</v>
      </c>
      <c r="E442" t="s">
        <v>2510</v>
      </c>
      <c r="F442">
        <v>10080</v>
      </c>
    </row>
    <row r="443" spans="1:6">
      <c r="A443">
        <v>3787416</v>
      </c>
      <c r="C443">
        <v>46092</v>
      </c>
      <c r="D443" t="s">
        <v>294</v>
      </c>
      <c r="E443" t="s">
        <v>3112</v>
      </c>
      <c r="F443">
        <v>10010</v>
      </c>
    </row>
    <row r="444" spans="1:6">
      <c r="A444">
        <v>3787417</v>
      </c>
      <c r="C444">
        <v>46092</v>
      </c>
      <c r="D444" t="s">
        <v>294</v>
      </c>
      <c r="E444" t="s">
        <v>2519</v>
      </c>
      <c r="F444">
        <v>10010</v>
      </c>
    </row>
    <row r="445" spans="1:6">
      <c r="A445">
        <v>3787419</v>
      </c>
      <c r="C445">
        <v>46090</v>
      </c>
      <c r="D445" t="s">
        <v>118</v>
      </c>
      <c r="E445" t="s">
        <v>2523</v>
      </c>
      <c r="F445">
        <v>10080</v>
      </c>
    </row>
    <row r="446" spans="1:6">
      <c r="A446">
        <v>3787420</v>
      </c>
      <c r="C446">
        <v>46090</v>
      </c>
      <c r="D446" t="s">
        <v>118</v>
      </c>
      <c r="E446" t="s">
        <v>2523</v>
      </c>
      <c r="F446">
        <v>10080</v>
      </c>
    </row>
    <row r="447" spans="1:6">
      <c r="A447">
        <v>3787421</v>
      </c>
      <c r="C447">
        <v>46090</v>
      </c>
      <c r="D447" t="s">
        <v>118</v>
      </c>
      <c r="E447" t="s">
        <v>2527</v>
      </c>
      <c r="F447">
        <v>10120</v>
      </c>
    </row>
    <row r="448" spans="1:6">
      <c r="A448">
        <v>3787422</v>
      </c>
      <c r="C448">
        <v>46090</v>
      </c>
      <c r="D448" t="s">
        <v>118</v>
      </c>
      <c r="E448" t="s">
        <v>1138</v>
      </c>
      <c r="F448">
        <v>10120</v>
      </c>
    </row>
    <row r="449" spans="1:6">
      <c r="A449">
        <v>3787423</v>
      </c>
      <c r="C449">
        <v>46090</v>
      </c>
      <c r="D449" t="s">
        <v>118</v>
      </c>
      <c r="E449" t="s">
        <v>1138</v>
      </c>
      <c r="F449">
        <v>10120</v>
      </c>
    </row>
    <row r="450" spans="1:6">
      <c r="A450">
        <v>3787424</v>
      </c>
      <c r="C450">
        <v>46090</v>
      </c>
      <c r="D450" t="s">
        <v>2535</v>
      </c>
      <c r="E450" t="s">
        <v>3113</v>
      </c>
      <c r="F450">
        <v>10080</v>
      </c>
    </row>
    <row r="451" spans="1:6">
      <c r="A451">
        <v>3787425</v>
      </c>
      <c r="C451">
        <v>46093</v>
      </c>
      <c r="D451" t="s">
        <v>294</v>
      </c>
      <c r="E451" t="s">
        <v>2540</v>
      </c>
      <c r="F451">
        <v>10020</v>
      </c>
    </row>
    <row r="452" spans="1:6">
      <c r="A452">
        <v>3787426</v>
      </c>
      <c r="C452">
        <v>46094</v>
      </c>
      <c r="D452" t="s">
        <v>2541</v>
      </c>
      <c r="E452" t="s">
        <v>2542</v>
      </c>
      <c r="F452">
        <v>10120</v>
      </c>
    </row>
    <row r="453" spans="1:6">
      <c r="A453">
        <v>3787427</v>
      </c>
      <c r="C453">
        <v>46094</v>
      </c>
      <c r="D453" t="s">
        <v>2541</v>
      </c>
      <c r="E453" t="s">
        <v>2542</v>
      </c>
      <c r="F453">
        <v>10120</v>
      </c>
    </row>
    <row r="454" spans="1:6">
      <c r="A454">
        <v>3787428</v>
      </c>
      <c r="C454">
        <v>46094</v>
      </c>
      <c r="D454" t="s">
        <v>2541</v>
      </c>
      <c r="E454" t="s">
        <v>2542</v>
      </c>
      <c r="F454">
        <v>10120</v>
      </c>
    </row>
    <row r="455" spans="1:6">
      <c r="A455">
        <v>3787429</v>
      </c>
      <c r="C455">
        <v>46094</v>
      </c>
      <c r="D455" t="s">
        <v>501</v>
      </c>
      <c r="E455" t="s">
        <v>2547</v>
      </c>
      <c r="F455">
        <v>10010</v>
      </c>
    </row>
    <row r="456" spans="1:6">
      <c r="A456">
        <v>3787430</v>
      </c>
      <c r="C456">
        <v>46094</v>
      </c>
      <c r="D456" t="s">
        <v>501</v>
      </c>
      <c r="E456" t="s">
        <v>2549</v>
      </c>
      <c r="F456">
        <v>10020</v>
      </c>
    </row>
    <row r="457" spans="1:6">
      <c r="A457">
        <v>3787431</v>
      </c>
      <c r="C457">
        <v>46094</v>
      </c>
      <c r="D457" t="s">
        <v>415</v>
      </c>
      <c r="E457" t="s">
        <v>2550</v>
      </c>
      <c r="F457">
        <v>10260</v>
      </c>
    </row>
    <row r="458" spans="1:6">
      <c r="A458">
        <v>3787432</v>
      </c>
      <c r="C458">
        <v>46098</v>
      </c>
      <c r="D458" t="s">
        <v>501</v>
      </c>
      <c r="E458" t="s">
        <v>2555</v>
      </c>
      <c r="F458">
        <v>10010</v>
      </c>
    </row>
    <row r="459" spans="1:6">
      <c r="A459">
        <v>3787433</v>
      </c>
      <c r="C459">
        <v>46098</v>
      </c>
      <c r="D459" t="s">
        <v>501</v>
      </c>
      <c r="E459" t="s">
        <v>2557</v>
      </c>
      <c r="F459">
        <v>10010</v>
      </c>
    </row>
    <row r="460" spans="1:6">
      <c r="A460">
        <v>3787434</v>
      </c>
      <c r="C460">
        <v>46098</v>
      </c>
      <c r="D460" t="s">
        <v>294</v>
      </c>
      <c r="E460" t="s">
        <v>2559</v>
      </c>
      <c r="F460">
        <v>10010</v>
      </c>
    </row>
    <row r="461" spans="1:6">
      <c r="A461">
        <v>3787435</v>
      </c>
      <c r="C461">
        <v>46098</v>
      </c>
      <c r="D461" t="s">
        <v>294</v>
      </c>
      <c r="E461" t="s">
        <v>2562</v>
      </c>
      <c r="F461">
        <v>10010</v>
      </c>
    </row>
    <row r="462" spans="1:6">
      <c r="A462">
        <v>3787436</v>
      </c>
      <c r="C462">
        <v>46098</v>
      </c>
      <c r="D462" t="s">
        <v>294</v>
      </c>
      <c r="E462" t="s">
        <v>2564</v>
      </c>
      <c r="F462">
        <v>10010</v>
      </c>
    </row>
    <row r="463" spans="1:6">
      <c r="A463">
        <v>3787437</v>
      </c>
      <c r="C463">
        <v>46098</v>
      </c>
      <c r="D463" t="s">
        <v>294</v>
      </c>
      <c r="E463" t="s">
        <v>2566</v>
      </c>
      <c r="F463">
        <v>10010</v>
      </c>
    </row>
    <row r="464" spans="1:6">
      <c r="A464">
        <v>3787438</v>
      </c>
      <c r="C464">
        <v>46098</v>
      </c>
      <c r="D464" t="s">
        <v>294</v>
      </c>
      <c r="E464" t="s">
        <v>2568</v>
      </c>
      <c r="F464">
        <v>10010</v>
      </c>
    </row>
    <row r="465" spans="1:6">
      <c r="A465">
        <v>3787439</v>
      </c>
      <c r="C465">
        <v>46098</v>
      </c>
      <c r="D465" t="s">
        <v>294</v>
      </c>
      <c r="E465" t="s">
        <v>2570</v>
      </c>
      <c r="F465">
        <v>10010</v>
      </c>
    </row>
    <row r="466" spans="1:6">
      <c r="A466">
        <v>3787440</v>
      </c>
      <c r="C466">
        <v>46098</v>
      </c>
      <c r="D466" t="s">
        <v>294</v>
      </c>
      <c r="E466" t="s">
        <v>2572</v>
      </c>
      <c r="F466">
        <v>10020</v>
      </c>
    </row>
    <row r="467" spans="1:6">
      <c r="A467">
        <v>3787441</v>
      </c>
      <c r="C467">
        <v>46098</v>
      </c>
      <c r="D467" t="s">
        <v>118</v>
      </c>
      <c r="E467" t="s">
        <v>2573</v>
      </c>
      <c r="F467">
        <v>10045</v>
      </c>
    </row>
    <row r="468" spans="1:6">
      <c r="A468">
        <v>3787442</v>
      </c>
      <c r="C468">
        <v>46098</v>
      </c>
      <c r="D468" t="s">
        <v>118</v>
      </c>
      <c r="E468" t="s">
        <v>2573</v>
      </c>
      <c r="F468">
        <v>10045</v>
      </c>
    </row>
    <row r="469" spans="1:6">
      <c r="A469">
        <v>3787443</v>
      </c>
      <c r="C469">
        <v>46098</v>
      </c>
      <c r="D469" t="s">
        <v>118</v>
      </c>
      <c r="E469" t="s">
        <v>2573</v>
      </c>
      <c r="F469">
        <v>10045</v>
      </c>
    </row>
    <row r="470" spans="1:6">
      <c r="A470">
        <v>3787444</v>
      </c>
      <c r="C470">
        <v>46098</v>
      </c>
      <c r="D470" t="s">
        <v>118</v>
      </c>
      <c r="E470" t="s">
        <v>2573</v>
      </c>
      <c r="F470">
        <v>10045</v>
      </c>
    </row>
    <row r="471" spans="1:6">
      <c r="A471">
        <v>3787445</v>
      </c>
      <c r="C471">
        <v>46099</v>
      </c>
      <c r="D471" t="s">
        <v>506</v>
      </c>
      <c r="E471" t="s">
        <v>2578</v>
      </c>
      <c r="F471">
        <v>10070</v>
      </c>
    </row>
    <row r="472" spans="1:6">
      <c r="A472">
        <v>3787446</v>
      </c>
      <c r="C472">
        <v>46099</v>
      </c>
      <c r="D472" t="s">
        <v>118</v>
      </c>
      <c r="E472" t="s">
        <v>2094</v>
      </c>
      <c r="F472">
        <v>10077</v>
      </c>
    </row>
    <row r="473" spans="1:6">
      <c r="A473">
        <v>3787447</v>
      </c>
      <c r="C473">
        <v>46099</v>
      </c>
      <c r="D473" t="s">
        <v>294</v>
      </c>
      <c r="E473" t="s">
        <v>2582</v>
      </c>
      <c r="F473">
        <v>10020</v>
      </c>
    </row>
    <row r="474" spans="1:6">
      <c r="A474">
        <v>3787448</v>
      </c>
      <c r="C474">
        <v>46099</v>
      </c>
      <c r="D474" t="s">
        <v>294</v>
      </c>
      <c r="E474" t="s">
        <v>3114</v>
      </c>
      <c r="F474">
        <v>10020</v>
      </c>
    </row>
    <row r="475" spans="1:6">
      <c r="A475">
        <v>3787449</v>
      </c>
      <c r="C475">
        <v>46099</v>
      </c>
      <c r="D475" t="s">
        <v>294</v>
      </c>
      <c r="E475" t="s">
        <v>3115</v>
      </c>
      <c r="F475">
        <v>10010</v>
      </c>
    </row>
    <row r="476" spans="1:6">
      <c r="A476">
        <v>3787450</v>
      </c>
      <c r="C476">
        <v>46099</v>
      </c>
      <c r="D476" t="s">
        <v>294</v>
      </c>
      <c r="E476" t="s">
        <v>3116</v>
      </c>
      <c r="F476">
        <v>10010</v>
      </c>
    </row>
    <row r="477" spans="1:6">
      <c r="A477">
        <v>3787451</v>
      </c>
      <c r="C477">
        <v>46099</v>
      </c>
      <c r="D477" t="s">
        <v>294</v>
      </c>
      <c r="E477" t="s">
        <v>3117</v>
      </c>
      <c r="F477">
        <v>10010</v>
      </c>
    </row>
    <row r="478" spans="1:6">
      <c r="A478">
        <v>3787452</v>
      </c>
      <c r="C478">
        <v>46099</v>
      </c>
      <c r="D478" t="s">
        <v>294</v>
      </c>
      <c r="E478" t="s">
        <v>3118</v>
      </c>
      <c r="F478">
        <v>10020</v>
      </c>
    </row>
    <row r="479" spans="1:6">
      <c r="A479">
        <v>3787453</v>
      </c>
      <c r="C479">
        <v>46099</v>
      </c>
      <c r="D479" t="s">
        <v>294</v>
      </c>
      <c r="E479" t="s">
        <v>3119</v>
      </c>
      <c r="F479">
        <v>10010</v>
      </c>
    </row>
    <row r="480" spans="1:6">
      <c r="A480">
        <v>3787454</v>
      </c>
      <c r="C480">
        <v>46099</v>
      </c>
      <c r="D480" t="s">
        <v>294</v>
      </c>
      <c r="E480" t="s">
        <v>3120</v>
      </c>
      <c r="F480">
        <v>10010</v>
      </c>
    </row>
    <row r="481" spans="1:6">
      <c r="A481">
        <v>3787455</v>
      </c>
      <c r="C481">
        <v>46099</v>
      </c>
      <c r="D481" t="s">
        <v>294</v>
      </c>
      <c r="E481" t="s">
        <v>3121</v>
      </c>
      <c r="F481">
        <v>10020</v>
      </c>
    </row>
    <row r="482" spans="1:6">
      <c r="A482">
        <v>3787456</v>
      </c>
      <c r="C482">
        <v>46099</v>
      </c>
      <c r="D482" t="s">
        <v>294</v>
      </c>
      <c r="E482" t="s">
        <v>3122</v>
      </c>
      <c r="F482">
        <v>10010</v>
      </c>
    </row>
    <row r="483" spans="1:6">
      <c r="A483">
        <v>3787457</v>
      </c>
      <c r="C483">
        <v>46100</v>
      </c>
      <c r="D483" t="s">
        <v>1731</v>
      </c>
      <c r="E483" t="s">
        <v>2604</v>
      </c>
      <c r="F483">
        <v>10080</v>
      </c>
    </row>
    <row r="484" spans="1:6">
      <c r="A484">
        <v>3787458</v>
      </c>
      <c r="C484">
        <v>46100</v>
      </c>
      <c r="D484" t="s">
        <v>1731</v>
      </c>
      <c r="E484" t="s">
        <v>2608</v>
      </c>
      <c r="F484">
        <v>10060</v>
      </c>
    </row>
    <row r="485" spans="1:6">
      <c r="A485">
        <v>3787459</v>
      </c>
      <c r="C485">
        <v>46101</v>
      </c>
      <c r="D485" t="s">
        <v>118</v>
      </c>
      <c r="E485" t="s">
        <v>2612</v>
      </c>
      <c r="F485">
        <v>10045</v>
      </c>
    </row>
    <row r="486" spans="1:6">
      <c r="A486">
        <v>3787460</v>
      </c>
      <c r="C486">
        <v>46104</v>
      </c>
      <c r="D486" t="s">
        <v>501</v>
      </c>
      <c r="E486" t="s">
        <v>2615</v>
      </c>
      <c r="F486">
        <v>10010</v>
      </c>
    </row>
    <row r="487" spans="1:6">
      <c r="A487">
        <v>3787461</v>
      </c>
      <c r="C487">
        <v>46104</v>
      </c>
      <c r="D487" t="s">
        <v>501</v>
      </c>
      <c r="E487" t="s">
        <v>2617</v>
      </c>
      <c r="F487">
        <v>10010</v>
      </c>
    </row>
    <row r="488" spans="1:6">
      <c r="A488">
        <v>3787462</v>
      </c>
      <c r="C488">
        <v>46104</v>
      </c>
      <c r="D488" t="s">
        <v>501</v>
      </c>
      <c r="E488" t="s">
        <v>3111</v>
      </c>
    </row>
    <row r="489" spans="1:6">
      <c r="A489">
        <v>3787463</v>
      </c>
      <c r="C489">
        <v>46105</v>
      </c>
      <c r="D489" t="s">
        <v>294</v>
      </c>
      <c r="E489" t="s">
        <v>2619</v>
      </c>
      <c r="F489">
        <v>10010</v>
      </c>
    </row>
    <row r="490" spans="1:6">
      <c r="A490">
        <v>3787464</v>
      </c>
      <c r="C490">
        <v>46105</v>
      </c>
      <c r="D490" t="s">
        <v>294</v>
      </c>
      <c r="E490" t="s">
        <v>2623</v>
      </c>
      <c r="F490">
        <v>10010</v>
      </c>
    </row>
    <row r="491" spans="1:6">
      <c r="A491">
        <v>3787465</v>
      </c>
      <c r="C491">
        <v>46105</v>
      </c>
      <c r="D491" t="s">
        <v>294</v>
      </c>
      <c r="E491" t="s">
        <v>2625</v>
      </c>
      <c r="F491">
        <v>10010</v>
      </c>
    </row>
    <row r="492" spans="1:6">
      <c r="A492">
        <v>3787466</v>
      </c>
      <c r="C492">
        <v>46105</v>
      </c>
      <c r="D492" t="s">
        <v>294</v>
      </c>
      <c r="E492" t="s">
        <v>2627</v>
      </c>
      <c r="F492">
        <v>10010</v>
      </c>
    </row>
    <row r="493" spans="1:6">
      <c r="A493">
        <v>3787467</v>
      </c>
      <c r="C493">
        <v>46105</v>
      </c>
      <c r="D493" t="s">
        <v>294</v>
      </c>
      <c r="E493" t="s">
        <v>2629</v>
      </c>
      <c r="F493">
        <v>10010</v>
      </c>
    </row>
    <row r="494" spans="1:6">
      <c r="A494">
        <v>3787468</v>
      </c>
      <c r="C494">
        <v>46105</v>
      </c>
      <c r="D494" t="s">
        <v>294</v>
      </c>
      <c r="E494" t="s">
        <v>2631</v>
      </c>
      <c r="F494">
        <v>10010</v>
      </c>
    </row>
    <row r="495" spans="1:6">
      <c r="A495">
        <v>3787469</v>
      </c>
      <c r="C495">
        <v>46105</v>
      </c>
      <c r="D495" t="s">
        <v>294</v>
      </c>
      <c r="E495" t="s">
        <v>2633</v>
      </c>
      <c r="F495">
        <v>10010</v>
      </c>
    </row>
    <row r="496" spans="1:6">
      <c r="A496">
        <v>3787470</v>
      </c>
      <c r="C496">
        <v>46105</v>
      </c>
      <c r="D496" t="s">
        <v>294</v>
      </c>
      <c r="E496" t="s">
        <v>2635</v>
      </c>
      <c r="F496">
        <v>10020</v>
      </c>
    </row>
    <row r="497" spans="1:6">
      <c r="A497">
        <v>3787471</v>
      </c>
      <c r="C497">
        <v>46105</v>
      </c>
      <c r="D497" t="s">
        <v>294</v>
      </c>
      <c r="E497" t="s">
        <v>2637</v>
      </c>
      <c r="F497">
        <v>10020</v>
      </c>
    </row>
    <row r="498" spans="1:6">
      <c r="A498">
        <v>3787472</v>
      </c>
      <c r="C498">
        <v>46105</v>
      </c>
      <c r="D498" t="s">
        <v>294</v>
      </c>
      <c r="E498" t="s">
        <v>2639</v>
      </c>
      <c r="F498">
        <v>10020</v>
      </c>
    </row>
    <row r="499" spans="1:6">
      <c r="A499">
        <v>3787473</v>
      </c>
      <c r="C499">
        <v>46105</v>
      </c>
      <c r="D499" t="s">
        <v>294</v>
      </c>
      <c r="E499" t="s">
        <v>2641</v>
      </c>
      <c r="F499">
        <v>10010</v>
      </c>
    </row>
    <row r="500" spans="1:6">
      <c r="A500">
        <v>3787474</v>
      </c>
      <c r="C500">
        <v>46105</v>
      </c>
      <c r="D500" t="s">
        <v>294</v>
      </c>
      <c r="E500" t="s">
        <v>2643</v>
      </c>
      <c r="F500">
        <v>10010</v>
      </c>
    </row>
    <row r="501" spans="1:6">
      <c r="A501">
        <v>3787475</v>
      </c>
      <c r="C501">
        <v>46106</v>
      </c>
      <c r="D501" t="s">
        <v>2644</v>
      </c>
      <c r="E501" t="s">
        <v>261</v>
      </c>
      <c r="F501">
        <v>10060</v>
      </c>
    </row>
    <row r="502" spans="1:6">
      <c r="A502">
        <v>3787476</v>
      </c>
      <c r="C502">
        <v>46107</v>
      </c>
      <c r="D502" t="s">
        <v>3123</v>
      </c>
      <c r="E502" t="s">
        <v>3124</v>
      </c>
      <c r="F502">
        <v>10040</v>
      </c>
    </row>
    <row r="503" spans="1:6">
      <c r="A503">
        <v>3787477</v>
      </c>
      <c r="C503">
        <v>46105</v>
      </c>
      <c r="D503" t="s">
        <v>236</v>
      </c>
      <c r="E503" t="s">
        <v>2648</v>
      </c>
      <c r="F503">
        <v>10020</v>
      </c>
    </row>
    <row r="504" spans="1:6">
      <c r="A504">
        <v>3787478</v>
      </c>
      <c r="C504">
        <v>46105</v>
      </c>
      <c r="D504" t="s">
        <v>236</v>
      </c>
      <c r="E504" t="s">
        <v>2651</v>
      </c>
      <c r="F504">
        <v>10020</v>
      </c>
    </row>
    <row r="505" spans="1:6">
      <c r="A505">
        <v>3787479</v>
      </c>
      <c r="C505">
        <v>46105</v>
      </c>
      <c r="D505" t="s">
        <v>236</v>
      </c>
      <c r="E505" t="s">
        <v>2653</v>
      </c>
      <c r="F505">
        <v>10010</v>
      </c>
    </row>
    <row r="506" spans="1:6">
      <c r="A506">
        <v>3787480</v>
      </c>
      <c r="C506">
        <v>46105</v>
      </c>
      <c r="D506" t="s">
        <v>236</v>
      </c>
      <c r="E506" t="s">
        <v>2655</v>
      </c>
      <c r="F506">
        <v>10010</v>
      </c>
    </row>
    <row r="507" spans="1:6">
      <c r="A507">
        <v>3787481</v>
      </c>
      <c r="C507">
        <v>46107</v>
      </c>
      <c r="D507" t="s">
        <v>506</v>
      </c>
      <c r="E507" t="s">
        <v>3125</v>
      </c>
      <c r="F507">
        <v>10040</v>
      </c>
    </row>
    <row r="508" spans="1:6">
      <c r="A508">
        <v>3787482</v>
      </c>
      <c r="C508">
        <v>46107</v>
      </c>
      <c r="D508" t="s">
        <v>506</v>
      </c>
      <c r="E508" t="s">
        <v>3126</v>
      </c>
      <c r="F508">
        <v>10040</v>
      </c>
    </row>
    <row r="509" spans="1:6">
      <c r="A509">
        <v>3787483</v>
      </c>
      <c r="C509">
        <v>46107</v>
      </c>
      <c r="D509" t="s">
        <v>506</v>
      </c>
      <c r="E509" t="s">
        <v>3126</v>
      </c>
      <c r="F509">
        <v>10040</v>
      </c>
    </row>
    <row r="510" spans="1:6">
      <c r="A510">
        <v>3787484</v>
      </c>
      <c r="C510">
        <v>46108</v>
      </c>
      <c r="D510" t="s">
        <v>1641</v>
      </c>
      <c r="E510" t="s">
        <v>2657</v>
      </c>
      <c r="F510">
        <v>10020</v>
      </c>
    </row>
    <row r="511" spans="1:6">
      <c r="A511">
        <v>3787485</v>
      </c>
      <c r="C511">
        <v>46108</v>
      </c>
      <c r="D511" t="s">
        <v>1641</v>
      </c>
      <c r="E511" t="s">
        <v>2661</v>
      </c>
      <c r="F511">
        <v>10020</v>
      </c>
    </row>
    <row r="512" spans="1:6">
      <c r="A512">
        <v>3787486</v>
      </c>
      <c r="C512">
        <v>46108</v>
      </c>
      <c r="D512" t="s">
        <v>1641</v>
      </c>
      <c r="E512" t="s">
        <v>2663</v>
      </c>
      <c r="F512">
        <v>10020</v>
      </c>
    </row>
    <row r="513" spans="1:6">
      <c r="A513">
        <v>3787487</v>
      </c>
      <c r="C513">
        <v>46108</v>
      </c>
      <c r="D513" t="s">
        <v>1641</v>
      </c>
      <c r="E513" t="s">
        <v>2665</v>
      </c>
      <c r="F513">
        <v>10020</v>
      </c>
    </row>
    <row r="514" spans="1:6">
      <c r="A514">
        <v>3787488</v>
      </c>
      <c r="C514">
        <v>46108</v>
      </c>
      <c r="D514" t="s">
        <v>1641</v>
      </c>
      <c r="E514" t="s">
        <v>2667</v>
      </c>
      <c r="F514">
        <v>10020</v>
      </c>
    </row>
    <row r="515" spans="1:6">
      <c r="A515">
        <v>3787489</v>
      </c>
      <c r="C515">
        <v>46111</v>
      </c>
      <c r="D515" t="s">
        <v>909</v>
      </c>
      <c r="E515" t="s">
        <v>2669</v>
      </c>
      <c r="F515">
        <v>10020</v>
      </c>
    </row>
    <row r="516" spans="1:6">
      <c r="A516">
        <v>3787490</v>
      </c>
      <c r="C516">
        <v>46111</v>
      </c>
      <c r="D516" t="s">
        <v>501</v>
      </c>
      <c r="E516" t="s">
        <v>2671</v>
      </c>
      <c r="F516">
        <v>10010</v>
      </c>
    </row>
    <row r="517" spans="1:6">
      <c r="A517">
        <v>3787491</v>
      </c>
      <c r="C517">
        <v>46111</v>
      </c>
      <c r="D517" t="s">
        <v>2535</v>
      </c>
      <c r="E517" t="s">
        <v>2672</v>
      </c>
      <c r="F517">
        <v>10080</v>
      </c>
    </row>
    <row r="518" spans="1:6">
      <c r="A518">
        <v>3787492</v>
      </c>
      <c r="C518">
        <v>46111</v>
      </c>
      <c r="D518" t="s">
        <v>916</v>
      </c>
      <c r="E518" t="s">
        <v>2674</v>
      </c>
      <c r="F518">
        <v>37030</v>
      </c>
    </row>
    <row r="519" spans="1:6">
      <c r="A519">
        <v>3787493</v>
      </c>
      <c r="C519">
        <v>46114</v>
      </c>
      <c r="D519" t="s">
        <v>2715</v>
      </c>
      <c r="E519" t="s">
        <v>1417</v>
      </c>
      <c r="F519">
        <v>10060</v>
      </c>
    </row>
    <row r="520" spans="1:6">
      <c r="A520">
        <v>3787494</v>
      </c>
      <c r="C520">
        <v>46114</v>
      </c>
      <c r="D520" t="s">
        <v>2680</v>
      </c>
      <c r="E520" t="s">
        <v>2682</v>
      </c>
      <c r="F520">
        <v>10060</v>
      </c>
    </row>
    <row r="521" spans="1:6">
      <c r="A521">
        <v>3787495</v>
      </c>
      <c r="C521">
        <v>46114</v>
      </c>
      <c r="D521" t="s">
        <v>118</v>
      </c>
      <c r="E521" t="s">
        <v>2683</v>
      </c>
      <c r="F521">
        <v>10120</v>
      </c>
    </row>
    <row r="522" spans="1:6">
      <c r="A522">
        <v>3787496</v>
      </c>
      <c r="C522">
        <v>46114</v>
      </c>
      <c r="D522" t="s">
        <v>294</v>
      </c>
      <c r="E522" t="s">
        <v>2687</v>
      </c>
      <c r="F522">
        <v>10010</v>
      </c>
    </row>
    <row r="523" spans="1:6">
      <c r="A523">
        <v>3787497</v>
      </c>
      <c r="C523">
        <v>46114</v>
      </c>
      <c r="D523" t="s">
        <v>294</v>
      </c>
      <c r="E523" t="s">
        <v>2689</v>
      </c>
      <c r="F523">
        <v>10020</v>
      </c>
    </row>
    <row r="524" spans="1:6">
      <c r="A524">
        <v>3787499</v>
      </c>
      <c r="C524">
        <v>46115</v>
      </c>
      <c r="D524" t="s">
        <v>2541</v>
      </c>
      <c r="E524" t="s">
        <v>2690</v>
      </c>
      <c r="F524">
        <v>10150</v>
      </c>
    </row>
    <row r="525" spans="1:6">
      <c r="A525">
        <v>3787500</v>
      </c>
      <c r="C525">
        <v>46115</v>
      </c>
      <c r="D525" t="s">
        <v>2541</v>
      </c>
      <c r="E525" t="s">
        <v>2690</v>
      </c>
      <c r="F525">
        <v>10150</v>
      </c>
    </row>
    <row r="526" spans="1:6">
      <c r="A526">
        <v>3787501</v>
      </c>
      <c r="C526">
        <v>46115</v>
      </c>
      <c r="D526" t="s">
        <v>2541</v>
      </c>
      <c r="E526" t="s">
        <v>2690</v>
      </c>
      <c r="F526">
        <v>10150</v>
      </c>
    </row>
    <row r="527" spans="1:6">
      <c r="A527">
        <v>3787502</v>
      </c>
      <c r="C527">
        <v>46115</v>
      </c>
      <c r="D527" t="s">
        <v>2541</v>
      </c>
      <c r="E527" t="s">
        <v>2697</v>
      </c>
      <c r="F527">
        <v>10260</v>
      </c>
    </row>
    <row r="528" spans="1:6">
      <c r="A528">
        <v>3787503</v>
      </c>
      <c r="C528">
        <v>46115</v>
      </c>
      <c r="D528" t="s">
        <v>2541</v>
      </c>
      <c r="E528" t="s">
        <v>2697</v>
      </c>
      <c r="F528">
        <v>10260</v>
      </c>
    </row>
    <row r="529" spans="1:6">
      <c r="A529">
        <v>3787504</v>
      </c>
      <c r="C529">
        <v>46119</v>
      </c>
      <c r="D529" t="s">
        <v>1641</v>
      </c>
      <c r="E529" t="s">
        <v>2703</v>
      </c>
      <c r="F529">
        <v>10010</v>
      </c>
    </row>
    <row r="530" spans="1:6">
      <c r="A530">
        <v>3787505</v>
      </c>
      <c r="C530">
        <v>46119</v>
      </c>
      <c r="D530" t="s">
        <v>1641</v>
      </c>
      <c r="E530" t="s">
        <v>2705</v>
      </c>
      <c r="F530">
        <v>10020</v>
      </c>
    </row>
    <row r="531" spans="1:6">
      <c r="A531">
        <v>3787506</v>
      </c>
      <c r="C531">
        <v>46119</v>
      </c>
      <c r="D531" t="s">
        <v>107</v>
      </c>
      <c r="E531" t="s">
        <v>2706</v>
      </c>
      <c r="F531">
        <v>10150</v>
      </c>
    </row>
    <row r="532" spans="1:6">
      <c r="A532">
        <v>3787507</v>
      </c>
      <c r="C532">
        <v>46119</v>
      </c>
      <c r="D532" t="s">
        <v>2708</v>
      </c>
      <c r="E532" t="s">
        <v>2709</v>
      </c>
      <c r="F532">
        <v>10260</v>
      </c>
    </row>
    <row r="533" spans="1:6">
      <c r="A533">
        <v>3787508</v>
      </c>
      <c r="C533">
        <v>46120</v>
      </c>
      <c r="D533" t="s">
        <v>236</v>
      </c>
      <c r="E533" t="s">
        <v>1276</v>
      </c>
      <c r="F533">
        <v>10070</v>
      </c>
    </row>
    <row r="534" spans="1:6">
      <c r="A534">
        <v>3787509</v>
      </c>
      <c r="C534">
        <v>46120</v>
      </c>
      <c r="D534" t="s">
        <v>236</v>
      </c>
      <c r="E534" t="s">
        <v>1276</v>
      </c>
      <c r="F534">
        <v>10070</v>
      </c>
    </row>
    <row r="535" spans="1:6">
      <c r="A535">
        <v>3787510</v>
      </c>
      <c r="C535">
        <v>46120</v>
      </c>
      <c r="D535" t="s">
        <v>2715</v>
      </c>
      <c r="E535" t="s">
        <v>1274</v>
      </c>
      <c r="F535">
        <v>10060</v>
      </c>
    </row>
    <row r="536" spans="1:6">
      <c r="A536">
        <v>3787511</v>
      </c>
      <c r="C536">
        <v>46121</v>
      </c>
      <c r="D536" t="s">
        <v>236</v>
      </c>
      <c r="E536" t="s">
        <v>2717</v>
      </c>
      <c r="F536">
        <v>10120</v>
      </c>
    </row>
    <row r="537" spans="1:6">
      <c r="A537">
        <v>3787512</v>
      </c>
      <c r="C537">
        <v>46121</v>
      </c>
      <c r="D537" t="s">
        <v>2715</v>
      </c>
      <c r="E537" t="s">
        <v>2719</v>
      </c>
      <c r="F537">
        <v>10060</v>
      </c>
    </row>
    <row r="538" spans="1:6">
      <c r="A538">
        <v>3787513</v>
      </c>
      <c r="C538">
        <v>46121</v>
      </c>
      <c r="D538" t="s">
        <v>2715</v>
      </c>
      <c r="E538" t="s">
        <v>2722</v>
      </c>
      <c r="F538">
        <v>10070</v>
      </c>
    </row>
    <row r="539" spans="1:6">
      <c r="A539">
        <v>3787514</v>
      </c>
      <c r="C539">
        <v>46122</v>
      </c>
      <c r="D539" t="s">
        <v>611</v>
      </c>
      <c r="E539" t="s">
        <v>2725</v>
      </c>
      <c r="F539">
        <v>10020</v>
      </c>
    </row>
    <row r="540" spans="1:6">
      <c r="A540">
        <v>3787515</v>
      </c>
      <c r="C540">
        <v>46122</v>
      </c>
      <c r="D540" t="s">
        <v>611</v>
      </c>
      <c r="E540" t="s">
        <v>2727</v>
      </c>
      <c r="F540">
        <v>10010</v>
      </c>
    </row>
    <row r="541" spans="1:6">
      <c r="A541">
        <v>3787516</v>
      </c>
      <c r="C541">
        <v>46122</v>
      </c>
      <c r="D541" t="s">
        <v>611</v>
      </c>
      <c r="E541" t="s">
        <v>2729</v>
      </c>
      <c r="F541">
        <v>10020</v>
      </c>
    </row>
    <row r="542" spans="1:6">
      <c r="A542">
        <v>3787517</v>
      </c>
      <c r="C542">
        <v>46122</v>
      </c>
      <c r="D542" t="s">
        <v>611</v>
      </c>
      <c r="E542" t="s">
        <v>2731</v>
      </c>
      <c r="F542">
        <v>10010</v>
      </c>
    </row>
    <row r="543" spans="1:6">
      <c r="A543">
        <v>3787518</v>
      </c>
      <c r="C543">
        <v>46122</v>
      </c>
      <c r="D543" t="s">
        <v>506</v>
      </c>
      <c r="E543" t="s">
        <v>2578</v>
      </c>
      <c r="F543">
        <v>10070</v>
      </c>
    </row>
    <row r="544" spans="1:6">
      <c r="A544">
        <v>3787519</v>
      </c>
      <c r="C544">
        <v>46122</v>
      </c>
      <c r="D544" t="s">
        <v>236</v>
      </c>
      <c r="E544" t="s">
        <v>2735</v>
      </c>
      <c r="F544">
        <v>10010</v>
      </c>
    </row>
    <row r="545" spans="1:6">
      <c r="A545">
        <v>3787520</v>
      </c>
      <c r="C545">
        <v>46122</v>
      </c>
      <c r="D545" t="s">
        <v>236</v>
      </c>
      <c r="E545" t="s">
        <v>2737</v>
      </c>
      <c r="F545">
        <v>10010</v>
      </c>
    </row>
    <row r="546" spans="1:6">
      <c r="A546">
        <v>3787521</v>
      </c>
      <c r="C546">
        <v>46122</v>
      </c>
      <c r="D546" t="s">
        <v>236</v>
      </c>
      <c r="E546" t="s">
        <v>2739</v>
      </c>
      <c r="F546">
        <v>10010</v>
      </c>
    </row>
    <row r="547" spans="1:6">
      <c r="A547">
        <v>3787522</v>
      </c>
      <c r="C547">
        <v>46122</v>
      </c>
      <c r="D547" t="s">
        <v>236</v>
      </c>
      <c r="E547" t="s">
        <v>2741</v>
      </c>
      <c r="F547">
        <v>10010</v>
      </c>
    </row>
    <row r="548" spans="1:6">
      <c r="A548">
        <v>3787523</v>
      </c>
      <c r="C548">
        <v>46122</v>
      </c>
      <c r="D548" t="s">
        <v>236</v>
      </c>
      <c r="E548" t="s">
        <v>2743</v>
      </c>
      <c r="F548">
        <v>10020</v>
      </c>
    </row>
    <row r="549" spans="1:6">
      <c r="A549">
        <v>3787524</v>
      </c>
      <c r="C549">
        <v>46122</v>
      </c>
      <c r="D549" t="s">
        <v>236</v>
      </c>
      <c r="E549" t="s">
        <v>2745</v>
      </c>
      <c r="F549">
        <v>10020</v>
      </c>
    </row>
    <row r="550" spans="1:6">
      <c r="A550">
        <v>3787525</v>
      </c>
      <c r="C550">
        <v>46122</v>
      </c>
      <c r="D550" t="s">
        <v>236</v>
      </c>
      <c r="E550" t="s">
        <v>2747</v>
      </c>
      <c r="F550">
        <v>10010</v>
      </c>
    </row>
    <row r="551" spans="1:6">
      <c r="A551">
        <v>3787526</v>
      </c>
      <c r="C551">
        <v>46122</v>
      </c>
      <c r="D551" t="s">
        <v>236</v>
      </c>
      <c r="E551" t="s">
        <v>2749</v>
      </c>
      <c r="F551">
        <v>10010</v>
      </c>
    </row>
    <row r="552" spans="1:6">
      <c r="A552">
        <v>3787527</v>
      </c>
      <c r="C552">
        <v>46122</v>
      </c>
      <c r="D552" t="s">
        <v>236</v>
      </c>
      <c r="E552" t="s">
        <v>2751</v>
      </c>
      <c r="F552">
        <v>10010</v>
      </c>
    </row>
    <row r="553" spans="1:6">
      <c r="A553">
        <v>3787528</v>
      </c>
      <c r="C553">
        <v>46122</v>
      </c>
      <c r="D553" t="s">
        <v>236</v>
      </c>
      <c r="E553" t="s">
        <v>2753</v>
      </c>
      <c r="F553">
        <v>10010</v>
      </c>
    </row>
    <row r="554" spans="1:6">
      <c r="A554">
        <v>3787529</v>
      </c>
      <c r="C554">
        <v>46122</v>
      </c>
      <c r="D554" t="s">
        <v>236</v>
      </c>
      <c r="E554" t="s">
        <v>2755</v>
      </c>
      <c r="F554">
        <v>10135</v>
      </c>
    </row>
    <row r="555" spans="1:6">
      <c r="A555">
        <v>3787530</v>
      </c>
      <c r="C555">
        <v>46122</v>
      </c>
      <c r="D555" t="s">
        <v>2757</v>
      </c>
      <c r="E555" t="s">
        <v>2759</v>
      </c>
      <c r="F555">
        <v>10010</v>
      </c>
    </row>
    <row r="556" spans="1:6">
      <c r="A556">
        <v>3787531</v>
      </c>
      <c r="C556">
        <v>46122</v>
      </c>
      <c r="D556" t="s">
        <v>2757</v>
      </c>
      <c r="E556" t="s">
        <v>2763</v>
      </c>
      <c r="F556">
        <v>10010</v>
      </c>
    </row>
    <row r="557" spans="1:6">
      <c r="A557">
        <v>3787532</v>
      </c>
      <c r="C557">
        <v>46122</v>
      </c>
      <c r="D557" t="s">
        <v>2757</v>
      </c>
      <c r="E557" t="s">
        <v>2765</v>
      </c>
      <c r="F557">
        <v>10010</v>
      </c>
    </row>
    <row r="558" spans="1:6">
      <c r="A558">
        <v>3787533</v>
      </c>
      <c r="C558">
        <v>46122</v>
      </c>
      <c r="D558" t="s">
        <v>2757</v>
      </c>
      <c r="E558" t="s">
        <v>2767</v>
      </c>
      <c r="F558">
        <v>10060</v>
      </c>
    </row>
    <row r="559" spans="1:6">
      <c r="A559">
        <v>3787534</v>
      </c>
      <c r="C559">
        <v>46122</v>
      </c>
      <c r="D559" t="s">
        <v>2541</v>
      </c>
      <c r="E559" t="s">
        <v>2769</v>
      </c>
      <c r="F559">
        <v>10150</v>
      </c>
    </row>
    <row r="560" spans="1:6">
      <c r="A560">
        <v>3787535</v>
      </c>
      <c r="C560">
        <v>46125</v>
      </c>
      <c r="D560" t="s">
        <v>2771</v>
      </c>
      <c r="E560" t="s">
        <v>2772</v>
      </c>
      <c r="F560">
        <v>10060</v>
      </c>
    </row>
    <row r="561" spans="1:6">
      <c r="A561">
        <v>3787536</v>
      </c>
      <c r="C561">
        <v>46125</v>
      </c>
      <c r="D561" t="s">
        <v>2771</v>
      </c>
      <c r="E561" t="s">
        <v>2774</v>
      </c>
      <c r="F561">
        <v>10060</v>
      </c>
    </row>
    <row r="562" spans="1:6">
      <c r="A562">
        <v>3787537</v>
      </c>
      <c r="C562">
        <v>46125</v>
      </c>
      <c r="D562" t="s">
        <v>294</v>
      </c>
      <c r="E562" t="s">
        <v>2777</v>
      </c>
      <c r="F562">
        <v>10020</v>
      </c>
    </row>
    <row r="563" spans="1:6">
      <c r="A563">
        <v>3787539</v>
      </c>
      <c r="C563">
        <v>46126</v>
      </c>
      <c r="D563" t="s">
        <v>294</v>
      </c>
      <c r="E563" t="s">
        <v>2779</v>
      </c>
      <c r="F563">
        <v>10020</v>
      </c>
    </row>
    <row r="564" spans="1:6">
      <c r="A564">
        <v>3787540</v>
      </c>
      <c r="C564">
        <v>46126</v>
      </c>
      <c r="D564" t="s">
        <v>294</v>
      </c>
      <c r="E564" t="s">
        <v>2783</v>
      </c>
      <c r="F564">
        <v>10020</v>
      </c>
    </row>
    <row r="565" spans="1:6">
      <c r="A565">
        <v>3787541</v>
      </c>
      <c r="C565">
        <v>46126</v>
      </c>
      <c r="D565" t="s">
        <v>294</v>
      </c>
      <c r="E565" t="s">
        <v>2785</v>
      </c>
      <c r="F565">
        <v>10020</v>
      </c>
    </row>
    <row r="566" spans="1:6">
      <c r="A566">
        <v>3787542</v>
      </c>
      <c r="C566">
        <v>46126</v>
      </c>
      <c r="D566" t="s">
        <v>294</v>
      </c>
      <c r="E566" t="s">
        <v>2787</v>
      </c>
      <c r="F566">
        <v>10020</v>
      </c>
    </row>
    <row r="567" spans="1:6">
      <c r="A567">
        <v>3787543</v>
      </c>
      <c r="C567">
        <v>46126</v>
      </c>
      <c r="D567" t="s">
        <v>294</v>
      </c>
      <c r="E567" t="s">
        <v>2789</v>
      </c>
      <c r="F567">
        <v>10010</v>
      </c>
    </row>
    <row r="568" spans="1:6">
      <c r="A568">
        <v>3787544</v>
      </c>
      <c r="C568">
        <v>46126</v>
      </c>
      <c r="D568" t="s">
        <v>294</v>
      </c>
      <c r="E568" t="s">
        <v>2791</v>
      </c>
      <c r="F568">
        <v>10020</v>
      </c>
    </row>
    <row r="569" spans="1:6">
      <c r="A569">
        <v>3787545</v>
      </c>
      <c r="C569">
        <v>46126</v>
      </c>
      <c r="D569" t="s">
        <v>118</v>
      </c>
      <c r="E569" t="s">
        <v>1138</v>
      </c>
      <c r="F569">
        <v>10120</v>
      </c>
    </row>
    <row r="570" spans="1:6">
      <c r="A570">
        <v>3787546</v>
      </c>
      <c r="C570">
        <v>46126</v>
      </c>
      <c r="D570" t="s">
        <v>118</v>
      </c>
      <c r="E570" t="s">
        <v>1138</v>
      </c>
      <c r="F570">
        <v>10120</v>
      </c>
    </row>
    <row r="571" spans="1:6">
      <c r="A571">
        <v>3787547</v>
      </c>
      <c r="C571">
        <v>46127</v>
      </c>
      <c r="D571" t="s">
        <v>260</v>
      </c>
      <c r="E571" t="s">
        <v>2795</v>
      </c>
      <c r="F571">
        <v>10140</v>
      </c>
    </row>
    <row r="572" spans="1:6">
      <c r="A572">
        <v>3787548</v>
      </c>
      <c r="C572">
        <v>46128</v>
      </c>
      <c r="D572" t="s">
        <v>506</v>
      </c>
      <c r="E572" t="s">
        <v>2797</v>
      </c>
      <c r="F572">
        <v>10070</v>
      </c>
    </row>
    <row r="573" spans="1:6">
      <c r="A573">
        <v>3787549</v>
      </c>
      <c r="C573">
        <v>46128</v>
      </c>
      <c r="D573" t="s">
        <v>236</v>
      </c>
      <c r="E573" t="s">
        <v>2165</v>
      </c>
      <c r="F573">
        <v>10060</v>
      </c>
    </row>
    <row r="574" spans="1:6">
      <c r="A574">
        <v>3787550</v>
      </c>
      <c r="C574">
        <v>46129</v>
      </c>
      <c r="D574" t="s">
        <v>1356</v>
      </c>
      <c r="E574" t="s">
        <v>2800</v>
      </c>
      <c r="F574">
        <v>10090</v>
      </c>
    </row>
    <row r="575" spans="1:6">
      <c r="A575">
        <v>3787551</v>
      </c>
      <c r="C575">
        <v>46129</v>
      </c>
      <c r="D575" t="s">
        <v>1356</v>
      </c>
      <c r="E575" t="s">
        <v>2805</v>
      </c>
      <c r="F575">
        <v>10100</v>
      </c>
    </row>
    <row r="576" spans="1:6">
      <c r="A576">
        <v>3787552</v>
      </c>
      <c r="C576">
        <v>46129</v>
      </c>
      <c r="D576" t="s">
        <v>1356</v>
      </c>
      <c r="E576" t="s">
        <v>2807</v>
      </c>
      <c r="F576">
        <v>10100</v>
      </c>
    </row>
    <row r="577" spans="1:6">
      <c r="A577">
        <v>3787553</v>
      </c>
      <c r="C577">
        <v>46129</v>
      </c>
      <c r="D577" t="s">
        <v>236</v>
      </c>
      <c r="E577" t="s">
        <v>2809</v>
      </c>
      <c r="F577">
        <v>10010</v>
      </c>
    </row>
    <row r="578" spans="1:6">
      <c r="A578">
        <v>3787554</v>
      </c>
      <c r="C578">
        <v>46129</v>
      </c>
      <c r="D578" t="s">
        <v>236</v>
      </c>
      <c r="E578" t="s">
        <v>2811</v>
      </c>
      <c r="F578">
        <v>10010</v>
      </c>
    </row>
    <row r="579" spans="1:6">
      <c r="A579">
        <v>3787555</v>
      </c>
      <c r="C579">
        <v>46129</v>
      </c>
      <c r="D579" t="s">
        <v>2535</v>
      </c>
      <c r="E579" t="s">
        <v>2813</v>
      </c>
      <c r="F579">
        <v>10010</v>
      </c>
    </row>
    <row r="580" spans="1:6">
      <c r="A580">
        <v>3787556</v>
      </c>
      <c r="C580">
        <v>46129</v>
      </c>
      <c r="D580" t="s">
        <v>2535</v>
      </c>
      <c r="E580" t="s">
        <v>2815</v>
      </c>
      <c r="F580">
        <v>10010</v>
      </c>
    </row>
    <row r="581" spans="1:6">
      <c r="A581">
        <v>3787557</v>
      </c>
      <c r="C581">
        <v>46129</v>
      </c>
      <c r="D581" t="s">
        <v>2535</v>
      </c>
      <c r="E581" t="s">
        <v>2817</v>
      </c>
      <c r="F581">
        <v>10010</v>
      </c>
    </row>
    <row r="582" spans="1:6">
      <c r="A582">
        <v>3787558</v>
      </c>
      <c r="C582">
        <v>46133</v>
      </c>
      <c r="D582" t="s">
        <v>2315</v>
      </c>
      <c r="E582" t="s">
        <v>2840</v>
      </c>
      <c r="F582">
        <v>10080</v>
      </c>
    </row>
    <row r="583" spans="1:6">
      <c r="A583">
        <v>3787559</v>
      </c>
      <c r="C583">
        <v>46133</v>
      </c>
      <c r="D583" t="s">
        <v>2821</v>
      </c>
      <c r="E583" t="s">
        <v>2822</v>
      </c>
      <c r="F583">
        <v>10260</v>
      </c>
    </row>
    <row r="584" spans="1:6">
      <c r="A584">
        <v>3787560</v>
      </c>
      <c r="C584">
        <v>46133</v>
      </c>
      <c r="D584" t="s">
        <v>2821</v>
      </c>
      <c r="E584" t="s">
        <v>2822</v>
      </c>
      <c r="F584">
        <v>10260</v>
      </c>
    </row>
    <row r="585" spans="1:6">
      <c r="A585">
        <v>3787561</v>
      </c>
      <c r="C585">
        <v>46133</v>
      </c>
      <c r="D585" t="s">
        <v>2821</v>
      </c>
      <c r="E585" t="s">
        <v>2822</v>
      </c>
      <c r="F585">
        <v>10260</v>
      </c>
    </row>
    <row r="586" spans="1:6">
      <c r="A586">
        <v>3787562</v>
      </c>
      <c r="C586">
        <v>46133</v>
      </c>
      <c r="D586" t="s">
        <v>2821</v>
      </c>
      <c r="E586" t="s">
        <v>2828</v>
      </c>
      <c r="F586">
        <v>10260</v>
      </c>
    </row>
    <row r="587" spans="1:6">
      <c r="A587">
        <v>3787563</v>
      </c>
      <c r="C587">
        <v>46133</v>
      </c>
      <c r="D587" t="s">
        <v>2821</v>
      </c>
      <c r="E587" t="s">
        <v>2828</v>
      </c>
      <c r="F587">
        <v>10260</v>
      </c>
    </row>
    <row r="588" spans="1:6">
      <c r="A588">
        <v>3787564</v>
      </c>
      <c r="C588">
        <v>46133</v>
      </c>
      <c r="D588" t="s">
        <v>2821</v>
      </c>
      <c r="E588" t="s">
        <v>2828</v>
      </c>
      <c r="F588">
        <v>10260</v>
      </c>
    </row>
    <row r="589" spans="1:6">
      <c r="A589">
        <v>3787565</v>
      </c>
      <c r="C589">
        <v>46134</v>
      </c>
      <c r="D589" t="s">
        <v>107</v>
      </c>
      <c r="E589" t="s">
        <v>2831</v>
      </c>
      <c r="F589">
        <v>10080</v>
      </c>
    </row>
    <row r="590" spans="1:6">
      <c r="A590">
        <v>3787566</v>
      </c>
      <c r="C590">
        <v>46134</v>
      </c>
      <c r="D590" t="s">
        <v>107</v>
      </c>
      <c r="E590" t="s">
        <v>2831</v>
      </c>
      <c r="F590">
        <v>10080</v>
      </c>
    </row>
    <row r="591" spans="1:6">
      <c r="A591">
        <v>3787567</v>
      </c>
      <c r="C591">
        <v>46134</v>
      </c>
      <c r="D591" t="s">
        <v>107</v>
      </c>
      <c r="E591" t="s">
        <v>2831</v>
      </c>
      <c r="F591">
        <v>10080</v>
      </c>
    </row>
    <row r="592" spans="1:6">
      <c r="A592">
        <v>3787568</v>
      </c>
      <c r="C592">
        <v>46134</v>
      </c>
      <c r="D592" t="s">
        <v>107</v>
      </c>
      <c r="E592" t="s">
        <v>2831</v>
      </c>
      <c r="F592">
        <v>10080</v>
      </c>
    </row>
    <row r="593" spans="1:6">
      <c r="A593">
        <v>3787569</v>
      </c>
      <c r="C593">
        <v>46134</v>
      </c>
      <c r="D593" t="s">
        <v>118</v>
      </c>
      <c r="E593" t="s">
        <v>2838</v>
      </c>
      <c r="F593">
        <v>10045</v>
      </c>
    </row>
    <row r="594" spans="1:6">
      <c r="A594">
        <v>3787570</v>
      </c>
      <c r="C594">
        <v>46133</v>
      </c>
      <c r="D594" t="s">
        <v>2315</v>
      </c>
      <c r="E594" t="s">
        <v>2840</v>
      </c>
      <c r="F594">
        <v>10080</v>
      </c>
    </row>
    <row r="595" spans="1:6">
      <c r="A595">
        <v>3787571</v>
      </c>
      <c r="C595">
        <v>46136</v>
      </c>
      <c r="D595" t="s">
        <v>2535</v>
      </c>
      <c r="E595" t="s">
        <v>2844</v>
      </c>
      <c r="F595">
        <v>10010</v>
      </c>
    </row>
    <row r="596" spans="1:6">
      <c r="A596">
        <v>3787572</v>
      </c>
      <c r="C596">
        <v>46136</v>
      </c>
      <c r="D596" t="s">
        <v>2708</v>
      </c>
      <c r="E596" t="s">
        <v>2846</v>
      </c>
      <c r="F596">
        <v>10260</v>
      </c>
    </row>
    <row r="597" spans="1:6">
      <c r="A597">
        <v>3787573</v>
      </c>
      <c r="C597">
        <v>46139</v>
      </c>
      <c r="D597" t="s">
        <v>1795</v>
      </c>
      <c r="E597" t="s">
        <v>3127</v>
      </c>
      <c r="F597">
        <v>10260</v>
      </c>
    </row>
    <row r="598" spans="1:6">
      <c r="A598">
        <v>3787574</v>
      </c>
      <c r="C598">
        <v>46139</v>
      </c>
      <c r="D598" t="s">
        <v>1795</v>
      </c>
      <c r="E598" t="s">
        <v>3127</v>
      </c>
      <c r="F598">
        <v>10260</v>
      </c>
    </row>
    <row r="599" spans="1:6">
      <c r="A599">
        <v>3787575</v>
      </c>
      <c r="C599">
        <v>46140</v>
      </c>
      <c r="D599" t="s">
        <v>2856</v>
      </c>
      <c r="E599" t="s">
        <v>2857</v>
      </c>
      <c r="F599">
        <v>10030</v>
      </c>
    </row>
    <row r="600" spans="1:6">
      <c r="A600">
        <v>3787576</v>
      </c>
      <c r="C600">
        <v>46142</v>
      </c>
      <c r="D600" t="s">
        <v>447</v>
      </c>
      <c r="E600" t="s">
        <v>247</v>
      </c>
      <c r="F600">
        <v>10070</v>
      </c>
    </row>
    <row r="601" spans="1:6">
      <c r="A601">
        <v>3787577</v>
      </c>
      <c r="C601">
        <v>46142</v>
      </c>
      <c r="D601" t="s">
        <v>447</v>
      </c>
      <c r="E601" t="s">
        <v>2862</v>
      </c>
      <c r="F601">
        <v>10040</v>
      </c>
    </row>
    <row r="602" spans="1:6">
      <c r="A602">
        <v>3787578</v>
      </c>
      <c r="C602">
        <v>46142</v>
      </c>
      <c r="D602" t="s">
        <v>260</v>
      </c>
      <c r="E602" t="s">
        <v>2863</v>
      </c>
      <c r="F602">
        <v>10140</v>
      </c>
    </row>
    <row r="603" spans="1:6">
      <c r="A603">
        <v>3787579</v>
      </c>
      <c r="C603">
        <v>46147</v>
      </c>
      <c r="D603" t="s">
        <v>118</v>
      </c>
      <c r="E603" t="s">
        <v>2865</v>
      </c>
      <c r="F603">
        <v>10110</v>
      </c>
    </row>
    <row r="604" spans="1:6">
      <c r="A604">
        <v>3787580</v>
      </c>
      <c r="C604">
        <v>46147</v>
      </c>
      <c r="D604" t="s">
        <v>506</v>
      </c>
      <c r="E604" t="s">
        <v>2868</v>
      </c>
      <c r="F604">
        <v>10070</v>
      </c>
    </row>
    <row r="605" spans="1:6">
      <c r="A605">
        <v>3787581</v>
      </c>
      <c r="C605">
        <v>46147</v>
      </c>
      <c r="D605" t="s">
        <v>506</v>
      </c>
      <c r="E605" t="s">
        <v>2868</v>
      </c>
      <c r="F605">
        <v>10070</v>
      </c>
    </row>
    <row r="606" spans="1:6">
      <c r="A606">
        <v>3787582</v>
      </c>
      <c r="C606">
        <v>46147</v>
      </c>
      <c r="D606" t="s">
        <v>260</v>
      </c>
      <c r="E606" t="s">
        <v>3128</v>
      </c>
      <c r="F606">
        <v>10040</v>
      </c>
    </row>
    <row r="607" spans="1:6">
      <c r="A607">
        <v>3787583</v>
      </c>
      <c r="C607">
        <v>46147</v>
      </c>
      <c r="D607" t="s">
        <v>260</v>
      </c>
      <c r="E607" t="s">
        <v>2879</v>
      </c>
      <c r="F607">
        <v>10140</v>
      </c>
    </row>
    <row r="608" spans="1:6">
      <c r="A608">
        <v>3787587</v>
      </c>
      <c r="C608">
        <v>46147</v>
      </c>
      <c r="D608" t="s">
        <v>260</v>
      </c>
      <c r="E608" t="s">
        <v>2879</v>
      </c>
      <c r="F608">
        <v>10140</v>
      </c>
    </row>
    <row r="609" spans="1:6">
      <c r="A609">
        <v>3787588</v>
      </c>
      <c r="C609">
        <v>46147</v>
      </c>
      <c r="D609" t="s">
        <v>260</v>
      </c>
      <c r="E609" t="s">
        <v>2879</v>
      </c>
      <c r="F609">
        <v>10140</v>
      </c>
    </row>
    <row r="610" spans="1:6">
      <c r="A610">
        <v>3787589</v>
      </c>
      <c r="C610">
        <v>46149</v>
      </c>
      <c r="D610" t="s">
        <v>107</v>
      </c>
      <c r="E610" t="s">
        <v>2769</v>
      </c>
      <c r="F610">
        <v>10150</v>
      </c>
    </row>
    <row r="611" spans="1:6">
      <c r="A611">
        <v>3787590</v>
      </c>
      <c r="C611">
        <v>46149</v>
      </c>
      <c r="D611" t="s">
        <v>107</v>
      </c>
      <c r="E611" t="s">
        <v>2884</v>
      </c>
      <c r="F611">
        <v>10150</v>
      </c>
    </row>
    <row r="612" spans="1:6">
      <c r="A612">
        <v>3787591</v>
      </c>
      <c r="C612">
        <v>46149</v>
      </c>
      <c r="D612" t="s">
        <v>107</v>
      </c>
      <c r="E612" t="s">
        <v>2884</v>
      </c>
      <c r="F612">
        <v>10150</v>
      </c>
    </row>
    <row r="613" spans="1:6">
      <c r="A613">
        <v>3787592</v>
      </c>
      <c r="C613">
        <v>46149</v>
      </c>
      <c r="D613" t="s">
        <v>2888</v>
      </c>
      <c r="E613" t="s">
        <v>120</v>
      </c>
      <c r="F613">
        <v>10070</v>
      </c>
    </row>
    <row r="614" spans="1:6">
      <c r="A614">
        <v>3787593</v>
      </c>
      <c r="C614">
        <v>46149</v>
      </c>
      <c r="D614" t="s">
        <v>2888</v>
      </c>
      <c r="E614" t="s">
        <v>120</v>
      </c>
      <c r="F614">
        <v>10070</v>
      </c>
    </row>
    <row r="615" spans="1:6">
      <c r="A615">
        <v>3787594</v>
      </c>
      <c r="C615">
        <v>46153</v>
      </c>
      <c r="D615" t="s">
        <v>1731</v>
      </c>
      <c r="E615" t="s">
        <v>2683</v>
      </c>
      <c r="F615">
        <v>10120</v>
      </c>
    </row>
    <row r="616" spans="1:6">
      <c r="A616">
        <v>3787595</v>
      </c>
      <c r="C616">
        <v>46153</v>
      </c>
      <c r="D616" t="s">
        <v>611</v>
      </c>
      <c r="E616" t="s">
        <v>2894</v>
      </c>
      <c r="F616">
        <v>10070</v>
      </c>
    </row>
    <row r="617" spans="1:6">
      <c r="A617">
        <v>3787596</v>
      </c>
      <c r="C617">
        <v>46155</v>
      </c>
      <c r="D617" t="s">
        <v>236</v>
      </c>
      <c r="E617" t="s">
        <v>3129</v>
      </c>
      <c r="F617">
        <v>10070</v>
      </c>
    </row>
    <row r="618" spans="1:6">
      <c r="A618">
        <v>3787597</v>
      </c>
      <c r="C618">
        <v>46155</v>
      </c>
      <c r="D618" t="s">
        <v>107</v>
      </c>
      <c r="E618" t="s">
        <v>3130</v>
      </c>
      <c r="F618">
        <v>10150</v>
      </c>
    </row>
    <row r="619" spans="1:6">
      <c r="A619">
        <v>3787601</v>
      </c>
      <c r="C619">
        <v>46156</v>
      </c>
      <c r="D619" t="s">
        <v>3131</v>
      </c>
      <c r="E619" t="s">
        <v>2900</v>
      </c>
      <c r="F619">
        <v>10060</v>
      </c>
    </row>
    <row r="620" spans="1:6">
      <c r="A620">
        <v>3787602</v>
      </c>
      <c r="C620">
        <v>46163</v>
      </c>
      <c r="D620" t="s">
        <v>611</v>
      </c>
      <c r="E620" t="s">
        <v>2903</v>
      </c>
      <c r="F620">
        <v>10070</v>
      </c>
    </row>
    <row r="621" spans="1:6">
      <c r="A621">
        <v>3787603</v>
      </c>
      <c r="C621">
        <v>46164</v>
      </c>
      <c r="D621" t="s">
        <v>2905</v>
      </c>
      <c r="E621" t="s">
        <v>2906</v>
      </c>
      <c r="F621">
        <v>10140</v>
      </c>
    </row>
    <row r="622" spans="1:6">
      <c r="A622">
        <v>3787604</v>
      </c>
      <c r="C622">
        <v>46170</v>
      </c>
      <c r="D622" t="s">
        <v>2315</v>
      </c>
      <c r="E622" t="s">
        <v>3132</v>
      </c>
      <c r="F622">
        <v>10080</v>
      </c>
    </row>
    <row r="623" spans="1:6">
      <c r="A623">
        <v>3787605</v>
      </c>
      <c r="C623">
        <v>46170</v>
      </c>
      <c r="D623" t="s">
        <v>2315</v>
      </c>
      <c r="E623" t="s">
        <v>3132</v>
      </c>
      <c r="F623">
        <v>10080</v>
      </c>
    </row>
    <row r="624" spans="1:6">
      <c r="A624">
        <v>3787606</v>
      </c>
      <c r="C624">
        <v>46170</v>
      </c>
      <c r="D624" t="s">
        <v>2315</v>
      </c>
      <c r="E624" t="s">
        <v>3132</v>
      </c>
      <c r="F624">
        <v>10080</v>
      </c>
    </row>
    <row r="625" spans="1:6">
      <c r="A625">
        <v>3787607</v>
      </c>
      <c r="C625">
        <v>46170</v>
      </c>
      <c r="D625" t="s">
        <v>2315</v>
      </c>
      <c r="E625" t="s">
        <v>3132</v>
      </c>
      <c r="F625">
        <v>10080</v>
      </c>
    </row>
    <row r="626" spans="1:6">
      <c r="A626">
        <v>3787608</v>
      </c>
      <c r="C626">
        <v>46175</v>
      </c>
      <c r="D626" t="s">
        <v>916</v>
      </c>
      <c r="E626" t="s">
        <v>2912</v>
      </c>
      <c r="F626">
        <v>10140</v>
      </c>
    </row>
    <row r="627" spans="1:6">
      <c r="A627">
        <v>3787609</v>
      </c>
      <c r="C627">
        <v>46175</v>
      </c>
      <c r="D627" t="s">
        <v>1824</v>
      </c>
      <c r="E627" t="s">
        <v>2915</v>
      </c>
      <c r="F627">
        <v>10040</v>
      </c>
    </row>
    <row r="628" spans="1:6">
      <c r="A628">
        <v>3787610</v>
      </c>
      <c r="C628">
        <v>46175</v>
      </c>
      <c r="D628" t="s">
        <v>916</v>
      </c>
      <c r="E628" t="s">
        <v>2912</v>
      </c>
      <c r="F628">
        <v>10140</v>
      </c>
    </row>
    <row r="629" spans="1:6">
      <c r="A629">
        <v>3787611</v>
      </c>
      <c r="C629">
        <v>46175</v>
      </c>
      <c r="D629" t="s">
        <v>916</v>
      </c>
      <c r="E629" t="s">
        <v>2912</v>
      </c>
      <c r="F629">
        <v>10140</v>
      </c>
    </row>
    <row r="630" spans="1:6">
      <c r="A630">
        <v>3787612</v>
      </c>
      <c r="C630">
        <v>46175</v>
      </c>
      <c r="D630" t="s">
        <v>916</v>
      </c>
      <c r="E630" t="s">
        <v>2912</v>
      </c>
      <c r="F630">
        <v>10140</v>
      </c>
    </row>
    <row r="631" spans="1:6">
      <c r="A631">
        <v>3787613</v>
      </c>
      <c r="C631">
        <v>46175</v>
      </c>
      <c r="D631" t="s">
        <v>916</v>
      </c>
      <c r="E631" t="s">
        <v>2912</v>
      </c>
      <c r="F631">
        <v>10140</v>
      </c>
    </row>
    <row r="632" spans="1:6">
      <c r="A632">
        <v>3787614</v>
      </c>
      <c r="C632">
        <v>46177</v>
      </c>
      <c r="D632" t="s">
        <v>447</v>
      </c>
      <c r="E632" t="s">
        <v>2922</v>
      </c>
      <c r="F632">
        <v>10070</v>
      </c>
    </row>
    <row r="633" spans="1:6">
      <c r="A633">
        <v>3787615</v>
      </c>
      <c r="C633">
        <v>46177</v>
      </c>
      <c r="D633" t="s">
        <v>447</v>
      </c>
      <c r="E633" t="s">
        <v>2925</v>
      </c>
      <c r="F633">
        <v>10040</v>
      </c>
    </row>
    <row r="634" spans="1:6">
      <c r="A634">
        <v>3787616</v>
      </c>
      <c r="C634">
        <v>46177</v>
      </c>
      <c r="D634" t="s">
        <v>2926</v>
      </c>
      <c r="E634" t="s">
        <v>3133</v>
      </c>
      <c r="F634">
        <v>10010</v>
      </c>
    </row>
    <row r="635" spans="1:6">
      <c r="A635">
        <v>3787617</v>
      </c>
      <c r="C635">
        <v>46177</v>
      </c>
      <c r="D635" t="s">
        <v>2926</v>
      </c>
      <c r="E635" t="s">
        <v>3134</v>
      </c>
      <c r="F635">
        <v>10020</v>
      </c>
    </row>
    <row r="636" spans="1:6">
      <c r="A636">
        <v>3787618</v>
      </c>
      <c r="C636">
        <v>46177</v>
      </c>
      <c r="D636" t="s">
        <v>506</v>
      </c>
      <c r="E636" t="s">
        <v>2931</v>
      </c>
      <c r="F636">
        <v>10070</v>
      </c>
    </row>
    <row r="637" spans="1:6">
      <c r="A637">
        <v>3787619</v>
      </c>
      <c r="C637">
        <v>46177</v>
      </c>
      <c r="D637" t="s">
        <v>2926</v>
      </c>
      <c r="E637" t="s">
        <v>3135</v>
      </c>
      <c r="F637">
        <v>10010</v>
      </c>
    </row>
    <row r="638" spans="1:6">
      <c r="A638">
        <v>3787620</v>
      </c>
      <c r="C638">
        <v>46178</v>
      </c>
      <c r="D638" t="s">
        <v>236</v>
      </c>
      <c r="E638" t="s">
        <v>120</v>
      </c>
      <c r="F638">
        <v>10070</v>
      </c>
    </row>
    <row r="639" spans="1:6">
      <c r="A639">
        <v>3787621</v>
      </c>
      <c r="C639">
        <v>46178</v>
      </c>
      <c r="D639" t="s">
        <v>236</v>
      </c>
      <c r="E639" t="s">
        <v>120</v>
      </c>
      <c r="F639">
        <v>10070</v>
      </c>
    </row>
    <row r="640" spans="1:6">
      <c r="A640">
        <v>3787622</v>
      </c>
      <c r="C640">
        <v>46181</v>
      </c>
      <c r="D640" t="s">
        <v>2535</v>
      </c>
      <c r="E640" t="s">
        <v>2940</v>
      </c>
      <c r="F640">
        <v>10080</v>
      </c>
    </row>
    <row r="641" spans="1:6">
      <c r="A641">
        <v>3787623</v>
      </c>
      <c r="C641">
        <v>46181</v>
      </c>
      <c r="D641" t="s">
        <v>2535</v>
      </c>
      <c r="E641" t="s">
        <v>2940</v>
      </c>
      <c r="F641">
        <v>10080</v>
      </c>
    </row>
    <row r="642" spans="1:6">
      <c r="A642">
        <v>3787624</v>
      </c>
      <c r="C642">
        <v>46181</v>
      </c>
      <c r="D642" t="s">
        <v>2535</v>
      </c>
      <c r="E642" t="s">
        <v>2940</v>
      </c>
      <c r="F642">
        <v>10080</v>
      </c>
    </row>
    <row r="643" spans="1:6">
      <c r="A643">
        <v>3787625</v>
      </c>
      <c r="C643">
        <v>46181</v>
      </c>
      <c r="D643" t="s">
        <v>2535</v>
      </c>
      <c r="E643" t="s">
        <v>2940</v>
      </c>
      <c r="F643">
        <v>10080</v>
      </c>
    </row>
    <row r="644" spans="1:6">
      <c r="A644">
        <v>3787626</v>
      </c>
      <c r="C644">
        <v>46181</v>
      </c>
      <c r="D644" t="s">
        <v>2535</v>
      </c>
      <c r="E644" t="s">
        <v>2940</v>
      </c>
      <c r="F644">
        <v>10080</v>
      </c>
    </row>
    <row r="645" spans="1:6">
      <c r="A645">
        <v>3787627</v>
      </c>
      <c r="C645">
        <v>46181</v>
      </c>
      <c r="D645" t="s">
        <v>2535</v>
      </c>
      <c r="E645" t="s">
        <v>2940</v>
      </c>
      <c r="F645">
        <v>10080</v>
      </c>
    </row>
    <row r="646" spans="1:6">
      <c r="A646">
        <v>3787628</v>
      </c>
      <c r="C646">
        <v>46181</v>
      </c>
      <c r="D646" t="s">
        <v>118</v>
      </c>
      <c r="E646" t="s">
        <v>2947</v>
      </c>
      <c r="F646">
        <v>10120</v>
      </c>
    </row>
    <row r="647" spans="1:6">
      <c r="A647">
        <v>3787629</v>
      </c>
      <c r="C647">
        <v>46182</v>
      </c>
      <c r="D647" t="s">
        <v>236</v>
      </c>
      <c r="E647" t="s">
        <v>247</v>
      </c>
      <c r="F647">
        <v>10070</v>
      </c>
    </row>
    <row r="648" spans="1:6">
      <c r="A648">
        <v>3787630</v>
      </c>
      <c r="C648">
        <v>46190</v>
      </c>
      <c r="D648" t="s">
        <v>909</v>
      </c>
      <c r="E648" t="s">
        <v>2953</v>
      </c>
      <c r="F648">
        <v>10070</v>
      </c>
    </row>
    <row r="649" spans="1:6">
      <c r="A649">
        <v>3787632</v>
      </c>
      <c r="C649">
        <v>46197</v>
      </c>
      <c r="D649" t="s">
        <v>2954</v>
      </c>
      <c r="E649" t="s">
        <v>2955</v>
      </c>
      <c r="F649">
        <v>10140</v>
      </c>
    </row>
    <row r="650" spans="1:6">
      <c r="A650">
        <v>3787633</v>
      </c>
      <c r="C650">
        <v>46197</v>
      </c>
      <c r="D650" t="s">
        <v>2954</v>
      </c>
      <c r="E650" t="s">
        <v>2955</v>
      </c>
      <c r="F650">
        <v>10140</v>
      </c>
    </row>
    <row r="651" spans="1:6">
      <c r="A651">
        <v>3787634</v>
      </c>
      <c r="C651">
        <v>46197</v>
      </c>
      <c r="D651" t="s">
        <v>2315</v>
      </c>
      <c r="E651" t="s">
        <v>3136</v>
      </c>
      <c r="F651">
        <v>10150</v>
      </c>
    </row>
    <row r="652" spans="1:6">
      <c r="A652">
        <v>3787635</v>
      </c>
      <c r="C652">
        <v>46199</v>
      </c>
      <c r="D652" t="s">
        <v>1285</v>
      </c>
      <c r="E652" t="s">
        <v>2957</v>
      </c>
      <c r="F652">
        <v>10070</v>
      </c>
    </row>
    <row r="653" spans="1:6">
      <c r="A653">
        <v>3787656</v>
      </c>
      <c r="C653">
        <v>46220</v>
      </c>
      <c r="D653" t="s">
        <v>506</v>
      </c>
      <c r="E653" t="s">
        <v>2960</v>
      </c>
      <c r="F653">
        <v>10020</v>
      </c>
    </row>
    <row r="654" spans="1:6">
      <c r="A654">
        <v>3787657</v>
      </c>
      <c r="C654">
        <v>46220</v>
      </c>
      <c r="D654" t="s">
        <v>506</v>
      </c>
      <c r="E654" t="s">
        <v>2964</v>
      </c>
      <c r="F654">
        <v>10010</v>
      </c>
    </row>
    <row r="655" spans="1:6">
      <c r="A655">
        <v>3787659</v>
      </c>
      <c r="C655">
        <v>46225</v>
      </c>
      <c r="D655" t="s">
        <v>118</v>
      </c>
      <c r="E655" t="s">
        <v>2967</v>
      </c>
      <c r="F655">
        <v>10045</v>
      </c>
    </row>
    <row r="656" spans="1:6">
      <c r="A656">
        <v>3787660</v>
      </c>
      <c r="C656">
        <v>46225</v>
      </c>
      <c r="D656" t="s">
        <v>118</v>
      </c>
      <c r="E656" t="s">
        <v>2967</v>
      </c>
      <c r="F656">
        <v>10045</v>
      </c>
    </row>
    <row r="657" spans="1:6">
      <c r="A657">
        <v>3787661</v>
      </c>
      <c r="C657">
        <v>46225</v>
      </c>
      <c r="D657" t="s">
        <v>118</v>
      </c>
      <c r="E657" t="s">
        <v>2967</v>
      </c>
      <c r="F657">
        <v>10045</v>
      </c>
    </row>
    <row r="658" spans="1:6">
      <c r="A658">
        <v>3787666</v>
      </c>
      <c r="C658">
        <v>46231</v>
      </c>
      <c r="D658" t="s">
        <v>2888</v>
      </c>
      <c r="E658" t="s">
        <v>3137</v>
      </c>
      <c r="F658">
        <v>10070</v>
      </c>
    </row>
    <row r="659" spans="1:6">
      <c r="A659">
        <v>3787669</v>
      </c>
      <c r="C659">
        <v>46232</v>
      </c>
      <c r="D659" t="s">
        <v>118</v>
      </c>
      <c r="E659" t="s">
        <v>2972</v>
      </c>
      <c r="F659">
        <v>10310</v>
      </c>
    </row>
    <row r="660" spans="1:6">
      <c r="A660">
        <v>3787670</v>
      </c>
      <c r="B660" t="s">
        <v>3138</v>
      </c>
      <c r="C660">
        <v>46237</v>
      </c>
      <c r="D660" t="s">
        <v>2888</v>
      </c>
      <c r="E660" t="s">
        <v>3139</v>
      </c>
      <c r="F660">
        <v>10070</v>
      </c>
    </row>
    <row r="661" spans="1:6">
      <c r="A661">
        <v>3787675</v>
      </c>
      <c r="B661" t="s">
        <v>3140</v>
      </c>
      <c r="C661">
        <v>46240</v>
      </c>
      <c r="D661" t="s">
        <v>118</v>
      </c>
      <c r="E661" t="s">
        <v>2978</v>
      </c>
      <c r="F661">
        <v>10045</v>
      </c>
    </row>
    <row r="662" spans="1:6">
      <c r="A662">
        <v>3787676</v>
      </c>
      <c r="B662" t="s">
        <v>3141</v>
      </c>
      <c r="C662">
        <v>46240</v>
      </c>
      <c r="D662" t="s">
        <v>118</v>
      </c>
      <c r="E662" t="s">
        <v>2978</v>
      </c>
      <c r="F662">
        <v>10045</v>
      </c>
    </row>
    <row r="663" spans="1:6">
      <c r="A663">
        <v>3787677</v>
      </c>
      <c r="B663" t="s">
        <v>3142</v>
      </c>
      <c r="C663">
        <v>46240</v>
      </c>
      <c r="D663" t="s">
        <v>236</v>
      </c>
      <c r="E663" t="s">
        <v>2981</v>
      </c>
      <c r="F663">
        <v>10060</v>
      </c>
    </row>
    <row r="664" spans="1:6">
      <c r="A664">
        <v>3787678</v>
      </c>
      <c r="B664" t="s">
        <v>3143</v>
      </c>
      <c r="C664">
        <v>46240</v>
      </c>
      <c r="D664" t="s">
        <v>506</v>
      </c>
      <c r="E664" t="s">
        <v>2985</v>
      </c>
      <c r="F664">
        <v>10070</v>
      </c>
    </row>
    <row r="665" spans="1:6">
      <c r="A665">
        <v>3787679</v>
      </c>
      <c r="B665">
        <v>41751</v>
      </c>
      <c r="C665">
        <v>46244</v>
      </c>
      <c r="D665" t="s">
        <v>1285</v>
      </c>
      <c r="E665" t="s">
        <v>2986</v>
      </c>
      <c r="F665">
        <v>10060</v>
      </c>
    </row>
    <row r="666" spans="1:6">
      <c r="A666">
        <v>3787680</v>
      </c>
      <c r="B666" t="s">
        <v>3144</v>
      </c>
      <c r="C666">
        <v>46246</v>
      </c>
      <c r="D666" t="s">
        <v>447</v>
      </c>
      <c r="E666" t="s">
        <v>2988</v>
      </c>
      <c r="F666">
        <v>10040</v>
      </c>
    </row>
    <row r="667" spans="1:6">
      <c r="A667">
        <v>3787681</v>
      </c>
      <c r="B667" t="s">
        <v>3145</v>
      </c>
      <c r="C667">
        <v>46254</v>
      </c>
      <c r="D667" t="s">
        <v>506</v>
      </c>
      <c r="E667" t="s">
        <v>2992</v>
      </c>
      <c r="F667">
        <v>10070</v>
      </c>
    </row>
    <row r="668" spans="1:6">
      <c r="A668">
        <v>3787682</v>
      </c>
      <c r="B668">
        <v>10013160</v>
      </c>
      <c r="C668">
        <v>46255</v>
      </c>
      <c r="D668" t="s">
        <v>1152</v>
      </c>
      <c r="E668" t="s">
        <v>2994</v>
      </c>
      <c r="F668">
        <v>10070</v>
      </c>
    </row>
    <row r="669" spans="1:6">
      <c r="A669">
        <v>3787683</v>
      </c>
      <c r="B669">
        <v>41870</v>
      </c>
      <c r="C669">
        <v>46255</v>
      </c>
      <c r="D669" t="s">
        <v>2164</v>
      </c>
      <c r="E669" t="s">
        <v>2996</v>
      </c>
      <c r="F669">
        <v>10060</v>
      </c>
    </row>
    <row r="670" spans="1:6">
      <c r="A670">
        <v>3787684</v>
      </c>
      <c r="B670">
        <v>41871</v>
      </c>
      <c r="C670">
        <v>46255</v>
      </c>
      <c r="D670" t="s">
        <v>2164</v>
      </c>
      <c r="E670" t="s">
        <v>2997</v>
      </c>
      <c r="F670">
        <v>10070</v>
      </c>
    </row>
    <row r="671" spans="1:6">
      <c r="A671">
        <v>3787685</v>
      </c>
      <c r="B671" t="s">
        <v>3146</v>
      </c>
      <c r="C671">
        <v>46255</v>
      </c>
      <c r="D671" t="s">
        <v>2315</v>
      </c>
      <c r="E671" t="s">
        <v>2998</v>
      </c>
      <c r="F671">
        <v>10080</v>
      </c>
    </row>
    <row r="672" spans="1:6">
      <c r="A672">
        <v>3787686</v>
      </c>
      <c r="C672">
        <v>46260</v>
      </c>
      <c r="D672" t="s">
        <v>118</v>
      </c>
      <c r="E672" t="s">
        <v>3001</v>
      </c>
      <c r="F672">
        <v>10110</v>
      </c>
    </row>
    <row r="673" spans="1:6">
      <c r="A673">
        <v>3787687</v>
      </c>
      <c r="C673">
        <v>46260</v>
      </c>
      <c r="D673" t="s">
        <v>118</v>
      </c>
      <c r="E673" t="s">
        <v>3001</v>
      </c>
      <c r="F673">
        <v>10110</v>
      </c>
    </row>
    <row r="674" spans="1:6">
      <c r="A674">
        <v>3787688</v>
      </c>
      <c r="B674" t="s">
        <v>3147</v>
      </c>
      <c r="C674">
        <v>46261</v>
      </c>
      <c r="D674" t="s">
        <v>236</v>
      </c>
      <c r="E674" t="s">
        <v>3003</v>
      </c>
      <c r="F674">
        <v>10110</v>
      </c>
    </row>
    <row r="675" spans="1:6">
      <c r="A675">
        <v>3787689</v>
      </c>
      <c r="C675">
        <v>46262</v>
      </c>
      <c r="D675" t="s">
        <v>1234</v>
      </c>
      <c r="E675" t="s">
        <v>3006</v>
      </c>
      <c r="F675">
        <v>10120</v>
      </c>
    </row>
    <row r="676" spans="1:6">
      <c r="A676">
        <v>3787690</v>
      </c>
      <c r="B676" t="s">
        <v>3148</v>
      </c>
      <c r="C676">
        <v>46266</v>
      </c>
      <c r="D676" t="s">
        <v>118</v>
      </c>
      <c r="E676" t="s">
        <v>3007</v>
      </c>
      <c r="F676">
        <v>10310</v>
      </c>
    </row>
    <row r="677" spans="1:6">
      <c r="A677">
        <v>3787691</v>
      </c>
      <c r="C677">
        <v>46266</v>
      </c>
      <c r="D677" t="s">
        <v>118</v>
      </c>
      <c r="E677" t="s">
        <v>3008</v>
      </c>
      <c r="F677">
        <v>10120</v>
      </c>
    </row>
    <row r="678" spans="1:6">
      <c r="A678">
        <v>3787692</v>
      </c>
      <c r="C678">
        <v>46266</v>
      </c>
      <c r="D678" t="s">
        <v>118</v>
      </c>
      <c r="E678" t="s">
        <v>3009</v>
      </c>
      <c r="F678">
        <v>10120</v>
      </c>
    </row>
    <row r="679" spans="1:6">
      <c r="A679">
        <v>3787693</v>
      </c>
      <c r="C679">
        <v>46267</v>
      </c>
      <c r="D679" t="s">
        <v>1220</v>
      </c>
      <c r="E679" t="s">
        <v>3011</v>
      </c>
      <c r="F679">
        <v>10040</v>
      </c>
    </row>
    <row r="680" spans="1:6">
      <c r="A680">
        <v>3787694</v>
      </c>
      <c r="C680">
        <v>46267</v>
      </c>
      <c r="D680" t="s">
        <v>1220</v>
      </c>
      <c r="E680" t="s">
        <v>3016</v>
      </c>
      <c r="F680">
        <v>10040</v>
      </c>
    </row>
    <row r="681" spans="1:6">
      <c r="A681">
        <v>3787698</v>
      </c>
      <c r="C681">
        <v>46276</v>
      </c>
      <c r="D681" t="s">
        <v>236</v>
      </c>
      <c r="E681" t="s">
        <v>3018</v>
      </c>
      <c r="F681">
        <v>10060</v>
      </c>
    </row>
    <row r="682" spans="1:6">
      <c r="A682">
        <v>3787699</v>
      </c>
      <c r="C682">
        <v>46276</v>
      </c>
      <c r="D682" t="s">
        <v>3019</v>
      </c>
      <c r="E682" t="s">
        <v>3020</v>
      </c>
      <c r="F682">
        <v>10140</v>
      </c>
    </row>
    <row r="683" spans="1:6">
      <c r="A683">
        <v>3787700</v>
      </c>
      <c r="C683">
        <v>46279</v>
      </c>
      <c r="D683" t="s">
        <v>1356</v>
      </c>
      <c r="E683" t="s">
        <v>3022</v>
      </c>
      <c r="F683">
        <v>10030</v>
      </c>
    </row>
    <row r="684" spans="1:6">
      <c r="A684">
        <v>3787701</v>
      </c>
      <c r="C684">
        <v>46279</v>
      </c>
      <c r="D684" t="s">
        <v>1356</v>
      </c>
      <c r="E684" t="s">
        <v>3025</v>
      </c>
      <c r="F684">
        <v>10060</v>
      </c>
    </row>
    <row r="685" spans="1:6">
      <c r="A685">
        <v>3787702</v>
      </c>
      <c r="C685">
        <v>46279</v>
      </c>
      <c r="D685" t="s">
        <v>1356</v>
      </c>
      <c r="E685" t="s">
        <v>3026</v>
      </c>
      <c r="F685">
        <v>10110</v>
      </c>
    </row>
    <row r="686" spans="1:6">
      <c r="A686">
        <v>3787703</v>
      </c>
      <c r="C686">
        <v>46279</v>
      </c>
      <c r="D686" t="s">
        <v>1356</v>
      </c>
      <c r="E686" t="s">
        <v>3027</v>
      </c>
      <c r="F686">
        <v>10110</v>
      </c>
    </row>
    <row r="687" spans="1:6">
      <c r="A687">
        <v>3787705</v>
      </c>
      <c r="C687">
        <v>46280</v>
      </c>
      <c r="D687" t="s">
        <v>118</v>
      </c>
      <c r="E687" t="s">
        <v>3149</v>
      </c>
      <c r="F687">
        <v>10077</v>
      </c>
    </row>
    <row r="688" spans="1:6">
      <c r="A688">
        <v>3787706</v>
      </c>
      <c r="C688">
        <v>46282</v>
      </c>
      <c r="D688" t="s">
        <v>2856</v>
      </c>
      <c r="E688" t="s">
        <v>3030</v>
      </c>
      <c r="F688">
        <v>10060</v>
      </c>
    </row>
    <row r="689" spans="1:6">
      <c r="A689">
        <v>3787707</v>
      </c>
      <c r="C689">
        <v>46283</v>
      </c>
      <c r="D689" t="s">
        <v>506</v>
      </c>
      <c r="E689" t="s">
        <v>3031</v>
      </c>
      <c r="F689">
        <v>10070</v>
      </c>
    </row>
    <row r="690" spans="1:6">
      <c r="A690">
        <v>3787708</v>
      </c>
      <c r="C690">
        <v>46283</v>
      </c>
      <c r="D690" t="s">
        <v>506</v>
      </c>
      <c r="E690" t="s">
        <v>3031</v>
      </c>
      <c r="F690">
        <v>10070</v>
      </c>
    </row>
    <row r="691" spans="1:6">
      <c r="A691">
        <v>3787710</v>
      </c>
      <c r="B691" t="s">
        <v>3150</v>
      </c>
      <c r="C691">
        <v>46302</v>
      </c>
      <c r="D691" t="s">
        <v>118</v>
      </c>
      <c r="E691" t="s">
        <v>3151</v>
      </c>
      <c r="F691">
        <v>10310</v>
      </c>
    </row>
    <row r="692" spans="1:6">
      <c r="A692">
        <v>3787711</v>
      </c>
      <c r="C692">
        <v>46303</v>
      </c>
      <c r="D692" t="s">
        <v>611</v>
      </c>
      <c r="E692" t="s">
        <v>3152</v>
      </c>
      <c r="F692">
        <v>10060</v>
      </c>
    </row>
    <row r="693" spans="1:6">
      <c r="A693">
        <v>3787713</v>
      </c>
      <c r="C693">
        <v>46303</v>
      </c>
      <c r="D693" t="s">
        <v>118</v>
      </c>
      <c r="E693" t="s">
        <v>3034</v>
      </c>
      <c r="F693">
        <v>10310</v>
      </c>
    </row>
    <row r="694" spans="1:6">
      <c r="A694">
        <v>3787714</v>
      </c>
      <c r="C694">
        <v>46304</v>
      </c>
      <c r="D694" t="s">
        <v>916</v>
      </c>
      <c r="E694" t="s">
        <v>3035</v>
      </c>
      <c r="F694">
        <v>10060</v>
      </c>
    </row>
    <row r="695" spans="1:6">
      <c r="A695">
        <v>3787715</v>
      </c>
      <c r="C695">
        <v>46307</v>
      </c>
      <c r="D695" t="s">
        <v>294</v>
      </c>
      <c r="E695" t="s">
        <v>3037</v>
      </c>
      <c r="F695">
        <v>10070</v>
      </c>
    </row>
    <row r="696" spans="1:6">
      <c r="A696">
        <v>3787716</v>
      </c>
      <c r="C696">
        <v>46308</v>
      </c>
      <c r="D696" t="s">
        <v>3153</v>
      </c>
      <c r="E696" t="s">
        <v>3038</v>
      </c>
      <c r="F696">
        <v>10310</v>
      </c>
    </row>
    <row r="697" spans="1:6">
      <c r="A697">
        <v>3787720</v>
      </c>
      <c r="C697">
        <v>46314</v>
      </c>
      <c r="D697" t="s">
        <v>3153</v>
      </c>
      <c r="E697" t="s">
        <v>3154</v>
      </c>
      <c r="F697">
        <v>10080</v>
      </c>
    </row>
    <row r="698" spans="1:6">
      <c r="A698">
        <v>3787721</v>
      </c>
      <c r="C698">
        <v>46314</v>
      </c>
      <c r="D698" t="s">
        <v>3153</v>
      </c>
      <c r="E698" t="s">
        <v>3154</v>
      </c>
      <c r="F698">
        <v>10080</v>
      </c>
    </row>
    <row r="699" spans="1:6">
      <c r="A699">
        <v>3787722</v>
      </c>
      <c r="C699">
        <v>46314</v>
      </c>
      <c r="D699" t="s">
        <v>3153</v>
      </c>
      <c r="E699" t="s">
        <v>3154</v>
      </c>
      <c r="F699">
        <v>10080</v>
      </c>
    </row>
    <row r="700" spans="1:6">
      <c r="A700">
        <v>3787723</v>
      </c>
      <c r="C700">
        <v>46314</v>
      </c>
      <c r="D700" t="s">
        <v>3153</v>
      </c>
      <c r="E700" t="s">
        <v>3155</v>
      </c>
      <c r="F700">
        <v>10080</v>
      </c>
    </row>
    <row r="701" spans="1:6">
      <c r="A701">
        <v>3787724</v>
      </c>
      <c r="C701">
        <v>46314</v>
      </c>
      <c r="D701" t="s">
        <v>3153</v>
      </c>
      <c r="E701" t="s">
        <v>3155</v>
      </c>
      <c r="F701">
        <v>10080</v>
      </c>
    </row>
    <row r="702" spans="1:6">
      <c r="A702">
        <v>3787725</v>
      </c>
      <c r="C702">
        <v>46314</v>
      </c>
      <c r="D702" t="s">
        <v>3153</v>
      </c>
      <c r="E702" t="s">
        <v>3156</v>
      </c>
      <c r="F702">
        <v>10110</v>
      </c>
    </row>
    <row r="703" spans="1:6">
      <c r="A703">
        <v>3787726</v>
      </c>
      <c r="C703">
        <v>46314</v>
      </c>
      <c r="D703" t="s">
        <v>3153</v>
      </c>
      <c r="E703" t="s">
        <v>3156</v>
      </c>
      <c r="F703">
        <v>10110</v>
      </c>
    </row>
    <row r="704" spans="1:6">
      <c r="A704">
        <v>3787727</v>
      </c>
      <c r="C704">
        <v>46314</v>
      </c>
      <c r="D704" t="s">
        <v>3153</v>
      </c>
      <c r="E704" t="s">
        <v>3157</v>
      </c>
      <c r="F704">
        <v>10120</v>
      </c>
    </row>
    <row r="705" spans="1:6">
      <c r="A705">
        <v>3787728</v>
      </c>
      <c r="C705">
        <v>46314</v>
      </c>
      <c r="D705" t="s">
        <v>3153</v>
      </c>
      <c r="E705" t="s">
        <v>3157</v>
      </c>
      <c r="F705">
        <v>10120</v>
      </c>
    </row>
    <row r="706" spans="1:6">
      <c r="A706">
        <v>3787729</v>
      </c>
      <c r="C706">
        <v>46314</v>
      </c>
      <c r="D706" t="s">
        <v>3153</v>
      </c>
      <c r="E706" t="s">
        <v>3158</v>
      </c>
      <c r="F706">
        <v>10120</v>
      </c>
    </row>
    <row r="707" spans="1:6">
      <c r="A707">
        <v>3787730</v>
      </c>
      <c r="C707">
        <v>46314</v>
      </c>
      <c r="D707" t="s">
        <v>3153</v>
      </c>
      <c r="E707" t="s">
        <v>3158</v>
      </c>
      <c r="F707">
        <v>10120</v>
      </c>
    </row>
    <row r="708" spans="1:6">
      <c r="A708">
        <v>3787732</v>
      </c>
      <c r="C708">
        <v>46314</v>
      </c>
      <c r="D708" t="s">
        <v>415</v>
      </c>
      <c r="E708" t="s">
        <v>3040</v>
      </c>
      <c r="F708">
        <v>10060</v>
      </c>
    </row>
    <row r="709" spans="1:6">
      <c r="A709">
        <v>3787733</v>
      </c>
      <c r="C709">
        <v>46317</v>
      </c>
      <c r="D709" t="s">
        <v>447</v>
      </c>
      <c r="E709" t="s">
        <v>3042</v>
      </c>
      <c r="F709">
        <v>10070</v>
      </c>
    </row>
    <row r="710" spans="1:6">
      <c r="A710">
        <v>3787734</v>
      </c>
      <c r="C710">
        <v>46317</v>
      </c>
      <c r="D710" t="s">
        <v>236</v>
      </c>
      <c r="E710" t="s">
        <v>3159</v>
      </c>
      <c r="F710">
        <v>10070</v>
      </c>
    </row>
    <row r="711" spans="1:6">
      <c r="A711">
        <v>3787735</v>
      </c>
      <c r="C711">
        <v>46317</v>
      </c>
      <c r="D711" t="s">
        <v>236</v>
      </c>
      <c r="E711" t="s">
        <v>3159</v>
      </c>
      <c r="F711">
        <v>10070</v>
      </c>
    </row>
    <row r="712" spans="1:6">
      <c r="A712">
        <v>3786364</v>
      </c>
      <c r="C712">
        <v>45420</v>
      </c>
      <c r="D712" t="s">
        <v>107</v>
      </c>
      <c r="E712" t="s">
        <v>108</v>
      </c>
      <c r="F712">
        <v>10080</v>
      </c>
    </row>
    <row r="713" spans="1:6">
      <c r="A713">
        <v>3786486</v>
      </c>
      <c r="C713">
        <v>45531</v>
      </c>
      <c r="D713" t="s">
        <v>118</v>
      </c>
      <c r="E713" t="s">
        <v>119</v>
      </c>
      <c r="F713">
        <v>10080</v>
      </c>
    </row>
    <row r="714" spans="1:6">
      <c r="A714">
        <v>3786487</v>
      </c>
      <c r="C714">
        <v>45531</v>
      </c>
      <c r="D714" t="s">
        <v>118</v>
      </c>
      <c r="E714" t="s">
        <v>119</v>
      </c>
      <c r="F714">
        <v>10080</v>
      </c>
    </row>
    <row r="715" spans="1:6">
      <c r="A715">
        <v>3786489</v>
      </c>
      <c r="C715">
        <v>45531</v>
      </c>
      <c r="D715" t="s">
        <v>118</v>
      </c>
      <c r="E715" t="s">
        <v>130</v>
      </c>
      <c r="F715">
        <v>10120</v>
      </c>
    </row>
    <row r="716" spans="1:6">
      <c r="A716">
        <v>3786490</v>
      </c>
      <c r="C716">
        <v>45531</v>
      </c>
      <c r="D716" t="s">
        <v>118</v>
      </c>
      <c r="E716" t="s">
        <v>130</v>
      </c>
      <c r="F716">
        <v>10120</v>
      </c>
    </row>
    <row r="717" spans="1:6">
      <c r="A717">
        <v>3786491</v>
      </c>
      <c r="C717">
        <v>45531</v>
      </c>
      <c r="D717" t="s">
        <v>118</v>
      </c>
      <c r="E717" t="s">
        <v>130</v>
      </c>
      <c r="F717">
        <v>10120</v>
      </c>
    </row>
    <row r="718" spans="1:6">
      <c r="A718">
        <v>3786493</v>
      </c>
      <c r="C718">
        <v>45531</v>
      </c>
      <c r="D718" t="s">
        <v>118</v>
      </c>
      <c r="E718" t="s">
        <v>152</v>
      </c>
      <c r="F718">
        <v>10110</v>
      </c>
    </row>
    <row r="719" spans="1:6">
      <c r="A719">
        <v>3786494</v>
      </c>
      <c r="C719">
        <v>45531</v>
      </c>
      <c r="D719" t="s">
        <v>118</v>
      </c>
      <c r="E719" t="s">
        <v>152</v>
      </c>
      <c r="F719">
        <v>10110</v>
      </c>
    </row>
    <row r="720" spans="1:6">
      <c r="A720">
        <v>3786497</v>
      </c>
      <c r="C720">
        <v>45531</v>
      </c>
      <c r="D720" t="s">
        <v>118</v>
      </c>
      <c r="E720" t="s">
        <v>166</v>
      </c>
      <c r="F720">
        <v>10110</v>
      </c>
    </row>
    <row r="721" spans="1:6">
      <c r="A721">
        <v>3786498</v>
      </c>
      <c r="C721">
        <v>45531</v>
      </c>
      <c r="D721" t="s">
        <v>118</v>
      </c>
      <c r="E721" t="s">
        <v>166</v>
      </c>
      <c r="F721">
        <v>10110</v>
      </c>
    </row>
    <row r="722" spans="1:6">
      <c r="A722">
        <v>3786502</v>
      </c>
      <c r="C722">
        <v>45540</v>
      </c>
      <c r="D722" t="s">
        <v>177</v>
      </c>
      <c r="E722" t="s">
        <v>178</v>
      </c>
      <c r="F722">
        <v>10110</v>
      </c>
    </row>
    <row r="723" spans="1:6">
      <c r="A723">
        <v>3786505</v>
      </c>
      <c r="C723">
        <v>45540</v>
      </c>
      <c r="D723" t="s">
        <v>177</v>
      </c>
      <c r="E723" t="s">
        <v>178</v>
      </c>
      <c r="F723">
        <v>10110</v>
      </c>
    </row>
    <row r="724" spans="1:6">
      <c r="A724">
        <v>3786506</v>
      </c>
      <c r="C724">
        <v>45540</v>
      </c>
      <c r="D724" t="s">
        <v>177</v>
      </c>
      <c r="E724" t="s">
        <v>178</v>
      </c>
      <c r="F724">
        <v>10110</v>
      </c>
    </row>
    <row r="725" spans="1:6">
      <c r="A725">
        <v>3786507</v>
      </c>
      <c r="C725">
        <v>45540</v>
      </c>
      <c r="D725" t="s">
        <v>177</v>
      </c>
      <c r="E725" t="s">
        <v>178</v>
      </c>
      <c r="F725">
        <v>10110</v>
      </c>
    </row>
    <row r="726" spans="1:6">
      <c r="A726">
        <v>3786508</v>
      </c>
      <c r="C726">
        <v>45540</v>
      </c>
      <c r="D726" t="s">
        <v>177</v>
      </c>
      <c r="E726" t="s">
        <v>178</v>
      </c>
      <c r="F726">
        <v>10110</v>
      </c>
    </row>
    <row r="727" spans="1:6">
      <c r="A727">
        <v>3786509</v>
      </c>
      <c r="C727">
        <v>45540</v>
      </c>
      <c r="D727" t="s">
        <v>177</v>
      </c>
      <c r="E727" t="s">
        <v>199</v>
      </c>
      <c r="F727">
        <v>10080</v>
      </c>
    </row>
    <row r="728" spans="1:6">
      <c r="A728">
        <v>3786510</v>
      </c>
      <c r="C728">
        <v>45540</v>
      </c>
      <c r="D728" t="s">
        <v>177</v>
      </c>
      <c r="E728" t="s">
        <v>178</v>
      </c>
      <c r="F728">
        <v>10110</v>
      </c>
    </row>
    <row r="729" spans="1:6">
      <c r="A729">
        <v>3786511</v>
      </c>
      <c r="C729">
        <v>45540</v>
      </c>
      <c r="D729" t="s">
        <v>177</v>
      </c>
      <c r="E729" t="s">
        <v>178</v>
      </c>
      <c r="F729">
        <v>10110</v>
      </c>
    </row>
    <row r="730" spans="1:6">
      <c r="A730">
        <v>3786512</v>
      </c>
      <c r="C730">
        <v>45540</v>
      </c>
      <c r="D730" t="s">
        <v>177</v>
      </c>
      <c r="E730" t="s">
        <v>199</v>
      </c>
      <c r="F730">
        <v>10080</v>
      </c>
    </row>
    <row r="731" spans="1:6">
      <c r="A731">
        <v>3786513</v>
      </c>
      <c r="C731">
        <v>45540</v>
      </c>
      <c r="D731" t="s">
        <v>177</v>
      </c>
      <c r="E731" t="s">
        <v>178</v>
      </c>
      <c r="F731">
        <v>10110</v>
      </c>
    </row>
    <row r="732" spans="1:6">
      <c r="A732">
        <v>3786514</v>
      </c>
      <c r="C732">
        <v>45540</v>
      </c>
      <c r="D732" t="s">
        <v>177</v>
      </c>
      <c r="E732" t="s">
        <v>178</v>
      </c>
      <c r="F732">
        <v>10110</v>
      </c>
    </row>
    <row r="733" spans="1:6">
      <c r="A733">
        <v>3786515</v>
      </c>
      <c r="C733">
        <v>45540</v>
      </c>
      <c r="D733" t="s">
        <v>177</v>
      </c>
      <c r="E733" t="s">
        <v>178</v>
      </c>
      <c r="F733">
        <v>10110</v>
      </c>
    </row>
    <row r="734" spans="1:6">
      <c r="A734">
        <v>3786529</v>
      </c>
      <c r="B734" t="s">
        <v>3160</v>
      </c>
      <c r="C734">
        <v>45560</v>
      </c>
      <c r="D734" t="s">
        <v>118</v>
      </c>
      <c r="E734" t="s">
        <v>217</v>
      </c>
      <c r="F734">
        <v>10110</v>
      </c>
    </row>
    <row r="735" spans="1:6">
      <c r="A735">
        <v>3786530</v>
      </c>
      <c r="B735" t="s">
        <v>216</v>
      </c>
      <c r="C735">
        <v>45560</v>
      </c>
      <c r="D735" t="s">
        <v>118</v>
      </c>
      <c r="E735" t="s">
        <v>217</v>
      </c>
      <c r="F735">
        <v>10110</v>
      </c>
    </row>
    <row r="736" spans="1:6">
      <c r="A736">
        <v>3786533</v>
      </c>
      <c r="B736" t="s">
        <v>221</v>
      </c>
      <c r="C736">
        <v>45560</v>
      </c>
      <c r="D736" t="s">
        <v>118</v>
      </c>
      <c r="E736" t="s">
        <v>223</v>
      </c>
      <c r="F736">
        <v>10110</v>
      </c>
    </row>
    <row r="737" spans="1:6">
      <c r="A737">
        <v>3786536</v>
      </c>
      <c r="B737" t="s">
        <v>226</v>
      </c>
      <c r="C737">
        <v>45560</v>
      </c>
      <c r="D737" t="s">
        <v>118</v>
      </c>
      <c r="E737" t="s">
        <v>227</v>
      </c>
      <c r="F737">
        <v>10080</v>
      </c>
    </row>
    <row r="738" spans="1:6">
      <c r="A738">
        <v>3786538</v>
      </c>
      <c r="C738">
        <v>45566</v>
      </c>
      <c r="D738" t="s">
        <v>230</v>
      </c>
      <c r="E738" t="s">
        <v>231</v>
      </c>
      <c r="F738">
        <v>10080</v>
      </c>
    </row>
    <row r="739" spans="1:6">
      <c r="A739">
        <v>3786539</v>
      </c>
      <c r="C739">
        <v>45566</v>
      </c>
      <c r="D739" t="s">
        <v>230</v>
      </c>
      <c r="E739" t="s">
        <v>231</v>
      </c>
      <c r="F739">
        <v>10080</v>
      </c>
    </row>
    <row r="740" spans="1:6">
      <c r="A740">
        <v>3786541</v>
      </c>
      <c r="B740" t="s">
        <v>3161</v>
      </c>
      <c r="C740">
        <v>45579</v>
      </c>
      <c r="D740" t="s">
        <v>506</v>
      </c>
      <c r="E740" t="s">
        <v>3162</v>
      </c>
      <c r="F740">
        <v>10070</v>
      </c>
    </row>
    <row r="741" spans="1:6">
      <c r="A741">
        <v>3786544</v>
      </c>
      <c r="C741">
        <v>45583</v>
      </c>
      <c r="D741" t="s">
        <v>236</v>
      </c>
      <c r="E741" t="s">
        <v>237</v>
      </c>
      <c r="F741">
        <v>10090</v>
      </c>
    </row>
    <row r="742" spans="1:6">
      <c r="A742">
        <v>3786545</v>
      </c>
      <c r="C742">
        <v>45583</v>
      </c>
      <c r="D742" t="s">
        <v>236</v>
      </c>
      <c r="E742" t="s">
        <v>237</v>
      </c>
      <c r="F742">
        <v>10090</v>
      </c>
    </row>
    <row r="743" spans="1:6">
      <c r="A743">
        <v>3786546</v>
      </c>
      <c r="C743">
        <v>45583</v>
      </c>
      <c r="D743" t="s">
        <v>236</v>
      </c>
      <c r="E743" t="s">
        <v>247</v>
      </c>
      <c r="F743">
        <v>10080</v>
      </c>
    </row>
    <row r="744" spans="1:6">
      <c r="A744">
        <v>3786547</v>
      </c>
      <c r="C744">
        <v>45590</v>
      </c>
      <c r="D744" t="s">
        <v>506</v>
      </c>
      <c r="E744" t="s">
        <v>3163</v>
      </c>
      <c r="F744">
        <v>10070</v>
      </c>
    </row>
    <row r="745" spans="1:6">
      <c r="A745">
        <v>3786549</v>
      </c>
      <c r="C745">
        <v>45595</v>
      </c>
      <c r="D745" t="s">
        <v>236</v>
      </c>
      <c r="E745" t="s">
        <v>251</v>
      </c>
      <c r="F745">
        <v>10090</v>
      </c>
    </row>
    <row r="746" spans="1:6">
      <c r="A746">
        <v>3786550</v>
      </c>
      <c r="C746">
        <v>45595</v>
      </c>
      <c r="D746" t="s">
        <v>236</v>
      </c>
      <c r="E746" t="s">
        <v>251</v>
      </c>
      <c r="F746">
        <v>10090</v>
      </c>
    </row>
    <row r="747" spans="1:6">
      <c r="A747">
        <v>3786551</v>
      </c>
      <c r="C747">
        <v>45597</v>
      </c>
      <c r="D747" t="s">
        <v>773</v>
      </c>
      <c r="E747" t="s">
        <v>3164</v>
      </c>
      <c r="F747">
        <v>10070</v>
      </c>
    </row>
    <row r="748" spans="1:6">
      <c r="A748">
        <v>3786553</v>
      </c>
      <c r="C748">
        <v>45604</v>
      </c>
      <c r="D748" t="s">
        <v>260</v>
      </c>
      <c r="E748" t="s">
        <v>261</v>
      </c>
      <c r="F748">
        <v>10090</v>
      </c>
    </row>
    <row r="749" spans="1:6">
      <c r="A749">
        <v>3786554</v>
      </c>
      <c r="B749" t="s">
        <v>266</v>
      </c>
      <c r="C749">
        <v>45617</v>
      </c>
      <c r="D749" t="s">
        <v>118</v>
      </c>
      <c r="E749" t="s">
        <v>268</v>
      </c>
      <c r="F749">
        <v>10310</v>
      </c>
    </row>
    <row r="750" spans="1:6">
      <c r="A750">
        <v>3786555</v>
      </c>
      <c r="B750" t="s">
        <v>3165</v>
      </c>
      <c r="C750">
        <v>45617</v>
      </c>
      <c r="D750" t="s">
        <v>118</v>
      </c>
      <c r="E750" t="s">
        <v>279</v>
      </c>
      <c r="F750">
        <v>10310</v>
      </c>
    </row>
    <row r="751" spans="1:6">
      <c r="A751">
        <v>3786556</v>
      </c>
      <c r="B751" t="s">
        <v>3166</v>
      </c>
      <c r="C751">
        <v>45631</v>
      </c>
      <c r="D751" t="s">
        <v>118</v>
      </c>
      <c r="E751" t="s">
        <v>3167</v>
      </c>
      <c r="F751">
        <v>10310</v>
      </c>
    </row>
    <row r="752" spans="1:6">
      <c r="A752">
        <v>3786557</v>
      </c>
      <c r="B752" t="s">
        <v>293</v>
      </c>
      <c r="C752">
        <v>45632</v>
      </c>
      <c r="D752" t="s">
        <v>294</v>
      </c>
      <c r="E752" t="s">
        <v>296</v>
      </c>
      <c r="F752">
        <v>10020</v>
      </c>
    </row>
    <row r="753" spans="1:6">
      <c r="A753">
        <v>3786558</v>
      </c>
      <c r="B753" t="s">
        <v>301</v>
      </c>
      <c r="C753">
        <v>45632</v>
      </c>
      <c r="D753" t="s">
        <v>294</v>
      </c>
      <c r="E753" t="s">
        <v>303</v>
      </c>
      <c r="F753">
        <v>10010</v>
      </c>
    </row>
    <row r="754" spans="1:6">
      <c r="A754">
        <v>3786559</v>
      </c>
      <c r="B754" t="s">
        <v>306</v>
      </c>
      <c r="C754">
        <v>45632</v>
      </c>
      <c r="D754" t="s">
        <v>294</v>
      </c>
      <c r="E754" t="s">
        <v>308</v>
      </c>
      <c r="F754">
        <v>10010</v>
      </c>
    </row>
    <row r="755" spans="1:6">
      <c r="A755">
        <v>3786560</v>
      </c>
      <c r="B755" t="s">
        <v>309</v>
      </c>
      <c r="C755">
        <v>45632</v>
      </c>
      <c r="D755" t="s">
        <v>294</v>
      </c>
      <c r="E755" t="s">
        <v>311</v>
      </c>
      <c r="F755">
        <v>10010</v>
      </c>
    </row>
    <row r="756" spans="1:6">
      <c r="A756">
        <v>3786561</v>
      </c>
      <c r="B756" t="s">
        <v>312</v>
      </c>
      <c r="C756">
        <v>45632</v>
      </c>
      <c r="D756" t="s">
        <v>294</v>
      </c>
      <c r="E756" t="s">
        <v>314</v>
      </c>
      <c r="F756">
        <v>10020</v>
      </c>
    </row>
    <row r="757" spans="1:6">
      <c r="A757">
        <v>3786562</v>
      </c>
      <c r="B757" t="s">
        <v>315</v>
      </c>
      <c r="C757">
        <v>45632</v>
      </c>
      <c r="D757" t="s">
        <v>294</v>
      </c>
      <c r="E757" t="s">
        <v>317</v>
      </c>
      <c r="F757">
        <v>10020</v>
      </c>
    </row>
    <row r="758" spans="1:6">
      <c r="A758">
        <v>3786563</v>
      </c>
      <c r="B758" t="s">
        <v>318</v>
      </c>
      <c r="C758">
        <v>45634</v>
      </c>
      <c r="D758" t="s">
        <v>118</v>
      </c>
      <c r="E758" t="s">
        <v>319</v>
      </c>
      <c r="F758">
        <v>10080</v>
      </c>
    </row>
    <row r="759" spans="1:6">
      <c r="A759">
        <v>3786564</v>
      </c>
      <c r="C759">
        <v>45639</v>
      </c>
      <c r="D759" t="s">
        <v>325</v>
      </c>
      <c r="E759" t="s">
        <v>327</v>
      </c>
      <c r="F759">
        <v>10110</v>
      </c>
    </row>
    <row r="760" spans="1:6">
      <c r="A760">
        <v>3786565</v>
      </c>
      <c r="C760">
        <v>45642</v>
      </c>
      <c r="D760" t="s">
        <v>230</v>
      </c>
      <c r="E760" t="s">
        <v>331</v>
      </c>
      <c r="F760">
        <v>10120</v>
      </c>
    </row>
    <row r="761" spans="1:6">
      <c r="A761">
        <v>3786566</v>
      </c>
      <c r="C761">
        <v>45642</v>
      </c>
      <c r="D761" t="s">
        <v>230</v>
      </c>
      <c r="E761" t="s">
        <v>331</v>
      </c>
      <c r="F761">
        <v>10120</v>
      </c>
    </row>
    <row r="762" spans="1:6">
      <c r="A762">
        <v>3786567</v>
      </c>
      <c r="C762">
        <v>45643</v>
      </c>
      <c r="D762" t="s">
        <v>325</v>
      </c>
      <c r="E762" t="s">
        <v>338</v>
      </c>
      <c r="F762">
        <v>10080</v>
      </c>
    </row>
    <row r="763" spans="1:6">
      <c r="A763">
        <v>3786568</v>
      </c>
      <c r="C763">
        <v>45643</v>
      </c>
      <c r="D763" t="s">
        <v>325</v>
      </c>
      <c r="E763" t="s">
        <v>338</v>
      </c>
      <c r="F763">
        <v>10080</v>
      </c>
    </row>
    <row r="764" spans="1:6">
      <c r="A764">
        <v>3786569</v>
      </c>
      <c r="C764">
        <v>45643</v>
      </c>
      <c r="D764" t="s">
        <v>325</v>
      </c>
      <c r="E764" t="s">
        <v>338</v>
      </c>
      <c r="F764">
        <v>10080</v>
      </c>
    </row>
    <row r="765" spans="1:6">
      <c r="A765">
        <v>3786570</v>
      </c>
      <c r="C765">
        <v>45644</v>
      </c>
      <c r="D765" t="s">
        <v>325</v>
      </c>
      <c r="E765" t="s">
        <v>338</v>
      </c>
      <c r="F765">
        <v>10080</v>
      </c>
    </row>
    <row r="766" spans="1:6">
      <c r="A766">
        <v>3786571</v>
      </c>
      <c r="C766">
        <v>45645</v>
      </c>
      <c r="D766" t="s">
        <v>177</v>
      </c>
      <c r="E766" t="s">
        <v>354</v>
      </c>
      <c r="F766">
        <v>10060</v>
      </c>
    </row>
    <row r="767" spans="1:6">
      <c r="A767">
        <v>3786572</v>
      </c>
      <c r="C767">
        <v>45645</v>
      </c>
      <c r="D767" t="s">
        <v>177</v>
      </c>
      <c r="E767" t="s">
        <v>354</v>
      </c>
      <c r="F767">
        <v>10060</v>
      </c>
    </row>
    <row r="768" spans="1:6">
      <c r="A768">
        <v>3786573</v>
      </c>
      <c r="C768">
        <v>45646</v>
      </c>
      <c r="D768" t="s">
        <v>118</v>
      </c>
      <c r="E768" t="s">
        <v>362</v>
      </c>
      <c r="F768">
        <v>10120</v>
      </c>
    </row>
    <row r="769" spans="1:6">
      <c r="A769">
        <v>3786574</v>
      </c>
      <c r="C769">
        <v>45646</v>
      </c>
      <c r="D769" t="s">
        <v>118</v>
      </c>
      <c r="E769" t="s">
        <v>362</v>
      </c>
      <c r="F769">
        <v>10120</v>
      </c>
    </row>
    <row r="770" spans="1:6">
      <c r="A770">
        <v>3786575</v>
      </c>
      <c r="C770">
        <v>45646</v>
      </c>
      <c r="D770" t="s">
        <v>118</v>
      </c>
      <c r="E770" t="s">
        <v>369</v>
      </c>
      <c r="F770">
        <v>10110</v>
      </c>
    </row>
    <row r="771" spans="1:6">
      <c r="A771">
        <v>3786576</v>
      </c>
      <c r="C771">
        <v>45646</v>
      </c>
      <c r="D771" t="s">
        <v>118</v>
      </c>
      <c r="E771" t="s">
        <v>369</v>
      </c>
      <c r="F771">
        <v>10110</v>
      </c>
    </row>
    <row r="772" spans="1:6">
      <c r="A772">
        <v>3786577</v>
      </c>
      <c r="B772" t="s">
        <v>381</v>
      </c>
      <c r="C772">
        <v>45646</v>
      </c>
      <c r="D772" t="s">
        <v>294</v>
      </c>
      <c r="E772" t="s">
        <v>383</v>
      </c>
      <c r="F772">
        <v>10010</v>
      </c>
    </row>
    <row r="773" spans="1:6">
      <c r="A773">
        <v>3786578</v>
      </c>
      <c r="B773" t="s">
        <v>385</v>
      </c>
      <c r="C773">
        <v>45646</v>
      </c>
      <c r="D773" t="s">
        <v>294</v>
      </c>
      <c r="E773" t="s">
        <v>387</v>
      </c>
      <c r="F773">
        <v>10010</v>
      </c>
    </row>
    <row r="774" spans="1:6">
      <c r="A774">
        <v>3786579</v>
      </c>
      <c r="B774" t="s">
        <v>391</v>
      </c>
      <c r="C774">
        <v>45646</v>
      </c>
      <c r="D774" t="s">
        <v>294</v>
      </c>
      <c r="E774" t="s">
        <v>393</v>
      </c>
      <c r="F774">
        <v>10020</v>
      </c>
    </row>
    <row r="775" spans="1:6">
      <c r="A775">
        <v>3786580</v>
      </c>
      <c r="B775" t="s">
        <v>394</v>
      </c>
      <c r="C775">
        <v>45646</v>
      </c>
      <c r="D775" t="s">
        <v>294</v>
      </c>
      <c r="E775" t="s">
        <v>396</v>
      </c>
      <c r="F775">
        <v>10020</v>
      </c>
    </row>
    <row r="776" spans="1:6">
      <c r="A776">
        <v>3786581</v>
      </c>
      <c r="B776" t="s">
        <v>397</v>
      </c>
      <c r="C776">
        <v>45646</v>
      </c>
      <c r="D776" t="s">
        <v>294</v>
      </c>
      <c r="E776" t="s">
        <v>399</v>
      </c>
      <c r="F776">
        <v>10010</v>
      </c>
    </row>
    <row r="777" spans="1:6">
      <c r="A777">
        <v>3786582</v>
      </c>
      <c r="B777" t="s">
        <v>388</v>
      </c>
      <c r="C777">
        <v>45646</v>
      </c>
      <c r="D777" t="s">
        <v>294</v>
      </c>
      <c r="E777" t="s">
        <v>390</v>
      </c>
      <c r="F777">
        <v>10010</v>
      </c>
    </row>
    <row r="778" spans="1:6">
      <c r="A778">
        <v>3786583</v>
      </c>
      <c r="B778" t="s">
        <v>400</v>
      </c>
      <c r="C778">
        <v>45646</v>
      </c>
      <c r="D778" t="s">
        <v>294</v>
      </c>
      <c r="E778" t="s">
        <v>402</v>
      </c>
      <c r="F778">
        <v>10020</v>
      </c>
    </row>
    <row r="779" spans="1:6">
      <c r="A779">
        <v>3786584</v>
      </c>
      <c r="C779">
        <v>45650</v>
      </c>
      <c r="D779" t="s">
        <v>260</v>
      </c>
      <c r="E779" t="s">
        <v>404</v>
      </c>
      <c r="F779">
        <v>10150</v>
      </c>
    </row>
    <row r="780" spans="1:6">
      <c r="A780">
        <v>3786585</v>
      </c>
      <c r="C780">
        <v>45650</v>
      </c>
      <c r="D780" t="s">
        <v>260</v>
      </c>
      <c r="E780" t="s">
        <v>404</v>
      </c>
      <c r="F780">
        <v>10150</v>
      </c>
    </row>
    <row r="781" spans="1:6">
      <c r="A781">
        <v>3786586</v>
      </c>
      <c r="C781">
        <v>45650</v>
      </c>
      <c r="D781" t="s">
        <v>260</v>
      </c>
      <c r="E781" t="s">
        <v>404</v>
      </c>
      <c r="F781">
        <v>10150</v>
      </c>
    </row>
    <row r="782" spans="1:6">
      <c r="A782">
        <v>3786587</v>
      </c>
      <c r="C782">
        <v>45650</v>
      </c>
      <c r="D782" t="s">
        <v>415</v>
      </c>
      <c r="E782" t="s">
        <v>417</v>
      </c>
      <c r="F782">
        <v>10070</v>
      </c>
    </row>
    <row r="783" spans="1:6">
      <c r="A783">
        <v>3786588</v>
      </c>
      <c r="C783">
        <v>45650</v>
      </c>
      <c r="D783" t="s">
        <v>415</v>
      </c>
      <c r="E783" t="s">
        <v>423</v>
      </c>
      <c r="F783">
        <v>10110</v>
      </c>
    </row>
    <row r="784" spans="1:6">
      <c r="A784">
        <v>3786589</v>
      </c>
      <c r="C784">
        <v>45650</v>
      </c>
      <c r="D784" t="s">
        <v>415</v>
      </c>
      <c r="E784" t="s">
        <v>426</v>
      </c>
      <c r="F784">
        <v>10060</v>
      </c>
    </row>
    <row r="785" spans="1:6">
      <c r="A785">
        <v>3786590</v>
      </c>
      <c r="C785">
        <v>45650</v>
      </c>
      <c r="D785" t="s">
        <v>118</v>
      </c>
      <c r="E785" t="s">
        <v>427</v>
      </c>
      <c r="F785">
        <v>10310</v>
      </c>
    </row>
    <row r="786" spans="1:6">
      <c r="A786">
        <v>3786591</v>
      </c>
      <c r="C786">
        <v>45665</v>
      </c>
      <c r="D786" t="s">
        <v>118</v>
      </c>
      <c r="E786" t="s">
        <v>433</v>
      </c>
      <c r="F786">
        <v>10110</v>
      </c>
    </row>
    <row r="787" spans="1:6">
      <c r="A787">
        <v>3786592</v>
      </c>
      <c r="C787">
        <v>45666</v>
      </c>
      <c r="D787" t="s">
        <v>118</v>
      </c>
      <c r="E787" t="s">
        <v>3168</v>
      </c>
      <c r="F787">
        <v>10310</v>
      </c>
    </row>
    <row r="788" spans="1:6">
      <c r="A788">
        <v>3786593</v>
      </c>
      <c r="C788">
        <v>45667</v>
      </c>
      <c r="D788" t="s">
        <v>118</v>
      </c>
      <c r="E788" t="s">
        <v>441</v>
      </c>
      <c r="F788">
        <v>10310</v>
      </c>
    </row>
    <row r="789" spans="1:6">
      <c r="A789">
        <v>3786594</v>
      </c>
      <c r="C789">
        <v>45670</v>
      </c>
      <c r="D789" t="s">
        <v>447</v>
      </c>
      <c r="E789" t="s">
        <v>3169</v>
      </c>
      <c r="F789">
        <v>10010</v>
      </c>
    </row>
    <row r="790" spans="1:6">
      <c r="A790">
        <v>3786595</v>
      </c>
      <c r="C790">
        <v>45670</v>
      </c>
      <c r="D790" t="s">
        <v>447</v>
      </c>
      <c r="E790" t="s">
        <v>3170</v>
      </c>
      <c r="F790">
        <v>10020</v>
      </c>
    </row>
    <row r="791" spans="1:6">
      <c r="A791">
        <v>3786596</v>
      </c>
      <c r="C791">
        <v>45305</v>
      </c>
      <c r="D791" t="s">
        <v>454</v>
      </c>
      <c r="E791" t="s">
        <v>455</v>
      </c>
      <c r="F791">
        <v>10140</v>
      </c>
    </row>
    <row r="792" spans="1:6">
      <c r="A792">
        <v>3786597</v>
      </c>
      <c r="C792">
        <v>45671</v>
      </c>
      <c r="D792" t="s">
        <v>454</v>
      </c>
      <c r="E792" t="s">
        <v>455</v>
      </c>
      <c r="F792">
        <v>10140</v>
      </c>
    </row>
    <row r="793" spans="1:6">
      <c r="A793">
        <v>3786598</v>
      </c>
      <c r="C793">
        <v>45671</v>
      </c>
      <c r="D793" t="s">
        <v>454</v>
      </c>
      <c r="E793" t="s">
        <v>455</v>
      </c>
      <c r="F793">
        <v>10140</v>
      </c>
    </row>
    <row r="794" spans="1:6">
      <c r="A794">
        <v>3786599</v>
      </c>
      <c r="C794">
        <v>45671</v>
      </c>
      <c r="D794" t="s">
        <v>118</v>
      </c>
      <c r="E794" t="s">
        <v>462</v>
      </c>
      <c r="F794">
        <v>10140</v>
      </c>
    </row>
    <row r="795" spans="1:6">
      <c r="A795">
        <v>3786600</v>
      </c>
      <c r="C795">
        <v>45671</v>
      </c>
      <c r="D795" t="s">
        <v>118</v>
      </c>
      <c r="E795" t="s">
        <v>456</v>
      </c>
      <c r="F795">
        <v>10140</v>
      </c>
    </row>
    <row r="796" spans="1:6">
      <c r="A796">
        <v>3786601</v>
      </c>
      <c r="B796" t="s">
        <v>466</v>
      </c>
      <c r="C796">
        <v>45672</v>
      </c>
      <c r="D796" t="s">
        <v>294</v>
      </c>
      <c r="E796" t="s">
        <v>467</v>
      </c>
    </row>
    <row r="797" spans="1:6">
      <c r="A797">
        <v>3786602</v>
      </c>
      <c r="B797" t="s">
        <v>468</v>
      </c>
      <c r="C797">
        <v>45672</v>
      </c>
      <c r="D797" t="s">
        <v>294</v>
      </c>
      <c r="E797" t="s">
        <v>470</v>
      </c>
      <c r="F797">
        <v>10020</v>
      </c>
    </row>
    <row r="798" spans="1:6">
      <c r="A798">
        <v>3786603</v>
      </c>
      <c r="B798" t="s">
        <v>471</v>
      </c>
      <c r="C798">
        <v>45672</v>
      </c>
      <c r="D798" t="s">
        <v>294</v>
      </c>
      <c r="E798" t="s">
        <v>473</v>
      </c>
      <c r="F798">
        <v>10010</v>
      </c>
    </row>
    <row r="799" spans="1:6">
      <c r="A799">
        <v>3786604</v>
      </c>
      <c r="B799" t="s">
        <v>474</v>
      </c>
      <c r="C799">
        <v>45672</v>
      </c>
      <c r="D799" t="s">
        <v>294</v>
      </c>
      <c r="E799" t="s">
        <v>476</v>
      </c>
      <c r="F799">
        <v>10010</v>
      </c>
    </row>
    <row r="800" spans="1:6">
      <c r="A800">
        <v>3786605</v>
      </c>
      <c r="B800" t="s">
        <v>477</v>
      </c>
      <c r="C800">
        <v>45672</v>
      </c>
      <c r="D800" t="s">
        <v>294</v>
      </c>
      <c r="E800" t="s">
        <v>479</v>
      </c>
      <c r="F800">
        <v>10010</v>
      </c>
    </row>
    <row r="801" spans="1:6">
      <c r="A801">
        <v>3786606</v>
      </c>
      <c r="B801" t="s">
        <v>480</v>
      </c>
      <c r="C801">
        <v>45672</v>
      </c>
      <c r="D801" t="s">
        <v>294</v>
      </c>
      <c r="E801" t="s">
        <v>482</v>
      </c>
      <c r="F801">
        <v>10020</v>
      </c>
    </row>
    <row r="802" spans="1:6">
      <c r="A802">
        <v>3786607</v>
      </c>
      <c r="B802" t="s">
        <v>483</v>
      </c>
      <c r="C802">
        <v>45672</v>
      </c>
      <c r="D802" t="s">
        <v>294</v>
      </c>
      <c r="E802" t="s">
        <v>485</v>
      </c>
      <c r="F802">
        <v>10010</v>
      </c>
    </row>
    <row r="803" spans="1:6">
      <c r="A803">
        <v>3786608</v>
      </c>
      <c r="B803" t="s">
        <v>486</v>
      </c>
      <c r="C803">
        <v>45672</v>
      </c>
      <c r="D803" t="s">
        <v>294</v>
      </c>
      <c r="E803" t="s">
        <v>488</v>
      </c>
      <c r="F803">
        <v>10020</v>
      </c>
    </row>
    <row r="804" spans="1:6">
      <c r="A804">
        <v>3786609</v>
      </c>
      <c r="B804" t="s">
        <v>489</v>
      </c>
      <c r="C804">
        <v>45672</v>
      </c>
      <c r="D804" t="s">
        <v>294</v>
      </c>
      <c r="E804" t="s">
        <v>491</v>
      </c>
      <c r="F804">
        <v>10020</v>
      </c>
    </row>
    <row r="805" spans="1:6">
      <c r="A805">
        <v>3786610</v>
      </c>
      <c r="B805" t="s">
        <v>492</v>
      </c>
      <c r="C805">
        <v>45672</v>
      </c>
      <c r="D805" t="s">
        <v>294</v>
      </c>
      <c r="E805" t="s">
        <v>494</v>
      </c>
      <c r="F805">
        <v>10010</v>
      </c>
    </row>
    <row r="806" spans="1:6">
      <c r="A806">
        <v>3786611</v>
      </c>
      <c r="B806" t="s">
        <v>495</v>
      </c>
      <c r="C806">
        <v>45672</v>
      </c>
      <c r="D806" t="s">
        <v>294</v>
      </c>
      <c r="E806" t="s">
        <v>497</v>
      </c>
      <c r="F806">
        <v>10010</v>
      </c>
    </row>
    <row r="807" spans="1:6">
      <c r="A807">
        <v>3786612</v>
      </c>
      <c r="B807" t="s">
        <v>498</v>
      </c>
      <c r="C807">
        <v>45672</v>
      </c>
      <c r="D807" t="s">
        <v>294</v>
      </c>
      <c r="E807" t="s">
        <v>500</v>
      </c>
      <c r="F807">
        <v>10010</v>
      </c>
    </row>
    <row r="808" spans="1:6">
      <c r="A808">
        <v>3786613</v>
      </c>
      <c r="C808">
        <v>45672</v>
      </c>
      <c r="D808" t="s">
        <v>501</v>
      </c>
      <c r="E808" t="s">
        <v>503</v>
      </c>
      <c r="F808">
        <v>10010</v>
      </c>
    </row>
    <row r="809" spans="1:6">
      <c r="A809">
        <v>3786614</v>
      </c>
      <c r="C809">
        <v>45672</v>
      </c>
      <c r="D809" t="s">
        <v>501</v>
      </c>
      <c r="E809" t="s">
        <v>505</v>
      </c>
      <c r="F809">
        <v>10020</v>
      </c>
    </row>
    <row r="810" spans="1:6">
      <c r="A810">
        <v>3786615</v>
      </c>
      <c r="C810">
        <v>45673</v>
      </c>
      <c r="D810" t="s">
        <v>506</v>
      </c>
      <c r="E810" t="s">
        <v>508</v>
      </c>
      <c r="F810">
        <v>10070</v>
      </c>
    </row>
    <row r="811" spans="1:6">
      <c r="A811">
        <v>3786616</v>
      </c>
      <c r="B811" t="s">
        <v>511</v>
      </c>
      <c r="C811">
        <v>45673</v>
      </c>
      <c r="D811" t="s">
        <v>454</v>
      </c>
      <c r="E811" t="s">
        <v>512</v>
      </c>
      <c r="F811">
        <v>10110</v>
      </c>
    </row>
    <row r="812" spans="1:6">
      <c r="A812">
        <v>3786617</v>
      </c>
      <c r="B812" t="s">
        <v>515</v>
      </c>
      <c r="C812">
        <v>45673</v>
      </c>
      <c r="D812" t="s">
        <v>454</v>
      </c>
      <c r="E812" t="s">
        <v>512</v>
      </c>
      <c r="F812">
        <v>10110</v>
      </c>
    </row>
    <row r="813" spans="1:6">
      <c r="A813">
        <v>3786618</v>
      </c>
      <c r="B813" t="s">
        <v>516</v>
      </c>
      <c r="C813">
        <v>45673</v>
      </c>
      <c r="D813" t="s">
        <v>454</v>
      </c>
      <c r="E813" t="s">
        <v>512</v>
      </c>
      <c r="F813">
        <v>10110</v>
      </c>
    </row>
    <row r="814" spans="1:6">
      <c r="A814">
        <v>3786619</v>
      </c>
      <c r="C814">
        <v>45674</v>
      </c>
      <c r="D814" t="s">
        <v>118</v>
      </c>
      <c r="E814" t="s">
        <v>268</v>
      </c>
      <c r="F814">
        <v>10310</v>
      </c>
    </row>
    <row r="815" spans="1:6">
      <c r="A815">
        <v>3786620</v>
      </c>
      <c r="C815">
        <v>45674</v>
      </c>
      <c r="D815" t="s">
        <v>118</v>
      </c>
      <c r="E815" t="s">
        <v>268</v>
      </c>
      <c r="F815">
        <v>10310</v>
      </c>
    </row>
    <row r="816" spans="1:6">
      <c r="A816">
        <v>3786621</v>
      </c>
      <c r="C816">
        <v>45674</v>
      </c>
      <c r="D816" t="s">
        <v>118</v>
      </c>
      <c r="E816" t="s">
        <v>268</v>
      </c>
      <c r="F816">
        <v>10310</v>
      </c>
    </row>
    <row r="817" spans="1:6">
      <c r="A817">
        <v>3786622</v>
      </c>
      <c r="C817">
        <v>45677</v>
      </c>
      <c r="D817" t="s">
        <v>325</v>
      </c>
      <c r="E817" t="s">
        <v>338</v>
      </c>
      <c r="F817">
        <v>10080</v>
      </c>
    </row>
    <row r="818" spans="1:6">
      <c r="A818">
        <v>3786623</v>
      </c>
      <c r="C818">
        <v>45677</v>
      </c>
      <c r="D818" t="s">
        <v>447</v>
      </c>
      <c r="E818" t="s">
        <v>543</v>
      </c>
      <c r="F818">
        <v>10080</v>
      </c>
    </row>
    <row r="819" spans="1:6">
      <c r="A819">
        <v>3786624</v>
      </c>
      <c r="C819">
        <v>45677</v>
      </c>
      <c r="D819" t="s">
        <v>236</v>
      </c>
      <c r="E819" t="s">
        <v>544</v>
      </c>
      <c r="F819">
        <v>10060</v>
      </c>
    </row>
    <row r="820" spans="1:6">
      <c r="A820">
        <v>3786625</v>
      </c>
      <c r="C820">
        <v>45677</v>
      </c>
      <c r="D820" t="s">
        <v>236</v>
      </c>
      <c r="E820" t="s">
        <v>546</v>
      </c>
      <c r="F820">
        <v>10080</v>
      </c>
    </row>
    <row r="821" spans="1:6">
      <c r="A821">
        <v>3786626</v>
      </c>
      <c r="C821">
        <v>45680</v>
      </c>
      <c r="D821" t="s">
        <v>550</v>
      </c>
      <c r="E821" t="s">
        <v>3171</v>
      </c>
      <c r="F821">
        <v>10070</v>
      </c>
    </row>
    <row r="822" spans="1:6">
      <c r="A822">
        <v>3786627</v>
      </c>
      <c r="C822">
        <v>45681</v>
      </c>
      <c r="D822" t="s">
        <v>447</v>
      </c>
      <c r="E822" t="s">
        <v>560</v>
      </c>
      <c r="F822">
        <v>10010</v>
      </c>
    </row>
    <row r="823" spans="1:6">
      <c r="A823">
        <v>3786628</v>
      </c>
      <c r="C823">
        <v>45681</v>
      </c>
      <c r="D823" t="s">
        <v>447</v>
      </c>
      <c r="E823" t="s">
        <v>563</v>
      </c>
      <c r="F823">
        <v>10010</v>
      </c>
    </row>
    <row r="824" spans="1:6">
      <c r="A824">
        <v>3786629</v>
      </c>
      <c r="C824">
        <v>45681</v>
      </c>
      <c r="D824" t="s">
        <v>447</v>
      </c>
      <c r="E824" t="s">
        <v>566</v>
      </c>
      <c r="F824">
        <v>10010</v>
      </c>
    </row>
    <row r="825" spans="1:6">
      <c r="A825">
        <v>3786630</v>
      </c>
      <c r="C825">
        <v>45681</v>
      </c>
      <c r="D825" t="s">
        <v>447</v>
      </c>
      <c r="E825" t="s">
        <v>569</v>
      </c>
      <c r="F825">
        <v>10010</v>
      </c>
    </row>
    <row r="826" spans="1:6">
      <c r="A826">
        <v>3786631</v>
      </c>
      <c r="C826">
        <v>45681</v>
      </c>
      <c r="D826" t="s">
        <v>447</v>
      </c>
      <c r="E826" t="s">
        <v>572</v>
      </c>
      <c r="F826">
        <v>10010</v>
      </c>
    </row>
    <row r="827" spans="1:6">
      <c r="A827">
        <v>3786632</v>
      </c>
      <c r="C827">
        <v>45681</v>
      </c>
      <c r="D827" t="s">
        <v>447</v>
      </c>
      <c r="E827" t="s">
        <v>575</v>
      </c>
      <c r="F827">
        <v>10020</v>
      </c>
    </row>
    <row r="828" spans="1:6">
      <c r="A828">
        <v>3786633</v>
      </c>
      <c r="C828">
        <v>45681</v>
      </c>
      <c r="D828" t="s">
        <v>447</v>
      </c>
      <c r="E828" t="s">
        <v>579</v>
      </c>
      <c r="F828">
        <v>10010</v>
      </c>
    </row>
    <row r="829" spans="1:6">
      <c r="A829">
        <v>3786634</v>
      </c>
      <c r="C829">
        <v>45681</v>
      </c>
      <c r="D829" t="s">
        <v>447</v>
      </c>
      <c r="E829" t="s">
        <v>583</v>
      </c>
      <c r="F829">
        <v>10040</v>
      </c>
    </row>
    <row r="830" spans="1:6">
      <c r="A830">
        <v>3786635</v>
      </c>
      <c r="C830">
        <v>45681</v>
      </c>
      <c r="D830" t="s">
        <v>3172</v>
      </c>
      <c r="E830" t="s">
        <v>2165</v>
      </c>
      <c r="F830">
        <v>10060</v>
      </c>
    </row>
    <row r="831" spans="1:6">
      <c r="A831">
        <v>3786636</v>
      </c>
      <c r="C831">
        <v>45681</v>
      </c>
      <c r="D831" t="s">
        <v>3172</v>
      </c>
      <c r="E831" t="s">
        <v>1276</v>
      </c>
      <c r="F831">
        <v>10080</v>
      </c>
    </row>
    <row r="832" spans="1:6">
      <c r="A832">
        <v>3786637</v>
      </c>
      <c r="C832">
        <v>45684</v>
      </c>
      <c r="D832" t="s">
        <v>592</v>
      </c>
      <c r="E832" t="s">
        <v>594</v>
      </c>
      <c r="F832">
        <v>10020</v>
      </c>
    </row>
    <row r="833" spans="1:6">
      <c r="A833">
        <v>3786638</v>
      </c>
      <c r="C833">
        <v>45684</v>
      </c>
      <c r="D833" t="s">
        <v>592</v>
      </c>
      <c r="E833" t="s">
        <v>598</v>
      </c>
      <c r="F833">
        <v>10010</v>
      </c>
    </row>
    <row r="834" spans="1:6">
      <c r="A834">
        <v>3786639</v>
      </c>
      <c r="C834">
        <v>45684</v>
      </c>
      <c r="D834" t="s">
        <v>592</v>
      </c>
      <c r="E834" t="s">
        <v>600</v>
      </c>
      <c r="F834">
        <v>10010</v>
      </c>
    </row>
    <row r="835" spans="1:6">
      <c r="A835">
        <v>3786640</v>
      </c>
      <c r="C835">
        <v>45684</v>
      </c>
      <c r="D835" t="s">
        <v>592</v>
      </c>
      <c r="E835" t="s">
        <v>602</v>
      </c>
      <c r="F835">
        <v>10020</v>
      </c>
    </row>
    <row r="836" spans="1:6">
      <c r="A836">
        <v>3786641</v>
      </c>
      <c r="C836">
        <v>45684</v>
      </c>
      <c r="D836" t="s">
        <v>592</v>
      </c>
      <c r="E836" t="s">
        <v>604</v>
      </c>
      <c r="F836">
        <v>10010</v>
      </c>
    </row>
    <row r="837" spans="1:6">
      <c r="A837">
        <v>3786642</v>
      </c>
      <c r="C837">
        <v>45684</v>
      </c>
      <c r="D837" t="s">
        <v>592</v>
      </c>
      <c r="E837" t="s">
        <v>606</v>
      </c>
      <c r="F837">
        <v>10070</v>
      </c>
    </row>
    <row r="838" spans="1:6">
      <c r="A838">
        <v>3786643</v>
      </c>
      <c r="C838">
        <v>45686</v>
      </c>
      <c r="D838" t="s">
        <v>294</v>
      </c>
      <c r="E838" t="s">
        <v>609</v>
      </c>
      <c r="F838">
        <v>10020</v>
      </c>
    </row>
    <row r="839" spans="1:6">
      <c r="A839">
        <v>3786644</v>
      </c>
      <c r="C839">
        <v>45686</v>
      </c>
      <c r="D839" t="s">
        <v>611</v>
      </c>
      <c r="E839" t="s">
        <v>612</v>
      </c>
      <c r="F839">
        <v>10100</v>
      </c>
    </row>
    <row r="840" spans="1:6">
      <c r="A840">
        <v>3786645</v>
      </c>
      <c r="C840">
        <v>45686</v>
      </c>
      <c r="D840" t="s">
        <v>611</v>
      </c>
      <c r="E840" t="s">
        <v>612</v>
      </c>
      <c r="F840">
        <v>10100</v>
      </c>
    </row>
    <row r="841" spans="1:6">
      <c r="A841">
        <v>3786646</v>
      </c>
      <c r="C841">
        <v>45686</v>
      </c>
      <c r="D841" t="s">
        <v>611</v>
      </c>
      <c r="E841" t="s">
        <v>612</v>
      </c>
      <c r="F841">
        <v>10100</v>
      </c>
    </row>
    <row r="842" spans="1:6">
      <c r="A842">
        <v>3786647</v>
      </c>
      <c r="C842">
        <v>45686</v>
      </c>
      <c r="D842" t="s">
        <v>611</v>
      </c>
      <c r="E842" t="s">
        <v>612</v>
      </c>
      <c r="F842">
        <v>10100</v>
      </c>
    </row>
    <row r="843" spans="1:6">
      <c r="A843">
        <v>3786648</v>
      </c>
      <c r="C843">
        <v>45686</v>
      </c>
      <c r="D843" t="s">
        <v>611</v>
      </c>
      <c r="E843" t="s">
        <v>612</v>
      </c>
      <c r="F843">
        <v>10100</v>
      </c>
    </row>
    <row r="844" spans="1:6">
      <c r="A844">
        <v>3786649</v>
      </c>
      <c r="C844">
        <v>45686</v>
      </c>
      <c r="D844" t="s">
        <v>611</v>
      </c>
      <c r="E844" t="s">
        <v>612</v>
      </c>
      <c r="F844">
        <v>10100</v>
      </c>
    </row>
    <row r="845" spans="1:6">
      <c r="A845">
        <v>3786650</v>
      </c>
      <c r="C845">
        <v>45686</v>
      </c>
      <c r="D845" t="s">
        <v>611</v>
      </c>
      <c r="E845" t="s">
        <v>612</v>
      </c>
      <c r="F845">
        <v>10100</v>
      </c>
    </row>
    <row r="846" spans="1:6">
      <c r="A846">
        <v>3786651</v>
      </c>
      <c r="C846">
        <v>45687</v>
      </c>
      <c r="D846" t="s">
        <v>506</v>
      </c>
      <c r="E846" t="s">
        <v>649</v>
      </c>
      <c r="F846">
        <v>10070</v>
      </c>
    </row>
    <row r="847" spans="1:6">
      <c r="A847">
        <v>3786652</v>
      </c>
      <c r="C847">
        <v>45687</v>
      </c>
      <c r="D847" t="s">
        <v>118</v>
      </c>
      <c r="E847" t="s">
        <v>651</v>
      </c>
      <c r="F847">
        <v>10110</v>
      </c>
    </row>
    <row r="848" spans="1:6">
      <c r="A848">
        <v>3786653</v>
      </c>
      <c r="C848">
        <v>45691</v>
      </c>
      <c r="D848" t="s">
        <v>592</v>
      </c>
      <c r="E848" t="s">
        <v>654</v>
      </c>
      <c r="F848">
        <v>10010</v>
      </c>
    </row>
    <row r="849" spans="1:6">
      <c r="A849">
        <v>3786654</v>
      </c>
      <c r="C849">
        <v>45691</v>
      </c>
      <c r="D849" t="s">
        <v>592</v>
      </c>
      <c r="E849" t="s">
        <v>656</v>
      </c>
      <c r="F849">
        <v>10010</v>
      </c>
    </row>
    <row r="850" spans="1:6">
      <c r="A850">
        <v>3786655</v>
      </c>
      <c r="C850">
        <v>45691</v>
      </c>
      <c r="D850" t="s">
        <v>592</v>
      </c>
      <c r="E850" t="s">
        <v>658</v>
      </c>
      <c r="F850">
        <v>10010</v>
      </c>
    </row>
    <row r="851" spans="1:6">
      <c r="A851">
        <v>3786656</v>
      </c>
      <c r="C851">
        <v>45691</v>
      </c>
      <c r="D851" t="s">
        <v>592</v>
      </c>
      <c r="E851" t="s">
        <v>660</v>
      </c>
      <c r="F851">
        <v>10010</v>
      </c>
    </row>
    <row r="852" spans="1:6">
      <c r="A852">
        <v>3786657</v>
      </c>
      <c r="C852">
        <v>45691</v>
      </c>
      <c r="D852" t="s">
        <v>592</v>
      </c>
      <c r="E852" t="s">
        <v>662</v>
      </c>
      <c r="F852">
        <v>10020</v>
      </c>
    </row>
    <row r="853" spans="1:6">
      <c r="A853">
        <v>3786658</v>
      </c>
      <c r="C853">
        <v>45693</v>
      </c>
      <c r="D853" t="s">
        <v>118</v>
      </c>
      <c r="E853" t="s">
        <v>664</v>
      </c>
      <c r="F853">
        <v>10010</v>
      </c>
    </row>
    <row r="854" spans="1:6">
      <c r="A854">
        <v>3786659</v>
      </c>
      <c r="C854">
        <v>45693</v>
      </c>
      <c r="D854" t="s">
        <v>118</v>
      </c>
      <c r="E854" t="s">
        <v>666</v>
      </c>
      <c r="F854">
        <v>10020</v>
      </c>
    </row>
    <row r="855" spans="1:6">
      <c r="A855">
        <v>3786660</v>
      </c>
      <c r="C855">
        <v>45693</v>
      </c>
      <c r="D855" t="s">
        <v>118</v>
      </c>
      <c r="E855" t="s">
        <v>668</v>
      </c>
      <c r="F855">
        <v>10010</v>
      </c>
    </row>
    <row r="856" spans="1:6">
      <c r="A856">
        <v>3786661</v>
      </c>
      <c r="C856">
        <v>45693</v>
      </c>
      <c r="D856" t="s">
        <v>118</v>
      </c>
      <c r="E856" t="s">
        <v>3173</v>
      </c>
      <c r="F856">
        <v>10020</v>
      </c>
    </row>
    <row r="857" spans="1:6">
      <c r="A857">
        <v>3786662</v>
      </c>
      <c r="C857">
        <v>45693</v>
      </c>
      <c r="D857" t="s">
        <v>118</v>
      </c>
      <c r="E857" t="s">
        <v>3174</v>
      </c>
      <c r="F857">
        <v>10010</v>
      </c>
    </row>
    <row r="858" spans="1:6">
      <c r="A858">
        <v>3786663</v>
      </c>
      <c r="C858">
        <v>45693</v>
      </c>
      <c r="D858" t="s">
        <v>118</v>
      </c>
      <c r="E858" t="s">
        <v>3175</v>
      </c>
      <c r="F858">
        <v>10010</v>
      </c>
    </row>
    <row r="859" spans="1:6">
      <c r="A859">
        <v>3786664</v>
      </c>
      <c r="C859">
        <v>45693</v>
      </c>
      <c r="D859" t="s">
        <v>118</v>
      </c>
      <c r="E859" t="s">
        <v>677</v>
      </c>
      <c r="F859">
        <v>10010</v>
      </c>
    </row>
    <row r="860" spans="1:6">
      <c r="A860">
        <v>3786665</v>
      </c>
      <c r="C860">
        <v>45693</v>
      </c>
      <c r="D860" t="s">
        <v>118</v>
      </c>
      <c r="E860" t="s">
        <v>3176</v>
      </c>
      <c r="F860">
        <v>10010</v>
      </c>
    </row>
    <row r="861" spans="1:6">
      <c r="A861">
        <v>3786666</v>
      </c>
      <c r="C861">
        <v>45693</v>
      </c>
      <c r="D861" t="s">
        <v>118</v>
      </c>
      <c r="E861" t="s">
        <v>3177</v>
      </c>
      <c r="F861">
        <v>10010</v>
      </c>
    </row>
    <row r="862" spans="1:6">
      <c r="A862">
        <v>3786667</v>
      </c>
      <c r="C862">
        <v>45693</v>
      </c>
      <c r="D862" t="s">
        <v>118</v>
      </c>
      <c r="E862" t="s">
        <v>3178</v>
      </c>
      <c r="F862">
        <v>10020</v>
      </c>
    </row>
    <row r="863" spans="1:6">
      <c r="A863">
        <v>3786668</v>
      </c>
      <c r="C863">
        <v>45693</v>
      </c>
      <c r="D863" t="s">
        <v>118</v>
      </c>
      <c r="E863" t="s">
        <v>3179</v>
      </c>
      <c r="F863">
        <v>10010</v>
      </c>
    </row>
    <row r="864" spans="1:6">
      <c r="A864">
        <v>3786669</v>
      </c>
      <c r="C864">
        <v>45693</v>
      </c>
      <c r="D864" t="s">
        <v>118</v>
      </c>
      <c r="E864" t="s">
        <v>3180</v>
      </c>
      <c r="F864">
        <v>10010</v>
      </c>
    </row>
    <row r="865" spans="1:6">
      <c r="A865">
        <v>3786670</v>
      </c>
      <c r="C865">
        <v>45693</v>
      </c>
      <c r="D865" t="s">
        <v>118</v>
      </c>
      <c r="E865" t="s">
        <v>3181</v>
      </c>
      <c r="F865">
        <v>10020</v>
      </c>
    </row>
    <row r="866" spans="1:6">
      <c r="A866">
        <v>3786671</v>
      </c>
      <c r="C866">
        <v>45693</v>
      </c>
      <c r="D866" t="s">
        <v>118</v>
      </c>
      <c r="E866" t="s">
        <v>691</v>
      </c>
      <c r="F866">
        <v>10010</v>
      </c>
    </row>
    <row r="867" spans="1:6">
      <c r="A867">
        <v>3786672</v>
      </c>
      <c r="C867">
        <v>45693</v>
      </c>
      <c r="D867" t="s">
        <v>118</v>
      </c>
      <c r="E867" t="s">
        <v>693</v>
      </c>
      <c r="F867">
        <v>10020</v>
      </c>
    </row>
    <row r="868" spans="1:6">
      <c r="A868">
        <v>3786673</v>
      </c>
      <c r="C868">
        <v>45693</v>
      </c>
      <c r="D868" t="s">
        <v>118</v>
      </c>
      <c r="E868" t="s">
        <v>695</v>
      </c>
      <c r="F868">
        <v>10310</v>
      </c>
    </row>
    <row r="869" spans="1:6">
      <c r="A869">
        <v>3786674</v>
      </c>
      <c r="C869">
        <v>45693</v>
      </c>
      <c r="D869" t="s">
        <v>592</v>
      </c>
      <c r="E869" t="s">
        <v>699</v>
      </c>
      <c r="F869">
        <v>10020</v>
      </c>
    </row>
    <row r="870" spans="1:6">
      <c r="A870">
        <v>3786675</v>
      </c>
      <c r="C870">
        <v>45695</v>
      </c>
      <c r="D870" t="s">
        <v>550</v>
      </c>
      <c r="E870" t="s">
        <v>701</v>
      </c>
      <c r="F870">
        <v>10020</v>
      </c>
    </row>
    <row r="871" spans="1:6">
      <c r="A871">
        <v>3786676</v>
      </c>
      <c r="C871">
        <v>45695</v>
      </c>
      <c r="D871" t="s">
        <v>550</v>
      </c>
      <c r="E871" t="s">
        <v>703</v>
      </c>
      <c r="F871">
        <v>10010</v>
      </c>
    </row>
    <row r="872" spans="1:6">
      <c r="A872">
        <v>3786677</v>
      </c>
      <c r="C872">
        <v>45695</v>
      </c>
      <c r="D872" t="s">
        <v>550</v>
      </c>
      <c r="E872" t="s">
        <v>705</v>
      </c>
      <c r="F872">
        <v>10010</v>
      </c>
    </row>
    <row r="873" spans="1:6">
      <c r="A873">
        <v>3786678</v>
      </c>
      <c r="C873">
        <v>45695</v>
      </c>
      <c r="D873" t="s">
        <v>550</v>
      </c>
      <c r="E873" t="s">
        <v>707</v>
      </c>
      <c r="F873">
        <v>10010</v>
      </c>
    </row>
    <row r="874" spans="1:6">
      <c r="A874">
        <v>3786679</v>
      </c>
      <c r="C874">
        <v>45695</v>
      </c>
      <c r="D874" t="s">
        <v>550</v>
      </c>
      <c r="E874" t="s">
        <v>709</v>
      </c>
      <c r="F874">
        <v>10010</v>
      </c>
    </row>
    <row r="875" spans="1:6">
      <c r="A875">
        <v>3786680</v>
      </c>
      <c r="C875">
        <v>45695</v>
      </c>
      <c r="D875" t="s">
        <v>550</v>
      </c>
      <c r="E875" t="s">
        <v>711</v>
      </c>
      <c r="F875">
        <v>10020</v>
      </c>
    </row>
    <row r="876" spans="1:6">
      <c r="A876">
        <v>3786681</v>
      </c>
      <c r="C876">
        <v>45695</v>
      </c>
      <c r="D876" t="s">
        <v>550</v>
      </c>
      <c r="E876" t="s">
        <v>713</v>
      </c>
      <c r="F876">
        <v>10010</v>
      </c>
    </row>
    <row r="877" spans="1:6">
      <c r="A877">
        <v>3786682</v>
      </c>
      <c r="C877">
        <v>45695</v>
      </c>
      <c r="D877" t="s">
        <v>550</v>
      </c>
      <c r="E877" t="s">
        <v>715</v>
      </c>
      <c r="F877">
        <v>10020</v>
      </c>
    </row>
    <row r="878" spans="1:6">
      <c r="A878">
        <v>3786683</v>
      </c>
      <c r="C878">
        <v>45695</v>
      </c>
      <c r="D878" t="s">
        <v>550</v>
      </c>
      <c r="E878" t="s">
        <v>717</v>
      </c>
      <c r="F878">
        <v>10010</v>
      </c>
    </row>
    <row r="879" spans="1:6">
      <c r="A879">
        <v>3786684</v>
      </c>
      <c r="C879">
        <v>45695</v>
      </c>
      <c r="D879" t="s">
        <v>550</v>
      </c>
      <c r="E879" t="s">
        <v>719</v>
      </c>
      <c r="F879">
        <v>10020</v>
      </c>
    </row>
    <row r="880" spans="1:6">
      <c r="A880">
        <v>3786685</v>
      </c>
      <c r="C880">
        <v>45695</v>
      </c>
      <c r="D880" t="s">
        <v>550</v>
      </c>
      <c r="E880" t="s">
        <v>721</v>
      </c>
      <c r="F880">
        <v>10020</v>
      </c>
    </row>
    <row r="881" spans="1:6">
      <c r="A881">
        <v>3786686</v>
      </c>
      <c r="C881">
        <v>45695</v>
      </c>
      <c r="D881" t="s">
        <v>550</v>
      </c>
      <c r="E881" t="s">
        <v>723</v>
      </c>
      <c r="F881">
        <v>10020</v>
      </c>
    </row>
    <row r="882" spans="1:6">
      <c r="A882">
        <v>3786687</v>
      </c>
      <c r="C882">
        <v>45695</v>
      </c>
      <c r="D882" t="s">
        <v>294</v>
      </c>
      <c r="E882" t="s">
        <v>725</v>
      </c>
      <c r="F882">
        <v>10010</v>
      </c>
    </row>
    <row r="883" spans="1:6">
      <c r="A883">
        <v>3786688</v>
      </c>
      <c r="C883">
        <v>45695</v>
      </c>
      <c r="D883" t="s">
        <v>294</v>
      </c>
      <c r="E883" t="s">
        <v>727</v>
      </c>
      <c r="F883">
        <v>10010</v>
      </c>
    </row>
    <row r="884" spans="1:6">
      <c r="A884">
        <v>3786689</v>
      </c>
      <c r="C884">
        <v>45695</v>
      </c>
      <c r="D884" t="s">
        <v>294</v>
      </c>
      <c r="E884" t="s">
        <v>729</v>
      </c>
      <c r="F884">
        <v>10010</v>
      </c>
    </row>
    <row r="885" spans="1:6">
      <c r="A885">
        <v>3786690</v>
      </c>
      <c r="C885">
        <v>45695</v>
      </c>
      <c r="D885" t="s">
        <v>294</v>
      </c>
      <c r="E885" t="s">
        <v>731</v>
      </c>
      <c r="F885">
        <v>10010</v>
      </c>
    </row>
    <row r="886" spans="1:6">
      <c r="A886">
        <v>3786691</v>
      </c>
      <c r="C886">
        <v>45695</v>
      </c>
      <c r="D886" t="s">
        <v>294</v>
      </c>
      <c r="E886" t="s">
        <v>733</v>
      </c>
      <c r="F886">
        <v>10010</v>
      </c>
    </row>
    <row r="887" spans="1:6">
      <c r="A887">
        <v>3786692</v>
      </c>
      <c r="C887">
        <v>45695</v>
      </c>
      <c r="D887" t="s">
        <v>294</v>
      </c>
      <c r="E887" t="s">
        <v>735</v>
      </c>
      <c r="F887">
        <v>10020</v>
      </c>
    </row>
    <row r="888" spans="1:6">
      <c r="A888">
        <v>3786693</v>
      </c>
      <c r="C888">
        <v>45695</v>
      </c>
      <c r="D888" t="s">
        <v>294</v>
      </c>
      <c r="E888" t="s">
        <v>737</v>
      </c>
      <c r="F888">
        <v>10020</v>
      </c>
    </row>
    <row r="889" spans="1:6">
      <c r="A889">
        <v>3786694</v>
      </c>
      <c r="C889">
        <v>45695</v>
      </c>
      <c r="D889" t="s">
        <v>294</v>
      </c>
      <c r="E889" t="s">
        <v>739</v>
      </c>
      <c r="F889">
        <v>10010</v>
      </c>
    </row>
    <row r="890" spans="1:6">
      <c r="A890">
        <v>3786695</v>
      </c>
      <c r="C890">
        <v>45695</v>
      </c>
      <c r="D890" t="s">
        <v>294</v>
      </c>
      <c r="E890" t="s">
        <v>3182</v>
      </c>
      <c r="F890">
        <v>10010</v>
      </c>
    </row>
    <row r="891" spans="1:6">
      <c r="A891">
        <v>3786697</v>
      </c>
      <c r="C891">
        <v>45698</v>
      </c>
      <c r="D891" t="s">
        <v>592</v>
      </c>
      <c r="E891" t="s">
        <v>3183</v>
      </c>
      <c r="F891">
        <v>10010</v>
      </c>
    </row>
    <row r="892" spans="1:6">
      <c r="A892">
        <v>3786698</v>
      </c>
      <c r="C892">
        <v>45700</v>
      </c>
      <c r="D892" t="s">
        <v>230</v>
      </c>
      <c r="E892" t="s">
        <v>744</v>
      </c>
      <c r="F892">
        <v>10310</v>
      </c>
    </row>
    <row r="893" spans="1:6">
      <c r="A893">
        <v>3786699</v>
      </c>
      <c r="C893">
        <v>45700</v>
      </c>
      <c r="D893" t="s">
        <v>230</v>
      </c>
      <c r="E893" t="s">
        <v>747</v>
      </c>
      <c r="F893">
        <v>10310</v>
      </c>
    </row>
    <row r="894" spans="1:6">
      <c r="A894">
        <v>3786700</v>
      </c>
      <c r="C894">
        <v>45700</v>
      </c>
      <c r="D894" t="s">
        <v>230</v>
      </c>
      <c r="E894" t="s">
        <v>747</v>
      </c>
      <c r="F894">
        <v>10310</v>
      </c>
    </row>
    <row r="895" spans="1:6">
      <c r="A895">
        <v>3786696</v>
      </c>
      <c r="C895">
        <v>45695</v>
      </c>
      <c r="D895" t="s">
        <v>592</v>
      </c>
      <c r="E895" t="s">
        <v>741</v>
      </c>
      <c r="F895">
        <v>10010</v>
      </c>
    </row>
    <row r="896" spans="1:6">
      <c r="A896">
        <v>3786701</v>
      </c>
      <c r="C896">
        <v>45702</v>
      </c>
      <c r="D896" t="s">
        <v>506</v>
      </c>
      <c r="E896" t="s">
        <v>752</v>
      </c>
      <c r="F896">
        <v>10020</v>
      </c>
    </row>
    <row r="897" spans="1:6">
      <c r="A897">
        <v>3786702</v>
      </c>
      <c r="C897">
        <v>45702</v>
      </c>
      <c r="D897" t="s">
        <v>506</v>
      </c>
      <c r="E897" t="s">
        <v>754</v>
      </c>
      <c r="F897">
        <v>10020</v>
      </c>
    </row>
    <row r="898" spans="1:6">
      <c r="A898">
        <v>3786703</v>
      </c>
      <c r="C898">
        <v>45702</v>
      </c>
      <c r="D898" t="s">
        <v>506</v>
      </c>
      <c r="E898" t="s">
        <v>756</v>
      </c>
      <c r="F898">
        <v>10020</v>
      </c>
    </row>
    <row r="899" spans="1:6">
      <c r="A899">
        <v>3786704</v>
      </c>
      <c r="C899">
        <v>45705</v>
      </c>
      <c r="D899" t="s">
        <v>118</v>
      </c>
      <c r="E899" t="s">
        <v>758</v>
      </c>
      <c r="F899">
        <v>10010</v>
      </c>
    </row>
    <row r="900" spans="1:6">
      <c r="A900">
        <v>3786705</v>
      </c>
      <c r="C900">
        <v>45705</v>
      </c>
      <c r="D900" t="s">
        <v>118</v>
      </c>
      <c r="E900" t="s">
        <v>760</v>
      </c>
      <c r="F900">
        <v>10020</v>
      </c>
    </row>
    <row r="901" spans="1:6">
      <c r="A901">
        <v>3786706</v>
      </c>
      <c r="C901">
        <v>45705</v>
      </c>
      <c r="D901" t="s">
        <v>118</v>
      </c>
      <c r="E901" t="s">
        <v>762</v>
      </c>
      <c r="F901">
        <v>10020</v>
      </c>
    </row>
    <row r="902" spans="1:6">
      <c r="A902">
        <v>3786707</v>
      </c>
      <c r="C902">
        <v>45705</v>
      </c>
      <c r="D902" t="s">
        <v>118</v>
      </c>
      <c r="E902" t="s">
        <v>764</v>
      </c>
      <c r="F902">
        <v>10010</v>
      </c>
    </row>
    <row r="903" spans="1:6">
      <c r="A903">
        <v>3786708</v>
      </c>
      <c r="C903">
        <v>45705</v>
      </c>
      <c r="D903" t="s">
        <v>118</v>
      </c>
      <c r="E903" t="s">
        <v>766</v>
      </c>
      <c r="F903">
        <v>10010</v>
      </c>
    </row>
    <row r="904" spans="1:6">
      <c r="A904">
        <v>3786709</v>
      </c>
      <c r="C904">
        <v>45706</v>
      </c>
      <c r="D904" t="s">
        <v>230</v>
      </c>
      <c r="E904" t="s">
        <v>1391</v>
      </c>
      <c r="F904">
        <v>10310</v>
      </c>
    </row>
    <row r="905" spans="1:6">
      <c r="A905">
        <v>3786710</v>
      </c>
      <c r="C905">
        <v>45707</v>
      </c>
      <c r="D905" t="s">
        <v>294</v>
      </c>
      <c r="E905" t="s">
        <v>770</v>
      </c>
      <c r="F905">
        <v>10010</v>
      </c>
    </row>
    <row r="906" spans="1:6">
      <c r="A906">
        <v>3786711</v>
      </c>
      <c r="C906">
        <v>45707</v>
      </c>
      <c r="D906" t="s">
        <v>773</v>
      </c>
      <c r="E906" t="s">
        <v>774</v>
      </c>
      <c r="F906">
        <v>10030</v>
      </c>
    </row>
    <row r="907" spans="1:6">
      <c r="A907">
        <v>3786712</v>
      </c>
      <c r="C907">
        <v>45707</v>
      </c>
      <c r="D907" t="s">
        <v>773</v>
      </c>
      <c r="E907" t="s">
        <v>781</v>
      </c>
      <c r="F907">
        <v>10040</v>
      </c>
    </row>
    <row r="908" spans="1:6">
      <c r="A908">
        <v>3786713</v>
      </c>
      <c r="C908">
        <v>45707</v>
      </c>
      <c r="D908" t="s">
        <v>773</v>
      </c>
      <c r="E908" t="s">
        <v>783</v>
      </c>
      <c r="F908">
        <v>10070</v>
      </c>
    </row>
    <row r="909" spans="1:6">
      <c r="A909">
        <v>3786714</v>
      </c>
      <c r="C909">
        <v>45707</v>
      </c>
      <c r="D909" t="s">
        <v>787</v>
      </c>
      <c r="E909" t="s">
        <v>3184</v>
      </c>
      <c r="F909">
        <v>10020</v>
      </c>
    </row>
    <row r="910" spans="1:6">
      <c r="A910">
        <v>3786715</v>
      </c>
      <c r="C910">
        <v>45707</v>
      </c>
      <c r="D910" t="s">
        <v>787</v>
      </c>
      <c r="E910" t="s">
        <v>3185</v>
      </c>
      <c r="F910">
        <v>10010</v>
      </c>
    </row>
    <row r="911" spans="1:6">
      <c r="A911">
        <v>3786716</v>
      </c>
      <c r="C911">
        <v>45707</v>
      </c>
      <c r="D911" t="s">
        <v>787</v>
      </c>
      <c r="E911" t="s">
        <v>3186</v>
      </c>
      <c r="F911">
        <v>10020</v>
      </c>
    </row>
    <row r="912" spans="1:6">
      <c r="A912">
        <v>3786717</v>
      </c>
      <c r="C912">
        <v>45707</v>
      </c>
      <c r="D912" t="s">
        <v>787</v>
      </c>
      <c r="E912" t="s">
        <v>3187</v>
      </c>
      <c r="F912">
        <v>10010</v>
      </c>
    </row>
    <row r="913" spans="1:6">
      <c r="A913">
        <v>3786718</v>
      </c>
      <c r="C913">
        <v>45707</v>
      </c>
      <c r="D913" t="s">
        <v>787</v>
      </c>
      <c r="E913" t="s">
        <v>3188</v>
      </c>
      <c r="F913">
        <v>10010</v>
      </c>
    </row>
    <row r="914" spans="1:6">
      <c r="A914">
        <v>3786719</v>
      </c>
      <c r="C914">
        <v>45707</v>
      </c>
      <c r="D914" t="s">
        <v>787</v>
      </c>
      <c r="E914" t="s">
        <v>3189</v>
      </c>
      <c r="F914">
        <v>10010</v>
      </c>
    </row>
    <row r="915" spans="1:6">
      <c r="A915">
        <v>3786720</v>
      </c>
      <c r="C915">
        <v>45707</v>
      </c>
      <c r="D915" t="s">
        <v>118</v>
      </c>
      <c r="E915" t="s">
        <v>802</v>
      </c>
      <c r="F915">
        <v>10111</v>
      </c>
    </row>
    <row r="916" spans="1:6">
      <c r="A916">
        <v>3786721</v>
      </c>
      <c r="C916">
        <v>45707</v>
      </c>
      <c r="D916" t="s">
        <v>118</v>
      </c>
      <c r="E916" t="s">
        <v>804</v>
      </c>
      <c r="F916">
        <v>10080</v>
      </c>
    </row>
    <row r="917" spans="1:6">
      <c r="A917">
        <v>3786722</v>
      </c>
      <c r="C917">
        <v>45707</v>
      </c>
      <c r="D917" t="s">
        <v>118</v>
      </c>
      <c r="E917" t="s">
        <v>809</v>
      </c>
      <c r="F917">
        <v>10070</v>
      </c>
    </row>
    <row r="918" spans="1:6">
      <c r="A918">
        <v>3786723</v>
      </c>
      <c r="C918">
        <v>45707</v>
      </c>
      <c r="D918" t="s">
        <v>454</v>
      </c>
      <c r="E918" t="s">
        <v>813</v>
      </c>
      <c r="F918">
        <v>10140</v>
      </c>
    </row>
    <row r="919" spans="1:6">
      <c r="A919">
        <v>3786724</v>
      </c>
      <c r="C919">
        <v>45708</v>
      </c>
      <c r="D919" t="s">
        <v>118</v>
      </c>
      <c r="E919" t="s">
        <v>3190</v>
      </c>
      <c r="F919">
        <v>10310</v>
      </c>
    </row>
    <row r="920" spans="1:6">
      <c r="A920">
        <v>3786725</v>
      </c>
      <c r="C920">
        <v>45712</v>
      </c>
      <c r="D920" t="s">
        <v>118</v>
      </c>
      <c r="E920" t="s">
        <v>3190</v>
      </c>
      <c r="F920">
        <v>10310</v>
      </c>
    </row>
    <row r="921" spans="1:6">
      <c r="A921">
        <v>3786726</v>
      </c>
      <c r="C921">
        <v>45712</v>
      </c>
      <c r="D921" t="s">
        <v>773</v>
      </c>
      <c r="E921" t="s">
        <v>822</v>
      </c>
      <c r="F921">
        <v>10020</v>
      </c>
    </row>
    <row r="922" spans="1:6">
      <c r="A922">
        <v>3786727</v>
      </c>
      <c r="C922">
        <v>45712</v>
      </c>
      <c r="D922" t="s">
        <v>773</v>
      </c>
      <c r="E922" t="s">
        <v>824</v>
      </c>
      <c r="F922">
        <v>10020</v>
      </c>
    </row>
    <row r="923" spans="1:6">
      <c r="A923">
        <v>3786728</v>
      </c>
      <c r="C923">
        <v>45712</v>
      </c>
      <c r="D923" t="s">
        <v>773</v>
      </c>
      <c r="E923" t="s">
        <v>826</v>
      </c>
      <c r="F923">
        <v>10020</v>
      </c>
    </row>
    <row r="924" spans="1:6">
      <c r="A924">
        <v>3786729</v>
      </c>
      <c r="C924">
        <v>45712</v>
      </c>
      <c r="D924" t="s">
        <v>773</v>
      </c>
      <c r="E924" t="s">
        <v>828</v>
      </c>
      <c r="F924">
        <v>10020</v>
      </c>
    </row>
    <row r="925" spans="1:6">
      <c r="A925">
        <v>3786730</v>
      </c>
      <c r="C925">
        <v>45712</v>
      </c>
      <c r="D925" t="s">
        <v>773</v>
      </c>
      <c r="E925" t="s">
        <v>830</v>
      </c>
      <c r="F925">
        <v>10020</v>
      </c>
    </row>
    <row r="926" spans="1:6">
      <c r="A926">
        <v>3786731</v>
      </c>
      <c r="C926">
        <v>45712</v>
      </c>
      <c r="D926" t="s">
        <v>773</v>
      </c>
      <c r="E926" t="s">
        <v>832</v>
      </c>
      <c r="F926">
        <v>10020</v>
      </c>
    </row>
    <row r="927" spans="1:6">
      <c r="A927">
        <v>3786732</v>
      </c>
      <c r="C927">
        <v>45712</v>
      </c>
      <c r="D927" t="s">
        <v>773</v>
      </c>
      <c r="E927" t="s">
        <v>834</v>
      </c>
      <c r="F927">
        <v>10020</v>
      </c>
    </row>
    <row r="928" spans="1:6">
      <c r="A928">
        <v>3786733</v>
      </c>
      <c r="C928">
        <v>45712</v>
      </c>
      <c r="D928" t="s">
        <v>773</v>
      </c>
      <c r="E928" t="s">
        <v>836</v>
      </c>
      <c r="F928">
        <v>10010</v>
      </c>
    </row>
    <row r="929" spans="1:6">
      <c r="A929">
        <v>3786734</v>
      </c>
      <c r="C929">
        <v>45712</v>
      </c>
      <c r="D929" t="s">
        <v>773</v>
      </c>
      <c r="E929" t="s">
        <v>838</v>
      </c>
      <c r="F929">
        <v>10010</v>
      </c>
    </row>
    <row r="930" spans="1:6">
      <c r="A930">
        <v>3786735</v>
      </c>
      <c r="C930">
        <v>45712</v>
      </c>
      <c r="D930" t="s">
        <v>773</v>
      </c>
      <c r="E930" t="s">
        <v>840</v>
      </c>
      <c r="F930">
        <v>10010</v>
      </c>
    </row>
    <row r="931" spans="1:6">
      <c r="A931">
        <v>3786736</v>
      </c>
      <c r="C931">
        <v>45712</v>
      </c>
      <c r="D931" t="s">
        <v>773</v>
      </c>
      <c r="E931" t="s">
        <v>842</v>
      </c>
      <c r="F931">
        <v>10010</v>
      </c>
    </row>
    <row r="932" spans="1:6">
      <c r="A932">
        <v>3786737</v>
      </c>
      <c r="C932">
        <v>45712</v>
      </c>
      <c r="D932" t="s">
        <v>773</v>
      </c>
      <c r="E932" t="s">
        <v>844</v>
      </c>
      <c r="F932">
        <v>10010</v>
      </c>
    </row>
    <row r="933" spans="1:6">
      <c r="A933">
        <v>3786738</v>
      </c>
      <c r="C933">
        <v>45712</v>
      </c>
      <c r="D933" t="s">
        <v>773</v>
      </c>
      <c r="E933" t="s">
        <v>846</v>
      </c>
      <c r="F933">
        <v>10030</v>
      </c>
    </row>
    <row r="934" spans="1:6">
      <c r="A934">
        <v>3786739</v>
      </c>
      <c r="C934">
        <v>45712</v>
      </c>
      <c r="D934" t="s">
        <v>773</v>
      </c>
      <c r="E934" t="s">
        <v>848</v>
      </c>
      <c r="F934">
        <v>10030</v>
      </c>
    </row>
    <row r="935" spans="1:6">
      <c r="A935">
        <v>3786740</v>
      </c>
      <c r="C935">
        <v>45712</v>
      </c>
      <c r="D935" t="s">
        <v>773</v>
      </c>
      <c r="E935" t="s">
        <v>846</v>
      </c>
      <c r="F935">
        <v>10030</v>
      </c>
    </row>
    <row r="936" spans="1:6">
      <c r="A936">
        <v>3786741</v>
      </c>
      <c r="C936">
        <v>45712</v>
      </c>
      <c r="D936" t="s">
        <v>506</v>
      </c>
      <c r="E936" t="s">
        <v>852</v>
      </c>
      <c r="F936">
        <v>10020</v>
      </c>
    </row>
    <row r="937" spans="1:6">
      <c r="A937">
        <v>3786742</v>
      </c>
      <c r="C937">
        <v>45712</v>
      </c>
      <c r="D937" t="s">
        <v>506</v>
      </c>
      <c r="E937" t="s">
        <v>854</v>
      </c>
      <c r="F937">
        <v>10010</v>
      </c>
    </row>
    <row r="938" spans="1:6">
      <c r="A938">
        <v>3786743</v>
      </c>
      <c r="C938">
        <v>45712</v>
      </c>
      <c r="D938" t="s">
        <v>506</v>
      </c>
      <c r="E938" t="s">
        <v>856</v>
      </c>
      <c r="F938">
        <v>10010</v>
      </c>
    </row>
    <row r="939" spans="1:6">
      <c r="A939">
        <v>3786744</v>
      </c>
      <c r="C939">
        <v>45712</v>
      </c>
      <c r="D939" t="s">
        <v>506</v>
      </c>
      <c r="E939" t="s">
        <v>858</v>
      </c>
      <c r="F939">
        <v>10010</v>
      </c>
    </row>
    <row r="940" spans="1:6">
      <c r="A940">
        <v>3786745</v>
      </c>
      <c r="C940">
        <v>45712</v>
      </c>
      <c r="D940" t="s">
        <v>506</v>
      </c>
      <c r="E940" t="s">
        <v>860</v>
      </c>
      <c r="F940">
        <v>10030</v>
      </c>
    </row>
    <row r="941" spans="1:6">
      <c r="A941">
        <v>3786746</v>
      </c>
      <c r="C941">
        <v>45712</v>
      </c>
      <c r="D941" t="s">
        <v>861</v>
      </c>
      <c r="E941" t="s">
        <v>863</v>
      </c>
      <c r="F941">
        <v>10010</v>
      </c>
    </row>
    <row r="942" spans="1:6">
      <c r="A942">
        <v>3786747</v>
      </c>
      <c r="C942">
        <v>45712</v>
      </c>
      <c r="D942" t="s">
        <v>861</v>
      </c>
      <c r="E942" t="s">
        <v>867</v>
      </c>
      <c r="F942">
        <v>10010</v>
      </c>
    </row>
    <row r="943" spans="1:6">
      <c r="A943">
        <v>3786748</v>
      </c>
      <c r="C943">
        <v>45712</v>
      </c>
      <c r="D943" t="s">
        <v>861</v>
      </c>
      <c r="E943" t="s">
        <v>869</v>
      </c>
      <c r="F943">
        <v>10020</v>
      </c>
    </row>
    <row r="944" spans="1:6">
      <c r="A944">
        <v>3786749</v>
      </c>
      <c r="C944">
        <v>45712</v>
      </c>
      <c r="D944" t="s">
        <v>861</v>
      </c>
      <c r="E944" t="s">
        <v>871</v>
      </c>
      <c r="F944">
        <v>10010</v>
      </c>
    </row>
    <row r="945" spans="1:6">
      <c r="A945">
        <v>3786750</v>
      </c>
      <c r="C945">
        <v>45712</v>
      </c>
      <c r="D945" t="s">
        <v>861</v>
      </c>
      <c r="E945" t="s">
        <v>873</v>
      </c>
      <c r="F945">
        <v>10010</v>
      </c>
    </row>
    <row r="946" spans="1:6">
      <c r="A946">
        <v>3786751</v>
      </c>
      <c r="C946">
        <v>45712</v>
      </c>
      <c r="D946" t="s">
        <v>861</v>
      </c>
      <c r="E946" t="s">
        <v>875</v>
      </c>
      <c r="F946">
        <v>10010</v>
      </c>
    </row>
    <row r="947" spans="1:6">
      <c r="A947">
        <v>3786752</v>
      </c>
      <c r="C947">
        <v>45712</v>
      </c>
      <c r="D947" t="s">
        <v>861</v>
      </c>
      <c r="E947" t="s">
        <v>877</v>
      </c>
      <c r="F947">
        <v>10010</v>
      </c>
    </row>
    <row r="948" spans="1:6">
      <c r="A948">
        <v>3786753</v>
      </c>
      <c r="C948">
        <v>45712</v>
      </c>
      <c r="D948" t="s">
        <v>861</v>
      </c>
      <c r="E948" t="s">
        <v>879</v>
      </c>
      <c r="F948">
        <v>10010</v>
      </c>
    </row>
    <row r="949" spans="1:6">
      <c r="A949">
        <v>3786754</v>
      </c>
      <c r="C949">
        <v>45712</v>
      </c>
      <c r="D949" t="s">
        <v>861</v>
      </c>
      <c r="E949" t="s">
        <v>881</v>
      </c>
      <c r="F949">
        <v>10010</v>
      </c>
    </row>
    <row r="950" spans="1:6">
      <c r="A950">
        <v>3786755</v>
      </c>
      <c r="C950">
        <v>45712</v>
      </c>
      <c r="D950" t="s">
        <v>861</v>
      </c>
      <c r="E950" t="s">
        <v>883</v>
      </c>
      <c r="F950">
        <v>10030</v>
      </c>
    </row>
    <row r="951" spans="1:6">
      <c r="A951">
        <v>3786756</v>
      </c>
      <c r="C951">
        <v>45713</v>
      </c>
      <c r="D951" t="s">
        <v>447</v>
      </c>
      <c r="E951" t="s">
        <v>886</v>
      </c>
      <c r="F951">
        <v>10010</v>
      </c>
    </row>
    <row r="952" spans="1:6">
      <c r="A952">
        <v>3786757</v>
      </c>
      <c r="C952">
        <v>45713</v>
      </c>
      <c r="D952" t="s">
        <v>447</v>
      </c>
      <c r="E952" t="s">
        <v>886</v>
      </c>
      <c r="F952">
        <v>10010</v>
      </c>
    </row>
    <row r="953" spans="1:6">
      <c r="A953">
        <v>3786758</v>
      </c>
      <c r="C953">
        <v>45713</v>
      </c>
      <c r="D953" t="s">
        <v>447</v>
      </c>
      <c r="E953" t="s">
        <v>891</v>
      </c>
      <c r="F953">
        <v>10020</v>
      </c>
    </row>
    <row r="954" spans="1:6">
      <c r="A954">
        <v>3786759</v>
      </c>
      <c r="C954">
        <v>45713</v>
      </c>
      <c r="D954" t="s">
        <v>447</v>
      </c>
      <c r="E954" t="s">
        <v>891</v>
      </c>
      <c r="F954">
        <v>10020</v>
      </c>
    </row>
    <row r="955" spans="1:6">
      <c r="A955">
        <v>3786760</v>
      </c>
      <c r="C955">
        <v>45713</v>
      </c>
      <c r="D955" t="s">
        <v>454</v>
      </c>
      <c r="E955" t="s">
        <v>894</v>
      </c>
      <c r="F955">
        <v>10140</v>
      </c>
    </row>
    <row r="956" spans="1:6">
      <c r="A956">
        <v>3786761</v>
      </c>
      <c r="C956">
        <v>45713</v>
      </c>
      <c r="D956" t="s">
        <v>454</v>
      </c>
      <c r="E956" t="s">
        <v>894</v>
      </c>
      <c r="F956">
        <v>10140</v>
      </c>
    </row>
    <row r="957" spans="1:6">
      <c r="A957">
        <v>3786762</v>
      </c>
      <c r="C957">
        <v>45713</v>
      </c>
      <c r="D957" t="s">
        <v>454</v>
      </c>
      <c r="E957" t="s">
        <v>894</v>
      </c>
      <c r="F957">
        <v>10140</v>
      </c>
    </row>
    <row r="958" spans="1:6">
      <c r="A958">
        <v>3786763</v>
      </c>
      <c r="C958">
        <v>45713</v>
      </c>
      <c r="D958" t="s">
        <v>454</v>
      </c>
      <c r="E958" t="s">
        <v>894</v>
      </c>
      <c r="F958">
        <v>10140</v>
      </c>
    </row>
    <row r="959" spans="1:6">
      <c r="A959">
        <v>3786764</v>
      </c>
      <c r="C959">
        <v>45720</v>
      </c>
      <c r="D959" t="s">
        <v>773</v>
      </c>
      <c r="E959" t="s">
        <v>904</v>
      </c>
      <c r="F959">
        <v>10020</v>
      </c>
    </row>
    <row r="960" spans="1:6">
      <c r="A960">
        <v>3786765</v>
      </c>
      <c r="C960">
        <v>45720</v>
      </c>
      <c r="D960" t="s">
        <v>773</v>
      </c>
      <c r="E960" t="s">
        <v>906</v>
      </c>
      <c r="F960">
        <v>10020</v>
      </c>
    </row>
    <row r="961" spans="1:6">
      <c r="A961">
        <v>3786766</v>
      </c>
      <c r="C961">
        <v>45720</v>
      </c>
      <c r="D961" t="s">
        <v>773</v>
      </c>
      <c r="E961" t="s">
        <v>908</v>
      </c>
      <c r="F961">
        <v>10010</v>
      </c>
    </row>
    <row r="962" spans="1:6">
      <c r="A962">
        <v>3786767</v>
      </c>
      <c r="C962">
        <v>45720</v>
      </c>
      <c r="D962" t="s">
        <v>787</v>
      </c>
      <c r="E962" t="s">
        <v>3191</v>
      </c>
      <c r="F962">
        <v>10010</v>
      </c>
    </row>
    <row r="963" spans="1:6">
      <c r="A963">
        <v>3786768</v>
      </c>
      <c r="C963">
        <v>45721</v>
      </c>
      <c r="D963" t="s">
        <v>118</v>
      </c>
      <c r="E963" t="s">
        <v>913</v>
      </c>
      <c r="F963">
        <v>10140</v>
      </c>
    </row>
    <row r="964" spans="1:6">
      <c r="A964">
        <v>3786769</v>
      </c>
      <c r="C964">
        <v>45721</v>
      </c>
      <c r="D964" t="s">
        <v>118</v>
      </c>
      <c r="E964" t="s">
        <v>913</v>
      </c>
      <c r="F964">
        <v>10140</v>
      </c>
    </row>
    <row r="965" spans="1:6">
      <c r="A965">
        <v>3786770</v>
      </c>
      <c r="C965">
        <v>45722</v>
      </c>
      <c r="D965" t="s">
        <v>916</v>
      </c>
      <c r="E965" t="s">
        <v>261</v>
      </c>
      <c r="F965">
        <v>10060</v>
      </c>
    </row>
    <row r="966" spans="1:6">
      <c r="A966">
        <v>3786771</v>
      </c>
      <c r="C966">
        <v>45722</v>
      </c>
      <c r="D966" t="s">
        <v>773</v>
      </c>
      <c r="E966" t="s">
        <v>922</v>
      </c>
      <c r="F966">
        <v>10010</v>
      </c>
    </row>
    <row r="967" spans="1:6">
      <c r="A967">
        <v>3786772</v>
      </c>
      <c r="C967">
        <v>45722</v>
      </c>
      <c r="D967" t="s">
        <v>773</v>
      </c>
      <c r="E967" t="s">
        <v>924</v>
      </c>
      <c r="F967">
        <v>10020</v>
      </c>
    </row>
    <row r="968" spans="1:6">
      <c r="A968">
        <v>3786773</v>
      </c>
      <c r="C968">
        <v>45722</v>
      </c>
      <c r="D968" t="s">
        <v>773</v>
      </c>
      <c r="E968" t="s">
        <v>927</v>
      </c>
      <c r="F968">
        <v>10010</v>
      </c>
    </row>
    <row r="969" spans="1:6">
      <c r="A969">
        <v>3786774</v>
      </c>
      <c r="C969">
        <v>45722</v>
      </c>
      <c r="D969" t="s">
        <v>773</v>
      </c>
      <c r="E969" t="s">
        <v>929</v>
      </c>
      <c r="F969">
        <v>10020</v>
      </c>
    </row>
    <row r="970" spans="1:6">
      <c r="A970">
        <v>3786775</v>
      </c>
      <c r="C970">
        <v>45722</v>
      </c>
      <c r="D970" t="s">
        <v>773</v>
      </c>
      <c r="E970" t="s">
        <v>931</v>
      </c>
      <c r="F970">
        <v>10010</v>
      </c>
    </row>
    <row r="971" spans="1:6">
      <c r="A971">
        <v>3786776</v>
      </c>
      <c r="C971">
        <v>45722</v>
      </c>
      <c r="D971" t="s">
        <v>773</v>
      </c>
      <c r="E971" t="s">
        <v>933</v>
      </c>
      <c r="F971">
        <v>10010</v>
      </c>
    </row>
    <row r="972" spans="1:6">
      <c r="A972">
        <v>3786777</v>
      </c>
      <c r="C972">
        <v>45722</v>
      </c>
      <c r="D972" t="s">
        <v>773</v>
      </c>
      <c r="E972" t="s">
        <v>935</v>
      </c>
      <c r="F972">
        <v>10020</v>
      </c>
    </row>
    <row r="973" spans="1:6">
      <c r="A973">
        <v>3786778</v>
      </c>
      <c r="C973">
        <v>45722</v>
      </c>
      <c r="D973" t="s">
        <v>773</v>
      </c>
      <c r="E973" t="s">
        <v>937</v>
      </c>
      <c r="F973">
        <v>10010</v>
      </c>
    </row>
    <row r="974" spans="1:6">
      <c r="A974">
        <v>3786779</v>
      </c>
      <c r="C974">
        <v>45722</v>
      </c>
      <c r="D974" t="s">
        <v>773</v>
      </c>
      <c r="E974" t="s">
        <v>939</v>
      </c>
      <c r="F974">
        <v>10020</v>
      </c>
    </row>
    <row r="975" spans="1:6">
      <c r="A975">
        <v>3786780</v>
      </c>
      <c r="C975">
        <v>45722</v>
      </c>
      <c r="D975" t="s">
        <v>773</v>
      </c>
      <c r="E975" t="s">
        <v>941</v>
      </c>
      <c r="F975">
        <v>10010</v>
      </c>
    </row>
    <row r="976" spans="1:6">
      <c r="A976">
        <v>3786781</v>
      </c>
      <c r="C976">
        <v>45722</v>
      </c>
      <c r="D976" t="s">
        <v>773</v>
      </c>
      <c r="E976" t="s">
        <v>943</v>
      </c>
      <c r="F976">
        <v>10080</v>
      </c>
    </row>
    <row r="977" spans="1:6">
      <c r="A977">
        <v>3786782</v>
      </c>
      <c r="C977">
        <v>45722</v>
      </c>
      <c r="D977" t="s">
        <v>773</v>
      </c>
      <c r="E977" t="s">
        <v>945</v>
      </c>
      <c r="F977">
        <v>10010</v>
      </c>
    </row>
    <row r="978" spans="1:6">
      <c r="A978">
        <v>3786783</v>
      </c>
      <c r="C978">
        <v>45722</v>
      </c>
      <c r="D978" t="s">
        <v>773</v>
      </c>
      <c r="E978" t="s">
        <v>947</v>
      </c>
      <c r="F978">
        <v>10020</v>
      </c>
    </row>
    <row r="979" spans="1:6">
      <c r="A979">
        <v>3786784</v>
      </c>
      <c r="C979">
        <v>45722</v>
      </c>
      <c r="D979" t="s">
        <v>773</v>
      </c>
      <c r="E979" t="s">
        <v>949</v>
      </c>
      <c r="F979">
        <v>10010</v>
      </c>
    </row>
    <row r="980" spans="1:6">
      <c r="A980">
        <v>3786785</v>
      </c>
      <c r="C980">
        <v>45722</v>
      </c>
      <c r="D980" t="s">
        <v>773</v>
      </c>
      <c r="E980" t="s">
        <v>951</v>
      </c>
      <c r="F980">
        <v>10020</v>
      </c>
    </row>
    <row r="981" spans="1:6">
      <c r="A981">
        <v>3786786</v>
      </c>
      <c r="C981">
        <v>45722</v>
      </c>
      <c r="D981" t="s">
        <v>773</v>
      </c>
      <c r="E981" t="s">
        <v>953</v>
      </c>
      <c r="F981">
        <v>10020</v>
      </c>
    </row>
    <row r="982" spans="1:6">
      <c r="A982">
        <v>3786787</v>
      </c>
      <c r="C982">
        <v>45722</v>
      </c>
      <c r="D982" t="s">
        <v>773</v>
      </c>
      <c r="E982" t="s">
        <v>955</v>
      </c>
      <c r="F982">
        <v>10010</v>
      </c>
    </row>
    <row r="983" spans="1:6">
      <c r="A983">
        <v>3786788</v>
      </c>
      <c r="C983">
        <v>45722</v>
      </c>
      <c r="D983" t="s">
        <v>773</v>
      </c>
      <c r="E983" t="s">
        <v>957</v>
      </c>
      <c r="F983">
        <v>10010</v>
      </c>
    </row>
    <row r="984" spans="1:6">
      <c r="A984">
        <v>3786789</v>
      </c>
      <c r="C984">
        <v>45722</v>
      </c>
      <c r="D984" t="s">
        <v>773</v>
      </c>
      <c r="E984" t="s">
        <v>959</v>
      </c>
      <c r="F984">
        <v>10020</v>
      </c>
    </row>
    <row r="985" spans="1:6">
      <c r="A985">
        <v>3786790</v>
      </c>
      <c r="C985">
        <v>45722</v>
      </c>
      <c r="D985" t="s">
        <v>773</v>
      </c>
      <c r="E985" t="s">
        <v>961</v>
      </c>
      <c r="F985">
        <v>10020</v>
      </c>
    </row>
    <row r="986" spans="1:6">
      <c r="A986">
        <v>3786791</v>
      </c>
      <c r="C986">
        <v>45722</v>
      </c>
      <c r="D986" t="s">
        <v>773</v>
      </c>
      <c r="E986" t="s">
        <v>963</v>
      </c>
      <c r="F986">
        <v>10020</v>
      </c>
    </row>
    <row r="987" spans="1:6">
      <c r="A987">
        <v>3786792</v>
      </c>
      <c r="C987">
        <v>45722</v>
      </c>
      <c r="D987" t="s">
        <v>773</v>
      </c>
      <c r="E987" t="s">
        <v>965</v>
      </c>
      <c r="F987">
        <v>10020</v>
      </c>
    </row>
    <row r="988" spans="1:6">
      <c r="A988">
        <v>3786793</v>
      </c>
      <c r="C988">
        <v>45722</v>
      </c>
      <c r="D988" t="s">
        <v>773</v>
      </c>
      <c r="E988" t="s">
        <v>967</v>
      </c>
      <c r="F988">
        <v>10020</v>
      </c>
    </row>
    <row r="989" spans="1:6">
      <c r="A989">
        <v>3786794</v>
      </c>
      <c r="C989">
        <v>45722</v>
      </c>
      <c r="D989" t="s">
        <v>773</v>
      </c>
      <c r="E989" t="s">
        <v>969</v>
      </c>
      <c r="F989">
        <v>10010</v>
      </c>
    </row>
    <row r="990" spans="1:6">
      <c r="A990">
        <v>3786795</v>
      </c>
      <c r="C990">
        <v>45722</v>
      </c>
      <c r="D990" t="s">
        <v>773</v>
      </c>
      <c r="E990" t="s">
        <v>971</v>
      </c>
      <c r="F990">
        <v>10020</v>
      </c>
    </row>
    <row r="991" spans="1:6">
      <c r="A991">
        <v>3786796</v>
      </c>
      <c r="C991">
        <v>45722</v>
      </c>
      <c r="D991" t="s">
        <v>773</v>
      </c>
      <c r="E991" t="s">
        <v>3192</v>
      </c>
      <c r="F991">
        <v>10010</v>
      </c>
    </row>
    <row r="992" spans="1:6">
      <c r="A992">
        <v>3786797</v>
      </c>
      <c r="B992" t="s">
        <v>974</v>
      </c>
      <c r="C992">
        <v>45722</v>
      </c>
      <c r="D992" t="s">
        <v>294</v>
      </c>
      <c r="E992" t="s">
        <v>976</v>
      </c>
      <c r="F992">
        <v>10010</v>
      </c>
    </row>
    <row r="993" spans="1:6">
      <c r="A993">
        <v>3786798</v>
      </c>
      <c r="B993" t="s">
        <v>978</v>
      </c>
      <c r="C993">
        <v>45722</v>
      </c>
      <c r="D993" t="s">
        <v>294</v>
      </c>
      <c r="E993" t="s">
        <v>980</v>
      </c>
      <c r="F993">
        <v>10010</v>
      </c>
    </row>
    <row r="994" spans="1:6">
      <c r="A994">
        <v>3786799</v>
      </c>
      <c r="B994" t="s">
        <v>981</v>
      </c>
      <c r="C994">
        <v>45722</v>
      </c>
      <c r="D994" t="s">
        <v>294</v>
      </c>
      <c r="E994" t="s">
        <v>983</v>
      </c>
      <c r="F994">
        <v>10020</v>
      </c>
    </row>
    <row r="995" spans="1:6">
      <c r="A995">
        <v>3786800</v>
      </c>
      <c r="B995" t="s">
        <v>984</v>
      </c>
      <c r="C995">
        <v>45722</v>
      </c>
      <c r="D995" t="s">
        <v>294</v>
      </c>
      <c r="E995" t="s">
        <v>986</v>
      </c>
      <c r="F995">
        <v>10010</v>
      </c>
    </row>
    <row r="996" spans="1:6">
      <c r="A996">
        <v>3786801</v>
      </c>
      <c r="B996" t="s">
        <v>984</v>
      </c>
      <c r="C996">
        <v>45722</v>
      </c>
      <c r="D996" t="s">
        <v>294</v>
      </c>
      <c r="E996" t="s">
        <v>988</v>
      </c>
      <c r="F996">
        <v>10010</v>
      </c>
    </row>
    <row r="997" spans="1:6">
      <c r="A997">
        <v>3786802</v>
      </c>
      <c r="B997" t="s">
        <v>989</v>
      </c>
      <c r="C997">
        <v>45722</v>
      </c>
      <c r="D997" t="s">
        <v>294</v>
      </c>
      <c r="E997" t="s">
        <v>991</v>
      </c>
      <c r="F997">
        <v>10010</v>
      </c>
    </row>
    <row r="998" spans="1:6">
      <c r="A998">
        <v>3786803</v>
      </c>
      <c r="B998" t="s">
        <v>989</v>
      </c>
      <c r="C998">
        <v>45722</v>
      </c>
      <c r="D998" t="s">
        <v>294</v>
      </c>
      <c r="E998" t="s">
        <v>993</v>
      </c>
      <c r="F998">
        <v>10010</v>
      </c>
    </row>
    <row r="999" spans="1:6">
      <c r="A999">
        <v>3786804</v>
      </c>
      <c r="B999" t="s">
        <v>994</v>
      </c>
      <c r="C999">
        <v>45722</v>
      </c>
      <c r="D999" t="s">
        <v>294</v>
      </c>
      <c r="E999" t="s">
        <v>996</v>
      </c>
      <c r="F999">
        <v>10020</v>
      </c>
    </row>
    <row r="1000" spans="1:6">
      <c r="A1000">
        <v>3786805</v>
      </c>
      <c r="B1000" t="s">
        <v>997</v>
      </c>
      <c r="C1000">
        <v>45722</v>
      </c>
      <c r="D1000" t="s">
        <v>294</v>
      </c>
      <c r="E1000" t="s">
        <v>999</v>
      </c>
      <c r="F1000">
        <v>10010</v>
      </c>
    </row>
    <row r="1001" spans="1:6">
      <c r="A1001">
        <v>3786806</v>
      </c>
      <c r="B1001" t="s">
        <v>997</v>
      </c>
      <c r="C1001">
        <v>45722</v>
      </c>
      <c r="D1001" t="s">
        <v>294</v>
      </c>
      <c r="E1001" t="s">
        <v>1001</v>
      </c>
      <c r="F1001">
        <v>10010</v>
      </c>
    </row>
    <row r="1002" spans="1:6">
      <c r="A1002">
        <v>3786807</v>
      </c>
      <c r="B1002" t="s">
        <v>1002</v>
      </c>
      <c r="C1002">
        <v>45722</v>
      </c>
      <c r="D1002" t="s">
        <v>294</v>
      </c>
      <c r="E1002" t="s">
        <v>1004</v>
      </c>
      <c r="F1002">
        <v>10020</v>
      </c>
    </row>
    <row r="1003" spans="1:6">
      <c r="A1003">
        <v>3786808</v>
      </c>
      <c r="B1003" t="s">
        <v>3193</v>
      </c>
      <c r="C1003">
        <v>45722</v>
      </c>
      <c r="D1003" t="s">
        <v>294</v>
      </c>
      <c r="E1003" t="s">
        <v>1006</v>
      </c>
      <c r="F1003">
        <v>10020</v>
      </c>
    </row>
    <row r="1004" spans="1:6">
      <c r="A1004">
        <v>3786809</v>
      </c>
      <c r="B1004" t="s">
        <v>3194</v>
      </c>
      <c r="C1004">
        <v>45722</v>
      </c>
      <c r="D1004" t="s">
        <v>294</v>
      </c>
      <c r="E1004" t="s">
        <v>1008</v>
      </c>
      <c r="F1004">
        <v>10010</v>
      </c>
    </row>
    <row r="1005" spans="1:6">
      <c r="A1005">
        <v>3786810</v>
      </c>
      <c r="B1005" t="s">
        <v>3195</v>
      </c>
      <c r="C1005">
        <v>45722</v>
      </c>
      <c r="D1005" t="s">
        <v>294</v>
      </c>
      <c r="E1005" t="s">
        <v>1010</v>
      </c>
      <c r="F1005">
        <v>10020</v>
      </c>
    </row>
    <row r="1006" spans="1:6">
      <c r="A1006">
        <v>3786811</v>
      </c>
      <c r="B1006" t="s">
        <v>3196</v>
      </c>
      <c r="C1006">
        <v>45722</v>
      </c>
      <c r="D1006" t="s">
        <v>294</v>
      </c>
      <c r="E1006" t="s">
        <v>1012</v>
      </c>
      <c r="F1006">
        <v>10020</v>
      </c>
    </row>
    <row r="1007" spans="1:6">
      <c r="A1007">
        <v>3786812</v>
      </c>
      <c r="B1007" t="s">
        <v>3197</v>
      </c>
      <c r="C1007">
        <v>45722</v>
      </c>
      <c r="D1007" t="s">
        <v>294</v>
      </c>
      <c r="E1007" t="s">
        <v>1014</v>
      </c>
      <c r="F1007">
        <v>10010</v>
      </c>
    </row>
    <row r="1008" spans="1:6">
      <c r="A1008">
        <v>3786813</v>
      </c>
      <c r="B1008" t="s">
        <v>3198</v>
      </c>
      <c r="C1008">
        <v>45722</v>
      </c>
      <c r="D1008" t="s">
        <v>294</v>
      </c>
      <c r="E1008" t="s">
        <v>1016</v>
      </c>
      <c r="F1008">
        <v>10010</v>
      </c>
    </row>
    <row r="1009" spans="1:6">
      <c r="A1009">
        <v>3786814</v>
      </c>
      <c r="B1009" t="s">
        <v>3199</v>
      </c>
      <c r="C1009">
        <v>45722</v>
      </c>
      <c r="D1009" t="s">
        <v>294</v>
      </c>
      <c r="E1009" t="s">
        <v>1018</v>
      </c>
      <c r="F1009">
        <v>10020</v>
      </c>
    </row>
    <row r="1010" spans="1:6">
      <c r="A1010">
        <v>3786815</v>
      </c>
      <c r="B1010" t="s">
        <v>3200</v>
      </c>
      <c r="C1010">
        <v>45722</v>
      </c>
      <c r="D1010" t="s">
        <v>294</v>
      </c>
      <c r="E1010" t="s">
        <v>1020</v>
      </c>
      <c r="F1010">
        <v>10020</v>
      </c>
    </row>
    <row r="1011" spans="1:6">
      <c r="A1011">
        <v>3786816</v>
      </c>
      <c r="B1011" t="s">
        <v>3201</v>
      </c>
      <c r="C1011">
        <v>45722</v>
      </c>
      <c r="D1011" t="s">
        <v>294</v>
      </c>
      <c r="E1011" t="s">
        <v>467</v>
      </c>
    </row>
    <row r="1012" spans="1:6">
      <c r="A1012">
        <v>3786817</v>
      </c>
      <c r="B1012" t="s">
        <v>3202</v>
      </c>
      <c r="C1012">
        <v>45722</v>
      </c>
      <c r="D1012" t="s">
        <v>294</v>
      </c>
      <c r="E1012" t="s">
        <v>1022</v>
      </c>
      <c r="F1012">
        <v>10020</v>
      </c>
    </row>
    <row r="1013" spans="1:6">
      <c r="A1013">
        <v>3786818</v>
      </c>
      <c r="B1013" t="s">
        <v>3203</v>
      </c>
      <c r="C1013">
        <v>45722</v>
      </c>
      <c r="D1013" t="s">
        <v>294</v>
      </c>
      <c r="E1013" t="s">
        <v>1024</v>
      </c>
      <c r="F1013">
        <v>10010</v>
      </c>
    </row>
    <row r="1014" spans="1:6">
      <c r="A1014">
        <v>3786819</v>
      </c>
      <c r="B1014" t="s">
        <v>3204</v>
      </c>
      <c r="C1014">
        <v>45722</v>
      </c>
      <c r="D1014" t="s">
        <v>294</v>
      </c>
      <c r="E1014" t="s">
        <v>1026</v>
      </c>
      <c r="F1014">
        <v>10020</v>
      </c>
    </row>
    <row r="1015" spans="1:6">
      <c r="A1015">
        <v>3786820</v>
      </c>
      <c r="C1015">
        <v>45722</v>
      </c>
      <c r="D1015" t="s">
        <v>447</v>
      </c>
      <c r="E1015" t="s">
        <v>3205</v>
      </c>
      <c r="F1015">
        <v>10010</v>
      </c>
    </row>
    <row r="1016" spans="1:6">
      <c r="A1016">
        <v>3786821</v>
      </c>
      <c r="C1016">
        <v>45722</v>
      </c>
      <c r="D1016" t="s">
        <v>447</v>
      </c>
      <c r="E1016" t="s">
        <v>3206</v>
      </c>
      <c r="F1016">
        <v>10010</v>
      </c>
    </row>
    <row r="1017" spans="1:6">
      <c r="A1017">
        <v>3786822</v>
      </c>
      <c r="C1017">
        <v>45722</v>
      </c>
      <c r="D1017" t="s">
        <v>1040</v>
      </c>
      <c r="E1017" t="s">
        <v>3207</v>
      </c>
      <c r="F1017">
        <v>10020</v>
      </c>
    </row>
    <row r="1018" spans="1:6">
      <c r="A1018">
        <v>3786823</v>
      </c>
      <c r="C1018">
        <v>45722</v>
      </c>
      <c r="D1018" t="s">
        <v>1040</v>
      </c>
      <c r="E1018" t="s">
        <v>3208</v>
      </c>
      <c r="F1018">
        <v>10010</v>
      </c>
    </row>
    <row r="1019" spans="1:6">
      <c r="A1019">
        <v>3786824</v>
      </c>
      <c r="C1019">
        <v>45722</v>
      </c>
      <c r="D1019" t="s">
        <v>916</v>
      </c>
      <c r="E1019" t="s">
        <v>1036</v>
      </c>
      <c r="F1019">
        <v>37030</v>
      </c>
    </row>
    <row r="1020" spans="1:6">
      <c r="A1020">
        <v>3786825</v>
      </c>
      <c r="C1020">
        <v>45722</v>
      </c>
      <c r="D1020" t="s">
        <v>1040</v>
      </c>
      <c r="E1020" t="s">
        <v>3209</v>
      </c>
      <c r="F1020">
        <v>10010</v>
      </c>
    </row>
    <row r="1021" spans="1:6">
      <c r="A1021">
        <v>3786826</v>
      </c>
      <c r="C1021">
        <v>45726</v>
      </c>
      <c r="D1021" t="s">
        <v>506</v>
      </c>
      <c r="E1021" t="s">
        <v>3210</v>
      </c>
      <c r="F1021">
        <v>10010</v>
      </c>
    </row>
    <row r="1022" spans="1:6">
      <c r="A1022">
        <v>3786827</v>
      </c>
      <c r="C1022">
        <v>45728</v>
      </c>
      <c r="D1022" t="s">
        <v>454</v>
      </c>
      <c r="E1022" t="s">
        <v>813</v>
      </c>
      <c r="F1022">
        <v>10140</v>
      </c>
    </row>
    <row r="1023" spans="1:6">
      <c r="A1023">
        <v>3786828</v>
      </c>
      <c r="C1023">
        <v>45728</v>
      </c>
      <c r="D1023" t="s">
        <v>454</v>
      </c>
      <c r="E1023" t="s">
        <v>813</v>
      </c>
      <c r="F1023">
        <v>10140</v>
      </c>
    </row>
    <row r="1024" spans="1:6">
      <c r="A1024">
        <v>3786829</v>
      </c>
      <c r="C1024">
        <v>45728</v>
      </c>
      <c r="D1024" t="s">
        <v>260</v>
      </c>
      <c r="E1024" t="s">
        <v>404</v>
      </c>
      <c r="F1024">
        <v>10150</v>
      </c>
    </row>
    <row r="1025" spans="1:6">
      <c r="A1025">
        <v>3786830</v>
      </c>
      <c r="C1025">
        <v>45729</v>
      </c>
      <c r="D1025" t="s">
        <v>1051</v>
      </c>
      <c r="E1025" t="s">
        <v>1053</v>
      </c>
      <c r="F1025">
        <v>10020</v>
      </c>
    </row>
    <row r="1026" spans="1:6">
      <c r="A1026">
        <v>3786831</v>
      </c>
      <c r="C1026">
        <v>45729</v>
      </c>
      <c r="D1026" t="s">
        <v>1051</v>
      </c>
      <c r="E1026" t="s">
        <v>1056</v>
      </c>
      <c r="F1026">
        <v>10020</v>
      </c>
    </row>
    <row r="1027" spans="1:6">
      <c r="A1027">
        <v>3786832</v>
      </c>
      <c r="C1027">
        <v>45729</v>
      </c>
      <c r="D1027" t="s">
        <v>1051</v>
      </c>
      <c r="E1027" t="s">
        <v>1058</v>
      </c>
      <c r="F1027">
        <v>10020</v>
      </c>
    </row>
    <row r="1028" spans="1:6">
      <c r="A1028">
        <v>3786833</v>
      </c>
      <c r="C1028">
        <v>45729</v>
      </c>
      <c r="D1028" t="s">
        <v>1051</v>
      </c>
      <c r="E1028" t="s">
        <v>1060</v>
      </c>
      <c r="F1028">
        <v>10020</v>
      </c>
    </row>
    <row r="1029" spans="1:6">
      <c r="A1029">
        <v>3786834</v>
      </c>
      <c r="C1029">
        <v>45729</v>
      </c>
      <c r="D1029" t="s">
        <v>1051</v>
      </c>
      <c r="E1029" t="s">
        <v>1062</v>
      </c>
      <c r="F1029">
        <v>10020</v>
      </c>
    </row>
    <row r="1030" spans="1:6">
      <c r="A1030">
        <v>3786835</v>
      </c>
      <c r="C1030">
        <v>45729</v>
      </c>
      <c r="D1030" t="s">
        <v>1051</v>
      </c>
      <c r="E1030" t="s">
        <v>1064</v>
      </c>
      <c r="F1030">
        <v>10010</v>
      </c>
    </row>
    <row r="1031" spans="1:6">
      <c r="A1031">
        <v>3786836</v>
      </c>
      <c r="C1031">
        <v>45729</v>
      </c>
      <c r="D1031" t="s">
        <v>1051</v>
      </c>
      <c r="E1031" t="s">
        <v>1066</v>
      </c>
      <c r="F1031">
        <v>10020</v>
      </c>
    </row>
    <row r="1032" spans="1:6">
      <c r="A1032">
        <v>3786837</v>
      </c>
      <c r="C1032">
        <v>45729</v>
      </c>
      <c r="D1032" t="s">
        <v>1051</v>
      </c>
      <c r="E1032" t="s">
        <v>1068</v>
      </c>
      <c r="F1032">
        <v>10020</v>
      </c>
    </row>
    <row r="1033" spans="1:6">
      <c r="A1033">
        <v>3786838</v>
      </c>
      <c r="C1033">
        <v>45729</v>
      </c>
      <c r="D1033" t="s">
        <v>1051</v>
      </c>
      <c r="E1033" t="s">
        <v>1070</v>
      </c>
      <c r="F1033">
        <v>10020</v>
      </c>
    </row>
    <row r="1034" spans="1:6">
      <c r="A1034">
        <v>3786839</v>
      </c>
      <c r="C1034">
        <v>45729</v>
      </c>
      <c r="D1034" t="s">
        <v>1051</v>
      </c>
      <c r="E1034" t="s">
        <v>1072</v>
      </c>
      <c r="F1034">
        <v>10010</v>
      </c>
    </row>
    <row r="1035" spans="1:6">
      <c r="A1035">
        <v>3786840</v>
      </c>
      <c r="C1035">
        <v>45729</v>
      </c>
      <c r="D1035" t="s">
        <v>1051</v>
      </c>
      <c r="E1035" t="s">
        <v>1074</v>
      </c>
      <c r="F1035">
        <v>10010</v>
      </c>
    </row>
    <row r="1036" spans="1:6">
      <c r="A1036">
        <v>3786841</v>
      </c>
      <c r="C1036">
        <v>45729</v>
      </c>
      <c r="D1036" t="s">
        <v>1051</v>
      </c>
      <c r="E1036" t="s">
        <v>1076</v>
      </c>
      <c r="F1036">
        <v>10010</v>
      </c>
    </row>
    <row r="1037" spans="1:6">
      <c r="A1037">
        <v>3786842</v>
      </c>
      <c r="C1037">
        <v>45730</v>
      </c>
      <c r="D1037" t="s">
        <v>1051</v>
      </c>
      <c r="E1037" t="s">
        <v>1078</v>
      </c>
      <c r="F1037">
        <v>10010</v>
      </c>
    </row>
    <row r="1038" spans="1:6">
      <c r="A1038">
        <v>3786843</v>
      </c>
      <c r="C1038">
        <v>45730</v>
      </c>
      <c r="D1038" t="s">
        <v>1051</v>
      </c>
      <c r="E1038" t="s">
        <v>1080</v>
      </c>
      <c r="F1038">
        <v>10010</v>
      </c>
    </row>
    <row r="1039" spans="1:6">
      <c r="A1039">
        <v>3786844</v>
      </c>
      <c r="C1039">
        <v>45730</v>
      </c>
      <c r="D1039" t="s">
        <v>1051</v>
      </c>
      <c r="E1039" t="s">
        <v>1082</v>
      </c>
      <c r="F1039">
        <v>10010</v>
      </c>
    </row>
    <row r="1040" spans="1:6">
      <c r="A1040">
        <v>3786845</v>
      </c>
      <c r="C1040">
        <v>45733</v>
      </c>
      <c r="D1040" t="s">
        <v>1051</v>
      </c>
      <c r="E1040" t="s">
        <v>1084</v>
      </c>
      <c r="F1040">
        <v>10020</v>
      </c>
    </row>
    <row r="1041" spans="1:6">
      <c r="A1041">
        <v>3786846</v>
      </c>
      <c r="C1041">
        <v>45733</v>
      </c>
      <c r="D1041" t="s">
        <v>118</v>
      </c>
      <c r="E1041" t="s">
        <v>1085</v>
      </c>
      <c r="F1041">
        <v>10137</v>
      </c>
    </row>
    <row r="1042" spans="1:6">
      <c r="A1042">
        <v>3786847</v>
      </c>
      <c r="C1042">
        <v>45733</v>
      </c>
      <c r="D1042" t="s">
        <v>1088</v>
      </c>
      <c r="E1042" t="s">
        <v>1089</v>
      </c>
      <c r="F1042">
        <v>10010</v>
      </c>
    </row>
    <row r="1043" spans="1:6">
      <c r="A1043">
        <v>3786848</v>
      </c>
      <c r="C1043">
        <v>45733</v>
      </c>
      <c r="D1043" t="s">
        <v>1088</v>
      </c>
      <c r="E1043" t="s">
        <v>1092</v>
      </c>
      <c r="F1043">
        <v>10010</v>
      </c>
    </row>
    <row r="1044" spans="1:6">
      <c r="A1044">
        <v>3786849</v>
      </c>
      <c r="C1044">
        <v>45733</v>
      </c>
      <c r="D1044" t="s">
        <v>1093</v>
      </c>
      <c r="E1044" t="s">
        <v>3211</v>
      </c>
      <c r="F1044">
        <v>10120</v>
      </c>
    </row>
    <row r="1045" spans="1:6">
      <c r="A1045">
        <v>3786850</v>
      </c>
      <c r="C1045">
        <v>45733</v>
      </c>
      <c r="D1045" t="s">
        <v>1093</v>
      </c>
      <c r="E1045" t="s">
        <v>3211</v>
      </c>
      <c r="F1045">
        <v>10120</v>
      </c>
    </row>
    <row r="1046" spans="1:6">
      <c r="A1046">
        <v>3786851</v>
      </c>
      <c r="C1046">
        <v>45733</v>
      </c>
      <c r="D1046" t="s">
        <v>260</v>
      </c>
      <c r="E1046" t="s">
        <v>3212</v>
      </c>
      <c r="F1046">
        <v>10150</v>
      </c>
    </row>
    <row r="1047" spans="1:6">
      <c r="A1047">
        <v>3786852</v>
      </c>
      <c r="C1047">
        <v>45734</v>
      </c>
      <c r="D1047" t="s">
        <v>1093</v>
      </c>
      <c r="E1047" t="s">
        <v>1085</v>
      </c>
      <c r="F1047">
        <v>10120</v>
      </c>
    </row>
    <row r="1048" spans="1:6">
      <c r="A1048">
        <v>3786853</v>
      </c>
      <c r="C1048">
        <v>45735</v>
      </c>
      <c r="D1048" t="s">
        <v>118</v>
      </c>
      <c r="E1048" t="s">
        <v>1107</v>
      </c>
      <c r="F1048">
        <v>10110</v>
      </c>
    </row>
    <row r="1049" spans="1:6">
      <c r="A1049">
        <v>3786854</v>
      </c>
      <c r="C1049">
        <v>45735</v>
      </c>
      <c r="D1049" t="s">
        <v>447</v>
      </c>
      <c r="E1049" t="s">
        <v>1112</v>
      </c>
      <c r="F1049">
        <v>10010</v>
      </c>
    </row>
    <row r="1050" spans="1:6">
      <c r="A1050">
        <v>3786855</v>
      </c>
      <c r="C1050">
        <v>45736</v>
      </c>
      <c r="D1050" t="s">
        <v>454</v>
      </c>
      <c r="E1050" t="s">
        <v>894</v>
      </c>
      <c r="F1050">
        <v>10140</v>
      </c>
    </row>
    <row r="1051" spans="1:6">
      <c r="A1051">
        <v>3786856</v>
      </c>
      <c r="C1051">
        <v>45736</v>
      </c>
      <c r="D1051" t="s">
        <v>454</v>
      </c>
      <c r="E1051" t="s">
        <v>894</v>
      </c>
      <c r="F1051">
        <v>10140</v>
      </c>
    </row>
    <row r="1052" spans="1:6">
      <c r="A1052">
        <v>3786857</v>
      </c>
      <c r="C1052">
        <v>45736</v>
      </c>
      <c r="D1052" t="s">
        <v>773</v>
      </c>
      <c r="E1052" t="s">
        <v>3213</v>
      </c>
      <c r="F1052">
        <v>10070</v>
      </c>
    </row>
    <row r="1053" spans="1:6">
      <c r="A1053">
        <v>3786858</v>
      </c>
      <c r="C1053">
        <v>45737</v>
      </c>
      <c r="D1053" t="s">
        <v>501</v>
      </c>
      <c r="E1053" t="s">
        <v>1121</v>
      </c>
      <c r="F1053">
        <v>10010</v>
      </c>
    </row>
    <row r="1054" spans="1:6">
      <c r="A1054">
        <v>3786859</v>
      </c>
      <c r="C1054">
        <v>45737</v>
      </c>
      <c r="D1054" t="s">
        <v>501</v>
      </c>
      <c r="E1054" t="s">
        <v>1123</v>
      </c>
      <c r="F1054">
        <v>10010</v>
      </c>
    </row>
    <row r="1055" spans="1:6">
      <c r="A1055">
        <v>3786860</v>
      </c>
      <c r="C1055">
        <v>45743</v>
      </c>
      <c r="D1055" t="s">
        <v>2708</v>
      </c>
      <c r="E1055" t="s">
        <v>1125</v>
      </c>
      <c r="F1055">
        <v>10110</v>
      </c>
    </row>
    <row r="1056" spans="1:6">
      <c r="A1056">
        <v>3786861</v>
      </c>
      <c r="C1056">
        <v>45737</v>
      </c>
      <c r="D1056" t="s">
        <v>787</v>
      </c>
      <c r="E1056" t="s">
        <v>1129</v>
      </c>
      <c r="F1056">
        <v>10010</v>
      </c>
    </row>
    <row r="1057" spans="1:6">
      <c r="A1057">
        <v>3786862</v>
      </c>
      <c r="B1057" t="s">
        <v>3214</v>
      </c>
      <c r="C1057">
        <v>45737</v>
      </c>
      <c r="D1057" t="s">
        <v>1131</v>
      </c>
      <c r="E1057" t="s">
        <v>1133</v>
      </c>
      <c r="F1057">
        <v>10060</v>
      </c>
    </row>
    <row r="1058" spans="1:6">
      <c r="A1058">
        <v>3786863</v>
      </c>
      <c r="B1058" t="s">
        <v>3215</v>
      </c>
      <c r="C1058">
        <v>45737</v>
      </c>
      <c r="D1058" t="s">
        <v>1131</v>
      </c>
      <c r="E1058" t="s">
        <v>1136</v>
      </c>
      <c r="F1058">
        <v>10070</v>
      </c>
    </row>
    <row r="1059" spans="1:6">
      <c r="A1059">
        <v>3786864</v>
      </c>
      <c r="C1059">
        <v>45737</v>
      </c>
      <c r="D1059" t="s">
        <v>118</v>
      </c>
      <c r="E1059" t="s">
        <v>1138</v>
      </c>
      <c r="F1059">
        <v>10120</v>
      </c>
    </row>
    <row r="1060" spans="1:6">
      <c r="A1060">
        <v>3786865</v>
      </c>
      <c r="C1060">
        <v>45737</v>
      </c>
      <c r="D1060" t="s">
        <v>118</v>
      </c>
      <c r="E1060" t="s">
        <v>1141</v>
      </c>
      <c r="F1060">
        <v>10080</v>
      </c>
    </row>
    <row r="1061" spans="1:6">
      <c r="A1061">
        <v>3786866</v>
      </c>
      <c r="C1061">
        <v>45737</v>
      </c>
      <c r="D1061" t="s">
        <v>118</v>
      </c>
      <c r="E1061" t="s">
        <v>1141</v>
      </c>
      <c r="F1061">
        <v>10080</v>
      </c>
    </row>
    <row r="1062" spans="1:6">
      <c r="A1062">
        <v>3786867</v>
      </c>
      <c r="C1062">
        <v>45737</v>
      </c>
      <c r="D1062" t="s">
        <v>118</v>
      </c>
      <c r="E1062" t="s">
        <v>1144</v>
      </c>
      <c r="F1062">
        <v>10110</v>
      </c>
    </row>
    <row r="1063" spans="1:6">
      <c r="A1063">
        <v>3786868</v>
      </c>
      <c r="C1063">
        <v>45737</v>
      </c>
      <c r="D1063" t="s">
        <v>447</v>
      </c>
      <c r="E1063" t="s">
        <v>1151</v>
      </c>
      <c r="F1063">
        <v>10010</v>
      </c>
    </row>
    <row r="1064" spans="1:6">
      <c r="A1064">
        <v>3786869</v>
      </c>
      <c r="C1064">
        <v>45737</v>
      </c>
      <c r="D1064" t="s">
        <v>1152</v>
      </c>
      <c r="E1064" t="s">
        <v>1154</v>
      </c>
      <c r="F1064">
        <v>10010</v>
      </c>
    </row>
    <row r="1065" spans="1:6">
      <c r="A1065">
        <v>3786870</v>
      </c>
      <c r="C1065">
        <v>45737</v>
      </c>
      <c r="D1065" t="s">
        <v>1152</v>
      </c>
      <c r="E1065" t="s">
        <v>1157</v>
      </c>
      <c r="F1065">
        <v>10020</v>
      </c>
    </row>
    <row r="1066" spans="1:6">
      <c r="A1066">
        <v>3786871</v>
      </c>
      <c r="C1066">
        <v>45737</v>
      </c>
      <c r="D1066" t="s">
        <v>1152</v>
      </c>
      <c r="E1066" t="s">
        <v>1159</v>
      </c>
      <c r="F1066">
        <v>10010</v>
      </c>
    </row>
    <row r="1067" spans="1:6">
      <c r="A1067">
        <v>3786872</v>
      </c>
      <c r="C1067">
        <v>45743</v>
      </c>
      <c r="D1067" t="s">
        <v>2708</v>
      </c>
      <c r="E1067" t="s">
        <v>3216</v>
      </c>
      <c r="F1067">
        <v>10110</v>
      </c>
    </row>
    <row r="1068" spans="1:6">
      <c r="A1068">
        <v>3786873</v>
      </c>
      <c r="C1068">
        <v>45743</v>
      </c>
      <c r="D1068" t="s">
        <v>118</v>
      </c>
      <c r="E1068" t="s">
        <v>1162</v>
      </c>
      <c r="F1068">
        <v>10310</v>
      </c>
    </row>
    <row r="1069" spans="1:6">
      <c r="A1069">
        <v>3786876</v>
      </c>
      <c r="C1069">
        <v>45741</v>
      </c>
      <c r="D1069" t="s">
        <v>118</v>
      </c>
      <c r="E1069" t="s">
        <v>1175</v>
      </c>
      <c r="F1069">
        <v>10140</v>
      </c>
    </row>
    <row r="1070" spans="1:6">
      <c r="A1070">
        <v>3786874</v>
      </c>
      <c r="C1070">
        <v>45744</v>
      </c>
      <c r="D1070" t="s">
        <v>1167</v>
      </c>
      <c r="E1070" t="s">
        <v>120</v>
      </c>
      <c r="F1070">
        <v>10070</v>
      </c>
    </row>
    <row r="1071" spans="1:6">
      <c r="A1071">
        <v>3786875</v>
      </c>
      <c r="C1071">
        <v>45744</v>
      </c>
      <c r="D1071" t="s">
        <v>2708</v>
      </c>
      <c r="E1071" t="s">
        <v>1171</v>
      </c>
      <c r="F1071">
        <v>10260</v>
      </c>
    </row>
    <row r="1072" spans="1:6">
      <c r="A1072">
        <v>3786877</v>
      </c>
      <c r="C1072">
        <v>45744</v>
      </c>
      <c r="D1072" t="s">
        <v>2708</v>
      </c>
      <c r="E1072" t="s">
        <v>1171</v>
      </c>
      <c r="F1072">
        <v>10260</v>
      </c>
    </row>
    <row r="1073" spans="1:6">
      <c r="A1073">
        <v>3786878</v>
      </c>
      <c r="C1073">
        <v>45747</v>
      </c>
      <c r="D1073" t="s">
        <v>260</v>
      </c>
      <c r="E1073" t="s">
        <v>404</v>
      </c>
      <c r="F1073">
        <v>10150</v>
      </c>
    </row>
    <row r="1074" spans="1:6">
      <c r="A1074">
        <v>3786879</v>
      </c>
      <c r="C1074">
        <v>45747</v>
      </c>
      <c r="D1074" t="s">
        <v>260</v>
      </c>
      <c r="E1074" t="s">
        <v>404</v>
      </c>
      <c r="F1074">
        <v>10150</v>
      </c>
    </row>
    <row r="1075" spans="1:6">
      <c r="A1075">
        <v>3786880</v>
      </c>
      <c r="C1075">
        <v>45747</v>
      </c>
      <c r="D1075" t="s">
        <v>260</v>
      </c>
      <c r="E1075" t="s">
        <v>404</v>
      </c>
      <c r="F1075">
        <v>10150</v>
      </c>
    </row>
    <row r="1076" spans="1:6">
      <c r="A1076">
        <v>3786881</v>
      </c>
      <c r="C1076">
        <v>45747</v>
      </c>
      <c r="D1076" t="s">
        <v>501</v>
      </c>
      <c r="E1076" t="s">
        <v>1185</v>
      </c>
      <c r="F1076">
        <v>10010</v>
      </c>
    </row>
    <row r="1077" spans="1:6">
      <c r="A1077">
        <v>3786882</v>
      </c>
      <c r="C1077">
        <v>45748</v>
      </c>
      <c r="D1077" t="s">
        <v>118</v>
      </c>
      <c r="E1077" t="s">
        <v>456</v>
      </c>
      <c r="F1077">
        <v>10140</v>
      </c>
    </row>
    <row r="1078" spans="1:6">
      <c r="A1078">
        <v>3786883</v>
      </c>
      <c r="C1078">
        <v>45748</v>
      </c>
      <c r="D1078" t="s">
        <v>118</v>
      </c>
      <c r="E1078" t="s">
        <v>1186</v>
      </c>
      <c r="F1078">
        <v>10120</v>
      </c>
    </row>
    <row r="1079" spans="1:6">
      <c r="A1079">
        <v>3786884</v>
      </c>
      <c r="C1079">
        <v>45750</v>
      </c>
      <c r="D1079" t="s">
        <v>506</v>
      </c>
      <c r="E1079" t="s">
        <v>3217</v>
      </c>
      <c r="F1079">
        <v>10030</v>
      </c>
    </row>
    <row r="1080" spans="1:6">
      <c r="A1080">
        <v>3786885</v>
      </c>
      <c r="C1080">
        <v>45750</v>
      </c>
      <c r="D1080" t="s">
        <v>454</v>
      </c>
      <c r="E1080" t="s">
        <v>1190</v>
      </c>
      <c r="F1080">
        <v>10140</v>
      </c>
    </row>
    <row r="1081" spans="1:6">
      <c r="A1081">
        <v>3786886</v>
      </c>
      <c r="C1081">
        <v>45750</v>
      </c>
      <c r="D1081" t="s">
        <v>454</v>
      </c>
      <c r="E1081" t="s">
        <v>1190</v>
      </c>
      <c r="F1081">
        <v>10140</v>
      </c>
    </row>
    <row r="1082" spans="1:6">
      <c r="A1082">
        <v>3786887</v>
      </c>
      <c r="C1082">
        <v>45750</v>
      </c>
      <c r="D1082" t="s">
        <v>118</v>
      </c>
      <c r="E1082" t="s">
        <v>3218</v>
      </c>
      <c r="F1082">
        <v>10310</v>
      </c>
    </row>
    <row r="1083" spans="1:6">
      <c r="A1083">
        <v>3786888</v>
      </c>
      <c r="C1083">
        <v>45750</v>
      </c>
      <c r="D1083" t="s">
        <v>611</v>
      </c>
      <c r="E1083" t="s">
        <v>1196</v>
      </c>
      <c r="F1083">
        <v>10100</v>
      </c>
    </row>
    <row r="1084" spans="1:6">
      <c r="A1084">
        <v>3786889</v>
      </c>
      <c r="C1084">
        <v>45751</v>
      </c>
      <c r="D1084" t="s">
        <v>230</v>
      </c>
      <c r="E1084" t="s">
        <v>1198</v>
      </c>
      <c r="F1084">
        <v>10310</v>
      </c>
    </row>
    <row r="1085" spans="1:6">
      <c r="A1085">
        <v>3786890</v>
      </c>
      <c r="C1085">
        <v>45751</v>
      </c>
      <c r="D1085" t="s">
        <v>1040</v>
      </c>
      <c r="E1085" t="s">
        <v>1201</v>
      </c>
      <c r="F1085">
        <v>10010</v>
      </c>
    </row>
    <row r="1086" spans="1:6">
      <c r="A1086">
        <v>3786891</v>
      </c>
      <c r="C1086">
        <v>45751</v>
      </c>
      <c r="D1086" t="s">
        <v>1040</v>
      </c>
      <c r="E1086" t="s">
        <v>1203</v>
      </c>
      <c r="F1086">
        <v>10030</v>
      </c>
    </row>
    <row r="1087" spans="1:6">
      <c r="A1087">
        <v>3786892</v>
      </c>
      <c r="C1087">
        <v>45754</v>
      </c>
      <c r="D1087" t="s">
        <v>611</v>
      </c>
      <c r="E1087" t="s">
        <v>1204</v>
      </c>
      <c r="F1087">
        <v>10080</v>
      </c>
    </row>
    <row r="1088" spans="1:6">
      <c r="A1088">
        <v>3786893</v>
      </c>
      <c r="C1088">
        <v>45756</v>
      </c>
      <c r="D1088" t="s">
        <v>447</v>
      </c>
      <c r="E1088" t="s">
        <v>1207</v>
      </c>
      <c r="F1088">
        <v>10040</v>
      </c>
    </row>
    <row r="1089" spans="1:6">
      <c r="A1089">
        <v>3786894</v>
      </c>
      <c r="C1089">
        <v>45757</v>
      </c>
      <c r="D1089" t="s">
        <v>260</v>
      </c>
      <c r="E1089" t="s">
        <v>1210</v>
      </c>
      <c r="F1089">
        <v>10140</v>
      </c>
    </row>
    <row r="1090" spans="1:6">
      <c r="A1090">
        <v>3786895</v>
      </c>
      <c r="C1090">
        <v>45757</v>
      </c>
      <c r="D1090" t="s">
        <v>260</v>
      </c>
      <c r="E1090" t="s">
        <v>1210</v>
      </c>
      <c r="F1090">
        <v>10140</v>
      </c>
    </row>
    <row r="1091" spans="1:6">
      <c r="A1091">
        <v>3786896</v>
      </c>
      <c r="C1091">
        <v>45757</v>
      </c>
      <c r="D1091" t="s">
        <v>294</v>
      </c>
      <c r="E1091" t="s">
        <v>1215</v>
      </c>
      <c r="F1091">
        <v>10020</v>
      </c>
    </row>
    <row r="1092" spans="1:6">
      <c r="A1092">
        <v>3786897</v>
      </c>
      <c r="C1092">
        <v>45757</v>
      </c>
      <c r="D1092" t="s">
        <v>294</v>
      </c>
      <c r="E1092" t="s">
        <v>1217</v>
      </c>
      <c r="F1092">
        <v>10010</v>
      </c>
    </row>
    <row r="1093" spans="1:6">
      <c r="A1093">
        <v>3786898</v>
      </c>
      <c r="C1093">
        <v>45757</v>
      </c>
      <c r="D1093" t="s">
        <v>294</v>
      </c>
      <c r="E1093" t="s">
        <v>1219</v>
      </c>
      <c r="F1093">
        <v>10010</v>
      </c>
    </row>
    <row r="1094" spans="1:6">
      <c r="A1094">
        <v>3786899</v>
      </c>
      <c r="C1094">
        <v>45761</v>
      </c>
      <c r="D1094" t="s">
        <v>1220</v>
      </c>
      <c r="E1094" t="s">
        <v>1221</v>
      </c>
      <c r="F1094">
        <v>10030</v>
      </c>
    </row>
    <row r="1095" spans="1:6">
      <c r="A1095">
        <v>3786900</v>
      </c>
      <c r="C1095">
        <v>45761</v>
      </c>
      <c r="D1095" t="s">
        <v>611</v>
      </c>
      <c r="E1095" t="s">
        <v>1264</v>
      </c>
      <c r="F1095">
        <v>10030</v>
      </c>
    </row>
    <row r="1096" spans="1:6">
      <c r="A1096">
        <v>3786901</v>
      </c>
      <c r="C1096">
        <v>45763</v>
      </c>
      <c r="D1096" t="s">
        <v>118</v>
      </c>
      <c r="E1096" t="s">
        <v>3219</v>
      </c>
      <c r="F1096">
        <v>10140</v>
      </c>
    </row>
    <row r="1097" spans="1:6">
      <c r="A1097">
        <v>3786902</v>
      </c>
      <c r="C1097">
        <v>45764</v>
      </c>
      <c r="D1097" t="s">
        <v>118</v>
      </c>
      <c r="E1097" t="s">
        <v>1229</v>
      </c>
      <c r="F1097">
        <v>10060</v>
      </c>
    </row>
    <row r="1098" spans="1:6">
      <c r="A1098">
        <v>3786903</v>
      </c>
      <c r="C1098">
        <v>45764</v>
      </c>
      <c r="D1098" t="s">
        <v>118</v>
      </c>
      <c r="E1098" t="s">
        <v>1236</v>
      </c>
      <c r="F1098">
        <v>10010</v>
      </c>
    </row>
    <row r="1099" spans="1:6">
      <c r="A1099">
        <v>3786904</v>
      </c>
      <c r="C1099">
        <v>45764</v>
      </c>
      <c r="D1099" t="s">
        <v>118</v>
      </c>
      <c r="E1099" t="s">
        <v>1236</v>
      </c>
      <c r="F1099">
        <v>10010</v>
      </c>
    </row>
    <row r="1100" spans="1:6">
      <c r="A1100">
        <v>3786905</v>
      </c>
      <c r="C1100">
        <v>45769</v>
      </c>
      <c r="D1100" t="s">
        <v>294</v>
      </c>
      <c r="E1100" t="s">
        <v>1240</v>
      </c>
      <c r="F1100">
        <v>10010</v>
      </c>
    </row>
    <row r="1101" spans="1:6">
      <c r="A1101">
        <v>3786906</v>
      </c>
      <c r="C1101">
        <v>45769</v>
      </c>
      <c r="D1101" t="s">
        <v>611</v>
      </c>
      <c r="E1101" t="s">
        <v>1243</v>
      </c>
      <c r="F1101">
        <v>10020</v>
      </c>
    </row>
    <row r="1102" spans="1:6">
      <c r="A1102">
        <v>3786907</v>
      </c>
      <c r="C1102">
        <v>45769</v>
      </c>
      <c r="D1102" t="s">
        <v>611</v>
      </c>
      <c r="E1102" t="s">
        <v>1246</v>
      </c>
      <c r="F1102">
        <v>10010</v>
      </c>
    </row>
    <row r="1103" spans="1:6">
      <c r="A1103">
        <v>3786908</v>
      </c>
      <c r="C1103">
        <v>45770</v>
      </c>
      <c r="D1103" t="s">
        <v>611</v>
      </c>
      <c r="E1103" t="s">
        <v>3220</v>
      </c>
      <c r="F1103">
        <v>10010</v>
      </c>
    </row>
    <row r="1104" spans="1:6">
      <c r="A1104">
        <v>3786909</v>
      </c>
      <c r="C1104">
        <v>45771</v>
      </c>
      <c r="D1104" t="s">
        <v>2708</v>
      </c>
      <c r="E1104" t="s">
        <v>1252</v>
      </c>
      <c r="F1104">
        <v>10260</v>
      </c>
    </row>
    <row r="1105" spans="1:6">
      <c r="A1105">
        <v>3786910</v>
      </c>
      <c r="C1105" t="s">
        <v>3221</v>
      </c>
      <c r="D1105" t="s">
        <v>611</v>
      </c>
      <c r="E1105" t="s">
        <v>1261</v>
      </c>
      <c r="F1105">
        <v>10010</v>
      </c>
    </row>
    <row r="1106" spans="1:6">
      <c r="A1106">
        <v>3786911</v>
      </c>
      <c r="C1106" t="s">
        <v>3221</v>
      </c>
      <c r="D1106" t="s">
        <v>611</v>
      </c>
      <c r="E1106" t="s">
        <v>1264</v>
      </c>
      <c r="F1106">
        <v>10030</v>
      </c>
    </row>
    <row r="1107" spans="1:6">
      <c r="A1107">
        <v>3786912</v>
      </c>
      <c r="C1107" t="s">
        <v>3221</v>
      </c>
      <c r="D1107" t="s">
        <v>611</v>
      </c>
      <c r="E1107" t="s">
        <v>1267</v>
      </c>
      <c r="F1107">
        <v>10030</v>
      </c>
    </row>
    <row r="1108" spans="1:6">
      <c r="A1108">
        <v>3786913</v>
      </c>
      <c r="C1108">
        <v>45776</v>
      </c>
      <c r="D1108" t="s">
        <v>260</v>
      </c>
      <c r="E1108" t="s">
        <v>1210</v>
      </c>
      <c r="F1108">
        <v>10140</v>
      </c>
    </row>
    <row r="1109" spans="1:6">
      <c r="A1109">
        <v>3786714</v>
      </c>
      <c r="C1109">
        <v>45707</v>
      </c>
      <c r="D1109" t="s">
        <v>787</v>
      </c>
      <c r="E1109" t="s">
        <v>3184</v>
      </c>
      <c r="F1109">
        <v>10020</v>
      </c>
    </row>
    <row r="1110" spans="1:6">
      <c r="A1110">
        <v>3786715</v>
      </c>
      <c r="C1110">
        <v>45707</v>
      </c>
      <c r="D1110" t="s">
        <v>787</v>
      </c>
      <c r="E1110" t="s">
        <v>3185</v>
      </c>
      <c r="F1110">
        <v>10010</v>
      </c>
    </row>
    <row r="1111" spans="1:6">
      <c r="A1111">
        <v>3786716</v>
      </c>
      <c r="C1111">
        <v>45707</v>
      </c>
      <c r="D1111" t="s">
        <v>787</v>
      </c>
      <c r="E1111" t="s">
        <v>3186</v>
      </c>
      <c r="F1111">
        <v>10020</v>
      </c>
    </row>
    <row r="1112" spans="1:6">
      <c r="A1112">
        <v>3786717</v>
      </c>
      <c r="C1112">
        <v>45707</v>
      </c>
      <c r="D1112" t="s">
        <v>787</v>
      </c>
      <c r="E1112" t="s">
        <v>3187</v>
      </c>
      <c r="F1112">
        <v>10010</v>
      </c>
    </row>
    <row r="1113" spans="1:6">
      <c r="A1113">
        <v>3786718</v>
      </c>
      <c r="C1113">
        <v>45707</v>
      </c>
      <c r="D1113" t="s">
        <v>787</v>
      </c>
      <c r="E1113" t="s">
        <v>3188</v>
      </c>
      <c r="F1113">
        <v>10010</v>
      </c>
    </row>
    <row r="1114" spans="1:6">
      <c r="A1114">
        <v>3786719</v>
      </c>
      <c r="C1114">
        <v>45707</v>
      </c>
      <c r="D1114" t="s">
        <v>787</v>
      </c>
      <c r="E1114" t="s">
        <v>3189</v>
      </c>
      <c r="F1114">
        <v>10010</v>
      </c>
    </row>
    <row r="1115" spans="1:6">
      <c r="A1115">
        <v>3786720</v>
      </c>
      <c r="C1115">
        <v>45707</v>
      </c>
      <c r="D1115" t="s">
        <v>118</v>
      </c>
      <c r="E1115" t="s">
        <v>802</v>
      </c>
      <c r="F1115">
        <v>10111</v>
      </c>
    </row>
    <row r="1116" spans="1:6">
      <c r="A1116">
        <v>3786721</v>
      </c>
      <c r="C1116">
        <v>45707</v>
      </c>
      <c r="D1116" t="s">
        <v>118</v>
      </c>
      <c r="E1116" t="s">
        <v>804</v>
      </c>
      <c r="F1116">
        <v>10080</v>
      </c>
    </row>
    <row r="1117" spans="1:6">
      <c r="A1117">
        <v>3786722</v>
      </c>
      <c r="C1117">
        <v>45707</v>
      </c>
      <c r="D1117" t="s">
        <v>118</v>
      </c>
      <c r="E1117" t="s">
        <v>809</v>
      </c>
      <c r="F1117">
        <v>10070</v>
      </c>
    </row>
    <row r="1118" spans="1:6">
      <c r="A1118">
        <v>3786723</v>
      </c>
      <c r="C1118">
        <v>45707</v>
      </c>
      <c r="D1118" t="s">
        <v>454</v>
      </c>
      <c r="E1118" t="s">
        <v>813</v>
      </c>
      <c r="F1118">
        <v>10140</v>
      </c>
    </row>
    <row r="1119" spans="1:6">
      <c r="A1119">
        <v>3786724</v>
      </c>
      <c r="C1119">
        <v>45708</v>
      </c>
      <c r="D1119" t="s">
        <v>118</v>
      </c>
      <c r="E1119" t="s">
        <v>3190</v>
      </c>
      <c r="F1119">
        <v>10310</v>
      </c>
    </row>
    <row r="1120" spans="1:6">
      <c r="A1120">
        <v>3786725</v>
      </c>
      <c r="C1120">
        <v>45712</v>
      </c>
      <c r="D1120" t="s">
        <v>118</v>
      </c>
      <c r="E1120" t="s">
        <v>3190</v>
      </c>
      <c r="F1120">
        <v>10310</v>
      </c>
    </row>
    <row r="1121" spans="1:6">
      <c r="A1121">
        <v>3786726</v>
      </c>
      <c r="C1121">
        <v>45712</v>
      </c>
      <c r="D1121" t="s">
        <v>773</v>
      </c>
      <c r="E1121" t="s">
        <v>822</v>
      </c>
      <c r="F1121">
        <v>10020</v>
      </c>
    </row>
    <row r="1122" spans="1:6">
      <c r="A1122">
        <v>3786727</v>
      </c>
      <c r="C1122">
        <v>45712</v>
      </c>
      <c r="D1122" t="s">
        <v>773</v>
      </c>
      <c r="E1122" t="s">
        <v>824</v>
      </c>
      <c r="F1122">
        <v>10020</v>
      </c>
    </row>
    <row r="1123" spans="1:6">
      <c r="A1123">
        <v>3786728</v>
      </c>
      <c r="C1123">
        <v>45712</v>
      </c>
      <c r="D1123" t="s">
        <v>773</v>
      </c>
      <c r="E1123" t="s">
        <v>826</v>
      </c>
      <c r="F1123">
        <v>10020</v>
      </c>
    </row>
    <row r="1124" spans="1:6">
      <c r="A1124">
        <v>3786729</v>
      </c>
      <c r="C1124">
        <v>45712</v>
      </c>
      <c r="D1124" t="s">
        <v>773</v>
      </c>
      <c r="E1124" t="s">
        <v>828</v>
      </c>
      <c r="F1124">
        <v>10020</v>
      </c>
    </row>
    <row r="1125" spans="1:6">
      <c r="A1125">
        <v>3786730</v>
      </c>
      <c r="C1125">
        <v>45712</v>
      </c>
      <c r="D1125" t="s">
        <v>773</v>
      </c>
      <c r="E1125" t="s">
        <v>830</v>
      </c>
      <c r="F1125">
        <v>10020</v>
      </c>
    </row>
    <row r="1126" spans="1:6">
      <c r="A1126">
        <v>3786731</v>
      </c>
      <c r="C1126">
        <v>45712</v>
      </c>
      <c r="D1126" t="s">
        <v>773</v>
      </c>
      <c r="E1126" t="s">
        <v>832</v>
      </c>
      <c r="F1126">
        <v>10020</v>
      </c>
    </row>
    <row r="1127" spans="1:6">
      <c r="A1127">
        <v>3786732</v>
      </c>
      <c r="C1127">
        <v>45712</v>
      </c>
      <c r="D1127" t="s">
        <v>773</v>
      </c>
      <c r="E1127" t="s">
        <v>834</v>
      </c>
      <c r="F1127">
        <v>10020</v>
      </c>
    </row>
    <row r="1128" spans="1:6">
      <c r="A1128">
        <v>3786733</v>
      </c>
      <c r="C1128">
        <v>45712</v>
      </c>
      <c r="D1128" t="s">
        <v>773</v>
      </c>
      <c r="E1128" t="s">
        <v>836</v>
      </c>
      <c r="F1128">
        <v>10010</v>
      </c>
    </row>
    <row r="1129" spans="1:6">
      <c r="A1129">
        <v>3786734</v>
      </c>
      <c r="C1129">
        <v>45712</v>
      </c>
      <c r="D1129" t="s">
        <v>773</v>
      </c>
      <c r="E1129" t="s">
        <v>838</v>
      </c>
      <c r="F1129">
        <v>10010</v>
      </c>
    </row>
    <row r="1130" spans="1:6">
      <c r="A1130">
        <v>3786735</v>
      </c>
      <c r="C1130">
        <v>45712</v>
      </c>
      <c r="D1130" t="s">
        <v>773</v>
      </c>
      <c r="E1130" t="s">
        <v>840</v>
      </c>
      <c r="F1130">
        <v>10010</v>
      </c>
    </row>
    <row r="1131" spans="1:6">
      <c r="A1131">
        <v>3786736</v>
      </c>
      <c r="C1131">
        <v>45712</v>
      </c>
      <c r="D1131" t="s">
        <v>773</v>
      </c>
      <c r="E1131" t="s">
        <v>842</v>
      </c>
      <c r="F1131">
        <v>10010</v>
      </c>
    </row>
    <row r="1132" spans="1:6">
      <c r="A1132">
        <v>3786737</v>
      </c>
      <c r="C1132">
        <v>45712</v>
      </c>
      <c r="D1132" t="s">
        <v>773</v>
      </c>
      <c r="E1132" t="s">
        <v>844</v>
      </c>
      <c r="F1132">
        <v>10010</v>
      </c>
    </row>
    <row r="1133" spans="1:6">
      <c r="A1133">
        <v>3786738</v>
      </c>
      <c r="C1133">
        <v>45712</v>
      </c>
      <c r="D1133" t="s">
        <v>773</v>
      </c>
      <c r="E1133" t="s">
        <v>846</v>
      </c>
      <c r="F1133">
        <v>10030</v>
      </c>
    </row>
    <row r="1134" spans="1:6">
      <c r="A1134">
        <v>3786739</v>
      </c>
      <c r="C1134">
        <v>45712</v>
      </c>
      <c r="D1134" t="s">
        <v>773</v>
      </c>
      <c r="E1134" t="s">
        <v>848</v>
      </c>
      <c r="F1134">
        <v>10030</v>
      </c>
    </row>
    <row r="1135" spans="1:6">
      <c r="A1135">
        <v>3786740</v>
      </c>
      <c r="C1135">
        <v>45712</v>
      </c>
      <c r="D1135" t="s">
        <v>773</v>
      </c>
      <c r="E1135" t="s">
        <v>850</v>
      </c>
      <c r="F1135">
        <v>10030</v>
      </c>
    </row>
    <row r="1136" spans="1:6">
      <c r="A1136">
        <v>3786741</v>
      </c>
      <c r="C1136">
        <v>45712</v>
      </c>
      <c r="D1136" t="s">
        <v>506</v>
      </c>
      <c r="E1136" t="s">
        <v>852</v>
      </c>
      <c r="F1136">
        <v>10020</v>
      </c>
    </row>
    <row r="1137" spans="1:6">
      <c r="A1137">
        <v>3786742</v>
      </c>
      <c r="C1137">
        <v>45712</v>
      </c>
      <c r="D1137" t="s">
        <v>506</v>
      </c>
      <c r="E1137" t="s">
        <v>854</v>
      </c>
      <c r="F1137">
        <v>10010</v>
      </c>
    </row>
    <row r="1138" spans="1:6">
      <c r="A1138">
        <v>3786743</v>
      </c>
      <c r="C1138">
        <v>45712</v>
      </c>
      <c r="D1138" t="s">
        <v>506</v>
      </c>
      <c r="E1138" t="s">
        <v>856</v>
      </c>
      <c r="F1138">
        <v>10010</v>
      </c>
    </row>
    <row r="1139" spans="1:6">
      <c r="A1139">
        <v>3786744</v>
      </c>
      <c r="C1139">
        <v>45712</v>
      </c>
      <c r="D1139" t="s">
        <v>506</v>
      </c>
      <c r="E1139" t="s">
        <v>858</v>
      </c>
      <c r="F1139">
        <v>10010</v>
      </c>
    </row>
    <row r="1140" spans="1:6">
      <c r="A1140">
        <v>3786745</v>
      </c>
      <c r="C1140">
        <v>45712</v>
      </c>
      <c r="D1140" t="s">
        <v>506</v>
      </c>
      <c r="E1140" t="s">
        <v>860</v>
      </c>
      <c r="F1140">
        <v>10030</v>
      </c>
    </row>
    <row r="1141" spans="1:6">
      <c r="A1141">
        <v>3786746</v>
      </c>
      <c r="C1141">
        <v>45712</v>
      </c>
      <c r="D1141" t="s">
        <v>861</v>
      </c>
      <c r="E1141" t="s">
        <v>863</v>
      </c>
      <c r="F1141">
        <v>10010</v>
      </c>
    </row>
    <row r="1142" spans="1:6">
      <c r="A1142">
        <v>3786747</v>
      </c>
      <c r="C1142">
        <v>45712</v>
      </c>
      <c r="D1142" t="s">
        <v>861</v>
      </c>
      <c r="E1142" t="s">
        <v>867</v>
      </c>
      <c r="F1142">
        <v>10010</v>
      </c>
    </row>
    <row r="1143" spans="1:6">
      <c r="A1143">
        <v>3786748</v>
      </c>
      <c r="C1143">
        <v>45712</v>
      </c>
      <c r="D1143" t="s">
        <v>861</v>
      </c>
      <c r="E1143" t="s">
        <v>869</v>
      </c>
      <c r="F1143">
        <v>10020</v>
      </c>
    </row>
    <row r="1144" spans="1:6">
      <c r="A1144">
        <v>3786749</v>
      </c>
      <c r="C1144">
        <v>45712</v>
      </c>
      <c r="D1144" t="s">
        <v>861</v>
      </c>
      <c r="E1144" t="s">
        <v>871</v>
      </c>
      <c r="F1144">
        <v>10010</v>
      </c>
    </row>
    <row r="1145" spans="1:6">
      <c r="A1145">
        <v>3786750</v>
      </c>
      <c r="C1145">
        <v>45712</v>
      </c>
      <c r="D1145" t="s">
        <v>861</v>
      </c>
      <c r="E1145" t="s">
        <v>873</v>
      </c>
      <c r="F1145">
        <v>10010</v>
      </c>
    </row>
    <row r="1146" spans="1:6">
      <c r="A1146">
        <v>3786751</v>
      </c>
      <c r="C1146">
        <v>45712</v>
      </c>
      <c r="D1146" t="s">
        <v>861</v>
      </c>
      <c r="E1146" t="s">
        <v>875</v>
      </c>
      <c r="F1146">
        <v>10010</v>
      </c>
    </row>
    <row r="1147" spans="1:6">
      <c r="A1147">
        <v>3786752</v>
      </c>
      <c r="C1147">
        <v>45712</v>
      </c>
      <c r="D1147" t="s">
        <v>861</v>
      </c>
      <c r="E1147" t="s">
        <v>877</v>
      </c>
      <c r="F1147">
        <v>10010</v>
      </c>
    </row>
    <row r="1148" spans="1:6">
      <c r="A1148">
        <v>3786753</v>
      </c>
      <c r="C1148">
        <v>45712</v>
      </c>
      <c r="D1148" t="s">
        <v>861</v>
      </c>
      <c r="E1148" t="s">
        <v>879</v>
      </c>
      <c r="F1148">
        <v>10010</v>
      </c>
    </row>
    <row r="1149" spans="1:6">
      <c r="A1149">
        <v>3786754</v>
      </c>
      <c r="C1149">
        <v>45712</v>
      </c>
      <c r="D1149" t="s">
        <v>861</v>
      </c>
      <c r="E1149" t="s">
        <v>881</v>
      </c>
      <c r="F1149">
        <v>10010</v>
      </c>
    </row>
    <row r="1150" spans="1:6">
      <c r="A1150">
        <v>3786755</v>
      </c>
      <c r="C1150">
        <v>45712</v>
      </c>
      <c r="D1150" t="s">
        <v>861</v>
      </c>
      <c r="E1150" t="s">
        <v>883</v>
      </c>
      <c r="F1150">
        <v>10030</v>
      </c>
    </row>
    <row r="1151" spans="1:6">
      <c r="A1151">
        <v>3786756</v>
      </c>
      <c r="C1151">
        <v>45713</v>
      </c>
      <c r="D1151" t="s">
        <v>447</v>
      </c>
      <c r="E1151" t="s">
        <v>886</v>
      </c>
      <c r="F1151">
        <v>10010</v>
      </c>
    </row>
    <row r="1152" spans="1:6">
      <c r="A1152">
        <v>3786757</v>
      </c>
      <c r="C1152">
        <v>45713</v>
      </c>
      <c r="D1152" t="s">
        <v>447</v>
      </c>
      <c r="E1152" t="s">
        <v>886</v>
      </c>
      <c r="F1152">
        <v>10010</v>
      </c>
    </row>
    <row r="1153" spans="1:6">
      <c r="A1153">
        <v>3786758</v>
      </c>
      <c r="C1153">
        <v>45713</v>
      </c>
      <c r="D1153" t="s">
        <v>447</v>
      </c>
      <c r="E1153" t="s">
        <v>891</v>
      </c>
      <c r="F1153">
        <v>10020</v>
      </c>
    </row>
    <row r="1154" spans="1:6">
      <c r="A1154">
        <v>3786759</v>
      </c>
      <c r="C1154">
        <v>45713</v>
      </c>
      <c r="D1154" t="s">
        <v>447</v>
      </c>
      <c r="E1154" t="s">
        <v>891</v>
      </c>
      <c r="F1154">
        <v>10020</v>
      </c>
    </row>
    <row r="1155" spans="1:6">
      <c r="A1155">
        <v>3786760</v>
      </c>
      <c r="C1155">
        <v>45713</v>
      </c>
      <c r="D1155" t="s">
        <v>454</v>
      </c>
      <c r="E1155" t="s">
        <v>894</v>
      </c>
      <c r="F1155">
        <v>10140</v>
      </c>
    </row>
    <row r="1156" spans="1:6">
      <c r="A1156">
        <v>3786761</v>
      </c>
      <c r="C1156">
        <v>45713</v>
      </c>
      <c r="D1156" t="s">
        <v>454</v>
      </c>
      <c r="E1156" t="s">
        <v>894</v>
      </c>
      <c r="F1156">
        <v>10140</v>
      </c>
    </row>
    <row r="1157" spans="1:6">
      <c r="A1157">
        <v>3786762</v>
      </c>
      <c r="C1157">
        <v>45713</v>
      </c>
      <c r="D1157" t="s">
        <v>454</v>
      </c>
      <c r="E1157" t="s">
        <v>894</v>
      </c>
      <c r="F1157">
        <v>10140</v>
      </c>
    </row>
    <row r="1158" spans="1:6">
      <c r="A1158">
        <v>3786763</v>
      </c>
      <c r="C1158">
        <v>45713</v>
      </c>
      <c r="D1158" t="s">
        <v>454</v>
      </c>
      <c r="E1158" t="s">
        <v>894</v>
      </c>
      <c r="F1158">
        <v>10140</v>
      </c>
    </row>
    <row r="1159" spans="1:6">
      <c r="A1159">
        <v>3786764</v>
      </c>
      <c r="C1159">
        <v>45720</v>
      </c>
      <c r="D1159" t="s">
        <v>773</v>
      </c>
      <c r="E1159" t="s">
        <v>904</v>
      </c>
      <c r="F1159">
        <v>10020</v>
      </c>
    </row>
    <row r="1160" spans="1:6">
      <c r="A1160">
        <v>3786765</v>
      </c>
      <c r="C1160">
        <v>45720</v>
      </c>
      <c r="D1160" t="s">
        <v>773</v>
      </c>
      <c r="E1160" t="s">
        <v>906</v>
      </c>
      <c r="F1160">
        <v>10020</v>
      </c>
    </row>
    <row r="1161" spans="1:6">
      <c r="A1161">
        <v>3786766</v>
      </c>
      <c r="C1161">
        <v>45720</v>
      </c>
      <c r="D1161" t="s">
        <v>773</v>
      </c>
      <c r="E1161" t="s">
        <v>908</v>
      </c>
      <c r="F1161">
        <v>10010</v>
      </c>
    </row>
    <row r="1162" spans="1:6">
      <c r="A1162">
        <v>3786767</v>
      </c>
      <c r="C1162">
        <v>45720</v>
      </c>
      <c r="D1162" t="s">
        <v>787</v>
      </c>
      <c r="E1162" t="s">
        <v>3191</v>
      </c>
      <c r="F1162">
        <v>10010</v>
      </c>
    </row>
    <row r="1163" spans="1:6">
      <c r="A1163">
        <v>3786768</v>
      </c>
      <c r="C1163">
        <v>45721</v>
      </c>
      <c r="D1163" t="s">
        <v>118</v>
      </c>
      <c r="E1163" t="s">
        <v>913</v>
      </c>
      <c r="F1163">
        <v>10140</v>
      </c>
    </row>
    <row r="1164" spans="1:6">
      <c r="A1164">
        <v>3786769</v>
      </c>
      <c r="C1164">
        <v>45721</v>
      </c>
      <c r="D1164" t="s">
        <v>118</v>
      </c>
      <c r="E1164" t="s">
        <v>913</v>
      </c>
      <c r="F1164">
        <v>10140</v>
      </c>
    </row>
    <row r="1165" spans="1:6">
      <c r="A1165">
        <v>3786770</v>
      </c>
      <c r="C1165">
        <v>45722</v>
      </c>
      <c r="D1165" t="s">
        <v>916</v>
      </c>
      <c r="E1165" t="s">
        <v>261</v>
      </c>
      <c r="F1165">
        <v>10060</v>
      </c>
    </row>
    <row r="1166" spans="1:6">
      <c r="A1166">
        <v>3786771</v>
      </c>
      <c r="C1166">
        <v>45722</v>
      </c>
      <c r="D1166" t="s">
        <v>773</v>
      </c>
      <c r="E1166" t="s">
        <v>922</v>
      </c>
      <c r="F1166">
        <v>10010</v>
      </c>
    </row>
    <row r="1167" spans="1:6">
      <c r="A1167">
        <v>3786772</v>
      </c>
      <c r="C1167">
        <v>45722</v>
      </c>
      <c r="D1167" t="s">
        <v>773</v>
      </c>
      <c r="E1167" t="s">
        <v>924</v>
      </c>
      <c r="F1167">
        <v>10020</v>
      </c>
    </row>
    <row r="1168" spans="1:6">
      <c r="A1168">
        <v>3786773</v>
      </c>
      <c r="C1168">
        <v>45722</v>
      </c>
      <c r="D1168" t="s">
        <v>773</v>
      </c>
      <c r="E1168" t="s">
        <v>927</v>
      </c>
      <c r="F1168">
        <v>10010</v>
      </c>
    </row>
    <row r="1169" spans="1:6">
      <c r="A1169">
        <v>3786774</v>
      </c>
      <c r="C1169">
        <v>45722</v>
      </c>
      <c r="D1169" t="s">
        <v>773</v>
      </c>
      <c r="E1169" t="s">
        <v>929</v>
      </c>
      <c r="F1169">
        <v>10020</v>
      </c>
    </row>
    <row r="1170" spans="1:6">
      <c r="A1170">
        <v>3786775</v>
      </c>
      <c r="C1170">
        <v>45722</v>
      </c>
      <c r="D1170" t="s">
        <v>773</v>
      </c>
      <c r="E1170" t="s">
        <v>931</v>
      </c>
      <c r="F1170">
        <v>10010</v>
      </c>
    </row>
    <row r="1171" spans="1:6">
      <c r="A1171">
        <v>3786776</v>
      </c>
      <c r="C1171">
        <v>45722</v>
      </c>
      <c r="D1171" t="s">
        <v>773</v>
      </c>
      <c r="E1171" t="s">
        <v>933</v>
      </c>
      <c r="F1171">
        <v>10010</v>
      </c>
    </row>
    <row r="1172" spans="1:6">
      <c r="A1172">
        <v>3786777</v>
      </c>
      <c r="C1172">
        <v>45722</v>
      </c>
      <c r="D1172" t="s">
        <v>773</v>
      </c>
      <c r="E1172" t="s">
        <v>935</v>
      </c>
      <c r="F1172">
        <v>10020</v>
      </c>
    </row>
    <row r="1173" spans="1:6">
      <c r="A1173">
        <v>3786778</v>
      </c>
      <c r="C1173">
        <v>45722</v>
      </c>
      <c r="D1173" t="s">
        <v>773</v>
      </c>
      <c r="E1173" t="s">
        <v>937</v>
      </c>
      <c r="F1173">
        <v>10010</v>
      </c>
    </row>
    <row r="1174" spans="1:6">
      <c r="A1174">
        <v>3786779</v>
      </c>
      <c r="C1174">
        <v>45722</v>
      </c>
      <c r="D1174" t="s">
        <v>773</v>
      </c>
      <c r="E1174" t="s">
        <v>939</v>
      </c>
      <c r="F1174">
        <v>10020</v>
      </c>
    </row>
    <row r="1175" spans="1:6">
      <c r="A1175">
        <v>3786780</v>
      </c>
      <c r="C1175">
        <v>45722</v>
      </c>
      <c r="D1175" t="s">
        <v>773</v>
      </c>
      <c r="E1175" t="s">
        <v>941</v>
      </c>
      <c r="F1175">
        <v>10010</v>
      </c>
    </row>
    <row r="1176" spans="1:6">
      <c r="A1176">
        <v>3786781</v>
      </c>
      <c r="C1176">
        <v>45722</v>
      </c>
      <c r="D1176" t="s">
        <v>773</v>
      </c>
      <c r="E1176" t="s">
        <v>943</v>
      </c>
      <c r="F1176">
        <v>10080</v>
      </c>
    </row>
    <row r="1177" spans="1:6">
      <c r="A1177">
        <v>3786782</v>
      </c>
      <c r="C1177">
        <v>45722</v>
      </c>
      <c r="D1177" t="s">
        <v>773</v>
      </c>
      <c r="E1177" t="s">
        <v>945</v>
      </c>
      <c r="F1177">
        <v>10010</v>
      </c>
    </row>
    <row r="1178" spans="1:6">
      <c r="A1178">
        <v>3786783</v>
      </c>
      <c r="C1178">
        <v>45722</v>
      </c>
      <c r="D1178" t="s">
        <v>773</v>
      </c>
      <c r="E1178" t="s">
        <v>947</v>
      </c>
      <c r="F1178">
        <v>10020</v>
      </c>
    </row>
    <row r="1179" spans="1:6">
      <c r="A1179">
        <v>3786784</v>
      </c>
      <c r="C1179">
        <v>45722</v>
      </c>
      <c r="D1179" t="s">
        <v>773</v>
      </c>
      <c r="E1179" t="s">
        <v>949</v>
      </c>
      <c r="F1179">
        <v>10010</v>
      </c>
    </row>
    <row r="1180" spans="1:6">
      <c r="A1180">
        <v>3786785</v>
      </c>
      <c r="C1180">
        <v>45722</v>
      </c>
      <c r="D1180" t="s">
        <v>773</v>
      </c>
      <c r="E1180" t="s">
        <v>951</v>
      </c>
      <c r="F1180">
        <v>10020</v>
      </c>
    </row>
    <row r="1181" spans="1:6">
      <c r="A1181">
        <v>3786786</v>
      </c>
      <c r="C1181">
        <v>45722</v>
      </c>
      <c r="D1181" t="s">
        <v>773</v>
      </c>
      <c r="E1181" t="s">
        <v>953</v>
      </c>
      <c r="F1181">
        <v>10020</v>
      </c>
    </row>
    <row r="1182" spans="1:6">
      <c r="A1182">
        <v>3786787</v>
      </c>
      <c r="C1182">
        <v>45722</v>
      </c>
      <c r="D1182" t="s">
        <v>773</v>
      </c>
      <c r="E1182" t="s">
        <v>955</v>
      </c>
      <c r="F1182">
        <v>10010</v>
      </c>
    </row>
    <row r="1183" spans="1:6">
      <c r="A1183">
        <v>3786788</v>
      </c>
      <c r="C1183">
        <v>45722</v>
      </c>
      <c r="D1183" t="s">
        <v>773</v>
      </c>
      <c r="E1183" t="s">
        <v>957</v>
      </c>
      <c r="F1183">
        <v>10010</v>
      </c>
    </row>
    <row r="1184" spans="1:6">
      <c r="A1184">
        <v>3786789</v>
      </c>
      <c r="C1184">
        <v>45722</v>
      </c>
      <c r="D1184" t="s">
        <v>773</v>
      </c>
      <c r="E1184" t="s">
        <v>959</v>
      </c>
      <c r="F1184">
        <v>10020</v>
      </c>
    </row>
    <row r="1185" spans="1:6">
      <c r="A1185">
        <v>3786790</v>
      </c>
      <c r="C1185">
        <v>45722</v>
      </c>
      <c r="D1185" t="s">
        <v>773</v>
      </c>
      <c r="E1185" t="s">
        <v>961</v>
      </c>
      <c r="F1185">
        <v>10020</v>
      </c>
    </row>
    <row r="1186" spans="1:6">
      <c r="A1186">
        <v>3786791</v>
      </c>
      <c r="C1186">
        <v>45722</v>
      </c>
      <c r="D1186" t="s">
        <v>773</v>
      </c>
      <c r="E1186" t="s">
        <v>963</v>
      </c>
      <c r="F1186">
        <v>10020</v>
      </c>
    </row>
    <row r="1187" spans="1:6">
      <c r="A1187">
        <v>3786792</v>
      </c>
      <c r="C1187">
        <v>45722</v>
      </c>
      <c r="D1187" t="s">
        <v>773</v>
      </c>
      <c r="E1187" t="s">
        <v>965</v>
      </c>
      <c r="F1187">
        <v>10020</v>
      </c>
    </row>
    <row r="1188" spans="1:6">
      <c r="A1188">
        <v>3786793</v>
      </c>
      <c r="C1188">
        <v>45722</v>
      </c>
      <c r="D1188" t="s">
        <v>773</v>
      </c>
      <c r="E1188" t="s">
        <v>967</v>
      </c>
      <c r="F1188">
        <v>10020</v>
      </c>
    </row>
    <row r="1189" spans="1:6">
      <c r="A1189">
        <v>3786794</v>
      </c>
      <c r="C1189">
        <v>45722</v>
      </c>
      <c r="D1189" t="s">
        <v>773</v>
      </c>
      <c r="E1189" t="s">
        <v>969</v>
      </c>
      <c r="F1189">
        <v>10010</v>
      </c>
    </row>
    <row r="1190" spans="1:6">
      <c r="A1190">
        <v>3786795</v>
      </c>
      <c r="C1190">
        <v>45722</v>
      </c>
      <c r="D1190" t="s">
        <v>773</v>
      </c>
      <c r="E1190" t="s">
        <v>971</v>
      </c>
      <c r="F1190">
        <v>10020</v>
      </c>
    </row>
    <row r="1191" spans="1:6">
      <c r="A1191">
        <v>3786796</v>
      </c>
      <c r="C1191">
        <v>45722</v>
      </c>
      <c r="D1191" t="s">
        <v>773</v>
      </c>
      <c r="E1191" t="s">
        <v>3192</v>
      </c>
      <c r="F1191">
        <v>10010</v>
      </c>
    </row>
    <row r="1192" spans="1:6">
      <c r="A1192">
        <v>3786797</v>
      </c>
      <c r="B1192" t="s">
        <v>974</v>
      </c>
      <c r="C1192">
        <v>45722</v>
      </c>
      <c r="D1192" t="s">
        <v>294</v>
      </c>
      <c r="E1192" t="s">
        <v>976</v>
      </c>
      <c r="F1192">
        <v>10010</v>
      </c>
    </row>
    <row r="1193" spans="1:6">
      <c r="A1193">
        <v>3786798</v>
      </c>
      <c r="B1193" t="s">
        <v>978</v>
      </c>
      <c r="C1193">
        <v>45722</v>
      </c>
      <c r="D1193" t="s">
        <v>294</v>
      </c>
      <c r="E1193" t="s">
        <v>980</v>
      </c>
      <c r="F1193">
        <v>10010</v>
      </c>
    </row>
    <row r="1194" spans="1:6">
      <c r="A1194">
        <v>3786799</v>
      </c>
      <c r="B1194" t="s">
        <v>981</v>
      </c>
      <c r="C1194">
        <v>45722</v>
      </c>
      <c r="D1194" t="s">
        <v>294</v>
      </c>
      <c r="E1194" t="s">
        <v>983</v>
      </c>
      <c r="F1194">
        <v>10020</v>
      </c>
    </row>
    <row r="1195" spans="1:6">
      <c r="A1195">
        <v>3786800</v>
      </c>
      <c r="B1195" t="s">
        <v>984</v>
      </c>
      <c r="C1195">
        <v>45722</v>
      </c>
      <c r="D1195" t="s">
        <v>294</v>
      </c>
      <c r="E1195" t="s">
        <v>986</v>
      </c>
      <c r="F1195">
        <v>10010</v>
      </c>
    </row>
    <row r="1196" spans="1:6">
      <c r="A1196">
        <v>3786801</v>
      </c>
      <c r="B1196" t="s">
        <v>984</v>
      </c>
      <c r="C1196">
        <v>45722</v>
      </c>
      <c r="D1196" t="s">
        <v>294</v>
      </c>
      <c r="E1196" t="s">
        <v>988</v>
      </c>
      <c r="F1196">
        <v>10010</v>
      </c>
    </row>
    <row r="1197" spans="1:6">
      <c r="A1197">
        <v>3786802</v>
      </c>
      <c r="B1197" t="s">
        <v>989</v>
      </c>
      <c r="C1197">
        <v>45722</v>
      </c>
      <c r="D1197" t="s">
        <v>294</v>
      </c>
      <c r="E1197" t="s">
        <v>991</v>
      </c>
      <c r="F1197">
        <v>10010</v>
      </c>
    </row>
    <row r="1198" spans="1:6">
      <c r="A1198">
        <v>3786803</v>
      </c>
      <c r="B1198" t="s">
        <v>989</v>
      </c>
      <c r="C1198">
        <v>45722</v>
      </c>
      <c r="D1198" t="s">
        <v>294</v>
      </c>
      <c r="E1198" t="s">
        <v>993</v>
      </c>
      <c r="F1198">
        <v>10010</v>
      </c>
    </row>
    <row r="1199" spans="1:6">
      <c r="A1199">
        <v>3786804</v>
      </c>
      <c r="B1199" t="s">
        <v>994</v>
      </c>
      <c r="C1199">
        <v>45722</v>
      </c>
      <c r="D1199" t="s">
        <v>294</v>
      </c>
      <c r="E1199" t="s">
        <v>996</v>
      </c>
      <c r="F1199">
        <v>10020</v>
      </c>
    </row>
    <row r="1200" spans="1:6">
      <c r="A1200">
        <v>3786805</v>
      </c>
      <c r="B1200" t="s">
        <v>997</v>
      </c>
      <c r="C1200">
        <v>45722</v>
      </c>
      <c r="D1200" t="s">
        <v>294</v>
      </c>
      <c r="E1200" t="s">
        <v>999</v>
      </c>
      <c r="F1200">
        <v>10010</v>
      </c>
    </row>
    <row r="1201" spans="1:6">
      <c r="A1201">
        <v>3786806</v>
      </c>
      <c r="B1201" t="s">
        <v>997</v>
      </c>
      <c r="C1201">
        <v>45722</v>
      </c>
      <c r="D1201" t="s">
        <v>294</v>
      </c>
      <c r="E1201" t="s">
        <v>1001</v>
      </c>
      <c r="F1201">
        <v>10010</v>
      </c>
    </row>
    <row r="1202" spans="1:6">
      <c r="A1202">
        <v>3786807</v>
      </c>
      <c r="B1202" t="s">
        <v>1002</v>
      </c>
      <c r="C1202">
        <v>45722</v>
      </c>
      <c r="D1202" t="s">
        <v>294</v>
      </c>
      <c r="E1202" t="s">
        <v>1004</v>
      </c>
      <c r="F1202">
        <v>10020</v>
      </c>
    </row>
    <row r="1203" spans="1:6">
      <c r="A1203">
        <v>3786808</v>
      </c>
      <c r="B1203" t="s">
        <v>3193</v>
      </c>
      <c r="C1203">
        <v>45722</v>
      </c>
      <c r="D1203" t="s">
        <v>294</v>
      </c>
      <c r="E1203" t="s">
        <v>1006</v>
      </c>
      <c r="F1203">
        <v>10020</v>
      </c>
    </row>
    <row r="1204" spans="1:6">
      <c r="A1204">
        <v>3786809</v>
      </c>
      <c r="B1204" t="s">
        <v>3194</v>
      </c>
      <c r="C1204">
        <v>45722</v>
      </c>
      <c r="D1204" t="s">
        <v>294</v>
      </c>
      <c r="E1204" t="s">
        <v>1008</v>
      </c>
      <c r="F1204">
        <v>10010</v>
      </c>
    </row>
    <row r="1205" spans="1:6">
      <c r="A1205">
        <v>3786810</v>
      </c>
      <c r="B1205" t="s">
        <v>3195</v>
      </c>
      <c r="C1205">
        <v>45722</v>
      </c>
      <c r="D1205" t="s">
        <v>294</v>
      </c>
      <c r="E1205" t="s">
        <v>1010</v>
      </c>
      <c r="F1205">
        <v>10020</v>
      </c>
    </row>
    <row r="1206" spans="1:6">
      <c r="A1206">
        <v>3786811</v>
      </c>
      <c r="B1206" t="s">
        <v>3196</v>
      </c>
      <c r="C1206">
        <v>45722</v>
      </c>
      <c r="D1206" t="s">
        <v>294</v>
      </c>
      <c r="E1206" t="s">
        <v>1012</v>
      </c>
      <c r="F1206">
        <v>10020</v>
      </c>
    </row>
    <row r="1207" spans="1:6">
      <c r="A1207">
        <v>3786812</v>
      </c>
      <c r="B1207" t="s">
        <v>3197</v>
      </c>
      <c r="C1207">
        <v>45722</v>
      </c>
      <c r="D1207" t="s">
        <v>294</v>
      </c>
      <c r="E1207" t="s">
        <v>1014</v>
      </c>
      <c r="F1207">
        <v>10010</v>
      </c>
    </row>
    <row r="1208" spans="1:6">
      <c r="A1208">
        <v>3786813</v>
      </c>
      <c r="B1208" t="s">
        <v>3198</v>
      </c>
      <c r="C1208">
        <v>45722</v>
      </c>
      <c r="D1208" t="s">
        <v>294</v>
      </c>
      <c r="E1208" t="s">
        <v>1016</v>
      </c>
      <c r="F1208">
        <v>10010</v>
      </c>
    </row>
    <row r="1209" spans="1:6">
      <c r="A1209">
        <v>3786814</v>
      </c>
      <c r="B1209" t="s">
        <v>3199</v>
      </c>
      <c r="C1209">
        <v>45722</v>
      </c>
      <c r="D1209" t="s">
        <v>294</v>
      </c>
      <c r="E1209" t="s">
        <v>1018</v>
      </c>
      <c r="F1209">
        <v>10020</v>
      </c>
    </row>
    <row r="1210" spans="1:6">
      <c r="A1210">
        <v>3786815</v>
      </c>
      <c r="B1210" t="s">
        <v>3200</v>
      </c>
      <c r="C1210">
        <v>45722</v>
      </c>
      <c r="D1210" t="s">
        <v>294</v>
      </c>
      <c r="E1210" t="s">
        <v>1020</v>
      </c>
      <c r="F1210">
        <v>10020</v>
      </c>
    </row>
    <row r="1211" spans="1:6">
      <c r="A1211">
        <v>3786816</v>
      </c>
      <c r="B1211" t="s">
        <v>3201</v>
      </c>
      <c r="C1211">
        <v>45722</v>
      </c>
      <c r="D1211" t="s">
        <v>294</v>
      </c>
      <c r="E1211" t="s">
        <v>467</v>
      </c>
    </row>
    <row r="1212" spans="1:6">
      <c r="A1212">
        <v>3786817</v>
      </c>
      <c r="B1212" t="s">
        <v>3202</v>
      </c>
      <c r="C1212">
        <v>45722</v>
      </c>
      <c r="D1212" t="s">
        <v>294</v>
      </c>
      <c r="E1212" t="s">
        <v>1022</v>
      </c>
      <c r="F1212">
        <v>10020</v>
      </c>
    </row>
    <row r="1213" spans="1:6">
      <c r="A1213">
        <v>3786818</v>
      </c>
      <c r="B1213" t="s">
        <v>3203</v>
      </c>
      <c r="C1213">
        <v>45722</v>
      </c>
      <c r="D1213" t="s">
        <v>294</v>
      </c>
      <c r="E1213" t="s">
        <v>1024</v>
      </c>
      <c r="F1213">
        <v>10010</v>
      </c>
    </row>
    <row r="1214" spans="1:6">
      <c r="A1214">
        <v>3786819</v>
      </c>
      <c r="B1214" t="s">
        <v>3204</v>
      </c>
      <c r="C1214">
        <v>45722</v>
      </c>
      <c r="D1214" t="s">
        <v>294</v>
      </c>
      <c r="E1214" t="s">
        <v>1026</v>
      </c>
      <c r="F1214">
        <v>10020</v>
      </c>
    </row>
    <row r="1215" spans="1:6">
      <c r="A1215">
        <v>3786820</v>
      </c>
      <c r="C1215">
        <v>45722</v>
      </c>
      <c r="D1215" t="s">
        <v>447</v>
      </c>
      <c r="E1215" t="s">
        <v>3205</v>
      </c>
      <c r="F1215">
        <v>10010</v>
      </c>
    </row>
    <row r="1216" spans="1:6">
      <c r="A1216">
        <v>3786821</v>
      </c>
      <c r="C1216">
        <v>45722</v>
      </c>
      <c r="D1216" t="s">
        <v>447</v>
      </c>
      <c r="E1216" t="s">
        <v>3206</v>
      </c>
      <c r="F1216">
        <v>10010</v>
      </c>
    </row>
    <row r="1217" spans="1:6">
      <c r="A1217">
        <v>3786822</v>
      </c>
      <c r="C1217">
        <v>45722</v>
      </c>
      <c r="D1217" t="s">
        <v>1040</v>
      </c>
      <c r="E1217" t="s">
        <v>3207</v>
      </c>
      <c r="F1217">
        <v>10020</v>
      </c>
    </row>
    <row r="1218" spans="1:6">
      <c r="A1218">
        <v>3786823</v>
      </c>
      <c r="C1218">
        <v>45722</v>
      </c>
      <c r="D1218" t="s">
        <v>1040</v>
      </c>
      <c r="E1218" t="s">
        <v>3208</v>
      </c>
      <c r="F1218">
        <v>10010</v>
      </c>
    </row>
    <row r="1219" spans="1:6">
      <c r="A1219">
        <v>3786824</v>
      </c>
      <c r="C1219">
        <v>45722</v>
      </c>
      <c r="D1219" t="s">
        <v>916</v>
      </c>
      <c r="E1219" t="s">
        <v>1036</v>
      </c>
      <c r="F1219">
        <v>37030</v>
      </c>
    </row>
    <row r="1220" spans="1:6">
      <c r="A1220">
        <v>3786825</v>
      </c>
      <c r="C1220">
        <v>45722</v>
      </c>
      <c r="D1220" t="s">
        <v>1040</v>
      </c>
      <c r="E1220" t="s">
        <v>3209</v>
      </c>
      <c r="F1220">
        <v>10010</v>
      </c>
    </row>
    <row r="1221" spans="1:6">
      <c r="A1221">
        <v>3786826</v>
      </c>
      <c r="C1221">
        <v>45726</v>
      </c>
      <c r="D1221" t="s">
        <v>506</v>
      </c>
      <c r="E1221" t="s">
        <v>3210</v>
      </c>
      <c r="F1221">
        <v>10010</v>
      </c>
    </row>
    <row r="1222" spans="1:6">
      <c r="A1222">
        <v>3786827</v>
      </c>
      <c r="C1222">
        <v>45728</v>
      </c>
      <c r="D1222" t="s">
        <v>454</v>
      </c>
      <c r="E1222" t="s">
        <v>813</v>
      </c>
      <c r="F1222">
        <v>10140</v>
      </c>
    </row>
    <row r="1223" spans="1:6">
      <c r="A1223">
        <v>3786828</v>
      </c>
      <c r="C1223">
        <v>45728</v>
      </c>
      <c r="D1223" t="s">
        <v>454</v>
      </c>
      <c r="E1223" t="s">
        <v>813</v>
      </c>
      <c r="F1223">
        <v>10140</v>
      </c>
    </row>
    <row r="1224" spans="1:6">
      <c r="A1224">
        <v>3786829</v>
      </c>
      <c r="C1224">
        <v>45728</v>
      </c>
      <c r="D1224" t="s">
        <v>260</v>
      </c>
      <c r="E1224" t="s">
        <v>404</v>
      </c>
      <c r="F1224">
        <v>10150</v>
      </c>
    </row>
    <row r="1225" spans="1:6">
      <c r="A1225">
        <v>3786830</v>
      </c>
      <c r="C1225">
        <v>45729</v>
      </c>
      <c r="D1225" t="s">
        <v>1051</v>
      </c>
      <c r="E1225" t="s">
        <v>1053</v>
      </c>
      <c r="F1225">
        <v>10020</v>
      </c>
    </row>
    <row r="1226" spans="1:6">
      <c r="A1226">
        <v>3786831</v>
      </c>
      <c r="C1226">
        <v>45729</v>
      </c>
      <c r="D1226" t="s">
        <v>1051</v>
      </c>
      <c r="E1226" t="s">
        <v>1056</v>
      </c>
      <c r="F1226">
        <v>10020</v>
      </c>
    </row>
    <row r="1227" spans="1:6">
      <c r="A1227">
        <v>3786832</v>
      </c>
      <c r="C1227">
        <v>45729</v>
      </c>
      <c r="D1227" t="s">
        <v>1051</v>
      </c>
      <c r="E1227" t="s">
        <v>1058</v>
      </c>
      <c r="F1227">
        <v>10020</v>
      </c>
    </row>
    <row r="1228" spans="1:6">
      <c r="A1228">
        <v>3786833</v>
      </c>
      <c r="C1228">
        <v>45729</v>
      </c>
      <c r="D1228" t="s">
        <v>1051</v>
      </c>
      <c r="E1228" t="s">
        <v>1060</v>
      </c>
      <c r="F1228">
        <v>10020</v>
      </c>
    </row>
    <row r="1229" spans="1:6">
      <c r="A1229">
        <v>3786834</v>
      </c>
      <c r="C1229">
        <v>45729</v>
      </c>
      <c r="D1229" t="s">
        <v>1051</v>
      </c>
      <c r="E1229" t="s">
        <v>1062</v>
      </c>
      <c r="F1229">
        <v>10020</v>
      </c>
    </row>
    <row r="1230" spans="1:6">
      <c r="A1230">
        <v>3786835</v>
      </c>
      <c r="C1230">
        <v>45729</v>
      </c>
      <c r="D1230" t="s">
        <v>1051</v>
      </c>
      <c r="E1230" t="s">
        <v>1064</v>
      </c>
      <c r="F1230">
        <v>10010</v>
      </c>
    </row>
    <row r="1231" spans="1:6">
      <c r="A1231">
        <v>3786836</v>
      </c>
      <c r="C1231">
        <v>45729</v>
      </c>
      <c r="D1231" t="s">
        <v>1051</v>
      </c>
      <c r="E1231" t="s">
        <v>1066</v>
      </c>
      <c r="F1231">
        <v>10020</v>
      </c>
    </row>
    <row r="1232" spans="1:6">
      <c r="A1232">
        <v>3786837</v>
      </c>
      <c r="C1232">
        <v>45729</v>
      </c>
      <c r="D1232" t="s">
        <v>1051</v>
      </c>
      <c r="E1232" t="s">
        <v>1068</v>
      </c>
      <c r="F1232">
        <v>10020</v>
      </c>
    </row>
    <row r="1233" spans="1:6">
      <c r="A1233">
        <v>3786838</v>
      </c>
      <c r="C1233">
        <v>45729</v>
      </c>
      <c r="D1233" t="s">
        <v>1051</v>
      </c>
      <c r="E1233" t="s">
        <v>1070</v>
      </c>
      <c r="F1233">
        <v>10020</v>
      </c>
    </row>
    <row r="1234" spans="1:6">
      <c r="A1234">
        <v>3786839</v>
      </c>
      <c r="C1234">
        <v>45729</v>
      </c>
      <c r="D1234" t="s">
        <v>1051</v>
      </c>
      <c r="E1234" t="s">
        <v>1072</v>
      </c>
      <c r="F1234">
        <v>10010</v>
      </c>
    </row>
    <row r="1235" spans="1:6">
      <c r="A1235">
        <v>3786840</v>
      </c>
      <c r="C1235">
        <v>45729</v>
      </c>
      <c r="D1235" t="s">
        <v>1051</v>
      </c>
      <c r="E1235" t="s">
        <v>1074</v>
      </c>
      <c r="F1235">
        <v>10010</v>
      </c>
    </row>
    <row r="1236" spans="1:6">
      <c r="A1236">
        <v>3786841</v>
      </c>
      <c r="C1236">
        <v>45729</v>
      </c>
      <c r="D1236" t="s">
        <v>1051</v>
      </c>
      <c r="E1236" t="s">
        <v>1076</v>
      </c>
      <c r="F1236">
        <v>10010</v>
      </c>
    </row>
    <row r="1237" spans="1:6">
      <c r="A1237">
        <v>3786842</v>
      </c>
      <c r="C1237">
        <v>45730</v>
      </c>
      <c r="D1237" t="s">
        <v>1051</v>
      </c>
      <c r="E1237" t="s">
        <v>1078</v>
      </c>
      <c r="F1237">
        <v>10010</v>
      </c>
    </row>
    <row r="1238" spans="1:6">
      <c r="A1238">
        <v>3786843</v>
      </c>
      <c r="C1238">
        <v>45730</v>
      </c>
      <c r="D1238" t="s">
        <v>1051</v>
      </c>
      <c r="E1238" t="s">
        <v>1080</v>
      </c>
      <c r="F1238">
        <v>10010</v>
      </c>
    </row>
    <row r="1239" spans="1:6">
      <c r="A1239">
        <v>3786844</v>
      </c>
      <c r="C1239">
        <v>45730</v>
      </c>
      <c r="D1239" t="s">
        <v>1051</v>
      </c>
      <c r="E1239" t="s">
        <v>1082</v>
      </c>
      <c r="F1239">
        <v>10010</v>
      </c>
    </row>
    <row r="1240" spans="1:6">
      <c r="A1240">
        <v>3786845</v>
      </c>
      <c r="C1240">
        <v>45733</v>
      </c>
      <c r="D1240" t="s">
        <v>1051</v>
      </c>
      <c r="E1240" t="s">
        <v>1084</v>
      </c>
      <c r="F1240">
        <v>10020</v>
      </c>
    </row>
    <row r="1241" spans="1:6">
      <c r="A1241">
        <v>3786846</v>
      </c>
      <c r="C1241">
        <v>45733</v>
      </c>
      <c r="D1241" t="s">
        <v>118</v>
      </c>
      <c r="E1241" t="s">
        <v>1085</v>
      </c>
      <c r="F1241">
        <v>10137</v>
      </c>
    </row>
    <row r="1242" spans="1:6">
      <c r="A1242">
        <v>3786847</v>
      </c>
      <c r="C1242">
        <v>45733</v>
      </c>
      <c r="D1242" t="s">
        <v>1088</v>
      </c>
      <c r="E1242" t="s">
        <v>1089</v>
      </c>
      <c r="F1242">
        <v>10010</v>
      </c>
    </row>
    <row r="1243" spans="1:6">
      <c r="A1243">
        <v>3786848</v>
      </c>
      <c r="C1243">
        <v>45733</v>
      </c>
      <c r="D1243" t="s">
        <v>1088</v>
      </c>
      <c r="E1243" t="s">
        <v>1092</v>
      </c>
      <c r="F1243">
        <v>10010</v>
      </c>
    </row>
    <row r="1244" spans="1:6">
      <c r="A1244">
        <v>3786849</v>
      </c>
      <c r="C1244">
        <v>45733</v>
      </c>
      <c r="D1244" t="s">
        <v>1093</v>
      </c>
      <c r="E1244" t="s">
        <v>3211</v>
      </c>
      <c r="F1244">
        <v>10120</v>
      </c>
    </row>
    <row r="1245" spans="1:6">
      <c r="A1245">
        <v>3786850</v>
      </c>
      <c r="C1245">
        <v>45733</v>
      </c>
      <c r="D1245" t="s">
        <v>1093</v>
      </c>
      <c r="E1245" t="s">
        <v>3211</v>
      </c>
      <c r="F1245">
        <v>10120</v>
      </c>
    </row>
    <row r="1246" spans="1:6">
      <c r="A1246">
        <v>3786851</v>
      </c>
      <c r="C1246">
        <v>45733</v>
      </c>
      <c r="D1246" t="s">
        <v>260</v>
      </c>
      <c r="E1246" t="s">
        <v>3212</v>
      </c>
      <c r="F1246">
        <v>10150</v>
      </c>
    </row>
    <row r="1247" spans="1:6">
      <c r="A1247">
        <v>3786852</v>
      </c>
      <c r="C1247">
        <v>45734</v>
      </c>
      <c r="D1247" t="s">
        <v>1093</v>
      </c>
      <c r="E1247" t="s">
        <v>1085</v>
      </c>
      <c r="F1247">
        <v>10120</v>
      </c>
    </row>
    <row r="1248" spans="1:6">
      <c r="A1248">
        <v>3786853</v>
      </c>
      <c r="C1248">
        <v>45735</v>
      </c>
      <c r="D1248" t="s">
        <v>118</v>
      </c>
      <c r="E1248" t="s">
        <v>1107</v>
      </c>
      <c r="F1248">
        <v>10110</v>
      </c>
    </row>
    <row r="1249" spans="1:6">
      <c r="A1249">
        <v>3786854</v>
      </c>
      <c r="C1249">
        <v>45735</v>
      </c>
      <c r="D1249" t="s">
        <v>447</v>
      </c>
      <c r="E1249" t="s">
        <v>1112</v>
      </c>
      <c r="F1249">
        <v>10010</v>
      </c>
    </row>
    <row r="1250" spans="1:6">
      <c r="A1250">
        <v>3786855</v>
      </c>
      <c r="C1250">
        <v>45736</v>
      </c>
      <c r="D1250" t="s">
        <v>454</v>
      </c>
      <c r="E1250" t="s">
        <v>894</v>
      </c>
      <c r="F1250">
        <v>10140</v>
      </c>
    </row>
    <row r="1251" spans="1:6">
      <c r="A1251">
        <v>3786856</v>
      </c>
      <c r="C1251">
        <v>45736</v>
      </c>
      <c r="D1251" t="s">
        <v>454</v>
      </c>
      <c r="E1251" t="s">
        <v>894</v>
      </c>
      <c r="F1251">
        <v>10140</v>
      </c>
    </row>
    <row r="1252" spans="1:6">
      <c r="A1252">
        <v>3786857</v>
      </c>
      <c r="C1252">
        <v>45736</v>
      </c>
      <c r="D1252" t="s">
        <v>773</v>
      </c>
      <c r="E1252" t="s">
        <v>3213</v>
      </c>
      <c r="F1252">
        <v>10070</v>
      </c>
    </row>
    <row r="1253" spans="1:6">
      <c r="A1253">
        <v>3786858</v>
      </c>
      <c r="C1253">
        <v>45737</v>
      </c>
      <c r="D1253" t="s">
        <v>501</v>
      </c>
      <c r="E1253" t="s">
        <v>1121</v>
      </c>
      <c r="F1253">
        <v>10010</v>
      </c>
    </row>
    <row r="1254" spans="1:6">
      <c r="A1254">
        <v>3786859</v>
      </c>
      <c r="C1254">
        <v>45737</v>
      </c>
      <c r="D1254" t="s">
        <v>501</v>
      </c>
      <c r="E1254" t="s">
        <v>1123</v>
      </c>
      <c r="F1254">
        <v>10010</v>
      </c>
    </row>
    <row r="1255" spans="1:6">
      <c r="A1255">
        <v>3786860</v>
      </c>
      <c r="C1255">
        <v>45743</v>
      </c>
      <c r="D1255" t="s">
        <v>2708</v>
      </c>
      <c r="E1255" t="s">
        <v>1125</v>
      </c>
      <c r="F1255">
        <v>10110</v>
      </c>
    </row>
    <row r="1256" spans="1:6">
      <c r="A1256">
        <v>3786861</v>
      </c>
      <c r="C1256">
        <v>45737</v>
      </c>
      <c r="D1256" t="s">
        <v>787</v>
      </c>
      <c r="E1256" t="s">
        <v>1129</v>
      </c>
      <c r="F1256">
        <v>10010</v>
      </c>
    </row>
    <row r="1257" spans="1:6">
      <c r="A1257">
        <v>3786862</v>
      </c>
      <c r="B1257" t="s">
        <v>3214</v>
      </c>
      <c r="C1257">
        <v>45737</v>
      </c>
      <c r="D1257" t="s">
        <v>1131</v>
      </c>
      <c r="E1257" t="s">
        <v>1133</v>
      </c>
      <c r="F1257">
        <v>10060</v>
      </c>
    </row>
    <row r="1258" spans="1:6">
      <c r="A1258">
        <v>3786863</v>
      </c>
      <c r="B1258" t="s">
        <v>3215</v>
      </c>
      <c r="C1258">
        <v>45737</v>
      </c>
      <c r="D1258" t="s">
        <v>1131</v>
      </c>
      <c r="E1258" t="s">
        <v>1136</v>
      </c>
      <c r="F1258">
        <v>10070</v>
      </c>
    </row>
    <row r="1259" spans="1:6">
      <c r="A1259">
        <v>3786864</v>
      </c>
      <c r="C1259">
        <v>45737</v>
      </c>
      <c r="D1259" t="s">
        <v>118</v>
      </c>
      <c r="E1259" t="s">
        <v>1138</v>
      </c>
      <c r="F1259">
        <v>10120</v>
      </c>
    </row>
    <row r="1260" spans="1:6">
      <c r="A1260">
        <v>3786865</v>
      </c>
      <c r="C1260">
        <v>45737</v>
      </c>
      <c r="D1260" t="s">
        <v>118</v>
      </c>
      <c r="E1260" t="s">
        <v>1141</v>
      </c>
      <c r="F1260">
        <v>10080</v>
      </c>
    </row>
    <row r="1261" spans="1:6">
      <c r="A1261">
        <v>3786866</v>
      </c>
      <c r="C1261">
        <v>45737</v>
      </c>
      <c r="D1261" t="s">
        <v>118</v>
      </c>
      <c r="E1261" t="s">
        <v>1141</v>
      </c>
      <c r="F1261">
        <v>10080</v>
      </c>
    </row>
    <row r="1262" spans="1:6">
      <c r="A1262">
        <v>3786867</v>
      </c>
      <c r="C1262">
        <v>45737</v>
      </c>
      <c r="D1262" t="s">
        <v>118</v>
      </c>
      <c r="E1262" t="s">
        <v>1144</v>
      </c>
      <c r="F1262">
        <v>10110</v>
      </c>
    </row>
    <row r="1263" spans="1:6">
      <c r="A1263">
        <v>3786868</v>
      </c>
      <c r="C1263">
        <v>45737</v>
      </c>
      <c r="D1263" t="s">
        <v>447</v>
      </c>
      <c r="E1263" t="s">
        <v>1151</v>
      </c>
      <c r="F1263">
        <v>10010</v>
      </c>
    </row>
    <row r="1264" spans="1:6">
      <c r="A1264">
        <v>3786869</v>
      </c>
      <c r="C1264">
        <v>45737</v>
      </c>
      <c r="D1264" t="s">
        <v>1152</v>
      </c>
      <c r="E1264" t="s">
        <v>1154</v>
      </c>
      <c r="F1264">
        <v>10010</v>
      </c>
    </row>
    <row r="1265" spans="1:6">
      <c r="A1265">
        <v>3786870</v>
      </c>
      <c r="C1265">
        <v>45737</v>
      </c>
      <c r="D1265" t="s">
        <v>1152</v>
      </c>
      <c r="E1265" t="s">
        <v>1157</v>
      </c>
      <c r="F1265">
        <v>10020</v>
      </c>
    </row>
    <row r="1266" spans="1:6">
      <c r="A1266">
        <v>3786871</v>
      </c>
      <c r="C1266">
        <v>45737</v>
      </c>
      <c r="D1266" t="s">
        <v>1152</v>
      </c>
      <c r="E1266" t="s">
        <v>1159</v>
      </c>
      <c r="F1266">
        <v>10010</v>
      </c>
    </row>
    <row r="1267" spans="1:6">
      <c r="A1267">
        <v>3786872</v>
      </c>
      <c r="C1267">
        <v>45743</v>
      </c>
      <c r="D1267" t="s">
        <v>2708</v>
      </c>
      <c r="E1267" t="s">
        <v>3216</v>
      </c>
      <c r="F1267">
        <v>10110</v>
      </c>
    </row>
    <row r="1268" spans="1:6">
      <c r="A1268">
        <v>3786873</v>
      </c>
      <c r="C1268">
        <v>45743</v>
      </c>
      <c r="D1268" t="s">
        <v>118</v>
      </c>
      <c r="E1268" t="s">
        <v>1162</v>
      </c>
      <c r="F1268">
        <v>10310</v>
      </c>
    </row>
    <row r="1269" spans="1:6">
      <c r="A1269">
        <v>3786876</v>
      </c>
      <c r="C1269">
        <v>45741</v>
      </c>
      <c r="D1269" t="s">
        <v>118</v>
      </c>
      <c r="E1269" t="s">
        <v>1175</v>
      </c>
      <c r="F1269">
        <v>10140</v>
      </c>
    </row>
    <row r="1270" spans="1:6">
      <c r="A1270">
        <v>3786874</v>
      </c>
      <c r="C1270">
        <v>45744</v>
      </c>
      <c r="D1270" t="s">
        <v>1167</v>
      </c>
      <c r="E1270" t="s">
        <v>120</v>
      </c>
      <c r="F1270">
        <v>10070</v>
      </c>
    </row>
    <row r="1271" spans="1:6">
      <c r="A1271">
        <v>3786875</v>
      </c>
      <c r="C1271">
        <v>45744</v>
      </c>
      <c r="D1271" t="s">
        <v>2708</v>
      </c>
      <c r="E1271" t="s">
        <v>1171</v>
      </c>
      <c r="F1271">
        <v>10260</v>
      </c>
    </row>
    <row r="1272" spans="1:6">
      <c r="A1272">
        <v>3786877</v>
      </c>
      <c r="C1272">
        <v>45744</v>
      </c>
      <c r="D1272" t="s">
        <v>2708</v>
      </c>
      <c r="E1272" t="s">
        <v>1171</v>
      </c>
      <c r="F1272">
        <v>10260</v>
      </c>
    </row>
    <row r="1273" spans="1:6">
      <c r="A1273">
        <v>3786878</v>
      </c>
      <c r="C1273">
        <v>45747</v>
      </c>
      <c r="D1273" t="s">
        <v>260</v>
      </c>
      <c r="E1273" t="s">
        <v>404</v>
      </c>
      <c r="F1273">
        <v>10150</v>
      </c>
    </row>
    <row r="1274" spans="1:6">
      <c r="A1274">
        <v>3786879</v>
      </c>
      <c r="C1274">
        <v>45747</v>
      </c>
      <c r="D1274" t="s">
        <v>260</v>
      </c>
      <c r="E1274" t="s">
        <v>404</v>
      </c>
      <c r="F1274">
        <v>10150</v>
      </c>
    </row>
    <row r="1275" spans="1:6">
      <c r="A1275">
        <v>3786880</v>
      </c>
      <c r="C1275">
        <v>45747</v>
      </c>
      <c r="D1275" t="s">
        <v>260</v>
      </c>
      <c r="E1275" t="s">
        <v>404</v>
      </c>
      <c r="F1275">
        <v>10150</v>
      </c>
    </row>
    <row r="1276" spans="1:6">
      <c r="A1276">
        <v>3786881</v>
      </c>
      <c r="C1276">
        <v>45747</v>
      </c>
      <c r="D1276" t="s">
        <v>501</v>
      </c>
      <c r="E1276" t="s">
        <v>1185</v>
      </c>
      <c r="F1276">
        <v>10010</v>
      </c>
    </row>
    <row r="1277" spans="1:6">
      <c r="A1277">
        <v>3786882</v>
      </c>
      <c r="C1277">
        <v>45748</v>
      </c>
      <c r="D1277" t="s">
        <v>118</v>
      </c>
      <c r="E1277" t="s">
        <v>456</v>
      </c>
      <c r="F1277">
        <v>10140</v>
      </c>
    </row>
    <row r="1278" spans="1:6">
      <c r="A1278">
        <v>3786883</v>
      </c>
      <c r="C1278">
        <v>45748</v>
      </c>
      <c r="D1278" t="s">
        <v>118</v>
      </c>
      <c r="E1278" t="s">
        <v>1186</v>
      </c>
      <c r="F1278">
        <v>10120</v>
      </c>
    </row>
    <row r="1279" spans="1:6">
      <c r="A1279">
        <v>3786884</v>
      </c>
      <c r="C1279">
        <v>45750</v>
      </c>
      <c r="D1279" t="s">
        <v>506</v>
      </c>
      <c r="E1279" t="s">
        <v>3217</v>
      </c>
      <c r="F1279">
        <v>10030</v>
      </c>
    </row>
    <row r="1280" spans="1:6">
      <c r="A1280">
        <v>3786885</v>
      </c>
      <c r="C1280">
        <v>45750</v>
      </c>
      <c r="D1280" t="s">
        <v>454</v>
      </c>
      <c r="E1280" t="s">
        <v>1190</v>
      </c>
      <c r="F1280">
        <v>10140</v>
      </c>
    </row>
    <row r="1281" spans="1:6">
      <c r="A1281">
        <v>3786886</v>
      </c>
      <c r="C1281">
        <v>45750</v>
      </c>
      <c r="D1281" t="s">
        <v>454</v>
      </c>
      <c r="E1281" t="s">
        <v>1190</v>
      </c>
      <c r="F1281">
        <v>10140</v>
      </c>
    </row>
    <row r="1282" spans="1:6">
      <c r="A1282">
        <v>3786887</v>
      </c>
      <c r="C1282">
        <v>45750</v>
      </c>
      <c r="D1282" t="s">
        <v>118</v>
      </c>
      <c r="E1282" t="s">
        <v>3218</v>
      </c>
      <c r="F1282">
        <v>10310</v>
      </c>
    </row>
    <row r="1283" spans="1:6">
      <c r="A1283">
        <v>3786888</v>
      </c>
      <c r="C1283">
        <v>45750</v>
      </c>
      <c r="D1283" t="s">
        <v>611</v>
      </c>
      <c r="E1283" t="s">
        <v>1196</v>
      </c>
      <c r="F1283">
        <v>10100</v>
      </c>
    </row>
    <row r="1284" spans="1:6">
      <c r="A1284">
        <v>3786889</v>
      </c>
      <c r="C1284">
        <v>45751</v>
      </c>
      <c r="D1284" t="s">
        <v>230</v>
      </c>
      <c r="E1284" t="s">
        <v>1198</v>
      </c>
      <c r="F1284">
        <v>10310</v>
      </c>
    </row>
    <row r="1285" spans="1:6">
      <c r="A1285">
        <v>3786890</v>
      </c>
      <c r="C1285">
        <v>45751</v>
      </c>
      <c r="D1285" t="s">
        <v>1040</v>
      </c>
      <c r="E1285" t="s">
        <v>1201</v>
      </c>
      <c r="F1285">
        <v>10010</v>
      </c>
    </row>
    <row r="1286" spans="1:6">
      <c r="A1286">
        <v>3786891</v>
      </c>
      <c r="C1286">
        <v>45751</v>
      </c>
      <c r="D1286" t="s">
        <v>1040</v>
      </c>
      <c r="E1286" t="s">
        <v>1203</v>
      </c>
      <c r="F1286">
        <v>10030</v>
      </c>
    </row>
    <row r="1287" spans="1:6">
      <c r="A1287">
        <v>3786892</v>
      </c>
      <c r="C1287">
        <v>45754</v>
      </c>
      <c r="D1287" t="s">
        <v>611</v>
      </c>
      <c r="E1287" t="s">
        <v>1204</v>
      </c>
      <c r="F1287">
        <v>10080</v>
      </c>
    </row>
    <row r="1288" spans="1:6">
      <c r="A1288">
        <v>3786893</v>
      </c>
      <c r="C1288">
        <v>45756</v>
      </c>
      <c r="D1288" t="s">
        <v>447</v>
      </c>
      <c r="E1288" t="s">
        <v>1207</v>
      </c>
      <c r="F1288">
        <v>10040</v>
      </c>
    </row>
    <row r="1289" spans="1:6">
      <c r="A1289">
        <v>3786894</v>
      </c>
      <c r="C1289">
        <v>45757</v>
      </c>
      <c r="D1289" t="s">
        <v>260</v>
      </c>
      <c r="E1289" t="s">
        <v>1210</v>
      </c>
      <c r="F1289">
        <v>10140</v>
      </c>
    </row>
    <row r="1290" spans="1:6">
      <c r="A1290">
        <v>3786895</v>
      </c>
      <c r="C1290">
        <v>45757</v>
      </c>
      <c r="D1290" t="s">
        <v>260</v>
      </c>
      <c r="E1290" t="s">
        <v>1210</v>
      </c>
      <c r="F1290">
        <v>10140</v>
      </c>
    </row>
    <row r="1291" spans="1:6">
      <c r="A1291">
        <v>3786896</v>
      </c>
      <c r="C1291">
        <v>45757</v>
      </c>
      <c r="D1291" t="s">
        <v>294</v>
      </c>
      <c r="E1291" t="s">
        <v>1215</v>
      </c>
      <c r="F1291">
        <v>10020</v>
      </c>
    </row>
    <row r="1292" spans="1:6">
      <c r="A1292">
        <v>3786897</v>
      </c>
      <c r="C1292">
        <v>45757</v>
      </c>
      <c r="D1292" t="s">
        <v>294</v>
      </c>
      <c r="E1292" t="s">
        <v>1217</v>
      </c>
      <c r="F1292">
        <v>10010</v>
      </c>
    </row>
    <row r="1293" spans="1:6">
      <c r="A1293">
        <v>3786898</v>
      </c>
      <c r="C1293">
        <v>45757</v>
      </c>
      <c r="D1293" t="s">
        <v>294</v>
      </c>
      <c r="E1293" t="s">
        <v>1219</v>
      </c>
      <c r="F1293">
        <v>10010</v>
      </c>
    </row>
    <row r="1294" spans="1:6">
      <c r="A1294">
        <v>3786899</v>
      </c>
      <c r="C1294">
        <v>45761</v>
      </c>
      <c r="D1294" t="s">
        <v>1220</v>
      </c>
      <c r="E1294" t="s">
        <v>1221</v>
      </c>
      <c r="F1294">
        <v>10030</v>
      </c>
    </row>
    <row r="1295" spans="1:6">
      <c r="A1295">
        <v>3786900</v>
      </c>
      <c r="C1295">
        <v>45761</v>
      </c>
      <c r="D1295" t="s">
        <v>611</v>
      </c>
      <c r="E1295" t="s">
        <v>1264</v>
      </c>
      <c r="F1295">
        <v>10030</v>
      </c>
    </row>
    <row r="1296" spans="1:6">
      <c r="A1296">
        <v>3786901</v>
      </c>
      <c r="C1296">
        <v>45763</v>
      </c>
      <c r="D1296" t="s">
        <v>118</v>
      </c>
      <c r="E1296" t="s">
        <v>3219</v>
      </c>
      <c r="F1296">
        <v>10140</v>
      </c>
    </row>
    <row r="1297" spans="1:6">
      <c r="A1297">
        <v>3786902</v>
      </c>
      <c r="C1297">
        <v>45764</v>
      </c>
      <c r="D1297" t="s">
        <v>118</v>
      </c>
      <c r="E1297" t="s">
        <v>1229</v>
      </c>
      <c r="F1297">
        <v>10060</v>
      </c>
    </row>
    <row r="1298" spans="1:6">
      <c r="A1298">
        <v>3786903</v>
      </c>
      <c r="C1298">
        <v>45764</v>
      </c>
      <c r="D1298" t="s">
        <v>118</v>
      </c>
      <c r="E1298" t="s">
        <v>1236</v>
      </c>
      <c r="F1298">
        <v>10010</v>
      </c>
    </row>
    <row r="1299" spans="1:6">
      <c r="A1299">
        <v>3786904</v>
      </c>
      <c r="C1299">
        <v>45764</v>
      </c>
      <c r="D1299" t="s">
        <v>118</v>
      </c>
      <c r="E1299" t="s">
        <v>1236</v>
      </c>
      <c r="F1299">
        <v>10010</v>
      </c>
    </row>
    <row r="1300" spans="1:6">
      <c r="A1300">
        <v>3786905</v>
      </c>
      <c r="C1300">
        <v>45769</v>
      </c>
      <c r="D1300" t="s">
        <v>294</v>
      </c>
      <c r="E1300" t="s">
        <v>1240</v>
      </c>
      <c r="F1300">
        <v>10010</v>
      </c>
    </row>
    <row r="1301" spans="1:6">
      <c r="A1301">
        <v>3786906</v>
      </c>
      <c r="C1301">
        <v>45769</v>
      </c>
      <c r="D1301" t="s">
        <v>611</v>
      </c>
      <c r="E1301" t="s">
        <v>1243</v>
      </c>
      <c r="F1301">
        <v>10020</v>
      </c>
    </row>
    <row r="1302" spans="1:6">
      <c r="A1302">
        <v>3786907</v>
      </c>
      <c r="C1302">
        <v>45769</v>
      </c>
      <c r="D1302" t="s">
        <v>611</v>
      </c>
      <c r="E1302" t="s">
        <v>1246</v>
      </c>
      <c r="F1302">
        <v>10010</v>
      </c>
    </row>
    <row r="1303" spans="1:6">
      <c r="A1303">
        <v>3786908</v>
      </c>
      <c r="C1303">
        <v>45770</v>
      </c>
      <c r="D1303" t="s">
        <v>611</v>
      </c>
      <c r="E1303" t="s">
        <v>3220</v>
      </c>
      <c r="F1303">
        <v>10010</v>
      </c>
    </row>
    <row r="1304" spans="1:6">
      <c r="A1304">
        <v>3786909</v>
      </c>
      <c r="C1304">
        <v>45771</v>
      </c>
      <c r="D1304" t="s">
        <v>2708</v>
      </c>
      <c r="E1304" t="s">
        <v>1252</v>
      </c>
      <c r="F1304">
        <v>10260</v>
      </c>
    </row>
    <row r="1305" spans="1:6">
      <c r="A1305">
        <v>3786910</v>
      </c>
      <c r="C1305" t="s">
        <v>3221</v>
      </c>
      <c r="D1305" t="s">
        <v>611</v>
      </c>
      <c r="E1305" t="s">
        <v>1261</v>
      </c>
      <c r="F1305">
        <v>10010</v>
      </c>
    </row>
    <row r="1306" spans="1:6">
      <c r="A1306">
        <v>3786911</v>
      </c>
      <c r="C1306" t="s">
        <v>3221</v>
      </c>
      <c r="D1306" t="s">
        <v>611</v>
      </c>
      <c r="E1306" t="s">
        <v>1264</v>
      </c>
      <c r="F1306">
        <v>10030</v>
      </c>
    </row>
    <row r="1307" spans="1:6">
      <c r="A1307">
        <v>3786912</v>
      </c>
      <c r="C1307" t="s">
        <v>3221</v>
      </c>
      <c r="D1307" t="s">
        <v>611</v>
      </c>
      <c r="E1307" t="s">
        <v>1267</v>
      </c>
      <c r="F1307">
        <v>10030</v>
      </c>
    </row>
    <row r="1308" spans="1:6">
      <c r="A1308">
        <v>3786913</v>
      </c>
      <c r="C1308">
        <v>45776</v>
      </c>
      <c r="D1308" t="s">
        <v>260</v>
      </c>
      <c r="E1308" t="s">
        <v>1210</v>
      </c>
      <c r="F1308">
        <v>10140</v>
      </c>
    </row>
    <row r="1309" spans="1:6">
      <c r="A1309">
        <v>3786914</v>
      </c>
      <c r="C1309">
        <v>45777</v>
      </c>
      <c r="D1309" t="s">
        <v>118</v>
      </c>
      <c r="E1309" t="s">
        <v>3219</v>
      </c>
      <c r="F1309">
        <v>10140</v>
      </c>
    </row>
    <row r="1310" spans="1:6">
      <c r="A1310">
        <v>3786915</v>
      </c>
      <c r="C1310">
        <v>45784</v>
      </c>
      <c r="D1310" t="s">
        <v>916</v>
      </c>
      <c r="E1310" t="s">
        <v>1271</v>
      </c>
      <c r="F1310">
        <v>37030</v>
      </c>
    </row>
    <row r="1311" spans="1:6">
      <c r="A1311">
        <v>3786916</v>
      </c>
      <c r="C1311">
        <v>45791</v>
      </c>
      <c r="D1311" t="s">
        <v>1152</v>
      </c>
      <c r="E1311" t="s">
        <v>261</v>
      </c>
      <c r="F1311">
        <v>10060</v>
      </c>
    </row>
    <row r="1312" spans="1:6">
      <c r="A1312">
        <v>3786917</v>
      </c>
      <c r="C1312">
        <v>45791</v>
      </c>
      <c r="D1312" t="s">
        <v>3222</v>
      </c>
      <c r="E1312" t="s">
        <v>120</v>
      </c>
      <c r="F1312">
        <v>10080</v>
      </c>
    </row>
    <row r="1313" spans="1:6">
      <c r="A1313">
        <v>3786918</v>
      </c>
      <c r="C1313">
        <v>45791</v>
      </c>
      <c r="D1313" t="s">
        <v>294</v>
      </c>
      <c r="E1313" t="s">
        <v>1277</v>
      </c>
      <c r="F1313">
        <v>10010</v>
      </c>
    </row>
    <row r="1314" spans="1:6">
      <c r="A1314">
        <v>3786919</v>
      </c>
      <c r="C1314">
        <v>45793</v>
      </c>
      <c r="D1314" t="s">
        <v>2708</v>
      </c>
      <c r="E1314" t="s">
        <v>1280</v>
      </c>
      <c r="F1314">
        <v>10260</v>
      </c>
    </row>
    <row r="1315" spans="1:6">
      <c r="A1315">
        <v>3786920</v>
      </c>
      <c r="C1315">
        <v>45798</v>
      </c>
      <c r="D1315" t="s">
        <v>2708</v>
      </c>
      <c r="E1315" t="s">
        <v>3223</v>
      </c>
      <c r="F1315">
        <v>10260</v>
      </c>
    </row>
    <row r="1316" spans="1:6">
      <c r="A1316">
        <v>3786921</v>
      </c>
      <c r="C1316">
        <v>45799</v>
      </c>
      <c r="D1316" t="s">
        <v>611</v>
      </c>
      <c r="E1316" t="s">
        <v>1286</v>
      </c>
      <c r="F1316">
        <v>10070</v>
      </c>
    </row>
    <row r="1317" spans="1:6">
      <c r="A1317">
        <v>3786922</v>
      </c>
      <c r="C1317">
        <v>45804</v>
      </c>
      <c r="D1317" t="s">
        <v>3224</v>
      </c>
      <c r="E1317" t="s">
        <v>1290</v>
      </c>
      <c r="F1317">
        <v>10260</v>
      </c>
    </row>
    <row r="1318" spans="1:6">
      <c r="A1318">
        <v>3786923</v>
      </c>
      <c r="C1318">
        <v>45805</v>
      </c>
      <c r="D1318" t="s">
        <v>118</v>
      </c>
      <c r="E1318" t="s">
        <v>3225</v>
      </c>
      <c r="F1318">
        <v>10140</v>
      </c>
    </row>
    <row r="1319" spans="1:6">
      <c r="A1319">
        <v>3786924</v>
      </c>
      <c r="C1319">
        <v>45805</v>
      </c>
      <c r="D1319" t="s">
        <v>1040</v>
      </c>
      <c r="E1319" t="s">
        <v>261</v>
      </c>
      <c r="F1319">
        <v>10060</v>
      </c>
    </row>
    <row r="1320" spans="1:6">
      <c r="A1320">
        <v>3786509</v>
      </c>
      <c r="C1320">
        <v>45540</v>
      </c>
      <c r="D1320" t="s">
        <v>177</v>
      </c>
      <c r="E1320" t="s">
        <v>199</v>
      </c>
      <c r="F1320">
        <v>10080</v>
      </c>
    </row>
    <row r="1321" spans="1:6">
      <c r="A1321">
        <v>3786510</v>
      </c>
      <c r="C1321">
        <v>45540</v>
      </c>
      <c r="D1321" t="s">
        <v>177</v>
      </c>
      <c r="E1321" t="s">
        <v>178</v>
      </c>
      <c r="F1321">
        <v>10110</v>
      </c>
    </row>
    <row r="1322" spans="1:6">
      <c r="A1322">
        <v>3786511</v>
      </c>
      <c r="C1322">
        <v>45540</v>
      </c>
      <c r="D1322" t="s">
        <v>177</v>
      </c>
      <c r="E1322" t="s">
        <v>178</v>
      </c>
      <c r="F1322">
        <v>10110</v>
      </c>
    </row>
    <row r="1323" spans="1:6">
      <c r="A1323">
        <v>3786512</v>
      </c>
      <c r="C1323">
        <v>45540</v>
      </c>
      <c r="D1323" t="s">
        <v>177</v>
      </c>
      <c r="E1323" t="s">
        <v>199</v>
      </c>
      <c r="F1323">
        <v>10080</v>
      </c>
    </row>
    <row r="1324" spans="1:6">
      <c r="A1324">
        <v>3786515</v>
      </c>
      <c r="C1324">
        <v>45540</v>
      </c>
      <c r="D1324" t="s">
        <v>177</v>
      </c>
      <c r="E1324" t="s">
        <v>178</v>
      </c>
      <c r="F1324">
        <v>10110</v>
      </c>
    </row>
    <row r="1325" spans="1:6">
      <c r="A1325">
        <v>3786553</v>
      </c>
      <c r="C1325">
        <v>45604</v>
      </c>
      <c r="D1325" t="s">
        <v>260</v>
      </c>
      <c r="E1325" t="s">
        <v>261</v>
      </c>
      <c r="F1325">
        <v>10090</v>
      </c>
    </row>
    <row r="1326" spans="1:6">
      <c r="A1326">
        <v>3786570</v>
      </c>
      <c r="C1326">
        <v>45644</v>
      </c>
      <c r="D1326" t="s">
        <v>325</v>
      </c>
      <c r="E1326" t="s">
        <v>338</v>
      </c>
      <c r="F1326">
        <v>10080</v>
      </c>
    </row>
    <row r="1327" spans="1:6">
      <c r="A1327">
        <v>3786572</v>
      </c>
      <c r="C1327">
        <v>45645</v>
      </c>
      <c r="D1327" t="s">
        <v>177</v>
      </c>
      <c r="E1327" t="s">
        <v>354</v>
      </c>
      <c r="F1327">
        <v>10060</v>
      </c>
    </row>
    <row r="1328" spans="1:6">
      <c r="A1328">
        <v>3786618</v>
      </c>
      <c r="B1328" t="s">
        <v>516</v>
      </c>
      <c r="C1328">
        <v>45673</v>
      </c>
      <c r="D1328" t="s">
        <v>454</v>
      </c>
      <c r="E1328" t="s">
        <v>512</v>
      </c>
      <c r="F1328">
        <v>10110</v>
      </c>
    </row>
    <row r="1329" spans="1:6">
      <c r="A1329">
        <v>3786621</v>
      </c>
      <c r="C1329">
        <v>45674</v>
      </c>
      <c r="D1329" t="s">
        <v>118</v>
      </c>
      <c r="E1329" t="s">
        <v>268</v>
      </c>
      <c r="F1329">
        <v>10310</v>
      </c>
    </row>
    <row r="1330" spans="1:6">
      <c r="A1330">
        <v>3786628</v>
      </c>
      <c r="C1330">
        <v>45681</v>
      </c>
      <c r="D1330" t="s">
        <v>447</v>
      </c>
      <c r="E1330" t="s">
        <v>563</v>
      </c>
      <c r="F1330">
        <v>10010</v>
      </c>
    </row>
    <row r="1331" spans="1:6">
      <c r="A1331">
        <v>3786630</v>
      </c>
      <c r="C1331">
        <v>45681</v>
      </c>
      <c r="D1331" t="s">
        <v>447</v>
      </c>
      <c r="E1331" t="s">
        <v>569</v>
      </c>
      <c r="F1331">
        <v>10010</v>
      </c>
    </row>
    <row r="1332" spans="1:6">
      <c r="A1332">
        <v>3786631</v>
      </c>
      <c r="C1332">
        <v>45681</v>
      </c>
      <c r="D1332" t="s">
        <v>447</v>
      </c>
      <c r="E1332" t="s">
        <v>572</v>
      </c>
      <c r="F1332">
        <v>10010</v>
      </c>
    </row>
    <row r="1333" spans="1:6">
      <c r="A1333">
        <v>3786644</v>
      </c>
      <c r="C1333">
        <v>45686</v>
      </c>
      <c r="D1333" t="s">
        <v>611</v>
      </c>
      <c r="E1333" t="s">
        <v>612</v>
      </c>
      <c r="F1333">
        <v>10100</v>
      </c>
    </row>
    <row r="1334" spans="1:6">
      <c r="A1334">
        <v>3786645</v>
      </c>
      <c r="C1334">
        <v>45686</v>
      </c>
      <c r="D1334" t="s">
        <v>611</v>
      </c>
      <c r="E1334" t="s">
        <v>612</v>
      </c>
      <c r="F1334">
        <v>10100</v>
      </c>
    </row>
    <row r="1335" spans="1:6">
      <c r="A1335">
        <v>3786646</v>
      </c>
      <c r="C1335">
        <v>45686</v>
      </c>
      <c r="D1335" t="s">
        <v>611</v>
      </c>
      <c r="E1335" t="s">
        <v>612</v>
      </c>
      <c r="F1335">
        <v>10100</v>
      </c>
    </row>
    <row r="1336" spans="1:6">
      <c r="A1336">
        <v>3786647</v>
      </c>
      <c r="C1336">
        <v>45686</v>
      </c>
      <c r="D1336" t="s">
        <v>611</v>
      </c>
      <c r="E1336" t="s">
        <v>612</v>
      </c>
      <c r="F1336">
        <v>10100</v>
      </c>
    </row>
    <row r="1337" spans="1:6">
      <c r="A1337">
        <v>3786648</v>
      </c>
      <c r="C1337">
        <v>45686</v>
      </c>
      <c r="D1337" t="s">
        <v>611</v>
      </c>
      <c r="E1337" t="s">
        <v>612</v>
      </c>
      <c r="F1337">
        <v>10100</v>
      </c>
    </row>
    <row r="1338" spans="1:6">
      <c r="A1338">
        <v>3786649</v>
      </c>
      <c r="C1338">
        <v>45686</v>
      </c>
      <c r="D1338" t="s">
        <v>611</v>
      </c>
      <c r="E1338" t="s">
        <v>612</v>
      </c>
      <c r="F1338">
        <v>10100</v>
      </c>
    </row>
    <row r="1339" spans="1:6">
      <c r="A1339">
        <v>3786650</v>
      </c>
      <c r="C1339">
        <v>45686</v>
      </c>
      <c r="D1339" t="s">
        <v>611</v>
      </c>
      <c r="E1339" t="s">
        <v>612</v>
      </c>
      <c r="F1339">
        <v>10100</v>
      </c>
    </row>
    <row r="1340" spans="1:6">
      <c r="A1340">
        <v>3786651</v>
      </c>
      <c r="C1340">
        <v>45687</v>
      </c>
      <c r="D1340" t="s">
        <v>506</v>
      </c>
      <c r="E1340" t="s">
        <v>649</v>
      </c>
      <c r="F1340">
        <v>10070</v>
      </c>
    </row>
    <row r="1341" spans="1:6">
      <c r="A1341">
        <v>3786695</v>
      </c>
      <c r="C1341">
        <v>45695</v>
      </c>
      <c r="D1341" t="s">
        <v>294</v>
      </c>
      <c r="E1341" t="s">
        <v>3111</v>
      </c>
    </row>
    <row r="1342" spans="1:6">
      <c r="A1342">
        <v>3786713</v>
      </c>
      <c r="C1342">
        <v>45707</v>
      </c>
      <c r="D1342" t="s">
        <v>773</v>
      </c>
      <c r="E1342" t="s">
        <v>783</v>
      </c>
      <c r="F1342">
        <v>10070</v>
      </c>
    </row>
    <row r="1343" spans="1:6">
      <c r="A1343">
        <v>3786714</v>
      </c>
      <c r="C1343">
        <v>45707</v>
      </c>
      <c r="D1343" t="s">
        <v>787</v>
      </c>
      <c r="E1343" t="s">
        <v>3184</v>
      </c>
      <c r="F1343">
        <v>10020</v>
      </c>
    </row>
    <row r="1344" spans="1:6">
      <c r="A1344">
        <v>3786715</v>
      </c>
      <c r="C1344">
        <v>45707</v>
      </c>
      <c r="D1344" t="s">
        <v>787</v>
      </c>
      <c r="E1344" t="s">
        <v>3185</v>
      </c>
      <c r="F1344">
        <v>10010</v>
      </c>
    </row>
    <row r="1345" spans="1:6">
      <c r="A1345">
        <v>3786716</v>
      </c>
      <c r="C1345">
        <v>45707</v>
      </c>
      <c r="D1345" t="s">
        <v>787</v>
      </c>
      <c r="E1345" t="s">
        <v>3186</v>
      </c>
      <c r="F1345">
        <v>10020</v>
      </c>
    </row>
    <row r="1346" spans="1:6">
      <c r="A1346">
        <v>3786717</v>
      </c>
      <c r="C1346">
        <v>45707</v>
      </c>
      <c r="D1346" t="s">
        <v>787</v>
      </c>
      <c r="E1346" t="s">
        <v>3187</v>
      </c>
      <c r="F1346">
        <v>10010</v>
      </c>
    </row>
    <row r="1347" spans="1:6">
      <c r="A1347">
        <v>3786718</v>
      </c>
      <c r="C1347">
        <v>45707</v>
      </c>
      <c r="D1347" t="s">
        <v>787</v>
      </c>
      <c r="E1347" t="s">
        <v>3188</v>
      </c>
      <c r="F1347">
        <v>10010</v>
      </c>
    </row>
    <row r="1348" spans="1:6">
      <c r="A1348">
        <v>3786719</v>
      </c>
      <c r="C1348">
        <v>45707</v>
      </c>
      <c r="D1348" t="s">
        <v>787</v>
      </c>
      <c r="E1348" t="s">
        <v>3189</v>
      </c>
      <c r="F1348">
        <v>10010</v>
      </c>
    </row>
    <row r="1349" spans="1:6">
      <c r="A1349">
        <v>3786761</v>
      </c>
      <c r="C1349">
        <v>45713</v>
      </c>
      <c r="D1349" t="s">
        <v>454</v>
      </c>
      <c r="E1349" t="s">
        <v>894</v>
      </c>
      <c r="F1349">
        <v>10140</v>
      </c>
    </row>
    <row r="1350" spans="1:6">
      <c r="A1350">
        <v>3786762</v>
      </c>
      <c r="C1350">
        <v>45713</v>
      </c>
      <c r="D1350" t="s">
        <v>454</v>
      </c>
      <c r="E1350" t="s">
        <v>894</v>
      </c>
      <c r="F1350">
        <v>10140</v>
      </c>
    </row>
    <row r="1351" spans="1:6">
      <c r="A1351">
        <v>3786763</v>
      </c>
      <c r="C1351">
        <v>45713</v>
      </c>
      <c r="D1351" t="s">
        <v>454</v>
      </c>
      <c r="E1351" t="s">
        <v>894</v>
      </c>
      <c r="F1351">
        <v>10140</v>
      </c>
    </row>
    <row r="1352" spans="1:6">
      <c r="A1352">
        <v>3786767</v>
      </c>
      <c r="C1352">
        <v>45720</v>
      </c>
      <c r="D1352" t="s">
        <v>787</v>
      </c>
      <c r="E1352" t="s">
        <v>3191</v>
      </c>
      <c r="F1352">
        <v>10010</v>
      </c>
    </row>
    <row r="1353" spans="1:6">
      <c r="A1353">
        <v>3786771</v>
      </c>
      <c r="C1353">
        <v>45722</v>
      </c>
      <c r="D1353" t="s">
        <v>773</v>
      </c>
      <c r="E1353" t="s">
        <v>922</v>
      </c>
      <c r="F1353">
        <v>10010</v>
      </c>
    </row>
    <row r="1354" spans="1:6">
      <c r="A1354">
        <v>3786772</v>
      </c>
      <c r="C1354">
        <v>45722</v>
      </c>
      <c r="D1354" t="s">
        <v>773</v>
      </c>
      <c r="E1354" t="s">
        <v>924</v>
      </c>
      <c r="F1354">
        <v>10020</v>
      </c>
    </row>
    <row r="1355" spans="1:6">
      <c r="A1355">
        <v>3786773</v>
      </c>
      <c r="C1355">
        <v>45722</v>
      </c>
      <c r="D1355" t="s">
        <v>773</v>
      </c>
      <c r="E1355" t="s">
        <v>927</v>
      </c>
      <c r="F1355">
        <v>10010</v>
      </c>
    </row>
    <row r="1356" spans="1:6">
      <c r="A1356">
        <v>3786774</v>
      </c>
      <c r="C1356">
        <v>45722</v>
      </c>
      <c r="D1356" t="s">
        <v>773</v>
      </c>
      <c r="E1356" t="s">
        <v>929</v>
      </c>
      <c r="F1356">
        <v>10020</v>
      </c>
    </row>
    <row r="1357" spans="1:6">
      <c r="A1357">
        <v>3786775</v>
      </c>
      <c r="C1357">
        <v>45722</v>
      </c>
      <c r="D1357" t="s">
        <v>773</v>
      </c>
      <c r="E1357" t="s">
        <v>931</v>
      </c>
      <c r="F1357">
        <v>10010</v>
      </c>
    </row>
    <row r="1358" spans="1:6">
      <c r="A1358">
        <v>3786776</v>
      </c>
      <c r="C1358">
        <v>45722</v>
      </c>
      <c r="D1358" t="s">
        <v>773</v>
      </c>
      <c r="E1358" t="s">
        <v>933</v>
      </c>
      <c r="F1358">
        <v>10010</v>
      </c>
    </row>
    <row r="1359" spans="1:6">
      <c r="A1359">
        <v>3786777</v>
      </c>
      <c r="C1359">
        <v>45722</v>
      </c>
      <c r="D1359" t="s">
        <v>773</v>
      </c>
      <c r="E1359" t="s">
        <v>935</v>
      </c>
      <c r="F1359">
        <v>10020</v>
      </c>
    </row>
    <row r="1360" spans="1:6">
      <c r="A1360">
        <v>3786778</v>
      </c>
      <c r="C1360">
        <v>45722</v>
      </c>
      <c r="D1360" t="s">
        <v>773</v>
      </c>
      <c r="E1360" t="s">
        <v>937</v>
      </c>
      <c r="F1360">
        <v>10010</v>
      </c>
    </row>
    <row r="1361" spans="1:6">
      <c r="A1361">
        <v>3786779</v>
      </c>
      <c r="C1361">
        <v>45722</v>
      </c>
      <c r="D1361" t="s">
        <v>773</v>
      </c>
      <c r="E1361" t="s">
        <v>939</v>
      </c>
      <c r="F1361">
        <v>10020</v>
      </c>
    </row>
    <row r="1362" spans="1:6">
      <c r="A1362">
        <v>3786780</v>
      </c>
      <c r="C1362">
        <v>45722</v>
      </c>
      <c r="D1362" t="s">
        <v>773</v>
      </c>
      <c r="E1362" t="s">
        <v>941</v>
      </c>
      <c r="F1362">
        <v>10010</v>
      </c>
    </row>
    <row r="1363" spans="1:6">
      <c r="A1363">
        <v>3786781</v>
      </c>
      <c r="C1363">
        <v>45722</v>
      </c>
      <c r="D1363" t="s">
        <v>773</v>
      </c>
      <c r="E1363" t="s">
        <v>943</v>
      </c>
      <c r="F1363">
        <v>10080</v>
      </c>
    </row>
    <row r="1364" spans="1:6">
      <c r="A1364">
        <v>3786782</v>
      </c>
      <c r="C1364">
        <v>45722</v>
      </c>
      <c r="D1364" t="s">
        <v>773</v>
      </c>
      <c r="E1364" t="s">
        <v>945</v>
      </c>
      <c r="F1364">
        <v>10010</v>
      </c>
    </row>
    <row r="1365" spans="1:6">
      <c r="A1365">
        <v>3786783</v>
      </c>
      <c r="C1365">
        <v>45722</v>
      </c>
      <c r="D1365" t="s">
        <v>773</v>
      </c>
      <c r="E1365" t="s">
        <v>947</v>
      </c>
      <c r="F1365">
        <v>10020</v>
      </c>
    </row>
    <row r="1366" spans="1:6">
      <c r="A1366">
        <v>3786784</v>
      </c>
      <c r="C1366">
        <v>45722</v>
      </c>
      <c r="D1366" t="s">
        <v>773</v>
      </c>
      <c r="E1366" t="s">
        <v>949</v>
      </c>
      <c r="F1366">
        <v>10010</v>
      </c>
    </row>
    <row r="1367" spans="1:6">
      <c r="A1367">
        <v>3786785</v>
      </c>
      <c r="C1367">
        <v>45722</v>
      </c>
      <c r="D1367" t="s">
        <v>773</v>
      </c>
      <c r="E1367" t="s">
        <v>951</v>
      </c>
      <c r="F1367">
        <v>10020</v>
      </c>
    </row>
    <row r="1368" spans="1:6">
      <c r="A1368">
        <v>3786786</v>
      </c>
      <c r="C1368">
        <v>45722</v>
      </c>
      <c r="D1368" t="s">
        <v>773</v>
      </c>
      <c r="E1368" t="s">
        <v>953</v>
      </c>
      <c r="F1368">
        <v>10020</v>
      </c>
    </row>
    <row r="1369" spans="1:6">
      <c r="A1369">
        <v>3786787</v>
      </c>
      <c r="C1369">
        <v>45722</v>
      </c>
      <c r="D1369" t="s">
        <v>773</v>
      </c>
      <c r="E1369" t="s">
        <v>955</v>
      </c>
      <c r="F1369">
        <v>10010</v>
      </c>
    </row>
    <row r="1370" spans="1:6">
      <c r="A1370">
        <v>3786788</v>
      </c>
      <c r="C1370">
        <v>45722</v>
      </c>
      <c r="D1370" t="s">
        <v>773</v>
      </c>
      <c r="E1370" t="s">
        <v>957</v>
      </c>
      <c r="F1370">
        <v>10010</v>
      </c>
    </row>
    <row r="1371" spans="1:6">
      <c r="A1371">
        <v>3786789</v>
      </c>
      <c r="C1371">
        <v>45722</v>
      </c>
      <c r="D1371" t="s">
        <v>773</v>
      </c>
      <c r="E1371" t="s">
        <v>959</v>
      </c>
      <c r="F1371">
        <v>10020</v>
      </c>
    </row>
    <row r="1372" spans="1:6">
      <c r="A1372">
        <v>3786790</v>
      </c>
      <c r="C1372">
        <v>45722</v>
      </c>
      <c r="D1372" t="s">
        <v>773</v>
      </c>
      <c r="E1372" t="s">
        <v>961</v>
      </c>
      <c r="F1372">
        <v>10020</v>
      </c>
    </row>
    <row r="1373" spans="1:6">
      <c r="A1373">
        <v>3786791</v>
      </c>
      <c r="C1373">
        <v>45722</v>
      </c>
      <c r="D1373" t="s">
        <v>773</v>
      </c>
      <c r="E1373" t="s">
        <v>963</v>
      </c>
      <c r="F1373">
        <v>10020</v>
      </c>
    </row>
    <row r="1374" spans="1:6">
      <c r="A1374">
        <v>3786792</v>
      </c>
      <c r="C1374">
        <v>45722</v>
      </c>
      <c r="D1374" t="s">
        <v>773</v>
      </c>
      <c r="E1374" t="s">
        <v>965</v>
      </c>
      <c r="F1374">
        <v>10020</v>
      </c>
    </row>
    <row r="1375" spans="1:6">
      <c r="A1375">
        <v>3786793</v>
      </c>
      <c r="C1375">
        <v>45722</v>
      </c>
      <c r="D1375" t="s">
        <v>773</v>
      </c>
      <c r="E1375" t="s">
        <v>967</v>
      </c>
      <c r="F1375">
        <v>10020</v>
      </c>
    </row>
    <row r="1376" spans="1:6">
      <c r="A1376">
        <v>3786794</v>
      </c>
      <c r="C1376">
        <v>45722</v>
      </c>
      <c r="D1376" t="s">
        <v>773</v>
      </c>
      <c r="E1376" t="s">
        <v>969</v>
      </c>
      <c r="F1376">
        <v>10010</v>
      </c>
    </row>
    <row r="1377" spans="1:6">
      <c r="A1377">
        <v>3786795</v>
      </c>
      <c r="C1377">
        <v>45722</v>
      </c>
      <c r="D1377" t="s">
        <v>773</v>
      </c>
      <c r="E1377" t="s">
        <v>971</v>
      </c>
      <c r="F1377">
        <v>10020</v>
      </c>
    </row>
    <row r="1378" spans="1:6">
      <c r="A1378">
        <v>3786796</v>
      </c>
      <c r="C1378">
        <v>45722</v>
      </c>
      <c r="D1378" t="s">
        <v>773</v>
      </c>
      <c r="E1378" t="s">
        <v>3192</v>
      </c>
      <c r="F1378">
        <v>10010</v>
      </c>
    </row>
    <row r="1379" spans="1:6">
      <c r="A1379">
        <v>3786808</v>
      </c>
      <c r="B1379" t="s">
        <v>3193</v>
      </c>
      <c r="C1379">
        <v>45722</v>
      </c>
      <c r="D1379" t="s">
        <v>294</v>
      </c>
      <c r="E1379" t="s">
        <v>1006</v>
      </c>
      <c r="F1379">
        <v>10020</v>
      </c>
    </row>
    <row r="1380" spans="1:6">
      <c r="A1380">
        <v>3786809</v>
      </c>
      <c r="B1380" t="s">
        <v>3194</v>
      </c>
      <c r="C1380">
        <v>45722</v>
      </c>
      <c r="D1380" t="s">
        <v>294</v>
      </c>
      <c r="E1380" t="s">
        <v>1008</v>
      </c>
      <c r="F1380">
        <v>10010</v>
      </c>
    </row>
    <row r="1381" spans="1:6">
      <c r="A1381">
        <v>3786810</v>
      </c>
      <c r="B1381" t="s">
        <v>3195</v>
      </c>
      <c r="C1381">
        <v>45722</v>
      </c>
      <c r="D1381" t="s">
        <v>294</v>
      </c>
      <c r="E1381" t="s">
        <v>1010</v>
      </c>
      <c r="F1381">
        <v>10020</v>
      </c>
    </row>
    <row r="1382" spans="1:6">
      <c r="A1382">
        <v>3786811</v>
      </c>
      <c r="B1382" t="s">
        <v>3196</v>
      </c>
      <c r="C1382">
        <v>45722</v>
      </c>
      <c r="D1382" t="s">
        <v>294</v>
      </c>
      <c r="E1382" t="s">
        <v>1012</v>
      </c>
      <c r="F1382">
        <v>10020</v>
      </c>
    </row>
    <row r="1383" spans="1:6">
      <c r="A1383">
        <v>3786812</v>
      </c>
      <c r="B1383" t="s">
        <v>3197</v>
      </c>
      <c r="C1383">
        <v>45722</v>
      </c>
      <c r="D1383" t="s">
        <v>294</v>
      </c>
      <c r="E1383" t="s">
        <v>1014</v>
      </c>
      <c r="F1383">
        <v>10010</v>
      </c>
    </row>
    <row r="1384" spans="1:6">
      <c r="A1384">
        <v>3786813</v>
      </c>
      <c r="B1384" t="s">
        <v>3198</v>
      </c>
      <c r="C1384">
        <v>45722</v>
      </c>
      <c r="D1384" t="s">
        <v>294</v>
      </c>
      <c r="E1384" t="s">
        <v>1016</v>
      </c>
      <c r="F1384">
        <v>10010</v>
      </c>
    </row>
    <row r="1385" spans="1:6">
      <c r="A1385">
        <v>3786814</v>
      </c>
      <c r="B1385" t="s">
        <v>3199</v>
      </c>
      <c r="C1385">
        <v>45722</v>
      </c>
      <c r="D1385" t="s">
        <v>294</v>
      </c>
      <c r="E1385" t="s">
        <v>1018</v>
      </c>
      <c r="F1385">
        <v>10020</v>
      </c>
    </row>
    <row r="1386" spans="1:6">
      <c r="A1386">
        <v>3786815</v>
      </c>
      <c r="B1386" t="s">
        <v>3200</v>
      </c>
      <c r="C1386">
        <v>45722</v>
      </c>
      <c r="D1386" t="s">
        <v>294</v>
      </c>
      <c r="E1386" t="s">
        <v>1020</v>
      </c>
      <c r="F1386">
        <v>10020</v>
      </c>
    </row>
    <row r="1387" spans="1:6">
      <c r="A1387">
        <v>3786817</v>
      </c>
      <c r="B1387" t="s">
        <v>3202</v>
      </c>
      <c r="C1387">
        <v>45722</v>
      </c>
      <c r="D1387" t="s">
        <v>294</v>
      </c>
      <c r="E1387" t="s">
        <v>1022</v>
      </c>
      <c r="F1387">
        <v>10020</v>
      </c>
    </row>
    <row r="1388" spans="1:6">
      <c r="A1388">
        <v>3786818</v>
      </c>
      <c r="B1388" t="s">
        <v>3203</v>
      </c>
      <c r="C1388">
        <v>45722</v>
      </c>
      <c r="D1388" t="s">
        <v>294</v>
      </c>
      <c r="E1388" t="s">
        <v>1024</v>
      </c>
      <c r="F1388">
        <v>10010</v>
      </c>
    </row>
    <row r="1389" spans="1:6">
      <c r="A1389">
        <v>3786819</v>
      </c>
      <c r="B1389" t="s">
        <v>3204</v>
      </c>
      <c r="C1389">
        <v>45722</v>
      </c>
      <c r="D1389" t="s">
        <v>294</v>
      </c>
      <c r="E1389" t="s">
        <v>1026</v>
      </c>
      <c r="F1389">
        <v>10020</v>
      </c>
    </row>
    <row r="1390" spans="1:6">
      <c r="A1390">
        <v>3786820</v>
      </c>
      <c r="C1390">
        <v>45722</v>
      </c>
      <c r="D1390" t="s">
        <v>447</v>
      </c>
      <c r="E1390" t="s">
        <v>3205</v>
      </c>
      <c r="F1390">
        <v>10010</v>
      </c>
    </row>
    <row r="1391" spans="1:6">
      <c r="A1391">
        <v>3786821</v>
      </c>
      <c r="C1391">
        <v>45722</v>
      </c>
      <c r="D1391" t="s">
        <v>447</v>
      </c>
      <c r="E1391" t="s">
        <v>3206</v>
      </c>
      <c r="F1391">
        <v>10010</v>
      </c>
    </row>
    <row r="1392" spans="1:6">
      <c r="A1392">
        <v>3786822</v>
      </c>
      <c r="C1392">
        <v>45722</v>
      </c>
      <c r="D1392" t="s">
        <v>1040</v>
      </c>
      <c r="E1392" t="s">
        <v>3207</v>
      </c>
      <c r="F1392">
        <v>10020</v>
      </c>
    </row>
    <row r="1393" spans="1:6">
      <c r="A1393">
        <v>3786823</v>
      </c>
      <c r="C1393">
        <v>45722</v>
      </c>
      <c r="D1393" t="s">
        <v>1040</v>
      </c>
      <c r="E1393" t="s">
        <v>3208</v>
      </c>
      <c r="F1393">
        <v>10010</v>
      </c>
    </row>
    <row r="1394" spans="1:6">
      <c r="A1394">
        <v>3786824</v>
      </c>
      <c r="C1394">
        <v>45722</v>
      </c>
      <c r="D1394" t="s">
        <v>916</v>
      </c>
      <c r="E1394" t="s">
        <v>1036</v>
      </c>
      <c r="F1394">
        <v>37030</v>
      </c>
    </row>
    <row r="1395" spans="1:6">
      <c r="A1395">
        <v>3786825</v>
      </c>
      <c r="C1395">
        <v>45722</v>
      </c>
      <c r="D1395" t="s">
        <v>1040</v>
      </c>
      <c r="E1395" t="s">
        <v>3209</v>
      </c>
      <c r="F1395">
        <v>10010</v>
      </c>
    </row>
    <row r="1396" spans="1:6">
      <c r="A1396">
        <v>3786826</v>
      </c>
      <c r="C1396">
        <v>45726</v>
      </c>
      <c r="D1396" t="s">
        <v>506</v>
      </c>
      <c r="E1396" t="s">
        <v>3210</v>
      </c>
      <c r="F1396">
        <v>10010</v>
      </c>
    </row>
    <row r="1397" spans="1:6">
      <c r="A1397">
        <v>3786828</v>
      </c>
      <c r="C1397">
        <v>45728</v>
      </c>
      <c r="D1397" t="s">
        <v>454</v>
      </c>
      <c r="E1397" t="s">
        <v>813</v>
      </c>
      <c r="F1397">
        <v>10140</v>
      </c>
    </row>
    <row r="1398" spans="1:6">
      <c r="A1398">
        <v>3786829</v>
      </c>
      <c r="C1398">
        <v>45728</v>
      </c>
      <c r="D1398" t="s">
        <v>260</v>
      </c>
      <c r="E1398" t="s">
        <v>404</v>
      </c>
      <c r="F1398">
        <v>10150</v>
      </c>
    </row>
    <row r="1399" spans="1:6">
      <c r="A1399">
        <v>3786846</v>
      </c>
      <c r="C1399">
        <v>45733</v>
      </c>
      <c r="D1399" t="s">
        <v>118</v>
      </c>
      <c r="E1399" t="s">
        <v>1085</v>
      </c>
      <c r="F1399">
        <v>10137</v>
      </c>
    </row>
    <row r="1400" spans="1:6">
      <c r="A1400">
        <v>3786849</v>
      </c>
      <c r="C1400">
        <v>45733</v>
      </c>
      <c r="D1400" t="s">
        <v>1093</v>
      </c>
      <c r="E1400" t="s">
        <v>3211</v>
      </c>
      <c r="F1400">
        <v>10120</v>
      </c>
    </row>
    <row r="1401" spans="1:6">
      <c r="A1401">
        <v>3786850</v>
      </c>
      <c r="C1401">
        <v>45733</v>
      </c>
      <c r="D1401" t="s">
        <v>1093</v>
      </c>
      <c r="E1401" t="s">
        <v>3211</v>
      </c>
      <c r="F1401">
        <v>10120</v>
      </c>
    </row>
    <row r="1402" spans="1:6">
      <c r="A1402">
        <v>3786851</v>
      </c>
      <c r="C1402">
        <v>45733</v>
      </c>
      <c r="D1402" t="s">
        <v>260</v>
      </c>
      <c r="E1402" t="s">
        <v>3212</v>
      </c>
      <c r="F1402">
        <v>10150</v>
      </c>
    </row>
    <row r="1403" spans="1:6">
      <c r="A1403">
        <v>3786852</v>
      </c>
      <c r="C1403">
        <v>45734</v>
      </c>
      <c r="D1403" t="s">
        <v>1093</v>
      </c>
      <c r="E1403" t="s">
        <v>1085</v>
      </c>
      <c r="F1403">
        <v>10120</v>
      </c>
    </row>
    <row r="1404" spans="1:6">
      <c r="A1404">
        <v>3786854</v>
      </c>
      <c r="C1404">
        <v>45735</v>
      </c>
      <c r="D1404" t="s">
        <v>447</v>
      </c>
      <c r="E1404" t="s">
        <v>1112</v>
      </c>
      <c r="F1404">
        <v>10010</v>
      </c>
    </row>
    <row r="1405" spans="1:6">
      <c r="A1405">
        <v>3786855</v>
      </c>
      <c r="C1405">
        <v>45736</v>
      </c>
      <c r="D1405" t="s">
        <v>454</v>
      </c>
      <c r="E1405" t="s">
        <v>894</v>
      </c>
      <c r="F1405">
        <v>10140</v>
      </c>
    </row>
    <row r="1406" spans="1:6">
      <c r="A1406">
        <v>3786856</v>
      </c>
      <c r="C1406">
        <v>45736</v>
      </c>
      <c r="D1406" t="s">
        <v>454</v>
      </c>
      <c r="E1406" t="s">
        <v>894</v>
      </c>
      <c r="F1406">
        <v>10140</v>
      </c>
    </row>
    <row r="1407" spans="1:6">
      <c r="A1407">
        <v>3786861</v>
      </c>
      <c r="C1407">
        <v>45737</v>
      </c>
      <c r="D1407" t="s">
        <v>787</v>
      </c>
      <c r="E1407" t="s">
        <v>1129</v>
      </c>
      <c r="F1407">
        <v>10010</v>
      </c>
    </row>
    <row r="1408" spans="1:6">
      <c r="A1408">
        <v>3786862</v>
      </c>
      <c r="B1408" t="s">
        <v>3214</v>
      </c>
      <c r="C1408">
        <v>45737</v>
      </c>
      <c r="D1408" t="s">
        <v>1131</v>
      </c>
      <c r="E1408" t="s">
        <v>1133</v>
      </c>
      <c r="F1408">
        <v>10060</v>
      </c>
    </row>
    <row r="1409" spans="1:6">
      <c r="A1409">
        <v>3786863</v>
      </c>
      <c r="B1409" t="s">
        <v>3215</v>
      </c>
      <c r="C1409">
        <v>45737</v>
      </c>
      <c r="D1409" t="s">
        <v>1131</v>
      </c>
      <c r="E1409" t="s">
        <v>1136</v>
      </c>
      <c r="F1409">
        <v>10070</v>
      </c>
    </row>
    <row r="1410" spans="1:6">
      <c r="A1410">
        <v>3786864</v>
      </c>
      <c r="C1410">
        <v>45737</v>
      </c>
      <c r="D1410" t="s">
        <v>118</v>
      </c>
      <c r="E1410" t="s">
        <v>1138</v>
      </c>
      <c r="F1410">
        <v>10120</v>
      </c>
    </row>
    <row r="1411" spans="1:6">
      <c r="A1411">
        <v>3786865</v>
      </c>
      <c r="C1411">
        <v>45737</v>
      </c>
      <c r="D1411" t="s">
        <v>118</v>
      </c>
      <c r="E1411" t="s">
        <v>1141</v>
      </c>
      <c r="F1411">
        <v>10080</v>
      </c>
    </row>
    <row r="1412" spans="1:6">
      <c r="A1412">
        <v>3786866</v>
      </c>
      <c r="C1412">
        <v>45737</v>
      </c>
      <c r="D1412" t="s">
        <v>118</v>
      </c>
      <c r="E1412" t="s">
        <v>1141</v>
      </c>
      <c r="F1412">
        <v>10080</v>
      </c>
    </row>
    <row r="1413" spans="1:6">
      <c r="A1413">
        <v>3786867</v>
      </c>
      <c r="C1413">
        <v>45737</v>
      </c>
      <c r="D1413" t="s">
        <v>118</v>
      </c>
      <c r="E1413" t="s">
        <v>1144</v>
      </c>
      <c r="F1413">
        <v>10110</v>
      </c>
    </row>
    <row r="1414" spans="1:6">
      <c r="A1414">
        <v>3786868</v>
      </c>
      <c r="C1414">
        <v>45737</v>
      </c>
      <c r="D1414" t="s">
        <v>447</v>
      </c>
      <c r="E1414" t="s">
        <v>1151</v>
      </c>
      <c r="F1414">
        <v>10010</v>
      </c>
    </row>
    <row r="1415" spans="1:6">
      <c r="A1415">
        <v>3786869</v>
      </c>
      <c r="C1415">
        <v>45737</v>
      </c>
      <c r="D1415" t="s">
        <v>1152</v>
      </c>
      <c r="E1415" t="s">
        <v>1154</v>
      </c>
      <c r="F1415">
        <v>10010</v>
      </c>
    </row>
    <row r="1416" spans="1:6">
      <c r="A1416">
        <v>3786870</v>
      </c>
      <c r="C1416">
        <v>45737</v>
      </c>
      <c r="D1416" t="s">
        <v>1152</v>
      </c>
      <c r="E1416" t="s">
        <v>1157</v>
      </c>
      <c r="F1416">
        <v>10020</v>
      </c>
    </row>
    <row r="1417" spans="1:6">
      <c r="A1417">
        <v>3786871</v>
      </c>
      <c r="C1417">
        <v>45737</v>
      </c>
      <c r="D1417" t="s">
        <v>1152</v>
      </c>
      <c r="E1417" t="s">
        <v>1159</v>
      </c>
      <c r="F1417">
        <v>10010</v>
      </c>
    </row>
    <row r="1418" spans="1:6">
      <c r="A1418">
        <v>3786872</v>
      </c>
      <c r="C1418">
        <v>45743</v>
      </c>
      <c r="D1418" t="s">
        <v>2708</v>
      </c>
      <c r="E1418" t="s">
        <v>3216</v>
      </c>
      <c r="F1418">
        <v>10110</v>
      </c>
    </row>
    <row r="1419" spans="1:6">
      <c r="A1419">
        <v>3786873</v>
      </c>
      <c r="C1419">
        <v>45743</v>
      </c>
      <c r="D1419" t="s">
        <v>118</v>
      </c>
      <c r="E1419" t="s">
        <v>1162</v>
      </c>
      <c r="F1419">
        <v>10310</v>
      </c>
    </row>
    <row r="1420" spans="1:6">
      <c r="A1420">
        <v>3786877</v>
      </c>
      <c r="C1420">
        <v>45744</v>
      </c>
      <c r="D1420" t="s">
        <v>2708</v>
      </c>
      <c r="E1420" t="s">
        <v>1171</v>
      </c>
      <c r="F1420">
        <v>10260</v>
      </c>
    </row>
    <row r="1421" spans="1:6">
      <c r="A1421">
        <v>3786878</v>
      </c>
      <c r="C1421">
        <v>45747</v>
      </c>
      <c r="D1421" t="s">
        <v>260</v>
      </c>
      <c r="E1421" t="s">
        <v>404</v>
      </c>
      <c r="F1421">
        <v>10150</v>
      </c>
    </row>
    <row r="1422" spans="1:6">
      <c r="A1422">
        <v>3786879</v>
      </c>
      <c r="C1422">
        <v>45747</v>
      </c>
      <c r="D1422" t="s">
        <v>260</v>
      </c>
      <c r="E1422" t="s">
        <v>404</v>
      </c>
      <c r="F1422">
        <v>10150</v>
      </c>
    </row>
    <row r="1423" spans="1:6">
      <c r="A1423">
        <v>3786880</v>
      </c>
      <c r="C1423">
        <v>45747</v>
      </c>
      <c r="D1423" t="s">
        <v>260</v>
      </c>
      <c r="E1423" t="s">
        <v>404</v>
      </c>
      <c r="F1423">
        <v>10150</v>
      </c>
    </row>
    <row r="1424" spans="1:6">
      <c r="A1424">
        <v>3786884</v>
      </c>
      <c r="C1424">
        <v>45750</v>
      </c>
      <c r="D1424" t="s">
        <v>506</v>
      </c>
      <c r="E1424" t="s">
        <v>3217</v>
      </c>
      <c r="F1424">
        <v>10030</v>
      </c>
    </row>
    <row r="1425" spans="1:6">
      <c r="A1425">
        <v>3786885</v>
      </c>
      <c r="C1425">
        <v>45750</v>
      </c>
      <c r="D1425" t="s">
        <v>454</v>
      </c>
      <c r="E1425" t="s">
        <v>1190</v>
      </c>
      <c r="F1425">
        <v>10140</v>
      </c>
    </row>
    <row r="1426" spans="1:6">
      <c r="A1426">
        <v>3786886</v>
      </c>
      <c r="C1426">
        <v>45750</v>
      </c>
      <c r="D1426" t="s">
        <v>454</v>
      </c>
      <c r="E1426" t="s">
        <v>1190</v>
      </c>
      <c r="F1426">
        <v>10140</v>
      </c>
    </row>
    <row r="1427" spans="1:6">
      <c r="A1427">
        <v>3786888</v>
      </c>
      <c r="C1427">
        <v>45750</v>
      </c>
      <c r="D1427" t="s">
        <v>611</v>
      </c>
      <c r="E1427" t="s">
        <v>1196</v>
      </c>
      <c r="F1427">
        <v>10100</v>
      </c>
    </row>
    <row r="1428" spans="1:6">
      <c r="A1428">
        <v>3786890</v>
      </c>
      <c r="C1428">
        <v>45751</v>
      </c>
      <c r="D1428" t="s">
        <v>1040</v>
      </c>
      <c r="E1428" t="s">
        <v>1201</v>
      </c>
      <c r="F1428">
        <v>10010</v>
      </c>
    </row>
    <row r="1429" spans="1:6">
      <c r="A1429">
        <v>3786891</v>
      </c>
      <c r="C1429">
        <v>45751</v>
      </c>
      <c r="D1429" t="s">
        <v>1040</v>
      </c>
      <c r="E1429" t="s">
        <v>1203</v>
      </c>
      <c r="F1429">
        <v>10030</v>
      </c>
    </row>
    <row r="1430" spans="1:6">
      <c r="A1430">
        <v>3786893</v>
      </c>
      <c r="C1430">
        <v>45756</v>
      </c>
      <c r="D1430" t="s">
        <v>447</v>
      </c>
      <c r="E1430" t="s">
        <v>1207</v>
      </c>
      <c r="F1430">
        <v>10040</v>
      </c>
    </row>
    <row r="1431" spans="1:6">
      <c r="A1431">
        <v>3786894</v>
      </c>
      <c r="C1431">
        <v>45757</v>
      </c>
      <c r="D1431" t="s">
        <v>260</v>
      </c>
      <c r="E1431" t="s">
        <v>1210</v>
      </c>
      <c r="F1431">
        <v>10140</v>
      </c>
    </row>
    <row r="1432" spans="1:6">
      <c r="A1432">
        <v>3786895</v>
      </c>
      <c r="C1432">
        <v>45757</v>
      </c>
      <c r="D1432" t="s">
        <v>260</v>
      </c>
      <c r="E1432" t="s">
        <v>1210</v>
      </c>
      <c r="F1432">
        <v>10140</v>
      </c>
    </row>
    <row r="1433" spans="1:6">
      <c r="A1433">
        <v>3786896</v>
      </c>
      <c r="C1433">
        <v>45757</v>
      </c>
      <c r="D1433" t="s">
        <v>294</v>
      </c>
      <c r="E1433" t="s">
        <v>1215</v>
      </c>
      <c r="F1433">
        <v>10020</v>
      </c>
    </row>
    <row r="1434" spans="1:6">
      <c r="A1434">
        <v>3786897</v>
      </c>
      <c r="C1434">
        <v>45757</v>
      </c>
      <c r="D1434" t="s">
        <v>294</v>
      </c>
      <c r="E1434" t="s">
        <v>1217</v>
      </c>
      <c r="F1434">
        <v>10010</v>
      </c>
    </row>
    <row r="1435" spans="1:6">
      <c r="A1435">
        <v>3786898</v>
      </c>
      <c r="C1435">
        <v>45757</v>
      </c>
      <c r="D1435" t="s">
        <v>294</v>
      </c>
      <c r="E1435" t="s">
        <v>1219</v>
      </c>
      <c r="F1435">
        <v>10010</v>
      </c>
    </row>
    <row r="1436" spans="1:6">
      <c r="A1436">
        <v>3786899</v>
      </c>
      <c r="C1436">
        <v>45761</v>
      </c>
      <c r="D1436" t="s">
        <v>1220</v>
      </c>
      <c r="E1436" t="s">
        <v>1221</v>
      </c>
      <c r="F1436">
        <v>10030</v>
      </c>
    </row>
    <row r="1437" spans="1:6">
      <c r="A1437">
        <v>3786900</v>
      </c>
      <c r="C1437">
        <v>45761</v>
      </c>
      <c r="D1437" t="s">
        <v>611</v>
      </c>
      <c r="E1437" t="s">
        <v>1264</v>
      </c>
      <c r="F1437">
        <v>10030</v>
      </c>
    </row>
    <row r="1438" spans="1:6">
      <c r="A1438">
        <v>3786901</v>
      </c>
      <c r="C1438">
        <v>45763</v>
      </c>
      <c r="D1438" t="s">
        <v>118</v>
      </c>
      <c r="E1438" t="s">
        <v>3219</v>
      </c>
      <c r="F1438">
        <v>10140</v>
      </c>
    </row>
    <row r="1439" spans="1:6">
      <c r="A1439">
        <v>3786902</v>
      </c>
      <c r="C1439">
        <v>45764</v>
      </c>
      <c r="D1439" t="s">
        <v>118</v>
      </c>
      <c r="E1439" t="s">
        <v>1229</v>
      </c>
      <c r="F1439">
        <v>10060</v>
      </c>
    </row>
    <row r="1440" spans="1:6">
      <c r="A1440">
        <v>3786903</v>
      </c>
      <c r="C1440">
        <v>45764</v>
      </c>
      <c r="D1440" t="s">
        <v>118</v>
      </c>
      <c r="E1440" t="s">
        <v>1236</v>
      </c>
      <c r="F1440">
        <v>10010</v>
      </c>
    </row>
    <row r="1441" spans="1:6">
      <c r="A1441">
        <v>3786904</v>
      </c>
      <c r="C1441">
        <v>45764</v>
      </c>
      <c r="D1441" t="s">
        <v>118</v>
      </c>
      <c r="E1441" t="s">
        <v>1236</v>
      </c>
      <c r="F1441">
        <v>10010</v>
      </c>
    </row>
    <row r="1442" spans="1:6">
      <c r="A1442">
        <v>3786905</v>
      </c>
      <c r="C1442">
        <v>45769</v>
      </c>
      <c r="D1442" t="s">
        <v>294</v>
      </c>
      <c r="E1442" t="s">
        <v>1240</v>
      </c>
      <c r="F1442">
        <v>10010</v>
      </c>
    </row>
    <row r="1443" spans="1:6">
      <c r="A1443">
        <v>3786906</v>
      </c>
      <c r="C1443">
        <v>45769</v>
      </c>
      <c r="D1443" t="s">
        <v>611</v>
      </c>
      <c r="E1443" t="s">
        <v>1243</v>
      </c>
      <c r="F1443">
        <v>10020</v>
      </c>
    </row>
    <row r="1444" spans="1:6">
      <c r="A1444">
        <v>3786907</v>
      </c>
      <c r="C1444">
        <v>45769</v>
      </c>
      <c r="D1444" t="s">
        <v>611</v>
      </c>
      <c r="E1444" t="s">
        <v>1246</v>
      </c>
      <c r="F1444">
        <v>10010</v>
      </c>
    </row>
    <row r="1445" spans="1:6">
      <c r="A1445">
        <v>3786908</v>
      </c>
      <c r="C1445">
        <v>45770</v>
      </c>
      <c r="D1445" t="s">
        <v>611</v>
      </c>
      <c r="E1445" t="s">
        <v>3220</v>
      </c>
      <c r="F1445">
        <v>10010</v>
      </c>
    </row>
    <row r="1446" spans="1:6">
      <c r="A1446">
        <v>3786909</v>
      </c>
      <c r="C1446">
        <v>45771</v>
      </c>
      <c r="D1446" t="s">
        <v>2708</v>
      </c>
      <c r="E1446" t="s">
        <v>1252</v>
      </c>
      <c r="F1446">
        <v>10260</v>
      </c>
    </row>
    <row r="1447" spans="1:6">
      <c r="A1447">
        <v>3786910</v>
      </c>
      <c r="C1447" t="s">
        <v>3221</v>
      </c>
      <c r="D1447" t="s">
        <v>611</v>
      </c>
      <c r="E1447" t="s">
        <v>1261</v>
      </c>
      <c r="F1447">
        <v>10010</v>
      </c>
    </row>
    <row r="1448" spans="1:6">
      <c r="A1448">
        <v>3786911</v>
      </c>
      <c r="C1448" t="s">
        <v>3221</v>
      </c>
      <c r="D1448" t="s">
        <v>611</v>
      </c>
      <c r="E1448" t="s">
        <v>1264</v>
      </c>
      <c r="F1448">
        <v>10030</v>
      </c>
    </row>
    <row r="1449" spans="1:6">
      <c r="A1449">
        <v>3786912</v>
      </c>
      <c r="C1449" t="s">
        <v>3221</v>
      </c>
      <c r="D1449" t="s">
        <v>611</v>
      </c>
      <c r="E1449" t="s">
        <v>1267</v>
      </c>
      <c r="F1449">
        <v>10030</v>
      </c>
    </row>
    <row r="1450" spans="1:6">
      <c r="A1450">
        <v>3786913</v>
      </c>
      <c r="C1450">
        <v>45776</v>
      </c>
      <c r="D1450" t="s">
        <v>260</v>
      </c>
      <c r="E1450" t="s">
        <v>1210</v>
      </c>
      <c r="F1450">
        <v>10140</v>
      </c>
    </row>
    <row r="1451" spans="1:6">
      <c r="A1451">
        <v>3786914</v>
      </c>
      <c r="C1451">
        <v>45777</v>
      </c>
      <c r="D1451" t="s">
        <v>118</v>
      </c>
      <c r="E1451" t="s">
        <v>3219</v>
      </c>
      <c r="F1451">
        <v>10140</v>
      </c>
    </row>
    <row r="1452" spans="1:6">
      <c r="A1452">
        <v>3786915</v>
      </c>
      <c r="C1452">
        <v>45784</v>
      </c>
      <c r="D1452" t="s">
        <v>916</v>
      </c>
      <c r="E1452" t="s">
        <v>1271</v>
      </c>
      <c r="F1452">
        <v>37030</v>
      </c>
    </row>
    <row r="1453" spans="1:6">
      <c r="A1453">
        <v>3786916</v>
      </c>
      <c r="C1453">
        <v>45791</v>
      </c>
      <c r="D1453" t="s">
        <v>1152</v>
      </c>
      <c r="E1453" t="s">
        <v>261</v>
      </c>
      <c r="F1453">
        <v>10060</v>
      </c>
    </row>
    <row r="1454" spans="1:6">
      <c r="A1454">
        <v>3786917</v>
      </c>
      <c r="C1454">
        <v>45791</v>
      </c>
      <c r="D1454" t="s">
        <v>1152</v>
      </c>
      <c r="E1454" t="s">
        <v>120</v>
      </c>
      <c r="F1454">
        <v>10080</v>
      </c>
    </row>
    <row r="1455" spans="1:6">
      <c r="A1455">
        <v>3786918</v>
      </c>
      <c r="C1455">
        <v>45791</v>
      </c>
      <c r="D1455" t="s">
        <v>294</v>
      </c>
      <c r="E1455" t="s">
        <v>1277</v>
      </c>
      <c r="F1455">
        <v>10010</v>
      </c>
    </row>
    <row r="1456" spans="1:6">
      <c r="A1456">
        <v>3786919</v>
      </c>
      <c r="C1456">
        <v>45793</v>
      </c>
      <c r="D1456" t="s">
        <v>2708</v>
      </c>
      <c r="E1456" t="s">
        <v>1280</v>
      </c>
      <c r="F1456">
        <v>10260</v>
      </c>
    </row>
    <row r="1457" spans="1:6">
      <c r="A1457">
        <v>3786920</v>
      </c>
      <c r="C1457">
        <v>45798</v>
      </c>
      <c r="D1457" t="s">
        <v>2708</v>
      </c>
      <c r="E1457" t="s">
        <v>3223</v>
      </c>
      <c r="F1457">
        <v>10260</v>
      </c>
    </row>
    <row r="1458" spans="1:6">
      <c r="A1458">
        <v>3786921</v>
      </c>
      <c r="C1458">
        <v>45799</v>
      </c>
      <c r="D1458" t="s">
        <v>611</v>
      </c>
      <c r="E1458" t="s">
        <v>1286</v>
      </c>
      <c r="F1458">
        <v>10070</v>
      </c>
    </row>
    <row r="1459" spans="1:6">
      <c r="A1459">
        <v>3786922</v>
      </c>
      <c r="C1459">
        <v>45804</v>
      </c>
      <c r="D1459" t="s">
        <v>3224</v>
      </c>
      <c r="E1459" t="s">
        <v>1290</v>
      </c>
      <c r="F1459">
        <v>10260</v>
      </c>
    </row>
    <row r="1460" spans="1:6">
      <c r="A1460">
        <v>3786923</v>
      </c>
      <c r="C1460">
        <v>45805</v>
      </c>
      <c r="D1460" t="s">
        <v>118</v>
      </c>
      <c r="E1460" t="s">
        <v>3225</v>
      </c>
      <c r="F1460">
        <v>10140</v>
      </c>
    </row>
    <row r="1461" spans="1:6">
      <c r="A1461">
        <v>3786924</v>
      </c>
      <c r="C1461">
        <v>45805</v>
      </c>
      <c r="D1461" t="s">
        <v>1040</v>
      </c>
      <c r="E1461" t="s">
        <v>261</v>
      </c>
      <c r="F1461">
        <v>10060</v>
      </c>
    </row>
    <row r="1462" spans="1:6">
      <c r="A1462">
        <v>3786925</v>
      </c>
      <c r="C1462">
        <v>45817</v>
      </c>
      <c r="D1462" t="s">
        <v>611</v>
      </c>
      <c r="E1462" t="s">
        <v>1299</v>
      </c>
      <c r="F1462">
        <v>10070</v>
      </c>
    </row>
    <row r="1463" spans="1:6">
      <c r="A1463">
        <v>3786926</v>
      </c>
      <c r="C1463">
        <v>45817</v>
      </c>
      <c r="D1463" t="s">
        <v>611</v>
      </c>
      <c r="E1463" t="s">
        <v>1299</v>
      </c>
      <c r="F1463">
        <v>10070</v>
      </c>
    </row>
    <row r="1464" spans="1:6">
      <c r="A1464">
        <v>3786927</v>
      </c>
      <c r="C1464">
        <v>45818</v>
      </c>
      <c r="D1464" t="s">
        <v>447</v>
      </c>
      <c r="E1464" t="s">
        <v>3226</v>
      </c>
      <c r="F1464">
        <v>10010</v>
      </c>
    </row>
    <row r="1465" spans="1:6">
      <c r="A1465">
        <v>3786928</v>
      </c>
      <c r="C1465">
        <v>45818</v>
      </c>
      <c r="D1465" t="s">
        <v>447</v>
      </c>
      <c r="E1465" t="s">
        <v>1308</v>
      </c>
      <c r="F1465">
        <v>10020</v>
      </c>
    </row>
    <row r="1466" spans="1:6">
      <c r="A1466">
        <v>3786929</v>
      </c>
      <c r="C1466">
        <v>45818</v>
      </c>
      <c r="D1466" t="s">
        <v>447</v>
      </c>
      <c r="E1466" t="s">
        <v>1311</v>
      </c>
      <c r="F1466">
        <v>10040</v>
      </c>
    </row>
    <row r="1467" spans="1:6">
      <c r="A1467">
        <v>3786930</v>
      </c>
      <c r="C1467">
        <v>45819</v>
      </c>
      <c r="D1467" t="s">
        <v>260</v>
      </c>
      <c r="E1467" t="s">
        <v>1314</v>
      </c>
      <c r="F1467">
        <v>37030</v>
      </c>
    </row>
    <row r="1468" spans="1:6">
      <c r="A1468">
        <v>3786931</v>
      </c>
      <c r="C1468">
        <v>45821</v>
      </c>
      <c r="D1468" t="s">
        <v>916</v>
      </c>
      <c r="E1468" t="s">
        <v>1316</v>
      </c>
      <c r="F1468">
        <v>10140</v>
      </c>
    </row>
    <row r="1469" spans="1:6">
      <c r="A1469">
        <v>3786932</v>
      </c>
      <c r="C1469">
        <v>45821</v>
      </c>
      <c r="D1469" t="s">
        <v>916</v>
      </c>
      <c r="E1469" t="s">
        <v>1319</v>
      </c>
      <c r="F1469">
        <v>10140</v>
      </c>
    </row>
    <row r="1470" spans="1:6">
      <c r="A1470">
        <v>3786933</v>
      </c>
      <c r="C1470">
        <v>45824</v>
      </c>
      <c r="D1470" t="s">
        <v>1131</v>
      </c>
      <c r="E1470" t="s">
        <v>3227</v>
      </c>
      <c r="F1470">
        <v>10060</v>
      </c>
    </row>
    <row r="1471" spans="1:6">
      <c r="A1471">
        <v>3786934</v>
      </c>
      <c r="C1471">
        <v>45828</v>
      </c>
      <c r="D1471" t="s">
        <v>916</v>
      </c>
      <c r="E1471" t="s">
        <v>1325</v>
      </c>
      <c r="F1471">
        <v>10060</v>
      </c>
    </row>
    <row r="1472" spans="1:6">
      <c r="A1472">
        <v>3786935</v>
      </c>
      <c r="C1472">
        <v>45835</v>
      </c>
      <c r="D1472" t="s">
        <v>118</v>
      </c>
      <c r="E1472" t="s">
        <v>3228</v>
      </c>
      <c r="F1472">
        <v>10080</v>
      </c>
    </row>
    <row r="1473" spans="1:6">
      <c r="A1473">
        <v>3786936</v>
      </c>
      <c r="C1473">
        <v>45835</v>
      </c>
      <c r="D1473" t="s">
        <v>118</v>
      </c>
      <c r="E1473" t="s">
        <v>3229</v>
      </c>
      <c r="F1473">
        <v>10080</v>
      </c>
    </row>
    <row r="1474" spans="1:6">
      <c r="A1474">
        <v>3786937</v>
      </c>
      <c r="C1474">
        <v>45847</v>
      </c>
      <c r="D1474" t="s">
        <v>2708</v>
      </c>
      <c r="E1474" t="s">
        <v>2697</v>
      </c>
      <c r="F1474">
        <v>10260</v>
      </c>
    </row>
    <row r="1475" spans="1:6">
      <c r="A1475">
        <v>3786938</v>
      </c>
      <c r="C1475">
        <v>45848</v>
      </c>
      <c r="D1475" t="s">
        <v>3224</v>
      </c>
      <c r="E1475" t="s">
        <v>1341</v>
      </c>
      <c r="F1475">
        <v>10260</v>
      </c>
    </row>
    <row r="1476" spans="1:6">
      <c r="A1476">
        <v>3786939</v>
      </c>
      <c r="C1476">
        <v>45853</v>
      </c>
      <c r="D1476" t="s">
        <v>447</v>
      </c>
      <c r="E1476" t="s">
        <v>1344</v>
      </c>
      <c r="F1476">
        <v>10040</v>
      </c>
    </row>
    <row r="1477" spans="1:6">
      <c r="A1477">
        <v>3786940</v>
      </c>
      <c r="C1477">
        <v>45854</v>
      </c>
      <c r="D1477" t="s">
        <v>506</v>
      </c>
      <c r="E1477" t="s">
        <v>649</v>
      </c>
      <c r="F1477">
        <v>10070</v>
      </c>
    </row>
    <row r="1478" spans="1:6">
      <c r="A1478">
        <v>3786941</v>
      </c>
      <c r="C1478">
        <v>45858</v>
      </c>
      <c r="D1478" t="s">
        <v>260</v>
      </c>
      <c r="E1478" t="s">
        <v>1348</v>
      </c>
      <c r="F1478">
        <v>10110</v>
      </c>
    </row>
    <row r="1479" spans="1:6">
      <c r="A1479">
        <v>3786942</v>
      </c>
      <c r="C1479">
        <v>45869</v>
      </c>
      <c r="D1479" t="s">
        <v>118</v>
      </c>
      <c r="E1479" t="s">
        <v>1351</v>
      </c>
      <c r="F1479">
        <v>10310</v>
      </c>
    </row>
    <row r="1480" spans="1:6">
      <c r="A1480">
        <v>3786943</v>
      </c>
      <c r="C1480">
        <v>45870</v>
      </c>
      <c r="D1480" t="s">
        <v>1356</v>
      </c>
      <c r="E1480" t="s">
        <v>1358</v>
      </c>
      <c r="F1480">
        <v>10100</v>
      </c>
    </row>
    <row r="1481" spans="1:6">
      <c r="A1481">
        <v>3786944</v>
      </c>
      <c r="C1481">
        <v>45870</v>
      </c>
      <c r="D1481" t="s">
        <v>1356</v>
      </c>
      <c r="E1481" t="s">
        <v>1363</v>
      </c>
      <c r="F1481">
        <v>10090</v>
      </c>
    </row>
    <row r="1482" spans="1:6">
      <c r="A1482">
        <v>3786945</v>
      </c>
      <c r="C1482">
        <v>45870</v>
      </c>
      <c r="D1482" t="s">
        <v>1356</v>
      </c>
      <c r="E1482" t="s">
        <v>1366</v>
      </c>
      <c r="F1482">
        <v>10070</v>
      </c>
    </row>
    <row r="1483" spans="1:6">
      <c r="A1483">
        <v>3786946</v>
      </c>
      <c r="C1483">
        <v>45876</v>
      </c>
      <c r="D1483" t="s">
        <v>236</v>
      </c>
      <c r="E1483" t="s">
        <v>120</v>
      </c>
      <c r="F1483">
        <v>10080</v>
      </c>
    </row>
    <row r="1484" spans="1:6">
      <c r="A1484">
        <v>3786947</v>
      </c>
      <c r="C1484">
        <v>45883</v>
      </c>
      <c r="D1484" t="s">
        <v>447</v>
      </c>
      <c r="E1484" t="s">
        <v>1371</v>
      </c>
      <c r="F1484">
        <v>10040</v>
      </c>
    </row>
    <row r="1485" spans="1:6">
      <c r="A1485">
        <v>3786948</v>
      </c>
      <c r="C1485">
        <v>45884</v>
      </c>
      <c r="D1485" t="s">
        <v>230</v>
      </c>
      <c r="E1485" t="s">
        <v>1374</v>
      </c>
      <c r="F1485">
        <v>10110</v>
      </c>
    </row>
    <row r="1486" spans="1:6">
      <c r="A1486">
        <v>3786949</v>
      </c>
      <c r="C1486">
        <v>45884</v>
      </c>
      <c r="D1486" t="s">
        <v>230</v>
      </c>
      <c r="E1486" t="s">
        <v>1376</v>
      </c>
      <c r="F1486">
        <v>10110</v>
      </c>
    </row>
    <row r="1487" spans="1:6">
      <c r="A1487">
        <v>3786950</v>
      </c>
      <c r="C1487">
        <v>45890</v>
      </c>
      <c r="D1487" t="s">
        <v>447</v>
      </c>
      <c r="E1487" t="s">
        <v>3230</v>
      </c>
      <c r="F1487">
        <v>37030</v>
      </c>
    </row>
    <row r="1488" spans="1:6">
      <c r="A1488">
        <v>3786951</v>
      </c>
      <c r="C1488">
        <v>45891</v>
      </c>
      <c r="D1488" t="s">
        <v>118</v>
      </c>
      <c r="E1488" t="s">
        <v>1380</v>
      </c>
      <c r="F1488">
        <v>37100</v>
      </c>
    </row>
    <row r="1489" spans="1:6">
      <c r="A1489">
        <v>3786953</v>
      </c>
      <c r="C1489">
        <v>45908</v>
      </c>
      <c r="D1489" t="s">
        <v>118</v>
      </c>
      <c r="E1489" t="s">
        <v>1386</v>
      </c>
      <c r="F1489">
        <v>10310</v>
      </c>
    </row>
    <row r="1490" spans="1:6">
      <c r="A1490">
        <v>3786952</v>
      </c>
      <c r="C1490">
        <v>45910</v>
      </c>
      <c r="D1490" t="s">
        <v>230</v>
      </c>
      <c r="E1490" t="s">
        <v>1383</v>
      </c>
      <c r="F1490">
        <v>10110</v>
      </c>
    </row>
    <row r="1491" spans="1:6">
      <c r="A1491">
        <v>3786954</v>
      </c>
      <c r="B1491" t="s">
        <v>1388</v>
      </c>
      <c r="C1491">
        <v>45910</v>
      </c>
      <c r="D1491" t="s">
        <v>294</v>
      </c>
      <c r="E1491" t="s">
        <v>1390</v>
      </c>
      <c r="F1491">
        <v>10040</v>
      </c>
    </row>
    <row r="1492" spans="1:6">
      <c r="A1492">
        <v>3786955</v>
      </c>
      <c r="B1492" t="s">
        <v>1392</v>
      </c>
      <c r="C1492">
        <v>45910</v>
      </c>
      <c r="D1492" t="s">
        <v>294</v>
      </c>
      <c r="E1492" t="s">
        <v>1394</v>
      </c>
      <c r="F1492">
        <v>10030</v>
      </c>
    </row>
    <row r="1493" spans="1:6">
      <c r="A1493">
        <v>3786956</v>
      </c>
      <c r="B1493" t="s">
        <v>1395</v>
      </c>
      <c r="C1493">
        <v>45910</v>
      </c>
      <c r="D1493" t="s">
        <v>294</v>
      </c>
      <c r="E1493" t="s">
        <v>1397</v>
      </c>
      <c r="F1493">
        <v>10040</v>
      </c>
    </row>
    <row r="1494" spans="1:6">
      <c r="A1494">
        <v>3786957</v>
      </c>
      <c r="B1494" t="s">
        <v>1398</v>
      </c>
      <c r="C1494">
        <v>45910</v>
      </c>
      <c r="D1494" t="s">
        <v>294</v>
      </c>
      <c r="E1494" t="s">
        <v>1400</v>
      </c>
      <c r="F1494">
        <v>10030</v>
      </c>
    </row>
    <row r="1495" spans="1:6">
      <c r="A1495">
        <v>3786958</v>
      </c>
      <c r="B1495" t="s">
        <v>1401</v>
      </c>
      <c r="C1495">
        <v>45910</v>
      </c>
      <c r="D1495" t="s">
        <v>294</v>
      </c>
      <c r="E1495" t="s">
        <v>1403</v>
      </c>
      <c r="F1495">
        <v>10040</v>
      </c>
    </row>
    <row r="1496" spans="1:6">
      <c r="A1496">
        <v>3786959</v>
      </c>
      <c r="B1496" t="s">
        <v>1404</v>
      </c>
      <c r="C1496">
        <v>45910</v>
      </c>
      <c r="D1496" t="s">
        <v>294</v>
      </c>
      <c r="E1496" t="s">
        <v>1406</v>
      </c>
      <c r="F1496">
        <v>10030</v>
      </c>
    </row>
    <row r="1497" spans="1:6">
      <c r="A1497">
        <v>3786960</v>
      </c>
      <c r="B1497" t="s">
        <v>1407</v>
      </c>
      <c r="C1497">
        <v>45910</v>
      </c>
      <c r="D1497" t="s">
        <v>294</v>
      </c>
      <c r="E1497" t="s">
        <v>1409</v>
      </c>
      <c r="F1497">
        <v>10030</v>
      </c>
    </row>
    <row r="1498" spans="1:6">
      <c r="A1498">
        <v>3786961</v>
      </c>
      <c r="B1498" t="s">
        <v>1410</v>
      </c>
      <c r="C1498">
        <v>45910</v>
      </c>
      <c r="D1498" t="s">
        <v>294</v>
      </c>
      <c r="E1498" t="s">
        <v>1412</v>
      </c>
      <c r="F1498">
        <v>10040</v>
      </c>
    </row>
    <row r="1499" spans="1:6">
      <c r="A1499">
        <v>3786962</v>
      </c>
      <c r="B1499" t="s">
        <v>1413</v>
      </c>
      <c r="C1499">
        <v>45910</v>
      </c>
      <c r="D1499" t="s">
        <v>294</v>
      </c>
      <c r="E1499" t="s">
        <v>1415</v>
      </c>
      <c r="F1499">
        <v>10040</v>
      </c>
    </row>
    <row r="1500" spans="1:6">
      <c r="A1500">
        <v>3786963</v>
      </c>
      <c r="B1500" t="s">
        <v>3231</v>
      </c>
      <c r="C1500">
        <v>45911</v>
      </c>
      <c r="D1500" t="s">
        <v>1131</v>
      </c>
      <c r="E1500" t="s">
        <v>1417</v>
      </c>
      <c r="F1500">
        <v>10060</v>
      </c>
    </row>
    <row r="1501" spans="1:6">
      <c r="A1501">
        <v>3786964</v>
      </c>
      <c r="C1501">
        <v>45915</v>
      </c>
      <c r="D1501" t="s">
        <v>118</v>
      </c>
      <c r="E1501" t="s">
        <v>1141</v>
      </c>
      <c r="F1501">
        <v>10080</v>
      </c>
    </row>
    <row r="1502" spans="1:6">
      <c r="A1502">
        <v>3786965</v>
      </c>
      <c r="C1502">
        <v>45915</v>
      </c>
      <c r="D1502" t="s">
        <v>118</v>
      </c>
      <c r="E1502" t="s">
        <v>1141</v>
      </c>
      <c r="F1502">
        <v>10080</v>
      </c>
    </row>
    <row r="1503" spans="1:6">
      <c r="A1503">
        <v>3786966</v>
      </c>
      <c r="C1503">
        <v>45915</v>
      </c>
      <c r="D1503" t="s">
        <v>118</v>
      </c>
      <c r="E1503" t="s">
        <v>1421</v>
      </c>
      <c r="F1503">
        <v>10070</v>
      </c>
    </row>
    <row r="1504" spans="1:6">
      <c r="A1504">
        <v>3786967</v>
      </c>
      <c r="C1504">
        <v>45915</v>
      </c>
      <c r="D1504" t="s">
        <v>118</v>
      </c>
      <c r="E1504" t="s">
        <v>1421</v>
      </c>
      <c r="F1504">
        <v>10070</v>
      </c>
    </row>
    <row r="1505" spans="1:6">
      <c r="A1505">
        <v>3786968</v>
      </c>
      <c r="C1505">
        <v>45916</v>
      </c>
      <c r="D1505" t="s">
        <v>230</v>
      </c>
      <c r="E1505" t="s">
        <v>1422</v>
      </c>
      <c r="F1505">
        <v>10110</v>
      </c>
    </row>
    <row r="1506" spans="1:6">
      <c r="A1506">
        <v>3786969</v>
      </c>
      <c r="C1506">
        <v>45918</v>
      </c>
      <c r="D1506" t="s">
        <v>2315</v>
      </c>
      <c r="E1506" t="s">
        <v>1425</v>
      </c>
      <c r="F1506">
        <v>10110</v>
      </c>
    </row>
    <row r="1507" spans="1:6">
      <c r="A1507">
        <v>3786970</v>
      </c>
      <c r="C1507">
        <v>45918</v>
      </c>
      <c r="D1507" t="s">
        <v>2315</v>
      </c>
      <c r="E1507" t="s">
        <v>1428</v>
      </c>
      <c r="F1507">
        <v>10110</v>
      </c>
    </row>
    <row r="1508" spans="1:6">
      <c r="A1508">
        <v>3786947</v>
      </c>
      <c r="C1508">
        <v>45883</v>
      </c>
      <c r="D1508" t="s">
        <v>447</v>
      </c>
      <c r="E1508" t="s">
        <v>1371</v>
      </c>
      <c r="F1508">
        <v>10040</v>
      </c>
    </row>
    <row r="1509" spans="1:6">
      <c r="A1509">
        <v>3786950</v>
      </c>
      <c r="C1509">
        <v>45890</v>
      </c>
      <c r="D1509" t="s">
        <v>447</v>
      </c>
      <c r="E1509" t="s">
        <v>3111</v>
      </c>
    </row>
    <row r="1510" spans="1:6">
      <c r="A1510">
        <v>3786953</v>
      </c>
      <c r="C1510">
        <v>45908</v>
      </c>
      <c r="D1510" t="s">
        <v>118</v>
      </c>
      <c r="E1510" t="s">
        <v>1386</v>
      </c>
      <c r="F1510">
        <v>10310</v>
      </c>
    </row>
    <row r="1511" spans="1:6">
      <c r="A1511">
        <v>3786963</v>
      </c>
      <c r="B1511" t="s">
        <v>3231</v>
      </c>
      <c r="C1511">
        <v>45911</v>
      </c>
      <c r="D1511" t="s">
        <v>1131</v>
      </c>
      <c r="E1511" t="s">
        <v>1417</v>
      </c>
      <c r="F1511">
        <v>10060</v>
      </c>
    </row>
    <row r="1512" spans="1:6">
      <c r="A1512">
        <v>3786965</v>
      </c>
      <c r="C1512">
        <v>45915</v>
      </c>
      <c r="D1512" t="s">
        <v>118</v>
      </c>
      <c r="E1512" t="s">
        <v>1141</v>
      </c>
      <c r="F1512">
        <v>10080</v>
      </c>
    </row>
    <row r="1513" spans="1:6">
      <c r="A1513">
        <v>3786967</v>
      </c>
      <c r="C1513">
        <v>45915</v>
      </c>
      <c r="D1513" t="s">
        <v>118</v>
      </c>
      <c r="E1513" t="s">
        <v>1421</v>
      </c>
      <c r="F1513">
        <v>10070</v>
      </c>
    </row>
    <row r="1514" spans="1:6">
      <c r="A1514">
        <v>3786968</v>
      </c>
      <c r="C1514">
        <v>45916</v>
      </c>
      <c r="D1514" t="s">
        <v>230</v>
      </c>
      <c r="E1514" t="s">
        <v>1422</v>
      </c>
      <c r="F1514">
        <v>10110</v>
      </c>
    </row>
    <row r="1515" spans="1:6">
      <c r="A1515">
        <v>3786969</v>
      </c>
      <c r="C1515">
        <v>45918</v>
      </c>
      <c r="D1515" t="s">
        <v>2315</v>
      </c>
      <c r="E1515" t="s">
        <v>1425</v>
      </c>
      <c r="F1515">
        <v>10110</v>
      </c>
    </row>
    <row r="1516" spans="1:6">
      <c r="A1516">
        <v>3786970</v>
      </c>
      <c r="C1516">
        <v>45918</v>
      </c>
      <c r="D1516" t="s">
        <v>2315</v>
      </c>
      <c r="E1516" t="s">
        <v>1428</v>
      </c>
      <c r="F1516">
        <v>10110</v>
      </c>
    </row>
    <row r="1517" spans="1:6">
      <c r="A1517">
        <v>3786971</v>
      </c>
      <c r="C1517">
        <v>45932</v>
      </c>
      <c r="D1517" t="s">
        <v>230</v>
      </c>
      <c r="E1517" t="s">
        <v>1430</v>
      </c>
      <c r="F1517">
        <v>10110</v>
      </c>
    </row>
    <row r="1518" spans="1:6">
      <c r="A1518">
        <v>3786972</v>
      </c>
      <c r="C1518">
        <v>45938</v>
      </c>
      <c r="D1518" t="s">
        <v>611</v>
      </c>
      <c r="E1518" t="s">
        <v>417</v>
      </c>
      <c r="F1518">
        <v>10070</v>
      </c>
    </row>
    <row r="1519" spans="1:6">
      <c r="A1519">
        <v>3786973</v>
      </c>
      <c r="C1519">
        <v>45939</v>
      </c>
      <c r="D1519" t="s">
        <v>118</v>
      </c>
      <c r="E1519" t="s">
        <v>1436</v>
      </c>
      <c r="F1519">
        <v>10040</v>
      </c>
    </row>
    <row r="1520" spans="1:6">
      <c r="A1520">
        <v>3786974</v>
      </c>
      <c r="C1520">
        <v>45939</v>
      </c>
      <c r="D1520" t="s">
        <v>118</v>
      </c>
      <c r="E1520" t="s">
        <v>1438</v>
      </c>
      <c r="F1520">
        <v>10110</v>
      </c>
    </row>
    <row r="1521" spans="1:6">
      <c r="A1521">
        <v>3786975</v>
      </c>
      <c r="C1521">
        <v>45946</v>
      </c>
      <c r="D1521" t="s">
        <v>118</v>
      </c>
      <c r="E1521" t="s">
        <v>1442</v>
      </c>
      <c r="F1521">
        <v>10120</v>
      </c>
    </row>
    <row r="1522" spans="1:6">
      <c r="A1522">
        <v>3786976</v>
      </c>
      <c r="C1522">
        <v>45946</v>
      </c>
      <c r="D1522" t="s">
        <v>118</v>
      </c>
      <c r="E1522" t="s">
        <v>1442</v>
      </c>
      <c r="F1522">
        <v>10120</v>
      </c>
    </row>
    <row r="1523" spans="1:6">
      <c r="A1523">
        <v>3786977</v>
      </c>
      <c r="C1523">
        <v>45946</v>
      </c>
      <c r="D1523" t="s">
        <v>118</v>
      </c>
      <c r="E1523" t="s">
        <v>1450</v>
      </c>
      <c r="F1523">
        <v>10080</v>
      </c>
    </row>
    <row r="1524" spans="1:6">
      <c r="A1524">
        <v>3786978</v>
      </c>
      <c r="C1524">
        <v>45946</v>
      </c>
      <c r="D1524" t="s">
        <v>118</v>
      </c>
      <c r="E1524" t="s">
        <v>1450</v>
      </c>
      <c r="F1524">
        <v>10080</v>
      </c>
    </row>
    <row r="1525" spans="1:6">
      <c r="A1525">
        <v>3786979</v>
      </c>
      <c r="C1525">
        <v>45951</v>
      </c>
      <c r="D1525" t="s">
        <v>611</v>
      </c>
      <c r="E1525" t="s">
        <v>120</v>
      </c>
      <c r="F1525">
        <v>10070</v>
      </c>
    </row>
    <row r="1526" spans="1:6">
      <c r="A1526">
        <v>3786980</v>
      </c>
      <c r="C1526">
        <v>45958</v>
      </c>
      <c r="D1526" t="s">
        <v>118</v>
      </c>
      <c r="E1526" t="s">
        <v>1460</v>
      </c>
      <c r="F1526">
        <v>10140</v>
      </c>
    </row>
    <row r="1527" spans="1:6">
      <c r="A1527">
        <v>3786981</v>
      </c>
      <c r="C1527">
        <v>45958</v>
      </c>
      <c r="D1527" t="s">
        <v>118</v>
      </c>
      <c r="E1527" t="s">
        <v>1460</v>
      </c>
      <c r="F1527">
        <v>10140</v>
      </c>
    </row>
    <row r="1528" spans="1:6">
      <c r="A1528">
        <v>3786982</v>
      </c>
      <c r="C1528">
        <v>45959</v>
      </c>
      <c r="D1528" t="s">
        <v>236</v>
      </c>
      <c r="E1528" t="s">
        <v>1464</v>
      </c>
      <c r="F1528">
        <v>10140</v>
      </c>
    </row>
    <row r="1529" spans="1:6">
      <c r="A1529">
        <v>3786983</v>
      </c>
      <c r="C1529">
        <v>45959</v>
      </c>
      <c r="D1529" t="s">
        <v>107</v>
      </c>
      <c r="E1529" t="s">
        <v>3068</v>
      </c>
      <c r="F1529">
        <v>10080</v>
      </c>
    </row>
    <row r="1530" spans="1:6">
      <c r="A1530">
        <v>3786984</v>
      </c>
      <c r="C1530">
        <v>45968</v>
      </c>
      <c r="D1530" t="s">
        <v>118</v>
      </c>
      <c r="E1530" t="s">
        <v>1472</v>
      </c>
      <c r="F1530">
        <v>10310</v>
      </c>
    </row>
    <row r="1531" spans="1:6">
      <c r="A1531">
        <v>3786988</v>
      </c>
      <c r="C1531">
        <v>45972</v>
      </c>
      <c r="D1531" t="s">
        <v>236</v>
      </c>
      <c r="E1531" t="s">
        <v>1417</v>
      </c>
      <c r="F1531">
        <v>10060</v>
      </c>
    </row>
    <row r="1532" spans="1:6">
      <c r="A1532">
        <v>3786989</v>
      </c>
      <c r="C1532">
        <v>45972</v>
      </c>
      <c r="D1532" t="s">
        <v>236</v>
      </c>
      <c r="E1532" t="s">
        <v>1486</v>
      </c>
      <c r="F1532">
        <v>10070</v>
      </c>
    </row>
    <row r="1533" spans="1:6">
      <c r="A1533">
        <v>3786985</v>
      </c>
      <c r="C1533">
        <v>45973</v>
      </c>
      <c r="D1533" t="s">
        <v>236</v>
      </c>
      <c r="E1533" t="s">
        <v>1417</v>
      </c>
      <c r="F1533">
        <v>10060</v>
      </c>
    </row>
    <row r="1534" spans="1:6">
      <c r="A1534">
        <v>3786986</v>
      </c>
      <c r="C1534">
        <v>45973</v>
      </c>
      <c r="D1534" t="s">
        <v>118</v>
      </c>
      <c r="E1534" t="s">
        <v>1460</v>
      </c>
      <c r="F1534">
        <v>10140</v>
      </c>
    </row>
    <row r="1535" spans="1:6">
      <c r="A1535">
        <v>3786987</v>
      </c>
      <c r="C1535">
        <v>45973</v>
      </c>
      <c r="D1535" t="s">
        <v>415</v>
      </c>
      <c r="E1535" t="s">
        <v>1479</v>
      </c>
      <c r="F1535">
        <v>10060</v>
      </c>
    </row>
    <row r="1536" spans="1:6">
      <c r="A1536">
        <v>3786990</v>
      </c>
      <c r="C1536">
        <v>45974</v>
      </c>
      <c r="D1536" t="s">
        <v>1131</v>
      </c>
      <c r="E1536" t="s">
        <v>1417</v>
      </c>
      <c r="F1536">
        <v>10060</v>
      </c>
    </row>
    <row r="1537" spans="1:6">
      <c r="A1537">
        <v>3786991</v>
      </c>
      <c r="C1537">
        <v>45980</v>
      </c>
      <c r="D1537" t="s">
        <v>118</v>
      </c>
      <c r="E1537" t="s">
        <v>1472</v>
      </c>
      <c r="F1537">
        <v>10310</v>
      </c>
    </row>
    <row r="1538" spans="1:6">
      <c r="A1538">
        <v>3786992</v>
      </c>
      <c r="C1538">
        <v>45980</v>
      </c>
      <c r="D1538" t="s">
        <v>118</v>
      </c>
      <c r="E1538" t="s">
        <v>1495</v>
      </c>
      <c r="F1538">
        <v>10310</v>
      </c>
    </row>
    <row r="1539" spans="1:6">
      <c r="A1539">
        <v>3786993</v>
      </c>
      <c r="C1539">
        <v>45980</v>
      </c>
      <c r="D1539" t="s">
        <v>118</v>
      </c>
      <c r="E1539" t="s">
        <v>1495</v>
      </c>
      <c r="F1539">
        <v>10310</v>
      </c>
    </row>
    <row r="1540" spans="1:6">
      <c r="A1540">
        <v>3786994</v>
      </c>
      <c r="C1540">
        <v>45980</v>
      </c>
      <c r="D1540" t="s">
        <v>118</v>
      </c>
      <c r="E1540" t="s">
        <v>1495</v>
      </c>
      <c r="F1540">
        <v>10310</v>
      </c>
    </row>
    <row r="1541" spans="1:6">
      <c r="A1541">
        <v>3786995</v>
      </c>
      <c r="C1541">
        <v>45981</v>
      </c>
      <c r="D1541" t="s">
        <v>1510</v>
      </c>
      <c r="E1541" t="s">
        <v>1417</v>
      </c>
      <c r="F1541">
        <v>10060</v>
      </c>
    </row>
    <row r="1542" spans="1:6">
      <c r="A1542">
        <v>3786996</v>
      </c>
      <c r="C1542">
        <v>45981</v>
      </c>
      <c r="D1542" t="s">
        <v>1510</v>
      </c>
      <c r="E1542" t="s">
        <v>1517</v>
      </c>
      <c r="F1542">
        <v>10060</v>
      </c>
    </row>
    <row r="1543" spans="1:6">
      <c r="A1543">
        <v>3786997</v>
      </c>
      <c r="C1543">
        <v>45981</v>
      </c>
      <c r="D1543" t="s">
        <v>611</v>
      </c>
      <c r="E1543" t="s">
        <v>1523</v>
      </c>
      <c r="F1543">
        <v>10060</v>
      </c>
    </row>
    <row r="1544" spans="1:6">
      <c r="A1544">
        <v>3786998</v>
      </c>
      <c r="C1544">
        <v>45985</v>
      </c>
      <c r="D1544" t="s">
        <v>415</v>
      </c>
      <c r="E1544" t="s">
        <v>1524</v>
      </c>
      <c r="F1544">
        <v>10260</v>
      </c>
    </row>
    <row r="1545" spans="1:6">
      <c r="A1545">
        <v>3786999</v>
      </c>
      <c r="C1545">
        <v>45985</v>
      </c>
      <c r="D1545" t="s">
        <v>611</v>
      </c>
      <c r="E1545" t="s">
        <v>1529</v>
      </c>
      <c r="F1545">
        <v>10020</v>
      </c>
    </row>
    <row r="1546" spans="1:6">
      <c r="A1546">
        <v>3787000</v>
      </c>
      <c r="C1546">
        <v>45986</v>
      </c>
      <c r="D1546" t="s">
        <v>118</v>
      </c>
      <c r="E1546" t="s">
        <v>3069</v>
      </c>
      <c r="F1546">
        <v>10070</v>
      </c>
    </row>
    <row r="1547" spans="1:6">
      <c r="A1547">
        <v>3787001</v>
      </c>
      <c r="C1547">
        <v>45986</v>
      </c>
      <c r="D1547" t="s">
        <v>107</v>
      </c>
      <c r="E1547" t="s">
        <v>1535</v>
      </c>
      <c r="F1547">
        <v>10070</v>
      </c>
    </row>
    <row r="1548" spans="1:6">
      <c r="A1548">
        <v>3787002</v>
      </c>
      <c r="C1548">
        <v>45986</v>
      </c>
      <c r="D1548" t="s">
        <v>118</v>
      </c>
      <c r="E1548" t="s">
        <v>1460</v>
      </c>
      <c r="F1548">
        <v>10140</v>
      </c>
    </row>
    <row r="1549" spans="1:6">
      <c r="A1549">
        <v>3787003</v>
      </c>
      <c r="C1549">
        <v>45986</v>
      </c>
      <c r="D1549" t="s">
        <v>118</v>
      </c>
      <c r="E1549" t="s">
        <v>3070</v>
      </c>
      <c r="F1549">
        <v>10310</v>
      </c>
    </row>
    <row r="1550" spans="1:6">
      <c r="A1550">
        <v>3787004</v>
      </c>
      <c r="C1550">
        <v>45987</v>
      </c>
      <c r="D1550" t="s">
        <v>506</v>
      </c>
      <c r="E1550" t="s">
        <v>3071</v>
      </c>
      <c r="F1550">
        <v>10010</v>
      </c>
    </row>
    <row r="1551" spans="1:6">
      <c r="A1551">
        <v>3787005</v>
      </c>
      <c r="C1551">
        <v>45987</v>
      </c>
      <c r="D1551" t="s">
        <v>506</v>
      </c>
      <c r="E1551" t="s">
        <v>3072</v>
      </c>
      <c r="F1551">
        <v>10010</v>
      </c>
    </row>
    <row r="1552" spans="1:6">
      <c r="A1552">
        <v>3787006</v>
      </c>
      <c r="C1552">
        <v>45988</v>
      </c>
      <c r="D1552" t="s">
        <v>118</v>
      </c>
      <c r="E1552" t="s">
        <v>1495</v>
      </c>
      <c r="F1552">
        <v>10310</v>
      </c>
    </row>
    <row r="1553" spans="1:6">
      <c r="A1553">
        <v>3787007</v>
      </c>
      <c r="C1553">
        <v>45988</v>
      </c>
      <c r="D1553" t="s">
        <v>118</v>
      </c>
      <c r="E1553" t="s">
        <v>1549</v>
      </c>
      <c r="F1553">
        <v>10310</v>
      </c>
    </row>
    <row r="1554" spans="1:6">
      <c r="A1554">
        <v>3787008</v>
      </c>
      <c r="C1554">
        <v>45988</v>
      </c>
      <c r="D1554" t="s">
        <v>118</v>
      </c>
      <c r="E1554" t="s">
        <v>1549</v>
      </c>
      <c r="F1554">
        <v>10310</v>
      </c>
    </row>
    <row r="1555" spans="1:6">
      <c r="A1555">
        <v>3787009</v>
      </c>
      <c r="B1555" t="s">
        <v>1562</v>
      </c>
      <c r="C1555">
        <v>45989</v>
      </c>
      <c r="D1555" t="s">
        <v>294</v>
      </c>
      <c r="E1555" t="s">
        <v>1564</v>
      </c>
      <c r="F1555">
        <v>10020</v>
      </c>
    </row>
    <row r="1556" spans="1:6">
      <c r="A1556">
        <v>3787010</v>
      </c>
      <c r="B1556" t="s">
        <v>1565</v>
      </c>
      <c r="C1556">
        <v>45989</v>
      </c>
      <c r="D1556" t="s">
        <v>294</v>
      </c>
      <c r="E1556" t="s">
        <v>1567</v>
      </c>
      <c r="F1556">
        <v>10010</v>
      </c>
    </row>
    <row r="1557" spans="1:6">
      <c r="A1557">
        <v>3787011</v>
      </c>
      <c r="B1557" t="s">
        <v>1568</v>
      </c>
      <c r="C1557">
        <v>45989</v>
      </c>
      <c r="D1557" t="s">
        <v>294</v>
      </c>
    </row>
    <row r="1558" spans="1:6">
      <c r="A1558">
        <v>3787012</v>
      </c>
      <c r="B1558" t="s">
        <v>1570</v>
      </c>
      <c r="C1558">
        <v>45989</v>
      </c>
      <c r="D1558" t="s">
        <v>294</v>
      </c>
      <c r="E1558" t="s">
        <v>1572</v>
      </c>
      <c r="F1558">
        <v>10010</v>
      </c>
    </row>
    <row r="1559" spans="1:6">
      <c r="A1559">
        <v>3787013</v>
      </c>
      <c r="B1559" t="s">
        <v>1573</v>
      </c>
      <c r="C1559">
        <v>45989</v>
      </c>
      <c r="D1559" t="s">
        <v>294</v>
      </c>
    </row>
    <row r="1560" spans="1:6">
      <c r="A1560">
        <v>3787014</v>
      </c>
      <c r="B1560" t="s">
        <v>1575</v>
      </c>
      <c r="C1560">
        <v>45989</v>
      </c>
      <c r="D1560" t="s">
        <v>294</v>
      </c>
      <c r="E1560" t="s">
        <v>3073</v>
      </c>
      <c r="F1560">
        <v>10020</v>
      </c>
    </row>
    <row r="1561" spans="1:6">
      <c r="A1561">
        <v>3787015</v>
      </c>
      <c r="B1561" t="s">
        <v>1578</v>
      </c>
      <c r="C1561">
        <v>45989</v>
      </c>
      <c r="D1561" t="s">
        <v>294</v>
      </c>
      <c r="E1561" t="s">
        <v>1580</v>
      </c>
      <c r="F1561">
        <v>10010</v>
      </c>
    </row>
    <row r="1562" spans="1:6">
      <c r="A1562">
        <v>3787016</v>
      </c>
      <c r="B1562" t="s">
        <v>1581</v>
      </c>
      <c r="C1562">
        <v>45989</v>
      </c>
      <c r="D1562" t="s">
        <v>294</v>
      </c>
      <c r="E1562" t="s">
        <v>1583</v>
      </c>
      <c r="F1562">
        <v>10010</v>
      </c>
    </row>
    <row r="1563" spans="1:6">
      <c r="A1563">
        <v>3787017</v>
      </c>
      <c r="C1563">
        <v>45989</v>
      </c>
      <c r="D1563" t="s">
        <v>506</v>
      </c>
      <c r="E1563" t="s">
        <v>1585</v>
      </c>
      <c r="F1563">
        <v>10070</v>
      </c>
    </row>
    <row r="1564" spans="1:6">
      <c r="A1564">
        <v>3787020</v>
      </c>
      <c r="C1564">
        <v>45993</v>
      </c>
      <c r="D1564" t="s">
        <v>230</v>
      </c>
      <c r="E1564" t="s">
        <v>1593</v>
      </c>
      <c r="F1564">
        <v>10110</v>
      </c>
    </row>
    <row r="1565" spans="1:6">
      <c r="A1565">
        <v>3787018</v>
      </c>
      <c r="C1565">
        <v>45994</v>
      </c>
      <c r="D1565" t="s">
        <v>118</v>
      </c>
      <c r="E1565" t="s">
        <v>3074</v>
      </c>
      <c r="F1565">
        <v>10310</v>
      </c>
    </row>
    <row r="1566" spans="1:6">
      <c r="A1566">
        <v>3787022</v>
      </c>
      <c r="C1566">
        <v>45994</v>
      </c>
      <c r="D1566" t="s">
        <v>506</v>
      </c>
      <c r="E1566" t="s">
        <v>1585</v>
      </c>
      <c r="F1566">
        <v>10070</v>
      </c>
    </row>
    <row r="1567" spans="1:6">
      <c r="A1567">
        <v>3787023</v>
      </c>
      <c r="C1567">
        <v>45994</v>
      </c>
      <c r="D1567" t="s">
        <v>118</v>
      </c>
      <c r="E1567" t="s">
        <v>1600</v>
      </c>
      <c r="F1567">
        <v>10310</v>
      </c>
    </row>
    <row r="1568" spans="1:6">
      <c r="A1568">
        <v>3787024</v>
      </c>
      <c r="C1568">
        <v>45994</v>
      </c>
      <c r="D1568" t="s">
        <v>118</v>
      </c>
      <c r="E1568" t="s">
        <v>1602</v>
      </c>
      <c r="F1568">
        <v>10310</v>
      </c>
    </row>
    <row r="1569" spans="1:6">
      <c r="A1569">
        <v>3787025</v>
      </c>
      <c r="C1569">
        <v>45994</v>
      </c>
      <c r="D1569" t="s">
        <v>118</v>
      </c>
      <c r="E1569" t="s">
        <v>1602</v>
      </c>
      <c r="F1569">
        <v>10310</v>
      </c>
    </row>
    <row r="1570" spans="1:6">
      <c r="A1570">
        <v>3787026</v>
      </c>
      <c r="C1570">
        <v>45995</v>
      </c>
      <c r="D1570" t="s">
        <v>118</v>
      </c>
      <c r="E1570" t="s">
        <v>1604</v>
      </c>
      <c r="F1570">
        <v>10111</v>
      </c>
    </row>
    <row r="1571" spans="1:6">
      <c r="A1571">
        <v>3787027</v>
      </c>
      <c r="C1571">
        <v>45995</v>
      </c>
      <c r="D1571" t="s">
        <v>118</v>
      </c>
      <c r="E1571" t="s">
        <v>1606</v>
      </c>
      <c r="F1571">
        <v>10140</v>
      </c>
    </row>
    <row r="1572" spans="1:6">
      <c r="A1572">
        <v>3787019</v>
      </c>
      <c r="C1572">
        <v>45996</v>
      </c>
      <c r="D1572" t="s">
        <v>236</v>
      </c>
      <c r="E1572" t="s">
        <v>1590</v>
      </c>
      <c r="F1572">
        <v>10070</v>
      </c>
    </row>
    <row r="1573" spans="1:6">
      <c r="A1573">
        <v>3787021</v>
      </c>
      <c r="C1573">
        <v>45996</v>
      </c>
      <c r="D1573" t="s">
        <v>506</v>
      </c>
      <c r="E1573" t="s">
        <v>1585</v>
      </c>
      <c r="F1573">
        <v>10070</v>
      </c>
    </row>
    <row r="1574" spans="1:6">
      <c r="A1574">
        <v>3787028</v>
      </c>
      <c r="C1574">
        <v>46000</v>
      </c>
      <c r="D1574" t="s">
        <v>506</v>
      </c>
      <c r="E1574" t="s">
        <v>1609</v>
      </c>
      <c r="F1574">
        <v>10020</v>
      </c>
    </row>
    <row r="1575" spans="1:6">
      <c r="A1575">
        <v>3787029</v>
      </c>
      <c r="C1575">
        <v>46000</v>
      </c>
      <c r="D1575" t="s">
        <v>2708</v>
      </c>
      <c r="E1575" t="s">
        <v>1612</v>
      </c>
      <c r="F1575">
        <v>10260</v>
      </c>
    </row>
    <row r="1576" spans="1:6">
      <c r="A1576">
        <v>3787030</v>
      </c>
      <c r="C1576">
        <v>46000</v>
      </c>
      <c r="D1576" t="s">
        <v>2708</v>
      </c>
      <c r="E1576" t="s">
        <v>1613</v>
      </c>
      <c r="F1576">
        <v>10260</v>
      </c>
    </row>
    <row r="1577" spans="1:6">
      <c r="A1577">
        <v>3787031</v>
      </c>
      <c r="C1577">
        <v>46001</v>
      </c>
      <c r="D1577" t="s">
        <v>506</v>
      </c>
      <c r="E1577" t="s">
        <v>1585</v>
      </c>
      <c r="F1577">
        <v>10070</v>
      </c>
    </row>
    <row r="1578" spans="1:6">
      <c r="A1578">
        <v>3787032</v>
      </c>
      <c r="C1578">
        <v>46001</v>
      </c>
      <c r="D1578" t="s">
        <v>550</v>
      </c>
      <c r="E1578" t="s">
        <v>1620</v>
      </c>
      <c r="F1578">
        <v>10060</v>
      </c>
    </row>
    <row r="1579" spans="1:6">
      <c r="A1579">
        <v>3787033</v>
      </c>
      <c r="C1579">
        <v>45993</v>
      </c>
      <c r="D1579" t="s">
        <v>260</v>
      </c>
      <c r="E1579" t="s">
        <v>1623</v>
      </c>
      <c r="F1579">
        <v>37030</v>
      </c>
    </row>
    <row r="1580" spans="1:6">
      <c r="A1580">
        <v>3787034</v>
      </c>
      <c r="C1580">
        <v>45993</v>
      </c>
      <c r="D1580" t="s">
        <v>260</v>
      </c>
      <c r="E1580" t="s">
        <v>1623</v>
      </c>
      <c r="F1580">
        <v>37030</v>
      </c>
    </row>
    <row r="1581" spans="1:6">
      <c r="A1581">
        <v>3787035</v>
      </c>
      <c r="C1581">
        <v>46000</v>
      </c>
      <c r="D1581" t="s">
        <v>118</v>
      </c>
      <c r="E1581" t="s">
        <v>1602</v>
      </c>
      <c r="F1581">
        <v>10310</v>
      </c>
    </row>
    <row r="1582" spans="1:6">
      <c r="A1582">
        <v>3787036</v>
      </c>
      <c r="C1582">
        <v>46002</v>
      </c>
      <c r="D1582" t="s">
        <v>236</v>
      </c>
      <c r="E1582" t="s">
        <v>1590</v>
      </c>
      <c r="F1582">
        <v>10070</v>
      </c>
    </row>
    <row r="1583" spans="1:6">
      <c r="A1583">
        <v>3787037</v>
      </c>
      <c r="C1583">
        <v>46002</v>
      </c>
      <c r="D1583" t="s">
        <v>236</v>
      </c>
      <c r="E1583" t="s">
        <v>1636</v>
      </c>
      <c r="F1583">
        <v>10070</v>
      </c>
    </row>
    <row r="1584" spans="1:6">
      <c r="A1584">
        <v>3787038</v>
      </c>
      <c r="C1584">
        <v>46002</v>
      </c>
      <c r="D1584" t="s">
        <v>236</v>
      </c>
      <c r="E1584" t="s">
        <v>1636</v>
      </c>
      <c r="F1584">
        <v>10070</v>
      </c>
    </row>
    <row r="1585" spans="1:6">
      <c r="A1585">
        <v>3787039</v>
      </c>
      <c r="C1585">
        <v>46002</v>
      </c>
      <c r="D1585" t="s">
        <v>236</v>
      </c>
      <c r="E1585" t="s">
        <v>1636</v>
      </c>
      <c r="F1585">
        <v>10070</v>
      </c>
    </row>
    <row r="1586" spans="1:6">
      <c r="A1586">
        <v>3787040</v>
      </c>
      <c r="C1586">
        <v>46002</v>
      </c>
      <c r="D1586" t="s">
        <v>1641</v>
      </c>
      <c r="E1586" t="s">
        <v>1643</v>
      </c>
      <c r="F1586">
        <v>10010</v>
      </c>
    </row>
    <row r="1587" spans="1:6">
      <c r="A1587">
        <v>3787041</v>
      </c>
      <c r="C1587">
        <v>46002</v>
      </c>
      <c r="D1587" t="s">
        <v>1641</v>
      </c>
      <c r="E1587" t="s">
        <v>1649</v>
      </c>
      <c r="F1587">
        <v>10010</v>
      </c>
    </row>
    <row r="1588" spans="1:6">
      <c r="A1588">
        <v>3787042</v>
      </c>
      <c r="C1588">
        <v>46002</v>
      </c>
      <c r="D1588" t="s">
        <v>1641</v>
      </c>
      <c r="E1588" t="s">
        <v>1651</v>
      </c>
      <c r="F1588">
        <v>10010</v>
      </c>
    </row>
    <row r="1589" spans="1:6">
      <c r="A1589">
        <v>3787043</v>
      </c>
      <c r="C1589">
        <v>46002</v>
      </c>
      <c r="D1589" t="s">
        <v>1641</v>
      </c>
      <c r="E1589" t="s">
        <v>3075</v>
      </c>
      <c r="F1589">
        <v>10010</v>
      </c>
    </row>
    <row r="1590" spans="1:6">
      <c r="A1590">
        <v>3787044</v>
      </c>
      <c r="C1590">
        <v>46002</v>
      </c>
      <c r="D1590" t="s">
        <v>1641</v>
      </c>
      <c r="E1590" t="s">
        <v>1655</v>
      </c>
      <c r="F1590">
        <v>10010</v>
      </c>
    </row>
    <row r="1591" spans="1:6">
      <c r="A1591">
        <v>3787045</v>
      </c>
      <c r="C1591">
        <v>46002</v>
      </c>
      <c r="D1591" t="s">
        <v>1641</v>
      </c>
      <c r="E1591" t="s">
        <v>1657</v>
      </c>
      <c r="F1591">
        <v>10010</v>
      </c>
    </row>
    <row r="1592" spans="1:6">
      <c r="A1592">
        <v>3787046</v>
      </c>
      <c r="C1592">
        <v>46002</v>
      </c>
      <c r="D1592" t="s">
        <v>1641</v>
      </c>
      <c r="E1592" t="s">
        <v>1659</v>
      </c>
      <c r="F1592">
        <v>10010</v>
      </c>
    </row>
    <row r="1593" spans="1:6">
      <c r="A1593">
        <v>3787047</v>
      </c>
      <c r="C1593">
        <v>46002</v>
      </c>
      <c r="D1593" t="s">
        <v>1641</v>
      </c>
      <c r="E1593" t="s">
        <v>1661</v>
      </c>
      <c r="F1593">
        <v>10020</v>
      </c>
    </row>
    <row r="1594" spans="1:6">
      <c r="A1594">
        <v>3787048</v>
      </c>
      <c r="C1594">
        <v>46002</v>
      </c>
      <c r="D1594" t="s">
        <v>1641</v>
      </c>
      <c r="E1594" t="s">
        <v>1663</v>
      </c>
      <c r="F1594">
        <v>10020</v>
      </c>
    </row>
    <row r="1595" spans="1:6">
      <c r="A1595">
        <v>3787049</v>
      </c>
      <c r="C1595">
        <v>46002</v>
      </c>
      <c r="D1595" t="s">
        <v>1641</v>
      </c>
      <c r="E1595" t="s">
        <v>1665</v>
      </c>
      <c r="F1595">
        <v>10020</v>
      </c>
    </row>
    <row r="1596" spans="1:6">
      <c r="A1596">
        <v>3787050</v>
      </c>
      <c r="C1596">
        <v>46002</v>
      </c>
      <c r="D1596" t="s">
        <v>1641</v>
      </c>
      <c r="E1596" t="s">
        <v>1667</v>
      </c>
      <c r="F1596">
        <v>10020</v>
      </c>
    </row>
    <row r="1597" spans="1:6">
      <c r="A1597">
        <v>3787051</v>
      </c>
      <c r="C1597">
        <v>46003</v>
      </c>
      <c r="D1597" t="s">
        <v>1669</v>
      </c>
      <c r="E1597" t="s">
        <v>261</v>
      </c>
      <c r="F1597">
        <v>10060</v>
      </c>
    </row>
    <row r="1598" spans="1:6">
      <c r="A1598">
        <v>3787054</v>
      </c>
      <c r="C1598">
        <v>46006</v>
      </c>
      <c r="D1598" t="s">
        <v>118</v>
      </c>
      <c r="E1598" t="s">
        <v>3076</v>
      </c>
      <c r="F1598">
        <v>10040</v>
      </c>
    </row>
    <row r="1599" spans="1:6">
      <c r="A1599">
        <v>3787055</v>
      </c>
      <c r="C1599">
        <v>46006</v>
      </c>
      <c r="D1599" t="s">
        <v>118</v>
      </c>
      <c r="E1599" t="s">
        <v>3076</v>
      </c>
      <c r="F1599">
        <v>10040</v>
      </c>
    </row>
    <row r="1600" spans="1:6">
      <c r="A1600">
        <v>3787056</v>
      </c>
      <c r="C1600">
        <v>46006</v>
      </c>
      <c r="D1600" t="s">
        <v>118</v>
      </c>
      <c r="E1600" t="s">
        <v>3076</v>
      </c>
      <c r="F1600">
        <v>10040</v>
      </c>
    </row>
    <row r="1601" spans="1:6">
      <c r="A1601">
        <v>3787052</v>
      </c>
      <c r="C1601">
        <v>46006</v>
      </c>
      <c r="D1601" t="s">
        <v>447</v>
      </c>
      <c r="E1601" t="s">
        <v>1673</v>
      </c>
      <c r="F1601">
        <v>10020</v>
      </c>
    </row>
    <row r="1602" spans="1:6">
      <c r="A1602">
        <v>3787053</v>
      </c>
      <c r="C1602">
        <v>46006</v>
      </c>
      <c r="D1602" t="s">
        <v>447</v>
      </c>
      <c r="E1602" t="s">
        <v>1677</v>
      </c>
      <c r="F1602">
        <v>10010</v>
      </c>
    </row>
    <row r="1603" spans="1:6">
      <c r="A1603">
        <v>3787057</v>
      </c>
      <c r="C1603">
        <v>46006</v>
      </c>
      <c r="D1603" t="s">
        <v>447</v>
      </c>
      <c r="E1603" t="s">
        <v>1686</v>
      </c>
      <c r="F1603">
        <v>10020</v>
      </c>
    </row>
    <row r="1604" spans="1:6">
      <c r="A1604">
        <v>3787058</v>
      </c>
      <c r="C1604">
        <v>46006</v>
      </c>
      <c r="D1604" t="s">
        <v>447</v>
      </c>
      <c r="E1604" t="s">
        <v>1688</v>
      </c>
      <c r="F1604">
        <v>10020</v>
      </c>
    </row>
    <row r="1605" spans="1:6">
      <c r="A1605">
        <v>3787059</v>
      </c>
      <c r="C1605">
        <v>46006</v>
      </c>
      <c r="D1605" t="s">
        <v>447</v>
      </c>
      <c r="E1605" t="s">
        <v>1690</v>
      </c>
      <c r="F1605">
        <v>10010</v>
      </c>
    </row>
    <row r="1606" spans="1:6">
      <c r="A1606">
        <v>3787060</v>
      </c>
      <c r="C1606">
        <v>46008</v>
      </c>
      <c r="D1606" t="s">
        <v>118</v>
      </c>
      <c r="E1606" t="s">
        <v>1141</v>
      </c>
      <c r="F1606">
        <v>10080</v>
      </c>
    </row>
    <row r="1607" spans="1:6">
      <c r="A1607">
        <v>3787061</v>
      </c>
      <c r="C1607">
        <v>46008</v>
      </c>
      <c r="D1607" t="s">
        <v>118</v>
      </c>
      <c r="E1607" t="s">
        <v>1693</v>
      </c>
      <c r="F1607">
        <v>10110</v>
      </c>
    </row>
    <row r="1608" spans="1:6">
      <c r="A1608">
        <v>3787062</v>
      </c>
      <c r="C1608">
        <v>46008</v>
      </c>
      <c r="D1608" t="s">
        <v>118</v>
      </c>
      <c r="E1608" t="s">
        <v>1700</v>
      </c>
      <c r="F1608">
        <v>10120</v>
      </c>
    </row>
    <row r="1609" spans="1:6">
      <c r="A1609">
        <v>3787063</v>
      </c>
      <c r="C1609">
        <v>46009</v>
      </c>
      <c r="D1609" t="s">
        <v>506</v>
      </c>
      <c r="E1609" t="s">
        <v>1706</v>
      </c>
      <c r="F1609">
        <v>10070</v>
      </c>
    </row>
    <row r="1610" spans="1:6">
      <c r="A1610">
        <v>3787064</v>
      </c>
      <c r="C1610">
        <v>45994</v>
      </c>
      <c r="D1610" t="s">
        <v>118</v>
      </c>
      <c r="E1610" t="s">
        <v>1162</v>
      </c>
      <c r="F1610">
        <v>10310</v>
      </c>
    </row>
    <row r="1611" spans="1:6">
      <c r="A1611">
        <v>3787067</v>
      </c>
      <c r="C1611">
        <v>46013</v>
      </c>
      <c r="D1611" t="s">
        <v>236</v>
      </c>
      <c r="E1611" t="s">
        <v>120</v>
      </c>
      <c r="F1611">
        <v>10070</v>
      </c>
    </row>
    <row r="1612" spans="1:6">
      <c r="A1612">
        <v>3787065</v>
      </c>
      <c r="C1612">
        <v>46013</v>
      </c>
      <c r="D1612" t="s">
        <v>294</v>
      </c>
      <c r="E1612" t="s">
        <v>3232</v>
      </c>
      <c r="F1612">
        <v>10010</v>
      </c>
    </row>
    <row r="1613" spans="1:6">
      <c r="A1613">
        <v>3787066</v>
      </c>
      <c r="C1613">
        <v>46013</v>
      </c>
      <c r="D1613" t="s">
        <v>294</v>
      </c>
      <c r="E1613" t="s">
        <v>3233</v>
      </c>
      <c r="F1613">
        <v>10020</v>
      </c>
    </row>
    <row r="1614" spans="1:6">
      <c r="A1614">
        <v>3787068</v>
      </c>
      <c r="C1614">
        <v>46013</v>
      </c>
      <c r="D1614" t="s">
        <v>294</v>
      </c>
      <c r="E1614" t="s">
        <v>3234</v>
      </c>
      <c r="F1614">
        <v>10020</v>
      </c>
    </row>
    <row r="1615" spans="1:6">
      <c r="A1615">
        <v>3787069</v>
      </c>
      <c r="C1615">
        <v>46013</v>
      </c>
      <c r="D1615" t="s">
        <v>294</v>
      </c>
      <c r="E1615" t="s">
        <v>1716</v>
      </c>
      <c r="F1615">
        <v>10020</v>
      </c>
    </row>
    <row r="1616" spans="1:6">
      <c r="A1616">
        <v>3787070</v>
      </c>
      <c r="C1616">
        <v>46013</v>
      </c>
      <c r="D1616" t="s">
        <v>294</v>
      </c>
      <c r="E1616" t="s">
        <v>1718</v>
      </c>
      <c r="F1616">
        <v>10010</v>
      </c>
    </row>
    <row r="1617" spans="1:6">
      <c r="A1617">
        <v>3787071</v>
      </c>
      <c r="C1617">
        <v>46013</v>
      </c>
      <c r="D1617" t="s">
        <v>294</v>
      </c>
      <c r="E1617" t="s">
        <v>1720</v>
      </c>
      <c r="F1617">
        <v>10020</v>
      </c>
    </row>
    <row r="1618" spans="1:6">
      <c r="A1618">
        <v>3787072</v>
      </c>
      <c r="C1618">
        <v>46013</v>
      </c>
      <c r="D1618" t="s">
        <v>294</v>
      </c>
      <c r="E1618" t="s">
        <v>1722</v>
      </c>
      <c r="F1618">
        <v>10020</v>
      </c>
    </row>
    <row r="1619" spans="1:6">
      <c r="A1619">
        <v>3787073</v>
      </c>
      <c r="C1619">
        <v>46013</v>
      </c>
      <c r="D1619" t="s">
        <v>294</v>
      </c>
      <c r="E1619" t="s">
        <v>1725</v>
      </c>
      <c r="F1619">
        <v>10020</v>
      </c>
    </row>
    <row r="1620" spans="1:6">
      <c r="A1620">
        <v>3787074</v>
      </c>
      <c r="C1620">
        <v>46013</v>
      </c>
      <c r="D1620" t="s">
        <v>294</v>
      </c>
      <c r="E1620" t="s">
        <v>1727</v>
      </c>
      <c r="F1620">
        <v>10010</v>
      </c>
    </row>
    <row r="1621" spans="1:6">
      <c r="A1621">
        <v>3787075</v>
      </c>
      <c r="C1621">
        <v>46013</v>
      </c>
      <c r="D1621" t="s">
        <v>294</v>
      </c>
      <c r="E1621" t="s">
        <v>1729</v>
      </c>
      <c r="F1621">
        <v>10010</v>
      </c>
    </row>
    <row r="1622" spans="1:6">
      <c r="A1622">
        <v>3787076</v>
      </c>
      <c r="C1622">
        <v>46014</v>
      </c>
      <c r="D1622" t="s">
        <v>1731</v>
      </c>
      <c r="E1622" t="s">
        <v>1732</v>
      </c>
      <c r="F1622">
        <v>10060</v>
      </c>
    </row>
    <row r="1623" spans="1:6">
      <c r="A1623">
        <v>3787077</v>
      </c>
      <c r="C1623">
        <v>46014</v>
      </c>
      <c r="D1623" t="s">
        <v>1735</v>
      </c>
      <c r="E1623" t="s">
        <v>3077</v>
      </c>
      <c r="F1623">
        <v>10060</v>
      </c>
    </row>
    <row r="1624" spans="1:6">
      <c r="A1624">
        <v>3787078</v>
      </c>
      <c r="C1624">
        <v>46014</v>
      </c>
      <c r="D1624" t="s">
        <v>1735</v>
      </c>
      <c r="E1624" t="s">
        <v>3078</v>
      </c>
      <c r="F1624">
        <v>10060</v>
      </c>
    </row>
  </sheetData>
  <autoFilter ref="A1:F1624" xr:uid="{5274A2AD-BA45-46D2-9D58-B06C2B7676BE}"/>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C9722A-D15A-4D22-A6F1-470870F4F070}">
  <dimension ref="A1:B1791"/>
  <sheetViews>
    <sheetView workbookViewId="0"/>
  </sheetViews>
  <sheetFormatPr defaultRowHeight="15"/>
  <sheetData>
    <row r="1" spans="1:2" ht="39">
      <c r="A1" s="16" t="s">
        <v>49</v>
      </c>
      <c r="B1" s="17" t="s">
        <v>63</v>
      </c>
    </row>
    <row r="2" spans="1:2">
      <c r="A2" s="18">
        <v>3786075</v>
      </c>
      <c r="B2" s="19">
        <v>0</v>
      </c>
    </row>
    <row r="3" spans="1:2">
      <c r="A3" s="18">
        <v>3785573</v>
      </c>
      <c r="B3" s="19">
        <v>45</v>
      </c>
    </row>
    <row r="4" spans="1:2">
      <c r="A4" s="18">
        <v>3785574</v>
      </c>
      <c r="B4" s="19">
        <v>6</v>
      </c>
    </row>
    <row r="5" spans="1:2">
      <c r="A5" s="20">
        <v>3785999</v>
      </c>
      <c r="B5" s="21" t="s">
        <v>3235</v>
      </c>
    </row>
    <row r="6" spans="1:2">
      <c r="A6" s="20">
        <v>3785999</v>
      </c>
      <c r="B6" s="21" t="s">
        <v>3235</v>
      </c>
    </row>
    <row r="7" spans="1:2">
      <c r="A7" s="22">
        <v>3786046</v>
      </c>
      <c r="B7" s="22"/>
    </row>
    <row r="8" spans="1:2">
      <c r="A8" s="22">
        <v>3786061</v>
      </c>
      <c r="B8" s="22"/>
    </row>
    <row r="9" spans="1:2">
      <c r="A9" s="22">
        <v>3786067</v>
      </c>
      <c r="B9" s="22"/>
    </row>
    <row r="10" spans="1:2">
      <c r="A10" s="22">
        <v>3786076</v>
      </c>
      <c r="B10" s="22"/>
    </row>
    <row r="11" spans="1:2">
      <c r="A11" s="22">
        <v>3786077</v>
      </c>
      <c r="B11" s="22"/>
    </row>
    <row r="12" spans="1:2">
      <c r="A12" s="22">
        <v>3786078</v>
      </c>
      <c r="B12" s="22"/>
    </row>
    <row r="13" spans="1:2">
      <c r="A13" s="22">
        <v>3786079</v>
      </c>
      <c r="B13" s="22"/>
    </row>
    <row r="14" spans="1:2">
      <c r="A14" s="22">
        <v>3786080</v>
      </c>
      <c r="B14" s="22"/>
    </row>
    <row r="15" spans="1:2">
      <c r="A15" s="22">
        <v>3786080</v>
      </c>
      <c r="B15" s="22"/>
    </row>
    <row r="16" spans="1:2">
      <c r="A16" s="22">
        <v>3786080</v>
      </c>
      <c r="B16" s="22"/>
    </row>
    <row r="17" spans="1:2">
      <c r="A17" s="22">
        <v>3786080</v>
      </c>
      <c r="B17" s="22"/>
    </row>
    <row r="18" spans="1:2">
      <c r="A18" s="22">
        <v>3786080</v>
      </c>
      <c r="B18" s="22"/>
    </row>
    <row r="19" spans="1:2">
      <c r="A19" s="22">
        <v>3786081</v>
      </c>
      <c r="B19" s="22"/>
    </row>
    <row r="20" spans="1:2">
      <c r="A20" s="22">
        <v>3785575</v>
      </c>
      <c r="B20" s="22"/>
    </row>
    <row r="21" spans="1:2">
      <c r="A21" s="22">
        <v>3786047</v>
      </c>
      <c r="B21" s="22"/>
    </row>
    <row r="22" spans="1:2">
      <c r="A22" s="22">
        <v>3786063</v>
      </c>
      <c r="B22" s="22"/>
    </row>
    <row r="23" spans="1:2">
      <c r="A23" s="22">
        <v>3786068</v>
      </c>
      <c r="B23" s="22"/>
    </row>
    <row r="24" spans="1:2">
      <c r="A24" s="22">
        <v>3786082</v>
      </c>
      <c r="B24" s="22"/>
    </row>
    <row r="25" spans="1:2">
      <c r="A25" s="22">
        <v>3786083</v>
      </c>
      <c r="B25" s="22"/>
    </row>
    <row r="26" spans="1:2">
      <c r="A26" s="22">
        <v>3786084</v>
      </c>
      <c r="B26" s="22"/>
    </row>
    <row r="27" spans="1:2">
      <c r="A27" s="22">
        <v>3786085</v>
      </c>
      <c r="B27" s="22"/>
    </row>
    <row r="28" spans="1:2">
      <c r="A28" s="22">
        <v>3786090</v>
      </c>
      <c r="B28" s="22"/>
    </row>
    <row r="29" spans="1:2">
      <c r="A29" s="22">
        <v>3786093</v>
      </c>
      <c r="B29" s="22"/>
    </row>
    <row r="30" spans="1:2">
      <c r="A30" s="22">
        <v>3786096</v>
      </c>
      <c r="B30" s="22"/>
    </row>
    <row r="31" spans="1:2">
      <c r="A31" s="22">
        <v>3786096</v>
      </c>
      <c r="B31" s="22"/>
    </row>
    <row r="32" spans="1:2">
      <c r="A32" s="22">
        <v>3786101</v>
      </c>
      <c r="B32" s="22"/>
    </row>
    <row r="33" spans="1:2">
      <c r="A33" s="22">
        <v>3786102</v>
      </c>
      <c r="B33" s="22"/>
    </row>
    <row r="34" spans="1:2">
      <c r="A34" s="22">
        <v>3786138</v>
      </c>
      <c r="B34" s="22"/>
    </row>
    <row r="35" spans="1:2">
      <c r="A35" s="22">
        <v>3785576</v>
      </c>
      <c r="B35" s="22"/>
    </row>
    <row r="36" spans="1:2">
      <c r="A36" s="22">
        <v>3786053</v>
      </c>
      <c r="B36" s="22"/>
    </row>
    <row r="37" spans="1:2">
      <c r="A37" s="22">
        <v>3786064</v>
      </c>
      <c r="B37" s="22"/>
    </row>
    <row r="38" spans="1:2">
      <c r="A38" s="22">
        <v>3786064</v>
      </c>
      <c r="B38" s="22"/>
    </row>
    <row r="39" spans="1:2">
      <c r="A39" s="22">
        <v>3786069</v>
      </c>
      <c r="B39" s="22"/>
    </row>
    <row r="40" spans="1:2">
      <c r="A40" s="22">
        <v>3786091</v>
      </c>
      <c r="B40" s="22"/>
    </row>
    <row r="41" spans="1:2">
      <c r="A41" s="22">
        <v>3786095</v>
      </c>
      <c r="B41" s="22"/>
    </row>
    <row r="42" spans="1:2">
      <c r="A42" s="22">
        <v>3786097</v>
      </c>
      <c r="B42" s="22"/>
    </row>
    <row r="43" spans="1:2">
      <c r="A43" s="22">
        <v>3786103</v>
      </c>
      <c r="B43" s="22"/>
    </row>
    <row r="44" spans="1:2">
      <c r="A44" s="22">
        <v>3786104</v>
      </c>
      <c r="B44" s="22"/>
    </row>
    <row r="45" spans="1:2">
      <c r="A45" s="22">
        <v>3786105</v>
      </c>
      <c r="B45" s="22"/>
    </row>
    <row r="46" spans="1:2">
      <c r="A46" s="22">
        <v>3786113</v>
      </c>
      <c r="B46" s="22"/>
    </row>
    <row r="47" spans="1:2">
      <c r="A47" s="22">
        <v>3786137</v>
      </c>
      <c r="B47" s="22"/>
    </row>
    <row r="48" spans="1:2">
      <c r="A48" s="22">
        <v>3786139</v>
      </c>
      <c r="B48" s="22"/>
    </row>
    <row r="49" spans="1:2">
      <c r="A49" s="22">
        <v>3786140</v>
      </c>
      <c r="B49" s="22"/>
    </row>
    <row r="50" spans="1:2">
      <c r="A50" s="22">
        <v>3786141</v>
      </c>
      <c r="B50" s="22"/>
    </row>
    <row r="51" spans="1:2">
      <c r="A51" s="22">
        <v>3786127</v>
      </c>
      <c r="B51" s="22"/>
    </row>
    <row r="52" spans="1:2">
      <c r="A52" s="22">
        <v>3786143</v>
      </c>
      <c r="B52" s="22"/>
    </row>
    <row r="53" spans="1:2">
      <c r="A53" s="22">
        <v>3786073</v>
      </c>
      <c r="B53" s="22"/>
    </row>
    <row r="54" spans="1:2">
      <c r="A54" s="22">
        <v>3786051</v>
      </c>
      <c r="B54" s="22"/>
    </row>
    <row r="55" spans="1:2">
      <c r="A55" s="22">
        <v>3786054</v>
      </c>
      <c r="B55" s="22"/>
    </row>
    <row r="56" spans="1:2">
      <c r="A56" s="22">
        <v>3786065</v>
      </c>
      <c r="B56" s="22"/>
    </row>
    <row r="57" spans="1:2">
      <c r="A57" s="22">
        <v>3786070</v>
      </c>
      <c r="B57" s="22"/>
    </row>
    <row r="58" spans="1:2">
      <c r="A58" s="22">
        <v>3786094</v>
      </c>
      <c r="B58" s="22"/>
    </row>
    <row r="59" spans="1:2">
      <c r="A59" s="22">
        <v>3786098</v>
      </c>
      <c r="B59" s="22"/>
    </row>
    <row r="60" spans="1:2">
      <c r="A60" s="22">
        <v>3786098</v>
      </c>
      <c r="B60" s="22"/>
    </row>
    <row r="61" spans="1:2">
      <c r="A61" s="22">
        <v>3786110</v>
      </c>
      <c r="B61" s="22"/>
    </row>
    <row r="62" spans="1:2">
      <c r="A62" s="22">
        <v>3786136</v>
      </c>
      <c r="B62" s="22"/>
    </row>
    <row r="63" spans="1:2">
      <c r="A63" s="22">
        <v>3786142</v>
      </c>
      <c r="B63" s="22"/>
    </row>
    <row r="64" spans="1:2">
      <c r="A64" s="22">
        <v>3786144</v>
      </c>
      <c r="B64" s="22"/>
    </row>
    <row r="65" spans="1:2">
      <c r="A65" s="22">
        <v>3786168</v>
      </c>
      <c r="B65" s="22"/>
    </row>
    <row r="66" spans="1:2">
      <c r="A66" s="22">
        <v>3786194</v>
      </c>
      <c r="B66" s="22"/>
    </row>
    <row r="67" spans="1:2">
      <c r="A67" s="22">
        <v>3786234</v>
      </c>
      <c r="B67" s="22"/>
    </row>
    <row r="68" spans="1:2">
      <c r="A68" s="22">
        <v>3786248</v>
      </c>
      <c r="B68" s="22"/>
    </row>
    <row r="69" spans="1:2">
      <c r="A69" s="22">
        <v>3786250</v>
      </c>
      <c r="B69" s="22"/>
    </row>
    <row r="70" spans="1:2">
      <c r="A70" s="22">
        <v>3786264</v>
      </c>
      <c r="B70" s="22"/>
    </row>
    <row r="71" spans="1:2">
      <c r="A71" s="22">
        <v>3786285</v>
      </c>
      <c r="B71" s="22"/>
    </row>
    <row r="72" spans="1:2">
      <c r="A72" s="22">
        <v>3786052</v>
      </c>
      <c r="B72" s="22"/>
    </row>
    <row r="73" spans="1:2">
      <c r="A73" s="22">
        <v>3786055</v>
      </c>
      <c r="B73" s="22"/>
    </row>
    <row r="74" spans="1:2">
      <c r="A74" s="22">
        <v>3786066</v>
      </c>
      <c r="B74" s="22"/>
    </row>
    <row r="75" spans="1:2">
      <c r="A75" s="22">
        <v>3786071</v>
      </c>
      <c r="B75" s="22"/>
    </row>
    <row r="76" spans="1:2">
      <c r="A76" s="22">
        <v>3786092</v>
      </c>
      <c r="B76" s="22"/>
    </row>
    <row r="77" spans="1:2">
      <c r="A77" s="22">
        <v>3786099</v>
      </c>
      <c r="B77" s="22"/>
    </row>
    <row r="78" spans="1:2">
      <c r="A78" s="22">
        <v>3786099</v>
      </c>
      <c r="B78" s="22"/>
    </row>
    <row r="79" spans="1:2">
      <c r="A79" s="22">
        <v>3786106</v>
      </c>
      <c r="B79" s="22"/>
    </row>
    <row r="80" spans="1:2">
      <c r="A80" s="22">
        <v>3786106</v>
      </c>
      <c r="B80" s="22"/>
    </row>
    <row r="81" spans="1:2">
      <c r="A81" s="22">
        <v>3786106</v>
      </c>
      <c r="B81" s="22"/>
    </row>
    <row r="82" spans="1:2">
      <c r="A82" s="22">
        <v>3786171</v>
      </c>
      <c r="B82" s="22"/>
    </row>
    <row r="83" spans="1:2">
      <c r="A83" s="22">
        <v>3786196</v>
      </c>
      <c r="B83" s="22"/>
    </row>
    <row r="84" spans="1:2">
      <c r="A84" s="22">
        <v>3786197</v>
      </c>
      <c r="B84" s="22"/>
    </row>
    <row r="85" spans="1:2">
      <c r="A85" s="22">
        <v>3786200</v>
      </c>
      <c r="B85" s="22"/>
    </row>
    <row r="86" spans="1:2">
      <c r="A86" s="22">
        <v>3786205</v>
      </c>
      <c r="B86" s="22"/>
    </row>
    <row r="87" spans="1:2">
      <c r="A87" s="22">
        <v>3786209</v>
      </c>
      <c r="B87" s="22"/>
    </row>
    <row r="88" spans="1:2">
      <c r="A88" s="22">
        <v>3786235</v>
      </c>
      <c r="B88" s="22"/>
    </row>
    <row r="89" spans="1:2">
      <c r="A89" s="22">
        <v>3786335</v>
      </c>
      <c r="B89" s="22"/>
    </row>
    <row r="90" spans="1:2">
      <c r="A90" s="22">
        <v>3786074</v>
      </c>
      <c r="B90" s="22"/>
    </row>
    <row r="91" spans="1:2">
      <c r="A91" s="22">
        <v>3786056</v>
      </c>
      <c r="B91" s="22"/>
    </row>
    <row r="92" spans="1:2">
      <c r="A92" s="22">
        <v>3786057</v>
      </c>
      <c r="B92" s="22"/>
    </row>
    <row r="93" spans="1:2">
      <c r="A93" s="22">
        <v>3786060</v>
      </c>
      <c r="B93" s="22"/>
    </row>
    <row r="94" spans="1:2">
      <c r="A94" s="22">
        <v>3786072</v>
      </c>
      <c r="B94" s="22"/>
    </row>
    <row r="95" spans="1:2">
      <c r="A95" s="22">
        <v>3786086</v>
      </c>
      <c r="B95" s="22"/>
    </row>
    <row r="96" spans="1:2">
      <c r="A96" s="22">
        <v>3786100</v>
      </c>
      <c r="B96" s="22"/>
    </row>
    <row r="97" spans="1:2">
      <c r="A97" s="22">
        <v>3786107</v>
      </c>
      <c r="B97" s="22"/>
    </row>
    <row r="98" spans="1:2">
      <c r="A98" s="22">
        <v>3786107</v>
      </c>
      <c r="B98" s="22"/>
    </row>
    <row r="99" spans="1:2">
      <c r="A99" s="22">
        <v>3786107</v>
      </c>
      <c r="B99" s="22"/>
    </row>
    <row r="100" spans="1:2">
      <c r="A100" s="22">
        <v>3786107</v>
      </c>
      <c r="B100" s="22"/>
    </row>
    <row r="101" spans="1:2">
      <c r="A101" s="22">
        <v>3786111</v>
      </c>
      <c r="B101" s="22"/>
    </row>
    <row r="102" spans="1:2">
      <c r="A102" s="22">
        <v>3786210</v>
      </c>
      <c r="B102" s="22"/>
    </row>
    <row r="103" spans="1:2">
      <c r="A103" s="22">
        <v>3786236</v>
      </c>
      <c r="B103" s="22"/>
    </row>
    <row r="104" spans="1:2">
      <c r="A104" s="22">
        <v>3786318</v>
      </c>
      <c r="B104" s="22"/>
    </row>
    <row r="105" spans="1:2">
      <c r="A105" s="22">
        <v>3786336</v>
      </c>
      <c r="B105" s="22"/>
    </row>
    <row r="106" spans="1:2">
      <c r="A106" s="22">
        <v>3786336</v>
      </c>
      <c r="B106" s="22"/>
    </row>
    <row r="107" spans="1:2">
      <c r="A107" s="22">
        <v>3786359</v>
      </c>
      <c r="B107" s="22"/>
    </row>
    <row r="108" spans="1:2">
      <c r="A108" s="22">
        <v>3786388</v>
      </c>
      <c r="B108" s="22"/>
    </row>
    <row r="109" spans="1:2">
      <c r="A109" s="22">
        <v>3786388</v>
      </c>
      <c r="B109" s="22"/>
    </row>
    <row r="110" spans="1:2">
      <c r="A110" s="22">
        <v>3786389</v>
      </c>
      <c r="B110" s="22"/>
    </row>
    <row r="111" spans="1:2">
      <c r="A111" s="22">
        <v>3786394</v>
      </c>
      <c r="B111" s="22"/>
    </row>
    <row r="112" spans="1:2">
      <c r="A112" s="22">
        <v>3786399</v>
      </c>
      <c r="B112" s="22"/>
    </row>
    <row r="113" spans="1:2">
      <c r="A113" s="22">
        <v>3786425</v>
      </c>
      <c r="B113" s="22"/>
    </row>
    <row r="114" spans="1:2">
      <c r="A114" s="22">
        <v>3786424</v>
      </c>
      <c r="B114" s="22"/>
    </row>
    <row r="115" spans="1:2">
      <c r="A115" s="22">
        <v>3786423</v>
      </c>
      <c r="B115" s="22"/>
    </row>
    <row r="116" spans="1:2">
      <c r="A116" s="22">
        <v>3786302</v>
      </c>
      <c r="B116" s="22"/>
    </row>
    <row r="117" spans="1:2">
      <c r="A117" s="22">
        <v>3786306</v>
      </c>
      <c r="B117" s="22"/>
    </row>
    <row r="118" spans="1:2">
      <c r="A118" s="22">
        <v>3786376</v>
      </c>
      <c r="B118" s="22"/>
    </row>
    <row r="119" spans="1:2">
      <c r="A119" s="22">
        <v>3786384</v>
      </c>
      <c r="B119" s="22"/>
    </row>
    <row r="120" spans="1:2">
      <c r="A120" s="22">
        <v>3786384</v>
      </c>
      <c r="B120" s="22"/>
    </row>
    <row r="121" spans="1:2">
      <c r="A121" s="22">
        <v>3786384</v>
      </c>
      <c r="B121" s="22"/>
    </row>
    <row r="122" spans="1:2">
      <c r="A122" s="22">
        <v>3786384</v>
      </c>
      <c r="B122" s="22"/>
    </row>
    <row r="123" spans="1:2">
      <c r="A123" s="22">
        <v>3786404</v>
      </c>
      <c r="B123" s="22"/>
    </row>
    <row r="124" spans="1:2">
      <c r="A124" s="22">
        <v>3786087</v>
      </c>
      <c r="B124" s="22"/>
    </row>
    <row r="125" spans="1:2">
      <c r="A125" s="22">
        <v>3786108</v>
      </c>
      <c r="B125" s="22"/>
    </row>
    <row r="126" spans="1:2">
      <c r="A126" s="22">
        <v>3786172</v>
      </c>
      <c r="B126" s="22"/>
    </row>
    <row r="127" spans="1:2">
      <c r="A127" s="22">
        <v>3786211</v>
      </c>
      <c r="B127" s="22"/>
    </row>
    <row r="128" spans="1:2">
      <c r="A128" s="22">
        <v>3786211</v>
      </c>
      <c r="B128" s="22"/>
    </row>
    <row r="129" spans="1:2">
      <c r="A129" s="22">
        <v>3786249</v>
      </c>
      <c r="B129" s="22"/>
    </row>
    <row r="130" spans="1:2">
      <c r="A130" s="22">
        <v>3786288</v>
      </c>
      <c r="B130" s="22"/>
    </row>
    <row r="131" spans="1:2">
      <c r="A131" s="22">
        <v>3786303</v>
      </c>
      <c r="B131" s="22"/>
    </row>
    <row r="132" spans="1:2">
      <c r="A132" s="22">
        <v>3786303</v>
      </c>
      <c r="B132" s="22"/>
    </row>
    <row r="133" spans="1:2">
      <c r="A133" s="22">
        <v>3786303</v>
      </c>
      <c r="B133" s="22"/>
    </row>
    <row r="134" spans="1:2">
      <c r="A134" s="22">
        <v>3786307</v>
      </c>
      <c r="B134" s="22"/>
    </row>
    <row r="135" spans="1:2">
      <c r="A135" s="22">
        <v>3786307</v>
      </c>
      <c r="B135" s="22"/>
    </row>
    <row r="136" spans="1:2">
      <c r="A136" s="22">
        <v>3786310</v>
      </c>
      <c r="B136" s="22"/>
    </row>
    <row r="137" spans="1:2">
      <c r="A137" s="22">
        <v>3786337</v>
      </c>
      <c r="B137" s="22"/>
    </row>
    <row r="138" spans="1:2">
      <c r="A138" s="22">
        <v>3786361</v>
      </c>
      <c r="B138" s="22"/>
    </row>
    <row r="139" spans="1:2">
      <c r="A139" s="22">
        <v>3786385</v>
      </c>
      <c r="B139" s="22"/>
    </row>
    <row r="140" spans="1:2">
      <c r="A140" s="22">
        <v>3786403</v>
      </c>
      <c r="B140" s="22"/>
    </row>
    <row r="141" spans="1:2">
      <c r="A141" s="22">
        <v>3786426</v>
      </c>
      <c r="B141" s="22"/>
    </row>
    <row r="142" spans="1:2">
      <c r="A142" s="22">
        <v>3786430</v>
      </c>
      <c r="B142" s="22"/>
    </row>
    <row r="143" spans="1:2">
      <c r="A143" s="22">
        <v>3786431</v>
      </c>
      <c r="B143" s="22"/>
    </row>
    <row r="144" spans="1:2">
      <c r="A144" s="22">
        <v>3786432</v>
      </c>
      <c r="B144" s="22"/>
    </row>
    <row r="145" spans="1:2">
      <c r="A145" s="22">
        <v>3786436</v>
      </c>
      <c r="B145" s="22"/>
    </row>
    <row r="146" spans="1:2">
      <c r="A146" s="22">
        <v>3786436</v>
      </c>
      <c r="B146" s="22"/>
    </row>
    <row r="147" spans="1:2">
      <c r="A147" s="22">
        <v>3786437</v>
      </c>
      <c r="B147" s="22"/>
    </row>
    <row r="148" spans="1:2">
      <c r="A148" s="22">
        <v>3786439</v>
      </c>
      <c r="B148" s="22"/>
    </row>
    <row r="149" spans="1:2">
      <c r="A149" s="22">
        <v>3786440</v>
      </c>
      <c r="B149" s="22"/>
    </row>
    <row r="150" spans="1:2">
      <c r="A150" s="22">
        <v>3786442</v>
      </c>
      <c r="B150" s="22"/>
    </row>
    <row r="151" spans="1:2">
      <c r="A151" s="22">
        <v>3786443</v>
      </c>
      <c r="B151" s="22"/>
    </row>
    <row r="152" spans="1:2">
      <c r="A152" s="22">
        <v>3786265</v>
      </c>
      <c r="B152" s="22"/>
    </row>
    <row r="153" spans="1:2">
      <c r="A153" s="22">
        <v>3786265</v>
      </c>
      <c r="B153" s="22"/>
    </row>
    <row r="154" spans="1:2">
      <c r="A154" s="22">
        <v>3786088</v>
      </c>
      <c r="B154" s="22"/>
    </row>
    <row r="155" spans="1:2">
      <c r="A155" s="22">
        <v>3786109</v>
      </c>
      <c r="B155" s="22"/>
    </row>
    <row r="156" spans="1:2">
      <c r="A156" s="22">
        <v>3786128</v>
      </c>
      <c r="B156" s="22"/>
    </row>
    <row r="157" spans="1:2">
      <c r="A157" s="22">
        <v>3786162</v>
      </c>
      <c r="B157" s="22"/>
    </row>
    <row r="158" spans="1:2">
      <c r="A158" s="22">
        <v>3786212</v>
      </c>
      <c r="B158" s="22"/>
    </row>
    <row r="159" spans="1:2">
      <c r="A159" s="22">
        <v>3786266</v>
      </c>
      <c r="B159" s="22"/>
    </row>
    <row r="160" spans="1:2">
      <c r="A160" s="22">
        <v>3786304</v>
      </c>
      <c r="B160" s="22"/>
    </row>
    <row r="161" spans="1:2">
      <c r="A161" s="22">
        <v>3786304</v>
      </c>
      <c r="B161" s="22"/>
    </row>
    <row r="162" spans="1:2">
      <c r="A162" s="22">
        <v>3786308</v>
      </c>
      <c r="B162" s="22"/>
    </row>
    <row r="163" spans="1:2">
      <c r="A163" s="22">
        <v>3786308</v>
      </c>
      <c r="B163" s="22"/>
    </row>
    <row r="164" spans="1:2">
      <c r="A164" s="22">
        <v>3786386</v>
      </c>
      <c r="B164" s="22"/>
    </row>
    <row r="165" spans="1:2">
      <c r="A165" s="22">
        <v>3786386</v>
      </c>
      <c r="B165" s="22"/>
    </row>
    <row r="166" spans="1:2">
      <c r="A166" s="22">
        <v>3786386</v>
      </c>
      <c r="B166" s="22"/>
    </row>
    <row r="167" spans="1:2">
      <c r="A167" s="22">
        <v>3786433</v>
      </c>
      <c r="B167" s="22"/>
    </row>
    <row r="168" spans="1:2">
      <c r="A168" s="22">
        <v>3786434</v>
      </c>
      <c r="B168" s="22"/>
    </row>
    <row r="169" spans="1:2">
      <c r="A169" s="22">
        <v>3786435</v>
      </c>
      <c r="B169" s="22"/>
    </row>
    <row r="170" spans="1:2">
      <c r="A170" s="22">
        <v>3786438</v>
      </c>
      <c r="B170" s="22"/>
    </row>
    <row r="171" spans="1:2">
      <c r="A171" s="22">
        <v>3786444</v>
      </c>
      <c r="B171" s="22"/>
    </row>
    <row r="172" spans="1:2">
      <c r="A172" s="22">
        <v>3786444</v>
      </c>
      <c r="B172" s="22"/>
    </row>
    <row r="173" spans="1:2">
      <c r="A173" s="22">
        <v>3786448</v>
      </c>
      <c r="B173" s="22"/>
    </row>
    <row r="174" spans="1:2">
      <c r="A174" s="22">
        <v>3786450</v>
      </c>
      <c r="B174" s="22"/>
    </row>
    <row r="175" spans="1:2">
      <c r="A175" s="22">
        <v>3786451</v>
      </c>
      <c r="B175" s="22"/>
    </row>
    <row r="176" spans="1:2">
      <c r="A176" s="22">
        <v>3786453</v>
      </c>
      <c r="B176" s="22"/>
    </row>
    <row r="177" spans="1:2">
      <c r="A177" s="22">
        <v>3786453</v>
      </c>
      <c r="B177" s="22"/>
    </row>
    <row r="178" spans="1:2">
      <c r="A178" s="22">
        <v>3786454</v>
      </c>
      <c r="B178" s="22"/>
    </row>
    <row r="179" spans="1:2">
      <c r="A179" s="22">
        <v>3786458</v>
      </c>
      <c r="B179" s="22"/>
    </row>
    <row r="180" spans="1:2">
      <c r="A180" s="22">
        <v>3786459</v>
      </c>
      <c r="B180" s="22"/>
    </row>
    <row r="181" spans="1:2">
      <c r="A181" s="22">
        <v>3786462</v>
      </c>
      <c r="B181" s="22"/>
    </row>
    <row r="182" spans="1:2">
      <c r="A182" s="22">
        <v>3786463</v>
      </c>
      <c r="B182" s="22"/>
    </row>
    <row r="183" spans="1:2">
      <c r="A183" s="22">
        <v>3786469</v>
      </c>
      <c r="B183" s="22"/>
    </row>
    <row r="184" spans="1:2">
      <c r="A184" s="22">
        <v>3786469</v>
      </c>
      <c r="B184" s="22"/>
    </row>
    <row r="185" spans="1:2">
      <c r="A185" s="22">
        <v>3786472</v>
      </c>
      <c r="B185" s="22"/>
    </row>
    <row r="186" spans="1:2">
      <c r="A186" s="22">
        <v>3786472</v>
      </c>
      <c r="B186" s="22"/>
    </row>
    <row r="187" spans="1:2">
      <c r="A187" s="22">
        <v>3786252</v>
      </c>
      <c r="B187" s="22"/>
    </row>
    <row r="188" spans="1:2">
      <c r="A188" s="22">
        <v>3786455</v>
      </c>
      <c r="B188" s="22"/>
    </row>
    <row r="189" spans="1:2">
      <c r="A189" s="22">
        <v>3786456</v>
      </c>
      <c r="B189" s="22"/>
    </row>
    <row r="190" spans="1:2">
      <c r="A190" s="22">
        <v>3786456</v>
      </c>
      <c r="B190" s="22"/>
    </row>
    <row r="191" spans="1:2">
      <c r="A191" s="22">
        <v>3786471</v>
      </c>
      <c r="B191" s="22"/>
    </row>
    <row r="192" spans="1:2">
      <c r="A192" s="22">
        <v>3786473</v>
      </c>
      <c r="B192" s="22"/>
    </row>
    <row r="193" spans="1:2">
      <c r="A193" s="22">
        <v>3786483</v>
      </c>
      <c r="B193" s="22"/>
    </row>
    <row r="194" spans="1:2">
      <c r="A194" s="22">
        <v>3786484</v>
      </c>
      <c r="B194" s="22"/>
    </row>
    <row r="195" spans="1:2">
      <c r="A195" s="22">
        <v>3786089</v>
      </c>
      <c r="B195" s="22"/>
    </row>
    <row r="196" spans="1:2">
      <c r="A196" s="22">
        <v>3786305</v>
      </c>
      <c r="B196" s="22"/>
    </row>
    <row r="197" spans="1:2">
      <c r="A197" s="22">
        <v>3786309</v>
      </c>
      <c r="B197" s="22"/>
    </row>
    <row r="198" spans="1:2">
      <c r="A198" s="22">
        <v>3786309</v>
      </c>
      <c r="B198" s="22"/>
    </row>
    <row r="199" spans="1:2">
      <c r="A199" s="22">
        <v>3786360</v>
      </c>
      <c r="B199" s="22"/>
    </row>
    <row r="200" spans="1:2">
      <c r="A200" s="22">
        <v>3786387</v>
      </c>
      <c r="B200" s="22"/>
    </row>
    <row r="201" spans="1:2">
      <c r="A201" s="22">
        <v>3786387</v>
      </c>
      <c r="B201" s="22"/>
    </row>
    <row r="202" spans="1:2">
      <c r="A202" s="22">
        <v>3786392</v>
      </c>
      <c r="B202" s="22"/>
    </row>
    <row r="203" spans="1:2">
      <c r="A203" s="22">
        <v>3786441</v>
      </c>
      <c r="B203" s="22"/>
    </row>
    <row r="204" spans="1:2">
      <c r="A204" s="22">
        <v>3786441</v>
      </c>
      <c r="B204" s="22"/>
    </row>
    <row r="205" spans="1:2">
      <c r="A205" s="22">
        <v>3786441</v>
      </c>
      <c r="B205" s="22"/>
    </row>
    <row r="206" spans="1:2">
      <c r="A206" s="22">
        <v>3786441</v>
      </c>
      <c r="B206" s="22"/>
    </row>
    <row r="207" spans="1:2">
      <c r="A207" s="22">
        <v>3786445</v>
      </c>
      <c r="B207" s="22"/>
    </row>
    <row r="208" spans="1:2">
      <c r="A208" s="22">
        <v>3786445</v>
      </c>
      <c r="B208" s="22"/>
    </row>
    <row r="209" spans="1:2">
      <c r="A209" s="22">
        <v>3786449</v>
      </c>
      <c r="B209" s="22"/>
    </row>
    <row r="210" spans="1:2">
      <c r="A210" s="22">
        <v>3786457</v>
      </c>
      <c r="B210" s="22"/>
    </row>
    <row r="211" spans="1:2">
      <c r="A211" s="22">
        <v>3786464</v>
      </c>
      <c r="B211" s="22"/>
    </row>
    <row r="212" spans="1:2">
      <c r="A212" s="22">
        <v>3786465</v>
      </c>
      <c r="B212" s="22"/>
    </row>
    <row r="213" spans="1:2">
      <c r="A213" s="22">
        <v>3786465</v>
      </c>
      <c r="B213" s="22"/>
    </row>
    <row r="214" spans="1:2">
      <c r="A214" s="22">
        <v>3786465</v>
      </c>
      <c r="B214" s="22"/>
    </row>
    <row r="215" spans="1:2">
      <c r="A215" s="22">
        <v>3786465</v>
      </c>
      <c r="B215" s="22"/>
    </row>
    <row r="216" spans="1:2">
      <c r="A216" s="22">
        <v>3786470</v>
      </c>
      <c r="B216" s="22"/>
    </row>
    <row r="217" spans="1:2">
      <c r="A217" s="22">
        <v>3786476</v>
      </c>
      <c r="B217" s="22"/>
    </row>
    <row r="218" spans="1:2">
      <c r="A218" s="22">
        <v>3786477</v>
      </c>
      <c r="B218" s="22"/>
    </row>
    <row r="219" spans="1:2">
      <c r="A219" s="22">
        <v>3786478</v>
      </c>
      <c r="B219" s="22"/>
    </row>
    <row r="220" spans="1:2">
      <c r="A220" s="22">
        <v>3786479</v>
      </c>
      <c r="B220" s="22"/>
    </row>
    <row r="221" spans="1:2">
      <c r="A221" s="22">
        <v>3786480</v>
      </c>
      <c r="B221" s="22"/>
    </row>
    <row r="222" spans="1:2">
      <c r="A222" s="22">
        <v>3786481</v>
      </c>
      <c r="B222" s="22"/>
    </row>
    <row r="223" spans="1:2">
      <c r="A223" s="22">
        <v>3786482</v>
      </c>
      <c r="B223" s="22"/>
    </row>
    <row r="224" spans="1:2">
      <c r="A224" s="22">
        <v>3786501</v>
      </c>
      <c r="B224" s="22"/>
    </row>
    <row r="225" spans="1:2">
      <c r="A225" s="22">
        <v>3786516</v>
      </c>
      <c r="B225" s="22">
        <v>24</v>
      </c>
    </row>
    <row r="226" spans="1:2">
      <c r="A226" s="22">
        <v>3786521</v>
      </c>
      <c r="B226" s="22">
        <v>-28</v>
      </c>
    </row>
    <row r="227" spans="1:2">
      <c r="A227" s="22">
        <v>3786253</v>
      </c>
      <c r="B227" s="22"/>
    </row>
    <row r="228" spans="1:2">
      <c r="A228" s="22">
        <v>3786525</v>
      </c>
      <c r="B228" s="22"/>
    </row>
    <row r="229" spans="1:2">
      <c r="A229" s="22">
        <v>3786393</v>
      </c>
      <c r="B229" s="22"/>
    </row>
    <row r="230" spans="1:2">
      <c r="A230" s="22">
        <v>3786446</v>
      </c>
      <c r="B230" s="22"/>
    </row>
    <row r="231" spans="1:2">
      <c r="A231" s="22">
        <v>3786466</v>
      </c>
      <c r="B231" s="22"/>
    </row>
    <row r="232" spans="1:2">
      <c r="A232" s="22">
        <v>3786495</v>
      </c>
      <c r="B232" s="22"/>
    </row>
    <row r="233" spans="1:2">
      <c r="A233" s="22">
        <v>3786499</v>
      </c>
      <c r="B233" s="22"/>
    </row>
    <row r="234" spans="1:2">
      <c r="A234" s="22">
        <v>3786500</v>
      </c>
      <c r="B234" s="22"/>
    </row>
    <row r="235" spans="1:2">
      <c r="A235" s="22">
        <v>3786517</v>
      </c>
      <c r="B235" s="22"/>
    </row>
    <row r="236" spans="1:2">
      <c r="A236" s="22">
        <v>3786518</v>
      </c>
      <c r="B236" s="22"/>
    </row>
    <row r="237" spans="1:2">
      <c r="A237" s="22">
        <v>3786519</v>
      </c>
      <c r="B237" s="22"/>
    </row>
    <row r="238" spans="1:2">
      <c r="A238" s="22">
        <v>3786520</v>
      </c>
      <c r="B238" s="22"/>
    </row>
    <row r="239" spans="1:2">
      <c r="A239" s="22">
        <v>3786522</v>
      </c>
      <c r="B239" s="22"/>
    </row>
    <row r="240" spans="1:2">
      <c r="A240" s="22">
        <v>3786524</v>
      </c>
      <c r="B240" s="22"/>
    </row>
    <row r="241" spans="1:2">
      <c r="A241" s="22">
        <v>3786526</v>
      </c>
      <c r="B241" s="22"/>
    </row>
    <row r="242" spans="1:2">
      <c r="A242" s="22">
        <v>3786527</v>
      </c>
      <c r="B242" s="22"/>
    </row>
    <row r="243" spans="1:2">
      <c r="A243" s="22">
        <v>3786540</v>
      </c>
      <c r="B243" s="22"/>
    </row>
    <row r="244" spans="1:2">
      <c r="A244" s="22">
        <v>3786548</v>
      </c>
      <c r="B244" s="22"/>
    </row>
    <row r="245" spans="1:2">
      <c r="A245" s="22">
        <v>3786254</v>
      </c>
      <c r="B245" s="22"/>
    </row>
    <row r="246" spans="1:2">
      <c r="A246" s="22">
        <v>3786542</v>
      </c>
      <c r="B246" s="22"/>
    </row>
    <row r="247" spans="1:2">
      <c r="A247" s="22">
        <v>3786362</v>
      </c>
      <c r="B247" s="22"/>
    </row>
    <row r="248" spans="1:2">
      <c r="A248" s="22">
        <v>3786363</v>
      </c>
      <c r="B248" s="22"/>
    </row>
    <row r="249" spans="1:2">
      <c r="A249" s="22">
        <v>3786447</v>
      </c>
      <c r="B249" s="22"/>
    </row>
    <row r="250" spans="1:2">
      <c r="A250" s="22">
        <v>3786467</v>
      </c>
      <c r="B250" s="22"/>
    </row>
    <row r="251" spans="1:2">
      <c r="A251" s="22">
        <v>3786485</v>
      </c>
      <c r="B251" s="22"/>
    </row>
    <row r="252" spans="1:2">
      <c r="A252" s="22">
        <v>3786503</v>
      </c>
      <c r="B252" s="22"/>
    </row>
    <row r="253" spans="1:2">
      <c r="A253" s="22">
        <v>3786504</v>
      </c>
      <c r="B253" s="22"/>
    </row>
    <row r="254" spans="1:2">
      <c r="A254" s="22">
        <v>3786504</v>
      </c>
      <c r="B254" s="22"/>
    </row>
    <row r="255" spans="1:2">
      <c r="A255" s="22">
        <v>3786531</v>
      </c>
      <c r="B255" s="22"/>
    </row>
    <row r="256" spans="1:2">
      <c r="A256" s="22">
        <v>3786531</v>
      </c>
      <c r="B256" s="22"/>
    </row>
    <row r="257" spans="1:2">
      <c r="A257" s="22">
        <v>3786531</v>
      </c>
      <c r="B257" s="22"/>
    </row>
    <row r="258" spans="1:2">
      <c r="A258" s="22">
        <v>3786534</v>
      </c>
      <c r="B258" s="22"/>
    </row>
    <row r="259" spans="1:2">
      <c r="A259" s="22">
        <v>3786537</v>
      </c>
      <c r="B259" s="22"/>
    </row>
    <row r="260" spans="1:2">
      <c r="A260" s="22">
        <v>3786255</v>
      </c>
      <c r="B260" s="22"/>
    </row>
    <row r="261" spans="1:2">
      <c r="A261" s="22">
        <v>3786552</v>
      </c>
      <c r="B261" s="22"/>
    </row>
    <row r="262" spans="1:2">
      <c r="A262" s="22">
        <v>3786468</v>
      </c>
      <c r="B262" s="22"/>
    </row>
    <row r="263" spans="1:2">
      <c r="A263" s="22">
        <v>3786488</v>
      </c>
      <c r="B263" s="22"/>
    </row>
    <row r="264" spans="1:2">
      <c r="A264" s="22">
        <v>3786488</v>
      </c>
      <c r="B264" s="22"/>
    </row>
    <row r="265" spans="1:2">
      <c r="A265" s="22">
        <v>3786492</v>
      </c>
      <c r="B265" s="22"/>
    </row>
    <row r="266" spans="1:2">
      <c r="A266" s="22">
        <v>3786492</v>
      </c>
      <c r="B266" s="22"/>
    </row>
    <row r="267" spans="1:2">
      <c r="A267" s="22">
        <v>3786496</v>
      </c>
      <c r="B267" s="22"/>
    </row>
    <row r="268" spans="1:2">
      <c r="A268" s="22">
        <v>3786496</v>
      </c>
      <c r="B268" s="22"/>
    </row>
    <row r="269" spans="1:2">
      <c r="A269" s="22">
        <v>3786502</v>
      </c>
      <c r="B269" s="22"/>
    </row>
    <row r="270" spans="1:2">
      <c r="A270" s="22">
        <v>3786513</v>
      </c>
      <c r="B270" s="22"/>
    </row>
    <row r="271" spans="1:2">
      <c r="A271" s="22">
        <v>3786513</v>
      </c>
      <c r="B271" s="22"/>
    </row>
    <row r="272" spans="1:2">
      <c r="A272" s="22">
        <v>3786514</v>
      </c>
      <c r="B272" s="22"/>
    </row>
    <row r="273" spans="1:2">
      <c r="A273" s="22">
        <v>3786523</v>
      </c>
      <c r="B273" s="22"/>
    </row>
    <row r="274" spans="1:2">
      <c r="A274" s="22">
        <v>3786528</v>
      </c>
      <c r="B274" s="22"/>
    </row>
    <row r="275" spans="1:2">
      <c r="A275" s="22">
        <v>3786529</v>
      </c>
      <c r="B275" s="22"/>
    </row>
    <row r="276" spans="1:2">
      <c r="A276" s="22">
        <v>3786529</v>
      </c>
      <c r="B276" s="22"/>
    </row>
    <row r="277" spans="1:2">
      <c r="A277" s="22">
        <v>3786532</v>
      </c>
      <c r="B277" s="22"/>
    </row>
    <row r="278" spans="1:2">
      <c r="A278" s="22">
        <v>3786532</v>
      </c>
      <c r="B278" s="22"/>
    </row>
    <row r="279" spans="1:2">
      <c r="A279" s="22">
        <v>3786535</v>
      </c>
      <c r="B279" s="22"/>
    </row>
    <row r="280" spans="1:2">
      <c r="A280" s="22">
        <v>3786541</v>
      </c>
      <c r="B280" s="22"/>
    </row>
    <row r="281" spans="1:2">
      <c r="A281" s="22">
        <v>3786543</v>
      </c>
      <c r="B281" s="22"/>
    </row>
    <row r="282" spans="1:2">
      <c r="A282" s="22">
        <v>3786547</v>
      </c>
      <c r="B282" s="22"/>
    </row>
    <row r="283" spans="1:2">
      <c r="A283" s="22">
        <v>3786551</v>
      </c>
      <c r="B283" s="22"/>
    </row>
    <row r="284" spans="1:2">
      <c r="A284" s="22">
        <v>3786364</v>
      </c>
      <c r="B284" s="22">
        <v>16</v>
      </c>
    </row>
    <row r="285" spans="1:2">
      <c r="A285" s="22">
        <v>3786486</v>
      </c>
      <c r="B285" s="22">
        <v>20</v>
      </c>
    </row>
    <row r="286" spans="1:2">
      <c r="A286" s="22">
        <v>3786489</v>
      </c>
      <c r="B286" s="22">
        <v>-26</v>
      </c>
    </row>
    <row r="287" spans="1:2">
      <c r="A287" s="22">
        <v>3786489</v>
      </c>
      <c r="B287" s="22">
        <v>-26</v>
      </c>
    </row>
    <row r="288" spans="1:2">
      <c r="A288" s="22">
        <v>3786493</v>
      </c>
      <c r="B288" s="22">
        <v>7</v>
      </c>
    </row>
    <row r="289" spans="1:2">
      <c r="A289" s="22">
        <v>3786493</v>
      </c>
      <c r="B289" s="22">
        <v>7</v>
      </c>
    </row>
    <row r="290" spans="1:2">
      <c r="A290" s="22">
        <v>3786497</v>
      </c>
      <c r="B290" s="22">
        <v>-1</v>
      </c>
    </row>
    <row r="291" spans="1:2">
      <c r="A291" s="22">
        <v>3786497</v>
      </c>
      <c r="B291" s="22">
        <v>-1</v>
      </c>
    </row>
    <row r="292" spans="1:2">
      <c r="A292" s="22">
        <v>3786505</v>
      </c>
      <c r="B292" s="22">
        <v>8</v>
      </c>
    </row>
    <row r="293" spans="1:2">
      <c r="A293" s="22">
        <v>3786530</v>
      </c>
      <c r="B293" s="22">
        <v>5</v>
      </c>
    </row>
    <row r="294" spans="1:2">
      <c r="A294" s="22">
        <v>3786530</v>
      </c>
      <c r="B294" s="22">
        <v>5</v>
      </c>
    </row>
    <row r="295" spans="1:2">
      <c r="A295" s="22">
        <v>3786533</v>
      </c>
      <c r="B295" s="22">
        <v>-3</v>
      </c>
    </row>
    <row r="296" spans="1:2">
      <c r="A296" s="22">
        <v>3786533</v>
      </c>
      <c r="B296" s="22">
        <v>-3</v>
      </c>
    </row>
    <row r="297" spans="1:2">
      <c r="A297" s="22">
        <v>3786533</v>
      </c>
      <c r="B297" s="22">
        <v>-3</v>
      </c>
    </row>
    <row r="298" spans="1:2">
      <c r="A298" s="22">
        <v>3786536</v>
      </c>
      <c r="B298" s="22">
        <v>16</v>
      </c>
    </row>
    <row r="299" spans="1:2">
      <c r="A299" s="22">
        <v>3786538</v>
      </c>
      <c r="B299" s="22">
        <v>5</v>
      </c>
    </row>
    <row r="300" spans="1:2">
      <c r="A300" s="22">
        <v>3786549</v>
      </c>
      <c r="B300" s="22">
        <v>24</v>
      </c>
    </row>
    <row r="301" spans="1:2">
      <c r="A301" s="22">
        <v>3786554</v>
      </c>
      <c r="B301" s="22">
        <v>53</v>
      </c>
    </row>
    <row r="302" spans="1:2">
      <c r="A302" s="22">
        <v>3786554</v>
      </c>
      <c r="B302" s="22">
        <v>53</v>
      </c>
    </row>
    <row r="303" spans="1:2">
      <c r="A303" s="22">
        <v>3786563</v>
      </c>
      <c r="B303" s="22">
        <v>10</v>
      </c>
    </row>
    <row r="304" spans="1:2">
      <c r="A304" s="22">
        <v>3786564</v>
      </c>
      <c r="B304" s="22">
        <v>-20</v>
      </c>
    </row>
    <row r="305" spans="1:2">
      <c r="A305" s="22">
        <v>3786565</v>
      </c>
      <c r="B305" s="22">
        <v>-30</v>
      </c>
    </row>
    <row r="306" spans="1:2">
      <c r="A306" s="22">
        <v>3786587</v>
      </c>
      <c r="B306" s="22">
        <v>8</v>
      </c>
    </row>
    <row r="307" spans="1:2">
      <c r="A307" s="22">
        <v>3786588</v>
      </c>
      <c r="B307" s="22">
        <v>3</v>
      </c>
    </row>
    <row r="308" spans="1:2">
      <c r="A308" s="22">
        <v>3786589</v>
      </c>
      <c r="B308" s="22">
        <v>29</v>
      </c>
    </row>
    <row r="309" spans="1:2">
      <c r="A309" s="22">
        <v>3786599</v>
      </c>
      <c r="B309" s="22">
        <v>-44</v>
      </c>
    </row>
    <row r="310" spans="1:2">
      <c r="A310" s="22">
        <v>3786490</v>
      </c>
      <c r="B310" s="22">
        <v>-26</v>
      </c>
    </row>
    <row r="311" spans="1:2">
      <c r="A311" s="22">
        <v>3786494</v>
      </c>
      <c r="B311" s="22">
        <v>7</v>
      </c>
    </row>
    <row r="312" spans="1:2">
      <c r="A312" s="22">
        <v>3786494</v>
      </c>
      <c r="B312" s="22">
        <v>7</v>
      </c>
    </row>
    <row r="313" spans="1:2">
      <c r="A313" s="22">
        <v>3786498</v>
      </c>
      <c r="B313" s="22">
        <v>-1</v>
      </c>
    </row>
    <row r="314" spans="1:2">
      <c r="A314" s="22">
        <v>3786498</v>
      </c>
      <c r="B314" s="22">
        <v>-1</v>
      </c>
    </row>
    <row r="315" spans="1:2">
      <c r="A315" s="22">
        <v>3786506</v>
      </c>
      <c r="B315" s="22">
        <v>8</v>
      </c>
    </row>
    <row r="316" spans="1:2">
      <c r="A316" s="22">
        <v>3786539</v>
      </c>
      <c r="B316" s="22">
        <v>5</v>
      </c>
    </row>
    <row r="317" spans="1:2">
      <c r="A317" s="22">
        <v>3786555</v>
      </c>
      <c r="B317" s="22">
        <v>53</v>
      </c>
    </row>
    <row r="318" spans="1:2">
      <c r="A318" s="22">
        <v>3786555</v>
      </c>
      <c r="B318" s="22">
        <v>53</v>
      </c>
    </row>
    <row r="319" spans="1:2">
      <c r="A319" s="22">
        <v>3786555</v>
      </c>
      <c r="B319" s="22">
        <v>53</v>
      </c>
    </row>
    <row r="320" spans="1:2">
      <c r="A320" s="22">
        <v>3786566</v>
      </c>
      <c r="B320" s="22">
        <v>-30</v>
      </c>
    </row>
    <row r="321" spans="1:2">
      <c r="A321" s="22">
        <v>3786567</v>
      </c>
      <c r="B321" s="22">
        <v>8</v>
      </c>
    </row>
    <row r="322" spans="1:2">
      <c r="A322" s="22">
        <v>3786567</v>
      </c>
      <c r="B322" s="22">
        <v>8</v>
      </c>
    </row>
    <row r="323" spans="1:2">
      <c r="A323" s="22">
        <v>3786584</v>
      </c>
      <c r="B323" s="22">
        <v>-78</v>
      </c>
    </row>
    <row r="324" spans="1:2">
      <c r="A324" s="22">
        <v>3786591</v>
      </c>
      <c r="B324" s="22">
        <v>0</v>
      </c>
    </row>
    <row r="325" spans="1:2">
      <c r="A325" s="22">
        <v>3786622</v>
      </c>
      <c r="B325" s="22">
        <v>0</v>
      </c>
    </row>
    <row r="326" spans="1:2">
      <c r="A326" s="22">
        <v>3786622</v>
      </c>
      <c r="B326" s="22">
        <v>0</v>
      </c>
    </row>
    <row r="327" spans="1:2">
      <c r="A327" s="22">
        <v>3786624</v>
      </c>
      <c r="B327" s="22">
        <v>15</v>
      </c>
    </row>
    <row r="328" spans="1:2">
      <c r="A328" s="22">
        <v>3786626</v>
      </c>
      <c r="B328" s="22">
        <v>8</v>
      </c>
    </row>
    <row r="329" spans="1:2">
      <c r="A329" s="22">
        <v>3786626</v>
      </c>
      <c r="B329" s="22">
        <v>8</v>
      </c>
    </row>
    <row r="330" spans="1:2">
      <c r="A330" s="22">
        <v>3786487</v>
      </c>
      <c r="B330" s="22">
        <v>20</v>
      </c>
    </row>
    <row r="331" spans="1:2">
      <c r="A331" s="22">
        <v>3786491</v>
      </c>
      <c r="B331" s="22">
        <v>-26</v>
      </c>
    </row>
    <row r="332" spans="1:2">
      <c r="A332" s="22">
        <v>3786491</v>
      </c>
      <c r="B332" s="22">
        <v>-26</v>
      </c>
    </row>
    <row r="333" spans="1:2">
      <c r="A333" s="22">
        <v>3786491</v>
      </c>
      <c r="B333" s="22">
        <v>-26</v>
      </c>
    </row>
    <row r="334" spans="1:2">
      <c r="A334" s="22">
        <v>3786507</v>
      </c>
      <c r="B334" s="22">
        <v>8</v>
      </c>
    </row>
    <row r="335" spans="1:2">
      <c r="A335" s="22">
        <v>3786545</v>
      </c>
      <c r="B335" s="22">
        <v>16</v>
      </c>
    </row>
    <row r="336" spans="1:2">
      <c r="A336" s="22">
        <v>3786546</v>
      </c>
      <c r="B336" s="22">
        <v>16</v>
      </c>
    </row>
    <row r="337" spans="1:2">
      <c r="A337" s="22">
        <v>3786550</v>
      </c>
      <c r="B337" s="22">
        <v>24</v>
      </c>
    </row>
    <row r="338" spans="1:2">
      <c r="A338" s="22">
        <v>3786556</v>
      </c>
      <c r="B338" s="22">
        <v>58</v>
      </c>
    </row>
    <row r="339" spans="1:2">
      <c r="A339" s="22">
        <v>3786556</v>
      </c>
      <c r="B339" s="22">
        <v>58</v>
      </c>
    </row>
    <row r="340" spans="1:2">
      <c r="A340" s="22">
        <v>3786556</v>
      </c>
      <c r="B340" s="22">
        <v>58</v>
      </c>
    </row>
    <row r="341" spans="1:2">
      <c r="A341" s="22">
        <v>3786568</v>
      </c>
      <c r="B341" s="22">
        <v>8</v>
      </c>
    </row>
    <row r="342" spans="1:2">
      <c r="A342" s="22">
        <v>3786571</v>
      </c>
      <c r="B342" s="22">
        <v>25</v>
      </c>
    </row>
    <row r="343" spans="1:2">
      <c r="A343" s="22">
        <v>3786573</v>
      </c>
      <c r="B343" s="22">
        <v>-26</v>
      </c>
    </row>
    <row r="344" spans="1:2">
      <c r="A344" s="22">
        <v>3786575</v>
      </c>
      <c r="B344" s="22">
        <v>-4</v>
      </c>
    </row>
    <row r="345" spans="1:2">
      <c r="A345" s="22">
        <v>3786575</v>
      </c>
      <c r="B345" s="22">
        <v>-4</v>
      </c>
    </row>
    <row r="346" spans="1:2">
      <c r="A346" s="22">
        <v>3786585</v>
      </c>
      <c r="B346" s="22">
        <v>-78</v>
      </c>
    </row>
    <row r="347" spans="1:2">
      <c r="A347" s="22">
        <v>3786590</v>
      </c>
      <c r="B347" s="22">
        <v>57</v>
      </c>
    </row>
    <row r="348" spans="1:2">
      <c r="A348" s="22">
        <v>3786592</v>
      </c>
      <c r="B348" s="22">
        <v>77</v>
      </c>
    </row>
    <row r="349" spans="1:2">
      <c r="A349" s="22">
        <v>3786592</v>
      </c>
      <c r="B349" s="22">
        <v>77</v>
      </c>
    </row>
    <row r="350" spans="1:2">
      <c r="A350" s="22">
        <v>3786593</v>
      </c>
      <c r="B350" s="22">
        <v>77</v>
      </c>
    </row>
    <row r="351" spans="1:2">
      <c r="A351" s="22">
        <v>3786596</v>
      </c>
      <c r="B351" s="22">
        <v>-25</v>
      </c>
    </row>
    <row r="352" spans="1:2">
      <c r="A352" s="22">
        <v>3786600</v>
      </c>
      <c r="B352" s="22">
        <v>-44</v>
      </c>
    </row>
    <row r="353" spans="1:2">
      <c r="A353" s="22">
        <v>3786615</v>
      </c>
      <c r="B353" s="22">
        <v>8</v>
      </c>
    </row>
    <row r="354" spans="1:2">
      <c r="A354" s="22">
        <v>3786616</v>
      </c>
      <c r="B354" s="22">
        <v>10</v>
      </c>
    </row>
    <row r="355" spans="1:2">
      <c r="A355" s="22">
        <v>3786619</v>
      </c>
      <c r="B355" s="22">
        <v>42</v>
      </c>
    </row>
    <row r="356" spans="1:2">
      <c r="A356" s="22">
        <v>3786619</v>
      </c>
      <c r="B356" s="22">
        <v>42</v>
      </c>
    </row>
    <row r="357" spans="1:2">
      <c r="A357" s="22">
        <v>3786619</v>
      </c>
      <c r="B357" s="22">
        <v>42</v>
      </c>
    </row>
    <row r="358" spans="1:2">
      <c r="A358" s="22">
        <v>3786619</v>
      </c>
      <c r="B358" s="22">
        <v>42</v>
      </c>
    </row>
    <row r="359" spans="1:2">
      <c r="A359" s="22">
        <v>3786619</v>
      </c>
      <c r="B359" s="22">
        <v>42</v>
      </c>
    </row>
    <row r="360" spans="1:2">
      <c r="A360" s="22">
        <v>3786623</v>
      </c>
      <c r="B360" s="22">
        <v>6</v>
      </c>
    </row>
    <row r="361" spans="1:2">
      <c r="A361" s="22">
        <v>3786652</v>
      </c>
      <c r="B361" s="22">
        <v>-20</v>
      </c>
    </row>
    <row r="362" spans="1:2">
      <c r="A362" s="22">
        <v>3786673</v>
      </c>
      <c r="B362" s="22">
        <v>59</v>
      </c>
    </row>
    <row r="363" spans="1:2">
      <c r="A363" s="22">
        <v>3786698</v>
      </c>
      <c r="B363" s="22">
        <v>30</v>
      </c>
    </row>
    <row r="364" spans="1:2">
      <c r="A364" s="22">
        <v>3786699</v>
      </c>
      <c r="B364" s="22">
        <v>15</v>
      </c>
    </row>
    <row r="365" spans="1:2">
      <c r="A365" s="22">
        <v>3786711</v>
      </c>
      <c r="B365" s="22">
        <v>44</v>
      </c>
    </row>
    <row r="366" spans="1:2">
      <c r="A366" s="22">
        <v>3786712</v>
      </c>
      <c r="B366" s="22">
        <v>38</v>
      </c>
    </row>
    <row r="367" spans="1:2">
      <c r="A367" s="22">
        <v>3786720</v>
      </c>
      <c r="B367" s="22">
        <v>-35</v>
      </c>
    </row>
    <row r="368" spans="1:2">
      <c r="A368" s="22">
        <v>3786722</v>
      </c>
      <c r="B368" s="22">
        <v>-7</v>
      </c>
    </row>
    <row r="369" spans="1:2">
      <c r="A369" s="22">
        <v>3786722</v>
      </c>
      <c r="B369" s="22">
        <v>-7</v>
      </c>
    </row>
    <row r="370" spans="1:2">
      <c r="A370" s="22">
        <v>3786724</v>
      </c>
      <c r="B370" s="22">
        <v>15</v>
      </c>
    </row>
    <row r="371" spans="1:2">
      <c r="A371" s="22">
        <v>3786876</v>
      </c>
      <c r="B371" s="22">
        <v>-87</v>
      </c>
    </row>
    <row r="372" spans="1:2">
      <c r="A372" s="22">
        <v>3786768</v>
      </c>
      <c r="B372" s="22">
        <v>-45</v>
      </c>
    </row>
    <row r="373" spans="1:2">
      <c r="A373" s="22">
        <v>3786860</v>
      </c>
      <c r="B373" s="22">
        <v>-9</v>
      </c>
    </row>
    <row r="374" spans="1:2">
      <c r="A374" s="22">
        <v>3786508</v>
      </c>
      <c r="B374" s="22">
        <v>8</v>
      </c>
    </row>
    <row r="375" spans="1:2">
      <c r="A375" s="22">
        <v>3786544</v>
      </c>
      <c r="B375" s="22">
        <v>16</v>
      </c>
    </row>
    <row r="376" spans="1:2">
      <c r="A376" s="22">
        <v>3786569</v>
      </c>
      <c r="B376" s="22">
        <v>8</v>
      </c>
    </row>
    <row r="377" spans="1:2">
      <c r="A377" s="22">
        <v>3786574</v>
      </c>
      <c r="B377" s="22">
        <v>-26</v>
      </c>
    </row>
    <row r="378" spans="1:2">
      <c r="A378" s="22">
        <v>3786576</v>
      </c>
      <c r="B378" s="22">
        <v>-4</v>
      </c>
    </row>
    <row r="379" spans="1:2">
      <c r="A379" s="22">
        <v>3786576</v>
      </c>
      <c r="B379" s="22">
        <v>-4</v>
      </c>
    </row>
    <row r="380" spans="1:2">
      <c r="A380" s="22">
        <v>3786586</v>
      </c>
      <c r="B380" s="22">
        <v>-78</v>
      </c>
    </row>
    <row r="381" spans="1:2">
      <c r="A381" s="22">
        <v>3786597</v>
      </c>
      <c r="B381" s="22">
        <v>-25</v>
      </c>
    </row>
    <row r="382" spans="1:2">
      <c r="A382" s="22">
        <v>3786617</v>
      </c>
      <c r="B382" s="22">
        <v>10</v>
      </c>
    </row>
    <row r="383" spans="1:2">
      <c r="A383" s="22">
        <v>3786620</v>
      </c>
      <c r="B383" s="22">
        <v>42</v>
      </c>
    </row>
    <row r="384" spans="1:2">
      <c r="A384" s="22">
        <v>3786620</v>
      </c>
      <c r="B384" s="22">
        <v>42</v>
      </c>
    </row>
    <row r="385" spans="1:2">
      <c r="A385" s="22">
        <v>3786620</v>
      </c>
      <c r="B385" s="22">
        <v>42</v>
      </c>
    </row>
    <row r="386" spans="1:2">
      <c r="A386" s="22">
        <v>3786625</v>
      </c>
      <c r="B386" s="22">
        <v>5</v>
      </c>
    </row>
    <row r="387" spans="1:2">
      <c r="A387" s="22">
        <v>3786700</v>
      </c>
      <c r="B387" s="22">
        <v>15</v>
      </c>
    </row>
    <row r="388" spans="1:2">
      <c r="A388" s="22">
        <v>3786709</v>
      </c>
      <c r="B388" s="22">
        <v>10</v>
      </c>
    </row>
    <row r="389" spans="1:2">
      <c r="A389" s="22">
        <v>3786721</v>
      </c>
      <c r="B389" s="22">
        <v>-12</v>
      </c>
    </row>
    <row r="390" spans="1:2">
      <c r="A390" s="22">
        <v>3786723</v>
      </c>
      <c r="B390" s="22">
        <v>-30</v>
      </c>
    </row>
    <row r="391" spans="1:2">
      <c r="A391" s="22">
        <v>3786725</v>
      </c>
      <c r="B391" s="22">
        <v>15</v>
      </c>
    </row>
    <row r="392" spans="1:2">
      <c r="A392" s="22">
        <v>3786769</v>
      </c>
      <c r="B392" s="22">
        <v>-45</v>
      </c>
    </row>
    <row r="393" spans="1:2">
      <c r="A393" s="22">
        <v>3786770</v>
      </c>
      <c r="B393" s="22">
        <v>15</v>
      </c>
    </row>
    <row r="394" spans="1:2">
      <c r="A394" s="22">
        <v>3786829</v>
      </c>
      <c r="B394" s="22">
        <v>-90</v>
      </c>
    </row>
    <row r="395" spans="1:2">
      <c r="A395" s="22">
        <v>3786849</v>
      </c>
      <c r="B395" s="22">
        <v>-48</v>
      </c>
    </row>
    <row r="396" spans="1:2">
      <c r="A396" s="22">
        <v>3786852</v>
      </c>
      <c r="B396" s="22">
        <v>-44</v>
      </c>
    </row>
    <row r="397" spans="1:2">
      <c r="A397" s="22">
        <v>3786853</v>
      </c>
      <c r="B397" s="22">
        <v>-11</v>
      </c>
    </row>
    <row r="398" spans="1:2">
      <c r="A398" s="22">
        <v>3786853</v>
      </c>
      <c r="B398" s="22">
        <v>-11</v>
      </c>
    </row>
    <row r="399" spans="1:2">
      <c r="A399" s="22">
        <v>3786857</v>
      </c>
      <c r="B399" s="22">
        <v>6</v>
      </c>
    </row>
    <row r="400" spans="1:2">
      <c r="A400" s="22">
        <v>3786875</v>
      </c>
      <c r="B400" s="22">
        <v>-204</v>
      </c>
    </row>
    <row r="401" spans="1:2">
      <c r="A401" s="22">
        <v>3786877</v>
      </c>
      <c r="B401" s="22">
        <v>-201</v>
      </c>
    </row>
    <row r="402" spans="1:2">
      <c r="A402" s="22">
        <v>3786887</v>
      </c>
      <c r="B402" s="22">
        <v>47</v>
      </c>
    </row>
    <row r="403" spans="1:2">
      <c r="A403" s="22">
        <v>3786892</v>
      </c>
      <c r="B403" s="22">
        <v>5</v>
      </c>
    </row>
    <row r="404" spans="1:2">
      <c r="A404" s="22">
        <v>3786883</v>
      </c>
      <c r="B404" s="22">
        <v>-45</v>
      </c>
    </row>
    <row r="405" spans="1:2">
      <c r="A405" s="22">
        <v>3786889</v>
      </c>
      <c r="B405" s="22">
        <v>19</v>
      </c>
    </row>
    <row r="406" spans="1:2">
      <c r="A406" s="22">
        <v>3786509</v>
      </c>
      <c r="B406" s="22">
        <v>18</v>
      </c>
    </row>
    <row r="407" spans="1:2">
      <c r="A407" s="22">
        <v>3786510</v>
      </c>
      <c r="B407" s="22">
        <v>8</v>
      </c>
    </row>
    <row r="408" spans="1:2">
      <c r="A408" s="22">
        <v>3786515</v>
      </c>
      <c r="B408" s="22">
        <v>8</v>
      </c>
    </row>
    <row r="409" spans="1:2">
      <c r="A409" s="22">
        <v>3786553</v>
      </c>
      <c r="B409" s="22">
        <v>28</v>
      </c>
    </row>
    <row r="410" spans="1:2">
      <c r="A410" s="22">
        <v>3786570</v>
      </c>
      <c r="B410" s="22">
        <v>8</v>
      </c>
    </row>
    <row r="411" spans="1:2">
      <c r="A411" s="22">
        <v>3786598</v>
      </c>
      <c r="B411" s="22">
        <v>-25</v>
      </c>
    </row>
    <row r="412" spans="1:2">
      <c r="A412" s="22">
        <v>3786598</v>
      </c>
      <c r="B412" s="22">
        <v>-25</v>
      </c>
    </row>
    <row r="413" spans="1:2">
      <c r="A413" s="22">
        <v>3786618</v>
      </c>
      <c r="B413" s="22">
        <v>10</v>
      </c>
    </row>
    <row r="414" spans="1:2">
      <c r="A414" s="22">
        <v>3786621</v>
      </c>
      <c r="B414" s="22">
        <v>42</v>
      </c>
    </row>
    <row r="415" spans="1:2">
      <c r="A415" s="22">
        <v>3786621</v>
      </c>
      <c r="B415" s="22">
        <v>42</v>
      </c>
    </row>
    <row r="416" spans="1:2">
      <c r="A416" s="22">
        <v>3786644</v>
      </c>
      <c r="B416" s="22">
        <v>15</v>
      </c>
    </row>
    <row r="417" spans="1:2">
      <c r="A417" s="22">
        <v>3786651</v>
      </c>
      <c r="B417" s="22">
        <v>8</v>
      </c>
    </row>
    <row r="418" spans="1:2">
      <c r="A418" s="22">
        <v>3786760</v>
      </c>
      <c r="B418" s="22">
        <v>-30</v>
      </c>
    </row>
    <row r="419" spans="1:2">
      <c r="A419" s="22">
        <v>3786761</v>
      </c>
      <c r="B419" s="22">
        <v>-30</v>
      </c>
    </row>
    <row r="420" spans="1:2">
      <c r="A420" s="22">
        <v>3786827</v>
      </c>
      <c r="B420" s="22">
        <v>-38</v>
      </c>
    </row>
    <row r="421" spans="1:2">
      <c r="A421" s="22">
        <v>3786865</v>
      </c>
      <c r="B421" s="22">
        <v>-15</v>
      </c>
    </row>
    <row r="422" spans="1:2">
      <c r="A422" s="22">
        <v>3786872</v>
      </c>
      <c r="B422" s="22">
        <v>-4</v>
      </c>
    </row>
    <row r="423" spans="1:2">
      <c r="A423" s="22">
        <v>3786874</v>
      </c>
      <c r="B423" s="22">
        <v>2</v>
      </c>
    </row>
    <row r="424" spans="1:2">
      <c r="A424" s="22">
        <v>3786882</v>
      </c>
      <c r="B424" s="22">
        <v>-94</v>
      </c>
    </row>
    <row r="425" spans="1:2">
      <c r="A425" s="22">
        <v>3786888</v>
      </c>
      <c r="B425" s="22">
        <v>15</v>
      </c>
    </row>
    <row r="426" spans="1:2">
      <c r="A426" s="22">
        <v>3786893</v>
      </c>
      <c r="B426" s="22">
        <v>42</v>
      </c>
    </row>
    <row r="427" spans="1:2">
      <c r="A427" s="22">
        <v>3786900</v>
      </c>
      <c r="B427" s="22">
        <v>40</v>
      </c>
    </row>
    <row r="428" spans="1:2">
      <c r="A428" s="22">
        <v>3786901</v>
      </c>
      <c r="B428" s="22">
        <v>-49</v>
      </c>
    </row>
    <row r="429" spans="1:2">
      <c r="A429" s="22">
        <v>3786902</v>
      </c>
      <c r="B429" s="22">
        <v>41</v>
      </c>
    </row>
    <row r="430" spans="1:2">
      <c r="A430" s="22">
        <v>3786909</v>
      </c>
      <c r="B430" s="22">
        <v>-186</v>
      </c>
    </row>
    <row r="431" spans="1:2">
      <c r="A431" s="22">
        <v>3786909</v>
      </c>
      <c r="B431" s="22">
        <v>-186</v>
      </c>
    </row>
    <row r="432" spans="1:2">
      <c r="A432" s="22">
        <v>3786914</v>
      </c>
      <c r="B432" s="22">
        <v>-52</v>
      </c>
    </row>
    <row r="433" spans="1:2">
      <c r="A433" s="22">
        <v>3786511</v>
      </c>
      <c r="B433" s="22">
        <v>8</v>
      </c>
    </row>
    <row r="434" spans="1:2">
      <c r="A434" s="22">
        <v>3786645</v>
      </c>
      <c r="B434" s="22">
        <v>15</v>
      </c>
    </row>
    <row r="435" spans="1:2">
      <c r="A435" s="22">
        <v>3786645</v>
      </c>
      <c r="B435" s="22">
        <v>15</v>
      </c>
    </row>
    <row r="436" spans="1:2">
      <c r="A436" s="22">
        <v>3786762</v>
      </c>
      <c r="B436" s="22">
        <v>-30</v>
      </c>
    </row>
    <row r="437" spans="1:2">
      <c r="A437" s="22">
        <v>3786763</v>
      </c>
      <c r="B437" s="22">
        <v>-30</v>
      </c>
    </row>
    <row r="438" spans="1:2">
      <c r="A438" s="22">
        <v>3786828</v>
      </c>
      <c r="B438" s="22">
        <v>-38</v>
      </c>
    </row>
    <row r="439" spans="1:2">
      <c r="A439" s="22">
        <v>3786846</v>
      </c>
      <c r="B439" s="22">
        <v>-37</v>
      </c>
    </row>
    <row r="440" spans="1:2">
      <c r="A440" s="22">
        <v>3786850</v>
      </c>
      <c r="B440" s="22">
        <v>-43</v>
      </c>
    </row>
    <row r="441" spans="1:2">
      <c r="A441" s="22">
        <v>3786864</v>
      </c>
      <c r="B441" s="22">
        <v>-39</v>
      </c>
    </row>
    <row r="442" spans="1:2">
      <c r="A442" s="22">
        <v>3786864</v>
      </c>
      <c r="B442" s="22">
        <v>-39</v>
      </c>
    </row>
    <row r="443" spans="1:2">
      <c r="A443" s="22">
        <v>3786866</v>
      </c>
      <c r="B443" s="22">
        <v>-15</v>
      </c>
    </row>
    <row r="444" spans="1:2">
      <c r="A444" s="22">
        <v>3786867</v>
      </c>
      <c r="B444" s="22">
        <v>-18</v>
      </c>
    </row>
    <row r="445" spans="1:2">
      <c r="A445" s="22">
        <v>3786867</v>
      </c>
      <c r="B445" s="22">
        <v>-18</v>
      </c>
    </row>
    <row r="446" spans="1:2">
      <c r="A446" s="22">
        <v>3786867</v>
      </c>
      <c r="B446" s="22">
        <v>-18</v>
      </c>
    </row>
    <row r="447" spans="1:2">
      <c r="A447" s="22">
        <v>3786867</v>
      </c>
      <c r="B447" s="22">
        <v>-18</v>
      </c>
    </row>
    <row r="448" spans="1:2">
      <c r="A448" s="22">
        <v>3786873</v>
      </c>
      <c r="B448" s="22">
        <v>23</v>
      </c>
    </row>
    <row r="449" spans="1:2">
      <c r="A449" s="22">
        <v>3786894</v>
      </c>
      <c r="B449" s="22">
        <v>-75</v>
      </c>
    </row>
    <row r="450" spans="1:2">
      <c r="A450" s="22">
        <v>3786915</v>
      </c>
      <c r="B450" s="22">
        <v>6</v>
      </c>
    </row>
    <row r="451" spans="1:2">
      <c r="A451" s="22">
        <v>3786919</v>
      </c>
      <c r="B451" s="22">
        <v>-195</v>
      </c>
    </row>
    <row r="452" spans="1:2">
      <c r="A452" s="22">
        <v>3786920</v>
      </c>
      <c r="B452" s="22">
        <v>-197</v>
      </c>
    </row>
    <row r="453" spans="1:2">
      <c r="A453" s="22">
        <v>3786923</v>
      </c>
      <c r="B453" s="22">
        <v>-58</v>
      </c>
    </row>
    <row r="454" spans="1:2">
      <c r="A454" s="22">
        <v>3786572</v>
      </c>
      <c r="B454" s="22">
        <v>25</v>
      </c>
    </row>
    <row r="455" spans="1:2">
      <c r="A455" s="22">
        <v>3786646</v>
      </c>
      <c r="B455" s="22">
        <v>15</v>
      </c>
    </row>
    <row r="456" spans="1:2">
      <c r="A456" s="22">
        <v>3786646</v>
      </c>
      <c r="B456" s="22">
        <v>15</v>
      </c>
    </row>
    <row r="457" spans="1:2">
      <c r="A457" s="22">
        <v>3786713</v>
      </c>
      <c r="B457" s="22">
        <v>5</v>
      </c>
    </row>
    <row r="458" spans="1:2">
      <c r="A458" s="22">
        <v>3786824</v>
      </c>
      <c r="B458" s="22">
        <v>5</v>
      </c>
    </row>
    <row r="459" spans="1:2">
      <c r="A459" s="22">
        <v>3786851</v>
      </c>
      <c r="B459" s="22">
        <v>-95</v>
      </c>
    </row>
    <row r="460" spans="1:2">
      <c r="A460" s="22">
        <v>3786855</v>
      </c>
      <c r="B460" s="22">
        <v>-32</v>
      </c>
    </row>
    <row r="461" spans="1:2">
      <c r="A461" s="22">
        <v>3786878</v>
      </c>
      <c r="B461" s="22">
        <v>-100</v>
      </c>
    </row>
    <row r="462" spans="1:2">
      <c r="A462" s="22">
        <v>3786885</v>
      </c>
      <c r="B462" s="22">
        <v>-55</v>
      </c>
    </row>
    <row r="463" spans="1:2">
      <c r="A463" s="22">
        <v>3786895</v>
      </c>
      <c r="B463" s="22">
        <v>-75</v>
      </c>
    </row>
    <row r="464" spans="1:2">
      <c r="A464" s="22">
        <v>3786913</v>
      </c>
      <c r="B464" s="22">
        <v>-69</v>
      </c>
    </row>
    <row r="465" spans="1:2">
      <c r="A465" s="22">
        <v>3786931</v>
      </c>
      <c r="B465" s="22">
        <v>-48</v>
      </c>
    </row>
    <row r="466" spans="1:2">
      <c r="A466" s="22">
        <v>3786512</v>
      </c>
      <c r="B466" s="22">
        <v>18</v>
      </c>
    </row>
    <row r="467" spans="1:2">
      <c r="A467" s="22">
        <v>3786647</v>
      </c>
      <c r="B467" s="22">
        <v>15</v>
      </c>
    </row>
    <row r="468" spans="1:2">
      <c r="A468" s="22">
        <v>3786647</v>
      </c>
      <c r="B468" s="22">
        <v>15</v>
      </c>
    </row>
    <row r="469" spans="1:2">
      <c r="A469" s="22">
        <v>3786856</v>
      </c>
      <c r="B469" s="22">
        <v>-32</v>
      </c>
    </row>
    <row r="470" spans="1:2">
      <c r="A470" s="22">
        <v>3786856</v>
      </c>
      <c r="B470" s="22">
        <v>-32</v>
      </c>
    </row>
    <row r="471" spans="1:2">
      <c r="A471" s="22">
        <v>3786879</v>
      </c>
      <c r="B471" s="22">
        <v>-100</v>
      </c>
    </row>
    <row r="472" spans="1:2">
      <c r="A472" s="22">
        <v>3786886</v>
      </c>
      <c r="B472" s="22">
        <v>-55</v>
      </c>
    </row>
    <row r="473" spans="1:2">
      <c r="A473" s="22">
        <v>3786930</v>
      </c>
      <c r="B473" s="22">
        <v>-7</v>
      </c>
    </row>
    <row r="474" spans="1:2">
      <c r="A474" s="22">
        <v>3786934</v>
      </c>
      <c r="B474" s="22">
        <v>40</v>
      </c>
    </row>
    <row r="475" spans="1:2">
      <c r="A475" s="22">
        <v>3786935</v>
      </c>
      <c r="B475" s="22">
        <v>42</v>
      </c>
    </row>
    <row r="476" spans="1:2">
      <c r="A476" s="22">
        <v>3786936</v>
      </c>
      <c r="B476" s="22">
        <v>30</v>
      </c>
    </row>
    <row r="477" spans="1:2">
      <c r="A477" s="22">
        <v>3786936</v>
      </c>
      <c r="B477" s="22">
        <v>30</v>
      </c>
    </row>
    <row r="478" spans="1:2">
      <c r="A478" s="22">
        <v>3786936</v>
      </c>
      <c r="B478" s="22">
        <v>30</v>
      </c>
    </row>
    <row r="479" spans="1:2">
      <c r="A479" s="22">
        <v>3786937</v>
      </c>
      <c r="B479" s="22">
        <v>-147</v>
      </c>
    </row>
    <row r="480" spans="1:2">
      <c r="A480" s="22">
        <v>3786938</v>
      </c>
      <c r="B480" s="22">
        <v>-100</v>
      </c>
    </row>
    <row r="481" spans="1:2">
      <c r="A481" s="22">
        <v>3786648</v>
      </c>
      <c r="B481" s="22">
        <v>15</v>
      </c>
    </row>
    <row r="482" spans="1:2">
      <c r="A482" s="22">
        <v>3786648</v>
      </c>
      <c r="B482" s="22">
        <v>15</v>
      </c>
    </row>
    <row r="483" spans="1:2">
      <c r="A483" s="22">
        <v>3786880</v>
      </c>
      <c r="B483" s="22">
        <v>-100</v>
      </c>
    </row>
    <row r="484" spans="1:2">
      <c r="A484" s="22">
        <v>3786922</v>
      </c>
      <c r="B484" s="22">
        <v>-116</v>
      </c>
    </row>
    <row r="485" spans="1:2">
      <c r="A485" s="22">
        <v>3786924</v>
      </c>
      <c r="B485" s="22">
        <v>41</v>
      </c>
    </row>
    <row r="486" spans="1:2">
      <c r="A486" s="22">
        <v>3786925</v>
      </c>
      <c r="B486" s="22">
        <v>35</v>
      </c>
    </row>
    <row r="487" spans="1:2">
      <c r="A487" s="22">
        <v>3786932</v>
      </c>
      <c r="B487" s="22">
        <v>-45</v>
      </c>
    </row>
    <row r="488" spans="1:2">
      <c r="A488" s="22">
        <v>3786939</v>
      </c>
      <c r="B488" s="22">
        <v>68</v>
      </c>
    </row>
    <row r="489" spans="1:2">
      <c r="A489" s="22">
        <v>3786940</v>
      </c>
      <c r="B489" s="22">
        <v>60</v>
      </c>
    </row>
    <row r="490" spans="1:2">
      <c r="A490" s="22">
        <v>3786941</v>
      </c>
      <c r="B490" s="22">
        <v>15</v>
      </c>
    </row>
    <row r="491" spans="1:2">
      <c r="A491" s="22">
        <v>3786942</v>
      </c>
      <c r="B491" s="22">
        <v>75</v>
      </c>
    </row>
    <row r="492" spans="1:2">
      <c r="A492" s="22">
        <v>3786943</v>
      </c>
      <c r="B492" s="22">
        <v>38</v>
      </c>
    </row>
    <row r="493" spans="1:2">
      <c r="A493" s="22">
        <v>3786944</v>
      </c>
      <c r="B493" s="22">
        <v>54</v>
      </c>
    </row>
    <row r="494" spans="1:2">
      <c r="A494" s="22">
        <v>3786945</v>
      </c>
      <c r="B494" s="22">
        <v>51</v>
      </c>
    </row>
    <row r="495" spans="1:2">
      <c r="A495" s="22">
        <v>3786946</v>
      </c>
      <c r="B495" s="22">
        <v>50</v>
      </c>
    </row>
    <row r="496" spans="1:2">
      <c r="A496" s="22">
        <v>3786948</v>
      </c>
      <c r="B496" s="22">
        <v>12</v>
      </c>
    </row>
    <row r="497" spans="1:2">
      <c r="A497" s="22">
        <v>3786951</v>
      </c>
      <c r="B497" s="22">
        <v>-40</v>
      </c>
    </row>
    <row r="498" spans="1:2">
      <c r="A498" s="22">
        <v>3786949</v>
      </c>
      <c r="B498" s="22">
        <v>12</v>
      </c>
    </row>
    <row r="499" spans="1:2">
      <c r="A499" s="22">
        <v>3786649</v>
      </c>
      <c r="B499" s="22">
        <v>15</v>
      </c>
    </row>
    <row r="500" spans="1:2">
      <c r="A500" s="22">
        <v>3786926</v>
      </c>
      <c r="B500" s="22">
        <v>35</v>
      </c>
    </row>
    <row r="501" spans="1:2">
      <c r="A501" s="22">
        <v>3786933</v>
      </c>
      <c r="B501" s="22">
        <v>45</v>
      </c>
    </row>
    <row r="502" spans="1:2">
      <c r="A502" s="22">
        <v>3786947</v>
      </c>
      <c r="B502" s="22">
        <v>68</v>
      </c>
    </row>
    <row r="503" spans="1:2">
      <c r="A503" s="22">
        <v>3786950</v>
      </c>
      <c r="B503" s="22">
        <v>46</v>
      </c>
    </row>
    <row r="504" spans="1:2">
      <c r="A504" s="22">
        <v>3786952</v>
      </c>
      <c r="B504" s="22">
        <v>12</v>
      </c>
    </row>
    <row r="505" spans="1:2">
      <c r="A505" s="22">
        <v>3786963</v>
      </c>
      <c r="B505" s="22">
        <v>70</v>
      </c>
    </row>
    <row r="506" spans="1:2">
      <c r="A506" s="22">
        <v>3786964</v>
      </c>
      <c r="B506" s="22">
        <v>23</v>
      </c>
    </row>
    <row r="507" spans="1:2">
      <c r="A507" s="22">
        <v>3786964</v>
      </c>
      <c r="B507" s="22">
        <v>23</v>
      </c>
    </row>
    <row r="508" spans="1:2">
      <c r="A508" s="22">
        <v>3786966</v>
      </c>
      <c r="B508" s="22">
        <v>36</v>
      </c>
    </row>
    <row r="509" spans="1:2">
      <c r="A509" s="22">
        <v>3786969</v>
      </c>
      <c r="B509" s="22">
        <v>-6</v>
      </c>
    </row>
    <row r="510" spans="1:2">
      <c r="A510" s="22">
        <v>3786970</v>
      </c>
      <c r="B510" s="22">
        <v>-1</v>
      </c>
    </row>
    <row r="511" spans="1:2">
      <c r="A511" s="22">
        <v>3786650</v>
      </c>
      <c r="B511" s="22">
        <v>15</v>
      </c>
    </row>
    <row r="512" spans="1:2">
      <c r="A512" s="22">
        <v>3786650</v>
      </c>
      <c r="B512" s="22">
        <v>15</v>
      </c>
    </row>
    <row r="513" spans="1:2">
      <c r="A513" s="22">
        <v>3786953</v>
      </c>
      <c r="B513" s="22">
        <v>52</v>
      </c>
    </row>
    <row r="514" spans="1:2">
      <c r="A514" s="22">
        <v>3786953</v>
      </c>
      <c r="B514" s="22">
        <v>52</v>
      </c>
    </row>
    <row r="515" spans="1:2">
      <c r="A515" s="22">
        <v>3786965</v>
      </c>
      <c r="B515" s="22">
        <v>23</v>
      </c>
    </row>
    <row r="516" spans="1:2">
      <c r="A516" s="22">
        <v>3786967</v>
      </c>
      <c r="B516" s="22">
        <v>36</v>
      </c>
    </row>
    <row r="517" spans="1:2">
      <c r="A517" s="22">
        <v>3786974</v>
      </c>
      <c r="B517" s="22">
        <v>15</v>
      </c>
    </row>
    <row r="518" spans="1:2">
      <c r="A518" s="22">
        <v>3786968</v>
      </c>
      <c r="B518" s="22">
        <v>10</v>
      </c>
    </row>
    <row r="519" spans="1:2">
      <c r="A519" s="22">
        <v>3786971</v>
      </c>
      <c r="B519" s="22">
        <v>11</v>
      </c>
    </row>
    <row r="520" spans="1:2">
      <c r="A520" s="22">
        <v>3786972</v>
      </c>
      <c r="B520" s="22">
        <v>40</v>
      </c>
    </row>
    <row r="521" spans="1:2">
      <c r="A521" s="22">
        <v>3786975</v>
      </c>
      <c r="B521" s="22">
        <v>-18</v>
      </c>
    </row>
    <row r="522" spans="1:2">
      <c r="A522" s="22">
        <v>3786977</v>
      </c>
      <c r="B522" s="22">
        <v>18</v>
      </c>
    </row>
    <row r="523" spans="1:2">
      <c r="A523" s="22">
        <v>3786980</v>
      </c>
      <c r="B523" s="22">
        <v>-25</v>
      </c>
    </row>
    <row r="524" spans="1:2">
      <c r="A524" s="22">
        <v>3786984</v>
      </c>
      <c r="B524" s="22">
        <v>58</v>
      </c>
    </row>
    <row r="525" spans="1:2">
      <c r="A525" s="22">
        <v>3786986</v>
      </c>
      <c r="B525" s="22">
        <v>-30</v>
      </c>
    </row>
    <row r="526" spans="1:2">
      <c r="A526" s="22">
        <v>3786987</v>
      </c>
      <c r="B526" s="22">
        <v>60</v>
      </c>
    </row>
    <row r="527" spans="1:2">
      <c r="A527" s="22">
        <v>3786991</v>
      </c>
      <c r="B527" s="22">
        <v>53</v>
      </c>
    </row>
    <row r="528" spans="1:2">
      <c r="A528" s="22">
        <v>3786991</v>
      </c>
      <c r="B528" s="22">
        <v>53</v>
      </c>
    </row>
    <row r="529" spans="1:2">
      <c r="A529" s="22">
        <v>3786995</v>
      </c>
      <c r="B529" s="22">
        <v>43</v>
      </c>
    </row>
    <row r="530" spans="1:2">
      <c r="A530" s="22">
        <v>3786996</v>
      </c>
      <c r="B530" s="22">
        <v>46</v>
      </c>
    </row>
    <row r="531" spans="1:2">
      <c r="A531" s="22">
        <v>3786999</v>
      </c>
      <c r="B531" s="22">
        <v>50</v>
      </c>
    </row>
    <row r="532" spans="1:2">
      <c r="A532" s="22">
        <v>3787001</v>
      </c>
      <c r="B532" s="22">
        <v>8</v>
      </c>
    </row>
    <row r="533" spans="1:2">
      <c r="A533" s="22">
        <v>3787019</v>
      </c>
      <c r="B533" s="22">
        <v>18</v>
      </c>
    </row>
    <row r="534" spans="1:2">
      <c r="A534" s="22">
        <v>3787026</v>
      </c>
      <c r="B534" s="22">
        <v>-20</v>
      </c>
    </row>
    <row r="535" spans="1:2">
      <c r="A535" s="22">
        <v>3787027</v>
      </c>
      <c r="B535" s="22">
        <v>-60</v>
      </c>
    </row>
    <row r="536" spans="1:2">
      <c r="A536" s="22">
        <v>3787032</v>
      </c>
      <c r="B536" s="22">
        <v>32</v>
      </c>
    </row>
    <row r="537" spans="1:2">
      <c r="A537" s="22">
        <v>3786921</v>
      </c>
      <c r="B537" s="22">
        <v>39</v>
      </c>
    </row>
    <row r="538" spans="1:2">
      <c r="A538" s="22">
        <v>3786973</v>
      </c>
      <c r="B538" s="22">
        <v>47</v>
      </c>
    </row>
    <row r="539" spans="1:2">
      <c r="A539" s="22">
        <v>3786976</v>
      </c>
      <c r="B539" s="22">
        <v>-21</v>
      </c>
    </row>
    <row r="540" spans="1:2">
      <c r="A540" s="22">
        <v>3786976</v>
      </c>
      <c r="B540" s="22">
        <v>-21</v>
      </c>
    </row>
    <row r="541" spans="1:2">
      <c r="A541" s="22">
        <v>3786976</v>
      </c>
      <c r="B541" s="22">
        <v>-21</v>
      </c>
    </row>
    <row r="542" spans="1:2">
      <c r="A542" s="22">
        <v>3786978</v>
      </c>
      <c r="B542" s="22">
        <v>15</v>
      </c>
    </row>
    <row r="543" spans="1:2">
      <c r="A543" s="22">
        <v>3786978</v>
      </c>
      <c r="B543" s="22">
        <v>15</v>
      </c>
    </row>
    <row r="544" spans="1:2">
      <c r="A544" s="22">
        <v>3786979</v>
      </c>
      <c r="B544" s="22">
        <v>43</v>
      </c>
    </row>
    <row r="545" spans="1:2">
      <c r="A545" s="22">
        <v>3786981</v>
      </c>
      <c r="B545" s="22">
        <v>-25</v>
      </c>
    </row>
    <row r="546" spans="1:2">
      <c r="A546" s="22">
        <v>3786982</v>
      </c>
      <c r="B546" s="22">
        <v>-25</v>
      </c>
    </row>
    <row r="547" spans="1:2">
      <c r="A547" s="22">
        <v>3786985</v>
      </c>
      <c r="B547" s="22">
        <v>38</v>
      </c>
    </row>
    <row r="548" spans="1:2">
      <c r="A548" s="22">
        <v>3786988</v>
      </c>
      <c r="B548" s="22">
        <v>38</v>
      </c>
    </row>
    <row r="549" spans="1:2">
      <c r="A549" s="22">
        <v>3786989</v>
      </c>
      <c r="B549" s="22">
        <v>23</v>
      </c>
    </row>
    <row r="550" spans="1:2">
      <c r="A550" s="22">
        <v>3786990</v>
      </c>
      <c r="B550" s="22">
        <v>48</v>
      </c>
    </row>
    <row r="551" spans="1:2">
      <c r="A551" s="22">
        <v>3786992</v>
      </c>
      <c r="B551" s="22">
        <v>53</v>
      </c>
    </row>
    <row r="552" spans="1:2">
      <c r="A552" s="22">
        <v>3786992</v>
      </c>
      <c r="B552" s="22">
        <v>53</v>
      </c>
    </row>
    <row r="553" spans="1:2">
      <c r="A553" s="22">
        <v>3786993</v>
      </c>
      <c r="B553" s="22">
        <v>53</v>
      </c>
    </row>
    <row r="554" spans="1:2">
      <c r="A554" s="22">
        <v>3786993</v>
      </c>
      <c r="B554" s="22">
        <v>53</v>
      </c>
    </row>
    <row r="555" spans="1:2">
      <c r="A555" s="22">
        <v>3786997</v>
      </c>
      <c r="B555" s="22">
        <v>58</v>
      </c>
    </row>
    <row r="556" spans="1:2">
      <c r="A556" s="22">
        <v>3787000</v>
      </c>
      <c r="B556" s="22">
        <v>19</v>
      </c>
    </row>
    <row r="557" spans="1:2">
      <c r="A557" s="22">
        <v>3787000</v>
      </c>
      <c r="B557" s="22">
        <v>19</v>
      </c>
    </row>
    <row r="558" spans="1:2">
      <c r="A558" s="22">
        <v>3787002</v>
      </c>
      <c r="B558" s="22">
        <v>-50</v>
      </c>
    </row>
    <row r="559" spans="1:2">
      <c r="A559" s="22">
        <v>3787006</v>
      </c>
      <c r="B559" s="22">
        <v>48</v>
      </c>
    </row>
    <row r="560" spans="1:2">
      <c r="A560" s="22">
        <v>3787006</v>
      </c>
      <c r="B560" s="22">
        <v>48</v>
      </c>
    </row>
    <row r="561" spans="1:2">
      <c r="A561" s="22">
        <v>3787007</v>
      </c>
      <c r="B561" s="22">
        <v>48</v>
      </c>
    </row>
    <row r="562" spans="1:2">
      <c r="A562" s="22">
        <v>3787007</v>
      </c>
      <c r="B562" s="22">
        <v>48</v>
      </c>
    </row>
    <row r="563" spans="1:2">
      <c r="A563" s="22">
        <v>3787007</v>
      </c>
      <c r="B563" s="22">
        <v>48</v>
      </c>
    </row>
    <row r="564" spans="1:2">
      <c r="A564" s="22">
        <v>3787007</v>
      </c>
      <c r="B564" s="22">
        <v>48</v>
      </c>
    </row>
    <row r="565" spans="1:2">
      <c r="A565" s="22">
        <v>3787007</v>
      </c>
      <c r="B565" s="22">
        <v>48</v>
      </c>
    </row>
    <row r="566" spans="1:2">
      <c r="A566" s="22">
        <v>3787017</v>
      </c>
      <c r="B566" s="22">
        <v>18</v>
      </c>
    </row>
    <row r="567" spans="1:2">
      <c r="A567" s="22">
        <v>3787020</v>
      </c>
      <c r="B567" s="22">
        <v>4</v>
      </c>
    </row>
    <row r="568" spans="1:2">
      <c r="A568" s="22">
        <v>3787021</v>
      </c>
      <c r="B568" s="22">
        <v>15</v>
      </c>
    </row>
    <row r="569" spans="1:2">
      <c r="A569" s="22">
        <v>3787022</v>
      </c>
      <c r="B569" s="22">
        <v>15</v>
      </c>
    </row>
    <row r="570" spans="1:2">
      <c r="A570" s="22">
        <v>3787023</v>
      </c>
      <c r="B570" s="22">
        <v>53</v>
      </c>
    </row>
    <row r="571" spans="1:2">
      <c r="A571" s="22">
        <v>3787029</v>
      </c>
      <c r="B571" s="22">
        <v>0</v>
      </c>
    </row>
    <row r="572" spans="1:2">
      <c r="A572" s="22">
        <v>3787030</v>
      </c>
      <c r="B572" s="22">
        <v>0</v>
      </c>
    </row>
    <row r="573" spans="1:2">
      <c r="A573" s="22">
        <v>3787031</v>
      </c>
      <c r="B573" s="22">
        <v>18</v>
      </c>
    </row>
    <row r="574" spans="1:2">
      <c r="A574" s="22">
        <v>3787033</v>
      </c>
      <c r="B574" s="22">
        <v>14</v>
      </c>
    </row>
    <row r="575" spans="1:2">
      <c r="A575" s="22">
        <v>3787034</v>
      </c>
      <c r="B575" s="22">
        <v>14</v>
      </c>
    </row>
    <row r="576" spans="1:2">
      <c r="A576" s="22">
        <v>3787036</v>
      </c>
      <c r="B576" s="22">
        <v>20</v>
      </c>
    </row>
    <row r="577" spans="1:2">
      <c r="A577" s="22">
        <v>3787051</v>
      </c>
      <c r="B577" s="22">
        <v>20</v>
      </c>
    </row>
    <row r="578" spans="1:2">
      <c r="A578" s="22">
        <v>3787060</v>
      </c>
      <c r="B578" s="22">
        <v>14</v>
      </c>
    </row>
    <row r="579" spans="1:2">
      <c r="A579" s="22">
        <v>3787061</v>
      </c>
      <c r="B579" s="22">
        <v>-9</v>
      </c>
    </row>
    <row r="580" spans="1:2">
      <c r="A580" s="22">
        <v>3787061</v>
      </c>
      <c r="B580" s="22">
        <v>-9</v>
      </c>
    </row>
    <row r="581" spans="1:2">
      <c r="A581" s="22">
        <v>3787061</v>
      </c>
      <c r="B581" s="22">
        <v>-9</v>
      </c>
    </row>
    <row r="582" spans="1:2">
      <c r="A582" s="22">
        <v>3787061</v>
      </c>
      <c r="B582" s="22">
        <v>-9</v>
      </c>
    </row>
    <row r="583" spans="1:2">
      <c r="A583" s="22">
        <v>3787062</v>
      </c>
      <c r="B583" s="22">
        <v>-9</v>
      </c>
    </row>
    <row r="584" spans="1:2">
      <c r="A584" s="22">
        <v>3787062</v>
      </c>
      <c r="B584" s="22">
        <v>-9</v>
      </c>
    </row>
    <row r="585" spans="1:2">
      <c r="A585" s="22">
        <v>3787064</v>
      </c>
      <c r="B585" s="22">
        <v>0</v>
      </c>
    </row>
    <row r="586" spans="1:2">
      <c r="A586" s="22">
        <v>3787067</v>
      </c>
      <c r="B586" s="22">
        <v>21</v>
      </c>
    </row>
    <row r="587" spans="1:2">
      <c r="A587" s="22">
        <v>3787076</v>
      </c>
      <c r="B587" s="22">
        <v>26</v>
      </c>
    </row>
    <row r="588" spans="1:2">
      <c r="A588" s="22">
        <v>3787088</v>
      </c>
      <c r="B588" s="22">
        <v>50</v>
      </c>
    </row>
    <row r="589" spans="1:2">
      <c r="A589" s="22">
        <v>3787098</v>
      </c>
      <c r="B589" s="22">
        <v>63</v>
      </c>
    </row>
    <row r="590" spans="1:2">
      <c r="A590" s="22">
        <v>3787100</v>
      </c>
      <c r="B590" s="22">
        <v>-163</v>
      </c>
    </row>
    <row r="591" spans="1:2">
      <c r="A591" s="22">
        <v>3787107</v>
      </c>
      <c r="B591" s="22">
        <v>33</v>
      </c>
    </row>
    <row r="592" spans="1:2">
      <c r="A592" s="22">
        <v>3787114</v>
      </c>
      <c r="B592" s="22">
        <v>21</v>
      </c>
    </row>
    <row r="593" spans="1:2">
      <c r="A593" s="22">
        <v>3787115</v>
      </c>
      <c r="B593" s="22">
        <v>20</v>
      </c>
    </row>
    <row r="594" spans="1:2">
      <c r="A594" s="22">
        <v>3787116</v>
      </c>
      <c r="B594" s="22">
        <v>30</v>
      </c>
    </row>
    <row r="595" spans="1:2">
      <c r="A595" s="22">
        <v>3787159</v>
      </c>
      <c r="B595" s="22">
        <v>63</v>
      </c>
    </row>
    <row r="596" spans="1:2">
      <c r="A596" s="22">
        <v>3786983</v>
      </c>
      <c r="B596" s="22">
        <v>24</v>
      </c>
    </row>
    <row r="597" spans="1:2">
      <c r="A597" s="22">
        <v>3787233</v>
      </c>
      <c r="B597" s="22">
        <v>29</v>
      </c>
    </row>
    <row r="598" spans="1:2">
      <c r="A598" s="22">
        <v>3787315</v>
      </c>
      <c r="B598" s="22">
        <v>20</v>
      </c>
    </row>
    <row r="599" spans="1:2">
      <c r="A599" s="22">
        <v>3787316</v>
      </c>
      <c r="B599" s="22">
        <v>20</v>
      </c>
    </row>
    <row r="600" spans="1:2">
      <c r="A600" s="22">
        <v>3786994</v>
      </c>
      <c r="B600" s="22">
        <v>53</v>
      </c>
    </row>
    <row r="601" spans="1:2">
      <c r="A601" s="22">
        <v>3786994</v>
      </c>
      <c r="B601" s="22">
        <v>53</v>
      </c>
    </row>
    <row r="602" spans="1:2">
      <c r="A602" s="22">
        <v>3786994</v>
      </c>
      <c r="B602" s="22">
        <v>53</v>
      </c>
    </row>
    <row r="603" spans="1:2">
      <c r="A603" s="22">
        <v>3786994</v>
      </c>
      <c r="B603" s="22">
        <v>53</v>
      </c>
    </row>
    <row r="604" spans="1:2">
      <c r="A604" s="22">
        <v>3786998</v>
      </c>
      <c r="B604" s="22">
        <v>-115</v>
      </c>
    </row>
    <row r="605" spans="1:2">
      <c r="A605" s="22">
        <v>3787003</v>
      </c>
      <c r="B605" s="22">
        <v>117</v>
      </c>
    </row>
    <row r="606" spans="1:2">
      <c r="A606" s="22">
        <v>3787003</v>
      </c>
      <c r="B606" s="22">
        <v>117</v>
      </c>
    </row>
    <row r="607" spans="1:2">
      <c r="A607" s="22">
        <v>3787008</v>
      </c>
      <c r="B607" s="22">
        <v>48</v>
      </c>
    </row>
    <row r="608" spans="1:2">
      <c r="A608" s="22">
        <v>3787008</v>
      </c>
      <c r="B608" s="22">
        <v>48</v>
      </c>
    </row>
    <row r="609" spans="1:2">
      <c r="A609" s="22">
        <v>3787008</v>
      </c>
      <c r="B609" s="22">
        <v>48</v>
      </c>
    </row>
    <row r="610" spans="1:2">
      <c r="A610" s="22">
        <v>3787008</v>
      </c>
      <c r="B610" s="22">
        <v>48</v>
      </c>
    </row>
    <row r="611" spans="1:2">
      <c r="A611" s="22">
        <v>3787018</v>
      </c>
      <c r="B611" s="22">
        <v>39</v>
      </c>
    </row>
    <row r="612" spans="1:2">
      <c r="A612" s="22">
        <v>3787024</v>
      </c>
      <c r="B612" s="22">
        <v>53</v>
      </c>
    </row>
    <row r="613" spans="1:2">
      <c r="A613" s="22">
        <v>3787028</v>
      </c>
      <c r="B613" s="22">
        <v>70</v>
      </c>
    </row>
    <row r="614" spans="1:2">
      <c r="A614" s="22">
        <v>3787035</v>
      </c>
      <c r="B614" s="22">
        <v>54</v>
      </c>
    </row>
    <row r="615" spans="1:2">
      <c r="A615" s="22">
        <v>3787035</v>
      </c>
      <c r="B615" s="22">
        <v>54</v>
      </c>
    </row>
    <row r="616" spans="1:2">
      <c r="A616" s="22">
        <v>3787035</v>
      </c>
      <c r="B616" s="22">
        <v>54</v>
      </c>
    </row>
    <row r="617" spans="1:2">
      <c r="A617" s="22">
        <v>3787035</v>
      </c>
      <c r="B617" s="22">
        <v>54</v>
      </c>
    </row>
    <row r="618" spans="1:2">
      <c r="A618" s="22">
        <v>3787037</v>
      </c>
      <c r="B618" s="22">
        <v>23</v>
      </c>
    </row>
    <row r="619" spans="1:2">
      <c r="A619" s="22">
        <v>3787063</v>
      </c>
      <c r="B619" s="22">
        <v>38</v>
      </c>
    </row>
    <row r="620" spans="1:2">
      <c r="A620" s="22">
        <v>3787089</v>
      </c>
      <c r="B620" s="22">
        <v>13</v>
      </c>
    </row>
    <row r="621" spans="1:2">
      <c r="A621" s="22">
        <v>3787092</v>
      </c>
      <c r="B621" s="22">
        <v>53</v>
      </c>
    </row>
    <row r="622" spans="1:2">
      <c r="A622" s="22">
        <v>3787092</v>
      </c>
      <c r="B622" s="22">
        <v>53</v>
      </c>
    </row>
    <row r="623" spans="1:2">
      <c r="A623" s="22">
        <v>3787093</v>
      </c>
      <c r="B623" s="22">
        <v>52</v>
      </c>
    </row>
    <row r="624" spans="1:2">
      <c r="A624" s="22">
        <v>3787094</v>
      </c>
      <c r="B624" s="22">
        <v>53</v>
      </c>
    </row>
    <row r="625" spans="1:2">
      <c r="A625" s="22">
        <v>3787094</v>
      </c>
      <c r="B625" s="22">
        <v>53</v>
      </c>
    </row>
    <row r="626" spans="1:2">
      <c r="A626" s="22">
        <v>3787112</v>
      </c>
      <c r="B626" s="22">
        <v>70</v>
      </c>
    </row>
    <row r="627" spans="1:2">
      <c r="A627" s="22">
        <v>3787113</v>
      </c>
      <c r="B627" s="22">
        <v>73</v>
      </c>
    </row>
    <row r="628" spans="1:2">
      <c r="A628" s="22">
        <v>3787117</v>
      </c>
      <c r="B628" s="22">
        <v>103</v>
      </c>
    </row>
    <row r="629" spans="1:2">
      <c r="A629" s="22">
        <v>3787118</v>
      </c>
      <c r="B629" s="22">
        <v>38</v>
      </c>
    </row>
    <row r="630" spans="1:2">
      <c r="A630" s="22">
        <v>3787119</v>
      </c>
      <c r="B630" s="22">
        <v>25</v>
      </c>
    </row>
    <row r="631" spans="1:2">
      <c r="A631" s="22">
        <v>3787120</v>
      </c>
      <c r="B631" s="22">
        <v>38</v>
      </c>
    </row>
    <row r="632" spans="1:2">
      <c r="A632" s="22">
        <v>3787139</v>
      </c>
      <c r="B632" s="22">
        <v>40</v>
      </c>
    </row>
    <row r="633" spans="1:2">
      <c r="A633" s="22">
        <v>3787139</v>
      </c>
      <c r="B633" s="22">
        <v>40</v>
      </c>
    </row>
    <row r="634" spans="1:2">
      <c r="A634" s="22">
        <v>3787139</v>
      </c>
      <c r="B634" s="22">
        <v>40</v>
      </c>
    </row>
    <row r="635" spans="1:2">
      <c r="A635" s="22">
        <v>3787140</v>
      </c>
      <c r="B635" s="22">
        <v>40</v>
      </c>
    </row>
    <row r="636" spans="1:2">
      <c r="A636" s="22">
        <v>3787140</v>
      </c>
      <c r="B636" s="22">
        <v>40</v>
      </c>
    </row>
    <row r="637" spans="1:2">
      <c r="A637" s="22">
        <v>3787164</v>
      </c>
      <c r="B637" s="22">
        <v>-48</v>
      </c>
    </row>
    <row r="638" spans="1:2">
      <c r="A638" s="22">
        <v>3787202</v>
      </c>
      <c r="B638" s="22">
        <v>55</v>
      </c>
    </row>
    <row r="639" spans="1:2">
      <c r="A639" s="22">
        <v>3787203</v>
      </c>
      <c r="B639" s="22">
        <v>70</v>
      </c>
    </row>
    <row r="640" spans="1:2">
      <c r="A640" s="22">
        <v>3787210</v>
      </c>
      <c r="B640" s="22">
        <v>40</v>
      </c>
    </row>
    <row r="641" spans="1:2">
      <c r="A641" s="22">
        <v>3787211</v>
      </c>
      <c r="B641" s="22">
        <v>40</v>
      </c>
    </row>
    <row r="642" spans="1:2">
      <c r="A642" s="22">
        <v>3787211</v>
      </c>
      <c r="B642" s="22">
        <v>40</v>
      </c>
    </row>
    <row r="643" spans="1:2">
      <c r="A643" s="22">
        <v>3787216</v>
      </c>
      <c r="B643" s="22">
        <v>28</v>
      </c>
    </row>
    <row r="644" spans="1:2">
      <c r="A644" s="22">
        <v>3787217</v>
      </c>
      <c r="B644" s="22">
        <v>55</v>
      </c>
    </row>
    <row r="645" spans="1:2">
      <c r="A645" s="22">
        <v>3787221</v>
      </c>
      <c r="B645" s="22">
        <v>-10</v>
      </c>
    </row>
    <row r="646" spans="1:2">
      <c r="A646" s="22">
        <v>3787223</v>
      </c>
      <c r="B646" s="22">
        <v>19</v>
      </c>
    </row>
    <row r="647" spans="1:2">
      <c r="A647" s="22">
        <v>3787248</v>
      </c>
      <c r="B647" s="22">
        <v>69</v>
      </c>
    </row>
    <row r="648" spans="1:2">
      <c r="A648" s="22">
        <v>3787249</v>
      </c>
      <c r="B648" s="22">
        <v>46</v>
      </c>
    </row>
    <row r="649" spans="1:2">
      <c r="A649" s="22">
        <v>3787250</v>
      </c>
      <c r="B649" s="22">
        <v>33</v>
      </c>
    </row>
    <row r="650" spans="1:2">
      <c r="A650" s="22">
        <v>3787253</v>
      </c>
      <c r="B650" s="22">
        <v>-8</v>
      </c>
    </row>
    <row r="651" spans="1:2">
      <c r="A651" s="22">
        <v>3787263</v>
      </c>
      <c r="B651" s="22">
        <v>0</v>
      </c>
    </row>
    <row r="652" spans="1:2">
      <c r="A652" s="22">
        <v>3787290</v>
      </c>
      <c r="B652" s="22">
        <v>-38</v>
      </c>
    </row>
    <row r="653" spans="1:2">
      <c r="A653" s="22">
        <v>3787306</v>
      </c>
      <c r="B653" s="22">
        <v>69</v>
      </c>
    </row>
    <row r="654" spans="1:2">
      <c r="A654" s="22">
        <v>3787356</v>
      </c>
      <c r="B654" s="22">
        <v>65</v>
      </c>
    </row>
    <row r="655" spans="1:2">
      <c r="A655" s="22">
        <v>3787364</v>
      </c>
      <c r="B655" s="22">
        <v>25</v>
      </c>
    </row>
    <row r="656" spans="1:2">
      <c r="A656" s="22">
        <v>3787364</v>
      </c>
      <c r="B656" s="22">
        <v>25</v>
      </c>
    </row>
    <row r="657" spans="1:2">
      <c r="A657" s="22">
        <v>3787409</v>
      </c>
      <c r="B657" s="22">
        <v>48</v>
      </c>
    </row>
    <row r="658" spans="1:2">
      <c r="A658" s="22">
        <v>3787459</v>
      </c>
      <c r="B658" s="22">
        <v>26</v>
      </c>
    </row>
    <row r="659" spans="1:2">
      <c r="A659" s="22">
        <v>3787705</v>
      </c>
      <c r="B659" s="22">
        <v>4</v>
      </c>
    </row>
    <row r="660" spans="1:2">
      <c r="A660" s="22">
        <v>3787234</v>
      </c>
      <c r="B660" s="22">
        <v>43</v>
      </c>
    </row>
    <row r="661" spans="1:2">
      <c r="A661" s="22">
        <v>3787025</v>
      </c>
      <c r="B661" s="22">
        <v>53</v>
      </c>
    </row>
    <row r="662" spans="1:2">
      <c r="A662" s="22">
        <v>3787025</v>
      </c>
      <c r="B662" s="22">
        <v>53</v>
      </c>
    </row>
    <row r="663" spans="1:2">
      <c r="A663" s="22">
        <v>3787079</v>
      </c>
      <c r="B663" s="22">
        <v>-9</v>
      </c>
    </row>
    <row r="664" spans="1:2">
      <c r="A664" s="22">
        <v>3787090</v>
      </c>
      <c r="B664" s="22">
        <v>13</v>
      </c>
    </row>
    <row r="665" spans="1:2">
      <c r="A665" s="22">
        <v>3787095</v>
      </c>
      <c r="B665" s="22">
        <v>52</v>
      </c>
    </row>
    <row r="666" spans="1:2">
      <c r="A666" s="22">
        <v>3787095</v>
      </c>
      <c r="B666" s="22">
        <v>52</v>
      </c>
    </row>
    <row r="667" spans="1:2">
      <c r="A667" s="22">
        <v>3787096</v>
      </c>
      <c r="B667" s="22">
        <v>52</v>
      </c>
    </row>
    <row r="668" spans="1:2">
      <c r="A668" s="22">
        <v>3787097</v>
      </c>
      <c r="B668" s="22">
        <v>52</v>
      </c>
    </row>
    <row r="669" spans="1:2">
      <c r="A669" s="22">
        <v>3787165</v>
      </c>
      <c r="B669" s="22">
        <v>-48</v>
      </c>
    </row>
    <row r="670" spans="1:2">
      <c r="A670" s="22">
        <v>3787212</v>
      </c>
      <c r="B670" s="22">
        <v>40</v>
      </c>
    </row>
    <row r="671" spans="1:2">
      <c r="A671" s="22">
        <v>3787212</v>
      </c>
      <c r="B671" s="22">
        <v>40</v>
      </c>
    </row>
    <row r="672" spans="1:2">
      <c r="A672" s="22">
        <v>3787213</v>
      </c>
      <c r="B672" s="22">
        <v>40</v>
      </c>
    </row>
    <row r="673" spans="1:2">
      <c r="A673" s="22">
        <v>3787213</v>
      </c>
      <c r="B673" s="22">
        <v>40</v>
      </c>
    </row>
    <row r="674" spans="1:2">
      <c r="A674" s="22">
        <v>3787214</v>
      </c>
      <c r="B674" s="22">
        <v>40</v>
      </c>
    </row>
    <row r="675" spans="1:2">
      <c r="A675" s="22">
        <v>3787214</v>
      </c>
      <c r="B675" s="22">
        <v>40</v>
      </c>
    </row>
    <row r="676" spans="1:2">
      <c r="A676" s="22">
        <v>3787215</v>
      </c>
      <c r="B676" s="22">
        <v>40</v>
      </c>
    </row>
    <row r="677" spans="1:2">
      <c r="A677" s="22">
        <v>3787215</v>
      </c>
      <c r="B677" s="22">
        <v>40</v>
      </c>
    </row>
    <row r="678" spans="1:2">
      <c r="A678" s="22">
        <v>3787215</v>
      </c>
      <c r="B678" s="22">
        <v>40</v>
      </c>
    </row>
    <row r="679" spans="1:2">
      <c r="A679" s="22">
        <v>3787215</v>
      </c>
      <c r="B679" s="22">
        <v>40</v>
      </c>
    </row>
    <row r="680" spans="1:2">
      <c r="A680" s="22">
        <v>3787218</v>
      </c>
      <c r="B680" s="22">
        <v>28</v>
      </c>
    </row>
    <row r="681" spans="1:2">
      <c r="A681" s="22">
        <v>3787219</v>
      </c>
      <c r="B681" s="22">
        <v>55</v>
      </c>
    </row>
    <row r="682" spans="1:2">
      <c r="A682" s="22">
        <v>3787222</v>
      </c>
      <c r="B682" s="22">
        <v>86</v>
      </c>
    </row>
    <row r="683" spans="1:2">
      <c r="A683" s="22">
        <v>3787237</v>
      </c>
      <c r="B683" s="22">
        <v>93</v>
      </c>
    </row>
    <row r="684" spans="1:2">
      <c r="A684" s="22">
        <v>3787237</v>
      </c>
      <c r="B684" s="22">
        <v>93</v>
      </c>
    </row>
    <row r="685" spans="1:2">
      <c r="A685" s="22">
        <v>3787247</v>
      </c>
      <c r="B685" s="22">
        <v>43</v>
      </c>
    </row>
    <row r="686" spans="1:2">
      <c r="A686" s="22">
        <v>3787247</v>
      </c>
      <c r="B686" s="22">
        <v>43</v>
      </c>
    </row>
    <row r="687" spans="1:2">
      <c r="A687" s="22">
        <v>3787305</v>
      </c>
      <c r="B687" s="22">
        <v>60</v>
      </c>
    </row>
    <row r="688" spans="1:2">
      <c r="A688" s="22">
        <v>3787334</v>
      </c>
      <c r="B688" s="22">
        <v>20</v>
      </c>
    </row>
    <row r="689" spans="1:2">
      <c r="A689" s="22">
        <v>3787377</v>
      </c>
      <c r="B689" s="22">
        <v>43</v>
      </c>
    </row>
    <row r="690" spans="1:2">
      <c r="A690" s="22">
        <v>3787382</v>
      </c>
      <c r="B690" s="22">
        <v>-17</v>
      </c>
    </row>
    <row r="691" spans="1:2">
      <c r="A691" s="22">
        <v>3787394</v>
      </c>
      <c r="B691" s="22">
        <v>45</v>
      </c>
    </row>
    <row r="692" spans="1:2">
      <c r="A692" s="22">
        <v>3787397</v>
      </c>
      <c r="B692" s="22">
        <v>32</v>
      </c>
    </row>
    <row r="693" spans="1:2">
      <c r="A693" s="22">
        <v>3787400</v>
      </c>
      <c r="B693" s="22">
        <v>53</v>
      </c>
    </row>
    <row r="694" spans="1:2">
      <c r="A694" s="22">
        <v>3787410</v>
      </c>
      <c r="B694" s="22">
        <v>0</v>
      </c>
    </row>
    <row r="695" spans="1:2">
      <c r="A695" s="22">
        <v>3787411</v>
      </c>
      <c r="B695" s="22">
        <v>32</v>
      </c>
    </row>
    <row r="696" spans="1:2">
      <c r="A696" s="22">
        <v>3787412</v>
      </c>
      <c r="B696" s="22">
        <v>-11</v>
      </c>
    </row>
    <row r="697" spans="1:2">
      <c r="A697" s="22">
        <v>3787413</v>
      </c>
      <c r="B697" s="22">
        <v>24</v>
      </c>
    </row>
    <row r="698" spans="1:2">
      <c r="A698" s="22">
        <v>3787446</v>
      </c>
      <c r="B698" s="22">
        <v>-12</v>
      </c>
    </row>
    <row r="699" spans="1:2">
      <c r="A699" s="22">
        <v>3787446</v>
      </c>
      <c r="B699" s="22">
        <v>-12</v>
      </c>
    </row>
    <row r="700" spans="1:2">
      <c r="A700" s="22">
        <v>3787475</v>
      </c>
      <c r="B700" s="22">
        <v>40</v>
      </c>
    </row>
    <row r="701" spans="1:2">
      <c r="A701" s="22">
        <v>3787499</v>
      </c>
      <c r="B701" s="22">
        <v>-77</v>
      </c>
    </row>
    <row r="702" spans="1:2">
      <c r="A702" s="22">
        <v>3787507</v>
      </c>
      <c r="B702" s="22">
        <v>-156</v>
      </c>
    </row>
    <row r="703" spans="1:2">
      <c r="A703" s="22">
        <v>3787512</v>
      </c>
      <c r="B703" s="22">
        <v>50</v>
      </c>
    </row>
    <row r="704" spans="1:2">
      <c r="A704" s="22">
        <v>3787513</v>
      </c>
      <c r="B704" s="22">
        <v>40</v>
      </c>
    </row>
    <row r="705" spans="1:2">
      <c r="A705" s="22">
        <v>3787559</v>
      </c>
      <c r="B705" s="22">
        <v>-139</v>
      </c>
    </row>
    <row r="706" spans="1:2">
      <c r="A706" s="22">
        <v>3787562</v>
      </c>
      <c r="B706" s="22">
        <v>-139</v>
      </c>
    </row>
    <row r="707" spans="1:2">
      <c r="A707" s="22">
        <v>3787569</v>
      </c>
      <c r="B707" s="22">
        <v>25</v>
      </c>
    </row>
    <row r="708" spans="1:2">
      <c r="A708" s="22">
        <v>3787401</v>
      </c>
      <c r="B708" s="22">
        <v>34</v>
      </c>
    </row>
    <row r="709" spans="1:2">
      <c r="A709" s="22">
        <v>3787414</v>
      </c>
      <c r="B709" s="22">
        <v>24</v>
      </c>
    </row>
    <row r="710" spans="1:2">
      <c r="A710" s="22">
        <v>3787335</v>
      </c>
      <c r="B710" s="22">
        <v>20</v>
      </c>
    </row>
    <row r="711" spans="1:2">
      <c r="A711" s="22">
        <v>3787357</v>
      </c>
      <c r="B711" s="22">
        <v>83</v>
      </c>
    </row>
    <row r="712" spans="1:2">
      <c r="A712" s="22">
        <v>3787358</v>
      </c>
      <c r="B712" s="22">
        <v>36</v>
      </c>
    </row>
    <row r="713" spans="1:2">
      <c r="A713" s="22">
        <v>3787359</v>
      </c>
      <c r="B713" s="22">
        <v>83</v>
      </c>
    </row>
    <row r="714" spans="1:2">
      <c r="A714" s="22">
        <v>3787360</v>
      </c>
      <c r="B714" s="22">
        <v>36</v>
      </c>
    </row>
    <row r="715" spans="1:2">
      <c r="A715" s="22">
        <v>3787038</v>
      </c>
      <c r="B715" s="22">
        <v>23</v>
      </c>
    </row>
    <row r="716" spans="1:2">
      <c r="A716" s="22">
        <v>3787121</v>
      </c>
      <c r="B716" s="22">
        <v>62</v>
      </c>
    </row>
    <row r="717" spans="1:2">
      <c r="A717" s="22">
        <v>3787122</v>
      </c>
      <c r="B717" s="22">
        <v>62</v>
      </c>
    </row>
    <row r="718" spans="1:2">
      <c r="A718" s="22">
        <v>3787122</v>
      </c>
      <c r="B718" s="22">
        <v>62</v>
      </c>
    </row>
    <row r="719" spans="1:2">
      <c r="A719" s="22">
        <v>3787123</v>
      </c>
      <c r="B719" s="22">
        <v>62</v>
      </c>
    </row>
    <row r="720" spans="1:2">
      <c r="A720" s="22">
        <v>3787236</v>
      </c>
      <c r="B720" s="22">
        <v>39</v>
      </c>
    </row>
    <row r="721" spans="1:2">
      <c r="A721" s="22">
        <v>3787251</v>
      </c>
      <c r="B721" s="22">
        <v>38</v>
      </c>
    </row>
    <row r="722" spans="1:2">
      <c r="A722" s="22">
        <v>3787252</v>
      </c>
      <c r="B722" s="22">
        <v>42</v>
      </c>
    </row>
    <row r="723" spans="1:2">
      <c r="A723" s="22">
        <v>3787261</v>
      </c>
      <c r="B723" s="22">
        <v>45</v>
      </c>
    </row>
    <row r="724" spans="1:2">
      <c r="A724" s="22">
        <v>3787262</v>
      </c>
      <c r="B724" s="22">
        <v>38</v>
      </c>
    </row>
    <row r="725" spans="1:2">
      <c r="A725" s="22">
        <v>3787291</v>
      </c>
      <c r="B725" s="22">
        <v>-38</v>
      </c>
    </row>
    <row r="726" spans="1:2">
      <c r="A726" s="22">
        <v>3787307</v>
      </c>
      <c r="B726" s="22">
        <v>20</v>
      </c>
    </row>
    <row r="727" spans="1:2">
      <c r="A727" s="22">
        <v>3787307</v>
      </c>
      <c r="B727" s="22">
        <v>20</v>
      </c>
    </row>
    <row r="728" spans="1:2">
      <c r="A728" s="22">
        <v>3787340</v>
      </c>
      <c r="B728" s="22">
        <v>19</v>
      </c>
    </row>
    <row r="729" spans="1:2">
      <c r="A729" s="22">
        <v>3787383</v>
      </c>
      <c r="B729" s="22">
        <v>-17</v>
      </c>
    </row>
    <row r="730" spans="1:2">
      <c r="A730" s="22">
        <v>3787383</v>
      </c>
      <c r="B730" s="22">
        <v>-17</v>
      </c>
    </row>
    <row r="731" spans="1:2">
      <c r="A731" s="22">
        <v>3787391</v>
      </c>
      <c r="B731" s="22">
        <v>-17</v>
      </c>
    </row>
    <row r="732" spans="1:2">
      <c r="A732" s="22">
        <v>3787395</v>
      </c>
      <c r="B732" s="22">
        <v>45</v>
      </c>
    </row>
    <row r="733" spans="1:2">
      <c r="A733" s="22">
        <v>3787398</v>
      </c>
      <c r="B733" s="22">
        <v>32</v>
      </c>
    </row>
    <row r="734" spans="1:2">
      <c r="A734" s="22">
        <v>3787402</v>
      </c>
      <c r="B734" s="22">
        <v>0</v>
      </c>
    </row>
    <row r="735" spans="1:2">
      <c r="A735" s="22">
        <v>3787405</v>
      </c>
      <c r="B735" s="22">
        <v>0</v>
      </c>
    </row>
    <row r="736" spans="1:2">
      <c r="A736" s="22">
        <v>3787419</v>
      </c>
      <c r="B736" s="22">
        <v>20</v>
      </c>
    </row>
    <row r="737" spans="1:2">
      <c r="A737" s="22">
        <v>3787422</v>
      </c>
      <c r="B737" s="22">
        <v>-29</v>
      </c>
    </row>
    <row r="738" spans="1:2">
      <c r="A738" s="22">
        <v>3787426</v>
      </c>
      <c r="B738" s="22">
        <v>-25</v>
      </c>
    </row>
    <row r="739" spans="1:2">
      <c r="A739" s="22">
        <v>3787431</v>
      </c>
      <c r="B739" s="22">
        <v>-112</v>
      </c>
    </row>
    <row r="740" spans="1:2">
      <c r="A740" s="22">
        <v>3787457</v>
      </c>
      <c r="B740" s="22">
        <v>28</v>
      </c>
    </row>
    <row r="741" spans="1:2">
      <c r="A741" s="22">
        <v>3787458</v>
      </c>
      <c r="B741" s="22">
        <v>45</v>
      </c>
    </row>
    <row r="742" spans="1:2">
      <c r="A742" s="22">
        <v>3787476</v>
      </c>
      <c r="B742" s="22">
        <v>-24</v>
      </c>
    </row>
    <row r="743" spans="1:2">
      <c r="A743" s="22">
        <v>3787482</v>
      </c>
      <c r="B743" s="22">
        <v>-6</v>
      </c>
    </row>
    <row r="744" spans="1:2">
      <c r="A744" s="22">
        <v>3787483</v>
      </c>
      <c r="B744" s="22">
        <v>-6</v>
      </c>
    </row>
    <row r="745" spans="1:2">
      <c r="A745" s="22">
        <v>3787493</v>
      </c>
      <c r="B745" s="22">
        <v>50</v>
      </c>
    </row>
    <row r="746" spans="1:2">
      <c r="A746" s="22">
        <v>3787494</v>
      </c>
      <c r="B746" s="22">
        <v>38</v>
      </c>
    </row>
    <row r="747" spans="1:2">
      <c r="A747" s="22">
        <v>3787495</v>
      </c>
      <c r="B747" s="22">
        <v>-12</v>
      </c>
    </row>
    <row r="748" spans="1:2">
      <c r="A748" s="22">
        <v>3787500</v>
      </c>
      <c r="B748" s="22">
        <v>-77</v>
      </c>
    </row>
    <row r="749" spans="1:2">
      <c r="A749" s="22">
        <v>3787502</v>
      </c>
      <c r="B749" s="22">
        <v>-146</v>
      </c>
    </row>
    <row r="750" spans="1:2">
      <c r="A750" s="22">
        <v>3787506</v>
      </c>
      <c r="B750" s="22">
        <v>-56</v>
      </c>
    </row>
    <row r="751" spans="1:2">
      <c r="A751" s="22">
        <v>3787506</v>
      </c>
      <c r="B751" s="22">
        <v>-56</v>
      </c>
    </row>
    <row r="752" spans="1:2">
      <c r="A752" s="22">
        <v>3787510</v>
      </c>
      <c r="B752" s="22">
        <v>50</v>
      </c>
    </row>
    <row r="753" spans="1:2">
      <c r="A753" s="22">
        <v>3787511</v>
      </c>
      <c r="B753" s="22">
        <v>-30</v>
      </c>
    </row>
    <row r="754" spans="1:2">
      <c r="A754" s="22">
        <v>3787529</v>
      </c>
      <c r="B754" s="22">
        <v>-30</v>
      </c>
    </row>
    <row r="755" spans="1:2">
      <c r="A755" s="22">
        <v>3787533</v>
      </c>
      <c r="B755" s="22">
        <v>53</v>
      </c>
    </row>
    <row r="756" spans="1:2">
      <c r="A756" s="22">
        <v>3787535</v>
      </c>
      <c r="B756" s="22">
        <v>50</v>
      </c>
    </row>
    <row r="757" spans="1:2">
      <c r="A757" s="22">
        <v>3787536</v>
      </c>
      <c r="B757" s="22">
        <v>50</v>
      </c>
    </row>
    <row r="758" spans="1:2">
      <c r="A758" s="22">
        <v>3787538</v>
      </c>
      <c r="B758" s="22">
        <v>-27</v>
      </c>
    </row>
    <row r="759" spans="1:2">
      <c r="A759" s="22">
        <v>3787547</v>
      </c>
      <c r="B759" s="22">
        <v>-56</v>
      </c>
    </row>
    <row r="760" spans="1:2">
      <c r="A760" s="22">
        <v>3787549</v>
      </c>
      <c r="B760" s="22">
        <v>53</v>
      </c>
    </row>
    <row r="761" spans="1:2">
      <c r="A761" s="22">
        <v>3787550</v>
      </c>
      <c r="B761" s="22">
        <v>33</v>
      </c>
    </row>
    <row r="762" spans="1:2">
      <c r="A762" s="22">
        <v>3787551</v>
      </c>
      <c r="B762" s="22">
        <v>25</v>
      </c>
    </row>
    <row r="763" spans="1:2">
      <c r="A763" s="22">
        <v>3787552</v>
      </c>
      <c r="B763" s="22">
        <v>28</v>
      </c>
    </row>
    <row r="764" spans="1:2">
      <c r="A764" s="22">
        <v>3787560</v>
      </c>
      <c r="B764" s="22">
        <v>-139</v>
      </c>
    </row>
    <row r="765" spans="1:2">
      <c r="A765" s="22">
        <v>3787563</v>
      </c>
      <c r="B765" s="22">
        <v>-139</v>
      </c>
    </row>
    <row r="766" spans="1:2">
      <c r="A766" s="22">
        <v>3787572</v>
      </c>
      <c r="B766" s="22">
        <v>-145</v>
      </c>
    </row>
    <row r="767" spans="1:2">
      <c r="A767" s="22">
        <v>3787572</v>
      </c>
      <c r="B767" s="22">
        <v>-145</v>
      </c>
    </row>
    <row r="768" spans="1:2">
      <c r="A768" s="22">
        <v>3787573</v>
      </c>
      <c r="B768" s="22">
        <v>-136</v>
      </c>
    </row>
    <row r="769" spans="1:2">
      <c r="A769" s="22">
        <v>3787575</v>
      </c>
      <c r="B769" s="22">
        <v>88</v>
      </c>
    </row>
    <row r="770" spans="1:2">
      <c r="A770" s="22">
        <v>3787582</v>
      </c>
      <c r="B770" s="22">
        <v>50</v>
      </c>
    </row>
    <row r="771" spans="1:2">
      <c r="A771" s="22">
        <v>3787583</v>
      </c>
      <c r="B771" s="22">
        <v>-60</v>
      </c>
    </row>
    <row r="772" spans="1:2">
      <c r="A772" s="22">
        <v>3787589</v>
      </c>
      <c r="B772" s="22">
        <v>-70</v>
      </c>
    </row>
    <row r="773" spans="1:2">
      <c r="A773" s="22">
        <v>3787590</v>
      </c>
      <c r="B773" s="22">
        <v>-64</v>
      </c>
    </row>
    <row r="774" spans="1:2">
      <c r="A774" s="22">
        <v>3787591</v>
      </c>
      <c r="B774" s="22">
        <v>-64</v>
      </c>
    </row>
    <row r="775" spans="1:2">
      <c r="A775" s="22">
        <v>3787603</v>
      </c>
      <c r="B775" s="22">
        <v>-55</v>
      </c>
    </row>
    <row r="776" spans="1:2">
      <c r="A776" s="22">
        <v>3787597</v>
      </c>
      <c r="B776" s="22">
        <v>-57</v>
      </c>
    </row>
    <row r="777" spans="1:2">
      <c r="A777" s="22">
        <v>3787257</v>
      </c>
      <c r="B777" s="22">
        <v>46</v>
      </c>
    </row>
    <row r="778" spans="1:2">
      <c r="A778" s="22">
        <v>3787258</v>
      </c>
      <c r="B778" s="22">
        <v>31</v>
      </c>
    </row>
    <row r="779" spans="1:2">
      <c r="A779" s="22">
        <v>3787304</v>
      </c>
      <c r="B779" s="22">
        <v>38</v>
      </c>
    </row>
    <row r="780" spans="1:2">
      <c r="A780" s="22">
        <v>3787317</v>
      </c>
      <c r="B780" s="22">
        <v>33</v>
      </c>
    </row>
    <row r="781" spans="1:2">
      <c r="A781" s="22">
        <v>3787329</v>
      </c>
      <c r="B781" s="22">
        <v>42</v>
      </c>
    </row>
    <row r="782" spans="1:2">
      <c r="A782" s="22">
        <v>3787330</v>
      </c>
      <c r="B782" s="22">
        <v>32</v>
      </c>
    </row>
    <row r="783" spans="1:2">
      <c r="A783" s="22">
        <v>3787336</v>
      </c>
      <c r="B783" s="22">
        <v>20</v>
      </c>
    </row>
    <row r="784" spans="1:2">
      <c r="A784" s="22">
        <v>3787336</v>
      </c>
      <c r="B784" s="22">
        <v>20</v>
      </c>
    </row>
    <row r="785" spans="1:2">
      <c r="A785" s="22">
        <v>3787341</v>
      </c>
      <c r="B785" s="22">
        <v>19</v>
      </c>
    </row>
    <row r="786" spans="1:2">
      <c r="A786" s="22">
        <v>3787392</v>
      </c>
      <c r="B786" s="22">
        <v>-17</v>
      </c>
    </row>
    <row r="787" spans="1:2">
      <c r="A787" s="22">
        <v>3787393</v>
      </c>
      <c r="B787" s="22">
        <v>45</v>
      </c>
    </row>
    <row r="788" spans="1:2">
      <c r="A788" s="22">
        <v>3787396</v>
      </c>
      <c r="B788" s="22">
        <v>45</v>
      </c>
    </row>
    <row r="789" spans="1:2">
      <c r="A789" s="22">
        <v>3787399</v>
      </c>
      <c r="B789" s="22">
        <v>32</v>
      </c>
    </row>
    <row r="790" spans="1:2">
      <c r="A790" s="22">
        <v>3787403</v>
      </c>
      <c r="B790" s="22">
        <v>0</v>
      </c>
    </row>
    <row r="791" spans="1:2">
      <c r="A791" s="22">
        <v>3787404</v>
      </c>
      <c r="B791" s="22">
        <v>0</v>
      </c>
    </row>
    <row r="792" spans="1:2">
      <c r="A792" s="22">
        <v>3787406</v>
      </c>
      <c r="B792" s="22">
        <v>0</v>
      </c>
    </row>
    <row r="793" spans="1:2">
      <c r="A793" s="22">
        <v>3787407</v>
      </c>
      <c r="B793" s="22">
        <v>45</v>
      </c>
    </row>
    <row r="794" spans="1:2">
      <c r="A794" s="22">
        <v>3787408</v>
      </c>
      <c r="B794" s="22">
        <v>33</v>
      </c>
    </row>
    <row r="795" spans="1:2">
      <c r="A795" s="22">
        <v>3787415</v>
      </c>
      <c r="B795" s="22">
        <v>24</v>
      </c>
    </row>
    <row r="796" spans="1:2">
      <c r="A796" s="22">
        <v>3787415</v>
      </c>
      <c r="B796" s="22">
        <v>24</v>
      </c>
    </row>
    <row r="797" spans="1:2">
      <c r="A797" s="22">
        <v>3787420</v>
      </c>
      <c r="B797" s="22">
        <v>20</v>
      </c>
    </row>
    <row r="798" spans="1:2">
      <c r="A798" s="22">
        <v>3787421</v>
      </c>
      <c r="B798" s="22">
        <v>-28</v>
      </c>
    </row>
    <row r="799" spans="1:2">
      <c r="A799" s="22">
        <v>3787421</v>
      </c>
      <c r="B799" s="22">
        <v>-28</v>
      </c>
    </row>
    <row r="800" spans="1:2">
      <c r="A800" s="22">
        <v>3787421</v>
      </c>
      <c r="B800" s="22">
        <v>-28</v>
      </c>
    </row>
    <row r="801" spans="1:2">
      <c r="A801" s="22">
        <v>3787423</v>
      </c>
      <c r="B801" s="22">
        <v>-29</v>
      </c>
    </row>
    <row r="802" spans="1:2">
      <c r="A802" s="22">
        <v>3787423</v>
      </c>
      <c r="B802" s="22">
        <v>-29</v>
      </c>
    </row>
    <row r="803" spans="1:2">
      <c r="A803" s="22">
        <v>3787423</v>
      </c>
      <c r="B803" s="22">
        <v>-29</v>
      </c>
    </row>
    <row r="804" spans="1:2">
      <c r="A804" s="22">
        <v>3787423</v>
      </c>
      <c r="B804" s="22">
        <v>-29</v>
      </c>
    </row>
    <row r="805" spans="1:2">
      <c r="A805" s="22">
        <v>3787424</v>
      </c>
      <c r="B805" s="22">
        <v>27</v>
      </c>
    </row>
    <row r="806" spans="1:2">
      <c r="A806" s="22">
        <v>3787427</v>
      </c>
      <c r="B806" s="22">
        <v>-25</v>
      </c>
    </row>
    <row r="807" spans="1:2">
      <c r="A807" s="22">
        <v>3787491</v>
      </c>
      <c r="B807" s="22">
        <v>29</v>
      </c>
    </row>
    <row r="808" spans="1:2">
      <c r="A808" s="22">
        <v>3787492</v>
      </c>
      <c r="B808" s="22">
        <v>63</v>
      </c>
    </row>
    <row r="809" spans="1:2">
      <c r="A809" s="22">
        <v>3787501</v>
      </c>
      <c r="B809" s="22">
        <v>-77</v>
      </c>
    </row>
    <row r="810" spans="1:2">
      <c r="A810" s="22">
        <v>3787503</v>
      </c>
      <c r="B810" s="22">
        <v>-146</v>
      </c>
    </row>
    <row r="811" spans="1:2">
      <c r="A811" s="22">
        <v>3787508</v>
      </c>
      <c r="B811" s="22">
        <v>38</v>
      </c>
    </row>
    <row r="812" spans="1:2">
      <c r="A812" s="22">
        <v>3787534</v>
      </c>
      <c r="B812" s="22">
        <v>-77</v>
      </c>
    </row>
    <row r="813" spans="1:2">
      <c r="A813" s="22">
        <v>3787545</v>
      </c>
      <c r="B813" s="22">
        <v>-27</v>
      </c>
    </row>
    <row r="814" spans="1:2">
      <c r="A814" s="22">
        <v>3787548</v>
      </c>
      <c r="B814" s="22">
        <v>40</v>
      </c>
    </row>
    <row r="815" spans="1:2">
      <c r="A815" s="22">
        <v>3787561</v>
      </c>
      <c r="B815" s="22">
        <v>-139</v>
      </c>
    </row>
    <row r="816" spans="1:2">
      <c r="A816" s="22">
        <v>3787564</v>
      </c>
      <c r="B816" s="22">
        <v>-139</v>
      </c>
    </row>
    <row r="817" spans="1:2">
      <c r="A817" s="22">
        <v>3787574</v>
      </c>
      <c r="B817" s="22">
        <v>-136</v>
      </c>
    </row>
    <row r="818" spans="1:2">
      <c r="A818" s="22">
        <v>3787578</v>
      </c>
      <c r="B818" s="22">
        <v>-60</v>
      </c>
    </row>
    <row r="819" spans="1:2">
      <c r="A819" s="22">
        <v>3787609</v>
      </c>
      <c r="B819" s="22">
        <v>72</v>
      </c>
    </row>
    <row r="820" spans="1:2">
      <c r="A820" s="22">
        <v>3787630</v>
      </c>
      <c r="B820" s="22">
        <v>33</v>
      </c>
    </row>
    <row r="821" spans="1:2">
      <c r="A821" s="22">
        <v>3787309</v>
      </c>
      <c r="B821" s="22">
        <v>20</v>
      </c>
    </row>
    <row r="822" spans="1:2">
      <c r="A822" s="22">
        <v>3787632</v>
      </c>
      <c r="B822" s="22">
        <v>-66</v>
      </c>
    </row>
    <row r="823" spans="1:2">
      <c r="A823" s="22">
        <v>3787633</v>
      </c>
      <c r="B823" s="22">
        <v>-66</v>
      </c>
    </row>
    <row r="824" spans="1:2">
      <c r="A824" s="22">
        <v>3787259</v>
      </c>
      <c r="B824" s="22">
        <v>31</v>
      </c>
    </row>
    <row r="825" spans="1:2">
      <c r="A825" s="22">
        <v>3787259</v>
      </c>
      <c r="B825" s="22">
        <v>31</v>
      </c>
    </row>
    <row r="826" spans="1:2">
      <c r="A826" s="22">
        <v>3787308</v>
      </c>
      <c r="B826" s="22">
        <v>20</v>
      </c>
    </row>
    <row r="827" spans="1:2">
      <c r="A827" s="22">
        <v>3787337</v>
      </c>
      <c r="B827" s="22">
        <v>20</v>
      </c>
    </row>
    <row r="828" spans="1:2">
      <c r="A828" s="22">
        <v>3787337</v>
      </c>
      <c r="B828" s="22">
        <v>20</v>
      </c>
    </row>
    <row r="829" spans="1:2">
      <c r="A829" s="22">
        <v>3787418</v>
      </c>
      <c r="B829" s="22">
        <v>24</v>
      </c>
    </row>
    <row r="830" spans="1:2">
      <c r="A830" s="22">
        <v>3787428</v>
      </c>
      <c r="B830" s="22">
        <v>-25</v>
      </c>
    </row>
    <row r="831" spans="1:2">
      <c r="A831" s="22">
        <v>3787441</v>
      </c>
      <c r="B831" s="22">
        <v>35</v>
      </c>
    </row>
    <row r="832" spans="1:2">
      <c r="A832" s="22">
        <v>3787441</v>
      </c>
      <c r="B832" s="22">
        <v>35</v>
      </c>
    </row>
    <row r="833" spans="1:2">
      <c r="A833" s="22">
        <v>3787445</v>
      </c>
      <c r="B833" s="22">
        <v>32</v>
      </c>
    </row>
    <row r="834" spans="1:2">
      <c r="A834" s="22">
        <v>3787509</v>
      </c>
      <c r="B834" s="22">
        <v>38</v>
      </c>
    </row>
    <row r="835" spans="1:2">
      <c r="A835" s="22">
        <v>3787546</v>
      </c>
      <c r="B835" s="22">
        <v>-27</v>
      </c>
    </row>
    <row r="836" spans="1:2">
      <c r="A836" s="22">
        <v>3787587</v>
      </c>
      <c r="B836" s="22">
        <v>-65</v>
      </c>
    </row>
    <row r="837" spans="1:2">
      <c r="A837" s="22">
        <v>3787592</v>
      </c>
      <c r="B837" s="22">
        <v>30</v>
      </c>
    </row>
    <row r="838" spans="1:2">
      <c r="A838" s="22">
        <v>3787608</v>
      </c>
      <c r="B838" s="22">
        <v>-44</v>
      </c>
    </row>
    <row r="839" spans="1:2">
      <c r="A839" s="22">
        <v>3787634</v>
      </c>
      <c r="B839" s="22">
        <v>-63</v>
      </c>
    </row>
    <row r="840" spans="1:2">
      <c r="A840" s="22">
        <v>3787666</v>
      </c>
      <c r="B840" s="22">
        <v>60</v>
      </c>
    </row>
    <row r="841" spans="1:2">
      <c r="A841" s="22">
        <v>3787310</v>
      </c>
      <c r="B841" s="22">
        <v>20</v>
      </c>
    </row>
    <row r="842" spans="1:2">
      <c r="A842" s="22">
        <v>3787565</v>
      </c>
      <c r="B842" s="22">
        <v>28</v>
      </c>
    </row>
    <row r="843" spans="1:2">
      <c r="A843" s="22">
        <v>3787595</v>
      </c>
      <c r="B843" s="22">
        <v>48</v>
      </c>
    </row>
    <row r="844" spans="1:2">
      <c r="A844" s="22">
        <v>3787628</v>
      </c>
      <c r="B844" s="22">
        <v>-7</v>
      </c>
    </row>
    <row r="845" spans="1:2">
      <c r="A845" s="22">
        <v>3787054</v>
      </c>
      <c r="B845" s="22">
        <v>87</v>
      </c>
    </row>
    <row r="846" spans="1:2">
      <c r="A846" s="22">
        <v>3787055</v>
      </c>
      <c r="B846" s="22">
        <v>87</v>
      </c>
    </row>
    <row r="847" spans="1:2">
      <c r="A847" s="22">
        <v>3787056</v>
      </c>
      <c r="B847" s="22">
        <v>87</v>
      </c>
    </row>
    <row r="848" spans="1:2">
      <c r="A848" s="22">
        <v>3787231</v>
      </c>
      <c r="B848" s="22">
        <v>-82</v>
      </c>
    </row>
    <row r="849" spans="1:2">
      <c r="A849" s="22">
        <v>3787260</v>
      </c>
      <c r="B849" s="22">
        <v>31</v>
      </c>
    </row>
    <row r="850" spans="1:2">
      <c r="A850" s="22">
        <v>3787442</v>
      </c>
      <c r="B850" s="22">
        <v>35</v>
      </c>
    </row>
    <row r="851" spans="1:2">
      <c r="A851" s="22">
        <v>3787576</v>
      </c>
      <c r="B851" s="22">
        <v>37</v>
      </c>
    </row>
    <row r="852" spans="1:2">
      <c r="A852" s="22">
        <v>3787577</v>
      </c>
      <c r="B852" s="22">
        <v>60</v>
      </c>
    </row>
    <row r="853" spans="1:2">
      <c r="A853" s="22">
        <v>3787580</v>
      </c>
      <c r="B853" s="22">
        <v>36</v>
      </c>
    </row>
    <row r="854" spans="1:2">
      <c r="A854" s="22">
        <v>3787588</v>
      </c>
      <c r="B854" s="22">
        <v>-65</v>
      </c>
    </row>
    <row r="855" spans="1:2">
      <c r="A855" s="22">
        <v>3787593</v>
      </c>
      <c r="B855" s="22">
        <v>30</v>
      </c>
    </row>
    <row r="856" spans="1:2">
      <c r="A856" s="22">
        <v>3787594</v>
      </c>
      <c r="B856" s="22">
        <v>-12</v>
      </c>
    </row>
    <row r="857" spans="1:2">
      <c r="A857" s="22">
        <v>3787596</v>
      </c>
      <c r="B857" s="22">
        <v>37</v>
      </c>
    </row>
    <row r="858" spans="1:2">
      <c r="A858" s="22">
        <v>3787602</v>
      </c>
      <c r="B858" s="22">
        <v>38</v>
      </c>
    </row>
    <row r="859" spans="1:2">
      <c r="A859" s="22">
        <v>3787604</v>
      </c>
      <c r="B859" s="22">
        <v>38</v>
      </c>
    </row>
    <row r="860" spans="1:2">
      <c r="A860" s="22">
        <v>3787610</v>
      </c>
      <c r="B860" s="22">
        <v>-44</v>
      </c>
    </row>
    <row r="861" spans="1:2">
      <c r="A861" s="22">
        <v>3787614</v>
      </c>
      <c r="B861" s="22">
        <v>40</v>
      </c>
    </row>
    <row r="862" spans="1:2">
      <c r="A862" s="22">
        <v>3787615</v>
      </c>
      <c r="B862" s="22">
        <v>66</v>
      </c>
    </row>
    <row r="863" spans="1:2">
      <c r="A863" s="22">
        <v>3787620</v>
      </c>
      <c r="B863" s="22">
        <v>37</v>
      </c>
    </row>
    <row r="864" spans="1:2">
      <c r="A864" s="22">
        <v>3787622</v>
      </c>
      <c r="B864" s="22">
        <v>38</v>
      </c>
    </row>
    <row r="865" spans="1:2">
      <c r="A865" s="22">
        <v>3787635</v>
      </c>
      <c r="B865" s="22">
        <v>58</v>
      </c>
    </row>
    <row r="866" spans="1:2">
      <c r="A866" s="22">
        <v>3787669</v>
      </c>
      <c r="B866" s="22">
        <v>90</v>
      </c>
    </row>
    <row r="867" spans="1:2">
      <c r="A867" s="22">
        <v>3787670</v>
      </c>
      <c r="B867" s="22">
        <v>63</v>
      </c>
    </row>
    <row r="868" spans="1:2">
      <c r="A868" s="22">
        <v>3787311</v>
      </c>
      <c r="B868" s="22">
        <v>20</v>
      </c>
    </row>
    <row r="869" spans="1:2">
      <c r="A869" s="22">
        <v>3787558</v>
      </c>
      <c r="B869" s="22">
        <v>30</v>
      </c>
    </row>
    <row r="870" spans="1:2">
      <c r="A870" s="22">
        <v>3787566</v>
      </c>
      <c r="B870" s="22">
        <v>28</v>
      </c>
    </row>
    <row r="871" spans="1:2">
      <c r="A871" s="22">
        <v>3787039</v>
      </c>
      <c r="B871" s="22">
        <v>23</v>
      </c>
    </row>
    <row r="872" spans="1:2">
      <c r="A872" s="22">
        <v>3787312</v>
      </c>
      <c r="B872" s="22">
        <v>20</v>
      </c>
    </row>
    <row r="873" spans="1:2">
      <c r="A873" s="22">
        <v>3787320</v>
      </c>
      <c r="B873" s="22">
        <v>19</v>
      </c>
    </row>
    <row r="874" spans="1:2">
      <c r="A874" s="22">
        <v>3787321</v>
      </c>
      <c r="B874" s="22">
        <v>19</v>
      </c>
    </row>
    <row r="875" spans="1:2">
      <c r="A875" s="22">
        <v>3787443</v>
      </c>
      <c r="B875" s="22">
        <v>35</v>
      </c>
    </row>
    <row r="876" spans="1:2">
      <c r="A876" s="22">
        <v>3787444</v>
      </c>
      <c r="B876" s="22">
        <v>35</v>
      </c>
    </row>
    <row r="877" spans="1:2">
      <c r="A877" s="22">
        <v>3787518</v>
      </c>
      <c r="B877" s="22">
        <v>40</v>
      </c>
    </row>
    <row r="878" spans="1:2">
      <c r="A878" s="22">
        <v>3787567</v>
      </c>
      <c r="B878" s="22">
        <v>28</v>
      </c>
    </row>
    <row r="879" spans="1:2">
      <c r="A879" s="22">
        <v>3787579</v>
      </c>
      <c r="B879" s="22">
        <v>19</v>
      </c>
    </row>
    <row r="880" spans="1:2">
      <c r="A880" s="22">
        <v>3787601</v>
      </c>
      <c r="B880" s="22">
        <v>61</v>
      </c>
    </row>
    <row r="881" spans="1:2">
      <c r="A881" s="22">
        <v>3787605</v>
      </c>
      <c r="B881" s="22">
        <v>38</v>
      </c>
    </row>
    <row r="882" spans="1:2">
      <c r="A882" s="22">
        <v>3787606</v>
      </c>
      <c r="B882" s="22">
        <v>38</v>
      </c>
    </row>
    <row r="883" spans="1:2">
      <c r="A883" s="22">
        <v>3787618</v>
      </c>
      <c r="B883" s="22">
        <v>40</v>
      </c>
    </row>
    <row r="884" spans="1:2">
      <c r="A884" s="22">
        <v>3787621</v>
      </c>
      <c r="B884" s="22">
        <v>37</v>
      </c>
    </row>
    <row r="885" spans="1:2">
      <c r="A885" s="22">
        <v>3787623</v>
      </c>
      <c r="B885" s="22">
        <v>38</v>
      </c>
    </row>
    <row r="886" spans="1:2">
      <c r="A886" s="22">
        <v>3787629</v>
      </c>
      <c r="B886" s="22">
        <v>42</v>
      </c>
    </row>
    <row r="887" spans="1:2">
      <c r="A887" s="22">
        <v>3787656</v>
      </c>
      <c r="B887" s="22">
        <v>172</v>
      </c>
    </row>
    <row r="888" spans="1:2">
      <c r="A888" s="22">
        <v>3787657</v>
      </c>
      <c r="B888" s="22">
        <v>172</v>
      </c>
    </row>
    <row r="889" spans="1:2">
      <c r="A889" s="22">
        <v>3787659</v>
      </c>
      <c r="B889" s="22">
        <v>67</v>
      </c>
    </row>
    <row r="890" spans="1:2">
      <c r="A890" s="22">
        <v>3787660</v>
      </c>
      <c r="B890" s="22">
        <v>67</v>
      </c>
    </row>
    <row r="891" spans="1:2">
      <c r="A891" s="22">
        <v>3787677</v>
      </c>
      <c r="B891" s="22">
        <v>75</v>
      </c>
    </row>
    <row r="892" spans="1:2">
      <c r="A892" s="22">
        <v>3787678</v>
      </c>
      <c r="B892" s="22">
        <v>68</v>
      </c>
    </row>
    <row r="893" spans="1:2">
      <c r="A893" s="22">
        <v>3787679</v>
      </c>
      <c r="B893" s="22">
        <v>85</v>
      </c>
    </row>
    <row r="894" spans="1:2">
      <c r="A894" s="22">
        <v>3787680</v>
      </c>
      <c r="B894" s="22">
        <v>72</v>
      </c>
    </row>
    <row r="895" spans="1:2">
      <c r="A895" s="22">
        <v>3787685</v>
      </c>
      <c r="B895" s="22">
        <v>45</v>
      </c>
    </row>
    <row r="896" spans="1:2">
      <c r="A896" s="22">
        <v>3787688</v>
      </c>
      <c r="B896" s="22">
        <v>36</v>
      </c>
    </row>
    <row r="897" spans="1:2">
      <c r="A897" s="22">
        <v>3787693</v>
      </c>
      <c r="B897" s="22">
        <v>176</v>
      </c>
    </row>
    <row r="898" spans="1:2">
      <c r="A898" s="22">
        <v>3787694</v>
      </c>
      <c r="B898" s="22">
        <v>176</v>
      </c>
    </row>
    <row r="899" spans="1:2">
      <c r="A899" s="22">
        <v>3787699</v>
      </c>
      <c r="B899" s="22">
        <v>-68</v>
      </c>
    </row>
    <row r="900" spans="1:2">
      <c r="A900" s="22">
        <v>3787683</v>
      </c>
      <c r="B900" s="22">
        <v>86</v>
      </c>
    </row>
    <row r="901" spans="1:2">
      <c r="A901" s="22">
        <v>3787684</v>
      </c>
      <c r="B901" s="22">
        <v>57</v>
      </c>
    </row>
    <row r="902" spans="1:2">
      <c r="A902" s="22">
        <v>3787232</v>
      </c>
      <c r="B902" s="22">
        <v>-82</v>
      </c>
    </row>
    <row r="903" spans="1:2">
      <c r="A903" s="22">
        <v>3787581</v>
      </c>
      <c r="B903" s="22">
        <v>36</v>
      </c>
    </row>
    <row r="904" spans="1:2">
      <c r="A904" s="22">
        <v>3787611</v>
      </c>
      <c r="B904" s="22">
        <v>-44</v>
      </c>
    </row>
    <row r="905" spans="1:2">
      <c r="A905" s="22">
        <v>3787624</v>
      </c>
      <c r="B905" s="22">
        <v>38</v>
      </c>
    </row>
    <row r="906" spans="1:2">
      <c r="A906" s="22">
        <v>3787675</v>
      </c>
      <c r="B906" s="22">
        <v>55</v>
      </c>
    </row>
    <row r="907" spans="1:2">
      <c r="A907" s="22">
        <v>3787675</v>
      </c>
      <c r="B907" s="22">
        <v>55</v>
      </c>
    </row>
    <row r="908" spans="1:2">
      <c r="A908" s="22">
        <v>3787675</v>
      </c>
      <c r="B908" s="22">
        <v>55</v>
      </c>
    </row>
    <row r="909" spans="1:2">
      <c r="A909" s="22">
        <v>3787681</v>
      </c>
      <c r="B909" s="22">
        <v>57</v>
      </c>
    </row>
    <row r="910" spans="1:2">
      <c r="A910" s="22">
        <v>3787686</v>
      </c>
      <c r="B910" s="22">
        <v>38</v>
      </c>
    </row>
    <row r="911" spans="1:2">
      <c r="A911" s="22">
        <v>3787689</v>
      </c>
      <c r="B911" s="22">
        <v>-29</v>
      </c>
    </row>
    <row r="912" spans="1:2">
      <c r="A912" s="22">
        <v>3787690</v>
      </c>
      <c r="B912" s="22">
        <v>88</v>
      </c>
    </row>
    <row r="913" spans="1:2">
      <c r="A913" s="22">
        <v>3787691</v>
      </c>
      <c r="B913" s="22">
        <v>-11</v>
      </c>
    </row>
    <row r="914" spans="1:2">
      <c r="A914" s="22">
        <v>3787700</v>
      </c>
      <c r="B914" s="22">
        <v>106</v>
      </c>
    </row>
    <row r="915" spans="1:2">
      <c r="A915" s="22">
        <v>3787701</v>
      </c>
      <c r="B915" s="22">
        <v>58</v>
      </c>
    </row>
    <row r="916" spans="1:2">
      <c r="A916" s="22">
        <v>3787702</v>
      </c>
      <c r="B916" s="22">
        <v>50</v>
      </c>
    </row>
    <row r="917" spans="1:2">
      <c r="A917" s="22">
        <v>3787703</v>
      </c>
      <c r="B917" s="22">
        <v>55</v>
      </c>
    </row>
    <row r="918" spans="1:2">
      <c r="A918" s="22">
        <v>3787706</v>
      </c>
      <c r="B918" s="22">
        <v>83</v>
      </c>
    </row>
    <row r="919" spans="1:2">
      <c r="A919" s="22">
        <v>3787313</v>
      </c>
      <c r="B919" s="22">
        <v>20</v>
      </c>
    </row>
    <row r="920" spans="1:2">
      <c r="A920" s="22">
        <v>3787570</v>
      </c>
      <c r="B920" s="22">
        <v>30</v>
      </c>
    </row>
    <row r="921" spans="1:2">
      <c r="A921" s="22">
        <v>3787322</v>
      </c>
      <c r="B921" s="22">
        <v>19</v>
      </c>
    </row>
    <row r="922" spans="1:2">
      <c r="A922" s="22">
        <v>3787607</v>
      </c>
      <c r="B922" s="22">
        <v>38</v>
      </c>
    </row>
    <row r="923" spans="1:2">
      <c r="A923" s="22">
        <v>3787612</v>
      </c>
      <c r="B923" s="22">
        <v>-44</v>
      </c>
    </row>
    <row r="924" spans="1:2">
      <c r="A924" s="22">
        <v>3787625</v>
      </c>
      <c r="B924" s="22">
        <v>38</v>
      </c>
    </row>
    <row r="925" spans="1:2">
      <c r="A925" s="22">
        <v>3787661</v>
      </c>
      <c r="B925" s="22">
        <v>67</v>
      </c>
    </row>
    <row r="926" spans="1:2">
      <c r="A926" s="22">
        <v>3787676</v>
      </c>
      <c r="B926" s="22">
        <v>52</v>
      </c>
    </row>
    <row r="927" spans="1:2">
      <c r="A927" s="22">
        <v>3787682</v>
      </c>
      <c r="B927" s="22">
        <v>54</v>
      </c>
    </row>
    <row r="928" spans="1:2">
      <c r="A928" s="22">
        <v>3787687</v>
      </c>
      <c r="B928" s="22">
        <v>38</v>
      </c>
    </row>
    <row r="929" spans="1:2">
      <c r="A929" s="22">
        <v>3787698</v>
      </c>
      <c r="B929" s="22">
        <v>84</v>
      </c>
    </row>
    <row r="930" spans="1:2">
      <c r="A930" s="22">
        <v>3787314</v>
      </c>
      <c r="B930" s="22">
        <v>20</v>
      </c>
    </row>
    <row r="931" spans="1:2">
      <c r="A931" s="22">
        <v>3787568</v>
      </c>
      <c r="B931" s="22">
        <v>28</v>
      </c>
    </row>
    <row r="932" spans="1:2">
      <c r="A932" s="22">
        <v>3787613</v>
      </c>
      <c r="B932" s="22">
        <v>-44</v>
      </c>
    </row>
    <row r="933" spans="1:2">
      <c r="A933" s="22">
        <v>3787626</v>
      </c>
      <c r="B933" s="22">
        <v>38</v>
      </c>
    </row>
    <row r="934" spans="1:2">
      <c r="A934" s="22">
        <v>3787692</v>
      </c>
      <c r="B934" s="22">
        <v>-14</v>
      </c>
    </row>
    <row r="935" spans="1:2">
      <c r="A935" s="22">
        <v>3787707</v>
      </c>
      <c r="B935" s="22">
        <v>73</v>
      </c>
    </row>
    <row r="936" spans="1:2">
      <c r="A936" s="22">
        <v>3787710</v>
      </c>
      <c r="B936" s="22">
        <v>77</v>
      </c>
    </row>
    <row r="937" spans="1:2">
      <c r="A937" s="22">
        <v>3786112</v>
      </c>
      <c r="B937" s="22"/>
    </row>
    <row r="938" spans="1:2">
      <c r="A938" s="22">
        <v>3786114</v>
      </c>
      <c r="B938" s="22"/>
    </row>
    <row r="939" spans="1:2">
      <c r="A939" s="22">
        <v>3786115</v>
      </c>
      <c r="B939" s="22"/>
    </row>
    <row r="940" spans="1:2">
      <c r="A940" s="22">
        <v>3786116</v>
      </c>
      <c r="B940" s="22"/>
    </row>
    <row r="941" spans="1:2">
      <c r="A941" s="22">
        <v>3786116</v>
      </c>
      <c r="B941" s="22"/>
    </row>
    <row r="942" spans="1:2">
      <c r="A942" s="22">
        <v>3786117</v>
      </c>
      <c r="B942" s="22"/>
    </row>
    <row r="943" spans="1:2">
      <c r="A943" s="22">
        <v>3786118</v>
      </c>
      <c r="B943" s="22"/>
    </row>
    <row r="944" spans="1:2">
      <c r="A944" s="22">
        <v>3786119</v>
      </c>
      <c r="B944" s="22"/>
    </row>
    <row r="945" spans="1:2">
      <c r="A945" s="22">
        <v>3786120</v>
      </c>
      <c r="B945" s="22"/>
    </row>
    <row r="946" spans="1:2">
      <c r="A946" s="22">
        <v>3786121</v>
      </c>
      <c r="B946" s="22"/>
    </row>
    <row r="947" spans="1:2">
      <c r="A947" s="22">
        <v>3786122</v>
      </c>
      <c r="B947" s="22"/>
    </row>
    <row r="948" spans="1:2">
      <c r="A948" s="22">
        <v>3786123</v>
      </c>
      <c r="B948" s="22"/>
    </row>
    <row r="949" spans="1:2">
      <c r="A949" s="22">
        <v>3786123</v>
      </c>
      <c r="B949" s="22"/>
    </row>
    <row r="950" spans="1:2">
      <c r="A950" s="22">
        <v>3786124</v>
      </c>
      <c r="B950" s="22"/>
    </row>
    <row r="951" spans="1:2">
      <c r="A951" s="22">
        <v>3786125</v>
      </c>
      <c r="B951" s="22"/>
    </row>
    <row r="952" spans="1:2">
      <c r="A952" s="22">
        <v>3786126</v>
      </c>
      <c r="B952" s="22"/>
    </row>
    <row r="953" spans="1:2">
      <c r="A953" s="22">
        <v>3786129</v>
      </c>
      <c r="B953" s="22"/>
    </row>
    <row r="954" spans="1:2">
      <c r="A954" s="22">
        <v>3786130</v>
      </c>
      <c r="B954" s="22"/>
    </row>
    <row r="955" spans="1:2">
      <c r="A955" s="22">
        <v>3786131</v>
      </c>
      <c r="B955" s="22"/>
    </row>
    <row r="956" spans="1:2">
      <c r="A956" s="22">
        <v>3786132</v>
      </c>
      <c r="B956" s="22"/>
    </row>
    <row r="957" spans="1:2">
      <c r="A957" s="22">
        <v>3786133</v>
      </c>
      <c r="B957" s="22"/>
    </row>
    <row r="958" spans="1:2">
      <c r="A958" s="22">
        <v>3786134</v>
      </c>
      <c r="B958" s="22"/>
    </row>
    <row r="959" spans="1:2">
      <c r="A959" s="22">
        <v>3786135</v>
      </c>
      <c r="B959" s="22"/>
    </row>
    <row r="960" spans="1:2">
      <c r="A960" s="22">
        <v>3786145</v>
      </c>
      <c r="B960" s="22"/>
    </row>
    <row r="961" spans="1:2">
      <c r="A961" s="22">
        <v>3786146</v>
      </c>
      <c r="B961" s="22"/>
    </row>
    <row r="962" spans="1:2">
      <c r="A962" s="22">
        <v>3786146</v>
      </c>
      <c r="B962" s="22"/>
    </row>
    <row r="963" spans="1:2">
      <c r="A963" s="22">
        <v>3786147</v>
      </c>
      <c r="B963" s="22"/>
    </row>
    <row r="964" spans="1:2">
      <c r="A964" s="22">
        <v>3786147</v>
      </c>
      <c r="B964" s="22"/>
    </row>
    <row r="965" spans="1:2">
      <c r="A965" s="22">
        <v>3786148</v>
      </c>
      <c r="B965" s="22"/>
    </row>
    <row r="966" spans="1:2">
      <c r="A966" s="22">
        <v>3786148</v>
      </c>
      <c r="B966" s="22"/>
    </row>
    <row r="967" spans="1:2">
      <c r="A967" s="22">
        <v>3786149</v>
      </c>
      <c r="B967" s="22"/>
    </row>
    <row r="968" spans="1:2">
      <c r="A968" s="22">
        <v>3786150</v>
      </c>
      <c r="B968" s="22"/>
    </row>
    <row r="969" spans="1:2">
      <c r="A969" s="22">
        <v>3786150</v>
      </c>
      <c r="B969" s="22"/>
    </row>
    <row r="970" spans="1:2">
      <c r="A970" s="22">
        <v>3786151</v>
      </c>
      <c r="B970" s="22"/>
    </row>
    <row r="971" spans="1:2">
      <c r="A971" s="22">
        <v>3786152</v>
      </c>
      <c r="B971" s="22"/>
    </row>
    <row r="972" spans="1:2">
      <c r="A972" s="22">
        <v>3786153</v>
      </c>
      <c r="B972" s="22"/>
    </row>
    <row r="973" spans="1:2">
      <c r="A973" s="22">
        <v>3786154</v>
      </c>
      <c r="B973" s="22"/>
    </row>
    <row r="974" spans="1:2">
      <c r="A974" s="22">
        <v>3786155</v>
      </c>
      <c r="B974" s="22"/>
    </row>
    <row r="975" spans="1:2">
      <c r="A975" s="22">
        <v>3786156</v>
      </c>
      <c r="B975" s="22"/>
    </row>
    <row r="976" spans="1:2">
      <c r="A976" s="22">
        <v>3786157</v>
      </c>
      <c r="B976" s="22"/>
    </row>
    <row r="977" spans="1:2">
      <c r="A977" s="22">
        <v>3786158</v>
      </c>
      <c r="B977" s="22"/>
    </row>
    <row r="978" spans="1:2">
      <c r="A978" s="22">
        <v>3786159</v>
      </c>
      <c r="B978" s="22"/>
    </row>
    <row r="979" spans="1:2">
      <c r="A979" s="22">
        <v>3786160</v>
      </c>
      <c r="B979" s="22"/>
    </row>
    <row r="980" spans="1:2">
      <c r="A980" s="22">
        <v>3786161</v>
      </c>
      <c r="B980" s="22"/>
    </row>
    <row r="981" spans="1:2">
      <c r="A981" s="22">
        <v>3786163</v>
      </c>
      <c r="B981" s="22"/>
    </row>
    <row r="982" spans="1:2">
      <c r="A982" s="22">
        <v>3786164</v>
      </c>
      <c r="B982" s="22"/>
    </row>
    <row r="983" spans="1:2">
      <c r="A983" s="22">
        <v>3786164</v>
      </c>
      <c r="B983" s="22"/>
    </row>
    <row r="984" spans="1:2">
      <c r="A984" s="22">
        <v>3786165</v>
      </c>
      <c r="B984" s="22"/>
    </row>
    <row r="985" spans="1:2">
      <c r="A985" s="22">
        <v>3786166</v>
      </c>
      <c r="B985" s="22"/>
    </row>
    <row r="986" spans="1:2">
      <c r="A986" s="22">
        <v>3786166</v>
      </c>
      <c r="B986" s="22"/>
    </row>
    <row r="987" spans="1:2">
      <c r="A987" s="22">
        <v>3786167</v>
      </c>
      <c r="B987" s="22"/>
    </row>
    <row r="988" spans="1:2">
      <c r="A988" s="22">
        <v>3786167</v>
      </c>
      <c r="B988" s="22"/>
    </row>
    <row r="989" spans="1:2">
      <c r="A989" s="22">
        <v>3786169</v>
      </c>
      <c r="B989" s="22"/>
    </row>
    <row r="990" spans="1:2">
      <c r="A990" s="22">
        <v>3786170</v>
      </c>
      <c r="B990" s="22"/>
    </row>
    <row r="991" spans="1:2">
      <c r="A991" s="22">
        <v>3786173</v>
      </c>
      <c r="B991" s="22"/>
    </row>
    <row r="992" spans="1:2">
      <c r="A992" s="22">
        <v>3786174</v>
      </c>
      <c r="B992" s="22"/>
    </row>
    <row r="993" spans="1:2">
      <c r="A993" s="22">
        <v>3786175</v>
      </c>
      <c r="B993" s="22"/>
    </row>
    <row r="994" spans="1:2">
      <c r="A994" s="22">
        <v>3786176</v>
      </c>
      <c r="B994" s="22"/>
    </row>
    <row r="995" spans="1:2">
      <c r="A995" s="22">
        <v>3786177</v>
      </c>
      <c r="B995" s="22"/>
    </row>
    <row r="996" spans="1:2">
      <c r="A996" s="22">
        <v>3786178</v>
      </c>
      <c r="B996" s="22"/>
    </row>
    <row r="997" spans="1:2">
      <c r="A997" s="22">
        <v>3786179</v>
      </c>
      <c r="B997" s="22"/>
    </row>
    <row r="998" spans="1:2">
      <c r="A998" s="22">
        <v>3786180</v>
      </c>
      <c r="B998" s="22"/>
    </row>
    <row r="999" spans="1:2">
      <c r="A999" s="22">
        <v>3786181</v>
      </c>
      <c r="B999" s="22"/>
    </row>
    <row r="1000" spans="1:2">
      <c r="A1000" s="22">
        <v>3786182</v>
      </c>
      <c r="B1000" s="22"/>
    </row>
    <row r="1001" spans="1:2">
      <c r="A1001" s="22">
        <v>3786183</v>
      </c>
      <c r="B1001" s="22"/>
    </row>
    <row r="1002" spans="1:2">
      <c r="A1002" s="22">
        <v>3786184</v>
      </c>
      <c r="B1002" s="22"/>
    </row>
    <row r="1003" spans="1:2">
      <c r="A1003" s="22">
        <v>3786185</v>
      </c>
      <c r="B1003" s="22"/>
    </row>
    <row r="1004" spans="1:2">
      <c r="A1004" s="22">
        <v>3786186</v>
      </c>
      <c r="B1004" s="22"/>
    </row>
    <row r="1005" spans="1:2">
      <c r="A1005" s="22">
        <v>3786187</v>
      </c>
      <c r="B1005" s="22"/>
    </row>
    <row r="1006" spans="1:2">
      <c r="A1006" s="22">
        <v>3786188</v>
      </c>
      <c r="B1006" s="22"/>
    </row>
    <row r="1007" spans="1:2">
      <c r="A1007" s="22">
        <v>3786189</v>
      </c>
      <c r="B1007" s="22"/>
    </row>
    <row r="1008" spans="1:2">
      <c r="A1008" s="22">
        <v>3786190</v>
      </c>
      <c r="B1008" s="22"/>
    </row>
    <row r="1009" spans="1:2">
      <c r="A1009" s="22">
        <v>3786191</v>
      </c>
      <c r="B1009" s="22"/>
    </row>
    <row r="1010" spans="1:2">
      <c r="A1010" s="22">
        <v>3786192</v>
      </c>
      <c r="B1010" s="22"/>
    </row>
    <row r="1011" spans="1:2">
      <c r="A1011" s="22">
        <v>3786193</v>
      </c>
      <c r="B1011" s="22"/>
    </row>
    <row r="1012" spans="1:2">
      <c r="A1012" s="22">
        <v>3786195</v>
      </c>
      <c r="B1012" s="22"/>
    </row>
    <row r="1013" spans="1:2">
      <c r="A1013" s="22">
        <v>3786198</v>
      </c>
      <c r="B1013" s="22"/>
    </row>
    <row r="1014" spans="1:2">
      <c r="A1014" s="22">
        <v>3786199</v>
      </c>
      <c r="B1014" s="22"/>
    </row>
    <row r="1015" spans="1:2">
      <c r="A1015" s="22">
        <v>3786201</v>
      </c>
      <c r="B1015" s="22"/>
    </row>
    <row r="1016" spans="1:2">
      <c r="A1016" s="22">
        <v>3786202</v>
      </c>
      <c r="B1016" s="22"/>
    </row>
    <row r="1017" spans="1:2">
      <c r="A1017" s="22">
        <v>3786203</v>
      </c>
      <c r="B1017" s="22"/>
    </row>
    <row r="1018" spans="1:2">
      <c r="A1018" s="22">
        <v>3786204</v>
      </c>
      <c r="B1018" s="22"/>
    </row>
    <row r="1019" spans="1:2">
      <c r="A1019" s="22">
        <v>3786206</v>
      </c>
      <c r="B1019" s="22"/>
    </row>
    <row r="1020" spans="1:2">
      <c r="A1020" s="22">
        <v>3786207</v>
      </c>
      <c r="B1020" s="22"/>
    </row>
    <row r="1021" spans="1:2">
      <c r="A1021" s="22">
        <v>3786208</v>
      </c>
      <c r="B1021" s="22"/>
    </row>
    <row r="1022" spans="1:2">
      <c r="A1022" s="22">
        <v>3786213</v>
      </c>
      <c r="B1022" s="22"/>
    </row>
    <row r="1023" spans="1:2">
      <c r="A1023" s="22">
        <v>3786214</v>
      </c>
      <c r="B1023" s="22"/>
    </row>
    <row r="1024" spans="1:2">
      <c r="A1024" s="22">
        <v>3786215</v>
      </c>
      <c r="B1024" s="22"/>
    </row>
    <row r="1025" spans="1:2">
      <c r="A1025" s="22">
        <v>3786216</v>
      </c>
      <c r="B1025" s="22"/>
    </row>
    <row r="1026" spans="1:2">
      <c r="A1026" s="22">
        <v>3786217</v>
      </c>
      <c r="B1026" s="22"/>
    </row>
    <row r="1027" spans="1:2">
      <c r="A1027" s="22">
        <v>3786218</v>
      </c>
      <c r="B1027" s="22"/>
    </row>
    <row r="1028" spans="1:2">
      <c r="A1028" s="22">
        <v>3786219</v>
      </c>
      <c r="B1028" s="22"/>
    </row>
    <row r="1029" spans="1:2">
      <c r="A1029" s="22">
        <v>3786220</v>
      </c>
      <c r="B1029" s="22"/>
    </row>
    <row r="1030" spans="1:2">
      <c r="A1030" s="22">
        <v>3786221</v>
      </c>
      <c r="B1030" s="22"/>
    </row>
    <row r="1031" spans="1:2">
      <c r="A1031" s="22">
        <v>3786222</v>
      </c>
      <c r="B1031" s="22"/>
    </row>
    <row r="1032" spans="1:2">
      <c r="A1032" s="22">
        <v>3786223</v>
      </c>
      <c r="B1032" s="22"/>
    </row>
    <row r="1033" spans="1:2">
      <c r="A1033" s="22">
        <v>3786224</v>
      </c>
      <c r="B1033" s="22"/>
    </row>
    <row r="1034" spans="1:2">
      <c r="A1034" s="22">
        <v>3786225</v>
      </c>
      <c r="B1034" s="22"/>
    </row>
    <row r="1035" spans="1:2">
      <c r="A1035" s="22">
        <v>3786226</v>
      </c>
      <c r="B1035" s="22"/>
    </row>
    <row r="1036" spans="1:2">
      <c r="A1036" s="22">
        <v>3786227</v>
      </c>
      <c r="B1036" s="22"/>
    </row>
    <row r="1037" spans="1:2">
      <c r="A1037" s="22">
        <v>3786228</v>
      </c>
      <c r="B1037" s="22"/>
    </row>
    <row r="1038" spans="1:2">
      <c r="A1038" s="22">
        <v>3786229</v>
      </c>
      <c r="B1038" s="22"/>
    </row>
    <row r="1039" spans="1:2">
      <c r="A1039" s="22">
        <v>3786230</v>
      </c>
      <c r="B1039" s="22"/>
    </row>
    <row r="1040" spans="1:2">
      <c r="A1040" s="22">
        <v>3786230</v>
      </c>
      <c r="B1040" s="22"/>
    </row>
    <row r="1041" spans="1:2">
      <c r="A1041" s="22">
        <v>3786231</v>
      </c>
      <c r="B1041" s="22"/>
    </row>
    <row r="1042" spans="1:2">
      <c r="A1042" s="22">
        <v>3786232</v>
      </c>
      <c r="B1042" s="22"/>
    </row>
    <row r="1043" spans="1:2">
      <c r="A1043" s="22">
        <v>3786233</v>
      </c>
      <c r="B1043" s="22"/>
    </row>
    <row r="1044" spans="1:2">
      <c r="A1044" s="22">
        <v>3786237</v>
      </c>
      <c r="B1044" s="22"/>
    </row>
    <row r="1045" spans="1:2">
      <c r="A1045" s="22">
        <v>3786238</v>
      </c>
      <c r="B1045" s="22"/>
    </row>
    <row r="1046" spans="1:2">
      <c r="A1046" s="22">
        <v>3786239</v>
      </c>
      <c r="B1046" s="22"/>
    </row>
    <row r="1047" spans="1:2">
      <c r="A1047" s="22">
        <v>3786240</v>
      </c>
      <c r="B1047" s="22"/>
    </row>
    <row r="1048" spans="1:2">
      <c r="A1048" s="22">
        <v>3786241</v>
      </c>
      <c r="B1048" s="22"/>
    </row>
    <row r="1049" spans="1:2">
      <c r="A1049" s="22">
        <v>3786242</v>
      </c>
      <c r="B1049" s="22"/>
    </row>
    <row r="1050" spans="1:2">
      <c r="A1050" s="22">
        <v>3786243</v>
      </c>
      <c r="B1050" s="22"/>
    </row>
    <row r="1051" spans="1:2">
      <c r="A1051" s="22">
        <v>3786244</v>
      </c>
      <c r="B1051" s="22"/>
    </row>
    <row r="1052" spans="1:2">
      <c r="A1052" s="22">
        <v>3786245</v>
      </c>
      <c r="B1052" s="22"/>
    </row>
    <row r="1053" spans="1:2">
      <c r="A1053" s="22">
        <v>3786246</v>
      </c>
      <c r="B1053" s="22"/>
    </row>
    <row r="1054" spans="1:2">
      <c r="A1054" s="22">
        <v>3786247</v>
      </c>
      <c r="B1054" s="22"/>
    </row>
    <row r="1055" spans="1:2">
      <c r="A1055" s="22">
        <v>3786251</v>
      </c>
      <c r="B1055" s="22"/>
    </row>
    <row r="1056" spans="1:2">
      <c r="A1056" s="22">
        <v>3786256</v>
      </c>
      <c r="B1056" s="22"/>
    </row>
    <row r="1057" spans="1:2">
      <c r="A1057" s="22">
        <v>3786257</v>
      </c>
      <c r="B1057" s="22"/>
    </row>
    <row r="1058" spans="1:2">
      <c r="A1058" s="22">
        <v>3786258</v>
      </c>
      <c r="B1058" s="22"/>
    </row>
    <row r="1059" spans="1:2">
      <c r="A1059" s="22">
        <v>3786259</v>
      </c>
      <c r="B1059" s="22"/>
    </row>
    <row r="1060" spans="1:2">
      <c r="A1060" s="22">
        <v>3786260</v>
      </c>
      <c r="B1060" s="22"/>
    </row>
    <row r="1061" spans="1:2">
      <c r="A1061" s="22">
        <v>3786261</v>
      </c>
      <c r="B1061" s="22"/>
    </row>
    <row r="1062" spans="1:2">
      <c r="A1062" s="22">
        <v>3786262</v>
      </c>
      <c r="B1062" s="22"/>
    </row>
    <row r="1063" spans="1:2">
      <c r="A1063" s="22">
        <v>3786263</v>
      </c>
      <c r="B1063" s="22"/>
    </row>
    <row r="1064" spans="1:2">
      <c r="A1064" s="22">
        <v>3786267</v>
      </c>
      <c r="B1064" s="22"/>
    </row>
    <row r="1065" spans="1:2">
      <c r="A1065" s="22">
        <v>3786268</v>
      </c>
      <c r="B1065" s="22"/>
    </row>
    <row r="1066" spans="1:2">
      <c r="A1066" s="22">
        <v>3786269</v>
      </c>
      <c r="B1066" s="22"/>
    </row>
    <row r="1067" spans="1:2">
      <c r="A1067" s="22">
        <v>3786270</v>
      </c>
      <c r="B1067" s="22"/>
    </row>
    <row r="1068" spans="1:2">
      <c r="A1068" s="22">
        <v>3786271</v>
      </c>
      <c r="B1068" s="22"/>
    </row>
    <row r="1069" spans="1:2">
      <c r="A1069" s="22">
        <v>3786272</v>
      </c>
      <c r="B1069" s="22"/>
    </row>
    <row r="1070" spans="1:2">
      <c r="A1070" s="22">
        <v>3786273</v>
      </c>
      <c r="B1070" s="22"/>
    </row>
    <row r="1071" spans="1:2">
      <c r="A1071" s="22">
        <v>3786274</v>
      </c>
      <c r="B1071" s="22"/>
    </row>
    <row r="1072" spans="1:2">
      <c r="A1072" s="22">
        <v>3786275</v>
      </c>
      <c r="B1072" s="22"/>
    </row>
    <row r="1073" spans="1:2">
      <c r="A1073" s="22">
        <v>3786276</v>
      </c>
      <c r="B1073" s="22"/>
    </row>
    <row r="1074" spans="1:2">
      <c r="A1074" s="22">
        <v>3786277</v>
      </c>
      <c r="B1074" s="22"/>
    </row>
    <row r="1075" spans="1:2">
      <c r="A1075" s="22">
        <v>3786278</v>
      </c>
      <c r="B1075" s="22"/>
    </row>
    <row r="1076" spans="1:2">
      <c r="A1076" s="22">
        <v>3786279</v>
      </c>
      <c r="B1076" s="22"/>
    </row>
    <row r="1077" spans="1:2">
      <c r="A1077" s="22">
        <v>3786280</v>
      </c>
      <c r="B1077" s="22"/>
    </row>
    <row r="1078" spans="1:2">
      <c r="A1078" s="22">
        <v>3786281</v>
      </c>
      <c r="B1078" s="22"/>
    </row>
    <row r="1079" spans="1:2">
      <c r="A1079" s="22">
        <v>3786282</v>
      </c>
      <c r="B1079" s="22"/>
    </row>
    <row r="1080" spans="1:2">
      <c r="A1080" s="22">
        <v>3786283</v>
      </c>
      <c r="B1080" s="22"/>
    </row>
    <row r="1081" spans="1:2">
      <c r="A1081" s="22">
        <v>3786284</v>
      </c>
      <c r="B1081" s="22"/>
    </row>
    <row r="1082" spans="1:2">
      <c r="A1082" s="22">
        <v>3786286</v>
      </c>
      <c r="B1082" s="22"/>
    </row>
    <row r="1083" spans="1:2">
      <c r="A1083" s="22">
        <v>3786286</v>
      </c>
      <c r="B1083" s="22"/>
    </row>
    <row r="1084" spans="1:2">
      <c r="A1084" s="22">
        <v>3786287</v>
      </c>
      <c r="B1084" s="22"/>
    </row>
    <row r="1085" spans="1:2">
      <c r="A1085" s="22">
        <v>3786289</v>
      </c>
      <c r="B1085" s="22"/>
    </row>
    <row r="1086" spans="1:2">
      <c r="A1086" s="22">
        <v>3786290</v>
      </c>
      <c r="B1086" s="22"/>
    </row>
    <row r="1087" spans="1:2">
      <c r="A1087" s="22">
        <v>3786291</v>
      </c>
      <c r="B1087" s="22"/>
    </row>
    <row r="1088" spans="1:2">
      <c r="A1088" s="22">
        <v>3786292</v>
      </c>
      <c r="B1088" s="22"/>
    </row>
    <row r="1089" spans="1:2">
      <c r="A1089" s="22">
        <v>3786293</v>
      </c>
      <c r="B1089" s="22"/>
    </row>
    <row r="1090" spans="1:2">
      <c r="A1090" s="22">
        <v>3786294</v>
      </c>
      <c r="B1090" s="22"/>
    </row>
    <row r="1091" spans="1:2">
      <c r="A1091" s="22">
        <v>3786295</v>
      </c>
      <c r="B1091" s="22"/>
    </row>
    <row r="1092" spans="1:2">
      <c r="A1092" s="22">
        <v>3786296</v>
      </c>
      <c r="B1092" s="22"/>
    </row>
    <row r="1093" spans="1:2">
      <c r="A1093" s="22">
        <v>3786297</v>
      </c>
      <c r="B1093" s="22"/>
    </row>
    <row r="1094" spans="1:2">
      <c r="A1094" s="22">
        <v>3786298</v>
      </c>
      <c r="B1094" s="22"/>
    </row>
    <row r="1095" spans="1:2">
      <c r="A1095" s="22">
        <v>3786299</v>
      </c>
      <c r="B1095" s="22"/>
    </row>
    <row r="1096" spans="1:2">
      <c r="A1096" s="22">
        <v>3786300</v>
      </c>
      <c r="B1096" s="22"/>
    </row>
    <row r="1097" spans="1:2">
      <c r="A1097" s="22">
        <v>3786301</v>
      </c>
      <c r="B1097" s="22"/>
    </row>
    <row r="1098" spans="1:2">
      <c r="A1098" s="22">
        <v>3786311</v>
      </c>
      <c r="B1098" s="22"/>
    </row>
    <row r="1099" spans="1:2">
      <c r="A1099" s="22">
        <v>3786312</v>
      </c>
      <c r="B1099" s="22"/>
    </row>
    <row r="1100" spans="1:2">
      <c r="A1100" s="22">
        <v>3786313</v>
      </c>
      <c r="B1100" s="22"/>
    </row>
    <row r="1101" spans="1:2">
      <c r="A1101" s="22">
        <v>3786314</v>
      </c>
      <c r="B1101" s="22"/>
    </row>
    <row r="1102" spans="1:2">
      <c r="A1102" s="22">
        <v>3786315</v>
      </c>
      <c r="B1102" s="22"/>
    </row>
    <row r="1103" spans="1:2">
      <c r="A1103" s="22">
        <v>3786316</v>
      </c>
      <c r="B1103" s="22"/>
    </row>
    <row r="1104" spans="1:2">
      <c r="A1104" s="22">
        <v>3786317</v>
      </c>
      <c r="B1104" s="22"/>
    </row>
    <row r="1105" spans="1:2">
      <c r="A1105" s="22">
        <v>3786319</v>
      </c>
      <c r="B1105" s="22"/>
    </row>
    <row r="1106" spans="1:2">
      <c r="A1106" s="22">
        <v>3786320</v>
      </c>
      <c r="B1106" s="22"/>
    </row>
    <row r="1107" spans="1:2">
      <c r="A1107" s="22">
        <v>3786321</v>
      </c>
      <c r="B1107" s="22"/>
    </row>
    <row r="1108" spans="1:2">
      <c r="A1108" s="22">
        <v>3786322</v>
      </c>
      <c r="B1108" s="22"/>
    </row>
    <row r="1109" spans="1:2">
      <c r="A1109" s="22">
        <v>3786323</v>
      </c>
      <c r="B1109" s="22"/>
    </row>
    <row r="1110" spans="1:2">
      <c r="A1110" s="22">
        <v>3786324</v>
      </c>
      <c r="B1110" s="22"/>
    </row>
    <row r="1111" spans="1:2">
      <c r="A1111" s="22">
        <v>3786325</v>
      </c>
      <c r="B1111" s="22"/>
    </row>
    <row r="1112" spans="1:2">
      <c r="A1112" s="22">
        <v>3786326</v>
      </c>
      <c r="B1112" s="22"/>
    </row>
    <row r="1113" spans="1:2">
      <c r="A1113" s="22">
        <v>3786327</v>
      </c>
      <c r="B1113" s="22"/>
    </row>
    <row r="1114" spans="1:2">
      <c r="A1114" s="22">
        <v>3786328</v>
      </c>
      <c r="B1114" s="22"/>
    </row>
    <row r="1115" spans="1:2">
      <c r="A1115" s="22">
        <v>3786329</v>
      </c>
      <c r="B1115" s="22"/>
    </row>
    <row r="1116" spans="1:2">
      <c r="A1116" s="22">
        <v>3786330</v>
      </c>
      <c r="B1116" s="22"/>
    </row>
    <row r="1117" spans="1:2">
      <c r="A1117" s="22">
        <v>3786331</v>
      </c>
      <c r="B1117" s="22"/>
    </row>
    <row r="1118" spans="1:2">
      <c r="A1118" s="22">
        <v>3786332</v>
      </c>
      <c r="B1118" s="22"/>
    </row>
    <row r="1119" spans="1:2">
      <c r="A1119" s="22">
        <v>3786333</v>
      </c>
      <c r="B1119" s="22"/>
    </row>
    <row r="1120" spans="1:2">
      <c r="A1120" s="22">
        <v>3786334</v>
      </c>
      <c r="B1120" s="22"/>
    </row>
    <row r="1121" spans="1:2">
      <c r="A1121" s="22">
        <v>3786338</v>
      </c>
      <c r="B1121" s="22"/>
    </row>
    <row r="1122" spans="1:2">
      <c r="A1122" s="22">
        <v>3786339</v>
      </c>
      <c r="B1122" s="22"/>
    </row>
    <row r="1123" spans="1:2">
      <c r="A1123" s="22">
        <v>3786340</v>
      </c>
      <c r="B1123" s="22"/>
    </row>
    <row r="1124" spans="1:2">
      <c r="A1124" s="22">
        <v>3786341</v>
      </c>
      <c r="B1124" s="22"/>
    </row>
    <row r="1125" spans="1:2">
      <c r="A1125" s="22">
        <v>3786342</v>
      </c>
      <c r="B1125" s="22"/>
    </row>
    <row r="1126" spans="1:2">
      <c r="A1126" s="22">
        <v>3786343</v>
      </c>
      <c r="B1126" s="22"/>
    </row>
    <row r="1127" spans="1:2">
      <c r="A1127" s="22">
        <v>3786344</v>
      </c>
      <c r="B1127" s="22"/>
    </row>
    <row r="1128" spans="1:2">
      <c r="A1128" s="22">
        <v>3786345</v>
      </c>
      <c r="B1128" s="22"/>
    </row>
    <row r="1129" spans="1:2">
      <c r="A1129" s="22">
        <v>3786346</v>
      </c>
      <c r="B1129" s="22"/>
    </row>
    <row r="1130" spans="1:2">
      <c r="A1130" s="22">
        <v>3786347</v>
      </c>
      <c r="B1130" s="22"/>
    </row>
    <row r="1131" spans="1:2">
      <c r="A1131" s="22">
        <v>3786348</v>
      </c>
      <c r="B1131" s="22"/>
    </row>
    <row r="1132" spans="1:2">
      <c r="A1132" s="22">
        <v>3786349</v>
      </c>
      <c r="B1132" s="22"/>
    </row>
    <row r="1133" spans="1:2">
      <c r="A1133" s="22">
        <v>3786350</v>
      </c>
      <c r="B1133" s="22"/>
    </row>
    <row r="1134" spans="1:2">
      <c r="A1134" s="22">
        <v>3786351</v>
      </c>
      <c r="B1134" s="22"/>
    </row>
    <row r="1135" spans="1:2">
      <c r="A1135" s="22">
        <v>3786352</v>
      </c>
      <c r="B1135" s="22"/>
    </row>
    <row r="1136" spans="1:2">
      <c r="A1136" s="22">
        <v>3786353</v>
      </c>
      <c r="B1136" s="22"/>
    </row>
    <row r="1137" spans="1:2">
      <c r="A1137" s="22">
        <v>3786354</v>
      </c>
      <c r="B1137" s="22"/>
    </row>
    <row r="1138" spans="1:2">
      <c r="A1138" s="22">
        <v>3786355</v>
      </c>
      <c r="B1138" s="22"/>
    </row>
    <row r="1139" spans="1:2">
      <c r="A1139" s="22">
        <v>3786356</v>
      </c>
      <c r="B1139" s="22"/>
    </row>
    <row r="1140" spans="1:2">
      <c r="A1140" s="22">
        <v>3786357</v>
      </c>
      <c r="B1140" s="22"/>
    </row>
    <row r="1141" spans="1:2">
      <c r="A1141" s="22">
        <v>3786358</v>
      </c>
      <c r="B1141" s="22"/>
    </row>
    <row r="1142" spans="1:2">
      <c r="A1142" s="22">
        <v>3786365</v>
      </c>
      <c r="B1142" s="22"/>
    </row>
    <row r="1143" spans="1:2">
      <c r="A1143" s="22">
        <v>3786366</v>
      </c>
      <c r="B1143" s="22"/>
    </row>
    <row r="1144" spans="1:2">
      <c r="A1144" s="22">
        <v>3786367</v>
      </c>
      <c r="B1144" s="22"/>
    </row>
    <row r="1145" spans="1:2">
      <c r="A1145" s="22">
        <v>3786368</v>
      </c>
      <c r="B1145" s="22"/>
    </row>
    <row r="1146" spans="1:2">
      <c r="A1146" s="22">
        <v>3786369</v>
      </c>
      <c r="B1146" s="22"/>
    </row>
    <row r="1147" spans="1:2">
      <c r="A1147" s="22">
        <v>3786370</v>
      </c>
      <c r="B1147" s="22"/>
    </row>
    <row r="1148" spans="1:2">
      <c r="A1148" s="22">
        <v>3786371</v>
      </c>
      <c r="B1148" s="22"/>
    </row>
    <row r="1149" spans="1:2">
      <c r="A1149" s="22">
        <v>3786372</v>
      </c>
      <c r="B1149" s="22"/>
    </row>
    <row r="1150" spans="1:2">
      <c r="A1150" s="22">
        <v>3786373</v>
      </c>
      <c r="B1150" s="22"/>
    </row>
    <row r="1151" spans="1:2">
      <c r="A1151" s="22">
        <v>3786374</v>
      </c>
      <c r="B1151" s="22"/>
    </row>
    <row r="1152" spans="1:2">
      <c r="A1152" s="22">
        <v>3786375</v>
      </c>
      <c r="B1152" s="22"/>
    </row>
    <row r="1153" spans="1:2">
      <c r="A1153" s="22">
        <v>3786377</v>
      </c>
      <c r="B1153" s="22"/>
    </row>
    <row r="1154" spans="1:2">
      <c r="A1154" s="22">
        <v>3786378</v>
      </c>
      <c r="B1154" s="22"/>
    </row>
    <row r="1155" spans="1:2">
      <c r="A1155" s="22">
        <v>3786379</v>
      </c>
      <c r="B1155" s="22"/>
    </row>
    <row r="1156" spans="1:2">
      <c r="A1156" s="22">
        <v>3786380</v>
      </c>
      <c r="B1156" s="22"/>
    </row>
    <row r="1157" spans="1:2">
      <c r="A1157" s="22">
        <v>3786381</v>
      </c>
      <c r="B1157" s="22"/>
    </row>
    <row r="1158" spans="1:2">
      <c r="A1158" s="22">
        <v>3786382</v>
      </c>
      <c r="B1158" s="22"/>
    </row>
    <row r="1159" spans="1:2">
      <c r="A1159" s="22">
        <v>3786383</v>
      </c>
      <c r="B1159" s="22"/>
    </row>
    <row r="1160" spans="1:2">
      <c r="A1160" s="22">
        <v>3786383</v>
      </c>
      <c r="B1160" s="22"/>
    </row>
    <row r="1161" spans="1:2">
      <c r="A1161" s="22">
        <v>3786390</v>
      </c>
      <c r="B1161" s="22"/>
    </row>
    <row r="1162" spans="1:2">
      <c r="A1162" s="22">
        <v>3786391</v>
      </c>
      <c r="B1162" s="22"/>
    </row>
    <row r="1163" spans="1:2">
      <c r="A1163" s="22">
        <v>3786395</v>
      </c>
      <c r="B1163" s="22"/>
    </row>
    <row r="1164" spans="1:2">
      <c r="A1164" s="22">
        <v>3786395</v>
      </c>
      <c r="B1164" s="22"/>
    </row>
    <row r="1165" spans="1:2">
      <c r="A1165" s="22">
        <v>3786396</v>
      </c>
      <c r="B1165" s="22"/>
    </row>
    <row r="1166" spans="1:2">
      <c r="A1166" s="22">
        <v>3786397</v>
      </c>
      <c r="B1166" s="22"/>
    </row>
    <row r="1167" spans="1:2">
      <c r="A1167" s="22">
        <v>3786398</v>
      </c>
      <c r="B1167" s="22"/>
    </row>
    <row r="1168" spans="1:2">
      <c r="A1168" s="22">
        <v>3786400</v>
      </c>
      <c r="B1168" s="22"/>
    </row>
    <row r="1169" spans="1:2">
      <c r="A1169" s="22">
        <v>3786401</v>
      </c>
      <c r="B1169" s="22"/>
    </row>
    <row r="1170" spans="1:2">
      <c r="A1170" s="22">
        <v>3786402</v>
      </c>
      <c r="B1170" s="22"/>
    </row>
    <row r="1171" spans="1:2">
      <c r="A1171" s="22">
        <v>3786405</v>
      </c>
      <c r="B1171" s="22"/>
    </row>
    <row r="1172" spans="1:2">
      <c r="A1172" s="22">
        <v>3786406</v>
      </c>
      <c r="B1172" s="22"/>
    </row>
    <row r="1173" spans="1:2">
      <c r="A1173" s="22">
        <v>3786407</v>
      </c>
      <c r="B1173" s="22"/>
    </row>
    <row r="1174" spans="1:2">
      <c r="A1174" s="22">
        <v>3786408</v>
      </c>
      <c r="B1174" s="22"/>
    </row>
    <row r="1175" spans="1:2">
      <c r="A1175" s="22">
        <v>3786409</v>
      </c>
      <c r="B1175" s="22"/>
    </row>
    <row r="1176" spans="1:2">
      <c r="A1176" s="22">
        <v>3786410</v>
      </c>
      <c r="B1176" s="22"/>
    </row>
    <row r="1177" spans="1:2">
      <c r="A1177" s="22">
        <v>3786411</v>
      </c>
      <c r="B1177" s="22"/>
    </row>
    <row r="1178" spans="1:2">
      <c r="A1178" s="22">
        <v>3786412</v>
      </c>
      <c r="B1178" s="22"/>
    </row>
    <row r="1179" spans="1:2">
      <c r="A1179" s="22">
        <v>3786413</v>
      </c>
      <c r="B1179" s="22"/>
    </row>
    <row r="1180" spans="1:2">
      <c r="A1180" s="22">
        <v>3786414</v>
      </c>
      <c r="B1180" s="22"/>
    </row>
    <row r="1181" spans="1:2">
      <c r="A1181" s="22">
        <v>3786415</v>
      </c>
      <c r="B1181" s="22"/>
    </row>
    <row r="1182" spans="1:2">
      <c r="A1182" s="22">
        <v>3786416</v>
      </c>
      <c r="B1182" s="22"/>
    </row>
    <row r="1183" spans="1:2">
      <c r="A1183" s="22">
        <v>3786417</v>
      </c>
      <c r="B1183" s="22"/>
    </row>
    <row r="1184" spans="1:2">
      <c r="A1184" s="22">
        <v>3786418</v>
      </c>
      <c r="B1184" s="22"/>
    </row>
    <row r="1185" spans="1:2">
      <c r="A1185" s="22">
        <v>3786419</v>
      </c>
      <c r="B1185" s="22"/>
    </row>
    <row r="1186" spans="1:2">
      <c r="A1186" s="22">
        <v>3786420</v>
      </c>
      <c r="B1186" s="22"/>
    </row>
    <row r="1187" spans="1:2">
      <c r="A1187" s="22">
        <v>3786421</v>
      </c>
      <c r="B1187" s="22"/>
    </row>
    <row r="1188" spans="1:2">
      <c r="A1188" s="22">
        <v>3786422</v>
      </c>
      <c r="B1188" s="22"/>
    </row>
    <row r="1189" spans="1:2">
      <c r="A1189" s="22">
        <v>3786427</v>
      </c>
      <c r="B1189" s="22"/>
    </row>
    <row r="1190" spans="1:2">
      <c r="A1190" s="22">
        <v>3786428</v>
      </c>
      <c r="B1190" s="22"/>
    </row>
    <row r="1191" spans="1:2">
      <c r="A1191" s="22">
        <v>3786429</v>
      </c>
      <c r="B1191" s="22"/>
    </row>
    <row r="1192" spans="1:2">
      <c r="A1192" s="22">
        <v>3786452</v>
      </c>
      <c r="B1192" s="22"/>
    </row>
    <row r="1193" spans="1:2">
      <c r="A1193" s="22">
        <v>3786460</v>
      </c>
      <c r="B1193" s="22"/>
    </row>
    <row r="1194" spans="1:2">
      <c r="A1194" s="22">
        <v>3786461</v>
      </c>
      <c r="B1194" s="22"/>
    </row>
    <row r="1195" spans="1:2">
      <c r="A1195" s="22">
        <v>3786474</v>
      </c>
      <c r="B1195" s="22"/>
    </row>
    <row r="1196" spans="1:2">
      <c r="A1196" s="22">
        <v>3786475</v>
      </c>
      <c r="B1196" s="22"/>
    </row>
    <row r="1197" spans="1:2">
      <c r="A1197" s="22">
        <v>3786557</v>
      </c>
      <c r="B1197" s="22">
        <v>31</v>
      </c>
    </row>
    <row r="1198" spans="1:2">
      <c r="A1198" s="22">
        <v>3786558</v>
      </c>
      <c r="B1198" s="22">
        <v>173</v>
      </c>
    </row>
    <row r="1199" spans="1:2">
      <c r="A1199" s="22">
        <v>3786559</v>
      </c>
      <c r="B1199" s="22">
        <v>168</v>
      </c>
    </row>
    <row r="1200" spans="1:2">
      <c r="A1200" s="22">
        <v>3786560</v>
      </c>
      <c r="B1200" s="22">
        <v>164</v>
      </c>
    </row>
    <row r="1201" spans="1:2">
      <c r="A1201" s="22">
        <v>3786561</v>
      </c>
      <c r="B1201" s="22">
        <v>30</v>
      </c>
    </row>
    <row r="1202" spans="1:2">
      <c r="A1202" s="22">
        <v>3786562</v>
      </c>
      <c r="B1202" s="22">
        <v>27</v>
      </c>
    </row>
    <row r="1203" spans="1:2">
      <c r="A1203" s="22">
        <v>3786577</v>
      </c>
      <c r="B1203" s="22">
        <v>146</v>
      </c>
    </row>
    <row r="1204" spans="1:2">
      <c r="A1204" s="22">
        <v>3786578</v>
      </c>
      <c r="B1204" s="22">
        <v>146</v>
      </c>
    </row>
    <row r="1205" spans="1:2">
      <c r="A1205" s="22">
        <v>3786578</v>
      </c>
      <c r="B1205" s="22">
        <v>146</v>
      </c>
    </row>
    <row r="1206" spans="1:2">
      <c r="A1206" s="22">
        <v>3786579</v>
      </c>
      <c r="B1206" s="22">
        <v>96</v>
      </c>
    </row>
    <row r="1207" spans="1:2">
      <c r="A1207" s="22">
        <v>3786580</v>
      </c>
      <c r="B1207" s="22">
        <v>96</v>
      </c>
    </row>
    <row r="1208" spans="1:2">
      <c r="A1208" s="22">
        <v>3786581</v>
      </c>
      <c r="B1208" s="22">
        <v>146</v>
      </c>
    </row>
    <row r="1209" spans="1:2">
      <c r="A1209" s="22">
        <v>3786583</v>
      </c>
      <c r="B1209" s="22">
        <v>96</v>
      </c>
    </row>
    <row r="1210" spans="1:2">
      <c r="A1210" s="22">
        <v>3786594</v>
      </c>
      <c r="B1210" s="22">
        <v>175</v>
      </c>
    </row>
    <row r="1211" spans="1:2">
      <c r="A1211" s="22">
        <v>3786595</v>
      </c>
      <c r="B1211" s="22">
        <v>135</v>
      </c>
    </row>
    <row r="1212" spans="1:2">
      <c r="A1212" s="22">
        <v>3786601</v>
      </c>
      <c r="B1212" s="22">
        <v>0</v>
      </c>
    </row>
    <row r="1213" spans="1:2">
      <c r="A1213" s="22">
        <v>3786602</v>
      </c>
      <c r="B1213" s="22">
        <v>117</v>
      </c>
    </row>
    <row r="1214" spans="1:2">
      <c r="A1214" s="22">
        <v>3786603</v>
      </c>
      <c r="B1214" s="22">
        <v>160</v>
      </c>
    </row>
    <row r="1215" spans="1:2">
      <c r="A1215" s="22">
        <v>3786604</v>
      </c>
      <c r="B1215" s="22">
        <v>158</v>
      </c>
    </row>
    <row r="1216" spans="1:2">
      <c r="A1216" s="22">
        <v>3786605</v>
      </c>
      <c r="B1216" s="22">
        <v>166</v>
      </c>
    </row>
    <row r="1217" spans="1:2">
      <c r="A1217" s="22">
        <v>3786606</v>
      </c>
      <c r="B1217" s="22">
        <v>125</v>
      </c>
    </row>
    <row r="1218" spans="1:2">
      <c r="A1218" s="22">
        <v>3786607</v>
      </c>
      <c r="B1218" s="22">
        <v>166</v>
      </c>
    </row>
    <row r="1219" spans="1:2">
      <c r="A1219" s="22">
        <v>3786608</v>
      </c>
      <c r="B1219" s="22">
        <v>119</v>
      </c>
    </row>
    <row r="1220" spans="1:2">
      <c r="A1220" s="22">
        <v>3786609</v>
      </c>
      <c r="B1220" s="22">
        <v>125</v>
      </c>
    </row>
    <row r="1221" spans="1:2">
      <c r="A1221" s="22">
        <v>3786610</v>
      </c>
      <c r="B1221" s="22">
        <v>163</v>
      </c>
    </row>
    <row r="1222" spans="1:2">
      <c r="A1222" s="22">
        <v>3786611</v>
      </c>
      <c r="B1222" s="22">
        <v>163</v>
      </c>
    </row>
    <row r="1223" spans="1:2">
      <c r="A1223" s="22">
        <v>3786612</v>
      </c>
      <c r="B1223" s="22">
        <v>165</v>
      </c>
    </row>
    <row r="1224" spans="1:2">
      <c r="A1224" s="22">
        <v>3786613</v>
      </c>
      <c r="B1224" s="22">
        <v>175</v>
      </c>
    </row>
    <row r="1225" spans="1:2">
      <c r="A1225" s="22">
        <v>3786614</v>
      </c>
      <c r="B1225" s="22">
        <v>120</v>
      </c>
    </row>
    <row r="1226" spans="1:2">
      <c r="A1226" s="22">
        <v>3786627</v>
      </c>
      <c r="B1226" s="22">
        <v>176</v>
      </c>
    </row>
    <row r="1227" spans="1:2">
      <c r="A1227" s="22">
        <v>3786628</v>
      </c>
      <c r="B1227" s="22">
        <v>176</v>
      </c>
    </row>
    <row r="1228" spans="1:2">
      <c r="A1228" s="22">
        <v>3786629</v>
      </c>
      <c r="B1228" s="22">
        <v>177</v>
      </c>
    </row>
    <row r="1229" spans="1:2">
      <c r="A1229" s="22">
        <v>3786630</v>
      </c>
      <c r="B1229" s="22">
        <v>172</v>
      </c>
    </row>
    <row r="1230" spans="1:2">
      <c r="A1230" s="22">
        <v>3786631</v>
      </c>
      <c r="B1230" s="22">
        <v>159</v>
      </c>
    </row>
    <row r="1231" spans="1:2">
      <c r="A1231" s="22">
        <v>3786632</v>
      </c>
      <c r="B1231" s="22">
        <v>132</v>
      </c>
    </row>
    <row r="1232" spans="1:2">
      <c r="A1232" s="22">
        <v>3786633</v>
      </c>
      <c r="B1232" s="22">
        <v>189</v>
      </c>
    </row>
    <row r="1233" spans="1:2">
      <c r="A1233" s="22">
        <v>3786634</v>
      </c>
      <c r="B1233" s="22">
        <v>58</v>
      </c>
    </row>
    <row r="1234" spans="1:2">
      <c r="A1234" s="22">
        <v>3786635</v>
      </c>
      <c r="B1234" s="22">
        <v>40</v>
      </c>
    </row>
    <row r="1235" spans="1:2">
      <c r="A1235" s="22">
        <v>3786636</v>
      </c>
      <c r="B1235" s="22">
        <v>20</v>
      </c>
    </row>
    <row r="1236" spans="1:2">
      <c r="A1236" s="22">
        <v>3786637</v>
      </c>
      <c r="B1236" s="22">
        <v>110</v>
      </c>
    </row>
    <row r="1237" spans="1:2">
      <c r="A1237" s="22">
        <v>3786638</v>
      </c>
      <c r="B1237" s="22">
        <v>171</v>
      </c>
    </row>
    <row r="1238" spans="1:2">
      <c r="A1238" s="22">
        <v>3786639</v>
      </c>
      <c r="B1238" s="22">
        <v>147</v>
      </c>
    </row>
    <row r="1239" spans="1:2">
      <c r="A1239" s="22">
        <v>3786640</v>
      </c>
      <c r="B1239" s="22">
        <v>112</v>
      </c>
    </row>
    <row r="1240" spans="1:2">
      <c r="A1240" s="22">
        <v>3786641</v>
      </c>
      <c r="B1240" s="22">
        <v>169</v>
      </c>
    </row>
    <row r="1241" spans="1:2">
      <c r="A1241" s="22">
        <v>3786642</v>
      </c>
      <c r="B1241" s="22">
        <v>18</v>
      </c>
    </row>
    <row r="1242" spans="1:2">
      <c r="A1242" s="22">
        <v>3786643</v>
      </c>
      <c r="B1242" s="22">
        <v>85</v>
      </c>
    </row>
    <row r="1243" spans="1:2">
      <c r="A1243" s="22">
        <v>3786653</v>
      </c>
      <c r="B1243" s="22">
        <v>114</v>
      </c>
    </row>
    <row r="1244" spans="1:2">
      <c r="A1244" s="22">
        <v>3786654</v>
      </c>
      <c r="B1244" s="22">
        <v>109</v>
      </c>
    </row>
    <row r="1245" spans="1:2">
      <c r="A1245" s="22">
        <v>3786655</v>
      </c>
      <c r="B1245" s="22">
        <v>72</v>
      </c>
    </row>
    <row r="1246" spans="1:2">
      <c r="A1246" s="22">
        <v>3786656</v>
      </c>
      <c r="B1246" s="22">
        <v>131</v>
      </c>
    </row>
    <row r="1247" spans="1:2">
      <c r="A1247" s="22">
        <v>3786657</v>
      </c>
      <c r="B1247" s="22">
        <v>74</v>
      </c>
    </row>
    <row r="1248" spans="1:2">
      <c r="A1248" s="22">
        <v>3786658</v>
      </c>
      <c r="B1248" s="22">
        <v>121</v>
      </c>
    </row>
    <row r="1249" spans="1:2">
      <c r="A1249" s="22">
        <v>3786659</v>
      </c>
      <c r="B1249" s="22">
        <v>78</v>
      </c>
    </row>
    <row r="1250" spans="1:2">
      <c r="A1250" s="22">
        <v>3786660</v>
      </c>
      <c r="B1250" s="22">
        <v>119</v>
      </c>
    </row>
    <row r="1251" spans="1:2">
      <c r="A1251" s="22">
        <v>3786661</v>
      </c>
      <c r="B1251" s="22">
        <v>84</v>
      </c>
    </row>
    <row r="1252" spans="1:2">
      <c r="A1252" s="22">
        <v>3786662</v>
      </c>
      <c r="B1252" s="22">
        <v>94</v>
      </c>
    </row>
    <row r="1253" spans="1:2">
      <c r="A1253" s="22">
        <v>3786663</v>
      </c>
      <c r="B1253" s="22">
        <v>120</v>
      </c>
    </row>
    <row r="1254" spans="1:2">
      <c r="A1254" s="22">
        <v>3786664</v>
      </c>
      <c r="B1254" s="22">
        <v>124</v>
      </c>
    </row>
    <row r="1255" spans="1:2">
      <c r="A1255" s="22">
        <v>3786665</v>
      </c>
      <c r="B1255" s="22">
        <v>135</v>
      </c>
    </row>
    <row r="1256" spans="1:2">
      <c r="A1256" s="22">
        <v>3786666</v>
      </c>
      <c r="B1256" s="22">
        <v>120</v>
      </c>
    </row>
    <row r="1257" spans="1:2">
      <c r="A1257" s="22">
        <v>3786667</v>
      </c>
      <c r="B1257" s="22">
        <v>69</v>
      </c>
    </row>
    <row r="1258" spans="1:2">
      <c r="A1258" s="22">
        <v>3786668</v>
      </c>
      <c r="B1258" s="22">
        <v>116</v>
      </c>
    </row>
    <row r="1259" spans="1:2">
      <c r="A1259" s="22">
        <v>3786669</v>
      </c>
      <c r="B1259" s="22">
        <v>136</v>
      </c>
    </row>
    <row r="1260" spans="1:2">
      <c r="A1260" s="22">
        <v>3786670</v>
      </c>
      <c r="B1260" s="22">
        <v>91</v>
      </c>
    </row>
    <row r="1261" spans="1:2">
      <c r="A1261" s="22">
        <v>3786671</v>
      </c>
      <c r="B1261" s="22">
        <v>131</v>
      </c>
    </row>
    <row r="1262" spans="1:2">
      <c r="A1262" s="22">
        <v>3786672</v>
      </c>
      <c r="B1262" s="22">
        <v>81</v>
      </c>
    </row>
    <row r="1263" spans="1:2">
      <c r="A1263" s="22">
        <v>3786674</v>
      </c>
      <c r="B1263" s="22">
        <v>96</v>
      </c>
    </row>
    <row r="1264" spans="1:2">
      <c r="A1264" s="22">
        <v>3786675</v>
      </c>
      <c r="B1264" s="22">
        <v>69</v>
      </c>
    </row>
    <row r="1265" spans="1:2">
      <c r="A1265" s="22">
        <v>3786676</v>
      </c>
      <c r="B1265" s="22">
        <v>104</v>
      </c>
    </row>
    <row r="1266" spans="1:2">
      <c r="A1266" s="22">
        <v>3786677</v>
      </c>
      <c r="B1266" s="22">
        <v>72</v>
      </c>
    </row>
    <row r="1267" spans="1:2">
      <c r="A1267" s="22">
        <v>3786678</v>
      </c>
      <c r="B1267" s="22">
        <v>102</v>
      </c>
    </row>
    <row r="1268" spans="1:2">
      <c r="A1268" s="22">
        <v>3786679</v>
      </c>
      <c r="B1268" s="22">
        <v>87</v>
      </c>
    </row>
    <row r="1269" spans="1:2">
      <c r="A1269" s="22">
        <v>3786680</v>
      </c>
      <c r="B1269" s="22">
        <v>62</v>
      </c>
    </row>
    <row r="1270" spans="1:2">
      <c r="A1270" s="22">
        <v>3786681</v>
      </c>
      <c r="B1270" s="22">
        <v>103</v>
      </c>
    </row>
    <row r="1271" spans="1:2">
      <c r="A1271" s="22">
        <v>3786682</v>
      </c>
      <c r="B1271" s="22">
        <v>62</v>
      </c>
    </row>
    <row r="1272" spans="1:2">
      <c r="A1272" s="22">
        <v>3786683</v>
      </c>
      <c r="B1272" s="22">
        <v>88</v>
      </c>
    </row>
    <row r="1273" spans="1:2">
      <c r="A1273" s="22">
        <v>3786684</v>
      </c>
      <c r="B1273" s="22">
        <v>62</v>
      </c>
    </row>
    <row r="1274" spans="1:2">
      <c r="A1274" s="22">
        <v>3786685</v>
      </c>
      <c r="B1274" s="22">
        <v>62</v>
      </c>
    </row>
    <row r="1275" spans="1:2">
      <c r="A1275" s="22">
        <v>3786686</v>
      </c>
      <c r="B1275" s="22">
        <v>79</v>
      </c>
    </row>
    <row r="1276" spans="1:2">
      <c r="A1276" s="22">
        <v>3786687</v>
      </c>
      <c r="B1276" s="22">
        <v>82</v>
      </c>
    </row>
    <row r="1277" spans="1:2">
      <c r="A1277" s="22">
        <v>3786688</v>
      </c>
      <c r="B1277" s="22">
        <v>87</v>
      </c>
    </row>
    <row r="1278" spans="1:2">
      <c r="A1278" s="22">
        <v>3786689</v>
      </c>
      <c r="B1278" s="22">
        <v>88</v>
      </c>
    </row>
    <row r="1279" spans="1:2">
      <c r="A1279" s="22">
        <v>3786690</v>
      </c>
      <c r="B1279" s="22">
        <v>83</v>
      </c>
    </row>
    <row r="1280" spans="1:2">
      <c r="A1280" s="22">
        <v>3786691</v>
      </c>
      <c r="B1280" s="22">
        <v>92</v>
      </c>
    </row>
    <row r="1281" spans="1:2">
      <c r="A1281" s="22">
        <v>3786692</v>
      </c>
      <c r="B1281" s="22">
        <v>36</v>
      </c>
    </row>
    <row r="1282" spans="1:2">
      <c r="A1282" s="22">
        <v>3786693</v>
      </c>
      <c r="B1282" s="22">
        <v>41</v>
      </c>
    </row>
    <row r="1283" spans="1:2">
      <c r="A1283" s="22">
        <v>3786694</v>
      </c>
      <c r="B1283" s="22">
        <v>81</v>
      </c>
    </row>
    <row r="1284" spans="1:2">
      <c r="A1284" s="22">
        <v>3786695</v>
      </c>
      <c r="B1284" s="22">
        <v>87</v>
      </c>
    </row>
    <row r="1285" spans="1:2">
      <c r="A1285" s="22">
        <v>3786696</v>
      </c>
      <c r="B1285" s="22">
        <v>122</v>
      </c>
    </row>
    <row r="1286" spans="1:2">
      <c r="A1286" s="22">
        <v>3786697</v>
      </c>
      <c r="B1286" s="22">
        <v>103</v>
      </c>
    </row>
    <row r="1287" spans="1:2">
      <c r="A1287" s="22">
        <v>3786701</v>
      </c>
      <c r="B1287" s="22">
        <v>40</v>
      </c>
    </row>
    <row r="1288" spans="1:2">
      <c r="A1288" s="22">
        <v>3786702</v>
      </c>
      <c r="B1288" s="22">
        <v>53</v>
      </c>
    </row>
    <row r="1289" spans="1:2">
      <c r="A1289" s="22">
        <v>3786703</v>
      </c>
      <c r="B1289" s="22">
        <v>70</v>
      </c>
    </row>
    <row r="1290" spans="1:2">
      <c r="A1290" s="22">
        <v>3786704</v>
      </c>
      <c r="B1290" s="22">
        <v>108</v>
      </c>
    </row>
    <row r="1291" spans="1:2">
      <c r="A1291" s="22">
        <v>3786705</v>
      </c>
      <c r="B1291" s="22">
        <v>94</v>
      </c>
    </row>
    <row r="1292" spans="1:2">
      <c r="A1292" s="22">
        <v>3786706</v>
      </c>
      <c r="B1292" s="22">
        <v>80</v>
      </c>
    </row>
    <row r="1293" spans="1:2">
      <c r="A1293" s="22">
        <v>3786707</v>
      </c>
      <c r="B1293" s="22">
        <v>110</v>
      </c>
    </row>
    <row r="1294" spans="1:2">
      <c r="A1294" s="22">
        <v>3786708</v>
      </c>
      <c r="B1294" s="22">
        <v>28</v>
      </c>
    </row>
    <row r="1295" spans="1:2">
      <c r="A1295" s="22">
        <v>3786710</v>
      </c>
      <c r="B1295" s="22">
        <v>83</v>
      </c>
    </row>
    <row r="1296" spans="1:2">
      <c r="A1296" s="22">
        <v>3786714</v>
      </c>
      <c r="B1296" s="22">
        <v>104</v>
      </c>
    </row>
    <row r="1297" spans="1:2">
      <c r="A1297" s="22">
        <v>3786715</v>
      </c>
      <c r="B1297" s="22">
        <v>126</v>
      </c>
    </row>
    <row r="1298" spans="1:2">
      <c r="A1298" s="22">
        <v>3786716</v>
      </c>
      <c r="B1298" s="22">
        <v>112</v>
      </c>
    </row>
    <row r="1299" spans="1:2">
      <c r="A1299" s="22">
        <v>3786717</v>
      </c>
      <c r="B1299" s="22">
        <v>152</v>
      </c>
    </row>
    <row r="1300" spans="1:2">
      <c r="A1300" s="22">
        <v>3786718</v>
      </c>
      <c r="B1300" s="22">
        <v>107</v>
      </c>
    </row>
    <row r="1301" spans="1:2">
      <c r="A1301" s="22">
        <v>3786719</v>
      </c>
      <c r="B1301" s="22">
        <v>107</v>
      </c>
    </row>
    <row r="1302" spans="1:2">
      <c r="A1302" s="22">
        <v>3786726</v>
      </c>
      <c r="B1302" s="22">
        <v>95</v>
      </c>
    </row>
    <row r="1303" spans="1:2">
      <c r="A1303" s="22">
        <v>3786727</v>
      </c>
      <c r="B1303" s="22">
        <v>99</v>
      </c>
    </row>
    <row r="1304" spans="1:2">
      <c r="A1304" s="22">
        <v>3786728</v>
      </c>
      <c r="B1304" s="22">
        <v>97</v>
      </c>
    </row>
    <row r="1305" spans="1:2">
      <c r="A1305" s="22">
        <v>3786729</v>
      </c>
      <c r="B1305" s="22">
        <v>101</v>
      </c>
    </row>
    <row r="1306" spans="1:2">
      <c r="A1306" s="22">
        <v>3786730</v>
      </c>
      <c r="B1306" s="22">
        <v>108</v>
      </c>
    </row>
    <row r="1307" spans="1:2">
      <c r="A1307" s="22">
        <v>3786731</v>
      </c>
      <c r="B1307" s="22">
        <v>83</v>
      </c>
    </row>
    <row r="1308" spans="1:2">
      <c r="A1308" s="22">
        <v>3786732</v>
      </c>
      <c r="B1308" s="22">
        <v>85</v>
      </c>
    </row>
    <row r="1309" spans="1:2">
      <c r="A1309" s="22">
        <v>3786733</v>
      </c>
      <c r="B1309" s="22">
        <v>118</v>
      </c>
    </row>
    <row r="1310" spans="1:2">
      <c r="A1310" s="22">
        <v>3786734</v>
      </c>
      <c r="B1310" s="22">
        <v>116</v>
      </c>
    </row>
    <row r="1311" spans="1:2">
      <c r="A1311" s="22">
        <v>3786735</v>
      </c>
      <c r="B1311" s="22">
        <v>116</v>
      </c>
    </row>
    <row r="1312" spans="1:2">
      <c r="A1312" s="22">
        <v>3786736</v>
      </c>
      <c r="B1312" s="22">
        <v>128</v>
      </c>
    </row>
    <row r="1313" spans="1:2">
      <c r="A1313" s="22">
        <v>3786737</v>
      </c>
      <c r="B1313" s="22">
        <v>119</v>
      </c>
    </row>
    <row r="1314" spans="1:2">
      <c r="A1314" s="22">
        <v>3786738</v>
      </c>
      <c r="B1314" s="22">
        <v>60</v>
      </c>
    </row>
    <row r="1315" spans="1:2">
      <c r="A1315" s="22">
        <v>3786739</v>
      </c>
      <c r="B1315" s="22">
        <v>60</v>
      </c>
    </row>
    <row r="1316" spans="1:2">
      <c r="A1316" s="22">
        <v>3786740</v>
      </c>
      <c r="B1316" s="22">
        <v>60</v>
      </c>
    </row>
    <row r="1317" spans="1:2">
      <c r="A1317" s="22">
        <v>3786741</v>
      </c>
      <c r="B1317" s="22">
        <v>110</v>
      </c>
    </row>
    <row r="1318" spans="1:2">
      <c r="A1318" s="22">
        <v>3786742</v>
      </c>
      <c r="B1318" s="22">
        <v>145</v>
      </c>
    </row>
    <row r="1319" spans="1:2">
      <c r="A1319" s="22">
        <v>3786743</v>
      </c>
      <c r="B1319" s="22">
        <v>133</v>
      </c>
    </row>
    <row r="1320" spans="1:2">
      <c r="A1320" s="22">
        <v>3786744</v>
      </c>
      <c r="B1320" s="22">
        <v>145</v>
      </c>
    </row>
    <row r="1321" spans="1:2">
      <c r="A1321" s="22">
        <v>3786745</v>
      </c>
      <c r="B1321" s="22">
        <v>102</v>
      </c>
    </row>
    <row r="1322" spans="1:2">
      <c r="A1322" s="22">
        <v>3786746</v>
      </c>
      <c r="B1322" s="22">
        <v>124</v>
      </c>
    </row>
    <row r="1323" spans="1:2">
      <c r="A1323" s="22">
        <v>3786747</v>
      </c>
      <c r="B1323" s="22">
        <v>124</v>
      </c>
    </row>
    <row r="1324" spans="1:2">
      <c r="A1324" s="22">
        <v>3786748</v>
      </c>
      <c r="B1324" s="22">
        <v>84</v>
      </c>
    </row>
    <row r="1325" spans="1:2">
      <c r="A1325" s="22">
        <v>3786749</v>
      </c>
      <c r="B1325" s="22">
        <v>104</v>
      </c>
    </row>
    <row r="1326" spans="1:2">
      <c r="A1326" s="22">
        <v>3786750</v>
      </c>
      <c r="B1326" s="22">
        <v>105</v>
      </c>
    </row>
    <row r="1327" spans="1:2">
      <c r="A1327" s="22">
        <v>3786751</v>
      </c>
      <c r="B1327" s="22">
        <v>124</v>
      </c>
    </row>
    <row r="1328" spans="1:2">
      <c r="A1328" s="22">
        <v>3786752</v>
      </c>
      <c r="B1328" s="22">
        <v>124</v>
      </c>
    </row>
    <row r="1329" spans="1:2">
      <c r="A1329" s="22">
        <v>3786753</v>
      </c>
      <c r="B1329" s="22">
        <v>124</v>
      </c>
    </row>
    <row r="1330" spans="1:2">
      <c r="A1330" s="22">
        <v>3786754</v>
      </c>
      <c r="B1330" s="22">
        <v>106</v>
      </c>
    </row>
    <row r="1331" spans="1:2">
      <c r="A1331" s="22">
        <v>3786755</v>
      </c>
      <c r="B1331" s="22">
        <v>116</v>
      </c>
    </row>
    <row r="1332" spans="1:2">
      <c r="A1332" s="22">
        <v>3786756</v>
      </c>
      <c r="B1332" s="22">
        <v>68</v>
      </c>
    </row>
    <row r="1333" spans="1:2">
      <c r="A1333" s="22">
        <v>3786757</v>
      </c>
      <c r="B1333" s="22">
        <v>59</v>
      </c>
    </row>
    <row r="1334" spans="1:2">
      <c r="A1334" s="22">
        <v>3786758</v>
      </c>
      <c r="B1334" s="22">
        <v>46</v>
      </c>
    </row>
    <row r="1335" spans="1:2">
      <c r="A1335" s="22">
        <v>3786759</v>
      </c>
      <c r="B1335" s="22">
        <v>27</v>
      </c>
    </row>
    <row r="1336" spans="1:2">
      <c r="A1336" s="22">
        <v>3786764</v>
      </c>
      <c r="B1336" s="22">
        <v>77</v>
      </c>
    </row>
    <row r="1337" spans="1:2">
      <c r="A1337" s="22">
        <v>3786765</v>
      </c>
      <c r="B1337" s="22">
        <v>86</v>
      </c>
    </row>
    <row r="1338" spans="1:2">
      <c r="A1338" s="22">
        <v>3786766</v>
      </c>
      <c r="B1338" s="22">
        <v>97</v>
      </c>
    </row>
    <row r="1339" spans="1:2">
      <c r="A1339" s="22">
        <v>3786767</v>
      </c>
      <c r="B1339" s="22">
        <v>84</v>
      </c>
    </row>
    <row r="1340" spans="1:2">
      <c r="A1340" s="22">
        <v>3786771</v>
      </c>
      <c r="B1340" s="22">
        <v>107</v>
      </c>
    </row>
    <row r="1341" spans="1:2">
      <c r="A1341" s="22">
        <v>3786772</v>
      </c>
      <c r="B1341" s="22">
        <v>90</v>
      </c>
    </row>
    <row r="1342" spans="1:2">
      <c r="A1342" s="22">
        <v>3786773</v>
      </c>
      <c r="B1342" s="22">
        <v>114</v>
      </c>
    </row>
    <row r="1343" spans="1:2">
      <c r="A1343" s="22">
        <v>3786774</v>
      </c>
      <c r="B1343" s="22">
        <v>72</v>
      </c>
    </row>
    <row r="1344" spans="1:2">
      <c r="A1344" s="22">
        <v>3786775</v>
      </c>
      <c r="B1344" s="22">
        <v>116</v>
      </c>
    </row>
    <row r="1345" spans="1:2">
      <c r="A1345" s="22">
        <v>3786776</v>
      </c>
      <c r="B1345" s="22">
        <v>99</v>
      </c>
    </row>
    <row r="1346" spans="1:2">
      <c r="A1346" s="22">
        <v>3786777</v>
      </c>
      <c r="B1346" s="22">
        <v>111</v>
      </c>
    </row>
    <row r="1347" spans="1:2">
      <c r="A1347" s="22">
        <v>3786778</v>
      </c>
      <c r="B1347" s="22">
        <v>117</v>
      </c>
    </row>
    <row r="1348" spans="1:2">
      <c r="A1348" s="22">
        <v>3786779</v>
      </c>
      <c r="B1348" s="22">
        <v>78</v>
      </c>
    </row>
    <row r="1349" spans="1:2">
      <c r="A1349" s="22">
        <v>3786780</v>
      </c>
      <c r="B1349" s="22">
        <v>111</v>
      </c>
    </row>
    <row r="1350" spans="1:2">
      <c r="A1350" s="22">
        <v>3786781</v>
      </c>
      <c r="B1350" s="22">
        <v>35</v>
      </c>
    </row>
    <row r="1351" spans="1:2">
      <c r="A1351" s="22">
        <v>3786782</v>
      </c>
      <c r="B1351" s="22">
        <v>125</v>
      </c>
    </row>
    <row r="1352" spans="1:2">
      <c r="A1352" s="22">
        <v>3786783</v>
      </c>
      <c r="B1352" s="22">
        <v>67</v>
      </c>
    </row>
    <row r="1353" spans="1:2">
      <c r="A1353" s="22">
        <v>3786784</v>
      </c>
      <c r="B1353" s="22">
        <v>103</v>
      </c>
    </row>
    <row r="1354" spans="1:2">
      <c r="A1354" s="22">
        <v>3786785</v>
      </c>
      <c r="B1354" s="22">
        <v>89</v>
      </c>
    </row>
    <row r="1355" spans="1:2">
      <c r="A1355" s="22">
        <v>3786786</v>
      </c>
      <c r="B1355" s="22">
        <v>90</v>
      </c>
    </row>
    <row r="1356" spans="1:2">
      <c r="A1356" s="22">
        <v>3786787</v>
      </c>
      <c r="B1356" s="22">
        <v>94</v>
      </c>
    </row>
    <row r="1357" spans="1:2">
      <c r="A1357" s="22">
        <v>3786788</v>
      </c>
      <c r="B1357" s="22">
        <v>141</v>
      </c>
    </row>
    <row r="1358" spans="1:2">
      <c r="A1358" s="22">
        <v>3786789</v>
      </c>
      <c r="B1358" s="22">
        <v>88</v>
      </c>
    </row>
    <row r="1359" spans="1:2">
      <c r="A1359" s="22">
        <v>3786790</v>
      </c>
      <c r="B1359" s="22">
        <v>102</v>
      </c>
    </row>
    <row r="1360" spans="1:2">
      <c r="A1360" s="22">
        <v>3786791</v>
      </c>
      <c r="B1360" s="22">
        <v>89</v>
      </c>
    </row>
    <row r="1361" spans="1:2">
      <c r="A1361" s="22">
        <v>3786792</v>
      </c>
      <c r="B1361" s="22">
        <v>89</v>
      </c>
    </row>
    <row r="1362" spans="1:2">
      <c r="A1362" s="22">
        <v>3786793</v>
      </c>
      <c r="B1362" s="22">
        <v>88</v>
      </c>
    </row>
    <row r="1363" spans="1:2">
      <c r="A1363" s="22">
        <v>3786794</v>
      </c>
      <c r="B1363" s="22">
        <v>119</v>
      </c>
    </row>
    <row r="1364" spans="1:2">
      <c r="A1364" s="22">
        <v>3786795</v>
      </c>
      <c r="B1364" s="22">
        <v>91</v>
      </c>
    </row>
    <row r="1365" spans="1:2">
      <c r="A1365" s="22">
        <v>3786796</v>
      </c>
      <c r="B1365" s="22">
        <v>95</v>
      </c>
    </row>
    <row r="1366" spans="1:2">
      <c r="A1366" s="22">
        <v>3786797</v>
      </c>
      <c r="B1366" s="22">
        <v>75</v>
      </c>
    </row>
    <row r="1367" spans="1:2">
      <c r="A1367" s="22">
        <v>3786798</v>
      </c>
      <c r="B1367" s="22">
        <v>81</v>
      </c>
    </row>
    <row r="1368" spans="1:2">
      <c r="A1368" s="22">
        <v>3786799</v>
      </c>
      <c r="B1368" s="22">
        <v>90</v>
      </c>
    </row>
    <row r="1369" spans="1:2">
      <c r="A1369" s="22">
        <v>3786800</v>
      </c>
      <c r="B1369" s="22">
        <v>111</v>
      </c>
    </row>
    <row r="1370" spans="1:2">
      <c r="A1370" s="22">
        <v>3786801</v>
      </c>
      <c r="B1370" s="22">
        <v>111</v>
      </c>
    </row>
    <row r="1371" spans="1:2">
      <c r="A1371" s="22">
        <v>3786802</v>
      </c>
      <c r="B1371" s="22">
        <v>103</v>
      </c>
    </row>
    <row r="1372" spans="1:2">
      <c r="A1372" s="22">
        <v>3786803</v>
      </c>
      <c r="B1372" s="22">
        <v>103</v>
      </c>
    </row>
    <row r="1373" spans="1:2">
      <c r="A1373" s="22">
        <v>3786804</v>
      </c>
      <c r="B1373" s="22">
        <v>73</v>
      </c>
    </row>
    <row r="1374" spans="1:2">
      <c r="A1374" s="22">
        <v>3786805</v>
      </c>
      <c r="B1374" s="22">
        <v>125</v>
      </c>
    </row>
    <row r="1375" spans="1:2">
      <c r="A1375" s="22">
        <v>3786806</v>
      </c>
      <c r="B1375" s="22">
        <v>125</v>
      </c>
    </row>
    <row r="1376" spans="1:2">
      <c r="A1376" s="22">
        <v>3786807</v>
      </c>
      <c r="B1376" s="22">
        <v>93</v>
      </c>
    </row>
    <row r="1377" spans="1:2">
      <c r="A1377" s="22">
        <v>3786808</v>
      </c>
      <c r="B1377" s="22">
        <v>112</v>
      </c>
    </row>
    <row r="1378" spans="1:2">
      <c r="A1378" s="22">
        <v>3786809</v>
      </c>
      <c r="B1378" s="22">
        <v>107</v>
      </c>
    </row>
    <row r="1379" spans="1:2">
      <c r="A1379" s="22">
        <v>3786810</v>
      </c>
      <c r="B1379" s="22">
        <v>95</v>
      </c>
    </row>
    <row r="1380" spans="1:2">
      <c r="A1380" s="22">
        <v>3786811</v>
      </c>
      <c r="B1380" s="22">
        <v>94</v>
      </c>
    </row>
    <row r="1381" spans="1:2">
      <c r="A1381" s="22">
        <v>3786812</v>
      </c>
      <c r="B1381" s="22">
        <v>107</v>
      </c>
    </row>
    <row r="1382" spans="1:2">
      <c r="A1382" s="22">
        <v>3786813</v>
      </c>
      <c r="B1382" s="22">
        <v>116</v>
      </c>
    </row>
    <row r="1383" spans="1:2">
      <c r="A1383" s="22">
        <v>3786814</v>
      </c>
      <c r="B1383" s="22">
        <v>116</v>
      </c>
    </row>
    <row r="1384" spans="1:2">
      <c r="A1384" s="22">
        <v>3786815</v>
      </c>
      <c r="B1384" s="22">
        <v>101</v>
      </c>
    </row>
    <row r="1385" spans="1:2">
      <c r="A1385" s="22">
        <v>3786816</v>
      </c>
      <c r="B1385" s="22">
        <v>0</v>
      </c>
    </row>
    <row r="1386" spans="1:2">
      <c r="A1386" s="22">
        <v>3786817</v>
      </c>
      <c r="B1386" s="22">
        <v>100</v>
      </c>
    </row>
    <row r="1387" spans="1:2">
      <c r="A1387" s="22">
        <v>3786818</v>
      </c>
      <c r="B1387" s="22">
        <v>135</v>
      </c>
    </row>
    <row r="1388" spans="1:2">
      <c r="A1388" s="22">
        <v>3786819</v>
      </c>
      <c r="B1388" s="22">
        <v>94</v>
      </c>
    </row>
    <row r="1389" spans="1:2">
      <c r="A1389" s="22">
        <v>3786820</v>
      </c>
      <c r="B1389" s="22">
        <v>89</v>
      </c>
    </row>
    <row r="1390" spans="1:2">
      <c r="A1390" s="22">
        <v>3786821</v>
      </c>
      <c r="B1390" s="22">
        <v>85</v>
      </c>
    </row>
    <row r="1391" spans="1:2">
      <c r="A1391" s="22">
        <v>3786822</v>
      </c>
      <c r="B1391" s="22">
        <v>109</v>
      </c>
    </row>
    <row r="1392" spans="1:2">
      <c r="A1392" s="22">
        <v>3786823</v>
      </c>
      <c r="B1392" s="22">
        <v>118</v>
      </c>
    </row>
    <row r="1393" spans="1:2">
      <c r="A1393" s="22">
        <v>3786825</v>
      </c>
      <c r="B1393" s="22">
        <v>118</v>
      </c>
    </row>
    <row r="1394" spans="1:2">
      <c r="A1394" s="22">
        <v>3786826</v>
      </c>
      <c r="B1394" s="22">
        <v>128</v>
      </c>
    </row>
    <row r="1395" spans="1:2">
      <c r="A1395" s="22">
        <v>3786830</v>
      </c>
      <c r="B1395" s="22">
        <v>143</v>
      </c>
    </row>
    <row r="1396" spans="1:2">
      <c r="A1396" s="22">
        <v>3786831</v>
      </c>
      <c r="B1396" s="22">
        <v>129</v>
      </c>
    </row>
    <row r="1397" spans="1:2">
      <c r="A1397" s="22">
        <v>3786832</v>
      </c>
      <c r="B1397" s="22">
        <v>157</v>
      </c>
    </row>
    <row r="1398" spans="1:2">
      <c r="A1398" s="22">
        <v>3786833</v>
      </c>
      <c r="B1398" s="22">
        <v>135</v>
      </c>
    </row>
    <row r="1399" spans="1:2">
      <c r="A1399" s="22">
        <v>3786834</v>
      </c>
      <c r="B1399" s="22">
        <v>90</v>
      </c>
    </row>
    <row r="1400" spans="1:2">
      <c r="A1400" s="22">
        <v>3786835</v>
      </c>
      <c r="B1400" s="22">
        <v>183</v>
      </c>
    </row>
    <row r="1401" spans="1:2">
      <c r="A1401" s="22">
        <v>3786836</v>
      </c>
      <c r="B1401" s="22">
        <v>28</v>
      </c>
    </row>
    <row r="1402" spans="1:2">
      <c r="A1402" s="22">
        <v>3786837</v>
      </c>
      <c r="B1402" s="22">
        <v>117</v>
      </c>
    </row>
    <row r="1403" spans="1:2">
      <c r="A1403" s="22">
        <v>3786838</v>
      </c>
      <c r="B1403" s="22">
        <v>108</v>
      </c>
    </row>
    <row r="1404" spans="1:2">
      <c r="A1404" s="22">
        <v>3786839</v>
      </c>
      <c r="B1404" s="22">
        <v>194</v>
      </c>
    </row>
    <row r="1405" spans="1:2">
      <c r="A1405" s="22">
        <v>3786840</v>
      </c>
      <c r="B1405" s="22">
        <v>99</v>
      </c>
    </row>
    <row r="1406" spans="1:2">
      <c r="A1406" s="22">
        <v>3786841</v>
      </c>
      <c r="B1406" s="22">
        <v>132</v>
      </c>
    </row>
    <row r="1407" spans="1:2">
      <c r="A1407" s="22">
        <v>3786842</v>
      </c>
      <c r="B1407" s="22">
        <v>119</v>
      </c>
    </row>
    <row r="1408" spans="1:2">
      <c r="A1408" s="22">
        <v>3786843</v>
      </c>
      <c r="B1408" s="22">
        <v>99</v>
      </c>
    </row>
    <row r="1409" spans="1:2">
      <c r="A1409" s="22">
        <v>3786844</v>
      </c>
      <c r="B1409" s="22">
        <v>131</v>
      </c>
    </row>
    <row r="1410" spans="1:2">
      <c r="A1410" s="22">
        <v>3786845</v>
      </c>
      <c r="B1410" s="22">
        <v>116</v>
      </c>
    </row>
    <row r="1411" spans="1:2">
      <c r="A1411" s="22">
        <v>3786847</v>
      </c>
      <c r="B1411" s="22">
        <v>63</v>
      </c>
    </row>
    <row r="1412" spans="1:2">
      <c r="A1412" s="22">
        <v>3786848</v>
      </c>
      <c r="B1412" s="22">
        <v>63</v>
      </c>
    </row>
    <row r="1413" spans="1:2">
      <c r="A1413" s="22">
        <v>3786854</v>
      </c>
      <c r="B1413" s="22">
        <v>140</v>
      </c>
    </row>
    <row r="1414" spans="1:2">
      <c r="A1414" s="22">
        <v>3786858</v>
      </c>
      <c r="B1414" s="22">
        <v>111</v>
      </c>
    </row>
    <row r="1415" spans="1:2">
      <c r="A1415" s="22">
        <v>3786859</v>
      </c>
      <c r="B1415" s="22">
        <v>120</v>
      </c>
    </row>
    <row r="1416" spans="1:2">
      <c r="A1416" s="22">
        <v>3786861</v>
      </c>
      <c r="B1416" s="22">
        <v>120</v>
      </c>
    </row>
    <row r="1417" spans="1:2">
      <c r="A1417" s="22">
        <v>3786862</v>
      </c>
      <c r="B1417" s="22">
        <v>44</v>
      </c>
    </row>
    <row r="1418" spans="1:2">
      <c r="A1418" s="22">
        <v>3786863</v>
      </c>
      <c r="B1418" s="22">
        <v>44</v>
      </c>
    </row>
    <row r="1419" spans="1:2">
      <c r="A1419" s="22">
        <v>3786868</v>
      </c>
      <c r="B1419" s="22">
        <v>126</v>
      </c>
    </row>
    <row r="1420" spans="1:2">
      <c r="A1420" s="22">
        <v>3786869</v>
      </c>
      <c r="B1420" s="22">
        <v>143</v>
      </c>
    </row>
    <row r="1421" spans="1:2">
      <c r="A1421" s="22">
        <v>3786870</v>
      </c>
      <c r="B1421" s="22">
        <v>97</v>
      </c>
    </row>
    <row r="1422" spans="1:2">
      <c r="A1422" s="22">
        <v>3786871</v>
      </c>
      <c r="B1422" s="22">
        <v>121</v>
      </c>
    </row>
    <row r="1423" spans="1:2">
      <c r="A1423" s="22">
        <v>3786881</v>
      </c>
      <c r="B1423" s="22">
        <v>132</v>
      </c>
    </row>
    <row r="1424" spans="1:2">
      <c r="A1424" s="22">
        <v>3786884</v>
      </c>
      <c r="B1424" s="22">
        <v>53</v>
      </c>
    </row>
    <row r="1425" spans="1:2">
      <c r="A1425" s="22">
        <v>3786890</v>
      </c>
      <c r="B1425" s="22">
        <v>118</v>
      </c>
    </row>
    <row r="1426" spans="1:2">
      <c r="A1426" s="22">
        <v>3786891</v>
      </c>
      <c r="B1426" s="22">
        <v>87</v>
      </c>
    </row>
    <row r="1427" spans="1:2">
      <c r="A1427" s="22">
        <v>3786896</v>
      </c>
      <c r="B1427" s="22">
        <v>122</v>
      </c>
    </row>
    <row r="1428" spans="1:2">
      <c r="A1428" s="22">
        <v>3786897</v>
      </c>
      <c r="B1428" s="22">
        <v>154</v>
      </c>
    </row>
    <row r="1429" spans="1:2">
      <c r="A1429" s="22">
        <v>3786898</v>
      </c>
      <c r="B1429" s="22">
        <v>115</v>
      </c>
    </row>
    <row r="1430" spans="1:2">
      <c r="A1430" s="22">
        <v>3786899</v>
      </c>
      <c r="B1430" s="22">
        <v>85</v>
      </c>
    </row>
    <row r="1431" spans="1:2">
      <c r="A1431" s="22">
        <v>3786903</v>
      </c>
      <c r="B1431" s="22">
        <v>105</v>
      </c>
    </row>
    <row r="1432" spans="1:2">
      <c r="A1432" s="22">
        <v>3786904</v>
      </c>
      <c r="B1432" s="22">
        <v>105</v>
      </c>
    </row>
    <row r="1433" spans="1:2">
      <c r="A1433" s="22">
        <v>3786905</v>
      </c>
      <c r="B1433" s="22">
        <v>149</v>
      </c>
    </row>
    <row r="1434" spans="1:2">
      <c r="A1434" s="22">
        <v>3786906</v>
      </c>
      <c r="B1434" s="22">
        <v>144</v>
      </c>
    </row>
    <row r="1435" spans="1:2">
      <c r="A1435" s="22">
        <v>3786907</v>
      </c>
      <c r="B1435" s="22">
        <v>176</v>
      </c>
    </row>
    <row r="1436" spans="1:2">
      <c r="A1436" s="22">
        <v>3786908</v>
      </c>
      <c r="B1436" s="22">
        <v>60</v>
      </c>
    </row>
    <row r="1437" spans="1:2">
      <c r="A1437" s="22">
        <v>3786910</v>
      </c>
      <c r="B1437" s="22">
        <v>40</v>
      </c>
    </row>
    <row r="1438" spans="1:2">
      <c r="A1438" s="22">
        <v>3786911</v>
      </c>
      <c r="B1438" s="22">
        <v>59</v>
      </c>
    </row>
    <row r="1439" spans="1:2">
      <c r="A1439" s="22">
        <v>3786912</v>
      </c>
      <c r="B1439" s="22">
        <v>40</v>
      </c>
    </row>
    <row r="1440" spans="1:2">
      <c r="A1440" s="22">
        <v>3786916</v>
      </c>
      <c r="B1440" s="22">
        <v>35</v>
      </c>
    </row>
    <row r="1441" spans="1:2">
      <c r="A1441" s="22">
        <v>3786917</v>
      </c>
      <c r="B1441" s="22">
        <v>19</v>
      </c>
    </row>
    <row r="1442" spans="1:2">
      <c r="A1442" s="22">
        <v>3786918</v>
      </c>
      <c r="B1442" s="22">
        <v>99</v>
      </c>
    </row>
    <row r="1443" spans="1:2">
      <c r="A1443" s="22">
        <v>3786927</v>
      </c>
      <c r="B1443" s="22">
        <v>146</v>
      </c>
    </row>
    <row r="1444" spans="1:2">
      <c r="A1444" s="22">
        <v>3786928</v>
      </c>
      <c r="B1444" s="22">
        <v>108</v>
      </c>
    </row>
    <row r="1445" spans="1:2">
      <c r="A1445" s="22">
        <v>3786929</v>
      </c>
      <c r="B1445" s="22">
        <v>43</v>
      </c>
    </row>
    <row r="1446" spans="1:2">
      <c r="A1446" s="22">
        <v>3786954</v>
      </c>
      <c r="B1446" s="22">
        <v>152</v>
      </c>
    </row>
    <row r="1447" spans="1:2">
      <c r="A1447" s="22">
        <v>3786955</v>
      </c>
      <c r="B1447" s="22">
        <v>136</v>
      </c>
    </row>
    <row r="1448" spans="1:2">
      <c r="A1448" s="22">
        <v>3786956</v>
      </c>
      <c r="B1448" s="22">
        <v>115</v>
      </c>
    </row>
    <row r="1449" spans="1:2">
      <c r="A1449" s="22">
        <v>3786957</v>
      </c>
      <c r="B1449" s="22">
        <v>132</v>
      </c>
    </row>
    <row r="1450" spans="1:2">
      <c r="A1450" s="22">
        <v>3786958</v>
      </c>
      <c r="B1450" s="22">
        <v>115</v>
      </c>
    </row>
    <row r="1451" spans="1:2">
      <c r="A1451" s="22">
        <v>3786959</v>
      </c>
      <c r="B1451" s="22">
        <v>183</v>
      </c>
    </row>
    <row r="1452" spans="1:2">
      <c r="A1452" s="22">
        <v>3786960</v>
      </c>
      <c r="B1452" s="22">
        <v>218</v>
      </c>
    </row>
    <row r="1453" spans="1:2">
      <c r="A1453" s="22">
        <v>3786961</v>
      </c>
      <c r="B1453" s="22">
        <v>162</v>
      </c>
    </row>
    <row r="1454" spans="1:2">
      <c r="A1454" s="22">
        <v>3786962</v>
      </c>
      <c r="B1454" s="22">
        <v>162</v>
      </c>
    </row>
    <row r="1455" spans="1:2">
      <c r="A1455" s="22">
        <v>3787004</v>
      </c>
      <c r="B1455" s="22">
        <v>193</v>
      </c>
    </row>
    <row r="1456" spans="1:2">
      <c r="A1456" s="22">
        <v>3787005</v>
      </c>
      <c r="B1456" s="22">
        <v>138</v>
      </c>
    </row>
    <row r="1457" spans="1:2">
      <c r="A1457" s="22">
        <v>3787009</v>
      </c>
      <c r="B1457" s="22">
        <v>130</v>
      </c>
    </row>
    <row r="1458" spans="1:2">
      <c r="A1458" s="22">
        <v>3787010</v>
      </c>
      <c r="B1458" s="22">
        <v>146</v>
      </c>
    </row>
    <row r="1459" spans="1:2">
      <c r="A1459" s="22">
        <v>3787011</v>
      </c>
      <c r="B1459" s="22">
        <v>188</v>
      </c>
    </row>
    <row r="1460" spans="1:2">
      <c r="A1460" s="22">
        <v>3787012</v>
      </c>
      <c r="B1460" s="22">
        <v>146</v>
      </c>
    </row>
    <row r="1461" spans="1:2">
      <c r="A1461" s="22">
        <v>3787013</v>
      </c>
      <c r="B1461" s="22">
        <v>145</v>
      </c>
    </row>
    <row r="1462" spans="1:2">
      <c r="A1462" s="22">
        <v>3787014</v>
      </c>
      <c r="B1462" s="22">
        <v>117</v>
      </c>
    </row>
    <row r="1463" spans="1:2">
      <c r="A1463" s="22">
        <v>3787015</v>
      </c>
      <c r="B1463" s="22">
        <v>149</v>
      </c>
    </row>
    <row r="1464" spans="1:2">
      <c r="A1464" s="22">
        <v>3787016</v>
      </c>
      <c r="B1464" s="22">
        <v>144</v>
      </c>
    </row>
    <row r="1465" spans="1:2">
      <c r="A1465" s="22">
        <v>3787028</v>
      </c>
      <c r="B1465" s="22">
        <v>70</v>
      </c>
    </row>
    <row r="1466" spans="1:2">
      <c r="A1466" s="22">
        <v>3787040</v>
      </c>
      <c r="B1466" s="22">
        <v>150</v>
      </c>
    </row>
    <row r="1467" spans="1:2">
      <c r="A1467" s="22">
        <v>3787041</v>
      </c>
      <c r="B1467" s="22">
        <v>137</v>
      </c>
    </row>
    <row r="1468" spans="1:2">
      <c r="A1468" s="22">
        <v>3787042</v>
      </c>
      <c r="B1468" s="22">
        <v>156</v>
      </c>
    </row>
    <row r="1469" spans="1:2">
      <c r="A1469" s="22">
        <v>3787043</v>
      </c>
      <c r="B1469" s="22">
        <v>155</v>
      </c>
    </row>
    <row r="1470" spans="1:2">
      <c r="A1470" s="22">
        <v>3787044</v>
      </c>
      <c r="B1470" s="22">
        <v>148</v>
      </c>
    </row>
    <row r="1471" spans="1:2">
      <c r="A1471" s="22">
        <v>3787045</v>
      </c>
      <c r="B1471" s="22">
        <v>135</v>
      </c>
    </row>
    <row r="1472" spans="1:2">
      <c r="A1472" s="22">
        <v>3787046</v>
      </c>
      <c r="B1472" s="22">
        <v>133</v>
      </c>
    </row>
    <row r="1473" spans="1:2">
      <c r="A1473" s="22">
        <v>3787047</v>
      </c>
      <c r="B1473" s="22">
        <v>118</v>
      </c>
    </row>
    <row r="1474" spans="1:2">
      <c r="A1474" s="22">
        <v>3787048</v>
      </c>
      <c r="B1474" s="22">
        <v>119</v>
      </c>
    </row>
    <row r="1475" spans="1:2">
      <c r="A1475" s="22">
        <v>3787049</v>
      </c>
      <c r="B1475" s="22">
        <v>121</v>
      </c>
    </row>
    <row r="1476" spans="1:2">
      <c r="A1476" s="22">
        <v>3787050</v>
      </c>
      <c r="B1476" s="22">
        <v>118</v>
      </c>
    </row>
    <row r="1477" spans="1:2">
      <c r="A1477" s="22">
        <v>3787052</v>
      </c>
      <c r="B1477" s="22">
        <v>147</v>
      </c>
    </row>
    <row r="1478" spans="1:2">
      <c r="A1478" s="22">
        <v>3787053</v>
      </c>
      <c r="B1478" s="22">
        <v>164</v>
      </c>
    </row>
    <row r="1479" spans="1:2">
      <c r="A1479" s="22">
        <v>3787057</v>
      </c>
      <c r="B1479" s="22">
        <v>118</v>
      </c>
    </row>
    <row r="1480" spans="1:2">
      <c r="A1480" s="22">
        <v>3787058</v>
      </c>
      <c r="B1480" s="22">
        <v>141</v>
      </c>
    </row>
    <row r="1481" spans="1:2">
      <c r="A1481" s="22">
        <v>3787059</v>
      </c>
      <c r="B1481" s="22">
        <v>163</v>
      </c>
    </row>
    <row r="1482" spans="1:2">
      <c r="A1482" s="22">
        <v>3787065</v>
      </c>
      <c r="B1482" s="22">
        <v>0</v>
      </c>
    </row>
    <row r="1483" spans="1:2">
      <c r="A1483" s="22">
        <v>3787066</v>
      </c>
      <c r="B1483" s="22">
        <v>0</v>
      </c>
    </row>
    <row r="1484" spans="1:2">
      <c r="A1484" s="22">
        <v>3787068</v>
      </c>
      <c r="B1484" s="22">
        <v>152</v>
      </c>
    </row>
    <row r="1485" spans="1:2">
      <c r="A1485" s="22">
        <v>3787069</v>
      </c>
      <c r="B1485" s="22">
        <v>162</v>
      </c>
    </row>
    <row r="1486" spans="1:2">
      <c r="A1486" s="22">
        <v>3787070</v>
      </c>
      <c r="B1486" s="22">
        <v>187</v>
      </c>
    </row>
    <row r="1487" spans="1:2">
      <c r="A1487" s="22">
        <v>3787071</v>
      </c>
      <c r="B1487" s="22">
        <v>166</v>
      </c>
    </row>
    <row r="1488" spans="1:2">
      <c r="A1488" s="22">
        <v>3787072</v>
      </c>
      <c r="B1488" s="22">
        <v>154</v>
      </c>
    </row>
    <row r="1489" spans="1:2">
      <c r="A1489" s="22">
        <v>3787073</v>
      </c>
      <c r="B1489" s="22">
        <v>147</v>
      </c>
    </row>
    <row r="1490" spans="1:2">
      <c r="A1490" s="22">
        <v>3787074</v>
      </c>
      <c r="B1490" s="22">
        <v>182</v>
      </c>
    </row>
    <row r="1491" spans="1:2">
      <c r="A1491" s="22">
        <v>3787075</v>
      </c>
      <c r="B1491" s="22">
        <v>167</v>
      </c>
    </row>
    <row r="1492" spans="1:2">
      <c r="A1492" s="22">
        <v>3787077</v>
      </c>
      <c r="B1492" s="22">
        <v>49</v>
      </c>
    </row>
    <row r="1493" spans="1:2">
      <c r="A1493" s="22">
        <v>3787078</v>
      </c>
      <c r="B1493" s="22">
        <v>49</v>
      </c>
    </row>
    <row r="1494" spans="1:2">
      <c r="A1494" s="22">
        <v>3787080</v>
      </c>
      <c r="B1494" s="22">
        <v>131</v>
      </c>
    </row>
    <row r="1495" spans="1:2">
      <c r="A1495" s="22">
        <v>3787081</v>
      </c>
      <c r="B1495" s="22">
        <v>156</v>
      </c>
    </row>
    <row r="1496" spans="1:2">
      <c r="A1496" s="22">
        <v>3787082</v>
      </c>
      <c r="B1496" s="22">
        <v>147</v>
      </c>
    </row>
    <row r="1497" spans="1:2">
      <c r="A1497" s="22">
        <v>3787083</v>
      </c>
      <c r="B1497" s="22">
        <v>147</v>
      </c>
    </row>
    <row r="1498" spans="1:2">
      <c r="A1498" s="22">
        <v>3787084</v>
      </c>
      <c r="B1498" s="22">
        <v>156</v>
      </c>
    </row>
    <row r="1499" spans="1:2">
      <c r="A1499" s="22">
        <v>3787085</v>
      </c>
      <c r="B1499" s="22">
        <v>133</v>
      </c>
    </row>
    <row r="1500" spans="1:2">
      <c r="A1500" s="22">
        <v>3787086</v>
      </c>
      <c r="B1500" s="22">
        <v>169</v>
      </c>
    </row>
    <row r="1501" spans="1:2">
      <c r="A1501" s="22">
        <v>3787087</v>
      </c>
      <c r="B1501" s="22">
        <v>135</v>
      </c>
    </row>
    <row r="1502" spans="1:2">
      <c r="A1502" s="22">
        <v>3787091</v>
      </c>
      <c r="B1502" s="22">
        <v>0</v>
      </c>
    </row>
    <row r="1503" spans="1:2">
      <c r="A1503" s="22">
        <v>3787099</v>
      </c>
      <c r="B1503" s="22">
        <v>60</v>
      </c>
    </row>
    <row r="1504" spans="1:2">
      <c r="A1504" s="22">
        <v>3787101</v>
      </c>
      <c r="B1504" s="22">
        <v>104</v>
      </c>
    </row>
    <row r="1505" spans="1:2">
      <c r="A1505" s="22">
        <v>3787102</v>
      </c>
      <c r="B1505" s="22">
        <v>123</v>
      </c>
    </row>
    <row r="1506" spans="1:2">
      <c r="A1506" s="22">
        <v>3787103</v>
      </c>
      <c r="B1506" s="22">
        <v>157</v>
      </c>
    </row>
    <row r="1507" spans="1:2">
      <c r="A1507" s="22">
        <v>3787104</v>
      </c>
      <c r="B1507" s="22">
        <v>105</v>
      </c>
    </row>
    <row r="1508" spans="1:2">
      <c r="A1508" s="22">
        <v>3787105</v>
      </c>
      <c r="B1508" s="22">
        <v>126</v>
      </c>
    </row>
    <row r="1509" spans="1:2">
      <c r="A1509" s="22">
        <v>3787106</v>
      </c>
      <c r="B1509" s="22">
        <v>123</v>
      </c>
    </row>
    <row r="1510" spans="1:2">
      <c r="A1510" s="22">
        <v>3787108</v>
      </c>
      <c r="B1510" s="22">
        <v>195</v>
      </c>
    </row>
    <row r="1511" spans="1:2">
      <c r="A1511" s="22">
        <v>3787109</v>
      </c>
      <c r="B1511" s="22">
        <v>195</v>
      </c>
    </row>
    <row r="1512" spans="1:2">
      <c r="A1512" s="22">
        <v>3787110</v>
      </c>
      <c r="B1512" s="22">
        <v>167</v>
      </c>
    </row>
    <row r="1513" spans="1:2">
      <c r="A1513" s="22">
        <v>3787111</v>
      </c>
      <c r="B1513" s="22">
        <v>166</v>
      </c>
    </row>
    <row r="1514" spans="1:2">
      <c r="A1514" s="22">
        <v>3787124</v>
      </c>
      <c r="B1514" s="22">
        <v>182</v>
      </c>
    </row>
    <row r="1515" spans="1:2">
      <c r="A1515" s="22">
        <v>3787125</v>
      </c>
      <c r="B1515" s="22">
        <v>157</v>
      </c>
    </row>
    <row r="1516" spans="1:2">
      <c r="A1516" s="22">
        <v>3787126</v>
      </c>
      <c r="B1516" s="22">
        <v>131</v>
      </c>
    </row>
    <row r="1517" spans="1:2">
      <c r="A1517" s="22">
        <v>3787127</v>
      </c>
      <c r="B1517" s="22">
        <v>181</v>
      </c>
    </row>
    <row r="1518" spans="1:2">
      <c r="A1518" s="22">
        <v>3787128</v>
      </c>
      <c r="B1518" s="22">
        <v>162</v>
      </c>
    </row>
    <row r="1519" spans="1:2">
      <c r="A1519" s="22">
        <v>3787129</v>
      </c>
      <c r="B1519" s="22">
        <v>118</v>
      </c>
    </row>
    <row r="1520" spans="1:2">
      <c r="A1520" s="22">
        <v>3787130</v>
      </c>
      <c r="B1520" s="22">
        <v>116</v>
      </c>
    </row>
    <row r="1521" spans="1:2">
      <c r="A1521" s="22">
        <v>3787131</v>
      </c>
      <c r="B1521" s="22">
        <v>131</v>
      </c>
    </row>
    <row r="1522" spans="1:2">
      <c r="A1522" s="22">
        <v>3787132</v>
      </c>
      <c r="B1522" s="22">
        <v>151</v>
      </c>
    </row>
    <row r="1523" spans="1:2">
      <c r="A1523" s="22">
        <v>3787133</v>
      </c>
      <c r="B1523" s="22">
        <v>151</v>
      </c>
    </row>
    <row r="1524" spans="1:2">
      <c r="A1524" s="22">
        <v>3787134</v>
      </c>
      <c r="B1524" s="22">
        <v>182</v>
      </c>
    </row>
    <row r="1525" spans="1:2">
      <c r="A1525" s="22">
        <v>3787135</v>
      </c>
      <c r="B1525" s="22">
        <v>201</v>
      </c>
    </row>
    <row r="1526" spans="1:2">
      <c r="A1526" s="22">
        <v>3787136</v>
      </c>
      <c r="B1526" s="22">
        <v>158</v>
      </c>
    </row>
    <row r="1527" spans="1:2">
      <c r="A1527" s="22">
        <v>3787137</v>
      </c>
      <c r="B1527" s="22">
        <v>167</v>
      </c>
    </row>
    <row r="1528" spans="1:2">
      <c r="A1528" s="22">
        <v>3787138</v>
      </c>
      <c r="B1528" s="22">
        <v>149</v>
      </c>
    </row>
    <row r="1529" spans="1:2">
      <c r="A1529" s="22">
        <v>3787141</v>
      </c>
      <c r="B1529" s="22">
        <v>193</v>
      </c>
    </row>
    <row r="1530" spans="1:2">
      <c r="A1530" s="22">
        <v>3787142</v>
      </c>
      <c r="B1530" s="22">
        <v>149</v>
      </c>
    </row>
    <row r="1531" spans="1:2">
      <c r="A1531" s="22">
        <v>3787143</v>
      </c>
      <c r="B1531" s="22">
        <v>126</v>
      </c>
    </row>
    <row r="1532" spans="1:2">
      <c r="A1532" s="22">
        <v>3787144</v>
      </c>
      <c r="B1532" s="22">
        <v>124</v>
      </c>
    </row>
    <row r="1533" spans="1:2">
      <c r="A1533" s="22">
        <v>3787145</v>
      </c>
      <c r="B1533" s="22">
        <v>157</v>
      </c>
    </row>
    <row r="1534" spans="1:2">
      <c r="A1534" s="22">
        <v>3787146</v>
      </c>
      <c r="B1534" s="22">
        <v>157</v>
      </c>
    </row>
    <row r="1535" spans="1:2">
      <c r="A1535" s="22">
        <v>3787147</v>
      </c>
      <c r="B1535" s="22">
        <v>134</v>
      </c>
    </row>
    <row r="1536" spans="1:2">
      <c r="A1536" s="22">
        <v>3787148</v>
      </c>
      <c r="B1536" s="22">
        <v>161</v>
      </c>
    </row>
    <row r="1537" spans="1:2">
      <c r="A1537" s="22">
        <v>3787149</v>
      </c>
      <c r="B1537" s="22">
        <v>161</v>
      </c>
    </row>
    <row r="1538" spans="1:2">
      <c r="A1538" s="22">
        <v>3787150</v>
      </c>
      <c r="B1538" s="22">
        <v>164</v>
      </c>
    </row>
    <row r="1539" spans="1:2">
      <c r="A1539" s="22">
        <v>3787151</v>
      </c>
      <c r="B1539" s="22">
        <v>126</v>
      </c>
    </row>
    <row r="1540" spans="1:2">
      <c r="A1540" s="22">
        <v>3787152</v>
      </c>
      <c r="B1540" s="22">
        <v>42</v>
      </c>
    </row>
    <row r="1541" spans="1:2">
      <c r="A1541" s="22">
        <v>3787153</v>
      </c>
      <c r="B1541" s="22">
        <v>113</v>
      </c>
    </row>
    <row r="1542" spans="1:2">
      <c r="A1542" s="22">
        <v>3787154</v>
      </c>
      <c r="B1542" s="22">
        <v>91</v>
      </c>
    </row>
    <row r="1543" spans="1:2">
      <c r="A1543" s="22">
        <v>3787155</v>
      </c>
      <c r="B1543" s="22">
        <v>38</v>
      </c>
    </row>
    <row r="1544" spans="1:2">
      <c r="A1544" s="22">
        <v>3787156</v>
      </c>
      <c r="B1544" s="22">
        <v>93</v>
      </c>
    </row>
    <row r="1545" spans="1:2">
      <c r="A1545" s="22">
        <v>3787157</v>
      </c>
      <c r="B1545" s="22">
        <v>103</v>
      </c>
    </row>
    <row r="1546" spans="1:2">
      <c r="A1546" s="22">
        <v>3787158</v>
      </c>
      <c r="B1546" s="22">
        <v>73</v>
      </c>
    </row>
    <row r="1547" spans="1:2">
      <c r="A1547" s="22">
        <v>3787160</v>
      </c>
      <c r="B1547" s="22">
        <v>127</v>
      </c>
    </row>
    <row r="1548" spans="1:2">
      <c r="A1548" s="22">
        <v>3787161</v>
      </c>
      <c r="B1548" s="22">
        <v>173</v>
      </c>
    </row>
    <row r="1549" spans="1:2">
      <c r="A1549" s="22">
        <v>3787162</v>
      </c>
      <c r="B1549" s="22">
        <v>120</v>
      </c>
    </row>
    <row r="1550" spans="1:2">
      <c r="A1550" s="22">
        <v>3787163</v>
      </c>
      <c r="B1550" s="22">
        <v>155</v>
      </c>
    </row>
    <row r="1551" spans="1:2">
      <c r="A1551" s="22">
        <v>3787166</v>
      </c>
      <c r="B1551" s="22">
        <v>107</v>
      </c>
    </row>
    <row r="1552" spans="1:2">
      <c r="A1552" s="22">
        <v>3787167</v>
      </c>
      <c r="B1552" s="22">
        <v>105</v>
      </c>
    </row>
    <row r="1553" spans="1:2">
      <c r="A1553" s="22">
        <v>3787168</v>
      </c>
      <c r="B1553" s="22">
        <v>113</v>
      </c>
    </row>
    <row r="1554" spans="1:2">
      <c r="A1554" s="22">
        <v>3787169</v>
      </c>
      <c r="B1554" s="22">
        <v>164</v>
      </c>
    </row>
    <row r="1555" spans="1:2">
      <c r="A1555" s="22">
        <v>3787170</v>
      </c>
      <c r="B1555" s="22">
        <v>128</v>
      </c>
    </row>
    <row r="1556" spans="1:2">
      <c r="A1556" s="22">
        <v>3787171</v>
      </c>
      <c r="B1556" s="22">
        <v>162</v>
      </c>
    </row>
    <row r="1557" spans="1:2">
      <c r="A1557" s="22">
        <v>3787172</v>
      </c>
      <c r="B1557" s="22">
        <v>130</v>
      </c>
    </row>
    <row r="1558" spans="1:2">
      <c r="A1558" s="22">
        <v>3787173</v>
      </c>
      <c r="B1558" s="22">
        <v>166</v>
      </c>
    </row>
    <row r="1559" spans="1:2">
      <c r="A1559" s="22">
        <v>3787174</v>
      </c>
      <c r="B1559" s="22">
        <v>163</v>
      </c>
    </row>
    <row r="1560" spans="1:2">
      <c r="A1560" s="22">
        <v>3787175</v>
      </c>
      <c r="B1560" s="22">
        <v>184</v>
      </c>
    </row>
    <row r="1561" spans="1:2">
      <c r="A1561" s="22">
        <v>3787176</v>
      </c>
      <c r="B1561" s="22">
        <v>166</v>
      </c>
    </row>
    <row r="1562" spans="1:2">
      <c r="A1562" s="22">
        <v>3787177</v>
      </c>
      <c r="B1562" s="22">
        <v>124</v>
      </c>
    </row>
    <row r="1563" spans="1:2">
      <c r="A1563" s="22">
        <v>3787178</v>
      </c>
      <c r="B1563" s="22">
        <v>129</v>
      </c>
    </row>
    <row r="1564" spans="1:2">
      <c r="A1564" s="22">
        <v>3787179</v>
      </c>
      <c r="B1564" s="22">
        <v>122</v>
      </c>
    </row>
    <row r="1565" spans="1:2">
      <c r="A1565" s="22">
        <v>3787180</v>
      </c>
      <c r="B1565" s="22">
        <v>148</v>
      </c>
    </row>
    <row r="1566" spans="1:2">
      <c r="A1566" s="22">
        <v>3787181</v>
      </c>
      <c r="B1566" s="22">
        <v>148</v>
      </c>
    </row>
    <row r="1567" spans="1:2">
      <c r="A1567" s="22">
        <v>3787182</v>
      </c>
      <c r="B1567" s="22">
        <v>148</v>
      </c>
    </row>
    <row r="1568" spans="1:2">
      <c r="A1568" s="22">
        <v>3787183</v>
      </c>
      <c r="B1568" s="22">
        <v>139</v>
      </c>
    </row>
    <row r="1569" spans="1:2">
      <c r="A1569" s="22">
        <v>3787184</v>
      </c>
      <c r="B1569" s="22">
        <v>150</v>
      </c>
    </row>
    <row r="1570" spans="1:2">
      <c r="A1570" s="22">
        <v>3787185</v>
      </c>
      <c r="B1570" s="22">
        <v>150</v>
      </c>
    </row>
    <row r="1571" spans="1:2">
      <c r="A1571" s="22">
        <v>3787186</v>
      </c>
      <c r="B1571" s="22">
        <v>177</v>
      </c>
    </row>
    <row r="1572" spans="1:2">
      <c r="A1572" s="22">
        <v>3787187</v>
      </c>
      <c r="B1572" s="22">
        <v>159</v>
      </c>
    </row>
    <row r="1573" spans="1:2">
      <c r="A1573" s="22">
        <v>3787188</v>
      </c>
      <c r="B1573" s="22">
        <v>174</v>
      </c>
    </row>
    <row r="1574" spans="1:2">
      <c r="A1574" s="22">
        <v>3787189</v>
      </c>
      <c r="B1574" s="22">
        <v>127</v>
      </c>
    </row>
    <row r="1575" spans="1:2">
      <c r="A1575" s="22">
        <v>3787190</v>
      </c>
      <c r="B1575" s="22">
        <v>147</v>
      </c>
    </row>
    <row r="1576" spans="1:2">
      <c r="A1576" s="22">
        <v>3787191</v>
      </c>
      <c r="B1576" s="22">
        <v>119</v>
      </c>
    </row>
    <row r="1577" spans="1:2">
      <c r="A1577" s="22">
        <v>3787192</v>
      </c>
      <c r="B1577" s="22">
        <v>39</v>
      </c>
    </row>
    <row r="1578" spans="1:2">
      <c r="A1578" s="22">
        <v>3787193</v>
      </c>
      <c r="B1578" s="22">
        <v>148</v>
      </c>
    </row>
    <row r="1579" spans="1:2">
      <c r="A1579" s="22">
        <v>3787194</v>
      </c>
      <c r="B1579" s="22">
        <v>136</v>
      </c>
    </row>
    <row r="1580" spans="1:2">
      <c r="A1580" s="22">
        <v>3787195</v>
      </c>
      <c r="B1580" s="22">
        <v>171</v>
      </c>
    </row>
    <row r="1581" spans="1:2">
      <c r="A1581" s="22">
        <v>3787196</v>
      </c>
      <c r="B1581" s="22">
        <v>139</v>
      </c>
    </row>
    <row r="1582" spans="1:2">
      <c r="A1582" s="22">
        <v>3787197</v>
      </c>
      <c r="B1582" s="22">
        <v>110</v>
      </c>
    </row>
    <row r="1583" spans="1:2">
      <c r="A1583" s="22">
        <v>3787198</v>
      </c>
      <c r="B1583" s="22">
        <v>96</v>
      </c>
    </row>
    <row r="1584" spans="1:2">
      <c r="A1584" s="22">
        <v>3787199</v>
      </c>
      <c r="B1584" s="22">
        <v>139</v>
      </c>
    </row>
    <row r="1585" spans="1:2">
      <c r="A1585" s="22">
        <v>3787200</v>
      </c>
      <c r="B1585" s="22">
        <v>139</v>
      </c>
    </row>
    <row r="1586" spans="1:2">
      <c r="A1586" s="22">
        <v>3787201</v>
      </c>
      <c r="B1586" s="22">
        <v>106</v>
      </c>
    </row>
    <row r="1587" spans="1:2">
      <c r="A1587" s="22">
        <v>3787204</v>
      </c>
      <c r="B1587" s="22">
        <v>163</v>
      </c>
    </row>
    <row r="1588" spans="1:2">
      <c r="A1588" s="22">
        <v>3787205</v>
      </c>
      <c r="B1588" s="22">
        <v>132</v>
      </c>
    </row>
    <row r="1589" spans="1:2">
      <c r="A1589" s="22">
        <v>3787206</v>
      </c>
      <c r="B1589" s="22">
        <v>132</v>
      </c>
    </row>
    <row r="1590" spans="1:2">
      <c r="A1590" s="22">
        <v>3787207</v>
      </c>
      <c r="B1590" s="22">
        <v>130</v>
      </c>
    </row>
    <row r="1591" spans="1:2">
      <c r="A1591" s="22">
        <v>3787208</v>
      </c>
      <c r="B1591" s="22">
        <v>165</v>
      </c>
    </row>
    <row r="1592" spans="1:2">
      <c r="A1592" s="22">
        <v>3787209</v>
      </c>
      <c r="B1592" s="22">
        <v>137</v>
      </c>
    </row>
    <row r="1593" spans="1:2">
      <c r="A1593" s="22">
        <v>3787220</v>
      </c>
      <c r="B1593" s="22">
        <v>170</v>
      </c>
    </row>
    <row r="1594" spans="1:2">
      <c r="A1594" s="22">
        <v>3787224</v>
      </c>
      <c r="B1594" s="22">
        <v>225</v>
      </c>
    </row>
    <row r="1595" spans="1:2">
      <c r="A1595" s="22">
        <v>3787225</v>
      </c>
      <c r="B1595" s="22">
        <v>245</v>
      </c>
    </row>
    <row r="1596" spans="1:2">
      <c r="A1596" s="22">
        <v>3787226</v>
      </c>
      <c r="B1596" s="22">
        <v>225</v>
      </c>
    </row>
    <row r="1597" spans="1:2">
      <c r="A1597" s="22">
        <v>3787227</v>
      </c>
      <c r="B1597" s="22">
        <v>225</v>
      </c>
    </row>
    <row r="1598" spans="1:2">
      <c r="A1598" s="22">
        <v>3787228</v>
      </c>
      <c r="B1598" s="22">
        <v>110</v>
      </c>
    </row>
    <row r="1599" spans="1:2">
      <c r="A1599" s="22">
        <v>3787229</v>
      </c>
      <c r="B1599" s="22">
        <v>110</v>
      </c>
    </row>
    <row r="1600" spans="1:2">
      <c r="A1600" s="22">
        <v>3787230</v>
      </c>
      <c r="B1600" s="22">
        <v>90</v>
      </c>
    </row>
    <row r="1601" spans="1:2">
      <c r="A1601" s="22">
        <v>3787235</v>
      </c>
      <c r="B1601" s="22">
        <v>211</v>
      </c>
    </row>
    <row r="1602" spans="1:2">
      <c r="A1602" s="22">
        <v>3787238</v>
      </c>
      <c r="B1602" s="22">
        <v>175</v>
      </c>
    </row>
    <row r="1603" spans="1:2">
      <c r="A1603" s="22">
        <v>3787239</v>
      </c>
      <c r="B1603" s="22">
        <v>228</v>
      </c>
    </row>
    <row r="1604" spans="1:2">
      <c r="A1604" s="22">
        <v>3787240</v>
      </c>
      <c r="B1604" s="22">
        <v>160</v>
      </c>
    </row>
    <row r="1605" spans="1:2">
      <c r="A1605" s="22">
        <v>3787241</v>
      </c>
      <c r="B1605" s="22">
        <v>170</v>
      </c>
    </row>
    <row r="1606" spans="1:2">
      <c r="A1606" s="22">
        <v>3787242</v>
      </c>
      <c r="B1606" s="22">
        <v>197</v>
      </c>
    </row>
    <row r="1607" spans="1:2">
      <c r="A1607" s="22">
        <v>3787243</v>
      </c>
      <c r="B1607" s="22">
        <v>201</v>
      </c>
    </row>
    <row r="1608" spans="1:2">
      <c r="A1608" s="22">
        <v>3787244</v>
      </c>
      <c r="B1608" s="22">
        <v>212</v>
      </c>
    </row>
    <row r="1609" spans="1:2">
      <c r="A1609" s="22">
        <v>3787245</v>
      </c>
      <c r="B1609" s="22">
        <v>243</v>
      </c>
    </row>
    <row r="1610" spans="1:2">
      <c r="A1610" s="22">
        <v>3787246</v>
      </c>
      <c r="B1610" s="22">
        <v>255</v>
      </c>
    </row>
    <row r="1611" spans="1:2">
      <c r="A1611" s="22">
        <v>3787254</v>
      </c>
      <c r="B1611" s="22">
        <v>200</v>
      </c>
    </row>
    <row r="1612" spans="1:2">
      <c r="A1612" s="22">
        <v>3787255</v>
      </c>
      <c r="B1612" s="22">
        <v>175</v>
      </c>
    </row>
    <row r="1613" spans="1:2">
      <c r="A1613" s="22">
        <v>3787256</v>
      </c>
      <c r="B1613" s="22">
        <v>193</v>
      </c>
    </row>
    <row r="1614" spans="1:2">
      <c r="A1614" s="22">
        <v>3787264</v>
      </c>
      <c r="B1614" s="22">
        <v>190</v>
      </c>
    </row>
    <row r="1615" spans="1:2">
      <c r="A1615" s="22">
        <v>3787265</v>
      </c>
      <c r="B1615" s="22">
        <v>178</v>
      </c>
    </row>
    <row r="1616" spans="1:2">
      <c r="A1616" s="22">
        <v>3787266</v>
      </c>
      <c r="B1616" s="22">
        <v>209</v>
      </c>
    </row>
    <row r="1617" spans="1:2">
      <c r="A1617" s="22">
        <v>3787267</v>
      </c>
      <c r="B1617" s="22">
        <v>137</v>
      </c>
    </row>
    <row r="1618" spans="1:2">
      <c r="A1618" s="22">
        <v>3787268</v>
      </c>
      <c r="B1618" s="22">
        <v>137</v>
      </c>
    </row>
    <row r="1619" spans="1:2">
      <c r="A1619" s="22">
        <v>3787269</v>
      </c>
      <c r="B1619" s="22">
        <v>119</v>
      </c>
    </row>
    <row r="1620" spans="1:2">
      <c r="A1620" s="22">
        <v>3787270</v>
      </c>
      <c r="B1620" s="22">
        <v>184</v>
      </c>
    </row>
    <row r="1621" spans="1:2">
      <c r="A1621" s="22">
        <v>3787271</v>
      </c>
      <c r="B1621" s="22">
        <v>165</v>
      </c>
    </row>
    <row r="1622" spans="1:2">
      <c r="A1622" s="22">
        <v>3787272</v>
      </c>
      <c r="B1622" s="22">
        <v>172</v>
      </c>
    </row>
    <row r="1623" spans="1:2">
      <c r="A1623" s="22">
        <v>3787273</v>
      </c>
      <c r="B1623" s="22">
        <v>157</v>
      </c>
    </row>
    <row r="1624" spans="1:2">
      <c r="A1624" s="22">
        <v>3787274</v>
      </c>
      <c r="B1624" s="22">
        <v>201</v>
      </c>
    </row>
    <row r="1625" spans="1:2">
      <c r="A1625" s="22">
        <v>3787275</v>
      </c>
      <c r="B1625" s="22">
        <v>189</v>
      </c>
    </row>
    <row r="1626" spans="1:2">
      <c r="A1626" s="22">
        <v>3787276</v>
      </c>
      <c r="B1626" s="22">
        <v>202</v>
      </c>
    </row>
    <row r="1627" spans="1:2">
      <c r="A1627" s="22">
        <v>3787277</v>
      </c>
      <c r="B1627" s="22">
        <v>164</v>
      </c>
    </row>
    <row r="1628" spans="1:2">
      <c r="A1628" s="22">
        <v>3787278</v>
      </c>
      <c r="B1628" s="22">
        <v>189</v>
      </c>
    </row>
    <row r="1629" spans="1:2">
      <c r="A1629" s="22">
        <v>3787279</v>
      </c>
      <c r="B1629" s="22">
        <v>147</v>
      </c>
    </row>
    <row r="1630" spans="1:2">
      <c r="A1630" s="22">
        <v>3787280</v>
      </c>
      <c r="B1630" s="22">
        <v>163</v>
      </c>
    </row>
    <row r="1631" spans="1:2">
      <c r="A1631" s="22">
        <v>3787281</v>
      </c>
      <c r="B1631" s="22">
        <v>176</v>
      </c>
    </row>
    <row r="1632" spans="1:2">
      <c r="A1632" s="22">
        <v>3787282</v>
      </c>
      <c r="B1632" s="22">
        <v>36</v>
      </c>
    </row>
    <row r="1633" spans="1:2">
      <c r="A1633" s="22">
        <v>3787283</v>
      </c>
      <c r="B1633" s="22">
        <v>83</v>
      </c>
    </row>
    <row r="1634" spans="1:2">
      <c r="A1634" s="22">
        <v>3787284</v>
      </c>
      <c r="B1634" s="22">
        <v>189</v>
      </c>
    </row>
    <row r="1635" spans="1:2">
      <c r="A1635" s="22">
        <v>3787285</v>
      </c>
      <c r="B1635" s="22">
        <v>157</v>
      </c>
    </row>
    <row r="1636" spans="1:2">
      <c r="A1636" s="22">
        <v>3787286</v>
      </c>
      <c r="B1636" s="22">
        <v>176</v>
      </c>
    </row>
    <row r="1637" spans="1:2">
      <c r="A1637" s="22">
        <v>3787287</v>
      </c>
      <c r="B1637" s="22">
        <v>163</v>
      </c>
    </row>
    <row r="1638" spans="1:2">
      <c r="A1638" s="22">
        <v>3787288</v>
      </c>
      <c r="B1638" s="22">
        <v>36</v>
      </c>
    </row>
    <row r="1639" spans="1:2">
      <c r="A1639" s="22">
        <v>3787289</v>
      </c>
      <c r="B1639" s="22">
        <v>83</v>
      </c>
    </row>
    <row r="1640" spans="1:2">
      <c r="A1640" s="22">
        <v>3787292</v>
      </c>
      <c r="B1640" s="22">
        <v>204</v>
      </c>
    </row>
    <row r="1641" spans="1:2">
      <c r="A1641" s="22">
        <v>3787293</v>
      </c>
      <c r="B1641" s="22">
        <v>204</v>
      </c>
    </row>
    <row r="1642" spans="1:2">
      <c r="A1642" s="22">
        <v>3787294</v>
      </c>
      <c r="B1642" s="22">
        <v>208</v>
      </c>
    </row>
    <row r="1643" spans="1:2">
      <c r="A1643" s="22">
        <v>3787295</v>
      </c>
      <c r="B1643" s="22">
        <v>223</v>
      </c>
    </row>
    <row r="1644" spans="1:2">
      <c r="A1644" s="22">
        <v>3787296</v>
      </c>
      <c r="B1644" s="22">
        <v>46</v>
      </c>
    </row>
    <row r="1645" spans="1:2">
      <c r="A1645" s="22">
        <v>3787297</v>
      </c>
      <c r="B1645" s="22">
        <v>33</v>
      </c>
    </row>
    <row r="1646" spans="1:2">
      <c r="A1646" s="22">
        <v>3787298</v>
      </c>
      <c r="B1646" s="22">
        <v>33</v>
      </c>
    </row>
    <row r="1647" spans="1:2">
      <c r="A1647" s="22">
        <v>3787299</v>
      </c>
      <c r="B1647" s="22">
        <v>152</v>
      </c>
    </row>
    <row r="1648" spans="1:2">
      <c r="A1648" s="22">
        <v>3787300</v>
      </c>
      <c r="B1648" s="22">
        <v>184</v>
      </c>
    </row>
    <row r="1649" spans="1:2">
      <c r="A1649" s="22">
        <v>3787301</v>
      </c>
      <c r="B1649" s="22">
        <v>188</v>
      </c>
    </row>
    <row r="1650" spans="1:2">
      <c r="A1650" s="22">
        <v>3787302</v>
      </c>
      <c r="B1650" s="22">
        <v>0</v>
      </c>
    </row>
    <row r="1651" spans="1:2">
      <c r="A1651" s="22">
        <v>3787303</v>
      </c>
      <c r="B1651" s="22">
        <v>226</v>
      </c>
    </row>
    <row r="1652" spans="1:2">
      <c r="A1652" s="22">
        <v>3787318</v>
      </c>
      <c r="B1652" s="22">
        <v>205</v>
      </c>
    </row>
    <row r="1653" spans="1:2">
      <c r="A1653" s="22">
        <v>3787319</v>
      </c>
      <c r="B1653" s="22">
        <v>205</v>
      </c>
    </row>
    <row r="1654" spans="1:2">
      <c r="A1654" s="22">
        <v>3787323</v>
      </c>
      <c r="B1654" s="22">
        <v>165</v>
      </c>
    </row>
    <row r="1655" spans="1:2">
      <c r="A1655" s="22">
        <v>3787324</v>
      </c>
      <c r="B1655" s="22">
        <v>155</v>
      </c>
    </row>
    <row r="1656" spans="1:2">
      <c r="A1656" s="22">
        <v>3787325</v>
      </c>
      <c r="B1656" s="22">
        <v>161</v>
      </c>
    </row>
    <row r="1657" spans="1:2">
      <c r="A1657" s="22">
        <v>3787326</v>
      </c>
      <c r="B1657" s="22">
        <v>192</v>
      </c>
    </row>
    <row r="1658" spans="1:2">
      <c r="A1658" s="22">
        <v>3787327</v>
      </c>
      <c r="B1658" s="22">
        <v>192</v>
      </c>
    </row>
    <row r="1659" spans="1:2">
      <c r="A1659" s="22">
        <v>3787328</v>
      </c>
      <c r="B1659" s="22">
        <v>217</v>
      </c>
    </row>
    <row r="1660" spans="1:2">
      <c r="A1660" s="22">
        <v>3787331</v>
      </c>
      <c r="B1660" s="22">
        <v>160</v>
      </c>
    </row>
    <row r="1661" spans="1:2">
      <c r="A1661" s="22">
        <v>3787332</v>
      </c>
      <c r="B1661" s="22">
        <v>132</v>
      </c>
    </row>
    <row r="1662" spans="1:2">
      <c r="A1662" s="22">
        <v>3787333</v>
      </c>
      <c r="B1662" s="22">
        <v>185</v>
      </c>
    </row>
    <row r="1663" spans="1:2">
      <c r="A1663" s="22">
        <v>3787338</v>
      </c>
      <c r="B1663" s="22">
        <v>195</v>
      </c>
    </row>
    <row r="1664" spans="1:2">
      <c r="A1664" s="22">
        <v>3787339</v>
      </c>
      <c r="B1664" s="22">
        <v>235</v>
      </c>
    </row>
    <row r="1665" spans="1:2">
      <c r="A1665" s="22">
        <v>3787342</v>
      </c>
      <c r="B1665" s="22">
        <v>179</v>
      </c>
    </row>
    <row r="1666" spans="1:2">
      <c r="A1666" s="22">
        <v>3787343</v>
      </c>
      <c r="B1666" s="22">
        <v>183</v>
      </c>
    </row>
    <row r="1667" spans="1:2">
      <c r="A1667" s="22">
        <v>3787344</v>
      </c>
      <c r="B1667" s="22">
        <v>227</v>
      </c>
    </row>
    <row r="1668" spans="1:2">
      <c r="A1668" s="22">
        <v>3787345</v>
      </c>
      <c r="B1668" s="22">
        <v>192</v>
      </c>
    </row>
    <row r="1669" spans="1:2">
      <c r="A1669" s="22">
        <v>3787346</v>
      </c>
      <c r="B1669" s="22">
        <v>182</v>
      </c>
    </row>
    <row r="1670" spans="1:2">
      <c r="A1670" s="22">
        <v>3787347</v>
      </c>
      <c r="B1670" s="22">
        <v>184</v>
      </c>
    </row>
    <row r="1671" spans="1:2">
      <c r="A1671" s="22">
        <v>3787348</v>
      </c>
      <c r="B1671" s="22">
        <v>167</v>
      </c>
    </row>
    <row r="1672" spans="1:2">
      <c r="A1672" s="22">
        <v>3787349</v>
      </c>
      <c r="B1672" s="22">
        <v>209</v>
      </c>
    </row>
    <row r="1673" spans="1:2">
      <c r="A1673" s="22">
        <v>3787350</v>
      </c>
      <c r="B1673" s="22">
        <v>212</v>
      </c>
    </row>
    <row r="1674" spans="1:2">
      <c r="A1674" s="22">
        <v>3787351</v>
      </c>
      <c r="B1674" s="22">
        <v>162</v>
      </c>
    </row>
    <row r="1675" spans="1:2">
      <c r="A1675" s="22">
        <v>3787352</v>
      </c>
      <c r="B1675" s="22">
        <v>189</v>
      </c>
    </row>
    <row r="1676" spans="1:2">
      <c r="A1676" s="22">
        <v>3787353</v>
      </c>
      <c r="B1676" s="22">
        <v>234</v>
      </c>
    </row>
    <row r="1677" spans="1:2">
      <c r="A1677" s="22">
        <v>3787354</v>
      </c>
      <c r="B1677" s="22">
        <v>199</v>
      </c>
    </row>
    <row r="1678" spans="1:2">
      <c r="A1678" s="22">
        <v>3787355</v>
      </c>
      <c r="B1678" s="22">
        <v>218</v>
      </c>
    </row>
    <row r="1679" spans="1:2">
      <c r="A1679" s="22">
        <v>3787361</v>
      </c>
      <c r="B1679" s="22">
        <v>183</v>
      </c>
    </row>
    <row r="1680" spans="1:2">
      <c r="A1680" s="22">
        <v>3787362</v>
      </c>
      <c r="B1680" s="22">
        <v>32</v>
      </c>
    </row>
    <row r="1681" spans="1:2">
      <c r="A1681" s="22">
        <v>3787363</v>
      </c>
      <c r="B1681" s="22">
        <v>184</v>
      </c>
    </row>
    <row r="1682" spans="1:2">
      <c r="A1682" s="22">
        <v>3787365</v>
      </c>
      <c r="B1682" s="22">
        <v>138</v>
      </c>
    </row>
    <row r="1683" spans="1:2">
      <c r="A1683" s="22">
        <v>3787366</v>
      </c>
      <c r="B1683" s="22">
        <v>228</v>
      </c>
    </row>
    <row r="1684" spans="1:2">
      <c r="A1684" s="22">
        <v>3787367</v>
      </c>
      <c r="B1684" s="22">
        <v>228</v>
      </c>
    </row>
    <row r="1685" spans="1:2">
      <c r="A1685" s="22">
        <v>3787368</v>
      </c>
      <c r="B1685" s="22">
        <v>215</v>
      </c>
    </row>
    <row r="1686" spans="1:2">
      <c r="A1686" s="22">
        <v>3787369</v>
      </c>
      <c r="B1686" s="22">
        <v>228</v>
      </c>
    </row>
    <row r="1687" spans="1:2">
      <c r="A1687" s="22">
        <v>3787370</v>
      </c>
      <c r="B1687" s="22">
        <v>226</v>
      </c>
    </row>
    <row r="1688" spans="1:2">
      <c r="A1688" s="22">
        <v>3787371</v>
      </c>
      <c r="B1688" s="22">
        <v>183</v>
      </c>
    </row>
    <row r="1689" spans="1:2">
      <c r="A1689" s="22">
        <v>3787372</v>
      </c>
      <c r="B1689" s="22">
        <v>179</v>
      </c>
    </row>
    <row r="1690" spans="1:2">
      <c r="A1690" s="22">
        <v>3787373</v>
      </c>
      <c r="B1690" s="22">
        <v>212</v>
      </c>
    </row>
    <row r="1691" spans="1:2">
      <c r="A1691" s="22">
        <v>3787374</v>
      </c>
      <c r="B1691" s="22">
        <v>207</v>
      </c>
    </row>
    <row r="1692" spans="1:2">
      <c r="A1692" s="22">
        <v>3787375</v>
      </c>
      <c r="B1692" s="22">
        <v>216</v>
      </c>
    </row>
    <row r="1693" spans="1:2">
      <c r="A1693" s="22">
        <v>3787376</v>
      </c>
      <c r="B1693" s="22">
        <v>62</v>
      </c>
    </row>
    <row r="1694" spans="1:2">
      <c r="A1694" s="22">
        <v>3787378</v>
      </c>
      <c r="B1694" s="22">
        <v>181</v>
      </c>
    </row>
    <row r="1695" spans="1:2">
      <c r="A1695" s="22">
        <v>3787379</v>
      </c>
      <c r="B1695" s="22">
        <v>189</v>
      </c>
    </row>
    <row r="1696" spans="1:2">
      <c r="A1696" s="22">
        <v>3787380</v>
      </c>
      <c r="B1696" s="22">
        <v>193</v>
      </c>
    </row>
    <row r="1697" spans="1:2">
      <c r="A1697" s="22">
        <v>3787381</v>
      </c>
      <c r="B1697" s="22">
        <v>190</v>
      </c>
    </row>
    <row r="1698" spans="1:2">
      <c r="A1698" s="22">
        <v>3787384</v>
      </c>
      <c r="B1698" s="22">
        <v>203</v>
      </c>
    </row>
    <row r="1699" spans="1:2">
      <c r="A1699" s="22">
        <v>3787385</v>
      </c>
      <c r="B1699" s="22">
        <v>188</v>
      </c>
    </row>
    <row r="1700" spans="1:2">
      <c r="A1700" s="22">
        <v>3787386</v>
      </c>
      <c r="B1700" s="22">
        <v>187</v>
      </c>
    </row>
    <row r="1701" spans="1:2">
      <c r="A1701" s="22">
        <v>3787387</v>
      </c>
      <c r="B1701" s="22">
        <v>237</v>
      </c>
    </row>
    <row r="1702" spans="1:2">
      <c r="A1702" s="22">
        <v>3787388</v>
      </c>
      <c r="B1702" s="22">
        <v>212</v>
      </c>
    </row>
    <row r="1703" spans="1:2">
      <c r="A1703" s="22">
        <v>3787389</v>
      </c>
      <c r="B1703" s="22">
        <v>205</v>
      </c>
    </row>
    <row r="1704" spans="1:2">
      <c r="A1704" s="22">
        <v>3787390</v>
      </c>
      <c r="B1704" s="22">
        <v>205</v>
      </c>
    </row>
    <row r="1705" spans="1:2">
      <c r="A1705" s="22">
        <v>3787416</v>
      </c>
      <c r="B1705" s="22">
        <v>226</v>
      </c>
    </row>
    <row r="1706" spans="1:2">
      <c r="A1706" s="22">
        <v>3787417</v>
      </c>
      <c r="B1706" s="22">
        <v>206</v>
      </c>
    </row>
    <row r="1707" spans="1:2">
      <c r="A1707" s="22">
        <v>3787425</v>
      </c>
      <c r="B1707" s="22">
        <v>180</v>
      </c>
    </row>
    <row r="1708" spans="1:2">
      <c r="A1708" s="22">
        <v>3787429</v>
      </c>
      <c r="B1708" s="22">
        <v>214</v>
      </c>
    </row>
    <row r="1709" spans="1:2">
      <c r="A1709" s="22">
        <v>3787430</v>
      </c>
      <c r="B1709" s="22">
        <v>172</v>
      </c>
    </row>
    <row r="1710" spans="1:2">
      <c r="A1710" s="22">
        <v>3787432</v>
      </c>
      <c r="B1710" s="22">
        <v>213</v>
      </c>
    </row>
    <row r="1711" spans="1:2">
      <c r="A1711" s="22">
        <v>3787433</v>
      </c>
      <c r="B1711" s="22">
        <v>213</v>
      </c>
    </row>
    <row r="1712" spans="1:2">
      <c r="A1712" s="22">
        <v>3787434</v>
      </c>
      <c r="B1712" s="22">
        <v>213</v>
      </c>
    </row>
    <row r="1713" spans="1:2">
      <c r="A1713" s="22">
        <v>3787435</v>
      </c>
      <c r="B1713" s="22">
        <v>208</v>
      </c>
    </row>
    <row r="1714" spans="1:2">
      <c r="A1714" s="22">
        <v>3787436</v>
      </c>
      <c r="B1714" s="22">
        <v>205</v>
      </c>
    </row>
    <row r="1715" spans="1:2">
      <c r="A1715" s="22">
        <v>3787437</v>
      </c>
      <c r="B1715" s="22">
        <v>217</v>
      </c>
    </row>
    <row r="1716" spans="1:2">
      <c r="A1716" s="22">
        <v>3787438</v>
      </c>
      <c r="B1716" s="22">
        <v>217</v>
      </c>
    </row>
    <row r="1717" spans="1:2">
      <c r="A1717" s="22">
        <v>3787439</v>
      </c>
      <c r="B1717" s="22">
        <v>208</v>
      </c>
    </row>
    <row r="1718" spans="1:2">
      <c r="A1718" s="22">
        <v>3787440</v>
      </c>
      <c r="B1718" s="22">
        <v>200</v>
      </c>
    </row>
    <row r="1719" spans="1:2">
      <c r="A1719" s="22">
        <v>3787447</v>
      </c>
      <c r="B1719" s="22">
        <v>190</v>
      </c>
    </row>
    <row r="1720" spans="1:2">
      <c r="A1720" s="22">
        <v>3787448</v>
      </c>
      <c r="B1720" s="22">
        <v>180</v>
      </c>
    </row>
    <row r="1721" spans="1:2">
      <c r="A1721" s="22">
        <v>3787449</v>
      </c>
      <c r="B1721" s="22">
        <v>218</v>
      </c>
    </row>
    <row r="1722" spans="1:2">
      <c r="A1722" s="22">
        <v>3787450</v>
      </c>
      <c r="B1722" s="22">
        <v>208</v>
      </c>
    </row>
    <row r="1723" spans="1:2">
      <c r="A1723" s="22">
        <v>3787451</v>
      </c>
      <c r="B1723" s="22">
        <v>205</v>
      </c>
    </row>
    <row r="1724" spans="1:2">
      <c r="A1724" s="22">
        <v>3787452</v>
      </c>
      <c r="B1724" s="22">
        <v>180</v>
      </c>
    </row>
    <row r="1725" spans="1:2">
      <c r="A1725" s="22">
        <v>3787453</v>
      </c>
      <c r="B1725" s="22">
        <v>204</v>
      </c>
    </row>
    <row r="1726" spans="1:2">
      <c r="A1726" s="22">
        <v>3787454</v>
      </c>
      <c r="B1726" s="22">
        <v>200</v>
      </c>
    </row>
    <row r="1727" spans="1:2">
      <c r="A1727" s="22">
        <v>3787455</v>
      </c>
      <c r="B1727" s="22">
        <v>191</v>
      </c>
    </row>
    <row r="1728" spans="1:2">
      <c r="A1728" s="22">
        <v>3787456</v>
      </c>
      <c r="B1728" s="22">
        <v>196</v>
      </c>
    </row>
    <row r="1729" spans="1:2">
      <c r="A1729" s="22">
        <v>3787460</v>
      </c>
      <c r="B1729" s="22">
        <v>214</v>
      </c>
    </row>
    <row r="1730" spans="1:2">
      <c r="A1730" s="22">
        <v>3787461</v>
      </c>
      <c r="B1730" s="22">
        <v>208</v>
      </c>
    </row>
    <row r="1731" spans="1:2">
      <c r="A1731" s="22">
        <v>3787462</v>
      </c>
      <c r="B1731" s="22">
        <v>0</v>
      </c>
    </row>
    <row r="1732" spans="1:2">
      <c r="A1732" s="22">
        <v>3787463</v>
      </c>
      <c r="B1732" s="22">
        <v>211</v>
      </c>
    </row>
    <row r="1733" spans="1:2">
      <c r="A1733" s="22">
        <v>3787464</v>
      </c>
      <c r="B1733" s="22">
        <v>203</v>
      </c>
    </row>
    <row r="1734" spans="1:2">
      <c r="A1734" s="22">
        <v>3787465</v>
      </c>
      <c r="B1734" s="22">
        <v>234</v>
      </c>
    </row>
    <row r="1735" spans="1:2">
      <c r="A1735" s="22">
        <v>3787466</v>
      </c>
      <c r="B1735" s="22">
        <v>222</v>
      </c>
    </row>
    <row r="1736" spans="1:2">
      <c r="A1736" s="22">
        <v>3787467</v>
      </c>
      <c r="B1736" s="22">
        <v>222</v>
      </c>
    </row>
    <row r="1737" spans="1:2">
      <c r="A1737" s="22">
        <v>3787468</v>
      </c>
      <c r="B1737" s="22">
        <v>218</v>
      </c>
    </row>
    <row r="1738" spans="1:2">
      <c r="A1738" s="22">
        <v>3787469</v>
      </c>
      <c r="B1738" s="22">
        <v>234</v>
      </c>
    </row>
    <row r="1739" spans="1:2">
      <c r="A1739" s="22">
        <v>3787470</v>
      </c>
      <c r="B1739" s="22">
        <v>110</v>
      </c>
    </row>
    <row r="1740" spans="1:2">
      <c r="A1740" s="22">
        <v>3787471</v>
      </c>
      <c r="B1740" s="22">
        <v>151</v>
      </c>
    </row>
    <row r="1741" spans="1:2">
      <c r="A1741" s="22">
        <v>3787472</v>
      </c>
      <c r="B1741" s="22">
        <v>173</v>
      </c>
    </row>
    <row r="1742" spans="1:2">
      <c r="A1742" s="22">
        <v>3787473</v>
      </c>
      <c r="B1742" s="22">
        <v>199</v>
      </c>
    </row>
    <row r="1743" spans="1:2">
      <c r="A1743" s="22">
        <v>3787474</v>
      </c>
      <c r="B1743" s="22">
        <v>199</v>
      </c>
    </row>
    <row r="1744" spans="1:2">
      <c r="A1744" s="22">
        <v>3787477</v>
      </c>
      <c r="B1744" s="22">
        <v>175</v>
      </c>
    </row>
    <row r="1745" spans="1:2">
      <c r="A1745" s="22">
        <v>3787478</v>
      </c>
      <c r="B1745" s="22">
        <v>158</v>
      </c>
    </row>
    <row r="1746" spans="1:2">
      <c r="A1746" s="22">
        <v>3787479</v>
      </c>
      <c r="B1746" s="22">
        <v>198</v>
      </c>
    </row>
    <row r="1747" spans="1:2">
      <c r="A1747" s="22">
        <v>3787480</v>
      </c>
      <c r="B1747" s="22">
        <v>198</v>
      </c>
    </row>
    <row r="1748" spans="1:2">
      <c r="A1748" s="22">
        <v>3787484</v>
      </c>
      <c r="B1748" s="22">
        <v>128</v>
      </c>
    </row>
    <row r="1749" spans="1:2">
      <c r="A1749" s="22">
        <v>3787485</v>
      </c>
      <c r="B1749" s="22">
        <v>78</v>
      </c>
    </row>
    <row r="1750" spans="1:2">
      <c r="A1750" s="22">
        <v>3787486</v>
      </c>
      <c r="B1750" s="22">
        <v>74</v>
      </c>
    </row>
    <row r="1751" spans="1:2">
      <c r="A1751" s="22">
        <v>3787487</v>
      </c>
      <c r="B1751" s="22">
        <v>74</v>
      </c>
    </row>
    <row r="1752" spans="1:2">
      <c r="A1752" s="22">
        <v>3787488</v>
      </c>
      <c r="B1752" s="22">
        <v>114</v>
      </c>
    </row>
    <row r="1753" spans="1:2">
      <c r="A1753" s="22">
        <v>3787489</v>
      </c>
      <c r="B1753" s="22">
        <v>180</v>
      </c>
    </row>
    <row r="1754" spans="1:2">
      <c r="A1754" s="22">
        <v>3787490</v>
      </c>
      <c r="B1754" s="22">
        <v>183</v>
      </c>
    </row>
    <row r="1755" spans="1:2">
      <c r="A1755" s="22">
        <v>3787496</v>
      </c>
      <c r="B1755" s="22">
        <v>218</v>
      </c>
    </row>
    <row r="1756" spans="1:2">
      <c r="A1756" s="22">
        <v>3787497</v>
      </c>
      <c r="B1756" s="22">
        <v>181</v>
      </c>
    </row>
    <row r="1757" spans="1:2">
      <c r="A1757" s="22">
        <v>3787504</v>
      </c>
      <c r="B1757" s="22">
        <v>198</v>
      </c>
    </row>
    <row r="1758" spans="1:2">
      <c r="A1758" s="22">
        <v>3787505</v>
      </c>
      <c r="B1758" s="22">
        <v>203</v>
      </c>
    </row>
    <row r="1759" spans="1:2">
      <c r="A1759" s="22">
        <v>3787514</v>
      </c>
      <c r="B1759" s="22">
        <v>185</v>
      </c>
    </row>
    <row r="1760" spans="1:2">
      <c r="A1760" s="22">
        <v>3787515</v>
      </c>
      <c r="B1760" s="22">
        <v>205</v>
      </c>
    </row>
    <row r="1761" spans="1:2">
      <c r="A1761" s="22">
        <v>3787516</v>
      </c>
      <c r="B1761" s="22">
        <v>214</v>
      </c>
    </row>
    <row r="1762" spans="1:2">
      <c r="A1762" s="22">
        <v>3787517</v>
      </c>
      <c r="B1762" s="22">
        <v>220</v>
      </c>
    </row>
    <row r="1763" spans="1:2">
      <c r="A1763" s="22">
        <v>3787519</v>
      </c>
      <c r="B1763" s="22">
        <v>219</v>
      </c>
    </row>
    <row r="1764" spans="1:2">
      <c r="A1764" s="22">
        <v>3787520</v>
      </c>
      <c r="B1764" s="22">
        <v>194</v>
      </c>
    </row>
    <row r="1765" spans="1:2">
      <c r="A1765" s="22">
        <v>3787521</v>
      </c>
      <c r="B1765" s="22">
        <v>203</v>
      </c>
    </row>
    <row r="1766" spans="1:2">
      <c r="A1766" s="22">
        <v>3787522</v>
      </c>
      <c r="B1766" s="22">
        <v>187</v>
      </c>
    </row>
    <row r="1767" spans="1:2">
      <c r="A1767" s="22">
        <v>3787523</v>
      </c>
      <c r="B1767" s="22">
        <v>175</v>
      </c>
    </row>
    <row r="1768" spans="1:2">
      <c r="A1768" s="22">
        <v>3787524</v>
      </c>
      <c r="B1768" s="22">
        <v>117</v>
      </c>
    </row>
    <row r="1769" spans="1:2">
      <c r="A1769" s="22">
        <v>3787525</v>
      </c>
      <c r="B1769" s="22">
        <v>183</v>
      </c>
    </row>
    <row r="1770" spans="1:2">
      <c r="A1770" s="22">
        <v>3787526</v>
      </c>
      <c r="B1770" s="22">
        <v>232</v>
      </c>
    </row>
    <row r="1771" spans="1:2">
      <c r="A1771" s="22">
        <v>3787527</v>
      </c>
      <c r="B1771" s="22">
        <v>232</v>
      </c>
    </row>
    <row r="1772" spans="1:2">
      <c r="A1772" s="22">
        <v>3787528</v>
      </c>
      <c r="B1772" s="22">
        <v>232</v>
      </c>
    </row>
    <row r="1773" spans="1:2">
      <c r="A1773" s="22">
        <v>3787530</v>
      </c>
      <c r="B1773" s="22">
        <v>234</v>
      </c>
    </row>
    <row r="1774" spans="1:2">
      <c r="A1774" s="22">
        <v>3787531</v>
      </c>
      <c r="B1774" s="22">
        <v>208</v>
      </c>
    </row>
    <row r="1775" spans="1:2">
      <c r="A1775" s="22">
        <v>3787532</v>
      </c>
      <c r="B1775" s="22">
        <v>204</v>
      </c>
    </row>
    <row r="1776" spans="1:2">
      <c r="A1776" s="22">
        <v>3787537</v>
      </c>
      <c r="B1776" s="22">
        <v>215</v>
      </c>
    </row>
    <row r="1777" spans="1:2">
      <c r="A1777" s="22">
        <v>3787539</v>
      </c>
      <c r="B1777" s="22">
        <v>133</v>
      </c>
    </row>
    <row r="1778" spans="1:2">
      <c r="A1778" s="22">
        <v>3787540</v>
      </c>
      <c r="B1778" s="22">
        <v>130</v>
      </c>
    </row>
    <row r="1779" spans="1:2">
      <c r="A1779" s="22">
        <v>3787541</v>
      </c>
      <c r="B1779" s="22">
        <v>130</v>
      </c>
    </row>
    <row r="1780" spans="1:2">
      <c r="A1780" s="22">
        <v>3787542</v>
      </c>
      <c r="B1780" s="22">
        <v>130</v>
      </c>
    </row>
    <row r="1781" spans="1:2">
      <c r="A1781" s="22">
        <v>3787543</v>
      </c>
      <c r="B1781" s="22">
        <v>144</v>
      </c>
    </row>
    <row r="1782" spans="1:2">
      <c r="A1782" s="22">
        <v>3787544</v>
      </c>
      <c r="B1782" s="22">
        <v>140</v>
      </c>
    </row>
    <row r="1783" spans="1:2">
      <c r="A1783" s="22">
        <v>3787553</v>
      </c>
      <c r="B1783" s="22">
        <v>218</v>
      </c>
    </row>
    <row r="1784" spans="1:2">
      <c r="A1784" s="22">
        <v>3787554</v>
      </c>
      <c r="B1784" s="22">
        <v>181</v>
      </c>
    </row>
    <row r="1785" spans="1:2">
      <c r="A1785" s="22">
        <v>3787555</v>
      </c>
      <c r="B1785" s="22">
        <v>239</v>
      </c>
    </row>
    <row r="1786" spans="1:2">
      <c r="A1786" s="22">
        <v>3787556</v>
      </c>
      <c r="B1786" s="22">
        <v>249</v>
      </c>
    </row>
    <row r="1787" spans="1:2">
      <c r="A1787" s="22">
        <v>3787557</v>
      </c>
      <c r="B1787" s="22">
        <v>217</v>
      </c>
    </row>
    <row r="1788" spans="1:2">
      <c r="A1788" s="22">
        <v>3787571</v>
      </c>
      <c r="B1788" s="22">
        <v>230</v>
      </c>
    </row>
    <row r="1789" spans="1:2">
      <c r="A1789" s="22">
        <v>3787616</v>
      </c>
      <c r="B1789" s="22">
        <v>213</v>
      </c>
    </row>
    <row r="1790" spans="1:2">
      <c r="A1790" s="22">
        <v>3787617</v>
      </c>
      <c r="B1790" s="22">
        <v>209</v>
      </c>
    </row>
    <row r="1791" spans="1:2">
      <c r="A1791" s="22">
        <v>3787619</v>
      </c>
      <c r="B1791" s="22">
        <v>211</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9E8313F43F4A5F4B8AAEA8E5A77BA24F" ma:contentTypeVersion="3" ma:contentTypeDescription="Create a new document." ma:contentTypeScope="" ma:versionID="4eaaff6b84a16b329a48e0dc59997114">
  <xsd:schema xmlns:xsd="http://www.w3.org/2001/XMLSchema" xmlns:xs="http://www.w3.org/2001/XMLSchema" xmlns:p="http://schemas.microsoft.com/office/2006/metadata/properties" xmlns:ns2="1412ee77-3db0-4f90-964b-5caaa80ddd32" targetNamespace="http://schemas.microsoft.com/office/2006/metadata/properties" ma:root="true" ma:fieldsID="a0afb71a98e361c2da9b06e36f8e8a13" ns2:_="">
    <xsd:import namespace="1412ee77-3db0-4f90-964b-5caaa80ddd32"/>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412ee77-3db0-4f90-964b-5caaa80ddd3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2FDF1837-A98F-4C7C-86FA-3CFEC11D6AE1}">
  <ds:schemaRefs>
    <ds:schemaRef ds:uri="1412ee77-3db0-4f90-964b-5caaa80ddd32"/>
    <ds:schemaRef ds:uri="http://schemas.microsoft.com/office/infopath/2007/PartnerControls"/>
    <ds:schemaRef ds:uri="http://purl.org/dc/dcmitype/"/>
    <ds:schemaRef ds:uri="http://purl.org/dc/terms/"/>
    <ds:schemaRef ds:uri="http://schemas.openxmlformats.org/package/2006/metadata/core-properties"/>
    <ds:schemaRef ds:uri="http://schemas.microsoft.com/office/2006/documentManagement/types"/>
    <ds:schemaRef ds:uri="http://purl.org/dc/elements/1.1/"/>
    <ds:schemaRef ds:uri="http://schemas.microsoft.com/office/2006/metadata/properties"/>
    <ds:schemaRef ds:uri="http://www.w3.org/XML/1998/namespace"/>
  </ds:schemaRefs>
</ds:datastoreItem>
</file>

<file path=customXml/itemProps2.xml><?xml version="1.0" encoding="utf-8"?>
<ds:datastoreItem xmlns:ds="http://schemas.openxmlformats.org/officeDocument/2006/customXml" ds:itemID="{65EC4A56-CF4D-45B7-8ED8-2BF297257868}">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412ee77-3db0-4f90-964b-5caaa80ddd32"/>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27934618-08A9-4B2D-B0F2-58B64108A3E5}">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Variables</vt:lpstr>
      <vt:lpstr>KENYA</vt:lpstr>
      <vt:lpstr>Sheet4</vt:lpstr>
      <vt:lpstr>Sheet1</vt:lpstr>
      <vt:lpstr>Sheet3</vt:lpstr>
      <vt:lpstr>Sheet2</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NKG EA Project - John Njoroge</cp:lastModifiedBy>
  <cp:revision>0</cp:revision>
  <dcterms:created xsi:type="dcterms:W3CDTF">2026-09-18T16:15:16Z</dcterms:created>
  <dcterms:modified xsi:type="dcterms:W3CDTF">2026-10-27T05:35:24Z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0x0101009E8313F43F4A5F4B8AAEA8E5A77BA24F</vt:lpwstr>
  </property>
</Properties>
</file>